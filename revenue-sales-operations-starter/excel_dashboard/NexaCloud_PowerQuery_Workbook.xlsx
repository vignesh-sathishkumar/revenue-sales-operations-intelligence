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47ac2848e7b7f970/Documents/Portfolio/revenue-sales-operations-step1/revenue-sales-operations-starter/excel_dashboard/"/>
    </mc:Choice>
  </mc:AlternateContent>
  <xr:revisionPtr revIDLastSave="0" documentId="8_{7B8AF937-379D-488E-BD47-9BB92E0273BB}" xr6:coauthVersionLast="47" xr6:coauthVersionMax="47" xr10:uidLastSave="{00000000-0000-0000-0000-000000000000}"/>
  <bookViews>
    <workbookView xWindow="-113" yWindow="-113" windowWidth="24267" windowHeight="13023" firstSheet="8" activeTab="10" xr2:uid="{C1B0828E-B332-494C-8CC5-095DE24B4F72}"/>
  </bookViews>
  <sheets>
    <sheet name="sales_activities" sheetId="6" r:id="rId1"/>
    <sheet name="sales_reps" sheetId="5" r:id="rId2"/>
    <sheet name="products" sheetId="4" r:id="rId3"/>
    <sheet name="customers" sheetId="3" r:id="rId4"/>
    <sheet name="Regional_Analysis" sheetId="9" r:id="rId5"/>
    <sheet name="Regional_WinRate" sheetId="10" r:id="rId6"/>
    <sheet name="Product_Analysis" sheetId="11" r:id="rId7"/>
    <sheet name="Product_WinRate" sheetId="12" r:id="rId8"/>
    <sheet name="SalesRep_Performance" sheetId="13" r:id="rId9"/>
    <sheet name="Target_Chart_Data" sheetId="16" r:id="rId10"/>
    <sheet name="Sales_Dashboard" sheetId="15" r:id="rId11"/>
    <sheet name="SalesRep_WinRate" sheetId="14" r:id="rId12"/>
    <sheet name="Region_Opportunity_Count" sheetId="17" r:id="rId13"/>
    <sheet name="Region_Won_Count" sheetId="18" r:id="rId14"/>
    <sheet name="Region_Closed_Count" sheetId="19" r:id="rId15"/>
    <sheet name="opportunities" sheetId="2" r:id="rId16"/>
    <sheet name="Validation" sheetId="7" r:id="rId17"/>
    <sheet name="KPI_Analysis" sheetId="8" r:id="rId18"/>
  </sheets>
  <definedNames>
    <definedName name="Dynamic_SalesReps">Target_Chart_Data!$D$2:INDEX(Target_Chart_Data!$D$2:$D$21,COUNTIF(Target_Chart_Data!$D$2:$D$21,"Sales Rep*"))</definedName>
    <definedName name="Dynamic_TargetRates">Target_Chart_Data!$E$2:INDEX(Target_Chart_Data!$E$2:$E$21,COUNTIF(Target_Chart_Data!$D$2:$D$21,"Sales Rep*"))</definedName>
    <definedName name="ExternalData_1" localSheetId="15" hidden="1">opportunities!$A$1:$M$3001</definedName>
    <definedName name="ExternalData_2" localSheetId="3" hidden="1">customers!$A$1:$F$501</definedName>
    <definedName name="ExternalData_3" localSheetId="2" hidden="1">products!$A$1:$D$7</definedName>
    <definedName name="ExternalData_4" localSheetId="1" hidden="1">sales_reps!$A$1:$E$21</definedName>
    <definedName name="ExternalData_5" localSheetId="0" hidden="1">sales_activities!$A$1:$F$10483</definedName>
    <definedName name="Slicer_Sales_Rep_Region">#N/A</definedName>
  </definedNames>
  <calcPr calcId="191029" calcCompleted="0"/>
  <pivotCaches>
    <pivotCache cacheId="0" r:id="rId19"/>
  </pivotCaches>
  <fileRecoveryPr repairLoad="1"/>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0" i="15" l="1"/>
  <c r="X19" i="15"/>
  <c r="X21" i="15" s="1"/>
  <c r="Q21" i="15" s="1"/>
  <c r="X16" i="15"/>
  <c r="X15" i="15"/>
  <c r="D5" i="15"/>
  <c r="G5" i="15" s="1"/>
  <c r="Q24" i="15" s="1"/>
  <c r="A5" i="15"/>
  <c r="J5" i="15"/>
  <c r="A9" i="16"/>
  <c r="A10" i="16"/>
  <c r="A11" i="16"/>
  <c r="A12" i="16"/>
  <c r="A13" i="16"/>
  <c r="A14" i="16"/>
  <c r="A15" i="16"/>
  <c r="A16" i="16"/>
  <c r="A17" i="16"/>
  <c r="A18" i="16"/>
  <c r="A19" i="16"/>
  <c r="A20" i="16"/>
  <c r="A21" i="16"/>
  <c r="A8" i="16"/>
  <c r="A3" i="16"/>
  <c r="A4" i="16"/>
  <c r="A5" i="16"/>
  <c r="A6" i="16"/>
  <c r="A7" i="16"/>
  <c r="A2" i="16"/>
  <c r="I6" i="12"/>
  <c r="I7" i="12"/>
  <c r="I8" i="12"/>
  <c r="I9" i="12"/>
  <c r="I10" i="12"/>
  <c r="I5" i="12"/>
  <c r="F5" i="12"/>
  <c r="D5" i="13"/>
  <c r="E5" i="13" s="1"/>
  <c r="D6" i="13"/>
  <c r="E6" i="13" s="1"/>
  <c r="D7" i="13"/>
  <c r="E7" i="13" s="1"/>
  <c r="D8" i="13"/>
  <c r="E8" i="13" s="1"/>
  <c r="D9" i="13"/>
  <c r="E9" i="13" s="1"/>
  <c r="D10" i="13"/>
  <c r="E10" i="13" s="1"/>
  <c r="D11" i="13"/>
  <c r="E11" i="13" s="1"/>
  <c r="D12" i="13"/>
  <c r="E12" i="13" s="1"/>
  <c r="D13" i="13"/>
  <c r="E13" i="13" s="1"/>
  <c r="D14" i="13"/>
  <c r="E14" i="13" s="1"/>
  <c r="D15" i="13"/>
  <c r="E15" i="13" s="1"/>
  <c r="D16" i="13"/>
  <c r="E16" i="13" s="1"/>
  <c r="D17" i="13"/>
  <c r="E17" i="13" s="1"/>
  <c r="D18" i="13"/>
  <c r="E18" i="13" s="1"/>
  <c r="D19" i="13"/>
  <c r="E19" i="13" s="1"/>
  <c r="D20" i="13"/>
  <c r="E20" i="13" s="1"/>
  <c r="D21" i="13"/>
  <c r="E21" i="13" s="1"/>
  <c r="D22" i="13"/>
  <c r="E22" i="13" s="1"/>
  <c r="D23" i="13"/>
  <c r="E23" i="13" s="1"/>
  <c r="D4" i="13"/>
  <c r="F6" i="14"/>
  <c r="F7" i="14"/>
  <c r="F8" i="14"/>
  <c r="F9" i="14"/>
  <c r="F10" i="14"/>
  <c r="F11" i="14"/>
  <c r="F12" i="14"/>
  <c r="F13" i="14"/>
  <c r="F14" i="14"/>
  <c r="F15" i="14"/>
  <c r="F16" i="14"/>
  <c r="F17" i="14"/>
  <c r="F18" i="14"/>
  <c r="F19" i="14"/>
  <c r="F20" i="14"/>
  <c r="F21" i="14"/>
  <c r="F22" i="14"/>
  <c r="F23" i="14"/>
  <c r="F24" i="14"/>
  <c r="F25" i="14"/>
  <c r="F5" i="14"/>
  <c r="F6" i="12"/>
  <c r="F7" i="12"/>
  <c r="F8" i="12"/>
  <c r="F9" i="12"/>
  <c r="F10" i="12"/>
  <c r="F11" i="12"/>
  <c r="F9" i="10"/>
  <c r="F8" i="10"/>
  <c r="I8" i="10" s="1"/>
  <c r="F7" i="10"/>
  <c r="I7" i="10" s="1"/>
  <c r="F6" i="10"/>
  <c r="I6" i="10" s="1"/>
  <c r="F5" i="10"/>
  <c r="I5" i="10" s="1"/>
  <c r="B5" i="8"/>
  <c r="B6" i="8"/>
  <c r="B7" i="8"/>
  <c r="B12" i="8" a="1"/>
  <c r="B11" i="8"/>
  <c r="B9" i="8"/>
  <c r="B4" i="8"/>
  <c r="B5" i="7"/>
  <c r="B4" i="7"/>
  <c r="B3" i="7"/>
  <c r="B2" i="7"/>
  <c r="B1" i="7"/>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X17" i="15" l="1"/>
  <c r="Q18" i="15" s="1"/>
  <c r="D24" i="13"/>
  <c r="E24" i="13" s="1"/>
  <c r="L5" i="15" s="1"/>
  <c r="Q27" i="15" s="1"/>
  <c r="B9" i="16"/>
  <c r="B10" i="16"/>
  <c r="B11" i="16"/>
  <c r="B12" i="16"/>
  <c r="B13" i="16"/>
  <c r="B14" i="16"/>
  <c r="B15" i="16"/>
  <c r="B16" i="16"/>
  <c r="B17" i="16"/>
  <c r="B18" i="16"/>
  <c r="B19" i="16"/>
  <c r="B20" i="16"/>
  <c r="B21" i="16"/>
  <c r="B8" i="16"/>
  <c r="F5" i="13"/>
  <c r="B3" i="16"/>
  <c r="F6" i="13"/>
  <c r="B4" i="16"/>
  <c r="F7" i="13"/>
  <c r="B5" i="16"/>
  <c r="F8" i="13"/>
  <c r="B6" i="16"/>
  <c r="F9" i="13"/>
  <c r="B7" i="16"/>
  <c r="F10" i="13"/>
  <c r="F11" i="13"/>
  <c r="F12" i="13"/>
  <c r="F13" i="13"/>
  <c r="F14" i="13"/>
  <c r="F15" i="13"/>
  <c r="F16" i="13"/>
  <c r="F17" i="13"/>
  <c r="F18" i="13"/>
  <c r="F19" i="13"/>
  <c r="F20" i="13"/>
  <c r="F21" i="13"/>
  <c r="F22" i="13"/>
  <c r="F23" i="13"/>
  <c r="E4" i="13"/>
  <c r="B8" i="8"/>
  <c r="B10" i="8"/>
  <c r="F4" i="13" l="1"/>
  <c r="B2" i="16"/>
  <c r="D2" i="16" s="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42DED2-10EE-4534-8227-F7F296C206F7}"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3DCD393-2018-48BD-9E54-1EA15634D2A5}" keepAlive="1" name="Query - opportunities" description="Connection to the 'opportunities' query in the workbook." type="5" refreshedVersion="8" background="1" saveData="1">
    <dbPr connection="Provider=Microsoft.Mashup.OleDb.1;Data Source=$Workbook$;Location=opportunities;Extended Properties=&quot;&quot;" command="SELECT * FROM [opportunities]"/>
  </connection>
  <connection id="3" xr16:uid="{E68F98A9-2617-436A-AB56-2129C27E4CB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C14F8AC0-E92E-417B-B3C9-2EF2F9409074}" keepAlive="1" name="Query - sales_activities" description="Connection to the 'sales_activities' query in the workbook." type="5" refreshedVersion="8" background="1" saveData="1">
    <dbPr connection="Provider=Microsoft.Mashup.OleDb.1;Data Source=$Workbook$;Location=sales_activities;Extended Properties=&quot;&quot;" command="SELECT * FROM [sales_activities]"/>
  </connection>
  <connection id="5" xr16:uid="{0D67B132-6A35-4E0B-B9AC-820B073343C3}" keepAlive="1" name="Query - sales_reps" description="Connection to the 'sales_reps' query in the workbook." type="5" refreshedVersion="8" background="1" saveData="1">
    <dbPr connection="Provider=Microsoft.Mashup.OleDb.1;Data Source=$Workbook$;Location=sales_reps;Extended Properties=&quot;&quot;" command="SELECT * FROM [sales_rep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<sst xmlns="http://schemas.openxmlformats.org/spreadsheetml/2006/main" count="73719" uniqueCount="14651">
  <si>
    <t>opportunity_id</t>
  </si>
  <si>
    <t>customer_id</t>
  </si>
  <si>
    <t>product_id</t>
  </si>
  <si>
    <t>rep_id</t>
  </si>
  <si>
    <t>created_date</t>
  </si>
  <si>
    <t>expected_close_date</t>
  </si>
  <si>
    <t>actual_close_date</t>
  </si>
  <si>
    <t>stage</t>
  </si>
  <si>
    <t>units</t>
  </si>
  <si>
    <t>discount_pct</t>
  </si>
  <si>
    <t>deal_value_inr</t>
  </si>
  <si>
    <t>probability_pct</t>
  </si>
  <si>
    <t>lost_reason</t>
  </si>
  <si>
    <t>O00001</t>
  </si>
  <si>
    <t>C0020</t>
  </si>
  <si>
    <t>P002</t>
  </si>
  <si>
    <t>R008</t>
  </si>
  <si>
    <t>Lost</t>
  </si>
  <si>
    <t>Budget</t>
  </si>
  <si>
    <t>O00002</t>
  </si>
  <si>
    <t>C0289</t>
  </si>
  <si>
    <t>P003</t>
  </si>
  <si>
    <t>R014</t>
  </si>
  <si>
    <t>Price</t>
  </si>
  <si>
    <t>O00003</t>
  </si>
  <si>
    <t>C0294</t>
  </si>
  <si>
    <t>P006</t>
  </si>
  <si>
    <t>R006</t>
  </si>
  <si>
    <t>Won</t>
  </si>
  <si>
    <t/>
  </si>
  <si>
    <t>O00004</t>
  </si>
  <si>
    <t>C0288</t>
  </si>
  <si>
    <t>R004</t>
  </si>
  <si>
    <t>Feature gap</t>
  </si>
  <si>
    <t>O00005</t>
  </si>
  <si>
    <t>C0361</t>
  </si>
  <si>
    <t>R009</t>
  </si>
  <si>
    <t>O00006</t>
  </si>
  <si>
    <t>C0478</t>
  </si>
  <si>
    <t>P005</t>
  </si>
  <si>
    <t>R013</t>
  </si>
  <si>
    <t>O00007</t>
  </si>
  <si>
    <t>C0395</t>
  </si>
  <si>
    <t>Open</t>
  </si>
  <si>
    <t>O00008</t>
  </si>
  <si>
    <t>C0274</t>
  </si>
  <si>
    <t>R001</t>
  </si>
  <si>
    <t>Competition</t>
  </si>
  <si>
    <t>O00009</t>
  </si>
  <si>
    <t>C0253</t>
  </si>
  <si>
    <t>R015</t>
  </si>
  <si>
    <t>O00010</t>
  </si>
  <si>
    <t>C0264</t>
  </si>
  <si>
    <t>R016</t>
  </si>
  <si>
    <t>O00011</t>
  </si>
  <si>
    <t>C0155</t>
  </si>
  <si>
    <t>R020</t>
  </si>
  <si>
    <t>O00012</t>
  </si>
  <si>
    <t>C0491</t>
  </si>
  <si>
    <t>R019</t>
  </si>
  <si>
    <t>O00013</t>
  </si>
  <si>
    <t>C0058</t>
  </si>
  <si>
    <t>P001</t>
  </si>
  <si>
    <t>R005</t>
  </si>
  <si>
    <t>O00014</t>
  </si>
  <si>
    <t>C0030</t>
  </si>
  <si>
    <t>O00015</t>
  </si>
  <si>
    <t>C0479</t>
  </si>
  <si>
    <t>O00016</t>
  </si>
  <si>
    <t>C0115</t>
  </si>
  <si>
    <t>R011</t>
  </si>
  <si>
    <t>O00017</t>
  </si>
  <si>
    <t>C0215</t>
  </si>
  <si>
    <t>O00018</t>
  </si>
  <si>
    <t>C0112</t>
  </si>
  <si>
    <t>R007</t>
  </si>
  <si>
    <t>O00019</t>
  </si>
  <si>
    <t>C0286</t>
  </si>
  <si>
    <t>R012</t>
  </si>
  <si>
    <t>O00020</t>
  </si>
  <si>
    <t>C0074</t>
  </si>
  <si>
    <t>P004</t>
  </si>
  <si>
    <t>No decision</t>
  </si>
  <si>
    <t>O00021</t>
  </si>
  <si>
    <t>C0275</t>
  </si>
  <si>
    <t>O00022</t>
  </si>
  <si>
    <t>C0480</t>
  </si>
  <si>
    <t>O00023</t>
  </si>
  <si>
    <t>C0412</t>
  </si>
  <si>
    <t>O00024</t>
  </si>
  <si>
    <t>C0079</t>
  </si>
  <si>
    <t>R003</t>
  </si>
  <si>
    <t>O00025</t>
  </si>
  <si>
    <t>C0025</t>
  </si>
  <si>
    <t>O00026</t>
  </si>
  <si>
    <t>C0004</t>
  </si>
  <si>
    <t>O00027</t>
  </si>
  <si>
    <t>C0077</t>
  </si>
  <si>
    <t>O00028</t>
  </si>
  <si>
    <t>C0208</t>
  </si>
  <si>
    <t>O00029</t>
  </si>
  <si>
    <t>O00030</t>
  </si>
  <si>
    <t>C0382</t>
  </si>
  <si>
    <t>O00031</t>
  </si>
  <si>
    <t>C0482</t>
  </si>
  <si>
    <t>O00032</t>
  </si>
  <si>
    <t>C0200</t>
  </si>
  <si>
    <t>O00033</t>
  </si>
  <si>
    <t>C0285</t>
  </si>
  <si>
    <t>O00034</t>
  </si>
  <si>
    <t>C0138</t>
  </si>
  <si>
    <t>O00035</t>
  </si>
  <si>
    <t>C0055</t>
  </si>
  <si>
    <t>O00036</t>
  </si>
  <si>
    <t>C0150</t>
  </si>
  <si>
    <t>O00037</t>
  </si>
  <si>
    <t>C0108</t>
  </si>
  <si>
    <t>O00038</t>
  </si>
  <si>
    <t>C0299</t>
  </si>
  <si>
    <t>R010</t>
  </si>
  <si>
    <t>O00039</t>
  </si>
  <si>
    <t>C0332</t>
  </si>
  <si>
    <t>O00040</t>
  </si>
  <si>
    <t>C0298</t>
  </si>
  <si>
    <t>O00041</t>
  </si>
  <si>
    <t>C0426</t>
  </si>
  <si>
    <t>R002</t>
  </si>
  <si>
    <t>O00042</t>
  </si>
  <si>
    <t>O00043</t>
  </si>
  <si>
    <t>C0220</t>
  </si>
  <si>
    <t>O00044</t>
  </si>
  <si>
    <t>C0161</t>
  </si>
  <si>
    <t>O00045</t>
  </si>
  <si>
    <t>C0123</t>
  </si>
  <si>
    <t>O00046</t>
  </si>
  <si>
    <t>C0086</t>
  </si>
  <si>
    <t>O00047</t>
  </si>
  <si>
    <t>C0335</t>
  </si>
  <si>
    <t>O00048</t>
  </si>
  <si>
    <t>C0276</t>
  </si>
  <si>
    <t>O00049</t>
  </si>
  <si>
    <t>C0226</t>
  </si>
  <si>
    <t>O00050</t>
  </si>
  <si>
    <t>C0072</t>
  </si>
  <si>
    <t>O00051</t>
  </si>
  <si>
    <t>C0075</t>
  </si>
  <si>
    <t>O00052</t>
  </si>
  <si>
    <t>C0002</t>
  </si>
  <si>
    <t>O00053</t>
  </si>
  <si>
    <t>C0391</t>
  </si>
  <si>
    <t>O00054</t>
  </si>
  <si>
    <t>C0203</t>
  </si>
  <si>
    <t>R018</t>
  </si>
  <si>
    <t>O00055</t>
  </si>
  <si>
    <t>C0005</t>
  </si>
  <si>
    <t>O00056</t>
  </si>
  <si>
    <t>C0071</t>
  </si>
  <si>
    <t>O00057</t>
  </si>
  <si>
    <t>C0045</t>
  </si>
  <si>
    <t>O00058</t>
  </si>
  <si>
    <t>C0399</t>
  </si>
  <si>
    <t>O00059</t>
  </si>
  <si>
    <t>C0068</t>
  </si>
  <si>
    <t>O00060</t>
  </si>
  <si>
    <t>C0260</t>
  </si>
  <si>
    <t>O00061</t>
  </si>
  <si>
    <t>O00062</t>
  </si>
  <si>
    <t>C0380</t>
  </si>
  <si>
    <t>R017</t>
  </si>
  <si>
    <t>O00063</t>
  </si>
  <si>
    <t>C0414</t>
  </si>
  <si>
    <t>O00064</t>
  </si>
  <si>
    <t>C0261</t>
  </si>
  <si>
    <t>O00065</t>
  </si>
  <si>
    <t>C0164</t>
  </si>
  <si>
    <t>O00066</t>
  </si>
  <si>
    <t>O00067</t>
  </si>
  <si>
    <t>C0326</t>
  </si>
  <si>
    <t>O00068</t>
  </si>
  <si>
    <t>C0212</t>
  </si>
  <si>
    <t>O00069</t>
  </si>
  <si>
    <t>C0140</t>
  </si>
  <si>
    <t>O00070</t>
  </si>
  <si>
    <t>C0158</t>
  </si>
  <si>
    <t>O00071</t>
  </si>
  <si>
    <t>C0016</t>
  </si>
  <si>
    <t>O00072</t>
  </si>
  <si>
    <t>C0191</t>
  </si>
  <si>
    <t>O00073</t>
  </si>
  <si>
    <t>C0421</t>
  </si>
  <si>
    <t>O00074</t>
  </si>
  <si>
    <t>C0126</t>
  </si>
  <si>
    <t>O00075</t>
  </si>
  <si>
    <t>C0258</t>
  </si>
  <si>
    <t>O00076</t>
  </si>
  <si>
    <t>O00077</t>
  </si>
  <si>
    <t>C0159</t>
  </si>
  <si>
    <t>O00078</t>
  </si>
  <si>
    <t>C0441</t>
  </si>
  <si>
    <t>O00079</t>
  </si>
  <si>
    <t>O00080</t>
  </si>
  <si>
    <t>O00081</t>
  </si>
  <si>
    <t>C0225</t>
  </si>
  <si>
    <t>O00082</t>
  </si>
  <si>
    <t>C0038</t>
  </si>
  <si>
    <t>O00083</t>
  </si>
  <si>
    <t>C0081</t>
  </si>
  <si>
    <t>O00084</t>
  </si>
  <si>
    <t>O00085</t>
  </si>
  <si>
    <t>C0459</t>
  </si>
  <si>
    <t>O00086</t>
  </si>
  <si>
    <t>C0032</t>
  </si>
  <si>
    <t>O00087</t>
  </si>
  <si>
    <t>C0452</t>
  </si>
  <si>
    <t>O00088</t>
  </si>
  <si>
    <t>C0022</t>
  </si>
  <si>
    <t>O00089</t>
  </si>
  <si>
    <t>C0439</t>
  </si>
  <si>
    <t>O00090</t>
  </si>
  <si>
    <t>C0400</t>
  </si>
  <si>
    <t>O00091</t>
  </si>
  <si>
    <t>C0244</t>
  </si>
  <si>
    <t>O00092</t>
  </si>
  <si>
    <t>C0374</t>
  </si>
  <si>
    <t>O00093</t>
  </si>
  <si>
    <t>C0089</t>
  </si>
  <si>
    <t>O00094</t>
  </si>
  <si>
    <t>C0091</t>
  </si>
  <si>
    <t>O00095</t>
  </si>
  <si>
    <t>O00096</t>
  </si>
  <si>
    <t>O00097</t>
  </si>
  <si>
    <t>O00098</t>
  </si>
  <si>
    <t>C0199</t>
  </si>
  <si>
    <t>O00099</t>
  </si>
  <si>
    <t>C0046</t>
  </si>
  <si>
    <t>O00100</t>
  </si>
  <si>
    <t>C0445</t>
  </si>
  <si>
    <t>O00101</t>
  </si>
  <si>
    <t>C0325</t>
  </si>
  <si>
    <t>O00102</t>
  </si>
  <si>
    <t>O00103</t>
  </si>
  <si>
    <t>C0053</t>
  </si>
  <si>
    <t>O00104</t>
  </si>
  <si>
    <t>C0376</t>
  </si>
  <si>
    <t>O00105</t>
  </si>
  <si>
    <t>C0354</t>
  </si>
  <si>
    <t>O00106</t>
  </si>
  <si>
    <t>C0319</t>
  </si>
  <si>
    <t>O00107</t>
  </si>
  <si>
    <t>C0083</t>
  </si>
  <si>
    <t>O00108</t>
  </si>
  <si>
    <t>O00109</t>
  </si>
  <si>
    <t>O00110</t>
  </si>
  <si>
    <t>C0454</t>
  </si>
  <si>
    <t>O00111</t>
  </si>
  <si>
    <t>C0455</t>
  </si>
  <si>
    <t>O00112</t>
  </si>
  <si>
    <t>C0430</t>
  </si>
  <si>
    <t>O00113</t>
  </si>
  <si>
    <t>C0282</t>
  </si>
  <si>
    <t>O00114</t>
  </si>
  <si>
    <t>O00115</t>
  </si>
  <si>
    <t>C0308</t>
  </si>
  <si>
    <t>O00116</t>
  </si>
  <si>
    <t>C0313</t>
  </si>
  <si>
    <t>O00117</t>
  </si>
  <si>
    <t>C0069</t>
  </si>
  <si>
    <t>O00118</t>
  </si>
  <si>
    <t>C0259</t>
  </si>
  <si>
    <t>O00119</t>
  </si>
  <si>
    <t>C0378</t>
  </si>
  <si>
    <t>O00120</t>
  </si>
  <si>
    <t>O00121</t>
  </si>
  <si>
    <t>C0184</t>
  </si>
  <si>
    <t>O00122</t>
  </si>
  <si>
    <t>O00123</t>
  </si>
  <si>
    <t>C0194</t>
  </si>
  <si>
    <t>O00124</t>
  </si>
  <si>
    <t>O00125</t>
  </si>
  <si>
    <t>C0170</t>
  </si>
  <si>
    <t>O00126</t>
  </si>
  <si>
    <t>O00127</t>
  </si>
  <si>
    <t>C0323</t>
  </si>
  <si>
    <t>O00128</t>
  </si>
  <si>
    <t>O00129</t>
  </si>
  <si>
    <t>C0476</t>
  </si>
  <si>
    <t>O00130</t>
  </si>
  <si>
    <t>C0347</t>
  </si>
  <si>
    <t>O00131</t>
  </si>
  <si>
    <t>C0428</t>
  </si>
  <si>
    <t>O00132</t>
  </si>
  <si>
    <t>O00133</t>
  </si>
  <si>
    <t>C0290</t>
  </si>
  <si>
    <t>O00134</t>
  </si>
  <si>
    <t>C0237</t>
  </si>
  <si>
    <t>O00135</t>
  </si>
  <si>
    <t>C0324</t>
  </si>
  <si>
    <t>O00136</t>
  </si>
  <si>
    <t>C0006</t>
  </si>
  <si>
    <t>O00137</t>
  </si>
  <si>
    <t>C0119</t>
  </si>
  <si>
    <t>O00138</t>
  </si>
  <si>
    <t>O00139</t>
  </si>
  <si>
    <t>O00140</t>
  </si>
  <si>
    <t>C0303</t>
  </si>
  <si>
    <t>O00141</t>
  </si>
  <si>
    <t>C0265</t>
  </si>
  <si>
    <t>O00142</t>
  </si>
  <si>
    <t>C0306</t>
  </si>
  <si>
    <t>O00143</t>
  </si>
  <si>
    <t>C0277</t>
  </si>
  <si>
    <t>O00144</t>
  </si>
  <si>
    <t>C0210</t>
  </si>
  <si>
    <t>O00145</t>
  </si>
  <si>
    <t>O00146</t>
  </si>
  <si>
    <t>O00147</t>
  </si>
  <si>
    <t>C0242</t>
  </si>
  <si>
    <t>O00148</t>
  </si>
  <si>
    <t>C0100</t>
  </si>
  <si>
    <t>O00149</t>
  </si>
  <si>
    <t>C0103</t>
  </si>
  <si>
    <t>O00150</t>
  </si>
  <si>
    <t>O00151</t>
  </si>
  <si>
    <t>O00152</t>
  </si>
  <si>
    <t>O00153</t>
  </si>
  <si>
    <t>C0062</t>
  </si>
  <si>
    <t>O00154</t>
  </si>
  <si>
    <t>C0028</t>
  </si>
  <si>
    <t>O00155</t>
  </si>
  <si>
    <t>C0346</t>
  </si>
  <si>
    <t>O00156</t>
  </si>
  <si>
    <t>C0386</t>
  </si>
  <si>
    <t>O00157</t>
  </si>
  <si>
    <t>C0101</t>
  </si>
  <si>
    <t>O00158</t>
  </si>
  <si>
    <t>C0111</t>
  </si>
  <si>
    <t>O00159</t>
  </si>
  <si>
    <t>O00160</t>
  </si>
  <si>
    <t>O00161</t>
  </si>
  <si>
    <t>C0033</t>
  </si>
  <si>
    <t>O00162</t>
  </si>
  <si>
    <t>C0065</t>
  </si>
  <si>
    <t>O00163</t>
  </si>
  <si>
    <t>C0269</t>
  </si>
  <si>
    <t>O00164</t>
  </si>
  <si>
    <t>C0353</t>
  </si>
  <si>
    <t>O00165</t>
  </si>
  <si>
    <t>O00166</t>
  </si>
  <si>
    <t>C0327</t>
  </si>
  <si>
    <t>O00167</t>
  </si>
  <si>
    <t>O00168</t>
  </si>
  <si>
    <t>C0099</t>
  </si>
  <si>
    <t>O00169</t>
  </si>
  <si>
    <t>C0107</t>
  </si>
  <si>
    <t>O00170</t>
  </si>
  <si>
    <t>O00171</t>
  </si>
  <si>
    <t>C0183</t>
  </si>
  <si>
    <t>O00172</t>
  </si>
  <si>
    <t>C0461</t>
  </si>
  <si>
    <t>O00173</t>
  </si>
  <si>
    <t>C0080</t>
  </si>
  <si>
    <t>O00174</t>
  </si>
  <si>
    <t>C0496</t>
  </si>
  <si>
    <t>O00175</t>
  </si>
  <si>
    <t>C0293</t>
  </si>
  <si>
    <t>O00176</t>
  </si>
  <si>
    <t>O00177</t>
  </si>
  <si>
    <t>C0052</t>
  </si>
  <si>
    <t>O00178</t>
  </si>
  <si>
    <t>C0227</t>
  </si>
  <si>
    <t>O00179</t>
  </si>
  <si>
    <t>C0001</t>
  </si>
  <si>
    <t>O00180</t>
  </si>
  <si>
    <t>O00181</t>
  </si>
  <si>
    <t>C0250</t>
  </si>
  <si>
    <t>O00182</t>
  </si>
  <si>
    <t>C0383</t>
  </si>
  <si>
    <t>O00183</t>
  </si>
  <si>
    <t>O00184</t>
  </si>
  <si>
    <t>C0205</t>
  </si>
  <si>
    <t>O00185</t>
  </si>
  <si>
    <t>C0179</t>
  </si>
  <si>
    <t>O00186</t>
  </si>
  <si>
    <t>C0475</t>
  </si>
  <si>
    <t>O00187</t>
  </si>
  <si>
    <t>C0280</t>
  </si>
  <si>
    <t>O00188</t>
  </si>
  <si>
    <t>C0484</t>
  </si>
  <si>
    <t>O00189</t>
  </si>
  <si>
    <t>C0096</t>
  </si>
  <si>
    <t>O00190</t>
  </si>
  <si>
    <t>O00191</t>
  </si>
  <si>
    <t>C0278</t>
  </si>
  <si>
    <t>O00192</t>
  </si>
  <si>
    <t>C0273</t>
  </si>
  <si>
    <t>O00193</t>
  </si>
  <si>
    <t>C0137</t>
  </si>
  <si>
    <t>O00194</t>
  </si>
  <si>
    <t>C0437</t>
  </si>
  <si>
    <t>O00195</t>
  </si>
  <si>
    <t>O00196</t>
  </si>
  <si>
    <t>O00197</t>
  </si>
  <si>
    <t>C0370</t>
  </si>
  <si>
    <t>O00198</t>
  </si>
  <si>
    <t>C0333</t>
  </si>
  <si>
    <t>O00199</t>
  </si>
  <si>
    <t>C0092</t>
  </si>
  <si>
    <t>O00200</t>
  </si>
  <si>
    <t>O00201</t>
  </si>
  <si>
    <t>O00202</t>
  </si>
  <si>
    <t>C0146</t>
  </si>
  <si>
    <t>O00203</t>
  </si>
  <si>
    <t>C0389</t>
  </si>
  <si>
    <t>O00204</t>
  </si>
  <si>
    <t>C0148</t>
  </si>
  <si>
    <t>O00205</t>
  </si>
  <si>
    <t>C0435</t>
  </si>
  <si>
    <t>O00206</t>
  </si>
  <si>
    <t>C0393</t>
  </si>
  <si>
    <t>O00207</t>
  </si>
  <si>
    <t>C0070</t>
  </si>
  <si>
    <t>O00208</t>
  </si>
  <si>
    <t>O00209</t>
  </si>
  <si>
    <t>C0440</t>
  </si>
  <si>
    <t>O00210</t>
  </si>
  <si>
    <t>O00211</t>
  </si>
  <si>
    <t>C0003</t>
  </si>
  <si>
    <t>O00212</t>
  </si>
  <si>
    <t>C0457</t>
  </si>
  <si>
    <t>O00213</t>
  </si>
  <si>
    <t>O00214</t>
  </si>
  <si>
    <t>C0067</t>
  </si>
  <si>
    <t>O00215</t>
  </si>
  <si>
    <t>C0417</t>
  </si>
  <si>
    <t>O00216</t>
  </si>
  <si>
    <t>C0246</t>
  </si>
  <si>
    <t>O00217</t>
  </si>
  <si>
    <t>C0082</t>
  </si>
  <si>
    <t>O00218</t>
  </si>
  <si>
    <t>C0167</t>
  </si>
  <si>
    <t>O00219</t>
  </si>
  <si>
    <t>O00220</t>
  </si>
  <si>
    <t>O00221</t>
  </si>
  <si>
    <t>C0109</t>
  </si>
  <si>
    <t>O00222</t>
  </si>
  <si>
    <t>O00223</t>
  </si>
  <si>
    <t>C0218</t>
  </si>
  <si>
    <t>O00224</t>
  </si>
  <si>
    <t>C0375</t>
  </si>
  <si>
    <t>O00225</t>
  </si>
  <si>
    <t>O00226</t>
  </si>
  <si>
    <t>C0337</t>
  </si>
  <si>
    <t>O00227</t>
  </si>
  <si>
    <t>C0078</t>
  </si>
  <si>
    <t>O00228</t>
  </si>
  <si>
    <t>O00229</t>
  </si>
  <si>
    <t>C0195</t>
  </si>
  <si>
    <t>O00230</t>
  </si>
  <si>
    <t>C0336</t>
  </si>
  <si>
    <t>O00231</t>
  </si>
  <si>
    <t>C0054</t>
  </si>
  <si>
    <t>O00232</t>
  </si>
  <si>
    <t>O00233</t>
  </si>
  <si>
    <t>O00234</t>
  </si>
  <si>
    <t>O00235</t>
  </si>
  <si>
    <t>O00236</t>
  </si>
  <si>
    <t>C0116</t>
  </si>
  <si>
    <t>O00237</t>
  </si>
  <si>
    <t>C0104</t>
  </si>
  <si>
    <t>O00238</t>
  </si>
  <si>
    <t>O00239</t>
  </si>
  <si>
    <t>C0073</t>
  </si>
  <si>
    <t>O00240</t>
  </si>
  <si>
    <t>O00241</t>
  </si>
  <si>
    <t>O00242</t>
  </si>
  <si>
    <t>O00243</t>
  </si>
  <si>
    <t>O00244</t>
  </si>
  <si>
    <t>C0187</t>
  </si>
  <si>
    <t>O00245</t>
  </si>
  <si>
    <t>C0060</t>
  </si>
  <si>
    <t>O00246</t>
  </si>
  <si>
    <t>C0193</t>
  </si>
  <si>
    <t>O00247</t>
  </si>
  <si>
    <t>C0144</t>
  </si>
  <si>
    <t>O00248</t>
  </si>
  <si>
    <t>C0251</t>
  </si>
  <si>
    <t>O00249</t>
  </si>
  <si>
    <t>C0023</t>
  </si>
  <si>
    <t>O00250</t>
  </si>
  <si>
    <t>C0343</t>
  </si>
  <si>
    <t>O00251</t>
  </si>
  <si>
    <t>C0358</t>
  </si>
  <si>
    <t>O00252</t>
  </si>
  <si>
    <t>C0035</t>
  </si>
  <si>
    <t>O00253</t>
  </si>
  <si>
    <t>O00254</t>
  </si>
  <si>
    <t>O00255</t>
  </si>
  <si>
    <t>C0297</t>
  </si>
  <si>
    <t>O00256</t>
  </si>
  <si>
    <t>C0181</t>
  </si>
  <si>
    <t>O00257</t>
  </si>
  <si>
    <t>C0190</t>
  </si>
  <si>
    <t>O00258</t>
  </si>
  <si>
    <t>O00259</t>
  </si>
  <si>
    <t>O00260</t>
  </si>
  <si>
    <t>C0163</t>
  </si>
  <si>
    <t>O00261</t>
  </si>
  <si>
    <t>O00262</t>
  </si>
  <si>
    <t>O00263</t>
  </si>
  <si>
    <t>C0156</t>
  </si>
  <si>
    <t>O00264</t>
  </si>
  <si>
    <t>O00265</t>
  </si>
  <si>
    <t>O00266</t>
  </si>
  <si>
    <t>O00267</t>
  </si>
  <si>
    <t>O00268</t>
  </si>
  <si>
    <t>O00269</t>
  </si>
  <si>
    <t>O00270</t>
  </si>
  <si>
    <t>C0106</t>
  </si>
  <si>
    <t>O00271</t>
  </si>
  <si>
    <t>O00272</t>
  </si>
  <si>
    <t>C0064</t>
  </si>
  <si>
    <t>O00273</t>
  </si>
  <si>
    <t>O00274</t>
  </si>
  <si>
    <t>O00275</t>
  </si>
  <si>
    <t>C0305</t>
  </si>
  <si>
    <t>O00276</t>
  </si>
  <si>
    <t>C0322</t>
  </si>
  <si>
    <t>O00277</t>
  </si>
  <si>
    <t>O00278</t>
  </si>
  <si>
    <t>C0221</t>
  </si>
  <si>
    <t>O00279</t>
  </si>
  <si>
    <t>O00280</t>
  </si>
  <si>
    <t>O00281</t>
  </si>
  <si>
    <t>C0462</t>
  </si>
  <si>
    <t>O00282</t>
  </si>
  <si>
    <t>C0497</t>
  </si>
  <si>
    <t>O00283</t>
  </si>
  <si>
    <t>O00284</t>
  </si>
  <si>
    <t>O00285</t>
  </si>
  <si>
    <t>C0321</t>
  </si>
  <si>
    <t>O00286</t>
  </si>
  <si>
    <t>O00287</t>
  </si>
  <si>
    <t>C0249</t>
  </si>
  <si>
    <t>O00288</t>
  </si>
  <si>
    <t>C0257</t>
  </si>
  <si>
    <t>O00289</t>
  </si>
  <si>
    <t>O00290</t>
  </si>
  <si>
    <t>C0217</t>
  </si>
  <si>
    <t>O00291</t>
  </si>
  <si>
    <t>C0328</t>
  </si>
  <si>
    <t>O00292</t>
  </si>
  <si>
    <t>C0444</t>
  </si>
  <si>
    <t>O00293</t>
  </si>
  <si>
    <t>C0168</t>
  </si>
  <si>
    <t>O00294</t>
  </si>
  <si>
    <t>C0366</t>
  </si>
  <si>
    <t>O00295</t>
  </si>
  <si>
    <t>C0202</t>
  </si>
  <si>
    <t>O00296</t>
  </si>
  <si>
    <t>C0317</t>
  </si>
  <si>
    <t>O00297</t>
  </si>
  <si>
    <t>C0254</t>
  </si>
  <si>
    <t>O00298</t>
  </si>
  <si>
    <t>O00299</t>
  </si>
  <si>
    <t>O00300</t>
  </si>
  <si>
    <t>C0196</t>
  </si>
  <si>
    <t>O00301</t>
  </si>
  <si>
    <t>C0134</t>
  </si>
  <si>
    <t>O00302</t>
  </si>
  <si>
    <t>O00303</t>
  </si>
  <si>
    <t>C0434</t>
  </si>
  <si>
    <t>O00304</t>
  </si>
  <si>
    <t>C0014</t>
  </si>
  <si>
    <t>O00305</t>
  </si>
  <si>
    <t>O00306</t>
  </si>
  <si>
    <t>C0011</t>
  </si>
  <si>
    <t>O00307</t>
  </si>
  <si>
    <t>O00308</t>
  </si>
  <si>
    <t>C0149</t>
  </si>
  <si>
    <t>O00309</t>
  </si>
  <si>
    <t>O00310</t>
  </si>
  <si>
    <t>C0024</t>
  </si>
  <si>
    <t>O00311</t>
  </si>
  <si>
    <t>O00312</t>
  </si>
  <si>
    <t>O00313</t>
  </si>
  <si>
    <t>O00314</t>
  </si>
  <si>
    <t>O00315</t>
  </si>
  <si>
    <t>C0458</t>
  </si>
  <si>
    <t>O00316</t>
  </si>
  <si>
    <t>C0466</t>
  </si>
  <si>
    <t>O00317</t>
  </si>
  <si>
    <t>O00318</t>
  </si>
  <si>
    <t>C0424</t>
  </si>
  <si>
    <t>O00319</t>
  </si>
  <si>
    <t>C0448</t>
  </si>
  <si>
    <t>O00320</t>
  </si>
  <si>
    <t>O00321</t>
  </si>
  <si>
    <t>O00322</t>
  </si>
  <si>
    <t>O00323</t>
  </si>
  <si>
    <t>O00324</t>
  </si>
  <si>
    <t>O00325</t>
  </si>
  <si>
    <t>C0015</t>
  </si>
  <si>
    <t>O00326</t>
  </si>
  <si>
    <t>O00327</t>
  </si>
  <si>
    <t>O00328</t>
  </si>
  <si>
    <t>O00329</t>
  </si>
  <si>
    <t>C0017</t>
  </si>
  <si>
    <t>O00330</t>
  </si>
  <si>
    <t>O00331</t>
  </si>
  <si>
    <t>C0247</t>
  </si>
  <si>
    <t>O00332</t>
  </si>
  <si>
    <t>C0174</t>
  </si>
  <si>
    <t>O00333</t>
  </si>
  <si>
    <t>C0097</t>
  </si>
  <si>
    <t>O00334</t>
  </si>
  <si>
    <t>O00335</t>
  </si>
  <si>
    <t>O00336</t>
  </si>
  <si>
    <t>O00337</t>
  </si>
  <si>
    <t>O00338</t>
  </si>
  <si>
    <t>C0493</t>
  </si>
  <si>
    <t>O00339</t>
  </si>
  <si>
    <t>O00340</t>
  </si>
  <si>
    <t>O00341</t>
  </si>
  <si>
    <t>C0498</t>
  </si>
  <si>
    <t>O00342</t>
  </si>
  <si>
    <t>O00343</t>
  </si>
  <si>
    <t>C0090</t>
  </si>
  <si>
    <t>O00344</t>
  </si>
  <si>
    <t>C0345</t>
  </si>
  <si>
    <t>O00345</t>
  </si>
  <si>
    <t>C0201</t>
  </si>
  <si>
    <t>O00346</t>
  </si>
  <si>
    <t>O00347</t>
  </si>
  <si>
    <t>C0044</t>
  </si>
  <si>
    <t>O00348</t>
  </si>
  <si>
    <t>O00349</t>
  </si>
  <si>
    <t>C0451</t>
  </si>
  <si>
    <t>O00350</t>
  </si>
  <si>
    <t>O00351</t>
  </si>
  <si>
    <t>C0387</t>
  </si>
  <si>
    <t>O00352</t>
  </si>
  <si>
    <t>O00353</t>
  </si>
  <si>
    <t>O00354</t>
  </si>
  <si>
    <t>O00355</t>
  </si>
  <si>
    <t>C0102</t>
  </si>
  <si>
    <t>O00356</t>
  </si>
  <si>
    <t>O00357</t>
  </si>
  <si>
    <t>O00358</t>
  </si>
  <si>
    <t>O00359</t>
  </si>
  <si>
    <t>O00360</t>
  </si>
  <si>
    <t>O00361</t>
  </si>
  <si>
    <t>C0189</t>
  </si>
  <si>
    <t>O00362</t>
  </si>
  <si>
    <t>C0061</t>
  </si>
  <si>
    <t>O00363</t>
  </si>
  <si>
    <t>O00364</t>
  </si>
  <si>
    <t>C0214</t>
  </si>
  <si>
    <t>O00365</t>
  </si>
  <si>
    <t>O00366</t>
  </si>
  <si>
    <t>O00367</t>
  </si>
  <si>
    <t>C0233</t>
  </si>
  <si>
    <t>O00368</t>
  </si>
  <si>
    <t>C0490</t>
  </si>
  <si>
    <t>O00369</t>
  </si>
  <si>
    <t>C0310</t>
  </si>
  <si>
    <t>O00370</t>
  </si>
  <si>
    <t>C0422</t>
  </si>
  <si>
    <t>O00371</t>
  </si>
  <si>
    <t>O00372</t>
  </si>
  <si>
    <t>C0085</t>
  </si>
  <si>
    <t>O00373</t>
  </si>
  <si>
    <t>O00374</t>
  </si>
  <si>
    <t>C0344</t>
  </si>
  <si>
    <t>O00375</t>
  </si>
  <si>
    <t>O00376</t>
  </si>
  <si>
    <t>O00377</t>
  </si>
  <si>
    <t>O00378</t>
  </si>
  <si>
    <t>C0034</t>
  </si>
  <si>
    <t>O00379</t>
  </si>
  <si>
    <t>O00380</t>
  </si>
  <si>
    <t>C0041</t>
  </si>
  <si>
    <t>O00381</t>
  </si>
  <si>
    <t>O00382</t>
  </si>
  <si>
    <t>C0447</t>
  </si>
  <si>
    <t>O00383</t>
  </si>
  <si>
    <t>O00384</t>
  </si>
  <si>
    <t>C0204</t>
  </si>
  <si>
    <t>O00385</t>
  </si>
  <si>
    <t>O00386</t>
  </si>
  <si>
    <t>O00387</t>
  </si>
  <si>
    <t>O00388</t>
  </si>
  <si>
    <t>O00389</t>
  </si>
  <si>
    <t>O00390</t>
  </si>
  <si>
    <t>C0087</t>
  </si>
  <si>
    <t>O00391</t>
  </si>
  <si>
    <t>O00392</t>
  </si>
  <si>
    <t>C0300</t>
  </si>
  <si>
    <t>O00393</t>
  </si>
  <si>
    <t>C0267</t>
  </si>
  <si>
    <t>O00394</t>
  </si>
  <si>
    <t>C0446</t>
  </si>
  <si>
    <t>O00395</t>
  </si>
  <si>
    <t>O00396</t>
  </si>
  <si>
    <t>C0311</t>
  </si>
  <si>
    <t>O00397</t>
  </si>
  <si>
    <t>O00398</t>
  </si>
  <si>
    <t>C0369</t>
  </si>
  <si>
    <t>O00399</t>
  </si>
  <si>
    <t>O00400</t>
  </si>
  <si>
    <t>O00401</t>
  </si>
  <si>
    <t>C0418</t>
  </si>
  <si>
    <t>O00402</t>
  </si>
  <si>
    <t>O00403</t>
  </si>
  <si>
    <t>C0373</t>
  </si>
  <si>
    <t>O00404</t>
  </si>
  <si>
    <t>O00405</t>
  </si>
  <si>
    <t>C0018</t>
  </si>
  <si>
    <t>O00406</t>
  </si>
  <si>
    <t>O00407</t>
  </si>
  <si>
    <t>O00408</t>
  </si>
  <si>
    <t>O00409</t>
  </si>
  <si>
    <t>O00410</t>
  </si>
  <si>
    <t>O00411</t>
  </si>
  <si>
    <t>C0105</t>
  </si>
  <si>
    <t>O00412</t>
  </si>
  <si>
    <t>O00413</t>
  </si>
  <si>
    <t>O00414</t>
  </si>
  <si>
    <t>C0066</t>
  </si>
  <si>
    <t>O00415</t>
  </si>
  <si>
    <t>C0182</t>
  </si>
  <si>
    <t>O00416</t>
  </si>
  <si>
    <t>O00417</t>
  </si>
  <si>
    <t>O00418</t>
  </si>
  <si>
    <t>O00419</t>
  </si>
  <si>
    <t>O00420</t>
  </si>
  <si>
    <t>O00421</t>
  </si>
  <si>
    <t>O00422</t>
  </si>
  <si>
    <t>C0381</t>
  </si>
  <si>
    <t>O00423</t>
  </si>
  <si>
    <t>C0122</t>
  </si>
  <si>
    <t>O00424</t>
  </si>
  <si>
    <t>C0359</t>
  </si>
  <si>
    <t>O00425</t>
  </si>
  <si>
    <t>C0010</t>
  </si>
  <si>
    <t>O00426</t>
  </si>
  <si>
    <t>C0057</t>
  </si>
  <si>
    <t>O00427</t>
  </si>
  <si>
    <t>O00428</t>
  </si>
  <si>
    <t>O00429</t>
  </si>
  <si>
    <t>C0419</t>
  </si>
  <si>
    <t>O00430</t>
  </si>
  <si>
    <t>O00431</t>
  </si>
  <si>
    <t>O00432</t>
  </si>
  <si>
    <t>C0095</t>
  </si>
  <si>
    <t>O00433</t>
  </si>
  <si>
    <t>C0021</t>
  </si>
  <si>
    <t>O00434</t>
  </si>
  <si>
    <t>C0043</t>
  </si>
  <si>
    <t>O00435</t>
  </si>
  <si>
    <t>C0132</t>
  </si>
  <si>
    <t>O00436</t>
  </si>
  <si>
    <t>C0229</t>
  </si>
  <si>
    <t>O00437</t>
  </si>
  <si>
    <t>C0037</t>
  </si>
  <si>
    <t>O00438</t>
  </si>
  <si>
    <t>O00439</t>
  </si>
  <si>
    <t>O00440</t>
  </si>
  <si>
    <t>C0279</t>
  </si>
  <si>
    <t>O00441</t>
  </si>
  <si>
    <t>C0147</t>
  </si>
  <si>
    <t>O00442</t>
  </si>
  <si>
    <t>O00443</t>
  </si>
  <si>
    <t>O00444</t>
  </si>
  <si>
    <t>C0171</t>
  </si>
  <si>
    <t>O00445</t>
  </si>
  <si>
    <t>C0186</t>
  </si>
  <si>
    <t>O00446</t>
  </si>
  <si>
    <t>O00447</t>
  </si>
  <si>
    <t>O00448</t>
  </si>
  <si>
    <t>C0401</t>
  </si>
  <si>
    <t>O00449</t>
  </si>
  <si>
    <t>O00450</t>
  </si>
  <si>
    <t>C0431</t>
  </si>
  <si>
    <t>O00451</t>
  </si>
  <si>
    <t>O00452</t>
  </si>
  <si>
    <t>O00453</t>
  </si>
  <si>
    <t>C0460</t>
  </si>
  <si>
    <t>O00454</t>
  </si>
  <si>
    <t>O00455</t>
  </si>
  <si>
    <t>C0039</t>
  </si>
  <si>
    <t>O00456</t>
  </si>
  <si>
    <t>O00457</t>
  </si>
  <si>
    <t>C0263</t>
  </si>
  <si>
    <t>O00458</t>
  </si>
  <si>
    <t>O00459</t>
  </si>
  <si>
    <t>C0239</t>
  </si>
  <si>
    <t>O00460</t>
  </si>
  <si>
    <t>O00461</t>
  </si>
  <si>
    <t>C0488</t>
  </si>
  <si>
    <t>O00462</t>
  </si>
  <si>
    <t>O00463</t>
  </si>
  <si>
    <t>C0040</t>
  </si>
  <si>
    <t>O00464</t>
  </si>
  <si>
    <t>C0483</t>
  </si>
  <si>
    <t>O00465</t>
  </si>
  <si>
    <t>O00466</t>
  </si>
  <si>
    <t>O00467</t>
  </si>
  <si>
    <t>O00468</t>
  </si>
  <si>
    <t>O00469</t>
  </si>
  <si>
    <t>C0420</t>
  </si>
  <si>
    <t>O00470</t>
  </si>
  <si>
    <t>C0463</t>
  </si>
  <si>
    <t>O00471</t>
  </si>
  <si>
    <t>O00472</t>
  </si>
  <si>
    <t>C0338</t>
  </si>
  <si>
    <t>O00473</t>
  </si>
  <si>
    <t>C0408</t>
  </si>
  <si>
    <t>O00474</t>
  </si>
  <si>
    <t>O00475</t>
  </si>
  <si>
    <t>C0489</t>
  </si>
  <si>
    <t>O00476</t>
  </si>
  <si>
    <t>C0453</t>
  </si>
  <si>
    <t>O00477</t>
  </si>
  <si>
    <t>C0130</t>
  </si>
  <si>
    <t>O00478</t>
  </si>
  <si>
    <t>O00479</t>
  </si>
  <si>
    <t>C0367</t>
  </si>
  <si>
    <t>O00480</t>
  </si>
  <si>
    <t>C0232</t>
  </si>
  <si>
    <t>O00481</t>
  </si>
  <si>
    <t>C0471</t>
  </si>
  <si>
    <t>O00482</t>
  </si>
  <si>
    <t>O00483</t>
  </si>
  <si>
    <t>O00484</t>
  </si>
  <si>
    <t>C0139</t>
  </si>
  <si>
    <t>O00485</t>
  </si>
  <si>
    <t>C0048</t>
  </si>
  <si>
    <t>O00486</t>
  </si>
  <si>
    <t>O00487</t>
  </si>
  <si>
    <t>O00488</t>
  </si>
  <si>
    <t>O00489</t>
  </si>
  <si>
    <t>O00490</t>
  </si>
  <si>
    <t>C0059</t>
  </si>
  <si>
    <t>O00491</t>
  </si>
  <si>
    <t>C0088</t>
  </si>
  <si>
    <t>O00492</t>
  </si>
  <si>
    <t>O00493</t>
  </si>
  <si>
    <t>O00494</t>
  </si>
  <si>
    <t>O00495</t>
  </si>
  <si>
    <t>O00496</t>
  </si>
  <si>
    <t>O00497</t>
  </si>
  <si>
    <t>C0341</t>
  </si>
  <si>
    <t>O00498</t>
  </si>
  <si>
    <t>C0339</t>
  </si>
  <si>
    <t>O00499</t>
  </si>
  <si>
    <t>O00500</t>
  </si>
  <si>
    <t>O00501</t>
  </si>
  <si>
    <t>C0365</t>
  </si>
  <si>
    <t>O00502</t>
  </si>
  <si>
    <t>C0465</t>
  </si>
  <si>
    <t>O00503</t>
  </si>
  <si>
    <t>C0050</t>
  </si>
  <si>
    <t>O00504</t>
  </si>
  <si>
    <t>O00505</t>
  </si>
  <si>
    <t>C0013</t>
  </si>
  <si>
    <t>O00506</t>
  </si>
  <si>
    <t>O00507</t>
  </si>
  <si>
    <t>O00508</t>
  </si>
  <si>
    <t>O00509</t>
  </si>
  <si>
    <t>O00510</t>
  </si>
  <si>
    <t>O00511</t>
  </si>
  <si>
    <t>C0231</t>
  </si>
  <si>
    <t>O00512</t>
  </si>
  <si>
    <t>O00513</t>
  </si>
  <si>
    <t>O00514</t>
  </si>
  <si>
    <t>O00515</t>
  </si>
  <si>
    <t>C0216</t>
  </si>
  <si>
    <t>O00516</t>
  </si>
  <si>
    <t>C0360</t>
  </si>
  <si>
    <t>O00517</t>
  </si>
  <si>
    <t>C0245</t>
  </si>
  <si>
    <t>O00518</t>
  </si>
  <si>
    <t>O00519</t>
  </si>
  <si>
    <t>O00520</t>
  </si>
  <si>
    <t>C0180</t>
  </si>
  <si>
    <t>O00521</t>
  </si>
  <si>
    <t>C0228</t>
  </si>
  <si>
    <t>O00522</t>
  </si>
  <si>
    <t>C0467</t>
  </si>
  <si>
    <t>O00523</t>
  </si>
  <si>
    <t>O00524</t>
  </si>
  <si>
    <t>O00525</t>
  </si>
  <si>
    <t>C0284</t>
  </si>
  <si>
    <t>O00526</t>
  </si>
  <si>
    <t>C0316</t>
  </si>
  <si>
    <t>O00527</t>
  </si>
  <si>
    <t>C0433</t>
  </si>
  <si>
    <t>O00528</t>
  </si>
  <si>
    <t>O00529</t>
  </si>
  <si>
    <t>O00530</t>
  </si>
  <si>
    <t>C0425</t>
  </si>
  <si>
    <t>O00531</t>
  </si>
  <si>
    <t>C0477</t>
  </si>
  <si>
    <t>O00532</t>
  </si>
  <si>
    <t>O00533</t>
  </si>
  <si>
    <t>C0162</t>
  </si>
  <si>
    <t>O00534</t>
  </si>
  <si>
    <t>C0118</t>
  </si>
  <si>
    <t>O00535</t>
  </si>
  <si>
    <t>C0449</t>
  </si>
  <si>
    <t>O00536</t>
  </si>
  <si>
    <t>O00537</t>
  </si>
  <si>
    <t>C0388</t>
  </si>
  <si>
    <t>O00538</t>
  </si>
  <si>
    <t>C0175</t>
  </si>
  <si>
    <t>O00539</t>
  </si>
  <si>
    <t>O00540</t>
  </si>
  <si>
    <t>O00541</t>
  </si>
  <si>
    <t>C0219</t>
  </si>
  <si>
    <t>O00542</t>
  </si>
  <si>
    <t>C0142</t>
  </si>
  <si>
    <t>O00543</t>
  </si>
  <si>
    <t>O00544</t>
  </si>
  <si>
    <t>O00545</t>
  </si>
  <si>
    <t>O00546</t>
  </si>
  <si>
    <t>O00547</t>
  </si>
  <si>
    <t>O00548</t>
  </si>
  <si>
    <t>O00549</t>
  </si>
  <si>
    <t>O00550</t>
  </si>
  <si>
    <t>C0406</t>
  </si>
  <si>
    <t>O00551</t>
  </si>
  <si>
    <t>O00552</t>
  </si>
  <si>
    <t>O00553</t>
  </si>
  <si>
    <t>C0056</t>
  </si>
  <si>
    <t>O00554</t>
  </si>
  <si>
    <t>C0128</t>
  </si>
  <si>
    <t>O00555</t>
  </si>
  <si>
    <t>O00556</t>
  </si>
  <si>
    <t>O00557</t>
  </si>
  <si>
    <t>O00558</t>
  </si>
  <si>
    <t>C0129</t>
  </si>
  <si>
    <t>O00559</t>
  </si>
  <si>
    <t>O00560</t>
  </si>
  <si>
    <t>O00561</t>
  </si>
  <si>
    <t>C0396</t>
  </si>
  <si>
    <t>O00562</t>
  </si>
  <si>
    <t>O00563</t>
  </si>
  <si>
    <t>O00564</t>
  </si>
  <si>
    <t>C0334</t>
  </si>
  <si>
    <t>O00565</t>
  </si>
  <si>
    <t>O00566</t>
  </si>
  <si>
    <t>O00567</t>
  </si>
  <si>
    <t>C0377</t>
  </si>
  <si>
    <t>O00568</t>
  </si>
  <si>
    <t>C0009</t>
  </si>
  <si>
    <t>O00569</t>
  </si>
  <si>
    <t>O00570</t>
  </si>
  <si>
    <t>O00571</t>
  </si>
  <si>
    <t>O00572</t>
  </si>
  <si>
    <t>C0487</t>
  </si>
  <si>
    <t>O00573</t>
  </si>
  <si>
    <t>C0473</t>
  </si>
  <si>
    <t>O00574</t>
  </si>
  <si>
    <t>O00575</t>
  </si>
  <si>
    <t>C0192</t>
  </si>
  <si>
    <t>O00576</t>
  </si>
  <si>
    <t>C0340</t>
  </si>
  <si>
    <t>O00577</t>
  </si>
  <si>
    <t>O00578</t>
  </si>
  <si>
    <t>C0352</t>
  </si>
  <si>
    <t>O00579</t>
  </si>
  <si>
    <t>O00580</t>
  </si>
  <si>
    <t>O00581</t>
  </si>
  <si>
    <t>C0413</t>
  </si>
  <si>
    <t>O00582</t>
  </si>
  <si>
    <t>O00583</t>
  </si>
  <si>
    <t>O00584</t>
  </si>
  <si>
    <t>O00585</t>
  </si>
  <si>
    <t>O00586</t>
  </si>
  <si>
    <t>O00587</t>
  </si>
  <si>
    <t>C0356</t>
  </si>
  <si>
    <t>O00588</t>
  </si>
  <si>
    <t>O00589</t>
  </si>
  <si>
    <t>C0302</t>
  </si>
  <si>
    <t>O00590</t>
  </si>
  <si>
    <t>O00591</t>
  </si>
  <si>
    <t>O00592</t>
  </si>
  <si>
    <t>O00593</t>
  </si>
  <si>
    <t>O00594</t>
  </si>
  <si>
    <t>O00595</t>
  </si>
  <si>
    <t>C0443</t>
  </si>
  <si>
    <t>O00596</t>
  </si>
  <si>
    <t>C0309</t>
  </si>
  <si>
    <t>O00597</t>
  </si>
  <si>
    <t>C0241</t>
  </si>
  <si>
    <t>O00598</t>
  </si>
  <si>
    <t>O00599</t>
  </si>
  <si>
    <t>C0152</t>
  </si>
  <si>
    <t>O00600</t>
  </si>
  <si>
    <t>O00601</t>
  </si>
  <si>
    <t>C0007</t>
  </si>
  <si>
    <t>O00602</t>
  </si>
  <si>
    <t>O00603</t>
  </si>
  <si>
    <t>C0468</t>
  </si>
  <si>
    <t>O00604</t>
  </si>
  <si>
    <t>O00605</t>
  </si>
  <si>
    <t>O00606</t>
  </si>
  <si>
    <t>O00607</t>
  </si>
  <si>
    <t>O00608</t>
  </si>
  <si>
    <t>O00609</t>
  </si>
  <si>
    <t>O00610</t>
  </si>
  <si>
    <t>O00611</t>
  </si>
  <si>
    <t>O00612</t>
  </si>
  <si>
    <t>O00613</t>
  </si>
  <si>
    <t>O00614</t>
  </si>
  <si>
    <t>C0397</t>
  </si>
  <si>
    <t>O00615</t>
  </si>
  <si>
    <t>O00616</t>
  </si>
  <si>
    <t>O00617</t>
  </si>
  <si>
    <t>C0295</t>
  </si>
  <si>
    <t>O00618</t>
  </si>
  <si>
    <t>O00619</t>
  </si>
  <si>
    <t>O00620</t>
  </si>
  <si>
    <t>O00621</t>
  </si>
  <si>
    <t>C0450</t>
  </si>
  <si>
    <t>O00622</t>
  </si>
  <si>
    <t>O00623</t>
  </si>
  <si>
    <t>C0429</t>
  </si>
  <si>
    <t>O00624</t>
  </si>
  <si>
    <t>O00625</t>
  </si>
  <si>
    <t>O00626</t>
  </si>
  <si>
    <t>O00627</t>
  </si>
  <si>
    <t>O00628</t>
  </si>
  <si>
    <t>C0113</t>
  </si>
  <si>
    <t>O00629</t>
  </si>
  <si>
    <t>C0364</t>
  </si>
  <si>
    <t>O00630</t>
  </si>
  <si>
    <t>O00631</t>
  </si>
  <si>
    <t>O00632</t>
  </si>
  <si>
    <t>C0500</t>
  </si>
  <si>
    <t>O00633</t>
  </si>
  <si>
    <t>O00634</t>
  </si>
  <si>
    <t>O00635</t>
  </si>
  <si>
    <t>C0492</t>
  </si>
  <si>
    <t>O00636</t>
  </si>
  <si>
    <t>O00637</t>
  </si>
  <si>
    <t>O00638</t>
  </si>
  <si>
    <t>O00639</t>
  </si>
  <si>
    <t>O00640</t>
  </si>
  <si>
    <t>O00641</t>
  </si>
  <si>
    <t>O00642</t>
  </si>
  <si>
    <t>C0485</t>
  </si>
  <si>
    <t>O00643</t>
  </si>
  <si>
    <t>O00644</t>
  </si>
  <si>
    <t>O00645</t>
  </si>
  <si>
    <t>O00646</t>
  </si>
  <si>
    <t>O00647</t>
  </si>
  <si>
    <t>O00648</t>
  </si>
  <si>
    <t>O00649</t>
  </si>
  <si>
    <t>O00650</t>
  </si>
  <si>
    <t>C0224</t>
  </si>
  <si>
    <t>O00651</t>
  </si>
  <si>
    <t>C0486</t>
  </si>
  <si>
    <t>O00652</t>
  </si>
  <si>
    <t>O00653</t>
  </si>
  <si>
    <t>C0357</t>
  </si>
  <si>
    <t>O00654</t>
  </si>
  <si>
    <t>O00655</t>
  </si>
  <si>
    <t>O00656</t>
  </si>
  <si>
    <t>O00657</t>
  </si>
  <si>
    <t>C0266</t>
  </si>
  <si>
    <t>O00658</t>
  </si>
  <si>
    <t>O00659</t>
  </si>
  <si>
    <t>O00660</t>
  </si>
  <si>
    <t>C0248</t>
  </si>
  <si>
    <t>O00661</t>
  </si>
  <si>
    <t>C0329</t>
  </si>
  <si>
    <t>O00662</t>
  </si>
  <si>
    <t>O00663</t>
  </si>
  <si>
    <t>O00664</t>
  </si>
  <si>
    <t>C0133</t>
  </si>
  <si>
    <t>O00665</t>
  </si>
  <si>
    <t>O00666</t>
  </si>
  <si>
    <t>O00667</t>
  </si>
  <si>
    <t>O00668</t>
  </si>
  <si>
    <t>O00669</t>
  </si>
  <si>
    <t>O00670</t>
  </si>
  <si>
    <t>O00671</t>
  </si>
  <si>
    <t>O00672</t>
  </si>
  <si>
    <t>O00673</t>
  </si>
  <si>
    <t>O00674</t>
  </si>
  <si>
    <t>O00675</t>
  </si>
  <si>
    <t>C0342</t>
  </si>
  <si>
    <t>O00676</t>
  </si>
  <si>
    <t>C0272</t>
  </si>
  <si>
    <t>O00677</t>
  </si>
  <si>
    <t>O00678</t>
  </si>
  <si>
    <t>O00679</t>
  </si>
  <si>
    <t>O00680</t>
  </si>
  <si>
    <t>O00681</t>
  </si>
  <si>
    <t>C0464</t>
  </si>
  <si>
    <t>O00682</t>
  </si>
  <si>
    <t>O00683</t>
  </si>
  <si>
    <t>O00684</t>
  </si>
  <si>
    <t>O00685</t>
  </si>
  <si>
    <t>C0047</t>
  </si>
  <si>
    <t>O00686</t>
  </si>
  <si>
    <t>O00687</t>
  </si>
  <si>
    <t>O00688</t>
  </si>
  <si>
    <t>C0031</t>
  </si>
  <si>
    <t>O00689</t>
  </si>
  <si>
    <t>O00690</t>
  </si>
  <si>
    <t>O00691</t>
  </si>
  <si>
    <t>O00692</t>
  </si>
  <si>
    <t>O00693</t>
  </si>
  <si>
    <t>O00694</t>
  </si>
  <si>
    <t>O00695</t>
  </si>
  <si>
    <t>C0262</t>
  </si>
  <si>
    <t>O00696</t>
  </si>
  <si>
    <t>O00697</t>
  </si>
  <si>
    <t>O00698</t>
  </si>
  <si>
    <t>O00699</t>
  </si>
  <si>
    <t>O00700</t>
  </si>
  <si>
    <t>O00701</t>
  </si>
  <si>
    <t>O00702</t>
  </si>
  <si>
    <t>O00703</t>
  </si>
  <si>
    <t>O00704</t>
  </si>
  <si>
    <t>C0172</t>
  </si>
  <si>
    <t>O00705</t>
  </si>
  <si>
    <t>O00706</t>
  </si>
  <si>
    <t>C0472</t>
  </si>
  <si>
    <t>O00707</t>
  </si>
  <si>
    <t>O00708</t>
  </si>
  <si>
    <t>C0234</t>
  </si>
  <si>
    <t>O00709</t>
  </si>
  <si>
    <t>C0012</t>
  </si>
  <si>
    <t>O00710</t>
  </si>
  <si>
    <t>O00711</t>
  </si>
  <si>
    <t>O00712</t>
  </si>
  <si>
    <t>O00713</t>
  </si>
  <si>
    <t>O00714</t>
  </si>
  <si>
    <t>C0268</t>
  </si>
  <si>
    <t>O00715</t>
  </si>
  <si>
    <t>O00716</t>
  </si>
  <si>
    <t>O00717</t>
  </si>
  <si>
    <t>O00718</t>
  </si>
  <si>
    <t>O00719</t>
  </si>
  <si>
    <t>C0384</t>
  </si>
  <si>
    <t>O00720</t>
  </si>
  <si>
    <t>O00721</t>
  </si>
  <si>
    <t>O00722</t>
  </si>
  <si>
    <t>O00723</t>
  </si>
  <si>
    <t>C0363</t>
  </si>
  <si>
    <t>O00724</t>
  </si>
  <si>
    <t>O00725</t>
  </si>
  <si>
    <t>O00726</t>
  </si>
  <si>
    <t>O00727</t>
  </si>
  <si>
    <t>O00728</t>
  </si>
  <si>
    <t>O00729</t>
  </si>
  <si>
    <t>C0287</t>
  </si>
  <si>
    <t>O00730</t>
  </si>
  <si>
    <t>O00731</t>
  </si>
  <si>
    <t>C0307</t>
  </si>
  <si>
    <t>O00732</t>
  </si>
  <si>
    <t>C0405</t>
  </si>
  <si>
    <t>O00733</t>
  </si>
  <si>
    <t>O00734</t>
  </si>
  <si>
    <t>C0093</t>
  </si>
  <si>
    <t>O00735</t>
  </si>
  <si>
    <t>C0320</t>
  </si>
  <si>
    <t>O00736</t>
  </si>
  <si>
    <t>O00737</t>
  </si>
  <si>
    <t>O00738</t>
  </si>
  <si>
    <t>C0256</t>
  </si>
  <si>
    <t>O00739</t>
  </si>
  <si>
    <t>O00740</t>
  </si>
  <si>
    <t>O00741</t>
  </si>
  <si>
    <t>O00742</t>
  </si>
  <si>
    <t>O00743</t>
  </si>
  <si>
    <t>O00744</t>
  </si>
  <si>
    <t>O00745</t>
  </si>
  <si>
    <t>O00746</t>
  </si>
  <si>
    <t>O00747</t>
  </si>
  <si>
    <t>O00748</t>
  </si>
  <si>
    <t>C0223</t>
  </si>
  <si>
    <t>O00749</t>
  </si>
  <si>
    <t>O00750</t>
  </si>
  <si>
    <t>O00751</t>
  </si>
  <si>
    <t>O00752</t>
  </si>
  <si>
    <t>O00753</t>
  </si>
  <si>
    <t>O00754</t>
  </si>
  <si>
    <t>O00755</t>
  </si>
  <si>
    <t>O00756</t>
  </si>
  <si>
    <t>O00757</t>
  </si>
  <si>
    <t>C0121</t>
  </si>
  <si>
    <t>O00758</t>
  </si>
  <si>
    <t>O00759</t>
  </si>
  <si>
    <t>O00760</t>
  </si>
  <si>
    <t>O00761</t>
  </si>
  <si>
    <t>O00762</t>
  </si>
  <si>
    <t>O00763</t>
  </si>
  <si>
    <t>C0301</t>
  </si>
  <si>
    <t>O00764</t>
  </si>
  <si>
    <t>C0238</t>
  </si>
  <si>
    <t>O00765</t>
  </si>
  <si>
    <t>O00766</t>
  </si>
  <si>
    <t>O00767</t>
  </si>
  <si>
    <t>O00768</t>
  </si>
  <si>
    <t>O00769</t>
  </si>
  <si>
    <t>C0027</t>
  </si>
  <si>
    <t>O00770</t>
  </si>
  <si>
    <t>C0051</t>
  </si>
  <si>
    <t>O00771</t>
  </si>
  <si>
    <t>O00772</t>
  </si>
  <si>
    <t>O00773</t>
  </si>
  <si>
    <t>O00774</t>
  </si>
  <si>
    <t>O00775</t>
  </si>
  <si>
    <t>O00776</t>
  </si>
  <si>
    <t>O00777</t>
  </si>
  <si>
    <t>O00778</t>
  </si>
  <si>
    <t>C0296</t>
  </si>
  <si>
    <t>O00779</t>
  </si>
  <si>
    <t>O00780</t>
  </si>
  <si>
    <t>O00781</t>
  </si>
  <si>
    <t>O00782</t>
  </si>
  <si>
    <t>O00783</t>
  </si>
  <si>
    <t>O00784</t>
  </si>
  <si>
    <t>O00785</t>
  </si>
  <si>
    <t>O00786</t>
  </si>
  <si>
    <t>O00787</t>
  </si>
  <si>
    <t>O00788</t>
  </si>
  <si>
    <t>O00789</t>
  </si>
  <si>
    <t>O00790</t>
  </si>
  <si>
    <t>O00791</t>
  </si>
  <si>
    <t>O00792</t>
  </si>
  <si>
    <t>C0349</t>
  </si>
  <si>
    <t>O00793</t>
  </si>
  <si>
    <t>C0330</t>
  </si>
  <si>
    <t>O00794</t>
  </si>
  <si>
    <t>O00795</t>
  </si>
  <si>
    <t>O00796</t>
  </si>
  <si>
    <t>O00797</t>
  </si>
  <si>
    <t>O00798</t>
  </si>
  <si>
    <t>O00799</t>
  </si>
  <si>
    <t>O00800</t>
  </si>
  <si>
    <t>O00801</t>
  </si>
  <si>
    <t>O00802</t>
  </si>
  <si>
    <t>O00803</t>
  </si>
  <si>
    <t>O00804</t>
  </si>
  <si>
    <t>O00805</t>
  </si>
  <si>
    <t>C0371</t>
  </si>
  <si>
    <t>O00806</t>
  </si>
  <si>
    <t>O00807</t>
  </si>
  <si>
    <t>O00808</t>
  </si>
  <si>
    <t>O00809</t>
  </si>
  <si>
    <t>C0110</t>
  </si>
  <si>
    <t>O00810</t>
  </si>
  <si>
    <t>O00811</t>
  </si>
  <si>
    <t>O00812</t>
  </si>
  <si>
    <t>O00813</t>
  </si>
  <si>
    <t>O00814</t>
  </si>
  <si>
    <t>O00815</t>
  </si>
  <si>
    <t>O00816</t>
  </si>
  <si>
    <t>O00817</t>
  </si>
  <si>
    <t>O00818</t>
  </si>
  <si>
    <t>O00819</t>
  </si>
  <si>
    <t>O00820</t>
  </si>
  <si>
    <t>O00821</t>
  </si>
  <si>
    <t>C0407</t>
  </si>
  <si>
    <t>O00822</t>
  </si>
  <si>
    <t>O00823</t>
  </si>
  <si>
    <t>O00824</t>
  </si>
  <si>
    <t>O00825</t>
  </si>
  <si>
    <t>O00826</t>
  </si>
  <si>
    <t>O00827</t>
  </si>
  <si>
    <t>O00828</t>
  </si>
  <si>
    <t>O00829</t>
  </si>
  <si>
    <t>C0436</t>
  </si>
  <si>
    <t>O00830</t>
  </si>
  <si>
    <t>O00831</t>
  </si>
  <si>
    <t>C0143</t>
  </si>
  <si>
    <t>O00832</t>
  </si>
  <si>
    <t>O00833</t>
  </si>
  <si>
    <t>C0177</t>
  </si>
  <si>
    <t>O00834</t>
  </si>
  <si>
    <t>O00835</t>
  </si>
  <si>
    <t>O00836</t>
  </si>
  <si>
    <t>C0098</t>
  </si>
  <si>
    <t>O00837</t>
  </si>
  <si>
    <t>C0151</t>
  </si>
  <si>
    <t>O00838</t>
  </si>
  <si>
    <t>O00839</t>
  </si>
  <si>
    <t>O00840</t>
  </si>
  <si>
    <t>O00841</t>
  </si>
  <si>
    <t>O00842</t>
  </si>
  <si>
    <t>O00843</t>
  </si>
  <si>
    <t>O00844</t>
  </si>
  <si>
    <t>O00845</t>
  </si>
  <si>
    <t>O00846</t>
  </si>
  <si>
    <t>O00847</t>
  </si>
  <si>
    <t>O00848</t>
  </si>
  <si>
    <t>O00849</t>
  </si>
  <si>
    <t>O00850</t>
  </si>
  <si>
    <t>C0188</t>
  </si>
  <si>
    <t>O00851</t>
  </si>
  <si>
    <t>O00852</t>
  </si>
  <si>
    <t>O00853</t>
  </si>
  <si>
    <t>O00854</t>
  </si>
  <si>
    <t>C0271</t>
  </si>
  <si>
    <t>O00855</t>
  </si>
  <si>
    <t>O00856</t>
  </si>
  <si>
    <t>C0494</t>
  </si>
  <si>
    <t>O00857</t>
  </si>
  <si>
    <t>O00858</t>
  </si>
  <si>
    <t>O00859</t>
  </si>
  <si>
    <t>O00860</t>
  </si>
  <si>
    <t>O00861</t>
  </si>
  <si>
    <t>O00862</t>
  </si>
  <si>
    <t>C0165</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</si>
  <si>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</si>
  <si>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</si>
  <si>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</si>
  <si>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</si>
  <si>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</si>
  <si>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</si>
  <si>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</si>
  <si>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</si>
  <si>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</si>
  <si>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</si>
  <si>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</si>
  <si>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</si>
  <si>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</si>
  <si>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</si>
  <si>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</si>
  <si>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</si>
  <si>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</si>
  <si>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</si>
  <si>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</si>
  <si>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</si>
  <si>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</si>
  <si>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</si>
  <si>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C0094</t>
  </si>
  <si>
    <t>O00885</t>
  </si>
  <si>
    <t>O00886</t>
  </si>
  <si>
    <t>O00887</t>
  </si>
  <si>
    <t>O00888</t>
  </si>
  <si>
    <t>O00889</t>
  </si>
  <si>
    <t>O00890</t>
  </si>
  <si>
    <t>O00891</t>
  </si>
  <si>
    <t>C0029</t>
  </si>
  <si>
    <t>O00892</t>
  </si>
  <si>
    <t>O00893</t>
  </si>
  <si>
    <t>O00894</t>
  </si>
  <si>
    <t>O00895</t>
  </si>
  <si>
    <t>O00896</t>
  </si>
  <si>
    <t>O00897</t>
  </si>
  <si>
    <t>O00898</t>
  </si>
  <si>
    <t>O00899</t>
  </si>
  <si>
    <t>O00900</t>
  </si>
  <si>
    <t>C0209</t>
  </si>
  <si>
    <t>O00901</t>
  </si>
  <si>
    <t>C0206</t>
  </si>
  <si>
    <t>O00902</t>
  </si>
  <si>
    <t>O00903</t>
  </si>
  <si>
    <t>O00904</t>
  </si>
  <si>
    <t>O00905</t>
  </si>
  <si>
    <t>C0315</t>
  </si>
  <si>
    <t>O00906</t>
  </si>
  <si>
    <t>C0350</t>
  </si>
  <si>
    <t>O00907</t>
  </si>
  <si>
    <t>C0026</t>
  </si>
  <si>
    <t>O00908</t>
  </si>
  <si>
    <t>O00909</t>
  </si>
  <si>
    <t>O00910</t>
  </si>
  <si>
    <t>O00911</t>
  </si>
  <si>
    <t>O00912</t>
  </si>
  <si>
    <t>O00913</t>
  </si>
  <si>
    <t>O00914</t>
  </si>
  <si>
    <t>O00915</t>
  </si>
  <si>
    <t>O00916</t>
  </si>
  <si>
    <t>O00917</t>
  </si>
  <si>
    <t>O00918</t>
  </si>
  <si>
    <t>C0198</t>
  </si>
  <si>
    <t>O00919</t>
  </si>
  <si>
    <t>O00920</t>
  </si>
  <si>
    <t>O00921</t>
  </si>
  <si>
    <t>C0131</t>
  </si>
  <si>
    <t>O00922</t>
  </si>
  <si>
    <t>O00923</t>
  </si>
  <si>
    <t>O00924</t>
  </si>
  <si>
    <t>C0063</t>
  </si>
  <si>
    <t>O00925</t>
  </si>
  <si>
    <t>O00926</t>
  </si>
  <si>
    <t>O00927</t>
  </si>
  <si>
    <t>O00928</t>
  </si>
  <si>
    <t>O00929</t>
  </si>
  <si>
    <t>O00930</t>
  </si>
  <si>
    <t>O00931</t>
  </si>
  <si>
    <t>C0355</t>
  </si>
  <si>
    <t>O00932</t>
  </si>
  <si>
    <t>C0185</t>
  </si>
  <si>
    <t>O00933</t>
  </si>
  <si>
    <t>O00934</t>
  </si>
  <si>
    <t>C0470</t>
  </si>
  <si>
    <t>O00935</t>
  </si>
  <si>
    <t>C0481</t>
  </si>
  <si>
    <t>O00936</t>
  </si>
  <si>
    <t>O00937</t>
  </si>
  <si>
    <t>C0403</t>
  </si>
  <si>
    <t>O00938</t>
  </si>
  <si>
    <t>O00939</t>
  </si>
  <si>
    <t>O00940</t>
  </si>
  <si>
    <t>O00941</t>
  </si>
  <si>
    <t>O00942</t>
  </si>
  <si>
    <t>O00943</t>
  </si>
  <si>
    <t>C0410</t>
  </si>
  <si>
    <t>O00944</t>
  </si>
  <si>
    <t>O00945</t>
  </si>
  <si>
    <t>O00946</t>
  </si>
  <si>
    <t>O00947</t>
  </si>
  <si>
    <t>C0495</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</si>
  <si>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</si>
  <si>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</si>
  <si>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</si>
  <si>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</si>
  <si>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</si>
  <si>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</si>
  <si>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</si>
  <si>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</si>
  <si>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</si>
  <si>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</si>
  <si>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</si>
  <si>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</si>
  <si>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</si>
  <si>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</si>
  <si>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</si>
  <si>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</si>
  <si>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</si>
  <si>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</si>
  <si>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</si>
  <si>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</si>
  <si>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C0042</t>
  </si>
  <si>
    <t>O00968</t>
  </si>
  <si>
    <t>O00969</t>
  </si>
  <si>
    <t>O00970</t>
  </si>
  <si>
    <t>C0348</t>
  </si>
  <si>
    <t>O00971</t>
  </si>
  <si>
    <t>O00972</t>
  </si>
  <si>
    <t>O00973</t>
  </si>
  <si>
    <t>O00974</t>
  </si>
  <si>
    <t>O00975</t>
  </si>
  <si>
    <t>O00976</t>
  </si>
  <si>
    <t>O00977</t>
  </si>
  <si>
    <t>C0291</t>
  </si>
  <si>
    <t>O00978</t>
  </si>
  <si>
    <t>O00979</t>
  </si>
  <si>
    <t>O00980</t>
  </si>
  <si>
    <t>O00981</t>
  </si>
  <si>
    <t>O00982</t>
  </si>
  <si>
    <t>O00983</t>
  </si>
  <si>
    <t>O00984</t>
  </si>
  <si>
    <t>C0076</t>
  </si>
  <si>
    <t>O00985</t>
  </si>
  <si>
    <t>O00986</t>
  </si>
  <si>
    <t>O00987</t>
  </si>
  <si>
    <t>O00988</t>
  </si>
  <si>
    <t>O00989</t>
  </si>
  <si>
    <t>O00990</t>
  </si>
  <si>
    <t>O00991</t>
  </si>
  <si>
    <t>O00992</t>
  </si>
  <si>
    <t>O00993</t>
  </si>
  <si>
    <t>O00994</t>
  </si>
  <si>
    <t>O00995</t>
  </si>
  <si>
    <t>O00996</t>
  </si>
  <si>
    <t>O00997</t>
  </si>
  <si>
    <t>C0145</t>
  </si>
  <si>
    <t>O00998</t>
  </si>
  <si>
    <t>O00999</t>
  </si>
  <si>
    <t>O01000</t>
  </si>
  <si>
    <t>O01001</t>
  </si>
  <si>
    <t>O01002</t>
  </si>
  <si>
    <t>C0292</t>
  </si>
  <si>
    <t>O01003</t>
  </si>
  <si>
    <t>C0304</t>
  </si>
  <si>
    <t>O01004</t>
  </si>
  <si>
    <t>O01005</t>
  </si>
  <si>
    <t>O01006</t>
  </si>
  <si>
    <t>O01007</t>
  </si>
  <si>
    <t>O01008</t>
  </si>
  <si>
    <t>O01009</t>
  </si>
  <si>
    <t>O01010</t>
  </si>
  <si>
    <t>O01011</t>
  </si>
  <si>
    <t>O01012</t>
  </si>
  <si>
    <t>O01013</t>
  </si>
  <si>
    <t>O01014</t>
  </si>
  <si>
    <t>O01015</t>
  </si>
  <si>
    <t>C0415</t>
  </si>
  <si>
    <t>O01016</t>
  </si>
  <si>
    <t>O01017</t>
  </si>
  <si>
    <t>O01018</t>
  </si>
  <si>
    <t>C0394</t>
  </si>
  <si>
    <t>O01019</t>
  </si>
  <si>
    <t>O01020</t>
  </si>
  <si>
    <t>O01021</t>
  </si>
  <si>
    <t>O01022</t>
  </si>
  <si>
    <t>O01023</t>
  </si>
  <si>
    <t>O01024</t>
  </si>
  <si>
    <t>O01025</t>
  </si>
  <si>
    <t>O01026</t>
  </si>
  <si>
    <t>O01027</t>
  </si>
  <si>
    <t>O01028</t>
  </si>
  <si>
    <t>C0153</t>
  </si>
  <si>
    <t>O01029</t>
  </si>
  <si>
    <t>O01030</t>
  </si>
  <si>
    <t>O01031</t>
  </si>
  <si>
    <t>O01032</t>
  </si>
  <si>
    <t>O01033</t>
  </si>
  <si>
    <t>C0173</t>
  </si>
  <si>
    <t>O01034</t>
  </si>
  <si>
    <t>O01035</t>
  </si>
  <si>
    <t>O01036</t>
  </si>
  <si>
    <t>O01037</t>
  </si>
  <si>
    <t>O01038</t>
  </si>
  <si>
    <t>O01039</t>
  </si>
  <si>
    <t>O01040</t>
  </si>
  <si>
    <t>O01041</t>
  </si>
  <si>
    <t>C0176</t>
  </si>
  <si>
    <t>O01042</t>
  </si>
  <si>
    <t>C0211</t>
  </si>
  <si>
    <t>O01043</t>
  </si>
  <si>
    <t>O01044</t>
  </si>
  <si>
    <t>O01045</t>
  </si>
  <si>
    <t>O01046</t>
  </si>
  <si>
    <t>O01047</t>
  </si>
  <si>
    <t>C0213</t>
  </si>
  <si>
    <t>O01048</t>
  </si>
  <si>
    <t>C0207</t>
  </si>
  <si>
    <t>O01049</t>
  </si>
  <si>
    <t>O01050</t>
  </si>
  <si>
    <t>O01051</t>
  </si>
  <si>
    <t>O01052</t>
  </si>
  <si>
    <t>O01053</t>
  </si>
  <si>
    <t>O01054</t>
  </si>
  <si>
    <t>O01055</t>
  </si>
  <si>
    <t>O01056</t>
  </si>
  <si>
    <t>O01057</t>
  </si>
  <si>
    <t>C0427</t>
  </si>
  <si>
    <t>O01058</t>
  </si>
  <si>
    <t>O01059</t>
  </si>
  <si>
    <t>O01060</t>
  </si>
  <si>
    <t>O01061</t>
  </si>
  <si>
    <t>O01062</t>
  </si>
  <si>
    <t>O01063</t>
  </si>
  <si>
    <t>O01064</t>
  </si>
  <si>
    <t>O01065</t>
  </si>
  <si>
    <t>O01066</t>
  </si>
  <si>
    <t>O01067</t>
  </si>
  <si>
    <t>O01068</t>
  </si>
  <si>
    <t>O01069</t>
  </si>
  <si>
    <t>C0154</t>
  </si>
  <si>
    <t>O01070</t>
  </si>
  <si>
    <t>O01071</t>
  </si>
  <si>
    <t>O01072</t>
  </si>
  <si>
    <t>O01073</t>
  </si>
  <si>
    <t>O01074</t>
  </si>
  <si>
    <t>O01075</t>
  </si>
  <si>
    <t>O01076</t>
  </si>
  <si>
    <t>O01077</t>
  </si>
  <si>
    <t>C0157</t>
  </si>
  <si>
    <t>O01078</t>
  </si>
  <si>
    <t>O01079</t>
  </si>
  <si>
    <t>C0136</t>
  </si>
  <si>
    <t>O01080</t>
  </si>
  <si>
    <t>O01081</t>
  </si>
  <si>
    <t>O01082</t>
  </si>
  <si>
    <t>O01083</t>
  </si>
  <si>
    <t>O01084</t>
  </si>
  <si>
    <t>O01085</t>
  </si>
  <si>
    <t>O01086</t>
  </si>
  <si>
    <t>O01087</t>
  </si>
  <si>
    <t>O01088</t>
  </si>
  <si>
    <t>O01089</t>
  </si>
  <si>
    <t>O01090</t>
  </si>
  <si>
    <t>O01091</t>
  </si>
  <si>
    <t>O01092</t>
  </si>
  <si>
    <t>O01093</t>
  </si>
  <si>
    <t>O01094</t>
  </si>
  <si>
    <t>O01095</t>
  </si>
  <si>
    <t>O01096</t>
  </si>
  <si>
    <t>O01097</t>
  </si>
  <si>
    <t>O01098</t>
  </si>
  <si>
    <t>O01099</t>
  </si>
  <si>
    <t>O01100</t>
  </si>
  <si>
    <t>O01101</t>
  </si>
  <si>
    <t>O01102</t>
  </si>
  <si>
    <t>C0362</t>
  </si>
  <si>
    <t>O01103</t>
  </si>
  <si>
    <t>O01104</t>
  </si>
  <si>
    <t>C0049</t>
  </si>
  <si>
    <t>O01105</t>
  </si>
  <si>
    <t>O01106</t>
  </si>
  <si>
    <t>C0235</t>
  </si>
  <si>
    <t>O01107</t>
  </si>
  <si>
    <t>C0385</t>
  </si>
  <si>
    <t>O01108</t>
  </si>
  <si>
    <t>O01109</t>
  </si>
  <si>
    <t>O01110</t>
  </si>
  <si>
    <t>O01111</t>
  </si>
  <si>
    <t>O01112</t>
  </si>
  <si>
    <t>O01113</t>
  </si>
  <si>
    <t>O01114</t>
  </si>
  <si>
    <t>O01115</t>
  </si>
  <si>
    <t>O01116</t>
  </si>
  <si>
    <t>O01117</t>
  </si>
  <si>
    <t>O01118</t>
  </si>
  <si>
    <t>C0169</t>
  </si>
  <si>
    <t>O01119</t>
  </si>
  <si>
    <t>O01120</t>
  </si>
  <si>
    <t>O01121</t>
  </si>
  <si>
    <t>O01122</t>
  </si>
  <si>
    <t>C0409</t>
  </si>
  <si>
    <t>O01123</t>
  </si>
  <si>
    <t>O01124</t>
  </si>
  <si>
    <t>O01125</t>
  </si>
  <si>
    <t>O01126</t>
  </si>
  <si>
    <t>O01127</t>
  </si>
  <si>
    <t>O01128</t>
  </si>
  <si>
    <t>O01129</t>
  </si>
  <si>
    <t>O01130</t>
  </si>
  <si>
    <t>O01131</t>
  </si>
  <si>
    <t>O01132</t>
  </si>
  <si>
    <t>O01133</t>
  </si>
  <si>
    <t>O01134</t>
  </si>
  <si>
    <t>O01135</t>
  </si>
  <si>
    <t>C0404</t>
  </si>
  <si>
    <t>O01136</t>
  </si>
  <si>
    <t>O01137</t>
  </si>
  <si>
    <t>O01138</t>
  </si>
  <si>
    <t>O01139</t>
  </si>
  <si>
    <t>C0120</t>
  </si>
  <si>
    <t>O01140</t>
  </si>
  <si>
    <t>O01141</t>
  </si>
  <si>
    <t>O01142</t>
  </si>
  <si>
    <t>O01143</t>
  </si>
  <si>
    <t>C0314</t>
  </si>
  <si>
    <t>O01144</t>
  </si>
  <si>
    <t>O01145</t>
  </si>
  <si>
    <t>O01146</t>
  </si>
  <si>
    <t>O01147</t>
  </si>
  <si>
    <t>O01148</t>
  </si>
  <si>
    <t>O01149</t>
  </si>
  <si>
    <t>O01150</t>
  </si>
  <si>
    <t>O01151</t>
  </si>
  <si>
    <t>O01152</t>
  </si>
  <si>
    <t>O01153</t>
  </si>
  <si>
    <t>O01154</t>
  </si>
  <si>
    <t>O01155</t>
  </si>
  <si>
    <t>O01156</t>
  </si>
  <si>
    <t>O01157</t>
  </si>
  <si>
    <t>O01158</t>
  </si>
  <si>
    <t>O01159</t>
  </si>
  <si>
    <t>C0379</t>
  </si>
  <si>
    <t>O01160</t>
  </si>
  <si>
    <t>O01161</t>
  </si>
  <si>
    <t>O01162</t>
  </si>
  <si>
    <t>O01163</t>
  </si>
  <si>
    <t>O01164</t>
  </si>
  <si>
    <t>O01165</t>
  </si>
  <si>
    <t>O01166</t>
  </si>
  <si>
    <t>O01167</t>
  </si>
  <si>
    <t>O01168</t>
  </si>
  <si>
    <t>O01169</t>
  </si>
  <si>
    <t>O01170</t>
  </si>
  <si>
    <t>O01171</t>
  </si>
  <si>
    <t>O01172</t>
  </si>
  <si>
    <t>O01173</t>
  </si>
  <si>
    <t>O01174</t>
  </si>
  <si>
    <t>O01175</t>
  </si>
  <si>
    <t>O01176</t>
  </si>
  <si>
    <t>C0469</t>
  </si>
  <si>
    <t>O01177</t>
  </si>
  <si>
    <t>O01178</t>
  </si>
  <si>
    <t>O01179</t>
  </si>
  <si>
    <t>C0392</t>
  </si>
  <si>
    <t>O01180</t>
  </si>
  <si>
    <t>O01181</t>
  </si>
  <si>
    <t>C0135</t>
  </si>
  <si>
    <t>O01182</t>
  </si>
  <si>
    <t>O01183</t>
  </si>
  <si>
    <t>O01184</t>
  </si>
  <si>
    <t>O01185</t>
  </si>
  <si>
    <t>O01186</t>
  </si>
  <si>
    <t>O01187</t>
  </si>
  <si>
    <t>O01188</t>
  </si>
  <si>
    <t>O01189</t>
  </si>
  <si>
    <t>O01190</t>
  </si>
  <si>
    <t>O01191</t>
  </si>
  <si>
    <t>O01192</t>
  </si>
  <si>
    <t>O01193</t>
  </si>
  <si>
    <t>O01194</t>
  </si>
  <si>
    <t>O01195</t>
  </si>
  <si>
    <t>O01196</t>
  </si>
  <si>
    <t>O01197</t>
  </si>
  <si>
    <t>O01198</t>
  </si>
  <si>
    <t>O01199</t>
  </si>
  <si>
    <t>O01200</t>
  </si>
  <si>
    <t>O01201</t>
  </si>
  <si>
    <t>C0243</t>
  </si>
  <si>
    <t>O01202</t>
  </si>
  <si>
    <t>O01203</t>
  </si>
  <si>
    <t>O01204</t>
  </si>
  <si>
    <t>O01205</t>
  </si>
  <si>
    <t>O01206</t>
  </si>
  <si>
    <t>O01207</t>
  </si>
  <si>
    <t>O01208</t>
  </si>
  <si>
    <t>O01209</t>
  </si>
  <si>
    <t>C0368</t>
  </si>
  <si>
    <t>O01210</t>
  </si>
  <si>
    <t>O01211</t>
  </si>
  <si>
    <t>O01212</t>
  </si>
  <si>
    <t>O01213</t>
  </si>
  <si>
    <t>O01214</t>
  </si>
  <si>
    <t>O01215</t>
  </si>
  <si>
    <t>O01216</t>
  </si>
  <si>
    <t>O01217</t>
  </si>
  <si>
    <t>O01218</t>
  </si>
  <si>
    <t>O01219</t>
  </si>
  <si>
    <t>O01220</t>
  </si>
  <si>
    <t>O01221</t>
  </si>
  <si>
    <t>O01222</t>
  </si>
  <si>
    <t>O01223</t>
  </si>
  <si>
    <t>O01224</t>
  </si>
  <si>
    <t>O01225</t>
  </si>
  <si>
    <t>O01226</t>
  </si>
  <si>
    <t>O01227</t>
  </si>
  <si>
    <t>O01228</t>
  </si>
  <si>
    <t>O01229</t>
  </si>
  <si>
    <t>O01230</t>
  </si>
  <si>
    <t>O01231</t>
  </si>
  <si>
    <t>O01232</t>
  </si>
  <si>
    <t>O01233</t>
  </si>
  <si>
    <t>O01234</t>
  </si>
  <si>
    <t>C0240</t>
  </si>
  <si>
    <t>O01235</t>
  </si>
  <si>
    <t>O01236</t>
  </si>
  <si>
    <t>O01237</t>
  </si>
  <si>
    <t>O01238</t>
  </si>
  <si>
    <t>O01239</t>
  </si>
  <si>
    <t>O01240</t>
  </si>
  <si>
    <t>O01241</t>
  </si>
  <si>
    <t>O01242</t>
  </si>
  <si>
    <t>O01243</t>
  </si>
  <si>
    <t>O01244</t>
  </si>
  <si>
    <t>C0197</t>
  </si>
  <si>
    <t>O01245</t>
  </si>
  <si>
    <t>O01246</t>
  </si>
  <si>
    <t>O01247</t>
  </si>
  <si>
    <t>O01248</t>
  </si>
  <si>
    <t>O01249</t>
  </si>
  <si>
    <t>O01250</t>
  </si>
  <si>
    <t>C0499</t>
  </si>
  <si>
    <t>O01251</t>
  </si>
  <si>
    <t>O01252</t>
  </si>
  <si>
    <t>O01253</t>
  </si>
  <si>
    <t>O01254</t>
  </si>
  <si>
    <t>O01255</t>
  </si>
  <si>
    <t>O01256</t>
  </si>
  <si>
    <t>O01257</t>
  </si>
  <si>
    <t>O01258</t>
  </si>
  <si>
    <t>O01259</t>
  </si>
  <si>
    <t>O01260</t>
  </si>
  <si>
    <t>O01261</t>
  </si>
  <si>
    <t>O01262</t>
  </si>
  <si>
    <t>O01263</t>
  </si>
  <si>
    <t>O01264</t>
  </si>
  <si>
    <t>O01265</t>
  </si>
  <si>
    <t>O01266</t>
  </si>
  <si>
    <t>O01267</t>
  </si>
  <si>
    <t>O01268</t>
  </si>
  <si>
    <t>O01269</t>
  </si>
  <si>
    <t>O01270</t>
  </si>
  <si>
    <t>O01271</t>
  </si>
  <si>
    <t>O01272</t>
  </si>
  <si>
    <t>O01273</t>
  </si>
  <si>
    <t>O01274</t>
  </si>
  <si>
    <t>O01275</t>
  </si>
  <si>
    <t>O01276</t>
  </si>
  <si>
    <t>O01277</t>
  </si>
  <si>
    <t>O01278</t>
  </si>
  <si>
    <t>O01279</t>
  </si>
  <si>
    <t>O01280</t>
  </si>
  <si>
    <t>O01281</t>
  </si>
  <si>
    <t>O01282</t>
  </si>
  <si>
    <t>O01283</t>
  </si>
  <si>
    <t>O01284</t>
  </si>
  <si>
    <t>O01285</t>
  </si>
  <si>
    <t>O01286</t>
  </si>
  <si>
    <t>O01287</t>
  </si>
  <si>
    <t>O01288</t>
  </si>
  <si>
    <t>O01289</t>
  </si>
  <si>
    <t>O01290</t>
  </si>
  <si>
    <t>O01291</t>
  </si>
  <si>
    <t>O01292</t>
  </si>
  <si>
    <t>O01293</t>
  </si>
  <si>
    <t>O01294</t>
  </si>
  <si>
    <t>O01295</t>
  </si>
  <si>
    <t>O01296</t>
  </si>
  <si>
    <t>O01297</t>
  </si>
  <si>
    <t>O01298</t>
  </si>
  <si>
    <t>O01299</t>
  </si>
  <si>
    <t>O01300</t>
  </si>
  <si>
    <t>O01301</t>
  </si>
  <si>
    <t>O01302</t>
  </si>
  <si>
    <t>O01303</t>
  </si>
  <si>
    <t>O01304</t>
  </si>
  <si>
    <t>O01305</t>
  </si>
  <si>
    <t>O01306</t>
  </si>
  <si>
    <t>C0236</t>
  </si>
  <si>
    <t>O01307</t>
  </si>
  <si>
    <t>O01308</t>
  </si>
  <si>
    <t>O01309</t>
  </si>
  <si>
    <t>C0166</t>
  </si>
  <si>
    <t>O01310</t>
  </si>
  <si>
    <t>O01311</t>
  </si>
  <si>
    <t>C0390</t>
  </si>
  <si>
    <t>O01312</t>
  </si>
  <si>
    <t>O01313</t>
  </si>
  <si>
    <t>O01314</t>
  </si>
  <si>
    <t>O01315</t>
  </si>
  <si>
    <t>O01316</t>
  </si>
  <si>
    <t>O01317</t>
  </si>
  <si>
    <t>O01318</t>
  </si>
  <si>
    <t>O01319</t>
  </si>
  <si>
    <t>O01320</t>
  </si>
  <si>
    <t>C0402</t>
  </si>
  <si>
    <t>O01321</t>
  </si>
  <si>
    <t>O01322</t>
  </si>
  <si>
    <t>O01323</t>
  </si>
  <si>
    <t>O01324</t>
  </si>
  <si>
    <t>O01325</t>
  </si>
  <si>
    <t>O01326</t>
  </si>
  <si>
    <t>O01327</t>
  </si>
  <si>
    <t>O01328</t>
  </si>
  <si>
    <t>C0351</t>
  </si>
  <si>
    <t>O01329</t>
  </si>
  <si>
    <t>O01330</t>
  </si>
  <si>
    <t>O01331</t>
  </si>
  <si>
    <t>O01332</t>
  </si>
  <si>
    <t>O01333</t>
  </si>
  <si>
    <t>O01334</t>
  </si>
  <si>
    <t>O01335</t>
  </si>
  <si>
    <t>O01336</t>
  </si>
  <si>
    <t>O01337</t>
  </si>
  <si>
    <t>O01338</t>
  </si>
  <si>
    <t>O01339</t>
  </si>
  <si>
    <t>O01340</t>
  </si>
  <si>
    <t>O01341</t>
  </si>
  <si>
    <t>O01342</t>
  </si>
  <si>
    <t>O01343</t>
  </si>
  <si>
    <t>O01344</t>
  </si>
  <si>
    <t>O01345</t>
  </si>
  <si>
    <t>O01346</t>
  </si>
  <si>
    <t>O01347</t>
  </si>
  <si>
    <t>O01348</t>
  </si>
  <si>
    <t>O01349</t>
  </si>
  <si>
    <t>O01350</t>
  </si>
  <si>
    <t>O01351</t>
  </si>
  <si>
    <t>O01352</t>
  </si>
  <si>
    <t>O01353</t>
  </si>
  <si>
    <t>C0270</t>
  </si>
  <si>
    <t>O01354</t>
  </si>
  <si>
    <t>O01355</t>
  </si>
  <si>
    <t>O01356</t>
  </si>
  <si>
    <t>O01357</t>
  </si>
  <si>
    <t>C0281</t>
  </si>
  <si>
    <t>O01358</t>
  </si>
  <si>
    <t>C0036</t>
  </si>
  <si>
    <t>O01359</t>
  </si>
  <si>
    <t>C0432</t>
  </si>
  <si>
    <t>O01360</t>
  </si>
  <si>
    <t>O01361</t>
  </si>
  <si>
    <t>O01362</t>
  </si>
  <si>
    <t>O01363</t>
  </si>
  <si>
    <t>O01364</t>
  </si>
  <si>
    <t>C0125</t>
  </si>
  <si>
    <t>O01365</t>
  </si>
  <si>
    <t>O01366</t>
  </si>
  <si>
    <t>O01367</t>
  </si>
  <si>
    <t>O01368</t>
  </si>
  <si>
    <t>O01369</t>
  </si>
  <si>
    <t>O01370</t>
  </si>
  <si>
    <t>O01371</t>
  </si>
  <si>
    <t>O01372</t>
  </si>
  <si>
    <t>O01373</t>
  </si>
  <si>
    <t>O01374</t>
  </si>
  <si>
    <t>O01375</t>
  </si>
  <si>
    <t>C0019</t>
  </si>
  <si>
    <t>O01376</t>
  </si>
  <si>
    <t>O01377</t>
  </si>
  <si>
    <t>O01378</t>
  </si>
  <si>
    <t>O01379</t>
  </si>
  <si>
    <t>O01380</t>
  </si>
  <si>
    <t>O01381</t>
  </si>
  <si>
    <t>O01382</t>
  </si>
  <si>
    <t>O01383</t>
  </si>
  <si>
    <t>O01384</t>
  </si>
  <si>
    <t>O01385</t>
  </si>
  <si>
    <t>O01386</t>
  </si>
  <si>
    <t>O01387</t>
  </si>
  <si>
    <t>O01388</t>
  </si>
  <si>
    <t>O01389</t>
  </si>
  <si>
    <t>O01390</t>
  </si>
  <si>
    <t>O01391</t>
  </si>
  <si>
    <t>O01392</t>
  </si>
  <si>
    <t>O01393</t>
  </si>
  <si>
    <t>O01394</t>
  </si>
  <si>
    <t>C0141</t>
  </si>
  <si>
    <t>O01395</t>
  </si>
  <si>
    <t>O01396</t>
  </si>
  <si>
    <t>O01397</t>
  </si>
  <si>
    <t>O01398</t>
  </si>
  <si>
    <t>O01399</t>
  </si>
  <si>
    <t>O01400</t>
  </si>
  <si>
    <t>O01401</t>
  </si>
  <si>
    <t>O01402</t>
  </si>
  <si>
    <t>O01403</t>
  </si>
  <si>
    <t>O01404</t>
  </si>
  <si>
    <t>O01405</t>
  </si>
  <si>
    <t>O01406</t>
  </si>
  <si>
    <t>C0398</t>
  </si>
  <si>
    <t>O01407</t>
  </si>
  <si>
    <t>O01408</t>
  </si>
  <si>
    <t>O01409</t>
  </si>
  <si>
    <t>O01410</t>
  </si>
  <si>
    <t>O01411</t>
  </si>
  <si>
    <t>O01412</t>
  </si>
  <si>
    <t>O01413</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</si>
  <si>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</si>
  <si>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</si>
  <si>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</si>
  <si>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</si>
  <si>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</si>
  <si>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</si>
  <si>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</si>
  <si>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</si>
  <si>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</si>
  <si>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</si>
  <si>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</si>
  <si>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</si>
  <si>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</si>
  <si>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</si>
  <si>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</si>
  <si>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</si>
  <si>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</si>
  <si>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</si>
  <si>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</si>
  <si>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O01433</t>
  </si>
  <si>
    <t>O01434</t>
  </si>
  <si>
    <t>O01435</t>
  </si>
  <si>
    <t>O01436</t>
  </si>
  <si>
    <t>O01437</t>
  </si>
  <si>
    <t>O01438</t>
  </si>
  <si>
    <t>O01439</t>
  </si>
  <si>
    <t>O01440</t>
  </si>
  <si>
    <t>O01441</t>
  </si>
  <si>
    <t>O01442</t>
  </si>
  <si>
    <t>O01443</t>
  </si>
  <si>
    <t>O01444</t>
  </si>
  <si>
    <t>O01445</t>
  </si>
  <si>
    <t>O01446</t>
  </si>
  <si>
    <t>O01447</t>
  </si>
  <si>
    <t>O01448</t>
  </si>
  <si>
    <t>O01449</t>
  </si>
  <si>
    <t>O01450</t>
  </si>
  <si>
    <t>O01451</t>
  </si>
  <si>
    <t>O01452</t>
  </si>
  <si>
    <t>O01453</t>
  </si>
  <si>
    <t>O01454</t>
  </si>
  <si>
    <t>O01455</t>
  </si>
  <si>
    <t>O01456</t>
  </si>
  <si>
    <t>O01457</t>
  </si>
  <si>
    <t>O01458</t>
  </si>
  <si>
    <t>O01459</t>
  </si>
  <si>
    <t>C0160</t>
  </si>
  <si>
    <t>O01460</t>
  </si>
  <si>
    <t>O01461</t>
  </si>
  <si>
    <t>O01462</t>
  </si>
  <si>
    <t>O01463</t>
  </si>
  <si>
    <t>O01464</t>
  </si>
  <si>
    <t>O01465</t>
  </si>
  <si>
    <t>O01466</t>
  </si>
  <si>
    <t>O01467</t>
  </si>
  <si>
    <t>O01468</t>
  </si>
  <si>
    <t>O01469</t>
  </si>
  <si>
    <t>O01470</t>
  </si>
  <si>
    <t>O01471</t>
  </si>
  <si>
    <t>O01472</t>
  </si>
  <si>
    <t>O01473</t>
  </si>
  <si>
    <t>O01474</t>
  </si>
  <si>
    <t>O01475</t>
  </si>
  <si>
    <t>O01476</t>
  </si>
  <si>
    <t>O01477</t>
  </si>
  <si>
    <t>O01478</t>
  </si>
  <si>
    <t>O01479</t>
  </si>
  <si>
    <t>O01480</t>
  </si>
  <si>
    <t>O01481</t>
  </si>
  <si>
    <t>O01482</t>
  </si>
  <si>
    <t>O01483</t>
  </si>
  <si>
    <t>O01484</t>
  </si>
  <si>
    <t>O01485</t>
  </si>
  <si>
    <t>O01486</t>
  </si>
  <si>
    <t>O01487</t>
  </si>
  <si>
    <t>O01488</t>
  </si>
  <si>
    <t>O01489</t>
  </si>
  <si>
    <t>O01490</t>
  </si>
  <si>
    <t>O01491</t>
  </si>
  <si>
    <t>O01492</t>
  </si>
  <si>
    <t>C0474</t>
  </si>
  <si>
    <t>O01493</t>
  </si>
  <si>
    <t>C0255</t>
  </si>
  <si>
    <t>O01494</t>
  </si>
  <si>
    <t>O01495</t>
  </si>
  <si>
    <t>O01496</t>
  </si>
  <si>
    <t>O01497</t>
  </si>
  <si>
    <t>O01498</t>
  </si>
  <si>
    <t>C0124</t>
  </si>
  <si>
    <t>O01499</t>
  </si>
  <si>
    <t>O01500</t>
  </si>
  <si>
    <t>O01501</t>
  </si>
  <si>
    <t>O01502</t>
  </si>
  <si>
    <t>O01503</t>
  </si>
  <si>
    <t>O01504</t>
  </si>
  <si>
    <t>O01505</t>
  </si>
  <si>
    <t>O01506</t>
  </si>
  <si>
    <t>O01507</t>
  </si>
  <si>
    <t>O01508</t>
  </si>
  <si>
    <t>O01509</t>
  </si>
  <si>
    <t>O01510</t>
  </si>
  <si>
    <t>O01511</t>
  </si>
  <si>
    <t>O01512</t>
  </si>
  <si>
    <t>O01513</t>
  </si>
  <si>
    <t>O01514</t>
  </si>
  <si>
    <t>O01515</t>
  </si>
  <si>
    <t>O01516</t>
  </si>
  <si>
    <t>O01517</t>
  </si>
  <si>
    <t>O01518</t>
  </si>
  <si>
    <t>O01519</t>
  </si>
  <si>
    <t>O01520</t>
  </si>
  <si>
    <t>O01521</t>
  </si>
  <si>
    <t>O01522</t>
  </si>
  <si>
    <t>O01523</t>
  </si>
  <si>
    <t>O01524</t>
  </si>
  <si>
    <t>O01525</t>
  </si>
  <si>
    <t>O01526</t>
  </si>
  <si>
    <t>O01527</t>
  </si>
  <si>
    <t>O01528</t>
  </si>
  <si>
    <t>O01529</t>
  </si>
  <si>
    <t>O01530</t>
  </si>
  <si>
    <t>O01531</t>
  </si>
  <si>
    <t>O01532</t>
  </si>
  <si>
    <t>C0084</t>
  </si>
  <si>
    <t>O01533</t>
  </si>
  <si>
    <t>O01534</t>
  </si>
  <si>
    <t>O01535</t>
  </si>
  <si>
    <t>O01536</t>
  </si>
  <si>
    <t>O01537</t>
  </si>
  <si>
    <t>O01538</t>
  </si>
  <si>
    <t>C0411</t>
  </si>
  <si>
    <t>O01539</t>
  </si>
  <si>
    <t>O01540</t>
  </si>
  <si>
    <t>O01541</t>
  </si>
  <si>
    <t>O01542</t>
  </si>
  <si>
    <t>O01543</t>
  </si>
  <si>
    <t>O01544</t>
  </si>
  <si>
    <t>O01545</t>
  </si>
  <si>
    <t>O01546</t>
  </si>
  <si>
    <t>O01547</t>
  </si>
  <si>
    <t>O01548</t>
  </si>
  <si>
    <t>O01549</t>
  </si>
  <si>
    <t>O01550</t>
  </si>
  <si>
    <t>O01551</t>
  </si>
  <si>
    <t>O01552</t>
  </si>
  <si>
    <t>O01553</t>
  </si>
  <si>
    <t>O01554</t>
  </si>
  <si>
    <t>O01555</t>
  </si>
  <si>
    <t>O01556</t>
  </si>
  <si>
    <t>O01557</t>
  </si>
  <si>
    <t>O01558</t>
  </si>
  <si>
    <t>O01559</t>
  </si>
  <si>
    <t>O01560</t>
  </si>
  <si>
    <t>O01561</t>
  </si>
  <si>
    <t>O01562</t>
  </si>
  <si>
    <t>O01563</t>
  </si>
  <si>
    <t>O01564</t>
  </si>
  <si>
    <t>C0222</t>
  </si>
  <si>
    <t>O01565</t>
  </si>
  <si>
    <t>O01566</t>
  </si>
  <si>
    <t>O01567</t>
  </si>
  <si>
    <t>O01568</t>
  </si>
  <si>
    <t>O01569</t>
  </si>
  <si>
    <t>O01570</t>
  </si>
  <si>
    <t>O01571</t>
  </si>
  <si>
    <t>O01572</t>
  </si>
  <si>
    <t>O01573</t>
  </si>
  <si>
    <t>O01574</t>
  </si>
  <si>
    <t>O01575</t>
  </si>
  <si>
    <t>O01576</t>
  </si>
  <si>
    <t>O01577</t>
  </si>
  <si>
    <t>O01578</t>
  </si>
  <si>
    <t>O01579</t>
  </si>
  <si>
    <t>O01580</t>
  </si>
  <si>
    <t>O01581</t>
  </si>
  <si>
    <t>O01582</t>
  </si>
  <si>
    <t>O01583</t>
  </si>
  <si>
    <t>O01584</t>
  </si>
  <si>
    <t>O01585</t>
  </si>
  <si>
    <t>O01586</t>
  </si>
  <si>
    <t>O01587</t>
  </si>
  <si>
    <t>O01588</t>
  </si>
  <si>
    <t>O01589</t>
  </si>
  <si>
    <t>O01590</t>
  </si>
  <si>
    <t>O01591</t>
  </si>
  <si>
    <t>O01592</t>
  </si>
  <si>
    <t>O01593</t>
  </si>
  <si>
    <t>O01594</t>
  </si>
  <si>
    <t>O01595</t>
  </si>
  <si>
    <t>O01596</t>
  </si>
  <si>
    <t>O01597</t>
  </si>
  <si>
    <t>O01598</t>
  </si>
  <si>
    <t>O01599</t>
  </si>
  <si>
    <t>O01600</t>
  </si>
  <si>
    <t>O01601</t>
  </si>
  <si>
    <t>O01602</t>
  </si>
  <si>
    <t>O01603</t>
  </si>
  <si>
    <t>O01604</t>
  </si>
  <si>
    <t>O01605</t>
  </si>
  <si>
    <t>O01606</t>
  </si>
  <si>
    <t>O01607</t>
  </si>
  <si>
    <t>O01608</t>
  </si>
  <si>
    <t>O01609</t>
  </si>
  <si>
    <t>O01610</t>
  </si>
  <si>
    <t>O01611</t>
  </si>
  <si>
    <t>O01612</t>
  </si>
  <si>
    <t>O01613</t>
  </si>
  <si>
    <t>O01614</t>
  </si>
  <si>
    <t>O01615</t>
  </si>
  <si>
    <t>O01616</t>
  </si>
  <si>
    <t>O01617</t>
  </si>
  <si>
    <t>O01618</t>
  </si>
  <si>
    <t>O01619</t>
  </si>
  <si>
    <t>O01620</t>
  </si>
  <si>
    <t>O01621</t>
  </si>
  <si>
    <t>O01622</t>
  </si>
  <si>
    <t>O01623</t>
  </si>
  <si>
    <t>O01624</t>
  </si>
  <si>
    <t>O01625</t>
  </si>
  <si>
    <t>C0114</t>
  </si>
  <si>
    <t>O01626</t>
  </si>
  <si>
    <t>O01627</t>
  </si>
  <si>
    <t>O01628</t>
  </si>
  <si>
    <t>O01629</t>
  </si>
  <si>
    <t>O01630</t>
  </si>
  <si>
    <t>O01631</t>
  </si>
  <si>
    <t>O01632</t>
  </si>
  <si>
    <t>O01633</t>
  </si>
  <si>
    <t>O01634</t>
  </si>
  <si>
    <t>O01635</t>
  </si>
  <si>
    <t>O01636</t>
  </si>
  <si>
    <t>O01637</t>
  </si>
  <si>
    <t>O01638</t>
  </si>
  <si>
    <t>O01639</t>
  </si>
  <si>
    <t>C0283</t>
  </si>
  <si>
    <t>O01640</t>
  </si>
  <si>
    <t>O01641</t>
  </si>
  <si>
    <t>O01642</t>
  </si>
  <si>
    <t>O01643</t>
  </si>
  <si>
    <t>O01644</t>
  </si>
  <si>
    <t>O01645</t>
  </si>
  <si>
    <t>O01646</t>
  </si>
  <si>
    <t>O01647</t>
  </si>
  <si>
    <t>O01648</t>
  </si>
  <si>
    <t>O01649</t>
  </si>
  <si>
    <t>O01650</t>
  </si>
  <si>
    <t>O01651</t>
  </si>
  <si>
    <t>O01652</t>
  </si>
  <si>
    <t>O01653</t>
  </si>
  <si>
    <t>O01654</t>
  </si>
  <si>
    <t>O01655</t>
  </si>
  <si>
    <t>O01656</t>
  </si>
  <si>
    <t>O01657</t>
  </si>
  <si>
    <t>O01658</t>
  </si>
  <si>
    <t>O01659</t>
  </si>
  <si>
    <t>O01660</t>
  </si>
  <si>
    <t>O01661</t>
  </si>
  <si>
    <t>O01662</t>
  </si>
  <si>
    <t>O01663</t>
  </si>
  <si>
    <t>O01664</t>
  </si>
  <si>
    <t>O01665</t>
  </si>
  <si>
    <t>O01666</t>
  </si>
  <si>
    <t>O01667</t>
  </si>
  <si>
    <t>O01668</t>
  </si>
  <si>
    <t>O01669</t>
  </si>
  <si>
    <t>O01670</t>
  </si>
  <si>
    <t>O01671</t>
  </si>
  <si>
    <t>O01672</t>
  </si>
  <si>
    <t>O01673</t>
  </si>
  <si>
    <t>O01674</t>
  </si>
  <si>
    <t>C0438</t>
  </si>
  <si>
    <t>O01675</t>
  </si>
  <si>
    <t>O01676</t>
  </si>
  <si>
    <t>O01677</t>
  </si>
  <si>
    <t>O01678</t>
  </si>
  <si>
    <t>O01679</t>
  </si>
  <si>
    <t>O01680</t>
  </si>
  <si>
    <t>O01681</t>
  </si>
  <si>
    <t>O01682</t>
  </si>
  <si>
    <t>O01683</t>
  </si>
  <si>
    <t>O01684</t>
  </si>
  <si>
    <t>O01685</t>
  </si>
  <si>
    <t>O01686</t>
  </si>
  <si>
    <t>O01687</t>
  </si>
  <si>
    <t>O01688</t>
  </si>
  <si>
    <t>O01689</t>
  </si>
  <si>
    <t>O01690</t>
  </si>
  <si>
    <t>O01691</t>
  </si>
  <si>
    <t>O01692</t>
  </si>
  <si>
    <t>O01693</t>
  </si>
  <si>
    <t>O01694</t>
  </si>
  <si>
    <t>O01695</t>
  </si>
  <si>
    <t>O01696</t>
  </si>
  <si>
    <t>O01697</t>
  </si>
  <si>
    <t>O01698</t>
  </si>
  <si>
    <t>O01699</t>
  </si>
  <si>
    <t>O01700</t>
  </si>
  <si>
    <t>O01701</t>
  </si>
  <si>
    <t>O01702</t>
  </si>
  <si>
    <t>O01703</t>
  </si>
  <si>
    <t>O01704</t>
  </si>
  <si>
    <t>O01705</t>
  </si>
  <si>
    <t>O01706</t>
  </si>
  <si>
    <t>O01707</t>
  </si>
  <si>
    <t>O01708</t>
  </si>
  <si>
    <t>O01709</t>
  </si>
  <si>
    <t>O01710</t>
  </si>
  <si>
    <t>O01711</t>
  </si>
  <si>
    <t>O01712</t>
  </si>
  <si>
    <t>O01713</t>
  </si>
  <si>
    <t>O01714</t>
  </si>
  <si>
    <t>O01715</t>
  </si>
  <si>
    <t>O01716</t>
  </si>
  <si>
    <t>O01717</t>
  </si>
  <si>
    <t>O01718</t>
  </si>
  <si>
    <t>O01719</t>
  </si>
  <si>
    <t>O01720</t>
  </si>
  <si>
    <t>O01721</t>
  </si>
  <si>
    <t>O01722</t>
  </si>
  <si>
    <t>O01723</t>
  </si>
  <si>
    <t>O01724</t>
  </si>
  <si>
    <t>O01725</t>
  </si>
  <si>
    <t>O01726</t>
  </si>
  <si>
    <t>O01727</t>
  </si>
  <si>
    <t>O01728</t>
  </si>
  <si>
    <t>O01729</t>
  </si>
  <si>
    <t>O01730</t>
  </si>
  <si>
    <t>O01731</t>
  </si>
  <si>
    <t>O01732</t>
  </si>
  <si>
    <t>O01733</t>
  </si>
  <si>
    <t>O01734</t>
  </si>
  <si>
    <t>O01735</t>
  </si>
  <si>
    <t>O01736</t>
  </si>
  <si>
    <t>C0423</t>
  </si>
  <si>
    <t>O01737</t>
  </si>
  <si>
    <t>O01738</t>
  </si>
  <si>
    <t>O01739</t>
  </si>
  <si>
    <t>O01740</t>
  </si>
  <si>
    <t>O01741</t>
  </si>
  <si>
    <t>O01742</t>
  </si>
  <si>
    <t>O01743</t>
  </si>
  <si>
    <t>O01744</t>
  </si>
  <si>
    <t>O01745</t>
  </si>
  <si>
    <t>O01746</t>
  </si>
  <si>
    <t>O01747</t>
  </si>
  <si>
    <t>O01748</t>
  </si>
  <si>
    <t>O01749</t>
  </si>
  <si>
    <t>O01750</t>
  </si>
  <si>
    <t>O01751</t>
  </si>
  <si>
    <t>O01752</t>
  </si>
  <si>
    <t>O01753</t>
  </si>
  <si>
    <t>O01754</t>
  </si>
  <si>
    <t>O01755</t>
  </si>
  <si>
    <t>O01756</t>
  </si>
  <si>
    <t>O01757</t>
  </si>
  <si>
    <t>O01758</t>
  </si>
  <si>
    <t>O01759</t>
  </si>
  <si>
    <t>O01760</t>
  </si>
  <si>
    <t>O01761</t>
  </si>
  <si>
    <t>O01762</t>
  </si>
  <si>
    <t>O01763</t>
  </si>
  <si>
    <t>O01764</t>
  </si>
  <si>
    <t>O01765</t>
  </si>
  <si>
    <t>O01766</t>
  </si>
  <si>
    <t>O01767</t>
  </si>
  <si>
    <t>O01768</t>
  </si>
  <si>
    <t>O01769</t>
  </si>
  <si>
    <t>O01770</t>
  </si>
  <si>
    <t>O01771</t>
  </si>
  <si>
    <t>O01772</t>
  </si>
  <si>
    <t>O01773</t>
  </si>
  <si>
    <t>O01774</t>
  </si>
  <si>
    <t>O01775</t>
  </si>
  <si>
    <t>O01776</t>
  </si>
  <si>
    <t>O01777</t>
  </si>
  <si>
    <t>O01778</t>
  </si>
  <si>
    <t>O01779</t>
  </si>
  <si>
    <t>O01780</t>
  </si>
  <si>
    <t>O01781</t>
  </si>
  <si>
    <t>O01782</t>
  </si>
  <si>
    <t>O01783</t>
  </si>
  <si>
    <t>O01784</t>
  </si>
  <si>
    <t>O01785</t>
  </si>
  <si>
    <t>O01786</t>
  </si>
  <si>
    <t>O01787</t>
  </si>
  <si>
    <t>O01788</t>
  </si>
  <si>
    <t>O01789</t>
  </si>
  <si>
    <t>O01790</t>
  </si>
  <si>
    <t>C0416</t>
  </si>
  <si>
    <t>O01791</t>
  </si>
  <si>
    <t>O01792</t>
  </si>
  <si>
    <t>O01793</t>
  </si>
  <si>
    <t>O01794</t>
  </si>
  <si>
    <t>C0318</t>
  </si>
  <si>
    <t>O01795</t>
  </si>
  <si>
    <t>O01796</t>
  </si>
  <si>
    <t>O01797</t>
  </si>
  <si>
    <t>O01798</t>
  </si>
  <si>
    <t>O01799</t>
  </si>
  <si>
    <t>O01800</t>
  </si>
  <si>
    <t>O01801</t>
  </si>
  <si>
    <t>O01802</t>
  </si>
  <si>
    <t>O01803</t>
  </si>
  <si>
    <t>O01804</t>
  </si>
  <si>
    <t>O01805</t>
  </si>
  <si>
    <t>O01806</t>
  </si>
  <si>
    <t>O01807</t>
  </si>
  <si>
    <t>O01808</t>
  </si>
  <si>
    <t>O01809</t>
  </si>
  <si>
    <t>O01810</t>
  </si>
  <si>
    <t>O01811</t>
  </si>
  <si>
    <t>O01812</t>
  </si>
  <si>
    <t>O01813</t>
  </si>
  <si>
    <t>O01814</t>
  </si>
  <si>
    <t>O01815</t>
  </si>
  <si>
    <t>O01816</t>
  </si>
  <si>
    <t>O01817</t>
  </si>
  <si>
    <t>O01818</t>
  </si>
  <si>
    <t>O01819</t>
  </si>
  <si>
    <t>O01820</t>
  </si>
  <si>
    <t>O01821</t>
  </si>
  <si>
    <t>O01822</t>
  </si>
  <si>
    <t>O01823</t>
  </si>
  <si>
    <t>O01824</t>
  </si>
  <si>
    <t>O01825</t>
  </si>
  <si>
    <t>O01826</t>
  </si>
  <si>
    <t>O01827</t>
  </si>
  <si>
    <t>O01828</t>
  </si>
  <si>
    <t>O01829</t>
  </si>
  <si>
    <t>O01830</t>
  </si>
  <si>
    <t>O01831</t>
  </si>
  <si>
    <t>O01832</t>
  </si>
  <si>
    <t>O01833</t>
  </si>
  <si>
    <t>O01834</t>
  </si>
  <si>
    <t>O01835</t>
  </si>
  <si>
    <t>O01836</t>
  </si>
  <si>
    <t>O01837</t>
  </si>
  <si>
    <t>O01838</t>
  </si>
  <si>
    <t>O01839</t>
  </si>
  <si>
    <t>O01840</t>
  </si>
  <si>
    <t>O01841</t>
  </si>
  <si>
    <t>O01842</t>
  </si>
  <si>
    <t>O01843</t>
  </si>
  <si>
    <t>O01844</t>
  </si>
  <si>
    <t>O01845</t>
  </si>
  <si>
    <t>O01846</t>
  </si>
  <si>
    <t>O01847</t>
  </si>
  <si>
    <t>O01848</t>
  </si>
  <si>
    <t>O01849</t>
  </si>
  <si>
    <t>O01850</t>
  </si>
  <si>
    <t>O01851</t>
  </si>
  <si>
    <t>O01852</t>
  </si>
  <si>
    <t>O01853</t>
  </si>
  <si>
    <t>O01854</t>
  </si>
  <si>
    <t>O01855</t>
  </si>
  <si>
    <t>O01856</t>
  </si>
  <si>
    <t>O01857</t>
  </si>
  <si>
    <t>O01858</t>
  </si>
  <si>
    <t>O01859</t>
  </si>
  <si>
    <t>O01860</t>
  </si>
  <si>
    <t>O01861</t>
  </si>
  <si>
    <t>O01862</t>
  </si>
  <si>
    <t>O01863</t>
  </si>
  <si>
    <t>O01864</t>
  </si>
  <si>
    <t>O01865</t>
  </si>
  <si>
    <t>O01866</t>
  </si>
  <si>
    <t>O01867</t>
  </si>
  <si>
    <t>O01868</t>
  </si>
  <si>
    <t>O01869</t>
  </si>
  <si>
    <t>O01870</t>
  </si>
  <si>
    <t>O01871</t>
  </si>
  <si>
    <t>O01872</t>
  </si>
  <si>
    <t>O01873</t>
  </si>
  <si>
    <t>O01874</t>
  </si>
  <si>
    <t>O01875</t>
  </si>
  <si>
    <t>O01876</t>
  </si>
  <si>
    <t>O01877</t>
  </si>
  <si>
    <t>O01878</t>
  </si>
  <si>
    <t>O01879</t>
  </si>
  <si>
    <t>O01880</t>
  </si>
  <si>
    <t>O01881</t>
  </si>
  <si>
    <t>O01882</t>
  </si>
  <si>
    <t>O01883</t>
  </si>
  <si>
    <t>O01884</t>
  </si>
  <si>
    <t>O01885</t>
  </si>
  <si>
    <t>O01886</t>
  </si>
  <si>
    <t>O01887</t>
  </si>
  <si>
    <t>O01888</t>
  </si>
  <si>
    <t>O01889</t>
  </si>
  <si>
    <t>O01890</t>
  </si>
  <si>
    <t>O01891</t>
  </si>
  <si>
    <t>O01892</t>
  </si>
  <si>
    <t>O01893</t>
  </si>
  <si>
    <t>O01894</t>
  </si>
  <si>
    <t>O01895</t>
  </si>
  <si>
    <t>O01896</t>
  </si>
  <si>
    <t>O01897</t>
  </si>
  <si>
    <t>O01898</t>
  </si>
  <si>
    <t>O01899</t>
  </si>
  <si>
    <t>O01900</t>
  </si>
  <si>
    <t>O01901</t>
  </si>
  <si>
    <t>O01902</t>
  </si>
  <si>
    <t>O01903</t>
  </si>
  <si>
    <t>O01904</t>
  </si>
  <si>
    <t>O01905</t>
  </si>
  <si>
    <t>O01906</t>
  </si>
  <si>
    <t>O01907</t>
  </si>
  <si>
    <t>O01908</t>
  </si>
  <si>
    <t>O01909</t>
  </si>
  <si>
    <t>O01910</t>
  </si>
  <si>
    <t>O01911</t>
  </si>
  <si>
    <t>O01912</t>
  </si>
  <si>
    <t>O01913</t>
  </si>
  <si>
    <t>O01914</t>
  </si>
  <si>
    <t>O01915</t>
  </si>
  <si>
    <t>O01916</t>
  </si>
  <si>
    <t>O01917</t>
  </si>
  <si>
    <t>O01918</t>
  </si>
  <si>
    <t>O01919</t>
  </si>
  <si>
    <t>O01920</t>
  </si>
  <si>
    <t>O01921</t>
  </si>
  <si>
    <t>O01922</t>
  </si>
  <si>
    <t>O01923</t>
  </si>
  <si>
    <t>O01924</t>
  </si>
  <si>
    <t>O01925</t>
  </si>
  <si>
    <t>O01926</t>
  </si>
  <si>
    <t>O01927</t>
  </si>
  <si>
    <t>O01928</t>
  </si>
  <si>
    <t>O01929</t>
  </si>
  <si>
    <t>O01930</t>
  </si>
  <si>
    <t>O01931</t>
  </si>
  <si>
    <t>O01932</t>
  </si>
  <si>
    <t>O01933</t>
  </si>
  <si>
    <t>O01934</t>
  </si>
  <si>
    <t>O01935</t>
  </si>
  <si>
    <t>O01936</t>
  </si>
  <si>
    <t>O01937</t>
  </si>
  <si>
    <t>O01938</t>
  </si>
  <si>
    <t>O01939</t>
  </si>
  <si>
    <t>O01940</t>
  </si>
  <si>
    <t>O01941</t>
  </si>
  <si>
    <t>O01942</t>
  </si>
  <si>
    <t>O01943</t>
  </si>
  <si>
    <t>O01944</t>
  </si>
  <si>
    <t>O01945</t>
  </si>
  <si>
    <t>O01946</t>
  </si>
  <si>
    <t>O01947</t>
  </si>
  <si>
    <t>O01948</t>
  </si>
  <si>
    <t>O01949</t>
  </si>
  <si>
    <t>O01950</t>
  </si>
  <si>
    <t>O01951</t>
  </si>
  <si>
    <t>C0008</t>
  </si>
  <si>
    <t>O01952</t>
  </si>
  <si>
    <t>O01953</t>
  </si>
  <si>
    <t>O01954</t>
  </si>
  <si>
    <t>O01955</t>
  </si>
  <si>
    <t>O01956</t>
  </si>
  <si>
    <t>O01957</t>
  </si>
  <si>
    <t>O01958</t>
  </si>
  <si>
    <t>O01959</t>
  </si>
  <si>
    <t>O01960</t>
  </si>
  <si>
    <t>O01961</t>
  </si>
  <si>
    <t>O01962</t>
  </si>
  <si>
    <t>O01963</t>
  </si>
  <si>
    <t>O01964</t>
  </si>
  <si>
    <t>O01965</t>
  </si>
  <si>
    <t>O01966</t>
  </si>
  <si>
    <t>O01967</t>
  </si>
  <si>
    <t>O01968</t>
  </si>
  <si>
    <t>O01969</t>
  </si>
  <si>
    <t>O01970</t>
  </si>
  <si>
    <t>O01971</t>
  </si>
  <si>
    <t>O01972</t>
  </si>
  <si>
    <t>O01973</t>
  </si>
  <si>
    <t>O01974</t>
  </si>
  <si>
    <t>O01975</t>
  </si>
  <si>
    <t>O01976</t>
  </si>
  <si>
    <t>O01977</t>
  </si>
  <si>
    <t>O01978</t>
  </si>
  <si>
    <t>O01979</t>
  </si>
  <si>
    <t>O01980</t>
  </si>
  <si>
    <t>O01981</t>
  </si>
  <si>
    <t>O01982</t>
  </si>
  <si>
    <t>O01983</t>
  </si>
  <si>
    <t>O01984</t>
  </si>
  <si>
    <t>O01985</t>
  </si>
  <si>
    <t>O01986</t>
  </si>
  <si>
    <t>O01987</t>
  </si>
  <si>
    <t>O01988</t>
  </si>
  <si>
    <t>C0117</t>
  </si>
  <si>
    <t>O01989</t>
  </si>
  <si>
    <t>O01990</t>
  </si>
  <si>
    <t>O01991</t>
  </si>
  <si>
    <t>O01992</t>
  </si>
  <si>
    <t>O01993</t>
  </si>
  <si>
    <t>O01994</t>
  </si>
  <si>
    <t>O01995</t>
  </si>
  <si>
    <t>O01996</t>
  </si>
  <si>
    <t>O01997</t>
  </si>
  <si>
    <t>O01998</t>
  </si>
  <si>
    <t>O01999</t>
  </si>
  <si>
    <t>O02000</t>
  </si>
  <si>
    <t>O02001</t>
  </si>
  <si>
    <t>O02002</t>
  </si>
  <si>
    <t>O02003</t>
  </si>
  <si>
    <t>O02004</t>
  </si>
  <si>
    <t>O02005</t>
  </si>
  <si>
    <t>O02006</t>
  </si>
  <si>
    <t>O02007</t>
  </si>
  <si>
    <t>O02008</t>
  </si>
  <si>
    <t>O02009</t>
  </si>
  <si>
    <t>O02010</t>
  </si>
  <si>
    <t>O02011</t>
  </si>
  <si>
    <t>O02012</t>
  </si>
  <si>
    <t>O02013</t>
  </si>
  <si>
    <t>O02014</t>
  </si>
  <si>
    <t>O02015</t>
  </si>
  <si>
    <t>O02016</t>
  </si>
  <si>
    <t>O02017</t>
  </si>
  <si>
    <t>O02018</t>
  </si>
  <si>
    <t>O02019</t>
  </si>
  <si>
    <t>O02020</t>
  </si>
  <si>
    <t>O02021</t>
  </si>
  <si>
    <t>O02022</t>
  </si>
  <si>
    <t>O02023</t>
  </si>
  <si>
    <t>O02024</t>
  </si>
  <si>
    <t>O02025</t>
  </si>
  <si>
    <t>O02026</t>
  </si>
  <si>
    <t>O02027</t>
  </si>
  <si>
    <t>O02028</t>
  </si>
  <si>
    <t>O02029</t>
  </si>
  <si>
    <t>O02030</t>
  </si>
  <si>
    <t>O02031</t>
  </si>
  <si>
    <t>O02032</t>
  </si>
  <si>
    <t>O02033</t>
  </si>
  <si>
    <t>O02034</t>
  </si>
  <si>
    <t>O02035</t>
  </si>
  <si>
    <t>O02036</t>
  </si>
  <si>
    <t>O02037</t>
  </si>
  <si>
    <t>O02038</t>
  </si>
  <si>
    <t>O02039</t>
  </si>
  <si>
    <t>O02040</t>
  </si>
  <si>
    <t>O02041</t>
  </si>
  <si>
    <t>O02042</t>
  </si>
  <si>
    <t>O02043</t>
  </si>
  <si>
    <t>O02044</t>
  </si>
  <si>
    <t>O02045</t>
  </si>
  <si>
    <t>O02046</t>
  </si>
  <si>
    <t>O02047</t>
  </si>
  <si>
    <t>O02048</t>
  </si>
  <si>
    <t>O02049</t>
  </si>
  <si>
    <t>O02050</t>
  </si>
  <si>
    <t>O02051</t>
  </si>
  <si>
    <t>O02052</t>
  </si>
  <si>
    <t>O02053</t>
  </si>
  <si>
    <t>O02054</t>
  </si>
  <si>
    <t>O02055</t>
  </si>
  <si>
    <t>O02056</t>
  </si>
  <si>
    <t>O02057</t>
  </si>
  <si>
    <t>O02058</t>
  </si>
  <si>
    <t>O02059</t>
  </si>
  <si>
    <t>O02060</t>
  </si>
  <si>
    <t>O02061</t>
  </si>
  <si>
    <t>O02062</t>
  </si>
  <si>
    <t>O02063</t>
  </si>
  <si>
    <t>O02064</t>
  </si>
  <si>
    <t>O02065</t>
  </si>
  <si>
    <t>O02066</t>
  </si>
  <si>
    <t>O02067</t>
  </si>
  <si>
    <t>O02068</t>
  </si>
  <si>
    <t>O02069</t>
  </si>
  <si>
    <t>O02070</t>
  </si>
  <si>
    <t>O02071</t>
  </si>
  <si>
    <t>O02072</t>
  </si>
  <si>
    <t>O02073</t>
  </si>
  <si>
    <t>O02074</t>
  </si>
  <si>
    <t>O02075</t>
  </si>
  <si>
    <t>O02076</t>
  </si>
  <si>
    <t>O02077</t>
  </si>
  <si>
    <t>O02078</t>
  </si>
  <si>
    <t>O02079</t>
  </si>
  <si>
    <t>O02080</t>
  </si>
  <si>
    <t>O02081</t>
  </si>
  <si>
    <t>O02082</t>
  </si>
  <si>
    <t>O02083</t>
  </si>
  <si>
    <t>O02084</t>
  </si>
  <si>
    <t>O02085</t>
  </si>
  <si>
    <t>O02086</t>
  </si>
  <si>
    <t>O02087</t>
  </si>
  <si>
    <t>O02088</t>
  </si>
  <si>
    <t>O02089</t>
  </si>
  <si>
    <t>C0456</t>
  </si>
  <si>
    <t>O02090</t>
  </si>
  <si>
    <t>O02091</t>
  </si>
  <si>
    <t>O02092</t>
  </si>
  <si>
    <t>O02093</t>
  </si>
  <si>
    <t>O02094</t>
  </si>
  <si>
    <t>O02095</t>
  </si>
  <si>
    <t>O02096</t>
  </si>
  <si>
    <t>O02097</t>
  </si>
  <si>
    <t>O02098</t>
  </si>
  <si>
    <t>O02099</t>
  </si>
  <si>
    <t>O02100</t>
  </si>
  <si>
    <t>O02101</t>
  </si>
  <si>
    <t>O02102</t>
  </si>
  <si>
    <t>O02103</t>
  </si>
  <si>
    <t>O02104</t>
  </si>
  <si>
    <t>O02105</t>
  </si>
  <si>
    <t>O02106</t>
  </si>
  <si>
    <t>O02107</t>
  </si>
  <si>
    <t>O02108</t>
  </si>
  <si>
    <t>O02109</t>
  </si>
  <si>
    <t>O02110</t>
  </si>
  <si>
    <t>O02111</t>
  </si>
  <si>
    <t>O02112</t>
  </si>
  <si>
    <t>O02113</t>
  </si>
  <si>
    <t>O02114</t>
  </si>
  <si>
    <t>O02115</t>
  </si>
  <si>
    <t>O02116</t>
  </si>
  <si>
    <t>C0127</t>
  </si>
  <si>
    <t>O02117</t>
  </si>
  <si>
    <t>O02118</t>
  </si>
  <si>
    <t>O02119</t>
  </si>
  <si>
    <t>O02120</t>
  </si>
  <si>
    <t>O02121</t>
  </si>
  <si>
    <t>O02122</t>
  </si>
  <si>
    <t>O02123</t>
  </si>
  <si>
    <t>O02124</t>
  </si>
  <si>
    <t>O02125</t>
  </si>
  <si>
    <t>O02126</t>
  </si>
  <si>
    <t>O02127</t>
  </si>
  <si>
    <t>O02128</t>
  </si>
  <si>
    <t>O02129</t>
  </si>
  <si>
    <t>O02130</t>
  </si>
  <si>
    <t>O02131</t>
  </si>
  <si>
    <t>O02132</t>
  </si>
  <si>
    <t>O02133</t>
  </si>
  <si>
    <t>O02134</t>
  </si>
  <si>
    <t>O02135</t>
  </si>
  <si>
    <t>O02136</t>
  </si>
  <si>
    <t>O02137</t>
  </si>
  <si>
    <t>O02138</t>
  </si>
  <si>
    <t>O02139</t>
  </si>
  <si>
    <t>O02140</t>
  </si>
  <si>
    <t>O02141</t>
  </si>
  <si>
    <t>O02142</t>
  </si>
  <si>
    <t>O02143</t>
  </si>
  <si>
    <t>O02144</t>
  </si>
  <si>
    <t>O02145</t>
  </si>
  <si>
    <t>O02146</t>
  </si>
  <si>
    <t>O02147</t>
  </si>
  <si>
    <t>O02148</t>
  </si>
  <si>
    <t>O02149</t>
  </si>
  <si>
    <t>O02150</t>
  </si>
  <si>
    <t>O02151</t>
  </si>
  <si>
    <t>O02152</t>
  </si>
  <si>
    <t>O02153</t>
  </si>
  <si>
    <t>O02154</t>
  </si>
  <si>
    <t>O02155</t>
  </si>
  <si>
    <t>O02156</t>
  </si>
  <si>
    <t>O02157</t>
  </si>
  <si>
    <t>O02158</t>
  </si>
  <si>
    <t>C0331</t>
  </si>
  <si>
    <t>O02159</t>
  </si>
  <si>
    <t>O02160</t>
  </si>
  <si>
    <t>O02161</t>
  </si>
  <si>
    <t>O02162</t>
  </si>
  <si>
    <t>O02163</t>
  </si>
  <si>
    <t>O02164</t>
  </si>
  <si>
    <t>O02165</t>
  </si>
  <si>
    <t>O02166</t>
  </si>
  <si>
    <t>O02167</t>
  </si>
  <si>
    <t>O02168</t>
  </si>
  <si>
    <t>O02169</t>
  </si>
  <si>
    <t>O02170</t>
  </si>
  <si>
    <t>O02171</t>
  </si>
  <si>
    <t>O02172</t>
  </si>
  <si>
    <t>O02173</t>
  </si>
  <si>
    <t>O02174</t>
  </si>
  <si>
    <t>O02175</t>
  </si>
  <si>
    <t>O02176</t>
  </si>
  <si>
    <t>O02177</t>
  </si>
  <si>
    <t>O02178</t>
  </si>
  <si>
    <t>O02179</t>
  </si>
  <si>
    <t>O02180</t>
  </si>
  <si>
    <t>O02181</t>
  </si>
  <si>
    <t>O02182</t>
  </si>
  <si>
    <t>O02183</t>
  </si>
  <si>
    <t>O02184</t>
  </si>
  <si>
    <t>O02185</t>
  </si>
  <si>
    <t>O02186</t>
  </si>
  <si>
    <t>O02187</t>
  </si>
  <si>
    <t>O02188</t>
  </si>
  <si>
    <t>O02189</t>
  </si>
  <si>
    <t>O02190</t>
  </si>
  <si>
    <t>O02191</t>
  </si>
  <si>
    <t>O02192</t>
  </si>
  <si>
    <t>O02193</t>
  </si>
  <si>
    <t>O02194</t>
  </si>
  <si>
    <t>O02195</t>
  </si>
  <si>
    <t>C0230</t>
  </si>
  <si>
    <t>O02196</t>
  </si>
  <si>
    <t>O02197</t>
  </si>
  <si>
    <t>O02198</t>
  </si>
  <si>
    <t>O02199</t>
  </si>
  <si>
    <t>O02200</t>
  </si>
  <si>
    <t>O02201</t>
  </si>
  <si>
    <t>O02202</t>
  </si>
  <si>
    <t>O02203</t>
  </si>
  <si>
    <t>O02204</t>
  </si>
  <si>
    <t>O02205</t>
  </si>
  <si>
    <t>O02206</t>
  </si>
  <si>
    <t>O02207</t>
  </si>
  <si>
    <t>O02208</t>
  </si>
  <si>
    <t>O02209</t>
  </si>
  <si>
    <t>O02210</t>
  </si>
  <si>
    <t>O02211</t>
  </si>
  <si>
    <t>O02212</t>
  </si>
  <si>
    <t>O02213</t>
  </si>
  <si>
    <t>O02214</t>
  </si>
  <si>
    <t>O02215</t>
  </si>
  <si>
    <t>O02216</t>
  </si>
  <si>
    <t>O02217</t>
  </si>
  <si>
    <t>O02218</t>
  </si>
  <si>
    <t>O02219</t>
  </si>
  <si>
    <t>O02220</t>
  </si>
  <si>
    <t>O02221</t>
  </si>
  <si>
    <t>O02222</t>
  </si>
  <si>
    <t>O02223</t>
  </si>
  <si>
    <t>O02224</t>
  </si>
  <si>
    <t>O02225</t>
  </si>
  <si>
    <t>O02226</t>
  </si>
  <si>
    <t>O02227</t>
  </si>
  <si>
    <t>O02228</t>
  </si>
  <si>
    <t>O02229</t>
  </si>
  <si>
    <t>O02230</t>
  </si>
  <si>
    <t>O02231</t>
  </si>
  <si>
    <t>O02232</t>
  </si>
  <si>
    <t>O02233</t>
  </si>
  <si>
    <t>O02234</t>
  </si>
  <si>
    <t>O02235</t>
  </si>
  <si>
    <t>O02236</t>
  </si>
  <si>
    <t>O02237</t>
  </si>
  <si>
    <t>O02238</t>
  </si>
  <si>
    <t>O02239</t>
  </si>
  <si>
    <t>O02240</t>
  </si>
  <si>
    <t>O02241</t>
  </si>
  <si>
    <t>O02242</t>
  </si>
  <si>
    <t>O02243</t>
  </si>
  <si>
    <t>O02244</t>
  </si>
  <si>
    <t>O02245</t>
  </si>
  <si>
    <t>O02246</t>
  </si>
  <si>
    <t>O02247</t>
  </si>
  <si>
    <t>O02248</t>
  </si>
  <si>
    <t>O02249</t>
  </si>
  <si>
    <t>O02250</t>
  </si>
  <si>
    <t>O02251</t>
  </si>
  <si>
    <t>O02252</t>
  </si>
  <si>
    <t>O02253</t>
  </si>
  <si>
    <t>O02254</t>
  </si>
  <si>
    <t>O02255</t>
  </si>
  <si>
    <t>O02256</t>
  </si>
  <si>
    <t>O02257</t>
  </si>
  <si>
    <t>O02258</t>
  </si>
  <si>
    <t>O02259</t>
  </si>
  <si>
    <t>O02260</t>
  </si>
  <si>
    <t>O02261</t>
  </si>
  <si>
    <t>O02262</t>
  </si>
  <si>
    <t>O02263</t>
  </si>
  <si>
    <t>O02264</t>
  </si>
  <si>
    <t>O02265</t>
  </si>
  <si>
    <t>O02266</t>
  </si>
  <si>
    <t>O02267</t>
  </si>
  <si>
    <t>O02268</t>
  </si>
  <si>
    <t>O02269</t>
  </si>
  <si>
    <t>O02270</t>
  </si>
  <si>
    <t>O02271</t>
  </si>
  <si>
    <t>O02272</t>
  </si>
  <si>
    <t>O02273</t>
  </si>
  <si>
    <t>O02274</t>
  </si>
  <si>
    <t>O02275</t>
  </si>
  <si>
    <t>O02276</t>
  </si>
  <si>
    <t>O02277</t>
  </si>
  <si>
    <t>O02278</t>
  </si>
  <si>
    <t>O02279</t>
  </si>
  <si>
    <t>O02280</t>
  </si>
  <si>
    <t>O02281</t>
  </si>
  <si>
    <t>O02282</t>
  </si>
  <si>
    <t>O02283</t>
  </si>
  <si>
    <t>O02284</t>
  </si>
  <si>
    <t>O02285</t>
  </si>
  <si>
    <t>O02286</t>
  </si>
  <si>
    <t>O02287</t>
  </si>
  <si>
    <t>O02288</t>
  </si>
  <si>
    <t>O02289</t>
  </si>
  <si>
    <t>O02290</t>
  </si>
  <si>
    <t>O02291</t>
  </si>
  <si>
    <t>O02292</t>
  </si>
  <si>
    <t>O02293</t>
  </si>
  <si>
    <t>O02294</t>
  </si>
  <si>
    <t>O02295</t>
  </si>
  <si>
    <t>O02296</t>
  </si>
  <si>
    <t>O02297</t>
  </si>
  <si>
    <t>O02298</t>
  </si>
  <si>
    <t>O02299</t>
  </si>
  <si>
    <t>O02300</t>
  </si>
  <si>
    <t>O02301</t>
  </si>
  <si>
    <t>O02302</t>
  </si>
  <si>
    <t>O02303</t>
  </si>
  <si>
    <t>O02304</t>
  </si>
  <si>
    <t>O02305</t>
  </si>
  <si>
    <t>O02306</t>
  </si>
  <si>
    <t>O02307</t>
  </si>
  <si>
    <t>O02308</t>
  </si>
  <si>
    <t>O02309</t>
  </si>
  <si>
    <t>O02310</t>
  </si>
  <si>
    <t>O02311</t>
  </si>
  <si>
    <t>O02312</t>
  </si>
  <si>
    <t>O02313</t>
  </si>
  <si>
    <t>O02314</t>
  </si>
  <si>
    <t>O02315</t>
  </si>
  <si>
    <t>C0372</t>
  </si>
  <si>
    <t>O02316</t>
  </si>
  <si>
    <t>O02317</t>
  </si>
  <si>
    <t>O02318</t>
  </si>
  <si>
    <t>O02319</t>
  </si>
  <si>
    <t>O02320</t>
  </si>
  <si>
    <t>O02321</t>
  </si>
  <si>
    <t>O02322</t>
  </si>
  <si>
    <t>O02323</t>
  </si>
  <si>
    <t>O02324</t>
  </si>
  <si>
    <t>O02325</t>
  </si>
  <si>
    <t>O02326</t>
  </si>
  <si>
    <t>O02327</t>
  </si>
  <si>
    <t>O02328</t>
  </si>
  <si>
    <t>O02329</t>
  </si>
  <si>
    <t>O02330</t>
  </si>
  <si>
    <t>O02331</t>
  </si>
  <si>
    <t>O02332</t>
  </si>
  <si>
    <t>O02333</t>
  </si>
  <si>
    <t>O02334</t>
  </si>
  <si>
    <t>O02335</t>
  </si>
  <si>
    <t>O02336</t>
  </si>
  <si>
    <t>O02337</t>
  </si>
  <si>
    <t>O02338</t>
  </si>
  <si>
    <t>O02339</t>
  </si>
  <si>
    <t>O02340</t>
  </si>
  <si>
    <t>O02341</t>
  </si>
  <si>
    <t>O02342</t>
  </si>
  <si>
    <t>O02343</t>
  </si>
  <si>
    <t>O02344</t>
  </si>
  <si>
    <t>O02345</t>
  </si>
  <si>
    <t>O02346</t>
  </si>
  <si>
    <t>O02347</t>
  </si>
  <si>
    <t>O02348</t>
  </si>
  <si>
    <t>O02349</t>
  </si>
  <si>
    <t>O02350</t>
  </si>
  <si>
    <t>O02351</t>
  </si>
  <si>
    <t>O02352</t>
  </si>
  <si>
    <t>O02353</t>
  </si>
  <si>
    <t>O02354</t>
  </si>
  <si>
    <t>O02355</t>
  </si>
  <si>
    <t>O02356</t>
  </si>
  <si>
    <t>O02357</t>
  </si>
  <si>
    <t>O02358</t>
  </si>
  <si>
    <t>O02359</t>
  </si>
  <si>
    <t>O02360</t>
  </si>
  <si>
    <t>O02361</t>
  </si>
  <si>
    <t>O02362</t>
  </si>
  <si>
    <t>O02363</t>
  </si>
  <si>
    <t>O02364</t>
  </si>
  <si>
    <t>O02365</t>
  </si>
  <si>
    <t>O02366</t>
  </si>
  <si>
    <t>O02367</t>
  </si>
  <si>
    <t>O02368</t>
  </si>
  <si>
    <t>O02369</t>
  </si>
  <si>
    <t>O02370</t>
  </si>
  <si>
    <t>O02371</t>
  </si>
  <si>
    <t>O02372</t>
  </si>
  <si>
    <t>O02373</t>
  </si>
  <si>
    <t>O02374</t>
  </si>
  <si>
    <t>O02375</t>
  </si>
  <si>
    <t>O02376</t>
  </si>
  <si>
    <t>O02377</t>
  </si>
  <si>
    <t>O02378</t>
  </si>
  <si>
    <t>O02379</t>
  </si>
  <si>
    <t>O02380</t>
  </si>
  <si>
    <t>O02381</t>
  </si>
  <si>
    <t>O02382</t>
  </si>
  <si>
    <t>O02383</t>
  </si>
  <si>
    <t>O02384</t>
  </si>
  <si>
    <t>O02385</t>
  </si>
  <si>
    <t>O02386</t>
  </si>
  <si>
    <t>O02387</t>
  </si>
  <si>
    <t>O02388</t>
  </si>
  <si>
    <t>O02389</t>
  </si>
  <si>
    <t>O02390</t>
  </si>
  <si>
    <t>O02391</t>
  </si>
  <si>
    <t>O02392</t>
  </si>
  <si>
    <t>O02393</t>
  </si>
  <si>
    <t>O02394</t>
  </si>
  <si>
    <t>O02395</t>
  </si>
  <si>
    <t>O02396</t>
  </si>
  <si>
    <t>O02397</t>
  </si>
  <si>
    <t>O02398</t>
  </si>
  <si>
    <t>O02399</t>
  </si>
  <si>
    <t>O02400</t>
  </si>
  <si>
    <t>O02401</t>
  </si>
  <si>
    <t>O02402</t>
  </si>
  <si>
    <t>O02403</t>
  </si>
  <si>
    <t>O02404</t>
  </si>
  <si>
    <t>O02405</t>
  </si>
  <si>
    <t>O02406</t>
  </si>
  <si>
    <t>O02407</t>
  </si>
  <si>
    <t>O02408</t>
  </si>
  <si>
    <t>O02409</t>
  </si>
  <si>
    <t>O02410</t>
  </si>
  <si>
    <t>O02411</t>
  </si>
  <si>
    <t>O02412</t>
  </si>
  <si>
    <t>O02413</t>
  </si>
  <si>
    <t>O02414</t>
  </si>
  <si>
    <t>O02415</t>
  </si>
  <si>
    <t>O02416</t>
  </si>
  <si>
    <t>O02417</t>
  </si>
  <si>
    <t>O02418</t>
  </si>
  <si>
    <t>O02419</t>
  </si>
  <si>
    <t>O02420</t>
  </si>
  <si>
    <t>O02421</t>
  </si>
  <si>
    <t>O02422</t>
  </si>
  <si>
    <t>O02423</t>
  </si>
  <si>
    <t>O02424</t>
  </si>
  <si>
    <t>O02425</t>
  </si>
  <si>
    <t>O02426</t>
  </si>
  <si>
    <t>O02427</t>
  </si>
  <si>
    <t>O02428</t>
  </si>
  <si>
    <t>O02429</t>
  </si>
  <si>
    <t>O02430</t>
  </si>
  <si>
    <t>O02431</t>
  </si>
  <si>
    <t>O02432</t>
  </si>
  <si>
    <t>O02433</t>
  </si>
  <si>
    <t>O02434</t>
  </si>
  <si>
    <t>O02435</t>
  </si>
  <si>
    <t>O02436</t>
  </si>
  <si>
    <t>O02437</t>
  </si>
  <si>
    <t>O02438</t>
  </si>
  <si>
    <t>O02439</t>
  </si>
  <si>
    <t>O02440</t>
  </si>
  <si>
    <t>O02441</t>
  </si>
  <si>
    <t>O02442</t>
  </si>
  <si>
    <t>O02443</t>
  </si>
  <si>
    <t>O02444</t>
  </si>
  <si>
    <t>O02445</t>
  </si>
  <si>
    <t>O02446</t>
  </si>
  <si>
    <t>O02447</t>
  </si>
  <si>
    <t>O02448</t>
  </si>
  <si>
    <t>O02449</t>
  </si>
  <si>
    <t>O02450</t>
  </si>
  <si>
    <t>O02451</t>
  </si>
  <si>
    <t>O02452</t>
  </si>
  <si>
    <t>O02453</t>
  </si>
  <si>
    <t>O02454</t>
  </si>
  <si>
    <t>O02455</t>
  </si>
  <si>
    <t>O02456</t>
  </si>
  <si>
    <t>O02457</t>
  </si>
  <si>
    <t>O02458</t>
  </si>
  <si>
    <t>O02459</t>
  </si>
  <si>
    <t>O02460</t>
  </si>
  <si>
    <t>O02461</t>
  </si>
  <si>
    <t>O02462</t>
  </si>
  <si>
    <t>O02463</t>
  </si>
  <si>
    <t>O02464</t>
  </si>
  <si>
    <t>O02465</t>
  </si>
  <si>
    <t>O02466</t>
  </si>
  <si>
    <t>O02467</t>
  </si>
  <si>
    <t>O02468</t>
  </si>
  <si>
    <t>O02469</t>
  </si>
  <si>
    <t>O02470</t>
  </si>
  <si>
    <t>O02471</t>
  </si>
  <si>
    <t>O02472</t>
  </si>
  <si>
    <t>O02473</t>
  </si>
  <si>
    <t>O02474</t>
  </si>
  <si>
    <t>O02475</t>
  </si>
  <si>
    <t>O02476</t>
  </si>
  <si>
    <t>O02477</t>
  </si>
  <si>
    <t>O02478</t>
  </si>
  <si>
    <t>O02479</t>
  </si>
  <si>
    <t>O02480</t>
  </si>
  <si>
    <t>O02481</t>
  </si>
  <si>
    <t>O02482</t>
  </si>
  <si>
    <t>O02483</t>
  </si>
  <si>
    <t>O02484</t>
  </si>
  <si>
    <t>O02485</t>
  </si>
  <si>
    <t>O02486</t>
  </si>
  <si>
    <t>O02487</t>
  </si>
  <si>
    <t>O02488</t>
  </si>
  <si>
    <t>O02489</t>
  </si>
  <si>
    <t>O02490</t>
  </si>
  <si>
    <t>O02491</t>
  </si>
  <si>
    <t>O02492</t>
  </si>
  <si>
    <t>O02493</t>
  </si>
  <si>
    <t>O02494</t>
  </si>
  <si>
    <t>O02495</t>
  </si>
  <si>
    <t>O02496</t>
  </si>
  <si>
    <t>O02497</t>
  </si>
  <si>
    <t>O02498</t>
  </si>
  <si>
    <t>O02499</t>
  </si>
  <si>
    <t>O02500</t>
  </si>
  <si>
    <t>O02501</t>
  </si>
  <si>
    <t>O02502</t>
  </si>
  <si>
    <t>O02503</t>
  </si>
  <si>
    <t>O02504</t>
  </si>
  <si>
    <t>O02505</t>
  </si>
  <si>
    <t>O02506</t>
  </si>
  <si>
    <t>O02507</t>
  </si>
  <si>
    <t>O02508</t>
  </si>
  <si>
    <t>O02509</t>
  </si>
  <si>
    <t>O02510</t>
  </si>
  <si>
    <t>O02511</t>
  </si>
  <si>
    <t>O02512</t>
  </si>
  <si>
    <t>O02513</t>
  </si>
  <si>
    <t>O02514</t>
  </si>
  <si>
    <t>O02515</t>
  </si>
  <si>
    <t>O02516</t>
  </si>
  <si>
    <t>O02517</t>
  </si>
  <si>
    <t>O02518</t>
  </si>
  <si>
    <t>O02519</t>
  </si>
  <si>
    <t>O02520</t>
  </si>
  <si>
    <t>O02521</t>
  </si>
  <si>
    <t>O02522</t>
  </si>
  <si>
    <t>O02523</t>
  </si>
  <si>
    <t>O02524</t>
  </si>
  <si>
    <t>O02525</t>
  </si>
  <si>
    <t>O02526</t>
  </si>
  <si>
    <t>O02527</t>
  </si>
  <si>
    <t>O02528</t>
  </si>
  <si>
    <t>O02529</t>
  </si>
  <si>
    <t>O02530</t>
  </si>
  <si>
    <t>O02531</t>
  </si>
  <si>
    <t>O02532</t>
  </si>
  <si>
    <t>O02533</t>
  </si>
  <si>
    <t>O02534</t>
  </si>
  <si>
    <t>O02535</t>
  </si>
  <si>
    <t>O02536</t>
  </si>
  <si>
    <t>O02537</t>
  </si>
  <si>
    <t>O02538</t>
  </si>
  <si>
    <t>O02539</t>
  </si>
  <si>
    <t>O02540</t>
  </si>
  <si>
    <t>O02541</t>
  </si>
  <si>
    <t>O02542</t>
  </si>
  <si>
    <t>O02543</t>
  </si>
  <si>
    <t>O02544</t>
  </si>
  <si>
    <t>O02545</t>
  </si>
  <si>
    <t>O02546</t>
  </si>
  <si>
    <t>O02547</t>
  </si>
  <si>
    <t>O02548</t>
  </si>
  <si>
    <t>O02549</t>
  </si>
  <si>
    <t>O02550</t>
  </si>
  <si>
    <t>O02551</t>
  </si>
  <si>
    <t>O02552</t>
  </si>
  <si>
    <t>O02553</t>
  </si>
  <si>
    <t>O02554</t>
  </si>
  <si>
    <t>O02555</t>
  </si>
  <si>
    <t>O02556</t>
  </si>
  <si>
    <t>O02557</t>
  </si>
  <si>
    <t>O02558</t>
  </si>
  <si>
    <t>C0252</t>
  </si>
  <si>
    <t>O02559</t>
  </si>
  <si>
    <t>O02560</t>
  </si>
  <si>
    <t>O02561</t>
  </si>
  <si>
    <t>O02562</t>
  </si>
  <si>
    <t>O02563</t>
  </si>
  <si>
    <t>O02564</t>
  </si>
  <si>
    <t>O02565</t>
  </si>
  <si>
    <t>O02566</t>
  </si>
  <si>
    <t>O02567</t>
  </si>
  <si>
    <t>O02568</t>
  </si>
  <si>
    <t>O02569</t>
  </si>
  <si>
    <t>O02570</t>
  </si>
  <si>
    <t>O02571</t>
  </si>
  <si>
    <t>O02572</t>
  </si>
  <si>
    <t>O02573</t>
  </si>
  <si>
    <t>O02574</t>
  </si>
  <si>
    <t>O02575</t>
  </si>
  <si>
    <t>O02576</t>
  </si>
  <si>
    <t>O02577</t>
  </si>
  <si>
    <t>O02578</t>
  </si>
  <si>
    <t>O02579</t>
  </si>
  <si>
    <t>O02580</t>
  </si>
  <si>
    <t>O02581</t>
  </si>
  <si>
    <t>O02582</t>
  </si>
  <si>
    <t>O02583</t>
  </si>
  <si>
    <t>O02584</t>
  </si>
  <si>
    <t>O02585</t>
  </si>
  <si>
    <t>O02586</t>
  </si>
  <si>
    <t>O02587</t>
  </si>
  <si>
    <t>O02588</t>
  </si>
  <si>
    <t>O02589</t>
  </si>
  <si>
    <t>O02590</t>
  </si>
  <si>
    <t>O02591</t>
  </si>
  <si>
    <t>O02592</t>
  </si>
  <si>
    <t>O02593</t>
  </si>
  <si>
    <t>O02594</t>
  </si>
  <si>
    <t>O02595</t>
  </si>
  <si>
    <t>O02596</t>
  </si>
  <si>
    <t>O02597</t>
  </si>
  <si>
    <t>O02598</t>
  </si>
  <si>
    <t>O02599</t>
  </si>
  <si>
    <t>O02600</t>
  </si>
  <si>
    <t>O02601</t>
  </si>
  <si>
    <t>O02602</t>
  </si>
  <si>
    <t>O02603</t>
  </si>
  <si>
    <t>O02604</t>
  </si>
  <si>
    <t>O02605</t>
  </si>
  <si>
    <t>O02606</t>
  </si>
  <si>
    <t>O02607</t>
  </si>
  <si>
    <t>O02608</t>
  </si>
  <si>
    <t>O02609</t>
  </si>
  <si>
    <t>O02610</t>
  </si>
  <si>
    <t>O02611</t>
  </si>
  <si>
    <t>O02612</t>
  </si>
  <si>
    <t>O02613</t>
  </si>
  <si>
    <t>O02614</t>
  </si>
  <si>
    <t>O02615</t>
  </si>
  <si>
    <t>O02616</t>
  </si>
  <si>
    <t>O02617</t>
  </si>
  <si>
    <t>O02618</t>
  </si>
  <si>
    <t>O02619</t>
  </si>
  <si>
    <t>O02620</t>
  </si>
  <si>
    <t>O02621</t>
  </si>
  <si>
    <t>O02622</t>
  </si>
  <si>
    <t>O02623</t>
  </si>
  <si>
    <t>O02624</t>
  </si>
  <si>
    <t>O02625</t>
  </si>
  <si>
    <t>O02626</t>
  </si>
  <si>
    <t>O02627</t>
  </si>
  <si>
    <t>O02628</t>
  </si>
  <si>
    <t>O02629</t>
  </si>
  <si>
    <t>O02630</t>
  </si>
  <si>
    <t>O02631</t>
  </si>
  <si>
    <t>O02632</t>
  </si>
  <si>
    <t>O02633</t>
  </si>
  <si>
    <t>O02634</t>
  </si>
  <si>
    <t>O02635</t>
  </si>
  <si>
    <t>O02636</t>
  </si>
  <si>
    <t>O02637</t>
  </si>
  <si>
    <t>O02638</t>
  </si>
  <si>
    <t>O02639</t>
  </si>
  <si>
    <t>O02640</t>
  </si>
  <si>
    <t>O02641</t>
  </si>
  <si>
    <t>O02642</t>
  </si>
  <si>
    <t>O02643</t>
  </si>
  <si>
    <t>O02644</t>
  </si>
  <si>
    <t>O02645</t>
  </si>
  <si>
    <t>O02646</t>
  </si>
  <si>
    <t>O02647</t>
  </si>
  <si>
    <t>O02648</t>
  </si>
  <si>
    <t>O02649</t>
  </si>
  <si>
    <t>O02650</t>
  </si>
  <si>
    <t>O02651</t>
  </si>
  <si>
    <t>O02652</t>
  </si>
  <si>
    <t>O02653</t>
  </si>
  <si>
    <t>O02654</t>
  </si>
  <si>
    <t>O02655</t>
  </si>
  <si>
    <t>O02656</t>
  </si>
  <si>
    <t>O02657</t>
  </si>
  <si>
    <t>O02658</t>
  </si>
  <si>
    <t>O02659</t>
  </si>
  <si>
    <t>O02660</t>
  </si>
  <si>
    <t>O02661</t>
  </si>
  <si>
    <t>O02662</t>
  </si>
  <si>
    <t>O02663</t>
  </si>
  <si>
    <t>O02664</t>
  </si>
  <si>
    <t>O02665</t>
  </si>
  <si>
    <t>O02666</t>
  </si>
  <si>
    <t>O02667</t>
  </si>
  <si>
    <t>O02668</t>
  </si>
  <si>
    <t>O02669</t>
  </si>
  <si>
    <t>O02670</t>
  </si>
  <si>
    <t>O02671</t>
  </si>
  <si>
    <t>O02672</t>
  </si>
  <si>
    <t>O02673</t>
  </si>
  <si>
    <t>O02674</t>
  </si>
  <si>
    <t>O02675</t>
  </si>
  <si>
    <t>O02676</t>
  </si>
  <si>
    <t>O02677</t>
  </si>
  <si>
    <t>O02678</t>
  </si>
  <si>
    <t>O02679</t>
  </si>
  <si>
    <t>O02680</t>
  </si>
  <si>
    <t>O02681</t>
  </si>
  <si>
    <t>O02682</t>
  </si>
  <si>
    <t>O02683</t>
  </si>
  <si>
    <t>O02684</t>
  </si>
  <si>
    <t>O02685</t>
  </si>
  <si>
    <t>O02686</t>
  </si>
  <si>
    <t>O02687</t>
  </si>
  <si>
    <t>O02688</t>
  </si>
  <si>
    <t>O02689</t>
  </si>
  <si>
    <t>O02690</t>
  </si>
  <si>
    <t>O02691</t>
  </si>
  <si>
    <t>O02692</t>
  </si>
  <si>
    <t>O02693</t>
  </si>
  <si>
    <t>O02694</t>
  </si>
  <si>
    <t>O02695</t>
  </si>
  <si>
    <t>O02696</t>
  </si>
  <si>
    <t>O02697</t>
  </si>
  <si>
    <t>O02698</t>
  </si>
  <si>
    <t>O02699</t>
  </si>
  <si>
    <t>O02700</t>
  </si>
  <si>
    <t>O02701</t>
  </si>
  <si>
    <t>O02702</t>
  </si>
  <si>
    <t>O02703</t>
  </si>
  <si>
    <t>O02704</t>
  </si>
  <si>
    <t>O02705</t>
  </si>
  <si>
    <t>O02706</t>
  </si>
  <si>
    <t>O02707</t>
  </si>
  <si>
    <t>O02708</t>
  </si>
  <si>
    <t>O02709</t>
  </si>
  <si>
    <t>O02710</t>
  </si>
  <si>
    <t>O02711</t>
  </si>
  <si>
    <t>O02712</t>
  </si>
  <si>
    <t>O02713</t>
  </si>
  <si>
    <t>O02714</t>
  </si>
  <si>
    <t>O02715</t>
  </si>
  <si>
    <t>O02716</t>
  </si>
  <si>
    <t>O02717</t>
  </si>
  <si>
    <t>O02718</t>
  </si>
  <si>
    <t>O02719</t>
  </si>
  <si>
    <t>O02720</t>
  </si>
  <si>
    <t>O02721</t>
  </si>
  <si>
    <t>O02722</t>
  </si>
  <si>
    <t>O02723</t>
  </si>
  <si>
    <t>O02724</t>
  </si>
  <si>
    <t>O02725</t>
  </si>
  <si>
    <t>O02726</t>
  </si>
  <si>
    <t>O02727</t>
  </si>
  <si>
    <t>O02728</t>
  </si>
  <si>
    <t>O02729</t>
  </si>
  <si>
    <t>O02730</t>
  </si>
  <si>
    <t>O02731</t>
  </si>
  <si>
    <t>O02732</t>
  </si>
  <si>
    <t>O02733</t>
  </si>
  <si>
    <t>O02734</t>
  </si>
  <si>
    <t>O02735</t>
  </si>
  <si>
    <t>O02736</t>
  </si>
  <si>
    <t>O02737</t>
  </si>
  <si>
    <t>O02738</t>
  </si>
  <si>
    <t>O02739</t>
  </si>
  <si>
    <t>O02740</t>
  </si>
  <si>
    <t>O02741</t>
  </si>
  <si>
    <t>O02742</t>
  </si>
  <si>
    <t>O02743</t>
  </si>
  <si>
    <t>O02744</t>
  </si>
  <si>
    <t>O02745</t>
  </si>
  <si>
    <t>O02746</t>
  </si>
  <si>
    <t>O02747</t>
  </si>
  <si>
    <t>O02748</t>
  </si>
  <si>
    <t>O02749</t>
  </si>
  <si>
    <t>O02750</t>
  </si>
  <si>
    <t>O02751</t>
  </si>
  <si>
    <t>O02752</t>
  </si>
  <si>
    <t>O02753</t>
  </si>
  <si>
    <t>O02754</t>
  </si>
  <si>
    <t>O02755</t>
  </si>
  <si>
    <t>O02756</t>
  </si>
  <si>
    <t>O02757</t>
  </si>
  <si>
    <t>O02758</t>
  </si>
  <si>
    <t>O02759</t>
  </si>
  <si>
    <t>O02760</t>
  </si>
  <si>
    <t>O02761</t>
  </si>
  <si>
    <t>O02762</t>
  </si>
  <si>
    <t>O02763</t>
  </si>
  <si>
    <t>O02764</t>
  </si>
  <si>
    <t>O02765</t>
  </si>
  <si>
    <t>O02766</t>
  </si>
  <si>
    <t>O02767</t>
  </si>
  <si>
    <t>O02768</t>
  </si>
  <si>
    <t>O02769</t>
  </si>
  <si>
    <t>O02770</t>
  </si>
  <si>
    <t>O02771</t>
  </si>
  <si>
    <t>O02772</t>
  </si>
  <si>
    <t>O02773</t>
  </si>
  <si>
    <t>O02774</t>
  </si>
  <si>
    <t>O02775</t>
  </si>
  <si>
    <t>O02776</t>
  </si>
  <si>
    <t>O02777</t>
  </si>
  <si>
    <t>C0178</t>
  </si>
  <si>
    <t>O02778</t>
  </si>
  <si>
    <t>O02779</t>
  </si>
  <si>
    <t>O02780</t>
  </si>
  <si>
    <t>O02781</t>
  </si>
  <si>
    <t>O02782</t>
  </si>
  <si>
    <t>O02783</t>
  </si>
  <si>
    <t>O02784</t>
  </si>
  <si>
    <t>O02785</t>
  </si>
  <si>
    <t>O02786</t>
  </si>
  <si>
    <t>O02787</t>
  </si>
  <si>
    <t>O02788</t>
  </si>
  <si>
    <t>O02789</t>
  </si>
  <si>
    <t>O02790</t>
  </si>
  <si>
    <t>O02791</t>
  </si>
  <si>
    <t>O02792</t>
  </si>
  <si>
    <t>O02793</t>
  </si>
  <si>
    <t>O02794</t>
  </si>
  <si>
    <t>O02795</t>
  </si>
  <si>
    <t>O02796</t>
  </si>
  <si>
    <t>O02797</t>
  </si>
  <si>
    <t>O02798</t>
  </si>
  <si>
    <t>O02799</t>
  </si>
  <si>
    <t>O02800</t>
  </si>
  <si>
    <t>O02801</t>
  </si>
  <si>
    <t>O02802</t>
  </si>
  <si>
    <t>O02803</t>
  </si>
  <si>
    <t>O02804</t>
  </si>
  <si>
    <t>O02805</t>
  </si>
  <si>
    <t>O02806</t>
  </si>
  <si>
    <t>O02807</t>
  </si>
  <si>
    <t>O02808</t>
  </si>
  <si>
    <t>O02809</t>
  </si>
  <si>
    <t>O02810</t>
  </si>
  <si>
    <t>O02811</t>
  </si>
  <si>
    <t>O02812</t>
  </si>
  <si>
    <t>O02813</t>
  </si>
  <si>
    <t>O02814</t>
  </si>
  <si>
    <t>O02815</t>
  </si>
  <si>
    <t>O02816</t>
  </si>
  <si>
    <t>O02817</t>
  </si>
  <si>
    <t>O02818</t>
  </si>
  <si>
    <t>O02819</t>
  </si>
  <si>
    <t>O02820</t>
  </si>
  <si>
    <t>O02821</t>
  </si>
  <si>
    <t>O02822</t>
  </si>
  <si>
    <t>O02823</t>
  </si>
  <si>
    <t>O02824</t>
  </si>
  <si>
    <t>O02825</t>
  </si>
  <si>
    <t>O02826</t>
  </si>
  <si>
    <t>O02827</t>
  </si>
  <si>
    <t>O02828</t>
  </si>
  <si>
    <t>O02829</t>
  </si>
  <si>
    <t>O02830</t>
  </si>
  <si>
    <t>O02831</t>
  </si>
  <si>
    <t>O02832</t>
  </si>
  <si>
    <t>O02833</t>
  </si>
  <si>
    <t>O02834</t>
  </si>
  <si>
    <t>O02835</t>
  </si>
  <si>
    <t>O02836</t>
  </si>
  <si>
    <t>O02837</t>
  </si>
  <si>
    <t>O02838</t>
  </si>
  <si>
    <t>O02839</t>
  </si>
  <si>
    <t>O02840</t>
  </si>
  <si>
    <t>O02841</t>
  </si>
  <si>
    <t>O02842</t>
  </si>
  <si>
    <t>O02843</t>
  </si>
  <si>
    <t>O02844</t>
  </si>
  <si>
    <t>O02845</t>
  </si>
  <si>
    <t>O02846</t>
  </si>
  <si>
    <t>O02847</t>
  </si>
  <si>
    <t>O02848</t>
  </si>
  <si>
    <t>O02849</t>
  </si>
  <si>
    <t>O02850</t>
  </si>
  <si>
    <t>O02851</t>
  </si>
  <si>
    <t>O02852</t>
  </si>
  <si>
    <t>O02853</t>
  </si>
  <si>
    <t>O02854</t>
  </si>
  <si>
    <t>O02855</t>
  </si>
  <si>
    <t>O02856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</si>
  <si>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</si>
  <si>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</si>
  <si>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</si>
  <si>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</si>
  <si>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</si>
  <si>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</si>
  <si>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</si>
  <si>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</si>
  <si>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</si>
  <si>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</si>
  <si>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</si>
  <si>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</si>
  <si>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</si>
  <si>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</si>
  <si>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</si>
  <si>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</si>
  <si>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</si>
  <si>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</si>
  <si>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</si>
  <si>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</si>
  <si>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</si>
  <si>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</si>
  <si>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O02879</t>
  </si>
  <si>
    <t>O02880</t>
  </si>
  <si>
    <t>O02881</t>
  </si>
  <si>
    <t>O02882</t>
  </si>
  <si>
    <t>O02883</t>
  </si>
  <si>
    <t>O02884</t>
  </si>
  <si>
    <t>O02885</t>
  </si>
  <si>
    <t>O02886</t>
  </si>
  <si>
    <t>O02887</t>
  </si>
  <si>
    <t>O02888</t>
  </si>
  <si>
    <t>O02889</t>
  </si>
  <si>
    <t>O02890</t>
  </si>
  <si>
    <t>O02891</t>
  </si>
  <si>
    <t>O02892</t>
  </si>
  <si>
    <t>O02893</t>
  </si>
  <si>
    <t>O02894</t>
  </si>
  <si>
    <t>O02895</t>
  </si>
  <si>
    <t>O02896</t>
  </si>
  <si>
    <t>O02897</t>
  </si>
  <si>
    <t>O02898</t>
  </si>
  <si>
    <t>O02899</t>
  </si>
  <si>
    <t>O02900</t>
  </si>
  <si>
    <t>O02901</t>
  </si>
  <si>
    <t>O02902</t>
  </si>
  <si>
    <t>O02903</t>
  </si>
  <si>
    <t>O02904</t>
  </si>
  <si>
    <t>O02905</t>
  </si>
  <si>
    <t>O02906</t>
  </si>
  <si>
    <t>O02907</t>
  </si>
  <si>
    <t>O02908</t>
  </si>
  <si>
    <t>O02909</t>
  </si>
  <si>
    <t>O02910</t>
  </si>
  <si>
    <t>O02911</t>
  </si>
  <si>
    <t>O02912</t>
  </si>
  <si>
    <t>O02913</t>
  </si>
  <si>
    <t>O02914</t>
  </si>
  <si>
    <t>O02915</t>
  </si>
  <si>
    <t>O02916</t>
  </si>
  <si>
    <t>O02917</t>
  </si>
  <si>
    <t>O02918</t>
  </si>
  <si>
    <t>O02919</t>
  </si>
  <si>
    <t>O02920</t>
  </si>
  <si>
    <t>O02921</t>
  </si>
  <si>
    <t>O02922</t>
  </si>
  <si>
    <t>O02923</t>
  </si>
  <si>
    <t>O02924</t>
  </si>
  <si>
    <t>O02925</t>
  </si>
  <si>
    <t>C0442</t>
  </si>
  <si>
    <t>O02926</t>
  </si>
  <si>
    <t>O02927</t>
  </si>
  <si>
    <t>O02928</t>
  </si>
  <si>
    <t>O02929</t>
  </si>
  <si>
    <t>O02930</t>
  </si>
  <si>
    <t>O02931</t>
  </si>
  <si>
    <t>O02932</t>
  </si>
  <si>
    <t>O02933</t>
  </si>
  <si>
    <t>O02934</t>
  </si>
  <si>
    <t>O02935</t>
  </si>
  <si>
    <t>O02936</t>
  </si>
  <si>
    <t>O02937</t>
  </si>
  <si>
    <t>O02938</t>
  </si>
  <si>
    <t>O02939</t>
  </si>
  <si>
    <t>O02940</t>
  </si>
  <si>
    <t>O02941</t>
  </si>
  <si>
    <t>O02942</t>
  </si>
  <si>
    <t>O02943</t>
  </si>
  <si>
    <t>O02944</t>
  </si>
  <si>
    <t>O02945</t>
  </si>
  <si>
    <t>O02946</t>
  </si>
  <si>
    <t>O02947</t>
  </si>
  <si>
    <t>O02948</t>
  </si>
  <si>
    <t>O02949</t>
  </si>
  <si>
    <t>O02950</t>
  </si>
  <si>
    <t>O02951</t>
  </si>
  <si>
    <t>O02952</t>
  </si>
  <si>
    <t>O02953</t>
  </si>
  <si>
    <t>O02954</t>
  </si>
  <si>
    <t>O02955</t>
  </si>
  <si>
    <t>O02956</t>
  </si>
  <si>
    <t>O02957</t>
  </si>
  <si>
    <t>O02958</t>
  </si>
  <si>
    <t>O02959</t>
  </si>
  <si>
    <t>O02960</t>
  </si>
  <si>
    <t>O02961</t>
  </si>
  <si>
    <t>O02962</t>
  </si>
  <si>
    <t>O02963</t>
  </si>
  <si>
    <t>O02964</t>
  </si>
  <si>
    <t>O02965</t>
  </si>
  <si>
    <t>O02966</t>
  </si>
  <si>
    <t>O02967</t>
  </si>
  <si>
    <t>O02968</t>
  </si>
  <si>
    <t>O02969</t>
  </si>
  <si>
    <t>O02970</t>
  </si>
  <si>
    <t>O02971</t>
  </si>
  <si>
    <t>O02972</t>
  </si>
  <si>
    <t>O02973</t>
  </si>
  <si>
    <t>O02974</t>
  </si>
  <si>
    <t>O02975</t>
  </si>
  <si>
    <t>O02976</t>
  </si>
  <si>
    <t>O02977</t>
  </si>
  <si>
    <t>O02978</t>
  </si>
  <si>
    <t>O02979</t>
  </si>
  <si>
    <t>O02980</t>
  </si>
  <si>
    <t>O02981</t>
  </si>
  <si>
    <t>O02982</t>
  </si>
  <si>
    <t>O02983</t>
  </si>
  <si>
    <t>O02984</t>
  </si>
  <si>
    <t>O02985</t>
  </si>
  <si>
    <t>O02986</t>
  </si>
  <si>
    <t>O02987</t>
  </si>
  <si>
    <t>O02988</t>
  </si>
  <si>
    <t>O02989</t>
  </si>
  <si>
    <t>O02990</t>
  </si>
  <si>
    <t>O02991</t>
  </si>
  <si>
    <t>O02992</t>
  </si>
  <si>
    <t>O02993</t>
  </si>
  <si>
    <t>O02994</t>
  </si>
  <si>
    <t>O02995</t>
  </si>
  <si>
    <t>O02996</t>
  </si>
  <si>
    <t>O02997</t>
  </si>
  <si>
    <t>O02998</t>
  </si>
  <si>
    <t>O02999</t>
  </si>
  <si>
    <t>O03000</t>
  </si>
  <si>
    <t>customer_name</t>
  </si>
  <si>
    <t>industry</t>
  </si>
  <si>
    <t>segment</t>
  </si>
  <si>
    <t>region</t>
  </si>
  <si>
    <t>city</t>
  </si>
  <si>
    <t>Nexa Client 0001</t>
  </si>
  <si>
    <t>Banking</t>
  </si>
  <si>
    <t>Mid-Market</t>
  </si>
  <si>
    <t>South</t>
  </si>
  <si>
    <t>Chennai</t>
  </si>
  <si>
    <t>Nexa Client 0002</t>
  </si>
  <si>
    <t>Retail</t>
  </si>
  <si>
    <t>North</t>
  </si>
  <si>
    <t>Noida</t>
  </si>
  <si>
    <t>Nexa Client 0003</t>
  </si>
  <si>
    <t>Technology</t>
  </si>
  <si>
    <t>SMB</t>
  </si>
  <si>
    <t>Nexa Client 0004</t>
  </si>
  <si>
    <t>Hyderabad</t>
  </si>
  <si>
    <t>Nexa Client 0005</t>
  </si>
  <si>
    <t>Nexa Client 0006</t>
  </si>
  <si>
    <t>East</t>
  </si>
  <si>
    <t>Bhubaneswar</t>
  </si>
  <si>
    <t>Nexa Client 0007</t>
  </si>
  <si>
    <t>Bengaluru</t>
  </si>
  <si>
    <t>Nexa Client 0008</t>
  </si>
  <si>
    <t>West</t>
  </si>
  <si>
    <t>Pune</t>
  </si>
  <si>
    <t>Nexa Client 0009</t>
  </si>
  <si>
    <t>Nexa Client 0010</t>
  </si>
  <si>
    <t>Mumbai</t>
  </si>
  <si>
    <t>Nexa Client 0011</t>
  </si>
  <si>
    <t>Nexa Client 0012</t>
  </si>
  <si>
    <t>Nexa Client 0013</t>
  </si>
  <si>
    <t>Nexa Client 0014</t>
  </si>
  <si>
    <t>Logistics</t>
  </si>
  <si>
    <t>Nexa Client 0015</t>
  </si>
  <si>
    <t>Enterprise</t>
  </si>
  <si>
    <t>Nexa Client 0016</t>
  </si>
  <si>
    <t>Manufacturing</t>
  </si>
  <si>
    <t>Nexa Client 0017</t>
  </si>
  <si>
    <t>Healthcare</t>
  </si>
  <si>
    <t>Nexa Client 0018</t>
  </si>
  <si>
    <t>Ahmedabad</t>
  </si>
  <si>
    <t>Nexa Client 0019</t>
  </si>
  <si>
    <t>Nexa Client 0020</t>
  </si>
  <si>
    <t>Gurugram</t>
  </si>
  <si>
    <t>Nexa Client 0021</t>
  </si>
  <si>
    <t>Delhi</t>
  </si>
  <si>
    <t>Nexa Client 0022</t>
  </si>
  <si>
    <t>Nexa Client 0023</t>
  </si>
  <si>
    <t>Nexa Client 0024</t>
  </si>
  <si>
    <t>Nexa Client 0025</t>
  </si>
  <si>
    <t>Kolkata</t>
  </si>
  <si>
    <t>Nexa Client 0026</t>
  </si>
  <si>
    <t>Nexa Client 0027</t>
  </si>
  <si>
    <t>Nexa Client 0028</t>
  </si>
  <si>
    <t>Nexa Client 0029</t>
  </si>
  <si>
    <t>Nexa Client 0030</t>
  </si>
  <si>
    <t>Nexa Client 0031</t>
  </si>
  <si>
    <t>Guwahati</t>
  </si>
  <si>
    <t>Nexa Client 0032</t>
  </si>
  <si>
    <t>Nexa Client 0033</t>
  </si>
  <si>
    <t>Nexa Client 0034</t>
  </si>
  <si>
    <t>Nexa Client 0035</t>
  </si>
  <si>
    <t>Nexa Client 0036</t>
  </si>
  <si>
    <t>Nexa Client 0037</t>
  </si>
  <si>
    <t>Nexa Client 0038</t>
  </si>
  <si>
    <t>Nexa Client 0039</t>
  </si>
  <si>
    <t>Nexa Client 0040</t>
  </si>
  <si>
    <t>Nexa Client 0041</t>
  </si>
  <si>
    <t>Nexa Client 0042</t>
  </si>
  <si>
    <t>Nexa Client 0043</t>
  </si>
  <si>
    <t>Nexa Client 0044</t>
  </si>
  <si>
    <t>Nexa Client 0045</t>
  </si>
  <si>
    <t>Nexa Client 0046</t>
  </si>
  <si>
    <t>Nexa Client 0047</t>
  </si>
  <si>
    <t>Nexa Client 0048</t>
  </si>
  <si>
    <t>Nexa Client 0049</t>
  </si>
  <si>
    <t>Nexa Client 0050</t>
  </si>
  <si>
    <t>Nexa Client 0051</t>
  </si>
  <si>
    <t>Nexa Client 0052</t>
  </si>
  <si>
    <t>Nexa Client 0053</t>
  </si>
  <si>
    <t>Nexa Client 0054</t>
  </si>
  <si>
    <t>Nexa Client 0055</t>
  </si>
  <si>
    <t>Nexa Client 0056</t>
  </si>
  <si>
    <t>Nexa Client 0057</t>
  </si>
  <si>
    <t>Nexa Client 0058</t>
  </si>
  <si>
    <t>Nexa Client 0059</t>
  </si>
  <si>
    <t>Nexa Client 0060</t>
  </si>
  <si>
    <t>Nexa Client 0061</t>
  </si>
  <si>
    <t>Nexa Client 0062</t>
  </si>
  <si>
    <t>Nexa Client 0063</t>
  </si>
  <si>
    <t>Nexa Client 0064</t>
  </si>
  <si>
    <t>Nexa Client 0065</t>
  </si>
  <si>
    <t>Nexa Client 0066</t>
  </si>
  <si>
    <t>Nexa Client 0067</t>
  </si>
  <si>
    <t>Nexa Client 0068</t>
  </si>
  <si>
    <t>Nexa Client 0069</t>
  </si>
  <si>
    <t>Nexa Client 0070</t>
  </si>
  <si>
    <t>Nexa Client 0071</t>
  </si>
  <si>
    <t>Nexa Client 0072</t>
  </si>
  <si>
    <t>Nexa Client 0073</t>
  </si>
  <si>
    <t>Nexa Client 0074</t>
  </si>
  <si>
    <t>Nexa Client 0075</t>
  </si>
  <si>
    <t>Nexa Client 0076</t>
  </si>
  <si>
    <t>Nexa Client 0077</t>
  </si>
  <si>
    <t>Nexa Client 0078</t>
  </si>
  <si>
    <t>Nexa Client 0079</t>
  </si>
  <si>
    <t>Nexa Client 0080</t>
  </si>
  <si>
    <t>Nexa Client 0081</t>
  </si>
  <si>
    <t>Nexa Client 0082</t>
  </si>
  <si>
    <t>Nexa Client 0083</t>
  </si>
  <si>
    <t>Nexa Client 0084</t>
  </si>
  <si>
    <t>Nexa Client 0085</t>
  </si>
  <si>
    <t>Nexa Client 0086</t>
  </si>
  <si>
    <t>Nexa Client 0087</t>
  </si>
  <si>
    <t>Nexa Client 0088</t>
  </si>
  <si>
    <t>Nexa Client 0089</t>
  </si>
  <si>
    <t>Nexa Client 0090</t>
  </si>
  <si>
    <t>Nexa Client 0091</t>
  </si>
  <si>
    <t>Nexa Client 0092</t>
  </si>
  <si>
    <t>Nexa Client 0093</t>
  </si>
  <si>
    <t>Nexa Client 0094</t>
  </si>
  <si>
    <t>Nexa Client 0095</t>
  </si>
  <si>
    <t>Nexa Client 0096</t>
  </si>
  <si>
    <t>Nexa Client 0097</t>
  </si>
  <si>
    <t>Nexa Client 0098</t>
  </si>
  <si>
    <t>Nexa Client 0099</t>
  </si>
  <si>
    <t>Nexa Client 0100</t>
  </si>
  <si>
    <t>Nexa Client 0101</t>
  </si>
  <si>
    <t>Nexa Client 0102</t>
  </si>
  <si>
    <t>Nexa Client 0103</t>
  </si>
  <si>
    <t>Nexa Client 0104</t>
  </si>
  <si>
    <t>Nexa Client 0105</t>
  </si>
  <si>
    <t>Nexa Client 0106</t>
  </si>
  <si>
    <t>Nexa Client 0107</t>
  </si>
  <si>
    <t>Nexa Client 0108</t>
  </si>
  <si>
    <t>Nexa Client 0109</t>
  </si>
  <si>
    <t>Nexa Client 0110</t>
  </si>
  <si>
    <t>Nexa Client 0111</t>
  </si>
  <si>
    <t>Nexa Client 0112</t>
  </si>
  <si>
    <t>Nexa Client 0113</t>
  </si>
  <si>
    <t>Nexa Client 0114</t>
  </si>
  <si>
    <t>Nexa Client 0115</t>
  </si>
  <si>
    <t>Nexa Client 0116</t>
  </si>
  <si>
    <t>Nexa Client 0117</t>
  </si>
  <si>
    <t>Nexa Client 0118</t>
  </si>
  <si>
    <t>Nexa Client 0119</t>
  </si>
  <si>
    <t>Nexa Client 0120</t>
  </si>
  <si>
    <t>Nexa Client 0121</t>
  </si>
  <si>
    <t>Nexa Client 0122</t>
  </si>
  <si>
    <t>Nexa Client 0123</t>
  </si>
  <si>
    <t>Nexa Client 0124</t>
  </si>
  <si>
    <t>Nexa Client 0125</t>
  </si>
  <si>
    <t>Nexa Client 0126</t>
  </si>
  <si>
    <t>Nexa Client 0127</t>
  </si>
  <si>
    <t>Nexa Client 0128</t>
  </si>
  <si>
    <t>Nexa Client 0129</t>
  </si>
  <si>
    <t>Nexa Client 0130</t>
  </si>
  <si>
    <t>Nexa Client 0131</t>
  </si>
  <si>
    <t>Nexa Client 0132</t>
  </si>
  <si>
    <t>Nexa Client 0133</t>
  </si>
  <si>
    <t>Nexa Client 0134</t>
  </si>
  <si>
    <t>Nexa Client 0135</t>
  </si>
  <si>
    <t>Nexa Client 0136</t>
  </si>
  <si>
    <t>Nexa Client 0137</t>
  </si>
  <si>
    <t>Nexa Client 0138</t>
  </si>
  <si>
    <t>Nexa Client 0139</t>
  </si>
  <si>
    <t>Nexa Client 0140</t>
  </si>
  <si>
    <t>Nexa Client 0141</t>
  </si>
  <si>
    <t>Nexa Client 0142</t>
  </si>
  <si>
    <t>Nexa Client 0143</t>
  </si>
  <si>
    <t>Nexa Client 0144</t>
  </si>
  <si>
    <t>Nexa Client 0145</t>
  </si>
  <si>
    <t>Nexa Client 0146</t>
  </si>
  <si>
    <t>Nexa Client 0147</t>
  </si>
  <si>
    <t>Nexa Client 0148</t>
  </si>
  <si>
    <t>Nexa Client 0149</t>
  </si>
  <si>
    <t>Nexa Client 0150</t>
  </si>
  <si>
    <t>Nexa Client 0151</t>
  </si>
  <si>
    <t>Nexa Client 0152</t>
  </si>
  <si>
    <t>Nexa Client 0153</t>
  </si>
  <si>
    <t>Nexa Client 0154</t>
  </si>
  <si>
    <t>Nexa Client 0155</t>
  </si>
  <si>
    <t>Nexa Client 0156</t>
  </si>
  <si>
    <t>Nexa Client 0157</t>
  </si>
  <si>
    <t>Nexa Client 0158</t>
  </si>
  <si>
    <t>Nexa Client 0159</t>
  </si>
  <si>
    <t>Nexa Client 0160</t>
  </si>
  <si>
    <t>Nexa Client 0161</t>
  </si>
  <si>
    <t>Nexa Client 0162</t>
  </si>
  <si>
    <t>Nexa Client 0163</t>
  </si>
  <si>
    <t>Nexa Client 0164</t>
  </si>
  <si>
    <t>Nexa Client 0165</t>
  </si>
  <si>
    <t>Nexa Client 0166</t>
  </si>
  <si>
    <t>Nexa Client 0167</t>
  </si>
  <si>
    <t>Nexa Client 0168</t>
  </si>
  <si>
    <t>Nexa Client 0169</t>
  </si>
  <si>
    <t>Nexa Client 0170</t>
  </si>
  <si>
    <t>Nexa Client 0171</t>
  </si>
  <si>
    <t>Nexa Client 0172</t>
  </si>
  <si>
    <t>Nexa Client 0173</t>
  </si>
  <si>
    <t>Nexa Client 0174</t>
  </si>
  <si>
    <t>Nexa Client 0175</t>
  </si>
  <si>
    <t>Nexa Client 0176</t>
  </si>
  <si>
    <t>Nexa Client 0177</t>
  </si>
  <si>
    <t>Nexa Client 0178</t>
  </si>
  <si>
    <t>Nexa Client 0179</t>
  </si>
  <si>
    <t>Nexa Client 0180</t>
  </si>
  <si>
    <t>Nexa Client 0181</t>
  </si>
  <si>
    <t>Nexa Client 0182</t>
  </si>
  <si>
    <t>Nexa Client 0183</t>
  </si>
  <si>
    <t>Nexa Client 0184</t>
  </si>
  <si>
    <t>Nexa Client 0185</t>
  </si>
  <si>
    <t>Nexa Client 0186</t>
  </si>
  <si>
    <t>Nexa Client 0187</t>
  </si>
  <si>
    <t>Nexa Client 0188</t>
  </si>
  <si>
    <t>Nexa Client 0189</t>
  </si>
  <si>
    <t>Nexa Client 0190</t>
  </si>
  <si>
    <t>Nexa Client 0191</t>
  </si>
  <si>
    <t>Nexa Client 0192</t>
  </si>
  <si>
    <t>Nexa Client 0193</t>
  </si>
  <si>
    <t>Nexa Client 0194</t>
  </si>
  <si>
    <t>Nexa Client 0195</t>
  </si>
  <si>
    <t>Nexa Client 0196</t>
  </si>
  <si>
    <t>Nexa Client 0197</t>
  </si>
  <si>
    <t>Nexa Client 0198</t>
  </si>
  <si>
    <t>Nexa Client 0199</t>
  </si>
  <si>
    <t>Nexa Client 0200</t>
  </si>
  <si>
    <t>Nexa Client 0201</t>
  </si>
  <si>
    <t>Nexa Client 0202</t>
  </si>
  <si>
    <t>Nexa Client 0203</t>
  </si>
  <si>
    <t>Nexa Client 0204</t>
  </si>
  <si>
    <t>Nexa Client 0205</t>
  </si>
  <si>
    <t>Nexa Client 0206</t>
  </si>
  <si>
    <t>Nexa Client 0207</t>
  </si>
  <si>
    <t>Nexa Client 0208</t>
  </si>
  <si>
    <t>Nexa Client 0209</t>
  </si>
  <si>
    <t>Nexa Client 0210</t>
  </si>
  <si>
    <t>Nexa Client 0211</t>
  </si>
  <si>
    <t>Nexa Client 0212</t>
  </si>
  <si>
    <t>Nexa Client 0213</t>
  </si>
  <si>
    <t>Nexa Client 0214</t>
  </si>
  <si>
    <t>Nexa Client 0215</t>
  </si>
  <si>
    <t>Nexa Client 0216</t>
  </si>
  <si>
    <t>Nexa Client 0217</t>
  </si>
  <si>
    <t>Nexa Client 0218</t>
  </si>
  <si>
    <t>Nexa Client 0219</t>
  </si>
  <si>
    <t>Nexa Client 0220</t>
  </si>
  <si>
    <t>Nexa Client 0221</t>
  </si>
  <si>
    <t>Nexa Client 0222</t>
  </si>
  <si>
    <t>Nexa Client 0223</t>
  </si>
  <si>
    <t>Nexa Client 0224</t>
  </si>
  <si>
    <t>Nexa Client 0225</t>
  </si>
  <si>
    <t>Nexa Client 0226</t>
  </si>
  <si>
    <t>Nexa Client 0227</t>
  </si>
  <si>
    <t>Nexa Client 0228</t>
  </si>
  <si>
    <t>Nexa Client 0229</t>
  </si>
  <si>
    <t>Nexa Client 0230</t>
  </si>
  <si>
    <t>Nexa Client 0231</t>
  </si>
  <si>
    <t>Nexa Client 0232</t>
  </si>
  <si>
    <t>Nexa Client 0233</t>
  </si>
  <si>
    <t>Nexa Client 0234</t>
  </si>
  <si>
    <t>Nexa Client 0235</t>
  </si>
  <si>
    <t>Nexa Client 0236</t>
  </si>
  <si>
    <t>Nexa Client 0237</t>
  </si>
  <si>
    <t>Nexa Client 0238</t>
  </si>
  <si>
    <t>Nexa Client 0239</t>
  </si>
  <si>
    <t>Nexa Client 0240</t>
  </si>
  <si>
    <t>Nexa Client 0241</t>
  </si>
  <si>
    <t>Nexa Client 0242</t>
  </si>
  <si>
    <t>Nexa Client 0243</t>
  </si>
  <si>
    <t>Nexa Client 0244</t>
  </si>
  <si>
    <t>Nexa Client 0245</t>
  </si>
  <si>
    <t>Nexa Client 0246</t>
  </si>
  <si>
    <t>Nexa Client 0247</t>
  </si>
  <si>
    <t>Nexa Client 0248</t>
  </si>
  <si>
    <t>Nexa Client 0249</t>
  </si>
  <si>
    <t>Nexa Client 0250</t>
  </si>
  <si>
    <t>Nexa Client 0251</t>
  </si>
  <si>
    <t>Nexa Client 0252</t>
  </si>
  <si>
    <t>Nexa Client 0253</t>
  </si>
  <si>
    <t>Nexa Client 0254</t>
  </si>
  <si>
    <t>Nexa Client 0255</t>
  </si>
  <si>
    <t>Nexa Client 0256</t>
  </si>
  <si>
    <t>Nexa Client 0257</t>
  </si>
  <si>
    <t>Nexa Client 0258</t>
  </si>
  <si>
    <t>Nexa Client 0259</t>
  </si>
  <si>
    <t>Nexa Client 0260</t>
  </si>
  <si>
    <t>Nexa Client 0261</t>
  </si>
  <si>
    <t>Nexa Client 0262</t>
  </si>
  <si>
    <t>Nexa Client 0263</t>
  </si>
  <si>
    <t>Nexa Client 0264</t>
  </si>
  <si>
    <t>Nexa Client 0265</t>
  </si>
  <si>
    <t>Nexa Client 0266</t>
  </si>
  <si>
    <t>Nexa Client 0267</t>
  </si>
  <si>
    <t>Nexa Client 0268</t>
  </si>
  <si>
    <t>Nexa Client 0269</t>
  </si>
  <si>
    <t>Nexa Client 0270</t>
  </si>
  <si>
    <t>Nexa Client 0271</t>
  </si>
  <si>
    <t>Nexa Client 0272</t>
  </si>
  <si>
    <t>Nexa Client 0273</t>
  </si>
  <si>
    <t>Nexa Client 0274</t>
  </si>
  <si>
    <t>Nexa Client 0275</t>
  </si>
  <si>
    <t>Nexa Client 0276</t>
  </si>
  <si>
    <t>Nexa Client 0277</t>
  </si>
  <si>
    <t>Nexa Client 0278</t>
  </si>
  <si>
    <t>Nexa Client 0279</t>
  </si>
  <si>
    <t>Nexa Client 0280</t>
  </si>
  <si>
    <t>Nexa Client 0281</t>
  </si>
  <si>
    <t>Nexa Client 0282</t>
  </si>
  <si>
    <t>Nexa Client 0283</t>
  </si>
  <si>
    <t>Nexa Client 0284</t>
  </si>
  <si>
    <t>Nexa Client 0285</t>
  </si>
  <si>
    <t>Nexa Client 0286</t>
  </si>
  <si>
    <t>Nexa Client 0287</t>
  </si>
  <si>
    <t>Nexa Client 0288</t>
  </si>
  <si>
    <t>Nexa Client 0289</t>
  </si>
  <si>
    <t>Nexa Client 0290</t>
  </si>
  <si>
    <t>Nexa Client 0291</t>
  </si>
  <si>
    <t>Nexa Client 0292</t>
  </si>
  <si>
    <t>Nexa Client 0293</t>
  </si>
  <si>
    <t>Nexa Client 0294</t>
  </si>
  <si>
    <t>Nexa Client 0295</t>
  </si>
  <si>
    <t>Nexa Client 0296</t>
  </si>
  <si>
    <t>Nexa Client 0297</t>
  </si>
  <si>
    <t>Nexa Client 0298</t>
  </si>
  <si>
    <t>Nexa Client 0299</t>
  </si>
  <si>
    <t>Nexa Client 0300</t>
  </si>
  <si>
    <t>Nexa Client 0301</t>
  </si>
  <si>
    <t>Nexa Client 0302</t>
  </si>
  <si>
    <t>Nexa Client 0303</t>
  </si>
  <si>
    <t>Nexa Client 0304</t>
  </si>
  <si>
    <t>Nexa Client 0305</t>
  </si>
  <si>
    <t>Nexa Client 0306</t>
  </si>
  <si>
    <t>Nexa Client 0307</t>
  </si>
  <si>
    <t>Nexa Client 0308</t>
  </si>
  <si>
    <t>Nexa Client 0309</t>
  </si>
  <si>
    <t>Nexa Client 0310</t>
  </si>
  <si>
    <t>Nexa Client 0311</t>
  </si>
  <si>
    <t>C0312</t>
  </si>
  <si>
    <t>Nexa Client 0312</t>
  </si>
  <si>
    <t>Nexa Client 0313</t>
  </si>
  <si>
    <t>Nexa Client 0314</t>
  </si>
  <si>
    <t>Nexa Client 0315</t>
  </si>
  <si>
    <t>Nexa Client 0316</t>
  </si>
  <si>
    <t>Nexa Client 0317</t>
  </si>
  <si>
    <t>Nexa Client 0318</t>
  </si>
  <si>
    <t>Nexa Client 0319</t>
  </si>
  <si>
    <t>Nexa Client 0320</t>
  </si>
  <si>
    <t>Nexa Client 0321</t>
  </si>
  <si>
    <t>Nexa Client 0322</t>
  </si>
  <si>
    <t>Nexa Client 0323</t>
  </si>
  <si>
    <t>Nexa Client 0324</t>
  </si>
  <si>
    <t>Nexa Client 0325</t>
  </si>
  <si>
    <t>Nexa Client 0326</t>
  </si>
  <si>
    <t>Nexa Client 0327</t>
  </si>
  <si>
    <t>Nexa Client 0328</t>
  </si>
  <si>
    <t>Nexa Client 0329</t>
  </si>
  <si>
    <t>Nexa Client 0330</t>
  </si>
  <si>
    <t>Nexa Client 0331</t>
  </si>
  <si>
    <t>Nexa Client 0332</t>
  </si>
  <si>
    <t>Nexa Client 0333</t>
  </si>
  <si>
    <t>Nexa Client 0334</t>
  </si>
  <si>
    <t>Nexa Client 0335</t>
  </si>
  <si>
    <t>Nexa Client 0336</t>
  </si>
  <si>
    <t>Nexa Client 0337</t>
  </si>
  <si>
    <t>Nexa Client 0338</t>
  </si>
  <si>
    <t>Nexa Client 0339</t>
  </si>
  <si>
    <t>Nexa Client 0340</t>
  </si>
  <si>
    <t>Nexa Client 0341</t>
  </si>
  <si>
    <t>Nexa Client 0342</t>
  </si>
  <si>
    <t>Nexa Client 0343</t>
  </si>
  <si>
    <t>Nexa Client 0344</t>
  </si>
  <si>
    <t>Nexa Client 0345</t>
  </si>
  <si>
    <t>Nexa Client 0346</t>
  </si>
  <si>
    <t>Nexa Client 0347</t>
  </si>
  <si>
    <t>Nexa Client 0348</t>
  </si>
  <si>
    <t>Nexa Client 0349</t>
  </si>
  <si>
    <t>Nexa Client 0350</t>
  </si>
  <si>
    <t>Nexa Client 0351</t>
  </si>
  <si>
    <t>Nexa Client 0352</t>
  </si>
  <si>
    <t>Nexa Client 0353</t>
  </si>
  <si>
    <t>Nexa Client 0354</t>
  </si>
  <si>
    <t>Nexa Client 0355</t>
  </si>
  <si>
    <t>Nexa Client 0356</t>
  </si>
  <si>
    <t>Nexa Client 0357</t>
  </si>
  <si>
    <t>Nexa Client 0358</t>
  </si>
  <si>
    <t>Nexa Client 0359</t>
  </si>
  <si>
    <t>Nexa Client 0360</t>
  </si>
  <si>
    <t>Nexa Client 0361</t>
  </si>
  <si>
    <t>Nexa Client 0362</t>
  </si>
  <si>
    <t>Nexa Client 0363</t>
  </si>
  <si>
    <t>Nexa Client 0364</t>
  </si>
  <si>
    <t>Nexa Client 0365</t>
  </si>
  <si>
    <t>Nexa Client 0366</t>
  </si>
  <si>
    <t>Nexa Client 0367</t>
  </si>
  <si>
    <t>Nexa Client 0368</t>
  </si>
  <si>
    <t>Nexa Client 0369</t>
  </si>
  <si>
    <t>Nexa Client 0370</t>
  </si>
  <si>
    <t>Nexa Client 0371</t>
  </si>
  <si>
    <t>Nexa Client 0372</t>
  </si>
  <si>
    <t>Nexa Client 0373</t>
  </si>
  <si>
    <t>Nexa Client 0374</t>
  </si>
  <si>
    <t>Nexa Client 0375</t>
  </si>
  <si>
    <t>Nexa Client 0376</t>
  </si>
  <si>
    <t>Nexa Client 0377</t>
  </si>
  <si>
    <t>Nexa Client 0378</t>
  </si>
  <si>
    <t>Nexa Client 0379</t>
  </si>
  <si>
    <t>Nexa Client 0380</t>
  </si>
  <si>
    <t>Nexa Client 0381</t>
  </si>
  <si>
    <t>Nexa Client 0382</t>
  </si>
  <si>
    <t>Nexa Client 0383</t>
  </si>
  <si>
    <t>Nexa Client 0384</t>
  </si>
  <si>
    <t>Nexa Client 0385</t>
  </si>
  <si>
    <t>Nexa Client 0386</t>
  </si>
  <si>
    <t>Nexa Client 0387</t>
  </si>
  <si>
    <t>Nexa Client 0388</t>
  </si>
  <si>
    <t>Nexa Client 0389</t>
  </si>
  <si>
    <t>Nexa Client 0390</t>
  </si>
  <si>
    <t>Nexa Client 0391</t>
  </si>
  <si>
    <t>Nexa Client 0392</t>
  </si>
  <si>
    <t>Nexa Client 0393</t>
  </si>
  <si>
    <t>Nexa Client 0394</t>
  </si>
  <si>
    <t>Nexa Client 0395</t>
  </si>
  <si>
    <t>Nexa Client 0396</t>
  </si>
  <si>
    <t>Nexa Client 0397</t>
  </si>
  <si>
    <t>Nexa Client 0398</t>
  </si>
  <si>
    <t>Nexa Client 0399</t>
  </si>
  <si>
    <t>Nexa Client 0400</t>
  </si>
  <si>
    <t>Nexa Client 0401</t>
  </si>
  <si>
    <t>Nexa Client 0402</t>
  </si>
  <si>
    <t>Nexa Client 0403</t>
  </si>
  <si>
    <t>Nexa Client 0404</t>
  </si>
  <si>
    <t>Nexa Client 0405</t>
  </si>
  <si>
    <t>Nexa Client 0406</t>
  </si>
  <si>
    <t>Nexa Client 0407</t>
  </si>
  <si>
    <t>Nexa Client 0408</t>
  </si>
  <si>
    <t>Nexa Client 0409</t>
  </si>
  <si>
    <t>Nexa Client 0410</t>
  </si>
  <si>
    <t>Nexa Client 0411</t>
  </si>
  <si>
    <t>Nexa Client 0412</t>
  </si>
  <si>
    <t>Nexa Client 0413</t>
  </si>
  <si>
    <t>Nexa Client 0414</t>
  </si>
  <si>
    <t>Nexa Client 0415</t>
  </si>
  <si>
    <t>Nexa Client 0416</t>
  </si>
  <si>
    <t>Nexa Client 0417</t>
  </si>
  <si>
    <t>Nexa Client 0418</t>
  </si>
  <si>
    <t>Nexa Client 0419</t>
  </si>
  <si>
    <t>Nexa Client 0420</t>
  </si>
  <si>
    <t>Nexa Client 0421</t>
  </si>
  <si>
    <t>Nexa Client 0422</t>
  </si>
  <si>
    <t>Nexa Client 0423</t>
  </si>
  <si>
    <t>Nexa Client 0424</t>
  </si>
  <si>
    <t>Nexa Client 0425</t>
  </si>
  <si>
    <t>Nexa Client 0426</t>
  </si>
  <si>
    <t>Nexa Client 0427</t>
  </si>
  <si>
    <t>Nexa Client 0428</t>
  </si>
  <si>
    <t>Nexa Client 0429</t>
  </si>
  <si>
    <t>Nexa Client 0430</t>
  </si>
  <si>
    <t>Nexa Client 0431</t>
  </si>
  <si>
    <t>Nexa Client 0432</t>
  </si>
  <si>
    <t>Nexa Client 0433</t>
  </si>
  <si>
    <t>Nexa Client 0434</t>
  </si>
  <si>
    <t>Nexa Client 0435</t>
  </si>
  <si>
    <t>Nexa Client 0436</t>
  </si>
  <si>
    <t>Nexa Client 0437</t>
  </si>
  <si>
    <t>Nexa Client 0438</t>
  </si>
  <si>
    <t>Nexa Client 0439</t>
  </si>
  <si>
    <t>Nexa Client 0440</t>
  </si>
  <si>
    <t>Nexa Client 0441</t>
  </si>
  <si>
    <t>Nexa Client 0442</t>
  </si>
  <si>
    <t>Nexa Client 0443</t>
  </si>
  <si>
    <t>Nexa Client 0444</t>
  </si>
  <si>
    <t>Nexa Client 0445</t>
  </si>
  <si>
    <t>Nexa Client 0446</t>
  </si>
  <si>
    <t>Nexa Client 0447</t>
  </si>
  <si>
    <t>Nexa Client 0448</t>
  </si>
  <si>
    <t>Nexa Client 0449</t>
  </si>
  <si>
    <t>Nexa Client 0450</t>
  </si>
  <si>
    <t>Nexa Client 0451</t>
  </si>
  <si>
    <t>Nexa Client 0452</t>
  </si>
  <si>
    <t>Nexa Client 0453</t>
  </si>
  <si>
    <t>Nexa Client 0454</t>
  </si>
  <si>
    <t>Nexa Client 0455</t>
  </si>
  <si>
    <t>Nexa Client 0456</t>
  </si>
  <si>
    <t>Nexa Client 0457</t>
  </si>
  <si>
    <t>Nexa Client 0458</t>
  </si>
  <si>
    <t>Nexa Client 0459</t>
  </si>
  <si>
    <t>Nexa Client 0460</t>
  </si>
  <si>
    <t>Nexa Client 0461</t>
  </si>
  <si>
    <t>Nexa Client 0462</t>
  </si>
  <si>
    <t>Nexa Client 0463</t>
  </si>
  <si>
    <t>Nexa Client 0464</t>
  </si>
  <si>
    <t>Nexa Client 0465</t>
  </si>
  <si>
    <t>Nexa Client 0466</t>
  </si>
  <si>
    <t>Nexa Client 0467</t>
  </si>
  <si>
    <t>Nexa Client 0468</t>
  </si>
  <si>
    <t>Nexa Client 0469</t>
  </si>
  <si>
    <t>Nexa Client 0470</t>
  </si>
  <si>
    <t>Nexa Client 0471</t>
  </si>
  <si>
    <t>Nexa Client 0472</t>
  </si>
  <si>
    <t>Nexa Client 0473</t>
  </si>
  <si>
    <t>Nexa Client 0474</t>
  </si>
  <si>
    <t>Nexa Client 0475</t>
  </si>
  <si>
    <t>Nexa Client 0476</t>
  </si>
  <si>
    <t>Nexa Client 0477</t>
  </si>
  <si>
    <t>Nexa Client 0478</t>
  </si>
  <si>
    <t>Nexa Client 0479</t>
  </si>
  <si>
    <t>Nexa Client 0480</t>
  </si>
  <si>
    <t>Nexa Client 0481</t>
  </si>
  <si>
    <t>Nexa Client 0482</t>
  </si>
  <si>
    <t>Nexa Client 0483</t>
  </si>
  <si>
    <t>Nexa Client 0484</t>
  </si>
  <si>
    <t>Nexa Client 0485</t>
  </si>
  <si>
    <t>Nexa Client 0486</t>
  </si>
  <si>
    <t>Nexa Client 0487</t>
  </si>
  <si>
    <t>Nexa Client 0488</t>
  </si>
  <si>
    <t>Nexa Client 0489</t>
  </si>
  <si>
    <t>Nexa Client 0490</t>
  </si>
  <si>
    <t>Nexa Client 0491</t>
  </si>
  <si>
    <t>Nexa Client 0492</t>
  </si>
  <si>
    <t>Nexa Client 0493</t>
  </si>
  <si>
    <t>Nexa Client 0494</t>
  </si>
  <si>
    <t>Nexa Client 0495</t>
  </si>
  <si>
    <t>Nexa Client 0496</t>
  </si>
  <si>
    <t>Nexa Client 0497</t>
  </si>
  <si>
    <t>Nexa Client 0498</t>
  </si>
  <si>
    <t>Nexa Client 0499</t>
  </si>
  <si>
    <t>Nexa Client 0500</t>
  </si>
  <si>
    <t>product_name</t>
  </si>
  <si>
    <t>category</t>
  </si>
  <si>
    <t>annual_list_price_inr</t>
  </si>
  <si>
    <t>CRM Essentials</t>
  </si>
  <si>
    <t>CRM</t>
  </si>
  <si>
    <t>CRM Enterprise</t>
  </si>
  <si>
    <t>Workflow Automate</t>
  </si>
  <si>
    <t>Automation</t>
  </si>
  <si>
    <t>Analytics Cloud</t>
  </si>
  <si>
    <t>Analytics</t>
  </si>
  <si>
    <t>Support Desk</t>
  </si>
  <si>
    <t>Service</t>
  </si>
  <si>
    <t>Security Suite</t>
  </si>
  <si>
    <t>Security</t>
  </si>
  <si>
    <t>rep_name</t>
  </si>
  <si>
    <t>team</t>
  </si>
  <si>
    <t>annual_target_inr</t>
  </si>
  <si>
    <t>Sales Rep 01</t>
  </si>
  <si>
    <t>South Sales</t>
  </si>
  <si>
    <t>Sales Rep 02</t>
  </si>
  <si>
    <t>Sales Rep 03</t>
  </si>
  <si>
    <t>Sales Rep 04</t>
  </si>
  <si>
    <t>Sales Rep 05</t>
  </si>
  <si>
    <t>Sales Rep 06</t>
  </si>
  <si>
    <t>North Sales</t>
  </si>
  <si>
    <t>Sales Rep 07</t>
  </si>
  <si>
    <t>Sales Rep 08</t>
  </si>
  <si>
    <t>Sales Rep 09</t>
  </si>
  <si>
    <t>Sales Rep 10</t>
  </si>
  <si>
    <t>Sales Rep 11</t>
  </si>
  <si>
    <t>West Sales</t>
  </si>
  <si>
    <t>Sales Rep 12</t>
  </si>
  <si>
    <t>Sales Rep 13</t>
  </si>
  <si>
    <t>Sales Rep 14</t>
  </si>
  <si>
    <t>Sales Rep 15</t>
  </si>
  <si>
    <t>Sales Rep 16</t>
  </si>
  <si>
    <t>East Sales</t>
  </si>
  <si>
    <t>Sales Rep 17</t>
  </si>
  <si>
    <t>Sales Rep 18</t>
  </si>
  <si>
    <t>Sales Rep 19</t>
  </si>
  <si>
    <t>Sales Rep 20</t>
  </si>
  <si>
    <t>activity_id</t>
  </si>
  <si>
    <t>activity_date</t>
  </si>
  <si>
    <t>activity_type</t>
  </si>
  <si>
    <t>outcome</t>
  </si>
  <si>
    <t>A000001</t>
  </si>
  <si>
    <t>Meeting</t>
  </si>
  <si>
    <t>Next step scheduled</t>
  </si>
  <si>
    <t>A000002</t>
  </si>
  <si>
    <t>Demo</t>
  </si>
  <si>
    <t>A000003</t>
  </si>
  <si>
    <t>Follow-up</t>
  </si>
  <si>
    <t>A000004</t>
  </si>
  <si>
    <t>A000005</t>
  </si>
  <si>
    <t>A000006</t>
  </si>
  <si>
    <t>Call</t>
  </si>
  <si>
    <t>A000007</t>
  </si>
  <si>
    <t>Email</t>
  </si>
  <si>
    <t>A000008</t>
  </si>
  <si>
    <t>Customer responded</t>
  </si>
  <si>
    <t>A000009</t>
  </si>
  <si>
    <t>Completed</t>
  </si>
  <si>
    <t>A000010</t>
  </si>
  <si>
    <t>A000011</t>
  </si>
  <si>
    <t>A000012</t>
  </si>
  <si>
    <t>A000013</t>
  </si>
  <si>
    <t>A000014</t>
  </si>
  <si>
    <t>A000015</t>
  </si>
  <si>
    <t>A000016</t>
  </si>
  <si>
    <t>A000017</t>
  </si>
  <si>
    <t>A000018</t>
  </si>
  <si>
    <t>A000019</t>
  </si>
  <si>
    <t>A000020</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</si>
  <si>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</si>
  <si>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</si>
  <si>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</si>
  <si>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</si>
  <si>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</si>
  <si>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</si>
  <si>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</si>
  <si>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</si>
  <si>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</si>
  <si>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</si>
  <si>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</si>
  <si>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</si>
  <si>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</si>
  <si>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</si>
  <si>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</si>
  <si>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</si>
  <si>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</si>
  <si>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</si>
  <si>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</si>
  <si>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</si>
  <si>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</si>
  <si>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</si>
  <si>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</si>
  <si>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</si>
  <si>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</si>
  <si>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</si>
  <si>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</si>
  <si>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</si>
  <si>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</si>
  <si>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</si>
  <si>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</si>
  <si>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</si>
  <si>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</si>
  <si>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</si>
  <si>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</si>
  <si>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</si>
  <si>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</si>
  <si>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</si>
  <si>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</si>
  <si>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</si>
  <si>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</si>
  <si>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</si>
  <si>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</si>
  <si>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</si>
  <si>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</si>
  <si>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</si>
  <si>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</si>
  <si>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</si>
  <si>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</si>
  <si>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</si>
  <si>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</si>
  <si>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</si>
  <si>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</si>
  <si>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</si>
  <si>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</si>
  <si>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</si>
  <si>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</si>
  <si>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</si>
  <si>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</si>
  <si>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</si>
  <si>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</si>
  <si>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</si>
  <si>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</si>
  <si>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</si>
  <si>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</si>
  <si>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</si>
  <si>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</si>
  <si>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</si>
  <si>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</si>
  <si>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</si>
  <si>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</si>
  <si>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</si>
  <si>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</si>
  <si>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</si>
  <si>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</si>
  <si>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</si>
  <si>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</si>
  <si>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</si>
  <si>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</si>
  <si>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</si>
  <si>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</si>
  <si>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</si>
  <si>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</si>
  <si>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</si>
  <si>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</si>
  <si>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</si>
  <si>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</si>
  <si>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</si>
  <si>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</si>
  <si>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</si>
  <si>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</si>
  <si>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</si>
  <si>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</si>
  <si>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</si>
  <si>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</si>
  <si>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</si>
  <si>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</si>
  <si>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</si>
  <si>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</si>
  <si>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</si>
  <si>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</si>
  <si>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</si>
  <si>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</si>
  <si>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</si>
  <si>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</si>
  <si>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</si>
  <si>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</si>
  <si>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</si>
  <si>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</si>
  <si>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</si>
  <si>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</si>
  <si>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</si>
  <si>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</si>
  <si>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</si>
  <si>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</si>
  <si>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</si>
  <si>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</si>
  <si>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</si>
  <si>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</si>
  <si>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</si>
  <si>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</si>
  <si>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</si>
  <si>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</si>
  <si>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</si>
  <si>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</si>
  <si>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</si>
  <si>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</si>
  <si>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</si>
  <si>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</si>
  <si>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</si>
  <si>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</si>
  <si>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</si>
  <si>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</si>
  <si>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</si>
  <si>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</si>
  <si>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</si>
  <si>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</si>
  <si>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</si>
  <si>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</si>
  <si>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</si>
  <si>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</si>
  <si>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</si>
  <si>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</si>
  <si>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</si>
  <si>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</si>
  <si>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</si>
  <si>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</si>
  <si>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</si>
  <si>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</si>
  <si>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</si>
  <si>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</si>
  <si>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</si>
  <si>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</si>
  <si>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</si>
  <si>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</si>
  <si>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</si>
  <si>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</si>
  <si>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</si>
  <si>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</si>
  <si>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</si>
  <si>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</si>
  <si>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</si>
  <si>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</si>
  <si>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</si>
  <si>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</si>
  <si>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</si>
  <si>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</si>
  <si>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</si>
  <si>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</si>
  <si>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</si>
  <si>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</si>
  <si>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</si>
  <si>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</si>
  <si>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</si>
  <si>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</si>
  <si>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</si>
  <si>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</si>
  <si>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</si>
  <si>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</si>
  <si>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</si>
  <si>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</si>
  <si>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</si>
  <si>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</si>
  <si>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</si>
  <si>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</si>
  <si>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</si>
  <si>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</si>
  <si>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</si>
  <si>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</si>
  <si>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</si>
  <si>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</si>
  <si>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</si>
  <si>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</si>
  <si>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</si>
  <si>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</si>
  <si>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</si>
  <si>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</si>
  <si>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</si>
  <si>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</si>
  <si>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</si>
  <si>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</si>
  <si>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</si>
  <si>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</si>
  <si>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</si>
  <si>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</si>
  <si>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</si>
  <si>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</si>
  <si>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</si>
  <si>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</si>
  <si>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</si>
  <si>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</si>
  <si>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</si>
  <si>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</si>
  <si>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</si>
  <si>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</si>
  <si>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</si>
  <si>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</si>
  <si>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</si>
  <si>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</si>
  <si>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</si>
  <si>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</si>
  <si>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</si>
  <si>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</si>
  <si>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</si>
  <si>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</si>
  <si>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</si>
  <si>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</si>
  <si>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</si>
  <si>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</si>
  <si>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</si>
  <si>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</si>
  <si>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</si>
  <si>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</si>
  <si>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</si>
  <si>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</si>
  <si>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</si>
  <si>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</si>
  <si>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</si>
  <si>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</si>
  <si>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</si>
  <si>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</si>
  <si>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</si>
  <si>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</si>
  <si>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</si>
  <si>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</si>
  <si>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</si>
  <si>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</si>
  <si>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</si>
  <si>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</si>
  <si>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</si>
  <si>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</si>
  <si>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</si>
  <si>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</si>
  <si>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</si>
  <si>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</si>
  <si>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</si>
  <si>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</si>
  <si>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</si>
  <si>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</si>
  <si>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</si>
  <si>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</si>
  <si>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</si>
  <si>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</si>
  <si>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</si>
  <si>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</si>
  <si>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</si>
  <si>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</si>
  <si>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</si>
  <si>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</si>
  <si>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</si>
  <si>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</si>
  <si>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</si>
  <si>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</si>
  <si>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</si>
  <si>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</si>
  <si>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</si>
  <si>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</si>
  <si>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</si>
  <si>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</si>
  <si>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</si>
  <si>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</si>
  <si>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</si>
  <si>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</si>
  <si>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</si>
  <si>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</si>
  <si>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</si>
  <si>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</si>
  <si>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</si>
  <si>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</si>
  <si>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</si>
  <si>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</si>
  <si>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</si>
  <si>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</si>
  <si>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</si>
  <si>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</si>
  <si>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</si>
  <si>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</si>
  <si>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</si>
  <si>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</si>
  <si>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</si>
  <si>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</si>
  <si>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</si>
  <si>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</si>
  <si>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</si>
  <si>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</si>
  <si>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</si>
  <si>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</si>
  <si>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</si>
  <si>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</si>
  <si>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</si>
  <si>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</si>
  <si>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</si>
  <si>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</si>
  <si>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</si>
  <si>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</si>
  <si>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</si>
  <si>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</si>
  <si>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</si>
  <si>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</si>
  <si>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</si>
  <si>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</si>
  <si>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</si>
  <si>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</si>
  <si>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</si>
  <si>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</si>
  <si>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</si>
  <si>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</si>
  <si>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</si>
  <si>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</si>
  <si>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</si>
  <si>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</si>
  <si>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</si>
  <si>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</si>
  <si>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</si>
  <si>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</si>
  <si>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</si>
  <si>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</si>
  <si>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</si>
  <si>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</si>
  <si>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</si>
  <si>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</si>
  <si>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</si>
  <si>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</si>
  <si>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</si>
  <si>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</si>
  <si>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</si>
  <si>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</si>
  <si>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</si>
  <si>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</si>
  <si>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</si>
  <si>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</si>
  <si>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</si>
  <si>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</si>
  <si>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</si>
  <si>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</si>
  <si>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</si>
  <si>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</si>
  <si>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</si>
  <si>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</si>
  <si>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</si>
  <si>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</si>
  <si>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</si>
  <si>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</si>
  <si>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</si>
  <si>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</si>
  <si>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</si>
  <si>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</si>
  <si>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</si>
  <si>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</si>
  <si>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</si>
  <si>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</si>
  <si>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</si>
  <si>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</si>
  <si>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</si>
  <si>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</si>
  <si>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</si>
  <si>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</si>
  <si>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</si>
  <si>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</si>
  <si>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</si>
  <si>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</si>
  <si>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</si>
  <si>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</si>
  <si>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</si>
  <si>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</si>
  <si>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</si>
  <si>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</si>
  <si>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</si>
  <si>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</si>
  <si>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</si>
  <si>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</si>
  <si>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</si>
  <si>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</si>
  <si>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</si>
  <si>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</si>
  <si>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</si>
  <si>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</si>
  <si>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</si>
  <si>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</si>
  <si>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</si>
  <si>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</si>
  <si>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</si>
  <si>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</si>
  <si>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</si>
  <si>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</si>
  <si>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</si>
  <si>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</si>
  <si>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</si>
  <si>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</si>
  <si>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</si>
  <si>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</si>
  <si>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</si>
  <si>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</si>
  <si>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</si>
  <si>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</si>
  <si>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</si>
  <si>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</si>
  <si>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</si>
  <si>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</si>
  <si>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</si>
  <si>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</si>
  <si>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</si>
  <si>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</si>
  <si>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</si>
  <si>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</si>
  <si>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</si>
  <si>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</si>
  <si>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</si>
  <si>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</si>
  <si>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</si>
  <si>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</si>
  <si>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</si>
  <si>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</si>
  <si>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</si>
  <si>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</si>
  <si>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</si>
  <si>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</si>
  <si>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</si>
  <si>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</si>
  <si>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</si>
  <si>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</si>
  <si>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</si>
  <si>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</si>
  <si>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</si>
  <si>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</si>
  <si>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</si>
  <si>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</si>
  <si>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</si>
  <si>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</si>
  <si>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</si>
  <si>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</si>
  <si>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</si>
  <si>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</si>
  <si>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</si>
  <si>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</si>
  <si>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</si>
  <si>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</si>
  <si>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</si>
  <si>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</si>
  <si>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</si>
  <si>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</si>
  <si>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</si>
  <si>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</si>
  <si>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</si>
  <si>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</si>
  <si>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</si>
  <si>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</si>
  <si>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</si>
  <si>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</si>
  <si>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</si>
  <si>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</si>
  <si>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</si>
  <si>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</si>
  <si>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</si>
  <si>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</si>
  <si>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</si>
  <si>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</si>
  <si>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</si>
  <si>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</si>
  <si>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</si>
  <si>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</si>
  <si>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</si>
  <si>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</si>
  <si>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</si>
  <si>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</si>
  <si>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</si>
  <si>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</si>
  <si>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</si>
  <si>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</si>
  <si>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</si>
  <si>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</si>
  <si>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</si>
  <si>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</si>
  <si>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</si>
  <si>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</si>
  <si>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</si>
  <si>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</si>
  <si>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</si>
  <si>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</si>
  <si>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</si>
  <si>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</si>
  <si>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</si>
  <si>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</si>
  <si>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</si>
  <si>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</si>
  <si>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</si>
  <si>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</si>
  <si>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</si>
  <si>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</si>
  <si>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</si>
  <si>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</si>
  <si>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</si>
  <si>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</si>
  <si>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</si>
  <si>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</si>
  <si>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</si>
  <si>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</si>
  <si>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</si>
  <si>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</si>
  <si>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</si>
  <si>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</si>
  <si>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</si>
  <si>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</si>
  <si>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</si>
  <si>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</si>
  <si>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</si>
  <si>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</si>
  <si>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</si>
  <si>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</si>
  <si>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</si>
  <si>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</si>
  <si>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</si>
  <si>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</si>
  <si>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</si>
  <si>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</si>
  <si>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</si>
  <si>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</si>
  <si>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</si>
  <si>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</si>
  <si>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</si>
  <si>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</si>
  <si>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</si>
  <si>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</si>
  <si>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</si>
  <si>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</si>
  <si>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</si>
  <si>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</si>
  <si>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</si>
  <si>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</si>
  <si>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</si>
  <si>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</si>
  <si>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</si>
  <si>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</si>
  <si>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</si>
  <si>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</si>
  <si>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</si>
  <si>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</si>
  <si>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</si>
  <si>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</si>
  <si>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</si>
  <si>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</si>
  <si>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</si>
  <si>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</si>
  <si>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</si>
  <si>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</si>
  <si>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</si>
  <si>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</si>
  <si>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</si>
  <si>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</si>
  <si>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</si>
  <si>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</si>
  <si>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</si>
  <si>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</si>
  <si>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</si>
  <si>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</si>
  <si>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</si>
  <si>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</si>
  <si>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</si>
  <si>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</si>
  <si>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</si>
  <si>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</si>
  <si>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</si>
  <si>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</si>
  <si>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</si>
  <si>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</si>
  <si>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</si>
  <si>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</si>
  <si>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</si>
  <si>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</si>
  <si>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</si>
  <si>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</si>
  <si>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</si>
  <si>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</si>
  <si>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</si>
  <si>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</si>
  <si>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</si>
  <si>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</si>
  <si>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</si>
  <si>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</si>
  <si>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</si>
  <si>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</si>
  <si>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</si>
  <si>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</si>
  <si>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</si>
  <si>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</si>
  <si>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</si>
  <si>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</si>
  <si>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</si>
  <si>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</si>
  <si>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</si>
  <si>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</si>
  <si>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</si>
  <si>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</si>
  <si>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</si>
  <si>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</si>
  <si>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</si>
  <si>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</si>
  <si>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</si>
  <si>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</si>
  <si>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</si>
  <si>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</si>
  <si>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</si>
  <si>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</si>
  <si>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</si>
  <si>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</si>
  <si>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</si>
  <si>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</si>
  <si>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</si>
  <si>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</si>
  <si>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</si>
  <si>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</si>
  <si>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</si>
  <si>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</si>
  <si>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</si>
  <si>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</si>
  <si>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</si>
  <si>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</si>
  <si>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</si>
  <si>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</si>
  <si>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</si>
  <si>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</si>
  <si>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</si>
  <si>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</si>
  <si>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</si>
  <si>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</si>
  <si>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</si>
  <si>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</si>
  <si>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</si>
  <si>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</si>
  <si>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</si>
  <si>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</si>
  <si>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</si>
  <si>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</si>
  <si>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</si>
  <si>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</si>
  <si>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</si>
  <si>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</si>
  <si>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</si>
  <si>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</si>
  <si>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</si>
  <si>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</si>
  <si>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</si>
  <si>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</si>
  <si>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</si>
  <si>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</si>
  <si>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</si>
  <si>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</si>
  <si>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</si>
  <si>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</si>
  <si>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</si>
  <si>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</si>
  <si>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</si>
  <si>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</si>
  <si>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</si>
  <si>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</si>
  <si>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</si>
  <si>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</si>
  <si>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</si>
  <si>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</si>
  <si>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</si>
  <si>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</si>
  <si>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</si>
  <si>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</si>
  <si>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</si>
  <si>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</si>
  <si>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</si>
  <si>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</si>
  <si>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</si>
  <si>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</si>
  <si>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</si>
  <si>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</si>
  <si>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</si>
  <si>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</si>
  <si>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</si>
  <si>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</si>
  <si>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</si>
  <si>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</si>
  <si>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</si>
  <si>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</si>
  <si>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</si>
  <si>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</si>
  <si>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</si>
  <si>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</si>
  <si>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</si>
  <si>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</si>
  <si>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</si>
  <si>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</si>
  <si>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</si>
  <si>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</si>
  <si>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</si>
  <si>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</si>
  <si>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</si>
  <si>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</si>
  <si>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</si>
  <si>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</si>
  <si>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</si>
  <si>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</si>
  <si>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</si>
  <si>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</si>
  <si>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</si>
  <si>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</si>
  <si>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</si>
  <si>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</si>
  <si>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</si>
  <si>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</si>
  <si>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</si>
  <si>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</si>
  <si>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</si>
  <si>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</si>
  <si>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</si>
  <si>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</si>
  <si>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</si>
  <si>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</si>
  <si>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</si>
  <si>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</si>
  <si>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</si>
  <si>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</si>
  <si>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</si>
  <si>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</si>
  <si>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</si>
  <si>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</si>
  <si>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</si>
  <si>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</si>
  <si>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</si>
  <si>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</si>
  <si>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</si>
  <si>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</si>
  <si>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</si>
  <si>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</si>
  <si>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</si>
  <si>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</si>
  <si>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</si>
  <si>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</si>
  <si>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</si>
  <si>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</si>
  <si>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</si>
  <si>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</si>
  <si>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</si>
  <si>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</si>
  <si>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</si>
  <si>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</si>
  <si>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</si>
  <si>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</si>
  <si>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</si>
  <si>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</si>
  <si>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</si>
  <si>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</si>
  <si>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</si>
  <si>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</si>
  <si>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</si>
  <si>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</si>
  <si>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</si>
  <si>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</si>
  <si>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</si>
  <si>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</si>
  <si>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</si>
  <si>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</si>
  <si>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</si>
  <si>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</si>
  <si>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</si>
  <si>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</si>
  <si>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</si>
  <si>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</si>
  <si>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</si>
  <si>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</si>
  <si>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</si>
  <si>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</si>
  <si>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</si>
  <si>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</si>
  <si>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</si>
  <si>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</si>
  <si>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</si>
  <si>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</si>
  <si>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</si>
  <si>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</si>
  <si>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</si>
  <si>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</si>
  <si>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</si>
  <si>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</si>
  <si>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</si>
  <si>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</si>
  <si>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</si>
  <si>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</si>
  <si>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</si>
  <si>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</si>
  <si>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</si>
  <si>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</si>
  <si>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</si>
  <si>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</si>
  <si>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</si>
  <si>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</si>
  <si>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</si>
  <si>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</si>
  <si>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</si>
  <si>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</si>
  <si>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</si>
  <si>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</si>
  <si>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</si>
  <si>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</si>
  <si>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</si>
  <si>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</si>
  <si>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</si>
  <si>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</si>
  <si>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</si>
  <si>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</si>
  <si>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</si>
  <si>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</si>
  <si>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</si>
  <si>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</si>
  <si>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</si>
  <si>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</si>
  <si>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</si>
  <si>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</si>
  <si>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</si>
  <si>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</si>
  <si>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</si>
  <si>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</si>
  <si>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</si>
  <si>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</si>
  <si>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</si>
  <si>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</si>
  <si>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</si>
  <si>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</si>
  <si>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</si>
  <si>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</si>
  <si>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</si>
  <si>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</si>
  <si>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</si>
  <si>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</si>
  <si>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</si>
  <si>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</si>
  <si>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</si>
  <si>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</si>
  <si>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</si>
  <si>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</si>
  <si>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</si>
  <si>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</si>
  <si>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</si>
  <si>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</si>
  <si>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</si>
  <si>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</si>
  <si>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</si>
  <si>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</si>
  <si>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</si>
  <si>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</si>
  <si>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</si>
  <si>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</si>
  <si>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</si>
  <si>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</si>
  <si>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</si>
  <si>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</si>
  <si>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</si>
  <si>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</si>
  <si>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</si>
  <si>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</si>
  <si>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</si>
  <si>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</si>
  <si>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</si>
  <si>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</si>
  <si>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</si>
  <si>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</si>
  <si>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</si>
  <si>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</si>
  <si>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</si>
  <si>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</si>
  <si>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</si>
  <si>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</si>
  <si>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</si>
  <si>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</si>
  <si>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</si>
  <si>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</si>
  <si>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</si>
  <si>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</si>
  <si>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</si>
  <si>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</si>
  <si>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</si>
  <si>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</si>
  <si>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</si>
  <si>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</si>
  <si>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</si>
  <si>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</si>
  <si>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</si>
  <si>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</si>
  <si>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</si>
  <si>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</si>
  <si>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</si>
  <si>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</si>
  <si>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</si>
  <si>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</si>
  <si>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</si>
  <si>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</si>
  <si>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</si>
  <si>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</si>
  <si>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</si>
  <si>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</si>
  <si>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</si>
  <si>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</si>
  <si>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</si>
  <si>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</si>
  <si>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</si>
  <si>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</si>
  <si>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</si>
  <si>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</si>
  <si>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</si>
  <si>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</si>
  <si>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</si>
  <si>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</si>
  <si>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</si>
  <si>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</si>
  <si>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</si>
  <si>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</si>
  <si>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</si>
  <si>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</si>
  <si>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</si>
  <si>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</si>
  <si>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</si>
  <si>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</si>
  <si>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</si>
  <si>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</si>
  <si>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</si>
  <si>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</si>
  <si>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</si>
  <si>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</si>
  <si>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</si>
  <si>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</si>
  <si>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</si>
  <si>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</si>
  <si>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</si>
  <si>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</si>
  <si>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</si>
  <si>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</si>
  <si>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</si>
  <si>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</si>
  <si>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</si>
  <si>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</si>
  <si>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</si>
  <si>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</si>
  <si>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</si>
  <si>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</si>
  <si>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</si>
  <si>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</si>
  <si>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</si>
  <si>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</si>
  <si>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</si>
  <si>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</si>
  <si>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</si>
  <si>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</si>
  <si>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</si>
  <si>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</si>
  <si>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</si>
  <si>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</si>
  <si>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</si>
  <si>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</si>
  <si>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</si>
  <si>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</si>
  <si>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</si>
  <si>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</si>
  <si>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</si>
  <si>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</si>
  <si>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</si>
  <si>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</si>
  <si>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</si>
  <si>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</si>
  <si>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</si>
  <si>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</si>
  <si>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</si>
  <si>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</si>
  <si>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</si>
  <si>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</si>
  <si>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</si>
  <si>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</si>
  <si>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</si>
  <si>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</si>
  <si>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</si>
  <si>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</si>
  <si>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</si>
  <si>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</si>
  <si>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</si>
  <si>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</si>
  <si>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</si>
  <si>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</si>
  <si>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</si>
  <si>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</si>
  <si>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</si>
  <si>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</si>
  <si>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</si>
  <si>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</si>
  <si>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</si>
  <si>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</si>
  <si>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</si>
  <si>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</si>
  <si>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</si>
  <si>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</si>
  <si>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</si>
  <si>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</si>
  <si>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</si>
  <si>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</si>
  <si>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</si>
  <si>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</si>
  <si>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</si>
  <si>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</si>
  <si>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</si>
  <si>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</si>
  <si>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</si>
  <si>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</si>
  <si>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</si>
  <si>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</si>
  <si>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</si>
  <si>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</si>
  <si>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</si>
  <si>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</si>
  <si>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</si>
  <si>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</si>
  <si>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</si>
  <si>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</si>
  <si>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</si>
  <si>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</si>
  <si>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</si>
  <si>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</si>
  <si>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</si>
  <si>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</si>
  <si>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</si>
  <si>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</si>
  <si>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</si>
  <si>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</si>
  <si>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</si>
  <si>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</si>
  <si>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</si>
  <si>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</si>
  <si>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</si>
  <si>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</si>
  <si>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</si>
  <si>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</si>
  <si>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</si>
  <si>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</si>
  <si>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</si>
  <si>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</si>
  <si>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</si>
  <si>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</si>
  <si>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</si>
  <si>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</si>
  <si>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</si>
  <si>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</si>
  <si>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</si>
  <si>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</si>
  <si>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</si>
  <si>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</si>
  <si>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</si>
  <si>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</si>
  <si>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</si>
  <si>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</si>
  <si>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</si>
  <si>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</si>
  <si>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</si>
  <si>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</si>
  <si>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</si>
  <si>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</si>
  <si>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</si>
  <si>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</si>
  <si>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</si>
  <si>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</si>
  <si>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</si>
  <si>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</si>
  <si>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</si>
  <si>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</si>
  <si>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</si>
  <si>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</si>
  <si>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</si>
  <si>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</si>
  <si>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</si>
  <si>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</si>
  <si>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</si>
  <si>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</si>
  <si>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</si>
  <si>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</si>
  <si>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</si>
  <si>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</si>
  <si>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</si>
  <si>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</si>
  <si>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</si>
  <si>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</si>
  <si>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</si>
  <si>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</si>
  <si>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</si>
  <si>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</si>
  <si>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</si>
  <si>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</si>
  <si>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</si>
  <si>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</si>
  <si>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</si>
  <si>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</si>
  <si>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</si>
  <si>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</si>
  <si>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</si>
  <si>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</si>
  <si>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</si>
  <si>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</si>
  <si>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</si>
  <si>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</si>
  <si>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</si>
  <si>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</si>
  <si>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</si>
  <si>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</si>
  <si>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</si>
  <si>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</si>
  <si>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</si>
  <si>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</si>
  <si>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</si>
  <si>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</si>
  <si>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</si>
  <si>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</si>
  <si>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</si>
  <si>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</si>
  <si>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</si>
  <si>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</si>
  <si>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</si>
  <si>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</si>
  <si>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</si>
  <si>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</si>
  <si>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</si>
  <si>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</si>
  <si>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</si>
  <si>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</si>
  <si>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</si>
  <si>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</si>
  <si>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</si>
  <si>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</si>
  <si>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</si>
  <si>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</si>
  <si>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</si>
  <si>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</si>
  <si>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</si>
  <si>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</si>
  <si>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</si>
  <si>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</si>
  <si>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</si>
  <si>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</si>
  <si>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</si>
  <si>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</si>
  <si>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</si>
  <si>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</si>
  <si>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</si>
  <si>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</si>
  <si>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</si>
  <si>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</si>
  <si>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</si>
  <si>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</si>
  <si>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</si>
  <si>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</si>
  <si>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</si>
  <si>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</si>
  <si>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</si>
  <si>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</si>
  <si>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</si>
  <si>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</si>
  <si>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</si>
  <si>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</si>
  <si>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</si>
  <si>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</si>
  <si>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</si>
  <si>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</si>
  <si>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</si>
  <si>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</si>
  <si>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</si>
  <si>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</si>
  <si>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</si>
  <si>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</si>
  <si>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</si>
  <si>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</si>
  <si>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</si>
  <si>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</si>
  <si>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</si>
  <si>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</si>
  <si>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</si>
  <si>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</si>
  <si>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</si>
  <si>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</si>
  <si>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</si>
  <si>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</si>
  <si>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</si>
  <si>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</si>
  <si>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</si>
  <si>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</si>
  <si>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</si>
  <si>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</si>
  <si>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</si>
  <si>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</si>
  <si>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</si>
  <si>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</si>
  <si>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</si>
  <si>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</si>
  <si>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</si>
  <si>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</si>
  <si>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</si>
  <si>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</si>
  <si>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</si>
  <si>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</si>
  <si>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</si>
  <si>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</si>
  <si>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</si>
  <si>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</si>
  <si>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</si>
  <si>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</si>
  <si>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</si>
  <si>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</si>
  <si>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</si>
  <si>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</si>
  <si>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</si>
  <si>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</si>
  <si>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</si>
  <si>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</si>
  <si>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</si>
  <si>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</si>
  <si>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</si>
  <si>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</si>
  <si>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</si>
  <si>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</si>
  <si>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</si>
  <si>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</si>
  <si>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</si>
  <si>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</si>
  <si>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</si>
  <si>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</si>
  <si>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</si>
  <si>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</si>
  <si>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</si>
  <si>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</si>
  <si>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</si>
  <si>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</si>
  <si>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</si>
  <si>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</si>
  <si>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</si>
  <si>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</si>
  <si>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</si>
  <si>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</si>
  <si>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</si>
  <si>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</si>
  <si>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</si>
  <si>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</si>
  <si>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</si>
  <si>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</si>
  <si>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</si>
  <si>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</si>
  <si>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</si>
  <si>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</si>
  <si>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</si>
  <si>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</si>
  <si>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</si>
  <si>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</si>
  <si>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</si>
  <si>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</si>
  <si>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</si>
  <si>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</si>
  <si>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</si>
  <si>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</si>
  <si>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</si>
  <si>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</si>
  <si>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</si>
  <si>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</si>
  <si>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</si>
  <si>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</si>
  <si>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</si>
  <si>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</si>
  <si>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</si>
  <si>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</si>
  <si>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</si>
  <si>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</si>
  <si>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</si>
  <si>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</si>
  <si>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</si>
  <si>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</si>
  <si>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</si>
  <si>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</si>
  <si>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</si>
  <si>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</si>
  <si>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</si>
  <si>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</si>
  <si>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</si>
  <si>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</si>
  <si>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</si>
  <si>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</si>
  <si>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</si>
  <si>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</si>
  <si>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</si>
  <si>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</si>
  <si>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</si>
  <si>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</si>
  <si>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</si>
  <si>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</si>
  <si>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</si>
  <si>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</si>
  <si>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</si>
  <si>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</si>
  <si>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</si>
  <si>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</si>
  <si>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</si>
  <si>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</si>
  <si>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</si>
  <si>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</si>
  <si>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</si>
  <si>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</si>
  <si>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</si>
  <si>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</si>
  <si>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</si>
  <si>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</si>
  <si>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</si>
  <si>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</si>
  <si>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</si>
  <si>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</si>
  <si>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</si>
  <si>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</si>
  <si>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</si>
  <si>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</si>
  <si>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</si>
  <si>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</si>
  <si>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</si>
  <si>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</si>
  <si>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</si>
  <si>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</si>
  <si>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</si>
  <si>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</si>
  <si>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</si>
  <si>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</si>
  <si>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</si>
  <si>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</si>
  <si>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</si>
  <si>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</si>
  <si>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</si>
  <si>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</si>
  <si>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</si>
  <si>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</si>
  <si>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</si>
  <si>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</si>
  <si>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</si>
  <si>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</si>
  <si>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</si>
  <si>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</si>
  <si>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</si>
  <si>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</si>
  <si>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</si>
  <si>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</si>
  <si>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</si>
  <si>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</si>
  <si>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</si>
  <si>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</si>
  <si>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</si>
  <si>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</si>
  <si>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</si>
  <si>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</si>
  <si>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</si>
  <si>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</si>
  <si>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</si>
  <si>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</si>
  <si>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</si>
  <si>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</si>
  <si>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</si>
  <si>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</si>
  <si>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</si>
  <si>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</si>
  <si>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</si>
  <si>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</si>
  <si>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</si>
  <si>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</si>
  <si>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</si>
  <si>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</si>
  <si>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</si>
  <si>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</si>
  <si>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</si>
  <si>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</si>
  <si>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</si>
  <si>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</si>
  <si>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</si>
  <si>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</si>
  <si>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</si>
  <si>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</si>
  <si>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</si>
  <si>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</si>
  <si>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</si>
  <si>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</si>
  <si>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</si>
  <si>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</si>
  <si>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</si>
  <si>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</si>
  <si>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</si>
  <si>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</si>
  <si>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</si>
  <si>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</si>
  <si>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</si>
  <si>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</si>
  <si>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</si>
  <si>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</si>
  <si>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</si>
  <si>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</si>
  <si>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</si>
  <si>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</si>
  <si>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</si>
  <si>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</si>
  <si>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</si>
  <si>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</si>
  <si>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</si>
  <si>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</si>
  <si>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</si>
  <si>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</si>
  <si>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</si>
  <si>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</si>
  <si>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</si>
  <si>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</si>
  <si>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</si>
  <si>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</si>
  <si>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</si>
  <si>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</si>
  <si>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</si>
  <si>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</si>
  <si>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</si>
  <si>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</si>
  <si>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</si>
  <si>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</si>
  <si>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</si>
  <si>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</si>
  <si>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</si>
  <si>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</si>
  <si>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</si>
  <si>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</si>
  <si>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</si>
  <si>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</si>
  <si>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</si>
  <si>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</si>
  <si>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</si>
  <si>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</si>
  <si>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</si>
  <si>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</si>
  <si>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</si>
  <si>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</si>
  <si>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</si>
  <si>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</si>
  <si>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</si>
  <si>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</si>
  <si>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</si>
  <si>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</si>
  <si>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</si>
  <si>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</si>
  <si>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</si>
  <si>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</si>
  <si>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</si>
  <si>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</si>
  <si>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</si>
  <si>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</si>
  <si>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</si>
  <si>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</si>
  <si>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</si>
  <si>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</si>
  <si>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</si>
  <si>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</si>
  <si>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</si>
  <si>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</si>
  <si>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</si>
  <si>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</si>
  <si>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</si>
  <si>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</si>
  <si>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</si>
  <si>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</si>
  <si>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</si>
  <si>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</si>
  <si>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</si>
  <si>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</si>
  <si>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</si>
  <si>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</si>
  <si>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</si>
  <si>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</si>
  <si>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</si>
  <si>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</si>
  <si>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</si>
  <si>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</si>
  <si>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</si>
  <si>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</si>
  <si>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</si>
  <si>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</si>
  <si>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</si>
  <si>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</si>
  <si>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</si>
  <si>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</si>
  <si>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</si>
  <si>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</si>
  <si>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</si>
  <si>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</si>
  <si>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</si>
  <si>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</si>
  <si>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</si>
  <si>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</si>
  <si>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</si>
  <si>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</si>
  <si>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</si>
  <si>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</si>
  <si>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</si>
  <si>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</si>
  <si>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</si>
  <si>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</si>
  <si>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</si>
  <si>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</si>
  <si>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</si>
  <si>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</si>
  <si>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</si>
  <si>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</si>
  <si>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</si>
  <si>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</si>
  <si>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</si>
  <si>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</si>
  <si>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</si>
  <si>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</si>
  <si>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</si>
  <si>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</si>
  <si>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</si>
  <si>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</si>
  <si>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</si>
  <si>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</si>
  <si>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</si>
  <si>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</si>
  <si>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</si>
  <si>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</si>
  <si>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</si>
  <si>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</si>
  <si>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</si>
  <si>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</si>
  <si>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</si>
  <si>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</si>
  <si>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</si>
  <si>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</si>
  <si>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</si>
  <si>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</si>
  <si>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</si>
  <si>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</si>
  <si>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</si>
  <si>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</si>
  <si>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</si>
  <si>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</si>
  <si>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</si>
  <si>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</si>
  <si>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</si>
  <si>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</si>
  <si>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</si>
  <si>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</si>
  <si>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</si>
  <si>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</si>
  <si>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</si>
  <si>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</si>
  <si>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</si>
  <si>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</si>
  <si>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</si>
  <si>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</si>
  <si>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</si>
  <si>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</si>
  <si>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</si>
  <si>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</si>
  <si>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</si>
  <si>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</si>
  <si>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</si>
  <si>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</si>
  <si>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</si>
  <si>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</si>
  <si>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</si>
  <si>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</si>
  <si>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</si>
  <si>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</si>
  <si>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</si>
  <si>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</si>
  <si>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</si>
  <si>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</si>
  <si>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</si>
  <si>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</si>
  <si>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</si>
  <si>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</si>
  <si>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</si>
  <si>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</si>
  <si>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</si>
  <si>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</si>
  <si>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</si>
  <si>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</si>
  <si>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</si>
  <si>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</si>
  <si>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</si>
  <si>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</si>
  <si>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</si>
  <si>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</si>
  <si>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</si>
  <si>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</si>
  <si>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</si>
  <si>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</si>
  <si>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</si>
  <si>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</si>
  <si>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</si>
  <si>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</si>
  <si>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</si>
  <si>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</si>
  <si>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</si>
  <si>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</si>
  <si>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</si>
  <si>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</si>
  <si>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</si>
  <si>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</si>
  <si>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</si>
  <si>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</si>
  <si>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</si>
  <si>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</si>
  <si>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</si>
  <si>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</si>
  <si>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</si>
  <si>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</si>
  <si>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</si>
  <si>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</si>
  <si>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</si>
  <si>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</si>
  <si>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</si>
  <si>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</si>
  <si>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</si>
  <si>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</si>
  <si>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</si>
  <si>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</si>
  <si>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</si>
  <si>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</si>
  <si>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</si>
  <si>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</si>
  <si>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</si>
  <si>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</si>
  <si>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</si>
  <si>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</si>
  <si>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</si>
  <si>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</si>
  <si>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</si>
  <si>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</si>
  <si>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</si>
  <si>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</si>
  <si>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</si>
  <si>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</si>
  <si>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</si>
  <si>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</si>
  <si>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</si>
  <si>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</si>
  <si>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</si>
  <si>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</si>
  <si>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</si>
  <si>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</si>
  <si>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</si>
  <si>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</si>
  <si>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</si>
  <si>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</si>
  <si>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</si>
  <si>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</si>
  <si>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</si>
  <si>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</si>
  <si>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</si>
  <si>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</si>
  <si>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</si>
  <si>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</si>
  <si>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</si>
  <si>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</si>
  <si>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</si>
  <si>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</si>
  <si>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</si>
  <si>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</si>
  <si>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</si>
  <si>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</si>
  <si>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</si>
  <si>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</si>
  <si>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</si>
  <si>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</si>
  <si>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</si>
  <si>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</si>
  <si>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</si>
  <si>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</si>
  <si>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</si>
  <si>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</si>
  <si>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</si>
  <si>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</si>
  <si>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</si>
  <si>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</si>
  <si>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</si>
  <si>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</si>
  <si>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</si>
  <si>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</si>
  <si>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</si>
  <si>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</si>
  <si>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</si>
  <si>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</si>
  <si>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</si>
  <si>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</si>
  <si>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</si>
  <si>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</si>
  <si>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</si>
  <si>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</si>
  <si>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</si>
  <si>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</si>
  <si>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</si>
  <si>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</si>
  <si>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</si>
  <si>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</si>
  <si>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</si>
  <si>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</si>
  <si>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</si>
  <si>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</si>
  <si>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</si>
  <si>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</si>
  <si>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</si>
  <si>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</si>
  <si>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</si>
  <si>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</si>
  <si>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</si>
  <si>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</si>
  <si>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</si>
  <si>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</si>
  <si>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</si>
  <si>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</si>
  <si>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</si>
  <si>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</si>
  <si>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</si>
  <si>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</si>
  <si>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</si>
  <si>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</si>
  <si>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</si>
  <si>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</si>
  <si>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</si>
  <si>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</si>
  <si>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</si>
  <si>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</si>
  <si>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</si>
  <si>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</si>
  <si>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</si>
  <si>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</si>
  <si>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</si>
  <si>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</si>
  <si>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</si>
  <si>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</si>
  <si>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</si>
  <si>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</si>
  <si>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</si>
  <si>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</si>
  <si>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</si>
  <si>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</si>
  <si>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</si>
  <si>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</si>
  <si>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</si>
  <si>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</si>
  <si>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</si>
  <si>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</si>
  <si>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</si>
  <si>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</si>
  <si>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</si>
  <si>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</si>
  <si>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</si>
  <si>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</si>
  <si>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</si>
  <si>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</si>
  <si>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</si>
  <si>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</si>
  <si>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</si>
  <si>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</si>
  <si>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</si>
  <si>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</si>
  <si>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A001798</t>
  </si>
  <si>
    <t>A001799</t>
  </si>
  <si>
    <t>A001800</t>
  </si>
  <si>
    <t>A001801</t>
  </si>
  <si>
    <t>A001802</t>
  </si>
  <si>
    <t>A001803</t>
  </si>
  <si>
    <t>A001804</t>
  </si>
  <si>
    <t>A001805</t>
  </si>
  <si>
    <t>A001806</t>
  </si>
  <si>
    <t>A001807</t>
  </si>
  <si>
    <t>A001808</t>
  </si>
  <si>
    <t>A001809</t>
  </si>
  <si>
    <t>A001810</t>
  </si>
  <si>
    <t>A001811</t>
  </si>
  <si>
    <t>A001812</t>
  </si>
  <si>
    <t>A001813</t>
  </si>
  <si>
    <t>A001814</t>
  </si>
  <si>
    <t>A001815</t>
  </si>
  <si>
    <t>A001816</t>
  </si>
  <si>
    <t>A001817</t>
  </si>
  <si>
    <t>A001818</t>
  </si>
  <si>
    <t>A001819</t>
  </si>
  <si>
    <t>A001820</t>
  </si>
  <si>
    <t>A001821</t>
  </si>
  <si>
    <t>A001822</t>
  </si>
  <si>
    <t>A001823</t>
  </si>
  <si>
    <t>A001824</t>
  </si>
  <si>
    <t>A001825</t>
  </si>
  <si>
    <t>A001826</t>
  </si>
  <si>
    <t>A001827</t>
  </si>
  <si>
    <t>A001828</t>
  </si>
  <si>
    <t>A001829</t>
  </si>
  <si>
    <t>A001830</t>
  </si>
  <si>
    <t>A001831</t>
  </si>
  <si>
    <t>A001832</t>
  </si>
  <si>
    <t>A001833</t>
  </si>
  <si>
    <t>A001834</t>
  </si>
  <si>
    <t>A001835</t>
  </si>
  <si>
    <t>A001836</t>
  </si>
  <si>
    <t>A001837</t>
  </si>
  <si>
    <t>A001838</t>
  </si>
  <si>
    <t>A001839</t>
  </si>
  <si>
    <t>A001840</t>
  </si>
  <si>
    <t>A001841</t>
  </si>
  <si>
    <t>A001842</t>
  </si>
  <si>
    <t>A001843</t>
  </si>
  <si>
    <t>A001844</t>
  </si>
  <si>
    <t>A001845</t>
  </si>
  <si>
    <t>A001846</t>
  </si>
  <si>
    <t>A001847</t>
  </si>
  <si>
    <t>A001848</t>
  </si>
  <si>
    <t>A001849</t>
  </si>
  <si>
    <t>A001850</t>
  </si>
  <si>
    <t>A001851</t>
  </si>
  <si>
    <t>A001852</t>
  </si>
  <si>
    <t>A001853</t>
  </si>
  <si>
    <t>A001854</t>
  </si>
  <si>
    <t>A001855</t>
  </si>
  <si>
    <t>A001856</t>
  </si>
  <si>
    <t>A001857</t>
  </si>
  <si>
    <t>A001858</t>
  </si>
  <si>
    <t>A001859</t>
  </si>
  <si>
    <t>A001860</t>
  </si>
  <si>
    <t>A001861</t>
  </si>
  <si>
    <t>A001862</t>
  </si>
  <si>
    <t>A001863</t>
  </si>
  <si>
    <t>A001864</t>
  </si>
  <si>
    <t>A001865</t>
  </si>
  <si>
    <t>A001866</t>
  </si>
  <si>
    <t>A001867</t>
  </si>
  <si>
    <t>A001868</t>
  </si>
  <si>
    <t>A001869</t>
  </si>
  <si>
    <t>A001870</t>
  </si>
  <si>
    <t>A001871</t>
  </si>
  <si>
    <t>A001872</t>
  </si>
  <si>
    <t>A001873</t>
  </si>
  <si>
    <t>A001874</t>
  </si>
  <si>
    <t>A001875</t>
  </si>
  <si>
    <t>A001876</t>
  </si>
  <si>
    <t>A001877</t>
  </si>
  <si>
    <t>A001878</t>
  </si>
  <si>
    <t>A001879</t>
  </si>
  <si>
    <t>A001880</t>
  </si>
  <si>
    <t>A001881</t>
  </si>
  <si>
    <t>A001882</t>
  </si>
  <si>
    <t>A001883</t>
  </si>
  <si>
    <t>A001884</t>
  </si>
  <si>
    <t>A001885</t>
  </si>
  <si>
    <t>A001886</t>
  </si>
  <si>
    <t>A001887</t>
  </si>
  <si>
    <t>A001888</t>
  </si>
  <si>
    <t>A001889</t>
  </si>
  <si>
    <t>A001890</t>
  </si>
  <si>
    <t>A001891</t>
  </si>
  <si>
    <t>A001892</t>
  </si>
  <si>
    <t>A001893</t>
  </si>
  <si>
    <t>A001894</t>
  </si>
  <si>
    <t>A001895</t>
  </si>
  <si>
    <t>A001896</t>
  </si>
  <si>
    <t>A001897</t>
  </si>
  <si>
    <t>A001898</t>
  </si>
  <si>
    <t>A001899</t>
  </si>
  <si>
    <t>A001900</t>
  </si>
  <si>
    <t>A001901</t>
  </si>
  <si>
    <t>A001902</t>
  </si>
  <si>
    <t>A001903</t>
  </si>
  <si>
    <t>A001904</t>
  </si>
  <si>
    <t>A001905</t>
  </si>
  <si>
    <t>A001906</t>
  </si>
  <si>
    <t>A001907</t>
  </si>
  <si>
    <t>A001908</t>
  </si>
  <si>
    <t>A001909</t>
  </si>
  <si>
    <t>A001910</t>
  </si>
  <si>
    <t>A001911</t>
  </si>
  <si>
    <t>A001912</t>
  </si>
  <si>
    <t>A001913</t>
  </si>
  <si>
    <t>A001914</t>
  </si>
  <si>
    <t>A001915</t>
  </si>
  <si>
    <t>A001916</t>
  </si>
  <si>
    <t>A001917</t>
  </si>
  <si>
    <t>A001918</t>
  </si>
  <si>
    <t>A001919</t>
  </si>
  <si>
    <t>A001920</t>
  </si>
  <si>
    <t>A001921</t>
  </si>
  <si>
    <t>A001922</t>
  </si>
  <si>
    <t>A001923</t>
  </si>
  <si>
    <t>A001924</t>
  </si>
  <si>
    <t>A001925</t>
  </si>
  <si>
    <t>A001926</t>
  </si>
  <si>
    <t>A001927</t>
  </si>
  <si>
    <t>A001928</t>
  </si>
  <si>
    <t>A001929</t>
  </si>
  <si>
    <t>A001930</t>
  </si>
  <si>
    <t>A001931</t>
  </si>
  <si>
    <t>A001932</t>
  </si>
  <si>
    <t>A001933</t>
  </si>
  <si>
    <t>A001934</t>
  </si>
  <si>
    <t>A001935</t>
  </si>
  <si>
    <t>A001936</t>
  </si>
  <si>
    <t>A001937</t>
  </si>
  <si>
    <t>A001938</t>
  </si>
  <si>
    <t>A001939</t>
  </si>
  <si>
    <t>A001940</t>
  </si>
  <si>
    <t>A001941</t>
  </si>
  <si>
    <t>A001942</t>
  </si>
  <si>
    <t>A001943</t>
  </si>
  <si>
    <t>A001944</t>
  </si>
  <si>
    <t>A001945</t>
  </si>
  <si>
    <t>A001946</t>
  </si>
  <si>
    <t>A001947</t>
  </si>
  <si>
    <t>A001948</t>
  </si>
  <si>
    <t>A001949</t>
  </si>
  <si>
    <t>A001950</t>
  </si>
  <si>
    <t>A001951</t>
  </si>
  <si>
    <t>A001952</t>
  </si>
  <si>
    <t>A001953</t>
  </si>
  <si>
    <t>A001954</t>
  </si>
  <si>
    <t>A001955</t>
  </si>
  <si>
    <t>A001956</t>
  </si>
  <si>
    <t>A001957</t>
  </si>
  <si>
    <t>A001958</t>
  </si>
  <si>
    <t>A001959</t>
  </si>
  <si>
    <t>A001960</t>
  </si>
  <si>
    <t>A001961</t>
  </si>
  <si>
    <t>A001962</t>
  </si>
  <si>
    <t>A001963</t>
  </si>
  <si>
    <t>A001964</t>
  </si>
  <si>
    <t>A001965</t>
  </si>
  <si>
    <t>A001966</t>
  </si>
  <si>
    <t>A001967</t>
  </si>
  <si>
    <t>A001968</t>
  </si>
  <si>
    <t>A001969</t>
  </si>
  <si>
    <t>A001970</t>
  </si>
  <si>
    <t>A001971</t>
  </si>
  <si>
    <t>A001972</t>
  </si>
  <si>
    <t>A001973</t>
  </si>
  <si>
    <t>A001974</t>
  </si>
  <si>
    <t>A001975</t>
  </si>
  <si>
    <t>A001976</t>
  </si>
  <si>
    <t>A001977</t>
  </si>
  <si>
    <t>A001978</t>
  </si>
  <si>
    <t>A001979</t>
  </si>
  <si>
    <t>A001980</t>
  </si>
  <si>
    <t>A001981</t>
  </si>
  <si>
    <t>A001982</t>
  </si>
  <si>
    <t>A001983</t>
  </si>
  <si>
    <t>A001984</t>
  </si>
  <si>
    <t>A001985</t>
  </si>
  <si>
    <t>A001986</t>
  </si>
  <si>
    <t>A001987</t>
  </si>
  <si>
    <t>A001988</t>
  </si>
  <si>
    <t>A001989</t>
  </si>
  <si>
    <t>A001990</t>
  </si>
  <si>
    <t>A001991</t>
  </si>
  <si>
    <t>A001992</t>
  </si>
  <si>
    <t>A001993</t>
  </si>
  <si>
    <t>A001994</t>
  </si>
  <si>
    <t>A001995</t>
  </si>
  <si>
    <t>A001996</t>
  </si>
  <si>
    <t>A001997</t>
  </si>
  <si>
    <t>A001998</t>
  </si>
  <si>
    <t>A001999</t>
  </si>
  <si>
    <t>A002000</t>
  </si>
  <si>
    <t>A002001</t>
  </si>
  <si>
    <t>A002002</t>
  </si>
  <si>
    <t>A002003</t>
  </si>
  <si>
    <t>A002004</t>
  </si>
  <si>
    <t>A002005</t>
  </si>
  <si>
    <t>A002006</t>
  </si>
  <si>
    <t>A002007</t>
  </si>
  <si>
    <t>A002008</t>
  </si>
  <si>
    <t>A002009</t>
  </si>
  <si>
    <t>A002010</t>
  </si>
  <si>
    <t>A002011</t>
  </si>
  <si>
    <t>A002012</t>
  </si>
  <si>
    <t>A002013</t>
  </si>
  <si>
    <t>A002014</t>
  </si>
  <si>
    <t>A002015</t>
  </si>
  <si>
    <t>A002016</t>
  </si>
  <si>
    <t>A002017</t>
  </si>
  <si>
    <t>A002018</t>
  </si>
  <si>
    <t>A002019</t>
  </si>
  <si>
    <t>A002020</t>
  </si>
  <si>
    <t>A002021</t>
  </si>
  <si>
    <t>A002022</t>
  </si>
  <si>
    <t>A002023</t>
  </si>
  <si>
    <t>A002024</t>
  </si>
  <si>
    <t>A002025</t>
  </si>
  <si>
    <t>A002026</t>
  </si>
  <si>
    <t>A002027</t>
  </si>
  <si>
    <t>A002028</t>
  </si>
  <si>
    <t>A002029</t>
  </si>
  <si>
    <t>A002030</t>
  </si>
  <si>
    <t>A002031</t>
  </si>
  <si>
    <t>A002032</t>
  </si>
  <si>
    <t>A002033</t>
  </si>
  <si>
    <t>A002034</t>
  </si>
  <si>
    <t>A002035</t>
  </si>
  <si>
    <t>A002036</t>
  </si>
  <si>
    <t>A002037</t>
  </si>
  <si>
    <t>A002038</t>
  </si>
  <si>
    <t>A002039</t>
  </si>
  <si>
    <t>A002040</t>
  </si>
  <si>
    <t>A002041</t>
  </si>
  <si>
    <t>A002042</t>
  </si>
  <si>
    <t>A002043</t>
  </si>
  <si>
    <t>A002044</t>
  </si>
  <si>
    <t>A002045</t>
  </si>
  <si>
    <t>A002046</t>
  </si>
  <si>
    <t>A002047</t>
  </si>
  <si>
    <t>A002048</t>
  </si>
  <si>
    <t>A002049</t>
  </si>
  <si>
    <t>A002050</t>
  </si>
  <si>
    <t>A002051</t>
  </si>
  <si>
    <t>A002052</t>
  </si>
  <si>
    <t>A002053</t>
  </si>
  <si>
    <t>A002054</t>
  </si>
  <si>
    <t>A002055</t>
  </si>
  <si>
    <t>A002056</t>
  </si>
  <si>
    <t>A002057</t>
  </si>
  <si>
    <t>A002058</t>
  </si>
  <si>
    <t>A002059</t>
  </si>
  <si>
    <t>A002060</t>
  </si>
  <si>
    <t>A002061</t>
  </si>
  <si>
    <t>A002062</t>
  </si>
  <si>
    <t>A002063</t>
  </si>
  <si>
    <t>A002064</t>
  </si>
  <si>
    <t>A002065</t>
  </si>
  <si>
    <t>A002066</t>
  </si>
  <si>
    <t>A002067</t>
  </si>
  <si>
    <t>A002068</t>
  </si>
  <si>
    <t>A002069</t>
  </si>
  <si>
    <t>A002070</t>
  </si>
  <si>
    <t>A002071</t>
  </si>
  <si>
    <t>A002072</t>
  </si>
  <si>
    <t>A002073</t>
  </si>
  <si>
    <t>A002074</t>
  </si>
  <si>
    <t>A002075</t>
  </si>
  <si>
    <t>A002076</t>
  </si>
  <si>
    <t>A002077</t>
  </si>
  <si>
    <t>A002078</t>
  </si>
  <si>
    <t>A002079</t>
  </si>
  <si>
    <t>A002080</t>
  </si>
  <si>
    <t>A002081</t>
  </si>
  <si>
    <t>A002082</t>
  </si>
  <si>
    <t>A002083</t>
  </si>
  <si>
    <t>A002084</t>
  </si>
  <si>
    <t>A002085</t>
  </si>
  <si>
    <t>A002086</t>
  </si>
  <si>
    <t>A002087</t>
  </si>
  <si>
    <t>A002088</t>
  </si>
  <si>
    <t>A002089</t>
  </si>
  <si>
    <t>A002090</t>
  </si>
  <si>
    <t>A002091</t>
  </si>
  <si>
    <t>A002092</t>
  </si>
  <si>
    <t>A002093</t>
  </si>
  <si>
    <t>A002094</t>
  </si>
  <si>
    <t>A002095</t>
  </si>
  <si>
    <t>A002096</t>
  </si>
  <si>
    <t>A002097</t>
  </si>
  <si>
    <t>A002098</t>
  </si>
  <si>
    <t>A002099</t>
  </si>
  <si>
    <t>A002100</t>
  </si>
  <si>
    <t>A002101</t>
  </si>
  <si>
    <t>A002102</t>
  </si>
  <si>
    <t>A002103</t>
  </si>
  <si>
    <t>A002104</t>
  </si>
  <si>
    <t>A002105</t>
  </si>
  <si>
    <t>A002106</t>
  </si>
  <si>
    <t>A002107</t>
  </si>
  <si>
    <t>A002108</t>
  </si>
  <si>
    <t>A002109</t>
  </si>
  <si>
    <t>A002110</t>
  </si>
  <si>
    <t>A002111</t>
  </si>
  <si>
    <t>A002112</t>
  </si>
  <si>
    <t>A002113</t>
  </si>
  <si>
    <t>A002114</t>
  </si>
  <si>
    <t>A002115</t>
  </si>
  <si>
    <t>A002116</t>
  </si>
  <si>
    <t>A002117</t>
  </si>
  <si>
    <t>A002118</t>
  </si>
  <si>
    <t>A002119</t>
  </si>
  <si>
    <t>A002120</t>
  </si>
  <si>
    <t>A002121</t>
  </si>
  <si>
    <t>A002122</t>
  </si>
  <si>
    <t>A002123</t>
  </si>
  <si>
    <t>A002124</t>
  </si>
  <si>
    <t>A002125</t>
  </si>
  <si>
    <t>A002126</t>
  </si>
  <si>
    <t>A002127</t>
  </si>
  <si>
    <t>A002128</t>
  </si>
  <si>
    <t>A002129</t>
  </si>
  <si>
    <t>A002130</t>
  </si>
  <si>
    <t>A002131</t>
  </si>
  <si>
    <t>A002132</t>
  </si>
  <si>
    <t>A002133</t>
  </si>
  <si>
    <t>A002134</t>
  </si>
  <si>
    <t>A002135</t>
  </si>
  <si>
    <t>A002136</t>
  </si>
  <si>
    <t>A002137</t>
  </si>
  <si>
    <t>A002138</t>
  </si>
  <si>
    <t>A002139</t>
  </si>
  <si>
    <t>A002140</t>
  </si>
  <si>
    <t>A002141</t>
  </si>
  <si>
    <t>A002142</t>
  </si>
  <si>
    <t>A002143</t>
  </si>
  <si>
    <t>A002144</t>
  </si>
  <si>
    <t>A002145</t>
  </si>
  <si>
    <t>A002146</t>
  </si>
  <si>
    <t>A002147</t>
  </si>
  <si>
    <t>A002148</t>
  </si>
  <si>
    <t>A002149</t>
  </si>
  <si>
    <t>A002150</t>
  </si>
  <si>
    <t>A002151</t>
  </si>
  <si>
    <t>A002152</t>
  </si>
  <si>
    <t>A002153</t>
  </si>
  <si>
    <t>A002154</t>
  </si>
  <si>
    <t>A002155</t>
  </si>
  <si>
    <t>A002156</t>
  </si>
  <si>
    <t>A002157</t>
  </si>
  <si>
    <t>A002158</t>
  </si>
  <si>
    <t>A002159</t>
  </si>
  <si>
    <t>A002160</t>
  </si>
  <si>
    <t>A002161</t>
  </si>
  <si>
    <t>A002162</t>
  </si>
  <si>
    <t>A002163</t>
  </si>
  <si>
    <t>A002164</t>
  </si>
  <si>
    <t>A002165</t>
  </si>
  <si>
    <t>A002166</t>
  </si>
  <si>
    <t>A002167</t>
  </si>
  <si>
    <t>A002168</t>
  </si>
  <si>
    <t>A002169</t>
  </si>
  <si>
    <t>A002170</t>
  </si>
  <si>
    <t>A002171</t>
  </si>
  <si>
    <t>A002172</t>
  </si>
  <si>
    <t>A002173</t>
  </si>
  <si>
    <t>A002174</t>
  </si>
  <si>
    <t>A002175</t>
  </si>
  <si>
    <t>A002176</t>
  </si>
  <si>
    <t>A002177</t>
  </si>
  <si>
    <t>A002178</t>
  </si>
  <si>
    <t>A002179</t>
  </si>
  <si>
    <t>A002180</t>
  </si>
  <si>
    <t>A002181</t>
  </si>
  <si>
    <t>A002182</t>
  </si>
  <si>
    <t>A002183</t>
  </si>
  <si>
    <t>A002184</t>
  </si>
  <si>
    <t>A002185</t>
  </si>
  <si>
    <t>A002186</t>
  </si>
  <si>
    <t>A002187</t>
  </si>
  <si>
    <t>A002188</t>
  </si>
  <si>
    <t>A002189</t>
  </si>
  <si>
    <t>A002190</t>
  </si>
  <si>
    <t>A002191</t>
  </si>
  <si>
    <t>A002192</t>
  </si>
  <si>
    <t>A002193</t>
  </si>
  <si>
    <t>A002194</t>
  </si>
  <si>
    <t>A002195</t>
  </si>
  <si>
    <t>A002196</t>
  </si>
  <si>
    <t>A002197</t>
  </si>
  <si>
    <t>A002198</t>
  </si>
  <si>
    <t>A002199</t>
  </si>
  <si>
    <t>A002200</t>
  </si>
  <si>
    <t>A002201</t>
  </si>
  <si>
    <t>A002202</t>
  </si>
  <si>
    <t>A002203</t>
  </si>
  <si>
    <t>A002204</t>
  </si>
  <si>
    <t>A002205</t>
  </si>
  <si>
    <t>A002206</t>
  </si>
  <si>
    <t>A002207</t>
  </si>
  <si>
    <t>A002208</t>
  </si>
  <si>
    <t>A002209</t>
  </si>
  <si>
    <t>A002210</t>
  </si>
  <si>
    <t>A002211</t>
  </si>
  <si>
    <t>A002212</t>
  </si>
  <si>
    <t>A002213</t>
  </si>
  <si>
    <t>A002214</t>
  </si>
  <si>
    <t>A002215</t>
  </si>
  <si>
    <t>A002216</t>
  </si>
  <si>
    <t>A002217</t>
  </si>
  <si>
    <t>A002218</t>
  </si>
  <si>
    <t>A002219</t>
  </si>
  <si>
    <t>A002220</t>
  </si>
  <si>
    <t>A002221</t>
  </si>
  <si>
    <t>A002222</t>
  </si>
  <si>
    <t>A002223</t>
  </si>
  <si>
    <t>A002224</t>
  </si>
  <si>
    <t>A002225</t>
  </si>
  <si>
    <t>A002226</t>
  </si>
  <si>
    <t>A002227</t>
  </si>
  <si>
    <t>A002228</t>
  </si>
  <si>
    <t>A002229</t>
  </si>
  <si>
    <t>A002230</t>
  </si>
  <si>
    <t>A002231</t>
  </si>
  <si>
    <t>A002232</t>
  </si>
  <si>
    <t>A002233</t>
  </si>
  <si>
    <t>A002234</t>
  </si>
  <si>
    <t>A002235</t>
  </si>
  <si>
    <t>A002236</t>
  </si>
  <si>
    <t>A002237</t>
  </si>
  <si>
    <t>A002238</t>
  </si>
  <si>
    <t>A002239</t>
  </si>
  <si>
    <t>A002240</t>
  </si>
  <si>
    <t>A002241</t>
  </si>
  <si>
    <t>A002242</t>
  </si>
  <si>
    <t>A002243</t>
  </si>
  <si>
    <t>A002244</t>
  </si>
  <si>
    <t>A002245</t>
  </si>
  <si>
    <t>A002246</t>
  </si>
  <si>
    <t>A002247</t>
  </si>
  <si>
    <t>A002248</t>
  </si>
  <si>
    <t>A002249</t>
  </si>
  <si>
    <t>A002250</t>
  </si>
  <si>
    <t>A002251</t>
  </si>
  <si>
    <t>A002252</t>
  </si>
  <si>
    <t>A002253</t>
  </si>
  <si>
    <t>A002254</t>
  </si>
  <si>
    <t>A002255</t>
  </si>
  <si>
    <t>A002256</t>
  </si>
  <si>
    <t>A002257</t>
  </si>
  <si>
    <t>A002258</t>
  </si>
  <si>
    <t>A002259</t>
  </si>
  <si>
    <t>A002260</t>
  </si>
  <si>
    <t>A002261</t>
  </si>
  <si>
    <t>A002262</t>
  </si>
  <si>
    <t>A002263</t>
  </si>
  <si>
    <t>A002264</t>
  </si>
  <si>
    <t>A002265</t>
  </si>
  <si>
    <t>A002266</t>
  </si>
  <si>
    <t>A002267</t>
  </si>
  <si>
    <t>A002268</t>
  </si>
  <si>
    <t>A002269</t>
  </si>
  <si>
    <t>A002270</t>
  </si>
  <si>
    <t>A002271</t>
  </si>
  <si>
    <t>A002272</t>
  </si>
  <si>
    <t>A002273</t>
  </si>
  <si>
    <t>A002274</t>
  </si>
  <si>
    <t>A002275</t>
  </si>
  <si>
    <t>A002276</t>
  </si>
  <si>
    <t>A002277</t>
  </si>
  <si>
    <t>A002278</t>
  </si>
  <si>
    <t>A002279</t>
  </si>
  <si>
    <t>A002280</t>
  </si>
  <si>
    <t>A002281</t>
  </si>
  <si>
    <t>A002282</t>
  </si>
  <si>
    <t>A002283</t>
  </si>
  <si>
    <t>A002284</t>
  </si>
  <si>
    <t>A002285</t>
  </si>
  <si>
    <t>A002286</t>
  </si>
  <si>
    <t>A002287</t>
  </si>
  <si>
    <t>A002288</t>
  </si>
  <si>
    <t>A002289</t>
  </si>
  <si>
    <t>A002290</t>
  </si>
  <si>
    <t>A002291</t>
  </si>
  <si>
    <t>A002292</t>
  </si>
  <si>
    <t>A002293</t>
  </si>
  <si>
    <t>A002294</t>
  </si>
  <si>
    <t>A002295</t>
  </si>
  <si>
    <t>A002296</t>
  </si>
  <si>
    <t>A002297</t>
  </si>
  <si>
    <t>A002298</t>
  </si>
  <si>
    <t>A002299</t>
  </si>
  <si>
    <t>A002300</t>
  </si>
  <si>
    <t>A002301</t>
  </si>
  <si>
    <t>A002302</t>
  </si>
  <si>
    <t>A002303</t>
  </si>
  <si>
    <t>A002304</t>
  </si>
  <si>
    <t>A002305</t>
  </si>
  <si>
    <t>A002306</t>
  </si>
  <si>
    <t>A002307</t>
  </si>
  <si>
    <t>A002308</t>
  </si>
  <si>
    <t>A002309</t>
  </si>
  <si>
    <t>A002310</t>
  </si>
  <si>
    <t>A002311</t>
  </si>
  <si>
    <t>A002312</t>
  </si>
  <si>
    <t>A002313</t>
  </si>
  <si>
    <t>A002314</t>
  </si>
  <si>
    <t>A002315</t>
  </si>
  <si>
    <t>A002316</t>
  </si>
  <si>
    <t>A002317</t>
  </si>
  <si>
    <t>A002318</t>
  </si>
  <si>
    <t>A002319</t>
  </si>
  <si>
    <t>A002320</t>
  </si>
  <si>
    <t>A002321</t>
  </si>
  <si>
    <t>A002322</t>
  </si>
  <si>
    <t>A002323</t>
  </si>
  <si>
    <t>A002324</t>
  </si>
  <si>
    <t>A002325</t>
  </si>
  <si>
    <t>A002326</t>
  </si>
  <si>
    <t>A002327</t>
  </si>
  <si>
    <t>A002328</t>
  </si>
  <si>
    <t>A002329</t>
  </si>
  <si>
    <t>A002330</t>
  </si>
  <si>
    <t>A002331</t>
  </si>
  <si>
    <t>A002332</t>
  </si>
  <si>
    <t>A002333</t>
  </si>
  <si>
    <t>A002334</t>
  </si>
  <si>
    <t>A002335</t>
  </si>
  <si>
    <t>A002336</t>
  </si>
  <si>
    <t>A002337</t>
  </si>
  <si>
    <t>A002338</t>
  </si>
  <si>
    <t>A002339</t>
  </si>
  <si>
    <t>A002340</t>
  </si>
  <si>
    <t>A002341</t>
  </si>
  <si>
    <t>A002342</t>
  </si>
  <si>
    <t>A002343</t>
  </si>
  <si>
    <t>A002344</t>
  </si>
  <si>
    <t>A002345</t>
  </si>
  <si>
    <t>A002346</t>
  </si>
  <si>
    <t>A002347</t>
  </si>
  <si>
    <t>A002348</t>
  </si>
  <si>
    <t>A002349</t>
  </si>
  <si>
    <t>A002350</t>
  </si>
  <si>
    <t>A002351</t>
  </si>
  <si>
    <t>A002352</t>
  </si>
  <si>
    <t>A002353</t>
  </si>
  <si>
    <t>A002354</t>
  </si>
  <si>
    <t>A002355</t>
  </si>
  <si>
    <t>A002356</t>
  </si>
  <si>
    <t>A002357</t>
  </si>
  <si>
    <t>A002358</t>
  </si>
  <si>
    <t>A002359</t>
  </si>
  <si>
    <t>A002360</t>
  </si>
  <si>
    <t>A002361</t>
  </si>
  <si>
    <t>A002362</t>
  </si>
  <si>
    <t>A002363</t>
  </si>
  <si>
    <t>A002364</t>
  </si>
  <si>
    <t>A002365</t>
  </si>
  <si>
    <t>A002366</t>
  </si>
  <si>
    <t>A002367</t>
  </si>
  <si>
    <t>A002368</t>
  </si>
  <si>
    <t>A002369</t>
  </si>
  <si>
    <t>A002370</t>
  </si>
  <si>
    <t>A002371</t>
  </si>
  <si>
    <t>A002372</t>
  </si>
  <si>
    <t>A002373</t>
  </si>
  <si>
    <t>A002374</t>
  </si>
  <si>
    <t>A002375</t>
  </si>
  <si>
    <t>A002376</t>
  </si>
  <si>
    <t>A002377</t>
  </si>
  <si>
    <t>A002378</t>
  </si>
  <si>
    <t>A002379</t>
  </si>
  <si>
    <t>A002380</t>
  </si>
  <si>
    <t>A002381</t>
  </si>
  <si>
    <t>A002382</t>
  </si>
  <si>
    <t>A002383</t>
  </si>
  <si>
    <t>A002384</t>
  </si>
  <si>
    <t>A002385</t>
  </si>
  <si>
    <t>A002386</t>
  </si>
  <si>
    <t>A002387</t>
  </si>
  <si>
    <t>A002388</t>
  </si>
  <si>
    <t>A002389</t>
  </si>
  <si>
    <t>A002390</t>
  </si>
  <si>
    <t>A002391</t>
  </si>
  <si>
    <t>A002392</t>
  </si>
  <si>
    <t>A002393</t>
  </si>
  <si>
    <t>A002394</t>
  </si>
  <si>
    <t>A002395</t>
  </si>
  <si>
    <t>A002396</t>
  </si>
  <si>
    <t>A002397</t>
  </si>
  <si>
    <t>A002398</t>
  </si>
  <si>
    <t>A002399</t>
  </si>
  <si>
    <t>A002400</t>
  </si>
  <si>
    <t>A002401</t>
  </si>
  <si>
    <t>A002402</t>
  </si>
  <si>
    <t>A002403</t>
  </si>
  <si>
    <t>A002404</t>
  </si>
  <si>
    <t>A002405</t>
  </si>
  <si>
    <t>A002406</t>
  </si>
  <si>
    <t>A002407</t>
  </si>
  <si>
    <t>A002408</t>
  </si>
  <si>
    <t>A002409</t>
  </si>
  <si>
    <t>A002410</t>
  </si>
  <si>
    <t>A002411</t>
  </si>
  <si>
    <t>A002412</t>
  </si>
  <si>
    <t>A002413</t>
  </si>
  <si>
    <t>A002414</t>
  </si>
  <si>
    <t>A002415</t>
  </si>
  <si>
    <t>A002416</t>
  </si>
  <si>
    <t>A002417</t>
  </si>
  <si>
    <t>A002418</t>
  </si>
  <si>
    <t>A002419</t>
  </si>
  <si>
    <t>A002420</t>
  </si>
  <si>
    <t>A002421</t>
  </si>
  <si>
    <t>A002422</t>
  </si>
  <si>
    <t>A002423</t>
  </si>
  <si>
    <t>A002424</t>
  </si>
  <si>
    <t>A002425</t>
  </si>
  <si>
    <t>A002426</t>
  </si>
  <si>
    <t>A002427</t>
  </si>
  <si>
    <t>A002428</t>
  </si>
  <si>
    <t>A002429</t>
  </si>
  <si>
    <t>A002430</t>
  </si>
  <si>
    <t>A002431</t>
  </si>
  <si>
    <t>A002432</t>
  </si>
  <si>
    <t>A002433</t>
  </si>
  <si>
    <t>A002434</t>
  </si>
  <si>
    <t>A002435</t>
  </si>
  <si>
    <t>A002436</t>
  </si>
  <si>
    <t>A002437</t>
  </si>
  <si>
    <t>A002438</t>
  </si>
  <si>
    <t>A002439</t>
  </si>
  <si>
    <t>A002440</t>
  </si>
  <si>
    <t>A002441</t>
  </si>
  <si>
    <t>A002442</t>
  </si>
  <si>
    <t>A002443</t>
  </si>
  <si>
    <t>A002444</t>
  </si>
  <si>
    <t>A002445</t>
  </si>
  <si>
    <t>A002446</t>
  </si>
  <si>
    <t>A002447</t>
  </si>
  <si>
    <t>A002448</t>
  </si>
  <si>
    <t>A002449</t>
  </si>
  <si>
    <t>A002450</t>
  </si>
  <si>
    <t>A002451</t>
  </si>
  <si>
    <t>A002452</t>
  </si>
  <si>
    <t>A002453</t>
  </si>
  <si>
    <t>A002454</t>
  </si>
  <si>
    <t>A002455</t>
  </si>
  <si>
    <t>A002456</t>
  </si>
  <si>
    <t>A002457</t>
  </si>
  <si>
    <t>A002458</t>
  </si>
  <si>
    <t>A002459</t>
  </si>
  <si>
    <t>A002460</t>
  </si>
  <si>
    <t>A002461</t>
  </si>
  <si>
    <t>A002462</t>
  </si>
  <si>
    <t>A002463</t>
  </si>
  <si>
    <t>A002464</t>
  </si>
  <si>
    <t>A002465</t>
  </si>
  <si>
    <t>A002466</t>
  </si>
  <si>
    <t>A002467</t>
  </si>
  <si>
    <t>A002468</t>
  </si>
  <si>
    <t>A002469</t>
  </si>
  <si>
    <t>A002470</t>
  </si>
  <si>
    <t>A002471</t>
  </si>
  <si>
    <t>A002472</t>
  </si>
  <si>
    <t>A002473</t>
  </si>
  <si>
    <t>A002474</t>
  </si>
  <si>
    <t>A002475</t>
  </si>
  <si>
    <t>A002476</t>
  </si>
  <si>
    <t>A002477</t>
  </si>
  <si>
    <t>A002478</t>
  </si>
  <si>
    <t>A002479</t>
  </si>
  <si>
    <t>A002480</t>
  </si>
  <si>
    <t>A002481</t>
  </si>
  <si>
    <t>A002482</t>
  </si>
  <si>
    <t>A002483</t>
  </si>
  <si>
    <t>A002484</t>
  </si>
  <si>
    <t>A002485</t>
  </si>
  <si>
    <t>A002486</t>
  </si>
  <si>
    <t>A002487</t>
  </si>
  <si>
    <t>A002488</t>
  </si>
  <si>
    <t>A002489</t>
  </si>
  <si>
    <t>A002490</t>
  </si>
  <si>
    <t>A002491</t>
  </si>
  <si>
    <t>A002492</t>
  </si>
  <si>
    <t>A002493</t>
  </si>
  <si>
    <t>A002494</t>
  </si>
  <si>
    <t>A002495</t>
  </si>
  <si>
    <t>A002496</t>
  </si>
  <si>
    <t>A002497</t>
  </si>
  <si>
    <t>A002498</t>
  </si>
  <si>
    <t>A002499</t>
  </si>
  <si>
    <t>A002500</t>
  </si>
  <si>
    <t>A002501</t>
  </si>
  <si>
    <t>A002502</t>
  </si>
  <si>
    <t>A002503</t>
  </si>
  <si>
    <t>A002504</t>
  </si>
  <si>
    <t>A002505</t>
  </si>
  <si>
    <t>A002506</t>
  </si>
  <si>
    <t>A002507</t>
  </si>
  <si>
    <t>A002508</t>
  </si>
  <si>
    <t>A002509</t>
  </si>
  <si>
    <t>A002510</t>
  </si>
  <si>
    <t>A002511</t>
  </si>
  <si>
    <t>A002512</t>
  </si>
  <si>
    <t>A002513</t>
  </si>
  <si>
    <t>A002514</t>
  </si>
  <si>
    <t>A002515</t>
  </si>
  <si>
    <t>A002516</t>
  </si>
  <si>
    <t>A002517</t>
  </si>
  <si>
    <t>A002518</t>
  </si>
  <si>
    <t>A002519</t>
  </si>
  <si>
    <t>A002520</t>
  </si>
  <si>
    <t>A002521</t>
  </si>
  <si>
    <t>A002522</t>
  </si>
  <si>
    <t>A002523</t>
  </si>
  <si>
    <t>A002524</t>
  </si>
  <si>
    <t>A002525</t>
  </si>
  <si>
    <t>A002526</t>
  </si>
  <si>
    <t>A002527</t>
  </si>
  <si>
    <t>A002528</t>
  </si>
  <si>
    <t>A002529</t>
  </si>
  <si>
    <t>A002530</t>
  </si>
  <si>
    <t>A002531</t>
  </si>
  <si>
    <t>A002532</t>
  </si>
  <si>
    <t>A002533</t>
  </si>
  <si>
    <t>A002534</t>
  </si>
  <si>
    <t>A002535</t>
  </si>
  <si>
    <t>A002536</t>
  </si>
  <si>
    <t>A002537</t>
  </si>
  <si>
    <t>A002538</t>
  </si>
  <si>
    <t>A002539</t>
  </si>
  <si>
    <t>A002540</t>
  </si>
  <si>
    <t>A002541</t>
  </si>
  <si>
    <t>A002542</t>
  </si>
  <si>
    <t>A002543</t>
  </si>
  <si>
    <t>A002544</t>
  </si>
  <si>
    <t>A002545</t>
  </si>
  <si>
    <t>A002546</t>
  </si>
  <si>
    <t>A002547</t>
  </si>
  <si>
    <t>A002548</t>
  </si>
  <si>
    <t>A002549</t>
  </si>
  <si>
    <t>A002550</t>
  </si>
  <si>
    <t>A002551</t>
  </si>
  <si>
    <t>A002552</t>
  </si>
  <si>
    <t>A002553</t>
  </si>
  <si>
    <t>A002554</t>
  </si>
  <si>
    <t>A002555</t>
  </si>
  <si>
    <t>A002556</t>
  </si>
  <si>
    <t>A002557</t>
  </si>
  <si>
    <t>A002558</t>
  </si>
  <si>
    <t>A002559</t>
  </si>
  <si>
    <t>A002560</t>
  </si>
  <si>
    <t>A002561</t>
  </si>
  <si>
    <t>A002562</t>
  </si>
  <si>
    <t>A002563</t>
  </si>
  <si>
    <t>A002564</t>
  </si>
  <si>
    <t>A002565</t>
  </si>
  <si>
    <t>A002566</t>
  </si>
  <si>
    <t>A002567</t>
  </si>
  <si>
    <t>A002568</t>
  </si>
  <si>
    <t>A002569</t>
  </si>
  <si>
    <t>A002570</t>
  </si>
  <si>
    <t>A002571</t>
  </si>
  <si>
    <t>A002572</t>
  </si>
  <si>
    <t>A002573</t>
  </si>
  <si>
    <t>A002574</t>
  </si>
  <si>
    <t>A002575</t>
  </si>
  <si>
    <t>A002576</t>
  </si>
  <si>
    <t>A002577</t>
  </si>
  <si>
    <t>A002578</t>
  </si>
  <si>
    <t>A002579</t>
  </si>
  <si>
    <t>A002580</t>
  </si>
  <si>
    <t>A002581</t>
  </si>
  <si>
    <t>A002582</t>
  </si>
  <si>
    <t>A002583</t>
  </si>
  <si>
    <t>A002584</t>
  </si>
  <si>
    <t>A002585</t>
  </si>
  <si>
    <t>A002586</t>
  </si>
  <si>
    <t>A002587</t>
  </si>
  <si>
    <t>A002588</t>
  </si>
  <si>
    <t>A002589</t>
  </si>
  <si>
    <t>A002590</t>
  </si>
  <si>
    <t>A002591</t>
  </si>
  <si>
    <t>A002592</t>
  </si>
  <si>
    <t>A002593</t>
  </si>
  <si>
    <t>A002594</t>
  </si>
  <si>
    <t>A002595</t>
  </si>
  <si>
    <t>A002596</t>
  </si>
  <si>
    <t>A002597</t>
  </si>
  <si>
    <t>A002598</t>
  </si>
  <si>
    <t>A002599</t>
  </si>
  <si>
    <t>A002600</t>
  </si>
  <si>
    <t>A002601</t>
  </si>
  <si>
    <t>A002602</t>
  </si>
  <si>
    <t>A002603</t>
  </si>
  <si>
    <t>A002604</t>
  </si>
  <si>
    <t>A002605</t>
  </si>
  <si>
    <t>A002606</t>
  </si>
  <si>
    <t>A002607</t>
  </si>
  <si>
    <t>A002608</t>
  </si>
  <si>
    <t>A002609</t>
  </si>
  <si>
    <t>A002610</t>
  </si>
  <si>
    <t>A002611</t>
  </si>
  <si>
    <t>A002612</t>
  </si>
  <si>
    <t>A002613</t>
  </si>
  <si>
    <t>A002614</t>
  </si>
  <si>
    <t>A002615</t>
  </si>
  <si>
    <t>A002616</t>
  </si>
  <si>
    <t>A002617</t>
  </si>
  <si>
    <t>A002618</t>
  </si>
  <si>
    <t>A002619</t>
  </si>
  <si>
    <t>A002620</t>
  </si>
  <si>
    <t>A002621</t>
  </si>
  <si>
    <t>A002622</t>
  </si>
  <si>
    <t>A002623</t>
  </si>
  <si>
    <t>A002624</t>
  </si>
  <si>
    <t>A002625</t>
  </si>
  <si>
    <t>A002626</t>
  </si>
  <si>
    <t>A002627</t>
  </si>
  <si>
    <t>A002628</t>
  </si>
  <si>
    <t>A002629</t>
  </si>
  <si>
    <t>A002630</t>
  </si>
  <si>
    <t>A002631</t>
  </si>
  <si>
    <t>A002632</t>
  </si>
  <si>
    <t>A002633</t>
  </si>
  <si>
    <t>A002634</t>
  </si>
  <si>
    <t>A002635</t>
  </si>
  <si>
    <t>A002636</t>
  </si>
  <si>
    <t>A002637</t>
  </si>
  <si>
    <t>A002638</t>
  </si>
  <si>
    <t>A002639</t>
  </si>
  <si>
    <t>A002640</t>
  </si>
  <si>
    <t>A002641</t>
  </si>
  <si>
    <t>A002642</t>
  </si>
  <si>
    <t>A002643</t>
  </si>
  <si>
    <t>A002644</t>
  </si>
  <si>
    <t>A002645</t>
  </si>
  <si>
    <t>A002646</t>
  </si>
  <si>
    <t>A002647</t>
  </si>
  <si>
    <t>A002648</t>
  </si>
  <si>
    <t>A002649</t>
  </si>
  <si>
    <t>A002650</t>
  </si>
  <si>
    <t>A002651</t>
  </si>
  <si>
    <t>A002652</t>
  </si>
  <si>
    <t>A002653</t>
  </si>
  <si>
    <t>A002654</t>
  </si>
  <si>
    <t>A002655</t>
  </si>
  <si>
    <t>A002656</t>
  </si>
  <si>
    <t>A002657</t>
  </si>
  <si>
    <t>A002658</t>
  </si>
  <si>
    <t>A002659</t>
  </si>
  <si>
    <t>A002660</t>
  </si>
  <si>
    <t>A002661</t>
  </si>
  <si>
    <t>A002662</t>
  </si>
  <si>
    <t>A002663</t>
  </si>
  <si>
    <t>A002664</t>
  </si>
  <si>
    <t>A002665</t>
  </si>
  <si>
    <t>A002666</t>
  </si>
  <si>
    <t>A002667</t>
  </si>
  <si>
    <t>A002668</t>
  </si>
  <si>
    <t>A002669</t>
  </si>
  <si>
    <t>A002670</t>
  </si>
  <si>
    <t>A002671</t>
  </si>
  <si>
    <t>A002672</t>
  </si>
  <si>
    <t>A002673</t>
  </si>
  <si>
    <t>A002674</t>
  </si>
  <si>
    <t>A002675</t>
  </si>
  <si>
    <t>A002676</t>
  </si>
  <si>
    <t>A002677</t>
  </si>
  <si>
    <t>A002678</t>
  </si>
  <si>
    <t>A002679</t>
  </si>
  <si>
    <t>A002680</t>
  </si>
  <si>
    <t>A002681</t>
  </si>
  <si>
    <t>A002682</t>
  </si>
  <si>
    <t>A002683</t>
  </si>
  <si>
    <t>A002684</t>
  </si>
  <si>
    <t>A002685</t>
  </si>
  <si>
    <t>A002686</t>
  </si>
  <si>
    <t>A002687</t>
  </si>
  <si>
    <t>A002688</t>
  </si>
  <si>
    <t>A002689</t>
  </si>
  <si>
    <t>A002690</t>
  </si>
  <si>
    <t>A002691</t>
  </si>
  <si>
    <t>A002692</t>
  </si>
  <si>
    <t>A002693</t>
  </si>
  <si>
    <t>A002694</t>
  </si>
  <si>
    <t>A002695</t>
  </si>
  <si>
    <t>A002696</t>
  </si>
  <si>
    <t>A002697</t>
  </si>
  <si>
    <t>A002698</t>
  </si>
  <si>
    <t>A002699</t>
  </si>
  <si>
    <t>A002700</t>
  </si>
  <si>
    <t>A002701</t>
  </si>
  <si>
    <t>A002702</t>
  </si>
  <si>
    <t>A002703</t>
  </si>
  <si>
    <t>A002704</t>
  </si>
  <si>
    <t>A002705</t>
  </si>
  <si>
    <t>A002706</t>
  </si>
  <si>
    <t>A002707</t>
  </si>
  <si>
    <t>A002708</t>
  </si>
  <si>
    <t>A002709</t>
  </si>
  <si>
    <t>A002710</t>
  </si>
  <si>
    <t>A002711</t>
  </si>
  <si>
    <t>A002712</t>
  </si>
  <si>
    <t>A002713</t>
  </si>
  <si>
    <t>A002714</t>
  </si>
  <si>
    <t>A002715</t>
  </si>
  <si>
    <t>A002716</t>
  </si>
  <si>
    <t>A002717</t>
  </si>
  <si>
    <t>A002718</t>
  </si>
  <si>
    <t>A002719</t>
  </si>
  <si>
    <t>A002720</t>
  </si>
  <si>
    <t>A002721</t>
  </si>
  <si>
    <t>A002722</t>
  </si>
  <si>
    <t>A002723</t>
  </si>
  <si>
    <t>A002724</t>
  </si>
  <si>
    <t>A002725</t>
  </si>
  <si>
    <t>A002726</t>
  </si>
  <si>
    <t>A002727</t>
  </si>
  <si>
    <t>A002728</t>
  </si>
  <si>
    <t>A002729</t>
  </si>
  <si>
    <t>A002730</t>
  </si>
  <si>
    <t>A002731</t>
  </si>
  <si>
    <t>A002732</t>
  </si>
  <si>
    <t>A002733</t>
  </si>
  <si>
    <t>A002734</t>
  </si>
  <si>
    <t>A002735</t>
  </si>
  <si>
    <t>A002736</t>
  </si>
  <si>
    <t>A002737</t>
  </si>
  <si>
    <t>A002738</t>
  </si>
  <si>
    <t>A002739</t>
  </si>
  <si>
    <t>A002740</t>
  </si>
  <si>
    <t>A002741</t>
  </si>
  <si>
    <t>A002742</t>
  </si>
  <si>
    <t>A002743</t>
  </si>
  <si>
    <t>A002744</t>
  </si>
  <si>
    <t>A002745</t>
  </si>
  <si>
    <t>A002746</t>
  </si>
  <si>
    <t>A002747</t>
  </si>
  <si>
    <t>A002748</t>
  </si>
  <si>
    <t>A002749</t>
  </si>
  <si>
    <t>A002750</t>
  </si>
  <si>
    <t>A002751</t>
  </si>
  <si>
    <t>A002752</t>
  </si>
  <si>
    <t>A002753</t>
  </si>
  <si>
    <t>A002754</t>
  </si>
  <si>
    <t>A002755</t>
  </si>
  <si>
    <t>A002756</t>
  </si>
  <si>
    <t>A002757</t>
  </si>
  <si>
    <t>A002758</t>
  </si>
  <si>
    <t>A002759</t>
  </si>
  <si>
    <t>A002760</t>
  </si>
  <si>
    <t>A002761</t>
  </si>
  <si>
    <t>A002762</t>
  </si>
  <si>
    <t>A002763</t>
  </si>
  <si>
    <t>A002764</t>
  </si>
  <si>
    <t>A002765</t>
  </si>
  <si>
    <t>A002766</t>
  </si>
  <si>
    <t>A002767</t>
  </si>
  <si>
    <t>A002768</t>
  </si>
  <si>
    <t>A002769</t>
  </si>
  <si>
    <t>A002770</t>
  </si>
  <si>
    <t>A002771</t>
  </si>
  <si>
    <t>A002772</t>
  </si>
  <si>
    <t>A002773</t>
  </si>
  <si>
    <t>A002774</t>
  </si>
  <si>
    <t>A002775</t>
  </si>
  <si>
    <t>A002776</t>
  </si>
  <si>
    <t>A002777</t>
  </si>
  <si>
    <t>A002778</t>
  </si>
  <si>
    <t>A002779</t>
  </si>
  <si>
    <t>A002780</t>
  </si>
  <si>
    <t>A002781</t>
  </si>
  <si>
    <t>A002782</t>
  </si>
  <si>
    <t>A002783</t>
  </si>
  <si>
    <t>A002784</t>
  </si>
  <si>
    <t>A002785</t>
  </si>
  <si>
    <t>A002786</t>
  </si>
  <si>
    <t>A002787</t>
  </si>
  <si>
    <t>A002788</t>
  </si>
  <si>
    <t>A002789</t>
  </si>
  <si>
    <t>A002790</t>
  </si>
  <si>
    <t>A002791</t>
  </si>
  <si>
    <t>A002792</t>
  </si>
  <si>
    <t>A002793</t>
  </si>
  <si>
    <t>A002794</t>
  </si>
  <si>
    <t>A002795</t>
  </si>
  <si>
    <t>A002796</t>
  </si>
  <si>
    <t>A002797</t>
  </si>
  <si>
    <t>A002798</t>
  </si>
  <si>
    <t>A002799</t>
  </si>
  <si>
    <t>A002800</t>
  </si>
  <si>
    <t>A002801</t>
  </si>
  <si>
    <t>A002802</t>
  </si>
  <si>
    <t>A002803</t>
  </si>
  <si>
    <t>A002804</t>
  </si>
  <si>
    <t>A002805</t>
  </si>
  <si>
    <t>A002806</t>
  </si>
  <si>
    <t>A002807</t>
  </si>
  <si>
    <t>A002808</t>
  </si>
  <si>
    <t>A002809</t>
  </si>
  <si>
    <t>A002810</t>
  </si>
  <si>
    <t>A002811</t>
  </si>
  <si>
    <t>A002812</t>
  </si>
  <si>
    <t>A002813</t>
  </si>
  <si>
    <t>A002814</t>
  </si>
  <si>
    <t>A002815</t>
  </si>
  <si>
    <t>A002816</t>
  </si>
  <si>
    <t>A002817</t>
  </si>
  <si>
    <t>A002818</t>
  </si>
  <si>
    <t>A002819</t>
  </si>
  <si>
    <t>A002820</t>
  </si>
  <si>
    <t>A002821</t>
  </si>
  <si>
    <t>A002822</t>
  </si>
  <si>
    <t>A002823</t>
  </si>
  <si>
    <t>A002824</t>
  </si>
  <si>
    <t>A002825</t>
  </si>
  <si>
    <t>A002826</t>
  </si>
  <si>
    <t>A002827</t>
  </si>
  <si>
    <t>A002828</t>
  </si>
  <si>
    <t>A002829</t>
  </si>
  <si>
    <t>A002830</t>
  </si>
  <si>
    <t>A002831</t>
  </si>
  <si>
    <t>A002832</t>
  </si>
  <si>
    <t>A002833</t>
  </si>
  <si>
    <t>A002834</t>
  </si>
  <si>
    <t>A002835</t>
  </si>
  <si>
    <t>A002836</t>
  </si>
  <si>
    <t>A002837</t>
  </si>
  <si>
    <t>A002838</t>
  </si>
  <si>
    <t>A002839</t>
  </si>
  <si>
    <t>A002840</t>
  </si>
  <si>
    <t>A002841</t>
  </si>
  <si>
    <t>A002842</t>
  </si>
  <si>
    <t>A002843</t>
  </si>
  <si>
    <t>A002844</t>
  </si>
  <si>
    <t>A002845</t>
  </si>
  <si>
    <t>A002846</t>
  </si>
  <si>
    <t>A002847</t>
  </si>
  <si>
    <t>A002848</t>
  </si>
  <si>
    <t>A002849</t>
  </si>
  <si>
    <t>A002850</t>
  </si>
  <si>
    <t>A002851</t>
  </si>
  <si>
    <t>A002852</t>
  </si>
  <si>
    <t>A002853</t>
  </si>
  <si>
    <t>A002854</t>
  </si>
  <si>
    <t>A002855</t>
  </si>
  <si>
    <t>A002856</t>
  </si>
  <si>
    <t>A002857</t>
  </si>
  <si>
    <t>A002858</t>
  </si>
  <si>
    <t>A002859</t>
  </si>
  <si>
    <t>A002860</t>
  </si>
  <si>
    <t>A002861</t>
  </si>
  <si>
    <t>A002862</t>
  </si>
  <si>
    <t>A002863</t>
  </si>
  <si>
    <t>A002864</t>
  </si>
  <si>
    <t>A002865</t>
  </si>
  <si>
    <t>A002866</t>
  </si>
  <si>
    <t>A002867</t>
  </si>
  <si>
    <t>A002868</t>
  </si>
  <si>
    <t>A002869</t>
  </si>
  <si>
    <t>A002870</t>
  </si>
  <si>
    <t>A002871</t>
  </si>
  <si>
    <t>A002872</t>
  </si>
  <si>
    <t>A002873</t>
  </si>
  <si>
    <t>A002874</t>
  </si>
  <si>
    <t>A002875</t>
  </si>
  <si>
    <t>A002876</t>
  </si>
  <si>
    <t>A002877</t>
  </si>
  <si>
    <t>A002878</t>
  </si>
  <si>
    <t>A002879</t>
  </si>
  <si>
    <t>A002880</t>
  </si>
  <si>
    <t>A002881</t>
  </si>
  <si>
    <t>A002882</t>
  </si>
  <si>
    <t>A002883</t>
  </si>
  <si>
    <t>A002884</t>
  </si>
  <si>
    <t>A002885</t>
  </si>
  <si>
    <t>A002886</t>
  </si>
  <si>
    <t>A002887</t>
  </si>
  <si>
    <t>A002888</t>
  </si>
  <si>
    <t>A002889</t>
  </si>
  <si>
    <t>A002890</t>
  </si>
  <si>
    <t>A002891</t>
  </si>
  <si>
    <t>A002892</t>
  </si>
  <si>
    <t>A002893</t>
  </si>
  <si>
    <t>A002894</t>
  </si>
  <si>
    <t>A002895</t>
  </si>
  <si>
    <t>A002896</t>
  </si>
  <si>
    <t>A002897</t>
  </si>
  <si>
    <t>A002898</t>
  </si>
  <si>
    <t>A002899</t>
  </si>
  <si>
    <t>A002900</t>
  </si>
  <si>
    <t>A002901</t>
  </si>
  <si>
    <t>A002902</t>
  </si>
  <si>
    <t>A002903</t>
  </si>
  <si>
    <t>A002904</t>
  </si>
  <si>
    <t>A002905</t>
  </si>
  <si>
    <t>A002906</t>
  </si>
  <si>
    <t>A002907</t>
  </si>
  <si>
    <t>A002908</t>
  </si>
  <si>
    <t>A002909</t>
  </si>
  <si>
    <t>A002910</t>
  </si>
  <si>
    <t>A002911</t>
  </si>
  <si>
    <t>A002912</t>
  </si>
  <si>
    <t>A002913</t>
  </si>
  <si>
    <t>A002914</t>
  </si>
  <si>
    <t>A002915</t>
  </si>
  <si>
    <t>A002916</t>
  </si>
  <si>
    <t>A002917</t>
  </si>
  <si>
    <t>A002918</t>
  </si>
  <si>
    <t>A002919</t>
  </si>
  <si>
    <t>A002920</t>
  </si>
  <si>
    <t>A002921</t>
  </si>
  <si>
    <t>A002922</t>
  </si>
  <si>
    <t>A002923</t>
  </si>
  <si>
    <t>A002924</t>
  </si>
  <si>
    <t>A002925</t>
  </si>
  <si>
    <t>A002926</t>
  </si>
  <si>
    <t>A002927</t>
  </si>
  <si>
    <t>A002928</t>
  </si>
  <si>
    <t>A002929</t>
  </si>
  <si>
    <t>A002930</t>
  </si>
  <si>
    <t>A002931</t>
  </si>
  <si>
    <t>A002932</t>
  </si>
  <si>
    <t>A002933</t>
  </si>
  <si>
    <t>A002934</t>
  </si>
  <si>
    <t>A002935</t>
  </si>
  <si>
    <t>A002936</t>
  </si>
  <si>
    <t>A002937</t>
  </si>
  <si>
    <t>A002938</t>
  </si>
  <si>
    <t>A002939</t>
  </si>
  <si>
    <t>A002940</t>
  </si>
  <si>
    <t>A002941</t>
  </si>
  <si>
    <t>A002942</t>
  </si>
  <si>
    <t>A002943</t>
  </si>
  <si>
    <t>A002944</t>
  </si>
  <si>
    <t>A002945</t>
  </si>
  <si>
    <t>A002946</t>
  </si>
  <si>
    <t>A002947</t>
  </si>
  <si>
    <t>A002948</t>
  </si>
  <si>
    <t>A002949</t>
  </si>
  <si>
    <t>A002950</t>
  </si>
  <si>
    <t>A002951</t>
  </si>
  <si>
    <t>A002952</t>
  </si>
  <si>
    <t>A002953</t>
  </si>
  <si>
    <t>A002954</t>
  </si>
  <si>
    <t>A002955</t>
  </si>
  <si>
    <t>A002956</t>
  </si>
  <si>
    <t>A002957</t>
  </si>
  <si>
    <t>A002958</t>
  </si>
  <si>
    <t>A002959</t>
  </si>
  <si>
    <t>A002960</t>
  </si>
  <si>
    <t>A002961</t>
  </si>
  <si>
    <t>A002962</t>
  </si>
  <si>
    <t>A002963</t>
  </si>
  <si>
    <t>A002964</t>
  </si>
  <si>
    <t>A002965</t>
  </si>
  <si>
    <t>A002966</t>
  </si>
  <si>
    <t>A002967</t>
  </si>
  <si>
    <t>A002968</t>
  </si>
  <si>
    <t>A002969</t>
  </si>
  <si>
    <t>A002970</t>
  </si>
  <si>
    <t>A002971</t>
  </si>
  <si>
    <t>A002972</t>
  </si>
  <si>
    <t>A002973</t>
  </si>
  <si>
    <t>A002974</t>
  </si>
  <si>
    <t>A002975</t>
  </si>
  <si>
    <t>A002976</t>
  </si>
  <si>
    <t>A002977</t>
  </si>
  <si>
    <t>A002978</t>
  </si>
  <si>
    <t>A002979</t>
  </si>
  <si>
    <t>A002980</t>
  </si>
  <si>
    <t>A002981</t>
  </si>
  <si>
    <t>A002982</t>
  </si>
  <si>
    <t>A002983</t>
  </si>
  <si>
    <t>A002984</t>
  </si>
  <si>
    <t>A002985</t>
  </si>
  <si>
    <t>A002986</t>
  </si>
  <si>
    <t>A002987</t>
  </si>
  <si>
    <t>A002988</t>
  </si>
  <si>
    <t>A002989</t>
  </si>
  <si>
    <t>A002990</t>
  </si>
  <si>
    <t>A002991</t>
  </si>
  <si>
    <t>A002992</t>
  </si>
  <si>
    <t>A002993</t>
  </si>
  <si>
    <t>A002994</t>
  </si>
  <si>
    <t>A002995</t>
  </si>
  <si>
    <t>A002996</t>
  </si>
  <si>
    <t>A002997</t>
  </si>
  <si>
    <t>A002998</t>
  </si>
  <si>
    <t>A002999</t>
  </si>
  <si>
    <t>A003000</t>
  </si>
  <si>
    <t>A003001</t>
  </si>
  <si>
    <t>A003002</t>
  </si>
  <si>
    <t>A003003</t>
  </si>
  <si>
    <t>A003004</t>
  </si>
  <si>
    <t>A003005</t>
  </si>
  <si>
    <t>A003006</t>
  </si>
  <si>
    <t>A003007</t>
  </si>
  <si>
    <t>A003008</t>
  </si>
  <si>
    <t>A003009</t>
  </si>
  <si>
    <t>A003010</t>
  </si>
  <si>
    <t>A003011</t>
  </si>
  <si>
    <t>A003012</t>
  </si>
  <si>
    <t>A003013</t>
  </si>
  <si>
    <t>A003014</t>
  </si>
  <si>
    <t>A003015</t>
  </si>
  <si>
    <t>A003016</t>
  </si>
  <si>
    <t>A003017</t>
  </si>
  <si>
    <t>A003018</t>
  </si>
  <si>
    <t>A003019</t>
  </si>
  <si>
    <t>A003020</t>
  </si>
  <si>
    <t>A003021</t>
  </si>
  <si>
    <t>A003022</t>
  </si>
  <si>
    <t>A003023</t>
  </si>
  <si>
    <t>A003024</t>
  </si>
  <si>
    <t>A003025</t>
  </si>
  <si>
    <t>A003026</t>
  </si>
  <si>
    <t>A003027</t>
  </si>
  <si>
    <t>A003028</t>
  </si>
  <si>
    <t>A003029</t>
  </si>
  <si>
    <t>A003030</t>
  </si>
  <si>
    <t>A003031</t>
  </si>
  <si>
    <t>A003032</t>
  </si>
  <si>
    <t>A003033</t>
  </si>
  <si>
    <t>A003034</t>
  </si>
  <si>
    <t>A003035</t>
  </si>
  <si>
    <t>A003036</t>
  </si>
  <si>
    <t>A003037</t>
  </si>
  <si>
    <t>A003038</t>
  </si>
  <si>
    <t>A003039</t>
  </si>
  <si>
    <t>A003040</t>
  </si>
  <si>
    <t>A003041</t>
  </si>
  <si>
    <t>A003042</t>
  </si>
  <si>
    <t>A003043</t>
  </si>
  <si>
    <t>A003044</t>
  </si>
  <si>
    <t>A003045</t>
  </si>
  <si>
    <t>A003046</t>
  </si>
  <si>
    <t>A003047</t>
  </si>
  <si>
    <t>A003048</t>
  </si>
  <si>
    <t>A003049</t>
  </si>
  <si>
    <t>A003050</t>
  </si>
  <si>
    <t>A003051</t>
  </si>
  <si>
    <t>A003052</t>
  </si>
  <si>
    <t>A003053</t>
  </si>
  <si>
    <t>A003054</t>
  </si>
  <si>
    <t>A003055</t>
  </si>
  <si>
    <t>A003056</t>
  </si>
  <si>
    <t>A003057</t>
  </si>
  <si>
    <t>A003058</t>
  </si>
  <si>
    <t>A003059</t>
  </si>
  <si>
    <t>A003060</t>
  </si>
  <si>
    <t>A003061</t>
  </si>
  <si>
    <t>A003062</t>
  </si>
  <si>
    <t>A003063</t>
  </si>
  <si>
    <t>A003064</t>
  </si>
  <si>
    <t>A003065</t>
  </si>
  <si>
    <t>A003066</t>
  </si>
  <si>
    <t>A003067</t>
  </si>
  <si>
    <t>A003068</t>
  </si>
  <si>
    <t>A003069</t>
  </si>
  <si>
    <t>A003070</t>
  </si>
  <si>
    <t>A003071</t>
  </si>
  <si>
    <t>A003072</t>
  </si>
  <si>
    <t>A003073</t>
  </si>
  <si>
    <t>A003074</t>
  </si>
  <si>
    <t>A003075</t>
  </si>
  <si>
    <t>A003076</t>
  </si>
  <si>
    <t>A003077</t>
  </si>
  <si>
    <t>A003078</t>
  </si>
  <si>
    <t>A003079</t>
  </si>
  <si>
    <t>A003080</t>
  </si>
  <si>
    <t>A003081</t>
  </si>
  <si>
    <t>A003082</t>
  </si>
  <si>
    <t>A003083</t>
  </si>
  <si>
    <t>A003084</t>
  </si>
  <si>
    <t>A003085</t>
  </si>
  <si>
    <t>A003086</t>
  </si>
  <si>
    <t>A003087</t>
  </si>
  <si>
    <t>A003088</t>
  </si>
  <si>
    <t>A003089</t>
  </si>
  <si>
    <t>A003090</t>
  </si>
  <si>
    <t>A003091</t>
  </si>
  <si>
    <t>A003092</t>
  </si>
  <si>
    <t>A003093</t>
  </si>
  <si>
    <t>A003094</t>
  </si>
  <si>
    <t>A003095</t>
  </si>
  <si>
    <t>A003096</t>
  </si>
  <si>
    <t>A003097</t>
  </si>
  <si>
    <t>A003098</t>
  </si>
  <si>
    <t>A003099</t>
  </si>
  <si>
    <t>A003100</t>
  </si>
  <si>
    <t>A003101</t>
  </si>
  <si>
    <t>A003102</t>
  </si>
  <si>
    <t>A003103</t>
  </si>
  <si>
    <t>A003104</t>
  </si>
  <si>
    <t>A003105</t>
  </si>
  <si>
    <t>A003106</t>
  </si>
  <si>
    <t>A003107</t>
  </si>
  <si>
    <t>A003108</t>
  </si>
  <si>
    <t>A003109</t>
  </si>
  <si>
    <t>A003110</t>
  </si>
  <si>
    <t>A003111</t>
  </si>
  <si>
    <t>A003112</t>
  </si>
  <si>
    <t>A003113</t>
  </si>
  <si>
    <t>A003114</t>
  </si>
  <si>
    <t>A003115</t>
  </si>
  <si>
    <t>A003116</t>
  </si>
  <si>
    <t>A003117</t>
  </si>
  <si>
    <t>A003118</t>
  </si>
  <si>
    <t>A003119</t>
  </si>
  <si>
    <t>A003120</t>
  </si>
  <si>
    <t>A003121</t>
  </si>
  <si>
    <t>A003122</t>
  </si>
  <si>
    <t>A003123</t>
  </si>
  <si>
    <t>A003124</t>
  </si>
  <si>
    <t>A003125</t>
  </si>
  <si>
    <t>A003126</t>
  </si>
  <si>
    <t>A003127</t>
  </si>
  <si>
    <t>A003128</t>
  </si>
  <si>
    <t>A003129</t>
  </si>
  <si>
    <t>A003130</t>
  </si>
  <si>
    <t>A003131</t>
  </si>
  <si>
    <t>A003132</t>
  </si>
  <si>
    <t>A003133</t>
  </si>
  <si>
    <t>A003134</t>
  </si>
  <si>
    <t>A003135</t>
  </si>
  <si>
    <t>A003136</t>
  </si>
  <si>
    <t>A003137</t>
  </si>
  <si>
    <t>A003138</t>
  </si>
  <si>
    <t>A003139</t>
  </si>
  <si>
    <t>A003140</t>
  </si>
  <si>
    <t>A003141</t>
  </si>
  <si>
    <t>A003142</t>
  </si>
  <si>
    <t>A003143</t>
  </si>
  <si>
    <t>A003144</t>
  </si>
  <si>
    <t>A003145</t>
  </si>
  <si>
    <t>A003146</t>
  </si>
  <si>
    <t>A003147</t>
  </si>
  <si>
    <t>A003148</t>
  </si>
  <si>
    <t>A003149</t>
  </si>
  <si>
    <t>A003150</t>
  </si>
  <si>
    <t>A003151</t>
  </si>
  <si>
    <t>A003152</t>
  </si>
  <si>
    <t>A003153</t>
  </si>
  <si>
    <t>A003154</t>
  </si>
  <si>
    <t>A003155</t>
  </si>
  <si>
    <t>A003156</t>
  </si>
  <si>
    <t>A003157</t>
  </si>
  <si>
    <t>A003158</t>
  </si>
  <si>
    <t>A003159</t>
  </si>
  <si>
    <t>A003160</t>
  </si>
  <si>
    <t>A003161</t>
  </si>
  <si>
    <t>A003162</t>
  </si>
  <si>
    <t>A003163</t>
  </si>
  <si>
    <t>A003164</t>
  </si>
  <si>
    <t>A003165</t>
  </si>
  <si>
    <t>A003166</t>
  </si>
  <si>
    <t>A003167</t>
  </si>
  <si>
    <t>A003168</t>
  </si>
  <si>
    <t>A003169</t>
  </si>
  <si>
    <t>A003170</t>
  </si>
  <si>
    <t>A003171</t>
  </si>
  <si>
    <t>A003172</t>
  </si>
  <si>
    <t>A003173</t>
  </si>
  <si>
    <t>A003174</t>
  </si>
  <si>
    <t>A003175</t>
  </si>
  <si>
    <t>A003176</t>
  </si>
  <si>
    <t>A003177</t>
  </si>
  <si>
    <t>A003178</t>
  </si>
  <si>
    <t>A003179</t>
  </si>
  <si>
    <t>A003180</t>
  </si>
  <si>
    <t>A003181</t>
  </si>
  <si>
    <t>A003182</t>
  </si>
  <si>
    <t>A003183</t>
  </si>
  <si>
    <t>A003184</t>
  </si>
  <si>
    <t>A003185</t>
  </si>
  <si>
    <t>A003186</t>
  </si>
  <si>
    <t>A003187</t>
  </si>
  <si>
    <t>A003188</t>
  </si>
  <si>
    <t>A003189</t>
  </si>
  <si>
    <t>A003190</t>
  </si>
  <si>
    <t>A003191</t>
  </si>
  <si>
    <t>A003192</t>
  </si>
  <si>
    <t>A003193</t>
  </si>
  <si>
    <t>A003194</t>
  </si>
  <si>
    <t>A003195</t>
  </si>
  <si>
    <t>A003196</t>
  </si>
  <si>
    <t>A003197</t>
  </si>
  <si>
    <t>A003198</t>
  </si>
  <si>
    <t>A003199</t>
  </si>
  <si>
    <t>A003200</t>
  </si>
  <si>
    <t>A003201</t>
  </si>
  <si>
    <t>A003202</t>
  </si>
  <si>
    <t>A003203</t>
  </si>
  <si>
    <t>A003204</t>
  </si>
  <si>
    <t>A003205</t>
  </si>
  <si>
    <t>A003206</t>
  </si>
  <si>
    <t>A003207</t>
  </si>
  <si>
    <t>A003208</t>
  </si>
  <si>
    <t>A003209</t>
  </si>
  <si>
    <t>A003210</t>
  </si>
  <si>
    <t>A003211</t>
  </si>
  <si>
    <t>A003212</t>
  </si>
  <si>
    <t>A003213</t>
  </si>
  <si>
    <t>A003214</t>
  </si>
  <si>
    <t>A003215</t>
  </si>
  <si>
    <t>A003216</t>
  </si>
  <si>
    <t>A003217</t>
  </si>
  <si>
    <t>A003218</t>
  </si>
  <si>
    <t>A003219</t>
  </si>
  <si>
    <t>A003220</t>
  </si>
  <si>
    <t>A003221</t>
  </si>
  <si>
    <t>A003222</t>
  </si>
  <si>
    <t>A003223</t>
  </si>
  <si>
    <t>A003224</t>
  </si>
  <si>
    <t>A003225</t>
  </si>
  <si>
    <t>A003226</t>
  </si>
  <si>
    <t>A003227</t>
  </si>
  <si>
    <t>A003228</t>
  </si>
  <si>
    <t>A003229</t>
  </si>
  <si>
    <t>A003230</t>
  </si>
  <si>
    <t>A003231</t>
  </si>
  <si>
    <t>A003232</t>
  </si>
  <si>
    <t>A003233</t>
  </si>
  <si>
    <t>A003234</t>
  </si>
  <si>
    <t>A003235</t>
  </si>
  <si>
    <t>A003236</t>
  </si>
  <si>
    <t>A003237</t>
  </si>
  <si>
    <t>A003238</t>
  </si>
  <si>
    <t>A003239</t>
  </si>
  <si>
    <t>A003240</t>
  </si>
  <si>
    <t>A003241</t>
  </si>
  <si>
    <t>A003242</t>
  </si>
  <si>
    <t>A003243</t>
  </si>
  <si>
    <t>A003244</t>
  </si>
  <si>
    <t>A003245</t>
  </si>
  <si>
    <t>A003246</t>
  </si>
  <si>
    <t>A003247</t>
  </si>
  <si>
    <t>A003248</t>
  </si>
  <si>
    <t>A003249</t>
  </si>
  <si>
    <t>A003250</t>
  </si>
  <si>
    <t>A003251</t>
  </si>
  <si>
    <t>A003252</t>
  </si>
  <si>
    <t>A003253</t>
  </si>
  <si>
    <t>A003254</t>
  </si>
  <si>
    <t>A003255</t>
  </si>
  <si>
    <t>A003256</t>
  </si>
  <si>
    <t>A003257</t>
  </si>
  <si>
    <t>A003258</t>
  </si>
  <si>
    <t>A003259</t>
  </si>
  <si>
    <t>A003260</t>
  </si>
  <si>
    <t>A003261</t>
  </si>
  <si>
    <t>A003262</t>
  </si>
  <si>
    <t>A003263</t>
  </si>
  <si>
    <t>A003264</t>
  </si>
  <si>
    <t>A003265</t>
  </si>
  <si>
    <t>A003266</t>
  </si>
  <si>
    <t>A003267</t>
  </si>
  <si>
    <t>A003268</t>
  </si>
  <si>
    <t>A003269</t>
  </si>
  <si>
    <t>A003270</t>
  </si>
  <si>
    <t>A003271</t>
  </si>
  <si>
    <t>A003272</t>
  </si>
  <si>
    <t>A003273</t>
  </si>
  <si>
    <t>A003274</t>
  </si>
  <si>
    <t>A003275</t>
  </si>
  <si>
    <t>A003276</t>
  </si>
  <si>
    <t>A003277</t>
  </si>
  <si>
    <t>A003278</t>
  </si>
  <si>
    <t>A003279</t>
  </si>
  <si>
    <t>A003280</t>
  </si>
  <si>
    <t>A003281</t>
  </si>
  <si>
    <t>A003282</t>
  </si>
  <si>
    <t>A003283</t>
  </si>
  <si>
    <t>A003284</t>
  </si>
  <si>
    <t>A003285</t>
  </si>
  <si>
    <t>A003286</t>
  </si>
  <si>
    <t>A003287</t>
  </si>
  <si>
    <t>A003288</t>
  </si>
  <si>
    <t>A003289</t>
  </si>
  <si>
    <t>A003290</t>
  </si>
  <si>
    <t>A003291</t>
  </si>
  <si>
    <t>A003292</t>
  </si>
  <si>
    <t>A003293</t>
  </si>
  <si>
    <t>A003294</t>
  </si>
  <si>
    <t>A003295</t>
  </si>
  <si>
    <t>A003296</t>
  </si>
  <si>
    <t>A003297</t>
  </si>
  <si>
    <t>A003298</t>
  </si>
  <si>
    <t>A003299</t>
  </si>
  <si>
    <t>A003300</t>
  </si>
  <si>
    <t>A003301</t>
  </si>
  <si>
    <t>A003302</t>
  </si>
  <si>
    <t>A003303</t>
  </si>
  <si>
    <t>A003304</t>
  </si>
  <si>
    <t>A003305</t>
  </si>
  <si>
    <t>A003306</t>
  </si>
  <si>
    <t>A003307</t>
  </si>
  <si>
    <t>A003308</t>
  </si>
  <si>
    <t>A003309</t>
  </si>
  <si>
    <t>A003310</t>
  </si>
  <si>
    <t>A003311</t>
  </si>
  <si>
    <t>A003312</t>
  </si>
  <si>
    <t>A003313</t>
  </si>
  <si>
    <t>A003314</t>
  </si>
  <si>
    <t>A003315</t>
  </si>
  <si>
    <t>A003316</t>
  </si>
  <si>
    <t>A003317</t>
  </si>
  <si>
    <t>A003318</t>
  </si>
  <si>
    <t>A003319</t>
  </si>
  <si>
    <t>A003320</t>
  </si>
  <si>
    <t>A003321</t>
  </si>
  <si>
    <t>A003322</t>
  </si>
  <si>
    <t>A003323</t>
  </si>
  <si>
    <t>A003324</t>
  </si>
  <si>
    <t>A003325</t>
  </si>
  <si>
    <t>A003326</t>
  </si>
  <si>
    <t>A003327</t>
  </si>
  <si>
    <t>A003328</t>
  </si>
  <si>
    <t>A003329</t>
  </si>
  <si>
    <t>A003330</t>
  </si>
  <si>
    <t>A003331</t>
  </si>
  <si>
    <t>A003332</t>
  </si>
  <si>
    <t>A003333</t>
  </si>
  <si>
    <t>A003334</t>
  </si>
  <si>
    <t>A003335</t>
  </si>
  <si>
    <t>A003336</t>
  </si>
  <si>
    <t>A003337</t>
  </si>
  <si>
    <t>A003338</t>
  </si>
  <si>
    <t>A003339</t>
  </si>
  <si>
    <t>A003340</t>
  </si>
  <si>
    <t>A003341</t>
  </si>
  <si>
    <t>A003342</t>
  </si>
  <si>
    <t>A003343</t>
  </si>
  <si>
    <t>A003344</t>
  </si>
  <si>
    <t>A003345</t>
  </si>
  <si>
    <t>A003346</t>
  </si>
  <si>
    <t>A003347</t>
  </si>
  <si>
    <t>A003348</t>
  </si>
  <si>
    <t>A003349</t>
  </si>
  <si>
    <t>A003350</t>
  </si>
  <si>
    <t>A003351</t>
  </si>
  <si>
    <t>A003352</t>
  </si>
  <si>
    <t>A003353</t>
  </si>
  <si>
    <t>A003354</t>
  </si>
  <si>
    <t>A003355</t>
  </si>
  <si>
    <t>A003356</t>
  </si>
  <si>
    <t>A003357</t>
  </si>
  <si>
    <t>A003358</t>
  </si>
  <si>
    <t>A003359</t>
  </si>
  <si>
    <t>A003360</t>
  </si>
  <si>
    <t>A003361</t>
  </si>
  <si>
    <t>A003362</t>
  </si>
  <si>
    <t>A003363</t>
  </si>
  <si>
    <t>A003364</t>
  </si>
  <si>
    <t>A003365</t>
  </si>
  <si>
    <t>A003366</t>
  </si>
  <si>
    <t>A003367</t>
  </si>
  <si>
    <t>A003368</t>
  </si>
  <si>
    <t>A003369</t>
  </si>
  <si>
    <t>A003370</t>
  </si>
  <si>
    <t>A003371</t>
  </si>
  <si>
    <t>A003372</t>
  </si>
  <si>
    <t>A003373</t>
  </si>
  <si>
    <t>A003374</t>
  </si>
  <si>
    <t>A003375</t>
  </si>
  <si>
    <t>A003376</t>
  </si>
  <si>
    <t>A003377</t>
  </si>
  <si>
    <t>A003378</t>
  </si>
  <si>
    <t>A003379</t>
  </si>
  <si>
    <t>A003380</t>
  </si>
  <si>
    <t>A003381</t>
  </si>
  <si>
    <t>A003382</t>
  </si>
  <si>
    <t>A003383</t>
  </si>
  <si>
    <t>A003384</t>
  </si>
  <si>
    <t>A003385</t>
  </si>
  <si>
    <t>A003386</t>
  </si>
  <si>
    <t>A003387</t>
  </si>
  <si>
    <t>A003388</t>
  </si>
  <si>
    <t>A003389</t>
  </si>
  <si>
    <t>A003390</t>
  </si>
  <si>
    <t>A003391</t>
  </si>
  <si>
    <t>A003392</t>
  </si>
  <si>
    <t>A003393</t>
  </si>
  <si>
    <t>A003394</t>
  </si>
  <si>
    <t>A003395</t>
  </si>
  <si>
    <t>A003396</t>
  </si>
  <si>
    <t>A003397</t>
  </si>
  <si>
    <t>A003398</t>
  </si>
  <si>
    <t>A003399</t>
  </si>
  <si>
    <t>A003400</t>
  </si>
  <si>
    <t>A003401</t>
  </si>
  <si>
    <t>A003402</t>
  </si>
  <si>
    <t>A003403</t>
  </si>
  <si>
    <t>A003404</t>
  </si>
  <si>
    <t>A003405</t>
  </si>
  <si>
    <t>A003406</t>
  </si>
  <si>
    <t>A003407</t>
  </si>
  <si>
    <t>A003408</t>
  </si>
  <si>
    <t>A003409</t>
  </si>
  <si>
    <t>A003410</t>
  </si>
  <si>
    <t>A003411</t>
  </si>
  <si>
    <t>A003412</t>
  </si>
  <si>
    <t>A003413</t>
  </si>
  <si>
    <t>A003414</t>
  </si>
  <si>
    <t>A003415</t>
  </si>
  <si>
    <t>A003416</t>
  </si>
  <si>
    <t>A003417</t>
  </si>
  <si>
    <t>A003418</t>
  </si>
  <si>
    <t>A003419</t>
  </si>
  <si>
    <t>A003420</t>
  </si>
  <si>
    <t>A003421</t>
  </si>
  <si>
    <t>A003422</t>
  </si>
  <si>
    <t>A003423</t>
  </si>
  <si>
    <t>A003424</t>
  </si>
  <si>
    <t>A003425</t>
  </si>
  <si>
    <t>A003426</t>
  </si>
  <si>
    <t>A003427</t>
  </si>
  <si>
    <t>A003428</t>
  </si>
  <si>
    <t>A003429</t>
  </si>
  <si>
    <t>A003430</t>
  </si>
  <si>
    <t>A003431</t>
  </si>
  <si>
    <t>A003432</t>
  </si>
  <si>
    <t>A003433</t>
  </si>
  <si>
    <t>A003434</t>
  </si>
  <si>
    <t>A003435</t>
  </si>
  <si>
    <t>A003436</t>
  </si>
  <si>
    <t>A003437</t>
  </si>
  <si>
    <t>A003438</t>
  </si>
  <si>
    <t>A003439</t>
  </si>
  <si>
    <t>A003440</t>
  </si>
  <si>
    <t>A003441</t>
  </si>
  <si>
    <t>A003442</t>
  </si>
  <si>
    <t>A003443</t>
  </si>
  <si>
    <t>A003444</t>
  </si>
  <si>
    <t>A003445</t>
  </si>
  <si>
    <t>A003446</t>
  </si>
  <si>
    <t>A003447</t>
  </si>
  <si>
    <t>A003448</t>
  </si>
  <si>
    <t>A003449</t>
  </si>
  <si>
    <t>A003450</t>
  </si>
  <si>
    <t>A003451</t>
  </si>
  <si>
    <t>A003452</t>
  </si>
  <si>
    <t>A003453</t>
  </si>
  <si>
    <t>A003454</t>
  </si>
  <si>
    <t>A003455</t>
  </si>
  <si>
    <t>A003456</t>
  </si>
  <si>
    <t>A003457</t>
  </si>
  <si>
    <t>A003458</t>
  </si>
  <si>
    <t>A003459</t>
  </si>
  <si>
    <t>A003460</t>
  </si>
  <si>
    <t>A003461</t>
  </si>
  <si>
    <t>A003462</t>
  </si>
  <si>
    <t>A003463</t>
  </si>
  <si>
    <t>A003464</t>
  </si>
  <si>
    <t>A003465</t>
  </si>
  <si>
    <t>A003466</t>
  </si>
  <si>
    <t>A003467</t>
  </si>
  <si>
    <t>A003468</t>
  </si>
  <si>
    <t>A003469</t>
  </si>
  <si>
    <t>A003470</t>
  </si>
  <si>
    <t>A003471</t>
  </si>
  <si>
    <t>A003472</t>
  </si>
  <si>
    <t>A003473</t>
  </si>
  <si>
    <t>A003474</t>
  </si>
  <si>
    <t>A003475</t>
  </si>
  <si>
    <t>A003476</t>
  </si>
  <si>
    <t>A003477</t>
  </si>
  <si>
    <t>A003478</t>
  </si>
  <si>
    <t>A003479</t>
  </si>
  <si>
    <t>A003480</t>
  </si>
  <si>
    <t>A003481</t>
  </si>
  <si>
    <t>A003482</t>
  </si>
  <si>
    <t>A003483</t>
  </si>
  <si>
    <t>A003484</t>
  </si>
  <si>
    <t>A003485</t>
  </si>
  <si>
    <t>A003486</t>
  </si>
  <si>
    <t>A003487</t>
  </si>
  <si>
    <t>A003488</t>
  </si>
  <si>
    <t>A003489</t>
  </si>
  <si>
    <t>A003490</t>
  </si>
  <si>
    <t>A003491</t>
  </si>
  <si>
    <t>A003492</t>
  </si>
  <si>
    <t>A003493</t>
  </si>
  <si>
    <t>A003494</t>
  </si>
  <si>
    <t>A003495</t>
  </si>
  <si>
    <t>A003496</t>
  </si>
  <si>
    <t>A003497</t>
  </si>
  <si>
    <t>A003498</t>
  </si>
  <si>
    <t>A003499</t>
  </si>
  <si>
    <t>A003500</t>
  </si>
  <si>
    <t>A003501</t>
  </si>
  <si>
    <t>A003502</t>
  </si>
  <si>
    <t>A003503</t>
  </si>
  <si>
    <t>A003504</t>
  </si>
  <si>
    <t>A003505</t>
  </si>
  <si>
    <t>A003506</t>
  </si>
  <si>
    <t>A003507</t>
  </si>
  <si>
    <t>A003508</t>
  </si>
  <si>
    <t>A003509</t>
  </si>
  <si>
    <t>A003510</t>
  </si>
  <si>
    <t>A003511</t>
  </si>
  <si>
    <t>A003512</t>
  </si>
  <si>
    <t>A003513</t>
  </si>
  <si>
    <t>A003514</t>
  </si>
  <si>
    <t>A003515</t>
  </si>
  <si>
    <t>A003516</t>
  </si>
  <si>
    <t>A003517</t>
  </si>
  <si>
    <t>A003518</t>
  </si>
  <si>
    <t>A003519</t>
  </si>
  <si>
    <t>A003520</t>
  </si>
  <si>
    <t>A003521</t>
  </si>
  <si>
    <t>A003522</t>
  </si>
  <si>
    <t>A003523</t>
  </si>
  <si>
    <t>A003524</t>
  </si>
  <si>
    <t>A003525</t>
  </si>
  <si>
    <t>A003526</t>
  </si>
  <si>
    <t>A003527</t>
  </si>
  <si>
    <t>A003528</t>
  </si>
  <si>
    <t>A003529</t>
  </si>
  <si>
    <t>A003530</t>
  </si>
  <si>
    <t>A003531</t>
  </si>
  <si>
    <t>A003532</t>
  </si>
  <si>
    <t>A003533</t>
  </si>
  <si>
    <t>A003534</t>
  </si>
  <si>
    <t>A003535</t>
  </si>
  <si>
    <t>A003536</t>
  </si>
  <si>
    <t>A003537</t>
  </si>
  <si>
    <t>A003538</t>
  </si>
  <si>
    <t>A003539</t>
  </si>
  <si>
    <t>A003540</t>
  </si>
  <si>
    <t>A003541</t>
  </si>
  <si>
    <t>A003542</t>
  </si>
  <si>
    <t>A003543</t>
  </si>
  <si>
    <t>A003544</t>
  </si>
  <si>
    <t>A003545</t>
  </si>
  <si>
    <t>A003546</t>
  </si>
  <si>
    <t>A003547</t>
  </si>
  <si>
    <t>A003548</t>
  </si>
  <si>
    <t>A003549</t>
  </si>
  <si>
    <t>A003550</t>
  </si>
  <si>
    <t>A003551</t>
  </si>
  <si>
    <t>A003552</t>
  </si>
  <si>
    <t>A003553</t>
  </si>
  <si>
    <t>A003554</t>
  </si>
  <si>
    <t>A003555</t>
  </si>
  <si>
    <t>A003556</t>
  </si>
  <si>
    <t>A003557</t>
  </si>
  <si>
    <t>A003558</t>
  </si>
  <si>
    <t>A003559</t>
  </si>
  <si>
    <t>A003560</t>
  </si>
  <si>
    <t>A003561</t>
  </si>
  <si>
    <t>A003562</t>
  </si>
  <si>
    <t>A003563</t>
  </si>
  <si>
    <t>A003564</t>
  </si>
  <si>
    <t>A003565</t>
  </si>
  <si>
    <t>A003566</t>
  </si>
  <si>
    <t>A003567</t>
  </si>
  <si>
    <t>A003568</t>
  </si>
  <si>
    <t>A003569</t>
  </si>
  <si>
    <t>A003570</t>
  </si>
  <si>
    <t>A003571</t>
  </si>
  <si>
    <t>A003572</t>
  </si>
  <si>
    <t>A003573</t>
  </si>
  <si>
    <t>A003574</t>
  </si>
  <si>
    <t>A003575</t>
  </si>
  <si>
    <t>A003576</t>
  </si>
  <si>
    <t>A003577</t>
  </si>
  <si>
    <t>A003578</t>
  </si>
  <si>
    <t>A003579</t>
  </si>
  <si>
    <t>A003580</t>
  </si>
  <si>
    <t>A003581</t>
  </si>
  <si>
    <t>A003582</t>
  </si>
  <si>
    <t>A003583</t>
  </si>
  <si>
    <t>A003584</t>
  </si>
  <si>
    <t>A003585</t>
  </si>
  <si>
    <t>A003586</t>
  </si>
  <si>
    <t>A003587</t>
  </si>
  <si>
    <t>A003588</t>
  </si>
  <si>
    <t>A003589</t>
  </si>
  <si>
    <t>A003590</t>
  </si>
  <si>
    <t>A003591</t>
  </si>
  <si>
    <t>A003592</t>
  </si>
  <si>
    <t>A003593</t>
  </si>
  <si>
    <t>A003594</t>
  </si>
  <si>
    <t>A003595</t>
  </si>
  <si>
    <t>A003596</t>
  </si>
  <si>
    <t>A003597</t>
  </si>
  <si>
    <t>A003598</t>
  </si>
  <si>
    <t>A003599</t>
  </si>
  <si>
    <t>A003600</t>
  </si>
  <si>
    <t>A003601</t>
  </si>
  <si>
    <t>A003602</t>
  </si>
  <si>
    <t>A003603</t>
  </si>
  <si>
    <t>A003604</t>
  </si>
  <si>
    <t>A003605</t>
  </si>
  <si>
    <t>A003606</t>
  </si>
  <si>
    <t>A003607</t>
  </si>
  <si>
    <t>A003608</t>
  </si>
  <si>
    <t>A003609</t>
  </si>
  <si>
    <t>A003610</t>
  </si>
  <si>
    <t>A003611</t>
  </si>
  <si>
    <t>A003612</t>
  </si>
  <si>
    <t>A003613</t>
  </si>
  <si>
    <t>A003614</t>
  </si>
  <si>
    <t>A003615</t>
  </si>
  <si>
    <t>A003616</t>
  </si>
  <si>
    <t>A003617</t>
  </si>
  <si>
    <t>A003618</t>
  </si>
  <si>
    <t>A003619</t>
  </si>
  <si>
    <t>A003620</t>
  </si>
  <si>
    <t>A003621</t>
  </si>
  <si>
    <t>A003622</t>
  </si>
  <si>
    <t>A003623</t>
  </si>
  <si>
    <t>A003624</t>
  </si>
  <si>
    <t>A003625</t>
  </si>
  <si>
    <t>A003626</t>
  </si>
  <si>
    <t>A003627</t>
  </si>
  <si>
    <t>A003628</t>
  </si>
  <si>
    <t>A003629</t>
  </si>
  <si>
    <t>A003630</t>
  </si>
  <si>
    <t>A003631</t>
  </si>
  <si>
    <t>A003632</t>
  </si>
  <si>
    <t>A003633</t>
  </si>
  <si>
    <t>A003634</t>
  </si>
  <si>
    <t>A003635</t>
  </si>
  <si>
    <t>A003636</t>
  </si>
  <si>
    <t>A003637</t>
  </si>
  <si>
    <t>A003638</t>
  </si>
  <si>
    <t>A003639</t>
  </si>
  <si>
    <t>A003640</t>
  </si>
  <si>
    <t>A003641</t>
  </si>
  <si>
    <t>A003642</t>
  </si>
  <si>
    <t>A003643</t>
  </si>
  <si>
    <t>A003644</t>
  </si>
  <si>
    <t>A003645</t>
  </si>
  <si>
    <t>A003646</t>
  </si>
  <si>
    <t>A003647</t>
  </si>
  <si>
    <t>A003648</t>
  </si>
  <si>
    <t>A003649</t>
  </si>
  <si>
    <t>A003650</t>
  </si>
  <si>
    <t>A003651</t>
  </si>
  <si>
    <t>A003652</t>
  </si>
  <si>
    <t>A003653</t>
  </si>
  <si>
    <t>A003654</t>
  </si>
  <si>
    <t>A003655</t>
  </si>
  <si>
    <t>A003656</t>
  </si>
  <si>
    <t>A003657</t>
  </si>
  <si>
    <t>A003658</t>
  </si>
  <si>
    <t>A003659</t>
  </si>
  <si>
    <t>A003660</t>
  </si>
  <si>
    <t>A003661</t>
  </si>
  <si>
    <t>A003662</t>
  </si>
  <si>
    <t>A003663</t>
  </si>
  <si>
    <t>A003664</t>
  </si>
  <si>
    <t>A003665</t>
  </si>
  <si>
    <t>A003666</t>
  </si>
  <si>
    <t>A003667</t>
  </si>
  <si>
    <t>A003668</t>
  </si>
  <si>
    <t>A003669</t>
  </si>
  <si>
    <t>A003670</t>
  </si>
  <si>
    <t>A003671</t>
  </si>
  <si>
    <t>A003672</t>
  </si>
  <si>
    <t>A003673</t>
  </si>
  <si>
    <t>A003674</t>
  </si>
  <si>
    <t>A003675</t>
  </si>
  <si>
    <t>A003676</t>
  </si>
  <si>
    <t>A003677</t>
  </si>
  <si>
    <t>A003678</t>
  </si>
  <si>
    <t>A003679</t>
  </si>
  <si>
    <t>A003680</t>
  </si>
  <si>
    <t>A003681</t>
  </si>
  <si>
    <t>A003682</t>
  </si>
  <si>
    <t>A003683</t>
  </si>
  <si>
    <t>A003684</t>
  </si>
  <si>
    <t>A003685</t>
  </si>
  <si>
    <t>A003686</t>
  </si>
  <si>
    <t>A003687</t>
  </si>
  <si>
    <t>A003688</t>
  </si>
  <si>
    <t>A003689</t>
  </si>
  <si>
    <t>A003690</t>
  </si>
  <si>
    <t>A003691</t>
  </si>
  <si>
    <t>A003692</t>
  </si>
  <si>
    <t>A003693</t>
  </si>
  <si>
    <t>A003694</t>
  </si>
  <si>
    <t>A003695</t>
  </si>
  <si>
    <t>A003696</t>
  </si>
  <si>
    <t>A003697</t>
  </si>
  <si>
    <t>A003698</t>
  </si>
  <si>
    <t>A003699</t>
  </si>
  <si>
    <t>A003700</t>
  </si>
  <si>
    <t>A003701</t>
  </si>
  <si>
    <t>A003702</t>
  </si>
  <si>
    <t>A003703</t>
  </si>
  <si>
    <t>A003704</t>
  </si>
  <si>
    <t>A003705</t>
  </si>
  <si>
    <t>A003706</t>
  </si>
  <si>
    <t>A003707</t>
  </si>
  <si>
    <t>A003708</t>
  </si>
  <si>
    <t>A003709</t>
  </si>
  <si>
    <t>A003710</t>
  </si>
  <si>
    <t>A003711</t>
  </si>
  <si>
    <t>A003712</t>
  </si>
  <si>
    <t>A003713</t>
  </si>
  <si>
    <t>A003714</t>
  </si>
  <si>
    <t>A003715</t>
  </si>
  <si>
    <t>A003716</t>
  </si>
  <si>
    <t>A003717</t>
  </si>
  <si>
    <t>A003718</t>
  </si>
  <si>
    <t>A003719</t>
  </si>
  <si>
    <t>A003720</t>
  </si>
  <si>
    <t>A003721</t>
  </si>
  <si>
    <t>A003722</t>
  </si>
  <si>
    <t>A003723</t>
  </si>
  <si>
    <t>A003724</t>
  </si>
  <si>
    <t>A003725</t>
  </si>
  <si>
    <t>A003726</t>
  </si>
  <si>
    <t>A003727</t>
  </si>
  <si>
    <t>A003728</t>
  </si>
  <si>
    <t>A003729</t>
  </si>
  <si>
    <t>A003730</t>
  </si>
  <si>
    <t>A003731</t>
  </si>
  <si>
    <t>A003732</t>
  </si>
  <si>
    <t>A003733</t>
  </si>
  <si>
    <t>A003734</t>
  </si>
  <si>
    <t>A003735</t>
  </si>
  <si>
    <t>A003736</t>
  </si>
  <si>
    <t>A003737</t>
  </si>
  <si>
    <t>A003738</t>
  </si>
  <si>
    <t>A003739</t>
  </si>
  <si>
    <t>A003740</t>
  </si>
  <si>
    <t>A003741</t>
  </si>
  <si>
    <t>A003742</t>
  </si>
  <si>
    <t>A003743</t>
  </si>
  <si>
    <t>A003744</t>
  </si>
  <si>
    <t>A003745</t>
  </si>
  <si>
    <t>A003746</t>
  </si>
  <si>
    <t>A003747</t>
  </si>
  <si>
    <t>A003748</t>
  </si>
  <si>
    <t>A003749</t>
  </si>
  <si>
    <t>A003750</t>
  </si>
  <si>
    <t>A003751</t>
  </si>
  <si>
    <t>A003752</t>
  </si>
  <si>
    <t>A003753</t>
  </si>
  <si>
    <t>A003754</t>
  </si>
  <si>
    <t>A003755</t>
  </si>
  <si>
    <t>A003756</t>
  </si>
  <si>
    <t>A003757</t>
  </si>
  <si>
    <t>A003758</t>
  </si>
  <si>
    <t>A003759</t>
  </si>
  <si>
    <t>A003760</t>
  </si>
  <si>
    <t>A003761</t>
  </si>
  <si>
    <t>A003762</t>
  </si>
  <si>
    <t>A003763</t>
  </si>
  <si>
    <t>A003764</t>
  </si>
  <si>
    <t>A003765</t>
  </si>
  <si>
    <t>A003766</t>
  </si>
  <si>
    <t>A003767</t>
  </si>
  <si>
    <t>A003768</t>
  </si>
  <si>
    <t>A003769</t>
  </si>
  <si>
    <t>A003770</t>
  </si>
  <si>
    <t>A003771</t>
  </si>
  <si>
    <t>A003772</t>
  </si>
  <si>
    <t>A003773</t>
  </si>
  <si>
    <t>A003774</t>
  </si>
  <si>
    <t>A003775</t>
  </si>
  <si>
    <t>A003776</t>
  </si>
  <si>
    <t>A003777</t>
  </si>
  <si>
    <t>A003778</t>
  </si>
  <si>
    <t>A003779</t>
  </si>
  <si>
    <t>A003780</t>
  </si>
  <si>
    <t>A003781</t>
  </si>
  <si>
    <t>A003782</t>
  </si>
  <si>
    <t>A003783</t>
  </si>
  <si>
    <t>A003784</t>
  </si>
  <si>
    <t>A003785</t>
  </si>
  <si>
    <t>A003786</t>
  </si>
  <si>
    <t>A003787</t>
  </si>
  <si>
    <t>A003788</t>
  </si>
  <si>
    <t>A003789</t>
  </si>
  <si>
    <t>A003790</t>
  </si>
  <si>
    <t>A003791</t>
  </si>
  <si>
    <t>A003792</t>
  </si>
  <si>
    <t>A003793</t>
  </si>
  <si>
    <t>A003794</t>
  </si>
  <si>
    <t>A003795</t>
  </si>
  <si>
    <t>A003796</t>
  </si>
  <si>
    <t>A003797</t>
  </si>
  <si>
    <t>A003798</t>
  </si>
  <si>
    <t>A003799</t>
  </si>
  <si>
    <t>A003800</t>
  </si>
  <si>
    <t>A003801</t>
  </si>
  <si>
    <t>A003802</t>
  </si>
  <si>
    <t>A003803</t>
  </si>
  <si>
    <t>A003804</t>
  </si>
  <si>
    <t>A003805</t>
  </si>
  <si>
    <t>A003806</t>
  </si>
  <si>
    <t>A003807</t>
  </si>
  <si>
    <t>A003808</t>
  </si>
  <si>
    <t>A003809</t>
  </si>
  <si>
    <t>A003810</t>
  </si>
  <si>
    <t>A003811</t>
  </si>
  <si>
    <t>A003812</t>
  </si>
  <si>
    <t>A003813</t>
  </si>
  <si>
    <t>A003814</t>
  </si>
  <si>
    <t>A003815</t>
  </si>
  <si>
    <t>A003816</t>
  </si>
  <si>
    <t>A003817</t>
  </si>
  <si>
    <t>A003818</t>
  </si>
  <si>
    <t>A003819</t>
  </si>
  <si>
    <t>A003820</t>
  </si>
  <si>
    <t>A003821</t>
  </si>
  <si>
    <t>A003822</t>
  </si>
  <si>
    <t>A003823</t>
  </si>
  <si>
    <t>A003824</t>
  </si>
  <si>
    <t>A003825</t>
  </si>
  <si>
    <t>A003826</t>
  </si>
  <si>
    <t>A003827</t>
  </si>
  <si>
    <t>A003828</t>
  </si>
  <si>
    <t>A003829</t>
  </si>
  <si>
    <t>A003830</t>
  </si>
  <si>
    <t>A003831</t>
  </si>
  <si>
    <t>A003832</t>
  </si>
  <si>
    <t>A003833</t>
  </si>
  <si>
    <t>A003834</t>
  </si>
  <si>
    <t>A003835</t>
  </si>
  <si>
    <t>A003836</t>
  </si>
  <si>
    <t>A003837</t>
  </si>
  <si>
    <t>A003838</t>
  </si>
  <si>
    <t>A003839</t>
  </si>
  <si>
    <t>A003840</t>
  </si>
  <si>
    <t>A003841</t>
  </si>
  <si>
    <t>A003842</t>
  </si>
  <si>
    <t>A003843</t>
  </si>
  <si>
    <t>A003844</t>
  </si>
  <si>
    <t>A003845</t>
  </si>
  <si>
    <t>A003846</t>
  </si>
  <si>
    <t>A003847</t>
  </si>
  <si>
    <t>A003848</t>
  </si>
  <si>
    <t>A003849</t>
  </si>
  <si>
    <t>A003850</t>
  </si>
  <si>
    <t>A003851</t>
  </si>
  <si>
    <t>A003852</t>
  </si>
  <si>
    <t>A003853</t>
  </si>
  <si>
    <t>A003854</t>
  </si>
  <si>
    <t>A003855</t>
  </si>
  <si>
    <t>A003856</t>
  </si>
  <si>
    <t>A003857</t>
  </si>
  <si>
    <t>A003858</t>
  </si>
  <si>
    <t>A003859</t>
  </si>
  <si>
    <t>A003860</t>
  </si>
  <si>
    <t>A003861</t>
  </si>
  <si>
    <t>A003862</t>
  </si>
  <si>
    <t>A003863</t>
  </si>
  <si>
    <t>A003864</t>
  </si>
  <si>
    <t>A003865</t>
  </si>
  <si>
    <t>A003866</t>
  </si>
  <si>
    <t>A003867</t>
  </si>
  <si>
    <t>A003868</t>
  </si>
  <si>
    <t>A003869</t>
  </si>
  <si>
    <t>A003870</t>
  </si>
  <si>
    <t>A003871</t>
  </si>
  <si>
    <t>A003872</t>
  </si>
  <si>
    <t>A003873</t>
  </si>
  <si>
    <t>A003874</t>
  </si>
  <si>
    <t>A003875</t>
  </si>
  <si>
    <t>A003876</t>
  </si>
  <si>
    <t>A003877</t>
  </si>
  <si>
    <t>A003878</t>
  </si>
  <si>
    <t>A003879</t>
  </si>
  <si>
    <t>A003880</t>
  </si>
  <si>
    <t>A003881</t>
  </si>
  <si>
    <t>A003882</t>
  </si>
  <si>
    <t>A003883</t>
  </si>
  <si>
    <t>A003884</t>
  </si>
  <si>
    <t>A003885</t>
  </si>
  <si>
    <t>A003886</t>
  </si>
  <si>
    <t>A003887</t>
  </si>
  <si>
    <t>A003888</t>
  </si>
  <si>
    <t>A003889</t>
  </si>
  <si>
    <t>A003890</t>
  </si>
  <si>
    <t>A003891</t>
  </si>
  <si>
    <t>A003892</t>
  </si>
  <si>
    <t>A003893</t>
  </si>
  <si>
    <t>A003894</t>
  </si>
  <si>
    <t>A003895</t>
  </si>
  <si>
    <t>A003896</t>
  </si>
  <si>
    <t>A003897</t>
  </si>
  <si>
    <t>A003898</t>
  </si>
  <si>
    <t>A003899</t>
  </si>
  <si>
    <t>A003900</t>
  </si>
  <si>
    <t>A003901</t>
  </si>
  <si>
    <t>A003902</t>
  </si>
  <si>
    <t>A003903</t>
  </si>
  <si>
    <t>A003904</t>
  </si>
  <si>
    <t>A003905</t>
  </si>
  <si>
    <t>A003906</t>
  </si>
  <si>
    <t>A003907</t>
  </si>
  <si>
    <t>A003908</t>
  </si>
  <si>
    <t>A003909</t>
  </si>
  <si>
    <t>A003910</t>
  </si>
  <si>
    <t>A003911</t>
  </si>
  <si>
    <t>A003912</t>
  </si>
  <si>
    <t>A003913</t>
  </si>
  <si>
    <t>A003914</t>
  </si>
  <si>
    <t>A003915</t>
  </si>
  <si>
    <t>A003916</t>
  </si>
  <si>
    <t>A003917</t>
  </si>
  <si>
    <t>A003918</t>
  </si>
  <si>
    <t>A003919</t>
  </si>
  <si>
    <t>A003920</t>
  </si>
  <si>
    <t>A003921</t>
  </si>
  <si>
    <t>A003922</t>
  </si>
  <si>
    <t>A003923</t>
  </si>
  <si>
    <t>A003924</t>
  </si>
  <si>
    <t>A003925</t>
  </si>
  <si>
    <t>A003926</t>
  </si>
  <si>
    <t>A003927</t>
  </si>
  <si>
    <t>A003928</t>
  </si>
  <si>
    <t>A003929</t>
  </si>
  <si>
    <t>A003930</t>
  </si>
  <si>
    <t>A003931</t>
  </si>
  <si>
    <t>A003932</t>
  </si>
  <si>
    <t>A003933</t>
  </si>
  <si>
    <t>A003934</t>
  </si>
  <si>
    <t>A003935</t>
  </si>
  <si>
    <t>A003936</t>
  </si>
  <si>
    <t>A003937</t>
  </si>
  <si>
    <t>A003938</t>
  </si>
  <si>
    <t>A003939</t>
  </si>
  <si>
    <t>A003940</t>
  </si>
  <si>
    <t>A003941</t>
  </si>
  <si>
    <t>A003942</t>
  </si>
  <si>
    <t>A003943</t>
  </si>
  <si>
    <t>A003944</t>
  </si>
  <si>
    <t>A003945</t>
  </si>
  <si>
    <t>A003946</t>
  </si>
  <si>
    <t>A003947</t>
  </si>
  <si>
    <t>A003948</t>
  </si>
  <si>
    <t>A003949</t>
  </si>
  <si>
    <t>A003950</t>
  </si>
  <si>
    <t>A003951</t>
  </si>
  <si>
    <t>A003952</t>
  </si>
  <si>
    <t>A003953</t>
  </si>
  <si>
    <t>A003954</t>
  </si>
  <si>
    <t>A003955</t>
  </si>
  <si>
    <t>A003956</t>
  </si>
  <si>
    <t>A003957</t>
  </si>
  <si>
    <t>A003958</t>
  </si>
  <si>
    <t>A003959</t>
  </si>
  <si>
    <t>A003960</t>
  </si>
  <si>
    <t>A003961</t>
  </si>
  <si>
    <t>A003962</t>
  </si>
  <si>
    <t>A003963</t>
  </si>
  <si>
    <t>A003964</t>
  </si>
  <si>
    <t>A003965</t>
  </si>
  <si>
    <t>A003966</t>
  </si>
  <si>
    <t>A003967</t>
  </si>
  <si>
    <t>A003968</t>
  </si>
  <si>
    <t>A003969</t>
  </si>
  <si>
    <t>A003970</t>
  </si>
  <si>
    <t>A003971</t>
  </si>
  <si>
    <t>A003972</t>
  </si>
  <si>
    <t>A003973</t>
  </si>
  <si>
    <t>A003974</t>
  </si>
  <si>
    <t>A003975</t>
  </si>
  <si>
    <t>A003976</t>
  </si>
  <si>
    <t>A003977</t>
  </si>
  <si>
    <t>A003978</t>
  </si>
  <si>
    <t>A003979</t>
  </si>
  <si>
    <t>A003980</t>
  </si>
  <si>
    <t>A003981</t>
  </si>
  <si>
    <t>A003982</t>
  </si>
  <si>
    <t>A003983</t>
  </si>
  <si>
    <t>A003984</t>
  </si>
  <si>
    <t>A003985</t>
  </si>
  <si>
    <t>A003986</t>
  </si>
  <si>
    <t>A003987</t>
  </si>
  <si>
    <t>A003988</t>
  </si>
  <si>
    <t>A003989</t>
  </si>
  <si>
    <t>A003990</t>
  </si>
  <si>
    <t>A003991</t>
  </si>
  <si>
    <t>A003992</t>
  </si>
  <si>
    <t>A003993</t>
  </si>
  <si>
    <t>A003994</t>
  </si>
  <si>
    <t>A003995</t>
  </si>
  <si>
    <t>A003996</t>
  </si>
  <si>
    <t>A003997</t>
  </si>
  <si>
    <t>A003998</t>
  </si>
  <si>
    <t>A003999</t>
  </si>
  <si>
    <t>A004000</t>
  </si>
  <si>
    <t>A004001</t>
  </si>
  <si>
    <t>A004002</t>
  </si>
  <si>
    <t>A004003</t>
  </si>
  <si>
    <t>A004004</t>
  </si>
  <si>
    <t>A004005</t>
  </si>
  <si>
    <t>A004006</t>
  </si>
  <si>
    <t>A004007</t>
  </si>
  <si>
    <t>A004008</t>
  </si>
  <si>
    <t>A004009</t>
  </si>
  <si>
    <t>A004010</t>
  </si>
  <si>
    <t>A004011</t>
  </si>
  <si>
    <t>A004012</t>
  </si>
  <si>
    <t>A004013</t>
  </si>
  <si>
    <t>A004014</t>
  </si>
  <si>
    <t>A004015</t>
  </si>
  <si>
    <t>A004016</t>
  </si>
  <si>
    <t>A004017</t>
  </si>
  <si>
    <t>A004018</t>
  </si>
  <si>
    <t>A004019</t>
  </si>
  <si>
    <t>A004020</t>
  </si>
  <si>
    <t>A004021</t>
  </si>
  <si>
    <t>A004022</t>
  </si>
  <si>
    <t>A004023</t>
  </si>
  <si>
    <t>A004024</t>
  </si>
  <si>
    <t>A004025</t>
  </si>
  <si>
    <t>A004026</t>
  </si>
  <si>
    <t>A004027</t>
  </si>
  <si>
    <t>A004028</t>
  </si>
  <si>
    <t>A004029</t>
  </si>
  <si>
    <t>A004030</t>
  </si>
  <si>
    <t>A004031</t>
  </si>
  <si>
    <t>A004032</t>
  </si>
  <si>
    <t>A004033</t>
  </si>
  <si>
    <t>A004034</t>
  </si>
  <si>
    <t>A004035</t>
  </si>
  <si>
    <t>A004036</t>
  </si>
  <si>
    <t>A004037</t>
  </si>
  <si>
    <t>A004038</t>
  </si>
  <si>
    <t>A004039</t>
  </si>
  <si>
    <t>A004040</t>
  </si>
  <si>
    <t>A004041</t>
  </si>
  <si>
    <t>A004042</t>
  </si>
  <si>
    <t>A004043</t>
  </si>
  <si>
    <t>A004044</t>
  </si>
  <si>
    <t>A004045</t>
  </si>
  <si>
    <t>A004046</t>
  </si>
  <si>
    <t>A004047</t>
  </si>
  <si>
    <t>A004048</t>
  </si>
  <si>
    <t>A004049</t>
  </si>
  <si>
    <t>A004050</t>
  </si>
  <si>
    <t>A004051</t>
  </si>
  <si>
    <t>A004052</t>
  </si>
  <si>
    <t>A004053</t>
  </si>
  <si>
    <t>A004054</t>
  </si>
  <si>
    <t>A004055</t>
  </si>
  <si>
    <t>A004056</t>
  </si>
  <si>
    <t>A004057</t>
  </si>
  <si>
    <t>A004058</t>
  </si>
  <si>
    <t>A004059</t>
  </si>
  <si>
    <t>A004060</t>
  </si>
  <si>
    <t>A004061</t>
  </si>
  <si>
    <t>A004062</t>
  </si>
  <si>
    <t>A004063</t>
  </si>
  <si>
    <t>A004064</t>
  </si>
  <si>
    <t>A004065</t>
  </si>
  <si>
    <t>A004066</t>
  </si>
  <si>
    <t>A004067</t>
  </si>
  <si>
    <t>A004068</t>
  </si>
  <si>
    <t>A004069</t>
  </si>
  <si>
    <t>A004070</t>
  </si>
  <si>
    <t>A004071</t>
  </si>
  <si>
    <t>A004072</t>
  </si>
  <si>
    <t>A004073</t>
  </si>
  <si>
    <t>A004074</t>
  </si>
  <si>
    <t>A004075</t>
  </si>
  <si>
    <t>A004076</t>
  </si>
  <si>
    <t>A004077</t>
  </si>
  <si>
    <t>A004078</t>
  </si>
  <si>
    <t>A004079</t>
  </si>
  <si>
    <t>A004080</t>
  </si>
  <si>
    <t>A004081</t>
  </si>
  <si>
    <t>A004082</t>
  </si>
  <si>
    <t>A004083</t>
  </si>
  <si>
    <t>A004084</t>
  </si>
  <si>
    <t>A004085</t>
  </si>
  <si>
    <t>A004086</t>
  </si>
  <si>
    <t>A004087</t>
  </si>
  <si>
    <t>A004088</t>
  </si>
  <si>
    <t>A004089</t>
  </si>
  <si>
    <t>A004090</t>
  </si>
  <si>
    <t>A004091</t>
  </si>
  <si>
    <t>A004092</t>
  </si>
  <si>
    <t>A004093</t>
  </si>
  <si>
    <t>A004094</t>
  </si>
  <si>
    <t>A004095</t>
  </si>
  <si>
    <t>A004096</t>
  </si>
  <si>
    <t>A004097</t>
  </si>
  <si>
    <t>A004098</t>
  </si>
  <si>
    <t>A004099</t>
  </si>
  <si>
    <t>A004100</t>
  </si>
  <si>
    <t>A004101</t>
  </si>
  <si>
    <t>A004102</t>
  </si>
  <si>
    <t>A004103</t>
  </si>
  <si>
    <t>A004104</t>
  </si>
  <si>
    <t>A004105</t>
  </si>
  <si>
    <t>A004106</t>
  </si>
  <si>
    <t>A004107</t>
  </si>
  <si>
    <t>A004108</t>
  </si>
  <si>
    <t>A004109</t>
  </si>
  <si>
    <t>A004110</t>
  </si>
  <si>
    <t>A004111</t>
  </si>
  <si>
    <t>A004112</t>
  </si>
  <si>
    <t>A004113</t>
  </si>
  <si>
    <t>A004114</t>
  </si>
  <si>
    <t>A004115</t>
  </si>
  <si>
    <t>A004116</t>
  </si>
  <si>
    <t>A004117</t>
  </si>
  <si>
    <t>A004118</t>
  </si>
  <si>
    <t>A004119</t>
  </si>
  <si>
    <t>A004120</t>
  </si>
  <si>
    <t>A004121</t>
  </si>
  <si>
    <t>A004122</t>
  </si>
  <si>
    <t>A004123</t>
  </si>
  <si>
    <t>A004124</t>
  </si>
  <si>
    <t>A004125</t>
  </si>
  <si>
    <t>A004126</t>
  </si>
  <si>
    <t>A004127</t>
  </si>
  <si>
    <t>A004128</t>
  </si>
  <si>
    <t>A004129</t>
  </si>
  <si>
    <t>A004130</t>
  </si>
  <si>
    <t>A004131</t>
  </si>
  <si>
    <t>A004132</t>
  </si>
  <si>
    <t>A004133</t>
  </si>
  <si>
    <t>A004134</t>
  </si>
  <si>
    <t>A004135</t>
  </si>
  <si>
    <t>A004136</t>
  </si>
  <si>
    <t>A004137</t>
  </si>
  <si>
    <t>A004138</t>
  </si>
  <si>
    <t>A004139</t>
  </si>
  <si>
    <t>A004140</t>
  </si>
  <si>
    <t>A004141</t>
  </si>
  <si>
    <t>A004142</t>
  </si>
  <si>
    <t>A004143</t>
  </si>
  <si>
    <t>A004144</t>
  </si>
  <si>
    <t>A004145</t>
  </si>
  <si>
    <t>A004146</t>
  </si>
  <si>
    <t>A004147</t>
  </si>
  <si>
    <t>A004148</t>
  </si>
  <si>
    <t>A004149</t>
  </si>
  <si>
    <t>A004150</t>
  </si>
  <si>
    <t>A004151</t>
  </si>
  <si>
    <t>A004152</t>
  </si>
  <si>
    <t>A004153</t>
  </si>
  <si>
    <t>A004154</t>
  </si>
  <si>
    <t>A004155</t>
  </si>
  <si>
    <t>A004156</t>
  </si>
  <si>
    <t>A004157</t>
  </si>
  <si>
    <t>A004158</t>
  </si>
  <si>
    <t>A004159</t>
  </si>
  <si>
    <t>A004160</t>
  </si>
  <si>
    <t>A004161</t>
  </si>
  <si>
    <t>A004162</t>
  </si>
  <si>
    <t>A004163</t>
  </si>
  <si>
    <t>A004164</t>
  </si>
  <si>
    <t>A004165</t>
  </si>
  <si>
    <t>A004166</t>
  </si>
  <si>
    <t>A004167</t>
  </si>
  <si>
    <t>A004168</t>
  </si>
  <si>
    <t>A004169</t>
  </si>
  <si>
    <t>A004170</t>
  </si>
  <si>
    <t>A004171</t>
  </si>
  <si>
    <t>A004172</t>
  </si>
  <si>
    <t>A004173</t>
  </si>
  <si>
    <t>A004174</t>
  </si>
  <si>
    <t>A004175</t>
  </si>
  <si>
    <t>A004176</t>
  </si>
  <si>
    <t>A004177</t>
  </si>
  <si>
    <t>A004178</t>
  </si>
  <si>
    <t>A004179</t>
  </si>
  <si>
    <t>A004180</t>
  </si>
  <si>
    <t>A004181</t>
  </si>
  <si>
    <t>A004182</t>
  </si>
  <si>
    <t>A004183</t>
  </si>
  <si>
    <t>A004184</t>
  </si>
  <si>
    <t>A004185</t>
  </si>
  <si>
    <t>A004186</t>
  </si>
  <si>
    <t>A004187</t>
  </si>
  <si>
    <t>A004188</t>
  </si>
  <si>
    <t>A004189</t>
  </si>
  <si>
    <t>A004190</t>
  </si>
  <si>
    <t>A004191</t>
  </si>
  <si>
    <t>A004192</t>
  </si>
  <si>
    <t>A004193</t>
  </si>
  <si>
    <t>A004194</t>
  </si>
  <si>
    <t>A004195</t>
  </si>
  <si>
    <t>A004196</t>
  </si>
  <si>
    <t>A004197</t>
  </si>
  <si>
    <t>A004198</t>
  </si>
  <si>
    <t>A004199</t>
  </si>
  <si>
    <t>A004200</t>
  </si>
  <si>
    <t>A004201</t>
  </si>
  <si>
    <t>A004202</t>
  </si>
  <si>
    <t>A004203</t>
  </si>
  <si>
    <t>A004204</t>
  </si>
  <si>
    <t>A004205</t>
  </si>
  <si>
    <t>A004206</t>
  </si>
  <si>
    <t>A004207</t>
  </si>
  <si>
    <t>A004208</t>
  </si>
  <si>
    <t>A004209</t>
  </si>
  <si>
    <t>A004210</t>
  </si>
  <si>
    <t>A004211</t>
  </si>
  <si>
    <t>A004212</t>
  </si>
  <si>
    <t>A004213</t>
  </si>
  <si>
    <t>A004214</t>
  </si>
  <si>
    <t>A004215</t>
  </si>
  <si>
    <t>A004216</t>
  </si>
  <si>
    <t>A004217</t>
  </si>
  <si>
    <t>A004218</t>
  </si>
  <si>
    <t>A004219</t>
  </si>
  <si>
    <t>A004220</t>
  </si>
  <si>
    <t>A004221</t>
  </si>
  <si>
    <t>A004222</t>
  </si>
  <si>
    <t>A004223</t>
  </si>
  <si>
    <t>A004224</t>
  </si>
  <si>
    <t>A004225</t>
  </si>
  <si>
    <t>A004226</t>
  </si>
  <si>
    <t>A004227</t>
  </si>
  <si>
    <t>A004228</t>
  </si>
  <si>
    <t>A004229</t>
  </si>
  <si>
    <t>A004230</t>
  </si>
  <si>
    <t>A004231</t>
  </si>
  <si>
    <t>A004232</t>
  </si>
  <si>
    <t>A004233</t>
  </si>
  <si>
    <t>A004234</t>
  </si>
  <si>
    <t>A004235</t>
  </si>
  <si>
    <t>A004236</t>
  </si>
  <si>
    <t>A004237</t>
  </si>
  <si>
    <t>A004238</t>
  </si>
  <si>
    <t>A004239</t>
  </si>
  <si>
    <t>A004240</t>
  </si>
  <si>
    <t>A004241</t>
  </si>
  <si>
    <t>A004242</t>
  </si>
  <si>
    <t>A004243</t>
  </si>
  <si>
    <t>A004244</t>
  </si>
  <si>
    <t>A004245</t>
  </si>
  <si>
    <t>A004246</t>
  </si>
  <si>
    <t>A004247</t>
  </si>
  <si>
    <t>A004248</t>
  </si>
  <si>
    <t>A004249</t>
  </si>
  <si>
    <t>A004250</t>
  </si>
  <si>
    <t>A004251</t>
  </si>
  <si>
    <t>A004252</t>
  </si>
  <si>
    <t>A004253</t>
  </si>
  <si>
    <t>A004254</t>
  </si>
  <si>
    <t>A004255</t>
  </si>
  <si>
    <t>A004256</t>
  </si>
  <si>
    <t>A004257</t>
  </si>
  <si>
    <t>A004258</t>
  </si>
  <si>
    <t>A004259</t>
  </si>
  <si>
    <t>A004260</t>
  </si>
  <si>
    <t>A004261</t>
  </si>
  <si>
    <t>A004262</t>
  </si>
  <si>
    <t>A004263</t>
  </si>
  <si>
    <t>A004264</t>
  </si>
  <si>
    <t>A004265</t>
  </si>
  <si>
    <t>A004266</t>
  </si>
  <si>
    <t>A004267</t>
  </si>
  <si>
    <t>A004268</t>
  </si>
  <si>
    <t>A004269</t>
  </si>
  <si>
    <t>A004270</t>
  </si>
  <si>
    <t>A004271</t>
  </si>
  <si>
    <t>A004272</t>
  </si>
  <si>
    <t>A004273</t>
  </si>
  <si>
    <t>A004274</t>
  </si>
  <si>
    <t>A004275</t>
  </si>
  <si>
    <t>A004276</t>
  </si>
  <si>
    <t>A004277</t>
  </si>
  <si>
    <t>A004278</t>
  </si>
  <si>
    <t>A004279</t>
  </si>
  <si>
    <t>A004280</t>
  </si>
  <si>
    <t>A004281</t>
  </si>
  <si>
    <t>A004282</t>
  </si>
  <si>
    <t>A004283</t>
  </si>
  <si>
    <t>A004284</t>
  </si>
  <si>
    <t>A004285</t>
  </si>
  <si>
    <t>A004286</t>
  </si>
  <si>
    <t>A004287</t>
  </si>
  <si>
    <t>A004288</t>
  </si>
  <si>
    <t>A004289</t>
  </si>
  <si>
    <t>A004290</t>
  </si>
  <si>
    <t>A004291</t>
  </si>
  <si>
    <t>A004292</t>
  </si>
  <si>
    <t>A004293</t>
  </si>
  <si>
    <t>A004294</t>
  </si>
  <si>
    <t>A004295</t>
  </si>
  <si>
    <t>A004296</t>
  </si>
  <si>
    <t>A004297</t>
  </si>
  <si>
    <t>A004298</t>
  </si>
  <si>
    <t>A004299</t>
  </si>
  <si>
    <t>A004300</t>
  </si>
  <si>
    <t>A004301</t>
  </si>
  <si>
    <t>A004302</t>
  </si>
  <si>
    <t>A004303</t>
  </si>
  <si>
    <t>A004304</t>
  </si>
  <si>
    <t>A004305</t>
  </si>
  <si>
    <t>A004306</t>
  </si>
  <si>
    <t>A004307</t>
  </si>
  <si>
    <t>A004308</t>
  </si>
  <si>
    <t>A004309</t>
  </si>
  <si>
    <t>A004310</t>
  </si>
  <si>
    <t>A004311</t>
  </si>
  <si>
    <t>A004312</t>
  </si>
  <si>
    <t>A004313</t>
  </si>
  <si>
    <t>A004314</t>
  </si>
  <si>
    <t>A004315</t>
  </si>
  <si>
    <t>A004316</t>
  </si>
  <si>
    <t>A004317</t>
  </si>
  <si>
    <t>A004318</t>
  </si>
  <si>
    <t>A004319</t>
  </si>
  <si>
    <t>A004320</t>
  </si>
  <si>
    <t>A004321</t>
  </si>
  <si>
    <t>A004322</t>
  </si>
  <si>
    <t>A004323</t>
  </si>
  <si>
    <t>A004324</t>
  </si>
  <si>
    <t>A004325</t>
  </si>
  <si>
    <t>A004326</t>
  </si>
  <si>
    <t>A004327</t>
  </si>
  <si>
    <t>A004328</t>
  </si>
  <si>
    <t>A004329</t>
  </si>
  <si>
    <t>A004330</t>
  </si>
  <si>
    <t>A004331</t>
  </si>
  <si>
    <t>A004332</t>
  </si>
  <si>
    <t>A004333</t>
  </si>
  <si>
    <t>A004334</t>
  </si>
  <si>
    <t>A004335</t>
  </si>
  <si>
    <t>A004336</t>
  </si>
  <si>
    <t>A004337</t>
  </si>
  <si>
    <t>A004338</t>
  </si>
  <si>
    <t>A004339</t>
  </si>
  <si>
    <t>A004340</t>
  </si>
  <si>
    <t>A004341</t>
  </si>
  <si>
    <t>A004342</t>
  </si>
  <si>
    <t>A004343</t>
  </si>
  <si>
    <t>A004344</t>
  </si>
  <si>
    <t>A004345</t>
  </si>
  <si>
    <t>A004346</t>
  </si>
  <si>
    <t>A004347</t>
  </si>
  <si>
    <t>A004348</t>
  </si>
  <si>
    <t>A004349</t>
  </si>
  <si>
    <t>A004350</t>
  </si>
  <si>
    <t>A004351</t>
  </si>
  <si>
    <t>A004352</t>
  </si>
  <si>
    <t>A004353</t>
  </si>
  <si>
    <t>A004354</t>
  </si>
  <si>
    <t>A004355</t>
  </si>
  <si>
    <t>A004356</t>
  </si>
  <si>
    <t>A004357</t>
  </si>
  <si>
    <t>A004358</t>
  </si>
  <si>
    <t>A004359</t>
  </si>
  <si>
    <t>A004360</t>
  </si>
  <si>
    <t>A004361</t>
  </si>
  <si>
    <t>A004362</t>
  </si>
  <si>
    <t>A004363</t>
  </si>
  <si>
    <t>A004364</t>
  </si>
  <si>
    <t>A004365</t>
  </si>
  <si>
    <t>A004366</t>
  </si>
  <si>
    <t>A004367</t>
  </si>
  <si>
    <t>A004368</t>
  </si>
  <si>
    <t>A004369</t>
  </si>
  <si>
    <t>A004370</t>
  </si>
  <si>
    <t>A004371</t>
  </si>
  <si>
    <t>A004372</t>
  </si>
  <si>
    <t>A004373</t>
  </si>
  <si>
    <t>A004374</t>
  </si>
  <si>
    <t>A004375</t>
  </si>
  <si>
    <t>A004376</t>
  </si>
  <si>
    <t>A004377</t>
  </si>
  <si>
    <t>A004378</t>
  </si>
  <si>
    <t>A004379</t>
  </si>
  <si>
    <t>A004380</t>
  </si>
  <si>
    <t>A004381</t>
  </si>
  <si>
    <t>A004382</t>
  </si>
  <si>
    <t>A004383</t>
  </si>
  <si>
    <t>A004384</t>
  </si>
  <si>
    <t>A004385</t>
  </si>
  <si>
    <t>A004386</t>
  </si>
  <si>
    <t>A004387</t>
  </si>
  <si>
    <t>A004388</t>
  </si>
  <si>
    <t>A004389</t>
  </si>
  <si>
    <t>A004390</t>
  </si>
  <si>
    <t>A004391</t>
  </si>
  <si>
    <t>A004392</t>
  </si>
  <si>
    <t>A004393</t>
  </si>
  <si>
    <t>A004394</t>
  </si>
  <si>
    <t>A004395</t>
  </si>
  <si>
    <t>A004396</t>
  </si>
  <si>
    <t>A004397</t>
  </si>
  <si>
    <t>A004398</t>
  </si>
  <si>
    <t>A004399</t>
  </si>
  <si>
    <t>A004400</t>
  </si>
  <si>
    <t>A004401</t>
  </si>
  <si>
    <t>A004402</t>
  </si>
  <si>
    <t>A004403</t>
  </si>
  <si>
    <t>A004404</t>
  </si>
  <si>
    <t>A004405</t>
  </si>
  <si>
    <t>A004406</t>
  </si>
  <si>
    <t>A004407</t>
  </si>
  <si>
    <t>A004408</t>
  </si>
  <si>
    <t>A004409</t>
  </si>
  <si>
    <t>A004410</t>
  </si>
  <si>
    <t>A004411</t>
  </si>
  <si>
    <t>A004412</t>
  </si>
  <si>
    <t>A004413</t>
  </si>
  <si>
    <t>A004414</t>
  </si>
  <si>
    <t>A004415</t>
  </si>
  <si>
    <t>A004416</t>
  </si>
  <si>
    <t>A004417</t>
  </si>
  <si>
    <t>A004418</t>
  </si>
  <si>
    <t>A004419</t>
  </si>
  <si>
    <t>A004420</t>
  </si>
  <si>
    <t>A004421</t>
  </si>
  <si>
    <t>A004422</t>
  </si>
  <si>
    <t>A004423</t>
  </si>
  <si>
    <t>A004424</t>
  </si>
  <si>
    <t>A004425</t>
  </si>
  <si>
    <t>A004426</t>
  </si>
  <si>
    <t>A004427</t>
  </si>
  <si>
    <t>A004428</t>
  </si>
  <si>
    <t>A004429</t>
  </si>
  <si>
    <t>A004430</t>
  </si>
  <si>
    <t>A004431</t>
  </si>
  <si>
    <t>A004432</t>
  </si>
  <si>
    <t>A004433</t>
  </si>
  <si>
    <t>A004434</t>
  </si>
  <si>
    <t>A004435</t>
  </si>
  <si>
    <t>A004436</t>
  </si>
  <si>
    <t>A004437</t>
  </si>
  <si>
    <t>A004438</t>
  </si>
  <si>
    <t>A004439</t>
  </si>
  <si>
    <t>A004440</t>
  </si>
  <si>
    <t>A004441</t>
  </si>
  <si>
    <t>A004442</t>
  </si>
  <si>
    <t>A004443</t>
  </si>
  <si>
    <t>A004444</t>
  </si>
  <si>
    <t>A004445</t>
  </si>
  <si>
    <t>A004446</t>
  </si>
  <si>
    <t>A004447</t>
  </si>
  <si>
    <t>A004448</t>
  </si>
  <si>
    <t>A004449</t>
  </si>
  <si>
    <t>A004450</t>
  </si>
  <si>
    <t>A004451</t>
  </si>
  <si>
    <t>A004452</t>
  </si>
  <si>
    <t>A004453</t>
  </si>
  <si>
    <t>A004454</t>
  </si>
  <si>
    <t>A004455</t>
  </si>
  <si>
    <t>A004456</t>
  </si>
  <si>
    <t>A004457</t>
  </si>
  <si>
    <t>A004458</t>
  </si>
  <si>
    <t>A004459</t>
  </si>
  <si>
    <t>A004460</t>
  </si>
  <si>
    <t>A004461</t>
  </si>
  <si>
    <t>A004462</t>
  </si>
  <si>
    <t>A004463</t>
  </si>
  <si>
    <t>A004464</t>
  </si>
  <si>
    <t>A004465</t>
  </si>
  <si>
    <t>A004466</t>
  </si>
  <si>
    <t>A004467</t>
  </si>
  <si>
    <t>A004468</t>
  </si>
  <si>
    <t>A004469</t>
  </si>
  <si>
    <t>A004470</t>
  </si>
  <si>
    <t>A004471</t>
  </si>
  <si>
    <t>A004472</t>
  </si>
  <si>
    <t>A004473</t>
  </si>
  <si>
    <t>A004474</t>
  </si>
  <si>
    <t>A004475</t>
  </si>
  <si>
    <t>A004476</t>
  </si>
  <si>
    <t>A004477</t>
  </si>
  <si>
    <t>A004478</t>
  </si>
  <si>
    <t>A004479</t>
  </si>
  <si>
    <t>A004480</t>
  </si>
  <si>
    <t>A004481</t>
  </si>
  <si>
    <t>A004482</t>
  </si>
  <si>
    <t>A004483</t>
  </si>
  <si>
    <t>A004484</t>
  </si>
  <si>
    <t>A004485</t>
  </si>
  <si>
    <t>A004486</t>
  </si>
  <si>
    <t>A004487</t>
  </si>
  <si>
    <t>A004488</t>
  </si>
  <si>
    <t>A004489</t>
  </si>
  <si>
    <t>A004490</t>
  </si>
  <si>
    <t>A004491</t>
  </si>
  <si>
    <t>A004492</t>
  </si>
  <si>
    <t>A004493</t>
  </si>
  <si>
    <t>A004494</t>
  </si>
  <si>
    <t>A004495</t>
  </si>
  <si>
    <t>A004496</t>
  </si>
  <si>
    <t>A004497</t>
  </si>
  <si>
    <t>A004498</t>
  </si>
  <si>
    <t>A004499</t>
  </si>
  <si>
    <t>A004500</t>
  </si>
  <si>
    <t>A004501</t>
  </si>
  <si>
    <t>A004502</t>
  </si>
  <si>
    <t>A004503</t>
  </si>
  <si>
    <t>A004504</t>
  </si>
  <si>
    <t>A004505</t>
  </si>
  <si>
    <t>A004506</t>
  </si>
  <si>
    <t>A004507</t>
  </si>
  <si>
    <t>A004508</t>
  </si>
  <si>
    <t>A004509</t>
  </si>
  <si>
    <t>A004510</t>
  </si>
  <si>
    <t>A004511</t>
  </si>
  <si>
    <t>A004512</t>
  </si>
  <si>
    <t>A004513</t>
  </si>
  <si>
    <t>A004514</t>
  </si>
  <si>
    <t>A004515</t>
  </si>
  <si>
    <t>A004516</t>
  </si>
  <si>
    <t>A004517</t>
  </si>
  <si>
    <t>A004518</t>
  </si>
  <si>
    <t>A004519</t>
  </si>
  <si>
    <t>A004520</t>
  </si>
  <si>
    <t>A004521</t>
  </si>
  <si>
    <t>A004522</t>
  </si>
  <si>
    <t>A004523</t>
  </si>
  <si>
    <t>A004524</t>
  </si>
  <si>
    <t>A004525</t>
  </si>
  <si>
    <t>A004526</t>
  </si>
  <si>
    <t>A004527</t>
  </si>
  <si>
    <t>A004528</t>
  </si>
  <si>
    <t>A004529</t>
  </si>
  <si>
    <t>A004530</t>
  </si>
  <si>
    <t>A004531</t>
  </si>
  <si>
    <t>A004532</t>
  </si>
  <si>
    <t>A004533</t>
  </si>
  <si>
    <t>A004534</t>
  </si>
  <si>
    <t>A004535</t>
  </si>
  <si>
    <t>A004536</t>
  </si>
  <si>
    <t>A004537</t>
  </si>
  <si>
    <t>A004538</t>
  </si>
  <si>
    <t>A004539</t>
  </si>
  <si>
    <t>A004540</t>
  </si>
  <si>
    <t>A004541</t>
  </si>
  <si>
    <t>A004542</t>
  </si>
  <si>
    <t>A004543</t>
  </si>
  <si>
    <t>A004544</t>
  </si>
  <si>
    <t>A004545</t>
  </si>
  <si>
    <t>A004546</t>
  </si>
  <si>
    <t>A004547</t>
  </si>
  <si>
    <t>A004548</t>
  </si>
  <si>
    <t>A004549</t>
  </si>
  <si>
    <t>A004550</t>
  </si>
  <si>
    <t>A004551</t>
  </si>
  <si>
    <t>A004552</t>
  </si>
  <si>
    <t>A004553</t>
  </si>
  <si>
    <t>A004554</t>
  </si>
  <si>
    <t>A004555</t>
  </si>
  <si>
    <t>A004556</t>
  </si>
  <si>
    <t>A004557</t>
  </si>
  <si>
    <t>A004558</t>
  </si>
  <si>
    <t>A004559</t>
  </si>
  <si>
    <t>A004560</t>
  </si>
  <si>
    <t>A004561</t>
  </si>
  <si>
    <t>A004562</t>
  </si>
  <si>
    <t>A004563</t>
  </si>
  <si>
    <t>A004564</t>
  </si>
  <si>
    <t>A004565</t>
  </si>
  <si>
    <t>A004566</t>
  </si>
  <si>
    <t>A004567</t>
  </si>
  <si>
    <t>A004568</t>
  </si>
  <si>
    <t>A004569</t>
  </si>
  <si>
    <t>A004570</t>
  </si>
  <si>
    <t>A004571</t>
  </si>
  <si>
    <t>A004572</t>
  </si>
  <si>
    <t>A004573</t>
  </si>
  <si>
    <t>A004574</t>
  </si>
  <si>
    <t>A004575</t>
  </si>
  <si>
    <t>A004576</t>
  </si>
  <si>
    <t>A004577</t>
  </si>
  <si>
    <t>A004578</t>
  </si>
  <si>
    <t>A004579</t>
  </si>
  <si>
    <t>A004580</t>
  </si>
  <si>
    <t>A004581</t>
  </si>
  <si>
    <t>A004582</t>
  </si>
  <si>
    <t>A004583</t>
  </si>
  <si>
    <t>A004584</t>
  </si>
  <si>
    <t>A004585</t>
  </si>
  <si>
    <t>A004586</t>
  </si>
  <si>
    <t>A004587</t>
  </si>
  <si>
    <t>A004588</t>
  </si>
  <si>
    <t>A004589</t>
  </si>
  <si>
    <t>A004590</t>
  </si>
  <si>
    <t>A004591</t>
  </si>
  <si>
    <t>A004592</t>
  </si>
  <si>
    <t>A004593</t>
  </si>
  <si>
    <t>A004594</t>
  </si>
  <si>
    <t>A004595</t>
  </si>
  <si>
    <t>A004596</t>
  </si>
  <si>
    <t>A004597</t>
  </si>
  <si>
    <t>A004598</t>
  </si>
  <si>
    <t>A004599</t>
  </si>
  <si>
    <t>A004600</t>
  </si>
  <si>
    <t>A004601</t>
  </si>
  <si>
    <t>A004602</t>
  </si>
  <si>
    <t>A004603</t>
  </si>
  <si>
    <t>A004604</t>
  </si>
  <si>
    <t>A004605</t>
  </si>
  <si>
    <t>A004606</t>
  </si>
  <si>
    <t>A004607</t>
  </si>
  <si>
    <t>A004608</t>
  </si>
  <si>
    <t>A004609</t>
  </si>
  <si>
    <t>A004610</t>
  </si>
  <si>
    <t>A004611</t>
  </si>
  <si>
    <t>A004612</t>
  </si>
  <si>
    <t>A004613</t>
  </si>
  <si>
    <t>A004614</t>
  </si>
  <si>
    <t>A004615</t>
  </si>
  <si>
    <t>A004616</t>
  </si>
  <si>
    <t>A004617</t>
  </si>
  <si>
    <t>A004618</t>
  </si>
  <si>
    <t>A004619</t>
  </si>
  <si>
    <t>A004620</t>
  </si>
  <si>
    <t>A004621</t>
  </si>
  <si>
    <t>A004622</t>
  </si>
  <si>
    <t>A004623</t>
  </si>
  <si>
    <t>A004624</t>
  </si>
  <si>
    <t>A004625</t>
  </si>
  <si>
    <t>A004626</t>
  </si>
  <si>
    <t>A004627</t>
  </si>
  <si>
    <t>A004628</t>
  </si>
  <si>
    <t>A004629</t>
  </si>
  <si>
    <t>A004630</t>
  </si>
  <si>
    <t>A004631</t>
  </si>
  <si>
    <t>A004632</t>
  </si>
  <si>
    <t>A004633</t>
  </si>
  <si>
    <t>A004634</t>
  </si>
  <si>
    <t>A004635</t>
  </si>
  <si>
    <t>A004636</t>
  </si>
  <si>
    <t>A004637</t>
  </si>
  <si>
    <t>A004638</t>
  </si>
  <si>
    <t>A004639</t>
  </si>
  <si>
    <t>A004640</t>
  </si>
  <si>
    <t>A004641</t>
  </si>
  <si>
    <t>A004642</t>
  </si>
  <si>
    <t>A004643</t>
  </si>
  <si>
    <t>A004644</t>
  </si>
  <si>
    <t>A004645</t>
  </si>
  <si>
    <t>A004646</t>
  </si>
  <si>
    <t>A004647</t>
  </si>
  <si>
    <t>A004648</t>
  </si>
  <si>
    <t>A004649</t>
  </si>
  <si>
    <t>A004650</t>
  </si>
  <si>
    <t>A004651</t>
  </si>
  <si>
    <t>A004652</t>
  </si>
  <si>
    <t>A004653</t>
  </si>
  <si>
    <t>A004654</t>
  </si>
  <si>
    <t>A004655</t>
  </si>
  <si>
    <t>A004656</t>
  </si>
  <si>
    <t>A004657</t>
  </si>
  <si>
    <t>A004658</t>
  </si>
  <si>
    <t>A004659</t>
  </si>
  <si>
    <t>A004660</t>
  </si>
  <si>
    <t>A004661</t>
  </si>
  <si>
    <t>A004662</t>
  </si>
  <si>
    <t>A004663</t>
  </si>
  <si>
    <t>A004664</t>
  </si>
  <si>
    <t>A004665</t>
  </si>
  <si>
    <t>A004666</t>
  </si>
  <si>
    <t>A004667</t>
  </si>
  <si>
    <t>A004668</t>
  </si>
  <si>
    <t>A004669</t>
  </si>
  <si>
    <t>A004670</t>
  </si>
  <si>
    <t>A004671</t>
  </si>
  <si>
    <t>A004672</t>
  </si>
  <si>
    <t>A004673</t>
  </si>
  <si>
    <t>A004674</t>
  </si>
  <si>
    <t>A004675</t>
  </si>
  <si>
    <t>A004676</t>
  </si>
  <si>
    <t>A004677</t>
  </si>
  <si>
    <t>A004678</t>
  </si>
  <si>
    <t>A004679</t>
  </si>
  <si>
    <t>A004680</t>
  </si>
  <si>
    <t>A004681</t>
  </si>
  <si>
    <t>A004682</t>
  </si>
  <si>
    <t>A004683</t>
  </si>
  <si>
    <t>A004684</t>
  </si>
  <si>
    <t>A004685</t>
  </si>
  <si>
    <t>A004686</t>
  </si>
  <si>
    <t>A004687</t>
  </si>
  <si>
    <t>A004688</t>
  </si>
  <si>
    <t>A004689</t>
  </si>
  <si>
    <t>A004690</t>
  </si>
  <si>
    <t>A004691</t>
  </si>
  <si>
    <t>A004692</t>
  </si>
  <si>
    <t>A004693</t>
  </si>
  <si>
    <t>A004694</t>
  </si>
  <si>
    <t>A004695</t>
  </si>
  <si>
    <t>A004696</t>
  </si>
  <si>
    <t>A004697</t>
  </si>
  <si>
    <t>A004698</t>
  </si>
  <si>
    <t>A004699</t>
  </si>
  <si>
    <t>A004700</t>
  </si>
  <si>
    <t>A004701</t>
  </si>
  <si>
    <t>A004702</t>
  </si>
  <si>
    <t>A004703</t>
  </si>
  <si>
    <t>A004704</t>
  </si>
  <si>
    <t>A004705</t>
  </si>
  <si>
    <t>A004706</t>
  </si>
  <si>
    <t>A004707</t>
  </si>
  <si>
    <t>A004708</t>
  </si>
  <si>
    <t>A004709</t>
  </si>
  <si>
    <t>A004710</t>
  </si>
  <si>
    <t>A004711</t>
  </si>
  <si>
    <t>A004712</t>
  </si>
  <si>
    <t>A004713</t>
  </si>
  <si>
    <t>A004714</t>
  </si>
  <si>
    <t>A004715</t>
  </si>
  <si>
    <t>A004716</t>
  </si>
  <si>
    <t>A004717</t>
  </si>
  <si>
    <t>A004718</t>
  </si>
  <si>
    <t>A004719</t>
  </si>
  <si>
    <t>A004720</t>
  </si>
  <si>
    <t>A004721</t>
  </si>
  <si>
    <t>A004722</t>
  </si>
  <si>
    <t>A004723</t>
  </si>
  <si>
    <t>A004724</t>
  </si>
  <si>
    <t>A004725</t>
  </si>
  <si>
    <t>A004726</t>
  </si>
  <si>
    <t>A004727</t>
  </si>
  <si>
    <t>A004728</t>
  </si>
  <si>
    <t>A004729</t>
  </si>
  <si>
    <t>A004730</t>
  </si>
  <si>
    <t>A004731</t>
  </si>
  <si>
    <t>A004732</t>
  </si>
  <si>
    <t>A004733</t>
  </si>
  <si>
    <t>A004734</t>
  </si>
  <si>
    <t>A004735</t>
  </si>
  <si>
    <t>A004736</t>
  </si>
  <si>
    <t>A004737</t>
  </si>
  <si>
    <t>A004738</t>
  </si>
  <si>
    <t>A004739</t>
  </si>
  <si>
    <t>A004740</t>
  </si>
  <si>
    <t>A004741</t>
  </si>
  <si>
    <t>A004742</t>
  </si>
  <si>
    <t>A004743</t>
  </si>
  <si>
    <t>A004744</t>
  </si>
  <si>
    <t>A004745</t>
  </si>
  <si>
    <t>A004746</t>
  </si>
  <si>
    <t>A004747</t>
  </si>
  <si>
    <t>A004748</t>
  </si>
  <si>
    <t>A004749</t>
  </si>
  <si>
    <t>A004750</t>
  </si>
  <si>
    <t>A004751</t>
  </si>
  <si>
    <t>A004752</t>
  </si>
  <si>
    <t>A004753</t>
  </si>
  <si>
    <t>A004754</t>
  </si>
  <si>
    <t>A004755</t>
  </si>
  <si>
    <t>A004756</t>
  </si>
  <si>
    <t>A004757</t>
  </si>
  <si>
    <t>A004758</t>
  </si>
  <si>
    <t>A004759</t>
  </si>
  <si>
    <t>A004760</t>
  </si>
  <si>
    <t>A004761</t>
  </si>
  <si>
    <t>A004762</t>
  </si>
  <si>
    <t>A004763</t>
  </si>
  <si>
    <t>A004764</t>
  </si>
  <si>
    <t>A004765</t>
  </si>
  <si>
    <t>A004766</t>
  </si>
  <si>
    <t>A004767</t>
  </si>
  <si>
    <t>A004768</t>
  </si>
  <si>
    <t>A004769</t>
  </si>
  <si>
    <t>A004770</t>
  </si>
  <si>
    <t>A004771</t>
  </si>
  <si>
    <t>A004772</t>
  </si>
  <si>
    <t>A004773</t>
  </si>
  <si>
    <t>A004774</t>
  </si>
  <si>
    <t>A004775</t>
  </si>
  <si>
    <t>A004776</t>
  </si>
  <si>
    <t>A004777</t>
  </si>
  <si>
    <t>A004778</t>
  </si>
  <si>
    <t>A004779</t>
  </si>
  <si>
    <t>A004780</t>
  </si>
  <si>
    <t>A004781</t>
  </si>
  <si>
    <t>A004782</t>
  </si>
  <si>
    <t>A004783</t>
  </si>
  <si>
    <t>A004784</t>
  </si>
  <si>
    <t>A004785</t>
  </si>
  <si>
    <t>A004786</t>
  </si>
  <si>
    <t>A004787</t>
  </si>
  <si>
    <t>A004788</t>
  </si>
  <si>
    <t>A004789</t>
  </si>
  <si>
    <t>A004790</t>
  </si>
  <si>
    <t>A004791</t>
  </si>
  <si>
    <t>A004792</t>
  </si>
  <si>
    <t>A004793</t>
  </si>
  <si>
    <t>A004794</t>
  </si>
  <si>
    <t>A004795</t>
  </si>
  <si>
    <t>A004796</t>
  </si>
  <si>
    <t>A004797</t>
  </si>
  <si>
    <t>A004798</t>
  </si>
  <si>
    <t>A004799</t>
  </si>
  <si>
    <t>A004800</t>
  </si>
  <si>
    <t>A004801</t>
  </si>
  <si>
    <t>A004802</t>
  </si>
  <si>
    <t>A004803</t>
  </si>
  <si>
    <t>A004804</t>
  </si>
  <si>
    <t>A004805</t>
  </si>
  <si>
    <t>A004806</t>
  </si>
  <si>
    <t>A004807</t>
  </si>
  <si>
    <t>A004808</t>
  </si>
  <si>
    <t>A004809</t>
  </si>
  <si>
    <t>A004810</t>
  </si>
  <si>
    <t>A004811</t>
  </si>
  <si>
    <t>A004812</t>
  </si>
  <si>
    <t>A004813</t>
  </si>
  <si>
    <t>A004814</t>
  </si>
  <si>
    <t>A004815</t>
  </si>
  <si>
    <t>A004816</t>
  </si>
  <si>
    <t>A004817</t>
  </si>
  <si>
    <t>A004818</t>
  </si>
  <si>
    <t>A004819</t>
  </si>
  <si>
    <t>A004820</t>
  </si>
  <si>
    <t>A004821</t>
  </si>
  <si>
    <t>A004822</t>
  </si>
  <si>
    <t>A004823</t>
  </si>
  <si>
    <t>A004824</t>
  </si>
  <si>
    <t>A004825</t>
  </si>
  <si>
    <t>A004826</t>
  </si>
  <si>
    <t>A004827</t>
  </si>
  <si>
    <t>A004828</t>
  </si>
  <si>
    <t>A004829</t>
  </si>
  <si>
    <t>A004830</t>
  </si>
  <si>
    <t>A004831</t>
  </si>
  <si>
    <t>A004832</t>
  </si>
  <si>
    <t>A004833</t>
  </si>
  <si>
    <t>A004834</t>
  </si>
  <si>
    <t>A004835</t>
  </si>
  <si>
    <t>A004836</t>
  </si>
  <si>
    <t>A004837</t>
  </si>
  <si>
    <t>A004838</t>
  </si>
  <si>
    <t>A004839</t>
  </si>
  <si>
    <t>A004840</t>
  </si>
  <si>
    <t>A004841</t>
  </si>
  <si>
    <t>A004842</t>
  </si>
  <si>
    <t>A004843</t>
  </si>
  <si>
    <t>A004844</t>
  </si>
  <si>
    <t>A004845</t>
  </si>
  <si>
    <t>A004846</t>
  </si>
  <si>
    <t>A004847</t>
  </si>
  <si>
    <t>A004848</t>
  </si>
  <si>
    <t>A004849</t>
  </si>
  <si>
    <t>A004850</t>
  </si>
  <si>
    <t>A004851</t>
  </si>
  <si>
    <t>A004852</t>
  </si>
  <si>
    <t>A004853</t>
  </si>
  <si>
    <t>A004854</t>
  </si>
  <si>
    <t>A004855</t>
  </si>
  <si>
    <t>A004856</t>
  </si>
  <si>
    <t>A004857</t>
  </si>
  <si>
    <t>A004858</t>
  </si>
  <si>
    <t>A004859</t>
  </si>
  <si>
    <t>A004860</t>
  </si>
  <si>
    <t>A004861</t>
  </si>
  <si>
    <t>A004862</t>
  </si>
  <si>
    <t>A004863</t>
  </si>
  <si>
    <t>A004864</t>
  </si>
  <si>
    <t>A004865</t>
  </si>
  <si>
    <t>A004866</t>
  </si>
  <si>
    <t>A004867</t>
  </si>
  <si>
    <t>A004868</t>
  </si>
  <si>
    <t>A004869</t>
  </si>
  <si>
    <t>A004870</t>
  </si>
  <si>
    <t>A004871</t>
  </si>
  <si>
    <t>A004872</t>
  </si>
  <si>
    <t>A004873</t>
  </si>
  <si>
    <t>A004874</t>
  </si>
  <si>
    <t>A004875</t>
  </si>
  <si>
    <t>A004876</t>
  </si>
  <si>
    <t>A004877</t>
  </si>
  <si>
    <t>A004878</t>
  </si>
  <si>
    <t>A004879</t>
  </si>
  <si>
    <t>A004880</t>
  </si>
  <si>
    <t>A004881</t>
  </si>
  <si>
    <t>A004882</t>
  </si>
  <si>
    <t>A004883</t>
  </si>
  <si>
    <t>A004884</t>
  </si>
  <si>
    <t>A004885</t>
  </si>
  <si>
    <t>A004886</t>
  </si>
  <si>
    <t>A004887</t>
  </si>
  <si>
    <t>A004888</t>
  </si>
  <si>
    <t>A004889</t>
  </si>
  <si>
    <t>A004890</t>
  </si>
  <si>
    <t>A004891</t>
  </si>
  <si>
    <t>A004892</t>
  </si>
  <si>
    <t>A004893</t>
  </si>
  <si>
    <t>A004894</t>
  </si>
  <si>
    <t>A004895</t>
  </si>
  <si>
    <t>A004896</t>
  </si>
  <si>
    <t>A004897</t>
  </si>
  <si>
    <t>A004898</t>
  </si>
  <si>
    <t>A004899</t>
  </si>
  <si>
    <t>A004900</t>
  </si>
  <si>
    <t>A004901</t>
  </si>
  <si>
    <t>A004902</t>
  </si>
  <si>
    <t>A004903</t>
  </si>
  <si>
    <t>A004904</t>
  </si>
  <si>
    <t>A004905</t>
  </si>
  <si>
    <t>A004906</t>
  </si>
  <si>
    <t>A004907</t>
  </si>
  <si>
    <t>A004908</t>
  </si>
  <si>
    <t>A004909</t>
  </si>
  <si>
    <t>A004910</t>
  </si>
  <si>
    <t>A004911</t>
  </si>
  <si>
    <t>A004912</t>
  </si>
  <si>
    <t>A004913</t>
  </si>
  <si>
    <t>A004914</t>
  </si>
  <si>
    <t>A004915</t>
  </si>
  <si>
    <t>A004916</t>
  </si>
  <si>
    <t>A004917</t>
  </si>
  <si>
    <t>A004918</t>
  </si>
  <si>
    <t>A004919</t>
  </si>
  <si>
    <t>A004920</t>
  </si>
  <si>
    <t>A004921</t>
  </si>
  <si>
    <t>A004922</t>
  </si>
  <si>
    <t>A004923</t>
  </si>
  <si>
    <t>A004924</t>
  </si>
  <si>
    <t>A004925</t>
  </si>
  <si>
    <t>A004926</t>
  </si>
  <si>
    <t>A004927</t>
  </si>
  <si>
    <t>A004928</t>
  </si>
  <si>
    <t>A004929</t>
  </si>
  <si>
    <t>A004930</t>
  </si>
  <si>
    <t>A004931</t>
  </si>
  <si>
    <t>A004932</t>
  </si>
  <si>
    <t>A004933</t>
  </si>
  <si>
    <t>A004934</t>
  </si>
  <si>
    <t>A004935</t>
  </si>
  <si>
    <t>A004936</t>
  </si>
  <si>
    <t>A004937</t>
  </si>
  <si>
    <t>A004938</t>
  </si>
  <si>
    <t>A004939</t>
  </si>
  <si>
    <t>A004940</t>
  </si>
  <si>
    <t>A004941</t>
  </si>
  <si>
    <t>A004942</t>
  </si>
  <si>
    <t>A004943</t>
  </si>
  <si>
    <t>A004944</t>
  </si>
  <si>
    <t>A004945</t>
  </si>
  <si>
    <t>A004946</t>
  </si>
  <si>
    <t>A004947</t>
  </si>
  <si>
    <t>A004948</t>
  </si>
  <si>
    <t>A004949</t>
  </si>
  <si>
    <t>A004950</t>
  </si>
  <si>
    <t>A004951</t>
  </si>
  <si>
    <t>A004952</t>
  </si>
  <si>
    <t>A004953</t>
  </si>
  <si>
    <t>A004954</t>
  </si>
  <si>
    <t>A004955</t>
  </si>
  <si>
    <t>A004956</t>
  </si>
  <si>
    <t>A004957</t>
  </si>
  <si>
    <t>A004958</t>
  </si>
  <si>
    <t>A004959</t>
  </si>
  <si>
    <t>A004960</t>
  </si>
  <si>
    <t>A004961</t>
  </si>
  <si>
    <t>A004962</t>
  </si>
  <si>
    <t>A004963</t>
  </si>
  <si>
    <t>A004964</t>
  </si>
  <si>
    <t>A004965</t>
  </si>
  <si>
    <t>A004966</t>
  </si>
  <si>
    <t>A004967</t>
  </si>
  <si>
    <t>A004968</t>
  </si>
  <si>
    <t>A004969</t>
  </si>
  <si>
    <t>A004970</t>
  </si>
  <si>
    <t>A004971</t>
  </si>
  <si>
    <t>A004972</t>
  </si>
  <si>
    <t>A004973</t>
  </si>
  <si>
    <t>A004974</t>
  </si>
  <si>
    <t>A004975</t>
  </si>
  <si>
    <t>A004976</t>
  </si>
  <si>
    <t>A004977</t>
  </si>
  <si>
    <t>A004978</t>
  </si>
  <si>
    <t>A004979</t>
  </si>
  <si>
    <t>A004980</t>
  </si>
  <si>
    <t>A004981</t>
  </si>
  <si>
    <t>A004982</t>
  </si>
  <si>
    <t>A004983</t>
  </si>
  <si>
    <t>A004984</t>
  </si>
  <si>
    <t>A004985</t>
  </si>
  <si>
    <t>A004986</t>
  </si>
  <si>
    <t>A004987</t>
  </si>
  <si>
    <t>A004988</t>
  </si>
  <si>
    <t>A004989</t>
  </si>
  <si>
    <t>A004990</t>
  </si>
  <si>
    <t>A004991</t>
  </si>
  <si>
    <t>A004992</t>
  </si>
  <si>
    <t>A004993</t>
  </si>
  <si>
    <t>A004994</t>
  </si>
  <si>
    <t>A004995</t>
  </si>
  <si>
    <t>A004996</t>
  </si>
  <si>
    <t>A004997</t>
  </si>
  <si>
    <t>A004998</t>
  </si>
  <si>
    <t>A004999</t>
  </si>
  <si>
    <t>A005000</t>
  </si>
  <si>
    <t>A005001</t>
  </si>
  <si>
    <t>A005002</t>
  </si>
  <si>
    <t>A005003</t>
  </si>
  <si>
    <t>A005004</t>
  </si>
  <si>
    <t>A005005</t>
  </si>
  <si>
    <t>A005006</t>
  </si>
  <si>
    <t>A005007</t>
  </si>
  <si>
    <t>A005008</t>
  </si>
  <si>
    <t>A005009</t>
  </si>
  <si>
    <t>A005010</t>
  </si>
  <si>
    <t>A005011</t>
  </si>
  <si>
    <t>A005012</t>
  </si>
  <si>
    <t>A005013</t>
  </si>
  <si>
    <t>A005014</t>
  </si>
  <si>
    <t>A005015</t>
  </si>
  <si>
    <t>A005016</t>
  </si>
  <si>
    <t>A005017</t>
  </si>
  <si>
    <t>A005018</t>
  </si>
  <si>
    <t>A005019</t>
  </si>
  <si>
    <t>A005020</t>
  </si>
  <si>
    <t>A005021</t>
  </si>
  <si>
    <t>A005022</t>
  </si>
  <si>
    <t>A005023</t>
  </si>
  <si>
    <t>A005024</t>
  </si>
  <si>
    <t>A005025</t>
  </si>
  <si>
    <t>A005026</t>
  </si>
  <si>
    <t>A005027</t>
  </si>
  <si>
    <t>A005028</t>
  </si>
  <si>
    <t>A005029</t>
  </si>
  <si>
    <t>A005030</t>
  </si>
  <si>
    <t>A005031</t>
  </si>
  <si>
    <t>A005032</t>
  </si>
  <si>
    <t>A005033</t>
  </si>
  <si>
    <t>A005034</t>
  </si>
  <si>
    <t>A005035</t>
  </si>
  <si>
    <t>A005036</t>
  </si>
  <si>
    <t>A005037</t>
  </si>
  <si>
    <t>A005038</t>
  </si>
  <si>
    <t>A005039</t>
  </si>
  <si>
    <t>A005040</t>
  </si>
  <si>
    <t>A005041</t>
  </si>
  <si>
    <t>A005042</t>
  </si>
  <si>
    <t>A005043</t>
  </si>
  <si>
    <t>A005044</t>
  </si>
  <si>
    <t>A005045</t>
  </si>
  <si>
    <t>A005046</t>
  </si>
  <si>
    <t>A005047</t>
  </si>
  <si>
    <t>A005048</t>
  </si>
  <si>
    <t>A005049</t>
  </si>
  <si>
    <t>A005050</t>
  </si>
  <si>
    <t>A005051</t>
  </si>
  <si>
    <t>A005052</t>
  </si>
  <si>
    <t>A005053</t>
  </si>
  <si>
    <t>A005054</t>
  </si>
  <si>
    <t>A005055</t>
  </si>
  <si>
    <t>A005056</t>
  </si>
  <si>
    <t>A005057</t>
  </si>
  <si>
    <t>A005058</t>
  </si>
  <si>
    <t>A005059</t>
  </si>
  <si>
    <t>A005060</t>
  </si>
  <si>
    <t>A005061</t>
  </si>
  <si>
    <t>A005062</t>
  </si>
  <si>
    <t>A005063</t>
  </si>
  <si>
    <t>A005064</t>
  </si>
  <si>
    <t>A005065</t>
  </si>
  <si>
    <t>A005066</t>
  </si>
  <si>
    <t>A005067</t>
  </si>
  <si>
    <t>A005068</t>
  </si>
  <si>
    <t>A005069</t>
  </si>
  <si>
    <t>A005070</t>
  </si>
  <si>
    <t>A005071</t>
  </si>
  <si>
    <t>A005072</t>
  </si>
  <si>
    <t>A005073</t>
  </si>
  <si>
    <t>A005074</t>
  </si>
  <si>
    <t>A005075</t>
  </si>
  <si>
    <t>A005076</t>
  </si>
  <si>
    <t>A005077</t>
  </si>
  <si>
    <t>A005078</t>
  </si>
  <si>
    <t>A005079</t>
  </si>
  <si>
    <t>A005080</t>
  </si>
  <si>
    <t>A005081</t>
  </si>
  <si>
    <t>A005082</t>
  </si>
  <si>
    <t>A005083</t>
  </si>
  <si>
    <t>A005084</t>
  </si>
  <si>
    <t>A005085</t>
  </si>
  <si>
    <t>A005086</t>
  </si>
  <si>
    <t>A005087</t>
  </si>
  <si>
    <t>A005088</t>
  </si>
  <si>
    <t>A005089</t>
  </si>
  <si>
    <t>A005090</t>
  </si>
  <si>
    <t>A005091</t>
  </si>
  <si>
    <t>A005092</t>
  </si>
  <si>
    <t>A005093</t>
  </si>
  <si>
    <t>A005094</t>
  </si>
  <si>
    <t>A005095</t>
  </si>
  <si>
    <t>A005096</t>
  </si>
  <si>
    <t>A005097</t>
  </si>
  <si>
    <t>A005098</t>
  </si>
  <si>
    <t>A005099</t>
  </si>
  <si>
    <t>A005100</t>
  </si>
  <si>
    <t>A005101</t>
  </si>
  <si>
    <t>A005102</t>
  </si>
  <si>
    <t>A005103</t>
  </si>
  <si>
    <t>A005104</t>
  </si>
  <si>
    <t>A005105</t>
  </si>
  <si>
    <t>A005106</t>
  </si>
  <si>
    <t>A005107</t>
  </si>
  <si>
    <t>A005108</t>
  </si>
  <si>
    <t>A005109</t>
  </si>
  <si>
    <t>A005110</t>
  </si>
  <si>
    <t>A005111</t>
  </si>
  <si>
    <t>A005112</t>
  </si>
  <si>
    <t>A005113</t>
  </si>
  <si>
    <t>A005114</t>
  </si>
  <si>
    <t>A005115</t>
  </si>
  <si>
    <t>A005116</t>
  </si>
  <si>
    <t>A005117</t>
  </si>
  <si>
    <t>A005118</t>
  </si>
  <si>
    <t>A005119</t>
  </si>
  <si>
    <t>A005120</t>
  </si>
  <si>
    <t>A005121</t>
  </si>
  <si>
    <t>A005122</t>
  </si>
  <si>
    <t>A005123</t>
  </si>
  <si>
    <t>A005124</t>
  </si>
  <si>
    <t>A005125</t>
  </si>
  <si>
    <t>A005126</t>
  </si>
  <si>
    <t>A005127</t>
  </si>
  <si>
    <t>A005128</t>
  </si>
  <si>
    <t>A005129</t>
  </si>
  <si>
    <t>A005130</t>
  </si>
  <si>
    <t>A005131</t>
  </si>
  <si>
    <t>A005132</t>
  </si>
  <si>
    <t>A005133</t>
  </si>
  <si>
    <t>A005134</t>
  </si>
  <si>
    <t>A005135</t>
  </si>
  <si>
    <t>A005136</t>
  </si>
  <si>
    <t>A005137</t>
  </si>
  <si>
    <t>A005138</t>
  </si>
  <si>
    <t>A005139</t>
  </si>
  <si>
    <t>A005140</t>
  </si>
  <si>
    <t>A005141</t>
  </si>
  <si>
    <t>A005142</t>
  </si>
  <si>
    <t>A005143</t>
  </si>
  <si>
    <t>A005144</t>
  </si>
  <si>
    <t>A005145</t>
  </si>
  <si>
    <t>A005146</t>
  </si>
  <si>
    <t>A005147</t>
  </si>
  <si>
    <t>A005148</t>
  </si>
  <si>
    <t>A005149</t>
  </si>
  <si>
    <t>A005150</t>
  </si>
  <si>
    <t>A005151</t>
  </si>
  <si>
    <t>A005152</t>
  </si>
  <si>
    <t>A005153</t>
  </si>
  <si>
    <t>A005154</t>
  </si>
  <si>
    <t>A005155</t>
  </si>
  <si>
    <t>A005156</t>
  </si>
  <si>
    <t>A005157</t>
  </si>
  <si>
    <t>A005158</t>
  </si>
  <si>
    <t>A005159</t>
  </si>
  <si>
    <t>A005160</t>
  </si>
  <si>
    <t>A005161</t>
  </si>
  <si>
    <t>A005162</t>
  </si>
  <si>
    <t>A005163</t>
  </si>
  <si>
    <t>A005164</t>
  </si>
  <si>
    <t>A005165</t>
  </si>
  <si>
    <t>A005166</t>
  </si>
  <si>
    <t>A005167</t>
  </si>
  <si>
    <t>A005168</t>
  </si>
  <si>
    <t>A005169</t>
  </si>
  <si>
    <t>A005170</t>
  </si>
  <si>
    <t>A005171</t>
  </si>
  <si>
    <t>A005172</t>
  </si>
  <si>
    <t>A005173</t>
  </si>
  <si>
    <t>A005174</t>
  </si>
  <si>
    <t>A005175</t>
  </si>
  <si>
    <t>A005176</t>
  </si>
  <si>
    <t>A005177</t>
  </si>
  <si>
    <t>A005178</t>
  </si>
  <si>
    <t>A005179</t>
  </si>
  <si>
    <t>A005180</t>
  </si>
  <si>
    <t>A005181</t>
  </si>
  <si>
    <t>A005182</t>
  </si>
  <si>
    <t>A005183</t>
  </si>
  <si>
    <t>A005184</t>
  </si>
  <si>
    <t>A005185</t>
  </si>
  <si>
    <t>A005186</t>
  </si>
  <si>
    <t>A005187</t>
  </si>
  <si>
    <t>A005188</t>
  </si>
  <si>
    <t>A005189</t>
  </si>
  <si>
    <t>A005190</t>
  </si>
  <si>
    <t>A005191</t>
  </si>
  <si>
    <t>A005192</t>
  </si>
  <si>
    <t>A005193</t>
  </si>
  <si>
    <t>A005194</t>
  </si>
  <si>
    <t>A005195</t>
  </si>
  <si>
    <t>A005196</t>
  </si>
  <si>
    <t>A005197</t>
  </si>
  <si>
    <t>A005198</t>
  </si>
  <si>
    <t>A005199</t>
  </si>
  <si>
    <t>A005200</t>
  </si>
  <si>
    <t>A005201</t>
  </si>
  <si>
    <t>A005202</t>
  </si>
  <si>
    <t>A005203</t>
  </si>
  <si>
    <t>A005204</t>
  </si>
  <si>
    <t>A005205</t>
  </si>
  <si>
    <t>A005206</t>
  </si>
  <si>
    <t>A005207</t>
  </si>
  <si>
    <t>A005208</t>
  </si>
  <si>
    <t>A005209</t>
  </si>
  <si>
    <t>A005210</t>
  </si>
  <si>
    <t>A005211</t>
  </si>
  <si>
    <t>A005212</t>
  </si>
  <si>
    <t>A005213</t>
  </si>
  <si>
    <t>A005214</t>
  </si>
  <si>
    <t>A005215</t>
  </si>
  <si>
    <t>A005216</t>
  </si>
  <si>
    <t>A005217</t>
  </si>
  <si>
    <t>A005218</t>
  </si>
  <si>
    <t>A005219</t>
  </si>
  <si>
    <t>A005220</t>
  </si>
  <si>
    <t>A005221</t>
  </si>
  <si>
    <t>A005222</t>
  </si>
  <si>
    <t>A005223</t>
  </si>
  <si>
    <t>A005224</t>
  </si>
  <si>
    <t>A005225</t>
  </si>
  <si>
    <t>A005226</t>
  </si>
  <si>
    <t>A005227</t>
  </si>
  <si>
    <t>A005228</t>
  </si>
  <si>
    <t>A005229</t>
  </si>
  <si>
    <t>A005230</t>
  </si>
  <si>
    <t>A005231</t>
  </si>
  <si>
    <t>A005232</t>
  </si>
  <si>
    <t>A005233</t>
  </si>
  <si>
    <t>A005234</t>
  </si>
  <si>
    <t>A005235</t>
  </si>
  <si>
    <t>A005236</t>
  </si>
  <si>
    <t>A005237</t>
  </si>
  <si>
    <t>A005238</t>
  </si>
  <si>
    <t>A005239</t>
  </si>
  <si>
    <t>A005240</t>
  </si>
  <si>
    <t>A005241</t>
  </si>
  <si>
    <t>A005242</t>
  </si>
  <si>
    <t>A005243</t>
  </si>
  <si>
    <t>A005244</t>
  </si>
  <si>
    <t>A005245</t>
  </si>
  <si>
    <t>A005246</t>
  </si>
  <si>
    <t>A005247</t>
  </si>
  <si>
    <t>A005248</t>
  </si>
  <si>
    <t>A005249</t>
  </si>
  <si>
    <t>A005250</t>
  </si>
  <si>
    <t>A005251</t>
  </si>
  <si>
    <t>A005252</t>
  </si>
  <si>
    <t>A005253</t>
  </si>
  <si>
    <t>A005254</t>
  </si>
  <si>
    <t>A005255</t>
  </si>
  <si>
    <t>A005256</t>
  </si>
  <si>
    <t>A005257</t>
  </si>
  <si>
    <t>A005258</t>
  </si>
  <si>
    <t>A005259</t>
  </si>
  <si>
    <t>A005260</t>
  </si>
  <si>
    <t>A005261</t>
  </si>
  <si>
    <t>A005262</t>
  </si>
  <si>
    <t>A005263</t>
  </si>
  <si>
    <t>A005264</t>
  </si>
  <si>
    <t>A005265</t>
  </si>
  <si>
    <t>A005266</t>
  </si>
  <si>
    <t>A005267</t>
  </si>
  <si>
    <t>A005268</t>
  </si>
  <si>
    <t>A005269</t>
  </si>
  <si>
    <t>A005270</t>
  </si>
  <si>
    <t>A005271</t>
  </si>
  <si>
    <t>A005272</t>
  </si>
  <si>
    <t>A005273</t>
  </si>
  <si>
    <t>A005274</t>
  </si>
  <si>
    <t>A005275</t>
  </si>
  <si>
    <t>A005276</t>
  </si>
  <si>
    <t>A005277</t>
  </si>
  <si>
    <t>A005278</t>
  </si>
  <si>
    <t>A005279</t>
  </si>
  <si>
    <t>A005280</t>
  </si>
  <si>
    <t>A005281</t>
  </si>
  <si>
    <t>A005282</t>
  </si>
  <si>
    <t>A005283</t>
  </si>
  <si>
    <t>A005284</t>
  </si>
  <si>
    <t>A005285</t>
  </si>
  <si>
    <t>A005286</t>
  </si>
  <si>
    <t>A005287</t>
  </si>
  <si>
    <t>A005288</t>
  </si>
  <si>
    <t>A005289</t>
  </si>
  <si>
    <t>A005290</t>
  </si>
  <si>
    <t>A005291</t>
  </si>
  <si>
    <t>A005292</t>
  </si>
  <si>
    <t>A005293</t>
  </si>
  <si>
    <t>A005294</t>
  </si>
  <si>
    <t>A005295</t>
  </si>
  <si>
    <t>A005296</t>
  </si>
  <si>
    <t>A005297</t>
  </si>
  <si>
    <t>A005298</t>
  </si>
  <si>
    <t>A005299</t>
  </si>
  <si>
    <t>A005300</t>
  </si>
  <si>
    <t>A005301</t>
  </si>
  <si>
    <t>A005302</t>
  </si>
  <si>
    <t>A005303</t>
  </si>
  <si>
    <t>A005304</t>
  </si>
  <si>
    <t>A005305</t>
  </si>
  <si>
    <t>A005306</t>
  </si>
  <si>
    <t>A005307</t>
  </si>
  <si>
    <t>A005308</t>
  </si>
  <si>
    <t>A005309</t>
  </si>
  <si>
    <t>A005310</t>
  </si>
  <si>
    <t>A005311</t>
  </si>
  <si>
    <t>A005312</t>
  </si>
  <si>
    <t>A005313</t>
  </si>
  <si>
    <t>A005314</t>
  </si>
  <si>
    <t>A005315</t>
  </si>
  <si>
    <t>A005316</t>
  </si>
  <si>
    <t>A005317</t>
  </si>
  <si>
    <t>A005318</t>
  </si>
  <si>
    <t>A005319</t>
  </si>
  <si>
    <t>A005320</t>
  </si>
  <si>
    <t>A005321</t>
  </si>
  <si>
    <t>A005322</t>
  </si>
  <si>
    <t>A005323</t>
  </si>
  <si>
    <t>A005324</t>
  </si>
  <si>
    <t>A005325</t>
  </si>
  <si>
    <t>A005326</t>
  </si>
  <si>
    <t>A005327</t>
  </si>
  <si>
    <t>A005328</t>
  </si>
  <si>
    <t>A005329</t>
  </si>
  <si>
    <t>A005330</t>
  </si>
  <si>
    <t>A005331</t>
  </si>
  <si>
    <t>A005332</t>
  </si>
  <si>
    <t>A005333</t>
  </si>
  <si>
    <t>A005334</t>
  </si>
  <si>
    <t>A005335</t>
  </si>
  <si>
    <t>A005336</t>
  </si>
  <si>
    <t>A005337</t>
  </si>
  <si>
    <t>A005338</t>
  </si>
  <si>
    <t>A005339</t>
  </si>
  <si>
    <t>A005340</t>
  </si>
  <si>
    <t>A005341</t>
  </si>
  <si>
    <t>A005342</t>
  </si>
  <si>
    <t>A005343</t>
  </si>
  <si>
    <t>A005344</t>
  </si>
  <si>
    <t>A005345</t>
  </si>
  <si>
    <t>A005346</t>
  </si>
  <si>
    <t>A005347</t>
  </si>
  <si>
    <t>A005348</t>
  </si>
  <si>
    <t>A005349</t>
  </si>
  <si>
    <t>A005350</t>
  </si>
  <si>
    <t>A005351</t>
  </si>
  <si>
    <t>A005352</t>
  </si>
  <si>
    <t>A005353</t>
  </si>
  <si>
    <t>A005354</t>
  </si>
  <si>
    <t>A005355</t>
  </si>
  <si>
    <t>A005356</t>
  </si>
  <si>
    <t>A005357</t>
  </si>
  <si>
    <t>A005358</t>
  </si>
  <si>
    <t>A005359</t>
  </si>
  <si>
    <t>A005360</t>
  </si>
  <si>
    <t>A005361</t>
  </si>
  <si>
    <t>A005362</t>
  </si>
  <si>
    <t>A005363</t>
  </si>
  <si>
    <t>A005364</t>
  </si>
  <si>
    <t>A005365</t>
  </si>
  <si>
    <t>A005366</t>
  </si>
  <si>
    <t>A005367</t>
  </si>
  <si>
    <t>A005368</t>
  </si>
  <si>
    <t>A005369</t>
  </si>
  <si>
    <t>A005370</t>
  </si>
  <si>
    <t>A005371</t>
  </si>
  <si>
    <t>A005372</t>
  </si>
  <si>
    <t>A005373</t>
  </si>
  <si>
    <t>A005374</t>
  </si>
  <si>
    <t>A005375</t>
  </si>
  <si>
    <t>A005376</t>
  </si>
  <si>
    <t>A005377</t>
  </si>
  <si>
    <t>A005378</t>
  </si>
  <si>
    <t>A005379</t>
  </si>
  <si>
    <t>A005380</t>
  </si>
  <si>
    <t>A005381</t>
  </si>
  <si>
    <t>A005382</t>
  </si>
  <si>
    <t>A005383</t>
  </si>
  <si>
    <t>A005384</t>
  </si>
  <si>
    <t>A005385</t>
  </si>
  <si>
    <t>A005386</t>
  </si>
  <si>
    <t>A005387</t>
  </si>
  <si>
    <t>A005388</t>
  </si>
  <si>
    <t>A005389</t>
  </si>
  <si>
    <t>A005390</t>
  </si>
  <si>
    <t>A005391</t>
  </si>
  <si>
    <t>A005392</t>
  </si>
  <si>
    <t>A005393</t>
  </si>
  <si>
    <t>A005394</t>
  </si>
  <si>
    <t>A005395</t>
  </si>
  <si>
    <t>A005396</t>
  </si>
  <si>
    <t>A005397</t>
  </si>
  <si>
    <t>A005398</t>
  </si>
  <si>
    <t>A005399</t>
  </si>
  <si>
    <t>A005400</t>
  </si>
  <si>
    <t>A005401</t>
  </si>
  <si>
    <t>A005402</t>
  </si>
  <si>
    <t>A005403</t>
  </si>
  <si>
    <t>A005404</t>
  </si>
  <si>
    <t>A005405</t>
  </si>
  <si>
    <t>A005406</t>
  </si>
  <si>
    <t>A005407</t>
  </si>
  <si>
    <t>A005408</t>
  </si>
  <si>
    <t>A005409</t>
  </si>
  <si>
    <t>A005410</t>
  </si>
  <si>
    <t>A005411</t>
  </si>
  <si>
    <t>A005412</t>
  </si>
  <si>
    <t>A005413</t>
  </si>
  <si>
    <t>A005414</t>
  </si>
  <si>
    <t>A005415</t>
  </si>
  <si>
    <t>A005416</t>
  </si>
  <si>
    <t>A005417</t>
  </si>
  <si>
    <t>A005418</t>
  </si>
  <si>
    <t>A005419</t>
  </si>
  <si>
    <t>A005420</t>
  </si>
  <si>
    <t>A005421</t>
  </si>
  <si>
    <t>A005422</t>
  </si>
  <si>
    <t>A005423</t>
  </si>
  <si>
    <t>A005424</t>
  </si>
  <si>
    <t>A005425</t>
  </si>
  <si>
    <t>A005426</t>
  </si>
  <si>
    <t>A005427</t>
  </si>
  <si>
    <t>A005428</t>
  </si>
  <si>
    <t>A005429</t>
  </si>
  <si>
    <t>A005430</t>
  </si>
  <si>
    <t>A005431</t>
  </si>
  <si>
    <t>A005432</t>
  </si>
  <si>
    <t>A005433</t>
  </si>
  <si>
    <t>A005434</t>
  </si>
  <si>
    <t>A005435</t>
  </si>
  <si>
    <t>A005436</t>
  </si>
  <si>
    <t>A005437</t>
  </si>
  <si>
    <t>A005438</t>
  </si>
  <si>
    <t>A005439</t>
  </si>
  <si>
    <t>A005440</t>
  </si>
  <si>
    <t>A005441</t>
  </si>
  <si>
    <t>A005442</t>
  </si>
  <si>
    <t>A005443</t>
  </si>
  <si>
    <t>A005444</t>
  </si>
  <si>
    <t>A005445</t>
  </si>
  <si>
    <t>A005446</t>
  </si>
  <si>
    <t>A005447</t>
  </si>
  <si>
    <t>A005448</t>
  </si>
  <si>
    <t>A005449</t>
  </si>
  <si>
    <t>A005450</t>
  </si>
  <si>
    <t>A005451</t>
  </si>
  <si>
    <t>A005452</t>
  </si>
  <si>
    <t>A005453</t>
  </si>
  <si>
    <t>A005454</t>
  </si>
  <si>
    <t>A005455</t>
  </si>
  <si>
    <t>A005456</t>
  </si>
  <si>
    <t>A005457</t>
  </si>
  <si>
    <t>A005458</t>
  </si>
  <si>
    <t>A005459</t>
  </si>
  <si>
    <t>A005460</t>
  </si>
  <si>
    <t>A005461</t>
  </si>
  <si>
    <t>A005462</t>
  </si>
  <si>
    <t>A005463</t>
  </si>
  <si>
    <t>A005464</t>
  </si>
  <si>
    <t>A005465</t>
  </si>
  <si>
    <t>A005466</t>
  </si>
  <si>
    <t>A005467</t>
  </si>
  <si>
    <t>A005468</t>
  </si>
  <si>
    <t>A005469</t>
  </si>
  <si>
    <t>A005470</t>
  </si>
  <si>
    <t>A005471</t>
  </si>
  <si>
    <t>A005472</t>
  </si>
  <si>
    <t>A005473</t>
  </si>
  <si>
    <t>A005474</t>
  </si>
  <si>
    <t>A005475</t>
  </si>
  <si>
    <t>A005476</t>
  </si>
  <si>
    <t>A005477</t>
  </si>
  <si>
    <t>A005478</t>
  </si>
  <si>
    <t>A005479</t>
  </si>
  <si>
    <t>A005480</t>
  </si>
  <si>
    <t>A005481</t>
  </si>
  <si>
    <t>A005482</t>
  </si>
  <si>
    <t>A005483</t>
  </si>
  <si>
    <t>A005484</t>
  </si>
  <si>
    <t>A005485</t>
  </si>
  <si>
    <t>A005486</t>
  </si>
  <si>
    <t>A005487</t>
  </si>
  <si>
    <t>A005488</t>
  </si>
  <si>
    <t>A005489</t>
  </si>
  <si>
    <t>A005490</t>
  </si>
  <si>
    <t>A005491</t>
  </si>
  <si>
    <t>A005492</t>
  </si>
  <si>
    <t>A005493</t>
  </si>
  <si>
    <t>A005494</t>
  </si>
  <si>
    <t>A005495</t>
  </si>
  <si>
    <t>A005496</t>
  </si>
  <si>
    <t>A005497</t>
  </si>
  <si>
    <t>A005498</t>
  </si>
  <si>
    <t>A005499</t>
  </si>
  <si>
    <t>A005500</t>
  </si>
  <si>
    <t>A005501</t>
  </si>
  <si>
    <t>A005502</t>
  </si>
  <si>
    <t>A005503</t>
  </si>
  <si>
    <t>A005504</t>
  </si>
  <si>
    <t>A005505</t>
  </si>
  <si>
    <t>A005506</t>
  </si>
  <si>
    <t>A005507</t>
  </si>
  <si>
    <t>A005508</t>
  </si>
  <si>
    <t>A005509</t>
  </si>
  <si>
    <t>A005510</t>
  </si>
  <si>
    <t>A005511</t>
  </si>
  <si>
    <t>A005512</t>
  </si>
  <si>
    <t>A005513</t>
  </si>
  <si>
    <t>A005514</t>
  </si>
  <si>
    <t>A005515</t>
  </si>
  <si>
    <t>A005516</t>
  </si>
  <si>
    <t>A005517</t>
  </si>
  <si>
    <t>A005518</t>
  </si>
  <si>
    <t>A005519</t>
  </si>
  <si>
    <t>A005520</t>
  </si>
  <si>
    <t>A005521</t>
  </si>
  <si>
    <t>A005522</t>
  </si>
  <si>
    <t>A005523</t>
  </si>
  <si>
    <t>A005524</t>
  </si>
  <si>
    <t>A005525</t>
  </si>
  <si>
    <t>A005526</t>
  </si>
  <si>
    <t>A005527</t>
  </si>
  <si>
    <t>A005528</t>
  </si>
  <si>
    <t>A005529</t>
  </si>
  <si>
    <t>A005530</t>
  </si>
  <si>
    <t>A005531</t>
  </si>
  <si>
    <t>A005532</t>
  </si>
  <si>
    <t>A005533</t>
  </si>
  <si>
    <t>A005534</t>
  </si>
  <si>
    <t>A005535</t>
  </si>
  <si>
    <t>A005536</t>
  </si>
  <si>
    <t>A005537</t>
  </si>
  <si>
    <t>A005538</t>
  </si>
  <si>
    <t>A005539</t>
  </si>
  <si>
    <t>A005540</t>
  </si>
  <si>
    <t>A005541</t>
  </si>
  <si>
    <t>A005542</t>
  </si>
  <si>
    <t>A005543</t>
  </si>
  <si>
    <t>A005544</t>
  </si>
  <si>
    <t>A005545</t>
  </si>
  <si>
    <t>A005546</t>
  </si>
  <si>
    <t>A005547</t>
  </si>
  <si>
    <t>A005548</t>
  </si>
  <si>
    <t>A005549</t>
  </si>
  <si>
    <t>A005550</t>
  </si>
  <si>
    <t>A005551</t>
  </si>
  <si>
    <t>A005552</t>
  </si>
  <si>
    <t>A005553</t>
  </si>
  <si>
    <t>A005554</t>
  </si>
  <si>
    <t>A005555</t>
  </si>
  <si>
    <t>A005556</t>
  </si>
  <si>
    <t>A005557</t>
  </si>
  <si>
    <t>A005558</t>
  </si>
  <si>
    <t>A005559</t>
  </si>
  <si>
    <t>A005560</t>
  </si>
  <si>
    <t>A005561</t>
  </si>
  <si>
    <t>A005562</t>
  </si>
  <si>
    <t>A005563</t>
  </si>
  <si>
    <t>A005564</t>
  </si>
  <si>
    <t>A005565</t>
  </si>
  <si>
    <t>A005566</t>
  </si>
  <si>
    <t>A005567</t>
  </si>
  <si>
    <t>A005568</t>
  </si>
  <si>
    <t>A005569</t>
  </si>
  <si>
    <t>A005570</t>
  </si>
  <si>
    <t>A005571</t>
  </si>
  <si>
    <t>A005572</t>
  </si>
  <si>
    <t>A005573</t>
  </si>
  <si>
    <t>A005574</t>
  </si>
  <si>
    <t>A005575</t>
  </si>
  <si>
    <t>A005576</t>
  </si>
  <si>
    <t>A005577</t>
  </si>
  <si>
    <t>A005578</t>
  </si>
  <si>
    <t>A005579</t>
  </si>
  <si>
    <t>A005580</t>
  </si>
  <si>
    <t>A005581</t>
  </si>
  <si>
    <t>A005582</t>
  </si>
  <si>
    <t>A005583</t>
  </si>
  <si>
    <t>A005584</t>
  </si>
  <si>
    <t>A005585</t>
  </si>
  <si>
    <t>A005586</t>
  </si>
  <si>
    <t>A005587</t>
  </si>
  <si>
    <t>A005588</t>
  </si>
  <si>
    <t>A005589</t>
  </si>
  <si>
    <t>A005590</t>
  </si>
  <si>
    <t>A005591</t>
  </si>
  <si>
    <t>A005592</t>
  </si>
  <si>
    <t>A005593</t>
  </si>
  <si>
    <t>A005594</t>
  </si>
  <si>
    <t>A005595</t>
  </si>
  <si>
    <t>A005596</t>
  </si>
  <si>
    <t>A005597</t>
  </si>
  <si>
    <t>A005598</t>
  </si>
  <si>
    <t>A005599</t>
  </si>
  <si>
    <t>A005600</t>
  </si>
  <si>
    <t>A005601</t>
  </si>
  <si>
    <t>A005602</t>
  </si>
  <si>
    <t>A005603</t>
  </si>
  <si>
    <t>A005604</t>
  </si>
  <si>
    <t>A005605</t>
  </si>
  <si>
    <t>A005606</t>
  </si>
  <si>
    <t>A005607</t>
  </si>
  <si>
    <t>A005608</t>
  </si>
  <si>
    <t>A005609</t>
  </si>
  <si>
    <t>A005610</t>
  </si>
  <si>
    <t>A005611</t>
  </si>
  <si>
    <t>A005612</t>
  </si>
  <si>
    <t>A005613</t>
  </si>
  <si>
    <t>A005614</t>
  </si>
  <si>
    <t>A005615</t>
  </si>
  <si>
    <t>A005616</t>
  </si>
  <si>
    <t>A005617</t>
  </si>
  <si>
    <t>A005618</t>
  </si>
  <si>
    <t>A005619</t>
  </si>
  <si>
    <t>A005620</t>
  </si>
  <si>
    <t>A005621</t>
  </si>
  <si>
    <t>A005622</t>
  </si>
  <si>
    <t>A005623</t>
  </si>
  <si>
    <t>A005624</t>
  </si>
  <si>
    <t>A005625</t>
  </si>
  <si>
    <t>A005626</t>
  </si>
  <si>
    <t>A005627</t>
  </si>
  <si>
    <t>A005628</t>
  </si>
  <si>
    <t>A005629</t>
  </si>
  <si>
    <t>A005630</t>
  </si>
  <si>
    <t>A005631</t>
  </si>
  <si>
    <t>A005632</t>
  </si>
  <si>
    <t>A005633</t>
  </si>
  <si>
    <t>A005634</t>
  </si>
  <si>
    <t>A005635</t>
  </si>
  <si>
    <t>A005636</t>
  </si>
  <si>
    <t>A005637</t>
  </si>
  <si>
    <t>A005638</t>
  </si>
  <si>
    <t>A005639</t>
  </si>
  <si>
    <t>A005640</t>
  </si>
  <si>
    <t>A005641</t>
  </si>
  <si>
    <t>A005642</t>
  </si>
  <si>
    <t>A005643</t>
  </si>
  <si>
    <t>A005644</t>
  </si>
  <si>
    <t>A005645</t>
  </si>
  <si>
    <t>A005646</t>
  </si>
  <si>
    <t>A005647</t>
  </si>
  <si>
    <t>A005648</t>
  </si>
  <si>
    <t>A005649</t>
  </si>
  <si>
    <t>A005650</t>
  </si>
  <si>
    <t>A005651</t>
  </si>
  <si>
    <t>A005652</t>
  </si>
  <si>
    <t>A005653</t>
  </si>
  <si>
    <t>A005654</t>
  </si>
  <si>
    <t>A005655</t>
  </si>
  <si>
    <t>A005656</t>
  </si>
  <si>
    <t>A005657</t>
  </si>
  <si>
    <t>A005658</t>
  </si>
  <si>
    <t>A005659</t>
  </si>
  <si>
    <t>A005660</t>
  </si>
  <si>
    <t>A005661</t>
  </si>
  <si>
    <t>A005662</t>
  </si>
  <si>
    <t>A005663</t>
  </si>
  <si>
    <t>A005664</t>
  </si>
  <si>
    <t>A005665</t>
  </si>
  <si>
    <t>A005666</t>
  </si>
  <si>
    <t>A005667</t>
  </si>
  <si>
    <t>A005668</t>
  </si>
  <si>
    <t>A005669</t>
  </si>
  <si>
    <t>A005670</t>
  </si>
  <si>
    <t>A005671</t>
  </si>
  <si>
    <t>A005672</t>
  </si>
  <si>
    <t>A005673</t>
  </si>
  <si>
    <t>A005674</t>
  </si>
  <si>
    <t>A005675</t>
  </si>
  <si>
    <t>A005676</t>
  </si>
  <si>
    <t>A005677</t>
  </si>
  <si>
    <t>A005678</t>
  </si>
  <si>
    <t>A005679</t>
  </si>
  <si>
    <t>A005680</t>
  </si>
  <si>
    <t>A005681</t>
  </si>
  <si>
    <t>A005682</t>
  </si>
  <si>
    <t>A005683</t>
  </si>
  <si>
    <t>A005684</t>
  </si>
  <si>
    <t>A005685</t>
  </si>
  <si>
    <t>A005686</t>
  </si>
  <si>
    <t>A005687</t>
  </si>
  <si>
    <t>A005688</t>
  </si>
  <si>
    <t>A005689</t>
  </si>
  <si>
    <t>A005690</t>
  </si>
  <si>
    <t>A005691</t>
  </si>
  <si>
    <t>A005692</t>
  </si>
  <si>
    <t>A005693</t>
  </si>
  <si>
    <t>A005694</t>
  </si>
  <si>
    <t>A005695</t>
  </si>
  <si>
    <t>A005696</t>
  </si>
  <si>
    <t>A005697</t>
  </si>
  <si>
    <t>A005698</t>
  </si>
  <si>
    <t>A005699</t>
  </si>
  <si>
    <t>A005700</t>
  </si>
  <si>
    <t>A005701</t>
  </si>
  <si>
    <t>A005702</t>
  </si>
  <si>
    <t>A005703</t>
  </si>
  <si>
    <t>A005704</t>
  </si>
  <si>
    <t>A005705</t>
  </si>
  <si>
    <t>A005706</t>
  </si>
  <si>
    <t>A005707</t>
  </si>
  <si>
    <t>A005708</t>
  </si>
  <si>
    <t>A005709</t>
  </si>
  <si>
    <t>A005710</t>
  </si>
  <si>
    <t>A005711</t>
  </si>
  <si>
    <t>A005712</t>
  </si>
  <si>
    <t>A005713</t>
  </si>
  <si>
    <t>A005714</t>
  </si>
  <si>
    <t>A005715</t>
  </si>
  <si>
    <t>A005716</t>
  </si>
  <si>
    <t>A005717</t>
  </si>
  <si>
    <t>A005718</t>
  </si>
  <si>
    <t>A005719</t>
  </si>
  <si>
    <t>A005720</t>
  </si>
  <si>
    <t>A005721</t>
  </si>
  <si>
    <t>A005722</t>
  </si>
  <si>
    <t>A005723</t>
  </si>
  <si>
    <t>A005724</t>
  </si>
  <si>
    <t>A005725</t>
  </si>
  <si>
    <t>A005726</t>
  </si>
  <si>
    <t>A005727</t>
  </si>
  <si>
    <t>A005728</t>
  </si>
  <si>
    <t>A005729</t>
  </si>
  <si>
    <t>A005730</t>
  </si>
  <si>
    <t>A005731</t>
  </si>
  <si>
    <t>A005732</t>
  </si>
  <si>
    <t>A005733</t>
  </si>
  <si>
    <t>A005734</t>
  </si>
  <si>
    <t>A005735</t>
  </si>
  <si>
    <t>A005736</t>
  </si>
  <si>
    <t>A005737</t>
  </si>
  <si>
    <t>A005738</t>
  </si>
  <si>
    <t>A005739</t>
  </si>
  <si>
    <t>A005740</t>
  </si>
  <si>
    <t>A005741</t>
  </si>
  <si>
    <t>A005742</t>
  </si>
  <si>
    <t>A005743</t>
  </si>
  <si>
    <t>A005744</t>
  </si>
  <si>
    <t>A005745</t>
  </si>
  <si>
    <t>A005746</t>
  </si>
  <si>
    <t>A005747</t>
  </si>
  <si>
    <t>A005748</t>
  </si>
  <si>
    <t>A005749</t>
  </si>
  <si>
    <t>A005750</t>
  </si>
  <si>
    <t>A005751</t>
  </si>
  <si>
    <t>A005752</t>
  </si>
  <si>
    <t>A005753</t>
  </si>
  <si>
    <t>A005754</t>
  </si>
  <si>
    <t>A005755</t>
  </si>
  <si>
    <t>A005756</t>
  </si>
  <si>
    <t>A005757</t>
  </si>
  <si>
    <t>A005758</t>
  </si>
  <si>
    <t>A005759</t>
  </si>
  <si>
    <t>A005760</t>
  </si>
  <si>
    <t>A005761</t>
  </si>
  <si>
    <t>A005762</t>
  </si>
  <si>
    <t>A005763</t>
  </si>
  <si>
    <t>A005764</t>
  </si>
  <si>
    <t>A005765</t>
  </si>
  <si>
    <t>A005766</t>
  </si>
  <si>
    <t>A005767</t>
  </si>
  <si>
    <t>A005768</t>
  </si>
  <si>
    <t>A005769</t>
  </si>
  <si>
    <t>A005770</t>
  </si>
  <si>
    <t>A005771</t>
  </si>
  <si>
    <t>A005772</t>
  </si>
  <si>
    <t>A005773</t>
  </si>
  <si>
    <t>A005774</t>
  </si>
  <si>
    <t>A005775</t>
  </si>
  <si>
    <t>A005776</t>
  </si>
  <si>
    <t>A005777</t>
  </si>
  <si>
    <t>A005778</t>
  </si>
  <si>
    <t>A005779</t>
  </si>
  <si>
    <t>A005780</t>
  </si>
  <si>
    <t>A005781</t>
  </si>
  <si>
    <t>A005782</t>
  </si>
  <si>
    <t>A005783</t>
  </si>
  <si>
    <t>A005784</t>
  </si>
  <si>
    <t>A005785</t>
  </si>
  <si>
    <t>A005786</t>
  </si>
  <si>
    <t>A005787</t>
  </si>
  <si>
    <t>A005788</t>
  </si>
  <si>
    <t>A005789</t>
  </si>
  <si>
    <t>A005790</t>
  </si>
  <si>
    <t>A005791</t>
  </si>
  <si>
    <t>A005792</t>
  </si>
  <si>
    <t>A005793</t>
  </si>
  <si>
    <t>A005794</t>
  </si>
  <si>
    <t>A005795</t>
  </si>
  <si>
    <t>A005796</t>
  </si>
  <si>
    <t>A005797</t>
  </si>
  <si>
    <t>A005798</t>
  </si>
  <si>
    <t>A005799</t>
  </si>
  <si>
    <t>A005800</t>
  </si>
  <si>
    <t>A005801</t>
  </si>
  <si>
    <t>A005802</t>
  </si>
  <si>
    <t>A005803</t>
  </si>
  <si>
    <t>A005804</t>
  </si>
  <si>
    <t>A005805</t>
  </si>
  <si>
    <t>A005806</t>
  </si>
  <si>
    <t>A005807</t>
  </si>
  <si>
    <t>A005808</t>
  </si>
  <si>
    <t>A005809</t>
  </si>
  <si>
    <t>A005810</t>
  </si>
  <si>
    <t>A005811</t>
  </si>
  <si>
    <t>A005812</t>
  </si>
  <si>
    <t>A005813</t>
  </si>
  <si>
    <t>A005814</t>
  </si>
  <si>
    <t>A005815</t>
  </si>
  <si>
    <t>A005816</t>
  </si>
  <si>
    <t>A005817</t>
  </si>
  <si>
    <t>A005818</t>
  </si>
  <si>
    <t>A005819</t>
  </si>
  <si>
    <t>A005820</t>
  </si>
  <si>
    <t>A005821</t>
  </si>
  <si>
    <t>A005822</t>
  </si>
  <si>
    <t>A005823</t>
  </si>
  <si>
    <t>A005824</t>
  </si>
  <si>
    <t>A005825</t>
  </si>
  <si>
    <t>A005826</t>
  </si>
  <si>
    <t>A005827</t>
  </si>
  <si>
    <t>A005828</t>
  </si>
  <si>
    <t>A005829</t>
  </si>
  <si>
    <t>A005830</t>
  </si>
  <si>
    <t>A005831</t>
  </si>
  <si>
    <t>A005832</t>
  </si>
  <si>
    <t>A005833</t>
  </si>
  <si>
    <t>A005834</t>
  </si>
  <si>
    <t>A005835</t>
  </si>
  <si>
    <t>A005836</t>
  </si>
  <si>
    <t>A005837</t>
  </si>
  <si>
    <t>A005838</t>
  </si>
  <si>
    <t>A005839</t>
  </si>
  <si>
    <t>A005840</t>
  </si>
  <si>
    <t>A005841</t>
  </si>
  <si>
    <t>A005842</t>
  </si>
  <si>
    <t>A005843</t>
  </si>
  <si>
    <t>A005844</t>
  </si>
  <si>
    <t>A005845</t>
  </si>
  <si>
    <t>A005846</t>
  </si>
  <si>
    <t>A005847</t>
  </si>
  <si>
    <t>A005848</t>
  </si>
  <si>
    <t>A005849</t>
  </si>
  <si>
    <t>A005850</t>
  </si>
  <si>
    <t>A005851</t>
  </si>
  <si>
    <t>A005852</t>
  </si>
  <si>
    <t>A005853</t>
  </si>
  <si>
    <t>A005854</t>
  </si>
  <si>
    <t>A005855</t>
  </si>
  <si>
    <t>A005856</t>
  </si>
  <si>
    <t>A005857</t>
  </si>
  <si>
    <t>A005858</t>
  </si>
  <si>
    <t>A005859</t>
  </si>
  <si>
    <t>A005860</t>
  </si>
  <si>
    <t>A005861</t>
  </si>
  <si>
    <t>A005862</t>
  </si>
  <si>
    <t>A005863</t>
  </si>
  <si>
    <t>A005864</t>
  </si>
  <si>
    <t>A005865</t>
  </si>
  <si>
    <t>A005866</t>
  </si>
  <si>
    <t>A005867</t>
  </si>
  <si>
    <t>A005868</t>
  </si>
  <si>
    <t>A005869</t>
  </si>
  <si>
    <t>A005870</t>
  </si>
  <si>
    <t>A005871</t>
  </si>
  <si>
    <t>A005872</t>
  </si>
  <si>
    <t>A005873</t>
  </si>
  <si>
    <t>A005874</t>
  </si>
  <si>
    <t>A005875</t>
  </si>
  <si>
    <t>A005876</t>
  </si>
  <si>
    <t>A005877</t>
  </si>
  <si>
    <t>A005878</t>
  </si>
  <si>
    <t>A005879</t>
  </si>
  <si>
    <t>A005880</t>
  </si>
  <si>
    <t>A005881</t>
  </si>
  <si>
    <t>A005882</t>
  </si>
  <si>
    <t>A005883</t>
  </si>
  <si>
    <t>A005884</t>
  </si>
  <si>
    <t>A005885</t>
  </si>
  <si>
    <t>A005886</t>
  </si>
  <si>
    <t>A005887</t>
  </si>
  <si>
    <t>A005888</t>
  </si>
  <si>
    <t>A005889</t>
  </si>
  <si>
    <t>A005890</t>
  </si>
  <si>
    <t>A005891</t>
  </si>
  <si>
    <t>A005892</t>
  </si>
  <si>
    <t>A005893</t>
  </si>
  <si>
    <t>A005894</t>
  </si>
  <si>
    <t>A005895</t>
  </si>
  <si>
    <t>A005896</t>
  </si>
  <si>
    <t>A005897</t>
  </si>
  <si>
    <t>A005898</t>
  </si>
  <si>
    <t>A005899</t>
  </si>
  <si>
    <t>A005900</t>
  </si>
  <si>
    <t>A005901</t>
  </si>
  <si>
    <t>A005902</t>
  </si>
  <si>
    <t>A005903</t>
  </si>
  <si>
    <t>A005904</t>
  </si>
  <si>
    <t>A005905</t>
  </si>
  <si>
    <t>A005906</t>
  </si>
  <si>
    <t>A005907</t>
  </si>
  <si>
    <t>A005908</t>
  </si>
  <si>
    <t>A005909</t>
  </si>
  <si>
    <t>A005910</t>
  </si>
  <si>
    <t>A005911</t>
  </si>
  <si>
    <t>A005912</t>
  </si>
  <si>
    <t>A005913</t>
  </si>
  <si>
    <t>A005914</t>
  </si>
  <si>
    <t>A005915</t>
  </si>
  <si>
    <t>A005916</t>
  </si>
  <si>
    <t>A005917</t>
  </si>
  <si>
    <t>A005918</t>
  </si>
  <si>
    <t>A005919</t>
  </si>
  <si>
    <t>A005920</t>
  </si>
  <si>
    <t>A005921</t>
  </si>
  <si>
    <t>A005922</t>
  </si>
  <si>
    <t>A005923</t>
  </si>
  <si>
    <t>A005924</t>
  </si>
  <si>
    <t>A005925</t>
  </si>
  <si>
    <t>A005926</t>
  </si>
  <si>
    <t>A005927</t>
  </si>
  <si>
    <t>A005928</t>
  </si>
  <si>
    <t>A005929</t>
  </si>
  <si>
    <t>A005930</t>
  </si>
  <si>
    <t>A005931</t>
  </si>
  <si>
    <t>A005932</t>
  </si>
  <si>
    <t>A005933</t>
  </si>
  <si>
    <t>A005934</t>
  </si>
  <si>
    <t>A005935</t>
  </si>
  <si>
    <t>A005936</t>
  </si>
  <si>
    <t>A005937</t>
  </si>
  <si>
    <t>A005938</t>
  </si>
  <si>
    <t>A005939</t>
  </si>
  <si>
    <t>A005940</t>
  </si>
  <si>
    <t>A005941</t>
  </si>
  <si>
    <t>A005942</t>
  </si>
  <si>
    <t>A005943</t>
  </si>
  <si>
    <t>A005944</t>
  </si>
  <si>
    <t>A005945</t>
  </si>
  <si>
    <t>A005946</t>
  </si>
  <si>
    <t>A005947</t>
  </si>
  <si>
    <t>A005948</t>
  </si>
  <si>
    <t>A005949</t>
  </si>
  <si>
    <t>A005950</t>
  </si>
  <si>
    <t>A005951</t>
  </si>
  <si>
    <t>A005952</t>
  </si>
  <si>
    <t>A005953</t>
  </si>
  <si>
    <t>A005954</t>
  </si>
  <si>
    <t>A005955</t>
  </si>
  <si>
    <t>A005956</t>
  </si>
  <si>
    <t>A005957</t>
  </si>
  <si>
    <t>A005958</t>
  </si>
  <si>
    <t>A005959</t>
  </si>
  <si>
    <t>A005960</t>
  </si>
  <si>
    <t>A005961</t>
  </si>
  <si>
    <t>A005962</t>
  </si>
  <si>
    <t>A005963</t>
  </si>
  <si>
    <t>A005964</t>
  </si>
  <si>
    <t>A005965</t>
  </si>
  <si>
    <t>A005966</t>
  </si>
  <si>
    <t>A005967</t>
  </si>
  <si>
    <t>A005968</t>
  </si>
  <si>
    <t>A005969</t>
  </si>
  <si>
    <t>A005970</t>
  </si>
  <si>
    <t>A005971</t>
  </si>
  <si>
    <t>A005972</t>
  </si>
  <si>
    <t>A005973</t>
  </si>
  <si>
    <t>A005974</t>
  </si>
  <si>
    <t>A005975</t>
  </si>
  <si>
    <t>A005976</t>
  </si>
  <si>
    <t>A005977</t>
  </si>
  <si>
    <t>A005978</t>
  </si>
  <si>
    <t>A005979</t>
  </si>
  <si>
    <t>A005980</t>
  </si>
  <si>
    <t>A005981</t>
  </si>
  <si>
    <t>A005982</t>
  </si>
  <si>
    <t>A005983</t>
  </si>
  <si>
    <t>A005984</t>
  </si>
  <si>
    <t>A005985</t>
  </si>
  <si>
    <t>A005986</t>
  </si>
  <si>
    <t>A005987</t>
  </si>
  <si>
    <t>A005988</t>
  </si>
  <si>
    <t>A005989</t>
  </si>
  <si>
    <t>A005990</t>
  </si>
  <si>
    <t>A005991</t>
  </si>
  <si>
    <t>A005992</t>
  </si>
  <si>
    <t>A005993</t>
  </si>
  <si>
    <t>A005994</t>
  </si>
  <si>
    <t>A005995</t>
  </si>
  <si>
    <t>A005996</t>
  </si>
  <si>
    <t>A005997</t>
  </si>
  <si>
    <t>A005998</t>
  </si>
  <si>
    <t>A005999</t>
  </si>
  <si>
    <t>A006000</t>
  </si>
  <si>
    <t>A006001</t>
  </si>
  <si>
    <t>A006002</t>
  </si>
  <si>
    <t>A006003</t>
  </si>
  <si>
    <t>A006004</t>
  </si>
  <si>
    <t>A006005</t>
  </si>
  <si>
    <t>A006006</t>
  </si>
  <si>
    <t>A006007</t>
  </si>
  <si>
    <t>A006008</t>
  </si>
  <si>
    <t>A006009</t>
  </si>
  <si>
    <t>A006010</t>
  </si>
  <si>
    <t>A006011</t>
  </si>
  <si>
    <t>A006012</t>
  </si>
  <si>
    <t>A006013</t>
  </si>
  <si>
    <t>A006014</t>
  </si>
  <si>
    <t>A006015</t>
  </si>
  <si>
    <t>A006016</t>
  </si>
  <si>
    <t>A006017</t>
  </si>
  <si>
    <t>A006018</t>
  </si>
  <si>
    <t>A006019</t>
  </si>
  <si>
    <t>A006020</t>
  </si>
  <si>
    <t>A006021</t>
  </si>
  <si>
    <t>A006022</t>
  </si>
  <si>
    <t>A006023</t>
  </si>
  <si>
    <t>A006024</t>
  </si>
  <si>
    <t>A006025</t>
  </si>
  <si>
    <t>A006026</t>
  </si>
  <si>
    <t>A006027</t>
  </si>
  <si>
    <t>A006028</t>
  </si>
  <si>
    <t>A006029</t>
  </si>
  <si>
    <t>A006030</t>
  </si>
  <si>
    <t>A006031</t>
  </si>
  <si>
    <t>A006032</t>
  </si>
  <si>
    <t>A006033</t>
  </si>
  <si>
    <t>A006034</t>
  </si>
  <si>
    <t>A006035</t>
  </si>
  <si>
    <t>A006036</t>
  </si>
  <si>
    <t>A006037</t>
  </si>
  <si>
    <t>A006038</t>
  </si>
  <si>
    <t>A006039</t>
  </si>
  <si>
    <t>A006040</t>
  </si>
  <si>
    <t>A006041</t>
  </si>
  <si>
    <t>A006042</t>
  </si>
  <si>
    <t>A006043</t>
  </si>
  <si>
    <t>A006044</t>
  </si>
  <si>
    <t>A006045</t>
  </si>
  <si>
    <t>A006046</t>
  </si>
  <si>
    <t>A006047</t>
  </si>
  <si>
    <t>A006048</t>
  </si>
  <si>
    <t>A006049</t>
  </si>
  <si>
    <t>A006050</t>
  </si>
  <si>
    <t>A006051</t>
  </si>
  <si>
    <t>A006052</t>
  </si>
  <si>
    <t>A006053</t>
  </si>
  <si>
    <t>A006054</t>
  </si>
  <si>
    <t>A006055</t>
  </si>
  <si>
    <t>A006056</t>
  </si>
  <si>
    <t>A006057</t>
  </si>
  <si>
    <t>A006058</t>
  </si>
  <si>
    <t>A006059</t>
  </si>
  <si>
    <t>A006060</t>
  </si>
  <si>
    <t>A006061</t>
  </si>
  <si>
    <t>A006062</t>
  </si>
  <si>
    <t>A006063</t>
  </si>
  <si>
    <t>A006064</t>
  </si>
  <si>
    <t>A006065</t>
  </si>
  <si>
    <t>A006066</t>
  </si>
  <si>
    <t>A006067</t>
  </si>
  <si>
    <t>A006068</t>
  </si>
  <si>
    <t>A006069</t>
  </si>
  <si>
    <t>A006070</t>
  </si>
  <si>
    <t>A006071</t>
  </si>
  <si>
    <t>A006072</t>
  </si>
  <si>
    <t>A006073</t>
  </si>
  <si>
    <t>A006074</t>
  </si>
  <si>
    <t>A006075</t>
  </si>
  <si>
    <t>A006076</t>
  </si>
  <si>
    <t>A006077</t>
  </si>
  <si>
    <t>A006078</t>
  </si>
  <si>
    <t>A006079</t>
  </si>
  <si>
    <t>A006080</t>
  </si>
  <si>
    <t>A006081</t>
  </si>
  <si>
    <t>A006082</t>
  </si>
  <si>
    <t>A006083</t>
  </si>
  <si>
    <t>A006084</t>
  </si>
  <si>
    <t>A006085</t>
  </si>
  <si>
    <t>A006086</t>
  </si>
  <si>
    <t>A006087</t>
  </si>
  <si>
    <t>A006088</t>
  </si>
  <si>
    <t>A006089</t>
  </si>
  <si>
    <t>A006090</t>
  </si>
  <si>
    <t>A006091</t>
  </si>
  <si>
    <t>A006092</t>
  </si>
  <si>
    <t>A006093</t>
  </si>
  <si>
    <t>A006094</t>
  </si>
  <si>
    <t>A006095</t>
  </si>
  <si>
    <t>A006096</t>
  </si>
  <si>
    <t>A006097</t>
  </si>
  <si>
    <t>A006098</t>
  </si>
  <si>
    <t>A006099</t>
  </si>
  <si>
    <t>A006100</t>
  </si>
  <si>
    <t>A006101</t>
  </si>
  <si>
    <t>A006102</t>
  </si>
  <si>
    <t>A006103</t>
  </si>
  <si>
    <t>A006104</t>
  </si>
  <si>
    <t>A006105</t>
  </si>
  <si>
    <t>A006106</t>
  </si>
  <si>
    <t>A006107</t>
  </si>
  <si>
    <t>A006108</t>
  </si>
  <si>
    <t>A006109</t>
  </si>
  <si>
    <t>A006110</t>
  </si>
  <si>
    <t>A006111</t>
  </si>
  <si>
    <t>A006112</t>
  </si>
  <si>
    <t>A006113</t>
  </si>
  <si>
    <t>A006114</t>
  </si>
  <si>
    <t>A006115</t>
  </si>
  <si>
    <t>A006116</t>
  </si>
  <si>
    <t>A006117</t>
  </si>
  <si>
    <t>A006118</t>
  </si>
  <si>
    <t>A006119</t>
  </si>
  <si>
    <t>A006120</t>
  </si>
  <si>
    <t>A006121</t>
  </si>
  <si>
    <t>A006122</t>
  </si>
  <si>
    <t>A006123</t>
  </si>
  <si>
    <t>A006124</t>
  </si>
  <si>
    <t>A006125</t>
  </si>
  <si>
    <t>A006126</t>
  </si>
  <si>
    <t>A006127</t>
  </si>
  <si>
    <t>A006128</t>
  </si>
  <si>
    <t>A006129</t>
  </si>
  <si>
    <t>A006130</t>
  </si>
  <si>
    <t>A006131</t>
  </si>
  <si>
    <t>A006132</t>
  </si>
  <si>
    <t>A006133</t>
  </si>
  <si>
    <t>A006134</t>
  </si>
  <si>
    <t>A006135</t>
  </si>
  <si>
    <t>A006136</t>
  </si>
  <si>
    <t>A006137</t>
  </si>
  <si>
    <t>A006138</t>
  </si>
  <si>
    <t>A006139</t>
  </si>
  <si>
    <t>A006140</t>
  </si>
  <si>
    <t>A006141</t>
  </si>
  <si>
    <t>A006142</t>
  </si>
  <si>
    <t>A006143</t>
  </si>
  <si>
    <t>A006144</t>
  </si>
  <si>
    <t>A006145</t>
  </si>
  <si>
    <t>A006146</t>
  </si>
  <si>
    <t>A006147</t>
  </si>
  <si>
    <t>A006148</t>
  </si>
  <si>
    <t>A006149</t>
  </si>
  <si>
    <t>A006150</t>
  </si>
  <si>
    <t>A006151</t>
  </si>
  <si>
    <t>A006152</t>
  </si>
  <si>
    <t>A006153</t>
  </si>
  <si>
    <t>A006154</t>
  </si>
  <si>
    <t>A006155</t>
  </si>
  <si>
    <t>A006156</t>
  </si>
  <si>
    <t>A006157</t>
  </si>
  <si>
    <t>A006158</t>
  </si>
  <si>
    <t>A006159</t>
  </si>
  <si>
    <t>A006160</t>
  </si>
  <si>
    <t>A006161</t>
  </si>
  <si>
    <t>A006162</t>
  </si>
  <si>
    <t>A006163</t>
  </si>
  <si>
    <t>A006164</t>
  </si>
  <si>
    <t>A006165</t>
  </si>
  <si>
    <t>A006166</t>
  </si>
  <si>
    <t>A006167</t>
  </si>
  <si>
    <t>A006168</t>
  </si>
  <si>
    <t>A006169</t>
  </si>
  <si>
    <t>A006170</t>
  </si>
  <si>
    <t>A006171</t>
  </si>
  <si>
    <t>A006172</t>
  </si>
  <si>
    <t>A006173</t>
  </si>
  <si>
    <t>A006174</t>
  </si>
  <si>
    <t>A006175</t>
  </si>
  <si>
    <t>A006176</t>
  </si>
  <si>
    <t>A006177</t>
  </si>
  <si>
    <t>A006178</t>
  </si>
  <si>
    <t>A006179</t>
  </si>
  <si>
    <t>A006180</t>
  </si>
  <si>
    <t>A006181</t>
  </si>
  <si>
    <t>A006182</t>
  </si>
  <si>
    <t>A006183</t>
  </si>
  <si>
    <t>A006184</t>
  </si>
  <si>
    <t>A006185</t>
  </si>
  <si>
    <t>A006186</t>
  </si>
  <si>
    <t>A006187</t>
  </si>
  <si>
    <t>A006188</t>
  </si>
  <si>
    <t>A006189</t>
  </si>
  <si>
    <t>A006190</t>
  </si>
  <si>
    <t>A006191</t>
  </si>
  <si>
    <t>A006192</t>
  </si>
  <si>
    <t>A006193</t>
  </si>
  <si>
    <t>A006194</t>
  </si>
  <si>
    <t>A006195</t>
  </si>
  <si>
    <t>A006196</t>
  </si>
  <si>
    <t>A006197</t>
  </si>
  <si>
    <t>A006198</t>
  </si>
  <si>
    <t>A006199</t>
  </si>
  <si>
    <t>A006200</t>
  </si>
  <si>
    <t>A006201</t>
  </si>
  <si>
    <t>A006202</t>
  </si>
  <si>
    <t>A006203</t>
  </si>
  <si>
    <t>A006204</t>
  </si>
  <si>
    <t>A006205</t>
  </si>
  <si>
    <t>A006206</t>
  </si>
  <si>
    <t>A006207</t>
  </si>
  <si>
    <t>A006208</t>
  </si>
  <si>
    <t>A006209</t>
  </si>
  <si>
    <t>A006210</t>
  </si>
  <si>
    <t>A006211</t>
  </si>
  <si>
    <t>A006212</t>
  </si>
  <si>
    <t>A006213</t>
  </si>
  <si>
    <t>A006214</t>
  </si>
  <si>
    <t>A006215</t>
  </si>
  <si>
    <t>A006216</t>
  </si>
  <si>
    <t>A006217</t>
  </si>
  <si>
    <t>A006218</t>
  </si>
  <si>
    <t>A006219</t>
  </si>
  <si>
    <t>A006220</t>
  </si>
  <si>
    <t>A006221</t>
  </si>
  <si>
    <t>A006222</t>
  </si>
  <si>
    <t>A006223</t>
  </si>
  <si>
    <t>A006224</t>
  </si>
  <si>
    <t>A006225</t>
  </si>
  <si>
    <t>A006226</t>
  </si>
  <si>
    <t>A006227</t>
  </si>
  <si>
    <t>A006228</t>
  </si>
  <si>
    <t>A006229</t>
  </si>
  <si>
    <t>A006230</t>
  </si>
  <si>
    <t>A006231</t>
  </si>
  <si>
    <t>A006232</t>
  </si>
  <si>
    <t>A006233</t>
  </si>
  <si>
    <t>A006234</t>
  </si>
  <si>
    <t>A006235</t>
  </si>
  <si>
    <t>A006236</t>
  </si>
  <si>
    <t>A006237</t>
  </si>
  <si>
    <t>A006238</t>
  </si>
  <si>
    <t>A006239</t>
  </si>
  <si>
    <t>A006240</t>
  </si>
  <si>
    <t>A006241</t>
  </si>
  <si>
    <t>A006242</t>
  </si>
  <si>
    <t>A006243</t>
  </si>
  <si>
    <t>A006244</t>
  </si>
  <si>
    <t>A006245</t>
  </si>
  <si>
    <t>A006246</t>
  </si>
  <si>
    <t>A006247</t>
  </si>
  <si>
    <t>A006248</t>
  </si>
  <si>
    <t>A006249</t>
  </si>
  <si>
    <t>A006250</t>
  </si>
  <si>
    <t>A006251</t>
  </si>
  <si>
    <t>A006252</t>
  </si>
  <si>
    <t>A006253</t>
  </si>
  <si>
    <t>A006254</t>
  </si>
  <si>
    <t>A006255</t>
  </si>
  <si>
    <t>A006256</t>
  </si>
  <si>
    <t>A006257</t>
  </si>
  <si>
    <t>A006258</t>
  </si>
  <si>
    <t>A006259</t>
  </si>
  <si>
    <t>A006260</t>
  </si>
  <si>
    <t>A006261</t>
  </si>
  <si>
    <t>A006262</t>
  </si>
  <si>
    <t>A006263</t>
  </si>
  <si>
    <t>A006264</t>
  </si>
  <si>
    <t>A006265</t>
  </si>
  <si>
    <t>A006266</t>
  </si>
  <si>
    <t>A006267</t>
  </si>
  <si>
    <t>A006268</t>
  </si>
  <si>
    <t>A006269</t>
  </si>
  <si>
    <t>A006270</t>
  </si>
  <si>
    <t>A006271</t>
  </si>
  <si>
    <t>A006272</t>
  </si>
  <si>
    <t>A006273</t>
  </si>
  <si>
    <t>A006274</t>
  </si>
  <si>
    <t>A006275</t>
  </si>
  <si>
    <t>A006276</t>
  </si>
  <si>
    <t>A006277</t>
  </si>
  <si>
    <t>A006278</t>
  </si>
  <si>
    <t>A006279</t>
  </si>
  <si>
    <t>A006280</t>
  </si>
  <si>
    <t>A006281</t>
  </si>
  <si>
    <t>A006282</t>
  </si>
  <si>
    <t>A006283</t>
  </si>
  <si>
    <t>A006284</t>
  </si>
  <si>
    <t>A006285</t>
  </si>
  <si>
    <t>A006286</t>
  </si>
  <si>
    <t>A006287</t>
  </si>
  <si>
    <t>A006288</t>
  </si>
  <si>
    <t>A006289</t>
  </si>
  <si>
    <t>A006290</t>
  </si>
  <si>
    <t>A006291</t>
  </si>
  <si>
    <t>A006292</t>
  </si>
  <si>
    <t>A006293</t>
  </si>
  <si>
    <t>A006294</t>
  </si>
  <si>
    <t>A006295</t>
  </si>
  <si>
    <t>A006296</t>
  </si>
  <si>
    <t>A006297</t>
  </si>
  <si>
    <t>A006298</t>
  </si>
  <si>
    <t>A006299</t>
  </si>
  <si>
    <t>A006300</t>
  </si>
  <si>
    <t>A006301</t>
  </si>
  <si>
    <t>A006302</t>
  </si>
  <si>
    <t>A006303</t>
  </si>
  <si>
    <t>A006304</t>
  </si>
  <si>
    <t>A006305</t>
  </si>
  <si>
    <t>A006306</t>
  </si>
  <si>
    <t>A006307</t>
  </si>
  <si>
    <t>A006308</t>
  </si>
  <si>
    <t>A006309</t>
  </si>
  <si>
    <t>A006310</t>
  </si>
  <si>
    <t>A006311</t>
  </si>
  <si>
    <t>A006312</t>
  </si>
  <si>
    <t>A006313</t>
  </si>
  <si>
    <t>A006314</t>
  </si>
  <si>
    <t>A006315</t>
  </si>
  <si>
    <t>A006316</t>
  </si>
  <si>
    <t>A006317</t>
  </si>
  <si>
    <t>A006318</t>
  </si>
  <si>
    <t>A006319</t>
  </si>
  <si>
    <t>A006320</t>
  </si>
  <si>
    <t>A006321</t>
  </si>
  <si>
    <t>A006322</t>
  </si>
  <si>
    <t>A006323</t>
  </si>
  <si>
    <t>A006324</t>
  </si>
  <si>
    <t>A006325</t>
  </si>
  <si>
    <t>A006326</t>
  </si>
  <si>
    <t>A006327</t>
  </si>
  <si>
    <t>A006328</t>
  </si>
  <si>
    <t>A006329</t>
  </si>
  <si>
    <t>A006330</t>
  </si>
  <si>
    <t>A006331</t>
  </si>
  <si>
    <t>A006332</t>
  </si>
  <si>
    <t>A006333</t>
  </si>
  <si>
    <t>A006334</t>
  </si>
  <si>
    <t>A006335</t>
  </si>
  <si>
    <t>A006336</t>
  </si>
  <si>
    <t>A006337</t>
  </si>
  <si>
    <t>A006338</t>
  </si>
  <si>
    <t>A006339</t>
  </si>
  <si>
    <t>A006340</t>
  </si>
  <si>
    <t>A006341</t>
  </si>
  <si>
    <t>A006342</t>
  </si>
  <si>
    <t>A006343</t>
  </si>
  <si>
    <t>A006344</t>
  </si>
  <si>
    <t>A006345</t>
  </si>
  <si>
    <t>A006346</t>
  </si>
  <si>
    <t>A006347</t>
  </si>
  <si>
    <t>A006348</t>
  </si>
  <si>
    <t>A006349</t>
  </si>
  <si>
    <t>A006350</t>
  </si>
  <si>
    <t>A006351</t>
  </si>
  <si>
    <t>A006352</t>
  </si>
  <si>
    <t>A006353</t>
  </si>
  <si>
    <t>A006354</t>
  </si>
  <si>
    <t>A006355</t>
  </si>
  <si>
    <t>A006356</t>
  </si>
  <si>
    <t>A006357</t>
  </si>
  <si>
    <t>A006358</t>
  </si>
  <si>
    <t>A006359</t>
  </si>
  <si>
    <t>A006360</t>
  </si>
  <si>
    <t>A006361</t>
  </si>
  <si>
    <t>A006362</t>
  </si>
  <si>
    <t>A006363</t>
  </si>
  <si>
    <t>A006364</t>
  </si>
  <si>
    <t>A006365</t>
  </si>
  <si>
    <t>A006366</t>
  </si>
  <si>
    <t>A006367</t>
  </si>
  <si>
    <t>A006368</t>
  </si>
  <si>
    <t>A006369</t>
  </si>
  <si>
    <t>A006370</t>
  </si>
  <si>
    <t>A006371</t>
  </si>
  <si>
    <t>A006372</t>
  </si>
  <si>
    <t>A006373</t>
  </si>
  <si>
    <t>A006374</t>
  </si>
  <si>
    <t>A006375</t>
  </si>
  <si>
    <t>A006376</t>
  </si>
  <si>
    <t>A006377</t>
  </si>
  <si>
    <t>A006378</t>
  </si>
  <si>
    <t>A006379</t>
  </si>
  <si>
    <t>A006380</t>
  </si>
  <si>
    <t>A006381</t>
  </si>
  <si>
    <t>A006382</t>
  </si>
  <si>
    <t>A006383</t>
  </si>
  <si>
    <t>A006384</t>
  </si>
  <si>
    <t>A006385</t>
  </si>
  <si>
    <t>A006386</t>
  </si>
  <si>
    <t>A006387</t>
  </si>
  <si>
    <t>A006388</t>
  </si>
  <si>
    <t>A006389</t>
  </si>
  <si>
    <t>A006390</t>
  </si>
  <si>
    <t>A006391</t>
  </si>
  <si>
    <t>A006392</t>
  </si>
  <si>
    <t>A006393</t>
  </si>
  <si>
    <t>A006394</t>
  </si>
  <si>
    <t>A006395</t>
  </si>
  <si>
    <t>A006396</t>
  </si>
  <si>
    <t>A006397</t>
  </si>
  <si>
    <t>A006398</t>
  </si>
  <si>
    <t>A006399</t>
  </si>
  <si>
    <t>A006400</t>
  </si>
  <si>
    <t>A006401</t>
  </si>
  <si>
    <t>A006402</t>
  </si>
  <si>
    <t>A006403</t>
  </si>
  <si>
    <t>A006404</t>
  </si>
  <si>
    <t>A006405</t>
  </si>
  <si>
    <t>A006406</t>
  </si>
  <si>
    <t>A006407</t>
  </si>
  <si>
    <t>A006408</t>
  </si>
  <si>
    <t>A006409</t>
  </si>
  <si>
    <t>A006410</t>
  </si>
  <si>
    <t>A006411</t>
  </si>
  <si>
    <t>A006412</t>
  </si>
  <si>
    <t>A006413</t>
  </si>
  <si>
    <t>A006414</t>
  </si>
  <si>
    <t>A006415</t>
  </si>
  <si>
    <t>A006416</t>
  </si>
  <si>
    <t>A006417</t>
  </si>
  <si>
    <t>A006418</t>
  </si>
  <si>
    <t>A006419</t>
  </si>
  <si>
    <t>A006420</t>
  </si>
  <si>
    <t>A006421</t>
  </si>
  <si>
    <t>A006422</t>
  </si>
  <si>
    <t>A006423</t>
  </si>
  <si>
    <t>A006424</t>
  </si>
  <si>
    <t>A006425</t>
  </si>
  <si>
    <t>A006426</t>
  </si>
  <si>
    <t>A006427</t>
  </si>
  <si>
    <t>A006428</t>
  </si>
  <si>
    <t>A006429</t>
  </si>
  <si>
    <t>A006430</t>
  </si>
  <si>
    <t>A006431</t>
  </si>
  <si>
    <t>A006432</t>
  </si>
  <si>
    <t>A006433</t>
  </si>
  <si>
    <t>A006434</t>
  </si>
  <si>
    <t>A006435</t>
  </si>
  <si>
    <t>A006436</t>
  </si>
  <si>
    <t>A006437</t>
  </si>
  <si>
    <t>A006438</t>
  </si>
  <si>
    <t>A006439</t>
  </si>
  <si>
    <t>A006440</t>
  </si>
  <si>
    <t>A006441</t>
  </si>
  <si>
    <t>A006442</t>
  </si>
  <si>
    <t>A006443</t>
  </si>
  <si>
    <t>A006444</t>
  </si>
  <si>
    <t>A006445</t>
  </si>
  <si>
    <t>A006446</t>
  </si>
  <si>
    <t>A006447</t>
  </si>
  <si>
    <t>A006448</t>
  </si>
  <si>
    <t>A006449</t>
  </si>
  <si>
    <t>A006450</t>
  </si>
  <si>
    <t>A006451</t>
  </si>
  <si>
    <t>A006452</t>
  </si>
  <si>
    <t>A006453</t>
  </si>
  <si>
    <t>A006454</t>
  </si>
  <si>
    <t>A006455</t>
  </si>
  <si>
    <t>A006456</t>
  </si>
  <si>
    <t>A006457</t>
  </si>
  <si>
    <t>A006458</t>
  </si>
  <si>
    <t>A006459</t>
  </si>
  <si>
    <t>A006460</t>
  </si>
  <si>
    <t>A006461</t>
  </si>
  <si>
    <t>A006462</t>
  </si>
  <si>
    <t>A006463</t>
  </si>
  <si>
    <t>A006464</t>
  </si>
  <si>
    <t>A006465</t>
  </si>
  <si>
    <t>A006466</t>
  </si>
  <si>
    <t>A006467</t>
  </si>
  <si>
    <t>A006468</t>
  </si>
  <si>
    <t>A006469</t>
  </si>
  <si>
    <t>A006470</t>
  </si>
  <si>
    <t>A006471</t>
  </si>
  <si>
    <t>A006472</t>
  </si>
  <si>
    <t>A006473</t>
  </si>
  <si>
    <t>A006474</t>
  </si>
  <si>
    <t>A006475</t>
  </si>
  <si>
    <t>A006476</t>
  </si>
  <si>
    <t>A006477</t>
  </si>
  <si>
    <t>A006478</t>
  </si>
  <si>
    <t>A006479</t>
  </si>
  <si>
    <t>A006480</t>
  </si>
  <si>
    <t>A006481</t>
  </si>
  <si>
    <t>A006482</t>
  </si>
  <si>
    <t>A006483</t>
  </si>
  <si>
    <t>A006484</t>
  </si>
  <si>
    <t>A006485</t>
  </si>
  <si>
    <t>A006486</t>
  </si>
  <si>
    <t>A006487</t>
  </si>
  <si>
    <t>A006488</t>
  </si>
  <si>
    <t>A006489</t>
  </si>
  <si>
    <t>A006490</t>
  </si>
  <si>
    <t>A006491</t>
  </si>
  <si>
    <t>A006492</t>
  </si>
  <si>
    <t>A006493</t>
  </si>
  <si>
    <t>A006494</t>
  </si>
  <si>
    <t>A006495</t>
  </si>
  <si>
    <t>A006496</t>
  </si>
  <si>
    <t>A006497</t>
  </si>
  <si>
    <t>A006498</t>
  </si>
  <si>
    <t>A006499</t>
  </si>
  <si>
    <t>A006500</t>
  </si>
  <si>
    <t>A006501</t>
  </si>
  <si>
    <t>A006502</t>
  </si>
  <si>
    <t>A006503</t>
  </si>
  <si>
    <t>A006504</t>
  </si>
  <si>
    <t>A006505</t>
  </si>
  <si>
    <t>A006506</t>
  </si>
  <si>
    <t>A006507</t>
  </si>
  <si>
    <t>A006508</t>
  </si>
  <si>
    <t>A006509</t>
  </si>
  <si>
    <t>A006510</t>
  </si>
  <si>
    <t>A006511</t>
  </si>
  <si>
    <t>A006512</t>
  </si>
  <si>
    <t>A006513</t>
  </si>
  <si>
    <t>A006514</t>
  </si>
  <si>
    <t>A006515</t>
  </si>
  <si>
    <t>A006516</t>
  </si>
  <si>
    <t>A006517</t>
  </si>
  <si>
    <t>A006518</t>
  </si>
  <si>
    <t>A006519</t>
  </si>
  <si>
    <t>A006520</t>
  </si>
  <si>
    <t>A006521</t>
  </si>
  <si>
    <t>A006522</t>
  </si>
  <si>
    <t>A006523</t>
  </si>
  <si>
    <t>A006524</t>
  </si>
  <si>
    <t>A006525</t>
  </si>
  <si>
    <t>A006526</t>
  </si>
  <si>
    <t>A006527</t>
  </si>
  <si>
    <t>A006528</t>
  </si>
  <si>
    <t>A006529</t>
  </si>
  <si>
    <t>A006530</t>
  </si>
  <si>
    <t>A006531</t>
  </si>
  <si>
    <t>A006532</t>
  </si>
  <si>
    <t>A006533</t>
  </si>
  <si>
    <t>A006534</t>
  </si>
  <si>
    <t>A006535</t>
  </si>
  <si>
    <t>A006536</t>
  </si>
  <si>
    <t>A006537</t>
  </si>
  <si>
    <t>A006538</t>
  </si>
  <si>
    <t>A006539</t>
  </si>
  <si>
    <t>A006540</t>
  </si>
  <si>
    <t>A006541</t>
  </si>
  <si>
    <t>A006542</t>
  </si>
  <si>
    <t>A006543</t>
  </si>
  <si>
    <t>A006544</t>
  </si>
  <si>
    <t>A006545</t>
  </si>
  <si>
    <t>A006546</t>
  </si>
  <si>
    <t>A006547</t>
  </si>
  <si>
    <t>A006548</t>
  </si>
  <si>
    <t>A006549</t>
  </si>
  <si>
    <t>A006550</t>
  </si>
  <si>
    <t>A006551</t>
  </si>
  <si>
    <t>A006552</t>
  </si>
  <si>
    <t>A006553</t>
  </si>
  <si>
    <t>A006554</t>
  </si>
  <si>
    <t>A006555</t>
  </si>
  <si>
    <t>A006556</t>
  </si>
  <si>
    <t>A006557</t>
  </si>
  <si>
    <t>A006558</t>
  </si>
  <si>
    <t>A006559</t>
  </si>
  <si>
    <t>A006560</t>
  </si>
  <si>
    <t>A006561</t>
  </si>
  <si>
    <t>A006562</t>
  </si>
  <si>
    <t>A006563</t>
  </si>
  <si>
    <t>A006564</t>
  </si>
  <si>
    <t>A006565</t>
  </si>
  <si>
    <t>A006566</t>
  </si>
  <si>
    <t>A006567</t>
  </si>
  <si>
    <t>A006568</t>
  </si>
  <si>
    <t>A006569</t>
  </si>
  <si>
    <t>A006570</t>
  </si>
  <si>
    <t>A006571</t>
  </si>
  <si>
    <t>A006572</t>
  </si>
  <si>
    <t>A006573</t>
  </si>
  <si>
    <t>A006574</t>
  </si>
  <si>
    <t>A006575</t>
  </si>
  <si>
    <t>A006576</t>
  </si>
  <si>
    <t>A006577</t>
  </si>
  <si>
    <t>A006578</t>
  </si>
  <si>
    <t>A006579</t>
  </si>
  <si>
    <t>A006580</t>
  </si>
  <si>
    <t>A006581</t>
  </si>
  <si>
    <t>A006582</t>
  </si>
  <si>
    <t>A006583</t>
  </si>
  <si>
    <t>A006584</t>
  </si>
  <si>
    <t>A006585</t>
  </si>
  <si>
    <t>A006586</t>
  </si>
  <si>
    <t>A006587</t>
  </si>
  <si>
    <t>A006588</t>
  </si>
  <si>
    <t>A006589</t>
  </si>
  <si>
    <t>A006590</t>
  </si>
  <si>
    <t>A006591</t>
  </si>
  <si>
    <t>A006592</t>
  </si>
  <si>
    <t>A006593</t>
  </si>
  <si>
    <t>A006594</t>
  </si>
  <si>
    <t>A006595</t>
  </si>
  <si>
    <t>A006596</t>
  </si>
  <si>
    <t>A006597</t>
  </si>
  <si>
    <t>A006598</t>
  </si>
  <si>
    <t>A006599</t>
  </si>
  <si>
    <t>A006600</t>
  </si>
  <si>
    <t>A006601</t>
  </si>
  <si>
    <t>A006602</t>
  </si>
  <si>
    <t>A006603</t>
  </si>
  <si>
    <t>A006604</t>
  </si>
  <si>
    <t>A006605</t>
  </si>
  <si>
    <t>A006606</t>
  </si>
  <si>
    <t>A006607</t>
  </si>
  <si>
    <t>A006608</t>
  </si>
  <si>
    <t>A006609</t>
  </si>
  <si>
    <t>A006610</t>
  </si>
  <si>
    <t>A006611</t>
  </si>
  <si>
    <t>A006612</t>
  </si>
  <si>
    <t>A006613</t>
  </si>
  <si>
    <t>A006614</t>
  </si>
  <si>
    <t>A006615</t>
  </si>
  <si>
    <t>A006616</t>
  </si>
  <si>
    <t>A006617</t>
  </si>
  <si>
    <t>A006618</t>
  </si>
  <si>
    <t>A006619</t>
  </si>
  <si>
    <t>A006620</t>
  </si>
  <si>
    <t>A006621</t>
  </si>
  <si>
    <t>A006622</t>
  </si>
  <si>
    <t>A006623</t>
  </si>
  <si>
    <t>A006624</t>
  </si>
  <si>
    <t>A006625</t>
  </si>
  <si>
    <t>A006626</t>
  </si>
  <si>
    <t>A006627</t>
  </si>
  <si>
    <t>A006628</t>
  </si>
  <si>
    <t>A006629</t>
  </si>
  <si>
    <t>A006630</t>
  </si>
  <si>
    <t>A006631</t>
  </si>
  <si>
    <t>A006632</t>
  </si>
  <si>
    <t>A006633</t>
  </si>
  <si>
    <t>A006634</t>
  </si>
  <si>
    <t>A006635</t>
  </si>
  <si>
    <t>A006636</t>
  </si>
  <si>
    <t>A006637</t>
  </si>
  <si>
    <t>A006638</t>
  </si>
  <si>
    <t>A006639</t>
  </si>
  <si>
    <t>A006640</t>
  </si>
  <si>
    <t>A006641</t>
  </si>
  <si>
    <t>A006642</t>
  </si>
  <si>
    <t>A006643</t>
  </si>
  <si>
    <t>A006644</t>
  </si>
  <si>
    <t>A006645</t>
  </si>
  <si>
    <t>A006646</t>
  </si>
  <si>
    <t>A006647</t>
  </si>
  <si>
    <t>A006648</t>
  </si>
  <si>
    <t>A006649</t>
  </si>
  <si>
    <t>A006650</t>
  </si>
  <si>
    <t>A006651</t>
  </si>
  <si>
    <t>A006652</t>
  </si>
  <si>
    <t>A006653</t>
  </si>
  <si>
    <t>A006654</t>
  </si>
  <si>
    <t>A006655</t>
  </si>
  <si>
    <t>A006656</t>
  </si>
  <si>
    <t>A006657</t>
  </si>
  <si>
    <t>A006658</t>
  </si>
  <si>
    <t>A006659</t>
  </si>
  <si>
    <t>A006660</t>
  </si>
  <si>
    <t>A006661</t>
  </si>
  <si>
    <t>A006662</t>
  </si>
  <si>
    <t>A006663</t>
  </si>
  <si>
    <t>A006664</t>
  </si>
  <si>
    <t>A006665</t>
  </si>
  <si>
    <t>A006666</t>
  </si>
  <si>
    <t>A006667</t>
  </si>
  <si>
    <t>A006668</t>
  </si>
  <si>
    <t>A006669</t>
  </si>
  <si>
    <t>A006670</t>
  </si>
  <si>
    <t>A006671</t>
  </si>
  <si>
    <t>A006672</t>
  </si>
  <si>
    <t>A006673</t>
  </si>
  <si>
    <t>A006674</t>
  </si>
  <si>
    <t>A006675</t>
  </si>
  <si>
    <t>A006676</t>
  </si>
  <si>
    <t>A006677</t>
  </si>
  <si>
    <t>A006678</t>
  </si>
  <si>
    <t>A006679</t>
  </si>
  <si>
    <t>A006680</t>
  </si>
  <si>
    <t>A006681</t>
  </si>
  <si>
    <t>A006682</t>
  </si>
  <si>
    <t>A006683</t>
  </si>
  <si>
    <t>A006684</t>
  </si>
  <si>
    <t>A006685</t>
  </si>
  <si>
    <t>A006686</t>
  </si>
  <si>
    <t>A006687</t>
  </si>
  <si>
    <t>A006688</t>
  </si>
  <si>
    <t>A006689</t>
  </si>
  <si>
    <t>A006690</t>
  </si>
  <si>
    <t>A006691</t>
  </si>
  <si>
    <t>A006692</t>
  </si>
  <si>
    <t>A006693</t>
  </si>
  <si>
    <t>A006694</t>
  </si>
  <si>
    <t>A006695</t>
  </si>
  <si>
    <t>A006696</t>
  </si>
  <si>
    <t>A006697</t>
  </si>
  <si>
    <t>A006698</t>
  </si>
  <si>
    <t>A006699</t>
  </si>
  <si>
    <t>A006700</t>
  </si>
  <si>
    <t>A006701</t>
  </si>
  <si>
    <t>A006702</t>
  </si>
  <si>
    <t>A006703</t>
  </si>
  <si>
    <t>A006704</t>
  </si>
  <si>
    <t>A006705</t>
  </si>
  <si>
    <t>A006706</t>
  </si>
  <si>
    <t>A006707</t>
  </si>
  <si>
    <t>A006708</t>
  </si>
  <si>
    <t>A006709</t>
  </si>
  <si>
    <t>A006710</t>
  </si>
  <si>
    <t>A006711</t>
  </si>
  <si>
    <t>A006712</t>
  </si>
  <si>
    <t>A006713</t>
  </si>
  <si>
    <t>A006714</t>
  </si>
  <si>
    <t>A006715</t>
  </si>
  <si>
    <t>A006716</t>
  </si>
  <si>
    <t>A006717</t>
  </si>
  <si>
    <t>A006718</t>
  </si>
  <si>
    <t>A006719</t>
  </si>
  <si>
    <t>A006720</t>
  </si>
  <si>
    <t>A006721</t>
  </si>
  <si>
    <t>A006722</t>
  </si>
  <si>
    <t>A006723</t>
  </si>
  <si>
    <t>A006724</t>
  </si>
  <si>
    <t>A006725</t>
  </si>
  <si>
    <t>A006726</t>
  </si>
  <si>
    <t>A006727</t>
  </si>
  <si>
    <t>A006728</t>
  </si>
  <si>
    <t>A006729</t>
  </si>
  <si>
    <t>A006730</t>
  </si>
  <si>
    <t>A006731</t>
  </si>
  <si>
    <t>A006732</t>
  </si>
  <si>
    <t>A006733</t>
  </si>
  <si>
    <t>A006734</t>
  </si>
  <si>
    <t>A006735</t>
  </si>
  <si>
    <t>A006736</t>
  </si>
  <si>
    <t>A006737</t>
  </si>
  <si>
    <t>A006738</t>
  </si>
  <si>
    <t>A006739</t>
  </si>
  <si>
    <t>A006740</t>
  </si>
  <si>
    <t>A006741</t>
  </si>
  <si>
    <t>A006742</t>
  </si>
  <si>
    <t>A006743</t>
  </si>
  <si>
    <t>A006744</t>
  </si>
  <si>
    <t>A006745</t>
  </si>
  <si>
    <t>A006746</t>
  </si>
  <si>
    <t>A006747</t>
  </si>
  <si>
    <t>A006748</t>
  </si>
  <si>
    <t>A006749</t>
  </si>
  <si>
    <t>A006750</t>
  </si>
  <si>
    <t>A006751</t>
  </si>
  <si>
    <t>A006752</t>
  </si>
  <si>
    <t>A006753</t>
  </si>
  <si>
    <t>A006754</t>
  </si>
  <si>
    <t>A006755</t>
  </si>
  <si>
    <t>A006756</t>
  </si>
  <si>
    <t>A006757</t>
  </si>
  <si>
    <t>A006758</t>
  </si>
  <si>
    <t>A006759</t>
  </si>
  <si>
    <t>A006760</t>
  </si>
  <si>
    <t>A006761</t>
  </si>
  <si>
    <t>A006762</t>
  </si>
  <si>
    <t>A006763</t>
  </si>
  <si>
    <t>A006764</t>
  </si>
  <si>
    <t>A006765</t>
  </si>
  <si>
    <t>A006766</t>
  </si>
  <si>
    <t>A006767</t>
  </si>
  <si>
    <t>A006768</t>
  </si>
  <si>
    <t>A006769</t>
  </si>
  <si>
    <t>A006770</t>
  </si>
  <si>
    <t>A006771</t>
  </si>
  <si>
    <t>A006772</t>
  </si>
  <si>
    <t>A006773</t>
  </si>
  <si>
    <t>A006774</t>
  </si>
  <si>
    <t>A006775</t>
  </si>
  <si>
    <t>A006776</t>
  </si>
  <si>
    <t>A006777</t>
  </si>
  <si>
    <t>A006778</t>
  </si>
  <si>
    <t>A006779</t>
  </si>
  <si>
    <t>A006780</t>
  </si>
  <si>
    <t>A006781</t>
  </si>
  <si>
    <t>A006782</t>
  </si>
  <si>
    <t>A006783</t>
  </si>
  <si>
    <t>A006784</t>
  </si>
  <si>
    <t>A006785</t>
  </si>
  <si>
    <t>A006786</t>
  </si>
  <si>
    <t>A006787</t>
  </si>
  <si>
    <t>A006788</t>
  </si>
  <si>
    <t>A006789</t>
  </si>
  <si>
    <t>A006790</t>
  </si>
  <si>
    <t>A006791</t>
  </si>
  <si>
    <t>A006792</t>
  </si>
  <si>
    <t>A006793</t>
  </si>
  <si>
    <t>A006794</t>
  </si>
  <si>
    <t>A006795</t>
  </si>
  <si>
    <t>A006796</t>
  </si>
  <si>
    <t>A006797</t>
  </si>
  <si>
    <t>A006798</t>
  </si>
  <si>
    <t>A006799</t>
  </si>
  <si>
    <t>A006800</t>
  </si>
  <si>
    <t>A006801</t>
  </si>
  <si>
    <t>A006802</t>
  </si>
  <si>
    <t>A006803</t>
  </si>
  <si>
    <t>A006804</t>
  </si>
  <si>
    <t>A006805</t>
  </si>
  <si>
    <t>A006806</t>
  </si>
  <si>
    <t>A006807</t>
  </si>
  <si>
    <t>A006808</t>
  </si>
  <si>
    <t>A006809</t>
  </si>
  <si>
    <t>A006810</t>
  </si>
  <si>
    <t>A006811</t>
  </si>
  <si>
    <t>A006812</t>
  </si>
  <si>
    <t>A006813</t>
  </si>
  <si>
    <t>A006814</t>
  </si>
  <si>
    <t>A006815</t>
  </si>
  <si>
    <t>A006816</t>
  </si>
  <si>
    <t>A006817</t>
  </si>
  <si>
    <t>A006818</t>
  </si>
  <si>
    <t>A006819</t>
  </si>
  <si>
    <t>A006820</t>
  </si>
  <si>
    <t>A006821</t>
  </si>
  <si>
    <t>A006822</t>
  </si>
  <si>
    <t>A006823</t>
  </si>
  <si>
    <t>A006824</t>
  </si>
  <si>
    <t>A006825</t>
  </si>
  <si>
    <t>A006826</t>
  </si>
  <si>
    <t>A006827</t>
  </si>
  <si>
    <t>A006828</t>
  </si>
  <si>
    <t>A006829</t>
  </si>
  <si>
    <t>A006830</t>
  </si>
  <si>
    <t>A006831</t>
  </si>
  <si>
    <t>A006832</t>
  </si>
  <si>
    <t>A006833</t>
  </si>
  <si>
    <t>A006834</t>
  </si>
  <si>
    <t>A006835</t>
  </si>
  <si>
    <t>A006836</t>
  </si>
  <si>
    <t>A006837</t>
  </si>
  <si>
    <t>A006838</t>
  </si>
  <si>
    <t>A006839</t>
  </si>
  <si>
    <t>A006840</t>
  </si>
  <si>
    <t>A006841</t>
  </si>
  <si>
    <t>A006842</t>
  </si>
  <si>
    <t>A006843</t>
  </si>
  <si>
    <t>A006844</t>
  </si>
  <si>
    <t>A006845</t>
  </si>
  <si>
    <t>A006846</t>
  </si>
  <si>
    <t>A006847</t>
  </si>
  <si>
    <t>A006848</t>
  </si>
  <si>
    <t>A006849</t>
  </si>
  <si>
    <t>A006850</t>
  </si>
  <si>
    <t>A006851</t>
  </si>
  <si>
    <t>A006852</t>
  </si>
  <si>
    <t>A006853</t>
  </si>
  <si>
    <t>A006854</t>
  </si>
  <si>
    <t>A006855</t>
  </si>
  <si>
    <t>A006856</t>
  </si>
  <si>
    <t>A006857</t>
  </si>
  <si>
    <t>A006858</t>
  </si>
  <si>
    <t>A006859</t>
  </si>
  <si>
    <t>A006860</t>
  </si>
  <si>
    <t>A006861</t>
  </si>
  <si>
    <t>A006862</t>
  </si>
  <si>
    <t>A006863</t>
  </si>
  <si>
    <t>A006864</t>
  </si>
  <si>
    <t>A006865</t>
  </si>
  <si>
    <t>A006866</t>
  </si>
  <si>
    <t>A006867</t>
  </si>
  <si>
    <t>A006868</t>
  </si>
  <si>
    <t>A006869</t>
  </si>
  <si>
    <t>A006870</t>
  </si>
  <si>
    <t>A006871</t>
  </si>
  <si>
    <t>A006872</t>
  </si>
  <si>
    <t>A006873</t>
  </si>
  <si>
    <t>A006874</t>
  </si>
  <si>
    <t>A006875</t>
  </si>
  <si>
    <t>A006876</t>
  </si>
  <si>
    <t>A006877</t>
  </si>
  <si>
    <t>A006878</t>
  </si>
  <si>
    <t>A006879</t>
  </si>
  <si>
    <t>A006880</t>
  </si>
  <si>
    <t>A006881</t>
  </si>
  <si>
    <t>A006882</t>
  </si>
  <si>
    <t>A006883</t>
  </si>
  <si>
    <t>A006884</t>
  </si>
  <si>
    <t>A006885</t>
  </si>
  <si>
    <t>A006886</t>
  </si>
  <si>
    <t>A006887</t>
  </si>
  <si>
    <t>A006888</t>
  </si>
  <si>
    <t>A006889</t>
  </si>
  <si>
    <t>A006890</t>
  </si>
  <si>
    <t>A006891</t>
  </si>
  <si>
    <t>A006892</t>
  </si>
  <si>
    <t>A006893</t>
  </si>
  <si>
    <t>A006894</t>
  </si>
  <si>
    <t>A006895</t>
  </si>
  <si>
    <t>A006896</t>
  </si>
  <si>
    <t>A006897</t>
  </si>
  <si>
    <t>A006898</t>
  </si>
  <si>
    <t>A006899</t>
  </si>
  <si>
    <t>A006900</t>
  </si>
  <si>
    <t>A006901</t>
  </si>
  <si>
    <t>A006902</t>
  </si>
  <si>
    <t>A006903</t>
  </si>
  <si>
    <t>A006904</t>
  </si>
  <si>
    <t>A006905</t>
  </si>
  <si>
    <t>A006906</t>
  </si>
  <si>
    <t>A006907</t>
  </si>
  <si>
    <t>A006908</t>
  </si>
  <si>
    <t>A006909</t>
  </si>
  <si>
    <t>A006910</t>
  </si>
  <si>
    <t>A006911</t>
  </si>
  <si>
    <t>A006912</t>
  </si>
  <si>
    <t>A006913</t>
  </si>
  <si>
    <t>A006914</t>
  </si>
  <si>
    <t>A006915</t>
  </si>
  <si>
    <t>A006916</t>
  </si>
  <si>
    <t>A006917</t>
  </si>
  <si>
    <t>A006918</t>
  </si>
  <si>
    <t>A006919</t>
  </si>
  <si>
    <t>A006920</t>
  </si>
  <si>
    <t>A006921</t>
  </si>
  <si>
    <t>A006922</t>
  </si>
  <si>
    <t>A006923</t>
  </si>
  <si>
    <t>A006924</t>
  </si>
  <si>
    <t>A006925</t>
  </si>
  <si>
    <t>A006926</t>
  </si>
  <si>
    <t>A006927</t>
  </si>
  <si>
    <t>A006928</t>
  </si>
  <si>
    <t>A006929</t>
  </si>
  <si>
    <t>A006930</t>
  </si>
  <si>
    <t>A006931</t>
  </si>
  <si>
    <t>A006932</t>
  </si>
  <si>
    <t>A006933</t>
  </si>
  <si>
    <t>A006934</t>
  </si>
  <si>
    <t>A006935</t>
  </si>
  <si>
    <t>A006936</t>
  </si>
  <si>
    <t>A006937</t>
  </si>
  <si>
    <t>A006938</t>
  </si>
  <si>
    <t>A006939</t>
  </si>
  <si>
    <t>A006940</t>
  </si>
  <si>
    <t>A006941</t>
  </si>
  <si>
    <t>A006942</t>
  </si>
  <si>
    <t>A006943</t>
  </si>
  <si>
    <t>A006944</t>
  </si>
  <si>
    <t>A006945</t>
  </si>
  <si>
    <t>A006946</t>
  </si>
  <si>
    <t>A006947</t>
  </si>
  <si>
    <t>A006948</t>
  </si>
  <si>
    <t>A006949</t>
  </si>
  <si>
    <t>A006950</t>
  </si>
  <si>
    <t>A006951</t>
  </si>
  <si>
    <t>A006952</t>
  </si>
  <si>
    <t>A006953</t>
  </si>
  <si>
    <t>A006954</t>
  </si>
  <si>
    <t>A006955</t>
  </si>
  <si>
    <t>A006956</t>
  </si>
  <si>
    <t>A006957</t>
  </si>
  <si>
    <t>A006958</t>
  </si>
  <si>
    <t>A006959</t>
  </si>
  <si>
    <t>A006960</t>
  </si>
  <si>
    <t>A006961</t>
  </si>
  <si>
    <t>A006962</t>
  </si>
  <si>
    <t>A006963</t>
  </si>
  <si>
    <t>A006964</t>
  </si>
  <si>
    <t>A006965</t>
  </si>
  <si>
    <t>A006966</t>
  </si>
  <si>
    <t>A006967</t>
  </si>
  <si>
    <t>A006968</t>
  </si>
  <si>
    <t>A006969</t>
  </si>
  <si>
    <t>A006970</t>
  </si>
  <si>
    <t>A006971</t>
  </si>
  <si>
    <t>A006972</t>
  </si>
  <si>
    <t>A006973</t>
  </si>
  <si>
    <t>A006974</t>
  </si>
  <si>
    <t>A006975</t>
  </si>
  <si>
    <t>A006976</t>
  </si>
  <si>
    <t>A006977</t>
  </si>
  <si>
    <t>A006978</t>
  </si>
  <si>
    <t>A006979</t>
  </si>
  <si>
    <t>A006980</t>
  </si>
  <si>
    <t>A006981</t>
  </si>
  <si>
    <t>A006982</t>
  </si>
  <si>
    <t>A006983</t>
  </si>
  <si>
    <t>A006984</t>
  </si>
  <si>
    <t>A006985</t>
  </si>
  <si>
    <t>A006986</t>
  </si>
  <si>
    <t>A006987</t>
  </si>
  <si>
    <t>A006988</t>
  </si>
  <si>
    <t>A006989</t>
  </si>
  <si>
    <t>A006990</t>
  </si>
  <si>
    <t>A006991</t>
  </si>
  <si>
    <t>A006992</t>
  </si>
  <si>
    <t>A006993</t>
  </si>
  <si>
    <t>A006994</t>
  </si>
  <si>
    <t>A006995</t>
  </si>
  <si>
    <t>A006996</t>
  </si>
  <si>
    <t>A006997</t>
  </si>
  <si>
    <t>A006998</t>
  </si>
  <si>
    <t>A006999</t>
  </si>
  <si>
    <t>A007000</t>
  </si>
  <si>
    <t>A007001</t>
  </si>
  <si>
    <t>A007002</t>
  </si>
  <si>
    <t>A007003</t>
  </si>
  <si>
    <t>A007004</t>
  </si>
  <si>
    <t>A007005</t>
  </si>
  <si>
    <t>A007006</t>
  </si>
  <si>
    <t>A007007</t>
  </si>
  <si>
    <t>A007008</t>
  </si>
  <si>
    <t>A007009</t>
  </si>
  <si>
    <t>A007010</t>
  </si>
  <si>
    <t>A007011</t>
  </si>
  <si>
    <t>A007012</t>
  </si>
  <si>
    <t>A007013</t>
  </si>
  <si>
    <t>A007014</t>
  </si>
  <si>
    <t>A007015</t>
  </si>
  <si>
    <t>A007016</t>
  </si>
  <si>
    <t>A007017</t>
  </si>
  <si>
    <t>A007018</t>
  </si>
  <si>
    <t>A007019</t>
  </si>
  <si>
    <t>A007020</t>
  </si>
  <si>
    <t>A007021</t>
  </si>
  <si>
    <t>A007022</t>
  </si>
  <si>
    <t>A007023</t>
  </si>
  <si>
    <t>A007024</t>
  </si>
  <si>
    <t>A007025</t>
  </si>
  <si>
    <t>A007026</t>
  </si>
  <si>
    <t>A007027</t>
  </si>
  <si>
    <t>A007028</t>
  </si>
  <si>
    <t>A007029</t>
  </si>
  <si>
    <t>A007030</t>
  </si>
  <si>
    <t>A007031</t>
  </si>
  <si>
    <t>A007032</t>
  </si>
  <si>
    <t>A007033</t>
  </si>
  <si>
    <t>A007034</t>
  </si>
  <si>
    <t>A007035</t>
  </si>
  <si>
    <t>A007036</t>
  </si>
  <si>
    <t>A007037</t>
  </si>
  <si>
    <t>A007038</t>
  </si>
  <si>
    <t>A007039</t>
  </si>
  <si>
    <t>A007040</t>
  </si>
  <si>
    <t>A007041</t>
  </si>
  <si>
    <t>A007042</t>
  </si>
  <si>
    <t>A007043</t>
  </si>
  <si>
    <t>A007044</t>
  </si>
  <si>
    <t>A007045</t>
  </si>
  <si>
    <t>A007046</t>
  </si>
  <si>
    <t>A007047</t>
  </si>
  <si>
    <t>A007048</t>
  </si>
  <si>
    <t>A007049</t>
  </si>
  <si>
    <t>A007050</t>
  </si>
  <si>
    <t>A007051</t>
  </si>
  <si>
    <t>A007052</t>
  </si>
  <si>
    <t>A007053</t>
  </si>
  <si>
    <t>A007054</t>
  </si>
  <si>
    <t>A007055</t>
  </si>
  <si>
    <t>A007056</t>
  </si>
  <si>
    <t>A007057</t>
  </si>
  <si>
    <t>A007058</t>
  </si>
  <si>
    <t>A007059</t>
  </si>
  <si>
    <t>A007060</t>
  </si>
  <si>
    <t>A007061</t>
  </si>
  <si>
    <t>A007062</t>
  </si>
  <si>
    <t>A007063</t>
  </si>
  <si>
    <t>A007064</t>
  </si>
  <si>
    <t>A007065</t>
  </si>
  <si>
    <t>A007066</t>
  </si>
  <si>
    <t>A007067</t>
  </si>
  <si>
    <t>A007068</t>
  </si>
  <si>
    <t>A007069</t>
  </si>
  <si>
    <t>A007070</t>
  </si>
  <si>
    <t>A007071</t>
  </si>
  <si>
    <t>A007072</t>
  </si>
  <si>
    <t>A007073</t>
  </si>
  <si>
    <t>A007074</t>
  </si>
  <si>
    <t>A007075</t>
  </si>
  <si>
    <t>A007076</t>
  </si>
  <si>
    <t>A007077</t>
  </si>
  <si>
    <t>A007078</t>
  </si>
  <si>
    <t>A007079</t>
  </si>
  <si>
    <t>A007080</t>
  </si>
  <si>
    <t>A007081</t>
  </si>
  <si>
    <t>A007082</t>
  </si>
  <si>
    <t>A007083</t>
  </si>
  <si>
    <t>A007084</t>
  </si>
  <si>
    <t>A007085</t>
  </si>
  <si>
    <t>A007086</t>
  </si>
  <si>
    <t>A007087</t>
  </si>
  <si>
    <t>A007088</t>
  </si>
  <si>
    <t>A007089</t>
  </si>
  <si>
    <t>A007090</t>
  </si>
  <si>
    <t>A007091</t>
  </si>
  <si>
    <t>A007092</t>
  </si>
  <si>
    <t>A007093</t>
  </si>
  <si>
    <t>A007094</t>
  </si>
  <si>
    <t>A007095</t>
  </si>
  <si>
    <t>A007096</t>
  </si>
  <si>
    <t>A007097</t>
  </si>
  <si>
    <t>A007098</t>
  </si>
  <si>
    <t>A007099</t>
  </si>
  <si>
    <t>A007100</t>
  </si>
  <si>
    <t>A007101</t>
  </si>
  <si>
    <t>A007102</t>
  </si>
  <si>
    <t>A007103</t>
  </si>
  <si>
    <t>A007104</t>
  </si>
  <si>
    <t>A007105</t>
  </si>
  <si>
    <t>A007106</t>
  </si>
  <si>
    <t>A007107</t>
  </si>
  <si>
    <t>A007108</t>
  </si>
  <si>
    <t>A007109</t>
  </si>
  <si>
    <t>A007110</t>
  </si>
  <si>
    <t>A007111</t>
  </si>
  <si>
    <t>A007112</t>
  </si>
  <si>
    <t>A007113</t>
  </si>
  <si>
    <t>A007114</t>
  </si>
  <si>
    <t>A007115</t>
  </si>
  <si>
    <t>A007116</t>
  </si>
  <si>
    <t>A007117</t>
  </si>
  <si>
    <t>A007118</t>
  </si>
  <si>
    <t>A007119</t>
  </si>
  <si>
    <t>A007120</t>
  </si>
  <si>
    <t>A007121</t>
  </si>
  <si>
    <t>A007122</t>
  </si>
  <si>
    <t>A007123</t>
  </si>
  <si>
    <t>A007124</t>
  </si>
  <si>
    <t>A007125</t>
  </si>
  <si>
    <t>A007126</t>
  </si>
  <si>
    <t>A007127</t>
  </si>
  <si>
    <t>A007128</t>
  </si>
  <si>
    <t>A007129</t>
  </si>
  <si>
    <t>A007130</t>
  </si>
  <si>
    <t>A007131</t>
  </si>
  <si>
    <t>A007132</t>
  </si>
  <si>
    <t>A007133</t>
  </si>
  <si>
    <t>A007134</t>
  </si>
  <si>
    <t>A007135</t>
  </si>
  <si>
    <t>A007136</t>
  </si>
  <si>
    <t>A007137</t>
  </si>
  <si>
    <t>A007138</t>
  </si>
  <si>
    <t>A007139</t>
  </si>
  <si>
    <t>A007140</t>
  </si>
  <si>
    <t>A007141</t>
  </si>
  <si>
    <t>A007142</t>
  </si>
  <si>
    <t>A007143</t>
  </si>
  <si>
    <t>A007144</t>
  </si>
  <si>
    <t>A007145</t>
  </si>
  <si>
    <t>A007146</t>
  </si>
  <si>
    <t>A007147</t>
  </si>
  <si>
    <t>A007148</t>
  </si>
  <si>
    <t>A007149</t>
  </si>
  <si>
    <t>A007150</t>
  </si>
  <si>
    <t>A007151</t>
  </si>
  <si>
    <t>A007152</t>
  </si>
  <si>
    <t>A007153</t>
  </si>
  <si>
    <t>A007154</t>
  </si>
  <si>
    <t>A007155</t>
  </si>
  <si>
    <t>A007156</t>
  </si>
  <si>
    <t>A007157</t>
  </si>
  <si>
    <t>A007158</t>
  </si>
  <si>
    <t>A007159</t>
  </si>
  <si>
    <t>A007160</t>
  </si>
  <si>
    <t>A007161</t>
  </si>
  <si>
    <t>A007162</t>
  </si>
  <si>
    <t>A007163</t>
  </si>
  <si>
    <t>A007164</t>
  </si>
  <si>
    <t>A007165</t>
  </si>
  <si>
    <t>A007166</t>
  </si>
  <si>
    <t>A007167</t>
  </si>
  <si>
    <t>A007168</t>
  </si>
  <si>
    <t>A007169</t>
  </si>
  <si>
    <t>A007170</t>
  </si>
  <si>
    <t>A007171</t>
  </si>
  <si>
    <t>A007172</t>
  </si>
  <si>
    <t>A007173</t>
  </si>
  <si>
    <t>A007174</t>
  </si>
  <si>
    <t>A007175</t>
  </si>
  <si>
    <t>A007176</t>
  </si>
  <si>
    <t>A007177</t>
  </si>
  <si>
    <t>A007178</t>
  </si>
  <si>
    <t>A007179</t>
  </si>
  <si>
    <t>A007180</t>
  </si>
  <si>
    <t>A007181</t>
  </si>
  <si>
    <t>A007182</t>
  </si>
  <si>
    <t>A007183</t>
  </si>
  <si>
    <t>A007184</t>
  </si>
  <si>
    <t>A007185</t>
  </si>
  <si>
    <t>A007186</t>
  </si>
  <si>
    <t>A007187</t>
  </si>
  <si>
    <t>A007188</t>
  </si>
  <si>
    <t>A007189</t>
  </si>
  <si>
    <t>A007190</t>
  </si>
  <si>
    <t>A007191</t>
  </si>
  <si>
    <t>A007192</t>
  </si>
  <si>
    <t>A007193</t>
  </si>
  <si>
    <t>A007194</t>
  </si>
  <si>
    <t>A007195</t>
  </si>
  <si>
    <t>A007196</t>
  </si>
  <si>
    <t>A007197</t>
  </si>
  <si>
    <t>A007198</t>
  </si>
  <si>
    <t>A007199</t>
  </si>
  <si>
    <t>A007200</t>
  </si>
  <si>
    <t>A007201</t>
  </si>
  <si>
    <t>A007202</t>
  </si>
  <si>
    <t>A007203</t>
  </si>
  <si>
    <t>A007204</t>
  </si>
  <si>
    <t>A007205</t>
  </si>
  <si>
    <t>A007206</t>
  </si>
  <si>
    <t>A007207</t>
  </si>
  <si>
    <t>A007208</t>
  </si>
  <si>
    <t>A007209</t>
  </si>
  <si>
    <t>A007210</t>
  </si>
  <si>
    <t>A007211</t>
  </si>
  <si>
    <t>A007212</t>
  </si>
  <si>
    <t>A007213</t>
  </si>
  <si>
    <t>A007214</t>
  </si>
  <si>
    <t>A007215</t>
  </si>
  <si>
    <t>A007216</t>
  </si>
  <si>
    <t>A007217</t>
  </si>
  <si>
    <t>A007218</t>
  </si>
  <si>
    <t>A007219</t>
  </si>
  <si>
    <t>A007220</t>
  </si>
  <si>
    <t>A007221</t>
  </si>
  <si>
    <t>A007222</t>
  </si>
  <si>
    <t>A007223</t>
  </si>
  <si>
    <t>A007224</t>
  </si>
  <si>
    <t>A007225</t>
  </si>
  <si>
    <t>A007226</t>
  </si>
  <si>
    <t>A007227</t>
  </si>
  <si>
    <t>A007228</t>
  </si>
  <si>
    <t>A007229</t>
  </si>
  <si>
    <t>A007230</t>
  </si>
  <si>
    <t>A007231</t>
  </si>
  <si>
    <t>A007232</t>
  </si>
  <si>
    <t>A007233</t>
  </si>
  <si>
    <t>A007234</t>
  </si>
  <si>
    <t>A007235</t>
  </si>
  <si>
    <t>A007236</t>
  </si>
  <si>
    <t>A007237</t>
  </si>
  <si>
    <t>A007238</t>
  </si>
  <si>
    <t>A007239</t>
  </si>
  <si>
    <t>A007240</t>
  </si>
  <si>
    <t>A007241</t>
  </si>
  <si>
    <t>A007242</t>
  </si>
  <si>
    <t>A007243</t>
  </si>
  <si>
    <t>A007244</t>
  </si>
  <si>
    <t>A007245</t>
  </si>
  <si>
    <t>A007246</t>
  </si>
  <si>
    <t>A007247</t>
  </si>
  <si>
    <t>A007248</t>
  </si>
  <si>
    <t>A007249</t>
  </si>
  <si>
    <t>A007250</t>
  </si>
  <si>
    <t>A007251</t>
  </si>
  <si>
    <t>A007252</t>
  </si>
  <si>
    <t>A007253</t>
  </si>
  <si>
    <t>A007254</t>
  </si>
  <si>
    <t>A007255</t>
  </si>
  <si>
    <t>A007256</t>
  </si>
  <si>
    <t>A007257</t>
  </si>
  <si>
    <t>A007258</t>
  </si>
  <si>
    <t>A007259</t>
  </si>
  <si>
    <t>A007260</t>
  </si>
  <si>
    <t>A007261</t>
  </si>
  <si>
    <t>A007262</t>
  </si>
  <si>
    <t>A007263</t>
  </si>
  <si>
    <t>A007264</t>
  </si>
  <si>
    <t>A007265</t>
  </si>
  <si>
    <t>A007266</t>
  </si>
  <si>
    <t>A007267</t>
  </si>
  <si>
    <t>A007268</t>
  </si>
  <si>
    <t>A007269</t>
  </si>
  <si>
    <t>A007270</t>
  </si>
  <si>
    <t>A007271</t>
  </si>
  <si>
    <t>A007272</t>
  </si>
  <si>
    <t>A007273</t>
  </si>
  <si>
    <t>A007274</t>
  </si>
  <si>
    <t>A007275</t>
  </si>
  <si>
    <t>A007276</t>
  </si>
  <si>
    <t>A007277</t>
  </si>
  <si>
    <t>A007278</t>
  </si>
  <si>
    <t>A007279</t>
  </si>
  <si>
    <t>A007280</t>
  </si>
  <si>
    <t>A007281</t>
  </si>
  <si>
    <t>A007282</t>
  </si>
  <si>
    <t>A007283</t>
  </si>
  <si>
    <t>A007284</t>
  </si>
  <si>
    <t>A007285</t>
  </si>
  <si>
    <t>A007286</t>
  </si>
  <si>
    <t>A007287</t>
  </si>
  <si>
    <t>A007288</t>
  </si>
  <si>
    <t>A007289</t>
  </si>
  <si>
    <t>A007290</t>
  </si>
  <si>
    <t>A007291</t>
  </si>
  <si>
    <t>A007292</t>
  </si>
  <si>
    <t>A007293</t>
  </si>
  <si>
    <t>A007294</t>
  </si>
  <si>
    <t>A007295</t>
  </si>
  <si>
    <t>A007296</t>
  </si>
  <si>
    <t>A007297</t>
  </si>
  <si>
    <t>A007298</t>
  </si>
  <si>
    <t>A007299</t>
  </si>
  <si>
    <t>A007300</t>
  </si>
  <si>
    <t>A007301</t>
  </si>
  <si>
    <t>A007302</t>
  </si>
  <si>
    <t>A007303</t>
  </si>
  <si>
    <t>A007304</t>
  </si>
  <si>
    <t>A007305</t>
  </si>
  <si>
    <t>A007306</t>
  </si>
  <si>
    <t>A007307</t>
  </si>
  <si>
    <t>A007308</t>
  </si>
  <si>
    <t>A007309</t>
  </si>
  <si>
    <t>A007310</t>
  </si>
  <si>
    <t>A007311</t>
  </si>
  <si>
    <t>A007312</t>
  </si>
  <si>
    <t>A007313</t>
  </si>
  <si>
    <t>A007314</t>
  </si>
  <si>
    <t>A007315</t>
  </si>
  <si>
    <t>A007316</t>
  </si>
  <si>
    <t>A007317</t>
  </si>
  <si>
    <t>A007318</t>
  </si>
  <si>
    <t>A007319</t>
  </si>
  <si>
    <t>A007320</t>
  </si>
  <si>
    <t>A007321</t>
  </si>
  <si>
    <t>A007322</t>
  </si>
  <si>
    <t>A007323</t>
  </si>
  <si>
    <t>A007324</t>
  </si>
  <si>
    <t>A007325</t>
  </si>
  <si>
    <t>A007326</t>
  </si>
  <si>
    <t>A007327</t>
  </si>
  <si>
    <t>A007328</t>
  </si>
  <si>
    <t>A007329</t>
  </si>
  <si>
    <t>A007330</t>
  </si>
  <si>
    <t>A007331</t>
  </si>
  <si>
    <t>A007332</t>
  </si>
  <si>
    <t>A007333</t>
  </si>
  <si>
    <t>A007334</t>
  </si>
  <si>
    <t>A007335</t>
  </si>
  <si>
    <t>A007336</t>
  </si>
  <si>
    <t>A007337</t>
  </si>
  <si>
    <t>A007338</t>
  </si>
  <si>
    <t>A007339</t>
  </si>
  <si>
    <t>A007340</t>
  </si>
  <si>
    <t>A007341</t>
  </si>
  <si>
    <t>A007342</t>
  </si>
  <si>
    <t>A007343</t>
  </si>
  <si>
    <t>A007344</t>
  </si>
  <si>
    <t>A007345</t>
  </si>
  <si>
    <t>A007346</t>
  </si>
  <si>
    <t>A007347</t>
  </si>
  <si>
    <t>A007348</t>
  </si>
  <si>
    <t>A007349</t>
  </si>
  <si>
    <t>A007350</t>
  </si>
  <si>
    <t>A007351</t>
  </si>
  <si>
    <t>A007352</t>
  </si>
  <si>
    <t>A007353</t>
  </si>
  <si>
    <t>A007354</t>
  </si>
  <si>
    <t>A007355</t>
  </si>
  <si>
    <t>A007356</t>
  </si>
  <si>
    <t>A007357</t>
  </si>
  <si>
    <t>A007358</t>
  </si>
  <si>
    <t>A007359</t>
  </si>
  <si>
    <t>A007360</t>
  </si>
  <si>
    <t>A007361</t>
  </si>
  <si>
    <t>A007362</t>
  </si>
  <si>
    <t>A007363</t>
  </si>
  <si>
    <t>A007364</t>
  </si>
  <si>
    <t>A007365</t>
  </si>
  <si>
    <t>A007366</t>
  </si>
  <si>
    <t>A007367</t>
  </si>
  <si>
    <t>A007368</t>
  </si>
  <si>
    <t>A007369</t>
  </si>
  <si>
    <t>A007370</t>
  </si>
  <si>
    <t>A007371</t>
  </si>
  <si>
    <t>A007372</t>
  </si>
  <si>
    <t>A007373</t>
  </si>
  <si>
    <t>A007374</t>
  </si>
  <si>
    <t>A007375</t>
  </si>
  <si>
    <t>A007376</t>
  </si>
  <si>
    <t>A007377</t>
  </si>
  <si>
    <t>A007378</t>
  </si>
  <si>
    <t>A007379</t>
  </si>
  <si>
    <t>A007380</t>
  </si>
  <si>
    <t>A007381</t>
  </si>
  <si>
    <t>A007382</t>
  </si>
  <si>
    <t>A007383</t>
  </si>
  <si>
    <t>A007384</t>
  </si>
  <si>
    <t>A007385</t>
  </si>
  <si>
    <t>A007386</t>
  </si>
  <si>
    <t>A007387</t>
  </si>
  <si>
    <t>A007388</t>
  </si>
  <si>
    <t>A007389</t>
  </si>
  <si>
    <t>A007390</t>
  </si>
  <si>
    <t>A007391</t>
  </si>
  <si>
    <t>A007392</t>
  </si>
  <si>
    <t>A007393</t>
  </si>
  <si>
    <t>A007394</t>
  </si>
  <si>
    <t>A007395</t>
  </si>
  <si>
    <t>A007396</t>
  </si>
  <si>
    <t>A007397</t>
  </si>
  <si>
    <t>A007398</t>
  </si>
  <si>
    <t>A007399</t>
  </si>
  <si>
    <t>A007400</t>
  </si>
  <si>
    <t>A007401</t>
  </si>
  <si>
    <t>A007402</t>
  </si>
  <si>
    <t>A007403</t>
  </si>
  <si>
    <t>A007404</t>
  </si>
  <si>
    <t>A007405</t>
  </si>
  <si>
    <t>A007406</t>
  </si>
  <si>
    <t>A007407</t>
  </si>
  <si>
    <t>A007408</t>
  </si>
  <si>
    <t>A007409</t>
  </si>
  <si>
    <t>A007410</t>
  </si>
  <si>
    <t>A007411</t>
  </si>
  <si>
    <t>A007412</t>
  </si>
  <si>
    <t>A007413</t>
  </si>
  <si>
    <t>A007414</t>
  </si>
  <si>
    <t>A007415</t>
  </si>
  <si>
    <t>A007416</t>
  </si>
  <si>
    <t>A007417</t>
  </si>
  <si>
    <t>A007418</t>
  </si>
  <si>
    <t>A007419</t>
  </si>
  <si>
    <t>A007420</t>
  </si>
  <si>
    <t>A007421</t>
  </si>
  <si>
    <t>A007422</t>
  </si>
  <si>
    <t>A007423</t>
  </si>
  <si>
    <t>A007424</t>
  </si>
  <si>
    <t>A007425</t>
  </si>
  <si>
    <t>A007426</t>
  </si>
  <si>
    <t>A007427</t>
  </si>
  <si>
    <t>A007428</t>
  </si>
  <si>
    <t>A007429</t>
  </si>
  <si>
    <t>A007430</t>
  </si>
  <si>
    <t>A007431</t>
  </si>
  <si>
    <t>A007432</t>
  </si>
  <si>
    <t>A007433</t>
  </si>
  <si>
    <t>A007434</t>
  </si>
  <si>
    <t>A007435</t>
  </si>
  <si>
    <t>A007436</t>
  </si>
  <si>
    <t>A007437</t>
  </si>
  <si>
    <t>A007438</t>
  </si>
  <si>
    <t>A007439</t>
  </si>
  <si>
    <t>A007440</t>
  </si>
  <si>
    <t>A007441</t>
  </si>
  <si>
    <t>A007442</t>
  </si>
  <si>
    <t>A007443</t>
  </si>
  <si>
    <t>A007444</t>
  </si>
  <si>
    <t>A007445</t>
  </si>
  <si>
    <t>A007446</t>
  </si>
  <si>
    <t>A007447</t>
  </si>
  <si>
    <t>A007448</t>
  </si>
  <si>
    <t>A007449</t>
  </si>
  <si>
    <t>A007450</t>
  </si>
  <si>
    <t>A007451</t>
  </si>
  <si>
    <t>A007452</t>
  </si>
  <si>
    <t>A007453</t>
  </si>
  <si>
    <t>A007454</t>
  </si>
  <si>
    <t>A007455</t>
  </si>
  <si>
    <t>A007456</t>
  </si>
  <si>
    <t>A007457</t>
  </si>
  <si>
    <t>A007458</t>
  </si>
  <si>
    <t>A007459</t>
  </si>
  <si>
    <t>A007460</t>
  </si>
  <si>
    <t>A007461</t>
  </si>
  <si>
    <t>A007462</t>
  </si>
  <si>
    <t>A007463</t>
  </si>
  <si>
    <t>A007464</t>
  </si>
  <si>
    <t>A007465</t>
  </si>
  <si>
    <t>A007466</t>
  </si>
  <si>
    <t>A007467</t>
  </si>
  <si>
    <t>A007468</t>
  </si>
  <si>
    <t>A007469</t>
  </si>
  <si>
    <t>A007470</t>
  </si>
  <si>
    <t>A007471</t>
  </si>
  <si>
    <t>A007472</t>
  </si>
  <si>
    <t>A007473</t>
  </si>
  <si>
    <t>A007474</t>
  </si>
  <si>
    <t>A007475</t>
  </si>
  <si>
    <t>A007476</t>
  </si>
  <si>
    <t>A007477</t>
  </si>
  <si>
    <t>A007478</t>
  </si>
  <si>
    <t>A007479</t>
  </si>
  <si>
    <t>A007480</t>
  </si>
  <si>
    <t>A007481</t>
  </si>
  <si>
    <t>A007482</t>
  </si>
  <si>
    <t>A007483</t>
  </si>
  <si>
    <t>A007484</t>
  </si>
  <si>
    <t>A007485</t>
  </si>
  <si>
    <t>A007486</t>
  </si>
  <si>
    <t>A007487</t>
  </si>
  <si>
    <t>A007488</t>
  </si>
  <si>
    <t>A007489</t>
  </si>
  <si>
    <t>A007490</t>
  </si>
  <si>
    <t>A007491</t>
  </si>
  <si>
    <t>A007492</t>
  </si>
  <si>
    <t>A007493</t>
  </si>
  <si>
    <t>A007494</t>
  </si>
  <si>
    <t>A007495</t>
  </si>
  <si>
    <t>A007496</t>
  </si>
  <si>
    <t>A007497</t>
  </si>
  <si>
    <t>A007498</t>
  </si>
  <si>
    <t>A007499</t>
  </si>
  <si>
    <t>A007500</t>
  </si>
  <si>
    <t>A007501</t>
  </si>
  <si>
    <t>A007502</t>
  </si>
  <si>
    <t>A007503</t>
  </si>
  <si>
    <t>A007504</t>
  </si>
  <si>
    <t>A007505</t>
  </si>
  <si>
    <t>A007506</t>
  </si>
  <si>
    <t>A007507</t>
  </si>
  <si>
    <t>A007508</t>
  </si>
  <si>
    <t>A007509</t>
  </si>
  <si>
    <t>A007510</t>
  </si>
  <si>
    <t>A007511</t>
  </si>
  <si>
    <t>A007512</t>
  </si>
  <si>
    <t>A007513</t>
  </si>
  <si>
    <t>A007514</t>
  </si>
  <si>
    <t>A007515</t>
  </si>
  <si>
    <t>A007516</t>
  </si>
  <si>
    <t>A007517</t>
  </si>
  <si>
    <t>A007518</t>
  </si>
  <si>
    <t>A007519</t>
  </si>
  <si>
    <t>A007520</t>
  </si>
  <si>
    <t>A007521</t>
  </si>
  <si>
    <t>A007522</t>
  </si>
  <si>
    <t>A007523</t>
  </si>
  <si>
    <t>A007524</t>
  </si>
  <si>
    <t>A007525</t>
  </si>
  <si>
    <t>A007526</t>
  </si>
  <si>
    <t>A007527</t>
  </si>
  <si>
    <t>A007528</t>
  </si>
  <si>
    <t>A007529</t>
  </si>
  <si>
    <t>A007530</t>
  </si>
  <si>
    <t>A007531</t>
  </si>
  <si>
    <t>A007532</t>
  </si>
  <si>
    <t>A007533</t>
  </si>
  <si>
    <t>A007534</t>
  </si>
  <si>
    <t>A007535</t>
  </si>
  <si>
    <t>A007536</t>
  </si>
  <si>
    <t>A007537</t>
  </si>
  <si>
    <t>A007538</t>
  </si>
  <si>
    <t>A007539</t>
  </si>
  <si>
    <t>A007540</t>
  </si>
  <si>
    <t>A007541</t>
  </si>
  <si>
    <t>A007542</t>
  </si>
  <si>
    <t>A007543</t>
  </si>
  <si>
    <t>A007544</t>
  </si>
  <si>
    <t>A007545</t>
  </si>
  <si>
    <t>A007546</t>
  </si>
  <si>
    <t>A007547</t>
  </si>
  <si>
    <t>A007548</t>
  </si>
  <si>
    <t>A007549</t>
  </si>
  <si>
    <t>A007550</t>
  </si>
  <si>
    <t>A007551</t>
  </si>
  <si>
    <t>A007552</t>
  </si>
  <si>
    <t>A007553</t>
  </si>
  <si>
    <t>A007554</t>
  </si>
  <si>
    <t>A007555</t>
  </si>
  <si>
    <t>A007556</t>
  </si>
  <si>
    <t>A007557</t>
  </si>
  <si>
    <t>A007558</t>
  </si>
  <si>
    <t>A007559</t>
  </si>
  <si>
    <t>A007560</t>
  </si>
  <si>
    <t>A007561</t>
  </si>
  <si>
    <t>A007562</t>
  </si>
  <si>
    <t>A007563</t>
  </si>
  <si>
    <t>A007564</t>
  </si>
  <si>
    <t>A007565</t>
  </si>
  <si>
    <t>A007566</t>
  </si>
  <si>
    <t>A007567</t>
  </si>
  <si>
    <t>A007568</t>
  </si>
  <si>
    <t>A007569</t>
  </si>
  <si>
    <t>A007570</t>
  </si>
  <si>
    <t>A007571</t>
  </si>
  <si>
    <t>A007572</t>
  </si>
  <si>
    <t>A007573</t>
  </si>
  <si>
    <t>A007574</t>
  </si>
  <si>
    <t>A007575</t>
  </si>
  <si>
    <t>A007576</t>
  </si>
  <si>
    <t>A007577</t>
  </si>
  <si>
    <t>A007578</t>
  </si>
  <si>
    <t>A007579</t>
  </si>
  <si>
    <t>A007580</t>
  </si>
  <si>
    <t>A007581</t>
  </si>
  <si>
    <t>A007582</t>
  </si>
  <si>
    <t>A007583</t>
  </si>
  <si>
    <t>A007584</t>
  </si>
  <si>
    <t>A007585</t>
  </si>
  <si>
    <t>A007586</t>
  </si>
  <si>
    <t>A007587</t>
  </si>
  <si>
    <t>A007588</t>
  </si>
  <si>
    <t>A007589</t>
  </si>
  <si>
    <t>A007590</t>
  </si>
  <si>
    <t>A007591</t>
  </si>
  <si>
    <t>A007592</t>
  </si>
  <si>
    <t>A007593</t>
  </si>
  <si>
    <t>A007594</t>
  </si>
  <si>
    <t>A007595</t>
  </si>
  <si>
    <t>A007596</t>
  </si>
  <si>
    <t>A007597</t>
  </si>
  <si>
    <t>A007598</t>
  </si>
  <si>
    <t>A007599</t>
  </si>
  <si>
    <t>A007600</t>
  </si>
  <si>
    <t>A007601</t>
  </si>
  <si>
    <t>A007602</t>
  </si>
  <si>
    <t>A007603</t>
  </si>
  <si>
    <t>A007604</t>
  </si>
  <si>
    <t>A007605</t>
  </si>
  <si>
    <t>A007606</t>
  </si>
  <si>
    <t>A007607</t>
  </si>
  <si>
    <t>A007608</t>
  </si>
  <si>
    <t>A007609</t>
  </si>
  <si>
    <t>A007610</t>
  </si>
  <si>
    <t>A007611</t>
  </si>
  <si>
    <t>A007612</t>
  </si>
  <si>
    <t>A007613</t>
  </si>
  <si>
    <t>A007614</t>
  </si>
  <si>
    <t>A007615</t>
  </si>
  <si>
    <t>A007616</t>
  </si>
  <si>
    <t>A007617</t>
  </si>
  <si>
    <t>A007618</t>
  </si>
  <si>
    <t>A007619</t>
  </si>
  <si>
    <t>A007620</t>
  </si>
  <si>
    <t>A007621</t>
  </si>
  <si>
    <t>A007622</t>
  </si>
  <si>
    <t>A007623</t>
  </si>
  <si>
    <t>A007624</t>
  </si>
  <si>
    <t>A007625</t>
  </si>
  <si>
    <t>A007626</t>
  </si>
  <si>
    <t>A007627</t>
  </si>
  <si>
    <t>A007628</t>
  </si>
  <si>
    <t>A007629</t>
  </si>
  <si>
    <t>A007630</t>
  </si>
  <si>
    <t>A007631</t>
  </si>
  <si>
    <t>A007632</t>
  </si>
  <si>
    <t>A007633</t>
  </si>
  <si>
    <t>A007634</t>
  </si>
  <si>
    <t>A007635</t>
  </si>
  <si>
    <t>A007636</t>
  </si>
  <si>
    <t>A007637</t>
  </si>
  <si>
    <t>A007638</t>
  </si>
  <si>
    <t>A007639</t>
  </si>
  <si>
    <t>A007640</t>
  </si>
  <si>
    <t>A007641</t>
  </si>
  <si>
    <t>A007642</t>
  </si>
  <si>
    <t>A007643</t>
  </si>
  <si>
    <t>A007644</t>
  </si>
  <si>
    <t>A007645</t>
  </si>
  <si>
    <t>A007646</t>
  </si>
  <si>
    <t>A007647</t>
  </si>
  <si>
    <t>A007648</t>
  </si>
  <si>
    <t>A007649</t>
  </si>
  <si>
    <t>A007650</t>
  </si>
  <si>
    <t>A007651</t>
  </si>
  <si>
    <t>A007652</t>
  </si>
  <si>
    <t>A007653</t>
  </si>
  <si>
    <t>A007654</t>
  </si>
  <si>
    <t>A007655</t>
  </si>
  <si>
    <t>A007656</t>
  </si>
  <si>
    <t>A007657</t>
  </si>
  <si>
    <t>A007658</t>
  </si>
  <si>
    <t>A007659</t>
  </si>
  <si>
    <t>A007660</t>
  </si>
  <si>
    <t>A007661</t>
  </si>
  <si>
    <t>A007662</t>
  </si>
  <si>
    <t>A007663</t>
  </si>
  <si>
    <t>A007664</t>
  </si>
  <si>
    <t>A007665</t>
  </si>
  <si>
    <t>A007666</t>
  </si>
  <si>
    <t>A007667</t>
  </si>
  <si>
    <t>A007668</t>
  </si>
  <si>
    <t>A007669</t>
  </si>
  <si>
    <t>A007670</t>
  </si>
  <si>
    <t>A007671</t>
  </si>
  <si>
    <t>A007672</t>
  </si>
  <si>
    <t>A007673</t>
  </si>
  <si>
    <t>A007674</t>
  </si>
  <si>
    <t>A007675</t>
  </si>
  <si>
    <t>A007676</t>
  </si>
  <si>
    <t>A007677</t>
  </si>
  <si>
    <t>A007678</t>
  </si>
  <si>
    <t>A007679</t>
  </si>
  <si>
    <t>A007680</t>
  </si>
  <si>
    <t>A007681</t>
  </si>
  <si>
    <t>A007682</t>
  </si>
  <si>
    <t>A007683</t>
  </si>
  <si>
    <t>A007684</t>
  </si>
  <si>
    <t>A007685</t>
  </si>
  <si>
    <t>A007686</t>
  </si>
  <si>
    <t>A007687</t>
  </si>
  <si>
    <t>A007688</t>
  </si>
  <si>
    <t>A007689</t>
  </si>
  <si>
    <t>A007690</t>
  </si>
  <si>
    <t>A007691</t>
  </si>
  <si>
    <t>A007692</t>
  </si>
  <si>
    <t>A007693</t>
  </si>
  <si>
    <t>A007694</t>
  </si>
  <si>
    <t>A007695</t>
  </si>
  <si>
    <t>A007696</t>
  </si>
  <si>
    <t>A007697</t>
  </si>
  <si>
    <t>A007698</t>
  </si>
  <si>
    <t>A007699</t>
  </si>
  <si>
    <t>A007700</t>
  </si>
  <si>
    <t>A007701</t>
  </si>
  <si>
    <t>A007702</t>
  </si>
  <si>
    <t>A007703</t>
  </si>
  <si>
    <t>A007704</t>
  </si>
  <si>
    <t>A007705</t>
  </si>
  <si>
    <t>A007706</t>
  </si>
  <si>
    <t>A007707</t>
  </si>
  <si>
    <t>A007708</t>
  </si>
  <si>
    <t>A007709</t>
  </si>
  <si>
    <t>A007710</t>
  </si>
  <si>
    <t>A007711</t>
  </si>
  <si>
    <t>A007712</t>
  </si>
  <si>
    <t>A007713</t>
  </si>
  <si>
    <t>A007714</t>
  </si>
  <si>
    <t>A007715</t>
  </si>
  <si>
    <t>A007716</t>
  </si>
  <si>
    <t>A007717</t>
  </si>
  <si>
    <t>A007718</t>
  </si>
  <si>
    <t>A007719</t>
  </si>
  <si>
    <t>A007720</t>
  </si>
  <si>
    <t>A007721</t>
  </si>
  <si>
    <t>A007722</t>
  </si>
  <si>
    <t>A007723</t>
  </si>
  <si>
    <t>A007724</t>
  </si>
  <si>
    <t>A007725</t>
  </si>
  <si>
    <t>A007726</t>
  </si>
  <si>
    <t>A007727</t>
  </si>
  <si>
    <t>A007728</t>
  </si>
  <si>
    <t>A007729</t>
  </si>
  <si>
    <t>A007730</t>
  </si>
  <si>
    <t>A007731</t>
  </si>
  <si>
    <t>A007732</t>
  </si>
  <si>
    <t>A007733</t>
  </si>
  <si>
    <t>A007734</t>
  </si>
  <si>
    <t>A007735</t>
  </si>
  <si>
    <t>A007736</t>
  </si>
  <si>
    <t>A007737</t>
  </si>
  <si>
    <t>A007738</t>
  </si>
  <si>
    <t>A007739</t>
  </si>
  <si>
    <t>A007740</t>
  </si>
  <si>
    <t>A007741</t>
  </si>
  <si>
    <t>A007742</t>
  </si>
  <si>
    <t>A007743</t>
  </si>
  <si>
    <t>A007744</t>
  </si>
  <si>
    <t>A007745</t>
  </si>
  <si>
    <t>A007746</t>
  </si>
  <si>
    <t>A007747</t>
  </si>
  <si>
    <t>A007748</t>
  </si>
  <si>
    <t>A007749</t>
  </si>
  <si>
    <t>A007750</t>
  </si>
  <si>
    <t>A007751</t>
  </si>
  <si>
    <t>A007752</t>
  </si>
  <si>
    <t>A007753</t>
  </si>
  <si>
    <t>A007754</t>
  </si>
  <si>
    <t>A007755</t>
  </si>
  <si>
    <t>A007756</t>
  </si>
  <si>
    <t>A007757</t>
  </si>
  <si>
    <t>A007758</t>
  </si>
  <si>
    <t>A007759</t>
  </si>
  <si>
    <t>A007760</t>
  </si>
  <si>
    <t>A007761</t>
  </si>
  <si>
    <t>A007762</t>
  </si>
  <si>
    <t>A007763</t>
  </si>
  <si>
    <t>A007764</t>
  </si>
  <si>
    <t>A007765</t>
  </si>
  <si>
    <t>A007766</t>
  </si>
  <si>
    <t>A007767</t>
  </si>
  <si>
    <t>A007768</t>
  </si>
  <si>
    <t>A007769</t>
  </si>
  <si>
    <t>A007770</t>
  </si>
  <si>
    <t>A007771</t>
  </si>
  <si>
    <t>A007772</t>
  </si>
  <si>
    <t>A007773</t>
  </si>
  <si>
    <t>A007774</t>
  </si>
  <si>
    <t>A007775</t>
  </si>
  <si>
    <t>A007776</t>
  </si>
  <si>
    <t>A007777</t>
  </si>
  <si>
    <t>A007778</t>
  </si>
  <si>
    <t>A007779</t>
  </si>
  <si>
    <t>A007780</t>
  </si>
  <si>
    <t>A007781</t>
  </si>
  <si>
    <t>A007782</t>
  </si>
  <si>
    <t>A007783</t>
  </si>
  <si>
    <t>A007784</t>
  </si>
  <si>
    <t>A007785</t>
  </si>
  <si>
    <t>A007786</t>
  </si>
  <si>
    <t>A007787</t>
  </si>
  <si>
    <t>A007788</t>
  </si>
  <si>
    <t>A007789</t>
  </si>
  <si>
    <t>A007790</t>
  </si>
  <si>
    <t>A007791</t>
  </si>
  <si>
    <t>A007792</t>
  </si>
  <si>
    <t>A007793</t>
  </si>
  <si>
    <t>A007794</t>
  </si>
  <si>
    <t>A007795</t>
  </si>
  <si>
    <t>A007796</t>
  </si>
  <si>
    <t>A007797</t>
  </si>
  <si>
    <t>A007798</t>
  </si>
  <si>
    <t>A007799</t>
  </si>
  <si>
    <t>A007800</t>
  </si>
  <si>
    <t>A007801</t>
  </si>
  <si>
    <t>A007802</t>
  </si>
  <si>
    <t>A007803</t>
  </si>
  <si>
    <t>A007804</t>
  </si>
  <si>
    <t>A007805</t>
  </si>
  <si>
    <t>A007806</t>
  </si>
  <si>
    <t>A007807</t>
  </si>
  <si>
    <t>A007808</t>
  </si>
  <si>
    <t>A007809</t>
  </si>
  <si>
    <t>A007810</t>
  </si>
  <si>
    <t>A007811</t>
  </si>
  <si>
    <t>A007812</t>
  </si>
  <si>
    <t>A007813</t>
  </si>
  <si>
    <t>A007814</t>
  </si>
  <si>
    <t>A007815</t>
  </si>
  <si>
    <t>A007816</t>
  </si>
  <si>
    <t>A007817</t>
  </si>
  <si>
    <t>A007818</t>
  </si>
  <si>
    <t>A007819</t>
  </si>
  <si>
    <t>A007820</t>
  </si>
  <si>
    <t>A007821</t>
  </si>
  <si>
    <t>A007822</t>
  </si>
  <si>
    <t>A007823</t>
  </si>
  <si>
    <t>A007824</t>
  </si>
  <si>
    <t>A007825</t>
  </si>
  <si>
    <t>A007826</t>
  </si>
  <si>
    <t>A007827</t>
  </si>
  <si>
    <t>A007828</t>
  </si>
  <si>
    <t>A007829</t>
  </si>
  <si>
    <t>A007830</t>
  </si>
  <si>
    <t>A007831</t>
  </si>
  <si>
    <t>A007832</t>
  </si>
  <si>
    <t>A007833</t>
  </si>
  <si>
    <t>A007834</t>
  </si>
  <si>
    <t>A007835</t>
  </si>
  <si>
    <t>A007836</t>
  </si>
  <si>
    <t>A007837</t>
  </si>
  <si>
    <t>A007838</t>
  </si>
  <si>
    <t>A007839</t>
  </si>
  <si>
    <t>A007840</t>
  </si>
  <si>
    <t>A007841</t>
  </si>
  <si>
    <t>A007842</t>
  </si>
  <si>
    <t>A007843</t>
  </si>
  <si>
    <t>A007844</t>
  </si>
  <si>
    <t>A007845</t>
  </si>
  <si>
    <t>A007846</t>
  </si>
  <si>
    <t>A007847</t>
  </si>
  <si>
    <t>A007848</t>
  </si>
  <si>
    <t>A007849</t>
  </si>
  <si>
    <t>A007850</t>
  </si>
  <si>
    <t>A007851</t>
  </si>
  <si>
    <t>A007852</t>
  </si>
  <si>
    <t>A007853</t>
  </si>
  <si>
    <t>A007854</t>
  </si>
  <si>
    <t>A007855</t>
  </si>
  <si>
    <t>A007856</t>
  </si>
  <si>
    <t>A007857</t>
  </si>
  <si>
    <t>A007858</t>
  </si>
  <si>
    <t>A007859</t>
  </si>
  <si>
    <t>A007860</t>
  </si>
  <si>
    <t>A007861</t>
  </si>
  <si>
    <t>A007862</t>
  </si>
  <si>
    <t>A007863</t>
  </si>
  <si>
    <t>A007864</t>
  </si>
  <si>
    <t>A007865</t>
  </si>
  <si>
    <t>A007866</t>
  </si>
  <si>
    <t>A007867</t>
  </si>
  <si>
    <t>A007868</t>
  </si>
  <si>
    <t>A007869</t>
  </si>
  <si>
    <t>A007870</t>
  </si>
  <si>
    <t>A007871</t>
  </si>
  <si>
    <t>A007872</t>
  </si>
  <si>
    <t>A007873</t>
  </si>
  <si>
    <t>A007874</t>
  </si>
  <si>
    <t>A007875</t>
  </si>
  <si>
    <t>A007876</t>
  </si>
  <si>
    <t>A007877</t>
  </si>
  <si>
    <t>A007878</t>
  </si>
  <si>
    <t>A007879</t>
  </si>
  <si>
    <t>A007880</t>
  </si>
  <si>
    <t>A007881</t>
  </si>
  <si>
    <t>A007882</t>
  </si>
  <si>
    <t>A007883</t>
  </si>
  <si>
    <t>A007884</t>
  </si>
  <si>
    <t>A007885</t>
  </si>
  <si>
    <t>A007886</t>
  </si>
  <si>
    <t>A007887</t>
  </si>
  <si>
    <t>A007888</t>
  </si>
  <si>
    <t>A007889</t>
  </si>
  <si>
    <t>A007890</t>
  </si>
  <si>
    <t>A007891</t>
  </si>
  <si>
    <t>A007892</t>
  </si>
  <si>
    <t>A007893</t>
  </si>
  <si>
    <t>A007894</t>
  </si>
  <si>
    <t>A007895</t>
  </si>
  <si>
    <t>A007896</t>
  </si>
  <si>
    <t>A007897</t>
  </si>
  <si>
    <t>A007898</t>
  </si>
  <si>
    <t>A007899</t>
  </si>
  <si>
    <t>A007900</t>
  </si>
  <si>
    <t>A007901</t>
  </si>
  <si>
    <t>A007902</t>
  </si>
  <si>
    <t>A007903</t>
  </si>
  <si>
    <t>A007904</t>
  </si>
  <si>
    <t>A007905</t>
  </si>
  <si>
    <t>A007906</t>
  </si>
  <si>
    <t>A007907</t>
  </si>
  <si>
    <t>A007908</t>
  </si>
  <si>
    <t>A007909</t>
  </si>
  <si>
    <t>A007910</t>
  </si>
  <si>
    <t>A007911</t>
  </si>
  <si>
    <t>A007912</t>
  </si>
  <si>
    <t>A007913</t>
  </si>
  <si>
    <t>A007914</t>
  </si>
  <si>
    <t>A007915</t>
  </si>
  <si>
    <t>A007916</t>
  </si>
  <si>
    <t>A007917</t>
  </si>
  <si>
    <t>A007918</t>
  </si>
  <si>
    <t>A007919</t>
  </si>
  <si>
    <t>A007920</t>
  </si>
  <si>
    <t>A007921</t>
  </si>
  <si>
    <t>A007922</t>
  </si>
  <si>
    <t>A007923</t>
  </si>
  <si>
    <t>A007924</t>
  </si>
  <si>
    <t>A007925</t>
  </si>
  <si>
    <t>A007926</t>
  </si>
  <si>
    <t>A007927</t>
  </si>
  <si>
    <t>A007928</t>
  </si>
  <si>
    <t>A007929</t>
  </si>
  <si>
    <t>A007930</t>
  </si>
  <si>
    <t>A007931</t>
  </si>
  <si>
    <t>A007932</t>
  </si>
  <si>
    <t>A007933</t>
  </si>
  <si>
    <t>A007934</t>
  </si>
  <si>
    <t>A007935</t>
  </si>
  <si>
    <t>A007936</t>
  </si>
  <si>
    <t>A007937</t>
  </si>
  <si>
    <t>A007938</t>
  </si>
  <si>
    <t>A007939</t>
  </si>
  <si>
    <t>A007940</t>
  </si>
  <si>
    <t>A007941</t>
  </si>
  <si>
    <t>A007942</t>
  </si>
  <si>
    <t>A007943</t>
  </si>
  <si>
    <t>A007944</t>
  </si>
  <si>
    <t>A007945</t>
  </si>
  <si>
    <t>A007946</t>
  </si>
  <si>
    <t>A007947</t>
  </si>
  <si>
    <t>A007948</t>
  </si>
  <si>
    <t>A007949</t>
  </si>
  <si>
    <t>A007950</t>
  </si>
  <si>
    <t>A007951</t>
  </si>
  <si>
    <t>A007952</t>
  </si>
  <si>
    <t>A007953</t>
  </si>
  <si>
    <t>A007954</t>
  </si>
  <si>
    <t>A007955</t>
  </si>
  <si>
    <t>A007956</t>
  </si>
  <si>
    <t>A007957</t>
  </si>
  <si>
    <t>A007958</t>
  </si>
  <si>
    <t>A007959</t>
  </si>
  <si>
    <t>A007960</t>
  </si>
  <si>
    <t>A007961</t>
  </si>
  <si>
    <t>A007962</t>
  </si>
  <si>
    <t>A007963</t>
  </si>
  <si>
    <t>A007964</t>
  </si>
  <si>
    <t>A007965</t>
  </si>
  <si>
    <t>A007966</t>
  </si>
  <si>
    <t>A007967</t>
  </si>
  <si>
    <t>A007968</t>
  </si>
  <si>
    <t>A007969</t>
  </si>
  <si>
    <t>A007970</t>
  </si>
  <si>
    <t>A007971</t>
  </si>
  <si>
    <t>A007972</t>
  </si>
  <si>
    <t>A007973</t>
  </si>
  <si>
    <t>A007974</t>
  </si>
  <si>
    <t>A007975</t>
  </si>
  <si>
    <t>A007976</t>
  </si>
  <si>
    <t>A007977</t>
  </si>
  <si>
    <t>A007978</t>
  </si>
  <si>
    <t>A007979</t>
  </si>
  <si>
    <t>A007980</t>
  </si>
  <si>
    <t>A007981</t>
  </si>
  <si>
    <t>A007982</t>
  </si>
  <si>
    <t>A007983</t>
  </si>
  <si>
    <t>A007984</t>
  </si>
  <si>
    <t>A007985</t>
  </si>
  <si>
    <t>A007986</t>
  </si>
  <si>
    <t>A007987</t>
  </si>
  <si>
    <t>A007988</t>
  </si>
  <si>
    <t>A007989</t>
  </si>
  <si>
    <t>A007990</t>
  </si>
  <si>
    <t>A007991</t>
  </si>
  <si>
    <t>A007992</t>
  </si>
  <si>
    <t>A007993</t>
  </si>
  <si>
    <t>A007994</t>
  </si>
  <si>
    <t>A007995</t>
  </si>
  <si>
    <t>A007996</t>
  </si>
  <si>
    <t>A007997</t>
  </si>
  <si>
    <t>A007998</t>
  </si>
  <si>
    <t>A007999</t>
  </si>
  <si>
    <t>A008000</t>
  </si>
  <si>
    <t>A008001</t>
  </si>
  <si>
    <t>A008002</t>
  </si>
  <si>
    <t>A008003</t>
  </si>
  <si>
    <t>A008004</t>
  </si>
  <si>
    <t>A008005</t>
  </si>
  <si>
    <t>A008006</t>
  </si>
  <si>
    <t>A008007</t>
  </si>
  <si>
    <t>A008008</t>
  </si>
  <si>
    <t>A008009</t>
  </si>
  <si>
    <t>A008010</t>
  </si>
  <si>
    <t>A008011</t>
  </si>
  <si>
    <t>A008012</t>
  </si>
  <si>
    <t>A008013</t>
  </si>
  <si>
    <t>A008014</t>
  </si>
  <si>
    <t>A008015</t>
  </si>
  <si>
    <t>A008016</t>
  </si>
  <si>
    <t>A008017</t>
  </si>
  <si>
    <t>A008018</t>
  </si>
  <si>
    <t>A008019</t>
  </si>
  <si>
    <t>A008020</t>
  </si>
  <si>
    <t>A008021</t>
  </si>
  <si>
    <t>A008022</t>
  </si>
  <si>
    <t>A008023</t>
  </si>
  <si>
    <t>A008024</t>
  </si>
  <si>
    <t>A008025</t>
  </si>
  <si>
    <t>A008026</t>
  </si>
  <si>
    <t>A008027</t>
  </si>
  <si>
    <t>A008028</t>
  </si>
  <si>
    <t>A008029</t>
  </si>
  <si>
    <t>A008030</t>
  </si>
  <si>
    <t>A008031</t>
  </si>
  <si>
    <t>A008032</t>
  </si>
  <si>
    <t>A008033</t>
  </si>
  <si>
    <t>A008034</t>
  </si>
  <si>
    <t>A008035</t>
  </si>
  <si>
    <t>A008036</t>
  </si>
  <si>
    <t>A008037</t>
  </si>
  <si>
    <t>A008038</t>
  </si>
  <si>
    <t>A008039</t>
  </si>
  <si>
    <t>A008040</t>
  </si>
  <si>
    <t>A008041</t>
  </si>
  <si>
    <t>A008042</t>
  </si>
  <si>
    <t>A008043</t>
  </si>
  <si>
    <t>A008044</t>
  </si>
  <si>
    <t>A008045</t>
  </si>
  <si>
    <t>A008046</t>
  </si>
  <si>
    <t>A008047</t>
  </si>
  <si>
    <t>A008048</t>
  </si>
  <si>
    <t>A008049</t>
  </si>
  <si>
    <t>A008050</t>
  </si>
  <si>
    <t>A008051</t>
  </si>
  <si>
    <t>A008052</t>
  </si>
  <si>
    <t>A008053</t>
  </si>
  <si>
    <t>A008054</t>
  </si>
  <si>
    <t>A008055</t>
  </si>
  <si>
    <t>A008056</t>
  </si>
  <si>
    <t>A008057</t>
  </si>
  <si>
    <t>A008058</t>
  </si>
  <si>
    <t>A008059</t>
  </si>
  <si>
    <t>A008060</t>
  </si>
  <si>
    <t>A008061</t>
  </si>
  <si>
    <t>A008062</t>
  </si>
  <si>
    <t>A008063</t>
  </si>
  <si>
    <t>A008064</t>
  </si>
  <si>
    <t>A008065</t>
  </si>
  <si>
    <t>A008066</t>
  </si>
  <si>
    <t>A008067</t>
  </si>
  <si>
    <t>A008068</t>
  </si>
  <si>
    <t>A008069</t>
  </si>
  <si>
    <t>A008070</t>
  </si>
  <si>
    <t>A008071</t>
  </si>
  <si>
    <t>A008072</t>
  </si>
  <si>
    <t>A008073</t>
  </si>
  <si>
    <t>A008074</t>
  </si>
  <si>
    <t>A008075</t>
  </si>
  <si>
    <t>A008076</t>
  </si>
  <si>
    <t>A008077</t>
  </si>
  <si>
    <t>A008078</t>
  </si>
  <si>
    <t>A008079</t>
  </si>
  <si>
    <t>A008080</t>
  </si>
  <si>
    <t>A008081</t>
  </si>
  <si>
    <t>A008082</t>
  </si>
  <si>
    <t>A008083</t>
  </si>
  <si>
    <t>A008084</t>
  </si>
  <si>
    <t>A008085</t>
  </si>
  <si>
    <t>A008086</t>
  </si>
  <si>
    <t>A008087</t>
  </si>
  <si>
    <t>A008088</t>
  </si>
  <si>
    <t>A008089</t>
  </si>
  <si>
    <t>A008090</t>
  </si>
  <si>
    <t>A008091</t>
  </si>
  <si>
    <t>A008092</t>
  </si>
  <si>
    <t>A008093</t>
  </si>
  <si>
    <t>A008094</t>
  </si>
  <si>
    <t>A008095</t>
  </si>
  <si>
    <t>A008096</t>
  </si>
  <si>
    <t>A008097</t>
  </si>
  <si>
    <t>A008098</t>
  </si>
  <si>
    <t>A008099</t>
  </si>
  <si>
    <t>A008100</t>
  </si>
  <si>
    <t>A008101</t>
  </si>
  <si>
    <t>A008102</t>
  </si>
  <si>
    <t>A008103</t>
  </si>
  <si>
    <t>A008104</t>
  </si>
  <si>
    <t>A008105</t>
  </si>
  <si>
    <t>A008106</t>
  </si>
  <si>
    <t>A008107</t>
  </si>
  <si>
    <t>A008108</t>
  </si>
  <si>
    <t>A008109</t>
  </si>
  <si>
    <t>A008110</t>
  </si>
  <si>
    <t>A008111</t>
  </si>
  <si>
    <t>A008112</t>
  </si>
  <si>
    <t>A008113</t>
  </si>
  <si>
    <t>A008114</t>
  </si>
  <si>
    <t>A008115</t>
  </si>
  <si>
    <t>A008116</t>
  </si>
  <si>
    <t>A008117</t>
  </si>
  <si>
    <t>A008118</t>
  </si>
  <si>
    <t>A008119</t>
  </si>
  <si>
    <t>A008120</t>
  </si>
  <si>
    <t>A008121</t>
  </si>
  <si>
    <t>A008122</t>
  </si>
  <si>
    <t>A008123</t>
  </si>
  <si>
    <t>A008124</t>
  </si>
  <si>
    <t>A008125</t>
  </si>
  <si>
    <t>A008126</t>
  </si>
  <si>
    <t>A008127</t>
  </si>
  <si>
    <t>A008128</t>
  </si>
  <si>
    <t>A008129</t>
  </si>
  <si>
    <t>A008130</t>
  </si>
  <si>
    <t>A008131</t>
  </si>
  <si>
    <t>A008132</t>
  </si>
  <si>
    <t>A008133</t>
  </si>
  <si>
    <t>A008134</t>
  </si>
  <si>
    <t>A008135</t>
  </si>
  <si>
    <t>A008136</t>
  </si>
  <si>
    <t>A008137</t>
  </si>
  <si>
    <t>A008138</t>
  </si>
  <si>
    <t>A008139</t>
  </si>
  <si>
    <t>A008140</t>
  </si>
  <si>
    <t>A008141</t>
  </si>
  <si>
    <t>A008142</t>
  </si>
  <si>
    <t>A008143</t>
  </si>
  <si>
    <t>A008144</t>
  </si>
  <si>
    <t>A008145</t>
  </si>
  <si>
    <t>A008146</t>
  </si>
  <si>
    <t>A008147</t>
  </si>
  <si>
    <t>A008148</t>
  </si>
  <si>
    <t>A008149</t>
  </si>
  <si>
    <t>A008150</t>
  </si>
  <si>
    <t>A008151</t>
  </si>
  <si>
    <t>A008152</t>
  </si>
  <si>
    <t>A008153</t>
  </si>
  <si>
    <t>A008154</t>
  </si>
  <si>
    <t>A008155</t>
  </si>
  <si>
    <t>A008156</t>
  </si>
  <si>
    <t>A008157</t>
  </si>
  <si>
    <t>A008158</t>
  </si>
  <si>
    <t>A008159</t>
  </si>
  <si>
    <t>A008160</t>
  </si>
  <si>
    <t>A008161</t>
  </si>
  <si>
    <t>A008162</t>
  </si>
  <si>
    <t>A008163</t>
  </si>
  <si>
    <t>A008164</t>
  </si>
  <si>
    <t>A008165</t>
  </si>
  <si>
    <t>A008166</t>
  </si>
  <si>
    <t>A008167</t>
  </si>
  <si>
    <t>A008168</t>
  </si>
  <si>
    <t>A008169</t>
  </si>
  <si>
    <t>A008170</t>
  </si>
  <si>
    <t>A008171</t>
  </si>
  <si>
    <t>A008172</t>
  </si>
  <si>
    <t>A008173</t>
  </si>
  <si>
    <t>A008174</t>
  </si>
  <si>
    <t>A008175</t>
  </si>
  <si>
    <t>A008176</t>
  </si>
  <si>
    <t>A008177</t>
  </si>
  <si>
    <t>A008178</t>
  </si>
  <si>
    <t>A008179</t>
  </si>
  <si>
    <t>A008180</t>
  </si>
  <si>
    <t>A008181</t>
  </si>
  <si>
    <t>A008182</t>
  </si>
  <si>
    <t>A008183</t>
  </si>
  <si>
    <t>A008184</t>
  </si>
  <si>
    <t>A008185</t>
  </si>
  <si>
    <t>A008186</t>
  </si>
  <si>
    <t>A008187</t>
  </si>
  <si>
    <t>A008188</t>
  </si>
  <si>
    <t>A008189</t>
  </si>
  <si>
    <t>A008190</t>
  </si>
  <si>
    <t>A008191</t>
  </si>
  <si>
    <t>A008192</t>
  </si>
  <si>
    <t>A008193</t>
  </si>
  <si>
    <t>A008194</t>
  </si>
  <si>
    <t>A008195</t>
  </si>
  <si>
    <t>A008196</t>
  </si>
  <si>
    <t>A008197</t>
  </si>
  <si>
    <t>A008198</t>
  </si>
  <si>
    <t>A008199</t>
  </si>
  <si>
    <t>A008200</t>
  </si>
  <si>
    <t>A008201</t>
  </si>
  <si>
    <t>A008202</t>
  </si>
  <si>
    <t>A008203</t>
  </si>
  <si>
    <t>A008204</t>
  </si>
  <si>
    <t>A008205</t>
  </si>
  <si>
    <t>A008206</t>
  </si>
  <si>
    <t>A008207</t>
  </si>
  <si>
    <t>A008208</t>
  </si>
  <si>
    <t>A008209</t>
  </si>
  <si>
    <t>A008210</t>
  </si>
  <si>
    <t>A008211</t>
  </si>
  <si>
    <t>A008212</t>
  </si>
  <si>
    <t>A008213</t>
  </si>
  <si>
    <t>A008214</t>
  </si>
  <si>
    <t>A008215</t>
  </si>
  <si>
    <t>A008216</t>
  </si>
  <si>
    <t>A008217</t>
  </si>
  <si>
    <t>A008218</t>
  </si>
  <si>
    <t>A008219</t>
  </si>
  <si>
    <t>A008220</t>
  </si>
  <si>
    <t>A008221</t>
  </si>
  <si>
    <t>A008222</t>
  </si>
  <si>
    <t>A008223</t>
  </si>
  <si>
    <t>A008224</t>
  </si>
  <si>
    <t>A008225</t>
  </si>
  <si>
    <t>A008226</t>
  </si>
  <si>
    <t>A008227</t>
  </si>
  <si>
    <t>A008228</t>
  </si>
  <si>
    <t>A008229</t>
  </si>
  <si>
    <t>A008230</t>
  </si>
  <si>
    <t>A008231</t>
  </si>
  <si>
    <t>A008232</t>
  </si>
  <si>
    <t>A008233</t>
  </si>
  <si>
    <t>A008234</t>
  </si>
  <si>
    <t>A008235</t>
  </si>
  <si>
    <t>A008236</t>
  </si>
  <si>
    <t>A008237</t>
  </si>
  <si>
    <t>A008238</t>
  </si>
  <si>
    <t>A008239</t>
  </si>
  <si>
    <t>A008240</t>
  </si>
  <si>
    <t>A008241</t>
  </si>
  <si>
    <t>A008242</t>
  </si>
  <si>
    <t>A008243</t>
  </si>
  <si>
    <t>A008244</t>
  </si>
  <si>
    <t>A008245</t>
  </si>
  <si>
    <t>A008246</t>
  </si>
  <si>
    <t>A008247</t>
  </si>
  <si>
    <t>A008248</t>
  </si>
  <si>
    <t>A008249</t>
  </si>
  <si>
    <t>A008250</t>
  </si>
  <si>
    <t>A008251</t>
  </si>
  <si>
    <t>A008252</t>
  </si>
  <si>
    <t>A008253</t>
  </si>
  <si>
    <t>A008254</t>
  </si>
  <si>
    <t>A008255</t>
  </si>
  <si>
    <t>A008256</t>
  </si>
  <si>
    <t>A008257</t>
  </si>
  <si>
    <t>A008258</t>
  </si>
  <si>
    <t>A008259</t>
  </si>
  <si>
    <t>A008260</t>
  </si>
  <si>
    <t>A008261</t>
  </si>
  <si>
    <t>A008262</t>
  </si>
  <si>
    <t>A008263</t>
  </si>
  <si>
    <t>A008264</t>
  </si>
  <si>
    <t>A008265</t>
  </si>
  <si>
    <t>A008266</t>
  </si>
  <si>
    <t>A008267</t>
  </si>
  <si>
    <t>A008268</t>
  </si>
  <si>
    <t>A008269</t>
  </si>
  <si>
    <t>A008270</t>
  </si>
  <si>
    <t>A008271</t>
  </si>
  <si>
    <t>A008272</t>
  </si>
  <si>
    <t>A008273</t>
  </si>
  <si>
    <t>A008274</t>
  </si>
  <si>
    <t>A008275</t>
  </si>
  <si>
    <t>A008276</t>
  </si>
  <si>
    <t>A008277</t>
  </si>
  <si>
    <t>A008278</t>
  </si>
  <si>
    <t>A008279</t>
  </si>
  <si>
    <t>A008280</t>
  </si>
  <si>
    <t>A008281</t>
  </si>
  <si>
    <t>A008282</t>
  </si>
  <si>
    <t>A008283</t>
  </si>
  <si>
    <t>A008284</t>
  </si>
  <si>
    <t>A008285</t>
  </si>
  <si>
    <t>A008286</t>
  </si>
  <si>
    <t>A008287</t>
  </si>
  <si>
    <t>A008288</t>
  </si>
  <si>
    <t>A008289</t>
  </si>
  <si>
    <t>A008290</t>
  </si>
  <si>
    <t>A008291</t>
  </si>
  <si>
    <t>A008292</t>
  </si>
  <si>
    <t>A008293</t>
  </si>
  <si>
    <t>A008294</t>
  </si>
  <si>
    <t>A008295</t>
  </si>
  <si>
    <t>A008296</t>
  </si>
  <si>
    <t>A008297</t>
  </si>
  <si>
    <t>A008298</t>
  </si>
  <si>
    <t>A008299</t>
  </si>
  <si>
    <t>A008300</t>
  </si>
  <si>
    <t>A008301</t>
  </si>
  <si>
    <t>A008302</t>
  </si>
  <si>
    <t>A008303</t>
  </si>
  <si>
    <t>A008304</t>
  </si>
  <si>
    <t>A008305</t>
  </si>
  <si>
    <t>A008306</t>
  </si>
  <si>
    <t>A008307</t>
  </si>
  <si>
    <t>A008308</t>
  </si>
  <si>
    <t>A008309</t>
  </si>
  <si>
    <t>A008310</t>
  </si>
  <si>
    <t>A008311</t>
  </si>
  <si>
    <t>A008312</t>
  </si>
  <si>
    <t>A008313</t>
  </si>
  <si>
    <t>A008314</t>
  </si>
  <si>
    <t>A008315</t>
  </si>
  <si>
    <t>A008316</t>
  </si>
  <si>
    <t>A008317</t>
  </si>
  <si>
    <t>A008318</t>
  </si>
  <si>
    <t>A008319</t>
  </si>
  <si>
    <t>A008320</t>
  </si>
  <si>
    <t>A008321</t>
  </si>
  <si>
    <t>A008322</t>
  </si>
  <si>
    <t>A008323</t>
  </si>
  <si>
    <t>A008324</t>
  </si>
  <si>
    <t>A008325</t>
  </si>
  <si>
    <t>A008326</t>
  </si>
  <si>
    <t>A008327</t>
  </si>
  <si>
    <t>A008328</t>
  </si>
  <si>
    <t>A008329</t>
  </si>
  <si>
    <t>A008330</t>
  </si>
  <si>
    <t>A008331</t>
  </si>
  <si>
    <t>A008332</t>
  </si>
  <si>
    <t>A008333</t>
  </si>
  <si>
    <t>A008334</t>
  </si>
  <si>
    <t>A008335</t>
  </si>
  <si>
    <t>A008336</t>
  </si>
  <si>
    <t>A008337</t>
  </si>
  <si>
    <t>A008338</t>
  </si>
  <si>
    <t>A008339</t>
  </si>
  <si>
    <t>A008340</t>
  </si>
  <si>
    <t>A008341</t>
  </si>
  <si>
    <t>A008342</t>
  </si>
  <si>
    <t>A008343</t>
  </si>
  <si>
    <t>A008344</t>
  </si>
  <si>
    <t>A008345</t>
  </si>
  <si>
    <t>A008346</t>
  </si>
  <si>
    <t>A008347</t>
  </si>
  <si>
    <t>A008348</t>
  </si>
  <si>
    <t>A008349</t>
  </si>
  <si>
    <t>A008350</t>
  </si>
  <si>
    <t>A008351</t>
  </si>
  <si>
    <t>A008352</t>
  </si>
  <si>
    <t>A008353</t>
  </si>
  <si>
    <t>A008354</t>
  </si>
  <si>
    <t>A008355</t>
  </si>
  <si>
    <t>A008356</t>
  </si>
  <si>
    <t>A008357</t>
  </si>
  <si>
    <t>A008358</t>
  </si>
  <si>
    <t>A008359</t>
  </si>
  <si>
    <t>A008360</t>
  </si>
  <si>
    <t>A008361</t>
  </si>
  <si>
    <t>A008362</t>
  </si>
  <si>
    <t>A008363</t>
  </si>
  <si>
    <t>A008364</t>
  </si>
  <si>
    <t>A008365</t>
  </si>
  <si>
    <t>A008366</t>
  </si>
  <si>
    <t>A008367</t>
  </si>
  <si>
    <t>A008368</t>
  </si>
  <si>
    <t>A008369</t>
  </si>
  <si>
    <t>A008370</t>
  </si>
  <si>
    <t>A008371</t>
  </si>
  <si>
    <t>A008372</t>
  </si>
  <si>
    <t>A008373</t>
  </si>
  <si>
    <t>A008374</t>
  </si>
  <si>
    <t>A008375</t>
  </si>
  <si>
    <t>A008376</t>
  </si>
  <si>
    <t>A008377</t>
  </si>
  <si>
    <t>A008378</t>
  </si>
  <si>
    <t>A008379</t>
  </si>
  <si>
    <t>A008380</t>
  </si>
  <si>
    <t>A008381</t>
  </si>
  <si>
    <t>A008382</t>
  </si>
  <si>
    <t>A008383</t>
  </si>
  <si>
    <t>A008384</t>
  </si>
  <si>
    <t>A008385</t>
  </si>
  <si>
    <t>A008386</t>
  </si>
  <si>
    <t>A008387</t>
  </si>
  <si>
    <t>A008388</t>
  </si>
  <si>
    <t>A008389</t>
  </si>
  <si>
    <t>A008390</t>
  </si>
  <si>
    <t>A008391</t>
  </si>
  <si>
    <t>A008392</t>
  </si>
  <si>
    <t>A008393</t>
  </si>
  <si>
    <t>A008394</t>
  </si>
  <si>
    <t>A008395</t>
  </si>
  <si>
    <t>A008396</t>
  </si>
  <si>
    <t>A008397</t>
  </si>
  <si>
    <t>A008398</t>
  </si>
  <si>
    <t>A008399</t>
  </si>
  <si>
    <t>A008400</t>
  </si>
  <si>
    <t>A008401</t>
  </si>
  <si>
    <t>A008402</t>
  </si>
  <si>
    <t>A008403</t>
  </si>
  <si>
    <t>A008404</t>
  </si>
  <si>
    <t>A008405</t>
  </si>
  <si>
    <t>A008406</t>
  </si>
  <si>
    <t>A008407</t>
  </si>
  <si>
    <t>A008408</t>
  </si>
  <si>
    <t>A008409</t>
  </si>
  <si>
    <t>A008410</t>
  </si>
  <si>
    <t>A008411</t>
  </si>
  <si>
    <t>A008412</t>
  </si>
  <si>
    <t>A008413</t>
  </si>
  <si>
    <t>A008414</t>
  </si>
  <si>
    <t>A008415</t>
  </si>
  <si>
    <t>A008416</t>
  </si>
  <si>
    <t>A008417</t>
  </si>
  <si>
    <t>A008418</t>
  </si>
  <si>
    <t>A008419</t>
  </si>
  <si>
    <t>A008420</t>
  </si>
  <si>
    <t>A008421</t>
  </si>
  <si>
    <t>A008422</t>
  </si>
  <si>
    <t>A008423</t>
  </si>
  <si>
    <t>A008424</t>
  </si>
  <si>
    <t>A008425</t>
  </si>
  <si>
    <t>A008426</t>
  </si>
  <si>
    <t>A008427</t>
  </si>
  <si>
    <t>A008428</t>
  </si>
  <si>
    <t>A008429</t>
  </si>
  <si>
    <t>A008430</t>
  </si>
  <si>
    <t>A008431</t>
  </si>
  <si>
    <t>A008432</t>
  </si>
  <si>
    <t>A008433</t>
  </si>
  <si>
    <t>A008434</t>
  </si>
  <si>
    <t>A008435</t>
  </si>
  <si>
    <t>A008436</t>
  </si>
  <si>
    <t>A008437</t>
  </si>
  <si>
    <t>A008438</t>
  </si>
  <si>
    <t>A008439</t>
  </si>
  <si>
    <t>A008440</t>
  </si>
  <si>
    <t>A008441</t>
  </si>
  <si>
    <t>A008442</t>
  </si>
  <si>
    <t>A008443</t>
  </si>
  <si>
    <t>A008444</t>
  </si>
  <si>
    <t>A008445</t>
  </si>
  <si>
    <t>A008446</t>
  </si>
  <si>
    <t>A008447</t>
  </si>
  <si>
    <t>A008448</t>
  </si>
  <si>
    <t>A008449</t>
  </si>
  <si>
    <t>A008450</t>
  </si>
  <si>
    <t>A008451</t>
  </si>
  <si>
    <t>A008452</t>
  </si>
  <si>
    <t>A008453</t>
  </si>
  <si>
    <t>A008454</t>
  </si>
  <si>
    <t>A008455</t>
  </si>
  <si>
    <t>A008456</t>
  </si>
  <si>
    <t>A008457</t>
  </si>
  <si>
    <t>A008458</t>
  </si>
  <si>
    <t>A008459</t>
  </si>
  <si>
    <t>A008460</t>
  </si>
  <si>
    <t>A008461</t>
  </si>
  <si>
    <t>A008462</t>
  </si>
  <si>
    <t>A008463</t>
  </si>
  <si>
    <t>A008464</t>
  </si>
  <si>
    <t>A008465</t>
  </si>
  <si>
    <t>A008466</t>
  </si>
  <si>
    <t>A008467</t>
  </si>
  <si>
    <t>A008468</t>
  </si>
  <si>
    <t>A008469</t>
  </si>
  <si>
    <t>A008470</t>
  </si>
  <si>
    <t>A008471</t>
  </si>
  <si>
    <t>A008472</t>
  </si>
  <si>
    <t>A008473</t>
  </si>
  <si>
    <t>A008474</t>
  </si>
  <si>
    <t>A008475</t>
  </si>
  <si>
    <t>A008476</t>
  </si>
  <si>
    <t>A008477</t>
  </si>
  <si>
    <t>A008478</t>
  </si>
  <si>
    <t>A008479</t>
  </si>
  <si>
    <t>A008480</t>
  </si>
  <si>
    <t>A008481</t>
  </si>
  <si>
    <t>A008482</t>
  </si>
  <si>
    <t>A008483</t>
  </si>
  <si>
    <t>A008484</t>
  </si>
  <si>
    <t>A008485</t>
  </si>
  <si>
    <t>A008486</t>
  </si>
  <si>
    <t>A008487</t>
  </si>
  <si>
    <t>A008488</t>
  </si>
  <si>
    <t>A008489</t>
  </si>
  <si>
    <t>A008490</t>
  </si>
  <si>
    <t>A008491</t>
  </si>
  <si>
    <t>A008492</t>
  </si>
  <si>
    <t>A008493</t>
  </si>
  <si>
    <t>A008494</t>
  </si>
  <si>
    <t>A008495</t>
  </si>
  <si>
    <t>A008496</t>
  </si>
  <si>
    <t>A008497</t>
  </si>
  <si>
    <t>A008498</t>
  </si>
  <si>
    <t>A008499</t>
  </si>
  <si>
    <t>A008500</t>
  </si>
  <si>
    <t>A008501</t>
  </si>
  <si>
    <t>A008502</t>
  </si>
  <si>
    <t>A008503</t>
  </si>
  <si>
    <t>A008504</t>
  </si>
  <si>
    <t>A008505</t>
  </si>
  <si>
    <t>A008506</t>
  </si>
  <si>
    <t>A008507</t>
  </si>
  <si>
    <t>A008508</t>
  </si>
  <si>
    <t>A008509</t>
  </si>
  <si>
    <t>A008510</t>
  </si>
  <si>
    <t>A008511</t>
  </si>
  <si>
    <t>A008512</t>
  </si>
  <si>
    <t>A008513</t>
  </si>
  <si>
    <t>A008514</t>
  </si>
  <si>
    <t>A008515</t>
  </si>
  <si>
    <t>A008516</t>
  </si>
  <si>
    <t>A008517</t>
  </si>
  <si>
    <t>A008518</t>
  </si>
  <si>
    <t>A008519</t>
  </si>
  <si>
    <t>A008520</t>
  </si>
  <si>
    <t>A008521</t>
  </si>
  <si>
    <t>A008522</t>
  </si>
  <si>
    <t>A008523</t>
  </si>
  <si>
    <t>A008524</t>
  </si>
  <si>
    <t>A008525</t>
  </si>
  <si>
    <t>A008526</t>
  </si>
  <si>
    <t>A008527</t>
  </si>
  <si>
    <t>A008528</t>
  </si>
  <si>
    <t>A008529</t>
  </si>
  <si>
    <t>A008530</t>
  </si>
  <si>
    <t>A008531</t>
  </si>
  <si>
    <t>A008532</t>
  </si>
  <si>
    <t>A008533</t>
  </si>
  <si>
    <t>A008534</t>
  </si>
  <si>
    <t>A008535</t>
  </si>
  <si>
    <t>A008536</t>
  </si>
  <si>
    <t>A008537</t>
  </si>
  <si>
    <t>A008538</t>
  </si>
  <si>
    <t>A008539</t>
  </si>
  <si>
    <t>A008540</t>
  </si>
  <si>
    <t>A008541</t>
  </si>
  <si>
    <t>A008542</t>
  </si>
  <si>
    <t>A008543</t>
  </si>
  <si>
    <t>A008544</t>
  </si>
  <si>
    <t>A008545</t>
  </si>
  <si>
    <t>A008546</t>
  </si>
  <si>
    <t>A008547</t>
  </si>
  <si>
    <t>A008548</t>
  </si>
  <si>
    <t>A008549</t>
  </si>
  <si>
    <t>A008550</t>
  </si>
  <si>
    <t>A008551</t>
  </si>
  <si>
    <t>A008552</t>
  </si>
  <si>
    <t>A008553</t>
  </si>
  <si>
    <t>A008554</t>
  </si>
  <si>
    <t>A008555</t>
  </si>
  <si>
    <t>A008556</t>
  </si>
  <si>
    <t>A008557</t>
  </si>
  <si>
    <t>A008558</t>
  </si>
  <si>
    <t>A008559</t>
  </si>
  <si>
    <t>A008560</t>
  </si>
  <si>
    <t>A008561</t>
  </si>
  <si>
    <t>A008562</t>
  </si>
  <si>
    <t>A008563</t>
  </si>
  <si>
    <t>A008564</t>
  </si>
  <si>
    <t>A008565</t>
  </si>
  <si>
    <t>A008566</t>
  </si>
  <si>
    <t>A008567</t>
  </si>
  <si>
    <t>A008568</t>
  </si>
  <si>
    <t>A008569</t>
  </si>
  <si>
    <t>A008570</t>
  </si>
  <si>
    <t>A008571</t>
  </si>
  <si>
    <t>A008572</t>
  </si>
  <si>
    <t>A008573</t>
  </si>
  <si>
    <t>A008574</t>
  </si>
  <si>
    <t>A008575</t>
  </si>
  <si>
    <t>A008576</t>
  </si>
  <si>
    <t>A008577</t>
  </si>
  <si>
    <t>A008578</t>
  </si>
  <si>
    <t>A008579</t>
  </si>
  <si>
    <t>A008580</t>
  </si>
  <si>
    <t>A008581</t>
  </si>
  <si>
    <t>A008582</t>
  </si>
  <si>
    <t>A008583</t>
  </si>
  <si>
    <t>A008584</t>
  </si>
  <si>
    <t>A008585</t>
  </si>
  <si>
    <t>A008586</t>
  </si>
  <si>
    <t>A008587</t>
  </si>
  <si>
    <t>A008588</t>
  </si>
  <si>
    <t>A008589</t>
  </si>
  <si>
    <t>A008590</t>
  </si>
  <si>
    <t>A008591</t>
  </si>
  <si>
    <t>A008592</t>
  </si>
  <si>
    <t>A008593</t>
  </si>
  <si>
    <t>A008594</t>
  </si>
  <si>
    <t>A008595</t>
  </si>
  <si>
    <t>A008596</t>
  </si>
  <si>
    <t>A008597</t>
  </si>
  <si>
    <t>A008598</t>
  </si>
  <si>
    <t>A008599</t>
  </si>
  <si>
    <t>A008600</t>
  </si>
  <si>
    <t>A008601</t>
  </si>
  <si>
    <t>A008602</t>
  </si>
  <si>
    <t>A008603</t>
  </si>
  <si>
    <t>A008604</t>
  </si>
  <si>
    <t>A008605</t>
  </si>
  <si>
    <t>A008606</t>
  </si>
  <si>
    <t>A008607</t>
  </si>
  <si>
    <t>A008608</t>
  </si>
  <si>
    <t>A008609</t>
  </si>
  <si>
    <t>A008610</t>
  </si>
  <si>
    <t>A008611</t>
  </si>
  <si>
    <t>A008612</t>
  </si>
  <si>
    <t>A008613</t>
  </si>
  <si>
    <t>A008614</t>
  </si>
  <si>
    <t>A008615</t>
  </si>
  <si>
    <t>A008616</t>
  </si>
  <si>
    <t>A008617</t>
  </si>
  <si>
    <t>A008618</t>
  </si>
  <si>
    <t>A008619</t>
  </si>
  <si>
    <t>A008620</t>
  </si>
  <si>
    <t>A008621</t>
  </si>
  <si>
    <t>A008622</t>
  </si>
  <si>
    <t>A008623</t>
  </si>
  <si>
    <t>A008624</t>
  </si>
  <si>
    <t>A008625</t>
  </si>
  <si>
    <t>A008626</t>
  </si>
  <si>
    <t>A008627</t>
  </si>
  <si>
    <t>A008628</t>
  </si>
  <si>
    <t>A008629</t>
  </si>
  <si>
    <t>A008630</t>
  </si>
  <si>
    <t>A008631</t>
  </si>
  <si>
    <t>A008632</t>
  </si>
  <si>
    <t>A008633</t>
  </si>
  <si>
    <t>A008634</t>
  </si>
  <si>
    <t>A008635</t>
  </si>
  <si>
    <t>A008636</t>
  </si>
  <si>
    <t>A008637</t>
  </si>
  <si>
    <t>A008638</t>
  </si>
  <si>
    <t>A008639</t>
  </si>
  <si>
    <t>A008640</t>
  </si>
  <si>
    <t>A008641</t>
  </si>
  <si>
    <t>A008642</t>
  </si>
  <si>
    <t>A008643</t>
  </si>
  <si>
    <t>A008644</t>
  </si>
  <si>
    <t>A008645</t>
  </si>
  <si>
    <t>A008646</t>
  </si>
  <si>
    <t>A008647</t>
  </si>
  <si>
    <t>A008648</t>
  </si>
  <si>
    <t>A008649</t>
  </si>
  <si>
    <t>A008650</t>
  </si>
  <si>
    <t>A008651</t>
  </si>
  <si>
    <t>A008652</t>
  </si>
  <si>
    <t>A008653</t>
  </si>
  <si>
    <t>A008654</t>
  </si>
  <si>
    <t>A008655</t>
  </si>
  <si>
    <t>A008656</t>
  </si>
  <si>
    <t>A008657</t>
  </si>
  <si>
    <t>A008658</t>
  </si>
  <si>
    <t>A008659</t>
  </si>
  <si>
    <t>A008660</t>
  </si>
  <si>
    <t>A008661</t>
  </si>
  <si>
    <t>A008662</t>
  </si>
  <si>
    <t>A008663</t>
  </si>
  <si>
    <t>A008664</t>
  </si>
  <si>
    <t>A008665</t>
  </si>
  <si>
    <t>A008666</t>
  </si>
  <si>
    <t>A008667</t>
  </si>
  <si>
    <t>A008668</t>
  </si>
  <si>
    <t>A008669</t>
  </si>
  <si>
    <t>A008670</t>
  </si>
  <si>
    <t>A008671</t>
  </si>
  <si>
    <t>A008672</t>
  </si>
  <si>
    <t>A008673</t>
  </si>
  <si>
    <t>A008674</t>
  </si>
  <si>
    <t>A008675</t>
  </si>
  <si>
    <t>A008676</t>
  </si>
  <si>
    <t>A008677</t>
  </si>
  <si>
    <t>A008678</t>
  </si>
  <si>
    <t>A008679</t>
  </si>
  <si>
    <t>A008680</t>
  </si>
  <si>
    <t>A008681</t>
  </si>
  <si>
    <t>A008682</t>
  </si>
  <si>
    <t>A008683</t>
  </si>
  <si>
    <t>A008684</t>
  </si>
  <si>
    <t>A008685</t>
  </si>
  <si>
    <t>A008686</t>
  </si>
  <si>
    <t>A008687</t>
  </si>
  <si>
    <t>A008688</t>
  </si>
  <si>
    <t>A008689</t>
  </si>
  <si>
    <t>A008690</t>
  </si>
  <si>
    <t>A008691</t>
  </si>
  <si>
    <t>A008692</t>
  </si>
  <si>
    <t>A008693</t>
  </si>
  <si>
    <t>A008694</t>
  </si>
  <si>
    <t>A008695</t>
  </si>
  <si>
    <t>A008696</t>
  </si>
  <si>
    <t>A008697</t>
  </si>
  <si>
    <t>A008698</t>
  </si>
  <si>
    <t>A008699</t>
  </si>
  <si>
    <t>A008700</t>
  </si>
  <si>
    <t>A008701</t>
  </si>
  <si>
    <t>A008702</t>
  </si>
  <si>
    <t>A008703</t>
  </si>
  <si>
    <t>A008704</t>
  </si>
  <si>
    <t>A008705</t>
  </si>
  <si>
    <t>A008706</t>
  </si>
  <si>
    <t>A008707</t>
  </si>
  <si>
    <t>A008708</t>
  </si>
  <si>
    <t>A008709</t>
  </si>
  <si>
    <t>A008710</t>
  </si>
  <si>
    <t>A008711</t>
  </si>
  <si>
    <t>A008712</t>
  </si>
  <si>
    <t>A008713</t>
  </si>
  <si>
    <t>A008714</t>
  </si>
  <si>
    <t>A008715</t>
  </si>
  <si>
    <t>A008716</t>
  </si>
  <si>
    <t>A008717</t>
  </si>
  <si>
    <t>A008718</t>
  </si>
  <si>
    <t>A008719</t>
  </si>
  <si>
    <t>A008720</t>
  </si>
  <si>
    <t>A008721</t>
  </si>
  <si>
    <t>A008722</t>
  </si>
  <si>
    <t>A008723</t>
  </si>
  <si>
    <t>A008724</t>
  </si>
  <si>
    <t>A008725</t>
  </si>
  <si>
    <t>A008726</t>
  </si>
  <si>
    <t>A008727</t>
  </si>
  <si>
    <t>A008728</t>
  </si>
  <si>
    <t>A008729</t>
  </si>
  <si>
    <t>A008730</t>
  </si>
  <si>
    <t>A008731</t>
  </si>
  <si>
    <t>A008732</t>
  </si>
  <si>
    <t>A008733</t>
  </si>
  <si>
    <t>A008734</t>
  </si>
  <si>
    <t>A008735</t>
  </si>
  <si>
    <t>A008736</t>
  </si>
  <si>
    <t>A008737</t>
  </si>
  <si>
    <t>A008738</t>
  </si>
  <si>
    <t>A008739</t>
  </si>
  <si>
    <t>A008740</t>
  </si>
  <si>
    <t>A008741</t>
  </si>
  <si>
    <t>A008742</t>
  </si>
  <si>
    <t>A008743</t>
  </si>
  <si>
    <t>A008744</t>
  </si>
  <si>
    <t>A008745</t>
  </si>
  <si>
    <t>A008746</t>
  </si>
  <si>
    <t>A008747</t>
  </si>
  <si>
    <t>A008748</t>
  </si>
  <si>
    <t>A008749</t>
  </si>
  <si>
    <t>A008750</t>
  </si>
  <si>
    <t>A008751</t>
  </si>
  <si>
    <t>A008752</t>
  </si>
  <si>
    <t>A008753</t>
  </si>
  <si>
    <t>A008754</t>
  </si>
  <si>
    <t>A008755</t>
  </si>
  <si>
    <t>A008756</t>
  </si>
  <si>
    <t>A008757</t>
  </si>
  <si>
    <t>A008758</t>
  </si>
  <si>
    <t>A008759</t>
  </si>
  <si>
    <t>A008760</t>
  </si>
  <si>
    <t>A008761</t>
  </si>
  <si>
    <t>A008762</t>
  </si>
  <si>
    <t>A008763</t>
  </si>
  <si>
    <t>A008764</t>
  </si>
  <si>
    <t>A008765</t>
  </si>
  <si>
    <t>A008766</t>
  </si>
  <si>
    <t>A008767</t>
  </si>
  <si>
    <t>A008768</t>
  </si>
  <si>
    <t>A008769</t>
  </si>
  <si>
    <t>A008770</t>
  </si>
  <si>
    <t>A008771</t>
  </si>
  <si>
    <t>A008772</t>
  </si>
  <si>
    <t>A008773</t>
  </si>
  <si>
    <t>A008774</t>
  </si>
  <si>
    <t>A008775</t>
  </si>
  <si>
    <t>A008776</t>
  </si>
  <si>
    <t>A008777</t>
  </si>
  <si>
    <t>A008778</t>
  </si>
  <si>
    <t>A008779</t>
  </si>
  <si>
    <t>A008780</t>
  </si>
  <si>
    <t>A008781</t>
  </si>
  <si>
    <t>A008782</t>
  </si>
  <si>
    <t>A008783</t>
  </si>
  <si>
    <t>A008784</t>
  </si>
  <si>
    <t>A008785</t>
  </si>
  <si>
    <t>A008786</t>
  </si>
  <si>
    <t>A008787</t>
  </si>
  <si>
    <t>A008788</t>
  </si>
  <si>
    <t>A008789</t>
  </si>
  <si>
    <t>A008790</t>
  </si>
  <si>
    <t>A008791</t>
  </si>
  <si>
    <t>A008792</t>
  </si>
  <si>
    <t>A008793</t>
  </si>
  <si>
    <t>A008794</t>
  </si>
  <si>
    <t>A008795</t>
  </si>
  <si>
    <t>A008796</t>
  </si>
  <si>
    <t>A008797</t>
  </si>
  <si>
    <t>A008798</t>
  </si>
  <si>
    <t>A008799</t>
  </si>
  <si>
    <t>A008800</t>
  </si>
  <si>
    <t>A008801</t>
  </si>
  <si>
    <t>A008802</t>
  </si>
  <si>
    <t>A008803</t>
  </si>
  <si>
    <t>A008804</t>
  </si>
  <si>
    <t>A008805</t>
  </si>
  <si>
    <t>A008806</t>
  </si>
  <si>
    <t>A008807</t>
  </si>
  <si>
    <t>A008808</t>
  </si>
  <si>
    <t>A008809</t>
  </si>
  <si>
    <t>A008810</t>
  </si>
  <si>
    <t>A008811</t>
  </si>
  <si>
    <t>A008812</t>
  </si>
  <si>
    <t>A008813</t>
  </si>
  <si>
    <t>A008814</t>
  </si>
  <si>
    <t>A008815</t>
  </si>
  <si>
    <t>A008816</t>
  </si>
  <si>
    <t>A008817</t>
  </si>
  <si>
    <t>A008818</t>
  </si>
  <si>
    <t>A008819</t>
  </si>
  <si>
    <t>A008820</t>
  </si>
  <si>
    <t>A008821</t>
  </si>
  <si>
    <t>A008822</t>
  </si>
  <si>
    <t>A008823</t>
  </si>
  <si>
    <t>A008824</t>
  </si>
  <si>
    <t>A008825</t>
  </si>
  <si>
    <t>A008826</t>
  </si>
  <si>
    <t>A008827</t>
  </si>
  <si>
    <t>A008828</t>
  </si>
  <si>
    <t>A008829</t>
  </si>
  <si>
    <t>A008830</t>
  </si>
  <si>
    <t>A008831</t>
  </si>
  <si>
    <t>A008832</t>
  </si>
  <si>
    <t>A008833</t>
  </si>
  <si>
    <t>A008834</t>
  </si>
  <si>
    <t>A008835</t>
  </si>
  <si>
    <t>A008836</t>
  </si>
  <si>
    <t>A008837</t>
  </si>
  <si>
    <t>A008838</t>
  </si>
  <si>
    <t>A008839</t>
  </si>
  <si>
    <t>A008840</t>
  </si>
  <si>
    <t>A008841</t>
  </si>
  <si>
    <t>A008842</t>
  </si>
  <si>
    <t>A008843</t>
  </si>
  <si>
    <t>A008844</t>
  </si>
  <si>
    <t>A008845</t>
  </si>
  <si>
    <t>A008846</t>
  </si>
  <si>
    <t>A008847</t>
  </si>
  <si>
    <t>A008848</t>
  </si>
  <si>
    <t>A008849</t>
  </si>
  <si>
    <t>A008850</t>
  </si>
  <si>
    <t>A008851</t>
  </si>
  <si>
    <t>A008852</t>
  </si>
  <si>
    <t>A008853</t>
  </si>
  <si>
    <t>A008854</t>
  </si>
  <si>
    <t>A008855</t>
  </si>
  <si>
    <t>A008856</t>
  </si>
  <si>
    <t>A008857</t>
  </si>
  <si>
    <t>A008858</t>
  </si>
  <si>
    <t>A008859</t>
  </si>
  <si>
    <t>A008860</t>
  </si>
  <si>
    <t>A008861</t>
  </si>
  <si>
    <t>A008862</t>
  </si>
  <si>
    <t>A008863</t>
  </si>
  <si>
    <t>A008864</t>
  </si>
  <si>
    <t>A008865</t>
  </si>
  <si>
    <t>A008866</t>
  </si>
  <si>
    <t>A008867</t>
  </si>
  <si>
    <t>A008868</t>
  </si>
  <si>
    <t>A008869</t>
  </si>
  <si>
    <t>A008870</t>
  </si>
  <si>
    <t>A008871</t>
  </si>
  <si>
    <t>A008872</t>
  </si>
  <si>
    <t>A008873</t>
  </si>
  <si>
    <t>A008874</t>
  </si>
  <si>
    <t>A008875</t>
  </si>
  <si>
    <t>A008876</t>
  </si>
  <si>
    <t>A008877</t>
  </si>
  <si>
    <t>A008878</t>
  </si>
  <si>
    <t>A008879</t>
  </si>
  <si>
    <t>A008880</t>
  </si>
  <si>
    <t>A008881</t>
  </si>
  <si>
    <t>A008882</t>
  </si>
  <si>
    <t>A008883</t>
  </si>
  <si>
    <t>A008884</t>
  </si>
  <si>
    <t>A008885</t>
  </si>
  <si>
    <t>A008886</t>
  </si>
  <si>
    <t>A008887</t>
  </si>
  <si>
    <t>A008888</t>
  </si>
  <si>
    <t>A008889</t>
  </si>
  <si>
    <t>A008890</t>
  </si>
  <si>
    <t>A008891</t>
  </si>
  <si>
    <t>A008892</t>
  </si>
  <si>
    <t>A008893</t>
  </si>
  <si>
    <t>A008894</t>
  </si>
  <si>
    <t>A008895</t>
  </si>
  <si>
    <t>A008896</t>
  </si>
  <si>
    <t>A008897</t>
  </si>
  <si>
    <t>A008898</t>
  </si>
  <si>
    <t>A008899</t>
  </si>
  <si>
    <t>A008900</t>
  </si>
  <si>
    <t>A008901</t>
  </si>
  <si>
    <t>A008902</t>
  </si>
  <si>
    <t>A008903</t>
  </si>
  <si>
    <t>A008904</t>
  </si>
  <si>
    <t>A008905</t>
  </si>
  <si>
    <t>A008906</t>
  </si>
  <si>
    <t>A008907</t>
  </si>
  <si>
    <t>A008908</t>
  </si>
  <si>
    <t>A008909</t>
  </si>
  <si>
    <t>A008910</t>
  </si>
  <si>
    <t>A008911</t>
  </si>
  <si>
    <t>A008912</t>
  </si>
  <si>
    <t>A008913</t>
  </si>
  <si>
    <t>A008914</t>
  </si>
  <si>
    <t>A008915</t>
  </si>
  <si>
    <t>A008916</t>
  </si>
  <si>
    <t>A008917</t>
  </si>
  <si>
    <t>A008918</t>
  </si>
  <si>
    <t>A008919</t>
  </si>
  <si>
    <t>A008920</t>
  </si>
  <si>
    <t>A008921</t>
  </si>
  <si>
    <t>A008922</t>
  </si>
  <si>
    <t>A008923</t>
  </si>
  <si>
    <t>A008924</t>
  </si>
  <si>
    <t>A008925</t>
  </si>
  <si>
    <t>A008926</t>
  </si>
  <si>
    <t>A008927</t>
  </si>
  <si>
    <t>A008928</t>
  </si>
  <si>
    <t>A008929</t>
  </si>
  <si>
    <t>A008930</t>
  </si>
  <si>
    <t>A008931</t>
  </si>
  <si>
    <t>A008932</t>
  </si>
  <si>
    <t>A008933</t>
  </si>
  <si>
    <t>A008934</t>
  </si>
  <si>
    <t>A008935</t>
  </si>
  <si>
    <t>A008936</t>
  </si>
  <si>
    <t>A008937</t>
  </si>
  <si>
    <t>A008938</t>
  </si>
  <si>
    <t>A008939</t>
  </si>
  <si>
    <t>A008940</t>
  </si>
  <si>
    <t>A008941</t>
  </si>
  <si>
    <t>A008942</t>
  </si>
  <si>
    <t>A008943</t>
  </si>
  <si>
    <t>A008944</t>
  </si>
  <si>
    <t>A008945</t>
  </si>
  <si>
    <t>A008946</t>
  </si>
  <si>
    <t>A008947</t>
  </si>
  <si>
    <t>A008948</t>
  </si>
  <si>
    <t>A008949</t>
  </si>
  <si>
    <t>A008950</t>
  </si>
  <si>
    <t>A008951</t>
  </si>
  <si>
    <t>A008952</t>
  </si>
  <si>
    <t>A008953</t>
  </si>
  <si>
    <t>A008954</t>
  </si>
  <si>
    <t>A008955</t>
  </si>
  <si>
    <t>A008956</t>
  </si>
  <si>
    <t>A008957</t>
  </si>
  <si>
    <t>A008958</t>
  </si>
  <si>
    <t>A008959</t>
  </si>
  <si>
    <t>A008960</t>
  </si>
  <si>
    <t>A008961</t>
  </si>
  <si>
    <t>A008962</t>
  </si>
  <si>
    <t>A008963</t>
  </si>
  <si>
    <t>A008964</t>
  </si>
  <si>
    <t>A008965</t>
  </si>
  <si>
    <t>A008966</t>
  </si>
  <si>
    <t>A008967</t>
  </si>
  <si>
    <t>A008968</t>
  </si>
  <si>
    <t>A008969</t>
  </si>
  <si>
    <t>A008970</t>
  </si>
  <si>
    <t>A008971</t>
  </si>
  <si>
    <t>A008972</t>
  </si>
  <si>
    <t>A008973</t>
  </si>
  <si>
    <t>A008974</t>
  </si>
  <si>
    <t>A008975</t>
  </si>
  <si>
    <t>A008976</t>
  </si>
  <si>
    <t>A008977</t>
  </si>
  <si>
    <t>A008978</t>
  </si>
  <si>
    <t>A008979</t>
  </si>
  <si>
    <t>A008980</t>
  </si>
  <si>
    <t>A008981</t>
  </si>
  <si>
    <t>A008982</t>
  </si>
  <si>
    <t>A008983</t>
  </si>
  <si>
    <t>A008984</t>
  </si>
  <si>
    <t>A008985</t>
  </si>
  <si>
    <t>A008986</t>
  </si>
  <si>
    <t>A008987</t>
  </si>
  <si>
    <t>A008988</t>
  </si>
  <si>
    <t>A008989</t>
  </si>
  <si>
    <t>A008990</t>
  </si>
  <si>
    <t>A008991</t>
  </si>
  <si>
    <t>A008992</t>
  </si>
  <si>
    <t>A008993</t>
  </si>
  <si>
    <t>A008994</t>
  </si>
  <si>
    <t>A008995</t>
  </si>
  <si>
    <t>A008996</t>
  </si>
  <si>
    <t>A008997</t>
  </si>
  <si>
    <t>A008998</t>
  </si>
  <si>
    <t>A008999</t>
  </si>
  <si>
    <t>A009000</t>
  </si>
  <si>
    <t>A009001</t>
  </si>
  <si>
    <t>A009002</t>
  </si>
  <si>
    <t>A009003</t>
  </si>
  <si>
    <t>A009004</t>
  </si>
  <si>
    <t>A009005</t>
  </si>
  <si>
    <t>A009006</t>
  </si>
  <si>
    <t>A009007</t>
  </si>
  <si>
    <t>A009008</t>
  </si>
  <si>
    <t>A009009</t>
  </si>
  <si>
    <t>A009010</t>
  </si>
  <si>
    <t>A009011</t>
  </si>
  <si>
    <t>A009012</t>
  </si>
  <si>
    <t>A009013</t>
  </si>
  <si>
    <t>A009014</t>
  </si>
  <si>
    <t>A009015</t>
  </si>
  <si>
    <t>A009016</t>
  </si>
  <si>
    <t>A009017</t>
  </si>
  <si>
    <t>A009018</t>
  </si>
  <si>
    <t>A009019</t>
  </si>
  <si>
    <t>A009020</t>
  </si>
  <si>
    <t>A009021</t>
  </si>
  <si>
    <t>A009022</t>
  </si>
  <si>
    <t>A009023</t>
  </si>
  <si>
    <t>A009024</t>
  </si>
  <si>
    <t>A009025</t>
  </si>
  <si>
    <t>A009026</t>
  </si>
  <si>
    <t>A009027</t>
  </si>
  <si>
    <t>A009028</t>
  </si>
  <si>
    <t>A009029</t>
  </si>
  <si>
    <t>A009030</t>
  </si>
  <si>
    <t>A009031</t>
  </si>
  <si>
    <t>A009032</t>
  </si>
  <si>
    <t>A009033</t>
  </si>
  <si>
    <t>A009034</t>
  </si>
  <si>
    <t>A009035</t>
  </si>
  <si>
    <t>A009036</t>
  </si>
  <si>
    <t>A009037</t>
  </si>
  <si>
    <t>A009038</t>
  </si>
  <si>
    <t>A009039</t>
  </si>
  <si>
    <t>A009040</t>
  </si>
  <si>
    <t>A009041</t>
  </si>
  <si>
    <t>A009042</t>
  </si>
  <si>
    <t>A009043</t>
  </si>
  <si>
    <t>A009044</t>
  </si>
  <si>
    <t>A009045</t>
  </si>
  <si>
    <t>A009046</t>
  </si>
  <si>
    <t>A009047</t>
  </si>
  <si>
    <t>A009048</t>
  </si>
  <si>
    <t>A009049</t>
  </si>
  <si>
    <t>A009050</t>
  </si>
  <si>
    <t>A009051</t>
  </si>
  <si>
    <t>A009052</t>
  </si>
  <si>
    <t>A009053</t>
  </si>
  <si>
    <t>A009054</t>
  </si>
  <si>
    <t>A009055</t>
  </si>
  <si>
    <t>A009056</t>
  </si>
  <si>
    <t>A009057</t>
  </si>
  <si>
    <t>A009058</t>
  </si>
  <si>
    <t>A009059</t>
  </si>
  <si>
    <t>A009060</t>
  </si>
  <si>
    <t>A009061</t>
  </si>
  <si>
    <t>A009062</t>
  </si>
  <si>
    <t>A009063</t>
  </si>
  <si>
    <t>A009064</t>
  </si>
  <si>
    <t>A009065</t>
  </si>
  <si>
    <t>A009066</t>
  </si>
  <si>
    <t>A009067</t>
  </si>
  <si>
    <t>A009068</t>
  </si>
  <si>
    <t>A009069</t>
  </si>
  <si>
    <t>A009070</t>
  </si>
  <si>
    <t>A009071</t>
  </si>
  <si>
    <t>A009072</t>
  </si>
  <si>
    <t>A009073</t>
  </si>
  <si>
    <t>A009074</t>
  </si>
  <si>
    <t>A009075</t>
  </si>
  <si>
    <t>A009076</t>
  </si>
  <si>
    <t>A009077</t>
  </si>
  <si>
    <t>A009078</t>
  </si>
  <si>
    <t>A009079</t>
  </si>
  <si>
    <t>A009080</t>
  </si>
  <si>
    <t>A009081</t>
  </si>
  <si>
    <t>A009082</t>
  </si>
  <si>
    <t>A009083</t>
  </si>
  <si>
    <t>A009084</t>
  </si>
  <si>
    <t>A009085</t>
  </si>
  <si>
    <t>A009086</t>
  </si>
  <si>
    <t>A009087</t>
  </si>
  <si>
    <t>A009088</t>
  </si>
  <si>
    <t>A009089</t>
  </si>
  <si>
    <t>A009090</t>
  </si>
  <si>
    <t>A009091</t>
  </si>
  <si>
    <t>A009092</t>
  </si>
  <si>
    <t>A009093</t>
  </si>
  <si>
    <t>A009094</t>
  </si>
  <si>
    <t>A009095</t>
  </si>
  <si>
    <t>A009096</t>
  </si>
  <si>
    <t>A009097</t>
  </si>
  <si>
    <t>A009098</t>
  </si>
  <si>
    <t>A009099</t>
  </si>
  <si>
    <t>A009100</t>
  </si>
  <si>
    <t>A009101</t>
  </si>
  <si>
    <t>A009102</t>
  </si>
  <si>
    <t>A009103</t>
  </si>
  <si>
    <t>A009104</t>
  </si>
  <si>
    <t>A009105</t>
  </si>
  <si>
    <t>A009106</t>
  </si>
  <si>
    <t>A009107</t>
  </si>
  <si>
    <t>A009108</t>
  </si>
  <si>
    <t>A009109</t>
  </si>
  <si>
    <t>A009110</t>
  </si>
  <si>
    <t>A009111</t>
  </si>
  <si>
    <t>A009112</t>
  </si>
  <si>
    <t>A009113</t>
  </si>
  <si>
    <t>A009114</t>
  </si>
  <si>
    <t>A009115</t>
  </si>
  <si>
    <t>A009116</t>
  </si>
  <si>
    <t>A009117</t>
  </si>
  <si>
    <t>A009118</t>
  </si>
  <si>
    <t>A009119</t>
  </si>
  <si>
    <t>A009120</t>
  </si>
  <si>
    <t>A009121</t>
  </si>
  <si>
    <t>A009122</t>
  </si>
  <si>
    <t>A009123</t>
  </si>
  <si>
    <t>A009124</t>
  </si>
  <si>
    <t>A009125</t>
  </si>
  <si>
    <t>A009126</t>
  </si>
  <si>
    <t>A009127</t>
  </si>
  <si>
    <t>A009128</t>
  </si>
  <si>
    <t>A009129</t>
  </si>
  <si>
    <t>A009130</t>
  </si>
  <si>
    <t>A009131</t>
  </si>
  <si>
    <t>A009132</t>
  </si>
  <si>
    <t>A009133</t>
  </si>
  <si>
    <t>A009134</t>
  </si>
  <si>
    <t>A009135</t>
  </si>
  <si>
    <t>A009136</t>
  </si>
  <si>
    <t>A009137</t>
  </si>
  <si>
    <t>A009138</t>
  </si>
  <si>
    <t>A009139</t>
  </si>
  <si>
    <t>A009140</t>
  </si>
  <si>
    <t>A009141</t>
  </si>
  <si>
    <t>A009142</t>
  </si>
  <si>
    <t>A009143</t>
  </si>
  <si>
    <t>A009144</t>
  </si>
  <si>
    <t>A009145</t>
  </si>
  <si>
    <t>A009146</t>
  </si>
  <si>
    <t>A009147</t>
  </si>
  <si>
    <t>A009148</t>
  </si>
  <si>
    <t>A009149</t>
  </si>
  <si>
    <t>A009150</t>
  </si>
  <si>
    <t>A009151</t>
  </si>
  <si>
    <t>A009152</t>
  </si>
  <si>
    <t>A009153</t>
  </si>
  <si>
    <t>A009154</t>
  </si>
  <si>
    <t>A009155</t>
  </si>
  <si>
    <t>A009156</t>
  </si>
  <si>
    <t>A009157</t>
  </si>
  <si>
    <t>A009158</t>
  </si>
  <si>
    <t>A009159</t>
  </si>
  <si>
    <t>A009160</t>
  </si>
  <si>
    <t>A009161</t>
  </si>
  <si>
    <t>A009162</t>
  </si>
  <si>
    <t>A009163</t>
  </si>
  <si>
    <t>A009164</t>
  </si>
  <si>
    <t>A009165</t>
  </si>
  <si>
    <t>A009166</t>
  </si>
  <si>
    <t>A009167</t>
  </si>
  <si>
    <t>A009168</t>
  </si>
  <si>
    <t>A009169</t>
  </si>
  <si>
    <t>A009170</t>
  </si>
  <si>
    <t>A009171</t>
  </si>
  <si>
    <t>A009172</t>
  </si>
  <si>
    <t>A009173</t>
  </si>
  <si>
    <t>A009174</t>
  </si>
  <si>
    <t>A009175</t>
  </si>
  <si>
    <t>A009176</t>
  </si>
  <si>
    <t>A009177</t>
  </si>
  <si>
    <t>A009178</t>
  </si>
  <si>
    <t>A009179</t>
  </si>
  <si>
    <t>A009180</t>
  </si>
  <si>
    <t>A009181</t>
  </si>
  <si>
    <t>A009182</t>
  </si>
  <si>
    <t>A009183</t>
  </si>
  <si>
    <t>A009184</t>
  </si>
  <si>
    <t>A009185</t>
  </si>
  <si>
    <t>A009186</t>
  </si>
  <si>
    <t>A009187</t>
  </si>
  <si>
    <t>A009188</t>
  </si>
  <si>
    <t>A009189</t>
  </si>
  <si>
    <t>A009190</t>
  </si>
  <si>
    <t>A009191</t>
  </si>
  <si>
    <t>A009192</t>
  </si>
  <si>
    <t>A009193</t>
  </si>
  <si>
    <t>A009194</t>
  </si>
  <si>
    <t>A009195</t>
  </si>
  <si>
    <t>A009196</t>
  </si>
  <si>
    <t>A009197</t>
  </si>
  <si>
    <t>A009198</t>
  </si>
  <si>
    <t>A009199</t>
  </si>
  <si>
    <t>A009200</t>
  </si>
  <si>
    <t>A009201</t>
  </si>
  <si>
    <t>A009202</t>
  </si>
  <si>
    <t>A009203</t>
  </si>
  <si>
    <t>A009204</t>
  </si>
  <si>
    <t>A009205</t>
  </si>
  <si>
    <t>A009206</t>
  </si>
  <si>
    <t>A009207</t>
  </si>
  <si>
    <t>A009208</t>
  </si>
  <si>
    <t>A009209</t>
  </si>
  <si>
    <t>A009210</t>
  </si>
  <si>
    <t>A009211</t>
  </si>
  <si>
    <t>A009212</t>
  </si>
  <si>
    <t>A009213</t>
  </si>
  <si>
    <t>A009214</t>
  </si>
  <si>
    <t>A009215</t>
  </si>
  <si>
    <t>A009216</t>
  </si>
  <si>
    <t>A009217</t>
  </si>
  <si>
    <t>A009218</t>
  </si>
  <si>
    <t>A009219</t>
  </si>
  <si>
    <t>A009220</t>
  </si>
  <si>
    <t>A009221</t>
  </si>
  <si>
    <t>A009222</t>
  </si>
  <si>
    <t>A009223</t>
  </si>
  <si>
    <t>A009224</t>
  </si>
  <si>
    <t>A009225</t>
  </si>
  <si>
    <t>A009226</t>
  </si>
  <si>
    <t>A009227</t>
  </si>
  <si>
    <t>A009228</t>
  </si>
  <si>
    <t>A009229</t>
  </si>
  <si>
    <t>A009230</t>
  </si>
  <si>
    <t>A009231</t>
  </si>
  <si>
    <t>A009232</t>
  </si>
  <si>
    <t>A009233</t>
  </si>
  <si>
    <t>A009234</t>
  </si>
  <si>
    <t>A009235</t>
  </si>
  <si>
    <t>A009236</t>
  </si>
  <si>
    <t>A009237</t>
  </si>
  <si>
    <t>A009238</t>
  </si>
  <si>
    <t>A009239</t>
  </si>
  <si>
    <t>A009240</t>
  </si>
  <si>
    <t>A009241</t>
  </si>
  <si>
    <t>A009242</t>
  </si>
  <si>
    <t>A009243</t>
  </si>
  <si>
    <t>A009244</t>
  </si>
  <si>
    <t>A009245</t>
  </si>
  <si>
    <t>A009246</t>
  </si>
  <si>
    <t>A009247</t>
  </si>
  <si>
    <t>A009248</t>
  </si>
  <si>
    <t>A009249</t>
  </si>
  <si>
    <t>A009250</t>
  </si>
  <si>
    <t>A009251</t>
  </si>
  <si>
    <t>A009252</t>
  </si>
  <si>
    <t>A009253</t>
  </si>
  <si>
    <t>A009254</t>
  </si>
  <si>
    <t>A009255</t>
  </si>
  <si>
    <t>A009256</t>
  </si>
  <si>
    <t>A009257</t>
  </si>
  <si>
    <t>A009258</t>
  </si>
  <si>
    <t>A009259</t>
  </si>
  <si>
    <t>A009260</t>
  </si>
  <si>
    <t>A009261</t>
  </si>
  <si>
    <t>A009262</t>
  </si>
  <si>
    <t>A009263</t>
  </si>
  <si>
    <t>A009264</t>
  </si>
  <si>
    <t>A009265</t>
  </si>
  <si>
    <t>A009266</t>
  </si>
  <si>
    <t>A009267</t>
  </si>
  <si>
    <t>A009268</t>
  </si>
  <si>
    <t>A009269</t>
  </si>
  <si>
    <t>A009270</t>
  </si>
  <si>
    <t>A009271</t>
  </si>
  <si>
    <t>A009272</t>
  </si>
  <si>
    <t>A009273</t>
  </si>
  <si>
    <t>A009274</t>
  </si>
  <si>
    <t>A009275</t>
  </si>
  <si>
    <t>A009276</t>
  </si>
  <si>
    <t>A009277</t>
  </si>
  <si>
    <t>A009278</t>
  </si>
  <si>
    <t>A009279</t>
  </si>
  <si>
    <t>A009280</t>
  </si>
  <si>
    <t>A009281</t>
  </si>
  <si>
    <t>A009282</t>
  </si>
  <si>
    <t>A009283</t>
  </si>
  <si>
    <t>A009284</t>
  </si>
  <si>
    <t>A009285</t>
  </si>
  <si>
    <t>A009286</t>
  </si>
  <si>
    <t>A009287</t>
  </si>
  <si>
    <t>A009288</t>
  </si>
  <si>
    <t>A009289</t>
  </si>
  <si>
    <t>A009290</t>
  </si>
  <si>
    <t>A009291</t>
  </si>
  <si>
    <t>A009292</t>
  </si>
  <si>
    <t>A009293</t>
  </si>
  <si>
    <t>A009294</t>
  </si>
  <si>
    <t>A009295</t>
  </si>
  <si>
    <t>A009296</t>
  </si>
  <si>
    <t>A009297</t>
  </si>
  <si>
    <t>A009298</t>
  </si>
  <si>
    <t>A009299</t>
  </si>
  <si>
    <t>A009300</t>
  </si>
  <si>
    <t>A009301</t>
  </si>
  <si>
    <t>A009302</t>
  </si>
  <si>
    <t>A009303</t>
  </si>
  <si>
    <t>A009304</t>
  </si>
  <si>
    <t>A009305</t>
  </si>
  <si>
    <t>A009306</t>
  </si>
  <si>
    <t>A009307</t>
  </si>
  <si>
    <t>A009308</t>
  </si>
  <si>
    <t>A009309</t>
  </si>
  <si>
    <t>A009310</t>
  </si>
  <si>
    <t>A009311</t>
  </si>
  <si>
    <t>A009312</t>
  </si>
  <si>
    <t>A009313</t>
  </si>
  <si>
    <t>A009314</t>
  </si>
  <si>
    <t>A009315</t>
  </si>
  <si>
    <t>A009316</t>
  </si>
  <si>
    <t>A009317</t>
  </si>
  <si>
    <t>A009318</t>
  </si>
  <si>
    <t>A009319</t>
  </si>
  <si>
    <t>A009320</t>
  </si>
  <si>
    <t>A009321</t>
  </si>
  <si>
    <t>A009322</t>
  </si>
  <si>
    <t>A009323</t>
  </si>
  <si>
    <t>A009324</t>
  </si>
  <si>
    <t>A009325</t>
  </si>
  <si>
    <t>A009326</t>
  </si>
  <si>
    <t>A009327</t>
  </si>
  <si>
    <t>A009328</t>
  </si>
  <si>
    <t>A009329</t>
  </si>
  <si>
    <t>A009330</t>
  </si>
  <si>
    <t>A009331</t>
  </si>
  <si>
    <t>A009332</t>
  </si>
  <si>
    <t>A009333</t>
  </si>
  <si>
    <t>A009334</t>
  </si>
  <si>
    <t>A009335</t>
  </si>
  <si>
    <t>A009336</t>
  </si>
  <si>
    <t>A009337</t>
  </si>
  <si>
    <t>A009338</t>
  </si>
  <si>
    <t>A009339</t>
  </si>
  <si>
    <t>A009340</t>
  </si>
  <si>
    <t>A009341</t>
  </si>
  <si>
    <t>A009342</t>
  </si>
  <si>
    <t>A009343</t>
  </si>
  <si>
    <t>A009344</t>
  </si>
  <si>
    <t>A009345</t>
  </si>
  <si>
    <t>A009346</t>
  </si>
  <si>
    <t>A009347</t>
  </si>
  <si>
    <t>A009348</t>
  </si>
  <si>
    <t>A009349</t>
  </si>
  <si>
    <t>A009350</t>
  </si>
  <si>
    <t>A009351</t>
  </si>
  <si>
    <t>A009352</t>
  </si>
  <si>
    <t>A009353</t>
  </si>
  <si>
    <t>A009354</t>
  </si>
  <si>
    <t>A009355</t>
  </si>
  <si>
    <t>A009356</t>
  </si>
  <si>
    <t>A009357</t>
  </si>
  <si>
    <t>A009358</t>
  </si>
  <si>
    <t>A009359</t>
  </si>
  <si>
    <t>A009360</t>
  </si>
  <si>
    <t>A009361</t>
  </si>
  <si>
    <t>A009362</t>
  </si>
  <si>
    <t>A009363</t>
  </si>
  <si>
    <t>A009364</t>
  </si>
  <si>
    <t>A009365</t>
  </si>
  <si>
    <t>A009366</t>
  </si>
  <si>
    <t>A009367</t>
  </si>
  <si>
    <t>A009368</t>
  </si>
  <si>
    <t>A009369</t>
  </si>
  <si>
    <t>A009370</t>
  </si>
  <si>
    <t>A009371</t>
  </si>
  <si>
    <t>A009372</t>
  </si>
  <si>
    <t>A009373</t>
  </si>
  <si>
    <t>A009374</t>
  </si>
  <si>
    <t>A009375</t>
  </si>
  <si>
    <t>A009376</t>
  </si>
  <si>
    <t>A009377</t>
  </si>
  <si>
    <t>A009378</t>
  </si>
  <si>
    <t>A009379</t>
  </si>
  <si>
    <t>A009380</t>
  </si>
  <si>
    <t>A009381</t>
  </si>
  <si>
    <t>A009382</t>
  </si>
  <si>
    <t>A009383</t>
  </si>
  <si>
    <t>A009384</t>
  </si>
  <si>
    <t>A009385</t>
  </si>
  <si>
    <t>A009386</t>
  </si>
  <si>
    <t>A009387</t>
  </si>
  <si>
    <t>A009388</t>
  </si>
  <si>
    <t>A009389</t>
  </si>
  <si>
    <t>A009390</t>
  </si>
  <si>
    <t>A009391</t>
  </si>
  <si>
    <t>A009392</t>
  </si>
  <si>
    <t>A009393</t>
  </si>
  <si>
    <t>A009394</t>
  </si>
  <si>
    <t>A009395</t>
  </si>
  <si>
    <t>A009396</t>
  </si>
  <si>
    <t>A009397</t>
  </si>
  <si>
    <t>A009398</t>
  </si>
  <si>
    <t>A009399</t>
  </si>
  <si>
    <t>A009400</t>
  </si>
  <si>
    <t>A009401</t>
  </si>
  <si>
    <t>A009402</t>
  </si>
  <si>
    <t>A009403</t>
  </si>
  <si>
    <t>A009404</t>
  </si>
  <si>
    <t>A009405</t>
  </si>
  <si>
    <t>A009406</t>
  </si>
  <si>
    <t>A009407</t>
  </si>
  <si>
    <t>A009408</t>
  </si>
  <si>
    <t>A009409</t>
  </si>
  <si>
    <t>A009410</t>
  </si>
  <si>
    <t>A009411</t>
  </si>
  <si>
    <t>A009412</t>
  </si>
  <si>
    <t>A009413</t>
  </si>
  <si>
    <t>A009414</t>
  </si>
  <si>
    <t>A009415</t>
  </si>
  <si>
    <t>A009416</t>
  </si>
  <si>
    <t>A009417</t>
  </si>
  <si>
    <t>A009418</t>
  </si>
  <si>
    <t>A009419</t>
  </si>
  <si>
    <t>A009420</t>
  </si>
  <si>
    <t>A009421</t>
  </si>
  <si>
    <t>A009422</t>
  </si>
  <si>
    <t>A009423</t>
  </si>
  <si>
    <t>A009424</t>
  </si>
  <si>
    <t>A009425</t>
  </si>
  <si>
    <t>A009426</t>
  </si>
  <si>
    <t>A009427</t>
  </si>
  <si>
    <t>A009428</t>
  </si>
  <si>
    <t>A009429</t>
  </si>
  <si>
    <t>A009430</t>
  </si>
  <si>
    <t>A009431</t>
  </si>
  <si>
    <t>A009432</t>
  </si>
  <si>
    <t>A009433</t>
  </si>
  <si>
    <t>A009434</t>
  </si>
  <si>
    <t>A009435</t>
  </si>
  <si>
    <t>A009436</t>
  </si>
  <si>
    <t>A009437</t>
  </si>
  <si>
    <t>A009438</t>
  </si>
  <si>
    <t>A009439</t>
  </si>
  <si>
    <t>A009440</t>
  </si>
  <si>
    <t>A009441</t>
  </si>
  <si>
    <t>A009442</t>
  </si>
  <si>
    <t>A009443</t>
  </si>
  <si>
    <t>A009444</t>
  </si>
  <si>
    <t>A009445</t>
  </si>
  <si>
    <t>A009446</t>
  </si>
  <si>
    <t>A009447</t>
  </si>
  <si>
    <t>A009448</t>
  </si>
  <si>
    <t>A009449</t>
  </si>
  <si>
    <t>A009450</t>
  </si>
  <si>
    <t>A009451</t>
  </si>
  <si>
    <t>A009452</t>
  </si>
  <si>
    <t>A009453</t>
  </si>
  <si>
    <t>A009454</t>
  </si>
  <si>
    <t>A009455</t>
  </si>
  <si>
    <t>A009456</t>
  </si>
  <si>
    <t>A009457</t>
  </si>
  <si>
    <t>A009458</t>
  </si>
  <si>
    <t>A009459</t>
  </si>
  <si>
    <t>A009460</t>
  </si>
  <si>
    <t>A009461</t>
  </si>
  <si>
    <t>A009462</t>
  </si>
  <si>
    <t>A009463</t>
  </si>
  <si>
    <t>A009464</t>
  </si>
  <si>
    <t>A009465</t>
  </si>
  <si>
    <t>A009466</t>
  </si>
  <si>
    <t>A009467</t>
  </si>
  <si>
    <t>A009468</t>
  </si>
  <si>
    <t>A009469</t>
  </si>
  <si>
    <t>A009470</t>
  </si>
  <si>
    <t>A009471</t>
  </si>
  <si>
    <t>A009472</t>
  </si>
  <si>
    <t>A009473</t>
  </si>
  <si>
    <t>A009474</t>
  </si>
  <si>
    <t>A009475</t>
  </si>
  <si>
    <t>A009476</t>
  </si>
  <si>
    <t>A009477</t>
  </si>
  <si>
    <t>A009478</t>
  </si>
  <si>
    <t>A009479</t>
  </si>
  <si>
    <t>A009480</t>
  </si>
  <si>
    <t>A009481</t>
  </si>
  <si>
    <t>A009482</t>
  </si>
  <si>
    <t>A009483</t>
  </si>
  <si>
    <t>A009484</t>
  </si>
  <si>
    <t>A009485</t>
  </si>
  <si>
    <t>A009486</t>
  </si>
  <si>
    <t>A009487</t>
  </si>
  <si>
    <t>A009488</t>
  </si>
  <si>
    <t>A009489</t>
  </si>
  <si>
    <t>A009490</t>
  </si>
  <si>
    <t>A009491</t>
  </si>
  <si>
    <t>A009492</t>
  </si>
  <si>
    <t>A009493</t>
  </si>
  <si>
    <t>A009494</t>
  </si>
  <si>
    <t>A009495</t>
  </si>
  <si>
    <t>A009496</t>
  </si>
  <si>
    <t>A009497</t>
  </si>
  <si>
    <t>A009498</t>
  </si>
  <si>
    <t>A009499</t>
  </si>
  <si>
    <t>A009500</t>
  </si>
  <si>
    <t>A009501</t>
  </si>
  <si>
    <t>A009502</t>
  </si>
  <si>
    <t>A009503</t>
  </si>
  <si>
    <t>A009504</t>
  </si>
  <si>
    <t>A009505</t>
  </si>
  <si>
    <t>A009506</t>
  </si>
  <si>
    <t>A009507</t>
  </si>
  <si>
    <t>A009508</t>
  </si>
  <si>
    <t>A009509</t>
  </si>
  <si>
    <t>A009510</t>
  </si>
  <si>
    <t>A009511</t>
  </si>
  <si>
    <t>A009512</t>
  </si>
  <si>
    <t>A009513</t>
  </si>
  <si>
    <t>A009514</t>
  </si>
  <si>
    <t>A009515</t>
  </si>
  <si>
    <t>A009516</t>
  </si>
  <si>
    <t>A009517</t>
  </si>
  <si>
    <t>A009518</t>
  </si>
  <si>
    <t>A009519</t>
  </si>
  <si>
    <t>A009520</t>
  </si>
  <si>
    <t>A009521</t>
  </si>
  <si>
    <t>A009522</t>
  </si>
  <si>
    <t>A009523</t>
  </si>
  <si>
    <t>A009524</t>
  </si>
  <si>
    <t>A009525</t>
  </si>
  <si>
    <t>A009526</t>
  </si>
  <si>
    <t>A009527</t>
  </si>
  <si>
    <t>A009528</t>
  </si>
  <si>
    <t>A009529</t>
  </si>
  <si>
    <t>A009530</t>
  </si>
  <si>
    <t>A009531</t>
  </si>
  <si>
    <t>A009532</t>
  </si>
  <si>
    <t>A009533</t>
  </si>
  <si>
    <t>A009534</t>
  </si>
  <si>
    <t>A009535</t>
  </si>
  <si>
    <t>A009536</t>
  </si>
  <si>
    <t>A009537</t>
  </si>
  <si>
    <t>A009538</t>
  </si>
  <si>
    <t>A009539</t>
  </si>
  <si>
    <t>A009540</t>
  </si>
  <si>
    <t>A009541</t>
  </si>
  <si>
    <t>A009542</t>
  </si>
  <si>
    <t>A009543</t>
  </si>
  <si>
    <t>A009544</t>
  </si>
  <si>
    <t>A009545</t>
  </si>
  <si>
    <t>A009546</t>
  </si>
  <si>
    <t>A009547</t>
  </si>
  <si>
    <t>A009548</t>
  </si>
  <si>
    <t>A009549</t>
  </si>
  <si>
    <t>A009550</t>
  </si>
  <si>
    <t>A009551</t>
  </si>
  <si>
    <t>A009552</t>
  </si>
  <si>
    <t>A009553</t>
  </si>
  <si>
    <t>A009554</t>
  </si>
  <si>
    <t>A009555</t>
  </si>
  <si>
    <t>A009556</t>
  </si>
  <si>
    <t>A009557</t>
  </si>
  <si>
    <t>A009558</t>
  </si>
  <si>
    <t>A009559</t>
  </si>
  <si>
    <t>A009560</t>
  </si>
  <si>
    <t>A009561</t>
  </si>
  <si>
    <t>A009562</t>
  </si>
  <si>
    <t>A009563</t>
  </si>
  <si>
    <t>A009564</t>
  </si>
  <si>
    <t>A009565</t>
  </si>
  <si>
    <t>A009566</t>
  </si>
  <si>
    <t>A009567</t>
  </si>
  <si>
    <t>A009568</t>
  </si>
  <si>
    <t>A009569</t>
  </si>
  <si>
    <t>A009570</t>
  </si>
  <si>
    <t>A009571</t>
  </si>
  <si>
    <t>A009572</t>
  </si>
  <si>
    <t>A009573</t>
  </si>
  <si>
    <t>A009574</t>
  </si>
  <si>
    <t>A009575</t>
  </si>
  <si>
    <t>A009576</t>
  </si>
  <si>
    <t>A009577</t>
  </si>
  <si>
    <t>A009578</t>
  </si>
  <si>
    <t>A009579</t>
  </si>
  <si>
    <t>A009580</t>
  </si>
  <si>
    <t>A009581</t>
  </si>
  <si>
    <t>A009582</t>
  </si>
  <si>
    <t>A009583</t>
  </si>
  <si>
    <t>A009584</t>
  </si>
  <si>
    <t>A009585</t>
  </si>
  <si>
    <t>A009586</t>
  </si>
  <si>
    <t>A009587</t>
  </si>
  <si>
    <t>A009588</t>
  </si>
  <si>
    <t>A009589</t>
  </si>
  <si>
    <t>A009590</t>
  </si>
  <si>
    <t>A009591</t>
  </si>
  <si>
    <t>A009592</t>
  </si>
  <si>
    <t>A009593</t>
  </si>
  <si>
    <t>A009594</t>
  </si>
  <si>
    <t>A009595</t>
  </si>
  <si>
    <t>A009596</t>
  </si>
  <si>
    <t>A009597</t>
  </si>
  <si>
    <t>A009598</t>
  </si>
  <si>
    <t>A009599</t>
  </si>
  <si>
    <t>A009600</t>
  </si>
  <si>
    <t>A009601</t>
  </si>
  <si>
    <t>A009602</t>
  </si>
  <si>
    <t>A009603</t>
  </si>
  <si>
    <t>A009604</t>
  </si>
  <si>
    <t>A009605</t>
  </si>
  <si>
    <t>A009606</t>
  </si>
  <si>
    <t>A009607</t>
  </si>
  <si>
    <t>A009608</t>
  </si>
  <si>
    <t>A009609</t>
  </si>
  <si>
    <t>A009610</t>
  </si>
  <si>
    <t>A009611</t>
  </si>
  <si>
    <t>A009612</t>
  </si>
  <si>
    <t>A009613</t>
  </si>
  <si>
    <t>A009614</t>
  </si>
  <si>
    <t>A009615</t>
  </si>
  <si>
    <t>A009616</t>
  </si>
  <si>
    <t>A009617</t>
  </si>
  <si>
    <t>A009618</t>
  </si>
  <si>
    <t>A009619</t>
  </si>
  <si>
    <t>A009620</t>
  </si>
  <si>
    <t>A009621</t>
  </si>
  <si>
    <t>A009622</t>
  </si>
  <si>
    <t>A009623</t>
  </si>
  <si>
    <t>A009624</t>
  </si>
  <si>
    <t>A009625</t>
  </si>
  <si>
    <t>A009626</t>
  </si>
  <si>
    <t>A009627</t>
  </si>
  <si>
    <t>A009628</t>
  </si>
  <si>
    <t>A009629</t>
  </si>
  <si>
    <t>A009630</t>
  </si>
  <si>
    <t>A009631</t>
  </si>
  <si>
    <t>A009632</t>
  </si>
  <si>
    <t>A009633</t>
  </si>
  <si>
    <t>A009634</t>
  </si>
  <si>
    <t>A009635</t>
  </si>
  <si>
    <t>A009636</t>
  </si>
  <si>
    <t>A009637</t>
  </si>
  <si>
    <t>A009638</t>
  </si>
  <si>
    <t>A009639</t>
  </si>
  <si>
    <t>A009640</t>
  </si>
  <si>
    <t>A009641</t>
  </si>
  <si>
    <t>A009642</t>
  </si>
  <si>
    <t>A009643</t>
  </si>
  <si>
    <t>A009644</t>
  </si>
  <si>
    <t>A009645</t>
  </si>
  <si>
    <t>A009646</t>
  </si>
  <si>
    <t>A009647</t>
  </si>
  <si>
    <t>A009648</t>
  </si>
  <si>
    <t>A009649</t>
  </si>
  <si>
    <t>A009650</t>
  </si>
  <si>
    <t>A009651</t>
  </si>
  <si>
    <t>A009652</t>
  </si>
  <si>
    <t>A009653</t>
  </si>
  <si>
    <t>A009654</t>
  </si>
  <si>
    <t>A009655</t>
  </si>
  <si>
    <t>A009656</t>
  </si>
  <si>
    <t>A009657</t>
  </si>
  <si>
    <t>A009658</t>
  </si>
  <si>
    <t>A009659</t>
  </si>
  <si>
    <t>A009660</t>
  </si>
  <si>
    <t>A009661</t>
  </si>
  <si>
    <t>A009662</t>
  </si>
  <si>
    <t>A009663</t>
  </si>
  <si>
    <t>A009664</t>
  </si>
  <si>
    <t>A009665</t>
  </si>
  <si>
    <t>A009666</t>
  </si>
  <si>
    <t>A009667</t>
  </si>
  <si>
    <t>A009668</t>
  </si>
  <si>
    <t>A009669</t>
  </si>
  <si>
    <t>A009670</t>
  </si>
  <si>
    <t>A009671</t>
  </si>
  <si>
    <t>A009672</t>
  </si>
  <si>
    <t>A009673</t>
  </si>
  <si>
    <t>A009674</t>
  </si>
  <si>
    <t>A009675</t>
  </si>
  <si>
    <t>A009676</t>
  </si>
  <si>
    <t>A009677</t>
  </si>
  <si>
    <t>A009678</t>
  </si>
  <si>
    <t>A009679</t>
  </si>
  <si>
    <t>A009680</t>
  </si>
  <si>
    <t>A009681</t>
  </si>
  <si>
    <t>A009682</t>
  </si>
  <si>
    <t>A009683</t>
  </si>
  <si>
    <t>A009684</t>
  </si>
  <si>
    <t>A009685</t>
  </si>
  <si>
    <t>A009686</t>
  </si>
  <si>
    <t>A009687</t>
  </si>
  <si>
    <t>A009688</t>
  </si>
  <si>
    <t>A009689</t>
  </si>
  <si>
    <t>A009690</t>
  </si>
  <si>
    <t>A009691</t>
  </si>
  <si>
    <t>A009692</t>
  </si>
  <si>
    <t>A009693</t>
  </si>
  <si>
    <t>A009694</t>
  </si>
  <si>
    <t>A009695</t>
  </si>
  <si>
    <t>A009696</t>
  </si>
  <si>
    <t>A009697</t>
  </si>
  <si>
    <t>A009698</t>
  </si>
  <si>
    <t>A009699</t>
  </si>
  <si>
    <t>A009700</t>
  </si>
  <si>
    <t>A009701</t>
  </si>
  <si>
    <t>A009702</t>
  </si>
  <si>
    <t>A009703</t>
  </si>
  <si>
    <t>A009704</t>
  </si>
  <si>
    <t>A009705</t>
  </si>
  <si>
    <t>A009706</t>
  </si>
  <si>
    <t>A009707</t>
  </si>
  <si>
    <t>A009708</t>
  </si>
  <si>
    <t>A009709</t>
  </si>
  <si>
    <t>A009710</t>
  </si>
  <si>
    <t>A009711</t>
  </si>
  <si>
    <t>A009712</t>
  </si>
  <si>
    <t>A009713</t>
  </si>
  <si>
    <t>A009714</t>
  </si>
  <si>
    <t>A009715</t>
  </si>
  <si>
    <t>A009716</t>
  </si>
  <si>
    <t>A009717</t>
  </si>
  <si>
    <t>A009718</t>
  </si>
  <si>
    <t>A009719</t>
  </si>
  <si>
    <t>A009720</t>
  </si>
  <si>
    <t>A009721</t>
  </si>
  <si>
    <t>A009722</t>
  </si>
  <si>
    <t>A009723</t>
  </si>
  <si>
    <t>A009724</t>
  </si>
  <si>
    <t>A009725</t>
  </si>
  <si>
    <t>A009726</t>
  </si>
  <si>
    <t>A009727</t>
  </si>
  <si>
    <t>A009728</t>
  </si>
  <si>
    <t>A009729</t>
  </si>
  <si>
    <t>A009730</t>
  </si>
  <si>
    <t>A009731</t>
  </si>
  <si>
    <t>A009732</t>
  </si>
  <si>
    <t>A009733</t>
  </si>
  <si>
    <t>A009734</t>
  </si>
  <si>
    <t>A009735</t>
  </si>
  <si>
    <t>A009736</t>
  </si>
  <si>
    <t>A009737</t>
  </si>
  <si>
    <t>A009738</t>
  </si>
  <si>
    <t>A009739</t>
  </si>
  <si>
    <t>A009740</t>
  </si>
  <si>
    <t>A009741</t>
  </si>
  <si>
    <t>A009742</t>
  </si>
  <si>
    <t>A009743</t>
  </si>
  <si>
    <t>A009744</t>
  </si>
  <si>
    <t>A009745</t>
  </si>
  <si>
    <t>A009746</t>
  </si>
  <si>
    <t>A009747</t>
  </si>
  <si>
    <t>A009748</t>
  </si>
  <si>
    <t>A009749</t>
  </si>
  <si>
    <t>A009750</t>
  </si>
  <si>
    <t>A009751</t>
  </si>
  <si>
    <t>A009752</t>
  </si>
  <si>
    <t>A009753</t>
  </si>
  <si>
    <t>A009754</t>
  </si>
  <si>
    <t>A009755</t>
  </si>
  <si>
    <t>A009756</t>
  </si>
  <si>
    <t>A009757</t>
  </si>
  <si>
    <t>A009758</t>
  </si>
  <si>
    <t>A009759</t>
  </si>
  <si>
    <t>A009760</t>
  </si>
  <si>
    <t>A009761</t>
  </si>
  <si>
    <t>A009762</t>
  </si>
  <si>
    <t>A009763</t>
  </si>
  <si>
    <t>A009764</t>
  </si>
  <si>
    <t>A009765</t>
  </si>
  <si>
    <t>A009766</t>
  </si>
  <si>
    <t>A009767</t>
  </si>
  <si>
    <t>A009768</t>
  </si>
  <si>
    <t>A009769</t>
  </si>
  <si>
    <t>A009770</t>
  </si>
  <si>
    <t>A009771</t>
  </si>
  <si>
    <t>A009772</t>
  </si>
  <si>
    <t>A009773</t>
  </si>
  <si>
    <t>A009774</t>
  </si>
  <si>
    <t>A009775</t>
  </si>
  <si>
    <t>A009776</t>
  </si>
  <si>
    <t>A009777</t>
  </si>
  <si>
    <t>A009778</t>
  </si>
  <si>
    <t>A009779</t>
  </si>
  <si>
    <t>A009780</t>
  </si>
  <si>
    <t>A009781</t>
  </si>
  <si>
    <t>A009782</t>
  </si>
  <si>
    <t>A009783</t>
  </si>
  <si>
    <t>A009784</t>
  </si>
  <si>
    <t>A009785</t>
  </si>
  <si>
    <t>A009786</t>
  </si>
  <si>
    <t>A009787</t>
  </si>
  <si>
    <t>A009788</t>
  </si>
  <si>
    <t>A009789</t>
  </si>
  <si>
    <t>A009790</t>
  </si>
  <si>
    <t>A009791</t>
  </si>
  <si>
    <t>A009792</t>
  </si>
  <si>
    <t>A009793</t>
  </si>
  <si>
    <t>A009794</t>
  </si>
  <si>
    <t>A009795</t>
  </si>
  <si>
    <t>A009796</t>
  </si>
  <si>
    <t>A009797</t>
  </si>
  <si>
    <t>A009798</t>
  </si>
  <si>
    <t>A009799</t>
  </si>
  <si>
    <t>A009800</t>
  </si>
  <si>
    <t>A009801</t>
  </si>
  <si>
    <t>A009802</t>
  </si>
  <si>
    <t>A009803</t>
  </si>
  <si>
    <t>A009804</t>
  </si>
  <si>
    <t>A009805</t>
  </si>
  <si>
    <t>A009806</t>
  </si>
  <si>
    <t>A009807</t>
  </si>
  <si>
    <t>A009808</t>
  </si>
  <si>
    <t>A009809</t>
  </si>
  <si>
    <t>A009810</t>
  </si>
  <si>
    <t>A009811</t>
  </si>
  <si>
    <t>A009812</t>
  </si>
  <si>
    <t>A009813</t>
  </si>
  <si>
    <t>A009814</t>
  </si>
  <si>
    <t>A009815</t>
  </si>
  <si>
    <t>A009816</t>
  </si>
  <si>
    <t>A009817</t>
  </si>
  <si>
    <t>A009818</t>
  </si>
  <si>
    <t>A009819</t>
  </si>
  <si>
    <t>A009820</t>
  </si>
  <si>
    <t>A009821</t>
  </si>
  <si>
    <t>A009822</t>
  </si>
  <si>
    <t>A009823</t>
  </si>
  <si>
    <t>A009824</t>
  </si>
  <si>
    <t>A009825</t>
  </si>
  <si>
    <t>A009826</t>
  </si>
  <si>
    <t>A009827</t>
  </si>
  <si>
    <t>A009828</t>
  </si>
  <si>
    <t>A009829</t>
  </si>
  <si>
    <t>A009830</t>
  </si>
  <si>
    <t>A009831</t>
  </si>
  <si>
    <t>A009832</t>
  </si>
  <si>
    <t>A009833</t>
  </si>
  <si>
    <t>A009834</t>
  </si>
  <si>
    <t>A009835</t>
  </si>
  <si>
    <t>A009836</t>
  </si>
  <si>
    <t>A009837</t>
  </si>
  <si>
    <t>A009838</t>
  </si>
  <si>
    <t>A009839</t>
  </si>
  <si>
    <t>A009840</t>
  </si>
  <si>
    <t>A009841</t>
  </si>
  <si>
    <t>A009842</t>
  </si>
  <si>
    <t>A009843</t>
  </si>
  <si>
    <t>A009844</t>
  </si>
  <si>
    <t>A009845</t>
  </si>
  <si>
    <t>A009846</t>
  </si>
  <si>
    <t>A009847</t>
  </si>
  <si>
    <t>A009848</t>
  </si>
  <si>
    <t>A009849</t>
  </si>
  <si>
    <t>A009850</t>
  </si>
  <si>
    <t>A009851</t>
  </si>
  <si>
    <t>A009852</t>
  </si>
  <si>
    <t>A009853</t>
  </si>
  <si>
    <t>A009854</t>
  </si>
  <si>
    <t>A009855</t>
  </si>
  <si>
    <t>A009856</t>
  </si>
  <si>
    <t>A009857</t>
  </si>
  <si>
    <t>A009858</t>
  </si>
  <si>
    <t>A009859</t>
  </si>
  <si>
    <t>A009860</t>
  </si>
  <si>
    <t>A009861</t>
  </si>
  <si>
    <t>A009862</t>
  </si>
  <si>
    <t>A009863</t>
  </si>
  <si>
    <t>A009864</t>
  </si>
  <si>
    <t>A009865</t>
  </si>
  <si>
    <t>A009866</t>
  </si>
  <si>
    <t>A009867</t>
  </si>
  <si>
    <t>A009868</t>
  </si>
  <si>
    <t>A009869</t>
  </si>
  <si>
    <t>A009870</t>
  </si>
  <si>
    <t>A009871</t>
  </si>
  <si>
    <t>A009872</t>
  </si>
  <si>
    <t>A009873</t>
  </si>
  <si>
    <t>A009874</t>
  </si>
  <si>
    <t>A009875</t>
  </si>
  <si>
    <t>A009876</t>
  </si>
  <si>
    <t>A009877</t>
  </si>
  <si>
    <t>A009878</t>
  </si>
  <si>
    <t>A009879</t>
  </si>
  <si>
    <t>A009880</t>
  </si>
  <si>
    <t>A009881</t>
  </si>
  <si>
    <t>A009882</t>
  </si>
  <si>
    <t>A009883</t>
  </si>
  <si>
    <t>A009884</t>
  </si>
  <si>
    <t>A009885</t>
  </si>
  <si>
    <t>A009886</t>
  </si>
  <si>
    <t>A009887</t>
  </si>
  <si>
    <t>A009888</t>
  </si>
  <si>
    <t>A009889</t>
  </si>
  <si>
    <t>A009890</t>
  </si>
  <si>
    <t>A009891</t>
  </si>
  <si>
    <t>A009892</t>
  </si>
  <si>
    <t>A009893</t>
  </si>
  <si>
    <t>A009894</t>
  </si>
  <si>
    <t>A009895</t>
  </si>
  <si>
    <t>A009896</t>
  </si>
  <si>
    <t>A009897</t>
  </si>
  <si>
    <t>A009898</t>
  </si>
  <si>
    <t>A009899</t>
  </si>
  <si>
    <t>A009900</t>
  </si>
  <si>
    <t>A009901</t>
  </si>
  <si>
    <t>A009902</t>
  </si>
  <si>
    <t>A009903</t>
  </si>
  <si>
    <t>A009904</t>
  </si>
  <si>
    <t>A009905</t>
  </si>
  <si>
    <t>A009906</t>
  </si>
  <si>
    <t>A009907</t>
  </si>
  <si>
    <t>A009908</t>
  </si>
  <si>
    <t>A009909</t>
  </si>
  <si>
    <t>A009910</t>
  </si>
  <si>
    <t>A009911</t>
  </si>
  <si>
    <t>A009912</t>
  </si>
  <si>
    <t>A009913</t>
  </si>
  <si>
    <t>A009914</t>
  </si>
  <si>
    <t>A009915</t>
  </si>
  <si>
    <t>A009916</t>
  </si>
  <si>
    <t>A009917</t>
  </si>
  <si>
    <t>A009918</t>
  </si>
  <si>
    <t>A009919</t>
  </si>
  <si>
    <t>A009920</t>
  </si>
  <si>
    <t>A009921</t>
  </si>
  <si>
    <t>A009922</t>
  </si>
  <si>
    <t>A009923</t>
  </si>
  <si>
    <t>A009924</t>
  </si>
  <si>
    <t>A009925</t>
  </si>
  <si>
    <t>A009926</t>
  </si>
  <si>
    <t>A009927</t>
  </si>
  <si>
    <t>A009928</t>
  </si>
  <si>
    <t>A009929</t>
  </si>
  <si>
    <t>A009930</t>
  </si>
  <si>
    <t>A009931</t>
  </si>
  <si>
    <t>A009932</t>
  </si>
  <si>
    <t>A009933</t>
  </si>
  <si>
    <t>A009934</t>
  </si>
  <si>
    <t>A009935</t>
  </si>
  <si>
    <t>A009936</t>
  </si>
  <si>
    <t>A009937</t>
  </si>
  <si>
    <t>A009938</t>
  </si>
  <si>
    <t>A009939</t>
  </si>
  <si>
    <t>A009940</t>
  </si>
  <si>
    <t>A009941</t>
  </si>
  <si>
    <t>A009942</t>
  </si>
  <si>
    <t>A009943</t>
  </si>
  <si>
    <t>A009944</t>
  </si>
  <si>
    <t>A009945</t>
  </si>
  <si>
    <t>A009946</t>
  </si>
  <si>
    <t>A009947</t>
  </si>
  <si>
    <t>A009948</t>
  </si>
  <si>
    <t>A009949</t>
  </si>
  <si>
    <t>A009950</t>
  </si>
  <si>
    <t>A009951</t>
  </si>
  <si>
    <t>A009952</t>
  </si>
  <si>
    <t>A009953</t>
  </si>
  <si>
    <t>A009954</t>
  </si>
  <si>
    <t>A009955</t>
  </si>
  <si>
    <t>A009956</t>
  </si>
  <si>
    <t>A009957</t>
  </si>
  <si>
    <t>A009958</t>
  </si>
  <si>
    <t>A009959</t>
  </si>
  <si>
    <t>A009960</t>
  </si>
  <si>
    <t>A009961</t>
  </si>
  <si>
    <t>A009962</t>
  </si>
  <si>
    <t>A009963</t>
  </si>
  <si>
    <t>A009964</t>
  </si>
  <si>
    <t>A009965</t>
  </si>
  <si>
    <t>A009966</t>
  </si>
  <si>
    <t>A009967</t>
  </si>
  <si>
    <t>A009968</t>
  </si>
  <si>
    <t>A009969</t>
  </si>
  <si>
    <t>A009970</t>
  </si>
  <si>
    <t>A009971</t>
  </si>
  <si>
    <t>A009972</t>
  </si>
  <si>
    <t>A009973</t>
  </si>
  <si>
    <t>A009974</t>
  </si>
  <si>
    <t>A009975</t>
  </si>
  <si>
    <t>A009976</t>
  </si>
  <si>
    <t>A009977</t>
  </si>
  <si>
    <t>A009978</t>
  </si>
  <si>
    <t>A009979</t>
  </si>
  <si>
    <t>A009980</t>
  </si>
  <si>
    <t>A009981</t>
  </si>
  <si>
    <t>A009982</t>
  </si>
  <si>
    <t>A009983</t>
  </si>
  <si>
    <t>A009984</t>
  </si>
  <si>
    <t>A009985</t>
  </si>
  <si>
    <t>A009986</t>
  </si>
  <si>
    <t>A009987</t>
  </si>
  <si>
    <t>A009988</t>
  </si>
  <si>
    <t>A009989</t>
  </si>
  <si>
    <t>A009990</t>
  </si>
  <si>
    <t>A009991</t>
  </si>
  <si>
    <t>A009992</t>
  </si>
  <si>
    <t>A009993</t>
  </si>
  <si>
    <t>A009994</t>
  </si>
  <si>
    <t>A009995</t>
  </si>
  <si>
    <t>A009996</t>
  </si>
  <si>
    <t>A009997</t>
  </si>
  <si>
    <t>A009998</t>
  </si>
  <si>
    <t>A009999</t>
  </si>
  <si>
    <t>A010000</t>
  </si>
  <si>
    <t>A010001</t>
  </si>
  <si>
    <t>A010002</t>
  </si>
  <si>
    <t>A010003</t>
  </si>
  <si>
    <t>A010004</t>
  </si>
  <si>
    <t>A010005</t>
  </si>
  <si>
    <t>A010006</t>
  </si>
  <si>
    <t>A010007</t>
  </si>
  <si>
    <t>A010008</t>
  </si>
  <si>
    <t>A010009</t>
  </si>
  <si>
    <t>A010010</t>
  </si>
  <si>
    <t>A010011</t>
  </si>
  <si>
    <t>A010012</t>
  </si>
  <si>
    <t>A010013</t>
  </si>
  <si>
    <t>A010014</t>
  </si>
  <si>
    <t>A010015</t>
  </si>
  <si>
    <t>A010016</t>
  </si>
  <si>
    <t>A010017</t>
  </si>
  <si>
    <t>A010018</t>
  </si>
  <si>
    <t>A010019</t>
  </si>
  <si>
    <t>A010020</t>
  </si>
  <si>
    <t>A010021</t>
  </si>
  <si>
    <t>A010022</t>
  </si>
  <si>
    <t>A010023</t>
  </si>
  <si>
    <t>A010024</t>
  </si>
  <si>
    <t>A010025</t>
  </si>
  <si>
    <t>A010026</t>
  </si>
  <si>
    <t>A010027</t>
  </si>
  <si>
    <t>A010028</t>
  </si>
  <si>
    <t>A010029</t>
  </si>
  <si>
    <t>A010030</t>
  </si>
  <si>
    <t>A010031</t>
  </si>
  <si>
    <t>A010032</t>
  </si>
  <si>
    <t>A010033</t>
  </si>
  <si>
    <t>A010034</t>
  </si>
  <si>
    <t>A010035</t>
  </si>
  <si>
    <t>A010036</t>
  </si>
  <si>
    <t>A010037</t>
  </si>
  <si>
    <t>A010038</t>
  </si>
  <si>
    <t>A010039</t>
  </si>
  <si>
    <t>A010040</t>
  </si>
  <si>
    <t>A010041</t>
  </si>
  <si>
    <t>A010042</t>
  </si>
  <si>
    <t>A010043</t>
  </si>
  <si>
    <t>A010044</t>
  </si>
  <si>
    <t>A010045</t>
  </si>
  <si>
    <t>A010046</t>
  </si>
  <si>
    <t>A010047</t>
  </si>
  <si>
    <t>A010048</t>
  </si>
  <si>
    <t>A010049</t>
  </si>
  <si>
    <t>A010050</t>
  </si>
  <si>
    <t>A010051</t>
  </si>
  <si>
    <t>A010052</t>
  </si>
  <si>
    <t>A010053</t>
  </si>
  <si>
    <t>A010054</t>
  </si>
  <si>
    <t>A010055</t>
  </si>
  <si>
    <t>A010056</t>
  </si>
  <si>
    <t>A010057</t>
  </si>
  <si>
    <t>A010058</t>
  </si>
  <si>
    <t>A010059</t>
  </si>
  <si>
    <t>A010060</t>
  </si>
  <si>
    <t>A010061</t>
  </si>
  <si>
    <t>A010062</t>
  </si>
  <si>
    <t>A010063</t>
  </si>
  <si>
    <t>A010064</t>
  </si>
  <si>
    <t>A010065</t>
  </si>
  <si>
    <t>A010066</t>
  </si>
  <si>
    <t>A010067</t>
  </si>
  <si>
    <t>A010068</t>
  </si>
  <si>
    <t>A010069</t>
  </si>
  <si>
    <t>A010070</t>
  </si>
  <si>
    <t>A010071</t>
  </si>
  <si>
    <t>A010072</t>
  </si>
  <si>
    <t>A010073</t>
  </si>
  <si>
    <t>A010074</t>
  </si>
  <si>
    <t>A010075</t>
  </si>
  <si>
    <t>A010076</t>
  </si>
  <si>
    <t>A010077</t>
  </si>
  <si>
    <t>A010078</t>
  </si>
  <si>
    <t>A010079</t>
  </si>
  <si>
    <t>A010080</t>
  </si>
  <si>
    <t>A010081</t>
  </si>
  <si>
    <t>A010082</t>
  </si>
  <si>
    <t>A010083</t>
  </si>
  <si>
    <t>A010084</t>
  </si>
  <si>
    <t>A010085</t>
  </si>
  <si>
    <t>A010086</t>
  </si>
  <si>
    <t>A010087</t>
  </si>
  <si>
    <t>A010088</t>
  </si>
  <si>
    <t>A010089</t>
  </si>
  <si>
    <t>A010090</t>
  </si>
  <si>
    <t>A010091</t>
  </si>
  <si>
    <t>A010092</t>
  </si>
  <si>
    <t>A010093</t>
  </si>
  <si>
    <t>A010094</t>
  </si>
  <si>
    <t>A010095</t>
  </si>
  <si>
    <t>A010096</t>
  </si>
  <si>
    <t>A010097</t>
  </si>
  <si>
    <t>A010098</t>
  </si>
  <si>
    <t>A010099</t>
  </si>
  <si>
    <t>A010100</t>
  </si>
  <si>
    <t>A010101</t>
  </si>
  <si>
    <t>A010102</t>
  </si>
  <si>
    <t>A010103</t>
  </si>
  <si>
    <t>A010104</t>
  </si>
  <si>
    <t>A010105</t>
  </si>
  <si>
    <t>A010106</t>
  </si>
  <si>
    <t>A010107</t>
  </si>
  <si>
    <t>A010108</t>
  </si>
  <si>
    <t>A010109</t>
  </si>
  <si>
    <t>A010110</t>
  </si>
  <si>
    <t>A010111</t>
  </si>
  <si>
    <t>A010112</t>
  </si>
  <si>
    <t>A010113</t>
  </si>
  <si>
    <t>A010114</t>
  </si>
  <si>
    <t>A010115</t>
  </si>
  <si>
    <t>A010116</t>
  </si>
  <si>
    <t>A010117</t>
  </si>
  <si>
    <t>A010118</t>
  </si>
  <si>
    <t>A010119</t>
  </si>
  <si>
    <t>A010120</t>
  </si>
  <si>
    <t>A010121</t>
  </si>
  <si>
    <t>A010122</t>
  </si>
  <si>
    <t>A010123</t>
  </si>
  <si>
    <t>A010124</t>
  </si>
  <si>
    <t>A010125</t>
  </si>
  <si>
    <t>A010126</t>
  </si>
  <si>
    <t>A010127</t>
  </si>
  <si>
    <t>A010128</t>
  </si>
  <si>
    <t>A010129</t>
  </si>
  <si>
    <t>A010130</t>
  </si>
  <si>
    <t>A010131</t>
  </si>
  <si>
    <t>A010132</t>
  </si>
  <si>
    <t>A010133</t>
  </si>
  <si>
    <t>A010134</t>
  </si>
  <si>
    <t>A010135</t>
  </si>
  <si>
    <t>A010136</t>
  </si>
  <si>
    <t>A010137</t>
  </si>
  <si>
    <t>A010138</t>
  </si>
  <si>
    <t>A010139</t>
  </si>
  <si>
    <t>A010140</t>
  </si>
  <si>
    <t>A010141</t>
  </si>
  <si>
    <t>A010142</t>
  </si>
  <si>
    <t>A010143</t>
  </si>
  <si>
    <t>A010144</t>
  </si>
  <si>
    <t>A010145</t>
  </si>
  <si>
    <t>A010146</t>
  </si>
  <si>
    <t>A010147</t>
  </si>
  <si>
    <t>A010148</t>
  </si>
  <si>
    <t>A010149</t>
  </si>
  <si>
    <t>A010150</t>
  </si>
  <si>
    <t>A010151</t>
  </si>
  <si>
    <t>A010152</t>
  </si>
  <si>
    <t>A010153</t>
  </si>
  <si>
    <t>A010154</t>
  </si>
  <si>
    <t>A010155</t>
  </si>
  <si>
    <t>A010156</t>
  </si>
  <si>
    <t>A010157</t>
  </si>
  <si>
    <t>A010158</t>
  </si>
  <si>
    <t>A010159</t>
  </si>
  <si>
    <t>A010160</t>
  </si>
  <si>
    <t>A010161</t>
  </si>
  <si>
    <t>A010162</t>
  </si>
  <si>
    <t>A010163</t>
  </si>
  <si>
    <t>A010164</t>
  </si>
  <si>
    <t>A010165</t>
  </si>
  <si>
    <t>A010166</t>
  </si>
  <si>
    <t>A010167</t>
  </si>
  <si>
    <t>A010168</t>
  </si>
  <si>
    <t>A010169</t>
  </si>
  <si>
    <t>A010170</t>
  </si>
  <si>
    <t>A010171</t>
  </si>
  <si>
    <t>A010172</t>
  </si>
  <si>
    <t>A010173</t>
  </si>
  <si>
    <t>A010174</t>
  </si>
  <si>
    <t>A010175</t>
  </si>
  <si>
    <t>A010176</t>
  </si>
  <si>
    <t>A010177</t>
  </si>
  <si>
    <t>A010178</t>
  </si>
  <si>
    <t>A010179</t>
  </si>
  <si>
    <t>A010180</t>
  </si>
  <si>
    <t>A010181</t>
  </si>
  <si>
    <t>A010182</t>
  </si>
  <si>
    <t>A010183</t>
  </si>
  <si>
    <t>A010184</t>
  </si>
  <si>
    <t>A010185</t>
  </si>
  <si>
    <t>A010186</t>
  </si>
  <si>
    <t>A010187</t>
  </si>
  <si>
    <t>A010188</t>
  </si>
  <si>
    <t>A010189</t>
  </si>
  <si>
    <t>A010190</t>
  </si>
  <si>
    <t>A010191</t>
  </si>
  <si>
    <t>A010192</t>
  </si>
  <si>
    <t>A010193</t>
  </si>
  <si>
    <t>A010194</t>
  </si>
  <si>
    <t>A010195</t>
  </si>
  <si>
    <t>A010196</t>
  </si>
  <si>
    <t>A010197</t>
  </si>
  <si>
    <t>A010198</t>
  </si>
  <si>
    <t>A010199</t>
  </si>
  <si>
    <t>A010200</t>
  </si>
  <si>
    <t>A010201</t>
  </si>
  <si>
    <t>A010202</t>
  </si>
  <si>
    <t>A010203</t>
  </si>
  <si>
    <t>A010204</t>
  </si>
  <si>
    <t>A010205</t>
  </si>
  <si>
    <t>A010206</t>
  </si>
  <si>
    <t>A010207</t>
  </si>
  <si>
    <t>A010208</t>
  </si>
  <si>
    <t>A010209</t>
  </si>
  <si>
    <t>A010210</t>
  </si>
  <si>
    <t>A010211</t>
  </si>
  <si>
    <t>A010212</t>
  </si>
  <si>
    <t>A010213</t>
  </si>
  <si>
    <t>A010214</t>
  </si>
  <si>
    <t>A010215</t>
  </si>
  <si>
    <t>A010216</t>
  </si>
  <si>
    <t>A010217</t>
  </si>
  <si>
    <t>A010218</t>
  </si>
  <si>
    <t>A010219</t>
  </si>
  <si>
    <t>A010220</t>
  </si>
  <si>
    <t>A010221</t>
  </si>
  <si>
    <t>A010222</t>
  </si>
  <si>
    <t>A010223</t>
  </si>
  <si>
    <t>A010224</t>
  </si>
  <si>
    <t>A010225</t>
  </si>
  <si>
    <t>A010226</t>
  </si>
  <si>
    <t>A010227</t>
  </si>
  <si>
    <t>A010228</t>
  </si>
  <si>
    <t>A010229</t>
  </si>
  <si>
    <t>A010230</t>
  </si>
  <si>
    <t>A010231</t>
  </si>
  <si>
    <t>A010232</t>
  </si>
  <si>
    <t>A010233</t>
  </si>
  <si>
    <t>A010234</t>
  </si>
  <si>
    <t>A010235</t>
  </si>
  <si>
    <t>A010236</t>
  </si>
  <si>
    <t>A010237</t>
  </si>
  <si>
    <t>A010238</t>
  </si>
  <si>
    <t>A010239</t>
  </si>
  <si>
    <t>A010240</t>
  </si>
  <si>
    <t>A010241</t>
  </si>
  <si>
    <t>A010242</t>
  </si>
  <si>
    <t>A010243</t>
  </si>
  <si>
    <t>A010244</t>
  </si>
  <si>
    <t>A010245</t>
  </si>
  <si>
    <t>A010246</t>
  </si>
  <si>
    <t>A010247</t>
  </si>
  <si>
    <t>A010248</t>
  </si>
  <si>
    <t>A010249</t>
  </si>
  <si>
    <t>A010250</t>
  </si>
  <si>
    <t>A010251</t>
  </si>
  <si>
    <t>A010252</t>
  </si>
  <si>
    <t>A010253</t>
  </si>
  <si>
    <t>A010254</t>
  </si>
  <si>
    <t>A010255</t>
  </si>
  <si>
    <t>A010256</t>
  </si>
  <si>
    <t>A010257</t>
  </si>
  <si>
    <t>A010258</t>
  </si>
  <si>
    <t>A010259</t>
  </si>
  <si>
    <t>A010260</t>
  </si>
  <si>
    <t>A010261</t>
  </si>
  <si>
    <t>A010262</t>
  </si>
  <si>
    <t>A010263</t>
  </si>
  <si>
    <t>A010264</t>
  </si>
  <si>
    <t>A010265</t>
  </si>
  <si>
    <t>A010266</t>
  </si>
  <si>
    <t>A010267</t>
  </si>
  <si>
    <t>A010268</t>
  </si>
  <si>
    <t>A010269</t>
  </si>
  <si>
    <t>A010270</t>
  </si>
  <si>
    <t>A010271</t>
  </si>
  <si>
    <t>A010272</t>
  </si>
  <si>
    <t>A010273</t>
  </si>
  <si>
    <t>A010274</t>
  </si>
  <si>
    <t>A010275</t>
  </si>
  <si>
    <t>A010276</t>
  </si>
  <si>
    <t>A010277</t>
  </si>
  <si>
    <t>A010278</t>
  </si>
  <si>
    <t>A010279</t>
  </si>
  <si>
    <t>A010280</t>
  </si>
  <si>
    <t>A010281</t>
  </si>
  <si>
    <t>A010282</t>
  </si>
  <si>
    <t>A010283</t>
  </si>
  <si>
    <t>A010284</t>
  </si>
  <si>
    <t>A010285</t>
  </si>
  <si>
    <t>A010286</t>
  </si>
  <si>
    <t>A010287</t>
  </si>
  <si>
    <t>A010288</t>
  </si>
  <si>
    <t>A010289</t>
  </si>
  <si>
    <t>A010290</t>
  </si>
  <si>
    <t>A010291</t>
  </si>
  <si>
    <t>A010292</t>
  </si>
  <si>
    <t>A010293</t>
  </si>
  <si>
    <t>A010294</t>
  </si>
  <si>
    <t>A010295</t>
  </si>
  <si>
    <t>A010296</t>
  </si>
  <si>
    <t>A010297</t>
  </si>
  <si>
    <t>A010298</t>
  </si>
  <si>
    <t>A010299</t>
  </si>
  <si>
    <t>A010300</t>
  </si>
  <si>
    <t>A010301</t>
  </si>
  <si>
    <t>A010302</t>
  </si>
  <si>
    <t>A010303</t>
  </si>
  <si>
    <t>A010304</t>
  </si>
  <si>
    <t>A010305</t>
  </si>
  <si>
    <t>A010306</t>
  </si>
  <si>
    <t>A010307</t>
  </si>
  <si>
    <t>A010308</t>
  </si>
  <si>
    <t>A010309</t>
  </si>
  <si>
    <t>A010310</t>
  </si>
  <si>
    <t>A010311</t>
  </si>
  <si>
    <t>A010312</t>
  </si>
  <si>
    <t>A010313</t>
  </si>
  <si>
    <t>A010314</t>
  </si>
  <si>
    <t>A010315</t>
  </si>
  <si>
    <t>A010316</t>
  </si>
  <si>
    <t>A010317</t>
  </si>
  <si>
    <t>A010318</t>
  </si>
  <si>
    <t>A010319</t>
  </si>
  <si>
    <t>A010320</t>
  </si>
  <si>
    <t>A010321</t>
  </si>
  <si>
    <t>A010322</t>
  </si>
  <si>
    <t>A010323</t>
  </si>
  <si>
    <t>A010324</t>
  </si>
  <si>
    <t>A010325</t>
  </si>
  <si>
    <t>A010326</t>
  </si>
  <si>
    <t>A010327</t>
  </si>
  <si>
    <t>A010328</t>
  </si>
  <si>
    <t>A010329</t>
  </si>
  <si>
    <t>A010330</t>
  </si>
  <si>
    <t>A010331</t>
  </si>
  <si>
    <t>A010332</t>
  </si>
  <si>
    <t>A010333</t>
  </si>
  <si>
    <t>A010334</t>
  </si>
  <si>
    <t>A010335</t>
  </si>
  <si>
    <t>A010336</t>
  </si>
  <si>
    <t>A010337</t>
  </si>
  <si>
    <t>A010338</t>
  </si>
  <si>
    <t>A010339</t>
  </si>
  <si>
    <t>A010340</t>
  </si>
  <si>
    <t>A010341</t>
  </si>
  <si>
    <t>A010342</t>
  </si>
  <si>
    <t>A010343</t>
  </si>
  <si>
    <t>A010344</t>
  </si>
  <si>
    <t>A010345</t>
  </si>
  <si>
    <t>A010346</t>
  </si>
  <si>
    <t>A010347</t>
  </si>
  <si>
    <t>A010348</t>
  </si>
  <si>
    <t>A010349</t>
  </si>
  <si>
    <t>A010350</t>
  </si>
  <si>
    <t>A010351</t>
  </si>
  <si>
    <t>A010352</t>
  </si>
  <si>
    <t>A010353</t>
  </si>
  <si>
    <t>A010354</t>
  </si>
  <si>
    <t>A010355</t>
  </si>
  <si>
    <t>A010356</t>
  </si>
  <si>
    <t>A010357</t>
  </si>
  <si>
    <t>A010358</t>
  </si>
  <si>
    <t>A010359</t>
  </si>
  <si>
    <t>A010360</t>
  </si>
  <si>
    <t>A010361</t>
  </si>
  <si>
    <t>A010362</t>
  </si>
  <si>
    <t>A010363</t>
  </si>
  <si>
    <t>A010364</t>
  </si>
  <si>
    <t>A010365</t>
  </si>
  <si>
    <t>A010366</t>
  </si>
  <si>
    <t>A010367</t>
  </si>
  <si>
    <t>A010368</t>
  </si>
  <si>
    <t>A010369</t>
  </si>
  <si>
    <t>A010370</t>
  </si>
  <si>
    <t>A010371</t>
  </si>
  <si>
    <t>A010372</t>
  </si>
  <si>
    <t>A010373</t>
  </si>
  <si>
    <t>A010374</t>
  </si>
  <si>
    <t>A010375</t>
  </si>
  <si>
    <t>A010376</t>
  </si>
  <si>
    <t>A010377</t>
  </si>
  <si>
    <t>A010378</t>
  </si>
  <si>
    <t>A010379</t>
  </si>
  <si>
    <t>A010380</t>
  </si>
  <si>
    <t>A010381</t>
  </si>
  <si>
    <t>A010382</t>
  </si>
  <si>
    <t>A010383</t>
  </si>
  <si>
    <t>A010384</t>
  </si>
  <si>
    <t>A010385</t>
  </si>
  <si>
    <t>A010386</t>
  </si>
  <si>
    <t>A010387</t>
  </si>
  <si>
    <t>A010388</t>
  </si>
  <si>
    <t>A010389</t>
  </si>
  <si>
    <t>A010390</t>
  </si>
  <si>
    <t>A010391</t>
  </si>
  <si>
    <t>A010392</t>
  </si>
  <si>
    <t>A010393</t>
  </si>
  <si>
    <t>A010394</t>
  </si>
  <si>
    <t>A010395</t>
  </si>
  <si>
    <t>A010396</t>
  </si>
  <si>
    <t>A010397</t>
  </si>
  <si>
    <t>A010398</t>
  </si>
  <si>
    <t>A010399</t>
  </si>
  <si>
    <t>A010400</t>
  </si>
  <si>
    <t>A010401</t>
  </si>
  <si>
    <t>A010402</t>
  </si>
  <si>
    <t>A010403</t>
  </si>
  <si>
    <t>A010404</t>
  </si>
  <si>
    <t>A010405</t>
  </si>
  <si>
    <t>A010406</t>
  </si>
  <si>
    <t>A010407</t>
  </si>
  <si>
    <t>A010408</t>
  </si>
  <si>
    <t>A010409</t>
  </si>
  <si>
    <t>A010410</t>
  </si>
  <si>
    <t>A010411</t>
  </si>
  <si>
    <t>A010412</t>
  </si>
  <si>
    <t>A010413</t>
  </si>
  <si>
    <t>A010414</t>
  </si>
  <si>
    <t>A010415</t>
  </si>
  <si>
    <t>A010416</t>
  </si>
  <si>
    <t>A010417</t>
  </si>
  <si>
    <t>A010418</t>
  </si>
  <si>
    <t>A010419</t>
  </si>
  <si>
    <t>A010420</t>
  </si>
  <si>
    <t>A010421</t>
  </si>
  <si>
    <t>A010422</t>
  </si>
  <si>
    <t>A010423</t>
  </si>
  <si>
    <t>A010424</t>
  </si>
  <si>
    <t>A010425</t>
  </si>
  <si>
    <t>A010426</t>
  </si>
  <si>
    <t>A010427</t>
  </si>
  <si>
    <t>A010428</t>
  </si>
  <si>
    <t>A010429</t>
  </si>
  <si>
    <t>A010430</t>
  </si>
  <si>
    <t>A010431</t>
  </si>
  <si>
    <t>A010432</t>
  </si>
  <si>
    <t>A010433</t>
  </si>
  <si>
    <t>A010434</t>
  </si>
  <si>
    <t>A010435</t>
  </si>
  <si>
    <t>A010436</t>
  </si>
  <si>
    <t>A010437</t>
  </si>
  <si>
    <t>A010438</t>
  </si>
  <si>
    <t>A010439</t>
  </si>
  <si>
    <t>A010440</t>
  </si>
  <si>
    <t>A010441</t>
  </si>
  <si>
    <t>A010442</t>
  </si>
  <si>
    <t>A010443</t>
  </si>
  <si>
    <t>A010444</t>
  </si>
  <si>
    <t>A010445</t>
  </si>
  <si>
    <t>A010446</t>
  </si>
  <si>
    <t>A010447</t>
  </si>
  <si>
    <t>A010448</t>
  </si>
  <si>
    <t>A010449</t>
  </si>
  <si>
    <t>A010450</t>
  </si>
  <si>
    <t>A010451</t>
  </si>
  <si>
    <t>A010452</t>
  </si>
  <si>
    <t>A010453</t>
  </si>
  <si>
    <t>A010454</t>
  </si>
  <si>
    <t>A010455</t>
  </si>
  <si>
    <t>A010456</t>
  </si>
  <si>
    <t>A010457</t>
  </si>
  <si>
    <t>A010458</t>
  </si>
  <si>
    <t>A010459</t>
  </si>
  <si>
    <t>A010460</t>
  </si>
  <si>
    <t>A010461</t>
  </si>
  <si>
    <t>A010462</t>
  </si>
  <si>
    <t>A010463</t>
  </si>
  <si>
    <t>A010464</t>
  </si>
  <si>
    <t>A010465</t>
  </si>
  <si>
    <t>A010466</t>
  </si>
  <si>
    <t>A010467</t>
  </si>
  <si>
    <t>A010468</t>
  </si>
  <si>
    <t>A010469</t>
  </si>
  <si>
    <t>A010470</t>
  </si>
  <si>
    <t>A010471</t>
  </si>
  <si>
    <t>A010472</t>
  </si>
  <si>
    <t>A010473</t>
  </si>
  <si>
    <t>A010474</t>
  </si>
  <si>
    <t>A010475</t>
  </si>
  <si>
    <t>A010476</t>
  </si>
  <si>
    <t>A010477</t>
  </si>
  <si>
    <t>A010478</t>
  </si>
  <si>
    <t>A010479</t>
  </si>
  <si>
    <t>A010480</t>
  </si>
  <si>
    <t>A010481</t>
  </si>
  <si>
    <t>A010482</t>
  </si>
  <si>
    <t>Customer Region</t>
  </si>
  <si>
    <t>Product Name</t>
  </si>
  <si>
    <t>Product Category</t>
  </si>
  <si>
    <t>Sales Rep Name</t>
  </si>
  <si>
    <t>Sales Rep Region</t>
  </si>
  <si>
    <t>Total Opportunities</t>
  </si>
  <si>
    <t>Won Opportunities</t>
  </si>
  <si>
    <t>Lost Opportunities</t>
  </si>
  <si>
    <t>Open Opportunities</t>
  </si>
  <si>
    <t>Win Rate</t>
  </si>
  <si>
    <t>Total Won Revenue</t>
  </si>
  <si>
    <t>Average Won Deal Value</t>
  </si>
  <si>
    <t>Open Pipeline Value</t>
  </si>
  <si>
    <t>Weighted Open Pipeline</t>
  </si>
  <si>
    <t>Revenue &amp; Sales Operations Intelligence</t>
  </si>
  <si>
    <t xml:space="preserve">KPI Metric </t>
  </si>
  <si>
    <t>Value</t>
  </si>
  <si>
    <t>Row Labels</t>
  </si>
  <si>
    <t>Grand Total</t>
  </si>
  <si>
    <t>Sum of deal_value_inr</t>
  </si>
  <si>
    <t>Column Labels</t>
  </si>
  <si>
    <t>Count of opportunity_id</t>
  </si>
  <si>
    <t>Annual Target</t>
  </si>
  <si>
    <t>Target Achievement %</t>
  </si>
  <si>
    <t xml:space="preserve">Performance Status </t>
  </si>
  <si>
    <t>REVENUE &amp; SALES OPERATIONS INTELLIGENCE</t>
  </si>
  <si>
    <t>Sales Performance Dashboard | 2025–2026</t>
  </si>
  <si>
    <t>Won Revenue</t>
  </si>
  <si>
    <t>Target Achievement</t>
  </si>
  <si>
    <t>Region</t>
  </si>
  <si>
    <t xml:space="preserve">East </t>
  </si>
  <si>
    <t xml:space="preserve">Product Name </t>
  </si>
  <si>
    <t>Sales Representative</t>
  </si>
  <si>
    <t>(Multiple Items)</t>
  </si>
  <si>
    <t>Closed Opportunity Win Rate</t>
  </si>
  <si>
    <t>BUSINESS PERFORMANCE INSIGHTS</t>
  </si>
  <si>
    <t>Top Revenue Region</t>
  </si>
  <si>
    <t>Top Revenue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</si>
</sst>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_ * #,##0.0_ ;_ * \-#,##0.0_ ;_ * &quot;-&quot;??_ ;_ @_ "/>
    <numFmt numFmtId="165" formatCode="_ * #,##0_ ;_ * \-#,##0_ ;_ * &quot;-&quot;??_ ;_ @_ "/>
    <numFmt numFmtId="166" formatCode="&quot;₹&quot;###,##0"/>
  </numFmts>
  <fonts count="12">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ont>
    <font>
      <b/>
      <sz val="16"/>
      <color theme="1"/>
      <name val="Aptos Narrow"/>
      <family val="2"/>
      <scheme val="minor"/>
    </font>
    <font>
      <b/>
      <sz val="18"/>
      <color theme="0"/>
      <name val="Aptos Narrow"/>
      <family val="2"/>
      <scheme val="minor"/>
    </font>
    <font>
      <sz val="8"/>
      <name val="Aptos Narrow"/>
      <family val="2"/>
      <scheme val="minor"/>
    </font>
    <font>
      <b/>
      <sz val="15"/>
      <color theme="0"/>
      <name val="Aptos Narrow"/>
      <family val="2"/>
      <scheme val="minor"/>
    </font>
    <font>
      <sz val="11"/>
      <color theme="0"/>
      <name val="Aptos Narrow"/>
      <family val="2"/>
      <scheme val="minor"/>
    </font>
    <font>
      <b/>
      <sz val="20"/>
      <color theme="1"/>
      <name val="Aptos Narrow"/>
      <family val="2"/>
      <scheme val="minor"/>
    </font>
    <font>
      <b/>
      <sz val="14"/>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3" tint="0.89999084444715716"/>
        <bgColor indexed="64"/>
      </patternFill>
    </fill>
    <fill>
      <patternFill patternType="solid">
        <fgColor theme="0"/>
        <bgColor indexed="64"/>
      </patternFill>
    </fill>
    <fill>
      <patternFill patternType="solid">
        <fgColor theme="4"/>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14" fontId="0" fillId="0" borderId="0" xfId="0" applyNumberFormat="1"/>
    <xf numFmtId="0" fontId="3" fillId="0" borderId="0" xfId="0" applyFont="1"/>
    <xf numFmtId="10" fontId="0" fillId="0" borderId="0" xfId="3" applyNumberFormat="1" applyFont="1"/>
    <xf numFmtId="164" fontId="0" fillId="0" borderId="0" xfId="1" applyNumberFormat="1" applyFont="1"/>
    <xf numFmtId="0" fontId="2" fillId="0" borderId="0" xfId="0" applyFont="1"/>
    <xf numFmtId="0" fontId="4" fillId="0" borderId="0" xfId="0" applyFont="1"/>
    <xf numFmtId="165"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2" fillId="0" borderId="0" xfId="3" applyNumberFormat="1" applyFont="1"/>
    <xf numFmtId="10" fontId="0" fillId="0" borderId="0" xfId="0" applyNumberFormat="1"/>
    <xf numFmtId="0" fontId="10" fillId="3" borderId="2" xfId="0" applyFont="1" applyFill="1" applyBorder="1"/>
    <xf numFmtId="0" fontId="11" fillId="3" borderId="1" xfId="0" applyFont="1" applyFill="1" applyBorder="1"/>
    <xf numFmtId="0" fontId="10" fillId="3" borderId="3" xfId="0" applyFont="1" applyFill="1" applyBorder="1"/>
    <xf numFmtId="0" fontId="0" fillId="4" borderId="0" xfId="0" applyFill="1"/>
    <xf numFmtId="0" fontId="8" fillId="5" borderId="0" xfId="0" applyFont="1" applyFill="1"/>
    <xf numFmtId="0" fontId="0" fillId="3" borderId="0" xfId="0" applyFill="1"/>
    <xf numFmtId="10" fontId="0" fillId="3" borderId="0" xfId="0" applyNumberFormat="1" applyFill="1"/>
    <xf numFmtId="0" fontId="8" fillId="5" borderId="0" xfId="0" applyFont="1" applyFill="1" applyAlignment="1">
      <alignment horizontal="center"/>
    </xf>
    <xf numFmtId="166" fontId="9" fillId="3" borderId="4" xfId="2" applyNumberFormat="1" applyFont="1" applyFill="1" applyBorder="1" applyAlignment="1">
      <alignment horizontal="center"/>
    </xf>
    <xf numFmtId="166" fontId="9" fillId="3" borderId="6" xfId="2" applyNumberFormat="1" applyFont="1" applyFill="1" applyBorder="1" applyAlignment="1">
      <alignment horizontal="center"/>
    </xf>
    <xf numFmtId="10" fontId="9" fillId="3" borderId="4" xfId="0" applyNumberFormat="1" applyFont="1" applyFill="1" applyBorder="1" applyAlignment="1">
      <alignment horizontal="center"/>
    </xf>
    <xf numFmtId="10" fontId="9" fillId="3" borderId="5" xfId="0" applyNumberFormat="1" applyFont="1" applyFill="1" applyBorder="1" applyAlignment="1">
      <alignment horizontal="center"/>
    </xf>
    <xf numFmtId="10" fontId="9" fillId="3" borderId="6" xfId="0" applyNumberFormat="1" applyFont="1" applyFill="1" applyBorder="1" applyAlignment="1">
      <alignment horizontal="center"/>
    </xf>
    <xf numFmtId="0" fontId="5" fillId="2" borderId="0" xfId="0" applyFont="1" applyFill="1" applyAlignment="1">
      <alignment horizontal="center"/>
    </xf>
    <xf numFmtId="0" fontId="7" fillId="2" borderId="0" xfId="0" applyFont="1" applyFill="1" applyAlignment="1">
      <alignment horizontal="center"/>
    </xf>
    <xf numFmtId="0" fontId="10" fillId="3" borderId="1" xfId="0" applyFont="1" applyFill="1" applyBorder="1" applyAlignment="1">
      <alignment horizontal="center"/>
    </xf>
    <xf numFmtId="0" fontId="10" fillId="3" borderId="2" xfId="0" applyFont="1" applyFill="1" applyBorder="1" applyAlignment="1">
      <alignment horizontal="center"/>
    </xf>
    <xf numFmtId="0" fontId="10" fillId="3" borderId="3" xfId="0" applyFont="1" applyFill="1" applyBorder="1" applyAlignment="1">
      <alignment horizontal="center"/>
    </xf>
    <xf numFmtId="0" fontId="9" fillId="3" borderId="4" xfId="0" applyFont="1" applyFill="1" applyBorder="1" applyAlignment="1">
      <alignment horizontal="center"/>
    </xf>
    <xf numFmtId="0" fontId="9" fillId="3" borderId="5" xfId="0" applyFont="1" applyFill="1" applyBorder="1" applyAlignment="1">
      <alignment horizontal="center"/>
    </xf>
    <xf numFmtId="0" fontId="9" fillId="3" borderId="6" xfId="0" applyFont="1" applyFill="1" applyBorder="1" applyAlignment="1">
      <alignment horizontal="center"/>
    </xf>
    <xf numFmtId="0" fontId="0" fillId="0" borderId="0" xfId="0" applyNumberFormat="1"/>
  </cellXfs>
  <cellStyles count="4">
    <cellStyle name="Comma" xfId="1" builtinId="3"/>
    <cellStyle name="Currency" xfId="2" builtinId="4"/>
    <cellStyle name="Normal" xfId="0" builtinId="0"/>
    <cellStyle name="Percent" xfId="3" builtinId="5"/>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65" formatCode="_ * #,##0_ ;_ * \-#,##0_ ;_ * &quot;-&quot;??_ ;_ @_ "/>
    </dxf>
    <dxf>
      <numFmt numFmtId="164" formatCode="_ * #,##0.0_ ;_ * \-#,##0.0_ ;_ * &quot;-&quot;??_ ;_ @_ "/>
    </dxf>
    <dxf>
      <numFmt numFmtId="164" formatCode="_ * #,##0.0_ ;_ * \-#,##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[NexaCloud_PowerQuery_Workbook.xlsx]Product_Analysis!PivotTable3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Won Revenue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Product_Analysis!$B$3</c:f>
              <c:strCache>
                <c:ptCount val="1"/>
                <c:pt idx="0">
                  <c:v>Total</c:v>
                </c:pt>
              </c:strCache>
            </c:strRef>
          </c:tx>
          <c:spPr>
            <a:solidFill>
              <a:schemeClr val="accent1"/>
            </a:solidFill>
            <a:ln>
              <a:noFill/>
            </a:ln>
            <a:effectLst/>
          </c:spPr>
          <c:invertIfNegative val="0"/>
          <c:cat>
            <c:strRef>
              <c:f>Product_Analysis!$A$4:$A$10</c:f>
              <c:strCache>
                <c:ptCount val="6"/>
                <c:pt idx="0">
                  <c:v>Security Suite</c:v>
                </c:pt>
                <c:pt idx="1">
                  <c:v>CRM Enterprise</c:v>
                </c:pt>
                <c:pt idx="2">
                  <c:v>Analytics Cloud</c:v>
                </c:pt>
                <c:pt idx="3">
                  <c:v>Workflow Automate</c:v>
                </c:pt>
                <c:pt idx="4">
                  <c:v>Support Desk</c:v>
                </c:pt>
                <c:pt idx="5">
                  <c:v>CRM Essentials</c:v>
                </c:pt>
              </c:strCache>
            </c:strRef>
          </c:cat>
          <c:val>
            <c:numRef>
              <c:f>Product_Analysis!$B$4:$B$10</c:f>
              <c:numCache>
                <c:formatCode>_ * #,##0.0_ ;_ * \-#,##0.0_ ;_ * "-"??_ ;_ @_ </c:formatCode>
                <c:ptCount val="6"/>
                <c:pt idx="0">
                  <c:v>82062000</c:v>
                </c:pt>
                <c:pt idx="1">
                  <c:v>73185000</c:v>
                </c:pt>
                <c:pt idx="2">
                  <c:v>65775000</c:v>
                </c:pt>
                <c:pt idx="3">
                  <c:v>53448000</c:v>
                </c:pt>
                <c:pt idx="4">
                  <c:v>41985000</c:v>
                </c:pt>
                <c:pt idx="5">
                  <c:v>27042000</c:v>
                </c:pt>
              </c:numCache>
            </c:numRef>
          </c:val>
          <c:extLst>
            <c:ext xmlns:c16="http://schemas.microsoft.com/office/drawing/2014/chart" uri="{C3380CC4-5D6E-409C-BE32-E72D297353CC}">
              <c16:uniqueId val="{00000000-C8D2-4BBA-9EE6-A9613471642C}"/>
            </c:ext>
          </c:extLst>
        </c:ser>
        <c:dLbls>
          <c:showLegendKey val="0"/>
          <c:showVal val="0"/>
          <c:showCatName val="0"/>
          <c:showSerName val="0"/>
          <c:showPercent val="0"/>
          <c:showBubbleSize val="0"/>
        </c:dLbls>
        <c:gapWidth val="182"/>
        <c:axId val="280988720"/>
        <c:axId val="2125724495"/>
      </c:barChart>
      <c:catAx>
        <c:axId val="28098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24495"/>
        <c:crosses val="autoZero"/>
        <c:auto val="1"/>
        <c:lblAlgn val="ctr"/>
        <c:lblOffset val="100"/>
        <c:noMultiLvlLbl val="0"/>
      </c:catAx>
      <c:valAx>
        <c:axId val="2125724495"/>
        <c:scaling>
          <c:orientation val="minMax"/>
        </c:scaling>
        <c:delete val="0"/>
        <c:axPos val="b"/>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9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[NexaCloud_PowerQuery_Workbook.xlsx]Regional_Analysis!PivotTable1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Won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col"/>
        <c:grouping val="clustered"/>
        <c:varyColors val="0"/>
        <c:ser>
          <c:idx val="0"/>
          <c:order val="0"/>
          <c:tx>
            <c:strRef>
              <c:f>Regional_Analysis!$B$3</c:f>
              <c:strCache>
                <c:ptCount val="1"/>
                <c:pt idx="0">
                  <c:v>Total</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Regional_Analysis!$A$4:$A$8</c:f>
              <c:strCache>
                <c:ptCount val="4"/>
                <c:pt idx="0">
                  <c:v>South</c:v>
                </c:pt>
                <c:pt idx="1">
                  <c:v>West</c:v>
                </c:pt>
                <c:pt idx="2">
                  <c:v>North</c:v>
                </c:pt>
                <c:pt idx="3">
                  <c:v>East</c:v>
                </c:pt>
              </c:strCache>
            </c:strRef>
          </c:cat>
          <c:val>
            <c:numRef>
              <c:f>Regional_Analysis!$B$4:$B$8</c:f>
              <c:numCache>
                <c:formatCode>_ * #,##0_ ;_ * \-#,##0_ ;_ * "-"??_ ;_ @_ </c:formatCode>
                <c:ptCount val="4"/>
                <c:pt idx="0">
                  <c:v>91335000</c:v>
                </c:pt>
                <c:pt idx="1">
                  <c:v>88860000</c:v>
                </c:pt>
                <c:pt idx="2">
                  <c:v>85695000</c:v>
                </c:pt>
                <c:pt idx="3">
                  <c:v>77607000</c:v>
                </c:pt>
              </c:numCache>
            </c:numRef>
          </c:val>
          <c:extLst>
            <c:ext xmlns:c16="http://schemas.microsoft.com/office/drawing/2014/chart" uri="{C3380CC4-5D6E-409C-BE32-E72D297353CC}">
              <c16:uniqueId val="{00000000-1A67-4468-A8B5-8DD516BD543F}"/>
            </c:ext>
          </c:extLst>
        </c:ser>
        <c:dLbls>
          <c:dLblPos val="outEnd"/>
          <c:showLegendKey val="0"/>
          <c:showVal val="1"/>
          <c:showCatName val="0"/>
          <c:showSerName val="0"/>
          <c:showPercent val="0"/>
          <c:showBubbleSize val="0"/>
        </c:dLbls>
        <c:gapWidth val="219"/>
        <c:overlap val="-27"/>
        <c:axId val="1047652416"/>
        <c:axId val="792742896"/>
      </c:barChart>
      <c:catAx>
        <c:axId val="104765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742896"/>
        <c:crosses val="autoZero"/>
        <c:auto val="1"/>
        <c:lblAlgn val="ctr"/>
        <c:lblOffset val="100"/>
        <c:noMultiLvlLbl val="0"/>
      </c:catAx>
      <c:valAx>
        <c:axId val="792742896"/>
        <c:scaling>
          <c:orientation val="minMax"/>
          <c:min val="0"/>
        </c:scaling>
        <c:delete val="0"/>
        <c:axPos val="l"/>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5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[NexaCloud_PowerQuery_Workbook.xlsx]Product_Analysis!PivotTable3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Won Revenue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06346688166738E-2"/>
          <c:y val="0.17105226867210604"/>
          <c:w val="0.90246441581551962"/>
          <c:h val="0.72962035217298749"/>
        </c:manualLayout>
      </c:layout>
      <c:barChart>
        <c:barDir val="col"/>
        <c:grouping val="clustered"/>
        <c:varyColors val="0"/>
        <c:ser>
          <c:idx val="0"/>
          <c:order val="0"/>
          <c:tx>
            <c:strRef>
              <c:f>Product_Analysis!$B$3</c:f>
              <c:strCache>
                <c:ptCount val="1"/>
                <c:pt idx="0">
                  <c:v>Total</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Product_Analysis!$A$4:$A$10</c:f>
              <c:strCache>
                <c:ptCount val="6"/>
                <c:pt idx="0">
                  <c:v>Security Suite</c:v>
                </c:pt>
                <c:pt idx="1">
                  <c:v>CRM Enterprise</c:v>
                </c:pt>
                <c:pt idx="2">
                  <c:v>Analytics Cloud</c:v>
                </c:pt>
                <c:pt idx="3">
                  <c:v>Workflow Automate</c:v>
                </c:pt>
                <c:pt idx="4">
                  <c:v>Support Desk</c:v>
                </c:pt>
                <c:pt idx="5">
                  <c:v>CRM Essentials</c:v>
                </c:pt>
              </c:strCache>
            </c:strRef>
          </c:cat>
          <c:val>
            <c:numRef>
              <c:f>Product_Analysis!$B$4:$B$10</c:f>
              <c:numCache>
                <c:formatCode>_ * #,##0.0_ ;_ * \-#,##0.0_ ;_ * "-"??_ ;_ @_ </c:formatCode>
                <c:ptCount val="6"/>
                <c:pt idx="0">
                  <c:v>82062000</c:v>
                </c:pt>
                <c:pt idx="1">
                  <c:v>73185000</c:v>
                </c:pt>
                <c:pt idx="2">
                  <c:v>65775000</c:v>
                </c:pt>
                <c:pt idx="3">
                  <c:v>53448000</c:v>
                </c:pt>
                <c:pt idx="4">
                  <c:v>41985000</c:v>
                </c:pt>
                <c:pt idx="5">
                  <c:v>27042000</c:v>
                </c:pt>
              </c:numCache>
            </c:numRef>
          </c:val>
          <c:extLst>
            <c:ext xmlns:c16="http://schemas.microsoft.com/office/drawing/2014/chart" uri="{C3380CC4-5D6E-409C-BE32-E72D297353CC}">
              <c16:uniqueId val="{00000000-2A3C-4787-A7E5-851139FA7693}"/>
            </c:ext>
          </c:extLst>
        </c:ser>
        <c:dLbls>
          <c:dLblPos val="outEnd"/>
          <c:showLegendKey val="0"/>
          <c:showVal val="1"/>
          <c:showCatName val="0"/>
          <c:showSerName val="0"/>
          <c:showPercent val="0"/>
          <c:showBubbleSize val="0"/>
        </c:dLbls>
        <c:gapWidth val="219"/>
        <c:overlap val="-27"/>
        <c:axId val="1047666800"/>
        <c:axId val="792805296"/>
      </c:barChart>
      <c:catAx>
        <c:axId val="10476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805296"/>
        <c:crosses val="autoZero"/>
        <c:auto val="1"/>
        <c:lblAlgn val="ctr"/>
        <c:lblOffset val="100"/>
        <c:noMultiLvlLbl val="0"/>
      </c:catAx>
      <c:valAx>
        <c:axId val="792805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66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Win Rate Comparison</a:t>
            </a:r>
          </a:p>
        </c:rich>
      </c:tx>
      <c:layout>
        <c:manualLayout>
          <c:xMode val="edge"/>
          <c:yMode val="edge"/>
          <c:x val="0.252701224846894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Regional_WinRate!$I$4</c:f>
              <c:strCache>
                <c:ptCount val="1"/>
                <c:pt idx="0">
                  <c:v>Win Rate</c:v>
                </c:pt>
              </c:strCache>
            </c:strRef>
          </c:tx>
          <c:spPr>
            <a:solidFill>
              <a:schemeClr val="accent1"/>
            </a:solidFill>
            <a:ln>
              <a:noFill/>
            </a:ln>
            <a:effectLst/>
          </c:spPr>
          <c:invertIfNegative val="0"/>
          <c:cat>
            <c:strRef>
              <c:f>Regional_WinRate!$H$5:$H$8</c:f>
              <c:strCache>
                <c:ptCount val="4"/>
                <c:pt idx="0">
                  <c:v>East </c:v>
                </c:pt>
                <c:pt idx="1">
                  <c:v>North</c:v>
                </c:pt>
                <c:pt idx="2">
                  <c:v>South</c:v>
                </c:pt>
                <c:pt idx="3">
                  <c:v>West</c:v>
                </c:pt>
              </c:strCache>
            </c:strRef>
          </c:cat>
          <c:val>
            <c:numRef>
              <c:f>Regional_WinRate!$I$5:$I$8</c:f>
              <c:numCache>
                <c:formatCode>0.00%</c:formatCode>
                <c:ptCount val="4"/>
                <c:pt idx="0">
                  <c:v>0.44117647058823528</c:v>
                </c:pt>
                <c:pt idx="1">
                  <c:v>0.48109243697478993</c:v>
                </c:pt>
                <c:pt idx="2">
                  <c:v>0.47338403041825095</c:v>
                </c:pt>
                <c:pt idx="3">
                  <c:v>0.44150943396226416</c:v>
                </c:pt>
              </c:numCache>
            </c:numRef>
          </c:val>
          <c:extLst>
            <c:ext xmlns:c16="http://schemas.microsoft.com/office/drawing/2014/chart" uri="{C3380CC4-5D6E-409C-BE32-E72D297353CC}">
              <c16:uniqueId val="{00000000-A373-4131-89A9-0AB4C0AC8FFA}"/>
            </c:ext>
          </c:extLst>
        </c:ser>
        <c:dLbls>
          <c:showLegendKey val="0"/>
          <c:showVal val="0"/>
          <c:showCatName val="0"/>
          <c:showSerName val="0"/>
          <c:showPercent val="0"/>
          <c:showBubbleSize val="0"/>
        </c:dLbls>
        <c:gapWidth val="219"/>
        <c:overlap val="-27"/>
        <c:axId val="1023958480"/>
        <c:axId val="1014471440"/>
      </c:barChart>
      <c:catAx>
        <c:axId val="10239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471440"/>
        <c:crosses val="autoZero"/>
        <c:auto val="1"/>
        <c:lblAlgn val="ctr"/>
        <c:lblOffset val="100"/>
        <c:noMultiLvlLbl val="0"/>
      </c:catAx>
      <c:valAx>
        <c:axId val="10144714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5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Win Rate Comparison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Product_WinRate!$I$4</c:f>
              <c:strCache>
                <c:ptCount val="1"/>
                <c:pt idx="0">
                  <c:v>Win Rate</c:v>
                </c:pt>
              </c:strCache>
            </c:strRef>
          </c:tx>
          <c:spPr>
            <a:solidFill>
              <a:schemeClr val="accent1"/>
            </a:solidFill>
            <a:ln>
              <a:noFill/>
            </a:ln>
            <a:effectLst/>
          </c:spPr>
          <c:invertIfNegative val="0"/>
          <c:cat>
            <c:strRef>
              <c:f>Product_WinRate!$H$5:$H$10</c:f>
              <c:strCache>
                <c:ptCount val="6"/>
                <c:pt idx="0">
                  <c:v>Analytics Cloud</c:v>
                </c:pt>
                <c:pt idx="1">
                  <c:v>CRM Enterprise</c:v>
                </c:pt>
                <c:pt idx="2">
                  <c:v>CRM Essentials</c:v>
                </c:pt>
                <c:pt idx="3">
                  <c:v>Security Suite</c:v>
                </c:pt>
                <c:pt idx="4">
                  <c:v>Support Desk</c:v>
                </c:pt>
                <c:pt idx="5">
                  <c:v>Workflow Automate</c:v>
                </c:pt>
              </c:strCache>
            </c:strRef>
          </c:cat>
          <c:val>
            <c:numRef>
              <c:f>Product_WinRate!$I$5:$I$10</c:f>
              <c:numCache>
                <c:formatCode>0.00%</c:formatCode>
                <c:ptCount val="6"/>
                <c:pt idx="0">
                  <c:v>0.43220338983050849</c:v>
                </c:pt>
                <c:pt idx="1">
                  <c:v>0.43143812709030099</c:v>
                </c:pt>
                <c:pt idx="2">
                  <c:v>0.44729344729344728</c:v>
                </c:pt>
                <c:pt idx="3">
                  <c:v>0.47838616714697407</c:v>
                </c:pt>
                <c:pt idx="4">
                  <c:v>0.50326797385620914</c:v>
                </c:pt>
                <c:pt idx="5">
                  <c:v>0.46687697160883279</c:v>
                </c:pt>
              </c:numCache>
            </c:numRef>
          </c:val>
          <c:extLst>
            <c:ext xmlns:c16="http://schemas.microsoft.com/office/drawing/2014/chart" uri="{C3380CC4-5D6E-409C-BE32-E72D297353CC}">
              <c16:uniqueId val="{00000000-EF62-4EF4-88EE-E154A89A861A}"/>
            </c:ext>
          </c:extLst>
        </c:ser>
        <c:dLbls>
          <c:showLegendKey val="0"/>
          <c:showVal val="0"/>
          <c:showCatName val="0"/>
          <c:showSerName val="0"/>
          <c:showPercent val="0"/>
          <c:showBubbleSize val="0"/>
        </c:dLbls>
        <c:gapWidth val="219"/>
        <c:overlap val="-27"/>
        <c:axId val="1023993744"/>
        <c:axId val="1014497360"/>
      </c:barChart>
      <c:catAx>
        <c:axId val="102399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497360"/>
        <c:crosses val="autoZero"/>
        <c:auto val="1"/>
        <c:lblAlgn val="ctr"/>
        <c:lblOffset val="100"/>
        <c:noMultiLvlLbl val="0"/>
      </c:catAx>
      <c:valAx>
        <c:axId val="101449736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9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[NexaCloud_PowerQuery_Workbook.xlsx]SalesRep_Performance!PivotTable5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Sales Representatives by Won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SalesRep_Performance!$B$3</c:f>
              <c:strCache>
                <c:ptCount val="1"/>
                <c:pt idx="0">
                  <c:v>Total</c:v>
                </c:pt>
              </c:strCache>
            </c:strRef>
          </c:tx>
          <c:spPr>
            <a:solidFill>
              <a:schemeClr val="accent1"/>
            </a:solidFill>
            <a:ln>
              <a:noFill/>
            </a:ln>
            <a:effectLst/>
          </c:spPr>
          <c:invertIfNegative val="0"/>
          <c:cat>
            <c:strRef>
              <c:f>SalesRep_Performance!$A$4:$A$24</c:f>
              <c:strCache>
                <c:ptCount val="20"/>
                <c:pt idx="0">
                  <c:v>Sales Rep 05</c:v>
                </c:pt>
                <c:pt idx="1">
                  <c:v>Sales Rep 15</c:v>
                </c:pt>
                <c:pt idx="2">
                  <c:v>Sales Rep 20</c:v>
                </c:pt>
                <c:pt idx="3">
                  <c:v>Sales Rep 09</c:v>
                </c:pt>
                <c:pt idx="4">
                  <c:v>Sales Rep 04</c:v>
                </c:pt>
                <c:pt idx="5">
                  <c:v>Sales Rep 03</c:v>
                </c:pt>
                <c:pt idx="6">
                  <c:v>Sales Rep 14</c:v>
                </c:pt>
                <c:pt idx="7">
                  <c:v>Sales Rep 06</c:v>
                </c:pt>
                <c:pt idx="8">
                  <c:v>Sales Rep 12</c:v>
                </c:pt>
                <c:pt idx="9">
                  <c:v>Sales Rep 10</c:v>
                </c:pt>
                <c:pt idx="10">
                  <c:v>Sales Rep 02</c:v>
                </c:pt>
                <c:pt idx="11">
                  <c:v>Sales Rep 19</c:v>
                </c:pt>
                <c:pt idx="12">
                  <c:v>Sales Rep 13</c:v>
                </c:pt>
                <c:pt idx="13">
                  <c:v>Sales Rep 08</c:v>
                </c:pt>
                <c:pt idx="14">
                  <c:v>Sales Rep 07</c:v>
                </c:pt>
                <c:pt idx="15">
                  <c:v>Sales Rep 16</c:v>
                </c:pt>
                <c:pt idx="16">
                  <c:v>Sales Rep 01</c:v>
                </c:pt>
                <c:pt idx="17">
                  <c:v>Sales Rep 11</c:v>
                </c:pt>
                <c:pt idx="18">
                  <c:v>Sales Rep 17</c:v>
                </c:pt>
                <c:pt idx="19">
                  <c:v>Sales Rep 18</c:v>
                </c:pt>
              </c:strCache>
            </c:strRef>
          </c:cat>
          <c:val>
            <c:numRef>
              <c:f>SalesRep_Performance!$B$4:$B$24</c:f>
              <c:numCache>
                <c:formatCode>_ * #,##0_ ;_ * \-#,##0_ ;_ * "-"??_ ;_ @_ </c:formatCode>
                <c:ptCount val="20"/>
                <c:pt idx="0">
                  <c:v>22146000</c:v>
                </c:pt>
                <c:pt idx="1">
                  <c:v>22086000</c:v>
                </c:pt>
                <c:pt idx="2">
                  <c:v>21186000</c:v>
                </c:pt>
                <c:pt idx="3">
                  <c:v>20025000</c:v>
                </c:pt>
                <c:pt idx="4">
                  <c:v>19542000</c:v>
                </c:pt>
                <c:pt idx="5">
                  <c:v>19299000</c:v>
                </c:pt>
                <c:pt idx="6">
                  <c:v>19131000</c:v>
                </c:pt>
                <c:pt idx="7">
                  <c:v>18090000</c:v>
                </c:pt>
                <c:pt idx="8">
                  <c:v>17625000</c:v>
                </c:pt>
                <c:pt idx="9">
                  <c:v>16440000</c:v>
                </c:pt>
                <c:pt idx="10">
                  <c:v>16398000</c:v>
                </c:pt>
                <c:pt idx="11">
                  <c:v>16212000</c:v>
                </c:pt>
                <c:pt idx="12">
                  <c:v>16188000</c:v>
                </c:pt>
                <c:pt idx="13">
                  <c:v>15804000</c:v>
                </c:pt>
                <c:pt idx="14">
                  <c:v>15336000</c:v>
                </c:pt>
                <c:pt idx="15">
                  <c:v>14070000</c:v>
                </c:pt>
                <c:pt idx="16">
                  <c:v>13950000</c:v>
                </c:pt>
                <c:pt idx="17">
                  <c:v>13830000</c:v>
                </c:pt>
                <c:pt idx="18">
                  <c:v>13143000</c:v>
                </c:pt>
                <c:pt idx="19">
                  <c:v>12996000</c:v>
                </c:pt>
              </c:numCache>
            </c:numRef>
          </c:val>
          <c:extLst>
            <c:ext xmlns:c16="http://schemas.microsoft.com/office/drawing/2014/chart" uri="{C3380CC4-5D6E-409C-BE32-E72D297353CC}">
              <c16:uniqueId val="{00000000-19E7-4FA2-8F01-8CC367341C48}"/>
            </c:ext>
          </c:extLst>
        </c:ser>
        <c:dLbls>
          <c:showLegendKey val="0"/>
          <c:showVal val="0"/>
          <c:showCatName val="0"/>
          <c:showSerName val="0"/>
          <c:showPercent val="0"/>
          <c:showBubbleSize val="0"/>
        </c:dLbls>
        <c:gapWidth val="219"/>
        <c:axId val="1023962192"/>
        <c:axId val="1014498800"/>
      </c:barChart>
      <c:catAx>
        <c:axId val="1023962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498800"/>
        <c:crosses val="autoZero"/>
        <c:auto val="1"/>
        <c:lblAlgn val="ctr"/>
        <c:lblOffset val="100"/>
        <c:noMultiLvlLbl val="0"/>
      </c:catAx>
      <c:valAx>
        <c:axId val="1014498800"/>
        <c:scaling>
          <c:orientation val="minMax"/>
        </c:scaling>
        <c:delete val="0"/>
        <c:axPos val="t"/>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96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Target Achievement by Representative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Target_Chart_Data!$B$1</c:f>
              <c:strCache>
                <c:ptCount val="1"/>
                <c:pt idx="0">
                  <c:v>Target Achievement %</c:v>
                </c:pt>
              </c:strCache>
            </c:strRef>
          </c:tx>
          <c:spPr>
            <a:solidFill>
              <a:schemeClr val="accent1"/>
            </a:solidFill>
            <a:ln>
              <a:noFill/>
            </a:ln>
            <a:effectLst/>
          </c:spPr>
          <c:invertIfNegative val="0"/>
          <c:cat>
            <c:strRef>
              <c:f>[0]!Dynamic_SalesReps</c:f>
              <c:strCache>
                <c:ptCount val="20"/>
                <c:pt idx="0">
                  <c:v>Sales Rep 05</c:v>
                </c:pt>
                <c:pt idx="1">
                  <c:v>Sales Rep 15</c:v>
                </c:pt>
                <c:pt idx="2">
                  <c:v>Sales Rep 20</c:v>
                </c:pt>
                <c:pt idx="3">
                  <c:v>Sales Rep 09</c:v>
                </c:pt>
                <c:pt idx="4">
                  <c:v>Sales Rep 04</c:v>
                </c:pt>
                <c:pt idx="5">
                  <c:v>Sales Rep 03</c:v>
                </c:pt>
                <c:pt idx="6">
                  <c:v>Sales Rep 14</c:v>
                </c:pt>
                <c:pt idx="7">
                  <c:v>Sales Rep 06</c:v>
                </c:pt>
                <c:pt idx="8">
                  <c:v>Sales Rep 12</c:v>
                </c:pt>
                <c:pt idx="9">
                  <c:v>Sales Rep 10</c:v>
                </c:pt>
                <c:pt idx="10">
                  <c:v>Sales Rep 02</c:v>
                </c:pt>
                <c:pt idx="11">
                  <c:v>Sales Rep 19</c:v>
                </c:pt>
                <c:pt idx="12">
                  <c:v>Sales Rep 13</c:v>
                </c:pt>
                <c:pt idx="13">
                  <c:v>Sales Rep 08</c:v>
                </c:pt>
                <c:pt idx="14">
                  <c:v>Sales Rep 07</c:v>
                </c:pt>
                <c:pt idx="15">
                  <c:v>Sales Rep 16</c:v>
                </c:pt>
                <c:pt idx="16">
                  <c:v>Sales Rep 01</c:v>
                </c:pt>
                <c:pt idx="17">
                  <c:v>Sales Rep 11</c:v>
                </c:pt>
                <c:pt idx="18">
                  <c:v>Sales Rep 17</c:v>
                </c:pt>
                <c:pt idx="19">
                  <c:v>Sales Rep 18</c:v>
                </c:pt>
              </c:strCache>
            </c:strRef>
          </c:cat>
          <c:val>
            <c:numRef>
              <c:f>[0]!Dynamic_TargetRates</c:f>
              <c:numCache>
                <c:formatCode>0.00%</c:formatCode>
                <c:ptCount val="20"/>
                <c:pt idx="0">
                  <c:v>1.8454999999999999</c:v>
                </c:pt>
                <c:pt idx="1">
                  <c:v>1.2270000000000001</c:v>
                </c:pt>
                <c:pt idx="2">
                  <c:v>1.7655000000000001</c:v>
                </c:pt>
                <c:pt idx="3">
                  <c:v>1.66875</c:v>
                </c:pt>
                <c:pt idx="4">
                  <c:v>1.0856666666666666</c:v>
                </c:pt>
                <c:pt idx="5">
                  <c:v>1.0721666666666667</c:v>
                </c:pt>
                <c:pt idx="6">
                  <c:v>1.0628333333333333</c:v>
                </c:pt>
                <c:pt idx="7">
                  <c:v>0.86142857142857143</c:v>
                </c:pt>
                <c:pt idx="8">
                  <c:v>0.8392857142857143</c:v>
                </c:pt>
                <c:pt idx="9">
                  <c:v>1.0960000000000001</c:v>
                </c:pt>
                <c:pt idx="10">
                  <c:v>1.0931999999999999</c:v>
                </c:pt>
                <c:pt idx="11">
                  <c:v>1.351</c:v>
                </c:pt>
                <c:pt idx="12">
                  <c:v>0.89933333333333332</c:v>
                </c:pt>
                <c:pt idx="13">
                  <c:v>0.878</c:v>
                </c:pt>
                <c:pt idx="14">
                  <c:v>0.73028571428571432</c:v>
                </c:pt>
                <c:pt idx="15">
                  <c:v>0.93799999999999994</c:v>
                </c:pt>
                <c:pt idx="16">
                  <c:v>1.1625000000000001</c:v>
                </c:pt>
                <c:pt idx="17">
                  <c:v>1.1525000000000001</c:v>
                </c:pt>
                <c:pt idx="18">
                  <c:v>0.87619999999999998</c:v>
                </c:pt>
                <c:pt idx="19">
                  <c:v>0.61885714285714288</c:v>
                </c:pt>
              </c:numCache>
            </c:numRef>
          </c:val>
          <c:extLst>
            <c:ext xmlns:c16="http://schemas.microsoft.com/office/drawing/2014/chart" uri="{C3380CC4-5D6E-409C-BE32-E72D297353CC}">
              <c16:uniqueId val="{00000000-CEA3-4E83-93C2-6838DDBAB6C5}"/>
            </c:ext>
          </c:extLst>
        </c:ser>
        <c:dLbls>
          <c:showLegendKey val="0"/>
          <c:showVal val="0"/>
          <c:showCatName val="0"/>
          <c:showSerName val="0"/>
          <c:showPercent val="0"/>
          <c:showBubbleSize val="0"/>
        </c:dLbls>
        <c:gapWidth val="219"/>
        <c:overlap val="-27"/>
        <c:axId val="987603904"/>
        <c:axId val="1014384080"/>
      </c:barChart>
      <c:catAx>
        <c:axId val="98760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384080"/>
        <c:crosses val="autoZero"/>
        <c:auto val="1"/>
        <c:lblAlgn val="ctr"/>
        <c:lblOffset val="100"/>
        <c:noMultiLvlLbl val="0"/>
      </c:catAx>
      <c:valAx>
        <c:axId val="1014384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0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35780</xdr:colOff>
      <xdr:row>0</xdr:row>
      <xdr:rowOff>0</xdr:rowOff>
    </xdr:from>
    <xdr:to>
      <xdr:col>9</xdr:col>
      <xdr:colOff>326003</xdr:colOff>
      <xdr:row>11</xdr:row>
      <xdr:rowOff>159026</xdr:rowOff>
    </xdr:to>
    <xdr:graphicFrame macro="">
      <xdr:nvGraphicFramePr>
        <xdr:cNvPr id="2" name="Chart 1">
          <a:extLst>
            <a:ext uri="{FF2B5EF4-FFF2-40B4-BE49-F238E27FC236}">
              <a16:creationId xmlns:a16="http://schemas.microsoft.com/office/drawing/2014/main" id="{EBD9F303-D037-B704-E9AA-E5B0CE67A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7951</xdr:rowOff>
    </xdr:from>
    <xdr:to>
      <xdr:col>7</xdr:col>
      <xdr:colOff>63611</xdr:colOff>
      <xdr:row>21</xdr:row>
      <xdr:rowOff>182880</xdr:rowOff>
    </xdr:to>
    <xdr:graphicFrame macro="">
      <xdr:nvGraphicFramePr>
        <xdr:cNvPr id="2" name="Chart 1">
          <a:extLst>
            <a:ext uri="{FF2B5EF4-FFF2-40B4-BE49-F238E27FC236}">
              <a16:creationId xmlns:a16="http://schemas.microsoft.com/office/drawing/2014/main" id="{ABD1A74D-E3F3-947B-41F2-74BBEC4C6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3976</xdr:colOff>
      <xdr:row>6</xdr:row>
      <xdr:rowOff>190830</xdr:rowOff>
    </xdr:from>
    <xdr:to>
      <xdr:col>15</xdr:col>
      <xdr:colOff>0</xdr:colOff>
      <xdr:row>21</xdr:row>
      <xdr:rowOff>190831</xdr:rowOff>
    </xdr:to>
    <xdr:graphicFrame macro="">
      <xdr:nvGraphicFramePr>
        <xdr:cNvPr id="3" name="Chart 2">
          <a:extLst>
            <a:ext uri="{FF2B5EF4-FFF2-40B4-BE49-F238E27FC236}">
              <a16:creationId xmlns:a16="http://schemas.microsoft.com/office/drawing/2014/main" id="{065EFC93-CBBF-8C0A-F6DE-A52937AED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182879</xdr:rowOff>
    </xdr:from>
    <xdr:to>
      <xdr:col>6</xdr:col>
      <xdr:colOff>628153</xdr:colOff>
      <xdr:row>38</xdr:row>
      <xdr:rowOff>182880</xdr:rowOff>
    </xdr:to>
    <xdr:graphicFrame macro="">
      <xdr:nvGraphicFramePr>
        <xdr:cNvPr id="4" name="Chart 2">
          <a:extLst>
            <a:ext uri="{FF2B5EF4-FFF2-40B4-BE49-F238E27FC236}">
              <a16:creationId xmlns:a16="http://schemas.microsoft.com/office/drawing/2014/main" id="{3FF394B4-2987-EBED-A7C3-8F9D2760E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700</xdr:colOff>
      <xdr:row>23</xdr:row>
      <xdr:rowOff>10756</xdr:rowOff>
    </xdr:from>
    <xdr:to>
      <xdr:col>15</xdr:col>
      <xdr:colOff>9354</xdr:colOff>
      <xdr:row>38</xdr:row>
      <xdr:rowOff>177736</xdr:rowOff>
    </xdr:to>
    <xdr:graphicFrame macro="">
      <xdr:nvGraphicFramePr>
        <xdr:cNvPr id="5" name="Chart 1">
          <a:extLst>
            <a:ext uri="{FF2B5EF4-FFF2-40B4-BE49-F238E27FC236}">
              <a16:creationId xmlns:a16="http://schemas.microsoft.com/office/drawing/2014/main" id="{B1E4C835-B2E9-3880-AA81-1863DDE9C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0</xdr:rowOff>
    </xdr:from>
    <xdr:to>
      <xdr:col>7</xdr:col>
      <xdr:colOff>15903</xdr:colOff>
      <xdr:row>58</xdr:row>
      <xdr:rowOff>15901</xdr:rowOff>
    </xdr:to>
    <xdr:graphicFrame macro="">
      <xdr:nvGraphicFramePr>
        <xdr:cNvPr id="6" name="Sales Representatives by Won Revenue">
          <a:extLst>
            <a:ext uri="{FF2B5EF4-FFF2-40B4-BE49-F238E27FC236}">
              <a16:creationId xmlns:a16="http://schemas.microsoft.com/office/drawing/2014/main" id="{E39DF675-84A6-B3AA-337C-C3D131C22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7950</xdr:colOff>
      <xdr:row>40</xdr:row>
      <xdr:rowOff>1</xdr:rowOff>
    </xdr:from>
    <xdr:to>
      <xdr:col>14</xdr:col>
      <xdr:colOff>636104</xdr:colOff>
      <xdr:row>58</xdr:row>
      <xdr:rowOff>15903</xdr:rowOff>
    </xdr:to>
    <xdr:graphicFrame macro="">
      <xdr:nvGraphicFramePr>
        <xdr:cNvPr id="7" name="Chart 6">
          <a:extLst>
            <a:ext uri="{FF2B5EF4-FFF2-40B4-BE49-F238E27FC236}">
              <a16:creationId xmlns:a16="http://schemas.microsoft.com/office/drawing/2014/main" id="{B9564286-705A-40F2-822B-58404728E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6962</xdr:colOff>
      <xdr:row>5</xdr:row>
      <xdr:rowOff>118598</xdr:rowOff>
    </xdr:from>
    <xdr:to>
      <xdr:col>19</xdr:col>
      <xdr:colOff>249381</xdr:colOff>
      <xdr:row>13</xdr:row>
      <xdr:rowOff>164844</xdr:rowOff>
    </xdr:to>
    <mc:AlternateContent xmlns:mc="http://schemas.openxmlformats.org/markup-compatibility/2006" xmlns:a14="http://schemas.microsoft.com/office/drawing/2010/main">
      <mc:Choice Requires="a14">
        <xdr:graphicFrame macro="">
          <xdr:nvGraphicFramePr>
            <xdr:cNvPr id="8" name="Sales Rep Region">
              <a:extLst>
                <a:ext uri="{FF2B5EF4-FFF2-40B4-BE49-F238E27FC236}">
                  <a16:creationId xmlns:a16="http://schemas.microsoft.com/office/drawing/2014/main" id="{8CAB5E9E-32F9-4257-AF4B-EFC3C9FE7FD7}"/>
                </a:ext>
              </a:extLst>
            </xdr:cNvPr>
            <xdr:cNvGraphicFramePr/>
          </xdr:nvGraphicFramePr>
          <xdr:xfrm>
            <a:off x="0" y="0"/>
            <a:ext cx="0" cy="0"/>
          </xdr:xfrm>
          <a:graphic>
            <a:graphicData uri="http://schemas.microsoft.com/office/drawing/2010/slicer">
              <sle:slicer xmlns:sle="http://schemas.microsoft.com/office/drawing/2010/slicer" name="Sales Rep Region"/>
            </a:graphicData>
          </a:graphic>
        </xdr:graphicFrame>
      </mc:Choice>
      <mc:Fallback xmlns="">
        <xdr:sp macro="" textlink="">
          <xdr:nvSpPr>
            <xdr:cNvPr id="0" name=""/>
            <xdr:cNvSpPr>
              <a:spLocks noTextEdit="1"/>
            </xdr:cNvSpPr>
          </xdr:nvSpPr>
          <xdr:spPr>
            <a:xfrm>
              <a:off x="11114196" y="1799028"/>
              <a:ext cx="2160570" cy="1554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Sathishkumar" refreshedDate="46325.569390856479" createdVersion="8" refreshedVersion="8" minRefreshableVersion="3" recordCount="3000" xr:uid="{ADC61FBE-2E9E-4698-BFC0-D17829828429}">
  <cacheSource type="worksheet">
    <worksheetSource name="tblOpportunities"/>
  </cacheSource>
  <cacheFields count="18">
    <cacheField name="opportunity_id" numFmtId="0">
      <sharedItems/>
    </cacheField>
    <cacheField name="customer_id" numFmtId="0">
      <sharedItems/>
    </cacheField>
    <cacheField name="product_id" numFmtId="0">
      <sharedItems/>
    </cacheField>
    <cacheField name="rep_id" numFmtId="0">
      <sharedItems/>
    </cacheField>
    <cacheField name="created_date" numFmtId="14">
      <sharedItems containsSemiMixedTypes="0" containsNonDate="0" containsDate="1" containsString="0" minDate="2025-01-01T00:00:00" maxDate="2026-01-01T00:00:00"/>
    </cacheField>
    <cacheField name="expected_close_date" numFmtId="14">
      <sharedItems containsSemiMixedTypes="0" containsNonDate="0" containsDate="1" containsString="0" minDate="2025-01-10T00:00:00" maxDate="2026-03-24T00:00:00"/>
    </cacheField>
    <cacheField name="actual_close_date" numFmtId="14">
      <sharedItems containsNonDate="0" containsDate="1" containsString="0" containsBlank="1" minDate="2025-01-10T00:00:00" maxDate="2026-01-01T00:00:00"/>
    </cacheField>
    <cacheField name="stage" numFmtId="0">
      <sharedItems count="3">
        <s v="Lost"/>
        <s v="Won"/>
        <s v="Open"/>
      </sharedItems>
    </cacheField>
    <cacheField name="units" numFmtId="0">
      <sharedItems containsSemiMixedTypes="0" containsString="0" containsNumber="1" containsInteger="1" minValue="1" maxValue="3"/>
    </cacheField>
    <cacheField name="discount_pct" numFmtId="0">
      <sharedItems containsSemiMixedTypes="0" containsString="0" containsNumber="1" containsInteger="1" minValue="0" maxValue="20"/>
    </cacheField>
    <cacheField name="deal_value_inr" numFmtId="0">
      <sharedItems containsSemiMixedTypes="0" containsString="0" containsNumber="1" containsInteger="1" minValue="96000" maxValue="1260000"/>
    </cacheField>
    <cacheField name="probability_pct" numFmtId="0">
      <sharedItems containsSemiMixedTypes="0" containsString="0" containsNumber="1" containsInteger="1" minValue="0" maxValue="100"/>
    </cacheField>
    <cacheField name="lost_reason" numFmtId="0">
      <sharedItems/>
    </cacheField>
    <cacheField name="Customer Region" numFmtId="0">
      <sharedItems/>
    </cacheField>
    <cacheField name="Product Name" numFmtId="0">
      <sharedItems count="6">
        <s v="CRM Enterprise"/>
        <s v="Workflow Automate"/>
        <s v="Security Suite"/>
        <s v="Support Desk"/>
        <s v="CRM Essentials"/>
        <s v="Analytics Cloud"/>
      </sharedItems>
    </cacheField>
    <cacheField name="Product Category" numFmtId="0">
      <sharedItems/>
    </cacheField>
    <cacheField name="Sales Rep Name" numFmtId="0">
      <sharedItems count="20">
        <s v="Sales Rep 08"/>
        <s v="Sales Rep 14"/>
        <s v="Sales Rep 06"/>
        <s v="Sales Rep 04"/>
        <s v="Sales Rep 09"/>
        <s v="Sales Rep 13"/>
        <s v="Sales Rep 01"/>
        <s v="Sales Rep 15"/>
        <s v="Sales Rep 16"/>
        <s v="Sales Rep 20"/>
        <s v="Sales Rep 19"/>
        <s v="Sales Rep 05"/>
        <s v="Sales Rep 11"/>
        <s v="Sales Rep 07"/>
        <s v="Sales Rep 12"/>
        <s v="Sales Rep 03"/>
        <s v="Sales Rep 10"/>
        <s v="Sales Rep 02"/>
        <s v="Sales Rep 18"/>
        <s v="Sales Rep 17"/>
      </sharedItems>
    </cacheField>
    <cacheField name="Sales Rep Region" numFmtId="0">
      <sharedItems count="4">
        <s v="North"/>
        <s v="West"/>
        <s v="South"/>
        <s v="East"/>
      </sharedItems>
    </cacheField>
  </cacheFields>
  <extLst>
    <ext xmlns:x14="http://schemas.microsoft.com/office/spreadsheetml/2009/9/main" uri="{725AE2AE-9491-48be-B2B4-4EB974FC3084}">
      <x14:pivotCacheDefinition pivotCacheId="208574096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00001"/>
    <s v="C0020"/>
    <s v="P002"/>
    <s v="R008"/>
    <d v="2025-08-31T00:00:00"/>
    <d v="2025-09-26T00:00:00"/>
    <d v="2025-09-26T00:00:00"/>
    <x v="0"/>
    <n v="3"/>
    <n v="20"/>
    <n v="1008000"/>
    <n v="0"/>
    <s v="Budget"/>
    <s v="North"/>
    <x v="0"/>
    <s v="CRM"/>
    <x v="0"/>
    <x v="0"/>
  </r>
  <r>
    <s v="O00002"/>
    <s v="C0289"/>
    <s v="P003"/>
    <s v="R014"/>
    <d v="2025-01-09T00:00:00"/>
    <d v="2025-01-30T00:00:00"/>
    <d v="2025-01-30T00:00:00"/>
    <x v="0"/>
    <n v="2"/>
    <n v="20"/>
    <n v="384000"/>
    <n v="0"/>
    <s v="Price"/>
    <s v="West"/>
    <x v="1"/>
    <s v="Automation"/>
    <x v="1"/>
    <x v="1"/>
  </r>
  <r>
    <s v="O00003"/>
    <s v="C0294"/>
    <s v="P006"/>
    <s v="R006"/>
    <d v="2025-04-08T00:00:00"/>
    <d v="2025-05-25T00:00:00"/>
    <d v="2025-05-25T00:00:00"/>
    <x v="1"/>
    <n v="2"/>
    <n v="5"/>
    <n v="684000"/>
    <n v="100"/>
    <s v=""/>
    <s v="North"/>
    <x v="2"/>
    <s v="Security"/>
    <x v="2"/>
    <x v="0"/>
  </r>
  <r>
    <s v="O00004"/>
    <s v="C0288"/>
    <s v="P003"/>
    <s v="R004"/>
    <d v="2025-09-27T00:00:00"/>
    <d v="2025-10-26T00:00:00"/>
    <d v="2025-10-26T00:00:00"/>
    <x v="0"/>
    <n v="2"/>
    <n v="20"/>
    <n v="384000"/>
    <n v="0"/>
    <s v="Feature gap"/>
    <s v="South"/>
    <x v="1"/>
    <s v="Automation"/>
    <x v="3"/>
    <x v="2"/>
  </r>
  <r>
    <s v="O00005"/>
    <s v="C0361"/>
    <s v="P002"/>
    <s v="R009"/>
    <d v="2025-06-12T00:00:00"/>
    <d v="2025-08-29T00:00:00"/>
    <d v="2025-08-29T00:00:00"/>
    <x v="0"/>
    <n v="1"/>
    <n v="10"/>
    <n v="378000"/>
    <n v="0"/>
    <s v="Feature gap"/>
    <s v="North"/>
    <x v="0"/>
    <s v="CRM"/>
    <x v="4"/>
    <x v="0"/>
  </r>
  <r>
    <s v="O00006"/>
    <s v="C0478"/>
    <s v="P005"/>
    <s v="R013"/>
    <d v="2025-03-12T00:00:00"/>
    <d v="2025-06-02T00:00:00"/>
    <d v="2025-06-02T00:00:00"/>
    <x v="1"/>
    <n v="1"/>
    <n v="5"/>
    <n v="171000"/>
    <n v="100"/>
    <s v=""/>
    <s v="West"/>
    <x v="3"/>
    <s v="Service"/>
    <x v="5"/>
    <x v="1"/>
  </r>
  <r>
    <s v="O00007"/>
    <s v="C0395"/>
    <s v="P002"/>
    <s v="R006"/>
    <d v="2025-10-09T00:00:00"/>
    <d v="2025-11-05T00:00:00"/>
    <m/>
    <x v="2"/>
    <n v="2"/>
    <n v="15"/>
    <n v="714000"/>
    <n v="80"/>
    <s v=""/>
    <s v="North"/>
    <x v="0"/>
    <s v="CRM"/>
    <x v="2"/>
    <x v="0"/>
  </r>
  <r>
    <s v="O00008"/>
    <s v="C0274"/>
    <s v="P006"/>
    <s v="R001"/>
    <d v="2025-03-31T00:00:00"/>
    <d v="2025-04-29T00:00:00"/>
    <d v="2025-04-29T00:00:00"/>
    <x v="0"/>
    <n v="1"/>
    <n v="15"/>
    <n v="306000"/>
    <n v="0"/>
    <s v="Competition"/>
    <s v="South"/>
    <x v="2"/>
    <s v="Security"/>
    <x v="6"/>
    <x v="2"/>
  </r>
  <r>
    <s v="O00009"/>
    <s v="C0253"/>
    <s v="P002"/>
    <s v="R015"/>
    <d v="2025-08-28T00:00:00"/>
    <d v="2025-09-18T00:00:00"/>
    <d v="2025-09-18T00:00:00"/>
    <x v="1"/>
    <n v="1"/>
    <n v="5"/>
    <n v="399000"/>
    <n v="100"/>
    <s v=""/>
    <s v="West"/>
    <x v="0"/>
    <s v="CRM"/>
    <x v="7"/>
    <x v="1"/>
  </r>
  <r>
    <s v="O00010"/>
    <s v="C0264"/>
    <s v="P003"/>
    <s v="R016"/>
    <d v="2025-07-25T00:00:00"/>
    <d v="2025-08-24T00:00:00"/>
    <d v="2025-08-24T00:00:00"/>
    <x v="0"/>
    <n v="1"/>
    <n v="15"/>
    <n v="204000"/>
    <n v="0"/>
    <s v="Competition"/>
    <s v="East"/>
    <x v="1"/>
    <s v="Automation"/>
    <x v="8"/>
    <x v="3"/>
  </r>
  <r>
    <s v="O00011"/>
    <s v="C0155"/>
    <s v="P005"/>
    <s v="R020"/>
    <d v="2025-01-06T00:00:00"/>
    <d v="2025-02-28T00:00:00"/>
    <d v="2025-02-28T00:00:00"/>
    <x v="1"/>
    <n v="1"/>
    <n v="0"/>
    <n v="180000"/>
    <n v="100"/>
    <s v=""/>
    <s v="East"/>
    <x v="3"/>
    <s v="Service"/>
    <x v="9"/>
    <x v="3"/>
  </r>
  <r>
    <s v="O00012"/>
    <s v="C0491"/>
    <s v="P002"/>
    <s v="R019"/>
    <d v="2025-03-20T00:00:00"/>
    <d v="2025-06-12T00:00:00"/>
    <d v="2025-06-12T00:00:00"/>
    <x v="0"/>
    <n v="1"/>
    <n v="15"/>
    <n v="357000"/>
    <n v="0"/>
    <s v="Feature gap"/>
    <s v="East"/>
    <x v="0"/>
    <s v="CRM"/>
    <x v="10"/>
    <x v="3"/>
  </r>
  <r>
    <s v="O00013"/>
    <s v="C0058"/>
    <s v="P001"/>
    <s v="R005"/>
    <d v="2025-09-16T00:00:00"/>
    <d v="2025-11-30T00:00:00"/>
    <d v="2025-11-30T00:00:00"/>
    <x v="1"/>
    <n v="1"/>
    <n v="5"/>
    <n v="114000"/>
    <n v="100"/>
    <s v=""/>
    <s v="South"/>
    <x v="4"/>
    <s v="CRM"/>
    <x v="11"/>
    <x v="2"/>
  </r>
  <r>
    <s v="O00014"/>
    <s v="C0030"/>
    <s v="P005"/>
    <s v="R019"/>
    <d v="2025-12-11T00:00:00"/>
    <d v="2025-12-20T00:00:00"/>
    <m/>
    <x v="2"/>
    <n v="2"/>
    <n v="10"/>
    <n v="324000"/>
    <n v="20"/>
    <s v=""/>
    <s v="East"/>
    <x v="3"/>
    <s v="Service"/>
    <x v="10"/>
    <x v="3"/>
  </r>
  <r>
    <s v="O00015"/>
    <s v="C0479"/>
    <s v="P001"/>
    <s v="R004"/>
    <d v="2025-01-17T00:00:00"/>
    <d v="2025-02-16T00:00:00"/>
    <d v="2025-02-16T00:00:00"/>
    <x v="1"/>
    <n v="1"/>
    <n v="15"/>
    <n v="102000"/>
    <n v="100"/>
    <s v=""/>
    <s v="South"/>
    <x v="4"/>
    <s v="CRM"/>
    <x v="3"/>
    <x v="2"/>
  </r>
  <r>
    <s v="O00016"/>
    <s v="C0115"/>
    <s v="P001"/>
    <s v="R011"/>
    <d v="2025-06-02T00:00:00"/>
    <d v="2025-08-17T00:00:00"/>
    <d v="2025-08-17T00:00:00"/>
    <x v="0"/>
    <n v="2"/>
    <n v="20"/>
    <n v="192000"/>
    <n v="0"/>
    <s v="Competition"/>
    <s v="West"/>
    <x v="4"/>
    <s v="CRM"/>
    <x v="12"/>
    <x v="1"/>
  </r>
  <r>
    <s v="O00017"/>
    <s v="C0215"/>
    <s v="P005"/>
    <s v="R001"/>
    <d v="2025-05-04T00:00:00"/>
    <d v="2025-05-23T00:00:00"/>
    <d v="2025-05-23T00:00:00"/>
    <x v="1"/>
    <n v="3"/>
    <n v="0"/>
    <n v="540000"/>
    <n v="100"/>
    <s v=""/>
    <s v="South"/>
    <x v="3"/>
    <s v="Service"/>
    <x v="6"/>
    <x v="2"/>
  </r>
  <r>
    <s v="O00018"/>
    <s v="C0112"/>
    <s v="P001"/>
    <s v="R007"/>
    <d v="2025-09-15T00:00:00"/>
    <d v="2025-10-21T00:00:00"/>
    <m/>
    <x v="2"/>
    <n v="3"/>
    <n v="10"/>
    <n v="324000"/>
    <n v="60"/>
    <s v=""/>
    <s v="North"/>
    <x v="4"/>
    <s v="CRM"/>
    <x v="13"/>
    <x v="0"/>
  </r>
  <r>
    <s v="O00019"/>
    <s v="C0286"/>
    <s v="P005"/>
    <s v="R012"/>
    <d v="2025-11-17T00:00:00"/>
    <d v="2026-02-03T00:00:00"/>
    <m/>
    <x v="2"/>
    <n v="2"/>
    <n v="0"/>
    <n v="360000"/>
    <n v="60"/>
    <s v=""/>
    <s v="West"/>
    <x v="3"/>
    <s v="Service"/>
    <x v="14"/>
    <x v="1"/>
  </r>
  <r>
    <s v="O00020"/>
    <s v="C0074"/>
    <s v="P004"/>
    <s v="R001"/>
    <d v="2025-10-15T00:00:00"/>
    <d v="2025-12-14T00:00:00"/>
    <d v="2025-12-14T00:00:00"/>
    <x v="0"/>
    <n v="3"/>
    <n v="20"/>
    <n v="720000"/>
    <n v="0"/>
    <s v="No decision"/>
    <s v="South"/>
    <x v="5"/>
    <s v="Analytics"/>
    <x v="6"/>
    <x v="2"/>
  </r>
  <r>
    <s v="O00021"/>
    <s v="C0275"/>
    <s v="P006"/>
    <s v="R012"/>
    <d v="2025-01-27T00:00:00"/>
    <d v="2025-04-21T00:00:00"/>
    <d v="2025-04-21T00:00:00"/>
    <x v="1"/>
    <n v="3"/>
    <n v="0"/>
    <n v="1080000"/>
    <n v="100"/>
    <s v=""/>
    <s v="West"/>
    <x v="2"/>
    <s v="Security"/>
    <x v="14"/>
    <x v="1"/>
  </r>
  <r>
    <s v="O00022"/>
    <s v="C0480"/>
    <s v="P002"/>
    <s v="R011"/>
    <d v="2025-09-03T00:00:00"/>
    <d v="2025-11-26T00:00:00"/>
    <m/>
    <x v="2"/>
    <n v="1"/>
    <n v="15"/>
    <n v="357000"/>
    <n v="40"/>
    <s v=""/>
    <s v="West"/>
    <x v="0"/>
    <s v="CRM"/>
    <x v="12"/>
    <x v="1"/>
  </r>
  <r>
    <s v="O00023"/>
    <s v="C0412"/>
    <s v="P006"/>
    <s v="R014"/>
    <d v="2025-06-13T00:00:00"/>
    <d v="2025-08-06T00:00:00"/>
    <m/>
    <x v="2"/>
    <n v="1"/>
    <n v="15"/>
    <n v="306000"/>
    <n v="20"/>
    <s v=""/>
    <s v="West"/>
    <x v="2"/>
    <s v="Security"/>
    <x v="1"/>
    <x v="1"/>
  </r>
  <r>
    <s v="O00024"/>
    <s v="C0079"/>
    <s v="P002"/>
    <s v="R003"/>
    <d v="2025-04-28T00:00:00"/>
    <d v="2025-06-05T00:00:00"/>
    <d v="2025-06-05T00:00:00"/>
    <x v="0"/>
    <n v="2"/>
    <n v="20"/>
    <n v="672000"/>
    <n v="0"/>
    <s v="Budget"/>
    <s v="South"/>
    <x v="0"/>
    <s v="CRM"/>
    <x v="15"/>
    <x v="2"/>
  </r>
  <r>
    <s v="O00025"/>
    <s v="C0025"/>
    <s v="P001"/>
    <s v="R019"/>
    <d v="2025-03-12T00:00:00"/>
    <d v="2025-04-17T00:00:00"/>
    <m/>
    <x v="2"/>
    <n v="1"/>
    <n v="5"/>
    <n v="114000"/>
    <n v="20"/>
    <s v=""/>
    <s v="East"/>
    <x v="4"/>
    <s v="CRM"/>
    <x v="10"/>
    <x v="3"/>
  </r>
  <r>
    <s v="O00026"/>
    <s v="C0004"/>
    <s v="P005"/>
    <s v="R005"/>
    <d v="2025-07-30T00:00:00"/>
    <d v="2025-10-12T00:00:00"/>
    <d v="2025-10-12T00:00:00"/>
    <x v="1"/>
    <n v="1"/>
    <n v="20"/>
    <n v="144000"/>
    <n v="100"/>
    <s v=""/>
    <s v="South"/>
    <x v="3"/>
    <s v="Service"/>
    <x v="11"/>
    <x v="2"/>
  </r>
  <r>
    <s v="O00027"/>
    <s v="C0077"/>
    <s v="P002"/>
    <s v="R012"/>
    <d v="2025-11-14T00:00:00"/>
    <d v="2026-01-05T00:00:00"/>
    <m/>
    <x v="2"/>
    <n v="1"/>
    <n v="15"/>
    <n v="357000"/>
    <n v="20"/>
    <s v=""/>
    <s v="West"/>
    <x v="0"/>
    <s v="CRM"/>
    <x v="14"/>
    <x v="1"/>
  </r>
  <r>
    <s v="O00028"/>
    <s v="C0208"/>
    <s v="P004"/>
    <s v="R004"/>
    <d v="2025-10-10T00:00:00"/>
    <d v="2025-10-18T00:00:00"/>
    <d v="2025-10-18T00:00:00"/>
    <x v="0"/>
    <n v="1"/>
    <n v="0"/>
    <n v="300000"/>
    <n v="0"/>
    <s v="No decision"/>
    <s v="South"/>
    <x v="5"/>
    <s v="Analytics"/>
    <x v="3"/>
    <x v="2"/>
  </r>
  <r>
    <s v="O00029"/>
    <s v="C0289"/>
    <s v="P006"/>
    <s v="R011"/>
    <d v="2025-04-02T00:00:00"/>
    <d v="2025-05-19T00:00:00"/>
    <m/>
    <x v="2"/>
    <n v="1"/>
    <n v="5"/>
    <n v="342000"/>
    <n v="40"/>
    <s v=""/>
    <s v="West"/>
    <x v="2"/>
    <s v="Security"/>
    <x v="12"/>
    <x v="1"/>
  </r>
  <r>
    <s v="O00030"/>
    <s v="C0382"/>
    <s v="P003"/>
    <s v="R011"/>
    <d v="2025-02-20T00:00:00"/>
    <d v="2025-03-08T00:00:00"/>
    <d v="2025-03-08T00:00:00"/>
    <x v="0"/>
    <n v="1"/>
    <n v="20"/>
    <n v="192000"/>
    <n v="0"/>
    <s v="Budget"/>
    <s v="West"/>
    <x v="1"/>
    <s v="Automation"/>
    <x v="12"/>
    <x v="1"/>
  </r>
  <r>
    <s v="O00031"/>
    <s v="C0482"/>
    <s v="P004"/>
    <s v="R014"/>
    <d v="2025-04-06T00:00:00"/>
    <d v="2025-05-31T00:00:00"/>
    <d v="2025-05-31T00:00:00"/>
    <x v="0"/>
    <n v="1"/>
    <n v="20"/>
    <n v="240000"/>
    <n v="0"/>
    <s v="Competition"/>
    <s v="West"/>
    <x v="5"/>
    <s v="Analytics"/>
    <x v="1"/>
    <x v="1"/>
  </r>
  <r>
    <s v="O00032"/>
    <s v="C0200"/>
    <s v="P003"/>
    <s v="R008"/>
    <d v="2025-02-24T00:00:00"/>
    <d v="2025-04-11T00:00:00"/>
    <d v="2025-04-11T00:00:00"/>
    <x v="1"/>
    <n v="2"/>
    <n v="10"/>
    <n v="432000"/>
    <n v="100"/>
    <s v=""/>
    <s v="North"/>
    <x v="1"/>
    <s v="Automation"/>
    <x v="0"/>
    <x v="0"/>
  </r>
  <r>
    <s v="O00033"/>
    <s v="C0285"/>
    <s v="P005"/>
    <s v="R009"/>
    <d v="2025-02-22T00:00:00"/>
    <d v="2025-04-15T00:00:00"/>
    <d v="2025-04-15T00:00:00"/>
    <x v="1"/>
    <n v="3"/>
    <n v="0"/>
    <n v="540000"/>
    <n v="100"/>
    <s v=""/>
    <s v="North"/>
    <x v="3"/>
    <s v="Service"/>
    <x v="4"/>
    <x v="0"/>
  </r>
  <r>
    <s v="O00034"/>
    <s v="C0138"/>
    <s v="P003"/>
    <s v="R008"/>
    <d v="2025-09-10T00:00:00"/>
    <d v="2025-10-08T00:00:00"/>
    <d v="2025-10-08T00:00:00"/>
    <x v="1"/>
    <n v="2"/>
    <n v="10"/>
    <n v="432000"/>
    <n v="100"/>
    <s v=""/>
    <s v="North"/>
    <x v="1"/>
    <s v="Automation"/>
    <x v="0"/>
    <x v="0"/>
  </r>
  <r>
    <s v="O00035"/>
    <s v="C0055"/>
    <s v="P002"/>
    <s v="R013"/>
    <d v="2025-01-04T00:00:00"/>
    <d v="2025-02-22T00:00:00"/>
    <m/>
    <x v="2"/>
    <n v="3"/>
    <n v="15"/>
    <n v="1071000"/>
    <n v="60"/>
    <s v=""/>
    <s v="West"/>
    <x v="0"/>
    <s v="CRM"/>
    <x v="5"/>
    <x v="1"/>
  </r>
  <r>
    <s v="O00036"/>
    <s v="C0150"/>
    <s v="P006"/>
    <s v="R019"/>
    <d v="2025-10-22T00:00:00"/>
    <d v="2025-12-09T00:00:00"/>
    <m/>
    <x v="2"/>
    <n v="2"/>
    <n v="10"/>
    <n v="648000"/>
    <n v="80"/>
    <s v=""/>
    <s v="East"/>
    <x v="2"/>
    <s v="Security"/>
    <x v="10"/>
    <x v="3"/>
  </r>
  <r>
    <s v="O00037"/>
    <s v="C0108"/>
    <s v="P004"/>
    <s v="R003"/>
    <d v="2025-12-21T00:00:00"/>
    <d v="2026-02-18T00:00:00"/>
    <m/>
    <x v="2"/>
    <n v="2"/>
    <n v="5"/>
    <n v="570000"/>
    <n v="60"/>
    <s v=""/>
    <s v="South"/>
    <x v="5"/>
    <s v="Analytics"/>
    <x v="15"/>
    <x v="2"/>
  </r>
  <r>
    <s v="O00038"/>
    <s v="C0299"/>
    <s v="P004"/>
    <s v="R010"/>
    <d v="2025-09-17T00:00:00"/>
    <d v="2025-11-16T00:00:00"/>
    <m/>
    <x v="2"/>
    <n v="3"/>
    <n v="0"/>
    <n v="900000"/>
    <n v="60"/>
    <s v=""/>
    <s v="North"/>
    <x v="5"/>
    <s v="Analytics"/>
    <x v="16"/>
    <x v="0"/>
  </r>
  <r>
    <s v="O00039"/>
    <s v="C0332"/>
    <s v="P005"/>
    <s v="R001"/>
    <d v="2025-10-16T00:00:00"/>
    <d v="2025-12-13T00:00:00"/>
    <m/>
    <x v="2"/>
    <n v="1"/>
    <n v="15"/>
    <n v="153000"/>
    <n v="20"/>
    <s v=""/>
    <s v="South"/>
    <x v="3"/>
    <s v="Service"/>
    <x v="6"/>
    <x v="2"/>
  </r>
  <r>
    <s v="O00040"/>
    <s v="C0298"/>
    <s v="P006"/>
    <s v="R005"/>
    <d v="2025-04-24T00:00:00"/>
    <d v="2025-06-20T00:00:00"/>
    <d v="2025-06-20T00:00:00"/>
    <x v="0"/>
    <n v="2"/>
    <n v="20"/>
    <n v="576000"/>
    <n v="0"/>
    <s v="Budget"/>
    <s v="South"/>
    <x v="2"/>
    <s v="Security"/>
    <x v="11"/>
    <x v="2"/>
  </r>
  <r>
    <s v="O00041"/>
    <s v="C0426"/>
    <s v="P006"/>
    <s v="R002"/>
    <d v="2025-06-28T00:00:00"/>
    <d v="2025-09-01T00:00:00"/>
    <d v="2025-09-01T00:00:00"/>
    <x v="1"/>
    <n v="1"/>
    <n v="20"/>
    <n v="288000"/>
    <n v="100"/>
    <s v=""/>
    <s v="South"/>
    <x v="2"/>
    <s v="Security"/>
    <x v="17"/>
    <x v="2"/>
  </r>
  <r>
    <s v="O00042"/>
    <s v="C0332"/>
    <s v="P001"/>
    <s v="R002"/>
    <d v="2025-05-05T00:00:00"/>
    <d v="2025-07-21T00:00:00"/>
    <d v="2025-07-21T00:00:00"/>
    <x v="0"/>
    <n v="1"/>
    <n v="10"/>
    <n v="108000"/>
    <n v="0"/>
    <s v="No decision"/>
    <s v="South"/>
    <x v="4"/>
    <s v="CRM"/>
    <x v="17"/>
    <x v="2"/>
  </r>
  <r>
    <s v="O00043"/>
    <s v="C0220"/>
    <s v="P004"/>
    <s v="R016"/>
    <d v="2025-12-27T00:00:00"/>
    <d v="2026-02-07T00:00:00"/>
    <m/>
    <x v="2"/>
    <n v="1"/>
    <n v="20"/>
    <n v="240000"/>
    <n v="20"/>
    <s v=""/>
    <s v="East"/>
    <x v="5"/>
    <s v="Analytics"/>
    <x v="8"/>
    <x v="3"/>
  </r>
  <r>
    <s v="O00044"/>
    <s v="C0161"/>
    <s v="P005"/>
    <s v="R009"/>
    <d v="2025-11-09T00:00:00"/>
    <d v="2025-11-30T00:00:00"/>
    <d v="2025-11-30T00:00:00"/>
    <x v="0"/>
    <n v="1"/>
    <n v="10"/>
    <n v="162000"/>
    <n v="0"/>
    <s v="Feature gap"/>
    <s v="North"/>
    <x v="3"/>
    <s v="Service"/>
    <x v="4"/>
    <x v="0"/>
  </r>
  <r>
    <s v="O00045"/>
    <s v="C0123"/>
    <s v="P003"/>
    <s v="R011"/>
    <d v="2025-04-04T00:00:00"/>
    <d v="2025-04-29T00:00:00"/>
    <d v="2025-04-29T00:00:00"/>
    <x v="0"/>
    <n v="3"/>
    <n v="15"/>
    <n v="612000"/>
    <n v="0"/>
    <s v="Feature gap"/>
    <s v="West"/>
    <x v="1"/>
    <s v="Automation"/>
    <x v="12"/>
    <x v="1"/>
  </r>
  <r>
    <s v="O00046"/>
    <s v="C0086"/>
    <s v="P004"/>
    <s v="R013"/>
    <d v="2025-03-13T00:00:00"/>
    <d v="2025-05-16T00:00:00"/>
    <d v="2025-05-16T00:00:00"/>
    <x v="1"/>
    <n v="3"/>
    <n v="0"/>
    <n v="900000"/>
    <n v="100"/>
    <s v=""/>
    <s v="West"/>
    <x v="5"/>
    <s v="Analytics"/>
    <x v="5"/>
    <x v="1"/>
  </r>
  <r>
    <s v="O00047"/>
    <s v="C0335"/>
    <s v="P004"/>
    <s v="R009"/>
    <d v="2025-12-17T00:00:00"/>
    <d v="2026-02-18T00:00:00"/>
    <m/>
    <x v="2"/>
    <n v="2"/>
    <n v="5"/>
    <n v="570000"/>
    <n v="20"/>
    <s v=""/>
    <s v="North"/>
    <x v="5"/>
    <s v="Analytics"/>
    <x v="4"/>
    <x v="0"/>
  </r>
  <r>
    <s v="O00048"/>
    <s v="C0276"/>
    <s v="P003"/>
    <s v="R012"/>
    <d v="2025-08-23T00:00:00"/>
    <d v="2025-11-01T00:00:00"/>
    <d v="2025-11-01T00:00:00"/>
    <x v="0"/>
    <n v="3"/>
    <n v="20"/>
    <n v="576000"/>
    <n v="0"/>
    <s v="Feature gap"/>
    <s v="West"/>
    <x v="1"/>
    <s v="Automation"/>
    <x v="14"/>
    <x v="1"/>
  </r>
  <r>
    <s v="O00049"/>
    <s v="C0226"/>
    <s v="P005"/>
    <s v="R007"/>
    <d v="2025-08-06T00:00:00"/>
    <d v="2025-09-13T00:00:00"/>
    <d v="2025-09-13T00:00:00"/>
    <x v="1"/>
    <n v="1"/>
    <n v="0"/>
    <n v="180000"/>
    <n v="100"/>
    <s v=""/>
    <s v="North"/>
    <x v="3"/>
    <s v="Service"/>
    <x v="13"/>
    <x v="0"/>
  </r>
  <r>
    <s v="O00050"/>
    <s v="C0072"/>
    <s v="P002"/>
    <s v="R007"/>
    <d v="2025-01-31T00:00:00"/>
    <d v="2025-04-16T00:00:00"/>
    <d v="2025-04-16T00:00:00"/>
    <x v="0"/>
    <n v="1"/>
    <n v="20"/>
    <n v="336000"/>
    <n v="0"/>
    <s v="Budget"/>
    <s v="North"/>
    <x v="0"/>
    <s v="CRM"/>
    <x v="13"/>
    <x v="0"/>
  </r>
  <r>
    <s v="O00051"/>
    <s v="C0075"/>
    <s v="P006"/>
    <s v="R013"/>
    <d v="2025-05-07T00:00:00"/>
    <d v="2025-07-03T00:00:00"/>
    <m/>
    <x v="2"/>
    <n v="2"/>
    <n v="5"/>
    <n v="684000"/>
    <n v="60"/>
    <s v=""/>
    <s v="West"/>
    <x v="2"/>
    <s v="Security"/>
    <x v="5"/>
    <x v="1"/>
  </r>
  <r>
    <s v="O00052"/>
    <s v="C0002"/>
    <s v="P006"/>
    <s v="R006"/>
    <d v="2025-08-23T00:00:00"/>
    <d v="2025-10-14T00:00:00"/>
    <d v="2025-10-14T00:00:00"/>
    <x v="0"/>
    <n v="1"/>
    <n v="20"/>
    <n v="288000"/>
    <n v="0"/>
    <s v="Competition"/>
    <s v="North"/>
    <x v="2"/>
    <s v="Security"/>
    <x v="2"/>
    <x v="0"/>
  </r>
  <r>
    <s v="O00053"/>
    <s v="C0391"/>
    <s v="P001"/>
    <s v="R006"/>
    <d v="2025-02-20T00:00:00"/>
    <d v="2025-04-26T00:00:00"/>
    <d v="2025-04-26T00:00:00"/>
    <x v="0"/>
    <n v="1"/>
    <n v="0"/>
    <n v="120000"/>
    <n v="0"/>
    <s v="No decision"/>
    <s v="North"/>
    <x v="4"/>
    <s v="CRM"/>
    <x v="2"/>
    <x v="0"/>
  </r>
  <r>
    <s v="O00054"/>
    <s v="C0203"/>
    <s v="P006"/>
    <s v="R018"/>
    <d v="2025-12-25T00:00:00"/>
    <d v="2026-02-24T00:00:00"/>
    <m/>
    <x v="2"/>
    <n v="1"/>
    <n v="0"/>
    <n v="360000"/>
    <n v="20"/>
    <s v=""/>
    <s v="East"/>
    <x v="2"/>
    <s v="Security"/>
    <x v="18"/>
    <x v="3"/>
  </r>
  <r>
    <s v="O00055"/>
    <s v="C0005"/>
    <s v="P006"/>
    <s v="R003"/>
    <d v="2025-03-03T00:00:00"/>
    <d v="2025-05-03T00:00:00"/>
    <m/>
    <x v="2"/>
    <n v="1"/>
    <n v="15"/>
    <n v="306000"/>
    <n v="20"/>
    <s v=""/>
    <s v="South"/>
    <x v="2"/>
    <s v="Security"/>
    <x v="15"/>
    <x v="2"/>
  </r>
  <r>
    <s v="O00056"/>
    <s v="C0071"/>
    <s v="P004"/>
    <s v="R007"/>
    <d v="2025-11-25T00:00:00"/>
    <d v="2025-12-20T00:00:00"/>
    <m/>
    <x v="2"/>
    <n v="1"/>
    <n v="20"/>
    <n v="240000"/>
    <n v="20"/>
    <s v=""/>
    <s v="North"/>
    <x v="5"/>
    <s v="Analytics"/>
    <x v="13"/>
    <x v="0"/>
  </r>
  <r>
    <s v="O00057"/>
    <s v="C0045"/>
    <s v="P001"/>
    <s v="R007"/>
    <d v="2025-03-05T00:00:00"/>
    <d v="2025-04-30T00:00:00"/>
    <d v="2025-04-30T00:00:00"/>
    <x v="0"/>
    <n v="1"/>
    <n v="15"/>
    <n v="102000"/>
    <n v="0"/>
    <s v="Competition"/>
    <s v="North"/>
    <x v="4"/>
    <s v="CRM"/>
    <x v="13"/>
    <x v="0"/>
  </r>
  <r>
    <s v="O00058"/>
    <s v="C0399"/>
    <s v="P006"/>
    <s v="R016"/>
    <d v="2025-12-04T00:00:00"/>
    <d v="2026-01-06T00:00:00"/>
    <m/>
    <x v="2"/>
    <n v="3"/>
    <n v="20"/>
    <n v="864000"/>
    <n v="40"/>
    <s v=""/>
    <s v="East"/>
    <x v="2"/>
    <s v="Security"/>
    <x v="8"/>
    <x v="3"/>
  </r>
  <r>
    <s v="O00059"/>
    <s v="C0068"/>
    <s v="P004"/>
    <s v="R005"/>
    <d v="2025-08-04T00:00:00"/>
    <d v="2025-09-02T00:00:00"/>
    <d v="2025-09-02T00:00:00"/>
    <x v="0"/>
    <n v="2"/>
    <n v="0"/>
    <n v="600000"/>
    <n v="0"/>
    <s v="Feature gap"/>
    <s v="South"/>
    <x v="5"/>
    <s v="Analytics"/>
    <x v="11"/>
    <x v="2"/>
  </r>
  <r>
    <s v="O00060"/>
    <s v="C0260"/>
    <s v="P003"/>
    <s v="R010"/>
    <d v="2025-08-01T00:00:00"/>
    <d v="2025-09-28T00:00:00"/>
    <d v="2025-09-28T00:00:00"/>
    <x v="0"/>
    <n v="1"/>
    <n v="20"/>
    <n v="192000"/>
    <n v="0"/>
    <s v="Budget"/>
    <s v="North"/>
    <x v="1"/>
    <s v="Automation"/>
    <x v="16"/>
    <x v="0"/>
  </r>
  <r>
    <s v="O00061"/>
    <s v="C0275"/>
    <s v="P003"/>
    <s v="R014"/>
    <d v="2025-10-28T00:00:00"/>
    <d v="2025-11-12T00:00:00"/>
    <d v="2025-11-12T00:00:00"/>
    <x v="0"/>
    <n v="1"/>
    <n v="15"/>
    <n v="204000"/>
    <n v="0"/>
    <s v="Price"/>
    <s v="West"/>
    <x v="1"/>
    <s v="Automation"/>
    <x v="1"/>
    <x v="1"/>
  </r>
  <r>
    <s v="O00062"/>
    <s v="C0380"/>
    <s v="P006"/>
    <s v="R017"/>
    <d v="2025-03-03T00:00:00"/>
    <d v="2025-03-27T00:00:00"/>
    <d v="2025-03-27T00:00:00"/>
    <x v="1"/>
    <n v="1"/>
    <n v="5"/>
    <n v="342000"/>
    <n v="100"/>
    <s v=""/>
    <s v="East"/>
    <x v="2"/>
    <s v="Security"/>
    <x v="19"/>
    <x v="3"/>
  </r>
  <r>
    <s v="O00063"/>
    <s v="C0414"/>
    <s v="P004"/>
    <s v="R018"/>
    <d v="2025-09-26T00:00:00"/>
    <d v="2025-12-15T00:00:00"/>
    <d v="2025-12-15T00:00:00"/>
    <x v="1"/>
    <n v="1"/>
    <n v="15"/>
    <n v="255000"/>
    <n v="100"/>
    <s v=""/>
    <s v="East"/>
    <x v="5"/>
    <s v="Analytics"/>
    <x v="18"/>
    <x v="3"/>
  </r>
  <r>
    <s v="O00064"/>
    <s v="C0261"/>
    <s v="P001"/>
    <s v="R006"/>
    <d v="2025-01-07T00:00:00"/>
    <d v="2025-03-15T00:00:00"/>
    <d v="2025-03-15T00:00:00"/>
    <x v="1"/>
    <n v="1"/>
    <n v="15"/>
    <n v="102000"/>
    <n v="100"/>
    <s v=""/>
    <s v="North"/>
    <x v="4"/>
    <s v="CRM"/>
    <x v="2"/>
    <x v="0"/>
  </r>
  <r>
    <s v="O00065"/>
    <s v="C0164"/>
    <s v="P003"/>
    <s v="R011"/>
    <d v="2025-10-20T00:00:00"/>
    <d v="2025-12-30T00:00:00"/>
    <d v="2025-12-30T00:00:00"/>
    <x v="0"/>
    <n v="1"/>
    <n v="5"/>
    <n v="228000"/>
    <n v="0"/>
    <s v="Feature gap"/>
    <s v="West"/>
    <x v="1"/>
    <s v="Automation"/>
    <x v="12"/>
    <x v="1"/>
  </r>
  <r>
    <s v="O00066"/>
    <s v="C0045"/>
    <s v="P005"/>
    <s v="R009"/>
    <d v="2025-01-05T00:00:00"/>
    <d v="2025-02-18T00:00:00"/>
    <d v="2025-02-18T00:00:00"/>
    <x v="0"/>
    <n v="3"/>
    <n v="10"/>
    <n v="486000"/>
    <n v="0"/>
    <s v="No decision"/>
    <s v="North"/>
    <x v="3"/>
    <s v="Service"/>
    <x v="4"/>
    <x v="0"/>
  </r>
  <r>
    <s v="O00067"/>
    <s v="C0326"/>
    <s v="P006"/>
    <s v="R011"/>
    <d v="2025-06-21T00:00:00"/>
    <d v="2025-08-15T00:00:00"/>
    <d v="2025-08-15T00:00:00"/>
    <x v="1"/>
    <n v="1"/>
    <n v="0"/>
    <n v="360000"/>
    <n v="100"/>
    <s v=""/>
    <s v="West"/>
    <x v="2"/>
    <s v="Security"/>
    <x v="12"/>
    <x v="1"/>
  </r>
  <r>
    <s v="O00068"/>
    <s v="C0212"/>
    <s v="P006"/>
    <s v="R018"/>
    <d v="2025-08-23T00:00:00"/>
    <d v="2025-09-09T00:00:00"/>
    <m/>
    <x v="2"/>
    <n v="3"/>
    <n v="0"/>
    <n v="1080000"/>
    <n v="40"/>
    <s v=""/>
    <s v="East"/>
    <x v="2"/>
    <s v="Security"/>
    <x v="18"/>
    <x v="3"/>
  </r>
  <r>
    <s v="O00069"/>
    <s v="C0140"/>
    <s v="P002"/>
    <s v="R001"/>
    <d v="2025-04-14T00:00:00"/>
    <d v="2025-07-04T00:00:00"/>
    <d v="2025-07-04T00:00:00"/>
    <x v="1"/>
    <n v="1"/>
    <n v="5"/>
    <n v="399000"/>
    <n v="100"/>
    <s v=""/>
    <s v="South"/>
    <x v="0"/>
    <s v="CRM"/>
    <x v="6"/>
    <x v="2"/>
  </r>
  <r>
    <s v="O00070"/>
    <s v="C0158"/>
    <s v="P004"/>
    <s v="R003"/>
    <d v="2025-03-03T00:00:00"/>
    <d v="2025-04-17T00:00:00"/>
    <d v="2025-04-17T00:00:00"/>
    <x v="1"/>
    <n v="3"/>
    <n v="0"/>
    <n v="900000"/>
    <n v="100"/>
    <s v=""/>
    <s v="South"/>
    <x v="5"/>
    <s v="Analytics"/>
    <x v="15"/>
    <x v="2"/>
  </r>
  <r>
    <s v="O00071"/>
    <s v="C0016"/>
    <s v="P004"/>
    <s v="R014"/>
    <d v="2025-10-12T00:00:00"/>
    <d v="2025-11-19T00:00:00"/>
    <d v="2025-11-19T00:00:00"/>
    <x v="0"/>
    <n v="1"/>
    <n v="15"/>
    <n v="255000"/>
    <n v="0"/>
    <s v="Competition"/>
    <s v="West"/>
    <x v="5"/>
    <s v="Analytics"/>
    <x v="1"/>
    <x v="1"/>
  </r>
  <r>
    <s v="O00072"/>
    <s v="C0191"/>
    <s v="P006"/>
    <s v="R011"/>
    <d v="2025-10-26T00:00:00"/>
    <d v="2025-11-11T00:00:00"/>
    <d v="2025-11-11T00:00:00"/>
    <x v="0"/>
    <n v="1"/>
    <n v="0"/>
    <n v="360000"/>
    <n v="0"/>
    <s v="No decision"/>
    <s v="West"/>
    <x v="2"/>
    <s v="Security"/>
    <x v="12"/>
    <x v="1"/>
  </r>
  <r>
    <s v="O00073"/>
    <s v="C0421"/>
    <s v="P006"/>
    <s v="R014"/>
    <d v="2025-09-12T00:00:00"/>
    <d v="2025-11-12T00:00:00"/>
    <d v="2025-11-12T00:00:00"/>
    <x v="1"/>
    <n v="1"/>
    <n v="10"/>
    <n v="324000"/>
    <n v="100"/>
    <s v=""/>
    <s v="West"/>
    <x v="2"/>
    <s v="Security"/>
    <x v="1"/>
    <x v="1"/>
  </r>
  <r>
    <s v="O00074"/>
    <s v="C0126"/>
    <s v="P006"/>
    <s v="R008"/>
    <d v="2025-09-13T00:00:00"/>
    <d v="2025-11-29T00:00:00"/>
    <d v="2025-11-29T00:00:00"/>
    <x v="0"/>
    <n v="2"/>
    <n v="0"/>
    <n v="720000"/>
    <n v="0"/>
    <s v="Budget"/>
    <s v="North"/>
    <x v="2"/>
    <s v="Security"/>
    <x v="0"/>
    <x v="0"/>
  </r>
  <r>
    <s v="O00075"/>
    <s v="C0258"/>
    <s v="P003"/>
    <s v="R019"/>
    <d v="2025-05-19T00:00:00"/>
    <d v="2025-07-05T00:00:00"/>
    <d v="2025-07-05T00:00:00"/>
    <x v="1"/>
    <n v="3"/>
    <n v="5"/>
    <n v="684000"/>
    <n v="100"/>
    <s v=""/>
    <s v="East"/>
    <x v="1"/>
    <s v="Automation"/>
    <x v="10"/>
    <x v="3"/>
  </r>
  <r>
    <s v="O00076"/>
    <s v="C0274"/>
    <s v="P006"/>
    <s v="R001"/>
    <d v="2025-04-23T00:00:00"/>
    <d v="2025-06-18T00:00:00"/>
    <d v="2025-06-18T00:00:00"/>
    <x v="0"/>
    <n v="1"/>
    <n v="5"/>
    <n v="342000"/>
    <n v="0"/>
    <s v="Competition"/>
    <s v="South"/>
    <x v="2"/>
    <s v="Security"/>
    <x v="6"/>
    <x v="2"/>
  </r>
  <r>
    <s v="O00077"/>
    <s v="C0159"/>
    <s v="P002"/>
    <s v="R004"/>
    <d v="2025-01-20T00:00:00"/>
    <d v="2025-02-25T00:00:00"/>
    <d v="2025-02-25T00:00:00"/>
    <x v="1"/>
    <n v="3"/>
    <n v="5"/>
    <n v="1197000"/>
    <n v="100"/>
    <s v=""/>
    <s v="South"/>
    <x v="0"/>
    <s v="CRM"/>
    <x v="3"/>
    <x v="2"/>
  </r>
  <r>
    <s v="O00078"/>
    <s v="C0441"/>
    <s v="P003"/>
    <s v="R011"/>
    <d v="2025-07-11T00:00:00"/>
    <d v="2025-09-06T00:00:00"/>
    <d v="2025-09-06T00:00:00"/>
    <x v="0"/>
    <n v="3"/>
    <n v="0"/>
    <n v="720000"/>
    <n v="0"/>
    <s v="Budget"/>
    <s v="West"/>
    <x v="1"/>
    <s v="Automation"/>
    <x v="12"/>
    <x v="1"/>
  </r>
  <r>
    <s v="O00079"/>
    <s v="C0115"/>
    <s v="P006"/>
    <s v="R015"/>
    <d v="2025-03-31T00:00:00"/>
    <d v="2025-05-14T00:00:00"/>
    <d v="2025-05-14T00:00:00"/>
    <x v="0"/>
    <n v="1"/>
    <n v="5"/>
    <n v="342000"/>
    <n v="0"/>
    <s v="Feature gap"/>
    <s v="West"/>
    <x v="2"/>
    <s v="Security"/>
    <x v="7"/>
    <x v="1"/>
  </r>
  <r>
    <s v="O00080"/>
    <s v="C0164"/>
    <s v="P002"/>
    <s v="R011"/>
    <d v="2025-12-29T00:00:00"/>
    <d v="2026-02-16T00:00:00"/>
    <m/>
    <x v="2"/>
    <n v="2"/>
    <n v="0"/>
    <n v="840000"/>
    <n v="60"/>
    <s v=""/>
    <s v="West"/>
    <x v="0"/>
    <s v="CRM"/>
    <x v="12"/>
    <x v="1"/>
  </r>
  <r>
    <s v="O00081"/>
    <s v="C0225"/>
    <s v="P006"/>
    <s v="R019"/>
    <d v="2025-03-27T00:00:00"/>
    <d v="2025-06-05T00:00:00"/>
    <m/>
    <x v="2"/>
    <n v="2"/>
    <n v="10"/>
    <n v="648000"/>
    <n v="80"/>
    <s v=""/>
    <s v="East"/>
    <x v="2"/>
    <s v="Security"/>
    <x v="10"/>
    <x v="3"/>
  </r>
  <r>
    <s v="O00082"/>
    <s v="C0038"/>
    <s v="P001"/>
    <s v="R003"/>
    <d v="2025-01-11T00:00:00"/>
    <d v="2025-01-31T00:00:00"/>
    <d v="2025-01-31T00:00:00"/>
    <x v="1"/>
    <n v="1"/>
    <n v="10"/>
    <n v="108000"/>
    <n v="100"/>
    <s v=""/>
    <s v="South"/>
    <x v="4"/>
    <s v="CRM"/>
    <x v="15"/>
    <x v="2"/>
  </r>
  <r>
    <s v="O00083"/>
    <s v="C0081"/>
    <s v="P001"/>
    <s v="R006"/>
    <d v="2025-06-19T00:00:00"/>
    <d v="2025-07-20T00:00:00"/>
    <d v="2025-07-20T00:00:00"/>
    <x v="1"/>
    <n v="2"/>
    <n v="20"/>
    <n v="192000"/>
    <n v="100"/>
    <s v=""/>
    <s v="North"/>
    <x v="4"/>
    <s v="CRM"/>
    <x v="2"/>
    <x v="0"/>
  </r>
  <r>
    <s v="O00084"/>
    <s v="C0045"/>
    <s v="P003"/>
    <s v="R010"/>
    <d v="2025-09-03T00:00:00"/>
    <d v="2025-09-13T00:00:00"/>
    <d v="2025-09-13T00:00:00"/>
    <x v="1"/>
    <n v="1"/>
    <n v="5"/>
    <n v="228000"/>
    <n v="100"/>
    <s v=""/>
    <s v="North"/>
    <x v="1"/>
    <s v="Automation"/>
    <x v="16"/>
    <x v="0"/>
  </r>
  <r>
    <s v="O00085"/>
    <s v="C0459"/>
    <s v="P006"/>
    <s v="R013"/>
    <d v="2025-02-16T00:00:00"/>
    <d v="2025-04-13T00:00:00"/>
    <d v="2025-04-13T00:00:00"/>
    <x v="0"/>
    <n v="1"/>
    <n v="10"/>
    <n v="324000"/>
    <n v="0"/>
    <s v="Budget"/>
    <s v="West"/>
    <x v="2"/>
    <s v="Security"/>
    <x v="5"/>
    <x v="1"/>
  </r>
  <r>
    <s v="O00086"/>
    <s v="C0032"/>
    <s v="P002"/>
    <s v="R001"/>
    <d v="2025-02-13T00:00:00"/>
    <d v="2025-04-30T00:00:00"/>
    <d v="2025-04-30T00:00:00"/>
    <x v="0"/>
    <n v="2"/>
    <n v="20"/>
    <n v="672000"/>
    <n v="0"/>
    <s v="Feature gap"/>
    <s v="South"/>
    <x v="0"/>
    <s v="CRM"/>
    <x v="6"/>
    <x v="2"/>
  </r>
  <r>
    <s v="O00087"/>
    <s v="C0452"/>
    <s v="P002"/>
    <s v="R014"/>
    <d v="2025-06-03T00:00:00"/>
    <d v="2025-06-14T00:00:00"/>
    <d v="2025-06-14T00:00:00"/>
    <x v="1"/>
    <n v="3"/>
    <n v="20"/>
    <n v="1008000"/>
    <n v="100"/>
    <s v=""/>
    <s v="West"/>
    <x v="0"/>
    <s v="CRM"/>
    <x v="1"/>
    <x v="1"/>
  </r>
  <r>
    <s v="O00088"/>
    <s v="C0022"/>
    <s v="P004"/>
    <s v="R006"/>
    <d v="2025-12-16T00:00:00"/>
    <d v="2026-01-10T00:00:00"/>
    <m/>
    <x v="2"/>
    <n v="3"/>
    <n v="10"/>
    <n v="810000"/>
    <n v="60"/>
    <s v=""/>
    <s v="North"/>
    <x v="5"/>
    <s v="Analytics"/>
    <x v="2"/>
    <x v="0"/>
  </r>
  <r>
    <s v="O00089"/>
    <s v="C0439"/>
    <s v="P003"/>
    <s v="R020"/>
    <d v="2025-08-23T00:00:00"/>
    <d v="2025-08-31T00:00:00"/>
    <m/>
    <x v="2"/>
    <n v="3"/>
    <n v="20"/>
    <n v="576000"/>
    <n v="80"/>
    <s v=""/>
    <s v="East"/>
    <x v="1"/>
    <s v="Automation"/>
    <x v="9"/>
    <x v="3"/>
  </r>
  <r>
    <s v="O00090"/>
    <s v="C0400"/>
    <s v="P001"/>
    <s v="R018"/>
    <d v="2025-10-02T00:00:00"/>
    <d v="2025-11-30T00:00:00"/>
    <m/>
    <x v="2"/>
    <n v="1"/>
    <n v="15"/>
    <n v="102000"/>
    <n v="80"/>
    <s v=""/>
    <s v="East"/>
    <x v="4"/>
    <s v="CRM"/>
    <x v="18"/>
    <x v="3"/>
  </r>
  <r>
    <s v="O00091"/>
    <s v="C0244"/>
    <s v="P003"/>
    <s v="R008"/>
    <d v="2025-01-11T00:00:00"/>
    <d v="2025-02-25T00:00:00"/>
    <d v="2025-02-25T00:00:00"/>
    <x v="1"/>
    <n v="1"/>
    <n v="10"/>
    <n v="216000"/>
    <n v="100"/>
    <s v=""/>
    <s v="North"/>
    <x v="1"/>
    <s v="Automation"/>
    <x v="0"/>
    <x v="0"/>
  </r>
  <r>
    <s v="O00092"/>
    <s v="C0374"/>
    <s v="P004"/>
    <s v="R005"/>
    <d v="2025-11-27T00:00:00"/>
    <d v="2026-01-29T00:00:00"/>
    <m/>
    <x v="2"/>
    <n v="1"/>
    <n v="15"/>
    <n v="255000"/>
    <n v="80"/>
    <s v=""/>
    <s v="South"/>
    <x v="5"/>
    <s v="Analytics"/>
    <x v="11"/>
    <x v="2"/>
  </r>
  <r>
    <s v="O00093"/>
    <s v="C0089"/>
    <s v="P002"/>
    <s v="R002"/>
    <d v="2025-01-30T00:00:00"/>
    <d v="2025-04-05T00:00:00"/>
    <d v="2025-04-05T00:00:00"/>
    <x v="1"/>
    <n v="1"/>
    <n v="10"/>
    <n v="378000"/>
    <n v="100"/>
    <s v=""/>
    <s v="South"/>
    <x v="0"/>
    <s v="CRM"/>
    <x v="17"/>
    <x v="2"/>
  </r>
  <r>
    <s v="O00094"/>
    <s v="C0091"/>
    <s v="P004"/>
    <s v="R020"/>
    <d v="2025-10-10T00:00:00"/>
    <d v="2025-11-06T00:00:00"/>
    <d v="2025-11-06T00:00:00"/>
    <x v="1"/>
    <n v="1"/>
    <n v="0"/>
    <n v="300000"/>
    <n v="100"/>
    <s v=""/>
    <s v="East"/>
    <x v="5"/>
    <s v="Analytics"/>
    <x v="9"/>
    <x v="3"/>
  </r>
  <r>
    <s v="O00095"/>
    <s v="C0439"/>
    <s v="P002"/>
    <s v="R017"/>
    <d v="2025-12-13T00:00:00"/>
    <d v="2026-02-10T00:00:00"/>
    <m/>
    <x v="2"/>
    <n v="3"/>
    <n v="0"/>
    <n v="1260000"/>
    <n v="20"/>
    <s v=""/>
    <s v="East"/>
    <x v="0"/>
    <s v="CRM"/>
    <x v="19"/>
    <x v="3"/>
  </r>
  <r>
    <s v="O00096"/>
    <s v="C0155"/>
    <s v="P006"/>
    <s v="R020"/>
    <d v="2025-11-16T00:00:00"/>
    <d v="2025-12-06T00:00:00"/>
    <d v="2025-12-06T00:00:00"/>
    <x v="0"/>
    <n v="1"/>
    <n v="20"/>
    <n v="288000"/>
    <n v="0"/>
    <s v="Feature gap"/>
    <s v="East"/>
    <x v="2"/>
    <s v="Security"/>
    <x v="9"/>
    <x v="3"/>
  </r>
  <r>
    <s v="O00097"/>
    <s v="C0077"/>
    <s v="P005"/>
    <s v="R012"/>
    <d v="2025-01-30T00:00:00"/>
    <d v="2025-04-23T00:00:00"/>
    <m/>
    <x v="2"/>
    <n v="2"/>
    <n v="10"/>
    <n v="324000"/>
    <n v="40"/>
    <s v=""/>
    <s v="West"/>
    <x v="3"/>
    <s v="Service"/>
    <x v="14"/>
    <x v="1"/>
  </r>
  <r>
    <s v="O00098"/>
    <s v="C0199"/>
    <s v="P006"/>
    <s v="R001"/>
    <d v="2025-10-26T00:00:00"/>
    <d v="2026-01-14T00:00:00"/>
    <m/>
    <x v="2"/>
    <n v="1"/>
    <n v="10"/>
    <n v="324000"/>
    <n v="40"/>
    <s v=""/>
    <s v="South"/>
    <x v="2"/>
    <s v="Security"/>
    <x v="6"/>
    <x v="2"/>
  </r>
  <r>
    <s v="O00099"/>
    <s v="C0046"/>
    <s v="P002"/>
    <s v="R013"/>
    <d v="2025-04-25T00:00:00"/>
    <d v="2025-06-10T00:00:00"/>
    <d v="2025-06-10T00:00:00"/>
    <x v="0"/>
    <n v="2"/>
    <n v="10"/>
    <n v="756000"/>
    <n v="0"/>
    <s v="Budget"/>
    <s v="West"/>
    <x v="0"/>
    <s v="CRM"/>
    <x v="5"/>
    <x v="1"/>
  </r>
  <r>
    <s v="O00100"/>
    <s v="C0445"/>
    <s v="P006"/>
    <s v="R004"/>
    <d v="2025-09-29T00:00:00"/>
    <d v="2025-10-12T00:00:00"/>
    <d v="2025-10-12T00:00:00"/>
    <x v="1"/>
    <n v="1"/>
    <n v="5"/>
    <n v="342000"/>
    <n v="100"/>
    <s v=""/>
    <s v="South"/>
    <x v="2"/>
    <s v="Security"/>
    <x v="3"/>
    <x v="2"/>
  </r>
  <r>
    <s v="O00101"/>
    <s v="C0325"/>
    <s v="P001"/>
    <s v="R011"/>
    <d v="2025-08-20T00:00:00"/>
    <d v="2025-09-17T00:00:00"/>
    <d v="2025-09-17T00:00:00"/>
    <x v="1"/>
    <n v="3"/>
    <n v="5"/>
    <n v="342000"/>
    <n v="100"/>
    <s v=""/>
    <s v="West"/>
    <x v="4"/>
    <s v="CRM"/>
    <x v="12"/>
    <x v="1"/>
  </r>
  <r>
    <s v="O00102"/>
    <s v="C0220"/>
    <s v="P004"/>
    <s v="R019"/>
    <d v="2025-01-03T00:00:00"/>
    <d v="2025-02-04T00:00:00"/>
    <d v="2025-02-04T00:00:00"/>
    <x v="1"/>
    <n v="1"/>
    <n v="0"/>
    <n v="300000"/>
    <n v="100"/>
    <s v=""/>
    <s v="East"/>
    <x v="5"/>
    <s v="Analytics"/>
    <x v="10"/>
    <x v="3"/>
  </r>
  <r>
    <s v="O00103"/>
    <s v="C0053"/>
    <s v="P004"/>
    <s v="R020"/>
    <d v="2025-10-29T00:00:00"/>
    <d v="2025-11-13T00:00:00"/>
    <d v="2025-11-13T00:00:00"/>
    <x v="1"/>
    <n v="1"/>
    <n v="10"/>
    <n v="270000"/>
    <n v="100"/>
    <s v=""/>
    <s v="East"/>
    <x v="5"/>
    <s v="Analytics"/>
    <x v="9"/>
    <x v="3"/>
  </r>
  <r>
    <s v="O00104"/>
    <s v="C0376"/>
    <s v="P001"/>
    <s v="R010"/>
    <d v="2025-09-16T00:00:00"/>
    <d v="2025-11-08T00:00:00"/>
    <d v="2025-11-08T00:00:00"/>
    <x v="1"/>
    <n v="1"/>
    <n v="15"/>
    <n v="102000"/>
    <n v="100"/>
    <s v=""/>
    <s v="North"/>
    <x v="4"/>
    <s v="CRM"/>
    <x v="16"/>
    <x v="0"/>
  </r>
  <r>
    <s v="O00105"/>
    <s v="C0354"/>
    <s v="P001"/>
    <s v="R019"/>
    <d v="2025-08-16T00:00:00"/>
    <d v="2025-11-01T00:00:00"/>
    <d v="2025-11-01T00:00:00"/>
    <x v="0"/>
    <n v="1"/>
    <n v="15"/>
    <n v="102000"/>
    <n v="0"/>
    <s v="Competition"/>
    <s v="East"/>
    <x v="4"/>
    <s v="CRM"/>
    <x v="10"/>
    <x v="3"/>
  </r>
  <r>
    <s v="O00106"/>
    <s v="C0319"/>
    <s v="P005"/>
    <s v="R007"/>
    <d v="2025-08-03T00:00:00"/>
    <d v="2025-08-23T00:00:00"/>
    <m/>
    <x v="2"/>
    <n v="3"/>
    <n v="20"/>
    <n v="432000"/>
    <n v="20"/>
    <s v=""/>
    <s v="North"/>
    <x v="3"/>
    <s v="Service"/>
    <x v="13"/>
    <x v="0"/>
  </r>
  <r>
    <s v="O00107"/>
    <s v="C0083"/>
    <s v="P001"/>
    <s v="R005"/>
    <d v="2025-09-12T00:00:00"/>
    <d v="2025-11-19T00:00:00"/>
    <m/>
    <x v="2"/>
    <n v="1"/>
    <n v="5"/>
    <n v="114000"/>
    <n v="20"/>
    <s v=""/>
    <s v="South"/>
    <x v="4"/>
    <s v="CRM"/>
    <x v="11"/>
    <x v="2"/>
  </r>
  <r>
    <s v="O00108"/>
    <s v="C0400"/>
    <s v="P005"/>
    <s v="R016"/>
    <d v="2025-02-21T00:00:00"/>
    <d v="2025-03-29T00:00:00"/>
    <m/>
    <x v="2"/>
    <n v="2"/>
    <n v="10"/>
    <n v="324000"/>
    <n v="60"/>
    <s v=""/>
    <s v="East"/>
    <x v="3"/>
    <s v="Service"/>
    <x v="8"/>
    <x v="3"/>
  </r>
  <r>
    <s v="O00109"/>
    <s v="C0332"/>
    <s v="P002"/>
    <s v="R003"/>
    <d v="2025-07-03T00:00:00"/>
    <d v="2025-08-13T00:00:00"/>
    <m/>
    <x v="2"/>
    <n v="1"/>
    <n v="10"/>
    <n v="378000"/>
    <n v="60"/>
    <s v=""/>
    <s v="South"/>
    <x v="0"/>
    <s v="CRM"/>
    <x v="15"/>
    <x v="2"/>
  </r>
  <r>
    <s v="O00110"/>
    <s v="C0454"/>
    <s v="P002"/>
    <s v="R001"/>
    <d v="2025-03-09T00:00:00"/>
    <d v="2025-03-23T00:00:00"/>
    <d v="2025-03-23T00:00:00"/>
    <x v="0"/>
    <n v="1"/>
    <n v="0"/>
    <n v="420000"/>
    <n v="0"/>
    <s v="Feature gap"/>
    <s v="South"/>
    <x v="0"/>
    <s v="CRM"/>
    <x v="6"/>
    <x v="2"/>
  </r>
  <r>
    <s v="O00111"/>
    <s v="C0455"/>
    <s v="P004"/>
    <s v="R019"/>
    <d v="2025-01-24T00:00:00"/>
    <d v="2025-03-12T00:00:00"/>
    <d v="2025-03-12T00:00:00"/>
    <x v="1"/>
    <n v="1"/>
    <n v="20"/>
    <n v="240000"/>
    <n v="100"/>
    <s v=""/>
    <s v="East"/>
    <x v="5"/>
    <s v="Analytics"/>
    <x v="10"/>
    <x v="3"/>
  </r>
  <r>
    <s v="O00112"/>
    <s v="C0430"/>
    <s v="P005"/>
    <s v="R005"/>
    <d v="2025-01-28T00:00:00"/>
    <d v="2025-02-24T00:00:00"/>
    <d v="2025-02-24T00:00:00"/>
    <x v="1"/>
    <n v="3"/>
    <n v="15"/>
    <n v="459000"/>
    <n v="100"/>
    <s v=""/>
    <s v="South"/>
    <x v="3"/>
    <s v="Service"/>
    <x v="11"/>
    <x v="2"/>
  </r>
  <r>
    <s v="O00113"/>
    <s v="C0282"/>
    <s v="P006"/>
    <s v="R004"/>
    <d v="2025-07-26T00:00:00"/>
    <d v="2025-08-12T00:00:00"/>
    <m/>
    <x v="2"/>
    <n v="2"/>
    <n v="15"/>
    <n v="612000"/>
    <n v="80"/>
    <s v=""/>
    <s v="South"/>
    <x v="2"/>
    <s v="Security"/>
    <x v="3"/>
    <x v="2"/>
  </r>
  <r>
    <s v="O00114"/>
    <s v="C0335"/>
    <s v="P001"/>
    <s v="R006"/>
    <d v="2025-07-26T00:00:00"/>
    <d v="2025-10-12T00:00:00"/>
    <d v="2025-10-12T00:00:00"/>
    <x v="0"/>
    <n v="3"/>
    <n v="0"/>
    <n v="360000"/>
    <n v="0"/>
    <s v="Feature gap"/>
    <s v="North"/>
    <x v="4"/>
    <s v="CRM"/>
    <x v="2"/>
    <x v="0"/>
  </r>
  <r>
    <s v="O00115"/>
    <s v="C0308"/>
    <s v="P004"/>
    <s v="R003"/>
    <d v="2025-08-20T00:00:00"/>
    <d v="2025-09-24T00:00:00"/>
    <d v="2025-09-24T00:00:00"/>
    <x v="1"/>
    <n v="1"/>
    <n v="10"/>
    <n v="270000"/>
    <n v="100"/>
    <s v=""/>
    <s v="South"/>
    <x v="5"/>
    <s v="Analytics"/>
    <x v="15"/>
    <x v="2"/>
  </r>
  <r>
    <s v="O00116"/>
    <s v="C0313"/>
    <s v="P002"/>
    <s v="R002"/>
    <d v="2025-03-03T00:00:00"/>
    <d v="2025-04-29T00:00:00"/>
    <m/>
    <x v="2"/>
    <n v="1"/>
    <n v="15"/>
    <n v="357000"/>
    <n v="40"/>
    <s v=""/>
    <s v="South"/>
    <x v="0"/>
    <s v="CRM"/>
    <x v="17"/>
    <x v="2"/>
  </r>
  <r>
    <s v="O00117"/>
    <s v="C0069"/>
    <s v="P004"/>
    <s v="R011"/>
    <d v="2025-09-29T00:00:00"/>
    <d v="2025-12-15T00:00:00"/>
    <d v="2025-12-15T00:00:00"/>
    <x v="0"/>
    <n v="2"/>
    <n v="20"/>
    <n v="480000"/>
    <n v="0"/>
    <s v="Feature gap"/>
    <s v="West"/>
    <x v="5"/>
    <s v="Analytics"/>
    <x v="12"/>
    <x v="1"/>
  </r>
  <r>
    <s v="O00118"/>
    <s v="C0259"/>
    <s v="P004"/>
    <s v="R009"/>
    <d v="2025-11-08T00:00:00"/>
    <d v="2025-12-16T00:00:00"/>
    <m/>
    <x v="2"/>
    <n v="1"/>
    <n v="15"/>
    <n v="255000"/>
    <n v="60"/>
    <s v=""/>
    <s v="North"/>
    <x v="5"/>
    <s v="Analytics"/>
    <x v="4"/>
    <x v="0"/>
  </r>
  <r>
    <s v="O00119"/>
    <s v="C0378"/>
    <s v="P005"/>
    <s v="R007"/>
    <d v="2025-04-13T00:00:00"/>
    <d v="2025-05-27T00:00:00"/>
    <d v="2025-05-27T00:00:00"/>
    <x v="1"/>
    <n v="1"/>
    <n v="5"/>
    <n v="171000"/>
    <n v="100"/>
    <s v=""/>
    <s v="North"/>
    <x v="3"/>
    <s v="Service"/>
    <x v="13"/>
    <x v="0"/>
  </r>
  <r>
    <s v="O00120"/>
    <s v="C0414"/>
    <s v="P001"/>
    <s v="R020"/>
    <d v="2025-02-24T00:00:00"/>
    <d v="2025-03-21T00:00:00"/>
    <d v="2025-03-21T00:00:00"/>
    <x v="1"/>
    <n v="1"/>
    <n v="0"/>
    <n v="120000"/>
    <n v="100"/>
    <s v=""/>
    <s v="East"/>
    <x v="4"/>
    <s v="CRM"/>
    <x v="9"/>
    <x v="3"/>
  </r>
  <r>
    <s v="O00121"/>
    <s v="C0184"/>
    <s v="P004"/>
    <s v="R006"/>
    <d v="2025-11-12T00:00:00"/>
    <d v="2026-01-29T00:00:00"/>
    <m/>
    <x v="2"/>
    <n v="1"/>
    <n v="20"/>
    <n v="240000"/>
    <n v="80"/>
    <s v=""/>
    <s v="North"/>
    <x v="5"/>
    <s v="Analytics"/>
    <x v="2"/>
    <x v="0"/>
  </r>
  <r>
    <s v="O00122"/>
    <s v="C0161"/>
    <s v="P005"/>
    <s v="R006"/>
    <d v="2025-01-07T00:00:00"/>
    <d v="2025-02-08T00:00:00"/>
    <d v="2025-02-08T00:00:00"/>
    <x v="0"/>
    <n v="3"/>
    <n v="15"/>
    <n v="459000"/>
    <n v="0"/>
    <s v="Budget"/>
    <s v="North"/>
    <x v="3"/>
    <s v="Service"/>
    <x v="2"/>
    <x v="0"/>
  </r>
  <r>
    <s v="O00123"/>
    <s v="C0194"/>
    <s v="P001"/>
    <s v="R004"/>
    <d v="2025-05-23T00:00:00"/>
    <d v="2025-06-15T00:00:00"/>
    <d v="2025-06-15T00:00:00"/>
    <x v="0"/>
    <n v="1"/>
    <n v="20"/>
    <n v="96000"/>
    <n v="0"/>
    <s v="Price"/>
    <s v="South"/>
    <x v="4"/>
    <s v="CRM"/>
    <x v="3"/>
    <x v="2"/>
  </r>
  <r>
    <s v="O00124"/>
    <s v="C0282"/>
    <s v="P003"/>
    <s v="R001"/>
    <d v="2025-12-29T00:00:00"/>
    <d v="2026-02-02T00:00:00"/>
    <m/>
    <x v="2"/>
    <n v="1"/>
    <n v="20"/>
    <n v="192000"/>
    <n v="20"/>
    <s v=""/>
    <s v="South"/>
    <x v="1"/>
    <s v="Automation"/>
    <x v="6"/>
    <x v="2"/>
  </r>
  <r>
    <s v="O00125"/>
    <s v="C0170"/>
    <s v="P003"/>
    <s v="R013"/>
    <d v="2025-05-31T00:00:00"/>
    <d v="2025-08-13T00:00:00"/>
    <d v="2025-08-13T00:00:00"/>
    <x v="1"/>
    <n v="2"/>
    <n v="20"/>
    <n v="384000"/>
    <n v="100"/>
    <s v=""/>
    <s v="West"/>
    <x v="1"/>
    <s v="Automation"/>
    <x v="5"/>
    <x v="1"/>
  </r>
  <r>
    <s v="O00126"/>
    <s v="C0454"/>
    <s v="P003"/>
    <s v="R004"/>
    <d v="2025-02-28T00:00:00"/>
    <d v="2025-05-15T00:00:00"/>
    <d v="2025-05-15T00:00:00"/>
    <x v="0"/>
    <n v="1"/>
    <n v="0"/>
    <n v="240000"/>
    <n v="0"/>
    <s v="Feature gap"/>
    <s v="South"/>
    <x v="1"/>
    <s v="Automation"/>
    <x v="3"/>
    <x v="2"/>
  </r>
  <r>
    <s v="O00127"/>
    <s v="C0323"/>
    <s v="P002"/>
    <s v="R019"/>
    <d v="2025-02-23T00:00:00"/>
    <d v="2025-04-26T00:00:00"/>
    <d v="2025-04-26T00:00:00"/>
    <x v="1"/>
    <n v="1"/>
    <n v="5"/>
    <n v="399000"/>
    <n v="100"/>
    <s v=""/>
    <s v="East"/>
    <x v="0"/>
    <s v="CRM"/>
    <x v="10"/>
    <x v="3"/>
  </r>
  <r>
    <s v="O00128"/>
    <s v="C0199"/>
    <s v="P004"/>
    <s v="R004"/>
    <d v="2025-08-10T00:00:00"/>
    <d v="2025-10-05T00:00:00"/>
    <d v="2025-10-05T00:00:00"/>
    <x v="1"/>
    <n v="1"/>
    <n v="20"/>
    <n v="240000"/>
    <n v="100"/>
    <s v=""/>
    <s v="South"/>
    <x v="5"/>
    <s v="Analytics"/>
    <x v="3"/>
    <x v="2"/>
  </r>
  <r>
    <s v="O00129"/>
    <s v="C0476"/>
    <s v="P005"/>
    <s v="R001"/>
    <d v="2025-05-29T00:00:00"/>
    <d v="2025-07-13T00:00:00"/>
    <m/>
    <x v="2"/>
    <n v="3"/>
    <n v="0"/>
    <n v="540000"/>
    <n v="60"/>
    <s v=""/>
    <s v="South"/>
    <x v="3"/>
    <s v="Service"/>
    <x v="6"/>
    <x v="2"/>
  </r>
  <r>
    <s v="O00130"/>
    <s v="C0347"/>
    <s v="P006"/>
    <s v="R003"/>
    <d v="2025-01-06T00:00:00"/>
    <d v="2025-03-25T00:00:00"/>
    <d v="2025-03-25T00:00:00"/>
    <x v="0"/>
    <n v="1"/>
    <n v="0"/>
    <n v="360000"/>
    <n v="0"/>
    <s v="Price"/>
    <s v="South"/>
    <x v="2"/>
    <s v="Security"/>
    <x v="15"/>
    <x v="2"/>
  </r>
  <r>
    <s v="O00131"/>
    <s v="C0428"/>
    <s v="P003"/>
    <s v="R007"/>
    <d v="2025-02-28T00:00:00"/>
    <d v="2025-05-18T00:00:00"/>
    <d v="2025-05-18T00:00:00"/>
    <x v="1"/>
    <n v="1"/>
    <n v="20"/>
    <n v="192000"/>
    <n v="100"/>
    <s v=""/>
    <s v="North"/>
    <x v="1"/>
    <s v="Automation"/>
    <x v="13"/>
    <x v="0"/>
  </r>
  <r>
    <s v="O00132"/>
    <s v="C0298"/>
    <s v="P004"/>
    <s v="R003"/>
    <d v="2025-07-02T00:00:00"/>
    <d v="2025-08-08T00:00:00"/>
    <d v="2025-08-08T00:00:00"/>
    <x v="1"/>
    <n v="1"/>
    <n v="10"/>
    <n v="270000"/>
    <n v="100"/>
    <s v=""/>
    <s v="South"/>
    <x v="5"/>
    <s v="Analytics"/>
    <x v="15"/>
    <x v="2"/>
  </r>
  <r>
    <s v="O00133"/>
    <s v="C0290"/>
    <s v="P005"/>
    <s v="R008"/>
    <d v="2025-06-11T00:00:00"/>
    <d v="2025-07-09T00:00:00"/>
    <m/>
    <x v="2"/>
    <n v="1"/>
    <n v="10"/>
    <n v="162000"/>
    <n v="40"/>
    <s v=""/>
    <s v="North"/>
    <x v="3"/>
    <s v="Service"/>
    <x v="0"/>
    <x v="0"/>
  </r>
  <r>
    <s v="O00134"/>
    <s v="C0237"/>
    <s v="P004"/>
    <s v="R013"/>
    <d v="2025-06-06T00:00:00"/>
    <d v="2025-06-26T00:00:00"/>
    <d v="2025-06-26T00:00:00"/>
    <x v="0"/>
    <n v="1"/>
    <n v="20"/>
    <n v="240000"/>
    <n v="0"/>
    <s v="Budget"/>
    <s v="West"/>
    <x v="5"/>
    <s v="Analytics"/>
    <x v="5"/>
    <x v="1"/>
  </r>
  <r>
    <s v="O00135"/>
    <s v="C0324"/>
    <s v="P001"/>
    <s v="R005"/>
    <d v="2025-10-24T00:00:00"/>
    <d v="2026-01-14T00:00:00"/>
    <m/>
    <x v="2"/>
    <n v="1"/>
    <n v="0"/>
    <n v="120000"/>
    <n v="60"/>
    <s v=""/>
    <s v="South"/>
    <x v="4"/>
    <s v="CRM"/>
    <x v="11"/>
    <x v="2"/>
  </r>
  <r>
    <s v="O00136"/>
    <s v="C0006"/>
    <s v="P006"/>
    <s v="R017"/>
    <d v="2025-11-11T00:00:00"/>
    <d v="2026-01-22T00:00:00"/>
    <m/>
    <x v="2"/>
    <n v="1"/>
    <n v="15"/>
    <n v="306000"/>
    <n v="40"/>
    <s v=""/>
    <s v="East"/>
    <x v="2"/>
    <s v="Security"/>
    <x v="19"/>
    <x v="3"/>
  </r>
  <r>
    <s v="O00137"/>
    <s v="C0119"/>
    <s v="P001"/>
    <s v="R013"/>
    <d v="2025-07-09T00:00:00"/>
    <d v="2025-08-11T00:00:00"/>
    <d v="2025-08-11T00:00:00"/>
    <x v="1"/>
    <n v="3"/>
    <n v="10"/>
    <n v="324000"/>
    <n v="100"/>
    <s v=""/>
    <s v="West"/>
    <x v="4"/>
    <s v="CRM"/>
    <x v="5"/>
    <x v="1"/>
  </r>
  <r>
    <s v="O00138"/>
    <s v="C0194"/>
    <s v="P003"/>
    <s v="R005"/>
    <d v="2025-12-01T00:00:00"/>
    <d v="2025-12-17T00:00:00"/>
    <m/>
    <x v="2"/>
    <n v="3"/>
    <n v="10"/>
    <n v="648000"/>
    <n v="80"/>
    <s v=""/>
    <s v="South"/>
    <x v="1"/>
    <s v="Automation"/>
    <x v="11"/>
    <x v="2"/>
  </r>
  <r>
    <s v="O00139"/>
    <s v="C0226"/>
    <s v="P002"/>
    <s v="R007"/>
    <d v="2025-02-09T00:00:00"/>
    <d v="2025-03-23T00:00:00"/>
    <d v="2025-03-23T00:00:00"/>
    <x v="0"/>
    <n v="1"/>
    <n v="5"/>
    <n v="399000"/>
    <n v="0"/>
    <s v="Competition"/>
    <s v="North"/>
    <x v="0"/>
    <s v="CRM"/>
    <x v="13"/>
    <x v="0"/>
  </r>
  <r>
    <s v="O00140"/>
    <s v="C0303"/>
    <s v="P002"/>
    <s v="R009"/>
    <d v="2025-01-12T00:00:00"/>
    <d v="2025-02-04T00:00:00"/>
    <d v="2025-02-04T00:00:00"/>
    <x v="1"/>
    <n v="3"/>
    <n v="20"/>
    <n v="1008000"/>
    <n v="100"/>
    <s v=""/>
    <s v="North"/>
    <x v="0"/>
    <s v="CRM"/>
    <x v="4"/>
    <x v="0"/>
  </r>
  <r>
    <s v="O00141"/>
    <s v="C0265"/>
    <s v="P004"/>
    <s v="R020"/>
    <d v="2025-10-16T00:00:00"/>
    <d v="2025-11-28T00:00:00"/>
    <d v="2025-11-28T00:00:00"/>
    <x v="0"/>
    <n v="1"/>
    <n v="5"/>
    <n v="285000"/>
    <n v="0"/>
    <s v="Feature gap"/>
    <s v="East"/>
    <x v="5"/>
    <s v="Analytics"/>
    <x v="9"/>
    <x v="3"/>
  </r>
  <r>
    <s v="O00142"/>
    <s v="C0306"/>
    <s v="P005"/>
    <s v="R011"/>
    <d v="2025-04-28T00:00:00"/>
    <d v="2025-05-21T00:00:00"/>
    <d v="2025-05-21T00:00:00"/>
    <x v="0"/>
    <n v="1"/>
    <n v="0"/>
    <n v="180000"/>
    <n v="0"/>
    <s v="Feature gap"/>
    <s v="West"/>
    <x v="3"/>
    <s v="Service"/>
    <x v="12"/>
    <x v="1"/>
  </r>
  <r>
    <s v="O00143"/>
    <s v="C0277"/>
    <s v="P001"/>
    <s v="R009"/>
    <d v="2025-09-25T00:00:00"/>
    <d v="2025-10-07T00:00:00"/>
    <d v="2025-10-07T00:00:00"/>
    <x v="0"/>
    <n v="3"/>
    <n v="15"/>
    <n v="306000"/>
    <n v="0"/>
    <s v="No decision"/>
    <s v="North"/>
    <x v="4"/>
    <s v="CRM"/>
    <x v="4"/>
    <x v="0"/>
  </r>
  <r>
    <s v="O00144"/>
    <s v="C0210"/>
    <s v="P003"/>
    <s v="R012"/>
    <d v="2025-01-03T00:00:00"/>
    <d v="2025-01-10T00:00:00"/>
    <d v="2025-01-10T00:00:00"/>
    <x v="0"/>
    <n v="3"/>
    <n v="20"/>
    <n v="576000"/>
    <n v="0"/>
    <s v="Feature gap"/>
    <s v="West"/>
    <x v="1"/>
    <s v="Automation"/>
    <x v="14"/>
    <x v="1"/>
  </r>
  <r>
    <s v="O00145"/>
    <s v="C0055"/>
    <s v="P002"/>
    <s v="R014"/>
    <d v="2025-11-30T00:00:00"/>
    <d v="2026-01-09T00:00:00"/>
    <m/>
    <x v="2"/>
    <n v="3"/>
    <n v="15"/>
    <n v="1071000"/>
    <n v="60"/>
    <s v=""/>
    <s v="West"/>
    <x v="0"/>
    <s v="CRM"/>
    <x v="1"/>
    <x v="1"/>
  </r>
  <r>
    <s v="O00146"/>
    <s v="C0071"/>
    <s v="P006"/>
    <s v="R006"/>
    <d v="2025-04-28T00:00:00"/>
    <d v="2025-05-25T00:00:00"/>
    <d v="2025-05-25T00:00:00"/>
    <x v="0"/>
    <n v="1"/>
    <n v="5"/>
    <n v="342000"/>
    <n v="0"/>
    <s v="Budget"/>
    <s v="North"/>
    <x v="2"/>
    <s v="Security"/>
    <x v="2"/>
    <x v="0"/>
  </r>
  <r>
    <s v="O00147"/>
    <s v="C0242"/>
    <s v="P005"/>
    <s v="R004"/>
    <d v="2025-02-15T00:00:00"/>
    <d v="2025-03-22T00:00:00"/>
    <d v="2025-03-22T00:00:00"/>
    <x v="1"/>
    <n v="1"/>
    <n v="0"/>
    <n v="180000"/>
    <n v="100"/>
    <s v=""/>
    <s v="South"/>
    <x v="3"/>
    <s v="Service"/>
    <x v="3"/>
    <x v="2"/>
  </r>
  <r>
    <s v="O00148"/>
    <s v="C0100"/>
    <s v="P001"/>
    <s v="R005"/>
    <d v="2025-09-19T00:00:00"/>
    <d v="2025-10-25T00:00:00"/>
    <d v="2025-10-25T00:00:00"/>
    <x v="0"/>
    <n v="3"/>
    <n v="5"/>
    <n v="342000"/>
    <n v="0"/>
    <s v="Budget"/>
    <s v="South"/>
    <x v="4"/>
    <s v="CRM"/>
    <x v="11"/>
    <x v="2"/>
  </r>
  <r>
    <s v="O00149"/>
    <s v="C0103"/>
    <s v="P005"/>
    <s v="R006"/>
    <d v="2025-12-27T00:00:00"/>
    <d v="2026-01-14T00:00:00"/>
    <m/>
    <x v="2"/>
    <n v="3"/>
    <n v="10"/>
    <n v="486000"/>
    <n v="60"/>
    <s v=""/>
    <s v="North"/>
    <x v="3"/>
    <s v="Service"/>
    <x v="2"/>
    <x v="0"/>
  </r>
  <r>
    <s v="O00150"/>
    <s v="C0055"/>
    <s v="P005"/>
    <s v="R011"/>
    <d v="2025-09-15T00:00:00"/>
    <d v="2025-10-06T00:00:00"/>
    <d v="2025-10-06T00:00:00"/>
    <x v="1"/>
    <n v="3"/>
    <n v="10"/>
    <n v="486000"/>
    <n v="100"/>
    <s v=""/>
    <s v="West"/>
    <x v="3"/>
    <s v="Service"/>
    <x v="12"/>
    <x v="1"/>
  </r>
  <r>
    <s v="O00151"/>
    <s v="C0325"/>
    <s v="P002"/>
    <s v="R012"/>
    <d v="2025-06-11T00:00:00"/>
    <d v="2025-08-02T00:00:00"/>
    <d v="2025-08-02T00:00:00"/>
    <x v="0"/>
    <n v="3"/>
    <n v="20"/>
    <n v="1008000"/>
    <n v="0"/>
    <s v="Budget"/>
    <s v="West"/>
    <x v="0"/>
    <s v="CRM"/>
    <x v="14"/>
    <x v="1"/>
  </r>
  <r>
    <s v="O00152"/>
    <s v="C0161"/>
    <s v="P003"/>
    <s v="R007"/>
    <d v="2025-10-21T00:00:00"/>
    <d v="2025-11-21T00:00:00"/>
    <d v="2025-11-21T00:00:00"/>
    <x v="1"/>
    <n v="2"/>
    <n v="5"/>
    <n v="456000"/>
    <n v="100"/>
    <s v=""/>
    <s v="North"/>
    <x v="1"/>
    <s v="Automation"/>
    <x v="13"/>
    <x v="0"/>
  </r>
  <r>
    <s v="O00153"/>
    <s v="C0062"/>
    <s v="P001"/>
    <s v="R004"/>
    <d v="2025-11-11T00:00:00"/>
    <d v="2026-01-26T00:00:00"/>
    <m/>
    <x v="2"/>
    <n v="1"/>
    <n v="15"/>
    <n v="102000"/>
    <n v="60"/>
    <s v=""/>
    <s v="South"/>
    <x v="4"/>
    <s v="CRM"/>
    <x v="3"/>
    <x v="2"/>
  </r>
  <r>
    <s v="O00154"/>
    <s v="C0028"/>
    <s v="P005"/>
    <s v="R019"/>
    <d v="2025-09-02T00:00:00"/>
    <d v="2025-09-13T00:00:00"/>
    <m/>
    <x v="2"/>
    <n v="3"/>
    <n v="10"/>
    <n v="486000"/>
    <n v="80"/>
    <s v=""/>
    <s v="East"/>
    <x v="3"/>
    <s v="Service"/>
    <x v="10"/>
    <x v="3"/>
  </r>
  <r>
    <s v="O00155"/>
    <s v="C0346"/>
    <s v="P002"/>
    <s v="R009"/>
    <d v="2025-10-25T00:00:00"/>
    <d v="2025-12-17T00:00:00"/>
    <d v="2025-12-17T00:00:00"/>
    <x v="1"/>
    <n v="3"/>
    <n v="10"/>
    <n v="1134000"/>
    <n v="100"/>
    <s v=""/>
    <s v="North"/>
    <x v="0"/>
    <s v="CRM"/>
    <x v="4"/>
    <x v="0"/>
  </r>
  <r>
    <s v="O00156"/>
    <s v="C0386"/>
    <s v="P003"/>
    <s v="R018"/>
    <d v="2025-07-25T00:00:00"/>
    <d v="2025-08-24T00:00:00"/>
    <d v="2025-08-24T00:00:00"/>
    <x v="1"/>
    <n v="3"/>
    <n v="5"/>
    <n v="684000"/>
    <n v="100"/>
    <s v=""/>
    <s v="East"/>
    <x v="1"/>
    <s v="Automation"/>
    <x v="18"/>
    <x v="3"/>
  </r>
  <r>
    <s v="O00157"/>
    <s v="C0101"/>
    <s v="P002"/>
    <s v="R007"/>
    <d v="2025-08-31T00:00:00"/>
    <d v="2025-09-29T00:00:00"/>
    <m/>
    <x v="2"/>
    <n v="2"/>
    <n v="15"/>
    <n v="714000"/>
    <n v="40"/>
    <s v=""/>
    <s v="North"/>
    <x v="0"/>
    <s v="CRM"/>
    <x v="13"/>
    <x v="0"/>
  </r>
  <r>
    <s v="O00158"/>
    <s v="C0111"/>
    <s v="P003"/>
    <s v="R014"/>
    <d v="2025-11-19T00:00:00"/>
    <d v="2026-01-07T00:00:00"/>
    <m/>
    <x v="2"/>
    <n v="1"/>
    <n v="10"/>
    <n v="216000"/>
    <n v="60"/>
    <s v=""/>
    <s v="West"/>
    <x v="1"/>
    <s v="Automation"/>
    <x v="1"/>
    <x v="1"/>
  </r>
  <r>
    <s v="O00159"/>
    <s v="C0400"/>
    <s v="P003"/>
    <s v="R018"/>
    <d v="2025-06-16T00:00:00"/>
    <d v="2025-08-24T00:00:00"/>
    <d v="2025-08-24T00:00:00"/>
    <x v="0"/>
    <n v="2"/>
    <n v="0"/>
    <n v="480000"/>
    <n v="0"/>
    <s v="Feature gap"/>
    <s v="East"/>
    <x v="1"/>
    <s v="Automation"/>
    <x v="18"/>
    <x v="3"/>
  </r>
  <r>
    <s v="O00160"/>
    <s v="C0161"/>
    <s v="P003"/>
    <s v="R008"/>
    <d v="2025-12-30T00:00:00"/>
    <d v="2026-02-25T00:00:00"/>
    <m/>
    <x v="2"/>
    <n v="1"/>
    <n v="15"/>
    <n v="204000"/>
    <n v="60"/>
    <s v=""/>
    <s v="North"/>
    <x v="1"/>
    <s v="Automation"/>
    <x v="0"/>
    <x v="0"/>
  </r>
  <r>
    <s v="O00161"/>
    <s v="C0033"/>
    <s v="P004"/>
    <s v="R015"/>
    <d v="2025-01-28T00:00:00"/>
    <d v="2025-03-26T00:00:00"/>
    <d v="2025-03-26T00:00:00"/>
    <x v="1"/>
    <n v="3"/>
    <n v="0"/>
    <n v="900000"/>
    <n v="100"/>
    <s v=""/>
    <s v="West"/>
    <x v="5"/>
    <s v="Analytics"/>
    <x v="7"/>
    <x v="1"/>
  </r>
  <r>
    <s v="O00162"/>
    <s v="C0065"/>
    <s v="P002"/>
    <s v="R020"/>
    <d v="2025-03-29T00:00:00"/>
    <d v="2025-05-20T00:00:00"/>
    <d v="2025-05-20T00:00:00"/>
    <x v="1"/>
    <n v="1"/>
    <n v="15"/>
    <n v="357000"/>
    <n v="100"/>
    <s v=""/>
    <s v="East"/>
    <x v="0"/>
    <s v="CRM"/>
    <x v="9"/>
    <x v="3"/>
  </r>
  <r>
    <s v="O00163"/>
    <s v="C0269"/>
    <s v="P006"/>
    <s v="R020"/>
    <d v="2025-06-08T00:00:00"/>
    <d v="2025-08-15T00:00:00"/>
    <m/>
    <x v="2"/>
    <n v="3"/>
    <n v="5"/>
    <n v="1026000"/>
    <n v="20"/>
    <s v=""/>
    <s v="East"/>
    <x v="2"/>
    <s v="Security"/>
    <x v="9"/>
    <x v="3"/>
  </r>
  <r>
    <s v="O00164"/>
    <s v="C0353"/>
    <s v="P004"/>
    <s v="R014"/>
    <d v="2025-06-03T00:00:00"/>
    <d v="2025-08-04T00:00:00"/>
    <d v="2025-08-04T00:00:00"/>
    <x v="1"/>
    <n v="1"/>
    <n v="20"/>
    <n v="240000"/>
    <n v="100"/>
    <s v=""/>
    <s v="West"/>
    <x v="5"/>
    <s v="Analytics"/>
    <x v="1"/>
    <x v="1"/>
  </r>
  <r>
    <s v="O00165"/>
    <s v="C0203"/>
    <s v="P002"/>
    <s v="R017"/>
    <d v="2025-11-27T00:00:00"/>
    <d v="2026-01-21T00:00:00"/>
    <m/>
    <x v="2"/>
    <n v="1"/>
    <n v="10"/>
    <n v="378000"/>
    <n v="20"/>
    <s v=""/>
    <s v="East"/>
    <x v="0"/>
    <s v="CRM"/>
    <x v="19"/>
    <x v="3"/>
  </r>
  <r>
    <s v="O00166"/>
    <s v="C0327"/>
    <s v="P004"/>
    <s v="R020"/>
    <d v="2025-08-20T00:00:00"/>
    <d v="2025-10-28T00:00:00"/>
    <d v="2025-10-28T00:00:00"/>
    <x v="1"/>
    <n v="1"/>
    <n v="10"/>
    <n v="270000"/>
    <n v="100"/>
    <s v=""/>
    <s v="East"/>
    <x v="5"/>
    <s v="Analytics"/>
    <x v="9"/>
    <x v="3"/>
  </r>
  <r>
    <s v="O00167"/>
    <s v="C0225"/>
    <s v="P006"/>
    <s v="R016"/>
    <d v="2025-04-30T00:00:00"/>
    <d v="2025-05-08T00:00:00"/>
    <d v="2025-05-08T00:00:00"/>
    <x v="1"/>
    <n v="2"/>
    <n v="5"/>
    <n v="684000"/>
    <n v="100"/>
    <s v=""/>
    <s v="East"/>
    <x v="2"/>
    <s v="Security"/>
    <x v="8"/>
    <x v="3"/>
  </r>
  <r>
    <s v="O00168"/>
    <s v="C0099"/>
    <s v="P003"/>
    <s v="R009"/>
    <d v="2025-01-07T00:00:00"/>
    <d v="2025-02-14T00:00:00"/>
    <d v="2025-02-14T00:00:00"/>
    <x v="1"/>
    <n v="2"/>
    <n v="15"/>
    <n v="408000"/>
    <n v="100"/>
    <s v=""/>
    <s v="North"/>
    <x v="1"/>
    <s v="Automation"/>
    <x v="4"/>
    <x v="0"/>
  </r>
  <r>
    <s v="O00169"/>
    <s v="C0107"/>
    <s v="P004"/>
    <s v="R009"/>
    <d v="2025-12-15T00:00:00"/>
    <d v="2026-02-01T00:00:00"/>
    <m/>
    <x v="2"/>
    <n v="1"/>
    <n v="0"/>
    <n v="300000"/>
    <n v="20"/>
    <s v=""/>
    <s v="North"/>
    <x v="5"/>
    <s v="Analytics"/>
    <x v="4"/>
    <x v="0"/>
  </r>
  <r>
    <s v="O00170"/>
    <s v="C0086"/>
    <s v="P003"/>
    <s v="R015"/>
    <d v="2025-03-03T00:00:00"/>
    <d v="2025-04-10T00:00:00"/>
    <d v="2025-04-10T00:00:00"/>
    <x v="0"/>
    <n v="1"/>
    <n v="0"/>
    <n v="240000"/>
    <n v="0"/>
    <s v="Feature gap"/>
    <s v="West"/>
    <x v="1"/>
    <s v="Automation"/>
    <x v="7"/>
    <x v="1"/>
  </r>
  <r>
    <s v="O00171"/>
    <s v="C0183"/>
    <s v="P006"/>
    <s v="R007"/>
    <d v="2025-12-26T00:00:00"/>
    <d v="2026-01-15T00:00:00"/>
    <m/>
    <x v="2"/>
    <n v="1"/>
    <n v="15"/>
    <n v="306000"/>
    <n v="40"/>
    <s v=""/>
    <s v="North"/>
    <x v="2"/>
    <s v="Security"/>
    <x v="13"/>
    <x v="0"/>
  </r>
  <r>
    <s v="O00172"/>
    <s v="C0461"/>
    <s v="P001"/>
    <s v="R009"/>
    <d v="2025-12-28T00:00:00"/>
    <d v="2026-02-10T00:00:00"/>
    <m/>
    <x v="2"/>
    <n v="3"/>
    <n v="15"/>
    <n v="306000"/>
    <n v="40"/>
    <s v=""/>
    <s v="North"/>
    <x v="4"/>
    <s v="CRM"/>
    <x v="4"/>
    <x v="0"/>
  </r>
  <r>
    <s v="O00173"/>
    <s v="C0080"/>
    <s v="P004"/>
    <s v="R013"/>
    <d v="2025-05-15T00:00:00"/>
    <d v="2025-07-19T00:00:00"/>
    <d v="2025-07-19T00:00:00"/>
    <x v="0"/>
    <n v="1"/>
    <n v="20"/>
    <n v="240000"/>
    <n v="0"/>
    <s v="Competition"/>
    <s v="West"/>
    <x v="5"/>
    <s v="Analytics"/>
    <x v="5"/>
    <x v="1"/>
  </r>
  <r>
    <s v="O00174"/>
    <s v="C0496"/>
    <s v="P005"/>
    <s v="R009"/>
    <d v="2025-04-08T00:00:00"/>
    <d v="2025-06-17T00:00:00"/>
    <d v="2025-06-17T00:00:00"/>
    <x v="0"/>
    <n v="3"/>
    <n v="5"/>
    <n v="513000"/>
    <n v="0"/>
    <s v="Budget"/>
    <s v="North"/>
    <x v="3"/>
    <s v="Service"/>
    <x v="4"/>
    <x v="0"/>
  </r>
  <r>
    <s v="O00175"/>
    <s v="C0293"/>
    <s v="P006"/>
    <s v="R019"/>
    <d v="2025-12-03T00:00:00"/>
    <d v="2026-02-23T00:00:00"/>
    <m/>
    <x v="2"/>
    <n v="1"/>
    <n v="0"/>
    <n v="360000"/>
    <n v="60"/>
    <s v=""/>
    <s v="East"/>
    <x v="2"/>
    <s v="Security"/>
    <x v="10"/>
    <x v="3"/>
  </r>
  <r>
    <s v="O00176"/>
    <s v="C0286"/>
    <s v="P006"/>
    <s v="R014"/>
    <d v="2025-07-08T00:00:00"/>
    <d v="2025-07-22T00:00:00"/>
    <m/>
    <x v="2"/>
    <n v="3"/>
    <n v="10"/>
    <n v="972000"/>
    <n v="20"/>
    <s v=""/>
    <s v="West"/>
    <x v="2"/>
    <s v="Security"/>
    <x v="1"/>
    <x v="1"/>
  </r>
  <r>
    <s v="O00177"/>
    <s v="C0052"/>
    <s v="P006"/>
    <s v="R017"/>
    <d v="2025-09-30T00:00:00"/>
    <d v="2025-10-31T00:00:00"/>
    <d v="2025-10-31T00:00:00"/>
    <x v="0"/>
    <n v="3"/>
    <n v="5"/>
    <n v="1026000"/>
    <n v="0"/>
    <s v="Feature gap"/>
    <s v="East"/>
    <x v="2"/>
    <s v="Security"/>
    <x v="19"/>
    <x v="3"/>
  </r>
  <r>
    <s v="O00178"/>
    <s v="C0227"/>
    <s v="P003"/>
    <s v="R018"/>
    <d v="2025-10-09T00:00:00"/>
    <d v="2025-11-26T00:00:00"/>
    <m/>
    <x v="2"/>
    <n v="1"/>
    <n v="15"/>
    <n v="204000"/>
    <n v="80"/>
    <s v=""/>
    <s v="East"/>
    <x v="1"/>
    <s v="Automation"/>
    <x v="18"/>
    <x v="3"/>
  </r>
  <r>
    <s v="O00179"/>
    <s v="C0001"/>
    <s v="P006"/>
    <s v="R001"/>
    <d v="2025-05-26T00:00:00"/>
    <d v="2025-08-07T00:00:00"/>
    <d v="2025-08-07T00:00:00"/>
    <x v="0"/>
    <n v="1"/>
    <n v="10"/>
    <n v="324000"/>
    <n v="0"/>
    <s v="Budget"/>
    <s v="South"/>
    <x v="2"/>
    <s v="Security"/>
    <x v="6"/>
    <x v="2"/>
  </r>
  <r>
    <s v="O00180"/>
    <s v="C0080"/>
    <s v="P001"/>
    <s v="R011"/>
    <d v="2025-08-24T00:00:00"/>
    <d v="2025-09-17T00:00:00"/>
    <d v="2025-09-17T00:00:00"/>
    <x v="0"/>
    <n v="1"/>
    <n v="10"/>
    <n v="108000"/>
    <n v="0"/>
    <s v="Competition"/>
    <s v="West"/>
    <x v="4"/>
    <s v="CRM"/>
    <x v="12"/>
    <x v="1"/>
  </r>
  <r>
    <s v="O00181"/>
    <s v="C0250"/>
    <s v="P006"/>
    <s v="R005"/>
    <d v="2025-02-18T00:00:00"/>
    <d v="2025-04-04T00:00:00"/>
    <d v="2025-04-04T00:00:00"/>
    <x v="0"/>
    <n v="1"/>
    <n v="20"/>
    <n v="288000"/>
    <n v="0"/>
    <s v="Price"/>
    <s v="South"/>
    <x v="2"/>
    <s v="Security"/>
    <x v="11"/>
    <x v="2"/>
  </r>
  <r>
    <s v="O00182"/>
    <s v="C0383"/>
    <s v="P006"/>
    <s v="R015"/>
    <d v="2025-01-06T00:00:00"/>
    <d v="2025-03-02T00:00:00"/>
    <d v="2025-03-02T00:00:00"/>
    <x v="0"/>
    <n v="1"/>
    <n v="10"/>
    <n v="324000"/>
    <n v="0"/>
    <s v="Budget"/>
    <s v="West"/>
    <x v="2"/>
    <s v="Security"/>
    <x v="7"/>
    <x v="1"/>
  </r>
  <r>
    <s v="O00183"/>
    <s v="C0386"/>
    <s v="P005"/>
    <s v="R020"/>
    <d v="2025-09-16T00:00:00"/>
    <d v="2025-11-17T00:00:00"/>
    <d v="2025-11-17T00:00:00"/>
    <x v="1"/>
    <n v="1"/>
    <n v="15"/>
    <n v="153000"/>
    <n v="100"/>
    <s v=""/>
    <s v="East"/>
    <x v="3"/>
    <s v="Service"/>
    <x v="9"/>
    <x v="3"/>
  </r>
  <r>
    <s v="O00184"/>
    <s v="C0205"/>
    <s v="P005"/>
    <s v="R009"/>
    <d v="2025-12-24T00:00:00"/>
    <d v="2026-01-17T00:00:00"/>
    <m/>
    <x v="2"/>
    <n v="2"/>
    <n v="20"/>
    <n v="288000"/>
    <n v="40"/>
    <s v=""/>
    <s v="North"/>
    <x v="3"/>
    <s v="Service"/>
    <x v="4"/>
    <x v="0"/>
  </r>
  <r>
    <s v="O00185"/>
    <s v="C0179"/>
    <s v="P002"/>
    <s v="R013"/>
    <d v="2025-06-26T00:00:00"/>
    <d v="2025-07-06T00:00:00"/>
    <d v="2025-07-06T00:00:00"/>
    <x v="0"/>
    <n v="1"/>
    <n v="5"/>
    <n v="399000"/>
    <n v="0"/>
    <s v="Feature gap"/>
    <s v="West"/>
    <x v="0"/>
    <s v="CRM"/>
    <x v="5"/>
    <x v="1"/>
  </r>
  <r>
    <s v="O00186"/>
    <s v="C0475"/>
    <s v="P002"/>
    <s v="R013"/>
    <d v="2025-01-08T00:00:00"/>
    <d v="2025-01-29T00:00:00"/>
    <d v="2025-01-29T00:00:00"/>
    <x v="1"/>
    <n v="1"/>
    <n v="15"/>
    <n v="357000"/>
    <n v="100"/>
    <s v=""/>
    <s v="West"/>
    <x v="0"/>
    <s v="CRM"/>
    <x v="5"/>
    <x v="1"/>
  </r>
  <r>
    <s v="O00187"/>
    <s v="C0280"/>
    <s v="P005"/>
    <s v="R018"/>
    <d v="2025-10-08T00:00:00"/>
    <d v="2025-11-02T00:00:00"/>
    <d v="2025-11-02T00:00:00"/>
    <x v="0"/>
    <n v="1"/>
    <n v="15"/>
    <n v="153000"/>
    <n v="0"/>
    <s v="Budget"/>
    <s v="East"/>
    <x v="3"/>
    <s v="Service"/>
    <x v="18"/>
    <x v="3"/>
  </r>
  <r>
    <s v="O00188"/>
    <s v="C0484"/>
    <s v="P001"/>
    <s v="R001"/>
    <d v="2025-07-18T00:00:00"/>
    <d v="2025-09-09T00:00:00"/>
    <d v="2025-09-09T00:00:00"/>
    <x v="0"/>
    <n v="1"/>
    <n v="0"/>
    <n v="120000"/>
    <n v="0"/>
    <s v="No decision"/>
    <s v="South"/>
    <x v="4"/>
    <s v="CRM"/>
    <x v="6"/>
    <x v="2"/>
  </r>
  <r>
    <s v="O00189"/>
    <s v="C0096"/>
    <s v="P002"/>
    <s v="R020"/>
    <d v="2025-08-23T00:00:00"/>
    <d v="2025-09-01T00:00:00"/>
    <d v="2025-09-01T00:00:00"/>
    <x v="0"/>
    <n v="1"/>
    <n v="5"/>
    <n v="399000"/>
    <n v="0"/>
    <s v="Budget"/>
    <s v="East"/>
    <x v="0"/>
    <s v="CRM"/>
    <x v="9"/>
    <x v="3"/>
  </r>
  <r>
    <s v="O00190"/>
    <s v="C0484"/>
    <s v="P005"/>
    <s v="R003"/>
    <d v="2025-04-26T00:00:00"/>
    <d v="2025-06-22T00:00:00"/>
    <d v="2025-06-22T00:00:00"/>
    <x v="1"/>
    <n v="1"/>
    <n v="0"/>
    <n v="180000"/>
    <n v="100"/>
    <s v=""/>
    <s v="South"/>
    <x v="3"/>
    <s v="Service"/>
    <x v="15"/>
    <x v="2"/>
  </r>
  <r>
    <s v="O00191"/>
    <s v="C0278"/>
    <s v="P002"/>
    <s v="R012"/>
    <d v="2025-12-01T00:00:00"/>
    <d v="2026-02-15T00:00:00"/>
    <m/>
    <x v="2"/>
    <n v="1"/>
    <n v="5"/>
    <n v="399000"/>
    <n v="60"/>
    <s v=""/>
    <s v="West"/>
    <x v="0"/>
    <s v="CRM"/>
    <x v="14"/>
    <x v="1"/>
  </r>
  <r>
    <s v="O00192"/>
    <s v="C0273"/>
    <s v="P006"/>
    <s v="R006"/>
    <d v="2025-04-05T00:00:00"/>
    <d v="2025-04-30T00:00:00"/>
    <d v="2025-04-30T00:00:00"/>
    <x v="1"/>
    <n v="1"/>
    <n v="10"/>
    <n v="324000"/>
    <n v="100"/>
    <s v=""/>
    <s v="North"/>
    <x v="2"/>
    <s v="Security"/>
    <x v="2"/>
    <x v="0"/>
  </r>
  <r>
    <s v="O00193"/>
    <s v="C0137"/>
    <s v="P005"/>
    <s v="R005"/>
    <d v="2025-11-10T00:00:00"/>
    <d v="2025-12-16T00:00:00"/>
    <d v="2025-12-16T00:00:00"/>
    <x v="1"/>
    <n v="1"/>
    <n v="0"/>
    <n v="180000"/>
    <n v="100"/>
    <s v=""/>
    <s v="South"/>
    <x v="3"/>
    <s v="Service"/>
    <x v="11"/>
    <x v="2"/>
  </r>
  <r>
    <s v="O00194"/>
    <s v="C0437"/>
    <s v="P004"/>
    <s v="R014"/>
    <d v="2025-08-31T00:00:00"/>
    <d v="2025-10-01T00:00:00"/>
    <d v="2025-10-01T00:00:00"/>
    <x v="1"/>
    <n v="1"/>
    <n v="0"/>
    <n v="300000"/>
    <n v="100"/>
    <s v=""/>
    <s v="West"/>
    <x v="5"/>
    <s v="Analytics"/>
    <x v="1"/>
    <x v="1"/>
  </r>
  <r>
    <s v="O00195"/>
    <s v="C0091"/>
    <s v="P004"/>
    <s v="R020"/>
    <d v="2025-09-08T00:00:00"/>
    <d v="2025-11-12T00:00:00"/>
    <d v="2025-11-12T00:00:00"/>
    <x v="0"/>
    <n v="1"/>
    <n v="15"/>
    <n v="255000"/>
    <n v="0"/>
    <s v="Price"/>
    <s v="East"/>
    <x v="5"/>
    <s v="Analytics"/>
    <x v="9"/>
    <x v="3"/>
  </r>
  <r>
    <s v="O00196"/>
    <s v="C0199"/>
    <s v="P005"/>
    <s v="R001"/>
    <d v="2025-04-08T00:00:00"/>
    <d v="2025-06-04T00:00:00"/>
    <d v="2025-06-04T00:00:00"/>
    <x v="1"/>
    <n v="1"/>
    <n v="10"/>
    <n v="162000"/>
    <n v="100"/>
    <s v=""/>
    <s v="South"/>
    <x v="3"/>
    <s v="Service"/>
    <x v="6"/>
    <x v="2"/>
  </r>
  <r>
    <s v="O00197"/>
    <s v="C0370"/>
    <s v="P005"/>
    <s v="R001"/>
    <d v="2025-04-03T00:00:00"/>
    <d v="2025-06-18T00:00:00"/>
    <m/>
    <x v="2"/>
    <n v="1"/>
    <n v="15"/>
    <n v="153000"/>
    <n v="80"/>
    <s v=""/>
    <s v="South"/>
    <x v="3"/>
    <s v="Service"/>
    <x v="6"/>
    <x v="2"/>
  </r>
  <r>
    <s v="O00198"/>
    <s v="C0333"/>
    <s v="P006"/>
    <s v="R012"/>
    <d v="2025-03-05T00:00:00"/>
    <d v="2025-05-08T00:00:00"/>
    <d v="2025-05-08T00:00:00"/>
    <x v="1"/>
    <n v="1"/>
    <n v="0"/>
    <n v="360000"/>
    <n v="100"/>
    <s v=""/>
    <s v="West"/>
    <x v="2"/>
    <s v="Security"/>
    <x v="14"/>
    <x v="1"/>
  </r>
  <r>
    <s v="O00199"/>
    <s v="C0092"/>
    <s v="P006"/>
    <s v="R006"/>
    <d v="2025-08-03T00:00:00"/>
    <d v="2025-10-06T00:00:00"/>
    <d v="2025-10-06T00:00:00"/>
    <x v="1"/>
    <n v="1"/>
    <n v="5"/>
    <n v="342000"/>
    <n v="100"/>
    <s v=""/>
    <s v="North"/>
    <x v="2"/>
    <s v="Security"/>
    <x v="2"/>
    <x v="0"/>
  </r>
  <r>
    <s v="O00200"/>
    <s v="C0414"/>
    <s v="P001"/>
    <s v="R020"/>
    <d v="2025-09-10T00:00:00"/>
    <d v="2025-12-01T00:00:00"/>
    <d v="2025-12-01T00:00:00"/>
    <x v="1"/>
    <n v="2"/>
    <n v="15"/>
    <n v="204000"/>
    <n v="100"/>
    <s v=""/>
    <s v="East"/>
    <x v="4"/>
    <s v="CRM"/>
    <x v="9"/>
    <x v="3"/>
  </r>
  <r>
    <s v="O00201"/>
    <s v="C0335"/>
    <s v="P003"/>
    <s v="R006"/>
    <d v="2025-03-16T00:00:00"/>
    <d v="2025-06-04T00:00:00"/>
    <m/>
    <x v="2"/>
    <n v="3"/>
    <n v="10"/>
    <n v="648000"/>
    <n v="60"/>
    <s v=""/>
    <s v="North"/>
    <x v="1"/>
    <s v="Automation"/>
    <x v="2"/>
    <x v="0"/>
  </r>
  <r>
    <s v="O00202"/>
    <s v="C0146"/>
    <s v="P005"/>
    <s v="R010"/>
    <d v="2025-10-21T00:00:00"/>
    <d v="2025-11-19T00:00:00"/>
    <m/>
    <x v="2"/>
    <n v="2"/>
    <n v="20"/>
    <n v="288000"/>
    <n v="60"/>
    <s v=""/>
    <s v="North"/>
    <x v="3"/>
    <s v="Service"/>
    <x v="16"/>
    <x v="0"/>
  </r>
  <r>
    <s v="O00203"/>
    <s v="C0389"/>
    <s v="P004"/>
    <s v="R005"/>
    <d v="2025-02-03T00:00:00"/>
    <d v="2025-02-27T00:00:00"/>
    <d v="2025-02-27T00:00:00"/>
    <x v="1"/>
    <n v="1"/>
    <n v="10"/>
    <n v="270000"/>
    <n v="100"/>
    <s v=""/>
    <s v="South"/>
    <x v="5"/>
    <s v="Analytics"/>
    <x v="11"/>
    <x v="2"/>
  </r>
  <r>
    <s v="O00204"/>
    <s v="C0148"/>
    <s v="P004"/>
    <s v="R020"/>
    <d v="2025-06-12T00:00:00"/>
    <d v="2025-08-31T00:00:00"/>
    <d v="2025-08-31T00:00:00"/>
    <x v="1"/>
    <n v="3"/>
    <n v="10"/>
    <n v="810000"/>
    <n v="100"/>
    <s v=""/>
    <s v="East"/>
    <x v="5"/>
    <s v="Analytics"/>
    <x v="9"/>
    <x v="3"/>
  </r>
  <r>
    <s v="O00205"/>
    <s v="C0435"/>
    <s v="P002"/>
    <s v="R015"/>
    <d v="2025-08-01T00:00:00"/>
    <d v="2025-09-19T00:00:00"/>
    <d v="2025-09-19T00:00:00"/>
    <x v="0"/>
    <n v="1"/>
    <n v="20"/>
    <n v="336000"/>
    <n v="0"/>
    <s v="Price"/>
    <s v="West"/>
    <x v="0"/>
    <s v="CRM"/>
    <x v="7"/>
    <x v="1"/>
  </r>
  <r>
    <s v="O00206"/>
    <s v="C0393"/>
    <s v="P001"/>
    <s v="R001"/>
    <d v="2025-12-18T00:00:00"/>
    <d v="2026-02-13T00:00:00"/>
    <m/>
    <x v="2"/>
    <n v="3"/>
    <n v="20"/>
    <n v="288000"/>
    <n v="20"/>
    <s v=""/>
    <s v="South"/>
    <x v="4"/>
    <s v="CRM"/>
    <x v="6"/>
    <x v="2"/>
  </r>
  <r>
    <s v="O00207"/>
    <s v="C0070"/>
    <s v="P004"/>
    <s v="R007"/>
    <d v="2025-11-18T00:00:00"/>
    <d v="2026-02-01T00:00:00"/>
    <m/>
    <x v="2"/>
    <n v="1"/>
    <n v="15"/>
    <n v="255000"/>
    <n v="80"/>
    <s v=""/>
    <s v="North"/>
    <x v="5"/>
    <s v="Analytics"/>
    <x v="13"/>
    <x v="0"/>
  </r>
  <r>
    <s v="O00208"/>
    <s v="C0275"/>
    <s v="P001"/>
    <s v="R012"/>
    <d v="2025-10-23T00:00:00"/>
    <d v="2025-12-14T00:00:00"/>
    <d v="2025-12-14T00:00:00"/>
    <x v="0"/>
    <n v="1"/>
    <n v="5"/>
    <n v="114000"/>
    <n v="0"/>
    <s v="Price"/>
    <s v="West"/>
    <x v="4"/>
    <s v="CRM"/>
    <x v="14"/>
    <x v="1"/>
  </r>
  <r>
    <s v="O00209"/>
    <s v="C0440"/>
    <s v="P003"/>
    <s v="R011"/>
    <d v="2025-05-20T00:00:00"/>
    <d v="2025-07-29T00:00:00"/>
    <d v="2025-07-29T00:00:00"/>
    <x v="0"/>
    <n v="1"/>
    <n v="10"/>
    <n v="216000"/>
    <n v="0"/>
    <s v="Budget"/>
    <s v="West"/>
    <x v="1"/>
    <s v="Automation"/>
    <x v="12"/>
    <x v="1"/>
  </r>
  <r>
    <s v="O00210"/>
    <s v="C0260"/>
    <s v="P001"/>
    <s v="R009"/>
    <d v="2025-09-14T00:00:00"/>
    <d v="2025-11-03T00:00:00"/>
    <d v="2025-11-03T00:00:00"/>
    <x v="1"/>
    <n v="2"/>
    <n v="20"/>
    <n v="192000"/>
    <n v="100"/>
    <s v=""/>
    <s v="North"/>
    <x v="4"/>
    <s v="CRM"/>
    <x v="4"/>
    <x v="0"/>
  </r>
  <r>
    <s v="O00211"/>
    <s v="C0003"/>
    <s v="P003"/>
    <s v="R001"/>
    <d v="2025-12-18T00:00:00"/>
    <d v="2026-01-05T00:00:00"/>
    <m/>
    <x v="2"/>
    <n v="1"/>
    <n v="15"/>
    <n v="204000"/>
    <n v="20"/>
    <s v=""/>
    <s v="South"/>
    <x v="1"/>
    <s v="Automation"/>
    <x v="6"/>
    <x v="2"/>
  </r>
  <r>
    <s v="O00212"/>
    <s v="C0457"/>
    <s v="P002"/>
    <s v="R018"/>
    <d v="2025-04-13T00:00:00"/>
    <d v="2025-05-25T00:00:00"/>
    <d v="2025-05-25T00:00:00"/>
    <x v="1"/>
    <n v="3"/>
    <n v="10"/>
    <n v="1134000"/>
    <n v="100"/>
    <s v=""/>
    <s v="East"/>
    <x v="0"/>
    <s v="CRM"/>
    <x v="18"/>
    <x v="3"/>
  </r>
  <r>
    <s v="O00213"/>
    <s v="C0491"/>
    <s v="P005"/>
    <s v="R020"/>
    <d v="2025-09-21T00:00:00"/>
    <d v="2025-12-06T00:00:00"/>
    <d v="2025-12-06T00:00:00"/>
    <x v="1"/>
    <n v="1"/>
    <n v="20"/>
    <n v="144000"/>
    <n v="100"/>
    <s v=""/>
    <s v="East"/>
    <x v="3"/>
    <s v="Service"/>
    <x v="9"/>
    <x v="3"/>
  </r>
  <r>
    <s v="O00214"/>
    <s v="C0067"/>
    <s v="P001"/>
    <s v="R019"/>
    <d v="2025-12-12T00:00:00"/>
    <d v="2026-02-06T00:00:00"/>
    <m/>
    <x v="2"/>
    <n v="1"/>
    <n v="0"/>
    <n v="120000"/>
    <n v="80"/>
    <s v=""/>
    <s v="East"/>
    <x v="4"/>
    <s v="CRM"/>
    <x v="10"/>
    <x v="3"/>
  </r>
  <r>
    <s v="O00215"/>
    <s v="C0417"/>
    <s v="P006"/>
    <s v="R014"/>
    <d v="2025-02-19T00:00:00"/>
    <d v="2025-04-26T00:00:00"/>
    <d v="2025-04-26T00:00:00"/>
    <x v="0"/>
    <n v="2"/>
    <n v="5"/>
    <n v="684000"/>
    <n v="0"/>
    <s v="Competition"/>
    <s v="West"/>
    <x v="2"/>
    <s v="Security"/>
    <x v="1"/>
    <x v="1"/>
  </r>
  <r>
    <s v="O00216"/>
    <s v="C0246"/>
    <s v="P004"/>
    <s v="R002"/>
    <d v="2025-05-25T00:00:00"/>
    <d v="2025-08-17T00:00:00"/>
    <m/>
    <x v="2"/>
    <n v="3"/>
    <n v="5"/>
    <n v="855000"/>
    <n v="20"/>
    <s v=""/>
    <s v="South"/>
    <x v="5"/>
    <s v="Analytics"/>
    <x v="17"/>
    <x v="2"/>
  </r>
  <r>
    <s v="O00217"/>
    <s v="C0082"/>
    <s v="P004"/>
    <s v="R014"/>
    <d v="2025-02-03T00:00:00"/>
    <d v="2025-04-26T00:00:00"/>
    <d v="2025-04-26T00:00:00"/>
    <x v="1"/>
    <n v="2"/>
    <n v="15"/>
    <n v="510000"/>
    <n v="100"/>
    <s v=""/>
    <s v="West"/>
    <x v="5"/>
    <s v="Analytics"/>
    <x v="1"/>
    <x v="1"/>
  </r>
  <r>
    <s v="O00218"/>
    <s v="C0167"/>
    <s v="P005"/>
    <s v="R011"/>
    <d v="2025-08-16T00:00:00"/>
    <d v="2025-10-13T00:00:00"/>
    <d v="2025-10-13T00:00:00"/>
    <x v="1"/>
    <n v="1"/>
    <n v="20"/>
    <n v="144000"/>
    <n v="100"/>
    <s v=""/>
    <s v="West"/>
    <x v="3"/>
    <s v="Service"/>
    <x v="12"/>
    <x v="1"/>
  </r>
  <r>
    <s v="O00219"/>
    <s v="C0273"/>
    <s v="P003"/>
    <s v="R009"/>
    <d v="2025-11-12T00:00:00"/>
    <d v="2025-12-14T00:00:00"/>
    <d v="2025-12-14T00:00:00"/>
    <x v="0"/>
    <n v="1"/>
    <n v="10"/>
    <n v="216000"/>
    <n v="0"/>
    <s v="Feature gap"/>
    <s v="North"/>
    <x v="1"/>
    <s v="Automation"/>
    <x v="4"/>
    <x v="0"/>
  </r>
  <r>
    <s v="O00220"/>
    <s v="C0496"/>
    <s v="P001"/>
    <s v="R006"/>
    <d v="2025-12-27T00:00:00"/>
    <d v="2026-02-17T00:00:00"/>
    <m/>
    <x v="2"/>
    <n v="1"/>
    <n v="10"/>
    <n v="108000"/>
    <n v="20"/>
    <s v=""/>
    <s v="North"/>
    <x v="4"/>
    <s v="CRM"/>
    <x v="2"/>
    <x v="0"/>
  </r>
  <r>
    <s v="O00221"/>
    <s v="C0109"/>
    <s v="P006"/>
    <s v="R012"/>
    <d v="2025-09-01T00:00:00"/>
    <d v="2025-11-18T00:00:00"/>
    <d v="2025-11-18T00:00:00"/>
    <x v="1"/>
    <n v="2"/>
    <n v="10"/>
    <n v="648000"/>
    <n v="100"/>
    <s v=""/>
    <s v="West"/>
    <x v="2"/>
    <s v="Security"/>
    <x v="14"/>
    <x v="1"/>
  </r>
  <r>
    <s v="O00222"/>
    <s v="C0454"/>
    <s v="P004"/>
    <s v="R004"/>
    <d v="2025-03-11T00:00:00"/>
    <d v="2025-05-10T00:00:00"/>
    <d v="2025-05-10T00:00:00"/>
    <x v="1"/>
    <n v="2"/>
    <n v="20"/>
    <n v="480000"/>
    <n v="100"/>
    <s v=""/>
    <s v="South"/>
    <x v="5"/>
    <s v="Analytics"/>
    <x v="3"/>
    <x v="2"/>
  </r>
  <r>
    <s v="O00223"/>
    <s v="C0218"/>
    <s v="P005"/>
    <s v="R016"/>
    <d v="2025-10-23T00:00:00"/>
    <d v="2025-11-29T00:00:00"/>
    <d v="2025-11-29T00:00:00"/>
    <x v="0"/>
    <n v="3"/>
    <n v="10"/>
    <n v="486000"/>
    <n v="0"/>
    <s v="Feature gap"/>
    <s v="East"/>
    <x v="3"/>
    <s v="Service"/>
    <x v="8"/>
    <x v="3"/>
  </r>
  <r>
    <s v="O00224"/>
    <s v="C0375"/>
    <s v="P005"/>
    <s v="R008"/>
    <d v="2025-08-27T00:00:00"/>
    <d v="2025-11-08T00:00:00"/>
    <d v="2025-11-08T00:00:00"/>
    <x v="0"/>
    <n v="3"/>
    <n v="0"/>
    <n v="540000"/>
    <n v="0"/>
    <s v="No decision"/>
    <s v="North"/>
    <x v="3"/>
    <s v="Service"/>
    <x v="0"/>
    <x v="0"/>
  </r>
  <r>
    <s v="O00225"/>
    <s v="C0399"/>
    <s v="P001"/>
    <s v="R019"/>
    <d v="2025-08-21T00:00:00"/>
    <d v="2025-10-27T00:00:00"/>
    <d v="2025-10-27T00:00:00"/>
    <x v="0"/>
    <n v="3"/>
    <n v="10"/>
    <n v="324000"/>
    <n v="0"/>
    <s v="Budget"/>
    <s v="East"/>
    <x v="4"/>
    <s v="CRM"/>
    <x v="10"/>
    <x v="3"/>
  </r>
  <r>
    <s v="O00226"/>
    <s v="C0337"/>
    <s v="P003"/>
    <s v="R005"/>
    <d v="2025-01-14T00:00:00"/>
    <d v="2025-01-31T00:00:00"/>
    <d v="2025-01-31T00:00:00"/>
    <x v="1"/>
    <n v="1"/>
    <n v="20"/>
    <n v="192000"/>
    <n v="100"/>
    <s v=""/>
    <s v="South"/>
    <x v="1"/>
    <s v="Automation"/>
    <x v="11"/>
    <x v="2"/>
  </r>
  <r>
    <s v="O00227"/>
    <s v="C0078"/>
    <s v="P006"/>
    <s v="R004"/>
    <d v="2025-07-09T00:00:00"/>
    <d v="2025-08-18T00:00:00"/>
    <m/>
    <x v="2"/>
    <n v="1"/>
    <n v="15"/>
    <n v="306000"/>
    <n v="40"/>
    <s v=""/>
    <s v="South"/>
    <x v="2"/>
    <s v="Security"/>
    <x v="3"/>
    <x v="2"/>
  </r>
  <r>
    <s v="O00228"/>
    <s v="C0386"/>
    <s v="P004"/>
    <s v="R019"/>
    <d v="2025-05-02T00:00:00"/>
    <d v="2025-05-30T00:00:00"/>
    <d v="2025-05-30T00:00:00"/>
    <x v="0"/>
    <n v="1"/>
    <n v="20"/>
    <n v="240000"/>
    <n v="0"/>
    <s v="Price"/>
    <s v="East"/>
    <x v="5"/>
    <s v="Analytics"/>
    <x v="10"/>
    <x v="3"/>
  </r>
  <r>
    <s v="O00229"/>
    <s v="C0195"/>
    <s v="P006"/>
    <s v="R014"/>
    <d v="2025-08-31T00:00:00"/>
    <d v="2025-11-13T00:00:00"/>
    <d v="2025-11-13T00:00:00"/>
    <x v="1"/>
    <n v="2"/>
    <n v="0"/>
    <n v="720000"/>
    <n v="100"/>
    <s v=""/>
    <s v="West"/>
    <x v="2"/>
    <s v="Security"/>
    <x v="1"/>
    <x v="1"/>
  </r>
  <r>
    <s v="O00230"/>
    <s v="C0336"/>
    <s v="P005"/>
    <s v="R009"/>
    <d v="2025-08-25T00:00:00"/>
    <d v="2025-10-01T00:00:00"/>
    <m/>
    <x v="2"/>
    <n v="3"/>
    <n v="5"/>
    <n v="513000"/>
    <n v="60"/>
    <s v=""/>
    <s v="North"/>
    <x v="3"/>
    <s v="Service"/>
    <x v="4"/>
    <x v="0"/>
  </r>
  <r>
    <s v="O00231"/>
    <s v="C0054"/>
    <s v="P006"/>
    <s v="R009"/>
    <d v="2025-06-29T00:00:00"/>
    <d v="2025-08-11T00:00:00"/>
    <d v="2025-08-11T00:00:00"/>
    <x v="1"/>
    <n v="1"/>
    <n v="5"/>
    <n v="342000"/>
    <n v="100"/>
    <s v=""/>
    <s v="North"/>
    <x v="2"/>
    <s v="Security"/>
    <x v="4"/>
    <x v="0"/>
  </r>
  <r>
    <s v="O00232"/>
    <s v="C0327"/>
    <s v="P001"/>
    <s v="R016"/>
    <d v="2025-02-14T00:00:00"/>
    <d v="2025-03-09T00:00:00"/>
    <m/>
    <x v="2"/>
    <n v="2"/>
    <n v="20"/>
    <n v="192000"/>
    <n v="40"/>
    <s v=""/>
    <s v="East"/>
    <x v="4"/>
    <s v="CRM"/>
    <x v="8"/>
    <x v="3"/>
  </r>
  <r>
    <s v="O00233"/>
    <s v="C0480"/>
    <s v="P001"/>
    <s v="R014"/>
    <d v="2025-05-22T00:00:00"/>
    <d v="2025-07-09T00:00:00"/>
    <m/>
    <x v="2"/>
    <n v="1"/>
    <n v="5"/>
    <n v="114000"/>
    <n v="20"/>
    <s v=""/>
    <s v="West"/>
    <x v="4"/>
    <s v="CRM"/>
    <x v="1"/>
    <x v="1"/>
  </r>
  <r>
    <s v="O00234"/>
    <s v="C0313"/>
    <s v="P004"/>
    <s v="R002"/>
    <d v="2025-11-27T00:00:00"/>
    <d v="2025-12-22T00:00:00"/>
    <d v="2025-12-22T00:00:00"/>
    <x v="0"/>
    <n v="3"/>
    <n v="15"/>
    <n v="765000"/>
    <n v="0"/>
    <s v="Feature gap"/>
    <s v="South"/>
    <x v="5"/>
    <s v="Analytics"/>
    <x v="17"/>
    <x v="2"/>
  </r>
  <r>
    <s v="O00235"/>
    <s v="C0293"/>
    <s v="P006"/>
    <s v="R018"/>
    <d v="2025-08-17T00:00:00"/>
    <d v="2025-10-26T00:00:00"/>
    <d v="2025-10-26T00:00:00"/>
    <x v="1"/>
    <n v="1"/>
    <n v="0"/>
    <n v="360000"/>
    <n v="100"/>
    <s v=""/>
    <s v="East"/>
    <x v="2"/>
    <s v="Security"/>
    <x v="18"/>
    <x v="3"/>
  </r>
  <r>
    <s v="O00236"/>
    <s v="C0116"/>
    <s v="P001"/>
    <s v="R009"/>
    <d v="2025-12-19T00:00:00"/>
    <d v="2026-02-25T00:00:00"/>
    <m/>
    <x v="2"/>
    <n v="1"/>
    <n v="20"/>
    <n v="96000"/>
    <n v="60"/>
    <s v=""/>
    <s v="North"/>
    <x v="4"/>
    <s v="CRM"/>
    <x v="4"/>
    <x v="0"/>
  </r>
  <r>
    <s v="O00237"/>
    <s v="C0104"/>
    <s v="P002"/>
    <s v="R015"/>
    <d v="2025-01-21T00:00:00"/>
    <d v="2025-02-21T00:00:00"/>
    <m/>
    <x v="2"/>
    <n v="1"/>
    <n v="15"/>
    <n v="357000"/>
    <n v="20"/>
    <s v=""/>
    <s v="West"/>
    <x v="0"/>
    <s v="CRM"/>
    <x v="7"/>
    <x v="1"/>
  </r>
  <r>
    <s v="O00238"/>
    <s v="C0033"/>
    <s v="P005"/>
    <s v="R013"/>
    <d v="2025-09-13T00:00:00"/>
    <d v="2025-11-16T00:00:00"/>
    <d v="2025-11-16T00:00:00"/>
    <x v="0"/>
    <n v="1"/>
    <n v="0"/>
    <n v="180000"/>
    <n v="0"/>
    <s v="Price"/>
    <s v="West"/>
    <x v="3"/>
    <s v="Service"/>
    <x v="5"/>
    <x v="1"/>
  </r>
  <r>
    <s v="O00239"/>
    <s v="C0073"/>
    <s v="P004"/>
    <s v="R006"/>
    <d v="2025-08-30T00:00:00"/>
    <d v="2025-09-11T00:00:00"/>
    <m/>
    <x v="2"/>
    <n v="1"/>
    <n v="5"/>
    <n v="285000"/>
    <n v="20"/>
    <s v=""/>
    <s v="North"/>
    <x v="5"/>
    <s v="Analytics"/>
    <x v="2"/>
    <x v="0"/>
  </r>
  <r>
    <s v="O00240"/>
    <s v="C0033"/>
    <s v="P001"/>
    <s v="R011"/>
    <d v="2025-09-12T00:00:00"/>
    <d v="2025-12-06T00:00:00"/>
    <d v="2025-12-06T00:00:00"/>
    <x v="0"/>
    <n v="1"/>
    <n v="0"/>
    <n v="120000"/>
    <n v="0"/>
    <s v="No decision"/>
    <s v="West"/>
    <x v="4"/>
    <s v="CRM"/>
    <x v="12"/>
    <x v="1"/>
  </r>
  <r>
    <s v="O00241"/>
    <s v="C0033"/>
    <s v="P001"/>
    <s v="R013"/>
    <d v="2025-03-14T00:00:00"/>
    <d v="2025-04-11T00:00:00"/>
    <m/>
    <x v="2"/>
    <n v="1"/>
    <n v="20"/>
    <n v="96000"/>
    <n v="40"/>
    <s v=""/>
    <s v="West"/>
    <x v="4"/>
    <s v="CRM"/>
    <x v="5"/>
    <x v="1"/>
  </r>
  <r>
    <s v="O00242"/>
    <s v="C0475"/>
    <s v="P001"/>
    <s v="R015"/>
    <d v="2025-05-26T00:00:00"/>
    <d v="2025-08-01T00:00:00"/>
    <d v="2025-08-01T00:00:00"/>
    <x v="0"/>
    <n v="1"/>
    <n v="5"/>
    <n v="114000"/>
    <n v="0"/>
    <s v="Budget"/>
    <s v="West"/>
    <x v="4"/>
    <s v="CRM"/>
    <x v="7"/>
    <x v="1"/>
  </r>
  <r>
    <s v="O00243"/>
    <s v="C0099"/>
    <s v="P001"/>
    <s v="R010"/>
    <d v="2025-02-18T00:00:00"/>
    <d v="2025-05-05T00:00:00"/>
    <d v="2025-05-05T00:00:00"/>
    <x v="0"/>
    <n v="3"/>
    <n v="5"/>
    <n v="342000"/>
    <n v="0"/>
    <s v="Competition"/>
    <s v="North"/>
    <x v="4"/>
    <s v="CRM"/>
    <x v="16"/>
    <x v="0"/>
  </r>
  <r>
    <s v="O00244"/>
    <s v="C0187"/>
    <s v="P003"/>
    <s v="R007"/>
    <d v="2025-08-11T00:00:00"/>
    <d v="2025-11-04T00:00:00"/>
    <d v="2025-11-04T00:00:00"/>
    <x v="1"/>
    <n v="2"/>
    <n v="0"/>
    <n v="480000"/>
    <n v="100"/>
    <s v=""/>
    <s v="North"/>
    <x v="1"/>
    <s v="Automation"/>
    <x v="13"/>
    <x v="0"/>
  </r>
  <r>
    <s v="O00245"/>
    <s v="C0060"/>
    <s v="P001"/>
    <s v="R017"/>
    <d v="2025-08-16T00:00:00"/>
    <d v="2025-10-03T00:00:00"/>
    <d v="2025-10-03T00:00:00"/>
    <x v="0"/>
    <n v="2"/>
    <n v="5"/>
    <n v="228000"/>
    <n v="0"/>
    <s v="Competition"/>
    <s v="East"/>
    <x v="4"/>
    <s v="CRM"/>
    <x v="19"/>
    <x v="3"/>
  </r>
  <r>
    <s v="O00246"/>
    <s v="C0193"/>
    <s v="P002"/>
    <s v="R001"/>
    <d v="2025-08-30T00:00:00"/>
    <d v="2025-09-12T00:00:00"/>
    <d v="2025-09-12T00:00:00"/>
    <x v="0"/>
    <n v="2"/>
    <n v="5"/>
    <n v="798000"/>
    <n v="0"/>
    <s v="Feature gap"/>
    <s v="South"/>
    <x v="0"/>
    <s v="CRM"/>
    <x v="6"/>
    <x v="2"/>
  </r>
  <r>
    <s v="O00247"/>
    <s v="C0144"/>
    <s v="P002"/>
    <s v="R016"/>
    <d v="2025-08-27T00:00:00"/>
    <d v="2025-09-24T00:00:00"/>
    <d v="2025-09-24T00:00:00"/>
    <x v="0"/>
    <n v="1"/>
    <n v="5"/>
    <n v="399000"/>
    <n v="0"/>
    <s v="Feature gap"/>
    <s v="East"/>
    <x v="0"/>
    <s v="CRM"/>
    <x v="8"/>
    <x v="3"/>
  </r>
  <r>
    <s v="O00248"/>
    <s v="C0251"/>
    <s v="P002"/>
    <s v="R020"/>
    <d v="2025-08-31T00:00:00"/>
    <d v="2025-10-12T00:00:00"/>
    <m/>
    <x v="2"/>
    <n v="1"/>
    <n v="15"/>
    <n v="357000"/>
    <n v="40"/>
    <s v=""/>
    <s v="East"/>
    <x v="0"/>
    <s v="CRM"/>
    <x v="9"/>
    <x v="3"/>
  </r>
  <r>
    <s v="O00249"/>
    <s v="C0023"/>
    <s v="P001"/>
    <s v="R014"/>
    <d v="2025-09-16T00:00:00"/>
    <d v="2025-11-29T00:00:00"/>
    <d v="2025-11-29T00:00:00"/>
    <x v="1"/>
    <n v="2"/>
    <n v="15"/>
    <n v="204000"/>
    <n v="100"/>
    <s v=""/>
    <s v="West"/>
    <x v="4"/>
    <s v="CRM"/>
    <x v="1"/>
    <x v="1"/>
  </r>
  <r>
    <s v="O00250"/>
    <s v="C0343"/>
    <s v="P003"/>
    <s v="R012"/>
    <d v="2025-12-27T00:00:00"/>
    <d v="2026-03-17T00:00:00"/>
    <m/>
    <x v="2"/>
    <n v="3"/>
    <n v="0"/>
    <n v="720000"/>
    <n v="80"/>
    <s v=""/>
    <s v="West"/>
    <x v="1"/>
    <s v="Automation"/>
    <x v="14"/>
    <x v="1"/>
  </r>
  <r>
    <s v="O00251"/>
    <s v="C0358"/>
    <s v="P005"/>
    <s v="R020"/>
    <d v="2025-10-22T00:00:00"/>
    <d v="2025-11-08T00:00:00"/>
    <m/>
    <x v="2"/>
    <n v="3"/>
    <n v="10"/>
    <n v="486000"/>
    <n v="20"/>
    <s v=""/>
    <s v="East"/>
    <x v="3"/>
    <s v="Service"/>
    <x v="9"/>
    <x v="3"/>
  </r>
  <r>
    <s v="O00252"/>
    <s v="C0035"/>
    <s v="P005"/>
    <s v="R012"/>
    <d v="2025-03-12T00:00:00"/>
    <d v="2025-04-18T00:00:00"/>
    <m/>
    <x v="2"/>
    <n v="3"/>
    <n v="0"/>
    <n v="540000"/>
    <n v="80"/>
    <s v=""/>
    <s v="West"/>
    <x v="3"/>
    <s v="Service"/>
    <x v="14"/>
    <x v="1"/>
  </r>
  <r>
    <s v="O00253"/>
    <s v="C0033"/>
    <s v="P003"/>
    <s v="R013"/>
    <d v="2025-08-20T00:00:00"/>
    <d v="2025-11-02T00:00:00"/>
    <d v="2025-11-02T00:00:00"/>
    <x v="0"/>
    <n v="1"/>
    <n v="15"/>
    <n v="204000"/>
    <n v="0"/>
    <s v="No decision"/>
    <s v="West"/>
    <x v="1"/>
    <s v="Automation"/>
    <x v="5"/>
    <x v="1"/>
  </r>
  <r>
    <s v="O00254"/>
    <s v="C0058"/>
    <s v="P006"/>
    <s v="R002"/>
    <d v="2025-09-12T00:00:00"/>
    <d v="2025-10-15T00:00:00"/>
    <d v="2025-10-15T00:00:00"/>
    <x v="1"/>
    <n v="3"/>
    <n v="0"/>
    <n v="1080000"/>
    <n v="100"/>
    <s v=""/>
    <s v="South"/>
    <x v="2"/>
    <s v="Security"/>
    <x v="17"/>
    <x v="2"/>
  </r>
  <r>
    <s v="O00255"/>
    <s v="C0297"/>
    <s v="P003"/>
    <s v="R003"/>
    <d v="2025-09-06T00:00:00"/>
    <d v="2025-11-19T00:00:00"/>
    <d v="2025-11-19T00:00:00"/>
    <x v="0"/>
    <n v="3"/>
    <n v="15"/>
    <n v="612000"/>
    <n v="0"/>
    <s v="Budget"/>
    <s v="South"/>
    <x v="1"/>
    <s v="Automation"/>
    <x v="15"/>
    <x v="2"/>
  </r>
  <r>
    <s v="O00256"/>
    <s v="C0181"/>
    <s v="P003"/>
    <s v="R014"/>
    <d v="2025-03-27T00:00:00"/>
    <d v="2025-04-23T00:00:00"/>
    <d v="2025-04-23T00:00:00"/>
    <x v="0"/>
    <n v="3"/>
    <n v="10"/>
    <n v="648000"/>
    <n v="0"/>
    <s v="Competition"/>
    <s v="West"/>
    <x v="1"/>
    <s v="Automation"/>
    <x v="1"/>
    <x v="1"/>
  </r>
  <r>
    <s v="O00257"/>
    <s v="C0190"/>
    <s v="P002"/>
    <s v="R017"/>
    <d v="2025-10-15T00:00:00"/>
    <d v="2025-12-01T00:00:00"/>
    <d v="2025-12-01T00:00:00"/>
    <x v="0"/>
    <n v="1"/>
    <n v="5"/>
    <n v="399000"/>
    <n v="0"/>
    <s v="No decision"/>
    <s v="East"/>
    <x v="0"/>
    <s v="CRM"/>
    <x v="19"/>
    <x v="3"/>
  </r>
  <r>
    <s v="O00258"/>
    <s v="C0080"/>
    <s v="P001"/>
    <s v="R015"/>
    <d v="2025-09-17T00:00:00"/>
    <d v="2025-10-31T00:00:00"/>
    <d v="2025-10-31T00:00:00"/>
    <x v="1"/>
    <n v="2"/>
    <n v="10"/>
    <n v="216000"/>
    <n v="100"/>
    <s v=""/>
    <s v="West"/>
    <x v="4"/>
    <s v="CRM"/>
    <x v="7"/>
    <x v="1"/>
  </r>
  <r>
    <s v="O00259"/>
    <s v="C0183"/>
    <s v="P001"/>
    <s v="R008"/>
    <d v="2025-01-29T00:00:00"/>
    <d v="2025-03-01T00:00:00"/>
    <d v="2025-03-01T00:00:00"/>
    <x v="0"/>
    <n v="3"/>
    <n v="20"/>
    <n v="288000"/>
    <n v="0"/>
    <s v="Budget"/>
    <s v="North"/>
    <x v="4"/>
    <s v="CRM"/>
    <x v="0"/>
    <x v="0"/>
  </r>
  <r>
    <s v="O00260"/>
    <s v="C0163"/>
    <s v="P005"/>
    <s v="R020"/>
    <d v="2025-09-19T00:00:00"/>
    <d v="2025-11-11T00:00:00"/>
    <m/>
    <x v="2"/>
    <n v="2"/>
    <n v="5"/>
    <n v="342000"/>
    <n v="80"/>
    <s v=""/>
    <s v="East"/>
    <x v="3"/>
    <s v="Service"/>
    <x v="9"/>
    <x v="3"/>
  </r>
  <r>
    <s v="O00261"/>
    <s v="C0455"/>
    <s v="P004"/>
    <s v="R019"/>
    <d v="2025-08-15T00:00:00"/>
    <d v="2025-10-15T00:00:00"/>
    <d v="2025-10-15T00:00:00"/>
    <x v="1"/>
    <n v="2"/>
    <n v="5"/>
    <n v="570000"/>
    <n v="100"/>
    <s v=""/>
    <s v="East"/>
    <x v="5"/>
    <s v="Analytics"/>
    <x v="10"/>
    <x v="3"/>
  </r>
  <r>
    <s v="O00262"/>
    <s v="C0046"/>
    <s v="P001"/>
    <s v="R014"/>
    <d v="2025-11-24T00:00:00"/>
    <d v="2026-01-23T00:00:00"/>
    <m/>
    <x v="2"/>
    <n v="1"/>
    <n v="20"/>
    <n v="96000"/>
    <n v="80"/>
    <s v=""/>
    <s v="West"/>
    <x v="4"/>
    <s v="CRM"/>
    <x v="1"/>
    <x v="1"/>
  </r>
  <r>
    <s v="O00263"/>
    <s v="C0156"/>
    <s v="P004"/>
    <s v="R020"/>
    <d v="2025-08-26T00:00:00"/>
    <d v="2025-09-02T00:00:00"/>
    <d v="2025-09-02T00:00:00"/>
    <x v="1"/>
    <n v="1"/>
    <n v="10"/>
    <n v="270000"/>
    <n v="100"/>
    <s v=""/>
    <s v="East"/>
    <x v="5"/>
    <s v="Analytics"/>
    <x v="9"/>
    <x v="3"/>
  </r>
  <r>
    <s v="O00264"/>
    <s v="C0290"/>
    <s v="P004"/>
    <s v="R008"/>
    <d v="2025-11-18T00:00:00"/>
    <d v="2025-12-10T00:00:00"/>
    <d v="2025-12-10T00:00:00"/>
    <x v="0"/>
    <n v="1"/>
    <n v="20"/>
    <n v="240000"/>
    <n v="0"/>
    <s v="Budget"/>
    <s v="North"/>
    <x v="5"/>
    <s v="Analytics"/>
    <x v="0"/>
    <x v="0"/>
  </r>
  <r>
    <s v="O00265"/>
    <s v="C0028"/>
    <s v="P003"/>
    <s v="R018"/>
    <d v="2025-08-03T00:00:00"/>
    <d v="2025-09-24T00:00:00"/>
    <d v="2025-09-24T00:00:00"/>
    <x v="0"/>
    <n v="1"/>
    <n v="10"/>
    <n v="216000"/>
    <n v="0"/>
    <s v="Feature gap"/>
    <s v="East"/>
    <x v="1"/>
    <s v="Automation"/>
    <x v="18"/>
    <x v="3"/>
  </r>
  <r>
    <s v="O00266"/>
    <s v="C0386"/>
    <s v="P002"/>
    <s v="R020"/>
    <d v="2025-06-15T00:00:00"/>
    <d v="2025-07-30T00:00:00"/>
    <m/>
    <x v="2"/>
    <n v="1"/>
    <n v="10"/>
    <n v="378000"/>
    <n v="20"/>
    <s v=""/>
    <s v="East"/>
    <x v="0"/>
    <s v="CRM"/>
    <x v="9"/>
    <x v="3"/>
  </r>
  <r>
    <s v="O00267"/>
    <s v="C0080"/>
    <s v="P005"/>
    <s v="R012"/>
    <d v="2025-04-07T00:00:00"/>
    <d v="2025-06-24T00:00:00"/>
    <m/>
    <x v="2"/>
    <n v="3"/>
    <n v="20"/>
    <n v="432000"/>
    <n v="20"/>
    <s v=""/>
    <s v="West"/>
    <x v="3"/>
    <s v="Service"/>
    <x v="14"/>
    <x v="1"/>
  </r>
  <r>
    <s v="O00268"/>
    <s v="C0089"/>
    <s v="P006"/>
    <s v="R003"/>
    <d v="2025-01-15T00:00:00"/>
    <d v="2025-02-06T00:00:00"/>
    <d v="2025-02-06T00:00:00"/>
    <x v="0"/>
    <n v="1"/>
    <n v="5"/>
    <n v="342000"/>
    <n v="0"/>
    <s v="Competition"/>
    <s v="South"/>
    <x v="2"/>
    <s v="Security"/>
    <x v="15"/>
    <x v="2"/>
  </r>
  <r>
    <s v="O00269"/>
    <s v="C0101"/>
    <s v="P001"/>
    <s v="R006"/>
    <d v="2025-12-04T00:00:00"/>
    <d v="2025-12-18T00:00:00"/>
    <d v="2025-12-18T00:00:00"/>
    <x v="0"/>
    <n v="2"/>
    <n v="0"/>
    <n v="240000"/>
    <n v="0"/>
    <s v="Price"/>
    <s v="North"/>
    <x v="4"/>
    <s v="CRM"/>
    <x v="2"/>
    <x v="0"/>
  </r>
  <r>
    <s v="O00270"/>
    <s v="C0106"/>
    <s v="P005"/>
    <s v="R012"/>
    <d v="2025-04-05T00:00:00"/>
    <d v="2025-04-15T00:00:00"/>
    <d v="2025-04-15T00:00:00"/>
    <x v="0"/>
    <n v="1"/>
    <n v="5"/>
    <n v="171000"/>
    <n v="0"/>
    <s v="Feature gap"/>
    <s v="West"/>
    <x v="3"/>
    <s v="Service"/>
    <x v="14"/>
    <x v="1"/>
  </r>
  <r>
    <s v="O00271"/>
    <s v="C0112"/>
    <s v="P006"/>
    <s v="R007"/>
    <d v="2025-05-25T00:00:00"/>
    <d v="2025-08-08T00:00:00"/>
    <d v="2025-08-08T00:00:00"/>
    <x v="1"/>
    <n v="1"/>
    <n v="0"/>
    <n v="360000"/>
    <n v="100"/>
    <s v=""/>
    <s v="North"/>
    <x v="2"/>
    <s v="Security"/>
    <x v="13"/>
    <x v="0"/>
  </r>
  <r>
    <s v="O00272"/>
    <s v="C0064"/>
    <s v="P004"/>
    <s v="R016"/>
    <d v="2025-09-24T00:00:00"/>
    <d v="2025-11-16T00:00:00"/>
    <d v="2025-11-16T00:00:00"/>
    <x v="1"/>
    <n v="1"/>
    <n v="20"/>
    <n v="240000"/>
    <n v="100"/>
    <s v=""/>
    <s v="East"/>
    <x v="5"/>
    <s v="Analytics"/>
    <x v="8"/>
    <x v="3"/>
  </r>
  <r>
    <s v="O00273"/>
    <s v="C0308"/>
    <s v="P006"/>
    <s v="R003"/>
    <d v="2025-12-18T00:00:00"/>
    <d v="2026-02-19T00:00:00"/>
    <m/>
    <x v="2"/>
    <n v="1"/>
    <n v="20"/>
    <n v="288000"/>
    <n v="80"/>
    <s v=""/>
    <s v="South"/>
    <x v="2"/>
    <s v="Security"/>
    <x v="15"/>
    <x v="2"/>
  </r>
  <r>
    <s v="O00274"/>
    <s v="C0054"/>
    <s v="P004"/>
    <s v="R009"/>
    <d v="2025-09-25T00:00:00"/>
    <d v="2025-10-12T00:00:00"/>
    <d v="2025-10-12T00:00:00"/>
    <x v="0"/>
    <n v="1"/>
    <n v="5"/>
    <n v="285000"/>
    <n v="0"/>
    <s v="No decision"/>
    <s v="North"/>
    <x v="5"/>
    <s v="Analytics"/>
    <x v="4"/>
    <x v="0"/>
  </r>
  <r>
    <s v="O00275"/>
    <s v="C0305"/>
    <s v="P004"/>
    <s v="R001"/>
    <d v="2025-04-30T00:00:00"/>
    <d v="2025-07-09T00:00:00"/>
    <m/>
    <x v="2"/>
    <n v="1"/>
    <n v="20"/>
    <n v="240000"/>
    <n v="60"/>
    <s v=""/>
    <s v="South"/>
    <x v="5"/>
    <s v="Analytics"/>
    <x v="6"/>
    <x v="2"/>
  </r>
  <r>
    <s v="O00276"/>
    <s v="C0322"/>
    <s v="P002"/>
    <s v="R011"/>
    <d v="2025-02-20T00:00:00"/>
    <d v="2025-03-07T00:00:00"/>
    <d v="2025-03-07T00:00:00"/>
    <x v="0"/>
    <n v="2"/>
    <n v="0"/>
    <n v="840000"/>
    <n v="0"/>
    <s v="No decision"/>
    <s v="West"/>
    <x v="0"/>
    <s v="CRM"/>
    <x v="12"/>
    <x v="1"/>
  </r>
  <r>
    <s v="O00277"/>
    <s v="C0259"/>
    <s v="P003"/>
    <s v="R010"/>
    <d v="2025-06-25T00:00:00"/>
    <d v="2025-09-09T00:00:00"/>
    <m/>
    <x v="2"/>
    <n v="3"/>
    <n v="0"/>
    <n v="720000"/>
    <n v="20"/>
    <s v=""/>
    <s v="North"/>
    <x v="1"/>
    <s v="Automation"/>
    <x v="16"/>
    <x v="0"/>
  </r>
  <r>
    <s v="O00278"/>
    <s v="C0221"/>
    <s v="P002"/>
    <s v="R003"/>
    <d v="2025-07-19T00:00:00"/>
    <d v="2025-08-09T00:00:00"/>
    <d v="2025-08-09T00:00:00"/>
    <x v="0"/>
    <n v="3"/>
    <n v="15"/>
    <n v="1071000"/>
    <n v="0"/>
    <s v="No decision"/>
    <s v="South"/>
    <x v="0"/>
    <s v="CRM"/>
    <x v="15"/>
    <x v="2"/>
  </r>
  <r>
    <s v="O00279"/>
    <s v="C0181"/>
    <s v="P003"/>
    <s v="R013"/>
    <d v="2025-02-01T00:00:00"/>
    <d v="2025-02-13T00:00:00"/>
    <d v="2025-02-13T00:00:00"/>
    <x v="1"/>
    <n v="1"/>
    <n v="10"/>
    <n v="216000"/>
    <n v="100"/>
    <s v=""/>
    <s v="West"/>
    <x v="1"/>
    <s v="Automation"/>
    <x v="5"/>
    <x v="1"/>
  </r>
  <r>
    <s v="O00280"/>
    <s v="C0183"/>
    <s v="P004"/>
    <s v="R008"/>
    <d v="2025-01-29T00:00:00"/>
    <d v="2025-03-08T00:00:00"/>
    <d v="2025-03-08T00:00:00"/>
    <x v="0"/>
    <n v="1"/>
    <n v="10"/>
    <n v="270000"/>
    <n v="0"/>
    <s v="Price"/>
    <s v="North"/>
    <x v="5"/>
    <s v="Analytics"/>
    <x v="0"/>
    <x v="0"/>
  </r>
  <r>
    <s v="O00281"/>
    <s v="C0462"/>
    <s v="P004"/>
    <s v="R008"/>
    <d v="2025-01-11T00:00:00"/>
    <d v="2025-04-03T00:00:00"/>
    <d v="2025-04-03T00:00:00"/>
    <x v="0"/>
    <n v="1"/>
    <n v="10"/>
    <n v="270000"/>
    <n v="0"/>
    <s v="Feature gap"/>
    <s v="North"/>
    <x v="5"/>
    <s v="Analytics"/>
    <x v="0"/>
    <x v="0"/>
  </r>
  <r>
    <s v="O00282"/>
    <s v="C0497"/>
    <s v="P004"/>
    <s v="R012"/>
    <d v="2025-09-12T00:00:00"/>
    <d v="2025-09-28T00:00:00"/>
    <d v="2025-09-28T00:00:00"/>
    <x v="0"/>
    <n v="3"/>
    <n v="5"/>
    <n v="855000"/>
    <n v="0"/>
    <s v="Budget"/>
    <s v="West"/>
    <x v="5"/>
    <s v="Analytics"/>
    <x v="14"/>
    <x v="1"/>
  </r>
  <r>
    <s v="O00283"/>
    <s v="C0491"/>
    <s v="P001"/>
    <s v="R020"/>
    <d v="2025-02-18T00:00:00"/>
    <d v="2025-03-31T00:00:00"/>
    <d v="2025-03-31T00:00:00"/>
    <x v="0"/>
    <n v="1"/>
    <n v="20"/>
    <n v="96000"/>
    <n v="0"/>
    <s v="No decision"/>
    <s v="East"/>
    <x v="4"/>
    <s v="CRM"/>
    <x v="9"/>
    <x v="3"/>
  </r>
  <r>
    <s v="O00284"/>
    <s v="C0103"/>
    <s v="P004"/>
    <s v="R009"/>
    <d v="2025-05-09T00:00:00"/>
    <d v="2025-07-13T00:00:00"/>
    <d v="2025-07-13T00:00:00"/>
    <x v="0"/>
    <n v="3"/>
    <n v="5"/>
    <n v="855000"/>
    <n v="0"/>
    <s v="Feature gap"/>
    <s v="North"/>
    <x v="5"/>
    <s v="Analytics"/>
    <x v="4"/>
    <x v="0"/>
  </r>
  <r>
    <s v="O00285"/>
    <s v="C0321"/>
    <s v="P001"/>
    <s v="R020"/>
    <d v="2025-04-13T00:00:00"/>
    <d v="2025-05-08T00:00:00"/>
    <d v="2025-05-08T00:00:00"/>
    <x v="0"/>
    <n v="1"/>
    <n v="5"/>
    <n v="114000"/>
    <n v="0"/>
    <s v="No decision"/>
    <s v="East"/>
    <x v="4"/>
    <s v="CRM"/>
    <x v="9"/>
    <x v="3"/>
  </r>
  <r>
    <s v="O00286"/>
    <s v="C0077"/>
    <s v="P002"/>
    <s v="R011"/>
    <d v="2025-05-06T00:00:00"/>
    <d v="2025-06-21T00:00:00"/>
    <m/>
    <x v="2"/>
    <n v="2"/>
    <n v="15"/>
    <n v="714000"/>
    <n v="80"/>
    <s v=""/>
    <s v="West"/>
    <x v="0"/>
    <s v="CRM"/>
    <x v="12"/>
    <x v="1"/>
  </r>
  <r>
    <s v="O00287"/>
    <s v="C0249"/>
    <s v="P001"/>
    <s v="R011"/>
    <d v="2025-02-12T00:00:00"/>
    <d v="2025-03-29T00:00:00"/>
    <d v="2025-03-29T00:00:00"/>
    <x v="1"/>
    <n v="1"/>
    <n v="15"/>
    <n v="102000"/>
    <n v="100"/>
    <s v=""/>
    <s v="West"/>
    <x v="4"/>
    <s v="CRM"/>
    <x v="12"/>
    <x v="1"/>
  </r>
  <r>
    <s v="O00288"/>
    <s v="C0257"/>
    <s v="P001"/>
    <s v="R015"/>
    <d v="2025-12-07T00:00:00"/>
    <d v="2026-02-19T00:00:00"/>
    <m/>
    <x v="2"/>
    <n v="1"/>
    <n v="15"/>
    <n v="102000"/>
    <n v="20"/>
    <s v=""/>
    <s v="West"/>
    <x v="4"/>
    <s v="CRM"/>
    <x v="7"/>
    <x v="1"/>
  </r>
  <r>
    <s v="O00289"/>
    <s v="C0112"/>
    <s v="P002"/>
    <s v="R006"/>
    <d v="2025-03-31T00:00:00"/>
    <d v="2025-05-12T00:00:00"/>
    <d v="2025-05-12T00:00:00"/>
    <x v="1"/>
    <n v="2"/>
    <n v="15"/>
    <n v="714000"/>
    <n v="100"/>
    <s v=""/>
    <s v="North"/>
    <x v="0"/>
    <s v="CRM"/>
    <x v="2"/>
    <x v="0"/>
  </r>
  <r>
    <s v="O00290"/>
    <s v="C0217"/>
    <s v="P004"/>
    <s v="R017"/>
    <d v="2025-05-23T00:00:00"/>
    <d v="2025-06-17T00:00:00"/>
    <m/>
    <x v="2"/>
    <n v="1"/>
    <n v="15"/>
    <n v="255000"/>
    <n v="60"/>
    <s v=""/>
    <s v="East"/>
    <x v="5"/>
    <s v="Analytics"/>
    <x v="19"/>
    <x v="3"/>
  </r>
  <r>
    <s v="O00291"/>
    <s v="C0328"/>
    <s v="P006"/>
    <s v="R013"/>
    <d v="2025-12-17T00:00:00"/>
    <d v="2026-01-23T00:00:00"/>
    <m/>
    <x v="2"/>
    <n v="2"/>
    <n v="15"/>
    <n v="612000"/>
    <n v="20"/>
    <s v=""/>
    <s v="West"/>
    <x v="2"/>
    <s v="Security"/>
    <x v="5"/>
    <x v="1"/>
  </r>
  <r>
    <s v="O00292"/>
    <s v="C0444"/>
    <s v="P001"/>
    <s v="R019"/>
    <d v="2025-08-30T00:00:00"/>
    <d v="2025-10-18T00:00:00"/>
    <d v="2025-10-18T00:00:00"/>
    <x v="0"/>
    <n v="2"/>
    <n v="0"/>
    <n v="240000"/>
    <n v="0"/>
    <s v="Budget"/>
    <s v="East"/>
    <x v="4"/>
    <s v="CRM"/>
    <x v="10"/>
    <x v="3"/>
  </r>
  <r>
    <s v="O00293"/>
    <s v="C0168"/>
    <s v="P004"/>
    <s v="R016"/>
    <d v="2025-01-27T00:00:00"/>
    <d v="2025-02-26T00:00:00"/>
    <d v="2025-02-26T00:00:00"/>
    <x v="0"/>
    <n v="2"/>
    <n v="5"/>
    <n v="570000"/>
    <n v="0"/>
    <s v="No decision"/>
    <s v="East"/>
    <x v="5"/>
    <s v="Analytics"/>
    <x v="8"/>
    <x v="3"/>
  </r>
  <r>
    <s v="O00294"/>
    <s v="C0366"/>
    <s v="P006"/>
    <s v="R017"/>
    <d v="2025-11-01T00:00:00"/>
    <d v="2025-12-18T00:00:00"/>
    <d v="2025-12-18T00:00:00"/>
    <x v="0"/>
    <n v="2"/>
    <n v="15"/>
    <n v="612000"/>
    <n v="0"/>
    <s v="Budget"/>
    <s v="East"/>
    <x v="2"/>
    <s v="Security"/>
    <x v="19"/>
    <x v="3"/>
  </r>
  <r>
    <s v="O00295"/>
    <s v="C0202"/>
    <s v="P004"/>
    <s v="R005"/>
    <d v="2025-04-25T00:00:00"/>
    <d v="2025-05-04T00:00:00"/>
    <d v="2025-05-04T00:00:00"/>
    <x v="1"/>
    <n v="3"/>
    <n v="20"/>
    <n v="720000"/>
    <n v="100"/>
    <s v=""/>
    <s v="South"/>
    <x v="5"/>
    <s v="Analytics"/>
    <x v="11"/>
    <x v="2"/>
  </r>
  <r>
    <s v="O00296"/>
    <s v="C0317"/>
    <s v="P004"/>
    <s v="R015"/>
    <d v="2025-05-14T00:00:00"/>
    <d v="2025-07-07T00:00:00"/>
    <d v="2025-07-07T00:00:00"/>
    <x v="1"/>
    <n v="1"/>
    <n v="20"/>
    <n v="240000"/>
    <n v="100"/>
    <s v=""/>
    <s v="West"/>
    <x v="5"/>
    <s v="Analytics"/>
    <x v="7"/>
    <x v="1"/>
  </r>
  <r>
    <s v="O00297"/>
    <s v="C0254"/>
    <s v="P001"/>
    <s v="R002"/>
    <d v="2025-04-15T00:00:00"/>
    <d v="2025-05-26T00:00:00"/>
    <d v="2025-05-26T00:00:00"/>
    <x v="1"/>
    <n v="1"/>
    <n v="15"/>
    <n v="102000"/>
    <n v="100"/>
    <s v=""/>
    <s v="South"/>
    <x v="4"/>
    <s v="CRM"/>
    <x v="17"/>
    <x v="2"/>
  </r>
  <r>
    <s v="O00298"/>
    <s v="C0210"/>
    <s v="P002"/>
    <s v="R011"/>
    <d v="2025-05-29T00:00:00"/>
    <d v="2025-07-05T00:00:00"/>
    <m/>
    <x v="2"/>
    <n v="3"/>
    <n v="15"/>
    <n v="1071000"/>
    <n v="40"/>
    <s v=""/>
    <s v="West"/>
    <x v="0"/>
    <s v="CRM"/>
    <x v="12"/>
    <x v="1"/>
  </r>
  <r>
    <s v="O00299"/>
    <s v="C0217"/>
    <s v="P006"/>
    <s v="R020"/>
    <d v="2025-05-12T00:00:00"/>
    <d v="2025-07-29T00:00:00"/>
    <d v="2025-07-29T00:00:00"/>
    <x v="1"/>
    <n v="1"/>
    <n v="0"/>
    <n v="360000"/>
    <n v="100"/>
    <s v=""/>
    <s v="East"/>
    <x v="2"/>
    <s v="Security"/>
    <x v="9"/>
    <x v="3"/>
  </r>
  <r>
    <s v="O00300"/>
    <s v="C0196"/>
    <s v="P003"/>
    <s v="R019"/>
    <d v="2025-12-10T00:00:00"/>
    <d v="2026-02-26T00:00:00"/>
    <m/>
    <x v="2"/>
    <n v="1"/>
    <n v="20"/>
    <n v="192000"/>
    <n v="40"/>
    <s v=""/>
    <s v="East"/>
    <x v="1"/>
    <s v="Automation"/>
    <x v="10"/>
    <x v="3"/>
  </r>
  <r>
    <s v="O00301"/>
    <s v="C0134"/>
    <s v="P001"/>
    <s v="R013"/>
    <d v="2025-01-23T00:00:00"/>
    <d v="2025-04-03T00:00:00"/>
    <m/>
    <x v="2"/>
    <n v="1"/>
    <n v="10"/>
    <n v="108000"/>
    <n v="80"/>
    <s v=""/>
    <s v="West"/>
    <x v="4"/>
    <s v="CRM"/>
    <x v="5"/>
    <x v="1"/>
  </r>
  <r>
    <s v="O00302"/>
    <s v="C0437"/>
    <s v="P006"/>
    <s v="R014"/>
    <d v="2025-01-28T00:00:00"/>
    <d v="2025-02-10T00:00:00"/>
    <d v="2025-02-10T00:00:00"/>
    <x v="1"/>
    <n v="1"/>
    <n v="5"/>
    <n v="342000"/>
    <n v="100"/>
    <s v=""/>
    <s v="West"/>
    <x v="2"/>
    <s v="Security"/>
    <x v="1"/>
    <x v="1"/>
  </r>
  <r>
    <s v="O00303"/>
    <s v="C0434"/>
    <s v="P006"/>
    <s v="R007"/>
    <d v="2025-03-05T00:00:00"/>
    <d v="2025-04-07T00:00:00"/>
    <d v="2025-04-07T00:00:00"/>
    <x v="1"/>
    <n v="1"/>
    <n v="5"/>
    <n v="342000"/>
    <n v="100"/>
    <s v=""/>
    <s v="North"/>
    <x v="2"/>
    <s v="Security"/>
    <x v="13"/>
    <x v="0"/>
  </r>
  <r>
    <s v="O00304"/>
    <s v="C0014"/>
    <s v="P003"/>
    <s v="R001"/>
    <d v="2025-07-21T00:00:00"/>
    <d v="2025-08-10T00:00:00"/>
    <d v="2025-08-10T00:00:00"/>
    <x v="0"/>
    <n v="1"/>
    <n v="5"/>
    <n v="228000"/>
    <n v="0"/>
    <s v="Price"/>
    <s v="South"/>
    <x v="1"/>
    <s v="Automation"/>
    <x v="6"/>
    <x v="2"/>
  </r>
  <r>
    <s v="O00305"/>
    <s v="C0109"/>
    <s v="P001"/>
    <s v="R013"/>
    <d v="2025-06-15T00:00:00"/>
    <d v="2025-07-01T00:00:00"/>
    <m/>
    <x v="2"/>
    <n v="3"/>
    <n v="20"/>
    <n v="288000"/>
    <n v="80"/>
    <s v=""/>
    <s v="West"/>
    <x v="4"/>
    <s v="CRM"/>
    <x v="5"/>
    <x v="1"/>
  </r>
  <r>
    <s v="O00306"/>
    <s v="C0011"/>
    <s v="P002"/>
    <s v="R017"/>
    <d v="2025-07-18T00:00:00"/>
    <d v="2025-08-30T00:00:00"/>
    <m/>
    <x v="2"/>
    <n v="1"/>
    <n v="0"/>
    <n v="420000"/>
    <n v="60"/>
    <s v=""/>
    <s v="East"/>
    <x v="0"/>
    <s v="CRM"/>
    <x v="19"/>
    <x v="3"/>
  </r>
  <r>
    <s v="O00307"/>
    <s v="C0138"/>
    <s v="P005"/>
    <s v="R010"/>
    <d v="2025-08-05T00:00:00"/>
    <d v="2025-10-05T00:00:00"/>
    <d v="2025-10-05T00:00:00"/>
    <x v="1"/>
    <n v="1"/>
    <n v="20"/>
    <n v="144000"/>
    <n v="100"/>
    <s v=""/>
    <s v="North"/>
    <x v="3"/>
    <s v="Service"/>
    <x v="16"/>
    <x v="0"/>
  </r>
  <r>
    <s v="O00308"/>
    <s v="C0149"/>
    <s v="P004"/>
    <s v="R014"/>
    <d v="2025-02-10T00:00:00"/>
    <d v="2025-04-19T00:00:00"/>
    <m/>
    <x v="2"/>
    <n v="1"/>
    <n v="5"/>
    <n v="285000"/>
    <n v="40"/>
    <s v=""/>
    <s v="West"/>
    <x v="5"/>
    <s v="Analytics"/>
    <x v="1"/>
    <x v="1"/>
  </r>
  <r>
    <s v="O00309"/>
    <s v="C0212"/>
    <s v="P001"/>
    <s v="R019"/>
    <d v="2025-12-05T00:00:00"/>
    <d v="2026-01-13T00:00:00"/>
    <m/>
    <x v="2"/>
    <n v="1"/>
    <n v="10"/>
    <n v="108000"/>
    <n v="20"/>
    <s v=""/>
    <s v="East"/>
    <x v="4"/>
    <s v="CRM"/>
    <x v="10"/>
    <x v="3"/>
  </r>
  <r>
    <s v="O00310"/>
    <s v="C0024"/>
    <s v="P001"/>
    <s v="R014"/>
    <d v="2025-12-27T00:00:00"/>
    <d v="2026-03-19T00:00:00"/>
    <m/>
    <x v="2"/>
    <n v="2"/>
    <n v="15"/>
    <n v="204000"/>
    <n v="60"/>
    <s v=""/>
    <s v="West"/>
    <x v="4"/>
    <s v="CRM"/>
    <x v="1"/>
    <x v="1"/>
  </r>
  <r>
    <s v="O00311"/>
    <s v="C0060"/>
    <s v="P001"/>
    <s v="R017"/>
    <d v="2025-12-02T00:00:00"/>
    <d v="2026-01-29T00:00:00"/>
    <m/>
    <x v="2"/>
    <n v="3"/>
    <n v="15"/>
    <n v="306000"/>
    <n v="60"/>
    <s v=""/>
    <s v="East"/>
    <x v="4"/>
    <s v="CRM"/>
    <x v="19"/>
    <x v="3"/>
  </r>
  <r>
    <s v="O00312"/>
    <s v="C0497"/>
    <s v="P002"/>
    <s v="R011"/>
    <d v="2025-04-18T00:00:00"/>
    <d v="2025-05-13T00:00:00"/>
    <d v="2025-05-13T00:00:00"/>
    <x v="0"/>
    <n v="1"/>
    <n v="15"/>
    <n v="357000"/>
    <n v="0"/>
    <s v="Price"/>
    <s v="West"/>
    <x v="0"/>
    <s v="CRM"/>
    <x v="12"/>
    <x v="1"/>
  </r>
  <r>
    <s v="O00313"/>
    <s v="C0242"/>
    <s v="P001"/>
    <s v="R004"/>
    <d v="2025-10-27T00:00:00"/>
    <d v="2025-12-10T00:00:00"/>
    <d v="2025-12-10T00:00:00"/>
    <x v="1"/>
    <n v="3"/>
    <n v="15"/>
    <n v="306000"/>
    <n v="100"/>
    <s v=""/>
    <s v="South"/>
    <x v="4"/>
    <s v="CRM"/>
    <x v="3"/>
    <x v="2"/>
  </r>
  <r>
    <s v="O00314"/>
    <s v="C0250"/>
    <s v="P004"/>
    <s v="R004"/>
    <d v="2025-09-20T00:00:00"/>
    <d v="2025-12-14T00:00:00"/>
    <d v="2025-12-14T00:00:00"/>
    <x v="0"/>
    <n v="2"/>
    <n v="5"/>
    <n v="570000"/>
    <n v="0"/>
    <s v="Feature gap"/>
    <s v="South"/>
    <x v="5"/>
    <s v="Analytics"/>
    <x v="3"/>
    <x v="2"/>
  </r>
  <r>
    <s v="O00315"/>
    <s v="C0458"/>
    <s v="P006"/>
    <s v="R004"/>
    <d v="2025-08-31T00:00:00"/>
    <d v="2025-10-21T00:00:00"/>
    <d v="2025-10-21T00:00:00"/>
    <x v="1"/>
    <n v="2"/>
    <n v="15"/>
    <n v="612000"/>
    <n v="100"/>
    <s v=""/>
    <s v="South"/>
    <x v="2"/>
    <s v="Security"/>
    <x v="3"/>
    <x v="2"/>
  </r>
  <r>
    <s v="O00316"/>
    <s v="C0466"/>
    <s v="P006"/>
    <s v="R018"/>
    <d v="2025-11-05T00:00:00"/>
    <d v="2026-01-10T00:00:00"/>
    <m/>
    <x v="2"/>
    <n v="1"/>
    <n v="10"/>
    <n v="324000"/>
    <n v="80"/>
    <s v=""/>
    <s v="East"/>
    <x v="2"/>
    <s v="Security"/>
    <x v="18"/>
    <x v="3"/>
  </r>
  <r>
    <s v="O00317"/>
    <s v="C0103"/>
    <s v="P002"/>
    <s v="R010"/>
    <d v="2025-09-09T00:00:00"/>
    <d v="2025-11-08T00:00:00"/>
    <d v="2025-11-08T00:00:00"/>
    <x v="1"/>
    <n v="2"/>
    <n v="10"/>
    <n v="756000"/>
    <n v="100"/>
    <s v=""/>
    <s v="North"/>
    <x v="0"/>
    <s v="CRM"/>
    <x v="16"/>
    <x v="0"/>
  </r>
  <r>
    <s v="O00318"/>
    <s v="C0424"/>
    <s v="P005"/>
    <s v="R016"/>
    <d v="2025-02-02T00:00:00"/>
    <d v="2025-02-23T00:00:00"/>
    <d v="2025-02-23T00:00:00"/>
    <x v="1"/>
    <n v="3"/>
    <n v="5"/>
    <n v="513000"/>
    <n v="100"/>
    <s v=""/>
    <s v="East"/>
    <x v="3"/>
    <s v="Service"/>
    <x v="8"/>
    <x v="3"/>
  </r>
  <r>
    <s v="O00319"/>
    <s v="C0448"/>
    <s v="P005"/>
    <s v="R015"/>
    <d v="2025-12-09T00:00:00"/>
    <d v="2025-12-22T00:00:00"/>
    <d v="2025-12-22T00:00:00"/>
    <x v="1"/>
    <n v="2"/>
    <n v="15"/>
    <n v="306000"/>
    <n v="100"/>
    <s v=""/>
    <s v="West"/>
    <x v="3"/>
    <s v="Service"/>
    <x v="7"/>
    <x v="1"/>
  </r>
  <r>
    <s v="O00320"/>
    <s v="C0022"/>
    <s v="P005"/>
    <s v="R006"/>
    <d v="2025-03-27T00:00:00"/>
    <d v="2025-04-29T00:00:00"/>
    <d v="2025-04-29T00:00:00"/>
    <x v="0"/>
    <n v="1"/>
    <n v="5"/>
    <n v="171000"/>
    <n v="0"/>
    <s v="No decision"/>
    <s v="North"/>
    <x v="3"/>
    <s v="Service"/>
    <x v="2"/>
    <x v="0"/>
  </r>
  <r>
    <s v="O00321"/>
    <s v="C0259"/>
    <s v="P002"/>
    <s v="R006"/>
    <d v="2025-05-17T00:00:00"/>
    <d v="2025-07-16T00:00:00"/>
    <d v="2025-07-16T00:00:00"/>
    <x v="0"/>
    <n v="1"/>
    <n v="5"/>
    <n v="399000"/>
    <n v="0"/>
    <s v="Feature gap"/>
    <s v="North"/>
    <x v="0"/>
    <s v="CRM"/>
    <x v="2"/>
    <x v="0"/>
  </r>
  <r>
    <s v="O00322"/>
    <s v="C0075"/>
    <s v="P001"/>
    <s v="R015"/>
    <d v="2025-02-05T00:00:00"/>
    <d v="2025-03-24T00:00:00"/>
    <d v="2025-03-24T00:00:00"/>
    <x v="1"/>
    <n v="2"/>
    <n v="5"/>
    <n v="228000"/>
    <n v="100"/>
    <s v=""/>
    <s v="West"/>
    <x v="4"/>
    <s v="CRM"/>
    <x v="7"/>
    <x v="1"/>
  </r>
  <r>
    <s v="O00323"/>
    <s v="C0030"/>
    <s v="P006"/>
    <s v="R020"/>
    <d v="2025-06-01T00:00:00"/>
    <d v="2025-08-17T00:00:00"/>
    <d v="2025-08-17T00:00:00"/>
    <x v="0"/>
    <n v="1"/>
    <n v="10"/>
    <n v="324000"/>
    <n v="0"/>
    <s v="Price"/>
    <s v="East"/>
    <x v="2"/>
    <s v="Security"/>
    <x v="9"/>
    <x v="3"/>
  </r>
  <r>
    <s v="O00324"/>
    <s v="C0208"/>
    <s v="P002"/>
    <s v="R003"/>
    <d v="2025-02-13T00:00:00"/>
    <d v="2025-04-03T00:00:00"/>
    <d v="2025-04-03T00:00:00"/>
    <x v="1"/>
    <n v="2"/>
    <n v="5"/>
    <n v="798000"/>
    <n v="100"/>
    <s v=""/>
    <s v="South"/>
    <x v="0"/>
    <s v="CRM"/>
    <x v="15"/>
    <x v="2"/>
  </r>
  <r>
    <s v="O00325"/>
    <s v="C0015"/>
    <s v="P005"/>
    <s v="R005"/>
    <d v="2025-05-13T00:00:00"/>
    <d v="2025-06-27T00:00:00"/>
    <d v="2025-06-27T00:00:00"/>
    <x v="1"/>
    <n v="2"/>
    <n v="20"/>
    <n v="288000"/>
    <n v="100"/>
    <s v=""/>
    <s v="South"/>
    <x v="3"/>
    <s v="Service"/>
    <x v="11"/>
    <x v="2"/>
  </r>
  <r>
    <s v="O00326"/>
    <s v="C0025"/>
    <s v="P006"/>
    <s v="R016"/>
    <d v="2025-08-18T00:00:00"/>
    <d v="2025-08-25T00:00:00"/>
    <d v="2025-08-25T00:00:00"/>
    <x v="1"/>
    <n v="2"/>
    <n v="10"/>
    <n v="648000"/>
    <n v="100"/>
    <s v=""/>
    <s v="East"/>
    <x v="2"/>
    <s v="Security"/>
    <x v="8"/>
    <x v="3"/>
  </r>
  <r>
    <s v="O00327"/>
    <s v="C0265"/>
    <s v="P005"/>
    <s v="R017"/>
    <d v="2025-07-04T00:00:00"/>
    <d v="2025-07-29T00:00:00"/>
    <d v="2025-07-29T00:00:00"/>
    <x v="0"/>
    <n v="2"/>
    <n v="15"/>
    <n v="306000"/>
    <n v="0"/>
    <s v="Price"/>
    <s v="East"/>
    <x v="3"/>
    <s v="Service"/>
    <x v="19"/>
    <x v="3"/>
  </r>
  <r>
    <s v="O00328"/>
    <s v="C0190"/>
    <s v="P006"/>
    <s v="R020"/>
    <d v="2025-07-26T00:00:00"/>
    <d v="2025-10-07T00:00:00"/>
    <d v="2025-10-07T00:00:00"/>
    <x v="0"/>
    <n v="2"/>
    <n v="10"/>
    <n v="648000"/>
    <n v="0"/>
    <s v="No decision"/>
    <s v="East"/>
    <x v="2"/>
    <s v="Security"/>
    <x v="9"/>
    <x v="3"/>
  </r>
  <r>
    <s v="O00329"/>
    <s v="C0017"/>
    <s v="P006"/>
    <s v="R007"/>
    <d v="2025-10-14T00:00:00"/>
    <d v="2025-11-05T00:00:00"/>
    <d v="2025-11-05T00:00:00"/>
    <x v="0"/>
    <n v="3"/>
    <n v="15"/>
    <n v="918000"/>
    <n v="0"/>
    <s v="Price"/>
    <s v="North"/>
    <x v="2"/>
    <s v="Security"/>
    <x v="13"/>
    <x v="0"/>
  </r>
  <r>
    <s v="O00330"/>
    <s v="C0015"/>
    <s v="P002"/>
    <s v="R002"/>
    <d v="2025-10-29T00:00:00"/>
    <d v="2025-12-14T00:00:00"/>
    <d v="2025-12-14T00:00:00"/>
    <x v="0"/>
    <n v="1"/>
    <n v="5"/>
    <n v="399000"/>
    <n v="0"/>
    <s v="No decision"/>
    <s v="South"/>
    <x v="0"/>
    <s v="CRM"/>
    <x v="17"/>
    <x v="2"/>
  </r>
  <r>
    <s v="O00331"/>
    <s v="C0247"/>
    <s v="P005"/>
    <s v="R008"/>
    <d v="2025-10-17T00:00:00"/>
    <d v="2025-12-06T00:00:00"/>
    <d v="2025-12-06T00:00:00"/>
    <x v="0"/>
    <n v="2"/>
    <n v="15"/>
    <n v="306000"/>
    <n v="0"/>
    <s v="Competition"/>
    <s v="North"/>
    <x v="3"/>
    <s v="Service"/>
    <x v="0"/>
    <x v="0"/>
  </r>
  <r>
    <s v="O00332"/>
    <s v="C0174"/>
    <s v="P005"/>
    <s v="R011"/>
    <d v="2025-12-10T00:00:00"/>
    <d v="2026-01-21T00:00:00"/>
    <m/>
    <x v="2"/>
    <n v="1"/>
    <n v="5"/>
    <n v="171000"/>
    <n v="20"/>
    <s v=""/>
    <s v="West"/>
    <x v="3"/>
    <s v="Service"/>
    <x v="12"/>
    <x v="1"/>
  </r>
  <r>
    <s v="O00333"/>
    <s v="C0097"/>
    <s v="P004"/>
    <s v="R010"/>
    <d v="2025-01-10T00:00:00"/>
    <d v="2025-03-26T00:00:00"/>
    <d v="2025-03-26T00:00:00"/>
    <x v="1"/>
    <n v="1"/>
    <n v="0"/>
    <n v="300000"/>
    <n v="100"/>
    <s v=""/>
    <s v="North"/>
    <x v="5"/>
    <s v="Analytics"/>
    <x v="16"/>
    <x v="0"/>
  </r>
  <r>
    <s v="O00334"/>
    <s v="C0024"/>
    <s v="P004"/>
    <s v="R011"/>
    <d v="2025-06-24T00:00:00"/>
    <d v="2025-08-23T00:00:00"/>
    <d v="2025-08-23T00:00:00"/>
    <x v="0"/>
    <n v="1"/>
    <n v="20"/>
    <n v="240000"/>
    <n v="0"/>
    <s v="No decision"/>
    <s v="West"/>
    <x v="5"/>
    <s v="Analytics"/>
    <x v="12"/>
    <x v="1"/>
  </r>
  <r>
    <s v="O00335"/>
    <s v="C0158"/>
    <s v="P004"/>
    <s v="R002"/>
    <d v="2025-01-31T00:00:00"/>
    <d v="2025-03-20T00:00:00"/>
    <d v="2025-03-20T00:00:00"/>
    <x v="0"/>
    <n v="1"/>
    <n v="0"/>
    <n v="300000"/>
    <n v="0"/>
    <s v="Budget"/>
    <s v="South"/>
    <x v="5"/>
    <s v="Analytics"/>
    <x v="17"/>
    <x v="2"/>
  </r>
  <r>
    <s v="O00336"/>
    <s v="C0261"/>
    <s v="P005"/>
    <s v="R009"/>
    <d v="2025-02-28T00:00:00"/>
    <d v="2025-04-16T00:00:00"/>
    <d v="2025-04-16T00:00:00"/>
    <x v="1"/>
    <n v="2"/>
    <n v="20"/>
    <n v="288000"/>
    <n v="100"/>
    <s v=""/>
    <s v="North"/>
    <x v="3"/>
    <s v="Service"/>
    <x v="4"/>
    <x v="0"/>
  </r>
  <r>
    <s v="O00337"/>
    <s v="C0138"/>
    <s v="P005"/>
    <s v="R010"/>
    <d v="2025-12-12T00:00:00"/>
    <d v="2026-02-28T00:00:00"/>
    <m/>
    <x v="2"/>
    <n v="1"/>
    <n v="10"/>
    <n v="162000"/>
    <n v="80"/>
    <s v=""/>
    <s v="North"/>
    <x v="3"/>
    <s v="Service"/>
    <x v="16"/>
    <x v="0"/>
  </r>
  <r>
    <s v="O00338"/>
    <s v="C0493"/>
    <s v="P005"/>
    <s v="R008"/>
    <d v="2025-12-01T00:00:00"/>
    <d v="2025-12-08T00:00:00"/>
    <m/>
    <x v="2"/>
    <n v="1"/>
    <n v="15"/>
    <n v="153000"/>
    <n v="60"/>
    <s v=""/>
    <s v="North"/>
    <x v="3"/>
    <s v="Service"/>
    <x v="0"/>
    <x v="0"/>
  </r>
  <r>
    <s v="O00339"/>
    <s v="C0203"/>
    <s v="P006"/>
    <s v="R016"/>
    <d v="2025-03-13T00:00:00"/>
    <d v="2025-04-24T00:00:00"/>
    <d v="2025-04-24T00:00:00"/>
    <x v="0"/>
    <n v="2"/>
    <n v="5"/>
    <n v="684000"/>
    <n v="0"/>
    <s v="Budget"/>
    <s v="East"/>
    <x v="2"/>
    <s v="Security"/>
    <x v="8"/>
    <x v="3"/>
  </r>
  <r>
    <s v="O00340"/>
    <s v="C0069"/>
    <s v="P006"/>
    <s v="R011"/>
    <d v="2025-11-08T00:00:00"/>
    <d v="2025-11-16T00:00:00"/>
    <d v="2025-11-16T00:00:00"/>
    <x v="0"/>
    <n v="1"/>
    <n v="15"/>
    <n v="306000"/>
    <n v="0"/>
    <s v="No decision"/>
    <s v="West"/>
    <x v="2"/>
    <s v="Security"/>
    <x v="12"/>
    <x v="1"/>
  </r>
  <r>
    <s v="O00341"/>
    <s v="C0498"/>
    <s v="P004"/>
    <s v="R020"/>
    <d v="2025-07-03T00:00:00"/>
    <d v="2025-07-11T00:00:00"/>
    <d v="2025-07-11T00:00:00"/>
    <x v="0"/>
    <n v="1"/>
    <n v="15"/>
    <n v="255000"/>
    <n v="0"/>
    <s v="Competition"/>
    <s v="East"/>
    <x v="5"/>
    <s v="Analytics"/>
    <x v="9"/>
    <x v="3"/>
  </r>
  <r>
    <s v="O00342"/>
    <s v="C0144"/>
    <s v="P004"/>
    <s v="R020"/>
    <d v="2025-04-18T00:00:00"/>
    <d v="2025-06-14T00:00:00"/>
    <d v="2025-06-14T00:00:00"/>
    <x v="1"/>
    <n v="1"/>
    <n v="10"/>
    <n v="270000"/>
    <n v="100"/>
    <s v=""/>
    <s v="East"/>
    <x v="5"/>
    <s v="Analytics"/>
    <x v="9"/>
    <x v="3"/>
  </r>
  <r>
    <s v="O00343"/>
    <s v="C0090"/>
    <s v="P001"/>
    <s v="R015"/>
    <d v="2025-03-07T00:00:00"/>
    <d v="2025-03-30T00:00:00"/>
    <d v="2025-03-30T00:00:00"/>
    <x v="0"/>
    <n v="1"/>
    <n v="20"/>
    <n v="96000"/>
    <n v="0"/>
    <s v="Feature gap"/>
    <s v="West"/>
    <x v="4"/>
    <s v="CRM"/>
    <x v="7"/>
    <x v="1"/>
  </r>
  <r>
    <s v="O00344"/>
    <s v="C0345"/>
    <s v="P006"/>
    <s v="R016"/>
    <d v="2025-06-15T00:00:00"/>
    <d v="2025-08-13T00:00:00"/>
    <d v="2025-08-13T00:00:00"/>
    <x v="0"/>
    <n v="1"/>
    <n v="0"/>
    <n v="360000"/>
    <n v="0"/>
    <s v="No decision"/>
    <s v="East"/>
    <x v="2"/>
    <s v="Security"/>
    <x v="8"/>
    <x v="3"/>
  </r>
  <r>
    <s v="O00345"/>
    <s v="C0201"/>
    <s v="P002"/>
    <s v="R003"/>
    <d v="2025-02-11T00:00:00"/>
    <d v="2025-02-21T00:00:00"/>
    <m/>
    <x v="2"/>
    <n v="1"/>
    <n v="15"/>
    <n v="357000"/>
    <n v="20"/>
    <s v=""/>
    <s v="South"/>
    <x v="0"/>
    <s v="CRM"/>
    <x v="15"/>
    <x v="2"/>
  </r>
  <r>
    <s v="O00346"/>
    <s v="C0246"/>
    <s v="P004"/>
    <s v="R001"/>
    <d v="2025-10-31T00:00:00"/>
    <d v="2025-12-19T00:00:00"/>
    <m/>
    <x v="2"/>
    <n v="1"/>
    <n v="5"/>
    <n v="285000"/>
    <n v="20"/>
    <s v=""/>
    <s v="South"/>
    <x v="5"/>
    <s v="Analytics"/>
    <x v="6"/>
    <x v="2"/>
  </r>
  <r>
    <s v="O00347"/>
    <s v="C0044"/>
    <s v="P001"/>
    <s v="R016"/>
    <d v="2025-07-13T00:00:00"/>
    <d v="2025-07-28T00:00:00"/>
    <d v="2025-07-28T00:00:00"/>
    <x v="1"/>
    <n v="1"/>
    <n v="0"/>
    <n v="120000"/>
    <n v="100"/>
    <s v=""/>
    <s v="East"/>
    <x v="4"/>
    <s v="CRM"/>
    <x v="8"/>
    <x v="3"/>
  </r>
  <r>
    <s v="O00348"/>
    <s v="C0347"/>
    <s v="P001"/>
    <s v="R005"/>
    <d v="2025-01-27T00:00:00"/>
    <d v="2025-03-23T00:00:00"/>
    <d v="2025-03-23T00:00:00"/>
    <x v="1"/>
    <n v="2"/>
    <n v="0"/>
    <n v="240000"/>
    <n v="100"/>
    <s v=""/>
    <s v="South"/>
    <x v="4"/>
    <s v="CRM"/>
    <x v="11"/>
    <x v="2"/>
  </r>
  <r>
    <s v="O00349"/>
    <s v="C0451"/>
    <s v="P005"/>
    <s v="R010"/>
    <d v="2025-02-21T00:00:00"/>
    <d v="2025-03-03T00:00:00"/>
    <d v="2025-03-03T00:00:00"/>
    <x v="1"/>
    <n v="2"/>
    <n v="20"/>
    <n v="288000"/>
    <n v="100"/>
    <s v=""/>
    <s v="North"/>
    <x v="3"/>
    <s v="Service"/>
    <x v="16"/>
    <x v="0"/>
  </r>
  <r>
    <s v="O00350"/>
    <s v="C0327"/>
    <s v="P005"/>
    <s v="R018"/>
    <d v="2025-07-01T00:00:00"/>
    <d v="2025-09-02T00:00:00"/>
    <d v="2025-09-02T00:00:00"/>
    <x v="0"/>
    <n v="1"/>
    <n v="5"/>
    <n v="171000"/>
    <n v="0"/>
    <s v="Price"/>
    <s v="East"/>
    <x v="3"/>
    <s v="Service"/>
    <x v="18"/>
    <x v="3"/>
  </r>
  <r>
    <s v="O00351"/>
    <s v="C0387"/>
    <s v="P003"/>
    <s v="R013"/>
    <d v="2025-10-26T00:00:00"/>
    <d v="2025-11-20T00:00:00"/>
    <m/>
    <x v="2"/>
    <n v="1"/>
    <n v="15"/>
    <n v="204000"/>
    <n v="60"/>
    <s v=""/>
    <s v="West"/>
    <x v="1"/>
    <s v="Automation"/>
    <x v="5"/>
    <x v="1"/>
  </r>
  <r>
    <s v="O00352"/>
    <s v="C0440"/>
    <s v="P001"/>
    <s v="R014"/>
    <d v="2025-06-26T00:00:00"/>
    <d v="2025-07-28T00:00:00"/>
    <d v="2025-07-28T00:00:00"/>
    <x v="1"/>
    <n v="1"/>
    <n v="0"/>
    <n v="120000"/>
    <n v="100"/>
    <s v=""/>
    <s v="West"/>
    <x v="4"/>
    <s v="CRM"/>
    <x v="1"/>
    <x v="1"/>
  </r>
  <r>
    <s v="O00353"/>
    <s v="C0215"/>
    <s v="P003"/>
    <s v="R002"/>
    <d v="2025-02-23T00:00:00"/>
    <d v="2025-03-07T00:00:00"/>
    <d v="2025-03-07T00:00:00"/>
    <x v="0"/>
    <n v="2"/>
    <n v="5"/>
    <n v="456000"/>
    <n v="0"/>
    <s v="Competition"/>
    <s v="South"/>
    <x v="1"/>
    <s v="Automation"/>
    <x v="17"/>
    <x v="2"/>
  </r>
  <r>
    <s v="O00354"/>
    <s v="C0193"/>
    <s v="P002"/>
    <s v="R004"/>
    <d v="2025-04-05T00:00:00"/>
    <d v="2025-04-12T00:00:00"/>
    <m/>
    <x v="2"/>
    <n v="1"/>
    <n v="0"/>
    <n v="420000"/>
    <n v="20"/>
    <s v=""/>
    <s v="South"/>
    <x v="0"/>
    <s v="CRM"/>
    <x v="3"/>
    <x v="2"/>
  </r>
  <r>
    <s v="O00355"/>
    <s v="C0102"/>
    <s v="P003"/>
    <s v="R012"/>
    <d v="2025-04-23T00:00:00"/>
    <d v="2025-05-22T00:00:00"/>
    <m/>
    <x v="2"/>
    <n v="1"/>
    <n v="20"/>
    <n v="192000"/>
    <n v="40"/>
    <s v=""/>
    <s v="West"/>
    <x v="1"/>
    <s v="Automation"/>
    <x v="14"/>
    <x v="1"/>
  </r>
  <r>
    <s v="O00356"/>
    <s v="C0336"/>
    <s v="P001"/>
    <s v="R008"/>
    <d v="2025-04-18T00:00:00"/>
    <d v="2025-05-25T00:00:00"/>
    <d v="2025-05-25T00:00:00"/>
    <x v="1"/>
    <n v="1"/>
    <n v="10"/>
    <n v="108000"/>
    <n v="100"/>
    <s v=""/>
    <s v="North"/>
    <x v="4"/>
    <s v="CRM"/>
    <x v="0"/>
    <x v="0"/>
  </r>
  <r>
    <s v="O00357"/>
    <s v="C0391"/>
    <s v="P005"/>
    <s v="R010"/>
    <d v="2025-04-07T00:00:00"/>
    <d v="2025-05-21T00:00:00"/>
    <m/>
    <x v="2"/>
    <n v="1"/>
    <n v="10"/>
    <n v="162000"/>
    <n v="40"/>
    <s v=""/>
    <s v="North"/>
    <x v="3"/>
    <s v="Service"/>
    <x v="16"/>
    <x v="0"/>
  </r>
  <r>
    <s v="O00358"/>
    <s v="C0108"/>
    <s v="P006"/>
    <s v="R001"/>
    <d v="2025-08-29T00:00:00"/>
    <d v="2025-11-22T00:00:00"/>
    <m/>
    <x v="2"/>
    <n v="1"/>
    <n v="5"/>
    <n v="342000"/>
    <n v="80"/>
    <s v=""/>
    <s v="South"/>
    <x v="2"/>
    <s v="Security"/>
    <x v="6"/>
    <x v="2"/>
  </r>
  <r>
    <s v="O00359"/>
    <s v="C0138"/>
    <s v="P005"/>
    <s v="R009"/>
    <d v="2025-11-23T00:00:00"/>
    <d v="2026-02-12T00:00:00"/>
    <m/>
    <x v="2"/>
    <n v="1"/>
    <n v="5"/>
    <n v="171000"/>
    <n v="40"/>
    <s v=""/>
    <s v="North"/>
    <x v="3"/>
    <s v="Service"/>
    <x v="4"/>
    <x v="0"/>
  </r>
  <r>
    <s v="O00360"/>
    <s v="C0479"/>
    <s v="P003"/>
    <s v="R003"/>
    <d v="2025-10-09T00:00:00"/>
    <d v="2025-10-26T00:00:00"/>
    <d v="2025-10-26T00:00:00"/>
    <x v="1"/>
    <n v="1"/>
    <n v="15"/>
    <n v="204000"/>
    <n v="100"/>
    <s v=""/>
    <s v="South"/>
    <x v="1"/>
    <s v="Automation"/>
    <x v="15"/>
    <x v="2"/>
  </r>
  <r>
    <s v="O00361"/>
    <s v="C0189"/>
    <s v="P004"/>
    <s v="R013"/>
    <d v="2025-05-20T00:00:00"/>
    <d v="2025-06-18T00:00:00"/>
    <d v="2025-06-18T00:00:00"/>
    <x v="0"/>
    <n v="2"/>
    <n v="5"/>
    <n v="570000"/>
    <n v="0"/>
    <s v="Price"/>
    <s v="West"/>
    <x v="5"/>
    <s v="Analytics"/>
    <x v="5"/>
    <x v="1"/>
  </r>
  <r>
    <s v="O00362"/>
    <s v="C0061"/>
    <s v="P001"/>
    <s v="R018"/>
    <d v="2025-01-20T00:00:00"/>
    <d v="2025-03-10T00:00:00"/>
    <d v="2025-03-10T00:00:00"/>
    <x v="0"/>
    <n v="1"/>
    <n v="10"/>
    <n v="108000"/>
    <n v="0"/>
    <s v="Budget"/>
    <s v="East"/>
    <x v="4"/>
    <s v="CRM"/>
    <x v="18"/>
    <x v="3"/>
  </r>
  <r>
    <s v="O00363"/>
    <s v="C0421"/>
    <s v="P005"/>
    <s v="R011"/>
    <d v="2025-08-30T00:00:00"/>
    <d v="2025-09-25T00:00:00"/>
    <d v="2025-09-25T00:00:00"/>
    <x v="0"/>
    <n v="2"/>
    <n v="5"/>
    <n v="342000"/>
    <n v="0"/>
    <s v="Competition"/>
    <s v="West"/>
    <x v="3"/>
    <s v="Service"/>
    <x v="12"/>
    <x v="1"/>
  </r>
  <r>
    <s v="O00364"/>
    <s v="C0214"/>
    <s v="P002"/>
    <s v="R004"/>
    <d v="2025-08-19T00:00:00"/>
    <d v="2025-08-29T00:00:00"/>
    <m/>
    <x v="2"/>
    <n v="1"/>
    <n v="5"/>
    <n v="399000"/>
    <n v="40"/>
    <s v=""/>
    <s v="South"/>
    <x v="0"/>
    <s v="CRM"/>
    <x v="3"/>
    <x v="2"/>
  </r>
  <r>
    <s v="O00365"/>
    <s v="C0167"/>
    <s v="P005"/>
    <s v="R011"/>
    <d v="2025-10-18T00:00:00"/>
    <d v="2025-11-11T00:00:00"/>
    <m/>
    <x v="2"/>
    <n v="1"/>
    <n v="10"/>
    <n v="162000"/>
    <n v="80"/>
    <s v=""/>
    <s v="West"/>
    <x v="3"/>
    <s v="Service"/>
    <x v="12"/>
    <x v="1"/>
  </r>
  <r>
    <s v="O00366"/>
    <s v="C0054"/>
    <s v="P006"/>
    <s v="R010"/>
    <d v="2025-04-01T00:00:00"/>
    <d v="2025-06-24T00:00:00"/>
    <d v="2025-06-24T00:00:00"/>
    <x v="1"/>
    <n v="2"/>
    <n v="0"/>
    <n v="720000"/>
    <n v="100"/>
    <s v=""/>
    <s v="North"/>
    <x v="2"/>
    <s v="Security"/>
    <x v="16"/>
    <x v="0"/>
  </r>
  <r>
    <s v="O00367"/>
    <s v="C0233"/>
    <s v="P001"/>
    <s v="R008"/>
    <d v="2025-09-23T00:00:00"/>
    <d v="2025-11-10T00:00:00"/>
    <d v="2025-11-10T00:00:00"/>
    <x v="1"/>
    <n v="2"/>
    <n v="15"/>
    <n v="204000"/>
    <n v="100"/>
    <s v=""/>
    <s v="North"/>
    <x v="4"/>
    <s v="CRM"/>
    <x v="0"/>
    <x v="0"/>
  </r>
  <r>
    <s v="O00368"/>
    <s v="C0490"/>
    <s v="P002"/>
    <s v="R002"/>
    <d v="2025-04-16T00:00:00"/>
    <d v="2025-06-22T00:00:00"/>
    <d v="2025-06-22T00:00:00"/>
    <x v="1"/>
    <n v="1"/>
    <n v="20"/>
    <n v="336000"/>
    <n v="100"/>
    <s v=""/>
    <s v="South"/>
    <x v="0"/>
    <s v="CRM"/>
    <x v="17"/>
    <x v="2"/>
  </r>
  <r>
    <s v="O00369"/>
    <s v="C0310"/>
    <s v="P002"/>
    <s v="R005"/>
    <d v="2025-06-18T00:00:00"/>
    <d v="2025-08-26T00:00:00"/>
    <m/>
    <x v="2"/>
    <n v="2"/>
    <n v="15"/>
    <n v="714000"/>
    <n v="20"/>
    <s v=""/>
    <s v="South"/>
    <x v="0"/>
    <s v="CRM"/>
    <x v="11"/>
    <x v="2"/>
  </r>
  <r>
    <s v="O00370"/>
    <s v="C0422"/>
    <s v="P002"/>
    <s v="R004"/>
    <d v="2025-05-08T00:00:00"/>
    <d v="2025-07-09T00:00:00"/>
    <d v="2025-07-09T00:00:00"/>
    <x v="1"/>
    <n v="2"/>
    <n v="15"/>
    <n v="714000"/>
    <n v="100"/>
    <s v=""/>
    <s v="South"/>
    <x v="0"/>
    <s v="CRM"/>
    <x v="3"/>
    <x v="2"/>
  </r>
  <r>
    <s v="O00371"/>
    <s v="C0452"/>
    <s v="P006"/>
    <s v="R015"/>
    <d v="2025-05-30T00:00:00"/>
    <d v="2025-06-14T00:00:00"/>
    <d v="2025-06-14T00:00:00"/>
    <x v="0"/>
    <n v="1"/>
    <n v="15"/>
    <n v="306000"/>
    <n v="0"/>
    <s v="Feature gap"/>
    <s v="West"/>
    <x v="2"/>
    <s v="Security"/>
    <x v="7"/>
    <x v="1"/>
  </r>
  <r>
    <s v="O00372"/>
    <s v="C0085"/>
    <s v="P003"/>
    <s v="R007"/>
    <d v="2025-09-17T00:00:00"/>
    <d v="2025-09-27T00:00:00"/>
    <d v="2025-09-27T00:00:00"/>
    <x v="1"/>
    <n v="1"/>
    <n v="15"/>
    <n v="204000"/>
    <n v="100"/>
    <s v=""/>
    <s v="North"/>
    <x v="1"/>
    <s v="Automation"/>
    <x v="13"/>
    <x v="0"/>
  </r>
  <r>
    <s v="O00373"/>
    <s v="C0237"/>
    <s v="P001"/>
    <s v="R011"/>
    <d v="2025-10-08T00:00:00"/>
    <d v="2025-12-10T00:00:00"/>
    <d v="2025-12-10T00:00:00"/>
    <x v="0"/>
    <n v="1"/>
    <n v="15"/>
    <n v="102000"/>
    <n v="0"/>
    <s v="Competition"/>
    <s v="West"/>
    <x v="4"/>
    <s v="CRM"/>
    <x v="12"/>
    <x v="1"/>
  </r>
  <r>
    <s v="O00374"/>
    <s v="C0344"/>
    <s v="P001"/>
    <s v="R013"/>
    <d v="2025-03-20T00:00:00"/>
    <d v="2025-04-18T00:00:00"/>
    <d v="2025-04-18T00:00:00"/>
    <x v="0"/>
    <n v="1"/>
    <n v="0"/>
    <n v="120000"/>
    <n v="0"/>
    <s v="No decision"/>
    <s v="West"/>
    <x v="4"/>
    <s v="CRM"/>
    <x v="5"/>
    <x v="1"/>
  </r>
  <r>
    <s v="O00375"/>
    <s v="C0354"/>
    <s v="P003"/>
    <s v="R019"/>
    <d v="2025-01-27T00:00:00"/>
    <d v="2025-02-09T00:00:00"/>
    <d v="2025-02-09T00:00:00"/>
    <x v="0"/>
    <n v="2"/>
    <n v="5"/>
    <n v="456000"/>
    <n v="0"/>
    <s v="Budget"/>
    <s v="East"/>
    <x v="1"/>
    <s v="Automation"/>
    <x v="10"/>
    <x v="3"/>
  </r>
  <r>
    <s v="O00376"/>
    <s v="C0343"/>
    <s v="P001"/>
    <s v="R012"/>
    <d v="2025-02-19T00:00:00"/>
    <d v="2025-03-19T00:00:00"/>
    <m/>
    <x v="2"/>
    <n v="1"/>
    <n v="0"/>
    <n v="120000"/>
    <n v="80"/>
    <s v=""/>
    <s v="West"/>
    <x v="4"/>
    <s v="CRM"/>
    <x v="14"/>
    <x v="1"/>
  </r>
  <r>
    <s v="O00377"/>
    <s v="C0107"/>
    <s v="P005"/>
    <s v="R009"/>
    <d v="2025-08-08T00:00:00"/>
    <d v="2025-09-11T00:00:00"/>
    <d v="2025-09-11T00:00:00"/>
    <x v="1"/>
    <n v="1"/>
    <n v="10"/>
    <n v="162000"/>
    <n v="100"/>
    <s v=""/>
    <s v="North"/>
    <x v="3"/>
    <s v="Service"/>
    <x v="4"/>
    <x v="0"/>
  </r>
  <r>
    <s v="O00378"/>
    <s v="C0034"/>
    <s v="P006"/>
    <s v="R018"/>
    <d v="2025-11-29T00:00:00"/>
    <d v="2025-12-11T00:00:00"/>
    <d v="2025-12-11T00:00:00"/>
    <x v="0"/>
    <n v="1"/>
    <n v="5"/>
    <n v="342000"/>
    <n v="0"/>
    <s v="Budget"/>
    <s v="East"/>
    <x v="2"/>
    <s v="Security"/>
    <x v="18"/>
    <x v="3"/>
  </r>
  <r>
    <s v="O00379"/>
    <s v="C0090"/>
    <s v="P006"/>
    <s v="R013"/>
    <d v="2025-12-08T00:00:00"/>
    <d v="2026-01-26T00:00:00"/>
    <m/>
    <x v="2"/>
    <n v="1"/>
    <n v="20"/>
    <n v="288000"/>
    <n v="80"/>
    <s v=""/>
    <s v="West"/>
    <x v="2"/>
    <s v="Security"/>
    <x v="5"/>
    <x v="1"/>
  </r>
  <r>
    <s v="O00380"/>
    <s v="C0041"/>
    <s v="P001"/>
    <s v="R002"/>
    <d v="2025-07-11T00:00:00"/>
    <d v="2025-08-12T00:00:00"/>
    <d v="2025-08-12T00:00:00"/>
    <x v="0"/>
    <n v="1"/>
    <n v="15"/>
    <n v="102000"/>
    <n v="0"/>
    <s v="Price"/>
    <s v="South"/>
    <x v="4"/>
    <s v="CRM"/>
    <x v="17"/>
    <x v="2"/>
  </r>
  <r>
    <s v="O00381"/>
    <s v="C0332"/>
    <s v="P003"/>
    <s v="R001"/>
    <d v="2025-04-28T00:00:00"/>
    <d v="2025-06-16T00:00:00"/>
    <m/>
    <x v="2"/>
    <n v="1"/>
    <n v="5"/>
    <n v="228000"/>
    <n v="40"/>
    <s v=""/>
    <s v="South"/>
    <x v="1"/>
    <s v="Automation"/>
    <x v="6"/>
    <x v="2"/>
  </r>
  <r>
    <s v="O00382"/>
    <s v="C0447"/>
    <s v="P004"/>
    <s v="R020"/>
    <d v="2025-06-14T00:00:00"/>
    <d v="2025-06-21T00:00:00"/>
    <d v="2025-06-21T00:00:00"/>
    <x v="1"/>
    <n v="1"/>
    <n v="15"/>
    <n v="255000"/>
    <n v="100"/>
    <s v=""/>
    <s v="East"/>
    <x v="5"/>
    <s v="Analytics"/>
    <x v="9"/>
    <x v="3"/>
  </r>
  <r>
    <s v="O00383"/>
    <s v="C0041"/>
    <s v="P004"/>
    <s v="R004"/>
    <d v="2025-06-09T00:00:00"/>
    <d v="2025-07-11T00:00:00"/>
    <d v="2025-07-11T00:00:00"/>
    <x v="1"/>
    <n v="1"/>
    <n v="15"/>
    <n v="255000"/>
    <n v="100"/>
    <s v=""/>
    <s v="South"/>
    <x v="5"/>
    <s v="Analytics"/>
    <x v="3"/>
    <x v="2"/>
  </r>
  <r>
    <s v="O00384"/>
    <s v="C0204"/>
    <s v="P004"/>
    <s v="R012"/>
    <d v="2025-08-30T00:00:00"/>
    <d v="2025-11-09T00:00:00"/>
    <d v="2025-11-09T00:00:00"/>
    <x v="0"/>
    <n v="3"/>
    <n v="15"/>
    <n v="765000"/>
    <n v="0"/>
    <s v="No decision"/>
    <s v="West"/>
    <x v="5"/>
    <s v="Analytics"/>
    <x v="14"/>
    <x v="1"/>
  </r>
  <r>
    <s v="O00385"/>
    <s v="C0079"/>
    <s v="P005"/>
    <s v="R002"/>
    <d v="2025-05-12T00:00:00"/>
    <d v="2025-06-27T00:00:00"/>
    <d v="2025-06-27T00:00:00"/>
    <x v="0"/>
    <n v="2"/>
    <n v="10"/>
    <n v="324000"/>
    <n v="0"/>
    <s v="Feature gap"/>
    <s v="South"/>
    <x v="3"/>
    <s v="Service"/>
    <x v="17"/>
    <x v="2"/>
  </r>
  <r>
    <s v="O00386"/>
    <s v="C0208"/>
    <s v="P004"/>
    <s v="R004"/>
    <d v="2025-07-11T00:00:00"/>
    <d v="2025-08-26T00:00:00"/>
    <d v="2025-08-26T00:00:00"/>
    <x v="0"/>
    <n v="3"/>
    <n v="0"/>
    <n v="900000"/>
    <n v="0"/>
    <s v="Price"/>
    <s v="South"/>
    <x v="5"/>
    <s v="Analytics"/>
    <x v="3"/>
    <x v="2"/>
  </r>
  <r>
    <s v="O00387"/>
    <s v="C0395"/>
    <s v="P006"/>
    <s v="R008"/>
    <d v="2025-09-18T00:00:00"/>
    <d v="2025-11-11T00:00:00"/>
    <d v="2025-11-11T00:00:00"/>
    <x v="0"/>
    <n v="1"/>
    <n v="15"/>
    <n v="306000"/>
    <n v="0"/>
    <s v="Competition"/>
    <s v="North"/>
    <x v="2"/>
    <s v="Security"/>
    <x v="0"/>
    <x v="0"/>
  </r>
  <r>
    <s v="O00388"/>
    <s v="C0310"/>
    <s v="P004"/>
    <s v="R002"/>
    <d v="2025-05-11T00:00:00"/>
    <d v="2025-07-31T00:00:00"/>
    <d v="2025-07-31T00:00:00"/>
    <x v="1"/>
    <n v="1"/>
    <n v="0"/>
    <n v="300000"/>
    <n v="100"/>
    <s v=""/>
    <s v="South"/>
    <x v="5"/>
    <s v="Analytics"/>
    <x v="17"/>
    <x v="2"/>
  </r>
  <r>
    <s v="O00389"/>
    <s v="C0466"/>
    <s v="P002"/>
    <s v="R019"/>
    <d v="2025-03-26T00:00:00"/>
    <d v="2025-05-04T00:00:00"/>
    <m/>
    <x v="2"/>
    <n v="1"/>
    <n v="20"/>
    <n v="336000"/>
    <n v="80"/>
    <s v=""/>
    <s v="East"/>
    <x v="0"/>
    <s v="CRM"/>
    <x v="10"/>
    <x v="3"/>
  </r>
  <r>
    <s v="O00390"/>
    <s v="C0087"/>
    <s v="P004"/>
    <s v="R016"/>
    <d v="2025-02-19T00:00:00"/>
    <d v="2025-04-20T00:00:00"/>
    <d v="2025-04-20T00:00:00"/>
    <x v="1"/>
    <n v="3"/>
    <n v="15"/>
    <n v="765000"/>
    <n v="100"/>
    <s v=""/>
    <s v="East"/>
    <x v="5"/>
    <s v="Analytics"/>
    <x v="8"/>
    <x v="3"/>
  </r>
  <r>
    <s v="O00391"/>
    <s v="C0103"/>
    <s v="P001"/>
    <s v="R007"/>
    <d v="2025-04-09T00:00:00"/>
    <d v="2025-06-07T00:00:00"/>
    <d v="2025-06-07T00:00:00"/>
    <x v="1"/>
    <n v="2"/>
    <n v="20"/>
    <n v="192000"/>
    <n v="100"/>
    <s v=""/>
    <s v="North"/>
    <x v="4"/>
    <s v="CRM"/>
    <x v="13"/>
    <x v="0"/>
  </r>
  <r>
    <s v="O00392"/>
    <s v="C0300"/>
    <s v="P002"/>
    <s v="R009"/>
    <d v="2025-09-06T00:00:00"/>
    <d v="2025-09-25T00:00:00"/>
    <d v="2025-09-25T00:00:00"/>
    <x v="0"/>
    <n v="1"/>
    <n v="0"/>
    <n v="420000"/>
    <n v="0"/>
    <s v="Price"/>
    <s v="North"/>
    <x v="0"/>
    <s v="CRM"/>
    <x v="4"/>
    <x v="0"/>
  </r>
  <r>
    <s v="O00393"/>
    <s v="C0267"/>
    <s v="P003"/>
    <s v="R009"/>
    <d v="2025-08-31T00:00:00"/>
    <d v="2025-11-23T00:00:00"/>
    <m/>
    <x v="2"/>
    <n v="2"/>
    <n v="10"/>
    <n v="432000"/>
    <n v="60"/>
    <s v=""/>
    <s v="North"/>
    <x v="1"/>
    <s v="Automation"/>
    <x v="4"/>
    <x v="0"/>
  </r>
  <r>
    <s v="O00394"/>
    <s v="C0446"/>
    <s v="P006"/>
    <s v="R009"/>
    <d v="2025-03-13T00:00:00"/>
    <d v="2025-04-04T00:00:00"/>
    <d v="2025-04-04T00:00:00"/>
    <x v="1"/>
    <n v="3"/>
    <n v="10"/>
    <n v="972000"/>
    <n v="100"/>
    <s v=""/>
    <s v="North"/>
    <x v="2"/>
    <s v="Security"/>
    <x v="4"/>
    <x v="0"/>
  </r>
  <r>
    <s v="O00395"/>
    <s v="C0325"/>
    <s v="P003"/>
    <s v="R011"/>
    <d v="2025-06-16T00:00:00"/>
    <d v="2025-07-22T00:00:00"/>
    <d v="2025-07-22T00:00:00"/>
    <x v="0"/>
    <n v="3"/>
    <n v="15"/>
    <n v="612000"/>
    <n v="0"/>
    <s v="Feature gap"/>
    <s v="West"/>
    <x v="1"/>
    <s v="Automation"/>
    <x v="12"/>
    <x v="1"/>
  </r>
  <r>
    <s v="O00396"/>
    <s v="C0311"/>
    <s v="P002"/>
    <s v="R012"/>
    <d v="2025-09-24T00:00:00"/>
    <d v="2025-12-04T00:00:00"/>
    <m/>
    <x v="2"/>
    <n v="1"/>
    <n v="5"/>
    <n v="399000"/>
    <n v="80"/>
    <s v=""/>
    <s v="West"/>
    <x v="0"/>
    <s v="CRM"/>
    <x v="14"/>
    <x v="1"/>
  </r>
  <r>
    <s v="O00397"/>
    <s v="C0247"/>
    <s v="P006"/>
    <s v="R010"/>
    <d v="2025-05-04T00:00:00"/>
    <d v="2025-06-01T00:00:00"/>
    <d v="2025-06-01T00:00:00"/>
    <x v="1"/>
    <n v="1"/>
    <n v="0"/>
    <n v="360000"/>
    <n v="100"/>
    <s v=""/>
    <s v="North"/>
    <x v="2"/>
    <s v="Security"/>
    <x v="16"/>
    <x v="0"/>
  </r>
  <r>
    <s v="O00398"/>
    <s v="C0369"/>
    <s v="P003"/>
    <s v="R014"/>
    <d v="2025-12-10T00:00:00"/>
    <d v="2026-01-03T00:00:00"/>
    <m/>
    <x v="2"/>
    <n v="3"/>
    <n v="15"/>
    <n v="612000"/>
    <n v="20"/>
    <s v=""/>
    <s v="West"/>
    <x v="1"/>
    <s v="Automation"/>
    <x v="1"/>
    <x v="1"/>
  </r>
  <r>
    <s v="O00399"/>
    <s v="C0060"/>
    <s v="P003"/>
    <s v="R016"/>
    <d v="2025-02-27T00:00:00"/>
    <d v="2025-05-20T00:00:00"/>
    <d v="2025-05-20T00:00:00"/>
    <x v="1"/>
    <n v="1"/>
    <n v="0"/>
    <n v="240000"/>
    <n v="100"/>
    <s v=""/>
    <s v="East"/>
    <x v="1"/>
    <s v="Automation"/>
    <x v="8"/>
    <x v="3"/>
  </r>
  <r>
    <s v="O00400"/>
    <s v="C0434"/>
    <s v="P004"/>
    <s v="R009"/>
    <d v="2025-06-13T00:00:00"/>
    <d v="2025-07-06T00:00:00"/>
    <m/>
    <x v="2"/>
    <n v="3"/>
    <n v="20"/>
    <n v="720000"/>
    <n v="40"/>
    <s v=""/>
    <s v="North"/>
    <x v="5"/>
    <s v="Analytics"/>
    <x v="4"/>
    <x v="0"/>
  </r>
  <r>
    <s v="O00401"/>
    <s v="C0418"/>
    <s v="P003"/>
    <s v="R017"/>
    <d v="2025-09-13T00:00:00"/>
    <d v="2025-10-08T00:00:00"/>
    <d v="2025-10-08T00:00:00"/>
    <x v="0"/>
    <n v="3"/>
    <n v="10"/>
    <n v="648000"/>
    <n v="0"/>
    <s v="Price"/>
    <s v="East"/>
    <x v="1"/>
    <s v="Automation"/>
    <x v="19"/>
    <x v="3"/>
  </r>
  <r>
    <s v="O00402"/>
    <s v="C0361"/>
    <s v="P004"/>
    <s v="R006"/>
    <d v="2025-06-20T00:00:00"/>
    <d v="2025-07-23T00:00:00"/>
    <d v="2025-07-23T00:00:00"/>
    <x v="1"/>
    <n v="1"/>
    <n v="0"/>
    <n v="300000"/>
    <n v="100"/>
    <s v=""/>
    <s v="North"/>
    <x v="5"/>
    <s v="Analytics"/>
    <x v="2"/>
    <x v="0"/>
  </r>
  <r>
    <s v="O00403"/>
    <s v="C0373"/>
    <s v="P003"/>
    <s v="R018"/>
    <d v="2025-12-23T00:00:00"/>
    <d v="2026-03-10T00:00:00"/>
    <m/>
    <x v="2"/>
    <n v="2"/>
    <n v="0"/>
    <n v="480000"/>
    <n v="40"/>
    <s v=""/>
    <s v="East"/>
    <x v="1"/>
    <s v="Automation"/>
    <x v="18"/>
    <x v="3"/>
  </r>
  <r>
    <s v="O00404"/>
    <s v="C0412"/>
    <s v="P006"/>
    <s v="R012"/>
    <d v="2025-11-30T00:00:00"/>
    <d v="2026-02-18T00:00:00"/>
    <m/>
    <x v="2"/>
    <n v="1"/>
    <n v="5"/>
    <n v="342000"/>
    <n v="80"/>
    <s v=""/>
    <s v="West"/>
    <x v="2"/>
    <s v="Security"/>
    <x v="14"/>
    <x v="1"/>
  </r>
  <r>
    <s v="O00405"/>
    <s v="C0018"/>
    <s v="P001"/>
    <s v="R012"/>
    <d v="2025-07-23T00:00:00"/>
    <d v="2025-10-14T00:00:00"/>
    <d v="2025-10-14T00:00:00"/>
    <x v="0"/>
    <n v="1"/>
    <n v="15"/>
    <n v="102000"/>
    <n v="0"/>
    <s v="No decision"/>
    <s v="West"/>
    <x v="4"/>
    <s v="CRM"/>
    <x v="14"/>
    <x v="1"/>
  </r>
  <r>
    <s v="O00406"/>
    <s v="C0294"/>
    <s v="P004"/>
    <s v="R008"/>
    <d v="2025-12-22T00:00:00"/>
    <d v="2026-03-14T00:00:00"/>
    <m/>
    <x v="2"/>
    <n v="1"/>
    <n v="15"/>
    <n v="255000"/>
    <n v="80"/>
    <s v=""/>
    <s v="North"/>
    <x v="5"/>
    <s v="Analytics"/>
    <x v="0"/>
    <x v="0"/>
  </r>
  <r>
    <s v="O00407"/>
    <s v="C0033"/>
    <s v="P005"/>
    <s v="R015"/>
    <d v="2025-10-03T00:00:00"/>
    <d v="2025-10-25T00:00:00"/>
    <d v="2025-10-25T00:00:00"/>
    <x v="0"/>
    <n v="1"/>
    <n v="0"/>
    <n v="180000"/>
    <n v="0"/>
    <s v="Feature gap"/>
    <s v="West"/>
    <x v="3"/>
    <s v="Service"/>
    <x v="7"/>
    <x v="1"/>
  </r>
  <r>
    <s v="O00408"/>
    <s v="C0335"/>
    <s v="P002"/>
    <s v="R006"/>
    <d v="2025-10-15T00:00:00"/>
    <d v="2025-10-26T00:00:00"/>
    <d v="2025-10-26T00:00:00"/>
    <x v="1"/>
    <n v="1"/>
    <n v="0"/>
    <n v="420000"/>
    <n v="100"/>
    <s v=""/>
    <s v="North"/>
    <x v="0"/>
    <s v="CRM"/>
    <x v="2"/>
    <x v="0"/>
  </r>
  <r>
    <s v="O00409"/>
    <s v="C0072"/>
    <s v="P005"/>
    <s v="R009"/>
    <d v="2025-12-22T00:00:00"/>
    <d v="2026-02-12T00:00:00"/>
    <m/>
    <x v="2"/>
    <n v="3"/>
    <n v="20"/>
    <n v="432000"/>
    <n v="40"/>
    <s v=""/>
    <s v="North"/>
    <x v="3"/>
    <s v="Service"/>
    <x v="4"/>
    <x v="0"/>
  </r>
  <r>
    <s v="O00410"/>
    <s v="C0439"/>
    <s v="P002"/>
    <s v="R017"/>
    <d v="2025-11-05T00:00:00"/>
    <d v="2026-01-26T00:00:00"/>
    <m/>
    <x v="2"/>
    <n v="1"/>
    <n v="10"/>
    <n v="378000"/>
    <n v="40"/>
    <s v=""/>
    <s v="East"/>
    <x v="0"/>
    <s v="CRM"/>
    <x v="19"/>
    <x v="3"/>
  </r>
  <r>
    <s v="O00411"/>
    <s v="C0105"/>
    <s v="P001"/>
    <s v="R013"/>
    <d v="2025-11-21T00:00:00"/>
    <d v="2025-12-22T00:00:00"/>
    <d v="2025-12-22T00:00:00"/>
    <x v="0"/>
    <n v="1"/>
    <n v="20"/>
    <n v="96000"/>
    <n v="0"/>
    <s v="No decision"/>
    <s v="West"/>
    <x v="4"/>
    <s v="CRM"/>
    <x v="5"/>
    <x v="1"/>
  </r>
  <r>
    <s v="O00412"/>
    <s v="C0273"/>
    <s v="P001"/>
    <s v="R010"/>
    <d v="2025-07-28T00:00:00"/>
    <d v="2025-08-15T00:00:00"/>
    <d v="2025-08-15T00:00:00"/>
    <x v="1"/>
    <n v="1"/>
    <n v="10"/>
    <n v="108000"/>
    <n v="100"/>
    <s v=""/>
    <s v="North"/>
    <x v="4"/>
    <s v="CRM"/>
    <x v="16"/>
    <x v="0"/>
  </r>
  <r>
    <s v="O00413"/>
    <s v="C0090"/>
    <s v="P005"/>
    <s v="R013"/>
    <d v="2025-10-29T00:00:00"/>
    <d v="2026-01-06T00:00:00"/>
    <m/>
    <x v="2"/>
    <n v="1"/>
    <n v="20"/>
    <n v="144000"/>
    <n v="60"/>
    <s v=""/>
    <s v="West"/>
    <x v="3"/>
    <s v="Service"/>
    <x v="5"/>
    <x v="1"/>
  </r>
  <r>
    <s v="O00414"/>
    <s v="C0066"/>
    <s v="P003"/>
    <s v="R011"/>
    <d v="2025-12-18T00:00:00"/>
    <d v="2026-01-13T00:00:00"/>
    <m/>
    <x v="2"/>
    <n v="1"/>
    <n v="5"/>
    <n v="228000"/>
    <n v="80"/>
    <s v=""/>
    <s v="West"/>
    <x v="1"/>
    <s v="Automation"/>
    <x v="12"/>
    <x v="1"/>
  </r>
  <r>
    <s v="O00415"/>
    <s v="C0182"/>
    <s v="P004"/>
    <s v="R015"/>
    <d v="2025-05-27T00:00:00"/>
    <d v="2025-07-27T00:00:00"/>
    <d v="2025-07-27T00:00:00"/>
    <x v="1"/>
    <n v="3"/>
    <n v="5"/>
    <n v="855000"/>
    <n v="100"/>
    <s v=""/>
    <s v="West"/>
    <x v="5"/>
    <s v="Analytics"/>
    <x v="7"/>
    <x v="1"/>
  </r>
  <r>
    <s v="O00416"/>
    <s v="C0325"/>
    <s v="P001"/>
    <s v="R011"/>
    <d v="2025-05-03T00:00:00"/>
    <d v="2025-05-31T00:00:00"/>
    <m/>
    <x v="2"/>
    <n v="3"/>
    <n v="0"/>
    <n v="360000"/>
    <n v="20"/>
    <s v=""/>
    <s v="West"/>
    <x v="4"/>
    <s v="CRM"/>
    <x v="12"/>
    <x v="1"/>
  </r>
  <r>
    <s v="O00417"/>
    <s v="C0064"/>
    <s v="P004"/>
    <s v="R016"/>
    <d v="2025-11-12T00:00:00"/>
    <d v="2025-11-19T00:00:00"/>
    <d v="2025-11-19T00:00:00"/>
    <x v="1"/>
    <n v="2"/>
    <n v="20"/>
    <n v="480000"/>
    <n v="100"/>
    <s v=""/>
    <s v="East"/>
    <x v="5"/>
    <s v="Analytics"/>
    <x v="8"/>
    <x v="3"/>
  </r>
  <r>
    <s v="O00418"/>
    <s v="C0430"/>
    <s v="P002"/>
    <s v="R005"/>
    <d v="2025-06-30T00:00:00"/>
    <d v="2025-08-30T00:00:00"/>
    <m/>
    <x v="2"/>
    <n v="2"/>
    <n v="15"/>
    <n v="714000"/>
    <n v="40"/>
    <s v=""/>
    <s v="South"/>
    <x v="0"/>
    <s v="CRM"/>
    <x v="11"/>
    <x v="2"/>
  </r>
  <r>
    <s v="O00419"/>
    <s v="C0002"/>
    <s v="P006"/>
    <s v="R010"/>
    <d v="2025-07-21T00:00:00"/>
    <d v="2025-09-05T00:00:00"/>
    <d v="2025-09-05T00:00:00"/>
    <x v="1"/>
    <n v="3"/>
    <n v="0"/>
    <n v="1080000"/>
    <n v="100"/>
    <s v=""/>
    <s v="North"/>
    <x v="2"/>
    <s v="Security"/>
    <x v="16"/>
    <x v="0"/>
  </r>
  <r>
    <s v="O00420"/>
    <s v="C0005"/>
    <s v="P001"/>
    <s v="R004"/>
    <d v="2025-09-09T00:00:00"/>
    <d v="2025-11-22T00:00:00"/>
    <d v="2025-11-22T00:00:00"/>
    <x v="1"/>
    <n v="3"/>
    <n v="5"/>
    <n v="342000"/>
    <n v="100"/>
    <s v=""/>
    <s v="South"/>
    <x v="4"/>
    <s v="CRM"/>
    <x v="3"/>
    <x v="2"/>
  </r>
  <r>
    <s v="O00421"/>
    <s v="C0203"/>
    <s v="P003"/>
    <s v="R018"/>
    <d v="2025-07-06T00:00:00"/>
    <d v="2025-08-05T00:00:00"/>
    <d v="2025-08-05T00:00:00"/>
    <x v="0"/>
    <n v="3"/>
    <n v="10"/>
    <n v="648000"/>
    <n v="0"/>
    <s v="No decision"/>
    <s v="East"/>
    <x v="1"/>
    <s v="Automation"/>
    <x v="18"/>
    <x v="3"/>
  </r>
  <r>
    <s v="O00422"/>
    <s v="C0381"/>
    <s v="P003"/>
    <s v="R001"/>
    <d v="2025-03-24T00:00:00"/>
    <d v="2025-05-31T00:00:00"/>
    <d v="2025-05-31T00:00:00"/>
    <x v="0"/>
    <n v="1"/>
    <n v="0"/>
    <n v="240000"/>
    <n v="0"/>
    <s v="No decision"/>
    <s v="South"/>
    <x v="1"/>
    <s v="Automation"/>
    <x v="6"/>
    <x v="2"/>
  </r>
  <r>
    <s v="O00423"/>
    <s v="C0122"/>
    <s v="P001"/>
    <s v="R013"/>
    <d v="2025-08-08T00:00:00"/>
    <d v="2025-08-16T00:00:00"/>
    <m/>
    <x v="2"/>
    <n v="2"/>
    <n v="15"/>
    <n v="204000"/>
    <n v="60"/>
    <s v=""/>
    <s v="West"/>
    <x v="4"/>
    <s v="CRM"/>
    <x v="5"/>
    <x v="1"/>
  </r>
  <r>
    <s v="O00424"/>
    <s v="C0359"/>
    <s v="P002"/>
    <s v="R014"/>
    <d v="2025-04-12T00:00:00"/>
    <d v="2025-05-02T00:00:00"/>
    <d v="2025-05-02T00:00:00"/>
    <x v="0"/>
    <n v="3"/>
    <n v="20"/>
    <n v="1008000"/>
    <n v="0"/>
    <s v="Competition"/>
    <s v="West"/>
    <x v="0"/>
    <s v="CRM"/>
    <x v="1"/>
    <x v="1"/>
  </r>
  <r>
    <s v="O00425"/>
    <s v="C0010"/>
    <s v="P005"/>
    <s v="R012"/>
    <d v="2025-02-16T00:00:00"/>
    <d v="2025-04-12T00:00:00"/>
    <m/>
    <x v="2"/>
    <n v="2"/>
    <n v="20"/>
    <n v="288000"/>
    <n v="60"/>
    <s v=""/>
    <s v="West"/>
    <x v="3"/>
    <s v="Service"/>
    <x v="14"/>
    <x v="1"/>
  </r>
  <r>
    <s v="O00426"/>
    <s v="C0057"/>
    <s v="P003"/>
    <s v="R003"/>
    <d v="2025-05-24T00:00:00"/>
    <d v="2025-07-23T00:00:00"/>
    <m/>
    <x v="2"/>
    <n v="1"/>
    <n v="10"/>
    <n v="216000"/>
    <n v="20"/>
    <s v=""/>
    <s v="South"/>
    <x v="1"/>
    <s v="Automation"/>
    <x v="15"/>
    <x v="2"/>
  </r>
  <r>
    <s v="O00427"/>
    <s v="C0466"/>
    <s v="P005"/>
    <s v="R016"/>
    <d v="2025-08-09T00:00:00"/>
    <d v="2025-10-17T00:00:00"/>
    <d v="2025-10-17T00:00:00"/>
    <x v="1"/>
    <n v="1"/>
    <n v="10"/>
    <n v="162000"/>
    <n v="100"/>
    <s v=""/>
    <s v="East"/>
    <x v="3"/>
    <s v="Service"/>
    <x v="8"/>
    <x v="3"/>
  </r>
  <r>
    <s v="O00428"/>
    <s v="C0380"/>
    <s v="P003"/>
    <s v="R020"/>
    <d v="2025-09-28T00:00:00"/>
    <d v="2025-11-04T00:00:00"/>
    <d v="2025-11-04T00:00:00"/>
    <x v="0"/>
    <n v="1"/>
    <n v="5"/>
    <n v="228000"/>
    <n v="0"/>
    <s v="Price"/>
    <s v="East"/>
    <x v="1"/>
    <s v="Automation"/>
    <x v="9"/>
    <x v="3"/>
  </r>
  <r>
    <s v="O00429"/>
    <s v="C0419"/>
    <s v="P002"/>
    <s v="R002"/>
    <d v="2025-12-27T00:00:00"/>
    <d v="2026-01-15T00:00:00"/>
    <m/>
    <x v="2"/>
    <n v="1"/>
    <n v="20"/>
    <n v="336000"/>
    <n v="60"/>
    <s v=""/>
    <s v="South"/>
    <x v="0"/>
    <s v="CRM"/>
    <x v="17"/>
    <x v="2"/>
  </r>
  <r>
    <s v="O00430"/>
    <s v="C0459"/>
    <s v="P003"/>
    <s v="R014"/>
    <d v="2025-11-19T00:00:00"/>
    <d v="2026-01-20T00:00:00"/>
    <m/>
    <x v="2"/>
    <n v="1"/>
    <n v="15"/>
    <n v="204000"/>
    <n v="80"/>
    <s v=""/>
    <s v="West"/>
    <x v="1"/>
    <s v="Automation"/>
    <x v="1"/>
    <x v="1"/>
  </r>
  <r>
    <s v="O00431"/>
    <s v="C0490"/>
    <s v="P005"/>
    <s v="R001"/>
    <d v="2025-12-22T00:00:00"/>
    <d v="2026-02-17T00:00:00"/>
    <m/>
    <x v="2"/>
    <n v="2"/>
    <n v="20"/>
    <n v="288000"/>
    <n v="20"/>
    <s v=""/>
    <s v="South"/>
    <x v="3"/>
    <s v="Service"/>
    <x v="6"/>
    <x v="2"/>
  </r>
  <r>
    <s v="O00432"/>
    <s v="C0095"/>
    <s v="P001"/>
    <s v="R007"/>
    <d v="2025-10-20T00:00:00"/>
    <d v="2025-10-28T00:00:00"/>
    <d v="2025-10-28T00:00:00"/>
    <x v="1"/>
    <n v="3"/>
    <n v="15"/>
    <n v="306000"/>
    <n v="100"/>
    <s v=""/>
    <s v="North"/>
    <x v="4"/>
    <s v="CRM"/>
    <x v="13"/>
    <x v="0"/>
  </r>
  <r>
    <s v="O00433"/>
    <s v="C0021"/>
    <s v="P006"/>
    <s v="R007"/>
    <d v="2025-05-23T00:00:00"/>
    <d v="2025-07-03T00:00:00"/>
    <m/>
    <x v="2"/>
    <n v="1"/>
    <n v="5"/>
    <n v="342000"/>
    <n v="40"/>
    <s v=""/>
    <s v="North"/>
    <x v="2"/>
    <s v="Security"/>
    <x v="13"/>
    <x v="0"/>
  </r>
  <r>
    <s v="O00434"/>
    <s v="C0043"/>
    <s v="P006"/>
    <s v="R010"/>
    <d v="2025-05-16T00:00:00"/>
    <d v="2025-07-14T00:00:00"/>
    <d v="2025-07-14T00:00:00"/>
    <x v="0"/>
    <n v="3"/>
    <n v="10"/>
    <n v="972000"/>
    <n v="0"/>
    <s v="Price"/>
    <s v="North"/>
    <x v="2"/>
    <s v="Security"/>
    <x v="16"/>
    <x v="0"/>
  </r>
  <r>
    <s v="O00435"/>
    <s v="C0132"/>
    <s v="P001"/>
    <s v="R020"/>
    <d v="2025-12-03T00:00:00"/>
    <d v="2026-02-22T00:00:00"/>
    <m/>
    <x v="2"/>
    <n v="1"/>
    <n v="15"/>
    <n v="102000"/>
    <n v="60"/>
    <s v=""/>
    <s v="East"/>
    <x v="4"/>
    <s v="CRM"/>
    <x v="9"/>
    <x v="3"/>
  </r>
  <r>
    <s v="O00436"/>
    <s v="C0229"/>
    <s v="P002"/>
    <s v="R004"/>
    <d v="2025-07-08T00:00:00"/>
    <d v="2025-09-14T00:00:00"/>
    <d v="2025-09-14T00:00:00"/>
    <x v="1"/>
    <n v="1"/>
    <n v="15"/>
    <n v="357000"/>
    <n v="100"/>
    <s v=""/>
    <s v="South"/>
    <x v="0"/>
    <s v="CRM"/>
    <x v="3"/>
    <x v="2"/>
  </r>
  <r>
    <s v="O00437"/>
    <s v="C0037"/>
    <s v="P004"/>
    <s v="R007"/>
    <d v="2025-08-21T00:00:00"/>
    <d v="2025-10-18T00:00:00"/>
    <m/>
    <x v="2"/>
    <n v="1"/>
    <n v="20"/>
    <n v="240000"/>
    <n v="40"/>
    <s v=""/>
    <s v="North"/>
    <x v="5"/>
    <s v="Analytics"/>
    <x v="13"/>
    <x v="0"/>
  </r>
  <r>
    <s v="O00438"/>
    <s v="C0424"/>
    <s v="P001"/>
    <s v="R016"/>
    <d v="2025-03-09T00:00:00"/>
    <d v="2025-03-26T00:00:00"/>
    <d v="2025-03-26T00:00:00"/>
    <x v="1"/>
    <n v="1"/>
    <n v="5"/>
    <n v="114000"/>
    <n v="100"/>
    <s v=""/>
    <s v="East"/>
    <x v="4"/>
    <s v="CRM"/>
    <x v="8"/>
    <x v="3"/>
  </r>
  <r>
    <s v="O00439"/>
    <s v="C0072"/>
    <s v="P004"/>
    <s v="R010"/>
    <d v="2025-08-16T00:00:00"/>
    <d v="2025-10-01T00:00:00"/>
    <m/>
    <x v="2"/>
    <n v="1"/>
    <n v="15"/>
    <n v="255000"/>
    <n v="40"/>
    <s v=""/>
    <s v="North"/>
    <x v="5"/>
    <s v="Analytics"/>
    <x v="16"/>
    <x v="0"/>
  </r>
  <r>
    <s v="O00440"/>
    <s v="C0279"/>
    <s v="P003"/>
    <s v="R011"/>
    <d v="2025-09-19T00:00:00"/>
    <d v="2025-11-18T00:00:00"/>
    <m/>
    <x v="2"/>
    <n v="1"/>
    <n v="0"/>
    <n v="240000"/>
    <n v="40"/>
    <s v=""/>
    <s v="West"/>
    <x v="1"/>
    <s v="Automation"/>
    <x v="12"/>
    <x v="1"/>
  </r>
  <r>
    <s v="O00441"/>
    <s v="C0147"/>
    <s v="P002"/>
    <s v="R004"/>
    <d v="2025-12-18T00:00:00"/>
    <d v="2026-01-08T00:00:00"/>
    <m/>
    <x v="2"/>
    <n v="2"/>
    <n v="5"/>
    <n v="798000"/>
    <n v="20"/>
    <s v=""/>
    <s v="South"/>
    <x v="0"/>
    <s v="CRM"/>
    <x v="3"/>
    <x v="2"/>
  </r>
  <r>
    <s v="O00442"/>
    <s v="C0459"/>
    <s v="P001"/>
    <s v="R015"/>
    <d v="2025-03-19T00:00:00"/>
    <d v="2025-06-01T00:00:00"/>
    <d v="2025-06-01T00:00:00"/>
    <x v="1"/>
    <n v="1"/>
    <n v="20"/>
    <n v="96000"/>
    <n v="100"/>
    <s v=""/>
    <s v="West"/>
    <x v="4"/>
    <s v="CRM"/>
    <x v="7"/>
    <x v="1"/>
  </r>
  <r>
    <s v="O00443"/>
    <s v="C0399"/>
    <s v="P006"/>
    <s v="R017"/>
    <d v="2025-06-13T00:00:00"/>
    <d v="2025-08-16T00:00:00"/>
    <d v="2025-08-16T00:00:00"/>
    <x v="1"/>
    <n v="2"/>
    <n v="0"/>
    <n v="720000"/>
    <n v="100"/>
    <s v=""/>
    <s v="East"/>
    <x v="2"/>
    <s v="Security"/>
    <x v="19"/>
    <x v="3"/>
  </r>
  <r>
    <s v="O00444"/>
    <s v="C0171"/>
    <s v="P002"/>
    <s v="R017"/>
    <d v="2025-07-16T00:00:00"/>
    <d v="2025-09-24T00:00:00"/>
    <d v="2025-09-24T00:00:00"/>
    <x v="0"/>
    <n v="3"/>
    <n v="20"/>
    <n v="1008000"/>
    <n v="0"/>
    <s v="Feature gap"/>
    <s v="East"/>
    <x v="0"/>
    <s v="CRM"/>
    <x v="19"/>
    <x v="3"/>
  </r>
  <r>
    <s v="O00445"/>
    <s v="C0186"/>
    <s v="P001"/>
    <s v="R012"/>
    <d v="2025-01-09T00:00:00"/>
    <d v="2025-03-17T00:00:00"/>
    <d v="2025-03-17T00:00:00"/>
    <x v="0"/>
    <n v="1"/>
    <n v="0"/>
    <n v="120000"/>
    <n v="0"/>
    <s v="Budget"/>
    <s v="West"/>
    <x v="4"/>
    <s v="CRM"/>
    <x v="14"/>
    <x v="1"/>
  </r>
  <r>
    <s v="O00446"/>
    <s v="C0493"/>
    <s v="P006"/>
    <s v="R007"/>
    <d v="2025-07-13T00:00:00"/>
    <d v="2025-09-12T00:00:00"/>
    <d v="2025-09-12T00:00:00"/>
    <x v="0"/>
    <n v="1"/>
    <n v="0"/>
    <n v="360000"/>
    <n v="0"/>
    <s v="Feature gap"/>
    <s v="North"/>
    <x v="2"/>
    <s v="Security"/>
    <x v="13"/>
    <x v="0"/>
  </r>
  <r>
    <s v="O00447"/>
    <s v="C0073"/>
    <s v="P001"/>
    <s v="R007"/>
    <d v="2025-02-09T00:00:00"/>
    <d v="2025-04-10T00:00:00"/>
    <d v="2025-04-10T00:00:00"/>
    <x v="1"/>
    <n v="1"/>
    <n v="5"/>
    <n v="114000"/>
    <n v="100"/>
    <s v=""/>
    <s v="North"/>
    <x v="4"/>
    <s v="CRM"/>
    <x v="13"/>
    <x v="0"/>
  </r>
  <r>
    <s v="O00448"/>
    <s v="C0401"/>
    <s v="P006"/>
    <s v="R016"/>
    <d v="2025-05-27T00:00:00"/>
    <d v="2025-06-10T00:00:00"/>
    <d v="2025-06-10T00:00:00"/>
    <x v="1"/>
    <n v="1"/>
    <n v="20"/>
    <n v="288000"/>
    <n v="100"/>
    <s v=""/>
    <s v="East"/>
    <x v="2"/>
    <s v="Security"/>
    <x v="8"/>
    <x v="3"/>
  </r>
  <r>
    <s v="O00449"/>
    <s v="C0257"/>
    <s v="P003"/>
    <s v="R012"/>
    <d v="2025-08-05T00:00:00"/>
    <d v="2025-09-15T00:00:00"/>
    <m/>
    <x v="2"/>
    <n v="1"/>
    <n v="20"/>
    <n v="192000"/>
    <n v="80"/>
    <s v=""/>
    <s v="West"/>
    <x v="1"/>
    <s v="Automation"/>
    <x v="14"/>
    <x v="1"/>
  </r>
  <r>
    <s v="O00450"/>
    <s v="C0431"/>
    <s v="P001"/>
    <s v="R004"/>
    <d v="2025-09-02T00:00:00"/>
    <d v="2025-10-30T00:00:00"/>
    <d v="2025-10-30T00:00:00"/>
    <x v="1"/>
    <n v="2"/>
    <n v="5"/>
    <n v="228000"/>
    <n v="100"/>
    <s v=""/>
    <s v="South"/>
    <x v="4"/>
    <s v="CRM"/>
    <x v="3"/>
    <x v="2"/>
  </r>
  <r>
    <s v="O00451"/>
    <s v="C0123"/>
    <s v="P003"/>
    <s v="R012"/>
    <d v="2025-10-05T00:00:00"/>
    <d v="2025-11-08T00:00:00"/>
    <d v="2025-11-08T00:00:00"/>
    <x v="1"/>
    <n v="3"/>
    <n v="0"/>
    <n v="720000"/>
    <n v="100"/>
    <s v=""/>
    <s v="West"/>
    <x v="1"/>
    <s v="Automation"/>
    <x v="14"/>
    <x v="1"/>
  </r>
  <r>
    <s v="O00452"/>
    <s v="C0024"/>
    <s v="P001"/>
    <s v="R013"/>
    <d v="2025-02-17T00:00:00"/>
    <d v="2025-02-25T00:00:00"/>
    <m/>
    <x v="2"/>
    <n v="1"/>
    <n v="10"/>
    <n v="108000"/>
    <n v="80"/>
    <s v=""/>
    <s v="West"/>
    <x v="4"/>
    <s v="CRM"/>
    <x v="5"/>
    <x v="1"/>
  </r>
  <r>
    <s v="O00453"/>
    <s v="C0460"/>
    <s v="P006"/>
    <s v="R015"/>
    <d v="2025-02-21T00:00:00"/>
    <d v="2025-03-19T00:00:00"/>
    <d v="2025-03-19T00:00:00"/>
    <x v="0"/>
    <n v="1"/>
    <n v="20"/>
    <n v="288000"/>
    <n v="0"/>
    <s v="No decision"/>
    <s v="West"/>
    <x v="2"/>
    <s v="Security"/>
    <x v="7"/>
    <x v="1"/>
  </r>
  <r>
    <s v="O00454"/>
    <s v="C0454"/>
    <s v="P006"/>
    <s v="R001"/>
    <d v="2025-04-29T00:00:00"/>
    <d v="2025-05-24T00:00:00"/>
    <m/>
    <x v="2"/>
    <n v="1"/>
    <n v="20"/>
    <n v="288000"/>
    <n v="60"/>
    <s v=""/>
    <s v="South"/>
    <x v="2"/>
    <s v="Security"/>
    <x v="6"/>
    <x v="2"/>
  </r>
  <r>
    <s v="O00455"/>
    <s v="C0039"/>
    <s v="P002"/>
    <s v="R005"/>
    <d v="2025-11-18T00:00:00"/>
    <d v="2025-12-07T00:00:00"/>
    <m/>
    <x v="2"/>
    <n v="1"/>
    <n v="5"/>
    <n v="399000"/>
    <n v="60"/>
    <s v=""/>
    <s v="South"/>
    <x v="0"/>
    <s v="CRM"/>
    <x v="11"/>
    <x v="2"/>
  </r>
  <r>
    <s v="O00456"/>
    <s v="C0083"/>
    <s v="P001"/>
    <s v="R003"/>
    <d v="2025-10-23T00:00:00"/>
    <d v="2025-11-10T00:00:00"/>
    <d v="2025-11-10T00:00:00"/>
    <x v="0"/>
    <n v="1"/>
    <n v="5"/>
    <n v="114000"/>
    <n v="0"/>
    <s v="Budget"/>
    <s v="South"/>
    <x v="4"/>
    <s v="CRM"/>
    <x v="15"/>
    <x v="2"/>
  </r>
  <r>
    <s v="O00457"/>
    <s v="C0263"/>
    <s v="P005"/>
    <s v="R013"/>
    <d v="2025-07-11T00:00:00"/>
    <d v="2025-09-08T00:00:00"/>
    <d v="2025-09-08T00:00:00"/>
    <x v="1"/>
    <n v="3"/>
    <n v="15"/>
    <n v="459000"/>
    <n v="100"/>
    <s v=""/>
    <s v="West"/>
    <x v="3"/>
    <s v="Service"/>
    <x v="5"/>
    <x v="1"/>
  </r>
  <r>
    <s v="O00458"/>
    <s v="C0421"/>
    <s v="P005"/>
    <s v="R011"/>
    <d v="2025-03-21T00:00:00"/>
    <d v="2025-05-04T00:00:00"/>
    <m/>
    <x v="2"/>
    <n v="2"/>
    <n v="5"/>
    <n v="342000"/>
    <n v="80"/>
    <s v=""/>
    <s v="West"/>
    <x v="3"/>
    <s v="Service"/>
    <x v="12"/>
    <x v="1"/>
  </r>
  <r>
    <s v="O00459"/>
    <s v="C0239"/>
    <s v="P004"/>
    <s v="R015"/>
    <d v="2025-08-27T00:00:00"/>
    <d v="2025-09-26T00:00:00"/>
    <d v="2025-09-26T00:00:00"/>
    <x v="1"/>
    <n v="1"/>
    <n v="15"/>
    <n v="255000"/>
    <n v="100"/>
    <s v=""/>
    <s v="West"/>
    <x v="5"/>
    <s v="Analytics"/>
    <x v="7"/>
    <x v="1"/>
  </r>
  <r>
    <s v="O00460"/>
    <s v="C0380"/>
    <s v="P004"/>
    <s v="R016"/>
    <d v="2025-05-23T00:00:00"/>
    <d v="2025-08-07T00:00:00"/>
    <d v="2025-08-07T00:00:00"/>
    <x v="0"/>
    <n v="1"/>
    <n v="15"/>
    <n v="255000"/>
    <n v="0"/>
    <s v="Competition"/>
    <s v="East"/>
    <x v="5"/>
    <s v="Analytics"/>
    <x v="8"/>
    <x v="3"/>
  </r>
  <r>
    <s v="O00461"/>
    <s v="C0488"/>
    <s v="P006"/>
    <s v="R004"/>
    <d v="2025-05-19T00:00:00"/>
    <d v="2025-06-17T00:00:00"/>
    <d v="2025-06-17T00:00:00"/>
    <x v="1"/>
    <n v="1"/>
    <n v="5"/>
    <n v="342000"/>
    <n v="100"/>
    <s v=""/>
    <s v="South"/>
    <x v="2"/>
    <s v="Security"/>
    <x v="3"/>
    <x v="2"/>
  </r>
  <r>
    <s v="O00462"/>
    <s v="C0426"/>
    <s v="P001"/>
    <s v="R001"/>
    <d v="2025-08-08T00:00:00"/>
    <d v="2025-09-22T00:00:00"/>
    <d v="2025-09-22T00:00:00"/>
    <x v="1"/>
    <n v="1"/>
    <n v="5"/>
    <n v="114000"/>
    <n v="100"/>
    <s v=""/>
    <s v="South"/>
    <x v="4"/>
    <s v="CRM"/>
    <x v="6"/>
    <x v="2"/>
  </r>
  <r>
    <s v="O00463"/>
    <s v="C0040"/>
    <s v="P006"/>
    <s v="R010"/>
    <d v="2025-11-12T00:00:00"/>
    <d v="2025-12-29T00:00:00"/>
    <d v="2025-12-29T00:00:00"/>
    <x v="1"/>
    <n v="1"/>
    <n v="5"/>
    <n v="342000"/>
    <n v="100"/>
    <s v=""/>
    <s v="North"/>
    <x v="2"/>
    <s v="Security"/>
    <x v="16"/>
    <x v="0"/>
  </r>
  <r>
    <s v="O00464"/>
    <s v="C0483"/>
    <s v="P002"/>
    <s v="R009"/>
    <d v="2025-11-24T00:00:00"/>
    <d v="2025-12-13T00:00:00"/>
    <m/>
    <x v="2"/>
    <n v="1"/>
    <n v="5"/>
    <n v="399000"/>
    <n v="40"/>
    <s v=""/>
    <s v="North"/>
    <x v="0"/>
    <s v="CRM"/>
    <x v="4"/>
    <x v="0"/>
  </r>
  <r>
    <s v="O00465"/>
    <s v="C0460"/>
    <s v="P003"/>
    <s v="R015"/>
    <d v="2025-03-05T00:00:00"/>
    <d v="2025-05-09T00:00:00"/>
    <d v="2025-05-09T00:00:00"/>
    <x v="0"/>
    <n v="2"/>
    <n v="15"/>
    <n v="408000"/>
    <n v="0"/>
    <s v="Budget"/>
    <s v="West"/>
    <x v="1"/>
    <s v="Automation"/>
    <x v="7"/>
    <x v="1"/>
  </r>
  <r>
    <s v="O00466"/>
    <s v="C0353"/>
    <s v="P006"/>
    <s v="R014"/>
    <d v="2025-11-21T00:00:00"/>
    <d v="2025-12-10T00:00:00"/>
    <d v="2025-12-10T00:00:00"/>
    <x v="1"/>
    <n v="1"/>
    <n v="0"/>
    <n v="360000"/>
    <n v="100"/>
    <s v=""/>
    <s v="West"/>
    <x v="2"/>
    <s v="Security"/>
    <x v="1"/>
    <x v="1"/>
  </r>
  <r>
    <s v="O00467"/>
    <s v="C0052"/>
    <s v="P006"/>
    <s v="R019"/>
    <d v="2025-09-15T00:00:00"/>
    <d v="2025-09-26T00:00:00"/>
    <d v="2025-09-26T00:00:00"/>
    <x v="0"/>
    <n v="1"/>
    <n v="15"/>
    <n v="306000"/>
    <n v="0"/>
    <s v="Competition"/>
    <s v="East"/>
    <x v="2"/>
    <s v="Security"/>
    <x v="10"/>
    <x v="3"/>
  </r>
  <r>
    <s v="O00468"/>
    <s v="C0146"/>
    <s v="P003"/>
    <s v="R008"/>
    <d v="2025-06-07T00:00:00"/>
    <d v="2025-08-06T00:00:00"/>
    <m/>
    <x v="2"/>
    <n v="1"/>
    <n v="0"/>
    <n v="240000"/>
    <n v="80"/>
    <s v=""/>
    <s v="North"/>
    <x v="1"/>
    <s v="Automation"/>
    <x v="0"/>
    <x v="0"/>
  </r>
  <r>
    <s v="O00469"/>
    <s v="C0420"/>
    <s v="P006"/>
    <s v="R010"/>
    <d v="2025-06-12T00:00:00"/>
    <d v="2025-08-31T00:00:00"/>
    <d v="2025-08-31T00:00:00"/>
    <x v="1"/>
    <n v="2"/>
    <n v="5"/>
    <n v="684000"/>
    <n v="100"/>
    <s v=""/>
    <s v="North"/>
    <x v="2"/>
    <s v="Security"/>
    <x v="16"/>
    <x v="0"/>
  </r>
  <r>
    <s v="O00470"/>
    <s v="C0463"/>
    <s v="P003"/>
    <s v="R005"/>
    <d v="2025-03-23T00:00:00"/>
    <d v="2025-04-11T00:00:00"/>
    <d v="2025-04-11T00:00:00"/>
    <x v="0"/>
    <n v="1"/>
    <n v="20"/>
    <n v="192000"/>
    <n v="0"/>
    <s v="Feature gap"/>
    <s v="South"/>
    <x v="1"/>
    <s v="Automation"/>
    <x v="11"/>
    <x v="2"/>
  </r>
  <r>
    <s v="O00471"/>
    <s v="C0279"/>
    <s v="P001"/>
    <s v="R015"/>
    <d v="2025-07-15T00:00:00"/>
    <d v="2025-08-07T00:00:00"/>
    <d v="2025-08-07T00:00:00"/>
    <x v="1"/>
    <n v="2"/>
    <n v="10"/>
    <n v="216000"/>
    <n v="100"/>
    <s v=""/>
    <s v="West"/>
    <x v="4"/>
    <s v="CRM"/>
    <x v="7"/>
    <x v="1"/>
  </r>
  <r>
    <s v="O00472"/>
    <s v="C0338"/>
    <s v="P001"/>
    <s v="R018"/>
    <d v="2025-02-12T00:00:00"/>
    <d v="2025-02-21T00:00:00"/>
    <m/>
    <x v="2"/>
    <n v="3"/>
    <n v="0"/>
    <n v="360000"/>
    <n v="20"/>
    <s v=""/>
    <s v="East"/>
    <x v="4"/>
    <s v="CRM"/>
    <x v="18"/>
    <x v="3"/>
  </r>
  <r>
    <s v="O00473"/>
    <s v="C0408"/>
    <s v="P001"/>
    <s v="R019"/>
    <d v="2025-02-07T00:00:00"/>
    <d v="2025-02-23T00:00:00"/>
    <d v="2025-02-23T00:00:00"/>
    <x v="0"/>
    <n v="1"/>
    <n v="15"/>
    <n v="102000"/>
    <n v="0"/>
    <s v="Budget"/>
    <s v="East"/>
    <x v="4"/>
    <s v="CRM"/>
    <x v="10"/>
    <x v="3"/>
  </r>
  <r>
    <s v="O00474"/>
    <s v="C0380"/>
    <s v="P003"/>
    <s v="R016"/>
    <d v="2025-04-09T00:00:00"/>
    <d v="2025-06-23T00:00:00"/>
    <d v="2025-06-23T00:00:00"/>
    <x v="0"/>
    <n v="1"/>
    <n v="20"/>
    <n v="192000"/>
    <n v="0"/>
    <s v="Competition"/>
    <s v="East"/>
    <x v="1"/>
    <s v="Automation"/>
    <x v="8"/>
    <x v="3"/>
  </r>
  <r>
    <s v="O00475"/>
    <s v="C0489"/>
    <s v="P001"/>
    <s v="R013"/>
    <d v="2025-12-29T00:00:00"/>
    <d v="2026-02-11T00:00:00"/>
    <m/>
    <x v="2"/>
    <n v="2"/>
    <n v="15"/>
    <n v="204000"/>
    <n v="80"/>
    <s v=""/>
    <s v="West"/>
    <x v="4"/>
    <s v="CRM"/>
    <x v="5"/>
    <x v="1"/>
  </r>
  <r>
    <s v="O00476"/>
    <s v="C0453"/>
    <s v="P004"/>
    <s v="R009"/>
    <d v="2025-11-02T00:00:00"/>
    <d v="2025-12-19T00:00:00"/>
    <d v="2025-12-19T00:00:00"/>
    <x v="0"/>
    <n v="3"/>
    <n v="0"/>
    <n v="900000"/>
    <n v="0"/>
    <s v="No decision"/>
    <s v="North"/>
    <x v="5"/>
    <s v="Analytics"/>
    <x v="4"/>
    <x v="0"/>
  </r>
  <r>
    <s v="O00477"/>
    <s v="C0130"/>
    <s v="P005"/>
    <s v="R009"/>
    <d v="2025-05-31T00:00:00"/>
    <d v="2025-08-13T00:00:00"/>
    <d v="2025-08-13T00:00:00"/>
    <x v="0"/>
    <n v="1"/>
    <n v="15"/>
    <n v="153000"/>
    <n v="0"/>
    <s v="Price"/>
    <s v="North"/>
    <x v="3"/>
    <s v="Service"/>
    <x v="4"/>
    <x v="0"/>
  </r>
  <r>
    <s v="O00478"/>
    <s v="C0075"/>
    <s v="P003"/>
    <s v="R011"/>
    <d v="2025-01-05T00:00:00"/>
    <d v="2025-01-13T00:00:00"/>
    <d v="2025-01-13T00:00:00"/>
    <x v="1"/>
    <n v="1"/>
    <n v="5"/>
    <n v="228000"/>
    <n v="100"/>
    <s v=""/>
    <s v="West"/>
    <x v="1"/>
    <s v="Automation"/>
    <x v="12"/>
    <x v="1"/>
  </r>
  <r>
    <s v="O00479"/>
    <s v="C0367"/>
    <s v="P005"/>
    <s v="R011"/>
    <d v="2025-10-21T00:00:00"/>
    <d v="2025-12-20T00:00:00"/>
    <m/>
    <x v="2"/>
    <n v="2"/>
    <n v="10"/>
    <n v="324000"/>
    <n v="60"/>
    <s v=""/>
    <s v="West"/>
    <x v="3"/>
    <s v="Service"/>
    <x v="12"/>
    <x v="1"/>
  </r>
  <r>
    <s v="O00480"/>
    <s v="C0232"/>
    <s v="P002"/>
    <s v="R015"/>
    <d v="2025-06-17T00:00:00"/>
    <d v="2025-07-24T00:00:00"/>
    <d v="2025-07-24T00:00:00"/>
    <x v="0"/>
    <n v="3"/>
    <n v="0"/>
    <n v="1260000"/>
    <n v="0"/>
    <s v="Price"/>
    <s v="West"/>
    <x v="0"/>
    <s v="CRM"/>
    <x v="7"/>
    <x v="1"/>
  </r>
  <r>
    <s v="O00481"/>
    <s v="C0471"/>
    <s v="P005"/>
    <s v="R001"/>
    <d v="2025-06-22T00:00:00"/>
    <d v="2025-07-07T00:00:00"/>
    <d v="2025-07-07T00:00:00"/>
    <x v="0"/>
    <n v="2"/>
    <n v="0"/>
    <n v="360000"/>
    <n v="0"/>
    <s v="Budget"/>
    <s v="South"/>
    <x v="3"/>
    <s v="Service"/>
    <x v="6"/>
    <x v="2"/>
  </r>
  <r>
    <s v="O00482"/>
    <s v="C0233"/>
    <s v="P004"/>
    <s v="R006"/>
    <d v="2025-07-11T00:00:00"/>
    <d v="2025-07-31T00:00:00"/>
    <m/>
    <x v="2"/>
    <n v="1"/>
    <n v="5"/>
    <n v="285000"/>
    <n v="20"/>
    <s v=""/>
    <s v="North"/>
    <x v="5"/>
    <s v="Analytics"/>
    <x v="2"/>
    <x v="0"/>
  </r>
  <r>
    <s v="O00483"/>
    <s v="C0046"/>
    <s v="P002"/>
    <s v="R013"/>
    <d v="2025-10-03T00:00:00"/>
    <d v="2025-10-16T00:00:00"/>
    <m/>
    <x v="2"/>
    <n v="1"/>
    <n v="0"/>
    <n v="420000"/>
    <n v="20"/>
    <s v=""/>
    <s v="West"/>
    <x v="0"/>
    <s v="CRM"/>
    <x v="5"/>
    <x v="1"/>
  </r>
  <r>
    <s v="O00484"/>
    <s v="C0139"/>
    <s v="P006"/>
    <s v="R017"/>
    <d v="2025-03-12T00:00:00"/>
    <d v="2025-04-03T00:00:00"/>
    <d v="2025-04-03T00:00:00"/>
    <x v="0"/>
    <n v="1"/>
    <n v="10"/>
    <n v="324000"/>
    <n v="0"/>
    <s v="Feature gap"/>
    <s v="East"/>
    <x v="2"/>
    <s v="Security"/>
    <x v="19"/>
    <x v="3"/>
  </r>
  <r>
    <s v="O00485"/>
    <s v="C0048"/>
    <s v="P003"/>
    <s v="R003"/>
    <d v="2025-12-31T00:00:00"/>
    <d v="2026-03-19T00:00:00"/>
    <m/>
    <x v="2"/>
    <n v="1"/>
    <n v="5"/>
    <n v="228000"/>
    <n v="20"/>
    <s v=""/>
    <s v="South"/>
    <x v="1"/>
    <s v="Automation"/>
    <x v="15"/>
    <x v="2"/>
  </r>
  <r>
    <s v="O00486"/>
    <s v="C0420"/>
    <s v="P004"/>
    <s v="R007"/>
    <d v="2025-09-07T00:00:00"/>
    <d v="2025-10-10T00:00:00"/>
    <d v="2025-10-10T00:00:00"/>
    <x v="1"/>
    <n v="3"/>
    <n v="20"/>
    <n v="720000"/>
    <n v="100"/>
    <s v=""/>
    <s v="North"/>
    <x v="5"/>
    <s v="Analytics"/>
    <x v="13"/>
    <x v="0"/>
  </r>
  <r>
    <s v="O00487"/>
    <s v="C0097"/>
    <s v="P001"/>
    <s v="R008"/>
    <d v="2025-08-05T00:00:00"/>
    <d v="2025-09-20T00:00:00"/>
    <d v="2025-09-20T00:00:00"/>
    <x v="1"/>
    <n v="3"/>
    <n v="0"/>
    <n v="360000"/>
    <n v="100"/>
    <s v=""/>
    <s v="North"/>
    <x v="4"/>
    <s v="CRM"/>
    <x v="0"/>
    <x v="0"/>
  </r>
  <r>
    <s v="O00488"/>
    <s v="C0475"/>
    <s v="P005"/>
    <s v="R011"/>
    <d v="2025-07-01T00:00:00"/>
    <d v="2025-07-27T00:00:00"/>
    <d v="2025-07-27T00:00:00"/>
    <x v="0"/>
    <n v="2"/>
    <n v="20"/>
    <n v="288000"/>
    <n v="0"/>
    <s v="Feature gap"/>
    <s v="West"/>
    <x v="3"/>
    <s v="Service"/>
    <x v="12"/>
    <x v="1"/>
  </r>
  <r>
    <s v="O00489"/>
    <s v="C0097"/>
    <s v="P004"/>
    <s v="R007"/>
    <d v="2025-11-01T00:00:00"/>
    <d v="2026-01-24T00:00:00"/>
    <m/>
    <x v="2"/>
    <n v="2"/>
    <n v="20"/>
    <n v="480000"/>
    <n v="80"/>
    <s v=""/>
    <s v="North"/>
    <x v="5"/>
    <s v="Analytics"/>
    <x v="13"/>
    <x v="0"/>
  </r>
  <r>
    <s v="O00490"/>
    <s v="C0059"/>
    <s v="P001"/>
    <s v="R016"/>
    <d v="2025-10-22T00:00:00"/>
    <d v="2025-11-06T00:00:00"/>
    <d v="2025-11-06T00:00:00"/>
    <x v="1"/>
    <n v="3"/>
    <n v="0"/>
    <n v="360000"/>
    <n v="100"/>
    <s v=""/>
    <s v="East"/>
    <x v="4"/>
    <s v="CRM"/>
    <x v="8"/>
    <x v="3"/>
  </r>
  <r>
    <s v="O00491"/>
    <s v="C0088"/>
    <s v="P002"/>
    <s v="R003"/>
    <d v="2025-11-23T00:00:00"/>
    <d v="2026-02-14T00:00:00"/>
    <m/>
    <x v="2"/>
    <n v="1"/>
    <n v="0"/>
    <n v="420000"/>
    <n v="20"/>
    <s v=""/>
    <s v="South"/>
    <x v="0"/>
    <s v="CRM"/>
    <x v="15"/>
    <x v="2"/>
  </r>
  <r>
    <s v="O00492"/>
    <s v="C0096"/>
    <s v="P003"/>
    <s v="R019"/>
    <d v="2025-03-14T00:00:00"/>
    <d v="2025-05-20T00:00:00"/>
    <m/>
    <x v="2"/>
    <n v="2"/>
    <n v="10"/>
    <n v="432000"/>
    <n v="20"/>
    <s v=""/>
    <s v="East"/>
    <x v="1"/>
    <s v="Automation"/>
    <x v="10"/>
    <x v="3"/>
  </r>
  <r>
    <s v="O00493"/>
    <s v="C0251"/>
    <s v="P002"/>
    <s v="R019"/>
    <d v="2025-02-26T00:00:00"/>
    <d v="2025-03-07T00:00:00"/>
    <d v="2025-03-07T00:00:00"/>
    <x v="1"/>
    <n v="3"/>
    <n v="10"/>
    <n v="1134000"/>
    <n v="100"/>
    <s v=""/>
    <s v="East"/>
    <x v="0"/>
    <s v="CRM"/>
    <x v="10"/>
    <x v="3"/>
  </r>
  <r>
    <s v="O00494"/>
    <s v="C0132"/>
    <s v="P006"/>
    <s v="R019"/>
    <d v="2025-05-10T00:00:00"/>
    <d v="2025-05-18T00:00:00"/>
    <d v="2025-05-18T00:00:00"/>
    <x v="0"/>
    <n v="1"/>
    <n v="10"/>
    <n v="324000"/>
    <n v="0"/>
    <s v="Feature gap"/>
    <s v="East"/>
    <x v="2"/>
    <s v="Security"/>
    <x v="10"/>
    <x v="3"/>
  </r>
  <r>
    <s v="O00495"/>
    <s v="C0380"/>
    <s v="P006"/>
    <s v="R019"/>
    <d v="2025-07-04T00:00:00"/>
    <d v="2025-07-22T00:00:00"/>
    <d v="2025-07-22T00:00:00"/>
    <x v="1"/>
    <n v="1"/>
    <n v="15"/>
    <n v="306000"/>
    <n v="100"/>
    <s v=""/>
    <s v="East"/>
    <x v="2"/>
    <s v="Security"/>
    <x v="10"/>
    <x v="3"/>
  </r>
  <r>
    <s v="O00496"/>
    <s v="C0159"/>
    <s v="P002"/>
    <s v="R001"/>
    <d v="2025-10-24T00:00:00"/>
    <d v="2025-12-13T00:00:00"/>
    <d v="2025-12-13T00:00:00"/>
    <x v="0"/>
    <n v="3"/>
    <n v="0"/>
    <n v="1260000"/>
    <n v="0"/>
    <s v="No decision"/>
    <s v="South"/>
    <x v="0"/>
    <s v="CRM"/>
    <x v="6"/>
    <x v="2"/>
  </r>
  <r>
    <s v="O00497"/>
    <s v="C0341"/>
    <s v="P002"/>
    <s v="R003"/>
    <d v="2025-09-07T00:00:00"/>
    <d v="2025-10-21T00:00:00"/>
    <d v="2025-10-21T00:00:00"/>
    <x v="1"/>
    <n v="1"/>
    <n v="15"/>
    <n v="357000"/>
    <n v="100"/>
    <s v=""/>
    <s v="South"/>
    <x v="0"/>
    <s v="CRM"/>
    <x v="15"/>
    <x v="2"/>
  </r>
  <r>
    <s v="O00498"/>
    <s v="C0339"/>
    <s v="P001"/>
    <s v="R011"/>
    <d v="2025-05-09T00:00:00"/>
    <d v="2025-06-21T00:00:00"/>
    <d v="2025-06-21T00:00:00"/>
    <x v="1"/>
    <n v="3"/>
    <n v="20"/>
    <n v="288000"/>
    <n v="100"/>
    <s v=""/>
    <s v="West"/>
    <x v="4"/>
    <s v="CRM"/>
    <x v="12"/>
    <x v="1"/>
  </r>
  <r>
    <s v="O00499"/>
    <s v="C0471"/>
    <s v="P001"/>
    <s v="R003"/>
    <d v="2025-04-23T00:00:00"/>
    <d v="2025-06-14T00:00:00"/>
    <d v="2025-06-14T00:00:00"/>
    <x v="1"/>
    <n v="1"/>
    <n v="15"/>
    <n v="102000"/>
    <n v="100"/>
    <s v=""/>
    <s v="South"/>
    <x v="4"/>
    <s v="CRM"/>
    <x v="15"/>
    <x v="2"/>
  </r>
  <r>
    <s v="O00500"/>
    <s v="C0070"/>
    <s v="P004"/>
    <s v="R010"/>
    <d v="2025-04-13T00:00:00"/>
    <d v="2025-04-30T00:00:00"/>
    <d v="2025-04-30T00:00:00"/>
    <x v="1"/>
    <n v="1"/>
    <n v="20"/>
    <n v="240000"/>
    <n v="100"/>
    <s v=""/>
    <s v="North"/>
    <x v="5"/>
    <s v="Analytics"/>
    <x v="16"/>
    <x v="0"/>
  </r>
  <r>
    <s v="O00501"/>
    <s v="C0365"/>
    <s v="P003"/>
    <s v="R019"/>
    <d v="2025-07-01T00:00:00"/>
    <d v="2025-08-30T00:00:00"/>
    <d v="2025-08-30T00:00:00"/>
    <x v="0"/>
    <n v="2"/>
    <n v="15"/>
    <n v="408000"/>
    <n v="0"/>
    <s v="Feature gap"/>
    <s v="East"/>
    <x v="1"/>
    <s v="Automation"/>
    <x v="10"/>
    <x v="3"/>
  </r>
  <r>
    <s v="O00502"/>
    <s v="C0465"/>
    <s v="P003"/>
    <s v="R002"/>
    <d v="2025-10-25T00:00:00"/>
    <d v="2025-11-17T00:00:00"/>
    <d v="2025-11-17T00:00:00"/>
    <x v="0"/>
    <n v="3"/>
    <n v="20"/>
    <n v="576000"/>
    <n v="0"/>
    <s v="Price"/>
    <s v="South"/>
    <x v="1"/>
    <s v="Automation"/>
    <x v="17"/>
    <x v="2"/>
  </r>
  <r>
    <s v="O00503"/>
    <s v="C0050"/>
    <s v="P003"/>
    <s v="R005"/>
    <d v="2025-09-04T00:00:00"/>
    <d v="2025-09-18T00:00:00"/>
    <d v="2025-09-18T00:00:00"/>
    <x v="0"/>
    <n v="1"/>
    <n v="20"/>
    <n v="192000"/>
    <n v="0"/>
    <s v="Competition"/>
    <s v="South"/>
    <x v="1"/>
    <s v="Automation"/>
    <x v="11"/>
    <x v="2"/>
  </r>
  <r>
    <s v="O00504"/>
    <s v="C0480"/>
    <s v="P001"/>
    <s v="R014"/>
    <d v="2025-11-16T00:00:00"/>
    <d v="2025-12-07T00:00:00"/>
    <d v="2025-12-07T00:00:00"/>
    <x v="0"/>
    <n v="1"/>
    <n v="0"/>
    <n v="120000"/>
    <n v="0"/>
    <s v="Feature gap"/>
    <s v="West"/>
    <x v="4"/>
    <s v="CRM"/>
    <x v="1"/>
    <x v="1"/>
  </r>
  <r>
    <s v="O00505"/>
    <s v="C0013"/>
    <s v="P005"/>
    <s v="R014"/>
    <d v="2025-07-20T00:00:00"/>
    <d v="2025-08-11T00:00:00"/>
    <d v="2025-08-11T00:00:00"/>
    <x v="1"/>
    <n v="1"/>
    <n v="15"/>
    <n v="153000"/>
    <n v="100"/>
    <s v=""/>
    <s v="West"/>
    <x v="3"/>
    <s v="Service"/>
    <x v="1"/>
    <x v="1"/>
  </r>
  <r>
    <s v="O00506"/>
    <s v="C0075"/>
    <s v="P006"/>
    <s v="R011"/>
    <d v="2025-04-05T00:00:00"/>
    <d v="2025-05-12T00:00:00"/>
    <d v="2025-05-12T00:00:00"/>
    <x v="1"/>
    <n v="1"/>
    <n v="20"/>
    <n v="288000"/>
    <n v="100"/>
    <s v=""/>
    <s v="West"/>
    <x v="2"/>
    <s v="Security"/>
    <x v="12"/>
    <x v="1"/>
  </r>
  <r>
    <s v="O00507"/>
    <s v="C0015"/>
    <s v="P003"/>
    <s v="R004"/>
    <d v="2025-03-03T00:00:00"/>
    <d v="2025-03-11T00:00:00"/>
    <d v="2025-03-11T00:00:00"/>
    <x v="0"/>
    <n v="3"/>
    <n v="10"/>
    <n v="648000"/>
    <n v="0"/>
    <s v="Feature gap"/>
    <s v="South"/>
    <x v="1"/>
    <s v="Automation"/>
    <x v="3"/>
    <x v="2"/>
  </r>
  <r>
    <s v="O00508"/>
    <s v="C0263"/>
    <s v="P001"/>
    <s v="R012"/>
    <d v="2025-12-02T00:00:00"/>
    <d v="2026-02-19T00:00:00"/>
    <m/>
    <x v="2"/>
    <n v="1"/>
    <n v="15"/>
    <n v="102000"/>
    <n v="40"/>
    <s v=""/>
    <s v="West"/>
    <x v="4"/>
    <s v="CRM"/>
    <x v="14"/>
    <x v="1"/>
  </r>
  <r>
    <s v="O00509"/>
    <s v="C0475"/>
    <s v="P005"/>
    <s v="R015"/>
    <d v="2025-05-13T00:00:00"/>
    <d v="2025-06-30T00:00:00"/>
    <d v="2025-06-30T00:00:00"/>
    <x v="1"/>
    <n v="3"/>
    <n v="20"/>
    <n v="432000"/>
    <n v="100"/>
    <s v=""/>
    <s v="West"/>
    <x v="3"/>
    <s v="Service"/>
    <x v="7"/>
    <x v="1"/>
  </r>
  <r>
    <s v="O00510"/>
    <s v="C0408"/>
    <s v="P002"/>
    <s v="R016"/>
    <d v="2025-03-31T00:00:00"/>
    <d v="2025-05-26T00:00:00"/>
    <d v="2025-05-26T00:00:00"/>
    <x v="0"/>
    <n v="2"/>
    <n v="0"/>
    <n v="840000"/>
    <n v="0"/>
    <s v="Feature gap"/>
    <s v="East"/>
    <x v="0"/>
    <s v="CRM"/>
    <x v="8"/>
    <x v="3"/>
  </r>
  <r>
    <s v="O00511"/>
    <s v="C0231"/>
    <s v="P004"/>
    <s v="R007"/>
    <d v="2025-11-23T00:00:00"/>
    <d v="2025-12-25T00:00:00"/>
    <d v="2025-12-25T00:00:00"/>
    <x v="0"/>
    <n v="1"/>
    <n v="10"/>
    <n v="270000"/>
    <n v="0"/>
    <s v="No decision"/>
    <s v="North"/>
    <x v="5"/>
    <s v="Analytics"/>
    <x v="13"/>
    <x v="0"/>
  </r>
  <r>
    <s v="O00512"/>
    <s v="C0018"/>
    <s v="P002"/>
    <s v="R011"/>
    <d v="2025-07-04T00:00:00"/>
    <d v="2025-09-21T00:00:00"/>
    <m/>
    <x v="2"/>
    <n v="3"/>
    <n v="0"/>
    <n v="1260000"/>
    <n v="60"/>
    <s v=""/>
    <s v="West"/>
    <x v="0"/>
    <s v="CRM"/>
    <x v="12"/>
    <x v="1"/>
  </r>
  <r>
    <s v="O00513"/>
    <s v="C0317"/>
    <s v="P005"/>
    <s v="R012"/>
    <d v="2025-02-04T00:00:00"/>
    <d v="2025-03-31T00:00:00"/>
    <d v="2025-03-31T00:00:00"/>
    <x v="0"/>
    <n v="1"/>
    <n v="20"/>
    <n v="144000"/>
    <n v="0"/>
    <s v="Competition"/>
    <s v="West"/>
    <x v="3"/>
    <s v="Service"/>
    <x v="14"/>
    <x v="1"/>
  </r>
  <r>
    <s v="O00514"/>
    <s v="C0200"/>
    <s v="P006"/>
    <s v="R008"/>
    <d v="2025-02-04T00:00:00"/>
    <d v="2025-03-03T00:00:00"/>
    <m/>
    <x v="2"/>
    <n v="1"/>
    <n v="0"/>
    <n v="360000"/>
    <n v="40"/>
    <s v=""/>
    <s v="North"/>
    <x v="2"/>
    <s v="Security"/>
    <x v="0"/>
    <x v="0"/>
  </r>
  <r>
    <s v="O00515"/>
    <s v="C0216"/>
    <s v="P003"/>
    <s v="R017"/>
    <d v="2025-06-21T00:00:00"/>
    <d v="2025-07-05T00:00:00"/>
    <m/>
    <x v="2"/>
    <n v="1"/>
    <n v="5"/>
    <n v="228000"/>
    <n v="60"/>
    <s v=""/>
    <s v="East"/>
    <x v="1"/>
    <s v="Automation"/>
    <x v="19"/>
    <x v="3"/>
  </r>
  <r>
    <s v="O00516"/>
    <s v="C0360"/>
    <s v="P001"/>
    <s v="R003"/>
    <d v="2025-02-06T00:00:00"/>
    <d v="2025-04-30T00:00:00"/>
    <m/>
    <x v="2"/>
    <n v="3"/>
    <n v="0"/>
    <n v="360000"/>
    <n v="80"/>
    <s v=""/>
    <s v="South"/>
    <x v="4"/>
    <s v="CRM"/>
    <x v="15"/>
    <x v="2"/>
  </r>
  <r>
    <s v="O00517"/>
    <s v="C0245"/>
    <s v="P003"/>
    <s v="R012"/>
    <d v="2025-01-11T00:00:00"/>
    <d v="2025-01-21T00:00:00"/>
    <m/>
    <x v="2"/>
    <n v="1"/>
    <n v="20"/>
    <n v="192000"/>
    <n v="80"/>
    <s v=""/>
    <s v="West"/>
    <x v="1"/>
    <s v="Automation"/>
    <x v="14"/>
    <x v="1"/>
  </r>
  <r>
    <s v="O00518"/>
    <s v="C0065"/>
    <s v="P004"/>
    <s v="R019"/>
    <d v="2025-10-09T00:00:00"/>
    <d v="2025-12-11T00:00:00"/>
    <d v="2025-12-11T00:00:00"/>
    <x v="1"/>
    <n v="1"/>
    <n v="20"/>
    <n v="240000"/>
    <n v="100"/>
    <s v=""/>
    <s v="East"/>
    <x v="5"/>
    <s v="Analytics"/>
    <x v="10"/>
    <x v="3"/>
  </r>
  <r>
    <s v="O00519"/>
    <s v="C0386"/>
    <s v="P005"/>
    <s v="R020"/>
    <d v="2025-01-24T00:00:00"/>
    <d v="2025-02-01T00:00:00"/>
    <m/>
    <x v="2"/>
    <n v="1"/>
    <n v="0"/>
    <n v="180000"/>
    <n v="20"/>
    <s v=""/>
    <s v="East"/>
    <x v="3"/>
    <s v="Service"/>
    <x v="9"/>
    <x v="3"/>
  </r>
  <r>
    <s v="O00520"/>
    <s v="C0180"/>
    <s v="P005"/>
    <s v="R012"/>
    <d v="2025-05-30T00:00:00"/>
    <d v="2025-07-26T00:00:00"/>
    <d v="2025-07-26T00:00:00"/>
    <x v="1"/>
    <n v="2"/>
    <n v="0"/>
    <n v="360000"/>
    <n v="100"/>
    <s v=""/>
    <s v="West"/>
    <x v="3"/>
    <s v="Service"/>
    <x v="14"/>
    <x v="1"/>
  </r>
  <r>
    <s v="O00521"/>
    <s v="C0228"/>
    <s v="P006"/>
    <s v="R008"/>
    <d v="2025-07-07T00:00:00"/>
    <d v="2025-08-20T00:00:00"/>
    <m/>
    <x v="2"/>
    <n v="1"/>
    <n v="20"/>
    <n v="288000"/>
    <n v="60"/>
    <s v=""/>
    <s v="North"/>
    <x v="2"/>
    <s v="Security"/>
    <x v="0"/>
    <x v="0"/>
  </r>
  <r>
    <s v="O00522"/>
    <s v="C0467"/>
    <s v="P002"/>
    <s v="R005"/>
    <d v="2025-04-29T00:00:00"/>
    <d v="2025-07-15T00:00:00"/>
    <d v="2025-07-15T00:00:00"/>
    <x v="1"/>
    <n v="1"/>
    <n v="0"/>
    <n v="420000"/>
    <n v="100"/>
    <s v=""/>
    <s v="South"/>
    <x v="0"/>
    <s v="CRM"/>
    <x v="11"/>
    <x v="2"/>
  </r>
  <r>
    <s v="O00523"/>
    <s v="C0139"/>
    <s v="P003"/>
    <s v="R020"/>
    <d v="2025-07-16T00:00:00"/>
    <d v="2025-08-02T00:00:00"/>
    <d v="2025-08-02T00:00:00"/>
    <x v="1"/>
    <n v="1"/>
    <n v="10"/>
    <n v="216000"/>
    <n v="100"/>
    <s v=""/>
    <s v="East"/>
    <x v="1"/>
    <s v="Automation"/>
    <x v="9"/>
    <x v="3"/>
  </r>
  <r>
    <s v="O00524"/>
    <s v="C0391"/>
    <s v="P003"/>
    <s v="R006"/>
    <d v="2025-11-08T00:00:00"/>
    <d v="2025-12-28T00:00:00"/>
    <m/>
    <x v="2"/>
    <n v="1"/>
    <n v="20"/>
    <n v="192000"/>
    <n v="40"/>
    <s v=""/>
    <s v="North"/>
    <x v="1"/>
    <s v="Automation"/>
    <x v="2"/>
    <x v="0"/>
  </r>
  <r>
    <s v="O00525"/>
    <s v="C0284"/>
    <s v="P004"/>
    <s v="R018"/>
    <d v="2025-10-01T00:00:00"/>
    <d v="2025-12-20T00:00:00"/>
    <d v="2025-12-20T00:00:00"/>
    <x v="0"/>
    <n v="3"/>
    <n v="20"/>
    <n v="720000"/>
    <n v="0"/>
    <s v="Competition"/>
    <s v="East"/>
    <x v="5"/>
    <s v="Analytics"/>
    <x v="18"/>
    <x v="3"/>
  </r>
  <r>
    <s v="O00526"/>
    <s v="C0316"/>
    <s v="P003"/>
    <s v="R013"/>
    <d v="2025-05-18T00:00:00"/>
    <d v="2025-08-10T00:00:00"/>
    <d v="2025-08-10T00:00:00"/>
    <x v="0"/>
    <n v="1"/>
    <n v="0"/>
    <n v="240000"/>
    <n v="0"/>
    <s v="Feature gap"/>
    <s v="West"/>
    <x v="1"/>
    <s v="Automation"/>
    <x v="5"/>
    <x v="1"/>
  </r>
  <r>
    <s v="O00527"/>
    <s v="C0433"/>
    <s v="P005"/>
    <s v="R017"/>
    <d v="2025-07-29T00:00:00"/>
    <d v="2025-08-15T00:00:00"/>
    <d v="2025-08-15T00:00:00"/>
    <x v="1"/>
    <n v="1"/>
    <n v="20"/>
    <n v="144000"/>
    <n v="100"/>
    <s v=""/>
    <s v="East"/>
    <x v="3"/>
    <s v="Service"/>
    <x v="19"/>
    <x v="3"/>
  </r>
  <r>
    <s v="O00528"/>
    <s v="C0066"/>
    <s v="P002"/>
    <s v="R012"/>
    <d v="2025-03-17T00:00:00"/>
    <d v="2025-03-30T00:00:00"/>
    <m/>
    <x v="2"/>
    <n v="1"/>
    <n v="0"/>
    <n v="420000"/>
    <n v="20"/>
    <s v=""/>
    <s v="West"/>
    <x v="0"/>
    <s v="CRM"/>
    <x v="14"/>
    <x v="1"/>
  </r>
  <r>
    <s v="O00529"/>
    <s v="C0488"/>
    <s v="P006"/>
    <s v="R003"/>
    <d v="2025-05-12T00:00:00"/>
    <d v="2025-07-03T00:00:00"/>
    <d v="2025-07-03T00:00:00"/>
    <x v="1"/>
    <n v="3"/>
    <n v="0"/>
    <n v="1080000"/>
    <n v="100"/>
    <s v=""/>
    <s v="South"/>
    <x v="2"/>
    <s v="Security"/>
    <x v="15"/>
    <x v="2"/>
  </r>
  <r>
    <s v="O00530"/>
    <s v="C0425"/>
    <s v="P006"/>
    <s v="R014"/>
    <d v="2025-02-06T00:00:00"/>
    <d v="2025-03-21T00:00:00"/>
    <d v="2025-03-21T00:00:00"/>
    <x v="0"/>
    <n v="1"/>
    <n v="0"/>
    <n v="360000"/>
    <n v="0"/>
    <s v="Feature gap"/>
    <s v="West"/>
    <x v="2"/>
    <s v="Security"/>
    <x v="1"/>
    <x v="1"/>
  </r>
  <r>
    <s v="O00531"/>
    <s v="C0477"/>
    <s v="P002"/>
    <s v="R010"/>
    <d v="2025-01-14T00:00:00"/>
    <d v="2025-02-17T00:00:00"/>
    <d v="2025-02-17T00:00:00"/>
    <x v="1"/>
    <n v="1"/>
    <n v="20"/>
    <n v="336000"/>
    <n v="100"/>
    <s v=""/>
    <s v="North"/>
    <x v="0"/>
    <s v="CRM"/>
    <x v="16"/>
    <x v="0"/>
  </r>
  <r>
    <s v="O00532"/>
    <s v="C0290"/>
    <s v="P005"/>
    <s v="R010"/>
    <d v="2025-11-19T00:00:00"/>
    <d v="2026-01-18T00:00:00"/>
    <m/>
    <x v="2"/>
    <n v="3"/>
    <n v="0"/>
    <n v="540000"/>
    <n v="20"/>
    <s v=""/>
    <s v="North"/>
    <x v="3"/>
    <s v="Service"/>
    <x v="16"/>
    <x v="0"/>
  </r>
  <r>
    <s v="O00533"/>
    <s v="C0162"/>
    <s v="P006"/>
    <s v="R001"/>
    <d v="2025-12-21T00:00:00"/>
    <d v="2026-02-18T00:00:00"/>
    <m/>
    <x v="2"/>
    <n v="1"/>
    <n v="0"/>
    <n v="360000"/>
    <n v="60"/>
    <s v=""/>
    <s v="South"/>
    <x v="2"/>
    <s v="Security"/>
    <x v="6"/>
    <x v="2"/>
  </r>
  <r>
    <s v="O00534"/>
    <s v="C0118"/>
    <s v="P005"/>
    <s v="R002"/>
    <d v="2025-10-03T00:00:00"/>
    <d v="2025-12-01T00:00:00"/>
    <d v="2025-12-01T00:00:00"/>
    <x v="1"/>
    <n v="3"/>
    <n v="5"/>
    <n v="513000"/>
    <n v="100"/>
    <s v=""/>
    <s v="South"/>
    <x v="3"/>
    <s v="Service"/>
    <x v="17"/>
    <x v="2"/>
  </r>
  <r>
    <s v="O00535"/>
    <s v="C0449"/>
    <s v="P004"/>
    <s v="R001"/>
    <d v="2025-03-27T00:00:00"/>
    <d v="2025-05-06T00:00:00"/>
    <d v="2025-05-06T00:00:00"/>
    <x v="1"/>
    <n v="3"/>
    <n v="15"/>
    <n v="765000"/>
    <n v="100"/>
    <s v=""/>
    <s v="South"/>
    <x v="5"/>
    <s v="Analytics"/>
    <x v="6"/>
    <x v="2"/>
  </r>
  <r>
    <s v="O00536"/>
    <s v="C0463"/>
    <s v="P004"/>
    <s v="R003"/>
    <d v="2025-03-07T00:00:00"/>
    <d v="2025-05-24T00:00:00"/>
    <d v="2025-05-24T00:00:00"/>
    <x v="0"/>
    <n v="1"/>
    <n v="10"/>
    <n v="270000"/>
    <n v="0"/>
    <s v="Budget"/>
    <s v="South"/>
    <x v="5"/>
    <s v="Analytics"/>
    <x v="15"/>
    <x v="2"/>
  </r>
  <r>
    <s v="O00537"/>
    <s v="C0388"/>
    <s v="P004"/>
    <s v="R007"/>
    <d v="2025-04-04T00:00:00"/>
    <d v="2025-06-25T00:00:00"/>
    <d v="2025-06-25T00:00:00"/>
    <x v="0"/>
    <n v="3"/>
    <n v="0"/>
    <n v="900000"/>
    <n v="0"/>
    <s v="Price"/>
    <s v="North"/>
    <x v="5"/>
    <s v="Analytics"/>
    <x v="13"/>
    <x v="0"/>
  </r>
  <r>
    <s v="O00538"/>
    <s v="C0175"/>
    <s v="P001"/>
    <s v="R005"/>
    <d v="2025-09-23T00:00:00"/>
    <d v="2025-12-13T00:00:00"/>
    <m/>
    <x v="2"/>
    <n v="3"/>
    <n v="15"/>
    <n v="306000"/>
    <n v="60"/>
    <s v=""/>
    <s v="South"/>
    <x v="4"/>
    <s v="CRM"/>
    <x v="11"/>
    <x v="2"/>
  </r>
  <r>
    <s v="O00539"/>
    <s v="C0161"/>
    <s v="P001"/>
    <s v="R008"/>
    <d v="2025-05-26T00:00:00"/>
    <d v="2025-07-08T00:00:00"/>
    <d v="2025-07-08T00:00:00"/>
    <x v="1"/>
    <n v="1"/>
    <n v="15"/>
    <n v="102000"/>
    <n v="100"/>
    <s v=""/>
    <s v="North"/>
    <x v="4"/>
    <s v="CRM"/>
    <x v="0"/>
    <x v="0"/>
  </r>
  <r>
    <s v="O00540"/>
    <s v="C0050"/>
    <s v="P002"/>
    <s v="R005"/>
    <d v="2025-09-18T00:00:00"/>
    <d v="2025-09-28T00:00:00"/>
    <m/>
    <x v="2"/>
    <n v="3"/>
    <n v="0"/>
    <n v="1260000"/>
    <n v="40"/>
    <s v=""/>
    <s v="South"/>
    <x v="0"/>
    <s v="CRM"/>
    <x v="11"/>
    <x v="2"/>
  </r>
  <r>
    <s v="O00541"/>
    <s v="C0219"/>
    <s v="P006"/>
    <s v="R004"/>
    <d v="2025-09-24T00:00:00"/>
    <d v="2025-11-28T00:00:00"/>
    <d v="2025-11-28T00:00:00"/>
    <x v="1"/>
    <n v="1"/>
    <n v="0"/>
    <n v="360000"/>
    <n v="100"/>
    <s v=""/>
    <s v="South"/>
    <x v="2"/>
    <s v="Security"/>
    <x v="3"/>
    <x v="2"/>
  </r>
  <r>
    <s v="O00542"/>
    <s v="C0142"/>
    <s v="P004"/>
    <s v="R015"/>
    <d v="2025-12-11T00:00:00"/>
    <d v="2026-01-27T00:00:00"/>
    <m/>
    <x v="2"/>
    <n v="1"/>
    <n v="15"/>
    <n v="255000"/>
    <n v="20"/>
    <s v=""/>
    <s v="West"/>
    <x v="5"/>
    <s v="Analytics"/>
    <x v="7"/>
    <x v="1"/>
  </r>
  <r>
    <s v="O00543"/>
    <s v="C0447"/>
    <s v="P002"/>
    <s v="R017"/>
    <d v="2025-05-16T00:00:00"/>
    <d v="2025-07-24T00:00:00"/>
    <d v="2025-07-24T00:00:00"/>
    <x v="0"/>
    <n v="1"/>
    <n v="15"/>
    <n v="357000"/>
    <n v="0"/>
    <s v="Competition"/>
    <s v="East"/>
    <x v="0"/>
    <s v="CRM"/>
    <x v="19"/>
    <x v="3"/>
  </r>
  <r>
    <s v="O00544"/>
    <s v="C0313"/>
    <s v="P002"/>
    <s v="R002"/>
    <d v="2025-01-20T00:00:00"/>
    <d v="2025-03-01T00:00:00"/>
    <d v="2025-03-01T00:00:00"/>
    <x v="0"/>
    <n v="3"/>
    <n v="15"/>
    <n v="1071000"/>
    <n v="0"/>
    <s v="Budget"/>
    <s v="South"/>
    <x v="0"/>
    <s v="CRM"/>
    <x v="17"/>
    <x v="2"/>
  </r>
  <r>
    <s v="O00545"/>
    <s v="C0050"/>
    <s v="P002"/>
    <s v="R001"/>
    <d v="2025-05-28T00:00:00"/>
    <d v="2025-07-31T00:00:00"/>
    <d v="2025-07-31T00:00:00"/>
    <x v="0"/>
    <n v="1"/>
    <n v="5"/>
    <n v="399000"/>
    <n v="0"/>
    <s v="Price"/>
    <s v="South"/>
    <x v="0"/>
    <s v="CRM"/>
    <x v="6"/>
    <x v="2"/>
  </r>
  <r>
    <s v="O00546"/>
    <s v="C0431"/>
    <s v="P004"/>
    <s v="R005"/>
    <d v="2025-07-30T00:00:00"/>
    <d v="2025-08-09T00:00:00"/>
    <d v="2025-08-09T00:00:00"/>
    <x v="0"/>
    <n v="1"/>
    <n v="10"/>
    <n v="270000"/>
    <n v="0"/>
    <s v="No decision"/>
    <s v="South"/>
    <x v="5"/>
    <s v="Analytics"/>
    <x v="11"/>
    <x v="2"/>
  </r>
  <r>
    <s v="O00547"/>
    <s v="C0201"/>
    <s v="P004"/>
    <s v="R004"/>
    <d v="2025-07-24T00:00:00"/>
    <d v="2025-08-06T00:00:00"/>
    <d v="2025-08-06T00:00:00"/>
    <x v="1"/>
    <n v="1"/>
    <n v="15"/>
    <n v="255000"/>
    <n v="100"/>
    <s v=""/>
    <s v="South"/>
    <x v="5"/>
    <s v="Analytics"/>
    <x v="3"/>
    <x v="2"/>
  </r>
  <r>
    <s v="O00548"/>
    <s v="C0313"/>
    <s v="P003"/>
    <s v="R002"/>
    <d v="2025-11-06T00:00:00"/>
    <d v="2025-11-15T00:00:00"/>
    <d v="2025-11-15T00:00:00"/>
    <x v="0"/>
    <n v="2"/>
    <n v="0"/>
    <n v="480000"/>
    <n v="0"/>
    <s v="Budget"/>
    <s v="South"/>
    <x v="1"/>
    <s v="Automation"/>
    <x v="17"/>
    <x v="2"/>
  </r>
  <r>
    <s v="O00549"/>
    <s v="C0081"/>
    <s v="P005"/>
    <s v="R009"/>
    <d v="2025-04-28T00:00:00"/>
    <d v="2025-05-25T00:00:00"/>
    <d v="2025-05-25T00:00:00"/>
    <x v="1"/>
    <n v="1"/>
    <n v="10"/>
    <n v="162000"/>
    <n v="100"/>
    <s v=""/>
    <s v="North"/>
    <x v="3"/>
    <s v="Service"/>
    <x v="4"/>
    <x v="0"/>
  </r>
  <r>
    <s v="O00550"/>
    <s v="C0406"/>
    <s v="P004"/>
    <s v="R011"/>
    <d v="2025-03-22T00:00:00"/>
    <d v="2025-04-01T00:00:00"/>
    <d v="2025-04-01T00:00:00"/>
    <x v="1"/>
    <n v="1"/>
    <n v="5"/>
    <n v="285000"/>
    <n v="100"/>
    <s v=""/>
    <s v="West"/>
    <x v="5"/>
    <s v="Analytics"/>
    <x v="12"/>
    <x v="1"/>
  </r>
  <r>
    <s v="O00551"/>
    <s v="C0361"/>
    <s v="P006"/>
    <s v="R009"/>
    <d v="2025-01-11T00:00:00"/>
    <d v="2025-03-28T00:00:00"/>
    <d v="2025-03-28T00:00:00"/>
    <x v="1"/>
    <n v="3"/>
    <n v="5"/>
    <n v="1026000"/>
    <n v="100"/>
    <s v=""/>
    <s v="North"/>
    <x v="2"/>
    <s v="Security"/>
    <x v="4"/>
    <x v="0"/>
  </r>
  <r>
    <s v="O00552"/>
    <s v="C0193"/>
    <s v="P003"/>
    <s v="R004"/>
    <d v="2025-02-17T00:00:00"/>
    <d v="2025-04-17T00:00:00"/>
    <d v="2025-04-17T00:00:00"/>
    <x v="1"/>
    <n v="3"/>
    <n v="10"/>
    <n v="648000"/>
    <n v="100"/>
    <s v=""/>
    <s v="South"/>
    <x v="1"/>
    <s v="Automation"/>
    <x v="3"/>
    <x v="2"/>
  </r>
  <r>
    <s v="O00553"/>
    <s v="C0056"/>
    <s v="P004"/>
    <s v="R002"/>
    <d v="2025-10-23T00:00:00"/>
    <d v="2025-12-19T00:00:00"/>
    <m/>
    <x v="2"/>
    <n v="1"/>
    <n v="15"/>
    <n v="255000"/>
    <n v="60"/>
    <s v=""/>
    <s v="South"/>
    <x v="5"/>
    <s v="Analytics"/>
    <x v="17"/>
    <x v="2"/>
  </r>
  <r>
    <s v="O00554"/>
    <s v="C0128"/>
    <s v="P001"/>
    <s v="R002"/>
    <d v="2025-07-26T00:00:00"/>
    <d v="2025-10-01T00:00:00"/>
    <d v="2025-10-01T00:00:00"/>
    <x v="0"/>
    <n v="3"/>
    <n v="20"/>
    <n v="288000"/>
    <n v="0"/>
    <s v="Price"/>
    <s v="South"/>
    <x v="4"/>
    <s v="CRM"/>
    <x v="17"/>
    <x v="2"/>
  </r>
  <r>
    <s v="O00555"/>
    <s v="C0280"/>
    <s v="P004"/>
    <s v="R018"/>
    <d v="2025-11-30T00:00:00"/>
    <d v="2026-02-04T00:00:00"/>
    <m/>
    <x v="2"/>
    <n v="2"/>
    <n v="20"/>
    <n v="480000"/>
    <n v="20"/>
    <s v=""/>
    <s v="East"/>
    <x v="5"/>
    <s v="Analytics"/>
    <x v="18"/>
    <x v="3"/>
  </r>
  <r>
    <s v="O00556"/>
    <s v="C0267"/>
    <s v="P006"/>
    <s v="R006"/>
    <d v="2025-03-27T00:00:00"/>
    <d v="2025-04-17T00:00:00"/>
    <d v="2025-04-17T00:00:00"/>
    <x v="1"/>
    <n v="1"/>
    <n v="15"/>
    <n v="306000"/>
    <n v="100"/>
    <s v=""/>
    <s v="North"/>
    <x v="2"/>
    <s v="Security"/>
    <x v="2"/>
    <x v="0"/>
  </r>
  <r>
    <s v="O00557"/>
    <s v="C0061"/>
    <s v="P004"/>
    <s v="R018"/>
    <d v="2025-12-13T00:00:00"/>
    <d v="2026-01-30T00:00:00"/>
    <m/>
    <x v="2"/>
    <n v="3"/>
    <n v="10"/>
    <n v="810000"/>
    <n v="40"/>
    <s v=""/>
    <s v="East"/>
    <x v="5"/>
    <s v="Analytics"/>
    <x v="18"/>
    <x v="3"/>
  </r>
  <r>
    <s v="O00558"/>
    <s v="C0129"/>
    <s v="P004"/>
    <s v="R009"/>
    <d v="2025-04-18T00:00:00"/>
    <d v="2025-05-12T00:00:00"/>
    <m/>
    <x v="2"/>
    <n v="1"/>
    <n v="20"/>
    <n v="240000"/>
    <n v="80"/>
    <s v=""/>
    <s v="North"/>
    <x v="5"/>
    <s v="Analytics"/>
    <x v="4"/>
    <x v="0"/>
  </r>
  <r>
    <s v="O00559"/>
    <s v="C0003"/>
    <s v="P003"/>
    <s v="R002"/>
    <d v="2025-04-13T00:00:00"/>
    <d v="2025-06-27T00:00:00"/>
    <d v="2025-06-27T00:00:00"/>
    <x v="0"/>
    <n v="2"/>
    <n v="10"/>
    <n v="432000"/>
    <n v="0"/>
    <s v="Price"/>
    <s v="South"/>
    <x v="1"/>
    <s v="Automation"/>
    <x v="17"/>
    <x v="2"/>
  </r>
  <r>
    <s v="O00560"/>
    <s v="C0393"/>
    <s v="P004"/>
    <s v="R003"/>
    <d v="2025-10-15T00:00:00"/>
    <d v="2025-11-16T00:00:00"/>
    <d v="2025-11-16T00:00:00"/>
    <x v="0"/>
    <n v="1"/>
    <n v="20"/>
    <n v="240000"/>
    <n v="0"/>
    <s v="Price"/>
    <s v="South"/>
    <x v="5"/>
    <s v="Analytics"/>
    <x v="15"/>
    <x v="2"/>
  </r>
  <r>
    <s v="O00561"/>
    <s v="C0396"/>
    <s v="P005"/>
    <s v="R010"/>
    <d v="2025-05-22T00:00:00"/>
    <d v="2025-08-15T00:00:00"/>
    <m/>
    <x v="2"/>
    <n v="2"/>
    <n v="5"/>
    <n v="342000"/>
    <n v="40"/>
    <s v=""/>
    <s v="North"/>
    <x v="3"/>
    <s v="Service"/>
    <x v="16"/>
    <x v="0"/>
  </r>
  <r>
    <s v="O00562"/>
    <s v="C0085"/>
    <s v="P004"/>
    <s v="R006"/>
    <d v="2025-06-15T00:00:00"/>
    <d v="2025-06-28T00:00:00"/>
    <d v="2025-06-28T00:00:00"/>
    <x v="1"/>
    <n v="1"/>
    <n v="20"/>
    <n v="240000"/>
    <n v="100"/>
    <s v=""/>
    <s v="North"/>
    <x v="5"/>
    <s v="Analytics"/>
    <x v="2"/>
    <x v="0"/>
  </r>
  <r>
    <s v="O00563"/>
    <s v="C0430"/>
    <s v="P005"/>
    <s v="R003"/>
    <d v="2025-09-29T00:00:00"/>
    <d v="2025-12-22T00:00:00"/>
    <d v="2025-12-22T00:00:00"/>
    <x v="1"/>
    <n v="1"/>
    <n v="5"/>
    <n v="171000"/>
    <n v="100"/>
    <s v=""/>
    <s v="South"/>
    <x v="3"/>
    <s v="Service"/>
    <x v="15"/>
    <x v="2"/>
  </r>
  <r>
    <s v="O00564"/>
    <s v="C0334"/>
    <s v="P003"/>
    <s v="R012"/>
    <d v="2025-01-13T00:00:00"/>
    <d v="2025-03-20T00:00:00"/>
    <m/>
    <x v="2"/>
    <n v="1"/>
    <n v="15"/>
    <n v="204000"/>
    <n v="40"/>
    <s v=""/>
    <s v="West"/>
    <x v="1"/>
    <s v="Automation"/>
    <x v="14"/>
    <x v="1"/>
  </r>
  <r>
    <s v="O00565"/>
    <s v="C0003"/>
    <s v="P005"/>
    <s v="R003"/>
    <d v="2025-06-18T00:00:00"/>
    <d v="2025-08-11T00:00:00"/>
    <d v="2025-08-11T00:00:00"/>
    <x v="1"/>
    <n v="1"/>
    <n v="20"/>
    <n v="144000"/>
    <n v="100"/>
    <s v=""/>
    <s v="South"/>
    <x v="3"/>
    <s v="Service"/>
    <x v="15"/>
    <x v="2"/>
  </r>
  <r>
    <s v="O00566"/>
    <s v="C0422"/>
    <s v="P001"/>
    <s v="R004"/>
    <d v="2025-11-08T00:00:00"/>
    <d v="2026-01-16T00:00:00"/>
    <m/>
    <x v="2"/>
    <n v="1"/>
    <n v="15"/>
    <n v="102000"/>
    <n v="20"/>
    <s v=""/>
    <s v="South"/>
    <x v="4"/>
    <s v="CRM"/>
    <x v="3"/>
    <x v="2"/>
  </r>
  <r>
    <s v="O00567"/>
    <s v="C0377"/>
    <s v="P002"/>
    <s v="R002"/>
    <d v="2025-02-12T00:00:00"/>
    <d v="2025-03-06T00:00:00"/>
    <d v="2025-03-06T00:00:00"/>
    <x v="0"/>
    <n v="1"/>
    <n v="15"/>
    <n v="357000"/>
    <n v="0"/>
    <s v="Budget"/>
    <s v="South"/>
    <x v="0"/>
    <s v="CRM"/>
    <x v="17"/>
    <x v="2"/>
  </r>
  <r>
    <s v="O00568"/>
    <s v="C0009"/>
    <s v="P003"/>
    <s v="R003"/>
    <d v="2025-12-30T00:00:00"/>
    <d v="2026-03-22T00:00:00"/>
    <m/>
    <x v="2"/>
    <n v="1"/>
    <n v="20"/>
    <n v="192000"/>
    <n v="20"/>
    <s v=""/>
    <s v="South"/>
    <x v="1"/>
    <s v="Automation"/>
    <x v="15"/>
    <x v="2"/>
  </r>
  <r>
    <s v="O00569"/>
    <s v="C0089"/>
    <s v="P006"/>
    <s v="R001"/>
    <d v="2025-06-09T00:00:00"/>
    <d v="2025-07-30T00:00:00"/>
    <d v="2025-07-30T00:00:00"/>
    <x v="1"/>
    <n v="1"/>
    <n v="10"/>
    <n v="324000"/>
    <n v="100"/>
    <s v=""/>
    <s v="South"/>
    <x v="2"/>
    <s v="Security"/>
    <x v="6"/>
    <x v="2"/>
  </r>
  <r>
    <s v="O00570"/>
    <s v="C0374"/>
    <s v="P001"/>
    <s v="R002"/>
    <d v="2025-06-12T00:00:00"/>
    <d v="2025-06-21T00:00:00"/>
    <d v="2025-06-21T00:00:00"/>
    <x v="0"/>
    <n v="1"/>
    <n v="0"/>
    <n v="120000"/>
    <n v="0"/>
    <s v="Budget"/>
    <s v="South"/>
    <x v="4"/>
    <s v="CRM"/>
    <x v="17"/>
    <x v="2"/>
  </r>
  <r>
    <s v="O00571"/>
    <s v="C0212"/>
    <s v="P002"/>
    <s v="R017"/>
    <d v="2025-05-20T00:00:00"/>
    <d v="2025-06-18T00:00:00"/>
    <m/>
    <x v="2"/>
    <n v="1"/>
    <n v="10"/>
    <n v="378000"/>
    <n v="80"/>
    <s v=""/>
    <s v="East"/>
    <x v="0"/>
    <s v="CRM"/>
    <x v="19"/>
    <x v="3"/>
  </r>
  <r>
    <s v="O00572"/>
    <s v="C0487"/>
    <s v="P005"/>
    <s v="R014"/>
    <d v="2025-03-21T00:00:00"/>
    <d v="2025-04-23T00:00:00"/>
    <d v="2025-04-23T00:00:00"/>
    <x v="0"/>
    <n v="2"/>
    <n v="10"/>
    <n v="324000"/>
    <n v="0"/>
    <s v="Competition"/>
    <s v="West"/>
    <x v="3"/>
    <s v="Service"/>
    <x v="1"/>
    <x v="1"/>
  </r>
  <r>
    <s v="O00573"/>
    <s v="C0473"/>
    <s v="P001"/>
    <s v="R015"/>
    <d v="2025-12-04T00:00:00"/>
    <d v="2026-02-09T00:00:00"/>
    <m/>
    <x v="2"/>
    <n v="1"/>
    <n v="15"/>
    <n v="102000"/>
    <n v="60"/>
    <s v=""/>
    <s v="West"/>
    <x v="4"/>
    <s v="CRM"/>
    <x v="7"/>
    <x v="1"/>
  </r>
  <r>
    <s v="O00574"/>
    <s v="C0216"/>
    <s v="P004"/>
    <s v="R018"/>
    <d v="2025-06-22T00:00:00"/>
    <d v="2025-07-11T00:00:00"/>
    <d v="2025-07-11T00:00:00"/>
    <x v="0"/>
    <n v="1"/>
    <n v="10"/>
    <n v="270000"/>
    <n v="0"/>
    <s v="Competition"/>
    <s v="East"/>
    <x v="5"/>
    <s v="Analytics"/>
    <x v="18"/>
    <x v="3"/>
  </r>
  <r>
    <s v="O00575"/>
    <s v="C0192"/>
    <s v="P005"/>
    <s v="R008"/>
    <d v="2025-09-05T00:00:00"/>
    <d v="2025-10-20T00:00:00"/>
    <d v="2025-10-20T00:00:00"/>
    <x v="0"/>
    <n v="1"/>
    <n v="5"/>
    <n v="171000"/>
    <n v="0"/>
    <s v="No decision"/>
    <s v="North"/>
    <x v="3"/>
    <s v="Service"/>
    <x v="0"/>
    <x v="0"/>
  </r>
  <r>
    <s v="O00576"/>
    <s v="C0340"/>
    <s v="P003"/>
    <s v="R001"/>
    <d v="2025-02-16T00:00:00"/>
    <d v="2025-03-13T00:00:00"/>
    <d v="2025-03-13T00:00:00"/>
    <x v="1"/>
    <n v="1"/>
    <n v="15"/>
    <n v="204000"/>
    <n v="100"/>
    <s v=""/>
    <s v="South"/>
    <x v="1"/>
    <s v="Automation"/>
    <x v="6"/>
    <x v="2"/>
  </r>
  <r>
    <s v="O00577"/>
    <s v="C0095"/>
    <s v="P002"/>
    <s v="R007"/>
    <d v="2025-08-12T00:00:00"/>
    <d v="2025-09-19T00:00:00"/>
    <d v="2025-09-19T00:00:00"/>
    <x v="1"/>
    <n v="1"/>
    <n v="20"/>
    <n v="336000"/>
    <n v="100"/>
    <s v=""/>
    <s v="North"/>
    <x v="0"/>
    <s v="CRM"/>
    <x v="13"/>
    <x v="0"/>
  </r>
  <r>
    <s v="O00578"/>
    <s v="C0352"/>
    <s v="P004"/>
    <s v="R002"/>
    <d v="2025-08-30T00:00:00"/>
    <d v="2025-11-04T00:00:00"/>
    <d v="2025-11-04T00:00:00"/>
    <x v="0"/>
    <n v="1"/>
    <n v="0"/>
    <n v="300000"/>
    <n v="0"/>
    <s v="Competition"/>
    <s v="South"/>
    <x v="5"/>
    <s v="Analytics"/>
    <x v="17"/>
    <x v="2"/>
  </r>
  <r>
    <s v="O00579"/>
    <s v="C0380"/>
    <s v="P005"/>
    <s v="R016"/>
    <d v="2025-04-24T00:00:00"/>
    <d v="2025-05-23T00:00:00"/>
    <m/>
    <x v="2"/>
    <n v="1"/>
    <n v="10"/>
    <n v="162000"/>
    <n v="60"/>
    <s v=""/>
    <s v="East"/>
    <x v="3"/>
    <s v="Service"/>
    <x v="8"/>
    <x v="3"/>
  </r>
  <r>
    <s v="O00580"/>
    <s v="C0109"/>
    <s v="P003"/>
    <s v="R014"/>
    <d v="2025-02-17T00:00:00"/>
    <d v="2025-03-19T00:00:00"/>
    <d v="2025-03-19T00:00:00"/>
    <x v="1"/>
    <n v="2"/>
    <n v="5"/>
    <n v="456000"/>
    <n v="100"/>
    <s v=""/>
    <s v="West"/>
    <x v="1"/>
    <s v="Automation"/>
    <x v="1"/>
    <x v="1"/>
  </r>
  <r>
    <s v="O00581"/>
    <s v="C0413"/>
    <s v="P001"/>
    <s v="R018"/>
    <d v="2025-12-18T00:00:00"/>
    <d v="2026-02-14T00:00:00"/>
    <m/>
    <x v="2"/>
    <n v="1"/>
    <n v="5"/>
    <n v="114000"/>
    <n v="60"/>
    <s v=""/>
    <s v="East"/>
    <x v="4"/>
    <s v="CRM"/>
    <x v="18"/>
    <x v="3"/>
  </r>
  <r>
    <s v="O00582"/>
    <s v="C0395"/>
    <s v="P001"/>
    <s v="R008"/>
    <d v="2025-08-06T00:00:00"/>
    <d v="2025-08-27T00:00:00"/>
    <d v="2025-08-27T00:00:00"/>
    <x v="1"/>
    <n v="3"/>
    <n v="15"/>
    <n v="306000"/>
    <n v="100"/>
    <s v=""/>
    <s v="North"/>
    <x v="4"/>
    <s v="CRM"/>
    <x v="0"/>
    <x v="0"/>
  </r>
  <r>
    <s v="O00583"/>
    <s v="C0102"/>
    <s v="P005"/>
    <s v="R015"/>
    <d v="2025-08-21T00:00:00"/>
    <d v="2025-10-26T00:00:00"/>
    <d v="2025-10-26T00:00:00"/>
    <x v="0"/>
    <n v="1"/>
    <n v="0"/>
    <n v="180000"/>
    <n v="0"/>
    <s v="No decision"/>
    <s v="West"/>
    <x v="3"/>
    <s v="Service"/>
    <x v="7"/>
    <x v="1"/>
  </r>
  <r>
    <s v="O00584"/>
    <s v="C0229"/>
    <s v="P003"/>
    <s v="R003"/>
    <d v="2025-11-22T00:00:00"/>
    <d v="2025-12-13T00:00:00"/>
    <d v="2025-12-13T00:00:00"/>
    <x v="1"/>
    <n v="1"/>
    <n v="0"/>
    <n v="240000"/>
    <n v="100"/>
    <s v=""/>
    <s v="South"/>
    <x v="1"/>
    <s v="Automation"/>
    <x v="15"/>
    <x v="2"/>
  </r>
  <r>
    <s v="O00585"/>
    <s v="C0458"/>
    <s v="P003"/>
    <s v="R003"/>
    <d v="2025-08-23T00:00:00"/>
    <d v="2025-09-30T00:00:00"/>
    <d v="2025-09-30T00:00:00"/>
    <x v="0"/>
    <n v="3"/>
    <n v="20"/>
    <n v="576000"/>
    <n v="0"/>
    <s v="Price"/>
    <s v="South"/>
    <x v="1"/>
    <s v="Automation"/>
    <x v="15"/>
    <x v="2"/>
  </r>
  <r>
    <s v="O00586"/>
    <s v="C0327"/>
    <s v="P001"/>
    <s v="R019"/>
    <d v="2025-09-20T00:00:00"/>
    <d v="2025-10-07T00:00:00"/>
    <m/>
    <x v="2"/>
    <n v="1"/>
    <n v="10"/>
    <n v="108000"/>
    <n v="80"/>
    <s v=""/>
    <s v="East"/>
    <x v="4"/>
    <s v="CRM"/>
    <x v="10"/>
    <x v="3"/>
  </r>
  <r>
    <s v="O00587"/>
    <s v="C0356"/>
    <s v="P001"/>
    <s v="R018"/>
    <d v="2025-10-21T00:00:00"/>
    <d v="2025-12-22T00:00:00"/>
    <d v="2025-12-22T00:00:00"/>
    <x v="0"/>
    <n v="1"/>
    <n v="5"/>
    <n v="114000"/>
    <n v="0"/>
    <s v="Feature gap"/>
    <s v="East"/>
    <x v="4"/>
    <s v="CRM"/>
    <x v="18"/>
    <x v="3"/>
  </r>
  <r>
    <s v="O00588"/>
    <s v="C0003"/>
    <s v="P004"/>
    <s v="R002"/>
    <d v="2025-01-10T00:00:00"/>
    <d v="2025-02-02T00:00:00"/>
    <m/>
    <x v="2"/>
    <n v="1"/>
    <n v="10"/>
    <n v="270000"/>
    <n v="80"/>
    <s v=""/>
    <s v="South"/>
    <x v="5"/>
    <s v="Analytics"/>
    <x v="17"/>
    <x v="2"/>
  </r>
  <r>
    <s v="O00589"/>
    <s v="C0302"/>
    <s v="P004"/>
    <s v="R005"/>
    <d v="2025-06-18T00:00:00"/>
    <d v="2025-08-24T00:00:00"/>
    <d v="2025-08-24T00:00:00"/>
    <x v="0"/>
    <n v="3"/>
    <n v="0"/>
    <n v="900000"/>
    <n v="0"/>
    <s v="Budget"/>
    <s v="South"/>
    <x v="5"/>
    <s v="Analytics"/>
    <x v="11"/>
    <x v="2"/>
  </r>
  <r>
    <s v="O00590"/>
    <s v="C0437"/>
    <s v="P005"/>
    <s v="R011"/>
    <d v="2025-11-20T00:00:00"/>
    <d v="2026-01-10T00:00:00"/>
    <m/>
    <x v="2"/>
    <n v="1"/>
    <n v="5"/>
    <n v="171000"/>
    <n v="60"/>
    <s v=""/>
    <s v="West"/>
    <x v="3"/>
    <s v="Service"/>
    <x v="12"/>
    <x v="1"/>
  </r>
  <r>
    <s v="O00591"/>
    <s v="C0221"/>
    <s v="P004"/>
    <s v="R001"/>
    <d v="2025-05-26T00:00:00"/>
    <d v="2025-08-03T00:00:00"/>
    <d v="2025-08-03T00:00:00"/>
    <x v="0"/>
    <n v="1"/>
    <n v="15"/>
    <n v="255000"/>
    <n v="0"/>
    <s v="No decision"/>
    <s v="South"/>
    <x v="5"/>
    <s v="Analytics"/>
    <x v="6"/>
    <x v="2"/>
  </r>
  <r>
    <s v="O00592"/>
    <s v="C0149"/>
    <s v="P002"/>
    <s v="R012"/>
    <d v="2025-07-25T00:00:00"/>
    <d v="2025-09-15T00:00:00"/>
    <d v="2025-09-15T00:00:00"/>
    <x v="0"/>
    <n v="1"/>
    <n v="15"/>
    <n v="357000"/>
    <n v="0"/>
    <s v="Budget"/>
    <s v="West"/>
    <x v="0"/>
    <s v="CRM"/>
    <x v="14"/>
    <x v="1"/>
  </r>
  <r>
    <s v="O00593"/>
    <s v="C0388"/>
    <s v="P004"/>
    <s v="R008"/>
    <d v="2025-08-19T00:00:00"/>
    <d v="2025-09-17T00:00:00"/>
    <d v="2025-09-17T00:00:00"/>
    <x v="1"/>
    <n v="2"/>
    <n v="10"/>
    <n v="540000"/>
    <n v="100"/>
    <s v=""/>
    <s v="North"/>
    <x v="5"/>
    <s v="Analytics"/>
    <x v="0"/>
    <x v="0"/>
  </r>
  <r>
    <s v="O00594"/>
    <s v="C0015"/>
    <s v="P005"/>
    <s v="R002"/>
    <d v="2025-03-12T00:00:00"/>
    <d v="2025-05-22T00:00:00"/>
    <d v="2025-05-22T00:00:00"/>
    <x v="0"/>
    <n v="1"/>
    <n v="20"/>
    <n v="144000"/>
    <n v="0"/>
    <s v="Price"/>
    <s v="South"/>
    <x v="3"/>
    <s v="Service"/>
    <x v="17"/>
    <x v="2"/>
  </r>
  <r>
    <s v="O00595"/>
    <s v="C0443"/>
    <s v="P002"/>
    <s v="R017"/>
    <d v="2025-08-23T00:00:00"/>
    <d v="2025-09-29T00:00:00"/>
    <d v="2025-09-29T00:00:00"/>
    <x v="0"/>
    <n v="1"/>
    <n v="15"/>
    <n v="357000"/>
    <n v="0"/>
    <s v="Budget"/>
    <s v="East"/>
    <x v="0"/>
    <s v="CRM"/>
    <x v="19"/>
    <x v="3"/>
  </r>
  <r>
    <s v="O00596"/>
    <s v="C0309"/>
    <s v="P004"/>
    <s v="R002"/>
    <d v="2025-04-01T00:00:00"/>
    <d v="2025-06-11T00:00:00"/>
    <m/>
    <x v="2"/>
    <n v="1"/>
    <n v="20"/>
    <n v="240000"/>
    <n v="60"/>
    <s v=""/>
    <s v="South"/>
    <x v="5"/>
    <s v="Analytics"/>
    <x v="17"/>
    <x v="2"/>
  </r>
  <r>
    <s v="O00597"/>
    <s v="C0241"/>
    <s v="P004"/>
    <s v="R006"/>
    <d v="2025-08-02T00:00:00"/>
    <d v="2025-10-16T00:00:00"/>
    <m/>
    <x v="2"/>
    <n v="1"/>
    <n v="20"/>
    <n v="240000"/>
    <n v="20"/>
    <s v=""/>
    <s v="North"/>
    <x v="5"/>
    <s v="Analytics"/>
    <x v="2"/>
    <x v="0"/>
  </r>
  <r>
    <s v="O00598"/>
    <s v="C0389"/>
    <s v="P005"/>
    <s v="R001"/>
    <d v="2025-03-28T00:00:00"/>
    <d v="2025-05-17T00:00:00"/>
    <d v="2025-05-17T00:00:00"/>
    <x v="0"/>
    <n v="1"/>
    <n v="5"/>
    <n v="171000"/>
    <n v="0"/>
    <s v="Competition"/>
    <s v="South"/>
    <x v="3"/>
    <s v="Service"/>
    <x v="6"/>
    <x v="2"/>
  </r>
  <r>
    <s v="O00599"/>
    <s v="C0152"/>
    <s v="P006"/>
    <s v="R004"/>
    <d v="2025-06-19T00:00:00"/>
    <d v="2025-07-29T00:00:00"/>
    <m/>
    <x v="2"/>
    <n v="3"/>
    <n v="10"/>
    <n v="972000"/>
    <n v="20"/>
    <s v=""/>
    <s v="South"/>
    <x v="2"/>
    <s v="Security"/>
    <x v="3"/>
    <x v="2"/>
  </r>
  <r>
    <s v="O00600"/>
    <s v="C0150"/>
    <s v="P003"/>
    <s v="R017"/>
    <d v="2025-10-18T00:00:00"/>
    <d v="2025-12-24T00:00:00"/>
    <d v="2025-12-24T00:00:00"/>
    <x v="0"/>
    <n v="2"/>
    <n v="10"/>
    <n v="432000"/>
    <n v="0"/>
    <s v="Competition"/>
    <s v="East"/>
    <x v="1"/>
    <s v="Automation"/>
    <x v="19"/>
    <x v="3"/>
  </r>
  <r>
    <s v="O00601"/>
    <s v="C0007"/>
    <s v="P003"/>
    <s v="R003"/>
    <d v="2025-09-18T00:00:00"/>
    <d v="2025-11-30T00:00:00"/>
    <d v="2025-11-30T00:00:00"/>
    <x v="0"/>
    <n v="2"/>
    <n v="15"/>
    <n v="408000"/>
    <n v="0"/>
    <s v="Budget"/>
    <s v="South"/>
    <x v="1"/>
    <s v="Automation"/>
    <x v="15"/>
    <x v="2"/>
  </r>
  <r>
    <s v="O00602"/>
    <s v="C0090"/>
    <s v="P004"/>
    <s v="R014"/>
    <d v="2025-01-08T00:00:00"/>
    <d v="2025-01-23T00:00:00"/>
    <d v="2025-01-23T00:00:00"/>
    <x v="0"/>
    <n v="1"/>
    <n v="5"/>
    <n v="285000"/>
    <n v="0"/>
    <s v="Competition"/>
    <s v="West"/>
    <x v="5"/>
    <s v="Analytics"/>
    <x v="1"/>
    <x v="1"/>
  </r>
  <r>
    <s v="O00603"/>
    <s v="C0468"/>
    <s v="P006"/>
    <s v="R001"/>
    <d v="2025-09-26T00:00:00"/>
    <d v="2025-10-28T00:00:00"/>
    <m/>
    <x v="2"/>
    <n v="1"/>
    <n v="0"/>
    <n v="360000"/>
    <n v="80"/>
    <s v=""/>
    <s v="South"/>
    <x v="2"/>
    <s v="Security"/>
    <x v="6"/>
    <x v="2"/>
  </r>
  <r>
    <s v="O00604"/>
    <s v="C0434"/>
    <s v="P006"/>
    <s v="R010"/>
    <d v="2025-02-10T00:00:00"/>
    <d v="2025-02-24T00:00:00"/>
    <m/>
    <x v="2"/>
    <n v="2"/>
    <n v="20"/>
    <n v="576000"/>
    <n v="40"/>
    <s v=""/>
    <s v="North"/>
    <x v="2"/>
    <s v="Security"/>
    <x v="16"/>
    <x v="0"/>
  </r>
  <r>
    <s v="O00605"/>
    <s v="C0021"/>
    <s v="P005"/>
    <s v="R008"/>
    <d v="2025-10-10T00:00:00"/>
    <d v="2025-11-10T00:00:00"/>
    <d v="2025-11-10T00:00:00"/>
    <x v="1"/>
    <n v="1"/>
    <n v="5"/>
    <n v="171000"/>
    <n v="100"/>
    <s v=""/>
    <s v="North"/>
    <x v="3"/>
    <s v="Service"/>
    <x v="0"/>
    <x v="0"/>
  </r>
  <r>
    <s v="O00606"/>
    <s v="C0275"/>
    <s v="P001"/>
    <s v="R013"/>
    <d v="2025-11-21T00:00:00"/>
    <d v="2026-01-28T00:00:00"/>
    <m/>
    <x v="2"/>
    <n v="1"/>
    <n v="15"/>
    <n v="102000"/>
    <n v="20"/>
    <s v=""/>
    <s v="West"/>
    <x v="4"/>
    <s v="CRM"/>
    <x v="5"/>
    <x v="1"/>
  </r>
  <r>
    <s v="O00607"/>
    <s v="C0100"/>
    <s v="P005"/>
    <s v="R005"/>
    <d v="2025-08-22T00:00:00"/>
    <d v="2025-09-30T00:00:00"/>
    <m/>
    <x v="2"/>
    <n v="2"/>
    <n v="20"/>
    <n v="288000"/>
    <n v="60"/>
    <s v=""/>
    <s v="South"/>
    <x v="3"/>
    <s v="Service"/>
    <x v="11"/>
    <x v="2"/>
  </r>
  <r>
    <s v="O00608"/>
    <s v="C0321"/>
    <s v="P004"/>
    <s v="R016"/>
    <d v="2025-04-04T00:00:00"/>
    <d v="2025-05-21T00:00:00"/>
    <d v="2025-05-21T00:00:00"/>
    <x v="0"/>
    <n v="3"/>
    <n v="15"/>
    <n v="765000"/>
    <n v="0"/>
    <s v="Competition"/>
    <s v="East"/>
    <x v="5"/>
    <s v="Analytics"/>
    <x v="8"/>
    <x v="3"/>
  </r>
  <r>
    <s v="O00609"/>
    <s v="C0100"/>
    <s v="P001"/>
    <s v="R002"/>
    <d v="2025-04-20T00:00:00"/>
    <d v="2025-06-05T00:00:00"/>
    <d v="2025-06-05T00:00:00"/>
    <x v="1"/>
    <n v="1"/>
    <n v="20"/>
    <n v="96000"/>
    <n v="100"/>
    <s v=""/>
    <s v="South"/>
    <x v="4"/>
    <s v="CRM"/>
    <x v="17"/>
    <x v="2"/>
  </r>
  <r>
    <s v="O00610"/>
    <s v="C0080"/>
    <s v="P003"/>
    <s v="R012"/>
    <d v="2025-04-09T00:00:00"/>
    <d v="2025-05-07T00:00:00"/>
    <m/>
    <x v="2"/>
    <n v="1"/>
    <n v="20"/>
    <n v="192000"/>
    <n v="40"/>
    <s v=""/>
    <s v="West"/>
    <x v="1"/>
    <s v="Automation"/>
    <x v="14"/>
    <x v="1"/>
  </r>
  <r>
    <s v="O00611"/>
    <s v="C0075"/>
    <s v="P003"/>
    <s v="R013"/>
    <d v="2025-07-01T00:00:00"/>
    <d v="2025-08-17T00:00:00"/>
    <m/>
    <x v="2"/>
    <n v="2"/>
    <n v="10"/>
    <n v="432000"/>
    <n v="80"/>
    <s v=""/>
    <s v="West"/>
    <x v="1"/>
    <s v="Automation"/>
    <x v="5"/>
    <x v="1"/>
  </r>
  <r>
    <s v="O00612"/>
    <s v="C0367"/>
    <s v="P003"/>
    <s v="R013"/>
    <d v="2025-07-11T00:00:00"/>
    <d v="2025-09-10T00:00:00"/>
    <d v="2025-09-10T00:00:00"/>
    <x v="1"/>
    <n v="2"/>
    <n v="10"/>
    <n v="432000"/>
    <n v="100"/>
    <s v=""/>
    <s v="West"/>
    <x v="1"/>
    <s v="Automation"/>
    <x v="5"/>
    <x v="1"/>
  </r>
  <r>
    <s v="O00613"/>
    <s v="C0167"/>
    <s v="P006"/>
    <s v="R014"/>
    <d v="2025-10-31T00:00:00"/>
    <d v="2025-11-12T00:00:00"/>
    <d v="2025-11-12T00:00:00"/>
    <x v="0"/>
    <n v="2"/>
    <n v="15"/>
    <n v="612000"/>
    <n v="0"/>
    <s v="Budget"/>
    <s v="West"/>
    <x v="2"/>
    <s v="Security"/>
    <x v="1"/>
    <x v="1"/>
  </r>
  <r>
    <s v="O00614"/>
    <s v="C0397"/>
    <s v="P006"/>
    <s v="R019"/>
    <d v="2025-03-19T00:00:00"/>
    <d v="2025-06-09T00:00:00"/>
    <m/>
    <x v="2"/>
    <n v="1"/>
    <n v="20"/>
    <n v="288000"/>
    <n v="40"/>
    <s v=""/>
    <s v="East"/>
    <x v="2"/>
    <s v="Security"/>
    <x v="10"/>
    <x v="3"/>
  </r>
  <r>
    <s v="O00615"/>
    <s v="C0134"/>
    <s v="P005"/>
    <s v="R015"/>
    <d v="2025-05-30T00:00:00"/>
    <d v="2025-06-23T00:00:00"/>
    <d v="2025-06-23T00:00:00"/>
    <x v="0"/>
    <n v="1"/>
    <n v="10"/>
    <n v="162000"/>
    <n v="0"/>
    <s v="No decision"/>
    <s v="West"/>
    <x v="3"/>
    <s v="Service"/>
    <x v="7"/>
    <x v="1"/>
  </r>
  <r>
    <s v="O00616"/>
    <s v="C0498"/>
    <s v="P006"/>
    <s v="R018"/>
    <d v="2025-05-11T00:00:00"/>
    <d v="2025-05-20T00:00:00"/>
    <d v="2025-05-20T00:00:00"/>
    <x v="0"/>
    <n v="1"/>
    <n v="0"/>
    <n v="360000"/>
    <n v="0"/>
    <s v="No decision"/>
    <s v="East"/>
    <x v="2"/>
    <s v="Security"/>
    <x v="18"/>
    <x v="3"/>
  </r>
  <r>
    <s v="O00617"/>
    <s v="C0295"/>
    <s v="P003"/>
    <s v="R011"/>
    <d v="2025-02-08T00:00:00"/>
    <d v="2025-04-27T00:00:00"/>
    <d v="2025-04-27T00:00:00"/>
    <x v="0"/>
    <n v="1"/>
    <n v="20"/>
    <n v="192000"/>
    <n v="0"/>
    <s v="Feature gap"/>
    <s v="West"/>
    <x v="1"/>
    <s v="Automation"/>
    <x v="12"/>
    <x v="1"/>
  </r>
  <r>
    <s v="O00618"/>
    <s v="C0221"/>
    <s v="P003"/>
    <s v="R004"/>
    <d v="2025-08-20T00:00:00"/>
    <d v="2025-09-15T00:00:00"/>
    <m/>
    <x v="2"/>
    <n v="1"/>
    <n v="0"/>
    <n v="240000"/>
    <n v="40"/>
    <s v=""/>
    <s v="South"/>
    <x v="1"/>
    <s v="Automation"/>
    <x v="3"/>
    <x v="2"/>
  </r>
  <r>
    <s v="O00619"/>
    <s v="C0010"/>
    <s v="P001"/>
    <s v="R012"/>
    <d v="2025-06-15T00:00:00"/>
    <d v="2025-07-25T00:00:00"/>
    <d v="2025-07-25T00:00:00"/>
    <x v="0"/>
    <n v="1"/>
    <n v="20"/>
    <n v="96000"/>
    <n v="0"/>
    <s v="Feature gap"/>
    <s v="West"/>
    <x v="4"/>
    <s v="CRM"/>
    <x v="14"/>
    <x v="1"/>
  </r>
  <r>
    <s v="O00620"/>
    <s v="C0400"/>
    <s v="P002"/>
    <s v="R020"/>
    <d v="2025-06-28T00:00:00"/>
    <d v="2025-08-15T00:00:00"/>
    <m/>
    <x v="2"/>
    <n v="1"/>
    <n v="5"/>
    <n v="399000"/>
    <n v="40"/>
    <s v=""/>
    <s v="East"/>
    <x v="0"/>
    <s v="CRM"/>
    <x v="9"/>
    <x v="3"/>
  </r>
  <r>
    <s v="O00621"/>
    <s v="C0450"/>
    <s v="P004"/>
    <s v="R011"/>
    <d v="2025-07-12T00:00:00"/>
    <d v="2025-08-14T00:00:00"/>
    <d v="2025-08-14T00:00:00"/>
    <x v="1"/>
    <n v="2"/>
    <n v="0"/>
    <n v="600000"/>
    <n v="100"/>
    <s v=""/>
    <s v="West"/>
    <x v="5"/>
    <s v="Analytics"/>
    <x v="12"/>
    <x v="1"/>
  </r>
  <r>
    <s v="O00622"/>
    <s v="C0380"/>
    <s v="P005"/>
    <s v="R018"/>
    <d v="2025-06-12T00:00:00"/>
    <d v="2025-07-15T00:00:00"/>
    <d v="2025-07-15T00:00:00"/>
    <x v="0"/>
    <n v="1"/>
    <n v="20"/>
    <n v="144000"/>
    <n v="0"/>
    <s v="No decision"/>
    <s v="East"/>
    <x v="3"/>
    <s v="Service"/>
    <x v="18"/>
    <x v="3"/>
  </r>
  <r>
    <s v="O00623"/>
    <s v="C0429"/>
    <s v="P001"/>
    <s v="R019"/>
    <d v="2025-11-30T00:00:00"/>
    <d v="2025-12-17T00:00:00"/>
    <d v="2025-12-17T00:00:00"/>
    <x v="1"/>
    <n v="2"/>
    <n v="15"/>
    <n v="204000"/>
    <n v="100"/>
    <s v=""/>
    <s v="East"/>
    <x v="4"/>
    <s v="CRM"/>
    <x v="10"/>
    <x v="3"/>
  </r>
  <r>
    <s v="O00624"/>
    <s v="C0241"/>
    <s v="P001"/>
    <s v="R006"/>
    <d v="2025-11-02T00:00:00"/>
    <d v="2025-12-16T00:00:00"/>
    <m/>
    <x v="2"/>
    <n v="1"/>
    <n v="20"/>
    <n v="96000"/>
    <n v="80"/>
    <s v=""/>
    <s v="North"/>
    <x v="4"/>
    <s v="CRM"/>
    <x v="2"/>
    <x v="0"/>
  </r>
  <r>
    <s v="O00625"/>
    <s v="C0451"/>
    <s v="P001"/>
    <s v="R007"/>
    <d v="2025-01-16T00:00:00"/>
    <d v="2025-03-03T00:00:00"/>
    <d v="2025-03-03T00:00:00"/>
    <x v="0"/>
    <n v="2"/>
    <n v="10"/>
    <n v="216000"/>
    <n v="0"/>
    <s v="Feature gap"/>
    <s v="North"/>
    <x v="4"/>
    <s v="CRM"/>
    <x v="13"/>
    <x v="0"/>
  </r>
  <r>
    <s v="O00626"/>
    <s v="C0370"/>
    <s v="P005"/>
    <s v="R002"/>
    <d v="2025-03-22T00:00:00"/>
    <d v="2025-05-12T00:00:00"/>
    <d v="2025-05-12T00:00:00"/>
    <x v="1"/>
    <n v="1"/>
    <n v="0"/>
    <n v="180000"/>
    <n v="100"/>
    <s v=""/>
    <s v="South"/>
    <x v="3"/>
    <s v="Service"/>
    <x v="17"/>
    <x v="2"/>
  </r>
  <r>
    <s v="O00627"/>
    <s v="C0069"/>
    <s v="P005"/>
    <s v="R011"/>
    <d v="2025-06-09T00:00:00"/>
    <d v="2025-07-18T00:00:00"/>
    <d v="2025-07-18T00:00:00"/>
    <x v="0"/>
    <n v="1"/>
    <n v="10"/>
    <n v="162000"/>
    <n v="0"/>
    <s v="Feature gap"/>
    <s v="West"/>
    <x v="3"/>
    <s v="Service"/>
    <x v="12"/>
    <x v="1"/>
  </r>
  <r>
    <s v="O00628"/>
    <s v="C0113"/>
    <s v="P005"/>
    <s v="R012"/>
    <d v="2025-03-15T00:00:00"/>
    <d v="2025-04-01T00:00:00"/>
    <d v="2025-04-01T00:00:00"/>
    <x v="1"/>
    <n v="1"/>
    <n v="15"/>
    <n v="153000"/>
    <n v="100"/>
    <s v=""/>
    <s v="West"/>
    <x v="3"/>
    <s v="Service"/>
    <x v="14"/>
    <x v="1"/>
  </r>
  <r>
    <s v="O00629"/>
    <s v="C0364"/>
    <s v="P004"/>
    <s v="R005"/>
    <d v="2025-09-24T00:00:00"/>
    <d v="2025-11-04T00:00:00"/>
    <d v="2025-11-04T00:00:00"/>
    <x v="0"/>
    <n v="1"/>
    <n v="10"/>
    <n v="270000"/>
    <n v="0"/>
    <s v="Budget"/>
    <s v="South"/>
    <x v="5"/>
    <s v="Analytics"/>
    <x v="11"/>
    <x v="2"/>
  </r>
  <r>
    <s v="O00630"/>
    <s v="C0325"/>
    <s v="P001"/>
    <s v="R012"/>
    <d v="2025-03-24T00:00:00"/>
    <d v="2025-04-01T00:00:00"/>
    <d v="2025-04-01T00:00:00"/>
    <x v="0"/>
    <n v="3"/>
    <n v="15"/>
    <n v="306000"/>
    <n v="0"/>
    <s v="Budget"/>
    <s v="West"/>
    <x v="4"/>
    <s v="CRM"/>
    <x v="14"/>
    <x v="1"/>
  </r>
  <r>
    <s v="O00631"/>
    <s v="C0382"/>
    <s v="P003"/>
    <s v="R015"/>
    <d v="2025-06-22T00:00:00"/>
    <d v="2025-07-22T00:00:00"/>
    <d v="2025-07-22T00:00:00"/>
    <x v="1"/>
    <n v="1"/>
    <n v="10"/>
    <n v="216000"/>
    <n v="100"/>
    <s v=""/>
    <s v="West"/>
    <x v="1"/>
    <s v="Automation"/>
    <x v="7"/>
    <x v="1"/>
  </r>
  <r>
    <s v="O00632"/>
    <s v="C0500"/>
    <s v="P004"/>
    <s v="R011"/>
    <d v="2025-03-03T00:00:00"/>
    <d v="2025-04-16T00:00:00"/>
    <d v="2025-04-16T00:00:00"/>
    <x v="0"/>
    <n v="1"/>
    <n v="10"/>
    <n v="270000"/>
    <n v="0"/>
    <s v="No decision"/>
    <s v="West"/>
    <x v="5"/>
    <s v="Analytics"/>
    <x v="12"/>
    <x v="1"/>
  </r>
  <r>
    <s v="O00633"/>
    <s v="C0400"/>
    <s v="P002"/>
    <s v="R020"/>
    <d v="2025-09-29T00:00:00"/>
    <d v="2025-12-13T00:00:00"/>
    <d v="2025-12-13T00:00:00"/>
    <x v="0"/>
    <n v="1"/>
    <n v="20"/>
    <n v="336000"/>
    <n v="0"/>
    <s v="Feature gap"/>
    <s v="East"/>
    <x v="0"/>
    <s v="CRM"/>
    <x v="9"/>
    <x v="3"/>
  </r>
  <r>
    <s v="O00634"/>
    <s v="C0218"/>
    <s v="P002"/>
    <s v="R018"/>
    <d v="2025-01-26T00:00:00"/>
    <d v="2025-03-25T00:00:00"/>
    <m/>
    <x v="2"/>
    <n v="1"/>
    <n v="15"/>
    <n v="357000"/>
    <n v="80"/>
    <s v=""/>
    <s v="East"/>
    <x v="0"/>
    <s v="CRM"/>
    <x v="18"/>
    <x v="3"/>
  </r>
  <r>
    <s v="O00635"/>
    <s v="C0492"/>
    <s v="P001"/>
    <s v="R011"/>
    <d v="2025-07-30T00:00:00"/>
    <d v="2025-10-06T00:00:00"/>
    <d v="2025-10-06T00:00:00"/>
    <x v="1"/>
    <n v="1"/>
    <n v="5"/>
    <n v="114000"/>
    <n v="100"/>
    <s v=""/>
    <s v="West"/>
    <x v="4"/>
    <s v="CRM"/>
    <x v="12"/>
    <x v="1"/>
  </r>
  <r>
    <s v="O00636"/>
    <s v="C0072"/>
    <s v="P004"/>
    <s v="R006"/>
    <d v="2025-10-27T00:00:00"/>
    <d v="2025-11-22T00:00:00"/>
    <m/>
    <x v="2"/>
    <n v="1"/>
    <n v="15"/>
    <n v="255000"/>
    <n v="40"/>
    <s v=""/>
    <s v="North"/>
    <x v="5"/>
    <s v="Analytics"/>
    <x v="2"/>
    <x v="0"/>
  </r>
  <r>
    <s v="O00637"/>
    <s v="C0119"/>
    <s v="P006"/>
    <s v="R014"/>
    <d v="2025-06-02T00:00:00"/>
    <d v="2025-08-17T00:00:00"/>
    <m/>
    <x v="2"/>
    <n v="3"/>
    <n v="15"/>
    <n v="918000"/>
    <n v="40"/>
    <s v=""/>
    <s v="West"/>
    <x v="2"/>
    <s v="Security"/>
    <x v="1"/>
    <x v="1"/>
  </r>
  <r>
    <s v="O00638"/>
    <s v="C0321"/>
    <s v="P004"/>
    <s v="R019"/>
    <d v="2025-10-27T00:00:00"/>
    <d v="2026-01-04T00:00:00"/>
    <m/>
    <x v="2"/>
    <n v="1"/>
    <n v="5"/>
    <n v="285000"/>
    <n v="20"/>
    <s v=""/>
    <s v="East"/>
    <x v="5"/>
    <s v="Analytics"/>
    <x v="10"/>
    <x v="3"/>
  </r>
  <r>
    <s v="O00639"/>
    <s v="C0030"/>
    <s v="P006"/>
    <s v="R016"/>
    <d v="2025-05-24T00:00:00"/>
    <d v="2025-07-05T00:00:00"/>
    <m/>
    <x v="2"/>
    <n v="1"/>
    <n v="20"/>
    <n v="288000"/>
    <n v="60"/>
    <s v=""/>
    <s v="East"/>
    <x v="2"/>
    <s v="Security"/>
    <x v="8"/>
    <x v="3"/>
  </r>
  <r>
    <s v="O00640"/>
    <s v="C0400"/>
    <s v="P006"/>
    <s v="R019"/>
    <d v="2025-10-15T00:00:00"/>
    <d v="2026-01-02T00:00:00"/>
    <m/>
    <x v="2"/>
    <n v="2"/>
    <n v="20"/>
    <n v="576000"/>
    <n v="80"/>
    <s v=""/>
    <s v="East"/>
    <x v="2"/>
    <s v="Security"/>
    <x v="10"/>
    <x v="3"/>
  </r>
  <r>
    <s v="O00641"/>
    <s v="C0061"/>
    <s v="P002"/>
    <s v="R018"/>
    <d v="2025-10-25T00:00:00"/>
    <d v="2026-01-17T00:00:00"/>
    <m/>
    <x v="2"/>
    <n v="2"/>
    <n v="15"/>
    <n v="714000"/>
    <n v="20"/>
    <s v=""/>
    <s v="East"/>
    <x v="0"/>
    <s v="CRM"/>
    <x v="18"/>
    <x v="3"/>
  </r>
  <r>
    <s v="O00642"/>
    <s v="C0485"/>
    <s v="P003"/>
    <s v="R016"/>
    <d v="2025-05-30T00:00:00"/>
    <d v="2025-06-09T00:00:00"/>
    <m/>
    <x v="2"/>
    <n v="2"/>
    <n v="10"/>
    <n v="432000"/>
    <n v="60"/>
    <s v=""/>
    <s v="East"/>
    <x v="1"/>
    <s v="Automation"/>
    <x v="8"/>
    <x v="3"/>
  </r>
  <r>
    <s v="O00643"/>
    <s v="C0332"/>
    <s v="P003"/>
    <s v="R004"/>
    <d v="2025-06-28T00:00:00"/>
    <d v="2025-07-27T00:00:00"/>
    <m/>
    <x v="2"/>
    <n v="2"/>
    <n v="0"/>
    <n v="480000"/>
    <n v="60"/>
    <s v=""/>
    <s v="South"/>
    <x v="1"/>
    <s v="Automation"/>
    <x v="3"/>
    <x v="2"/>
  </r>
  <r>
    <s v="O00644"/>
    <s v="C0208"/>
    <s v="P003"/>
    <s v="R005"/>
    <d v="2025-09-12T00:00:00"/>
    <d v="2025-11-06T00:00:00"/>
    <d v="2025-11-06T00:00:00"/>
    <x v="0"/>
    <n v="1"/>
    <n v="10"/>
    <n v="216000"/>
    <n v="0"/>
    <s v="Budget"/>
    <s v="South"/>
    <x v="1"/>
    <s v="Automation"/>
    <x v="11"/>
    <x v="2"/>
  </r>
  <r>
    <s v="O00645"/>
    <s v="C0466"/>
    <s v="P005"/>
    <s v="R020"/>
    <d v="2025-06-01T00:00:00"/>
    <d v="2025-08-15T00:00:00"/>
    <m/>
    <x v="2"/>
    <n v="1"/>
    <n v="15"/>
    <n v="153000"/>
    <n v="20"/>
    <s v=""/>
    <s v="East"/>
    <x v="3"/>
    <s v="Service"/>
    <x v="9"/>
    <x v="3"/>
  </r>
  <r>
    <s v="O00646"/>
    <s v="C0204"/>
    <s v="P002"/>
    <s v="R014"/>
    <d v="2025-02-23T00:00:00"/>
    <d v="2025-04-08T00:00:00"/>
    <m/>
    <x v="2"/>
    <n v="3"/>
    <n v="20"/>
    <n v="1008000"/>
    <n v="20"/>
    <s v=""/>
    <s v="West"/>
    <x v="0"/>
    <s v="CRM"/>
    <x v="1"/>
    <x v="1"/>
  </r>
  <r>
    <s v="O00647"/>
    <s v="C0113"/>
    <s v="P002"/>
    <s v="R012"/>
    <d v="2025-08-14T00:00:00"/>
    <d v="2025-09-17T00:00:00"/>
    <d v="2025-09-17T00:00:00"/>
    <x v="0"/>
    <n v="1"/>
    <n v="0"/>
    <n v="420000"/>
    <n v="0"/>
    <s v="Competition"/>
    <s v="West"/>
    <x v="0"/>
    <s v="CRM"/>
    <x v="14"/>
    <x v="1"/>
  </r>
  <r>
    <s v="O00648"/>
    <s v="C0435"/>
    <s v="P005"/>
    <s v="R015"/>
    <d v="2025-07-24T00:00:00"/>
    <d v="2025-09-18T00:00:00"/>
    <d v="2025-09-18T00:00:00"/>
    <x v="0"/>
    <n v="1"/>
    <n v="10"/>
    <n v="162000"/>
    <n v="0"/>
    <s v="No decision"/>
    <s v="West"/>
    <x v="3"/>
    <s v="Service"/>
    <x v="7"/>
    <x v="1"/>
  </r>
  <r>
    <s v="O00649"/>
    <s v="C0297"/>
    <s v="P002"/>
    <s v="R001"/>
    <d v="2025-09-17T00:00:00"/>
    <d v="2025-12-01T00:00:00"/>
    <d v="2025-12-01T00:00:00"/>
    <x v="0"/>
    <n v="1"/>
    <n v="0"/>
    <n v="420000"/>
    <n v="0"/>
    <s v="Budget"/>
    <s v="South"/>
    <x v="0"/>
    <s v="CRM"/>
    <x v="6"/>
    <x v="2"/>
  </r>
  <r>
    <s v="O00650"/>
    <s v="C0224"/>
    <s v="P001"/>
    <s v="R017"/>
    <d v="2025-01-12T00:00:00"/>
    <d v="2025-03-31T00:00:00"/>
    <d v="2025-03-31T00:00:00"/>
    <x v="0"/>
    <n v="1"/>
    <n v="10"/>
    <n v="108000"/>
    <n v="0"/>
    <s v="Competition"/>
    <s v="East"/>
    <x v="4"/>
    <s v="CRM"/>
    <x v="19"/>
    <x v="3"/>
  </r>
  <r>
    <s v="O00651"/>
    <s v="C0486"/>
    <s v="P006"/>
    <s v="R006"/>
    <d v="2025-11-03T00:00:00"/>
    <d v="2025-11-27T00:00:00"/>
    <d v="2025-11-27T00:00:00"/>
    <x v="0"/>
    <n v="2"/>
    <n v="5"/>
    <n v="684000"/>
    <n v="0"/>
    <s v="Budget"/>
    <s v="North"/>
    <x v="2"/>
    <s v="Security"/>
    <x v="2"/>
    <x v="0"/>
  </r>
  <r>
    <s v="O00652"/>
    <s v="C0498"/>
    <s v="P005"/>
    <s v="R016"/>
    <d v="2025-12-31T00:00:00"/>
    <d v="2026-03-23T00:00:00"/>
    <m/>
    <x v="2"/>
    <n v="1"/>
    <n v="0"/>
    <n v="180000"/>
    <n v="20"/>
    <s v=""/>
    <s v="East"/>
    <x v="3"/>
    <s v="Service"/>
    <x v="8"/>
    <x v="3"/>
  </r>
  <r>
    <s v="O00653"/>
    <s v="C0357"/>
    <s v="P004"/>
    <s v="R017"/>
    <d v="2025-06-25T00:00:00"/>
    <d v="2025-08-10T00:00:00"/>
    <d v="2025-08-10T00:00:00"/>
    <x v="1"/>
    <n v="1"/>
    <n v="5"/>
    <n v="285000"/>
    <n v="100"/>
    <s v=""/>
    <s v="East"/>
    <x v="5"/>
    <s v="Analytics"/>
    <x v="19"/>
    <x v="3"/>
  </r>
  <r>
    <s v="O00654"/>
    <s v="C0232"/>
    <s v="P001"/>
    <s v="R015"/>
    <d v="2025-05-12T00:00:00"/>
    <d v="2025-08-04T00:00:00"/>
    <d v="2025-08-04T00:00:00"/>
    <x v="1"/>
    <n v="1"/>
    <n v="20"/>
    <n v="96000"/>
    <n v="100"/>
    <s v=""/>
    <s v="West"/>
    <x v="4"/>
    <s v="CRM"/>
    <x v="7"/>
    <x v="1"/>
  </r>
  <r>
    <s v="O00655"/>
    <s v="C0192"/>
    <s v="P001"/>
    <s v="R007"/>
    <d v="2025-04-07T00:00:00"/>
    <d v="2025-06-16T00:00:00"/>
    <d v="2025-06-16T00:00:00"/>
    <x v="0"/>
    <n v="1"/>
    <n v="20"/>
    <n v="96000"/>
    <n v="0"/>
    <s v="Budget"/>
    <s v="North"/>
    <x v="4"/>
    <s v="CRM"/>
    <x v="13"/>
    <x v="0"/>
  </r>
  <r>
    <s v="O00656"/>
    <s v="C0434"/>
    <s v="P002"/>
    <s v="R010"/>
    <d v="2025-03-18T00:00:00"/>
    <d v="2025-05-20T00:00:00"/>
    <m/>
    <x v="2"/>
    <n v="1"/>
    <n v="20"/>
    <n v="336000"/>
    <n v="20"/>
    <s v=""/>
    <s v="North"/>
    <x v="0"/>
    <s v="CRM"/>
    <x v="16"/>
    <x v="0"/>
  </r>
  <r>
    <s v="O00657"/>
    <s v="C0266"/>
    <s v="P002"/>
    <s v="R006"/>
    <d v="2025-09-12T00:00:00"/>
    <d v="2025-10-08T00:00:00"/>
    <d v="2025-10-08T00:00:00"/>
    <x v="1"/>
    <n v="3"/>
    <n v="10"/>
    <n v="1134000"/>
    <n v="100"/>
    <s v=""/>
    <s v="North"/>
    <x v="0"/>
    <s v="CRM"/>
    <x v="2"/>
    <x v="0"/>
  </r>
  <r>
    <s v="O00658"/>
    <s v="C0184"/>
    <s v="P001"/>
    <s v="R009"/>
    <d v="2025-12-04T00:00:00"/>
    <d v="2026-02-24T00:00:00"/>
    <m/>
    <x v="2"/>
    <n v="1"/>
    <n v="20"/>
    <n v="96000"/>
    <n v="20"/>
    <s v=""/>
    <s v="North"/>
    <x v="4"/>
    <s v="CRM"/>
    <x v="4"/>
    <x v="0"/>
  </r>
  <r>
    <s v="O00659"/>
    <s v="C0070"/>
    <s v="P004"/>
    <s v="R007"/>
    <d v="2025-05-30T00:00:00"/>
    <d v="2025-07-30T00:00:00"/>
    <m/>
    <x v="2"/>
    <n v="2"/>
    <n v="15"/>
    <n v="510000"/>
    <n v="80"/>
    <s v=""/>
    <s v="North"/>
    <x v="5"/>
    <s v="Analytics"/>
    <x v="13"/>
    <x v="0"/>
  </r>
  <r>
    <s v="O00660"/>
    <s v="C0248"/>
    <s v="P005"/>
    <s v="R004"/>
    <d v="2025-06-06T00:00:00"/>
    <d v="2025-07-19T00:00:00"/>
    <d v="2025-07-19T00:00:00"/>
    <x v="0"/>
    <n v="1"/>
    <n v="20"/>
    <n v="144000"/>
    <n v="0"/>
    <s v="Competition"/>
    <s v="South"/>
    <x v="3"/>
    <s v="Service"/>
    <x v="3"/>
    <x v="2"/>
  </r>
  <r>
    <s v="O00661"/>
    <s v="C0329"/>
    <s v="P003"/>
    <s v="R006"/>
    <d v="2025-10-01T00:00:00"/>
    <d v="2025-11-15T00:00:00"/>
    <d v="2025-11-15T00:00:00"/>
    <x v="1"/>
    <n v="2"/>
    <n v="5"/>
    <n v="456000"/>
    <n v="100"/>
    <s v=""/>
    <s v="North"/>
    <x v="1"/>
    <s v="Automation"/>
    <x v="2"/>
    <x v="0"/>
  </r>
  <r>
    <s v="O00662"/>
    <s v="C0261"/>
    <s v="P003"/>
    <s v="R006"/>
    <d v="2025-04-20T00:00:00"/>
    <d v="2025-05-20T00:00:00"/>
    <d v="2025-05-20T00:00:00"/>
    <x v="1"/>
    <n v="1"/>
    <n v="10"/>
    <n v="216000"/>
    <n v="100"/>
    <s v=""/>
    <s v="North"/>
    <x v="1"/>
    <s v="Automation"/>
    <x v="2"/>
    <x v="0"/>
  </r>
  <r>
    <s v="O00663"/>
    <s v="C0461"/>
    <s v="P006"/>
    <s v="R006"/>
    <d v="2025-05-29T00:00:00"/>
    <d v="2025-07-05T00:00:00"/>
    <d v="2025-07-05T00:00:00"/>
    <x v="1"/>
    <n v="1"/>
    <n v="5"/>
    <n v="342000"/>
    <n v="100"/>
    <s v=""/>
    <s v="North"/>
    <x v="2"/>
    <s v="Security"/>
    <x v="2"/>
    <x v="0"/>
  </r>
  <r>
    <s v="O00664"/>
    <s v="C0133"/>
    <s v="P004"/>
    <s v="R020"/>
    <d v="2025-12-30T00:00:00"/>
    <d v="2026-02-14T00:00:00"/>
    <m/>
    <x v="2"/>
    <n v="1"/>
    <n v="10"/>
    <n v="270000"/>
    <n v="80"/>
    <s v=""/>
    <s v="East"/>
    <x v="5"/>
    <s v="Analytics"/>
    <x v="9"/>
    <x v="3"/>
  </r>
  <r>
    <s v="O00665"/>
    <s v="C0130"/>
    <s v="P005"/>
    <s v="R006"/>
    <d v="2025-11-17T00:00:00"/>
    <d v="2025-11-29T00:00:00"/>
    <d v="2025-11-29T00:00:00"/>
    <x v="0"/>
    <n v="2"/>
    <n v="5"/>
    <n v="342000"/>
    <n v="0"/>
    <s v="Price"/>
    <s v="North"/>
    <x v="3"/>
    <s v="Service"/>
    <x v="2"/>
    <x v="0"/>
  </r>
  <r>
    <s v="O00666"/>
    <s v="C0168"/>
    <s v="P002"/>
    <s v="R018"/>
    <d v="2025-12-15T00:00:00"/>
    <d v="2026-02-10T00:00:00"/>
    <m/>
    <x v="2"/>
    <n v="1"/>
    <n v="20"/>
    <n v="336000"/>
    <n v="60"/>
    <s v=""/>
    <s v="East"/>
    <x v="0"/>
    <s v="CRM"/>
    <x v="18"/>
    <x v="3"/>
  </r>
  <r>
    <s v="O00667"/>
    <s v="C0246"/>
    <s v="P001"/>
    <s v="R001"/>
    <d v="2025-04-28T00:00:00"/>
    <d v="2025-06-23T00:00:00"/>
    <d v="2025-06-23T00:00:00"/>
    <x v="1"/>
    <n v="1"/>
    <n v="0"/>
    <n v="120000"/>
    <n v="100"/>
    <s v=""/>
    <s v="South"/>
    <x v="4"/>
    <s v="CRM"/>
    <x v="6"/>
    <x v="2"/>
  </r>
  <r>
    <s v="O00668"/>
    <s v="C0479"/>
    <s v="P005"/>
    <s v="R002"/>
    <d v="2025-04-18T00:00:00"/>
    <d v="2025-04-30T00:00:00"/>
    <d v="2025-04-30T00:00:00"/>
    <x v="0"/>
    <n v="3"/>
    <n v="0"/>
    <n v="540000"/>
    <n v="0"/>
    <s v="Budget"/>
    <s v="South"/>
    <x v="3"/>
    <s v="Service"/>
    <x v="17"/>
    <x v="2"/>
  </r>
  <r>
    <s v="O00669"/>
    <s v="C0095"/>
    <s v="P006"/>
    <s v="R007"/>
    <d v="2025-06-21T00:00:00"/>
    <d v="2025-08-23T00:00:00"/>
    <d v="2025-08-23T00:00:00"/>
    <x v="0"/>
    <n v="1"/>
    <n v="15"/>
    <n v="306000"/>
    <n v="0"/>
    <s v="Competition"/>
    <s v="North"/>
    <x v="2"/>
    <s v="Security"/>
    <x v="13"/>
    <x v="0"/>
  </r>
  <r>
    <s v="O00670"/>
    <s v="C0087"/>
    <s v="P006"/>
    <s v="R018"/>
    <d v="2025-07-09T00:00:00"/>
    <d v="2025-07-29T00:00:00"/>
    <d v="2025-07-29T00:00:00"/>
    <x v="1"/>
    <n v="1"/>
    <n v="0"/>
    <n v="360000"/>
    <n v="100"/>
    <s v=""/>
    <s v="East"/>
    <x v="2"/>
    <s v="Security"/>
    <x v="18"/>
    <x v="3"/>
  </r>
  <r>
    <s v="O00671"/>
    <s v="C0391"/>
    <s v="P006"/>
    <s v="R006"/>
    <d v="2025-10-16T00:00:00"/>
    <d v="2025-10-25T00:00:00"/>
    <d v="2025-10-25T00:00:00"/>
    <x v="0"/>
    <n v="2"/>
    <n v="20"/>
    <n v="576000"/>
    <n v="0"/>
    <s v="Budget"/>
    <s v="North"/>
    <x v="2"/>
    <s v="Security"/>
    <x v="2"/>
    <x v="0"/>
  </r>
  <r>
    <s v="O00672"/>
    <s v="C0147"/>
    <s v="P006"/>
    <s v="R002"/>
    <d v="2025-07-18T00:00:00"/>
    <d v="2025-08-14T00:00:00"/>
    <m/>
    <x v="2"/>
    <n v="1"/>
    <n v="0"/>
    <n v="360000"/>
    <n v="80"/>
    <s v=""/>
    <s v="South"/>
    <x v="2"/>
    <s v="Security"/>
    <x v="17"/>
    <x v="2"/>
  </r>
  <r>
    <s v="O00673"/>
    <s v="C0216"/>
    <s v="P004"/>
    <s v="R019"/>
    <d v="2025-08-20T00:00:00"/>
    <d v="2025-10-15T00:00:00"/>
    <d v="2025-10-15T00:00:00"/>
    <x v="0"/>
    <n v="2"/>
    <n v="10"/>
    <n v="540000"/>
    <n v="0"/>
    <s v="Budget"/>
    <s v="East"/>
    <x v="5"/>
    <s v="Analytics"/>
    <x v="10"/>
    <x v="3"/>
  </r>
  <r>
    <s v="O00674"/>
    <s v="C0192"/>
    <s v="P006"/>
    <s v="R008"/>
    <d v="2025-04-20T00:00:00"/>
    <d v="2025-06-26T00:00:00"/>
    <d v="2025-06-26T00:00:00"/>
    <x v="0"/>
    <n v="1"/>
    <n v="20"/>
    <n v="288000"/>
    <n v="0"/>
    <s v="Budget"/>
    <s v="North"/>
    <x v="2"/>
    <s v="Security"/>
    <x v="0"/>
    <x v="0"/>
  </r>
  <r>
    <s v="O00675"/>
    <s v="C0342"/>
    <s v="P002"/>
    <s v="R018"/>
    <d v="2025-12-15T00:00:00"/>
    <d v="2026-01-10T00:00:00"/>
    <m/>
    <x v="2"/>
    <n v="2"/>
    <n v="20"/>
    <n v="672000"/>
    <n v="40"/>
    <s v=""/>
    <s v="East"/>
    <x v="0"/>
    <s v="CRM"/>
    <x v="18"/>
    <x v="3"/>
  </r>
  <r>
    <s v="O00676"/>
    <s v="C0272"/>
    <s v="P006"/>
    <s v="R006"/>
    <d v="2025-12-13T00:00:00"/>
    <d v="2025-12-28T00:00:00"/>
    <d v="2025-12-28T00:00:00"/>
    <x v="1"/>
    <n v="1"/>
    <n v="0"/>
    <n v="360000"/>
    <n v="100"/>
    <s v=""/>
    <s v="North"/>
    <x v="2"/>
    <s v="Security"/>
    <x v="2"/>
    <x v="0"/>
  </r>
  <r>
    <s v="O00677"/>
    <s v="C0078"/>
    <s v="P002"/>
    <s v="R003"/>
    <d v="2025-02-03T00:00:00"/>
    <d v="2025-03-22T00:00:00"/>
    <d v="2025-03-22T00:00:00"/>
    <x v="0"/>
    <n v="3"/>
    <n v="15"/>
    <n v="1071000"/>
    <n v="0"/>
    <s v="Budget"/>
    <s v="South"/>
    <x v="0"/>
    <s v="CRM"/>
    <x v="15"/>
    <x v="2"/>
  </r>
  <r>
    <s v="O00678"/>
    <s v="C0273"/>
    <s v="P005"/>
    <s v="R009"/>
    <d v="2025-03-23T00:00:00"/>
    <d v="2025-05-29T00:00:00"/>
    <d v="2025-05-29T00:00:00"/>
    <x v="0"/>
    <n v="1"/>
    <n v="5"/>
    <n v="171000"/>
    <n v="0"/>
    <s v="Competition"/>
    <s v="North"/>
    <x v="3"/>
    <s v="Service"/>
    <x v="4"/>
    <x v="0"/>
  </r>
  <r>
    <s v="O00679"/>
    <s v="C0497"/>
    <s v="P004"/>
    <s v="R015"/>
    <d v="2025-06-26T00:00:00"/>
    <d v="2025-07-13T00:00:00"/>
    <m/>
    <x v="2"/>
    <n v="1"/>
    <n v="0"/>
    <n v="300000"/>
    <n v="40"/>
    <s v=""/>
    <s v="West"/>
    <x v="5"/>
    <s v="Analytics"/>
    <x v="7"/>
    <x v="1"/>
  </r>
  <r>
    <s v="O00680"/>
    <s v="C0406"/>
    <s v="P001"/>
    <s v="R013"/>
    <d v="2025-11-05T00:00:00"/>
    <d v="2026-01-14T00:00:00"/>
    <m/>
    <x v="2"/>
    <n v="1"/>
    <n v="20"/>
    <n v="96000"/>
    <n v="80"/>
    <s v=""/>
    <s v="West"/>
    <x v="4"/>
    <s v="CRM"/>
    <x v="5"/>
    <x v="1"/>
  </r>
  <r>
    <s v="O00681"/>
    <s v="C0464"/>
    <s v="P002"/>
    <s v="R016"/>
    <d v="2025-11-29T00:00:00"/>
    <d v="2026-01-14T00:00:00"/>
    <m/>
    <x v="2"/>
    <n v="1"/>
    <n v="15"/>
    <n v="357000"/>
    <n v="80"/>
    <s v=""/>
    <s v="East"/>
    <x v="0"/>
    <s v="CRM"/>
    <x v="8"/>
    <x v="3"/>
  </r>
  <r>
    <s v="O00682"/>
    <s v="C0155"/>
    <s v="P004"/>
    <s v="R017"/>
    <d v="2025-08-29T00:00:00"/>
    <d v="2025-09-09T00:00:00"/>
    <d v="2025-09-09T00:00:00"/>
    <x v="0"/>
    <n v="1"/>
    <n v="15"/>
    <n v="255000"/>
    <n v="0"/>
    <s v="Budget"/>
    <s v="East"/>
    <x v="5"/>
    <s v="Analytics"/>
    <x v="19"/>
    <x v="3"/>
  </r>
  <r>
    <s v="O00683"/>
    <s v="C0468"/>
    <s v="P003"/>
    <s v="R005"/>
    <d v="2025-02-28T00:00:00"/>
    <d v="2025-03-23T00:00:00"/>
    <d v="2025-03-23T00:00:00"/>
    <x v="1"/>
    <n v="1"/>
    <n v="5"/>
    <n v="228000"/>
    <n v="100"/>
    <s v=""/>
    <s v="South"/>
    <x v="1"/>
    <s v="Automation"/>
    <x v="11"/>
    <x v="2"/>
  </r>
  <r>
    <s v="O00684"/>
    <s v="C0007"/>
    <s v="P006"/>
    <s v="R003"/>
    <d v="2025-11-13T00:00:00"/>
    <d v="2026-02-02T00:00:00"/>
    <m/>
    <x v="2"/>
    <n v="2"/>
    <n v="10"/>
    <n v="648000"/>
    <n v="20"/>
    <s v=""/>
    <s v="South"/>
    <x v="2"/>
    <s v="Security"/>
    <x v="15"/>
    <x v="2"/>
  </r>
  <r>
    <s v="O00685"/>
    <s v="C0047"/>
    <s v="P006"/>
    <s v="R001"/>
    <d v="2025-01-02T00:00:00"/>
    <d v="2025-02-07T00:00:00"/>
    <d v="2025-02-07T00:00:00"/>
    <x v="0"/>
    <n v="1"/>
    <n v="0"/>
    <n v="360000"/>
    <n v="0"/>
    <s v="No decision"/>
    <s v="South"/>
    <x v="2"/>
    <s v="Security"/>
    <x v="6"/>
    <x v="2"/>
  </r>
  <r>
    <s v="O00686"/>
    <s v="C0260"/>
    <s v="P001"/>
    <s v="R006"/>
    <d v="2025-04-01T00:00:00"/>
    <d v="2025-05-11T00:00:00"/>
    <m/>
    <x v="2"/>
    <n v="1"/>
    <n v="20"/>
    <n v="96000"/>
    <n v="40"/>
    <s v=""/>
    <s v="North"/>
    <x v="4"/>
    <s v="CRM"/>
    <x v="2"/>
    <x v="0"/>
  </r>
  <r>
    <s v="O00687"/>
    <s v="C0203"/>
    <s v="P006"/>
    <s v="R020"/>
    <d v="2025-06-01T00:00:00"/>
    <d v="2025-08-11T00:00:00"/>
    <d v="2025-08-11T00:00:00"/>
    <x v="0"/>
    <n v="1"/>
    <n v="5"/>
    <n v="342000"/>
    <n v="0"/>
    <s v="Budget"/>
    <s v="East"/>
    <x v="2"/>
    <s v="Security"/>
    <x v="9"/>
    <x v="3"/>
  </r>
  <r>
    <s v="O00688"/>
    <s v="C0031"/>
    <s v="P005"/>
    <s v="R019"/>
    <d v="2025-02-10T00:00:00"/>
    <d v="2025-04-15T00:00:00"/>
    <d v="2025-04-15T00:00:00"/>
    <x v="0"/>
    <n v="1"/>
    <n v="0"/>
    <n v="180000"/>
    <n v="0"/>
    <s v="Feature gap"/>
    <s v="East"/>
    <x v="3"/>
    <s v="Service"/>
    <x v="10"/>
    <x v="3"/>
  </r>
  <r>
    <s v="O00689"/>
    <s v="C0280"/>
    <s v="P006"/>
    <s v="R017"/>
    <d v="2025-04-27T00:00:00"/>
    <d v="2025-05-09T00:00:00"/>
    <d v="2025-05-09T00:00:00"/>
    <x v="0"/>
    <n v="1"/>
    <n v="15"/>
    <n v="306000"/>
    <n v="0"/>
    <s v="No decision"/>
    <s v="East"/>
    <x v="2"/>
    <s v="Security"/>
    <x v="19"/>
    <x v="3"/>
  </r>
  <r>
    <s v="O00690"/>
    <s v="C0196"/>
    <s v="P006"/>
    <s v="R017"/>
    <d v="2025-07-24T00:00:00"/>
    <d v="2025-09-24T00:00:00"/>
    <d v="2025-09-24T00:00:00"/>
    <x v="0"/>
    <n v="1"/>
    <n v="5"/>
    <n v="342000"/>
    <n v="0"/>
    <s v="Competition"/>
    <s v="East"/>
    <x v="2"/>
    <s v="Security"/>
    <x v="19"/>
    <x v="3"/>
  </r>
  <r>
    <s v="O00691"/>
    <s v="C0102"/>
    <s v="P001"/>
    <s v="R014"/>
    <d v="2025-07-20T00:00:00"/>
    <d v="2025-10-05T00:00:00"/>
    <d v="2025-10-05T00:00:00"/>
    <x v="1"/>
    <n v="1"/>
    <n v="5"/>
    <n v="114000"/>
    <n v="100"/>
    <s v=""/>
    <s v="West"/>
    <x v="4"/>
    <s v="CRM"/>
    <x v="1"/>
    <x v="1"/>
  </r>
  <r>
    <s v="O00692"/>
    <s v="C0073"/>
    <s v="P002"/>
    <s v="R010"/>
    <d v="2025-09-11T00:00:00"/>
    <d v="2025-11-10T00:00:00"/>
    <m/>
    <x v="2"/>
    <n v="2"/>
    <n v="0"/>
    <n v="840000"/>
    <n v="60"/>
    <s v=""/>
    <s v="North"/>
    <x v="0"/>
    <s v="CRM"/>
    <x v="16"/>
    <x v="0"/>
  </r>
  <r>
    <s v="O00693"/>
    <s v="C0272"/>
    <s v="P003"/>
    <s v="R008"/>
    <d v="2025-07-11T00:00:00"/>
    <d v="2025-08-03T00:00:00"/>
    <m/>
    <x v="2"/>
    <n v="1"/>
    <n v="20"/>
    <n v="192000"/>
    <n v="80"/>
    <s v=""/>
    <s v="North"/>
    <x v="1"/>
    <s v="Automation"/>
    <x v="0"/>
    <x v="0"/>
  </r>
  <r>
    <s v="O00694"/>
    <s v="C0484"/>
    <s v="P003"/>
    <s v="R002"/>
    <d v="2025-06-10T00:00:00"/>
    <d v="2025-08-16T00:00:00"/>
    <d v="2025-08-16T00:00:00"/>
    <x v="0"/>
    <n v="1"/>
    <n v="20"/>
    <n v="192000"/>
    <n v="0"/>
    <s v="Feature gap"/>
    <s v="South"/>
    <x v="1"/>
    <s v="Automation"/>
    <x v="17"/>
    <x v="2"/>
  </r>
  <r>
    <s v="O00695"/>
    <s v="C0262"/>
    <s v="P001"/>
    <s v="R014"/>
    <d v="2025-03-17T00:00:00"/>
    <d v="2025-04-03T00:00:00"/>
    <d v="2025-04-03T00:00:00"/>
    <x v="0"/>
    <n v="3"/>
    <n v="15"/>
    <n v="306000"/>
    <n v="0"/>
    <s v="Feature gap"/>
    <s v="West"/>
    <x v="4"/>
    <s v="CRM"/>
    <x v="1"/>
    <x v="1"/>
  </r>
  <r>
    <s v="O00696"/>
    <s v="C0325"/>
    <s v="P001"/>
    <s v="R013"/>
    <d v="2025-07-02T00:00:00"/>
    <d v="2025-09-08T00:00:00"/>
    <m/>
    <x v="2"/>
    <n v="3"/>
    <n v="5"/>
    <n v="342000"/>
    <n v="60"/>
    <s v=""/>
    <s v="West"/>
    <x v="4"/>
    <s v="CRM"/>
    <x v="5"/>
    <x v="1"/>
  </r>
  <r>
    <s v="O00697"/>
    <s v="C0032"/>
    <s v="P006"/>
    <s v="R002"/>
    <d v="2025-09-26T00:00:00"/>
    <d v="2025-11-08T00:00:00"/>
    <m/>
    <x v="2"/>
    <n v="1"/>
    <n v="15"/>
    <n v="306000"/>
    <n v="80"/>
    <s v=""/>
    <s v="South"/>
    <x v="2"/>
    <s v="Security"/>
    <x v="17"/>
    <x v="2"/>
  </r>
  <r>
    <s v="O00698"/>
    <s v="C0015"/>
    <s v="P006"/>
    <s v="R004"/>
    <d v="2025-02-10T00:00:00"/>
    <d v="2025-03-07T00:00:00"/>
    <d v="2025-03-07T00:00:00"/>
    <x v="0"/>
    <n v="2"/>
    <n v="15"/>
    <n v="612000"/>
    <n v="0"/>
    <s v="Feature gap"/>
    <s v="South"/>
    <x v="2"/>
    <s v="Security"/>
    <x v="3"/>
    <x v="2"/>
  </r>
  <r>
    <s v="O00699"/>
    <s v="C0064"/>
    <s v="P001"/>
    <s v="R018"/>
    <d v="2025-10-10T00:00:00"/>
    <d v="2025-11-04T00:00:00"/>
    <d v="2025-11-04T00:00:00"/>
    <x v="0"/>
    <n v="1"/>
    <n v="15"/>
    <n v="102000"/>
    <n v="0"/>
    <s v="No decision"/>
    <s v="East"/>
    <x v="4"/>
    <s v="CRM"/>
    <x v="18"/>
    <x v="3"/>
  </r>
  <r>
    <s v="O00700"/>
    <s v="C0453"/>
    <s v="P005"/>
    <s v="R006"/>
    <d v="2025-03-09T00:00:00"/>
    <d v="2025-03-24T00:00:00"/>
    <d v="2025-03-24T00:00:00"/>
    <x v="0"/>
    <n v="1"/>
    <n v="5"/>
    <n v="171000"/>
    <n v="0"/>
    <s v="Feature gap"/>
    <s v="North"/>
    <x v="3"/>
    <s v="Service"/>
    <x v="2"/>
    <x v="0"/>
  </r>
  <r>
    <s v="O00701"/>
    <s v="C0253"/>
    <s v="P004"/>
    <s v="R015"/>
    <d v="2025-02-01T00:00:00"/>
    <d v="2025-03-30T00:00:00"/>
    <d v="2025-03-30T00:00:00"/>
    <x v="0"/>
    <n v="1"/>
    <n v="20"/>
    <n v="240000"/>
    <n v="0"/>
    <s v="Competition"/>
    <s v="West"/>
    <x v="5"/>
    <s v="Analytics"/>
    <x v="7"/>
    <x v="1"/>
  </r>
  <r>
    <s v="O00702"/>
    <s v="C0389"/>
    <s v="P002"/>
    <s v="R002"/>
    <d v="2025-03-12T00:00:00"/>
    <d v="2025-04-29T00:00:00"/>
    <d v="2025-04-29T00:00:00"/>
    <x v="0"/>
    <n v="2"/>
    <n v="15"/>
    <n v="714000"/>
    <n v="0"/>
    <s v="Feature gap"/>
    <s v="South"/>
    <x v="0"/>
    <s v="CRM"/>
    <x v="17"/>
    <x v="2"/>
  </r>
  <r>
    <s v="O00703"/>
    <s v="C0118"/>
    <s v="P005"/>
    <s v="R004"/>
    <d v="2025-01-04T00:00:00"/>
    <d v="2025-01-21T00:00:00"/>
    <d v="2025-01-21T00:00:00"/>
    <x v="1"/>
    <n v="3"/>
    <n v="10"/>
    <n v="486000"/>
    <n v="100"/>
    <s v=""/>
    <s v="South"/>
    <x v="3"/>
    <s v="Service"/>
    <x v="3"/>
    <x v="2"/>
  </r>
  <r>
    <s v="O00704"/>
    <s v="C0172"/>
    <s v="P002"/>
    <s v="R008"/>
    <d v="2025-05-14T00:00:00"/>
    <d v="2025-06-26T00:00:00"/>
    <d v="2025-06-26T00:00:00"/>
    <x v="0"/>
    <n v="2"/>
    <n v="0"/>
    <n v="840000"/>
    <n v="0"/>
    <s v="Feature gap"/>
    <s v="North"/>
    <x v="0"/>
    <s v="CRM"/>
    <x v="0"/>
    <x v="0"/>
  </r>
  <r>
    <s v="O00705"/>
    <s v="C0028"/>
    <s v="P006"/>
    <s v="R017"/>
    <d v="2025-10-18T00:00:00"/>
    <d v="2025-11-26T00:00:00"/>
    <m/>
    <x v="2"/>
    <n v="1"/>
    <n v="20"/>
    <n v="288000"/>
    <n v="20"/>
    <s v=""/>
    <s v="East"/>
    <x v="2"/>
    <s v="Security"/>
    <x v="19"/>
    <x v="3"/>
  </r>
  <r>
    <s v="O00706"/>
    <s v="C0472"/>
    <s v="P004"/>
    <s v="R009"/>
    <d v="2025-10-15T00:00:00"/>
    <d v="2025-11-22T00:00:00"/>
    <d v="2025-11-22T00:00:00"/>
    <x v="0"/>
    <n v="1"/>
    <n v="20"/>
    <n v="240000"/>
    <n v="0"/>
    <s v="Price"/>
    <s v="North"/>
    <x v="5"/>
    <s v="Analytics"/>
    <x v="4"/>
    <x v="0"/>
  </r>
  <r>
    <s v="O00707"/>
    <s v="C0196"/>
    <s v="P006"/>
    <s v="R020"/>
    <d v="2025-03-23T00:00:00"/>
    <d v="2025-05-16T00:00:00"/>
    <d v="2025-05-16T00:00:00"/>
    <x v="1"/>
    <n v="1"/>
    <n v="5"/>
    <n v="342000"/>
    <n v="100"/>
    <s v=""/>
    <s v="East"/>
    <x v="2"/>
    <s v="Security"/>
    <x v="9"/>
    <x v="3"/>
  </r>
  <r>
    <s v="O00708"/>
    <s v="C0234"/>
    <s v="P002"/>
    <s v="R006"/>
    <d v="2025-11-22T00:00:00"/>
    <d v="2025-12-02T00:00:00"/>
    <d v="2025-12-02T00:00:00"/>
    <x v="0"/>
    <n v="2"/>
    <n v="5"/>
    <n v="798000"/>
    <n v="0"/>
    <s v="Price"/>
    <s v="North"/>
    <x v="0"/>
    <s v="CRM"/>
    <x v="2"/>
    <x v="0"/>
  </r>
  <r>
    <s v="O00709"/>
    <s v="C0012"/>
    <s v="P006"/>
    <s v="R005"/>
    <d v="2025-09-03T00:00:00"/>
    <d v="2025-09-29T00:00:00"/>
    <d v="2025-09-29T00:00:00"/>
    <x v="1"/>
    <n v="1"/>
    <n v="0"/>
    <n v="360000"/>
    <n v="100"/>
    <s v=""/>
    <s v="South"/>
    <x v="2"/>
    <s v="Security"/>
    <x v="11"/>
    <x v="2"/>
  </r>
  <r>
    <s v="O00710"/>
    <s v="C0246"/>
    <s v="P002"/>
    <s v="R003"/>
    <d v="2025-01-13T00:00:00"/>
    <d v="2025-02-13T00:00:00"/>
    <d v="2025-02-13T00:00:00"/>
    <x v="0"/>
    <n v="1"/>
    <n v="15"/>
    <n v="357000"/>
    <n v="0"/>
    <s v="Price"/>
    <s v="South"/>
    <x v="0"/>
    <s v="CRM"/>
    <x v="15"/>
    <x v="2"/>
  </r>
  <r>
    <s v="O00711"/>
    <s v="C0462"/>
    <s v="P003"/>
    <s v="R010"/>
    <d v="2025-10-04T00:00:00"/>
    <d v="2025-11-24T00:00:00"/>
    <d v="2025-11-24T00:00:00"/>
    <x v="1"/>
    <n v="2"/>
    <n v="5"/>
    <n v="456000"/>
    <n v="100"/>
    <s v=""/>
    <s v="North"/>
    <x v="1"/>
    <s v="Automation"/>
    <x v="16"/>
    <x v="0"/>
  </r>
  <r>
    <s v="O00712"/>
    <s v="C0130"/>
    <s v="P002"/>
    <s v="R008"/>
    <d v="2025-07-03T00:00:00"/>
    <d v="2025-09-05T00:00:00"/>
    <d v="2025-09-05T00:00:00"/>
    <x v="0"/>
    <n v="3"/>
    <n v="5"/>
    <n v="1197000"/>
    <n v="0"/>
    <s v="Budget"/>
    <s v="North"/>
    <x v="0"/>
    <s v="CRM"/>
    <x v="0"/>
    <x v="0"/>
  </r>
  <r>
    <s v="O00713"/>
    <s v="C0422"/>
    <s v="P004"/>
    <s v="R001"/>
    <d v="2025-09-14T00:00:00"/>
    <d v="2025-11-26T00:00:00"/>
    <d v="2025-11-26T00:00:00"/>
    <x v="0"/>
    <n v="1"/>
    <n v="20"/>
    <n v="240000"/>
    <n v="0"/>
    <s v="Budget"/>
    <s v="South"/>
    <x v="5"/>
    <s v="Analytics"/>
    <x v="6"/>
    <x v="2"/>
  </r>
  <r>
    <s v="O00714"/>
    <s v="C0268"/>
    <s v="P006"/>
    <s v="R014"/>
    <d v="2025-04-23T00:00:00"/>
    <d v="2025-06-21T00:00:00"/>
    <d v="2025-06-21T00:00:00"/>
    <x v="0"/>
    <n v="1"/>
    <n v="5"/>
    <n v="342000"/>
    <n v="0"/>
    <s v="Competition"/>
    <s v="West"/>
    <x v="2"/>
    <s v="Security"/>
    <x v="1"/>
    <x v="1"/>
  </r>
  <r>
    <s v="O00715"/>
    <s v="C0487"/>
    <s v="P003"/>
    <s v="R012"/>
    <d v="2025-07-27T00:00:00"/>
    <d v="2025-08-29T00:00:00"/>
    <d v="2025-08-29T00:00:00"/>
    <x v="1"/>
    <n v="3"/>
    <n v="0"/>
    <n v="720000"/>
    <n v="100"/>
    <s v=""/>
    <s v="West"/>
    <x v="1"/>
    <s v="Automation"/>
    <x v="14"/>
    <x v="1"/>
  </r>
  <r>
    <s v="O00716"/>
    <s v="C0424"/>
    <s v="P006"/>
    <s v="R016"/>
    <d v="2025-02-04T00:00:00"/>
    <d v="2025-02-26T00:00:00"/>
    <d v="2025-02-26T00:00:00"/>
    <x v="1"/>
    <n v="2"/>
    <n v="10"/>
    <n v="648000"/>
    <n v="100"/>
    <s v=""/>
    <s v="East"/>
    <x v="2"/>
    <s v="Security"/>
    <x v="8"/>
    <x v="3"/>
  </r>
  <r>
    <s v="O00717"/>
    <s v="C0107"/>
    <s v="P003"/>
    <s v="R009"/>
    <d v="2025-11-14T00:00:00"/>
    <d v="2026-01-21T00:00:00"/>
    <m/>
    <x v="2"/>
    <n v="3"/>
    <n v="20"/>
    <n v="576000"/>
    <n v="20"/>
    <s v=""/>
    <s v="North"/>
    <x v="1"/>
    <s v="Automation"/>
    <x v="4"/>
    <x v="0"/>
  </r>
  <r>
    <s v="O00718"/>
    <s v="C0451"/>
    <s v="P003"/>
    <s v="R009"/>
    <d v="2025-01-14T00:00:00"/>
    <d v="2025-03-24T00:00:00"/>
    <d v="2025-03-24T00:00:00"/>
    <x v="0"/>
    <n v="1"/>
    <n v="15"/>
    <n v="204000"/>
    <n v="0"/>
    <s v="Feature gap"/>
    <s v="North"/>
    <x v="1"/>
    <s v="Automation"/>
    <x v="4"/>
    <x v="0"/>
  </r>
  <r>
    <s v="O00719"/>
    <s v="C0384"/>
    <s v="P003"/>
    <s v="R007"/>
    <d v="2025-11-06T00:00:00"/>
    <d v="2025-11-17T00:00:00"/>
    <m/>
    <x v="2"/>
    <n v="1"/>
    <n v="10"/>
    <n v="216000"/>
    <n v="80"/>
    <s v=""/>
    <s v="North"/>
    <x v="1"/>
    <s v="Automation"/>
    <x v="13"/>
    <x v="0"/>
  </r>
  <r>
    <s v="O00720"/>
    <s v="C0228"/>
    <s v="P001"/>
    <s v="R010"/>
    <d v="2025-04-03T00:00:00"/>
    <d v="2025-06-21T00:00:00"/>
    <d v="2025-06-21T00:00:00"/>
    <x v="0"/>
    <n v="2"/>
    <n v="20"/>
    <n v="192000"/>
    <n v="0"/>
    <s v="Budget"/>
    <s v="North"/>
    <x v="4"/>
    <s v="CRM"/>
    <x v="16"/>
    <x v="0"/>
  </r>
  <r>
    <s v="O00721"/>
    <s v="C0021"/>
    <s v="P003"/>
    <s v="R010"/>
    <d v="2025-06-19T00:00:00"/>
    <d v="2025-07-15T00:00:00"/>
    <d v="2025-07-15T00:00:00"/>
    <x v="0"/>
    <n v="1"/>
    <n v="5"/>
    <n v="228000"/>
    <n v="0"/>
    <s v="No decision"/>
    <s v="North"/>
    <x v="1"/>
    <s v="Automation"/>
    <x v="16"/>
    <x v="0"/>
  </r>
  <r>
    <s v="O00722"/>
    <s v="C0115"/>
    <s v="P003"/>
    <s v="R015"/>
    <d v="2025-09-10T00:00:00"/>
    <d v="2025-11-12T00:00:00"/>
    <d v="2025-11-12T00:00:00"/>
    <x v="1"/>
    <n v="1"/>
    <n v="0"/>
    <n v="240000"/>
    <n v="100"/>
    <s v=""/>
    <s v="West"/>
    <x v="1"/>
    <s v="Automation"/>
    <x v="7"/>
    <x v="1"/>
  </r>
  <r>
    <s v="O00723"/>
    <s v="C0363"/>
    <s v="P005"/>
    <s v="R008"/>
    <d v="2025-11-22T00:00:00"/>
    <d v="2026-01-21T00:00:00"/>
    <m/>
    <x v="2"/>
    <n v="2"/>
    <n v="0"/>
    <n v="360000"/>
    <n v="60"/>
    <s v=""/>
    <s v="North"/>
    <x v="3"/>
    <s v="Service"/>
    <x v="0"/>
    <x v="0"/>
  </r>
  <r>
    <s v="O00724"/>
    <s v="C0045"/>
    <s v="P005"/>
    <s v="R007"/>
    <d v="2025-12-07T00:00:00"/>
    <d v="2026-02-21T00:00:00"/>
    <m/>
    <x v="2"/>
    <n v="1"/>
    <n v="20"/>
    <n v="144000"/>
    <n v="60"/>
    <s v=""/>
    <s v="North"/>
    <x v="3"/>
    <s v="Service"/>
    <x v="13"/>
    <x v="0"/>
  </r>
  <r>
    <s v="O00725"/>
    <s v="C0191"/>
    <s v="P001"/>
    <s v="R015"/>
    <d v="2025-01-07T00:00:00"/>
    <d v="2025-02-17T00:00:00"/>
    <d v="2025-02-17T00:00:00"/>
    <x v="1"/>
    <n v="3"/>
    <n v="20"/>
    <n v="288000"/>
    <n v="100"/>
    <s v=""/>
    <s v="West"/>
    <x v="4"/>
    <s v="CRM"/>
    <x v="7"/>
    <x v="1"/>
  </r>
  <r>
    <s v="O00726"/>
    <s v="C0199"/>
    <s v="P005"/>
    <s v="R005"/>
    <d v="2025-02-06T00:00:00"/>
    <d v="2025-03-01T00:00:00"/>
    <d v="2025-03-01T00:00:00"/>
    <x v="1"/>
    <n v="3"/>
    <n v="5"/>
    <n v="513000"/>
    <n v="100"/>
    <s v=""/>
    <s v="South"/>
    <x v="3"/>
    <s v="Service"/>
    <x v="11"/>
    <x v="2"/>
  </r>
  <r>
    <s v="O00727"/>
    <s v="C0400"/>
    <s v="P004"/>
    <s v="R016"/>
    <d v="2025-04-09T00:00:00"/>
    <d v="2025-06-02T00:00:00"/>
    <d v="2025-06-02T00:00:00"/>
    <x v="0"/>
    <n v="2"/>
    <n v="15"/>
    <n v="510000"/>
    <n v="0"/>
    <s v="Competition"/>
    <s v="East"/>
    <x v="5"/>
    <s v="Analytics"/>
    <x v="8"/>
    <x v="3"/>
  </r>
  <r>
    <s v="O00728"/>
    <s v="C0034"/>
    <s v="P005"/>
    <s v="R016"/>
    <d v="2025-12-27T00:00:00"/>
    <d v="2026-01-21T00:00:00"/>
    <m/>
    <x v="2"/>
    <n v="1"/>
    <n v="10"/>
    <n v="162000"/>
    <n v="60"/>
    <s v=""/>
    <s v="East"/>
    <x v="3"/>
    <s v="Service"/>
    <x v="8"/>
    <x v="3"/>
  </r>
  <r>
    <s v="O00729"/>
    <s v="C0287"/>
    <s v="P006"/>
    <s v="R020"/>
    <d v="2025-11-03T00:00:00"/>
    <d v="2026-01-22T00:00:00"/>
    <m/>
    <x v="2"/>
    <n v="1"/>
    <n v="15"/>
    <n v="306000"/>
    <n v="60"/>
    <s v=""/>
    <s v="East"/>
    <x v="2"/>
    <s v="Security"/>
    <x v="9"/>
    <x v="3"/>
  </r>
  <r>
    <s v="O00730"/>
    <s v="C0324"/>
    <s v="P001"/>
    <s v="R003"/>
    <d v="2025-11-19T00:00:00"/>
    <d v="2025-12-30T00:00:00"/>
    <d v="2025-12-30T00:00:00"/>
    <x v="1"/>
    <n v="1"/>
    <n v="20"/>
    <n v="96000"/>
    <n v="100"/>
    <s v=""/>
    <s v="South"/>
    <x v="4"/>
    <s v="CRM"/>
    <x v="15"/>
    <x v="2"/>
  </r>
  <r>
    <s v="O00731"/>
    <s v="C0307"/>
    <s v="P004"/>
    <s v="R007"/>
    <d v="2025-11-10T00:00:00"/>
    <d v="2025-12-04T00:00:00"/>
    <m/>
    <x v="2"/>
    <n v="1"/>
    <n v="5"/>
    <n v="285000"/>
    <n v="60"/>
    <s v=""/>
    <s v="North"/>
    <x v="5"/>
    <s v="Analytics"/>
    <x v="13"/>
    <x v="0"/>
  </r>
  <r>
    <s v="O00732"/>
    <s v="C0405"/>
    <s v="P006"/>
    <s v="R003"/>
    <d v="2025-04-04T00:00:00"/>
    <d v="2025-06-13T00:00:00"/>
    <m/>
    <x v="2"/>
    <n v="1"/>
    <n v="5"/>
    <n v="342000"/>
    <n v="80"/>
    <s v=""/>
    <s v="South"/>
    <x v="2"/>
    <s v="Security"/>
    <x v="15"/>
    <x v="2"/>
  </r>
  <r>
    <s v="O00733"/>
    <s v="C0035"/>
    <s v="P002"/>
    <s v="R013"/>
    <d v="2025-09-11T00:00:00"/>
    <d v="2025-11-27T00:00:00"/>
    <d v="2025-11-27T00:00:00"/>
    <x v="0"/>
    <n v="3"/>
    <n v="10"/>
    <n v="1134000"/>
    <n v="0"/>
    <s v="Competition"/>
    <s v="West"/>
    <x v="0"/>
    <s v="CRM"/>
    <x v="5"/>
    <x v="1"/>
  </r>
  <r>
    <s v="O00734"/>
    <s v="C0093"/>
    <s v="P001"/>
    <s v="R008"/>
    <d v="2025-01-28T00:00:00"/>
    <d v="2025-02-12T00:00:00"/>
    <d v="2025-02-12T00:00:00"/>
    <x v="1"/>
    <n v="1"/>
    <n v="0"/>
    <n v="120000"/>
    <n v="100"/>
    <s v=""/>
    <s v="North"/>
    <x v="4"/>
    <s v="CRM"/>
    <x v="0"/>
    <x v="0"/>
  </r>
  <r>
    <s v="O00735"/>
    <s v="C0320"/>
    <s v="P006"/>
    <s v="R018"/>
    <d v="2025-05-26T00:00:00"/>
    <d v="2025-07-01T00:00:00"/>
    <d v="2025-07-01T00:00:00"/>
    <x v="0"/>
    <n v="1"/>
    <n v="20"/>
    <n v="288000"/>
    <n v="0"/>
    <s v="Feature gap"/>
    <s v="East"/>
    <x v="2"/>
    <s v="Security"/>
    <x v="18"/>
    <x v="3"/>
  </r>
  <r>
    <s v="O00736"/>
    <s v="C0009"/>
    <s v="P002"/>
    <s v="R001"/>
    <d v="2025-10-20T00:00:00"/>
    <d v="2025-11-30T00:00:00"/>
    <d v="2025-11-30T00:00:00"/>
    <x v="0"/>
    <n v="2"/>
    <n v="0"/>
    <n v="840000"/>
    <n v="0"/>
    <s v="Competition"/>
    <s v="South"/>
    <x v="0"/>
    <s v="CRM"/>
    <x v="6"/>
    <x v="2"/>
  </r>
  <r>
    <s v="O00737"/>
    <s v="C0441"/>
    <s v="P005"/>
    <s v="R014"/>
    <d v="2025-08-17T00:00:00"/>
    <d v="2025-09-05T00:00:00"/>
    <d v="2025-09-05T00:00:00"/>
    <x v="1"/>
    <n v="1"/>
    <n v="15"/>
    <n v="153000"/>
    <n v="100"/>
    <s v=""/>
    <s v="West"/>
    <x v="3"/>
    <s v="Service"/>
    <x v="1"/>
    <x v="1"/>
  </r>
  <r>
    <s v="O00738"/>
    <s v="C0256"/>
    <s v="P005"/>
    <s v="R005"/>
    <d v="2025-07-18T00:00:00"/>
    <d v="2025-10-10T00:00:00"/>
    <m/>
    <x v="2"/>
    <n v="1"/>
    <n v="10"/>
    <n v="162000"/>
    <n v="40"/>
    <s v=""/>
    <s v="South"/>
    <x v="3"/>
    <s v="Service"/>
    <x v="11"/>
    <x v="2"/>
  </r>
  <r>
    <s v="O00739"/>
    <s v="C0161"/>
    <s v="P003"/>
    <s v="R009"/>
    <d v="2025-05-21T00:00:00"/>
    <d v="2025-07-04T00:00:00"/>
    <d v="2025-07-04T00:00:00"/>
    <x v="1"/>
    <n v="1"/>
    <n v="15"/>
    <n v="204000"/>
    <n v="100"/>
    <s v=""/>
    <s v="North"/>
    <x v="1"/>
    <s v="Automation"/>
    <x v="4"/>
    <x v="0"/>
  </r>
  <r>
    <s v="O00740"/>
    <s v="C0366"/>
    <s v="P001"/>
    <s v="R019"/>
    <d v="2025-10-20T00:00:00"/>
    <d v="2025-12-14T00:00:00"/>
    <d v="2025-12-14T00:00:00"/>
    <x v="1"/>
    <n v="1"/>
    <n v="15"/>
    <n v="102000"/>
    <n v="100"/>
    <s v=""/>
    <s v="East"/>
    <x v="4"/>
    <s v="CRM"/>
    <x v="10"/>
    <x v="3"/>
  </r>
  <r>
    <s v="O00741"/>
    <s v="C0265"/>
    <s v="P005"/>
    <s v="R020"/>
    <d v="2025-04-11T00:00:00"/>
    <d v="2025-06-05T00:00:00"/>
    <m/>
    <x v="2"/>
    <n v="1"/>
    <n v="0"/>
    <n v="180000"/>
    <n v="40"/>
    <s v=""/>
    <s v="East"/>
    <x v="3"/>
    <s v="Service"/>
    <x v="9"/>
    <x v="3"/>
  </r>
  <r>
    <s v="O00742"/>
    <s v="C0129"/>
    <s v="P001"/>
    <s v="R010"/>
    <d v="2025-05-11T00:00:00"/>
    <d v="2025-06-24T00:00:00"/>
    <d v="2025-06-24T00:00:00"/>
    <x v="0"/>
    <n v="1"/>
    <n v="15"/>
    <n v="102000"/>
    <n v="0"/>
    <s v="Competition"/>
    <s v="North"/>
    <x v="4"/>
    <s v="CRM"/>
    <x v="16"/>
    <x v="0"/>
  </r>
  <r>
    <s v="O00743"/>
    <s v="C0294"/>
    <s v="P006"/>
    <s v="R007"/>
    <d v="2025-05-28T00:00:00"/>
    <d v="2025-07-28T00:00:00"/>
    <d v="2025-07-28T00:00:00"/>
    <x v="0"/>
    <n v="1"/>
    <n v="5"/>
    <n v="342000"/>
    <n v="0"/>
    <s v="Competition"/>
    <s v="North"/>
    <x v="2"/>
    <s v="Security"/>
    <x v="13"/>
    <x v="0"/>
  </r>
  <r>
    <s v="O00744"/>
    <s v="C0064"/>
    <s v="P004"/>
    <s v="R020"/>
    <d v="2025-07-08T00:00:00"/>
    <d v="2025-08-03T00:00:00"/>
    <d v="2025-08-03T00:00:00"/>
    <x v="0"/>
    <n v="3"/>
    <n v="5"/>
    <n v="855000"/>
    <n v="0"/>
    <s v="Price"/>
    <s v="East"/>
    <x v="5"/>
    <s v="Analytics"/>
    <x v="9"/>
    <x v="3"/>
  </r>
  <r>
    <s v="O00745"/>
    <s v="C0241"/>
    <s v="P002"/>
    <s v="R007"/>
    <d v="2025-05-04T00:00:00"/>
    <d v="2025-06-27T00:00:00"/>
    <m/>
    <x v="2"/>
    <n v="3"/>
    <n v="10"/>
    <n v="1134000"/>
    <n v="80"/>
    <s v=""/>
    <s v="North"/>
    <x v="0"/>
    <s v="CRM"/>
    <x v="13"/>
    <x v="0"/>
  </r>
  <r>
    <s v="O00746"/>
    <s v="C0035"/>
    <s v="P004"/>
    <s v="R012"/>
    <d v="2025-01-01T00:00:00"/>
    <d v="2025-03-16T00:00:00"/>
    <d v="2025-03-16T00:00:00"/>
    <x v="1"/>
    <n v="2"/>
    <n v="15"/>
    <n v="510000"/>
    <n v="100"/>
    <s v=""/>
    <s v="West"/>
    <x v="5"/>
    <s v="Analytics"/>
    <x v="14"/>
    <x v="1"/>
  </r>
  <r>
    <s v="O00747"/>
    <s v="C0308"/>
    <s v="P003"/>
    <s v="R003"/>
    <d v="2025-03-01T00:00:00"/>
    <d v="2025-04-29T00:00:00"/>
    <d v="2025-04-29T00:00:00"/>
    <x v="0"/>
    <n v="2"/>
    <n v="15"/>
    <n v="408000"/>
    <n v="0"/>
    <s v="Budget"/>
    <s v="South"/>
    <x v="1"/>
    <s v="Automation"/>
    <x v="15"/>
    <x v="2"/>
  </r>
  <r>
    <s v="O00748"/>
    <s v="C0223"/>
    <s v="P006"/>
    <s v="R002"/>
    <d v="2025-08-19T00:00:00"/>
    <d v="2025-09-12T00:00:00"/>
    <m/>
    <x v="2"/>
    <n v="1"/>
    <n v="15"/>
    <n v="306000"/>
    <n v="40"/>
    <s v=""/>
    <s v="South"/>
    <x v="2"/>
    <s v="Security"/>
    <x v="17"/>
    <x v="2"/>
  </r>
  <r>
    <s v="O00749"/>
    <s v="C0452"/>
    <s v="P002"/>
    <s v="R014"/>
    <d v="2025-03-08T00:00:00"/>
    <d v="2025-03-21T00:00:00"/>
    <d v="2025-03-21T00:00:00"/>
    <x v="0"/>
    <n v="1"/>
    <n v="5"/>
    <n v="399000"/>
    <n v="0"/>
    <s v="Budget"/>
    <s v="West"/>
    <x v="0"/>
    <s v="CRM"/>
    <x v="1"/>
    <x v="1"/>
  </r>
  <r>
    <s v="O00750"/>
    <s v="C0245"/>
    <s v="P001"/>
    <s v="R014"/>
    <d v="2025-02-04T00:00:00"/>
    <d v="2025-03-07T00:00:00"/>
    <d v="2025-03-07T00:00:00"/>
    <x v="0"/>
    <n v="1"/>
    <n v="20"/>
    <n v="96000"/>
    <n v="0"/>
    <s v="Price"/>
    <s v="West"/>
    <x v="4"/>
    <s v="CRM"/>
    <x v="1"/>
    <x v="1"/>
  </r>
  <r>
    <s v="O00751"/>
    <s v="C0112"/>
    <s v="P006"/>
    <s v="R010"/>
    <d v="2025-07-10T00:00:00"/>
    <d v="2025-09-06T00:00:00"/>
    <d v="2025-09-06T00:00:00"/>
    <x v="1"/>
    <n v="1"/>
    <n v="20"/>
    <n v="288000"/>
    <n v="100"/>
    <s v=""/>
    <s v="North"/>
    <x v="2"/>
    <s v="Security"/>
    <x v="16"/>
    <x v="0"/>
  </r>
  <r>
    <s v="O00752"/>
    <s v="C0391"/>
    <s v="P005"/>
    <s v="R006"/>
    <d v="2025-12-08T00:00:00"/>
    <d v="2026-02-25T00:00:00"/>
    <m/>
    <x v="2"/>
    <n v="3"/>
    <n v="0"/>
    <n v="540000"/>
    <n v="40"/>
    <s v=""/>
    <s v="North"/>
    <x v="3"/>
    <s v="Service"/>
    <x v="2"/>
    <x v="0"/>
  </r>
  <r>
    <s v="O00753"/>
    <s v="C0023"/>
    <s v="P003"/>
    <s v="R011"/>
    <d v="2025-03-10T00:00:00"/>
    <d v="2025-05-28T00:00:00"/>
    <d v="2025-05-28T00:00:00"/>
    <x v="1"/>
    <n v="1"/>
    <n v="15"/>
    <n v="204000"/>
    <n v="100"/>
    <s v=""/>
    <s v="West"/>
    <x v="1"/>
    <s v="Automation"/>
    <x v="12"/>
    <x v="1"/>
  </r>
  <r>
    <s v="O00754"/>
    <s v="C0253"/>
    <s v="P001"/>
    <s v="R011"/>
    <d v="2025-12-09T00:00:00"/>
    <d v="2026-01-28T00:00:00"/>
    <m/>
    <x v="2"/>
    <n v="3"/>
    <n v="10"/>
    <n v="324000"/>
    <n v="80"/>
    <s v=""/>
    <s v="West"/>
    <x v="4"/>
    <s v="CRM"/>
    <x v="12"/>
    <x v="1"/>
  </r>
  <r>
    <s v="O00755"/>
    <s v="C0399"/>
    <s v="P002"/>
    <s v="R017"/>
    <d v="2025-01-12T00:00:00"/>
    <d v="2025-02-22T00:00:00"/>
    <d v="2025-02-22T00:00:00"/>
    <x v="0"/>
    <n v="1"/>
    <n v="20"/>
    <n v="336000"/>
    <n v="0"/>
    <s v="No decision"/>
    <s v="East"/>
    <x v="0"/>
    <s v="CRM"/>
    <x v="19"/>
    <x v="3"/>
  </r>
  <r>
    <s v="O00756"/>
    <s v="C0186"/>
    <s v="P004"/>
    <s v="R014"/>
    <d v="2025-08-03T00:00:00"/>
    <d v="2025-09-17T00:00:00"/>
    <d v="2025-09-17T00:00:00"/>
    <x v="0"/>
    <n v="1"/>
    <n v="5"/>
    <n v="285000"/>
    <n v="0"/>
    <s v="Feature gap"/>
    <s v="West"/>
    <x v="5"/>
    <s v="Analytics"/>
    <x v="1"/>
    <x v="1"/>
  </r>
  <r>
    <s v="O00757"/>
    <s v="C0121"/>
    <s v="P004"/>
    <s v="R009"/>
    <d v="2025-07-22T00:00:00"/>
    <d v="2025-09-18T00:00:00"/>
    <d v="2025-09-18T00:00:00"/>
    <x v="0"/>
    <n v="2"/>
    <n v="5"/>
    <n v="570000"/>
    <n v="0"/>
    <s v="Competition"/>
    <s v="North"/>
    <x v="5"/>
    <s v="Analytics"/>
    <x v="4"/>
    <x v="0"/>
  </r>
  <r>
    <s v="O00758"/>
    <s v="C0043"/>
    <s v="P001"/>
    <s v="R006"/>
    <d v="2025-03-18T00:00:00"/>
    <d v="2025-05-27T00:00:00"/>
    <d v="2025-05-27T00:00:00"/>
    <x v="0"/>
    <n v="1"/>
    <n v="5"/>
    <n v="114000"/>
    <n v="0"/>
    <s v="Price"/>
    <s v="North"/>
    <x v="4"/>
    <s v="CRM"/>
    <x v="2"/>
    <x v="0"/>
  </r>
  <r>
    <s v="O00759"/>
    <s v="C0299"/>
    <s v="P001"/>
    <s v="R006"/>
    <d v="2025-11-11T00:00:00"/>
    <d v="2025-12-12T00:00:00"/>
    <d v="2025-12-12T00:00:00"/>
    <x v="1"/>
    <n v="1"/>
    <n v="15"/>
    <n v="102000"/>
    <n v="100"/>
    <s v=""/>
    <s v="North"/>
    <x v="4"/>
    <s v="CRM"/>
    <x v="2"/>
    <x v="0"/>
  </r>
  <r>
    <s v="O00760"/>
    <s v="C0071"/>
    <s v="P001"/>
    <s v="R009"/>
    <d v="2025-11-07T00:00:00"/>
    <d v="2025-12-04T00:00:00"/>
    <m/>
    <x v="2"/>
    <n v="3"/>
    <n v="0"/>
    <n v="360000"/>
    <n v="80"/>
    <s v=""/>
    <s v="North"/>
    <x v="4"/>
    <s v="CRM"/>
    <x v="4"/>
    <x v="0"/>
  </r>
  <r>
    <s v="O00761"/>
    <s v="C0184"/>
    <s v="P005"/>
    <s v="R008"/>
    <d v="2025-05-31T00:00:00"/>
    <d v="2025-07-28T00:00:00"/>
    <d v="2025-07-28T00:00:00"/>
    <x v="0"/>
    <n v="2"/>
    <n v="5"/>
    <n v="342000"/>
    <n v="0"/>
    <s v="Budget"/>
    <s v="North"/>
    <x v="3"/>
    <s v="Service"/>
    <x v="0"/>
    <x v="0"/>
  </r>
  <r>
    <s v="O00762"/>
    <s v="C0449"/>
    <s v="P001"/>
    <s v="R002"/>
    <d v="2025-02-25T00:00:00"/>
    <d v="2025-03-20T00:00:00"/>
    <m/>
    <x v="2"/>
    <n v="1"/>
    <n v="0"/>
    <n v="120000"/>
    <n v="60"/>
    <s v=""/>
    <s v="South"/>
    <x v="4"/>
    <s v="CRM"/>
    <x v="17"/>
    <x v="2"/>
  </r>
  <r>
    <s v="O00763"/>
    <s v="C0301"/>
    <s v="P003"/>
    <s v="R012"/>
    <d v="2025-08-31T00:00:00"/>
    <d v="2025-10-23T00:00:00"/>
    <d v="2025-10-23T00:00:00"/>
    <x v="0"/>
    <n v="1"/>
    <n v="15"/>
    <n v="204000"/>
    <n v="0"/>
    <s v="Budget"/>
    <s v="West"/>
    <x v="1"/>
    <s v="Automation"/>
    <x v="14"/>
    <x v="1"/>
  </r>
  <r>
    <s v="O00764"/>
    <s v="C0238"/>
    <s v="P006"/>
    <s v="R019"/>
    <d v="2025-12-30T00:00:00"/>
    <d v="2026-03-04T00:00:00"/>
    <m/>
    <x v="2"/>
    <n v="1"/>
    <n v="10"/>
    <n v="324000"/>
    <n v="80"/>
    <s v=""/>
    <s v="East"/>
    <x v="2"/>
    <s v="Security"/>
    <x v="10"/>
    <x v="3"/>
  </r>
  <r>
    <s v="O00765"/>
    <s v="C0263"/>
    <s v="P005"/>
    <s v="R014"/>
    <d v="2025-05-23T00:00:00"/>
    <d v="2025-06-22T00:00:00"/>
    <m/>
    <x v="2"/>
    <n v="2"/>
    <n v="0"/>
    <n v="360000"/>
    <n v="20"/>
    <s v=""/>
    <s v="West"/>
    <x v="3"/>
    <s v="Service"/>
    <x v="1"/>
    <x v="1"/>
  </r>
  <r>
    <s v="O00766"/>
    <s v="C0171"/>
    <s v="P006"/>
    <s v="R020"/>
    <d v="2025-05-21T00:00:00"/>
    <d v="2025-08-03T00:00:00"/>
    <d v="2025-08-03T00:00:00"/>
    <x v="0"/>
    <n v="3"/>
    <n v="20"/>
    <n v="864000"/>
    <n v="0"/>
    <s v="No decision"/>
    <s v="East"/>
    <x v="2"/>
    <s v="Security"/>
    <x v="9"/>
    <x v="3"/>
  </r>
  <r>
    <s v="O00767"/>
    <s v="C0023"/>
    <s v="P003"/>
    <s v="R013"/>
    <d v="2025-01-10T00:00:00"/>
    <d v="2025-01-25T00:00:00"/>
    <d v="2025-01-25T00:00:00"/>
    <x v="0"/>
    <n v="2"/>
    <n v="15"/>
    <n v="408000"/>
    <n v="0"/>
    <s v="Feature gap"/>
    <s v="West"/>
    <x v="1"/>
    <s v="Automation"/>
    <x v="5"/>
    <x v="1"/>
  </r>
  <r>
    <s v="O00768"/>
    <s v="C0464"/>
    <s v="P005"/>
    <s v="R018"/>
    <d v="2025-07-22T00:00:00"/>
    <d v="2025-10-04T00:00:00"/>
    <d v="2025-10-04T00:00:00"/>
    <x v="1"/>
    <n v="1"/>
    <n v="0"/>
    <n v="180000"/>
    <n v="100"/>
    <s v=""/>
    <s v="East"/>
    <x v="3"/>
    <s v="Service"/>
    <x v="18"/>
    <x v="3"/>
  </r>
  <r>
    <s v="O00769"/>
    <s v="C0027"/>
    <s v="P004"/>
    <s v="R020"/>
    <d v="2025-04-20T00:00:00"/>
    <d v="2025-07-06T00:00:00"/>
    <d v="2025-07-06T00:00:00"/>
    <x v="0"/>
    <n v="1"/>
    <n v="0"/>
    <n v="300000"/>
    <n v="0"/>
    <s v="No decision"/>
    <s v="East"/>
    <x v="5"/>
    <s v="Analytics"/>
    <x v="9"/>
    <x v="3"/>
  </r>
  <r>
    <s v="O00770"/>
    <s v="C0051"/>
    <s v="P002"/>
    <s v="R013"/>
    <d v="2025-03-28T00:00:00"/>
    <d v="2025-05-06T00:00:00"/>
    <d v="2025-05-06T00:00:00"/>
    <x v="0"/>
    <n v="2"/>
    <n v="5"/>
    <n v="798000"/>
    <n v="0"/>
    <s v="Competition"/>
    <s v="West"/>
    <x v="0"/>
    <s v="CRM"/>
    <x v="5"/>
    <x v="1"/>
  </r>
  <r>
    <s v="O00771"/>
    <s v="C0080"/>
    <s v="P001"/>
    <s v="R011"/>
    <d v="2025-05-03T00:00:00"/>
    <d v="2025-06-13T00:00:00"/>
    <d v="2025-06-13T00:00:00"/>
    <x v="1"/>
    <n v="1"/>
    <n v="0"/>
    <n v="120000"/>
    <n v="100"/>
    <s v=""/>
    <s v="West"/>
    <x v="4"/>
    <s v="CRM"/>
    <x v="12"/>
    <x v="1"/>
  </r>
  <r>
    <s v="O00772"/>
    <s v="C0181"/>
    <s v="P002"/>
    <s v="R014"/>
    <d v="2025-04-07T00:00:00"/>
    <d v="2025-05-16T00:00:00"/>
    <d v="2025-05-16T00:00:00"/>
    <x v="0"/>
    <n v="1"/>
    <n v="20"/>
    <n v="336000"/>
    <n v="0"/>
    <s v="Price"/>
    <s v="West"/>
    <x v="0"/>
    <s v="CRM"/>
    <x v="1"/>
    <x v="1"/>
  </r>
  <r>
    <s v="O00773"/>
    <s v="C0175"/>
    <s v="P004"/>
    <s v="R004"/>
    <d v="2025-02-23T00:00:00"/>
    <d v="2025-04-22T00:00:00"/>
    <m/>
    <x v="2"/>
    <n v="1"/>
    <n v="5"/>
    <n v="285000"/>
    <n v="40"/>
    <s v=""/>
    <s v="South"/>
    <x v="5"/>
    <s v="Analytics"/>
    <x v="3"/>
    <x v="2"/>
  </r>
  <r>
    <s v="O00774"/>
    <s v="C0461"/>
    <s v="P001"/>
    <s v="R006"/>
    <d v="2025-08-20T00:00:00"/>
    <d v="2025-11-08T00:00:00"/>
    <d v="2025-11-08T00:00:00"/>
    <x v="1"/>
    <n v="1"/>
    <n v="0"/>
    <n v="120000"/>
    <n v="100"/>
    <s v=""/>
    <s v="North"/>
    <x v="4"/>
    <s v="CRM"/>
    <x v="2"/>
    <x v="0"/>
  </r>
  <r>
    <s v="O00775"/>
    <s v="C0070"/>
    <s v="P004"/>
    <s v="R009"/>
    <d v="2025-10-11T00:00:00"/>
    <d v="2025-11-30T00:00:00"/>
    <m/>
    <x v="2"/>
    <n v="1"/>
    <n v="20"/>
    <n v="240000"/>
    <n v="20"/>
    <s v=""/>
    <s v="North"/>
    <x v="5"/>
    <s v="Analytics"/>
    <x v="4"/>
    <x v="0"/>
  </r>
  <r>
    <s v="O00776"/>
    <s v="C0133"/>
    <s v="P004"/>
    <s v="R017"/>
    <d v="2025-05-24T00:00:00"/>
    <d v="2025-07-22T00:00:00"/>
    <d v="2025-07-22T00:00:00"/>
    <x v="1"/>
    <n v="1"/>
    <n v="20"/>
    <n v="240000"/>
    <n v="100"/>
    <s v=""/>
    <s v="East"/>
    <x v="5"/>
    <s v="Analytics"/>
    <x v="19"/>
    <x v="3"/>
  </r>
  <r>
    <s v="O00777"/>
    <s v="C0014"/>
    <s v="P003"/>
    <s v="R003"/>
    <d v="2025-04-05T00:00:00"/>
    <d v="2025-04-29T00:00:00"/>
    <d v="2025-04-29T00:00:00"/>
    <x v="0"/>
    <n v="3"/>
    <n v="20"/>
    <n v="576000"/>
    <n v="0"/>
    <s v="Budget"/>
    <s v="South"/>
    <x v="1"/>
    <s v="Automation"/>
    <x v="15"/>
    <x v="2"/>
  </r>
  <r>
    <s v="O00778"/>
    <s v="C0296"/>
    <s v="P002"/>
    <s v="R015"/>
    <d v="2025-02-10T00:00:00"/>
    <d v="2025-03-24T00:00:00"/>
    <d v="2025-03-24T00:00:00"/>
    <x v="1"/>
    <n v="1"/>
    <n v="20"/>
    <n v="336000"/>
    <n v="100"/>
    <s v=""/>
    <s v="West"/>
    <x v="0"/>
    <s v="CRM"/>
    <x v="7"/>
    <x v="1"/>
  </r>
  <r>
    <s v="O00779"/>
    <s v="C0027"/>
    <s v="P002"/>
    <s v="R016"/>
    <d v="2025-02-18T00:00:00"/>
    <d v="2025-05-11T00:00:00"/>
    <m/>
    <x v="2"/>
    <n v="1"/>
    <n v="0"/>
    <n v="420000"/>
    <n v="80"/>
    <s v=""/>
    <s v="East"/>
    <x v="0"/>
    <s v="CRM"/>
    <x v="8"/>
    <x v="3"/>
  </r>
  <r>
    <s v="O00780"/>
    <s v="C0082"/>
    <s v="P005"/>
    <s v="R015"/>
    <d v="2025-05-07T00:00:00"/>
    <d v="2025-06-04T00:00:00"/>
    <d v="2025-06-04T00:00:00"/>
    <x v="1"/>
    <n v="1"/>
    <n v="20"/>
    <n v="144000"/>
    <n v="100"/>
    <s v=""/>
    <s v="West"/>
    <x v="3"/>
    <s v="Service"/>
    <x v="7"/>
    <x v="1"/>
  </r>
  <r>
    <s v="O00781"/>
    <s v="C0378"/>
    <s v="P006"/>
    <s v="R010"/>
    <d v="2025-05-03T00:00:00"/>
    <d v="2025-05-10T00:00:00"/>
    <m/>
    <x v="2"/>
    <n v="3"/>
    <n v="10"/>
    <n v="972000"/>
    <n v="40"/>
    <s v=""/>
    <s v="North"/>
    <x v="2"/>
    <s v="Security"/>
    <x v="16"/>
    <x v="0"/>
  </r>
  <r>
    <s v="O00782"/>
    <s v="C0467"/>
    <s v="P005"/>
    <s v="R003"/>
    <d v="2025-05-18T00:00:00"/>
    <d v="2025-06-09T00:00:00"/>
    <d v="2025-06-09T00:00:00"/>
    <x v="1"/>
    <n v="2"/>
    <n v="10"/>
    <n v="324000"/>
    <n v="100"/>
    <s v=""/>
    <s v="South"/>
    <x v="3"/>
    <s v="Service"/>
    <x v="15"/>
    <x v="2"/>
  </r>
  <r>
    <s v="O00783"/>
    <s v="C0066"/>
    <s v="P005"/>
    <s v="R012"/>
    <d v="2025-11-25T00:00:00"/>
    <d v="2026-01-02T00:00:00"/>
    <m/>
    <x v="2"/>
    <n v="1"/>
    <n v="0"/>
    <n v="180000"/>
    <n v="40"/>
    <s v=""/>
    <s v="West"/>
    <x v="3"/>
    <s v="Service"/>
    <x v="14"/>
    <x v="1"/>
  </r>
  <r>
    <s v="O00784"/>
    <s v="C0002"/>
    <s v="P006"/>
    <s v="R007"/>
    <d v="2025-02-26T00:00:00"/>
    <d v="2025-03-06T00:00:00"/>
    <m/>
    <x v="2"/>
    <n v="2"/>
    <n v="0"/>
    <n v="720000"/>
    <n v="60"/>
    <s v=""/>
    <s v="North"/>
    <x v="2"/>
    <s v="Security"/>
    <x v="13"/>
    <x v="0"/>
  </r>
  <r>
    <s v="O00785"/>
    <s v="C0266"/>
    <s v="P006"/>
    <s v="R008"/>
    <d v="2025-08-16T00:00:00"/>
    <d v="2025-09-10T00:00:00"/>
    <d v="2025-09-10T00:00:00"/>
    <x v="0"/>
    <n v="1"/>
    <n v="15"/>
    <n v="306000"/>
    <n v="0"/>
    <s v="Competition"/>
    <s v="North"/>
    <x v="2"/>
    <s v="Security"/>
    <x v="0"/>
    <x v="0"/>
  </r>
  <r>
    <s v="O00786"/>
    <s v="C0082"/>
    <s v="P001"/>
    <s v="R011"/>
    <d v="2025-08-23T00:00:00"/>
    <d v="2025-09-25T00:00:00"/>
    <d v="2025-09-25T00:00:00"/>
    <x v="0"/>
    <n v="2"/>
    <n v="0"/>
    <n v="240000"/>
    <n v="0"/>
    <s v="Competition"/>
    <s v="West"/>
    <x v="4"/>
    <s v="CRM"/>
    <x v="12"/>
    <x v="1"/>
  </r>
  <r>
    <s v="O00787"/>
    <s v="C0115"/>
    <s v="P004"/>
    <s v="R012"/>
    <d v="2025-12-19T00:00:00"/>
    <d v="2026-02-25T00:00:00"/>
    <m/>
    <x v="2"/>
    <n v="2"/>
    <n v="10"/>
    <n v="540000"/>
    <n v="40"/>
    <s v=""/>
    <s v="West"/>
    <x v="5"/>
    <s v="Analytics"/>
    <x v="14"/>
    <x v="1"/>
  </r>
  <r>
    <s v="O00788"/>
    <s v="C0370"/>
    <s v="P003"/>
    <s v="R005"/>
    <d v="2025-05-11T00:00:00"/>
    <d v="2025-06-21T00:00:00"/>
    <d v="2025-06-21T00:00:00"/>
    <x v="0"/>
    <n v="3"/>
    <n v="10"/>
    <n v="648000"/>
    <n v="0"/>
    <s v="Price"/>
    <s v="South"/>
    <x v="1"/>
    <s v="Automation"/>
    <x v="11"/>
    <x v="2"/>
  </r>
  <r>
    <s v="O00789"/>
    <s v="C0388"/>
    <s v="P006"/>
    <s v="R010"/>
    <d v="2025-11-11T00:00:00"/>
    <d v="2026-01-24T00:00:00"/>
    <m/>
    <x v="2"/>
    <n v="1"/>
    <n v="15"/>
    <n v="306000"/>
    <n v="20"/>
    <s v=""/>
    <s v="North"/>
    <x v="2"/>
    <s v="Security"/>
    <x v="16"/>
    <x v="0"/>
  </r>
  <r>
    <s v="O00790"/>
    <s v="C0247"/>
    <s v="P002"/>
    <s v="R007"/>
    <d v="2025-02-25T00:00:00"/>
    <d v="2025-04-27T00:00:00"/>
    <d v="2025-04-27T00:00:00"/>
    <x v="0"/>
    <n v="1"/>
    <n v="10"/>
    <n v="378000"/>
    <n v="0"/>
    <s v="No decision"/>
    <s v="North"/>
    <x v="0"/>
    <s v="CRM"/>
    <x v="13"/>
    <x v="0"/>
  </r>
  <r>
    <s v="O00791"/>
    <s v="C0273"/>
    <s v="P003"/>
    <s v="R009"/>
    <d v="2025-04-27T00:00:00"/>
    <d v="2025-07-14T00:00:00"/>
    <d v="2025-07-14T00:00:00"/>
    <x v="0"/>
    <n v="1"/>
    <n v="0"/>
    <n v="240000"/>
    <n v="0"/>
    <s v="Feature gap"/>
    <s v="North"/>
    <x v="1"/>
    <s v="Automation"/>
    <x v="4"/>
    <x v="0"/>
  </r>
  <r>
    <s v="O00792"/>
    <s v="C0349"/>
    <s v="P005"/>
    <s v="R004"/>
    <d v="2025-03-11T00:00:00"/>
    <d v="2025-04-14T00:00:00"/>
    <d v="2025-04-14T00:00:00"/>
    <x v="1"/>
    <n v="1"/>
    <n v="10"/>
    <n v="162000"/>
    <n v="100"/>
    <s v=""/>
    <s v="South"/>
    <x v="3"/>
    <s v="Service"/>
    <x v="3"/>
    <x v="2"/>
  </r>
  <r>
    <s v="O00793"/>
    <s v="C0330"/>
    <s v="P005"/>
    <s v="R004"/>
    <d v="2025-04-18T00:00:00"/>
    <d v="2025-05-25T00:00:00"/>
    <d v="2025-05-25T00:00:00"/>
    <x v="1"/>
    <n v="3"/>
    <n v="0"/>
    <n v="540000"/>
    <n v="100"/>
    <s v=""/>
    <s v="South"/>
    <x v="3"/>
    <s v="Service"/>
    <x v="3"/>
    <x v="2"/>
  </r>
  <r>
    <s v="O00794"/>
    <s v="C0052"/>
    <s v="P001"/>
    <s v="R020"/>
    <d v="2025-10-26T00:00:00"/>
    <d v="2026-01-14T00:00:00"/>
    <m/>
    <x v="2"/>
    <n v="1"/>
    <n v="0"/>
    <n v="120000"/>
    <n v="80"/>
    <s v=""/>
    <s v="East"/>
    <x v="4"/>
    <s v="CRM"/>
    <x v="9"/>
    <x v="3"/>
  </r>
  <r>
    <s v="O00795"/>
    <s v="C0422"/>
    <s v="P002"/>
    <s v="R002"/>
    <d v="2025-01-24T00:00:00"/>
    <d v="2025-02-25T00:00:00"/>
    <d v="2025-02-25T00:00:00"/>
    <x v="0"/>
    <n v="1"/>
    <n v="5"/>
    <n v="399000"/>
    <n v="0"/>
    <s v="Budget"/>
    <s v="South"/>
    <x v="0"/>
    <s v="CRM"/>
    <x v="17"/>
    <x v="2"/>
  </r>
  <r>
    <s v="O00796"/>
    <s v="C0194"/>
    <s v="P001"/>
    <s v="R002"/>
    <d v="2025-07-11T00:00:00"/>
    <d v="2025-08-09T00:00:00"/>
    <d v="2025-08-09T00:00:00"/>
    <x v="1"/>
    <n v="2"/>
    <n v="0"/>
    <n v="240000"/>
    <n v="100"/>
    <s v=""/>
    <s v="South"/>
    <x v="4"/>
    <s v="CRM"/>
    <x v="17"/>
    <x v="2"/>
  </r>
  <r>
    <s v="O00797"/>
    <s v="C0366"/>
    <s v="P005"/>
    <s v="R020"/>
    <d v="2025-12-13T00:00:00"/>
    <d v="2026-03-05T00:00:00"/>
    <m/>
    <x v="2"/>
    <n v="3"/>
    <n v="10"/>
    <n v="486000"/>
    <n v="80"/>
    <s v=""/>
    <s v="East"/>
    <x v="3"/>
    <s v="Service"/>
    <x v="9"/>
    <x v="3"/>
  </r>
  <r>
    <s v="O00798"/>
    <s v="C0134"/>
    <s v="P005"/>
    <s v="R012"/>
    <d v="2025-01-11T00:00:00"/>
    <d v="2025-02-24T00:00:00"/>
    <d v="2025-02-24T00:00:00"/>
    <x v="1"/>
    <n v="2"/>
    <n v="20"/>
    <n v="288000"/>
    <n v="100"/>
    <s v=""/>
    <s v="West"/>
    <x v="3"/>
    <s v="Service"/>
    <x v="14"/>
    <x v="1"/>
  </r>
  <r>
    <s v="O00799"/>
    <s v="C0378"/>
    <s v="P006"/>
    <s v="R010"/>
    <d v="2025-02-27T00:00:00"/>
    <d v="2025-04-25T00:00:00"/>
    <d v="2025-04-25T00:00:00"/>
    <x v="0"/>
    <n v="3"/>
    <n v="5"/>
    <n v="1026000"/>
    <n v="0"/>
    <s v="Feature gap"/>
    <s v="North"/>
    <x v="2"/>
    <s v="Security"/>
    <x v="16"/>
    <x v="0"/>
  </r>
  <r>
    <s v="O00800"/>
    <s v="C0453"/>
    <s v="P001"/>
    <s v="R007"/>
    <d v="2025-10-03T00:00:00"/>
    <d v="2025-11-22T00:00:00"/>
    <d v="2025-11-22T00:00:00"/>
    <x v="0"/>
    <n v="3"/>
    <n v="20"/>
    <n v="288000"/>
    <n v="0"/>
    <s v="Budget"/>
    <s v="North"/>
    <x v="4"/>
    <s v="CRM"/>
    <x v="13"/>
    <x v="0"/>
  </r>
  <r>
    <s v="O00801"/>
    <s v="C0326"/>
    <s v="P001"/>
    <s v="R015"/>
    <d v="2025-03-17T00:00:00"/>
    <d v="2025-04-02T00:00:00"/>
    <d v="2025-04-02T00:00:00"/>
    <x v="0"/>
    <n v="2"/>
    <n v="20"/>
    <n v="192000"/>
    <n v="0"/>
    <s v="Budget"/>
    <s v="West"/>
    <x v="4"/>
    <s v="CRM"/>
    <x v="7"/>
    <x v="1"/>
  </r>
  <r>
    <s v="O00802"/>
    <s v="C0043"/>
    <s v="P006"/>
    <s v="R007"/>
    <d v="2025-09-04T00:00:00"/>
    <d v="2025-09-23T00:00:00"/>
    <m/>
    <x v="2"/>
    <n v="2"/>
    <n v="20"/>
    <n v="576000"/>
    <n v="60"/>
    <s v=""/>
    <s v="North"/>
    <x v="2"/>
    <s v="Security"/>
    <x v="13"/>
    <x v="0"/>
  </r>
  <r>
    <s v="O00803"/>
    <s v="C0195"/>
    <s v="P006"/>
    <s v="R011"/>
    <d v="2025-09-16T00:00:00"/>
    <d v="2025-10-30T00:00:00"/>
    <d v="2025-10-30T00:00:00"/>
    <x v="0"/>
    <n v="1"/>
    <n v="5"/>
    <n v="342000"/>
    <n v="0"/>
    <s v="Feature gap"/>
    <s v="West"/>
    <x v="2"/>
    <s v="Security"/>
    <x v="12"/>
    <x v="1"/>
  </r>
  <r>
    <s v="O00804"/>
    <s v="C0090"/>
    <s v="P003"/>
    <s v="R015"/>
    <d v="2025-11-15T00:00:00"/>
    <d v="2026-01-01T00:00:00"/>
    <m/>
    <x v="2"/>
    <n v="2"/>
    <n v="15"/>
    <n v="408000"/>
    <n v="20"/>
    <s v=""/>
    <s v="West"/>
    <x v="1"/>
    <s v="Automation"/>
    <x v="7"/>
    <x v="1"/>
  </r>
  <r>
    <s v="O00805"/>
    <s v="C0371"/>
    <s v="P005"/>
    <s v="R003"/>
    <d v="2025-09-29T00:00:00"/>
    <d v="2025-11-23T00:00:00"/>
    <d v="2025-11-23T00:00:00"/>
    <x v="1"/>
    <n v="3"/>
    <n v="0"/>
    <n v="540000"/>
    <n v="100"/>
    <s v=""/>
    <s v="South"/>
    <x v="3"/>
    <s v="Service"/>
    <x v="15"/>
    <x v="2"/>
  </r>
  <r>
    <s v="O00806"/>
    <s v="C0366"/>
    <s v="P001"/>
    <s v="R019"/>
    <d v="2025-01-28T00:00:00"/>
    <d v="2025-03-06T00:00:00"/>
    <d v="2025-03-06T00:00:00"/>
    <x v="0"/>
    <n v="2"/>
    <n v="20"/>
    <n v="192000"/>
    <n v="0"/>
    <s v="Feature gap"/>
    <s v="East"/>
    <x v="4"/>
    <s v="CRM"/>
    <x v="10"/>
    <x v="3"/>
  </r>
  <r>
    <s v="O00807"/>
    <s v="C0130"/>
    <s v="P005"/>
    <s v="R006"/>
    <d v="2025-10-12T00:00:00"/>
    <d v="2025-10-19T00:00:00"/>
    <m/>
    <x v="2"/>
    <n v="1"/>
    <n v="10"/>
    <n v="162000"/>
    <n v="40"/>
    <s v=""/>
    <s v="North"/>
    <x v="3"/>
    <s v="Service"/>
    <x v="2"/>
    <x v="0"/>
  </r>
  <r>
    <s v="O00808"/>
    <s v="C0034"/>
    <s v="P002"/>
    <s v="R019"/>
    <d v="2025-11-13T00:00:00"/>
    <d v="2025-12-11T00:00:00"/>
    <d v="2025-12-11T00:00:00"/>
    <x v="0"/>
    <n v="3"/>
    <n v="20"/>
    <n v="1008000"/>
    <n v="0"/>
    <s v="No decision"/>
    <s v="East"/>
    <x v="0"/>
    <s v="CRM"/>
    <x v="10"/>
    <x v="3"/>
  </r>
  <r>
    <s v="O00809"/>
    <s v="C0110"/>
    <s v="P001"/>
    <s v="R003"/>
    <d v="2025-05-09T00:00:00"/>
    <d v="2025-05-21T00:00:00"/>
    <d v="2025-05-21T00:00:00"/>
    <x v="1"/>
    <n v="2"/>
    <n v="10"/>
    <n v="216000"/>
    <n v="100"/>
    <s v=""/>
    <s v="South"/>
    <x v="4"/>
    <s v="CRM"/>
    <x v="15"/>
    <x v="2"/>
  </r>
  <r>
    <s v="O00810"/>
    <s v="C0346"/>
    <s v="P003"/>
    <s v="R008"/>
    <d v="2025-10-06T00:00:00"/>
    <d v="2025-11-19T00:00:00"/>
    <d v="2025-11-19T00:00:00"/>
    <x v="0"/>
    <n v="1"/>
    <n v="0"/>
    <n v="240000"/>
    <n v="0"/>
    <s v="No decision"/>
    <s v="North"/>
    <x v="1"/>
    <s v="Automation"/>
    <x v="0"/>
    <x v="0"/>
  </r>
  <r>
    <s v="O00811"/>
    <s v="C0257"/>
    <s v="P005"/>
    <s v="R012"/>
    <d v="2025-05-22T00:00:00"/>
    <d v="2025-06-15T00:00:00"/>
    <d v="2025-06-15T00:00:00"/>
    <x v="1"/>
    <n v="2"/>
    <n v="20"/>
    <n v="288000"/>
    <n v="100"/>
    <s v=""/>
    <s v="West"/>
    <x v="3"/>
    <s v="Service"/>
    <x v="14"/>
    <x v="1"/>
  </r>
  <r>
    <s v="O00812"/>
    <s v="C0425"/>
    <s v="P005"/>
    <s v="R013"/>
    <d v="2025-10-28T00:00:00"/>
    <d v="2025-11-19T00:00:00"/>
    <d v="2025-11-19T00:00:00"/>
    <x v="1"/>
    <n v="2"/>
    <n v="5"/>
    <n v="342000"/>
    <n v="100"/>
    <s v=""/>
    <s v="West"/>
    <x v="3"/>
    <s v="Service"/>
    <x v="5"/>
    <x v="1"/>
  </r>
  <r>
    <s v="O00813"/>
    <s v="C0239"/>
    <s v="P006"/>
    <s v="R011"/>
    <d v="2025-10-06T00:00:00"/>
    <d v="2025-11-07T00:00:00"/>
    <d v="2025-11-07T00:00:00"/>
    <x v="1"/>
    <n v="1"/>
    <n v="20"/>
    <n v="288000"/>
    <n v="100"/>
    <s v=""/>
    <s v="West"/>
    <x v="2"/>
    <s v="Security"/>
    <x v="12"/>
    <x v="1"/>
  </r>
  <r>
    <s v="O00814"/>
    <s v="C0371"/>
    <s v="P001"/>
    <s v="R001"/>
    <d v="2025-11-10T00:00:00"/>
    <d v="2026-01-19T00:00:00"/>
    <m/>
    <x v="2"/>
    <n v="1"/>
    <n v="15"/>
    <n v="102000"/>
    <n v="20"/>
    <s v=""/>
    <s v="South"/>
    <x v="4"/>
    <s v="CRM"/>
    <x v="6"/>
    <x v="2"/>
  </r>
  <r>
    <s v="O00815"/>
    <s v="C0058"/>
    <s v="P005"/>
    <s v="R002"/>
    <d v="2025-11-02T00:00:00"/>
    <d v="2025-11-10T00:00:00"/>
    <d v="2025-11-10T00:00:00"/>
    <x v="0"/>
    <n v="1"/>
    <n v="15"/>
    <n v="153000"/>
    <n v="0"/>
    <s v="No decision"/>
    <s v="South"/>
    <x v="3"/>
    <s v="Service"/>
    <x v="17"/>
    <x v="2"/>
  </r>
  <r>
    <s v="O00816"/>
    <s v="C0037"/>
    <s v="P001"/>
    <s v="R010"/>
    <d v="2025-11-24T00:00:00"/>
    <d v="2026-01-06T00:00:00"/>
    <m/>
    <x v="2"/>
    <n v="1"/>
    <n v="20"/>
    <n v="96000"/>
    <n v="60"/>
    <s v=""/>
    <s v="North"/>
    <x v="4"/>
    <s v="CRM"/>
    <x v="16"/>
    <x v="0"/>
  </r>
  <r>
    <s v="O00817"/>
    <s v="C0100"/>
    <s v="P002"/>
    <s v="R002"/>
    <d v="2025-04-21T00:00:00"/>
    <d v="2025-07-01T00:00:00"/>
    <d v="2025-07-01T00:00:00"/>
    <x v="0"/>
    <n v="1"/>
    <n v="0"/>
    <n v="420000"/>
    <n v="0"/>
    <s v="No decision"/>
    <s v="South"/>
    <x v="0"/>
    <s v="CRM"/>
    <x v="17"/>
    <x v="2"/>
  </r>
  <r>
    <s v="O00818"/>
    <s v="C0482"/>
    <s v="P006"/>
    <s v="R011"/>
    <d v="2025-07-07T00:00:00"/>
    <d v="2025-08-26T00:00:00"/>
    <d v="2025-08-26T00:00:00"/>
    <x v="0"/>
    <n v="1"/>
    <n v="15"/>
    <n v="306000"/>
    <n v="0"/>
    <s v="No decision"/>
    <s v="West"/>
    <x v="2"/>
    <s v="Security"/>
    <x v="12"/>
    <x v="1"/>
  </r>
  <r>
    <s v="O00819"/>
    <s v="C0454"/>
    <s v="P002"/>
    <s v="R003"/>
    <d v="2025-07-19T00:00:00"/>
    <d v="2025-10-11T00:00:00"/>
    <d v="2025-10-11T00:00:00"/>
    <x v="0"/>
    <n v="1"/>
    <n v="0"/>
    <n v="420000"/>
    <n v="0"/>
    <s v="Competition"/>
    <s v="South"/>
    <x v="0"/>
    <s v="CRM"/>
    <x v="15"/>
    <x v="2"/>
  </r>
  <r>
    <s v="O00820"/>
    <s v="C0224"/>
    <s v="P005"/>
    <s v="R016"/>
    <d v="2025-09-06T00:00:00"/>
    <d v="2025-11-14T00:00:00"/>
    <d v="2025-11-14T00:00:00"/>
    <x v="0"/>
    <n v="2"/>
    <n v="20"/>
    <n v="288000"/>
    <n v="0"/>
    <s v="Feature gap"/>
    <s v="East"/>
    <x v="3"/>
    <s v="Service"/>
    <x v="8"/>
    <x v="3"/>
  </r>
  <r>
    <s v="O00821"/>
    <s v="C0407"/>
    <s v="P005"/>
    <s v="R019"/>
    <d v="2025-04-10T00:00:00"/>
    <d v="2025-05-17T00:00:00"/>
    <d v="2025-05-17T00:00:00"/>
    <x v="1"/>
    <n v="2"/>
    <n v="20"/>
    <n v="288000"/>
    <n v="100"/>
    <s v=""/>
    <s v="East"/>
    <x v="3"/>
    <s v="Service"/>
    <x v="10"/>
    <x v="3"/>
  </r>
  <r>
    <s v="O00822"/>
    <s v="C0260"/>
    <s v="P003"/>
    <s v="R010"/>
    <d v="2025-10-25T00:00:00"/>
    <d v="2025-12-08T00:00:00"/>
    <d v="2025-12-08T00:00:00"/>
    <x v="0"/>
    <n v="1"/>
    <n v="20"/>
    <n v="192000"/>
    <n v="0"/>
    <s v="Price"/>
    <s v="North"/>
    <x v="1"/>
    <s v="Automation"/>
    <x v="16"/>
    <x v="0"/>
  </r>
  <r>
    <s v="O00823"/>
    <s v="C0329"/>
    <s v="P005"/>
    <s v="R010"/>
    <d v="2025-12-13T00:00:00"/>
    <d v="2026-02-16T00:00:00"/>
    <m/>
    <x v="2"/>
    <n v="1"/>
    <n v="20"/>
    <n v="144000"/>
    <n v="60"/>
    <s v=""/>
    <s v="North"/>
    <x v="3"/>
    <s v="Service"/>
    <x v="16"/>
    <x v="0"/>
  </r>
  <r>
    <s v="O00824"/>
    <s v="C0053"/>
    <s v="P003"/>
    <s v="R016"/>
    <d v="2025-09-14T00:00:00"/>
    <d v="2025-12-02T00:00:00"/>
    <m/>
    <x v="2"/>
    <n v="3"/>
    <n v="5"/>
    <n v="684000"/>
    <n v="40"/>
    <s v=""/>
    <s v="East"/>
    <x v="1"/>
    <s v="Automation"/>
    <x v="8"/>
    <x v="3"/>
  </r>
  <r>
    <s v="O00825"/>
    <s v="C0492"/>
    <s v="P001"/>
    <s v="R014"/>
    <d v="2025-11-15T00:00:00"/>
    <d v="2026-02-01T00:00:00"/>
    <m/>
    <x v="2"/>
    <n v="2"/>
    <n v="5"/>
    <n v="228000"/>
    <n v="80"/>
    <s v=""/>
    <s v="West"/>
    <x v="4"/>
    <s v="CRM"/>
    <x v="1"/>
    <x v="1"/>
  </r>
  <r>
    <s v="O00826"/>
    <s v="C0384"/>
    <s v="P002"/>
    <s v="R008"/>
    <d v="2025-10-15T00:00:00"/>
    <d v="2025-11-20T00:00:00"/>
    <m/>
    <x v="2"/>
    <n v="3"/>
    <n v="20"/>
    <n v="1008000"/>
    <n v="40"/>
    <s v=""/>
    <s v="North"/>
    <x v="0"/>
    <s v="CRM"/>
    <x v="0"/>
    <x v="0"/>
  </r>
  <r>
    <s v="O00827"/>
    <s v="C0462"/>
    <s v="P006"/>
    <s v="R010"/>
    <d v="2025-11-09T00:00:00"/>
    <d v="2025-11-19T00:00:00"/>
    <d v="2025-11-19T00:00:00"/>
    <x v="0"/>
    <n v="3"/>
    <n v="5"/>
    <n v="1026000"/>
    <n v="0"/>
    <s v="Feature gap"/>
    <s v="North"/>
    <x v="2"/>
    <s v="Security"/>
    <x v="16"/>
    <x v="0"/>
  </r>
  <r>
    <s v="O00828"/>
    <s v="C0323"/>
    <s v="P001"/>
    <s v="R017"/>
    <d v="2025-01-08T00:00:00"/>
    <d v="2025-03-10T00:00:00"/>
    <d v="2025-03-10T00:00:00"/>
    <x v="0"/>
    <n v="1"/>
    <n v="5"/>
    <n v="114000"/>
    <n v="0"/>
    <s v="Feature gap"/>
    <s v="East"/>
    <x v="4"/>
    <s v="CRM"/>
    <x v="19"/>
    <x v="3"/>
  </r>
  <r>
    <s v="O00829"/>
    <s v="C0436"/>
    <s v="P005"/>
    <s v="R018"/>
    <d v="2025-11-17T00:00:00"/>
    <d v="2025-11-27T00:00:00"/>
    <m/>
    <x v="2"/>
    <n v="1"/>
    <n v="15"/>
    <n v="153000"/>
    <n v="40"/>
    <s v=""/>
    <s v="East"/>
    <x v="3"/>
    <s v="Service"/>
    <x v="18"/>
    <x v="3"/>
  </r>
  <r>
    <s v="O00830"/>
    <s v="C0033"/>
    <s v="P001"/>
    <s v="R011"/>
    <d v="2025-07-18T00:00:00"/>
    <d v="2025-08-03T00:00:00"/>
    <d v="2025-08-03T00:00:00"/>
    <x v="0"/>
    <n v="1"/>
    <n v="5"/>
    <n v="114000"/>
    <n v="0"/>
    <s v="Price"/>
    <s v="West"/>
    <x v="4"/>
    <s v="CRM"/>
    <x v="12"/>
    <x v="1"/>
  </r>
  <r>
    <s v="O00831"/>
    <s v="C0143"/>
    <s v="P001"/>
    <s v="R008"/>
    <d v="2025-11-19T00:00:00"/>
    <d v="2026-01-06T00:00:00"/>
    <m/>
    <x v="2"/>
    <n v="1"/>
    <n v="15"/>
    <n v="102000"/>
    <n v="80"/>
    <s v=""/>
    <s v="North"/>
    <x v="4"/>
    <s v="CRM"/>
    <x v="0"/>
    <x v="0"/>
  </r>
  <r>
    <s v="O00832"/>
    <s v="C0374"/>
    <s v="P003"/>
    <s v="R002"/>
    <d v="2025-11-23T00:00:00"/>
    <d v="2025-12-02T00:00:00"/>
    <d v="2025-12-02T00:00:00"/>
    <x v="1"/>
    <n v="2"/>
    <n v="15"/>
    <n v="408000"/>
    <n v="100"/>
    <s v=""/>
    <s v="South"/>
    <x v="1"/>
    <s v="Automation"/>
    <x v="17"/>
    <x v="2"/>
  </r>
  <r>
    <s v="O00833"/>
    <s v="C0177"/>
    <s v="P001"/>
    <s v="R020"/>
    <d v="2025-02-17T00:00:00"/>
    <d v="2025-04-27T00:00:00"/>
    <d v="2025-04-27T00:00:00"/>
    <x v="0"/>
    <n v="2"/>
    <n v="15"/>
    <n v="204000"/>
    <n v="0"/>
    <s v="Competition"/>
    <s v="East"/>
    <x v="4"/>
    <s v="CRM"/>
    <x v="9"/>
    <x v="3"/>
  </r>
  <r>
    <s v="O00834"/>
    <s v="C0035"/>
    <s v="P002"/>
    <s v="R012"/>
    <d v="2025-04-14T00:00:00"/>
    <d v="2025-05-02T00:00:00"/>
    <d v="2025-05-02T00:00:00"/>
    <x v="0"/>
    <n v="1"/>
    <n v="10"/>
    <n v="378000"/>
    <n v="0"/>
    <s v="Competition"/>
    <s v="West"/>
    <x v="0"/>
    <s v="CRM"/>
    <x v="14"/>
    <x v="1"/>
  </r>
  <r>
    <s v="O00835"/>
    <s v="C0435"/>
    <s v="P002"/>
    <s v="R011"/>
    <d v="2025-02-10T00:00:00"/>
    <d v="2025-02-17T00:00:00"/>
    <d v="2025-02-17T00:00:00"/>
    <x v="0"/>
    <n v="2"/>
    <n v="0"/>
    <n v="840000"/>
    <n v="0"/>
    <s v="No decision"/>
    <s v="West"/>
    <x v="0"/>
    <s v="CRM"/>
    <x v="12"/>
    <x v="1"/>
  </r>
  <r>
    <s v="O00836"/>
    <s v="C0098"/>
    <s v="P002"/>
    <s v="R009"/>
    <d v="2025-02-08T00:00:00"/>
    <d v="2025-04-25T00:00:00"/>
    <m/>
    <x v="2"/>
    <n v="1"/>
    <n v="10"/>
    <n v="378000"/>
    <n v="60"/>
    <s v=""/>
    <s v="North"/>
    <x v="0"/>
    <s v="CRM"/>
    <x v="4"/>
    <x v="0"/>
  </r>
  <r>
    <s v="O00837"/>
    <s v="C0151"/>
    <s v="P005"/>
    <s v="R011"/>
    <d v="2025-02-18T00:00:00"/>
    <d v="2025-04-02T00:00:00"/>
    <d v="2025-04-02T00:00:00"/>
    <x v="0"/>
    <n v="1"/>
    <n v="5"/>
    <n v="171000"/>
    <n v="0"/>
    <s v="Competition"/>
    <s v="West"/>
    <x v="3"/>
    <s v="Service"/>
    <x v="12"/>
    <x v="1"/>
  </r>
  <r>
    <s v="O00838"/>
    <s v="C0039"/>
    <s v="P001"/>
    <s v="R002"/>
    <d v="2025-11-24T00:00:00"/>
    <d v="2026-02-01T00:00:00"/>
    <m/>
    <x v="2"/>
    <n v="3"/>
    <n v="20"/>
    <n v="288000"/>
    <n v="40"/>
    <s v=""/>
    <s v="South"/>
    <x v="4"/>
    <s v="CRM"/>
    <x v="17"/>
    <x v="2"/>
  </r>
  <r>
    <s v="O00839"/>
    <s v="C0280"/>
    <s v="P003"/>
    <s v="R019"/>
    <d v="2025-12-18T00:00:00"/>
    <d v="2026-01-23T00:00:00"/>
    <m/>
    <x v="2"/>
    <n v="2"/>
    <n v="5"/>
    <n v="456000"/>
    <n v="40"/>
    <s v=""/>
    <s v="East"/>
    <x v="1"/>
    <s v="Automation"/>
    <x v="10"/>
    <x v="3"/>
  </r>
  <r>
    <s v="O00840"/>
    <s v="C0015"/>
    <s v="P003"/>
    <s v="R002"/>
    <d v="2025-10-21T00:00:00"/>
    <d v="2025-10-30T00:00:00"/>
    <m/>
    <x v="2"/>
    <n v="2"/>
    <n v="20"/>
    <n v="384000"/>
    <n v="80"/>
    <s v=""/>
    <s v="South"/>
    <x v="1"/>
    <s v="Automation"/>
    <x v="17"/>
    <x v="2"/>
  </r>
  <r>
    <s v="O00841"/>
    <s v="C0074"/>
    <s v="P001"/>
    <s v="R002"/>
    <d v="2025-04-03T00:00:00"/>
    <d v="2025-05-24T00:00:00"/>
    <d v="2025-05-24T00:00:00"/>
    <x v="1"/>
    <n v="1"/>
    <n v="5"/>
    <n v="114000"/>
    <n v="100"/>
    <s v=""/>
    <s v="South"/>
    <x v="4"/>
    <s v="CRM"/>
    <x v="17"/>
    <x v="2"/>
  </r>
  <r>
    <s v="O00842"/>
    <s v="C0334"/>
    <s v="P002"/>
    <s v="R011"/>
    <d v="2025-10-20T00:00:00"/>
    <d v="2026-01-07T00:00:00"/>
    <m/>
    <x v="2"/>
    <n v="2"/>
    <n v="15"/>
    <n v="714000"/>
    <n v="20"/>
    <s v=""/>
    <s v="West"/>
    <x v="0"/>
    <s v="CRM"/>
    <x v="12"/>
    <x v="1"/>
  </r>
  <r>
    <s v="O00843"/>
    <s v="C0488"/>
    <s v="P005"/>
    <s v="R002"/>
    <d v="2025-12-06T00:00:00"/>
    <d v="2026-02-06T00:00:00"/>
    <m/>
    <x v="2"/>
    <n v="3"/>
    <n v="10"/>
    <n v="486000"/>
    <n v="60"/>
    <s v=""/>
    <s v="South"/>
    <x v="3"/>
    <s v="Service"/>
    <x v="17"/>
    <x v="2"/>
  </r>
  <r>
    <s v="O00844"/>
    <s v="C0044"/>
    <s v="P003"/>
    <s v="R018"/>
    <d v="2025-08-20T00:00:00"/>
    <d v="2025-10-30T00:00:00"/>
    <d v="2025-10-30T00:00:00"/>
    <x v="0"/>
    <n v="2"/>
    <n v="0"/>
    <n v="480000"/>
    <n v="0"/>
    <s v="Price"/>
    <s v="East"/>
    <x v="1"/>
    <s v="Automation"/>
    <x v="18"/>
    <x v="3"/>
  </r>
  <r>
    <s v="O00845"/>
    <s v="C0232"/>
    <s v="P003"/>
    <s v="R014"/>
    <d v="2025-02-09T00:00:00"/>
    <d v="2025-02-24T00:00:00"/>
    <m/>
    <x v="2"/>
    <n v="2"/>
    <n v="15"/>
    <n v="408000"/>
    <n v="80"/>
    <s v=""/>
    <s v="West"/>
    <x v="1"/>
    <s v="Automation"/>
    <x v="1"/>
    <x v="1"/>
  </r>
  <r>
    <s v="O00846"/>
    <s v="C0349"/>
    <s v="P005"/>
    <s v="R001"/>
    <d v="2025-07-24T00:00:00"/>
    <d v="2025-08-30T00:00:00"/>
    <d v="2025-08-30T00:00:00"/>
    <x v="0"/>
    <n v="1"/>
    <n v="0"/>
    <n v="180000"/>
    <n v="0"/>
    <s v="Price"/>
    <s v="South"/>
    <x v="3"/>
    <s v="Service"/>
    <x v="6"/>
    <x v="2"/>
  </r>
  <r>
    <s v="O00847"/>
    <s v="C0461"/>
    <s v="P005"/>
    <s v="R007"/>
    <d v="2025-06-25T00:00:00"/>
    <d v="2025-08-05T00:00:00"/>
    <m/>
    <x v="2"/>
    <n v="1"/>
    <n v="5"/>
    <n v="171000"/>
    <n v="80"/>
    <s v=""/>
    <s v="North"/>
    <x v="3"/>
    <s v="Service"/>
    <x v="13"/>
    <x v="0"/>
  </r>
  <r>
    <s v="O00848"/>
    <s v="C0405"/>
    <s v="P004"/>
    <s v="R002"/>
    <d v="2025-04-10T00:00:00"/>
    <d v="2025-06-29T00:00:00"/>
    <d v="2025-06-29T00:00:00"/>
    <x v="0"/>
    <n v="1"/>
    <n v="10"/>
    <n v="270000"/>
    <n v="0"/>
    <s v="Competition"/>
    <s v="South"/>
    <x v="5"/>
    <s v="Analytics"/>
    <x v="17"/>
    <x v="2"/>
  </r>
  <r>
    <s v="O00849"/>
    <s v="C0088"/>
    <s v="P004"/>
    <s v="R005"/>
    <d v="2025-04-24T00:00:00"/>
    <d v="2025-05-29T00:00:00"/>
    <m/>
    <x v="2"/>
    <n v="1"/>
    <n v="20"/>
    <n v="240000"/>
    <n v="60"/>
    <s v=""/>
    <s v="South"/>
    <x v="5"/>
    <s v="Analytics"/>
    <x v="11"/>
    <x v="2"/>
  </r>
  <r>
    <s v="O00850"/>
    <s v="C0188"/>
    <s v="P001"/>
    <s v="R009"/>
    <d v="2025-09-23T00:00:00"/>
    <d v="2025-11-18T00:00:00"/>
    <d v="2025-11-18T00:00:00"/>
    <x v="1"/>
    <n v="3"/>
    <n v="10"/>
    <n v="324000"/>
    <n v="100"/>
    <s v=""/>
    <s v="North"/>
    <x v="4"/>
    <s v="CRM"/>
    <x v="4"/>
    <x v="0"/>
  </r>
  <r>
    <s v="O00851"/>
    <s v="C0450"/>
    <s v="P006"/>
    <s v="R015"/>
    <d v="2025-10-23T00:00:00"/>
    <d v="2025-11-13T00:00:00"/>
    <d v="2025-11-13T00:00:00"/>
    <x v="1"/>
    <n v="2"/>
    <n v="20"/>
    <n v="576000"/>
    <n v="100"/>
    <s v=""/>
    <s v="West"/>
    <x v="2"/>
    <s v="Security"/>
    <x v="7"/>
    <x v="1"/>
  </r>
  <r>
    <s v="O00852"/>
    <s v="C0430"/>
    <s v="P003"/>
    <s v="R002"/>
    <d v="2025-07-21T00:00:00"/>
    <d v="2025-09-07T00:00:00"/>
    <d v="2025-09-07T00:00:00"/>
    <x v="1"/>
    <n v="1"/>
    <n v="15"/>
    <n v="204000"/>
    <n v="100"/>
    <s v=""/>
    <s v="South"/>
    <x v="1"/>
    <s v="Automation"/>
    <x v="17"/>
    <x v="2"/>
  </r>
  <r>
    <s v="O00853"/>
    <s v="C0122"/>
    <s v="P004"/>
    <s v="R014"/>
    <d v="2025-06-12T00:00:00"/>
    <d v="2025-07-23T00:00:00"/>
    <d v="2025-07-23T00:00:00"/>
    <x v="1"/>
    <n v="1"/>
    <n v="0"/>
    <n v="300000"/>
    <n v="100"/>
    <s v=""/>
    <s v="West"/>
    <x v="5"/>
    <s v="Analytics"/>
    <x v="1"/>
    <x v="1"/>
  </r>
  <r>
    <s v="O00854"/>
    <s v="C0271"/>
    <s v="P001"/>
    <s v="R010"/>
    <d v="2025-09-26T00:00:00"/>
    <d v="2025-10-10T00:00:00"/>
    <d v="2025-10-10T00:00:00"/>
    <x v="0"/>
    <n v="3"/>
    <n v="5"/>
    <n v="342000"/>
    <n v="0"/>
    <s v="Price"/>
    <s v="North"/>
    <x v="4"/>
    <s v="CRM"/>
    <x v="16"/>
    <x v="0"/>
  </r>
  <r>
    <s v="O00855"/>
    <s v="C0286"/>
    <s v="P004"/>
    <s v="R014"/>
    <d v="2025-01-30T00:00:00"/>
    <d v="2025-04-21T00:00:00"/>
    <m/>
    <x v="2"/>
    <n v="3"/>
    <n v="15"/>
    <n v="765000"/>
    <n v="80"/>
    <s v=""/>
    <s v="West"/>
    <x v="5"/>
    <s v="Analytics"/>
    <x v="1"/>
    <x v="1"/>
  </r>
  <r>
    <s v="O00856"/>
    <s v="C0494"/>
    <s v="P003"/>
    <s v="R018"/>
    <d v="2025-12-31T00:00:00"/>
    <d v="2026-02-12T00:00:00"/>
    <m/>
    <x v="2"/>
    <n v="1"/>
    <n v="20"/>
    <n v="192000"/>
    <n v="40"/>
    <s v=""/>
    <s v="East"/>
    <x v="1"/>
    <s v="Automation"/>
    <x v="18"/>
    <x v="3"/>
  </r>
  <r>
    <s v="O00857"/>
    <s v="C0191"/>
    <s v="P006"/>
    <s v="R012"/>
    <d v="2025-10-28T00:00:00"/>
    <d v="2025-12-03T00:00:00"/>
    <d v="2025-12-03T00:00:00"/>
    <x v="0"/>
    <n v="1"/>
    <n v="5"/>
    <n v="342000"/>
    <n v="0"/>
    <s v="Price"/>
    <s v="West"/>
    <x v="2"/>
    <s v="Security"/>
    <x v="14"/>
    <x v="1"/>
  </r>
  <r>
    <s v="O00858"/>
    <s v="C0378"/>
    <s v="P002"/>
    <s v="R006"/>
    <d v="2025-05-26T00:00:00"/>
    <d v="2025-08-07T00:00:00"/>
    <d v="2025-08-07T00:00:00"/>
    <x v="1"/>
    <n v="3"/>
    <n v="20"/>
    <n v="1008000"/>
    <n v="100"/>
    <s v=""/>
    <s v="North"/>
    <x v="0"/>
    <s v="CRM"/>
    <x v="2"/>
    <x v="0"/>
  </r>
  <r>
    <s v="O00859"/>
    <s v="C0434"/>
    <s v="P005"/>
    <s v="R007"/>
    <d v="2025-07-08T00:00:00"/>
    <d v="2025-07-23T00:00:00"/>
    <d v="2025-07-23T00:00:00"/>
    <x v="1"/>
    <n v="3"/>
    <n v="5"/>
    <n v="513000"/>
    <n v="100"/>
    <s v=""/>
    <s v="North"/>
    <x v="3"/>
    <s v="Service"/>
    <x v="13"/>
    <x v="0"/>
  </r>
  <r>
    <s v="O00860"/>
    <s v="C0074"/>
    <s v="P006"/>
    <s v="R001"/>
    <d v="2025-11-17T00:00:00"/>
    <d v="2025-12-05T00:00:00"/>
    <d v="2025-12-05T00:00:00"/>
    <x v="1"/>
    <n v="1"/>
    <n v="15"/>
    <n v="306000"/>
    <n v="100"/>
    <s v=""/>
    <s v="South"/>
    <x v="2"/>
    <s v="Security"/>
    <x v="6"/>
    <x v="2"/>
  </r>
  <r>
    <s v="O00861"/>
    <s v="C0105"/>
    <s v="P006"/>
    <s v="R015"/>
    <d v="2025-08-26T00:00:00"/>
    <d v="2025-11-09T00:00:00"/>
    <d v="2025-11-09T00:00:00"/>
    <x v="1"/>
    <n v="1"/>
    <n v="15"/>
    <n v="306000"/>
    <n v="100"/>
    <s v=""/>
    <s v="West"/>
    <x v="2"/>
    <s v="Security"/>
    <x v="7"/>
    <x v="1"/>
  </r>
  <r>
    <s v="O00862"/>
    <s v="C0165"/>
    <s v="P003"/>
    <s v="R003"/>
    <d v="2025-10-15T00:00:00"/>
    <d v="2025-12-22T00:00:00"/>
    <d v="2025-12-22T00:00:00"/>
    <x v="0"/>
    <n v="1"/>
    <n v="15"/>
    <n v="204000"/>
    <n v="0"/>
    <s v="Feature gap"/>
    <s v="South"/>
    <x v="1"/>
    <s v="Automation"/>
    <x v="15"/>
    <x v="2"/>
  </r>
  <r>
    <s v="O00863"/>
    <s v="C0380"/>
    <s v="P004"/>
    <s v="R019"/>
    <d v="2025-12-03T00:00:00"/>
    <d v="2025-12-23T00:00:00"/>
    <d v="2025-12-23T00:00:00"/>
    <x v="0"/>
    <n v="2"/>
    <n v="0"/>
    <n v="600000"/>
    <n v="0"/>
    <s v="No decision"/>
    <s v="East"/>
    <x v="5"/>
    <s v="Analytics"/>
    <x v="10"/>
    <x v="3"/>
  </r>
  <r>
    <s v="O00864"/>
    <s v="C0111"/>
    <s v="P002"/>
    <s v="R014"/>
    <d v="2025-04-22T00:00:00"/>
    <d v="2025-07-12T00:00:00"/>
    <m/>
    <x v="2"/>
    <n v="1"/>
    <n v="0"/>
    <n v="420000"/>
    <n v="60"/>
    <s v=""/>
    <s v="West"/>
    <x v="0"/>
    <s v="CRM"/>
    <x v="1"/>
    <x v="1"/>
  </r>
  <r>
    <s v="O00865"/>
    <s v="C0376"/>
    <s v="P004"/>
    <s v="R008"/>
    <d v="2025-12-03T00:00:00"/>
    <d v="2025-12-19T00:00:00"/>
    <m/>
    <x v="2"/>
    <n v="1"/>
    <n v="5"/>
    <n v="285000"/>
    <n v="40"/>
    <s v=""/>
    <s v="North"/>
    <x v="5"/>
    <s v="Analytics"/>
    <x v="0"/>
    <x v="0"/>
  </r>
  <r>
    <s v="O00866"/>
    <s v="C0482"/>
    <s v="P003"/>
    <s v="R013"/>
    <d v="2025-08-02T00:00:00"/>
    <d v="2025-10-07T00:00:00"/>
    <d v="2025-10-07T00:00:00"/>
    <x v="1"/>
    <n v="2"/>
    <n v="5"/>
    <n v="456000"/>
    <n v="100"/>
    <s v=""/>
    <s v="West"/>
    <x v="1"/>
    <s v="Automation"/>
    <x v="5"/>
    <x v="1"/>
  </r>
  <r>
    <s v="O00867"/>
    <s v="C0293"/>
    <s v="P002"/>
    <s v="R019"/>
    <d v="2025-02-05T00:00:00"/>
    <d v="2025-03-26T00:00:00"/>
    <d v="2025-03-26T00:00:00"/>
    <x v="1"/>
    <n v="1"/>
    <n v="20"/>
    <n v="336000"/>
    <n v="100"/>
    <s v=""/>
    <s v="East"/>
    <x v="0"/>
    <s v="CRM"/>
    <x v="10"/>
    <x v="3"/>
  </r>
  <r>
    <s v="O00868"/>
    <s v="C0407"/>
    <s v="P003"/>
    <s v="R019"/>
    <d v="2025-01-28T00:00:00"/>
    <d v="2025-02-26T00:00:00"/>
    <d v="2025-02-26T00:00:00"/>
    <x v="0"/>
    <n v="1"/>
    <n v="0"/>
    <n v="240000"/>
    <n v="0"/>
    <s v="Feature gap"/>
    <s v="East"/>
    <x v="1"/>
    <s v="Automation"/>
    <x v="10"/>
    <x v="3"/>
  </r>
  <r>
    <s v="O00869"/>
    <s v="C0122"/>
    <s v="P006"/>
    <s v="R015"/>
    <d v="2025-07-21T00:00:00"/>
    <d v="2025-08-02T00:00:00"/>
    <m/>
    <x v="2"/>
    <n v="1"/>
    <n v="0"/>
    <n v="360000"/>
    <n v="60"/>
    <s v=""/>
    <s v="West"/>
    <x v="2"/>
    <s v="Security"/>
    <x v="7"/>
    <x v="1"/>
  </r>
  <r>
    <s v="O00870"/>
    <s v="C0489"/>
    <s v="P002"/>
    <s v="R015"/>
    <d v="2025-02-17T00:00:00"/>
    <d v="2025-03-15T00:00:00"/>
    <d v="2025-03-15T00:00:00"/>
    <x v="1"/>
    <n v="3"/>
    <n v="5"/>
    <n v="1197000"/>
    <n v="100"/>
    <s v=""/>
    <s v="West"/>
    <x v="0"/>
    <s v="CRM"/>
    <x v="7"/>
    <x v="1"/>
  </r>
  <r>
    <s v="O00871"/>
    <s v="C0445"/>
    <s v="P006"/>
    <s v="R005"/>
    <d v="2025-04-09T00:00:00"/>
    <d v="2025-05-11T00:00:00"/>
    <d v="2025-05-11T00:00:00"/>
    <x v="1"/>
    <n v="1"/>
    <n v="20"/>
    <n v="288000"/>
    <n v="100"/>
    <s v=""/>
    <s v="South"/>
    <x v="2"/>
    <s v="Security"/>
    <x v="11"/>
    <x v="2"/>
  </r>
  <r>
    <s v="O00872"/>
    <s v="C0081"/>
    <s v="P001"/>
    <s v="R009"/>
    <d v="2025-07-29T00:00:00"/>
    <d v="2025-08-22T00:00:00"/>
    <d v="2025-08-22T00:00:00"/>
    <x v="0"/>
    <n v="1"/>
    <n v="0"/>
    <n v="120000"/>
    <n v="0"/>
    <s v="Price"/>
    <s v="North"/>
    <x v="4"/>
    <s v="CRM"/>
    <x v="4"/>
    <x v="0"/>
  </r>
  <r>
    <s v="O00873"/>
    <s v="C0062"/>
    <s v="P005"/>
    <s v="R001"/>
    <d v="2025-08-17T00:00:00"/>
    <d v="2025-10-06T00:00:00"/>
    <d v="2025-10-06T00:00:00"/>
    <x v="1"/>
    <n v="3"/>
    <n v="15"/>
    <n v="459000"/>
    <n v="100"/>
    <s v=""/>
    <s v="South"/>
    <x v="3"/>
    <s v="Service"/>
    <x v="6"/>
    <x v="2"/>
  </r>
  <r>
    <s v="O00874"/>
    <s v="C0107"/>
    <s v="P005"/>
    <s v="R006"/>
    <d v="2025-12-05T00:00:00"/>
    <d v="2026-01-19T00:00:00"/>
    <m/>
    <x v="2"/>
    <n v="3"/>
    <n v="0"/>
    <n v="540000"/>
    <n v="40"/>
    <s v=""/>
    <s v="North"/>
    <x v="3"/>
    <s v="Service"/>
    <x v="2"/>
    <x v="0"/>
  </r>
  <r>
    <s v="O00875"/>
    <s v="C0441"/>
    <s v="P001"/>
    <s v="R015"/>
    <d v="2025-12-07T00:00:00"/>
    <d v="2025-12-31T00:00:00"/>
    <d v="2025-12-31T00:00:00"/>
    <x v="1"/>
    <n v="1"/>
    <n v="20"/>
    <n v="96000"/>
    <n v="100"/>
    <s v=""/>
    <s v="West"/>
    <x v="4"/>
    <s v="CRM"/>
    <x v="7"/>
    <x v="1"/>
  </r>
  <r>
    <s v="O00876"/>
    <s v="C0177"/>
    <s v="P002"/>
    <s v="R020"/>
    <d v="2025-09-12T00:00:00"/>
    <d v="2025-10-01T00:00:00"/>
    <m/>
    <x v="2"/>
    <n v="1"/>
    <n v="15"/>
    <n v="357000"/>
    <n v="20"/>
    <s v=""/>
    <s v="East"/>
    <x v="0"/>
    <s v="CRM"/>
    <x v="9"/>
    <x v="3"/>
  </r>
  <r>
    <s v="O00877"/>
    <s v="C0158"/>
    <s v="P002"/>
    <s v="R002"/>
    <d v="2025-01-14T00:00:00"/>
    <d v="2025-01-30T00:00:00"/>
    <d v="2025-01-30T00:00:00"/>
    <x v="1"/>
    <n v="1"/>
    <n v="0"/>
    <n v="420000"/>
    <n v="100"/>
    <s v=""/>
    <s v="South"/>
    <x v="0"/>
    <s v="CRM"/>
    <x v="17"/>
    <x v="2"/>
  </r>
  <r>
    <s v="O00878"/>
    <s v="C0032"/>
    <s v="P004"/>
    <s v="R001"/>
    <d v="2025-08-09T00:00:00"/>
    <d v="2025-10-30T00:00:00"/>
    <d v="2025-10-30T00:00:00"/>
    <x v="0"/>
    <n v="1"/>
    <n v="15"/>
    <n v="255000"/>
    <n v="0"/>
    <s v="Competition"/>
    <s v="South"/>
    <x v="5"/>
    <s v="Analytics"/>
    <x v="6"/>
    <x v="2"/>
  </r>
  <r>
    <s v="O00879"/>
    <s v="C0324"/>
    <s v="P006"/>
    <s v="R001"/>
    <d v="2025-04-24T00:00:00"/>
    <d v="2025-06-06T00:00:00"/>
    <d v="2025-06-06T00:00:00"/>
    <x v="0"/>
    <n v="1"/>
    <n v="5"/>
    <n v="342000"/>
    <n v="0"/>
    <s v="Price"/>
    <s v="South"/>
    <x v="2"/>
    <s v="Security"/>
    <x v="6"/>
    <x v="2"/>
  </r>
  <r>
    <s v="O00880"/>
    <s v="C0232"/>
    <s v="P003"/>
    <s v="R014"/>
    <d v="2025-06-07T00:00:00"/>
    <d v="2025-07-31T00:00:00"/>
    <d v="2025-07-31T00:00:00"/>
    <x v="0"/>
    <n v="2"/>
    <n v="20"/>
    <n v="384000"/>
    <n v="0"/>
    <s v="Budget"/>
    <s v="West"/>
    <x v="1"/>
    <s v="Automation"/>
    <x v="1"/>
    <x v="1"/>
  </r>
  <r>
    <s v="O00881"/>
    <s v="C0023"/>
    <s v="P005"/>
    <s v="R011"/>
    <d v="2025-03-02T00:00:00"/>
    <d v="2025-05-13T00:00:00"/>
    <m/>
    <x v="2"/>
    <n v="1"/>
    <n v="0"/>
    <n v="180000"/>
    <n v="40"/>
    <s v=""/>
    <s v="West"/>
    <x v="3"/>
    <s v="Service"/>
    <x v="12"/>
    <x v="1"/>
  </r>
  <r>
    <s v="O00882"/>
    <s v="C0142"/>
    <s v="P001"/>
    <s v="R014"/>
    <d v="2025-03-24T00:00:00"/>
    <d v="2025-04-05T00:00:00"/>
    <d v="2025-04-05T00:00:00"/>
    <x v="0"/>
    <n v="3"/>
    <n v="0"/>
    <n v="360000"/>
    <n v="0"/>
    <s v="Budget"/>
    <s v="West"/>
    <x v="4"/>
    <s v="CRM"/>
    <x v="1"/>
    <x v="1"/>
  </r>
  <r>
    <s v="O00883"/>
    <s v="C0053"/>
    <s v="P002"/>
    <s v="R016"/>
    <d v="2025-08-25T00:00:00"/>
    <d v="2025-10-13T00:00:00"/>
    <d v="2025-10-13T00:00:00"/>
    <x v="0"/>
    <n v="1"/>
    <n v="0"/>
    <n v="420000"/>
    <n v="0"/>
    <s v="Budget"/>
    <s v="East"/>
    <x v="0"/>
    <s v="CRM"/>
    <x v="8"/>
    <x v="3"/>
  </r>
  <r>
    <s v="O00884"/>
    <s v="C0094"/>
    <s v="P003"/>
    <s v="R015"/>
    <d v="2025-09-28T00:00:00"/>
    <d v="2025-12-01T00:00:00"/>
    <d v="2025-12-01T00:00:00"/>
    <x v="0"/>
    <n v="2"/>
    <n v="15"/>
    <n v="408000"/>
    <n v="0"/>
    <s v="No decision"/>
    <s v="West"/>
    <x v="1"/>
    <s v="Automation"/>
    <x v="7"/>
    <x v="1"/>
  </r>
  <r>
    <s v="O00885"/>
    <s v="C0344"/>
    <s v="P002"/>
    <s v="R015"/>
    <d v="2025-07-26T00:00:00"/>
    <d v="2025-09-27T00:00:00"/>
    <d v="2025-09-27T00:00:00"/>
    <x v="1"/>
    <n v="1"/>
    <n v="15"/>
    <n v="357000"/>
    <n v="100"/>
    <s v=""/>
    <s v="West"/>
    <x v="0"/>
    <s v="CRM"/>
    <x v="7"/>
    <x v="1"/>
  </r>
  <r>
    <s v="O00886"/>
    <s v="C0052"/>
    <s v="P003"/>
    <s v="R018"/>
    <d v="2025-11-17T00:00:00"/>
    <d v="2025-12-02T00:00:00"/>
    <d v="2025-12-02T00:00:00"/>
    <x v="0"/>
    <n v="1"/>
    <n v="0"/>
    <n v="240000"/>
    <n v="0"/>
    <s v="Feature gap"/>
    <s v="East"/>
    <x v="1"/>
    <s v="Automation"/>
    <x v="18"/>
    <x v="3"/>
  </r>
  <r>
    <s v="O00887"/>
    <s v="C0162"/>
    <s v="P002"/>
    <s v="R001"/>
    <d v="2025-06-12T00:00:00"/>
    <d v="2025-06-24T00:00:00"/>
    <m/>
    <x v="2"/>
    <n v="1"/>
    <n v="20"/>
    <n v="336000"/>
    <n v="20"/>
    <s v=""/>
    <s v="South"/>
    <x v="0"/>
    <s v="CRM"/>
    <x v="6"/>
    <x v="2"/>
  </r>
  <r>
    <s v="O00888"/>
    <s v="C0303"/>
    <s v="P004"/>
    <s v="R006"/>
    <d v="2025-08-01T00:00:00"/>
    <d v="2025-10-18T00:00:00"/>
    <d v="2025-10-18T00:00:00"/>
    <x v="0"/>
    <n v="1"/>
    <n v="0"/>
    <n v="300000"/>
    <n v="0"/>
    <s v="No decision"/>
    <s v="North"/>
    <x v="5"/>
    <s v="Analytics"/>
    <x v="2"/>
    <x v="0"/>
  </r>
  <r>
    <s v="O00889"/>
    <s v="C0246"/>
    <s v="P005"/>
    <s v="R003"/>
    <d v="2025-05-08T00:00:00"/>
    <d v="2025-06-06T00:00:00"/>
    <d v="2025-06-06T00:00:00"/>
    <x v="1"/>
    <n v="1"/>
    <n v="15"/>
    <n v="153000"/>
    <n v="100"/>
    <s v=""/>
    <s v="South"/>
    <x v="3"/>
    <s v="Service"/>
    <x v="15"/>
    <x v="2"/>
  </r>
  <r>
    <s v="O00890"/>
    <s v="C0313"/>
    <s v="P004"/>
    <s v="R001"/>
    <d v="2025-02-04T00:00:00"/>
    <d v="2025-03-16T00:00:00"/>
    <d v="2025-03-16T00:00:00"/>
    <x v="0"/>
    <n v="1"/>
    <n v="15"/>
    <n v="255000"/>
    <n v="0"/>
    <s v="Price"/>
    <s v="South"/>
    <x v="5"/>
    <s v="Analytics"/>
    <x v="6"/>
    <x v="2"/>
  </r>
  <r>
    <s v="O00891"/>
    <s v="C0029"/>
    <s v="P002"/>
    <s v="R006"/>
    <d v="2025-11-19T00:00:00"/>
    <d v="2025-12-29T00:00:00"/>
    <m/>
    <x v="2"/>
    <n v="1"/>
    <n v="20"/>
    <n v="336000"/>
    <n v="20"/>
    <s v=""/>
    <s v="North"/>
    <x v="0"/>
    <s v="CRM"/>
    <x v="2"/>
    <x v="0"/>
  </r>
  <r>
    <s v="O00892"/>
    <s v="C0460"/>
    <s v="P001"/>
    <s v="R011"/>
    <d v="2025-08-16T00:00:00"/>
    <d v="2025-10-30T00:00:00"/>
    <m/>
    <x v="2"/>
    <n v="3"/>
    <n v="20"/>
    <n v="288000"/>
    <n v="60"/>
    <s v=""/>
    <s v="West"/>
    <x v="4"/>
    <s v="CRM"/>
    <x v="12"/>
    <x v="1"/>
  </r>
  <r>
    <s v="O00893"/>
    <s v="C0071"/>
    <s v="P002"/>
    <s v="R006"/>
    <d v="2025-08-20T00:00:00"/>
    <d v="2025-10-11T00:00:00"/>
    <m/>
    <x v="2"/>
    <n v="3"/>
    <n v="20"/>
    <n v="1008000"/>
    <n v="40"/>
    <s v=""/>
    <s v="North"/>
    <x v="0"/>
    <s v="CRM"/>
    <x v="2"/>
    <x v="0"/>
  </r>
  <r>
    <s v="O00894"/>
    <s v="C0342"/>
    <s v="P001"/>
    <s v="R017"/>
    <d v="2025-04-07T00:00:00"/>
    <d v="2025-04-24T00:00:00"/>
    <d v="2025-04-24T00:00:00"/>
    <x v="0"/>
    <n v="1"/>
    <n v="20"/>
    <n v="96000"/>
    <n v="0"/>
    <s v="Price"/>
    <s v="East"/>
    <x v="4"/>
    <s v="CRM"/>
    <x v="19"/>
    <x v="3"/>
  </r>
  <r>
    <s v="O00895"/>
    <s v="C0344"/>
    <s v="P004"/>
    <s v="R015"/>
    <d v="2025-09-16T00:00:00"/>
    <d v="2025-11-12T00:00:00"/>
    <d v="2025-11-12T00:00:00"/>
    <x v="1"/>
    <n v="3"/>
    <n v="15"/>
    <n v="765000"/>
    <n v="100"/>
    <s v=""/>
    <s v="West"/>
    <x v="5"/>
    <s v="Analytics"/>
    <x v="7"/>
    <x v="1"/>
  </r>
  <r>
    <s v="O00896"/>
    <s v="C0219"/>
    <s v="P001"/>
    <s v="R004"/>
    <d v="2025-10-10T00:00:00"/>
    <d v="2025-11-08T00:00:00"/>
    <d v="2025-11-08T00:00:00"/>
    <x v="0"/>
    <n v="2"/>
    <n v="10"/>
    <n v="216000"/>
    <n v="0"/>
    <s v="Budget"/>
    <s v="South"/>
    <x v="4"/>
    <s v="CRM"/>
    <x v="3"/>
    <x v="2"/>
  </r>
  <r>
    <s v="O00897"/>
    <s v="C0193"/>
    <s v="P004"/>
    <s v="R005"/>
    <d v="2025-05-08T00:00:00"/>
    <d v="2025-08-01T00:00:00"/>
    <d v="2025-08-01T00:00:00"/>
    <x v="0"/>
    <n v="2"/>
    <n v="0"/>
    <n v="600000"/>
    <n v="0"/>
    <s v="No decision"/>
    <s v="South"/>
    <x v="5"/>
    <s v="Analytics"/>
    <x v="11"/>
    <x v="2"/>
  </r>
  <r>
    <s v="O00898"/>
    <s v="C0297"/>
    <s v="P002"/>
    <s v="R004"/>
    <d v="2025-05-21T00:00:00"/>
    <d v="2025-06-13T00:00:00"/>
    <d v="2025-06-13T00:00:00"/>
    <x v="0"/>
    <n v="1"/>
    <n v="20"/>
    <n v="336000"/>
    <n v="0"/>
    <s v="Budget"/>
    <s v="South"/>
    <x v="0"/>
    <s v="CRM"/>
    <x v="3"/>
    <x v="2"/>
  </r>
  <r>
    <s v="O00899"/>
    <s v="C0035"/>
    <s v="P004"/>
    <s v="R011"/>
    <d v="2025-11-16T00:00:00"/>
    <d v="2025-12-04T00:00:00"/>
    <m/>
    <x v="2"/>
    <n v="1"/>
    <n v="0"/>
    <n v="300000"/>
    <n v="40"/>
    <s v=""/>
    <s v="West"/>
    <x v="5"/>
    <s v="Analytics"/>
    <x v="12"/>
    <x v="1"/>
  </r>
  <r>
    <s v="O00900"/>
    <s v="C0209"/>
    <s v="P001"/>
    <s v="R012"/>
    <d v="2025-04-20T00:00:00"/>
    <d v="2025-06-18T00:00:00"/>
    <d v="2025-06-18T00:00:00"/>
    <x v="0"/>
    <n v="1"/>
    <n v="10"/>
    <n v="108000"/>
    <n v="0"/>
    <s v="Competition"/>
    <s v="West"/>
    <x v="4"/>
    <s v="CRM"/>
    <x v="14"/>
    <x v="1"/>
  </r>
  <r>
    <s v="O00901"/>
    <s v="C0206"/>
    <s v="P003"/>
    <s v="R006"/>
    <d v="2025-03-26T00:00:00"/>
    <d v="2025-05-07T00:00:00"/>
    <d v="2025-05-07T00:00:00"/>
    <x v="0"/>
    <n v="1"/>
    <n v="15"/>
    <n v="204000"/>
    <n v="0"/>
    <s v="Budget"/>
    <s v="North"/>
    <x v="1"/>
    <s v="Automation"/>
    <x v="2"/>
    <x v="0"/>
  </r>
  <r>
    <s v="O00902"/>
    <s v="C0357"/>
    <s v="P003"/>
    <s v="R018"/>
    <d v="2025-01-15T00:00:00"/>
    <d v="2025-03-16T00:00:00"/>
    <m/>
    <x v="2"/>
    <n v="2"/>
    <n v="0"/>
    <n v="480000"/>
    <n v="80"/>
    <s v=""/>
    <s v="East"/>
    <x v="1"/>
    <s v="Automation"/>
    <x v="18"/>
    <x v="3"/>
  </r>
  <r>
    <s v="O00903"/>
    <s v="C0237"/>
    <s v="P005"/>
    <s v="R012"/>
    <d v="2025-02-19T00:00:00"/>
    <d v="2025-04-23T00:00:00"/>
    <d v="2025-04-23T00:00:00"/>
    <x v="1"/>
    <n v="1"/>
    <n v="15"/>
    <n v="153000"/>
    <n v="100"/>
    <s v=""/>
    <s v="West"/>
    <x v="3"/>
    <s v="Service"/>
    <x v="14"/>
    <x v="1"/>
  </r>
  <r>
    <s v="O00904"/>
    <s v="C0276"/>
    <s v="P005"/>
    <s v="R012"/>
    <d v="2025-12-24T00:00:00"/>
    <d v="2026-02-19T00:00:00"/>
    <m/>
    <x v="2"/>
    <n v="3"/>
    <n v="20"/>
    <n v="432000"/>
    <n v="80"/>
    <s v=""/>
    <s v="West"/>
    <x v="3"/>
    <s v="Service"/>
    <x v="14"/>
    <x v="1"/>
  </r>
  <r>
    <s v="O00905"/>
    <s v="C0315"/>
    <s v="P002"/>
    <s v="R005"/>
    <d v="2025-12-14T00:00:00"/>
    <d v="2026-02-20T00:00:00"/>
    <m/>
    <x v="2"/>
    <n v="1"/>
    <n v="5"/>
    <n v="399000"/>
    <n v="80"/>
    <s v=""/>
    <s v="South"/>
    <x v="0"/>
    <s v="CRM"/>
    <x v="11"/>
    <x v="2"/>
  </r>
  <r>
    <s v="O00906"/>
    <s v="C0350"/>
    <s v="P006"/>
    <s v="R006"/>
    <d v="2025-04-27T00:00:00"/>
    <d v="2025-07-11T00:00:00"/>
    <m/>
    <x v="2"/>
    <n v="3"/>
    <n v="15"/>
    <n v="918000"/>
    <n v="40"/>
    <s v=""/>
    <s v="North"/>
    <x v="2"/>
    <s v="Security"/>
    <x v="2"/>
    <x v="0"/>
  </r>
  <r>
    <s v="O00907"/>
    <s v="C0026"/>
    <s v="P001"/>
    <s v="R015"/>
    <d v="2025-12-02T00:00:00"/>
    <d v="2026-01-16T00:00:00"/>
    <m/>
    <x v="2"/>
    <n v="1"/>
    <n v="10"/>
    <n v="108000"/>
    <n v="60"/>
    <s v=""/>
    <s v="West"/>
    <x v="4"/>
    <s v="CRM"/>
    <x v="7"/>
    <x v="1"/>
  </r>
  <r>
    <s v="O00908"/>
    <s v="C0223"/>
    <s v="P004"/>
    <s v="R004"/>
    <d v="2025-07-30T00:00:00"/>
    <d v="2025-09-30T00:00:00"/>
    <d v="2025-09-30T00:00:00"/>
    <x v="1"/>
    <n v="1"/>
    <n v="5"/>
    <n v="285000"/>
    <n v="100"/>
    <s v=""/>
    <s v="South"/>
    <x v="5"/>
    <s v="Analytics"/>
    <x v="3"/>
    <x v="2"/>
  </r>
  <r>
    <s v="O00909"/>
    <s v="C0494"/>
    <s v="P002"/>
    <s v="R017"/>
    <d v="2025-09-17T00:00:00"/>
    <d v="2025-09-27T00:00:00"/>
    <m/>
    <x v="2"/>
    <n v="2"/>
    <n v="5"/>
    <n v="798000"/>
    <n v="40"/>
    <s v=""/>
    <s v="East"/>
    <x v="0"/>
    <s v="CRM"/>
    <x v="19"/>
    <x v="3"/>
  </r>
  <r>
    <s v="O00910"/>
    <s v="C0172"/>
    <s v="P005"/>
    <s v="R010"/>
    <d v="2025-06-27T00:00:00"/>
    <d v="2025-07-10T00:00:00"/>
    <d v="2025-07-10T00:00:00"/>
    <x v="1"/>
    <n v="1"/>
    <n v="15"/>
    <n v="153000"/>
    <n v="100"/>
    <s v=""/>
    <s v="North"/>
    <x v="3"/>
    <s v="Service"/>
    <x v="16"/>
    <x v="0"/>
  </r>
  <r>
    <s v="O00911"/>
    <s v="C0337"/>
    <s v="P004"/>
    <s v="R003"/>
    <d v="2025-07-25T00:00:00"/>
    <d v="2025-09-10T00:00:00"/>
    <d v="2025-09-10T00:00:00"/>
    <x v="1"/>
    <n v="3"/>
    <n v="0"/>
    <n v="900000"/>
    <n v="100"/>
    <s v=""/>
    <s v="South"/>
    <x v="5"/>
    <s v="Analytics"/>
    <x v="15"/>
    <x v="2"/>
  </r>
  <r>
    <s v="O00912"/>
    <s v="C0191"/>
    <s v="P005"/>
    <s v="R013"/>
    <d v="2025-10-01T00:00:00"/>
    <d v="2025-11-26T00:00:00"/>
    <m/>
    <x v="2"/>
    <n v="1"/>
    <n v="0"/>
    <n v="180000"/>
    <n v="20"/>
    <s v=""/>
    <s v="West"/>
    <x v="3"/>
    <s v="Service"/>
    <x v="5"/>
    <x v="1"/>
  </r>
  <r>
    <s v="O00913"/>
    <s v="C0254"/>
    <s v="P005"/>
    <s v="R002"/>
    <d v="2025-04-11T00:00:00"/>
    <d v="2025-05-10T00:00:00"/>
    <m/>
    <x v="2"/>
    <n v="3"/>
    <n v="20"/>
    <n v="432000"/>
    <n v="60"/>
    <s v=""/>
    <s v="South"/>
    <x v="3"/>
    <s v="Service"/>
    <x v="17"/>
    <x v="2"/>
  </r>
  <r>
    <s v="O00914"/>
    <s v="C0028"/>
    <s v="P002"/>
    <s v="R020"/>
    <d v="2025-05-09T00:00:00"/>
    <d v="2025-07-16T00:00:00"/>
    <d v="2025-07-16T00:00:00"/>
    <x v="1"/>
    <n v="1"/>
    <n v="5"/>
    <n v="399000"/>
    <n v="100"/>
    <s v=""/>
    <s v="East"/>
    <x v="0"/>
    <s v="CRM"/>
    <x v="9"/>
    <x v="3"/>
  </r>
  <r>
    <s v="O00915"/>
    <s v="C0066"/>
    <s v="P001"/>
    <s v="R015"/>
    <d v="2025-12-22T00:00:00"/>
    <d v="2026-03-03T00:00:00"/>
    <m/>
    <x v="2"/>
    <n v="1"/>
    <n v="10"/>
    <n v="108000"/>
    <n v="60"/>
    <s v=""/>
    <s v="West"/>
    <x v="4"/>
    <s v="CRM"/>
    <x v="7"/>
    <x v="1"/>
  </r>
  <r>
    <s v="O00916"/>
    <s v="C0075"/>
    <s v="P002"/>
    <s v="R011"/>
    <d v="2025-02-27T00:00:00"/>
    <d v="2025-03-30T00:00:00"/>
    <d v="2025-03-30T00:00:00"/>
    <x v="1"/>
    <n v="1"/>
    <n v="15"/>
    <n v="357000"/>
    <n v="100"/>
    <s v=""/>
    <s v="West"/>
    <x v="0"/>
    <s v="CRM"/>
    <x v="12"/>
    <x v="1"/>
  </r>
  <r>
    <s v="O00917"/>
    <s v="C0460"/>
    <s v="P004"/>
    <s v="R013"/>
    <d v="2025-01-07T00:00:00"/>
    <d v="2025-01-21T00:00:00"/>
    <d v="2025-01-21T00:00:00"/>
    <x v="0"/>
    <n v="1"/>
    <n v="20"/>
    <n v="240000"/>
    <n v="0"/>
    <s v="Competition"/>
    <s v="West"/>
    <x v="5"/>
    <s v="Analytics"/>
    <x v="5"/>
    <x v="1"/>
  </r>
  <r>
    <s v="O00918"/>
    <s v="C0198"/>
    <s v="P005"/>
    <s v="R012"/>
    <d v="2025-06-16T00:00:00"/>
    <d v="2025-08-26T00:00:00"/>
    <d v="2025-08-26T00:00:00"/>
    <x v="0"/>
    <n v="1"/>
    <n v="10"/>
    <n v="162000"/>
    <n v="0"/>
    <s v="Budget"/>
    <s v="West"/>
    <x v="3"/>
    <s v="Service"/>
    <x v="14"/>
    <x v="1"/>
  </r>
  <r>
    <s v="O00919"/>
    <s v="C0259"/>
    <s v="P003"/>
    <s v="R010"/>
    <d v="2025-02-04T00:00:00"/>
    <d v="2025-03-27T00:00:00"/>
    <m/>
    <x v="2"/>
    <n v="1"/>
    <n v="10"/>
    <n v="216000"/>
    <n v="60"/>
    <s v=""/>
    <s v="North"/>
    <x v="1"/>
    <s v="Automation"/>
    <x v="16"/>
    <x v="0"/>
  </r>
  <r>
    <s v="O00920"/>
    <s v="C0309"/>
    <s v="P005"/>
    <s v="R002"/>
    <d v="2025-08-19T00:00:00"/>
    <d v="2025-11-04T00:00:00"/>
    <d v="2025-11-04T00:00:00"/>
    <x v="0"/>
    <n v="1"/>
    <n v="0"/>
    <n v="180000"/>
    <n v="0"/>
    <s v="Competition"/>
    <s v="South"/>
    <x v="3"/>
    <s v="Service"/>
    <x v="17"/>
    <x v="2"/>
  </r>
  <r>
    <s v="O00921"/>
    <s v="C0131"/>
    <s v="P005"/>
    <s v="R014"/>
    <d v="2025-11-15T00:00:00"/>
    <d v="2026-01-15T00:00:00"/>
    <m/>
    <x v="2"/>
    <n v="3"/>
    <n v="20"/>
    <n v="432000"/>
    <n v="40"/>
    <s v=""/>
    <s v="West"/>
    <x v="3"/>
    <s v="Service"/>
    <x v="1"/>
    <x v="1"/>
  </r>
  <r>
    <s v="O00922"/>
    <s v="C0054"/>
    <s v="P003"/>
    <s v="R009"/>
    <d v="2025-12-15T00:00:00"/>
    <d v="2026-02-08T00:00:00"/>
    <m/>
    <x v="2"/>
    <n v="1"/>
    <n v="0"/>
    <n v="240000"/>
    <n v="20"/>
    <s v=""/>
    <s v="North"/>
    <x v="1"/>
    <s v="Automation"/>
    <x v="4"/>
    <x v="0"/>
  </r>
  <r>
    <s v="O00923"/>
    <s v="C0078"/>
    <s v="P001"/>
    <s v="R005"/>
    <d v="2025-09-13T00:00:00"/>
    <d v="2025-10-10T00:00:00"/>
    <d v="2025-10-10T00:00:00"/>
    <x v="1"/>
    <n v="3"/>
    <n v="5"/>
    <n v="342000"/>
    <n v="100"/>
    <s v=""/>
    <s v="South"/>
    <x v="4"/>
    <s v="CRM"/>
    <x v="11"/>
    <x v="2"/>
  </r>
  <r>
    <s v="O00924"/>
    <s v="C0063"/>
    <s v="P001"/>
    <s v="R006"/>
    <d v="2025-01-08T00:00:00"/>
    <d v="2025-02-06T00:00:00"/>
    <d v="2025-02-06T00:00:00"/>
    <x v="1"/>
    <n v="1"/>
    <n v="0"/>
    <n v="120000"/>
    <n v="100"/>
    <s v=""/>
    <s v="North"/>
    <x v="4"/>
    <s v="CRM"/>
    <x v="2"/>
    <x v="0"/>
  </r>
  <r>
    <s v="O00925"/>
    <s v="C0006"/>
    <s v="P005"/>
    <s v="R016"/>
    <d v="2025-06-01T00:00:00"/>
    <d v="2025-07-27T00:00:00"/>
    <d v="2025-07-27T00:00:00"/>
    <x v="1"/>
    <n v="1"/>
    <n v="10"/>
    <n v="162000"/>
    <n v="100"/>
    <s v=""/>
    <s v="East"/>
    <x v="3"/>
    <s v="Service"/>
    <x v="8"/>
    <x v="3"/>
  </r>
  <r>
    <s v="O00926"/>
    <s v="C0387"/>
    <s v="P001"/>
    <s v="R014"/>
    <d v="2025-05-22T00:00:00"/>
    <d v="2025-08-07T00:00:00"/>
    <d v="2025-08-07T00:00:00"/>
    <x v="0"/>
    <n v="1"/>
    <n v="5"/>
    <n v="114000"/>
    <n v="0"/>
    <s v="Budget"/>
    <s v="West"/>
    <x v="4"/>
    <s v="CRM"/>
    <x v="1"/>
    <x v="1"/>
  </r>
  <r>
    <s v="O00927"/>
    <s v="C0488"/>
    <s v="P006"/>
    <s v="R005"/>
    <d v="2025-07-14T00:00:00"/>
    <d v="2025-07-30T00:00:00"/>
    <d v="2025-07-30T00:00:00"/>
    <x v="0"/>
    <n v="1"/>
    <n v="0"/>
    <n v="360000"/>
    <n v="0"/>
    <s v="No decision"/>
    <s v="South"/>
    <x v="2"/>
    <s v="Security"/>
    <x v="11"/>
    <x v="2"/>
  </r>
  <r>
    <s v="O00928"/>
    <s v="C0414"/>
    <s v="P004"/>
    <s v="R020"/>
    <d v="2025-06-15T00:00:00"/>
    <d v="2025-09-08T00:00:00"/>
    <d v="2025-09-08T00:00:00"/>
    <x v="1"/>
    <n v="3"/>
    <n v="10"/>
    <n v="810000"/>
    <n v="100"/>
    <s v=""/>
    <s v="East"/>
    <x v="5"/>
    <s v="Analytics"/>
    <x v="9"/>
    <x v="3"/>
  </r>
  <r>
    <s v="O00929"/>
    <s v="C0221"/>
    <s v="P004"/>
    <s v="R005"/>
    <d v="2025-04-14T00:00:00"/>
    <d v="2025-05-09T00:00:00"/>
    <d v="2025-05-09T00:00:00"/>
    <x v="1"/>
    <n v="2"/>
    <n v="20"/>
    <n v="480000"/>
    <n v="100"/>
    <s v=""/>
    <s v="South"/>
    <x v="5"/>
    <s v="Analytics"/>
    <x v="11"/>
    <x v="2"/>
  </r>
  <r>
    <s v="O00930"/>
    <s v="C0286"/>
    <s v="P005"/>
    <s v="R015"/>
    <d v="2025-11-22T00:00:00"/>
    <d v="2026-01-28T00:00:00"/>
    <m/>
    <x v="2"/>
    <n v="3"/>
    <n v="15"/>
    <n v="459000"/>
    <n v="20"/>
    <s v=""/>
    <s v="West"/>
    <x v="3"/>
    <s v="Service"/>
    <x v="7"/>
    <x v="1"/>
  </r>
  <r>
    <s v="O00931"/>
    <s v="C0355"/>
    <s v="P005"/>
    <s v="R012"/>
    <d v="2025-03-06T00:00:00"/>
    <d v="2025-03-24T00:00:00"/>
    <d v="2025-03-24T00:00:00"/>
    <x v="1"/>
    <n v="1"/>
    <n v="15"/>
    <n v="153000"/>
    <n v="100"/>
    <s v=""/>
    <s v="West"/>
    <x v="3"/>
    <s v="Service"/>
    <x v="14"/>
    <x v="1"/>
  </r>
  <r>
    <s v="O00932"/>
    <s v="C0185"/>
    <s v="P003"/>
    <s v="R015"/>
    <d v="2025-06-10T00:00:00"/>
    <d v="2025-07-02T00:00:00"/>
    <m/>
    <x v="2"/>
    <n v="2"/>
    <n v="15"/>
    <n v="408000"/>
    <n v="80"/>
    <s v=""/>
    <s v="West"/>
    <x v="1"/>
    <s v="Automation"/>
    <x v="7"/>
    <x v="1"/>
  </r>
  <r>
    <s v="O00933"/>
    <s v="C0345"/>
    <s v="P006"/>
    <s v="R020"/>
    <d v="2025-03-16T00:00:00"/>
    <d v="2025-06-08T00:00:00"/>
    <d v="2025-06-08T00:00:00"/>
    <x v="1"/>
    <n v="3"/>
    <n v="15"/>
    <n v="918000"/>
    <n v="100"/>
    <s v=""/>
    <s v="East"/>
    <x v="2"/>
    <s v="Security"/>
    <x v="9"/>
    <x v="3"/>
  </r>
  <r>
    <s v="O00934"/>
    <s v="C0470"/>
    <s v="P002"/>
    <s v="R006"/>
    <d v="2025-10-11T00:00:00"/>
    <d v="2025-11-24T00:00:00"/>
    <d v="2025-11-24T00:00:00"/>
    <x v="1"/>
    <n v="1"/>
    <n v="15"/>
    <n v="357000"/>
    <n v="100"/>
    <s v=""/>
    <s v="North"/>
    <x v="0"/>
    <s v="CRM"/>
    <x v="2"/>
    <x v="0"/>
  </r>
  <r>
    <s v="O00935"/>
    <s v="C0481"/>
    <s v="P006"/>
    <s v="R016"/>
    <d v="2025-02-02T00:00:00"/>
    <d v="2025-03-09T00:00:00"/>
    <d v="2025-03-09T00:00:00"/>
    <x v="0"/>
    <n v="1"/>
    <n v="15"/>
    <n v="306000"/>
    <n v="0"/>
    <s v="Price"/>
    <s v="East"/>
    <x v="2"/>
    <s v="Security"/>
    <x v="8"/>
    <x v="3"/>
  </r>
  <r>
    <s v="O00936"/>
    <s v="C0267"/>
    <s v="P006"/>
    <s v="R010"/>
    <d v="2025-04-04T00:00:00"/>
    <d v="2025-05-14T00:00:00"/>
    <d v="2025-05-14T00:00:00"/>
    <x v="1"/>
    <n v="2"/>
    <n v="5"/>
    <n v="684000"/>
    <n v="100"/>
    <s v=""/>
    <s v="North"/>
    <x v="2"/>
    <s v="Security"/>
    <x v="16"/>
    <x v="0"/>
  </r>
  <r>
    <s v="O00937"/>
    <s v="C0403"/>
    <s v="P003"/>
    <s v="R010"/>
    <d v="2025-11-25T00:00:00"/>
    <d v="2025-12-09T00:00:00"/>
    <d v="2025-12-09T00:00:00"/>
    <x v="0"/>
    <n v="1"/>
    <n v="0"/>
    <n v="240000"/>
    <n v="0"/>
    <s v="Price"/>
    <s v="North"/>
    <x v="1"/>
    <s v="Automation"/>
    <x v="16"/>
    <x v="0"/>
  </r>
  <r>
    <s v="O00938"/>
    <s v="C0383"/>
    <s v="P001"/>
    <s v="R013"/>
    <d v="2025-04-27T00:00:00"/>
    <d v="2025-06-29T00:00:00"/>
    <m/>
    <x v="2"/>
    <n v="1"/>
    <n v="20"/>
    <n v="96000"/>
    <n v="40"/>
    <s v=""/>
    <s v="West"/>
    <x v="4"/>
    <s v="CRM"/>
    <x v="5"/>
    <x v="1"/>
  </r>
  <r>
    <s v="O00939"/>
    <s v="C0490"/>
    <s v="P004"/>
    <s v="R003"/>
    <d v="2025-12-25T00:00:00"/>
    <d v="2026-01-12T00:00:00"/>
    <m/>
    <x v="2"/>
    <n v="3"/>
    <n v="20"/>
    <n v="720000"/>
    <n v="60"/>
    <s v=""/>
    <s v="South"/>
    <x v="5"/>
    <s v="Analytics"/>
    <x v="15"/>
    <x v="2"/>
  </r>
  <r>
    <s v="O00940"/>
    <s v="C0110"/>
    <s v="P004"/>
    <s v="R003"/>
    <d v="2025-03-09T00:00:00"/>
    <d v="2025-04-20T00:00:00"/>
    <d v="2025-04-20T00:00:00"/>
    <x v="0"/>
    <n v="2"/>
    <n v="0"/>
    <n v="600000"/>
    <n v="0"/>
    <s v="Price"/>
    <s v="South"/>
    <x v="5"/>
    <s v="Analytics"/>
    <x v="15"/>
    <x v="2"/>
  </r>
  <r>
    <s v="O00941"/>
    <s v="C0171"/>
    <s v="P001"/>
    <s v="R017"/>
    <d v="2025-06-30T00:00:00"/>
    <d v="2025-09-23T00:00:00"/>
    <m/>
    <x v="2"/>
    <n v="2"/>
    <n v="5"/>
    <n v="228000"/>
    <n v="40"/>
    <s v=""/>
    <s v="East"/>
    <x v="4"/>
    <s v="CRM"/>
    <x v="19"/>
    <x v="3"/>
  </r>
  <r>
    <s v="O00942"/>
    <s v="C0269"/>
    <s v="P002"/>
    <s v="R018"/>
    <d v="2025-03-19T00:00:00"/>
    <d v="2025-04-02T00:00:00"/>
    <d v="2025-04-02T00:00:00"/>
    <x v="0"/>
    <n v="2"/>
    <n v="10"/>
    <n v="756000"/>
    <n v="0"/>
    <s v="Price"/>
    <s v="East"/>
    <x v="0"/>
    <s v="CRM"/>
    <x v="18"/>
    <x v="3"/>
  </r>
  <r>
    <s v="O00943"/>
    <s v="C0410"/>
    <s v="P002"/>
    <s v="R019"/>
    <d v="2025-11-19T00:00:00"/>
    <d v="2026-01-03T00:00:00"/>
    <m/>
    <x v="2"/>
    <n v="2"/>
    <n v="5"/>
    <n v="798000"/>
    <n v="20"/>
    <s v=""/>
    <s v="East"/>
    <x v="0"/>
    <s v="CRM"/>
    <x v="10"/>
    <x v="3"/>
  </r>
  <r>
    <s v="O00944"/>
    <s v="C0181"/>
    <s v="P001"/>
    <s v="R013"/>
    <d v="2025-07-23T00:00:00"/>
    <d v="2025-10-10T00:00:00"/>
    <d v="2025-10-10T00:00:00"/>
    <x v="1"/>
    <n v="1"/>
    <n v="0"/>
    <n v="120000"/>
    <n v="100"/>
    <s v=""/>
    <s v="West"/>
    <x v="4"/>
    <s v="CRM"/>
    <x v="5"/>
    <x v="1"/>
  </r>
  <r>
    <s v="O00945"/>
    <s v="C0052"/>
    <s v="P004"/>
    <s v="R020"/>
    <d v="2025-07-18T00:00:00"/>
    <d v="2025-07-27T00:00:00"/>
    <d v="2025-07-27T00:00:00"/>
    <x v="1"/>
    <n v="1"/>
    <n v="10"/>
    <n v="270000"/>
    <n v="100"/>
    <s v=""/>
    <s v="East"/>
    <x v="5"/>
    <s v="Analytics"/>
    <x v="9"/>
    <x v="3"/>
  </r>
  <r>
    <s v="O00946"/>
    <s v="C0482"/>
    <s v="P001"/>
    <s v="R012"/>
    <d v="2025-01-01T00:00:00"/>
    <d v="2025-01-25T00:00:00"/>
    <m/>
    <x v="2"/>
    <n v="1"/>
    <n v="15"/>
    <n v="102000"/>
    <n v="60"/>
    <s v=""/>
    <s v="West"/>
    <x v="4"/>
    <s v="CRM"/>
    <x v="14"/>
    <x v="1"/>
  </r>
  <r>
    <s v="O00947"/>
    <s v="C0495"/>
    <s v="P006"/>
    <s v="R020"/>
    <d v="2025-05-13T00:00:00"/>
    <d v="2025-07-02T00:00:00"/>
    <d v="2025-07-02T00:00:00"/>
    <x v="0"/>
    <n v="1"/>
    <n v="15"/>
    <n v="306000"/>
    <n v="0"/>
    <s v="Price"/>
    <s v="East"/>
    <x v="2"/>
    <s v="Security"/>
    <x v="9"/>
    <x v="3"/>
  </r>
  <r>
    <s v="O00948"/>
    <s v="C0342"/>
    <s v="P001"/>
    <s v="R016"/>
    <d v="2025-01-05T00:00:00"/>
    <d v="2025-02-17T00:00:00"/>
    <m/>
    <x v="2"/>
    <n v="3"/>
    <n v="5"/>
    <n v="342000"/>
    <n v="60"/>
    <s v=""/>
    <s v="East"/>
    <x v="4"/>
    <s v="CRM"/>
    <x v="8"/>
    <x v="3"/>
  </r>
  <r>
    <s v="O00949"/>
    <s v="C0065"/>
    <s v="P001"/>
    <s v="R017"/>
    <d v="2025-08-08T00:00:00"/>
    <d v="2025-11-01T00:00:00"/>
    <d v="2025-11-01T00:00:00"/>
    <x v="1"/>
    <n v="1"/>
    <n v="0"/>
    <n v="120000"/>
    <n v="100"/>
    <s v=""/>
    <s v="East"/>
    <x v="4"/>
    <s v="CRM"/>
    <x v="19"/>
    <x v="3"/>
  </r>
  <r>
    <s v="O00950"/>
    <s v="C0466"/>
    <s v="P003"/>
    <s v="R020"/>
    <d v="2025-06-24T00:00:00"/>
    <d v="2025-08-16T00:00:00"/>
    <d v="2025-08-16T00:00:00"/>
    <x v="1"/>
    <n v="2"/>
    <n v="0"/>
    <n v="480000"/>
    <n v="100"/>
    <s v=""/>
    <s v="East"/>
    <x v="1"/>
    <s v="Automation"/>
    <x v="9"/>
    <x v="3"/>
  </r>
  <r>
    <s v="O00951"/>
    <s v="C0010"/>
    <s v="P004"/>
    <s v="R015"/>
    <d v="2025-08-08T00:00:00"/>
    <d v="2025-10-24T00:00:00"/>
    <m/>
    <x v="2"/>
    <n v="1"/>
    <n v="0"/>
    <n v="300000"/>
    <n v="80"/>
    <s v=""/>
    <s v="West"/>
    <x v="5"/>
    <s v="Analytics"/>
    <x v="7"/>
    <x v="1"/>
  </r>
  <r>
    <s v="O00952"/>
    <s v="C0358"/>
    <s v="P003"/>
    <s v="R017"/>
    <d v="2025-01-11T00:00:00"/>
    <d v="2025-03-21T00:00:00"/>
    <d v="2025-03-21T00:00:00"/>
    <x v="1"/>
    <n v="2"/>
    <n v="15"/>
    <n v="408000"/>
    <n v="100"/>
    <s v=""/>
    <s v="East"/>
    <x v="1"/>
    <s v="Automation"/>
    <x v="19"/>
    <x v="3"/>
  </r>
  <r>
    <s v="O00953"/>
    <s v="C0067"/>
    <s v="P004"/>
    <s v="R017"/>
    <d v="2025-05-27T00:00:00"/>
    <d v="2025-08-10T00:00:00"/>
    <d v="2025-08-10T00:00:00"/>
    <x v="1"/>
    <n v="1"/>
    <n v="5"/>
    <n v="285000"/>
    <n v="100"/>
    <s v=""/>
    <s v="East"/>
    <x v="5"/>
    <s v="Analytics"/>
    <x v="19"/>
    <x v="3"/>
  </r>
  <r>
    <s v="O00954"/>
    <s v="C0378"/>
    <s v="P001"/>
    <s v="R010"/>
    <d v="2025-01-21T00:00:00"/>
    <d v="2025-03-22T00:00:00"/>
    <d v="2025-03-22T00:00:00"/>
    <x v="0"/>
    <n v="1"/>
    <n v="10"/>
    <n v="108000"/>
    <n v="0"/>
    <s v="Price"/>
    <s v="North"/>
    <x v="4"/>
    <s v="CRM"/>
    <x v="16"/>
    <x v="0"/>
  </r>
  <r>
    <s v="O00955"/>
    <s v="C0459"/>
    <s v="P006"/>
    <s v="R013"/>
    <d v="2025-08-22T00:00:00"/>
    <d v="2025-11-09T00:00:00"/>
    <d v="2025-11-09T00:00:00"/>
    <x v="1"/>
    <n v="3"/>
    <n v="20"/>
    <n v="864000"/>
    <n v="100"/>
    <s v=""/>
    <s v="West"/>
    <x v="2"/>
    <s v="Security"/>
    <x v="5"/>
    <x v="1"/>
  </r>
  <r>
    <s v="O00956"/>
    <s v="C0119"/>
    <s v="P002"/>
    <s v="R014"/>
    <d v="2025-12-10T00:00:00"/>
    <d v="2026-01-08T00:00:00"/>
    <m/>
    <x v="2"/>
    <n v="1"/>
    <n v="5"/>
    <n v="399000"/>
    <n v="80"/>
    <s v=""/>
    <s v="West"/>
    <x v="0"/>
    <s v="CRM"/>
    <x v="1"/>
    <x v="1"/>
  </r>
  <r>
    <s v="O00957"/>
    <s v="C0465"/>
    <s v="P004"/>
    <s v="R001"/>
    <d v="2025-02-16T00:00:00"/>
    <d v="2025-03-15T00:00:00"/>
    <m/>
    <x v="2"/>
    <n v="1"/>
    <n v="20"/>
    <n v="240000"/>
    <n v="20"/>
    <s v=""/>
    <s v="South"/>
    <x v="5"/>
    <s v="Analytics"/>
    <x v="6"/>
    <x v="2"/>
  </r>
  <r>
    <s v="O00958"/>
    <s v="C0339"/>
    <s v="P002"/>
    <s v="R011"/>
    <d v="2025-06-30T00:00:00"/>
    <d v="2025-09-12T00:00:00"/>
    <m/>
    <x v="2"/>
    <n v="1"/>
    <n v="20"/>
    <n v="336000"/>
    <n v="80"/>
    <s v=""/>
    <s v="West"/>
    <x v="0"/>
    <s v="CRM"/>
    <x v="12"/>
    <x v="1"/>
  </r>
  <r>
    <s v="O00959"/>
    <s v="C0258"/>
    <s v="P004"/>
    <s v="R017"/>
    <d v="2025-10-02T00:00:00"/>
    <d v="2025-12-18T00:00:00"/>
    <d v="2025-12-18T00:00:00"/>
    <x v="0"/>
    <n v="3"/>
    <n v="0"/>
    <n v="900000"/>
    <n v="0"/>
    <s v="Feature gap"/>
    <s v="East"/>
    <x v="5"/>
    <s v="Analytics"/>
    <x v="19"/>
    <x v="3"/>
  </r>
  <r>
    <s v="O00960"/>
    <s v="C0310"/>
    <s v="P002"/>
    <s v="R001"/>
    <d v="2025-10-08T00:00:00"/>
    <d v="2025-12-31T00:00:00"/>
    <m/>
    <x v="2"/>
    <n v="1"/>
    <n v="20"/>
    <n v="336000"/>
    <n v="80"/>
    <s v=""/>
    <s v="South"/>
    <x v="0"/>
    <s v="CRM"/>
    <x v="6"/>
    <x v="2"/>
  </r>
  <r>
    <s v="O00961"/>
    <s v="C0087"/>
    <s v="P006"/>
    <s v="R019"/>
    <d v="2025-03-25T00:00:00"/>
    <d v="2025-04-23T00:00:00"/>
    <d v="2025-04-23T00:00:00"/>
    <x v="1"/>
    <n v="3"/>
    <n v="5"/>
    <n v="1026000"/>
    <n v="100"/>
    <s v=""/>
    <s v="East"/>
    <x v="2"/>
    <s v="Security"/>
    <x v="10"/>
    <x v="3"/>
  </r>
  <r>
    <s v="O00962"/>
    <s v="C0143"/>
    <s v="P004"/>
    <s v="R008"/>
    <d v="2025-12-02T00:00:00"/>
    <d v="2025-12-25T00:00:00"/>
    <d v="2025-12-25T00:00:00"/>
    <x v="1"/>
    <n v="3"/>
    <n v="0"/>
    <n v="900000"/>
    <n v="100"/>
    <s v=""/>
    <s v="North"/>
    <x v="5"/>
    <s v="Analytics"/>
    <x v="0"/>
    <x v="0"/>
  </r>
  <r>
    <s v="O00963"/>
    <s v="C0142"/>
    <s v="P006"/>
    <s v="R012"/>
    <d v="2025-04-23T00:00:00"/>
    <d v="2025-05-16T00:00:00"/>
    <m/>
    <x v="2"/>
    <n v="2"/>
    <n v="15"/>
    <n v="612000"/>
    <n v="60"/>
    <s v=""/>
    <s v="West"/>
    <x v="2"/>
    <s v="Security"/>
    <x v="14"/>
    <x v="1"/>
  </r>
  <r>
    <s v="O00964"/>
    <s v="C0214"/>
    <s v="P003"/>
    <s v="R001"/>
    <d v="2025-07-28T00:00:00"/>
    <d v="2025-08-29T00:00:00"/>
    <d v="2025-08-29T00:00:00"/>
    <x v="1"/>
    <n v="1"/>
    <n v="0"/>
    <n v="240000"/>
    <n v="100"/>
    <s v=""/>
    <s v="South"/>
    <x v="1"/>
    <s v="Automation"/>
    <x v="6"/>
    <x v="2"/>
  </r>
  <r>
    <s v="O00965"/>
    <s v="C0115"/>
    <s v="P002"/>
    <s v="R011"/>
    <d v="2025-12-17T00:00:00"/>
    <d v="2026-01-13T00:00:00"/>
    <m/>
    <x v="2"/>
    <n v="3"/>
    <n v="0"/>
    <n v="1260000"/>
    <n v="80"/>
    <s v=""/>
    <s v="West"/>
    <x v="0"/>
    <s v="CRM"/>
    <x v="12"/>
    <x v="1"/>
  </r>
  <r>
    <s v="O00966"/>
    <s v="C0441"/>
    <s v="P002"/>
    <s v="R015"/>
    <d v="2025-09-29T00:00:00"/>
    <d v="2025-10-09T00:00:00"/>
    <d v="2025-10-09T00:00:00"/>
    <x v="1"/>
    <n v="1"/>
    <n v="5"/>
    <n v="399000"/>
    <n v="100"/>
    <s v=""/>
    <s v="West"/>
    <x v="0"/>
    <s v="CRM"/>
    <x v="7"/>
    <x v="1"/>
  </r>
  <r>
    <s v="O00967"/>
    <s v="C0042"/>
    <s v="P002"/>
    <s v="R006"/>
    <d v="2025-08-03T00:00:00"/>
    <d v="2025-10-13T00:00:00"/>
    <d v="2025-10-13T00:00:00"/>
    <x v="0"/>
    <n v="1"/>
    <n v="10"/>
    <n v="378000"/>
    <n v="0"/>
    <s v="Feature gap"/>
    <s v="North"/>
    <x v="0"/>
    <s v="CRM"/>
    <x v="2"/>
    <x v="0"/>
  </r>
  <r>
    <s v="O00968"/>
    <s v="C0186"/>
    <s v="P001"/>
    <s v="R013"/>
    <d v="2025-10-25T00:00:00"/>
    <d v="2025-12-03T00:00:00"/>
    <d v="2025-12-03T00:00:00"/>
    <x v="1"/>
    <n v="1"/>
    <n v="0"/>
    <n v="120000"/>
    <n v="100"/>
    <s v=""/>
    <s v="West"/>
    <x v="4"/>
    <s v="CRM"/>
    <x v="5"/>
    <x v="1"/>
  </r>
  <r>
    <s v="O00969"/>
    <s v="C0233"/>
    <s v="P002"/>
    <s v="R007"/>
    <d v="2025-03-28T00:00:00"/>
    <d v="2025-05-29T00:00:00"/>
    <d v="2025-05-29T00:00:00"/>
    <x v="0"/>
    <n v="1"/>
    <n v="0"/>
    <n v="420000"/>
    <n v="0"/>
    <s v="Competition"/>
    <s v="North"/>
    <x v="0"/>
    <s v="CRM"/>
    <x v="13"/>
    <x v="0"/>
  </r>
  <r>
    <s v="O00970"/>
    <s v="C0348"/>
    <s v="P005"/>
    <s v="R010"/>
    <d v="2025-11-22T00:00:00"/>
    <d v="2025-12-04T00:00:00"/>
    <m/>
    <x v="2"/>
    <n v="3"/>
    <n v="15"/>
    <n v="459000"/>
    <n v="20"/>
    <s v=""/>
    <s v="North"/>
    <x v="3"/>
    <s v="Service"/>
    <x v="16"/>
    <x v="0"/>
  </r>
  <r>
    <s v="O00971"/>
    <s v="C0413"/>
    <s v="P002"/>
    <s v="R017"/>
    <d v="2025-05-25T00:00:00"/>
    <d v="2025-06-24T00:00:00"/>
    <m/>
    <x v="2"/>
    <n v="1"/>
    <n v="0"/>
    <n v="420000"/>
    <n v="60"/>
    <s v=""/>
    <s v="East"/>
    <x v="0"/>
    <s v="CRM"/>
    <x v="19"/>
    <x v="3"/>
  </r>
  <r>
    <s v="O00972"/>
    <s v="C0041"/>
    <s v="P006"/>
    <s v="R003"/>
    <d v="2025-12-09T00:00:00"/>
    <d v="2026-02-05T00:00:00"/>
    <m/>
    <x v="2"/>
    <n v="1"/>
    <n v="10"/>
    <n v="324000"/>
    <n v="60"/>
    <s v=""/>
    <s v="South"/>
    <x v="2"/>
    <s v="Security"/>
    <x v="15"/>
    <x v="2"/>
  </r>
  <r>
    <s v="O00973"/>
    <s v="C0396"/>
    <s v="P006"/>
    <s v="R008"/>
    <d v="2025-04-13T00:00:00"/>
    <d v="2025-05-20T00:00:00"/>
    <d v="2025-05-20T00:00:00"/>
    <x v="0"/>
    <n v="2"/>
    <n v="10"/>
    <n v="648000"/>
    <n v="0"/>
    <s v="Budget"/>
    <s v="North"/>
    <x v="2"/>
    <s v="Security"/>
    <x v="0"/>
    <x v="0"/>
  </r>
  <r>
    <s v="O00974"/>
    <s v="C0275"/>
    <s v="P006"/>
    <s v="R011"/>
    <d v="2025-10-21T00:00:00"/>
    <d v="2025-12-06T00:00:00"/>
    <d v="2025-12-06T00:00:00"/>
    <x v="1"/>
    <n v="3"/>
    <n v="0"/>
    <n v="1080000"/>
    <n v="100"/>
    <s v=""/>
    <s v="West"/>
    <x v="2"/>
    <s v="Security"/>
    <x v="12"/>
    <x v="1"/>
  </r>
  <r>
    <s v="O00975"/>
    <s v="C0433"/>
    <s v="P004"/>
    <s v="R017"/>
    <d v="2025-02-27T00:00:00"/>
    <d v="2025-04-05T00:00:00"/>
    <m/>
    <x v="2"/>
    <n v="1"/>
    <n v="15"/>
    <n v="255000"/>
    <n v="60"/>
    <s v=""/>
    <s v="East"/>
    <x v="5"/>
    <s v="Analytics"/>
    <x v="19"/>
    <x v="3"/>
  </r>
  <r>
    <s v="O00976"/>
    <s v="C0478"/>
    <s v="P003"/>
    <s v="R011"/>
    <d v="2025-12-08T00:00:00"/>
    <d v="2026-02-22T00:00:00"/>
    <m/>
    <x v="2"/>
    <n v="3"/>
    <n v="5"/>
    <n v="684000"/>
    <n v="40"/>
    <s v=""/>
    <s v="West"/>
    <x v="1"/>
    <s v="Automation"/>
    <x v="12"/>
    <x v="1"/>
  </r>
  <r>
    <s v="O00977"/>
    <s v="C0291"/>
    <s v="P004"/>
    <s v="R017"/>
    <d v="2025-12-03T00:00:00"/>
    <d v="2026-01-07T00:00:00"/>
    <m/>
    <x v="2"/>
    <n v="1"/>
    <n v="0"/>
    <n v="300000"/>
    <n v="20"/>
    <s v=""/>
    <s v="East"/>
    <x v="5"/>
    <s v="Analytics"/>
    <x v="19"/>
    <x v="3"/>
  </r>
  <r>
    <s v="O00978"/>
    <s v="C0041"/>
    <s v="P003"/>
    <s v="R005"/>
    <d v="2025-08-17T00:00:00"/>
    <d v="2025-11-03T00:00:00"/>
    <d v="2025-11-03T00:00:00"/>
    <x v="1"/>
    <n v="1"/>
    <n v="10"/>
    <n v="216000"/>
    <n v="100"/>
    <s v=""/>
    <s v="South"/>
    <x v="1"/>
    <s v="Automation"/>
    <x v="11"/>
    <x v="2"/>
  </r>
  <r>
    <s v="O00979"/>
    <s v="C0433"/>
    <s v="P006"/>
    <s v="R019"/>
    <d v="2025-01-25T00:00:00"/>
    <d v="2025-02-25T00:00:00"/>
    <d v="2025-02-25T00:00:00"/>
    <x v="1"/>
    <n v="1"/>
    <n v="0"/>
    <n v="360000"/>
    <n v="100"/>
    <s v=""/>
    <s v="East"/>
    <x v="2"/>
    <s v="Security"/>
    <x v="10"/>
    <x v="3"/>
  </r>
  <r>
    <s v="O00980"/>
    <s v="C0100"/>
    <s v="P004"/>
    <s v="R001"/>
    <d v="2025-02-27T00:00:00"/>
    <d v="2025-03-13T00:00:00"/>
    <d v="2025-03-13T00:00:00"/>
    <x v="1"/>
    <n v="1"/>
    <n v="10"/>
    <n v="270000"/>
    <n v="100"/>
    <s v=""/>
    <s v="South"/>
    <x v="5"/>
    <s v="Analytics"/>
    <x v="6"/>
    <x v="2"/>
  </r>
  <r>
    <s v="O00981"/>
    <s v="C0439"/>
    <s v="P006"/>
    <s v="R017"/>
    <d v="2025-03-07T00:00:00"/>
    <d v="2025-04-06T00:00:00"/>
    <d v="2025-04-06T00:00:00"/>
    <x v="1"/>
    <n v="1"/>
    <n v="15"/>
    <n v="306000"/>
    <n v="100"/>
    <s v=""/>
    <s v="East"/>
    <x v="2"/>
    <s v="Security"/>
    <x v="19"/>
    <x v="3"/>
  </r>
  <r>
    <s v="O00982"/>
    <s v="C0355"/>
    <s v="P001"/>
    <s v="R012"/>
    <d v="2025-07-23T00:00:00"/>
    <d v="2025-08-10T00:00:00"/>
    <d v="2025-08-10T00:00:00"/>
    <x v="0"/>
    <n v="2"/>
    <n v="5"/>
    <n v="228000"/>
    <n v="0"/>
    <s v="Competition"/>
    <s v="West"/>
    <x v="4"/>
    <s v="CRM"/>
    <x v="14"/>
    <x v="1"/>
  </r>
  <r>
    <s v="O00983"/>
    <s v="C0079"/>
    <s v="P005"/>
    <s v="R004"/>
    <d v="2025-04-01T00:00:00"/>
    <d v="2025-04-11T00:00:00"/>
    <m/>
    <x v="2"/>
    <n v="3"/>
    <n v="5"/>
    <n v="513000"/>
    <n v="80"/>
    <s v=""/>
    <s v="South"/>
    <x v="3"/>
    <s v="Service"/>
    <x v="3"/>
    <x v="2"/>
  </r>
  <r>
    <s v="O00984"/>
    <s v="C0076"/>
    <s v="P002"/>
    <s v="R012"/>
    <d v="2025-11-24T00:00:00"/>
    <d v="2026-01-26T00:00:00"/>
    <m/>
    <x v="2"/>
    <n v="1"/>
    <n v="20"/>
    <n v="336000"/>
    <n v="40"/>
    <s v=""/>
    <s v="West"/>
    <x v="0"/>
    <s v="CRM"/>
    <x v="14"/>
    <x v="1"/>
  </r>
  <r>
    <s v="O00985"/>
    <s v="C0217"/>
    <s v="P004"/>
    <s v="R016"/>
    <d v="2025-09-17T00:00:00"/>
    <d v="2025-09-28T00:00:00"/>
    <d v="2025-09-28T00:00:00"/>
    <x v="0"/>
    <n v="2"/>
    <n v="15"/>
    <n v="510000"/>
    <n v="0"/>
    <s v="Price"/>
    <s v="East"/>
    <x v="5"/>
    <s v="Analytics"/>
    <x v="8"/>
    <x v="3"/>
  </r>
  <r>
    <s v="O00986"/>
    <s v="C0064"/>
    <s v="P002"/>
    <s v="R019"/>
    <d v="2025-02-21T00:00:00"/>
    <d v="2025-05-09T00:00:00"/>
    <d v="2025-05-09T00:00:00"/>
    <x v="0"/>
    <n v="1"/>
    <n v="20"/>
    <n v="336000"/>
    <n v="0"/>
    <s v="Price"/>
    <s v="East"/>
    <x v="0"/>
    <s v="CRM"/>
    <x v="10"/>
    <x v="3"/>
  </r>
  <r>
    <s v="O00987"/>
    <s v="C0079"/>
    <s v="P002"/>
    <s v="R002"/>
    <d v="2025-12-31T00:00:00"/>
    <d v="2026-01-20T00:00:00"/>
    <m/>
    <x v="2"/>
    <n v="3"/>
    <n v="10"/>
    <n v="1134000"/>
    <n v="60"/>
    <s v=""/>
    <s v="South"/>
    <x v="0"/>
    <s v="CRM"/>
    <x v="17"/>
    <x v="2"/>
  </r>
  <r>
    <s v="O00988"/>
    <s v="C0194"/>
    <s v="P002"/>
    <s v="R005"/>
    <d v="2025-06-22T00:00:00"/>
    <d v="2025-07-05T00:00:00"/>
    <d v="2025-07-05T00:00:00"/>
    <x v="1"/>
    <n v="2"/>
    <n v="5"/>
    <n v="798000"/>
    <n v="100"/>
    <s v=""/>
    <s v="South"/>
    <x v="0"/>
    <s v="CRM"/>
    <x v="11"/>
    <x v="2"/>
  </r>
  <r>
    <s v="O00989"/>
    <s v="C0054"/>
    <s v="P002"/>
    <s v="R006"/>
    <d v="2025-09-06T00:00:00"/>
    <d v="2025-10-12T00:00:00"/>
    <d v="2025-10-12T00:00:00"/>
    <x v="0"/>
    <n v="3"/>
    <n v="10"/>
    <n v="1134000"/>
    <n v="0"/>
    <s v="Feature gap"/>
    <s v="North"/>
    <x v="0"/>
    <s v="CRM"/>
    <x v="2"/>
    <x v="0"/>
  </r>
  <r>
    <s v="O00990"/>
    <s v="C0340"/>
    <s v="P004"/>
    <s v="R002"/>
    <d v="2025-10-20T00:00:00"/>
    <d v="2025-12-26T00:00:00"/>
    <m/>
    <x v="2"/>
    <n v="1"/>
    <n v="15"/>
    <n v="255000"/>
    <n v="20"/>
    <s v=""/>
    <s v="South"/>
    <x v="5"/>
    <s v="Analytics"/>
    <x v="17"/>
    <x v="2"/>
  </r>
  <r>
    <s v="O00991"/>
    <s v="C0220"/>
    <s v="P006"/>
    <s v="R018"/>
    <d v="2025-02-06T00:00:00"/>
    <d v="2025-03-28T00:00:00"/>
    <d v="2025-03-28T00:00:00"/>
    <x v="1"/>
    <n v="1"/>
    <n v="15"/>
    <n v="306000"/>
    <n v="100"/>
    <s v=""/>
    <s v="East"/>
    <x v="2"/>
    <s v="Security"/>
    <x v="18"/>
    <x v="3"/>
  </r>
  <r>
    <s v="O00992"/>
    <s v="C0109"/>
    <s v="P005"/>
    <s v="R013"/>
    <d v="2025-08-19T00:00:00"/>
    <d v="2025-10-10T00:00:00"/>
    <d v="2025-10-10T00:00:00"/>
    <x v="0"/>
    <n v="1"/>
    <n v="0"/>
    <n v="180000"/>
    <n v="0"/>
    <s v="Price"/>
    <s v="West"/>
    <x v="3"/>
    <s v="Service"/>
    <x v="5"/>
    <x v="1"/>
  </r>
  <r>
    <s v="O00993"/>
    <s v="C0444"/>
    <s v="P006"/>
    <s v="R019"/>
    <d v="2025-02-19T00:00:00"/>
    <d v="2025-03-09T00:00:00"/>
    <d v="2025-03-09T00:00:00"/>
    <x v="1"/>
    <n v="1"/>
    <n v="10"/>
    <n v="324000"/>
    <n v="100"/>
    <s v=""/>
    <s v="East"/>
    <x v="2"/>
    <s v="Security"/>
    <x v="10"/>
    <x v="3"/>
  </r>
  <r>
    <s v="O00994"/>
    <s v="C0332"/>
    <s v="P004"/>
    <s v="R004"/>
    <d v="2025-01-19T00:00:00"/>
    <d v="2025-04-02T00:00:00"/>
    <d v="2025-04-02T00:00:00"/>
    <x v="0"/>
    <n v="2"/>
    <n v="5"/>
    <n v="570000"/>
    <n v="0"/>
    <s v="Competition"/>
    <s v="South"/>
    <x v="5"/>
    <s v="Analytics"/>
    <x v="3"/>
    <x v="2"/>
  </r>
  <r>
    <s v="O00995"/>
    <s v="C0274"/>
    <s v="P005"/>
    <s v="R004"/>
    <d v="2025-11-29T00:00:00"/>
    <d v="2026-01-20T00:00:00"/>
    <m/>
    <x v="2"/>
    <n v="1"/>
    <n v="5"/>
    <n v="171000"/>
    <n v="60"/>
    <s v=""/>
    <s v="South"/>
    <x v="3"/>
    <s v="Service"/>
    <x v="3"/>
    <x v="2"/>
  </r>
  <r>
    <s v="O00996"/>
    <s v="C0345"/>
    <s v="P006"/>
    <s v="R020"/>
    <d v="2025-11-23T00:00:00"/>
    <d v="2025-12-29T00:00:00"/>
    <d v="2025-12-29T00:00:00"/>
    <x v="1"/>
    <n v="1"/>
    <n v="5"/>
    <n v="342000"/>
    <n v="100"/>
    <s v=""/>
    <s v="East"/>
    <x v="2"/>
    <s v="Security"/>
    <x v="9"/>
    <x v="3"/>
  </r>
  <r>
    <s v="O00997"/>
    <s v="C0145"/>
    <s v="P005"/>
    <s v="R019"/>
    <d v="2025-05-26T00:00:00"/>
    <d v="2025-06-08T00:00:00"/>
    <d v="2025-06-08T00:00:00"/>
    <x v="0"/>
    <n v="1"/>
    <n v="5"/>
    <n v="171000"/>
    <n v="0"/>
    <s v="Feature gap"/>
    <s v="East"/>
    <x v="3"/>
    <s v="Service"/>
    <x v="10"/>
    <x v="3"/>
  </r>
  <r>
    <s v="O00998"/>
    <s v="C0418"/>
    <s v="P002"/>
    <s v="R019"/>
    <d v="2025-06-27T00:00:00"/>
    <d v="2025-07-08T00:00:00"/>
    <d v="2025-07-08T00:00:00"/>
    <x v="0"/>
    <n v="1"/>
    <n v="10"/>
    <n v="378000"/>
    <n v="0"/>
    <s v="Price"/>
    <s v="East"/>
    <x v="0"/>
    <s v="CRM"/>
    <x v="10"/>
    <x v="3"/>
  </r>
  <r>
    <s v="O00999"/>
    <s v="C0096"/>
    <s v="P004"/>
    <s v="R019"/>
    <d v="2025-02-10T00:00:00"/>
    <d v="2025-04-30T00:00:00"/>
    <d v="2025-04-30T00:00:00"/>
    <x v="1"/>
    <n v="1"/>
    <n v="5"/>
    <n v="285000"/>
    <n v="100"/>
    <s v=""/>
    <s v="East"/>
    <x v="5"/>
    <s v="Analytics"/>
    <x v="10"/>
    <x v="3"/>
  </r>
  <r>
    <s v="O01000"/>
    <s v="C0180"/>
    <s v="P001"/>
    <s v="R012"/>
    <d v="2025-09-28T00:00:00"/>
    <d v="2025-11-26T00:00:00"/>
    <d v="2025-11-26T00:00:00"/>
    <x v="1"/>
    <n v="1"/>
    <n v="15"/>
    <n v="102000"/>
    <n v="100"/>
    <s v=""/>
    <s v="West"/>
    <x v="4"/>
    <s v="CRM"/>
    <x v="14"/>
    <x v="1"/>
  </r>
  <r>
    <s v="O01001"/>
    <s v="C0391"/>
    <s v="P003"/>
    <s v="R010"/>
    <d v="2025-07-21T00:00:00"/>
    <d v="2025-09-02T00:00:00"/>
    <d v="2025-09-02T00:00:00"/>
    <x v="1"/>
    <n v="2"/>
    <n v="15"/>
    <n v="408000"/>
    <n v="100"/>
    <s v=""/>
    <s v="North"/>
    <x v="1"/>
    <s v="Automation"/>
    <x v="16"/>
    <x v="0"/>
  </r>
  <r>
    <s v="O01002"/>
    <s v="C0292"/>
    <s v="P005"/>
    <s v="R020"/>
    <d v="2025-05-06T00:00:00"/>
    <d v="2025-06-13T00:00:00"/>
    <m/>
    <x v="2"/>
    <n v="1"/>
    <n v="10"/>
    <n v="162000"/>
    <n v="80"/>
    <s v=""/>
    <s v="East"/>
    <x v="3"/>
    <s v="Service"/>
    <x v="9"/>
    <x v="3"/>
  </r>
  <r>
    <s v="O01003"/>
    <s v="C0304"/>
    <s v="P003"/>
    <s v="R005"/>
    <d v="2025-08-04T00:00:00"/>
    <d v="2025-10-11T00:00:00"/>
    <d v="2025-10-11T00:00:00"/>
    <x v="1"/>
    <n v="1"/>
    <n v="20"/>
    <n v="192000"/>
    <n v="100"/>
    <s v=""/>
    <s v="South"/>
    <x v="1"/>
    <s v="Automation"/>
    <x v="11"/>
    <x v="2"/>
  </r>
  <r>
    <s v="O01004"/>
    <s v="C0067"/>
    <s v="P001"/>
    <s v="R017"/>
    <d v="2025-02-28T00:00:00"/>
    <d v="2025-03-12T00:00:00"/>
    <m/>
    <x v="2"/>
    <n v="2"/>
    <n v="10"/>
    <n v="216000"/>
    <n v="60"/>
    <s v=""/>
    <s v="East"/>
    <x v="4"/>
    <s v="CRM"/>
    <x v="19"/>
    <x v="3"/>
  </r>
  <r>
    <s v="O01005"/>
    <s v="C0126"/>
    <s v="P001"/>
    <s v="R006"/>
    <d v="2025-06-04T00:00:00"/>
    <d v="2025-08-05T00:00:00"/>
    <d v="2025-08-05T00:00:00"/>
    <x v="1"/>
    <n v="1"/>
    <n v="15"/>
    <n v="102000"/>
    <n v="100"/>
    <s v=""/>
    <s v="North"/>
    <x v="4"/>
    <s v="CRM"/>
    <x v="2"/>
    <x v="0"/>
  </r>
  <r>
    <s v="O01006"/>
    <s v="C0070"/>
    <s v="P001"/>
    <s v="R007"/>
    <d v="2025-08-25T00:00:00"/>
    <d v="2025-10-21T00:00:00"/>
    <d v="2025-10-21T00:00:00"/>
    <x v="1"/>
    <n v="1"/>
    <n v="20"/>
    <n v="96000"/>
    <n v="100"/>
    <s v=""/>
    <s v="North"/>
    <x v="4"/>
    <s v="CRM"/>
    <x v="13"/>
    <x v="0"/>
  </r>
  <r>
    <s v="O01007"/>
    <s v="C0473"/>
    <s v="P005"/>
    <s v="R015"/>
    <d v="2025-04-22T00:00:00"/>
    <d v="2025-06-01T00:00:00"/>
    <m/>
    <x v="2"/>
    <n v="1"/>
    <n v="20"/>
    <n v="144000"/>
    <n v="60"/>
    <s v=""/>
    <s v="West"/>
    <x v="3"/>
    <s v="Service"/>
    <x v="7"/>
    <x v="1"/>
  </r>
  <r>
    <s v="O01008"/>
    <s v="C0282"/>
    <s v="P003"/>
    <s v="R001"/>
    <d v="2025-04-15T00:00:00"/>
    <d v="2025-05-15T00:00:00"/>
    <d v="2025-05-15T00:00:00"/>
    <x v="1"/>
    <n v="1"/>
    <n v="15"/>
    <n v="204000"/>
    <n v="100"/>
    <s v=""/>
    <s v="South"/>
    <x v="1"/>
    <s v="Automation"/>
    <x v="6"/>
    <x v="2"/>
  </r>
  <r>
    <s v="O01009"/>
    <s v="C0107"/>
    <s v="P006"/>
    <s v="R006"/>
    <d v="2025-01-10T00:00:00"/>
    <d v="2025-03-15T00:00:00"/>
    <d v="2025-03-15T00:00:00"/>
    <x v="1"/>
    <n v="3"/>
    <n v="15"/>
    <n v="918000"/>
    <n v="100"/>
    <s v=""/>
    <s v="North"/>
    <x v="2"/>
    <s v="Security"/>
    <x v="2"/>
    <x v="0"/>
  </r>
  <r>
    <s v="O01010"/>
    <s v="C0441"/>
    <s v="P003"/>
    <s v="R014"/>
    <d v="2025-10-26T00:00:00"/>
    <d v="2025-11-21T00:00:00"/>
    <m/>
    <x v="2"/>
    <n v="1"/>
    <n v="15"/>
    <n v="204000"/>
    <n v="80"/>
    <s v=""/>
    <s v="West"/>
    <x v="1"/>
    <s v="Automation"/>
    <x v="1"/>
    <x v="1"/>
  </r>
  <r>
    <s v="O01011"/>
    <s v="C0407"/>
    <s v="P003"/>
    <s v="R016"/>
    <d v="2025-03-25T00:00:00"/>
    <d v="2025-06-11T00:00:00"/>
    <d v="2025-06-11T00:00:00"/>
    <x v="1"/>
    <n v="3"/>
    <n v="10"/>
    <n v="648000"/>
    <n v="100"/>
    <s v=""/>
    <s v="East"/>
    <x v="1"/>
    <s v="Automation"/>
    <x v="8"/>
    <x v="3"/>
  </r>
  <r>
    <s v="O01012"/>
    <s v="C0069"/>
    <s v="P003"/>
    <s v="R014"/>
    <d v="2025-10-21T00:00:00"/>
    <d v="2025-11-24T00:00:00"/>
    <m/>
    <x v="2"/>
    <n v="1"/>
    <n v="0"/>
    <n v="240000"/>
    <n v="40"/>
    <s v=""/>
    <s v="West"/>
    <x v="1"/>
    <s v="Automation"/>
    <x v="1"/>
    <x v="1"/>
  </r>
  <r>
    <s v="O01013"/>
    <s v="C0035"/>
    <s v="P006"/>
    <s v="R011"/>
    <d v="2025-12-10T00:00:00"/>
    <d v="2026-02-13T00:00:00"/>
    <m/>
    <x v="2"/>
    <n v="1"/>
    <n v="0"/>
    <n v="360000"/>
    <n v="80"/>
    <s v=""/>
    <s v="West"/>
    <x v="2"/>
    <s v="Security"/>
    <x v="12"/>
    <x v="1"/>
  </r>
  <r>
    <s v="O01014"/>
    <s v="C0467"/>
    <s v="P002"/>
    <s v="R005"/>
    <d v="2025-10-12T00:00:00"/>
    <d v="2025-12-20T00:00:00"/>
    <m/>
    <x v="2"/>
    <n v="1"/>
    <n v="5"/>
    <n v="399000"/>
    <n v="20"/>
    <s v=""/>
    <s v="South"/>
    <x v="0"/>
    <s v="CRM"/>
    <x v="11"/>
    <x v="2"/>
  </r>
  <r>
    <s v="O01015"/>
    <s v="C0415"/>
    <s v="P006"/>
    <s v="R001"/>
    <d v="2025-02-16T00:00:00"/>
    <d v="2025-03-15T00:00:00"/>
    <d v="2025-03-15T00:00:00"/>
    <x v="0"/>
    <n v="1"/>
    <n v="5"/>
    <n v="342000"/>
    <n v="0"/>
    <s v="Price"/>
    <s v="South"/>
    <x v="2"/>
    <s v="Security"/>
    <x v="6"/>
    <x v="2"/>
  </r>
  <r>
    <s v="O01016"/>
    <s v="C0329"/>
    <s v="P006"/>
    <s v="R009"/>
    <d v="2025-06-14T00:00:00"/>
    <d v="2025-08-12T00:00:00"/>
    <m/>
    <x v="2"/>
    <n v="1"/>
    <n v="20"/>
    <n v="288000"/>
    <n v="40"/>
    <s v=""/>
    <s v="North"/>
    <x v="2"/>
    <s v="Security"/>
    <x v="4"/>
    <x v="0"/>
  </r>
  <r>
    <s v="O01017"/>
    <s v="C0076"/>
    <s v="P003"/>
    <s v="R015"/>
    <d v="2025-02-02T00:00:00"/>
    <d v="2025-03-21T00:00:00"/>
    <d v="2025-03-21T00:00:00"/>
    <x v="1"/>
    <n v="3"/>
    <n v="0"/>
    <n v="720000"/>
    <n v="100"/>
    <s v=""/>
    <s v="West"/>
    <x v="1"/>
    <s v="Automation"/>
    <x v="7"/>
    <x v="1"/>
  </r>
  <r>
    <s v="O01018"/>
    <s v="C0394"/>
    <s v="P001"/>
    <s v="R002"/>
    <d v="2025-02-21T00:00:00"/>
    <d v="2025-03-11T00:00:00"/>
    <d v="2025-03-11T00:00:00"/>
    <x v="1"/>
    <n v="1"/>
    <n v="0"/>
    <n v="120000"/>
    <n v="100"/>
    <s v=""/>
    <s v="South"/>
    <x v="4"/>
    <s v="CRM"/>
    <x v="17"/>
    <x v="2"/>
  </r>
  <r>
    <s v="O01019"/>
    <s v="C0315"/>
    <s v="P001"/>
    <s v="R001"/>
    <d v="2025-08-21T00:00:00"/>
    <d v="2025-10-29T00:00:00"/>
    <m/>
    <x v="2"/>
    <n v="1"/>
    <n v="0"/>
    <n v="120000"/>
    <n v="40"/>
    <s v=""/>
    <s v="South"/>
    <x v="4"/>
    <s v="CRM"/>
    <x v="6"/>
    <x v="2"/>
  </r>
  <r>
    <s v="O01020"/>
    <s v="C0053"/>
    <s v="P002"/>
    <s v="R017"/>
    <d v="2025-03-14T00:00:00"/>
    <d v="2025-05-09T00:00:00"/>
    <m/>
    <x v="2"/>
    <n v="1"/>
    <n v="5"/>
    <n v="399000"/>
    <n v="40"/>
    <s v=""/>
    <s v="East"/>
    <x v="0"/>
    <s v="CRM"/>
    <x v="19"/>
    <x v="3"/>
  </r>
  <r>
    <s v="O01021"/>
    <s v="C0451"/>
    <s v="P006"/>
    <s v="R009"/>
    <d v="2025-04-09T00:00:00"/>
    <d v="2025-04-16T00:00:00"/>
    <m/>
    <x v="2"/>
    <n v="3"/>
    <n v="5"/>
    <n v="1026000"/>
    <n v="40"/>
    <s v=""/>
    <s v="North"/>
    <x v="2"/>
    <s v="Security"/>
    <x v="4"/>
    <x v="0"/>
  </r>
  <r>
    <s v="O01022"/>
    <s v="C0238"/>
    <s v="P001"/>
    <s v="R017"/>
    <d v="2025-01-06T00:00:00"/>
    <d v="2025-04-01T00:00:00"/>
    <m/>
    <x v="2"/>
    <n v="2"/>
    <n v="20"/>
    <n v="192000"/>
    <n v="60"/>
    <s v=""/>
    <s v="East"/>
    <x v="4"/>
    <s v="CRM"/>
    <x v="19"/>
    <x v="3"/>
  </r>
  <r>
    <s v="O01023"/>
    <s v="C0320"/>
    <s v="P006"/>
    <s v="R017"/>
    <d v="2025-07-23T00:00:00"/>
    <d v="2025-08-25T00:00:00"/>
    <d v="2025-08-25T00:00:00"/>
    <x v="0"/>
    <n v="1"/>
    <n v="20"/>
    <n v="288000"/>
    <n v="0"/>
    <s v="No decision"/>
    <s v="East"/>
    <x v="2"/>
    <s v="Security"/>
    <x v="19"/>
    <x v="3"/>
  </r>
  <r>
    <s v="O01024"/>
    <s v="C0291"/>
    <s v="P002"/>
    <s v="R016"/>
    <d v="2025-08-03T00:00:00"/>
    <d v="2025-09-30T00:00:00"/>
    <d v="2025-09-30T00:00:00"/>
    <x v="1"/>
    <n v="1"/>
    <n v="20"/>
    <n v="336000"/>
    <n v="100"/>
    <s v=""/>
    <s v="East"/>
    <x v="0"/>
    <s v="CRM"/>
    <x v="8"/>
    <x v="3"/>
  </r>
  <r>
    <s v="O01025"/>
    <s v="C0304"/>
    <s v="P003"/>
    <s v="R001"/>
    <d v="2025-02-06T00:00:00"/>
    <d v="2025-04-06T00:00:00"/>
    <d v="2025-04-06T00:00:00"/>
    <x v="1"/>
    <n v="1"/>
    <n v="0"/>
    <n v="240000"/>
    <n v="100"/>
    <s v=""/>
    <s v="South"/>
    <x v="1"/>
    <s v="Automation"/>
    <x v="6"/>
    <x v="2"/>
  </r>
  <r>
    <s v="O01026"/>
    <s v="C0371"/>
    <s v="P003"/>
    <s v="R002"/>
    <d v="2025-01-22T00:00:00"/>
    <d v="2025-02-07T00:00:00"/>
    <d v="2025-02-07T00:00:00"/>
    <x v="0"/>
    <n v="1"/>
    <n v="10"/>
    <n v="216000"/>
    <n v="0"/>
    <s v="Feature gap"/>
    <s v="South"/>
    <x v="1"/>
    <s v="Automation"/>
    <x v="17"/>
    <x v="2"/>
  </r>
  <r>
    <s v="O01027"/>
    <s v="C0420"/>
    <s v="P006"/>
    <s v="R006"/>
    <d v="2025-04-01T00:00:00"/>
    <d v="2025-04-20T00:00:00"/>
    <m/>
    <x v="2"/>
    <n v="1"/>
    <n v="0"/>
    <n v="360000"/>
    <n v="60"/>
    <s v=""/>
    <s v="North"/>
    <x v="2"/>
    <s v="Security"/>
    <x v="2"/>
    <x v="0"/>
  </r>
  <r>
    <s v="O01028"/>
    <s v="C0153"/>
    <s v="P001"/>
    <s v="R001"/>
    <d v="2025-10-26T00:00:00"/>
    <d v="2025-12-13T00:00:00"/>
    <d v="2025-12-13T00:00:00"/>
    <x v="1"/>
    <n v="1"/>
    <n v="20"/>
    <n v="96000"/>
    <n v="100"/>
    <s v=""/>
    <s v="South"/>
    <x v="4"/>
    <s v="CRM"/>
    <x v="6"/>
    <x v="2"/>
  </r>
  <r>
    <s v="O01029"/>
    <s v="C0126"/>
    <s v="P003"/>
    <s v="R010"/>
    <d v="2025-06-17T00:00:00"/>
    <d v="2025-08-12T00:00:00"/>
    <m/>
    <x v="2"/>
    <n v="2"/>
    <n v="10"/>
    <n v="432000"/>
    <n v="80"/>
    <s v=""/>
    <s v="North"/>
    <x v="1"/>
    <s v="Automation"/>
    <x v="16"/>
    <x v="0"/>
  </r>
  <r>
    <s v="O01030"/>
    <s v="C0477"/>
    <s v="P004"/>
    <s v="R007"/>
    <d v="2025-04-02T00:00:00"/>
    <d v="2025-05-02T00:00:00"/>
    <d v="2025-05-02T00:00:00"/>
    <x v="1"/>
    <n v="1"/>
    <n v="10"/>
    <n v="270000"/>
    <n v="100"/>
    <s v=""/>
    <s v="North"/>
    <x v="5"/>
    <s v="Analytics"/>
    <x v="13"/>
    <x v="0"/>
  </r>
  <r>
    <s v="O01031"/>
    <s v="C0408"/>
    <s v="P001"/>
    <s v="R018"/>
    <d v="2025-09-06T00:00:00"/>
    <d v="2025-11-24T00:00:00"/>
    <m/>
    <x v="2"/>
    <n v="1"/>
    <n v="0"/>
    <n v="120000"/>
    <n v="80"/>
    <s v=""/>
    <s v="East"/>
    <x v="4"/>
    <s v="CRM"/>
    <x v="18"/>
    <x v="3"/>
  </r>
  <r>
    <s v="O01032"/>
    <s v="C0102"/>
    <s v="P001"/>
    <s v="R015"/>
    <d v="2025-01-11T00:00:00"/>
    <d v="2025-03-14T00:00:00"/>
    <d v="2025-03-14T00:00:00"/>
    <x v="1"/>
    <n v="2"/>
    <n v="15"/>
    <n v="204000"/>
    <n v="100"/>
    <s v=""/>
    <s v="West"/>
    <x v="4"/>
    <s v="CRM"/>
    <x v="7"/>
    <x v="1"/>
  </r>
  <r>
    <s v="O01033"/>
    <s v="C0173"/>
    <s v="P002"/>
    <s v="R015"/>
    <d v="2025-07-22T00:00:00"/>
    <d v="2025-08-10T00:00:00"/>
    <d v="2025-08-10T00:00:00"/>
    <x v="1"/>
    <n v="1"/>
    <n v="10"/>
    <n v="378000"/>
    <n v="100"/>
    <s v=""/>
    <s v="West"/>
    <x v="0"/>
    <s v="CRM"/>
    <x v="7"/>
    <x v="1"/>
  </r>
  <r>
    <s v="O01034"/>
    <s v="C0088"/>
    <s v="P006"/>
    <s v="R005"/>
    <d v="2025-11-10T00:00:00"/>
    <d v="2026-01-13T00:00:00"/>
    <m/>
    <x v="2"/>
    <n v="2"/>
    <n v="20"/>
    <n v="576000"/>
    <n v="80"/>
    <s v=""/>
    <s v="South"/>
    <x v="2"/>
    <s v="Security"/>
    <x v="11"/>
    <x v="2"/>
  </r>
  <r>
    <s v="O01035"/>
    <s v="C0458"/>
    <s v="P004"/>
    <s v="R002"/>
    <d v="2025-04-20T00:00:00"/>
    <d v="2025-06-18T00:00:00"/>
    <m/>
    <x v="2"/>
    <n v="1"/>
    <n v="20"/>
    <n v="240000"/>
    <n v="60"/>
    <s v=""/>
    <s v="South"/>
    <x v="5"/>
    <s v="Analytics"/>
    <x v="17"/>
    <x v="2"/>
  </r>
  <r>
    <s v="O01036"/>
    <s v="C0054"/>
    <s v="P002"/>
    <s v="R009"/>
    <d v="2025-10-10T00:00:00"/>
    <d v="2025-10-30T00:00:00"/>
    <d v="2025-10-30T00:00:00"/>
    <x v="1"/>
    <n v="1"/>
    <n v="0"/>
    <n v="420000"/>
    <n v="100"/>
    <s v=""/>
    <s v="North"/>
    <x v="0"/>
    <s v="CRM"/>
    <x v="4"/>
    <x v="0"/>
  </r>
  <r>
    <s v="O01037"/>
    <s v="C0375"/>
    <s v="P002"/>
    <s v="R008"/>
    <d v="2025-04-06T00:00:00"/>
    <d v="2025-06-28T00:00:00"/>
    <d v="2025-06-28T00:00:00"/>
    <x v="0"/>
    <n v="1"/>
    <n v="20"/>
    <n v="336000"/>
    <n v="0"/>
    <s v="Budget"/>
    <s v="North"/>
    <x v="0"/>
    <s v="CRM"/>
    <x v="0"/>
    <x v="0"/>
  </r>
  <r>
    <s v="O01038"/>
    <s v="C0023"/>
    <s v="P004"/>
    <s v="R013"/>
    <d v="2025-10-25T00:00:00"/>
    <d v="2026-01-08T00:00:00"/>
    <m/>
    <x v="2"/>
    <n v="3"/>
    <n v="0"/>
    <n v="900000"/>
    <n v="60"/>
    <s v=""/>
    <s v="West"/>
    <x v="5"/>
    <s v="Analytics"/>
    <x v="5"/>
    <x v="1"/>
  </r>
  <r>
    <s v="O01039"/>
    <s v="C0471"/>
    <s v="P005"/>
    <s v="R001"/>
    <d v="2025-06-30T00:00:00"/>
    <d v="2025-08-29T00:00:00"/>
    <m/>
    <x v="2"/>
    <n v="3"/>
    <n v="20"/>
    <n v="432000"/>
    <n v="40"/>
    <s v=""/>
    <s v="South"/>
    <x v="3"/>
    <s v="Service"/>
    <x v="6"/>
    <x v="2"/>
  </r>
  <r>
    <s v="O01040"/>
    <s v="C0357"/>
    <s v="P004"/>
    <s v="R020"/>
    <d v="2025-07-16T00:00:00"/>
    <d v="2025-10-09T00:00:00"/>
    <m/>
    <x v="2"/>
    <n v="1"/>
    <n v="20"/>
    <n v="240000"/>
    <n v="20"/>
    <s v=""/>
    <s v="East"/>
    <x v="5"/>
    <s v="Analytics"/>
    <x v="9"/>
    <x v="3"/>
  </r>
  <r>
    <s v="O01041"/>
    <s v="C0176"/>
    <s v="P003"/>
    <s v="R007"/>
    <d v="2025-11-05T00:00:00"/>
    <d v="2026-01-06T00:00:00"/>
    <m/>
    <x v="2"/>
    <n v="1"/>
    <n v="15"/>
    <n v="204000"/>
    <n v="60"/>
    <s v=""/>
    <s v="North"/>
    <x v="1"/>
    <s v="Automation"/>
    <x v="13"/>
    <x v="0"/>
  </r>
  <r>
    <s v="O01042"/>
    <s v="C0211"/>
    <s v="P004"/>
    <s v="R020"/>
    <d v="2025-06-05T00:00:00"/>
    <d v="2025-08-07T00:00:00"/>
    <d v="2025-08-07T00:00:00"/>
    <x v="1"/>
    <n v="3"/>
    <n v="20"/>
    <n v="720000"/>
    <n v="100"/>
    <s v=""/>
    <s v="East"/>
    <x v="5"/>
    <s v="Analytics"/>
    <x v="9"/>
    <x v="3"/>
  </r>
  <r>
    <s v="O01043"/>
    <s v="C0039"/>
    <s v="P005"/>
    <s v="R002"/>
    <d v="2025-11-08T00:00:00"/>
    <d v="2025-12-23T00:00:00"/>
    <m/>
    <x v="2"/>
    <n v="1"/>
    <n v="15"/>
    <n v="153000"/>
    <n v="80"/>
    <s v=""/>
    <s v="South"/>
    <x v="3"/>
    <s v="Service"/>
    <x v="17"/>
    <x v="2"/>
  </r>
  <r>
    <s v="O01044"/>
    <s v="C0414"/>
    <s v="P005"/>
    <s v="R016"/>
    <d v="2025-07-14T00:00:00"/>
    <d v="2025-10-03T00:00:00"/>
    <d v="2025-10-03T00:00:00"/>
    <x v="1"/>
    <n v="3"/>
    <n v="0"/>
    <n v="540000"/>
    <n v="100"/>
    <s v=""/>
    <s v="East"/>
    <x v="3"/>
    <s v="Service"/>
    <x v="8"/>
    <x v="3"/>
  </r>
  <r>
    <s v="O01045"/>
    <s v="C0205"/>
    <s v="P002"/>
    <s v="R009"/>
    <d v="2025-01-21T00:00:00"/>
    <d v="2025-03-06T00:00:00"/>
    <d v="2025-03-06T00:00:00"/>
    <x v="0"/>
    <n v="3"/>
    <n v="20"/>
    <n v="1008000"/>
    <n v="0"/>
    <s v="Price"/>
    <s v="North"/>
    <x v="0"/>
    <s v="CRM"/>
    <x v="4"/>
    <x v="0"/>
  </r>
  <r>
    <s v="O01046"/>
    <s v="C0450"/>
    <s v="P005"/>
    <s v="R015"/>
    <d v="2025-10-12T00:00:00"/>
    <d v="2025-10-24T00:00:00"/>
    <d v="2025-10-24T00:00:00"/>
    <x v="1"/>
    <n v="1"/>
    <n v="15"/>
    <n v="153000"/>
    <n v="100"/>
    <s v=""/>
    <s v="West"/>
    <x v="3"/>
    <s v="Service"/>
    <x v="7"/>
    <x v="1"/>
  </r>
  <r>
    <s v="O01047"/>
    <s v="C0213"/>
    <s v="P002"/>
    <s v="R001"/>
    <d v="2025-03-18T00:00:00"/>
    <d v="2025-05-21T00:00:00"/>
    <m/>
    <x v="2"/>
    <n v="1"/>
    <n v="0"/>
    <n v="420000"/>
    <n v="20"/>
    <s v=""/>
    <s v="South"/>
    <x v="0"/>
    <s v="CRM"/>
    <x v="6"/>
    <x v="2"/>
  </r>
  <r>
    <s v="O01048"/>
    <s v="C0207"/>
    <s v="P001"/>
    <s v="R010"/>
    <d v="2025-11-02T00:00:00"/>
    <d v="2025-12-05T00:00:00"/>
    <d v="2025-12-05T00:00:00"/>
    <x v="0"/>
    <n v="1"/>
    <n v="10"/>
    <n v="108000"/>
    <n v="0"/>
    <s v="Budget"/>
    <s v="North"/>
    <x v="4"/>
    <s v="CRM"/>
    <x v="16"/>
    <x v="0"/>
  </r>
  <r>
    <s v="O01049"/>
    <s v="C0433"/>
    <s v="P003"/>
    <s v="R019"/>
    <d v="2025-08-18T00:00:00"/>
    <d v="2025-10-28T00:00:00"/>
    <d v="2025-10-28T00:00:00"/>
    <x v="0"/>
    <n v="2"/>
    <n v="0"/>
    <n v="480000"/>
    <n v="0"/>
    <s v="Feature gap"/>
    <s v="East"/>
    <x v="1"/>
    <s v="Automation"/>
    <x v="10"/>
    <x v="3"/>
  </r>
  <r>
    <s v="O01050"/>
    <s v="C0487"/>
    <s v="P003"/>
    <s v="R012"/>
    <d v="2025-11-04T00:00:00"/>
    <d v="2025-11-16T00:00:00"/>
    <d v="2025-11-16T00:00:00"/>
    <x v="0"/>
    <n v="2"/>
    <n v="15"/>
    <n v="408000"/>
    <n v="0"/>
    <s v="Budget"/>
    <s v="West"/>
    <x v="1"/>
    <s v="Automation"/>
    <x v="14"/>
    <x v="1"/>
  </r>
  <r>
    <s v="O01051"/>
    <s v="C0447"/>
    <s v="P004"/>
    <s v="R017"/>
    <d v="2025-06-11T00:00:00"/>
    <d v="2025-07-10T00:00:00"/>
    <m/>
    <x v="2"/>
    <n v="1"/>
    <n v="5"/>
    <n v="285000"/>
    <n v="20"/>
    <s v=""/>
    <s v="East"/>
    <x v="5"/>
    <s v="Analytics"/>
    <x v="19"/>
    <x v="3"/>
  </r>
  <r>
    <s v="O01052"/>
    <s v="C0407"/>
    <s v="P001"/>
    <s v="R018"/>
    <d v="2025-09-13T00:00:00"/>
    <d v="2025-11-08T00:00:00"/>
    <d v="2025-11-08T00:00:00"/>
    <x v="1"/>
    <n v="1"/>
    <n v="20"/>
    <n v="96000"/>
    <n v="100"/>
    <s v=""/>
    <s v="East"/>
    <x v="4"/>
    <s v="CRM"/>
    <x v="18"/>
    <x v="3"/>
  </r>
  <r>
    <s v="O01053"/>
    <s v="C0004"/>
    <s v="P004"/>
    <s v="R001"/>
    <d v="2025-03-12T00:00:00"/>
    <d v="2025-05-02T00:00:00"/>
    <d v="2025-05-02T00:00:00"/>
    <x v="1"/>
    <n v="1"/>
    <n v="0"/>
    <n v="300000"/>
    <n v="100"/>
    <s v=""/>
    <s v="South"/>
    <x v="5"/>
    <s v="Analytics"/>
    <x v="6"/>
    <x v="2"/>
  </r>
  <r>
    <s v="O01054"/>
    <s v="C0477"/>
    <s v="P001"/>
    <s v="R009"/>
    <d v="2025-05-02T00:00:00"/>
    <d v="2025-05-27T00:00:00"/>
    <m/>
    <x v="2"/>
    <n v="2"/>
    <n v="15"/>
    <n v="204000"/>
    <n v="40"/>
    <s v=""/>
    <s v="North"/>
    <x v="4"/>
    <s v="CRM"/>
    <x v="4"/>
    <x v="0"/>
  </r>
  <r>
    <s v="O01055"/>
    <s v="C0167"/>
    <s v="P002"/>
    <s v="R012"/>
    <d v="2025-10-27T00:00:00"/>
    <d v="2025-11-24T00:00:00"/>
    <d v="2025-11-24T00:00:00"/>
    <x v="0"/>
    <n v="1"/>
    <n v="5"/>
    <n v="399000"/>
    <n v="0"/>
    <s v="Price"/>
    <s v="West"/>
    <x v="0"/>
    <s v="CRM"/>
    <x v="14"/>
    <x v="1"/>
  </r>
  <r>
    <s v="O01056"/>
    <s v="C0158"/>
    <s v="P005"/>
    <s v="R001"/>
    <d v="2025-05-13T00:00:00"/>
    <d v="2025-06-28T00:00:00"/>
    <d v="2025-06-28T00:00:00"/>
    <x v="0"/>
    <n v="1"/>
    <n v="15"/>
    <n v="153000"/>
    <n v="0"/>
    <s v="Budget"/>
    <s v="South"/>
    <x v="3"/>
    <s v="Service"/>
    <x v="6"/>
    <x v="2"/>
  </r>
  <r>
    <s v="O01057"/>
    <s v="C0427"/>
    <s v="P004"/>
    <s v="R006"/>
    <d v="2025-07-02T00:00:00"/>
    <d v="2025-09-20T00:00:00"/>
    <d v="2025-09-20T00:00:00"/>
    <x v="0"/>
    <n v="2"/>
    <n v="5"/>
    <n v="570000"/>
    <n v="0"/>
    <s v="Budget"/>
    <s v="North"/>
    <x v="5"/>
    <s v="Analytics"/>
    <x v="2"/>
    <x v="0"/>
  </r>
  <r>
    <s v="O01058"/>
    <s v="C0064"/>
    <s v="P005"/>
    <s v="R017"/>
    <d v="2025-08-04T00:00:00"/>
    <d v="2025-08-19T00:00:00"/>
    <d v="2025-08-19T00:00:00"/>
    <x v="1"/>
    <n v="1"/>
    <n v="5"/>
    <n v="171000"/>
    <n v="100"/>
    <s v=""/>
    <s v="East"/>
    <x v="3"/>
    <s v="Service"/>
    <x v="19"/>
    <x v="3"/>
  </r>
  <r>
    <s v="O01059"/>
    <s v="C0095"/>
    <s v="P003"/>
    <s v="R006"/>
    <d v="2025-06-10T00:00:00"/>
    <d v="2025-08-12T00:00:00"/>
    <d v="2025-08-12T00:00:00"/>
    <x v="1"/>
    <n v="1"/>
    <n v="15"/>
    <n v="204000"/>
    <n v="100"/>
    <s v=""/>
    <s v="North"/>
    <x v="1"/>
    <s v="Automation"/>
    <x v="2"/>
    <x v="0"/>
  </r>
  <r>
    <s v="O01060"/>
    <s v="C0352"/>
    <s v="P004"/>
    <s v="R002"/>
    <d v="2025-05-30T00:00:00"/>
    <d v="2025-07-24T00:00:00"/>
    <d v="2025-07-24T00:00:00"/>
    <x v="1"/>
    <n v="2"/>
    <n v="0"/>
    <n v="600000"/>
    <n v="100"/>
    <s v=""/>
    <s v="South"/>
    <x v="5"/>
    <s v="Analytics"/>
    <x v="17"/>
    <x v="2"/>
  </r>
  <r>
    <s v="O01061"/>
    <s v="C0132"/>
    <s v="P004"/>
    <s v="R019"/>
    <d v="2025-05-15T00:00:00"/>
    <d v="2025-07-04T00:00:00"/>
    <m/>
    <x v="2"/>
    <n v="1"/>
    <n v="20"/>
    <n v="240000"/>
    <n v="20"/>
    <s v=""/>
    <s v="East"/>
    <x v="5"/>
    <s v="Analytics"/>
    <x v="10"/>
    <x v="3"/>
  </r>
  <r>
    <s v="O01062"/>
    <s v="C0246"/>
    <s v="P002"/>
    <s v="R005"/>
    <d v="2025-01-09T00:00:00"/>
    <d v="2025-02-14T00:00:00"/>
    <d v="2025-02-14T00:00:00"/>
    <x v="0"/>
    <n v="1"/>
    <n v="5"/>
    <n v="399000"/>
    <n v="0"/>
    <s v="Price"/>
    <s v="South"/>
    <x v="0"/>
    <s v="CRM"/>
    <x v="11"/>
    <x v="2"/>
  </r>
  <r>
    <s v="O01063"/>
    <s v="C0225"/>
    <s v="P002"/>
    <s v="R020"/>
    <d v="2025-07-09T00:00:00"/>
    <d v="2025-09-16T00:00:00"/>
    <m/>
    <x v="2"/>
    <n v="1"/>
    <n v="20"/>
    <n v="336000"/>
    <n v="60"/>
    <s v=""/>
    <s v="East"/>
    <x v="0"/>
    <s v="CRM"/>
    <x v="9"/>
    <x v="3"/>
  </r>
  <r>
    <s v="O01064"/>
    <s v="C0299"/>
    <s v="P004"/>
    <s v="R010"/>
    <d v="2025-11-08T00:00:00"/>
    <d v="2025-11-24T00:00:00"/>
    <d v="2025-11-24T00:00:00"/>
    <x v="0"/>
    <n v="1"/>
    <n v="10"/>
    <n v="270000"/>
    <n v="0"/>
    <s v="Feature gap"/>
    <s v="North"/>
    <x v="5"/>
    <s v="Analytics"/>
    <x v="16"/>
    <x v="0"/>
  </r>
  <r>
    <s v="O01065"/>
    <s v="C0268"/>
    <s v="P004"/>
    <s v="R015"/>
    <d v="2025-02-23T00:00:00"/>
    <d v="2025-03-29T00:00:00"/>
    <d v="2025-03-29T00:00:00"/>
    <x v="1"/>
    <n v="1"/>
    <n v="5"/>
    <n v="285000"/>
    <n v="100"/>
    <s v=""/>
    <s v="West"/>
    <x v="5"/>
    <s v="Analytics"/>
    <x v="7"/>
    <x v="1"/>
  </r>
  <r>
    <s v="O01066"/>
    <s v="C0470"/>
    <s v="P006"/>
    <s v="R010"/>
    <d v="2025-11-19T00:00:00"/>
    <d v="2025-12-09T00:00:00"/>
    <m/>
    <x v="2"/>
    <n v="2"/>
    <n v="15"/>
    <n v="612000"/>
    <n v="20"/>
    <s v=""/>
    <s v="North"/>
    <x v="2"/>
    <s v="Security"/>
    <x v="16"/>
    <x v="0"/>
  </r>
  <r>
    <s v="O01067"/>
    <s v="C0259"/>
    <s v="P005"/>
    <s v="R006"/>
    <d v="2025-08-26T00:00:00"/>
    <d v="2025-09-03T00:00:00"/>
    <m/>
    <x v="2"/>
    <n v="1"/>
    <n v="5"/>
    <n v="171000"/>
    <n v="40"/>
    <s v=""/>
    <s v="North"/>
    <x v="3"/>
    <s v="Service"/>
    <x v="2"/>
    <x v="0"/>
  </r>
  <r>
    <s v="O01068"/>
    <s v="C0444"/>
    <s v="P003"/>
    <s v="R018"/>
    <d v="2025-03-04T00:00:00"/>
    <d v="2025-05-04T00:00:00"/>
    <d v="2025-05-04T00:00:00"/>
    <x v="1"/>
    <n v="1"/>
    <n v="20"/>
    <n v="192000"/>
    <n v="100"/>
    <s v=""/>
    <s v="East"/>
    <x v="1"/>
    <s v="Automation"/>
    <x v="18"/>
    <x v="3"/>
  </r>
  <r>
    <s v="O01069"/>
    <s v="C0154"/>
    <s v="P002"/>
    <s v="R004"/>
    <d v="2025-04-16T00:00:00"/>
    <d v="2025-06-05T00:00:00"/>
    <d v="2025-06-05T00:00:00"/>
    <x v="0"/>
    <n v="3"/>
    <n v="15"/>
    <n v="1071000"/>
    <n v="0"/>
    <s v="No decision"/>
    <s v="South"/>
    <x v="0"/>
    <s v="CRM"/>
    <x v="3"/>
    <x v="2"/>
  </r>
  <r>
    <s v="O01070"/>
    <s v="C0031"/>
    <s v="P006"/>
    <s v="R016"/>
    <d v="2025-11-17T00:00:00"/>
    <d v="2026-01-04T00:00:00"/>
    <m/>
    <x v="2"/>
    <n v="2"/>
    <n v="0"/>
    <n v="720000"/>
    <n v="60"/>
    <s v=""/>
    <s v="East"/>
    <x v="2"/>
    <s v="Security"/>
    <x v="8"/>
    <x v="3"/>
  </r>
  <r>
    <s v="O01071"/>
    <s v="C0183"/>
    <s v="P003"/>
    <s v="R006"/>
    <d v="2025-02-21T00:00:00"/>
    <d v="2025-03-31T00:00:00"/>
    <d v="2025-03-31T00:00:00"/>
    <x v="0"/>
    <n v="2"/>
    <n v="20"/>
    <n v="384000"/>
    <n v="0"/>
    <s v="Competition"/>
    <s v="North"/>
    <x v="1"/>
    <s v="Automation"/>
    <x v="2"/>
    <x v="0"/>
  </r>
  <r>
    <s v="O01072"/>
    <s v="C0393"/>
    <s v="P006"/>
    <s v="R004"/>
    <d v="2025-07-29T00:00:00"/>
    <d v="2025-09-05T00:00:00"/>
    <d v="2025-09-05T00:00:00"/>
    <x v="1"/>
    <n v="1"/>
    <n v="5"/>
    <n v="342000"/>
    <n v="100"/>
    <s v=""/>
    <s v="South"/>
    <x v="2"/>
    <s v="Security"/>
    <x v="3"/>
    <x v="2"/>
  </r>
  <r>
    <s v="O01073"/>
    <s v="C0447"/>
    <s v="P006"/>
    <s v="R018"/>
    <d v="2025-07-29T00:00:00"/>
    <d v="2025-08-10T00:00:00"/>
    <m/>
    <x v="2"/>
    <n v="1"/>
    <n v="0"/>
    <n v="360000"/>
    <n v="20"/>
    <s v=""/>
    <s v="East"/>
    <x v="2"/>
    <s v="Security"/>
    <x v="18"/>
    <x v="3"/>
  </r>
  <r>
    <s v="O01074"/>
    <s v="C0074"/>
    <s v="P004"/>
    <s v="R004"/>
    <d v="2025-04-17T00:00:00"/>
    <d v="2025-06-28T00:00:00"/>
    <d v="2025-06-28T00:00:00"/>
    <x v="0"/>
    <n v="1"/>
    <n v="10"/>
    <n v="270000"/>
    <n v="0"/>
    <s v="Budget"/>
    <s v="South"/>
    <x v="5"/>
    <s v="Analytics"/>
    <x v="3"/>
    <x v="2"/>
  </r>
  <r>
    <s v="O01075"/>
    <s v="C0134"/>
    <s v="P006"/>
    <s v="R015"/>
    <d v="2025-11-17T00:00:00"/>
    <d v="2025-11-24T00:00:00"/>
    <m/>
    <x v="2"/>
    <n v="3"/>
    <n v="5"/>
    <n v="1026000"/>
    <n v="40"/>
    <s v=""/>
    <s v="West"/>
    <x v="2"/>
    <s v="Security"/>
    <x v="7"/>
    <x v="1"/>
  </r>
  <r>
    <s v="O01076"/>
    <s v="C0064"/>
    <s v="P004"/>
    <s v="R018"/>
    <d v="2025-04-11T00:00:00"/>
    <d v="2025-06-11T00:00:00"/>
    <d v="2025-06-11T00:00:00"/>
    <x v="1"/>
    <n v="3"/>
    <n v="20"/>
    <n v="720000"/>
    <n v="100"/>
    <s v=""/>
    <s v="East"/>
    <x v="5"/>
    <s v="Analytics"/>
    <x v="18"/>
    <x v="3"/>
  </r>
  <r>
    <s v="O01077"/>
    <s v="C0157"/>
    <s v="P002"/>
    <s v="R010"/>
    <d v="2025-09-15T00:00:00"/>
    <d v="2025-09-30T00:00:00"/>
    <m/>
    <x v="2"/>
    <n v="3"/>
    <n v="15"/>
    <n v="1071000"/>
    <n v="40"/>
    <s v=""/>
    <s v="North"/>
    <x v="0"/>
    <s v="CRM"/>
    <x v="16"/>
    <x v="0"/>
  </r>
  <r>
    <s v="O01078"/>
    <s v="C0005"/>
    <s v="P005"/>
    <s v="R001"/>
    <d v="2025-11-15T00:00:00"/>
    <d v="2026-01-05T00:00:00"/>
    <m/>
    <x v="2"/>
    <n v="1"/>
    <n v="20"/>
    <n v="144000"/>
    <n v="80"/>
    <s v=""/>
    <s v="South"/>
    <x v="3"/>
    <s v="Service"/>
    <x v="6"/>
    <x v="2"/>
  </r>
  <r>
    <s v="O01079"/>
    <s v="C0136"/>
    <s v="P002"/>
    <s v="R006"/>
    <d v="2025-05-15T00:00:00"/>
    <d v="2025-06-12T00:00:00"/>
    <d v="2025-06-12T00:00:00"/>
    <x v="1"/>
    <n v="1"/>
    <n v="0"/>
    <n v="420000"/>
    <n v="100"/>
    <s v=""/>
    <s v="North"/>
    <x v="0"/>
    <s v="CRM"/>
    <x v="2"/>
    <x v="0"/>
  </r>
  <r>
    <s v="O01080"/>
    <s v="C0303"/>
    <s v="P006"/>
    <s v="R008"/>
    <d v="2025-02-21T00:00:00"/>
    <d v="2025-03-20T00:00:00"/>
    <d v="2025-03-20T00:00:00"/>
    <x v="0"/>
    <n v="1"/>
    <n v="10"/>
    <n v="324000"/>
    <n v="0"/>
    <s v="Feature gap"/>
    <s v="North"/>
    <x v="2"/>
    <s v="Security"/>
    <x v="0"/>
    <x v="0"/>
  </r>
  <r>
    <s v="O01081"/>
    <s v="C0051"/>
    <s v="P006"/>
    <s v="R012"/>
    <d v="2025-03-15T00:00:00"/>
    <d v="2025-05-30T00:00:00"/>
    <m/>
    <x v="2"/>
    <n v="2"/>
    <n v="0"/>
    <n v="720000"/>
    <n v="80"/>
    <s v=""/>
    <s v="West"/>
    <x v="2"/>
    <s v="Security"/>
    <x v="14"/>
    <x v="1"/>
  </r>
  <r>
    <s v="O01082"/>
    <s v="C0254"/>
    <s v="P003"/>
    <s v="R002"/>
    <d v="2025-04-05T00:00:00"/>
    <d v="2025-05-15T00:00:00"/>
    <d v="2025-05-15T00:00:00"/>
    <x v="1"/>
    <n v="1"/>
    <n v="5"/>
    <n v="228000"/>
    <n v="100"/>
    <s v=""/>
    <s v="South"/>
    <x v="1"/>
    <s v="Automation"/>
    <x v="17"/>
    <x v="2"/>
  </r>
  <r>
    <s v="O01083"/>
    <s v="C0157"/>
    <s v="P004"/>
    <s v="R010"/>
    <d v="2025-08-09T00:00:00"/>
    <d v="2025-10-03T00:00:00"/>
    <d v="2025-10-03T00:00:00"/>
    <x v="1"/>
    <n v="1"/>
    <n v="0"/>
    <n v="300000"/>
    <n v="100"/>
    <s v=""/>
    <s v="North"/>
    <x v="5"/>
    <s v="Analytics"/>
    <x v="16"/>
    <x v="0"/>
  </r>
  <r>
    <s v="O01084"/>
    <s v="C0479"/>
    <s v="P002"/>
    <s v="R001"/>
    <d v="2025-01-17T00:00:00"/>
    <d v="2025-02-23T00:00:00"/>
    <d v="2025-02-23T00:00:00"/>
    <x v="0"/>
    <n v="2"/>
    <n v="15"/>
    <n v="714000"/>
    <n v="0"/>
    <s v="Price"/>
    <s v="South"/>
    <x v="0"/>
    <s v="CRM"/>
    <x v="6"/>
    <x v="2"/>
  </r>
  <r>
    <s v="O01085"/>
    <s v="C0050"/>
    <s v="P004"/>
    <s v="R002"/>
    <d v="2025-03-11T00:00:00"/>
    <d v="2025-05-29T00:00:00"/>
    <d v="2025-05-29T00:00:00"/>
    <x v="1"/>
    <n v="1"/>
    <n v="0"/>
    <n v="300000"/>
    <n v="100"/>
    <s v=""/>
    <s v="South"/>
    <x v="5"/>
    <s v="Analytics"/>
    <x v="17"/>
    <x v="2"/>
  </r>
  <r>
    <s v="O01086"/>
    <s v="C0048"/>
    <s v="P001"/>
    <s v="R002"/>
    <d v="2025-10-04T00:00:00"/>
    <d v="2025-12-22T00:00:00"/>
    <m/>
    <x v="2"/>
    <n v="1"/>
    <n v="20"/>
    <n v="96000"/>
    <n v="80"/>
    <s v=""/>
    <s v="South"/>
    <x v="4"/>
    <s v="CRM"/>
    <x v="17"/>
    <x v="2"/>
  </r>
  <r>
    <s v="O01087"/>
    <s v="C0412"/>
    <s v="P003"/>
    <s v="R013"/>
    <d v="2025-12-30T00:00:00"/>
    <d v="2026-02-27T00:00:00"/>
    <m/>
    <x v="2"/>
    <n v="1"/>
    <n v="15"/>
    <n v="204000"/>
    <n v="20"/>
    <s v=""/>
    <s v="West"/>
    <x v="1"/>
    <s v="Automation"/>
    <x v="5"/>
    <x v="1"/>
  </r>
  <r>
    <s v="O01088"/>
    <s v="C0075"/>
    <s v="P002"/>
    <s v="R013"/>
    <d v="2025-05-31T00:00:00"/>
    <d v="2025-06-23T00:00:00"/>
    <m/>
    <x v="2"/>
    <n v="1"/>
    <n v="10"/>
    <n v="378000"/>
    <n v="40"/>
    <s v=""/>
    <s v="West"/>
    <x v="0"/>
    <s v="CRM"/>
    <x v="5"/>
    <x v="1"/>
  </r>
  <r>
    <s v="O01089"/>
    <s v="C0110"/>
    <s v="P005"/>
    <s v="R003"/>
    <d v="2025-02-12T00:00:00"/>
    <d v="2025-02-21T00:00:00"/>
    <d v="2025-02-21T00:00:00"/>
    <x v="1"/>
    <n v="3"/>
    <n v="10"/>
    <n v="486000"/>
    <n v="100"/>
    <s v=""/>
    <s v="South"/>
    <x v="3"/>
    <s v="Service"/>
    <x v="15"/>
    <x v="2"/>
  </r>
  <r>
    <s v="O01090"/>
    <s v="C0210"/>
    <s v="P001"/>
    <s v="R014"/>
    <d v="2025-11-05T00:00:00"/>
    <d v="2026-01-22T00:00:00"/>
    <m/>
    <x v="2"/>
    <n v="1"/>
    <n v="5"/>
    <n v="114000"/>
    <n v="60"/>
    <s v=""/>
    <s v="West"/>
    <x v="4"/>
    <s v="CRM"/>
    <x v="1"/>
    <x v="1"/>
  </r>
  <r>
    <s v="O01091"/>
    <s v="C0342"/>
    <s v="P001"/>
    <s v="R018"/>
    <d v="2025-10-02T00:00:00"/>
    <d v="2025-10-20T00:00:00"/>
    <d v="2025-10-20T00:00:00"/>
    <x v="0"/>
    <n v="1"/>
    <n v="15"/>
    <n v="102000"/>
    <n v="0"/>
    <s v="Budget"/>
    <s v="East"/>
    <x v="4"/>
    <s v="CRM"/>
    <x v="18"/>
    <x v="3"/>
  </r>
  <r>
    <s v="O01092"/>
    <s v="C0138"/>
    <s v="P003"/>
    <s v="R009"/>
    <d v="2025-05-13T00:00:00"/>
    <d v="2025-06-18T00:00:00"/>
    <d v="2025-06-18T00:00:00"/>
    <x v="1"/>
    <n v="2"/>
    <n v="20"/>
    <n v="384000"/>
    <n v="100"/>
    <s v=""/>
    <s v="North"/>
    <x v="1"/>
    <s v="Automation"/>
    <x v="4"/>
    <x v="0"/>
  </r>
  <r>
    <s v="O01093"/>
    <s v="C0067"/>
    <s v="P001"/>
    <s v="R019"/>
    <d v="2025-06-03T00:00:00"/>
    <d v="2025-07-31T00:00:00"/>
    <d v="2025-07-31T00:00:00"/>
    <x v="1"/>
    <n v="3"/>
    <n v="20"/>
    <n v="288000"/>
    <n v="100"/>
    <s v=""/>
    <s v="East"/>
    <x v="4"/>
    <s v="CRM"/>
    <x v="10"/>
    <x v="3"/>
  </r>
  <r>
    <s v="O01094"/>
    <s v="C0081"/>
    <s v="P001"/>
    <s v="R007"/>
    <d v="2025-10-21T00:00:00"/>
    <d v="2025-12-19T00:00:00"/>
    <m/>
    <x v="2"/>
    <n v="1"/>
    <n v="10"/>
    <n v="108000"/>
    <n v="80"/>
    <s v=""/>
    <s v="North"/>
    <x v="4"/>
    <s v="CRM"/>
    <x v="13"/>
    <x v="0"/>
  </r>
  <r>
    <s v="O01095"/>
    <s v="C0481"/>
    <s v="P006"/>
    <s v="R017"/>
    <d v="2025-01-08T00:00:00"/>
    <d v="2025-02-26T00:00:00"/>
    <d v="2025-02-26T00:00:00"/>
    <x v="0"/>
    <n v="1"/>
    <n v="5"/>
    <n v="342000"/>
    <n v="0"/>
    <s v="Price"/>
    <s v="East"/>
    <x v="2"/>
    <s v="Security"/>
    <x v="19"/>
    <x v="3"/>
  </r>
  <r>
    <s v="O01096"/>
    <s v="C0407"/>
    <s v="P003"/>
    <s v="R019"/>
    <d v="2025-08-21T00:00:00"/>
    <d v="2025-09-11T00:00:00"/>
    <d v="2025-09-11T00:00:00"/>
    <x v="1"/>
    <n v="3"/>
    <n v="0"/>
    <n v="720000"/>
    <n v="100"/>
    <s v=""/>
    <s v="East"/>
    <x v="1"/>
    <s v="Automation"/>
    <x v="10"/>
    <x v="3"/>
  </r>
  <r>
    <s v="O01097"/>
    <s v="C0297"/>
    <s v="P001"/>
    <s v="R004"/>
    <d v="2025-10-18T00:00:00"/>
    <d v="2025-11-13T00:00:00"/>
    <m/>
    <x v="2"/>
    <n v="1"/>
    <n v="5"/>
    <n v="114000"/>
    <n v="80"/>
    <s v=""/>
    <s v="South"/>
    <x v="4"/>
    <s v="CRM"/>
    <x v="3"/>
    <x v="2"/>
  </r>
  <r>
    <s v="O01098"/>
    <s v="C0199"/>
    <s v="P001"/>
    <s v="R005"/>
    <d v="2025-06-22T00:00:00"/>
    <d v="2025-07-09T00:00:00"/>
    <d v="2025-07-09T00:00:00"/>
    <x v="1"/>
    <n v="3"/>
    <n v="15"/>
    <n v="306000"/>
    <n v="100"/>
    <s v=""/>
    <s v="South"/>
    <x v="4"/>
    <s v="CRM"/>
    <x v="11"/>
    <x v="2"/>
  </r>
  <r>
    <s v="O01099"/>
    <s v="C0061"/>
    <s v="P001"/>
    <s v="R017"/>
    <d v="2025-08-17T00:00:00"/>
    <d v="2025-09-05T00:00:00"/>
    <d v="2025-09-05T00:00:00"/>
    <x v="1"/>
    <n v="3"/>
    <n v="0"/>
    <n v="360000"/>
    <n v="100"/>
    <s v=""/>
    <s v="East"/>
    <x v="4"/>
    <s v="CRM"/>
    <x v="19"/>
    <x v="3"/>
  </r>
  <r>
    <s v="O01100"/>
    <s v="C0257"/>
    <s v="P002"/>
    <s v="R015"/>
    <d v="2025-06-08T00:00:00"/>
    <d v="2025-06-17T00:00:00"/>
    <d v="2025-06-17T00:00:00"/>
    <x v="1"/>
    <n v="1"/>
    <n v="10"/>
    <n v="378000"/>
    <n v="100"/>
    <s v=""/>
    <s v="West"/>
    <x v="0"/>
    <s v="CRM"/>
    <x v="7"/>
    <x v="1"/>
  </r>
  <r>
    <s v="O01101"/>
    <s v="C0211"/>
    <s v="P001"/>
    <s v="R019"/>
    <d v="2025-06-14T00:00:00"/>
    <d v="2025-09-02T00:00:00"/>
    <d v="2025-09-02T00:00:00"/>
    <x v="0"/>
    <n v="3"/>
    <n v="20"/>
    <n v="288000"/>
    <n v="0"/>
    <s v="Budget"/>
    <s v="East"/>
    <x v="4"/>
    <s v="CRM"/>
    <x v="10"/>
    <x v="3"/>
  </r>
  <r>
    <s v="O01102"/>
    <s v="C0362"/>
    <s v="P005"/>
    <s v="R006"/>
    <d v="2025-12-19T00:00:00"/>
    <d v="2026-01-12T00:00:00"/>
    <m/>
    <x v="2"/>
    <n v="1"/>
    <n v="20"/>
    <n v="144000"/>
    <n v="80"/>
    <s v=""/>
    <s v="North"/>
    <x v="3"/>
    <s v="Service"/>
    <x v="2"/>
    <x v="0"/>
  </r>
  <r>
    <s v="O01103"/>
    <s v="C0167"/>
    <s v="P002"/>
    <s v="R014"/>
    <d v="2025-04-27T00:00:00"/>
    <d v="2025-06-18T00:00:00"/>
    <m/>
    <x v="2"/>
    <n v="1"/>
    <n v="15"/>
    <n v="357000"/>
    <n v="60"/>
    <s v=""/>
    <s v="West"/>
    <x v="0"/>
    <s v="CRM"/>
    <x v="1"/>
    <x v="1"/>
  </r>
  <r>
    <s v="O01104"/>
    <s v="C0049"/>
    <s v="P005"/>
    <s v="R007"/>
    <d v="2025-10-10T00:00:00"/>
    <d v="2025-10-30T00:00:00"/>
    <d v="2025-10-30T00:00:00"/>
    <x v="0"/>
    <n v="3"/>
    <n v="0"/>
    <n v="540000"/>
    <n v="0"/>
    <s v="Price"/>
    <s v="North"/>
    <x v="3"/>
    <s v="Service"/>
    <x v="13"/>
    <x v="0"/>
  </r>
  <r>
    <s v="O01105"/>
    <s v="C0032"/>
    <s v="P004"/>
    <s v="R005"/>
    <d v="2025-03-30T00:00:00"/>
    <d v="2025-05-09T00:00:00"/>
    <d v="2025-05-09T00:00:00"/>
    <x v="1"/>
    <n v="2"/>
    <n v="15"/>
    <n v="510000"/>
    <n v="100"/>
    <s v=""/>
    <s v="South"/>
    <x v="5"/>
    <s v="Analytics"/>
    <x v="11"/>
    <x v="2"/>
  </r>
  <r>
    <s v="O01106"/>
    <s v="C0235"/>
    <s v="P001"/>
    <s v="R001"/>
    <d v="2025-02-15T00:00:00"/>
    <d v="2025-03-16T00:00:00"/>
    <d v="2025-03-16T00:00:00"/>
    <x v="0"/>
    <n v="1"/>
    <n v="5"/>
    <n v="114000"/>
    <n v="0"/>
    <s v="Price"/>
    <s v="South"/>
    <x v="4"/>
    <s v="CRM"/>
    <x v="6"/>
    <x v="2"/>
  </r>
  <r>
    <s v="O01107"/>
    <s v="C0385"/>
    <s v="P003"/>
    <s v="R007"/>
    <d v="2025-05-13T00:00:00"/>
    <d v="2025-05-25T00:00:00"/>
    <d v="2025-05-25T00:00:00"/>
    <x v="1"/>
    <n v="1"/>
    <n v="5"/>
    <n v="228000"/>
    <n v="100"/>
    <s v=""/>
    <s v="North"/>
    <x v="1"/>
    <s v="Automation"/>
    <x v="13"/>
    <x v="0"/>
  </r>
  <r>
    <s v="O01108"/>
    <s v="C0381"/>
    <s v="P006"/>
    <s v="R002"/>
    <d v="2025-06-08T00:00:00"/>
    <d v="2025-07-04T00:00:00"/>
    <d v="2025-07-04T00:00:00"/>
    <x v="0"/>
    <n v="1"/>
    <n v="5"/>
    <n v="342000"/>
    <n v="0"/>
    <s v="Feature gap"/>
    <s v="South"/>
    <x v="2"/>
    <s v="Security"/>
    <x v="17"/>
    <x v="2"/>
  </r>
  <r>
    <s v="O01109"/>
    <s v="C0232"/>
    <s v="P001"/>
    <s v="R015"/>
    <d v="2025-07-20T00:00:00"/>
    <d v="2025-09-14T00:00:00"/>
    <m/>
    <x v="2"/>
    <n v="1"/>
    <n v="15"/>
    <n v="102000"/>
    <n v="40"/>
    <s v=""/>
    <s v="West"/>
    <x v="4"/>
    <s v="CRM"/>
    <x v="7"/>
    <x v="1"/>
  </r>
  <r>
    <s v="O01110"/>
    <s v="C0262"/>
    <s v="P003"/>
    <s v="R015"/>
    <d v="2025-05-31T00:00:00"/>
    <d v="2025-06-17T00:00:00"/>
    <d v="2025-06-17T00:00:00"/>
    <x v="0"/>
    <n v="1"/>
    <n v="20"/>
    <n v="192000"/>
    <n v="0"/>
    <s v="Competition"/>
    <s v="West"/>
    <x v="1"/>
    <s v="Automation"/>
    <x v="7"/>
    <x v="1"/>
  </r>
  <r>
    <s v="O01111"/>
    <s v="C0121"/>
    <s v="P003"/>
    <s v="R008"/>
    <d v="2025-04-18T00:00:00"/>
    <d v="2025-06-03T00:00:00"/>
    <d v="2025-06-03T00:00:00"/>
    <x v="1"/>
    <n v="2"/>
    <n v="15"/>
    <n v="408000"/>
    <n v="100"/>
    <s v=""/>
    <s v="North"/>
    <x v="1"/>
    <s v="Automation"/>
    <x v="0"/>
    <x v="0"/>
  </r>
  <r>
    <s v="O01112"/>
    <s v="C0310"/>
    <s v="P006"/>
    <s v="R003"/>
    <d v="2025-03-25T00:00:00"/>
    <d v="2025-06-13T00:00:00"/>
    <d v="2025-06-13T00:00:00"/>
    <x v="0"/>
    <n v="1"/>
    <n v="0"/>
    <n v="360000"/>
    <n v="0"/>
    <s v="Budget"/>
    <s v="South"/>
    <x v="2"/>
    <s v="Security"/>
    <x v="15"/>
    <x v="2"/>
  </r>
  <r>
    <s v="O01113"/>
    <s v="C0128"/>
    <s v="P001"/>
    <s v="R004"/>
    <d v="2025-04-30T00:00:00"/>
    <d v="2025-06-19T00:00:00"/>
    <d v="2025-06-19T00:00:00"/>
    <x v="1"/>
    <n v="3"/>
    <n v="10"/>
    <n v="324000"/>
    <n v="100"/>
    <s v=""/>
    <s v="South"/>
    <x v="4"/>
    <s v="CRM"/>
    <x v="3"/>
    <x v="2"/>
  </r>
  <r>
    <s v="O01114"/>
    <s v="C0012"/>
    <s v="P004"/>
    <s v="R004"/>
    <d v="2025-05-13T00:00:00"/>
    <d v="2025-05-22T00:00:00"/>
    <m/>
    <x v="2"/>
    <n v="1"/>
    <n v="0"/>
    <n v="300000"/>
    <n v="20"/>
    <s v=""/>
    <s v="South"/>
    <x v="5"/>
    <s v="Analytics"/>
    <x v="3"/>
    <x v="2"/>
  </r>
  <r>
    <s v="O01115"/>
    <s v="C0337"/>
    <s v="P006"/>
    <s v="R003"/>
    <d v="2025-02-12T00:00:00"/>
    <d v="2025-03-14T00:00:00"/>
    <m/>
    <x v="2"/>
    <n v="1"/>
    <n v="0"/>
    <n v="360000"/>
    <n v="20"/>
    <s v=""/>
    <s v="South"/>
    <x v="2"/>
    <s v="Security"/>
    <x v="15"/>
    <x v="2"/>
  </r>
  <r>
    <s v="O01116"/>
    <s v="C0028"/>
    <s v="P001"/>
    <s v="R017"/>
    <d v="2025-03-25T00:00:00"/>
    <d v="2025-04-26T00:00:00"/>
    <d v="2025-04-26T00:00:00"/>
    <x v="1"/>
    <n v="1"/>
    <n v="20"/>
    <n v="96000"/>
    <n v="100"/>
    <s v=""/>
    <s v="East"/>
    <x v="4"/>
    <s v="CRM"/>
    <x v="19"/>
    <x v="3"/>
  </r>
  <r>
    <s v="O01117"/>
    <s v="C0153"/>
    <s v="P004"/>
    <s v="R001"/>
    <d v="2025-05-04T00:00:00"/>
    <d v="2025-07-13T00:00:00"/>
    <d v="2025-07-13T00:00:00"/>
    <x v="1"/>
    <n v="1"/>
    <n v="20"/>
    <n v="240000"/>
    <n v="100"/>
    <s v=""/>
    <s v="South"/>
    <x v="5"/>
    <s v="Analytics"/>
    <x v="6"/>
    <x v="2"/>
  </r>
  <r>
    <s v="O01118"/>
    <s v="C0169"/>
    <s v="P003"/>
    <s v="R011"/>
    <d v="2025-11-18T00:00:00"/>
    <d v="2025-12-21T00:00:00"/>
    <d v="2025-12-21T00:00:00"/>
    <x v="1"/>
    <n v="2"/>
    <n v="10"/>
    <n v="432000"/>
    <n v="100"/>
    <s v=""/>
    <s v="West"/>
    <x v="1"/>
    <s v="Automation"/>
    <x v="12"/>
    <x v="1"/>
  </r>
  <r>
    <s v="O01119"/>
    <s v="C0002"/>
    <s v="P004"/>
    <s v="R007"/>
    <d v="2025-08-28T00:00:00"/>
    <d v="2025-09-11T00:00:00"/>
    <d v="2025-09-11T00:00:00"/>
    <x v="0"/>
    <n v="1"/>
    <n v="15"/>
    <n v="255000"/>
    <n v="0"/>
    <s v="No decision"/>
    <s v="North"/>
    <x v="5"/>
    <s v="Analytics"/>
    <x v="13"/>
    <x v="0"/>
  </r>
  <r>
    <s v="O01120"/>
    <s v="C0399"/>
    <s v="P005"/>
    <s v="R019"/>
    <d v="2025-03-21T00:00:00"/>
    <d v="2025-04-22T00:00:00"/>
    <d v="2025-04-22T00:00:00"/>
    <x v="1"/>
    <n v="3"/>
    <n v="20"/>
    <n v="432000"/>
    <n v="100"/>
    <s v=""/>
    <s v="East"/>
    <x v="3"/>
    <s v="Service"/>
    <x v="10"/>
    <x v="3"/>
  </r>
  <r>
    <s v="O01121"/>
    <s v="C0461"/>
    <s v="P001"/>
    <s v="R007"/>
    <d v="2025-05-27T00:00:00"/>
    <d v="2025-08-12T00:00:00"/>
    <d v="2025-08-12T00:00:00"/>
    <x v="0"/>
    <n v="1"/>
    <n v="10"/>
    <n v="108000"/>
    <n v="0"/>
    <s v="Feature gap"/>
    <s v="North"/>
    <x v="4"/>
    <s v="CRM"/>
    <x v="13"/>
    <x v="0"/>
  </r>
  <r>
    <s v="O01122"/>
    <s v="C0409"/>
    <s v="P002"/>
    <s v="R002"/>
    <d v="2025-07-22T00:00:00"/>
    <d v="2025-08-18T00:00:00"/>
    <m/>
    <x v="2"/>
    <n v="1"/>
    <n v="15"/>
    <n v="357000"/>
    <n v="20"/>
    <s v=""/>
    <s v="South"/>
    <x v="0"/>
    <s v="CRM"/>
    <x v="17"/>
    <x v="2"/>
  </r>
  <r>
    <s v="O01123"/>
    <s v="C0224"/>
    <s v="P005"/>
    <s v="R016"/>
    <d v="2025-05-06T00:00:00"/>
    <d v="2025-06-28T00:00:00"/>
    <d v="2025-06-28T00:00:00"/>
    <x v="0"/>
    <n v="1"/>
    <n v="0"/>
    <n v="180000"/>
    <n v="0"/>
    <s v="Price"/>
    <s v="East"/>
    <x v="3"/>
    <s v="Service"/>
    <x v="8"/>
    <x v="3"/>
  </r>
  <r>
    <s v="O01124"/>
    <s v="C0038"/>
    <s v="P001"/>
    <s v="R004"/>
    <d v="2025-01-05T00:00:00"/>
    <d v="2025-02-27T00:00:00"/>
    <d v="2025-02-27T00:00:00"/>
    <x v="1"/>
    <n v="1"/>
    <n v="20"/>
    <n v="96000"/>
    <n v="100"/>
    <s v=""/>
    <s v="South"/>
    <x v="4"/>
    <s v="CRM"/>
    <x v="3"/>
    <x v="2"/>
  </r>
  <r>
    <s v="O01125"/>
    <s v="C0071"/>
    <s v="P003"/>
    <s v="R010"/>
    <d v="2025-05-30T00:00:00"/>
    <d v="2025-07-04T00:00:00"/>
    <d v="2025-07-04T00:00:00"/>
    <x v="0"/>
    <n v="1"/>
    <n v="0"/>
    <n v="240000"/>
    <n v="0"/>
    <s v="Price"/>
    <s v="North"/>
    <x v="1"/>
    <s v="Automation"/>
    <x v="16"/>
    <x v="0"/>
  </r>
  <r>
    <s v="O01126"/>
    <s v="C0358"/>
    <s v="P003"/>
    <s v="R019"/>
    <d v="2025-05-06T00:00:00"/>
    <d v="2025-07-30T00:00:00"/>
    <d v="2025-07-30T00:00:00"/>
    <x v="1"/>
    <n v="1"/>
    <n v="5"/>
    <n v="228000"/>
    <n v="100"/>
    <s v=""/>
    <s v="East"/>
    <x v="1"/>
    <s v="Automation"/>
    <x v="10"/>
    <x v="3"/>
  </r>
  <r>
    <s v="O01127"/>
    <s v="C0467"/>
    <s v="P004"/>
    <s v="R004"/>
    <d v="2025-05-13T00:00:00"/>
    <d v="2025-06-08T00:00:00"/>
    <m/>
    <x v="2"/>
    <n v="2"/>
    <n v="20"/>
    <n v="480000"/>
    <n v="80"/>
    <s v=""/>
    <s v="South"/>
    <x v="5"/>
    <s v="Analytics"/>
    <x v="3"/>
    <x v="2"/>
  </r>
  <r>
    <s v="O01128"/>
    <s v="C0382"/>
    <s v="P001"/>
    <s v="R012"/>
    <d v="2025-10-07T00:00:00"/>
    <d v="2025-12-10T00:00:00"/>
    <m/>
    <x v="2"/>
    <n v="2"/>
    <n v="10"/>
    <n v="216000"/>
    <n v="20"/>
    <s v=""/>
    <s v="West"/>
    <x v="4"/>
    <s v="CRM"/>
    <x v="14"/>
    <x v="1"/>
  </r>
  <r>
    <s v="O01129"/>
    <s v="C0080"/>
    <s v="P004"/>
    <s v="R011"/>
    <d v="2025-12-10T00:00:00"/>
    <d v="2026-02-14T00:00:00"/>
    <m/>
    <x v="2"/>
    <n v="1"/>
    <n v="5"/>
    <n v="285000"/>
    <n v="80"/>
    <s v=""/>
    <s v="West"/>
    <x v="5"/>
    <s v="Analytics"/>
    <x v="12"/>
    <x v="1"/>
  </r>
  <r>
    <s v="O01130"/>
    <s v="C0217"/>
    <s v="P004"/>
    <s v="R019"/>
    <d v="2025-03-14T00:00:00"/>
    <d v="2025-03-29T00:00:00"/>
    <d v="2025-03-29T00:00:00"/>
    <x v="1"/>
    <n v="2"/>
    <n v="0"/>
    <n v="600000"/>
    <n v="100"/>
    <s v=""/>
    <s v="East"/>
    <x v="5"/>
    <s v="Analytics"/>
    <x v="10"/>
    <x v="3"/>
  </r>
  <r>
    <s v="O01131"/>
    <s v="C0371"/>
    <s v="P001"/>
    <s v="R002"/>
    <d v="2025-02-20T00:00:00"/>
    <d v="2025-04-07T00:00:00"/>
    <d v="2025-04-07T00:00:00"/>
    <x v="0"/>
    <n v="1"/>
    <n v="20"/>
    <n v="96000"/>
    <n v="0"/>
    <s v="Competition"/>
    <s v="South"/>
    <x v="4"/>
    <s v="CRM"/>
    <x v="17"/>
    <x v="2"/>
  </r>
  <r>
    <s v="O01132"/>
    <s v="C0395"/>
    <s v="P004"/>
    <s v="R010"/>
    <d v="2025-07-26T00:00:00"/>
    <d v="2025-09-28T00:00:00"/>
    <m/>
    <x v="2"/>
    <n v="1"/>
    <n v="20"/>
    <n v="240000"/>
    <n v="60"/>
    <s v=""/>
    <s v="North"/>
    <x v="5"/>
    <s v="Analytics"/>
    <x v="16"/>
    <x v="0"/>
  </r>
  <r>
    <s v="O01133"/>
    <s v="C0229"/>
    <s v="P006"/>
    <s v="R004"/>
    <d v="2025-12-16T00:00:00"/>
    <d v="2026-02-22T00:00:00"/>
    <m/>
    <x v="2"/>
    <n v="1"/>
    <n v="5"/>
    <n v="342000"/>
    <n v="60"/>
    <s v=""/>
    <s v="South"/>
    <x v="2"/>
    <s v="Security"/>
    <x v="3"/>
    <x v="2"/>
  </r>
  <r>
    <s v="O01134"/>
    <s v="C0221"/>
    <s v="P006"/>
    <s v="R005"/>
    <d v="2025-09-01T00:00:00"/>
    <d v="2025-10-30T00:00:00"/>
    <d v="2025-10-30T00:00:00"/>
    <x v="0"/>
    <n v="1"/>
    <n v="10"/>
    <n v="324000"/>
    <n v="0"/>
    <s v="Feature gap"/>
    <s v="South"/>
    <x v="2"/>
    <s v="Security"/>
    <x v="11"/>
    <x v="2"/>
  </r>
  <r>
    <s v="O01135"/>
    <s v="C0404"/>
    <s v="P001"/>
    <s v="R015"/>
    <d v="2025-11-06T00:00:00"/>
    <d v="2026-01-12T00:00:00"/>
    <m/>
    <x v="2"/>
    <n v="1"/>
    <n v="20"/>
    <n v="96000"/>
    <n v="80"/>
    <s v=""/>
    <s v="West"/>
    <x v="4"/>
    <s v="CRM"/>
    <x v="7"/>
    <x v="1"/>
  </r>
  <r>
    <s v="O01136"/>
    <s v="C0161"/>
    <s v="P002"/>
    <s v="R008"/>
    <d v="2025-07-30T00:00:00"/>
    <d v="2025-10-05T00:00:00"/>
    <d v="2025-10-05T00:00:00"/>
    <x v="0"/>
    <n v="3"/>
    <n v="20"/>
    <n v="1008000"/>
    <n v="0"/>
    <s v="No decision"/>
    <s v="North"/>
    <x v="0"/>
    <s v="CRM"/>
    <x v="0"/>
    <x v="0"/>
  </r>
  <r>
    <s v="O01137"/>
    <s v="C0245"/>
    <s v="P002"/>
    <s v="R014"/>
    <d v="2025-03-08T00:00:00"/>
    <d v="2025-04-10T00:00:00"/>
    <d v="2025-04-10T00:00:00"/>
    <x v="0"/>
    <n v="1"/>
    <n v="0"/>
    <n v="420000"/>
    <n v="0"/>
    <s v="Competition"/>
    <s v="West"/>
    <x v="0"/>
    <s v="CRM"/>
    <x v="1"/>
    <x v="1"/>
  </r>
  <r>
    <s v="O01138"/>
    <s v="C0062"/>
    <s v="P004"/>
    <s v="R001"/>
    <d v="2025-08-05T00:00:00"/>
    <d v="2025-09-18T00:00:00"/>
    <d v="2025-09-18T00:00:00"/>
    <x v="1"/>
    <n v="1"/>
    <n v="20"/>
    <n v="240000"/>
    <n v="100"/>
    <s v=""/>
    <s v="South"/>
    <x v="5"/>
    <s v="Analytics"/>
    <x v="6"/>
    <x v="2"/>
  </r>
  <r>
    <s v="O01139"/>
    <s v="C0120"/>
    <s v="P001"/>
    <s v="R008"/>
    <d v="2025-03-31T00:00:00"/>
    <d v="2025-05-31T00:00:00"/>
    <m/>
    <x v="2"/>
    <n v="3"/>
    <n v="0"/>
    <n v="360000"/>
    <n v="40"/>
    <s v=""/>
    <s v="North"/>
    <x v="4"/>
    <s v="CRM"/>
    <x v="0"/>
    <x v="0"/>
  </r>
  <r>
    <s v="O01140"/>
    <s v="C0049"/>
    <s v="P003"/>
    <s v="R007"/>
    <d v="2025-12-14T00:00:00"/>
    <d v="2026-02-22T00:00:00"/>
    <m/>
    <x v="2"/>
    <n v="1"/>
    <n v="0"/>
    <n v="240000"/>
    <n v="80"/>
    <s v=""/>
    <s v="North"/>
    <x v="1"/>
    <s v="Automation"/>
    <x v="13"/>
    <x v="0"/>
  </r>
  <r>
    <s v="O01141"/>
    <s v="C0205"/>
    <s v="P002"/>
    <s v="R009"/>
    <d v="2025-01-21T00:00:00"/>
    <d v="2025-01-29T00:00:00"/>
    <m/>
    <x v="2"/>
    <n v="1"/>
    <n v="10"/>
    <n v="378000"/>
    <n v="40"/>
    <s v=""/>
    <s v="North"/>
    <x v="0"/>
    <s v="CRM"/>
    <x v="4"/>
    <x v="0"/>
  </r>
  <r>
    <s v="O01142"/>
    <s v="C0437"/>
    <s v="P001"/>
    <s v="R014"/>
    <d v="2025-03-23T00:00:00"/>
    <d v="2025-05-25T00:00:00"/>
    <d v="2025-05-25T00:00:00"/>
    <x v="0"/>
    <n v="2"/>
    <n v="5"/>
    <n v="228000"/>
    <n v="0"/>
    <s v="Feature gap"/>
    <s v="West"/>
    <x v="4"/>
    <s v="CRM"/>
    <x v="1"/>
    <x v="1"/>
  </r>
  <r>
    <s v="O01143"/>
    <s v="C0314"/>
    <s v="P005"/>
    <s v="R003"/>
    <d v="2025-02-25T00:00:00"/>
    <d v="2025-04-01T00:00:00"/>
    <d v="2025-04-01T00:00:00"/>
    <x v="0"/>
    <n v="3"/>
    <n v="5"/>
    <n v="513000"/>
    <n v="0"/>
    <s v="No decision"/>
    <s v="South"/>
    <x v="3"/>
    <s v="Service"/>
    <x v="15"/>
    <x v="2"/>
  </r>
  <r>
    <s v="O01144"/>
    <s v="C0179"/>
    <s v="P006"/>
    <s v="R011"/>
    <d v="2025-06-02T00:00:00"/>
    <d v="2025-08-20T00:00:00"/>
    <m/>
    <x v="2"/>
    <n v="2"/>
    <n v="0"/>
    <n v="720000"/>
    <n v="40"/>
    <s v=""/>
    <s v="West"/>
    <x v="2"/>
    <s v="Security"/>
    <x v="12"/>
    <x v="1"/>
  </r>
  <r>
    <s v="O01145"/>
    <s v="C0320"/>
    <s v="P006"/>
    <s v="R020"/>
    <d v="2025-07-11T00:00:00"/>
    <d v="2025-07-18T00:00:00"/>
    <d v="2025-07-18T00:00:00"/>
    <x v="1"/>
    <n v="3"/>
    <n v="20"/>
    <n v="864000"/>
    <n v="100"/>
    <s v=""/>
    <s v="East"/>
    <x v="2"/>
    <s v="Security"/>
    <x v="9"/>
    <x v="3"/>
  </r>
  <r>
    <s v="O01146"/>
    <s v="C0492"/>
    <s v="P002"/>
    <s v="R015"/>
    <d v="2025-01-24T00:00:00"/>
    <d v="2025-02-09T00:00:00"/>
    <d v="2025-02-09T00:00:00"/>
    <x v="1"/>
    <n v="1"/>
    <n v="10"/>
    <n v="378000"/>
    <n v="100"/>
    <s v=""/>
    <s v="West"/>
    <x v="0"/>
    <s v="CRM"/>
    <x v="7"/>
    <x v="1"/>
  </r>
  <r>
    <s v="O01147"/>
    <s v="C0089"/>
    <s v="P002"/>
    <s v="R003"/>
    <d v="2025-04-09T00:00:00"/>
    <d v="2025-05-08T00:00:00"/>
    <d v="2025-05-08T00:00:00"/>
    <x v="1"/>
    <n v="1"/>
    <n v="5"/>
    <n v="399000"/>
    <n v="100"/>
    <s v=""/>
    <s v="South"/>
    <x v="0"/>
    <s v="CRM"/>
    <x v="15"/>
    <x v="2"/>
  </r>
  <r>
    <s v="O01148"/>
    <s v="C0317"/>
    <s v="P006"/>
    <s v="R012"/>
    <d v="2025-06-22T00:00:00"/>
    <d v="2025-07-03T00:00:00"/>
    <d v="2025-07-03T00:00:00"/>
    <x v="1"/>
    <n v="1"/>
    <n v="15"/>
    <n v="306000"/>
    <n v="100"/>
    <s v=""/>
    <s v="West"/>
    <x v="2"/>
    <s v="Security"/>
    <x v="14"/>
    <x v="1"/>
  </r>
  <r>
    <s v="O01149"/>
    <s v="C0304"/>
    <s v="P004"/>
    <s v="R002"/>
    <d v="2025-01-04T00:00:00"/>
    <d v="2025-01-14T00:00:00"/>
    <m/>
    <x v="2"/>
    <n v="1"/>
    <n v="20"/>
    <n v="240000"/>
    <n v="40"/>
    <s v=""/>
    <s v="South"/>
    <x v="5"/>
    <s v="Analytics"/>
    <x v="17"/>
    <x v="2"/>
  </r>
  <r>
    <s v="O01150"/>
    <s v="C0030"/>
    <s v="P004"/>
    <s v="R018"/>
    <d v="2025-11-03T00:00:00"/>
    <d v="2026-01-27T00:00:00"/>
    <m/>
    <x v="2"/>
    <n v="3"/>
    <n v="20"/>
    <n v="720000"/>
    <n v="40"/>
    <s v=""/>
    <s v="East"/>
    <x v="5"/>
    <s v="Analytics"/>
    <x v="18"/>
    <x v="3"/>
  </r>
  <r>
    <s v="O01151"/>
    <s v="C0039"/>
    <s v="P004"/>
    <s v="R004"/>
    <d v="2025-06-08T00:00:00"/>
    <d v="2025-07-20T00:00:00"/>
    <d v="2025-07-20T00:00:00"/>
    <x v="0"/>
    <n v="1"/>
    <n v="0"/>
    <n v="300000"/>
    <n v="0"/>
    <s v="No decision"/>
    <s v="South"/>
    <x v="5"/>
    <s v="Analytics"/>
    <x v="3"/>
    <x v="2"/>
  </r>
  <r>
    <s v="O01152"/>
    <s v="C0408"/>
    <s v="P001"/>
    <s v="R020"/>
    <d v="2025-03-09T00:00:00"/>
    <d v="2025-05-12T00:00:00"/>
    <d v="2025-05-12T00:00:00"/>
    <x v="1"/>
    <n v="1"/>
    <n v="5"/>
    <n v="114000"/>
    <n v="100"/>
    <s v=""/>
    <s v="East"/>
    <x v="4"/>
    <s v="CRM"/>
    <x v="9"/>
    <x v="3"/>
  </r>
  <r>
    <s v="O01153"/>
    <s v="C0053"/>
    <s v="P002"/>
    <s v="R016"/>
    <d v="2025-11-14T00:00:00"/>
    <d v="2026-01-17T00:00:00"/>
    <m/>
    <x v="2"/>
    <n v="1"/>
    <n v="0"/>
    <n v="420000"/>
    <n v="20"/>
    <s v=""/>
    <s v="East"/>
    <x v="0"/>
    <s v="CRM"/>
    <x v="8"/>
    <x v="3"/>
  </r>
  <r>
    <s v="O01154"/>
    <s v="C0362"/>
    <s v="P001"/>
    <s v="R006"/>
    <d v="2025-07-01T00:00:00"/>
    <d v="2025-08-19T00:00:00"/>
    <d v="2025-08-19T00:00:00"/>
    <x v="0"/>
    <n v="1"/>
    <n v="0"/>
    <n v="120000"/>
    <n v="0"/>
    <s v="Price"/>
    <s v="North"/>
    <x v="4"/>
    <s v="CRM"/>
    <x v="2"/>
    <x v="0"/>
  </r>
  <r>
    <s v="O01155"/>
    <s v="C0237"/>
    <s v="P006"/>
    <s v="R012"/>
    <d v="2025-05-14T00:00:00"/>
    <d v="2025-06-06T00:00:00"/>
    <d v="2025-06-06T00:00:00"/>
    <x v="0"/>
    <n v="1"/>
    <n v="10"/>
    <n v="324000"/>
    <n v="0"/>
    <s v="Competition"/>
    <s v="West"/>
    <x v="2"/>
    <s v="Security"/>
    <x v="14"/>
    <x v="1"/>
  </r>
  <r>
    <s v="O01156"/>
    <s v="C0409"/>
    <s v="P006"/>
    <s v="R003"/>
    <d v="2025-12-25T00:00:00"/>
    <d v="2026-01-15T00:00:00"/>
    <m/>
    <x v="2"/>
    <n v="3"/>
    <n v="5"/>
    <n v="1026000"/>
    <n v="20"/>
    <s v=""/>
    <s v="South"/>
    <x v="2"/>
    <s v="Security"/>
    <x v="15"/>
    <x v="2"/>
  </r>
  <r>
    <s v="O01157"/>
    <s v="C0388"/>
    <s v="P002"/>
    <s v="R010"/>
    <d v="2025-10-29T00:00:00"/>
    <d v="2025-12-30T00:00:00"/>
    <m/>
    <x v="2"/>
    <n v="1"/>
    <n v="0"/>
    <n v="420000"/>
    <n v="60"/>
    <s v=""/>
    <s v="North"/>
    <x v="0"/>
    <s v="CRM"/>
    <x v="16"/>
    <x v="0"/>
  </r>
  <r>
    <s v="O01158"/>
    <s v="C0149"/>
    <s v="P004"/>
    <s v="R013"/>
    <d v="2025-01-30T00:00:00"/>
    <d v="2025-03-20T00:00:00"/>
    <m/>
    <x v="2"/>
    <n v="3"/>
    <n v="10"/>
    <n v="810000"/>
    <n v="40"/>
    <s v=""/>
    <s v="West"/>
    <x v="5"/>
    <s v="Analytics"/>
    <x v="5"/>
    <x v="1"/>
  </r>
  <r>
    <s v="O01159"/>
    <s v="C0379"/>
    <s v="P005"/>
    <s v="R008"/>
    <d v="2025-07-23T00:00:00"/>
    <d v="2025-10-12T00:00:00"/>
    <d v="2025-10-12T00:00:00"/>
    <x v="0"/>
    <n v="1"/>
    <n v="10"/>
    <n v="162000"/>
    <n v="0"/>
    <s v="Competition"/>
    <s v="North"/>
    <x v="3"/>
    <s v="Service"/>
    <x v="0"/>
    <x v="0"/>
  </r>
  <r>
    <s v="O01160"/>
    <s v="C0274"/>
    <s v="P002"/>
    <s v="R003"/>
    <d v="2025-12-06T00:00:00"/>
    <d v="2026-02-02T00:00:00"/>
    <m/>
    <x v="2"/>
    <n v="1"/>
    <n v="10"/>
    <n v="378000"/>
    <n v="80"/>
    <s v=""/>
    <s v="South"/>
    <x v="0"/>
    <s v="CRM"/>
    <x v="15"/>
    <x v="2"/>
  </r>
  <r>
    <s v="O01161"/>
    <s v="C0436"/>
    <s v="P002"/>
    <s v="R017"/>
    <d v="2025-05-06T00:00:00"/>
    <d v="2025-05-24T00:00:00"/>
    <m/>
    <x v="2"/>
    <n v="1"/>
    <n v="20"/>
    <n v="336000"/>
    <n v="40"/>
    <s v=""/>
    <s v="East"/>
    <x v="0"/>
    <s v="CRM"/>
    <x v="19"/>
    <x v="3"/>
  </r>
  <r>
    <s v="O01162"/>
    <s v="C0426"/>
    <s v="P006"/>
    <s v="R004"/>
    <d v="2025-01-21T00:00:00"/>
    <d v="2025-03-20T00:00:00"/>
    <d v="2025-03-20T00:00:00"/>
    <x v="1"/>
    <n v="1"/>
    <n v="10"/>
    <n v="324000"/>
    <n v="100"/>
    <s v=""/>
    <s v="South"/>
    <x v="2"/>
    <s v="Security"/>
    <x v="3"/>
    <x v="2"/>
  </r>
  <r>
    <s v="O01163"/>
    <s v="C0245"/>
    <s v="P003"/>
    <s v="R011"/>
    <d v="2025-01-10T00:00:00"/>
    <d v="2025-04-05T00:00:00"/>
    <d v="2025-04-05T00:00:00"/>
    <x v="0"/>
    <n v="1"/>
    <n v="0"/>
    <n v="240000"/>
    <n v="0"/>
    <s v="Feature gap"/>
    <s v="West"/>
    <x v="1"/>
    <s v="Automation"/>
    <x v="12"/>
    <x v="1"/>
  </r>
  <r>
    <s v="O01164"/>
    <s v="C0429"/>
    <s v="P004"/>
    <s v="R016"/>
    <d v="2025-02-14T00:00:00"/>
    <d v="2025-03-21T00:00:00"/>
    <m/>
    <x v="2"/>
    <n v="2"/>
    <n v="0"/>
    <n v="600000"/>
    <n v="20"/>
    <s v=""/>
    <s v="East"/>
    <x v="5"/>
    <s v="Analytics"/>
    <x v="8"/>
    <x v="3"/>
  </r>
  <r>
    <s v="O01165"/>
    <s v="C0500"/>
    <s v="P004"/>
    <s v="R012"/>
    <d v="2025-07-20T00:00:00"/>
    <d v="2025-10-02T00:00:00"/>
    <d v="2025-10-02T00:00:00"/>
    <x v="1"/>
    <n v="1"/>
    <n v="0"/>
    <n v="300000"/>
    <n v="100"/>
    <s v=""/>
    <s v="West"/>
    <x v="5"/>
    <s v="Analytics"/>
    <x v="14"/>
    <x v="1"/>
  </r>
  <r>
    <s v="O01166"/>
    <s v="C0057"/>
    <s v="P002"/>
    <s v="R002"/>
    <d v="2025-07-30T00:00:00"/>
    <d v="2025-09-08T00:00:00"/>
    <d v="2025-09-08T00:00:00"/>
    <x v="1"/>
    <n v="1"/>
    <n v="0"/>
    <n v="420000"/>
    <n v="100"/>
    <s v=""/>
    <s v="South"/>
    <x v="0"/>
    <s v="CRM"/>
    <x v="17"/>
    <x v="2"/>
  </r>
  <r>
    <s v="O01167"/>
    <s v="C0238"/>
    <s v="P004"/>
    <s v="R019"/>
    <d v="2025-09-25T00:00:00"/>
    <d v="2025-11-24T00:00:00"/>
    <d v="2025-11-24T00:00:00"/>
    <x v="0"/>
    <n v="1"/>
    <n v="15"/>
    <n v="255000"/>
    <n v="0"/>
    <s v="Budget"/>
    <s v="East"/>
    <x v="5"/>
    <s v="Analytics"/>
    <x v="10"/>
    <x v="3"/>
  </r>
  <r>
    <s v="O01168"/>
    <s v="C0262"/>
    <s v="P005"/>
    <s v="R014"/>
    <d v="2025-01-11T00:00:00"/>
    <d v="2025-03-22T00:00:00"/>
    <m/>
    <x v="2"/>
    <n v="3"/>
    <n v="20"/>
    <n v="432000"/>
    <n v="40"/>
    <s v=""/>
    <s v="West"/>
    <x v="3"/>
    <s v="Service"/>
    <x v="1"/>
    <x v="1"/>
  </r>
  <r>
    <s v="O01169"/>
    <s v="C0137"/>
    <s v="P003"/>
    <s v="R001"/>
    <d v="2025-09-12T00:00:00"/>
    <d v="2025-10-23T00:00:00"/>
    <d v="2025-10-23T00:00:00"/>
    <x v="1"/>
    <n v="1"/>
    <n v="15"/>
    <n v="204000"/>
    <n v="100"/>
    <s v=""/>
    <s v="South"/>
    <x v="1"/>
    <s v="Automation"/>
    <x v="6"/>
    <x v="2"/>
  </r>
  <r>
    <s v="O01170"/>
    <s v="C0448"/>
    <s v="P003"/>
    <s v="R015"/>
    <d v="2025-07-09T00:00:00"/>
    <d v="2025-09-02T00:00:00"/>
    <d v="2025-09-02T00:00:00"/>
    <x v="0"/>
    <n v="1"/>
    <n v="15"/>
    <n v="204000"/>
    <n v="0"/>
    <s v="Budget"/>
    <s v="West"/>
    <x v="1"/>
    <s v="Automation"/>
    <x v="7"/>
    <x v="1"/>
  </r>
  <r>
    <s v="O01171"/>
    <s v="C0454"/>
    <s v="P003"/>
    <s v="R004"/>
    <d v="2025-05-18T00:00:00"/>
    <d v="2025-07-14T00:00:00"/>
    <d v="2025-07-14T00:00:00"/>
    <x v="1"/>
    <n v="1"/>
    <n v="5"/>
    <n v="228000"/>
    <n v="100"/>
    <s v=""/>
    <s v="South"/>
    <x v="1"/>
    <s v="Automation"/>
    <x v="3"/>
    <x v="2"/>
  </r>
  <r>
    <s v="O01172"/>
    <s v="C0274"/>
    <s v="P001"/>
    <s v="R003"/>
    <d v="2025-12-11T00:00:00"/>
    <d v="2026-01-26T00:00:00"/>
    <m/>
    <x v="2"/>
    <n v="2"/>
    <n v="15"/>
    <n v="204000"/>
    <n v="20"/>
    <s v=""/>
    <s v="South"/>
    <x v="4"/>
    <s v="CRM"/>
    <x v="15"/>
    <x v="2"/>
  </r>
  <r>
    <s v="O01173"/>
    <s v="C0278"/>
    <s v="P004"/>
    <s v="R013"/>
    <d v="2025-08-01T00:00:00"/>
    <d v="2025-09-30T00:00:00"/>
    <d v="2025-09-30T00:00:00"/>
    <x v="1"/>
    <n v="2"/>
    <n v="5"/>
    <n v="570000"/>
    <n v="100"/>
    <s v=""/>
    <s v="West"/>
    <x v="5"/>
    <s v="Analytics"/>
    <x v="5"/>
    <x v="1"/>
  </r>
  <r>
    <s v="O01174"/>
    <s v="C0419"/>
    <s v="P005"/>
    <s v="R005"/>
    <d v="2025-10-20T00:00:00"/>
    <d v="2025-11-03T00:00:00"/>
    <d v="2025-11-03T00:00:00"/>
    <x v="1"/>
    <n v="1"/>
    <n v="15"/>
    <n v="153000"/>
    <n v="100"/>
    <s v=""/>
    <s v="South"/>
    <x v="3"/>
    <s v="Service"/>
    <x v="11"/>
    <x v="2"/>
  </r>
  <r>
    <s v="O01175"/>
    <s v="C0233"/>
    <s v="P006"/>
    <s v="R010"/>
    <d v="2025-07-17T00:00:00"/>
    <d v="2025-08-23T00:00:00"/>
    <d v="2025-08-23T00:00:00"/>
    <x v="1"/>
    <n v="1"/>
    <n v="15"/>
    <n v="306000"/>
    <n v="100"/>
    <s v=""/>
    <s v="North"/>
    <x v="2"/>
    <s v="Security"/>
    <x v="16"/>
    <x v="0"/>
  </r>
  <r>
    <s v="O01176"/>
    <s v="C0469"/>
    <s v="P004"/>
    <s v="R015"/>
    <d v="2025-09-18T00:00:00"/>
    <d v="2025-09-28T00:00:00"/>
    <d v="2025-09-28T00:00:00"/>
    <x v="1"/>
    <n v="2"/>
    <n v="15"/>
    <n v="510000"/>
    <n v="100"/>
    <s v=""/>
    <s v="West"/>
    <x v="5"/>
    <s v="Analytics"/>
    <x v="7"/>
    <x v="1"/>
  </r>
  <r>
    <s v="O01177"/>
    <s v="C0211"/>
    <s v="P004"/>
    <s v="R020"/>
    <d v="2025-11-25T00:00:00"/>
    <d v="2025-12-12T00:00:00"/>
    <d v="2025-12-12T00:00:00"/>
    <x v="1"/>
    <n v="3"/>
    <n v="0"/>
    <n v="900000"/>
    <n v="100"/>
    <s v=""/>
    <s v="East"/>
    <x v="5"/>
    <s v="Analytics"/>
    <x v="9"/>
    <x v="3"/>
  </r>
  <r>
    <s v="O01178"/>
    <s v="C0317"/>
    <s v="P005"/>
    <s v="R014"/>
    <d v="2025-07-24T00:00:00"/>
    <d v="2025-09-09T00:00:00"/>
    <d v="2025-09-09T00:00:00"/>
    <x v="1"/>
    <n v="1"/>
    <n v="0"/>
    <n v="180000"/>
    <n v="100"/>
    <s v=""/>
    <s v="West"/>
    <x v="3"/>
    <s v="Service"/>
    <x v="1"/>
    <x v="1"/>
  </r>
  <r>
    <s v="O01179"/>
    <s v="C0392"/>
    <s v="P006"/>
    <s v="R006"/>
    <d v="2025-10-07T00:00:00"/>
    <d v="2025-12-09T00:00:00"/>
    <m/>
    <x v="2"/>
    <n v="1"/>
    <n v="15"/>
    <n v="306000"/>
    <n v="80"/>
    <s v=""/>
    <s v="North"/>
    <x v="2"/>
    <s v="Security"/>
    <x v="2"/>
    <x v="0"/>
  </r>
  <r>
    <s v="O01180"/>
    <s v="C0484"/>
    <s v="P005"/>
    <s v="R005"/>
    <d v="2025-04-01T00:00:00"/>
    <d v="2025-06-12T00:00:00"/>
    <m/>
    <x v="2"/>
    <n v="3"/>
    <n v="0"/>
    <n v="540000"/>
    <n v="40"/>
    <s v=""/>
    <s v="South"/>
    <x v="3"/>
    <s v="Service"/>
    <x v="11"/>
    <x v="2"/>
  </r>
  <r>
    <s v="O01181"/>
    <s v="C0135"/>
    <s v="P002"/>
    <s v="R014"/>
    <d v="2025-10-28T00:00:00"/>
    <d v="2025-11-07T00:00:00"/>
    <d v="2025-11-07T00:00:00"/>
    <x v="1"/>
    <n v="1"/>
    <n v="20"/>
    <n v="336000"/>
    <n v="100"/>
    <s v=""/>
    <s v="West"/>
    <x v="0"/>
    <s v="CRM"/>
    <x v="1"/>
    <x v="1"/>
  </r>
  <r>
    <s v="O01182"/>
    <s v="C0010"/>
    <s v="P001"/>
    <s v="R013"/>
    <d v="2025-07-03T00:00:00"/>
    <d v="2025-09-26T00:00:00"/>
    <m/>
    <x v="2"/>
    <n v="2"/>
    <n v="15"/>
    <n v="204000"/>
    <n v="20"/>
    <s v=""/>
    <s v="West"/>
    <x v="4"/>
    <s v="CRM"/>
    <x v="5"/>
    <x v="1"/>
  </r>
  <r>
    <s v="O01183"/>
    <s v="C0119"/>
    <s v="P005"/>
    <s v="R015"/>
    <d v="2025-05-23T00:00:00"/>
    <d v="2025-06-30T00:00:00"/>
    <d v="2025-06-30T00:00:00"/>
    <x v="0"/>
    <n v="1"/>
    <n v="5"/>
    <n v="171000"/>
    <n v="0"/>
    <s v="No decision"/>
    <s v="West"/>
    <x v="3"/>
    <s v="Service"/>
    <x v="7"/>
    <x v="1"/>
  </r>
  <r>
    <s v="O01184"/>
    <s v="C0193"/>
    <s v="P006"/>
    <s v="R003"/>
    <d v="2025-12-06T00:00:00"/>
    <d v="2025-12-27T00:00:00"/>
    <d v="2025-12-27T00:00:00"/>
    <x v="1"/>
    <n v="1"/>
    <n v="20"/>
    <n v="288000"/>
    <n v="100"/>
    <s v=""/>
    <s v="South"/>
    <x v="2"/>
    <s v="Security"/>
    <x v="15"/>
    <x v="2"/>
  </r>
  <r>
    <s v="O01185"/>
    <s v="C0262"/>
    <s v="P001"/>
    <s v="R013"/>
    <d v="2025-01-01T00:00:00"/>
    <d v="2025-03-06T00:00:00"/>
    <d v="2025-03-06T00:00:00"/>
    <x v="1"/>
    <n v="1"/>
    <n v="0"/>
    <n v="120000"/>
    <n v="100"/>
    <s v=""/>
    <s v="West"/>
    <x v="4"/>
    <s v="CRM"/>
    <x v="5"/>
    <x v="1"/>
  </r>
  <r>
    <s v="O01186"/>
    <s v="C0451"/>
    <s v="P001"/>
    <s v="R007"/>
    <d v="2025-01-16T00:00:00"/>
    <d v="2025-04-02T00:00:00"/>
    <d v="2025-04-02T00:00:00"/>
    <x v="0"/>
    <n v="1"/>
    <n v="20"/>
    <n v="96000"/>
    <n v="0"/>
    <s v="No decision"/>
    <s v="North"/>
    <x v="4"/>
    <s v="CRM"/>
    <x v="13"/>
    <x v="0"/>
  </r>
  <r>
    <s v="O01187"/>
    <s v="C0446"/>
    <s v="P003"/>
    <s v="R008"/>
    <d v="2025-09-27T00:00:00"/>
    <d v="2025-10-07T00:00:00"/>
    <d v="2025-10-07T00:00:00"/>
    <x v="1"/>
    <n v="1"/>
    <n v="15"/>
    <n v="204000"/>
    <n v="100"/>
    <s v=""/>
    <s v="North"/>
    <x v="1"/>
    <s v="Automation"/>
    <x v="0"/>
    <x v="0"/>
  </r>
  <r>
    <s v="O01188"/>
    <s v="C0217"/>
    <s v="P005"/>
    <s v="R016"/>
    <d v="2025-11-04T00:00:00"/>
    <d v="2025-12-30T00:00:00"/>
    <m/>
    <x v="2"/>
    <n v="1"/>
    <n v="5"/>
    <n v="171000"/>
    <n v="80"/>
    <s v=""/>
    <s v="East"/>
    <x v="3"/>
    <s v="Service"/>
    <x v="8"/>
    <x v="3"/>
  </r>
  <r>
    <s v="O01189"/>
    <s v="C0100"/>
    <s v="P006"/>
    <s v="R003"/>
    <d v="2025-05-24T00:00:00"/>
    <d v="2025-07-11T00:00:00"/>
    <d v="2025-07-11T00:00:00"/>
    <x v="1"/>
    <n v="3"/>
    <n v="15"/>
    <n v="918000"/>
    <n v="100"/>
    <s v=""/>
    <s v="South"/>
    <x v="2"/>
    <s v="Security"/>
    <x v="15"/>
    <x v="2"/>
  </r>
  <r>
    <s v="O01190"/>
    <s v="C0477"/>
    <s v="P006"/>
    <s v="R007"/>
    <d v="2025-06-02T00:00:00"/>
    <d v="2025-07-26T00:00:00"/>
    <d v="2025-07-26T00:00:00"/>
    <x v="1"/>
    <n v="1"/>
    <n v="15"/>
    <n v="306000"/>
    <n v="100"/>
    <s v=""/>
    <s v="North"/>
    <x v="2"/>
    <s v="Security"/>
    <x v="13"/>
    <x v="0"/>
  </r>
  <r>
    <s v="O01191"/>
    <s v="C0094"/>
    <s v="P005"/>
    <s v="R013"/>
    <d v="2025-10-19T00:00:00"/>
    <d v="2025-11-02T00:00:00"/>
    <d v="2025-11-02T00:00:00"/>
    <x v="0"/>
    <n v="1"/>
    <n v="20"/>
    <n v="144000"/>
    <n v="0"/>
    <s v="No decision"/>
    <s v="West"/>
    <x v="3"/>
    <s v="Service"/>
    <x v="5"/>
    <x v="1"/>
  </r>
  <r>
    <s v="O01192"/>
    <s v="C0433"/>
    <s v="P006"/>
    <s v="R018"/>
    <d v="2025-01-22T00:00:00"/>
    <d v="2025-02-26T00:00:00"/>
    <d v="2025-02-26T00:00:00"/>
    <x v="0"/>
    <n v="2"/>
    <n v="10"/>
    <n v="648000"/>
    <n v="0"/>
    <s v="Feature gap"/>
    <s v="East"/>
    <x v="2"/>
    <s v="Security"/>
    <x v="18"/>
    <x v="3"/>
  </r>
  <r>
    <s v="O01193"/>
    <s v="C0266"/>
    <s v="P003"/>
    <s v="R008"/>
    <d v="2025-12-31T00:00:00"/>
    <d v="2026-01-26T00:00:00"/>
    <m/>
    <x v="2"/>
    <n v="1"/>
    <n v="5"/>
    <n v="228000"/>
    <n v="40"/>
    <s v=""/>
    <s v="North"/>
    <x v="1"/>
    <s v="Automation"/>
    <x v="0"/>
    <x v="0"/>
  </r>
  <r>
    <s v="O01194"/>
    <s v="C0496"/>
    <s v="P006"/>
    <s v="R007"/>
    <d v="2025-03-11T00:00:00"/>
    <d v="2025-04-19T00:00:00"/>
    <d v="2025-04-19T00:00:00"/>
    <x v="0"/>
    <n v="1"/>
    <n v="20"/>
    <n v="288000"/>
    <n v="0"/>
    <s v="Competition"/>
    <s v="North"/>
    <x v="2"/>
    <s v="Security"/>
    <x v="13"/>
    <x v="0"/>
  </r>
  <r>
    <s v="O01195"/>
    <s v="C0495"/>
    <s v="P004"/>
    <s v="R020"/>
    <d v="2025-10-26T00:00:00"/>
    <d v="2025-11-26T00:00:00"/>
    <d v="2025-11-26T00:00:00"/>
    <x v="0"/>
    <n v="1"/>
    <n v="15"/>
    <n v="255000"/>
    <n v="0"/>
    <s v="Feature gap"/>
    <s v="East"/>
    <x v="5"/>
    <s v="Analytics"/>
    <x v="9"/>
    <x v="3"/>
  </r>
  <r>
    <s v="O01196"/>
    <s v="C0313"/>
    <s v="P002"/>
    <s v="R003"/>
    <d v="2025-08-11T00:00:00"/>
    <d v="2025-09-02T00:00:00"/>
    <d v="2025-09-02T00:00:00"/>
    <x v="1"/>
    <n v="1"/>
    <n v="10"/>
    <n v="378000"/>
    <n v="100"/>
    <s v=""/>
    <s v="South"/>
    <x v="0"/>
    <s v="CRM"/>
    <x v="15"/>
    <x v="2"/>
  </r>
  <r>
    <s v="O01197"/>
    <s v="C0103"/>
    <s v="P005"/>
    <s v="R010"/>
    <d v="2025-04-08T00:00:00"/>
    <d v="2025-06-30T00:00:00"/>
    <m/>
    <x v="2"/>
    <n v="1"/>
    <n v="5"/>
    <n v="171000"/>
    <n v="40"/>
    <s v=""/>
    <s v="North"/>
    <x v="3"/>
    <s v="Service"/>
    <x v="16"/>
    <x v="0"/>
  </r>
  <r>
    <s v="O01198"/>
    <s v="C0334"/>
    <s v="P006"/>
    <s v="R012"/>
    <d v="2025-01-18T00:00:00"/>
    <d v="2025-04-07T00:00:00"/>
    <m/>
    <x v="2"/>
    <n v="1"/>
    <n v="5"/>
    <n v="342000"/>
    <n v="60"/>
    <s v=""/>
    <s v="West"/>
    <x v="2"/>
    <s v="Security"/>
    <x v="14"/>
    <x v="1"/>
  </r>
  <r>
    <s v="O01199"/>
    <s v="C0078"/>
    <s v="P006"/>
    <s v="R005"/>
    <d v="2025-08-29T00:00:00"/>
    <d v="2025-11-19T00:00:00"/>
    <d v="2025-11-19T00:00:00"/>
    <x v="1"/>
    <n v="3"/>
    <n v="20"/>
    <n v="864000"/>
    <n v="100"/>
    <s v=""/>
    <s v="South"/>
    <x v="2"/>
    <s v="Security"/>
    <x v="11"/>
    <x v="2"/>
  </r>
  <r>
    <s v="O01200"/>
    <s v="C0094"/>
    <s v="P002"/>
    <s v="R013"/>
    <d v="2025-04-29T00:00:00"/>
    <d v="2025-07-07T00:00:00"/>
    <d v="2025-07-07T00:00:00"/>
    <x v="1"/>
    <n v="2"/>
    <n v="15"/>
    <n v="714000"/>
    <n v="100"/>
    <s v=""/>
    <s v="West"/>
    <x v="0"/>
    <s v="CRM"/>
    <x v="5"/>
    <x v="1"/>
  </r>
  <r>
    <s v="O01201"/>
    <s v="C0243"/>
    <s v="P006"/>
    <s v="R018"/>
    <d v="2025-05-06T00:00:00"/>
    <d v="2025-05-13T00:00:00"/>
    <d v="2025-05-13T00:00:00"/>
    <x v="0"/>
    <n v="2"/>
    <n v="20"/>
    <n v="576000"/>
    <n v="0"/>
    <s v="No decision"/>
    <s v="East"/>
    <x v="2"/>
    <s v="Security"/>
    <x v="18"/>
    <x v="3"/>
  </r>
  <r>
    <s v="O01202"/>
    <s v="C0469"/>
    <s v="P006"/>
    <s v="R013"/>
    <d v="2025-01-04T00:00:00"/>
    <d v="2025-02-19T00:00:00"/>
    <d v="2025-02-19T00:00:00"/>
    <x v="1"/>
    <n v="2"/>
    <n v="10"/>
    <n v="648000"/>
    <n v="100"/>
    <s v=""/>
    <s v="West"/>
    <x v="2"/>
    <s v="Security"/>
    <x v="5"/>
    <x v="1"/>
  </r>
  <r>
    <s v="O01203"/>
    <s v="C0436"/>
    <s v="P004"/>
    <s v="R016"/>
    <d v="2025-01-07T00:00:00"/>
    <d v="2025-03-17T00:00:00"/>
    <d v="2025-03-17T00:00:00"/>
    <x v="1"/>
    <n v="2"/>
    <n v="5"/>
    <n v="570000"/>
    <n v="100"/>
    <s v=""/>
    <s v="East"/>
    <x v="5"/>
    <s v="Analytics"/>
    <x v="8"/>
    <x v="3"/>
  </r>
  <r>
    <s v="O01204"/>
    <s v="C0388"/>
    <s v="P005"/>
    <s v="R007"/>
    <d v="2025-01-24T00:00:00"/>
    <d v="2025-03-14T00:00:00"/>
    <d v="2025-03-14T00:00:00"/>
    <x v="1"/>
    <n v="3"/>
    <n v="20"/>
    <n v="432000"/>
    <n v="100"/>
    <s v=""/>
    <s v="North"/>
    <x v="3"/>
    <s v="Service"/>
    <x v="13"/>
    <x v="0"/>
  </r>
  <r>
    <s v="O01205"/>
    <s v="C0095"/>
    <s v="P003"/>
    <s v="R008"/>
    <d v="2025-05-21T00:00:00"/>
    <d v="2025-07-03T00:00:00"/>
    <m/>
    <x v="2"/>
    <n v="3"/>
    <n v="20"/>
    <n v="576000"/>
    <n v="20"/>
    <s v=""/>
    <s v="North"/>
    <x v="1"/>
    <s v="Automation"/>
    <x v="0"/>
    <x v="0"/>
  </r>
  <r>
    <s v="O01206"/>
    <s v="C0429"/>
    <s v="P004"/>
    <s v="R019"/>
    <d v="2025-06-14T00:00:00"/>
    <d v="2025-09-06T00:00:00"/>
    <d v="2025-09-06T00:00:00"/>
    <x v="1"/>
    <n v="1"/>
    <n v="15"/>
    <n v="255000"/>
    <n v="100"/>
    <s v=""/>
    <s v="East"/>
    <x v="5"/>
    <s v="Analytics"/>
    <x v="10"/>
    <x v="3"/>
  </r>
  <r>
    <s v="O01207"/>
    <s v="C0099"/>
    <s v="P003"/>
    <s v="R006"/>
    <d v="2025-11-06T00:00:00"/>
    <d v="2026-01-23T00:00:00"/>
    <m/>
    <x v="2"/>
    <n v="1"/>
    <n v="20"/>
    <n v="192000"/>
    <n v="20"/>
    <s v=""/>
    <s v="North"/>
    <x v="1"/>
    <s v="Automation"/>
    <x v="2"/>
    <x v="0"/>
  </r>
  <r>
    <s v="O01208"/>
    <s v="C0343"/>
    <s v="P003"/>
    <s v="R012"/>
    <d v="2025-11-05T00:00:00"/>
    <d v="2026-01-01T00:00:00"/>
    <m/>
    <x v="2"/>
    <n v="1"/>
    <n v="15"/>
    <n v="204000"/>
    <n v="80"/>
    <s v=""/>
    <s v="West"/>
    <x v="1"/>
    <s v="Automation"/>
    <x v="14"/>
    <x v="1"/>
  </r>
  <r>
    <s v="O01209"/>
    <s v="C0368"/>
    <s v="P003"/>
    <s v="R003"/>
    <d v="2025-06-09T00:00:00"/>
    <d v="2025-07-21T00:00:00"/>
    <d v="2025-07-21T00:00:00"/>
    <x v="1"/>
    <n v="1"/>
    <n v="5"/>
    <n v="228000"/>
    <n v="100"/>
    <s v=""/>
    <s v="South"/>
    <x v="1"/>
    <s v="Automation"/>
    <x v="15"/>
    <x v="2"/>
  </r>
  <r>
    <s v="O01210"/>
    <s v="C0375"/>
    <s v="P001"/>
    <s v="R007"/>
    <d v="2025-09-21T00:00:00"/>
    <d v="2025-12-06T00:00:00"/>
    <d v="2025-12-06T00:00:00"/>
    <x v="0"/>
    <n v="3"/>
    <n v="15"/>
    <n v="306000"/>
    <n v="0"/>
    <s v="Price"/>
    <s v="North"/>
    <x v="4"/>
    <s v="CRM"/>
    <x v="13"/>
    <x v="0"/>
  </r>
  <r>
    <s v="O01211"/>
    <s v="C0308"/>
    <s v="P002"/>
    <s v="R002"/>
    <d v="2025-05-02T00:00:00"/>
    <d v="2025-07-01T00:00:00"/>
    <d v="2025-07-01T00:00:00"/>
    <x v="1"/>
    <n v="1"/>
    <n v="5"/>
    <n v="399000"/>
    <n v="100"/>
    <s v=""/>
    <s v="South"/>
    <x v="0"/>
    <s v="CRM"/>
    <x v="17"/>
    <x v="2"/>
  </r>
  <r>
    <s v="O01212"/>
    <s v="C0391"/>
    <s v="P004"/>
    <s v="R009"/>
    <d v="2025-01-22T00:00:00"/>
    <d v="2025-04-16T00:00:00"/>
    <d v="2025-04-16T00:00:00"/>
    <x v="0"/>
    <n v="3"/>
    <n v="15"/>
    <n v="765000"/>
    <n v="0"/>
    <s v="Feature gap"/>
    <s v="North"/>
    <x v="5"/>
    <s v="Analytics"/>
    <x v="4"/>
    <x v="0"/>
  </r>
  <r>
    <s v="O01213"/>
    <s v="C0041"/>
    <s v="P001"/>
    <s v="R002"/>
    <d v="2025-12-15T00:00:00"/>
    <d v="2026-01-09T00:00:00"/>
    <m/>
    <x v="2"/>
    <n v="2"/>
    <n v="15"/>
    <n v="204000"/>
    <n v="20"/>
    <s v=""/>
    <s v="South"/>
    <x v="4"/>
    <s v="CRM"/>
    <x v="17"/>
    <x v="2"/>
  </r>
  <r>
    <s v="O01214"/>
    <s v="C0176"/>
    <s v="P002"/>
    <s v="R009"/>
    <d v="2025-05-04T00:00:00"/>
    <d v="2025-05-26T00:00:00"/>
    <d v="2025-05-26T00:00:00"/>
    <x v="1"/>
    <n v="1"/>
    <n v="20"/>
    <n v="336000"/>
    <n v="100"/>
    <s v=""/>
    <s v="North"/>
    <x v="0"/>
    <s v="CRM"/>
    <x v="4"/>
    <x v="0"/>
  </r>
  <r>
    <s v="O01215"/>
    <s v="C0010"/>
    <s v="P003"/>
    <s v="R012"/>
    <d v="2025-11-04T00:00:00"/>
    <d v="2025-11-11T00:00:00"/>
    <m/>
    <x v="2"/>
    <n v="2"/>
    <n v="15"/>
    <n v="408000"/>
    <n v="60"/>
    <s v=""/>
    <s v="West"/>
    <x v="1"/>
    <s v="Automation"/>
    <x v="14"/>
    <x v="1"/>
  </r>
  <r>
    <s v="O01216"/>
    <s v="C0200"/>
    <s v="P006"/>
    <s v="R006"/>
    <d v="2025-11-13T00:00:00"/>
    <d v="2025-12-21T00:00:00"/>
    <d v="2025-12-21T00:00:00"/>
    <x v="0"/>
    <n v="3"/>
    <n v="10"/>
    <n v="972000"/>
    <n v="0"/>
    <s v="No decision"/>
    <s v="North"/>
    <x v="2"/>
    <s v="Security"/>
    <x v="2"/>
    <x v="0"/>
  </r>
  <r>
    <s v="O01217"/>
    <s v="C0379"/>
    <s v="P005"/>
    <s v="R008"/>
    <d v="2025-01-09T00:00:00"/>
    <d v="2025-03-19T00:00:00"/>
    <d v="2025-03-19T00:00:00"/>
    <x v="1"/>
    <n v="3"/>
    <n v="15"/>
    <n v="459000"/>
    <n v="100"/>
    <s v=""/>
    <s v="North"/>
    <x v="3"/>
    <s v="Service"/>
    <x v="0"/>
    <x v="0"/>
  </r>
  <r>
    <s v="O01218"/>
    <s v="C0203"/>
    <s v="P004"/>
    <s v="R017"/>
    <d v="2025-08-11T00:00:00"/>
    <d v="2025-10-04T00:00:00"/>
    <m/>
    <x v="2"/>
    <n v="1"/>
    <n v="5"/>
    <n v="285000"/>
    <n v="20"/>
    <s v=""/>
    <s v="East"/>
    <x v="5"/>
    <s v="Analytics"/>
    <x v="19"/>
    <x v="3"/>
  </r>
  <r>
    <s v="O01219"/>
    <s v="C0122"/>
    <s v="P006"/>
    <s v="R011"/>
    <d v="2025-03-15T00:00:00"/>
    <d v="2025-03-24T00:00:00"/>
    <d v="2025-03-24T00:00:00"/>
    <x v="0"/>
    <n v="3"/>
    <n v="10"/>
    <n v="972000"/>
    <n v="0"/>
    <s v="Competition"/>
    <s v="West"/>
    <x v="2"/>
    <s v="Security"/>
    <x v="12"/>
    <x v="1"/>
  </r>
  <r>
    <s v="O01220"/>
    <s v="C0333"/>
    <s v="P002"/>
    <s v="R014"/>
    <d v="2025-01-22T00:00:00"/>
    <d v="2025-04-07T00:00:00"/>
    <d v="2025-04-07T00:00:00"/>
    <x v="1"/>
    <n v="2"/>
    <n v="0"/>
    <n v="840000"/>
    <n v="100"/>
    <s v=""/>
    <s v="West"/>
    <x v="0"/>
    <s v="CRM"/>
    <x v="1"/>
    <x v="1"/>
  </r>
  <r>
    <s v="O01221"/>
    <s v="C0356"/>
    <s v="P003"/>
    <s v="R018"/>
    <d v="2025-04-26T00:00:00"/>
    <d v="2025-05-18T00:00:00"/>
    <d v="2025-05-18T00:00:00"/>
    <x v="0"/>
    <n v="3"/>
    <n v="0"/>
    <n v="720000"/>
    <n v="0"/>
    <s v="Feature gap"/>
    <s v="East"/>
    <x v="1"/>
    <s v="Automation"/>
    <x v="18"/>
    <x v="3"/>
  </r>
  <r>
    <s v="O01222"/>
    <s v="C0064"/>
    <s v="P004"/>
    <s v="R020"/>
    <d v="2025-09-11T00:00:00"/>
    <d v="2025-11-09T00:00:00"/>
    <d v="2025-11-09T00:00:00"/>
    <x v="1"/>
    <n v="2"/>
    <n v="0"/>
    <n v="600000"/>
    <n v="100"/>
    <s v=""/>
    <s v="East"/>
    <x v="5"/>
    <s v="Analytics"/>
    <x v="9"/>
    <x v="3"/>
  </r>
  <r>
    <s v="O01223"/>
    <s v="C0009"/>
    <s v="P002"/>
    <s v="R002"/>
    <d v="2025-06-30T00:00:00"/>
    <d v="2025-07-15T00:00:00"/>
    <m/>
    <x v="2"/>
    <n v="1"/>
    <n v="20"/>
    <n v="336000"/>
    <n v="60"/>
    <s v=""/>
    <s v="South"/>
    <x v="0"/>
    <s v="CRM"/>
    <x v="17"/>
    <x v="2"/>
  </r>
  <r>
    <s v="O01224"/>
    <s v="C0118"/>
    <s v="P006"/>
    <s v="R001"/>
    <d v="2025-08-05T00:00:00"/>
    <d v="2025-08-24T00:00:00"/>
    <d v="2025-08-24T00:00:00"/>
    <x v="0"/>
    <n v="1"/>
    <n v="15"/>
    <n v="306000"/>
    <n v="0"/>
    <s v="Budget"/>
    <s v="South"/>
    <x v="2"/>
    <s v="Security"/>
    <x v="6"/>
    <x v="2"/>
  </r>
  <r>
    <s v="O01225"/>
    <s v="C0136"/>
    <s v="P001"/>
    <s v="R009"/>
    <d v="2025-05-16T00:00:00"/>
    <d v="2025-07-08T00:00:00"/>
    <d v="2025-07-08T00:00:00"/>
    <x v="0"/>
    <n v="1"/>
    <n v="0"/>
    <n v="120000"/>
    <n v="0"/>
    <s v="No decision"/>
    <s v="North"/>
    <x v="4"/>
    <s v="CRM"/>
    <x v="4"/>
    <x v="0"/>
  </r>
  <r>
    <s v="O01226"/>
    <s v="C0478"/>
    <s v="P005"/>
    <s v="R015"/>
    <d v="2025-09-30T00:00:00"/>
    <d v="2025-11-14T00:00:00"/>
    <d v="2025-11-14T00:00:00"/>
    <x v="0"/>
    <n v="2"/>
    <n v="20"/>
    <n v="288000"/>
    <n v="0"/>
    <s v="No decision"/>
    <s v="West"/>
    <x v="3"/>
    <s v="Service"/>
    <x v="7"/>
    <x v="1"/>
  </r>
  <r>
    <s v="O01227"/>
    <s v="C0203"/>
    <s v="P005"/>
    <s v="R016"/>
    <d v="2025-07-11T00:00:00"/>
    <d v="2025-07-24T00:00:00"/>
    <d v="2025-07-24T00:00:00"/>
    <x v="0"/>
    <n v="1"/>
    <n v="5"/>
    <n v="171000"/>
    <n v="0"/>
    <s v="No decision"/>
    <s v="East"/>
    <x v="3"/>
    <s v="Service"/>
    <x v="8"/>
    <x v="3"/>
  </r>
  <r>
    <s v="O01228"/>
    <s v="C0052"/>
    <s v="P005"/>
    <s v="R017"/>
    <d v="2025-03-25T00:00:00"/>
    <d v="2025-05-17T00:00:00"/>
    <d v="2025-05-17T00:00:00"/>
    <x v="1"/>
    <n v="2"/>
    <n v="15"/>
    <n v="306000"/>
    <n v="100"/>
    <s v=""/>
    <s v="East"/>
    <x v="3"/>
    <s v="Service"/>
    <x v="19"/>
    <x v="3"/>
  </r>
  <r>
    <s v="O01229"/>
    <s v="C0069"/>
    <s v="P002"/>
    <s v="R015"/>
    <d v="2025-07-27T00:00:00"/>
    <d v="2025-08-08T00:00:00"/>
    <d v="2025-08-08T00:00:00"/>
    <x v="1"/>
    <n v="1"/>
    <n v="20"/>
    <n v="336000"/>
    <n v="100"/>
    <s v=""/>
    <s v="West"/>
    <x v="0"/>
    <s v="CRM"/>
    <x v="7"/>
    <x v="1"/>
  </r>
  <r>
    <s v="O01230"/>
    <s v="C0225"/>
    <s v="P004"/>
    <s v="R017"/>
    <d v="2025-11-15T00:00:00"/>
    <d v="2025-12-12T00:00:00"/>
    <m/>
    <x v="2"/>
    <n v="1"/>
    <n v="20"/>
    <n v="240000"/>
    <n v="60"/>
    <s v=""/>
    <s v="East"/>
    <x v="5"/>
    <s v="Analytics"/>
    <x v="19"/>
    <x v="3"/>
  </r>
  <r>
    <s v="O01231"/>
    <s v="C0353"/>
    <s v="P001"/>
    <s v="R011"/>
    <d v="2025-08-05T00:00:00"/>
    <d v="2025-09-10T00:00:00"/>
    <d v="2025-09-10T00:00:00"/>
    <x v="0"/>
    <n v="1"/>
    <n v="20"/>
    <n v="96000"/>
    <n v="0"/>
    <s v="Budget"/>
    <s v="West"/>
    <x v="4"/>
    <s v="CRM"/>
    <x v="12"/>
    <x v="1"/>
  </r>
  <r>
    <s v="O01232"/>
    <s v="C0005"/>
    <s v="P006"/>
    <s v="R004"/>
    <d v="2025-06-19T00:00:00"/>
    <d v="2025-07-06T00:00:00"/>
    <m/>
    <x v="2"/>
    <n v="1"/>
    <n v="10"/>
    <n v="324000"/>
    <n v="60"/>
    <s v=""/>
    <s v="South"/>
    <x v="2"/>
    <s v="Security"/>
    <x v="3"/>
    <x v="2"/>
  </r>
  <r>
    <s v="O01233"/>
    <s v="C0492"/>
    <s v="P002"/>
    <s v="R011"/>
    <d v="2025-01-16T00:00:00"/>
    <d v="2025-03-14T00:00:00"/>
    <d v="2025-03-14T00:00:00"/>
    <x v="1"/>
    <n v="1"/>
    <n v="5"/>
    <n v="399000"/>
    <n v="100"/>
    <s v=""/>
    <s v="West"/>
    <x v="0"/>
    <s v="CRM"/>
    <x v="12"/>
    <x v="1"/>
  </r>
  <r>
    <s v="O01234"/>
    <s v="C0240"/>
    <s v="P002"/>
    <s v="R017"/>
    <d v="2025-02-08T00:00:00"/>
    <d v="2025-04-20T00:00:00"/>
    <d v="2025-04-20T00:00:00"/>
    <x v="0"/>
    <n v="1"/>
    <n v="15"/>
    <n v="357000"/>
    <n v="0"/>
    <s v="Budget"/>
    <s v="East"/>
    <x v="0"/>
    <s v="CRM"/>
    <x v="19"/>
    <x v="3"/>
  </r>
  <r>
    <s v="O01235"/>
    <s v="C0258"/>
    <s v="P003"/>
    <s v="R017"/>
    <d v="2025-11-19T00:00:00"/>
    <d v="2025-11-30T00:00:00"/>
    <d v="2025-11-30T00:00:00"/>
    <x v="1"/>
    <n v="2"/>
    <n v="10"/>
    <n v="432000"/>
    <n v="100"/>
    <s v=""/>
    <s v="East"/>
    <x v="1"/>
    <s v="Automation"/>
    <x v="19"/>
    <x v="3"/>
  </r>
  <r>
    <s v="O01236"/>
    <s v="C0220"/>
    <s v="P004"/>
    <s v="R019"/>
    <d v="2025-03-12T00:00:00"/>
    <d v="2025-03-19T00:00:00"/>
    <d v="2025-03-19T00:00:00"/>
    <x v="0"/>
    <n v="2"/>
    <n v="5"/>
    <n v="570000"/>
    <n v="0"/>
    <s v="Price"/>
    <s v="East"/>
    <x v="5"/>
    <s v="Analytics"/>
    <x v="10"/>
    <x v="3"/>
  </r>
  <r>
    <s v="O01237"/>
    <s v="C0294"/>
    <s v="P004"/>
    <s v="R008"/>
    <d v="2025-06-11T00:00:00"/>
    <d v="2025-09-01T00:00:00"/>
    <d v="2025-09-01T00:00:00"/>
    <x v="0"/>
    <n v="1"/>
    <n v="0"/>
    <n v="300000"/>
    <n v="0"/>
    <s v="Feature gap"/>
    <s v="North"/>
    <x v="5"/>
    <s v="Analytics"/>
    <x v="0"/>
    <x v="0"/>
  </r>
  <r>
    <s v="O01238"/>
    <s v="C0417"/>
    <s v="P003"/>
    <s v="R011"/>
    <d v="2025-05-25T00:00:00"/>
    <d v="2025-06-27T00:00:00"/>
    <d v="2025-06-27T00:00:00"/>
    <x v="0"/>
    <n v="1"/>
    <n v="15"/>
    <n v="204000"/>
    <n v="0"/>
    <s v="Budget"/>
    <s v="West"/>
    <x v="1"/>
    <s v="Automation"/>
    <x v="12"/>
    <x v="1"/>
  </r>
  <r>
    <s v="O01239"/>
    <s v="C0052"/>
    <s v="P002"/>
    <s v="R020"/>
    <d v="2025-10-27T00:00:00"/>
    <d v="2026-01-10T00:00:00"/>
    <m/>
    <x v="2"/>
    <n v="1"/>
    <n v="0"/>
    <n v="420000"/>
    <n v="60"/>
    <s v=""/>
    <s v="East"/>
    <x v="0"/>
    <s v="CRM"/>
    <x v="9"/>
    <x v="3"/>
  </r>
  <r>
    <s v="O01240"/>
    <s v="C0358"/>
    <s v="P002"/>
    <s v="R017"/>
    <d v="2025-04-09T00:00:00"/>
    <d v="2025-06-22T00:00:00"/>
    <m/>
    <x v="2"/>
    <n v="1"/>
    <n v="15"/>
    <n v="357000"/>
    <n v="60"/>
    <s v=""/>
    <s v="East"/>
    <x v="0"/>
    <s v="CRM"/>
    <x v="19"/>
    <x v="3"/>
  </r>
  <r>
    <s v="O01241"/>
    <s v="C0397"/>
    <s v="P005"/>
    <s v="R020"/>
    <d v="2025-03-14T00:00:00"/>
    <d v="2025-04-06T00:00:00"/>
    <m/>
    <x v="2"/>
    <n v="1"/>
    <n v="15"/>
    <n v="153000"/>
    <n v="80"/>
    <s v=""/>
    <s v="East"/>
    <x v="3"/>
    <s v="Service"/>
    <x v="9"/>
    <x v="3"/>
  </r>
  <r>
    <s v="O01242"/>
    <s v="C0026"/>
    <s v="P004"/>
    <s v="R011"/>
    <d v="2025-04-13T00:00:00"/>
    <d v="2025-05-22T00:00:00"/>
    <d v="2025-05-22T00:00:00"/>
    <x v="0"/>
    <n v="3"/>
    <n v="10"/>
    <n v="810000"/>
    <n v="0"/>
    <s v="Budget"/>
    <s v="West"/>
    <x v="5"/>
    <s v="Analytics"/>
    <x v="12"/>
    <x v="1"/>
  </r>
  <r>
    <s v="O01243"/>
    <s v="C0453"/>
    <s v="P006"/>
    <s v="R010"/>
    <d v="2025-05-04T00:00:00"/>
    <d v="2025-07-06T00:00:00"/>
    <m/>
    <x v="2"/>
    <n v="1"/>
    <n v="5"/>
    <n v="342000"/>
    <n v="80"/>
    <s v=""/>
    <s v="North"/>
    <x v="2"/>
    <s v="Security"/>
    <x v="16"/>
    <x v="0"/>
  </r>
  <r>
    <s v="O01244"/>
    <s v="C0197"/>
    <s v="P004"/>
    <s v="R007"/>
    <d v="2025-01-04T00:00:00"/>
    <d v="2025-02-21T00:00:00"/>
    <d v="2025-02-21T00:00:00"/>
    <x v="1"/>
    <n v="1"/>
    <n v="10"/>
    <n v="270000"/>
    <n v="100"/>
    <s v=""/>
    <s v="North"/>
    <x v="5"/>
    <s v="Analytics"/>
    <x v="13"/>
    <x v="0"/>
  </r>
  <r>
    <s v="O01245"/>
    <s v="C0221"/>
    <s v="P003"/>
    <s v="R001"/>
    <d v="2025-01-04T00:00:00"/>
    <d v="2025-03-19T00:00:00"/>
    <d v="2025-03-19T00:00:00"/>
    <x v="1"/>
    <n v="2"/>
    <n v="10"/>
    <n v="432000"/>
    <n v="100"/>
    <s v=""/>
    <s v="South"/>
    <x v="1"/>
    <s v="Automation"/>
    <x v="6"/>
    <x v="2"/>
  </r>
  <r>
    <s v="O01246"/>
    <s v="C0055"/>
    <s v="P002"/>
    <s v="R012"/>
    <d v="2025-05-12T00:00:00"/>
    <d v="2025-06-21T00:00:00"/>
    <m/>
    <x v="2"/>
    <n v="1"/>
    <n v="20"/>
    <n v="336000"/>
    <n v="80"/>
    <s v=""/>
    <s v="West"/>
    <x v="0"/>
    <s v="CRM"/>
    <x v="14"/>
    <x v="1"/>
  </r>
  <r>
    <s v="O01247"/>
    <s v="C0421"/>
    <s v="P004"/>
    <s v="R011"/>
    <d v="2025-02-02T00:00:00"/>
    <d v="2025-03-12T00:00:00"/>
    <d v="2025-03-12T00:00:00"/>
    <x v="0"/>
    <n v="2"/>
    <n v="5"/>
    <n v="570000"/>
    <n v="0"/>
    <s v="Feature gap"/>
    <s v="West"/>
    <x v="5"/>
    <s v="Analytics"/>
    <x v="12"/>
    <x v="1"/>
  </r>
  <r>
    <s v="O01248"/>
    <s v="C0314"/>
    <s v="P006"/>
    <s v="R005"/>
    <d v="2025-04-25T00:00:00"/>
    <d v="2025-07-18T00:00:00"/>
    <d v="2025-07-18T00:00:00"/>
    <x v="1"/>
    <n v="1"/>
    <n v="0"/>
    <n v="360000"/>
    <n v="100"/>
    <s v=""/>
    <s v="South"/>
    <x v="2"/>
    <s v="Security"/>
    <x v="11"/>
    <x v="2"/>
  </r>
  <r>
    <s v="O01249"/>
    <s v="C0431"/>
    <s v="P003"/>
    <s v="R003"/>
    <d v="2025-03-20T00:00:00"/>
    <d v="2025-04-10T00:00:00"/>
    <d v="2025-04-10T00:00:00"/>
    <x v="0"/>
    <n v="1"/>
    <n v="10"/>
    <n v="216000"/>
    <n v="0"/>
    <s v="Feature gap"/>
    <s v="South"/>
    <x v="1"/>
    <s v="Automation"/>
    <x v="15"/>
    <x v="2"/>
  </r>
  <r>
    <s v="O01250"/>
    <s v="C0499"/>
    <s v="P001"/>
    <s v="R020"/>
    <d v="2025-06-14T00:00:00"/>
    <d v="2025-07-19T00:00:00"/>
    <d v="2025-07-19T00:00:00"/>
    <x v="0"/>
    <n v="3"/>
    <n v="10"/>
    <n v="324000"/>
    <n v="0"/>
    <s v="Budget"/>
    <s v="East"/>
    <x v="4"/>
    <s v="CRM"/>
    <x v="9"/>
    <x v="3"/>
  </r>
  <r>
    <s v="O01251"/>
    <s v="C0139"/>
    <s v="P002"/>
    <s v="R016"/>
    <d v="2025-04-30T00:00:00"/>
    <d v="2025-06-21T00:00:00"/>
    <m/>
    <x v="2"/>
    <n v="3"/>
    <n v="20"/>
    <n v="1008000"/>
    <n v="40"/>
    <s v=""/>
    <s v="East"/>
    <x v="0"/>
    <s v="CRM"/>
    <x v="8"/>
    <x v="3"/>
  </r>
  <r>
    <s v="O01252"/>
    <s v="C0381"/>
    <s v="P004"/>
    <s v="R004"/>
    <d v="2025-08-30T00:00:00"/>
    <d v="2025-10-31T00:00:00"/>
    <d v="2025-10-31T00:00:00"/>
    <x v="1"/>
    <n v="2"/>
    <n v="10"/>
    <n v="540000"/>
    <n v="100"/>
    <s v=""/>
    <s v="South"/>
    <x v="5"/>
    <s v="Analytics"/>
    <x v="3"/>
    <x v="2"/>
  </r>
  <r>
    <s v="O01253"/>
    <s v="C0137"/>
    <s v="P006"/>
    <s v="R005"/>
    <d v="2025-03-23T00:00:00"/>
    <d v="2025-06-02T00:00:00"/>
    <d v="2025-06-02T00:00:00"/>
    <x v="1"/>
    <n v="3"/>
    <n v="5"/>
    <n v="1026000"/>
    <n v="100"/>
    <s v=""/>
    <s v="South"/>
    <x v="2"/>
    <s v="Security"/>
    <x v="11"/>
    <x v="2"/>
  </r>
  <r>
    <s v="O01254"/>
    <s v="C0319"/>
    <s v="P003"/>
    <s v="R007"/>
    <d v="2025-08-24T00:00:00"/>
    <d v="2025-10-31T00:00:00"/>
    <d v="2025-10-31T00:00:00"/>
    <x v="0"/>
    <n v="1"/>
    <n v="20"/>
    <n v="192000"/>
    <n v="0"/>
    <s v="Price"/>
    <s v="North"/>
    <x v="1"/>
    <s v="Automation"/>
    <x v="13"/>
    <x v="0"/>
  </r>
  <r>
    <s v="O01255"/>
    <s v="C0077"/>
    <s v="P003"/>
    <s v="R012"/>
    <d v="2025-07-15T00:00:00"/>
    <d v="2025-09-03T00:00:00"/>
    <m/>
    <x v="2"/>
    <n v="3"/>
    <n v="10"/>
    <n v="648000"/>
    <n v="80"/>
    <s v=""/>
    <s v="West"/>
    <x v="1"/>
    <s v="Automation"/>
    <x v="14"/>
    <x v="1"/>
  </r>
  <r>
    <s v="O01256"/>
    <s v="C0074"/>
    <s v="P002"/>
    <s v="R004"/>
    <d v="2025-03-02T00:00:00"/>
    <d v="2025-05-12T00:00:00"/>
    <d v="2025-05-12T00:00:00"/>
    <x v="0"/>
    <n v="3"/>
    <n v="0"/>
    <n v="1260000"/>
    <n v="0"/>
    <s v="Competition"/>
    <s v="South"/>
    <x v="0"/>
    <s v="CRM"/>
    <x v="3"/>
    <x v="2"/>
  </r>
  <r>
    <s v="O01257"/>
    <s v="C0327"/>
    <s v="P004"/>
    <s v="R016"/>
    <d v="2025-12-10T00:00:00"/>
    <d v="2026-01-21T00:00:00"/>
    <m/>
    <x v="2"/>
    <n v="2"/>
    <n v="15"/>
    <n v="510000"/>
    <n v="60"/>
    <s v=""/>
    <s v="East"/>
    <x v="5"/>
    <s v="Analytics"/>
    <x v="8"/>
    <x v="3"/>
  </r>
  <r>
    <s v="O01258"/>
    <s v="C0320"/>
    <s v="P006"/>
    <s v="R016"/>
    <d v="2025-08-20T00:00:00"/>
    <d v="2025-10-25T00:00:00"/>
    <d v="2025-10-25T00:00:00"/>
    <x v="0"/>
    <n v="3"/>
    <n v="0"/>
    <n v="1080000"/>
    <n v="0"/>
    <s v="Feature gap"/>
    <s v="East"/>
    <x v="2"/>
    <s v="Security"/>
    <x v="8"/>
    <x v="3"/>
  </r>
  <r>
    <s v="O01259"/>
    <s v="C0155"/>
    <s v="P003"/>
    <s v="R020"/>
    <d v="2025-11-08T00:00:00"/>
    <d v="2026-01-03T00:00:00"/>
    <m/>
    <x v="2"/>
    <n v="1"/>
    <n v="15"/>
    <n v="204000"/>
    <n v="40"/>
    <s v=""/>
    <s v="East"/>
    <x v="1"/>
    <s v="Automation"/>
    <x v="9"/>
    <x v="3"/>
  </r>
  <r>
    <s v="O01260"/>
    <s v="C0041"/>
    <s v="P002"/>
    <s v="R002"/>
    <d v="2025-10-31T00:00:00"/>
    <d v="2025-11-20T00:00:00"/>
    <d v="2025-11-20T00:00:00"/>
    <x v="0"/>
    <n v="1"/>
    <n v="0"/>
    <n v="420000"/>
    <n v="0"/>
    <s v="Budget"/>
    <s v="South"/>
    <x v="0"/>
    <s v="CRM"/>
    <x v="17"/>
    <x v="2"/>
  </r>
  <r>
    <s v="O01261"/>
    <s v="C0405"/>
    <s v="P005"/>
    <s v="R005"/>
    <d v="2025-11-26T00:00:00"/>
    <d v="2025-12-15T00:00:00"/>
    <d v="2025-12-15T00:00:00"/>
    <x v="0"/>
    <n v="3"/>
    <n v="5"/>
    <n v="513000"/>
    <n v="0"/>
    <s v="No decision"/>
    <s v="South"/>
    <x v="3"/>
    <s v="Service"/>
    <x v="11"/>
    <x v="2"/>
  </r>
  <r>
    <s v="O01262"/>
    <s v="C0025"/>
    <s v="P004"/>
    <s v="R020"/>
    <d v="2025-03-09T00:00:00"/>
    <d v="2025-04-03T00:00:00"/>
    <d v="2025-04-03T00:00:00"/>
    <x v="1"/>
    <n v="3"/>
    <n v="20"/>
    <n v="720000"/>
    <n v="100"/>
    <s v=""/>
    <s v="East"/>
    <x v="5"/>
    <s v="Analytics"/>
    <x v="9"/>
    <x v="3"/>
  </r>
  <r>
    <s v="O01263"/>
    <s v="C0162"/>
    <s v="P001"/>
    <s v="R004"/>
    <d v="2025-09-09T00:00:00"/>
    <d v="2025-11-20T00:00:00"/>
    <d v="2025-11-20T00:00:00"/>
    <x v="1"/>
    <n v="3"/>
    <n v="15"/>
    <n v="306000"/>
    <n v="100"/>
    <s v=""/>
    <s v="South"/>
    <x v="4"/>
    <s v="CRM"/>
    <x v="3"/>
    <x v="2"/>
  </r>
  <r>
    <s v="O01264"/>
    <s v="C0052"/>
    <s v="P002"/>
    <s v="R017"/>
    <d v="2025-02-21T00:00:00"/>
    <d v="2025-04-12T00:00:00"/>
    <d v="2025-04-12T00:00:00"/>
    <x v="1"/>
    <n v="1"/>
    <n v="10"/>
    <n v="378000"/>
    <n v="100"/>
    <s v=""/>
    <s v="East"/>
    <x v="0"/>
    <s v="CRM"/>
    <x v="19"/>
    <x v="3"/>
  </r>
  <r>
    <s v="O01265"/>
    <s v="C0317"/>
    <s v="P005"/>
    <s v="R012"/>
    <d v="2025-09-22T00:00:00"/>
    <d v="2025-11-03T00:00:00"/>
    <d v="2025-11-03T00:00:00"/>
    <x v="1"/>
    <n v="1"/>
    <n v="0"/>
    <n v="180000"/>
    <n v="100"/>
    <s v=""/>
    <s v="West"/>
    <x v="3"/>
    <s v="Service"/>
    <x v="14"/>
    <x v="1"/>
  </r>
  <r>
    <s v="O01266"/>
    <s v="C0480"/>
    <s v="P002"/>
    <s v="R013"/>
    <d v="2025-01-26T00:00:00"/>
    <d v="2025-04-11T00:00:00"/>
    <d v="2025-04-11T00:00:00"/>
    <x v="1"/>
    <n v="2"/>
    <n v="0"/>
    <n v="840000"/>
    <n v="100"/>
    <s v=""/>
    <s v="West"/>
    <x v="0"/>
    <s v="CRM"/>
    <x v="5"/>
    <x v="1"/>
  </r>
  <r>
    <s v="O01267"/>
    <s v="C0499"/>
    <s v="P003"/>
    <s v="R018"/>
    <d v="2025-07-02T00:00:00"/>
    <d v="2025-08-15T00:00:00"/>
    <d v="2025-08-15T00:00:00"/>
    <x v="0"/>
    <n v="1"/>
    <n v="15"/>
    <n v="204000"/>
    <n v="0"/>
    <s v="Feature gap"/>
    <s v="East"/>
    <x v="1"/>
    <s v="Automation"/>
    <x v="18"/>
    <x v="3"/>
  </r>
  <r>
    <s v="O01268"/>
    <s v="C0246"/>
    <s v="P002"/>
    <s v="R004"/>
    <d v="2025-09-17T00:00:00"/>
    <d v="2025-10-09T00:00:00"/>
    <d v="2025-10-09T00:00:00"/>
    <x v="0"/>
    <n v="1"/>
    <n v="20"/>
    <n v="336000"/>
    <n v="0"/>
    <s v="Budget"/>
    <s v="South"/>
    <x v="0"/>
    <s v="CRM"/>
    <x v="3"/>
    <x v="2"/>
  </r>
  <r>
    <s v="O01269"/>
    <s v="C0290"/>
    <s v="P001"/>
    <s v="R008"/>
    <d v="2025-10-14T00:00:00"/>
    <d v="2025-11-28T00:00:00"/>
    <d v="2025-11-28T00:00:00"/>
    <x v="0"/>
    <n v="1"/>
    <n v="5"/>
    <n v="114000"/>
    <n v="0"/>
    <s v="Competition"/>
    <s v="North"/>
    <x v="4"/>
    <s v="CRM"/>
    <x v="0"/>
    <x v="0"/>
  </r>
  <r>
    <s v="O01270"/>
    <s v="C0409"/>
    <s v="P004"/>
    <s v="R001"/>
    <d v="2025-08-27T00:00:00"/>
    <d v="2025-10-11T00:00:00"/>
    <m/>
    <x v="2"/>
    <n v="1"/>
    <n v="15"/>
    <n v="255000"/>
    <n v="80"/>
    <s v=""/>
    <s v="South"/>
    <x v="5"/>
    <s v="Analytics"/>
    <x v="6"/>
    <x v="2"/>
  </r>
  <r>
    <s v="O01271"/>
    <s v="C0043"/>
    <s v="P006"/>
    <s v="R009"/>
    <d v="2025-05-18T00:00:00"/>
    <d v="2025-08-11T00:00:00"/>
    <d v="2025-08-11T00:00:00"/>
    <x v="0"/>
    <n v="1"/>
    <n v="15"/>
    <n v="306000"/>
    <n v="0"/>
    <s v="No decision"/>
    <s v="North"/>
    <x v="2"/>
    <s v="Security"/>
    <x v="4"/>
    <x v="0"/>
  </r>
  <r>
    <s v="O01272"/>
    <s v="C0341"/>
    <s v="P001"/>
    <s v="R004"/>
    <d v="2025-10-17T00:00:00"/>
    <d v="2025-11-29T00:00:00"/>
    <d v="2025-11-29T00:00:00"/>
    <x v="0"/>
    <n v="1"/>
    <n v="5"/>
    <n v="114000"/>
    <n v="0"/>
    <s v="Budget"/>
    <s v="South"/>
    <x v="4"/>
    <s v="CRM"/>
    <x v="3"/>
    <x v="2"/>
  </r>
  <r>
    <s v="O01273"/>
    <s v="C0441"/>
    <s v="P002"/>
    <s v="R015"/>
    <d v="2025-07-27T00:00:00"/>
    <d v="2025-09-02T00:00:00"/>
    <d v="2025-09-02T00:00:00"/>
    <x v="1"/>
    <n v="1"/>
    <n v="0"/>
    <n v="420000"/>
    <n v="100"/>
    <s v=""/>
    <s v="West"/>
    <x v="0"/>
    <s v="CRM"/>
    <x v="7"/>
    <x v="1"/>
  </r>
  <r>
    <s v="O01274"/>
    <s v="C0308"/>
    <s v="P006"/>
    <s v="R004"/>
    <d v="2025-08-01T00:00:00"/>
    <d v="2025-08-17T00:00:00"/>
    <d v="2025-08-17T00:00:00"/>
    <x v="0"/>
    <n v="1"/>
    <n v="5"/>
    <n v="342000"/>
    <n v="0"/>
    <s v="No decision"/>
    <s v="South"/>
    <x v="2"/>
    <s v="Security"/>
    <x v="3"/>
    <x v="2"/>
  </r>
  <r>
    <s v="O01275"/>
    <s v="C0302"/>
    <s v="P005"/>
    <s v="R001"/>
    <d v="2025-02-07T00:00:00"/>
    <d v="2025-03-12T00:00:00"/>
    <m/>
    <x v="2"/>
    <n v="2"/>
    <n v="15"/>
    <n v="306000"/>
    <n v="40"/>
    <s v=""/>
    <s v="South"/>
    <x v="3"/>
    <s v="Service"/>
    <x v="6"/>
    <x v="2"/>
  </r>
  <r>
    <s v="O01276"/>
    <s v="C0062"/>
    <s v="P003"/>
    <s v="R003"/>
    <d v="2025-01-14T00:00:00"/>
    <d v="2025-02-17T00:00:00"/>
    <d v="2025-02-17T00:00:00"/>
    <x v="0"/>
    <n v="1"/>
    <n v="10"/>
    <n v="216000"/>
    <n v="0"/>
    <s v="No decision"/>
    <s v="South"/>
    <x v="1"/>
    <s v="Automation"/>
    <x v="15"/>
    <x v="2"/>
  </r>
  <r>
    <s v="O01277"/>
    <s v="C0385"/>
    <s v="P002"/>
    <s v="R009"/>
    <d v="2025-04-22T00:00:00"/>
    <d v="2025-07-12T00:00:00"/>
    <d v="2025-07-12T00:00:00"/>
    <x v="1"/>
    <n v="1"/>
    <n v="15"/>
    <n v="357000"/>
    <n v="100"/>
    <s v=""/>
    <s v="North"/>
    <x v="0"/>
    <s v="CRM"/>
    <x v="4"/>
    <x v="0"/>
  </r>
  <r>
    <s v="O01278"/>
    <s v="C0024"/>
    <s v="P001"/>
    <s v="R012"/>
    <d v="2025-10-08T00:00:00"/>
    <d v="2025-11-06T00:00:00"/>
    <d v="2025-11-06T00:00:00"/>
    <x v="1"/>
    <n v="1"/>
    <n v="10"/>
    <n v="108000"/>
    <n v="100"/>
    <s v=""/>
    <s v="West"/>
    <x v="4"/>
    <s v="CRM"/>
    <x v="14"/>
    <x v="1"/>
  </r>
  <r>
    <s v="O01279"/>
    <s v="C0093"/>
    <s v="P005"/>
    <s v="R010"/>
    <d v="2025-04-28T00:00:00"/>
    <d v="2025-06-12T00:00:00"/>
    <d v="2025-06-12T00:00:00"/>
    <x v="0"/>
    <n v="2"/>
    <n v="5"/>
    <n v="342000"/>
    <n v="0"/>
    <s v="Price"/>
    <s v="North"/>
    <x v="3"/>
    <s v="Service"/>
    <x v="16"/>
    <x v="0"/>
  </r>
  <r>
    <s v="O01280"/>
    <s v="C0184"/>
    <s v="P001"/>
    <s v="R006"/>
    <d v="2025-05-14T00:00:00"/>
    <d v="2025-08-04T00:00:00"/>
    <d v="2025-08-04T00:00:00"/>
    <x v="0"/>
    <n v="2"/>
    <n v="20"/>
    <n v="192000"/>
    <n v="0"/>
    <s v="Feature gap"/>
    <s v="North"/>
    <x v="4"/>
    <s v="CRM"/>
    <x v="2"/>
    <x v="0"/>
  </r>
  <r>
    <s v="O01281"/>
    <s v="C0334"/>
    <s v="P004"/>
    <s v="R014"/>
    <d v="2025-02-18T00:00:00"/>
    <d v="2025-03-03T00:00:00"/>
    <d v="2025-03-03T00:00:00"/>
    <x v="0"/>
    <n v="3"/>
    <n v="10"/>
    <n v="810000"/>
    <n v="0"/>
    <s v="Price"/>
    <s v="West"/>
    <x v="5"/>
    <s v="Analytics"/>
    <x v="1"/>
    <x v="1"/>
  </r>
  <r>
    <s v="O01282"/>
    <s v="C0106"/>
    <s v="P005"/>
    <s v="R011"/>
    <d v="2025-06-16T00:00:00"/>
    <d v="2025-07-01T00:00:00"/>
    <d v="2025-07-01T00:00:00"/>
    <x v="1"/>
    <n v="1"/>
    <n v="5"/>
    <n v="171000"/>
    <n v="100"/>
    <s v=""/>
    <s v="West"/>
    <x v="3"/>
    <s v="Service"/>
    <x v="12"/>
    <x v="1"/>
  </r>
  <r>
    <s v="O01283"/>
    <s v="C0217"/>
    <s v="P003"/>
    <s v="R017"/>
    <d v="2025-06-19T00:00:00"/>
    <d v="2025-07-02T00:00:00"/>
    <m/>
    <x v="2"/>
    <n v="2"/>
    <n v="20"/>
    <n v="384000"/>
    <n v="20"/>
    <s v=""/>
    <s v="East"/>
    <x v="1"/>
    <s v="Automation"/>
    <x v="19"/>
    <x v="3"/>
  </r>
  <r>
    <s v="O01284"/>
    <s v="C0483"/>
    <s v="P003"/>
    <s v="R007"/>
    <d v="2025-12-28T00:00:00"/>
    <d v="2026-01-05T00:00:00"/>
    <m/>
    <x v="2"/>
    <n v="2"/>
    <n v="0"/>
    <n v="480000"/>
    <n v="20"/>
    <s v=""/>
    <s v="North"/>
    <x v="1"/>
    <s v="Automation"/>
    <x v="13"/>
    <x v="0"/>
  </r>
  <r>
    <s v="O01285"/>
    <s v="C0168"/>
    <s v="P002"/>
    <s v="R017"/>
    <d v="2025-05-28T00:00:00"/>
    <d v="2025-06-16T00:00:00"/>
    <d v="2025-06-16T00:00:00"/>
    <x v="0"/>
    <n v="1"/>
    <n v="5"/>
    <n v="399000"/>
    <n v="0"/>
    <s v="No decision"/>
    <s v="East"/>
    <x v="0"/>
    <s v="CRM"/>
    <x v="19"/>
    <x v="3"/>
  </r>
  <r>
    <s v="O01286"/>
    <s v="C0106"/>
    <s v="P006"/>
    <s v="R015"/>
    <d v="2025-03-14T00:00:00"/>
    <d v="2025-04-07T00:00:00"/>
    <d v="2025-04-07T00:00:00"/>
    <x v="1"/>
    <n v="1"/>
    <n v="0"/>
    <n v="360000"/>
    <n v="100"/>
    <s v=""/>
    <s v="West"/>
    <x v="2"/>
    <s v="Security"/>
    <x v="7"/>
    <x v="1"/>
  </r>
  <r>
    <s v="O01287"/>
    <s v="C0492"/>
    <s v="P006"/>
    <s v="R015"/>
    <d v="2025-01-24T00:00:00"/>
    <d v="2025-02-14T00:00:00"/>
    <m/>
    <x v="2"/>
    <n v="1"/>
    <n v="10"/>
    <n v="324000"/>
    <n v="60"/>
    <s v=""/>
    <s v="West"/>
    <x v="2"/>
    <s v="Security"/>
    <x v="7"/>
    <x v="1"/>
  </r>
  <r>
    <s v="O01288"/>
    <s v="C0265"/>
    <s v="P004"/>
    <s v="R016"/>
    <d v="2025-04-20T00:00:00"/>
    <d v="2025-07-12T00:00:00"/>
    <d v="2025-07-12T00:00:00"/>
    <x v="1"/>
    <n v="1"/>
    <n v="10"/>
    <n v="270000"/>
    <n v="100"/>
    <s v=""/>
    <s v="East"/>
    <x v="5"/>
    <s v="Analytics"/>
    <x v="8"/>
    <x v="3"/>
  </r>
  <r>
    <s v="O01289"/>
    <s v="C0407"/>
    <s v="P001"/>
    <s v="R017"/>
    <d v="2025-05-16T00:00:00"/>
    <d v="2025-07-17T00:00:00"/>
    <d v="2025-07-17T00:00:00"/>
    <x v="0"/>
    <n v="2"/>
    <n v="5"/>
    <n v="228000"/>
    <n v="0"/>
    <s v="Competition"/>
    <s v="East"/>
    <x v="4"/>
    <s v="CRM"/>
    <x v="19"/>
    <x v="3"/>
  </r>
  <r>
    <s v="O01290"/>
    <s v="C0326"/>
    <s v="P006"/>
    <s v="R014"/>
    <d v="2025-11-17T00:00:00"/>
    <d v="2025-12-25T00:00:00"/>
    <m/>
    <x v="2"/>
    <n v="1"/>
    <n v="20"/>
    <n v="288000"/>
    <n v="60"/>
    <s v=""/>
    <s v="West"/>
    <x v="2"/>
    <s v="Security"/>
    <x v="1"/>
    <x v="1"/>
  </r>
  <r>
    <s v="O01291"/>
    <s v="C0190"/>
    <s v="P003"/>
    <s v="R020"/>
    <d v="2025-02-03T00:00:00"/>
    <d v="2025-03-31T00:00:00"/>
    <d v="2025-03-31T00:00:00"/>
    <x v="1"/>
    <n v="1"/>
    <n v="10"/>
    <n v="216000"/>
    <n v="100"/>
    <s v=""/>
    <s v="East"/>
    <x v="1"/>
    <s v="Automation"/>
    <x v="9"/>
    <x v="3"/>
  </r>
  <r>
    <s v="O01292"/>
    <s v="C0243"/>
    <s v="P003"/>
    <s v="R017"/>
    <d v="2025-05-08T00:00:00"/>
    <d v="2025-07-28T00:00:00"/>
    <d v="2025-07-28T00:00:00"/>
    <x v="0"/>
    <n v="1"/>
    <n v="5"/>
    <n v="228000"/>
    <n v="0"/>
    <s v="No decision"/>
    <s v="East"/>
    <x v="1"/>
    <s v="Automation"/>
    <x v="19"/>
    <x v="3"/>
  </r>
  <r>
    <s v="O01293"/>
    <s v="C0451"/>
    <s v="P005"/>
    <s v="R010"/>
    <d v="2025-06-23T00:00:00"/>
    <d v="2025-07-19T00:00:00"/>
    <d v="2025-07-19T00:00:00"/>
    <x v="0"/>
    <n v="1"/>
    <n v="5"/>
    <n v="171000"/>
    <n v="0"/>
    <s v="No decision"/>
    <s v="North"/>
    <x v="3"/>
    <s v="Service"/>
    <x v="16"/>
    <x v="0"/>
  </r>
  <r>
    <s v="O01294"/>
    <s v="C0358"/>
    <s v="P004"/>
    <s v="R017"/>
    <d v="2025-11-17T00:00:00"/>
    <d v="2025-12-22T00:00:00"/>
    <d v="2025-12-22T00:00:00"/>
    <x v="0"/>
    <n v="1"/>
    <n v="10"/>
    <n v="270000"/>
    <n v="0"/>
    <s v="Budget"/>
    <s v="East"/>
    <x v="5"/>
    <s v="Analytics"/>
    <x v="19"/>
    <x v="3"/>
  </r>
  <r>
    <s v="O01295"/>
    <s v="C0303"/>
    <s v="P006"/>
    <s v="R007"/>
    <d v="2025-11-12T00:00:00"/>
    <d v="2026-01-27T00:00:00"/>
    <m/>
    <x v="2"/>
    <n v="1"/>
    <n v="15"/>
    <n v="306000"/>
    <n v="20"/>
    <s v=""/>
    <s v="North"/>
    <x v="2"/>
    <s v="Security"/>
    <x v="13"/>
    <x v="0"/>
  </r>
  <r>
    <s v="O01296"/>
    <s v="C0126"/>
    <s v="P001"/>
    <s v="R009"/>
    <d v="2025-04-17T00:00:00"/>
    <d v="2025-06-11T00:00:00"/>
    <d v="2025-06-11T00:00:00"/>
    <x v="0"/>
    <n v="1"/>
    <n v="15"/>
    <n v="102000"/>
    <n v="0"/>
    <s v="Price"/>
    <s v="North"/>
    <x v="4"/>
    <s v="CRM"/>
    <x v="4"/>
    <x v="0"/>
  </r>
  <r>
    <s v="O01297"/>
    <s v="C0463"/>
    <s v="P006"/>
    <s v="R001"/>
    <d v="2025-10-12T00:00:00"/>
    <d v="2025-12-07T00:00:00"/>
    <m/>
    <x v="2"/>
    <n v="1"/>
    <n v="20"/>
    <n v="288000"/>
    <n v="40"/>
    <s v=""/>
    <s v="South"/>
    <x v="2"/>
    <s v="Security"/>
    <x v="6"/>
    <x v="2"/>
  </r>
  <r>
    <s v="O01298"/>
    <s v="C0394"/>
    <s v="P003"/>
    <s v="R004"/>
    <d v="2025-07-23T00:00:00"/>
    <d v="2025-09-03T00:00:00"/>
    <d v="2025-09-03T00:00:00"/>
    <x v="1"/>
    <n v="1"/>
    <n v="20"/>
    <n v="192000"/>
    <n v="100"/>
    <s v=""/>
    <s v="South"/>
    <x v="1"/>
    <s v="Automation"/>
    <x v="3"/>
    <x v="2"/>
  </r>
  <r>
    <s v="O01299"/>
    <s v="C0203"/>
    <s v="P005"/>
    <s v="R018"/>
    <d v="2025-09-16T00:00:00"/>
    <d v="2025-10-03T00:00:00"/>
    <m/>
    <x v="2"/>
    <n v="1"/>
    <n v="5"/>
    <n v="171000"/>
    <n v="80"/>
    <s v=""/>
    <s v="East"/>
    <x v="3"/>
    <s v="Service"/>
    <x v="18"/>
    <x v="3"/>
  </r>
  <r>
    <s v="O01300"/>
    <s v="C0057"/>
    <s v="P001"/>
    <s v="R001"/>
    <d v="2025-07-19T00:00:00"/>
    <d v="2025-09-08T00:00:00"/>
    <d v="2025-09-08T00:00:00"/>
    <x v="1"/>
    <n v="3"/>
    <n v="0"/>
    <n v="360000"/>
    <n v="100"/>
    <s v=""/>
    <s v="South"/>
    <x v="4"/>
    <s v="CRM"/>
    <x v="6"/>
    <x v="2"/>
  </r>
  <r>
    <s v="O01301"/>
    <s v="C0244"/>
    <s v="P006"/>
    <s v="R009"/>
    <d v="2025-09-04T00:00:00"/>
    <d v="2025-10-07T00:00:00"/>
    <d v="2025-10-07T00:00:00"/>
    <x v="0"/>
    <n v="1"/>
    <n v="20"/>
    <n v="288000"/>
    <n v="0"/>
    <s v="Budget"/>
    <s v="North"/>
    <x v="2"/>
    <s v="Security"/>
    <x v="4"/>
    <x v="0"/>
  </r>
  <r>
    <s v="O01302"/>
    <s v="C0253"/>
    <s v="P005"/>
    <s v="R012"/>
    <d v="2025-01-20T00:00:00"/>
    <d v="2025-02-28T00:00:00"/>
    <d v="2025-02-28T00:00:00"/>
    <x v="1"/>
    <n v="3"/>
    <n v="0"/>
    <n v="540000"/>
    <n v="100"/>
    <s v=""/>
    <s v="West"/>
    <x v="3"/>
    <s v="Service"/>
    <x v="14"/>
    <x v="1"/>
  </r>
  <r>
    <s v="O01303"/>
    <s v="C0437"/>
    <s v="P004"/>
    <s v="R011"/>
    <d v="2025-07-26T00:00:00"/>
    <d v="2025-08-06T00:00:00"/>
    <m/>
    <x v="2"/>
    <n v="1"/>
    <n v="20"/>
    <n v="240000"/>
    <n v="20"/>
    <s v=""/>
    <s v="West"/>
    <x v="5"/>
    <s v="Analytics"/>
    <x v="12"/>
    <x v="1"/>
  </r>
  <r>
    <s v="O01304"/>
    <s v="C0284"/>
    <s v="P003"/>
    <s v="R017"/>
    <d v="2025-01-31T00:00:00"/>
    <d v="2025-03-04T00:00:00"/>
    <d v="2025-03-04T00:00:00"/>
    <x v="1"/>
    <n v="1"/>
    <n v="15"/>
    <n v="204000"/>
    <n v="100"/>
    <s v=""/>
    <s v="East"/>
    <x v="1"/>
    <s v="Automation"/>
    <x v="19"/>
    <x v="3"/>
  </r>
  <r>
    <s v="O01305"/>
    <s v="C0105"/>
    <s v="P002"/>
    <s v="R011"/>
    <d v="2025-10-26T00:00:00"/>
    <d v="2025-11-04T00:00:00"/>
    <d v="2025-11-04T00:00:00"/>
    <x v="0"/>
    <n v="1"/>
    <n v="10"/>
    <n v="378000"/>
    <n v="0"/>
    <s v="Price"/>
    <s v="West"/>
    <x v="0"/>
    <s v="CRM"/>
    <x v="12"/>
    <x v="1"/>
  </r>
  <r>
    <s v="O01306"/>
    <s v="C0236"/>
    <s v="P006"/>
    <s v="R013"/>
    <d v="2025-06-12T00:00:00"/>
    <d v="2025-08-20T00:00:00"/>
    <d v="2025-08-20T00:00:00"/>
    <x v="1"/>
    <n v="1"/>
    <n v="20"/>
    <n v="288000"/>
    <n v="100"/>
    <s v=""/>
    <s v="West"/>
    <x v="2"/>
    <s v="Security"/>
    <x v="5"/>
    <x v="1"/>
  </r>
  <r>
    <s v="O01307"/>
    <s v="C0256"/>
    <s v="P003"/>
    <s v="R005"/>
    <d v="2025-02-26T00:00:00"/>
    <d v="2025-04-22T00:00:00"/>
    <d v="2025-04-22T00:00:00"/>
    <x v="0"/>
    <n v="1"/>
    <n v="20"/>
    <n v="192000"/>
    <n v="0"/>
    <s v="Competition"/>
    <s v="South"/>
    <x v="1"/>
    <s v="Automation"/>
    <x v="11"/>
    <x v="2"/>
  </r>
  <r>
    <s v="O01308"/>
    <s v="C0472"/>
    <s v="P003"/>
    <s v="R007"/>
    <d v="2025-06-19T00:00:00"/>
    <d v="2025-09-10T00:00:00"/>
    <d v="2025-09-10T00:00:00"/>
    <x v="1"/>
    <n v="2"/>
    <n v="5"/>
    <n v="456000"/>
    <n v="100"/>
    <s v=""/>
    <s v="North"/>
    <x v="1"/>
    <s v="Automation"/>
    <x v="13"/>
    <x v="0"/>
  </r>
  <r>
    <s v="O01309"/>
    <s v="C0166"/>
    <s v="P002"/>
    <s v="R019"/>
    <d v="2025-06-09T00:00:00"/>
    <d v="2025-06-16T00:00:00"/>
    <m/>
    <x v="2"/>
    <n v="1"/>
    <n v="10"/>
    <n v="378000"/>
    <n v="60"/>
    <s v=""/>
    <s v="East"/>
    <x v="0"/>
    <s v="CRM"/>
    <x v="10"/>
    <x v="3"/>
  </r>
  <r>
    <s v="O01310"/>
    <s v="C0190"/>
    <s v="P001"/>
    <s v="R020"/>
    <d v="2025-11-18T00:00:00"/>
    <d v="2026-01-07T00:00:00"/>
    <m/>
    <x v="2"/>
    <n v="2"/>
    <n v="15"/>
    <n v="204000"/>
    <n v="60"/>
    <s v=""/>
    <s v="East"/>
    <x v="4"/>
    <s v="CRM"/>
    <x v="9"/>
    <x v="3"/>
  </r>
  <r>
    <s v="O01311"/>
    <s v="C0390"/>
    <s v="P006"/>
    <s v="R013"/>
    <d v="2025-07-27T00:00:00"/>
    <d v="2025-09-05T00:00:00"/>
    <d v="2025-09-05T00:00:00"/>
    <x v="0"/>
    <n v="2"/>
    <n v="0"/>
    <n v="720000"/>
    <n v="0"/>
    <s v="Price"/>
    <s v="West"/>
    <x v="2"/>
    <s v="Security"/>
    <x v="5"/>
    <x v="1"/>
  </r>
  <r>
    <s v="O01312"/>
    <s v="C0003"/>
    <s v="P004"/>
    <s v="R005"/>
    <d v="2025-11-28T00:00:00"/>
    <d v="2026-01-27T00:00:00"/>
    <m/>
    <x v="2"/>
    <n v="1"/>
    <n v="10"/>
    <n v="270000"/>
    <n v="20"/>
    <s v=""/>
    <s v="South"/>
    <x v="5"/>
    <s v="Analytics"/>
    <x v="11"/>
    <x v="2"/>
  </r>
  <r>
    <s v="O01313"/>
    <s v="C0209"/>
    <s v="P002"/>
    <s v="R012"/>
    <d v="2025-09-14T00:00:00"/>
    <d v="2025-10-06T00:00:00"/>
    <d v="2025-10-06T00:00:00"/>
    <x v="0"/>
    <n v="1"/>
    <n v="5"/>
    <n v="399000"/>
    <n v="0"/>
    <s v="Competition"/>
    <s v="West"/>
    <x v="0"/>
    <s v="CRM"/>
    <x v="14"/>
    <x v="1"/>
  </r>
  <r>
    <s v="O01314"/>
    <s v="C0143"/>
    <s v="P004"/>
    <s v="R008"/>
    <d v="2025-03-21T00:00:00"/>
    <d v="2025-05-12T00:00:00"/>
    <d v="2025-05-12T00:00:00"/>
    <x v="0"/>
    <n v="3"/>
    <n v="20"/>
    <n v="720000"/>
    <n v="0"/>
    <s v="Price"/>
    <s v="North"/>
    <x v="5"/>
    <s v="Analytics"/>
    <x v="0"/>
    <x v="0"/>
  </r>
  <r>
    <s v="O01315"/>
    <s v="C0232"/>
    <s v="P005"/>
    <s v="R011"/>
    <d v="2025-04-27T00:00:00"/>
    <d v="2025-05-17T00:00:00"/>
    <d v="2025-05-17T00:00:00"/>
    <x v="0"/>
    <n v="1"/>
    <n v="5"/>
    <n v="171000"/>
    <n v="0"/>
    <s v="Price"/>
    <s v="West"/>
    <x v="3"/>
    <s v="Service"/>
    <x v="12"/>
    <x v="1"/>
  </r>
  <r>
    <s v="O01316"/>
    <s v="C0061"/>
    <s v="P006"/>
    <s v="R018"/>
    <d v="2025-09-08T00:00:00"/>
    <d v="2025-09-20T00:00:00"/>
    <d v="2025-09-20T00:00:00"/>
    <x v="0"/>
    <n v="3"/>
    <n v="15"/>
    <n v="918000"/>
    <n v="0"/>
    <s v="Price"/>
    <s v="East"/>
    <x v="2"/>
    <s v="Security"/>
    <x v="18"/>
    <x v="3"/>
  </r>
  <r>
    <s v="O01317"/>
    <s v="C0483"/>
    <s v="P003"/>
    <s v="R007"/>
    <d v="2025-06-04T00:00:00"/>
    <d v="2025-07-23T00:00:00"/>
    <d v="2025-07-23T00:00:00"/>
    <x v="1"/>
    <n v="1"/>
    <n v="20"/>
    <n v="192000"/>
    <n v="100"/>
    <s v=""/>
    <s v="North"/>
    <x v="1"/>
    <s v="Automation"/>
    <x v="13"/>
    <x v="0"/>
  </r>
  <r>
    <s v="O01318"/>
    <s v="C0329"/>
    <s v="P005"/>
    <s v="R010"/>
    <d v="2025-11-09T00:00:00"/>
    <d v="2026-01-04T00:00:00"/>
    <m/>
    <x v="2"/>
    <n v="1"/>
    <n v="10"/>
    <n v="162000"/>
    <n v="80"/>
    <s v=""/>
    <s v="North"/>
    <x v="3"/>
    <s v="Service"/>
    <x v="16"/>
    <x v="0"/>
  </r>
  <r>
    <s v="O01319"/>
    <s v="C0342"/>
    <s v="P002"/>
    <s v="R016"/>
    <d v="2025-04-24T00:00:00"/>
    <d v="2025-06-26T00:00:00"/>
    <m/>
    <x v="2"/>
    <n v="1"/>
    <n v="5"/>
    <n v="399000"/>
    <n v="80"/>
    <s v=""/>
    <s v="East"/>
    <x v="0"/>
    <s v="CRM"/>
    <x v="8"/>
    <x v="3"/>
  </r>
  <r>
    <s v="O01320"/>
    <s v="C0402"/>
    <s v="P003"/>
    <s v="R020"/>
    <d v="2025-10-20T00:00:00"/>
    <d v="2025-10-29T00:00:00"/>
    <d v="2025-10-29T00:00:00"/>
    <x v="1"/>
    <n v="3"/>
    <n v="10"/>
    <n v="648000"/>
    <n v="100"/>
    <s v=""/>
    <s v="East"/>
    <x v="1"/>
    <s v="Automation"/>
    <x v="9"/>
    <x v="3"/>
  </r>
  <r>
    <s v="O01321"/>
    <s v="C0153"/>
    <s v="P003"/>
    <s v="R002"/>
    <d v="2025-09-24T00:00:00"/>
    <d v="2025-12-09T00:00:00"/>
    <d v="2025-12-09T00:00:00"/>
    <x v="0"/>
    <n v="2"/>
    <n v="0"/>
    <n v="480000"/>
    <n v="0"/>
    <s v="Price"/>
    <s v="South"/>
    <x v="1"/>
    <s v="Automation"/>
    <x v="17"/>
    <x v="2"/>
  </r>
  <r>
    <s v="O01322"/>
    <s v="C0232"/>
    <s v="P003"/>
    <s v="R013"/>
    <d v="2025-08-16T00:00:00"/>
    <d v="2025-09-02T00:00:00"/>
    <m/>
    <x v="2"/>
    <n v="2"/>
    <n v="10"/>
    <n v="432000"/>
    <n v="40"/>
    <s v=""/>
    <s v="West"/>
    <x v="1"/>
    <s v="Automation"/>
    <x v="5"/>
    <x v="1"/>
  </r>
  <r>
    <s v="O01323"/>
    <s v="C0144"/>
    <s v="P002"/>
    <s v="R019"/>
    <d v="2025-07-24T00:00:00"/>
    <d v="2025-08-20T00:00:00"/>
    <d v="2025-08-20T00:00:00"/>
    <x v="0"/>
    <n v="3"/>
    <n v="15"/>
    <n v="1071000"/>
    <n v="0"/>
    <s v="Budget"/>
    <s v="East"/>
    <x v="0"/>
    <s v="CRM"/>
    <x v="10"/>
    <x v="3"/>
  </r>
  <r>
    <s v="O01324"/>
    <s v="C0090"/>
    <s v="P002"/>
    <s v="R013"/>
    <d v="2025-09-20T00:00:00"/>
    <d v="2025-10-01T00:00:00"/>
    <d v="2025-10-01T00:00:00"/>
    <x v="1"/>
    <n v="1"/>
    <n v="0"/>
    <n v="420000"/>
    <n v="100"/>
    <s v=""/>
    <s v="West"/>
    <x v="0"/>
    <s v="CRM"/>
    <x v="5"/>
    <x v="1"/>
  </r>
  <r>
    <s v="O01325"/>
    <s v="C0168"/>
    <s v="P005"/>
    <s v="R018"/>
    <d v="2025-06-11T00:00:00"/>
    <d v="2025-08-31T00:00:00"/>
    <d v="2025-08-31T00:00:00"/>
    <x v="0"/>
    <n v="1"/>
    <n v="15"/>
    <n v="153000"/>
    <n v="0"/>
    <s v="No decision"/>
    <s v="East"/>
    <x v="3"/>
    <s v="Service"/>
    <x v="18"/>
    <x v="3"/>
  </r>
  <r>
    <s v="O01326"/>
    <s v="C0184"/>
    <s v="P002"/>
    <s v="R007"/>
    <d v="2025-02-12T00:00:00"/>
    <d v="2025-04-28T00:00:00"/>
    <d v="2025-04-28T00:00:00"/>
    <x v="1"/>
    <n v="1"/>
    <n v="20"/>
    <n v="336000"/>
    <n v="100"/>
    <s v=""/>
    <s v="North"/>
    <x v="0"/>
    <s v="CRM"/>
    <x v="13"/>
    <x v="0"/>
  </r>
  <r>
    <s v="O01327"/>
    <s v="C0317"/>
    <s v="P005"/>
    <s v="R011"/>
    <d v="2025-08-15T00:00:00"/>
    <d v="2025-10-23T00:00:00"/>
    <d v="2025-10-23T00:00:00"/>
    <x v="1"/>
    <n v="1"/>
    <n v="5"/>
    <n v="171000"/>
    <n v="100"/>
    <s v=""/>
    <s v="West"/>
    <x v="3"/>
    <s v="Service"/>
    <x v="12"/>
    <x v="1"/>
  </r>
  <r>
    <s v="O01328"/>
    <s v="C0351"/>
    <s v="P002"/>
    <s v="R015"/>
    <d v="2025-04-01T00:00:00"/>
    <d v="2025-05-26T00:00:00"/>
    <m/>
    <x v="2"/>
    <n v="3"/>
    <n v="5"/>
    <n v="1197000"/>
    <n v="80"/>
    <s v=""/>
    <s v="West"/>
    <x v="0"/>
    <s v="CRM"/>
    <x v="7"/>
    <x v="1"/>
  </r>
  <r>
    <s v="O01329"/>
    <s v="C0498"/>
    <s v="P002"/>
    <s v="R016"/>
    <d v="2025-04-29T00:00:00"/>
    <d v="2025-07-09T00:00:00"/>
    <d v="2025-07-09T00:00:00"/>
    <x v="0"/>
    <n v="1"/>
    <n v="10"/>
    <n v="378000"/>
    <n v="0"/>
    <s v="Price"/>
    <s v="East"/>
    <x v="0"/>
    <s v="CRM"/>
    <x v="8"/>
    <x v="3"/>
  </r>
  <r>
    <s v="O01330"/>
    <s v="C0330"/>
    <s v="P002"/>
    <s v="R002"/>
    <d v="2025-07-11T00:00:00"/>
    <d v="2025-09-18T00:00:00"/>
    <d v="2025-09-18T00:00:00"/>
    <x v="0"/>
    <n v="3"/>
    <n v="15"/>
    <n v="1071000"/>
    <n v="0"/>
    <s v="Feature gap"/>
    <s v="South"/>
    <x v="0"/>
    <s v="CRM"/>
    <x v="17"/>
    <x v="2"/>
  </r>
  <r>
    <s v="O01331"/>
    <s v="C0298"/>
    <s v="P006"/>
    <s v="R003"/>
    <d v="2025-08-09T00:00:00"/>
    <d v="2025-09-03T00:00:00"/>
    <d v="2025-09-03T00:00:00"/>
    <x v="1"/>
    <n v="1"/>
    <n v="10"/>
    <n v="324000"/>
    <n v="100"/>
    <s v=""/>
    <s v="South"/>
    <x v="2"/>
    <s v="Security"/>
    <x v="15"/>
    <x v="2"/>
  </r>
  <r>
    <s v="O01332"/>
    <s v="C0319"/>
    <s v="P002"/>
    <s v="R007"/>
    <d v="2025-01-01T00:00:00"/>
    <d v="2025-02-21T00:00:00"/>
    <d v="2025-02-21T00:00:00"/>
    <x v="1"/>
    <n v="1"/>
    <n v="5"/>
    <n v="399000"/>
    <n v="100"/>
    <s v=""/>
    <s v="North"/>
    <x v="0"/>
    <s v="CRM"/>
    <x v="13"/>
    <x v="0"/>
  </r>
  <r>
    <s v="O01333"/>
    <s v="C0146"/>
    <s v="P003"/>
    <s v="R009"/>
    <d v="2025-05-29T00:00:00"/>
    <d v="2025-07-11T00:00:00"/>
    <d v="2025-07-11T00:00:00"/>
    <x v="0"/>
    <n v="1"/>
    <n v="15"/>
    <n v="204000"/>
    <n v="0"/>
    <s v="Price"/>
    <s v="North"/>
    <x v="1"/>
    <s v="Automation"/>
    <x v="4"/>
    <x v="0"/>
  </r>
  <r>
    <s v="O01334"/>
    <s v="C0220"/>
    <s v="P003"/>
    <s v="R016"/>
    <d v="2025-06-26T00:00:00"/>
    <d v="2025-09-01T00:00:00"/>
    <d v="2025-09-01T00:00:00"/>
    <x v="1"/>
    <n v="2"/>
    <n v="0"/>
    <n v="480000"/>
    <n v="100"/>
    <s v=""/>
    <s v="East"/>
    <x v="1"/>
    <s v="Automation"/>
    <x v="8"/>
    <x v="3"/>
  </r>
  <r>
    <s v="O01335"/>
    <s v="C0029"/>
    <s v="P004"/>
    <s v="R006"/>
    <d v="2025-11-16T00:00:00"/>
    <d v="2025-12-09T00:00:00"/>
    <d v="2025-12-09T00:00:00"/>
    <x v="1"/>
    <n v="1"/>
    <n v="0"/>
    <n v="300000"/>
    <n v="100"/>
    <s v=""/>
    <s v="North"/>
    <x v="5"/>
    <s v="Analytics"/>
    <x v="2"/>
    <x v="0"/>
  </r>
  <r>
    <s v="O01336"/>
    <s v="C0102"/>
    <s v="P006"/>
    <s v="R014"/>
    <d v="2025-03-05T00:00:00"/>
    <d v="2025-05-25T00:00:00"/>
    <d v="2025-05-25T00:00:00"/>
    <x v="0"/>
    <n v="1"/>
    <n v="0"/>
    <n v="360000"/>
    <n v="0"/>
    <s v="No decision"/>
    <s v="West"/>
    <x v="2"/>
    <s v="Security"/>
    <x v="1"/>
    <x v="1"/>
  </r>
  <r>
    <s v="O01337"/>
    <s v="C0012"/>
    <s v="P001"/>
    <s v="R001"/>
    <d v="2025-05-06T00:00:00"/>
    <d v="2025-06-25T00:00:00"/>
    <d v="2025-06-25T00:00:00"/>
    <x v="0"/>
    <n v="1"/>
    <n v="20"/>
    <n v="96000"/>
    <n v="0"/>
    <s v="Competition"/>
    <s v="South"/>
    <x v="4"/>
    <s v="CRM"/>
    <x v="6"/>
    <x v="2"/>
  </r>
  <r>
    <s v="O01338"/>
    <s v="C0338"/>
    <s v="P006"/>
    <s v="R020"/>
    <d v="2025-07-14T00:00:00"/>
    <d v="2025-08-16T00:00:00"/>
    <d v="2025-08-16T00:00:00"/>
    <x v="0"/>
    <n v="1"/>
    <n v="15"/>
    <n v="306000"/>
    <n v="0"/>
    <s v="Price"/>
    <s v="East"/>
    <x v="2"/>
    <s v="Security"/>
    <x v="9"/>
    <x v="3"/>
  </r>
  <r>
    <s v="O01339"/>
    <s v="C0446"/>
    <s v="P001"/>
    <s v="R009"/>
    <d v="2025-06-30T00:00:00"/>
    <d v="2025-08-30T00:00:00"/>
    <d v="2025-08-30T00:00:00"/>
    <x v="1"/>
    <n v="2"/>
    <n v="10"/>
    <n v="216000"/>
    <n v="100"/>
    <s v=""/>
    <s v="North"/>
    <x v="4"/>
    <s v="CRM"/>
    <x v="4"/>
    <x v="0"/>
  </r>
  <r>
    <s v="O01340"/>
    <s v="C0487"/>
    <s v="P003"/>
    <s v="R014"/>
    <d v="2025-06-10T00:00:00"/>
    <d v="2025-08-05T00:00:00"/>
    <m/>
    <x v="2"/>
    <n v="3"/>
    <n v="15"/>
    <n v="612000"/>
    <n v="80"/>
    <s v=""/>
    <s v="West"/>
    <x v="1"/>
    <s v="Automation"/>
    <x v="1"/>
    <x v="1"/>
  </r>
  <r>
    <s v="O01341"/>
    <s v="C0363"/>
    <s v="P003"/>
    <s v="R006"/>
    <d v="2025-01-12T00:00:00"/>
    <d v="2025-02-05T00:00:00"/>
    <d v="2025-02-05T00:00:00"/>
    <x v="1"/>
    <n v="1"/>
    <n v="0"/>
    <n v="240000"/>
    <n v="100"/>
    <s v=""/>
    <s v="North"/>
    <x v="1"/>
    <s v="Automation"/>
    <x v="2"/>
    <x v="0"/>
  </r>
  <r>
    <s v="O01342"/>
    <s v="C0028"/>
    <s v="P004"/>
    <s v="R017"/>
    <d v="2025-08-18T00:00:00"/>
    <d v="2025-10-27T00:00:00"/>
    <m/>
    <x v="2"/>
    <n v="1"/>
    <n v="20"/>
    <n v="240000"/>
    <n v="40"/>
    <s v=""/>
    <s v="East"/>
    <x v="5"/>
    <s v="Analytics"/>
    <x v="19"/>
    <x v="3"/>
  </r>
  <r>
    <s v="O01343"/>
    <s v="C0155"/>
    <s v="P004"/>
    <s v="R018"/>
    <d v="2025-01-03T00:00:00"/>
    <d v="2025-02-04T00:00:00"/>
    <d v="2025-02-04T00:00:00"/>
    <x v="1"/>
    <n v="1"/>
    <n v="15"/>
    <n v="255000"/>
    <n v="100"/>
    <s v=""/>
    <s v="East"/>
    <x v="5"/>
    <s v="Analytics"/>
    <x v="18"/>
    <x v="3"/>
  </r>
  <r>
    <s v="O01344"/>
    <s v="C0060"/>
    <s v="P005"/>
    <s v="R018"/>
    <d v="2025-12-24T00:00:00"/>
    <d v="2026-02-27T00:00:00"/>
    <m/>
    <x v="2"/>
    <n v="1"/>
    <n v="5"/>
    <n v="171000"/>
    <n v="40"/>
    <s v=""/>
    <s v="East"/>
    <x v="3"/>
    <s v="Service"/>
    <x v="18"/>
    <x v="3"/>
  </r>
  <r>
    <s v="O01345"/>
    <s v="C0029"/>
    <s v="P005"/>
    <s v="R008"/>
    <d v="2025-06-12T00:00:00"/>
    <d v="2025-08-08T00:00:00"/>
    <d v="2025-08-08T00:00:00"/>
    <x v="1"/>
    <n v="2"/>
    <n v="15"/>
    <n v="306000"/>
    <n v="100"/>
    <s v=""/>
    <s v="North"/>
    <x v="3"/>
    <s v="Service"/>
    <x v="0"/>
    <x v="0"/>
  </r>
  <r>
    <s v="O01346"/>
    <s v="C0072"/>
    <s v="P005"/>
    <s v="R009"/>
    <d v="2025-04-13T00:00:00"/>
    <d v="2025-04-28T00:00:00"/>
    <d v="2025-04-28T00:00:00"/>
    <x v="1"/>
    <n v="1"/>
    <n v="5"/>
    <n v="171000"/>
    <n v="100"/>
    <s v=""/>
    <s v="North"/>
    <x v="3"/>
    <s v="Service"/>
    <x v="4"/>
    <x v="0"/>
  </r>
  <r>
    <s v="O01347"/>
    <s v="C0396"/>
    <s v="P005"/>
    <s v="R007"/>
    <d v="2025-04-15T00:00:00"/>
    <d v="2025-05-19T00:00:00"/>
    <m/>
    <x v="2"/>
    <n v="2"/>
    <n v="15"/>
    <n v="306000"/>
    <n v="80"/>
    <s v=""/>
    <s v="North"/>
    <x v="3"/>
    <s v="Service"/>
    <x v="13"/>
    <x v="0"/>
  </r>
  <r>
    <s v="O01348"/>
    <s v="C0256"/>
    <s v="P006"/>
    <s v="R001"/>
    <d v="2025-12-24T00:00:00"/>
    <d v="2026-01-01T00:00:00"/>
    <m/>
    <x v="2"/>
    <n v="1"/>
    <n v="10"/>
    <n v="324000"/>
    <n v="60"/>
    <s v=""/>
    <s v="South"/>
    <x v="2"/>
    <s v="Security"/>
    <x v="6"/>
    <x v="2"/>
  </r>
  <r>
    <s v="O01349"/>
    <s v="C0477"/>
    <s v="P002"/>
    <s v="R008"/>
    <d v="2025-01-26T00:00:00"/>
    <d v="2025-02-02T00:00:00"/>
    <m/>
    <x v="2"/>
    <n v="1"/>
    <n v="0"/>
    <n v="420000"/>
    <n v="60"/>
    <s v=""/>
    <s v="North"/>
    <x v="0"/>
    <s v="CRM"/>
    <x v="0"/>
    <x v="0"/>
  </r>
  <r>
    <s v="O01350"/>
    <s v="C0261"/>
    <s v="P005"/>
    <s v="R006"/>
    <d v="2025-05-27T00:00:00"/>
    <d v="2025-06-11T00:00:00"/>
    <d v="2025-06-11T00:00:00"/>
    <x v="1"/>
    <n v="1"/>
    <n v="10"/>
    <n v="162000"/>
    <n v="100"/>
    <s v=""/>
    <s v="North"/>
    <x v="3"/>
    <s v="Service"/>
    <x v="2"/>
    <x v="0"/>
  </r>
  <r>
    <s v="O01351"/>
    <s v="C0268"/>
    <s v="P006"/>
    <s v="R011"/>
    <d v="2025-05-21T00:00:00"/>
    <d v="2025-06-24T00:00:00"/>
    <d v="2025-06-24T00:00:00"/>
    <x v="0"/>
    <n v="2"/>
    <n v="10"/>
    <n v="648000"/>
    <n v="0"/>
    <s v="Budget"/>
    <s v="West"/>
    <x v="2"/>
    <s v="Security"/>
    <x v="12"/>
    <x v="1"/>
  </r>
  <r>
    <s v="O01352"/>
    <s v="C0145"/>
    <s v="P004"/>
    <s v="R016"/>
    <d v="2025-09-07T00:00:00"/>
    <d v="2025-11-10T00:00:00"/>
    <m/>
    <x v="2"/>
    <n v="3"/>
    <n v="10"/>
    <n v="810000"/>
    <n v="20"/>
    <s v=""/>
    <s v="East"/>
    <x v="5"/>
    <s v="Analytics"/>
    <x v="8"/>
    <x v="3"/>
  </r>
  <r>
    <s v="O01353"/>
    <s v="C0270"/>
    <s v="P006"/>
    <s v="R005"/>
    <d v="2025-11-27T00:00:00"/>
    <d v="2026-02-03T00:00:00"/>
    <m/>
    <x v="2"/>
    <n v="1"/>
    <n v="15"/>
    <n v="306000"/>
    <n v="20"/>
    <s v=""/>
    <s v="South"/>
    <x v="2"/>
    <s v="Security"/>
    <x v="11"/>
    <x v="2"/>
  </r>
  <r>
    <s v="O01354"/>
    <s v="C0058"/>
    <s v="P001"/>
    <s v="R005"/>
    <d v="2025-10-20T00:00:00"/>
    <d v="2025-12-15T00:00:00"/>
    <d v="2025-12-15T00:00:00"/>
    <x v="0"/>
    <n v="2"/>
    <n v="10"/>
    <n v="216000"/>
    <n v="0"/>
    <s v="Competition"/>
    <s v="South"/>
    <x v="4"/>
    <s v="CRM"/>
    <x v="11"/>
    <x v="2"/>
  </r>
  <r>
    <s v="O01355"/>
    <s v="C0497"/>
    <s v="P005"/>
    <s v="R012"/>
    <d v="2025-07-11T00:00:00"/>
    <d v="2025-09-01T00:00:00"/>
    <d v="2025-09-01T00:00:00"/>
    <x v="1"/>
    <n v="3"/>
    <n v="0"/>
    <n v="540000"/>
    <n v="100"/>
    <s v=""/>
    <s v="West"/>
    <x v="3"/>
    <s v="Service"/>
    <x v="14"/>
    <x v="1"/>
  </r>
  <r>
    <s v="O01356"/>
    <s v="C0145"/>
    <s v="P002"/>
    <s v="R019"/>
    <d v="2025-07-24T00:00:00"/>
    <d v="2025-08-12T00:00:00"/>
    <d v="2025-08-12T00:00:00"/>
    <x v="0"/>
    <n v="2"/>
    <n v="15"/>
    <n v="714000"/>
    <n v="0"/>
    <s v="Feature gap"/>
    <s v="East"/>
    <x v="0"/>
    <s v="CRM"/>
    <x v="10"/>
    <x v="3"/>
  </r>
  <r>
    <s v="O01357"/>
    <s v="C0281"/>
    <s v="P004"/>
    <s v="R020"/>
    <d v="2025-04-17T00:00:00"/>
    <d v="2025-05-19T00:00:00"/>
    <d v="2025-05-19T00:00:00"/>
    <x v="1"/>
    <n v="1"/>
    <n v="5"/>
    <n v="285000"/>
    <n v="100"/>
    <s v=""/>
    <s v="East"/>
    <x v="5"/>
    <s v="Analytics"/>
    <x v="9"/>
    <x v="3"/>
  </r>
  <r>
    <s v="O01358"/>
    <s v="C0036"/>
    <s v="P006"/>
    <s v="R003"/>
    <d v="2025-12-30T00:00:00"/>
    <d v="2026-02-15T00:00:00"/>
    <m/>
    <x v="2"/>
    <n v="1"/>
    <n v="20"/>
    <n v="288000"/>
    <n v="60"/>
    <s v=""/>
    <s v="South"/>
    <x v="2"/>
    <s v="Security"/>
    <x v="15"/>
    <x v="2"/>
  </r>
  <r>
    <s v="O01359"/>
    <s v="C0432"/>
    <s v="P001"/>
    <s v="R004"/>
    <d v="2025-04-25T00:00:00"/>
    <d v="2025-05-23T00:00:00"/>
    <d v="2025-05-23T00:00:00"/>
    <x v="0"/>
    <n v="2"/>
    <n v="15"/>
    <n v="204000"/>
    <n v="0"/>
    <s v="No decision"/>
    <s v="South"/>
    <x v="4"/>
    <s v="CRM"/>
    <x v="3"/>
    <x v="2"/>
  </r>
  <r>
    <s v="O01360"/>
    <s v="C0355"/>
    <s v="P006"/>
    <s v="R014"/>
    <d v="2025-12-01T00:00:00"/>
    <d v="2026-01-26T00:00:00"/>
    <m/>
    <x v="2"/>
    <n v="1"/>
    <n v="0"/>
    <n v="360000"/>
    <n v="20"/>
    <s v=""/>
    <s v="West"/>
    <x v="2"/>
    <s v="Security"/>
    <x v="1"/>
    <x v="1"/>
  </r>
  <r>
    <s v="O01361"/>
    <s v="C0367"/>
    <s v="P003"/>
    <s v="R012"/>
    <d v="2025-04-10T00:00:00"/>
    <d v="2025-05-24T00:00:00"/>
    <d v="2025-05-24T00:00:00"/>
    <x v="1"/>
    <n v="2"/>
    <n v="5"/>
    <n v="456000"/>
    <n v="100"/>
    <s v=""/>
    <s v="West"/>
    <x v="1"/>
    <s v="Automation"/>
    <x v="14"/>
    <x v="1"/>
  </r>
  <r>
    <s v="O01362"/>
    <s v="C0297"/>
    <s v="P005"/>
    <s v="R004"/>
    <d v="2025-02-25T00:00:00"/>
    <d v="2025-05-21T00:00:00"/>
    <d v="2025-05-21T00:00:00"/>
    <x v="0"/>
    <n v="2"/>
    <n v="10"/>
    <n v="324000"/>
    <n v="0"/>
    <s v="No decision"/>
    <s v="South"/>
    <x v="3"/>
    <s v="Service"/>
    <x v="3"/>
    <x v="2"/>
  </r>
  <r>
    <s v="O01363"/>
    <s v="C0366"/>
    <s v="P003"/>
    <s v="R017"/>
    <d v="2025-03-24T00:00:00"/>
    <d v="2025-05-06T00:00:00"/>
    <m/>
    <x v="2"/>
    <n v="1"/>
    <n v="15"/>
    <n v="204000"/>
    <n v="60"/>
    <s v=""/>
    <s v="East"/>
    <x v="1"/>
    <s v="Automation"/>
    <x v="19"/>
    <x v="3"/>
  </r>
  <r>
    <s v="O01364"/>
    <s v="C0125"/>
    <s v="P005"/>
    <s v="R001"/>
    <d v="2025-08-23T00:00:00"/>
    <d v="2025-10-05T00:00:00"/>
    <d v="2025-10-05T00:00:00"/>
    <x v="1"/>
    <n v="2"/>
    <n v="5"/>
    <n v="342000"/>
    <n v="100"/>
    <s v=""/>
    <s v="South"/>
    <x v="3"/>
    <s v="Service"/>
    <x v="6"/>
    <x v="2"/>
  </r>
  <r>
    <s v="O01365"/>
    <s v="C0043"/>
    <s v="P003"/>
    <s v="R006"/>
    <d v="2025-12-26T00:00:00"/>
    <d v="2026-01-10T00:00:00"/>
    <m/>
    <x v="2"/>
    <n v="2"/>
    <n v="5"/>
    <n v="456000"/>
    <n v="80"/>
    <s v=""/>
    <s v="North"/>
    <x v="1"/>
    <s v="Automation"/>
    <x v="2"/>
    <x v="0"/>
  </r>
  <r>
    <s v="O01366"/>
    <s v="C0287"/>
    <s v="P005"/>
    <s v="R017"/>
    <d v="2025-12-09T00:00:00"/>
    <d v="2026-02-13T00:00:00"/>
    <m/>
    <x v="2"/>
    <n v="1"/>
    <n v="20"/>
    <n v="144000"/>
    <n v="80"/>
    <s v=""/>
    <s v="East"/>
    <x v="3"/>
    <s v="Service"/>
    <x v="19"/>
    <x v="3"/>
  </r>
  <r>
    <s v="O01367"/>
    <s v="C0458"/>
    <s v="P001"/>
    <s v="R005"/>
    <d v="2025-04-06T00:00:00"/>
    <d v="2025-06-25T00:00:00"/>
    <d v="2025-06-25T00:00:00"/>
    <x v="1"/>
    <n v="2"/>
    <n v="15"/>
    <n v="204000"/>
    <n v="100"/>
    <s v=""/>
    <s v="South"/>
    <x v="4"/>
    <s v="CRM"/>
    <x v="11"/>
    <x v="2"/>
  </r>
  <r>
    <s v="O01368"/>
    <s v="C0449"/>
    <s v="P002"/>
    <s v="R001"/>
    <d v="2025-09-11T00:00:00"/>
    <d v="2025-11-09T00:00:00"/>
    <d v="2025-11-09T00:00:00"/>
    <x v="0"/>
    <n v="2"/>
    <n v="10"/>
    <n v="756000"/>
    <n v="0"/>
    <s v="Feature gap"/>
    <s v="South"/>
    <x v="0"/>
    <s v="CRM"/>
    <x v="6"/>
    <x v="2"/>
  </r>
  <r>
    <s v="O01369"/>
    <s v="C0256"/>
    <s v="P006"/>
    <s v="R002"/>
    <d v="2025-05-29T00:00:00"/>
    <d v="2025-06-09T00:00:00"/>
    <d v="2025-06-09T00:00:00"/>
    <x v="1"/>
    <n v="1"/>
    <n v="0"/>
    <n v="360000"/>
    <n v="100"/>
    <s v=""/>
    <s v="South"/>
    <x v="2"/>
    <s v="Security"/>
    <x v="17"/>
    <x v="2"/>
  </r>
  <r>
    <s v="O01370"/>
    <s v="C0164"/>
    <s v="P001"/>
    <s v="R015"/>
    <d v="2025-01-13T00:00:00"/>
    <d v="2025-03-04T00:00:00"/>
    <d v="2025-03-04T00:00:00"/>
    <x v="0"/>
    <n v="1"/>
    <n v="5"/>
    <n v="114000"/>
    <n v="0"/>
    <s v="No decision"/>
    <s v="West"/>
    <x v="4"/>
    <s v="CRM"/>
    <x v="7"/>
    <x v="1"/>
  </r>
  <r>
    <s v="O01371"/>
    <s v="C0164"/>
    <s v="P004"/>
    <s v="R012"/>
    <d v="2025-07-15T00:00:00"/>
    <d v="2025-08-16T00:00:00"/>
    <d v="2025-08-16T00:00:00"/>
    <x v="0"/>
    <n v="1"/>
    <n v="0"/>
    <n v="300000"/>
    <n v="0"/>
    <s v="Price"/>
    <s v="West"/>
    <x v="5"/>
    <s v="Analytics"/>
    <x v="14"/>
    <x v="1"/>
  </r>
  <r>
    <s v="O01372"/>
    <s v="C0228"/>
    <s v="P005"/>
    <s v="R006"/>
    <d v="2025-01-02T00:00:00"/>
    <d v="2025-02-17T00:00:00"/>
    <m/>
    <x v="2"/>
    <n v="3"/>
    <n v="0"/>
    <n v="540000"/>
    <n v="40"/>
    <s v=""/>
    <s v="North"/>
    <x v="3"/>
    <s v="Service"/>
    <x v="2"/>
    <x v="0"/>
  </r>
  <r>
    <s v="O01373"/>
    <s v="C0026"/>
    <s v="P005"/>
    <s v="R012"/>
    <d v="2025-01-26T00:00:00"/>
    <d v="2025-03-02T00:00:00"/>
    <m/>
    <x v="2"/>
    <n v="2"/>
    <n v="15"/>
    <n v="306000"/>
    <n v="80"/>
    <s v=""/>
    <s v="West"/>
    <x v="3"/>
    <s v="Service"/>
    <x v="14"/>
    <x v="1"/>
  </r>
  <r>
    <s v="O01374"/>
    <s v="C0013"/>
    <s v="P005"/>
    <s v="R011"/>
    <d v="2025-03-13T00:00:00"/>
    <d v="2025-05-13T00:00:00"/>
    <m/>
    <x v="2"/>
    <n v="3"/>
    <n v="0"/>
    <n v="540000"/>
    <n v="60"/>
    <s v=""/>
    <s v="West"/>
    <x v="3"/>
    <s v="Service"/>
    <x v="12"/>
    <x v="1"/>
  </r>
  <r>
    <s v="O01375"/>
    <s v="C0019"/>
    <s v="P003"/>
    <s v="R005"/>
    <d v="2025-04-19T00:00:00"/>
    <d v="2025-05-27T00:00:00"/>
    <d v="2025-05-27T00:00:00"/>
    <x v="0"/>
    <n v="1"/>
    <n v="20"/>
    <n v="192000"/>
    <n v="0"/>
    <s v="No decision"/>
    <s v="South"/>
    <x v="1"/>
    <s v="Automation"/>
    <x v="11"/>
    <x v="2"/>
  </r>
  <r>
    <s v="O01376"/>
    <s v="C0064"/>
    <s v="P006"/>
    <s v="R018"/>
    <d v="2025-03-13T00:00:00"/>
    <d v="2025-06-05T00:00:00"/>
    <d v="2025-06-05T00:00:00"/>
    <x v="0"/>
    <n v="1"/>
    <n v="15"/>
    <n v="306000"/>
    <n v="0"/>
    <s v="Budget"/>
    <s v="East"/>
    <x v="2"/>
    <s v="Security"/>
    <x v="18"/>
    <x v="3"/>
  </r>
  <r>
    <s v="O01377"/>
    <s v="C0444"/>
    <s v="P001"/>
    <s v="R020"/>
    <d v="2025-09-11T00:00:00"/>
    <d v="2025-10-04T00:00:00"/>
    <d v="2025-10-04T00:00:00"/>
    <x v="0"/>
    <n v="3"/>
    <n v="20"/>
    <n v="288000"/>
    <n v="0"/>
    <s v="No decision"/>
    <s v="East"/>
    <x v="4"/>
    <s v="CRM"/>
    <x v="9"/>
    <x v="3"/>
  </r>
  <r>
    <s v="O01378"/>
    <s v="C0083"/>
    <s v="P004"/>
    <s v="R004"/>
    <d v="2025-03-30T00:00:00"/>
    <d v="2025-04-29T00:00:00"/>
    <d v="2025-04-29T00:00:00"/>
    <x v="0"/>
    <n v="2"/>
    <n v="15"/>
    <n v="510000"/>
    <n v="0"/>
    <s v="No decision"/>
    <s v="South"/>
    <x v="5"/>
    <s v="Analytics"/>
    <x v="3"/>
    <x v="2"/>
  </r>
  <r>
    <s v="O01379"/>
    <s v="C0487"/>
    <s v="P004"/>
    <s v="R013"/>
    <d v="2025-03-28T00:00:00"/>
    <d v="2025-06-20T00:00:00"/>
    <d v="2025-06-20T00:00:00"/>
    <x v="1"/>
    <n v="3"/>
    <n v="20"/>
    <n v="720000"/>
    <n v="100"/>
    <s v=""/>
    <s v="West"/>
    <x v="5"/>
    <s v="Analytics"/>
    <x v="5"/>
    <x v="1"/>
  </r>
  <r>
    <s v="O01380"/>
    <s v="C0078"/>
    <s v="P004"/>
    <s v="R003"/>
    <d v="2025-11-05T00:00:00"/>
    <d v="2025-12-30T00:00:00"/>
    <m/>
    <x v="2"/>
    <n v="1"/>
    <n v="0"/>
    <n v="300000"/>
    <n v="40"/>
    <s v=""/>
    <s v="South"/>
    <x v="5"/>
    <s v="Analytics"/>
    <x v="15"/>
    <x v="2"/>
  </r>
  <r>
    <s v="O01381"/>
    <s v="C0457"/>
    <s v="P004"/>
    <s v="R018"/>
    <d v="2025-09-05T00:00:00"/>
    <d v="2025-10-06T00:00:00"/>
    <d v="2025-10-06T00:00:00"/>
    <x v="0"/>
    <n v="3"/>
    <n v="0"/>
    <n v="900000"/>
    <n v="0"/>
    <s v="Feature gap"/>
    <s v="East"/>
    <x v="5"/>
    <s v="Analytics"/>
    <x v="18"/>
    <x v="3"/>
  </r>
  <r>
    <s v="O01382"/>
    <s v="C0447"/>
    <s v="P006"/>
    <s v="R018"/>
    <d v="2025-01-23T00:00:00"/>
    <d v="2025-04-17T00:00:00"/>
    <d v="2025-04-17T00:00:00"/>
    <x v="1"/>
    <n v="1"/>
    <n v="10"/>
    <n v="324000"/>
    <n v="100"/>
    <s v=""/>
    <s v="East"/>
    <x v="2"/>
    <s v="Security"/>
    <x v="18"/>
    <x v="3"/>
  </r>
  <r>
    <s v="O01383"/>
    <s v="C0120"/>
    <s v="P006"/>
    <s v="R006"/>
    <d v="2025-03-14T00:00:00"/>
    <d v="2025-03-23T00:00:00"/>
    <d v="2025-03-23T00:00:00"/>
    <x v="0"/>
    <n v="1"/>
    <n v="0"/>
    <n v="360000"/>
    <n v="0"/>
    <s v="Budget"/>
    <s v="North"/>
    <x v="2"/>
    <s v="Security"/>
    <x v="2"/>
    <x v="0"/>
  </r>
  <r>
    <s v="O01384"/>
    <s v="C0088"/>
    <s v="P005"/>
    <s v="R001"/>
    <d v="2025-07-25T00:00:00"/>
    <d v="2025-10-16T00:00:00"/>
    <d v="2025-10-16T00:00:00"/>
    <x v="0"/>
    <n v="1"/>
    <n v="5"/>
    <n v="171000"/>
    <n v="0"/>
    <s v="Competition"/>
    <s v="South"/>
    <x v="3"/>
    <s v="Service"/>
    <x v="6"/>
    <x v="2"/>
  </r>
  <r>
    <s v="O01385"/>
    <s v="C0087"/>
    <s v="P001"/>
    <s v="R016"/>
    <d v="2025-09-13T00:00:00"/>
    <d v="2025-09-22T00:00:00"/>
    <d v="2025-09-22T00:00:00"/>
    <x v="0"/>
    <n v="1"/>
    <n v="10"/>
    <n v="108000"/>
    <n v="0"/>
    <s v="No decision"/>
    <s v="East"/>
    <x v="4"/>
    <s v="CRM"/>
    <x v="8"/>
    <x v="3"/>
  </r>
  <r>
    <s v="O01386"/>
    <s v="C0048"/>
    <s v="P006"/>
    <s v="R003"/>
    <d v="2025-06-06T00:00:00"/>
    <d v="2025-08-28T00:00:00"/>
    <d v="2025-08-28T00:00:00"/>
    <x v="0"/>
    <n v="1"/>
    <n v="15"/>
    <n v="306000"/>
    <n v="0"/>
    <s v="Budget"/>
    <s v="South"/>
    <x v="2"/>
    <s v="Security"/>
    <x v="15"/>
    <x v="2"/>
  </r>
  <r>
    <s v="O01387"/>
    <s v="C0156"/>
    <s v="P003"/>
    <s v="R018"/>
    <d v="2025-04-23T00:00:00"/>
    <d v="2025-05-08T00:00:00"/>
    <d v="2025-05-08T00:00:00"/>
    <x v="1"/>
    <n v="1"/>
    <n v="15"/>
    <n v="204000"/>
    <n v="100"/>
    <s v=""/>
    <s v="East"/>
    <x v="1"/>
    <s v="Automation"/>
    <x v="18"/>
    <x v="3"/>
  </r>
  <r>
    <s v="O01388"/>
    <s v="C0427"/>
    <s v="P004"/>
    <s v="R007"/>
    <d v="2025-08-11T00:00:00"/>
    <d v="2025-09-25T00:00:00"/>
    <m/>
    <x v="2"/>
    <n v="3"/>
    <n v="10"/>
    <n v="810000"/>
    <n v="40"/>
    <s v=""/>
    <s v="North"/>
    <x v="5"/>
    <s v="Analytics"/>
    <x v="13"/>
    <x v="0"/>
  </r>
  <r>
    <s v="O01389"/>
    <s v="C0149"/>
    <s v="P002"/>
    <s v="R012"/>
    <d v="2025-11-30T00:00:00"/>
    <d v="2026-02-23T00:00:00"/>
    <m/>
    <x v="2"/>
    <n v="3"/>
    <n v="5"/>
    <n v="1197000"/>
    <n v="60"/>
    <s v=""/>
    <s v="West"/>
    <x v="0"/>
    <s v="CRM"/>
    <x v="14"/>
    <x v="1"/>
  </r>
  <r>
    <s v="O01390"/>
    <s v="C0185"/>
    <s v="P006"/>
    <s v="R011"/>
    <d v="2025-11-02T00:00:00"/>
    <d v="2025-12-13T00:00:00"/>
    <d v="2025-12-13T00:00:00"/>
    <x v="1"/>
    <n v="2"/>
    <n v="15"/>
    <n v="612000"/>
    <n v="100"/>
    <s v=""/>
    <s v="West"/>
    <x v="2"/>
    <s v="Security"/>
    <x v="12"/>
    <x v="1"/>
  </r>
  <r>
    <s v="O01391"/>
    <s v="C0389"/>
    <s v="P002"/>
    <s v="R005"/>
    <d v="2025-01-24T00:00:00"/>
    <d v="2025-03-29T00:00:00"/>
    <d v="2025-03-29T00:00:00"/>
    <x v="0"/>
    <n v="1"/>
    <n v="15"/>
    <n v="357000"/>
    <n v="0"/>
    <s v="Feature gap"/>
    <s v="South"/>
    <x v="0"/>
    <s v="CRM"/>
    <x v="11"/>
    <x v="2"/>
  </r>
  <r>
    <s v="O01392"/>
    <s v="C0180"/>
    <s v="P001"/>
    <s v="R013"/>
    <d v="2025-01-20T00:00:00"/>
    <d v="2025-01-27T00:00:00"/>
    <d v="2025-01-27T00:00:00"/>
    <x v="0"/>
    <n v="1"/>
    <n v="10"/>
    <n v="108000"/>
    <n v="0"/>
    <s v="Competition"/>
    <s v="West"/>
    <x v="4"/>
    <s v="CRM"/>
    <x v="5"/>
    <x v="1"/>
  </r>
  <r>
    <s v="O01393"/>
    <s v="C0466"/>
    <s v="P004"/>
    <s v="R020"/>
    <d v="2025-05-16T00:00:00"/>
    <d v="2025-06-21T00:00:00"/>
    <m/>
    <x v="2"/>
    <n v="1"/>
    <n v="15"/>
    <n v="255000"/>
    <n v="60"/>
    <s v=""/>
    <s v="East"/>
    <x v="5"/>
    <s v="Analytics"/>
    <x v="9"/>
    <x v="3"/>
  </r>
  <r>
    <s v="O01394"/>
    <s v="C0141"/>
    <s v="P002"/>
    <s v="R004"/>
    <d v="2025-07-03T00:00:00"/>
    <d v="2025-09-06T00:00:00"/>
    <d v="2025-09-06T00:00:00"/>
    <x v="1"/>
    <n v="1"/>
    <n v="5"/>
    <n v="399000"/>
    <n v="100"/>
    <s v=""/>
    <s v="South"/>
    <x v="0"/>
    <s v="CRM"/>
    <x v="3"/>
    <x v="2"/>
  </r>
  <r>
    <s v="O01395"/>
    <s v="C0176"/>
    <s v="P001"/>
    <s v="R008"/>
    <d v="2025-11-20T00:00:00"/>
    <d v="2025-12-02T00:00:00"/>
    <m/>
    <x v="2"/>
    <n v="3"/>
    <n v="0"/>
    <n v="360000"/>
    <n v="40"/>
    <s v=""/>
    <s v="North"/>
    <x v="4"/>
    <s v="CRM"/>
    <x v="0"/>
    <x v="0"/>
  </r>
  <r>
    <s v="O01396"/>
    <s v="C0017"/>
    <s v="P004"/>
    <s v="R007"/>
    <d v="2025-08-31T00:00:00"/>
    <d v="2025-09-20T00:00:00"/>
    <d v="2025-09-20T00:00:00"/>
    <x v="1"/>
    <n v="2"/>
    <n v="15"/>
    <n v="510000"/>
    <n v="100"/>
    <s v=""/>
    <s v="North"/>
    <x v="5"/>
    <s v="Analytics"/>
    <x v="13"/>
    <x v="0"/>
  </r>
  <r>
    <s v="O01397"/>
    <s v="C0494"/>
    <s v="P004"/>
    <s v="R017"/>
    <d v="2025-08-06T00:00:00"/>
    <d v="2025-08-25T00:00:00"/>
    <d v="2025-08-25T00:00:00"/>
    <x v="1"/>
    <n v="1"/>
    <n v="15"/>
    <n v="255000"/>
    <n v="100"/>
    <s v=""/>
    <s v="East"/>
    <x v="5"/>
    <s v="Analytics"/>
    <x v="19"/>
    <x v="3"/>
  </r>
  <r>
    <s v="O01398"/>
    <s v="C0120"/>
    <s v="P001"/>
    <s v="R010"/>
    <d v="2025-08-09T00:00:00"/>
    <d v="2025-09-15T00:00:00"/>
    <d v="2025-09-15T00:00:00"/>
    <x v="1"/>
    <n v="3"/>
    <n v="20"/>
    <n v="288000"/>
    <n v="100"/>
    <s v=""/>
    <s v="North"/>
    <x v="4"/>
    <s v="CRM"/>
    <x v="16"/>
    <x v="0"/>
  </r>
  <r>
    <s v="O01399"/>
    <s v="C0365"/>
    <s v="P003"/>
    <s v="R020"/>
    <d v="2025-10-30T00:00:00"/>
    <d v="2025-11-22T00:00:00"/>
    <d v="2025-11-22T00:00:00"/>
    <x v="0"/>
    <n v="2"/>
    <n v="15"/>
    <n v="408000"/>
    <n v="0"/>
    <s v="Price"/>
    <s v="East"/>
    <x v="1"/>
    <s v="Automation"/>
    <x v="9"/>
    <x v="3"/>
  </r>
  <r>
    <s v="O01400"/>
    <s v="C0177"/>
    <s v="P001"/>
    <s v="R018"/>
    <d v="2025-11-29T00:00:00"/>
    <d v="2025-12-24T00:00:00"/>
    <d v="2025-12-24T00:00:00"/>
    <x v="1"/>
    <n v="1"/>
    <n v="20"/>
    <n v="96000"/>
    <n v="100"/>
    <s v=""/>
    <s v="East"/>
    <x v="4"/>
    <s v="CRM"/>
    <x v="18"/>
    <x v="3"/>
  </r>
  <r>
    <s v="O01401"/>
    <s v="C0227"/>
    <s v="P004"/>
    <s v="R019"/>
    <d v="2025-04-05T00:00:00"/>
    <d v="2025-04-20T00:00:00"/>
    <d v="2025-04-20T00:00:00"/>
    <x v="0"/>
    <n v="1"/>
    <n v="10"/>
    <n v="270000"/>
    <n v="0"/>
    <s v="Feature gap"/>
    <s v="East"/>
    <x v="5"/>
    <s v="Analytics"/>
    <x v="10"/>
    <x v="3"/>
  </r>
  <r>
    <s v="O01402"/>
    <s v="C0104"/>
    <s v="P006"/>
    <s v="R013"/>
    <d v="2025-05-08T00:00:00"/>
    <d v="2025-08-01T00:00:00"/>
    <d v="2025-08-01T00:00:00"/>
    <x v="0"/>
    <n v="1"/>
    <n v="5"/>
    <n v="342000"/>
    <n v="0"/>
    <s v="Price"/>
    <s v="West"/>
    <x v="2"/>
    <s v="Security"/>
    <x v="5"/>
    <x v="1"/>
  </r>
  <r>
    <s v="O01403"/>
    <s v="C0009"/>
    <s v="P004"/>
    <s v="R002"/>
    <d v="2025-12-16T00:00:00"/>
    <d v="2026-02-20T00:00:00"/>
    <m/>
    <x v="2"/>
    <n v="3"/>
    <n v="5"/>
    <n v="855000"/>
    <n v="80"/>
    <s v=""/>
    <s v="South"/>
    <x v="5"/>
    <s v="Analytics"/>
    <x v="17"/>
    <x v="2"/>
  </r>
  <r>
    <s v="O01404"/>
    <s v="C0258"/>
    <s v="P004"/>
    <s v="R017"/>
    <d v="2025-11-13T00:00:00"/>
    <d v="2025-12-02T00:00:00"/>
    <d v="2025-12-02T00:00:00"/>
    <x v="1"/>
    <n v="3"/>
    <n v="20"/>
    <n v="720000"/>
    <n v="100"/>
    <s v=""/>
    <s v="East"/>
    <x v="5"/>
    <s v="Analytics"/>
    <x v="19"/>
    <x v="3"/>
  </r>
  <r>
    <s v="O01405"/>
    <s v="C0350"/>
    <s v="P004"/>
    <s v="R009"/>
    <d v="2025-01-01T00:00:00"/>
    <d v="2025-02-14T00:00:00"/>
    <d v="2025-02-14T00:00:00"/>
    <x v="0"/>
    <n v="1"/>
    <n v="20"/>
    <n v="240000"/>
    <n v="0"/>
    <s v="Budget"/>
    <s v="North"/>
    <x v="5"/>
    <s v="Analytics"/>
    <x v="4"/>
    <x v="0"/>
  </r>
  <r>
    <s v="O01406"/>
    <s v="C0398"/>
    <s v="P006"/>
    <s v="R009"/>
    <d v="2025-09-24T00:00:00"/>
    <d v="2025-12-03T00:00:00"/>
    <d v="2025-12-03T00:00:00"/>
    <x v="1"/>
    <n v="3"/>
    <n v="20"/>
    <n v="864000"/>
    <n v="100"/>
    <s v=""/>
    <s v="North"/>
    <x v="2"/>
    <s v="Security"/>
    <x v="4"/>
    <x v="0"/>
  </r>
  <r>
    <s v="O01407"/>
    <s v="C0390"/>
    <s v="P004"/>
    <s v="R011"/>
    <d v="2025-05-02T00:00:00"/>
    <d v="2025-05-15T00:00:00"/>
    <d v="2025-05-15T00:00:00"/>
    <x v="0"/>
    <n v="1"/>
    <n v="0"/>
    <n v="300000"/>
    <n v="0"/>
    <s v="Budget"/>
    <s v="West"/>
    <x v="5"/>
    <s v="Analytics"/>
    <x v="12"/>
    <x v="1"/>
  </r>
  <r>
    <s v="O01408"/>
    <s v="C0259"/>
    <s v="P001"/>
    <s v="R006"/>
    <d v="2025-02-08T00:00:00"/>
    <d v="2025-04-26T00:00:00"/>
    <m/>
    <x v="2"/>
    <n v="1"/>
    <n v="15"/>
    <n v="102000"/>
    <n v="40"/>
    <s v=""/>
    <s v="North"/>
    <x v="4"/>
    <s v="CRM"/>
    <x v="2"/>
    <x v="0"/>
  </r>
  <r>
    <s v="O01409"/>
    <s v="C0193"/>
    <s v="P001"/>
    <s v="R001"/>
    <d v="2025-10-07T00:00:00"/>
    <d v="2025-11-02T00:00:00"/>
    <d v="2025-11-02T00:00:00"/>
    <x v="1"/>
    <n v="1"/>
    <n v="0"/>
    <n v="120000"/>
    <n v="100"/>
    <s v=""/>
    <s v="South"/>
    <x v="4"/>
    <s v="CRM"/>
    <x v="6"/>
    <x v="2"/>
  </r>
  <r>
    <s v="O01410"/>
    <s v="C0199"/>
    <s v="P005"/>
    <s v="R001"/>
    <d v="2025-11-23T00:00:00"/>
    <d v="2026-01-22T00:00:00"/>
    <m/>
    <x v="2"/>
    <n v="1"/>
    <n v="5"/>
    <n v="171000"/>
    <n v="20"/>
    <s v=""/>
    <s v="South"/>
    <x v="3"/>
    <s v="Service"/>
    <x v="6"/>
    <x v="2"/>
  </r>
  <r>
    <s v="O01411"/>
    <s v="C0022"/>
    <s v="P001"/>
    <s v="R008"/>
    <d v="2025-03-08T00:00:00"/>
    <d v="2025-03-27T00:00:00"/>
    <d v="2025-03-27T00:00:00"/>
    <x v="1"/>
    <n v="1"/>
    <n v="15"/>
    <n v="102000"/>
    <n v="100"/>
    <s v=""/>
    <s v="North"/>
    <x v="4"/>
    <s v="CRM"/>
    <x v="0"/>
    <x v="0"/>
  </r>
  <r>
    <s v="O01412"/>
    <s v="C0271"/>
    <s v="P003"/>
    <s v="R006"/>
    <d v="2025-02-26T00:00:00"/>
    <d v="2025-05-18T00:00:00"/>
    <m/>
    <x v="2"/>
    <n v="1"/>
    <n v="20"/>
    <n v="192000"/>
    <n v="60"/>
    <s v=""/>
    <s v="North"/>
    <x v="1"/>
    <s v="Automation"/>
    <x v="2"/>
    <x v="0"/>
  </r>
  <r>
    <s v="O01413"/>
    <s v="C0422"/>
    <s v="P001"/>
    <s v="R005"/>
    <d v="2025-04-06T00:00:00"/>
    <d v="2025-06-15T00:00:00"/>
    <d v="2025-06-15T00:00:00"/>
    <x v="0"/>
    <n v="1"/>
    <n v="5"/>
    <n v="114000"/>
    <n v="0"/>
    <s v="No decision"/>
    <s v="South"/>
    <x v="4"/>
    <s v="CRM"/>
    <x v="11"/>
    <x v="2"/>
  </r>
  <r>
    <s v="O01414"/>
    <s v="C0300"/>
    <s v="P003"/>
    <s v="R009"/>
    <d v="2025-02-24T00:00:00"/>
    <d v="2025-04-23T00:00:00"/>
    <d v="2025-04-23T00:00:00"/>
    <x v="1"/>
    <n v="2"/>
    <n v="15"/>
    <n v="408000"/>
    <n v="100"/>
    <s v=""/>
    <s v="North"/>
    <x v="1"/>
    <s v="Automation"/>
    <x v="4"/>
    <x v="0"/>
  </r>
  <r>
    <s v="O01415"/>
    <s v="C0101"/>
    <s v="P005"/>
    <s v="R010"/>
    <d v="2025-09-02T00:00:00"/>
    <d v="2025-09-14T00:00:00"/>
    <d v="2025-09-14T00:00:00"/>
    <x v="0"/>
    <n v="1"/>
    <n v="5"/>
    <n v="171000"/>
    <n v="0"/>
    <s v="Budget"/>
    <s v="North"/>
    <x v="3"/>
    <s v="Service"/>
    <x v="16"/>
    <x v="0"/>
  </r>
  <r>
    <s v="O01416"/>
    <s v="C0413"/>
    <s v="P004"/>
    <s v="R019"/>
    <d v="2025-02-19T00:00:00"/>
    <d v="2025-03-20T00:00:00"/>
    <d v="2025-03-20T00:00:00"/>
    <x v="0"/>
    <n v="1"/>
    <n v="10"/>
    <n v="270000"/>
    <n v="0"/>
    <s v="Budget"/>
    <s v="East"/>
    <x v="5"/>
    <s v="Analytics"/>
    <x v="10"/>
    <x v="3"/>
  </r>
  <r>
    <s v="O01417"/>
    <s v="C0246"/>
    <s v="P001"/>
    <s v="R003"/>
    <d v="2025-07-18T00:00:00"/>
    <d v="2025-10-01T00:00:00"/>
    <d v="2025-10-01T00:00:00"/>
    <x v="1"/>
    <n v="3"/>
    <n v="15"/>
    <n v="306000"/>
    <n v="100"/>
    <s v=""/>
    <s v="South"/>
    <x v="4"/>
    <s v="CRM"/>
    <x v="15"/>
    <x v="2"/>
  </r>
  <r>
    <s v="O01418"/>
    <s v="C0015"/>
    <s v="P003"/>
    <s v="R005"/>
    <d v="2025-04-23T00:00:00"/>
    <d v="2025-07-16T00:00:00"/>
    <d v="2025-07-16T00:00:00"/>
    <x v="0"/>
    <n v="1"/>
    <n v="15"/>
    <n v="204000"/>
    <n v="0"/>
    <s v="Price"/>
    <s v="South"/>
    <x v="1"/>
    <s v="Automation"/>
    <x v="11"/>
    <x v="2"/>
  </r>
  <r>
    <s v="O01419"/>
    <s v="C0307"/>
    <s v="P002"/>
    <s v="R008"/>
    <d v="2025-02-02T00:00:00"/>
    <d v="2025-03-14T00:00:00"/>
    <d v="2025-03-14T00:00:00"/>
    <x v="1"/>
    <n v="1"/>
    <n v="15"/>
    <n v="357000"/>
    <n v="100"/>
    <s v=""/>
    <s v="North"/>
    <x v="0"/>
    <s v="CRM"/>
    <x v="0"/>
    <x v="0"/>
  </r>
  <r>
    <s v="O01420"/>
    <s v="C0081"/>
    <s v="P003"/>
    <s v="R009"/>
    <d v="2025-03-05T00:00:00"/>
    <d v="2025-03-14T00:00:00"/>
    <d v="2025-03-14T00:00:00"/>
    <x v="0"/>
    <n v="1"/>
    <n v="20"/>
    <n v="192000"/>
    <n v="0"/>
    <s v="No decision"/>
    <s v="North"/>
    <x v="1"/>
    <s v="Automation"/>
    <x v="4"/>
    <x v="0"/>
  </r>
  <r>
    <s v="O01421"/>
    <s v="C0308"/>
    <s v="P001"/>
    <s v="R003"/>
    <d v="2025-03-24T00:00:00"/>
    <d v="2025-04-17T00:00:00"/>
    <m/>
    <x v="2"/>
    <n v="1"/>
    <n v="15"/>
    <n v="102000"/>
    <n v="20"/>
    <s v=""/>
    <s v="South"/>
    <x v="4"/>
    <s v="CRM"/>
    <x v="15"/>
    <x v="2"/>
  </r>
  <r>
    <s v="O01422"/>
    <s v="C0265"/>
    <s v="P006"/>
    <s v="R016"/>
    <d v="2025-10-11T00:00:00"/>
    <d v="2025-10-31T00:00:00"/>
    <d v="2025-10-31T00:00:00"/>
    <x v="0"/>
    <n v="1"/>
    <n v="15"/>
    <n v="306000"/>
    <n v="0"/>
    <s v="No decision"/>
    <s v="East"/>
    <x v="2"/>
    <s v="Security"/>
    <x v="8"/>
    <x v="3"/>
  </r>
  <r>
    <s v="O01423"/>
    <s v="C0306"/>
    <s v="P004"/>
    <s v="R013"/>
    <d v="2025-06-30T00:00:00"/>
    <d v="2025-07-29T00:00:00"/>
    <d v="2025-07-29T00:00:00"/>
    <x v="0"/>
    <n v="2"/>
    <n v="0"/>
    <n v="600000"/>
    <n v="0"/>
    <s v="Feature gap"/>
    <s v="West"/>
    <x v="5"/>
    <s v="Analytics"/>
    <x v="5"/>
    <x v="1"/>
  </r>
  <r>
    <s v="O01424"/>
    <s v="C0437"/>
    <s v="P006"/>
    <s v="R015"/>
    <d v="2025-11-28T00:00:00"/>
    <d v="2026-02-17T00:00:00"/>
    <m/>
    <x v="2"/>
    <n v="1"/>
    <n v="15"/>
    <n v="306000"/>
    <n v="40"/>
    <s v=""/>
    <s v="West"/>
    <x v="2"/>
    <s v="Security"/>
    <x v="7"/>
    <x v="1"/>
  </r>
  <r>
    <s v="O01425"/>
    <s v="C0219"/>
    <s v="P004"/>
    <s v="R003"/>
    <d v="2025-04-07T00:00:00"/>
    <d v="2025-05-05T00:00:00"/>
    <m/>
    <x v="2"/>
    <n v="1"/>
    <n v="15"/>
    <n v="255000"/>
    <n v="40"/>
    <s v=""/>
    <s v="South"/>
    <x v="5"/>
    <s v="Analytics"/>
    <x v="15"/>
    <x v="2"/>
  </r>
  <r>
    <s v="O01426"/>
    <s v="C0138"/>
    <s v="P005"/>
    <s v="R006"/>
    <d v="2025-01-24T00:00:00"/>
    <d v="2025-04-18T00:00:00"/>
    <d v="2025-04-18T00:00:00"/>
    <x v="1"/>
    <n v="1"/>
    <n v="5"/>
    <n v="171000"/>
    <n v="100"/>
    <s v=""/>
    <s v="North"/>
    <x v="3"/>
    <s v="Service"/>
    <x v="2"/>
    <x v="0"/>
  </r>
  <r>
    <s v="O01427"/>
    <s v="C0175"/>
    <s v="P006"/>
    <s v="R004"/>
    <d v="2025-05-01T00:00:00"/>
    <d v="2025-07-22T00:00:00"/>
    <d v="2025-07-22T00:00:00"/>
    <x v="0"/>
    <n v="3"/>
    <n v="0"/>
    <n v="1080000"/>
    <n v="0"/>
    <s v="No decision"/>
    <s v="South"/>
    <x v="2"/>
    <s v="Security"/>
    <x v="3"/>
    <x v="2"/>
  </r>
  <r>
    <s v="O01428"/>
    <s v="C0359"/>
    <s v="P006"/>
    <s v="R012"/>
    <d v="2025-06-15T00:00:00"/>
    <d v="2025-06-30T00:00:00"/>
    <d v="2025-06-30T00:00:00"/>
    <x v="0"/>
    <n v="1"/>
    <n v="15"/>
    <n v="306000"/>
    <n v="0"/>
    <s v="Competition"/>
    <s v="West"/>
    <x v="2"/>
    <s v="Security"/>
    <x v="14"/>
    <x v="1"/>
  </r>
  <r>
    <s v="O01429"/>
    <s v="C0278"/>
    <s v="P004"/>
    <s v="R012"/>
    <d v="2025-10-20T00:00:00"/>
    <d v="2025-12-11T00:00:00"/>
    <d v="2025-12-11T00:00:00"/>
    <x v="0"/>
    <n v="1"/>
    <n v="0"/>
    <n v="300000"/>
    <n v="0"/>
    <s v="Feature gap"/>
    <s v="West"/>
    <x v="5"/>
    <s v="Analytics"/>
    <x v="14"/>
    <x v="1"/>
  </r>
  <r>
    <s v="O01430"/>
    <s v="C0307"/>
    <s v="P004"/>
    <s v="R010"/>
    <d v="2025-12-05T00:00:00"/>
    <d v="2025-12-17T00:00:00"/>
    <d v="2025-12-17T00:00:00"/>
    <x v="0"/>
    <n v="3"/>
    <n v="15"/>
    <n v="765000"/>
    <n v="0"/>
    <s v="Budget"/>
    <s v="North"/>
    <x v="5"/>
    <s v="Analytics"/>
    <x v="16"/>
    <x v="0"/>
  </r>
  <r>
    <s v="O01431"/>
    <s v="C0334"/>
    <s v="P001"/>
    <s v="R014"/>
    <d v="2025-07-25T00:00:00"/>
    <d v="2025-08-09T00:00:00"/>
    <d v="2025-08-09T00:00:00"/>
    <x v="0"/>
    <n v="1"/>
    <n v="5"/>
    <n v="114000"/>
    <n v="0"/>
    <s v="Competition"/>
    <s v="West"/>
    <x v="4"/>
    <s v="CRM"/>
    <x v="1"/>
    <x v="1"/>
  </r>
  <r>
    <s v="O01432"/>
    <s v="C0436"/>
    <s v="P003"/>
    <s v="R016"/>
    <d v="2025-12-19T00:00:00"/>
    <d v="2026-01-24T00:00:00"/>
    <m/>
    <x v="2"/>
    <n v="1"/>
    <n v="15"/>
    <n v="204000"/>
    <n v="40"/>
    <s v=""/>
    <s v="East"/>
    <x v="1"/>
    <s v="Automation"/>
    <x v="8"/>
    <x v="3"/>
  </r>
  <r>
    <s v="O01433"/>
    <s v="C0333"/>
    <s v="P003"/>
    <s v="R013"/>
    <d v="2025-05-18T00:00:00"/>
    <d v="2025-08-03T00:00:00"/>
    <d v="2025-08-03T00:00:00"/>
    <x v="1"/>
    <n v="1"/>
    <n v="5"/>
    <n v="228000"/>
    <n v="100"/>
    <s v=""/>
    <s v="West"/>
    <x v="1"/>
    <s v="Automation"/>
    <x v="5"/>
    <x v="1"/>
  </r>
  <r>
    <s v="O01434"/>
    <s v="C0360"/>
    <s v="P001"/>
    <s v="R001"/>
    <d v="2025-12-09T00:00:00"/>
    <d v="2026-02-08T00:00:00"/>
    <m/>
    <x v="2"/>
    <n v="1"/>
    <n v="10"/>
    <n v="108000"/>
    <n v="80"/>
    <s v=""/>
    <s v="South"/>
    <x v="4"/>
    <s v="CRM"/>
    <x v="6"/>
    <x v="2"/>
  </r>
  <r>
    <s v="O01435"/>
    <s v="C0362"/>
    <s v="P001"/>
    <s v="R007"/>
    <d v="2025-08-28T00:00:00"/>
    <d v="2025-10-13T00:00:00"/>
    <d v="2025-10-13T00:00:00"/>
    <x v="1"/>
    <n v="1"/>
    <n v="10"/>
    <n v="108000"/>
    <n v="100"/>
    <s v=""/>
    <s v="North"/>
    <x v="4"/>
    <s v="CRM"/>
    <x v="13"/>
    <x v="0"/>
  </r>
  <r>
    <s v="O01436"/>
    <s v="C0441"/>
    <s v="P001"/>
    <s v="R011"/>
    <d v="2025-01-14T00:00:00"/>
    <d v="2025-03-02T00:00:00"/>
    <d v="2025-03-02T00:00:00"/>
    <x v="0"/>
    <n v="2"/>
    <n v="10"/>
    <n v="216000"/>
    <n v="0"/>
    <s v="Competition"/>
    <s v="West"/>
    <x v="4"/>
    <s v="CRM"/>
    <x v="12"/>
    <x v="1"/>
  </r>
  <r>
    <s v="O01437"/>
    <s v="C0340"/>
    <s v="P004"/>
    <s v="R005"/>
    <d v="2025-03-30T00:00:00"/>
    <d v="2025-06-17T00:00:00"/>
    <m/>
    <x v="2"/>
    <n v="1"/>
    <n v="5"/>
    <n v="285000"/>
    <n v="40"/>
    <s v=""/>
    <s v="South"/>
    <x v="5"/>
    <s v="Analytics"/>
    <x v="11"/>
    <x v="2"/>
  </r>
  <r>
    <s v="O01438"/>
    <s v="C0335"/>
    <s v="P006"/>
    <s v="R007"/>
    <d v="2025-05-31T00:00:00"/>
    <d v="2025-07-31T00:00:00"/>
    <d v="2025-07-31T00:00:00"/>
    <x v="1"/>
    <n v="1"/>
    <n v="20"/>
    <n v="288000"/>
    <n v="100"/>
    <s v=""/>
    <s v="North"/>
    <x v="2"/>
    <s v="Security"/>
    <x v="13"/>
    <x v="0"/>
  </r>
  <r>
    <s v="O01439"/>
    <s v="C0107"/>
    <s v="P004"/>
    <s v="R008"/>
    <d v="2025-02-22T00:00:00"/>
    <d v="2025-05-07T00:00:00"/>
    <m/>
    <x v="2"/>
    <n v="2"/>
    <n v="15"/>
    <n v="510000"/>
    <n v="60"/>
    <s v=""/>
    <s v="North"/>
    <x v="5"/>
    <s v="Analytics"/>
    <x v="0"/>
    <x v="0"/>
  </r>
  <r>
    <s v="O01440"/>
    <s v="C0128"/>
    <s v="P006"/>
    <s v="R005"/>
    <d v="2025-04-01T00:00:00"/>
    <d v="2025-04-25T00:00:00"/>
    <d v="2025-04-25T00:00:00"/>
    <x v="0"/>
    <n v="3"/>
    <n v="10"/>
    <n v="972000"/>
    <n v="0"/>
    <s v="Price"/>
    <s v="South"/>
    <x v="2"/>
    <s v="Security"/>
    <x v="11"/>
    <x v="2"/>
  </r>
  <r>
    <s v="O01441"/>
    <s v="C0432"/>
    <s v="P006"/>
    <s v="R001"/>
    <d v="2025-05-08T00:00:00"/>
    <d v="2025-07-31T00:00:00"/>
    <d v="2025-07-31T00:00:00"/>
    <x v="0"/>
    <n v="2"/>
    <n v="10"/>
    <n v="648000"/>
    <n v="0"/>
    <s v="Competition"/>
    <s v="South"/>
    <x v="2"/>
    <s v="Security"/>
    <x v="6"/>
    <x v="2"/>
  </r>
  <r>
    <s v="O01442"/>
    <s v="C0003"/>
    <s v="P001"/>
    <s v="R005"/>
    <d v="2025-10-29T00:00:00"/>
    <d v="2025-11-22T00:00:00"/>
    <d v="2025-11-22T00:00:00"/>
    <x v="1"/>
    <n v="3"/>
    <n v="20"/>
    <n v="288000"/>
    <n v="100"/>
    <s v=""/>
    <s v="South"/>
    <x v="4"/>
    <s v="CRM"/>
    <x v="11"/>
    <x v="2"/>
  </r>
  <r>
    <s v="O01443"/>
    <s v="C0493"/>
    <s v="P004"/>
    <s v="R009"/>
    <d v="2025-08-19T00:00:00"/>
    <d v="2025-11-12T00:00:00"/>
    <d v="2025-11-12T00:00:00"/>
    <x v="0"/>
    <n v="3"/>
    <n v="10"/>
    <n v="810000"/>
    <n v="0"/>
    <s v="Price"/>
    <s v="North"/>
    <x v="5"/>
    <s v="Analytics"/>
    <x v="4"/>
    <x v="0"/>
  </r>
  <r>
    <s v="O01444"/>
    <s v="C0494"/>
    <s v="P002"/>
    <s v="R020"/>
    <d v="2025-05-14T00:00:00"/>
    <d v="2025-07-17T00:00:00"/>
    <m/>
    <x v="2"/>
    <n v="1"/>
    <n v="10"/>
    <n v="378000"/>
    <n v="80"/>
    <s v=""/>
    <s v="East"/>
    <x v="0"/>
    <s v="CRM"/>
    <x v="9"/>
    <x v="3"/>
  </r>
  <r>
    <s v="O01445"/>
    <s v="C0340"/>
    <s v="P003"/>
    <s v="R003"/>
    <d v="2025-10-16T00:00:00"/>
    <d v="2025-11-15T00:00:00"/>
    <m/>
    <x v="2"/>
    <n v="1"/>
    <n v="10"/>
    <n v="216000"/>
    <n v="40"/>
    <s v=""/>
    <s v="South"/>
    <x v="1"/>
    <s v="Automation"/>
    <x v="15"/>
    <x v="2"/>
  </r>
  <r>
    <s v="O01446"/>
    <s v="C0172"/>
    <s v="P004"/>
    <s v="R009"/>
    <d v="2025-12-29T00:00:00"/>
    <d v="2026-02-03T00:00:00"/>
    <m/>
    <x v="2"/>
    <n v="2"/>
    <n v="10"/>
    <n v="540000"/>
    <n v="60"/>
    <s v=""/>
    <s v="North"/>
    <x v="5"/>
    <s v="Analytics"/>
    <x v="4"/>
    <x v="0"/>
  </r>
  <r>
    <s v="O01447"/>
    <s v="C0242"/>
    <s v="P006"/>
    <s v="R005"/>
    <d v="2025-10-28T00:00:00"/>
    <d v="2025-12-16T00:00:00"/>
    <d v="2025-12-16T00:00:00"/>
    <x v="1"/>
    <n v="2"/>
    <n v="0"/>
    <n v="720000"/>
    <n v="100"/>
    <s v=""/>
    <s v="South"/>
    <x v="2"/>
    <s v="Security"/>
    <x v="11"/>
    <x v="2"/>
  </r>
  <r>
    <s v="O01448"/>
    <s v="C0166"/>
    <s v="P006"/>
    <s v="R019"/>
    <d v="2025-08-08T00:00:00"/>
    <d v="2025-10-02T00:00:00"/>
    <d v="2025-10-02T00:00:00"/>
    <x v="0"/>
    <n v="1"/>
    <n v="20"/>
    <n v="288000"/>
    <n v="0"/>
    <s v="No decision"/>
    <s v="East"/>
    <x v="2"/>
    <s v="Security"/>
    <x v="10"/>
    <x v="3"/>
  </r>
  <r>
    <s v="O01449"/>
    <s v="C0198"/>
    <s v="P002"/>
    <s v="R013"/>
    <d v="2025-09-20T00:00:00"/>
    <d v="2025-09-29T00:00:00"/>
    <d v="2025-09-29T00:00:00"/>
    <x v="0"/>
    <n v="1"/>
    <n v="0"/>
    <n v="420000"/>
    <n v="0"/>
    <s v="Competition"/>
    <s v="West"/>
    <x v="0"/>
    <s v="CRM"/>
    <x v="5"/>
    <x v="1"/>
  </r>
  <r>
    <s v="O01450"/>
    <s v="C0180"/>
    <s v="P005"/>
    <s v="R014"/>
    <d v="2025-09-01T00:00:00"/>
    <d v="2025-10-05T00:00:00"/>
    <d v="2025-10-05T00:00:00"/>
    <x v="1"/>
    <n v="2"/>
    <n v="10"/>
    <n v="324000"/>
    <n v="100"/>
    <s v=""/>
    <s v="West"/>
    <x v="3"/>
    <s v="Service"/>
    <x v="1"/>
    <x v="1"/>
  </r>
  <r>
    <s v="O01451"/>
    <s v="C0322"/>
    <s v="P005"/>
    <s v="R013"/>
    <d v="2025-07-26T00:00:00"/>
    <d v="2025-10-17T00:00:00"/>
    <d v="2025-10-17T00:00:00"/>
    <x v="0"/>
    <n v="2"/>
    <n v="5"/>
    <n v="342000"/>
    <n v="0"/>
    <s v="Price"/>
    <s v="West"/>
    <x v="3"/>
    <s v="Service"/>
    <x v="5"/>
    <x v="1"/>
  </r>
  <r>
    <s v="O01452"/>
    <s v="C0216"/>
    <s v="P001"/>
    <s v="R019"/>
    <d v="2025-01-25T00:00:00"/>
    <d v="2025-03-01T00:00:00"/>
    <d v="2025-03-01T00:00:00"/>
    <x v="0"/>
    <n v="1"/>
    <n v="15"/>
    <n v="102000"/>
    <n v="0"/>
    <s v="Budget"/>
    <s v="East"/>
    <x v="4"/>
    <s v="CRM"/>
    <x v="10"/>
    <x v="3"/>
  </r>
  <r>
    <s v="O01453"/>
    <s v="C0357"/>
    <s v="P001"/>
    <s v="R020"/>
    <d v="2025-11-11T00:00:00"/>
    <d v="2026-01-27T00:00:00"/>
    <m/>
    <x v="2"/>
    <n v="3"/>
    <n v="15"/>
    <n v="306000"/>
    <n v="80"/>
    <s v=""/>
    <s v="East"/>
    <x v="4"/>
    <s v="CRM"/>
    <x v="9"/>
    <x v="3"/>
  </r>
  <r>
    <s v="O01454"/>
    <s v="C0301"/>
    <s v="P003"/>
    <s v="R012"/>
    <d v="2025-08-17T00:00:00"/>
    <d v="2025-09-25T00:00:00"/>
    <d v="2025-09-25T00:00:00"/>
    <x v="0"/>
    <n v="1"/>
    <n v="5"/>
    <n v="228000"/>
    <n v="0"/>
    <s v="No decision"/>
    <s v="West"/>
    <x v="1"/>
    <s v="Automation"/>
    <x v="14"/>
    <x v="1"/>
  </r>
  <r>
    <s v="O01455"/>
    <s v="C0228"/>
    <s v="P003"/>
    <s v="R007"/>
    <d v="2025-06-02T00:00:00"/>
    <d v="2025-07-19T00:00:00"/>
    <d v="2025-07-19T00:00:00"/>
    <x v="1"/>
    <n v="2"/>
    <n v="5"/>
    <n v="456000"/>
    <n v="100"/>
    <s v=""/>
    <s v="North"/>
    <x v="1"/>
    <s v="Automation"/>
    <x v="13"/>
    <x v="0"/>
  </r>
  <r>
    <s v="O01456"/>
    <s v="C0436"/>
    <s v="P003"/>
    <s v="R016"/>
    <d v="2025-07-29T00:00:00"/>
    <d v="2025-09-19T00:00:00"/>
    <d v="2025-09-19T00:00:00"/>
    <x v="0"/>
    <n v="3"/>
    <n v="5"/>
    <n v="684000"/>
    <n v="0"/>
    <s v="Budget"/>
    <s v="East"/>
    <x v="1"/>
    <s v="Automation"/>
    <x v="8"/>
    <x v="3"/>
  </r>
  <r>
    <s v="O01457"/>
    <s v="C0468"/>
    <s v="P002"/>
    <s v="R002"/>
    <d v="2025-07-30T00:00:00"/>
    <d v="2025-08-10T00:00:00"/>
    <d v="2025-08-10T00:00:00"/>
    <x v="0"/>
    <n v="1"/>
    <n v="0"/>
    <n v="420000"/>
    <n v="0"/>
    <s v="No decision"/>
    <s v="South"/>
    <x v="0"/>
    <s v="CRM"/>
    <x v="17"/>
    <x v="2"/>
  </r>
  <r>
    <s v="O01458"/>
    <s v="C0300"/>
    <s v="P006"/>
    <s v="R008"/>
    <d v="2025-08-04T00:00:00"/>
    <d v="2025-10-26T00:00:00"/>
    <d v="2025-10-26T00:00:00"/>
    <x v="1"/>
    <n v="3"/>
    <n v="20"/>
    <n v="864000"/>
    <n v="100"/>
    <s v=""/>
    <s v="North"/>
    <x v="2"/>
    <s v="Security"/>
    <x v="0"/>
    <x v="0"/>
  </r>
  <r>
    <s v="O01459"/>
    <s v="C0160"/>
    <s v="P006"/>
    <s v="R018"/>
    <d v="2025-08-29T00:00:00"/>
    <d v="2025-09-16T00:00:00"/>
    <d v="2025-09-16T00:00:00"/>
    <x v="0"/>
    <n v="3"/>
    <n v="15"/>
    <n v="918000"/>
    <n v="0"/>
    <s v="Price"/>
    <s v="East"/>
    <x v="2"/>
    <s v="Security"/>
    <x v="18"/>
    <x v="3"/>
  </r>
  <r>
    <s v="O01460"/>
    <s v="C0207"/>
    <s v="P003"/>
    <s v="R010"/>
    <d v="2025-10-28T00:00:00"/>
    <d v="2026-01-10T00:00:00"/>
    <m/>
    <x v="2"/>
    <n v="3"/>
    <n v="0"/>
    <n v="720000"/>
    <n v="60"/>
    <s v=""/>
    <s v="North"/>
    <x v="1"/>
    <s v="Automation"/>
    <x v="16"/>
    <x v="0"/>
  </r>
  <r>
    <s v="O01461"/>
    <s v="C0466"/>
    <s v="P003"/>
    <s v="R016"/>
    <d v="2025-06-11T00:00:00"/>
    <d v="2025-08-18T00:00:00"/>
    <d v="2025-08-18T00:00:00"/>
    <x v="1"/>
    <n v="1"/>
    <n v="20"/>
    <n v="192000"/>
    <n v="100"/>
    <s v=""/>
    <s v="East"/>
    <x v="1"/>
    <s v="Automation"/>
    <x v="8"/>
    <x v="3"/>
  </r>
  <r>
    <s v="O01462"/>
    <s v="C0199"/>
    <s v="P004"/>
    <s v="R001"/>
    <d v="2025-06-07T00:00:00"/>
    <d v="2025-08-10T00:00:00"/>
    <d v="2025-08-10T00:00:00"/>
    <x v="0"/>
    <n v="1"/>
    <n v="5"/>
    <n v="285000"/>
    <n v="0"/>
    <s v="Budget"/>
    <s v="South"/>
    <x v="5"/>
    <s v="Analytics"/>
    <x v="6"/>
    <x v="2"/>
  </r>
  <r>
    <s v="O01463"/>
    <s v="C0009"/>
    <s v="P006"/>
    <s v="R002"/>
    <d v="2025-04-26T00:00:00"/>
    <d v="2025-07-03T00:00:00"/>
    <m/>
    <x v="2"/>
    <n v="1"/>
    <n v="10"/>
    <n v="324000"/>
    <n v="20"/>
    <s v=""/>
    <s v="South"/>
    <x v="2"/>
    <s v="Security"/>
    <x v="17"/>
    <x v="2"/>
  </r>
  <r>
    <s v="O01464"/>
    <s v="C0182"/>
    <s v="P005"/>
    <s v="R013"/>
    <d v="2025-04-11T00:00:00"/>
    <d v="2025-06-10T00:00:00"/>
    <d v="2025-06-10T00:00:00"/>
    <x v="1"/>
    <n v="1"/>
    <n v="20"/>
    <n v="144000"/>
    <n v="100"/>
    <s v=""/>
    <s v="West"/>
    <x v="3"/>
    <s v="Service"/>
    <x v="5"/>
    <x v="1"/>
  </r>
  <r>
    <s v="O01465"/>
    <s v="C0309"/>
    <s v="P003"/>
    <s v="R003"/>
    <d v="2025-11-15T00:00:00"/>
    <d v="2025-11-29T00:00:00"/>
    <m/>
    <x v="2"/>
    <n v="3"/>
    <n v="20"/>
    <n v="576000"/>
    <n v="60"/>
    <s v=""/>
    <s v="South"/>
    <x v="1"/>
    <s v="Automation"/>
    <x v="15"/>
    <x v="2"/>
  </r>
  <r>
    <s v="O01466"/>
    <s v="C0414"/>
    <s v="P005"/>
    <s v="R016"/>
    <d v="2025-07-12T00:00:00"/>
    <d v="2025-08-10T00:00:00"/>
    <d v="2025-08-10T00:00:00"/>
    <x v="0"/>
    <n v="1"/>
    <n v="20"/>
    <n v="144000"/>
    <n v="0"/>
    <s v="Price"/>
    <s v="East"/>
    <x v="3"/>
    <s v="Service"/>
    <x v="8"/>
    <x v="3"/>
  </r>
  <r>
    <s v="O01467"/>
    <s v="C0029"/>
    <s v="P002"/>
    <s v="R010"/>
    <d v="2025-02-03T00:00:00"/>
    <d v="2025-03-31T00:00:00"/>
    <m/>
    <x v="2"/>
    <n v="1"/>
    <n v="10"/>
    <n v="378000"/>
    <n v="40"/>
    <s v=""/>
    <s v="North"/>
    <x v="0"/>
    <s v="CRM"/>
    <x v="16"/>
    <x v="0"/>
  </r>
  <r>
    <s v="O01468"/>
    <s v="C0431"/>
    <s v="P002"/>
    <s v="R001"/>
    <d v="2025-10-28T00:00:00"/>
    <d v="2025-11-17T00:00:00"/>
    <d v="2025-11-17T00:00:00"/>
    <x v="0"/>
    <n v="1"/>
    <n v="0"/>
    <n v="420000"/>
    <n v="0"/>
    <s v="Competition"/>
    <s v="South"/>
    <x v="0"/>
    <s v="CRM"/>
    <x v="6"/>
    <x v="2"/>
  </r>
  <r>
    <s v="O01469"/>
    <s v="C0101"/>
    <s v="P001"/>
    <s v="R006"/>
    <d v="2025-06-14T00:00:00"/>
    <d v="2025-07-15T00:00:00"/>
    <d v="2025-07-15T00:00:00"/>
    <x v="1"/>
    <n v="1"/>
    <n v="10"/>
    <n v="108000"/>
    <n v="100"/>
    <s v=""/>
    <s v="North"/>
    <x v="4"/>
    <s v="CRM"/>
    <x v="2"/>
    <x v="0"/>
  </r>
  <r>
    <s v="O01470"/>
    <s v="C0316"/>
    <s v="P006"/>
    <s v="R014"/>
    <d v="2025-07-04T00:00:00"/>
    <d v="2025-08-18T00:00:00"/>
    <d v="2025-08-18T00:00:00"/>
    <x v="0"/>
    <n v="1"/>
    <n v="10"/>
    <n v="324000"/>
    <n v="0"/>
    <s v="No decision"/>
    <s v="West"/>
    <x v="2"/>
    <s v="Security"/>
    <x v="1"/>
    <x v="1"/>
  </r>
  <r>
    <s v="O01471"/>
    <s v="C0175"/>
    <s v="P002"/>
    <s v="R001"/>
    <d v="2025-08-02T00:00:00"/>
    <d v="2025-08-19T00:00:00"/>
    <d v="2025-08-19T00:00:00"/>
    <x v="1"/>
    <n v="3"/>
    <n v="0"/>
    <n v="1260000"/>
    <n v="100"/>
    <s v=""/>
    <s v="South"/>
    <x v="0"/>
    <s v="CRM"/>
    <x v="6"/>
    <x v="2"/>
  </r>
  <r>
    <s v="O01472"/>
    <s v="C0064"/>
    <s v="P004"/>
    <s v="R020"/>
    <d v="2025-03-14T00:00:00"/>
    <d v="2025-05-24T00:00:00"/>
    <d v="2025-05-24T00:00:00"/>
    <x v="0"/>
    <n v="1"/>
    <n v="5"/>
    <n v="285000"/>
    <n v="0"/>
    <s v="No decision"/>
    <s v="East"/>
    <x v="5"/>
    <s v="Analytics"/>
    <x v="9"/>
    <x v="3"/>
  </r>
  <r>
    <s v="O01473"/>
    <s v="C0139"/>
    <s v="P004"/>
    <s v="R020"/>
    <d v="2025-12-29T00:00:00"/>
    <d v="2026-01-05T00:00:00"/>
    <m/>
    <x v="2"/>
    <n v="1"/>
    <n v="10"/>
    <n v="270000"/>
    <n v="40"/>
    <s v=""/>
    <s v="East"/>
    <x v="5"/>
    <s v="Analytics"/>
    <x v="9"/>
    <x v="3"/>
  </r>
  <r>
    <s v="O01474"/>
    <s v="C0361"/>
    <s v="P002"/>
    <s v="R007"/>
    <d v="2025-03-16T00:00:00"/>
    <d v="2025-05-21T00:00:00"/>
    <d v="2025-05-21T00:00:00"/>
    <x v="1"/>
    <n v="1"/>
    <n v="20"/>
    <n v="336000"/>
    <n v="100"/>
    <s v=""/>
    <s v="North"/>
    <x v="0"/>
    <s v="CRM"/>
    <x v="13"/>
    <x v="0"/>
  </r>
  <r>
    <s v="O01475"/>
    <s v="C0263"/>
    <s v="P006"/>
    <s v="R011"/>
    <d v="2025-12-28T00:00:00"/>
    <d v="2026-03-11T00:00:00"/>
    <m/>
    <x v="2"/>
    <n v="2"/>
    <n v="0"/>
    <n v="720000"/>
    <n v="80"/>
    <s v=""/>
    <s v="West"/>
    <x v="2"/>
    <s v="Security"/>
    <x v="12"/>
    <x v="1"/>
  </r>
  <r>
    <s v="O01476"/>
    <s v="C0007"/>
    <s v="P004"/>
    <s v="R003"/>
    <d v="2025-06-03T00:00:00"/>
    <d v="2025-07-13T00:00:00"/>
    <m/>
    <x v="2"/>
    <n v="2"/>
    <n v="15"/>
    <n v="510000"/>
    <n v="60"/>
    <s v=""/>
    <s v="South"/>
    <x v="5"/>
    <s v="Analytics"/>
    <x v="15"/>
    <x v="2"/>
  </r>
  <r>
    <s v="O01477"/>
    <s v="C0300"/>
    <s v="P005"/>
    <s v="R008"/>
    <d v="2025-08-12T00:00:00"/>
    <d v="2025-09-21T00:00:00"/>
    <d v="2025-09-21T00:00:00"/>
    <x v="0"/>
    <n v="1"/>
    <n v="0"/>
    <n v="180000"/>
    <n v="0"/>
    <s v="No decision"/>
    <s v="North"/>
    <x v="3"/>
    <s v="Service"/>
    <x v="0"/>
    <x v="0"/>
  </r>
  <r>
    <s v="O01478"/>
    <s v="C0373"/>
    <s v="P004"/>
    <s v="R018"/>
    <d v="2025-08-06T00:00:00"/>
    <d v="2025-10-30T00:00:00"/>
    <d v="2025-10-30T00:00:00"/>
    <x v="0"/>
    <n v="3"/>
    <n v="5"/>
    <n v="855000"/>
    <n v="0"/>
    <s v="Competition"/>
    <s v="East"/>
    <x v="5"/>
    <s v="Analytics"/>
    <x v="18"/>
    <x v="3"/>
  </r>
  <r>
    <s v="O01479"/>
    <s v="C0247"/>
    <s v="P005"/>
    <s v="R008"/>
    <d v="2025-12-07T00:00:00"/>
    <d v="2025-12-24T00:00:00"/>
    <m/>
    <x v="2"/>
    <n v="3"/>
    <n v="20"/>
    <n v="432000"/>
    <n v="20"/>
    <s v=""/>
    <s v="North"/>
    <x v="3"/>
    <s v="Service"/>
    <x v="0"/>
    <x v="0"/>
  </r>
  <r>
    <s v="O01480"/>
    <s v="C0409"/>
    <s v="P003"/>
    <s v="R002"/>
    <d v="2025-10-14T00:00:00"/>
    <d v="2026-01-01T00:00:00"/>
    <m/>
    <x v="2"/>
    <n v="1"/>
    <n v="10"/>
    <n v="216000"/>
    <n v="20"/>
    <s v=""/>
    <s v="South"/>
    <x v="1"/>
    <s v="Automation"/>
    <x v="17"/>
    <x v="2"/>
  </r>
  <r>
    <s v="O01481"/>
    <s v="C0158"/>
    <s v="P004"/>
    <s v="R002"/>
    <d v="2025-10-15T00:00:00"/>
    <d v="2025-12-06T00:00:00"/>
    <d v="2025-12-06T00:00:00"/>
    <x v="1"/>
    <n v="1"/>
    <n v="15"/>
    <n v="255000"/>
    <n v="100"/>
    <s v=""/>
    <s v="South"/>
    <x v="5"/>
    <s v="Analytics"/>
    <x v="17"/>
    <x v="2"/>
  </r>
  <r>
    <s v="O01482"/>
    <s v="C0005"/>
    <s v="P005"/>
    <s v="R003"/>
    <d v="2025-09-19T00:00:00"/>
    <d v="2025-11-16T00:00:00"/>
    <m/>
    <x v="2"/>
    <n v="3"/>
    <n v="15"/>
    <n v="459000"/>
    <n v="60"/>
    <s v=""/>
    <s v="South"/>
    <x v="3"/>
    <s v="Service"/>
    <x v="15"/>
    <x v="2"/>
  </r>
  <r>
    <s v="O01483"/>
    <s v="C0275"/>
    <s v="P001"/>
    <s v="R011"/>
    <d v="2025-09-27T00:00:00"/>
    <d v="2025-11-04T00:00:00"/>
    <d v="2025-11-04T00:00:00"/>
    <x v="1"/>
    <n v="1"/>
    <n v="5"/>
    <n v="114000"/>
    <n v="100"/>
    <s v=""/>
    <s v="West"/>
    <x v="4"/>
    <s v="CRM"/>
    <x v="12"/>
    <x v="1"/>
  </r>
  <r>
    <s v="O01484"/>
    <s v="C0143"/>
    <s v="P003"/>
    <s v="R010"/>
    <d v="2025-04-23T00:00:00"/>
    <d v="2025-06-03T00:00:00"/>
    <d v="2025-06-03T00:00:00"/>
    <x v="0"/>
    <n v="1"/>
    <n v="20"/>
    <n v="192000"/>
    <n v="0"/>
    <s v="Feature gap"/>
    <s v="North"/>
    <x v="1"/>
    <s v="Automation"/>
    <x v="16"/>
    <x v="0"/>
  </r>
  <r>
    <s v="O01485"/>
    <s v="C0082"/>
    <s v="P005"/>
    <s v="R015"/>
    <d v="2025-09-08T00:00:00"/>
    <d v="2025-11-12T00:00:00"/>
    <d v="2025-11-12T00:00:00"/>
    <x v="1"/>
    <n v="1"/>
    <n v="0"/>
    <n v="180000"/>
    <n v="100"/>
    <s v=""/>
    <s v="West"/>
    <x v="3"/>
    <s v="Service"/>
    <x v="7"/>
    <x v="1"/>
  </r>
  <r>
    <s v="O01486"/>
    <s v="C0172"/>
    <s v="P002"/>
    <s v="R008"/>
    <d v="2025-11-10T00:00:00"/>
    <d v="2025-12-27T00:00:00"/>
    <d v="2025-12-27T00:00:00"/>
    <x v="0"/>
    <n v="1"/>
    <n v="10"/>
    <n v="378000"/>
    <n v="0"/>
    <s v="Budget"/>
    <s v="North"/>
    <x v="0"/>
    <s v="CRM"/>
    <x v="0"/>
    <x v="0"/>
  </r>
  <r>
    <s v="O01487"/>
    <s v="C0122"/>
    <s v="P006"/>
    <s v="R011"/>
    <d v="2025-01-26T00:00:00"/>
    <d v="2025-02-28T00:00:00"/>
    <d v="2025-02-28T00:00:00"/>
    <x v="0"/>
    <n v="1"/>
    <n v="20"/>
    <n v="288000"/>
    <n v="0"/>
    <s v="Price"/>
    <s v="West"/>
    <x v="2"/>
    <s v="Security"/>
    <x v="12"/>
    <x v="1"/>
  </r>
  <r>
    <s v="O01488"/>
    <s v="C0244"/>
    <s v="P006"/>
    <s v="R007"/>
    <d v="2025-03-30T00:00:00"/>
    <d v="2025-04-24T00:00:00"/>
    <m/>
    <x v="2"/>
    <n v="1"/>
    <n v="20"/>
    <n v="288000"/>
    <n v="60"/>
    <s v=""/>
    <s v="North"/>
    <x v="2"/>
    <s v="Security"/>
    <x v="13"/>
    <x v="0"/>
  </r>
  <r>
    <s v="O01489"/>
    <s v="C0322"/>
    <s v="P005"/>
    <s v="R013"/>
    <d v="2025-08-12T00:00:00"/>
    <d v="2025-08-25T00:00:00"/>
    <d v="2025-08-25T00:00:00"/>
    <x v="0"/>
    <n v="1"/>
    <n v="20"/>
    <n v="144000"/>
    <n v="0"/>
    <s v="Budget"/>
    <s v="West"/>
    <x v="3"/>
    <s v="Service"/>
    <x v="5"/>
    <x v="1"/>
  </r>
  <r>
    <s v="O01490"/>
    <s v="C0037"/>
    <s v="P003"/>
    <s v="R007"/>
    <d v="2025-08-13T00:00:00"/>
    <d v="2025-10-06T00:00:00"/>
    <d v="2025-10-06T00:00:00"/>
    <x v="0"/>
    <n v="3"/>
    <n v="15"/>
    <n v="612000"/>
    <n v="0"/>
    <s v="No decision"/>
    <s v="North"/>
    <x v="1"/>
    <s v="Automation"/>
    <x v="13"/>
    <x v="0"/>
  </r>
  <r>
    <s v="O01491"/>
    <s v="C0177"/>
    <s v="P002"/>
    <s v="R020"/>
    <d v="2025-03-20T00:00:00"/>
    <d v="2025-04-01T00:00:00"/>
    <m/>
    <x v="2"/>
    <n v="3"/>
    <n v="15"/>
    <n v="1071000"/>
    <n v="80"/>
    <s v=""/>
    <s v="East"/>
    <x v="0"/>
    <s v="CRM"/>
    <x v="9"/>
    <x v="3"/>
  </r>
  <r>
    <s v="O01492"/>
    <s v="C0474"/>
    <s v="P006"/>
    <s v="R013"/>
    <d v="2025-11-16T00:00:00"/>
    <d v="2025-12-06T00:00:00"/>
    <d v="2025-12-06T00:00:00"/>
    <x v="0"/>
    <n v="3"/>
    <n v="5"/>
    <n v="1026000"/>
    <n v="0"/>
    <s v="No decision"/>
    <s v="West"/>
    <x v="2"/>
    <s v="Security"/>
    <x v="5"/>
    <x v="1"/>
  </r>
  <r>
    <s v="O01493"/>
    <s v="C0255"/>
    <s v="P004"/>
    <s v="R018"/>
    <d v="2025-06-13T00:00:00"/>
    <d v="2025-07-01T00:00:00"/>
    <d v="2025-07-01T00:00:00"/>
    <x v="0"/>
    <n v="1"/>
    <n v="15"/>
    <n v="255000"/>
    <n v="0"/>
    <s v="No decision"/>
    <s v="East"/>
    <x v="5"/>
    <s v="Analytics"/>
    <x v="18"/>
    <x v="3"/>
  </r>
  <r>
    <s v="O01494"/>
    <s v="C0288"/>
    <s v="P005"/>
    <s v="R001"/>
    <d v="2025-09-04T00:00:00"/>
    <d v="2025-09-21T00:00:00"/>
    <m/>
    <x v="2"/>
    <n v="3"/>
    <n v="20"/>
    <n v="432000"/>
    <n v="20"/>
    <s v=""/>
    <s v="South"/>
    <x v="3"/>
    <s v="Service"/>
    <x v="6"/>
    <x v="2"/>
  </r>
  <r>
    <s v="O01495"/>
    <s v="C0294"/>
    <s v="P006"/>
    <s v="R008"/>
    <d v="2025-06-03T00:00:00"/>
    <d v="2025-07-19T00:00:00"/>
    <d v="2025-07-19T00:00:00"/>
    <x v="1"/>
    <n v="3"/>
    <n v="5"/>
    <n v="1026000"/>
    <n v="100"/>
    <s v=""/>
    <s v="North"/>
    <x v="2"/>
    <s v="Security"/>
    <x v="0"/>
    <x v="0"/>
  </r>
  <r>
    <s v="O01496"/>
    <s v="C0390"/>
    <s v="P002"/>
    <s v="R015"/>
    <d v="2025-11-26T00:00:00"/>
    <d v="2026-02-14T00:00:00"/>
    <m/>
    <x v="2"/>
    <n v="2"/>
    <n v="10"/>
    <n v="756000"/>
    <n v="80"/>
    <s v=""/>
    <s v="West"/>
    <x v="0"/>
    <s v="CRM"/>
    <x v="7"/>
    <x v="1"/>
  </r>
  <r>
    <s v="O01497"/>
    <s v="C0428"/>
    <s v="P003"/>
    <s v="R007"/>
    <d v="2025-08-10T00:00:00"/>
    <d v="2025-10-19T00:00:00"/>
    <d v="2025-10-19T00:00:00"/>
    <x v="0"/>
    <n v="1"/>
    <n v="10"/>
    <n v="216000"/>
    <n v="0"/>
    <s v="Feature gap"/>
    <s v="North"/>
    <x v="1"/>
    <s v="Automation"/>
    <x v="13"/>
    <x v="0"/>
  </r>
  <r>
    <s v="O01498"/>
    <s v="C0124"/>
    <s v="P003"/>
    <s v="R001"/>
    <d v="2025-06-27T00:00:00"/>
    <d v="2025-09-17T00:00:00"/>
    <d v="2025-09-17T00:00:00"/>
    <x v="1"/>
    <n v="2"/>
    <n v="15"/>
    <n v="408000"/>
    <n v="100"/>
    <s v=""/>
    <s v="South"/>
    <x v="1"/>
    <s v="Automation"/>
    <x v="6"/>
    <x v="2"/>
  </r>
  <r>
    <s v="O01499"/>
    <s v="C0233"/>
    <s v="P002"/>
    <s v="R008"/>
    <d v="2025-11-11T00:00:00"/>
    <d v="2025-12-18T00:00:00"/>
    <m/>
    <x v="2"/>
    <n v="1"/>
    <n v="10"/>
    <n v="378000"/>
    <n v="80"/>
    <s v=""/>
    <s v="North"/>
    <x v="0"/>
    <s v="CRM"/>
    <x v="0"/>
    <x v="0"/>
  </r>
  <r>
    <s v="O01500"/>
    <s v="C0115"/>
    <s v="P003"/>
    <s v="R013"/>
    <d v="2025-11-28T00:00:00"/>
    <d v="2026-02-05T00:00:00"/>
    <m/>
    <x v="2"/>
    <n v="1"/>
    <n v="0"/>
    <n v="240000"/>
    <n v="80"/>
    <s v=""/>
    <s v="West"/>
    <x v="1"/>
    <s v="Automation"/>
    <x v="5"/>
    <x v="1"/>
  </r>
  <r>
    <s v="O01501"/>
    <s v="C0010"/>
    <s v="P006"/>
    <s v="R015"/>
    <d v="2025-06-26T00:00:00"/>
    <d v="2025-09-17T00:00:00"/>
    <d v="2025-09-17T00:00:00"/>
    <x v="0"/>
    <n v="1"/>
    <n v="15"/>
    <n v="306000"/>
    <n v="0"/>
    <s v="Feature gap"/>
    <s v="West"/>
    <x v="2"/>
    <s v="Security"/>
    <x v="7"/>
    <x v="1"/>
  </r>
  <r>
    <s v="O01502"/>
    <s v="C0396"/>
    <s v="P003"/>
    <s v="R006"/>
    <d v="2025-04-10T00:00:00"/>
    <d v="2025-05-17T00:00:00"/>
    <d v="2025-05-17T00:00:00"/>
    <x v="0"/>
    <n v="1"/>
    <n v="10"/>
    <n v="216000"/>
    <n v="0"/>
    <s v="Price"/>
    <s v="North"/>
    <x v="1"/>
    <s v="Automation"/>
    <x v="2"/>
    <x v="0"/>
  </r>
  <r>
    <s v="O01503"/>
    <s v="C0369"/>
    <s v="P006"/>
    <s v="R012"/>
    <d v="2025-05-29T00:00:00"/>
    <d v="2025-07-19T00:00:00"/>
    <d v="2025-07-19T00:00:00"/>
    <x v="1"/>
    <n v="1"/>
    <n v="20"/>
    <n v="288000"/>
    <n v="100"/>
    <s v=""/>
    <s v="West"/>
    <x v="2"/>
    <s v="Security"/>
    <x v="14"/>
    <x v="1"/>
  </r>
  <r>
    <s v="O01504"/>
    <s v="C0393"/>
    <s v="P004"/>
    <s v="R001"/>
    <d v="2025-03-04T00:00:00"/>
    <d v="2025-04-04T00:00:00"/>
    <d v="2025-04-04T00:00:00"/>
    <x v="0"/>
    <n v="3"/>
    <n v="15"/>
    <n v="765000"/>
    <n v="0"/>
    <s v="Price"/>
    <s v="South"/>
    <x v="5"/>
    <s v="Analytics"/>
    <x v="6"/>
    <x v="2"/>
  </r>
  <r>
    <s v="O01505"/>
    <s v="C0225"/>
    <s v="P006"/>
    <s v="R016"/>
    <d v="2025-07-16T00:00:00"/>
    <d v="2025-08-26T00:00:00"/>
    <d v="2025-08-26T00:00:00"/>
    <x v="0"/>
    <n v="3"/>
    <n v="0"/>
    <n v="1080000"/>
    <n v="0"/>
    <s v="Feature gap"/>
    <s v="East"/>
    <x v="2"/>
    <s v="Security"/>
    <x v="8"/>
    <x v="3"/>
  </r>
  <r>
    <s v="O01506"/>
    <s v="C0341"/>
    <s v="P005"/>
    <s v="R005"/>
    <d v="2025-08-06T00:00:00"/>
    <d v="2025-09-13T00:00:00"/>
    <d v="2025-09-13T00:00:00"/>
    <x v="0"/>
    <n v="1"/>
    <n v="5"/>
    <n v="171000"/>
    <n v="0"/>
    <s v="No decision"/>
    <s v="South"/>
    <x v="3"/>
    <s v="Service"/>
    <x v="11"/>
    <x v="2"/>
  </r>
  <r>
    <s v="O01507"/>
    <s v="C0233"/>
    <s v="P002"/>
    <s v="R007"/>
    <d v="2025-10-01T00:00:00"/>
    <d v="2025-11-11T00:00:00"/>
    <d v="2025-11-11T00:00:00"/>
    <x v="0"/>
    <n v="1"/>
    <n v="5"/>
    <n v="399000"/>
    <n v="0"/>
    <s v="Budget"/>
    <s v="North"/>
    <x v="0"/>
    <s v="CRM"/>
    <x v="13"/>
    <x v="0"/>
  </r>
  <r>
    <s v="O01508"/>
    <s v="C0025"/>
    <s v="P005"/>
    <s v="R019"/>
    <d v="2025-06-08T00:00:00"/>
    <d v="2025-07-24T00:00:00"/>
    <d v="2025-07-24T00:00:00"/>
    <x v="1"/>
    <n v="3"/>
    <n v="5"/>
    <n v="513000"/>
    <n v="100"/>
    <s v=""/>
    <s v="East"/>
    <x v="3"/>
    <s v="Service"/>
    <x v="10"/>
    <x v="3"/>
  </r>
  <r>
    <s v="O01509"/>
    <s v="C0027"/>
    <s v="P004"/>
    <s v="R017"/>
    <d v="2025-07-06T00:00:00"/>
    <d v="2025-09-06T00:00:00"/>
    <m/>
    <x v="2"/>
    <n v="1"/>
    <n v="20"/>
    <n v="240000"/>
    <n v="40"/>
    <s v=""/>
    <s v="East"/>
    <x v="5"/>
    <s v="Analytics"/>
    <x v="19"/>
    <x v="3"/>
  </r>
  <r>
    <s v="O01510"/>
    <s v="C0399"/>
    <s v="P001"/>
    <s v="R017"/>
    <d v="2025-09-17T00:00:00"/>
    <d v="2025-11-29T00:00:00"/>
    <m/>
    <x v="2"/>
    <n v="2"/>
    <n v="15"/>
    <n v="204000"/>
    <n v="20"/>
    <s v=""/>
    <s v="East"/>
    <x v="4"/>
    <s v="CRM"/>
    <x v="19"/>
    <x v="3"/>
  </r>
  <r>
    <s v="O01511"/>
    <s v="C0321"/>
    <s v="P006"/>
    <s v="R017"/>
    <d v="2025-06-15T00:00:00"/>
    <d v="2025-08-09T00:00:00"/>
    <m/>
    <x v="2"/>
    <n v="1"/>
    <n v="0"/>
    <n v="360000"/>
    <n v="80"/>
    <s v=""/>
    <s v="East"/>
    <x v="2"/>
    <s v="Security"/>
    <x v="19"/>
    <x v="3"/>
  </r>
  <r>
    <s v="O01512"/>
    <s v="C0494"/>
    <s v="P003"/>
    <s v="R018"/>
    <d v="2025-07-13T00:00:00"/>
    <d v="2025-08-16T00:00:00"/>
    <m/>
    <x v="2"/>
    <n v="1"/>
    <n v="10"/>
    <n v="216000"/>
    <n v="60"/>
    <s v=""/>
    <s v="East"/>
    <x v="1"/>
    <s v="Automation"/>
    <x v="18"/>
    <x v="3"/>
  </r>
  <r>
    <s v="O01513"/>
    <s v="C0097"/>
    <s v="P005"/>
    <s v="R006"/>
    <d v="2025-12-18T00:00:00"/>
    <d v="2026-01-01T00:00:00"/>
    <m/>
    <x v="2"/>
    <n v="1"/>
    <n v="20"/>
    <n v="144000"/>
    <n v="20"/>
    <s v=""/>
    <s v="North"/>
    <x v="3"/>
    <s v="Service"/>
    <x v="2"/>
    <x v="0"/>
  </r>
  <r>
    <s v="O01514"/>
    <s v="C0481"/>
    <s v="P001"/>
    <s v="R018"/>
    <d v="2025-07-15T00:00:00"/>
    <d v="2025-08-12T00:00:00"/>
    <d v="2025-08-12T00:00:00"/>
    <x v="0"/>
    <n v="1"/>
    <n v="0"/>
    <n v="120000"/>
    <n v="0"/>
    <s v="Feature gap"/>
    <s v="East"/>
    <x v="4"/>
    <s v="CRM"/>
    <x v="18"/>
    <x v="3"/>
  </r>
  <r>
    <s v="O01515"/>
    <s v="C0087"/>
    <s v="P005"/>
    <s v="R017"/>
    <d v="2025-07-19T00:00:00"/>
    <d v="2025-07-26T00:00:00"/>
    <d v="2025-07-26T00:00:00"/>
    <x v="1"/>
    <n v="3"/>
    <n v="15"/>
    <n v="459000"/>
    <n v="100"/>
    <s v=""/>
    <s v="East"/>
    <x v="3"/>
    <s v="Service"/>
    <x v="19"/>
    <x v="3"/>
  </r>
  <r>
    <s v="O01516"/>
    <s v="C0074"/>
    <s v="P006"/>
    <s v="R005"/>
    <d v="2025-07-11T00:00:00"/>
    <d v="2025-09-09T00:00:00"/>
    <d v="2025-09-09T00:00:00"/>
    <x v="1"/>
    <n v="2"/>
    <n v="0"/>
    <n v="720000"/>
    <n v="100"/>
    <s v=""/>
    <s v="South"/>
    <x v="2"/>
    <s v="Security"/>
    <x v="11"/>
    <x v="2"/>
  </r>
  <r>
    <s v="O01517"/>
    <s v="C0288"/>
    <s v="P001"/>
    <s v="R003"/>
    <d v="2025-02-22T00:00:00"/>
    <d v="2025-05-13T00:00:00"/>
    <d v="2025-05-13T00:00:00"/>
    <x v="0"/>
    <n v="1"/>
    <n v="0"/>
    <n v="120000"/>
    <n v="0"/>
    <s v="Competition"/>
    <s v="South"/>
    <x v="4"/>
    <s v="CRM"/>
    <x v="15"/>
    <x v="2"/>
  </r>
  <r>
    <s v="O01518"/>
    <s v="C0368"/>
    <s v="P006"/>
    <s v="R002"/>
    <d v="2025-11-08T00:00:00"/>
    <d v="2026-01-03T00:00:00"/>
    <m/>
    <x v="2"/>
    <n v="1"/>
    <n v="20"/>
    <n v="288000"/>
    <n v="20"/>
    <s v=""/>
    <s v="South"/>
    <x v="2"/>
    <s v="Security"/>
    <x v="17"/>
    <x v="2"/>
  </r>
  <r>
    <s v="O01519"/>
    <s v="C0036"/>
    <s v="P006"/>
    <s v="R003"/>
    <d v="2025-10-14T00:00:00"/>
    <d v="2025-11-14T00:00:00"/>
    <d v="2025-11-14T00:00:00"/>
    <x v="0"/>
    <n v="2"/>
    <n v="20"/>
    <n v="576000"/>
    <n v="0"/>
    <s v="Feature gap"/>
    <s v="South"/>
    <x v="2"/>
    <s v="Security"/>
    <x v="15"/>
    <x v="2"/>
  </r>
  <r>
    <s v="O01520"/>
    <s v="C0206"/>
    <s v="P001"/>
    <s v="R007"/>
    <d v="2025-03-31T00:00:00"/>
    <d v="2025-06-19T00:00:00"/>
    <d v="2025-06-19T00:00:00"/>
    <x v="1"/>
    <n v="1"/>
    <n v="20"/>
    <n v="96000"/>
    <n v="100"/>
    <s v=""/>
    <s v="North"/>
    <x v="4"/>
    <s v="CRM"/>
    <x v="13"/>
    <x v="0"/>
  </r>
  <r>
    <s v="O01521"/>
    <s v="C0099"/>
    <s v="P006"/>
    <s v="R010"/>
    <d v="2025-11-24T00:00:00"/>
    <d v="2026-01-22T00:00:00"/>
    <m/>
    <x v="2"/>
    <n v="1"/>
    <n v="15"/>
    <n v="306000"/>
    <n v="40"/>
    <s v=""/>
    <s v="North"/>
    <x v="2"/>
    <s v="Security"/>
    <x v="16"/>
    <x v="0"/>
  </r>
  <r>
    <s v="O01522"/>
    <s v="C0449"/>
    <s v="P002"/>
    <s v="R001"/>
    <d v="2025-06-05T00:00:00"/>
    <d v="2025-06-23T00:00:00"/>
    <d v="2025-06-23T00:00:00"/>
    <x v="1"/>
    <n v="1"/>
    <n v="20"/>
    <n v="336000"/>
    <n v="100"/>
    <s v=""/>
    <s v="South"/>
    <x v="0"/>
    <s v="CRM"/>
    <x v="6"/>
    <x v="2"/>
  </r>
  <r>
    <s v="O01523"/>
    <s v="C0297"/>
    <s v="P001"/>
    <s v="R002"/>
    <d v="2025-06-23T00:00:00"/>
    <d v="2025-09-15T00:00:00"/>
    <m/>
    <x v="2"/>
    <n v="2"/>
    <n v="0"/>
    <n v="240000"/>
    <n v="80"/>
    <s v=""/>
    <s v="South"/>
    <x v="4"/>
    <s v="CRM"/>
    <x v="17"/>
    <x v="2"/>
  </r>
  <r>
    <s v="O01524"/>
    <s v="C0130"/>
    <s v="P006"/>
    <s v="R009"/>
    <d v="2025-01-03T00:00:00"/>
    <d v="2025-03-01T00:00:00"/>
    <d v="2025-03-01T00:00:00"/>
    <x v="1"/>
    <n v="1"/>
    <n v="20"/>
    <n v="288000"/>
    <n v="100"/>
    <s v=""/>
    <s v="North"/>
    <x v="2"/>
    <s v="Security"/>
    <x v="4"/>
    <x v="0"/>
  </r>
  <r>
    <s v="O01525"/>
    <s v="C0238"/>
    <s v="P006"/>
    <s v="R019"/>
    <d v="2025-02-01T00:00:00"/>
    <d v="2025-03-15T00:00:00"/>
    <d v="2025-03-15T00:00:00"/>
    <x v="1"/>
    <n v="1"/>
    <n v="10"/>
    <n v="324000"/>
    <n v="100"/>
    <s v=""/>
    <s v="East"/>
    <x v="2"/>
    <s v="Security"/>
    <x v="10"/>
    <x v="3"/>
  </r>
  <r>
    <s v="O01526"/>
    <s v="C0468"/>
    <s v="P004"/>
    <s v="R003"/>
    <d v="2025-06-24T00:00:00"/>
    <d v="2025-07-01T00:00:00"/>
    <d v="2025-07-01T00:00:00"/>
    <x v="1"/>
    <n v="1"/>
    <n v="20"/>
    <n v="240000"/>
    <n v="100"/>
    <s v=""/>
    <s v="South"/>
    <x v="5"/>
    <s v="Analytics"/>
    <x v="15"/>
    <x v="2"/>
  </r>
  <r>
    <s v="O01527"/>
    <s v="C0048"/>
    <s v="P003"/>
    <s v="R004"/>
    <d v="2025-01-11T00:00:00"/>
    <d v="2025-02-24T00:00:00"/>
    <m/>
    <x v="2"/>
    <n v="1"/>
    <n v="15"/>
    <n v="204000"/>
    <n v="20"/>
    <s v=""/>
    <s v="South"/>
    <x v="1"/>
    <s v="Automation"/>
    <x v="3"/>
    <x v="2"/>
  </r>
  <r>
    <s v="O01528"/>
    <s v="C0158"/>
    <s v="P004"/>
    <s v="R003"/>
    <d v="2025-05-29T00:00:00"/>
    <d v="2025-07-19T00:00:00"/>
    <d v="2025-07-19T00:00:00"/>
    <x v="0"/>
    <n v="2"/>
    <n v="10"/>
    <n v="540000"/>
    <n v="0"/>
    <s v="Competition"/>
    <s v="South"/>
    <x v="5"/>
    <s v="Analytics"/>
    <x v="15"/>
    <x v="2"/>
  </r>
  <r>
    <s v="O01529"/>
    <s v="C0260"/>
    <s v="P003"/>
    <s v="R009"/>
    <d v="2025-09-28T00:00:00"/>
    <d v="2025-11-27T00:00:00"/>
    <m/>
    <x v="2"/>
    <n v="1"/>
    <n v="15"/>
    <n v="204000"/>
    <n v="80"/>
    <s v=""/>
    <s v="North"/>
    <x v="1"/>
    <s v="Automation"/>
    <x v="4"/>
    <x v="0"/>
  </r>
  <r>
    <s v="O01530"/>
    <s v="C0244"/>
    <s v="P001"/>
    <s v="R010"/>
    <d v="2025-08-15T00:00:00"/>
    <d v="2025-10-19T00:00:00"/>
    <m/>
    <x v="2"/>
    <n v="2"/>
    <n v="20"/>
    <n v="192000"/>
    <n v="60"/>
    <s v=""/>
    <s v="North"/>
    <x v="4"/>
    <s v="CRM"/>
    <x v="16"/>
    <x v="0"/>
  </r>
  <r>
    <s v="O01531"/>
    <s v="C0389"/>
    <s v="P002"/>
    <s v="R003"/>
    <d v="2025-03-05T00:00:00"/>
    <d v="2025-05-27T00:00:00"/>
    <d v="2025-05-27T00:00:00"/>
    <x v="1"/>
    <n v="2"/>
    <n v="5"/>
    <n v="798000"/>
    <n v="100"/>
    <s v=""/>
    <s v="South"/>
    <x v="0"/>
    <s v="CRM"/>
    <x v="15"/>
    <x v="2"/>
  </r>
  <r>
    <s v="O01532"/>
    <s v="C0084"/>
    <s v="P002"/>
    <s v="R002"/>
    <d v="2025-12-17T00:00:00"/>
    <d v="2026-01-23T00:00:00"/>
    <m/>
    <x v="2"/>
    <n v="1"/>
    <n v="5"/>
    <n v="399000"/>
    <n v="40"/>
    <s v=""/>
    <s v="South"/>
    <x v="0"/>
    <s v="CRM"/>
    <x v="17"/>
    <x v="2"/>
  </r>
  <r>
    <s v="O01533"/>
    <s v="C0290"/>
    <s v="P003"/>
    <s v="R007"/>
    <d v="2025-12-15T00:00:00"/>
    <d v="2026-02-11T00:00:00"/>
    <m/>
    <x v="2"/>
    <n v="3"/>
    <n v="10"/>
    <n v="648000"/>
    <n v="40"/>
    <s v=""/>
    <s v="North"/>
    <x v="1"/>
    <s v="Automation"/>
    <x v="13"/>
    <x v="0"/>
  </r>
  <r>
    <s v="O01534"/>
    <s v="C0259"/>
    <s v="P003"/>
    <s v="R007"/>
    <d v="2025-09-04T00:00:00"/>
    <d v="2025-09-17T00:00:00"/>
    <d v="2025-09-17T00:00:00"/>
    <x v="0"/>
    <n v="1"/>
    <n v="15"/>
    <n v="204000"/>
    <n v="0"/>
    <s v="Budget"/>
    <s v="North"/>
    <x v="1"/>
    <s v="Automation"/>
    <x v="13"/>
    <x v="0"/>
  </r>
  <r>
    <s v="O01535"/>
    <s v="C0132"/>
    <s v="P002"/>
    <s v="R018"/>
    <d v="2025-06-29T00:00:00"/>
    <d v="2025-07-24T00:00:00"/>
    <m/>
    <x v="2"/>
    <n v="3"/>
    <n v="0"/>
    <n v="1260000"/>
    <n v="60"/>
    <s v=""/>
    <s v="East"/>
    <x v="0"/>
    <s v="CRM"/>
    <x v="18"/>
    <x v="3"/>
  </r>
  <r>
    <s v="O01536"/>
    <s v="C0286"/>
    <s v="P004"/>
    <s v="R015"/>
    <d v="2025-09-29T00:00:00"/>
    <d v="2025-12-02T00:00:00"/>
    <d v="2025-12-02T00:00:00"/>
    <x v="0"/>
    <n v="3"/>
    <n v="15"/>
    <n v="765000"/>
    <n v="0"/>
    <s v="Competition"/>
    <s v="West"/>
    <x v="5"/>
    <s v="Analytics"/>
    <x v="7"/>
    <x v="1"/>
  </r>
  <r>
    <s v="O01537"/>
    <s v="C0455"/>
    <s v="P001"/>
    <s v="R019"/>
    <d v="2025-01-18T00:00:00"/>
    <d v="2025-02-05T00:00:00"/>
    <m/>
    <x v="2"/>
    <n v="3"/>
    <n v="10"/>
    <n v="324000"/>
    <n v="80"/>
    <s v=""/>
    <s v="East"/>
    <x v="4"/>
    <s v="CRM"/>
    <x v="10"/>
    <x v="3"/>
  </r>
  <r>
    <s v="O01538"/>
    <s v="C0411"/>
    <s v="P002"/>
    <s v="R013"/>
    <d v="2025-10-18T00:00:00"/>
    <d v="2025-12-16T00:00:00"/>
    <d v="2025-12-16T00:00:00"/>
    <x v="0"/>
    <n v="1"/>
    <n v="20"/>
    <n v="336000"/>
    <n v="0"/>
    <s v="No decision"/>
    <s v="West"/>
    <x v="0"/>
    <s v="CRM"/>
    <x v="5"/>
    <x v="1"/>
  </r>
  <r>
    <s v="O01539"/>
    <s v="C0166"/>
    <s v="P001"/>
    <s v="R016"/>
    <d v="2025-04-02T00:00:00"/>
    <d v="2025-05-18T00:00:00"/>
    <d v="2025-05-18T00:00:00"/>
    <x v="0"/>
    <n v="1"/>
    <n v="0"/>
    <n v="120000"/>
    <n v="0"/>
    <s v="Price"/>
    <s v="East"/>
    <x v="4"/>
    <s v="CRM"/>
    <x v="8"/>
    <x v="3"/>
  </r>
  <r>
    <s v="O01540"/>
    <s v="C0153"/>
    <s v="P003"/>
    <s v="R003"/>
    <d v="2025-02-04T00:00:00"/>
    <d v="2025-04-19T00:00:00"/>
    <d v="2025-04-19T00:00:00"/>
    <x v="0"/>
    <n v="2"/>
    <n v="20"/>
    <n v="384000"/>
    <n v="0"/>
    <s v="Price"/>
    <s v="South"/>
    <x v="1"/>
    <s v="Automation"/>
    <x v="15"/>
    <x v="2"/>
  </r>
  <r>
    <s v="O01541"/>
    <s v="C0333"/>
    <s v="P006"/>
    <s v="R011"/>
    <d v="2025-02-20T00:00:00"/>
    <d v="2025-04-19T00:00:00"/>
    <d v="2025-04-19T00:00:00"/>
    <x v="0"/>
    <n v="3"/>
    <n v="15"/>
    <n v="918000"/>
    <n v="0"/>
    <s v="Budget"/>
    <s v="West"/>
    <x v="2"/>
    <s v="Security"/>
    <x v="12"/>
    <x v="1"/>
  </r>
  <r>
    <s v="O01542"/>
    <s v="C0150"/>
    <s v="P006"/>
    <s v="R020"/>
    <d v="2025-04-07T00:00:00"/>
    <d v="2025-06-26T00:00:00"/>
    <d v="2025-06-26T00:00:00"/>
    <x v="1"/>
    <n v="1"/>
    <n v="20"/>
    <n v="288000"/>
    <n v="100"/>
    <s v=""/>
    <s v="East"/>
    <x v="2"/>
    <s v="Security"/>
    <x v="9"/>
    <x v="3"/>
  </r>
  <r>
    <s v="O01543"/>
    <s v="C0408"/>
    <s v="P001"/>
    <s v="R018"/>
    <d v="2025-06-21T00:00:00"/>
    <d v="2025-09-12T00:00:00"/>
    <d v="2025-09-12T00:00:00"/>
    <x v="0"/>
    <n v="1"/>
    <n v="5"/>
    <n v="114000"/>
    <n v="0"/>
    <s v="No decision"/>
    <s v="East"/>
    <x v="4"/>
    <s v="CRM"/>
    <x v="18"/>
    <x v="3"/>
  </r>
  <r>
    <s v="O01544"/>
    <s v="C0055"/>
    <s v="P005"/>
    <s v="R014"/>
    <d v="2025-09-12T00:00:00"/>
    <d v="2025-11-19T00:00:00"/>
    <d v="2025-11-19T00:00:00"/>
    <x v="0"/>
    <n v="1"/>
    <n v="0"/>
    <n v="180000"/>
    <n v="0"/>
    <s v="Budget"/>
    <s v="West"/>
    <x v="3"/>
    <s v="Service"/>
    <x v="1"/>
    <x v="1"/>
  </r>
  <r>
    <s v="O01545"/>
    <s v="C0370"/>
    <s v="P003"/>
    <s v="R002"/>
    <d v="2025-05-02T00:00:00"/>
    <d v="2025-05-28T00:00:00"/>
    <d v="2025-05-28T00:00:00"/>
    <x v="1"/>
    <n v="3"/>
    <n v="15"/>
    <n v="612000"/>
    <n v="100"/>
    <s v=""/>
    <s v="South"/>
    <x v="1"/>
    <s v="Automation"/>
    <x v="17"/>
    <x v="2"/>
  </r>
  <r>
    <s v="O01546"/>
    <s v="C0466"/>
    <s v="P003"/>
    <s v="R018"/>
    <d v="2025-03-05T00:00:00"/>
    <d v="2025-04-08T00:00:00"/>
    <d v="2025-04-08T00:00:00"/>
    <x v="1"/>
    <n v="3"/>
    <n v="15"/>
    <n v="612000"/>
    <n v="100"/>
    <s v=""/>
    <s v="East"/>
    <x v="1"/>
    <s v="Automation"/>
    <x v="18"/>
    <x v="3"/>
  </r>
  <r>
    <s v="O01547"/>
    <s v="C0424"/>
    <s v="P002"/>
    <s v="R020"/>
    <d v="2025-07-30T00:00:00"/>
    <d v="2025-08-22T00:00:00"/>
    <d v="2025-08-22T00:00:00"/>
    <x v="1"/>
    <n v="1"/>
    <n v="20"/>
    <n v="336000"/>
    <n v="100"/>
    <s v=""/>
    <s v="East"/>
    <x v="0"/>
    <s v="CRM"/>
    <x v="9"/>
    <x v="3"/>
  </r>
  <r>
    <s v="O01548"/>
    <s v="C0389"/>
    <s v="P006"/>
    <s v="R004"/>
    <d v="2025-12-29T00:00:00"/>
    <d v="2026-03-07T00:00:00"/>
    <m/>
    <x v="2"/>
    <n v="1"/>
    <n v="10"/>
    <n v="324000"/>
    <n v="60"/>
    <s v=""/>
    <s v="South"/>
    <x v="2"/>
    <s v="Security"/>
    <x v="3"/>
    <x v="2"/>
  </r>
  <r>
    <s v="O01549"/>
    <s v="C0254"/>
    <s v="P002"/>
    <s v="R005"/>
    <d v="2025-07-12T00:00:00"/>
    <d v="2025-08-02T00:00:00"/>
    <d v="2025-08-02T00:00:00"/>
    <x v="0"/>
    <n v="1"/>
    <n v="15"/>
    <n v="357000"/>
    <n v="0"/>
    <s v="Competition"/>
    <s v="South"/>
    <x v="0"/>
    <s v="CRM"/>
    <x v="11"/>
    <x v="2"/>
  </r>
  <r>
    <s v="O01550"/>
    <s v="C0476"/>
    <s v="P005"/>
    <s v="R001"/>
    <d v="2025-11-25T00:00:00"/>
    <d v="2026-01-08T00:00:00"/>
    <m/>
    <x v="2"/>
    <n v="2"/>
    <n v="20"/>
    <n v="288000"/>
    <n v="80"/>
    <s v=""/>
    <s v="South"/>
    <x v="3"/>
    <s v="Service"/>
    <x v="6"/>
    <x v="2"/>
  </r>
  <r>
    <s v="O01551"/>
    <s v="C0034"/>
    <s v="P004"/>
    <s v="R018"/>
    <d v="2025-09-05T00:00:00"/>
    <d v="2025-11-04T00:00:00"/>
    <d v="2025-11-04T00:00:00"/>
    <x v="1"/>
    <n v="1"/>
    <n v="10"/>
    <n v="270000"/>
    <n v="100"/>
    <s v=""/>
    <s v="East"/>
    <x v="5"/>
    <s v="Analytics"/>
    <x v="18"/>
    <x v="3"/>
  </r>
  <r>
    <s v="O01552"/>
    <s v="C0368"/>
    <s v="P003"/>
    <s v="R001"/>
    <d v="2025-02-21T00:00:00"/>
    <d v="2025-03-18T00:00:00"/>
    <d v="2025-03-18T00:00:00"/>
    <x v="0"/>
    <n v="2"/>
    <n v="5"/>
    <n v="456000"/>
    <n v="0"/>
    <s v="Price"/>
    <s v="South"/>
    <x v="1"/>
    <s v="Automation"/>
    <x v="6"/>
    <x v="2"/>
  </r>
  <r>
    <s v="O01553"/>
    <s v="C0137"/>
    <s v="P002"/>
    <s v="R005"/>
    <d v="2025-04-25T00:00:00"/>
    <d v="2025-06-13T00:00:00"/>
    <d v="2025-06-13T00:00:00"/>
    <x v="1"/>
    <n v="3"/>
    <n v="20"/>
    <n v="1008000"/>
    <n v="100"/>
    <s v=""/>
    <s v="South"/>
    <x v="0"/>
    <s v="CRM"/>
    <x v="11"/>
    <x v="2"/>
  </r>
  <r>
    <s v="O01554"/>
    <s v="C0181"/>
    <s v="P002"/>
    <s v="R015"/>
    <d v="2025-01-11T00:00:00"/>
    <d v="2025-02-08T00:00:00"/>
    <m/>
    <x v="2"/>
    <n v="2"/>
    <n v="5"/>
    <n v="798000"/>
    <n v="60"/>
    <s v=""/>
    <s v="West"/>
    <x v="0"/>
    <s v="CRM"/>
    <x v="7"/>
    <x v="1"/>
  </r>
  <r>
    <s v="O01555"/>
    <s v="C0498"/>
    <s v="P006"/>
    <s v="R016"/>
    <d v="2025-08-10T00:00:00"/>
    <d v="2025-10-14T00:00:00"/>
    <d v="2025-10-14T00:00:00"/>
    <x v="1"/>
    <n v="2"/>
    <n v="0"/>
    <n v="720000"/>
    <n v="100"/>
    <s v=""/>
    <s v="East"/>
    <x v="2"/>
    <s v="Security"/>
    <x v="8"/>
    <x v="3"/>
  </r>
  <r>
    <s v="O01556"/>
    <s v="C0329"/>
    <s v="P002"/>
    <s v="R006"/>
    <d v="2025-07-25T00:00:00"/>
    <d v="2025-10-16T00:00:00"/>
    <d v="2025-10-16T00:00:00"/>
    <x v="0"/>
    <n v="1"/>
    <n v="0"/>
    <n v="420000"/>
    <n v="0"/>
    <s v="No decision"/>
    <s v="North"/>
    <x v="0"/>
    <s v="CRM"/>
    <x v="2"/>
    <x v="0"/>
  </r>
  <r>
    <s v="O01557"/>
    <s v="C0164"/>
    <s v="P002"/>
    <s v="R015"/>
    <d v="2025-04-04T00:00:00"/>
    <d v="2025-05-25T00:00:00"/>
    <m/>
    <x v="2"/>
    <n v="1"/>
    <n v="20"/>
    <n v="336000"/>
    <n v="80"/>
    <s v=""/>
    <s v="West"/>
    <x v="0"/>
    <s v="CRM"/>
    <x v="7"/>
    <x v="1"/>
  </r>
  <r>
    <s v="O01558"/>
    <s v="C0479"/>
    <s v="P004"/>
    <s v="R002"/>
    <d v="2025-05-22T00:00:00"/>
    <d v="2025-06-24T00:00:00"/>
    <d v="2025-06-24T00:00:00"/>
    <x v="1"/>
    <n v="1"/>
    <n v="5"/>
    <n v="285000"/>
    <n v="100"/>
    <s v=""/>
    <s v="South"/>
    <x v="5"/>
    <s v="Analytics"/>
    <x v="17"/>
    <x v="2"/>
  </r>
  <r>
    <s v="O01559"/>
    <s v="C0124"/>
    <s v="P002"/>
    <s v="R003"/>
    <d v="2025-01-23T00:00:00"/>
    <d v="2025-02-08T00:00:00"/>
    <d v="2025-02-08T00:00:00"/>
    <x v="1"/>
    <n v="2"/>
    <n v="0"/>
    <n v="840000"/>
    <n v="100"/>
    <s v=""/>
    <s v="South"/>
    <x v="0"/>
    <s v="CRM"/>
    <x v="15"/>
    <x v="2"/>
  </r>
  <r>
    <s v="O01560"/>
    <s v="C0167"/>
    <s v="P005"/>
    <s v="R014"/>
    <d v="2025-01-28T00:00:00"/>
    <d v="2025-03-10T00:00:00"/>
    <m/>
    <x v="2"/>
    <n v="1"/>
    <n v="10"/>
    <n v="162000"/>
    <n v="40"/>
    <s v=""/>
    <s v="West"/>
    <x v="3"/>
    <s v="Service"/>
    <x v="1"/>
    <x v="1"/>
  </r>
  <r>
    <s v="O01561"/>
    <s v="C0081"/>
    <s v="P003"/>
    <s v="R008"/>
    <d v="2025-02-14T00:00:00"/>
    <d v="2025-03-22T00:00:00"/>
    <d v="2025-03-22T00:00:00"/>
    <x v="1"/>
    <n v="3"/>
    <n v="0"/>
    <n v="720000"/>
    <n v="100"/>
    <s v=""/>
    <s v="North"/>
    <x v="1"/>
    <s v="Automation"/>
    <x v="0"/>
    <x v="0"/>
  </r>
  <r>
    <s v="O01562"/>
    <s v="C0367"/>
    <s v="P006"/>
    <s v="R012"/>
    <d v="2025-12-19T00:00:00"/>
    <d v="2026-01-27T00:00:00"/>
    <m/>
    <x v="2"/>
    <n v="1"/>
    <n v="20"/>
    <n v="288000"/>
    <n v="80"/>
    <s v=""/>
    <s v="West"/>
    <x v="2"/>
    <s v="Security"/>
    <x v="14"/>
    <x v="1"/>
  </r>
  <r>
    <s v="O01563"/>
    <s v="C0458"/>
    <s v="P004"/>
    <s v="R004"/>
    <d v="2025-04-29T00:00:00"/>
    <d v="2025-07-10T00:00:00"/>
    <d v="2025-07-10T00:00:00"/>
    <x v="1"/>
    <n v="1"/>
    <n v="10"/>
    <n v="270000"/>
    <n v="100"/>
    <s v=""/>
    <s v="South"/>
    <x v="5"/>
    <s v="Analytics"/>
    <x v="3"/>
    <x v="2"/>
  </r>
  <r>
    <s v="O01564"/>
    <s v="C0222"/>
    <s v="P002"/>
    <s v="R013"/>
    <d v="2025-03-09T00:00:00"/>
    <d v="2025-03-16T00:00:00"/>
    <d v="2025-03-16T00:00:00"/>
    <x v="1"/>
    <n v="2"/>
    <n v="15"/>
    <n v="714000"/>
    <n v="100"/>
    <s v=""/>
    <s v="West"/>
    <x v="0"/>
    <s v="CRM"/>
    <x v="5"/>
    <x v="1"/>
  </r>
  <r>
    <s v="O01565"/>
    <s v="C0236"/>
    <s v="P001"/>
    <s v="R013"/>
    <d v="2025-04-08T00:00:00"/>
    <d v="2025-06-08T00:00:00"/>
    <d v="2025-06-08T00:00:00"/>
    <x v="0"/>
    <n v="1"/>
    <n v="20"/>
    <n v="96000"/>
    <n v="0"/>
    <s v="Feature gap"/>
    <s v="West"/>
    <x v="4"/>
    <s v="CRM"/>
    <x v="5"/>
    <x v="1"/>
  </r>
  <r>
    <s v="O01566"/>
    <s v="C0376"/>
    <s v="P001"/>
    <s v="R006"/>
    <d v="2025-04-21T00:00:00"/>
    <d v="2025-06-29T00:00:00"/>
    <d v="2025-06-29T00:00:00"/>
    <x v="0"/>
    <n v="3"/>
    <n v="20"/>
    <n v="288000"/>
    <n v="0"/>
    <s v="Feature gap"/>
    <s v="North"/>
    <x v="4"/>
    <s v="CRM"/>
    <x v="2"/>
    <x v="0"/>
  </r>
  <r>
    <s v="O01567"/>
    <s v="C0496"/>
    <s v="P005"/>
    <s v="R009"/>
    <d v="2025-12-29T00:00:00"/>
    <d v="2026-02-19T00:00:00"/>
    <m/>
    <x v="2"/>
    <n v="1"/>
    <n v="20"/>
    <n v="144000"/>
    <n v="60"/>
    <s v=""/>
    <s v="North"/>
    <x v="3"/>
    <s v="Service"/>
    <x v="4"/>
    <x v="0"/>
  </r>
  <r>
    <s v="O01568"/>
    <s v="C0091"/>
    <s v="P005"/>
    <s v="R016"/>
    <d v="2025-01-07T00:00:00"/>
    <d v="2025-02-02T00:00:00"/>
    <d v="2025-02-02T00:00:00"/>
    <x v="0"/>
    <n v="2"/>
    <n v="5"/>
    <n v="342000"/>
    <n v="0"/>
    <s v="Feature gap"/>
    <s v="East"/>
    <x v="3"/>
    <s v="Service"/>
    <x v="8"/>
    <x v="3"/>
  </r>
  <r>
    <s v="O01569"/>
    <s v="C0108"/>
    <s v="P003"/>
    <s v="R004"/>
    <d v="2025-05-25T00:00:00"/>
    <d v="2025-08-06T00:00:00"/>
    <d v="2025-08-06T00:00:00"/>
    <x v="1"/>
    <n v="1"/>
    <n v="0"/>
    <n v="240000"/>
    <n v="100"/>
    <s v=""/>
    <s v="South"/>
    <x v="1"/>
    <s v="Automation"/>
    <x v="3"/>
    <x v="2"/>
  </r>
  <r>
    <s v="O01570"/>
    <s v="C0322"/>
    <s v="P005"/>
    <s v="R013"/>
    <d v="2025-02-22T00:00:00"/>
    <d v="2025-04-14T00:00:00"/>
    <d v="2025-04-14T00:00:00"/>
    <x v="0"/>
    <n v="1"/>
    <n v="20"/>
    <n v="144000"/>
    <n v="0"/>
    <s v="No decision"/>
    <s v="West"/>
    <x v="3"/>
    <s v="Service"/>
    <x v="5"/>
    <x v="1"/>
  </r>
  <r>
    <s v="O01571"/>
    <s v="C0036"/>
    <s v="P005"/>
    <s v="R003"/>
    <d v="2025-09-09T00:00:00"/>
    <d v="2025-09-26T00:00:00"/>
    <m/>
    <x v="2"/>
    <n v="2"/>
    <n v="10"/>
    <n v="324000"/>
    <n v="60"/>
    <s v=""/>
    <s v="South"/>
    <x v="3"/>
    <s v="Service"/>
    <x v="15"/>
    <x v="2"/>
  </r>
  <r>
    <s v="O01572"/>
    <s v="C0478"/>
    <s v="P002"/>
    <s v="R011"/>
    <d v="2025-01-17T00:00:00"/>
    <d v="2025-04-01T00:00:00"/>
    <d v="2025-04-01T00:00:00"/>
    <x v="1"/>
    <n v="1"/>
    <n v="15"/>
    <n v="357000"/>
    <n v="100"/>
    <s v=""/>
    <s v="West"/>
    <x v="0"/>
    <s v="CRM"/>
    <x v="12"/>
    <x v="1"/>
  </r>
  <r>
    <s v="O01573"/>
    <s v="C0194"/>
    <s v="P004"/>
    <s v="R005"/>
    <d v="2025-09-04T00:00:00"/>
    <d v="2025-10-01T00:00:00"/>
    <d v="2025-10-01T00:00:00"/>
    <x v="1"/>
    <n v="2"/>
    <n v="0"/>
    <n v="600000"/>
    <n v="100"/>
    <s v=""/>
    <s v="South"/>
    <x v="5"/>
    <s v="Analytics"/>
    <x v="11"/>
    <x v="2"/>
  </r>
  <r>
    <s v="O01574"/>
    <s v="C0490"/>
    <s v="P003"/>
    <s v="R003"/>
    <d v="2025-06-14T00:00:00"/>
    <d v="2025-06-28T00:00:00"/>
    <d v="2025-06-28T00:00:00"/>
    <x v="1"/>
    <n v="1"/>
    <n v="10"/>
    <n v="216000"/>
    <n v="100"/>
    <s v=""/>
    <s v="South"/>
    <x v="1"/>
    <s v="Automation"/>
    <x v="15"/>
    <x v="2"/>
  </r>
  <r>
    <s v="O01575"/>
    <s v="C0291"/>
    <s v="P004"/>
    <s v="R019"/>
    <d v="2025-11-20T00:00:00"/>
    <d v="2026-02-01T00:00:00"/>
    <m/>
    <x v="2"/>
    <n v="3"/>
    <n v="15"/>
    <n v="765000"/>
    <n v="40"/>
    <s v=""/>
    <s v="East"/>
    <x v="5"/>
    <s v="Analytics"/>
    <x v="10"/>
    <x v="3"/>
  </r>
  <r>
    <s v="O01576"/>
    <s v="C0016"/>
    <s v="P005"/>
    <s v="R011"/>
    <d v="2025-05-30T00:00:00"/>
    <d v="2025-06-26T00:00:00"/>
    <d v="2025-06-26T00:00:00"/>
    <x v="1"/>
    <n v="3"/>
    <n v="10"/>
    <n v="486000"/>
    <n v="100"/>
    <s v=""/>
    <s v="West"/>
    <x v="3"/>
    <s v="Service"/>
    <x v="12"/>
    <x v="1"/>
  </r>
  <r>
    <s v="O01577"/>
    <s v="C0493"/>
    <s v="P006"/>
    <s v="R009"/>
    <d v="2025-06-10T00:00:00"/>
    <d v="2025-08-08T00:00:00"/>
    <m/>
    <x v="2"/>
    <n v="2"/>
    <n v="5"/>
    <n v="684000"/>
    <n v="80"/>
    <s v=""/>
    <s v="North"/>
    <x v="2"/>
    <s v="Security"/>
    <x v="4"/>
    <x v="0"/>
  </r>
  <r>
    <s v="O01578"/>
    <s v="C0232"/>
    <s v="P003"/>
    <s v="R014"/>
    <d v="2025-01-29T00:00:00"/>
    <d v="2025-02-21T00:00:00"/>
    <d v="2025-02-21T00:00:00"/>
    <x v="1"/>
    <n v="1"/>
    <n v="0"/>
    <n v="240000"/>
    <n v="100"/>
    <s v=""/>
    <s v="West"/>
    <x v="1"/>
    <s v="Automation"/>
    <x v="1"/>
    <x v="1"/>
  </r>
  <r>
    <s v="O01579"/>
    <s v="C0041"/>
    <s v="P006"/>
    <s v="R003"/>
    <d v="2025-09-23T00:00:00"/>
    <d v="2025-10-05T00:00:00"/>
    <d v="2025-10-05T00:00:00"/>
    <x v="0"/>
    <n v="1"/>
    <n v="0"/>
    <n v="360000"/>
    <n v="0"/>
    <s v="Feature gap"/>
    <s v="South"/>
    <x v="2"/>
    <s v="Security"/>
    <x v="15"/>
    <x v="2"/>
  </r>
  <r>
    <s v="O01580"/>
    <s v="C0364"/>
    <s v="P005"/>
    <s v="R001"/>
    <d v="2025-04-03T00:00:00"/>
    <d v="2025-04-26T00:00:00"/>
    <d v="2025-04-26T00:00:00"/>
    <x v="1"/>
    <n v="2"/>
    <n v="20"/>
    <n v="288000"/>
    <n v="100"/>
    <s v=""/>
    <s v="South"/>
    <x v="3"/>
    <s v="Service"/>
    <x v="6"/>
    <x v="2"/>
  </r>
  <r>
    <s v="O01581"/>
    <s v="C0201"/>
    <s v="P005"/>
    <s v="R003"/>
    <d v="2025-10-10T00:00:00"/>
    <d v="2025-11-22T00:00:00"/>
    <m/>
    <x v="2"/>
    <n v="1"/>
    <n v="10"/>
    <n v="162000"/>
    <n v="40"/>
    <s v=""/>
    <s v="South"/>
    <x v="3"/>
    <s v="Service"/>
    <x v="15"/>
    <x v="2"/>
  </r>
  <r>
    <s v="O01582"/>
    <s v="C0275"/>
    <s v="P005"/>
    <s v="R014"/>
    <d v="2025-04-08T00:00:00"/>
    <d v="2025-05-16T00:00:00"/>
    <d v="2025-05-16T00:00:00"/>
    <x v="0"/>
    <n v="2"/>
    <n v="5"/>
    <n v="342000"/>
    <n v="0"/>
    <s v="Price"/>
    <s v="West"/>
    <x v="3"/>
    <s v="Service"/>
    <x v="1"/>
    <x v="1"/>
  </r>
  <r>
    <s v="O01583"/>
    <s v="C0472"/>
    <s v="P003"/>
    <s v="R006"/>
    <d v="2025-11-06T00:00:00"/>
    <d v="2026-01-25T00:00:00"/>
    <m/>
    <x v="2"/>
    <n v="2"/>
    <n v="0"/>
    <n v="480000"/>
    <n v="80"/>
    <s v=""/>
    <s v="North"/>
    <x v="1"/>
    <s v="Automation"/>
    <x v="2"/>
    <x v="0"/>
  </r>
  <r>
    <s v="O01584"/>
    <s v="C0291"/>
    <s v="P006"/>
    <s v="R016"/>
    <d v="2025-02-22T00:00:00"/>
    <d v="2025-05-18T00:00:00"/>
    <m/>
    <x v="2"/>
    <n v="1"/>
    <n v="10"/>
    <n v="324000"/>
    <n v="80"/>
    <s v=""/>
    <s v="East"/>
    <x v="2"/>
    <s v="Security"/>
    <x v="8"/>
    <x v="3"/>
  </r>
  <r>
    <s v="O01585"/>
    <s v="C0497"/>
    <s v="P001"/>
    <s v="R012"/>
    <d v="2025-05-15T00:00:00"/>
    <d v="2025-06-02T00:00:00"/>
    <d v="2025-06-02T00:00:00"/>
    <x v="1"/>
    <n v="1"/>
    <n v="0"/>
    <n v="120000"/>
    <n v="100"/>
    <s v=""/>
    <s v="West"/>
    <x v="4"/>
    <s v="CRM"/>
    <x v="14"/>
    <x v="1"/>
  </r>
  <r>
    <s v="O01586"/>
    <s v="C0358"/>
    <s v="P006"/>
    <s v="R017"/>
    <d v="2025-03-22T00:00:00"/>
    <d v="2025-04-12T00:00:00"/>
    <d v="2025-04-12T00:00:00"/>
    <x v="1"/>
    <n v="2"/>
    <n v="20"/>
    <n v="576000"/>
    <n v="100"/>
    <s v=""/>
    <s v="East"/>
    <x v="2"/>
    <s v="Security"/>
    <x v="19"/>
    <x v="3"/>
  </r>
  <r>
    <s v="O01587"/>
    <s v="C0233"/>
    <s v="P001"/>
    <s v="R008"/>
    <d v="2025-12-05T00:00:00"/>
    <d v="2026-02-08T00:00:00"/>
    <m/>
    <x v="2"/>
    <n v="3"/>
    <n v="5"/>
    <n v="342000"/>
    <n v="20"/>
    <s v=""/>
    <s v="North"/>
    <x v="4"/>
    <s v="CRM"/>
    <x v="0"/>
    <x v="0"/>
  </r>
  <r>
    <s v="O01588"/>
    <s v="C0140"/>
    <s v="P003"/>
    <s v="R004"/>
    <d v="2025-03-06T00:00:00"/>
    <d v="2025-04-01T00:00:00"/>
    <m/>
    <x v="2"/>
    <n v="2"/>
    <n v="10"/>
    <n v="432000"/>
    <n v="80"/>
    <s v=""/>
    <s v="South"/>
    <x v="1"/>
    <s v="Automation"/>
    <x v="3"/>
    <x v="2"/>
  </r>
  <r>
    <s v="O01589"/>
    <s v="C0322"/>
    <s v="P005"/>
    <s v="R015"/>
    <d v="2025-09-26T00:00:00"/>
    <d v="2025-12-19T00:00:00"/>
    <d v="2025-12-19T00:00:00"/>
    <x v="0"/>
    <n v="1"/>
    <n v="5"/>
    <n v="171000"/>
    <n v="0"/>
    <s v="Competition"/>
    <s v="West"/>
    <x v="3"/>
    <s v="Service"/>
    <x v="7"/>
    <x v="1"/>
  </r>
  <r>
    <s v="O01590"/>
    <s v="C0120"/>
    <s v="P001"/>
    <s v="R010"/>
    <d v="2025-01-24T00:00:00"/>
    <d v="2025-03-22T00:00:00"/>
    <d v="2025-03-22T00:00:00"/>
    <x v="1"/>
    <n v="1"/>
    <n v="0"/>
    <n v="120000"/>
    <n v="100"/>
    <s v=""/>
    <s v="North"/>
    <x v="4"/>
    <s v="CRM"/>
    <x v="16"/>
    <x v="0"/>
  </r>
  <r>
    <s v="O01591"/>
    <s v="C0209"/>
    <s v="P001"/>
    <s v="R012"/>
    <d v="2025-06-14T00:00:00"/>
    <d v="2025-06-25T00:00:00"/>
    <d v="2025-06-25T00:00:00"/>
    <x v="1"/>
    <n v="2"/>
    <n v="10"/>
    <n v="216000"/>
    <n v="100"/>
    <s v=""/>
    <s v="West"/>
    <x v="4"/>
    <s v="CRM"/>
    <x v="14"/>
    <x v="1"/>
  </r>
  <r>
    <s v="O01592"/>
    <s v="C0307"/>
    <s v="P003"/>
    <s v="R010"/>
    <d v="2025-07-13T00:00:00"/>
    <d v="2025-10-02T00:00:00"/>
    <m/>
    <x v="2"/>
    <n v="3"/>
    <n v="20"/>
    <n v="576000"/>
    <n v="60"/>
    <s v=""/>
    <s v="North"/>
    <x v="1"/>
    <s v="Automation"/>
    <x v="16"/>
    <x v="0"/>
  </r>
  <r>
    <s v="O01593"/>
    <s v="C0386"/>
    <s v="P001"/>
    <s v="R019"/>
    <d v="2025-09-06T00:00:00"/>
    <d v="2025-10-11T00:00:00"/>
    <m/>
    <x v="2"/>
    <n v="2"/>
    <n v="10"/>
    <n v="216000"/>
    <n v="60"/>
    <s v=""/>
    <s v="East"/>
    <x v="4"/>
    <s v="CRM"/>
    <x v="10"/>
    <x v="3"/>
  </r>
  <r>
    <s v="O01594"/>
    <s v="C0294"/>
    <s v="P006"/>
    <s v="R009"/>
    <d v="2025-01-27T00:00:00"/>
    <d v="2025-03-10T00:00:00"/>
    <m/>
    <x v="2"/>
    <n v="3"/>
    <n v="0"/>
    <n v="1080000"/>
    <n v="40"/>
    <s v=""/>
    <s v="North"/>
    <x v="2"/>
    <s v="Security"/>
    <x v="4"/>
    <x v="0"/>
  </r>
  <r>
    <s v="O01595"/>
    <s v="C0435"/>
    <s v="P005"/>
    <s v="R014"/>
    <d v="2025-08-18T00:00:00"/>
    <d v="2025-09-23T00:00:00"/>
    <d v="2025-09-23T00:00:00"/>
    <x v="1"/>
    <n v="1"/>
    <n v="20"/>
    <n v="144000"/>
    <n v="100"/>
    <s v=""/>
    <s v="West"/>
    <x v="3"/>
    <s v="Service"/>
    <x v="1"/>
    <x v="1"/>
  </r>
  <r>
    <s v="O01596"/>
    <s v="C0317"/>
    <s v="P006"/>
    <s v="R015"/>
    <d v="2025-10-26T00:00:00"/>
    <d v="2025-12-23T00:00:00"/>
    <d v="2025-12-23T00:00:00"/>
    <x v="1"/>
    <n v="1"/>
    <n v="5"/>
    <n v="342000"/>
    <n v="100"/>
    <s v=""/>
    <s v="West"/>
    <x v="2"/>
    <s v="Security"/>
    <x v="7"/>
    <x v="1"/>
  </r>
  <r>
    <s v="O01597"/>
    <s v="C0054"/>
    <s v="P004"/>
    <s v="R007"/>
    <d v="2025-10-18T00:00:00"/>
    <d v="2025-12-18T00:00:00"/>
    <m/>
    <x v="2"/>
    <n v="1"/>
    <n v="10"/>
    <n v="270000"/>
    <n v="80"/>
    <s v=""/>
    <s v="North"/>
    <x v="5"/>
    <s v="Analytics"/>
    <x v="13"/>
    <x v="0"/>
  </r>
  <r>
    <s v="O01598"/>
    <s v="C0440"/>
    <s v="P003"/>
    <s v="R012"/>
    <d v="2025-11-15T00:00:00"/>
    <d v="2026-01-22T00:00:00"/>
    <m/>
    <x v="2"/>
    <n v="2"/>
    <n v="20"/>
    <n v="384000"/>
    <n v="80"/>
    <s v=""/>
    <s v="West"/>
    <x v="1"/>
    <s v="Automation"/>
    <x v="14"/>
    <x v="1"/>
  </r>
  <r>
    <s v="O01599"/>
    <s v="C0406"/>
    <s v="P001"/>
    <s v="R014"/>
    <d v="2025-11-08T00:00:00"/>
    <d v="2025-11-19T00:00:00"/>
    <d v="2025-11-19T00:00:00"/>
    <x v="0"/>
    <n v="2"/>
    <n v="0"/>
    <n v="240000"/>
    <n v="0"/>
    <s v="Budget"/>
    <s v="West"/>
    <x v="4"/>
    <s v="CRM"/>
    <x v="1"/>
    <x v="1"/>
  </r>
  <r>
    <s v="O01600"/>
    <s v="C0061"/>
    <s v="P006"/>
    <s v="R016"/>
    <d v="2025-07-18T00:00:00"/>
    <d v="2025-07-28T00:00:00"/>
    <d v="2025-07-28T00:00:00"/>
    <x v="1"/>
    <n v="2"/>
    <n v="20"/>
    <n v="576000"/>
    <n v="100"/>
    <s v=""/>
    <s v="East"/>
    <x v="2"/>
    <s v="Security"/>
    <x v="8"/>
    <x v="3"/>
  </r>
  <r>
    <s v="O01601"/>
    <s v="C0340"/>
    <s v="P006"/>
    <s v="R003"/>
    <d v="2025-07-04T00:00:00"/>
    <d v="2025-08-09T00:00:00"/>
    <d v="2025-08-09T00:00:00"/>
    <x v="0"/>
    <n v="3"/>
    <n v="5"/>
    <n v="1026000"/>
    <n v="0"/>
    <s v="Competition"/>
    <s v="South"/>
    <x v="2"/>
    <s v="Security"/>
    <x v="15"/>
    <x v="2"/>
  </r>
  <r>
    <s v="O01602"/>
    <s v="C0004"/>
    <s v="P001"/>
    <s v="R001"/>
    <d v="2025-02-26T00:00:00"/>
    <d v="2025-03-12T00:00:00"/>
    <d v="2025-03-12T00:00:00"/>
    <x v="0"/>
    <n v="1"/>
    <n v="10"/>
    <n v="108000"/>
    <n v="0"/>
    <s v="Price"/>
    <s v="South"/>
    <x v="4"/>
    <s v="CRM"/>
    <x v="6"/>
    <x v="2"/>
  </r>
  <r>
    <s v="O01603"/>
    <s v="C0001"/>
    <s v="P001"/>
    <s v="R005"/>
    <d v="2025-09-20T00:00:00"/>
    <d v="2025-10-21T00:00:00"/>
    <d v="2025-10-21T00:00:00"/>
    <x v="1"/>
    <n v="3"/>
    <n v="10"/>
    <n v="324000"/>
    <n v="100"/>
    <s v=""/>
    <s v="South"/>
    <x v="4"/>
    <s v="CRM"/>
    <x v="11"/>
    <x v="2"/>
  </r>
  <r>
    <s v="O01604"/>
    <s v="C0032"/>
    <s v="P003"/>
    <s v="R003"/>
    <d v="2025-09-28T00:00:00"/>
    <d v="2025-12-03T00:00:00"/>
    <d v="2025-12-03T00:00:00"/>
    <x v="1"/>
    <n v="1"/>
    <n v="15"/>
    <n v="204000"/>
    <n v="100"/>
    <s v=""/>
    <s v="South"/>
    <x v="1"/>
    <s v="Automation"/>
    <x v="15"/>
    <x v="2"/>
  </r>
  <r>
    <s v="O01605"/>
    <s v="C0270"/>
    <s v="P006"/>
    <s v="R004"/>
    <d v="2025-05-28T00:00:00"/>
    <d v="2025-07-23T00:00:00"/>
    <d v="2025-07-23T00:00:00"/>
    <x v="1"/>
    <n v="1"/>
    <n v="5"/>
    <n v="342000"/>
    <n v="100"/>
    <s v=""/>
    <s v="South"/>
    <x v="2"/>
    <s v="Security"/>
    <x v="3"/>
    <x v="2"/>
  </r>
  <r>
    <s v="O01606"/>
    <s v="C0123"/>
    <s v="P004"/>
    <s v="R015"/>
    <d v="2025-04-07T00:00:00"/>
    <d v="2025-07-01T00:00:00"/>
    <d v="2025-07-01T00:00:00"/>
    <x v="1"/>
    <n v="3"/>
    <n v="0"/>
    <n v="900000"/>
    <n v="100"/>
    <s v=""/>
    <s v="West"/>
    <x v="5"/>
    <s v="Analytics"/>
    <x v="7"/>
    <x v="1"/>
  </r>
  <r>
    <s v="O01607"/>
    <s v="C0404"/>
    <s v="P005"/>
    <s v="R012"/>
    <d v="2025-11-22T00:00:00"/>
    <d v="2026-01-26T00:00:00"/>
    <m/>
    <x v="2"/>
    <n v="1"/>
    <n v="5"/>
    <n v="171000"/>
    <n v="80"/>
    <s v=""/>
    <s v="West"/>
    <x v="3"/>
    <s v="Service"/>
    <x v="14"/>
    <x v="1"/>
  </r>
  <r>
    <s v="O01608"/>
    <s v="C0161"/>
    <s v="P002"/>
    <s v="R010"/>
    <d v="2025-08-01T00:00:00"/>
    <d v="2025-09-10T00:00:00"/>
    <m/>
    <x v="2"/>
    <n v="1"/>
    <n v="20"/>
    <n v="336000"/>
    <n v="60"/>
    <s v=""/>
    <s v="North"/>
    <x v="0"/>
    <s v="CRM"/>
    <x v="16"/>
    <x v="0"/>
  </r>
  <r>
    <s v="O01609"/>
    <s v="C0159"/>
    <s v="P002"/>
    <s v="R002"/>
    <d v="2025-01-24T00:00:00"/>
    <d v="2025-02-03T00:00:00"/>
    <d v="2025-02-03T00:00:00"/>
    <x v="0"/>
    <n v="3"/>
    <n v="20"/>
    <n v="1008000"/>
    <n v="0"/>
    <s v="Budget"/>
    <s v="South"/>
    <x v="0"/>
    <s v="CRM"/>
    <x v="17"/>
    <x v="2"/>
  </r>
  <r>
    <s v="O01610"/>
    <s v="C0027"/>
    <s v="P002"/>
    <s v="R018"/>
    <d v="2025-10-23T00:00:00"/>
    <d v="2025-11-18T00:00:00"/>
    <d v="2025-11-18T00:00:00"/>
    <x v="1"/>
    <n v="1"/>
    <n v="10"/>
    <n v="378000"/>
    <n v="100"/>
    <s v=""/>
    <s v="East"/>
    <x v="0"/>
    <s v="CRM"/>
    <x v="18"/>
    <x v="3"/>
  </r>
  <r>
    <s v="O01611"/>
    <s v="C0012"/>
    <s v="P002"/>
    <s v="R002"/>
    <d v="2025-04-08T00:00:00"/>
    <d v="2025-05-23T00:00:00"/>
    <d v="2025-05-23T00:00:00"/>
    <x v="1"/>
    <n v="1"/>
    <n v="20"/>
    <n v="336000"/>
    <n v="100"/>
    <s v=""/>
    <s v="South"/>
    <x v="0"/>
    <s v="CRM"/>
    <x v="17"/>
    <x v="2"/>
  </r>
  <r>
    <s v="O01612"/>
    <s v="C0395"/>
    <s v="P002"/>
    <s v="R009"/>
    <d v="2025-10-20T00:00:00"/>
    <d v="2025-12-11T00:00:00"/>
    <d v="2025-12-11T00:00:00"/>
    <x v="1"/>
    <n v="2"/>
    <n v="20"/>
    <n v="672000"/>
    <n v="100"/>
    <s v=""/>
    <s v="North"/>
    <x v="0"/>
    <s v="CRM"/>
    <x v="4"/>
    <x v="0"/>
  </r>
  <r>
    <s v="O01613"/>
    <s v="C0033"/>
    <s v="P004"/>
    <s v="R012"/>
    <d v="2025-07-20T00:00:00"/>
    <d v="2025-09-23T00:00:00"/>
    <m/>
    <x v="2"/>
    <n v="1"/>
    <n v="5"/>
    <n v="285000"/>
    <n v="80"/>
    <s v=""/>
    <s v="West"/>
    <x v="5"/>
    <s v="Analytics"/>
    <x v="14"/>
    <x v="1"/>
  </r>
  <r>
    <s v="O01614"/>
    <s v="C0486"/>
    <s v="P005"/>
    <s v="R008"/>
    <d v="2025-03-24T00:00:00"/>
    <d v="2025-04-03T00:00:00"/>
    <d v="2025-04-03T00:00:00"/>
    <x v="1"/>
    <n v="1"/>
    <n v="20"/>
    <n v="144000"/>
    <n v="100"/>
    <s v=""/>
    <s v="North"/>
    <x v="3"/>
    <s v="Service"/>
    <x v="0"/>
    <x v="0"/>
  </r>
  <r>
    <s v="O01615"/>
    <s v="C0239"/>
    <s v="P002"/>
    <s v="R012"/>
    <d v="2025-02-26T00:00:00"/>
    <d v="2025-05-04T00:00:00"/>
    <d v="2025-05-04T00:00:00"/>
    <x v="1"/>
    <n v="3"/>
    <n v="20"/>
    <n v="1008000"/>
    <n v="100"/>
    <s v=""/>
    <s v="West"/>
    <x v="0"/>
    <s v="CRM"/>
    <x v="14"/>
    <x v="1"/>
  </r>
  <r>
    <s v="O01616"/>
    <s v="C0279"/>
    <s v="P003"/>
    <s v="R012"/>
    <d v="2025-04-05T00:00:00"/>
    <d v="2025-04-29T00:00:00"/>
    <d v="2025-04-29T00:00:00"/>
    <x v="1"/>
    <n v="1"/>
    <n v="0"/>
    <n v="240000"/>
    <n v="100"/>
    <s v=""/>
    <s v="West"/>
    <x v="1"/>
    <s v="Automation"/>
    <x v="14"/>
    <x v="1"/>
  </r>
  <r>
    <s v="O01617"/>
    <s v="C0425"/>
    <s v="P006"/>
    <s v="R011"/>
    <d v="2025-08-12T00:00:00"/>
    <d v="2025-09-08T00:00:00"/>
    <d v="2025-09-08T00:00:00"/>
    <x v="0"/>
    <n v="2"/>
    <n v="20"/>
    <n v="576000"/>
    <n v="0"/>
    <s v="Competition"/>
    <s v="West"/>
    <x v="2"/>
    <s v="Security"/>
    <x v="12"/>
    <x v="1"/>
  </r>
  <r>
    <s v="O01618"/>
    <s v="C0263"/>
    <s v="P001"/>
    <s v="R015"/>
    <d v="2025-06-05T00:00:00"/>
    <d v="2025-07-14T00:00:00"/>
    <d v="2025-07-14T00:00:00"/>
    <x v="0"/>
    <n v="1"/>
    <n v="5"/>
    <n v="114000"/>
    <n v="0"/>
    <s v="Competition"/>
    <s v="West"/>
    <x v="4"/>
    <s v="CRM"/>
    <x v="7"/>
    <x v="1"/>
  </r>
  <r>
    <s v="O01619"/>
    <s v="C0165"/>
    <s v="P001"/>
    <s v="R002"/>
    <d v="2025-12-01T00:00:00"/>
    <d v="2025-12-08T00:00:00"/>
    <d v="2025-12-08T00:00:00"/>
    <x v="0"/>
    <n v="1"/>
    <n v="10"/>
    <n v="108000"/>
    <n v="0"/>
    <s v="Budget"/>
    <s v="South"/>
    <x v="4"/>
    <s v="CRM"/>
    <x v="17"/>
    <x v="2"/>
  </r>
  <r>
    <s v="O01620"/>
    <s v="C0443"/>
    <s v="P005"/>
    <s v="R016"/>
    <d v="2025-08-01T00:00:00"/>
    <d v="2025-09-05T00:00:00"/>
    <d v="2025-09-05T00:00:00"/>
    <x v="0"/>
    <n v="1"/>
    <n v="15"/>
    <n v="153000"/>
    <n v="0"/>
    <s v="Feature gap"/>
    <s v="East"/>
    <x v="3"/>
    <s v="Service"/>
    <x v="8"/>
    <x v="3"/>
  </r>
  <r>
    <s v="O01621"/>
    <s v="C0051"/>
    <s v="P004"/>
    <s v="R014"/>
    <d v="2025-05-16T00:00:00"/>
    <d v="2025-05-23T00:00:00"/>
    <d v="2025-05-23T00:00:00"/>
    <x v="0"/>
    <n v="1"/>
    <n v="20"/>
    <n v="240000"/>
    <n v="0"/>
    <s v="Budget"/>
    <s v="West"/>
    <x v="5"/>
    <s v="Analytics"/>
    <x v="1"/>
    <x v="1"/>
  </r>
  <r>
    <s v="O01622"/>
    <s v="C0002"/>
    <s v="P005"/>
    <s v="R007"/>
    <d v="2025-06-01T00:00:00"/>
    <d v="2025-07-23T00:00:00"/>
    <d v="2025-07-23T00:00:00"/>
    <x v="1"/>
    <n v="1"/>
    <n v="10"/>
    <n v="162000"/>
    <n v="100"/>
    <s v=""/>
    <s v="North"/>
    <x v="3"/>
    <s v="Service"/>
    <x v="13"/>
    <x v="0"/>
  </r>
  <r>
    <s v="O01623"/>
    <s v="C0358"/>
    <s v="P002"/>
    <s v="R017"/>
    <d v="2025-03-10T00:00:00"/>
    <d v="2025-05-26T00:00:00"/>
    <d v="2025-05-26T00:00:00"/>
    <x v="0"/>
    <n v="1"/>
    <n v="10"/>
    <n v="378000"/>
    <n v="0"/>
    <s v="No decision"/>
    <s v="East"/>
    <x v="0"/>
    <s v="CRM"/>
    <x v="19"/>
    <x v="3"/>
  </r>
  <r>
    <s v="O01624"/>
    <s v="C0024"/>
    <s v="P001"/>
    <s v="R011"/>
    <d v="2025-03-01T00:00:00"/>
    <d v="2025-03-28T00:00:00"/>
    <m/>
    <x v="2"/>
    <n v="1"/>
    <n v="10"/>
    <n v="108000"/>
    <n v="80"/>
    <s v=""/>
    <s v="West"/>
    <x v="4"/>
    <s v="CRM"/>
    <x v="12"/>
    <x v="1"/>
  </r>
  <r>
    <s v="O01625"/>
    <s v="C0114"/>
    <s v="P001"/>
    <s v="R014"/>
    <d v="2025-05-22T00:00:00"/>
    <d v="2025-05-31T00:00:00"/>
    <d v="2025-05-31T00:00:00"/>
    <x v="0"/>
    <n v="1"/>
    <n v="0"/>
    <n v="120000"/>
    <n v="0"/>
    <s v="Budget"/>
    <s v="West"/>
    <x v="4"/>
    <s v="CRM"/>
    <x v="1"/>
    <x v="1"/>
  </r>
  <r>
    <s v="O01626"/>
    <s v="C0410"/>
    <s v="P003"/>
    <s v="R017"/>
    <d v="2025-04-02T00:00:00"/>
    <d v="2025-05-07T00:00:00"/>
    <d v="2025-05-07T00:00:00"/>
    <x v="0"/>
    <n v="1"/>
    <n v="10"/>
    <n v="216000"/>
    <n v="0"/>
    <s v="Budget"/>
    <s v="East"/>
    <x v="1"/>
    <s v="Automation"/>
    <x v="19"/>
    <x v="3"/>
  </r>
  <r>
    <s v="O01627"/>
    <s v="C0254"/>
    <s v="P005"/>
    <s v="R005"/>
    <d v="2025-02-15T00:00:00"/>
    <d v="2025-03-18T00:00:00"/>
    <d v="2025-03-18T00:00:00"/>
    <x v="1"/>
    <n v="2"/>
    <n v="20"/>
    <n v="288000"/>
    <n v="100"/>
    <s v=""/>
    <s v="South"/>
    <x v="3"/>
    <s v="Service"/>
    <x v="11"/>
    <x v="2"/>
  </r>
  <r>
    <s v="O01628"/>
    <s v="C0448"/>
    <s v="P003"/>
    <s v="R013"/>
    <d v="2025-12-16T00:00:00"/>
    <d v="2026-02-10T00:00:00"/>
    <m/>
    <x v="2"/>
    <n v="1"/>
    <n v="20"/>
    <n v="192000"/>
    <n v="60"/>
    <s v=""/>
    <s v="West"/>
    <x v="1"/>
    <s v="Automation"/>
    <x v="5"/>
    <x v="1"/>
  </r>
  <r>
    <s v="O01629"/>
    <s v="C0222"/>
    <s v="P006"/>
    <s v="R011"/>
    <d v="2025-03-08T00:00:00"/>
    <d v="2025-05-27T00:00:00"/>
    <d v="2025-05-27T00:00:00"/>
    <x v="0"/>
    <n v="3"/>
    <n v="20"/>
    <n v="864000"/>
    <n v="0"/>
    <s v="Price"/>
    <s v="West"/>
    <x v="2"/>
    <s v="Security"/>
    <x v="12"/>
    <x v="1"/>
  </r>
  <r>
    <s v="O01630"/>
    <s v="C0325"/>
    <s v="P003"/>
    <s v="R014"/>
    <d v="2025-01-25T00:00:00"/>
    <d v="2025-03-01T00:00:00"/>
    <m/>
    <x v="2"/>
    <n v="1"/>
    <n v="20"/>
    <n v="192000"/>
    <n v="80"/>
    <s v=""/>
    <s v="West"/>
    <x v="1"/>
    <s v="Automation"/>
    <x v="1"/>
    <x v="1"/>
  </r>
  <r>
    <s v="O01631"/>
    <s v="C0398"/>
    <s v="P002"/>
    <s v="R010"/>
    <d v="2025-08-28T00:00:00"/>
    <d v="2025-10-05T00:00:00"/>
    <d v="2025-10-05T00:00:00"/>
    <x v="0"/>
    <n v="1"/>
    <n v="20"/>
    <n v="336000"/>
    <n v="0"/>
    <s v="Price"/>
    <s v="North"/>
    <x v="0"/>
    <s v="CRM"/>
    <x v="16"/>
    <x v="0"/>
  </r>
  <r>
    <s v="O01632"/>
    <s v="C0232"/>
    <s v="P004"/>
    <s v="R015"/>
    <d v="2025-03-29T00:00:00"/>
    <d v="2025-04-22T00:00:00"/>
    <d v="2025-04-22T00:00:00"/>
    <x v="0"/>
    <n v="2"/>
    <n v="10"/>
    <n v="540000"/>
    <n v="0"/>
    <s v="Competition"/>
    <s v="West"/>
    <x v="5"/>
    <s v="Analytics"/>
    <x v="7"/>
    <x v="1"/>
  </r>
  <r>
    <s v="O01633"/>
    <s v="C0297"/>
    <s v="P006"/>
    <s v="R005"/>
    <d v="2025-04-18T00:00:00"/>
    <d v="2025-06-30T00:00:00"/>
    <m/>
    <x v="2"/>
    <n v="1"/>
    <n v="20"/>
    <n v="288000"/>
    <n v="20"/>
    <s v=""/>
    <s v="South"/>
    <x v="2"/>
    <s v="Security"/>
    <x v="11"/>
    <x v="2"/>
  </r>
  <r>
    <s v="O01634"/>
    <s v="C0245"/>
    <s v="P005"/>
    <s v="R013"/>
    <d v="2025-04-22T00:00:00"/>
    <d v="2025-05-03T00:00:00"/>
    <m/>
    <x v="2"/>
    <n v="2"/>
    <n v="5"/>
    <n v="342000"/>
    <n v="20"/>
    <s v=""/>
    <s v="West"/>
    <x v="3"/>
    <s v="Service"/>
    <x v="5"/>
    <x v="1"/>
  </r>
  <r>
    <s v="O01635"/>
    <s v="C0261"/>
    <s v="P005"/>
    <s v="R007"/>
    <d v="2025-07-18T00:00:00"/>
    <d v="2025-08-13T00:00:00"/>
    <d v="2025-08-13T00:00:00"/>
    <x v="0"/>
    <n v="1"/>
    <n v="5"/>
    <n v="171000"/>
    <n v="0"/>
    <s v="Budget"/>
    <s v="North"/>
    <x v="3"/>
    <s v="Service"/>
    <x v="13"/>
    <x v="0"/>
  </r>
  <r>
    <s v="O01636"/>
    <s v="C0175"/>
    <s v="P002"/>
    <s v="R005"/>
    <d v="2025-06-20T00:00:00"/>
    <d v="2025-07-02T00:00:00"/>
    <d v="2025-07-02T00:00:00"/>
    <x v="0"/>
    <n v="1"/>
    <n v="5"/>
    <n v="399000"/>
    <n v="0"/>
    <s v="Competition"/>
    <s v="South"/>
    <x v="0"/>
    <s v="CRM"/>
    <x v="11"/>
    <x v="2"/>
  </r>
  <r>
    <s v="O01637"/>
    <s v="C0354"/>
    <s v="P001"/>
    <s v="R017"/>
    <d v="2025-03-13T00:00:00"/>
    <d v="2025-04-20T00:00:00"/>
    <m/>
    <x v="2"/>
    <n v="1"/>
    <n v="15"/>
    <n v="102000"/>
    <n v="80"/>
    <s v=""/>
    <s v="East"/>
    <x v="4"/>
    <s v="CRM"/>
    <x v="19"/>
    <x v="3"/>
  </r>
  <r>
    <s v="O01638"/>
    <s v="C0125"/>
    <s v="P006"/>
    <s v="R003"/>
    <d v="2025-06-10T00:00:00"/>
    <d v="2025-08-13T00:00:00"/>
    <d v="2025-08-13T00:00:00"/>
    <x v="0"/>
    <n v="1"/>
    <n v="5"/>
    <n v="342000"/>
    <n v="0"/>
    <s v="Price"/>
    <s v="South"/>
    <x v="2"/>
    <s v="Security"/>
    <x v="15"/>
    <x v="2"/>
  </r>
  <r>
    <s v="O01639"/>
    <s v="C0283"/>
    <s v="P005"/>
    <s v="R012"/>
    <d v="2025-12-06T00:00:00"/>
    <d v="2025-12-31T00:00:00"/>
    <d v="2025-12-31T00:00:00"/>
    <x v="0"/>
    <n v="2"/>
    <n v="0"/>
    <n v="360000"/>
    <n v="0"/>
    <s v="Budget"/>
    <s v="West"/>
    <x v="3"/>
    <s v="Service"/>
    <x v="14"/>
    <x v="1"/>
  </r>
  <r>
    <s v="O01640"/>
    <s v="C0465"/>
    <s v="P005"/>
    <s v="R002"/>
    <d v="2025-12-02T00:00:00"/>
    <d v="2025-12-12T00:00:00"/>
    <d v="2025-12-12T00:00:00"/>
    <x v="0"/>
    <n v="1"/>
    <n v="15"/>
    <n v="153000"/>
    <n v="0"/>
    <s v="Budget"/>
    <s v="South"/>
    <x v="3"/>
    <s v="Service"/>
    <x v="17"/>
    <x v="2"/>
  </r>
  <r>
    <s v="O01641"/>
    <s v="C0109"/>
    <s v="P006"/>
    <s v="R013"/>
    <d v="2025-08-08T00:00:00"/>
    <d v="2025-10-17T00:00:00"/>
    <d v="2025-10-17T00:00:00"/>
    <x v="1"/>
    <n v="2"/>
    <n v="20"/>
    <n v="576000"/>
    <n v="100"/>
    <s v=""/>
    <s v="West"/>
    <x v="2"/>
    <s v="Security"/>
    <x v="5"/>
    <x v="1"/>
  </r>
  <r>
    <s v="O01642"/>
    <s v="C0422"/>
    <s v="P004"/>
    <s v="R001"/>
    <d v="2025-01-15T00:00:00"/>
    <d v="2025-02-22T00:00:00"/>
    <d v="2025-02-22T00:00:00"/>
    <x v="0"/>
    <n v="2"/>
    <n v="20"/>
    <n v="480000"/>
    <n v="0"/>
    <s v="Competition"/>
    <s v="South"/>
    <x v="5"/>
    <s v="Analytics"/>
    <x v="6"/>
    <x v="2"/>
  </r>
  <r>
    <s v="O01643"/>
    <s v="C0020"/>
    <s v="P004"/>
    <s v="R009"/>
    <d v="2025-01-13T00:00:00"/>
    <d v="2025-01-28T00:00:00"/>
    <m/>
    <x v="2"/>
    <n v="1"/>
    <n v="0"/>
    <n v="300000"/>
    <n v="40"/>
    <s v=""/>
    <s v="North"/>
    <x v="5"/>
    <s v="Analytics"/>
    <x v="4"/>
    <x v="0"/>
  </r>
  <r>
    <s v="O01644"/>
    <s v="C0314"/>
    <s v="P001"/>
    <s v="R004"/>
    <d v="2025-08-12T00:00:00"/>
    <d v="2025-09-08T00:00:00"/>
    <d v="2025-09-08T00:00:00"/>
    <x v="0"/>
    <n v="1"/>
    <n v="15"/>
    <n v="102000"/>
    <n v="0"/>
    <s v="Price"/>
    <s v="South"/>
    <x v="4"/>
    <s v="CRM"/>
    <x v="3"/>
    <x v="2"/>
  </r>
  <r>
    <s v="O01645"/>
    <s v="C0306"/>
    <s v="P002"/>
    <s v="R015"/>
    <d v="2025-07-13T00:00:00"/>
    <d v="2025-10-06T00:00:00"/>
    <m/>
    <x v="2"/>
    <n v="1"/>
    <n v="0"/>
    <n v="420000"/>
    <n v="20"/>
    <s v=""/>
    <s v="West"/>
    <x v="0"/>
    <s v="CRM"/>
    <x v="7"/>
    <x v="1"/>
  </r>
  <r>
    <s v="O01646"/>
    <s v="C0262"/>
    <s v="P002"/>
    <s v="R014"/>
    <d v="2025-08-16T00:00:00"/>
    <d v="2025-09-15T00:00:00"/>
    <d v="2025-09-15T00:00:00"/>
    <x v="0"/>
    <n v="2"/>
    <n v="0"/>
    <n v="840000"/>
    <n v="0"/>
    <s v="Budget"/>
    <s v="West"/>
    <x v="0"/>
    <s v="CRM"/>
    <x v="1"/>
    <x v="1"/>
  </r>
  <r>
    <s v="O01647"/>
    <s v="C0078"/>
    <s v="P002"/>
    <s v="R005"/>
    <d v="2025-12-22T00:00:00"/>
    <d v="2026-01-01T00:00:00"/>
    <m/>
    <x v="2"/>
    <n v="1"/>
    <n v="5"/>
    <n v="399000"/>
    <n v="80"/>
    <s v=""/>
    <s v="South"/>
    <x v="0"/>
    <s v="CRM"/>
    <x v="11"/>
    <x v="2"/>
  </r>
  <r>
    <s v="O01648"/>
    <s v="C0297"/>
    <s v="P003"/>
    <s v="R002"/>
    <d v="2025-05-19T00:00:00"/>
    <d v="2025-05-27T00:00:00"/>
    <d v="2025-05-27T00:00:00"/>
    <x v="0"/>
    <n v="3"/>
    <n v="15"/>
    <n v="612000"/>
    <n v="0"/>
    <s v="No decision"/>
    <s v="South"/>
    <x v="1"/>
    <s v="Automation"/>
    <x v="17"/>
    <x v="2"/>
  </r>
  <r>
    <s v="O01649"/>
    <s v="C0356"/>
    <s v="P003"/>
    <s v="R019"/>
    <d v="2025-09-11T00:00:00"/>
    <d v="2025-11-25T00:00:00"/>
    <d v="2025-11-25T00:00:00"/>
    <x v="0"/>
    <n v="1"/>
    <n v="0"/>
    <n v="240000"/>
    <n v="0"/>
    <s v="Price"/>
    <s v="East"/>
    <x v="1"/>
    <s v="Automation"/>
    <x v="10"/>
    <x v="3"/>
  </r>
  <r>
    <s v="O01650"/>
    <s v="C0233"/>
    <s v="P002"/>
    <s v="R010"/>
    <d v="2025-06-06T00:00:00"/>
    <d v="2025-08-18T00:00:00"/>
    <d v="2025-08-18T00:00:00"/>
    <x v="1"/>
    <n v="1"/>
    <n v="20"/>
    <n v="336000"/>
    <n v="100"/>
    <s v=""/>
    <s v="North"/>
    <x v="0"/>
    <s v="CRM"/>
    <x v="16"/>
    <x v="0"/>
  </r>
  <r>
    <s v="O01651"/>
    <s v="C0175"/>
    <s v="P002"/>
    <s v="R004"/>
    <d v="2025-02-08T00:00:00"/>
    <d v="2025-04-10T00:00:00"/>
    <d v="2025-04-10T00:00:00"/>
    <x v="0"/>
    <n v="1"/>
    <n v="10"/>
    <n v="378000"/>
    <n v="0"/>
    <s v="No decision"/>
    <s v="South"/>
    <x v="0"/>
    <s v="CRM"/>
    <x v="3"/>
    <x v="2"/>
  </r>
  <r>
    <s v="O01652"/>
    <s v="C0157"/>
    <s v="P004"/>
    <s v="R010"/>
    <d v="2025-07-08T00:00:00"/>
    <d v="2025-08-02T00:00:00"/>
    <d v="2025-08-02T00:00:00"/>
    <x v="0"/>
    <n v="2"/>
    <n v="20"/>
    <n v="480000"/>
    <n v="0"/>
    <s v="Price"/>
    <s v="North"/>
    <x v="5"/>
    <s v="Analytics"/>
    <x v="16"/>
    <x v="0"/>
  </r>
  <r>
    <s v="O01653"/>
    <s v="C0430"/>
    <s v="P004"/>
    <s v="R001"/>
    <d v="2025-02-13T00:00:00"/>
    <d v="2025-03-02T00:00:00"/>
    <d v="2025-03-02T00:00:00"/>
    <x v="0"/>
    <n v="3"/>
    <n v="20"/>
    <n v="720000"/>
    <n v="0"/>
    <s v="Feature gap"/>
    <s v="South"/>
    <x v="5"/>
    <s v="Analytics"/>
    <x v="6"/>
    <x v="2"/>
  </r>
  <r>
    <s v="O01654"/>
    <s v="C0355"/>
    <s v="P005"/>
    <s v="R014"/>
    <d v="2025-09-06T00:00:00"/>
    <d v="2025-09-26T00:00:00"/>
    <m/>
    <x v="2"/>
    <n v="1"/>
    <n v="5"/>
    <n v="171000"/>
    <n v="20"/>
    <s v=""/>
    <s v="West"/>
    <x v="3"/>
    <s v="Service"/>
    <x v="1"/>
    <x v="1"/>
  </r>
  <r>
    <s v="O01655"/>
    <s v="C0227"/>
    <s v="P005"/>
    <s v="R019"/>
    <d v="2025-08-20T00:00:00"/>
    <d v="2025-10-03T00:00:00"/>
    <d v="2025-10-03T00:00:00"/>
    <x v="0"/>
    <n v="2"/>
    <n v="0"/>
    <n v="360000"/>
    <n v="0"/>
    <s v="Budget"/>
    <s v="East"/>
    <x v="3"/>
    <s v="Service"/>
    <x v="10"/>
    <x v="3"/>
  </r>
  <r>
    <s v="O01656"/>
    <s v="C0241"/>
    <s v="P001"/>
    <s v="R006"/>
    <d v="2025-09-12T00:00:00"/>
    <d v="2025-11-04T00:00:00"/>
    <d v="2025-11-04T00:00:00"/>
    <x v="0"/>
    <n v="1"/>
    <n v="5"/>
    <n v="114000"/>
    <n v="0"/>
    <s v="Budget"/>
    <s v="North"/>
    <x v="4"/>
    <s v="CRM"/>
    <x v="2"/>
    <x v="0"/>
  </r>
  <r>
    <s v="O01657"/>
    <s v="C0084"/>
    <s v="P006"/>
    <s v="R002"/>
    <d v="2025-12-27T00:00:00"/>
    <d v="2026-01-25T00:00:00"/>
    <m/>
    <x v="2"/>
    <n v="1"/>
    <n v="0"/>
    <n v="360000"/>
    <n v="20"/>
    <s v=""/>
    <s v="South"/>
    <x v="2"/>
    <s v="Security"/>
    <x v="17"/>
    <x v="2"/>
  </r>
  <r>
    <s v="O01658"/>
    <s v="C0355"/>
    <s v="P006"/>
    <s v="R013"/>
    <d v="2025-11-24T00:00:00"/>
    <d v="2026-02-15T00:00:00"/>
    <m/>
    <x v="2"/>
    <n v="2"/>
    <n v="10"/>
    <n v="648000"/>
    <n v="80"/>
    <s v=""/>
    <s v="West"/>
    <x v="2"/>
    <s v="Security"/>
    <x v="5"/>
    <x v="1"/>
  </r>
  <r>
    <s v="O01659"/>
    <s v="C0146"/>
    <s v="P001"/>
    <s v="R008"/>
    <d v="2025-04-19T00:00:00"/>
    <d v="2025-05-01T00:00:00"/>
    <d v="2025-05-01T00:00:00"/>
    <x v="0"/>
    <n v="1"/>
    <n v="0"/>
    <n v="120000"/>
    <n v="0"/>
    <s v="Competition"/>
    <s v="North"/>
    <x v="4"/>
    <s v="CRM"/>
    <x v="0"/>
    <x v="0"/>
  </r>
  <r>
    <s v="O01660"/>
    <s v="C0347"/>
    <s v="P004"/>
    <s v="R001"/>
    <d v="2025-09-29T00:00:00"/>
    <d v="2025-12-08T00:00:00"/>
    <d v="2025-12-08T00:00:00"/>
    <x v="1"/>
    <n v="1"/>
    <n v="15"/>
    <n v="255000"/>
    <n v="100"/>
    <s v=""/>
    <s v="South"/>
    <x v="5"/>
    <s v="Analytics"/>
    <x v="6"/>
    <x v="2"/>
  </r>
  <r>
    <s v="O01661"/>
    <s v="C0041"/>
    <s v="P003"/>
    <s v="R003"/>
    <d v="2025-10-29T00:00:00"/>
    <d v="2026-01-09T00:00:00"/>
    <m/>
    <x v="2"/>
    <n v="1"/>
    <n v="5"/>
    <n v="228000"/>
    <n v="60"/>
    <s v=""/>
    <s v="South"/>
    <x v="1"/>
    <s v="Automation"/>
    <x v="15"/>
    <x v="2"/>
  </r>
  <r>
    <s v="O01662"/>
    <s v="C0133"/>
    <s v="P003"/>
    <s v="R017"/>
    <d v="2025-06-12T00:00:00"/>
    <d v="2025-08-14T00:00:00"/>
    <d v="2025-08-14T00:00:00"/>
    <x v="1"/>
    <n v="3"/>
    <n v="0"/>
    <n v="720000"/>
    <n v="100"/>
    <s v=""/>
    <s v="East"/>
    <x v="1"/>
    <s v="Automation"/>
    <x v="19"/>
    <x v="3"/>
  </r>
  <r>
    <s v="O01663"/>
    <s v="C0129"/>
    <s v="P004"/>
    <s v="R009"/>
    <d v="2025-09-19T00:00:00"/>
    <d v="2025-11-06T00:00:00"/>
    <d v="2025-11-06T00:00:00"/>
    <x v="0"/>
    <n v="3"/>
    <n v="5"/>
    <n v="855000"/>
    <n v="0"/>
    <s v="Price"/>
    <s v="North"/>
    <x v="5"/>
    <s v="Analytics"/>
    <x v="4"/>
    <x v="0"/>
  </r>
  <r>
    <s v="O01664"/>
    <s v="C0233"/>
    <s v="P006"/>
    <s v="R007"/>
    <d v="2025-11-30T00:00:00"/>
    <d v="2026-02-13T00:00:00"/>
    <m/>
    <x v="2"/>
    <n v="1"/>
    <n v="0"/>
    <n v="360000"/>
    <n v="40"/>
    <s v=""/>
    <s v="North"/>
    <x v="2"/>
    <s v="Security"/>
    <x v="13"/>
    <x v="0"/>
  </r>
  <r>
    <s v="O01665"/>
    <s v="C0436"/>
    <s v="P003"/>
    <s v="R018"/>
    <d v="2025-10-07T00:00:00"/>
    <d v="2025-12-26T00:00:00"/>
    <m/>
    <x v="2"/>
    <n v="3"/>
    <n v="15"/>
    <n v="612000"/>
    <n v="20"/>
    <s v=""/>
    <s v="East"/>
    <x v="1"/>
    <s v="Automation"/>
    <x v="18"/>
    <x v="3"/>
  </r>
  <r>
    <s v="O01666"/>
    <s v="C0157"/>
    <s v="P004"/>
    <s v="R006"/>
    <d v="2025-05-31T00:00:00"/>
    <d v="2025-07-08T00:00:00"/>
    <d v="2025-07-08T00:00:00"/>
    <x v="1"/>
    <n v="2"/>
    <n v="0"/>
    <n v="600000"/>
    <n v="100"/>
    <s v=""/>
    <s v="North"/>
    <x v="5"/>
    <s v="Analytics"/>
    <x v="2"/>
    <x v="0"/>
  </r>
  <r>
    <s v="O01667"/>
    <s v="C0415"/>
    <s v="P003"/>
    <s v="R003"/>
    <d v="2025-03-15T00:00:00"/>
    <d v="2025-04-14T00:00:00"/>
    <d v="2025-04-14T00:00:00"/>
    <x v="0"/>
    <n v="2"/>
    <n v="15"/>
    <n v="408000"/>
    <n v="0"/>
    <s v="Feature gap"/>
    <s v="South"/>
    <x v="1"/>
    <s v="Automation"/>
    <x v="15"/>
    <x v="2"/>
  </r>
  <r>
    <s v="O01668"/>
    <s v="C0121"/>
    <s v="P003"/>
    <s v="R006"/>
    <d v="2025-03-01T00:00:00"/>
    <d v="2025-03-25T00:00:00"/>
    <m/>
    <x v="2"/>
    <n v="3"/>
    <n v="5"/>
    <n v="684000"/>
    <n v="80"/>
    <s v=""/>
    <s v="North"/>
    <x v="1"/>
    <s v="Automation"/>
    <x v="2"/>
    <x v="0"/>
  </r>
  <r>
    <s v="O01669"/>
    <s v="C0233"/>
    <s v="P003"/>
    <s v="R006"/>
    <d v="2025-12-24T00:00:00"/>
    <d v="2026-02-01T00:00:00"/>
    <m/>
    <x v="2"/>
    <n v="2"/>
    <n v="5"/>
    <n v="456000"/>
    <n v="20"/>
    <s v=""/>
    <s v="North"/>
    <x v="1"/>
    <s v="Automation"/>
    <x v="2"/>
    <x v="0"/>
  </r>
  <r>
    <s v="O01670"/>
    <s v="C0310"/>
    <s v="P002"/>
    <s v="R004"/>
    <d v="2025-12-09T00:00:00"/>
    <d v="2025-12-31T00:00:00"/>
    <d v="2025-12-31T00:00:00"/>
    <x v="1"/>
    <n v="1"/>
    <n v="10"/>
    <n v="378000"/>
    <n v="100"/>
    <s v=""/>
    <s v="South"/>
    <x v="0"/>
    <s v="CRM"/>
    <x v="3"/>
    <x v="2"/>
  </r>
  <r>
    <s v="O01671"/>
    <s v="C0053"/>
    <s v="P004"/>
    <s v="R016"/>
    <d v="2025-03-09T00:00:00"/>
    <d v="2025-05-12T00:00:00"/>
    <d v="2025-05-12T00:00:00"/>
    <x v="0"/>
    <n v="1"/>
    <n v="5"/>
    <n v="285000"/>
    <n v="0"/>
    <s v="Price"/>
    <s v="East"/>
    <x v="5"/>
    <s v="Analytics"/>
    <x v="8"/>
    <x v="3"/>
  </r>
  <r>
    <s v="O01672"/>
    <s v="C0153"/>
    <s v="P004"/>
    <s v="R003"/>
    <d v="2025-08-03T00:00:00"/>
    <d v="2025-08-18T00:00:00"/>
    <d v="2025-08-18T00:00:00"/>
    <x v="1"/>
    <n v="1"/>
    <n v="5"/>
    <n v="285000"/>
    <n v="100"/>
    <s v=""/>
    <s v="South"/>
    <x v="5"/>
    <s v="Analytics"/>
    <x v="15"/>
    <x v="2"/>
  </r>
  <r>
    <s v="O01673"/>
    <s v="C0040"/>
    <s v="P003"/>
    <s v="R008"/>
    <d v="2025-06-27T00:00:00"/>
    <d v="2025-09-07T00:00:00"/>
    <d v="2025-09-07T00:00:00"/>
    <x v="0"/>
    <n v="1"/>
    <n v="20"/>
    <n v="192000"/>
    <n v="0"/>
    <s v="No decision"/>
    <s v="North"/>
    <x v="1"/>
    <s v="Automation"/>
    <x v="0"/>
    <x v="0"/>
  </r>
  <r>
    <s v="O01674"/>
    <s v="C0438"/>
    <s v="P005"/>
    <s v="R015"/>
    <d v="2025-04-01T00:00:00"/>
    <d v="2025-04-17T00:00:00"/>
    <d v="2025-04-17T00:00:00"/>
    <x v="1"/>
    <n v="1"/>
    <n v="20"/>
    <n v="144000"/>
    <n v="100"/>
    <s v=""/>
    <s v="West"/>
    <x v="3"/>
    <s v="Service"/>
    <x v="7"/>
    <x v="1"/>
  </r>
  <r>
    <s v="O01675"/>
    <s v="C0169"/>
    <s v="P002"/>
    <s v="R011"/>
    <d v="2025-05-05T00:00:00"/>
    <d v="2025-06-09T00:00:00"/>
    <d v="2025-06-09T00:00:00"/>
    <x v="1"/>
    <n v="1"/>
    <n v="20"/>
    <n v="336000"/>
    <n v="100"/>
    <s v=""/>
    <s v="West"/>
    <x v="0"/>
    <s v="CRM"/>
    <x v="12"/>
    <x v="1"/>
  </r>
  <r>
    <s v="O01676"/>
    <s v="C0445"/>
    <s v="P004"/>
    <s v="R004"/>
    <d v="2025-09-25T00:00:00"/>
    <d v="2025-11-08T00:00:00"/>
    <d v="2025-11-08T00:00:00"/>
    <x v="0"/>
    <n v="1"/>
    <n v="15"/>
    <n v="255000"/>
    <n v="0"/>
    <s v="Feature gap"/>
    <s v="South"/>
    <x v="5"/>
    <s v="Analytics"/>
    <x v="3"/>
    <x v="2"/>
  </r>
  <r>
    <s v="O01677"/>
    <s v="C0259"/>
    <s v="P004"/>
    <s v="R009"/>
    <d v="2025-10-15T00:00:00"/>
    <d v="2025-11-25T00:00:00"/>
    <d v="2025-11-25T00:00:00"/>
    <x v="1"/>
    <n v="2"/>
    <n v="0"/>
    <n v="600000"/>
    <n v="100"/>
    <s v=""/>
    <s v="North"/>
    <x v="5"/>
    <s v="Analytics"/>
    <x v="4"/>
    <x v="0"/>
  </r>
  <r>
    <s v="O01678"/>
    <s v="C0099"/>
    <s v="P006"/>
    <s v="R007"/>
    <d v="2025-08-20T00:00:00"/>
    <d v="2025-08-31T00:00:00"/>
    <d v="2025-08-31T00:00:00"/>
    <x v="0"/>
    <n v="1"/>
    <n v="10"/>
    <n v="324000"/>
    <n v="0"/>
    <s v="Competition"/>
    <s v="North"/>
    <x v="2"/>
    <s v="Security"/>
    <x v="13"/>
    <x v="0"/>
  </r>
  <r>
    <s v="O01679"/>
    <s v="C0282"/>
    <s v="P003"/>
    <s v="R004"/>
    <d v="2025-01-12T00:00:00"/>
    <d v="2025-02-08T00:00:00"/>
    <d v="2025-02-08T00:00:00"/>
    <x v="1"/>
    <n v="1"/>
    <n v="0"/>
    <n v="240000"/>
    <n v="100"/>
    <s v=""/>
    <s v="South"/>
    <x v="1"/>
    <s v="Automation"/>
    <x v="3"/>
    <x v="2"/>
  </r>
  <r>
    <s v="O01680"/>
    <s v="C0333"/>
    <s v="P001"/>
    <s v="R013"/>
    <d v="2025-02-23T00:00:00"/>
    <d v="2025-05-02T00:00:00"/>
    <d v="2025-05-02T00:00:00"/>
    <x v="1"/>
    <n v="3"/>
    <n v="20"/>
    <n v="288000"/>
    <n v="100"/>
    <s v=""/>
    <s v="West"/>
    <x v="4"/>
    <s v="CRM"/>
    <x v="5"/>
    <x v="1"/>
  </r>
  <r>
    <s v="O01681"/>
    <s v="C0264"/>
    <s v="P006"/>
    <s v="R018"/>
    <d v="2025-12-10T00:00:00"/>
    <d v="2026-01-15T00:00:00"/>
    <m/>
    <x v="2"/>
    <n v="1"/>
    <n v="5"/>
    <n v="342000"/>
    <n v="40"/>
    <s v=""/>
    <s v="East"/>
    <x v="2"/>
    <s v="Security"/>
    <x v="18"/>
    <x v="3"/>
  </r>
  <r>
    <s v="O01682"/>
    <s v="C0274"/>
    <s v="P004"/>
    <s v="R004"/>
    <d v="2025-01-15T00:00:00"/>
    <d v="2025-03-17T00:00:00"/>
    <d v="2025-03-17T00:00:00"/>
    <x v="1"/>
    <n v="1"/>
    <n v="5"/>
    <n v="285000"/>
    <n v="100"/>
    <s v=""/>
    <s v="South"/>
    <x v="5"/>
    <s v="Analytics"/>
    <x v="3"/>
    <x v="2"/>
  </r>
  <r>
    <s v="O01683"/>
    <s v="C0326"/>
    <s v="P005"/>
    <s v="R015"/>
    <d v="2025-06-15T00:00:00"/>
    <d v="2025-07-02T00:00:00"/>
    <d v="2025-07-02T00:00:00"/>
    <x v="1"/>
    <n v="1"/>
    <n v="0"/>
    <n v="180000"/>
    <n v="100"/>
    <s v=""/>
    <s v="West"/>
    <x v="3"/>
    <s v="Service"/>
    <x v="7"/>
    <x v="1"/>
  </r>
  <r>
    <s v="O01684"/>
    <s v="C0444"/>
    <s v="P004"/>
    <s v="R017"/>
    <d v="2025-10-06T00:00:00"/>
    <d v="2025-11-27T00:00:00"/>
    <d v="2025-11-27T00:00:00"/>
    <x v="1"/>
    <n v="2"/>
    <n v="20"/>
    <n v="480000"/>
    <n v="100"/>
    <s v=""/>
    <s v="East"/>
    <x v="5"/>
    <s v="Analytics"/>
    <x v="19"/>
    <x v="3"/>
  </r>
  <r>
    <s v="O01685"/>
    <s v="C0167"/>
    <s v="P004"/>
    <s v="R014"/>
    <d v="2025-01-11T00:00:00"/>
    <d v="2025-03-16T00:00:00"/>
    <d v="2025-03-16T00:00:00"/>
    <x v="1"/>
    <n v="2"/>
    <n v="5"/>
    <n v="570000"/>
    <n v="100"/>
    <s v=""/>
    <s v="West"/>
    <x v="5"/>
    <s v="Analytics"/>
    <x v="1"/>
    <x v="1"/>
  </r>
  <r>
    <s v="O01686"/>
    <s v="C0237"/>
    <s v="P006"/>
    <s v="R015"/>
    <d v="2025-12-08T00:00:00"/>
    <d v="2026-01-29T00:00:00"/>
    <m/>
    <x v="2"/>
    <n v="2"/>
    <n v="10"/>
    <n v="648000"/>
    <n v="60"/>
    <s v=""/>
    <s v="West"/>
    <x v="2"/>
    <s v="Security"/>
    <x v="7"/>
    <x v="1"/>
  </r>
  <r>
    <s v="O01687"/>
    <s v="C0059"/>
    <s v="P003"/>
    <s v="R020"/>
    <d v="2025-07-06T00:00:00"/>
    <d v="2025-08-18T00:00:00"/>
    <m/>
    <x v="2"/>
    <n v="1"/>
    <n v="20"/>
    <n v="192000"/>
    <n v="40"/>
    <s v=""/>
    <s v="East"/>
    <x v="1"/>
    <s v="Automation"/>
    <x v="9"/>
    <x v="3"/>
  </r>
  <r>
    <s v="O01688"/>
    <s v="C0397"/>
    <s v="P001"/>
    <s v="R019"/>
    <d v="2025-11-29T00:00:00"/>
    <d v="2025-12-14T00:00:00"/>
    <d v="2025-12-14T00:00:00"/>
    <x v="1"/>
    <n v="3"/>
    <n v="5"/>
    <n v="342000"/>
    <n v="100"/>
    <s v=""/>
    <s v="East"/>
    <x v="4"/>
    <s v="CRM"/>
    <x v="10"/>
    <x v="3"/>
  </r>
  <r>
    <s v="O01689"/>
    <s v="C0198"/>
    <s v="P005"/>
    <s v="R013"/>
    <d v="2025-08-26T00:00:00"/>
    <d v="2025-11-06T00:00:00"/>
    <d v="2025-11-06T00:00:00"/>
    <x v="1"/>
    <n v="3"/>
    <n v="5"/>
    <n v="513000"/>
    <n v="100"/>
    <s v=""/>
    <s v="West"/>
    <x v="3"/>
    <s v="Service"/>
    <x v="5"/>
    <x v="1"/>
  </r>
  <r>
    <s v="O01690"/>
    <s v="C0480"/>
    <s v="P001"/>
    <s v="R012"/>
    <d v="2025-05-26T00:00:00"/>
    <d v="2025-07-08T00:00:00"/>
    <m/>
    <x v="2"/>
    <n v="1"/>
    <n v="5"/>
    <n v="114000"/>
    <n v="40"/>
    <s v=""/>
    <s v="West"/>
    <x v="4"/>
    <s v="CRM"/>
    <x v="14"/>
    <x v="1"/>
  </r>
  <r>
    <s v="O01691"/>
    <s v="C0245"/>
    <s v="P005"/>
    <s v="R013"/>
    <d v="2025-10-26T00:00:00"/>
    <d v="2025-11-05T00:00:00"/>
    <d v="2025-11-05T00:00:00"/>
    <x v="0"/>
    <n v="1"/>
    <n v="15"/>
    <n v="153000"/>
    <n v="0"/>
    <s v="Price"/>
    <s v="West"/>
    <x v="3"/>
    <s v="Service"/>
    <x v="5"/>
    <x v="1"/>
  </r>
  <r>
    <s v="O01692"/>
    <s v="C0461"/>
    <s v="P005"/>
    <s v="R006"/>
    <d v="2025-02-28T00:00:00"/>
    <d v="2025-04-14T00:00:00"/>
    <d v="2025-04-14T00:00:00"/>
    <x v="1"/>
    <n v="1"/>
    <n v="10"/>
    <n v="162000"/>
    <n v="100"/>
    <s v=""/>
    <s v="North"/>
    <x v="3"/>
    <s v="Service"/>
    <x v="2"/>
    <x v="0"/>
  </r>
  <r>
    <s v="O01693"/>
    <s v="C0123"/>
    <s v="P003"/>
    <s v="R012"/>
    <d v="2025-03-01T00:00:00"/>
    <d v="2025-03-27T00:00:00"/>
    <m/>
    <x v="2"/>
    <n v="1"/>
    <n v="5"/>
    <n v="228000"/>
    <n v="20"/>
    <s v=""/>
    <s v="West"/>
    <x v="1"/>
    <s v="Automation"/>
    <x v="14"/>
    <x v="1"/>
  </r>
  <r>
    <s v="O01694"/>
    <s v="C0018"/>
    <s v="P002"/>
    <s v="R015"/>
    <d v="2025-09-27T00:00:00"/>
    <d v="2025-10-10T00:00:00"/>
    <m/>
    <x v="2"/>
    <n v="3"/>
    <n v="20"/>
    <n v="1008000"/>
    <n v="20"/>
    <s v=""/>
    <s v="West"/>
    <x v="0"/>
    <s v="CRM"/>
    <x v="7"/>
    <x v="1"/>
  </r>
  <r>
    <s v="O01695"/>
    <s v="C0036"/>
    <s v="P006"/>
    <s v="R002"/>
    <d v="2025-04-09T00:00:00"/>
    <d v="2025-06-26T00:00:00"/>
    <d v="2025-06-26T00:00:00"/>
    <x v="1"/>
    <n v="1"/>
    <n v="0"/>
    <n v="360000"/>
    <n v="100"/>
    <s v=""/>
    <s v="South"/>
    <x v="2"/>
    <s v="Security"/>
    <x v="17"/>
    <x v="2"/>
  </r>
  <r>
    <s v="O01696"/>
    <s v="C0044"/>
    <s v="P001"/>
    <s v="R017"/>
    <d v="2025-12-20T00:00:00"/>
    <d v="2026-03-09T00:00:00"/>
    <m/>
    <x v="2"/>
    <n v="1"/>
    <n v="20"/>
    <n v="96000"/>
    <n v="20"/>
    <s v=""/>
    <s v="East"/>
    <x v="4"/>
    <s v="CRM"/>
    <x v="19"/>
    <x v="3"/>
  </r>
  <r>
    <s v="O01697"/>
    <s v="C0221"/>
    <s v="P001"/>
    <s v="R004"/>
    <d v="2025-02-09T00:00:00"/>
    <d v="2025-04-23T00:00:00"/>
    <d v="2025-04-23T00:00:00"/>
    <x v="1"/>
    <n v="2"/>
    <n v="15"/>
    <n v="204000"/>
    <n v="100"/>
    <s v=""/>
    <s v="South"/>
    <x v="4"/>
    <s v="CRM"/>
    <x v="3"/>
    <x v="2"/>
  </r>
  <r>
    <s v="O01698"/>
    <s v="C0441"/>
    <s v="P006"/>
    <s v="R014"/>
    <d v="2025-03-19T00:00:00"/>
    <d v="2025-05-13T00:00:00"/>
    <d v="2025-05-13T00:00:00"/>
    <x v="1"/>
    <n v="1"/>
    <n v="0"/>
    <n v="360000"/>
    <n v="100"/>
    <s v=""/>
    <s v="West"/>
    <x v="2"/>
    <s v="Security"/>
    <x v="1"/>
    <x v="1"/>
  </r>
  <r>
    <s v="O01699"/>
    <s v="C0040"/>
    <s v="P001"/>
    <s v="R006"/>
    <d v="2025-06-11T00:00:00"/>
    <d v="2025-08-13T00:00:00"/>
    <m/>
    <x v="2"/>
    <n v="1"/>
    <n v="5"/>
    <n v="114000"/>
    <n v="80"/>
    <s v=""/>
    <s v="North"/>
    <x v="4"/>
    <s v="CRM"/>
    <x v="2"/>
    <x v="0"/>
  </r>
  <r>
    <s v="O01700"/>
    <s v="C0144"/>
    <s v="P004"/>
    <s v="R020"/>
    <d v="2025-07-23T00:00:00"/>
    <d v="2025-10-15T00:00:00"/>
    <d v="2025-10-15T00:00:00"/>
    <x v="0"/>
    <n v="1"/>
    <n v="5"/>
    <n v="285000"/>
    <n v="0"/>
    <s v="Competition"/>
    <s v="East"/>
    <x v="5"/>
    <s v="Analytics"/>
    <x v="9"/>
    <x v="3"/>
  </r>
  <r>
    <s v="O01701"/>
    <s v="C0216"/>
    <s v="P002"/>
    <s v="R017"/>
    <d v="2025-04-04T00:00:00"/>
    <d v="2025-05-08T00:00:00"/>
    <d v="2025-05-08T00:00:00"/>
    <x v="1"/>
    <n v="1"/>
    <n v="15"/>
    <n v="357000"/>
    <n v="100"/>
    <s v=""/>
    <s v="East"/>
    <x v="0"/>
    <s v="CRM"/>
    <x v="19"/>
    <x v="3"/>
  </r>
  <r>
    <s v="O01702"/>
    <s v="C0003"/>
    <s v="P005"/>
    <s v="R004"/>
    <d v="2025-04-06T00:00:00"/>
    <d v="2025-05-24T00:00:00"/>
    <d v="2025-05-24T00:00:00"/>
    <x v="1"/>
    <n v="3"/>
    <n v="5"/>
    <n v="513000"/>
    <n v="100"/>
    <s v=""/>
    <s v="South"/>
    <x v="3"/>
    <s v="Service"/>
    <x v="3"/>
    <x v="2"/>
  </r>
  <r>
    <s v="O01703"/>
    <s v="C0471"/>
    <s v="P003"/>
    <s v="R005"/>
    <d v="2025-03-26T00:00:00"/>
    <d v="2025-05-02T00:00:00"/>
    <m/>
    <x v="2"/>
    <n v="2"/>
    <n v="15"/>
    <n v="408000"/>
    <n v="40"/>
    <s v=""/>
    <s v="South"/>
    <x v="1"/>
    <s v="Automation"/>
    <x v="11"/>
    <x v="2"/>
  </r>
  <r>
    <s v="O01704"/>
    <s v="C0266"/>
    <s v="P003"/>
    <s v="R009"/>
    <d v="2025-08-04T00:00:00"/>
    <d v="2025-09-15T00:00:00"/>
    <m/>
    <x v="2"/>
    <n v="3"/>
    <n v="15"/>
    <n v="612000"/>
    <n v="80"/>
    <s v=""/>
    <s v="North"/>
    <x v="1"/>
    <s v="Automation"/>
    <x v="4"/>
    <x v="0"/>
  </r>
  <r>
    <s v="O01705"/>
    <s v="C0177"/>
    <s v="P002"/>
    <s v="R020"/>
    <d v="2025-08-15T00:00:00"/>
    <d v="2025-08-26T00:00:00"/>
    <d v="2025-08-26T00:00:00"/>
    <x v="0"/>
    <n v="1"/>
    <n v="10"/>
    <n v="378000"/>
    <n v="0"/>
    <s v="Feature gap"/>
    <s v="East"/>
    <x v="0"/>
    <s v="CRM"/>
    <x v="9"/>
    <x v="3"/>
  </r>
  <r>
    <s v="O01706"/>
    <s v="C0362"/>
    <s v="P003"/>
    <s v="R007"/>
    <d v="2025-12-26T00:00:00"/>
    <d v="2026-01-10T00:00:00"/>
    <m/>
    <x v="2"/>
    <n v="1"/>
    <n v="15"/>
    <n v="204000"/>
    <n v="80"/>
    <s v=""/>
    <s v="North"/>
    <x v="1"/>
    <s v="Automation"/>
    <x v="13"/>
    <x v="0"/>
  </r>
  <r>
    <s v="O01707"/>
    <s v="C0039"/>
    <s v="P001"/>
    <s v="R005"/>
    <d v="2025-11-08T00:00:00"/>
    <d v="2025-11-17T00:00:00"/>
    <d v="2025-11-17T00:00:00"/>
    <x v="1"/>
    <n v="1"/>
    <n v="10"/>
    <n v="108000"/>
    <n v="100"/>
    <s v=""/>
    <s v="South"/>
    <x v="4"/>
    <s v="CRM"/>
    <x v="11"/>
    <x v="2"/>
  </r>
  <r>
    <s v="O01708"/>
    <s v="C0232"/>
    <s v="P001"/>
    <s v="R013"/>
    <d v="2025-01-14T00:00:00"/>
    <d v="2025-02-24T00:00:00"/>
    <d v="2025-02-24T00:00:00"/>
    <x v="1"/>
    <n v="1"/>
    <n v="10"/>
    <n v="108000"/>
    <n v="100"/>
    <s v=""/>
    <s v="West"/>
    <x v="4"/>
    <s v="CRM"/>
    <x v="5"/>
    <x v="1"/>
  </r>
  <r>
    <s v="O01709"/>
    <s v="C0255"/>
    <s v="P002"/>
    <s v="R017"/>
    <d v="2025-09-25T00:00:00"/>
    <d v="2025-12-16T00:00:00"/>
    <d v="2025-12-16T00:00:00"/>
    <x v="0"/>
    <n v="2"/>
    <n v="10"/>
    <n v="756000"/>
    <n v="0"/>
    <s v="Price"/>
    <s v="East"/>
    <x v="0"/>
    <s v="CRM"/>
    <x v="19"/>
    <x v="3"/>
  </r>
  <r>
    <s v="O01710"/>
    <s v="C0016"/>
    <s v="P006"/>
    <s v="R015"/>
    <d v="2025-10-21T00:00:00"/>
    <d v="2025-12-13T00:00:00"/>
    <d v="2025-12-13T00:00:00"/>
    <x v="1"/>
    <n v="1"/>
    <n v="20"/>
    <n v="288000"/>
    <n v="100"/>
    <s v=""/>
    <s v="West"/>
    <x v="2"/>
    <s v="Security"/>
    <x v="7"/>
    <x v="1"/>
  </r>
  <r>
    <s v="O01711"/>
    <s v="C0124"/>
    <s v="P003"/>
    <s v="R005"/>
    <d v="2025-11-18T00:00:00"/>
    <d v="2025-12-29T00:00:00"/>
    <d v="2025-12-29T00:00:00"/>
    <x v="1"/>
    <n v="1"/>
    <n v="15"/>
    <n v="204000"/>
    <n v="100"/>
    <s v=""/>
    <s v="South"/>
    <x v="1"/>
    <s v="Automation"/>
    <x v="11"/>
    <x v="2"/>
  </r>
  <r>
    <s v="O01712"/>
    <s v="C0365"/>
    <s v="P006"/>
    <s v="R020"/>
    <d v="2025-06-21T00:00:00"/>
    <d v="2025-07-13T00:00:00"/>
    <m/>
    <x v="2"/>
    <n v="1"/>
    <n v="5"/>
    <n v="342000"/>
    <n v="60"/>
    <s v=""/>
    <s v="East"/>
    <x v="2"/>
    <s v="Security"/>
    <x v="9"/>
    <x v="3"/>
  </r>
  <r>
    <s v="O01713"/>
    <s v="C0358"/>
    <s v="P003"/>
    <s v="R019"/>
    <d v="2025-03-08T00:00:00"/>
    <d v="2025-04-05T00:00:00"/>
    <d v="2025-04-05T00:00:00"/>
    <x v="0"/>
    <n v="3"/>
    <n v="0"/>
    <n v="720000"/>
    <n v="0"/>
    <s v="Price"/>
    <s v="East"/>
    <x v="1"/>
    <s v="Automation"/>
    <x v="10"/>
    <x v="3"/>
  </r>
  <r>
    <s v="O01714"/>
    <s v="C0095"/>
    <s v="P002"/>
    <s v="R008"/>
    <d v="2025-12-12T00:00:00"/>
    <d v="2026-02-09T00:00:00"/>
    <m/>
    <x v="2"/>
    <n v="1"/>
    <n v="20"/>
    <n v="336000"/>
    <n v="40"/>
    <s v=""/>
    <s v="North"/>
    <x v="0"/>
    <s v="CRM"/>
    <x v="0"/>
    <x v="0"/>
  </r>
  <r>
    <s v="O01715"/>
    <s v="C0047"/>
    <s v="P004"/>
    <s v="R001"/>
    <d v="2025-08-27T00:00:00"/>
    <d v="2025-09-16T00:00:00"/>
    <d v="2025-09-16T00:00:00"/>
    <x v="0"/>
    <n v="1"/>
    <n v="20"/>
    <n v="240000"/>
    <n v="0"/>
    <s v="Budget"/>
    <s v="South"/>
    <x v="5"/>
    <s v="Analytics"/>
    <x v="6"/>
    <x v="2"/>
  </r>
  <r>
    <s v="O01716"/>
    <s v="C0362"/>
    <s v="P006"/>
    <s v="R007"/>
    <d v="2025-06-10T00:00:00"/>
    <d v="2025-07-06T00:00:00"/>
    <d v="2025-07-06T00:00:00"/>
    <x v="0"/>
    <n v="3"/>
    <n v="5"/>
    <n v="1026000"/>
    <n v="0"/>
    <s v="No decision"/>
    <s v="North"/>
    <x v="2"/>
    <s v="Security"/>
    <x v="13"/>
    <x v="0"/>
  </r>
  <r>
    <s v="O01717"/>
    <s v="C0285"/>
    <s v="P001"/>
    <s v="R007"/>
    <d v="2025-01-25T00:00:00"/>
    <d v="2025-03-26T00:00:00"/>
    <m/>
    <x v="2"/>
    <n v="1"/>
    <n v="15"/>
    <n v="102000"/>
    <n v="60"/>
    <s v=""/>
    <s v="North"/>
    <x v="4"/>
    <s v="CRM"/>
    <x v="13"/>
    <x v="0"/>
  </r>
  <r>
    <s v="O01718"/>
    <s v="C0346"/>
    <s v="P005"/>
    <s v="R010"/>
    <d v="2025-05-23T00:00:00"/>
    <d v="2025-05-30T00:00:00"/>
    <d v="2025-05-30T00:00:00"/>
    <x v="1"/>
    <n v="2"/>
    <n v="20"/>
    <n v="288000"/>
    <n v="100"/>
    <s v=""/>
    <s v="North"/>
    <x v="3"/>
    <s v="Service"/>
    <x v="16"/>
    <x v="0"/>
  </r>
  <r>
    <s v="O01719"/>
    <s v="C0131"/>
    <s v="P004"/>
    <s v="R011"/>
    <d v="2025-02-22T00:00:00"/>
    <d v="2025-05-04T00:00:00"/>
    <m/>
    <x v="2"/>
    <n v="1"/>
    <n v="0"/>
    <n v="300000"/>
    <n v="80"/>
    <s v=""/>
    <s v="West"/>
    <x v="5"/>
    <s v="Analytics"/>
    <x v="12"/>
    <x v="1"/>
  </r>
  <r>
    <s v="O01720"/>
    <s v="C0255"/>
    <s v="P006"/>
    <s v="R019"/>
    <d v="2025-05-30T00:00:00"/>
    <d v="2025-08-08T00:00:00"/>
    <d v="2025-08-08T00:00:00"/>
    <x v="0"/>
    <n v="2"/>
    <n v="0"/>
    <n v="720000"/>
    <n v="0"/>
    <s v="No decision"/>
    <s v="East"/>
    <x v="2"/>
    <s v="Security"/>
    <x v="10"/>
    <x v="3"/>
  </r>
  <r>
    <s v="O01721"/>
    <s v="C0081"/>
    <s v="P001"/>
    <s v="R010"/>
    <d v="2025-01-16T00:00:00"/>
    <d v="2025-02-12T00:00:00"/>
    <d v="2025-02-12T00:00:00"/>
    <x v="0"/>
    <n v="1"/>
    <n v="15"/>
    <n v="102000"/>
    <n v="0"/>
    <s v="Feature gap"/>
    <s v="North"/>
    <x v="4"/>
    <s v="CRM"/>
    <x v="16"/>
    <x v="0"/>
  </r>
  <r>
    <s v="O01722"/>
    <s v="C0010"/>
    <s v="P002"/>
    <s v="R015"/>
    <d v="2025-08-09T00:00:00"/>
    <d v="2025-09-11T00:00:00"/>
    <d v="2025-09-11T00:00:00"/>
    <x v="0"/>
    <n v="3"/>
    <n v="5"/>
    <n v="1197000"/>
    <n v="0"/>
    <s v="No decision"/>
    <s v="West"/>
    <x v="0"/>
    <s v="CRM"/>
    <x v="7"/>
    <x v="1"/>
  </r>
  <r>
    <s v="O01723"/>
    <s v="C0394"/>
    <s v="P006"/>
    <s v="R001"/>
    <d v="2025-01-08T00:00:00"/>
    <d v="2025-03-16T00:00:00"/>
    <d v="2025-03-16T00:00:00"/>
    <x v="1"/>
    <n v="1"/>
    <n v="20"/>
    <n v="288000"/>
    <n v="100"/>
    <s v=""/>
    <s v="South"/>
    <x v="2"/>
    <s v="Security"/>
    <x v="6"/>
    <x v="2"/>
  </r>
  <r>
    <s v="O01724"/>
    <s v="C0410"/>
    <s v="P006"/>
    <s v="R016"/>
    <d v="2025-10-20T00:00:00"/>
    <d v="2025-12-31T00:00:00"/>
    <m/>
    <x v="2"/>
    <n v="1"/>
    <n v="10"/>
    <n v="324000"/>
    <n v="60"/>
    <s v=""/>
    <s v="East"/>
    <x v="2"/>
    <s v="Security"/>
    <x v="8"/>
    <x v="3"/>
  </r>
  <r>
    <s v="O01725"/>
    <s v="C0210"/>
    <s v="P003"/>
    <s v="R011"/>
    <d v="2025-09-01T00:00:00"/>
    <d v="2025-10-12T00:00:00"/>
    <m/>
    <x v="2"/>
    <n v="1"/>
    <n v="15"/>
    <n v="204000"/>
    <n v="60"/>
    <s v=""/>
    <s v="West"/>
    <x v="1"/>
    <s v="Automation"/>
    <x v="12"/>
    <x v="1"/>
  </r>
  <r>
    <s v="O01726"/>
    <s v="C0139"/>
    <s v="P004"/>
    <s v="R019"/>
    <d v="2025-10-23T00:00:00"/>
    <d v="2025-11-04T00:00:00"/>
    <d v="2025-11-04T00:00:00"/>
    <x v="0"/>
    <n v="1"/>
    <n v="10"/>
    <n v="270000"/>
    <n v="0"/>
    <s v="Competition"/>
    <s v="East"/>
    <x v="5"/>
    <s v="Analytics"/>
    <x v="10"/>
    <x v="3"/>
  </r>
  <r>
    <s v="O01727"/>
    <s v="C0065"/>
    <s v="P006"/>
    <s v="R019"/>
    <d v="2025-12-06T00:00:00"/>
    <d v="2026-01-14T00:00:00"/>
    <m/>
    <x v="2"/>
    <n v="1"/>
    <n v="5"/>
    <n v="342000"/>
    <n v="60"/>
    <s v=""/>
    <s v="East"/>
    <x v="2"/>
    <s v="Security"/>
    <x v="10"/>
    <x v="3"/>
  </r>
  <r>
    <s v="O01728"/>
    <s v="C0264"/>
    <s v="P003"/>
    <s v="R017"/>
    <d v="2025-11-28T00:00:00"/>
    <d v="2026-02-02T00:00:00"/>
    <m/>
    <x v="2"/>
    <n v="2"/>
    <n v="15"/>
    <n v="408000"/>
    <n v="60"/>
    <s v=""/>
    <s v="East"/>
    <x v="1"/>
    <s v="Automation"/>
    <x v="19"/>
    <x v="3"/>
  </r>
  <r>
    <s v="O01729"/>
    <s v="C0295"/>
    <s v="P005"/>
    <s v="R011"/>
    <d v="2025-02-01T00:00:00"/>
    <d v="2025-03-25T00:00:00"/>
    <d v="2025-03-25T00:00:00"/>
    <x v="0"/>
    <n v="1"/>
    <n v="15"/>
    <n v="153000"/>
    <n v="0"/>
    <s v="Feature gap"/>
    <s v="West"/>
    <x v="3"/>
    <s v="Service"/>
    <x v="12"/>
    <x v="1"/>
  </r>
  <r>
    <s v="O01730"/>
    <s v="C0273"/>
    <s v="P003"/>
    <s v="R009"/>
    <d v="2025-03-23T00:00:00"/>
    <d v="2025-06-04T00:00:00"/>
    <m/>
    <x v="2"/>
    <n v="1"/>
    <n v="15"/>
    <n v="204000"/>
    <n v="40"/>
    <s v=""/>
    <s v="North"/>
    <x v="1"/>
    <s v="Automation"/>
    <x v="4"/>
    <x v="0"/>
  </r>
  <r>
    <s v="O01731"/>
    <s v="C0415"/>
    <s v="P002"/>
    <s v="R004"/>
    <d v="2025-12-24T00:00:00"/>
    <d v="2026-01-06T00:00:00"/>
    <m/>
    <x v="2"/>
    <n v="1"/>
    <n v="20"/>
    <n v="336000"/>
    <n v="60"/>
    <s v=""/>
    <s v="South"/>
    <x v="0"/>
    <s v="CRM"/>
    <x v="3"/>
    <x v="2"/>
  </r>
  <r>
    <s v="O01732"/>
    <s v="C0120"/>
    <s v="P002"/>
    <s v="R006"/>
    <d v="2025-11-20T00:00:00"/>
    <d v="2026-01-31T00:00:00"/>
    <m/>
    <x v="2"/>
    <n v="1"/>
    <n v="20"/>
    <n v="336000"/>
    <n v="60"/>
    <s v=""/>
    <s v="North"/>
    <x v="0"/>
    <s v="CRM"/>
    <x v="2"/>
    <x v="0"/>
  </r>
  <r>
    <s v="O01733"/>
    <s v="C0052"/>
    <s v="P005"/>
    <s v="R020"/>
    <d v="2025-12-30T00:00:00"/>
    <d v="2026-02-22T00:00:00"/>
    <m/>
    <x v="2"/>
    <n v="1"/>
    <n v="15"/>
    <n v="153000"/>
    <n v="80"/>
    <s v=""/>
    <s v="East"/>
    <x v="3"/>
    <s v="Service"/>
    <x v="9"/>
    <x v="3"/>
  </r>
  <r>
    <s v="O01734"/>
    <s v="C0343"/>
    <s v="P002"/>
    <s v="R014"/>
    <d v="2025-05-29T00:00:00"/>
    <d v="2025-07-01T00:00:00"/>
    <d v="2025-07-01T00:00:00"/>
    <x v="1"/>
    <n v="1"/>
    <n v="15"/>
    <n v="357000"/>
    <n v="100"/>
    <s v=""/>
    <s v="West"/>
    <x v="0"/>
    <s v="CRM"/>
    <x v="1"/>
    <x v="1"/>
  </r>
  <r>
    <s v="O01735"/>
    <s v="C0315"/>
    <s v="P005"/>
    <s v="R004"/>
    <d v="2025-12-13T00:00:00"/>
    <d v="2026-01-16T00:00:00"/>
    <m/>
    <x v="2"/>
    <n v="1"/>
    <n v="0"/>
    <n v="180000"/>
    <n v="60"/>
    <s v=""/>
    <s v="South"/>
    <x v="3"/>
    <s v="Service"/>
    <x v="3"/>
    <x v="2"/>
  </r>
  <r>
    <s v="O01736"/>
    <s v="C0423"/>
    <s v="P006"/>
    <s v="R004"/>
    <d v="2025-06-26T00:00:00"/>
    <d v="2025-07-13T00:00:00"/>
    <m/>
    <x v="2"/>
    <n v="1"/>
    <n v="5"/>
    <n v="342000"/>
    <n v="60"/>
    <s v=""/>
    <s v="South"/>
    <x v="2"/>
    <s v="Security"/>
    <x v="3"/>
    <x v="2"/>
  </r>
  <r>
    <s v="O01737"/>
    <s v="C0344"/>
    <s v="P001"/>
    <s v="R014"/>
    <d v="2025-11-27T00:00:00"/>
    <d v="2026-01-11T00:00:00"/>
    <m/>
    <x v="2"/>
    <n v="2"/>
    <n v="15"/>
    <n v="204000"/>
    <n v="80"/>
    <s v=""/>
    <s v="West"/>
    <x v="4"/>
    <s v="CRM"/>
    <x v="1"/>
    <x v="1"/>
  </r>
  <r>
    <s v="O01738"/>
    <s v="C0073"/>
    <s v="P005"/>
    <s v="R010"/>
    <d v="2025-07-03T00:00:00"/>
    <d v="2025-07-21T00:00:00"/>
    <d v="2025-07-21T00:00:00"/>
    <x v="0"/>
    <n v="1"/>
    <n v="5"/>
    <n v="171000"/>
    <n v="0"/>
    <s v="Competition"/>
    <s v="North"/>
    <x v="3"/>
    <s v="Service"/>
    <x v="16"/>
    <x v="0"/>
  </r>
  <r>
    <s v="O01739"/>
    <s v="C0227"/>
    <s v="P003"/>
    <s v="R017"/>
    <d v="2025-10-21T00:00:00"/>
    <d v="2025-12-20T00:00:00"/>
    <d v="2025-12-20T00:00:00"/>
    <x v="0"/>
    <n v="1"/>
    <n v="20"/>
    <n v="192000"/>
    <n v="0"/>
    <s v="Feature gap"/>
    <s v="East"/>
    <x v="1"/>
    <s v="Automation"/>
    <x v="19"/>
    <x v="3"/>
  </r>
  <r>
    <s v="O01740"/>
    <s v="C0186"/>
    <s v="P004"/>
    <s v="R013"/>
    <d v="2025-04-12T00:00:00"/>
    <d v="2025-04-26T00:00:00"/>
    <d v="2025-04-26T00:00:00"/>
    <x v="1"/>
    <n v="3"/>
    <n v="15"/>
    <n v="765000"/>
    <n v="100"/>
    <s v=""/>
    <s v="West"/>
    <x v="5"/>
    <s v="Analytics"/>
    <x v="5"/>
    <x v="1"/>
  </r>
  <r>
    <s v="O01741"/>
    <s v="C0340"/>
    <s v="P002"/>
    <s v="R004"/>
    <d v="2025-04-15T00:00:00"/>
    <d v="2025-06-09T00:00:00"/>
    <d v="2025-06-09T00:00:00"/>
    <x v="0"/>
    <n v="1"/>
    <n v="5"/>
    <n v="399000"/>
    <n v="0"/>
    <s v="No decision"/>
    <s v="South"/>
    <x v="0"/>
    <s v="CRM"/>
    <x v="3"/>
    <x v="2"/>
  </r>
  <r>
    <s v="O01742"/>
    <s v="C0201"/>
    <s v="P001"/>
    <s v="R001"/>
    <d v="2025-10-25T00:00:00"/>
    <d v="2026-01-17T00:00:00"/>
    <m/>
    <x v="2"/>
    <n v="1"/>
    <n v="10"/>
    <n v="108000"/>
    <n v="80"/>
    <s v=""/>
    <s v="South"/>
    <x v="4"/>
    <s v="CRM"/>
    <x v="6"/>
    <x v="2"/>
  </r>
  <r>
    <s v="O01743"/>
    <s v="C0323"/>
    <s v="P003"/>
    <s v="R016"/>
    <d v="2025-09-05T00:00:00"/>
    <d v="2025-09-19T00:00:00"/>
    <m/>
    <x v="2"/>
    <n v="3"/>
    <n v="0"/>
    <n v="720000"/>
    <n v="40"/>
    <s v=""/>
    <s v="East"/>
    <x v="1"/>
    <s v="Automation"/>
    <x v="8"/>
    <x v="3"/>
  </r>
  <r>
    <s v="O01744"/>
    <s v="C0140"/>
    <s v="P004"/>
    <s v="R004"/>
    <d v="2025-10-22T00:00:00"/>
    <d v="2025-11-30T00:00:00"/>
    <m/>
    <x v="2"/>
    <n v="2"/>
    <n v="5"/>
    <n v="570000"/>
    <n v="40"/>
    <s v=""/>
    <s v="South"/>
    <x v="5"/>
    <s v="Analytics"/>
    <x v="3"/>
    <x v="2"/>
  </r>
  <r>
    <s v="O01745"/>
    <s v="C0098"/>
    <s v="P004"/>
    <s v="R010"/>
    <d v="2025-06-05T00:00:00"/>
    <d v="2025-08-07T00:00:00"/>
    <d v="2025-08-07T00:00:00"/>
    <x v="0"/>
    <n v="1"/>
    <n v="20"/>
    <n v="240000"/>
    <n v="0"/>
    <s v="No decision"/>
    <s v="North"/>
    <x v="5"/>
    <s v="Analytics"/>
    <x v="16"/>
    <x v="0"/>
  </r>
  <r>
    <s v="O01746"/>
    <s v="C0383"/>
    <s v="P003"/>
    <s v="R011"/>
    <d v="2025-03-18T00:00:00"/>
    <d v="2025-05-29T00:00:00"/>
    <d v="2025-05-29T00:00:00"/>
    <x v="1"/>
    <n v="3"/>
    <n v="20"/>
    <n v="576000"/>
    <n v="100"/>
    <s v=""/>
    <s v="West"/>
    <x v="1"/>
    <s v="Automation"/>
    <x v="12"/>
    <x v="1"/>
  </r>
  <r>
    <s v="O01747"/>
    <s v="C0305"/>
    <s v="P003"/>
    <s v="R002"/>
    <d v="2025-02-27T00:00:00"/>
    <d v="2025-03-19T00:00:00"/>
    <d v="2025-03-19T00:00:00"/>
    <x v="1"/>
    <n v="1"/>
    <n v="15"/>
    <n v="204000"/>
    <n v="100"/>
    <s v=""/>
    <s v="South"/>
    <x v="1"/>
    <s v="Automation"/>
    <x v="17"/>
    <x v="2"/>
  </r>
  <r>
    <s v="O01748"/>
    <s v="C0445"/>
    <s v="P003"/>
    <s v="R004"/>
    <d v="2025-11-15T00:00:00"/>
    <d v="2026-01-15T00:00:00"/>
    <m/>
    <x v="2"/>
    <n v="1"/>
    <n v="10"/>
    <n v="216000"/>
    <n v="20"/>
    <s v=""/>
    <s v="South"/>
    <x v="1"/>
    <s v="Automation"/>
    <x v="3"/>
    <x v="2"/>
  </r>
  <r>
    <s v="O01749"/>
    <s v="C0337"/>
    <s v="P006"/>
    <s v="R001"/>
    <d v="2025-08-07T00:00:00"/>
    <d v="2025-09-05T00:00:00"/>
    <d v="2025-09-05T00:00:00"/>
    <x v="1"/>
    <n v="1"/>
    <n v="10"/>
    <n v="324000"/>
    <n v="100"/>
    <s v=""/>
    <s v="South"/>
    <x v="2"/>
    <s v="Security"/>
    <x v="6"/>
    <x v="2"/>
  </r>
  <r>
    <s v="O01750"/>
    <s v="C0258"/>
    <s v="P006"/>
    <s v="R016"/>
    <d v="2025-11-23T00:00:00"/>
    <d v="2025-12-05T00:00:00"/>
    <d v="2025-12-05T00:00:00"/>
    <x v="0"/>
    <n v="1"/>
    <n v="10"/>
    <n v="324000"/>
    <n v="0"/>
    <s v="Budget"/>
    <s v="East"/>
    <x v="2"/>
    <s v="Security"/>
    <x v="8"/>
    <x v="3"/>
  </r>
  <r>
    <s v="O01751"/>
    <s v="C0052"/>
    <s v="P002"/>
    <s v="R020"/>
    <d v="2025-06-10T00:00:00"/>
    <d v="2025-06-17T00:00:00"/>
    <d v="2025-06-17T00:00:00"/>
    <x v="1"/>
    <n v="1"/>
    <n v="5"/>
    <n v="399000"/>
    <n v="100"/>
    <s v=""/>
    <s v="East"/>
    <x v="0"/>
    <s v="CRM"/>
    <x v="9"/>
    <x v="3"/>
  </r>
  <r>
    <s v="O01752"/>
    <s v="C0029"/>
    <s v="P004"/>
    <s v="R006"/>
    <d v="2025-11-03T00:00:00"/>
    <d v="2026-01-21T00:00:00"/>
    <m/>
    <x v="2"/>
    <n v="3"/>
    <n v="0"/>
    <n v="900000"/>
    <n v="40"/>
    <s v=""/>
    <s v="North"/>
    <x v="5"/>
    <s v="Analytics"/>
    <x v="2"/>
    <x v="0"/>
  </r>
  <r>
    <s v="O01753"/>
    <s v="C0273"/>
    <s v="P004"/>
    <s v="R006"/>
    <d v="2025-09-14T00:00:00"/>
    <d v="2025-11-23T00:00:00"/>
    <d v="2025-11-23T00:00:00"/>
    <x v="0"/>
    <n v="1"/>
    <n v="15"/>
    <n v="255000"/>
    <n v="0"/>
    <s v="Feature gap"/>
    <s v="North"/>
    <x v="5"/>
    <s v="Analytics"/>
    <x v="2"/>
    <x v="0"/>
  </r>
  <r>
    <s v="O01754"/>
    <s v="C0465"/>
    <s v="P006"/>
    <s v="R003"/>
    <d v="2025-01-09T00:00:00"/>
    <d v="2025-01-28T00:00:00"/>
    <d v="2025-01-28T00:00:00"/>
    <x v="0"/>
    <n v="3"/>
    <n v="15"/>
    <n v="918000"/>
    <n v="0"/>
    <s v="Competition"/>
    <s v="South"/>
    <x v="2"/>
    <s v="Security"/>
    <x v="15"/>
    <x v="2"/>
  </r>
  <r>
    <s v="O01755"/>
    <s v="C0022"/>
    <s v="P005"/>
    <s v="R008"/>
    <d v="2025-01-22T00:00:00"/>
    <d v="2025-02-25T00:00:00"/>
    <d v="2025-02-25T00:00:00"/>
    <x v="0"/>
    <n v="2"/>
    <n v="0"/>
    <n v="360000"/>
    <n v="0"/>
    <s v="No decision"/>
    <s v="North"/>
    <x v="3"/>
    <s v="Service"/>
    <x v="0"/>
    <x v="0"/>
  </r>
  <r>
    <s v="O01756"/>
    <s v="C0055"/>
    <s v="P001"/>
    <s v="R012"/>
    <d v="2025-08-01T00:00:00"/>
    <d v="2025-08-24T00:00:00"/>
    <m/>
    <x v="2"/>
    <n v="1"/>
    <n v="5"/>
    <n v="114000"/>
    <n v="20"/>
    <s v=""/>
    <s v="West"/>
    <x v="4"/>
    <s v="CRM"/>
    <x v="14"/>
    <x v="1"/>
  </r>
  <r>
    <s v="O01757"/>
    <s v="C0033"/>
    <s v="P005"/>
    <s v="R011"/>
    <d v="2025-03-04T00:00:00"/>
    <d v="2025-03-27T00:00:00"/>
    <d v="2025-03-27T00:00:00"/>
    <x v="0"/>
    <n v="1"/>
    <n v="20"/>
    <n v="144000"/>
    <n v="0"/>
    <s v="Competition"/>
    <s v="West"/>
    <x v="3"/>
    <s v="Service"/>
    <x v="12"/>
    <x v="1"/>
  </r>
  <r>
    <s v="O01758"/>
    <s v="C0298"/>
    <s v="P006"/>
    <s v="R002"/>
    <d v="2025-01-31T00:00:00"/>
    <d v="2025-02-26T00:00:00"/>
    <d v="2025-02-26T00:00:00"/>
    <x v="0"/>
    <n v="1"/>
    <n v="0"/>
    <n v="360000"/>
    <n v="0"/>
    <s v="Budget"/>
    <s v="South"/>
    <x v="2"/>
    <s v="Security"/>
    <x v="17"/>
    <x v="2"/>
  </r>
  <r>
    <s v="O01759"/>
    <s v="C0184"/>
    <s v="P001"/>
    <s v="R008"/>
    <d v="2025-03-25T00:00:00"/>
    <d v="2025-04-19T00:00:00"/>
    <d v="2025-04-19T00:00:00"/>
    <x v="1"/>
    <n v="1"/>
    <n v="5"/>
    <n v="114000"/>
    <n v="100"/>
    <s v=""/>
    <s v="North"/>
    <x v="4"/>
    <s v="CRM"/>
    <x v="0"/>
    <x v="0"/>
  </r>
  <r>
    <s v="O01760"/>
    <s v="C0483"/>
    <s v="P006"/>
    <s v="R010"/>
    <d v="2025-01-07T00:00:00"/>
    <d v="2025-03-07T00:00:00"/>
    <d v="2025-03-07T00:00:00"/>
    <x v="1"/>
    <n v="1"/>
    <n v="20"/>
    <n v="288000"/>
    <n v="100"/>
    <s v=""/>
    <s v="North"/>
    <x v="2"/>
    <s v="Security"/>
    <x v="16"/>
    <x v="0"/>
  </r>
  <r>
    <s v="O01761"/>
    <s v="C0420"/>
    <s v="P004"/>
    <s v="R006"/>
    <d v="2025-10-30T00:00:00"/>
    <d v="2025-12-18T00:00:00"/>
    <d v="2025-12-18T00:00:00"/>
    <x v="0"/>
    <n v="3"/>
    <n v="0"/>
    <n v="900000"/>
    <n v="0"/>
    <s v="Competition"/>
    <s v="North"/>
    <x v="5"/>
    <s v="Analytics"/>
    <x v="2"/>
    <x v="0"/>
  </r>
  <r>
    <s v="O01762"/>
    <s v="C0133"/>
    <s v="P002"/>
    <s v="R020"/>
    <d v="2025-05-21T00:00:00"/>
    <d v="2025-06-15T00:00:00"/>
    <d v="2025-06-15T00:00:00"/>
    <x v="1"/>
    <n v="3"/>
    <n v="0"/>
    <n v="1260000"/>
    <n v="100"/>
    <s v=""/>
    <s v="East"/>
    <x v="0"/>
    <s v="CRM"/>
    <x v="9"/>
    <x v="3"/>
  </r>
  <r>
    <s v="O01763"/>
    <s v="C0310"/>
    <s v="P001"/>
    <s v="R005"/>
    <d v="2025-06-26T00:00:00"/>
    <d v="2025-07-15T00:00:00"/>
    <d v="2025-07-15T00:00:00"/>
    <x v="1"/>
    <n v="2"/>
    <n v="10"/>
    <n v="216000"/>
    <n v="100"/>
    <s v=""/>
    <s v="South"/>
    <x v="4"/>
    <s v="CRM"/>
    <x v="11"/>
    <x v="2"/>
  </r>
  <r>
    <s v="O01764"/>
    <s v="C0299"/>
    <s v="P001"/>
    <s v="R007"/>
    <d v="2025-12-18T00:00:00"/>
    <d v="2026-03-12T00:00:00"/>
    <m/>
    <x v="2"/>
    <n v="2"/>
    <n v="15"/>
    <n v="204000"/>
    <n v="20"/>
    <s v=""/>
    <s v="North"/>
    <x v="4"/>
    <s v="CRM"/>
    <x v="13"/>
    <x v="0"/>
  </r>
  <r>
    <s v="O01765"/>
    <s v="C0223"/>
    <s v="P001"/>
    <s v="R002"/>
    <d v="2025-06-07T00:00:00"/>
    <d v="2025-06-30T00:00:00"/>
    <d v="2025-06-30T00:00:00"/>
    <x v="0"/>
    <n v="1"/>
    <n v="15"/>
    <n v="102000"/>
    <n v="0"/>
    <s v="No decision"/>
    <s v="South"/>
    <x v="4"/>
    <s v="CRM"/>
    <x v="17"/>
    <x v="2"/>
  </r>
  <r>
    <s v="O01766"/>
    <s v="C0382"/>
    <s v="P004"/>
    <s v="R013"/>
    <d v="2025-01-23T00:00:00"/>
    <d v="2025-03-17T00:00:00"/>
    <d v="2025-03-17T00:00:00"/>
    <x v="1"/>
    <n v="2"/>
    <n v="5"/>
    <n v="570000"/>
    <n v="100"/>
    <s v=""/>
    <s v="West"/>
    <x v="5"/>
    <s v="Analytics"/>
    <x v="5"/>
    <x v="1"/>
  </r>
  <r>
    <s v="O01767"/>
    <s v="C0493"/>
    <s v="P002"/>
    <s v="R008"/>
    <d v="2025-03-19T00:00:00"/>
    <d v="2025-05-14T00:00:00"/>
    <d v="2025-05-14T00:00:00"/>
    <x v="1"/>
    <n v="1"/>
    <n v="0"/>
    <n v="420000"/>
    <n v="100"/>
    <s v=""/>
    <s v="North"/>
    <x v="0"/>
    <s v="CRM"/>
    <x v="0"/>
    <x v="0"/>
  </r>
  <r>
    <s v="O01768"/>
    <s v="C0321"/>
    <s v="P003"/>
    <s v="R017"/>
    <d v="2025-06-19T00:00:00"/>
    <d v="2025-07-07T00:00:00"/>
    <d v="2025-07-07T00:00:00"/>
    <x v="1"/>
    <n v="1"/>
    <n v="0"/>
    <n v="240000"/>
    <n v="100"/>
    <s v=""/>
    <s v="East"/>
    <x v="1"/>
    <s v="Automation"/>
    <x v="19"/>
    <x v="3"/>
  </r>
  <r>
    <s v="O01769"/>
    <s v="C0310"/>
    <s v="P001"/>
    <s v="R002"/>
    <d v="2025-10-24T00:00:00"/>
    <d v="2025-12-03T00:00:00"/>
    <d v="2025-12-03T00:00:00"/>
    <x v="1"/>
    <n v="1"/>
    <n v="0"/>
    <n v="120000"/>
    <n v="100"/>
    <s v=""/>
    <s v="South"/>
    <x v="4"/>
    <s v="CRM"/>
    <x v="17"/>
    <x v="2"/>
  </r>
  <r>
    <s v="O01770"/>
    <s v="C0136"/>
    <s v="P006"/>
    <s v="R007"/>
    <d v="2025-12-15T00:00:00"/>
    <d v="2026-02-19T00:00:00"/>
    <m/>
    <x v="2"/>
    <n v="2"/>
    <n v="20"/>
    <n v="576000"/>
    <n v="40"/>
    <s v=""/>
    <s v="North"/>
    <x v="2"/>
    <s v="Security"/>
    <x v="13"/>
    <x v="0"/>
  </r>
  <r>
    <s v="O01771"/>
    <s v="C0482"/>
    <s v="P005"/>
    <s v="R015"/>
    <d v="2025-02-11T00:00:00"/>
    <d v="2025-02-19T00:00:00"/>
    <d v="2025-02-19T00:00:00"/>
    <x v="0"/>
    <n v="1"/>
    <n v="20"/>
    <n v="144000"/>
    <n v="0"/>
    <s v="Competition"/>
    <s v="West"/>
    <x v="3"/>
    <s v="Service"/>
    <x v="7"/>
    <x v="1"/>
  </r>
  <r>
    <s v="O01772"/>
    <s v="C0243"/>
    <s v="P004"/>
    <s v="R018"/>
    <d v="2025-06-27T00:00:00"/>
    <d v="2025-08-26T00:00:00"/>
    <m/>
    <x v="2"/>
    <n v="1"/>
    <n v="10"/>
    <n v="270000"/>
    <n v="40"/>
    <s v=""/>
    <s v="East"/>
    <x v="5"/>
    <s v="Analytics"/>
    <x v="18"/>
    <x v="3"/>
  </r>
  <r>
    <s v="O01773"/>
    <s v="C0328"/>
    <s v="P003"/>
    <s v="R012"/>
    <d v="2025-06-17T00:00:00"/>
    <d v="2025-08-22T00:00:00"/>
    <d v="2025-08-22T00:00:00"/>
    <x v="1"/>
    <n v="3"/>
    <n v="20"/>
    <n v="576000"/>
    <n v="100"/>
    <s v=""/>
    <s v="West"/>
    <x v="1"/>
    <s v="Automation"/>
    <x v="14"/>
    <x v="1"/>
  </r>
  <r>
    <s v="O01774"/>
    <s v="C0118"/>
    <s v="P005"/>
    <s v="R005"/>
    <d v="2025-04-06T00:00:00"/>
    <d v="2025-06-12T00:00:00"/>
    <d v="2025-06-12T00:00:00"/>
    <x v="0"/>
    <n v="1"/>
    <n v="0"/>
    <n v="180000"/>
    <n v="0"/>
    <s v="No decision"/>
    <s v="South"/>
    <x v="3"/>
    <s v="Service"/>
    <x v="11"/>
    <x v="2"/>
  </r>
  <r>
    <s v="O01775"/>
    <s v="C0371"/>
    <s v="P006"/>
    <s v="R002"/>
    <d v="2025-01-29T00:00:00"/>
    <d v="2025-03-17T00:00:00"/>
    <d v="2025-03-17T00:00:00"/>
    <x v="0"/>
    <n v="1"/>
    <n v="0"/>
    <n v="360000"/>
    <n v="0"/>
    <s v="No decision"/>
    <s v="South"/>
    <x v="2"/>
    <s v="Security"/>
    <x v="17"/>
    <x v="2"/>
  </r>
  <r>
    <s v="O01776"/>
    <s v="C0431"/>
    <s v="P003"/>
    <s v="R001"/>
    <d v="2025-05-12T00:00:00"/>
    <d v="2025-06-21T00:00:00"/>
    <m/>
    <x v="2"/>
    <n v="1"/>
    <n v="0"/>
    <n v="240000"/>
    <n v="20"/>
    <s v=""/>
    <s v="South"/>
    <x v="1"/>
    <s v="Automation"/>
    <x v="6"/>
    <x v="2"/>
  </r>
  <r>
    <s v="O01777"/>
    <s v="C0303"/>
    <s v="P005"/>
    <s v="R009"/>
    <d v="2025-06-06T00:00:00"/>
    <d v="2025-08-11T00:00:00"/>
    <d v="2025-08-11T00:00:00"/>
    <x v="0"/>
    <n v="1"/>
    <n v="10"/>
    <n v="162000"/>
    <n v="0"/>
    <s v="Competition"/>
    <s v="North"/>
    <x v="3"/>
    <s v="Service"/>
    <x v="4"/>
    <x v="0"/>
  </r>
  <r>
    <s v="O01778"/>
    <s v="C0420"/>
    <s v="P002"/>
    <s v="R008"/>
    <d v="2025-10-25T00:00:00"/>
    <d v="2025-11-22T00:00:00"/>
    <m/>
    <x v="2"/>
    <n v="3"/>
    <n v="15"/>
    <n v="1071000"/>
    <n v="80"/>
    <s v=""/>
    <s v="North"/>
    <x v="0"/>
    <s v="CRM"/>
    <x v="0"/>
    <x v="0"/>
  </r>
  <r>
    <s v="O01779"/>
    <s v="C0155"/>
    <s v="P002"/>
    <s v="R018"/>
    <d v="2025-06-04T00:00:00"/>
    <d v="2025-08-13T00:00:00"/>
    <d v="2025-08-13T00:00:00"/>
    <x v="0"/>
    <n v="1"/>
    <n v="20"/>
    <n v="336000"/>
    <n v="0"/>
    <s v="Feature gap"/>
    <s v="East"/>
    <x v="0"/>
    <s v="CRM"/>
    <x v="18"/>
    <x v="3"/>
  </r>
  <r>
    <s v="O01780"/>
    <s v="C0131"/>
    <s v="P002"/>
    <s v="R014"/>
    <d v="2025-08-12T00:00:00"/>
    <d v="2025-09-16T00:00:00"/>
    <m/>
    <x v="2"/>
    <n v="3"/>
    <n v="5"/>
    <n v="1197000"/>
    <n v="80"/>
    <s v=""/>
    <s v="West"/>
    <x v="0"/>
    <s v="CRM"/>
    <x v="1"/>
    <x v="1"/>
  </r>
  <r>
    <s v="O01781"/>
    <s v="C0021"/>
    <s v="P004"/>
    <s v="R006"/>
    <d v="2025-05-29T00:00:00"/>
    <d v="2025-06-20T00:00:00"/>
    <d v="2025-06-20T00:00:00"/>
    <x v="0"/>
    <n v="1"/>
    <n v="20"/>
    <n v="240000"/>
    <n v="0"/>
    <s v="No decision"/>
    <s v="North"/>
    <x v="5"/>
    <s v="Analytics"/>
    <x v="2"/>
    <x v="0"/>
  </r>
  <r>
    <s v="O01782"/>
    <s v="C0002"/>
    <s v="P006"/>
    <s v="R009"/>
    <d v="2025-07-13T00:00:00"/>
    <d v="2025-08-06T00:00:00"/>
    <m/>
    <x v="2"/>
    <n v="1"/>
    <n v="20"/>
    <n v="288000"/>
    <n v="40"/>
    <s v=""/>
    <s v="North"/>
    <x v="2"/>
    <s v="Security"/>
    <x v="4"/>
    <x v="0"/>
  </r>
  <r>
    <s v="O01783"/>
    <s v="C0440"/>
    <s v="P005"/>
    <s v="R014"/>
    <d v="2025-10-03T00:00:00"/>
    <d v="2025-12-20T00:00:00"/>
    <d v="2025-12-20T00:00:00"/>
    <x v="1"/>
    <n v="1"/>
    <n v="15"/>
    <n v="153000"/>
    <n v="100"/>
    <s v=""/>
    <s v="West"/>
    <x v="3"/>
    <s v="Service"/>
    <x v="1"/>
    <x v="1"/>
  </r>
  <r>
    <s v="O01784"/>
    <s v="C0206"/>
    <s v="P006"/>
    <s v="R009"/>
    <d v="2025-01-17T00:00:00"/>
    <d v="2025-04-03T00:00:00"/>
    <m/>
    <x v="2"/>
    <n v="1"/>
    <n v="5"/>
    <n v="342000"/>
    <n v="20"/>
    <s v=""/>
    <s v="North"/>
    <x v="2"/>
    <s v="Security"/>
    <x v="4"/>
    <x v="0"/>
  </r>
  <r>
    <s v="O01785"/>
    <s v="C0450"/>
    <s v="P005"/>
    <s v="R011"/>
    <d v="2025-02-27T00:00:00"/>
    <d v="2025-04-14T00:00:00"/>
    <m/>
    <x v="2"/>
    <n v="2"/>
    <n v="10"/>
    <n v="324000"/>
    <n v="20"/>
    <s v=""/>
    <s v="West"/>
    <x v="3"/>
    <s v="Service"/>
    <x v="12"/>
    <x v="1"/>
  </r>
  <r>
    <s v="O01786"/>
    <s v="C0350"/>
    <s v="P001"/>
    <s v="R009"/>
    <d v="2025-12-29T00:00:00"/>
    <d v="2026-03-17T00:00:00"/>
    <m/>
    <x v="2"/>
    <n v="1"/>
    <n v="15"/>
    <n v="102000"/>
    <n v="60"/>
    <s v=""/>
    <s v="North"/>
    <x v="4"/>
    <s v="CRM"/>
    <x v="4"/>
    <x v="0"/>
  </r>
  <r>
    <s v="O01787"/>
    <s v="C0474"/>
    <s v="P003"/>
    <s v="R015"/>
    <d v="2025-11-17T00:00:00"/>
    <d v="2026-02-05T00:00:00"/>
    <m/>
    <x v="2"/>
    <n v="1"/>
    <n v="5"/>
    <n v="228000"/>
    <n v="20"/>
    <s v=""/>
    <s v="West"/>
    <x v="1"/>
    <s v="Automation"/>
    <x v="7"/>
    <x v="1"/>
  </r>
  <r>
    <s v="O01788"/>
    <s v="C0296"/>
    <s v="P004"/>
    <s v="R012"/>
    <d v="2025-09-08T00:00:00"/>
    <d v="2025-11-08T00:00:00"/>
    <d v="2025-11-08T00:00:00"/>
    <x v="0"/>
    <n v="3"/>
    <n v="15"/>
    <n v="765000"/>
    <n v="0"/>
    <s v="No decision"/>
    <s v="West"/>
    <x v="5"/>
    <s v="Analytics"/>
    <x v="14"/>
    <x v="1"/>
  </r>
  <r>
    <s v="O01789"/>
    <s v="C0305"/>
    <s v="P001"/>
    <s v="R005"/>
    <d v="2025-06-27T00:00:00"/>
    <d v="2025-09-13T00:00:00"/>
    <d v="2025-09-13T00:00:00"/>
    <x v="1"/>
    <n v="1"/>
    <n v="20"/>
    <n v="96000"/>
    <n v="100"/>
    <s v=""/>
    <s v="South"/>
    <x v="4"/>
    <s v="CRM"/>
    <x v="11"/>
    <x v="2"/>
  </r>
  <r>
    <s v="O01790"/>
    <s v="C0416"/>
    <s v="P004"/>
    <s v="R019"/>
    <d v="2025-02-28T00:00:00"/>
    <d v="2025-03-10T00:00:00"/>
    <d v="2025-03-10T00:00:00"/>
    <x v="0"/>
    <n v="1"/>
    <n v="0"/>
    <n v="300000"/>
    <n v="0"/>
    <s v="Price"/>
    <s v="East"/>
    <x v="5"/>
    <s v="Analytics"/>
    <x v="10"/>
    <x v="3"/>
  </r>
  <r>
    <s v="O01791"/>
    <s v="C0384"/>
    <s v="P002"/>
    <s v="R009"/>
    <d v="2025-05-09T00:00:00"/>
    <d v="2025-06-05T00:00:00"/>
    <d v="2025-06-05T00:00:00"/>
    <x v="0"/>
    <n v="1"/>
    <n v="10"/>
    <n v="378000"/>
    <n v="0"/>
    <s v="Price"/>
    <s v="North"/>
    <x v="0"/>
    <s v="CRM"/>
    <x v="4"/>
    <x v="0"/>
  </r>
  <r>
    <s v="O01792"/>
    <s v="C0423"/>
    <s v="P004"/>
    <s v="R005"/>
    <d v="2025-01-10T00:00:00"/>
    <d v="2025-04-04T00:00:00"/>
    <d v="2025-04-04T00:00:00"/>
    <x v="1"/>
    <n v="3"/>
    <n v="0"/>
    <n v="900000"/>
    <n v="100"/>
    <s v=""/>
    <s v="South"/>
    <x v="5"/>
    <s v="Analytics"/>
    <x v="11"/>
    <x v="2"/>
  </r>
  <r>
    <s v="O01793"/>
    <s v="C0300"/>
    <s v="P006"/>
    <s v="R009"/>
    <d v="2025-03-02T00:00:00"/>
    <d v="2025-04-01T00:00:00"/>
    <d v="2025-04-01T00:00:00"/>
    <x v="1"/>
    <n v="1"/>
    <n v="15"/>
    <n v="306000"/>
    <n v="100"/>
    <s v=""/>
    <s v="North"/>
    <x v="2"/>
    <s v="Security"/>
    <x v="4"/>
    <x v="0"/>
  </r>
  <r>
    <s v="O01794"/>
    <s v="C0318"/>
    <s v="P004"/>
    <s v="R001"/>
    <d v="2025-12-07T00:00:00"/>
    <d v="2026-01-29T00:00:00"/>
    <m/>
    <x v="2"/>
    <n v="1"/>
    <n v="15"/>
    <n v="255000"/>
    <n v="40"/>
    <s v=""/>
    <s v="South"/>
    <x v="5"/>
    <s v="Analytics"/>
    <x v="6"/>
    <x v="2"/>
  </r>
  <r>
    <s v="O01795"/>
    <s v="C0348"/>
    <s v="P005"/>
    <s v="R006"/>
    <d v="2025-08-27T00:00:00"/>
    <d v="2025-09-29T00:00:00"/>
    <d v="2025-09-29T00:00:00"/>
    <x v="0"/>
    <n v="1"/>
    <n v="15"/>
    <n v="153000"/>
    <n v="0"/>
    <s v="Feature gap"/>
    <s v="North"/>
    <x v="3"/>
    <s v="Service"/>
    <x v="2"/>
    <x v="0"/>
  </r>
  <r>
    <s v="O01796"/>
    <s v="C0257"/>
    <s v="P004"/>
    <s v="R014"/>
    <d v="2025-10-30T00:00:00"/>
    <d v="2025-12-03T00:00:00"/>
    <d v="2025-12-03T00:00:00"/>
    <x v="1"/>
    <n v="1"/>
    <n v="15"/>
    <n v="255000"/>
    <n v="100"/>
    <s v=""/>
    <s v="West"/>
    <x v="5"/>
    <s v="Analytics"/>
    <x v="1"/>
    <x v="1"/>
  </r>
  <r>
    <s v="O01797"/>
    <s v="C0202"/>
    <s v="P003"/>
    <s v="R003"/>
    <d v="2025-09-23T00:00:00"/>
    <d v="2025-11-18T00:00:00"/>
    <d v="2025-11-18T00:00:00"/>
    <x v="0"/>
    <n v="2"/>
    <n v="20"/>
    <n v="384000"/>
    <n v="0"/>
    <s v="Feature gap"/>
    <s v="South"/>
    <x v="1"/>
    <s v="Automation"/>
    <x v="15"/>
    <x v="2"/>
  </r>
  <r>
    <s v="O01798"/>
    <s v="C0019"/>
    <s v="P006"/>
    <s v="R002"/>
    <d v="2025-05-10T00:00:00"/>
    <d v="2025-07-02T00:00:00"/>
    <d v="2025-07-02T00:00:00"/>
    <x v="1"/>
    <n v="1"/>
    <n v="15"/>
    <n v="306000"/>
    <n v="100"/>
    <s v=""/>
    <s v="South"/>
    <x v="2"/>
    <s v="Security"/>
    <x v="17"/>
    <x v="2"/>
  </r>
  <r>
    <s v="O01799"/>
    <s v="C0204"/>
    <s v="P003"/>
    <s v="R012"/>
    <d v="2025-11-25T00:00:00"/>
    <d v="2026-01-13T00:00:00"/>
    <m/>
    <x v="2"/>
    <n v="1"/>
    <n v="5"/>
    <n v="228000"/>
    <n v="80"/>
    <s v=""/>
    <s v="West"/>
    <x v="1"/>
    <s v="Automation"/>
    <x v="14"/>
    <x v="1"/>
  </r>
  <r>
    <s v="O01800"/>
    <s v="C0274"/>
    <s v="P003"/>
    <s v="R004"/>
    <d v="2025-10-25T00:00:00"/>
    <d v="2026-01-17T00:00:00"/>
    <m/>
    <x v="2"/>
    <n v="1"/>
    <n v="5"/>
    <n v="228000"/>
    <n v="80"/>
    <s v=""/>
    <s v="South"/>
    <x v="1"/>
    <s v="Automation"/>
    <x v="3"/>
    <x v="2"/>
  </r>
  <r>
    <s v="O01801"/>
    <s v="C0451"/>
    <s v="P004"/>
    <s v="R007"/>
    <d v="2025-04-01T00:00:00"/>
    <d v="2025-05-10T00:00:00"/>
    <m/>
    <x v="2"/>
    <n v="1"/>
    <n v="10"/>
    <n v="270000"/>
    <n v="20"/>
    <s v=""/>
    <s v="North"/>
    <x v="5"/>
    <s v="Analytics"/>
    <x v="13"/>
    <x v="0"/>
  </r>
  <r>
    <s v="O01802"/>
    <s v="C0232"/>
    <s v="P006"/>
    <s v="R015"/>
    <d v="2025-08-10T00:00:00"/>
    <d v="2025-09-23T00:00:00"/>
    <d v="2025-09-23T00:00:00"/>
    <x v="1"/>
    <n v="2"/>
    <n v="15"/>
    <n v="612000"/>
    <n v="100"/>
    <s v=""/>
    <s v="West"/>
    <x v="2"/>
    <s v="Security"/>
    <x v="7"/>
    <x v="1"/>
  </r>
  <r>
    <s v="O01803"/>
    <s v="C0305"/>
    <s v="P002"/>
    <s v="R001"/>
    <d v="2025-12-29T00:00:00"/>
    <d v="2026-03-19T00:00:00"/>
    <m/>
    <x v="2"/>
    <n v="1"/>
    <n v="0"/>
    <n v="420000"/>
    <n v="20"/>
    <s v=""/>
    <s v="South"/>
    <x v="0"/>
    <s v="CRM"/>
    <x v="6"/>
    <x v="2"/>
  </r>
  <r>
    <s v="O01804"/>
    <s v="C0248"/>
    <s v="P005"/>
    <s v="R001"/>
    <d v="2025-12-16T00:00:00"/>
    <d v="2026-02-02T00:00:00"/>
    <m/>
    <x v="2"/>
    <n v="1"/>
    <n v="15"/>
    <n v="153000"/>
    <n v="60"/>
    <s v=""/>
    <s v="South"/>
    <x v="3"/>
    <s v="Service"/>
    <x v="6"/>
    <x v="2"/>
  </r>
  <r>
    <s v="O01805"/>
    <s v="C0129"/>
    <s v="P002"/>
    <s v="R008"/>
    <d v="2025-08-17T00:00:00"/>
    <d v="2025-10-10T00:00:00"/>
    <m/>
    <x v="2"/>
    <n v="1"/>
    <n v="15"/>
    <n v="357000"/>
    <n v="40"/>
    <s v=""/>
    <s v="North"/>
    <x v="0"/>
    <s v="CRM"/>
    <x v="0"/>
    <x v="0"/>
  </r>
  <r>
    <s v="O01806"/>
    <s v="C0241"/>
    <s v="P003"/>
    <s v="R009"/>
    <d v="2025-08-29T00:00:00"/>
    <d v="2025-09-15T00:00:00"/>
    <d v="2025-09-15T00:00:00"/>
    <x v="1"/>
    <n v="3"/>
    <n v="0"/>
    <n v="720000"/>
    <n v="100"/>
    <s v=""/>
    <s v="North"/>
    <x v="1"/>
    <s v="Automation"/>
    <x v="4"/>
    <x v="0"/>
  </r>
  <r>
    <s v="O01807"/>
    <s v="C0237"/>
    <s v="P003"/>
    <s v="R013"/>
    <d v="2025-11-03T00:00:00"/>
    <d v="2026-01-15T00:00:00"/>
    <m/>
    <x v="2"/>
    <n v="1"/>
    <n v="0"/>
    <n v="240000"/>
    <n v="40"/>
    <s v=""/>
    <s v="West"/>
    <x v="1"/>
    <s v="Automation"/>
    <x v="5"/>
    <x v="1"/>
  </r>
  <r>
    <s v="O01808"/>
    <s v="C0251"/>
    <s v="P005"/>
    <s v="R016"/>
    <d v="2025-01-23T00:00:00"/>
    <d v="2025-03-22T00:00:00"/>
    <d v="2025-03-22T00:00:00"/>
    <x v="0"/>
    <n v="1"/>
    <n v="0"/>
    <n v="180000"/>
    <n v="0"/>
    <s v="No decision"/>
    <s v="East"/>
    <x v="3"/>
    <s v="Service"/>
    <x v="8"/>
    <x v="3"/>
  </r>
  <r>
    <s v="O01809"/>
    <s v="C0272"/>
    <s v="P006"/>
    <s v="R008"/>
    <d v="2025-09-20T00:00:00"/>
    <d v="2025-09-28T00:00:00"/>
    <m/>
    <x v="2"/>
    <n v="1"/>
    <n v="10"/>
    <n v="324000"/>
    <n v="60"/>
    <s v=""/>
    <s v="North"/>
    <x v="2"/>
    <s v="Security"/>
    <x v="0"/>
    <x v="0"/>
  </r>
  <r>
    <s v="O01810"/>
    <s v="C0097"/>
    <s v="P001"/>
    <s v="R009"/>
    <d v="2025-10-11T00:00:00"/>
    <d v="2025-12-21T00:00:00"/>
    <m/>
    <x v="2"/>
    <n v="1"/>
    <n v="15"/>
    <n v="102000"/>
    <n v="60"/>
    <s v=""/>
    <s v="North"/>
    <x v="4"/>
    <s v="CRM"/>
    <x v="4"/>
    <x v="0"/>
  </r>
  <r>
    <s v="O01811"/>
    <s v="C0137"/>
    <s v="P001"/>
    <s v="R005"/>
    <d v="2025-10-15T00:00:00"/>
    <d v="2025-12-01T00:00:00"/>
    <d v="2025-12-01T00:00:00"/>
    <x v="0"/>
    <n v="3"/>
    <n v="5"/>
    <n v="342000"/>
    <n v="0"/>
    <s v="Competition"/>
    <s v="South"/>
    <x v="4"/>
    <s v="CRM"/>
    <x v="11"/>
    <x v="2"/>
  </r>
  <r>
    <s v="O01812"/>
    <s v="C0217"/>
    <s v="P005"/>
    <s v="R020"/>
    <d v="2025-01-28T00:00:00"/>
    <d v="2025-03-22T00:00:00"/>
    <d v="2025-03-22T00:00:00"/>
    <x v="1"/>
    <n v="1"/>
    <n v="5"/>
    <n v="171000"/>
    <n v="100"/>
    <s v=""/>
    <s v="East"/>
    <x v="3"/>
    <s v="Service"/>
    <x v="9"/>
    <x v="3"/>
  </r>
  <r>
    <s v="O01813"/>
    <s v="C0492"/>
    <s v="P005"/>
    <s v="R012"/>
    <d v="2025-05-06T00:00:00"/>
    <d v="2025-07-03T00:00:00"/>
    <d v="2025-07-03T00:00:00"/>
    <x v="0"/>
    <n v="1"/>
    <n v="10"/>
    <n v="162000"/>
    <n v="0"/>
    <s v="Competition"/>
    <s v="West"/>
    <x v="3"/>
    <s v="Service"/>
    <x v="14"/>
    <x v="1"/>
  </r>
  <r>
    <s v="O01814"/>
    <s v="C0141"/>
    <s v="P001"/>
    <s v="R002"/>
    <d v="2025-12-16T00:00:00"/>
    <d v="2026-01-12T00:00:00"/>
    <m/>
    <x v="2"/>
    <n v="1"/>
    <n v="0"/>
    <n v="120000"/>
    <n v="40"/>
    <s v=""/>
    <s v="South"/>
    <x v="4"/>
    <s v="CRM"/>
    <x v="17"/>
    <x v="2"/>
  </r>
  <r>
    <s v="O01815"/>
    <s v="C0359"/>
    <s v="P001"/>
    <s v="R014"/>
    <d v="2025-09-22T00:00:00"/>
    <d v="2025-10-06T00:00:00"/>
    <d v="2025-10-06T00:00:00"/>
    <x v="1"/>
    <n v="1"/>
    <n v="20"/>
    <n v="96000"/>
    <n v="100"/>
    <s v=""/>
    <s v="West"/>
    <x v="4"/>
    <s v="CRM"/>
    <x v="1"/>
    <x v="1"/>
  </r>
  <r>
    <s v="O01816"/>
    <s v="C0272"/>
    <s v="P003"/>
    <s v="R009"/>
    <d v="2025-04-22T00:00:00"/>
    <d v="2025-06-13T00:00:00"/>
    <m/>
    <x v="2"/>
    <n v="2"/>
    <n v="15"/>
    <n v="408000"/>
    <n v="80"/>
    <s v=""/>
    <s v="North"/>
    <x v="1"/>
    <s v="Automation"/>
    <x v="4"/>
    <x v="0"/>
  </r>
  <r>
    <s v="O01817"/>
    <s v="C0270"/>
    <s v="P001"/>
    <s v="R003"/>
    <d v="2025-02-13T00:00:00"/>
    <d v="2025-04-23T00:00:00"/>
    <d v="2025-04-23T00:00:00"/>
    <x v="0"/>
    <n v="1"/>
    <n v="5"/>
    <n v="114000"/>
    <n v="0"/>
    <s v="No decision"/>
    <s v="South"/>
    <x v="4"/>
    <s v="CRM"/>
    <x v="15"/>
    <x v="2"/>
  </r>
  <r>
    <s v="O01818"/>
    <s v="C0402"/>
    <s v="P005"/>
    <s v="R016"/>
    <d v="2025-06-22T00:00:00"/>
    <d v="2025-09-12T00:00:00"/>
    <m/>
    <x v="2"/>
    <n v="1"/>
    <n v="5"/>
    <n v="171000"/>
    <n v="20"/>
    <s v=""/>
    <s v="East"/>
    <x v="3"/>
    <s v="Service"/>
    <x v="8"/>
    <x v="3"/>
  </r>
  <r>
    <s v="O01819"/>
    <s v="C0135"/>
    <s v="P006"/>
    <s v="R015"/>
    <d v="2025-08-21T00:00:00"/>
    <d v="2025-10-10T00:00:00"/>
    <d v="2025-10-10T00:00:00"/>
    <x v="0"/>
    <n v="1"/>
    <n v="10"/>
    <n v="324000"/>
    <n v="0"/>
    <s v="Feature gap"/>
    <s v="West"/>
    <x v="2"/>
    <s v="Security"/>
    <x v="7"/>
    <x v="1"/>
  </r>
  <r>
    <s v="O01820"/>
    <s v="C0070"/>
    <s v="P006"/>
    <s v="R008"/>
    <d v="2025-05-28T00:00:00"/>
    <d v="2025-07-11T00:00:00"/>
    <d v="2025-07-11T00:00:00"/>
    <x v="0"/>
    <n v="1"/>
    <n v="5"/>
    <n v="342000"/>
    <n v="0"/>
    <s v="Price"/>
    <s v="North"/>
    <x v="2"/>
    <s v="Security"/>
    <x v="0"/>
    <x v="0"/>
  </r>
  <r>
    <s v="O01821"/>
    <s v="C0388"/>
    <s v="P006"/>
    <s v="R007"/>
    <d v="2025-12-06T00:00:00"/>
    <d v="2026-02-07T00:00:00"/>
    <m/>
    <x v="2"/>
    <n v="1"/>
    <n v="10"/>
    <n v="324000"/>
    <n v="80"/>
    <s v=""/>
    <s v="North"/>
    <x v="2"/>
    <s v="Security"/>
    <x v="13"/>
    <x v="0"/>
  </r>
  <r>
    <s v="O01822"/>
    <s v="C0076"/>
    <s v="P003"/>
    <s v="R015"/>
    <d v="2025-05-08T00:00:00"/>
    <d v="2025-07-14T00:00:00"/>
    <d v="2025-07-14T00:00:00"/>
    <x v="0"/>
    <n v="3"/>
    <n v="0"/>
    <n v="720000"/>
    <n v="0"/>
    <s v="No decision"/>
    <s v="West"/>
    <x v="1"/>
    <s v="Automation"/>
    <x v="7"/>
    <x v="1"/>
  </r>
  <r>
    <s v="O01823"/>
    <s v="C0292"/>
    <s v="P006"/>
    <s v="R019"/>
    <d v="2025-08-25T00:00:00"/>
    <d v="2025-09-14T00:00:00"/>
    <m/>
    <x v="2"/>
    <n v="2"/>
    <n v="15"/>
    <n v="612000"/>
    <n v="40"/>
    <s v=""/>
    <s v="East"/>
    <x v="2"/>
    <s v="Security"/>
    <x v="10"/>
    <x v="3"/>
  </r>
  <r>
    <s v="O01824"/>
    <s v="C0114"/>
    <s v="P003"/>
    <s v="R011"/>
    <d v="2025-03-28T00:00:00"/>
    <d v="2025-05-29T00:00:00"/>
    <m/>
    <x v="2"/>
    <n v="2"/>
    <n v="10"/>
    <n v="432000"/>
    <n v="20"/>
    <s v=""/>
    <s v="West"/>
    <x v="1"/>
    <s v="Automation"/>
    <x v="12"/>
    <x v="1"/>
  </r>
  <r>
    <s v="O01825"/>
    <s v="C0486"/>
    <s v="P001"/>
    <s v="R007"/>
    <d v="2025-05-22T00:00:00"/>
    <d v="2025-06-04T00:00:00"/>
    <d v="2025-06-04T00:00:00"/>
    <x v="1"/>
    <n v="1"/>
    <n v="10"/>
    <n v="108000"/>
    <n v="100"/>
    <s v=""/>
    <s v="North"/>
    <x v="4"/>
    <s v="CRM"/>
    <x v="13"/>
    <x v="0"/>
  </r>
  <r>
    <s v="O01826"/>
    <s v="C0411"/>
    <s v="P002"/>
    <s v="R011"/>
    <d v="2025-08-06T00:00:00"/>
    <d v="2025-09-09T00:00:00"/>
    <m/>
    <x v="2"/>
    <n v="1"/>
    <n v="10"/>
    <n v="378000"/>
    <n v="80"/>
    <s v=""/>
    <s v="West"/>
    <x v="0"/>
    <s v="CRM"/>
    <x v="12"/>
    <x v="1"/>
  </r>
  <r>
    <s v="O01827"/>
    <s v="C0046"/>
    <s v="P003"/>
    <s v="R013"/>
    <d v="2025-12-15T00:00:00"/>
    <d v="2026-02-01T00:00:00"/>
    <m/>
    <x v="2"/>
    <n v="1"/>
    <n v="0"/>
    <n v="240000"/>
    <n v="80"/>
    <s v=""/>
    <s v="West"/>
    <x v="1"/>
    <s v="Automation"/>
    <x v="5"/>
    <x v="1"/>
  </r>
  <r>
    <s v="O01828"/>
    <s v="C0349"/>
    <s v="P004"/>
    <s v="R001"/>
    <d v="2025-09-26T00:00:00"/>
    <d v="2025-12-08T00:00:00"/>
    <d v="2025-12-08T00:00:00"/>
    <x v="0"/>
    <n v="3"/>
    <n v="20"/>
    <n v="720000"/>
    <n v="0"/>
    <s v="Price"/>
    <s v="South"/>
    <x v="5"/>
    <s v="Analytics"/>
    <x v="6"/>
    <x v="2"/>
  </r>
  <r>
    <s v="O01829"/>
    <s v="C0041"/>
    <s v="P001"/>
    <s v="R001"/>
    <d v="2025-07-09T00:00:00"/>
    <d v="2025-08-07T00:00:00"/>
    <m/>
    <x v="2"/>
    <n v="1"/>
    <n v="5"/>
    <n v="114000"/>
    <n v="80"/>
    <s v=""/>
    <s v="South"/>
    <x v="4"/>
    <s v="CRM"/>
    <x v="6"/>
    <x v="2"/>
  </r>
  <r>
    <s v="O01830"/>
    <s v="C0125"/>
    <s v="P004"/>
    <s v="R005"/>
    <d v="2025-01-22T00:00:00"/>
    <d v="2025-01-29T00:00:00"/>
    <d v="2025-01-29T00:00:00"/>
    <x v="1"/>
    <n v="1"/>
    <n v="20"/>
    <n v="240000"/>
    <n v="100"/>
    <s v=""/>
    <s v="South"/>
    <x v="5"/>
    <s v="Analytics"/>
    <x v="11"/>
    <x v="2"/>
  </r>
  <r>
    <s v="O01831"/>
    <s v="C0051"/>
    <s v="P004"/>
    <s v="R014"/>
    <d v="2025-08-10T00:00:00"/>
    <d v="2025-09-20T00:00:00"/>
    <d v="2025-09-20T00:00:00"/>
    <x v="0"/>
    <n v="1"/>
    <n v="0"/>
    <n v="300000"/>
    <n v="0"/>
    <s v="Budget"/>
    <s v="West"/>
    <x v="5"/>
    <s v="Analytics"/>
    <x v="1"/>
    <x v="1"/>
  </r>
  <r>
    <s v="O01832"/>
    <s v="C0247"/>
    <s v="P003"/>
    <s v="R007"/>
    <d v="2025-07-31T00:00:00"/>
    <d v="2025-08-10T00:00:00"/>
    <d v="2025-08-10T00:00:00"/>
    <x v="1"/>
    <n v="1"/>
    <n v="15"/>
    <n v="204000"/>
    <n v="100"/>
    <s v=""/>
    <s v="North"/>
    <x v="1"/>
    <s v="Automation"/>
    <x v="13"/>
    <x v="0"/>
  </r>
  <r>
    <s v="O01833"/>
    <s v="C0048"/>
    <s v="P006"/>
    <s v="R005"/>
    <d v="2025-08-31T00:00:00"/>
    <d v="2025-10-15T00:00:00"/>
    <d v="2025-10-15T00:00:00"/>
    <x v="0"/>
    <n v="1"/>
    <n v="20"/>
    <n v="288000"/>
    <n v="0"/>
    <s v="Budget"/>
    <s v="South"/>
    <x v="2"/>
    <s v="Security"/>
    <x v="11"/>
    <x v="2"/>
  </r>
  <r>
    <s v="O01834"/>
    <s v="C0415"/>
    <s v="P003"/>
    <s v="R003"/>
    <d v="2025-08-12T00:00:00"/>
    <d v="2025-09-06T00:00:00"/>
    <d v="2025-09-06T00:00:00"/>
    <x v="0"/>
    <n v="1"/>
    <n v="20"/>
    <n v="192000"/>
    <n v="0"/>
    <s v="Price"/>
    <s v="South"/>
    <x v="1"/>
    <s v="Automation"/>
    <x v="15"/>
    <x v="2"/>
  </r>
  <r>
    <s v="O01835"/>
    <s v="C0393"/>
    <s v="P005"/>
    <s v="R004"/>
    <d v="2025-07-19T00:00:00"/>
    <d v="2025-09-30T00:00:00"/>
    <d v="2025-09-30T00:00:00"/>
    <x v="0"/>
    <n v="1"/>
    <n v="0"/>
    <n v="180000"/>
    <n v="0"/>
    <s v="Competition"/>
    <s v="South"/>
    <x v="3"/>
    <s v="Service"/>
    <x v="3"/>
    <x v="2"/>
  </r>
  <r>
    <s v="O01836"/>
    <s v="C0116"/>
    <s v="P004"/>
    <s v="R007"/>
    <d v="2025-04-28T00:00:00"/>
    <d v="2025-07-15T00:00:00"/>
    <d v="2025-07-15T00:00:00"/>
    <x v="0"/>
    <n v="1"/>
    <n v="0"/>
    <n v="300000"/>
    <n v="0"/>
    <s v="Price"/>
    <s v="North"/>
    <x v="5"/>
    <s v="Analytics"/>
    <x v="13"/>
    <x v="0"/>
  </r>
  <r>
    <s v="O01837"/>
    <s v="C0027"/>
    <s v="P003"/>
    <s v="R018"/>
    <d v="2025-06-17T00:00:00"/>
    <d v="2025-08-04T00:00:00"/>
    <d v="2025-08-04T00:00:00"/>
    <x v="0"/>
    <n v="2"/>
    <n v="15"/>
    <n v="408000"/>
    <n v="0"/>
    <s v="No decision"/>
    <s v="East"/>
    <x v="1"/>
    <s v="Automation"/>
    <x v="18"/>
    <x v="3"/>
  </r>
  <r>
    <s v="O01838"/>
    <s v="C0131"/>
    <s v="P005"/>
    <s v="R013"/>
    <d v="2025-04-20T00:00:00"/>
    <d v="2025-05-25T00:00:00"/>
    <m/>
    <x v="2"/>
    <n v="1"/>
    <n v="15"/>
    <n v="153000"/>
    <n v="20"/>
    <s v=""/>
    <s v="West"/>
    <x v="3"/>
    <s v="Service"/>
    <x v="5"/>
    <x v="1"/>
  </r>
  <r>
    <s v="O01839"/>
    <s v="C0078"/>
    <s v="P001"/>
    <s v="R005"/>
    <d v="2025-08-09T00:00:00"/>
    <d v="2025-10-13T00:00:00"/>
    <d v="2025-10-13T00:00:00"/>
    <x v="0"/>
    <n v="1"/>
    <n v="10"/>
    <n v="108000"/>
    <n v="0"/>
    <s v="Price"/>
    <s v="South"/>
    <x v="4"/>
    <s v="CRM"/>
    <x v="11"/>
    <x v="2"/>
  </r>
  <r>
    <s v="O01840"/>
    <s v="C0210"/>
    <s v="P003"/>
    <s v="R011"/>
    <d v="2025-05-01T00:00:00"/>
    <d v="2025-07-17T00:00:00"/>
    <d v="2025-07-17T00:00:00"/>
    <x v="1"/>
    <n v="1"/>
    <n v="0"/>
    <n v="240000"/>
    <n v="100"/>
    <s v=""/>
    <s v="West"/>
    <x v="1"/>
    <s v="Automation"/>
    <x v="12"/>
    <x v="1"/>
  </r>
  <r>
    <s v="O01841"/>
    <s v="C0344"/>
    <s v="P005"/>
    <s v="R011"/>
    <d v="2025-05-23T00:00:00"/>
    <d v="2025-06-25T00:00:00"/>
    <d v="2025-06-25T00:00:00"/>
    <x v="1"/>
    <n v="3"/>
    <n v="0"/>
    <n v="540000"/>
    <n v="100"/>
    <s v=""/>
    <s v="West"/>
    <x v="3"/>
    <s v="Service"/>
    <x v="12"/>
    <x v="1"/>
  </r>
  <r>
    <s v="O01842"/>
    <s v="C0236"/>
    <s v="P006"/>
    <s v="R013"/>
    <d v="2025-10-25T00:00:00"/>
    <d v="2025-12-23T00:00:00"/>
    <m/>
    <x v="2"/>
    <n v="1"/>
    <n v="20"/>
    <n v="288000"/>
    <n v="20"/>
    <s v=""/>
    <s v="West"/>
    <x v="2"/>
    <s v="Security"/>
    <x v="5"/>
    <x v="1"/>
  </r>
  <r>
    <s v="O01843"/>
    <s v="C0111"/>
    <s v="P003"/>
    <s v="R015"/>
    <d v="2025-04-10T00:00:00"/>
    <d v="2025-04-17T00:00:00"/>
    <d v="2025-04-17T00:00:00"/>
    <x v="1"/>
    <n v="2"/>
    <n v="15"/>
    <n v="408000"/>
    <n v="100"/>
    <s v=""/>
    <s v="West"/>
    <x v="1"/>
    <s v="Automation"/>
    <x v="7"/>
    <x v="1"/>
  </r>
  <r>
    <s v="O01844"/>
    <s v="C0385"/>
    <s v="P002"/>
    <s v="R007"/>
    <d v="2025-02-25T00:00:00"/>
    <d v="2025-05-18T00:00:00"/>
    <d v="2025-05-18T00:00:00"/>
    <x v="0"/>
    <n v="2"/>
    <n v="10"/>
    <n v="756000"/>
    <n v="0"/>
    <s v="Competition"/>
    <s v="North"/>
    <x v="0"/>
    <s v="CRM"/>
    <x v="13"/>
    <x v="0"/>
  </r>
  <r>
    <s v="O01845"/>
    <s v="C0092"/>
    <s v="P004"/>
    <s v="R009"/>
    <d v="2025-07-30T00:00:00"/>
    <d v="2025-08-11T00:00:00"/>
    <d v="2025-08-11T00:00:00"/>
    <x v="0"/>
    <n v="1"/>
    <n v="5"/>
    <n v="285000"/>
    <n v="0"/>
    <s v="No decision"/>
    <s v="North"/>
    <x v="5"/>
    <s v="Analytics"/>
    <x v="4"/>
    <x v="0"/>
  </r>
  <r>
    <s v="O01846"/>
    <s v="C0391"/>
    <s v="P002"/>
    <s v="R008"/>
    <d v="2025-08-21T00:00:00"/>
    <d v="2025-10-10T00:00:00"/>
    <d v="2025-10-10T00:00:00"/>
    <x v="1"/>
    <n v="1"/>
    <n v="15"/>
    <n v="357000"/>
    <n v="100"/>
    <s v=""/>
    <s v="North"/>
    <x v="0"/>
    <s v="CRM"/>
    <x v="0"/>
    <x v="0"/>
  </r>
  <r>
    <s v="O01847"/>
    <s v="C0371"/>
    <s v="P003"/>
    <s v="R001"/>
    <d v="2025-01-04T00:00:00"/>
    <d v="2025-02-25T00:00:00"/>
    <d v="2025-02-25T00:00:00"/>
    <x v="1"/>
    <n v="2"/>
    <n v="20"/>
    <n v="384000"/>
    <n v="100"/>
    <s v=""/>
    <s v="South"/>
    <x v="1"/>
    <s v="Automation"/>
    <x v="6"/>
    <x v="2"/>
  </r>
  <r>
    <s v="O01848"/>
    <s v="C0396"/>
    <s v="P001"/>
    <s v="R007"/>
    <d v="2025-02-12T00:00:00"/>
    <d v="2025-03-02T00:00:00"/>
    <d v="2025-03-02T00:00:00"/>
    <x v="0"/>
    <n v="2"/>
    <n v="15"/>
    <n v="204000"/>
    <n v="0"/>
    <s v="Competition"/>
    <s v="North"/>
    <x v="4"/>
    <s v="CRM"/>
    <x v="13"/>
    <x v="0"/>
  </r>
  <r>
    <s v="O01849"/>
    <s v="C0145"/>
    <s v="P006"/>
    <s v="R020"/>
    <d v="2025-12-25T00:00:00"/>
    <d v="2026-01-11T00:00:00"/>
    <m/>
    <x v="2"/>
    <n v="2"/>
    <n v="10"/>
    <n v="648000"/>
    <n v="80"/>
    <s v=""/>
    <s v="East"/>
    <x v="2"/>
    <s v="Security"/>
    <x v="9"/>
    <x v="3"/>
  </r>
  <r>
    <s v="O01850"/>
    <s v="C0362"/>
    <s v="P005"/>
    <s v="R007"/>
    <d v="2025-01-17T00:00:00"/>
    <d v="2025-02-15T00:00:00"/>
    <d v="2025-02-15T00:00:00"/>
    <x v="1"/>
    <n v="2"/>
    <n v="10"/>
    <n v="324000"/>
    <n v="100"/>
    <s v=""/>
    <s v="North"/>
    <x v="3"/>
    <s v="Service"/>
    <x v="13"/>
    <x v="0"/>
  </r>
  <r>
    <s v="O01851"/>
    <s v="C0364"/>
    <s v="P003"/>
    <s v="R005"/>
    <d v="2025-09-16T00:00:00"/>
    <d v="2025-11-02T00:00:00"/>
    <d v="2025-11-02T00:00:00"/>
    <x v="1"/>
    <n v="1"/>
    <n v="0"/>
    <n v="240000"/>
    <n v="100"/>
    <s v=""/>
    <s v="South"/>
    <x v="1"/>
    <s v="Automation"/>
    <x v="11"/>
    <x v="2"/>
  </r>
  <r>
    <s v="O01852"/>
    <s v="C0004"/>
    <s v="P003"/>
    <s v="R004"/>
    <d v="2025-12-29T00:00:00"/>
    <d v="2026-02-12T00:00:00"/>
    <m/>
    <x v="2"/>
    <n v="1"/>
    <n v="15"/>
    <n v="204000"/>
    <n v="20"/>
    <s v=""/>
    <s v="South"/>
    <x v="1"/>
    <s v="Automation"/>
    <x v="3"/>
    <x v="2"/>
  </r>
  <r>
    <s v="O01853"/>
    <s v="C0120"/>
    <s v="P004"/>
    <s v="R009"/>
    <d v="2025-01-17T00:00:00"/>
    <d v="2025-02-11T00:00:00"/>
    <d v="2025-02-11T00:00:00"/>
    <x v="0"/>
    <n v="1"/>
    <n v="15"/>
    <n v="255000"/>
    <n v="0"/>
    <s v="Budget"/>
    <s v="North"/>
    <x v="5"/>
    <s v="Analytics"/>
    <x v="4"/>
    <x v="0"/>
  </r>
  <r>
    <s v="O01854"/>
    <s v="C0329"/>
    <s v="P005"/>
    <s v="R008"/>
    <d v="2025-07-14T00:00:00"/>
    <d v="2025-09-17T00:00:00"/>
    <d v="2025-09-17T00:00:00"/>
    <x v="0"/>
    <n v="2"/>
    <n v="20"/>
    <n v="288000"/>
    <n v="0"/>
    <s v="Budget"/>
    <s v="North"/>
    <x v="3"/>
    <s v="Service"/>
    <x v="0"/>
    <x v="0"/>
  </r>
  <r>
    <s v="O01855"/>
    <s v="C0397"/>
    <s v="P005"/>
    <s v="R017"/>
    <d v="2025-01-16T00:00:00"/>
    <d v="2025-01-31T00:00:00"/>
    <m/>
    <x v="2"/>
    <n v="1"/>
    <n v="10"/>
    <n v="162000"/>
    <n v="60"/>
    <s v=""/>
    <s v="East"/>
    <x v="3"/>
    <s v="Service"/>
    <x v="19"/>
    <x v="3"/>
  </r>
  <r>
    <s v="O01856"/>
    <s v="C0334"/>
    <s v="P001"/>
    <s v="R014"/>
    <d v="2025-10-29T00:00:00"/>
    <d v="2025-12-23T00:00:00"/>
    <d v="2025-12-23T00:00:00"/>
    <x v="1"/>
    <n v="1"/>
    <n v="15"/>
    <n v="102000"/>
    <n v="100"/>
    <s v=""/>
    <s v="West"/>
    <x v="4"/>
    <s v="CRM"/>
    <x v="1"/>
    <x v="1"/>
  </r>
  <r>
    <s v="O01857"/>
    <s v="C0172"/>
    <s v="P005"/>
    <s v="R007"/>
    <d v="2025-07-08T00:00:00"/>
    <d v="2025-09-16T00:00:00"/>
    <d v="2025-09-16T00:00:00"/>
    <x v="0"/>
    <n v="2"/>
    <n v="10"/>
    <n v="324000"/>
    <n v="0"/>
    <s v="Feature gap"/>
    <s v="North"/>
    <x v="3"/>
    <s v="Service"/>
    <x v="13"/>
    <x v="0"/>
  </r>
  <r>
    <s v="O01858"/>
    <s v="C0298"/>
    <s v="P006"/>
    <s v="R002"/>
    <d v="2025-07-30T00:00:00"/>
    <d v="2025-08-22T00:00:00"/>
    <d v="2025-08-22T00:00:00"/>
    <x v="1"/>
    <n v="2"/>
    <n v="0"/>
    <n v="720000"/>
    <n v="100"/>
    <s v=""/>
    <s v="South"/>
    <x v="2"/>
    <s v="Security"/>
    <x v="17"/>
    <x v="2"/>
  </r>
  <r>
    <s v="O01859"/>
    <s v="C0418"/>
    <s v="P005"/>
    <s v="R016"/>
    <d v="2025-12-01T00:00:00"/>
    <d v="2025-12-14T00:00:00"/>
    <d v="2025-12-14T00:00:00"/>
    <x v="0"/>
    <n v="1"/>
    <n v="5"/>
    <n v="171000"/>
    <n v="0"/>
    <s v="No decision"/>
    <s v="East"/>
    <x v="3"/>
    <s v="Service"/>
    <x v="8"/>
    <x v="3"/>
  </r>
  <r>
    <s v="O01860"/>
    <s v="C0402"/>
    <s v="P001"/>
    <s v="R016"/>
    <d v="2025-05-23T00:00:00"/>
    <d v="2025-07-28T00:00:00"/>
    <d v="2025-07-28T00:00:00"/>
    <x v="0"/>
    <n v="1"/>
    <n v="15"/>
    <n v="102000"/>
    <n v="0"/>
    <s v="Price"/>
    <s v="East"/>
    <x v="4"/>
    <s v="CRM"/>
    <x v="8"/>
    <x v="3"/>
  </r>
  <r>
    <s v="O01861"/>
    <s v="C0015"/>
    <s v="P004"/>
    <s v="R004"/>
    <d v="2025-04-14T00:00:00"/>
    <d v="2025-07-06T00:00:00"/>
    <d v="2025-07-06T00:00:00"/>
    <x v="0"/>
    <n v="1"/>
    <n v="15"/>
    <n v="255000"/>
    <n v="0"/>
    <s v="Feature gap"/>
    <s v="South"/>
    <x v="5"/>
    <s v="Analytics"/>
    <x v="3"/>
    <x v="2"/>
  </r>
  <r>
    <s v="O01862"/>
    <s v="C0427"/>
    <s v="P005"/>
    <s v="R009"/>
    <d v="2025-05-25T00:00:00"/>
    <d v="2025-08-18T00:00:00"/>
    <d v="2025-08-18T00:00:00"/>
    <x v="0"/>
    <n v="1"/>
    <n v="10"/>
    <n v="162000"/>
    <n v="0"/>
    <s v="Price"/>
    <s v="North"/>
    <x v="3"/>
    <s v="Service"/>
    <x v="4"/>
    <x v="0"/>
  </r>
  <r>
    <s v="O01863"/>
    <s v="C0067"/>
    <s v="P006"/>
    <s v="R016"/>
    <d v="2025-09-08T00:00:00"/>
    <d v="2025-10-18T00:00:00"/>
    <d v="2025-10-18T00:00:00"/>
    <x v="0"/>
    <n v="3"/>
    <n v="15"/>
    <n v="918000"/>
    <n v="0"/>
    <s v="No decision"/>
    <s v="East"/>
    <x v="2"/>
    <s v="Security"/>
    <x v="8"/>
    <x v="3"/>
  </r>
  <r>
    <s v="O01864"/>
    <s v="C0297"/>
    <s v="P005"/>
    <s v="R004"/>
    <d v="2025-03-05T00:00:00"/>
    <d v="2025-03-30T00:00:00"/>
    <d v="2025-03-30T00:00:00"/>
    <x v="1"/>
    <n v="1"/>
    <n v="0"/>
    <n v="180000"/>
    <n v="100"/>
    <s v=""/>
    <s v="South"/>
    <x v="3"/>
    <s v="Service"/>
    <x v="3"/>
    <x v="2"/>
  </r>
  <r>
    <s v="O01865"/>
    <s v="C0077"/>
    <s v="P004"/>
    <s v="R014"/>
    <d v="2025-02-27T00:00:00"/>
    <d v="2025-05-17T00:00:00"/>
    <d v="2025-05-17T00:00:00"/>
    <x v="0"/>
    <n v="2"/>
    <n v="20"/>
    <n v="480000"/>
    <n v="0"/>
    <s v="Competition"/>
    <s v="West"/>
    <x v="5"/>
    <s v="Analytics"/>
    <x v="1"/>
    <x v="1"/>
  </r>
  <r>
    <s v="O01866"/>
    <s v="C0202"/>
    <s v="P005"/>
    <s v="R002"/>
    <d v="2025-09-21T00:00:00"/>
    <d v="2025-11-28T00:00:00"/>
    <m/>
    <x v="2"/>
    <n v="1"/>
    <n v="5"/>
    <n v="171000"/>
    <n v="40"/>
    <s v=""/>
    <s v="South"/>
    <x v="3"/>
    <s v="Service"/>
    <x v="17"/>
    <x v="2"/>
  </r>
  <r>
    <s v="O01867"/>
    <s v="C0064"/>
    <s v="P001"/>
    <s v="R017"/>
    <d v="2025-10-13T00:00:00"/>
    <d v="2026-01-03T00:00:00"/>
    <m/>
    <x v="2"/>
    <n v="3"/>
    <n v="5"/>
    <n v="342000"/>
    <n v="60"/>
    <s v=""/>
    <s v="East"/>
    <x v="4"/>
    <s v="CRM"/>
    <x v="19"/>
    <x v="3"/>
  </r>
  <r>
    <s v="O01868"/>
    <s v="C0236"/>
    <s v="P005"/>
    <s v="R014"/>
    <d v="2025-06-21T00:00:00"/>
    <d v="2025-06-29T00:00:00"/>
    <m/>
    <x v="2"/>
    <n v="1"/>
    <n v="20"/>
    <n v="144000"/>
    <n v="60"/>
    <s v=""/>
    <s v="West"/>
    <x v="3"/>
    <s v="Service"/>
    <x v="1"/>
    <x v="1"/>
  </r>
  <r>
    <s v="O01869"/>
    <s v="C0343"/>
    <s v="P003"/>
    <s v="R012"/>
    <d v="2025-06-04T00:00:00"/>
    <d v="2025-07-07T00:00:00"/>
    <d v="2025-07-07T00:00:00"/>
    <x v="0"/>
    <n v="1"/>
    <n v="5"/>
    <n v="228000"/>
    <n v="0"/>
    <s v="Price"/>
    <s v="West"/>
    <x v="1"/>
    <s v="Automation"/>
    <x v="14"/>
    <x v="1"/>
  </r>
  <r>
    <s v="O01870"/>
    <s v="C0404"/>
    <s v="P002"/>
    <s v="R014"/>
    <d v="2025-10-30T00:00:00"/>
    <d v="2025-12-23T00:00:00"/>
    <d v="2025-12-23T00:00:00"/>
    <x v="0"/>
    <n v="2"/>
    <n v="10"/>
    <n v="756000"/>
    <n v="0"/>
    <s v="Competition"/>
    <s v="West"/>
    <x v="0"/>
    <s v="CRM"/>
    <x v="1"/>
    <x v="1"/>
  </r>
  <r>
    <s v="O01871"/>
    <s v="C0162"/>
    <s v="P003"/>
    <s v="R001"/>
    <d v="2025-07-24T00:00:00"/>
    <d v="2025-09-03T00:00:00"/>
    <d v="2025-09-03T00:00:00"/>
    <x v="0"/>
    <n v="1"/>
    <n v="20"/>
    <n v="192000"/>
    <n v="0"/>
    <s v="Budget"/>
    <s v="South"/>
    <x v="1"/>
    <s v="Automation"/>
    <x v="6"/>
    <x v="2"/>
  </r>
  <r>
    <s v="O01872"/>
    <s v="C0400"/>
    <s v="P006"/>
    <s v="R020"/>
    <d v="2025-08-31T00:00:00"/>
    <d v="2025-10-01T00:00:00"/>
    <d v="2025-10-01T00:00:00"/>
    <x v="1"/>
    <n v="1"/>
    <n v="10"/>
    <n v="324000"/>
    <n v="100"/>
    <s v=""/>
    <s v="East"/>
    <x v="2"/>
    <s v="Security"/>
    <x v="9"/>
    <x v="3"/>
  </r>
  <r>
    <s v="O01873"/>
    <s v="C0450"/>
    <s v="P006"/>
    <s v="R015"/>
    <d v="2025-08-01T00:00:00"/>
    <d v="2025-08-22T00:00:00"/>
    <d v="2025-08-22T00:00:00"/>
    <x v="0"/>
    <n v="1"/>
    <n v="5"/>
    <n v="342000"/>
    <n v="0"/>
    <s v="Budget"/>
    <s v="West"/>
    <x v="2"/>
    <s v="Security"/>
    <x v="7"/>
    <x v="1"/>
  </r>
  <r>
    <s v="O01874"/>
    <s v="C0190"/>
    <s v="P004"/>
    <s v="R016"/>
    <d v="2025-11-26T00:00:00"/>
    <d v="2026-01-24T00:00:00"/>
    <m/>
    <x v="2"/>
    <n v="1"/>
    <n v="5"/>
    <n v="285000"/>
    <n v="80"/>
    <s v=""/>
    <s v="East"/>
    <x v="5"/>
    <s v="Analytics"/>
    <x v="8"/>
    <x v="3"/>
  </r>
  <r>
    <s v="O01875"/>
    <s v="C0426"/>
    <s v="P002"/>
    <s v="R003"/>
    <d v="2025-12-30T00:00:00"/>
    <d v="2026-02-24T00:00:00"/>
    <m/>
    <x v="2"/>
    <n v="3"/>
    <n v="5"/>
    <n v="1197000"/>
    <n v="40"/>
    <s v=""/>
    <s v="South"/>
    <x v="0"/>
    <s v="CRM"/>
    <x v="15"/>
    <x v="2"/>
  </r>
  <r>
    <s v="O01876"/>
    <s v="C0198"/>
    <s v="P004"/>
    <s v="R011"/>
    <d v="2025-11-16T00:00:00"/>
    <d v="2025-12-26T00:00:00"/>
    <m/>
    <x v="2"/>
    <n v="2"/>
    <n v="0"/>
    <n v="600000"/>
    <n v="20"/>
    <s v=""/>
    <s v="West"/>
    <x v="5"/>
    <s v="Analytics"/>
    <x v="12"/>
    <x v="1"/>
  </r>
  <r>
    <s v="O01877"/>
    <s v="C0133"/>
    <s v="P006"/>
    <s v="R016"/>
    <d v="2025-04-01T00:00:00"/>
    <d v="2025-04-29T00:00:00"/>
    <d v="2025-04-29T00:00:00"/>
    <x v="1"/>
    <n v="1"/>
    <n v="10"/>
    <n v="324000"/>
    <n v="100"/>
    <s v=""/>
    <s v="East"/>
    <x v="2"/>
    <s v="Security"/>
    <x v="8"/>
    <x v="3"/>
  </r>
  <r>
    <s v="O01878"/>
    <s v="C0375"/>
    <s v="P003"/>
    <s v="R008"/>
    <d v="2025-03-04T00:00:00"/>
    <d v="2025-04-05T00:00:00"/>
    <d v="2025-04-05T00:00:00"/>
    <x v="1"/>
    <n v="2"/>
    <n v="15"/>
    <n v="408000"/>
    <n v="100"/>
    <s v=""/>
    <s v="North"/>
    <x v="1"/>
    <s v="Automation"/>
    <x v="0"/>
    <x v="0"/>
  </r>
  <r>
    <s v="O01879"/>
    <s v="C0357"/>
    <s v="P003"/>
    <s v="R020"/>
    <d v="2025-03-01T00:00:00"/>
    <d v="2025-05-25T00:00:00"/>
    <d v="2025-05-25T00:00:00"/>
    <x v="0"/>
    <n v="1"/>
    <n v="10"/>
    <n v="216000"/>
    <n v="0"/>
    <s v="Feature gap"/>
    <s v="East"/>
    <x v="1"/>
    <s v="Automation"/>
    <x v="9"/>
    <x v="3"/>
  </r>
  <r>
    <s v="O01880"/>
    <s v="C0088"/>
    <s v="P001"/>
    <s v="R005"/>
    <d v="2025-03-01T00:00:00"/>
    <d v="2025-03-21T00:00:00"/>
    <d v="2025-03-21T00:00:00"/>
    <x v="0"/>
    <n v="1"/>
    <n v="5"/>
    <n v="114000"/>
    <n v="0"/>
    <s v="Feature gap"/>
    <s v="South"/>
    <x v="4"/>
    <s v="CRM"/>
    <x v="11"/>
    <x v="2"/>
  </r>
  <r>
    <s v="O01881"/>
    <s v="C0418"/>
    <s v="P005"/>
    <s v="R018"/>
    <d v="2025-12-22T00:00:00"/>
    <d v="2026-03-12T00:00:00"/>
    <m/>
    <x v="2"/>
    <n v="3"/>
    <n v="5"/>
    <n v="513000"/>
    <n v="20"/>
    <s v=""/>
    <s v="East"/>
    <x v="3"/>
    <s v="Service"/>
    <x v="18"/>
    <x v="3"/>
  </r>
  <r>
    <s v="O01882"/>
    <s v="C0078"/>
    <s v="P001"/>
    <s v="R005"/>
    <d v="2025-09-17T00:00:00"/>
    <d v="2025-11-02T00:00:00"/>
    <d v="2025-11-02T00:00:00"/>
    <x v="0"/>
    <n v="2"/>
    <n v="20"/>
    <n v="192000"/>
    <n v="0"/>
    <s v="No decision"/>
    <s v="South"/>
    <x v="4"/>
    <s v="CRM"/>
    <x v="11"/>
    <x v="2"/>
  </r>
  <r>
    <s v="O01883"/>
    <s v="C0198"/>
    <s v="P004"/>
    <s v="R013"/>
    <d v="2025-11-07T00:00:00"/>
    <d v="2026-01-06T00:00:00"/>
    <m/>
    <x v="2"/>
    <n v="1"/>
    <n v="10"/>
    <n v="270000"/>
    <n v="20"/>
    <s v=""/>
    <s v="West"/>
    <x v="5"/>
    <s v="Analytics"/>
    <x v="5"/>
    <x v="1"/>
  </r>
  <r>
    <s v="O01884"/>
    <s v="C0162"/>
    <s v="P002"/>
    <s v="R002"/>
    <d v="2025-02-22T00:00:00"/>
    <d v="2025-05-08T00:00:00"/>
    <d v="2025-05-08T00:00:00"/>
    <x v="0"/>
    <n v="1"/>
    <n v="5"/>
    <n v="399000"/>
    <n v="0"/>
    <s v="Competition"/>
    <s v="South"/>
    <x v="0"/>
    <s v="CRM"/>
    <x v="17"/>
    <x v="2"/>
  </r>
  <r>
    <s v="O01885"/>
    <s v="C0072"/>
    <s v="P003"/>
    <s v="R007"/>
    <d v="2025-05-10T00:00:00"/>
    <d v="2025-07-24T00:00:00"/>
    <d v="2025-07-24T00:00:00"/>
    <x v="1"/>
    <n v="2"/>
    <n v="15"/>
    <n v="408000"/>
    <n v="100"/>
    <s v=""/>
    <s v="North"/>
    <x v="1"/>
    <s v="Automation"/>
    <x v="13"/>
    <x v="0"/>
  </r>
  <r>
    <s v="O01886"/>
    <s v="C0027"/>
    <s v="P005"/>
    <s v="R019"/>
    <d v="2025-09-07T00:00:00"/>
    <d v="2025-09-23T00:00:00"/>
    <m/>
    <x v="2"/>
    <n v="1"/>
    <n v="15"/>
    <n v="153000"/>
    <n v="60"/>
    <s v=""/>
    <s v="East"/>
    <x v="3"/>
    <s v="Service"/>
    <x v="10"/>
    <x v="3"/>
  </r>
  <r>
    <s v="O01887"/>
    <s v="C0010"/>
    <s v="P006"/>
    <s v="R015"/>
    <d v="2025-09-10T00:00:00"/>
    <d v="2025-10-05T00:00:00"/>
    <m/>
    <x v="2"/>
    <n v="1"/>
    <n v="15"/>
    <n v="306000"/>
    <n v="40"/>
    <s v=""/>
    <s v="West"/>
    <x v="2"/>
    <s v="Security"/>
    <x v="7"/>
    <x v="1"/>
  </r>
  <r>
    <s v="O01888"/>
    <s v="C0092"/>
    <s v="P004"/>
    <s v="R009"/>
    <d v="2025-12-30T00:00:00"/>
    <d v="2026-03-21T00:00:00"/>
    <m/>
    <x v="2"/>
    <n v="3"/>
    <n v="10"/>
    <n v="810000"/>
    <n v="40"/>
    <s v=""/>
    <s v="North"/>
    <x v="5"/>
    <s v="Analytics"/>
    <x v="4"/>
    <x v="0"/>
  </r>
  <r>
    <s v="O01889"/>
    <s v="C0282"/>
    <s v="P006"/>
    <s v="R004"/>
    <d v="2025-09-22T00:00:00"/>
    <d v="2025-10-04T00:00:00"/>
    <d v="2025-10-04T00:00:00"/>
    <x v="1"/>
    <n v="1"/>
    <n v="5"/>
    <n v="342000"/>
    <n v="100"/>
    <s v=""/>
    <s v="South"/>
    <x v="2"/>
    <s v="Security"/>
    <x v="3"/>
    <x v="2"/>
  </r>
  <r>
    <s v="O01890"/>
    <s v="C0219"/>
    <s v="P006"/>
    <s v="R005"/>
    <d v="2025-10-31T00:00:00"/>
    <d v="2025-11-17T00:00:00"/>
    <d v="2025-11-17T00:00:00"/>
    <x v="1"/>
    <n v="1"/>
    <n v="10"/>
    <n v="324000"/>
    <n v="100"/>
    <s v=""/>
    <s v="South"/>
    <x v="2"/>
    <s v="Security"/>
    <x v="11"/>
    <x v="2"/>
  </r>
  <r>
    <s v="O01891"/>
    <s v="C0286"/>
    <s v="P005"/>
    <s v="R013"/>
    <d v="2025-10-17T00:00:00"/>
    <d v="2026-01-05T00:00:00"/>
    <m/>
    <x v="2"/>
    <n v="3"/>
    <n v="20"/>
    <n v="432000"/>
    <n v="80"/>
    <s v=""/>
    <s v="West"/>
    <x v="3"/>
    <s v="Service"/>
    <x v="5"/>
    <x v="1"/>
  </r>
  <r>
    <s v="O01892"/>
    <s v="C0122"/>
    <s v="P005"/>
    <s v="R011"/>
    <d v="2025-06-16T00:00:00"/>
    <d v="2025-08-07T00:00:00"/>
    <m/>
    <x v="2"/>
    <n v="1"/>
    <n v="20"/>
    <n v="144000"/>
    <n v="60"/>
    <s v=""/>
    <s v="West"/>
    <x v="3"/>
    <s v="Service"/>
    <x v="12"/>
    <x v="1"/>
  </r>
  <r>
    <s v="O01893"/>
    <s v="C0419"/>
    <s v="P002"/>
    <s v="R001"/>
    <d v="2025-06-17T00:00:00"/>
    <d v="2025-08-07T00:00:00"/>
    <d v="2025-08-07T00:00:00"/>
    <x v="0"/>
    <n v="1"/>
    <n v="0"/>
    <n v="420000"/>
    <n v="0"/>
    <s v="Competition"/>
    <s v="South"/>
    <x v="0"/>
    <s v="CRM"/>
    <x v="6"/>
    <x v="2"/>
  </r>
  <r>
    <s v="O01894"/>
    <s v="C0118"/>
    <s v="P004"/>
    <s v="R003"/>
    <d v="2025-11-06T00:00:00"/>
    <d v="2025-12-25T00:00:00"/>
    <d v="2025-12-25T00:00:00"/>
    <x v="1"/>
    <n v="1"/>
    <n v="10"/>
    <n v="270000"/>
    <n v="100"/>
    <s v=""/>
    <s v="South"/>
    <x v="5"/>
    <s v="Analytics"/>
    <x v="15"/>
    <x v="2"/>
  </r>
  <r>
    <s v="O01895"/>
    <s v="C0089"/>
    <s v="P002"/>
    <s v="R005"/>
    <d v="2025-02-27T00:00:00"/>
    <d v="2025-03-16T00:00:00"/>
    <d v="2025-03-16T00:00:00"/>
    <x v="1"/>
    <n v="2"/>
    <n v="0"/>
    <n v="840000"/>
    <n v="100"/>
    <s v=""/>
    <s v="South"/>
    <x v="0"/>
    <s v="CRM"/>
    <x v="11"/>
    <x v="2"/>
  </r>
  <r>
    <s v="O01896"/>
    <s v="C0126"/>
    <s v="P004"/>
    <s v="R007"/>
    <d v="2025-02-06T00:00:00"/>
    <d v="2025-05-01T00:00:00"/>
    <d v="2025-05-01T00:00:00"/>
    <x v="1"/>
    <n v="1"/>
    <n v="5"/>
    <n v="285000"/>
    <n v="100"/>
    <s v=""/>
    <s v="North"/>
    <x v="5"/>
    <s v="Analytics"/>
    <x v="13"/>
    <x v="0"/>
  </r>
  <r>
    <s v="O01897"/>
    <s v="C0419"/>
    <s v="P004"/>
    <s v="R003"/>
    <d v="2025-10-25T00:00:00"/>
    <d v="2025-11-04T00:00:00"/>
    <m/>
    <x v="2"/>
    <n v="1"/>
    <n v="5"/>
    <n v="285000"/>
    <n v="20"/>
    <s v=""/>
    <s v="South"/>
    <x v="5"/>
    <s v="Analytics"/>
    <x v="15"/>
    <x v="2"/>
  </r>
  <r>
    <s v="O01898"/>
    <s v="C0048"/>
    <s v="P006"/>
    <s v="R001"/>
    <d v="2025-01-23T00:00:00"/>
    <d v="2025-04-04T00:00:00"/>
    <d v="2025-04-04T00:00:00"/>
    <x v="1"/>
    <n v="1"/>
    <n v="10"/>
    <n v="324000"/>
    <n v="100"/>
    <s v=""/>
    <s v="South"/>
    <x v="2"/>
    <s v="Security"/>
    <x v="6"/>
    <x v="2"/>
  </r>
  <r>
    <s v="O01899"/>
    <s v="C0282"/>
    <s v="P004"/>
    <s v="R005"/>
    <d v="2025-08-17T00:00:00"/>
    <d v="2025-09-17T00:00:00"/>
    <d v="2025-09-17T00:00:00"/>
    <x v="0"/>
    <n v="1"/>
    <n v="0"/>
    <n v="300000"/>
    <n v="0"/>
    <s v="Feature gap"/>
    <s v="South"/>
    <x v="5"/>
    <s v="Analytics"/>
    <x v="11"/>
    <x v="2"/>
  </r>
  <r>
    <s v="O01900"/>
    <s v="C0067"/>
    <s v="P001"/>
    <s v="R016"/>
    <d v="2025-07-30T00:00:00"/>
    <d v="2025-08-11T00:00:00"/>
    <d v="2025-08-11T00:00:00"/>
    <x v="0"/>
    <n v="1"/>
    <n v="10"/>
    <n v="108000"/>
    <n v="0"/>
    <s v="Price"/>
    <s v="East"/>
    <x v="4"/>
    <s v="CRM"/>
    <x v="8"/>
    <x v="3"/>
  </r>
  <r>
    <s v="O01901"/>
    <s v="C0173"/>
    <s v="P003"/>
    <s v="R013"/>
    <d v="2025-08-22T00:00:00"/>
    <d v="2025-09-15T00:00:00"/>
    <d v="2025-09-15T00:00:00"/>
    <x v="0"/>
    <n v="1"/>
    <n v="15"/>
    <n v="204000"/>
    <n v="0"/>
    <s v="Competition"/>
    <s v="West"/>
    <x v="1"/>
    <s v="Automation"/>
    <x v="5"/>
    <x v="1"/>
  </r>
  <r>
    <s v="O01902"/>
    <s v="C0194"/>
    <s v="P001"/>
    <s v="R005"/>
    <d v="2025-11-04T00:00:00"/>
    <d v="2026-01-21T00:00:00"/>
    <m/>
    <x v="2"/>
    <n v="3"/>
    <n v="20"/>
    <n v="288000"/>
    <n v="80"/>
    <s v=""/>
    <s v="South"/>
    <x v="4"/>
    <s v="CRM"/>
    <x v="11"/>
    <x v="2"/>
  </r>
  <r>
    <s v="O01903"/>
    <s v="C0405"/>
    <s v="P002"/>
    <s v="R005"/>
    <d v="2025-10-02T00:00:00"/>
    <d v="2025-12-21T00:00:00"/>
    <d v="2025-12-21T00:00:00"/>
    <x v="1"/>
    <n v="1"/>
    <n v="20"/>
    <n v="336000"/>
    <n v="100"/>
    <s v=""/>
    <s v="South"/>
    <x v="0"/>
    <s v="CRM"/>
    <x v="11"/>
    <x v="2"/>
  </r>
  <r>
    <s v="O01904"/>
    <s v="C0301"/>
    <s v="P003"/>
    <s v="R013"/>
    <d v="2025-06-24T00:00:00"/>
    <d v="2025-08-22T00:00:00"/>
    <d v="2025-08-22T00:00:00"/>
    <x v="0"/>
    <n v="3"/>
    <n v="0"/>
    <n v="720000"/>
    <n v="0"/>
    <s v="Competition"/>
    <s v="West"/>
    <x v="1"/>
    <s v="Automation"/>
    <x v="5"/>
    <x v="1"/>
  </r>
  <r>
    <s v="O01905"/>
    <s v="C0321"/>
    <s v="P006"/>
    <s v="R016"/>
    <d v="2025-06-28T00:00:00"/>
    <d v="2025-08-14T00:00:00"/>
    <m/>
    <x v="2"/>
    <n v="3"/>
    <n v="10"/>
    <n v="972000"/>
    <n v="40"/>
    <s v=""/>
    <s v="East"/>
    <x v="2"/>
    <s v="Security"/>
    <x v="8"/>
    <x v="3"/>
  </r>
  <r>
    <s v="O01906"/>
    <s v="C0072"/>
    <s v="P001"/>
    <s v="R008"/>
    <d v="2025-05-23T00:00:00"/>
    <d v="2025-08-14T00:00:00"/>
    <m/>
    <x v="2"/>
    <n v="1"/>
    <n v="5"/>
    <n v="114000"/>
    <n v="40"/>
    <s v=""/>
    <s v="North"/>
    <x v="4"/>
    <s v="CRM"/>
    <x v="0"/>
    <x v="0"/>
  </r>
  <r>
    <s v="O01907"/>
    <s v="C0240"/>
    <s v="P006"/>
    <s v="R016"/>
    <d v="2025-07-01T00:00:00"/>
    <d v="2025-09-17T00:00:00"/>
    <d v="2025-09-17T00:00:00"/>
    <x v="1"/>
    <n v="1"/>
    <n v="5"/>
    <n v="342000"/>
    <n v="100"/>
    <s v=""/>
    <s v="East"/>
    <x v="2"/>
    <s v="Security"/>
    <x v="8"/>
    <x v="3"/>
  </r>
  <r>
    <s v="O01908"/>
    <s v="C0363"/>
    <s v="P005"/>
    <s v="R009"/>
    <d v="2025-08-22T00:00:00"/>
    <d v="2025-11-01T00:00:00"/>
    <d v="2025-11-01T00:00:00"/>
    <x v="0"/>
    <n v="3"/>
    <n v="20"/>
    <n v="432000"/>
    <n v="0"/>
    <s v="Competition"/>
    <s v="North"/>
    <x v="3"/>
    <s v="Service"/>
    <x v="4"/>
    <x v="0"/>
  </r>
  <r>
    <s v="O01909"/>
    <s v="C0012"/>
    <s v="P005"/>
    <s v="R003"/>
    <d v="2025-09-11T00:00:00"/>
    <d v="2025-09-26T00:00:00"/>
    <m/>
    <x v="2"/>
    <n v="1"/>
    <n v="5"/>
    <n v="171000"/>
    <n v="60"/>
    <s v=""/>
    <s v="South"/>
    <x v="3"/>
    <s v="Service"/>
    <x v="15"/>
    <x v="2"/>
  </r>
  <r>
    <s v="O01910"/>
    <s v="C0042"/>
    <s v="P005"/>
    <s v="R009"/>
    <d v="2025-05-12T00:00:00"/>
    <d v="2025-06-07T00:00:00"/>
    <m/>
    <x v="2"/>
    <n v="2"/>
    <n v="5"/>
    <n v="342000"/>
    <n v="60"/>
    <s v=""/>
    <s v="North"/>
    <x v="3"/>
    <s v="Service"/>
    <x v="4"/>
    <x v="0"/>
  </r>
  <r>
    <s v="O01911"/>
    <s v="C0061"/>
    <s v="P005"/>
    <s v="R019"/>
    <d v="2025-08-27T00:00:00"/>
    <d v="2025-10-02T00:00:00"/>
    <m/>
    <x v="2"/>
    <n v="1"/>
    <n v="5"/>
    <n v="171000"/>
    <n v="60"/>
    <s v=""/>
    <s v="East"/>
    <x v="3"/>
    <s v="Service"/>
    <x v="10"/>
    <x v="3"/>
  </r>
  <r>
    <s v="O01912"/>
    <s v="C0315"/>
    <s v="P004"/>
    <s v="R003"/>
    <d v="2025-11-04T00:00:00"/>
    <d v="2025-11-18T00:00:00"/>
    <m/>
    <x v="2"/>
    <n v="1"/>
    <n v="0"/>
    <n v="300000"/>
    <n v="60"/>
    <s v=""/>
    <s v="South"/>
    <x v="5"/>
    <s v="Analytics"/>
    <x v="15"/>
    <x v="2"/>
  </r>
  <r>
    <s v="O01913"/>
    <s v="C0294"/>
    <s v="P002"/>
    <s v="R008"/>
    <d v="2025-07-26T00:00:00"/>
    <d v="2025-08-22T00:00:00"/>
    <m/>
    <x v="2"/>
    <n v="1"/>
    <n v="15"/>
    <n v="357000"/>
    <n v="20"/>
    <s v=""/>
    <s v="North"/>
    <x v="0"/>
    <s v="CRM"/>
    <x v="0"/>
    <x v="0"/>
  </r>
  <r>
    <s v="O01914"/>
    <s v="C0070"/>
    <s v="P002"/>
    <s v="R006"/>
    <d v="2025-05-16T00:00:00"/>
    <d v="2025-07-10T00:00:00"/>
    <m/>
    <x v="2"/>
    <n v="1"/>
    <n v="0"/>
    <n v="420000"/>
    <n v="20"/>
    <s v=""/>
    <s v="North"/>
    <x v="0"/>
    <s v="CRM"/>
    <x v="2"/>
    <x v="0"/>
  </r>
  <r>
    <s v="O01915"/>
    <s v="C0124"/>
    <s v="P004"/>
    <s v="R003"/>
    <d v="2025-04-12T00:00:00"/>
    <d v="2025-05-08T00:00:00"/>
    <d v="2025-05-08T00:00:00"/>
    <x v="0"/>
    <n v="1"/>
    <n v="15"/>
    <n v="255000"/>
    <n v="0"/>
    <s v="Budget"/>
    <s v="South"/>
    <x v="5"/>
    <s v="Analytics"/>
    <x v="15"/>
    <x v="2"/>
  </r>
  <r>
    <s v="O01916"/>
    <s v="C0047"/>
    <s v="P006"/>
    <s v="R002"/>
    <d v="2025-04-16T00:00:00"/>
    <d v="2025-06-05T00:00:00"/>
    <d v="2025-06-05T00:00:00"/>
    <x v="1"/>
    <n v="1"/>
    <n v="0"/>
    <n v="360000"/>
    <n v="100"/>
    <s v=""/>
    <s v="South"/>
    <x v="2"/>
    <s v="Security"/>
    <x v="17"/>
    <x v="2"/>
  </r>
  <r>
    <s v="O01917"/>
    <s v="C0006"/>
    <s v="P004"/>
    <s v="R016"/>
    <d v="2025-05-07T00:00:00"/>
    <d v="2025-07-27T00:00:00"/>
    <d v="2025-07-27T00:00:00"/>
    <x v="0"/>
    <n v="1"/>
    <n v="0"/>
    <n v="300000"/>
    <n v="0"/>
    <s v="Budget"/>
    <s v="East"/>
    <x v="5"/>
    <s v="Analytics"/>
    <x v="8"/>
    <x v="3"/>
  </r>
  <r>
    <s v="O01918"/>
    <s v="C0485"/>
    <s v="P002"/>
    <s v="R018"/>
    <d v="2025-04-13T00:00:00"/>
    <d v="2025-05-07T00:00:00"/>
    <d v="2025-05-07T00:00:00"/>
    <x v="0"/>
    <n v="1"/>
    <n v="15"/>
    <n v="357000"/>
    <n v="0"/>
    <s v="Price"/>
    <s v="East"/>
    <x v="0"/>
    <s v="CRM"/>
    <x v="18"/>
    <x v="3"/>
  </r>
  <r>
    <s v="O01919"/>
    <s v="C0141"/>
    <s v="P003"/>
    <s v="R003"/>
    <d v="2025-04-18T00:00:00"/>
    <d v="2025-06-04T00:00:00"/>
    <d v="2025-06-04T00:00:00"/>
    <x v="0"/>
    <n v="3"/>
    <n v="5"/>
    <n v="684000"/>
    <n v="0"/>
    <s v="Feature gap"/>
    <s v="South"/>
    <x v="1"/>
    <s v="Automation"/>
    <x v="15"/>
    <x v="2"/>
  </r>
  <r>
    <s v="O01920"/>
    <s v="C0419"/>
    <s v="P006"/>
    <s v="R003"/>
    <d v="2025-01-17T00:00:00"/>
    <d v="2025-02-17T00:00:00"/>
    <d v="2025-02-17T00:00:00"/>
    <x v="1"/>
    <n v="1"/>
    <n v="5"/>
    <n v="342000"/>
    <n v="100"/>
    <s v=""/>
    <s v="South"/>
    <x v="2"/>
    <s v="Security"/>
    <x v="15"/>
    <x v="2"/>
  </r>
  <r>
    <s v="O01921"/>
    <s v="C0475"/>
    <s v="P004"/>
    <s v="R013"/>
    <d v="2025-01-24T00:00:00"/>
    <d v="2025-04-06T00:00:00"/>
    <m/>
    <x v="2"/>
    <n v="1"/>
    <n v="20"/>
    <n v="240000"/>
    <n v="80"/>
    <s v=""/>
    <s v="West"/>
    <x v="5"/>
    <s v="Analytics"/>
    <x v="5"/>
    <x v="1"/>
  </r>
  <r>
    <s v="O01922"/>
    <s v="C0251"/>
    <s v="P004"/>
    <s v="R018"/>
    <d v="2025-05-27T00:00:00"/>
    <d v="2025-07-08T00:00:00"/>
    <m/>
    <x v="2"/>
    <n v="3"/>
    <n v="15"/>
    <n v="765000"/>
    <n v="60"/>
    <s v=""/>
    <s v="East"/>
    <x v="5"/>
    <s v="Analytics"/>
    <x v="18"/>
    <x v="3"/>
  </r>
  <r>
    <s v="O01923"/>
    <s v="C0291"/>
    <s v="P005"/>
    <s v="R020"/>
    <d v="2025-03-11T00:00:00"/>
    <d v="2025-05-26T00:00:00"/>
    <d v="2025-05-26T00:00:00"/>
    <x v="0"/>
    <n v="2"/>
    <n v="5"/>
    <n v="342000"/>
    <n v="0"/>
    <s v="Budget"/>
    <s v="East"/>
    <x v="3"/>
    <s v="Service"/>
    <x v="9"/>
    <x v="3"/>
  </r>
  <r>
    <s v="O01924"/>
    <s v="C0052"/>
    <s v="P002"/>
    <s v="R016"/>
    <d v="2025-01-12T00:00:00"/>
    <d v="2025-02-20T00:00:00"/>
    <m/>
    <x v="2"/>
    <n v="1"/>
    <n v="15"/>
    <n v="357000"/>
    <n v="40"/>
    <s v=""/>
    <s v="East"/>
    <x v="0"/>
    <s v="CRM"/>
    <x v="8"/>
    <x v="3"/>
  </r>
  <r>
    <s v="O01925"/>
    <s v="C0438"/>
    <s v="P002"/>
    <s v="R012"/>
    <d v="2025-11-20T00:00:00"/>
    <d v="2026-01-25T00:00:00"/>
    <m/>
    <x v="2"/>
    <n v="1"/>
    <n v="15"/>
    <n v="357000"/>
    <n v="40"/>
    <s v=""/>
    <s v="West"/>
    <x v="0"/>
    <s v="CRM"/>
    <x v="14"/>
    <x v="1"/>
  </r>
  <r>
    <s v="O01926"/>
    <s v="C0333"/>
    <s v="P002"/>
    <s v="R015"/>
    <d v="2025-06-02T00:00:00"/>
    <d v="2025-08-24T00:00:00"/>
    <d v="2025-08-24T00:00:00"/>
    <x v="1"/>
    <n v="3"/>
    <n v="20"/>
    <n v="1008000"/>
    <n v="100"/>
    <s v=""/>
    <s v="West"/>
    <x v="0"/>
    <s v="CRM"/>
    <x v="7"/>
    <x v="1"/>
  </r>
  <r>
    <s v="O01927"/>
    <s v="C0292"/>
    <s v="P004"/>
    <s v="R018"/>
    <d v="2025-06-22T00:00:00"/>
    <d v="2025-08-07T00:00:00"/>
    <m/>
    <x v="2"/>
    <n v="3"/>
    <n v="10"/>
    <n v="810000"/>
    <n v="60"/>
    <s v=""/>
    <s v="East"/>
    <x v="5"/>
    <s v="Analytics"/>
    <x v="18"/>
    <x v="3"/>
  </r>
  <r>
    <s v="O01928"/>
    <s v="C0374"/>
    <s v="P001"/>
    <s v="R005"/>
    <d v="2025-04-28T00:00:00"/>
    <d v="2025-05-23T00:00:00"/>
    <d v="2025-05-23T00:00:00"/>
    <x v="1"/>
    <n v="1"/>
    <n v="0"/>
    <n v="120000"/>
    <n v="100"/>
    <s v=""/>
    <s v="South"/>
    <x v="4"/>
    <s v="CRM"/>
    <x v="11"/>
    <x v="2"/>
  </r>
  <r>
    <s v="O01929"/>
    <s v="C0210"/>
    <s v="P003"/>
    <s v="R011"/>
    <d v="2025-12-08T00:00:00"/>
    <d v="2025-12-20T00:00:00"/>
    <d v="2025-12-20T00:00:00"/>
    <x v="1"/>
    <n v="1"/>
    <n v="15"/>
    <n v="204000"/>
    <n v="100"/>
    <s v=""/>
    <s v="West"/>
    <x v="1"/>
    <s v="Automation"/>
    <x v="12"/>
    <x v="1"/>
  </r>
  <r>
    <s v="O01930"/>
    <s v="C0481"/>
    <s v="P002"/>
    <s v="R017"/>
    <d v="2025-09-30T00:00:00"/>
    <d v="2025-10-27T00:00:00"/>
    <d v="2025-10-27T00:00:00"/>
    <x v="0"/>
    <n v="1"/>
    <n v="15"/>
    <n v="357000"/>
    <n v="0"/>
    <s v="Budget"/>
    <s v="East"/>
    <x v="0"/>
    <s v="CRM"/>
    <x v="19"/>
    <x v="3"/>
  </r>
  <r>
    <s v="O01931"/>
    <s v="C0108"/>
    <s v="P003"/>
    <s v="R003"/>
    <d v="2025-04-22T00:00:00"/>
    <d v="2025-05-28T00:00:00"/>
    <m/>
    <x v="2"/>
    <n v="2"/>
    <n v="5"/>
    <n v="456000"/>
    <n v="40"/>
    <s v=""/>
    <s v="South"/>
    <x v="1"/>
    <s v="Automation"/>
    <x v="15"/>
    <x v="2"/>
  </r>
  <r>
    <s v="O01932"/>
    <s v="C0226"/>
    <s v="P002"/>
    <s v="R006"/>
    <d v="2025-05-12T00:00:00"/>
    <d v="2025-06-20T00:00:00"/>
    <d v="2025-06-20T00:00:00"/>
    <x v="1"/>
    <n v="3"/>
    <n v="15"/>
    <n v="1071000"/>
    <n v="100"/>
    <s v=""/>
    <s v="North"/>
    <x v="0"/>
    <s v="CRM"/>
    <x v="2"/>
    <x v="0"/>
  </r>
  <r>
    <s v="O01933"/>
    <s v="C0287"/>
    <s v="P005"/>
    <s v="R020"/>
    <d v="2025-04-10T00:00:00"/>
    <d v="2025-06-14T00:00:00"/>
    <d v="2025-06-14T00:00:00"/>
    <x v="1"/>
    <n v="1"/>
    <n v="0"/>
    <n v="180000"/>
    <n v="100"/>
    <s v=""/>
    <s v="East"/>
    <x v="3"/>
    <s v="Service"/>
    <x v="9"/>
    <x v="3"/>
  </r>
  <r>
    <s v="O01934"/>
    <s v="C0436"/>
    <s v="P002"/>
    <s v="R016"/>
    <d v="2025-03-08T00:00:00"/>
    <d v="2025-04-08T00:00:00"/>
    <d v="2025-04-08T00:00:00"/>
    <x v="0"/>
    <n v="1"/>
    <n v="0"/>
    <n v="420000"/>
    <n v="0"/>
    <s v="Feature gap"/>
    <s v="East"/>
    <x v="0"/>
    <s v="CRM"/>
    <x v="8"/>
    <x v="3"/>
  </r>
  <r>
    <s v="O01935"/>
    <s v="C0010"/>
    <s v="P001"/>
    <s v="R015"/>
    <d v="2025-01-31T00:00:00"/>
    <d v="2025-03-01T00:00:00"/>
    <d v="2025-03-01T00:00:00"/>
    <x v="0"/>
    <n v="1"/>
    <n v="20"/>
    <n v="96000"/>
    <n v="0"/>
    <s v="Price"/>
    <s v="West"/>
    <x v="4"/>
    <s v="CRM"/>
    <x v="7"/>
    <x v="1"/>
  </r>
  <r>
    <s v="O01936"/>
    <s v="C0330"/>
    <s v="P006"/>
    <s v="R003"/>
    <d v="2025-10-19T00:00:00"/>
    <d v="2025-10-30T00:00:00"/>
    <d v="2025-10-30T00:00:00"/>
    <x v="0"/>
    <n v="1"/>
    <n v="5"/>
    <n v="342000"/>
    <n v="0"/>
    <s v="Price"/>
    <s v="South"/>
    <x v="2"/>
    <s v="Security"/>
    <x v="15"/>
    <x v="2"/>
  </r>
  <r>
    <s v="O01937"/>
    <s v="C0102"/>
    <s v="P002"/>
    <s v="R012"/>
    <d v="2025-01-08T00:00:00"/>
    <d v="2025-03-26T00:00:00"/>
    <m/>
    <x v="2"/>
    <n v="3"/>
    <n v="20"/>
    <n v="1008000"/>
    <n v="20"/>
    <s v=""/>
    <s v="West"/>
    <x v="0"/>
    <s v="CRM"/>
    <x v="14"/>
    <x v="1"/>
  </r>
  <r>
    <s v="O01938"/>
    <s v="C0263"/>
    <s v="P006"/>
    <s v="R015"/>
    <d v="2025-08-05T00:00:00"/>
    <d v="2025-09-25T00:00:00"/>
    <d v="2025-09-25T00:00:00"/>
    <x v="0"/>
    <n v="3"/>
    <n v="15"/>
    <n v="918000"/>
    <n v="0"/>
    <s v="Budget"/>
    <s v="West"/>
    <x v="2"/>
    <s v="Security"/>
    <x v="7"/>
    <x v="1"/>
  </r>
  <r>
    <s v="O01939"/>
    <s v="C0462"/>
    <s v="P002"/>
    <s v="R009"/>
    <d v="2025-07-31T00:00:00"/>
    <d v="2025-09-26T00:00:00"/>
    <d v="2025-09-26T00:00:00"/>
    <x v="0"/>
    <n v="1"/>
    <n v="15"/>
    <n v="357000"/>
    <n v="0"/>
    <s v="Feature gap"/>
    <s v="North"/>
    <x v="0"/>
    <s v="CRM"/>
    <x v="4"/>
    <x v="0"/>
  </r>
  <r>
    <s v="O01940"/>
    <s v="C0166"/>
    <s v="P001"/>
    <s v="R018"/>
    <d v="2025-07-25T00:00:00"/>
    <d v="2025-10-02T00:00:00"/>
    <d v="2025-10-02T00:00:00"/>
    <x v="1"/>
    <n v="2"/>
    <n v="10"/>
    <n v="216000"/>
    <n v="100"/>
    <s v=""/>
    <s v="East"/>
    <x v="4"/>
    <s v="CRM"/>
    <x v="18"/>
    <x v="3"/>
  </r>
  <r>
    <s v="O01941"/>
    <s v="C0458"/>
    <s v="P006"/>
    <s v="R005"/>
    <d v="2025-12-11T00:00:00"/>
    <d v="2026-02-09T00:00:00"/>
    <m/>
    <x v="2"/>
    <n v="3"/>
    <n v="20"/>
    <n v="864000"/>
    <n v="60"/>
    <s v=""/>
    <s v="South"/>
    <x v="2"/>
    <s v="Security"/>
    <x v="11"/>
    <x v="2"/>
  </r>
  <r>
    <s v="O01942"/>
    <s v="C0149"/>
    <s v="P001"/>
    <s v="R015"/>
    <d v="2025-08-18T00:00:00"/>
    <d v="2025-11-07T00:00:00"/>
    <d v="2025-11-07T00:00:00"/>
    <x v="0"/>
    <n v="2"/>
    <n v="20"/>
    <n v="192000"/>
    <n v="0"/>
    <s v="Competition"/>
    <s v="West"/>
    <x v="4"/>
    <s v="CRM"/>
    <x v="7"/>
    <x v="1"/>
  </r>
  <r>
    <s v="O01943"/>
    <s v="C0475"/>
    <s v="P003"/>
    <s v="R012"/>
    <d v="2025-08-13T00:00:00"/>
    <d v="2025-09-23T00:00:00"/>
    <d v="2025-09-23T00:00:00"/>
    <x v="0"/>
    <n v="2"/>
    <n v="0"/>
    <n v="480000"/>
    <n v="0"/>
    <s v="Price"/>
    <s v="West"/>
    <x v="1"/>
    <s v="Automation"/>
    <x v="14"/>
    <x v="1"/>
  </r>
  <r>
    <s v="O01944"/>
    <s v="C0388"/>
    <s v="P001"/>
    <s v="R007"/>
    <d v="2025-12-09T00:00:00"/>
    <d v="2026-01-05T00:00:00"/>
    <m/>
    <x v="2"/>
    <n v="2"/>
    <n v="5"/>
    <n v="228000"/>
    <n v="60"/>
    <s v=""/>
    <s v="North"/>
    <x v="4"/>
    <s v="CRM"/>
    <x v="13"/>
    <x v="0"/>
  </r>
  <r>
    <s v="O01945"/>
    <s v="C0260"/>
    <s v="P005"/>
    <s v="R008"/>
    <d v="2025-10-28T00:00:00"/>
    <d v="2025-12-03T00:00:00"/>
    <d v="2025-12-03T00:00:00"/>
    <x v="1"/>
    <n v="1"/>
    <n v="10"/>
    <n v="162000"/>
    <n v="100"/>
    <s v=""/>
    <s v="North"/>
    <x v="3"/>
    <s v="Service"/>
    <x v="0"/>
    <x v="0"/>
  </r>
  <r>
    <s v="O01946"/>
    <s v="C0335"/>
    <s v="P005"/>
    <s v="R006"/>
    <d v="2025-12-24T00:00:00"/>
    <d v="2026-01-03T00:00:00"/>
    <m/>
    <x v="2"/>
    <n v="1"/>
    <n v="10"/>
    <n v="162000"/>
    <n v="20"/>
    <s v=""/>
    <s v="North"/>
    <x v="3"/>
    <s v="Service"/>
    <x v="2"/>
    <x v="0"/>
  </r>
  <r>
    <s v="O01947"/>
    <s v="C0480"/>
    <s v="P005"/>
    <s v="R013"/>
    <d v="2025-11-12T00:00:00"/>
    <d v="2026-02-04T00:00:00"/>
    <m/>
    <x v="2"/>
    <n v="2"/>
    <n v="15"/>
    <n v="306000"/>
    <n v="20"/>
    <s v=""/>
    <s v="West"/>
    <x v="3"/>
    <s v="Service"/>
    <x v="5"/>
    <x v="1"/>
  </r>
  <r>
    <s v="O01948"/>
    <s v="C0376"/>
    <s v="P005"/>
    <s v="R006"/>
    <d v="2025-12-05T00:00:00"/>
    <d v="2026-01-20T00:00:00"/>
    <m/>
    <x v="2"/>
    <n v="1"/>
    <n v="5"/>
    <n v="171000"/>
    <n v="80"/>
    <s v=""/>
    <s v="North"/>
    <x v="3"/>
    <s v="Service"/>
    <x v="2"/>
    <x v="0"/>
  </r>
  <r>
    <s v="O01949"/>
    <s v="C0167"/>
    <s v="P003"/>
    <s v="R013"/>
    <d v="2025-09-14T00:00:00"/>
    <d v="2025-10-06T00:00:00"/>
    <d v="2025-10-06T00:00:00"/>
    <x v="0"/>
    <n v="3"/>
    <n v="5"/>
    <n v="684000"/>
    <n v="0"/>
    <s v="Feature gap"/>
    <s v="West"/>
    <x v="1"/>
    <s v="Automation"/>
    <x v="5"/>
    <x v="1"/>
  </r>
  <r>
    <s v="O01950"/>
    <s v="C0241"/>
    <s v="P002"/>
    <s v="R009"/>
    <d v="2025-04-17T00:00:00"/>
    <d v="2025-07-06T00:00:00"/>
    <d v="2025-07-06T00:00:00"/>
    <x v="0"/>
    <n v="1"/>
    <n v="0"/>
    <n v="420000"/>
    <n v="0"/>
    <s v="Competition"/>
    <s v="North"/>
    <x v="0"/>
    <s v="CRM"/>
    <x v="4"/>
    <x v="0"/>
  </r>
  <r>
    <s v="O01951"/>
    <s v="C0008"/>
    <s v="P004"/>
    <s v="R011"/>
    <d v="2025-04-19T00:00:00"/>
    <d v="2025-05-13T00:00:00"/>
    <m/>
    <x v="2"/>
    <n v="1"/>
    <n v="10"/>
    <n v="270000"/>
    <n v="60"/>
    <s v=""/>
    <s v="West"/>
    <x v="5"/>
    <s v="Analytics"/>
    <x v="12"/>
    <x v="1"/>
  </r>
  <r>
    <s v="O01952"/>
    <s v="C0357"/>
    <s v="P004"/>
    <s v="R019"/>
    <d v="2025-01-04T00:00:00"/>
    <d v="2025-03-05T00:00:00"/>
    <d v="2025-03-05T00:00:00"/>
    <x v="1"/>
    <n v="3"/>
    <n v="20"/>
    <n v="720000"/>
    <n v="100"/>
    <s v=""/>
    <s v="East"/>
    <x v="5"/>
    <s v="Analytics"/>
    <x v="10"/>
    <x v="3"/>
  </r>
  <r>
    <s v="O01953"/>
    <s v="C0226"/>
    <s v="P006"/>
    <s v="R009"/>
    <d v="2025-09-09T00:00:00"/>
    <d v="2025-11-12T00:00:00"/>
    <m/>
    <x v="2"/>
    <n v="2"/>
    <n v="10"/>
    <n v="648000"/>
    <n v="80"/>
    <s v=""/>
    <s v="North"/>
    <x v="2"/>
    <s v="Security"/>
    <x v="4"/>
    <x v="0"/>
  </r>
  <r>
    <s v="O01954"/>
    <s v="C0160"/>
    <s v="P003"/>
    <s v="R018"/>
    <d v="2025-04-05T00:00:00"/>
    <d v="2025-05-28T00:00:00"/>
    <d v="2025-05-28T00:00:00"/>
    <x v="1"/>
    <n v="1"/>
    <n v="10"/>
    <n v="216000"/>
    <n v="100"/>
    <s v=""/>
    <s v="East"/>
    <x v="1"/>
    <s v="Automation"/>
    <x v="18"/>
    <x v="3"/>
  </r>
  <r>
    <s v="O01955"/>
    <s v="C0142"/>
    <s v="P002"/>
    <s v="R012"/>
    <d v="2025-01-03T00:00:00"/>
    <d v="2025-03-21T00:00:00"/>
    <d v="2025-03-21T00:00:00"/>
    <x v="0"/>
    <n v="1"/>
    <n v="0"/>
    <n v="420000"/>
    <n v="0"/>
    <s v="Feature gap"/>
    <s v="West"/>
    <x v="0"/>
    <s v="CRM"/>
    <x v="14"/>
    <x v="1"/>
  </r>
  <r>
    <s v="O01956"/>
    <s v="C0195"/>
    <s v="P004"/>
    <s v="R012"/>
    <d v="2025-06-06T00:00:00"/>
    <d v="2025-08-07T00:00:00"/>
    <d v="2025-08-07T00:00:00"/>
    <x v="0"/>
    <n v="1"/>
    <n v="20"/>
    <n v="240000"/>
    <n v="0"/>
    <s v="Competition"/>
    <s v="West"/>
    <x v="5"/>
    <s v="Analytics"/>
    <x v="14"/>
    <x v="1"/>
  </r>
  <r>
    <s v="O01957"/>
    <s v="C0098"/>
    <s v="P005"/>
    <s v="R007"/>
    <d v="2025-05-04T00:00:00"/>
    <d v="2025-05-21T00:00:00"/>
    <m/>
    <x v="2"/>
    <n v="1"/>
    <n v="0"/>
    <n v="180000"/>
    <n v="60"/>
    <s v=""/>
    <s v="North"/>
    <x v="3"/>
    <s v="Service"/>
    <x v="13"/>
    <x v="0"/>
  </r>
  <r>
    <s v="O01958"/>
    <s v="C0176"/>
    <s v="P005"/>
    <s v="R009"/>
    <d v="2025-06-13T00:00:00"/>
    <d v="2025-07-27T00:00:00"/>
    <d v="2025-07-27T00:00:00"/>
    <x v="0"/>
    <n v="1"/>
    <n v="5"/>
    <n v="171000"/>
    <n v="0"/>
    <s v="Price"/>
    <s v="North"/>
    <x v="3"/>
    <s v="Service"/>
    <x v="4"/>
    <x v="0"/>
  </r>
  <r>
    <s v="O01959"/>
    <s v="C0038"/>
    <s v="P004"/>
    <s v="R005"/>
    <d v="2025-10-07T00:00:00"/>
    <d v="2025-12-17T00:00:00"/>
    <d v="2025-12-17T00:00:00"/>
    <x v="1"/>
    <n v="2"/>
    <n v="0"/>
    <n v="600000"/>
    <n v="100"/>
    <s v=""/>
    <s v="South"/>
    <x v="5"/>
    <s v="Analytics"/>
    <x v="11"/>
    <x v="2"/>
  </r>
  <r>
    <s v="O01960"/>
    <s v="C0341"/>
    <s v="P003"/>
    <s v="R001"/>
    <d v="2025-08-26T00:00:00"/>
    <d v="2025-09-20T00:00:00"/>
    <d v="2025-09-20T00:00:00"/>
    <x v="0"/>
    <n v="1"/>
    <n v="15"/>
    <n v="204000"/>
    <n v="0"/>
    <s v="Price"/>
    <s v="South"/>
    <x v="1"/>
    <s v="Automation"/>
    <x v="6"/>
    <x v="2"/>
  </r>
  <r>
    <s v="O01961"/>
    <s v="C0157"/>
    <s v="P006"/>
    <s v="R009"/>
    <d v="2025-08-04T00:00:00"/>
    <d v="2025-09-01T00:00:00"/>
    <d v="2025-09-01T00:00:00"/>
    <x v="0"/>
    <n v="3"/>
    <n v="5"/>
    <n v="1026000"/>
    <n v="0"/>
    <s v="Feature gap"/>
    <s v="North"/>
    <x v="2"/>
    <s v="Security"/>
    <x v="4"/>
    <x v="0"/>
  </r>
  <r>
    <s v="O01962"/>
    <s v="C0290"/>
    <s v="P006"/>
    <s v="R010"/>
    <d v="2025-01-25T00:00:00"/>
    <d v="2025-02-01T00:00:00"/>
    <d v="2025-02-01T00:00:00"/>
    <x v="1"/>
    <n v="1"/>
    <n v="15"/>
    <n v="306000"/>
    <n v="100"/>
    <s v=""/>
    <s v="North"/>
    <x v="2"/>
    <s v="Security"/>
    <x v="16"/>
    <x v="0"/>
  </r>
  <r>
    <s v="O01963"/>
    <s v="C0233"/>
    <s v="P002"/>
    <s v="R006"/>
    <d v="2025-03-07T00:00:00"/>
    <d v="2025-04-29T00:00:00"/>
    <d v="2025-04-29T00:00:00"/>
    <x v="1"/>
    <n v="1"/>
    <n v="20"/>
    <n v="336000"/>
    <n v="100"/>
    <s v=""/>
    <s v="North"/>
    <x v="0"/>
    <s v="CRM"/>
    <x v="2"/>
    <x v="0"/>
  </r>
  <r>
    <s v="O01964"/>
    <s v="C0049"/>
    <s v="P004"/>
    <s v="R008"/>
    <d v="2025-08-06T00:00:00"/>
    <d v="2025-09-12T00:00:00"/>
    <d v="2025-09-12T00:00:00"/>
    <x v="0"/>
    <n v="3"/>
    <n v="5"/>
    <n v="855000"/>
    <n v="0"/>
    <s v="Price"/>
    <s v="North"/>
    <x v="5"/>
    <s v="Analytics"/>
    <x v="0"/>
    <x v="0"/>
  </r>
  <r>
    <s v="O01965"/>
    <s v="C0276"/>
    <s v="P001"/>
    <s v="R013"/>
    <d v="2025-01-08T00:00:00"/>
    <d v="2025-03-19T00:00:00"/>
    <d v="2025-03-19T00:00:00"/>
    <x v="1"/>
    <n v="1"/>
    <n v="10"/>
    <n v="108000"/>
    <n v="100"/>
    <s v=""/>
    <s v="West"/>
    <x v="4"/>
    <s v="CRM"/>
    <x v="5"/>
    <x v="1"/>
  </r>
  <r>
    <s v="O01966"/>
    <s v="C0153"/>
    <s v="P002"/>
    <s v="R003"/>
    <d v="2025-01-26T00:00:00"/>
    <d v="2025-03-21T00:00:00"/>
    <d v="2025-03-21T00:00:00"/>
    <x v="0"/>
    <n v="1"/>
    <n v="20"/>
    <n v="336000"/>
    <n v="0"/>
    <s v="Competition"/>
    <s v="South"/>
    <x v="0"/>
    <s v="CRM"/>
    <x v="15"/>
    <x v="2"/>
  </r>
  <r>
    <s v="O01967"/>
    <s v="C0072"/>
    <s v="P003"/>
    <s v="R008"/>
    <d v="2025-01-03T00:00:00"/>
    <d v="2025-02-04T00:00:00"/>
    <d v="2025-02-04T00:00:00"/>
    <x v="1"/>
    <n v="1"/>
    <n v="0"/>
    <n v="240000"/>
    <n v="100"/>
    <s v=""/>
    <s v="North"/>
    <x v="1"/>
    <s v="Automation"/>
    <x v="0"/>
    <x v="0"/>
  </r>
  <r>
    <s v="O01968"/>
    <s v="C0182"/>
    <s v="P003"/>
    <s v="R013"/>
    <d v="2025-08-14T00:00:00"/>
    <d v="2025-10-16T00:00:00"/>
    <d v="2025-10-16T00:00:00"/>
    <x v="0"/>
    <n v="1"/>
    <n v="15"/>
    <n v="204000"/>
    <n v="0"/>
    <s v="No decision"/>
    <s v="West"/>
    <x v="1"/>
    <s v="Automation"/>
    <x v="5"/>
    <x v="1"/>
  </r>
  <r>
    <s v="O01969"/>
    <s v="C0209"/>
    <s v="P004"/>
    <s v="R011"/>
    <d v="2025-06-23T00:00:00"/>
    <d v="2025-07-31T00:00:00"/>
    <m/>
    <x v="2"/>
    <n v="3"/>
    <n v="5"/>
    <n v="855000"/>
    <n v="40"/>
    <s v=""/>
    <s v="West"/>
    <x v="5"/>
    <s v="Analytics"/>
    <x v="12"/>
    <x v="1"/>
  </r>
  <r>
    <s v="O01970"/>
    <s v="C0426"/>
    <s v="P002"/>
    <s v="R002"/>
    <d v="2025-10-19T00:00:00"/>
    <d v="2025-11-15T00:00:00"/>
    <d v="2025-11-15T00:00:00"/>
    <x v="1"/>
    <n v="2"/>
    <n v="20"/>
    <n v="672000"/>
    <n v="100"/>
    <s v=""/>
    <s v="South"/>
    <x v="0"/>
    <s v="CRM"/>
    <x v="17"/>
    <x v="2"/>
  </r>
  <r>
    <s v="O01971"/>
    <s v="C0426"/>
    <s v="P002"/>
    <s v="R005"/>
    <d v="2025-11-06T00:00:00"/>
    <d v="2025-12-11T00:00:00"/>
    <m/>
    <x v="2"/>
    <n v="2"/>
    <n v="0"/>
    <n v="840000"/>
    <n v="20"/>
    <s v=""/>
    <s v="South"/>
    <x v="0"/>
    <s v="CRM"/>
    <x v="11"/>
    <x v="2"/>
  </r>
  <r>
    <s v="O01972"/>
    <s v="C0342"/>
    <s v="P001"/>
    <s v="R018"/>
    <d v="2025-04-03T00:00:00"/>
    <d v="2025-04-21T00:00:00"/>
    <d v="2025-04-21T00:00:00"/>
    <x v="1"/>
    <n v="2"/>
    <n v="5"/>
    <n v="228000"/>
    <n v="100"/>
    <s v=""/>
    <s v="East"/>
    <x v="4"/>
    <s v="CRM"/>
    <x v="18"/>
    <x v="3"/>
  </r>
  <r>
    <s v="O01973"/>
    <s v="C0368"/>
    <s v="P003"/>
    <s v="R003"/>
    <d v="2025-04-08T00:00:00"/>
    <d v="2025-05-12T00:00:00"/>
    <d v="2025-05-12T00:00:00"/>
    <x v="0"/>
    <n v="2"/>
    <n v="10"/>
    <n v="432000"/>
    <n v="0"/>
    <s v="Budget"/>
    <s v="South"/>
    <x v="1"/>
    <s v="Automation"/>
    <x v="15"/>
    <x v="2"/>
  </r>
  <r>
    <s v="O01974"/>
    <s v="C0029"/>
    <s v="P004"/>
    <s v="R007"/>
    <d v="2025-03-26T00:00:00"/>
    <d v="2025-05-28T00:00:00"/>
    <m/>
    <x v="2"/>
    <n v="2"/>
    <n v="20"/>
    <n v="480000"/>
    <n v="40"/>
    <s v=""/>
    <s v="North"/>
    <x v="5"/>
    <s v="Analytics"/>
    <x v="13"/>
    <x v="0"/>
  </r>
  <r>
    <s v="O01975"/>
    <s v="C0097"/>
    <s v="P005"/>
    <s v="R008"/>
    <d v="2025-04-22T00:00:00"/>
    <d v="2025-05-04T00:00:00"/>
    <d v="2025-05-04T00:00:00"/>
    <x v="1"/>
    <n v="3"/>
    <n v="0"/>
    <n v="540000"/>
    <n v="100"/>
    <s v=""/>
    <s v="North"/>
    <x v="3"/>
    <s v="Service"/>
    <x v="0"/>
    <x v="0"/>
  </r>
  <r>
    <s v="O01976"/>
    <s v="C0246"/>
    <s v="P002"/>
    <s v="R005"/>
    <d v="2025-12-03T00:00:00"/>
    <d v="2026-02-07T00:00:00"/>
    <m/>
    <x v="2"/>
    <n v="1"/>
    <n v="5"/>
    <n v="399000"/>
    <n v="60"/>
    <s v=""/>
    <s v="South"/>
    <x v="0"/>
    <s v="CRM"/>
    <x v="11"/>
    <x v="2"/>
  </r>
  <r>
    <s v="O01977"/>
    <s v="C0146"/>
    <s v="P001"/>
    <s v="R008"/>
    <d v="2025-06-01T00:00:00"/>
    <d v="2025-07-03T00:00:00"/>
    <d v="2025-07-03T00:00:00"/>
    <x v="0"/>
    <n v="1"/>
    <n v="0"/>
    <n v="120000"/>
    <n v="0"/>
    <s v="Budget"/>
    <s v="North"/>
    <x v="4"/>
    <s v="CRM"/>
    <x v="0"/>
    <x v="0"/>
  </r>
  <r>
    <s v="O01978"/>
    <s v="C0168"/>
    <s v="P004"/>
    <s v="R016"/>
    <d v="2025-01-22T00:00:00"/>
    <d v="2025-02-27T00:00:00"/>
    <m/>
    <x v="2"/>
    <n v="1"/>
    <n v="15"/>
    <n v="255000"/>
    <n v="60"/>
    <s v=""/>
    <s v="East"/>
    <x v="5"/>
    <s v="Analytics"/>
    <x v="8"/>
    <x v="3"/>
  </r>
  <r>
    <s v="O01979"/>
    <s v="C0289"/>
    <s v="P002"/>
    <s v="R012"/>
    <d v="2025-03-07T00:00:00"/>
    <d v="2025-04-16T00:00:00"/>
    <d v="2025-04-16T00:00:00"/>
    <x v="1"/>
    <n v="1"/>
    <n v="10"/>
    <n v="378000"/>
    <n v="100"/>
    <s v=""/>
    <s v="West"/>
    <x v="0"/>
    <s v="CRM"/>
    <x v="14"/>
    <x v="1"/>
  </r>
  <r>
    <s v="O01980"/>
    <s v="C0074"/>
    <s v="P004"/>
    <s v="R003"/>
    <d v="2025-04-20T00:00:00"/>
    <d v="2025-06-26T00:00:00"/>
    <d v="2025-06-26T00:00:00"/>
    <x v="1"/>
    <n v="1"/>
    <n v="20"/>
    <n v="240000"/>
    <n v="100"/>
    <s v=""/>
    <s v="South"/>
    <x v="5"/>
    <s v="Analytics"/>
    <x v="15"/>
    <x v="2"/>
  </r>
  <r>
    <s v="O01981"/>
    <s v="C0388"/>
    <s v="P002"/>
    <s v="R008"/>
    <d v="2025-12-10T00:00:00"/>
    <d v="2026-01-05T00:00:00"/>
    <m/>
    <x v="2"/>
    <n v="1"/>
    <n v="20"/>
    <n v="336000"/>
    <n v="60"/>
    <s v=""/>
    <s v="North"/>
    <x v="0"/>
    <s v="CRM"/>
    <x v="0"/>
    <x v="0"/>
  </r>
  <r>
    <s v="O01982"/>
    <s v="C0134"/>
    <s v="P001"/>
    <s v="R014"/>
    <d v="2025-08-10T00:00:00"/>
    <d v="2025-10-31T00:00:00"/>
    <d v="2025-10-31T00:00:00"/>
    <x v="0"/>
    <n v="1"/>
    <n v="5"/>
    <n v="114000"/>
    <n v="0"/>
    <s v="Feature gap"/>
    <s v="West"/>
    <x v="4"/>
    <s v="CRM"/>
    <x v="1"/>
    <x v="1"/>
  </r>
  <r>
    <s v="O01983"/>
    <s v="C0205"/>
    <s v="P004"/>
    <s v="R009"/>
    <d v="2025-07-13T00:00:00"/>
    <d v="2025-09-29T00:00:00"/>
    <d v="2025-09-29T00:00:00"/>
    <x v="0"/>
    <n v="1"/>
    <n v="15"/>
    <n v="255000"/>
    <n v="0"/>
    <s v="Feature gap"/>
    <s v="North"/>
    <x v="5"/>
    <s v="Analytics"/>
    <x v="4"/>
    <x v="0"/>
  </r>
  <r>
    <s v="O01984"/>
    <s v="C0093"/>
    <s v="P003"/>
    <s v="R009"/>
    <d v="2025-03-26T00:00:00"/>
    <d v="2025-04-25T00:00:00"/>
    <d v="2025-04-25T00:00:00"/>
    <x v="0"/>
    <n v="2"/>
    <n v="15"/>
    <n v="408000"/>
    <n v="0"/>
    <s v="Competition"/>
    <s v="North"/>
    <x v="1"/>
    <s v="Automation"/>
    <x v="4"/>
    <x v="0"/>
  </r>
  <r>
    <s v="O01985"/>
    <s v="C0424"/>
    <s v="P004"/>
    <s v="R020"/>
    <d v="2025-11-07T00:00:00"/>
    <d v="2026-01-13T00:00:00"/>
    <m/>
    <x v="2"/>
    <n v="1"/>
    <n v="10"/>
    <n v="270000"/>
    <n v="80"/>
    <s v=""/>
    <s v="East"/>
    <x v="5"/>
    <s v="Analytics"/>
    <x v="9"/>
    <x v="3"/>
  </r>
  <r>
    <s v="O01986"/>
    <s v="C0024"/>
    <s v="P003"/>
    <s v="R011"/>
    <d v="2025-06-02T00:00:00"/>
    <d v="2025-07-28T00:00:00"/>
    <d v="2025-07-28T00:00:00"/>
    <x v="0"/>
    <n v="1"/>
    <n v="20"/>
    <n v="192000"/>
    <n v="0"/>
    <s v="No decision"/>
    <s v="West"/>
    <x v="1"/>
    <s v="Automation"/>
    <x v="12"/>
    <x v="1"/>
  </r>
  <r>
    <s v="O01987"/>
    <s v="C0387"/>
    <s v="P002"/>
    <s v="R015"/>
    <d v="2025-07-04T00:00:00"/>
    <d v="2025-09-03T00:00:00"/>
    <d v="2025-09-03T00:00:00"/>
    <x v="1"/>
    <n v="3"/>
    <n v="10"/>
    <n v="1134000"/>
    <n v="100"/>
    <s v=""/>
    <s v="West"/>
    <x v="0"/>
    <s v="CRM"/>
    <x v="7"/>
    <x v="1"/>
  </r>
  <r>
    <s v="O01988"/>
    <s v="C0117"/>
    <s v="P006"/>
    <s v="R007"/>
    <d v="2025-02-21T00:00:00"/>
    <d v="2025-05-08T00:00:00"/>
    <d v="2025-05-08T00:00:00"/>
    <x v="0"/>
    <n v="1"/>
    <n v="0"/>
    <n v="360000"/>
    <n v="0"/>
    <s v="Feature gap"/>
    <s v="North"/>
    <x v="2"/>
    <s v="Security"/>
    <x v="13"/>
    <x v="0"/>
  </r>
  <r>
    <s v="O01989"/>
    <s v="C0309"/>
    <s v="P002"/>
    <s v="R005"/>
    <d v="2025-10-10T00:00:00"/>
    <d v="2025-10-28T00:00:00"/>
    <m/>
    <x v="2"/>
    <n v="1"/>
    <n v="5"/>
    <n v="399000"/>
    <n v="20"/>
    <s v=""/>
    <s v="South"/>
    <x v="0"/>
    <s v="CRM"/>
    <x v="11"/>
    <x v="2"/>
  </r>
  <r>
    <s v="O01990"/>
    <s v="C0016"/>
    <s v="P001"/>
    <s v="R012"/>
    <d v="2025-05-04T00:00:00"/>
    <d v="2025-06-26T00:00:00"/>
    <d v="2025-06-26T00:00:00"/>
    <x v="0"/>
    <n v="1"/>
    <n v="5"/>
    <n v="114000"/>
    <n v="0"/>
    <s v="Competition"/>
    <s v="West"/>
    <x v="4"/>
    <s v="CRM"/>
    <x v="14"/>
    <x v="1"/>
  </r>
  <r>
    <s v="O01991"/>
    <s v="C0304"/>
    <s v="P005"/>
    <s v="R002"/>
    <d v="2025-02-10T00:00:00"/>
    <d v="2025-02-22T00:00:00"/>
    <d v="2025-02-22T00:00:00"/>
    <x v="1"/>
    <n v="1"/>
    <n v="5"/>
    <n v="171000"/>
    <n v="100"/>
    <s v=""/>
    <s v="South"/>
    <x v="3"/>
    <s v="Service"/>
    <x v="17"/>
    <x v="2"/>
  </r>
  <r>
    <s v="O01992"/>
    <s v="C0326"/>
    <s v="P003"/>
    <s v="R014"/>
    <d v="2025-10-22T00:00:00"/>
    <d v="2025-10-30T00:00:00"/>
    <d v="2025-10-30T00:00:00"/>
    <x v="0"/>
    <n v="1"/>
    <n v="0"/>
    <n v="240000"/>
    <n v="0"/>
    <s v="Feature gap"/>
    <s v="West"/>
    <x v="1"/>
    <s v="Automation"/>
    <x v="1"/>
    <x v="1"/>
  </r>
  <r>
    <s v="O01993"/>
    <s v="C0436"/>
    <s v="P003"/>
    <s v="R020"/>
    <d v="2025-05-03T00:00:00"/>
    <d v="2025-06-06T00:00:00"/>
    <d v="2025-06-06T00:00:00"/>
    <x v="1"/>
    <n v="3"/>
    <n v="15"/>
    <n v="612000"/>
    <n v="100"/>
    <s v=""/>
    <s v="East"/>
    <x v="1"/>
    <s v="Automation"/>
    <x v="9"/>
    <x v="3"/>
  </r>
  <r>
    <s v="O01994"/>
    <s v="C0006"/>
    <s v="P002"/>
    <s v="R019"/>
    <d v="2025-03-14T00:00:00"/>
    <d v="2025-04-13T00:00:00"/>
    <d v="2025-04-13T00:00:00"/>
    <x v="0"/>
    <n v="1"/>
    <n v="10"/>
    <n v="378000"/>
    <n v="0"/>
    <s v="Price"/>
    <s v="East"/>
    <x v="0"/>
    <s v="CRM"/>
    <x v="10"/>
    <x v="3"/>
  </r>
  <r>
    <s v="O01995"/>
    <s v="C0366"/>
    <s v="P005"/>
    <s v="R016"/>
    <d v="2025-04-02T00:00:00"/>
    <d v="2025-04-30T00:00:00"/>
    <m/>
    <x v="2"/>
    <n v="1"/>
    <n v="15"/>
    <n v="153000"/>
    <n v="20"/>
    <s v=""/>
    <s v="East"/>
    <x v="3"/>
    <s v="Service"/>
    <x v="8"/>
    <x v="3"/>
  </r>
  <r>
    <s v="O01996"/>
    <s v="C0358"/>
    <s v="P001"/>
    <s v="R020"/>
    <d v="2025-04-30T00:00:00"/>
    <d v="2025-06-20T00:00:00"/>
    <d v="2025-06-20T00:00:00"/>
    <x v="1"/>
    <n v="1"/>
    <n v="15"/>
    <n v="102000"/>
    <n v="100"/>
    <s v=""/>
    <s v="East"/>
    <x v="4"/>
    <s v="CRM"/>
    <x v="9"/>
    <x v="3"/>
  </r>
  <r>
    <s v="O01997"/>
    <s v="C0224"/>
    <s v="P004"/>
    <s v="R020"/>
    <d v="2025-06-27T00:00:00"/>
    <d v="2025-07-25T00:00:00"/>
    <d v="2025-07-25T00:00:00"/>
    <x v="0"/>
    <n v="3"/>
    <n v="5"/>
    <n v="855000"/>
    <n v="0"/>
    <s v="No decision"/>
    <s v="East"/>
    <x v="5"/>
    <s v="Analytics"/>
    <x v="9"/>
    <x v="3"/>
  </r>
  <r>
    <s v="O01998"/>
    <s v="C0378"/>
    <s v="P002"/>
    <s v="R010"/>
    <d v="2025-01-04T00:00:00"/>
    <d v="2025-01-23T00:00:00"/>
    <d v="2025-01-23T00:00:00"/>
    <x v="1"/>
    <n v="1"/>
    <n v="5"/>
    <n v="399000"/>
    <n v="100"/>
    <s v=""/>
    <s v="North"/>
    <x v="0"/>
    <s v="CRM"/>
    <x v="16"/>
    <x v="0"/>
  </r>
  <r>
    <s v="O01999"/>
    <s v="C0248"/>
    <s v="P006"/>
    <s v="R003"/>
    <d v="2025-04-17T00:00:00"/>
    <d v="2025-04-26T00:00:00"/>
    <d v="2025-04-26T00:00:00"/>
    <x v="0"/>
    <n v="1"/>
    <n v="0"/>
    <n v="360000"/>
    <n v="0"/>
    <s v="Competition"/>
    <s v="South"/>
    <x v="2"/>
    <s v="Security"/>
    <x v="15"/>
    <x v="2"/>
  </r>
  <r>
    <s v="O02000"/>
    <s v="C0176"/>
    <s v="P001"/>
    <s v="R009"/>
    <d v="2025-06-15T00:00:00"/>
    <d v="2025-06-22T00:00:00"/>
    <m/>
    <x v="2"/>
    <n v="3"/>
    <n v="10"/>
    <n v="324000"/>
    <n v="60"/>
    <s v=""/>
    <s v="North"/>
    <x v="4"/>
    <s v="CRM"/>
    <x v="4"/>
    <x v="0"/>
  </r>
  <r>
    <s v="O02001"/>
    <s v="C0224"/>
    <s v="P004"/>
    <s v="R020"/>
    <d v="2025-09-09T00:00:00"/>
    <d v="2025-09-16T00:00:00"/>
    <d v="2025-09-16T00:00:00"/>
    <x v="1"/>
    <n v="3"/>
    <n v="5"/>
    <n v="855000"/>
    <n v="100"/>
    <s v=""/>
    <s v="East"/>
    <x v="5"/>
    <s v="Analytics"/>
    <x v="9"/>
    <x v="3"/>
  </r>
  <r>
    <s v="O02002"/>
    <s v="C0233"/>
    <s v="P006"/>
    <s v="R010"/>
    <d v="2025-08-15T00:00:00"/>
    <d v="2025-09-08T00:00:00"/>
    <d v="2025-09-08T00:00:00"/>
    <x v="1"/>
    <n v="3"/>
    <n v="5"/>
    <n v="1026000"/>
    <n v="100"/>
    <s v=""/>
    <s v="North"/>
    <x v="2"/>
    <s v="Security"/>
    <x v="16"/>
    <x v="0"/>
  </r>
  <r>
    <s v="O02003"/>
    <s v="C0056"/>
    <s v="P001"/>
    <s v="R002"/>
    <d v="2025-02-02T00:00:00"/>
    <d v="2025-03-13T00:00:00"/>
    <m/>
    <x v="2"/>
    <n v="1"/>
    <n v="15"/>
    <n v="102000"/>
    <n v="40"/>
    <s v=""/>
    <s v="South"/>
    <x v="4"/>
    <s v="CRM"/>
    <x v="17"/>
    <x v="2"/>
  </r>
  <r>
    <s v="O02004"/>
    <s v="C0346"/>
    <s v="P004"/>
    <s v="R008"/>
    <d v="2025-09-01T00:00:00"/>
    <d v="2025-09-19T00:00:00"/>
    <m/>
    <x v="2"/>
    <n v="2"/>
    <n v="0"/>
    <n v="600000"/>
    <n v="80"/>
    <s v=""/>
    <s v="North"/>
    <x v="5"/>
    <s v="Analytics"/>
    <x v="0"/>
    <x v="0"/>
  </r>
  <r>
    <s v="O02005"/>
    <s v="C0425"/>
    <s v="P001"/>
    <s v="R014"/>
    <d v="2025-12-05T00:00:00"/>
    <d v="2026-01-20T00:00:00"/>
    <m/>
    <x v="2"/>
    <n v="1"/>
    <n v="20"/>
    <n v="96000"/>
    <n v="20"/>
    <s v=""/>
    <s v="West"/>
    <x v="4"/>
    <s v="CRM"/>
    <x v="1"/>
    <x v="1"/>
  </r>
  <r>
    <s v="O02006"/>
    <s v="C0358"/>
    <s v="P004"/>
    <s v="R019"/>
    <d v="2025-12-22T00:00:00"/>
    <d v="2026-02-23T00:00:00"/>
    <m/>
    <x v="2"/>
    <n v="2"/>
    <n v="0"/>
    <n v="600000"/>
    <n v="60"/>
    <s v=""/>
    <s v="East"/>
    <x v="5"/>
    <s v="Analytics"/>
    <x v="10"/>
    <x v="3"/>
  </r>
  <r>
    <s v="O02007"/>
    <s v="C0405"/>
    <s v="P001"/>
    <s v="R004"/>
    <d v="2025-08-05T00:00:00"/>
    <d v="2025-08-21T00:00:00"/>
    <d v="2025-08-21T00:00:00"/>
    <x v="1"/>
    <n v="2"/>
    <n v="15"/>
    <n v="204000"/>
    <n v="100"/>
    <s v=""/>
    <s v="South"/>
    <x v="4"/>
    <s v="CRM"/>
    <x v="3"/>
    <x v="2"/>
  </r>
  <r>
    <s v="O02008"/>
    <s v="C0232"/>
    <s v="P005"/>
    <s v="R012"/>
    <d v="2025-08-14T00:00:00"/>
    <d v="2025-09-07T00:00:00"/>
    <d v="2025-09-07T00:00:00"/>
    <x v="0"/>
    <n v="1"/>
    <n v="5"/>
    <n v="171000"/>
    <n v="0"/>
    <s v="Price"/>
    <s v="West"/>
    <x v="3"/>
    <s v="Service"/>
    <x v="14"/>
    <x v="1"/>
  </r>
  <r>
    <s v="O02009"/>
    <s v="C0185"/>
    <s v="P006"/>
    <s v="R015"/>
    <d v="2025-09-13T00:00:00"/>
    <d v="2025-11-17T00:00:00"/>
    <d v="2025-11-17T00:00:00"/>
    <x v="1"/>
    <n v="1"/>
    <n v="20"/>
    <n v="288000"/>
    <n v="100"/>
    <s v=""/>
    <s v="West"/>
    <x v="2"/>
    <s v="Security"/>
    <x v="7"/>
    <x v="1"/>
  </r>
  <r>
    <s v="O02010"/>
    <s v="C0125"/>
    <s v="P005"/>
    <s v="R005"/>
    <d v="2025-07-25T00:00:00"/>
    <d v="2025-08-26T00:00:00"/>
    <d v="2025-08-26T00:00:00"/>
    <x v="0"/>
    <n v="3"/>
    <n v="20"/>
    <n v="432000"/>
    <n v="0"/>
    <s v="No decision"/>
    <s v="South"/>
    <x v="3"/>
    <s v="Service"/>
    <x v="11"/>
    <x v="2"/>
  </r>
  <r>
    <s v="O02011"/>
    <s v="C0364"/>
    <s v="P002"/>
    <s v="R005"/>
    <d v="2025-02-09T00:00:00"/>
    <d v="2025-04-27T00:00:00"/>
    <d v="2025-04-27T00:00:00"/>
    <x v="0"/>
    <n v="2"/>
    <n v="15"/>
    <n v="714000"/>
    <n v="0"/>
    <s v="Competition"/>
    <s v="South"/>
    <x v="0"/>
    <s v="CRM"/>
    <x v="11"/>
    <x v="2"/>
  </r>
  <r>
    <s v="O02012"/>
    <s v="C0081"/>
    <s v="P001"/>
    <s v="R006"/>
    <d v="2025-07-30T00:00:00"/>
    <d v="2025-09-06T00:00:00"/>
    <d v="2025-09-06T00:00:00"/>
    <x v="0"/>
    <n v="1"/>
    <n v="0"/>
    <n v="120000"/>
    <n v="0"/>
    <s v="Budget"/>
    <s v="North"/>
    <x v="4"/>
    <s v="CRM"/>
    <x v="2"/>
    <x v="0"/>
  </r>
  <r>
    <s v="O02013"/>
    <s v="C0109"/>
    <s v="P004"/>
    <s v="R012"/>
    <d v="2025-09-28T00:00:00"/>
    <d v="2025-10-28T00:00:00"/>
    <d v="2025-10-28T00:00:00"/>
    <x v="0"/>
    <n v="1"/>
    <n v="5"/>
    <n v="285000"/>
    <n v="0"/>
    <s v="No decision"/>
    <s v="West"/>
    <x v="5"/>
    <s v="Analytics"/>
    <x v="14"/>
    <x v="1"/>
  </r>
  <r>
    <s v="O02014"/>
    <s v="C0061"/>
    <s v="P006"/>
    <s v="R018"/>
    <d v="2025-04-15T00:00:00"/>
    <d v="2025-05-29T00:00:00"/>
    <d v="2025-05-29T00:00:00"/>
    <x v="1"/>
    <n v="1"/>
    <n v="0"/>
    <n v="360000"/>
    <n v="100"/>
    <s v=""/>
    <s v="East"/>
    <x v="2"/>
    <s v="Security"/>
    <x v="18"/>
    <x v="3"/>
  </r>
  <r>
    <s v="O02015"/>
    <s v="C0291"/>
    <s v="P003"/>
    <s v="R019"/>
    <d v="2025-11-25T00:00:00"/>
    <d v="2025-12-12T00:00:00"/>
    <d v="2025-12-12T00:00:00"/>
    <x v="1"/>
    <n v="3"/>
    <n v="20"/>
    <n v="576000"/>
    <n v="100"/>
    <s v=""/>
    <s v="East"/>
    <x v="1"/>
    <s v="Automation"/>
    <x v="10"/>
    <x v="3"/>
  </r>
  <r>
    <s v="O02016"/>
    <s v="C0057"/>
    <s v="P001"/>
    <s v="R004"/>
    <d v="2025-05-20T00:00:00"/>
    <d v="2025-08-13T00:00:00"/>
    <m/>
    <x v="2"/>
    <n v="1"/>
    <n v="10"/>
    <n v="108000"/>
    <n v="80"/>
    <s v=""/>
    <s v="South"/>
    <x v="4"/>
    <s v="CRM"/>
    <x v="3"/>
    <x v="2"/>
  </r>
  <r>
    <s v="O02017"/>
    <s v="C0334"/>
    <s v="P005"/>
    <s v="R015"/>
    <d v="2025-09-28T00:00:00"/>
    <d v="2025-11-21T00:00:00"/>
    <m/>
    <x v="2"/>
    <n v="3"/>
    <n v="0"/>
    <n v="540000"/>
    <n v="60"/>
    <s v=""/>
    <s v="West"/>
    <x v="3"/>
    <s v="Service"/>
    <x v="7"/>
    <x v="1"/>
  </r>
  <r>
    <s v="O02018"/>
    <s v="C0039"/>
    <s v="P005"/>
    <s v="R002"/>
    <d v="2025-05-23T00:00:00"/>
    <d v="2025-08-10T00:00:00"/>
    <d v="2025-08-10T00:00:00"/>
    <x v="0"/>
    <n v="1"/>
    <n v="5"/>
    <n v="171000"/>
    <n v="0"/>
    <s v="Budget"/>
    <s v="South"/>
    <x v="3"/>
    <s v="Service"/>
    <x v="17"/>
    <x v="2"/>
  </r>
  <r>
    <s v="O02019"/>
    <s v="C0245"/>
    <s v="P005"/>
    <s v="R014"/>
    <d v="2025-03-28T00:00:00"/>
    <d v="2025-04-10T00:00:00"/>
    <d v="2025-04-10T00:00:00"/>
    <x v="1"/>
    <n v="1"/>
    <n v="10"/>
    <n v="162000"/>
    <n v="100"/>
    <s v=""/>
    <s v="West"/>
    <x v="3"/>
    <s v="Service"/>
    <x v="1"/>
    <x v="1"/>
  </r>
  <r>
    <s v="O02020"/>
    <s v="C0059"/>
    <s v="P006"/>
    <s v="R016"/>
    <d v="2025-07-13T00:00:00"/>
    <d v="2025-10-04T00:00:00"/>
    <m/>
    <x v="2"/>
    <n v="2"/>
    <n v="5"/>
    <n v="684000"/>
    <n v="80"/>
    <s v=""/>
    <s v="East"/>
    <x v="2"/>
    <s v="Security"/>
    <x v="8"/>
    <x v="3"/>
  </r>
  <r>
    <s v="O02021"/>
    <s v="C0040"/>
    <s v="P003"/>
    <s v="R009"/>
    <d v="2025-02-12T00:00:00"/>
    <d v="2025-02-20T00:00:00"/>
    <d v="2025-02-20T00:00:00"/>
    <x v="1"/>
    <n v="1"/>
    <n v="0"/>
    <n v="240000"/>
    <n v="100"/>
    <s v=""/>
    <s v="North"/>
    <x v="1"/>
    <s v="Automation"/>
    <x v="4"/>
    <x v="0"/>
  </r>
  <r>
    <s v="O02022"/>
    <s v="C0085"/>
    <s v="P005"/>
    <s v="R010"/>
    <d v="2025-10-05T00:00:00"/>
    <d v="2025-12-16T00:00:00"/>
    <d v="2025-12-16T00:00:00"/>
    <x v="0"/>
    <n v="1"/>
    <n v="5"/>
    <n v="171000"/>
    <n v="0"/>
    <s v="Competition"/>
    <s v="North"/>
    <x v="3"/>
    <s v="Service"/>
    <x v="16"/>
    <x v="0"/>
  </r>
  <r>
    <s v="O02023"/>
    <s v="C0152"/>
    <s v="P002"/>
    <s v="R003"/>
    <d v="2025-01-19T00:00:00"/>
    <d v="2025-03-17T00:00:00"/>
    <m/>
    <x v="2"/>
    <n v="2"/>
    <n v="20"/>
    <n v="672000"/>
    <n v="80"/>
    <s v=""/>
    <s v="South"/>
    <x v="0"/>
    <s v="CRM"/>
    <x v="15"/>
    <x v="2"/>
  </r>
  <r>
    <s v="O02024"/>
    <s v="C0008"/>
    <s v="P006"/>
    <s v="R014"/>
    <d v="2025-04-25T00:00:00"/>
    <d v="2025-05-23T00:00:00"/>
    <m/>
    <x v="2"/>
    <n v="1"/>
    <n v="20"/>
    <n v="288000"/>
    <n v="80"/>
    <s v=""/>
    <s v="West"/>
    <x v="2"/>
    <s v="Security"/>
    <x v="1"/>
    <x v="1"/>
  </r>
  <r>
    <s v="O02025"/>
    <s v="C0361"/>
    <s v="P003"/>
    <s v="R010"/>
    <d v="2025-12-29T00:00:00"/>
    <d v="2026-02-08T00:00:00"/>
    <m/>
    <x v="2"/>
    <n v="2"/>
    <n v="10"/>
    <n v="432000"/>
    <n v="80"/>
    <s v=""/>
    <s v="North"/>
    <x v="1"/>
    <s v="Automation"/>
    <x v="16"/>
    <x v="0"/>
  </r>
  <r>
    <s v="O02026"/>
    <s v="C0338"/>
    <s v="P005"/>
    <s v="R020"/>
    <d v="2025-04-17T00:00:00"/>
    <d v="2025-06-18T00:00:00"/>
    <d v="2025-06-18T00:00:00"/>
    <x v="0"/>
    <n v="1"/>
    <n v="15"/>
    <n v="153000"/>
    <n v="0"/>
    <s v="Price"/>
    <s v="East"/>
    <x v="3"/>
    <s v="Service"/>
    <x v="9"/>
    <x v="3"/>
  </r>
  <r>
    <s v="O02027"/>
    <s v="C0345"/>
    <s v="P005"/>
    <s v="R016"/>
    <d v="2025-06-12T00:00:00"/>
    <d v="2025-07-24T00:00:00"/>
    <d v="2025-07-24T00:00:00"/>
    <x v="1"/>
    <n v="1"/>
    <n v="20"/>
    <n v="144000"/>
    <n v="100"/>
    <s v=""/>
    <s v="East"/>
    <x v="3"/>
    <s v="Service"/>
    <x v="8"/>
    <x v="3"/>
  </r>
  <r>
    <s v="O02028"/>
    <s v="C0210"/>
    <s v="P005"/>
    <s v="R014"/>
    <d v="2025-08-06T00:00:00"/>
    <d v="2025-10-05T00:00:00"/>
    <d v="2025-10-05T00:00:00"/>
    <x v="0"/>
    <n v="1"/>
    <n v="10"/>
    <n v="162000"/>
    <n v="0"/>
    <s v="No decision"/>
    <s v="West"/>
    <x v="3"/>
    <s v="Service"/>
    <x v="1"/>
    <x v="1"/>
  </r>
  <r>
    <s v="O02029"/>
    <s v="C0071"/>
    <s v="P004"/>
    <s v="R008"/>
    <d v="2025-12-02T00:00:00"/>
    <d v="2025-12-22T00:00:00"/>
    <d v="2025-12-22T00:00:00"/>
    <x v="1"/>
    <n v="3"/>
    <n v="0"/>
    <n v="900000"/>
    <n v="100"/>
    <s v=""/>
    <s v="North"/>
    <x v="5"/>
    <s v="Analytics"/>
    <x v="0"/>
    <x v="0"/>
  </r>
  <r>
    <s v="O02030"/>
    <s v="C0173"/>
    <s v="P002"/>
    <s v="R013"/>
    <d v="2025-11-25T00:00:00"/>
    <d v="2026-01-29T00:00:00"/>
    <m/>
    <x v="2"/>
    <n v="3"/>
    <n v="10"/>
    <n v="1134000"/>
    <n v="20"/>
    <s v=""/>
    <s v="West"/>
    <x v="0"/>
    <s v="CRM"/>
    <x v="5"/>
    <x v="1"/>
  </r>
  <r>
    <s v="O02031"/>
    <s v="C0483"/>
    <s v="P003"/>
    <s v="R010"/>
    <d v="2025-05-29T00:00:00"/>
    <d v="2025-08-19T00:00:00"/>
    <d v="2025-08-19T00:00:00"/>
    <x v="0"/>
    <n v="1"/>
    <n v="0"/>
    <n v="240000"/>
    <n v="0"/>
    <s v="Budget"/>
    <s v="North"/>
    <x v="1"/>
    <s v="Automation"/>
    <x v="16"/>
    <x v="0"/>
  </r>
  <r>
    <s v="O02032"/>
    <s v="C0390"/>
    <s v="P004"/>
    <s v="R013"/>
    <d v="2025-03-24T00:00:00"/>
    <d v="2025-05-20T00:00:00"/>
    <d v="2025-05-20T00:00:00"/>
    <x v="1"/>
    <n v="2"/>
    <n v="10"/>
    <n v="540000"/>
    <n v="100"/>
    <s v=""/>
    <s v="West"/>
    <x v="5"/>
    <s v="Analytics"/>
    <x v="5"/>
    <x v="1"/>
  </r>
  <r>
    <s v="O02033"/>
    <s v="C0031"/>
    <s v="P005"/>
    <s v="R018"/>
    <d v="2025-02-15T00:00:00"/>
    <d v="2025-03-04T00:00:00"/>
    <d v="2025-03-04T00:00:00"/>
    <x v="1"/>
    <n v="1"/>
    <n v="10"/>
    <n v="162000"/>
    <n v="100"/>
    <s v=""/>
    <s v="East"/>
    <x v="3"/>
    <s v="Service"/>
    <x v="18"/>
    <x v="3"/>
  </r>
  <r>
    <s v="O02034"/>
    <s v="C0315"/>
    <s v="P003"/>
    <s v="R004"/>
    <d v="2025-02-06T00:00:00"/>
    <d v="2025-04-09T00:00:00"/>
    <d v="2025-04-09T00:00:00"/>
    <x v="1"/>
    <n v="1"/>
    <n v="0"/>
    <n v="240000"/>
    <n v="100"/>
    <s v=""/>
    <s v="South"/>
    <x v="1"/>
    <s v="Automation"/>
    <x v="3"/>
    <x v="2"/>
  </r>
  <r>
    <s v="O02035"/>
    <s v="C0105"/>
    <s v="P003"/>
    <s v="R014"/>
    <d v="2025-02-09T00:00:00"/>
    <d v="2025-05-03T00:00:00"/>
    <d v="2025-05-03T00:00:00"/>
    <x v="1"/>
    <n v="2"/>
    <n v="20"/>
    <n v="384000"/>
    <n v="100"/>
    <s v=""/>
    <s v="West"/>
    <x v="1"/>
    <s v="Automation"/>
    <x v="1"/>
    <x v="1"/>
  </r>
  <r>
    <s v="O02036"/>
    <s v="C0112"/>
    <s v="P006"/>
    <s v="R010"/>
    <d v="2025-01-22T00:00:00"/>
    <d v="2025-04-17T00:00:00"/>
    <d v="2025-04-17T00:00:00"/>
    <x v="1"/>
    <n v="1"/>
    <n v="15"/>
    <n v="306000"/>
    <n v="100"/>
    <s v=""/>
    <s v="North"/>
    <x v="2"/>
    <s v="Security"/>
    <x v="16"/>
    <x v="0"/>
  </r>
  <r>
    <s v="O02037"/>
    <s v="C0335"/>
    <s v="P004"/>
    <s v="R006"/>
    <d v="2025-12-07T00:00:00"/>
    <d v="2025-12-16T00:00:00"/>
    <d v="2025-12-16T00:00:00"/>
    <x v="1"/>
    <n v="3"/>
    <n v="5"/>
    <n v="855000"/>
    <n v="100"/>
    <s v=""/>
    <s v="North"/>
    <x v="5"/>
    <s v="Analytics"/>
    <x v="2"/>
    <x v="0"/>
  </r>
  <r>
    <s v="O02038"/>
    <s v="C0124"/>
    <s v="P004"/>
    <s v="R004"/>
    <d v="2025-07-31T00:00:00"/>
    <d v="2025-10-04T00:00:00"/>
    <d v="2025-10-04T00:00:00"/>
    <x v="0"/>
    <n v="2"/>
    <n v="15"/>
    <n v="510000"/>
    <n v="0"/>
    <s v="No decision"/>
    <s v="South"/>
    <x v="5"/>
    <s v="Analytics"/>
    <x v="3"/>
    <x v="2"/>
  </r>
  <r>
    <s v="O02039"/>
    <s v="C0057"/>
    <s v="P005"/>
    <s v="R003"/>
    <d v="2025-12-23T00:00:00"/>
    <d v="2026-02-13T00:00:00"/>
    <m/>
    <x v="2"/>
    <n v="1"/>
    <n v="0"/>
    <n v="180000"/>
    <n v="20"/>
    <s v=""/>
    <s v="South"/>
    <x v="3"/>
    <s v="Service"/>
    <x v="15"/>
    <x v="2"/>
  </r>
  <r>
    <s v="O02040"/>
    <s v="C0317"/>
    <s v="P006"/>
    <s v="R012"/>
    <d v="2025-04-09T00:00:00"/>
    <d v="2025-05-10T00:00:00"/>
    <d v="2025-05-10T00:00:00"/>
    <x v="0"/>
    <n v="1"/>
    <n v="5"/>
    <n v="342000"/>
    <n v="0"/>
    <s v="Price"/>
    <s v="West"/>
    <x v="2"/>
    <s v="Security"/>
    <x v="14"/>
    <x v="1"/>
  </r>
  <r>
    <s v="O02041"/>
    <s v="C0410"/>
    <s v="P004"/>
    <s v="R016"/>
    <d v="2025-07-17T00:00:00"/>
    <d v="2025-08-06T00:00:00"/>
    <d v="2025-08-06T00:00:00"/>
    <x v="0"/>
    <n v="1"/>
    <n v="0"/>
    <n v="300000"/>
    <n v="0"/>
    <s v="Budget"/>
    <s v="East"/>
    <x v="5"/>
    <s v="Analytics"/>
    <x v="8"/>
    <x v="3"/>
  </r>
  <r>
    <s v="O02042"/>
    <s v="C0028"/>
    <s v="P002"/>
    <s v="R020"/>
    <d v="2025-05-25T00:00:00"/>
    <d v="2025-08-12T00:00:00"/>
    <d v="2025-08-12T00:00:00"/>
    <x v="1"/>
    <n v="1"/>
    <n v="15"/>
    <n v="357000"/>
    <n v="100"/>
    <s v=""/>
    <s v="East"/>
    <x v="0"/>
    <s v="CRM"/>
    <x v="9"/>
    <x v="3"/>
  </r>
  <r>
    <s v="O02043"/>
    <s v="C0192"/>
    <s v="P005"/>
    <s v="R007"/>
    <d v="2025-10-02T00:00:00"/>
    <d v="2025-12-19T00:00:00"/>
    <d v="2025-12-19T00:00:00"/>
    <x v="1"/>
    <n v="3"/>
    <n v="0"/>
    <n v="540000"/>
    <n v="100"/>
    <s v=""/>
    <s v="North"/>
    <x v="3"/>
    <s v="Service"/>
    <x v="13"/>
    <x v="0"/>
  </r>
  <r>
    <s v="O02044"/>
    <s v="C0151"/>
    <s v="P003"/>
    <s v="R014"/>
    <d v="2025-05-09T00:00:00"/>
    <d v="2025-06-03T00:00:00"/>
    <m/>
    <x v="2"/>
    <n v="1"/>
    <n v="20"/>
    <n v="192000"/>
    <n v="20"/>
    <s v=""/>
    <s v="West"/>
    <x v="1"/>
    <s v="Automation"/>
    <x v="1"/>
    <x v="1"/>
  </r>
  <r>
    <s v="O02045"/>
    <s v="C0449"/>
    <s v="P006"/>
    <s v="R005"/>
    <d v="2025-07-12T00:00:00"/>
    <d v="2025-09-03T00:00:00"/>
    <d v="2025-09-03T00:00:00"/>
    <x v="0"/>
    <n v="1"/>
    <n v="10"/>
    <n v="324000"/>
    <n v="0"/>
    <s v="Price"/>
    <s v="South"/>
    <x v="2"/>
    <s v="Security"/>
    <x v="11"/>
    <x v="2"/>
  </r>
  <r>
    <s v="O02046"/>
    <s v="C0352"/>
    <s v="P003"/>
    <s v="R001"/>
    <d v="2025-03-05T00:00:00"/>
    <d v="2025-04-19T00:00:00"/>
    <m/>
    <x v="2"/>
    <n v="2"/>
    <n v="15"/>
    <n v="408000"/>
    <n v="20"/>
    <s v=""/>
    <s v="South"/>
    <x v="1"/>
    <s v="Automation"/>
    <x v="6"/>
    <x v="2"/>
  </r>
  <r>
    <s v="O02047"/>
    <s v="C0015"/>
    <s v="P001"/>
    <s v="R003"/>
    <d v="2025-12-08T00:00:00"/>
    <d v="2026-02-14T00:00:00"/>
    <m/>
    <x v="2"/>
    <n v="1"/>
    <n v="15"/>
    <n v="102000"/>
    <n v="40"/>
    <s v=""/>
    <s v="South"/>
    <x v="4"/>
    <s v="CRM"/>
    <x v="15"/>
    <x v="2"/>
  </r>
  <r>
    <s v="O02048"/>
    <s v="C0383"/>
    <s v="P004"/>
    <s v="R015"/>
    <d v="2025-11-13T00:00:00"/>
    <d v="2025-12-01T00:00:00"/>
    <d v="2025-12-01T00:00:00"/>
    <x v="1"/>
    <n v="2"/>
    <n v="10"/>
    <n v="540000"/>
    <n v="100"/>
    <s v=""/>
    <s v="West"/>
    <x v="5"/>
    <s v="Analytics"/>
    <x v="7"/>
    <x v="1"/>
  </r>
  <r>
    <s v="O02049"/>
    <s v="C0461"/>
    <s v="P005"/>
    <s v="R008"/>
    <d v="2025-02-16T00:00:00"/>
    <d v="2025-03-01T00:00:00"/>
    <m/>
    <x v="2"/>
    <n v="2"/>
    <n v="15"/>
    <n v="306000"/>
    <n v="20"/>
    <s v=""/>
    <s v="North"/>
    <x v="3"/>
    <s v="Service"/>
    <x v="0"/>
    <x v="0"/>
  </r>
  <r>
    <s v="O02050"/>
    <s v="C0213"/>
    <s v="P005"/>
    <s v="R005"/>
    <d v="2025-06-04T00:00:00"/>
    <d v="2025-08-22T00:00:00"/>
    <m/>
    <x v="2"/>
    <n v="1"/>
    <n v="15"/>
    <n v="153000"/>
    <n v="40"/>
    <s v=""/>
    <s v="South"/>
    <x v="3"/>
    <s v="Service"/>
    <x v="11"/>
    <x v="2"/>
  </r>
  <r>
    <s v="O02051"/>
    <s v="C0172"/>
    <s v="P004"/>
    <s v="R007"/>
    <d v="2025-04-06T00:00:00"/>
    <d v="2025-05-30T00:00:00"/>
    <d v="2025-05-30T00:00:00"/>
    <x v="1"/>
    <n v="1"/>
    <n v="20"/>
    <n v="240000"/>
    <n v="100"/>
    <s v=""/>
    <s v="North"/>
    <x v="5"/>
    <s v="Analytics"/>
    <x v="13"/>
    <x v="0"/>
  </r>
  <r>
    <s v="O02052"/>
    <s v="C0231"/>
    <s v="P006"/>
    <s v="R008"/>
    <d v="2025-10-13T00:00:00"/>
    <d v="2025-12-08T00:00:00"/>
    <m/>
    <x v="2"/>
    <n v="3"/>
    <n v="15"/>
    <n v="918000"/>
    <n v="60"/>
    <s v=""/>
    <s v="North"/>
    <x v="2"/>
    <s v="Security"/>
    <x v="0"/>
    <x v="0"/>
  </r>
  <r>
    <s v="O02053"/>
    <s v="C0322"/>
    <s v="P001"/>
    <s v="R013"/>
    <d v="2025-12-29T00:00:00"/>
    <d v="2026-03-19T00:00:00"/>
    <m/>
    <x v="2"/>
    <n v="1"/>
    <n v="5"/>
    <n v="114000"/>
    <n v="60"/>
    <s v=""/>
    <s v="West"/>
    <x v="4"/>
    <s v="CRM"/>
    <x v="5"/>
    <x v="1"/>
  </r>
  <r>
    <s v="O02054"/>
    <s v="C0069"/>
    <s v="P004"/>
    <s v="R013"/>
    <d v="2025-07-27T00:00:00"/>
    <d v="2025-08-04T00:00:00"/>
    <d v="2025-08-04T00:00:00"/>
    <x v="0"/>
    <n v="1"/>
    <n v="15"/>
    <n v="255000"/>
    <n v="0"/>
    <s v="Competition"/>
    <s v="West"/>
    <x v="5"/>
    <s v="Analytics"/>
    <x v="5"/>
    <x v="1"/>
  </r>
  <r>
    <s v="O02055"/>
    <s v="C0350"/>
    <s v="P006"/>
    <s v="R006"/>
    <d v="2025-09-26T00:00:00"/>
    <d v="2025-11-16T00:00:00"/>
    <d v="2025-11-16T00:00:00"/>
    <x v="0"/>
    <n v="1"/>
    <n v="15"/>
    <n v="306000"/>
    <n v="0"/>
    <s v="No decision"/>
    <s v="North"/>
    <x v="2"/>
    <s v="Security"/>
    <x v="2"/>
    <x v="0"/>
  </r>
  <r>
    <s v="O02056"/>
    <s v="C0329"/>
    <s v="P006"/>
    <s v="R008"/>
    <d v="2025-09-09T00:00:00"/>
    <d v="2025-11-05T00:00:00"/>
    <d v="2025-11-05T00:00:00"/>
    <x v="0"/>
    <n v="3"/>
    <n v="10"/>
    <n v="972000"/>
    <n v="0"/>
    <s v="Feature gap"/>
    <s v="North"/>
    <x v="2"/>
    <s v="Security"/>
    <x v="0"/>
    <x v="0"/>
  </r>
  <r>
    <s v="O02057"/>
    <s v="C0105"/>
    <s v="P001"/>
    <s v="R012"/>
    <d v="2025-03-07T00:00:00"/>
    <d v="2025-05-20T00:00:00"/>
    <d v="2025-05-20T00:00:00"/>
    <x v="1"/>
    <n v="1"/>
    <n v="15"/>
    <n v="102000"/>
    <n v="100"/>
    <s v=""/>
    <s v="West"/>
    <x v="4"/>
    <s v="CRM"/>
    <x v="14"/>
    <x v="1"/>
  </r>
  <r>
    <s v="O02058"/>
    <s v="C0352"/>
    <s v="P004"/>
    <s v="R005"/>
    <d v="2025-06-18T00:00:00"/>
    <d v="2025-08-16T00:00:00"/>
    <d v="2025-08-16T00:00:00"/>
    <x v="0"/>
    <n v="1"/>
    <n v="0"/>
    <n v="300000"/>
    <n v="0"/>
    <s v="Competition"/>
    <s v="South"/>
    <x v="5"/>
    <s v="Analytics"/>
    <x v="11"/>
    <x v="2"/>
  </r>
  <r>
    <s v="O02059"/>
    <s v="C0391"/>
    <s v="P001"/>
    <s v="R009"/>
    <d v="2025-09-06T00:00:00"/>
    <d v="2025-09-16T00:00:00"/>
    <m/>
    <x v="2"/>
    <n v="1"/>
    <n v="15"/>
    <n v="102000"/>
    <n v="80"/>
    <s v=""/>
    <s v="North"/>
    <x v="4"/>
    <s v="CRM"/>
    <x v="4"/>
    <x v="0"/>
  </r>
  <r>
    <s v="O02060"/>
    <s v="C0264"/>
    <s v="P003"/>
    <s v="R018"/>
    <d v="2025-01-06T00:00:00"/>
    <d v="2025-03-16T00:00:00"/>
    <d v="2025-03-16T00:00:00"/>
    <x v="1"/>
    <n v="3"/>
    <n v="0"/>
    <n v="720000"/>
    <n v="100"/>
    <s v=""/>
    <s v="East"/>
    <x v="1"/>
    <s v="Automation"/>
    <x v="18"/>
    <x v="3"/>
  </r>
  <r>
    <s v="O02061"/>
    <s v="C0129"/>
    <s v="P006"/>
    <s v="R008"/>
    <d v="2025-03-06T00:00:00"/>
    <d v="2025-05-09T00:00:00"/>
    <m/>
    <x v="2"/>
    <n v="1"/>
    <n v="15"/>
    <n v="306000"/>
    <n v="80"/>
    <s v=""/>
    <s v="North"/>
    <x v="2"/>
    <s v="Security"/>
    <x v="0"/>
    <x v="0"/>
  </r>
  <r>
    <s v="O02062"/>
    <s v="C0207"/>
    <s v="P005"/>
    <s v="R009"/>
    <d v="2025-10-12T00:00:00"/>
    <d v="2025-10-27T00:00:00"/>
    <d v="2025-10-27T00:00:00"/>
    <x v="1"/>
    <n v="1"/>
    <n v="15"/>
    <n v="153000"/>
    <n v="100"/>
    <s v=""/>
    <s v="North"/>
    <x v="3"/>
    <s v="Service"/>
    <x v="4"/>
    <x v="0"/>
  </r>
  <r>
    <s v="O02063"/>
    <s v="C0122"/>
    <s v="P005"/>
    <s v="R015"/>
    <d v="2025-03-28T00:00:00"/>
    <d v="2025-04-13T00:00:00"/>
    <m/>
    <x v="2"/>
    <n v="1"/>
    <n v="0"/>
    <n v="180000"/>
    <n v="60"/>
    <s v=""/>
    <s v="West"/>
    <x v="3"/>
    <s v="Service"/>
    <x v="7"/>
    <x v="1"/>
  </r>
  <r>
    <s v="O02064"/>
    <s v="C0071"/>
    <s v="P005"/>
    <s v="R007"/>
    <d v="2025-03-10T00:00:00"/>
    <d v="2025-05-05T00:00:00"/>
    <d v="2025-05-05T00:00:00"/>
    <x v="0"/>
    <n v="1"/>
    <n v="20"/>
    <n v="144000"/>
    <n v="0"/>
    <s v="Budget"/>
    <s v="North"/>
    <x v="3"/>
    <s v="Service"/>
    <x v="13"/>
    <x v="0"/>
  </r>
  <r>
    <s v="O02065"/>
    <s v="C0298"/>
    <s v="P003"/>
    <s v="R002"/>
    <d v="2025-12-10T00:00:00"/>
    <d v="2026-01-18T00:00:00"/>
    <m/>
    <x v="2"/>
    <n v="1"/>
    <n v="15"/>
    <n v="204000"/>
    <n v="80"/>
    <s v=""/>
    <s v="South"/>
    <x v="1"/>
    <s v="Automation"/>
    <x v="17"/>
    <x v="2"/>
  </r>
  <r>
    <s v="O02066"/>
    <s v="C0358"/>
    <s v="P003"/>
    <s v="R020"/>
    <d v="2025-06-27T00:00:00"/>
    <d v="2025-08-29T00:00:00"/>
    <d v="2025-08-29T00:00:00"/>
    <x v="0"/>
    <n v="3"/>
    <n v="5"/>
    <n v="684000"/>
    <n v="0"/>
    <s v="Competition"/>
    <s v="East"/>
    <x v="1"/>
    <s v="Automation"/>
    <x v="9"/>
    <x v="3"/>
  </r>
  <r>
    <s v="O02067"/>
    <s v="C0197"/>
    <s v="P001"/>
    <s v="R010"/>
    <d v="2025-06-17T00:00:00"/>
    <d v="2025-08-15T00:00:00"/>
    <d v="2025-08-15T00:00:00"/>
    <x v="0"/>
    <n v="1"/>
    <n v="20"/>
    <n v="96000"/>
    <n v="0"/>
    <s v="Feature gap"/>
    <s v="North"/>
    <x v="4"/>
    <s v="CRM"/>
    <x v="16"/>
    <x v="0"/>
  </r>
  <r>
    <s v="O02068"/>
    <s v="C0463"/>
    <s v="P002"/>
    <s v="R002"/>
    <d v="2025-10-09T00:00:00"/>
    <d v="2025-10-28T00:00:00"/>
    <m/>
    <x v="2"/>
    <n v="1"/>
    <n v="5"/>
    <n v="399000"/>
    <n v="20"/>
    <s v=""/>
    <s v="South"/>
    <x v="0"/>
    <s v="CRM"/>
    <x v="17"/>
    <x v="2"/>
  </r>
  <r>
    <s v="O02069"/>
    <s v="C0459"/>
    <s v="P004"/>
    <s v="R013"/>
    <d v="2025-08-04T00:00:00"/>
    <d v="2025-10-08T00:00:00"/>
    <d v="2025-10-08T00:00:00"/>
    <x v="0"/>
    <n v="1"/>
    <n v="20"/>
    <n v="240000"/>
    <n v="0"/>
    <s v="Budget"/>
    <s v="West"/>
    <x v="5"/>
    <s v="Analytics"/>
    <x v="5"/>
    <x v="1"/>
  </r>
  <r>
    <s v="O02070"/>
    <s v="C0125"/>
    <s v="P001"/>
    <s v="R004"/>
    <d v="2025-05-09T00:00:00"/>
    <d v="2025-05-16T00:00:00"/>
    <d v="2025-05-16T00:00:00"/>
    <x v="0"/>
    <n v="3"/>
    <n v="10"/>
    <n v="324000"/>
    <n v="0"/>
    <s v="No decision"/>
    <s v="South"/>
    <x v="4"/>
    <s v="CRM"/>
    <x v="3"/>
    <x v="2"/>
  </r>
  <r>
    <s v="O02071"/>
    <s v="C0066"/>
    <s v="P003"/>
    <s v="R013"/>
    <d v="2025-09-11T00:00:00"/>
    <d v="2025-09-24T00:00:00"/>
    <m/>
    <x v="2"/>
    <n v="1"/>
    <n v="20"/>
    <n v="192000"/>
    <n v="60"/>
    <s v=""/>
    <s v="West"/>
    <x v="1"/>
    <s v="Automation"/>
    <x v="5"/>
    <x v="1"/>
  </r>
  <r>
    <s v="O02072"/>
    <s v="C0063"/>
    <s v="P003"/>
    <s v="R010"/>
    <d v="2025-08-28T00:00:00"/>
    <d v="2025-09-05T00:00:00"/>
    <m/>
    <x v="2"/>
    <n v="1"/>
    <n v="0"/>
    <n v="240000"/>
    <n v="20"/>
    <s v=""/>
    <s v="North"/>
    <x v="1"/>
    <s v="Automation"/>
    <x v="16"/>
    <x v="0"/>
  </r>
  <r>
    <s v="O02073"/>
    <s v="C0132"/>
    <s v="P004"/>
    <s v="R019"/>
    <d v="2025-12-30T00:00:00"/>
    <d v="2026-02-14T00:00:00"/>
    <m/>
    <x v="2"/>
    <n v="2"/>
    <n v="10"/>
    <n v="540000"/>
    <n v="40"/>
    <s v=""/>
    <s v="East"/>
    <x v="5"/>
    <s v="Analytics"/>
    <x v="10"/>
    <x v="3"/>
  </r>
  <r>
    <s v="O02074"/>
    <s v="C0255"/>
    <s v="P001"/>
    <s v="R020"/>
    <d v="2025-04-23T00:00:00"/>
    <d v="2025-05-25T00:00:00"/>
    <d v="2025-05-25T00:00:00"/>
    <x v="1"/>
    <n v="1"/>
    <n v="10"/>
    <n v="108000"/>
    <n v="100"/>
    <s v=""/>
    <s v="East"/>
    <x v="4"/>
    <s v="CRM"/>
    <x v="9"/>
    <x v="3"/>
  </r>
  <r>
    <s v="O02075"/>
    <s v="C0308"/>
    <s v="P003"/>
    <s v="R001"/>
    <d v="2025-10-23T00:00:00"/>
    <d v="2026-01-11T00:00:00"/>
    <m/>
    <x v="2"/>
    <n v="1"/>
    <n v="0"/>
    <n v="240000"/>
    <n v="40"/>
    <s v=""/>
    <s v="South"/>
    <x v="1"/>
    <s v="Automation"/>
    <x v="6"/>
    <x v="2"/>
  </r>
  <r>
    <s v="O02076"/>
    <s v="C0200"/>
    <s v="P004"/>
    <s v="R006"/>
    <d v="2025-11-20T00:00:00"/>
    <d v="2025-12-18T00:00:00"/>
    <d v="2025-12-18T00:00:00"/>
    <x v="0"/>
    <n v="3"/>
    <n v="20"/>
    <n v="720000"/>
    <n v="0"/>
    <s v="Price"/>
    <s v="North"/>
    <x v="5"/>
    <s v="Analytics"/>
    <x v="2"/>
    <x v="0"/>
  </r>
  <r>
    <s v="O02077"/>
    <s v="C0112"/>
    <s v="P005"/>
    <s v="R009"/>
    <d v="2025-05-27T00:00:00"/>
    <d v="2025-06-27T00:00:00"/>
    <d v="2025-06-27T00:00:00"/>
    <x v="1"/>
    <n v="1"/>
    <n v="20"/>
    <n v="144000"/>
    <n v="100"/>
    <s v=""/>
    <s v="North"/>
    <x v="3"/>
    <s v="Service"/>
    <x v="4"/>
    <x v="0"/>
  </r>
  <r>
    <s v="O02078"/>
    <s v="C0198"/>
    <s v="P004"/>
    <s v="R012"/>
    <d v="2025-09-19T00:00:00"/>
    <d v="2025-09-26T00:00:00"/>
    <d v="2025-09-26T00:00:00"/>
    <x v="1"/>
    <n v="2"/>
    <n v="0"/>
    <n v="600000"/>
    <n v="100"/>
    <s v=""/>
    <s v="West"/>
    <x v="5"/>
    <s v="Analytics"/>
    <x v="14"/>
    <x v="1"/>
  </r>
  <r>
    <s v="O02079"/>
    <s v="C0225"/>
    <s v="P004"/>
    <s v="R019"/>
    <d v="2025-08-20T00:00:00"/>
    <d v="2025-11-10T00:00:00"/>
    <d v="2025-11-10T00:00:00"/>
    <x v="0"/>
    <n v="1"/>
    <n v="20"/>
    <n v="240000"/>
    <n v="0"/>
    <s v="Price"/>
    <s v="East"/>
    <x v="5"/>
    <s v="Analytics"/>
    <x v="10"/>
    <x v="3"/>
  </r>
  <r>
    <s v="O02080"/>
    <s v="C0258"/>
    <s v="P005"/>
    <s v="R017"/>
    <d v="2025-05-02T00:00:00"/>
    <d v="2025-05-10T00:00:00"/>
    <d v="2025-05-10T00:00:00"/>
    <x v="0"/>
    <n v="1"/>
    <n v="15"/>
    <n v="153000"/>
    <n v="0"/>
    <s v="No decision"/>
    <s v="East"/>
    <x v="3"/>
    <s v="Service"/>
    <x v="19"/>
    <x v="3"/>
  </r>
  <r>
    <s v="O02081"/>
    <s v="C0033"/>
    <s v="P002"/>
    <s v="R014"/>
    <d v="2025-05-25T00:00:00"/>
    <d v="2025-07-24T00:00:00"/>
    <d v="2025-07-24T00:00:00"/>
    <x v="0"/>
    <n v="2"/>
    <n v="10"/>
    <n v="756000"/>
    <n v="0"/>
    <s v="Price"/>
    <s v="West"/>
    <x v="0"/>
    <s v="CRM"/>
    <x v="1"/>
    <x v="1"/>
  </r>
  <r>
    <s v="O02082"/>
    <s v="C0075"/>
    <s v="P003"/>
    <s v="R012"/>
    <d v="2025-08-03T00:00:00"/>
    <d v="2025-10-26T00:00:00"/>
    <d v="2025-10-26T00:00:00"/>
    <x v="0"/>
    <n v="3"/>
    <n v="0"/>
    <n v="720000"/>
    <n v="0"/>
    <s v="Feature gap"/>
    <s v="West"/>
    <x v="1"/>
    <s v="Automation"/>
    <x v="14"/>
    <x v="1"/>
  </r>
  <r>
    <s v="O02083"/>
    <s v="C0236"/>
    <s v="P004"/>
    <s v="R013"/>
    <d v="2025-08-04T00:00:00"/>
    <d v="2025-08-15T00:00:00"/>
    <d v="2025-08-15T00:00:00"/>
    <x v="0"/>
    <n v="1"/>
    <n v="0"/>
    <n v="300000"/>
    <n v="0"/>
    <s v="Feature gap"/>
    <s v="West"/>
    <x v="5"/>
    <s v="Analytics"/>
    <x v="5"/>
    <x v="1"/>
  </r>
  <r>
    <s v="O02084"/>
    <s v="C0441"/>
    <s v="P005"/>
    <s v="R012"/>
    <d v="2025-05-13T00:00:00"/>
    <d v="2025-05-27T00:00:00"/>
    <d v="2025-05-27T00:00:00"/>
    <x v="0"/>
    <n v="1"/>
    <n v="15"/>
    <n v="153000"/>
    <n v="0"/>
    <s v="Feature gap"/>
    <s v="West"/>
    <x v="3"/>
    <s v="Service"/>
    <x v="14"/>
    <x v="1"/>
  </r>
  <r>
    <s v="O02085"/>
    <s v="C0320"/>
    <s v="P003"/>
    <s v="R017"/>
    <d v="2025-05-23T00:00:00"/>
    <d v="2025-07-26T00:00:00"/>
    <m/>
    <x v="2"/>
    <n v="1"/>
    <n v="10"/>
    <n v="216000"/>
    <n v="20"/>
    <s v=""/>
    <s v="East"/>
    <x v="1"/>
    <s v="Automation"/>
    <x v="19"/>
    <x v="3"/>
  </r>
  <r>
    <s v="O02086"/>
    <s v="C0046"/>
    <s v="P004"/>
    <s v="R011"/>
    <d v="2025-12-07T00:00:00"/>
    <d v="2026-02-01T00:00:00"/>
    <m/>
    <x v="2"/>
    <n v="1"/>
    <n v="20"/>
    <n v="240000"/>
    <n v="80"/>
    <s v=""/>
    <s v="West"/>
    <x v="5"/>
    <s v="Analytics"/>
    <x v="12"/>
    <x v="1"/>
  </r>
  <r>
    <s v="O02087"/>
    <s v="C0287"/>
    <s v="P004"/>
    <s v="R017"/>
    <d v="2025-07-31T00:00:00"/>
    <d v="2025-10-19T00:00:00"/>
    <d v="2025-10-19T00:00:00"/>
    <x v="0"/>
    <n v="1"/>
    <n v="0"/>
    <n v="300000"/>
    <n v="0"/>
    <s v="Competition"/>
    <s v="East"/>
    <x v="5"/>
    <s v="Analytics"/>
    <x v="19"/>
    <x v="3"/>
  </r>
  <r>
    <s v="O02088"/>
    <s v="C0297"/>
    <s v="P003"/>
    <s v="R001"/>
    <d v="2025-09-14T00:00:00"/>
    <d v="2025-11-03T00:00:00"/>
    <d v="2025-11-03T00:00:00"/>
    <x v="0"/>
    <n v="1"/>
    <n v="10"/>
    <n v="216000"/>
    <n v="0"/>
    <s v="Feature gap"/>
    <s v="South"/>
    <x v="1"/>
    <s v="Automation"/>
    <x v="6"/>
    <x v="2"/>
  </r>
  <r>
    <s v="O02089"/>
    <s v="C0456"/>
    <s v="P002"/>
    <s v="R018"/>
    <d v="2025-07-25T00:00:00"/>
    <d v="2025-08-26T00:00:00"/>
    <d v="2025-08-26T00:00:00"/>
    <x v="1"/>
    <n v="1"/>
    <n v="20"/>
    <n v="336000"/>
    <n v="100"/>
    <s v=""/>
    <s v="East"/>
    <x v="0"/>
    <s v="CRM"/>
    <x v="18"/>
    <x v="3"/>
  </r>
  <r>
    <s v="O02090"/>
    <s v="C0300"/>
    <s v="P006"/>
    <s v="R009"/>
    <d v="2025-12-01T00:00:00"/>
    <d v="2026-01-01T00:00:00"/>
    <m/>
    <x v="2"/>
    <n v="1"/>
    <n v="10"/>
    <n v="324000"/>
    <n v="20"/>
    <s v=""/>
    <s v="North"/>
    <x v="2"/>
    <s v="Security"/>
    <x v="4"/>
    <x v="0"/>
  </r>
  <r>
    <s v="O02091"/>
    <s v="C0349"/>
    <s v="P005"/>
    <s v="R005"/>
    <d v="2025-03-31T00:00:00"/>
    <d v="2025-06-19T00:00:00"/>
    <d v="2025-06-19T00:00:00"/>
    <x v="1"/>
    <n v="1"/>
    <n v="10"/>
    <n v="162000"/>
    <n v="100"/>
    <s v=""/>
    <s v="South"/>
    <x v="3"/>
    <s v="Service"/>
    <x v="11"/>
    <x v="2"/>
  </r>
  <r>
    <s v="O02092"/>
    <s v="C0040"/>
    <s v="P004"/>
    <s v="R007"/>
    <d v="2025-05-05T00:00:00"/>
    <d v="2025-07-21T00:00:00"/>
    <d v="2025-07-21T00:00:00"/>
    <x v="1"/>
    <n v="1"/>
    <n v="15"/>
    <n v="255000"/>
    <n v="100"/>
    <s v=""/>
    <s v="North"/>
    <x v="5"/>
    <s v="Analytics"/>
    <x v="13"/>
    <x v="0"/>
  </r>
  <r>
    <s v="O02093"/>
    <s v="C0394"/>
    <s v="P001"/>
    <s v="R002"/>
    <d v="2025-04-17T00:00:00"/>
    <d v="2025-06-14T00:00:00"/>
    <d v="2025-06-14T00:00:00"/>
    <x v="0"/>
    <n v="1"/>
    <n v="20"/>
    <n v="96000"/>
    <n v="0"/>
    <s v="Feature gap"/>
    <s v="South"/>
    <x v="4"/>
    <s v="CRM"/>
    <x v="17"/>
    <x v="2"/>
  </r>
  <r>
    <s v="O02094"/>
    <s v="C0018"/>
    <s v="P002"/>
    <s v="R011"/>
    <d v="2025-02-01T00:00:00"/>
    <d v="2025-02-20T00:00:00"/>
    <d v="2025-02-20T00:00:00"/>
    <x v="0"/>
    <n v="2"/>
    <n v="15"/>
    <n v="714000"/>
    <n v="0"/>
    <s v="No decision"/>
    <s v="West"/>
    <x v="0"/>
    <s v="CRM"/>
    <x v="12"/>
    <x v="1"/>
  </r>
  <r>
    <s v="O02095"/>
    <s v="C0468"/>
    <s v="P004"/>
    <s v="R002"/>
    <d v="2025-03-25T00:00:00"/>
    <d v="2025-05-16T00:00:00"/>
    <m/>
    <x v="2"/>
    <n v="1"/>
    <n v="0"/>
    <n v="300000"/>
    <n v="20"/>
    <s v=""/>
    <s v="South"/>
    <x v="5"/>
    <s v="Analytics"/>
    <x v="17"/>
    <x v="2"/>
  </r>
  <r>
    <s v="O02096"/>
    <s v="C0444"/>
    <s v="P004"/>
    <s v="R016"/>
    <d v="2025-06-01T00:00:00"/>
    <d v="2025-06-10T00:00:00"/>
    <d v="2025-06-10T00:00:00"/>
    <x v="0"/>
    <n v="1"/>
    <n v="15"/>
    <n v="255000"/>
    <n v="0"/>
    <s v="Feature gap"/>
    <s v="East"/>
    <x v="5"/>
    <s v="Analytics"/>
    <x v="8"/>
    <x v="3"/>
  </r>
  <r>
    <s v="O02097"/>
    <s v="C0214"/>
    <s v="P004"/>
    <s v="R004"/>
    <d v="2025-10-07T00:00:00"/>
    <d v="2025-11-23T00:00:00"/>
    <d v="2025-11-23T00:00:00"/>
    <x v="0"/>
    <n v="2"/>
    <n v="5"/>
    <n v="570000"/>
    <n v="0"/>
    <s v="Price"/>
    <s v="South"/>
    <x v="5"/>
    <s v="Analytics"/>
    <x v="3"/>
    <x v="2"/>
  </r>
  <r>
    <s v="O02098"/>
    <s v="C0236"/>
    <s v="P001"/>
    <s v="R011"/>
    <d v="2025-11-25T00:00:00"/>
    <d v="2026-01-30T00:00:00"/>
    <m/>
    <x v="2"/>
    <n v="1"/>
    <n v="20"/>
    <n v="96000"/>
    <n v="60"/>
    <s v=""/>
    <s v="West"/>
    <x v="4"/>
    <s v="CRM"/>
    <x v="12"/>
    <x v="1"/>
  </r>
  <r>
    <s v="O02099"/>
    <s v="C0477"/>
    <s v="P006"/>
    <s v="R006"/>
    <d v="2025-08-06T00:00:00"/>
    <d v="2025-08-25T00:00:00"/>
    <d v="2025-08-25T00:00:00"/>
    <x v="0"/>
    <n v="1"/>
    <n v="20"/>
    <n v="288000"/>
    <n v="0"/>
    <s v="Competition"/>
    <s v="North"/>
    <x v="2"/>
    <s v="Security"/>
    <x v="2"/>
    <x v="0"/>
  </r>
  <r>
    <s v="O02100"/>
    <s v="C0131"/>
    <s v="P006"/>
    <s v="R011"/>
    <d v="2025-03-29T00:00:00"/>
    <d v="2025-06-14T00:00:00"/>
    <d v="2025-06-14T00:00:00"/>
    <x v="0"/>
    <n v="1"/>
    <n v="10"/>
    <n v="324000"/>
    <n v="0"/>
    <s v="Competition"/>
    <s v="West"/>
    <x v="2"/>
    <s v="Security"/>
    <x v="12"/>
    <x v="1"/>
  </r>
  <r>
    <s v="O02101"/>
    <s v="C0403"/>
    <s v="P006"/>
    <s v="R007"/>
    <d v="2025-01-25T00:00:00"/>
    <d v="2025-03-18T00:00:00"/>
    <d v="2025-03-18T00:00:00"/>
    <x v="0"/>
    <n v="1"/>
    <n v="0"/>
    <n v="360000"/>
    <n v="0"/>
    <s v="No decision"/>
    <s v="North"/>
    <x v="2"/>
    <s v="Security"/>
    <x v="13"/>
    <x v="0"/>
  </r>
  <r>
    <s v="O02102"/>
    <s v="C0172"/>
    <s v="P001"/>
    <s v="R008"/>
    <d v="2025-01-30T00:00:00"/>
    <d v="2025-03-07T00:00:00"/>
    <d v="2025-03-07T00:00:00"/>
    <x v="0"/>
    <n v="1"/>
    <n v="10"/>
    <n v="108000"/>
    <n v="0"/>
    <s v="Competition"/>
    <s v="North"/>
    <x v="4"/>
    <s v="CRM"/>
    <x v="0"/>
    <x v="0"/>
  </r>
  <r>
    <s v="O02103"/>
    <s v="C0288"/>
    <s v="P002"/>
    <s v="R005"/>
    <d v="2025-05-25T00:00:00"/>
    <d v="2025-06-30T00:00:00"/>
    <d v="2025-06-30T00:00:00"/>
    <x v="1"/>
    <n v="2"/>
    <n v="15"/>
    <n v="714000"/>
    <n v="100"/>
    <s v=""/>
    <s v="South"/>
    <x v="0"/>
    <s v="CRM"/>
    <x v="11"/>
    <x v="2"/>
  </r>
  <r>
    <s v="O02104"/>
    <s v="C0116"/>
    <s v="P001"/>
    <s v="R010"/>
    <d v="2025-07-30T00:00:00"/>
    <d v="2025-08-18T00:00:00"/>
    <d v="2025-08-18T00:00:00"/>
    <x v="0"/>
    <n v="1"/>
    <n v="20"/>
    <n v="96000"/>
    <n v="0"/>
    <s v="Competition"/>
    <s v="North"/>
    <x v="4"/>
    <s v="CRM"/>
    <x v="16"/>
    <x v="0"/>
  </r>
  <r>
    <s v="O02105"/>
    <s v="C0262"/>
    <s v="P004"/>
    <s v="R011"/>
    <d v="2025-06-21T00:00:00"/>
    <d v="2025-08-07T00:00:00"/>
    <d v="2025-08-07T00:00:00"/>
    <x v="0"/>
    <n v="1"/>
    <n v="20"/>
    <n v="240000"/>
    <n v="0"/>
    <s v="Competition"/>
    <s v="West"/>
    <x v="5"/>
    <s v="Analytics"/>
    <x v="12"/>
    <x v="1"/>
  </r>
  <r>
    <s v="O02106"/>
    <s v="C0055"/>
    <s v="P006"/>
    <s v="R011"/>
    <d v="2025-08-30T00:00:00"/>
    <d v="2025-10-08T00:00:00"/>
    <d v="2025-10-08T00:00:00"/>
    <x v="1"/>
    <n v="1"/>
    <n v="0"/>
    <n v="360000"/>
    <n v="100"/>
    <s v=""/>
    <s v="West"/>
    <x v="2"/>
    <s v="Security"/>
    <x v="12"/>
    <x v="1"/>
  </r>
  <r>
    <s v="O02107"/>
    <s v="C0151"/>
    <s v="P003"/>
    <s v="R015"/>
    <d v="2025-07-13T00:00:00"/>
    <d v="2025-07-20T00:00:00"/>
    <d v="2025-07-20T00:00:00"/>
    <x v="0"/>
    <n v="2"/>
    <n v="5"/>
    <n v="456000"/>
    <n v="0"/>
    <s v="No decision"/>
    <s v="West"/>
    <x v="1"/>
    <s v="Automation"/>
    <x v="7"/>
    <x v="1"/>
  </r>
  <r>
    <s v="O02108"/>
    <s v="C0079"/>
    <s v="P003"/>
    <s v="R002"/>
    <d v="2025-10-01T00:00:00"/>
    <d v="2025-12-21T00:00:00"/>
    <d v="2025-12-21T00:00:00"/>
    <x v="0"/>
    <n v="1"/>
    <n v="0"/>
    <n v="240000"/>
    <n v="0"/>
    <s v="Competition"/>
    <s v="South"/>
    <x v="1"/>
    <s v="Automation"/>
    <x v="17"/>
    <x v="2"/>
  </r>
  <r>
    <s v="O02109"/>
    <s v="C0499"/>
    <s v="P004"/>
    <s v="R018"/>
    <d v="2025-03-09T00:00:00"/>
    <d v="2025-05-10T00:00:00"/>
    <d v="2025-05-10T00:00:00"/>
    <x v="0"/>
    <n v="2"/>
    <n v="20"/>
    <n v="480000"/>
    <n v="0"/>
    <s v="Feature gap"/>
    <s v="East"/>
    <x v="5"/>
    <s v="Analytics"/>
    <x v="18"/>
    <x v="3"/>
  </r>
  <r>
    <s v="O02110"/>
    <s v="C0268"/>
    <s v="P001"/>
    <s v="R014"/>
    <d v="2025-06-11T00:00:00"/>
    <d v="2025-08-27T00:00:00"/>
    <d v="2025-08-27T00:00:00"/>
    <x v="1"/>
    <n v="1"/>
    <n v="5"/>
    <n v="114000"/>
    <n v="100"/>
    <s v=""/>
    <s v="West"/>
    <x v="4"/>
    <s v="CRM"/>
    <x v="1"/>
    <x v="1"/>
  </r>
  <r>
    <s v="O02111"/>
    <s v="C0006"/>
    <s v="P002"/>
    <s v="R020"/>
    <d v="2025-07-03T00:00:00"/>
    <d v="2025-08-25T00:00:00"/>
    <d v="2025-08-25T00:00:00"/>
    <x v="1"/>
    <n v="1"/>
    <n v="15"/>
    <n v="357000"/>
    <n v="100"/>
    <s v=""/>
    <s v="East"/>
    <x v="0"/>
    <s v="CRM"/>
    <x v="9"/>
    <x v="3"/>
  </r>
  <r>
    <s v="O02112"/>
    <s v="C0131"/>
    <s v="P005"/>
    <s v="R015"/>
    <d v="2025-09-08T00:00:00"/>
    <d v="2025-10-23T00:00:00"/>
    <m/>
    <x v="2"/>
    <n v="2"/>
    <n v="10"/>
    <n v="324000"/>
    <n v="60"/>
    <s v=""/>
    <s v="West"/>
    <x v="3"/>
    <s v="Service"/>
    <x v="7"/>
    <x v="1"/>
  </r>
  <r>
    <s v="O02113"/>
    <s v="C0187"/>
    <s v="P004"/>
    <s v="R008"/>
    <d v="2025-10-22T00:00:00"/>
    <d v="2025-12-25T00:00:00"/>
    <d v="2025-12-25T00:00:00"/>
    <x v="0"/>
    <n v="1"/>
    <n v="20"/>
    <n v="240000"/>
    <n v="0"/>
    <s v="Price"/>
    <s v="North"/>
    <x v="5"/>
    <s v="Analytics"/>
    <x v="0"/>
    <x v="0"/>
  </r>
  <r>
    <s v="O02114"/>
    <s v="C0466"/>
    <s v="P004"/>
    <s v="R020"/>
    <d v="2025-10-25T00:00:00"/>
    <d v="2025-11-07T00:00:00"/>
    <d v="2025-11-07T00:00:00"/>
    <x v="1"/>
    <n v="3"/>
    <n v="0"/>
    <n v="900000"/>
    <n v="100"/>
    <s v=""/>
    <s v="East"/>
    <x v="5"/>
    <s v="Analytics"/>
    <x v="9"/>
    <x v="3"/>
  </r>
  <r>
    <s v="O02115"/>
    <s v="C0143"/>
    <s v="P002"/>
    <s v="R006"/>
    <d v="2025-08-31T00:00:00"/>
    <d v="2025-09-27T00:00:00"/>
    <m/>
    <x v="2"/>
    <n v="1"/>
    <n v="20"/>
    <n v="336000"/>
    <n v="80"/>
    <s v=""/>
    <s v="North"/>
    <x v="0"/>
    <s v="CRM"/>
    <x v="2"/>
    <x v="0"/>
  </r>
  <r>
    <s v="O02116"/>
    <s v="C0127"/>
    <s v="P003"/>
    <s v="R016"/>
    <d v="2025-03-02T00:00:00"/>
    <d v="2025-05-16T00:00:00"/>
    <d v="2025-05-16T00:00:00"/>
    <x v="1"/>
    <n v="1"/>
    <n v="15"/>
    <n v="204000"/>
    <n v="100"/>
    <s v=""/>
    <s v="East"/>
    <x v="1"/>
    <s v="Automation"/>
    <x v="8"/>
    <x v="3"/>
  </r>
  <r>
    <s v="O02117"/>
    <s v="C0389"/>
    <s v="P005"/>
    <s v="R005"/>
    <d v="2025-11-25T00:00:00"/>
    <d v="2026-02-05T00:00:00"/>
    <m/>
    <x v="2"/>
    <n v="1"/>
    <n v="5"/>
    <n v="171000"/>
    <n v="60"/>
    <s v=""/>
    <s v="South"/>
    <x v="3"/>
    <s v="Service"/>
    <x v="11"/>
    <x v="2"/>
  </r>
  <r>
    <s v="O02118"/>
    <s v="C0369"/>
    <s v="P006"/>
    <s v="R013"/>
    <d v="2025-12-13T00:00:00"/>
    <d v="2026-01-31T00:00:00"/>
    <m/>
    <x v="2"/>
    <n v="1"/>
    <n v="5"/>
    <n v="342000"/>
    <n v="80"/>
    <s v=""/>
    <s v="West"/>
    <x v="2"/>
    <s v="Security"/>
    <x v="5"/>
    <x v="1"/>
  </r>
  <r>
    <s v="O02119"/>
    <s v="C0189"/>
    <s v="P005"/>
    <s v="R014"/>
    <d v="2025-09-10T00:00:00"/>
    <d v="2025-10-02T00:00:00"/>
    <d v="2025-10-02T00:00:00"/>
    <x v="1"/>
    <n v="2"/>
    <n v="20"/>
    <n v="288000"/>
    <n v="100"/>
    <s v=""/>
    <s v="West"/>
    <x v="3"/>
    <s v="Service"/>
    <x v="1"/>
    <x v="1"/>
  </r>
  <r>
    <s v="O02120"/>
    <s v="C0024"/>
    <s v="P002"/>
    <s v="R012"/>
    <d v="2025-03-04T00:00:00"/>
    <d v="2025-05-04T00:00:00"/>
    <d v="2025-05-04T00:00:00"/>
    <x v="1"/>
    <n v="1"/>
    <n v="0"/>
    <n v="420000"/>
    <n v="100"/>
    <s v=""/>
    <s v="West"/>
    <x v="0"/>
    <s v="CRM"/>
    <x v="14"/>
    <x v="1"/>
  </r>
  <r>
    <s v="O02121"/>
    <s v="C0233"/>
    <s v="P002"/>
    <s v="R008"/>
    <d v="2025-05-13T00:00:00"/>
    <d v="2025-07-21T00:00:00"/>
    <m/>
    <x v="2"/>
    <n v="3"/>
    <n v="20"/>
    <n v="1008000"/>
    <n v="40"/>
    <s v=""/>
    <s v="North"/>
    <x v="0"/>
    <s v="CRM"/>
    <x v="0"/>
    <x v="0"/>
  </r>
  <r>
    <s v="O02122"/>
    <s v="C0429"/>
    <s v="P005"/>
    <s v="R017"/>
    <d v="2025-12-08T00:00:00"/>
    <d v="2025-12-23T00:00:00"/>
    <d v="2025-12-23T00:00:00"/>
    <x v="0"/>
    <n v="1"/>
    <n v="10"/>
    <n v="162000"/>
    <n v="0"/>
    <s v="Feature gap"/>
    <s v="East"/>
    <x v="3"/>
    <s v="Service"/>
    <x v="19"/>
    <x v="3"/>
  </r>
  <r>
    <s v="O02123"/>
    <s v="C0100"/>
    <s v="P006"/>
    <s v="R004"/>
    <d v="2025-01-02T00:00:00"/>
    <d v="2025-01-22T00:00:00"/>
    <m/>
    <x v="2"/>
    <n v="2"/>
    <n v="10"/>
    <n v="648000"/>
    <n v="40"/>
    <s v=""/>
    <s v="South"/>
    <x v="2"/>
    <s v="Security"/>
    <x v="3"/>
    <x v="2"/>
  </r>
  <r>
    <s v="O02124"/>
    <s v="C0024"/>
    <s v="P003"/>
    <s v="R011"/>
    <d v="2025-04-13T00:00:00"/>
    <d v="2025-06-11T00:00:00"/>
    <m/>
    <x v="2"/>
    <n v="2"/>
    <n v="15"/>
    <n v="408000"/>
    <n v="80"/>
    <s v=""/>
    <s v="West"/>
    <x v="1"/>
    <s v="Automation"/>
    <x v="12"/>
    <x v="1"/>
  </r>
  <r>
    <s v="O02125"/>
    <s v="C0225"/>
    <s v="P004"/>
    <s v="R017"/>
    <d v="2025-06-16T00:00:00"/>
    <d v="2025-07-30T00:00:00"/>
    <d v="2025-07-30T00:00:00"/>
    <x v="1"/>
    <n v="1"/>
    <n v="15"/>
    <n v="255000"/>
    <n v="100"/>
    <s v=""/>
    <s v="East"/>
    <x v="5"/>
    <s v="Analytics"/>
    <x v="19"/>
    <x v="3"/>
  </r>
  <r>
    <s v="O02126"/>
    <s v="C0052"/>
    <s v="P004"/>
    <s v="R019"/>
    <d v="2025-08-25T00:00:00"/>
    <d v="2025-09-22T00:00:00"/>
    <d v="2025-09-22T00:00:00"/>
    <x v="0"/>
    <n v="2"/>
    <n v="0"/>
    <n v="600000"/>
    <n v="0"/>
    <s v="Budget"/>
    <s v="East"/>
    <x v="5"/>
    <s v="Analytics"/>
    <x v="10"/>
    <x v="3"/>
  </r>
  <r>
    <s v="O02127"/>
    <s v="C0454"/>
    <s v="P004"/>
    <s v="R002"/>
    <d v="2025-06-21T00:00:00"/>
    <d v="2025-08-03T00:00:00"/>
    <d v="2025-08-03T00:00:00"/>
    <x v="0"/>
    <n v="2"/>
    <n v="15"/>
    <n v="510000"/>
    <n v="0"/>
    <s v="Price"/>
    <s v="South"/>
    <x v="5"/>
    <s v="Analytics"/>
    <x v="17"/>
    <x v="2"/>
  </r>
  <r>
    <s v="O02128"/>
    <s v="C0417"/>
    <s v="P002"/>
    <s v="R014"/>
    <d v="2025-02-03T00:00:00"/>
    <d v="2025-02-13T00:00:00"/>
    <d v="2025-02-13T00:00:00"/>
    <x v="1"/>
    <n v="3"/>
    <n v="15"/>
    <n v="1071000"/>
    <n v="100"/>
    <s v=""/>
    <s v="West"/>
    <x v="0"/>
    <s v="CRM"/>
    <x v="1"/>
    <x v="1"/>
  </r>
  <r>
    <s v="O02129"/>
    <s v="C0225"/>
    <s v="P004"/>
    <s v="R019"/>
    <d v="2025-06-15T00:00:00"/>
    <d v="2025-06-22T00:00:00"/>
    <d v="2025-06-22T00:00:00"/>
    <x v="1"/>
    <n v="1"/>
    <n v="5"/>
    <n v="285000"/>
    <n v="100"/>
    <s v=""/>
    <s v="East"/>
    <x v="5"/>
    <s v="Analytics"/>
    <x v="10"/>
    <x v="3"/>
  </r>
  <r>
    <s v="O02130"/>
    <s v="C0223"/>
    <s v="P001"/>
    <s v="R004"/>
    <d v="2025-10-09T00:00:00"/>
    <d v="2025-12-01T00:00:00"/>
    <d v="2025-12-01T00:00:00"/>
    <x v="0"/>
    <n v="3"/>
    <n v="0"/>
    <n v="360000"/>
    <n v="0"/>
    <s v="Feature gap"/>
    <s v="South"/>
    <x v="4"/>
    <s v="CRM"/>
    <x v="3"/>
    <x v="2"/>
  </r>
  <r>
    <s v="O02131"/>
    <s v="C0194"/>
    <s v="P004"/>
    <s v="R005"/>
    <d v="2025-12-01T00:00:00"/>
    <d v="2026-01-14T00:00:00"/>
    <m/>
    <x v="2"/>
    <n v="1"/>
    <n v="10"/>
    <n v="270000"/>
    <n v="60"/>
    <s v=""/>
    <s v="South"/>
    <x v="5"/>
    <s v="Analytics"/>
    <x v="11"/>
    <x v="2"/>
  </r>
  <r>
    <s v="O02132"/>
    <s v="C0188"/>
    <s v="P004"/>
    <s v="R006"/>
    <d v="2025-07-06T00:00:00"/>
    <d v="2025-08-02T00:00:00"/>
    <m/>
    <x v="2"/>
    <n v="3"/>
    <n v="10"/>
    <n v="810000"/>
    <n v="20"/>
    <s v=""/>
    <s v="North"/>
    <x v="5"/>
    <s v="Analytics"/>
    <x v="2"/>
    <x v="0"/>
  </r>
  <r>
    <s v="O02133"/>
    <s v="C0223"/>
    <s v="P006"/>
    <s v="R002"/>
    <d v="2025-06-12T00:00:00"/>
    <d v="2025-09-03T00:00:00"/>
    <d v="2025-09-03T00:00:00"/>
    <x v="0"/>
    <n v="1"/>
    <n v="15"/>
    <n v="306000"/>
    <n v="0"/>
    <s v="Budget"/>
    <s v="South"/>
    <x v="2"/>
    <s v="Security"/>
    <x v="17"/>
    <x v="2"/>
  </r>
  <r>
    <s v="O02134"/>
    <s v="C0444"/>
    <s v="P005"/>
    <s v="R017"/>
    <d v="2025-09-01T00:00:00"/>
    <d v="2025-10-10T00:00:00"/>
    <m/>
    <x v="2"/>
    <n v="3"/>
    <n v="10"/>
    <n v="486000"/>
    <n v="40"/>
    <s v=""/>
    <s v="East"/>
    <x v="3"/>
    <s v="Service"/>
    <x v="19"/>
    <x v="3"/>
  </r>
  <r>
    <s v="O02135"/>
    <s v="C0272"/>
    <s v="P006"/>
    <s v="R006"/>
    <d v="2025-12-09T00:00:00"/>
    <d v="2026-02-17T00:00:00"/>
    <m/>
    <x v="2"/>
    <n v="2"/>
    <n v="5"/>
    <n v="684000"/>
    <n v="20"/>
    <s v=""/>
    <s v="North"/>
    <x v="2"/>
    <s v="Security"/>
    <x v="2"/>
    <x v="0"/>
  </r>
  <r>
    <s v="O02136"/>
    <s v="C0077"/>
    <s v="P006"/>
    <s v="R014"/>
    <d v="2025-06-21T00:00:00"/>
    <d v="2025-07-16T00:00:00"/>
    <d v="2025-07-16T00:00:00"/>
    <x v="1"/>
    <n v="1"/>
    <n v="10"/>
    <n v="324000"/>
    <n v="100"/>
    <s v=""/>
    <s v="West"/>
    <x v="2"/>
    <s v="Security"/>
    <x v="1"/>
    <x v="1"/>
  </r>
  <r>
    <s v="O02137"/>
    <s v="C0271"/>
    <s v="P006"/>
    <s v="R006"/>
    <d v="2025-03-27T00:00:00"/>
    <d v="2025-05-29T00:00:00"/>
    <d v="2025-05-29T00:00:00"/>
    <x v="0"/>
    <n v="1"/>
    <n v="20"/>
    <n v="288000"/>
    <n v="0"/>
    <s v="Price"/>
    <s v="North"/>
    <x v="2"/>
    <s v="Security"/>
    <x v="2"/>
    <x v="0"/>
  </r>
  <r>
    <s v="O02138"/>
    <s v="C0008"/>
    <s v="P005"/>
    <s v="R011"/>
    <d v="2025-06-15T00:00:00"/>
    <d v="2025-09-05T00:00:00"/>
    <d v="2025-09-05T00:00:00"/>
    <x v="0"/>
    <n v="3"/>
    <n v="0"/>
    <n v="540000"/>
    <n v="0"/>
    <s v="Feature gap"/>
    <s v="West"/>
    <x v="3"/>
    <s v="Service"/>
    <x v="12"/>
    <x v="1"/>
  </r>
  <r>
    <s v="O02139"/>
    <s v="C0145"/>
    <s v="P006"/>
    <s v="R016"/>
    <d v="2025-06-24T00:00:00"/>
    <d v="2025-09-09T00:00:00"/>
    <m/>
    <x v="2"/>
    <n v="1"/>
    <n v="0"/>
    <n v="360000"/>
    <n v="60"/>
    <s v=""/>
    <s v="East"/>
    <x v="2"/>
    <s v="Security"/>
    <x v="8"/>
    <x v="3"/>
  </r>
  <r>
    <s v="O02140"/>
    <s v="C0360"/>
    <s v="P004"/>
    <s v="R005"/>
    <d v="2025-06-05T00:00:00"/>
    <d v="2025-06-29T00:00:00"/>
    <d v="2025-06-29T00:00:00"/>
    <x v="0"/>
    <n v="1"/>
    <n v="5"/>
    <n v="285000"/>
    <n v="0"/>
    <s v="No decision"/>
    <s v="South"/>
    <x v="5"/>
    <s v="Analytics"/>
    <x v="11"/>
    <x v="2"/>
  </r>
  <r>
    <s v="O02141"/>
    <s v="C0235"/>
    <s v="P003"/>
    <s v="R005"/>
    <d v="2025-09-18T00:00:00"/>
    <d v="2025-10-28T00:00:00"/>
    <m/>
    <x v="2"/>
    <n v="3"/>
    <n v="10"/>
    <n v="648000"/>
    <n v="20"/>
    <s v=""/>
    <s v="South"/>
    <x v="1"/>
    <s v="Automation"/>
    <x v="11"/>
    <x v="2"/>
  </r>
  <r>
    <s v="O02142"/>
    <s v="C0432"/>
    <s v="P003"/>
    <s v="R004"/>
    <d v="2025-07-09T00:00:00"/>
    <d v="2025-08-30T00:00:00"/>
    <d v="2025-08-30T00:00:00"/>
    <x v="0"/>
    <n v="2"/>
    <n v="0"/>
    <n v="480000"/>
    <n v="0"/>
    <s v="No decision"/>
    <s v="South"/>
    <x v="1"/>
    <s v="Automation"/>
    <x v="3"/>
    <x v="2"/>
  </r>
  <r>
    <s v="O02143"/>
    <s v="C0121"/>
    <s v="P005"/>
    <s v="R010"/>
    <d v="2025-12-12T00:00:00"/>
    <d v="2026-01-25T00:00:00"/>
    <m/>
    <x v="2"/>
    <n v="1"/>
    <n v="15"/>
    <n v="153000"/>
    <n v="60"/>
    <s v=""/>
    <s v="North"/>
    <x v="3"/>
    <s v="Service"/>
    <x v="16"/>
    <x v="0"/>
  </r>
  <r>
    <s v="O02144"/>
    <s v="C0076"/>
    <s v="P003"/>
    <s v="R015"/>
    <d v="2025-09-08T00:00:00"/>
    <d v="2025-09-27T00:00:00"/>
    <d v="2025-09-27T00:00:00"/>
    <x v="0"/>
    <n v="1"/>
    <n v="15"/>
    <n v="204000"/>
    <n v="0"/>
    <s v="Competition"/>
    <s v="West"/>
    <x v="1"/>
    <s v="Automation"/>
    <x v="7"/>
    <x v="1"/>
  </r>
  <r>
    <s v="O02145"/>
    <s v="C0103"/>
    <s v="P005"/>
    <s v="R007"/>
    <d v="2025-06-09T00:00:00"/>
    <d v="2025-06-20T00:00:00"/>
    <m/>
    <x v="2"/>
    <n v="3"/>
    <n v="5"/>
    <n v="513000"/>
    <n v="60"/>
    <s v=""/>
    <s v="North"/>
    <x v="3"/>
    <s v="Service"/>
    <x v="13"/>
    <x v="0"/>
  </r>
  <r>
    <s v="O02146"/>
    <s v="C0302"/>
    <s v="P002"/>
    <s v="R001"/>
    <d v="2025-08-10T00:00:00"/>
    <d v="2025-10-03T00:00:00"/>
    <d v="2025-10-03T00:00:00"/>
    <x v="0"/>
    <n v="2"/>
    <n v="20"/>
    <n v="672000"/>
    <n v="0"/>
    <s v="Competition"/>
    <s v="South"/>
    <x v="0"/>
    <s v="CRM"/>
    <x v="6"/>
    <x v="2"/>
  </r>
  <r>
    <s v="O02147"/>
    <s v="C0121"/>
    <s v="P001"/>
    <s v="R007"/>
    <d v="2025-08-29T00:00:00"/>
    <d v="2025-10-07T00:00:00"/>
    <d v="2025-10-07T00:00:00"/>
    <x v="1"/>
    <n v="1"/>
    <n v="20"/>
    <n v="96000"/>
    <n v="100"/>
    <s v=""/>
    <s v="North"/>
    <x v="4"/>
    <s v="CRM"/>
    <x v="13"/>
    <x v="0"/>
  </r>
  <r>
    <s v="O02148"/>
    <s v="C0348"/>
    <s v="P001"/>
    <s v="R009"/>
    <d v="2025-03-08T00:00:00"/>
    <d v="2025-04-30T00:00:00"/>
    <d v="2025-04-30T00:00:00"/>
    <x v="0"/>
    <n v="1"/>
    <n v="5"/>
    <n v="114000"/>
    <n v="0"/>
    <s v="Feature gap"/>
    <s v="North"/>
    <x v="4"/>
    <s v="CRM"/>
    <x v="4"/>
    <x v="0"/>
  </r>
  <r>
    <s v="O02149"/>
    <s v="C0127"/>
    <s v="P005"/>
    <s v="R016"/>
    <d v="2025-01-16T00:00:00"/>
    <d v="2025-02-15T00:00:00"/>
    <d v="2025-02-15T00:00:00"/>
    <x v="0"/>
    <n v="1"/>
    <n v="0"/>
    <n v="180000"/>
    <n v="0"/>
    <s v="No decision"/>
    <s v="East"/>
    <x v="3"/>
    <s v="Service"/>
    <x v="8"/>
    <x v="3"/>
  </r>
  <r>
    <s v="O02150"/>
    <s v="C0365"/>
    <s v="P001"/>
    <s v="R016"/>
    <d v="2025-12-05T00:00:00"/>
    <d v="2026-01-18T00:00:00"/>
    <m/>
    <x v="2"/>
    <n v="1"/>
    <n v="20"/>
    <n v="96000"/>
    <n v="40"/>
    <s v=""/>
    <s v="East"/>
    <x v="4"/>
    <s v="CRM"/>
    <x v="8"/>
    <x v="3"/>
  </r>
  <r>
    <s v="O02151"/>
    <s v="C0365"/>
    <s v="P004"/>
    <s v="R020"/>
    <d v="2025-06-27T00:00:00"/>
    <d v="2025-07-28T00:00:00"/>
    <d v="2025-07-28T00:00:00"/>
    <x v="0"/>
    <n v="1"/>
    <n v="5"/>
    <n v="285000"/>
    <n v="0"/>
    <s v="Budget"/>
    <s v="East"/>
    <x v="5"/>
    <s v="Analytics"/>
    <x v="9"/>
    <x v="3"/>
  </r>
  <r>
    <s v="O02152"/>
    <s v="C0231"/>
    <s v="P002"/>
    <s v="R009"/>
    <d v="2025-08-22T00:00:00"/>
    <d v="2025-10-25T00:00:00"/>
    <d v="2025-10-25T00:00:00"/>
    <x v="1"/>
    <n v="1"/>
    <n v="0"/>
    <n v="420000"/>
    <n v="100"/>
    <s v=""/>
    <s v="North"/>
    <x v="0"/>
    <s v="CRM"/>
    <x v="4"/>
    <x v="0"/>
  </r>
  <r>
    <s v="O02153"/>
    <s v="C0159"/>
    <s v="P004"/>
    <s v="R001"/>
    <d v="2025-04-27T00:00:00"/>
    <d v="2025-05-28T00:00:00"/>
    <d v="2025-05-28T00:00:00"/>
    <x v="0"/>
    <n v="3"/>
    <n v="5"/>
    <n v="855000"/>
    <n v="0"/>
    <s v="Feature gap"/>
    <s v="South"/>
    <x v="5"/>
    <s v="Analytics"/>
    <x v="6"/>
    <x v="2"/>
  </r>
  <r>
    <s v="O02154"/>
    <s v="C0360"/>
    <s v="P006"/>
    <s v="R002"/>
    <d v="2025-12-16T00:00:00"/>
    <d v="2026-02-28T00:00:00"/>
    <m/>
    <x v="2"/>
    <n v="1"/>
    <n v="5"/>
    <n v="342000"/>
    <n v="40"/>
    <s v=""/>
    <s v="South"/>
    <x v="2"/>
    <s v="Security"/>
    <x v="17"/>
    <x v="2"/>
  </r>
  <r>
    <s v="O02155"/>
    <s v="C0365"/>
    <s v="P006"/>
    <s v="R019"/>
    <d v="2025-10-31T00:00:00"/>
    <d v="2025-12-29T00:00:00"/>
    <m/>
    <x v="2"/>
    <n v="2"/>
    <n v="15"/>
    <n v="612000"/>
    <n v="20"/>
    <s v=""/>
    <s v="East"/>
    <x v="2"/>
    <s v="Security"/>
    <x v="10"/>
    <x v="3"/>
  </r>
  <r>
    <s v="O02156"/>
    <s v="C0361"/>
    <s v="P001"/>
    <s v="R006"/>
    <d v="2025-12-31T00:00:00"/>
    <d v="2026-03-04T00:00:00"/>
    <m/>
    <x v="2"/>
    <n v="1"/>
    <n v="5"/>
    <n v="114000"/>
    <n v="60"/>
    <s v=""/>
    <s v="North"/>
    <x v="4"/>
    <s v="CRM"/>
    <x v="2"/>
    <x v="0"/>
  </r>
  <r>
    <s v="O02157"/>
    <s v="C0250"/>
    <s v="P005"/>
    <s v="R004"/>
    <d v="2025-03-12T00:00:00"/>
    <d v="2025-04-13T00:00:00"/>
    <d v="2025-04-13T00:00:00"/>
    <x v="0"/>
    <n v="3"/>
    <n v="20"/>
    <n v="432000"/>
    <n v="0"/>
    <s v="Budget"/>
    <s v="South"/>
    <x v="3"/>
    <s v="Service"/>
    <x v="3"/>
    <x v="2"/>
  </r>
  <r>
    <s v="O02158"/>
    <s v="C0331"/>
    <s v="P001"/>
    <s v="R001"/>
    <d v="2025-01-16T00:00:00"/>
    <d v="2025-02-24T00:00:00"/>
    <d v="2025-02-24T00:00:00"/>
    <x v="1"/>
    <n v="1"/>
    <n v="20"/>
    <n v="96000"/>
    <n v="100"/>
    <s v=""/>
    <s v="South"/>
    <x v="4"/>
    <s v="CRM"/>
    <x v="6"/>
    <x v="2"/>
  </r>
  <r>
    <s v="O02159"/>
    <s v="C0290"/>
    <s v="P006"/>
    <s v="R009"/>
    <d v="2025-08-16T00:00:00"/>
    <d v="2025-08-24T00:00:00"/>
    <d v="2025-08-24T00:00:00"/>
    <x v="1"/>
    <n v="3"/>
    <n v="0"/>
    <n v="1080000"/>
    <n v="100"/>
    <s v=""/>
    <s v="North"/>
    <x v="2"/>
    <s v="Security"/>
    <x v="4"/>
    <x v="0"/>
  </r>
  <r>
    <s v="O02160"/>
    <s v="C0217"/>
    <s v="P003"/>
    <s v="R017"/>
    <d v="2025-11-14T00:00:00"/>
    <d v="2026-01-26T00:00:00"/>
    <m/>
    <x v="2"/>
    <n v="1"/>
    <n v="0"/>
    <n v="240000"/>
    <n v="60"/>
    <s v=""/>
    <s v="East"/>
    <x v="1"/>
    <s v="Automation"/>
    <x v="19"/>
    <x v="3"/>
  </r>
  <r>
    <s v="O02161"/>
    <s v="C0170"/>
    <s v="P001"/>
    <s v="R012"/>
    <d v="2025-12-01T00:00:00"/>
    <d v="2026-01-09T00:00:00"/>
    <m/>
    <x v="2"/>
    <n v="1"/>
    <n v="5"/>
    <n v="114000"/>
    <n v="60"/>
    <s v=""/>
    <s v="West"/>
    <x v="4"/>
    <s v="CRM"/>
    <x v="14"/>
    <x v="1"/>
  </r>
  <r>
    <s v="O02162"/>
    <s v="C0109"/>
    <s v="P003"/>
    <s v="R012"/>
    <d v="2025-07-18T00:00:00"/>
    <d v="2025-09-05T00:00:00"/>
    <m/>
    <x v="2"/>
    <n v="3"/>
    <n v="15"/>
    <n v="612000"/>
    <n v="60"/>
    <s v=""/>
    <s v="West"/>
    <x v="1"/>
    <s v="Automation"/>
    <x v="14"/>
    <x v="1"/>
  </r>
  <r>
    <s v="O02163"/>
    <s v="C0307"/>
    <s v="P001"/>
    <s v="R008"/>
    <d v="2025-01-01T00:00:00"/>
    <d v="2025-03-10T00:00:00"/>
    <d v="2025-03-10T00:00:00"/>
    <x v="0"/>
    <n v="1"/>
    <n v="5"/>
    <n v="114000"/>
    <n v="0"/>
    <s v="No decision"/>
    <s v="North"/>
    <x v="4"/>
    <s v="CRM"/>
    <x v="0"/>
    <x v="0"/>
  </r>
  <r>
    <s v="O02164"/>
    <s v="C0212"/>
    <s v="P005"/>
    <s v="R019"/>
    <d v="2025-12-09T00:00:00"/>
    <d v="2026-01-04T00:00:00"/>
    <m/>
    <x v="2"/>
    <n v="1"/>
    <n v="15"/>
    <n v="153000"/>
    <n v="20"/>
    <s v=""/>
    <s v="East"/>
    <x v="3"/>
    <s v="Service"/>
    <x v="10"/>
    <x v="3"/>
  </r>
  <r>
    <s v="O02165"/>
    <s v="C0026"/>
    <s v="P002"/>
    <s v="R012"/>
    <d v="2025-06-28T00:00:00"/>
    <d v="2025-08-23T00:00:00"/>
    <m/>
    <x v="2"/>
    <n v="3"/>
    <n v="10"/>
    <n v="1134000"/>
    <n v="40"/>
    <s v=""/>
    <s v="West"/>
    <x v="0"/>
    <s v="CRM"/>
    <x v="14"/>
    <x v="1"/>
  </r>
  <r>
    <s v="O02166"/>
    <s v="C0389"/>
    <s v="P001"/>
    <s v="R001"/>
    <d v="2025-12-05T00:00:00"/>
    <d v="2026-02-16T00:00:00"/>
    <m/>
    <x v="2"/>
    <n v="1"/>
    <n v="20"/>
    <n v="96000"/>
    <n v="60"/>
    <s v=""/>
    <s v="South"/>
    <x v="4"/>
    <s v="CRM"/>
    <x v="6"/>
    <x v="2"/>
  </r>
  <r>
    <s v="O02167"/>
    <s v="C0328"/>
    <s v="P005"/>
    <s v="R012"/>
    <d v="2025-12-03T00:00:00"/>
    <d v="2026-01-09T00:00:00"/>
    <m/>
    <x v="2"/>
    <n v="1"/>
    <n v="20"/>
    <n v="144000"/>
    <n v="80"/>
    <s v=""/>
    <s v="West"/>
    <x v="3"/>
    <s v="Service"/>
    <x v="14"/>
    <x v="1"/>
  </r>
  <r>
    <s v="O02168"/>
    <s v="C0299"/>
    <s v="P003"/>
    <s v="R006"/>
    <d v="2025-11-19T00:00:00"/>
    <d v="2026-01-08T00:00:00"/>
    <m/>
    <x v="2"/>
    <n v="2"/>
    <n v="15"/>
    <n v="408000"/>
    <n v="40"/>
    <s v=""/>
    <s v="North"/>
    <x v="1"/>
    <s v="Automation"/>
    <x v="2"/>
    <x v="0"/>
  </r>
  <r>
    <s v="O02169"/>
    <s v="C0474"/>
    <s v="P001"/>
    <s v="R011"/>
    <d v="2025-07-03T00:00:00"/>
    <d v="2025-08-28T00:00:00"/>
    <d v="2025-08-28T00:00:00"/>
    <x v="0"/>
    <n v="1"/>
    <n v="0"/>
    <n v="120000"/>
    <n v="0"/>
    <s v="Feature gap"/>
    <s v="West"/>
    <x v="4"/>
    <s v="CRM"/>
    <x v="12"/>
    <x v="1"/>
  </r>
  <r>
    <s v="O02170"/>
    <s v="C0324"/>
    <s v="P006"/>
    <s v="R002"/>
    <d v="2025-11-06T00:00:00"/>
    <d v="2025-12-03T00:00:00"/>
    <d v="2025-12-03T00:00:00"/>
    <x v="0"/>
    <n v="2"/>
    <n v="5"/>
    <n v="684000"/>
    <n v="0"/>
    <s v="Feature gap"/>
    <s v="South"/>
    <x v="2"/>
    <s v="Security"/>
    <x v="17"/>
    <x v="2"/>
  </r>
  <r>
    <s v="O02171"/>
    <s v="C0046"/>
    <s v="P002"/>
    <s v="R015"/>
    <d v="2025-11-06T00:00:00"/>
    <d v="2026-01-28T00:00:00"/>
    <m/>
    <x v="2"/>
    <n v="1"/>
    <n v="10"/>
    <n v="378000"/>
    <n v="60"/>
    <s v=""/>
    <s v="West"/>
    <x v="0"/>
    <s v="CRM"/>
    <x v="7"/>
    <x v="1"/>
  </r>
  <r>
    <s v="O02172"/>
    <s v="C0423"/>
    <s v="P001"/>
    <s v="R002"/>
    <d v="2025-03-07T00:00:00"/>
    <d v="2025-05-26T00:00:00"/>
    <d v="2025-05-26T00:00:00"/>
    <x v="0"/>
    <n v="1"/>
    <n v="15"/>
    <n v="102000"/>
    <n v="0"/>
    <s v="No decision"/>
    <s v="South"/>
    <x v="4"/>
    <s v="CRM"/>
    <x v="17"/>
    <x v="2"/>
  </r>
  <r>
    <s v="O02173"/>
    <s v="C0148"/>
    <s v="P001"/>
    <s v="R018"/>
    <d v="2025-09-13T00:00:00"/>
    <d v="2025-10-07T00:00:00"/>
    <d v="2025-10-07T00:00:00"/>
    <x v="0"/>
    <n v="3"/>
    <n v="0"/>
    <n v="360000"/>
    <n v="0"/>
    <s v="Competition"/>
    <s v="East"/>
    <x v="4"/>
    <s v="CRM"/>
    <x v="18"/>
    <x v="3"/>
  </r>
  <r>
    <s v="O02174"/>
    <s v="C0080"/>
    <s v="P002"/>
    <s v="R013"/>
    <d v="2025-07-05T00:00:00"/>
    <d v="2025-09-19T00:00:00"/>
    <m/>
    <x v="2"/>
    <n v="1"/>
    <n v="20"/>
    <n v="336000"/>
    <n v="80"/>
    <s v=""/>
    <s v="West"/>
    <x v="0"/>
    <s v="CRM"/>
    <x v="5"/>
    <x v="1"/>
  </r>
  <r>
    <s v="O02175"/>
    <s v="C0399"/>
    <s v="P006"/>
    <s v="R017"/>
    <d v="2025-11-08T00:00:00"/>
    <d v="2025-12-15T00:00:00"/>
    <m/>
    <x v="2"/>
    <n v="1"/>
    <n v="5"/>
    <n v="342000"/>
    <n v="80"/>
    <s v=""/>
    <s v="East"/>
    <x v="2"/>
    <s v="Security"/>
    <x v="19"/>
    <x v="3"/>
  </r>
  <r>
    <s v="O02176"/>
    <s v="C0212"/>
    <s v="P003"/>
    <s v="R018"/>
    <d v="2025-06-14T00:00:00"/>
    <d v="2025-07-10T00:00:00"/>
    <d v="2025-07-10T00:00:00"/>
    <x v="1"/>
    <n v="3"/>
    <n v="5"/>
    <n v="684000"/>
    <n v="100"/>
    <s v=""/>
    <s v="East"/>
    <x v="1"/>
    <s v="Automation"/>
    <x v="18"/>
    <x v="3"/>
  </r>
  <r>
    <s v="O02177"/>
    <s v="C0280"/>
    <s v="P001"/>
    <s v="R020"/>
    <d v="2025-09-03T00:00:00"/>
    <d v="2025-10-19T00:00:00"/>
    <d v="2025-10-19T00:00:00"/>
    <x v="1"/>
    <n v="1"/>
    <n v="0"/>
    <n v="120000"/>
    <n v="100"/>
    <s v=""/>
    <s v="East"/>
    <x v="4"/>
    <s v="CRM"/>
    <x v="9"/>
    <x v="3"/>
  </r>
  <r>
    <s v="O02178"/>
    <s v="C0001"/>
    <s v="P005"/>
    <s v="R005"/>
    <d v="2025-12-15T00:00:00"/>
    <d v="2026-02-22T00:00:00"/>
    <m/>
    <x v="2"/>
    <n v="3"/>
    <n v="15"/>
    <n v="459000"/>
    <n v="60"/>
    <s v=""/>
    <s v="South"/>
    <x v="3"/>
    <s v="Service"/>
    <x v="11"/>
    <x v="2"/>
  </r>
  <r>
    <s v="O02179"/>
    <s v="C0391"/>
    <s v="P003"/>
    <s v="R007"/>
    <d v="2025-04-23T00:00:00"/>
    <d v="2025-06-25T00:00:00"/>
    <d v="2025-06-25T00:00:00"/>
    <x v="1"/>
    <n v="2"/>
    <n v="10"/>
    <n v="432000"/>
    <n v="100"/>
    <s v=""/>
    <s v="North"/>
    <x v="1"/>
    <s v="Automation"/>
    <x v="13"/>
    <x v="0"/>
  </r>
  <r>
    <s v="O02180"/>
    <s v="C0059"/>
    <s v="P005"/>
    <s v="R016"/>
    <d v="2025-06-26T00:00:00"/>
    <d v="2025-07-30T00:00:00"/>
    <d v="2025-07-30T00:00:00"/>
    <x v="1"/>
    <n v="2"/>
    <n v="10"/>
    <n v="324000"/>
    <n v="100"/>
    <s v=""/>
    <s v="East"/>
    <x v="3"/>
    <s v="Service"/>
    <x v="8"/>
    <x v="3"/>
  </r>
  <r>
    <s v="O02181"/>
    <s v="C0067"/>
    <s v="P004"/>
    <s v="R016"/>
    <d v="2025-11-16T00:00:00"/>
    <d v="2026-02-03T00:00:00"/>
    <m/>
    <x v="2"/>
    <n v="2"/>
    <n v="5"/>
    <n v="570000"/>
    <n v="20"/>
    <s v=""/>
    <s v="East"/>
    <x v="5"/>
    <s v="Analytics"/>
    <x v="8"/>
    <x v="3"/>
  </r>
  <r>
    <s v="O02182"/>
    <s v="C0059"/>
    <s v="P005"/>
    <s v="R020"/>
    <d v="2025-02-17T00:00:00"/>
    <d v="2025-04-03T00:00:00"/>
    <d v="2025-04-03T00:00:00"/>
    <x v="0"/>
    <n v="2"/>
    <n v="5"/>
    <n v="342000"/>
    <n v="0"/>
    <s v="No decision"/>
    <s v="East"/>
    <x v="3"/>
    <s v="Service"/>
    <x v="9"/>
    <x v="3"/>
  </r>
  <r>
    <s v="O02183"/>
    <s v="C0305"/>
    <s v="P006"/>
    <s v="R003"/>
    <d v="2025-12-02T00:00:00"/>
    <d v="2026-02-04T00:00:00"/>
    <m/>
    <x v="2"/>
    <n v="1"/>
    <n v="5"/>
    <n v="342000"/>
    <n v="20"/>
    <s v=""/>
    <s v="South"/>
    <x v="2"/>
    <s v="Security"/>
    <x v="15"/>
    <x v="2"/>
  </r>
  <r>
    <s v="O02184"/>
    <s v="C0093"/>
    <s v="P003"/>
    <s v="R009"/>
    <d v="2025-05-09T00:00:00"/>
    <d v="2025-07-16T00:00:00"/>
    <d v="2025-07-16T00:00:00"/>
    <x v="0"/>
    <n v="1"/>
    <n v="5"/>
    <n v="228000"/>
    <n v="0"/>
    <s v="Competition"/>
    <s v="North"/>
    <x v="1"/>
    <s v="Automation"/>
    <x v="4"/>
    <x v="0"/>
  </r>
  <r>
    <s v="O02185"/>
    <s v="C0228"/>
    <s v="P003"/>
    <s v="R009"/>
    <d v="2025-02-07T00:00:00"/>
    <d v="2025-02-24T00:00:00"/>
    <m/>
    <x v="2"/>
    <n v="3"/>
    <n v="20"/>
    <n v="576000"/>
    <n v="80"/>
    <s v=""/>
    <s v="North"/>
    <x v="1"/>
    <s v="Automation"/>
    <x v="4"/>
    <x v="0"/>
  </r>
  <r>
    <s v="O02186"/>
    <s v="C0302"/>
    <s v="P001"/>
    <s v="R003"/>
    <d v="2025-05-27T00:00:00"/>
    <d v="2025-06-17T00:00:00"/>
    <d v="2025-06-17T00:00:00"/>
    <x v="0"/>
    <n v="2"/>
    <n v="5"/>
    <n v="228000"/>
    <n v="0"/>
    <s v="Budget"/>
    <s v="South"/>
    <x v="4"/>
    <s v="CRM"/>
    <x v="15"/>
    <x v="2"/>
  </r>
  <r>
    <s v="O02187"/>
    <s v="C0065"/>
    <s v="P006"/>
    <s v="R019"/>
    <d v="2025-02-22T00:00:00"/>
    <d v="2025-03-25T00:00:00"/>
    <m/>
    <x v="2"/>
    <n v="3"/>
    <n v="5"/>
    <n v="1026000"/>
    <n v="40"/>
    <s v=""/>
    <s v="East"/>
    <x v="2"/>
    <s v="Security"/>
    <x v="10"/>
    <x v="3"/>
  </r>
  <r>
    <s v="O02188"/>
    <s v="C0449"/>
    <s v="P006"/>
    <s v="R003"/>
    <d v="2025-11-10T00:00:00"/>
    <d v="2025-12-27T00:00:00"/>
    <m/>
    <x v="2"/>
    <n v="3"/>
    <n v="20"/>
    <n v="864000"/>
    <n v="20"/>
    <s v=""/>
    <s v="South"/>
    <x v="2"/>
    <s v="Security"/>
    <x v="15"/>
    <x v="2"/>
  </r>
  <r>
    <s v="O02189"/>
    <s v="C0241"/>
    <s v="P005"/>
    <s v="R010"/>
    <d v="2025-03-16T00:00:00"/>
    <d v="2025-05-22T00:00:00"/>
    <m/>
    <x v="2"/>
    <n v="1"/>
    <n v="15"/>
    <n v="153000"/>
    <n v="80"/>
    <s v=""/>
    <s v="North"/>
    <x v="3"/>
    <s v="Service"/>
    <x v="16"/>
    <x v="0"/>
  </r>
  <r>
    <s v="O02190"/>
    <s v="C0433"/>
    <s v="P004"/>
    <s v="R019"/>
    <d v="2025-01-14T00:00:00"/>
    <d v="2025-04-03T00:00:00"/>
    <d v="2025-04-03T00:00:00"/>
    <x v="0"/>
    <n v="2"/>
    <n v="20"/>
    <n v="480000"/>
    <n v="0"/>
    <s v="Budget"/>
    <s v="East"/>
    <x v="5"/>
    <s v="Analytics"/>
    <x v="10"/>
    <x v="3"/>
  </r>
  <r>
    <s v="O02191"/>
    <s v="C0361"/>
    <s v="P002"/>
    <s v="R010"/>
    <d v="2025-07-24T00:00:00"/>
    <d v="2025-10-17T00:00:00"/>
    <d v="2025-10-17T00:00:00"/>
    <x v="1"/>
    <n v="1"/>
    <n v="0"/>
    <n v="420000"/>
    <n v="100"/>
    <s v=""/>
    <s v="North"/>
    <x v="0"/>
    <s v="CRM"/>
    <x v="16"/>
    <x v="0"/>
  </r>
  <r>
    <s v="O02192"/>
    <s v="C0009"/>
    <s v="P003"/>
    <s v="R005"/>
    <d v="2025-06-05T00:00:00"/>
    <d v="2025-07-26T00:00:00"/>
    <d v="2025-07-26T00:00:00"/>
    <x v="0"/>
    <n v="2"/>
    <n v="15"/>
    <n v="408000"/>
    <n v="0"/>
    <s v="Price"/>
    <s v="South"/>
    <x v="1"/>
    <s v="Automation"/>
    <x v="11"/>
    <x v="2"/>
  </r>
  <r>
    <s v="O02193"/>
    <s v="C0236"/>
    <s v="P006"/>
    <s v="R011"/>
    <d v="2025-09-17T00:00:00"/>
    <d v="2025-11-01T00:00:00"/>
    <d v="2025-11-01T00:00:00"/>
    <x v="0"/>
    <n v="1"/>
    <n v="15"/>
    <n v="306000"/>
    <n v="0"/>
    <s v="Budget"/>
    <s v="West"/>
    <x v="2"/>
    <s v="Security"/>
    <x v="12"/>
    <x v="1"/>
  </r>
  <r>
    <s v="O02194"/>
    <s v="C0321"/>
    <s v="P004"/>
    <s v="R017"/>
    <d v="2025-08-12T00:00:00"/>
    <d v="2025-10-05T00:00:00"/>
    <d v="2025-10-05T00:00:00"/>
    <x v="0"/>
    <n v="1"/>
    <n v="15"/>
    <n v="255000"/>
    <n v="0"/>
    <s v="Budget"/>
    <s v="East"/>
    <x v="5"/>
    <s v="Analytics"/>
    <x v="19"/>
    <x v="3"/>
  </r>
  <r>
    <s v="O02195"/>
    <s v="C0230"/>
    <s v="P002"/>
    <s v="R001"/>
    <d v="2025-03-07T00:00:00"/>
    <d v="2025-04-23T00:00:00"/>
    <d v="2025-04-23T00:00:00"/>
    <x v="0"/>
    <n v="2"/>
    <n v="20"/>
    <n v="672000"/>
    <n v="0"/>
    <s v="Feature gap"/>
    <s v="South"/>
    <x v="0"/>
    <s v="CRM"/>
    <x v="6"/>
    <x v="2"/>
  </r>
  <r>
    <s v="O02196"/>
    <s v="C0159"/>
    <s v="P001"/>
    <s v="R002"/>
    <d v="2025-08-31T00:00:00"/>
    <d v="2025-10-07T00:00:00"/>
    <d v="2025-10-07T00:00:00"/>
    <x v="1"/>
    <n v="1"/>
    <n v="15"/>
    <n v="102000"/>
    <n v="100"/>
    <s v=""/>
    <s v="South"/>
    <x v="4"/>
    <s v="CRM"/>
    <x v="17"/>
    <x v="2"/>
  </r>
  <r>
    <s v="O02197"/>
    <s v="C0287"/>
    <s v="P003"/>
    <s v="R020"/>
    <d v="2025-04-15T00:00:00"/>
    <d v="2025-06-15T00:00:00"/>
    <m/>
    <x v="2"/>
    <n v="3"/>
    <n v="0"/>
    <n v="720000"/>
    <n v="80"/>
    <s v=""/>
    <s v="East"/>
    <x v="1"/>
    <s v="Automation"/>
    <x v="9"/>
    <x v="3"/>
  </r>
  <r>
    <s v="O02198"/>
    <s v="C0289"/>
    <s v="P003"/>
    <s v="R014"/>
    <d v="2025-05-05T00:00:00"/>
    <d v="2025-06-22T00:00:00"/>
    <d v="2025-06-22T00:00:00"/>
    <x v="0"/>
    <n v="1"/>
    <n v="0"/>
    <n v="240000"/>
    <n v="0"/>
    <s v="Budget"/>
    <s v="West"/>
    <x v="1"/>
    <s v="Automation"/>
    <x v="1"/>
    <x v="1"/>
  </r>
  <r>
    <s v="O02199"/>
    <s v="C0034"/>
    <s v="P001"/>
    <s v="R020"/>
    <d v="2025-06-13T00:00:00"/>
    <d v="2025-08-26T00:00:00"/>
    <m/>
    <x v="2"/>
    <n v="2"/>
    <n v="5"/>
    <n v="228000"/>
    <n v="40"/>
    <s v=""/>
    <s v="East"/>
    <x v="4"/>
    <s v="CRM"/>
    <x v="9"/>
    <x v="3"/>
  </r>
  <r>
    <s v="O02200"/>
    <s v="C0482"/>
    <s v="P001"/>
    <s v="R011"/>
    <d v="2025-05-27T00:00:00"/>
    <d v="2025-06-10T00:00:00"/>
    <d v="2025-06-10T00:00:00"/>
    <x v="1"/>
    <n v="2"/>
    <n v="10"/>
    <n v="216000"/>
    <n v="100"/>
    <s v=""/>
    <s v="West"/>
    <x v="4"/>
    <s v="CRM"/>
    <x v="12"/>
    <x v="1"/>
  </r>
  <r>
    <s v="O02201"/>
    <s v="C0393"/>
    <s v="P006"/>
    <s v="R001"/>
    <d v="2025-02-14T00:00:00"/>
    <d v="2025-04-08T00:00:00"/>
    <d v="2025-04-08T00:00:00"/>
    <x v="1"/>
    <n v="2"/>
    <n v="15"/>
    <n v="612000"/>
    <n v="100"/>
    <s v=""/>
    <s v="South"/>
    <x v="2"/>
    <s v="Security"/>
    <x v="6"/>
    <x v="2"/>
  </r>
  <r>
    <s v="O02202"/>
    <s v="C0022"/>
    <s v="P001"/>
    <s v="R008"/>
    <d v="2025-06-21T00:00:00"/>
    <d v="2025-07-02T00:00:00"/>
    <d v="2025-07-02T00:00:00"/>
    <x v="0"/>
    <n v="3"/>
    <n v="20"/>
    <n v="288000"/>
    <n v="0"/>
    <s v="Competition"/>
    <s v="North"/>
    <x v="4"/>
    <s v="CRM"/>
    <x v="0"/>
    <x v="0"/>
  </r>
  <r>
    <s v="O02203"/>
    <s v="C0179"/>
    <s v="P006"/>
    <s v="R015"/>
    <d v="2025-01-21T00:00:00"/>
    <d v="2025-02-25T00:00:00"/>
    <m/>
    <x v="2"/>
    <n v="2"/>
    <n v="5"/>
    <n v="684000"/>
    <n v="40"/>
    <s v=""/>
    <s v="West"/>
    <x v="2"/>
    <s v="Security"/>
    <x v="7"/>
    <x v="1"/>
  </r>
  <r>
    <s v="O02204"/>
    <s v="C0179"/>
    <s v="P001"/>
    <s v="R013"/>
    <d v="2025-11-26T00:00:00"/>
    <d v="2026-01-05T00:00:00"/>
    <m/>
    <x v="2"/>
    <n v="1"/>
    <n v="20"/>
    <n v="96000"/>
    <n v="80"/>
    <s v=""/>
    <s v="West"/>
    <x v="4"/>
    <s v="CRM"/>
    <x v="5"/>
    <x v="1"/>
  </r>
  <r>
    <s v="O02205"/>
    <s v="C0214"/>
    <s v="P004"/>
    <s v="R002"/>
    <d v="2025-06-11T00:00:00"/>
    <d v="2025-06-19T00:00:00"/>
    <d v="2025-06-19T00:00:00"/>
    <x v="1"/>
    <n v="3"/>
    <n v="15"/>
    <n v="765000"/>
    <n v="100"/>
    <s v=""/>
    <s v="South"/>
    <x v="5"/>
    <s v="Analytics"/>
    <x v="17"/>
    <x v="2"/>
  </r>
  <r>
    <s v="O02206"/>
    <s v="C0053"/>
    <s v="P002"/>
    <s v="R016"/>
    <d v="2025-04-28T00:00:00"/>
    <d v="2025-07-13T00:00:00"/>
    <m/>
    <x v="2"/>
    <n v="1"/>
    <n v="15"/>
    <n v="357000"/>
    <n v="20"/>
    <s v=""/>
    <s v="East"/>
    <x v="0"/>
    <s v="CRM"/>
    <x v="8"/>
    <x v="3"/>
  </r>
  <r>
    <s v="O02207"/>
    <s v="C0475"/>
    <s v="P004"/>
    <s v="R014"/>
    <d v="2025-03-20T00:00:00"/>
    <d v="2025-04-25T00:00:00"/>
    <d v="2025-04-25T00:00:00"/>
    <x v="0"/>
    <n v="1"/>
    <n v="5"/>
    <n v="285000"/>
    <n v="0"/>
    <s v="Competition"/>
    <s v="West"/>
    <x v="5"/>
    <s v="Analytics"/>
    <x v="1"/>
    <x v="1"/>
  </r>
  <r>
    <s v="O02208"/>
    <s v="C0251"/>
    <s v="P003"/>
    <s v="R018"/>
    <d v="2025-01-20T00:00:00"/>
    <d v="2025-04-09T00:00:00"/>
    <d v="2025-04-09T00:00:00"/>
    <x v="0"/>
    <n v="3"/>
    <n v="20"/>
    <n v="576000"/>
    <n v="0"/>
    <s v="Price"/>
    <s v="East"/>
    <x v="1"/>
    <s v="Automation"/>
    <x v="18"/>
    <x v="3"/>
  </r>
  <r>
    <s v="O02209"/>
    <s v="C0045"/>
    <s v="P004"/>
    <s v="R008"/>
    <d v="2025-01-19T00:00:00"/>
    <d v="2025-02-28T00:00:00"/>
    <m/>
    <x v="2"/>
    <n v="1"/>
    <n v="10"/>
    <n v="270000"/>
    <n v="40"/>
    <s v=""/>
    <s v="North"/>
    <x v="5"/>
    <s v="Analytics"/>
    <x v="0"/>
    <x v="0"/>
  </r>
  <r>
    <s v="O02210"/>
    <s v="C0478"/>
    <s v="P006"/>
    <s v="R014"/>
    <d v="2025-10-13T00:00:00"/>
    <d v="2026-01-04T00:00:00"/>
    <m/>
    <x v="2"/>
    <n v="3"/>
    <n v="15"/>
    <n v="918000"/>
    <n v="80"/>
    <s v=""/>
    <s v="West"/>
    <x v="2"/>
    <s v="Security"/>
    <x v="1"/>
    <x v="1"/>
  </r>
  <r>
    <s v="O02211"/>
    <s v="C0477"/>
    <s v="P003"/>
    <s v="R007"/>
    <d v="2025-06-09T00:00:00"/>
    <d v="2025-08-15T00:00:00"/>
    <m/>
    <x v="2"/>
    <n v="2"/>
    <n v="0"/>
    <n v="480000"/>
    <n v="80"/>
    <s v=""/>
    <s v="North"/>
    <x v="1"/>
    <s v="Automation"/>
    <x v="13"/>
    <x v="0"/>
  </r>
  <r>
    <s v="O02212"/>
    <s v="C0098"/>
    <s v="P003"/>
    <s v="R007"/>
    <d v="2025-06-16T00:00:00"/>
    <d v="2025-08-11T00:00:00"/>
    <d v="2025-08-11T00:00:00"/>
    <x v="0"/>
    <n v="1"/>
    <n v="20"/>
    <n v="192000"/>
    <n v="0"/>
    <s v="Competition"/>
    <s v="North"/>
    <x v="1"/>
    <s v="Automation"/>
    <x v="13"/>
    <x v="0"/>
  </r>
  <r>
    <s v="O02213"/>
    <s v="C0477"/>
    <s v="P002"/>
    <s v="R008"/>
    <d v="2025-03-14T00:00:00"/>
    <d v="2025-05-03T00:00:00"/>
    <m/>
    <x v="2"/>
    <n v="1"/>
    <n v="10"/>
    <n v="378000"/>
    <n v="80"/>
    <s v=""/>
    <s v="North"/>
    <x v="0"/>
    <s v="CRM"/>
    <x v="0"/>
    <x v="0"/>
  </r>
  <r>
    <s v="O02214"/>
    <s v="C0007"/>
    <s v="P004"/>
    <s v="R002"/>
    <d v="2025-08-30T00:00:00"/>
    <d v="2025-10-26T00:00:00"/>
    <d v="2025-10-26T00:00:00"/>
    <x v="1"/>
    <n v="1"/>
    <n v="5"/>
    <n v="285000"/>
    <n v="100"/>
    <s v=""/>
    <s v="South"/>
    <x v="5"/>
    <s v="Analytics"/>
    <x v="17"/>
    <x v="2"/>
  </r>
  <r>
    <s v="O02215"/>
    <s v="C0272"/>
    <s v="P001"/>
    <s v="R007"/>
    <d v="2025-03-19T00:00:00"/>
    <d v="2025-04-15T00:00:00"/>
    <d v="2025-04-15T00:00:00"/>
    <x v="0"/>
    <n v="2"/>
    <n v="5"/>
    <n v="228000"/>
    <n v="0"/>
    <s v="Competition"/>
    <s v="North"/>
    <x v="4"/>
    <s v="CRM"/>
    <x v="13"/>
    <x v="0"/>
  </r>
  <r>
    <s v="O02216"/>
    <s v="C0325"/>
    <s v="P003"/>
    <s v="R014"/>
    <d v="2025-10-03T00:00:00"/>
    <d v="2025-12-07T00:00:00"/>
    <m/>
    <x v="2"/>
    <n v="1"/>
    <n v="20"/>
    <n v="192000"/>
    <n v="40"/>
    <s v=""/>
    <s v="West"/>
    <x v="1"/>
    <s v="Automation"/>
    <x v="1"/>
    <x v="1"/>
  </r>
  <r>
    <s v="O02217"/>
    <s v="C0385"/>
    <s v="P004"/>
    <s v="R009"/>
    <d v="2025-09-16T00:00:00"/>
    <d v="2025-12-09T00:00:00"/>
    <d v="2025-12-09T00:00:00"/>
    <x v="1"/>
    <n v="1"/>
    <n v="10"/>
    <n v="270000"/>
    <n v="100"/>
    <s v=""/>
    <s v="North"/>
    <x v="5"/>
    <s v="Analytics"/>
    <x v="4"/>
    <x v="0"/>
  </r>
  <r>
    <s v="O02218"/>
    <s v="C0231"/>
    <s v="P005"/>
    <s v="R006"/>
    <d v="2025-06-24T00:00:00"/>
    <d v="2025-07-06T00:00:00"/>
    <d v="2025-07-06T00:00:00"/>
    <x v="1"/>
    <n v="1"/>
    <n v="20"/>
    <n v="144000"/>
    <n v="100"/>
    <s v=""/>
    <s v="North"/>
    <x v="3"/>
    <s v="Service"/>
    <x v="2"/>
    <x v="0"/>
  </r>
  <r>
    <s v="O02219"/>
    <s v="C0207"/>
    <s v="P003"/>
    <s v="R010"/>
    <d v="2025-01-06T00:00:00"/>
    <d v="2025-03-08T00:00:00"/>
    <d v="2025-03-08T00:00:00"/>
    <x v="1"/>
    <n v="1"/>
    <n v="20"/>
    <n v="192000"/>
    <n v="100"/>
    <s v=""/>
    <s v="North"/>
    <x v="1"/>
    <s v="Automation"/>
    <x v="16"/>
    <x v="0"/>
  </r>
  <r>
    <s v="O02220"/>
    <s v="C0378"/>
    <s v="P005"/>
    <s v="R008"/>
    <d v="2025-04-10T00:00:00"/>
    <d v="2025-06-01T00:00:00"/>
    <d v="2025-06-01T00:00:00"/>
    <x v="1"/>
    <n v="1"/>
    <n v="5"/>
    <n v="171000"/>
    <n v="100"/>
    <s v=""/>
    <s v="North"/>
    <x v="3"/>
    <s v="Service"/>
    <x v="0"/>
    <x v="0"/>
  </r>
  <r>
    <s v="O02221"/>
    <s v="C0297"/>
    <s v="P001"/>
    <s v="R001"/>
    <d v="2025-12-11T00:00:00"/>
    <d v="2026-02-10T00:00:00"/>
    <m/>
    <x v="2"/>
    <n v="1"/>
    <n v="20"/>
    <n v="96000"/>
    <n v="80"/>
    <s v=""/>
    <s v="South"/>
    <x v="4"/>
    <s v="CRM"/>
    <x v="6"/>
    <x v="2"/>
  </r>
  <r>
    <s v="O02222"/>
    <s v="C0468"/>
    <s v="P006"/>
    <s v="R002"/>
    <d v="2025-03-15T00:00:00"/>
    <d v="2025-05-24T00:00:00"/>
    <d v="2025-05-24T00:00:00"/>
    <x v="1"/>
    <n v="3"/>
    <n v="20"/>
    <n v="864000"/>
    <n v="100"/>
    <s v=""/>
    <s v="South"/>
    <x v="2"/>
    <s v="Security"/>
    <x v="17"/>
    <x v="2"/>
  </r>
  <r>
    <s v="O02223"/>
    <s v="C0023"/>
    <s v="P004"/>
    <s v="R012"/>
    <d v="2025-02-03T00:00:00"/>
    <d v="2025-03-19T00:00:00"/>
    <d v="2025-03-19T00:00:00"/>
    <x v="1"/>
    <n v="1"/>
    <n v="0"/>
    <n v="300000"/>
    <n v="100"/>
    <s v=""/>
    <s v="West"/>
    <x v="5"/>
    <s v="Analytics"/>
    <x v="14"/>
    <x v="1"/>
  </r>
  <r>
    <s v="O02224"/>
    <s v="C0182"/>
    <s v="P002"/>
    <s v="R014"/>
    <d v="2025-09-29T00:00:00"/>
    <d v="2025-11-22T00:00:00"/>
    <d v="2025-11-22T00:00:00"/>
    <x v="0"/>
    <n v="1"/>
    <n v="20"/>
    <n v="336000"/>
    <n v="0"/>
    <s v="No decision"/>
    <s v="West"/>
    <x v="0"/>
    <s v="CRM"/>
    <x v="1"/>
    <x v="1"/>
  </r>
  <r>
    <s v="O02225"/>
    <s v="C0149"/>
    <s v="P001"/>
    <s v="R014"/>
    <d v="2025-04-26T00:00:00"/>
    <d v="2025-05-28T00:00:00"/>
    <d v="2025-05-28T00:00:00"/>
    <x v="0"/>
    <n v="1"/>
    <n v="20"/>
    <n v="96000"/>
    <n v="0"/>
    <s v="Price"/>
    <s v="West"/>
    <x v="4"/>
    <s v="CRM"/>
    <x v="1"/>
    <x v="1"/>
  </r>
  <r>
    <s v="O02226"/>
    <s v="C0204"/>
    <s v="P001"/>
    <s v="R014"/>
    <d v="2025-01-04T00:00:00"/>
    <d v="2025-02-16T00:00:00"/>
    <d v="2025-02-16T00:00:00"/>
    <x v="0"/>
    <n v="2"/>
    <n v="10"/>
    <n v="216000"/>
    <n v="0"/>
    <s v="No decision"/>
    <s v="West"/>
    <x v="4"/>
    <s v="CRM"/>
    <x v="1"/>
    <x v="1"/>
  </r>
  <r>
    <s v="O02227"/>
    <s v="C0079"/>
    <s v="P005"/>
    <s v="R002"/>
    <d v="2025-03-30T00:00:00"/>
    <d v="2025-06-03T00:00:00"/>
    <d v="2025-06-03T00:00:00"/>
    <x v="1"/>
    <n v="1"/>
    <n v="10"/>
    <n v="162000"/>
    <n v="100"/>
    <s v=""/>
    <s v="South"/>
    <x v="3"/>
    <s v="Service"/>
    <x v="17"/>
    <x v="2"/>
  </r>
  <r>
    <s v="O02228"/>
    <s v="C0487"/>
    <s v="P003"/>
    <s v="R014"/>
    <d v="2025-07-08T00:00:00"/>
    <d v="2025-07-25T00:00:00"/>
    <d v="2025-07-25T00:00:00"/>
    <x v="1"/>
    <n v="3"/>
    <n v="20"/>
    <n v="576000"/>
    <n v="100"/>
    <s v=""/>
    <s v="West"/>
    <x v="1"/>
    <s v="Automation"/>
    <x v="1"/>
    <x v="1"/>
  </r>
  <r>
    <s v="O02229"/>
    <s v="C0111"/>
    <s v="P004"/>
    <s v="R014"/>
    <d v="2025-11-03T00:00:00"/>
    <d v="2025-12-10T00:00:00"/>
    <m/>
    <x v="2"/>
    <n v="2"/>
    <n v="10"/>
    <n v="540000"/>
    <n v="60"/>
    <s v=""/>
    <s v="West"/>
    <x v="5"/>
    <s v="Analytics"/>
    <x v="1"/>
    <x v="1"/>
  </r>
  <r>
    <s v="O02230"/>
    <s v="C0238"/>
    <s v="P001"/>
    <s v="R020"/>
    <d v="2025-10-25T00:00:00"/>
    <d v="2025-11-25T00:00:00"/>
    <d v="2025-11-25T00:00:00"/>
    <x v="1"/>
    <n v="1"/>
    <n v="15"/>
    <n v="102000"/>
    <n v="100"/>
    <s v=""/>
    <s v="East"/>
    <x v="4"/>
    <s v="CRM"/>
    <x v="9"/>
    <x v="3"/>
  </r>
  <r>
    <s v="O02231"/>
    <s v="C0108"/>
    <s v="P002"/>
    <s v="R001"/>
    <d v="2025-07-11T00:00:00"/>
    <d v="2025-09-30T00:00:00"/>
    <d v="2025-09-30T00:00:00"/>
    <x v="0"/>
    <n v="2"/>
    <n v="10"/>
    <n v="756000"/>
    <n v="0"/>
    <s v="Price"/>
    <s v="South"/>
    <x v="0"/>
    <s v="CRM"/>
    <x v="6"/>
    <x v="2"/>
  </r>
  <r>
    <s v="O02232"/>
    <s v="C0347"/>
    <s v="P002"/>
    <s v="R002"/>
    <d v="2025-06-17T00:00:00"/>
    <d v="2025-08-18T00:00:00"/>
    <d v="2025-08-18T00:00:00"/>
    <x v="1"/>
    <n v="1"/>
    <n v="5"/>
    <n v="399000"/>
    <n v="100"/>
    <s v=""/>
    <s v="South"/>
    <x v="0"/>
    <s v="CRM"/>
    <x v="17"/>
    <x v="2"/>
  </r>
  <r>
    <s v="O02233"/>
    <s v="C0142"/>
    <s v="P002"/>
    <s v="R014"/>
    <d v="2025-07-24T00:00:00"/>
    <d v="2025-08-29T00:00:00"/>
    <m/>
    <x v="2"/>
    <n v="1"/>
    <n v="0"/>
    <n v="420000"/>
    <n v="80"/>
    <s v=""/>
    <s v="West"/>
    <x v="0"/>
    <s v="CRM"/>
    <x v="1"/>
    <x v="1"/>
  </r>
  <r>
    <s v="O02234"/>
    <s v="C0004"/>
    <s v="P001"/>
    <s v="R004"/>
    <d v="2025-02-13T00:00:00"/>
    <d v="2025-03-07T00:00:00"/>
    <d v="2025-03-07T00:00:00"/>
    <x v="0"/>
    <n v="3"/>
    <n v="20"/>
    <n v="288000"/>
    <n v="0"/>
    <s v="Budget"/>
    <s v="South"/>
    <x v="4"/>
    <s v="CRM"/>
    <x v="3"/>
    <x v="2"/>
  </r>
  <r>
    <s v="O02235"/>
    <s v="C0431"/>
    <s v="P003"/>
    <s v="R004"/>
    <d v="2025-08-14T00:00:00"/>
    <d v="2025-09-19T00:00:00"/>
    <m/>
    <x v="2"/>
    <n v="1"/>
    <n v="5"/>
    <n v="228000"/>
    <n v="80"/>
    <s v=""/>
    <s v="South"/>
    <x v="1"/>
    <s v="Automation"/>
    <x v="3"/>
    <x v="2"/>
  </r>
  <r>
    <s v="O02236"/>
    <s v="C0136"/>
    <s v="P001"/>
    <s v="R007"/>
    <d v="2025-11-30T00:00:00"/>
    <d v="2025-12-26T00:00:00"/>
    <m/>
    <x v="2"/>
    <n v="1"/>
    <n v="20"/>
    <n v="96000"/>
    <n v="80"/>
    <s v=""/>
    <s v="North"/>
    <x v="4"/>
    <s v="CRM"/>
    <x v="13"/>
    <x v="0"/>
  </r>
  <r>
    <s v="O02237"/>
    <s v="C0226"/>
    <s v="P004"/>
    <s v="R008"/>
    <d v="2025-02-11T00:00:00"/>
    <d v="2025-05-03T00:00:00"/>
    <d v="2025-05-03T00:00:00"/>
    <x v="0"/>
    <n v="1"/>
    <n v="10"/>
    <n v="270000"/>
    <n v="0"/>
    <s v="Price"/>
    <s v="North"/>
    <x v="5"/>
    <s v="Analytics"/>
    <x v="0"/>
    <x v="0"/>
  </r>
  <r>
    <s v="O02238"/>
    <s v="C0238"/>
    <s v="P005"/>
    <s v="R020"/>
    <d v="2025-12-27T00:00:00"/>
    <d v="2026-03-11T00:00:00"/>
    <m/>
    <x v="2"/>
    <n v="3"/>
    <n v="0"/>
    <n v="540000"/>
    <n v="80"/>
    <s v=""/>
    <s v="East"/>
    <x v="3"/>
    <s v="Service"/>
    <x v="9"/>
    <x v="3"/>
  </r>
  <r>
    <s v="O02239"/>
    <s v="C0371"/>
    <s v="P003"/>
    <s v="R001"/>
    <d v="2025-03-22T00:00:00"/>
    <d v="2025-06-01T00:00:00"/>
    <d v="2025-06-01T00:00:00"/>
    <x v="1"/>
    <n v="1"/>
    <n v="10"/>
    <n v="216000"/>
    <n v="100"/>
    <s v=""/>
    <s v="South"/>
    <x v="1"/>
    <s v="Automation"/>
    <x v="6"/>
    <x v="2"/>
  </r>
  <r>
    <s v="O02240"/>
    <s v="C0336"/>
    <s v="P001"/>
    <s v="R010"/>
    <d v="2025-06-30T00:00:00"/>
    <d v="2025-07-07T00:00:00"/>
    <d v="2025-07-07T00:00:00"/>
    <x v="0"/>
    <n v="1"/>
    <n v="10"/>
    <n v="108000"/>
    <n v="0"/>
    <s v="Price"/>
    <s v="North"/>
    <x v="4"/>
    <s v="CRM"/>
    <x v="16"/>
    <x v="0"/>
  </r>
  <r>
    <s v="O02241"/>
    <s v="C0054"/>
    <s v="P002"/>
    <s v="R006"/>
    <d v="2025-02-28T00:00:00"/>
    <d v="2025-03-23T00:00:00"/>
    <d v="2025-03-23T00:00:00"/>
    <x v="1"/>
    <n v="2"/>
    <n v="5"/>
    <n v="798000"/>
    <n v="100"/>
    <s v=""/>
    <s v="North"/>
    <x v="0"/>
    <s v="CRM"/>
    <x v="2"/>
    <x v="0"/>
  </r>
  <r>
    <s v="O02242"/>
    <s v="C0084"/>
    <s v="P001"/>
    <s v="R002"/>
    <d v="2025-06-12T00:00:00"/>
    <d v="2025-08-06T00:00:00"/>
    <d v="2025-08-06T00:00:00"/>
    <x v="0"/>
    <n v="1"/>
    <n v="15"/>
    <n v="102000"/>
    <n v="0"/>
    <s v="Price"/>
    <s v="South"/>
    <x v="4"/>
    <s v="CRM"/>
    <x v="17"/>
    <x v="2"/>
  </r>
  <r>
    <s v="O02243"/>
    <s v="C0439"/>
    <s v="P002"/>
    <s v="R019"/>
    <d v="2025-01-30T00:00:00"/>
    <d v="2025-04-03T00:00:00"/>
    <d v="2025-04-03T00:00:00"/>
    <x v="0"/>
    <n v="3"/>
    <n v="5"/>
    <n v="1197000"/>
    <n v="0"/>
    <s v="Price"/>
    <s v="East"/>
    <x v="0"/>
    <s v="CRM"/>
    <x v="10"/>
    <x v="3"/>
  </r>
  <r>
    <s v="O02244"/>
    <s v="C0492"/>
    <s v="P006"/>
    <s v="R011"/>
    <d v="2025-03-04T00:00:00"/>
    <d v="2025-05-10T00:00:00"/>
    <d v="2025-05-10T00:00:00"/>
    <x v="1"/>
    <n v="1"/>
    <n v="10"/>
    <n v="324000"/>
    <n v="100"/>
    <s v=""/>
    <s v="West"/>
    <x v="2"/>
    <s v="Security"/>
    <x v="12"/>
    <x v="1"/>
  </r>
  <r>
    <s v="O02245"/>
    <s v="C0205"/>
    <s v="P001"/>
    <s v="R007"/>
    <d v="2025-09-23T00:00:00"/>
    <d v="2025-12-15T00:00:00"/>
    <m/>
    <x v="2"/>
    <n v="1"/>
    <n v="0"/>
    <n v="120000"/>
    <n v="60"/>
    <s v=""/>
    <s v="North"/>
    <x v="4"/>
    <s v="CRM"/>
    <x v="13"/>
    <x v="0"/>
  </r>
  <r>
    <s v="O02246"/>
    <s v="C0147"/>
    <s v="P004"/>
    <s v="R003"/>
    <d v="2025-06-16T00:00:00"/>
    <d v="2025-07-22T00:00:00"/>
    <d v="2025-07-22T00:00:00"/>
    <x v="1"/>
    <n v="1"/>
    <n v="15"/>
    <n v="255000"/>
    <n v="100"/>
    <s v=""/>
    <s v="South"/>
    <x v="5"/>
    <s v="Analytics"/>
    <x v="15"/>
    <x v="2"/>
  </r>
  <r>
    <s v="O02247"/>
    <s v="C0346"/>
    <s v="P003"/>
    <s v="R009"/>
    <d v="2025-05-04T00:00:00"/>
    <d v="2025-05-12T00:00:00"/>
    <d v="2025-05-12T00:00:00"/>
    <x v="0"/>
    <n v="2"/>
    <n v="20"/>
    <n v="384000"/>
    <n v="0"/>
    <s v="No decision"/>
    <s v="North"/>
    <x v="1"/>
    <s v="Automation"/>
    <x v="4"/>
    <x v="0"/>
  </r>
  <r>
    <s v="O02248"/>
    <s v="C0146"/>
    <s v="P004"/>
    <s v="R008"/>
    <d v="2025-09-13T00:00:00"/>
    <d v="2025-10-24T00:00:00"/>
    <d v="2025-10-24T00:00:00"/>
    <x v="1"/>
    <n v="1"/>
    <n v="10"/>
    <n v="270000"/>
    <n v="100"/>
    <s v=""/>
    <s v="North"/>
    <x v="5"/>
    <s v="Analytics"/>
    <x v="0"/>
    <x v="0"/>
  </r>
  <r>
    <s v="O02249"/>
    <s v="C0080"/>
    <s v="P003"/>
    <s v="R012"/>
    <d v="2025-02-09T00:00:00"/>
    <d v="2025-04-18T00:00:00"/>
    <d v="2025-04-18T00:00:00"/>
    <x v="0"/>
    <n v="1"/>
    <n v="0"/>
    <n v="240000"/>
    <n v="0"/>
    <s v="Price"/>
    <s v="West"/>
    <x v="1"/>
    <s v="Automation"/>
    <x v="14"/>
    <x v="1"/>
  </r>
  <r>
    <s v="O02250"/>
    <s v="C0357"/>
    <s v="P004"/>
    <s v="R018"/>
    <d v="2025-11-26T00:00:00"/>
    <d v="2026-01-17T00:00:00"/>
    <m/>
    <x v="2"/>
    <n v="1"/>
    <n v="20"/>
    <n v="240000"/>
    <n v="20"/>
    <s v=""/>
    <s v="East"/>
    <x v="5"/>
    <s v="Analytics"/>
    <x v="18"/>
    <x v="3"/>
  </r>
  <r>
    <s v="O02251"/>
    <s v="C0374"/>
    <s v="P002"/>
    <s v="R004"/>
    <d v="2025-07-23T00:00:00"/>
    <d v="2025-09-18T00:00:00"/>
    <d v="2025-09-18T00:00:00"/>
    <x v="0"/>
    <n v="1"/>
    <n v="20"/>
    <n v="336000"/>
    <n v="0"/>
    <s v="Budget"/>
    <s v="South"/>
    <x v="0"/>
    <s v="CRM"/>
    <x v="3"/>
    <x v="2"/>
  </r>
  <r>
    <s v="O02252"/>
    <s v="C0019"/>
    <s v="P006"/>
    <s v="R004"/>
    <d v="2025-04-01T00:00:00"/>
    <d v="2025-06-12T00:00:00"/>
    <d v="2025-06-12T00:00:00"/>
    <x v="0"/>
    <n v="3"/>
    <n v="0"/>
    <n v="1080000"/>
    <n v="0"/>
    <s v="No decision"/>
    <s v="South"/>
    <x v="2"/>
    <s v="Security"/>
    <x v="3"/>
    <x v="2"/>
  </r>
  <r>
    <s v="O02253"/>
    <s v="C0450"/>
    <s v="P005"/>
    <s v="R012"/>
    <d v="2025-03-24T00:00:00"/>
    <d v="2025-04-10T00:00:00"/>
    <d v="2025-04-10T00:00:00"/>
    <x v="1"/>
    <n v="1"/>
    <n v="10"/>
    <n v="162000"/>
    <n v="100"/>
    <s v=""/>
    <s v="West"/>
    <x v="3"/>
    <s v="Service"/>
    <x v="14"/>
    <x v="1"/>
  </r>
  <r>
    <s v="O02254"/>
    <s v="C0048"/>
    <s v="P002"/>
    <s v="R003"/>
    <d v="2025-03-31T00:00:00"/>
    <d v="2025-06-09T00:00:00"/>
    <d v="2025-06-09T00:00:00"/>
    <x v="0"/>
    <n v="1"/>
    <n v="5"/>
    <n v="399000"/>
    <n v="0"/>
    <s v="Budget"/>
    <s v="South"/>
    <x v="0"/>
    <s v="CRM"/>
    <x v="15"/>
    <x v="2"/>
  </r>
  <r>
    <s v="O02255"/>
    <s v="C0459"/>
    <s v="P004"/>
    <s v="R013"/>
    <d v="2025-02-27T00:00:00"/>
    <d v="2025-05-10T00:00:00"/>
    <d v="2025-05-10T00:00:00"/>
    <x v="0"/>
    <n v="2"/>
    <n v="0"/>
    <n v="600000"/>
    <n v="0"/>
    <s v="Competition"/>
    <s v="West"/>
    <x v="5"/>
    <s v="Analytics"/>
    <x v="5"/>
    <x v="1"/>
  </r>
  <r>
    <s v="O02256"/>
    <s v="C0254"/>
    <s v="P005"/>
    <s v="R005"/>
    <d v="2025-04-25T00:00:00"/>
    <d v="2025-05-25T00:00:00"/>
    <d v="2025-05-25T00:00:00"/>
    <x v="0"/>
    <n v="2"/>
    <n v="5"/>
    <n v="342000"/>
    <n v="0"/>
    <s v="Feature gap"/>
    <s v="South"/>
    <x v="3"/>
    <s v="Service"/>
    <x v="11"/>
    <x v="2"/>
  </r>
  <r>
    <s v="O02257"/>
    <s v="C0123"/>
    <s v="P003"/>
    <s v="R011"/>
    <d v="2025-02-22T00:00:00"/>
    <d v="2025-03-10T00:00:00"/>
    <d v="2025-03-10T00:00:00"/>
    <x v="0"/>
    <n v="1"/>
    <n v="5"/>
    <n v="228000"/>
    <n v="0"/>
    <s v="Price"/>
    <s v="West"/>
    <x v="1"/>
    <s v="Automation"/>
    <x v="12"/>
    <x v="1"/>
  </r>
  <r>
    <s v="O02258"/>
    <s v="C0445"/>
    <s v="P003"/>
    <s v="R004"/>
    <d v="2025-10-23T00:00:00"/>
    <d v="2026-01-05T00:00:00"/>
    <m/>
    <x v="2"/>
    <n v="1"/>
    <n v="0"/>
    <n v="240000"/>
    <n v="40"/>
    <s v=""/>
    <s v="South"/>
    <x v="1"/>
    <s v="Automation"/>
    <x v="3"/>
    <x v="2"/>
  </r>
  <r>
    <s v="O02259"/>
    <s v="C0386"/>
    <s v="P003"/>
    <s v="R019"/>
    <d v="2025-01-31T00:00:00"/>
    <d v="2025-04-21T00:00:00"/>
    <m/>
    <x v="2"/>
    <n v="1"/>
    <n v="5"/>
    <n v="228000"/>
    <n v="20"/>
    <s v=""/>
    <s v="East"/>
    <x v="1"/>
    <s v="Automation"/>
    <x v="10"/>
    <x v="3"/>
  </r>
  <r>
    <s v="O02260"/>
    <s v="C0317"/>
    <s v="P002"/>
    <s v="R011"/>
    <d v="2025-04-26T00:00:00"/>
    <d v="2025-05-17T00:00:00"/>
    <m/>
    <x v="2"/>
    <n v="2"/>
    <n v="20"/>
    <n v="672000"/>
    <n v="40"/>
    <s v=""/>
    <s v="West"/>
    <x v="0"/>
    <s v="CRM"/>
    <x v="12"/>
    <x v="1"/>
  </r>
  <r>
    <s v="O02261"/>
    <s v="C0191"/>
    <s v="P001"/>
    <s v="R015"/>
    <d v="2025-04-29T00:00:00"/>
    <d v="2025-07-02T00:00:00"/>
    <d v="2025-07-02T00:00:00"/>
    <x v="1"/>
    <n v="3"/>
    <n v="10"/>
    <n v="324000"/>
    <n v="100"/>
    <s v=""/>
    <s v="West"/>
    <x v="4"/>
    <s v="CRM"/>
    <x v="7"/>
    <x v="1"/>
  </r>
  <r>
    <s v="O02262"/>
    <s v="C0050"/>
    <s v="P002"/>
    <s v="R002"/>
    <d v="2025-08-17T00:00:00"/>
    <d v="2025-09-25T00:00:00"/>
    <d v="2025-09-25T00:00:00"/>
    <x v="1"/>
    <n v="3"/>
    <n v="10"/>
    <n v="1134000"/>
    <n v="100"/>
    <s v=""/>
    <s v="South"/>
    <x v="0"/>
    <s v="CRM"/>
    <x v="17"/>
    <x v="2"/>
  </r>
  <r>
    <s v="O02263"/>
    <s v="C0165"/>
    <s v="P002"/>
    <s v="R003"/>
    <d v="2025-06-14T00:00:00"/>
    <d v="2025-08-24T00:00:00"/>
    <d v="2025-08-24T00:00:00"/>
    <x v="0"/>
    <n v="3"/>
    <n v="5"/>
    <n v="1197000"/>
    <n v="0"/>
    <s v="Budget"/>
    <s v="South"/>
    <x v="0"/>
    <s v="CRM"/>
    <x v="15"/>
    <x v="2"/>
  </r>
  <r>
    <s v="O02264"/>
    <s v="C0334"/>
    <s v="P006"/>
    <s v="R012"/>
    <d v="2025-09-22T00:00:00"/>
    <d v="2025-10-06T00:00:00"/>
    <m/>
    <x v="2"/>
    <n v="1"/>
    <n v="20"/>
    <n v="288000"/>
    <n v="60"/>
    <s v=""/>
    <s v="West"/>
    <x v="2"/>
    <s v="Security"/>
    <x v="14"/>
    <x v="1"/>
  </r>
  <r>
    <s v="O02265"/>
    <s v="C0395"/>
    <s v="P003"/>
    <s v="R006"/>
    <d v="2025-06-14T00:00:00"/>
    <d v="2025-07-21T00:00:00"/>
    <m/>
    <x v="2"/>
    <n v="1"/>
    <n v="0"/>
    <n v="240000"/>
    <n v="80"/>
    <s v=""/>
    <s v="North"/>
    <x v="1"/>
    <s v="Automation"/>
    <x v="2"/>
    <x v="0"/>
  </r>
  <r>
    <s v="O02266"/>
    <s v="C0456"/>
    <s v="P006"/>
    <s v="R019"/>
    <d v="2025-04-20T00:00:00"/>
    <d v="2025-05-26T00:00:00"/>
    <m/>
    <x v="2"/>
    <n v="1"/>
    <n v="0"/>
    <n v="360000"/>
    <n v="20"/>
    <s v=""/>
    <s v="East"/>
    <x v="2"/>
    <s v="Security"/>
    <x v="10"/>
    <x v="3"/>
  </r>
  <r>
    <s v="O02267"/>
    <s v="C0351"/>
    <s v="P001"/>
    <s v="R012"/>
    <d v="2025-09-07T00:00:00"/>
    <d v="2025-09-23T00:00:00"/>
    <d v="2025-09-23T00:00:00"/>
    <x v="0"/>
    <n v="2"/>
    <n v="0"/>
    <n v="240000"/>
    <n v="0"/>
    <s v="No decision"/>
    <s v="West"/>
    <x v="4"/>
    <s v="CRM"/>
    <x v="14"/>
    <x v="1"/>
  </r>
  <r>
    <s v="O02268"/>
    <s v="C0067"/>
    <s v="P001"/>
    <s v="R019"/>
    <d v="2025-03-15T00:00:00"/>
    <d v="2025-05-11T00:00:00"/>
    <m/>
    <x v="2"/>
    <n v="1"/>
    <n v="10"/>
    <n v="108000"/>
    <n v="80"/>
    <s v=""/>
    <s v="East"/>
    <x v="4"/>
    <s v="CRM"/>
    <x v="10"/>
    <x v="3"/>
  </r>
  <r>
    <s v="O02269"/>
    <s v="C0394"/>
    <s v="P004"/>
    <s v="R003"/>
    <d v="2025-03-10T00:00:00"/>
    <d v="2025-06-02T00:00:00"/>
    <d v="2025-06-02T00:00:00"/>
    <x v="0"/>
    <n v="1"/>
    <n v="10"/>
    <n v="270000"/>
    <n v="0"/>
    <s v="No decision"/>
    <s v="South"/>
    <x v="5"/>
    <s v="Analytics"/>
    <x v="15"/>
    <x v="2"/>
  </r>
  <r>
    <s v="O02270"/>
    <s v="C0161"/>
    <s v="P006"/>
    <s v="R008"/>
    <d v="2025-01-06T00:00:00"/>
    <d v="2025-03-22T00:00:00"/>
    <m/>
    <x v="2"/>
    <n v="1"/>
    <n v="20"/>
    <n v="288000"/>
    <n v="80"/>
    <s v=""/>
    <s v="North"/>
    <x v="2"/>
    <s v="Security"/>
    <x v="0"/>
    <x v="0"/>
  </r>
  <r>
    <s v="O02271"/>
    <s v="C0095"/>
    <s v="P001"/>
    <s v="R008"/>
    <d v="2025-05-14T00:00:00"/>
    <d v="2025-07-06T00:00:00"/>
    <d v="2025-07-06T00:00:00"/>
    <x v="1"/>
    <n v="1"/>
    <n v="10"/>
    <n v="108000"/>
    <n v="100"/>
    <s v=""/>
    <s v="North"/>
    <x v="4"/>
    <s v="CRM"/>
    <x v="0"/>
    <x v="0"/>
  </r>
  <r>
    <s v="O02272"/>
    <s v="C0125"/>
    <s v="P001"/>
    <s v="R001"/>
    <d v="2025-02-06T00:00:00"/>
    <d v="2025-03-17T00:00:00"/>
    <d v="2025-03-17T00:00:00"/>
    <x v="1"/>
    <n v="1"/>
    <n v="10"/>
    <n v="108000"/>
    <n v="100"/>
    <s v=""/>
    <s v="South"/>
    <x v="4"/>
    <s v="CRM"/>
    <x v="6"/>
    <x v="2"/>
  </r>
  <r>
    <s v="O02273"/>
    <s v="C0266"/>
    <s v="P003"/>
    <s v="R006"/>
    <d v="2025-01-26T00:00:00"/>
    <d v="2025-03-11T00:00:00"/>
    <d v="2025-03-11T00:00:00"/>
    <x v="1"/>
    <n v="1"/>
    <n v="0"/>
    <n v="240000"/>
    <n v="100"/>
    <s v=""/>
    <s v="North"/>
    <x v="1"/>
    <s v="Automation"/>
    <x v="2"/>
    <x v="0"/>
  </r>
  <r>
    <s v="O02274"/>
    <s v="C0010"/>
    <s v="P003"/>
    <s v="R015"/>
    <d v="2025-10-25T00:00:00"/>
    <d v="2025-12-07T00:00:00"/>
    <d v="2025-12-07T00:00:00"/>
    <x v="0"/>
    <n v="2"/>
    <n v="15"/>
    <n v="408000"/>
    <n v="0"/>
    <s v="Budget"/>
    <s v="West"/>
    <x v="1"/>
    <s v="Automation"/>
    <x v="7"/>
    <x v="1"/>
  </r>
  <r>
    <s v="O02275"/>
    <s v="C0457"/>
    <s v="P001"/>
    <s v="R019"/>
    <d v="2025-06-30T00:00:00"/>
    <d v="2025-08-23T00:00:00"/>
    <d v="2025-08-23T00:00:00"/>
    <x v="1"/>
    <n v="1"/>
    <n v="20"/>
    <n v="96000"/>
    <n v="100"/>
    <s v=""/>
    <s v="East"/>
    <x v="4"/>
    <s v="CRM"/>
    <x v="10"/>
    <x v="3"/>
  </r>
  <r>
    <s v="O02276"/>
    <s v="C0132"/>
    <s v="P001"/>
    <s v="R019"/>
    <d v="2025-12-17T00:00:00"/>
    <d v="2026-02-23T00:00:00"/>
    <m/>
    <x v="2"/>
    <n v="2"/>
    <n v="5"/>
    <n v="228000"/>
    <n v="20"/>
    <s v=""/>
    <s v="East"/>
    <x v="4"/>
    <s v="CRM"/>
    <x v="10"/>
    <x v="3"/>
  </r>
  <r>
    <s v="O02277"/>
    <s v="C0299"/>
    <s v="P004"/>
    <s v="R009"/>
    <d v="2025-08-30T00:00:00"/>
    <d v="2025-10-22T00:00:00"/>
    <d v="2025-10-22T00:00:00"/>
    <x v="1"/>
    <n v="1"/>
    <n v="15"/>
    <n v="255000"/>
    <n v="100"/>
    <s v=""/>
    <s v="North"/>
    <x v="5"/>
    <s v="Analytics"/>
    <x v="4"/>
    <x v="0"/>
  </r>
  <r>
    <s v="O02278"/>
    <s v="C0350"/>
    <s v="P003"/>
    <s v="R006"/>
    <d v="2025-12-07T00:00:00"/>
    <d v="2026-01-06T00:00:00"/>
    <m/>
    <x v="2"/>
    <n v="3"/>
    <n v="0"/>
    <n v="720000"/>
    <n v="20"/>
    <s v=""/>
    <s v="North"/>
    <x v="1"/>
    <s v="Automation"/>
    <x v="2"/>
    <x v="0"/>
  </r>
  <r>
    <s v="O02279"/>
    <s v="C0081"/>
    <s v="P005"/>
    <s v="R009"/>
    <d v="2025-06-16T00:00:00"/>
    <d v="2025-07-04T00:00:00"/>
    <m/>
    <x v="2"/>
    <n v="1"/>
    <n v="10"/>
    <n v="162000"/>
    <n v="60"/>
    <s v=""/>
    <s v="North"/>
    <x v="3"/>
    <s v="Service"/>
    <x v="4"/>
    <x v="0"/>
  </r>
  <r>
    <s v="O02280"/>
    <s v="C0436"/>
    <s v="P005"/>
    <s v="R018"/>
    <d v="2025-07-27T00:00:00"/>
    <d v="2025-10-16T00:00:00"/>
    <d v="2025-10-16T00:00:00"/>
    <x v="1"/>
    <n v="1"/>
    <n v="10"/>
    <n v="162000"/>
    <n v="100"/>
    <s v=""/>
    <s v="East"/>
    <x v="3"/>
    <s v="Service"/>
    <x v="18"/>
    <x v="3"/>
  </r>
  <r>
    <s v="O02281"/>
    <s v="C0412"/>
    <s v="P003"/>
    <s v="R015"/>
    <d v="2025-08-29T00:00:00"/>
    <d v="2025-11-01T00:00:00"/>
    <m/>
    <x v="2"/>
    <n v="3"/>
    <n v="0"/>
    <n v="720000"/>
    <n v="60"/>
    <s v=""/>
    <s v="West"/>
    <x v="1"/>
    <s v="Automation"/>
    <x v="7"/>
    <x v="1"/>
  </r>
  <r>
    <s v="O02282"/>
    <s v="C0065"/>
    <s v="P005"/>
    <s v="R020"/>
    <d v="2025-08-17T00:00:00"/>
    <d v="2025-10-18T00:00:00"/>
    <d v="2025-10-18T00:00:00"/>
    <x v="1"/>
    <n v="2"/>
    <n v="15"/>
    <n v="306000"/>
    <n v="100"/>
    <s v=""/>
    <s v="East"/>
    <x v="3"/>
    <s v="Service"/>
    <x v="9"/>
    <x v="3"/>
  </r>
  <r>
    <s v="O02283"/>
    <s v="C0176"/>
    <s v="P005"/>
    <s v="R010"/>
    <d v="2025-04-18T00:00:00"/>
    <d v="2025-06-19T00:00:00"/>
    <d v="2025-06-19T00:00:00"/>
    <x v="1"/>
    <n v="3"/>
    <n v="15"/>
    <n v="459000"/>
    <n v="100"/>
    <s v=""/>
    <s v="North"/>
    <x v="3"/>
    <s v="Service"/>
    <x v="16"/>
    <x v="0"/>
  </r>
  <r>
    <s v="O02284"/>
    <s v="C0303"/>
    <s v="P006"/>
    <s v="R009"/>
    <d v="2025-09-06T00:00:00"/>
    <d v="2025-10-21T00:00:00"/>
    <d v="2025-10-21T00:00:00"/>
    <x v="1"/>
    <n v="1"/>
    <n v="15"/>
    <n v="306000"/>
    <n v="100"/>
    <s v=""/>
    <s v="North"/>
    <x v="2"/>
    <s v="Security"/>
    <x v="4"/>
    <x v="0"/>
  </r>
  <r>
    <s v="O02285"/>
    <s v="C0317"/>
    <s v="P003"/>
    <s v="R011"/>
    <d v="2025-11-24T00:00:00"/>
    <d v="2026-02-07T00:00:00"/>
    <m/>
    <x v="2"/>
    <n v="1"/>
    <n v="15"/>
    <n v="204000"/>
    <n v="60"/>
    <s v=""/>
    <s v="West"/>
    <x v="1"/>
    <s v="Automation"/>
    <x v="12"/>
    <x v="1"/>
  </r>
  <r>
    <s v="O02286"/>
    <s v="C0183"/>
    <s v="P003"/>
    <s v="R008"/>
    <d v="2025-12-30T00:00:00"/>
    <d v="2026-03-07T00:00:00"/>
    <m/>
    <x v="2"/>
    <n v="2"/>
    <n v="15"/>
    <n v="408000"/>
    <n v="40"/>
    <s v=""/>
    <s v="North"/>
    <x v="1"/>
    <s v="Automation"/>
    <x v="0"/>
    <x v="0"/>
  </r>
  <r>
    <s v="O02287"/>
    <s v="C0352"/>
    <s v="P004"/>
    <s v="R002"/>
    <d v="2025-08-29T00:00:00"/>
    <d v="2025-11-04T00:00:00"/>
    <m/>
    <x v="2"/>
    <n v="1"/>
    <n v="20"/>
    <n v="240000"/>
    <n v="40"/>
    <s v=""/>
    <s v="South"/>
    <x v="5"/>
    <s v="Analytics"/>
    <x v="17"/>
    <x v="2"/>
  </r>
  <r>
    <s v="O02288"/>
    <s v="C0121"/>
    <s v="P004"/>
    <s v="R009"/>
    <d v="2025-11-09T00:00:00"/>
    <d v="2025-12-09T00:00:00"/>
    <d v="2025-12-09T00:00:00"/>
    <x v="0"/>
    <n v="2"/>
    <n v="15"/>
    <n v="510000"/>
    <n v="0"/>
    <s v="Budget"/>
    <s v="North"/>
    <x v="5"/>
    <s v="Analytics"/>
    <x v="4"/>
    <x v="0"/>
  </r>
  <r>
    <s v="O02289"/>
    <s v="C0426"/>
    <s v="P004"/>
    <s v="R001"/>
    <d v="2025-08-10T00:00:00"/>
    <d v="2025-10-17T00:00:00"/>
    <d v="2025-10-17T00:00:00"/>
    <x v="0"/>
    <n v="2"/>
    <n v="15"/>
    <n v="510000"/>
    <n v="0"/>
    <s v="Competition"/>
    <s v="South"/>
    <x v="5"/>
    <s v="Analytics"/>
    <x v="6"/>
    <x v="2"/>
  </r>
  <r>
    <s v="O02290"/>
    <s v="C0012"/>
    <s v="P006"/>
    <s v="R004"/>
    <d v="2025-03-30T00:00:00"/>
    <d v="2025-04-28T00:00:00"/>
    <d v="2025-04-28T00:00:00"/>
    <x v="1"/>
    <n v="1"/>
    <n v="0"/>
    <n v="360000"/>
    <n v="100"/>
    <s v=""/>
    <s v="South"/>
    <x v="2"/>
    <s v="Security"/>
    <x v="3"/>
    <x v="2"/>
  </r>
  <r>
    <s v="O02291"/>
    <s v="C0343"/>
    <s v="P001"/>
    <s v="R011"/>
    <d v="2025-09-26T00:00:00"/>
    <d v="2025-10-30T00:00:00"/>
    <d v="2025-10-30T00:00:00"/>
    <x v="1"/>
    <n v="1"/>
    <n v="20"/>
    <n v="96000"/>
    <n v="100"/>
    <s v=""/>
    <s v="West"/>
    <x v="4"/>
    <s v="CRM"/>
    <x v="12"/>
    <x v="1"/>
  </r>
  <r>
    <s v="O02292"/>
    <s v="C0145"/>
    <s v="P001"/>
    <s v="R020"/>
    <d v="2025-01-02T00:00:00"/>
    <d v="2025-02-26T00:00:00"/>
    <d v="2025-02-26T00:00:00"/>
    <x v="1"/>
    <n v="3"/>
    <n v="10"/>
    <n v="324000"/>
    <n v="100"/>
    <s v=""/>
    <s v="East"/>
    <x v="4"/>
    <s v="CRM"/>
    <x v="9"/>
    <x v="3"/>
  </r>
  <r>
    <s v="O02293"/>
    <s v="C0462"/>
    <s v="P003"/>
    <s v="R006"/>
    <d v="2025-05-07T00:00:00"/>
    <d v="2025-05-27T00:00:00"/>
    <d v="2025-05-27T00:00:00"/>
    <x v="1"/>
    <n v="3"/>
    <n v="5"/>
    <n v="684000"/>
    <n v="100"/>
    <s v=""/>
    <s v="North"/>
    <x v="1"/>
    <s v="Automation"/>
    <x v="2"/>
    <x v="0"/>
  </r>
  <r>
    <s v="O02294"/>
    <s v="C0043"/>
    <s v="P006"/>
    <s v="R007"/>
    <d v="2025-01-15T00:00:00"/>
    <d v="2025-02-20T00:00:00"/>
    <m/>
    <x v="2"/>
    <n v="3"/>
    <n v="0"/>
    <n v="1080000"/>
    <n v="60"/>
    <s v=""/>
    <s v="North"/>
    <x v="2"/>
    <s v="Security"/>
    <x v="13"/>
    <x v="0"/>
  </r>
  <r>
    <s v="O02295"/>
    <s v="C0382"/>
    <s v="P003"/>
    <s v="R012"/>
    <d v="2025-09-29T00:00:00"/>
    <d v="2025-11-24T00:00:00"/>
    <d v="2025-11-24T00:00:00"/>
    <x v="0"/>
    <n v="1"/>
    <n v="15"/>
    <n v="204000"/>
    <n v="0"/>
    <s v="Competition"/>
    <s v="West"/>
    <x v="1"/>
    <s v="Automation"/>
    <x v="14"/>
    <x v="1"/>
  </r>
  <r>
    <s v="O02296"/>
    <s v="C0244"/>
    <s v="P002"/>
    <s v="R006"/>
    <d v="2025-08-21T00:00:00"/>
    <d v="2025-09-06T00:00:00"/>
    <d v="2025-09-06T00:00:00"/>
    <x v="0"/>
    <n v="2"/>
    <n v="5"/>
    <n v="798000"/>
    <n v="0"/>
    <s v="Price"/>
    <s v="North"/>
    <x v="0"/>
    <s v="CRM"/>
    <x v="2"/>
    <x v="0"/>
  </r>
  <r>
    <s v="O02297"/>
    <s v="C0354"/>
    <s v="P004"/>
    <s v="R017"/>
    <d v="2025-07-22T00:00:00"/>
    <d v="2025-09-26T00:00:00"/>
    <m/>
    <x v="2"/>
    <n v="2"/>
    <n v="20"/>
    <n v="480000"/>
    <n v="40"/>
    <s v=""/>
    <s v="East"/>
    <x v="5"/>
    <s v="Analytics"/>
    <x v="19"/>
    <x v="3"/>
  </r>
  <r>
    <s v="O02298"/>
    <s v="C0197"/>
    <s v="P005"/>
    <s v="R006"/>
    <d v="2025-01-27T00:00:00"/>
    <d v="2025-03-31T00:00:00"/>
    <d v="2025-03-31T00:00:00"/>
    <x v="1"/>
    <n v="2"/>
    <n v="5"/>
    <n v="342000"/>
    <n v="100"/>
    <s v=""/>
    <s v="North"/>
    <x v="3"/>
    <s v="Service"/>
    <x v="2"/>
    <x v="0"/>
  </r>
  <r>
    <s v="O02299"/>
    <s v="C0011"/>
    <s v="P003"/>
    <s v="R016"/>
    <d v="2025-12-27T00:00:00"/>
    <d v="2026-03-02T00:00:00"/>
    <m/>
    <x v="2"/>
    <n v="1"/>
    <n v="20"/>
    <n v="192000"/>
    <n v="20"/>
    <s v=""/>
    <s v="East"/>
    <x v="1"/>
    <s v="Automation"/>
    <x v="8"/>
    <x v="3"/>
  </r>
  <r>
    <s v="O02300"/>
    <s v="C0225"/>
    <s v="P005"/>
    <s v="R016"/>
    <d v="2025-05-30T00:00:00"/>
    <d v="2025-07-04T00:00:00"/>
    <d v="2025-07-04T00:00:00"/>
    <x v="0"/>
    <n v="1"/>
    <n v="10"/>
    <n v="162000"/>
    <n v="0"/>
    <s v="Price"/>
    <s v="East"/>
    <x v="3"/>
    <s v="Service"/>
    <x v="8"/>
    <x v="3"/>
  </r>
  <r>
    <s v="O02301"/>
    <s v="C0190"/>
    <s v="P004"/>
    <s v="R019"/>
    <d v="2025-04-26T00:00:00"/>
    <d v="2025-05-14T00:00:00"/>
    <m/>
    <x v="2"/>
    <n v="1"/>
    <n v="15"/>
    <n v="255000"/>
    <n v="20"/>
    <s v=""/>
    <s v="East"/>
    <x v="5"/>
    <s v="Analytics"/>
    <x v="10"/>
    <x v="3"/>
  </r>
  <r>
    <s v="O02302"/>
    <s v="C0464"/>
    <s v="P004"/>
    <s v="R018"/>
    <d v="2025-08-01T00:00:00"/>
    <d v="2025-10-10T00:00:00"/>
    <m/>
    <x v="2"/>
    <n v="1"/>
    <n v="0"/>
    <n v="300000"/>
    <n v="40"/>
    <s v=""/>
    <s v="East"/>
    <x v="5"/>
    <s v="Analytics"/>
    <x v="18"/>
    <x v="3"/>
  </r>
  <r>
    <s v="O02303"/>
    <s v="C0247"/>
    <s v="P006"/>
    <s v="R006"/>
    <d v="2025-02-12T00:00:00"/>
    <d v="2025-02-19T00:00:00"/>
    <m/>
    <x v="2"/>
    <n v="1"/>
    <n v="10"/>
    <n v="324000"/>
    <n v="40"/>
    <s v=""/>
    <s v="North"/>
    <x v="2"/>
    <s v="Security"/>
    <x v="2"/>
    <x v="0"/>
  </r>
  <r>
    <s v="O02304"/>
    <s v="C0434"/>
    <s v="P006"/>
    <s v="R010"/>
    <d v="2025-08-07T00:00:00"/>
    <d v="2025-08-20T00:00:00"/>
    <m/>
    <x v="2"/>
    <n v="1"/>
    <n v="10"/>
    <n v="324000"/>
    <n v="20"/>
    <s v=""/>
    <s v="North"/>
    <x v="2"/>
    <s v="Security"/>
    <x v="16"/>
    <x v="0"/>
  </r>
  <r>
    <s v="O02305"/>
    <s v="C0437"/>
    <s v="P001"/>
    <s v="R011"/>
    <d v="2025-06-05T00:00:00"/>
    <d v="2025-06-22T00:00:00"/>
    <d v="2025-06-22T00:00:00"/>
    <x v="1"/>
    <n v="1"/>
    <n v="5"/>
    <n v="114000"/>
    <n v="100"/>
    <s v=""/>
    <s v="West"/>
    <x v="4"/>
    <s v="CRM"/>
    <x v="12"/>
    <x v="1"/>
  </r>
  <r>
    <s v="O02306"/>
    <s v="C0247"/>
    <s v="P004"/>
    <s v="R010"/>
    <d v="2025-04-08T00:00:00"/>
    <d v="2025-05-20T00:00:00"/>
    <m/>
    <x v="2"/>
    <n v="2"/>
    <n v="15"/>
    <n v="510000"/>
    <n v="80"/>
    <s v=""/>
    <s v="North"/>
    <x v="5"/>
    <s v="Analytics"/>
    <x v="16"/>
    <x v="0"/>
  </r>
  <r>
    <s v="O02307"/>
    <s v="C0206"/>
    <s v="P003"/>
    <s v="R006"/>
    <d v="2025-07-18T00:00:00"/>
    <d v="2025-08-27T00:00:00"/>
    <d v="2025-08-27T00:00:00"/>
    <x v="0"/>
    <n v="3"/>
    <n v="15"/>
    <n v="612000"/>
    <n v="0"/>
    <s v="No decision"/>
    <s v="North"/>
    <x v="1"/>
    <s v="Automation"/>
    <x v="2"/>
    <x v="0"/>
  </r>
  <r>
    <s v="O02308"/>
    <s v="C0424"/>
    <s v="P001"/>
    <s v="R019"/>
    <d v="2025-01-29T00:00:00"/>
    <d v="2025-04-17T00:00:00"/>
    <d v="2025-04-17T00:00:00"/>
    <x v="0"/>
    <n v="1"/>
    <n v="0"/>
    <n v="120000"/>
    <n v="0"/>
    <s v="Budget"/>
    <s v="East"/>
    <x v="4"/>
    <s v="CRM"/>
    <x v="10"/>
    <x v="3"/>
  </r>
  <r>
    <s v="O02309"/>
    <s v="C0376"/>
    <s v="P003"/>
    <s v="R006"/>
    <d v="2025-06-03T00:00:00"/>
    <d v="2025-07-15T00:00:00"/>
    <m/>
    <x v="2"/>
    <n v="1"/>
    <n v="20"/>
    <n v="192000"/>
    <n v="60"/>
    <s v=""/>
    <s v="North"/>
    <x v="1"/>
    <s v="Automation"/>
    <x v="2"/>
    <x v="0"/>
  </r>
  <r>
    <s v="O02310"/>
    <s v="C0034"/>
    <s v="P003"/>
    <s v="R016"/>
    <d v="2025-04-27T00:00:00"/>
    <d v="2025-07-08T00:00:00"/>
    <d v="2025-07-08T00:00:00"/>
    <x v="0"/>
    <n v="2"/>
    <n v="5"/>
    <n v="456000"/>
    <n v="0"/>
    <s v="Feature gap"/>
    <s v="East"/>
    <x v="1"/>
    <s v="Automation"/>
    <x v="8"/>
    <x v="3"/>
  </r>
  <r>
    <s v="O02311"/>
    <s v="C0077"/>
    <s v="P001"/>
    <s v="R014"/>
    <d v="2025-07-15T00:00:00"/>
    <d v="2025-08-01T00:00:00"/>
    <d v="2025-08-01T00:00:00"/>
    <x v="0"/>
    <n v="2"/>
    <n v="0"/>
    <n v="240000"/>
    <n v="0"/>
    <s v="No decision"/>
    <s v="West"/>
    <x v="4"/>
    <s v="CRM"/>
    <x v="1"/>
    <x v="1"/>
  </r>
  <r>
    <s v="O02312"/>
    <s v="C0079"/>
    <s v="P006"/>
    <s v="R002"/>
    <d v="2025-11-02T00:00:00"/>
    <d v="2026-01-07T00:00:00"/>
    <m/>
    <x v="2"/>
    <n v="2"/>
    <n v="15"/>
    <n v="612000"/>
    <n v="20"/>
    <s v=""/>
    <s v="South"/>
    <x v="2"/>
    <s v="Security"/>
    <x v="17"/>
    <x v="2"/>
  </r>
  <r>
    <s v="O02313"/>
    <s v="C0166"/>
    <s v="P001"/>
    <s v="R016"/>
    <d v="2025-09-11T00:00:00"/>
    <d v="2025-09-28T00:00:00"/>
    <d v="2025-09-28T00:00:00"/>
    <x v="0"/>
    <n v="2"/>
    <n v="10"/>
    <n v="216000"/>
    <n v="0"/>
    <s v="Feature gap"/>
    <s v="East"/>
    <x v="4"/>
    <s v="CRM"/>
    <x v="8"/>
    <x v="3"/>
  </r>
  <r>
    <s v="O02314"/>
    <s v="C0260"/>
    <s v="P003"/>
    <s v="R008"/>
    <d v="2025-07-05T00:00:00"/>
    <d v="2025-07-25T00:00:00"/>
    <d v="2025-07-25T00:00:00"/>
    <x v="0"/>
    <n v="3"/>
    <n v="15"/>
    <n v="612000"/>
    <n v="0"/>
    <s v="No decision"/>
    <s v="North"/>
    <x v="1"/>
    <s v="Automation"/>
    <x v="0"/>
    <x v="0"/>
  </r>
  <r>
    <s v="O02315"/>
    <s v="C0372"/>
    <s v="P002"/>
    <s v="R002"/>
    <d v="2025-10-11T00:00:00"/>
    <d v="2025-11-25T00:00:00"/>
    <m/>
    <x v="2"/>
    <n v="3"/>
    <n v="0"/>
    <n v="1260000"/>
    <n v="60"/>
    <s v=""/>
    <s v="South"/>
    <x v="0"/>
    <s v="CRM"/>
    <x v="17"/>
    <x v="2"/>
  </r>
  <r>
    <s v="O02316"/>
    <s v="C0187"/>
    <s v="P005"/>
    <s v="R009"/>
    <d v="2025-10-01T00:00:00"/>
    <d v="2025-12-01T00:00:00"/>
    <d v="2025-12-01T00:00:00"/>
    <x v="1"/>
    <n v="2"/>
    <n v="10"/>
    <n v="324000"/>
    <n v="100"/>
    <s v=""/>
    <s v="North"/>
    <x v="3"/>
    <s v="Service"/>
    <x v="4"/>
    <x v="0"/>
  </r>
  <r>
    <s v="O02317"/>
    <s v="C0414"/>
    <s v="P003"/>
    <s v="R019"/>
    <d v="2025-11-18T00:00:00"/>
    <d v="2026-01-14T00:00:00"/>
    <m/>
    <x v="2"/>
    <n v="3"/>
    <n v="20"/>
    <n v="576000"/>
    <n v="20"/>
    <s v=""/>
    <s v="East"/>
    <x v="1"/>
    <s v="Automation"/>
    <x v="10"/>
    <x v="3"/>
  </r>
  <r>
    <s v="O02318"/>
    <s v="C0273"/>
    <s v="P002"/>
    <s v="R009"/>
    <d v="2025-02-19T00:00:00"/>
    <d v="2025-05-08T00:00:00"/>
    <d v="2025-05-08T00:00:00"/>
    <x v="0"/>
    <n v="3"/>
    <n v="0"/>
    <n v="1260000"/>
    <n v="0"/>
    <s v="Budget"/>
    <s v="North"/>
    <x v="0"/>
    <s v="CRM"/>
    <x v="4"/>
    <x v="0"/>
  </r>
  <r>
    <s v="O02319"/>
    <s v="C0454"/>
    <s v="P005"/>
    <s v="R001"/>
    <d v="2025-06-12T00:00:00"/>
    <d v="2025-08-14T00:00:00"/>
    <d v="2025-08-14T00:00:00"/>
    <x v="1"/>
    <n v="2"/>
    <n v="0"/>
    <n v="360000"/>
    <n v="100"/>
    <s v=""/>
    <s v="South"/>
    <x v="3"/>
    <s v="Service"/>
    <x v="6"/>
    <x v="2"/>
  </r>
  <r>
    <s v="O02320"/>
    <s v="C0097"/>
    <s v="P002"/>
    <s v="R006"/>
    <d v="2025-11-13T00:00:00"/>
    <d v="2025-12-31T00:00:00"/>
    <d v="2025-12-31T00:00:00"/>
    <x v="1"/>
    <n v="1"/>
    <n v="10"/>
    <n v="378000"/>
    <n v="100"/>
    <s v=""/>
    <s v="North"/>
    <x v="0"/>
    <s v="CRM"/>
    <x v="2"/>
    <x v="0"/>
  </r>
  <r>
    <s v="O02321"/>
    <s v="C0287"/>
    <s v="P004"/>
    <s v="R017"/>
    <d v="2025-11-29T00:00:00"/>
    <d v="2026-02-07T00:00:00"/>
    <m/>
    <x v="2"/>
    <n v="1"/>
    <n v="20"/>
    <n v="240000"/>
    <n v="40"/>
    <s v=""/>
    <s v="East"/>
    <x v="5"/>
    <s v="Analytics"/>
    <x v="19"/>
    <x v="3"/>
  </r>
  <r>
    <s v="O02322"/>
    <s v="C0437"/>
    <s v="P006"/>
    <s v="R015"/>
    <d v="2025-04-29T00:00:00"/>
    <d v="2025-05-06T00:00:00"/>
    <m/>
    <x v="2"/>
    <n v="1"/>
    <n v="15"/>
    <n v="306000"/>
    <n v="20"/>
    <s v=""/>
    <s v="West"/>
    <x v="2"/>
    <s v="Security"/>
    <x v="7"/>
    <x v="1"/>
  </r>
  <r>
    <s v="O02323"/>
    <s v="C0126"/>
    <s v="P004"/>
    <s v="R008"/>
    <d v="2025-11-16T00:00:00"/>
    <d v="2025-12-29T00:00:00"/>
    <m/>
    <x v="2"/>
    <n v="1"/>
    <n v="15"/>
    <n v="255000"/>
    <n v="20"/>
    <s v=""/>
    <s v="North"/>
    <x v="5"/>
    <s v="Analytics"/>
    <x v="0"/>
    <x v="0"/>
  </r>
  <r>
    <s v="O02324"/>
    <s v="C0082"/>
    <s v="P004"/>
    <s v="R014"/>
    <d v="2025-05-15T00:00:00"/>
    <d v="2025-06-15T00:00:00"/>
    <d v="2025-06-15T00:00:00"/>
    <x v="0"/>
    <n v="1"/>
    <n v="0"/>
    <n v="300000"/>
    <n v="0"/>
    <s v="Price"/>
    <s v="West"/>
    <x v="5"/>
    <s v="Analytics"/>
    <x v="1"/>
    <x v="1"/>
  </r>
  <r>
    <s v="O02325"/>
    <s v="C0463"/>
    <s v="P005"/>
    <s v="R005"/>
    <d v="2025-01-01T00:00:00"/>
    <d v="2025-01-31T00:00:00"/>
    <d v="2025-01-31T00:00:00"/>
    <x v="0"/>
    <n v="2"/>
    <n v="10"/>
    <n v="324000"/>
    <n v="0"/>
    <s v="No decision"/>
    <s v="South"/>
    <x v="3"/>
    <s v="Service"/>
    <x v="11"/>
    <x v="2"/>
  </r>
  <r>
    <s v="O02326"/>
    <s v="C0115"/>
    <s v="P002"/>
    <s v="R011"/>
    <d v="2025-07-09T00:00:00"/>
    <d v="2025-09-22T00:00:00"/>
    <d v="2025-09-22T00:00:00"/>
    <x v="0"/>
    <n v="1"/>
    <n v="0"/>
    <n v="420000"/>
    <n v="0"/>
    <s v="Budget"/>
    <s v="West"/>
    <x v="0"/>
    <s v="CRM"/>
    <x v="12"/>
    <x v="1"/>
  </r>
  <r>
    <s v="O02327"/>
    <s v="C0042"/>
    <s v="P001"/>
    <s v="R009"/>
    <d v="2025-10-11T00:00:00"/>
    <d v="2025-12-01T00:00:00"/>
    <d v="2025-12-01T00:00:00"/>
    <x v="0"/>
    <n v="1"/>
    <n v="10"/>
    <n v="108000"/>
    <n v="0"/>
    <s v="Competition"/>
    <s v="North"/>
    <x v="4"/>
    <s v="CRM"/>
    <x v="4"/>
    <x v="0"/>
  </r>
  <r>
    <s v="O02328"/>
    <s v="C0384"/>
    <s v="P001"/>
    <s v="R008"/>
    <d v="2025-02-22T00:00:00"/>
    <d v="2025-03-01T00:00:00"/>
    <d v="2025-03-01T00:00:00"/>
    <x v="1"/>
    <n v="2"/>
    <n v="10"/>
    <n v="216000"/>
    <n v="100"/>
    <s v=""/>
    <s v="North"/>
    <x v="4"/>
    <s v="CRM"/>
    <x v="0"/>
    <x v="0"/>
  </r>
  <r>
    <s v="O02329"/>
    <s v="C0320"/>
    <s v="P002"/>
    <s v="R019"/>
    <d v="2025-10-15T00:00:00"/>
    <d v="2026-01-04T00:00:00"/>
    <m/>
    <x v="2"/>
    <n v="1"/>
    <n v="15"/>
    <n v="357000"/>
    <n v="40"/>
    <s v=""/>
    <s v="East"/>
    <x v="0"/>
    <s v="CRM"/>
    <x v="10"/>
    <x v="3"/>
  </r>
  <r>
    <s v="O02330"/>
    <s v="C0416"/>
    <s v="P001"/>
    <s v="R019"/>
    <d v="2025-02-11T00:00:00"/>
    <d v="2025-03-05T00:00:00"/>
    <d v="2025-03-05T00:00:00"/>
    <x v="1"/>
    <n v="1"/>
    <n v="15"/>
    <n v="102000"/>
    <n v="100"/>
    <s v=""/>
    <s v="East"/>
    <x v="4"/>
    <s v="CRM"/>
    <x v="10"/>
    <x v="3"/>
  </r>
  <r>
    <s v="O02331"/>
    <s v="C0148"/>
    <s v="P002"/>
    <s v="R019"/>
    <d v="2025-06-02T00:00:00"/>
    <d v="2025-08-02T00:00:00"/>
    <d v="2025-08-02T00:00:00"/>
    <x v="1"/>
    <n v="1"/>
    <n v="5"/>
    <n v="399000"/>
    <n v="100"/>
    <s v=""/>
    <s v="East"/>
    <x v="0"/>
    <s v="CRM"/>
    <x v="10"/>
    <x v="3"/>
  </r>
  <r>
    <s v="O02332"/>
    <s v="C0017"/>
    <s v="P005"/>
    <s v="R010"/>
    <d v="2025-06-13T00:00:00"/>
    <d v="2025-07-27T00:00:00"/>
    <m/>
    <x v="2"/>
    <n v="2"/>
    <n v="5"/>
    <n v="342000"/>
    <n v="20"/>
    <s v=""/>
    <s v="North"/>
    <x v="3"/>
    <s v="Service"/>
    <x v="16"/>
    <x v="0"/>
  </r>
  <r>
    <s v="O02333"/>
    <s v="C0417"/>
    <s v="P002"/>
    <s v="R015"/>
    <d v="2025-09-26T00:00:00"/>
    <d v="2025-11-02T00:00:00"/>
    <d v="2025-11-02T00:00:00"/>
    <x v="0"/>
    <n v="1"/>
    <n v="20"/>
    <n v="336000"/>
    <n v="0"/>
    <s v="Price"/>
    <s v="West"/>
    <x v="0"/>
    <s v="CRM"/>
    <x v="7"/>
    <x v="1"/>
  </r>
  <r>
    <s v="O02334"/>
    <s v="C0399"/>
    <s v="P003"/>
    <s v="R017"/>
    <d v="2025-10-07T00:00:00"/>
    <d v="2025-12-01T00:00:00"/>
    <m/>
    <x v="2"/>
    <n v="2"/>
    <n v="20"/>
    <n v="384000"/>
    <n v="60"/>
    <s v=""/>
    <s v="East"/>
    <x v="1"/>
    <s v="Automation"/>
    <x v="19"/>
    <x v="3"/>
  </r>
  <r>
    <s v="O02335"/>
    <s v="C0488"/>
    <s v="P004"/>
    <s v="R002"/>
    <d v="2025-07-31T00:00:00"/>
    <d v="2025-09-21T00:00:00"/>
    <d v="2025-09-21T00:00:00"/>
    <x v="0"/>
    <n v="1"/>
    <n v="15"/>
    <n v="255000"/>
    <n v="0"/>
    <s v="Feature gap"/>
    <s v="South"/>
    <x v="5"/>
    <s v="Analytics"/>
    <x v="17"/>
    <x v="2"/>
  </r>
  <r>
    <s v="O02336"/>
    <s v="C0289"/>
    <s v="P004"/>
    <s v="R011"/>
    <d v="2025-02-17T00:00:00"/>
    <d v="2025-05-09T00:00:00"/>
    <d v="2025-05-09T00:00:00"/>
    <x v="0"/>
    <n v="3"/>
    <n v="5"/>
    <n v="855000"/>
    <n v="0"/>
    <s v="No decision"/>
    <s v="West"/>
    <x v="5"/>
    <s v="Analytics"/>
    <x v="12"/>
    <x v="1"/>
  </r>
  <r>
    <s v="O02337"/>
    <s v="C0207"/>
    <s v="P004"/>
    <s v="R010"/>
    <d v="2025-12-18T00:00:00"/>
    <d v="2026-01-02T00:00:00"/>
    <m/>
    <x v="2"/>
    <n v="2"/>
    <n v="20"/>
    <n v="480000"/>
    <n v="80"/>
    <s v=""/>
    <s v="North"/>
    <x v="5"/>
    <s v="Analytics"/>
    <x v="16"/>
    <x v="0"/>
  </r>
  <r>
    <s v="O02338"/>
    <s v="C0465"/>
    <s v="P005"/>
    <s v="R001"/>
    <d v="2025-03-23T00:00:00"/>
    <d v="2025-04-05T00:00:00"/>
    <d v="2025-04-05T00:00:00"/>
    <x v="0"/>
    <n v="1"/>
    <n v="5"/>
    <n v="171000"/>
    <n v="0"/>
    <s v="Competition"/>
    <s v="South"/>
    <x v="3"/>
    <s v="Service"/>
    <x v="6"/>
    <x v="2"/>
  </r>
  <r>
    <s v="O02339"/>
    <s v="C0081"/>
    <s v="P006"/>
    <s v="R008"/>
    <d v="2025-02-21T00:00:00"/>
    <d v="2025-05-17T00:00:00"/>
    <d v="2025-05-17T00:00:00"/>
    <x v="0"/>
    <n v="2"/>
    <n v="20"/>
    <n v="576000"/>
    <n v="0"/>
    <s v="Price"/>
    <s v="North"/>
    <x v="2"/>
    <s v="Security"/>
    <x v="0"/>
    <x v="0"/>
  </r>
  <r>
    <s v="O02340"/>
    <s v="C0003"/>
    <s v="P005"/>
    <s v="R005"/>
    <d v="2025-06-27T00:00:00"/>
    <d v="2025-08-06T00:00:00"/>
    <m/>
    <x v="2"/>
    <n v="1"/>
    <n v="20"/>
    <n v="144000"/>
    <n v="80"/>
    <s v=""/>
    <s v="South"/>
    <x v="3"/>
    <s v="Service"/>
    <x v="11"/>
    <x v="2"/>
  </r>
  <r>
    <s v="O02341"/>
    <s v="C0461"/>
    <s v="P003"/>
    <s v="R010"/>
    <d v="2025-07-13T00:00:00"/>
    <d v="2025-09-16T00:00:00"/>
    <m/>
    <x v="2"/>
    <n v="1"/>
    <n v="15"/>
    <n v="204000"/>
    <n v="20"/>
    <s v=""/>
    <s v="North"/>
    <x v="1"/>
    <s v="Automation"/>
    <x v="16"/>
    <x v="0"/>
  </r>
  <r>
    <s v="O02342"/>
    <s v="C0029"/>
    <s v="P003"/>
    <s v="R010"/>
    <d v="2025-10-23T00:00:00"/>
    <d v="2025-12-07T00:00:00"/>
    <d v="2025-12-07T00:00:00"/>
    <x v="0"/>
    <n v="1"/>
    <n v="0"/>
    <n v="240000"/>
    <n v="0"/>
    <s v="Feature gap"/>
    <s v="North"/>
    <x v="1"/>
    <s v="Automation"/>
    <x v="16"/>
    <x v="0"/>
  </r>
  <r>
    <s v="O02343"/>
    <s v="C0398"/>
    <s v="P003"/>
    <s v="R007"/>
    <d v="2025-08-13T00:00:00"/>
    <d v="2025-10-12T00:00:00"/>
    <d v="2025-10-12T00:00:00"/>
    <x v="1"/>
    <n v="3"/>
    <n v="20"/>
    <n v="576000"/>
    <n v="100"/>
    <s v=""/>
    <s v="North"/>
    <x v="1"/>
    <s v="Automation"/>
    <x v="13"/>
    <x v="0"/>
  </r>
  <r>
    <s v="O02344"/>
    <s v="C0277"/>
    <s v="P006"/>
    <s v="R006"/>
    <d v="2025-05-01T00:00:00"/>
    <d v="2025-07-03T00:00:00"/>
    <d v="2025-07-03T00:00:00"/>
    <x v="0"/>
    <n v="1"/>
    <n v="0"/>
    <n v="360000"/>
    <n v="0"/>
    <s v="Competition"/>
    <s v="North"/>
    <x v="2"/>
    <s v="Security"/>
    <x v="2"/>
    <x v="0"/>
  </r>
  <r>
    <s v="O02345"/>
    <s v="C0305"/>
    <s v="P005"/>
    <s v="R003"/>
    <d v="2025-05-10T00:00:00"/>
    <d v="2025-05-31T00:00:00"/>
    <d v="2025-05-31T00:00:00"/>
    <x v="1"/>
    <n v="2"/>
    <n v="20"/>
    <n v="288000"/>
    <n v="100"/>
    <s v=""/>
    <s v="South"/>
    <x v="3"/>
    <s v="Service"/>
    <x v="15"/>
    <x v="2"/>
  </r>
  <r>
    <s v="O02346"/>
    <s v="C0141"/>
    <s v="P006"/>
    <s v="R004"/>
    <d v="2025-05-10T00:00:00"/>
    <d v="2025-05-31T00:00:00"/>
    <m/>
    <x v="2"/>
    <n v="1"/>
    <n v="15"/>
    <n v="306000"/>
    <n v="80"/>
    <s v=""/>
    <s v="South"/>
    <x v="2"/>
    <s v="Security"/>
    <x v="3"/>
    <x v="2"/>
  </r>
  <r>
    <s v="O02347"/>
    <s v="C0324"/>
    <s v="P002"/>
    <s v="R003"/>
    <d v="2025-06-25T00:00:00"/>
    <d v="2025-08-09T00:00:00"/>
    <d v="2025-08-09T00:00:00"/>
    <x v="0"/>
    <n v="1"/>
    <n v="10"/>
    <n v="378000"/>
    <n v="0"/>
    <s v="Feature gap"/>
    <s v="South"/>
    <x v="0"/>
    <s v="CRM"/>
    <x v="15"/>
    <x v="2"/>
  </r>
  <r>
    <s v="O02348"/>
    <s v="C0139"/>
    <s v="P001"/>
    <s v="R019"/>
    <d v="2025-12-08T00:00:00"/>
    <d v="2026-01-24T00:00:00"/>
    <m/>
    <x v="2"/>
    <n v="1"/>
    <n v="0"/>
    <n v="120000"/>
    <n v="40"/>
    <s v=""/>
    <s v="East"/>
    <x v="4"/>
    <s v="CRM"/>
    <x v="10"/>
    <x v="3"/>
  </r>
  <r>
    <s v="O02349"/>
    <s v="C0070"/>
    <s v="P002"/>
    <s v="R010"/>
    <d v="2025-12-08T00:00:00"/>
    <d v="2026-02-20T00:00:00"/>
    <m/>
    <x v="2"/>
    <n v="2"/>
    <n v="5"/>
    <n v="798000"/>
    <n v="40"/>
    <s v=""/>
    <s v="North"/>
    <x v="0"/>
    <s v="CRM"/>
    <x v="16"/>
    <x v="0"/>
  </r>
  <r>
    <s v="O02350"/>
    <s v="C0031"/>
    <s v="P002"/>
    <s v="R018"/>
    <d v="2025-07-25T00:00:00"/>
    <d v="2025-09-04T00:00:00"/>
    <d v="2025-09-04T00:00:00"/>
    <x v="0"/>
    <n v="3"/>
    <n v="0"/>
    <n v="1260000"/>
    <n v="0"/>
    <s v="Competition"/>
    <s v="East"/>
    <x v="0"/>
    <s v="CRM"/>
    <x v="18"/>
    <x v="3"/>
  </r>
  <r>
    <s v="O02351"/>
    <s v="C0027"/>
    <s v="P006"/>
    <s v="R016"/>
    <d v="2025-03-18T00:00:00"/>
    <d v="2025-05-16T00:00:00"/>
    <m/>
    <x v="2"/>
    <n v="1"/>
    <n v="15"/>
    <n v="306000"/>
    <n v="20"/>
    <s v=""/>
    <s v="East"/>
    <x v="2"/>
    <s v="Security"/>
    <x v="8"/>
    <x v="3"/>
  </r>
  <r>
    <s v="O02352"/>
    <s v="C0428"/>
    <s v="P006"/>
    <s v="R010"/>
    <d v="2025-06-15T00:00:00"/>
    <d v="2025-07-31T00:00:00"/>
    <d v="2025-07-31T00:00:00"/>
    <x v="1"/>
    <n v="1"/>
    <n v="0"/>
    <n v="360000"/>
    <n v="100"/>
    <s v=""/>
    <s v="North"/>
    <x v="2"/>
    <s v="Security"/>
    <x v="16"/>
    <x v="0"/>
  </r>
  <r>
    <s v="O02353"/>
    <s v="C0377"/>
    <s v="P004"/>
    <s v="R003"/>
    <d v="2025-11-30T00:00:00"/>
    <d v="2025-12-07T00:00:00"/>
    <d v="2025-12-07T00:00:00"/>
    <x v="0"/>
    <n v="1"/>
    <n v="5"/>
    <n v="285000"/>
    <n v="0"/>
    <s v="Budget"/>
    <s v="South"/>
    <x v="5"/>
    <s v="Analytics"/>
    <x v="15"/>
    <x v="2"/>
  </r>
  <r>
    <s v="O02354"/>
    <s v="C0322"/>
    <s v="P005"/>
    <s v="R014"/>
    <d v="2025-02-03T00:00:00"/>
    <d v="2025-04-14T00:00:00"/>
    <m/>
    <x v="2"/>
    <n v="1"/>
    <n v="5"/>
    <n v="171000"/>
    <n v="60"/>
    <s v=""/>
    <s v="West"/>
    <x v="3"/>
    <s v="Service"/>
    <x v="1"/>
    <x v="1"/>
  </r>
  <r>
    <s v="O02355"/>
    <s v="C0091"/>
    <s v="P002"/>
    <s v="R019"/>
    <d v="2025-08-04T00:00:00"/>
    <d v="2025-09-12T00:00:00"/>
    <m/>
    <x v="2"/>
    <n v="1"/>
    <n v="10"/>
    <n v="378000"/>
    <n v="60"/>
    <s v=""/>
    <s v="East"/>
    <x v="0"/>
    <s v="CRM"/>
    <x v="10"/>
    <x v="3"/>
  </r>
  <r>
    <s v="O02356"/>
    <s v="C0081"/>
    <s v="P005"/>
    <s v="R008"/>
    <d v="2025-12-25T00:00:00"/>
    <d v="2026-02-15T00:00:00"/>
    <m/>
    <x v="2"/>
    <n v="1"/>
    <n v="20"/>
    <n v="144000"/>
    <n v="80"/>
    <s v=""/>
    <s v="North"/>
    <x v="3"/>
    <s v="Service"/>
    <x v="0"/>
    <x v="0"/>
  </r>
  <r>
    <s v="O02357"/>
    <s v="C0177"/>
    <s v="P003"/>
    <s v="R017"/>
    <d v="2025-09-29T00:00:00"/>
    <d v="2025-10-27T00:00:00"/>
    <d v="2025-10-27T00:00:00"/>
    <x v="0"/>
    <n v="1"/>
    <n v="0"/>
    <n v="240000"/>
    <n v="0"/>
    <s v="No decision"/>
    <s v="East"/>
    <x v="1"/>
    <s v="Automation"/>
    <x v="19"/>
    <x v="3"/>
  </r>
  <r>
    <s v="O02358"/>
    <s v="C0330"/>
    <s v="P003"/>
    <s v="R002"/>
    <d v="2025-04-27T00:00:00"/>
    <d v="2025-05-22T00:00:00"/>
    <m/>
    <x v="2"/>
    <n v="3"/>
    <n v="10"/>
    <n v="648000"/>
    <n v="60"/>
    <s v=""/>
    <s v="South"/>
    <x v="1"/>
    <s v="Automation"/>
    <x v="17"/>
    <x v="2"/>
  </r>
  <r>
    <s v="O02359"/>
    <s v="C0141"/>
    <s v="P005"/>
    <s v="R004"/>
    <d v="2025-03-18T00:00:00"/>
    <d v="2025-05-29T00:00:00"/>
    <m/>
    <x v="2"/>
    <n v="1"/>
    <n v="10"/>
    <n v="162000"/>
    <n v="20"/>
    <s v=""/>
    <s v="South"/>
    <x v="3"/>
    <s v="Service"/>
    <x v="3"/>
    <x v="2"/>
  </r>
  <r>
    <s v="O02360"/>
    <s v="C0306"/>
    <s v="P005"/>
    <s v="R014"/>
    <d v="2025-10-14T00:00:00"/>
    <d v="2025-11-12T00:00:00"/>
    <d v="2025-11-12T00:00:00"/>
    <x v="1"/>
    <n v="3"/>
    <n v="20"/>
    <n v="432000"/>
    <n v="100"/>
    <s v=""/>
    <s v="West"/>
    <x v="3"/>
    <s v="Service"/>
    <x v="1"/>
    <x v="1"/>
  </r>
  <r>
    <s v="O02361"/>
    <s v="C0217"/>
    <s v="P003"/>
    <s v="R020"/>
    <d v="2025-06-28T00:00:00"/>
    <d v="2025-09-03T00:00:00"/>
    <m/>
    <x v="2"/>
    <n v="1"/>
    <n v="5"/>
    <n v="228000"/>
    <n v="60"/>
    <s v=""/>
    <s v="East"/>
    <x v="1"/>
    <s v="Automation"/>
    <x v="9"/>
    <x v="3"/>
  </r>
  <r>
    <s v="O02362"/>
    <s v="C0294"/>
    <s v="P005"/>
    <s v="R006"/>
    <d v="2025-07-05T00:00:00"/>
    <d v="2025-09-17T00:00:00"/>
    <m/>
    <x v="2"/>
    <n v="1"/>
    <n v="5"/>
    <n v="171000"/>
    <n v="60"/>
    <s v=""/>
    <s v="North"/>
    <x v="3"/>
    <s v="Service"/>
    <x v="2"/>
    <x v="0"/>
  </r>
  <r>
    <s v="O02363"/>
    <s v="C0014"/>
    <s v="P005"/>
    <s v="R001"/>
    <d v="2025-08-01T00:00:00"/>
    <d v="2025-09-04T00:00:00"/>
    <m/>
    <x v="2"/>
    <n v="1"/>
    <n v="5"/>
    <n v="171000"/>
    <n v="60"/>
    <s v=""/>
    <s v="South"/>
    <x v="3"/>
    <s v="Service"/>
    <x v="6"/>
    <x v="2"/>
  </r>
  <r>
    <s v="O02364"/>
    <s v="C0084"/>
    <s v="P001"/>
    <s v="R001"/>
    <d v="2025-02-06T00:00:00"/>
    <d v="2025-03-24T00:00:00"/>
    <d v="2025-03-24T00:00:00"/>
    <x v="1"/>
    <n v="1"/>
    <n v="0"/>
    <n v="120000"/>
    <n v="100"/>
    <s v=""/>
    <s v="South"/>
    <x v="4"/>
    <s v="CRM"/>
    <x v="6"/>
    <x v="2"/>
  </r>
  <r>
    <s v="O02365"/>
    <s v="C0030"/>
    <s v="P003"/>
    <s v="R016"/>
    <d v="2025-08-16T00:00:00"/>
    <d v="2025-10-09T00:00:00"/>
    <d v="2025-10-09T00:00:00"/>
    <x v="1"/>
    <n v="1"/>
    <n v="15"/>
    <n v="204000"/>
    <n v="100"/>
    <s v=""/>
    <s v="East"/>
    <x v="1"/>
    <s v="Automation"/>
    <x v="8"/>
    <x v="3"/>
  </r>
  <r>
    <s v="O02366"/>
    <s v="C0311"/>
    <s v="P005"/>
    <s v="R011"/>
    <d v="2025-05-11T00:00:00"/>
    <d v="2025-05-23T00:00:00"/>
    <d v="2025-05-23T00:00:00"/>
    <x v="0"/>
    <n v="2"/>
    <n v="20"/>
    <n v="288000"/>
    <n v="0"/>
    <s v="No decision"/>
    <s v="West"/>
    <x v="3"/>
    <s v="Service"/>
    <x v="12"/>
    <x v="1"/>
  </r>
  <r>
    <s v="O02367"/>
    <s v="C0154"/>
    <s v="P003"/>
    <s v="R003"/>
    <d v="2025-05-18T00:00:00"/>
    <d v="2025-08-08T00:00:00"/>
    <d v="2025-08-08T00:00:00"/>
    <x v="1"/>
    <n v="3"/>
    <n v="5"/>
    <n v="684000"/>
    <n v="100"/>
    <s v=""/>
    <s v="South"/>
    <x v="1"/>
    <s v="Automation"/>
    <x v="15"/>
    <x v="2"/>
  </r>
  <r>
    <s v="O02368"/>
    <s v="C0296"/>
    <s v="P003"/>
    <s v="R012"/>
    <d v="2025-09-04T00:00:00"/>
    <d v="2025-11-07T00:00:00"/>
    <m/>
    <x v="2"/>
    <n v="3"/>
    <n v="15"/>
    <n v="612000"/>
    <n v="20"/>
    <s v=""/>
    <s v="West"/>
    <x v="1"/>
    <s v="Automation"/>
    <x v="14"/>
    <x v="1"/>
  </r>
  <r>
    <s v="O02369"/>
    <s v="C0153"/>
    <s v="P004"/>
    <s v="R003"/>
    <d v="2025-07-16T00:00:00"/>
    <d v="2025-10-09T00:00:00"/>
    <m/>
    <x v="2"/>
    <n v="2"/>
    <n v="0"/>
    <n v="600000"/>
    <n v="80"/>
    <s v=""/>
    <s v="South"/>
    <x v="5"/>
    <s v="Analytics"/>
    <x v="15"/>
    <x v="2"/>
  </r>
  <r>
    <s v="O02370"/>
    <s v="C0183"/>
    <s v="P005"/>
    <s v="R009"/>
    <d v="2025-01-29T00:00:00"/>
    <d v="2025-03-21T00:00:00"/>
    <m/>
    <x v="2"/>
    <n v="1"/>
    <n v="5"/>
    <n v="171000"/>
    <n v="60"/>
    <s v=""/>
    <s v="North"/>
    <x v="3"/>
    <s v="Service"/>
    <x v="4"/>
    <x v="0"/>
  </r>
  <r>
    <s v="O02371"/>
    <s v="C0002"/>
    <s v="P003"/>
    <s v="R007"/>
    <d v="2025-09-11T00:00:00"/>
    <d v="2025-11-06T00:00:00"/>
    <m/>
    <x v="2"/>
    <n v="3"/>
    <n v="5"/>
    <n v="684000"/>
    <n v="40"/>
    <s v=""/>
    <s v="North"/>
    <x v="1"/>
    <s v="Automation"/>
    <x v="13"/>
    <x v="0"/>
  </r>
  <r>
    <s v="O02372"/>
    <s v="C0163"/>
    <s v="P002"/>
    <s v="R016"/>
    <d v="2025-02-09T00:00:00"/>
    <d v="2025-04-01T00:00:00"/>
    <d v="2025-04-01T00:00:00"/>
    <x v="0"/>
    <n v="1"/>
    <n v="10"/>
    <n v="378000"/>
    <n v="0"/>
    <s v="Feature gap"/>
    <s v="East"/>
    <x v="0"/>
    <s v="CRM"/>
    <x v="8"/>
    <x v="3"/>
  </r>
  <r>
    <s v="O02373"/>
    <s v="C0415"/>
    <s v="P001"/>
    <s v="R005"/>
    <d v="2025-12-28T00:00:00"/>
    <d v="2026-02-07T00:00:00"/>
    <m/>
    <x v="2"/>
    <n v="1"/>
    <n v="20"/>
    <n v="96000"/>
    <n v="80"/>
    <s v=""/>
    <s v="South"/>
    <x v="4"/>
    <s v="CRM"/>
    <x v="11"/>
    <x v="2"/>
  </r>
  <r>
    <s v="O02374"/>
    <s v="C0482"/>
    <s v="P006"/>
    <s v="R011"/>
    <d v="2025-07-01T00:00:00"/>
    <d v="2025-08-06T00:00:00"/>
    <d v="2025-08-06T00:00:00"/>
    <x v="0"/>
    <n v="2"/>
    <n v="20"/>
    <n v="576000"/>
    <n v="0"/>
    <s v="Price"/>
    <s v="West"/>
    <x v="2"/>
    <s v="Security"/>
    <x v="12"/>
    <x v="1"/>
  </r>
  <r>
    <s v="O02375"/>
    <s v="C0232"/>
    <s v="P002"/>
    <s v="R011"/>
    <d v="2025-09-02T00:00:00"/>
    <d v="2025-09-22T00:00:00"/>
    <d v="2025-09-22T00:00:00"/>
    <x v="0"/>
    <n v="1"/>
    <n v="10"/>
    <n v="378000"/>
    <n v="0"/>
    <s v="No decision"/>
    <s v="West"/>
    <x v="0"/>
    <s v="CRM"/>
    <x v="12"/>
    <x v="1"/>
  </r>
  <r>
    <s v="O02376"/>
    <s v="C0001"/>
    <s v="P001"/>
    <s v="R001"/>
    <d v="2025-04-05T00:00:00"/>
    <d v="2025-05-29T00:00:00"/>
    <d v="2025-05-29T00:00:00"/>
    <x v="0"/>
    <n v="1"/>
    <n v="15"/>
    <n v="102000"/>
    <n v="0"/>
    <s v="Budget"/>
    <s v="South"/>
    <x v="4"/>
    <s v="CRM"/>
    <x v="6"/>
    <x v="2"/>
  </r>
  <r>
    <s v="O02377"/>
    <s v="C0499"/>
    <s v="P003"/>
    <s v="R016"/>
    <d v="2025-01-31T00:00:00"/>
    <d v="2025-04-03T00:00:00"/>
    <d v="2025-04-03T00:00:00"/>
    <x v="1"/>
    <n v="3"/>
    <n v="10"/>
    <n v="648000"/>
    <n v="100"/>
    <s v=""/>
    <s v="East"/>
    <x v="1"/>
    <s v="Automation"/>
    <x v="8"/>
    <x v="3"/>
  </r>
  <r>
    <s v="O02378"/>
    <s v="C0160"/>
    <s v="P006"/>
    <s v="R019"/>
    <d v="2025-11-22T00:00:00"/>
    <d v="2026-01-21T00:00:00"/>
    <m/>
    <x v="2"/>
    <n v="1"/>
    <n v="15"/>
    <n v="306000"/>
    <n v="60"/>
    <s v=""/>
    <s v="East"/>
    <x v="2"/>
    <s v="Security"/>
    <x v="10"/>
    <x v="3"/>
  </r>
  <r>
    <s v="O02379"/>
    <s v="C0001"/>
    <s v="P004"/>
    <s v="R005"/>
    <d v="2025-02-05T00:00:00"/>
    <d v="2025-04-06T00:00:00"/>
    <d v="2025-04-06T00:00:00"/>
    <x v="0"/>
    <n v="1"/>
    <n v="20"/>
    <n v="240000"/>
    <n v="0"/>
    <s v="Price"/>
    <s v="South"/>
    <x v="5"/>
    <s v="Analytics"/>
    <x v="11"/>
    <x v="2"/>
  </r>
  <r>
    <s v="O02380"/>
    <s v="C0030"/>
    <s v="P003"/>
    <s v="R020"/>
    <d v="2025-01-31T00:00:00"/>
    <d v="2025-02-22T00:00:00"/>
    <d v="2025-02-22T00:00:00"/>
    <x v="1"/>
    <n v="2"/>
    <n v="20"/>
    <n v="384000"/>
    <n v="100"/>
    <s v=""/>
    <s v="East"/>
    <x v="1"/>
    <s v="Automation"/>
    <x v="9"/>
    <x v="3"/>
  </r>
  <r>
    <s v="O02381"/>
    <s v="C0025"/>
    <s v="P005"/>
    <s v="R019"/>
    <d v="2025-05-19T00:00:00"/>
    <d v="2025-06-03T00:00:00"/>
    <d v="2025-06-03T00:00:00"/>
    <x v="0"/>
    <n v="1"/>
    <n v="5"/>
    <n v="171000"/>
    <n v="0"/>
    <s v="Price"/>
    <s v="East"/>
    <x v="3"/>
    <s v="Service"/>
    <x v="10"/>
    <x v="3"/>
  </r>
  <r>
    <s v="O02382"/>
    <s v="C0221"/>
    <s v="P002"/>
    <s v="R004"/>
    <d v="2025-05-10T00:00:00"/>
    <d v="2025-06-09T00:00:00"/>
    <m/>
    <x v="2"/>
    <n v="1"/>
    <n v="0"/>
    <n v="420000"/>
    <n v="20"/>
    <s v=""/>
    <s v="South"/>
    <x v="0"/>
    <s v="CRM"/>
    <x v="3"/>
    <x v="2"/>
  </r>
  <r>
    <s v="O02383"/>
    <s v="C0373"/>
    <s v="P006"/>
    <s v="R016"/>
    <d v="2025-02-03T00:00:00"/>
    <d v="2025-03-30T00:00:00"/>
    <m/>
    <x v="2"/>
    <n v="2"/>
    <n v="20"/>
    <n v="576000"/>
    <n v="20"/>
    <s v=""/>
    <s v="East"/>
    <x v="2"/>
    <s v="Security"/>
    <x v="8"/>
    <x v="3"/>
  </r>
  <r>
    <s v="O02384"/>
    <s v="C0123"/>
    <s v="P004"/>
    <s v="R011"/>
    <d v="2025-08-04T00:00:00"/>
    <d v="2025-08-18T00:00:00"/>
    <m/>
    <x v="2"/>
    <n v="3"/>
    <n v="10"/>
    <n v="810000"/>
    <n v="40"/>
    <s v=""/>
    <s v="West"/>
    <x v="5"/>
    <s v="Analytics"/>
    <x v="12"/>
    <x v="1"/>
  </r>
  <r>
    <s v="O02385"/>
    <s v="C0276"/>
    <s v="P001"/>
    <s v="R012"/>
    <d v="2025-03-02T00:00:00"/>
    <d v="2025-05-26T00:00:00"/>
    <m/>
    <x v="2"/>
    <n v="1"/>
    <n v="10"/>
    <n v="108000"/>
    <n v="20"/>
    <s v=""/>
    <s v="West"/>
    <x v="4"/>
    <s v="CRM"/>
    <x v="14"/>
    <x v="1"/>
  </r>
  <r>
    <s v="O02386"/>
    <s v="C0463"/>
    <s v="P004"/>
    <s v="R005"/>
    <d v="2025-01-25T00:00:00"/>
    <d v="2025-03-12T00:00:00"/>
    <d v="2025-03-12T00:00:00"/>
    <x v="1"/>
    <n v="1"/>
    <n v="20"/>
    <n v="240000"/>
    <n v="100"/>
    <s v=""/>
    <s v="South"/>
    <x v="5"/>
    <s v="Analytics"/>
    <x v="11"/>
    <x v="2"/>
  </r>
  <r>
    <s v="O02387"/>
    <s v="C0390"/>
    <s v="P002"/>
    <s v="R015"/>
    <d v="2025-05-11T00:00:00"/>
    <d v="2025-07-20T00:00:00"/>
    <m/>
    <x v="2"/>
    <n v="3"/>
    <n v="20"/>
    <n v="1008000"/>
    <n v="20"/>
    <s v=""/>
    <s v="West"/>
    <x v="0"/>
    <s v="CRM"/>
    <x v="7"/>
    <x v="1"/>
  </r>
  <r>
    <s v="O02388"/>
    <s v="C0257"/>
    <s v="P004"/>
    <s v="R011"/>
    <d v="2025-11-24T00:00:00"/>
    <d v="2026-02-05T00:00:00"/>
    <m/>
    <x v="2"/>
    <n v="1"/>
    <n v="10"/>
    <n v="270000"/>
    <n v="60"/>
    <s v=""/>
    <s v="West"/>
    <x v="5"/>
    <s v="Analytics"/>
    <x v="12"/>
    <x v="1"/>
  </r>
  <r>
    <s v="O02389"/>
    <s v="C0245"/>
    <s v="P004"/>
    <s v="R012"/>
    <d v="2025-11-08T00:00:00"/>
    <d v="2025-11-15T00:00:00"/>
    <d v="2025-11-15T00:00:00"/>
    <x v="1"/>
    <n v="2"/>
    <n v="15"/>
    <n v="510000"/>
    <n v="100"/>
    <s v=""/>
    <s v="West"/>
    <x v="5"/>
    <s v="Analytics"/>
    <x v="14"/>
    <x v="1"/>
  </r>
  <r>
    <s v="O02390"/>
    <s v="C0144"/>
    <s v="P006"/>
    <s v="R016"/>
    <d v="2025-05-11T00:00:00"/>
    <d v="2025-07-18T00:00:00"/>
    <d v="2025-07-18T00:00:00"/>
    <x v="0"/>
    <n v="2"/>
    <n v="20"/>
    <n v="576000"/>
    <n v="0"/>
    <s v="No decision"/>
    <s v="East"/>
    <x v="2"/>
    <s v="Security"/>
    <x v="8"/>
    <x v="3"/>
  </r>
  <r>
    <s v="O02391"/>
    <s v="C0383"/>
    <s v="P005"/>
    <s v="R014"/>
    <d v="2025-02-17T00:00:00"/>
    <d v="2025-05-10T00:00:00"/>
    <d v="2025-05-10T00:00:00"/>
    <x v="0"/>
    <n v="3"/>
    <n v="20"/>
    <n v="432000"/>
    <n v="0"/>
    <s v="Competition"/>
    <s v="West"/>
    <x v="3"/>
    <s v="Service"/>
    <x v="1"/>
    <x v="1"/>
  </r>
  <r>
    <s v="O02392"/>
    <s v="C0139"/>
    <s v="P005"/>
    <s v="R018"/>
    <d v="2025-09-17T00:00:00"/>
    <d v="2025-10-17T00:00:00"/>
    <m/>
    <x v="2"/>
    <n v="1"/>
    <n v="0"/>
    <n v="180000"/>
    <n v="20"/>
    <s v=""/>
    <s v="East"/>
    <x v="3"/>
    <s v="Service"/>
    <x v="18"/>
    <x v="3"/>
  </r>
  <r>
    <s v="O02393"/>
    <s v="C0478"/>
    <s v="P005"/>
    <s v="R012"/>
    <d v="2025-03-16T00:00:00"/>
    <d v="2025-05-24T00:00:00"/>
    <d v="2025-05-24T00:00:00"/>
    <x v="0"/>
    <n v="2"/>
    <n v="0"/>
    <n v="360000"/>
    <n v="0"/>
    <s v="Feature gap"/>
    <s v="West"/>
    <x v="3"/>
    <s v="Service"/>
    <x v="14"/>
    <x v="1"/>
  </r>
  <r>
    <s v="O02394"/>
    <s v="C0276"/>
    <s v="P002"/>
    <s v="R011"/>
    <d v="2025-05-04T00:00:00"/>
    <d v="2025-05-11T00:00:00"/>
    <d v="2025-05-11T00:00:00"/>
    <x v="0"/>
    <n v="1"/>
    <n v="0"/>
    <n v="420000"/>
    <n v="0"/>
    <s v="Budget"/>
    <s v="West"/>
    <x v="0"/>
    <s v="CRM"/>
    <x v="12"/>
    <x v="1"/>
  </r>
  <r>
    <s v="O02395"/>
    <s v="C0186"/>
    <s v="P001"/>
    <s v="R015"/>
    <d v="2025-04-21T00:00:00"/>
    <d v="2025-05-29T00:00:00"/>
    <d v="2025-05-29T00:00:00"/>
    <x v="0"/>
    <n v="1"/>
    <n v="15"/>
    <n v="102000"/>
    <n v="0"/>
    <s v="Competition"/>
    <s v="West"/>
    <x v="4"/>
    <s v="CRM"/>
    <x v="7"/>
    <x v="1"/>
  </r>
  <r>
    <s v="O02396"/>
    <s v="C0409"/>
    <s v="P006"/>
    <s v="R004"/>
    <d v="2025-10-22T00:00:00"/>
    <d v="2025-12-09T00:00:00"/>
    <m/>
    <x v="2"/>
    <n v="2"/>
    <n v="5"/>
    <n v="684000"/>
    <n v="20"/>
    <s v=""/>
    <s v="South"/>
    <x v="2"/>
    <s v="Security"/>
    <x v="3"/>
    <x v="2"/>
  </r>
  <r>
    <s v="O02397"/>
    <s v="C0401"/>
    <s v="P005"/>
    <s v="R017"/>
    <d v="2025-11-10T00:00:00"/>
    <d v="2025-11-22T00:00:00"/>
    <m/>
    <x v="2"/>
    <n v="2"/>
    <n v="20"/>
    <n v="288000"/>
    <n v="40"/>
    <s v=""/>
    <s v="East"/>
    <x v="3"/>
    <s v="Service"/>
    <x v="19"/>
    <x v="3"/>
  </r>
  <r>
    <s v="O02398"/>
    <s v="C0323"/>
    <s v="P006"/>
    <s v="R018"/>
    <d v="2025-09-17T00:00:00"/>
    <d v="2025-10-21T00:00:00"/>
    <m/>
    <x v="2"/>
    <n v="2"/>
    <n v="0"/>
    <n v="720000"/>
    <n v="20"/>
    <s v=""/>
    <s v="East"/>
    <x v="2"/>
    <s v="Security"/>
    <x v="18"/>
    <x v="3"/>
  </r>
  <r>
    <s v="O02399"/>
    <s v="C0033"/>
    <s v="P001"/>
    <s v="R013"/>
    <d v="2025-04-12T00:00:00"/>
    <d v="2025-06-15T00:00:00"/>
    <m/>
    <x v="2"/>
    <n v="1"/>
    <n v="5"/>
    <n v="114000"/>
    <n v="60"/>
    <s v=""/>
    <s v="West"/>
    <x v="4"/>
    <s v="CRM"/>
    <x v="5"/>
    <x v="1"/>
  </r>
  <r>
    <s v="O02400"/>
    <s v="C0279"/>
    <s v="P005"/>
    <s v="R014"/>
    <d v="2025-04-19T00:00:00"/>
    <d v="2025-05-07T00:00:00"/>
    <d v="2025-05-07T00:00:00"/>
    <x v="0"/>
    <n v="1"/>
    <n v="15"/>
    <n v="153000"/>
    <n v="0"/>
    <s v="Price"/>
    <s v="West"/>
    <x v="3"/>
    <s v="Service"/>
    <x v="1"/>
    <x v="1"/>
  </r>
  <r>
    <s v="O02401"/>
    <s v="C0282"/>
    <s v="P006"/>
    <s v="R001"/>
    <d v="2025-04-01T00:00:00"/>
    <d v="2025-05-06T00:00:00"/>
    <d v="2025-05-06T00:00:00"/>
    <x v="0"/>
    <n v="3"/>
    <n v="15"/>
    <n v="918000"/>
    <n v="0"/>
    <s v="No decision"/>
    <s v="South"/>
    <x v="2"/>
    <s v="Security"/>
    <x v="6"/>
    <x v="2"/>
  </r>
  <r>
    <s v="O02402"/>
    <s v="C0481"/>
    <s v="P002"/>
    <s v="R017"/>
    <d v="2025-01-07T00:00:00"/>
    <d v="2025-02-09T00:00:00"/>
    <d v="2025-02-09T00:00:00"/>
    <x v="0"/>
    <n v="1"/>
    <n v="15"/>
    <n v="357000"/>
    <n v="0"/>
    <s v="Budget"/>
    <s v="East"/>
    <x v="0"/>
    <s v="CRM"/>
    <x v="19"/>
    <x v="3"/>
  </r>
  <r>
    <s v="O02403"/>
    <s v="C0452"/>
    <s v="P004"/>
    <s v="R011"/>
    <d v="2025-08-10T00:00:00"/>
    <d v="2025-09-11T00:00:00"/>
    <d v="2025-09-11T00:00:00"/>
    <x v="0"/>
    <n v="3"/>
    <n v="20"/>
    <n v="720000"/>
    <n v="0"/>
    <s v="Budget"/>
    <s v="West"/>
    <x v="5"/>
    <s v="Analytics"/>
    <x v="12"/>
    <x v="1"/>
  </r>
  <r>
    <s v="O02404"/>
    <s v="C0078"/>
    <s v="P005"/>
    <s v="R002"/>
    <d v="2025-02-06T00:00:00"/>
    <d v="2025-04-28T00:00:00"/>
    <d v="2025-04-28T00:00:00"/>
    <x v="0"/>
    <n v="3"/>
    <n v="15"/>
    <n v="459000"/>
    <n v="0"/>
    <s v="Budget"/>
    <s v="South"/>
    <x v="3"/>
    <s v="Service"/>
    <x v="17"/>
    <x v="2"/>
  </r>
  <r>
    <s v="O02405"/>
    <s v="C0098"/>
    <s v="P006"/>
    <s v="R006"/>
    <d v="2025-07-04T00:00:00"/>
    <d v="2025-08-22T00:00:00"/>
    <d v="2025-08-22T00:00:00"/>
    <x v="0"/>
    <n v="2"/>
    <n v="5"/>
    <n v="684000"/>
    <n v="0"/>
    <s v="Price"/>
    <s v="North"/>
    <x v="2"/>
    <s v="Security"/>
    <x v="2"/>
    <x v="0"/>
  </r>
  <r>
    <s v="O02406"/>
    <s v="C0495"/>
    <s v="P005"/>
    <s v="R020"/>
    <d v="2025-09-23T00:00:00"/>
    <d v="2025-10-03T00:00:00"/>
    <m/>
    <x v="2"/>
    <n v="3"/>
    <n v="0"/>
    <n v="540000"/>
    <n v="20"/>
    <s v=""/>
    <s v="East"/>
    <x v="3"/>
    <s v="Service"/>
    <x v="9"/>
    <x v="3"/>
  </r>
  <r>
    <s v="O02407"/>
    <s v="C0361"/>
    <s v="P004"/>
    <s v="R006"/>
    <d v="2025-05-06T00:00:00"/>
    <d v="2025-07-04T00:00:00"/>
    <m/>
    <x v="2"/>
    <n v="3"/>
    <n v="0"/>
    <n v="900000"/>
    <n v="60"/>
    <s v=""/>
    <s v="North"/>
    <x v="5"/>
    <s v="Analytics"/>
    <x v="2"/>
    <x v="0"/>
  </r>
  <r>
    <s v="O02408"/>
    <s v="C0364"/>
    <s v="P004"/>
    <s v="R004"/>
    <d v="2025-08-02T00:00:00"/>
    <d v="2025-10-19T00:00:00"/>
    <d v="2025-10-19T00:00:00"/>
    <x v="1"/>
    <n v="1"/>
    <n v="0"/>
    <n v="300000"/>
    <n v="100"/>
    <s v=""/>
    <s v="South"/>
    <x v="5"/>
    <s v="Analytics"/>
    <x v="3"/>
    <x v="2"/>
  </r>
  <r>
    <s v="O02409"/>
    <s v="C0395"/>
    <s v="P005"/>
    <s v="R009"/>
    <d v="2025-10-19T00:00:00"/>
    <d v="2025-12-07T00:00:00"/>
    <m/>
    <x v="2"/>
    <n v="2"/>
    <n v="20"/>
    <n v="288000"/>
    <n v="60"/>
    <s v=""/>
    <s v="North"/>
    <x v="3"/>
    <s v="Service"/>
    <x v="4"/>
    <x v="0"/>
  </r>
  <r>
    <s v="O02410"/>
    <s v="C0237"/>
    <s v="P002"/>
    <s v="R015"/>
    <d v="2025-02-16T00:00:00"/>
    <d v="2025-03-24T00:00:00"/>
    <d v="2025-03-24T00:00:00"/>
    <x v="0"/>
    <n v="1"/>
    <n v="0"/>
    <n v="420000"/>
    <n v="0"/>
    <s v="No decision"/>
    <s v="West"/>
    <x v="0"/>
    <s v="CRM"/>
    <x v="7"/>
    <x v="1"/>
  </r>
  <r>
    <s v="O02411"/>
    <s v="C0271"/>
    <s v="P001"/>
    <s v="R009"/>
    <d v="2025-01-09T00:00:00"/>
    <d v="2025-02-16T00:00:00"/>
    <d v="2025-02-16T00:00:00"/>
    <x v="1"/>
    <n v="1"/>
    <n v="15"/>
    <n v="102000"/>
    <n v="100"/>
    <s v=""/>
    <s v="North"/>
    <x v="4"/>
    <s v="CRM"/>
    <x v="4"/>
    <x v="0"/>
  </r>
  <r>
    <s v="O02412"/>
    <s v="C0112"/>
    <s v="P001"/>
    <s v="R008"/>
    <d v="2025-03-01T00:00:00"/>
    <d v="2025-03-24T00:00:00"/>
    <d v="2025-03-24T00:00:00"/>
    <x v="0"/>
    <n v="2"/>
    <n v="5"/>
    <n v="228000"/>
    <n v="0"/>
    <s v="Price"/>
    <s v="North"/>
    <x v="4"/>
    <s v="CRM"/>
    <x v="0"/>
    <x v="0"/>
  </r>
  <r>
    <s v="O02413"/>
    <s v="C0010"/>
    <s v="P001"/>
    <s v="R014"/>
    <d v="2025-11-05T00:00:00"/>
    <d v="2025-12-05T00:00:00"/>
    <d v="2025-12-05T00:00:00"/>
    <x v="0"/>
    <n v="1"/>
    <n v="0"/>
    <n v="120000"/>
    <n v="0"/>
    <s v="No decision"/>
    <s v="West"/>
    <x v="4"/>
    <s v="CRM"/>
    <x v="1"/>
    <x v="1"/>
  </r>
  <r>
    <s v="O02414"/>
    <s v="C0091"/>
    <s v="P001"/>
    <s v="R020"/>
    <d v="2025-12-01T00:00:00"/>
    <d v="2025-12-19T00:00:00"/>
    <m/>
    <x v="2"/>
    <n v="3"/>
    <n v="10"/>
    <n v="324000"/>
    <n v="20"/>
    <s v=""/>
    <s v="East"/>
    <x v="4"/>
    <s v="CRM"/>
    <x v="9"/>
    <x v="3"/>
  </r>
  <r>
    <s v="O02415"/>
    <s v="C0121"/>
    <s v="P004"/>
    <s v="R006"/>
    <d v="2025-08-27T00:00:00"/>
    <d v="2025-11-04T00:00:00"/>
    <d v="2025-11-04T00:00:00"/>
    <x v="0"/>
    <n v="1"/>
    <n v="0"/>
    <n v="300000"/>
    <n v="0"/>
    <s v="Budget"/>
    <s v="North"/>
    <x v="5"/>
    <s v="Analytics"/>
    <x v="2"/>
    <x v="0"/>
  </r>
  <r>
    <s v="O02416"/>
    <s v="C0124"/>
    <s v="P002"/>
    <s v="R003"/>
    <d v="2025-01-14T00:00:00"/>
    <d v="2025-03-13T00:00:00"/>
    <d v="2025-03-13T00:00:00"/>
    <x v="1"/>
    <n v="1"/>
    <n v="15"/>
    <n v="357000"/>
    <n v="100"/>
    <s v=""/>
    <s v="South"/>
    <x v="0"/>
    <s v="CRM"/>
    <x v="15"/>
    <x v="2"/>
  </r>
  <r>
    <s v="O02417"/>
    <s v="C0341"/>
    <s v="P001"/>
    <s v="R003"/>
    <d v="2025-02-21T00:00:00"/>
    <d v="2025-03-16T00:00:00"/>
    <d v="2025-03-16T00:00:00"/>
    <x v="1"/>
    <n v="1"/>
    <n v="20"/>
    <n v="96000"/>
    <n v="100"/>
    <s v=""/>
    <s v="South"/>
    <x v="4"/>
    <s v="CRM"/>
    <x v="15"/>
    <x v="2"/>
  </r>
  <r>
    <s v="O02418"/>
    <s v="C0173"/>
    <s v="P002"/>
    <s v="R012"/>
    <d v="2025-10-16T00:00:00"/>
    <d v="2025-12-11T00:00:00"/>
    <d v="2025-12-11T00:00:00"/>
    <x v="1"/>
    <n v="1"/>
    <n v="20"/>
    <n v="336000"/>
    <n v="100"/>
    <s v=""/>
    <s v="West"/>
    <x v="0"/>
    <s v="CRM"/>
    <x v="14"/>
    <x v="1"/>
  </r>
  <r>
    <s v="O02419"/>
    <s v="C0053"/>
    <s v="P004"/>
    <s v="R017"/>
    <d v="2025-12-16T00:00:00"/>
    <d v="2026-02-07T00:00:00"/>
    <m/>
    <x v="2"/>
    <n v="1"/>
    <n v="0"/>
    <n v="300000"/>
    <n v="60"/>
    <s v=""/>
    <s v="East"/>
    <x v="5"/>
    <s v="Analytics"/>
    <x v="19"/>
    <x v="3"/>
  </r>
  <r>
    <s v="O02420"/>
    <s v="C0148"/>
    <s v="P006"/>
    <s v="R017"/>
    <d v="2025-01-31T00:00:00"/>
    <d v="2025-02-20T00:00:00"/>
    <d v="2025-02-20T00:00:00"/>
    <x v="1"/>
    <n v="3"/>
    <n v="0"/>
    <n v="1080000"/>
    <n v="100"/>
    <s v=""/>
    <s v="East"/>
    <x v="2"/>
    <s v="Security"/>
    <x v="19"/>
    <x v="3"/>
  </r>
  <r>
    <s v="O02421"/>
    <s v="C0477"/>
    <s v="P005"/>
    <s v="R006"/>
    <d v="2025-07-27T00:00:00"/>
    <d v="2025-10-18T00:00:00"/>
    <d v="2025-10-18T00:00:00"/>
    <x v="0"/>
    <n v="1"/>
    <n v="15"/>
    <n v="153000"/>
    <n v="0"/>
    <s v="Price"/>
    <s v="North"/>
    <x v="3"/>
    <s v="Service"/>
    <x v="2"/>
    <x v="0"/>
  </r>
  <r>
    <s v="O02422"/>
    <s v="C0332"/>
    <s v="P002"/>
    <s v="R002"/>
    <d v="2025-12-11T00:00:00"/>
    <d v="2026-02-21T00:00:00"/>
    <m/>
    <x v="2"/>
    <n v="1"/>
    <n v="5"/>
    <n v="399000"/>
    <n v="80"/>
    <s v=""/>
    <s v="South"/>
    <x v="0"/>
    <s v="CRM"/>
    <x v="17"/>
    <x v="2"/>
  </r>
  <r>
    <s v="O02423"/>
    <s v="C0433"/>
    <s v="P005"/>
    <s v="R019"/>
    <d v="2025-02-11T00:00:00"/>
    <d v="2025-03-19T00:00:00"/>
    <m/>
    <x v="2"/>
    <n v="2"/>
    <n v="10"/>
    <n v="324000"/>
    <n v="40"/>
    <s v=""/>
    <s v="East"/>
    <x v="3"/>
    <s v="Service"/>
    <x v="10"/>
    <x v="3"/>
  </r>
  <r>
    <s v="O02424"/>
    <s v="C0112"/>
    <s v="P001"/>
    <s v="R008"/>
    <d v="2025-07-06T00:00:00"/>
    <d v="2025-08-27T00:00:00"/>
    <d v="2025-08-27T00:00:00"/>
    <x v="0"/>
    <n v="1"/>
    <n v="20"/>
    <n v="96000"/>
    <n v="0"/>
    <s v="Price"/>
    <s v="North"/>
    <x v="4"/>
    <s v="CRM"/>
    <x v="0"/>
    <x v="0"/>
  </r>
  <r>
    <s v="O02425"/>
    <s v="C0499"/>
    <s v="P003"/>
    <s v="R019"/>
    <d v="2025-05-11T00:00:00"/>
    <d v="2025-07-14T00:00:00"/>
    <d v="2025-07-14T00:00:00"/>
    <x v="1"/>
    <n v="1"/>
    <n v="20"/>
    <n v="192000"/>
    <n v="100"/>
    <s v=""/>
    <s v="East"/>
    <x v="1"/>
    <s v="Automation"/>
    <x v="10"/>
    <x v="3"/>
  </r>
  <r>
    <s v="O02426"/>
    <s v="C0030"/>
    <s v="P006"/>
    <s v="R020"/>
    <d v="2025-03-01T00:00:00"/>
    <d v="2025-05-02T00:00:00"/>
    <d v="2025-05-02T00:00:00"/>
    <x v="1"/>
    <n v="1"/>
    <n v="15"/>
    <n v="306000"/>
    <n v="100"/>
    <s v=""/>
    <s v="East"/>
    <x v="2"/>
    <s v="Security"/>
    <x v="9"/>
    <x v="3"/>
  </r>
  <r>
    <s v="O02427"/>
    <s v="C0402"/>
    <s v="P004"/>
    <s v="R016"/>
    <d v="2025-03-27T00:00:00"/>
    <d v="2025-04-24T00:00:00"/>
    <d v="2025-04-24T00:00:00"/>
    <x v="1"/>
    <n v="1"/>
    <n v="10"/>
    <n v="270000"/>
    <n v="100"/>
    <s v=""/>
    <s v="East"/>
    <x v="5"/>
    <s v="Analytics"/>
    <x v="8"/>
    <x v="3"/>
  </r>
  <r>
    <s v="O02428"/>
    <s v="C0096"/>
    <s v="P002"/>
    <s v="R020"/>
    <d v="2025-01-15T00:00:00"/>
    <d v="2025-03-07T00:00:00"/>
    <m/>
    <x v="2"/>
    <n v="1"/>
    <n v="0"/>
    <n v="420000"/>
    <n v="80"/>
    <s v=""/>
    <s v="East"/>
    <x v="0"/>
    <s v="CRM"/>
    <x v="9"/>
    <x v="3"/>
  </r>
  <r>
    <s v="O02429"/>
    <s v="C0284"/>
    <s v="P002"/>
    <s v="R020"/>
    <d v="2025-02-28T00:00:00"/>
    <d v="2025-05-24T00:00:00"/>
    <d v="2025-05-24T00:00:00"/>
    <x v="0"/>
    <n v="1"/>
    <n v="5"/>
    <n v="399000"/>
    <n v="0"/>
    <s v="Feature gap"/>
    <s v="East"/>
    <x v="0"/>
    <s v="CRM"/>
    <x v="9"/>
    <x v="3"/>
  </r>
  <r>
    <s v="O02430"/>
    <s v="C0339"/>
    <s v="P003"/>
    <s v="R014"/>
    <d v="2025-02-25T00:00:00"/>
    <d v="2025-03-11T00:00:00"/>
    <d v="2025-03-11T00:00:00"/>
    <x v="1"/>
    <n v="2"/>
    <n v="10"/>
    <n v="432000"/>
    <n v="100"/>
    <s v=""/>
    <s v="West"/>
    <x v="1"/>
    <s v="Automation"/>
    <x v="1"/>
    <x v="1"/>
  </r>
  <r>
    <s v="O02431"/>
    <s v="C0285"/>
    <s v="P003"/>
    <s v="R008"/>
    <d v="2025-01-30T00:00:00"/>
    <d v="2025-02-15T00:00:00"/>
    <d v="2025-02-15T00:00:00"/>
    <x v="0"/>
    <n v="1"/>
    <n v="5"/>
    <n v="228000"/>
    <n v="0"/>
    <s v="Budget"/>
    <s v="North"/>
    <x v="1"/>
    <s v="Automation"/>
    <x v="0"/>
    <x v="0"/>
  </r>
  <r>
    <s v="O02432"/>
    <s v="C0123"/>
    <s v="P005"/>
    <s v="R012"/>
    <d v="2025-06-15T00:00:00"/>
    <d v="2025-07-10T00:00:00"/>
    <d v="2025-07-10T00:00:00"/>
    <x v="0"/>
    <n v="1"/>
    <n v="5"/>
    <n v="171000"/>
    <n v="0"/>
    <s v="Feature gap"/>
    <s v="West"/>
    <x v="3"/>
    <s v="Service"/>
    <x v="14"/>
    <x v="1"/>
  </r>
  <r>
    <s v="O02433"/>
    <s v="C0395"/>
    <s v="P001"/>
    <s v="R008"/>
    <d v="2025-04-10T00:00:00"/>
    <d v="2025-06-11T00:00:00"/>
    <d v="2025-06-11T00:00:00"/>
    <x v="1"/>
    <n v="2"/>
    <n v="5"/>
    <n v="228000"/>
    <n v="100"/>
    <s v=""/>
    <s v="North"/>
    <x v="4"/>
    <s v="CRM"/>
    <x v="0"/>
    <x v="0"/>
  </r>
  <r>
    <s v="O02434"/>
    <s v="C0221"/>
    <s v="P006"/>
    <s v="R004"/>
    <d v="2025-08-26T00:00:00"/>
    <d v="2025-11-16T00:00:00"/>
    <m/>
    <x v="2"/>
    <n v="1"/>
    <n v="0"/>
    <n v="360000"/>
    <n v="20"/>
    <s v=""/>
    <s v="South"/>
    <x v="2"/>
    <s v="Security"/>
    <x v="3"/>
    <x v="2"/>
  </r>
  <r>
    <s v="O02435"/>
    <s v="C0018"/>
    <s v="P005"/>
    <s v="R013"/>
    <d v="2025-09-06T00:00:00"/>
    <d v="2025-10-22T00:00:00"/>
    <d v="2025-10-22T00:00:00"/>
    <x v="1"/>
    <n v="1"/>
    <n v="10"/>
    <n v="162000"/>
    <n v="100"/>
    <s v=""/>
    <s v="West"/>
    <x v="3"/>
    <s v="Service"/>
    <x v="5"/>
    <x v="1"/>
  </r>
  <r>
    <s v="O02436"/>
    <s v="C0411"/>
    <s v="P003"/>
    <s v="R014"/>
    <d v="2025-09-11T00:00:00"/>
    <d v="2025-10-28T00:00:00"/>
    <d v="2025-10-28T00:00:00"/>
    <x v="0"/>
    <n v="3"/>
    <n v="15"/>
    <n v="612000"/>
    <n v="0"/>
    <s v="Feature gap"/>
    <s v="West"/>
    <x v="1"/>
    <s v="Automation"/>
    <x v="1"/>
    <x v="1"/>
  </r>
  <r>
    <s v="O02437"/>
    <s v="C0293"/>
    <s v="P006"/>
    <s v="R016"/>
    <d v="2025-06-17T00:00:00"/>
    <d v="2025-08-04T00:00:00"/>
    <d v="2025-08-04T00:00:00"/>
    <x v="0"/>
    <n v="1"/>
    <n v="10"/>
    <n v="324000"/>
    <n v="0"/>
    <s v="Competition"/>
    <s v="East"/>
    <x v="2"/>
    <s v="Security"/>
    <x v="8"/>
    <x v="3"/>
  </r>
  <r>
    <s v="O02438"/>
    <s v="C0416"/>
    <s v="P006"/>
    <s v="R020"/>
    <d v="2025-02-13T00:00:00"/>
    <d v="2025-04-16T00:00:00"/>
    <d v="2025-04-16T00:00:00"/>
    <x v="0"/>
    <n v="1"/>
    <n v="10"/>
    <n v="324000"/>
    <n v="0"/>
    <s v="Feature gap"/>
    <s v="East"/>
    <x v="2"/>
    <s v="Security"/>
    <x v="9"/>
    <x v="3"/>
  </r>
  <r>
    <s v="O02439"/>
    <s v="C0444"/>
    <s v="P002"/>
    <s v="R019"/>
    <d v="2025-05-04T00:00:00"/>
    <d v="2025-06-07T00:00:00"/>
    <d v="2025-06-07T00:00:00"/>
    <x v="0"/>
    <n v="2"/>
    <n v="5"/>
    <n v="798000"/>
    <n v="0"/>
    <s v="Price"/>
    <s v="East"/>
    <x v="0"/>
    <s v="CRM"/>
    <x v="10"/>
    <x v="3"/>
  </r>
  <r>
    <s v="O02440"/>
    <s v="C0247"/>
    <s v="P006"/>
    <s v="R006"/>
    <d v="2025-08-12T00:00:00"/>
    <d v="2025-09-06T00:00:00"/>
    <d v="2025-09-06T00:00:00"/>
    <x v="0"/>
    <n v="2"/>
    <n v="0"/>
    <n v="720000"/>
    <n v="0"/>
    <s v="Price"/>
    <s v="North"/>
    <x v="2"/>
    <s v="Security"/>
    <x v="2"/>
    <x v="0"/>
  </r>
  <r>
    <s v="O02441"/>
    <s v="C0177"/>
    <s v="P003"/>
    <s v="R016"/>
    <d v="2025-05-24T00:00:00"/>
    <d v="2025-07-11T00:00:00"/>
    <m/>
    <x v="2"/>
    <n v="1"/>
    <n v="15"/>
    <n v="204000"/>
    <n v="60"/>
    <s v=""/>
    <s v="East"/>
    <x v="1"/>
    <s v="Automation"/>
    <x v="8"/>
    <x v="3"/>
  </r>
  <r>
    <s v="O02442"/>
    <s v="C0372"/>
    <s v="P001"/>
    <s v="R001"/>
    <d v="2025-10-07T00:00:00"/>
    <d v="2025-12-19T00:00:00"/>
    <m/>
    <x v="2"/>
    <n v="3"/>
    <n v="10"/>
    <n v="324000"/>
    <n v="40"/>
    <s v=""/>
    <s v="South"/>
    <x v="4"/>
    <s v="CRM"/>
    <x v="6"/>
    <x v="2"/>
  </r>
  <r>
    <s v="O02443"/>
    <s v="C0192"/>
    <s v="P004"/>
    <s v="R006"/>
    <d v="2025-09-23T00:00:00"/>
    <d v="2025-10-06T00:00:00"/>
    <d v="2025-10-06T00:00:00"/>
    <x v="0"/>
    <n v="1"/>
    <n v="0"/>
    <n v="300000"/>
    <n v="0"/>
    <s v="Competition"/>
    <s v="North"/>
    <x v="5"/>
    <s v="Analytics"/>
    <x v="2"/>
    <x v="0"/>
  </r>
  <r>
    <s v="O02444"/>
    <s v="C0135"/>
    <s v="P006"/>
    <s v="R014"/>
    <d v="2025-01-18T00:00:00"/>
    <d v="2025-04-04T00:00:00"/>
    <m/>
    <x v="2"/>
    <n v="2"/>
    <n v="5"/>
    <n v="684000"/>
    <n v="80"/>
    <s v=""/>
    <s v="West"/>
    <x v="2"/>
    <s v="Security"/>
    <x v="1"/>
    <x v="1"/>
  </r>
  <r>
    <s v="O02445"/>
    <s v="C0467"/>
    <s v="P002"/>
    <s v="R002"/>
    <d v="2025-10-29T00:00:00"/>
    <d v="2026-01-10T00:00:00"/>
    <m/>
    <x v="2"/>
    <n v="1"/>
    <n v="10"/>
    <n v="378000"/>
    <n v="60"/>
    <s v=""/>
    <s v="South"/>
    <x v="0"/>
    <s v="CRM"/>
    <x v="17"/>
    <x v="2"/>
  </r>
  <r>
    <s v="O02446"/>
    <s v="C0058"/>
    <s v="P006"/>
    <s v="R001"/>
    <d v="2025-07-25T00:00:00"/>
    <d v="2025-09-22T00:00:00"/>
    <d v="2025-09-22T00:00:00"/>
    <x v="1"/>
    <n v="1"/>
    <n v="20"/>
    <n v="288000"/>
    <n v="100"/>
    <s v=""/>
    <s v="South"/>
    <x v="2"/>
    <s v="Security"/>
    <x v="6"/>
    <x v="2"/>
  </r>
  <r>
    <s v="O02447"/>
    <s v="C0400"/>
    <s v="P005"/>
    <s v="R016"/>
    <d v="2025-10-13T00:00:00"/>
    <d v="2025-12-03T00:00:00"/>
    <d v="2025-12-03T00:00:00"/>
    <x v="1"/>
    <n v="1"/>
    <n v="20"/>
    <n v="144000"/>
    <n v="100"/>
    <s v=""/>
    <s v="East"/>
    <x v="3"/>
    <s v="Service"/>
    <x v="8"/>
    <x v="3"/>
  </r>
  <r>
    <s v="O02448"/>
    <s v="C0027"/>
    <s v="P006"/>
    <s v="R017"/>
    <d v="2025-05-06T00:00:00"/>
    <d v="2025-05-22T00:00:00"/>
    <d v="2025-05-22T00:00:00"/>
    <x v="0"/>
    <n v="2"/>
    <n v="20"/>
    <n v="576000"/>
    <n v="0"/>
    <s v="No decision"/>
    <s v="East"/>
    <x v="2"/>
    <s v="Security"/>
    <x v="19"/>
    <x v="3"/>
  </r>
  <r>
    <s v="O02449"/>
    <s v="C0242"/>
    <s v="P002"/>
    <s v="R004"/>
    <d v="2025-12-20T00:00:00"/>
    <d v="2026-03-04T00:00:00"/>
    <m/>
    <x v="2"/>
    <n v="3"/>
    <n v="0"/>
    <n v="1260000"/>
    <n v="20"/>
    <s v=""/>
    <s v="South"/>
    <x v="0"/>
    <s v="CRM"/>
    <x v="3"/>
    <x v="2"/>
  </r>
  <r>
    <s v="O02450"/>
    <s v="C0343"/>
    <s v="P002"/>
    <s v="R014"/>
    <d v="2025-11-09T00:00:00"/>
    <d v="2026-02-01T00:00:00"/>
    <m/>
    <x v="2"/>
    <n v="3"/>
    <n v="10"/>
    <n v="1134000"/>
    <n v="40"/>
    <s v=""/>
    <s v="West"/>
    <x v="0"/>
    <s v="CRM"/>
    <x v="1"/>
    <x v="1"/>
  </r>
  <r>
    <s v="O02451"/>
    <s v="C0331"/>
    <s v="P005"/>
    <s v="R001"/>
    <d v="2025-05-21T00:00:00"/>
    <d v="2025-07-11T00:00:00"/>
    <d v="2025-07-11T00:00:00"/>
    <x v="0"/>
    <n v="1"/>
    <n v="20"/>
    <n v="144000"/>
    <n v="0"/>
    <s v="Competition"/>
    <s v="South"/>
    <x v="3"/>
    <s v="Service"/>
    <x v="6"/>
    <x v="2"/>
  </r>
  <r>
    <s v="O02452"/>
    <s v="C0044"/>
    <s v="P003"/>
    <s v="R019"/>
    <d v="2025-12-11T00:00:00"/>
    <d v="2026-01-07T00:00:00"/>
    <m/>
    <x v="2"/>
    <n v="1"/>
    <n v="0"/>
    <n v="240000"/>
    <n v="80"/>
    <s v=""/>
    <s v="East"/>
    <x v="1"/>
    <s v="Automation"/>
    <x v="10"/>
    <x v="3"/>
  </r>
  <r>
    <s v="O02453"/>
    <s v="C0151"/>
    <s v="P004"/>
    <s v="R011"/>
    <d v="2025-03-23T00:00:00"/>
    <d v="2025-06-09T00:00:00"/>
    <d v="2025-06-09T00:00:00"/>
    <x v="1"/>
    <n v="1"/>
    <n v="15"/>
    <n v="255000"/>
    <n v="100"/>
    <s v=""/>
    <s v="West"/>
    <x v="5"/>
    <s v="Analytics"/>
    <x v="12"/>
    <x v="1"/>
  </r>
  <r>
    <s v="O02454"/>
    <s v="C0360"/>
    <s v="P001"/>
    <s v="R004"/>
    <d v="2025-04-24T00:00:00"/>
    <d v="2025-05-17T00:00:00"/>
    <m/>
    <x v="2"/>
    <n v="2"/>
    <n v="15"/>
    <n v="204000"/>
    <n v="80"/>
    <s v=""/>
    <s v="South"/>
    <x v="4"/>
    <s v="CRM"/>
    <x v="3"/>
    <x v="2"/>
  </r>
  <r>
    <s v="O02455"/>
    <s v="C0034"/>
    <s v="P006"/>
    <s v="R017"/>
    <d v="2025-07-28T00:00:00"/>
    <d v="2025-10-17T00:00:00"/>
    <d v="2025-10-17T00:00:00"/>
    <x v="0"/>
    <n v="1"/>
    <n v="15"/>
    <n v="306000"/>
    <n v="0"/>
    <s v="No decision"/>
    <s v="East"/>
    <x v="2"/>
    <s v="Security"/>
    <x v="19"/>
    <x v="3"/>
  </r>
  <r>
    <s v="O02456"/>
    <s v="C0380"/>
    <s v="P003"/>
    <s v="R019"/>
    <d v="2025-02-13T00:00:00"/>
    <d v="2025-04-25T00:00:00"/>
    <m/>
    <x v="2"/>
    <n v="1"/>
    <n v="10"/>
    <n v="216000"/>
    <n v="40"/>
    <s v=""/>
    <s v="East"/>
    <x v="1"/>
    <s v="Automation"/>
    <x v="10"/>
    <x v="3"/>
  </r>
  <r>
    <s v="O02457"/>
    <s v="C0212"/>
    <s v="P001"/>
    <s v="R020"/>
    <d v="2025-12-15T00:00:00"/>
    <d v="2026-02-25T00:00:00"/>
    <m/>
    <x v="2"/>
    <n v="1"/>
    <n v="15"/>
    <n v="102000"/>
    <n v="60"/>
    <s v=""/>
    <s v="East"/>
    <x v="4"/>
    <s v="CRM"/>
    <x v="9"/>
    <x v="3"/>
  </r>
  <r>
    <s v="O02458"/>
    <s v="C0180"/>
    <s v="P004"/>
    <s v="R014"/>
    <d v="2025-11-24T00:00:00"/>
    <d v="2025-12-16T00:00:00"/>
    <d v="2025-12-16T00:00:00"/>
    <x v="1"/>
    <n v="2"/>
    <n v="20"/>
    <n v="480000"/>
    <n v="100"/>
    <s v=""/>
    <s v="West"/>
    <x v="5"/>
    <s v="Analytics"/>
    <x v="1"/>
    <x v="1"/>
  </r>
  <r>
    <s v="O02459"/>
    <s v="C0302"/>
    <s v="P003"/>
    <s v="R001"/>
    <d v="2025-04-25T00:00:00"/>
    <d v="2025-07-06T00:00:00"/>
    <m/>
    <x v="2"/>
    <n v="1"/>
    <n v="10"/>
    <n v="216000"/>
    <n v="40"/>
    <s v=""/>
    <s v="South"/>
    <x v="1"/>
    <s v="Automation"/>
    <x v="6"/>
    <x v="2"/>
  </r>
  <r>
    <s v="O02460"/>
    <s v="C0212"/>
    <s v="P001"/>
    <s v="R020"/>
    <d v="2025-10-31T00:00:00"/>
    <d v="2025-11-07T00:00:00"/>
    <d v="2025-11-07T00:00:00"/>
    <x v="0"/>
    <n v="2"/>
    <n v="20"/>
    <n v="192000"/>
    <n v="0"/>
    <s v="Feature gap"/>
    <s v="East"/>
    <x v="4"/>
    <s v="CRM"/>
    <x v="9"/>
    <x v="3"/>
  </r>
  <r>
    <s v="O02461"/>
    <s v="C0149"/>
    <s v="P002"/>
    <s v="R013"/>
    <d v="2025-01-22T00:00:00"/>
    <d v="2025-03-21T00:00:00"/>
    <d v="2025-03-21T00:00:00"/>
    <x v="1"/>
    <n v="1"/>
    <n v="15"/>
    <n v="357000"/>
    <n v="100"/>
    <s v=""/>
    <s v="West"/>
    <x v="0"/>
    <s v="CRM"/>
    <x v="5"/>
    <x v="1"/>
  </r>
  <r>
    <s v="O02462"/>
    <s v="C0465"/>
    <s v="P006"/>
    <s v="R004"/>
    <d v="2025-12-09T00:00:00"/>
    <d v="2025-12-16T00:00:00"/>
    <d v="2025-12-16T00:00:00"/>
    <x v="0"/>
    <n v="1"/>
    <n v="15"/>
    <n v="306000"/>
    <n v="0"/>
    <s v="Budget"/>
    <s v="South"/>
    <x v="2"/>
    <s v="Security"/>
    <x v="3"/>
    <x v="2"/>
  </r>
  <r>
    <s v="O02463"/>
    <s v="C0209"/>
    <s v="P006"/>
    <s v="R011"/>
    <d v="2025-12-04T00:00:00"/>
    <d v="2025-12-21T00:00:00"/>
    <d v="2025-12-21T00:00:00"/>
    <x v="1"/>
    <n v="2"/>
    <n v="15"/>
    <n v="612000"/>
    <n v="100"/>
    <s v=""/>
    <s v="West"/>
    <x v="2"/>
    <s v="Security"/>
    <x v="12"/>
    <x v="1"/>
  </r>
  <r>
    <s v="O02464"/>
    <s v="C0238"/>
    <s v="P006"/>
    <s v="R020"/>
    <d v="2025-02-16T00:00:00"/>
    <d v="2025-04-01T00:00:00"/>
    <d v="2025-04-01T00:00:00"/>
    <x v="0"/>
    <n v="1"/>
    <n v="5"/>
    <n v="342000"/>
    <n v="0"/>
    <s v="Feature gap"/>
    <s v="East"/>
    <x v="2"/>
    <s v="Security"/>
    <x v="9"/>
    <x v="3"/>
  </r>
  <r>
    <s v="O02465"/>
    <s v="C0100"/>
    <s v="P002"/>
    <s v="R005"/>
    <d v="2025-10-07T00:00:00"/>
    <d v="2025-11-22T00:00:00"/>
    <d v="2025-11-22T00:00:00"/>
    <x v="1"/>
    <n v="3"/>
    <n v="20"/>
    <n v="1008000"/>
    <n v="100"/>
    <s v=""/>
    <s v="South"/>
    <x v="0"/>
    <s v="CRM"/>
    <x v="11"/>
    <x v="2"/>
  </r>
  <r>
    <s v="O02466"/>
    <s v="C0011"/>
    <s v="P002"/>
    <s v="R019"/>
    <d v="2025-04-25T00:00:00"/>
    <d v="2025-07-08T00:00:00"/>
    <m/>
    <x v="2"/>
    <n v="2"/>
    <n v="10"/>
    <n v="756000"/>
    <n v="60"/>
    <s v=""/>
    <s v="East"/>
    <x v="0"/>
    <s v="CRM"/>
    <x v="10"/>
    <x v="3"/>
  </r>
  <r>
    <s v="O02467"/>
    <s v="C0314"/>
    <s v="P001"/>
    <s v="R002"/>
    <d v="2025-03-22T00:00:00"/>
    <d v="2025-06-14T00:00:00"/>
    <d v="2025-06-14T00:00:00"/>
    <x v="0"/>
    <n v="1"/>
    <n v="0"/>
    <n v="120000"/>
    <n v="0"/>
    <s v="Budget"/>
    <s v="South"/>
    <x v="4"/>
    <s v="CRM"/>
    <x v="17"/>
    <x v="2"/>
  </r>
  <r>
    <s v="O02468"/>
    <s v="C0311"/>
    <s v="P005"/>
    <s v="R015"/>
    <d v="2025-01-16T00:00:00"/>
    <d v="2025-03-24T00:00:00"/>
    <m/>
    <x v="2"/>
    <n v="1"/>
    <n v="10"/>
    <n v="162000"/>
    <n v="80"/>
    <s v=""/>
    <s v="West"/>
    <x v="3"/>
    <s v="Service"/>
    <x v="7"/>
    <x v="1"/>
  </r>
  <r>
    <s v="O02469"/>
    <s v="C0349"/>
    <s v="P003"/>
    <s v="R001"/>
    <d v="2025-01-27T00:00:00"/>
    <d v="2025-03-05T00:00:00"/>
    <d v="2025-03-05T00:00:00"/>
    <x v="1"/>
    <n v="2"/>
    <n v="15"/>
    <n v="408000"/>
    <n v="100"/>
    <s v=""/>
    <s v="South"/>
    <x v="1"/>
    <s v="Automation"/>
    <x v="6"/>
    <x v="2"/>
  </r>
  <r>
    <s v="O02470"/>
    <s v="C0240"/>
    <s v="P001"/>
    <s v="R020"/>
    <d v="2025-08-04T00:00:00"/>
    <d v="2025-09-22T00:00:00"/>
    <d v="2025-09-22T00:00:00"/>
    <x v="0"/>
    <n v="2"/>
    <n v="20"/>
    <n v="192000"/>
    <n v="0"/>
    <s v="Competition"/>
    <s v="East"/>
    <x v="4"/>
    <s v="CRM"/>
    <x v="9"/>
    <x v="3"/>
  </r>
  <r>
    <s v="O02471"/>
    <s v="C0276"/>
    <s v="P006"/>
    <s v="R015"/>
    <d v="2025-12-19T00:00:00"/>
    <d v="2026-02-02T00:00:00"/>
    <m/>
    <x v="2"/>
    <n v="1"/>
    <n v="20"/>
    <n v="288000"/>
    <n v="40"/>
    <s v=""/>
    <s v="West"/>
    <x v="2"/>
    <s v="Security"/>
    <x v="7"/>
    <x v="1"/>
  </r>
  <r>
    <s v="O02472"/>
    <s v="C0310"/>
    <s v="P005"/>
    <s v="R004"/>
    <d v="2025-11-05T00:00:00"/>
    <d v="2026-01-17T00:00:00"/>
    <m/>
    <x v="2"/>
    <n v="2"/>
    <n v="20"/>
    <n v="288000"/>
    <n v="80"/>
    <s v=""/>
    <s v="South"/>
    <x v="3"/>
    <s v="Service"/>
    <x v="3"/>
    <x v="2"/>
  </r>
  <r>
    <s v="O02473"/>
    <s v="C0020"/>
    <s v="P006"/>
    <s v="R010"/>
    <d v="2025-05-27T00:00:00"/>
    <d v="2025-07-09T00:00:00"/>
    <d v="2025-07-09T00:00:00"/>
    <x v="0"/>
    <n v="1"/>
    <n v="10"/>
    <n v="324000"/>
    <n v="0"/>
    <s v="Budget"/>
    <s v="North"/>
    <x v="2"/>
    <s v="Security"/>
    <x v="16"/>
    <x v="0"/>
  </r>
  <r>
    <s v="O02474"/>
    <s v="C0078"/>
    <s v="P004"/>
    <s v="R005"/>
    <d v="2025-07-30T00:00:00"/>
    <d v="2025-10-22T00:00:00"/>
    <d v="2025-10-22T00:00:00"/>
    <x v="1"/>
    <n v="1"/>
    <n v="10"/>
    <n v="270000"/>
    <n v="100"/>
    <s v=""/>
    <s v="South"/>
    <x v="5"/>
    <s v="Analytics"/>
    <x v="11"/>
    <x v="2"/>
  </r>
  <r>
    <s v="O02475"/>
    <s v="C0313"/>
    <s v="P001"/>
    <s v="R003"/>
    <d v="2025-07-15T00:00:00"/>
    <d v="2025-08-21T00:00:00"/>
    <m/>
    <x v="2"/>
    <n v="2"/>
    <n v="20"/>
    <n v="192000"/>
    <n v="40"/>
    <s v=""/>
    <s v="South"/>
    <x v="4"/>
    <s v="CRM"/>
    <x v="15"/>
    <x v="2"/>
  </r>
  <r>
    <s v="O02476"/>
    <s v="C0353"/>
    <s v="P001"/>
    <s v="R011"/>
    <d v="2025-10-14T00:00:00"/>
    <d v="2025-12-07T00:00:00"/>
    <d v="2025-12-07T00:00:00"/>
    <x v="0"/>
    <n v="3"/>
    <n v="15"/>
    <n v="306000"/>
    <n v="0"/>
    <s v="No decision"/>
    <s v="West"/>
    <x v="4"/>
    <s v="CRM"/>
    <x v="12"/>
    <x v="1"/>
  </r>
  <r>
    <s v="O02477"/>
    <s v="C0295"/>
    <s v="P006"/>
    <s v="R015"/>
    <d v="2025-04-21T00:00:00"/>
    <d v="2025-07-13T00:00:00"/>
    <m/>
    <x v="2"/>
    <n v="1"/>
    <n v="10"/>
    <n v="324000"/>
    <n v="80"/>
    <s v=""/>
    <s v="West"/>
    <x v="2"/>
    <s v="Security"/>
    <x v="7"/>
    <x v="1"/>
  </r>
  <r>
    <s v="O02478"/>
    <s v="C0375"/>
    <s v="P004"/>
    <s v="R010"/>
    <d v="2025-07-30T00:00:00"/>
    <d v="2025-09-04T00:00:00"/>
    <d v="2025-09-04T00:00:00"/>
    <x v="1"/>
    <n v="1"/>
    <n v="20"/>
    <n v="240000"/>
    <n v="100"/>
    <s v=""/>
    <s v="North"/>
    <x v="5"/>
    <s v="Analytics"/>
    <x v="16"/>
    <x v="0"/>
  </r>
  <r>
    <s v="O02479"/>
    <s v="C0351"/>
    <s v="P005"/>
    <s v="R015"/>
    <d v="2025-08-04T00:00:00"/>
    <d v="2025-10-28T00:00:00"/>
    <d v="2025-10-28T00:00:00"/>
    <x v="1"/>
    <n v="1"/>
    <n v="15"/>
    <n v="153000"/>
    <n v="100"/>
    <s v=""/>
    <s v="West"/>
    <x v="3"/>
    <s v="Service"/>
    <x v="7"/>
    <x v="1"/>
  </r>
  <r>
    <s v="O02480"/>
    <s v="C0495"/>
    <s v="P005"/>
    <s v="R018"/>
    <d v="2025-05-28T00:00:00"/>
    <d v="2025-06-17T00:00:00"/>
    <d v="2025-06-17T00:00:00"/>
    <x v="1"/>
    <n v="2"/>
    <n v="15"/>
    <n v="306000"/>
    <n v="100"/>
    <s v=""/>
    <s v="East"/>
    <x v="3"/>
    <s v="Service"/>
    <x v="18"/>
    <x v="3"/>
  </r>
  <r>
    <s v="O02481"/>
    <s v="C0128"/>
    <s v="P003"/>
    <s v="R005"/>
    <d v="2025-03-25T00:00:00"/>
    <d v="2025-04-04T00:00:00"/>
    <d v="2025-04-04T00:00:00"/>
    <x v="0"/>
    <n v="3"/>
    <n v="5"/>
    <n v="684000"/>
    <n v="0"/>
    <s v="Budget"/>
    <s v="South"/>
    <x v="1"/>
    <s v="Automation"/>
    <x v="11"/>
    <x v="2"/>
  </r>
  <r>
    <s v="O02482"/>
    <s v="C0215"/>
    <s v="P005"/>
    <s v="R001"/>
    <d v="2025-01-20T00:00:00"/>
    <d v="2025-04-13T00:00:00"/>
    <m/>
    <x v="2"/>
    <n v="1"/>
    <n v="5"/>
    <n v="171000"/>
    <n v="40"/>
    <s v=""/>
    <s v="South"/>
    <x v="3"/>
    <s v="Service"/>
    <x v="6"/>
    <x v="2"/>
  </r>
  <r>
    <s v="O02483"/>
    <s v="C0476"/>
    <s v="P003"/>
    <s v="R004"/>
    <d v="2025-06-17T00:00:00"/>
    <d v="2025-07-28T00:00:00"/>
    <d v="2025-07-28T00:00:00"/>
    <x v="0"/>
    <n v="1"/>
    <n v="15"/>
    <n v="204000"/>
    <n v="0"/>
    <s v="Feature gap"/>
    <s v="South"/>
    <x v="1"/>
    <s v="Automation"/>
    <x v="3"/>
    <x v="2"/>
  </r>
  <r>
    <s v="O02484"/>
    <s v="C0011"/>
    <s v="P001"/>
    <s v="R020"/>
    <d v="2025-05-18T00:00:00"/>
    <d v="2025-07-05T00:00:00"/>
    <d v="2025-07-05T00:00:00"/>
    <x v="1"/>
    <n v="2"/>
    <n v="15"/>
    <n v="204000"/>
    <n v="100"/>
    <s v=""/>
    <s v="East"/>
    <x v="4"/>
    <s v="CRM"/>
    <x v="9"/>
    <x v="3"/>
  </r>
  <r>
    <s v="O02485"/>
    <s v="C0375"/>
    <s v="P004"/>
    <s v="R008"/>
    <d v="2025-02-03T00:00:00"/>
    <d v="2025-02-19T00:00:00"/>
    <d v="2025-02-19T00:00:00"/>
    <x v="1"/>
    <n v="3"/>
    <n v="10"/>
    <n v="810000"/>
    <n v="100"/>
    <s v=""/>
    <s v="North"/>
    <x v="5"/>
    <s v="Analytics"/>
    <x v="0"/>
    <x v="0"/>
  </r>
  <r>
    <s v="O02486"/>
    <s v="C0383"/>
    <s v="P001"/>
    <s v="R012"/>
    <d v="2025-12-04T00:00:00"/>
    <d v="2026-01-08T00:00:00"/>
    <m/>
    <x v="2"/>
    <n v="3"/>
    <n v="10"/>
    <n v="324000"/>
    <n v="80"/>
    <s v=""/>
    <s v="West"/>
    <x v="4"/>
    <s v="CRM"/>
    <x v="14"/>
    <x v="1"/>
  </r>
  <r>
    <s v="O02487"/>
    <s v="C0059"/>
    <s v="P003"/>
    <s v="R017"/>
    <d v="2025-06-20T00:00:00"/>
    <d v="2025-08-09T00:00:00"/>
    <m/>
    <x v="2"/>
    <n v="1"/>
    <n v="5"/>
    <n v="228000"/>
    <n v="60"/>
    <s v=""/>
    <s v="East"/>
    <x v="1"/>
    <s v="Automation"/>
    <x v="19"/>
    <x v="3"/>
  </r>
  <r>
    <s v="O02488"/>
    <s v="C0434"/>
    <s v="P001"/>
    <s v="R007"/>
    <d v="2025-05-12T00:00:00"/>
    <d v="2025-07-17T00:00:00"/>
    <m/>
    <x v="2"/>
    <n v="1"/>
    <n v="20"/>
    <n v="96000"/>
    <n v="20"/>
    <s v=""/>
    <s v="North"/>
    <x v="4"/>
    <s v="CRM"/>
    <x v="13"/>
    <x v="0"/>
  </r>
  <r>
    <s v="O02489"/>
    <s v="C0068"/>
    <s v="P001"/>
    <s v="R004"/>
    <d v="2025-11-12T00:00:00"/>
    <d v="2026-01-13T00:00:00"/>
    <m/>
    <x v="2"/>
    <n v="1"/>
    <n v="0"/>
    <n v="120000"/>
    <n v="60"/>
    <s v=""/>
    <s v="South"/>
    <x v="4"/>
    <s v="CRM"/>
    <x v="3"/>
    <x v="2"/>
  </r>
  <r>
    <s v="O02490"/>
    <s v="C0401"/>
    <s v="P003"/>
    <s v="R018"/>
    <d v="2025-03-07T00:00:00"/>
    <d v="2025-04-24T00:00:00"/>
    <d v="2025-04-24T00:00:00"/>
    <x v="0"/>
    <n v="1"/>
    <n v="0"/>
    <n v="240000"/>
    <n v="0"/>
    <s v="Feature gap"/>
    <s v="East"/>
    <x v="1"/>
    <s v="Automation"/>
    <x v="18"/>
    <x v="3"/>
  </r>
  <r>
    <s v="O02491"/>
    <s v="C0125"/>
    <s v="P001"/>
    <s v="R003"/>
    <d v="2025-12-17T00:00:00"/>
    <d v="2025-12-27T00:00:00"/>
    <d v="2025-12-27T00:00:00"/>
    <x v="1"/>
    <n v="1"/>
    <n v="5"/>
    <n v="114000"/>
    <n v="100"/>
    <s v=""/>
    <s v="South"/>
    <x v="4"/>
    <s v="CRM"/>
    <x v="15"/>
    <x v="2"/>
  </r>
  <r>
    <s v="O02492"/>
    <s v="C0189"/>
    <s v="P006"/>
    <s v="R013"/>
    <d v="2025-07-15T00:00:00"/>
    <d v="2025-09-24T00:00:00"/>
    <m/>
    <x v="2"/>
    <n v="1"/>
    <n v="20"/>
    <n v="288000"/>
    <n v="80"/>
    <s v=""/>
    <s v="West"/>
    <x v="2"/>
    <s v="Security"/>
    <x v="5"/>
    <x v="1"/>
  </r>
  <r>
    <s v="O02493"/>
    <s v="C0396"/>
    <s v="P003"/>
    <s v="R007"/>
    <d v="2025-02-06T00:00:00"/>
    <d v="2025-03-29T00:00:00"/>
    <d v="2025-03-29T00:00:00"/>
    <x v="1"/>
    <n v="1"/>
    <n v="20"/>
    <n v="192000"/>
    <n v="100"/>
    <s v=""/>
    <s v="North"/>
    <x v="1"/>
    <s v="Automation"/>
    <x v="13"/>
    <x v="0"/>
  </r>
  <r>
    <s v="O02494"/>
    <s v="C0229"/>
    <s v="P005"/>
    <s v="R002"/>
    <d v="2025-01-07T00:00:00"/>
    <d v="2025-01-23T00:00:00"/>
    <d v="2025-01-23T00:00:00"/>
    <x v="0"/>
    <n v="3"/>
    <n v="20"/>
    <n v="432000"/>
    <n v="0"/>
    <s v="Budget"/>
    <s v="South"/>
    <x v="3"/>
    <s v="Service"/>
    <x v="17"/>
    <x v="2"/>
  </r>
  <r>
    <s v="O02495"/>
    <s v="C0459"/>
    <s v="P002"/>
    <s v="R012"/>
    <d v="2025-08-18T00:00:00"/>
    <d v="2025-11-01T00:00:00"/>
    <d v="2025-11-01T00:00:00"/>
    <x v="1"/>
    <n v="3"/>
    <n v="15"/>
    <n v="1071000"/>
    <n v="100"/>
    <s v=""/>
    <s v="West"/>
    <x v="0"/>
    <s v="CRM"/>
    <x v="14"/>
    <x v="1"/>
  </r>
  <r>
    <s v="O02496"/>
    <s v="C0467"/>
    <s v="P001"/>
    <s v="R004"/>
    <d v="2025-05-28T00:00:00"/>
    <d v="2025-06-06T00:00:00"/>
    <d v="2025-06-06T00:00:00"/>
    <x v="1"/>
    <n v="2"/>
    <n v="10"/>
    <n v="216000"/>
    <n v="100"/>
    <s v=""/>
    <s v="South"/>
    <x v="4"/>
    <s v="CRM"/>
    <x v="3"/>
    <x v="2"/>
  </r>
  <r>
    <s v="O02497"/>
    <s v="C0042"/>
    <s v="P005"/>
    <s v="R010"/>
    <d v="2025-12-11T00:00:00"/>
    <d v="2025-12-26T00:00:00"/>
    <d v="2025-12-26T00:00:00"/>
    <x v="1"/>
    <n v="1"/>
    <n v="0"/>
    <n v="180000"/>
    <n v="100"/>
    <s v=""/>
    <s v="North"/>
    <x v="3"/>
    <s v="Service"/>
    <x v="16"/>
    <x v="0"/>
  </r>
  <r>
    <s v="O02498"/>
    <s v="C0034"/>
    <s v="P001"/>
    <s v="R019"/>
    <d v="2025-12-22T00:00:00"/>
    <d v="2026-02-11T00:00:00"/>
    <m/>
    <x v="2"/>
    <n v="1"/>
    <n v="15"/>
    <n v="102000"/>
    <n v="60"/>
    <s v=""/>
    <s v="East"/>
    <x v="4"/>
    <s v="CRM"/>
    <x v="10"/>
    <x v="3"/>
  </r>
  <r>
    <s v="O02499"/>
    <s v="C0444"/>
    <s v="P005"/>
    <s v="R017"/>
    <d v="2025-04-02T00:00:00"/>
    <d v="2025-04-29T00:00:00"/>
    <d v="2025-04-29T00:00:00"/>
    <x v="1"/>
    <n v="3"/>
    <n v="0"/>
    <n v="540000"/>
    <n v="100"/>
    <s v=""/>
    <s v="East"/>
    <x v="3"/>
    <s v="Service"/>
    <x v="19"/>
    <x v="3"/>
  </r>
  <r>
    <s v="O02500"/>
    <s v="C0285"/>
    <s v="P006"/>
    <s v="R007"/>
    <d v="2025-02-19T00:00:00"/>
    <d v="2025-03-15T00:00:00"/>
    <d v="2025-03-15T00:00:00"/>
    <x v="0"/>
    <n v="1"/>
    <n v="5"/>
    <n v="342000"/>
    <n v="0"/>
    <s v="No decision"/>
    <s v="North"/>
    <x v="2"/>
    <s v="Security"/>
    <x v="13"/>
    <x v="0"/>
  </r>
  <r>
    <s v="O02501"/>
    <s v="C0465"/>
    <s v="P004"/>
    <s v="R005"/>
    <d v="2025-09-30T00:00:00"/>
    <d v="2025-10-28T00:00:00"/>
    <m/>
    <x v="2"/>
    <n v="1"/>
    <n v="10"/>
    <n v="270000"/>
    <n v="20"/>
    <s v=""/>
    <s v="South"/>
    <x v="5"/>
    <s v="Analytics"/>
    <x v="11"/>
    <x v="2"/>
  </r>
  <r>
    <s v="O02502"/>
    <s v="C0258"/>
    <s v="P006"/>
    <s v="R018"/>
    <d v="2025-08-30T00:00:00"/>
    <d v="2025-11-13T00:00:00"/>
    <d v="2025-11-13T00:00:00"/>
    <x v="0"/>
    <n v="1"/>
    <n v="0"/>
    <n v="360000"/>
    <n v="0"/>
    <s v="No decision"/>
    <s v="East"/>
    <x v="2"/>
    <s v="Security"/>
    <x v="18"/>
    <x v="3"/>
  </r>
  <r>
    <s v="O02503"/>
    <s v="C0170"/>
    <s v="P005"/>
    <s v="R013"/>
    <d v="2025-08-21T00:00:00"/>
    <d v="2025-10-24T00:00:00"/>
    <m/>
    <x v="2"/>
    <n v="3"/>
    <n v="0"/>
    <n v="540000"/>
    <n v="40"/>
    <s v=""/>
    <s v="West"/>
    <x v="3"/>
    <s v="Service"/>
    <x v="5"/>
    <x v="1"/>
  </r>
  <r>
    <s v="O02504"/>
    <s v="C0043"/>
    <s v="P001"/>
    <s v="R010"/>
    <d v="2025-11-13T00:00:00"/>
    <d v="2026-02-02T00:00:00"/>
    <m/>
    <x v="2"/>
    <n v="1"/>
    <n v="15"/>
    <n v="102000"/>
    <n v="60"/>
    <s v=""/>
    <s v="North"/>
    <x v="4"/>
    <s v="CRM"/>
    <x v="16"/>
    <x v="0"/>
  </r>
  <r>
    <s v="O02505"/>
    <s v="C0419"/>
    <s v="P005"/>
    <s v="R002"/>
    <d v="2025-01-14T00:00:00"/>
    <d v="2025-01-25T00:00:00"/>
    <m/>
    <x v="2"/>
    <n v="1"/>
    <n v="0"/>
    <n v="180000"/>
    <n v="40"/>
    <s v=""/>
    <s v="South"/>
    <x v="3"/>
    <s v="Service"/>
    <x v="17"/>
    <x v="2"/>
  </r>
  <r>
    <s v="O02506"/>
    <s v="C0175"/>
    <s v="P001"/>
    <s v="R001"/>
    <d v="2025-08-30T00:00:00"/>
    <d v="2025-09-24T00:00:00"/>
    <m/>
    <x v="2"/>
    <n v="1"/>
    <n v="0"/>
    <n v="120000"/>
    <n v="40"/>
    <s v=""/>
    <s v="South"/>
    <x v="4"/>
    <s v="CRM"/>
    <x v="6"/>
    <x v="2"/>
  </r>
  <r>
    <s v="O02507"/>
    <s v="C0471"/>
    <s v="P003"/>
    <s v="R005"/>
    <d v="2025-11-23T00:00:00"/>
    <d v="2025-12-01T00:00:00"/>
    <m/>
    <x v="2"/>
    <n v="3"/>
    <n v="20"/>
    <n v="576000"/>
    <n v="80"/>
    <s v=""/>
    <s v="South"/>
    <x v="1"/>
    <s v="Automation"/>
    <x v="11"/>
    <x v="2"/>
  </r>
  <r>
    <s v="O02508"/>
    <s v="C0156"/>
    <s v="P006"/>
    <s v="R017"/>
    <d v="2025-01-31T00:00:00"/>
    <d v="2025-03-19T00:00:00"/>
    <d v="2025-03-19T00:00:00"/>
    <x v="0"/>
    <n v="2"/>
    <n v="15"/>
    <n v="612000"/>
    <n v="0"/>
    <s v="Price"/>
    <s v="East"/>
    <x v="2"/>
    <s v="Security"/>
    <x v="19"/>
    <x v="3"/>
  </r>
  <r>
    <s v="O02509"/>
    <s v="C0055"/>
    <s v="P001"/>
    <s v="R015"/>
    <d v="2025-09-29T00:00:00"/>
    <d v="2025-12-03T00:00:00"/>
    <m/>
    <x v="2"/>
    <n v="2"/>
    <n v="15"/>
    <n v="204000"/>
    <n v="40"/>
    <s v=""/>
    <s v="West"/>
    <x v="4"/>
    <s v="CRM"/>
    <x v="7"/>
    <x v="1"/>
  </r>
  <r>
    <s v="O02510"/>
    <s v="C0392"/>
    <s v="P001"/>
    <s v="R009"/>
    <d v="2025-10-01T00:00:00"/>
    <d v="2025-12-02T00:00:00"/>
    <d v="2025-12-02T00:00:00"/>
    <x v="0"/>
    <n v="1"/>
    <n v="15"/>
    <n v="102000"/>
    <n v="0"/>
    <s v="Price"/>
    <s v="North"/>
    <x v="4"/>
    <s v="CRM"/>
    <x v="4"/>
    <x v="0"/>
  </r>
  <r>
    <s v="O02511"/>
    <s v="C0239"/>
    <s v="P003"/>
    <s v="R012"/>
    <d v="2025-06-25T00:00:00"/>
    <d v="2025-08-29T00:00:00"/>
    <d v="2025-08-29T00:00:00"/>
    <x v="1"/>
    <n v="2"/>
    <n v="15"/>
    <n v="408000"/>
    <n v="100"/>
    <s v=""/>
    <s v="West"/>
    <x v="1"/>
    <s v="Automation"/>
    <x v="14"/>
    <x v="1"/>
  </r>
  <r>
    <s v="O02512"/>
    <s v="C0136"/>
    <s v="P006"/>
    <s v="R006"/>
    <d v="2025-11-11T00:00:00"/>
    <d v="2025-11-25T00:00:00"/>
    <d v="2025-11-25T00:00:00"/>
    <x v="0"/>
    <n v="2"/>
    <n v="0"/>
    <n v="720000"/>
    <n v="0"/>
    <s v="Price"/>
    <s v="North"/>
    <x v="2"/>
    <s v="Security"/>
    <x v="2"/>
    <x v="0"/>
  </r>
  <r>
    <s v="O02513"/>
    <s v="C0360"/>
    <s v="P001"/>
    <s v="R003"/>
    <d v="2025-11-23T00:00:00"/>
    <d v="2026-02-15T00:00:00"/>
    <m/>
    <x v="2"/>
    <n v="1"/>
    <n v="5"/>
    <n v="114000"/>
    <n v="40"/>
    <s v=""/>
    <s v="South"/>
    <x v="4"/>
    <s v="CRM"/>
    <x v="15"/>
    <x v="2"/>
  </r>
  <r>
    <s v="O02514"/>
    <s v="C0369"/>
    <s v="P006"/>
    <s v="R014"/>
    <d v="2025-07-23T00:00:00"/>
    <d v="2025-08-23T00:00:00"/>
    <d v="2025-08-23T00:00:00"/>
    <x v="1"/>
    <n v="1"/>
    <n v="20"/>
    <n v="288000"/>
    <n v="100"/>
    <s v=""/>
    <s v="West"/>
    <x v="2"/>
    <s v="Security"/>
    <x v="1"/>
    <x v="1"/>
  </r>
  <r>
    <s v="O02515"/>
    <s v="C0032"/>
    <s v="P006"/>
    <s v="R005"/>
    <d v="2025-09-13T00:00:00"/>
    <d v="2025-10-21T00:00:00"/>
    <d v="2025-10-21T00:00:00"/>
    <x v="0"/>
    <n v="1"/>
    <n v="15"/>
    <n v="306000"/>
    <n v="0"/>
    <s v="Budget"/>
    <s v="South"/>
    <x v="2"/>
    <s v="Security"/>
    <x v="11"/>
    <x v="2"/>
  </r>
  <r>
    <s v="O02516"/>
    <s v="C0317"/>
    <s v="P004"/>
    <s v="R013"/>
    <d v="2025-09-13T00:00:00"/>
    <d v="2025-12-06T00:00:00"/>
    <d v="2025-12-06T00:00:00"/>
    <x v="1"/>
    <n v="1"/>
    <n v="5"/>
    <n v="285000"/>
    <n v="100"/>
    <s v=""/>
    <s v="West"/>
    <x v="5"/>
    <s v="Analytics"/>
    <x v="5"/>
    <x v="1"/>
  </r>
  <r>
    <s v="O02517"/>
    <s v="C0435"/>
    <s v="P003"/>
    <s v="R011"/>
    <d v="2025-08-04T00:00:00"/>
    <d v="2025-10-21T00:00:00"/>
    <d v="2025-10-21T00:00:00"/>
    <x v="0"/>
    <n v="3"/>
    <n v="0"/>
    <n v="720000"/>
    <n v="0"/>
    <s v="Budget"/>
    <s v="West"/>
    <x v="1"/>
    <s v="Automation"/>
    <x v="12"/>
    <x v="1"/>
  </r>
  <r>
    <s v="O02518"/>
    <s v="C0050"/>
    <s v="P002"/>
    <s v="R005"/>
    <d v="2025-08-27T00:00:00"/>
    <d v="2025-10-24T00:00:00"/>
    <d v="2025-10-24T00:00:00"/>
    <x v="0"/>
    <n v="1"/>
    <n v="10"/>
    <n v="378000"/>
    <n v="0"/>
    <s v="Budget"/>
    <s v="South"/>
    <x v="0"/>
    <s v="CRM"/>
    <x v="11"/>
    <x v="2"/>
  </r>
  <r>
    <s v="O02519"/>
    <s v="C0218"/>
    <s v="P003"/>
    <s v="R017"/>
    <d v="2025-03-08T00:00:00"/>
    <d v="2025-06-01T00:00:00"/>
    <d v="2025-06-01T00:00:00"/>
    <x v="1"/>
    <n v="2"/>
    <n v="20"/>
    <n v="384000"/>
    <n v="100"/>
    <s v=""/>
    <s v="East"/>
    <x v="1"/>
    <s v="Automation"/>
    <x v="19"/>
    <x v="3"/>
  </r>
  <r>
    <s v="O02520"/>
    <s v="C0037"/>
    <s v="P004"/>
    <s v="R006"/>
    <d v="2025-05-07T00:00:00"/>
    <d v="2025-06-01T00:00:00"/>
    <d v="2025-06-01T00:00:00"/>
    <x v="0"/>
    <n v="3"/>
    <n v="10"/>
    <n v="810000"/>
    <n v="0"/>
    <s v="Budget"/>
    <s v="North"/>
    <x v="5"/>
    <s v="Analytics"/>
    <x v="2"/>
    <x v="0"/>
  </r>
  <r>
    <s v="O02521"/>
    <s v="C0213"/>
    <s v="P004"/>
    <s v="R003"/>
    <d v="2025-10-01T00:00:00"/>
    <d v="2025-11-15T00:00:00"/>
    <d v="2025-11-15T00:00:00"/>
    <x v="0"/>
    <n v="1"/>
    <n v="5"/>
    <n v="285000"/>
    <n v="0"/>
    <s v="Price"/>
    <s v="South"/>
    <x v="5"/>
    <s v="Analytics"/>
    <x v="15"/>
    <x v="2"/>
  </r>
  <r>
    <s v="O02522"/>
    <s v="C0147"/>
    <s v="P005"/>
    <s v="R002"/>
    <d v="2025-11-23T00:00:00"/>
    <d v="2025-12-16T00:00:00"/>
    <m/>
    <x v="2"/>
    <n v="1"/>
    <n v="10"/>
    <n v="162000"/>
    <n v="40"/>
    <s v=""/>
    <s v="South"/>
    <x v="3"/>
    <s v="Service"/>
    <x v="17"/>
    <x v="2"/>
  </r>
  <r>
    <s v="O02523"/>
    <s v="C0218"/>
    <s v="P006"/>
    <s v="R018"/>
    <d v="2025-06-09T00:00:00"/>
    <d v="2025-07-19T00:00:00"/>
    <d v="2025-07-19T00:00:00"/>
    <x v="0"/>
    <n v="1"/>
    <n v="0"/>
    <n v="360000"/>
    <n v="0"/>
    <s v="Price"/>
    <s v="East"/>
    <x v="2"/>
    <s v="Security"/>
    <x v="18"/>
    <x v="3"/>
  </r>
  <r>
    <s v="O02524"/>
    <s v="C0087"/>
    <s v="P005"/>
    <s v="R020"/>
    <d v="2025-11-30T00:00:00"/>
    <d v="2026-01-16T00:00:00"/>
    <m/>
    <x v="2"/>
    <n v="3"/>
    <n v="10"/>
    <n v="486000"/>
    <n v="60"/>
    <s v=""/>
    <s v="East"/>
    <x v="3"/>
    <s v="Service"/>
    <x v="9"/>
    <x v="3"/>
  </r>
  <r>
    <s v="O02525"/>
    <s v="C0454"/>
    <s v="P004"/>
    <s v="R004"/>
    <d v="2025-12-24T00:00:00"/>
    <d v="2026-02-10T00:00:00"/>
    <m/>
    <x v="2"/>
    <n v="2"/>
    <n v="20"/>
    <n v="480000"/>
    <n v="60"/>
    <s v=""/>
    <s v="South"/>
    <x v="5"/>
    <s v="Analytics"/>
    <x v="3"/>
    <x v="2"/>
  </r>
  <r>
    <s v="O02526"/>
    <s v="C0008"/>
    <s v="P005"/>
    <s v="R011"/>
    <d v="2025-12-03T00:00:00"/>
    <d v="2026-02-16T00:00:00"/>
    <m/>
    <x v="2"/>
    <n v="3"/>
    <n v="5"/>
    <n v="513000"/>
    <n v="40"/>
    <s v=""/>
    <s v="West"/>
    <x v="3"/>
    <s v="Service"/>
    <x v="12"/>
    <x v="1"/>
  </r>
  <r>
    <s v="O02527"/>
    <s v="C0317"/>
    <s v="P004"/>
    <s v="R013"/>
    <d v="2025-10-12T00:00:00"/>
    <d v="2025-10-23T00:00:00"/>
    <d v="2025-10-23T00:00:00"/>
    <x v="0"/>
    <n v="1"/>
    <n v="20"/>
    <n v="240000"/>
    <n v="0"/>
    <s v="No decision"/>
    <s v="West"/>
    <x v="5"/>
    <s v="Analytics"/>
    <x v="5"/>
    <x v="1"/>
  </r>
  <r>
    <s v="O02528"/>
    <s v="C0215"/>
    <s v="P002"/>
    <s v="R004"/>
    <d v="2025-01-23T00:00:00"/>
    <d v="2025-04-10T00:00:00"/>
    <m/>
    <x v="2"/>
    <n v="1"/>
    <n v="10"/>
    <n v="378000"/>
    <n v="20"/>
    <s v=""/>
    <s v="South"/>
    <x v="0"/>
    <s v="CRM"/>
    <x v="3"/>
    <x v="2"/>
  </r>
  <r>
    <s v="O02529"/>
    <s v="C0127"/>
    <s v="P001"/>
    <s v="R016"/>
    <d v="2025-06-20T00:00:00"/>
    <d v="2025-08-24T00:00:00"/>
    <m/>
    <x v="2"/>
    <n v="3"/>
    <n v="5"/>
    <n v="342000"/>
    <n v="80"/>
    <s v=""/>
    <s v="East"/>
    <x v="4"/>
    <s v="CRM"/>
    <x v="8"/>
    <x v="3"/>
  </r>
  <r>
    <s v="O02530"/>
    <s v="C0448"/>
    <s v="P006"/>
    <s v="R015"/>
    <d v="2025-08-28T00:00:00"/>
    <d v="2025-10-24T00:00:00"/>
    <d v="2025-10-24T00:00:00"/>
    <x v="0"/>
    <n v="1"/>
    <n v="0"/>
    <n v="360000"/>
    <n v="0"/>
    <s v="Budget"/>
    <s v="West"/>
    <x v="2"/>
    <s v="Security"/>
    <x v="7"/>
    <x v="1"/>
  </r>
  <r>
    <s v="O02531"/>
    <s v="C0002"/>
    <s v="P006"/>
    <s v="R007"/>
    <d v="2025-08-21T00:00:00"/>
    <d v="2025-09-18T00:00:00"/>
    <d v="2025-09-18T00:00:00"/>
    <x v="0"/>
    <n v="3"/>
    <n v="10"/>
    <n v="972000"/>
    <n v="0"/>
    <s v="Feature gap"/>
    <s v="North"/>
    <x v="2"/>
    <s v="Security"/>
    <x v="13"/>
    <x v="0"/>
  </r>
  <r>
    <s v="O02532"/>
    <s v="C0420"/>
    <s v="P005"/>
    <s v="R009"/>
    <d v="2025-11-27T00:00:00"/>
    <d v="2026-02-20T00:00:00"/>
    <m/>
    <x v="2"/>
    <n v="1"/>
    <n v="10"/>
    <n v="162000"/>
    <n v="20"/>
    <s v=""/>
    <s v="North"/>
    <x v="3"/>
    <s v="Service"/>
    <x v="4"/>
    <x v="0"/>
  </r>
  <r>
    <s v="O02533"/>
    <s v="C0259"/>
    <s v="P003"/>
    <s v="R009"/>
    <d v="2025-03-18T00:00:00"/>
    <d v="2025-04-22T00:00:00"/>
    <m/>
    <x v="2"/>
    <n v="1"/>
    <n v="15"/>
    <n v="204000"/>
    <n v="40"/>
    <s v=""/>
    <s v="North"/>
    <x v="1"/>
    <s v="Automation"/>
    <x v="4"/>
    <x v="0"/>
  </r>
  <r>
    <s v="O02534"/>
    <s v="C0492"/>
    <s v="P005"/>
    <s v="R014"/>
    <d v="2025-07-07T00:00:00"/>
    <d v="2025-08-02T00:00:00"/>
    <d v="2025-08-02T00:00:00"/>
    <x v="1"/>
    <n v="3"/>
    <n v="15"/>
    <n v="459000"/>
    <n v="100"/>
    <s v=""/>
    <s v="West"/>
    <x v="3"/>
    <s v="Service"/>
    <x v="1"/>
    <x v="1"/>
  </r>
  <r>
    <s v="O02535"/>
    <s v="C0290"/>
    <s v="P003"/>
    <s v="R007"/>
    <d v="2025-11-30T00:00:00"/>
    <d v="2026-02-04T00:00:00"/>
    <m/>
    <x v="2"/>
    <n v="3"/>
    <n v="20"/>
    <n v="576000"/>
    <n v="20"/>
    <s v=""/>
    <s v="North"/>
    <x v="1"/>
    <s v="Automation"/>
    <x v="13"/>
    <x v="0"/>
  </r>
  <r>
    <s v="O02536"/>
    <s v="C0173"/>
    <s v="P005"/>
    <s v="R013"/>
    <d v="2025-10-02T00:00:00"/>
    <d v="2025-11-12T00:00:00"/>
    <d v="2025-11-12T00:00:00"/>
    <x v="0"/>
    <n v="3"/>
    <n v="10"/>
    <n v="486000"/>
    <n v="0"/>
    <s v="Price"/>
    <s v="West"/>
    <x v="3"/>
    <s v="Service"/>
    <x v="5"/>
    <x v="1"/>
  </r>
  <r>
    <s v="O02537"/>
    <s v="C0337"/>
    <s v="P002"/>
    <s v="R001"/>
    <d v="2025-01-29T00:00:00"/>
    <d v="2025-02-07T00:00:00"/>
    <d v="2025-02-07T00:00:00"/>
    <x v="0"/>
    <n v="1"/>
    <n v="15"/>
    <n v="357000"/>
    <n v="0"/>
    <s v="Price"/>
    <s v="South"/>
    <x v="0"/>
    <s v="CRM"/>
    <x v="6"/>
    <x v="2"/>
  </r>
  <r>
    <s v="O02538"/>
    <s v="C0013"/>
    <s v="P006"/>
    <s v="R015"/>
    <d v="2025-05-18T00:00:00"/>
    <d v="2025-08-09T00:00:00"/>
    <d v="2025-08-09T00:00:00"/>
    <x v="0"/>
    <n v="1"/>
    <n v="0"/>
    <n v="360000"/>
    <n v="0"/>
    <s v="Budget"/>
    <s v="West"/>
    <x v="2"/>
    <s v="Security"/>
    <x v="7"/>
    <x v="1"/>
  </r>
  <r>
    <s v="O02539"/>
    <s v="C0096"/>
    <s v="P003"/>
    <s v="R020"/>
    <d v="2025-11-27T00:00:00"/>
    <d v="2026-01-09T00:00:00"/>
    <m/>
    <x v="2"/>
    <n v="2"/>
    <n v="0"/>
    <n v="480000"/>
    <n v="20"/>
    <s v=""/>
    <s v="East"/>
    <x v="1"/>
    <s v="Automation"/>
    <x v="9"/>
    <x v="3"/>
  </r>
  <r>
    <s v="O02540"/>
    <s v="C0356"/>
    <s v="P003"/>
    <s v="R019"/>
    <d v="2025-01-26T00:00:00"/>
    <d v="2025-03-20T00:00:00"/>
    <d v="2025-03-20T00:00:00"/>
    <x v="0"/>
    <n v="2"/>
    <n v="15"/>
    <n v="408000"/>
    <n v="0"/>
    <s v="Budget"/>
    <s v="East"/>
    <x v="1"/>
    <s v="Automation"/>
    <x v="10"/>
    <x v="3"/>
  </r>
  <r>
    <s v="O02541"/>
    <s v="C0016"/>
    <s v="P005"/>
    <s v="R011"/>
    <d v="2025-12-12T00:00:00"/>
    <d v="2026-02-10T00:00:00"/>
    <m/>
    <x v="2"/>
    <n v="1"/>
    <n v="10"/>
    <n v="162000"/>
    <n v="80"/>
    <s v=""/>
    <s v="West"/>
    <x v="3"/>
    <s v="Service"/>
    <x v="12"/>
    <x v="1"/>
  </r>
  <r>
    <s v="O02542"/>
    <s v="C0245"/>
    <s v="P003"/>
    <s v="R014"/>
    <d v="2025-05-08T00:00:00"/>
    <d v="2025-07-09T00:00:00"/>
    <d v="2025-07-09T00:00:00"/>
    <x v="1"/>
    <n v="3"/>
    <n v="5"/>
    <n v="684000"/>
    <n v="100"/>
    <s v=""/>
    <s v="West"/>
    <x v="1"/>
    <s v="Automation"/>
    <x v="1"/>
    <x v="1"/>
  </r>
  <r>
    <s v="O02543"/>
    <s v="C0185"/>
    <s v="P001"/>
    <s v="R014"/>
    <d v="2025-07-16T00:00:00"/>
    <d v="2025-09-25T00:00:00"/>
    <d v="2025-09-25T00:00:00"/>
    <x v="1"/>
    <n v="2"/>
    <n v="20"/>
    <n v="192000"/>
    <n v="100"/>
    <s v=""/>
    <s v="West"/>
    <x v="4"/>
    <s v="CRM"/>
    <x v="1"/>
    <x v="1"/>
  </r>
  <r>
    <s v="O02544"/>
    <s v="C0435"/>
    <s v="P002"/>
    <s v="R012"/>
    <d v="2025-05-27T00:00:00"/>
    <d v="2025-08-07T00:00:00"/>
    <d v="2025-08-07T00:00:00"/>
    <x v="0"/>
    <n v="1"/>
    <n v="5"/>
    <n v="399000"/>
    <n v="0"/>
    <s v="Feature gap"/>
    <s v="West"/>
    <x v="0"/>
    <s v="CRM"/>
    <x v="14"/>
    <x v="1"/>
  </r>
  <r>
    <s v="O02545"/>
    <s v="C0392"/>
    <s v="P002"/>
    <s v="R009"/>
    <d v="2025-01-21T00:00:00"/>
    <d v="2025-03-11T00:00:00"/>
    <d v="2025-03-11T00:00:00"/>
    <x v="0"/>
    <n v="1"/>
    <n v="0"/>
    <n v="420000"/>
    <n v="0"/>
    <s v="Feature gap"/>
    <s v="North"/>
    <x v="0"/>
    <s v="CRM"/>
    <x v="4"/>
    <x v="0"/>
  </r>
  <r>
    <s v="O02546"/>
    <s v="C0269"/>
    <s v="P001"/>
    <s v="R017"/>
    <d v="2025-05-07T00:00:00"/>
    <d v="2025-06-02T00:00:00"/>
    <m/>
    <x v="2"/>
    <n v="1"/>
    <n v="0"/>
    <n v="120000"/>
    <n v="80"/>
    <s v=""/>
    <s v="East"/>
    <x v="4"/>
    <s v="CRM"/>
    <x v="19"/>
    <x v="3"/>
  </r>
  <r>
    <s v="O02547"/>
    <s v="C0027"/>
    <s v="P003"/>
    <s v="R020"/>
    <d v="2025-11-16T00:00:00"/>
    <d v="2026-02-06T00:00:00"/>
    <m/>
    <x v="2"/>
    <n v="3"/>
    <n v="10"/>
    <n v="648000"/>
    <n v="40"/>
    <s v=""/>
    <s v="East"/>
    <x v="1"/>
    <s v="Automation"/>
    <x v="9"/>
    <x v="3"/>
  </r>
  <r>
    <s v="O02548"/>
    <s v="C0357"/>
    <s v="P005"/>
    <s v="R020"/>
    <d v="2025-10-26T00:00:00"/>
    <d v="2026-01-05T00:00:00"/>
    <m/>
    <x v="2"/>
    <n v="2"/>
    <n v="0"/>
    <n v="360000"/>
    <n v="80"/>
    <s v=""/>
    <s v="East"/>
    <x v="3"/>
    <s v="Service"/>
    <x v="9"/>
    <x v="3"/>
  </r>
  <r>
    <s v="O02549"/>
    <s v="C0346"/>
    <s v="P001"/>
    <s v="R010"/>
    <d v="2025-05-30T00:00:00"/>
    <d v="2025-07-29T00:00:00"/>
    <d v="2025-07-29T00:00:00"/>
    <x v="1"/>
    <n v="1"/>
    <n v="5"/>
    <n v="114000"/>
    <n v="100"/>
    <s v=""/>
    <s v="North"/>
    <x v="4"/>
    <s v="CRM"/>
    <x v="16"/>
    <x v="0"/>
  </r>
  <r>
    <s v="O02550"/>
    <s v="C0032"/>
    <s v="P002"/>
    <s v="R005"/>
    <d v="2025-06-04T00:00:00"/>
    <d v="2025-07-28T00:00:00"/>
    <m/>
    <x v="2"/>
    <n v="3"/>
    <n v="15"/>
    <n v="1071000"/>
    <n v="80"/>
    <s v=""/>
    <s v="South"/>
    <x v="0"/>
    <s v="CRM"/>
    <x v="11"/>
    <x v="2"/>
  </r>
  <r>
    <s v="O02551"/>
    <s v="C0124"/>
    <s v="P004"/>
    <s v="R002"/>
    <d v="2025-02-25T00:00:00"/>
    <d v="2025-04-03T00:00:00"/>
    <m/>
    <x v="2"/>
    <n v="1"/>
    <n v="20"/>
    <n v="240000"/>
    <n v="60"/>
    <s v=""/>
    <s v="South"/>
    <x v="5"/>
    <s v="Analytics"/>
    <x v="17"/>
    <x v="2"/>
  </r>
  <r>
    <s v="O02552"/>
    <s v="C0368"/>
    <s v="P002"/>
    <s v="R002"/>
    <d v="2025-04-01T00:00:00"/>
    <d v="2025-06-13T00:00:00"/>
    <m/>
    <x v="2"/>
    <n v="1"/>
    <n v="5"/>
    <n v="399000"/>
    <n v="60"/>
    <s v=""/>
    <s v="South"/>
    <x v="0"/>
    <s v="CRM"/>
    <x v="17"/>
    <x v="2"/>
  </r>
  <r>
    <s v="O02553"/>
    <s v="C0306"/>
    <s v="P002"/>
    <s v="R015"/>
    <d v="2025-07-30T00:00:00"/>
    <d v="2025-10-08T00:00:00"/>
    <d v="2025-10-08T00:00:00"/>
    <x v="1"/>
    <n v="1"/>
    <n v="5"/>
    <n v="399000"/>
    <n v="100"/>
    <s v=""/>
    <s v="West"/>
    <x v="0"/>
    <s v="CRM"/>
    <x v="7"/>
    <x v="1"/>
  </r>
  <r>
    <s v="O02554"/>
    <s v="C0381"/>
    <s v="P001"/>
    <s v="R001"/>
    <d v="2025-07-14T00:00:00"/>
    <d v="2025-09-21T00:00:00"/>
    <d v="2025-09-21T00:00:00"/>
    <x v="1"/>
    <n v="2"/>
    <n v="5"/>
    <n v="228000"/>
    <n v="100"/>
    <s v=""/>
    <s v="South"/>
    <x v="4"/>
    <s v="CRM"/>
    <x v="6"/>
    <x v="2"/>
  </r>
  <r>
    <s v="O02555"/>
    <s v="C0038"/>
    <s v="P006"/>
    <s v="R004"/>
    <d v="2025-11-23T00:00:00"/>
    <d v="2026-02-08T00:00:00"/>
    <m/>
    <x v="2"/>
    <n v="2"/>
    <n v="0"/>
    <n v="720000"/>
    <n v="40"/>
    <s v=""/>
    <s v="South"/>
    <x v="2"/>
    <s v="Security"/>
    <x v="3"/>
    <x v="2"/>
  </r>
  <r>
    <s v="O02556"/>
    <s v="C0102"/>
    <s v="P006"/>
    <s v="R014"/>
    <d v="2025-09-17T00:00:00"/>
    <d v="2025-10-27T00:00:00"/>
    <d v="2025-10-27T00:00:00"/>
    <x v="0"/>
    <n v="1"/>
    <n v="20"/>
    <n v="288000"/>
    <n v="0"/>
    <s v="Competition"/>
    <s v="West"/>
    <x v="2"/>
    <s v="Security"/>
    <x v="1"/>
    <x v="1"/>
  </r>
  <r>
    <s v="O02557"/>
    <s v="C0392"/>
    <s v="P004"/>
    <s v="R006"/>
    <d v="2025-03-01T00:00:00"/>
    <d v="2025-05-25T00:00:00"/>
    <m/>
    <x v="2"/>
    <n v="1"/>
    <n v="0"/>
    <n v="300000"/>
    <n v="60"/>
    <s v=""/>
    <s v="North"/>
    <x v="5"/>
    <s v="Analytics"/>
    <x v="2"/>
    <x v="0"/>
  </r>
  <r>
    <s v="O02558"/>
    <s v="C0252"/>
    <s v="P001"/>
    <s v="R003"/>
    <d v="2025-08-03T00:00:00"/>
    <d v="2025-09-07T00:00:00"/>
    <d v="2025-09-07T00:00:00"/>
    <x v="0"/>
    <n v="1"/>
    <n v="10"/>
    <n v="108000"/>
    <n v="0"/>
    <s v="Budget"/>
    <s v="South"/>
    <x v="4"/>
    <s v="CRM"/>
    <x v="15"/>
    <x v="2"/>
  </r>
  <r>
    <s v="O02559"/>
    <s v="C0405"/>
    <s v="P004"/>
    <s v="R005"/>
    <d v="2025-10-14T00:00:00"/>
    <d v="2025-12-04T00:00:00"/>
    <d v="2025-12-04T00:00:00"/>
    <x v="1"/>
    <n v="1"/>
    <n v="15"/>
    <n v="255000"/>
    <n v="100"/>
    <s v=""/>
    <s v="South"/>
    <x v="5"/>
    <s v="Analytics"/>
    <x v="11"/>
    <x v="2"/>
  </r>
  <r>
    <s v="O02560"/>
    <s v="C0296"/>
    <s v="P006"/>
    <s v="R013"/>
    <d v="2025-01-06T00:00:00"/>
    <d v="2025-03-12T00:00:00"/>
    <d v="2025-03-12T00:00:00"/>
    <x v="1"/>
    <n v="1"/>
    <n v="0"/>
    <n v="360000"/>
    <n v="100"/>
    <s v=""/>
    <s v="West"/>
    <x v="2"/>
    <s v="Security"/>
    <x v="5"/>
    <x v="1"/>
  </r>
  <r>
    <s v="O02561"/>
    <s v="C0444"/>
    <s v="P006"/>
    <s v="R017"/>
    <d v="2025-03-25T00:00:00"/>
    <d v="2025-05-08T00:00:00"/>
    <d v="2025-05-08T00:00:00"/>
    <x v="1"/>
    <n v="1"/>
    <n v="0"/>
    <n v="360000"/>
    <n v="100"/>
    <s v=""/>
    <s v="East"/>
    <x v="2"/>
    <s v="Security"/>
    <x v="19"/>
    <x v="3"/>
  </r>
  <r>
    <s v="O02562"/>
    <s v="C0437"/>
    <s v="P005"/>
    <s v="R014"/>
    <d v="2025-02-21T00:00:00"/>
    <d v="2025-03-31T00:00:00"/>
    <d v="2025-03-31T00:00:00"/>
    <x v="0"/>
    <n v="2"/>
    <n v="5"/>
    <n v="342000"/>
    <n v="0"/>
    <s v="Feature gap"/>
    <s v="West"/>
    <x v="3"/>
    <s v="Service"/>
    <x v="1"/>
    <x v="1"/>
  </r>
  <r>
    <s v="O02563"/>
    <s v="C0281"/>
    <s v="P004"/>
    <s v="R016"/>
    <d v="2025-03-10T00:00:00"/>
    <d v="2025-04-13T00:00:00"/>
    <m/>
    <x v="2"/>
    <n v="1"/>
    <n v="20"/>
    <n v="240000"/>
    <n v="80"/>
    <s v=""/>
    <s v="East"/>
    <x v="5"/>
    <s v="Analytics"/>
    <x v="8"/>
    <x v="3"/>
  </r>
  <r>
    <s v="O02564"/>
    <s v="C0153"/>
    <s v="P002"/>
    <s v="R002"/>
    <d v="2025-05-14T00:00:00"/>
    <d v="2025-06-09T00:00:00"/>
    <d v="2025-06-09T00:00:00"/>
    <x v="0"/>
    <n v="1"/>
    <n v="10"/>
    <n v="378000"/>
    <n v="0"/>
    <s v="Price"/>
    <s v="South"/>
    <x v="0"/>
    <s v="CRM"/>
    <x v="17"/>
    <x v="2"/>
  </r>
  <r>
    <s v="O02565"/>
    <s v="C0230"/>
    <s v="P005"/>
    <s v="R005"/>
    <d v="2025-03-29T00:00:00"/>
    <d v="2025-04-25T00:00:00"/>
    <d v="2025-04-25T00:00:00"/>
    <x v="0"/>
    <n v="1"/>
    <n v="5"/>
    <n v="171000"/>
    <n v="0"/>
    <s v="Price"/>
    <s v="South"/>
    <x v="3"/>
    <s v="Service"/>
    <x v="11"/>
    <x v="2"/>
  </r>
  <r>
    <s v="O02566"/>
    <s v="C0095"/>
    <s v="P005"/>
    <s v="R008"/>
    <d v="2025-12-23T00:00:00"/>
    <d v="2026-02-20T00:00:00"/>
    <m/>
    <x v="2"/>
    <n v="2"/>
    <n v="15"/>
    <n v="306000"/>
    <n v="60"/>
    <s v=""/>
    <s v="North"/>
    <x v="3"/>
    <s v="Service"/>
    <x v="0"/>
    <x v="0"/>
  </r>
  <r>
    <s v="O02567"/>
    <s v="C0111"/>
    <s v="P004"/>
    <s v="R011"/>
    <d v="2025-05-21T00:00:00"/>
    <d v="2025-06-21T00:00:00"/>
    <d v="2025-06-21T00:00:00"/>
    <x v="1"/>
    <n v="1"/>
    <n v="15"/>
    <n v="255000"/>
    <n v="100"/>
    <s v=""/>
    <s v="West"/>
    <x v="5"/>
    <s v="Analytics"/>
    <x v="12"/>
    <x v="1"/>
  </r>
  <r>
    <s v="O02568"/>
    <s v="C0249"/>
    <s v="P002"/>
    <s v="R011"/>
    <d v="2025-06-21T00:00:00"/>
    <d v="2025-07-18T00:00:00"/>
    <d v="2025-07-18T00:00:00"/>
    <x v="0"/>
    <n v="2"/>
    <n v="0"/>
    <n v="840000"/>
    <n v="0"/>
    <s v="Competition"/>
    <s v="West"/>
    <x v="0"/>
    <s v="CRM"/>
    <x v="12"/>
    <x v="1"/>
  </r>
  <r>
    <s v="O02569"/>
    <s v="C0380"/>
    <s v="P002"/>
    <s v="R018"/>
    <d v="2025-04-10T00:00:00"/>
    <d v="2025-05-06T00:00:00"/>
    <m/>
    <x v="2"/>
    <n v="1"/>
    <n v="10"/>
    <n v="378000"/>
    <n v="80"/>
    <s v=""/>
    <s v="East"/>
    <x v="0"/>
    <s v="CRM"/>
    <x v="18"/>
    <x v="3"/>
  </r>
  <r>
    <s v="O02570"/>
    <s v="C0370"/>
    <s v="P001"/>
    <s v="R002"/>
    <d v="2025-09-14T00:00:00"/>
    <d v="2025-11-01T00:00:00"/>
    <m/>
    <x v="2"/>
    <n v="1"/>
    <n v="5"/>
    <n v="114000"/>
    <n v="40"/>
    <s v=""/>
    <s v="South"/>
    <x v="4"/>
    <s v="CRM"/>
    <x v="17"/>
    <x v="2"/>
  </r>
  <r>
    <s v="O02571"/>
    <s v="C0352"/>
    <s v="P001"/>
    <s v="R003"/>
    <d v="2025-06-03T00:00:00"/>
    <d v="2025-07-19T00:00:00"/>
    <d v="2025-07-19T00:00:00"/>
    <x v="1"/>
    <n v="1"/>
    <n v="5"/>
    <n v="114000"/>
    <n v="100"/>
    <s v=""/>
    <s v="South"/>
    <x v="4"/>
    <s v="CRM"/>
    <x v="15"/>
    <x v="2"/>
  </r>
  <r>
    <s v="O02572"/>
    <s v="C0295"/>
    <s v="P006"/>
    <s v="R012"/>
    <d v="2025-12-24T00:00:00"/>
    <d v="2026-01-04T00:00:00"/>
    <m/>
    <x v="2"/>
    <n v="1"/>
    <n v="15"/>
    <n v="306000"/>
    <n v="40"/>
    <s v=""/>
    <s v="West"/>
    <x v="2"/>
    <s v="Security"/>
    <x v="14"/>
    <x v="1"/>
  </r>
  <r>
    <s v="O02573"/>
    <s v="C0454"/>
    <s v="P002"/>
    <s v="R002"/>
    <d v="2025-09-25T00:00:00"/>
    <d v="2025-12-15T00:00:00"/>
    <d v="2025-12-15T00:00:00"/>
    <x v="0"/>
    <n v="1"/>
    <n v="20"/>
    <n v="336000"/>
    <n v="0"/>
    <s v="Feature gap"/>
    <s v="South"/>
    <x v="0"/>
    <s v="CRM"/>
    <x v="17"/>
    <x v="2"/>
  </r>
  <r>
    <s v="O02574"/>
    <s v="C0288"/>
    <s v="P004"/>
    <s v="R003"/>
    <d v="2025-10-20T00:00:00"/>
    <d v="2025-12-31T00:00:00"/>
    <d v="2025-12-31T00:00:00"/>
    <x v="1"/>
    <n v="1"/>
    <n v="10"/>
    <n v="270000"/>
    <n v="100"/>
    <s v=""/>
    <s v="South"/>
    <x v="5"/>
    <s v="Analytics"/>
    <x v="15"/>
    <x v="2"/>
  </r>
  <r>
    <s v="O02575"/>
    <s v="C0216"/>
    <s v="P001"/>
    <s v="R020"/>
    <d v="2025-08-12T00:00:00"/>
    <d v="2025-09-26T00:00:00"/>
    <d v="2025-09-26T00:00:00"/>
    <x v="0"/>
    <n v="3"/>
    <n v="10"/>
    <n v="324000"/>
    <n v="0"/>
    <s v="No decision"/>
    <s v="East"/>
    <x v="4"/>
    <s v="CRM"/>
    <x v="9"/>
    <x v="3"/>
  </r>
  <r>
    <s v="O02576"/>
    <s v="C0022"/>
    <s v="P005"/>
    <s v="R009"/>
    <d v="2025-10-20T00:00:00"/>
    <d v="2025-11-13T00:00:00"/>
    <d v="2025-11-13T00:00:00"/>
    <x v="1"/>
    <n v="2"/>
    <n v="0"/>
    <n v="360000"/>
    <n v="100"/>
    <s v=""/>
    <s v="North"/>
    <x v="3"/>
    <s v="Service"/>
    <x v="4"/>
    <x v="0"/>
  </r>
  <r>
    <s v="O02577"/>
    <s v="C0182"/>
    <s v="P006"/>
    <s v="R014"/>
    <d v="2025-04-02T00:00:00"/>
    <d v="2025-04-18T00:00:00"/>
    <d v="2025-04-18T00:00:00"/>
    <x v="0"/>
    <n v="1"/>
    <n v="15"/>
    <n v="306000"/>
    <n v="0"/>
    <s v="No decision"/>
    <s v="West"/>
    <x v="2"/>
    <s v="Security"/>
    <x v="1"/>
    <x v="1"/>
  </r>
  <r>
    <s v="O02578"/>
    <s v="C0421"/>
    <s v="P003"/>
    <s v="R012"/>
    <d v="2025-05-28T00:00:00"/>
    <d v="2025-07-15T00:00:00"/>
    <m/>
    <x v="2"/>
    <n v="1"/>
    <n v="5"/>
    <n v="228000"/>
    <n v="20"/>
    <s v=""/>
    <s v="West"/>
    <x v="1"/>
    <s v="Automation"/>
    <x v="14"/>
    <x v="1"/>
  </r>
  <r>
    <s v="O02579"/>
    <s v="C0037"/>
    <s v="P003"/>
    <s v="R007"/>
    <d v="2025-12-31T00:00:00"/>
    <d v="2026-01-22T00:00:00"/>
    <m/>
    <x v="2"/>
    <n v="1"/>
    <n v="20"/>
    <n v="192000"/>
    <n v="20"/>
    <s v=""/>
    <s v="North"/>
    <x v="1"/>
    <s v="Automation"/>
    <x v="13"/>
    <x v="0"/>
  </r>
  <r>
    <s v="O02580"/>
    <s v="C0187"/>
    <s v="P002"/>
    <s v="R009"/>
    <d v="2025-05-22T00:00:00"/>
    <d v="2025-07-04T00:00:00"/>
    <d v="2025-07-04T00:00:00"/>
    <x v="0"/>
    <n v="2"/>
    <n v="20"/>
    <n v="672000"/>
    <n v="0"/>
    <s v="Price"/>
    <s v="North"/>
    <x v="0"/>
    <s v="CRM"/>
    <x v="4"/>
    <x v="0"/>
  </r>
  <r>
    <s v="O02581"/>
    <s v="C0021"/>
    <s v="P006"/>
    <s v="R006"/>
    <d v="2025-01-19T00:00:00"/>
    <d v="2025-03-04T00:00:00"/>
    <d v="2025-03-04T00:00:00"/>
    <x v="1"/>
    <n v="1"/>
    <n v="20"/>
    <n v="288000"/>
    <n v="100"/>
    <s v=""/>
    <s v="North"/>
    <x v="2"/>
    <s v="Security"/>
    <x v="2"/>
    <x v="0"/>
  </r>
  <r>
    <s v="O02582"/>
    <s v="C0011"/>
    <s v="P001"/>
    <s v="R018"/>
    <d v="2025-05-12T00:00:00"/>
    <d v="2025-05-25T00:00:00"/>
    <d v="2025-05-25T00:00:00"/>
    <x v="0"/>
    <n v="1"/>
    <n v="15"/>
    <n v="102000"/>
    <n v="0"/>
    <s v="Competition"/>
    <s v="East"/>
    <x v="4"/>
    <s v="CRM"/>
    <x v="18"/>
    <x v="3"/>
  </r>
  <r>
    <s v="O02583"/>
    <s v="C0292"/>
    <s v="P005"/>
    <s v="R017"/>
    <d v="2025-01-09T00:00:00"/>
    <d v="2025-03-10T00:00:00"/>
    <d v="2025-03-10T00:00:00"/>
    <x v="0"/>
    <n v="1"/>
    <n v="0"/>
    <n v="180000"/>
    <n v="0"/>
    <s v="Price"/>
    <s v="East"/>
    <x v="3"/>
    <s v="Service"/>
    <x v="19"/>
    <x v="3"/>
  </r>
  <r>
    <s v="O02584"/>
    <s v="C0410"/>
    <s v="P003"/>
    <s v="R018"/>
    <d v="2025-01-05T00:00:00"/>
    <d v="2025-02-27T00:00:00"/>
    <d v="2025-02-27T00:00:00"/>
    <x v="1"/>
    <n v="3"/>
    <n v="20"/>
    <n v="576000"/>
    <n v="100"/>
    <s v=""/>
    <s v="East"/>
    <x v="1"/>
    <s v="Automation"/>
    <x v="18"/>
    <x v="3"/>
  </r>
  <r>
    <s v="O02585"/>
    <s v="C0136"/>
    <s v="P005"/>
    <s v="R007"/>
    <d v="2025-06-26T00:00:00"/>
    <d v="2025-08-14T00:00:00"/>
    <m/>
    <x v="2"/>
    <n v="2"/>
    <n v="0"/>
    <n v="360000"/>
    <n v="60"/>
    <s v=""/>
    <s v="North"/>
    <x v="3"/>
    <s v="Service"/>
    <x v="13"/>
    <x v="0"/>
  </r>
  <r>
    <s v="O02586"/>
    <s v="C0080"/>
    <s v="P001"/>
    <s v="R013"/>
    <d v="2025-04-28T00:00:00"/>
    <d v="2025-05-19T00:00:00"/>
    <d v="2025-05-19T00:00:00"/>
    <x v="0"/>
    <n v="1"/>
    <n v="10"/>
    <n v="108000"/>
    <n v="0"/>
    <s v="Price"/>
    <s v="West"/>
    <x v="4"/>
    <s v="CRM"/>
    <x v="5"/>
    <x v="1"/>
  </r>
  <r>
    <s v="O02587"/>
    <s v="C0107"/>
    <s v="P003"/>
    <s v="R010"/>
    <d v="2025-04-09T00:00:00"/>
    <d v="2025-04-20T00:00:00"/>
    <d v="2025-04-20T00:00:00"/>
    <x v="1"/>
    <n v="2"/>
    <n v="0"/>
    <n v="480000"/>
    <n v="100"/>
    <s v=""/>
    <s v="North"/>
    <x v="1"/>
    <s v="Automation"/>
    <x v="16"/>
    <x v="0"/>
  </r>
  <r>
    <s v="O02588"/>
    <s v="C0103"/>
    <s v="P004"/>
    <s v="R006"/>
    <d v="2025-04-06T00:00:00"/>
    <d v="2025-06-08T00:00:00"/>
    <d v="2025-06-08T00:00:00"/>
    <x v="1"/>
    <n v="1"/>
    <n v="10"/>
    <n v="270000"/>
    <n v="100"/>
    <s v=""/>
    <s v="North"/>
    <x v="5"/>
    <s v="Analytics"/>
    <x v="2"/>
    <x v="0"/>
  </r>
  <r>
    <s v="O02589"/>
    <s v="C0163"/>
    <s v="P002"/>
    <s v="R017"/>
    <d v="2025-07-28T00:00:00"/>
    <d v="2025-08-05T00:00:00"/>
    <d v="2025-08-05T00:00:00"/>
    <x v="1"/>
    <n v="3"/>
    <n v="20"/>
    <n v="1008000"/>
    <n v="100"/>
    <s v=""/>
    <s v="East"/>
    <x v="0"/>
    <s v="CRM"/>
    <x v="19"/>
    <x v="3"/>
  </r>
  <r>
    <s v="O02590"/>
    <s v="C0350"/>
    <s v="P005"/>
    <s v="R006"/>
    <d v="2025-03-26T00:00:00"/>
    <d v="2025-05-29T00:00:00"/>
    <m/>
    <x v="2"/>
    <n v="1"/>
    <n v="20"/>
    <n v="144000"/>
    <n v="40"/>
    <s v=""/>
    <s v="North"/>
    <x v="3"/>
    <s v="Service"/>
    <x v="2"/>
    <x v="0"/>
  </r>
  <r>
    <s v="O02591"/>
    <s v="C0410"/>
    <s v="P003"/>
    <s v="R018"/>
    <d v="2025-11-22T00:00:00"/>
    <d v="2026-01-10T00:00:00"/>
    <m/>
    <x v="2"/>
    <n v="1"/>
    <n v="5"/>
    <n v="228000"/>
    <n v="80"/>
    <s v=""/>
    <s v="East"/>
    <x v="1"/>
    <s v="Automation"/>
    <x v="18"/>
    <x v="3"/>
  </r>
  <r>
    <s v="O02592"/>
    <s v="C0172"/>
    <s v="P001"/>
    <s v="R007"/>
    <d v="2025-10-17T00:00:00"/>
    <d v="2025-11-10T00:00:00"/>
    <d v="2025-11-10T00:00:00"/>
    <x v="0"/>
    <n v="2"/>
    <n v="5"/>
    <n v="228000"/>
    <n v="0"/>
    <s v="Competition"/>
    <s v="North"/>
    <x v="4"/>
    <s v="CRM"/>
    <x v="13"/>
    <x v="0"/>
  </r>
  <r>
    <s v="O02593"/>
    <s v="C0265"/>
    <s v="P002"/>
    <s v="R019"/>
    <d v="2025-08-22T00:00:00"/>
    <d v="2025-09-06T00:00:00"/>
    <d v="2025-09-06T00:00:00"/>
    <x v="0"/>
    <n v="1"/>
    <n v="15"/>
    <n v="357000"/>
    <n v="0"/>
    <s v="Feature gap"/>
    <s v="East"/>
    <x v="0"/>
    <s v="CRM"/>
    <x v="10"/>
    <x v="3"/>
  </r>
  <r>
    <s v="O02594"/>
    <s v="C0391"/>
    <s v="P001"/>
    <s v="R008"/>
    <d v="2025-08-21T00:00:00"/>
    <d v="2025-09-04T00:00:00"/>
    <d v="2025-09-04T00:00:00"/>
    <x v="0"/>
    <n v="3"/>
    <n v="5"/>
    <n v="342000"/>
    <n v="0"/>
    <s v="No decision"/>
    <s v="North"/>
    <x v="4"/>
    <s v="CRM"/>
    <x v="0"/>
    <x v="0"/>
  </r>
  <r>
    <s v="O02595"/>
    <s v="C0330"/>
    <s v="P004"/>
    <s v="R001"/>
    <d v="2025-12-16T00:00:00"/>
    <d v="2026-02-14T00:00:00"/>
    <m/>
    <x v="2"/>
    <n v="3"/>
    <n v="15"/>
    <n v="765000"/>
    <n v="20"/>
    <s v=""/>
    <s v="South"/>
    <x v="5"/>
    <s v="Analytics"/>
    <x v="6"/>
    <x v="2"/>
  </r>
  <r>
    <s v="O02596"/>
    <s v="C0014"/>
    <s v="P006"/>
    <s v="R005"/>
    <d v="2025-04-03T00:00:00"/>
    <d v="2025-06-10T00:00:00"/>
    <d v="2025-06-10T00:00:00"/>
    <x v="0"/>
    <n v="2"/>
    <n v="15"/>
    <n v="612000"/>
    <n v="0"/>
    <s v="No decision"/>
    <s v="South"/>
    <x v="2"/>
    <s v="Security"/>
    <x v="11"/>
    <x v="2"/>
  </r>
  <r>
    <s v="O02597"/>
    <s v="C0305"/>
    <s v="P006"/>
    <s v="R003"/>
    <d v="2025-01-23T00:00:00"/>
    <d v="2025-03-22T00:00:00"/>
    <d v="2025-03-22T00:00:00"/>
    <x v="0"/>
    <n v="2"/>
    <n v="15"/>
    <n v="612000"/>
    <n v="0"/>
    <s v="Budget"/>
    <s v="South"/>
    <x v="2"/>
    <s v="Security"/>
    <x v="15"/>
    <x v="2"/>
  </r>
  <r>
    <s v="O02598"/>
    <s v="C0112"/>
    <s v="P001"/>
    <s v="R009"/>
    <d v="2025-11-17T00:00:00"/>
    <d v="2026-01-09T00:00:00"/>
    <m/>
    <x v="2"/>
    <n v="1"/>
    <n v="20"/>
    <n v="96000"/>
    <n v="20"/>
    <s v=""/>
    <s v="North"/>
    <x v="4"/>
    <s v="CRM"/>
    <x v="4"/>
    <x v="0"/>
  </r>
  <r>
    <s v="O02599"/>
    <s v="C0214"/>
    <s v="P001"/>
    <s v="R004"/>
    <d v="2025-01-25T00:00:00"/>
    <d v="2025-02-24T00:00:00"/>
    <d v="2025-02-24T00:00:00"/>
    <x v="0"/>
    <n v="3"/>
    <n v="20"/>
    <n v="288000"/>
    <n v="0"/>
    <s v="No decision"/>
    <s v="South"/>
    <x v="4"/>
    <s v="CRM"/>
    <x v="3"/>
    <x v="2"/>
  </r>
  <r>
    <s v="O02600"/>
    <s v="C0135"/>
    <s v="P005"/>
    <s v="R011"/>
    <d v="2025-05-02T00:00:00"/>
    <d v="2025-05-20T00:00:00"/>
    <d v="2025-05-20T00:00:00"/>
    <x v="1"/>
    <n v="2"/>
    <n v="15"/>
    <n v="306000"/>
    <n v="100"/>
    <s v=""/>
    <s v="West"/>
    <x v="3"/>
    <s v="Service"/>
    <x v="12"/>
    <x v="1"/>
  </r>
  <r>
    <s v="O02601"/>
    <s v="C0012"/>
    <s v="P006"/>
    <s v="R001"/>
    <d v="2025-05-23T00:00:00"/>
    <d v="2025-08-01T00:00:00"/>
    <d v="2025-08-01T00:00:00"/>
    <x v="1"/>
    <n v="1"/>
    <n v="5"/>
    <n v="342000"/>
    <n v="100"/>
    <s v=""/>
    <s v="South"/>
    <x v="2"/>
    <s v="Security"/>
    <x v="6"/>
    <x v="2"/>
  </r>
  <r>
    <s v="O02602"/>
    <s v="C0202"/>
    <s v="P001"/>
    <s v="R002"/>
    <d v="2025-10-26T00:00:00"/>
    <d v="2025-12-26T00:00:00"/>
    <d v="2025-12-26T00:00:00"/>
    <x v="1"/>
    <n v="2"/>
    <n v="10"/>
    <n v="216000"/>
    <n v="100"/>
    <s v=""/>
    <s v="South"/>
    <x v="4"/>
    <s v="CRM"/>
    <x v="17"/>
    <x v="2"/>
  </r>
  <r>
    <s v="O02603"/>
    <s v="C0104"/>
    <s v="P005"/>
    <s v="R012"/>
    <d v="2025-09-12T00:00:00"/>
    <d v="2025-10-02T00:00:00"/>
    <d v="2025-10-02T00:00:00"/>
    <x v="1"/>
    <n v="1"/>
    <n v="0"/>
    <n v="180000"/>
    <n v="100"/>
    <s v=""/>
    <s v="West"/>
    <x v="3"/>
    <s v="Service"/>
    <x v="14"/>
    <x v="1"/>
  </r>
  <r>
    <s v="O02604"/>
    <s v="C0060"/>
    <s v="P001"/>
    <s v="R017"/>
    <d v="2025-11-21T00:00:00"/>
    <d v="2025-11-28T00:00:00"/>
    <d v="2025-11-28T00:00:00"/>
    <x v="1"/>
    <n v="3"/>
    <n v="5"/>
    <n v="342000"/>
    <n v="100"/>
    <s v=""/>
    <s v="East"/>
    <x v="4"/>
    <s v="CRM"/>
    <x v="19"/>
    <x v="3"/>
  </r>
  <r>
    <s v="O02605"/>
    <s v="C0205"/>
    <s v="P001"/>
    <s v="R010"/>
    <d v="2025-01-10T00:00:00"/>
    <d v="2025-03-08T00:00:00"/>
    <d v="2025-03-08T00:00:00"/>
    <x v="0"/>
    <n v="1"/>
    <n v="10"/>
    <n v="108000"/>
    <n v="0"/>
    <s v="Feature gap"/>
    <s v="North"/>
    <x v="4"/>
    <s v="CRM"/>
    <x v="16"/>
    <x v="0"/>
  </r>
  <r>
    <s v="O02606"/>
    <s v="C0039"/>
    <s v="P004"/>
    <s v="R002"/>
    <d v="2025-03-06T00:00:00"/>
    <d v="2025-05-11T00:00:00"/>
    <d v="2025-05-11T00:00:00"/>
    <x v="0"/>
    <n v="2"/>
    <n v="5"/>
    <n v="570000"/>
    <n v="0"/>
    <s v="Price"/>
    <s v="South"/>
    <x v="5"/>
    <s v="Analytics"/>
    <x v="17"/>
    <x v="2"/>
  </r>
  <r>
    <s v="O02607"/>
    <s v="C0196"/>
    <s v="P001"/>
    <s v="R017"/>
    <d v="2025-09-25T00:00:00"/>
    <d v="2025-11-23T00:00:00"/>
    <d v="2025-11-23T00:00:00"/>
    <x v="0"/>
    <n v="1"/>
    <n v="10"/>
    <n v="108000"/>
    <n v="0"/>
    <s v="Price"/>
    <s v="East"/>
    <x v="4"/>
    <s v="CRM"/>
    <x v="19"/>
    <x v="3"/>
  </r>
  <r>
    <s v="O02608"/>
    <s v="C0343"/>
    <s v="P005"/>
    <s v="R014"/>
    <d v="2025-05-21T00:00:00"/>
    <d v="2025-08-13T00:00:00"/>
    <d v="2025-08-13T00:00:00"/>
    <x v="0"/>
    <n v="1"/>
    <n v="20"/>
    <n v="144000"/>
    <n v="0"/>
    <s v="Competition"/>
    <s v="West"/>
    <x v="3"/>
    <s v="Service"/>
    <x v="1"/>
    <x v="1"/>
  </r>
  <r>
    <s v="O02609"/>
    <s v="C0131"/>
    <s v="P002"/>
    <s v="R012"/>
    <d v="2025-12-09T00:00:00"/>
    <d v="2026-02-10T00:00:00"/>
    <m/>
    <x v="2"/>
    <n v="1"/>
    <n v="15"/>
    <n v="357000"/>
    <n v="20"/>
    <s v=""/>
    <s v="West"/>
    <x v="0"/>
    <s v="CRM"/>
    <x v="14"/>
    <x v="1"/>
  </r>
  <r>
    <s v="O02610"/>
    <s v="C0240"/>
    <s v="P005"/>
    <s v="R018"/>
    <d v="2025-08-15T00:00:00"/>
    <d v="2025-09-18T00:00:00"/>
    <d v="2025-09-18T00:00:00"/>
    <x v="0"/>
    <n v="1"/>
    <n v="20"/>
    <n v="144000"/>
    <n v="0"/>
    <s v="Budget"/>
    <s v="East"/>
    <x v="3"/>
    <s v="Service"/>
    <x v="18"/>
    <x v="3"/>
  </r>
  <r>
    <s v="O02611"/>
    <s v="C0081"/>
    <s v="P002"/>
    <s v="R008"/>
    <d v="2025-07-24T00:00:00"/>
    <d v="2025-08-10T00:00:00"/>
    <d v="2025-08-10T00:00:00"/>
    <x v="0"/>
    <n v="1"/>
    <n v="0"/>
    <n v="420000"/>
    <n v="0"/>
    <s v="Price"/>
    <s v="North"/>
    <x v="0"/>
    <s v="CRM"/>
    <x v="0"/>
    <x v="0"/>
  </r>
  <r>
    <s v="O02612"/>
    <s v="C0229"/>
    <s v="P005"/>
    <s v="R002"/>
    <d v="2025-12-28T00:00:00"/>
    <d v="2026-02-20T00:00:00"/>
    <m/>
    <x v="2"/>
    <n v="2"/>
    <n v="10"/>
    <n v="324000"/>
    <n v="40"/>
    <s v=""/>
    <s v="South"/>
    <x v="3"/>
    <s v="Service"/>
    <x v="17"/>
    <x v="2"/>
  </r>
  <r>
    <s v="O02613"/>
    <s v="C0353"/>
    <s v="P002"/>
    <s v="R015"/>
    <d v="2025-10-09T00:00:00"/>
    <d v="2025-12-22T00:00:00"/>
    <d v="2025-12-22T00:00:00"/>
    <x v="0"/>
    <n v="1"/>
    <n v="10"/>
    <n v="378000"/>
    <n v="0"/>
    <s v="No decision"/>
    <s v="West"/>
    <x v="0"/>
    <s v="CRM"/>
    <x v="7"/>
    <x v="1"/>
  </r>
  <r>
    <s v="O02614"/>
    <s v="C0201"/>
    <s v="P001"/>
    <s v="R002"/>
    <d v="2025-11-06T00:00:00"/>
    <d v="2025-12-25T00:00:00"/>
    <d v="2025-12-25T00:00:00"/>
    <x v="0"/>
    <n v="1"/>
    <n v="5"/>
    <n v="114000"/>
    <n v="0"/>
    <s v="Price"/>
    <s v="South"/>
    <x v="4"/>
    <s v="CRM"/>
    <x v="17"/>
    <x v="2"/>
  </r>
  <r>
    <s v="O02615"/>
    <s v="C0270"/>
    <s v="P006"/>
    <s v="R004"/>
    <d v="2025-09-22T00:00:00"/>
    <d v="2025-10-01T00:00:00"/>
    <d v="2025-10-01T00:00:00"/>
    <x v="0"/>
    <n v="1"/>
    <n v="10"/>
    <n v="324000"/>
    <n v="0"/>
    <s v="Feature gap"/>
    <s v="South"/>
    <x v="2"/>
    <s v="Security"/>
    <x v="3"/>
    <x v="2"/>
  </r>
  <r>
    <s v="O02616"/>
    <s v="C0331"/>
    <s v="P006"/>
    <s v="R003"/>
    <d v="2025-06-27T00:00:00"/>
    <d v="2025-07-15T00:00:00"/>
    <d v="2025-07-15T00:00:00"/>
    <x v="1"/>
    <n v="3"/>
    <n v="5"/>
    <n v="1026000"/>
    <n v="100"/>
    <s v=""/>
    <s v="South"/>
    <x v="2"/>
    <s v="Security"/>
    <x v="15"/>
    <x v="2"/>
  </r>
  <r>
    <s v="O02617"/>
    <s v="C0024"/>
    <s v="P002"/>
    <s v="R015"/>
    <d v="2025-07-02T00:00:00"/>
    <d v="2025-07-16T00:00:00"/>
    <m/>
    <x v="2"/>
    <n v="1"/>
    <n v="15"/>
    <n v="357000"/>
    <n v="80"/>
    <s v=""/>
    <s v="West"/>
    <x v="0"/>
    <s v="CRM"/>
    <x v="7"/>
    <x v="1"/>
  </r>
  <r>
    <s v="O02618"/>
    <s v="C0440"/>
    <s v="P004"/>
    <s v="R012"/>
    <d v="2025-04-22T00:00:00"/>
    <d v="2025-05-07T00:00:00"/>
    <m/>
    <x v="2"/>
    <n v="1"/>
    <n v="5"/>
    <n v="285000"/>
    <n v="60"/>
    <s v=""/>
    <s v="West"/>
    <x v="5"/>
    <s v="Analytics"/>
    <x v="14"/>
    <x v="1"/>
  </r>
  <r>
    <s v="O02619"/>
    <s v="C0452"/>
    <s v="P006"/>
    <s v="R012"/>
    <d v="2025-12-25T00:00:00"/>
    <d v="2026-01-31T00:00:00"/>
    <m/>
    <x v="2"/>
    <n v="2"/>
    <n v="10"/>
    <n v="648000"/>
    <n v="60"/>
    <s v=""/>
    <s v="West"/>
    <x v="2"/>
    <s v="Security"/>
    <x v="14"/>
    <x v="1"/>
  </r>
  <r>
    <s v="O02620"/>
    <s v="C0186"/>
    <s v="P006"/>
    <s v="R014"/>
    <d v="2025-08-31T00:00:00"/>
    <d v="2025-10-26T00:00:00"/>
    <d v="2025-10-26T00:00:00"/>
    <x v="1"/>
    <n v="1"/>
    <n v="10"/>
    <n v="324000"/>
    <n v="100"/>
    <s v=""/>
    <s v="West"/>
    <x v="2"/>
    <s v="Security"/>
    <x v="1"/>
    <x v="1"/>
  </r>
  <r>
    <s v="O02621"/>
    <s v="C0194"/>
    <s v="P003"/>
    <s v="R001"/>
    <d v="2025-01-31T00:00:00"/>
    <d v="2025-04-23T00:00:00"/>
    <d v="2025-04-23T00:00:00"/>
    <x v="1"/>
    <n v="1"/>
    <n v="10"/>
    <n v="216000"/>
    <n v="100"/>
    <s v=""/>
    <s v="South"/>
    <x v="1"/>
    <s v="Automation"/>
    <x v="6"/>
    <x v="2"/>
  </r>
  <r>
    <s v="O02622"/>
    <s v="C0414"/>
    <s v="P005"/>
    <s v="R019"/>
    <d v="2025-09-02T00:00:00"/>
    <d v="2025-10-21T00:00:00"/>
    <d v="2025-10-21T00:00:00"/>
    <x v="0"/>
    <n v="1"/>
    <n v="0"/>
    <n v="180000"/>
    <n v="0"/>
    <s v="Competition"/>
    <s v="East"/>
    <x v="3"/>
    <s v="Service"/>
    <x v="10"/>
    <x v="3"/>
  </r>
  <r>
    <s v="O02623"/>
    <s v="C0332"/>
    <s v="P002"/>
    <s v="R004"/>
    <d v="2025-07-02T00:00:00"/>
    <d v="2025-09-02T00:00:00"/>
    <m/>
    <x v="2"/>
    <n v="1"/>
    <n v="5"/>
    <n v="399000"/>
    <n v="40"/>
    <s v=""/>
    <s v="South"/>
    <x v="0"/>
    <s v="CRM"/>
    <x v="3"/>
    <x v="2"/>
  </r>
  <r>
    <s v="O02624"/>
    <s v="C0325"/>
    <s v="P005"/>
    <s v="R015"/>
    <d v="2025-05-07T00:00:00"/>
    <d v="2025-06-29T00:00:00"/>
    <d v="2025-06-29T00:00:00"/>
    <x v="0"/>
    <n v="3"/>
    <n v="10"/>
    <n v="486000"/>
    <n v="0"/>
    <s v="Competition"/>
    <s v="West"/>
    <x v="3"/>
    <s v="Service"/>
    <x v="7"/>
    <x v="1"/>
  </r>
  <r>
    <s v="O02625"/>
    <s v="C0444"/>
    <s v="P004"/>
    <s v="R018"/>
    <d v="2025-09-16T00:00:00"/>
    <d v="2025-10-18T00:00:00"/>
    <m/>
    <x v="2"/>
    <n v="3"/>
    <n v="0"/>
    <n v="900000"/>
    <n v="20"/>
    <s v=""/>
    <s v="East"/>
    <x v="5"/>
    <s v="Analytics"/>
    <x v="18"/>
    <x v="3"/>
  </r>
  <r>
    <s v="O02626"/>
    <s v="C0394"/>
    <s v="P006"/>
    <s v="R005"/>
    <d v="2025-04-30T00:00:00"/>
    <d v="2025-06-10T00:00:00"/>
    <d v="2025-06-10T00:00:00"/>
    <x v="1"/>
    <n v="1"/>
    <n v="0"/>
    <n v="360000"/>
    <n v="100"/>
    <s v=""/>
    <s v="South"/>
    <x v="2"/>
    <s v="Security"/>
    <x v="11"/>
    <x v="2"/>
  </r>
  <r>
    <s v="O02627"/>
    <s v="C0218"/>
    <s v="P005"/>
    <s v="R020"/>
    <d v="2025-07-17T00:00:00"/>
    <d v="2025-10-03T00:00:00"/>
    <d v="2025-10-03T00:00:00"/>
    <x v="0"/>
    <n v="3"/>
    <n v="0"/>
    <n v="540000"/>
    <n v="0"/>
    <s v="No decision"/>
    <s v="East"/>
    <x v="3"/>
    <s v="Service"/>
    <x v="9"/>
    <x v="3"/>
  </r>
  <r>
    <s v="O02628"/>
    <s v="C0180"/>
    <s v="P004"/>
    <s v="R015"/>
    <d v="2025-08-22T00:00:00"/>
    <d v="2025-11-05T00:00:00"/>
    <d v="2025-11-05T00:00:00"/>
    <x v="1"/>
    <n v="1"/>
    <n v="10"/>
    <n v="270000"/>
    <n v="100"/>
    <s v=""/>
    <s v="West"/>
    <x v="5"/>
    <s v="Analytics"/>
    <x v="7"/>
    <x v="1"/>
  </r>
  <r>
    <s v="O02629"/>
    <s v="C0478"/>
    <s v="P004"/>
    <s v="R011"/>
    <d v="2025-05-01T00:00:00"/>
    <d v="2025-07-10T00:00:00"/>
    <d v="2025-07-10T00:00:00"/>
    <x v="0"/>
    <n v="1"/>
    <n v="0"/>
    <n v="300000"/>
    <n v="0"/>
    <s v="Price"/>
    <s v="West"/>
    <x v="5"/>
    <s v="Analytics"/>
    <x v="12"/>
    <x v="1"/>
  </r>
  <r>
    <s v="O02630"/>
    <s v="C0087"/>
    <s v="P003"/>
    <s v="R019"/>
    <d v="2025-11-13T00:00:00"/>
    <d v="2026-01-25T00:00:00"/>
    <m/>
    <x v="2"/>
    <n v="3"/>
    <n v="15"/>
    <n v="612000"/>
    <n v="80"/>
    <s v=""/>
    <s v="East"/>
    <x v="1"/>
    <s v="Automation"/>
    <x v="10"/>
    <x v="3"/>
  </r>
  <r>
    <s v="O02631"/>
    <s v="C0334"/>
    <s v="P005"/>
    <s v="R014"/>
    <d v="2025-08-14T00:00:00"/>
    <d v="2025-10-18T00:00:00"/>
    <d v="2025-10-18T00:00:00"/>
    <x v="1"/>
    <n v="1"/>
    <n v="15"/>
    <n v="153000"/>
    <n v="100"/>
    <s v=""/>
    <s v="West"/>
    <x v="3"/>
    <s v="Service"/>
    <x v="1"/>
    <x v="1"/>
  </r>
  <r>
    <s v="O02632"/>
    <s v="C0073"/>
    <s v="P003"/>
    <s v="R009"/>
    <d v="2025-10-02T00:00:00"/>
    <d v="2025-10-31T00:00:00"/>
    <d v="2025-10-31T00:00:00"/>
    <x v="0"/>
    <n v="1"/>
    <n v="10"/>
    <n v="216000"/>
    <n v="0"/>
    <s v="Feature gap"/>
    <s v="North"/>
    <x v="1"/>
    <s v="Automation"/>
    <x v="4"/>
    <x v="0"/>
  </r>
  <r>
    <s v="O02633"/>
    <s v="C0398"/>
    <s v="P004"/>
    <s v="R007"/>
    <d v="2025-05-09T00:00:00"/>
    <d v="2025-06-01T00:00:00"/>
    <d v="2025-06-01T00:00:00"/>
    <x v="1"/>
    <n v="1"/>
    <n v="15"/>
    <n v="255000"/>
    <n v="100"/>
    <s v=""/>
    <s v="North"/>
    <x v="5"/>
    <s v="Analytics"/>
    <x v="13"/>
    <x v="0"/>
  </r>
  <r>
    <s v="O02634"/>
    <s v="C0286"/>
    <s v="P001"/>
    <s v="R015"/>
    <d v="2025-06-20T00:00:00"/>
    <d v="2025-07-08T00:00:00"/>
    <d v="2025-07-08T00:00:00"/>
    <x v="1"/>
    <n v="3"/>
    <n v="0"/>
    <n v="360000"/>
    <n v="100"/>
    <s v=""/>
    <s v="West"/>
    <x v="4"/>
    <s v="CRM"/>
    <x v="7"/>
    <x v="1"/>
  </r>
  <r>
    <s v="O02635"/>
    <s v="C0424"/>
    <s v="P001"/>
    <s v="R017"/>
    <d v="2025-02-19T00:00:00"/>
    <d v="2025-04-17T00:00:00"/>
    <m/>
    <x v="2"/>
    <n v="1"/>
    <n v="10"/>
    <n v="108000"/>
    <n v="40"/>
    <s v=""/>
    <s v="East"/>
    <x v="4"/>
    <s v="CRM"/>
    <x v="19"/>
    <x v="3"/>
  </r>
  <r>
    <s v="O02636"/>
    <s v="C0126"/>
    <s v="P002"/>
    <s v="R007"/>
    <d v="2025-02-15T00:00:00"/>
    <d v="2025-03-14T00:00:00"/>
    <d v="2025-03-14T00:00:00"/>
    <x v="1"/>
    <n v="1"/>
    <n v="10"/>
    <n v="378000"/>
    <n v="100"/>
    <s v=""/>
    <s v="North"/>
    <x v="0"/>
    <s v="CRM"/>
    <x v="13"/>
    <x v="0"/>
  </r>
  <r>
    <s v="O02637"/>
    <s v="C0049"/>
    <s v="P006"/>
    <s v="R009"/>
    <d v="2025-01-01T00:00:00"/>
    <d v="2025-03-17T00:00:00"/>
    <d v="2025-03-17T00:00:00"/>
    <x v="0"/>
    <n v="1"/>
    <n v="10"/>
    <n v="324000"/>
    <n v="0"/>
    <s v="Competition"/>
    <s v="North"/>
    <x v="2"/>
    <s v="Security"/>
    <x v="4"/>
    <x v="0"/>
  </r>
  <r>
    <s v="O02638"/>
    <s v="C0199"/>
    <s v="P002"/>
    <s v="R004"/>
    <d v="2025-08-30T00:00:00"/>
    <d v="2025-11-10T00:00:00"/>
    <d v="2025-11-10T00:00:00"/>
    <x v="0"/>
    <n v="1"/>
    <n v="15"/>
    <n v="357000"/>
    <n v="0"/>
    <s v="Competition"/>
    <s v="South"/>
    <x v="0"/>
    <s v="CRM"/>
    <x v="3"/>
    <x v="2"/>
  </r>
  <r>
    <s v="O02639"/>
    <s v="C0290"/>
    <s v="P002"/>
    <s v="R006"/>
    <d v="2025-07-13T00:00:00"/>
    <d v="2025-07-22T00:00:00"/>
    <m/>
    <x v="2"/>
    <n v="1"/>
    <n v="5"/>
    <n v="399000"/>
    <n v="60"/>
    <s v=""/>
    <s v="North"/>
    <x v="0"/>
    <s v="CRM"/>
    <x v="2"/>
    <x v="0"/>
  </r>
  <r>
    <s v="O02640"/>
    <s v="C0135"/>
    <s v="P002"/>
    <s v="R013"/>
    <d v="2025-01-26T00:00:00"/>
    <d v="2025-04-04T00:00:00"/>
    <d v="2025-04-04T00:00:00"/>
    <x v="0"/>
    <n v="3"/>
    <n v="5"/>
    <n v="1197000"/>
    <n v="0"/>
    <s v="Feature gap"/>
    <s v="West"/>
    <x v="0"/>
    <s v="CRM"/>
    <x v="5"/>
    <x v="1"/>
  </r>
  <r>
    <s v="O02641"/>
    <s v="C0078"/>
    <s v="P006"/>
    <s v="R005"/>
    <d v="2025-11-11T00:00:00"/>
    <d v="2026-02-01T00:00:00"/>
    <m/>
    <x v="2"/>
    <n v="3"/>
    <n v="0"/>
    <n v="1080000"/>
    <n v="20"/>
    <s v=""/>
    <s v="South"/>
    <x v="2"/>
    <s v="Security"/>
    <x v="11"/>
    <x v="2"/>
  </r>
  <r>
    <s v="O02642"/>
    <s v="C0322"/>
    <s v="P004"/>
    <s v="R015"/>
    <d v="2025-01-18T00:00:00"/>
    <d v="2025-01-29T00:00:00"/>
    <m/>
    <x v="2"/>
    <n v="1"/>
    <n v="0"/>
    <n v="300000"/>
    <n v="20"/>
    <s v=""/>
    <s v="West"/>
    <x v="5"/>
    <s v="Analytics"/>
    <x v="7"/>
    <x v="1"/>
  </r>
  <r>
    <s v="O02643"/>
    <s v="C0214"/>
    <s v="P001"/>
    <s v="R003"/>
    <d v="2025-09-10T00:00:00"/>
    <d v="2025-10-10T00:00:00"/>
    <d v="2025-10-10T00:00:00"/>
    <x v="1"/>
    <n v="1"/>
    <n v="0"/>
    <n v="120000"/>
    <n v="100"/>
    <s v=""/>
    <s v="South"/>
    <x v="4"/>
    <s v="CRM"/>
    <x v="15"/>
    <x v="2"/>
  </r>
  <r>
    <s v="O02644"/>
    <s v="C0496"/>
    <s v="P001"/>
    <s v="R010"/>
    <d v="2025-07-14T00:00:00"/>
    <d v="2025-07-27T00:00:00"/>
    <m/>
    <x v="2"/>
    <n v="3"/>
    <n v="0"/>
    <n v="360000"/>
    <n v="40"/>
    <s v=""/>
    <s v="North"/>
    <x v="4"/>
    <s v="CRM"/>
    <x v="16"/>
    <x v="0"/>
  </r>
  <r>
    <s v="O02645"/>
    <s v="C0105"/>
    <s v="P004"/>
    <s v="R011"/>
    <d v="2025-10-19T00:00:00"/>
    <d v="2025-11-04T00:00:00"/>
    <m/>
    <x v="2"/>
    <n v="2"/>
    <n v="20"/>
    <n v="480000"/>
    <n v="20"/>
    <s v=""/>
    <s v="West"/>
    <x v="5"/>
    <s v="Analytics"/>
    <x v="12"/>
    <x v="1"/>
  </r>
  <r>
    <s v="O02646"/>
    <s v="C0320"/>
    <s v="P004"/>
    <s v="R018"/>
    <d v="2025-04-18T00:00:00"/>
    <d v="2025-06-10T00:00:00"/>
    <d v="2025-06-10T00:00:00"/>
    <x v="0"/>
    <n v="1"/>
    <n v="10"/>
    <n v="270000"/>
    <n v="0"/>
    <s v="Competition"/>
    <s v="East"/>
    <x v="5"/>
    <s v="Analytics"/>
    <x v="18"/>
    <x v="3"/>
  </r>
  <r>
    <s v="O02647"/>
    <s v="C0104"/>
    <s v="P006"/>
    <s v="R011"/>
    <d v="2025-07-03T00:00:00"/>
    <d v="2025-08-23T00:00:00"/>
    <d v="2025-08-23T00:00:00"/>
    <x v="1"/>
    <n v="2"/>
    <n v="5"/>
    <n v="684000"/>
    <n v="100"/>
    <s v=""/>
    <s v="West"/>
    <x v="2"/>
    <s v="Security"/>
    <x v="12"/>
    <x v="1"/>
  </r>
  <r>
    <s v="O02648"/>
    <s v="C0211"/>
    <s v="P003"/>
    <s v="R020"/>
    <d v="2025-12-25T00:00:00"/>
    <d v="2026-02-15T00:00:00"/>
    <m/>
    <x v="2"/>
    <n v="1"/>
    <n v="15"/>
    <n v="204000"/>
    <n v="40"/>
    <s v=""/>
    <s v="East"/>
    <x v="1"/>
    <s v="Automation"/>
    <x v="9"/>
    <x v="3"/>
  </r>
  <r>
    <s v="O02649"/>
    <s v="C0042"/>
    <s v="P006"/>
    <s v="R010"/>
    <d v="2025-04-15T00:00:00"/>
    <d v="2025-07-03T00:00:00"/>
    <d v="2025-07-03T00:00:00"/>
    <x v="0"/>
    <n v="1"/>
    <n v="0"/>
    <n v="360000"/>
    <n v="0"/>
    <s v="Feature gap"/>
    <s v="North"/>
    <x v="2"/>
    <s v="Security"/>
    <x v="16"/>
    <x v="0"/>
  </r>
  <r>
    <s v="O02650"/>
    <s v="C0445"/>
    <s v="P006"/>
    <s v="R003"/>
    <d v="2025-03-21T00:00:00"/>
    <d v="2025-05-31T00:00:00"/>
    <d v="2025-05-31T00:00:00"/>
    <x v="1"/>
    <n v="1"/>
    <n v="20"/>
    <n v="288000"/>
    <n v="100"/>
    <s v=""/>
    <s v="South"/>
    <x v="2"/>
    <s v="Security"/>
    <x v="15"/>
    <x v="2"/>
  </r>
  <r>
    <s v="O02651"/>
    <s v="C0008"/>
    <s v="P001"/>
    <s v="R015"/>
    <d v="2025-12-13T00:00:00"/>
    <d v="2026-03-05T00:00:00"/>
    <m/>
    <x v="2"/>
    <n v="1"/>
    <n v="10"/>
    <n v="108000"/>
    <n v="60"/>
    <s v=""/>
    <s v="West"/>
    <x v="4"/>
    <s v="CRM"/>
    <x v="7"/>
    <x v="1"/>
  </r>
  <r>
    <s v="O02652"/>
    <s v="C0189"/>
    <s v="P005"/>
    <s v="R015"/>
    <d v="2025-07-29T00:00:00"/>
    <d v="2025-09-13T00:00:00"/>
    <d v="2025-09-13T00:00:00"/>
    <x v="0"/>
    <n v="3"/>
    <n v="10"/>
    <n v="486000"/>
    <n v="0"/>
    <s v="Price"/>
    <s v="West"/>
    <x v="3"/>
    <s v="Service"/>
    <x v="7"/>
    <x v="1"/>
  </r>
  <r>
    <s v="O02653"/>
    <s v="C0008"/>
    <s v="P003"/>
    <s v="R011"/>
    <d v="2025-02-06T00:00:00"/>
    <d v="2025-03-16T00:00:00"/>
    <d v="2025-03-16T00:00:00"/>
    <x v="0"/>
    <n v="2"/>
    <n v="0"/>
    <n v="480000"/>
    <n v="0"/>
    <s v="Price"/>
    <s v="West"/>
    <x v="1"/>
    <s v="Automation"/>
    <x v="12"/>
    <x v="1"/>
  </r>
  <r>
    <s v="O02654"/>
    <s v="C0337"/>
    <s v="P001"/>
    <s v="R002"/>
    <d v="2025-12-16T00:00:00"/>
    <d v="2026-01-24T00:00:00"/>
    <m/>
    <x v="2"/>
    <n v="3"/>
    <n v="0"/>
    <n v="360000"/>
    <n v="20"/>
    <s v=""/>
    <s v="South"/>
    <x v="4"/>
    <s v="CRM"/>
    <x v="17"/>
    <x v="2"/>
  </r>
  <r>
    <s v="O02655"/>
    <s v="C0140"/>
    <s v="P003"/>
    <s v="R001"/>
    <d v="2025-03-21T00:00:00"/>
    <d v="2025-06-08T00:00:00"/>
    <d v="2025-06-08T00:00:00"/>
    <x v="0"/>
    <n v="3"/>
    <n v="15"/>
    <n v="612000"/>
    <n v="0"/>
    <s v="Price"/>
    <s v="South"/>
    <x v="1"/>
    <s v="Automation"/>
    <x v="6"/>
    <x v="2"/>
  </r>
  <r>
    <s v="O02656"/>
    <s v="C0075"/>
    <s v="P005"/>
    <s v="R013"/>
    <d v="2025-02-25T00:00:00"/>
    <d v="2025-04-28T00:00:00"/>
    <d v="2025-04-28T00:00:00"/>
    <x v="0"/>
    <n v="1"/>
    <n v="0"/>
    <n v="180000"/>
    <n v="0"/>
    <s v="Budget"/>
    <s v="West"/>
    <x v="3"/>
    <s v="Service"/>
    <x v="5"/>
    <x v="1"/>
  </r>
  <r>
    <s v="O02657"/>
    <s v="C0477"/>
    <s v="P006"/>
    <s v="R009"/>
    <d v="2025-02-09T00:00:00"/>
    <d v="2025-04-06T00:00:00"/>
    <d v="2025-04-06T00:00:00"/>
    <x v="1"/>
    <n v="2"/>
    <n v="20"/>
    <n v="576000"/>
    <n v="100"/>
    <s v=""/>
    <s v="North"/>
    <x v="2"/>
    <s v="Security"/>
    <x v="4"/>
    <x v="0"/>
  </r>
  <r>
    <s v="O02658"/>
    <s v="C0364"/>
    <s v="P002"/>
    <s v="R002"/>
    <d v="2025-12-23T00:00:00"/>
    <d v="2026-02-21T00:00:00"/>
    <m/>
    <x v="2"/>
    <n v="2"/>
    <n v="20"/>
    <n v="672000"/>
    <n v="80"/>
    <s v=""/>
    <s v="South"/>
    <x v="0"/>
    <s v="CRM"/>
    <x v="17"/>
    <x v="2"/>
  </r>
  <r>
    <s v="O02659"/>
    <s v="C0158"/>
    <s v="P001"/>
    <s v="R003"/>
    <d v="2025-05-04T00:00:00"/>
    <d v="2025-06-30T00:00:00"/>
    <d v="2025-06-30T00:00:00"/>
    <x v="1"/>
    <n v="1"/>
    <n v="5"/>
    <n v="114000"/>
    <n v="100"/>
    <s v=""/>
    <s v="South"/>
    <x v="4"/>
    <s v="CRM"/>
    <x v="15"/>
    <x v="2"/>
  </r>
  <r>
    <s v="O02660"/>
    <s v="C0315"/>
    <s v="P006"/>
    <s v="R003"/>
    <d v="2025-03-24T00:00:00"/>
    <d v="2025-04-08T00:00:00"/>
    <d v="2025-04-08T00:00:00"/>
    <x v="0"/>
    <n v="2"/>
    <n v="20"/>
    <n v="576000"/>
    <n v="0"/>
    <s v="No decision"/>
    <s v="South"/>
    <x v="2"/>
    <s v="Security"/>
    <x v="15"/>
    <x v="2"/>
  </r>
  <r>
    <s v="O02661"/>
    <s v="C0147"/>
    <s v="P001"/>
    <s v="R001"/>
    <d v="2025-07-10T00:00:00"/>
    <d v="2025-08-30T00:00:00"/>
    <d v="2025-08-30T00:00:00"/>
    <x v="0"/>
    <n v="2"/>
    <n v="20"/>
    <n v="192000"/>
    <n v="0"/>
    <s v="Budget"/>
    <s v="South"/>
    <x v="4"/>
    <s v="CRM"/>
    <x v="6"/>
    <x v="2"/>
  </r>
  <r>
    <s v="O02662"/>
    <s v="C0127"/>
    <s v="P006"/>
    <s v="R018"/>
    <d v="2025-03-13T00:00:00"/>
    <d v="2025-05-20T00:00:00"/>
    <d v="2025-05-20T00:00:00"/>
    <x v="1"/>
    <n v="1"/>
    <n v="5"/>
    <n v="342000"/>
    <n v="100"/>
    <s v=""/>
    <s v="East"/>
    <x v="2"/>
    <s v="Security"/>
    <x v="18"/>
    <x v="3"/>
  </r>
  <r>
    <s v="O02663"/>
    <s v="C0457"/>
    <s v="P002"/>
    <s v="R020"/>
    <d v="2025-02-08T00:00:00"/>
    <d v="2025-04-14T00:00:00"/>
    <d v="2025-04-14T00:00:00"/>
    <x v="0"/>
    <n v="1"/>
    <n v="15"/>
    <n v="357000"/>
    <n v="0"/>
    <s v="Price"/>
    <s v="East"/>
    <x v="0"/>
    <s v="CRM"/>
    <x v="9"/>
    <x v="3"/>
  </r>
  <r>
    <s v="O02664"/>
    <s v="C0149"/>
    <s v="P003"/>
    <s v="R014"/>
    <d v="2025-03-12T00:00:00"/>
    <d v="2025-04-17T00:00:00"/>
    <d v="2025-04-17T00:00:00"/>
    <x v="0"/>
    <n v="1"/>
    <n v="5"/>
    <n v="228000"/>
    <n v="0"/>
    <s v="Competition"/>
    <s v="West"/>
    <x v="1"/>
    <s v="Automation"/>
    <x v="1"/>
    <x v="1"/>
  </r>
  <r>
    <s v="O02665"/>
    <s v="C0095"/>
    <s v="P001"/>
    <s v="R008"/>
    <d v="2025-05-08T00:00:00"/>
    <d v="2025-07-15T00:00:00"/>
    <d v="2025-07-15T00:00:00"/>
    <x v="0"/>
    <n v="3"/>
    <n v="0"/>
    <n v="360000"/>
    <n v="0"/>
    <s v="Budget"/>
    <s v="North"/>
    <x v="4"/>
    <s v="CRM"/>
    <x v="0"/>
    <x v="0"/>
  </r>
  <r>
    <s v="O02666"/>
    <s v="C0239"/>
    <s v="P004"/>
    <s v="R015"/>
    <d v="2025-11-30T00:00:00"/>
    <d v="2026-02-19T00:00:00"/>
    <m/>
    <x v="2"/>
    <n v="3"/>
    <n v="15"/>
    <n v="765000"/>
    <n v="40"/>
    <s v=""/>
    <s v="West"/>
    <x v="5"/>
    <s v="Analytics"/>
    <x v="7"/>
    <x v="1"/>
  </r>
  <r>
    <s v="O02667"/>
    <s v="C0317"/>
    <s v="P005"/>
    <s v="R014"/>
    <d v="2025-08-20T00:00:00"/>
    <d v="2025-10-23T00:00:00"/>
    <d v="2025-10-23T00:00:00"/>
    <x v="1"/>
    <n v="2"/>
    <n v="5"/>
    <n v="342000"/>
    <n v="100"/>
    <s v=""/>
    <s v="West"/>
    <x v="3"/>
    <s v="Service"/>
    <x v="1"/>
    <x v="1"/>
  </r>
  <r>
    <s v="O02668"/>
    <s v="C0049"/>
    <s v="P001"/>
    <s v="R007"/>
    <d v="2025-09-05T00:00:00"/>
    <d v="2025-09-13T00:00:00"/>
    <m/>
    <x v="2"/>
    <n v="1"/>
    <n v="5"/>
    <n v="114000"/>
    <n v="40"/>
    <s v=""/>
    <s v="North"/>
    <x v="4"/>
    <s v="CRM"/>
    <x v="13"/>
    <x v="0"/>
  </r>
  <r>
    <s v="O02669"/>
    <s v="C0459"/>
    <s v="P001"/>
    <s v="R014"/>
    <d v="2025-07-27T00:00:00"/>
    <d v="2025-10-02T00:00:00"/>
    <d v="2025-10-02T00:00:00"/>
    <x v="0"/>
    <n v="1"/>
    <n v="10"/>
    <n v="108000"/>
    <n v="0"/>
    <s v="Feature gap"/>
    <s v="West"/>
    <x v="4"/>
    <s v="CRM"/>
    <x v="1"/>
    <x v="1"/>
  </r>
  <r>
    <s v="O02670"/>
    <s v="C0299"/>
    <s v="P001"/>
    <s v="R007"/>
    <d v="2025-09-11T00:00:00"/>
    <d v="2025-11-04T00:00:00"/>
    <d v="2025-11-04T00:00:00"/>
    <x v="1"/>
    <n v="3"/>
    <n v="15"/>
    <n v="306000"/>
    <n v="100"/>
    <s v=""/>
    <s v="North"/>
    <x v="4"/>
    <s v="CRM"/>
    <x v="13"/>
    <x v="0"/>
  </r>
  <r>
    <s v="O02671"/>
    <s v="C0409"/>
    <s v="P005"/>
    <s v="R005"/>
    <d v="2025-05-27T00:00:00"/>
    <d v="2025-08-16T00:00:00"/>
    <d v="2025-08-16T00:00:00"/>
    <x v="0"/>
    <n v="1"/>
    <n v="15"/>
    <n v="153000"/>
    <n v="0"/>
    <s v="Budget"/>
    <s v="South"/>
    <x v="3"/>
    <s v="Service"/>
    <x v="11"/>
    <x v="2"/>
  </r>
  <r>
    <s v="O02672"/>
    <s v="C0324"/>
    <s v="P003"/>
    <s v="R003"/>
    <d v="2025-01-26T00:00:00"/>
    <d v="2025-04-05T00:00:00"/>
    <d v="2025-04-05T00:00:00"/>
    <x v="1"/>
    <n v="1"/>
    <n v="20"/>
    <n v="192000"/>
    <n v="100"/>
    <s v=""/>
    <s v="South"/>
    <x v="1"/>
    <s v="Automation"/>
    <x v="15"/>
    <x v="2"/>
  </r>
  <r>
    <s v="O02673"/>
    <s v="C0490"/>
    <s v="P001"/>
    <s v="R003"/>
    <d v="2025-06-08T00:00:00"/>
    <d v="2025-08-04T00:00:00"/>
    <d v="2025-08-04T00:00:00"/>
    <x v="0"/>
    <n v="2"/>
    <n v="0"/>
    <n v="240000"/>
    <n v="0"/>
    <s v="Feature gap"/>
    <s v="South"/>
    <x v="4"/>
    <s v="CRM"/>
    <x v="15"/>
    <x v="2"/>
  </r>
  <r>
    <s v="O02674"/>
    <s v="C0226"/>
    <s v="P006"/>
    <s v="R007"/>
    <d v="2025-06-01T00:00:00"/>
    <d v="2025-08-06T00:00:00"/>
    <m/>
    <x v="2"/>
    <n v="1"/>
    <n v="20"/>
    <n v="288000"/>
    <n v="80"/>
    <s v=""/>
    <s v="North"/>
    <x v="2"/>
    <s v="Security"/>
    <x v="13"/>
    <x v="0"/>
  </r>
  <r>
    <s v="O02675"/>
    <s v="C0168"/>
    <s v="P003"/>
    <s v="R016"/>
    <d v="2025-04-20T00:00:00"/>
    <d v="2025-06-01T00:00:00"/>
    <m/>
    <x v="2"/>
    <n v="1"/>
    <n v="10"/>
    <n v="216000"/>
    <n v="80"/>
    <s v=""/>
    <s v="East"/>
    <x v="1"/>
    <s v="Automation"/>
    <x v="8"/>
    <x v="3"/>
  </r>
  <r>
    <s v="O02676"/>
    <s v="C0496"/>
    <s v="P002"/>
    <s v="R006"/>
    <d v="2025-01-11T00:00:00"/>
    <d v="2025-02-12T00:00:00"/>
    <d v="2025-02-12T00:00:00"/>
    <x v="1"/>
    <n v="1"/>
    <n v="10"/>
    <n v="378000"/>
    <n v="100"/>
    <s v=""/>
    <s v="North"/>
    <x v="0"/>
    <s v="CRM"/>
    <x v="2"/>
    <x v="0"/>
  </r>
  <r>
    <s v="O02677"/>
    <s v="C0284"/>
    <s v="P003"/>
    <s v="R019"/>
    <d v="2025-08-18T00:00:00"/>
    <d v="2025-09-27T00:00:00"/>
    <d v="2025-09-27T00:00:00"/>
    <x v="0"/>
    <n v="1"/>
    <n v="10"/>
    <n v="216000"/>
    <n v="0"/>
    <s v="Budget"/>
    <s v="East"/>
    <x v="1"/>
    <s v="Automation"/>
    <x v="10"/>
    <x v="3"/>
  </r>
  <r>
    <s v="O02678"/>
    <s v="C0165"/>
    <s v="P002"/>
    <s v="R004"/>
    <d v="2025-06-07T00:00:00"/>
    <d v="2025-07-18T00:00:00"/>
    <m/>
    <x v="2"/>
    <n v="1"/>
    <n v="15"/>
    <n v="357000"/>
    <n v="60"/>
    <s v=""/>
    <s v="South"/>
    <x v="0"/>
    <s v="CRM"/>
    <x v="3"/>
    <x v="2"/>
  </r>
  <r>
    <s v="O02679"/>
    <s v="C0002"/>
    <s v="P004"/>
    <s v="R008"/>
    <d v="2025-10-20T00:00:00"/>
    <d v="2025-12-24T00:00:00"/>
    <d v="2025-12-24T00:00:00"/>
    <x v="0"/>
    <n v="1"/>
    <n v="15"/>
    <n v="255000"/>
    <n v="0"/>
    <s v="Competition"/>
    <s v="North"/>
    <x v="5"/>
    <s v="Analytics"/>
    <x v="0"/>
    <x v="0"/>
  </r>
  <r>
    <s v="O02680"/>
    <s v="C0319"/>
    <s v="P004"/>
    <s v="R009"/>
    <d v="2025-04-29T00:00:00"/>
    <d v="2025-06-22T00:00:00"/>
    <d v="2025-06-22T00:00:00"/>
    <x v="0"/>
    <n v="1"/>
    <n v="0"/>
    <n v="300000"/>
    <n v="0"/>
    <s v="Competition"/>
    <s v="North"/>
    <x v="5"/>
    <s v="Analytics"/>
    <x v="4"/>
    <x v="0"/>
  </r>
  <r>
    <s v="O02681"/>
    <s v="C0405"/>
    <s v="P002"/>
    <s v="R001"/>
    <d v="2025-07-11T00:00:00"/>
    <d v="2025-09-10T00:00:00"/>
    <d v="2025-09-10T00:00:00"/>
    <x v="0"/>
    <n v="1"/>
    <n v="0"/>
    <n v="420000"/>
    <n v="0"/>
    <s v="Feature gap"/>
    <s v="South"/>
    <x v="0"/>
    <s v="CRM"/>
    <x v="6"/>
    <x v="2"/>
  </r>
  <r>
    <s v="O02682"/>
    <s v="C0298"/>
    <s v="P003"/>
    <s v="R001"/>
    <d v="2025-02-22T00:00:00"/>
    <d v="2025-03-04T00:00:00"/>
    <m/>
    <x v="2"/>
    <n v="1"/>
    <n v="5"/>
    <n v="228000"/>
    <n v="20"/>
    <s v=""/>
    <s v="South"/>
    <x v="1"/>
    <s v="Automation"/>
    <x v="6"/>
    <x v="2"/>
  </r>
  <r>
    <s v="O02683"/>
    <s v="C0064"/>
    <s v="P005"/>
    <s v="R019"/>
    <d v="2025-08-31T00:00:00"/>
    <d v="2025-09-29T00:00:00"/>
    <d v="2025-09-29T00:00:00"/>
    <x v="0"/>
    <n v="3"/>
    <n v="15"/>
    <n v="459000"/>
    <n v="0"/>
    <s v="Budget"/>
    <s v="East"/>
    <x v="3"/>
    <s v="Service"/>
    <x v="10"/>
    <x v="3"/>
  </r>
  <r>
    <s v="O02684"/>
    <s v="C0041"/>
    <s v="P006"/>
    <s v="R001"/>
    <d v="2025-08-22T00:00:00"/>
    <d v="2025-09-19T00:00:00"/>
    <d v="2025-09-19T00:00:00"/>
    <x v="0"/>
    <n v="1"/>
    <n v="20"/>
    <n v="288000"/>
    <n v="0"/>
    <s v="Budget"/>
    <s v="South"/>
    <x v="2"/>
    <s v="Security"/>
    <x v="6"/>
    <x v="2"/>
  </r>
  <r>
    <s v="O02685"/>
    <s v="C0043"/>
    <s v="P004"/>
    <s v="R009"/>
    <d v="2025-12-20T00:00:00"/>
    <d v="2026-03-04T00:00:00"/>
    <m/>
    <x v="2"/>
    <n v="2"/>
    <n v="5"/>
    <n v="570000"/>
    <n v="20"/>
    <s v=""/>
    <s v="North"/>
    <x v="5"/>
    <s v="Analytics"/>
    <x v="4"/>
    <x v="0"/>
  </r>
  <r>
    <s v="O02686"/>
    <s v="C0352"/>
    <s v="P005"/>
    <s v="R002"/>
    <d v="2025-04-17T00:00:00"/>
    <d v="2025-06-09T00:00:00"/>
    <d v="2025-06-09T00:00:00"/>
    <x v="0"/>
    <n v="1"/>
    <n v="5"/>
    <n v="171000"/>
    <n v="0"/>
    <s v="No decision"/>
    <s v="South"/>
    <x v="3"/>
    <s v="Service"/>
    <x v="17"/>
    <x v="2"/>
  </r>
  <r>
    <s v="O02687"/>
    <s v="C0282"/>
    <s v="P003"/>
    <s v="R004"/>
    <d v="2025-01-18T00:00:00"/>
    <d v="2025-02-08T00:00:00"/>
    <d v="2025-02-08T00:00:00"/>
    <x v="1"/>
    <n v="1"/>
    <n v="15"/>
    <n v="204000"/>
    <n v="100"/>
    <s v=""/>
    <s v="South"/>
    <x v="1"/>
    <s v="Automation"/>
    <x v="3"/>
    <x v="2"/>
  </r>
  <r>
    <s v="O02688"/>
    <s v="C0062"/>
    <s v="P003"/>
    <s v="R004"/>
    <d v="2025-02-09T00:00:00"/>
    <d v="2025-05-05T00:00:00"/>
    <d v="2025-05-05T00:00:00"/>
    <x v="0"/>
    <n v="1"/>
    <n v="10"/>
    <n v="216000"/>
    <n v="0"/>
    <s v="No decision"/>
    <s v="South"/>
    <x v="1"/>
    <s v="Automation"/>
    <x v="3"/>
    <x v="2"/>
  </r>
  <r>
    <s v="O02689"/>
    <s v="C0151"/>
    <s v="P001"/>
    <s v="R015"/>
    <d v="2025-01-23T00:00:00"/>
    <d v="2025-03-04T00:00:00"/>
    <m/>
    <x v="2"/>
    <n v="1"/>
    <n v="15"/>
    <n v="102000"/>
    <n v="80"/>
    <s v=""/>
    <s v="West"/>
    <x v="4"/>
    <s v="CRM"/>
    <x v="7"/>
    <x v="1"/>
  </r>
  <r>
    <s v="O02690"/>
    <s v="C0170"/>
    <s v="P001"/>
    <s v="R012"/>
    <d v="2025-06-14T00:00:00"/>
    <d v="2025-07-12T00:00:00"/>
    <d v="2025-07-12T00:00:00"/>
    <x v="0"/>
    <n v="1"/>
    <n v="15"/>
    <n v="102000"/>
    <n v="0"/>
    <s v="Budget"/>
    <s v="West"/>
    <x v="4"/>
    <s v="CRM"/>
    <x v="14"/>
    <x v="1"/>
  </r>
  <r>
    <s v="O02691"/>
    <s v="C0467"/>
    <s v="P004"/>
    <s v="R003"/>
    <d v="2025-07-21T00:00:00"/>
    <d v="2025-08-19T00:00:00"/>
    <d v="2025-08-19T00:00:00"/>
    <x v="0"/>
    <n v="1"/>
    <n v="15"/>
    <n v="255000"/>
    <n v="0"/>
    <s v="Feature gap"/>
    <s v="South"/>
    <x v="5"/>
    <s v="Analytics"/>
    <x v="15"/>
    <x v="2"/>
  </r>
  <r>
    <s v="O02692"/>
    <s v="C0173"/>
    <s v="P001"/>
    <s v="R012"/>
    <d v="2025-06-27T00:00:00"/>
    <d v="2025-07-25T00:00:00"/>
    <d v="2025-07-25T00:00:00"/>
    <x v="0"/>
    <n v="2"/>
    <n v="5"/>
    <n v="228000"/>
    <n v="0"/>
    <s v="No decision"/>
    <s v="West"/>
    <x v="4"/>
    <s v="CRM"/>
    <x v="14"/>
    <x v="1"/>
  </r>
  <r>
    <s v="O02693"/>
    <s v="C0227"/>
    <s v="P003"/>
    <s v="R019"/>
    <d v="2025-07-19T00:00:00"/>
    <d v="2025-09-15T00:00:00"/>
    <d v="2025-09-15T00:00:00"/>
    <x v="1"/>
    <n v="1"/>
    <n v="15"/>
    <n v="204000"/>
    <n v="100"/>
    <s v=""/>
    <s v="East"/>
    <x v="1"/>
    <s v="Automation"/>
    <x v="10"/>
    <x v="3"/>
  </r>
  <r>
    <s v="O02694"/>
    <s v="C0222"/>
    <s v="P001"/>
    <s v="R014"/>
    <d v="2025-10-27T00:00:00"/>
    <d v="2025-12-03T00:00:00"/>
    <d v="2025-12-03T00:00:00"/>
    <x v="0"/>
    <n v="1"/>
    <n v="0"/>
    <n v="120000"/>
    <n v="0"/>
    <s v="Competition"/>
    <s v="West"/>
    <x v="4"/>
    <s v="CRM"/>
    <x v="1"/>
    <x v="1"/>
  </r>
  <r>
    <s v="O02695"/>
    <s v="C0278"/>
    <s v="P001"/>
    <s v="R014"/>
    <d v="2025-10-29T00:00:00"/>
    <d v="2025-12-17T00:00:00"/>
    <d v="2025-12-17T00:00:00"/>
    <x v="0"/>
    <n v="1"/>
    <n v="0"/>
    <n v="120000"/>
    <n v="0"/>
    <s v="Price"/>
    <s v="West"/>
    <x v="4"/>
    <s v="CRM"/>
    <x v="1"/>
    <x v="1"/>
  </r>
  <r>
    <s v="O02696"/>
    <s v="C0417"/>
    <s v="P001"/>
    <s v="R013"/>
    <d v="2025-08-29T00:00:00"/>
    <d v="2025-09-24T00:00:00"/>
    <m/>
    <x v="2"/>
    <n v="3"/>
    <n v="0"/>
    <n v="360000"/>
    <n v="40"/>
    <s v=""/>
    <s v="West"/>
    <x v="4"/>
    <s v="CRM"/>
    <x v="5"/>
    <x v="1"/>
  </r>
  <r>
    <s v="O02697"/>
    <s v="C0231"/>
    <s v="P002"/>
    <s v="R009"/>
    <d v="2025-10-19T00:00:00"/>
    <d v="2025-11-17T00:00:00"/>
    <d v="2025-11-17T00:00:00"/>
    <x v="1"/>
    <n v="1"/>
    <n v="15"/>
    <n v="357000"/>
    <n v="100"/>
    <s v=""/>
    <s v="North"/>
    <x v="0"/>
    <s v="CRM"/>
    <x v="4"/>
    <x v="0"/>
  </r>
  <r>
    <s v="O02698"/>
    <s v="C0375"/>
    <s v="P005"/>
    <s v="R010"/>
    <d v="2025-04-20T00:00:00"/>
    <d v="2025-06-05T00:00:00"/>
    <d v="2025-06-05T00:00:00"/>
    <x v="1"/>
    <n v="1"/>
    <n v="15"/>
    <n v="153000"/>
    <n v="100"/>
    <s v=""/>
    <s v="North"/>
    <x v="3"/>
    <s v="Service"/>
    <x v="16"/>
    <x v="0"/>
  </r>
  <r>
    <s v="O02699"/>
    <s v="C0466"/>
    <s v="P006"/>
    <s v="R019"/>
    <d v="2025-02-08T00:00:00"/>
    <d v="2025-02-18T00:00:00"/>
    <d v="2025-02-18T00:00:00"/>
    <x v="0"/>
    <n v="3"/>
    <n v="20"/>
    <n v="864000"/>
    <n v="0"/>
    <s v="Feature gap"/>
    <s v="East"/>
    <x v="2"/>
    <s v="Security"/>
    <x v="10"/>
    <x v="3"/>
  </r>
  <r>
    <s v="O02700"/>
    <s v="C0371"/>
    <s v="P002"/>
    <s v="R004"/>
    <d v="2025-03-17T00:00:00"/>
    <d v="2025-05-01T00:00:00"/>
    <m/>
    <x v="2"/>
    <n v="1"/>
    <n v="5"/>
    <n v="399000"/>
    <n v="40"/>
    <s v=""/>
    <s v="South"/>
    <x v="0"/>
    <s v="CRM"/>
    <x v="3"/>
    <x v="2"/>
  </r>
  <r>
    <s v="O02701"/>
    <s v="C0410"/>
    <s v="P003"/>
    <s v="R018"/>
    <d v="2025-05-02T00:00:00"/>
    <d v="2025-05-15T00:00:00"/>
    <d v="2025-05-15T00:00:00"/>
    <x v="1"/>
    <n v="1"/>
    <n v="15"/>
    <n v="204000"/>
    <n v="100"/>
    <s v=""/>
    <s v="East"/>
    <x v="1"/>
    <s v="Automation"/>
    <x v="18"/>
    <x v="3"/>
  </r>
  <r>
    <s v="O02702"/>
    <s v="C0418"/>
    <s v="P006"/>
    <s v="R016"/>
    <d v="2025-08-05T00:00:00"/>
    <d v="2025-10-02T00:00:00"/>
    <d v="2025-10-02T00:00:00"/>
    <x v="1"/>
    <n v="1"/>
    <n v="10"/>
    <n v="324000"/>
    <n v="100"/>
    <s v=""/>
    <s v="East"/>
    <x v="2"/>
    <s v="Security"/>
    <x v="8"/>
    <x v="3"/>
  </r>
  <r>
    <s v="O02703"/>
    <s v="C0003"/>
    <s v="P006"/>
    <s v="R003"/>
    <d v="2025-08-26T00:00:00"/>
    <d v="2025-09-21T00:00:00"/>
    <d v="2025-09-21T00:00:00"/>
    <x v="1"/>
    <n v="3"/>
    <n v="15"/>
    <n v="918000"/>
    <n v="100"/>
    <s v=""/>
    <s v="South"/>
    <x v="2"/>
    <s v="Security"/>
    <x v="15"/>
    <x v="2"/>
  </r>
  <r>
    <s v="O02704"/>
    <s v="C0099"/>
    <s v="P006"/>
    <s v="R010"/>
    <d v="2025-03-02T00:00:00"/>
    <d v="2025-03-20T00:00:00"/>
    <d v="2025-03-20T00:00:00"/>
    <x v="0"/>
    <n v="3"/>
    <n v="10"/>
    <n v="972000"/>
    <n v="0"/>
    <s v="Budget"/>
    <s v="North"/>
    <x v="2"/>
    <s v="Security"/>
    <x v="16"/>
    <x v="0"/>
  </r>
  <r>
    <s v="O02705"/>
    <s v="C0446"/>
    <s v="P004"/>
    <s v="R008"/>
    <d v="2025-07-01T00:00:00"/>
    <d v="2025-09-20T00:00:00"/>
    <d v="2025-09-20T00:00:00"/>
    <x v="0"/>
    <n v="1"/>
    <n v="20"/>
    <n v="240000"/>
    <n v="0"/>
    <s v="No decision"/>
    <s v="North"/>
    <x v="5"/>
    <s v="Analytics"/>
    <x v="0"/>
    <x v="0"/>
  </r>
  <r>
    <s v="O02706"/>
    <s v="C0231"/>
    <s v="P006"/>
    <s v="R006"/>
    <d v="2025-05-18T00:00:00"/>
    <d v="2025-06-26T00:00:00"/>
    <d v="2025-06-26T00:00:00"/>
    <x v="1"/>
    <n v="1"/>
    <n v="10"/>
    <n v="324000"/>
    <n v="100"/>
    <s v=""/>
    <s v="North"/>
    <x v="2"/>
    <s v="Security"/>
    <x v="2"/>
    <x v="0"/>
  </r>
  <r>
    <s v="O02707"/>
    <s v="C0349"/>
    <s v="P003"/>
    <s v="R002"/>
    <d v="2025-11-27T00:00:00"/>
    <d v="2026-02-17T00:00:00"/>
    <m/>
    <x v="2"/>
    <n v="2"/>
    <n v="5"/>
    <n v="456000"/>
    <n v="20"/>
    <s v=""/>
    <s v="South"/>
    <x v="1"/>
    <s v="Automation"/>
    <x v="17"/>
    <x v="2"/>
  </r>
  <r>
    <s v="O02708"/>
    <s v="C0168"/>
    <s v="P001"/>
    <s v="R016"/>
    <d v="2025-12-05T00:00:00"/>
    <d v="2026-01-27T00:00:00"/>
    <m/>
    <x v="2"/>
    <n v="3"/>
    <n v="5"/>
    <n v="342000"/>
    <n v="60"/>
    <s v=""/>
    <s v="East"/>
    <x v="4"/>
    <s v="CRM"/>
    <x v="8"/>
    <x v="3"/>
  </r>
  <r>
    <s v="O02709"/>
    <s v="C0013"/>
    <s v="P003"/>
    <s v="R013"/>
    <d v="2025-04-17T00:00:00"/>
    <d v="2025-06-04T00:00:00"/>
    <d v="2025-06-04T00:00:00"/>
    <x v="0"/>
    <n v="1"/>
    <n v="5"/>
    <n v="228000"/>
    <n v="0"/>
    <s v="No decision"/>
    <s v="West"/>
    <x v="1"/>
    <s v="Automation"/>
    <x v="5"/>
    <x v="1"/>
  </r>
  <r>
    <s v="O02710"/>
    <s v="C0118"/>
    <s v="P002"/>
    <s v="R003"/>
    <d v="2025-05-14T00:00:00"/>
    <d v="2025-05-31T00:00:00"/>
    <d v="2025-05-31T00:00:00"/>
    <x v="0"/>
    <n v="1"/>
    <n v="10"/>
    <n v="378000"/>
    <n v="0"/>
    <s v="Competition"/>
    <s v="South"/>
    <x v="0"/>
    <s v="CRM"/>
    <x v="15"/>
    <x v="2"/>
  </r>
  <r>
    <s v="O02711"/>
    <s v="C0204"/>
    <s v="P005"/>
    <s v="R012"/>
    <d v="2025-10-19T00:00:00"/>
    <d v="2026-01-09T00:00:00"/>
    <m/>
    <x v="2"/>
    <n v="1"/>
    <n v="10"/>
    <n v="162000"/>
    <n v="20"/>
    <s v=""/>
    <s v="West"/>
    <x v="3"/>
    <s v="Service"/>
    <x v="14"/>
    <x v="1"/>
  </r>
  <r>
    <s v="O02712"/>
    <s v="C0489"/>
    <s v="P006"/>
    <s v="R011"/>
    <d v="2025-10-16T00:00:00"/>
    <d v="2025-12-27T00:00:00"/>
    <d v="2025-12-27T00:00:00"/>
    <x v="0"/>
    <n v="1"/>
    <n v="15"/>
    <n v="306000"/>
    <n v="0"/>
    <s v="Budget"/>
    <s v="West"/>
    <x v="2"/>
    <s v="Security"/>
    <x v="12"/>
    <x v="1"/>
  </r>
  <r>
    <s v="O02713"/>
    <s v="C0495"/>
    <s v="P004"/>
    <s v="R016"/>
    <d v="2025-04-25T00:00:00"/>
    <d v="2025-06-08T00:00:00"/>
    <d v="2025-06-08T00:00:00"/>
    <x v="0"/>
    <n v="2"/>
    <n v="0"/>
    <n v="600000"/>
    <n v="0"/>
    <s v="Price"/>
    <s v="East"/>
    <x v="5"/>
    <s v="Analytics"/>
    <x v="8"/>
    <x v="3"/>
  </r>
  <r>
    <s v="O02714"/>
    <s v="C0256"/>
    <s v="P006"/>
    <s v="R003"/>
    <d v="2025-09-05T00:00:00"/>
    <d v="2025-11-28T00:00:00"/>
    <d v="2025-11-28T00:00:00"/>
    <x v="1"/>
    <n v="1"/>
    <n v="5"/>
    <n v="342000"/>
    <n v="100"/>
    <s v=""/>
    <s v="South"/>
    <x v="2"/>
    <s v="Security"/>
    <x v="15"/>
    <x v="2"/>
  </r>
  <r>
    <s v="O02715"/>
    <s v="C0395"/>
    <s v="P004"/>
    <s v="R007"/>
    <d v="2025-11-01T00:00:00"/>
    <d v="2025-11-26T00:00:00"/>
    <d v="2025-11-26T00:00:00"/>
    <x v="0"/>
    <n v="1"/>
    <n v="10"/>
    <n v="270000"/>
    <n v="0"/>
    <s v="Feature gap"/>
    <s v="North"/>
    <x v="5"/>
    <s v="Analytics"/>
    <x v="13"/>
    <x v="0"/>
  </r>
  <r>
    <s v="O02716"/>
    <s v="C0354"/>
    <s v="P003"/>
    <s v="R019"/>
    <d v="2025-05-13T00:00:00"/>
    <d v="2025-06-03T00:00:00"/>
    <d v="2025-06-03T00:00:00"/>
    <x v="1"/>
    <n v="3"/>
    <n v="5"/>
    <n v="684000"/>
    <n v="100"/>
    <s v=""/>
    <s v="East"/>
    <x v="1"/>
    <s v="Automation"/>
    <x v="10"/>
    <x v="3"/>
  </r>
  <r>
    <s v="O02717"/>
    <s v="C0362"/>
    <s v="P002"/>
    <s v="R010"/>
    <d v="2025-05-20T00:00:00"/>
    <d v="2025-08-12T00:00:00"/>
    <d v="2025-08-12T00:00:00"/>
    <x v="1"/>
    <n v="2"/>
    <n v="5"/>
    <n v="798000"/>
    <n v="100"/>
    <s v=""/>
    <s v="North"/>
    <x v="0"/>
    <s v="CRM"/>
    <x v="16"/>
    <x v="0"/>
  </r>
  <r>
    <s v="O02718"/>
    <s v="C0386"/>
    <s v="P001"/>
    <s v="R020"/>
    <d v="2025-06-30T00:00:00"/>
    <d v="2025-08-28T00:00:00"/>
    <d v="2025-08-28T00:00:00"/>
    <x v="0"/>
    <n v="1"/>
    <n v="5"/>
    <n v="114000"/>
    <n v="0"/>
    <s v="Budget"/>
    <s v="East"/>
    <x v="4"/>
    <s v="CRM"/>
    <x v="9"/>
    <x v="3"/>
  </r>
  <r>
    <s v="O02719"/>
    <s v="C0219"/>
    <s v="P004"/>
    <s v="R005"/>
    <d v="2025-04-21T00:00:00"/>
    <d v="2025-06-06T00:00:00"/>
    <m/>
    <x v="2"/>
    <n v="1"/>
    <n v="10"/>
    <n v="270000"/>
    <n v="60"/>
    <s v=""/>
    <s v="South"/>
    <x v="5"/>
    <s v="Analytics"/>
    <x v="11"/>
    <x v="2"/>
  </r>
  <r>
    <s v="O02720"/>
    <s v="C0186"/>
    <s v="P005"/>
    <s v="R014"/>
    <d v="2025-12-27T00:00:00"/>
    <d v="2026-03-17T00:00:00"/>
    <m/>
    <x v="2"/>
    <n v="1"/>
    <n v="5"/>
    <n v="171000"/>
    <n v="60"/>
    <s v=""/>
    <s v="West"/>
    <x v="3"/>
    <s v="Service"/>
    <x v="1"/>
    <x v="1"/>
  </r>
  <r>
    <s v="O02721"/>
    <s v="C0237"/>
    <s v="P001"/>
    <s v="R014"/>
    <d v="2025-07-09T00:00:00"/>
    <d v="2025-08-28T00:00:00"/>
    <m/>
    <x v="2"/>
    <n v="3"/>
    <n v="10"/>
    <n v="324000"/>
    <n v="60"/>
    <s v=""/>
    <s v="West"/>
    <x v="4"/>
    <s v="CRM"/>
    <x v="1"/>
    <x v="1"/>
  </r>
  <r>
    <s v="O02722"/>
    <s v="C0173"/>
    <s v="P005"/>
    <s v="R012"/>
    <d v="2025-11-07T00:00:00"/>
    <d v="2026-01-05T00:00:00"/>
    <m/>
    <x v="2"/>
    <n v="1"/>
    <n v="0"/>
    <n v="180000"/>
    <n v="80"/>
    <s v=""/>
    <s v="West"/>
    <x v="3"/>
    <s v="Service"/>
    <x v="14"/>
    <x v="1"/>
  </r>
  <r>
    <s v="O02723"/>
    <s v="C0359"/>
    <s v="P005"/>
    <s v="R013"/>
    <d v="2025-04-23T00:00:00"/>
    <d v="2025-07-11T00:00:00"/>
    <d v="2025-07-11T00:00:00"/>
    <x v="1"/>
    <n v="1"/>
    <n v="10"/>
    <n v="162000"/>
    <n v="100"/>
    <s v=""/>
    <s v="West"/>
    <x v="3"/>
    <s v="Service"/>
    <x v="5"/>
    <x v="1"/>
  </r>
  <r>
    <s v="O02724"/>
    <s v="C0237"/>
    <s v="P004"/>
    <s v="R012"/>
    <d v="2025-06-09T00:00:00"/>
    <d v="2025-08-25T00:00:00"/>
    <m/>
    <x v="2"/>
    <n v="1"/>
    <n v="15"/>
    <n v="255000"/>
    <n v="60"/>
    <s v=""/>
    <s v="West"/>
    <x v="5"/>
    <s v="Analytics"/>
    <x v="14"/>
    <x v="1"/>
  </r>
  <r>
    <s v="O02725"/>
    <s v="C0354"/>
    <s v="P004"/>
    <s v="R016"/>
    <d v="2025-04-13T00:00:00"/>
    <d v="2025-06-18T00:00:00"/>
    <d v="2025-06-18T00:00:00"/>
    <x v="0"/>
    <n v="2"/>
    <n v="15"/>
    <n v="510000"/>
    <n v="0"/>
    <s v="Price"/>
    <s v="East"/>
    <x v="5"/>
    <s v="Analytics"/>
    <x v="8"/>
    <x v="3"/>
  </r>
  <r>
    <s v="O02726"/>
    <s v="C0087"/>
    <s v="P002"/>
    <s v="R018"/>
    <d v="2025-07-28T00:00:00"/>
    <d v="2025-08-09T00:00:00"/>
    <d v="2025-08-09T00:00:00"/>
    <x v="1"/>
    <n v="1"/>
    <n v="0"/>
    <n v="420000"/>
    <n v="100"/>
    <s v=""/>
    <s v="East"/>
    <x v="0"/>
    <s v="CRM"/>
    <x v="18"/>
    <x v="3"/>
  </r>
  <r>
    <s v="O02727"/>
    <s v="C0003"/>
    <s v="P002"/>
    <s v="R005"/>
    <d v="2025-12-19T00:00:00"/>
    <d v="2026-01-03T00:00:00"/>
    <m/>
    <x v="2"/>
    <n v="1"/>
    <n v="10"/>
    <n v="378000"/>
    <n v="80"/>
    <s v=""/>
    <s v="South"/>
    <x v="0"/>
    <s v="CRM"/>
    <x v="11"/>
    <x v="2"/>
  </r>
  <r>
    <s v="O02728"/>
    <s v="C0247"/>
    <s v="P005"/>
    <s v="R007"/>
    <d v="2025-12-22T00:00:00"/>
    <d v="2026-01-30T00:00:00"/>
    <m/>
    <x v="2"/>
    <n v="3"/>
    <n v="15"/>
    <n v="459000"/>
    <n v="60"/>
    <s v=""/>
    <s v="North"/>
    <x v="3"/>
    <s v="Service"/>
    <x v="13"/>
    <x v="0"/>
  </r>
  <r>
    <s v="O02729"/>
    <s v="C0453"/>
    <s v="P006"/>
    <s v="R009"/>
    <d v="2025-06-25T00:00:00"/>
    <d v="2025-07-07T00:00:00"/>
    <d v="2025-07-07T00:00:00"/>
    <x v="1"/>
    <n v="1"/>
    <n v="10"/>
    <n v="324000"/>
    <n v="100"/>
    <s v=""/>
    <s v="North"/>
    <x v="2"/>
    <s v="Security"/>
    <x v="4"/>
    <x v="0"/>
  </r>
  <r>
    <s v="O02730"/>
    <s v="C0061"/>
    <s v="P004"/>
    <s v="R016"/>
    <d v="2025-07-27T00:00:00"/>
    <d v="2025-09-04T00:00:00"/>
    <d v="2025-09-04T00:00:00"/>
    <x v="0"/>
    <n v="1"/>
    <n v="20"/>
    <n v="240000"/>
    <n v="0"/>
    <s v="Competition"/>
    <s v="East"/>
    <x v="5"/>
    <s v="Analytics"/>
    <x v="8"/>
    <x v="3"/>
  </r>
  <r>
    <s v="O02731"/>
    <s v="C0323"/>
    <s v="P001"/>
    <s v="R019"/>
    <d v="2025-02-26T00:00:00"/>
    <d v="2025-03-24T00:00:00"/>
    <d v="2025-03-24T00:00:00"/>
    <x v="0"/>
    <n v="1"/>
    <n v="20"/>
    <n v="96000"/>
    <n v="0"/>
    <s v="Price"/>
    <s v="East"/>
    <x v="4"/>
    <s v="CRM"/>
    <x v="10"/>
    <x v="3"/>
  </r>
  <r>
    <s v="O02732"/>
    <s v="C0346"/>
    <s v="P001"/>
    <s v="R006"/>
    <d v="2025-10-06T00:00:00"/>
    <d v="2025-10-20T00:00:00"/>
    <m/>
    <x v="2"/>
    <n v="1"/>
    <n v="5"/>
    <n v="114000"/>
    <n v="40"/>
    <s v=""/>
    <s v="North"/>
    <x v="4"/>
    <s v="CRM"/>
    <x v="2"/>
    <x v="0"/>
  </r>
  <r>
    <s v="O02733"/>
    <s v="C0159"/>
    <s v="P003"/>
    <s v="R001"/>
    <d v="2025-02-05T00:00:00"/>
    <d v="2025-03-08T00:00:00"/>
    <d v="2025-03-08T00:00:00"/>
    <x v="0"/>
    <n v="1"/>
    <n v="10"/>
    <n v="216000"/>
    <n v="0"/>
    <s v="Competition"/>
    <s v="South"/>
    <x v="1"/>
    <s v="Automation"/>
    <x v="6"/>
    <x v="2"/>
  </r>
  <r>
    <s v="O02734"/>
    <s v="C0244"/>
    <s v="P006"/>
    <s v="R008"/>
    <d v="2025-11-15T00:00:00"/>
    <d v="2026-01-02T00:00:00"/>
    <m/>
    <x v="2"/>
    <n v="1"/>
    <n v="20"/>
    <n v="288000"/>
    <n v="20"/>
    <s v=""/>
    <s v="North"/>
    <x v="2"/>
    <s v="Security"/>
    <x v="0"/>
    <x v="0"/>
  </r>
  <r>
    <s v="O02735"/>
    <s v="C0071"/>
    <s v="P005"/>
    <s v="R009"/>
    <d v="2025-11-12T00:00:00"/>
    <d v="2026-01-01T00:00:00"/>
    <m/>
    <x v="2"/>
    <n v="1"/>
    <n v="20"/>
    <n v="144000"/>
    <n v="20"/>
    <s v=""/>
    <s v="North"/>
    <x v="3"/>
    <s v="Service"/>
    <x v="4"/>
    <x v="0"/>
  </r>
  <r>
    <s v="O02736"/>
    <s v="C0095"/>
    <s v="P004"/>
    <s v="R009"/>
    <d v="2025-06-13T00:00:00"/>
    <d v="2025-07-27T00:00:00"/>
    <m/>
    <x v="2"/>
    <n v="3"/>
    <n v="0"/>
    <n v="900000"/>
    <n v="40"/>
    <s v=""/>
    <s v="North"/>
    <x v="5"/>
    <s v="Analytics"/>
    <x v="4"/>
    <x v="0"/>
  </r>
  <r>
    <s v="O02737"/>
    <s v="C0371"/>
    <s v="P003"/>
    <s v="R002"/>
    <d v="2025-01-14T00:00:00"/>
    <d v="2025-02-04T00:00:00"/>
    <d v="2025-02-04T00:00:00"/>
    <x v="1"/>
    <n v="1"/>
    <n v="10"/>
    <n v="216000"/>
    <n v="100"/>
    <s v=""/>
    <s v="South"/>
    <x v="1"/>
    <s v="Automation"/>
    <x v="17"/>
    <x v="2"/>
  </r>
  <r>
    <s v="O02738"/>
    <s v="C0422"/>
    <s v="P006"/>
    <s v="R005"/>
    <d v="2025-08-27T00:00:00"/>
    <d v="2025-09-27T00:00:00"/>
    <d v="2025-09-27T00:00:00"/>
    <x v="1"/>
    <n v="1"/>
    <n v="5"/>
    <n v="342000"/>
    <n v="100"/>
    <s v=""/>
    <s v="South"/>
    <x v="2"/>
    <s v="Security"/>
    <x v="11"/>
    <x v="2"/>
  </r>
  <r>
    <s v="O02739"/>
    <s v="C0004"/>
    <s v="P006"/>
    <s v="R003"/>
    <d v="2025-02-24T00:00:00"/>
    <d v="2025-04-01T00:00:00"/>
    <d v="2025-04-01T00:00:00"/>
    <x v="0"/>
    <n v="2"/>
    <n v="5"/>
    <n v="684000"/>
    <n v="0"/>
    <s v="Price"/>
    <s v="South"/>
    <x v="2"/>
    <s v="Security"/>
    <x v="15"/>
    <x v="2"/>
  </r>
  <r>
    <s v="O02740"/>
    <s v="C0221"/>
    <s v="P002"/>
    <s v="R004"/>
    <d v="2025-01-29T00:00:00"/>
    <d v="2025-04-09T00:00:00"/>
    <d v="2025-04-09T00:00:00"/>
    <x v="0"/>
    <n v="3"/>
    <n v="15"/>
    <n v="1071000"/>
    <n v="0"/>
    <s v="Competition"/>
    <s v="South"/>
    <x v="0"/>
    <s v="CRM"/>
    <x v="3"/>
    <x v="2"/>
  </r>
  <r>
    <s v="O02741"/>
    <s v="C0220"/>
    <s v="P004"/>
    <s v="R020"/>
    <d v="2025-11-15T00:00:00"/>
    <d v="2025-12-07T00:00:00"/>
    <d v="2025-12-07T00:00:00"/>
    <x v="0"/>
    <n v="1"/>
    <n v="15"/>
    <n v="255000"/>
    <n v="0"/>
    <s v="No decision"/>
    <s v="East"/>
    <x v="5"/>
    <s v="Analytics"/>
    <x v="9"/>
    <x v="3"/>
  </r>
  <r>
    <s v="O02742"/>
    <s v="C0091"/>
    <s v="P006"/>
    <s v="R020"/>
    <d v="2025-07-08T00:00:00"/>
    <d v="2025-08-28T00:00:00"/>
    <m/>
    <x v="2"/>
    <n v="2"/>
    <n v="5"/>
    <n v="684000"/>
    <n v="20"/>
    <s v=""/>
    <s v="East"/>
    <x v="2"/>
    <s v="Security"/>
    <x v="9"/>
    <x v="3"/>
  </r>
  <r>
    <s v="O02743"/>
    <s v="C0039"/>
    <s v="P003"/>
    <s v="R004"/>
    <d v="2025-07-06T00:00:00"/>
    <d v="2025-09-07T00:00:00"/>
    <m/>
    <x v="2"/>
    <n v="2"/>
    <n v="5"/>
    <n v="456000"/>
    <n v="80"/>
    <s v=""/>
    <s v="South"/>
    <x v="1"/>
    <s v="Automation"/>
    <x v="3"/>
    <x v="2"/>
  </r>
  <r>
    <s v="O02744"/>
    <s v="C0214"/>
    <s v="P005"/>
    <s v="R003"/>
    <d v="2025-12-06T00:00:00"/>
    <d v="2026-02-14T00:00:00"/>
    <m/>
    <x v="2"/>
    <n v="2"/>
    <n v="0"/>
    <n v="360000"/>
    <n v="60"/>
    <s v=""/>
    <s v="South"/>
    <x v="3"/>
    <s v="Service"/>
    <x v="15"/>
    <x v="2"/>
  </r>
  <r>
    <s v="O02745"/>
    <s v="C0307"/>
    <s v="P006"/>
    <s v="R010"/>
    <d v="2025-07-31T00:00:00"/>
    <d v="2025-09-19T00:00:00"/>
    <m/>
    <x v="2"/>
    <n v="1"/>
    <n v="0"/>
    <n v="360000"/>
    <n v="60"/>
    <s v=""/>
    <s v="North"/>
    <x v="2"/>
    <s v="Security"/>
    <x v="16"/>
    <x v="0"/>
  </r>
  <r>
    <s v="O02746"/>
    <s v="C0234"/>
    <s v="P001"/>
    <s v="R008"/>
    <d v="2025-03-26T00:00:00"/>
    <d v="2025-05-20T00:00:00"/>
    <d v="2025-05-20T00:00:00"/>
    <x v="0"/>
    <n v="3"/>
    <n v="15"/>
    <n v="306000"/>
    <n v="0"/>
    <s v="Price"/>
    <s v="North"/>
    <x v="4"/>
    <s v="CRM"/>
    <x v="0"/>
    <x v="0"/>
  </r>
  <r>
    <s v="O02747"/>
    <s v="C0355"/>
    <s v="P006"/>
    <s v="R014"/>
    <d v="2025-04-23T00:00:00"/>
    <d v="2025-05-23T00:00:00"/>
    <d v="2025-05-23T00:00:00"/>
    <x v="0"/>
    <n v="3"/>
    <n v="10"/>
    <n v="972000"/>
    <n v="0"/>
    <s v="Budget"/>
    <s v="West"/>
    <x v="2"/>
    <s v="Security"/>
    <x v="1"/>
    <x v="1"/>
  </r>
  <r>
    <s v="O02748"/>
    <s v="C0328"/>
    <s v="P002"/>
    <s v="R011"/>
    <d v="2025-11-24T00:00:00"/>
    <d v="2025-12-24T00:00:00"/>
    <d v="2025-12-24T00:00:00"/>
    <x v="0"/>
    <n v="1"/>
    <n v="5"/>
    <n v="399000"/>
    <n v="0"/>
    <s v="Competition"/>
    <s v="West"/>
    <x v="0"/>
    <s v="CRM"/>
    <x v="12"/>
    <x v="1"/>
  </r>
  <r>
    <s v="O02749"/>
    <s v="C0460"/>
    <s v="P004"/>
    <s v="R014"/>
    <d v="2025-05-05T00:00:00"/>
    <d v="2025-05-24T00:00:00"/>
    <d v="2025-05-24T00:00:00"/>
    <x v="1"/>
    <n v="1"/>
    <n v="20"/>
    <n v="240000"/>
    <n v="100"/>
    <s v=""/>
    <s v="West"/>
    <x v="5"/>
    <s v="Analytics"/>
    <x v="1"/>
    <x v="1"/>
  </r>
  <r>
    <s v="O02750"/>
    <s v="C0190"/>
    <s v="P005"/>
    <s v="R020"/>
    <d v="2025-05-04T00:00:00"/>
    <d v="2025-07-19T00:00:00"/>
    <d v="2025-07-19T00:00:00"/>
    <x v="0"/>
    <n v="1"/>
    <n v="5"/>
    <n v="171000"/>
    <n v="0"/>
    <s v="Budget"/>
    <s v="East"/>
    <x v="3"/>
    <s v="Service"/>
    <x v="9"/>
    <x v="3"/>
  </r>
  <r>
    <s v="O02751"/>
    <s v="C0069"/>
    <s v="P005"/>
    <s v="R014"/>
    <d v="2025-11-30T00:00:00"/>
    <d v="2025-12-17T00:00:00"/>
    <d v="2025-12-17T00:00:00"/>
    <x v="0"/>
    <n v="1"/>
    <n v="0"/>
    <n v="180000"/>
    <n v="0"/>
    <s v="Price"/>
    <s v="West"/>
    <x v="3"/>
    <s v="Service"/>
    <x v="1"/>
    <x v="1"/>
  </r>
  <r>
    <s v="O02752"/>
    <s v="C0063"/>
    <s v="P001"/>
    <s v="R008"/>
    <d v="2025-11-07T00:00:00"/>
    <d v="2025-12-10T00:00:00"/>
    <d v="2025-12-10T00:00:00"/>
    <x v="0"/>
    <n v="2"/>
    <n v="0"/>
    <n v="240000"/>
    <n v="0"/>
    <s v="Price"/>
    <s v="North"/>
    <x v="4"/>
    <s v="CRM"/>
    <x v="0"/>
    <x v="0"/>
  </r>
  <r>
    <s v="O02753"/>
    <s v="C0015"/>
    <s v="P006"/>
    <s v="R003"/>
    <d v="2025-11-12T00:00:00"/>
    <d v="2026-01-24T00:00:00"/>
    <m/>
    <x v="2"/>
    <n v="1"/>
    <n v="10"/>
    <n v="324000"/>
    <n v="60"/>
    <s v=""/>
    <s v="South"/>
    <x v="2"/>
    <s v="Security"/>
    <x v="15"/>
    <x v="2"/>
  </r>
  <r>
    <s v="O02754"/>
    <s v="C0417"/>
    <s v="P001"/>
    <s v="R015"/>
    <d v="2025-04-06T00:00:00"/>
    <d v="2025-06-04T00:00:00"/>
    <d v="2025-06-04T00:00:00"/>
    <x v="0"/>
    <n v="1"/>
    <n v="10"/>
    <n v="108000"/>
    <n v="0"/>
    <s v="No decision"/>
    <s v="West"/>
    <x v="4"/>
    <s v="CRM"/>
    <x v="7"/>
    <x v="1"/>
  </r>
  <r>
    <s v="O02755"/>
    <s v="C0428"/>
    <s v="P004"/>
    <s v="R009"/>
    <d v="2025-01-02T00:00:00"/>
    <d v="2025-03-06T00:00:00"/>
    <m/>
    <x v="2"/>
    <n v="3"/>
    <n v="15"/>
    <n v="765000"/>
    <n v="20"/>
    <s v=""/>
    <s v="North"/>
    <x v="5"/>
    <s v="Analytics"/>
    <x v="4"/>
    <x v="0"/>
  </r>
  <r>
    <s v="O02756"/>
    <s v="C0398"/>
    <s v="P003"/>
    <s v="R010"/>
    <d v="2025-07-06T00:00:00"/>
    <d v="2025-08-02T00:00:00"/>
    <d v="2025-08-02T00:00:00"/>
    <x v="0"/>
    <n v="2"/>
    <n v="15"/>
    <n v="408000"/>
    <n v="0"/>
    <s v="No decision"/>
    <s v="North"/>
    <x v="1"/>
    <s v="Automation"/>
    <x v="16"/>
    <x v="0"/>
  </r>
  <r>
    <s v="O02757"/>
    <s v="C0344"/>
    <s v="P003"/>
    <s v="R015"/>
    <d v="2025-01-15T00:00:00"/>
    <d v="2025-01-24T00:00:00"/>
    <d v="2025-01-24T00:00:00"/>
    <x v="0"/>
    <n v="3"/>
    <n v="5"/>
    <n v="684000"/>
    <n v="0"/>
    <s v="No decision"/>
    <s v="West"/>
    <x v="1"/>
    <s v="Automation"/>
    <x v="7"/>
    <x v="1"/>
  </r>
  <r>
    <s v="O02758"/>
    <s v="C0337"/>
    <s v="P002"/>
    <s v="R001"/>
    <d v="2025-11-16T00:00:00"/>
    <d v="2025-12-26T00:00:00"/>
    <m/>
    <x v="2"/>
    <n v="1"/>
    <n v="20"/>
    <n v="336000"/>
    <n v="80"/>
    <s v=""/>
    <s v="South"/>
    <x v="0"/>
    <s v="CRM"/>
    <x v="6"/>
    <x v="2"/>
  </r>
  <r>
    <s v="O02759"/>
    <s v="C0451"/>
    <s v="P002"/>
    <s v="R010"/>
    <d v="2025-06-27T00:00:00"/>
    <d v="2025-08-27T00:00:00"/>
    <m/>
    <x v="2"/>
    <n v="1"/>
    <n v="5"/>
    <n v="399000"/>
    <n v="80"/>
    <s v=""/>
    <s v="North"/>
    <x v="0"/>
    <s v="CRM"/>
    <x v="16"/>
    <x v="0"/>
  </r>
  <r>
    <s v="O02760"/>
    <s v="C0243"/>
    <s v="P006"/>
    <s v="R020"/>
    <d v="2025-09-12T00:00:00"/>
    <d v="2025-10-03T00:00:00"/>
    <m/>
    <x v="2"/>
    <n v="3"/>
    <n v="20"/>
    <n v="864000"/>
    <n v="20"/>
    <s v=""/>
    <s v="East"/>
    <x v="2"/>
    <s v="Security"/>
    <x v="9"/>
    <x v="3"/>
  </r>
  <r>
    <s v="O02761"/>
    <s v="C0450"/>
    <s v="P006"/>
    <s v="R012"/>
    <d v="2025-04-17T00:00:00"/>
    <d v="2025-05-28T00:00:00"/>
    <d v="2025-05-28T00:00:00"/>
    <x v="1"/>
    <n v="1"/>
    <n v="5"/>
    <n v="342000"/>
    <n v="100"/>
    <s v=""/>
    <s v="West"/>
    <x v="2"/>
    <s v="Security"/>
    <x v="14"/>
    <x v="1"/>
  </r>
  <r>
    <s v="O02762"/>
    <s v="C0251"/>
    <s v="P005"/>
    <s v="R019"/>
    <d v="2025-11-05T00:00:00"/>
    <d v="2025-12-13T00:00:00"/>
    <d v="2025-12-13T00:00:00"/>
    <x v="0"/>
    <n v="3"/>
    <n v="15"/>
    <n v="459000"/>
    <n v="0"/>
    <s v="Feature gap"/>
    <s v="East"/>
    <x v="3"/>
    <s v="Service"/>
    <x v="10"/>
    <x v="3"/>
  </r>
  <r>
    <s v="O02763"/>
    <s v="C0093"/>
    <s v="P001"/>
    <s v="R008"/>
    <d v="2025-05-25T00:00:00"/>
    <d v="2025-07-01T00:00:00"/>
    <d v="2025-07-01T00:00:00"/>
    <x v="0"/>
    <n v="1"/>
    <n v="0"/>
    <n v="120000"/>
    <n v="0"/>
    <s v="Feature gap"/>
    <s v="North"/>
    <x v="4"/>
    <s v="CRM"/>
    <x v="0"/>
    <x v="0"/>
  </r>
  <r>
    <s v="O02764"/>
    <s v="C0412"/>
    <s v="P001"/>
    <s v="R013"/>
    <d v="2025-03-14T00:00:00"/>
    <d v="2025-05-03T00:00:00"/>
    <d v="2025-05-03T00:00:00"/>
    <x v="0"/>
    <n v="3"/>
    <n v="20"/>
    <n v="288000"/>
    <n v="0"/>
    <s v="Price"/>
    <s v="West"/>
    <x v="4"/>
    <s v="CRM"/>
    <x v="5"/>
    <x v="1"/>
  </r>
  <r>
    <s v="O02765"/>
    <s v="C0064"/>
    <s v="P005"/>
    <s v="R017"/>
    <d v="2025-11-17T00:00:00"/>
    <d v="2025-12-24T00:00:00"/>
    <m/>
    <x v="2"/>
    <n v="2"/>
    <n v="15"/>
    <n v="306000"/>
    <n v="60"/>
    <s v=""/>
    <s v="East"/>
    <x v="3"/>
    <s v="Service"/>
    <x v="19"/>
    <x v="3"/>
  </r>
  <r>
    <s v="O02766"/>
    <s v="C0171"/>
    <s v="P006"/>
    <s v="R016"/>
    <d v="2025-09-12T00:00:00"/>
    <d v="2025-10-20T00:00:00"/>
    <d v="2025-10-20T00:00:00"/>
    <x v="1"/>
    <n v="1"/>
    <n v="20"/>
    <n v="288000"/>
    <n v="100"/>
    <s v=""/>
    <s v="East"/>
    <x v="2"/>
    <s v="Security"/>
    <x v="8"/>
    <x v="3"/>
  </r>
  <r>
    <s v="O02767"/>
    <s v="C0490"/>
    <s v="P006"/>
    <s v="R004"/>
    <d v="2025-11-12T00:00:00"/>
    <d v="2026-01-05T00:00:00"/>
    <m/>
    <x v="2"/>
    <n v="1"/>
    <n v="15"/>
    <n v="306000"/>
    <n v="40"/>
    <s v=""/>
    <s v="South"/>
    <x v="2"/>
    <s v="Security"/>
    <x v="3"/>
    <x v="2"/>
  </r>
  <r>
    <s v="O02768"/>
    <s v="C0085"/>
    <s v="P001"/>
    <s v="R010"/>
    <d v="2025-03-12T00:00:00"/>
    <d v="2025-04-04T00:00:00"/>
    <m/>
    <x v="2"/>
    <n v="1"/>
    <n v="0"/>
    <n v="120000"/>
    <n v="80"/>
    <s v=""/>
    <s v="North"/>
    <x v="4"/>
    <s v="CRM"/>
    <x v="16"/>
    <x v="0"/>
  </r>
  <r>
    <s v="O02769"/>
    <s v="C0171"/>
    <s v="P001"/>
    <s v="R016"/>
    <d v="2025-02-23T00:00:00"/>
    <d v="2025-04-03T00:00:00"/>
    <d v="2025-04-03T00:00:00"/>
    <x v="1"/>
    <n v="3"/>
    <n v="15"/>
    <n v="306000"/>
    <n v="100"/>
    <s v=""/>
    <s v="East"/>
    <x v="4"/>
    <s v="CRM"/>
    <x v="8"/>
    <x v="3"/>
  </r>
  <r>
    <s v="O02770"/>
    <s v="C0261"/>
    <s v="P005"/>
    <s v="R010"/>
    <d v="2025-05-12T00:00:00"/>
    <d v="2025-08-01T00:00:00"/>
    <d v="2025-08-01T00:00:00"/>
    <x v="0"/>
    <n v="1"/>
    <n v="20"/>
    <n v="144000"/>
    <n v="0"/>
    <s v="Competition"/>
    <s v="North"/>
    <x v="3"/>
    <s v="Service"/>
    <x v="16"/>
    <x v="0"/>
  </r>
  <r>
    <s v="O02771"/>
    <s v="C0211"/>
    <s v="P002"/>
    <s v="R020"/>
    <d v="2025-05-12T00:00:00"/>
    <d v="2025-06-21T00:00:00"/>
    <d v="2025-06-21T00:00:00"/>
    <x v="0"/>
    <n v="2"/>
    <n v="10"/>
    <n v="756000"/>
    <n v="0"/>
    <s v="Budget"/>
    <s v="East"/>
    <x v="0"/>
    <s v="CRM"/>
    <x v="9"/>
    <x v="3"/>
  </r>
  <r>
    <s v="O02772"/>
    <s v="C0069"/>
    <s v="P006"/>
    <s v="R015"/>
    <d v="2025-09-19T00:00:00"/>
    <d v="2025-11-15T00:00:00"/>
    <d v="2025-11-15T00:00:00"/>
    <x v="0"/>
    <n v="1"/>
    <n v="15"/>
    <n v="306000"/>
    <n v="0"/>
    <s v="Price"/>
    <s v="West"/>
    <x v="2"/>
    <s v="Security"/>
    <x v="7"/>
    <x v="1"/>
  </r>
  <r>
    <s v="O02773"/>
    <s v="C0040"/>
    <s v="P002"/>
    <s v="R010"/>
    <d v="2025-02-20T00:00:00"/>
    <d v="2025-04-23T00:00:00"/>
    <d v="2025-04-23T00:00:00"/>
    <x v="1"/>
    <n v="3"/>
    <n v="20"/>
    <n v="1008000"/>
    <n v="100"/>
    <s v=""/>
    <s v="North"/>
    <x v="0"/>
    <s v="CRM"/>
    <x v="16"/>
    <x v="0"/>
  </r>
  <r>
    <s v="O02774"/>
    <s v="C0063"/>
    <s v="P003"/>
    <s v="R008"/>
    <d v="2025-03-19T00:00:00"/>
    <d v="2025-04-09T00:00:00"/>
    <d v="2025-04-09T00:00:00"/>
    <x v="1"/>
    <n v="1"/>
    <n v="10"/>
    <n v="216000"/>
    <n v="100"/>
    <s v=""/>
    <s v="North"/>
    <x v="1"/>
    <s v="Automation"/>
    <x v="0"/>
    <x v="0"/>
  </r>
  <r>
    <s v="O02775"/>
    <s v="C0118"/>
    <s v="P004"/>
    <s v="R002"/>
    <d v="2025-01-23T00:00:00"/>
    <d v="2025-02-07T00:00:00"/>
    <d v="2025-02-07T00:00:00"/>
    <x v="0"/>
    <n v="3"/>
    <n v="15"/>
    <n v="765000"/>
    <n v="0"/>
    <s v="Competition"/>
    <s v="South"/>
    <x v="5"/>
    <s v="Analytics"/>
    <x v="17"/>
    <x v="2"/>
  </r>
  <r>
    <s v="O02776"/>
    <s v="C0175"/>
    <s v="P005"/>
    <s v="R002"/>
    <d v="2025-11-24T00:00:00"/>
    <d v="2026-01-15T00:00:00"/>
    <m/>
    <x v="2"/>
    <n v="3"/>
    <n v="5"/>
    <n v="513000"/>
    <n v="80"/>
    <s v=""/>
    <s v="South"/>
    <x v="3"/>
    <s v="Service"/>
    <x v="17"/>
    <x v="2"/>
  </r>
  <r>
    <s v="O02777"/>
    <s v="C0178"/>
    <s v="P005"/>
    <s v="R015"/>
    <d v="2025-12-28T00:00:00"/>
    <d v="2026-03-11T00:00:00"/>
    <m/>
    <x v="2"/>
    <n v="1"/>
    <n v="20"/>
    <n v="144000"/>
    <n v="20"/>
    <s v=""/>
    <s v="West"/>
    <x v="3"/>
    <s v="Service"/>
    <x v="7"/>
    <x v="1"/>
  </r>
  <r>
    <s v="O02778"/>
    <s v="C0287"/>
    <s v="P002"/>
    <s v="R018"/>
    <d v="2025-03-11T00:00:00"/>
    <d v="2025-03-18T00:00:00"/>
    <m/>
    <x v="2"/>
    <n v="2"/>
    <n v="10"/>
    <n v="756000"/>
    <n v="40"/>
    <s v=""/>
    <s v="East"/>
    <x v="0"/>
    <s v="CRM"/>
    <x v="18"/>
    <x v="3"/>
  </r>
  <r>
    <s v="O02779"/>
    <s v="C0233"/>
    <s v="P006"/>
    <s v="R006"/>
    <d v="2025-11-02T00:00:00"/>
    <d v="2025-11-10T00:00:00"/>
    <d v="2025-11-10T00:00:00"/>
    <x v="0"/>
    <n v="1"/>
    <n v="0"/>
    <n v="360000"/>
    <n v="0"/>
    <s v="Competition"/>
    <s v="North"/>
    <x v="2"/>
    <s v="Security"/>
    <x v="2"/>
    <x v="0"/>
  </r>
  <r>
    <s v="O02780"/>
    <s v="C0114"/>
    <s v="P002"/>
    <s v="R013"/>
    <d v="2025-11-28T00:00:00"/>
    <d v="2026-02-09T00:00:00"/>
    <m/>
    <x v="2"/>
    <n v="2"/>
    <n v="5"/>
    <n v="798000"/>
    <n v="60"/>
    <s v=""/>
    <s v="West"/>
    <x v="0"/>
    <s v="CRM"/>
    <x v="5"/>
    <x v="1"/>
  </r>
  <r>
    <s v="O02781"/>
    <s v="C0416"/>
    <s v="P005"/>
    <s v="R020"/>
    <d v="2025-08-10T00:00:00"/>
    <d v="2025-08-26T00:00:00"/>
    <m/>
    <x v="2"/>
    <n v="1"/>
    <n v="5"/>
    <n v="171000"/>
    <n v="60"/>
    <s v=""/>
    <s v="East"/>
    <x v="3"/>
    <s v="Service"/>
    <x v="9"/>
    <x v="3"/>
  </r>
  <r>
    <s v="O02782"/>
    <s v="C0334"/>
    <s v="P005"/>
    <s v="R013"/>
    <d v="2025-04-01T00:00:00"/>
    <d v="2025-06-03T00:00:00"/>
    <m/>
    <x v="2"/>
    <n v="2"/>
    <n v="20"/>
    <n v="288000"/>
    <n v="20"/>
    <s v=""/>
    <s v="West"/>
    <x v="3"/>
    <s v="Service"/>
    <x v="5"/>
    <x v="1"/>
  </r>
  <r>
    <s v="O02783"/>
    <s v="C0208"/>
    <s v="P003"/>
    <s v="R001"/>
    <d v="2025-02-24T00:00:00"/>
    <d v="2025-03-09T00:00:00"/>
    <m/>
    <x v="2"/>
    <n v="1"/>
    <n v="10"/>
    <n v="216000"/>
    <n v="60"/>
    <s v=""/>
    <s v="South"/>
    <x v="1"/>
    <s v="Automation"/>
    <x v="6"/>
    <x v="2"/>
  </r>
  <r>
    <s v="O02784"/>
    <s v="C0174"/>
    <s v="P004"/>
    <s v="R013"/>
    <d v="2025-02-17T00:00:00"/>
    <d v="2025-02-28T00:00:00"/>
    <d v="2025-02-28T00:00:00"/>
    <x v="1"/>
    <n v="1"/>
    <n v="5"/>
    <n v="285000"/>
    <n v="100"/>
    <s v=""/>
    <s v="West"/>
    <x v="5"/>
    <s v="Analytics"/>
    <x v="5"/>
    <x v="1"/>
  </r>
  <r>
    <s v="O02785"/>
    <s v="C0411"/>
    <s v="P003"/>
    <s v="R015"/>
    <d v="2025-02-08T00:00:00"/>
    <d v="2025-03-16T00:00:00"/>
    <m/>
    <x v="2"/>
    <n v="1"/>
    <n v="5"/>
    <n v="228000"/>
    <n v="20"/>
    <s v=""/>
    <s v="West"/>
    <x v="1"/>
    <s v="Automation"/>
    <x v="7"/>
    <x v="1"/>
  </r>
  <r>
    <s v="O02786"/>
    <s v="C0423"/>
    <s v="P001"/>
    <s v="R001"/>
    <d v="2025-03-13T00:00:00"/>
    <d v="2025-05-25T00:00:00"/>
    <d v="2025-05-25T00:00:00"/>
    <x v="0"/>
    <n v="1"/>
    <n v="5"/>
    <n v="114000"/>
    <n v="0"/>
    <s v="Price"/>
    <s v="South"/>
    <x v="4"/>
    <s v="CRM"/>
    <x v="6"/>
    <x v="2"/>
  </r>
  <r>
    <s v="O02787"/>
    <s v="C0345"/>
    <s v="P003"/>
    <s v="R020"/>
    <d v="2025-03-31T00:00:00"/>
    <d v="2025-04-27T00:00:00"/>
    <d v="2025-04-27T00:00:00"/>
    <x v="0"/>
    <n v="1"/>
    <n v="20"/>
    <n v="192000"/>
    <n v="0"/>
    <s v="Budget"/>
    <s v="East"/>
    <x v="1"/>
    <s v="Automation"/>
    <x v="9"/>
    <x v="3"/>
  </r>
  <r>
    <s v="O02788"/>
    <s v="C0153"/>
    <s v="P003"/>
    <s v="R003"/>
    <d v="2025-11-01T00:00:00"/>
    <d v="2025-11-14T00:00:00"/>
    <m/>
    <x v="2"/>
    <n v="1"/>
    <n v="15"/>
    <n v="204000"/>
    <n v="60"/>
    <s v=""/>
    <s v="South"/>
    <x v="1"/>
    <s v="Automation"/>
    <x v="15"/>
    <x v="2"/>
  </r>
  <r>
    <s v="O02789"/>
    <s v="C0218"/>
    <s v="P004"/>
    <s v="R019"/>
    <d v="2025-03-06T00:00:00"/>
    <d v="2025-05-13T00:00:00"/>
    <d v="2025-05-13T00:00:00"/>
    <x v="1"/>
    <n v="2"/>
    <n v="0"/>
    <n v="600000"/>
    <n v="100"/>
    <s v=""/>
    <s v="East"/>
    <x v="5"/>
    <s v="Analytics"/>
    <x v="10"/>
    <x v="3"/>
  </r>
  <r>
    <s v="O02790"/>
    <s v="C0306"/>
    <s v="P004"/>
    <s v="R013"/>
    <d v="2025-03-17T00:00:00"/>
    <d v="2025-06-09T00:00:00"/>
    <d v="2025-06-09T00:00:00"/>
    <x v="0"/>
    <n v="2"/>
    <n v="20"/>
    <n v="480000"/>
    <n v="0"/>
    <s v="No decision"/>
    <s v="West"/>
    <x v="5"/>
    <s v="Analytics"/>
    <x v="5"/>
    <x v="1"/>
  </r>
  <r>
    <s v="O02791"/>
    <s v="C0468"/>
    <s v="P002"/>
    <s v="R001"/>
    <d v="2025-02-25T00:00:00"/>
    <d v="2025-03-19T00:00:00"/>
    <d v="2025-03-19T00:00:00"/>
    <x v="0"/>
    <n v="1"/>
    <n v="15"/>
    <n v="357000"/>
    <n v="0"/>
    <s v="Competition"/>
    <s v="South"/>
    <x v="0"/>
    <s v="CRM"/>
    <x v="6"/>
    <x v="2"/>
  </r>
  <r>
    <s v="O02792"/>
    <s v="C0347"/>
    <s v="P006"/>
    <s v="R003"/>
    <d v="2025-04-20T00:00:00"/>
    <d v="2025-06-25T00:00:00"/>
    <m/>
    <x v="2"/>
    <n v="3"/>
    <n v="0"/>
    <n v="1080000"/>
    <n v="80"/>
    <s v=""/>
    <s v="South"/>
    <x v="2"/>
    <s v="Security"/>
    <x v="15"/>
    <x v="2"/>
  </r>
  <r>
    <s v="O02793"/>
    <s v="C0331"/>
    <s v="P002"/>
    <s v="R004"/>
    <d v="2025-05-14T00:00:00"/>
    <d v="2025-07-31T00:00:00"/>
    <d v="2025-07-31T00:00:00"/>
    <x v="1"/>
    <n v="2"/>
    <n v="10"/>
    <n v="756000"/>
    <n v="100"/>
    <s v=""/>
    <s v="South"/>
    <x v="0"/>
    <s v="CRM"/>
    <x v="3"/>
    <x v="2"/>
  </r>
  <r>
    <s v="O02794"/>
    <s v="C0168"/>
    <s v="P004"/>
    <s v="R020"/>
    <d v="2025-05-11T00:00:00"/>
    <d v="2025-07-20T00:00:00"/>
    <d v="2025-07-20T00:00:00"/>
    <x v="0"/>
    <n v="3"/>
    <n v="10"/>
    <n v="810000"/>
    <n v="0"/>
    <s v="No decision"/>
    <s v="East"/>
    <x v="5"/>
    <s v="Analytics"/>
    <x v="9"/>
    <x v="3"/>
  </r>
  <r>
    <s v="O02795"/>
    <s v="C0399"/>
    <s v="P005"/>
    <s v="R018"/>
    <d v="2025-07-11T00:00:00"/>
    <d v="2025-10-03T00:00:00"/>
    <d v="2025-10-03T00:00:00"/>
    <x v="1"/>
    <n v="1"/>
    <n v="5"/>
    <n v="171000"/>
    <n v="100"/>
    <s v=""/>
    <s v="East"/>
    <x v="3"/>
    <s v="Service"/>
    <x v="18"/>
    <x v="3"/>
  </r>
  <r>
    <s v="O02796"/>
    <s v="C0450"/>
    <s v="P001"/>
    <s v="R012"/>
    <d v="2025-11-15T00:00:00"/>
    <d v="2026-01-08T00:00:00"/>
    <m/>
    <x v="2"/>
    <n v="3"/>
    <n v="15"/>
    <n v="306000"/>
    <n v="40"/>
    <s v=""/>
    <s v="West"/>
    <x v="4"/>
    <s v="CRM"/>
    <x v="14"/>
    <x v="1"/>
  </r>
  <r>
    <s v="O02797"/>
    <s v="C0126"/>
    <s v="P004"/>
    <s v="R006"/>
    <d v="2025-04-24T00:00:00"/>
    <d v="2025-05-03T00:00:00"/>
    <d v="2025-05-03T00:00:00"/>
    <x v="0"/>
    <n v="1"/>
    <n v="10"/>
    <n v="270000"/>
    <n v="0"/>
    <s v="No decision"/>
    <s v="North"/>
    <x v="5"/>
    <s v="Analytics"/>
    <x v="2"/>
    <x v="0"/>
  </r>
  <r>
    <s v="O02798"/>
    <s v="C0253"/>
    <s v="P003"/>
    <s v="R015"/>
    <d v="2025-01-08T00:00:00"/>
    <d v="2025-02-12T00:00:00"/>
    <d v="2025-02-12T00:00:00"/>
    <x v="0"/>
    <n v="1"/>
    <n v="20"/>
    <n v="192000"/>
    <n v="0"/>
    <s v="Price"/>
    <s v="West"/>
    <x v="1"/>
    <s v="Automation"/>
    <x v="7"/>
    <x v="1"/>
  </r>
  <r>
    <s v="O02799"/>
    <s v="C0487"/>
    <s v="P006"/>
    <s v="R014"/>
    <d v="2025-01-15T00:00:00"/>
    <d v="2025-02-03T00:00:00"/>
    <d v="2025-02-03T00:00:00"/>
    <x v="0"/>
    <n v="3"/>
    <n v="10"/>
    <n v="972000"/>
    <n v="0"/>
    <s v="No decision"/>
    <s v="West"/>
    <x v="2"/>
    <s v="Security"/>
    <x v="1"/>
    <x v="1"/>
  </r>
  <r>
    <s v="O02800"/>
    <s v="C0498"/>
    <s v="P006"/>
    <s v="R016"/>
    <d v="2025-08-02T00:00:00"/>
    <d v="2025-08-27T00:00:00"/>
    <m/>
    <x v="2"/>
    <n v="2"/>
    <n v="10"/>
    <n v="648000"/>
    <n v="40"/>
    <s v=""/>
    <s v="East"/>
    <x v="2"/>
    <s v="Security"/>
    <x v="8"/>
    <x v="3"/>
  </r>
  <r>
    <s v="O02801"/>
    <s v="C0353"/>
    <s v="P004"/>
    <s v="R011"/>
    <d v="2025-02-02T00:00:00"/>
    <d v="2025-02-25T00:00:00"/>
    <d v="2025-02-25T00:00:00"/>
    <x v="0"/>
    <n v="1"/>
    <n v="15"/>
    <n v="255000"/>
    <n v="0"/>
    <s v="Price"/>
    <s v="West"/>
    <x v="5"/>
    <s v="Analytics"/>
    <x v="12"/>
    <x v="1"/>
  </r>
  <r>
    <s v="O02802"/>
    <s v="C0416"/>
    <s v="P004"/>
    <s v="R016"/>
    <d v="2025-01-04T00:00:00"/>
    <d v="2025-01-13T00:00:00"/>
    <d v="2025-01-13T00:00:00"/>
    <x v="0"/>
    <n v="1"/>
    <n v="0"/>
    <n v="300000"/>
    <n v="0"/>
    <s v="Competition"/>
    <s v="East"/>
    <x v="5"/>
    <s v="Analytics"/>
    <x v="8"/>
    <x v="3"/>
  </r>
  <r>
    <s v="O02803"/>
    <s v="C0050"/>
    <s v="P006"/>
    <s v="R001"/>
    <d v="2025-03-04T00:00:00"/>
    <d v="2025-03-20T00:00:00"/>
    <m/>
    <x v="2"/>
    <n v="3"/>
    <n v="0"/>
    <n v="1080000"/>
    <n v="80"/>
    <s v=""/>
    <s v="South"/>
    <x v="2"/>
    <s v="Security"/>
    <x v="6"/>
    <x v="2"/>
  </r>
  <r>
    <s v="O02804"/>
    <s v="C0462"/>
    <s v="P004"/>
    <s v="R006"/>
    <d v="2025-01-21T00:00:00"/>
    <d v="2025-02-11T00:00:00"/>
    <m/>
    <x v="2"/>
    <n v="1"/>
    <n v="20"/>
    <n v="240000"/>
    <n v="60"/>
    <s v=""/>
    <s v="North"/>
    <x v="5"/>
    <s v="Analytics"/>
    <x v="2"/>
    <x v="0"/>
  </r>
  <r>
    <s v="O02805"/>
    <s v="C0381"/>
    <s v="P002"/>
    <s v="R003"/>
    <d v="2025-02-27T00:00:00"/>
    <d v="2025-04-07T00:00:00"/>
    <d v="2025-04-07T00:00:00"/>
    <x v="0"/>
    <n v="1"/>
    <n v="20"/>
    <n v="336000"/>
    <n v="0"/>
    <s v="Feature gap"/>
    <s v="South"/>
    <x v="0"/>
    <s v="CRM"/>
    <x v="15"/>
    <x v="2"/>
  </r>
  <r>
    <s v="O02806"/>
    <s v="C0168"/>
    <s v="P001"/>
    <s v="R017"/>
    <d v="2025-12-28T00:00:00"/>
    <d v="2026-01-24T00:00:00"/>
    <m/>
    <x v="2"/>
    <n v="1"/>
    <n v="20"/>
    <n v="96000"/>
    <n v="40"/>
    <s v=""/>
    <s v="East"/>
    <x v="4"/>
    <s v="CRM"/>
    <x v="19"/>
    <x v="3"/>
  </r>
  <r>
    <s v="O02807"/>
    <s v="C0334"/>
    <s v="P002"/>
    <s v="R014"/>
    <d v="2025-04-21T00:00:00"/>
    <d v="2025-06-14T00:00:00"/>
    <d v="2025-06-14T00:00:00"/>
    <x v="1"/>
    <n v="1"/>
    <n v="5"/>
    <n v="399000"/>
    <n v="100"/>
    <s v=""/>
    <s v="West"/>
    <x v="0"/>
    <s v="CRM"/>
    <x v="1"/>
    <x v="1"/>
  </r>
  <r>
    <s v="O02808"/>
    <s v="C0106"/>
    <s v="P005"/>
    <s v="R012"/>
    <d v="2025-01-08T00:00:00"/>
    <d v="2025-03-23T00:00:00"/>
    <d v="2025-03-23T00:00:00"/>
    <x v="1"/>
    <n v="2"/>
    <n v="15"/>
    <n v="306000"/>
    <n v="100"/>
    <s v=""/>
    <s v="West"/>
    <x v="3"/>
    <s v="Service"/>
    <x v="14"/>
    <x v="1"/>
  </r>
  <r>
    <s v="O02809"/>
    <s v="C0314"/>
    <s v="P004"/>
    <s v="R002"/>
    <d v="2025-01-17T00:00:00"/>
    <d v="2025-03-14T00:00:00"/>
    <d v="2025-03-14T00:00:00"/>
    <x v="0"/>
    <n v="2"/>
    <n v="15"/>
    <n v="510000"/>
    <n v="0"/>
    <s v="No decision"/>
    <s v="South"/>
    <x v="5"/>
    <s v="Analytics"/>
    <x v="17"/>
    <x v="2"/>
  </r>
  <r>
    <s v="O02810"/>
    <s v="C0160"/>
    <s v="P005"/>
    <s v="R020"/>
    <d v="2025-02-05T00:00:00"/>
    <d v="2025-02-17T00:00:00"/>
    <m/>
    <x v="2"/>
    <n v="1"/>
    <n v="15"/>
    <n v="153000"/>
    <n v="20"/>
    <s v=""/>
    <s v="East"/>
    <x v="3"/>
    <s v="Service"/>
    <x v="9"/>
    <x v="3"/>
  </r>
  <r>
    <s v="O02811"/>
    <s v="C0485"/>
    <s v="P001"/>
    <s v="R017"/>
    <d v="2025-12-19T00:00:00"/>
    <d v="2026-02-21T00:00:00"/>
    <m/>
    <x v="2"/>
    <n v="1"/>
    <n v="10"/>
    <n v="108000"/>
    <n v="40"/>
    <s v=""/>
    <s v="East"/>
    <x v="4"/>
    <s v="CRM"/>
    <x v="19"/>
    <x v="3"/>
  </r>
  <r>
    <s v="O02812"/>
    <s v="C0480"/>
    <s v="P002"/>
    <s v="R014"/>
    <d v="2025-07-13T00:00:00"/>
    <d v="2025-08-30T00:00:00"/>
    <d v="2025-08-30T00:00:00"/>
    <x v="0"/>
    <n v="1"/>
    <n v="20"/>
    <n v="336000"/>
    <n v="0"/>
    <s v="Competition"/>
    <s v="West"/>
    <x v="0"/>
    <s v="CRM"/>
    <x v="1"/>
    <x v="1"/>
  </r>
  <r>
    <s v="O02813"/>
    <s v="C0330"/>
    <s v="P001"/>
    <s v="R003"/>
    <d v="2025-04-30T00:00:00"/>
    <d v="2025-06-17T00:00:00"/>
    <d v="2025-06-17T00:00:00"/>
    <x v="0"/>
    <n v="3"/>
    <n v="10"/>
    <n v="324000"/>
    <n v="0"/>
    <s v="Competition"/>
    <s v="South"/>
    <x v="4"/>
    <s v="CRM"/>
    <x v="15"/>
    <x v="2"/>
  </r>
  <r>
    <s v="O02814"/>
    <s v="C0199"/>
    <s v="P004"/>
    <s v="R005"/>
    <d v="2025-03-24T00:00:00"/>
    <d v="2025-06-06T00:00:00"/>
    <m/>
    <x v="2"/>
    <n v="3"/>
    <n v="15"/>
    <n v="765000"/>
    <n v="60"/>
    <s v=""/>
    <s v="South"/>
    <x v="5"/>
    <s v="Analytics"/>
    <x v="11"/>
    <x v="2"/>
  </r>
  <r>
    <s v="O02815"/>
    <s v="C0406"/>
    <s v="P005"/>
    <s v="R011"/>
    <d v="2025-07-07T00:00:00"/>
    <d v="2025-09-13T00:00:00"/>
    <d v="2025-09-13T00:00:00"/>
    <x v="0"/>
    <n v="1"/>
    <n v="0"/>
    <n v="180000"/>
    <n v="0"/>
    <s v="Price"/>
    <s v="West"/>
    <x v="3"/>
    <s v="Service"/>
    <x v="12"/>
    <x v="1"/>
  </r>
  <r>
    <s v="O02816"/>
    <s v="C0195"/>
    <s v="P002"/>
    <s v="R012"/>
    <d v="2025-02-05T00:00:00"/>
    <d v="2025-05-01T00:00:00"/>
    <d v="2025-05-01T00:00:00"/>
    <x v="0"/>
    <n v="1"/>
    <n v="5"/>
    <n v="399000"/>
    <n v="0"/>
    <s v="Price"/>
    <s v="West"/>
    <x v="0"/>
    <s v="CRM"/>
    <x v="14"/>
    <x v="1"/>
  </r>
  <r>
    <s v="O02817"/>
    <s v="C0451"/>
    <s v="P006"/>
    <s v="R008"/>
    <d v="2025-01-12T00:00:00"/>
    <d v="2025-03-16T00:00:00"/>
    <d v="2025-03-16T00:00:00"/>
    <x v="0"/>
    <n v="3"/>
    <n v="5"/>
    <n v="1026000"/>
    <n v="0"/>
    <s v="Budget"/>
    <s v="North"/>
    <x v="2"/>
    <s v="Security"/>
    <x v="0"/>
    <x v="0"/>
  </r>
  <r>
    <s v="O02818"/>
    <s v="C0330"/>
    <s v="P005"/>
    <s v="R003"/>
    <d v="2025-05-31T00:00:00"/>
    <d v="2025-06-11T00:00:00"/>
    <d v="2025-06-11T00:00:00"/>
    <x v="1"/>
    <n v="1"/>
    <n v="15"/>
    <n v="153000"/>
    <n v="100"/>
    <s v=""/>
    <s v="South"/>
    <x v="3"/>
    <s v="Service"/>
    <x v="15"/>
    <x v="2"/>
  </r>
  <r>
    <s v="O02819"/>
    <s v="C0229"/>
    <s v="P006"/>
    <s v="R004"/>
    <d v="2025-11-18T00:00:00"/>
    <d v="2025-11-26T00:00:00"/>
    <d v="2025-11-26T00:00:00"/>
    <x v="1"/>
    <n v="3"/>
    <n v="5"/>
    <n v="1026000"/>
    <n v="100"/>
    <s v=""/>
    <s v="South"/>
    <x v="2"/>
    <s v="Security"/>
    <x v="3"/>
    <x v="2"/>
  </r>
  <r>
    <s v="O02820"/>
    <s v="C0127"/>
    <s v="P001"/>
    <s v="R016"/>
    <d v="2025-08-23T00:00:00"/>
    <d v="2025-11-14T00:00:00"/>
    <d v="2025-11-14T00:00:00"/>
    <x v="1"/>
    <n v="3"/>
    <n v="15"/>
    <n v="306000"/>
    <n v="100"/>
    <s v=""/>
    <s v="East"/>
    <x v="4"/>
    <s v="CRM"/>
    <x v="8"/>
    <x v="3"/>
  </r>
  <r>
    <s v="O02821"/>
    <s v="C0196"/>
    <s v="P001"/>
    <s v="R018"/>
    <d v="2025-04-12T00:00:00"/>
    <d v="2025-05-14T00:00:00"/>
    <d v="2025-05-14T00:00:00"/>
    <x v="0"/>
    <n v="3"/>
    <n v="0"/>
    <n v="360000"/>
    <n v="0"/>
    <s v="No decision"/>
    <s v="East"/>
    <x v="4"/>
    <s v="CRM"/>
    <x v="18"/>
    <x v="3"/>
  </r>
  <r>
    <s v="O02822"/>
    <s v="C0286"/>
    <s v="P005"/>
    <s v="R013"/>
    <d v="2025-09-08T00:00:00"/>
    <d v="2025-10-02T00:00:00"/>
    <m/>
    <x v="2"/>
    <n v="3"/>
    <n v="20"/>
    <n v="432000"/>
    <n v="80"/>
    <s v=""/>
    <s v="West"/>
    <x v="3"/>
    <s v="Service"/>
    <x v="5"/>
    <x v="1"/>
  </r>
  <r>
    <s v="O02823"/>
    <s v="C0092"/>
    <s v="P002"/>
    <s v="R008"/>
    <d v="2025-06-24T00:00:00"/>
    <d v="2025-08-07T00:00:00"/>
    <d v="2025-08-07T00:00:00"/>
    <x v="1"/>
    <n v="1"/>
    <n v="10"/>
    <n v="378000"/>
    <n v="100"/>
    <s v=""/>
    <s v="North"/>
    <x v="0"/>
    <s v="CRM"/>
    <x v="0"/>
    <x v="0"/>
  </r>
  <r>
    <s v="O02824"/>
    <s v="C0205"/>
    <s v="P001"/>
    <s v="R006"/>
    <d v="2025-08-31T00:00:00"/>
    <d v="2025-10-18T00:00:00"/>
    <d v="2025-10-18T00:00:00"/>
    <x v="0"/>
    <n v="1"/>
    <n v="10"/>
    <n v="108000"/>
    <n v="0"/>
    <s v="Feature gap"/>
    <s v="North"/>
    <x v="4"/>
    <s v="CRM"/>
    <x v="2"/>
    <x v="0"/>
  </r>
  <r>
    <s v="O02825"/>
    <s v="C0195"/>
    <s v="P004"/>
    <s v="R012"/>
    <d v="2025-08-09T00:00:00"/>
    <d v="2025-09-12T00:00:00"/>
    <d v="2025-09-12T00:00:00"/>
    <x v="0"/>
    <n v="1"/>
    <n v="20"/>
    <n v="240000"/>
    <n v="0"/>
    <s v="Competition"/>
    <s v="West"/>
    <x v="5"/>
    <s v="Analytics"/>
    <x v="14"/>
    <x v="1"/>
  </r>
  <r>
    <s v="O02826"/>
    <s v="C0305"/>
    <s v="P003"/>
    <s v="R002"/>
    <d v="2025-11-24T00:00:00"/>
    <d v="2025-12-27T00:00:00"/>
    <d v="2025-12-27T00:00:00"/>
    <x v="0"/>
    <n v="2"/>
    <n v="15"/>
    <n v="408000"/>
    <n v="0"/>
    <s v="Price"/>
    <s v="South"/>
    <x v="1"/>
    <s v="Automation"/>
    <x v="17"/>
    <x v="2"/>
  </r>
  <r>
    <s v="O02827"/>
    <s v="C0114"/>
    <s v="P001"/>
    <s v="R011"/>
    <d v="2025-02-02T00:00:00"/>
    <d v="2025-02-24T00:00:00"/>
    <d v="2025-02-24T00:00:00"/>
    <x v="0"/>
    <n v="2"/>
    <n v="5"/>
    <n v="228000"/>
    <n v="0"/>
    <s v="Budget"/>
    <s v="West"/>
    <x v="4"/>
    <s v="CRM"/>
    <x v="12"/>
    <x v="1"/>
  </r>
  <r>
    <s v="O02828"/>
    <s v="C0220"/>
    <s v="P005"/>
    <s v="R018"/>
    <d v="2025-06-09T00:00:00"/>
    <d v="2025-08-18T00:00:00"/>
    <d v="2025-08-18T00:00:00"/>
    <x v="1"/>
    <n v="3"/>
    <n v="15"/>
    <n v="459000"/>
    <n v="100"/>
    <s v=""/>
    <s v="East"/>
    <x v="3"/>
    <s v="Service"/>
    <x v="18"/>
    <x v="3"/>
  </r>
  <r>
    <s v="O02829"/>
    <s v="C0222"/>
    <s v="P002"/>
    <s v="R014"/>
    <d v="2025-04-20T00:00:00"/>
    <d v="2025-06-01T00:00:00"/>
    <d v="2025-06-01T00:00:00"/>
    <x v="0"/>
    <n v="1"/>
    <n v="5"/>
    <n v="399000"/>
    <n v="0"/>
    <s v="No decision"/>
    <s v="West"/>
    <x v="0"/>
    <s v="CRM"/>
    <x v="1"/>
    <x v="1"/>
  </r>
  <r>
    <s v="O02830"/>
    <s v="C0478"/>
    <s v="P005"/>
    <s v="R014"/>
    <d v="2025-12-05T00:00:00"/>
    <d v="2026-02-10T00:00:00"/>
    <m/>
    <x v="2"/>
    <n v="3"/>
    <n v="10"/>
    <n v="486000"/>
    <n v="40"/>
    <s v=""/>
    <s v="West"/>
    <x v="3"/>
    <s v="Service"/>
    <x v="1"/>
    <x v="1"/>
  </r>
  <r>
    <s v="O02831"/>
    <s v="C0424"/>
    <s v="P004"/>
    <s v="R019"/>
    <d v="2025-11-12T00:00:00"/>
    <d v="2025-12-05T00:00:00"/>
    <d v="2025-12-05T00:00:00"/>
    <x v="0"/>
    <n v="3"/>
    <n v="10"/>
    <n v="810000"/>
    <n v="0"/>
    <s v="Feature gap"/>
    <s v="East"/>
    <x v="5"/>
    <s v="Analytics"/>
    <x v="10"/>
    <x v="3"/>
  </r>
  <r>
    <s v="O02832"/>
    <s v="C0164"/>
    <s v="P004"/>
    <s v="R015"/>
    <d v="2025-06-12T00:00:00"/>
    <d v="2025-06-22T00:00:00"/>
    <d v="2025-06-22T00:00:00"/>
    <x v="1"/>
    <n v="1"/>
    <n v="15"/>
    <n v="255000"/>
    <n v="100"/>
    <s v=""/>
    <s v="West"/>
    <x v="5"/>
    <s v="Analytics"/>
    <x v="7"/>
    <x v="1"/>
  </r>
  <r>
    <s v="O02833"/>
    <s v="C0126"/>
    <s v="P004"/>
    <s v="R007"/>
    <d v="2025-03-28T00:00:00"/>
    <d v="2025-05-21T00:00:00"/>
    <d v="2025-05-21T00:00:00"/>
    <x v="1"/>
    <n v="1"/>
    <n v="20"/>
    <n v="240000"/>
    <n v="100"/>
    <s v=""/>
    <s v="North"/>
    <x v="5"/>
    <s v="Analytics"/>
    <x v="13"/>
    <x v="0"/>
  </r>
  <r>
    <s v="O02834"/>
    <s v="C0356"/>
    <s v="P001"/>
    <s v="R019"/>
    <d v="2025-05-04T00:00:00"/>
    <d v="2025-07-15T00:00:00"/>
    <m/>
    <x v="2"/>
    <n v="2"/>
    <n v="0"/>
    <n v="240000"/>
    <n v="60"/>
    <s v=""/>
    <s v="East"/>
    <x v="4"/>
    <s v="CRM"/>
    <x v="10"/>
    <x v="3"/>
  </r>
  <r>
    <s v="O02835"/>
    <s v="C0472"/>
    <s v="P003"/>
    <s v="R006"/>
    <d v="2025-11-28T00:00:00"/>
    <d v="2026-01-27T00:00:00"/>
    <m/>
    <x v="2"/>
    <n v="1"/>
    <n v="0"/>
    <n v="240000"/>
    <n v="40"/>
    <s v=""/>
    <s v="North"/>
    <x v="1"/>
    <s v="Automation"/>
    <x v="2"/>
    <x v="0"/>
  </r>
  <r>
    <s v="O02836"/>
    <s v="C0440"/>
    <s v="P002"/>
    <s v="R014"/>
    <d v="2025-04-11T00:00:00"/>
    <d v="2025-06-15T00:00:00"/>
    <d v="2025-06-15T00:00:00"/>
    <x v="1"/>
    <n v="1"/>
    <n v="15"/>
    <n v="357000"/>
    <n v="100"/>
    <s v=""/>
    <s v="West"/>
    <x v="0"/>
    <s v="CRM"/>
    <x v="1"/>
    <x v="1"/>
  </r>
  <r>
    <s v="O02837"/>
    <s v="C0480"/>
    <s v="P003"/>
    <s v="R012"/>
    <d v="2025-08-07T00:00:00"/>
    <d v="2025-08-20T00:00:00"/>
    <d v="2025-08-20T00:00:00"/>
    <x v="1"/>
    <n v="2"/>
    <n v="20"/>
    <n v="384000"/>
    <n v="100"/>
    <s v=""/>
    <s v="West"/>
    <x v="1"/>
    <s v="Automation"/>
    <x v="14"/>
    <x v="1"/>
  </r>
  <r>
    <s v="O02838"/>
    <s v="C0093"/>
    <s v="P006"/>
    <s v="R008"/>
    <d v="2025-01-08T00:00:00"/>
    <d v="2025-02-17T00:00:00"/>
    <d v="2025-02-17T00:00:00"/>
    <x v="0"/>
    <n v="1"/>
    <n v="20"/>
    <n v="288000"/>
    <n v="0"/>
    <s v="Feature gap"/>
    <s v="North"/>
    <x v="2"/>
    <s v="Security"/>
    <x v="0"/>
    <x v="0"/>
  </r>
  <r>
    <s v="O02839"/>
    <s v="C0462"/>
    <s v="P005"/>
    <s v="R009"/>
    <d v="2025-02-24T00:00:00"/>
    <d v="2025-03-30T00:00:00"/>
    <d v="2025-03-30T00:00:00"/>
    <x v="0"/>
    <n v="3"/>
    <n v="20"/>
    <n v="432000"/>
    <n v="0"/>
    <s v="Feature gap"/>
    <s v="North"/>
    <x v="3"/>
    <s v="Service"/>
    <x v="4"/>
    <x v="0"/>
  </r>
  <r>
    <s v="O02840"/>
    <s v="C0489"/>
    <s v="P005"/>
    <s v="R015"/>
    <d v="2025-09-02T00:00:00"/>
    <d v="2025-09-25T00:00:00"/>
    <m/>
    <x v="2"/>
    <n v="1"/>
    <n v="15"/>
    <n v="153000"/>
    <n v="60"/>
    <s v=""/>
    <s v="West"/>
    <x v="3"/>
    <s v="Service"/>
    <x v="7"/>
    <x v="1"/>
  </r>
  <r>
    <s v="O02841"/>
    <s v="C0216"/>
    <s v="P006"/>
    <s v="R016"/>
    <d v="2025-02-22T00:00:00"/>
    <d v="2025-05-06T00:00:00"/>
    <d v="2025-05-06T00:00:00"/>
    <x v="0"/>
    <n v="2"/>
    <n v="15"/>
    <n v="612000"/>
    <n v="0"/>
    <s v="Competition"/>
    <s v="East"/>
    <x v="2"/>
    <s v="Security"/>
    <x v="8"/>
    <x v="3"/>
  </r>
  <r>
    <s v="O02842"/>
    <s v="C0087"/>
    <s v="P005"/>
    <s v="R016"/>
    <d v="2025-07-26T00:00:00"/>
    <d v="2025-09-14T00:00:00"/>
    <m/>
    <x v="2"/>
    <n v="1"/>
    <n v="15"/>
    <n v="153000"/>
    <n v="80"/>
    <s v=""/>
    <s v="East"/>
    <x v="3"/>
    <s v="Service"/>
    <x v="8"/>
    <x v="3"/>
  </r>
  <r>
    <s v="O02843"/>
    <s v="C0123"/>
    <s v="P003"/>
    <s v="R012"/>
    <d v="2025-09-08T00:00:00"/>
    <d v="2025-11-08T00:00:00"/>
    <d v="2025-11-08T00:00:00"/>
    <x v="0"/>
    <n v="1"/>
    <n v="10"/>
    <n v="216000"/>
    <n v="0"/>
    <s v="Feature gap"/>
    <s v="West"/>
    <x v="1"/>
    <s v="Automation"/>
    <x v="14"/>
    <x v="1"/>
  </r>
  <r>
    <s v="O02844"/>
    <s v="C0165"/>
    <s v="P004"/>
    <s v="R004"/>
    <d v="2025-11-17T00:00:00"/>
    <d v="2025-12-08T00:00:00"/>
    <m/>
    <x v="2"/>
    <n v="2"/>
    <n v="5"/>
    <n v="570000"/>
    <n v="20"/>
    <s v=""/>
    <s v="South"/>
    <x v="5"/>
    <s v="Analytics"/>
    <x v="3"/>
    <x v="2"/>
  </r>
  <r>
    <s v="O02845"/>
    <s v="C0120"/>
    <s v="P003"/>
    <s v="R006"/>
    <d v="2025-04-07T00:00:00"/>
    <d v="2025-06-04T00:00:00"/>
    <d v="2025-06-04T00:00:00"/>
    <x v="1"/>
    <n v="1"/>
    <n v="15"/>
    <n v="204000"/>
    <n v="100"/>
    <s v=""/>
    <s v="North"/>
    <x v="1"/>
    <s v="Automation"/>
    <x v="2"/>
    <x v="0"/>
  </r>
  <r>
    <s v="O02846"/>
    <s v="C0073"/>
    <s v="P001"/>
    <s v="R010"/>
    <d v="2025-09-08T00:00:00"/>
    <d v="2025-11-25T00:00:00"/>
    <d v="2025-11-25T00:00:00"/>
    <x v="1"/>
    <n v="1"/>
    <n v="0"/>
    <n v="120000"/>
    <n v="100"/>
    <s v=""/>
    <s v="North"/>
    <x v="4"/>
    <s v="CRM"/>
    <x v="16"/>
    <x v="0"/>
  </r>
  <r>
    <s v="O02847"/>
    <s v="C0034"/>
    <s v="P002"/>
    <s v="R018"/>
    <d v="2025-12-07T00:00:00"/>
    <d v="2025-12-20T00:00:00"/>
    <d v="2025-12-20T00:00:00"/>
    <x v="0"/>
    <n v="3"/>
    <n v="15"/>
    <n v="1071000"/>
    <n v="0"/>
    <s v="No decision"/>
    <s v="East"/>
    <x v="0"/>
    <s v="CRM"/>
    <x v="18"/>
    <x v="3"/>
  </r>
  <r>
    <s v="O02848"/>
    <s v="C0123"/>
    <s v="P006"/>
    <s v="R015"/>
    <d v="2025-12-23T00:00:00"/>
    <d v="2026-01-30T00:00:00"/>
    <m/>
    <x v="2"/>
    <n v="1"/>
    <n v="0"/>
    <n v="360000"/>
    <n v="20"/>
    <s v=""/>
    <s v="West"/>
    <x v="2"/>
    <s v="Security"/>
    <x v="7"/>
    <x v="1"/>
  </r>
  <r>
    <s v="O02849"/>
    <s v="C0120"/>
    <s v="P002"/>
    <s v="R009"/>
    <d v="2025-08-14T00:00:00"/>
    <d v="2025-10-22T00:00:00"/>
    <m/>
    <x v="2"/>
    <n v="2"/>
    <n v="10"/>
    <n v="756000"/>
    <n v="60"/>
    <s v=""/>
    <s v="North"/>
    <x v="0"/>
    <s v="CRM"/>
    <x v="4"/>
    <x v="0"/>
  </r>
  <r>
    <s v="O02850"/>
    <s v="C0462"/>
    <s v="P001"/>
    <s v="R006"/>
    <d v="2025-09-24T00:00:00"/>
    <d v="2025-10-08T00:00:00"/>
    <d v="2025-10-08T00:00:00"/>
    <x v="1"/>
    <n v="1"/>
    <n v="5"/>
    <n v="114000"/>
    <n v="100"/>
    <s v=""/>
    <s v="North"/>
    <x v="4"/>
    <s v="CRM"/>
    <x v="2"/>
    <x v="0"/>
  </r>
  <r>
    <s v="O02851"/>
    <s v="C0245"/>
    <s v="P006"/>
    <s v="R011"/>
    <d v="2025-09-06T00:00:00"/>
    <d v="2025-09-30T00:00:00"/>
    <d v="2025-09-30T00:00:00"/>
    <x v="1"/>
    <n v="1"/>
    <n v="5"/>
    <n v="342000"/>
    <n v="100"/>
    <s v=""/>
    <s v="West"/>
    <x v="2"/>
    <s v="Security"/>
    <x v="12"/>
    <x v="1"/>
  </r>
  <r>
    <s v="O02852"/>
    <s v="C0185"/>
    <s v="P001"/>
    <s v="R015"/>
    <d v="2025-05-17T00:00:00"/>
    <d v="2025-07-28T00:00:00"/>
    <d v="2025-07-28T00:00:00"/>
    <x v="0"/>
    <n v="2"/>
    <n v="20"/>
    <n v="192000"/>
    <n v="0"/>
    <s v="Feature gap"/>
    <s v="West"/>
    <x v="4"/>
    <s v="CRM"/>
    <x v="7"/>
    <x v="1"/>
  </r>
  <r>
    <s v="O02853"/>
    <s v="C0150"/>
    <s v="P005"/>
    <s v="R016"/>
    <d v="2025-08-23T00:00:00"/>
    <d v="2025-11-15T00:00:00"/>
    <m/>
    <x v="2"/>
    <n v="1"/>
    <n v="15"/>
    <n v="153000"/>
    <n v="20"/>
    <s v=""/>
    <s v="East"/>
    <x v="3"/>
    <s v="Service"/>
    <x v="8"/>
    <x v="3"/>
  </r>
  <r>
    <s v="O02854"/>
    <s v="C0368"/>
    <s v="P005"/>
    <s v="R003"/>
    <d v="2025-02-19T00:00:00"/>
    <d v="2025-03-24T00:00:00"/>
    <d v="2025-03-24T00:00:00"/>
    <x v="1"/>
    <n v="1"/>
    <n v="15"/>
    <n v="153000"/>
    <n v="100"/>
    <s v=""/>
    <s v="South"/>
    <x v="3"/>
    <s v="Service"/>
    <x v="15"/>
    <x v="2"/>
  </r>
  <r>
    <s v="O02855"/>
    <s v="C0450"/>
    <s v="P003"/>
    <s v="R012"/>
    <d v="2025-05-14T00:00:00"/>
    <d v="2025-06-24T00:00:00"/>
    <d v="2025-06-24T00:00:00"/>
    <x v="1"/>
    <n v="1"/>
    <n v="0"/>
    <n v="240000"/>
    <n v="100"/>
    <s v=""/>
    <s v="West"/>
    <x v="1"/>
    <s v="Automation"/>
    <x v="14"/>
    <x v="1"/>
  </r>
  <r>
    <s v="O02856"/>
    <s v="C0323"/>
    <s v="P005"/>
    <s v="R019"/>
    <d v="2025-12-19T00:00:00"/>
    <d v="2025-12-29T00:00:00"/>
    <d v="2025-12-29T00:00:00"/>
    <x v="1"/>
    <n v="3"/>
    <n v="10"/>
    <n v="486000"/>
    <n v="100"/>
    <s v=""/>
    <s v="East"/>
    <x v="3"/>
    <s v="Service"/>
    <x v="10"/>
    <x v="3"/>
  </r>
  <r>
    <s v="O02857"/>
    <s v="C0252"/>
    <s v="P004"/>
    <s v="R002"/>
    <d v="2025-02-28T00:00:00"/>
    <d v="2025-04-01T00:00:00"/>
    <m/>
    <x v="2"/>
    <n v="1"/>
    <n v="10"/>
    <n v="270000"/>
    <n v="60"/>
    <s v=""/>
    <s v="South"/>
    <x v="5"/>
    <s v="Analytics"/>
    <x v="17"/>
    <x v="2"/>
  </r>
  <r>
    <s v="O02858"/>
    <s v="C0092"/>
    <s v="P001"/>
    <s v="R006"/>
    <d v="2025-09-24T00:00:00"/>
    <d v="2025-12-13T00:00:00"/>
    <m/>
    <x v="2"/>
    <n v="1"/>
    <n v="10"/>
    <n v="108000"/>
    <n v="20"/>
    <s v=""/>
    <s v="North"/>
    <x v="4"/>
    <s v="CRM"/>
    <x v="2"/>
    <x v="0"/>
  </r>
  <r>
    <s v="O02859"/>
    <s v="C0208"/>
    <s v="P006"/>
    <s v="R003"/>
    <d v="2025-04-04T00:00:00"/>
    <d v="2025-06-12T00:00:00"/>
    <m/>
    <x v="2"/>
    <n v="1"/>
    <n v="5"/>
    <n v="342000"/>
    <n v="20"/>
    <s v=""/>
    <s v="South"/>
    <x v="2"/>
    <s v="Security"/>
    <x v="15"/>
    <x v="2"/>
  </r>
  <r>
    <s v="O02860"/>
    <s v="C0294"/>
    <s v="P004"/>
    <s v="R009"/>
    <d v="2025-03-25T00:00:00"/>
    <d v="2025-06-01T00:00:00"/>
    <m/>
    <x v="2"/>
    <n v="2"/>
    <n v="20"/>
    <n v="480000"/>
    <n v="60"/>
    <s v=""/>
    <s v="North"/>
    <x v="5"/>
    <s v="Analytics"/>
    <x v="4"/>
    <x v="0"/>
  </r>
  <r>
    <s v="O02861"/>
    <s v="C0393"/>
    <s v="P002"/>
    <s v="R001"/>
    <d v="2025-12-29T00:00:00"/>
    <d v="2026-01-16T00:00:00"/>
    <m/>
    <x v="2"/>
    <n v="2"/>
    <n v="10"/>
    <n v="756000"/>
    <n v="20"/>
    <s v=""/>
    <s v="South"/>
    <x v="0"/>
    <s v="CRM"/>
    <x v="6"/>
    <x v="2"/>
  </r>
  <r>
    <s v="O02862"/>
    <s v="C0461"/>
    <s v="P004"/>
    <s v="R008"/>
    <d v="2025-02-17T00:00:00"/>
    <d v="2025-04-15T00:00:00"/>
    <d v="2025-04-15T00:00:00"/>
    <x v="0"/>
    <n v="1"/>
    <n v="15"/>
    <n v="255000"/>
    <n v="0"/>
    <s v="Budget"/>
    <s v="North"/>
    <x v="5"/>
    <s v="Analytics"/>
    <x v="0"/>
    <x v="0"/>
  </r>
  <r>
    <s v="O02863"/>
    <s v="C0262"/>
    <s v="P003"/>
    <s v="R014"/>
    <d v="2025-08-25T00:00:00"/>
    <d v="2025-10-30T00:00:00"/>
    <d v="2025-10-30T00:00:00"/>
    <x v="1"/>
    <n v="1"/>
    <n v="5"/>
    <n v="228000"/>
    <n v="100"/>
    <s v=""/>
    <s v="West"/>
    <x v="1"/>
    <s v="Automation"/>
    <x v="1"/>
    <x v="1"/>
  </r>
  <r>
    <s v="O02864"/>
    <s v="C0066"/>
    <s v="P002"/>
    <s v="R014"/>
    <d v="2025-10-23T00:00:00"/>
    <d v="2025-11-19T00:00:00"/>
    <m/>
    <x v="2"/>
    <n v="1"/>
    <n v="10"/>
    <n v="378000"/>
    <n v="60"/>
    <s v=""/>
    <s v="West"/>
    <x v="0"/>
    <s v="CRM"/>
    <x v="1"/>
    <x v="1"/>
  </r>
  <r>
    <s v="O02865"/>
    <s v="C0280"/>
    <s v="P004"/>
    <s v="R020"/>
    <d v="2025-11-23T00:00:00"/>
    <d v="2026-01-22T00:00:00"/>
    <m/>
    <x v="2"/>
    <n v="1"/>
    <n v="15"/>
    <n v="255000"/>
    <n v="60"/>
    <s v=""/>
    <s v="East"/>
    <x v="5"/>
    <s v="Analytics"/>
    <x v="9"/>
    <x v="3"/>
  </r>
  <r>
    <s v="O02866"/>
    <s v="C0140"/>
    <s v="P005"/>
    <s v="R002"/>
    <d v="2025-12-24T00:00:00"/>
    <d v="2026-01-26T00:00:00"/>
    <m/>
    <x v="2"/>
    <n v="3"/>
    <n v="5"/>
    <n v="513000"/>
    <n v="40"/>
    <s v=""/>
    <s v="South"/>
    <x v="3"/>
    <s v="Service"/>
    <x v="17"/>
    <x v="2"/>
  </r>
  <r>
    <s v="O02867"/>
    <s v="C0362"/>
    <s v="P006"/>
    <s v="R009"/>
    <d v="2025-06-16T00:00:00"/>
    <d v="2025-09-05T00:00:00"/>
    <d v="2025-09-05T00:00:00"/>
    <x v="1"/>
    <n v="1"/>
    <n v="10"/>
    <n v="324000"/>
    <n v="100"/>
    <s v=""/>
    <s v="North"/>
    <x v="2"/>
    <s v="Security"/>
    <x v="4"/>
    <x v="0"/>
  </r>
  <r>
    <s v="O02868"/>
    <s v="C0133"/>
    <s v="P001"/>
    <s v="R017"/>
    <d v="2025-03-25T00:00:00"/>
    <d v="2025-05-10T00:00:00"/>
    <d v="2025-05-10T00:00:00"/>
    <x v="0"/>
    <n v="1"/>
    <n v="10"/>
    <n v="108000"/>
    <n v="0"/>
    <s v="Feature gap"/>
    <s v="East"/>
    <x v="4"/>
    <s v="CRM"/>
    <x v="19"/>
    <x v="3"/>
  </r>
  <r>
    <s v="O02869"/>
    <s v="C0091"/>
    <s v="P002"/>
    <s v="R018"/>
    <d v="2025-09-09T00:00:00"/>
    <d v="2025-09-16T00:00:00"/>
    <d v="2025-09-16T00:00:00"/>
    <x v="0"/>
    <n v="1"/>
    <n v="20"/>
    <n v="336000"/>
    <n v="0"/>
    <s v="Feature gap"/>
    <s v="East"/>
    <x v="0"/>
    <s v="CRM"/>
    <x v="18"/>
    <x v="3"/>
  </r>
  <r>
    <s v="O02870"/>
    <s v="C0162"/>
    <s v="P005"/>
    <s v="R005"/>
    <d v="2025-12-13T00:00:00"/>
    <d v="2026-01-23T00:00:00"/>
    <m/>
    <x v="2"/>
    <n v="1"/>
    <n v="15"/>
    <n v="153000"/>
    <n v="40"/>
    <s v=""/>
    <s v="South"/>
    <x v="3"/>
    <s v="Service"/>
    <x v="11"/>
    <x v="2"/>
  </r>
  <r>
    <s v="O02871"/>
    <s v="C0108"/>
    <s v="P005"/>
    <s v="R004"/>
    <d v="2025-09-25T00:00:00"/>
    <d v="2025-12-08T00:00:00"/>
    <d v="2025-12-08T00:00:00"/>
    <x v="0"/>
    <n v="1"/>
    <n v="10"/>
    <n v="162000"/>
    <n v="0"/>
    <s v="No decision"/>
    <s v="South"/>
    <x v="3"/>
    <s v="Service"/>
    <x v="3"/>
    <x v="2"/>
  </r>
  <r>
    <s v="O02872"/>
    <s v="C0171"/>
    <s v="P001"/>
    <s v="R019"/>
    <d v="2025-11-22T00:00:00"/>
    <d v="2026-02-15T00:00:00"/>
    <m/>
    <x v="2"/>
    <n v="1"/>
    <n v="15"/>
    <n v="102000"/>
    <n v="80"/>
    <s v=""/>
    <s v="East"/>
    <x v="4"/>
    <s v="CRM"/>
    <x v="10"/>
    <x v="3"/>
  </r>
  <r>
    <s v="O02873"/>
    <s v="C0131"/>
    <s v="P005"/>
    <s v="R014"/>
    <d v="2025-01-16T00:00:00"/>
    <d v="2025-02-18T00:00:00"/>
    <d v="2025-02-18T00:00:00"/>
    <x v="0"/>
    <n v="1"/>
    <n v="5"/>
    <n v="171000"/>
    <n v="0"/>
    <s v="Price"/>
    <s v="West"/>
    <x v="3"/>
    <s v="Service"/>
    <x v="1"/>
    <x v="1"/>
  </r>
  <r>
    <s v="O02874"/>
    <s v="C0380"/>
    <s v="P004"/>
    <s v="R020"/>
    <d v="2025-07-31T00:00:00"/>
    <d v="2025-09-05T00:00:00"/>
    <m/>
    <x v="2"/>
    <n v="3"/>
    <n v="15"/>
    <n v="765000"/>
    <n v="20"/>
    <s v=""/>
    <s v="East"/>
    <x v="5"/>
    <s v="Analytics"/>
    <x v="9"/>
    <x v="3"/>
  </r>
  <r>
    <s v="O02875"/>
    <s v="C0465"/>
    <s v="P004"/>
    <s v="R005"/>
    <d v="2025-10-21T00:00:00"/>
    <d v="2025-11-26T00:00:00"/>
    <m/>
    <x v="2"/>
    <n v="1"/>
    <n v="0"/>
    <n v="300000"/>
    <n v="60"/>
    <s v=""/>
    <s v="South"/>
    <x v="5"/>
    <s v="Analytics"/>
    <x v="11"/>
    <x v="2"/>
  </r>
  <r>
    <s v="O02876"/>
    <s v="C0029"/>
    <s v="P006"/>
    <s v="R007"/>
    <d v="2025-05-04T00:00:00"/>
    <d v="2025-07-21T00:00:00"/>
    <d v="2025-07-21T00:00:00"/>
    <x v="1"/>
    <n v="2"/>
    <n v="15"/>
    <n v="612000"/>
    <n v="100"/>
    <s v=""/>
    <s v="North"/>
    <x v="2"/>
    <s v="Security"/>
    <x v="13"/>
    <x v="0"/>
  </r>
  <r>
    <s v="O02877"/>
    <s v="C0155"/>
    <s v="P001"/>
    <s v="R019"/>
    <d v="2025-05-02T00:00:00"/>
    <d v="2025-07-08T00:00:00"/>
    <m/>
    <x v="2"/>
    <n v="1"/>
    <n v="10"/>
    <n v="108000"/>
    <n v="80"/>
    <s v=""/>
    <s v="East"/>
    <x v="4"/>
    <s v="CRM"/>
    <x v="10"/>
    <x v="3"/>
  </r>
  <r>
    <s v="O02878"/>
    <s v="C0362"/>
    <s v="P003"/>
    <s v="R007"/>
    <d v="2025-09-18T00:00:00"/>
    <d v="2025-11-09T00:00:00"/>
    <d v="2025-11-09T00:00:00"/>
    <x v="0"/>
    <n v="3"/>
    <n v="0"/>
    <n v="720000"/>
    <n v="0"/>
    <s v="Feature gap"/>
    <s v="North"/>
    <x v="1"/>
    <s v="Automation"/>
    <x v="13"/>
    <x v="0"/>
  </r>
  <r>
    <s v="O02879"/>
    <s v="C0159"/>
    <s v="P005"/>
    <s v="R004"/>
    <d v="2025-04-25T00:00:00"/>
    <d v="2025-07-18T00:00:00"/>
    <d v="2025-07-18T00:00:00"/>
    <x v="1"/>
    <n v="2"/>
    <n v="10"/>
    <n v="324000"/>
    <n v="100"/>
    <s v=""/>
    <s v="South"/>
    <x v="3"/>
    <s v="Service"/>
    <x v="3"/>
    <x v="2"/>
  </r>
  <r>
    <s v="O02880"/>
    <s v="C0367"/>
    <s v="P001"/>
    <s v="R014"/>
    <d v="2025-09-13T00:00:00"/>
    <d v="2025-12-02T00:00:00"/>
    <d v="2025-12-02T00:00:00"/>
    <x v="0"/>
    <n v="3"/>
    <n v="15"/>
    <n v="306000"/>
    <n v="0"/>
    <s v="Competition"/>
    <s v="West"/>
    <x v="4"/>
    <s v="CRM"/>
    <x v="1"/>
    <x v="1"/>
  </r>
  <r>
    <s v="O02881"/>
    <s v="C0122"/>
    <s v="P001"/>
    <s v="R011"/>
    <d v="2025-03-17T00:00:00"/>
    <d v="2025-04-10T00:00:00"/>
    <d v="2025-04-10T00:00:00"/>
    <x v="0"/>
    <n v="2"/>
    <n v="10"/>
    <n v="216000"/>
    <n v="0"/>
    <s v="No decision"/>
    <s v="West"/>
    <x v="4"/>
    <s v="CRM"/>
    <x v="12"/>
    <x v="1"/>
  </r>
  <r>
    <s v="O02882"/>
    <s v="C0333"/>
    <s v="P005"/>
    <s v="R011"/>
    <d v="2025-03-01T00:00:00"/>
    <d v="2025-05-13T00:00:00"/>
    <m/>
    <x v="2"/>
    <n v="1"/>
    <n v="5"/>
    <n v="171000"/>
    <n v="20"/>
    <s v=""/>
    <s v="West"/>
    <x v="3"/>
    <s v="Service"/>
    <x v="12"/>
    <x v="1"/>
  </r>
  <r>
    <s v="O02883"/>
    <s v="C0081"/>
    <s v="P002"/>
    <s v="R008"/>
    <d v="2025-05-12T00:00:00"/>
    <d v="2025-07-13T00:00:00"/>
    <d v="2025-07-13T00:00:00"/>
    <x v="1"/>
    <n v="1"/>
    <n v="5"/>
    <n v="399000"/>
    <n v="100"/>
    <s v=""/>
    <s v="North"/>
    <x v="0"/>
    <s v="CRM"/>
    <x v="0"/>
    <x v="0"/>
  </r>
  <r>
    <s v="O02884"/>
    <s v="C0098"/>
    <s v="P005"/>
    <s v="R010"/>
    <d v="2025-10-22T00:00:00"/>
    <d v="2025-11-08T00:00:00"/>
    <d v="2025-11-08T00:00:00"/>
    <x v="0"/>
    <n v="2"/>
    <n v="15"/>
    <n v="306000"/>
    <n v="0"/>
    <s v="Competition"/>
    <s v="North"/>
    <x v="3"/>
    <s v="Service"/>
    <x v="16"/>
    <x v="0"/>
  </r>
  <r>
    <s v="O02885"/>
    <s v="C0168"/>
    <s v="P005"/>
    <s v="R016"/>
    <d v="2025-09-04T00:00:00"/>
    <d v="2025-11-05T00:00:00"/>
    <d v="2025-11-05T00:00:00"/>
    <x v="1"/>
    <n v="3"/>
    <n v="10"/>
    <n v="486000"/>
    <n v="100"/>
    <s v=""/>
    <s v="East"/>
    <x v="3"/>
    <s v="Service"/>
    <x v="8"/>
    <x v="3"/>
  </r>
  <r>
    <s v="O02886"/>
    <s v="C0403"/>
    <s v="P001"/>
    <s v="R007"/>
    <d v="2025-09-23T00:00:00"/>
    <d v="2025-11-06T00:00:00"/>
    <m/>
    <x v="2"/>
    <n v="1"/>
    <n v="20"/>
    <n v="96000"/>
    <n v="20"/>
    <s v=""/>
    <s v="North"/>
    <x v="4"/>
    <s v="CRM"/>
    <x v="13"/>
    <x v="0"/>
  </r>
  <r>
    <s v="O02887"/>
    <s v="C0407"/>
    <s v="P005"/>
    <s v="R017"/>
    <d v="2025-09-29T00:00:00"/>
    <d v="2025-11-10T00:00:00"/>
    <d v="2025-11-10T00:00:00"/>
    <x v="1"/>
    <n v="1"/>
    <n v="5"/>
    <n v="171000"/>
    <n v="100"/>
    <s v=""/>
    <s v="East"/>
    <x v="3"/>
    <s v="Service"/>
    <x v="19"/>
    <x v="3"/>
  </r>
  <r>
    <s v="O02888"/>
    <s v="C0025"/>
    <s v="P003"/>
    <s v="R019"/>
    <d v="2025-01-27T00:00:00"/>
    <d v="2025-02-27T00:00:00"/>
    <d v="2025-02-27T00:00:00"/>
    <x v="0"/>
    <n v="1"/>
    <n v="20"/>
    <n v="192000"/>
    <n v="0"/>
    <s v="Competition"/>
    <s v="East"/>
    <x v="1"/>
    <s v="Automation"/>
    <x v="10"/>
    <x v="3"/>
  </r>
  <r>
    <s v="O02889"/>
    <s v="C0448"/>
    <s v="P002"/>
    <s v="R015"/>
    <d v="2025-08-08T00:00:00"/>
    <d v="2025-09-23T00:00:00"/>
    <d v="2025-09-23T00:00:00"/>
    <x v="0"/>
    <n v="2"/>
    <n v="0"/>
    <n v="840000"/>
    <n v="0"/>
    <s v="No decision"/>
    <s v="West"/>
    <x v="0"/>
    <s v="CRM"/>
    <x v="7"/>
    <x v="1"/>
  </r>
  <r>
    <s v="O02890"/>
    <s v="C0272"/>
    <s v="P004"/>
    <s v="R006"/>
    <d v="2025-06-22T00:00:00"/>
    <d v="2025-07-18T00:00:00"/>
    <d v="2025-07-18T00:00:00"/>
    <x v="0"/>
    <n v="1"/>
    <n v="0"/>
    <n v="300000"/>
    <n v="0"/>
    <s v="Budget"/>
    <s v="North"/>
    <x v="5"/>
    <s v="Analytics"/>
    <x v="2"/>
    <x v="0"/>
  </r>
  <r>
    <s v="O02891"/>
    <s v="C0027"/>
    <s v="P004"/>
    <s v="R019"/>
    <d v="2025-11-18T00:00:00"/>
    <d v="2026-01-12T00:00:00"/>
    <m/>
    <x v="2"/>
    <n v="2"/>
    <n v="0"/>
    <n v="600000"/>
    <n v="60"/>
    <s v=""/>
    <s v="East"/>
    <x v="5"/>
    <s v="Analytics"/>
    <x v="10"/>
    <x v="3"/>
  </r>
  <r>
    <s v="O02892"/>
    <s v="C0191"/>
    <s v="P006"/>
    <s v="R014"/>
    <d v="2025-08-08T00:00:00"/>
    <d v="2025-10-22T00:00:00"/>
    <d v="2025-10-22T00:00:00"/>
    <x v="1"/>
    <n v="3"/>
    <n v="5"/>
    <n v="1026000"/>
    <n v="100"/>
    <s v=""/>
    <s v="West"/>
    <x v="2"/>
    <s v="Security"/>
    <x v="1"/>
    <x v="1"/>
  </r>
  <r>
    <s v="O02893"/>
    <s v="C0449"/>
    <s v="P005"/>
    <s v="R005"/>
    <d v="2025-01-22T00:00:00"/>
    <d v="2025-03-11T00:00:00"/>
    <d v="2025-03-11T00:00:00"/>
    <x v="0"/>
    <n v="1"/>
    <n v="0"/>
    <n v="180000"/>
    <n v="0"/>
    <s v="Price"/>
    <s v="South"/>
    <x v="3"/>
    <s v="Service"/>
    <x v="11"/>
    <x v="2"/>
  </r>
  <r>
    <s v="O02894"/>
    <s v="C0037"/>
    <s v="P003"/>
    <s v="R007"/>
    <d v="2025-05-09T00:00:00"/>
    <d v="2025-06-14T00:00:00"/>
    <d v="2025-06-14T00:00:00"/>
    <x v="0"/>
    <n v="1"/>
    <n v="0"/>
    <n v="240000"/>
    <n v="0"/>
    <s v="Price"/>
    <s v="North"/>
    <x v="1"/>
    <s v="Automation"/>
    <x v="13"/>
    <x v="0"/>
  </r>
  <r>
    <s v="O02895"/>
    <s v="C0249"/>
    <s v="P004"/>
    <s v="R012"/>
    <d v="2025-11-20T00:00:00"/>
    <d v="2025-12-10T00:00:00"/>
    <m/>
    <x v="2"/>
    <n v="1"/>
    <n v="5"/>
    <n v="285000"/>
    <n v="20"/>
    <s v=""/>
    <s v="West"/>
    <x v="5"/>
    <s v="Analytics"/>
    <x v="14"/>
    <x v="1"/>
  </r>
  <r>
    <s v="O02896"/>
    <s v="C0159"/>
    <s v="P004"/>
    <s v="R002"/>
    <d v="2025-04-11T00:00:00"/>
    <d v="2025-05-11T00:00:00"/>
    <d v="2025-05-11T00:00:00"/>
    <x v="0"/>
    <n v="3"/>
    <n v="15"/>
    <n v="765000"/>
    <n v="0"/>
    <s v="Competition"/>
    <s v="South"/>
    <x v="5"/>
    <s v="Analytics"/>
    <x v="17"/>
    <x v="2"/>
  </r>
  <r>
    <s v="O02897"/>
    <s v="C0021"/>
    <s v="P001"/>
    <s v="R006"/>
    <d v="2025-07-04T00:00:00"/>
    <d v="2025-09-22T00:00:00"/>
    <m/>
    <x v="2"/>
    <n v="1"/>
    <n v="5"/>
    <n v="114000"/>
    <n v="20"/>
    <s v=""/>
    <s v="North"/>
    <x v="4"/>
    <s v="CRM"/>
    <x v="2"/>
    <x v="0"/>
  </r>
  <r>
    <s v="O02898"/>
    <s v="C0055"/>
    <s v="P005"/>
    <s v="R011"/>
    <d v="2025-09-04T00:00:00"/>
    <d v="2025-10-16T00:00:00"/>
    <d v="2025-10-16T00:00:00"/>
    <x v="0"/>
    <n v="3"/>
    <n v="0"/>
    <n v="540000"/>
    <n v="0"/>
    <s v="Feature gap"/>
    <s v="West"/>
    <x v="3"/>
    <s v="Service"/>
    <x v="12"/>
    <x v="1"/>
  </r>
  <r>
    <s v="O02899"/>
    <s v="C0048"/>
    <s v="P005"/>
    <s v="R005"/>
    <d v="2025-06-24T00:00:00"/>
    <d v="2025-08-28T00:00:00"/>
    <d v="2025-08-28T00:00:00"/>
    <x v="1"/>
    <n v="1"/>
    <n v="0"/>
    <n v="180000"/>
    <n v="100"/>
    <s v=""/>
    <s v="South"/>
    <x v="3"/>
    <s v="Service"/>
    <x v="11"/>
    <x v="2"/>
  </r>
  <r>
    <s v="O02900"/>
    <s v="C0477"/>
    <s v="P004"/>
    <s v="R009"/>
    <d v="2025-08-10T00:00:00"/>
    <d v="2025-10-01T00:00:00"/>
    <d v="2025-10-01T00:00:00"/>
    <x v="0"/>
    <n v="3"/>
    <n v="20"/>
    <n v="720000"/>
    <n v="0"/>
    <s v="Competition"/>
    <s v="North"/>
    <x v="5"/>
    <s v="Analytics"/>
    <x v="4"/>
    <x v="0"/>
  </r>
  <r>
    <s v="O02901"/>
    <s v="C0196"/>
    <s v="P004"/>
    <s v="R018"/>
    <d v="2025-09-19T00:00:00"/>
    <d v="2025-12-13T00:00:00"/>
    <m/>
    <x v="2"/>
    <n v="1"/>
    <n v="20"/>
    <n v="240000"/>
    <n v="80"/>
    <s v=""/>
    <s v="East"/>
    <x v="5"/>
    <s v="Analytics"/>
    <x v="18"/>
    <x v="3"/>
  </r>
  <r>
    <s v="O02902"/>
    <s v="C0207"/>
    <s v="P002"/>
    <s v="R008"/>
    <d v="2025-10-03T00:00:00"/>
    <d v="2025-11-26T00:00:00"/>
    <m/>
    <x v="2"/>
    <n v="1"/>
    <n v="5"/>
    <n v="399000"/>
    <n v="20"/>
    <s v=""/>
    <s v="North"/>
    <x v="0"/>
    <s v="CRM"/>
    <x v="0"/>
    <x v="0"/>
  </r>
  <r>
    <s v="O02903"/>
    <s v="C0249"/>
    <s v="P005"/>
    <s v="R013"/>
    <d v="2025-09-01T00:00:00"/>
    <d v="2025-10-17T00:00:00"/>
    <d v="2025-10-17T00:00:00"/>
    <x v="1"/>
    <n v="2"/>
    <n v="20"/>
    <n v="288000"/>
    <n v="100"/>
    <s v=""/>
    <s v="West"/>
    <x v="3"/>
    <s v="Service"/>
    <x v="5"/>
    <x v="1"/>
  </r>
  <r>
    <s v="O02904"/>
    <s v="C0268"/>
    <s v="P005"/>
    <s v="R013"/>
    <d v="2025-12-08T00:00:00"/>
    <d v="2026-01-18T00:00:00"/>
    <m/>
    <x v="2"/>
    <n v="1"/>
    <n v="0"/>
    <n v="180000"/>
    <n v="40"/>
    <s v=""/>
    <s v="West"/>
    <x v="3"/>
    <s v="Service"/>
    <x v="5"/>
    <x v="1"/>
  </r>
  <r>
    <s v="O02905"/>
    <s v="C0313"/>
    <s v="P004"/>
    <s v="R002"/>
    <d v="2025-10-22T00:00:00"/>
    <d v="2025-11-11T00:00:00"/>
    <d v="2025-11-11T00:00:00"/>
    <x v="0"/>
    <n v="2"/>
    <n v="10"/>
    <n v="540000"/>
    <n v="0"/>
    <s v="Budget"/>
    <s v="South"/>
    <x v="5"/>
    <s v="Analytics"/>
    <x v="17"/>
    <x v="2"/>
  </r>
  <r>
    <s v="O02906"/>
    <s v="C0260"/>
    <s v="P001"/>
    <s v="R010"/>
    <d v="2025-06-11T00:00:00"/>
    <d v="2025-07-28T00:00:00"/>
    <d v="2025-07-28T00:00:00"/>
    <x v="1"/>
    <n v="1"/>
    <n v="20"/>
    <n v="96000"/>
    <n v="100"/>
    <s v=""/>
    <s v="North"/>
    <x v="4"/>
    <s v="CRM"/>
    <x v="16"/>
    <x v="0"/>
  </r>
  <r>
    <s v="O02907"/>
    <s v="C0433"/>
    <s v="P001"/>
    <s v="R019"/>
    <d v="2025-01-25T00:00:00"/>
    <d v="2025-03-21T00:00:00"/>
    <m/>
    <x v="2"/>
    <n v="1"/>
    <n v="20"/>
    <n v="96000"/>
    <n v="20"/>
    <s v=""/>
    <s v="East"/>
    <x v="4"/>
    <s v="CRM"/>
    <x v="10"/>
    <x v="3"/>
  </r>
  <r>
    <s v="O02908"/>
    <s v="C0314"/>
    <s v="P001"/>
    <s v="R003"/>
    <d v="2025-08-11T00:00:00"/>
    <d v="2025-08-31T00:00:00"/>
    <m/>
    <x v="2"/>
    <n v="2"/>
    <n v="10"/>
    <n v="216000"/>
    <n v="20"/>
    <s v=""/>
    <s v="South"/>
    <x v="4"/>
    <s v="CRM"/>
    <x v="15"/>
    <x v="2"/>
  </r>
  <r>
    <s v="O02909"/>
    <s v="C0137"/>
    <s v="P001"/>
    <s v="R004"/>
    <d v="2025-09-17T00:00:00"/>
    <d v="2025-09-24T00:00:00"/>
    <d v="2025-09-24T00:00:00"/>
    <x v="1"/>
    <n v="2"/>
    <n v="0"/>
    <n v="240000"/>
    <n v="100"/>
    <s v=""/>
    <s v="South"/>
    <x v="4"/>
    <s v="CRM"/>
    <x v="3"/>
    <x v="2"/>
  </r>
  <r>
    <s v="O02910"/>
    <s v="C0440"/>
    <s v="P002"/>
    <s v="R014"/>
    <d v="2025-10-09T00:00:00"/>
    <d v="2025-12-14T00:00:00"/>
    <d v="2025-12-14T00:00:00"/>
    <x v="1"/>
    <n v="1"/>
    <n v="20"/>
    <n v="336000"/>
    <n v="100"/>
    <s v=""/>
    <s v="West"/>
    <x v="0"/>
    <s v="CRM"/>
    <x v="1"/>
    <x v="1"/>
  </r>
  <r>
    <s v="O02911"/>
    <s v="C0334"/>
    <s v="P001"/>
    <s v="R015"/>
    <d v="2025-11-06T00:00:00"/>
    <d v="2025-11-15T00:00:00"/>
    <d v="2025-11-15T00:00:00"/>
    <x v="1"/>
    <n v="1"/>
    <n v="15"/>
    <n v="102000"/>
    <n v="100"/>
    <s v=""/>
    <s v="West"/>
    <x v="4"/>
    <s v="CRM"/>
    <x v="7"/>
    <x v="1"/>
  </r>
  <r>
    <s v="O02912"/>
    <s v="C0025"/>
    <s v="P005"/>
    <s v="R016"/>
    <d v="2025-09-20T00:00:00"/>
    <d v="2025-10-24T00:00:00"/>
    <d v="2025-10-24T00:00:00"/>
    <x v="0"/>
    <n v="1"/>
    <n v="0"/>
    <n v="180000"/>
    <n v="0"/>
    <s v="No decision"/>
    <s v="East"/>
    <x v="3"/>
    <s v="Service"/>
    <x v="8"/>
    <x v="3"/>
  </r>
  <r>
    <s v="O02913"/>
    <s v="C0198"/>
    <s v="P001"/>
    <s v="R013"/>
    <d v="2025-10-27T00:00:00"/>
    <d v="2026-01-01T00:00:00"/>
    <m/>
    <x v="2"/>
    <n v="1"/>
    <n v="10"/>
    <n v="108000"/>
    <n v="40"/>
    <s v=""/>
    <s v="West"/>
    <x v="4"/>
    <s v="CRM"/>
    <x v="5"/>
    <x v="1"/>
  </r>
  <r>
    <s v="O02914"/>
    <s v="C0455"/>
    <s v="P002"/>
    <s v="R018"/>
    <d v="2025-07-09T00:00:00"/>
    <d v="2025-08-29T00:00:00"/>
    <d v="2025-08-29T00:00:00"/>
    <x v="1"/>
    <n v="3"/>
    <n v="20"/>
    <n v="1008000"/>
    <n v="100"/>
    <s v=""/>
    <s v="East"/>
    <x v="0"/>
    <s v="CRM"/>
    <x v="18"/>
    <x v="3"/>
  </r>
  <r>
    <s v="O02915"/>
    <s v="C0235"/>
    <s v="P002"/>
    <s v="R004"/>
    <d v="2025-05-11T00:00:00"/>
    <d v="2025-06-27T00:00:00"/>
    <m/>
    <x v="2"/>
    <n v="1"/>
    <n v="10"/>
    <n v="378000"/>
    <n v="40"/>
    <s v=""/>
    <s v="South"/>
    <x v="0"/>
    <s v="CRM"/>
    <x v="3"/>
    <x v="2"/>
  </r>
  <r>
    <s v="O02916"/>
    <s v="C0438"/>
    <s v="P001"/>
    <s v="R012"/>
    <d v="2025-08-11T00:00:00"/>
    <d v="2025-09-26T00:00:00"/>
    <d v="2025-09-26T00:00:00"/>
    <x v="0"/>
    <n v="1"/>
    <n v="5"/>
    <n v="114000"/>
    <n v="0"/>
    <s v="Budget"/>
    <s v="West"/>
    <x v="4"/>
    <s v="CRM"/>
    <x v="14"/>
    <x v="1"/>
  </r>
  <r>
    <s v="O02917"/>
    <s v="C0094"/>
    <s v="P002"/>
    <s v="R012"/>
    <d v="2025-09-24T00:00:00"/>
    <d v="2025-11-16T00:00:00"/>
    <d v="2025-11-16T00:00:00"/>
    <x v="1"/>
    <n v="2"/>
    <n v="20"/>
    <n v="672000"/>
    <n v="100"/>
    <s v=""/>
    <s v="West"/>
    <x v="0"/>
    <s v="CRM"/>
    <x v="14"/>
    <x v="1"/>
  </r>
  <r>
    <s v="O02918"/>
    <s v="C0445"/>
    <s v="P004"/>
    <s v="R003"/>
    <d v="2025-04-01T00:00:00"/>
    <d v="2025-06-03T00:00:00"/>
    <d v="2025-06-03T00:00:00"/>
    <x v="0"/>
    <n v="2"/>
    <n v="10"/>
    <n v="540000"/>
    <n v="0"/>
    <s v="Budget"/>
    <s v="South"/>
    <x v="5"/>
    <s v="Analytics"/>
    <x v="15"/>
    <x v="2"/>
  </r>
  <r>
    <s v="O02919"/>
    <s v="C0396"/>
    <s v="P004"/>
    <s v="R006"/>
    <d v="2025-04-18T00:00:00"/>
    <d v="2025-04-25T00:00:00"/>
    <d v="2025-04-25T00:00:00"/>
    <x v="1"/>
    <n v="1"/>
    <n v="5"/>
    <n v="285000"/>
    <n v="100"/>
    <s v=""/>
    <s v="North"/>
    <x v="5"/>
    <s v="Analytics"/>
    <x v="2"/>
    <x v="0"/>
  </r>
  <r>
    <s v="O02920"/>
    <s v="C0329"/>
    <s v="P006"/>
    <s v="R008"/>
    <d v="2025-04-02T00:00:00"/>
    <d v="2025-05-15T00:00:00"/>
    <d v="2025-05-15T00:00:00"/>
    <x v="1"/>
    <n v="3"/>
    <n v="5"/>
    <n v="1026000"/>
    <n v="100"/>
    <s v=""/>
    <s v="North"/>
    <x v="2"/>
    <s v="Security"/>
    <x v="0"/>
    <x v="0"/>
  </r>
  <r>
    <s v="O02921"/>
    <s v="C0288"/>
    <s v="P006"/>
    <s v="R002"/>
    <d v="2025-07-05T00:00:00"/>
    <d v="2025-08-17T00:00:00"/>
    <d v="2025-08-17T00:00:00"/>
    <x v="1"/>
    <n v="1"/>
    <n v="0"/>
    <n v="360000"/>
    <n v="100"/>
    <s v=""/>
    <s v="South"/>
    <x v="2"/>
    <s v="Security"/>
    <x v="17"/>
    <x v="2"/>
  </r>
  <r>
    <s v="O02922"/>
    <s v="C0485"/>
    <s v="P001"/>
    <s v="R019"/>
    <d v="2025-09-30T00:00:00"/>
    <d v="2025-12-18T00:00:00"/>
    <d v="2025-12-18T00:00:00"/>
    <x v="0"/>
    <n v="1"/>
    <n v="10"/>
    <n v="108000"/>
    <n v="0"/>
    <s v="Price"/>
    <s v="East"/>
    <x v="4"/>
    <s v="CRM"/>
    <x v="10"/>
    <x v="3"/>
  </r>
  <r>
    <s v="O02923"/>
    <s v="C0092"/>
    <s v="P001"/>
    <s v="R007"/>
    <d v="2025-04-18T00:00:00"/>
    <d v="2025-06-10T00:00:00"/>
    <d v="2025-06-10T00:00:00"/>
    <x v="0"/>
    <n v="1"/>
    <n v="5"/>
    <n v="114000"/>
    <n v="0"/>
    <s v="No decision"/>
    <s v="North"/>
    <x v="4"/>
    <s v="CRM"/>
    <x v="13"/>
    <x v="0"/>
  </r>
  <r>
    <s v="O02924"/>
    <s v="C0479"/>
    <s v="P002"/>
    <s v="R004"/>
    <d v="2025-04-29T00:00:00"/>
    <d v="2025-06-27T00:00:00"/>
    <d v="2025-06-27T00:00:00"/>
    <x v="0"/>
    <n v="1"/>
    <n v="0"/>
    <n v="420000"/>
    <n v="0"/>
    <s v="Budget"/>
    <s v="South"/>
    <x v="0"/>
    <s v="CRM"/>
    <x v="3"/>
    <x v="2"/>
  </r>
  <r>
    <s v="O02925"/>
    <s v="C0442"/>
    <s v="P004"/>
    <s v="R019"/>
    <d v="2025-10-09T00:00:00"/>
    <d v="2025-10-20T00:00:00"/>
    <d v="2025-10-20T00:00:00"/>
    <x v="0"/>
    <n v="1"/>
    <n v="0"/>
    <n v="300000"/>
    <n v="0"/>
    <s v="Feature gap"/>
    <s v="East"/>
    <x v="5"/>
    <s v="Analytics"/>
    <x v="10"/>
    <x v="3"/>
  </r>
  <r>
    <s v="O02926"/>
    <s v="C0101"/>
    <s v="P002"/>
    <s v="R009"/>
    <d v="2025-04-08T00:00:00"/>
    <d v="2025-05-19T00:00:00"/>
    <d v="2025-05-19T00:00:00"/>
    <x v="1"/>
    <n v="2"/>
    <n v="20"/>
    <n v="672000"/>
    <n v="100"/>
    <s v=""/>
    <s v="North"/>
    <x v="0"/>
    <s v="CRM"/>
    <x v="4"/>
    <x v="0"/>
  </r>
  <r>
    <s v="O02927"/>
    <s v="C0043"/>
    <s v="P005"/>
    <s v="R009"/>
    <d v="2025-05-07T00:00:00"/>
    <d v="2025-07-23T00:00:00"/>
    <d v="2025-07-23T00:00:00"/>
    <x v="1"/>
    <n v="1"/>
    <n v="10"/>
    <n v="162000"/>
    <n v="100"/>
    <s v=""/>
    <s v="North"/>
    <x v="3"/>
    <s v="Service"/>
    <x v="4"/>
    <x v="0"/>
  </r>
  <r>
    <s v="O02928"/>
    <s v="C0220"/>
    <s v="P003"/>
    <s v="R016"/>
    <d v="2025-12-13T00:00:00"/>
    <d v="2025-12-21T00:00:00"/>
    <d v="2025-12-21T00:00:00"/>
    <x v="0"/>
    <n v="3"/>
    <n v="20"/>
    <n v="576000"/>
    <n v="0"/>
    <s v="Feature gap"/>
    <s v="East"/>
    <x v="1"/>
    <s v="Automation"/>
    <x v="8"/>
    <x v="3"/>
  </r>
  <r>
    <s v="O02929"/>
    <s v="C0481"/>
    <s v="P005"/>
    <s v="R019"/>
    <d v="2025-10-19T00:00:00"/>
    <d v="2026-01-06T00:00:00"/>
    <m/>
    <x v="2"/>
    <n v="1"/>
    <n v="20"/>
    <n v="144000"/>
    <n v="20"/>
    <s v=""/>
    <s v="East"/>
    <x v="3"/>
    <s v="Service"/>
    <x v="10"/>
    <x v="3"/>
  </r>
  <r>
    <s v="O02930"/>
    <s v="C0061"/>
    <s v="P002"/>
    <s v="R017"/>
    <d v="2025-12-04T00:00:00"/>
    <d v="2025-12-12T00:00:00"/>
    <d v="2025-12-12T00:00:00"/>
    <x v="1"/>
    <n v="1"/>
    <n v="5"/>
    <n v="399000"/>
    <n v="100"/>
    <s v=""/>
    <s v="East"/>
    <x v="0"/>
    <s v="CRM"/>
    <x v="19"/>
    <x v="3"/>
  </r>
  <r>
    <s v="O02931"/>
    <s v="C0390"/>
    <s v="P004"/>
    <s v="R012"/>
    <d v="2025-08-20T00:00:00"/>
    <d v="2025-09-22T00:00:00"/>
    <d v="2025-09-22T00:00:00"/>
    <x v="1"/>
    <n v="1"/>
    <n v="5"/>
    <n v="285000"/>
    <n v="100"/>
    <s v=""/>
    <s v="West"/>
    <x v="5"/>
    <s v="Analytics"/>
    <x v="14"/>
    <x v="1"/>
  </r>
  <r>
    <s v="O02932"/>
    <s v="C0257"/>
    <s v="P004"/>
    <s v="R015"/>
    <d v="2025-07-08T00:00:00"/>
    <d v="2025-08-18T00:00:00"/>
    <m/>
    <x v="2"/>
    <n v="1"/>
    <n v="0"/>
    <n v="300000"/>
    <n v="20"/>
    <s v=""/>
    <s v="West"/>
    <x v="5"/>
    <s v="Analytics"/>
    <x v="7"/>
    <x v="1"/>
  </r>
  <r>
    <s v="O02933"/>
    <s v="C0405"/>
    <s v="P003"/>
    <s v="R002"/>
    <d v="2025-02-10T00:00:00"/>
    <d v="2025-04-03T00:00:00"/>
    <d v="2025-04-03T00:00:00"/>
    <x v="1"/>
    <n v="2"/>
    <n v="15"/>
    <n v="408000"/>
    <n v="100"/>
    <s v=""/>
    <s v="South"/>
    <x v="1"/>
    <s v="Automation"/>
    <x v="17"/>
    <x v="2"/>
  </r>
  <r>
    <s v="O02934"/>
    <s v="C0170"/>
    <s v="P005"/>
    <s v="R014"/>
    <d v="2025-01-22T00:00:00"/>
    <d v="2025-04-08T00:00:00"/>
    <d v="2025-04-08T00:00:00"/>
    <x v="0"/>
    <n v="3"/>
    <n v="10"/>
    <n v="486000"/>
    <n v="0"/>
    <s v="Feature gap"/>
    <s v="West"/>
    <x v="3"/>
    <s v="Service"/>
    <x v="1"/>
    <x v="1"/>
  </r>
  <r>
    <s v="O02935"/>
    <s v="C0052"/>
    <s v="P002"/>
    <s v="R018"/>
    <d v="2025-12-29T00:00:00"/>
    <d v="2026-03-16T00:00:00"/>
    <m/>
    <x v="2"/>
    <n v="2"/>
    <n v="0"/>
    <n v="840000"/>
    <n v="80"/>
    <s v=""/>
    <s v="East"/>
    <x v="0"/>
    <s v="CRM"/>
    <x v="18"/>
    <x v="3"/>
  </r>
  <r>
    <s v="O02936"/>
    <s v="C0335"/>
    <s v="P005"/>
    <s v="R010"/>
    <d v="2025-10-27T00:00:00"/>
    <d v="2025-11-18T00:00:00"/>
    <d v="2025-11-18T00:00:00"/>
    <x v="1"/>
    <n v="1"/>
    <n v="0"/>
    <n v="180000"/>
    <n v="100"/>
    <s v=""/>
    <s v="North"/>
    <x v="3"/>
    <s v="Service"/>
    <x v="16"/>
    <x v="0"/>
  </r>
  <r>
    <s v="O02937"/>
    <s v="C0041"/>
    <s v="P006"/>
    <s v="R002"/>
    <d v="2025-12-12T00:00:00"/>
    <d v="2026-01-22T00:00:00"/>
    <m/>
    <x v="2"/>
    <n v="1"/>
    <n v="20"/>
    <n v="288000"/>
    <n v="80"/>
    <s v=""/>
    <s v="South"/>
    <x v="2"/>
    <s v="Security"/>
    <x v="17"/>
    <x v="2"/>
  </r>
  <r>
    <s v="O02938"/>
    <s v="C0164"/>
    <s v="P006"/>
    <s v="R013"/>
    <d v="2025-12-19T00:00:00"/>
    <d v="2026-03-09T00:00:00"/>
    <m/>
    <x v="2"/>
    <n v="1"/>
    <n v="10"/>
    <n v="324000"/>
    <n v="60"/>
    <s v=""/>
    <s v="West"/>
    <x v="2"/>
    <s v="Security"/>
    <x v="5"/>
    <x v="1"/>
  </r>
  <r>
    <s v="O02939"/>
    <s v="C0233"/>
    <s v="P003"/>
    <s v="R008"/>
    <d v="2025-03-12T00:00:00"/>
    <d v="2025-04-18T00:00:00"/>
    <d v="2025-04-18T00:00:00"/>
    <x v="0"/>
    <n v="3"/>
    <n v="15"/>
    <n v="612000"/>
    <n v="0"/>
    <s v="Competition"/>
    <s v="North"/>
    <x v="1"/>
    <s v="Automation"/>
    <x v="0"/>
    <x v="0"/>
  </r>
  <r>
    <s v="O02940"/>
    <s v="C0480"/>
    <s v="P003"/>
    <s v="R012"/>
    <d v="2025-10-02T00:00:00"/>
    <d v="2025-12-10T00:00:00"/>
    <d v="2025-12-10T00:00:00"/>
    <x v="1"/>
    <n v="1"/>
    <n v="5"/>
    <n v="228000"/>
    <n v="100"/>
    <s v=""/>
    <s v="West"/>
    <x v="1"/>
    <s v="Automation"/>
    <x v="14"/>
    <x v="1"/>
  </r>
  <r>
    <s v="O02941"/>
    <s v="C0226"/>
    <s v="P001"/>
    <s v="R007"/>
    <d v="2025-12-10T00:00:00"/>
    <d v="2026-01-12T00:00:00"/>
    <m/>
    <x v="2"/>
    <n v="1"/>
    <n v="15"/>
    <n v="102000"/>
    <n v="80"/>
    <s v=""/>
    <s v="North"/>
    <x v="4"/>
    <s v="CRM"/>
    <x v="13"/>
    <x v="0"/>
  </r>
  <r>
    <s v="O02942"/>
    <s v="C0391"/>
    <s v="P004"/>
    <s v="R008"/>
    <d v="2025-10-09T00:00:00"/>
    <d v="2025-12-02T00:00:00"/>
    <d v="2025-12-02T00:00:00"/>
    <x v="0"/>
    <n v="1"/>
    <n v="15"/>
    <n v="255000"/>
    <n v="0"/>
    <s v="No decision"/>
    <s v="North"/>
    <x v="5"/>
    <s v="Analytics"/>
    <x v="0"/>
    <x v="0"/>
  </r>
  <r>
    <s v="O02943"/>
    <s v="C0474"/>
    <s v="P002"/>
    <s v="R013"/>
    <d v="2025-07-15T00:00:00"/>
    <d v="2025-09-13T00:00:00"/>
    <d v="2025-09-13T00:00:00"/>
    <x v="0"/>
    <n v="1"/>
    <n v="15"/>
    <n v="357000"/>
    <n v="0"/>
    <s v="Price"/>
    <s v="West"/>
    <x v="0"/>
    <s v="CRM"/>
    <x v="5"/>
    <x v="1"/>
  </r>
  <r>
    <s v="O02944"/>
    <s v="C0258"/>
    <s v="P002"/>
    <s v="R020"/>
    <d v="2025-05-29T00:00:00"/>
    <d v="2025-07-13T00:00:00"/>
    <m/>
    <x v="2"/>
    <n v="1"/>
    <n v="5"/>
    <n v="399000"/>
    <n v="80"/>
    <s v=""/>
    <s v="East"/>
    <x v="0"/>
    <s v="CRM"/>
    <x v="9"/>
    <x v="3"/>
  </r>
  <r>
    <s v="O02945"/>
    <s v="C0039"/>
    <s v="P003"/>
    <s v="R004"/>
    <d v="2025-11-24T00:00:00"/>
    <d v="2026-01-18T00:00:00"/>
    <m/>
    <x v="2"/>
    <n v="2"/>
    <n v="15"/>
    <n v="408000"/>
    <n v="20"/>
    <s v=""/>
    <s v="South"/>
    <x v="1"/>
    <s v="Automation"/>
    <x v="3"/>
    <x v="2"/>
  </r>
  <r>
    <s v="O02946"/>
    <s v="C0095"/>
    <s v="P005"/>
    <s v="R007"/>
    <d v="2025-04-19T00:00:00"/>
    <d v="2025-06-06T00:00:00"/>
    <d v="2025-06-06T00:00:00"/>
    <x v="1"/>
    <n v="1"/>
    <n v="10"/>
    <n v="162000"/>
    <n v="100"/>
    <s v=""/>
    <s v="North"/>
    <x v="3"/>
    <s v="Service"/>
    <x v="13"/>
    <x v="0"/>
  </r>
  <r>
    <s v="O02947"/>
    <s v="C0435"/>
    <s v="P004"/>
    <s v="R013"/>
    <d v="2025-08-13T00:00:00"/>
    <d v="2025-10-29T00:00:00"/>
    <d v="2025-10-29T00:00:00"/>
    <x v="0"/>
    <n v="1"/>
    <n v="5"/>
    <n v="285000"/>
    <n v="0"/>
    <s v="Competition"/>
    <s v="West"/>
    <x v="5"/>
    <s v="Analytics"/>
    <x v="5"/>
    <x v="1"/>
  </r>
  <r>
    <s v="O02948"/>
    <s v="C0489"/>
    <s v="P004"/>
    <s v="R013"/>
    <d v="2025-02-15T00:00:00"/>
    <d v="2025-03-03T00:00:00"/>
    <d v="2025-03-03T00:00:00"/>
    <x v="1"/>
    <n v="1"/>
    <n v="10"/>
    <n v="270000"/>
    <n v="100"/>
    <s v=""/>
    <s v="West"/>
    <x v="5"/>
    <s v="Analytics"/>
    <x v="5"/>
    <x v="1"/>
  </r>
  <r>
    <s v="O02949"/>
    <s v="C0055"/>
    <s v="P004"/>
    <s v="R012"/>
    <d v="2025-03-14T00:00:00"/>
    <d v="2025-03-23T00:00:00"/>
    <d v="2025-03-23T00:00:00"/>
    <x v="0"/>
    <n v="1"/>
    <n v="10"/>
    <n v="270000"/>
    <n v="0"/>
    <s v="Budget"/>
    <s v="West"/>
    <x v="5"/>
    <s v="Analytics"/>
    <x v="14"/>
    <x v="1"/>
  </r>
  <r>
    <s v="O02950"/>
    <s v="C0204"/>
    <s v="P002"/>
    <s v="R014"/>
    <d v="2025-06-02T00:00:00"/>
    <d v="2025-06-28T00:00:00"/>
    <d v="2025-06-28T00:00:00"/>
    <x v="1"/>
    <n v="1"/>
    <n v="5"/>
    <n v="399000"/>
    <n v="100"/>
    <s v=""/>
    <s v="West"/>
    <x v="0"/>
    <s v="CRM"/>
    <x v="1"/>
    <x v="1"/>
  </r>
  <r>
    <s v="O02951"/>
    <s v="C0490"/>
    <s v="P004"/>
    <s v="R004"/>
    <d v="2025-12-04T00:00:00"/>
    <d v="2026-02-10T00:00:00"/>
    <m/>
    <x v="2"/>
    <n v="1"/>
    <n v="15"/>
    <n v="255000"/>
    <n v="80"/>
    <s v=""/>
    <s v="South"/>
    <x v="5"/>
    <s v="Analytics"/>
    <x v="3"/>
    <x v="2"/>
  </r>
  <r>
    <s v="O02952"/>
    <s v="C0397"/>
    <s v="P005"/>
    <s v="R020"/>
    <d v="2025-03-11T00:00:00"/>
    <d v="2025-05-14T00:00:00"/>
    <m/>
    <x v="2"/>
    <n v="1"/>
    <n v="5"/>
    <n v="171000"/>
    <n v="80"/>
    <s v=""/>
    <s v="East"/>
    <x v="3"/>
    <s v="Service"/>
    <x v="9"/>
    <x v="3"/>
  </r>
  <r>
    <s v="O02953"/>
    <s v="C0487"/>
    <s v="P001"/>
    <s v="R014"/>
    <d v="2025-01-22T00:00:00"/>
    <d v="2025-04-08T00:00:00"/>
    <m/>
    <x v="2"/>
    <n v="1"/>
    <n v="20"/>
    <n v="96000"/>
    <n v="60"/>
    <s v=""/>
    <s v="West"/>
    <x v="4"/>
    <s v="CRM"/>
    <x v="1"/>
    <x v="1"/>
  </r>
  <r>
    <s v="O02954"/>
    <s v="C0161"/>
    <s v="P006"/>
    <s v="R009"/>
    <d v="2025-02-06T00:00:00"/>
    <d v="2025-02-23T00:00:00"/>
    <d v="2025-02-23T00:00:00"/>
    <x v="1"/>
    <n v="1"/>
    <n v="20"/>
    <n v="288000"/>
    <n v="100"/>
    <s v=""/>
    <s v="North"/>
    <x v="2"/>
    <s v="Security"/>
    <x v="4"/>
    <x v="0"/>
  </r>
  <r>
    <s v="O02955"/>
    <s v="C0408"/>
    <s v="P001"/>
    <s v="R019"/>
    <d v="2025-10-19T00:00:00"/>
    <d v="2025-11-02T00:00:00"/>
    <d v="2025-11-02T00:00:00"/>
    <x v="1"/>
    <n v="1"/>
    <n v="10"/>
    <n v="108000"/>
    <n v="100"/>
    <s v=""/>
    <s v="East"/>
    <x v="4"/>
    <s v="CRM"/>
    <x v="10"/>
    <x v="3"/>
  </r>
  <r>
    <s v="O02956"/>
    <s v="C0013"/>
    <s v="P006"/>
    <s v="R012"/>
    <d v="2025-04-30T00:00:00"/>
    <d v="2025-06-22T00:00:00"/>
    <m/>
    <x v="2"/>
    <n v="3"/>
    <n v="10"/>
    <n v="972000"/>
    <n v="20"/>
    <s v=""/>
    <s v="West"/>
    <x v="2"/>
    <s v="Security"/>
    <x v="14"/>
    <x v="1"/>
  </r>
  <r>
    <s v="O02957"/>
    <s v="C0125"/>
    <s v="P003"/>
    <s v="R005"/>
    <d v="2025-03-18T00:00:00"/>
    <d v="2025-06-06T00:00:00"/>
    <d v="2025-06-06T00:00:00"/>
    <x v="1"/>
    <n v="3"/>
    <n v="20"/>
    <n v="576000"/>
    <n v="100"/>
    <s v=""/>
    <s v="South"/>
    <x v="1"/>
    <s v="Automation"/>
    <x v="11"/>
    <x v="2"/>
  </r>
  <r>
    <s v="O02958"/>
    <s v="C0255"/>
    <s v="P006"/>
    <s v="R019"/>
    <d v="2025-05-05T00:00:00"/>
    <d v="2025-07-09T00:00:00"/>
    <d v="2025-07-09T00:00:00"/>
    <x v="0"/>
    <n v="3"/>
    <n v="5"/>
    <n v="1026000"/>
    <n v="0"/>
    <s v="Feature gap"/>
    <s v="East"/>
    <x v="2"/>
    <s v="Security"/>
    <x v="10"/>
    <x v="3"/>
  </r>
  <r>
    <s v="O02959"/>
    <s v="C0054"/>
    <s v="P003"/>
    <s v="R008"/>
    <d v="2025-12-18T00:00:00"/>
    <d v="2026-02-28T00:00:00"/>
    <m/>
    <x v="2"/>
    <n v="2"/>
    <n v="10"/>
    <n v="432000"/>
    <n v="80"/>
    <s v=""/>
    <s v="North"/>
    <x v="1"/>
    <s v="Automation"/>
    <x v="0"/>
    <x v="0"/>
  </r>
  <r>
    <s v="O02960"/>
    <s v="C0153"/>
    <s v="P005"/>
    <s v="R005"/>
    <d v="2025-11-17T00:00:00"/>
    <d v="2026-01-27T00:00:00"/>
    <m/>
    <x v="2"/>
    <n v="2"/>
    <n v="5"/>
    <n v="342000"/>
    <n v="20"/>
    <s v=""/>
    <s v="South"/>
    <x v="3"/>
    <s v="Service"/>
    <x v="11"/>
    <x v="2"/>
  </r>
  <r>
    <s v="O02961"/>
    <s v="C0122"/>
    <s v="P006"/>
    <s v="R012"/>
    <d v="2025-10-27T00:00:00"/>
    <d v="2025-12-10T00:00:00"/>
    <d v="2025-12-10T00:00:00"/>
    <x v="1"/>
    <n v="1"/>
    <n v="20"/>
    <n v="288000"/>
    <n v="100"/>
    <s v=""/>
    <s v="West"/>
    <x v="2"/>
    <s v="Security"/>
    <x v="14"/>
    <x v="1"/>
  </r>
  <r>
    <s v="O02962"/>
    <s v="C0011"/>
    <s v="P006"/>
    <s v="R018"/>
    <d v="2025-01-01T00:00:00"/>
    <d v="2025-02-12T00:00:00"/>
    <m/>
    <x v="2"/>
    <n v="3"/>
    <n v="10"/>
    <n v="972000"/>
    <n v="20"/>
    <s v=""/>
    <s v="East"/>
    <x v="2"/>
    <s v="Security"/>
    <x v="18"/>
    <x v="3"/>
  </r>
  <r>
    <s v="O02963"/>
    <s v="C0362"/>
    <s v="P005"/>
    <s v="R008"/>
    <d v="2025-11-29T00:00:00"/>
    <d v="2025-12-20T00:00:00"/>
    <d v="2025-12-20T00:00:00"/>
    <x v="1"/>
    <n v="2"/>
    <n v="0"/>
    <n v="360000"/>
    <n v="100"/>
    <s v=""/>
    <s v="North"/>
    <x v="3"/>
    <s v="Service"/>
    <x v="0"/>
    <x v="0"/>
  </r>
  <r>
    <s v="O02964"/>
    <s v="C0484"/>
    <s v="P006"/>
    <s v="R004"/>
    <d v="2025-04-30T00:00:00"/>
    <d v="2025-07-10T00:00:00"/>
    <d v="2025-07-10T00:00:00"/>
    <x v="1"/>
    <n v="1"/>
    <n v="5"/>
    <n v="342000"/>
    <n v="100"/>
    <s v=""/>
    <s v="South"/>
    <x v="2"/>
    <s v="Security"/>
    <x v="3"/>
    <x v="2"/>
  </r>
  <r>
    <s v="O02965"/>
    <s v="C0125"/>
    <s v="P004"/>
    <s v="R004"/>
    <d v="2025-03-23T00:00:00"/>
    <d v="2025-05-11T00:00:00"/>
    <d v="2025-05-11T00:00:00"/>
    <x v="1"/>
    <n v="3"/>
    <n v="10"/>
    <n v="810000"/>
    <n v="100"/>
    <s v=""/>
    <s v="South"/>
    <x v="5"/>
    <s v="Analytics"/>
    <x v="3"/>
    <x v="2"/>
  </r>
  <r>
    <s v="O02966"/>
    <s v="C0038"/>
    <s v="P001"/>
    <s v="R004"/>
    <d v="2025-05-25T00:00:00"/>
    <d v="2025-07-06T00:00:00"/>
    <m/>
    <x v="2"/>
    <n v="2"/>
    <n v="15"/>
    <n v="204000"/>
    <n v="60"/>
    <s v=""/>
    <s v="South"/>
    <x v="4"/>
    <s v="CRM"/>
    <x v="3"/>
    <x v="2"/>
  </r>
  <r>
    <s v="O02967"/>
    <s v="C0062"/>
    <s v="P001"/>
    <s v="R005"/>
    <d v="2025-07-08T00:00:00"/>
    <d v="2025-07-30T00:00:00"/>
    <d v="2025-07-30T00:00:00"/>
    <x v="0"/>
    <n v="1"/>
    <n v="0"/>
    <n v="120000"/>
    <n v="0"/>
    <s v="No decision"/>
    <s v="South"/>
    <x v="4"/>
    <s v="CRM"/>
    <x v="11"/>
    <x v="2"/>
  </r>
  <r>
    <s v="O02968"/>
    <s v="C0325"/>
    <s v="P005"/>
    <s v="R014"/>
    <d v="2025-09-18T00:00:00"/>
    <d v="2025-12-09T00:00:00"/>
    <d v="2025-12-09T00:00:00"/>
    <x v="1"/>
    <n v="1"/>
    <n v="0"/>
    <n v="180000"/>
    <n v="100"/>
    <s v=""/>
    <s v="West"/>
    <x v="3"/>
    <s v="Service"/>
    <x v="1"/>
    <x v="1"/>
  </r>
  <r>
    <s v="O02969"/>
    <s v="C0117"/>
    <s v="P001"/>
    <s v="R009"/>
    <d v="2025-09-11T00:00:00"/>
    <d v="2025-11-07T00:00:00"/>
    <m/>
    <x v="2"/>
    <n v="1"/>
    <n v="5"/>
    <n v="114000"/>
    <n v="80"/>
    <s v=""/>
    <s v="North"/>
    <x v="4"/>
    <s v="CRM"/>
    <x v="4"/>
    <x v="0"/>
  </r>
  <r>
    <s v="O02970"/>
    <s v="C0459"/>
    <s v="P006"/>
    <s v="R015"/>
    <d v="2025-10-12T00:00:00"/>
    <d v="2025-12-17T00:00:00"/>
    <d v="2025-12-17T00:00:00"/>
    <x v="1"/>
    <n v="3"/>
    <n v="15"/>
    <n v="918000"/>
    <n v="100"/>
    <s v=""/>
    <s v="West"/>
    <x v="2"/>
    <s v="Security"/>
    <x v="7"/>
    <x v="1"/>
  </r>
  <r>
    <s v="O02971"/>
    <s v="C0460"/>
    <s v="P004"/>
    <s v="R011"/>
    <d v="2025-06-28T00:00:00"/>
    <d v="2025-07-06T00:00:00"/>
    <m/>
    <x v="2"/>
    <n v="1"/>
    <n v="15"/>
    <n v="255000"/>
    <n v="40"/>
    <s v=""/>
    <s v="West"/>
    <x v="5"/>
    <s v="Analytics"/>
    <x v="12"/>
    <x v="1"/>
  </r>
  <r>
    <s v="O02972"/>
    <s v="C0111"/>
    <s v="P001"/>
    <s v="R011"/>
    <d v="2025-12-23T00:00:00"/>
    <d v="2026-03-05T00:00:00"/>
    <m/>
    <x v="2"/>
    <n v="1"/>
    <n v="10"/>
    <n v="108000"/>
    <n v="20"/>
    <s v=""/>
    <s v="West"/>
    <x v="4"/>
    <s v="CRM"/>
    <x v="12"/>
    <x v="1"/>
  </r>
  <r>
    <s v="O02973"/>
    <s v="C0289"/>
    <s v="P004"/>
    <s v="R012"/>
    <d v="2025-06-03T00:00:00"/>
    <d v="2025-06-12T00:00:00"/>
    <d v="2025-06-12T00:00:00"/>
    <x v="0"/>
    <n v="1"/>
    <n v="0"/>
    <n v="300000"/>
    <n v="0"/>
    <s v="No decision"/>
    <s v="West"/>
    <x v="5"/>
    <s v="Analytics"/>
    <x v="14"/>
    <x v="1"/>
  </r>
  <r>
    <s v="O02974"/>
    <s v="C0046"/>
    <s v="P006"/>
    <s v="R011"/>
    <d v="2025-04-12T00:00:00"/>
    <d v="2025-05-16T00:00:00"/>
    <d v="2025-05-16T00:00:00"/>
    <x v="0"/>
    <n v="1"/>
    <n v="15"/>
    <n v="306000"/>
    <n v="0"/>
    <s v="No decision"/>
    <s v="West"/>
    <x v="2"/>
    <s v="Security"/>
    <x v="12"/>
    <x v="1"/>
  </r>
  <r>
    <s v="O02975"/>
    <s v="C0371"/>
    <s v="P004"/>
    <s v="R005"/>
    <d v="2025-05-18T00:00:00"/>
    <d v="2025-07-03T00:00:00"/>
    <m/>
    <x v="2"/>
    <n v="3"/>
    <n v="5"/>
    <n v="855000"/>
    <n v="20"/>
    <s v=""/>
    <s v="South"/>
    <x v="5"/>
    <s v="Analytics"/>
    <x v="11"/>
    <x v="2"/>
  </r>
  <r>
    <s v="O02976"/>
    <s v="C0131"/>
    <s v="P003"/>
    <s v="R011"/>
    <d v="2025-06-17T00:00:00"/>
    <d v="2025-07-12T00:00:00"/>
    <d v="2025-07-12T00:00:00"/>
    <x v="0"/>
    <n v="1"/>
    <n v="15"/>
    <n v="204000"/>
    <n v="0"/>
    <s v="Competition"/>
    <s v="West"/>
    <x v="1"/>
    <s v="Automation"/>
    <x v="12"/>
    <x v="1"/>
  </r>
  <r>
    <s v="O02977"/>
    <s v="C0495"/>
    <s v="P004"/>
    <s v="R017"/>
    <d v="2025-01-14T00:00:00"/>
    <d v="2025-04-05T00:00:00"/>
    <d v="2025-04-05T00:00:00"/>
    <x v="0"/>
    <n v="1"/>
    <n v="15"/>
    <n v="255000"/>
    <n v="0"/>
    <s v="Budget"/>
    <s v="East"/>
    <x v="5"/>
    <s v="Analytics"/>
    <x v="19"/>
    <x v="3"/>
  </r>
  <r>
    <s v="O02978"/>
    <s v="C0411"/>
    <s v="P004"/>
    <s v="R014"/>
    <d v="2025-09-27T00:00:00"/>
    <d v="2025-11-04T00:00:00"/>
    <m/>
    <x v="2"/>
    <n v="2"/>
    <n v="5"/>
    <n v="570000"/>
    <n v="20"/>
    <s v=""/>
    <s v="West"/>
    <x v="5"/>
    <s v="Analytics"/>
    <x v="1"/>
    <x v="1"/>
  </r>
  <r>
    <s v="O02979"/>
    <s v="C0234"/>
    <s v="P001"/>
    <s v="R007"/>
    <d v="2025-08-02T00:00:00"/>
    <d v="2025-09-22T00:00:00"/>
    <d v="2025-09-22T00:00:00"/>
    <x v="1"/>
    <n v="2"/>
    <n v="10"/>
    <n v="216000"/>
    <n v="100"/>
    <s v=""/>
    <s v="North"/>
    <x v="4"/>
    <s v="CRM"/>
    <x v="13"/>
    <x v="0"/>
  </r>
  <r>
    <s v="O02980"/>
    <s v="C0054"/>
    <s v="P005"/>
    <s v="R006"/>
    <d v="2025-12-21T00:00:00"/>
    <d v="2026-03-05T00:00:00"/>
    <m/>
    <x v="2"/>
    <n v="3"/>
    <n v="5"/>
    <n v="513000"/>
    <n v="60"/>
    <s v=""/>
    <s v="North"/>
    <x v="3"/>
    <s v="Service"/>
    <x v="2"/>
    <x v="0"/>
  </r>
  <r>
    <s v="O02981"/>
    <s v="C0365"/>
    <s v="P002"/>
    <s v="R017"/>
    <d v="2025-06-27T00:00:00"/>
    <d v="2025-09-19T00:00:00"/>
    <m/>
    <x v="2"/>
    <n v="3"/>
    <n v="10"/>
    <n v="1134000"/>
    <n v="20"/>
    <s v=""/>
    <s v="East"/>
    <x v="0"/>
    <s v="CRM"/>
    <x v="19"/>
    <x v="3"/>
  </r>
  <r>
    <s v="O02982"/>
    <s v="C0448"/>
    <s v="P006"/>
    <s v="R014"/>
    <d v="2025-10-04T00:00:00"/>
    <d v="2025-10-27T00:00:00"/>
    <d v="2025-10-27T00:00:00"/>
    <x v="0"/>
    <n v="1"/>
    <n v="0"/>
    <n v="360000"/>
    <n v="0"/>
    <s v="Competition"/>
    <s v="West"/>
    <x v="2"/>
    <s v="Security"/>
    <x v="1"/>
    <x v="1"/>
  </r>
  <r>
    <s v="O02983"/>
    <s v="C0025"/>
    <s v="P002"/>
    <s v="R019"/>
    <d v="2025-08-04T00:00:00"/>
    <d v="2025-09-19T00:00:00"/>
    <d v="2025-09-19T00:00:00"/>
    <x v="1"/>
    <n v="3"/>
    <n v="0"/>
    <n v="1260000"/>
    <n v="100"/>
    <s v=""/>
    <s v="East"/>
    <x v="0"/>
    <s v="CRM"/>
    <x v="10"/>
    <x v="3"/>
  </r>
  <r>
    <s v="O02984"/>
    <s v="C0379"/>
    <s v="P005"/>
    <s v="R006"/>
    <d v="2025-11-09T00:00:00"/>
    <d v="2025-11-23T00:00:00"/>
    <d v="2025-11-23T00:00:00"/>
    <x v="1"/>
    <n v="1"/>
    <n v="15"/>
    <n v="153000"/>
    <n v="100"/>
    <s v=""/>
    <s v="North"/>
    <x v="3"/>
    <s v="Service"/>
    <x v="2"/>
    <x v="0"/>
  </r>
  <r>
    <s v="O02985"/>
    <s v="C0216"/>
    <s v="P003"/>
    <s v="R020"/>
    <d v="2025-10-04T00:00:00"/>
    <d v="2025-10-28T00:00:00"/>
    <d v="2025-10-28T00:00:00"/>
    <x v="1"/>
    <n v="2"/>
    <n v="20"/>
    <n v="384000"/>
    <n v="100"/>
    <s v=""/>
    <s v="East"/>
    <x v="1"/>
    <s v="Automation"/>
    <x v="9"/>
    <x v="3"/>
  </r>
  <r>
    <s v="O02986"/>
    <s v="C0234"/>
    <s v="P006"/>
    <s v="R009"/>
    <d v="2025-06-12T00:00:00"/>
    <d v="2025-08-10T00:00:00"/>
    <d v="2025-08-10T00:00:00"/>
    <x v="1"/>
    <n v="3"/>
    <n v="10"/>
    <n v="972000"/>
    <n v="100"/>
    <s v=""/>
    <s v="North"/>
    <x v="2"/>
    <s v="Security"/>
    <x v="4"/>
    <x v="0"/>
  </r>
  <r>
    <s v="O02987"/>
    <s v="C0326"/>
    <s v="P003"/>
    <s v="R011"/>
    <d v="2025-12-20T00:00:00"/>
    <d v="2026-02-06T00:00:00"/>
    <m/>
    <x v="2"/>
    <n v="1"/>
    <n v="15"/>
    <n v="204000"/>
    <n v="80"/>
    <s v=""/>
    <s v="West"/>
    <x v="1"/>
    <s v="Automation"/>
    <x v="12"/>
    <x v="1"/>
  </r>
  <r>
    <s v="O02988"/>
    <s v="C0021"/>
    <s v="P003"/>
    <s v="R009"/>
    <d v="2025-03-25T00:00:00"/>
    <d v="2025-06-08T00:00:00"/>
    <d v="2025-06-08T00:00:00"/>
    <x v="1"/>
    <n v="1"/>
    <n v="20"/>
    <n v="192000"/>
    <n v="100"/>
    <s v=""/>
    <s v="North"/>
    <x v="1"/>
    <s v="Automation"/>
    <x v="4"/>
    <x v="0"/>
  </r>
  <r>
    <s v="O02989"/>
    <s v="C0472"/>
    <s v="P003"/>
    <s v="R006"/>
    <d v="2025-06-02T00:00:00"/>
    <d v="2025-06-11T00:00:00"/>
    <m/>
    <x v="2"/>
    <n v="1"/>
    <n v="5"/>
    <n v="228000"/>
    <n v="60"/>
    <s v=""/>
    <s v="North"/>
    <x v="1"/>
    <s v="Automation"/>
    <x v="2"/>
    <x v="0"/>
  </r>
  <r>
    <s v="O02990"/>
    <s v="C0160"/>
    <s v="P004"/>
    <s v="R020"/>
    <d v="2025-08-12T00:00:00"/>
    <d v="2025-09-13T00:00:00"/>
    <d v="2025-09-13T00:00:00"/>
    <x v="0"/>
    <n v="1"/>
    <n v="15"/>
    <n v="255000"/>
    <n v="0"/>
    <s v="Competition"/>
    <s v="East"/>
    <x v="5"/>
    <s v="Analytics"/>
    <x v="9"/>
    <x v="3"/>
  </r>
  <r>
    <s v="O02991"/>
    <s v="C0412"/>
    <s v="P002"/>
    <s v="R012"/>
    <d v="2025-02-02T00:00:00"/>
    <d v="2025-02-14T00:00:00"/>
    <m/>
    <x v="2"/>
    <n v="3"/>
    <n v="10"/>
    <n v="1134000"/>
    <n v="60"/>
    <s v=""/>
    <s v="West"/>
    <x v="0"/>
    <s v="CRM"/>
    <x v="14"/>
    <x v="1"/>
  </r>
  <r>
    <s v="O02992"/>
    <s v="C0039"/>
    <s v="P006"/>
    <s v="R005"/>
    <d v="2025-11-09T00:00:00"/>
    <d v="2026-01-19T00:00:00"/>
    <m/>
    <x v="2"/>
    <n v="1"/>
    <n v="15"/>
    <n v="306000"/>
    <n v="80"/>
    <s v=""/>
    <s v="South"/>
    <x v="2"/>
    <s v="Security"/>
    <x v="11"/>
    <x v="2"/>
  </r>
  <r>
    <s v="O02993"/>
    <s v="C0248"/>
    <s v="P006"/>
    <s v="R004"/>
    <d v="2025-03-10T00:00:00"/>
    <d v="2025-06-01T00:00:00"/>
    <d v="2025-06-01T00:00:00"/>
    <x v="1"/>
    <n v="1"/>
    <n v="5"/>
    <n v="342000"/>
    <n v="100"/>
    <s v=""/>
    <s v="South"/>
    <x v="2"/>
    <s v="Security"/>
    <x v="3"/>
    <x v="2"/>
  </r>
  <r>
    <s v="O02994"/>
    <s v="C0177"/>
    <s v="P004"/>
    <s v="R019"/>
    <d v="2025-12-15T00:00:00"/>
    <d v="2026-02-07T00:00:00"/>
    <m/>
    <x v="2"/>
    <n v="2"/>
    <n v="5"/>
    <n v="570000"/>
    <n v="80"/>
    <s v=""/>
    <s v="East"/>
    <x v="5"/>
    <s v="Analytics"/>
    <x v="10"/>
    <x v="3"/>
  </r>
  <r>
    <s v="O02995"/>
    <s v="C0289"/>
    <s v="P006"/>
    <s v="R011"/>
    <d v="2025-06-14T00:00:00"/>
    <d v="2025-06-24T00:00:00"/>
    <d v="2025-06-24T00:00:00"/>
    <x v="1"/>
    <n v="1"/>
    <n v="5"/>
    <n v="342000"/>
    <n v="100"/>
    <s v=""/>
    <s v="West"/>
    <x v="2"/>
    <s v="Security"/>
    <x v="12"/>
    <x v="1"/>
  </r>
  <r>
    <s v="O02996"/>
    <s v="C0470"/>
    <s v="P003"/>
    <s v="R009"/>
    <d v="2025-09-09T00:00:00"/>
    <d v="2025-10-20T00:00:00"/>
    <d v="2025-10-20T00:00:00"/>
    <x v="0"/>
    <n v="2"/>
    <n v="15"/>
    <n v="408000"/>
    <n v="0"/>
    <s v="Competition"/>
    <s v="North"/>
    <x v="1"/>
    <s v="Automation"/>
    <x v="4"/>
    <x v="0"/>
  </r>
  <r>
    <s v="O02997"/>
    <s v="C0261"/>
    <s v="P005"/>
    <s v="R006"/>
    <d v="2025-09-07T00:00:00"/>
    <d v="2025-11-13T00:00:00"/>
    <d v="2025-11-13T00:00:00"/>
    <x v="0"/>
    <n v="1"/>
    <n v="15"/>
    <n v="153000"/>
    <n v="0"/>
    <s v="Feature gap"/>
    <s v="North"/>
    <x v="3"/>
    <s v="Service"/>
    <x v="2"/>
    <x v="0"/>
  </r>
  <r>
    <s v="O02998"/>
    <s v="C0291"/>
    <s v="P002"/>
    <s v="R018"/>
    <d v="2025-07-17T00:00:00"/>
    <d v="2025-08-09T00:00:00"/>
    <d v="2025-08-09T00:00:00"/>
    <x v="0"/>
    <n v="3"/>
    <n v="20"/>
    <n v="1008000"/>
    <n v="0"/>
    <s v="Price"/>
    <s v="East"/>
    <x v="0"/>
    <s v="CRM"/>
    <x v="18"/>
    <x v="3"/>
  </r>
  <r>
    <s v="O02999"/>
    <s v="C0124"/>
    <s v="P003"/>
    <s v="R001"/>
    <d v="2025-05-21T00:00:00"/>
    <d v="2025-07-28T00:00:00"/>
    <d v="2025-07-28T00:00:00"/>
    <x v="1"/>
    <n v="2"/>
    <n v="15"/>
    <n v="408000"/>
    <n v="100"/>
    <s v=""/>
    <s v="South"/>
    <x v="1"/>
    <s v="Automation"/>
    <x v="6"/>
    <x v="2"/>
  </r>
  <r>
    <s v="O03000"/>
    <s v="C0486"/>
    <s v="P004"/>
    <s v="R006"/>
    <d v="2025-07-29T00:00:00"/>
    <d v="2025-10-08T00:00:00"/>
    <d v="2025-10-08T00:00:00"/>
    <x v="0"/>
    <n v="3"/>
    <n v="15"/>
    <n v="765000"/>
    <n v="0"/>
    <s v="Budget"/>
    <s v="North"/>
    <x v="5"/>
    <s v="Analytics"/>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598BA-7680-49A2-80B4-4DCADBAB71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rowPageCount="1" colPageCount="1"/>
  <pivotFields count="18">
    <pivotField showAll="0"/>
    <pivotField showAll="0"/>
    <pivotField showAll="0"/>
    <pivotField showAll="0"/>
    <pivotField numFmtId="14" showAll="0"/>
    <pivotField numFmtId="14" showAll="0"/>
    <pivotField showAll="0"/>
    <pivotField axis="axisPage"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s>
  <rowFields count="1">
    <field x="17"/>
  </rowFields>
  <rowItems count="5">
    <i>
      <x v="2"/>
    </i>
    <i>
      <x v="3"/>
    </i>
    <i>
      <x v="1"/>
    </i>
    <i>
      <x/>
    </i>
    <i t="grand">
      <x/>
    </i>
  </rowItems>
  <colItems count="1">
    <i/>
  </colItems>
  <pageFields count="1">
    <pageField fld="7" item="2" hier="-1"/>
  </pageFields>
  <dataFields count="1">
    <dataField name="Sum of deal_value_inr" fld="10" baseField="0" baseItem="0"/>
  </dataFields>
  <formats count="5">
    <format dxfId="21">
      <pivotArea collapsedLevelsAreSubtotals="1" fieldPosition="0">
        <references count="1">
          <reference field="17" count="1">
            <x v="0"/>
          </reference>
        </references>
      </pivotArea>
    </format>
    <format dxfId="20">
      <pivotArea collapsedLevelsAreSubtotals="1" fieldPosition="0">
        <references count="1">
          <reference field="17" count="1">
            <x v="1"/>
          </reference>
        </references>
      </pivotArea>
    </format>
    <format dxfId="19">
      <pivotArea collapsedLevelsAreSubtotals="1" fieldPosition="0">
        <references count="1">
          <reference field="17" count="1">
            <x v="2"/>
          </reference>
        </references>
      </pivotArea>
    </format>
    <format dxfId="18">
      <pivotArea collapsedLevelsAreSubtotals="1" fieldPosition="0">
        <references count="1">
          <reference field="17" count="1">
            <x v="3"/>
          </reference>
        </references>
      </pivotArea>
    </format>
    <format dxfId="17">
      <pivotArea grandRow="1" outline="0" collapsedLevelsAreSubtotals="1" fieldPosition="0"/>
    </format>
  </formats>
  <chartFormats count="2">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FE27B8-E80B-4B05-9CA0-9915FBBB9B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9" firstHeaderRow="1" firstDataRow="2" firstDataCol="1"/>
  <pivotFields count="18">
    <pivotField dataField="1" showAll="0"/>
    <pivotField showAll="0"/>
    <pivotField showAll="0"/>
    <pivotField showAll="0"/>
    <pivotField numFmtId="14" showAll="0"/>
    <pivotField numFmtId="14" showAll="0"/>
    <pivotField showAll="0"/>
    <pivotField axis="axisCol" showAll="0">
      <items count="4">
        <item x="0"/>
        <item x="2"/>
        <item x="1"/>
        <item t="default"/>
      </items>
    </pivotField>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s>
  <rowFields count="1">
    <field x="17"/>
  </rowFields>
  <rowItems count="5">
    <i>
      <x/>
    </i>
    <i>
      <x v="1"/>
    </i>
    <i>
      <x v="2"/>
    </i>
    <i>
      <x v="3"/>
    </i>
    <i t="grand">
      <x/>
    </i>
  </rowItems>
  <colFields count="1">
    <field x="7"/>
  </colFields>
  <colItems count="4">
    <i>
      <x/>
    </i>
    <i>
      <x v="1"/>
    </i>
    <i>
      <x v="2"/>
    </i>
    <i t="grand">
      <x/>
    </i>
  </colItem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1F0F9E-D1B0-48C7-9E2E-4FA63AEF2C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rowPageCount="1" colPageCount="1"/>
  <pivotFields count="18">
    <pivotField showAll="0"/>
    <pivotField showAll="0"/>
    <pivotField showAll="0"/>
    <pivotField showAll="0"/>
    <pivotField numFmtId="14" showAll="0"/>
    <pivotField numFmtId="14" showAll="0"/>
    <pivotField showAll="0"/>
    <pivotField axis="axisPage" showAll="0">
      <items count="4">
        <item x="0"/>
        <item x="2"/>
        <item x="1"/>
        <item t="default"/>
      </items>
    </pivotField>
    <pivotField showAll="0"/>
    <pivotField showAll="0"/>
    <pivotField dataField="1" showAll="0"/>
    <pivotField showAll="0"/>
    <pivotField showAll="0"/>
    <pivotField showAll="0"/>
    <pivotField axis="axisRow" showAll="0" sortType="descending">
      <items count="7">
        <item x="1"/>
        <item x="3"/>
        <item x="2"/>
        <item x="4"/>
        <item x="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0"/>
        <item x="2"/>
        <item x="1"/>
        <item t="default"/>
      </items>
    </pivotField>
  </pivotFields>
  <rowFields count="1">
    <field x="14"/>
  </rowFields>
  <rowItems count="7">
    <i>
      <x v="2"/>
    </i>
    <i>
      <x v="4"/>
    </i>
    <i>
      <x v="5"/>
    </i>
    <i>
      <x/>
    </i>
    <i>
      <x v="1"/>
    </i>
    <i>
      <x v="3"/>
    </i>
    <i t="grand">
      <x/>
    </i>
  </rowItems>
  <colItems count="1">
    <i/>
  </colItems>
  <pageFields count="1">
    <pageField fld="7" item="2" hier="-1"/>
  </pageFields>
  <dataFields count="1">
    <dataField name="Sum of deal_value_inr" fld="10" baseField="0" baseItem="0"/>
  </dataFields>
  <formats count="2">
    <format dxfId="16">
      <pivotArea collapsedLevelsAreSubtotals="1" fieldPosition="0">
        <references count="1">
          <reference field="14" count="0"/>
        </references>
      </pivotArea>
    </format>
    <format dxfId="1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E385B2-2007-44F5-AACB-3B3D45B76C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1" firstDataRow="2" firstDataCol="1"/>
  <pivotFields count="18">
    <pivotField dataField="1" showAll="0"/>
    <pivotField showAll="0"/>
    <pivotField showAll="0"/>
    <pivotField showAll="0"/>
    <pivotField numFmtId="14" showAll="0"/>
    <pivotField numFmtId="14" showAll="0"/>
    <pivotField showAll="0"/>
    <pivotField axis="axisCol" showAll="0">
      <items count="4">
        <item x="0"/>
        <item x="2"/>
        <item x="1"/>
        <item t="default"/>
      </items>
    </pivotField>
    <pivotField showAll="0"/>
    <pivotField showAll="0"/>
    <pivotField showAll="0"/>
    <pivotField showAll="0"/>
    <pivotField showAll="0"/>
    <pivotField showAll="0"/>
    <pivotField axis="axisRow" showAll="0">
      <items count="7">
        <item x="5"/>
        <item x="0"/>
        <item x="4"/>
        <item x="2"/>
        <item x="3"/>
        <item x="1"/>
        <item t="default"/>
      </items>
    </pivotField>
    <pivotField showAll="0"/>
    <pivotField showAll="0"/>
    <pivotField showAll="0">
      <items count="5">
        <item x="3"/>
        <item x="0"/>
        <item x="2"/>
        <item x="1"/>
        <item t="default"/>
      </items>
    </pivotField>
  </pivotFields>
  <rowFields count="1">
    <field x="14"/>
  </rowFields>
  <rowItems count="7">
    <i>
      <x/>
    </i>
    <i>
      <x v="1"/>
    </i>
    <i>
      <x v="2"/>
    </i>
    <i>
      <x v="3"/>
    </i>
    <i>
      <x v="4"/>
    </i>
    <i>
      <x v="5"/>
    </i>
    <i t="grand">
      <x/>
    </i>
  </rowItems>
  <colFields count="1">
    <field x="7"/>
  </colFields>
  <colItems count="4">
    <i>
      <x/>
    </i>
    <i>
      <x v="1"/>
    </i>
    <i>
      <x v="2"/>
    </i>
    <i t="grand">
      <x/>
    </i>
  </colItem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7EE37B-A2FE-4A73-906E-13006B6217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4" firstHeaderRow="1" firstDataRow="1" firstDataCol="1" rowPageCount="1" colPageCount="1"/>
  <pivotFields count="18">
    <pivotField showAll="0"/>
    <pivotField showAll="0"/>
    <pivotField showAll="0"/>
    <pivotField showAll="0"/>
    <pivotField numFmtId="14" showAll="0"/>
    <pivotField numFmtId="14" showAll="0"/>
    <pivotField showAll="0"/>
    <pivotField axis="axisPage" showAll="0">
      <items count="4">
        <item x="0"/>
        <item x="2"/>
        <item x="1"/>
        <item t="default"/>
      </items>
    </pivotField>
    <pivotField showAll="0"/>
    <pivotField showAll="0"/>
    <pivotField dataField="1" showAll="0"/>
    <pivotField showAll="0"/>
    <pivotField showAll="0"/>
    <pivotField showAll="0"/>
    <pivotField showAll="0"/>
    <pivotField showAll="0"/>
    <pivotField axis="axisRow" showAll="0" sortType="descending">
      <items count="21">
        <item x="6"/>
        <item x="17"/>
        <item x="15"/>
        <item x="3"/>
        <item x="11"/>
        <item x="2"/>
        <item x="13"/>
        <item x="0"/>
        <item x="4"/>
        <item x="16"/>
        <item x="12"/>
        <item x="14"/>
        <item x="5"/>
        <item x="1"/>
        <item x="7"/>
        <item x="8"/>
        <item x="19"/>
        <item x="18"/>
        <item x="10"/>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s>
  <rowFields count="1">
    <field x="16"/>
  </rowFields>
  <rowItems count="21">
    <i>
      <x v="4"/>
    </i>
    <i>
      <x v="14"/>
    </i>
    <i>
      <x v="19"/>
    </i>
    <i>
      <x v="8"/>
    </i>
    <i>
      <x v="3"/>
    </i>
    <i>
      <x v="2"/>
    </i>
    <i>
      <x v="13"/>
    </i>
    <i>
      <x v="5"/>
    </i>
    <i>
      <x v="11"/>
    </i>
    <i>
      <x v="9"/>
    </i>
    <i>
      <x v="1"/>
    </i>
    <i>
      <x v="18"/>
    </i>
    <i>
      <x v="12"/>
    </i>
    <i>
      <x v="7"/>
    </i>
    <i>
      <x v="6"/>
    </i>
    <i>
      <x v="15"/>
    </i>
    <i>
      <x/>
    </i>
    <i>
      <x v="10"/>
    </i>
    <i>
      <x v="16"/>
    </i>
    <i>
      <x v="17"/>
    </i>
    <i t="grand">
      <x/>
    </i>
  </rowItems>
  <colItems count="1">
    <i/>
  </colItems>
  <pageFields count="1">
    <pageField fld="7" item="2" hier="-1"/>
  </pageFields>
  <dataFields count="1">
    <dataField name="Sum of deal_value_inr" fld="10" baseField="0" baseItem="0" numFmtId="165"/>
  </dataFields>
  <formats count="1">
    <format dxfId="14">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349AE2-A7B1-4C8B-A0AA-BE7329C061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5" firstHeaderRow="1" firstDataRow="2" firstDataCol="1"/>
  <pivotFields count="18">
    <pivotField dataField="1" showAll="0"/>
    <pivotField showAll="0"/>
    <pivotField showAll="0"/>
    <pivotField showAll="0"/>
    <pivotField numFmtId="14" showAll="0"/>
    <pivotField numFmtId="14" showAll="0"/>
    <pivotField showAll="0"/>
    <pivotField axis="axisCol"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21">
        <item x="6"/>
        <item x="17"/>
        <item x="15"/>
        <item x="3"/>
        <item x="11"/>
        <item x="2"/>
        <item x="13"/>
        <item x="0"/>
        <item x="4"/>
        <item x="16"/>
        <item x="12"/>
        <item x="14"/>
        <item x="5"/>
        <item x="1"/>
        <item x="7"/>
        <item x="8"/>
        <item x="19"/>
        <item x="18"/>
        <item x="10"/>
        <item x="9"/>
        <item t="default"/>
      </items>
    </pivotField>
    <pivotField showAll="0">
      <items count="5">
        <item x="3"/>
        <item x="0"/>
        <item x="2"/>
        <item x="1"/>
        <item t="default"/>
      </items>
    </pivotField>
  </pivotFields>
  <rowFields count="1">
    <field x="16"/>
  </rowFields>
  <rowItems count="21">
    <i>
      <x/>
    </i>
    <i>
      <x v="1"/>
    </i>
    <i>
      <x v="2"/>
    </i>
    <i>
      <x v="3"/>
    </i>
    <i>
      <x v="4"/>
    </i>
    <i>
      <x v="5"/>
    </i>
    <i>
      <x v="6"/>
    </i>
    <i>
      <x v="7"/>
    </i>
    <i>
      <x v="8"/>
    </i>
    <i>
      <x v="9"/>
    </i>
    <i>
      <x v="10"/>
    </i>
    <i>
      <x v="11"/>
    </i>
    <i>
      <x v="12"/>
    </i>
    <i>
      <x v="13"/>
    </i>
    <i>
      <x v="14"/>
    </i>
    <i>
      <x v="15"/>
    </i>
    <i>
      <x v="16"/>
    </i>
    <i>
      <x v="17"/>
    </i>
    <i>
      <x v="18"/>
    </i>
    <i>
      <x v="19"/>
    </i>
    <i t="grand">
      <x/>
    </i>
  </rowItems>
  <colFields count="1">
    <field x="7"/>
  </colFields>
  <colItems count="4">
    <i>
      <x/>
    </i>
    <i>
      <x v="1"/>
    </i>
    <i>
      <x v="2"/>
    </i>
    <i t="grand">
      <x/>
    </i>
  </colItem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9F0BD8-52B6-44D6-A61C-C5FA1B365F70}" name="Pivot_Region_Opportun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dataField="1"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s>
  <rowFields count="1">
    <field x="17"/>
  </rowFields>
  <rowItems count="5">
    <i>
      <x/>
    </i>
    <i>
      <x v="1"/>
    </i>
    <i>
      <x v="2"/>
    </i>
    <i>
      <x v="3"/>
    </i>
    <i t="grand">
      <x/>
    </i>
  </rowItems>
  <colItems count="1">
    <i/>
  </colItem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8CD167-F2A5-4704-B3E2-CB1C3F77CECA}" name="Pivot_Region_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8">
    <pivotField dataField="1" showAll="0"/>
    <pivotField showAll="0"/>
    <pivotField showAll="0"/>
    <pivotField showAll="0"/>
    <pivotField numFmtId="14" showAll="0"/>
    <pivotField numFmtId="14" showAll="0"/>
    <pivotField showAll="0"/>
    <pivotField axis="axisPage" showAll="0">
      <items count="4">
        <item x="0"/>
        <item x="2"/>
        <item x="1"/>
        <item t="default"/>
      </items>
    </pivotField>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s>
  <rowFields count="1">
    <field x="17"/>
  </rowFields>
  <rowItems count="5">
    <i>
      <x/>
    </i>
    <i>
      <x v="1"/>
    </i>
    <i>
      <x v="2"/>
    </i>
    <i>
      <x v="3"/>
    </i>
    <i t="grand">
      <x/>
    </i>
  </rowItems>
  <colItems count="1">
    <i/>
  </colItems>
  <pageFields count="1">
    <pageField fld="7" item="2" hier="-1"/>
  </pageField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48D419-4D64-49CA-BD69-473674A69AB2}" name="Pivot_Region_Clo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18">
    <pivotField dataField="1" showAll="0"/>
    <pivotField showAll="0"/>
    <pivotField showAll="0"/>
    <pivotField showAll="0"/>
    <pivotField numFmtId="14" showAll="0"/>
    <pivotField numFmtId="14" showAll="0"/>
    <pivotField showAll="0"/>
    <pivotField axis="axisPage" multipleItemSelectionAllowed="1" showAll="0">
      <items count="4">
        <item x="0"/>
        <item h="1" x="2"/>
        <item x="1"/>
        <item t="default"/>
      </items>
    </pivotField>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s>
  <rowFields count="1">
    <field x="17"/>
  </rowFields>
  <rowItems count="5">
    <i>
      <x/>
    </i>
    <i>
      <x v="1"/>
    </i>
    <i>
      <x v="2"/>
    </i>
    <i>
      <x v="3"/>
    </i>
    <i t="grand">
      <x/>
    </i>
  </rowItems>
  <colItems count="1">
    <i/>
  </colItems>
  <pageFields count="1">
    <pageField fld="7" hier="-1"/>
  </pageField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459179B9-B1DA-4BEB-B54A-4224A3B413B4}" autoFormatId="16" applyNumberFormats="0" applyBorderFormats="0" applyFontFormats="0" applyPatternFormats="0" applyAlignmentFormats="0" applyWidthHeightFormats="0">
  <queryTableRefresh nextId="7">
    <queryTableFields count="6">
      <queryTableField id="1" name="activity_id" tableColumnId="1"/>
      <queryTableField id="2" name="opportunity_id" tableColumnId="2"/>
      <queryTableField id="3" name="rep_id" tableColumnId="3"/>
      <queryTableField id="4" name="activity_date" tableColumnId="4"/>
      <queryTableField id="5" name="activity_type" tableColumnId="5"/>
      <queryTableField id="6" name="outcom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6A9A8612-B621-4B2F-A4B2-784B8CBEC337}" autoFormatId="16" applyNumberFormats="0" applyBorderFormats="0" applyFontFormats="0" applyPatternFormats="0" applyAlignmentFormats="0" applyWidthHeightFormats="0">
  <queryTableRefresh nextId="6">
    <queryTableFields count="5">
      <queryTableField id="1" name="rep_id" tableColumnId="1"/>
      <queryTableField id="2" name="rep_name" tableColumnId="2"/>
      <queryTableField id="3" name="region" tableColumnId="3"/>
      <queryTableField id="4" name="team" tableColumnId="4"/>
      <queryTableField id="5" name="annual_target_in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9026EA1-B2B2-4310-BCAA-32E70C27CC65}" autoFormatId="16" applyNumberFormats="0" applyBorderFormats="0" applyFontFormats="0" applyPatternFormats="0" applyAlignmentFormats="0" applyWidthHeightFormats="0">
  <queryTableRefresh nextId="5">
    <queryTableFields count="4">
      <queryTableField id="1" name="product_id" tableColumnId="1"/>
      <queryTableField id="2" name="product_name" tableColumnId="2"/>
      <queryTableField id="3" name="category" tableColumnId="3"/>
      <queryTableField id="4" name="annual_list_price_inr"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CF1D3795-D72B-46B9-A1BE-0A1EE29E5310}" autoFormatId="16" applyNumberFormats="0" applyBorderFormats="0" applyFontFormats="0" applyPatternFormats="0" applyAlignmentFormats="0" applyWidthHeightFormats="0">
  <queryTableRefresh nextId="13">
    <queryTableFields count="6">
      <queryTableField id="7" name="customer_id" tableColumnId="7"/>
      <queryTableField id="8" name="customer_name" tableColumnId="8"/>
      <queryTableField id="9" name="industry" tableColumnId="9"/>
      <queryTableField id="10" name="segment" tableColumnId="10"/>
      <queryTableField id="11" name="region" tableColumnId="11"/>
      <queryTableField id="12" name="city"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6E66467B-7EEF-4BF2-B96C-CF4EBB4F298D}" autoFormatId="16" applyNumberFormats="0" applyBorderFormats="0" applyFontFormats="0" applyPatternFormats="0" applyAlignmentFormats="0" applyWidthHeightFormats="0">
  <queryTableRefresh nextId="23" unboundColumnsRight="5">
    <queryTableFields count="18">
      <queryTableField id="1" name="opportunity_id" tableColumnId="1"/>
      <queryTableField id="2" name="customer_id" tableColumnId="2"/>
      <queryTableField id="3" name="product_id" tableColumnId="3"/>
      <queryTableField id="4" name="rep_id" tableColumnId="4"/>
      <queryTableField id="5" name="created_date" tableColumnId="5"/>
      <queryTableField id="6" name="expected_close_date" tableColumnId="6"/>
      <queryTableField id="7" name="actual_close_date" tableColumnId="7"/>
      <queryTableField id="8" name="stage" tableColumnId="8"/>
      <queryTableField id="9" name="units" tableColumnId="9"/>
      <queryTableField id="10" name="discount_pct" tableColumnId="10"/>
      <queryTableField id="11" name="deal_value_inr" tableColumnId="11"/>
      <queryTableField id="12" name="probability_pct" tableColumnId="12"/>
      <queryTableField id="13" name="lost_reason" tableColumnId="13"/>
      <queryTableField id="14" dataBound="0" tableColumnId="14"/>
      <queryTableField id="19" dataBound="0" tableColumnId="19"/>
      <queryTableField id="20" dataBound="0"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_Region" xr10:uid="{67AB737A-B736-4DE8-9AA3-40822863AADF}" sourceName="Sales Rep Region">
  <pivotTables>
    <pivotTable tabId="9" name="PivotTable1"/>
    <pivotTable tabId="11" name="PivotTable3"/>
    <pivotTable tabId="12" name="PivotTable4"/>
    <pivotTable tabId="10" name="PivotTable2"/>
    <pivotTable tabId="13" name="PivotTable5"/>
    <pivotTable tabId="14" name="PivotTable6"/>
    <pivotTable tabId="17" name="Pivot_Region_Opportunities"/>
    <pivotTable tabId="18" name="Pivot_Region_Won"/>
    <pivotTable tabId="19" name="Pivot_Region_Closed"/>
  </pivotTables>
  <data>
    <tabular pivotCacheId="2085740960">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Region" xr10:uid="{B5BA98D8-BCEF-4AF2-AFFA-098247A07ED2}" cache="Slicer_Sales_Rep_Region" caption="Sales Rep Region" rowHeight="2575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070BF0-B9B7-4A4D-AA03-0887A5A94918}" name="tblActivities" displayName="tblActivities" ref="A1:F10483" tableType="queryTable" totalsRowShown="0">
  <autoFilter ref="A1:F10483" xr:uid="{F8070BF0-B9B7-4A4D-AA03-0887A5A94918}"/>
  <tableColumns count="6">
    <tableColumn id="1" xr3:uid="{6D0BC5F5-90A5-4B3F-B488-B9F26028B827}" uniqueName="1" name="activity_id" queryTableFieldId="1" dataDxfId="40"/>
    <tableColumn id="2" xr3:uid="{CE1B3358-FF89-4E65-BD8D-8A7AEFA6A73B}" uniqueName="2" name="opportunity_id" queryTableFieldId="2" dataDxfId="39"/>
    <tableColumn id="3" xr3:uid="{9A450854-DCD1-4E4D-8234-2CA9358D108F}" uniqueName="3" name="rep_id" queryTableFieldId="3" dataDxfId="38"/>
    <tableColumn id="4" xr3:uid="{A7BC5D06-B558-45FE-9ECF-D9282AF2BF1E}" uniqueName="4" name="activity_date" queryTableFieldId="4" dataDxfId="37"/>
    <tableColumn id="5" xr3:uid="{006AA3EC-544D-44A0-B557-96C7288A6E57}" uniqueName="5" name="activity_type" queryTableFieldId="5" dataDxfId="36"/>
    <tableColumn id="6" xr3:uid="{5495ADB4-116D-4C5C-9FE9-9A64C52A9801}" uniqueName="6" name="outcome" queryTableFieldId="6"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D30D48-55F8-47B5-820D-D5D374D5B80D}" name="tblSalesReps" displayName="tblSalesReps" ref="A1:E21" tableType="queryTable" totalsRowShown="0">
  <autoFilter ref="A1:E21" xr:uid="{0DD30D48-55F8-47B5-820D-D5D374D5B80D}"/>
  <tableColumns count="5">
    <tableColumn id="1" xr3:uid="{4181AE1E-65A3-4644-85DC-4299EA13AFDF}" uniqueName="1" name="rep_id" queryTableFieldId="1" dataDxfId="34"/>
    <tableColumn id="2" xr3:uid="{D810C368-E2D9-494A-BFEC-3C0A48F30080}" uniqueName="2" name="rep_name" queryTableFieldId="2" dataDxfId="33"/>
    <tableColumn id="3" xr3:uid="{B85EB030-52AC-47A7-AEBD-C41E14373D26}" uniqueName="3" name="region" queryTableFieldId="3" dataDxfId="32"/>
    <tableColumn id="4" xr3:uid="{D0BF5753-39DC-42AE-9AAD-A23A258B2376}" uniqueName="4" name="team" queryTableFieldId="4" dataDxfId="31"/>
    <tableColumn id="5" xr3:uid="{C3814F36-599D-4BD4-BDCC-CFD1F1994B65}" uniqueName="5" name="annual_target_inr"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5F35F8-9249-40D6-9AD9-2D7A871F07F6}" name="tblProducts" displayName="tblProducts" ref="A1:D7" tableType="queryTable" totalsRowShown="0">
  <autoFilter ref="A1:D7" xr:uid="{9B5F35F8-9249-40D6-9AD9-2D7A871F07F6}"/>
  <tableColumns count="4">
    <tableColumn id="1" xr3:uid="{5DE651C8-C797-4FEF-8221-838DB7D5677A}" uniqueName="1" name="product_id" queryTableFieldId="1" dataDxfId="30"/>
    <tableColumn id="2" xr3:uid="{EC38F2E8-7222-4334-A2D2-B8299818DB0B}" uniqueName="2" name="product_name" queryTableFieldId="2" dataDxfId="29"/>
    <tableColumn id="3" xr3:uid="{5012F253-1890-42BD-8C19-D2E4BDA6C7F6}" uniqueName="3" name="category" queryTableFieldId="3" dataDxfId="28"/>
    <tableColumn id="4" xr3:uid="{18006415-2F2D-4A56-92FF-0B6A6C19103E}" uniqueName="4" name="annual_list_price_inr"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95FA3-63E4-4632-96D2-4FD74B22DEA8}" name="tblCustomers" displayName="tblCustomers" ref="A1:F501" tableType="queryTable" totalsRowShown="0">
  <autoFilter ref="A1:F501" xr:uid="{1E795FA3-63E4-4632-96D2-4FD74B22DEA8}"/>
  <tableColumns count="6">
    <tableColumn id="7" xr3:uid="{67DB6035-EBE2-4150-BD59-413475CF4FE9}" uniqueName="7" name="customer_id" queryTableFieldId="7" dataDxfId="27"/>
    <tableColumn id="8" xr3:uid="{419C2A0E-AC8C-42C7-9BC7-55EE440BD447}" uniqueName="8" name="customer_name" queryTableFieldId="8" dataDxfId="26"/>
    <tableColumn id="9" xr3:uid="{9100FE76-B763-4574-8587-0284264D96B3}" uniqueName="9" name="industry" queryTableFieldId="9" dataDxfId="25"/>
    <tableColumn id="10" xr3:uid="{86A42D28-6361-4BD3-BF7D-BF07BA29D80C}" uniqueName="10" name="segment" queryTableFieldId="10" dataDxfId="24"/>
    <tableColumn id="11" xr3:uid="{0054A3D9-810E-4A60-8BDB-83C0DB3FB094}" uniqueName="11" name="region" queryTableFieldId="11" dataDxfId="23"/>
    <tableColumn id="12" xr3:uid="{A1268ABE-01E1-46EC-8F91-97B71DE46644}" uniqueName="12" name="city" queryTableFieldId="12" dataDxf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626E5-0F84-40A4-925C-94C5E98BB5B0}" name="tblOpportunities" displayName="tblOpportunities" ref="A1:R3001" tableType="queryTable" totalsRowShown="0">
  <autoFilter ref="A1:R3001" xr:uid="{CB5626E5-0F84-40A4-925C-94C5E98BB5B0}"/>
  <tableColumns count="18">
    <tableColumn id="1" xr3:uid="{8F456668-0F66-4B8F-8A28-2E76DA90B6B8}" uniqueName="1" name="opportunity_id" queryTableFieldId="1" dataDxfId="13"/>
    <tableColumn id="2" xr3:uid="{B21769F0-D9E3-41A3-A3FD-3A7E8B7D83B7}" uniqueName="2" name="customer_id" queryTableFieldId="2" dataDxfId="12"/>
    <tableColumn id="3" xr3:uid="{2E1F6566-CB83-4EDC-AEDF-3110A560E1A3}" uniqueName="3" name="product_id" queryTableFieldId="3" dataDxfId="11"/>
    <tableColumn id="4" xr3:uid="{0DC911F2-F48B-4AA3-A600-07C6784D15BD}" uniqueName="4" name="rep_id" queryTableFieldId="4" dataDxfId="10"/>
    <tableColumn id="5" xr3:uid="{9B273777-F724-4099-BB42-5B113040665C}" uniqueName="5" name="created_date" queryTableFieldId="5" dataDxfId="9"/>
    <tableColumn id="6" xr3:uid="{8523423E-945F-4E62-8A6D-AE70B6717102}" uniqueName="6" name="expected_close_date" queryTableFieldId="6" dataDxfId="8"/>
    <tableColumn id="7" xr3:uid="{032B4AD7-50FB-4B75-ABA7-E25B95FEC615}" uniqueName="7" name="actual_close_date" queryTableFieldId="7" dataDxfId="7"/>
    <tableColumn id="8" xr3:uid="{9791C315-54B8-4512-B3A9-52CC1F540E2A}" uniqueName="8" name="stage" queryTableFieldId="8" dataDxfId="6"/>
    <tableColumn id="9" xr3:uid="{0D428229-72CC-48B2-A760-2A5859133DA9}" uniqueName="9" name="units" queryTableFieldId="9"/>
    <tableColumn id="10" xr3:uid="{940ECE1F-1DB7-42DB-82DB-FE3D0B4C6BB1}" uniqueName="10" name="discount_pct" queryTableFieldId="10"/>
    <tableColumn id="11" xr3:uid="{C77F46CA-D5F8-4D4D-ADFC-2553E0B566C4}" uniqueName="11" name="deal_value_inr" queryTableFieldId="11"/>
    <tableColumn id="12" xr3:uid="{593C5622-1F68-4E6B-A1A0-05AE0EB31E22}" uniqueName="12" name="probability_pct" queryTableFieldId="12"/>
    <tableColumn id="13" xr3:uid="{8E87271E-2F3F-4A36-A619-88E5039B30F9}" uniqueName="13" name="lost_reason" queryTableFieldId="13" dataDxfId="5"/>
    <tableColumn id="14" xr3:uid="{402CD986-35B3-47AE-8C9C-905746358782}" uniqueName="14" name="Customer Region" queryTableFieldId="14" dataDxfId="4">
      <calculatedColumnFormula>_xlfn.XLOOKUP(B2,tblCustomers[customer_id],tblCustomers[region],"Missing")</calculatedColumnFormula>
    </tableColumn>
    <tableColumn id="19" xr3:uid="{77A8C66B-4131-4A69-8157-3D195C0B74C7}" uniqueName="19" name="Product Name" queryTableFieldId="19" dataDxfId="3">
      <calculatedColumnFormula>_xlfn.XLOOKUP(C2,tblProducts[product_id],tblProducts[product_name],"Missing")</calculatedColumnFormula>
    </tableColumn>
    <tableColumn id="20" xr3:uid="{0B97C899-E86F-46B4-977A-6B21BC22214F}" uniqueName="20" name="Product Category" queryTableFieldId="20" dataDxfId="2">
      <calculatedColumnFormula>_xlfn.XLOOKUP(C2,tblProducts[product_id],tblProducts[category],"Missing")</calculatedColumnFormula>
    </tableColumn>
    <tableColumn id="21" xr3:uid="{CBAA5DCB-9394-481C-906A-FAD632A45DCE}" uniqueName="21" name="Sales Rep Name" queryTableFieldId="21" dataDxfId="1">
      <calculatedColumnFormula>_xlfn.XLOOKUP(D2,tblSalesReps[rep_id],tblSalesReps[rep_name],"Missing")</calculatedColumnFormula>
    </tableColumn>
    <tableColumn id="22" xr3:uid="{DE8F857B-C348-4517-BA71-7E5C96C66383}" uniqueName="22" name="Sales Rep Region" queryTableFieldId="22" dataDxfId="0">
      <calculatedColumnFormula>_xlfn.XLOOKUP(D2,tblSalesReps[rep_id],tblSalesReps[region],"Missing")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D0F7A-026B-4BCB-A959-A156F8BFD46A}">
  <dimension ref="A1:F10483"/>
  <sheetViews>
    <sheetView workbookViewId="0">
      <selection sqref="A1:F10483"/>
    </sheetView>
  </sheetViews>
  <sheetFormatPr defaultRowHeight="15.05"/>
  <cols>
    <col min="1" max="1" width="11.77734375" bestFit="1" customWidth="1"/>
    <col min="2" max="2" width="15.33203125" bestFit="1" customWidth="1"/>
    <col min="3" max="3" width="8.33203125" bestFit="1" customWidth="1"/>
    <col min="4" max="4" width="13.88671875" bestFit="1" customWidth="1"/>
    <col min="5" max="5" width="13.77734375" bestFit="1" customWidth="1"/>
    <col min="6" max="6" width="18" bestFit="1" customWidth="1"/>
  </cols>
  <sheetData>
    <row r="1" spans="1:6">
      <c r="A1" t="s">
        <v>4119</v>
      </c>
      <c r="B1" t="s">
        <v>0</v>
      </c>
      <c r="C1" t="s">
        <v>3</v>
      </c>
      <c r="D1" t="s">
        <v>4120</v>
      </c>
      <c r="E1" t="s">
        <v>4121</v>
      </c>
      <c r="F1" t="s">
        <v>4122</v>
      </c>
    </row>
    <row r="2" spans="1:6">
      <c r="A2" t="s">
        <v>4123</v>
      </c>
      <c r="B2" t="s">
        <v>13</v>
      </c>
      <c r="C2" t="s">
        <v>16</v>
      </c>
      <c r="D2" s="1">
        <v>45905</v>
      </c>
      <c r="E2" t="s">
        <v>4124</v>
      </c>
      <c r="F2" t="s">
        <v>4125</v>
      </c>
    </row>
    <row r="3" spans="1:6">
      <c r="A3" t="s">
        <v>4126</v>
      </c>
      <c r="B3" t="s">
        <v>13</v>
      </c>
      <c r="C3" t="s">
        <v>16</v>
      </c>
      <c r="D3" s="1">
        <v>45923</v>
      </c>
      <c r="E3" t="s">
        <v>4127</v>
      </c>
      <c r="F3" t="s">
        <v>4125</v>
      </c>
    </row>
    <row r="4" spans="1:6">
      <c r="A4" t="s">
        <v>4128</v>
      </c>
      <c r="B4" t="s">
        <v>13</v>
      </c>
      <c r="C4" t="s">
        <v>16</v>
      </c>
      <c r="D4" s="1">
        <v>45910</v>
      </c>
      <c r="E4" t="s">
        <v>4129</v>
      </c>
      <c r="F4" t="s">
        <v>4125</v>
      </c>
    </row>
    <row r="5" spans="1:6">
      <c r="A5" t="s">
        <v>4130</v>
      </c>
      <c r="B5" t="s">
        <v>13</v>
      </c>
      <c r="C5" t="s">
        <v>16</v>
      </c>
      <c r="D5" s="1">
        <v>45917</v>
      </c>
      <c r="E5" t="s">
        <v>4124</v>
      </c>
      <c r="F5" t="s">
        <v>4125</v>
      </c>
    </row>
    <row r="6" spans="1:6">
      <c r="A6" t="s">
        <v>4131</v>
      </c>
      <c r="B6" t="s">
        <v>19</v>
      </c>
      <c r="C6" t="s">
        <v>22</v>
      </c>
      <c r="D6" s="1">
        <v>45674</v>
      </c>
      <c r="E6" t="s">
        <v>4129</v>
      </c>
      <c r="F6" t="s">
        <v>4125</v>
      </c>
    </row>
    <row r="7" spans="1:6">
      <c r="A7" t="s">
        <v>4132</v>
      </c>
      <c r="B7" t="s">
        <v>19</v>
      </c>
      <c r="C7" t="s">
        <v>22</v>
      </c>
      <c r="D7" s="1">
        <v>45673</v>
      </c>
      <c r="E7" t="s">
        <v>4133</v>
      </c>
      <c r="F7" t="s">
        <v>4125</v>
      </c>
    </row>
    <row r="8" spans="1:6">
      <c r="A8" t="s">
        <v>4134</v>
      </c>
      <c r="B8" t="s">
        <v>19</v>
      </c>
      <c r="C8" t="s">
        <v>22</v>
      </c>
      <c r="D8" s="1">
        <v>45681</v>
      </c>
      <c r="E8" t="s">
        <v>4135</v>
      </c>
      <c r="F8" t="s">
        <v>4125</v>
      </c>
    </row>
    <row r="9" spans="1:6">
      <c r="A9" t="s">
        <v>4136</v>
      </c>
      <c r="B9" t="s">
        <v>19</v>
      </c>
      <c r="C9" t="s">
        <v>22</v>
      </c>
      <c r="D9" s="1">
        <v>45686</v>
      </c>
      <c r="E9" t="s">
        <v>4129</v>
      </c>
      <c r="F9" t="s">
        <v>4137</v>
      </c>
    </row>
    <row r="10" spans="1:6">
      <c r="A10" t="s">
        <v>4138</v>
      </c>
      <c r="B10" t="s">
        <v>19</v>
      </c>
      <c r="C10" t="s">
        <v>22</v>
      </c>
      <c r="D10" s="1">
        <v>45670</v>
      </c>
      <c r="E10" t="s">
        <v>4135</v>
      </c>
      <c r="F10" t="s">
        <v>4139</v>
      </c>
    </row>
    <row r="11" spans="1:6">
      <c r="A11" t="s">
        <v>4140</v>
      </c>
      <c r="B11" t="s">
        <v>24</v>
      </c>
      <c r="C11" t="s">
        <v>27</v>
      </c>
      <c r="D11" s="1">
        <v>45781</v>
      </c>
      <c r="E11" t="s">
        <v>4129</v>
      </c>
      <c r="F11" t="s">
        <v>4125</v>
      </c>
    </row>
    <row r="12" spans="1:6">
      <c r="A12" t="s">
        <v>4141</v>
      </c>
      <c r="B12" t="s">
        <v>24</v>
      </c>
      <c r="C12" t="s">
        <v>27</v>
      </c>
      <c r="D12" s="1">
        <v>45785</v>
      </c>
      <c r="E12" t="s">
        <v>4133</v>
      </c>
      <c r="F12" t="s">
        <v>4125</v>
      </c>
    </row>
    <row r="13" spans="1:6">
      <c r="A13" t="s">
        <v>4142</v>
      </c>
      <c r="B13" t="s">
        <v>24</v>
      </c>
      <c r="C13" t="s">
        <v>27</v>
      </c>
      <c r="D13" s="1">
        <v>45763</v>
      </c>
      <c r="E13" t="s">
        <v>4129</v>
      </c>
      <c r="F13" t="s">
        <v>4139</v>
      </c>
    </row>
    <row r="14" spans="1:6">
      <c r="A14" t="s">
        <v>4143</v>
      </c>
      <c r="B14" t="s">
        <v>30</v>
      </c>
      <c r="C14" t="s">
        <v>32</v>
      </c>
      <c r="D14" s="1">
        <v>45948</v>
      </c>
      <c r="E14" t="s">
        <v>4127</v>
      </c>
      <c r="F14" t="s">
        <v>4125</v>
      </c>
    </row>
    <row r="15" spans="1:6">
      <c r="A15" t="s">
        <v>4144</v>
      </c>
      <c r="B15" t="s">
        <v>30</v>
      </c>
      <c r="C15" t="s">
        <v>32</v>
      </c>
      <c r="D15" s="1">
        <v>45942</v>
      </c>
      <c r="E15" t="s">
        <v>4135</v>
      </c>
      <c r="F15" t="s">
        <v>4139</v>
      </c>
    </row>
    <row r="16" spans="1:6">
      <c r="A16" t="s">
        <v>4145</v>
      </c>
      <c r="B16" t="s">
        <v>30</v>
      </c>
      <c r="C16" t="s">
        <v>32</v>
      </c>
      <c r="D16" s="1">
        <v>45935</v>
      </c>
      <c r="E16" t="s">
        <v>4129</v>
      </c>
      <c r="F16" t="s">
        <v>4137</v>
      </c>
    </row>
    <row r="17" spans="1:6">
      <c r="A17" t="s">
        <v>4146</v>
      </c>
      <c r="B17" t="s">
        <v>30</v>
      </c>
      <c r="C17" t="s">
        <v>32</v>
      </c>
      <c r="D17" s="1">
        <v>45934</v>
      </c>
      <c r="E17" t="s">
        <v>4127</v>
      </c>
      <c r="F17" t="s">
        <v>4137</v>
      </c>
    </row>
    <row r="18" spans="1:6">
      <c r="A18" t="s">
        <v>4147</v>
      </c>
      <c r="B18" t="s">
        <v>34</v>
      </c>
      <c r="C18" t="s">
        <v>36</v>
      </c>
      <c r="D18" s="1">
        <v>45870</v>
      </c>
      <c r="E18" t="s">
        <v>4127</v>
      </c>
      <c r="F18" t="s">
        <v>4139</v>
      </c>
    </row>
    <row r="19" spans="1:6">
      <c r="A19" t="s">
        <v>4148</v>
      </c>
      <c r="B19" t="s">
        <v>34</v>
      </c>
      <c r="C19" t="s">
        <v>36</v>
      </c>
      <c r="D19" s="1">
        <v>45857</v>
      </c>
      <c r="E19" t="s">
        <v>4133</v>
      </c>
      <c r="F19" t="s">
        <v>4137</v>
      </c>
    </row>
    <row r="20" spans="1:6">
      <c r="A20" t="s">
        <v>4149</v>
      </c>
      <c r="B20" t="s">
        <v>34</v>
      </c>
      <c r="C20" t="s">
        <v>36</v>
      </c>
      <c r="D20" s="1">
        <v>45830</v>
      </c>
      <c r="E20" t="s">
        <v>4127</v>
      </c>
      <c r="F20" t="s">
        <v>4137</v>
      </c>
    </row>
    <row r="21" spans="1:6">
      <c r="A21" t="s">
        <v>4150</v>
      </c>
      <c r="B21" t="s">
        <v>34</v>
      </c>
      <c r="C21" t="s">
        <v>36</v>
      </c>
      <c r="D21" s="1">
        <v>45852</v>
      </c>
      <c r="E21" t="s">
        <v>4124</v>
      </c>
      <c r="F21" t="s">
        <v>4139</v>
      </c>
    </row>
    <row r="22" spans="1:6">
      <c r="A22" t="s">
        <v>4151</v>
      </c>
      <c r="B22" t="s">
        <v>34</v>
      </c>
      <c r="C22" t="s">
        <v>36</v>
      </c>
      <c r="D22" s="1">
        <v>45845</v>
      </c>
      <c r="E22" t="s">
        <v>4129</v>
      </c>
      <c r="F22" t="s">
        <v>4137</v>
      </c>
    </row>
    <row r="23" spans="1:6">
      <c r="A23" t="s">
        <v>4152</v>
      </c>
      <c r="B23" t="s">
        <v>37</v>
      </c>
      <c r="C23" t="s">
        <v>40</v>
      </c>
      <c r="D23" s="1">
        <v>45809</v>
      </c>
      <c r="E23" t="s">
        <v>4135</v>
      </c>
      <c r="F23" t="s">
        <v>4139</v>
      </c>
    </row>
    <row r="24" spans="1:6">
      <c r="A24" t="s">
        <v>4153</v>
      </c>
      <c r="B24" t="s">
        <v>37</v>
      </c>
      <c r="C24" t="s">
        <v>40</v>
      </c>
      <c r="D24" s="1">
        <v>45740</v>
      </c>
      <c r="E24" t="s">
        <v>4124</v>
      </c>
      <c r="F24" t="s">
        <v>4137</v>
      </c>
    </row>
    <row r="25" spans="1:6">
      <c r="A25" t="s">
        <v>4154</v>
      </c>
      <c r="B25" t="s">
        <v>37</v>
      </c>
      <c r="C25" t="s">
        <v>40</v>
      </c>
      <c r="D25" s="1">
        <v>45788</v>
      </c>
      <c r="E25" t="s">
        <v>4133</v>
      </c>
      <c r="F25" t="s">
        <v>4125</v>
      </c>
    </row>
    <row r="26" spans="1:6">
      <c r="A26" t="s">
        <v>4155</v>
      </c>
      <c r="B26" t="s">
        <v>41</v>
      </c>
      <c r="C26" t="s">
        <v>27</v>
      </c>
      <c r="D26" s="1">
        <v>45963</v>
      </c>
      <c r="E26" t="s">
        <v>4127</v>
      </c>
      <c r="F26" t="s">
        <v>4137</v>
      </c>
    </row>
    <row r="27" spans="1:6">
      <c r="A27" t="s">
        <v>4156</v>
      </c>
      <c r="B27" t="s">
        <v>41</v>
      </c>
      <c r="C27" t="s">
        <v>27</v>
      </c>
      <c r="D27" s="1">
        <v>45948</v>
      </c>
      <c r="E27" t="s">
        <v>4133</v>
      </c>
      <c r="F27" t="s">
        <v>4139</v>
      </c>
    </row>
    <row r="28" spans="1:6">
      <c r="A28" t="s">
        <v>4157</v>
      </c>
      <c r="B28" t="s">
        <v>41</v>
      </c>
      <c r="C28" t="s">
        <v>27</v>
      </c>
      <c r="D28" s="1">
        <v>45959</v>
      </c>
      <c r="E28" t="s">
        <v>4129</v>
      </c>
      <c r="F28" t="s">
        <v>4139</v>
      </c>
    </row>
    <row r="29" spans="1:6">
      <c r="A29" t="s">
        <v>4158</v>
      </c>
      <c r="B29" t="s">
        <v>44</v>
      </c>
      <c r="C29" t="s">
        <v>46</v>
      </c>
      <c r="D29" s="1">
        <v>45775</v>
      </c>
      <c r="E29" t="s">
        <v>4133</v>
      </c>
      <c r="F29" t="s">
        <v>4139</v>
      </c>
    </row>
    <row r="30" spans="1:6">
      <c r="A30" t="s">
        <v>4159</v>
      </c>
      <c r="B30" t="s">
        <v>44</v>
      </c>
      <c r="C30" t="s">
        <v>46</v>
      </c>
      <c r="D30" s="1">
        <v>45756</v>
      </c>
      <c r="E30" t="s">
        <v>4129</v>
      </c>
      <c r="F30" t="s">
        <v>4125</v>
      </c>
    </row>
    <row r="31" spans="1:6">
      <c r="A31" t="s">
        <v>4160</v>
      </c>
      <c r="B31" t="s">
        <v>44</v>
      </c>
      <c r="C31" t="s">
        <v>46</v>
      </c>
      <c r="D31" s="1">
        <v>45750</v>
      </c>
      <c r="E31" t="s">
        <v>4127</v>
      </c>
      <c r="F31" t="s">
        <v>4137</v>
      </c>
    </row>
    <row r="32" spans="1:6">
      <c r="A32" t="s">
        <v>4161</v>
      </c>
      <c r="B32" t="s">
        <v>44</v>
      </c>
      <c r="C32" t="s">
        <v>46</v>
      </c>
      <c r="D32" s="1">
        <v>45761</v>
      </c>
      <c r="E32" t="s">
        <v>4129</v>
      </c>
      <c r="F32" t="s">
        <v>4125</v>
      </c>
    </row>
    <row r="33" spans="1:6">
      <c r="A33" t="s">
        <v>4162</v>
      </c>
      <c r="B33" t="s">
        <v>48</v>
      </c>
      <c r="C33" t="s">
        <v>50</v>
      </c>
      <c r="D33" s="1">
        <v>45902</v>
      </c>
      <c r="E33" t="s">
        <v>4133</v>
      </c>
      <c r="F33" t="s">
        <v>4125</v>
      </c>
    </row>
    <row r="34" spans="1:6">
      <c r="A34" t="s">
        <v>4163</v>
      </c>
      <c r="B34" t="s">
        <v>48</v>
      </c>
      <c r="C34" t="s">
        <v>50</v>
      </c>
      <c r="D34" s="1">
        <v>45907</v>
      </c>
      <c r="E34" t="s">
        <v>4127</v>
      </c>
      <c r="F34" t="s">
        <v>4125</v>
      </c>
    </row>
    <row r="35" spans="1:6">
      <c r="A35" t="s">
        <v>4164</v>
      </c>
      <c r="B35" t="s">
        <v>48</v>
      </c>
      <c r="C35" t="s">
        <v>50</v>
      </c>
      <c r="D35" s="1">
        <v>45918</v>
      </c>
      <c r="E35" t="s">
        <v>4135</v>
      </c>
      <c r="F35" t="s">
        <v>4139</v>
      </c>
    </row>
    <row r="36" spans="1:6">
      <c r="A36" t="s">
        <v>4165</v>
      </c>
      <c r="B36" t="s">
        <v>48</v>
      </c>
      <c r="C36" t="s">
        <v>50</v>
      </c>
      <c r="D36" s="1">
        <v>45916</v>
      </c>
      <c r="E36" t="s">
        <v>4124</v>
      </c>
      <c r="F36" t="s">
        <v>4137</v>
      </c>
    </row>
    <row r="37" spans="1:6">
      <c r="A37" t="s">
        <v>4166</v>
      </c>
      <c r="B37" t="s">
        <v>51</v>
      </c>
      <c r="C37" t="s">
        <v>53</v>
      </c>
      <c r="D37" s="1">
        <v>45871</v>
      </c>
      <c r="E37" t="s">
        <v>4124</v>
      </c>
      <c r="F37" t="s">
        <v>4139</v>
      </c>
    </row>
    <row r="38" spans="1:6">
      <c r="A38" t="s">
        <v>4167</v>
      </c>
      <c r="B38" t="s">
        <v>51</v>
      </c>
      <c r="C38" t="s">
        <v>53</v>
      </c>
      <c r="D38" s="1">
        <v>45877</v>
      </c>
      <c r="E38" t="s">
        <v>4127</v>
      </c>
      <c r="F38" t="s">
        <v>4137</v>
      </c>
    </row>
    <row r="39" spans="1:6">
      <c r="A39" t="s">
        <v>4168</v>
      </c>
      <c r="B39" t="s">
        <v>54</v>
      </c>
      <c r="C39" t="s">
        <v>56</v>
      </c>
      <c r="D39" s="1">
        <v>45682</v>
      </c>
      <c r="E39" t="s">
        <v>4135</v>
      </c>
      <c r="F39" t="s">
        <v>4137</v>
      </c>
    </row>
    <row r="40" spans="1:6">
      <c r="A40" t="s">
        <v>4169</v>
      </c>
      <c r="B40" t="s">
        <v>54</v>
      </c>
      <c r="C40" t="s">
        <v>56</v>
      </c>
      <c r="D40" s="1">
        <v>45706</v>
      </c>
      <c r="E40" t="s">
        <v>4129</v>
      </c>
      <c r="F40" t="s">
        <v>4125</v>
      </c>
    </row>
    <row r="41" spans="1:6">
      <c r="A41" t="s">
        <v>4170</v>
      </c>
      <c r="B41" t="s">
        <v>54</v>
      </c>
      <c r="C41" t="s">
        <v>56</v>
      </c>
      <c r="D41" s="1">
        <v>45712</v>
      </c>
      <c r="E41" t="s">
        <v>4127</v>
      </c>
      <c r="F41" t="s">
        <v>4125</v>
      </c>
    </row>
    <row r="42" spans="1:6">
      <c r="A42" t="s">
        <v>4171</v>
      </c>
      <c r="B42" t="s">
        <v>54</v>
      </c>
      <c r="C42" t="s">
        <v>56</v>
      </c>
      <c r="D42" s="1">
        <v>45670</v>
      </c>
      <c r="E42" t="s">
        <v>4127</v>
      </c>
      <c r="F42" t="s">
        <v>4137</v>
      </c>
    </row>
    <row r="43" spans="1:6">
      <c r="A43" t="s">
        <v>4172</v>
      </c>
      <c r="B43" t="s">
        <v>54</v>
      </c>
      <c r="C43" t="s">
        <v>56</v>
      </c>
      <c r="D43" s="1">
        <v>45702</v>
      </c>
      <c r="E43" t="s">
        <v>4135</v>
      </c>
      <c r="F43" t="s">
        <v>4139</v>
      </c>
    </row>
    <row r="44" spans="1:6">
      <c r="A44" t="s">
        <v>4173</v>
      </c>
      <c r="B44" t="s">
        <v>57</v>
      </c>
      <c r="C44" t="s">
        <v>59</v>
      </c>
      <c r="D44" s="1">
        <v>45767</v>
      </c>
      <c r="E44" t="s">
        <v>4129</v>
      </c>
      <c r="F44" t="s">
        <v>4139</v>
      </c>
    </row>
    <row r="45" spans="1:6">
      <c r="A45" t="s">
        <v>4174</v>
      </c>
      <c r="B45" t="s">
        <v>57</v>
      </c>
      <c r="C45" t="s">
        <v>59</v>
      </c>
      <c r="D45" s="1">
        <v>45803</v>
      </c>
      <c r="E45" t="s">
        <v>4124</v>
      </c>
      <c r="F45" t="s">
        <v>4125</v>
      </c>
    </row>
    <row r="46" spans="1:6">
      <c r="A46" t="s">
        <v>4175</v>
      </c>
      <c r="B46" t="s">
        <v>57</v>
      </c>
      <c r="C46" t="s">
        <v>59</v>
      </c>
      <c r="D46" s="1">
        <v>45782</v>
      </c>
      <c r="E46" t="s">
        <v>4133</v>
      </c>
      <c r="F46" t="s">
        <v>4125</v>
      </c>
    </row>
    <row r="47" spans="1:6">
      <c r="A47" t="s">
        <v>4176</v>
      </c>
      <c r="B47" t="s">
        <v>60</v>
      </c>
      <c r="C47" t="s">
        <v>63</v>
      </c>
      <c r="D47" s="1">
        <v>45930</v>
      </c>
      <c r="E47" t="s">
        <v>4135</v>
      </c>
      <c r="F47" t="s">
        <v>4125</v>
      </c>
    </row>
    <row r="48" spans="1:6">
      <c r="A48" t="s">
        <v>4177</v>
      </c>
      <c r="B48" t="s">
        <v>60</v>
      </c>
      <c r="C48" t="s">
        <v>63</v>
      </c>
      <c r="D48" s="1">
        <v>45990</v>
      </c>
      <c r="E48" t="s">
        <v>4124</v>
      </c>
      <c r="F48" t="s">
        <v>4139</v>
      </c>
    </row>
    <row r="49" spans="1:6">
      <c r="A49" t="s">
        <v>4178</v>
      </c>
      <c r="B49" t="s">
        <v>60</v>
      </c>
      <c r="C49" t="s">
        <v>63</v>
      </c>
      <c r="D49" s="1">
        <v>45981</v>
      </c>
      <c r="E49" t="s">
        <v>4124</v>
      </c>
      <c r="F49" t="s">
        <v>4139</v>
      </c>
    </row>
    <row r="50" spans="1:6">
      <c r="A50" t="s">
        <v>4179</v>
      </c>
      <c r="B50" t="s">
        <v>60</v>
      </c>
      <c r="C50" t="s">
        <v>63</v>
      </c>
      <c r="D50" s="1">
        <v>45974</v>
      </c>
      <c r="E50" t="s">
        <v>4135</v>
      </c>
      <c r="F50" t="s">
        <v>4125</v>
      </c>
    </row>
    <row r="51" spans="1:6">
      <c r="A51" t="s">
        <v>4180</v>
      </c>
      <c r="B51" t="s">
        <v>60</v>
      </c>
      <c r="C51" t="s">
        <v>63</v>
      </c>
      <c r="D51" s="1">
        <v>45969</v>
      </c>
      <c r="E51" t="s">
        <v>4124</v>
      </c>
      <c r="F51" t="s">
        <v>4125</v>
      </c>
    </row>
    <row r="52" spans="1:6">
      <c r="A52" t="s">
        <v>4181</v>
      </c>
      <c r="B52" t="s">
        <v>64</v>
      </c>
      <c r="C52" t="s">
        <v>59</v>
      </c>
      <c r="D52" s="1">
        <v>46011</v>
      </c>
      <c r="E52" t="s">
        <v>4133</v>
      </c>
      <c r="F52" t="s">
        <v>4139</v>
      </c>
    </row>
    <row r="53" spans="1:6">
      <c r="A53" t="s">
        <v>4182</v>
      </c>
      <c r="B53" t="s">
        <v>64</v>
      </c>
      <c r="C53" t="s">
        <v>59</v>
      </c>
      <c r="D53" s="1">
        <v>46008</v>
      </c>
      <c r="E53" t="s">
        <v>4127</v>
      </c>
      <c r="F53" t="s">
        <v>4125</v>
      </c>
    </row>
    <row r="54" spans="1:6">
      <c r="A54" t="s">
        <v>4183</v>
      </c>
      <c r="B54" t="s">
        <v>64</v>
      </c>
      <c r="C54" t="s">
        <v>59</v>
      </c>
      <c r="D54" s="1">
        <v>46003</v>
      </c>
      <c r="E54" t="s">
        <v>4129</v>
      </c>
      <c r="F54" t="s">
        <v>4139</v>
      </c>
    </row>
    <row r="55" spans="1:6">
      <c r="A55" t="s">
        <v>4184</v>
      </c>
      <c r="B55" t="s">
        <v>66</v>
      </c>
      <c r="C55" t="s">
        <v>32</v>
      </c>
      <c r="D55" s="1">
        <v>45688</v>
      </c>
      <c r="E55" t="s">
        <v>4124</v>
      </c>
      <c r="F55" t="s">
        <v>4137</v>
      </c>
    </row>
    <row r="56" spans="1:6">
      <c r="A56" t="s">
        <v>4185</v>
      </c>
      <c r="B56" t="s">
        <v>66</v>
      </c>
      <c r="C56" t="s">
        <v>32</v>
      </c>
      <c r="D56" s="1">
        <v>45676</v>
      </c>
      <c r="E56" t="s">
        <v>4129</v>
      </c>
      <c r="F56" t="s">
        <v>4139</v>
      </c>
    </row>
    <row r="57" spans="1:6">
      <c r="A57" t="s">
        <v>4186</v>
      </c>
      <c r="B57" t="s">
        <v>66</v>
      </c>
      <c r="C57" t="s">
        <v>32</v>
      </c>
      <c r="D57" s="1">
        <v>45694</v>
      </c>
      <c r="E57" t="s">
        <v>4127</v>
      </c>
      <c r="F57" t="s">
        <v>4139</v>
      </c>
    </row>
    <row r="58" spans="1:6">
      <c r="A58" t="s">
        <v>4187</v>
      </c>
      <c r="B58" t="s">
        <v>66</v>
      </c>
      <c r="C58" t="s">
        <v>32</v>
      </c>
      <c r="D58" s="1">
        <v>45679</v>
      </c>
      <c r="E58" t="s">
        <v>4129</v>
      </c>
      <c r="F58" t="s">
        <v>4137</v>
      </c>
    </row>
    <row r="59" spans="1:6">
      <c r="A59" t="s">
        <v>4188</v>
      </c>
      <c r="B59" t="s">
        <v>66</v>
      </c>
      <c r="C59" t="s">
        <v>32</v>
      </c>
      <c r="D59" s="1">
        <v>45690</v>
      </c>
      <c r="E59" t="s">
        <v>4135</v>
      </c>
      <c r="F59" t="s">
        <v>4125</v>
      </c>
    </row>
    <row r="60" spans="1:6">
      <c r="A60" t="s">
        <v>4189</v>
      </c>
      <c r="B60" t="s">
        <v>68</v>
      </c>
      <c r="C60" t="s">
        <v>70</v>
      </c>
      <c r="D60" s="1">
        <v>45868</v>
      </c>
      <c r="E60" t="s">
        <v>4127</v>
      </c>
      <c r="F60" t="s">
        <v>4139</v>
      </c>
    </row>
    <row r="61" spans="1:6">
      <c r="A61" t="s">
        <v>4190</v>
      </c>
      <c r="B61" t="s">
        <v>68</v>
      </c>
      <c r="C61" t="s">
        <v>70</v>
      </c>
      <c r="D61" s="1">
        <v>45845</v>
      </c>
      <c r="E61" t="s">
        <v>4135</v>
      </c>
      <c r="F61" t="s">
        <v>4125</v>
      </c>
    </row>
    <row r="62" spans="1:6">
      <c r="A62" t="s">
        <v>4191</v>
      </c>
      <c r="B62" t="s">
        <v>68</v>
      </c>
      <c r="C62" t="s">
        <v>70</v>
      </c>
      <c r="D62" s="1">
        <v>45824</v>
      </c>
      <c r="E62" t="s">
        <v>4133</v>
      </c>
      <c r="F62" t="s">
        <v>4125</v>
      </c>
    </row>
    <row r="63" spans="1:6">
      <c r="A63" t="s">
        <v>4192</v>
      </c>
      <c r="B63" t="s">
        <v>71</v>
      </c>
      <c r="C63" t="s">
        <v>46</v>
      </c>
      <c r="D63" s="1">
        <v>45788</v>
      </c>
      <c r="E63" t="s">
        <v>4133</v>
      </c>
      <c r="F63" t="s">
        <v>4137</v>
      </c>
    </row>
    <row r="64" spans="1:6">
      <c r="A64" t="s">
        <v>4193</v>
      </c>
      <c r="B64" t="s">
        <v>71</v>
      </c>
      <c r="C64" t="s">
        <v>46</v>
      </c>
      <c r="D64" s="1">
        <v>45795</v>
      </c>
      <c r="E64" t="s">
        <v>4135</v>
      </c>
      <c r="F64" t="s">
        <v>4125</v>
      </c>
    </row>
    <row r="65" spans="1:6">
      <c r="A65" t="s">
        <v>4194</v>
      </c>
      <c r="B65" t="s">
        <v>73</v>
      </c>
      <c r="C65" t="s">
        <v>75</v>
      </c>
      <c r="D65" s="1">
        <v>45934</v>
      </c>
      <c r="E65" t="s">
        <v>4135</v>
      </c>
      <c r="F65" t="s">
        <v>4125</v>
      </c>
    </row>
    <row r="66" spans="1:6">
      <c r="A66" t="s">
        <v>4195</v>
      </c>
      <c r="B66" t="s">
        <v>73</v>
      </c>
      <c r="C66" t="s">
        <v>75</v>
      </c>
      <c r="D66" s="1">
        <v>45948</v>
      </c>
      <c r="E66" t="s">
        <v>4135</v>
      </c>
      <c r="F66" t="s">
        <v>4137</v>
      </c>
    </row>
    <row r="67" spans="1:6">
      <c r="A67" t="s">
        <v>4196</v>
      </c>
      <c r="B67" t="s">
        <v>73</v>
      </c>
      <c r="C67" t="s">
        <v>75</v>
      </c>
      <c r="D67" s="1">
        <v>45934</v>
      </c>
      <c r="E67" t="s">
        <v>4127</v>
      </c>
      <c r="F67" t="s">
        <v>4139</v>
      </c>
    </row>
    <row r="68" spans="1:6">
      <c r="A68" t="s">
        <v>4197</v>
      </c>
      <c r="B68" t="s">
        <v>76</v>
      </c>
      <c r="C68" t="s">
        <v>78</v>
      </c>
      <c r="D68" s="1">
        <v>46011</v>
      </c>
      <c r="E68" t="s">
        <v>4127</v>
      </c>
      <c r="F68" t="s">
        <v>4125</v>
      </c>
    </row>
    <row r="69" spans="1:6">
      <c r="A69" t="s">
        <v>4198</v>
      </c>
      <c r="B69" t="s">
        <v>76</v>
      </c>
      <c r="C69" t="s">
        <v>78</v>
      </c>
      <c r="D69" s="1">
        <v>46004</v>
      </c>
      <c r="E69" t="s">
        <v>4124</v>
      </c>
      <c r="F69" t="s">
        <v>4139</v>
      </c>
    </row>
    <row r="70" spans="1:6">
      <c r="A70" t="s">
        <v>4199</v>
      </c>
      <c r="B70" t="s">
        <v>76</v>
      </c>
      <c r="C70" t="s">
        <v>78</v>
      </c>
      <c r="D70" s="1">
        <v>45997</v>
      </c>
      <c r="E70" t="s">
        <v>4124</v>
      </c>
      <c r="F70" t="s">
        <v>4139</v>
      </c>
    </row>
    <row r="71" spans="1:6">
      <c r="A71" t="s">
        <v>4200</v>
      </c>
      <c r="B71" t="s">
        <v>76</v>
      </c>
      <c r="C71" t="s">
        <v>78</v>
      </c>
      <c r="D71" s="1">
        <v>46012</v>
      </c>
      <c r="E71" t="s">
        <v>4124</v>
      </c>
      <c r="F71" t="s">
        <v>4139</v>
      </c>
    </row>
    <row r="72" spans="1:6">
      <c r="A72" t="s">
        <v>4201</v>
      </c>
      <c r="B72" t="s">
        <v>76</v>
      </c>
      <c r="C72" t="s">
        <v>78</v>
      </c>
      <c r="D72" s="1">
        <v>45992</v>
      </c>
      <c r="E72" t="s">
        <v>4127</v>
      </c>
      <c r="F72" t="s">
        <v>4125</v>
      </c>
    </row>
    <row r="73" spans="1:6">
      <c r="A73" t="s">
        <v>4202</v>
      </c>
      <c r="B73" t="s">
        <v>79</v>
      </c>
      <c r="C73" t="s">
        <v>46</v>
      </c>
      <c r="D73" s="1">
        <v>45961</v>
      </c>
      <c r="E73" t="s">
        <v>4135</v>
      </c>
      <c r="F73" t="s">
        <v>4137</v>
      </c>
    </row>
    <row r="74" spans="1:6">
      <c r="A74" t="s">
        <v>4203</v>
      </c>
      <c r="B74" t="s">
        <v>79</v>
      </c>
      <c r="C74" t="s">
        <v>46</v>
      </c>
      <c r="D74" s="1">
        <v>45986</v>
      </c>
      <c r="E74" t="s">
        <v>4133</v>
      </c>
      <c r="F74" t="s">
        <v>4137</v>
      </c>
    </row>
    <row r="75" spans="1:6">
      <c r="A75" t="s">
        <v>4204</v>
      </c>
      <c r="B75" t="s">
        <v>79</v>
      </c>
      <c r="C75" t="s">
        <v>46</v>
      </c>
      <c r="D75" s="1">
        <v>45999</v>
      </c>
      <c r="E75" t="s">
        <v>4127</v>
      </c>
      <c r="F75" t="s">
        <v>4139</v>
      </c>
    </row>
    <row r="76" spans="1:6">
      <c r="A76" t="s">
        <v>4205</v>
      </c>
      <c r="B76" t="s">
        <v>83</v>
      </c>
      <c r="C76" t="s">
        <v>78</v>
      </c>
      <c r="D76" s="1">
        <v>45759</v>
      </c>
      <c r="E76" t="s">
        <v>4129</v>
      </c>
      <c r="F76" t="s">
        <v>4139</v>
      </c>
    </row>
    <row r="77" spans="1:6">
      <c r="A77" t="s">
        <v>4206</v>
      </c>
      <c r="B77" t="s">
        <v>83</v>
      </c>
      <c r="C77" t="s">
        <v>78</v>
      </c>
      <c r="D77" s="1">
        <v>45745</v>
      </c>
      <c r="E77" t="s">
        <v>4135</v>
      </c>
      <c r="F77" t="s">
        <v>4137</v>
      </c>
    </row>
    <row r="78" spans="1:6">
      <c r="A78" t="s">
        <v>4207</v>
      </c>
      <c r="B78" t="s">
        <v>83</v>
      </c>
      <c r="C78" t="s">
        <v>78</v>
      </c>
      <c r="D78" s="1">
        <v>45722</v>
      </c>
      <c r="E78" t="s">
        <v>4133</v>
      </c>
      <c r="F78" t="s">
        <v>4139</v>
      </c>
    </row>
    <row r="79" spans="1:6">
      <c r="A79" t="s">
        <v>4208</v>
      </c>
      <c r="B79" t="s">
        <v>85</v>
      </c>
      <c r="C79" t="s">
        <v>70</v>
      </c>
      <c r="D79" s="1">
        <v>45939</v>
      </c>
      <c r="E79" t="s">
        <v>4124</v>
      </c>
      <c r="F79" t="s">
        <v>4137</v>
      </c>
    </row>
    <row r="80" spans="1:6">
      <c r="A80" t="s">
        <v>4209</v>
      </c>
      <c r="B80" t="s">
        <v>85</v>
      </c>
      <c r="C80" t="s">
        <v>70</v>
      </c>
      <c r="D80" s="1">
        <v>45971</v>
      </c>
      <c r="E80" t="s">
        <v>4127</v>
      </c>
      <c r="F80" t="s">
        <v>4137</v>
      </c>
    </row>
    <row r="81" spans="1:6">
      <c r="A81" t="s">
        <v>4210</v>
      </c>
      <c r="B81" t="s">
        <v>85</v>
      </c>
      <c r="C81" t="s">
        <v>70</v>
      </c>
      <c r="D81" s="1">
        <v>45936</v>
      </c>
      <c r="E81" t="s">
        <v>4127</v>
      </c>
      <c r="F81" t="s">
        <v>4125</v>
      </c>
    </row>
    <row r="82" spans="1:6">
      <c r="A82" t="s">
        <v>4211</v>
      </c>
      <c r="B82" t="s">
        <v>85</v>
      </c>
      <c r="C82" t="s">
        <v>70</v>
      </c>
      <c r="D82" s="1">
        <v>45966</v>
      </c>
      <c r="E82" t="s">
        <v>4124</v>
      </c>
      <c r="F82" t="s">
        <v>4139</v>
      </c>
    </row>
    <row r="83" spans="1:6">
      <c r="A83" t="s">
        <v>4212</v>
      </c>
      <c r="B83" t="s">
        <v>87</v>
      </c>
      <c r="C83" t="s">
        <v>22</v>
      </c>
      <c r="D83" s="1">
        <v>45868</v>
      </c>
      <c r="E83" t="s">
        <v>4135</v>
      </c>
      <c r="F83" t="s">
        <v>4139</v>
      </c>
    </row>
    <row r="84" spans="1:6">
      <c r="A84" t="s">
        <v>4213</v>
      </c>
      <c r="B84" t="s">
        <v>87</v>
      </c>
      <c r="C84" t="s">
        <v>22</v>
      </c>
      <c r="D84" s="1">
        <v>45837</v>
      </c>
      <c r="E84" t="s">
        <v>4129</v>
      </c>
      <c r="F84" t="s">
        <v>4125</v>
      </c>
    </row>
    <row r="85" spans="1:6">
      <c r="A85" t="s">
        <v>4214</v>
      </c>
      <c r="B85" t="s">
        <v>87</v>
      </c>
      <c r="C85" t="s">
        <v>22</v>
      </c>
      <c r="D85" s="1">
        <v>45858</v>
      </c>
      <c r="E85" t="s">
        <v>4124</v>
      </c>
      <c r="F85" t="s">
        <v>4137</v>
      </c>
    </row>
    <row r="86" spans="1:6">
      <c r="A86" t="s">
        <v>4215</v>
      </c>
      <c r="B86" t="s">
        <v>89</v>
      </c>
      <c r="C86" t="s">
        <v>91</v>
      </c>
      <c r="D86" s="1">
        <v>45806</v>
      </c>
      <c r="E86" t="s">
        <v>4124</v>
      </c>
      <c r="F86" t="s">
        <v>4139</v>
      </c>
    </row>
    <row r="87" spans="1:6">
      <c r="A87" t="s">
        <v>4216</v>
      </c>
      <c r="B87" t="s">
        <v>89</v>
      </c>
      <c r="C87" t="s">
        <v>91</v>
      </c>
      <c r="D87" s="1">
        <v>45797</v>
      </c>
      <c r="E87" t="s">
        <v>4135</v>
      </c>
      <c r="F87" t="s">
        <v>4139</v>
      </c>
    </row>
    <row r="88" spans="1:6">
      <c r="A88" t="s">
        <v>4217</v>
      </c>
      <c r="B88" t="s">
        <v>89</v>
      </c>
      <c r="C88" t="s">
        <v>91</v>
      </c>
      <c r="D88" s="1">
        <v>45809</v>
      </c>
      <c r="E88" t="s">
        <v>4124</v>
      </c>
      <c r="F88" t="s">
        <v>4139</v>
      </c>
    </row>
    <row r="89" spans="1:6">
      <c r="A89" t="s">
        <v>4218</v>
      </c>
      <c r="B89" t="s">
        <v>89</v>
      </c>
      <c r="C89" t="s">
        <v>91</v>
      </c>
      <c r="D89" s="1">
        <v>45809</v>
      </c>
      <c r="E89" t="s">
        <v>4133</v>
      </c>
      <c r="F89" t="s">
        <v>4125</v>
      </c>
    </row>
    <row r="90" spans="1:6">
      <c r="A90" t="s">
        <v>4219</v>
      </c>
      <c r="B90" t="s">
        <v>89</v>
      </c>
      <c r="C90" t="s">
        <v>91</v>
      </c>
      <c r="D90" s="1">
        <v>45777</v>
      </c>
      <c r="E90" t="s">
        <v>4133</v>
      </c>
      <c r="F90" t="s">
        <v>4125</v>
      </c>
    </row>
    <row r="91" spans="1:6">
      <c r="A91" t="s">
        <v>4220</v>
      </c>
      <c r="B91" t="s">
        <v>92</v>
      </c>
      <c r="C91" t="s">
        <v>59</v>
      </c>
      <c r="D91" s="1">
        <v>45760</v>
      </c>
      <c r="E91" t="s">
        <v>4124</v>
      </c>
      <c r="F91" t="s">
        <v>4137</v>
      </c>
    </row>
    <row r="92" spans="1:6">
      <c r="A92" t="s">
        <v>4221</v>
      </c>
      <c r="B92" t="s">
        <v>92</v>
      </c>
      <c r="C92" t="s">
        <v>59</v>
      </c>
      <c r="D92" s="1">
        <v>45731</v>
      </c>
      <c r="E92" t="s">
        <v>4129</v>
      </c>
      <c r="F92" t="s">
        <v>4125</v>
      </c>
    </row>
    <row r="93" spans="1:6">
      <c r="A93" t="s">
        <v>4222</v>
      </c>
      <c r="B93" t="s">
        <v>92</v>
      </c>
      <c r="C93" t="s">
        <v>59</v>
      </c>
      <c r="D93" s="1">
        <v>45758</v>
      </c>
      <c r="E93" t="s">
        <v>4124</v>
      </c>
      <c r="F93" t="s">
        <v>4139</v>
      </c>
    </row>
    <row r="94" spans="1:6">
      <c r="A94" t="s">
        <v>4223</v>
      </c>
      <c r="B94" t="s">
        <v>94</v>
      </c>
      <c r="C94" t="s">
        <v>63</v>
      </c>
      <c r="D94" s="1">
        <v>45932</v>
      </c>
      <c r="E94" t="s">
        <v>4124</v>
      </c>
      <c r="F94" t="s">
        <v>4139</v>
      </c>
    </row>
    <row r="95" spans="1:6">
      <c r="A95" t="s">
        <v>4224</v>
      </c>
      <c r="B95" t="s">
        <v>94</v>
      </c>
      <c r="C95" t="s">
        <v>63</v>
      </c>
      <c r="D95" s="1">
        <v>45881</v>
      </c>
      <c r="E95" t="s">
        <v>4133</v>
      </c>
      <c r="F95" t="s">
        <v>4125</v>
      </c>
    </row>
    <row r="96" spans="1:6">
      <c r="A96" t="s">
        <v>4225</v>
      </c>
      <c r="B96" t="s">
        <v>96</v>
      </c>
      <c r="C96" t="s">
        <v>78</v>
      </c>
      <c r="D96" s="1">
        <v>46000</v>
      </c>
      <c r="E96" t="s">
        <v>4124</v>
      </c>
      <c r="F96" t="s">
        <v>4125</v>
      </c>
    </row>
    <row r="97" spans="1:6">
      <c r="A97" t="s">
        <v>4226</v>
      </c>
      <c r="B97" t="s">
        <v>96</v>
      </c>
      <c r="C97" t="s">
        <v>78</v>
      </c>
      <c r="D97" s="1">
        <v>45990</v>
      </c>
      <c r="E97" t="s">
        <v>4135</v>
      </c>
      <c r="F97" t="s">
        <v>4137</v>
      </c>
    </row>
    <row r="98" spans="1:6">
      <c r="A98" t="s">
        <v>4227</v>
      </c>
      <c r="B98" t="s">
        <v>96</v>
      </c>
      <c r="C98" t="s">
        <v>78</v>
      </c>
      <c r="D98" s="1">
        <v>46018</v>
      </c>
      <c r="E98" t="s">
        <v>4133</v>
      </c>
      <c r="F98" t="s">
        <v>4125</v>
      </c>
    </row>
    <row r="99" spans="1:6">
      <c r="A99" t="s">
        <v>4228</v>
      </c>
      <c r="B99" t="s">
        <v>96</v>
      </c>
      <c r="C99" t="s">
        <v>78</v>
      </c>
      <c r="D99" s="1">
        <v>46016</v>
      </c>
      <c r="E99" t="s">
        <v>4133</v>
      </c>
      <c r="F99" t="s">
        <v>4139</v>
      </c>
    </row>
    <row r="100" spans="1:6">
      <c r="A100" t="s">
        <v>4229</v>
      </c>
      <c r="B100" t="s">
        <v>98</v>
      </c>
      <c r="C100" t="s">
        <v>32</v>
      </c>
      <c r="D100" s="1">
        <v>45941</v>
      </c>
      <c r="E100" t="s">
        <v>4129</v>
      </c>
      <c r="F100" t="s">
        <v>4139</v>
      </c>
    </row>
    <row r="101" spans="1:6">
      <c r="A101" t="s">
        <v>4230</v>
      </c>
      <c r="B101" t="s">
        <v>98</v>
      </c>
      <c r="C101" t="s">
        <v>32</v>
      </c>
      <c r="D101" s="1">
        <v>45943</v>
      </c>
      <c r="E101" t="s">
        <v>4135</v>
      </c>
      <c r="F101" t="s">
        <v>4125</v>
      </c>
    </row>
    <row r="102" spans="1:6">
      <c r="A102" t="s">
        <v>4231</v>
      </c>
      <c r="B102" t="s">
        <v>98</v>
      </c>
      <c r="C102" t="s">
        <v>32</v>
      </c>
      <c r="D102" s="1">
        <v>45947</v>
      </c>
      <c r="E102" t="s">
        <v>4127</v>
      </c>
      <c r="F102" t="s">
        <v>4139</v>
      </c>
    </row>
    <row r="103" spans="1:6">
      <c r="A103" t="s">
        <v>4232</v>
      </c>
      <c r="B103" t="s">
        <v>98</v>
      </c>
      <c r="C103" t="s">
        <v>32</v>
      </c>
      <c r="D103" s="1">
        <v>45941</v>
      </c>
      <c r="E103" t="s">
        <v>4127</v>
      </c>
      <c r="F103" t="s">
        <v>4125</v>
      </c>
    </row>
    <row r="104" spans="1:6">
      <c r="A104" t="s">
        <v>4233</v>
      </c>
      <c r="B104" t="s">
        <v>100</v>
      </c>
      <c r="C104" t="s">
        <v>70</v>
      </c>
      <c r="D104" s="1">
        <v>45753</v>
      </c>
      <c r="E104" t="s">
        <v>4127</v>
      </c>
      <c r="F104" t="s">
        <v>4139</v>
      </c>
    </row>
    <row r="105" spans="1:6">
      <c r="A105" t="s">
        <v>4234</v>
      </c>
      <c r="B105" t="s">
        <v>100</v>
      </c>
      <c r="C105" t="s">
        <v>70</v>
      </c>
      <c r="D105" s="1">
        <v>45785</v>
      </c>
      <c r="E105" t="s">
        <v>4135</v>
      </c>
      <c r="F105" t="s">
        <v>4125</v>
      </c>
    </row>
    <row r="106" spans="1:6">
      <c r="A106" t="s">
        <v>4235</v>
      </c>
      <c r="B106" t="s">
        <v>100</v>
      </c>
      <c r="C106" t="s">
        <v>70</v>
      </c>
      <c r="D106" s="1">
        <v>45773</v>
      </c>
      <c r="E106" t="s">
        <v>4129</v>
      </c>
      <c r="F106" t="s">
        <v>4137</v>
      </c>
    </row>
    <row r="107" spans="1:6">
      <c r="A107" t="s">
        <v>4236</v>
      </c>
      <c r="B107" t="s">
        <v>100</v>
      </c>
      <c r="C107" t="s">
        <v>70</v>
      </c>
      <c r="D107" s="1">
        <v>45773</v>
      </c>
      <c r="E107" t="s">
        <v>4135</v>
      </c>
      <c r="F107" t="s">
        <v>4125</v>
      </c>
    </row>
    <row r="108" spans="1:6">
      <c r="A108" t="s">
        <v>4237</v>
      </c>
      <c r="B108" t="s">
        <v>100</v>
      </c>
      <c r="C108" t="s">
        <v>70</v>
      </c>
      <c r="D108" s="1">
        <v>45795</v>
      </c>
      <c r="E108" t="s">
        <v>4133</v>
      </c>
      <c r="F108" t="s">
        <v>4125</v>
      </c>
    </row>
    <row r="109" spans="1:6">
      <c r="A109" t="s">
        <v>4238</v>
      </c>
      <c r="B109" t="s">
        <v>101</v>
      </c>
      <c r="C109" t="s">
        <v>70</v>
      </c>
      <c r="D109" s="1">
        <v>45716</v>
      </c>
      <c r="E109" t="s">
        <v>4124</v>
      </c>
      <c r="F109" t="s">
        <v>4137</v>
      </c>
    </row>
    <row r="110" spans="1:6">
      <c r="A110" t="s">
        <v>4239</v>
      </c>
      <c r="B110" t="s">
        <v>101</v>
      </c>
      <c r="C110" t="s">
        <v>70</v>
      </c>
      <c r="D110" s="1">
        <v>45715</v>
      </c>
      <c r="E110" t="s">
        <v>4127</v>
      </c>
      <c r="F110" t="s">
        <v>4125</v>
      </c>
    </row>
    <row r="111" spans="1:6">
      <c r="A111" t="s">
        <v>4240</v>
      </c>
      <c r="B111" t="s">
        <v>103</v>
      </c>
      <c r="C111" t="s">
        <v>22</v>
      </c>
      <c r="D111" s="1">
        <v>45758</v>
      </c>
      <c r="E111" t="s">
        <v>4127</v>
      </c>
      <c r="F111" t="s">
        <v>4139</v>
      </c>
    </row>
    <row r="112" spans="1:6">
      <c r="A112" t="s">
        <v>4241</v>
      </c>
      <c r="B112" t="s">
        <v>103</v>
      </c>
      <c r="C112" t="s">
        <v>22</v>
      </c>
      <c r="D112" s="1">
        <v>45777</v>
      </c>
      <c r="E112" t="s">
        <v>4135</v>
      </c>
      <c r="F112" t="s">
        <v>4125</v>
      </c>
    </row>
    <row r="113" spans="1:6">
      <c r="A113" t="s">
        <v>4242</v>
      </c>
      <c r="B113" t="s">
        <v>105</v>
      </c>
      <c r="C113" t="s">
        <v>16</v>
      </c>
      <c r="D113" s="1">
        <v>45720</v>
      </c>
      <c r="E113" t="s">
        <v>4133</v>
      </c>
      <c r="F113" t="s">
        <v>4139</v>
      </c>
    </row>
    <row r="114" spans="1:6">
      <c r="A114" t="s">
        <v>4243</v>
      </c>
      <c r="B114" t="s">
        <v>105</v>
      </c>
      <c r="C114" t="s">
        <v>16</v>
      </c>
      <c r="D114" s="1">
        <v>45739</v>
      </c>
      <c r="E114" t="s">
        <v>4124</v>
      </c>
      <c r="F114" t="s">
        <v>4125</v>
      </c>
    </row>
    <row r="115" spans="1:6">
      <c r="A115" t="s">
        <v>4244</v>
      </c>
      <c r="B115" t="s">
        <v>107</v>
      </c>
      <c r="C115" t="s">
        <v>36</v>
      </c>
      <c r="D115" s="1">
        <v>45710</v>
      </c>
      <c r="E115" t="s">
        <v>4127</v>
      </c>
      <c r="F115" t="s">
        <v>4137</v>
      </c>
    </row>
    <row r="116" spans="1:6">
      <c r="A116" t="s">
        <v>4245</v>
      </c>
      <c r="B116" t="s">
        <v>107</v>
      </c>
      <c r="C116" t="s">
        <v>36</v>
      </c>
      <c r="D116" s="1">
        <v>45734</v>
      </c>
      <c r="E116" t="s">
        <v>4133</v>
      </c>
      <c r="F116" t="s">
        <v>4125</v>
      </c>
    </row>
    <row r="117" spans="1:6">
      <c r="A117" t="s">
        <v>4246</v>
      </c>
      <c r="B117" t="s">
        <v>107</v>
      </c>
      <c r="C117" t="s">
        <v>36</v>
      </c>
      <c r="D117" s="1">
        <v>45745</v>
      </c>
      <c r="E117" t="s">
        <v>4135</v>
      </c>
      <c r="F117" t="s">
        <v>4125</v>
      </c>
    </row>
    <row r="118" spans="1:6">
      <c r="A118" t="s">
        <v>4247</v>
      </c>
      <c r="B118" t="s">
        <v>107</v>
      </c>
      <c r="C118" t="s">
        <v>36</v>
      </c>
      <c r="D118" s="1">
        <v>45743</v>
      </c>
      <c r="E118" t="s">
        <v>4135</v>
      </c>
      <c r="F118" t="s">
        <v>4125</v>
      </c>
    </row>
    <row r="119" spans="1:6">
      <c r="A119" t="s">
        <v>4248</v>
      </c>
      <c r="B119" t="s">
        <v>107</v>
      </c>
      <c r="C119" t="s">
        <v>36</v>
      </c>
      <c r="D119" s="1">
        <v>45734</v>
      </c>
      <c r="E119" t="s">
        <v>4135</v>
      </c>
      <c r="F119" t="s">
        <v>4139</v>
      </c>
    </row>
    <row r="120" spans="1:6">
      <c r="A120" t="s">
        <v>4249</v>
      </c>
      <c r="B120" t="s">
        <v>109</v>
      </c>
      <c r="C120" t="s">
        <v>16</v>
      </c>
      <c r="D120" s="1">
        <v>45925</v>
      </c>
      <c r="E120" t="s">
        <v>4133</v>
      </c>
      <c r="F120" t="s">
        <v>4137</v>
      </c>
    </row>
    <row r="121" spans="1:6">
      <c r="A121" t="s">
        <v>4250</v>
      </c>
      <c r="B121" t="s">
        <v>109</v>
      </c>
      <c r="C121" t="s">
        <v>16</v>
      </c>
      <c r="D121" s="1">
        <v>45918</v>
      </c>
      <c r="E121" t="s">
        <v>4135</v>
      </c>
      <c r="F121" t="s">
        <v>4125</v>
      </c>
    </row>
    <row r="122" spans="1:6">
      <c r="A122" t="s">
        <v>4251</v>
      </c>
      <c r="B122" t="s">
        <v>109</v>
      </c>
      <c r="C122" t="s">
        <v>16</v>
      </c>
      <c r="D122" s="1">
        <v>45930</v>
      </c>
      <c r="E122" t="s">
        <v>4124</v>
      </c>
      <c r="F122" t="s">
        <v>4125</v>
      </c>
    </row>
    <row r="123" spans="1:6">
      <c r="A123" t="s">
        <v>4252</v>
      </c>
      <c r="B123" t="s">
        <v>109</v>
      </c>
      <c r="C123" t="s">
        <v>16</v>
      </c>
      <c r="D123" s="1">
        <v>45929</v>
      </c>
      <c r="E123" t="s">
        <v>4135</v>
      </c>
      <c r="F123" t="s">
        <v>4137</v>
      </c>
    </row>
    <row r="124" spans="1:6">
      <c r="A124" t="s">
        <v>4253</v>
      </c>
      <c r="B124" t="s">
        <v>111</v>
      </c>
      <c r="C124" t="s">
        <v>40</v>
      </c>
      <c r="D124" s="1">
        <v>45682</v>
      </c>
      <c r="E124" t="s">
        <v>4124</v>
      </c>
      <c r="F124" t="s">
        <v>4125</v>
      </c>
    </row>
    <row r="125" spans="1:6">
      <c r="A125" t="s">
        <v>4254</v>
      </c>
      <c r="B125" t="s">
        <v>111</v>
      </c>
      <c r="C125" t="s">
        <v>40</v>
      </c>
      <c r="D125" s="1">
        <v>45699</v>
      </c>
      <c r="E125" t="s">
        <v>4135</v>
      </c>
      <c r="F125" t="s">
        <v>4137</v>
      </c>
    </row>
    <row r="126" spans="1:6">
      <c r="A126" t="s">
        <v>4255</v>
      </c>
      <c r="B126" t="s">
        <v>111</v>
      </c>
      <c r="C126" t="s">
        <v>40</v>
      </c>
      <c r="D126" s="1">
        <v>45681</v>
      </c>
      <c r="E126" t="s">
        <v>4129</v>
      </c>
      <c r="F126" t="s">
        <v>4125</v>
      </c>
    </row>
    <row r="127" spans="1:6">
      <c r="A127" t="s">
        <v>4256</v>
      </c>
      <c r="B127" t="s">
        <v>111</v>
      </c>
      <c r="C127" t="s">
        <v>40</v>
      </c>
      <c r="D127" s="1">
        <v>45673</v>
      </c>
      <c r="E127" t="s">
        <v>4124</v>
      </c>
      <c r="F127" t="s">
        <v>4137</v>
      </c>
    </row>
    <row r="128" spans="1:6">
      <c r="A128" t="s">
        <v>4257</v>
      </c>
      <c r="B128" t="s">
        <v>111</v>
      </c>
      <c r="C128" t="s">
        <v>40</v>
      </c>
      <c r="D128" s="1">
        <v>45672</v>
      </c>
      <c r="E128" t="s">
        <v>4124</v>
      </c>
      <c r="F128" t="s">
        <v>4137</v>
      </c>
    </row>
    <row r="129" spans="1:6">
      <c r="A129" t="s">
        <v>4258</v>
      </c>
      <c r="B129" t="s">
        <v>113</v>
      </c>
      <c r="C129" t="s">
        <v>59</v>
      </c>
      <c r="D129" s="1">
        <v>45959</v>
      </c>
      <c r="E129" t="s">
        <v>4129</v>
      </c>
      <c r="F129" t="s">
        <v>4139</v>
      </c>
    </row>
    <row r="130" spans="1:6">
      <c r="A130" t="s">
        <v>4259</v>
      </c>
      <c r="B130" t="s">
        <v>113</v>
      </c>
      <c r="C130" t="s">
        <v>59</v>
      </c>
      <c r="D130" s="1">
        <v>45989</v>
      </c>
      <c r="E130" t="s">
        <v>4129</v>
      </c>
      <c r="F130" t="s">
        <v>4139</v>
      </c>
    </row>
    <row r="131" spans="1:6">
      <c r="A131" t="s">
        <v>4260</v>
      </c>
      <c r="B131" t="s">
        <v>113</v>
      </c>
      <c r="C131" t="s">
        <v>59</v>
      </c>
      <c r="D131" s="1">
        <v>45995</v>
      </c>
      <c r="E131" t="s">
        <v>4129</v>
      </c>
      <c r="F131" t="s">
        <v>4139</v>
      </c>
    </row>
    <row r="132" spans="1:6">
      <c r="A132" t="s">
        <v>4261</v>
      </c>
      <c r="B132" t="s">
        <v>113</v>
      </c>
      <c r="C132" t="s">
        <v>59</v>
      </c>
      <c r="D132" s="1">
        <v>45998</v>
      </c>
      <c r="E132" t="s">
        <v>4124</v>
      </c>
      <c r="F132" t="s">
        <v>4125</v>
      </c>
    </row>
    <row r="133" spans="1:6">
      <c r="A133" t="s">
        <v>4262</v>
      </c>
      <c r="B133" t="s">
        <v>115</v>
      </c>
      <c r="C133" t="s">
        <v>91</v>
      </c>
      <c r="D133" s="1">
        <v>46016</v>
      </c>
      <c r="E133" t="s">
        <v>4135</v>
      </c>
      <c r="F133" t="s">
        <v>4125</v>
      </c>
    </row>
    <row r="134" spans="1:6">
      <c r="A134" t="s">
        <v>4263</v>
      </c>
      <c r="B134" t="s">
        <v>115</v>
      </c>
      <c r="C134" t="s">
        <v>91</v>
      </c>
      <c r="D134" s="1">
        <v>46018</v>
      </c>
      <c r="E134" t="s">
        <v>4124</v>
      </c>
      <c r="F134" t="s">
        <v>4139</v>
      </c>
    </row>
    <row r="135" spans="1:6">
      <c r="A135" t="s">
        <v>4264</v>
      </c>
      <c r="B135" t="s">
        <v>115</v>
      </c>
      <c r="C135" t="s">
        <v>91</v>
      </c>
      <c r="D135" s="1">
        <v>46019</v>
      </c>
      <c r="E135" t="s">
        <v>4129</v>
      </c>
      <c r="F135" t="s">
        <v>4137</v>
      </c>
    </row>
    <row r="136" spans="1:6">
      <c r="A136" t="s">
        <v>4265</v>
      </c>
      <c r="B136" t="s">
        <v>117</v>
      </c>
      <c r="C136" t="s">
        <v>119</v>
      </c>
      <c r="D136" s="1">
        <v>45923</v>
      </c>
      <c r="E136" t="s">
        <v>4135</v>
      </c>
      <c r="F136" t="s">
        <v>4125</v>
      </c>
    </row>
    <row r="137" spans="1:6">
      <c r="A137" t="s">
        <v>4266</v>
      </c>
      <c r="B137" t="s">
        <v>117</v>
      </c>
      <c r="C137" t="s">
        <v>119</v>
      </c>
      <c r="D137" s="1">
        <v>45959</v>
      </c>
      <c r="E137" t="s">
        <v>4127</v>
      </c>
      <c r="F137" t="s">
        <v>4139</v>
      </c>
    </row>
    <row r="138" spans="1:6">
      <c r="A138" t="s">
        <v>4267</v>
      </c>
      <c r="B138" t="s">
        <v>120</v>
      </c>
      <c r="C138" t="s">
        <v>46</v>
      </c>
      <c r="D138" s="1">
        <v>45952</v>
      </c>
      <c r="E138" t="s">
        <v>4127</v>
      </c>
      <c r="F138" t="s">
        <v>4139</v>
      </c>
    </row>
    <row r="139" spans="1:6">
      <c r="A139" t="s">
        <v>4268</v>
      </c>
      <c r="B139" t="s">
        <v>120</v>
      </c>
      <c r="C139" t="s">
        <v>46</v>
      </c>
      <c r="D139" s="1">
        <v>45978</v>
      </c>
      <c r="E139" t="s">
        <v>4129</v>
      </c>
      <c r="F139" t="s">
        <v>4125</v>
      </c>
    </row>
    <row r="140" spans="1:6">
      <c r="A140" t="s">
        <v>4269</v>
      </c>
      <c r="B140" t="s">
        <v>122</v>
      </c>
      <c r="C140" t="s">
        <v>63</v>
      </c>
      <c r="D140" s="1">
        <v>45801</v>
      </c>
      <c r="E140" t="s">
        <v>4133</v>
      </c>
      <c r="F140" t="s">
        <v>4137</v>
      </c>
    </row>
    <row r="141" spans="1:6">
      <c r="A141" t="s">
        <v>4270</v>
      </c>
      <c r="B141" t="s">
        <v>122</v>
      </c>
      <c r="C141" t="s">
        <v>63</v>
      </c>
      <c r="D141" s="1">
        <v>45797</v>
      </c>
      <c r="E141" t="s">
        <v>4133</v>
      </c>
      <c r="F141" t="s">
        <v>4139</v>
      </c>
    </row>
    <row r="142" spans="1:6">
      <c r="A142" t="s">
        <v>4271</v>
      </c>
      <c r="B142" t="s">
        <v>124</v>
      </c>
      <c r="C142" t="s">
        <v>126</v>
      </c>
      <c r="D142" s="1">
        <v>45896</v>
      </c>
      <c r="E142" t="s">
        <v>4133</v>
      </c>
      <c r="F142" t="s">
        <v>4137</v>
      </c>
    </row>
    <row r="143" spans="1:6">
      <c r="A143" t="s">
        <v>4272</v>
      </c>
      <c r="B143" t="s">
        <v>124</v>
      </c>
      <c r="C143" t="s">
        <v>126</v>
      </c>
      <c r="D143" s="1">
        <v>45893</v>
      </c>
      <c r="E143" t="s">
        <v>4127</v>
      </c>
      <c r="F143" t="s">
        <v>4139</v>
      </c>
    </row>
    <row r="144" spans="1:6">
      <c r="A144" t="s">
        <v>4273</v>
      </c>
      <c r="B144" t="s">
        <v>124</v>
      </c>
      <c r="C144" t="s">
        <v>126</v>
      </c>
      <c r="D144" s="1">
        <v>45874</v>
      </c>
      <c r="E144" t="s">
        <v>4133</v>
      </c>
      <c r="F144" t="s">
        <v>4125</v>
      </c>
    </row>
    <row r="145" spans="1:6">
      <c r="A145" t="s">
        <v>4274</v>
      </c>
      <c r="B145" t="s">
        <v>124</v>
      </c>
      <c r="C145" t="s">
        <v>126</v>
      </c>
      <c r="D145" s="1">
        <v>45850</v>
      </c>
      <c r="E145" t="s">
        <v>4133</v>
      </c>
      <c r="F145" t="s">
        <v>4137</v>
      </c>
    </row>
    <row r="146" spans="1:6">
      <c r="A146" t="s">
        <v>4275</v>
      </c>
      <c r="B146" t="s">
        <v>127</v>
      </c>
      <c r="C146" t="s">
        <v>126</v>
      </c>
      <c r="D146" s="1">
        <v>45833</v>
      </c>
      <c r="E146" t="s">
        <v>4135</v>
      </c>
      <c r="F146" t="s">
        <v>4139</v>
      </c>
    </row>
    <row r="147" spans="1:6">
      <c r="A147" t="s">
        <v>4276</v>
      </c>
      <c r="B147" t="s">
        <v>127</v>
      </c>
      <c r="C147" t="s">
        <v>126</v>
      </c>
      <c r="D147" s="1">
        <v>45837</v>
      </c>
      <c r="E147" t="s">
        <v>4124</v>
      </c>
      <c r="F147" t="s">
        <v>4139</v>
      </c>
    </row>
    <row r="148" spans="1:6">
      <c r="A148" t="s">
        <v>4277</v>
      </c>
      <c r="B148" t="s">
        <v>127</v>
      </c>
      <c r="C148" t="s">
        <v>126</v>
      </c>
      <c r="D148" s="1">
        <v>45807</v>
      </c>
      <c r="E148" t="s">
        <v>4124</v>
      </c>
      <c r="F148" t="s">
        <v>4125</v>
      </c>
    </row>
    <row r="149" spans="1:6">
      <c r="A149" t="s">
        <v>4278</v>
      </c>
      <c r="B149" t="s">
        <v>128</v>
      </c>
      <c r="C149" t="s">
        <v>53</v>
      </c>
      <c r="D149" s="1">
        <v>46020</v>
      </c>
      <c r="E149" t="s">
        <v>4127</v>
      </c>
      <c r="F149" t="s">
        <v>4139</v>
      </c>
    </row>
    <row r="150" spans="1:6">
      <c r="A150" t="s">
        <v>4279</v>
      </c>
      <c r="B150" t="s">
        <v>128</v>
      </c>
      <c r="C150" t="s">
        <v>53</v>
      </c>
      <c r="D150" s="1">
        <v>46021</v>
      </c>
      <c r="E150" t="s">
        <v>4133</v>
      </c>
      <c r="F150" t="s">
        <v>4137</v>
      </c>
    </row>
    <row r="151" spans="1:6">
      <c r="A151" t="s">
        <v>4280</v>
      </c>
      <c r="B151" t="s">
        <v>128</v>
      </c>
      <c r="C151" t="s">
        <v>53</v>
      </c>
      <c r="D151" s="1">
        <v>46021</v>
      </c>
      <c r="E151" t="s">
        <v>4129</v>
      </c>
      <c r="F151" t="s">
        <v>4125</v>
      </c>
    </row>
    <row r="152" spans="1:6">
      <c r="A152" t="s">
        <v>4281</v>
      </c>
      <c r="B152" t="s">
        <v>130</v>
      </c>
      <c r="C152" t="s">
        <v>36</v>
      </c>
      <c r="D152" s="1">
        <v>45991</v>
      </c>
      <c r="E152" t="s">
        <v>4127</v>
      </c>
      <c r="F152" t="s">
        <v>4125</v>
      </c>
    </row>
    <row r="153" spans="1:6">
      <c r="A153" t="s">
        <v>4282</v>
      </c>
      <c r="B153" t="s">
        <v>130</v>
      </c>
      <c r="C153" t="s">
        <v>36</v>
      </c>
      <c r="D153" s="1">
        <v>45988</v>
      </c>
      <c r="E153" t="s">
        <v>4133</v>
      </c>
      <c r="F153" t="s">
        <v>4125</v>
      </c>
    </row>
    <row r="154" spans="1:6">
      <c r="A154" t="s">
        <v>4283</v>
      </c>
      <c r="B154" t="s">
        <v>130</v>
      </c>
      <c r="C154" t="s">
        <v>36</v>
      </c>
      <c r="D154" s="1">
        <v>45974</v>
      </c>
      <c r="E154" t="s">
        <v>4127</v>
      </c>
      <c r="F154" t="s">
        <v>4139</v>
      </c>
    </row>
    <row r="155" spans="1:6">
      <c r="A155" t="s">
        <v>4284</v>
      </c>
      <c r="B155" t="s">
        <v>132</v>
      </c>
      <c r="C155" t="s">
        <v>70</v>
      </c>
      <c r="D155" s="1">
        <v>45769</v>
      </c>
      <c r="E155" t="s">
        <v>4124</v>
      </c>
      <c r="F155" t="s">
        <v>4137</v>
      </c>
    </row>
    <row r="156" spans="1:6">
      <c r="A156" t="s">
        <v>4285</v>
      </c>
      <c r="B156" t="s">
        <v>132</v>
      </c>
      <c r="C156" t="s">
        <v>70</v>
      </c>
      <c r="D156" s="1">
        <v>45756</v>
      </c>
      <c r="E156" t="s">
        <v>4124</v>
      </c>
      <c r="F156" t="s">
        <v>4125</v>
      </c>
    </row>
    <row r="157" spans="1:6">
      <c r="A157" t="s">
        <v>4286</v>
      </c>
      <c r="B157" t="s">
        <v>132</v>
      </c>
      <c r="C157" t="s">
        <v>70</v>
      </c>
      <c r="D157" s="1">
        <v>45768</v>
      </c>
      <c r="E157" t="s">
        <v>4135</v>
      </c>
      <c r="F157" t="s">
        <v>4125</v>
      </c>
    </row>
    <row r="158" spans="1:6">
      <c r="A158" t="s">
        <v>4287</v>
      </c>
      <c r="B158" t="s">
        <v>134</v>
      </c>
      <c r="C158" t="s">
        <v>40</v>
      </c>
      <c r="D158" s="1">
        <v>45791</v>
      </c>
      <c r="E158" t="s">
        <v>4135</v>
      </c>
      <c r="F158" t="s">
        <v>4139</v>
      </c>
    </row>
    <row r="159" spans="1:6">
      <c r="A159" t="s">
        <v>4288</v>
      </c>
      <c r="B159" t="s">
        <v>134</v>
      </c>
      <c r="C159" t="s">
        <v>40</v>
      </c>
      <c r="D159" s="1">
        <v>45778</v>
      </c>
      <c r="E159" t="s">
        <v>4129</v>
      </c>
      <c r="F159" t="s">
        <v>4125</v>
      </c>
    </row>
    <row r="160" spans="1:6">
      <c r="A160" t="s">
        <v>4289</v>
      </c>
      <c r="B160" t="s">
        <v>136</v>
      </c>
      <c r="C160" t="s">
        <v>36</v>
      </c>
      <c r="D160" s="1">
        <v>46020</v>
      </c>
      <c r="E160" t="s">
        <v>4135</v>
      </c>
      <c r="F160" t="s">
        <v>4137</v>
      </c>
    </row>
    <row r="161" spans="1:6">
      <c r="A161" t="s">
        <v>4290</v>
      </c>
      <c r="B161" t="s">
        <v>136</v>
      </c>
      <c r="C161" t="s">
        <v>36</v>
      </c>
      <c r="D161" s="1">
        <v>46008</v>
      </c>
      <c r="E161" t="s">
        <v>4127</v>
      </c>
      <c r="F161" t="s">
        <v>4139</v>
      </c>
    </row>
    <row r="162" spans="1:6">
      <c r="A162" t="s">
        <v>4291</v>
      </c>
      <c r="B162" t="s">
        <v>138</v>
      </c>
      <c r="C162" t="s">
        <v>78</v>
      </c>
      <c r="D162" s="1">
        <v>45926</v>
      </c>
      <c r="E162" t="s">
        <v>4129</v>
      </c>
      <c r="F162" t="s">
        <v>4137</v>
      </c>
    </row>
    <row r="163" spans="1:6">
      <c r="A163" t="s">
        <v>4292</v>
      </c>
      <c r="B163" t="s">
        <v>138</v>
      </c>
      <c r="C163" t="s">
        <v>78</v>
      </c>
      <c r="D163" s="1">
        <v>45961</v>
      </c>
      <c r="E163" t="s">
        <v>4133</v>
      </c>
      <c r="F163" t="s">
        <v>4125</v>
      </c>
    </row>
    <row r="164" spans="1:6">
      <c r="A164" t="s">
        <v>4293</v>
      </c>
      <c r="B164" t="s">
        <v>140</v>
      </c>
      <c r="C164" t="s">
        <v>75</v>
      </c>
      <c r="D164" s="1">
        <v>45897</v>
      </c>
      <c r="E164" t="s">
        <v>4133</v>
      </c>
      <c r="F164" t="s">
        <v>4137</v>
      </c>
    </row>
    <row r="165" spans="1:6">
      <c r="A165" t="s">
        <v>4294</v>
      </c>
      <c r="B165" t="s">
        <v>140</v>
      </c>
      <c r="C165" t="s">
        <v>75</v>
      </c>
      <c r="D165" s="1">
        <v>45882</v>
      </c>
      <c r="E165" t="s">
        <v>4135</v>
      </c>
      <c r="F165" t="s">
        <v>4139</v>
      </c>
    </row>
    <row r="166" spans="1:6">
      <c r="A166" t="s">
        <v>4295</v>
      </c>
      <c r="B166" t="s">
        <v>140</v>
      </c>
      <c r="C166" t="s">
        <v>75</v>
      </c>
      <c r="D166" s="1">
        <v>45912</v>
      </c>
      <c r="E166" t="s">
        <v>4127</v>
      </c>
      <c r="F166" t="s">
        <v>4125</v>
      </c>
    </row>
    <row r="167" spans="1:6">
      <c r="A167" t="s">
        <v>4296</v>
      </c>
      <c r="B167" t="s">
        <v>140</v>
      </c>
      <c r="C167" t="s">
        <v>75</v>
      </c>
      <c r="D167" s="1">
        <v>45902</v>
      </c>
      <c r="E167" t="s">
        <v>4135</v>
      </c>
      <c r="F167" t="s">
        <v>4125</v>
      </c>
    </row>
    <row r="168" spans="1:6">
      <c r="A168" t="s">
        <v>4297</v>
      </c>
      <c r="B168" t="s">
        <v>142</v>
      </c>
      <c r="C168" t="s">
        <v>75</v>
      </c>
      <c r="D168" s="1">
        <v>45725</v>
      </c>
      <c r="E168" t="s">
        <v>4129</v>
      </c>
      <c r="F168" t="s">
        <v>4137</v>
      </c>
    </row>
    <row r="169" spans="1:6">
      <c r="A169" t="s">
        <v>4298</v>
      </c>
      <c r="B169" t="s">
        <v>142</v>
      </c>
      <c r="C169" t="s">
        <v>75</v>
      </c>
      <c r="D169" s="1">
        <v>45753</v>
      </c>
      <c r="E169" t="s">
        <v>4133</v>
      </c>
      <c r="F169" t="s">
        <v>4139</v>
      </c>
    </row>
    <row r="170" spans="1:6">
      <c r="A170" t="s">
        <v>4299</v>
      </c>
      <c r="B170" t="s">
        <v>142</v>
      </c>
      <c r="C170" t="s">
        <v>75</v>
      </c>
      <c r="D170" s="1">
        <v>45740</v>
      </c>
      <c r="E170" t="s">
        <v>4133</v>
      </c>
      <c r="F170" t="s">
        <v>4137</v>
      </c>
    </row>
    <row r="171" spans="1:6">
      <c r="A171" t="s">
        <v>4300</v>
      </c>
      <c r="B171" t="s">
        <v>142</v>
      </c>
      <c r="C171" t="s">
        <v>75</v>
      </c>
      <c r="D171" s="1">
        <v>45704</v>
      </c>
      <c r="E171" t="s">
        <v>4135</v>
      </c>
      <c r="F171" t="s">
        <v>4139</v>
      </c>
    </row>
    <row r="172" spans="1:6">
      <c r="A172" t="s">
        <v>4301</v>
      </c>
      <c r="B172" t="s">
        <v>144</v>
      </c>
      <c r="C172" t="s">
        <v>40</v>
      </c>
      <c r="D172" s="1">
        <v>45808</v>
      </c>
      <c r="E172" t="s">
        <v>4124</v>
      </c>
      <c r="F172" t="s">
        <v>4139</v>
      </c>
    </row>
    <row r="173" spans="1:6">
      <c r="A173" t="s">
        <v>4302</v>
      </c>
      <c r="B173" t="s">
        <v>144</v>
      </c>
      <c r="C173" t="s">
        <v>40</v>
      </c>
      <c r="D173" s="1">
        <v>45824</v>
      </c>
      <c r="E173" t="s">
        <v>4133</v>
      </c>
      <c r="F173" t="s">
        <v>4137</v>
      </c>
    </row>
    <row r="174" spans="1:6">
      <c r="A174" t="s">
        <v>4303</v>
      </c>
      <c r="B174" t="s">
        <v>144</v>
      </c>
      <c r="C174" t="s">
        <v>40</v>
      </c>
      <c r="D174" s="1">
        <v>45816</v>
      </c>
      <c r="E174" t="s">
        <v>4127</v>
      </c>
      <c r="F174" t="s">
        <v>4125</v>
      </c>
    </row>
    <row r="175" spans="1:6">
      <c r="A175" t="s">
        <v>4304</v>
      </c>
      <c r="B175" t="s">
        <v>144</v>
      </c>
      <c r="C175" t="s">
        <v>40</v>
      </c>
      <c r="D175" s="1">
        <v>45840</v>
      </c>
      <c r="E175" t="s">
        <v>4127</v>
      </c>
      <c r="F175" t="s">
        <v>4137</v>
      </c>
    </row>
    <row r="176" spans="1:6">
      <c r="A176" t="s">
        <v>4305</v>
      </c>
      <c r="B176" t="s">
        <v>144</v>
      </c>
      <c r="C176" t="s">
        <v>40</v>
      </c>
      <c r="D176" s="1">
        <v>45815</v>
      </c>
      <c r="E176" t="s">
        <v>4127</v>
      </c>
      <c r="F176" t="s">
        <v>4125</v>
      </c>
    </row>
    <row r="177" spans="1:6">
      <c r="A177" t="s">
        <v>4306</v>
      </c>
      <c r="B177" t="s">
        <v>146</v>
      </c>
      <c r="C177" t="s">
        <v>27</v>
      </c>
      <c r="D177" s="1">
        <v>45944</v>
      </c>
      <c r="E177" t="s">
        <v>4135</v>
      </c>
      <c r="F177" t="s">
        <v>4137</v>
      </c>
    </row>
    <row r="178" spans="1:6">
      <c r="A178" t="s">
        <v>4307</v>
      </c>
      <c r="B178" t="s">
        <v>146</v>
      </c>
      <c r="C178" t="s">
        <v>27</v>
      </c>
      <c r="D178" s="1">
        <v>45909</v>
      </c>
      <c r="E178" t="s">
        <v>4127</v>
      </c>
      <c r="F178" t="s">
        <v>4137</v>
      </c>
    </row>
    <row r="179" spans="1:6">
      <c r="A179" t="s">
        <v>4308</v>
      </c>
      <c r="B179" t="s">
        <v>146</v>
      </c>
      <c r="C179" t="s">
        <v>27</v>
      </c>
      <c r="D179" s="1">
        <v>45913</v>
      </c>
      <c r="E179" t="s">
        <v>4129</v>
      </c>
      <c r="F179" t="s">
        <v>4125</v>
      </c>
    </row>
    <row r="180" spans="1:6">
      <c r="A180" t="s">
        <v>4309</v>
      </c>
      <c r="B180" t="s">
        <v>146</v>
      </c>
      <c r="C180" t="s">
        <v>27</v>
      </c>
      <c r="D180" s="1">
        <v>45900</v>
      </c>
      <c r="E180" t="s">
        <v>4129</v>
      </c>
      <c r="F180" t="s">
        <v>4137</v>
      </c>
    </row>
    <row r="181" spans="1:6">
      <c r="A181" t="s">
        <v>4310</v>
      </c>
      <c r="B181" t="s">
        <v>146</v>
      </c>
      <c r="C181" t="s">
        <v>27</v>
      </c>
      <c r="D181" s="1">
        <v>45942</v>
      </c>
      <c r="E181" t="s">
        <v>4127</v>
      </c>
      <c r="F181" t="s">
        <v>4125</v>
      </c>
    </row>
    <row r="182" spans="1:6">
      <c r="A182" t="s">
        <v>4311</v>
      </c>
      <c r="B182" t="s">
        <v>148</v>
      </c>
      <c r="C182" t="s">
        <v>27</v>
      </c>
      <c r="D182" s="1">
        <v>45708</v>
      </c>
      <c r="E182" t="s">
        <v>4124</v>
      </c>
      <c r="F182" t="s">
        <v>4139</v>
      </c>
    </row>
    <row r="183" spans="1:6">
      <c r="A183" t="s">
        <v>4312</v>
      </c>
      <c r="B183" t="s">
        <v>148</v>
      </c>
      <c r="C183" t="s">
        <v>27</v>
      </c>
      <c r="D183" s="1">
        <v>45724</v>
      </c>
      <c r="E183" t="s">
        <v>4127</v>
      </c>
      <c r="F183" t="s">
        <v>4139</v>
      </c>
    </row>
    <row r="184" spans="1:6">
      <c r="A184" t="s">
        <v>4313</v>
      </c>
      <c r="B184" t="s">
        <v>148</v>
      </c>
      <c r="C184" t="s">
        <v>27</v>
      </c>
      <c r="D184" s="1">
        <v>45743</v>
      </c>
      <c r="E184" t="s">
        <v>4133</v>
      </c>
      <c r="F184" t="s">
        <v>4125</v>
      </c>
    </row>
    <row r="185" spans="1:6">
      <c r="A185" t="s">
        <v>4314</v>
      </c>
      <c r="B185" t="s">
        <v>148</v>
      </c>
      <c r="C185" t="s">
        <v>27</v>
      </c>
      <c r="D185" s="1">
        <v>45754</v>
      </c>
      <c r="E185" t="s">
        <v>4127</v>
      </c>
      <c r="F185" t="s">
        <v>4139</v>
      </c>
    </row>
    <row r="186" spans="1:6">
      <c r="A186" t="s">
        <v>4315</v>
      </c>
      <c r="B186" t="s">
        <v>148</v>
      </c>
      <c r="C186" t="s">
        <v>27</v>
      </c>
      <c r="D186" s="1">
        <v>45755</v>
      </c>
      <c r="E186" t="s">
        <v>4135</v>
      </c>
      <c r="F186" t="s">
        <v>4139</v>
      </c>
    </row>
    <row r="187" spans="1:6">
      <c r="A187" t="s">
        <v>4316</v>
      </c>
      <c r="B187" t="s">
        <v>150</v>
      </c>
      <c r="C187" t="s">
        <v>152</v>
      </c>
      <c r="D187" s="1">
        <v>46019</v>
      </c>
      <c r="E187" t="s">
        <v>4133</v>
      </c>
      <c r="F187" t="s">
        <v>4139</v>
      </c>
    </row>
    <row r="188" spans="1:6">
      <c r="A188" t="s">
        <v>4317</v>
      </c>
      <c r="B188" t="s">
        <v>150</v>
      </c>
      <c r="C188" t="s">
        <v>152</v>
      </c>
      <c r="D188" s="1">
        <v>46020</v>
      </c>
      <c r="E188" t="s">
        <v>4135</v>
      </c>
      <c r="F188" t="s">
        <v>4125</v>
      </c>
    </row>
    <row r="189" spans="1:6">
      <c r="A189" t="s">
        <v>4318</v>
      </c>
      <c r="B189" t="s">
        <v>150</v>
      </c>
      <c r="C189" t="s">
        <v>152</v>
      </c>
      <c r="D189" s="1">
        <v>46021</v>
      </c>
      <c r="E189" t="s">
        <v>4124</v>
      </c>
      <c r="F189" t="s">
        <v>4139</v>
      </c>
    </row>
    <row r="190" spans="1:6">
      <c r="A190" t="s">
        <v>4319</v>
      </c>
      <c r="B190" t="s">
        <v>153</v>
      </c>
      <c r="C190" t="s">
        <v>91</v>
      </c>
      <c r="D190" s="1">
        <v>45743</v>
      </c>
      <c r="E190" t="s">
        <v>4133</v>
      </c>
      <c r="F190" t="s">
        <v>4125</v>
      </c>
    </row>
    <row r="191" spans="1:6">
      <c r="A191" t="s">
        <v>4320</v>
      </c>
      <c r="B191" t="s">
        <v>153</v>
      </c>
      <c r="C191" t="s">
        <v>91</v>
      </c>
      <c r="D191" s="1">
        <v>45770</v>
      </c>
      <c r="E191" t="s">
        <v>4133</v>
      </c>
      <c r="F191" t="s">
        <v>4139</v>
      </c>
    </row>
    <row r="192" spans="1:6">
      <c r="A192" t="s">
        <v>4321</v>
      </c>
      <c r="B192" t="s">
        <v>153</v>
      </c>
      <c r="C192" t="s">
        <v>91</v>
      </c>
      <c r="D192" s="1">
        <v>45739</v>
      </c>
      <c r="E192" t="s">
        <v>4127</v>
      </c>
      <c r="F192" t="s">
        <v>4137</v>
      </c>
    </row>
    <row r="193" spans="1:6">
      <c r="A193" t="s">
        <v>4322</v>
      </c>
      <c r="B193" t="s">
        <v>155</v>
      </c>
      <c r="C193" t="s">
        <v>75</v>
      </c>
      <c r="D193" s="1">
        <v>46000</v>
      </c>
      <c r="E193" t="s">
        <v>4127</v>
      </c>
      <c r="F193" t="s">
        <v>4125</v>
      </c>
    </row>
    <row r="194" spans="1:6">
      <c r="A194" t="s">
        <v>4323</v>
      </c>
      <c r="B194" t="s">
        <v>155</v>
      </c>
      <c r="C194" t="s">
        <v>75</v>
      </c>
      <c r="D194" s="1">
        <v>45992</v>
      </c>
      <c r="E194" t="s">
        <v>4135</v>
      </c>
      <c r="F194" t="s">
        <v>4137</v>
      </c>
    </row>
    <row r="195" spans="1:6">
      <c r="A195" t="s">
        <v>4324</v>
      </c>
      <c r="B195" t="s">
        <v>155</v>
      </c>
      <c r="C195" t="s">
        <v>75</v>
      </c>
      <c r="D195" s="1">
        <v>46005</v>
      </c>
      <c r="E195" t="s">
        <v>4124</v>
      </c>
      <c r="F195" t="s">
        <v>4139</v>
      </c>
    </row>
    <row r="196" spans="1:6">
      <c r="A196" t="s">
        <v>4325</v>
      </c>
      <c r="B196" t="s">
        <v>157</v>
      </c>
      <c r="C196" t="s">
        <v>75</v>
      </c>
      <c r="D196" s="1">
        <v>45738</v>
      </c>
      <c r="E196" t="s">
        <v>4133</v>
      </c>
      <c r="F196" t="s">
        <v>4139</v>
      </c>
    </row>
    <row r="197" spans="1:6">
      <c r="A197" t="s">
        <v>4326</v>
      </c>
      <c r="B197" t="s">
        <v>157</v>
      </c>
      <c r="C197" t="s">
        <v>75</v>
      </c>
      <c r="D197" s="1">
        <v>45756</v>
      </c>
      <c r="E197" t="s">
        <v>4129</v>
      </c>
      <c r="F197" t="s">
        <v>4125</v>
      </c>
    </row>
    <row r="198" spans="1:6">
      <c r="A198" t="s">
        <v>4327</v>
      </c>
      <c r="B198" t="s">
        <v>157</v>
      </c>
      <c r="C198" t="s">
        <v>75</v>
      </c>
      <c r="D198" s="1">
        <v>45767</v>
      </c>
      <c r="E198" t="s">
        <v>4129</v>
      </c>
      <c r="F198" t="s">
        <v>4137</v>
      </c>
    </row>
    <row r="199" spans="1:6">
      <c r="A199" t="s">
        <v>4328</v>
      </c>
      <c r="B199" t="s">
        <v>159</v>
      </c>
      <c r="C199" t="s">
        <v>53</v>
      </c>
      <c r="D199" s="1">
        <v>46004</v>
      </c>
      <c r="E199" t="s">
        <v>4133</v>
      </c>
      <c r="F199" t="s">
        <v>4139</v>
      </c>
    </row>
    <row r="200" spans="1:6">
      <c r="A200" t="s">
        <v>4329</v>
      </c>
      <c r="B200" t="s">
        <v>159</v>
      </c>
      <c r="C200" t="s">
        <v>53</v>
      </c>
      <c r="D200" s="1">
        <v>46010</v>
      </c>
      <c r="E200" t="s">
        <v>4124</v>
      </c>
      <c r="F200" t="s">
        <v>4139</v>
      </c>
    </row>
    <row r="201" spans="1:6">
      <c r="A201" t="s">
        <v>4330</v>
      </c>
      <c r="B201" t="s">
        <v>159</v>
      </c>
      <c r="C201" t="s">
        <v>53</v>
      </c>
      <c r="D201" s="1">
        <v>46002</v>
      </c>
      <c r="E201" t="s">
        <v>4124</v>
      </c>
      <c r="F201" t="s">
        <v>4125</v>
      </c>
    </row>
    <row r="202" spans="1:6">
      <c r="A202" t="s">
        <v>4331</v>
      </c>
      <c r="B202" t="s">
        <v>159</v>
      </c>
      <c r="C202" t="s">
        <v>53</v>
      </c>
      <c r="D202" s="1">
        <v>46014</v>
      </c>
      <c r="E202" t="s">
        <v>4133</v>
      </c>
      <c r="F202" t="s">
        <v>4125</v>
      </c>
    </row>
    <row r="203" spans="1:6">
      <c r="A203" t="s">
        <v>4332</v>
      </c>
      <c r="B203" t="s">
        <v>159</v>
      </c>
      <c r="C203" t="s">
        <v>53</v>
      </c>
      <c r="D203" s="1">
        <v>45995</v>
      </c>
      <c r="E203" t="s">
        <v>4127</v>
      </c>
      <c r="F203" t="s">
        <v>4137</v>
      </c>
    </row>
    <row r="204" spans="1:6">
      <c r="A204" t="s">
        <v>4333</v>
      </c>
      <c r="B204" t="s">
        <v>161</v>
      </c>
      <c r="C204" t="s">
        <v>63</v>
      </c>
      <c r="D204" s="1">
        <v>45873</v>
      </c>
      <c r="E204" t="s">
        <v>4127</v>
      </c>
      <c r="F204" t="s">
        <v>4139</v>
      </c>
    </row>
    <row r="205" spans="1:6">
      <c r="A205" t="s">
        <v>4334</v>
      </c>
      <c r="B205" t="s">
        <v>161</v>
      </c>
      <c r="C205" t="s">
        <v>63</v>
      </c>
      <c r="D205" s="1">
        <v>45874</v>
      </c>
      <c r="E205" t="s">
        <v>4133</v>
      </c>
      <c r="F205" t="s">
        <v>4137</v>
      </c>
    </row>
    <row r="206" spans="1:6">
      <c r="A206" t="s">
        <v>4335</v>
      </c>
      <c r="B206" t="s">
        <v>163</v>
      </c>
      <c r="C206" t="s">
        <v>119</v>
      </c>
      <c r="D206" s="1">
        <v>45889</v>
      </c>
      <c r="E206" t="s">
        <v>4133</v>
      </c>
      <c r="F206" t="s">
        <v>4125</v>
      </c>
    </row>
    <row r="207" spans="1:6">
      <c r="A207" t="s">
        <v>4336</v>
      </c>
      <c r="B207" t="s">
        <v>163</v>
      </c>
      <c r="C207" t="s">
        <v>119</v>
      </c>
      <c r="D207" s="1">
        <v>45928</v>
      </c>
      <c r="E207" t="s">
        <v>4135</v>
      </c>
      <c r="F207" t="s">
        <v>4139</v>
      </c>
    </row>
    <row r="208" spans="1:6">
      <c r="A208" t="s">
        <v>4337</v>
      </c>
      <c r="B208" t="s">
        <v>165</v>
      </c>
      <c r="C208" t="s">
        <v>22</v>
      </c>
      <c r="D208" s="1">
        <v>45960</v>
      </c>
      <c r="E208" t="s">
        <v>4124</v>
      </c>
      <c r="F208" t="s">
        <v>4139</v>
      </c>
    </row>
    <row r="209" spans="1:6">
      <c r="A209" t="s">
        <v>4338</v>
      </c>
      <c r="B209" t="s">
        <v>165</v>
      </c>
      <c r="C209" t="s">
        <v>22</v>
      </c>
      <c r="D209" s="1">
        <v>45972</v>
      </c>
      <c r="E209" t="s">
        <v>4129</v>
      </c>
      <c r="F209" t="s">
        <v>4125</v>
      </c>
    </row>
    <row r="210" spans="1:6">
      <c r="A210" t="s">
        <v>4339</v>
      </c>
      <c r="B210" t="s">
        <v>165</v>
      </c>
      <c r="C210" t="s">
        <v>22</v>
      </c>
      <c r="D210" s="1">
        <v>45959</v>
      </c>
      <c r="E210" t="s">
        <v>4127</v>
      </c>
      <c r="F210" t="s">
        <v>4125</v>
      </c>
    </row>
    <row r="211" spans="1:6">
      <c r="A211" t="s">
        <v>4340</v>
      </c>
      <c r="B211" t="s">
        <v>166</v>
      </c>
      <c r="C211" t="s">
        <v>168</v>
      </c>
      <c r="D211" s="1">
        <v>45735</v>
      </c>
      <c r="E211" t="s">
        <v>4129</v>
      </c>
      <c r="F211" t="s">
        <v>4125</v>
      </c>
    </row>
    <row r="212" spans="1:6">
      <c r="A212" t="s">
        <v>4341</v>
      </c>
      <c r="B212" t="s">
        <v>166</v>
      </c>
      <c r="C212" t="s">
        <v>168</v>
      </c>
      <c r="D212" s="1">
        <v>45727</v>
      </c>
      <c r="E212" t="s">
        <v>4135</v>
      </c>
      <c r="F212" t="s">
        <v>4137</v>
      </c>
    </row>
    <row r="213" spans="1:6">
      <c r="A213" t="s">
        <v>4342</v>
      </c>
      <c r="B213" t="s">
        <v>166</v>
      </c>
      <c r="C213" t="s">
        <v>168</v>
      </c>
      <c r="D213" s="1">
        <v>45723</v>
      </c>
      <c r="E213" t="s">
        <v>4127</v>
      </c>
      <c r="F213" t="s">
        <v>4125</v>
      </c>
    </row>
    <row r="214" spans="1:6">
      <c r="A214" t="s">
        <v>4343</v>
      </c>
      <c r="B214" t="s">
        <v>166</v>
      </c>
      <c r="C214" t="s">
        <v>168</v>
      </c>
      <c r="D214" s="1">
        <v>45722</v>
      </c>
      <c r="E214" t="s">
        <v>4133</v>
      </c>
      <c r="F214" t="s">
        <v>4137</v>
      </c>
    </row>
    <row r="215" spans="1:6">
      <c r="A215" t="s">
        <v>4344</v>
      </c>
      <c r="B215" t="s">
        <v>169</v>
      </c>
      <c r="C215" t="s">
        <v>152</v>
      </c>
      <c r="D215" s="1">
        <v>45933</v>
      </c>
      <c r="E215" t="s">
        <v>4124</v>
      </c>
      <c r="F215" t="s">
        <v>4125</v>
      </c>
    </row>
    <row r="216" spans="1:6">
      <c r="A216" t="s">
        <v>4345</v>
      </c>
      <c r="B216" t="s">
        <v>169</v>
      </c>
      <c r="C216" t="s">
        <v>152</v>
      </c>
      <c r="D216" s="1">
        <v>45947</v>
      </c>
      <c r="E216" t="s">
        <v>4127</v>
      </c>
      <c r="F216" t="s">
        <v>4139</v>
      </c>
    </row>
    <row r="217" spans="1:6">
      <c r="A217" t="s">
        <v>4346</v>
      </c>
      <c r="B217" t="s">
        <v>169</v>
      </c>
      <c r="C217" t="s">
        <v>152</v>
      </c>
      <c r="D217" s="1">
        <v>45958</v>
      </c>
      <c r="E217" t="s">
        <v>4133</v>
      </c>
      <c r="F217" t="s">
        <v>4125</v>
      </c>
    </row>
    <row r="218" spans="1:6">
      <c r="A218" t="s">
        <v>4347</v>
      </c>
      <c r="B218" t="s">
        <v>169</v>
      </c>
      <c r="C218" t="s">
        <v>152</v>
      </c>
      <c r="D218" s="1">
        <v>45940</v>
      </c>
      <c r="E218" t="s">
        <v>4135</v>
      </c>
      <c r="F218" t="s">
        <v>4125</v>
      </c>
    </row>
    <row r="219" spans="1:6">
      <c r="A219" t="s">
        <v>4348</v>
      </c>
      <c r="B219" t="s">
        <v>171</v>
      </c>
      <c r="C219" t="s">
        <v>27</v>
      </c>
      <c r="D219" s="1">
        <v>45668</v>
      </c>
      <c r="E219" t="s">
        <v>4129</v>
      </c>
      <c r="F219" t="s">
        <v>4125</v>
      </c>
    </row>
    <row r="220" spans="1:6">
      <c r="A220" t="s">
        <v>4349</v>
      </c>
      <c r="B220" t="s">
        <v>171</v>
      </c>
      <c r="C220" t="s">
        <v>27</v>
      </c>
      <c r="D220" s="1">
        <v>45717</v>
      </c>
      <c r="E220" t="s">
        <v>4135</v>
      </c>
      <c r="F220" t="s">
        <v>4137</v>
      </c>
    </row>
    <row r="221" spans="1:6">
      <c r="A221" t="s">
        <v>4350</v>
      </c>
      <c r="B221" t="s">
        <v>171</v>
      </c>
      <c r="C221" t="s">
        <v>27</v>
      </c>
      <c r="D221" s="1">
        <v>45695</v>
      </c>
      <c r="E221" t="s">
        <v>4124</v>
      </c>
      <c r="F221" t="s">
        <v>4125</v>
      </c>
    </row>
    <row r="222" spans="1:6">
      <c r="A222" t="s">
        <v>4351</v>
      </c>
      <c r="B222" t="s">
        <v>173</v>
      </c>
      <c r="C222" t="s">
        <v>70</v>
      </c>
      <c r="D222" s="1">
        <v>46001</v>
      </c>
      <c r="E222" t="s">
        <v>4133</v>
      </c>
      <c r="F222" t="s">
        <v>4137</v>
      </c>
    </row>
    <row r="223" spans="1:6">
      <c r="A223" t="s">
        <v>4352</v>
      </c>
      <c r="B223" t="s">
        <v>173</v>
      </c>
      <c r="C223" t="s">
        <v>70</v>
      </c>
      <c r="D223" s="1">
        <v>45986</v>
      </c>
      <c r="E223" t="s">
        <v>4127</v>
      </c>
      <c r="F223" t="s">
        <v>4137</v>
      </c>
    </row>
    <row r="224" spans="1:6">
      <c r="A224" t="s">
        <v>4353</v>
      </c>
      <c r="B224" t="s">
        <v>175</v>
      </c>
      <c r="C224" t="s">
        <v>36</v>
      </c>
      <c r="D224" s="1">
        <v>45699</v>
      </c>
      <c r="E224" t="s">
        <v>4124</v>
      </c>
      <c r="F224" t="s">
        <v>4139</v>
      </c>
    </row>
    <row r="225" spans="1:6">
      <c r="A225" t="s">
        <v>4354</v>
      </c>
      <c r="B225" t="s">
        <v>175</v>
      </c>
      <c r="C225" t="s">
        <v>36</v>
      </c>
      <c r="D225" s="1">
        <v>45696</v>
      </c>
      <c r="E225" t="s">
        <v>4135</v>
      </c>
      <c r="F225" t="s">
        <v>4139</v>
      </c>
    </row>
    <row r="226" spans="1:6">
      <c r="A226" t="s">
        <v>4355</v>
      </c>
      <c r="B226" t="s">
        <v>175</v>
      </c>
      <c r="C226" t="s">
        <v>36</v>
      </c>
      <c r="D226" s="1">
        <v>45662</v>
      </c>
      <c r="E226" t="s">
        <v>4124</v>
      </c>
      <c r="F226" t="s">
        <v>4139</v>
      </c>
    </row>
    <row r="227" spans="1:6">
      <c r="A227" t="s">
        <v>4356</v>
      </c>
      <c r="B227" t="s">
        <v>175</v>
      </c>
      <c r="C227" t="s">
        <v>36</v>
      </c>
      <c r="D227" s="1">
        <v>45676</v>
      </c>
      <c r="E227" t="s">
        <v>4129</v>
      </c>
      <c r="F227" t="s">
        <v>4137</v>
      </c>
    </row>
    <row r="228" spans="1:6">
      <c r="A228" t="s">
        <v>4357</v>
      </c>
      <c r="B228" t="s">
        <v>176</v>
      </c>
      <c r="C228" t="s">
        <v>70</v>
      </c>
      <c r="D228" s="1">
        <v>45855</v>
      </c>
      <c r="E228" t="s">
        <v>4124</v>
      </c>
      <c r="F228" t="s">
        <v>4139</v>
      </c>
    </row>
    <row r="229" spans="1:6">
      <c r="A229" t="s">
        <v>4358</v>
      </c>
      <c r="B229" t="s">
        <v>176</v>
      </c>
      <c r="C229" t="s">
        <v>70</v>
      </c>
      <c r="D229" s="1">
        <v>45838</v>
      </c>
      <c r="E229" t="s">
        <v>4127</v>
      </c>
      <c r="F229" t="s">
        <v>4139</v>
      </c>
    </row>
    <row r="230" spans="1:6">
      <c r="A230" t="s">
        <v>4359</v>
      </c>
      <c r="B230" t="s">
        <v>176</v>
      </c>
      <c r="C230" t="s">
        <v>70</v>
      </c>
      <c r="D230" s="1">
        <v>45831</v>
      </c>
      <c r="E230" t="s">
        <v>4135</v>
      </c>
      <c r="F230" t="s">
        <v>4125</v>
      </c>
    </row>
    <row r="231" spans="1:6">
      <c r="A231" t="s">
        <v>4360</v>
      </c>
      <c r="B231" t="s">
        <v>178</v>
      </c>
      <c r="C231" t="s">
        <v>152</v>
      </c>
      <c r="D231" s="1">
        <v>45894</v>
      </c>
      <c r="E231" t="s">
        <v>4129</v>
      </c>
      <c r="F231" t="s">
        <v>4125</v>
      </c>
    </row>
    <row r="232" spans="1:6">
      <c r="A232" t="s">
        <v>4361</v>
      </c>
      <c r="B232" t="s">
        <v>178</v>
      </c>
      <c r="C232" t="s">
        <v>152</v>
      </c>
      <c r="D232" s="1">
        <v>45893</v>
      </c>
      <c r="E232" t="s">
        <v>4124</v>
      </c>
      <c r="F232" t="s">
        <v>4125</v>
      </c>
    </row>
    <row r="233" spans="1:6">
      <c r="A233" t="s">
        <v>4362</v>
      </c>
      <c r="B233" t="s">
        <v>178</v>
      </c>
      <c r="C233" t="s">
        <v>152</v>
      </c>
      <c r="D233" s="1">
        <v>45896</v>
      </c>
      <c r="E233" t="s">
        <v>4135</v>
      </c>
      <c r="F233" t="s">
        <v>4137</v>
      </c>
    </row>
    <row r="234" spans="1:6">
      <c r="A234" t="s">
        <v>4363</v>
      </c>
      <c r="B234" t="s">
        <v>178</v>
      </c>
      <c r="C234" t="s">
        <v>152</v>
      </c>
      <c r="D234" s="1">
        <v>45900</v>
      </c>
      <c r="E234" t="s">
        <v>4127</v>
      </c>
      <c r="F234" t="s">
        <v>4137</v>
      </c>
    </row>
    <row r="235" spans="1:6">
      <c r="A235" t="s">
        <v>4364</v>
      </c>
      <c r="B235" t="s">
        <v>178</v>
      </c>
      <c r="C235" t="s">
        <v>152</v>
      </c>
      <c r="D235" s="1">
        <v>45902</v>
      </c>
      <c r="E235" t="s">
        <v>4127</v>
      </c>
      <c r="F235" t="s">
        <v>4137</v>
      </c>
    </row>
    <row r="236" spans="1:6">
      <c r="A236" t="s">
        <v>4365</v>
      </c>
      <c r="B236" t="s">
        <v>180</v>
      </c>
      <c r="C236" t="s">
        <v>46</v>
      </c>
      <c r="D236" s="1">
        <v>45818</v>
      </c>
      <c r="E236" t="s">
        <v>4124</v>
      </c>
      <c r="F236" t="s">
        <v>4137</v>
      </c>
    </row>
    <row r="237" spans="1:6">
      <c r="A237" t="s">
        <v>4366</v>
      </c>
      <c r="B237" t="s">
        <v>180</v>
      </c>
      <c r="C237" t="s">
        <v>46</v>
      </c>
      <c r="D237" s="1">
        <v>45813</v>
      </c>
      <c r="E237" t="s">
        <v>4133</v>
      </c>
      <c r="F237" t="s">
        <v>4125</v>
      </c>
    </row>
    <row r="238" spans="1:6">
      <c r="A238" t="s">
        <v>4367</v>
      </c>
      <c r="B238" t="s">
        <v>180</v>
      </c>
      <c r="C238" t="s">
        <v>46</v>
      </c>
      <c r="D238" s="1">
        <v>45806</v>
      </c>
      <c r="E238" t="s">
        <v>4135</v>
      </c>
      <c r="F238" t="s">
        <v>4137</v>
      </c>
    </row>
    <row r="239" spans="1:6">
      <c r="A239" t="s">
        <v>4368</v>
      </c>
      <c r="B239" t="s">
        <v>182</v>
      </c>
      <c r="C239" t="s">
        <v>91</v>
      </c>
      <c r="D239" s="1">
        <v>45728</v>
      </c>
      <c r="E239" t="s">
        <v>4133</v>
      </c>
      <c r="F239" t="s">
        <v>4125</v>
      </c>
    </row>
    <row r="240" spans="1:6">
      <c r="A240" t="s">
        <v>4369</v>
      </c>
      <c r="B240" t="s">
        <v>182</v>
      </c>
      <c r="C240" t="s">
        <v>91</v>
      </c>
      <c r="D240" s="1">
        <v>45734</v>
      </c>
      <c r="E240" t="s">
        <v>4127</v>
      </c>
      <c r="F240" t="s">
        <v>4137</v>
      </c>
    </row>
    <row r="241" spans="1:6">
      <c r="A241" t="s">
        <v>4370</v>
      </c>
      <c r="B241" t="s">
        <v>182</v>
      </c>
      <c r="C241" t="s">
        <v>91</v>
      </c>
      <c r="D241" s="1">
        <v>45751</v>
      </c>
      <c r="E241" t="s">
        <v>4133</v>
      </c>
      <c r="F241" t="s">
        <v>4125</v>
      </c>
    </row>
    <row r="242" spans="1:6">
      <c r="A242" t="s">
        <v>4371</v>
      </c>
      <c r="B242" t="s">
        <v>182</v>
      </c>
      <c r="C242" t="s">
        <v>91</v>
      </c>
      <c r="D242" s="1">
        <v>45738</v>
      </c>
      <c r="E242" t="s">
        <v>4127</v>
      </c>
      <c r="F242" t="s">
        <v>4139</v>
      </c>
    </row>
    <row r="243" spans="1:6">
      <c r="A243" t="s">
        <v>4372</v>
      </c>
      <c r="B243" t="s">
        <v>184</v>
      </c>
      <c r="C243" t="s">
        <v>22</v>
      </c>
      <c r="D243" s="1">
        <v>45942</v>
      </c>
      <c r="E243" t="s">
        <v>4133</v>
      </c>
      <c r="F243" t="s">
        <v>4139</v>
      </c>
    </row>
    <row r="244" spans="1:6">
      <c r="A244" t="s">
        <v>4373</v>
      </c>
      <c r="B244" t="s">
        <v>184</v>
      </c>
      <c r="C244" t="s">
        <v>22</v>
      </c>
      <c r="D244" s="1">
        <v>45950</v>
      </c>
      <c r="E244" t="s">
        <v>4135</v>
      </c>
      <c r="F244" t="s">
        <v>4137</v>
      </c>
    </row>
    <row r="245" spans="1:6">
      <c r="A245" t="s">
        <v>4374</v>
      </c>
      <c r="B245" t="s">
        <v>186</v>
      </c>
      <c r="C245" t="s">
        <v>70</v>
      </c>
      <c r="D245" s="1">
        <v>45958</v>
      </c>
      <c r="E245" t="s">
        <v>4127</v>
      </c>
      <c r="F245" t="s">
        <v>4139</v>
      </c>
    </row>
    <row r="246" spans="1:6">
      <c r="A246" t="s">
        <v>4375</v>
      </c>
      <c r="B246" t="s">
        <v>186</v>
      </c>
      <c r="C246" t="s">
        <v>70</v>
      </c>
      <c r="D246" s="1">
        <v>45957</v>
      </c>
      <c r="E246" t="s">
        <v>4124</v>
      </c>
      <c r="F246" t="s">
        <v>4139</v>
      </c>
    </row>
    <row r="247" spans="1:6">
      <c r="A247" t="s">
        <v>4376</v>
      </c>
      <c r="B247" t="s">
        <v>186</v>
      </c>
      <c r="C247" t="s">
        <v>70</v>
      </c>
      <c r="D247" s="1">
        <v>45961</v>
      </c>
      <c r="E247" t="s">
        <v>4129</v>
      </c>
      <c r="F247" t="s">
        <v>4137</v>
      </c>
    </row>
    <row r="248" spans="1:6">
      <c r="A248" t="s">
        <v>4377</v>
      </c>
      <c r="B248" t="s">
        <v>188</v>
      </c>
      <c r="C248" t="s">
        <v>22</v>
      </c>
      <c r="D248" s="1">
        <v>45929</v>
      </c>
      <c r="E248" t="s">
        <v>4127</v>
      </c>
      <c r="F248" t="s">
        <v>4137</v>
      </c>
    </row>
    <row r="249" spans="1:6">
      <c r="A249" t="s">
        <v>4378</v>
      </c>
      <c r="B249" t="s">
        <v>188</v>
      </c>
      <c r="C249" t="s">
        <v>22</v>
      </c>
      <c r="D249" s="1">
        <v>45968</v>
      </c>
      <c r="E249" t="s">
        <v>4135</v>
      </c>
      <c r="F249" t="s">
        <v>4139</v>
      </c>
    </row>
    <row r="250" spans="1:6">
      <c r="A250" t="s">
        <v>4379</v>
      </c>
      <c r="B250" t="s">
        <v>188</v>
      </c>
      <c r="C250" t="s">
        <v>22</v>
      </c>
      <c r="D250" s="1">
        <v>45951</v>
      </c>
      <c r="E250" t="s">
        <v>4129</v>
      </c>
      <c r="F250" t="s">
        <v>4125</v>
      </c>
    </row>
    <row r="251" spans="1:6">
      <c r="A251" t="s">
        <v>4380</v>
      </c>
      <c r="B251" t="s">
        <v>190</v>
      </c>
      <c r="C251" t="s">
        <v>16</v>
      </c>
      <c r="D251" s="1">
        <v>45930</v>
      </c>
      <c r="E251" t="s">
        <v>4124</v>
      </c>
      <c r="F251" t="s">
        <v>4139</v>
      </c>
    </row>
    <row r="252" spans="1:6">
      <c r="A252" t="s">
        <v>4381</v>
      </c>
      <c r="B252" t="s">
        <v>190</v>
      </c>
      <c r="C252" t="s">
        <v>16</v>
      </c>
      <c r="D252" s="1">
        <v>45980</v>
      </c>
      <c r="E252" t="s">
        <v>4135</v>
      </c>
      <c r="F252" t="s">
        <v>4125</v>
      </c>
    </row>
    <row r="253" spans="1:6">
      <c r="A253" t="s">
        <v>4382</v>
      </c>
      <c r="B253" t="s">
        <v>190</v>
      </c>
      <c r="C253" t="s">
        <v>16</v>
      </c>
      <c r="D253" s="1">
        <v>45982</v>
      </c>
      <c r="E253" t="s">
        <v>4133</v>
      </c>
      <c r="F253" t="s">
        <v>4137</v>
      </c>
    </row>
    <row r="254" spans="1:6">
      <c r="A254" t="s">
        <v>4383</v>
      </c>
      <c r="B254" t="s">
        <v>190</v>
      </c>
      <c r="C254" t="s">
        <v>16</v>
      </c>
      <c r="D254" s="1">
        <v>45958</v>
      </c>
      <c r="E254" t="s">
        <v>4124</v>
      </c>
      <c r="F254" t="s">
        <v>4125</v>
      </c>
    </row>
    <row r="255" spans="1:6">
      <c r="A255" t="s">
        <v>4384</v>
      </c>
      <c r="B255" t="s">
        <v>190</v>
      </c>
      <c r="C255" t="s">
        <v>16</v>
      </c>
      <c r="D255" s="1">
        <v>45975</v>
      </c>
      <c r="E255" t="s">
        <v>4127</v>
      </c>
      <c r="F255" t="s">
        <v>4125</v>
      </c>
    </row>
    <row r="256" spans="1:6">
      <c r="A256" t="s">
        <v>4385</v>
      </c>
      <c r="B256" t="s">
        <v>192</v>
      </c>
      <c r="C256" t="s">
        <v>59</v>
      </c>
      <c r="D256" s="1">
        <v>45799</v>
      </c>
      <c r="E256" t="s">
        <v>4124</v>
      </c>
      <c r="F256" t="s">
        <v>4125</v>
      </c>
    </row>
    <row r="257" spans="1:6">
      <c r="A257" t="s">
        <v>4386</v>
      </c>
      <c r="B257" t="s">
        <v>192</v>
      </c>
      <c r="C257" t="s">
        <v>59</v>
      </c>
      <c r="D257" s="1">
        <v>45818</v>
      </c>
      <c r="E257" t="s">
        <v>4129</v>
      </c>
      <c r="F257" t="s">
        <v>4139</v>
      </c>
    </row>
    <row r="258" spans="1:6">
      <c r="A258" t="s">
        <v>4387</v>
      </c>
      <c r="B258" t="s">
        <v>192</v>
      </c>
      <c r="C258" t="s">
        <v>59</v>
      </c>
      <c r="D258" s="1">
        <v>45806</v>
      </c>
      <c r="E258" t="s">
        <v>4133</v>
      </c>
      <c r="F258" t="s">
        <v>4139</v>
      </c>
    </row>
    <row r="259" spans="1:6">
      <c r="A259" t="s">
        <v>4388</v>
      </c>
      <c r="B259" t="s">
        <v>192</v>
      </c>
      <c r="C259" t="s">
        <v>59</v>
      </c>
      <c r="D259" s="1">
        <v>45838</v>
      </c>
      <c r="E259" t="s">
        <v>4135</v>
      </c>
      <c r="F259" t="s">
        <v>4137</v>
      </c>
    </row>
    <row r="260" spans="1:6">
      <c r="A260" t="s">
        <v>4389</v>
      </c>
      <c r="B260" t="s">
        <v>194</v>
      </c>
      <c r="C260" t="s">
        <v>46</v>
      </c>
      <c r="D260" s="1">
        <v>45821</v>
      </c>
      <c r="E260" t="s">
        <v>4127</v>
      </c>
      <c r="F260" t="s">
        <v>4125</v>
      </c>
    </row>
    <row r="261" spans="1:6">
      <c r="A261" t="s">
        <v>4390</v>
      </c>
      <c r="B261" t="s">
        <v>194</v>
      </c>
      <c r="C261" t="s">
        <v>46</v>
      </c>
      <c r="D261" s="1">
        <v>45771</v>
      </c>
      <c r="E261" t="s">
        <v>4127</v>
      </c>
      <c r="F261" t="s">
        <v>4125</v>
      </c>
    </row>
    <row r="262" spans="1:6">
      <c r="A262" t="s">
        <v>4391</v>
      </c>
      <c r="B262" t="s">
        <v>194</v>
      </c>
      <c r="C262" t="s">
        <v>46</v>
      </c>
      <c r="D262" s="1">
        <v>45806</v>
      </c>
      <c r="E262" t="s">
        <v>4135</v>
      </c>
      <c r="F262" t="s">
        <v>4125</v>
      </c>
    </row>
    <row r="263" spans="1:6">
      <c r="A263" t="s">
        <v>4392</v>
      </c>
      <c r="B263" t="s">
        <v>194</v>
      </c>
      <c r="C263" t="s">
        <v>46</v>
      </c>
      <c r="D263" s="1">
        <v>45782</v>
      </c>
      <c r="E263" t="s">
        <v>4124</v>
      </c>
      <c r="F263" t="s">
        <v>4125</v>
      </c>
    </row>
    <row r="264" spans="1:6">
      <c r="A264" t="s">
        <v>4393</v>
      </c>
      <c r="B264" t="s">
        <v>195</v>
      </c>
      <c r="C264" t="s">
        <v>32</v>
      </c>
      <c r="D264" s="1">
        <v>45677</v>
      </c>
      <c r="E264" t="s">
        <v>4127</v>
      </c>
      <c r="F264" t="s">
        <v>4125</v>
      </c>
    </row>
    <row r="265" spans="1:6">
      <c r="A265" t="s">
        <v>4394</v>
      </c>
      <c r="B265" t="s">
        <v>195</v>
      </c>
      <c r="C265" t="s">
        <v>32</v>
      </c>
      <c r="D265" s="1">
        <v>45689</v>
      </c>
      <c r="E265" t="s">
        <v>4135</v>
      </c>
      <c r="F265" t="s">
        <v>4137</v>
      </c>
    </row>
    <row r="266" spans="1:6">
      <c r="A266" t="s">
        <v>4395</v>
      </c>
      <c r="B266" t="s">
        <v>195</v>
      </c>
      <c r="C266" t="s">
        <v>32</v>
      </c>
      <c r="D266" s="1">
        <v>45688</v>
      </c>
      <c r="E266" t="s">
        <v>4127</v>
      </c>
      <c r="F266" t="s">
        <v>4139</v>
      </c>
    </row>
    <row r="267" spans="1:6">
      <c r="A267" t="s">
        <v>4396</v>
      </c>
      <c r="B267" t="s">
        <v>195</v>
      </c>
      <c r="C267" t="s">
        <v>32</v>
      </c>
      <c r="D267" s="1">
        <v>45678</v>
      </c>
      <c r="E267" t="s">
        <v>4135</v>
      </c>
      <c r="F267" t="s">
        <v>4125</v>
      </c>
    </row>
    <row r="268" spans="1:6">
      <c r="A268" t="s">
        <v>4397</v>
      </c>
      <c r="B268" t="s">
        <v>195</v>
      </c>
      <c r="C268" t="s">
        <v>32</v>
      </c>
      <c r="D268" s="1">
        <v>45686</v>
      </c>
      <c r="E268" t="s">
        <v>4133</v>
      </c>
      <c r="F268" t="s">
        <v>4125</v>
      </c>
    </row>
    <row r="269" spans="1:6">
      <c r="A269" t="s">
        <v>4398</v>
      </c>
      <c r="B269" t="s">
        <v>197</v>
      </c>
      <c r="C269" t="s">
        <v>70</v>
      </c>
      <c r="D269" s="1">
        <v>45857</v>
      </c>
      <c r="E269" t="s">
        <v>4135</v>
      </c>
      <c r="F269" t="s">
        <v>4125</v>
      </c>
    </row>
    <row r="270" spans="1:6">
      <c r="A270" t="s">
        <v>4399</v>
      </c>
      <c r="B270" t="s">
        <v>197</v>
      </c>
      <c r="C270" t="s">
        <v>70</v>
      </c>
      <c r="D270" s="1">
        <v>45876</v>
      </c>
      <c r="E270" t="s">
        <v>4124</v>
      </c>
      <c r="F270" t="s">
        <v>4125</v>
      </c>
    </row>
    <row r="271" spans="1:6">
      <c r="A271" t="s">
        <v>4400</v>
      </c>
      <c r="B271" t="s">
        <v>197</v>
      </c>
      <c r="C271" t="s">
        <v>70</v>
      </c>
      <c r="D271" s="1">
        <v>45869</v>
      </c>
      <c r="E271" t="s">
        <v>4135</v>
      </c>
      <c r="F271" t="s">
        <v>4125</v>
      </c>
    </row>
    <row r="272" spans="1:6">
      <c r="A272" t="s">
        <v>4401</v>
      </c>
      <c r="B272" t="s">
        <v>197</v>
      </c>
      <c r="C272" t="s">
        <v>70</v>
      </c>
      <c r="D272" s="1">
        <v>45884</v>
      </c>
      <c r="E272" t="s">
        <v>4129</v>
      </c>
      <c r="F272" t="s">
        <v>4137</v>
      </c>
    </row>
    <row r="273" spans="1:6">
      <c r="A273" t="s">
        <v>4402</v>
      </c>
      <c r="B273" t="s">
        <v>199</v>
      </c>
      <c r="C273" t="s">
        <v>50</v>
      </c>
      <c r="D273" s="1">
        <v>45783</v>
      </c>
      <c r="E273" t="s">
        <v>4133</v>
      </c>
      <c r="F273" t="s">
        <v>4139</v>
      </c>
    </row>
    <row r="274" spans="1:6">
      <c r="A274" t="s">
        <v>4403</v>
      </c>
      <c r="B274" t="s">
        <v>199</v>
      </c>
      <c r="C274" t="s">
        <v>50</v>
      </c>
      <c r="D274" s="1">
        <v>45785</v>
      </c>
      <c r="E274" t="s">
        <v>4127</v>
      </c>
      <c r="F274" t="s">
        <v>4125</v>
      </c>
    </row>
    <row r="275" spans="1:6">
      <c r="A275" t="s">
        <v>4404</v>
      </c>
      <c r="B275" t="s">
        <v>199</v>
      </c>
      <c r="C275" t="s">
        <v>50</v>
      </c>
      <c r="D275" s="1">
        <v>45761</v>
      </c>
      <c r="E275" t="s">
        <v>4129</v>
      </c>
      <c r="F275" t="s">
        <v>4139</v>
      </c>
    </row>
    <row r="276" spans="1:6">
      <c r="A276" t="s">
        <v>4405</v>
      </c>
      <c r="B276" t="s">
        <v>199</v>
      </c>
      <c r="C276" t="s">
        <v>50</v>
      </c>
      <c r="D276" s="1">
        <v>45778</v>
      </c>
      <c r="E276" t="s">
        <v>4135</v>
      </c>
      <c r="F276" t="s">
        <v>4137</v>
      </c>
    </row>
    <row r="277" spans="1:6">
      <c r="A277" t="s">
        <v>4406</v>
      </c>
      <c r="B277" t="s">
        <v>199</v>
      </c>
      <c r="C277" t="s">
        <v>50</v>
      </c>
      <c r="D277" s="1">
        <v>45751</v>
      </c>
      <c r="E277" t="s">
        <v>4135</v>
      </c>
      <c r="F277" t="s">
        <v>4137</v>
      </c>
    </row>
    <row r="278" spans="1:6">
      <c r="A278" t="s">
        <v>4407</v>
      </c>
      <c r="B278" t="s">
        <v>200</v>
      </c>
      <c r="C278" t="s">
        <v>70</v>
      </c>
      <c r="D278" s="1">
        <v>46020</v>
      </c>
      <c r="E278" t="s">
        <v>4133</v>
      </c>
      <c r="F278" t="s">
        <v>4137</v>
      </c>
    </row>
    <row r="279" spans="1:6">
      <c r="A279" t="s">
        <v>4408</v>
      </c>
      <c r="B279" t="s">
        <v>200</v>
      </c>
      <c r="C279" t="s">
        <v>70</v>
      </c>
      <c r="D279" s="1">
        <v>46021</v>
      </c>
      <c r="E279" t="s">
        <v>4133</v>
      </c>
      <c r="F279" t="s">
        <v>4125</v>
      </c>
    </row>
    <row r="280" spans="1:6">
      <c r="A280" t="s">
        <v>4409</v>
      </c>
      <c r="B280" t="s">
        <v>200</v>
      </c>
      <c r="C280" t="s">
        <v>70</v>
      </c>
      <c r="D280" s="1">
        <v>46020</v>
      </c>
      <c r="E280" t="s">
        <v>4133</v>
      </c>
      <c r="F280" t="s">
        <v>4137</v>
      </c>
    </row>
    <row r="281" spans="1:6">
      <c r="A281" t="s">
        <v>4410</v>
      </c>
      <c r="B281" t="s">
        <v>201</v>
      </c>
      <c r="C281" t="s">
        <v>59</v>
      </c>
      <c r="D281" s="1">
        <v>45804</v>
      </c>
      <c r="E281" t="s">
        <v>4129</v>
      </c>
      <c r="F281" t="s">
        <v>4125</v>
      </c>
    </row>
    <row r="282" spans="1:6">
      <c r="A282" t="s">
        <v>4411</v>
      </c>
      <c r="B282" t="s">
        <v>201</v>
      </c>
      <c r="C282" t="s">
        <v>59</v>
      </c>
      <c r="D282" s="1">
        <v>45771</v>
      </c>
      <c r="E282" t="s">
        <v>4135</v>
      </c>
      <c r="F282" t="s">
        <v>4137</v>
      </c>
    </row>
    <row r="283" spans="1:6">
      <c r="A283" t="s">
        <v>4412</v>
      </c>
      <c r="B283" t="s">
        <v>203</v>
      </c>
      <c r="C283" t="s">
        <v>91</v>
      </c>
      <c r="D283" s="1">
        <v>45673</v>
      </c>
      <c r="E283" t="s">
        <v>4133</v>
      </c>
      <c r="F283" t="s">
        <v>4125</v>
      </c>
    </row>
    <row r="284" spans="1:6">
      <c r="A284" t="s">
        <v>4413</v>
      </c>
      <c r="B284" t="s">
        <v>203</v>
      </c>
      <c r="C284" t="s">
        <v>91</v>
      </c>
      <c r="D284" s="1">
        <v>45670</v>
      </c>
      <c r="E284" t="s">
        <v>4127</v>
      </c>
      <c r="F284" t="s">
        <v>4125</v>
      </c>
    </row>
    <row r="285" spans="1:6">
      <c r="A285" t="s">
        <v>4414</v>
      </c>
      <c r="B285" t="s">
        <v>203</v>
      </c>
      <c r="C285" t="s">
        <v>91</v>
      </c>
      <c r="D285" s="1">
        <v>45687</v>
      </c>
      <c r="E285" t="s">
        <v>4124</v>
      </c>
      <c r="F285" t="s">
        <v>4125</v>
      </c>
    </row>
    <row r="286" spans="1:6">
      <c r="A286" t="s">
        <v>4415</v>
      </c>
      <c r="B286" t="s">
        <v>203</v>
      </c>
      <c r="C286" t="s">
        <v>91</v>
      </c>
      <c r="D286" s="1">
        <v>45668</v>
      </c>
      <c r="E286" t="s">
        <v>4124</v>
      </c>
      <c r="F286" t="s">
        <v>4125</v>
      </c>
    </row>
    <row r="287" spans="1:6">
      <c r="A287" t="s">
        <v>4416</v>
      </c>
      <c r="B287" t="s">
        <v>203</v>
      </c>
      <c r="C287" t="s">
        <v>91</v>
      </c>
      <c r="D287" s="1">
        <v>45673</v>
      </c>
      <c r="E287" t="s">
        <v>4129</v>
      </c>
      <c r="F287" t="s">
        <v>4137</v>
      </c>
    </row>
    <row r="288" spans="1:6">
      <c r="A288" t="s">
        <v>4417</v>
      </c>
      <c r="B288" t="s">
        <v>205</v>
      </c>
      <c r="C288" t="s">
        <v>27</v>
      </c>
      <c r="D288" s="1">
        <v>45846</v>
      </c>
      <c r="E288" t="s">
        <v>4135</v>
      </c>
      <c r="F288" t="s">
        <v>4139</v>
      </c>
    </row>
    <row r="289" spans="1:6">
      <c r="A289" t="s">
        <v>4418</v>
      </c>
      <c r="B289" t="s">
        <v>205</v>
      </c>
      <c r="C289" t="s">
        <v>27</v>
      </c>
      <c r="D289" s="1">
        <v>45830</v>
      </c>
      <c r="E289" t="s">
        <v>4124</v>
      </c>
      <c r="F289" t="s">
        <v>4125</v>
      </c>
    </row>
    <row r="290" spans="1:6">
      <c r="A290" t="s">
        <v>4419</v>
      </c>
      <c r="B290" t="s">
        <v>205</v>
      </c>
      <c r="C290" t="s">
        <v>27</v>
      </c>
      <c r="D290" s="1">
        <v>45858</v>
      </c>
      <c r="E290" t="s">
        <v>4135</v>
      </c>
      <c r="F290" t="s">
        <v>4139</v>
      </c>
    </row>
    <row r="291" spans="1:6">
      <c r="A291" t="s">
        <v>4420</v>
      </c>
      <c r="B291" t="s">
        <v>205</v>
      </c>
      <c r="C291" t="s">
        <v>27</v>
      </c>
      <c r="D291" s="1">
        <v>45850</v>
      </c>
      <c r="E291" t="s">
        <v>4133</v>
      </c>
      <c r="F291" t="s">
        <v>4137</v>
      </c>
    </row>
    <row r="292" spans="1:6">
      <c r="A292" t="s">
        <v>4421</v>
      </c>
      <c r="B292" t="s">
        <v>207</v>
      </c>
      <c r="C292" t="s">
        <v>119</v>
      </c>
      <c r="D292" s="1">
        <v>45910</v>
      </c>
      <c r="E292" t="s">
        <v>4133</v>
      </c>
      <c r="F292" t="s">
        <v>4137</v>
      </c>
    </row>
    <row r="293" spans="1:6">
      <c r="A293" t="s">
        <v>4422</v>
      </c>
      <c r="B293" t="s">
        <v>207</v>
      </c>
      <c r="C293" t="s">
        <v>119</v>
      </c>
      <c r="D293" s="1">
        <v>45909</v>
      </c>
      <c r="E293" t="s">
        <v>4124</v>
      </c>
      <c r="F293" t="s">
        <v>4137</v>
      </c>
    </row>
    <row r="294" spans="1:6">
      <c r="A294" t="s">
        <v>4423</v>
      </c>
      <c r="B294" t="s">
        <v>208</v>
      </c>
      <c r="C294" t="s">
        <v>40</v>
      </c>
      <c r="D294" s="1">
        <v>45732</v>
      </c>
      <c r="E294" t="s">
        <v>4133</v>
      </c>
      <c r="F294" t="s">
        <v>4137</v>
      </c>
    </row>
    <row r="295" spans="1:6">
      <c r="A295" t="s">
        <v>4424</v>
      </c>
      <c r="B295" t="s">
        <v>208</v>
      </c>
      <c r="C295" t="s">
        <v>40</v>
      </c>
      <c r="D295" s="1">
        <v>45732</v>
      </c>
      <c r="E295" t="s">
        <v>4124</v>
      </c>
      <c r="F295" t="s">
        <v>4137</v>
      </c>
    </row>
    <row r="296" spans="1:6">
      <c r="A296" t="s">
        <v>4425</v>
      </c>
      <c r="B296" t="s">
        <v>208</v>
      </c>
      <c r="C296" t="s">
        <v>40</v>
      </c>
      <c r="D296" s="1">
        <v>45718</v>
      </c>
      <c r="E296" t="s">
        <v>4127</v>
      </c>
      <c r="F296" t="s">
        <v>4125</v>
      </c>
    </row>
    <row r="297" spans="1:6">
      <c r="A297" t="s">
        <v>4426</v>
      </c>
      <c r="B297" t="s">
        <v>210</v>
      </c>
      <c r="C297" t="s">
        <v>46</v>
      </c>
      <c r="D297" s="1">
        <v>45750</v>
      </c>
      <c r="E297" t="s">
        <v>4129</v>
      </c>
      <c r="F297" t="s">
        <v>4137</v>
      </c>
    </row>
    <row r="298" spans="1:6">
      <c r="A298" t="s">
        <v>4427</v>
      </c>
      <c r="B298" t="s">
        <v>210</v>
      </c>
      <c r="C298" t="s">
        <v>46</v>
      </c>
      <c r="D298" s="1">
        <v>45769</v>
      </c>
      <c r="E298" t="s">
        <v>4124</v>
      </c>
      <c r="F298" t="s">
        <v>4125</v>
      </c>
    </row>
    <row r="299" spans="1:6">
      <c r="A299" t="s">
        <v>4428</v>
      </c>
      <c r="B299" t="s">
        <v>212</v>
      </c>
      <c r="C299" t="s">
        <v>22</v>
      </c>
      <c r="D299" s="1">
        <v>45818</v>
      </c>
      <c r="E299" t="s">
        <v>4135</v>
      </c>
      <c r="F299" t="s">
        <v>4139</v>
      </c>
    </row>
    <row r="300" spans="1:6">
      <c r="A300" t="s">
        <v>4429</v>
      </c>
      <c r="B300" t="s">
        <v>212</v>
      </c>
      <c r="C300" t="s">
        <v>22</v>
      </c>
      <c r="D300" s="1">
        <v>45814</v>
      </c>
      <c r="E300" t="s">
        <v>4135</v>
      </c>
      <c r="F300" t="s">
        <v>4139</v>
      </c>
    </row>
    <row r="301" spans="1:6">
      <c r="A301" t="s">
        <v>4430</v>
      </c>
      <c r="B301" t="s">
        <v>214</v>
      </c>
      <c r="C301" t="s">
        <v>27</v>
      </c>
      <c r="D301" s="1">
        <v>46009</v>
      </c>
      <c r="E301" t="s">
        <v>4124</v>
      </c>
      <c r="F301" t="s">
        <v>4125</v>
      </c>
    </row>
    <row r="302" spans="1:6">
      <c r="A302" t="s">
        <v>4431</v>
      </c>
      <c r="B302" t="s">
        <v>214</v>
      </c>
      <c r="C302" t="s">
        <v>27</v>
      </c>
      <c r="D302" s="1">
        <v>46019</v>
      </c>
      <c r="E302" t="s">
        <v>4129</v>
      </c>
      <c r="F302" t="s">
        <v>4137</v>
      </c>
    </row>
    <row r="303" spans="1:6">
      <c r="A303" t="s">
        <v>4432</v>
      </c>
      <c r="B303" t="s">
        <v>216</v>
      </c>
      <c r="C303" t="s">
        <v>56</v>
      </c>
      <c r="D303" s="1">
        <v>45898</v>
      </c>
      <c r="E303" t="s">
        <v>4135</v>
      </c>
      <c r="F303" t="s">
        <v>4139</v>
      </c>
    </row>
    <row r="304" spans="1:6">
      <c r="A304" t="s">
        <v>4433</v>
      </c>
      <c r="B304" t="s">
        <v>216</v>
      </c>
      <c r="C304" t="s">
        <v>56</v>
      </c>
      <c r="D304" s="1">
        <v>45893</v>
      </c>
      <c r="E304" t="s">
        <v>4133</v>
      </c>
      <c r="F304" t="s">
        <v>4125</v>
      </c>
    </row>
    <row r="305" spans="1:6">
      <c r="A305" t="s">
        <v>4434</v>
      </c>
      <c r="B305" t="s">
        <v>218</v>
      </c>
      <c r="C305" t="s">
        <v>152</v>
      </c>
      <c r="D305" s="1">
        <v>45934</v>
      </c>
      <c r="E305" t="s">
        <v>4135</v>
      </c>
      <c r="F305" t="s">
        <v>4137</v>
      </c>
    </row>
    <row r="306" spans="1:6">
      <c r="A306" t="s">
        <v>4435</v>
      </c>
      <c r="B306" t="s">
        <v>218</v>
      </c>
      <c r="C306" t="s">
        <v>152</v>
      </c>
      <c r="D306" s="1">
        <v>45957</v>
      </c>
      <c r="E306" t="s">
        <v>4135</v>
      </c>
      <c r="F306" t="s">
        <v>4125</v>
      </c>
    </row>
    <row r="307" spans="1:6">
      <c r="A307" t="s">
        <v>4436</v>
      </c>
      <c r="B307" t="s">
        <v>218</v>
      </c>
      <c r="C307" t="s">
        <v>152</v>
      </c>
      <c r="D307" s="1">
        <v>45970</v>
      </c>
      <c r="E307" t="s">
        <v>4124</v>
      </c>
      <c r="F307" t="s">
        <v>4139</v>
      </c>
    </row>
    <row r="308" spans="1:6">
      <c r="A308" t="s">
        <v>4437</v>
      </c>
      <c r="B308" t="s">
        <v>218</v>
      </c>
      <c r="C308" t="s">
        <v>152</v>
      </c>
      <c r="D308" s="1">
        <v>45957</v>
      </c>
      <c r="E308" t="s">
        <v>4127</v>
      </c>
      <c r="F308" t="s">
        <v>4125</v>
      </c>
    </row>
    <row r="309" spans="1:6">
      <c r="A309" t="s">
        <v>4438</v>
      </c>
      <c r="B309" t="s">
        <v>218</v>
      </c>
      <c r="C309" t="s">
        <v>152</v>
      </c>
      <c r="D309" s="1">
        <v>45947</v>
      </c>
      <c r="E309" t="s">
        <v>4133</v>
      </c>
      <c r="F309" t="s">
        <v>4125</v>
      </c>
    </row>
    <row r="310" spans="1:6">
      <c r="A310" t="s">
        <v>4439</v>
      </c>
      <c r="B310" t="s">
        <v>220</v>
      </c>
      <c r="C310" t="s">
        <v>16</v>
      </c>
      <c r="D310" s="1">
        <v>45682</v>
      </c>
      <c r="E310" t="s">
        <v>4135</v>
      </c>
      <c r="F310" t="s">
        <v>4137</v>
      </c>
    </row>
    <row r="311" spans="1:6">
      <c r="A311" t="s">
        <v>4440</v>
      </c>
      <c r="B311" t="s">
        <v>220</v>
      </c>
      <c r="C311" t="s">
        <v>16</v>
      </c>
      <c r="D311" s="1">
        <v>45696</v>
      </c>
      <c r="E311" t="s">
        <v>4127</v>
      </c>
      <c r="F311" t="s">
        <v>4137</v>
      </c>
    </row>
    <row r="312" spans="1:6">
      <c r="A312" t="s">
        <v>4441</v>
      </c>
      <c r="B312" t="s">
        <v>222</v>
      </c>
      <c r="C312" t="s">
        <v>63</v>
      </c>
      <c r="D312" s="1">
        <v>45991</v>
      </c>
      <c r="E312" t="s">
        <v>4129</v>
      </c>
      <c r="F312" t="s">
        <v>4139</v>
      </c>
    </row>
    <row r="313" spans="1:6">
      <c r="A313" t="s">
        <v>4442</v>
      </c>
      <c r="B313" t="s">
        <v>222</v>
      </c>
      <c r="C313" t="s">
        <v>63</v>
      </c>
      <c r="D313" s="1">
        <v>45992</v>
      </c>
      <c r="E313" t="s">
        <v>4127</v>
      </c>
      <c r="F313" t="s">
        <v>4125</v>
      </c>
    </row>
    <row r="314" spans="1:6">
      <c r="A314" t="s">
        <v>4443</v>
      </c>
      <c r="B314" t="s">
        <v>222</v>
      </c>
      <c r="C314" t="s">
        <v>63</v>
      </c>
      <c r="D314" s="1">
        <v>46020</v>
      </c>
      <c r="E314" t="s">
        <v>4124</v>
      </c>
      <c r="F314" t="s">
        <v>4139</v>
      </c>
    </row>
    <row r="315" spans="1:6">
      <c r="A315" t="s">
        <v>4444</v>
      </c>
      <c r="B315" t="s">
        <v>222</v>
      </c>
      <c r="C315" t="s">
        <v>63</v>
      </c>
      <c r="D315" s="1">
        <v>46021</v>
      </c>
      <c r="E315" t="s">
        <v>4129</v>
      </c>
      <c r="F315" t="s">
        <v>4139</v>
      </c>
    </row>
    <row r="316" spans="1:6">
      <c r="A316" t="s">
        <v>4445</v>
      </c>
      <c r="B316" t="s">
        <v>224</v>
      </c>
      <c r="C316" t="s">
        <v>126</v>
      </c>
      <c r="D316" s="1">
        <v>45734</v>
      </c>
      <c r="E316" t="s">
        <v>4124</v>
      </c>
      <c r="F316" t="s">
        <v>4125</v>
      </c>
    </row>
    <row r="317" spans="1:6">
      <c r="A317" t="s">
        <v>4446</v>
      </c>
      <c r="B317" t="s">
        <v>224</v>
      </c>
      <c r="C317" t="s">
        <v>126</v>
      </c>
      <c r="D317" s="1">
        <v>45737</v>
      </c>
      <c r="E317" t="s">
        <v>4133</v>
      </c>
      <c r="F317" t="s">
        <v>4125</v>
      </c>
    </row>
    <row r="318" spans="1:6">
      <c r="A318" t="s">
        <v>4447</v>
      </c>
      <c r="B318" t="s">
        <v>224</v>
      </c>
      <c r="C318" t="s">
        <v>126</v>
      </c>
      <c r="D318" s="1">
        <v>45690</v>
      </c>
      <c r="E318" t="s">
        <v>4135</v>
      </c>
      <c r="F318" t="s">
        <v>4137</v>
      </c>
    </row>
    <row r="319" spans="1:6">
      <c r="A319" t="s">
        <v>4448</v>
      </c>
      <c r="B319" t="s">
        <v>224</v>
      </c>
      <c r="C319" t="s">
        <v>126</v>
      </c>
      <c r="D319" s="1">
        <v>45749</v>
      </c>
      <c r="E319" t="s">
        <v>4129</v>
      </c>
      <c r="F319" t="s">
        <v>4137</v>
      </c>
    </row>
    <row r="320" spans="1:6">
      <c r="A320" t="s">
        <v>4449</v>
      </c>
      <c r="B320" t="s">
        <v>226</v>
      </c>
      <c r="C320" t="s">
        <v>56</v>
      </c>
      <c r="D320" s="1">
        <v>45952</v>
      </c>
      <c r="E320" t="s">
        <v>4133</v>
      </c>
      <c r="F320" t="s">
        <v>4139</v>
      </c>
    </row>
    <row r="321" spans="1:6">
      <c r="A321" t="s">
        <v>4450</v>
      </c>
      <c r="B321" t="s">
        <v>226</v>
      </c>
      <c r="C321" t="s">
        <v>56</v>
      </c>
      <c r="D321" s="1">
        <v>45967</v>
      </c>
      <c r="E321" t="s">
        <v>4129</v>
      </c>
      <c r="F321" t="s">
        <v>4139</v>
      </c>
    </row>
    <row r="322" spans="1:6">
      <c r="A322" t="s">
        <v>4451</v>
      </c>
      <c r="B322" t="s">
        <v>228</v>
      </c>
      <c r="C322" t="s">
        <v>168</v>
      </c>
      <c r="D322" s="1">
        <v>46008</v>
      </c>
      <c r="E322" t="s">
        <v>4135</v>
      </c>
      <c r="F322" t="s">
        <v>4125</v>
      </c>
    </row>
    <row r="323" spans="1:6">
      <c r="A323" t="s">
        <v>4452</v>
      </c>
      <c r="B323" t="s">
        <v>228</v>
      </c>
      <c r="C323" t="s">
        <v>168</v>
      </c>
      <c r="D323" s="1">
        <v>46004</v>
      </c>
      <c r="E323" t="s">
        <v>4135</v>
      </c>
      <c r="F323" t="s">
        <v>4137</v>
      </c>
    </row>
    <row r="324" spans="1:6">
      <c r="A324" t="s">
        <v>4453</v>
      </c>
      <c r="B324" t="s">
        <v>228</v>
      </c>
      <c r="C324" t="s">
        <v>168</v>
      </c>
      <c r="D324" s="1">
        <v>46013</v>
      </c>
      <c r="E324" t="s">
        <v>4127</v>
      </c>
      <c r="F324" t="s">
        <v>4137</v>
      </c>
    </row>
    <row r="325" spans="1:6">
      <c r="A325" t="s">
        <v>4454</v>
      </c>
      <c r="B325" t="s">
        <v>228</v>
      </c>
      <c r="C325" t="s">
        <v>168</v>
      </c>
      <c r="D325" s="1">
        <v>46016</v>
      </c>
      <c r="E325" t="s">
        <v>4127</v>
      </c>
      <c r="F325" t="s">
        <v>4137</v>
      </c>
    </row>
    <row r="326" spans="1:6">
      <c r="A326" t="s">
        <v>4455</v>
      </c>
      <c r="B326" t="s">
        <v>228</v>
      </c>
      <c r="C326" t="s">
        <v>168</v>
      </c>
      <c r="D326" s="1">
        <v>46012</v>
      </c>
      <c r="E326" t="s">
        <v>4135</v>
      </c>
      <c r="F326" t="s">
        <v>4137</v>
      </c>
    </row>
    <row r="327" spans="1:6">
      <c r="A327" t="s">
        <v>4456</v>
      </c>
      <c r="B327" t="s">
        <v>229</v>
      </c>
      <c r="C327" t="s">
        <v>56</v>
      </c>
      <c r="D327" s="1">
        <v>45986</v>
      </c>
      <c r="E327" t="s">
        <v>4133</v>
      </c>
      <c r="F327" t="s">
        <v>4137</v>
      </c>
    </row>
    <row r="328" spans="1:6">
      <c r="A328" t="s">
        <v>4457</v>
      </c>
      <c r="B328" t="s">
        <v>229</v>
      </c>
      <c r="C328" t="s">
        <v>56</v>
      </c>
      <c r="D328" s="1">
        <v>45979</v>
      </c>
      <c r="E328" t="s">
        <v>4127</v>
      </c>
      <c r="F328" t="s">
        <v>4137</v>
      </c>
    </row>
    <row r="329" spans="1:6">
      <c r="A329" t="s">
        <v>4458</v>
      </c>
      <c r="B329" t="s">
        <v>229</v>
      </c>
      <c r="C329" t="s">
        <v>56</v>
      </c>
      <c r="D329" s="1">
        <v>45997</v>
      </c>
      <c r="E329" t="s">
        <v>4127</v>
      </c>
      <c r="F329" t="s">
        <v>4137</v>
      </c>
    </row>
    <row r="330" spans="1:6">
      <c r="A330" t="s">
        <v>4459</v>
      </c>
      <c r="B330" t="s">
        <v>229</v>
      </c>
      <c r="C330" t="s">
        <v>56</v>
      </c>
      <c r="D330" s="1">
        <v>45985</v>
      </c>
      <c r="E330" t="s">
        <v>4127</v>
      </c>
      <c r="F330" t="s">
        <v>4139</v>
      </c>
    </row>
    <row r="331" spans="1:6">
      <c r="A331" t="s">
        <v>4460</v>
      </c>
      <c r="B331" t="s">
        <v>230</v>
      </c>
      <c r="C331" t="s">
        <v>78</v>
      </c>
      <c r="D331" s="1">
        <v>45770</v>
      </c>
      <c r="E331" t="s">
        <v>4124</v>
      </c>
      <c r="F331" t="s">
        <v>4137</v>
      </c>
    </row>
    <row r="332" spans="1:6">
      <c r="A332" t="s">
        <v>4461</v>
      </c>
      <c r="B332" t="s">
        <v>230</v>
      </c>
      <c r="C332" t="s">
        <v>78</v>
      </c>
      <c r="D332" s="1">
        <v>45720</v>
      </c>
      <c r="E332" t="s">
        <v>4124</v>
      </c>
      <c r="F332" t="s">
        <v>4137</v>
      </c>
    </row>
    <row r="333" spans="1:6">
      <c r="A333" t="s">
        <v>4462</v>
      </c>
      <c r="B333" t="s">
        <v>231</v>
      </c>
      <c r="C333" t="s">
        <v>46</v>
      </c>
      <c r="D333" s="1">
        <v>46001</v>
      </c>
      <c r="E333" t="s">
        <v>4129</v>
      </c>
      <c r="F333" t="s">
        <v>4137</v>
      </c>
    </row>
    <row r="334" spans="1:6">
      <c r="A334" t="s">
        <v>4463</v>
      </c>
      <c r="B334" t="s">
        <v>231</v>
      </c>
      <c r="C334" t="s">
        <v>46</v>
      </c>
      <c r="D334" s="1">
        <v>45977</v>
      </c>
      <c r="E334" t="s">
        <v>4129</v>
      </c>
      <c r="F334" t="s">
        <v>4139</v>
      </c>
    </row>
    <row r="335" spans="1:6">
      <c r="A335" t="s">
        <v>4464</v>
      </c>
      <c r="B335" t="s">
        <v>231</v>
      </c>
      <c r="C335" t="s">
        <v>46</v>
      </c>
      <c r="D335" s="1">
        <v>45993</v>
      </c>
      <c r="E335" t="s">
        <v>4133</v>
      </c>
      <c r="F335" t="s">
        <v>4137</v>
      </c>
    </row>
    <row r="336" spans="1:6">
      <c r="A336" t="s">
        <v>4465</v>
      </c>
      <c r="B336" t="s">
        <v>231</v>
      </c>
      <c r="C336" t="s">
        <v>46</v>
      </c>
      <c r="D336" s="1">
        <v>45972</v>
      </c>
      <c r="E336" t="s">
        <v>4127</v>
      </c>
      <c r="F336" t="s">
        <v>4125</v>
      </c>
    </row>
    <row r="337" spans="1:6">
      <c r="A337" t="s">
        <v>4466</v>
      </c>
      <c r="B337" t="s">
        <v>231</v>
      </c>
      <c r="C337" t="s">
        <v>46</v>
      </c>
      <c r="D337" s="1">
        <v>45979</v>
      </c>
      <c r="E337" t="s">
        <v>4127</v>
      </c>
      <c r="F337" t="s">
        <v>4125</v>
      </c>
    </row>
    <row r="338" spans="1:6">
      <c r="A338" t="s">
        <v>4467</v>
      </c>
      <c r="B338" t="s">
        <v>233</v>
      </c>
      <c r="C338" t="s">
        <v>40</v>
      </c>
      <c r="D338" s="1">
        <v>45801</v>
      </c>
      <c r="E338" t="s">
        <v>4133</v>
      </c>
      <c r="F338" t="s">
        <v>4137</v>
      </c>
    </row>
    <row r="339" spans="1:6">
      <c r="A339" t="s">
        <v>4468</v>
      </c>
      <c r="B339" t="s">
        <v>233</v>
      </c>
      <c r="C339" t="s">
        <v>40</v>
      </c>
      <c r="D339" s="1">
        <v>45775</v>
      </c>
      <c r="E339" t="s">
        <v>4129</v>
      </c>
      <c r="F339" t="s">
        <v>4125</v>
      </c>
    </row>
    <row r="340" spans="1:6">
      <c r="A340" t="s">
        <v>4469</v>
      </c>
      <c r="B340" t="s">
        <v>233</v>
      </c>
      <c r="C340" t="s">
        <v>40</v>
      </c>
      <c r="D340" s="1">
        <v>45811</v>
      </c>
      <c r="E340" t="s">
        <v>4133</v>
      </c>
      <c r="F340" t="s">
        <v>4137</v>
      </c>
    </row>
    <row r="341" spans="1:6">
      <c r="A341" t="s">
        <v>4470</v>
      </c>
      <c r="B341" t="s">
        <v>233</v>
      </c>
      <c r="C341" t="s">
        <v>40</v>
      </c>
      <c r="D341" s="1">
        <v>45784</v>
      </c>
      <c r="E341" t="s">
        <v>4129</v>
      </c>
      <c r="F341" t="s">
        <v>4139</v>
      </c>
    </row>
    <row r="342" spans="1:6">
      <c r="A342" t="s">
        <v>4471</v>
      </c>
      <c r="B342" t="s">
        <v>235</v>
      </c>
      <c r="C342" t="s">
        <v>32</v>
      </c>
      <c r="D342" s="1">
        <v>45935</v>
      </c>
      <c r="E342" t="s">
        <v>4129</v>
      </c>
      <c r="F342" t="s">
        <v>4137</v>
      </c>
    </row>
    <row r="343" spans="1:6">
      <c r="A343" t="s">
        <v>4472</v>
      </c>
      <c r="B343" t="s">
        <v>235</v>
      </c>
      <c r="C343" t="s">
        <v>32</v>
      </c>
      <c r="D343" s="1">
        <v>45931</v>
      </c>
      <c r="E343" t="s">
        <v>4127</v>
      </c>
      <c r="F343" t="s">
        <v>4125</v>
      </c>
    </row>
    <row r="344" spans="1:6">
      <c r="A344" t="s">
        <v>4473</v>
      </c>
      <c r="B344" t="s">
        <v>235</v>
      </c>
      <c r="C344" t="s">
        <v>32</v>
      </c>
      <c r="D344" s="1">
        <v>45931</v>
      </c>
      <c r="E344" t="s">
        <v>4133</v>
      </c>
      <c r="F344" t="s">
        <v>4137</v>
      </c>
    </row>
    <row r="345" spans="1:6">
      <c r="A345" t="s">
        <v>4474</v>
      </c>
      <c r="B345" t="s">
        <v>235</v>
      </c>
      <c r="C345" t="s">
        <v>32</v>
      </c>
      <c r="D345" s="1">
        <v>45934</v>
      </c>
      <c r="E345" t="s">
        <v>4135</v>
      </c>
      <c r="F345" t="s">
        <v>4137</v>
      </c>
    </row>
    <row r="346" spans="1:6">
      <c r="A346" t="s">
        <v>4475</v>
      </c>
      <c r="B346" t="s">
        <v>237</v>
      </c>
      <c r="C346" t="s">
        <v>70</v>
      </c>
      <c r="D346" s="1">
        <v>45893</v>
      </c>
      <c r="E346" t="s">
        <v>4129</v>
      </c>
      <c r="F346" t="s">
        <v>4137</v>
      </c>
    </row>
    <row r="347" spans="1:6">
      <c r="A347" t="s">
        <v>4476</v>
      </c>
      <c r="B347" t="s">
        <v>237</v>
      </c>
      <c r="C347" t="s">
        <v>70</v>
      </c>
      <c r="D347" s="1">
        <v>45909</v>
      </c>
      <c r="E347" t="s">
        <v>4124</v>
      </c>
      <c r="F347" t="s">
        <v>4137</v>
      </c>
    </row>
    <row r="348" spans="1:6">
      <c r="A348" t="s">
        <v>4477</v>
      </c>
      <c r="B348" t="s">
        <v>239</v>
      </c>
      <c r="C348" t="s">
        <v>59</v>
      </c>
      <c r="D348" s="1">
        <v>45661</v>
      </c>
      <c r="E348" t="s">
        <v>4133</v>
      </c>
      <c r="F348" t="s">
        <v>4125</v>
      </c>
    </row>
    <row r="349" spans="1:6">
      <c r="A349" t="s">
        <v>4478</v>
      </c>
      <c r="B349" t="s">
        <v>239</v>
      </c>
      <c r="C349" t="s">
        <v>59</v>
      </c>
      <c r="D349" s="1">
        <v>45675</v>
      </c>
      <c r="E349" t="s">
        <v>4135</v>
      </c>
      <c r="F349" t="s">
        <v>4125</v>
      </c>
    </row>
    <row r="350" spans="1:6">
      <c r="A350" t="s">
        <v>4479</v>
      </c>
      <c r="B350" t="s">
        <v>239</v>
      </c>
      <c r="C350" t="s">
        <v>59</v>
      </c>
      <c r="D350" s="1">
        <v>45682</v>
      </c>
      <c r="E350" t="s">
        <v>4127</v>
      </c>
      <c r="F350" t="s">
        <v>4139</v>
      </c>
    </row>
    <row r="351" spans="1:6">
      <c r="A351" t="s">
        <v>4480</v>
      </c>
      <c r="B351" t="s">
        <v>240</v>
      </c>
      <c r="C351" t="s">
        <v>56</v>
      </c>
      <c r="D351" s="1">
        <v>45969</v>
      </c>
      <c r="E351" t="s">
        <v>4124</v>
      </c>
      <c r="F351" t="s">
        <v>4125</v>
      </c>
    </row>
    <row r="352" spans="1:6">
      <c r="A352" t="s">
        <v>4481</v>
      </c>
      <c r="B352" t="s">
        <v>240</v>
      </c>
      <c r="C352" t="s">
        <v>56</v>
      </c>
      <c r="D352" s="1">
        <v>45963</v>
      </c>
      <c r="E352" t="s">
        <v>4127</v>
      </c>
      <c r="F352" t="s">
        <v>4137</v>
      </c>
    </row>
    <row r="353" spans="1:6">
      <c r="A353" t="s">
        <v>4482</v>
      </c>
      <c r="B353" t="s">
        <v>240</v>
      </c>
      <c r="C353" t="s">
        <v>56</v>
      </c>
      <c r="D353" s="1">
        <v>45970</v>
      </c>
      <c r="E353" t="s">
        <v>4135</v>
      </c>
      <c r="F353" t="s">
        <v>4139</v>
      </c>
    </row>
    <row r="354" spans="1:6">
      <c r="A354" t="s">
        <v>4483</v>
      </c>
      <c r="B354" t="s">
        <v>240</v>
      </c>
      <c r="C354" t="s">
        <v>56</v>
      </c>
      <c r="D354" s="1">
        <v>45971</v>
      </c>
      <c r="E354" t="s">
        <v>4133</v>
      </c>
      <c r="F354" t="s">
        <v>4139</v>
      </c>
    </row>
    <row r="355" spans="1:6">
      <c r="A355" t="s">
        <v>4484</v>
      </c>
      <c r="B355" t="s">
        <v>240</v>
      </c>
      <c r="C355" t="s">
        <v>56</v>
      </c>
      <c r="D355" s="1">
        <v>45966</v>
      </c>
      <c r="E355" t="s">
        <v>4135</v>
      </c>
      <c r="F355" t="s">
        <v>4139</v>
      </c>
    </row>
    <row r="356" spans="1:6">
      <c r="A356" t="s">
        <v>4485</v>
      </c>
      <c r="B356" t="s">
        <v>242</v>
      </c>
      <c r="C356" t="s">
        <v>119</v>
      </c>
      <c r="D356" s="1">
        <v>45954</v>
      </c>
      <c r="E356" t="s">
        <v>4133</v>
      </c>
      <c r="F356" t="s">
        <v>4125</v>
      </c>
    </row>
    <row r="357" spans="1:6">
      <c r="A357" t="s">
        <v>4486</v>
      </c>
      <c r="B357" t="s">
        <v>242</v>
      </c>
      <c r="C357" t="s">
        <v>119</v>
      </c>
      <c r="D357" s="1">
        <v>45922</v>
      </c>
      <c r="E357" t="s">
        <v>4133</v>
      </c>
      <c r="F357" t="s">
        <v>4139</v>
      </c>
    </row>
    <row r="358" spans="1:6">
      <c r="A358" t="s">
        <v>4487</v>
      </c>
      <c r="B358" t="s">
        <v>244</v>
      </c>
      <c r="C358" t="s">
        <v>59</v>
      </c>
      <c r="D358" s="1">
        <v>45923</v>
      </c>
      <c r="E358" t="s">
        <v>4124</v>
      </c>
      <c r="F358" t="s">
        <v>4125</v>
      </c>
    </row>
    <row r="359" spans="1:6">
      <c r="A359" t="s">
        <v>4488</v>
      </c>
      <c r="B359" t="s">
        <v>244</v>
      </c>
      <c r="C359" t="s">
        <v>59</v>
      </c>
      <c r="D359" s="1">
        <v>45897</v>
      </c>
      <c r="E359" t="s">
        <v>4129</v>
      </c>
      <c r="F359" t="s">
        <v>4137</v>
      </c>
    </row>
    <row r="360" spans="1:6">
      <c r="A360" t="s">
        <v>4489</v>
      </c>
      <c r="B360" t="s">
        <v>246</v>
      </c>
      <c r="C360" t="s">
        <v>75</v>
      </c>
      <c r="D360" s="1">
        <v>45875</v>
      </c>
      <c r="E360" t="s">
        <v>4133</v>
      </c>
      <c r="F360" t="s">
        <v>4137</v>
      </c>
    </row>
    <row r="361" spans="1:6">
      <c r="A361" t="s">
        <v>4490</v>
      </c>
      <c r="B361" t="s">
        <v>246</v>
      </c>
      <c r="C361" t="s">
        <v>75</v>
      </c>
      <c r="D361" s="1">
        <v>45878</v>
      </c>
      <c r="E361" t="s">
        <v>4129</v>
      </c>
      <c r="F361" t="s">
        <v>4139</v>
      </c>
    </row>
    <row r="362" spans="1:6">
      <c r="A362" t="s">
        <v>4491</v>
      </c>
      <c r="B362" t="s">
        <v>246</v>
      </c>
      <c r="C362" t="s">
        <v>75</v>
      </c>
      <c r="D362" s="1">
        <v>45880</v>
      </c>
      <c r="E362" t="s">
        <v>4129</v>
      </c>
      <c r="F362" t="s">
        <v>4139</v>
      </c>
    </row>
    <row r="363" spans="1:6">
      <c r="A363" t="s">
        <v>4492</v>
      </c>
      <c r="B363" t="s">
        <v>246</v>
      </c>
      <c r="C363" t="s">
        <v>75</v>
      </c>
      <c r="D363" s="1">
        <v>45883</v>
      </c>
      <c r="E363" t="s">
        <v>4124</v>
      </c>
      <c r="F363" t="s">
        <v>4137</v>
      </c>
    </row>
    <row r="364" spans="1:6">
      <c r="A364" t="s">
        <v>4493</v>
      </c>
      <c r="B364" t="s">
        <v>248</v>
      </c>
      <c r="C364" t="s">
        <v>63</v>
      </c>
      <c r="D364" s="1">
        <v>45923</v>
      </c>
      <c r="E364" t="s">
        <v>4133</v>
      </c>
      <c r="F364" t="s">
        <v>4125</v>
      </c>
    </row>
    <row r="365" spans="1:6">
      <c r="A365" t="s">
        <v>4494</v>
      </c>
      <c r="B365" t="s">
        <v>248</v>
      </c>
      <c r="C365" t="s">
        <v>63</v>
      </c>
      <c r="D365" s="1">
        <v>45975</v>
      </c>
      <c r="E365" t="s">
        <v>4135</v>
      </c>
      <c r="F365" t="s">
        <v>4139</v>
      </c>
    </row>
    <row r="366" spans="1:6">
      <c r="A366" t="s">
        <v>4495</v>
      </c>
      <c r="B366" t="s">
        <v>250</v>
      </c>
      <c r="C366" t="s">
        <v>53</v>
      </c>
      <c r="D366" s="1">
        <v>45712</v>
      </c>
      <c r="E366" t="s">
        <v>4133</v>
      </c>
      <c r="F366" t="s">
        <v>4139</v>
      </c>
    </row>
    <row r="367" spans="1:6">
      <c r="A367" t="s">
        <v>4496</v>
      </c>
      <c r="B367" t="s">
        <v>250</v>
      </c>
      <c r="C367" t="s">
        <v>53</v>
      </c>
      <c r="D367" s="1">
        <v>45711</v>
      </c>
      <c r="E367" t="s">
        <v>4127</v>
      </c>
      <c r="F367" t="s">
        <v>4137</v>
      </c>
    </row>
    <row r="368" spans="1:6">
      <c r="A368" t="s">
        <v>4497</v>
      </c>
      <c r="B368" t="s">
        <v>250</v>
      </c>
      <c r="C368" t="s">
        <v>53</v>
      </c>
      <c r="D368" s="1">
        <v>45729</v>
      </c>
      <c r="E368" t="s">
        <v>4124</v>
      </c>
      <c r="F368" t="s">
        <v>4125</v>
      </c>
    </row>
    <row r="369" spans="1:6">
      <c r="A369" t="s">
        <v>4498</v>
      </c>
      <c r="B369" t="s">
        <v>250</v>
      </c>
      <c r="C369" t="s">
        <v>53</v>
      </c>
      <c r="D369" s="1">
        <v>45716</v>
      </c>
      <c r="E369" t="s">
        <v>4133</v>
      </c>
      <c r="F369" t="s">
        <v>4139</v>
      </c>
    </row>
    <row r="370" spans="1:6">
      <c r="A370" t="s">
        <v>4499</v>
      </c>
      <c r="B370" t="s">
        <v>250</v>
      </c>
      <c r="C370" t="s">
        <v>53</v>
      </c>
      <c r="D370" s="1">
        <v>45709</v>
      </c>
      <c r="E370" t="s">
        <v>4135</v>
      </c>
      <c r="F370" t="s">
        <v>4125</v>
      </c>
    </row>
    <row r="371" spans="1:6">
      <c r="A371" t="s">
        <v>4500</v>
      </c>
      <c r="B371" t="s">
        <v>251</v>
      </c>
      <c r="C371" t="s">
        <v>91</v>
      </c>
      <c r="D371" s="1">
        <v>45848</v>
      </c>
      <c r="E371" t="s">
        <v>4124</v>
      </c>
      <c r="F371" t="s">
        <v>4137</v>
      </c>
    </row>
    <row r="372" spans="1:6">
      <c r="A372" t="s">
        <v>4501</v>
      </c>
      <c r="B372" t="s">
        <v>251</v>
      </c>
      <c r="C372" t="s">
        <v>91</v>
      </c>
      <c r="D372" s="1">
        <v>45870</v>
      </c>
      <c r="E372" t="s">
        <v>4127</v>
      </c>
      <c r="F372" t="s">
        <v>4137</v>
      </c>
    </row>
    <row r="373" spans="1:6">
      <c r="A373" t="s">
        <v>4502</v>
      </c>
      <c r="B373" t="s">
        <v>251</v>
      </c>
      <c r="C373" t="s">
        <v>91</v>
      </c>
      <c r="D373" s="1">
        <v>45871</v>
      </c>
      <c r="E373" t="s">
        <v>4124</v>
      </c>
      <c r="F373" t="s">
        <v>4125</v>
      </c>
    </row>
    <row r="374" spans="1:6">
      <c r="A374" t="s">
        <v>4503</v>
      </c>
      <c r="B374" t="s">
        <v>252</v>
      </c>
      <c r="C374" t="s">
        <v>46</v>
      </c>
      <c r="D374" s="1">
        <v>45737</v>
      </c>
      <c r="E374" t="s">
        <v>4129</v>
      </c>
      <c r="F374" t="s">
        <v>4125</v>
      </c>
    </row>
    <row r="375" spans="1:6">
      <c r="A375" t="s">
        <v>4504</v>
      </c>
      <c r="B375" t="s">
        <v>252</v>
      </c>
      <c r="C375" t="s">
        <v>46</v>
      </c>
      <c r="D375" s="1">
        <v>45732</v>
      </c>
      <c r="E375" t="s">
        <v>4135</v>
      </c>
      <c r="F375" t="s">
        <v>4125</v>
      </c>
    </row>
    <row r="376" spans="1:6">
      <c r="A376" t="s">
        <v>4505</v>
      </c>
      <c r="B376" t="s">
        <v>252</v>
      </c>
      <c r="C376" t="s">
        <v>46</v>
      </c>
      <c r="D376" s="1">
        <v>45731</v>
      </c>
      <c r="E376" t="s">
        <v>4127</v>
      </c>
      <c r="F376" t="s">
        <v>4125</v>
      </c>
    </row>
    <row r="377" spans="1:6">
      <c r="A377" t="s">
        <v>4506</v>
      </c>
      <c r="B377" t="s">
        <v>252</v>
      </c>
      <c r="C377" t="s">
        <v>46</v>
      </c>
      <c r="D377" s="1">
        <v>45725</v>
      </c>
      <c r="E377" t="s">
        <v>4135</v>
      </c>
      <c r="F377" t="s">
        <v>4137</v>
      </c>
    </row>
    <row r="378" spans="1:6">
      <c r="A378" t="s">
        <v>4507</v>
      </c>
      <c r="B378" t="s">
        <v>252</v>
      </c>
      <c r="C378" t="s">
        <v>46</v>
      </c>
      <c r="D378" s="1">
        <v>45739</v>
      </c>
      <c r="E378" t="s">
        <v>4124</v>
      </c>
      <c r="F378" t="s">
        <v>4139</v>
      </c>
    </row>
    <row r="379" spans="1:6">
      <c r="A379" t="s">
        <v>4508</v>
      </c>
      <c r="B379" t="s">
        <v>254</v>
      </c>
      <c r="C379" t="s">
        <v>59</v>
      </c>
      <c r="D379" s="1">
        <v>45714</v>
      </c>
      <c r="E379" t="s">
        <v>4129</v>
      </c>
      <c r="F379" t="s">
        <v>4125</v>
      </c>
    </row>
    <row r="380" spans="1:6">
      <c r="A380" t="s">
        <v>4509</v>
      </c>
      <c r="B380" t="s">
        <v>254</v>
      </c>
      <c r="C380" t="s">
        <v>59</v>
      </c>
      <c r="D380" s="1">
        <v>45725</v>
      </c>
      <c r="E380" t="s">
        <v>4129</v>
      </c>
      <c r="F380" t="s">
        <v>4139</v>
      </c>
    </row>
    <row r="381" spans="1:6">
      <c r="A381" t="s">
        <v>4510</v>
      </c>
      <c r="B381" t="s">
        <v>254</v>
      </c>
      <c r="C381" t="s">
        <v>59</v>
      </c>
      <c r="D381" s="1">
        <v>45708</v>
      </c>
      <c r="E381" t="s">
        <v>4135</v>
      </c>
      <c r="F381" t="s">
        <v>4137</v>
      </c>
    </row>
    <row r="382" spans="1:6">
      <c r="A382" t="s">
        <v>4511</v>
      </c>
      <c r="B382" t="s">
        <v>254</v>
      </c>
      <c r="C382" t="s">
        <v>59</v>
      </c>
      <c r="D382" s="1">
        <v>45703</v>
      </c>
      <c r="E382" t="s">
        <v>4124</v>
      </c>
      <c r="F382" t="s">
        <v>4139</v>
      </c>
    </row>
    <row r="383" spans="1:6">
      <c r="A383" t="s">
        <v>4512</v>
      </c>
      <c r="B383" t="s">
        <v>256</v>
      </c>
      <c r="C383" t="s">
        <v>63</v>
      </c>
      <c r="D383" s="1">
        <v>45687</v>
      </c>
      <c r="E383" t="s">
        <v>4124</v>
      </c>
      <c r="F383" t="s">
        <v>4137</v>
      </c>
    </row>
    <row r="384" spans="1:6">
      <c r="A384" t="s">
        <v>4513</v>
      </c>
      <c r="B384" t="s">
        <v>256</v>
      </c>
      <c r="C384" t="s">
        <v>63</v>
      </c>
      <c r="D384" s="1">
        <v>45692</v>
      </c>
      <c r="E384" t="s">
        <v>4127</v>
      </c>
      <c r="F384" t="s">
        <v>4137</v>
      </c>
    </row>
    <row r="385" spans="1:6">
      <c r="A385" t="s">
        <v>4514</v>
      </c>
      <c r="B385" t="s">
        <v>256</v>
      </c>
      <c r="C385" t="s">
        <v>63</v>
      </c>
      <c r="D385" s="1">
        <v>45686</v>
      </c>
      <c r="E385" t="s">
        <v>4129</v>
      </c>
      <c r="F385" t="s">
        <v>4139</v>
      </c>
    </row>
    <row r="386" spans="1:6">
      <c r="A386" t="s">
        <v>4515</v>
      </c>
      <c r="B386" t="s">
        <v>258</v>
      </c>
      <c r="C386" t="s">
        <v>32</v>
      </c>
      <c r="D386" s="1">
        <v>45879</v>
      </c>
      <c r="E386" t="s">
        <v>4124</v>
      </c>
      <c r="F386" t="s">
        <v>4137</v>
      </c>
    </row>
    <row r="387" spans="1:6">
      <c r="A387" t="s">
        <v>4516</v>
      </c>
      <c r="B387" t="s">
        <v>258</v>
      </c>
      <c r="C387" t="s">
        <v>32</v>
      </c>
      <c r="D387" s="1">
        <v>45867</v>
      </c>
      <c r="E387" t="s">
        <v>4124</v>
      </c>
      <c r="F387" t="s">
        <v>4125</v>
      </c>
    </row>
    <row r="388" spans="1:6">
      <c r="A388" t="s">
        <v>4517</v>
      </c>
      <c r="B388" t="s">
        <v>260</v>
      </c>
      <c r="C388" t="s">
        <v>27</v>
      </c>
      <c r="D388" s="1">
        <v>45929</v>
      </c>
      <c r="E388" t="s">
        <v>4129</v>
      </c>
      <c r="F388" t="s">
        <v>4139</v>
      </c>
    </row>
    <row r="389" spans="1:6">
      <c r="A389" t="s">
        <v>4518</v>
      </c>
      <c r="B389" t="s">
        <v>260</v>
      </c>
      <c r="C389" t="s">
        <v>27</v>
      </c>
      <c r="D389" s="1">
        <v>45922</v>
      </c>
      <c r="E389" t="s">
        <v>4127</v>
      </c>
      <c r="F389" t="s">
        <v>4137</v>
      </c>
    </row>
    <row r="390" spans="1:6">
      <c r="A390" t="s">
        <v>4519</v>
      </c>
      <c r="B390" t="s">
        <v>260</v>
      </c>
      <c r="C390" t="s">
        <v>27</v>
      </c>
      <c r="D390" s="1">
        <v>45870</v>
      </c>
      <c r="E390" t="s">
        <v>4135</v>
      </c>
      <c r="F390" t="s">
        <v>4137</v>
      </c>
    </row>
    <row r="391" spans="1:6">
      <c r="A391" t="s">
        <v>4520</v>
      </c>
      <c r="B391" t="s">
        <v>260</v>
      </c>
      <c r="C391" t="s">
        <v>27</v>
      </c>
      <c r="D391" s="1">
        <v>45906</v>
      </c>
      <c r="E391" t="s">
        <v>4129</v>
      </c>
      <c r="F391" t="s">
        <v>4125</v>
      </c>
    </row>
    <row r="392" spans="1:6">
      <c r="A392" t="s">
        <v>4521</v>
      </c>
      <c r="B392" t="s">
        <v>261</v>
      </c>
      <c r="C392" t="s">
        <v>91</v>
      </c>
      <c r="D392" s="1">
        <v>45924</v>
      </c>
      <c r="E392" t="s">
        <v>4129</v>
      </c>
      <c r="F392" t="s">
        <v>4137</v>
      </c>
    </row>
    <row r="393" spans="1:6">
      <c r="A393" t="s">
        <v>4522</v>
      </c>
      <c r="B393" t="s">
        <v>261</v>
      </c>
      <c r="C393" t="s">
        <v>91</v>
      </c>
      <c r="D393" s="1">
        <v>45895</v>
      </c>
      <c r="E393" t="s">
        <v>4133</v>
      </c>
      <c r="F393" t="s">
        <v>4139</v>
      </c>
    </row>
    <row r="394" spans="1:6">
      <c r="A394" t="s">
        <v>4523</v>
      </c>
      <c r="B394" t="s">
        <v>261</v>
      </c>
      <c r="C394" t="s">
        <v>91</v>
      </c>
      <c r="D394" s="1">
        <v>45920</v>
      </c>
      <c r="E394" t="s">
        <v>4135</v>
      </c>
      <c r="F394" t="s">
        <v>4125</v>
      </c>
    </row>
    <row r="395" spans="1:6">
      <c r="A395" t="s">
        <v>4524</v>
      </c>
      <c r="B395" t="s">
        <v>261</v>
      </c>
      <c r="C395" t="s">
        <v>91</v>
      </c>
      <c r="D395" s="1">
        <v>45915</v>
      </c>
      <c r="E395" t="s">
        <v>4133</v>
      </c>
      <c r="F395" t="s">
        <v>4137</v>
      </c>
    </row>
    <row r="396" spans="1:6">
      <c r="A396" t="s">
        <v>4525</v>
      </c>
      <c r="B396" t="s">
        <v>263</v>
      </c>
      <c r="C396" t="s">
        <v>126</v>
      </c>
      <c r="D396" s="1">
        <v>45725</v>
      </c>
      <c r="E396" t="s">
        <v>4124</v>
      </c>
      <c r="F396" t="s">
        <v>4139</v>
      </c>
    </row>
    <row r="397" spans="1:6">
      <c r="A397" t="s">
        <v>4526</v>
      </c>
      <c r="B397" t="s">
        <v>263</v>
      </c>
      <c r="C397" t="s">
        <v>126</v>
      </c>
      <c r="D397" s="1">
        <v>45759</v>
      </c>
      <c r="E397" t="s">
        <v>4129</v>
      </c>
      <c r="F397" t="s">
        <v>4139</v>
      </c>
    </row>
    <row r="398" spans="1:6">
      <c r="A398" t="s">
        <v>4527</v>
      </c>
      <c r="B398" t="s">
        <v>263</v>
      </c>
      <c r="C398" t="s">
        <v>126</v>
      </c>
      <c r="D398" s="1">
        <v>45768</v>
      </c>
      <c r="E398" t="s">
        <v>4124</v>
      </c>
      <c r="F398" t="s">
        <v>4137</v>
      </c>
    </row>
    <row r="399" spans="1:6">
      <c r="A399" t="s">
        <v>4528</v>
      </c>
      <c r="B399" t="s">
        <v>263</v>
      </c>
      <c r="C399" t="s">
        <v>126</v>
      </c>
      <c r="D399" s="1">
        <v>45761</v>
      </c>
      <c r="E399" t="s">
        <v>4129</v>
      </c>
      <c r="F399" t="s">
        <v>4125</v>
      </c>
    </row>
    <row r="400" spans="1:6">
      <c r="A400" t="s">
        <v>4529</v>
      </c>
      <c r="B400" t="s">
        <v>265</v>
      </c>
      <c r="C400" t="s">
        <v>70</v>
      </c>
      <c r="D400" s="1">
        <v>46003</v>
      </c>
      <c r="E400" t="s">
        <v>4135</v>
      </c>
      <c r="F400" t="s">
        <v>4125</v>
      </c>
    </row>
    <row r="401" spans="1:6">
      <c r="A401" t="s">
        <v>4530</v>
      </c>
      <c r="B401" t="s">
        <v>265</v>
      </c>
      <c r="C401" t="s">
        <v>70</v>
      </c>
      <c r="D401" s="1">
        <v>45945</v>
      </c>
      <c r="E401" t="s">
        <v>4133</v>
      </c>
      <c r="F401" t="s">
        <v>4137</v>
      </c>
    </row>
    <row r="402" spans="1:6">
      <c r="A402" t="s">
        <v>4531</v>
      </c>
      <c r="B402" t="s">
        <v>265</v>
      </c>
      <c r="C402" t="s">
        <v>70</v>
      </c>
      <c r="D402" s="1">
        <v>46005</v>
      </c>
      <c r="E402" t="s">
        <v>4129</v>
      </c>
      <c r="F402" t="s">
        <v>4137</v>
      </c>
    </row>
    <row r="403" spans="1:6">
      <c r="A403" t="s">
        <v>4532</v>
      </c>
      <c r="B403" t="s">
        <v>267</v>
      </c>
      <c r="C403" t="s">
        <v>36</v>
      </c>
      <c r="D403" s="1">
        <v>45997</v>
      </c>
      <c r="E403" t="s">
        <v>4135</v>
      </c>
      <c r="F403" t="s">
        <v>4139</v>
      </c>
    </row>
    <row r="404" spans="1:6">
      <c r="A404" t="s">
        <v>4533</v>
      </c>
      <c r="B404" t="s">
        <v>267</v>
      </c>
      <c r="C404" t="s">
        <v>36</v>
      </c>
      <c r="D404" s="1">
        <v>45995</v>
      </c>
      <c r="E404" t="s">
        <v>4129</v>
      </c>
      <c r="F404" t="s">
        <v>4125</v>
      </c>
    </row>
    <row r="405" spans="1:6">
      <c r="A405" t="s">
        <v>4534</v>
      </c>
      <c r="B405" t="s">
        <v>267</v>
      </c>
      <c r="C405" t="s">
        <v>36</v>
      </c>
      <c r="D405" s="1">
        <v>46001</v>
      </c>
      <c r="E405" t="s">
        <v>4127</v>
      </c>
      <c r="F405" t="s">
        <v>4125</v>
      </c>
    </row>
    <row r="406" spans="1:6">
      <c r="A406" t="s">
        <v>4535</v>
      </c>
      <c r="B406" t="s">
        <v>267</v>
      </c>
      <c r="C406" t="s">
        <v>36</v>
      </c>
      <c r="D406" s="1">
        <v>46004</v>
      </c>
      <c r="E406" t="s">
        <v>4127</v>
      </c>
      <c r="F406" t="s">
        <v>4125</v>
      </c>
    </row>
    <row r="407" spans="1:6">
      <c r="A407" t="s">
        <v>4536</v>
      </c>
      <c r="B407" t="s">
        <v>269</v>
      </c>
      <c r="C407" t="s">
        <v>75</v>
      </c>
      <c r="D407" s="1">
        <v>45767</v>
      </c>
      <c r="E407" t="s">
        <v>4127</v>
      </c>
      <c r="F407" t="s">
        <v>4125</v>
      </c>
    </row>
    <row r="408" spans="1:6">
      <c r="A408" t="s">
        <v>4537</v>
      </c>
      <c r="B408" t="s">
        <v>269</v>
      </c>
      <c r="C408" t="s">
        <v>75</v>
      </c>
      <c r="D408" s="1">
        <v>45790</v>
      </c>
      <c r="E408" t="s">
        <v>4129</v>
      </c>
      <c r="F408" t="s">
        <v>4125</v>
      </c>
    </row>
    <row r="409" spans="1:6">
      <c r="A409" t="s">
        <v>4538</v>
      </c>
      <c r="B409" t="s">
        <v>269</v>
      </c>
      <c r="C409" t="s">
        <v>75</v>
      </c>
      <c r="D409" s="1">
        <v>45802</v>
      </c>
      <c r="E409" t="s">
        <v>4124</v>
      </c>
      <c r="F409" t="s">
        <v>4125</v>
      </c>
    </row>
    <row r="410" spans="1:6">
      <c r="A410" t="s">
        <v>4539</v>
      </c>
      <c r="B410" t="s">
        <v>269</v>
      </c>
      <c r="C410" t="s">
        <v>75</v>
      </c>
      <c r="D410" s="1">
        <v>45794</v>
      </c>
      <c r="E410" t="s">
        <v>4127</v>
      </c>
      <c r="F410" t="s">
        <v>4137</v>
      </c>
    </row>
    <row r="411" spans="1:6">
      <c r="A411" t="s">
        <v>4540</v>
      </c>
      <c r="B411" t="s">
        <v>271</v>
      </c>
      <c r="C411" t="s">
        <v>56</v>
      </c>
      <c r="D411" s="1">
        <v>45736</v>
      </c>
      <c r="E411" t="s">
        <v>4135</v>
      </c>
      <c r="F411" t="s">
        <v>4137</v>
      </c>
    </row>
    <row r="412" spans="1:6">
      <c r="A412" t="s">
        <v>4541</v>
      </c>
      <c r="B412" t="s">
        <v>271</v>
      </c>
      <c r="C412" t="s">
        <v>56</v>
      </c>
      <c r="D412" s="1">
        <v>45733</v>
      </c>
      <c r="E412" t="s">
        <v>4127</v>
      </c>
      <c r="F412" t="s">
        <v>4139</v>
      </c>
    </row>
    <row r="413" spans="1:6">
      <c r="A413" t="s">
        <v>4542</v>
      </c>
      <c r="B413" t="s">
        <v>271</v>
      </c>
      <c r="C413" t="s">
        <v>56</v>
      </c>
      <c r="D413" s="1">
        <v>45713</v>
      </c>
      <c r="E413" t="s">
        <v>4127</v>
      </c>
      <c r="F413" t="s">
        <v>4139</v>
      </c>
    </row>
    <row r="414" spans="1:6">
      <c r="A414" t="s">
        <v>4543</v>
      </c>
      <c r="B414" t="s">
        <v>271</v>
      </c>
      <c r="C414" t="s">
        <v>56</v>
      </c>
      <c r="D414" s="1">
        <v>45736</v>
      </c>
      <c r="E414" t="s">
        <v>4129</v>
      </c>
      <c r="F414" t="s">
        <v>4139</v>
      </c>
    </row>
    <row r="415" spans="1:6">
      <c r="A415" t="s">
        <v>4544</v>
      </c>
      <c r="B415" t="s">
        <v>272</v>
      </c>
      <c r="C415" t="s">
        <v>27</v>
      </c>
      <c r="D415" s="1">
        <v>46005</v>
      </c>
      <c r="E415" t="s">
        <v>4127</v>
      </c>
      <c r="F415" t="s">
        <v>4125</v>
      </c>
    </row>
    <row r="416" spans="1:6">
      <c r="A416" t="s">
        <v>4545</v>
      </c>
      <c r="B416" t="s">
        <v>272</v>
      </c>
      <c r="C416" t="s">
        <v>27</v>
      </c>
      <c r="D416" s="1">
        <v>46015</v>
      </c>
      <c r="E416" t="s">
        <v>4133</v>
      </c>
      <c r="F416" t="s">
        <v>4137</v>
      </c>
    </row>
    <row r="417" spans="1:6">
      <c r="A417" t="s">
        <v>4546</v>
      </c>
      <c r="B417" t="s">
        <v>272</v>
      </c>
      <c r="C417" t="s">
        <v>27</v>
      </c>
      <c r="D417" s="1">
        <v>45997</v>
      </c>
      <c r="E417" t="s">
        <v>4124</v>
      </c>
      <c r="F417" t="s">
        <v>4125</v>
      </c>
    </row>
    <row r="418" spans="1:6">
      <c r="A418" t="s">
        <v>4547</v>
      </c>
      <c r="B418" t="s">
        <v>274</v>
      </c>
      <c r="C418" t="s">
        <v>27</v>
      </c>
      <c r="D418" s="1">
        <v>45676</v>
      </c>
      <c r="E418" t="s">
        <v>4127</v>
      </c>
      <c r="F418" t="s">
        <v>4137</v>
      </c>
    </row>
    <row r="419" spans="1:6">
      <c r="A419" t="s">
        <v>4548</v>
      </c>
      <c r="B419" t="s">
        <v>274</v>
      </c>
      <c r="C419" t="s">
        <v>27</v>
      </c>
      <c r="D419" s="1">
        <v>45675</v>
      </c>
      <c r="E419" t="s">
        <v>4133</v>
      </c>
      <c r="F419" t="s">
        <v>4139</v>
      </c>
    </row>
    <row r="420" spans="1:6">
      <c r="A420" t="s">
        <v>4549</v>
      </c>
      <c r="B420" t="s">
        <v>274</v>
      </c>
      <c r="C420" t="s">
        <v>27</v>
      </c>
      <c r="D420" s="1">
        <v>45675</v>
      </c>
      <c r="E420" t="s">
        <v>4129</v>
      </c>
      <c r="F420" t="s">
        <v>4139</v>
      </c>
    </row>
    <row r="421" spans="1:6">
      <c r="A421" t="s">
        <v>4550</v>
      </c>
      <c r="B421" t="s">
        <v>275</v>
      </c>
      <c r="C421" t="s">
        <v>32</v>
      </c>
      <c r="D421" s="1">
        <v>45814</v>
      </c>
      <c r="E421" t="s">
        <v>4135</v>
      </c>
      <c r="F421" t="s">
        <v>4139</v>
      </c>
    </row>
    <row r="422" spans="1:6">
      <c r="A422" t="s">
        <v>4551</v>
      </c>
      <c r="B422" t="s">
        <v>275</v>
      </c>
      <c r="C422" t="s">
        <v>32</v>
      </c>
      <c r="D422" s="1">
        <v>45804</v>
      </c>
      <c r="E422" t="s">
        <v>4127</v>
      </c>
      <c r="F422" t="s">
        <v>4125</v>
      </c>
    </row>
    <row r="423" spans="1:6">
      <c r="A423" t="s">
        <v>4552</v>
      </c>
      <c r="B423" t="s">
        <v>275</v>
      </c>
      <c r="C423" t="s">
        <v>32</v>
      </c>
      <c r="D423" s="1">
        <v>45801</v>
      </c>
      <c r="E423" t="s">
        <v>4129</v>
      </c>
      <c r="F423" t="s">
        <v>4125</v>
      </c>
    </row>
    <row r="424" spans="1:6">
      <c r="A424" t="s">
        <v>4553</v>
      </c>
      <c r="B424" t="s">
        <v>275</v>
      </c>
      <c r="C424" t="s">
        <v>32</v>
      </c>
      <c r="D424" s="1">
        <v>45809</v>
      </c>
      <c r="E424" t="s">
        <v>4124</v>
      </c>
      <c r="F424" t="s">
        <v>4125</v>
      </c>
    </row>
    <row r="425" spans="1:6">
      <c r="A425" t="s">
        <v>4554</v>
      </c>
      <c r="B425" t="s">
        <v>277</v>
      </c>
      <c r="C425" t="s">
        <v>46</v>
      </c>
      <c r="D425" s="1">
        <v>46021</v>
      </c>
      <c r="E425" t="s">
        <v>4129</v>
      </c>
      <c r="F425" t="s">
        <v>4125</v>
      </c>
    </row>
    <row r="426" spans="1:6">
      <c r="A426" t="s">
        <v>4555</v>
      </c>
      <c r="B426" t="s">
        <v>277</v>
      </c>
      <c r="C426" t="s">
        <v>46</v>
      </c>
      <c r="D426" s="1">
        <v>46021</v>
      </c>
      <c r="E426" t="s">
        <v>4133</v>
      </c>
      <c r="F426" t="s">
        <v>4137</v>
      </c>
    </row>
    <row r="427" spans="1:6">
      <c r="A427" t="s">
        <v>4556</v>
      </c>
      <c r="B427" t="s">
        <v>277</v>
      </c>
      <c r="C427" t="s">
        <v>46</v>
      </c>
      <c r="D427" s="1">
        <v>46020</v>
      </c>
      <c r="E427" t="s">
        <v>4135</v>
      </c>
      <c r="F427" t="s">
        <v>4125</v>
      </c>
    </row>
    <row r="428" spans="1:6">
      <c r="A428" t="s">
        <v>4557</v>
      </c>
      <c r="B428" t="s">
        <v>278</v>
      </c>
      <c r="C428" t="s">
        <v>40</v>
      </c>
      <c r="D428" s="1">
        <v>45852</v>
      </c>
      <c r="E428" t="s">
        <v>4124</v>
      </c>
      <c r="F428" t="s">
        <v>4139</v>
      </c>
    </row>
    <row r="429" spans="1:6">
      <c r="A429" t="s">
        <v>4558</v>
      </c>
      <c r="B429" t="s">
        <v>278</v>
      </c>
      <c r="C429" t="s">
        <v>40</v>
      </c>
      <c r="D429" s="1">
        <v>45839</v>
      </c>
      <c r="E429" t="s">
        <v>4133</v>
      </c>
      <c r="F429" t="s">
        <v>4125</v>
      </c>
    </row>
    <row r="430" spans="1:6">
      <c r="A430" t="s">
        <v>4559</v>
      </c>
      <c r="B430" t="s">
        <v>280</v>
      </c>
      <c r="C430" t="s">
        <v>32</v>
      </c>
      <c r="D430" s="1">
        <v>45778</v>
      </c>
      <c r="E430" t="s">
        <v>4133</v>
      </c>
      <c r="F430" t="s">
        <v>4137</v>
      </c>
    </row>
    <row r="431" spans="1:6">
      <c r="A431" t="s">
        <v>4560</v>
      </c>
      <c r="B431" t="s">
        <v>280</v>
      </c>
      <c r="C431" t="s">
        <v>32</v>
      </c>
      <c r="D431" s="1">
        <v>45740</v>
      </c>
      <c r="E431" t="s">
        <v>4127</v>
      </c>
      <c r="F431" t="s">
        <v>4125</v>
      </c>
    </row>
    <row r="432" spans="1:6">
      <c r="A432" t="s">
        <v>4561</v>
      </c>
      <c r="B432" t="s">
        <v>280</v>
      </c>
      <c r="C432" t="s">
        <v>32</v>
      </c>
      <c r="D432" s="1">
        <v>45726</v>
      </c>
      <c r="E432" t="s">
        <v>4133</v>
      </c>
      <c r="F432" t="s">
        <v>4139</v>
      </c>
    </row>
    <row r="433" spans="1:6">
      <c r="A433" t="s">
        <v>4562</v>
      </c>
      <c r="B433" t="s">
        <v>280</v>
      </c>
      <c r="C433" t="s">
        <v>32</v>
      </c>
      <c r="D433" s="1">
        <v>45784</v>
      </c>
      <c r="E433" t="s">
        <v>4129</v>
      </c>
      <c r="F433" t="s">
        <v>4139</v>
      </c>
    </row>
    <row r="434" spans="1:6">
      <c r="A434" t="s">
        <v>4563</v>
      </c>
      <c r="B434" t="s">
        <v>280</v>
      </c>
      <c r="C434" t="s">
        <v>32</v>
      </c>
      <c r="D434" s="1">
        <v>45724</v>
      </c>
      <c r="E434" t="s">
        <v>4135</v>
      </c>
      <c r="F434" t="s">
        <v>4125</v>
      </c>
    </row>
    <row r="435" spans="1:6">
      <c r="A435" t="s">
        <v>4564</v>
      </c>
      <c r="B435" t="s">
        <v>281</v>
      </c>
      <c r="C435" t="s">
        <v>59</v>
      </c>
      <c r="D435" s="1">
        <v>45756</v>
      </c>
      <c r="E435" t="s">
        <v>4127</v>
      </c>
      <c r="F435" t="s">
        <v>4139</v>
      </c>
    </row>
    <row r="436" spans="1:6">
      <c r="A436" t="s">
        <v>4565</v>
      </c>
      <c r="B436" t="s">
        <v>281</v>
      </c>
      <c r="C436" t="s">
        <v>59</v>
      </c>
      <c r="D436" s="1">
        <v>45716</v>
      </c>
      <c r="E436" t="s">
        <v>4133</v>
      </c>
      <c r="F436" t="s">
        <v>4139</v>
      </c>
    </row>
    <row r="437" spans="1:6">
      <c r="A437" t="s">
        <v>4566</v>
      </c>
      <c r="B437" t="s">
        <v>281</v>
      </c>
      <c r="C437" t="s">
        <v>59</v>
      </c>
      <c r="D437" s="1">
        <v>45722</v>
      </c>
      <c r="E437" t="s">
        <v>4127</v>
      </c>
      <c r="F437" t="s">
        <v>4125</v>
      </c>
    </row>
    <row r="438" spans="1:6">
      <c r="A438" t="s">
        <v>4567</v>
      </c>
      <c r="B438" t="s">
        <v>281</v>
      </c>
      <c r="C438" t="s">
        <v>59</v>
      </c>
      <c r="D438" s="1">
        <v>45715</v>
      </c>
      <c r="E438" t="s">
        <v>4129</v>
      </c>
      <c r="F438" t="s">
        <v>4139</v>
      </c>
    </row>
    <row r="439" spans="1:6">
      <c r="A439" t="s">
        <v>4568</v>
      </c>
      <c r="B439" t="s">
        <v>281</v>
      </c>
      <c r="C439" t="s">
        <v>59</v>
      </c>
      <c r="D439" s="1">
        <v>45769</v>
      </c>
      <c r="E439" t="s">
        <v>4127</v>
      </c>
      <c r="F439" t="s">
        <v>4137</v>
      </c>
    </row>
    <row r="440" spans="1:6">
      <c r="A440" t="s">
        <v>4569</v>
      </c>
      <c r="B440" t="s">
        <v>283</v>
      </c>
      <c r="C440" t="s">
        <v>32</v>
      </c>
      <c r="D440" s="1">
        <v>45927</v>
      </c>
      <c r="E440" t="s">
        <v>4129</v>
      </c>
      <c r="F440" t="s">
        <v>4139</v>
      </c>
    </row>
    <row r="441" spans="1:6">
      <c r="A441" t="s">
        <v>4570</v>
      </c>
      <c r="B441" t="s">
        <v>283</v>
      </c>
      <c r="C441" t="s">
        <v>32</v>
      </c>
      <c r="D441" s="1">
        <v>45923</v>
      </c>
      <c r="E441" t="s">
        <v>4133</v>
      </c>
      <c r="F441" t="s">
        <v>4137</v>
      </c>
    </row>
    <row r="442" spans="1:6">
      <c r="A442" t="s">
        <v>4571</v>
      </c>
      <c r="B442" t="s">
        <v>284</v>
      </c>
      <c r="C442" t="s">
        <v>46</v>
      </c>
      <c r="D442" s="1">
        <v>45830</v>
      </c>
      <c r="E442" t="s">
        <v>4124</v>
      </c>
      <c r="F442" t="s">
        <v>4125</v>
      </c>
    </row>
    <row r="443" spans="1:6">
      <c r="A443" t="s">
        <v>4572</v>
      </c>
      <c r="B443" t="s">
        <v>284</v>
      </c>
      <c r="C443" t="s">
        <v>46</v>
      </c>
      <c r="D443" s="1">
        <v>45807</v>
      </c>
      <c r="E443" t="s">
        <v>4124</v>
      </c>
      <c r="F443" t="s">
        <v>4139</v>
      </c>
    </row>
    <row r="444" spans="1:6">
      <c r="A444" t="s">
        <v>4573</v>
      </c>
      <c r="B444" t="s">
        <v>284</v>
      </c>
      <c r="C444" t="s">
        <v>46</v>
      </c>
      <c r="D444" s="1">
        <v>45840</v>
      </c>
      <c r="E444" t="s">
        <v>4135</v>
      </c>
      <c r="F444" t="s">
        <v>4139</v>
      </c>
    </row>
    <row r="445" spans="1:6">
      <c r="A445" t="s">
        <v>4574</v>
      </c>
      <c r="B445" t="s">
        <v>284</v>
      </c>
      <c r="C445" t="s">
        <v>46</v>
      </c>
      <c r="D445" s="1">
        <v>45831</v>
      </c>
      <c r="E445" t="s">
        <v>4129</v>
      </c>
      <c r="F445" t="s">
        <v>4137</v>
      </c>
    </row>
    <row r="446" spans="1:6">
      <c r="A446" t="s">
        <v>4575</v>
      </c>
      <c r="B446" t="s">
        <v>284</v>
      </c>
      <c r="C446" t="s">
        <v>46</v>
      </c>
      <c r="D446" s="1">
        <v>45846</v>
      </c>
      <c r="E446" t="s">
        <v>4135</v>
      </c>
      <c r="F446" t="s">
        <v>4137</v>
      </c>
    </row>
    <row r="447" spans="1:6">
      <c r="A447" t="s">
        <v>4576</v>
      </c>
      <c r="B447" t="s">
        <v>286</v>
      </c>
      <c r="C447" t="s">
        <v>91</v>
      </c>
      <c r="D447" s="1">
        <v>45731</v>
      </c>
      <c r="E447" t="s">
        <v>4129</v>
      </c>
      <c r="F447" t="s">
        <v>4139</v>
      </c>
    </row>
    <row r="448" spans="1:6">
      <c r="A448" t="s">
        <v>4577</v>
      </c>
      <c r="B448" t="s">
        <v>286</v>
      </c>
      <c r="C448" t="s">
        <v>91</v>
      </c>
      <c r="D448" s="1">
        <v>45702</v>
      </c>
      <c r="E448" t="s">
        <v>4135</v>
      </c>
      <c r="F448" t="s">
        <v>4125</v>
      </c>
    </row>
    <row r="449" spans="1:6">
      <c r="A449" t="s">
        <v>4578</v>
      </c>
      <c r="B449" t="s">
        <v>286</v>
      </c>
      <c r="C449" t="s">
        <v>91</v>
      </c>
      <c r="D449" s="1">
        <v>45707</v>
      </c>
      <c r="E449" t="s">
        <v>4135</v>
      </c>
      <c r="F449" t="s">
        <v>4137</v>
      </c>
    </row>
    <row r="450" spans="1:6">
      <c r="A450" t="s">
        <v>4579</v>
      </c>
      <c r="B450" t="s">
        <v>286</v>
      </c>
      <c r="C450" t="s">
        <v>91</v>
      </c>
      <c r="D450" s="1">
        <v>45728</v>
      </c>
      <c r="E450" t="s">
        <v>4135</v>
      </c>
      <c r="F450" t="s">
        <v>4139</v>
      </c>
    </row>
    <row r="451" spans="1:6">
      <c r="A451" t="s">
        <v>4580</v>
      </c>
      <c r="B451" t="s">
        <v>286</v>
      </c>
      <c r="C451" t="s">
        <v>91</v>
      </c>
      <c r="D451" s="1">
        <v>45686</v>
      </c>
      <c r="E451" t="s">
        <v>4135</v>
      </c>
      <c r="F451" t="s">
        <v>4125</v>
      </c>
    </row>
    <row r="452" spans="1:6">
      <c r="A452" t="s">
        <v>4581</v>
      </c>
      <c r="B452" t="s">
        <v>288</v>
      </c>
      <c r="C452" t="s">
        <v>75</v>
      </c>
      <c r="D452" s="1">
        <v>45753</v>
      </c>
      <c r="E452" t="s">
        <v>4133</v>
      </c>
      <c r="F452" t="s">
        <v>4137</v>
      </c>
    </row>
    <row r="453" spans="1:6">
      <c r="A453" t="s">
        <v>4582</v>
      </c>
      <c r="B453" t="s">
        <v>288</v>
      </c>
      <c r="C453" t="s">
        <v>75</v>
      </c>
      <c r="D453" s="1">
        <v>45728</v>
      </c>
      <c r="E453" t="s">
        <v>4135</v>
      </c>
      <c r="F453" t="s">
        <v>4125</v>
      </c>
    </row>
    <row r="454" spans="1:6">
      <c r="A454" t="s">
        <v>4583</v>
      </c>
      <c r="B454" t="s">
        <v>290</v>
      </c>
      <c r="C454" t="s">
        <v>91</v>
      </c>
      <c r="D454" s="1">
        <v>45860</v>
      </c>
      <c r="E454" t="s">
        <v>4124</v>
      </c>
      <c r="F454" t="s">
        <v>4137</v>
      </c>
    </row>
    <row r="455" spans="1:6">
      <c r="A455" t="s">
        <v>4584</v>
      </c>
      <c r="B455" t="s">
        <v>290</v>
      </c>
      <c r="C455" t="s">
        <v>91</v>
      </c>
      <c r="D455" s="1">
        <v>45861</v>
      </c>
      <c r="E455" t="s">
        <v>4129</v>
      </c>
      <c r="F455" t="s">
        <v>4125</v>
      </c>
    </row>
    <row r="456" spans="1:6">
      <c r="A456" t="s">
        <v>4585</v>
      </c>
      <c r="B456" t="s">
        <v>290</v>
      </c>
      <c r="C456" t="s">
        <v>91</v>
      </c>
      <c r="D456" s="1">
        <v>45859</v>
      </c>
      <c r="E456" t="s">
        <v>4129</v>
      </c>
      <c r="F456" t="s">
        <v>4139</v>
      </c>
    </row>
    <row r="457" spans="1:6">
      <c r="A457" t="s">
        <v>4586</v>
      </c>
      <c r="B457" t="s">
        <v>291</v>
      </c>
      <c r="C457" t="s">
        <v>16</v>
      </c>
      <c r="D457" s="1">
        <v>45841</v>
      </c>
      <c r="E457" t="s">
        <v>4124</v>
      </c>
      <c r="F457" t="s">
        <v>4137</v>
      </c>
    </row>
    <row r="458" spans="1:6">
      <c r="A458" t="s">
        <v>4587</v>
      </c>
      <c r="B458" t="s">
        <v>291</v>
      </c>
      <c r="C458" t="s">
        <v>16</v>
      </c>
      <c r="D458" s="1">
        <v>45845</v>
      </c>
      <c r="E458" t="s">
        <v>4127</v>
      </c>
      <c r="F458" t="s">
        <v>4139</v>
      </c>
    </row>
    <row r="459" spans="1:6">
      <c r="A459" t="s">
        <v>4588</v>
      </c>
      <c r="B459" t="s">
        <v>291</v>
      </c>
      <c r="C459" t="s">
        <v>16</v>
      </c>
      <c r="D459" s="1">
        <v>45840</v>
      </c>
      <c r="E459" t="s">
        <v>4127</v>
      </c>
      <c r="F459" t="s">
        <v>4137</v>
      </c>
    </row>
    <row r="460" spans="1:6">
      <c r="A460" t="s">
        <v>4589</v>
      </c>
      <c r="B460" t="s">
        <v>293</v>
      </c>
      <c r="C460" t="s">
        <v>40</v>
      </c>
      <c r="D460" s="1">
        <v>45831</v>
      </c>
      <c r="E460" t="s">
        <v>4135</v>
      </c>
      <c r="F460" t="s">
        <v>4137</v>
      </c>
    </row>
    <row r="461" spans="1:6">
      <c r="A461" t="s">
        <v>4590</v>
      </c>
      <c r="B461" t="s">
        <v>293</v>
      </c>
      <c r="C461" t="s">
        <v>40</v>
      </c>
      <c r="D461" s="1">
        <v>45834</v>
      </c>
      <c r="E461" t="s">
        <v>4133</v>
      </c>
      <c r="F461" t="s">
        <v>4125</v>
      </c>
    </row>
    <row r="462" spans="1:6">
      <c r="A462" t="s">
        <v>4591</v>
      </c>
      <c r="B462" t="s">
        <v>293</v>
      </c>
      <c r="C462" t="s">
        <v>40</v>
      </c>
      <c r="D462" s="1">
        <v>45816</v>
      </c>
      <c r="E462" t="s">
        <v>4133</v>
      </c>
      <c r="F462" t="s">
        <v>4125</v>
      </c>
    </row>
    <row r="463" spans="1:6">
      <c r="A463" t="s">
        <v>4592</v>
      </c>
      <c r="B463" t="s">
        <v>295</v>
      </c>
      <c r="C463" t="s">
        <v>63</v>
      </c>
      <c r="D463" s="1">
        <v>45973</v>
      </c>
      <c r="E463" t="s">
        <v>4127</v>
      </c>
      <c r="F463" t="s">
        <v>4137</v>
      </c>
    </row>
    <row r="464" spans="1:6">
      <c r="A464" t="s">
        <v>4593</v>
      </c>
      <c r="B464" t="s">
        <v>295</v>
      </c>
      <c r="C464" t="s">
        <v>63</v>
      </c>
      <c r="D464" s="1">
        <v>45982</v>
      </c>
      <c r="E464" t="s">
        <v>4129</v>
      </c>
      <c r="F464" t="s">
        <v>4125</v>
      </c>
    </row>
    <row r="465" spans="1:6">
      <c r="A465" t="s">
        <v>4594</v>
      </c>
      <c r="B465" t="s">
        <v>295</v>
      </c>
      <c r="C465" t="s">
        <v>63</v>
      </c>
      <c r="D465" s="1">
        <v>45991</v>
      </c>
      <c r="E465" t="s">
        <v>4135</v>
      </c>
      <c r="F465" t="s">
        <v>4137</v>
      </c>
    </row>
    <row r="466" spans="1:6">
      <c r="A466" t="s">
        <v>4595</v>
      </c>
      <c r="B466" t="s">
        <v>295</v>
      </c>
      <c r="C466" t="s">
        <v>63</v>
      </c>
      <c r="D466" s="1">
        <v>46018</v>
      </c>
      <c r="E466" t="s">
        <v>4129</v>
      </c>
      <c r="F466" t="s">
        <v>4139</v>
      </c>
    </row>
    <row r="467" spans="1:6">
      <c r="A467" t="s">
        <v>4596</v>
      </c>
      <c r="B467" t="s">
        <v>295</v>
      </c>
      <c r="C467" t="s">
        <v>63</v>
      </c>
      <c r="D467" s="1">
        <v>46004</v>
      </c>
      <c r="E467" t="s">
        <v>4127</v>
      </c>
      <c r="F467" t="s">
        <v>4125</v>
      </c>
    </row>
    <row r="468" spans="1:6">
      <c r="A468" t="s">
        <v>4597</v>
      </c>
      <c r="B468" t="s">
        <v>297</v>
      </c>
      <c r="C468" t="s">
        <v>168</v>
      </c>
      <c r="D468" s="1">
        <v>46008</v>
      </c>
      <c r="E468" t="s">
        <v>4129</v>
      </c>
      <c r="F468" t="s">
        <v>4125</v>
      </c>
    </row>
    <row r="469" spans="1:6">
      <c r="A469" t="s">
        <v>4598</v>
      </c>
      <c r="B469" t="s">
        <v>297</v>
      </c>
      <c r="C469" t="s">
        <v>168</v>
      </c>
      <c r="D469" s="1">
        <v>45981</v>
      </c>
      <c r="E469" t="s">
        <v>4124</v>
      </c>
      <c r="F469" t="s">
        <v>4137</v>
      </c>
    </row>
    <row r="470" spans="1:6">
      <c r="A470" t="s">
        <v>4599</v>
      </c>
      <c r="B470" t="s">
        <v>297</v>
      </c>
      <c r="C470" t="s">
        <v>168</v>
      </c>
      <c r="D470" s="1">
        <v>45974</v>
      </c>
      <c r="E470" t="s">
        <v>4135</v>
      </c>
      <c r="F470" t="s">
        <v>4137</v>
      </c>
    </row>
    <row r="471" spans="1:6">
      <c r="A471" t="s">
        <v>4600</v>
      </c>
      <c r="B471" t="s">
        <v>299</v>
      </c>
      <c r="C471" t="s">
        <v>40</v>
      </c>
      <c r="D471" s="1">
        <v>45876</v>
      </c>
      <c r="E471" t="s">
        <v>4133</v>
      </c>
      <c r="F471" t="s">
        <v>4139</v>
      </c>
    </row>
    <row r="472" spans="1:6">
      <c r="A472" t="s">
        <v>4601</v>
      </c>
      <c r="B472" t="s">
        <v>299</v>
      </c>
      <c r="C472" t="s">
        <v>40</v>
      </c>
      <c r="D472" s="1">
        <v>45867</v>
      </c>
      <c r="E472" t="s">
        <v>4133</v>
      </c>
      <c r="F472" t="s">
        <v>4125</v>
      </c>
    </row>
    <row r="473" spans="1:6">
      <c r="A473" t="s">
        <v>4602</v>
      </c>
      <c r="B473" t="s">
        <v>299</v>
      </c>
      <c r="C473" t="s">
        <v>40</v>
      </c>
      <c r="D473" s="1">
        <v>45880</v>
      </c>
      <c r="E473" t="s">
        <v>4127</v>
      </c>
      <c r="F473" t="s">
        <v>4125</v>
      </c>
    </row>
    <row r="474" spans="1:6">
      <c r="A474" t="s">
        <v>4603</v>
      </c>
      <c r="B474" t="s">
        <v>299</v>
      </c>
      <c r="C474" t="s">
        <v>40</v>
      </c>
      <c r="D474" s="1">
        <v>45863</v>
      </c>
      <c r="E474" t="s">
        <v>4129</v>
      </c>
      <c r="F474" t="s">
        <v>4125</v>
      </c>
    </row>
    <row r="475" spans="1:6">
      <c r="A475" t="s">
        <v>4604</v>
      </c>
      <c r="B475" t="s">
        <v>299</v>
      </c>
      <c r="C475" t="s">
        <v>40</v>
      </c>
      <c r="D475" s="1">
        <v>45858</v>
      </c>
      <c r="E475" t="s">
        <v>4124</v>
      </c>
      <c r="F475" t="s">
        <v>4125</v>
      </c>
    </row>
    <row r="476" spans="1:6">
      <c r="A476" t="s">
        <v>4605</v>
      </c>
      <c r="B476" t="s">
        <v>301</v>
      </c>
      <c r="C476" t="s">
        <v>63</v>
      </c>
      <c r="D476" s="1">
        <v>46008</v>
      </c>
      <c r="E476" t="s">
        <v>4124</v>
      </c>
      <c r="F476" t="s">
        <v>4137</v>
      </c>
    </row>
    <row r="477" spans="1:6">
      <c r="A477" t="s">
        <v>4606</v>
      </c>
      <c r="B477" t="s">
        <v>301</v>
      </c>
      <c r="C477" t="s">
        <v>63</v>
      </c>
      <c r="D477" s="1">
        <v>46003</v>
      </c>
      <c r="E477" t="s">
        <v>4124</v>
      </c>
      <c r="F477" t="s">
        <v>4137</v>
      </c>
    </row>
    <row r="478" spans="1:6">
      <c r="A478" t="s">
        <v>4607</v>
      </c>
      <c r="B478" t="s">
        <v>301</v>
      </c>
      <c r="C478" t="s">
        <v>63</v>
      </c>
      <c r="D478" s="1">
        <v>45992</v>
      </c>
      <c r="E478" t="s">
        <v>4129</v>
      </c>
      <c r="F478" t="s">
        <v>4139</v>
      </c>
    </row>
    <row r="479" spans="1:6">
      <c r="A479" t="s">
        <v>4608</v>
      </c>
      <c r="B479" t="s">
        <v>302</v>
      </c>
      <c r="C479" t="s">
        <v>75</v>
      </c>
      <c r="D479" s="1">
        <v>45735</v>
      </c>
      <c r="E479" t="s">
        <v>4133</v>
      </c>
      <c r="F479" t="s">
        <v>4125</v>
      </c>
    </row>
    <row r="480" spans="1:6">
      <c r="A480" t="s">
        <v>4609</v>
      </c>
      <c r="B480" t="s">
        <v>302</v>
      </c>
      <c r="C480" t="s">
        <v>75</v>
      </c>
      <c r="D480" s="1">
        <v>45711</v>
      </c>
      <c r="E480" t="s">
        <v>4124</v>
      </c>
      <c r="F480" t="s">
        <v>4137</v>
      </c>
    </row>
    <row r="481" spans="1:6">
      <c r="A481" t="s">
        <v>4610</v>
      </c>
      <c r="B481" t="s">
        <v>302</v>
      </c>
      <c r="C481" t="s">
        <v>75</v>
      </c>
      <c r="D481" s="1">
        <v>45704</v>
      </c>
      <c r="E481" t="s">
        <v>4124</v>
      </c>
      <c r="F481" t="s">
        <v>4125</v>
      </c>
    </row>
    <row r="482" spans="1:6">
      <c r="A482" t="s">
        <v>4611</v>
      </c>
      <c r="B482" t="s">
        <v>302</v>
      </c>
      <c r="C482" t="s">
        <v>75</v>
      </c>
      <c r="D482" s="1">
        <v>45727</v>
      </c>
      <c r="E482" t="s">
        <v>4124</v>
      </c>
      <c r="F482" t="s">
        <v>4139</v>
      </c>
    </row>
    <row r="483" spans="1:6">
      <c r="A483" t="s">
        <v>4612</v>
      </c>
      <c r="B483" t="s">
        <v>303</v>
      </c>
      <c r="C483" t="s">
        <v>36</v>
      </c>
      <c r="D483" s="1">
        <v>45689</v>
      </c>
      <c r="E483" t="s">
        <v>4129</v>
      </c>
      <c r="F483" t="s">
        <v>4139</v>
      </c>
    </row>
    <row r="484" spans="1:6">
      <c r="A484" t="s">
        <v>4613</v>
      </c>
      <c r="B484" t="s">
        <v>303</v>
      </c>
      <c r="C484" t="s">
        <v>36</v>
      </c>
      <c r="D484" s="1">
        <v>45687</v>
      </c>
      <c r="E484" t="s">
        <v>4135</v>
      </c>
      <c r="F484" t="s">
        <v>4139</v>
      </c>
    </row>
    <row r="485" spans="1:6">
      <c r="A485" t="s">
        <v>4614</v>
      </c>
      <c r="B485" t="s">
        <v>303</v>
      </c>
      <c r="C485" t="s">
        <v>36</v>
      </c>
      <c r="D485" s="1">
        <v>45674</v>
      </c>
      <c r="E485" t="s">
        <v>4127</v>
      </c>
      <c r="F485" t="s">
        <v>4139</v>
      </c>
    </row>
    <row r="486" spans="1:6">
      <c r="A486" t="s">
        <v>4615</v>
      </c>
      <c r="B486" t="s">
        <v>305</v>
      </c>
      <c r="C486" t="s">
        <v>56</v>
      </c>
      <c r="D486" s="1">
        <v>45976</v>
      </c>
      <c r="E486" t="s">
        <v>4135</v>
      </c>
      <c r="F486" t="s">
        <v>4139</v>
      </c>
    </row>
    <row r="487" spans="1:6">
      <c r="A487" t="s">
        <v>4616</v>
      </c>
      <c r="B487" t="s">
        <v>305</v>
      </c>
      <c r="C487" t="s">
        <v>56</v>
      </c>
      <c r="D487" s="1">
        <v>45972</v>
      </c>
      <c r="E487" t="s">
        <v>4129</v>
      </c>
      <c r="F487" t="s">
        <v>4139</v>
      </c>
    </row>
    <row r="488" spans="1:6">
      <c r="A488" t="s">
        <v>4617</v>
      </c>
      <c r="B488" t="s">
        <v>305</v>
      </c>
      <c r="C488" t="s">
        <v>56</v>
      </c>
      <c r="D488" s="1">
        <v>45983</v>
      </c>
      <c r="E488" t="s">
        <v>4135</v>
      </c>
      <c r="F488" t="s">
        <v>4125</v>
      </c>
    </row>
    <row r="489" spans="1:6">
      <c r="A489" t="s">
        <v>4618</v>
      </c>
      <c r="B489" t="s">
        <v>305</v>
      </c>
      <c r="C489" t="s">
        <v>56</v>
      </c>
      <c r="D489" s="1">
        <v>45988</v>
      </c>
      <c r="E489" t="s">
        <v>4129</v>
      </c>
      <c r="F489" t="s">
        <v>4137</v>
      </c>
    </row>
    <row r="490" spans="1:6">
      <c r="A490" t="s">
        <v>4619</v>
      </c>
      <c r="B490" t="s">
        <v>305</v>
      </c>
      <c r="C490" t="s">
        <v>56</v>
      </c>
      <c r="D490" s="1">
        <v>45956</v>
      </c>
      <c r="E490" t="s">
        <v>4127</v>
      </c>
      <c r="F490" t="s">
        <v>4137</v>
      </c>
    </row>
    <row r="491" spans="1:6">
      <c r="A491" t="s">
        <v>4620</v>
      </c>
      <c r="B491" t="s">
        <v>307</v>
      </c>
      <c r="C491" t="s">
        <v>70</v>
      </c>
      <c r="D491" s="1">
        <v>45779</v>
      </c>
      <c r="E491" t="s">
        <v>4129</v>
      </c>
      <c r="F491" t="s">
        <v>4139</v>
      </c>
    </row>
    <row r="492" spans="1:6">
      <c r="A492" t="s">
        <v>4621</v>
      </c>
      <c r="B492" t="s">
        <v>307</v>
      </c>
      <c r="C492" t="s">
        <v>70</v>
      </c>
      <c r="D492" s="1">
        <v>45780</v>
      </c>
      <c r="E492" t="s">
        <v>4124</v>
      </c>
      <c r="F492" t="s">
        <v>4125</v>
      </c>
    </row>
    <row r="493" spans="1:6">
      <c r="A493" t="s">
        <v>4622</v>
      </c>
      <c r="B493" t="s">
        <v>307</v>
      </c>
      <c r="C493" t="s">
        <v>70</v>
      </c>
      <c r="D493" s="1">
        <v>45794</v>
      </c>
      <c r="E493" t="s">
        <v>4133</v>
      </c>
      <c r="F493" t="s">
        <v>4125</v>
      </c>
    </row>
    <row r="494" spans="1:6">
      <c r="A494" t="s">
        <v>4623</v>
      </c>
      <c r="B494" t="s">
        <v>307</v>
      </c>
      <c r="C494" t="s">
        <v>70</v>
      </c>
      <c r="D494" s="1">
        <v>45791</v>
      </c>
      <c r="E494" t="s">
        <v>4133</v>
      </c>
      <c r="F494" t="s">
        <v>4139</v>
      </c>
    </row>
    <row r="495" spans="1:6">
      <c r="A495" t="s">
        <v>4624</v>
      </c>
      <c r="B495" t="s">
        <v>307</v>
      </c>
      <c r="C495" t="s">
        <v>70</v>
      </c>
      <c r="D495" s="1">
        <v>45790</v>
      </c>
      <c r="E495" t="s">
        <v>4135</v>
      </c>
      <c r="F495" t="s">
        <v>4125</v>
      </c>
    </row>
    <row r="496" spans="1:6">
      <c r="A496" t="s">
        <v>4625</v>
      </c>
      <c r="B496" t="s">
        <v>309</v>
      </c>
      <c r="C496" t="s">
        <v>36</v>
      </c>
      <c r="D496" s="1">
        <v>45930</v>
      </c>
      <c r="E496" t="s">
        <v>4129</v>
      </c>
      <c r="F496" t="s">
        <v>4125</v>
      </c>
    </row>
    <row r="497" spans="1:6">
      <c r="A497" t="s">
        <v>4626</v>
      </c>
      <c r="B497" t="s">
        <v>309</v>
      </c>
      <c r="C497" t="s">
        <v>36</v>
      </c>
      <c r="D497" s="1">
        <v>45937</v>
      </c>
      <c r="E497" t="s">
        <v>4129</v>
      </c>
      <c r="F497" t="s">
        <v>4139</v>
      </c>
    </row>
    <row r="498" spans="1:6">
      <c r="A498" t="s">
        <v>4627</v>
      </c>
      <c r="B498" t="s">
        <v>309</v>
      </c>
      <c r="C498" t="s">
        <v>36</v>
      </c>
      <c r="D498" s="1">
        <v>45931</v>
      </c>
      <c r="E498" t="s">
        <v>4135</v>
      </c>
      <c r="F498" t="s">
        <v>4137</v>
      </c>
    </row>
    <row r="499" spans="1:6">
      <c r="A499" t="s">
        <v>4628</v>
      </c>
      <c r="B499" t="s">
        <v>309</v>
      </c>
      <c r="C499" t="s">
        <v>36</v>
      </c>
      <c r="D499" s="1">
        <v>45932</v>
      </c>
      <c r="E499" t="s">
        <v>4135</v>
      </c>
      <c r="F499" t="s">
        <v>4139</v>
      </c>
    </row>
    <row r="500" spans="1:6">
      <c r="A500" t="s">
        <v>4629</v>
      </c>
      <c r="B500" t="s">
        <v>309</v>
      </c>
      <c r="C500" t="s">
        <v>36</v>
      </c>
      <c r="D500" s="1">
        <v>45929</v>
      </c>
      <c r="E500" t="s">
        <v>4129</v>
      </c>
      <c r="F500" t="s">
        <v>4125</v>
      </c>
    </row>
    <row r="501" spans="1:6">
      <c r="A501" t="s">
        <v>4630</v>
      </c>
      <c r="B501" t="s">
        <v>311</v>
      </c>
      <c r="C501" t="s">
        <v>78</v>
      </c>
      <c r="D501" s="1">
        <v>45666</v>
      </c>
      <c r="E501" t="s">
        <v>4135</v>
      </c>
      <c r="F501" t="s">
        <v>4125</v>
      </c>
    </row>
    <row r="502" spans="1:6">
      <c r="A502" t="s">
        <v>4631</v>
      </c>
      <c r="B502" t="s">
        <v>311</v>
      </c>
      <c r="C502" t="s">
        <v>78</v>
      </c>
      <c r="D502" s="1">
        <v>45665</v>
      </c>
      <c r="E502" t="s">
        <v>4124</v>
      </c>
      <c r="F502" t="s">
        <v>4137</v>
      </c>
    </row>
    <row r="503" spans="1:6">
      <c r="A503" t="s">
        <v>4632</v>
      </c>
      <c r="B503" t="s">
        <v>313</v>
      </c>
      <c r="C503" t="s">
        <v>22</v>
      </c>
      <c r="D503" s="1">
        <v>46016</v>
      </c>
      <c r="E503" t="s">
        <v>4135</v>
      </c>
      <c r="F503" t="s">
        <v>4137</v>
      </c>
    </row>
    <row r="504" spans="1:6">
      <c r="A504" t="s">
        <v>4633</v>
      </c>
      <c r="B504" t="s">
        <v>313</v>
      </c>
      <c r="C504" t="s">
        <v>22</v>
      </c>
      <c r="D504" s="1">
        <v>46021</v>
      </c>
      <c r="E504" t="s">
        <v>4135</v>
      </c>
      <c r="F504" t="s">
        <v>4137</v>
      </c>
    </row>
    <row r="505" spans="1:6">
      <c r="A505" t="s">
        <v>4634</v>
      </c>
      <c r="B505" t="s">
        <v>313</v>
      </c>
      <c r="C505" t="s">
        <v>22</v>
      </c>
      <c r="D505" s="1">
        <v>46021</v>
      </c>
      <c r="E505" t="s">
        <v>4127</v>
      </c>
      <c r="F505" t="s">
        <v>4137</v>
      </c>
    </row>
    <row r="506" spans="1:6">
      <c r="A506" t="s">
        <v>4635</v>
      </c>
      <c r="B506" t="s">
        <v>313</v>
      </c>
      <c r="C506" t="s">
        <v>22</v>
      </c>
      <c r="D506" s="1">
        <v>46013</v>
      </c>
      <c r="E506" t="s">
        <v>4124</v>
      </c>
      <c r="F506" t="s">
        <v>4125</v>
      </c>
    </row>
    <row r="507" spans="1:6">
      <c r="A507" t="s">
        <v>4636</v>
      </c>
      <c r="B507" t="s">
        <v>314</v>
      </c>
      <c r="C507" t="s">
        <v>27</v>
      </c>
      <c r="D507" s="1">
        <v>45780</v>
      </c>
      <c r="E507" t="s">
        <v>4124</v>
      </c>
      <c r="F507" t="s">
        <v>4125</v>
      </c>
    </row>
    <row r="508" spans="1:6">
      <c r="A508" t="s">
        <v>4637</v>
      </c>
      <c r="B508" t="s">
        <v>314</v>
      </c>
      <c r="C508" t="s">
        <v>27</v>
      </c>
      <c r="D508" s="1">
        <v>45775</v>
      </c>
      <c r="E508" t="s">
        <v>4133</v>
      </c>
      <c r="F508" t="s">
        <v>4139</v>
      </c>
    </row>
    <row r="509" spans="1:6">
      <c r="A509" t="s">
        <v>4638</v>
      </c>
      <c r="B509" t="s">
        <v>315</v>
      </c>
      <c r="C509" t="s">
        <v>32</v>
      </c>
      <c r="D509" s="1">
        <v>45728</v>
      </c>
      <c r="E509" t="s">
        <v>4129</v>
      </c>
      <c r="F509" t="s">
        <v>4125</v>
      </c>
    </row>
    <row r="510" spans="1:6">
      <c r="A510" t="s">
        <v>4639</v>
      </c>
      <c r="B510" t="s">
        <v>315</v>
      </c>
      <c r="C510" t="s">
        <v>32</v>
      </c>
      <c r="D510" s="1">
        <v>45736</v>
      </c>
      <c r="E510" t="s">
        <v>4127</v>
      </c>
      <c r="F510" t="s">
        <v>4125</v>
      </c>
    </row>
    <row r="511" spans="1:6">
      <c r="A511" t="s">
        <v>4640</v>
      </c>
      <c r="B511" t="s">
        <v>315</v>
      </c>
      <c r="C511" t="s">
        <v>32</v>
      </c>
      <c r="D511" s="1">
        <v>45706</v>
      </c>
      <c r="E511" t="s">
        <v>4135</v>
      </c>
      <c r="F511" t="s">
        <v>4125</v>
      </c>
    </row>
    <row r="512" spans="1:6">
      <c r="A512" t="s">
        <v>4641</v>
      </c>
      <c r="B512" t="s">
        <v>315</v>
      </c>
      <c r="C512" t="s">
        <v>32</v>
      </c>
      <c r="D512" s="1">
        <v>45734</v>
      </c>
      <c r="E512" t="s">
        <v>4124</v>
      </c>
      <c r="F512" t="s">
        <v>4139</v>
      </c>
    </row>
    <row r="513" spans="1:6">
      <c r="A513" t="s">
        <v>4642</v>
      </c>
      <c r="B513" t="s">
        <v>315</v>
      </c>
      <c r="C513" t="s">
        <v>32</v>
      </c>
      <c r="D513" s="1">
        <v>45715</v>
      </c>
      <c r="E513" t="s">
        <v>4129</v>
      </c>
      <c r="F513" t="s">
        <v>4137</v>
      </c>
    </row>
    <row r="514" spans="1:6">
      <c r="A514" t="s">
        <v>4643</v>
      </c>
      <c r="B514" t="s">
        <v>317</v>
      </c>
      <c r="C514" t="s">
        <v>63</v>
      </c>
      <c r="D514" s="1">
        <v>45919</v>
      </c>
      <c r="E514" t="s">
        <v>4135</v>
      </c>
      <c r="F514" t="s">
        <v>4139</v>
      </c>
    </row>
    <row r="515" spans="1:6">
      <c r="A515" t="s">
        <v>4644</v>
      </c>
      <c r="B515" t="s">
        <v>317</v>
      </c>
      <c r="C515" t="s">
        <v>63</v>
      </c>
      <c r="D515" s="1">
        <v>45936</v>
      </c>
      <c r="E515" t="s">
        <v>4124</v>
      </c>
      <c r="F515" t="s">
        <v>4137</v>
      </c>
    </row>
    <row r="516" spans="1:6">
      <c r="A516" t="s">
        <v>4645</v>
      </c>
      <c r="B516" t="s">
        <v>317</v>
      </c>
      <c r="C516" t="s">
        <v>63</v>
      </c>
      <c r="D516" s="1">
        <v>45944</v>
      </c>
      <c r="E516" t="s">
        <v>4124</v>
      </c>
      <c r="F516" t="s">
        <v>4125</v>
      </c>
    </row>
    <row r="517" spans="1:6">
      <c r="A517" t="s">
        <v>4646</v>
      </c>
      <c r="B517" t="s">
        <v>319</v>
      </c>
      <c r="C517" t="s">
        <v>27</v>
      </c>
      <c r="D517" s="1">
        <v>46020</v>
      </c>
      <c r="E517" t="s">
        <v>4135</v>
      </c>
      <c r="F517" t="s">
        <v>4125</v>
      </c>
    </row>
    <row r="518" spans="1:6">
      <c r="A518" t="s">
        <v>4647</v>
      </c>
      <c r="B518" t="s">
        <v>319</v>
      </c>
      <c r="C518" t="s">
        <v>27</v>
      </c>
      <c r="D518" s="1">
        <v>46019</v>
      </c>
      <c r="E518" t="s">
        <v>4124</v>
      </c>
      <c r="F518" t="s">
        <v>4137</v>
      </c>
    </row>
    <row r="519" spans="1:6">
      <c r="A519" t="s">
        <v>4648</v>
      </c>
      <c r="B519" t="s">
        <v>319</v>
      </c>
      <c r="C519" t="s">
        <v>27</v>
      </c>
      <c r="D519" s="1">
        <v>46022</v>
      </c>
      <c r="E519" t="s">
        <v>4133</v>
      </c>
      <c r="F519" t="s">
        <v>4137</v>
      </c>
    </row>
    <row r="520" spans="1:6">
      <c r="A520" t="s">
        <v>4649</v>
      </c>
      <c r="B520" t="s">
        <v>319</v>
      </c>
      <c r="C520" t="s">
        <v>27</v>
      </c>
      <c r="D520" s="1">
        <v>46019</v>
      </c>
      <c r="E520" t="s">
        <v>4124</v>
      </c>
      <c r="F520" t="s">
        <v>4125</v>
      </c>
    </row>
    <row r="521" spans="1:6">
      <c r="A521" t="s">
        <v>4650</v>
      </c>
      <c r="B521" t="s">
        <v>321</v>
      </c>
      <c r="C521" t="s">
        <v>70</v>
      </c>
      <c r="D521" s="1">
        <v>45927</v>
      </c>
      <c r="E521" t="s">
        <v>4129</v>
      </c>
      <c r="F521" t="s">
        <v>4137</v>
      </c>
    </row>
    <row r="522" spans="1:6">
      <c r="A522" t="s">
        <v>4651</v>
      </c>
      <c r="B522" t="s">
        <v>321</v>
      </c>
      <c r="C522" t="s">
        <v>70</v>
      </c>
      <c r="D522" s="1">
        <v>45922</v>
      </c>
      <c r="E522" t="s">
        <v>4127</v>
      </c>
      <c r="F522" t="s">
        <v>4137</v>
      </c>
    </row>
    <row r="523" spans="1:6">
      <c r="A523" t="s">
        <v>4652</v>
      </c>
      <c r="B523" t="s">
        <v>321</v>
      </c>
      <c r="C523" t="s">
        <v>70</v>
      </c>
      <c r="D523" s="1">
        <v>45936</v>
      </c>
      <c r="E523" t="s">
        <v>4124</v>
      </c>
      <c r="F523" t="s">
        <v>4125</v>
      </c>
    </row>
    <row r="524" spans="1:6">
      <c r="A524" t="s">
        <v>4653</v>
      </c>
      <c r="B524" t="s">
        <v>321</v>
      </c>
      <c r="C524" t="s">
        <v>70</v>
      </c>
      <c r="D524" s="1">
        <v>45915</v>
      </c>
      <c r="E524" t="s">
        <v>4124</v>
      </c>
      <c r="F524" t="s">
        <v>4139</v>
      </c>
    </row>
    <row r="525" spans="1:6">
      <c r="A525" t="s">
        <v>4654</v>
      </c>
      <c r="B525" t="s">
        <v>321</v>
      </c>
      <c r="C525" t="s">
        <v>70</v>
      </c>
      <c r="D525" s="1">
        <v>45923</v>
      </c>
      <c r="E525" t="s">
        <v>4133</v>
      </c>
      <c r="F525" t="s">
        <v>4137</v>
      </c>
    </row>
    <row r="526" spans="1:6">
      <c r="A526" t="s">
        <v>4655</v>
      </c>
      <c r="B526" t="s">
        <v>322</v>
      </c>
      <c r="C526" t="s">
        <v>78</v>
      </c>
      <c r="D526" s="1">
        <v>45837</v>
      </c>
      <c r="E526" t="s">
        <v>4133</v>
      </c>
      <c r="F526" t="s">
        <v>4137</v>
      </c>
    </row>
    <row r="527" spans="1:6">
      <c r="A527" t="s">
        <v>4656</v>
      </c>
      <c r="B527" t="s">
        <v>322</v>
      </c>
      <c r="C527" t="s">
        <v>78</v>
      </c>
      <c r="D527" s="1">
        <v>45862</v>
      </c>
      <c r="E527" t="s">
        <v>4127</v>
      </c>
      <c r="F527" t="s">
        <v>4139</v>
      </c>
    </row>
    <row r="528" spans="1:6">
      <c r="A528" t="s">
        <v>4657</v>
      </c>
      <c r="B528" t="s">
        <v>322</v>
      </c>
      <c r="C528" t="s">
        <v>78</v>
      </c>
      <c r="D528" s="1">
        <v>45854</v>
      </c>
      <c r="E528" t="s">
        <v>4135</v>
      </c>
      <c r="F528" t="s">
        <v>4137</v>
      </c>
    </row>
    <row r="529" spans="1:6">
      <c r="A529" t="s">
        <v>4658</v>
      </c>
      <c r="B529" t="s">
        <v>323</v>
      </c>
      <c r="C529" t="s">
        <v>75</v>
      </c>
      <c r="D529" s="1">
        <v>45967</v>
      </c>
      <c r="E529" t="s">
        <v>4135</v>
      </c>
      <c r="F529" t="s">
        <v>4139</v>
      </c>
    </row>
    <row r="530" spans="1:6">
      <c r="A530" t="s">
        <v>4659</v>
      </c>
      <c r="B530" t="s">
        <v>323</v>
      </c>
      <c r="C530" t="s">
        <v>75</v>
      </c>
      <c r="D530" s="1">
        <v>45963</v>
      </c>
      <c r="E530" t="s">
        <v>4135</v>
      </c>
      <c r="F530" t="s">
        <v>4125</v>
      </c>
    </row>
    <row r="531" spans="1:6">
      <c r="A531" t="s">
        <v>4660</v>
      </c>
      <c r="B531" t="s">
        <v>323</v>
      </c>
      <c r="C531" t="s">
        <v>75</v>
      </c>
      <c r="D531" s="1">
        <v>45973</v>
      </c>
      <c r="E531" t="s">
        <v>4135</v>
      </c>
      <c r="F531" t="s">
        <v>4139</v>
      </c>
    </row>
    <row r="532" spans="1:6">
      <c r="A532" t="s">
        <v>4661</v>
      </c>
      <c r="B532" t="s">
        <v>324</v>
      </c>
      <c r="C532" t="s">
        <v>32</v>
      </c>
      <c r="D532" s="1">
        <v>46003</v>
      </c>
      <c r="E532" t="s">
        <v>4129</v>
      </c>
      <c r="F532" t="s">
        <v>4137</v>
      </c>
    </row>
    <row r="533" spans="1:6">
      <c r="A533" t="s">
        <v>4662</v>
      </c>
      <c r="B533" t="s">
        <v>324</v>
      </c>
      <c r="C533" t="s">
        <v>32</v>
      </c>
      <c r="D533" s="1">
        <v>46003</v>
      </c>
      <c r="E533" t="s">
        <v>4135</v>
      </c>
      <c r="F533" t="s">
        <v>4125</v>
      </c>
    </row>
    <row r="534" spans="1:6">
      <c r="A534" t="s">
        <v>4663</v>
      </c>
      <c r="B534" t="s">
        <v>324</v>
      </c>
      <c r="C534" t="s">
        <v>32</v>
      </c>
      <c r="D534" s="1">
        <v>45989</v>
      </c>
      <c r="E534" t="s">
        <v>4124</v>
      </c>
      <c r="F534" t="s">
        <v>4139</v>
      </c>
    </row>
    <row r="535" spans="1:6">
      <c r="A535" t="s">
        <v>4664</v>
      </c>
      <c r="B535" t="s">
        <v>324</v>
      </c>
      <c r="C535" t="s">
        <v>32</v>
      </c>
      <c r="D535" s="1">
        <v>46020</v>
      </c>
      <c r="E535" t="s">
        <v>4129</v>
      </c>
      <c r="F535" t="s">
        <v>4139</v>
      </c>
    </row>
    <row r="536" spans="1:6">
      <c r="A536" t="s">
        <v>4665</v>
      </c>
      <c r="B536" t="s">
        <v>326</v>
      </c>
      <c r="C536" t="s">
        <v>59</v>
      </c>
      <c r="D536" s="1">
        <v>45909</v>
      </c>
      <c r="E536" t="s">
        <v>4133</v>
      </c>
      <c r="F536" t="s">
        <v>4125</v>
      </c>
    </row>
    <row r="537" spans="1:6">
      <c r="A537" t="s">
        <v>4666</v>
      </c>
      <c r="B537" t="s">
        <v>326</v>
      </c>
      <c r="C537" t="s">
        <v>59</v>
      </c>
      <c r="D537" s="1">
        <v>45910</v>
      </c>
      <c r="E537" t="s">
        <v>4124</v>
      </c>
      <c r="F537" t="s">
        <v>4137</v>
      </c>
    </row>
    <row r="538" spans="1:6">
      <c r="A538" t="s">
        <v>4667</v>
      </c>
      <c r="B538" t="s">
        <v>326</v>
      </c>
      <c r="C538" t="s">
        <v>59</v>
      </c>
      <c r="D538" s="1">
        <v>45913</v>
      </c>
      <c r="E538" t="s">
        <v>4133</v>
      </c>
      <c r="F538" t="s">
        <v>4139</v>
      </c>
    </row>
    <row r="539" spans="1:6">
      <c r="A539" t="s">
        <v>4668</v>
      </c>
      <c r="B539" t="s">
        <v>328</v>
      </c>
      <c r="C539" t="s">
        <v>36</v>
      </c>
      <c r="D539" s="1">
        <v>45970</v>
      </c>
      <c r="E539" t="s">
        <v>4127</v>
      </c>
      <c r="F539" t="s">
        <v>4137</v>
      </c>
    </row>
    <row r="540" spans="1:6">
      <c r="A540" t="s">
        <v>4669</v>
      </c>
      <c r="B540" t="s">
        <v>328</v>
      </c>
      <c r="C540" t="s">
        <v>36</v>
      </c>
      <c r="D540" s="1">
        <v>45994</v>
      </c>
      <c r="E540" t="s">
        <v>4127</v>
      </c>
      <c r="F540" t="s">
        <v>4137</v>
      </c>
    </row>
    <row r="541" spans="1:6">
      <c r="A541" t="s">
        <v>4670</v>
      </c>
      <c r="B541" t="s">
        <v>328</v>
      </c>
      <c r="C541" t="s">
        <v>36</v>
      </c>
      <c r="D541" s="1">
        <v>45966</v>
      </c>
      <c r="E541" t="s">
        <v>4124</v>
      </c>
      <c r="F541" t="s">
        <v>4137</v>
      </c>
    </row>
    <row r="542" spans="1:6">
      <c r="A542" t="s">
        <v>4671</v>
      </c>
      <c r="B542" t="s">
        <v>328</v>
      </c>
      <c r="C542" t="s">
        <v>36</v>
      </c>
      <c r="D542" s="1">
        <v>45968</v>
      </c>
      <c r="E542" t="s">
        <v>4124</v>
      </c>
      <c r="F542" t="s">
        <v>4125</v>
      </c>
    </row>
    <row r="543" spans="1:6">
      <c r="A543" t="s">
        <v>4672</v>
      </c>
      <c r="B543" t="s">
        <v>330</v>
      </c>
      <c r="C543" t="s">
        <v>152</v>
      </c>
      <c r="D543" s="1">
        <v>45886</v>
      </c>
      <c r="E543" t="s">
        <v>4127</v>
      </c>
      <c r="F543" t="s">
        <v>4139</v>
      </c>
    </row>
    <row r="544" spans="1:6">
      <c r="A544" t="s">
        <v>4673</v>
      </c>
      <c r="B544" t="s">
        <v>330</v>
      </c>
      <c r="C544" t="s">
        <v>152</v>
      </c>
      <c r="D544" s="1">
        <v>45880</v>
      </c>
      <c r="E544" t="s">
        <v>4124</v>
      </c>
      <c r="F544" t="s">
        <v>4137</v>
      </c>
    </row>
    <row r="545" spans="1:6">
      <c r="A545" t="s">
        <v>4674</v>
      </c>
      <c r="B545" t="s">
        <v>332</v>
      </c>
      <c r="C545" t="s">
        <v>75</v>
      </c>
      <c r="D545" s="1">
        <v>45925</v>
      </c>
      <c r="E545" t="s">
        <v>4124</v>
      </c>
      <c r="F545" t="s">
        <v>4137</v>
      </c>
    </row>
    <row r="546" spans="1:6">
      <c r="A546" t="s">
        <v>4675</v>
      </c>
      <c r="B546" t="s">
        <v>332</v>
      </c>
      <c r="C546" t="s">
        <v>75</v>
      </c>
      <c r="D546" s="1">
        <v>45908</v>
      </c>
      <c r="E546" t="s">
        <v>4129</v>
      </c>
      <c r="F546" t="s">
        <v>4125</v>
      </c>
    </row>
    <row r="547" spans="1:6">
      <c r="A547" t="s">
        <v>4676</v>
      </c>
      <c r="B547" t="s">
        <v>332</v>
      </c>
      <c r="C547" t="s">
        <v>75</v>
      </c>
      <c r="D547" s="1">
        <v>45901</v>
      </c>
      <c r="E547" t="s">
        <v>4124</v>
      </c>
      <c r="F547" t="s">
        <v>4139</v>
      </c>
    </row>
    <row r="548" spans="1:6">
      <c r="A548" t="s">
        <v>4677</v>
      </c>
      <c r="B548" t="s">
        <v>332</v>
      </c>
      <c r="C548" t="s">
        <v>75</v>
      </c>
      <c r="D548" s="1">
        <v>45922</v>
      </c>
      <c r="E548" t="s">
        <v>4135</v>
      </c>
      <c r="F548" t="s">
        <v>4139</v>
      </c>
    </row>
    <row r="549" spans="1:6">
      <c r="A549" t="s">
        <v>4678</v>
      </c>
      <c r="B549" t="s">
        <v>334</v>
      </c>
      <c r="C549" t="s">
        <v>22</v>
      </c>
      <c r="D549" s="1">
        <v>46002</v>
      </c>
      <c r="E549" t="s">
        <v>4133</v>
      </c>
      <c r="F549" t="s">
        <v>4137</v>
      </c>
    </row>
    <row r="550" spans="1:6">
      <c r="A550" t="s">
        <v>4679</v>
      </c>
      <c r="B550" t="s">
        <v>334</v>
      </c>
      <c r="C550" t="s">
        <v>22</v>
      </c>
      <c r="D550" s="1">
        <v>45987</v>
      </c>
      <c r="E550" t="s">
        <v>4127</v>
      </c>
      <c r="F550" t="s">
        <v>4125</v>
      </c>
    </row>
    <row r="551" spans="1:6">
      <c r="A551" t="s">
        <v>4680</v>
      </c>
      <c r="B551" t="s">
        <v>334</v>
      </c>
      <c r="C551" t="s">
        <v>22</v>
      </c>
      <c r="D551" s="1">
        <v>46018</v>
      </c>
      <c r="E551" t="s">
        <v>4135</v>
      </c>
      <c r="F551" t="s">
        <v>4125</v>
      </c>
    </row>
    <row r="552" spans="1:6">
      <c r="A552" t="s">
        <v>4681</v>
      </c>
      <c r="B552" t="s">
        <v>334</v>
      </c>
      <c r="C552" t="s">
        <v>22</v>
      </c>
      <c r="D552" s="1">
        <v>46016</v>
      </c>
      <c r="E552" t="s">
        <v>4129</v>
      </c>
      <c r="F552" t="s">
        <v>4139</v>
      </c>
    </row>
    <row r="553" spans="1:6">
      <c r="A553" t="s">
        <v>4682</v>
      </c>
      <c r="B553" t="s">
        <v>336</v>
      </c>
      <c r="C553" t="s">
        <v>152</v>
      </c>
      <c r="D553" s="1">
        <v>45883</v>
      </c>
      <c r="E553" t="s">
        <v>4135</v>
      </c>
      <c r="F553" t="s">
        <v>4139</v>
      </c>
    </row>
    <row r="554" spans="1:6">
      <c r="A554" t="s">
        <v>4683</v>
      </c>
      <c r="B554" t="s">
        <v>336</v>
      </c>
      <c r="C554" t="s">
        <v>152</v>
      </c>
      <c r="D554" s="1">
        <v>45867</v>
      </c>
      <c r="E554" t="s">
        <v>4124</v>
      </c>
      <c r="F554" t="s">
        <v>4125</v>
      </c>
    </row>
    <row r="555" spans="1:6">
      <c r="A555" t="s">
        <v>4684</v>
      </c>
      <c r="B555" t="s">
        <v>336</v>
      </c>
      <c r="C555" t="s">
        <v>152</v>
      </c>
      <c r="D555" s="1">
        <v>45875</v>
      </c>
      <c r="E555" t="s">
        <v>4133</v>
      </c>
      <c r="F555" t="s">
        <v>4139</v>
      </c>
    </row>
    <row r="556" spans="1:6">
      <c r="A556" t="s">
        <v>4685</v>
      </c>
      <c r="B556" t="s">
        <v>336</v>
      </c>
      <c r="C556" t="s">
        <v>152</v>
      </c>
      <c r="D556" s="1">
        <v>45844</v>
      </c>
      <c r="E556" t="s">
        <v>4127</v>
      </c>
      <c r="F556" t="s">
        <v>4139</v>
      </c>
    </row>
    <row r="557" spans="1:6">
      <c r="A557" t="s">
        <v>4686</v>
      </c>
      <c r="B557" t="s">
        <v>337</v>
      </c>
      <c r="C557" t="s">
        <v>16</v>
      </c>
      <c r="D557" s="1">
        <v>46022</v>
      </c>
      <c r="E557" t="s">
        <v>4135</v>
      </c>
      <c r="F557" t="s">
        <v>4139</v>
      </c>
    </row>
    <row r="558" spans="1:6">
      <c r="A558" t="s">
        <v>4687</v>
      </c>
      <c r="B558" t="s">
        <v>337</v>
      </c>
      <c r="C558" t="s">
        <v>16</v>
      </c>
      <c r="D558" s="1">
        <v>46021</v>
      </c>
      <c r="E558" t="s">
        <v>4135</v>
      </c>
      <c r="F558" t="s">
        <v>4125</v>
      </c>
    </row>
    <row r="559" spans="1:6">
      <c r="A559" t="s">
        <v>4688</v>
      </c>
      <c r="B559" t="s">
        <v>337</v>
      </c>
      <c r="C559" t="s">
        <v>16</v>
      </c>
      <c r="D559" s="1">
        <v>46021</v>
      </c>
      <c r="E559" t="s">
        <v>4127</v>
      </c>
      <c r="F559" t="s">
        <v>4125</v>
      </c>
    </row>
    <row r="560" spans="1:6">
      <c r="A560" t="s">
        <v>4689</v>
      </c>
      <c r="B560" t="s">
        <v>337</v>
      </c>
      <c r="C560" t="s">
        <v>16</v>
      </c>
      <c r="D560" s="1">
        <v>46021</v>
      </c>
      <c r="E560" t="s">
        <v>4135</v>
      </c>
      <c r="F560" t="s">
        <v>4139</v>
      </c>
    </row>
    <row r="561" spans="1:6">
      <c r="A561" t="s">
        <v>4690</v>
      </c>
      <c r="B561" t="s">
        <v>337</v>
      </c>
      <c r="C561" t="s">
        <v>16</v>
      </c>
      <c r="D561" s="1">
        <v>46022</v>
      </c>
      <c r="E561" t="s">
        <v>4133</v>
      </c>
      <c r="F561" t="s">
        <v>4139</v>
      </c>
    </row>
    <row r="562" spans="1:6">
      <c r="A562" t="s">
        <v>4691</v>
      </c>
      <c r="B562" t="s">
        <v>338</v>
      </c>
      <c r="C562" t="s">
        <v>50</v>
      </c>
      <c r="D562" s="1">
        <v>45724</v>
      </c>
      <c r="E562" t="s">
        <v>4135</v>
      </c>
      <c r="F562" t="s">
        <v>4139</v>
      </c>
    </row>
    <row r="563" spans="1:6">
      <c r="A563" t="s">
        <v>4692</v>
      </c>
      <c r="B563" t="s">
        <v>338</v>
      </c>
      <c r="C563" t="s">
        <v>50</v>
      </c>
      <c r="D563" s="1">
        <v>45726</v>
      </c>
      <c r="E563" t="s">
        <v>4124</v>
      </c>
      <c r="F563" t="s">
        <v>4137</v>
      </c>
    </row>
    <row r="564" spans="1:6">
      <c r="A564" t="s">
        <v>4693</v>
      </c>
      <c r="B564" t="s">
        <v>338</v>
      </c>
      <c r="C564" t="s">
        <v>50</v>
      </c>
      <c r="D564" s="1">
        <v>45699</v>
      </c>
      <c r="E564" t="s">
        <v>4135</v>
      </c>
      <c r="F564" t="s">
        <v>4125</v>
      </c>
    </row>
    <row r="565" spans="1:6">
      <c r="A565" t="s">
        <v>4694</v>
      </c>
      <c r="B565" t="s">
        <v>338</v>
      </c>
      <c r="C565" t="s">
        <v>50</v>
      </c>
      <c r="D565" s="1">
        <v>45703</v>
      </c>
      <c r="E565" t="s">
        <v>4124</v>
      </c>
      <c r="F565" t="s">
        <v>4125</v>
      </c>
    </row>
    <row r="566" spans="1:6">
      <c r="A566" t="s">
        <v>4695</v>
      </c>
      <c r="B566" t="s">
        <v>340</v>
      </c>
      <c r="C566" t="s">
        <v>56</v>
      </c>
      <c r="D566" s="1">
        <v>45780</v>
      </c>
      <c r="E566" t="s">
        <v>4124</v>
      </c>
      <c r="F566" t="s">
        <v>4139</v>
      </c>
    </row>
    <row r="567" spans="1:6">
      <c r="A567" t="s">
        <v>4696</v>
      </c>
      <c r="B567" t="s">
        <v>340</v>
      </c>
      <c r="C567" t="s">
        <v>56</v>
      </c>
      <c r="D567" s="1">
        <v>45789</v>
      </c>
      <c r="E567" t="s">
        <v>4129</v>
      </c>
      <c r="F567" t="s">
        <v>4139</v>
      </c>
    </row>
    <row r="568" spans="1:6">
      <c r="A568" t="s">
        <v>4697</v>
      </c>
      <c r="B568" t="s">
        <v>340</v>
      </c>
      <c r="C568" t="s">
        <v>56</v>
      </c>
      <c r="D568" s="1">
        <v>45782</v>
      </c>
      <c r="E568" t="s">
        <v>4129</v>
      </c>
      <c r="F568" t="s">
        <v>4137</v>
      </c>
    </row>
    <row r="569" spans="1:6">
      <c r="A569" t="s">
        <v>4698</v>
      </c>
      <c r="B569" t="s">
        <v>340</v>
      </c>
      <c r="C569" t="s">
        <v>56</v>
      </c>
      <c r="D569" s="1">
        <v>45785</v>
      </c>
      <c r="E569" t="s">
        <v>4129</v>
      </c>
      <c r="F569" t="s">
        <v>4137</v>
      </c>
    </row>
    <row r="570" spans="1:6">
      <c r="A570" t="s">
        <v>4699</v>
      </c>
      <c r="B570" t="s">
        <v>342</v>
      </c>
      <c r="C570" t="s">
        <v>56</v>
      </c>
      <c r="D570" s="1">
        <v>45855</v>
      </c>
      <c r="E570" t="s">
        <v>4127</v>
      </c>
      <c r="F570" t="s">
        <v>4137</v>
      </c>
    </row>
    <row r="571" spans="1:6">
      <c r="A571" t="s">
        <v>4700</v>
      </c>
      <c r="B571" t="s">
        <v>342</v>
      </c>
      <c r="C571" t="s">
        <v>56</v>
      </c>
      <c r="D571" s="1">
        <v>45849</v>
      </c>
      <c r="E571" t="s">
        <v>4135</v>
      </c>
      <c r="F571" t="s">
        <v>4137</v>
      </c>
    </row>
    <row r="572" spans="1:6">
      <c r="A572" t="s">
        <v>4701</v>
      </c>
      <c r="B572" t="s">
        <v>342</v>
      </c>
      <c r="C572" t="s">
        <v>56</v>
      </c>
      <c r="D572" s="1">
        <v>45817</v>
      </c>
      <c r="E572" t="s">
        <v>4133</v>
      </c>
      <c r="F572" t="s">
        <v>4125</v>
      </c>
    </row>
    <row r="573" spans="1:6">
      <c r="A573" t="s">
        <v>4702</v>
      </c>
      <c r="B573" t="s">
        <v>342</v>
      </c>
      <c r="C573" t="s">
        <v>56</v>
      </c>
      <c r="D573" s="1">
        <v>45833</v>
      </c>
      <c r="E573" t="s">
        <v>4127</v>
      </c>
      <c r="F573" t="s">
        <v>4137</v>
      </c>
    </row>
    <row r="574" spans="1:6">
      <c r="A574" t="s">
        <v>4703</v>
      </c>
      <c r="B574" t="s">
        <v>342</v>
      </c>
      <c r="C574" t="s">
        <v>56</v>
      </c>
      <c r="D574" s="1">
        <v>45876</v>
      </c>
      <c r="E574" t="s">
        <v>4129</v>
      </c>
      <c r="F574" t="s">
        <v>4139</v>
      </c>
    </row>
    <row r="575" spans="1:6">
      <c r="A575" t="s">
        <v>4704</v>
      </c>
      <c r="B575" t="s">
        <v>344</v>
      </c>
      <c r="C575" t="s">
        <v>22</v>
      </c>
      <c r="D575" s="1">
        <v>45846</v>
      </c>
      <c r="E575" t="s">
        <v>4127</v>
      </c>
      <c r="F575" t="s">
        <v>4139</v>
      </c>
    </row>
    <row r="576" spans="1:6">
      <c r="A576" t="s">
        <v>4705</v>
      </c>
      <c r="B576" t="s">
        <v>344</v>
      </c>
      <c r="C576" t="s">
        <v>22</v>
      </c>
      <c r="D576" s="1">
        <v>45837</v>
      </c>
      <c r="E576" t="s">
        <v>4129</v>
      </c>
      <c r="F576" t="s">
        <v>4137</v>
      </c>
    </row>
    <row r="577" spans="1:6">
      <c r="A577" t="s">
        <v>4706</v>
      </c>
      <c r="B577" t="s">
        <v>346</v>
      </c>
      <c r="C577" t="s">
        <v>168</v>
      </c>
      <c r="D577" s="1">
        <v>46003</v>
      </c>
      <c r="E577" t="s">
        <v>4129</v>
      </c>
      <c r="F577" t="s">
        <v>4125</v>
      </c>
    </row>
    <row r="578" spans="1:6">
      <c r="A578" t="s">
        <v>4707</v>
      </c>
      <c r="B578" t="s">
        <v>346</v>
      </c>
      <c r="C578" t="s">
        <v>168</v>
      </c>
      <c r="D578" s="1">
        <v>46005</v>
      </c>
      <c r="E578" t="s">
        <v>4127</v>
      </c>
      <c r="F578" t="s">
        <v>4125</v>
      </c>
    </row>
    <row r="579" spans="1:6">
      <c r="A579" t="s">
        <v>4708</v>
      </c>
      <c r="B579" t="s">
        <v>346</v>
      </c>
      <c r="C579" t="s">
        <v>168</v>
      </c>
      <c r="D579" s="1">
        <v>46022</v>
      </c>
      <c r="E579" t="s">
        <v>4127</v>
      </c>
      <c r="F579" t="s">
        <v>4137</v>
      </c>
    </row>
    <row r="580" spans="1:6">
      <c r="A580" t="s">
        <v>4709</v>
      </c>
      <c r="B580" t="s">
        <v>346</v>
      </c>
      <c r="C580" t="s">
        <v>168</v>
      </c>
      <c r="D580" s="1">
        <v>46000</v>
      </c>
      <c r="E580" t="s">
        <v>4133</v>
      </c>
      <c r="F580" t="s">
        <v>4139</v>
      </c>
    </row>
    <row r="581" spans="1:6">
      <c r="A581" t="s">
        <v>4710</v>
      </c>
      <c r="B581" t="s">
        <v>346</v>
      </c>
      <c r="C581" t="s">
        <v>168</v>
      </c>
      <c r="D581" s="1">
        <v>45996</v>
      </c>
      <c r="E581" t="s">
        <v>4127</v>
      </c>
      <c r="F581" t="s">
        <v>4139</v>
      </c>
    </row>
    <row r="582" spans="1:6">
      <c r="A582" t="s">
        <v>4711</v>
      </c>
      <c r="B582" t="s">
        <v>347</v>
      </c>
      <c r="C582" t="s">
        <v>56</v>
      </c>
      <c r="D582" s="1">
        <v>45895</v>
      </c>
      <c r="E582" t="s">
        <v>4129</v>
      </c>
      <c r="F582" t="s">
        <v>4139</v>
      </c>
    </row>
    <row r="583" spans="1:6">
      <c r="A583" t="s">
        <v>4712</v>
      </c>
      <c r="B583" t="s">
        <v>347</v>
      </c>
      <c r="C583" t="s">
        <v>56</v>
      </c>
      <c r="D583" s="1">
        <v>45912</v>
      </c>
      <c r="E583" t="s">
        <v>4133</v>
      </c>
      <c r="F583" t="s">
        <v>4137</v>
      </c>
    </row>
    <row r="584" spans="1:6">
      <c r="A584" t="s">
        <v>4713</v>
      </c>
      <c r="B584" t="s">
        <v>347</v>
      </c>
      <c r="C584" t="s">
        <v>56</v>
      </c>
      <c r="D584" s="1">
        <v>45923</v>
      </c>
      <c r="E584" t="s">
        <v>4135</v>
      </c>
      <c r="F584" t="s">
        <v>4125</v>
      </c>
    </row>
    <row r="585" spans="1:6">
      <c r="A585" t="s">
        <v>4714</v>
      </c>
      <c r="B585" t="s">
        <v>349</v>
      </c>
      <c r="C585" t="s">
        <v>53</v>
      </c>
      <c r="D585" s="1">
        <v>45781</v>
      </c>
      <c r="E585" t="s">
        <v>4124</v>
      </c>
      <c r="F585" t="s">
        <v>4137</v>
      </c>
    </row>
    <row r="586" spans="1:6">
      <c r="A586" t="s">
        <v>4715</v>
      </c>
      <c r="B586" t="s">
        <v>349</v>
      </c>
      <c r="C586" t="s">
        <v>53</v>
      </c>
      <c r="D586" s="1">
        <v>45784</v>
      </c>
      <c r="E586" t="s">
        <v>4133</v>
      </c>
      <c r="F586" t="s">
        <v>4137</v>
      </c>
    </row>
    <row r="587" spans="1:6">
      <c r="A587" t="s">
        <v>4716</v>
      </c>
      <c r="B587" t="s">
        <v>349</v>
      </c>
      <c r="C587" t="s">
        <v>53</v>
      </c>
      <c r="D587" s="1">
        <v>45778</v>
      </c>
      <c r="E587" t="s">
        <v>4135</v>
      </c>
      <c r="F587" t="s">
        <v>4139</v>
      </c>
    </row>
    <row r="588" spans="1:6">
      <c r="A588" t="s">
        <v>4717</v>
      </c>
      <c r="B588" t="s">
        <v>349</v>
      </c>
      <c r="C588" t="s">
        <v>53</v>
      </c>
      <c r="D588" s="1">
        <v>45781</v>
      </c>
      <c r="E588" t="s">
        <v>4124</v>
      </c>
      <c r="F588" t="s">
        <v>4139</v>
      </c>
    </row>
    <row r="589" spans="1:6">
      <c r="A589" t="s">
        <v>4718</v>
      </c>
      <c r="B589" t="s">
        <v>349</v>
      </c>
      <c r="C589" t="s">
        <v>53</v>
      </c>
      <c r="D589" s="1">
        <v>45785</v>
      </c>
      <c r="E589" t="s">
        <v>4124</v>
      </c>
      <c r="F589" t="s">
        <v>4139</v>
      </c>
    </row>
    <row r="590" spans="1:6">
      <c r="A590" t="s">
        <v>4719</v>
      </c>
      <c r="B590" t="s">
        <v>350</v>
      </c>
      <c r="C590" t="s">
        <v>36</v>
      </c>
      <c r="D590" s="1">
        <v>45676</v>
      </c>
      <c r="E590" t="s">
        <v>4124</v>
      </c>
      <c r="F590" t="s">
        <v>4125</v>
      </c>
    </row>
    <row r="591" spans="1:6">
      <c r="A591" t="s">
        <v>4720</v>
      </c>
      <c r="B591" t="s">
        <v>350</v>
      </c>
      <c r="C591" t="s">
        <v>36</v>
      </c>
      <c r="D591" s="1">
        <v>45670</v>
      </c>
      <c r="E591" t="s">
        <v>4129</v>
      </c>
      <c r="F591" t="s">
        <v>4125</v>
      </c>
    </row>
    <row r="592" spans="1:6">
      <c r="A592" t="s">
        <v>4721</v>
      </c>
      <c r="B592" t="s">
        <v>352</v>
      </c>
      <c r="C592" t="s">
        <v>36</v>
      </c>
      <c r="D592" s="1">
        <v>46021</v>
      </c>
      <c r="E592" t="s">
        <v>4127</v>
      </c>
      <c r="F592" t="s">
        <v>4139</v>
      </c>
    </row>
    <row r="593" spans="1:6">
      <c r="A593" t="s">
        <v>4722</v>
      </c>
      <c r="B593" t="s">
        <v>352</v>
      </c>
      <c r="C593" t="s">
        <v>36</v>
      </c>
      <c r="D593" s="1">
        <v>46017</v>
      </c>
      <c r="E593" t="s">
        <v>4133</v>
      </c>
      <c r="F593" t="s">
        <v>4125</v>
      </c>
    </row>
    <row r="594" spans="1:6">
      <c r="A594" t="s">
        <v>4723</v>
      </c>
      <c r="B594" t="s">
        <v>352</v>
      </c>
      <c r="C594" t="s">
        <v>36</v>
      </c>
      <c r="D594" s="1">
        <v>46012</v>
      </c>
      <c r="E594" t="s">
        <v>4133</v>
      </c>
      <c r="F594" t="s">
        <v>4139</v>
      </c>
    </row>
    <row r="595" spans="1:6">
      <c r="A595" t="s">
        <v>4724</v>
      </c>
      <c r="B595" t="s">
        <v>352</v>
      </c>
      <c r="C595" t="s">
        <v>36</v>
      </c>
      <c r="D595" s="1">
        <v>46019</v>
      </c>
      <c r="E595" t="s">
        <v>4127</v>
      </c>
      <c r="F595" t="s">
        <v>4139</v>
      </c>
    </row>
    <row r="596" spans="1:6">
      <c r="A596" t="s">
        <v>4725</v>
      </c>
      <c r="B596" t="s">
        <v>354</v>
      </c>
      <c r="C596" t="s">
        <v>50</v>
      </c>
      <c r="D596" s="1">
        <v>45742</v>
      </c>
      <c r="E596" t="s">
        <v>4133</v>
      </c>
      <c r="F596" t="s">
        <v>4139</v>
      </c>
    </row>
    <row r="597" spans="1:6">
      <c r="A597" t="s">
        <v>4726</v>
      </c>
      <c r="B597" t="s">
        <v>354</v>
      </c>
      <c r="C597" t="s">
        <v>50</v>
      </c>
      <c r="D597" s="1">
        <v>45729</v>
      </c>
      <c r="E597" t="s">
        <v>4124</v>
      </c>
      <c r="F597" t="s">
        <v>4139</v>
      </c>
    </row>
    <row r="598" spans="1:6">
      <c r="A598" t="s">
        <v>4727</v>
      </c>
      <c r="B598" t="s">
        <v>354</v>
      </c>
      <c r="C598" t="s">
        <v>50</v>
      </c>
      <c r="D598" s="1">
        <v>45740</v>
      </c>
      <c r="E598" t="s">
        <v>4133</v>
      </c>
      <c r="F598" t="s">
        <v>4139</v>
      </c>
    </row>
    <row r="599" spans="1:6">
      <c r="A599" t="s">
        <v>4728</v>
      </c>
      <c r="B599" t="s">
        <v>355</v>
      </c>
      <c r="C599" t="s">
        <v>75</v>
      </c>
      <c r="D599" s="1">
        <v>46021</v>
      </c>
      <c r="E599" t="s">
        <v>4127</v>
      </c>
      <c r="F599" t="s">
        <v>4137</v>
      </c>
    </row>
    <row r="600" spans="1:6">
      <c r="A600" t="s">
        <v>4729</v>
      </c>
      <c r="B600" t="s">
        <v>355</v>
      </c>
      <c r="C600" t="s">
        <v>75</v>
      </c>
      <c r="D600" s="1">
        <v>46022</v>
      </c>
      <c r="E600" t="s">
        <v>4135</v>
      </c>
      <c r="F600" t="s">
        <v>4139</v>
      </c>
    </row>
    <row r="601" spans="1:6">
      <c r="A601" t="s">
        <v>4730</v>
      </c>
      <c r="B601" t="s">
        <v>355</v>
      </c>
      <c r="C601" t="s">
        <v>75</v>
      </c>
      <c r="D601" s="1">
        <v>46022</v>
      </c>
      <c r="E601" t="s">
        <v>4124</v>
      </c>
      <c r="F601" t="s">
        <v>4137</v>
      </c>
    </row>
    <row r="602" spans="1:6">
      <c r="A602" t="s">
        <v>4731</v>
      </c>
      <c r="B602" t="s">
        <v>355</v>
      </c>
      <c r="C602" t="s">
        <v>75</v>
      </c>
      <c r="D602" s="1">
        <v>46022</v>
      </c>
      <c r="E602" t="s">
        <v>4135</v>
      </c>
      <c r="F602" t="s">
        <v>4137</v>
      </c>
    </row>
    <row r="603" spans="1:6">
      <c r="A603" t="s">
        <v>4732</v>
      </c>
      <c r="B603" t="s">
        <v>357</v>
      </c>
      <c r="C603" t="s">
        <v>36</v>
      </c>
      <c r="D603" s="1">
        <v>46021</v>
      </c>
      <c r="E603" t="s">
        <v>4127</v>
      </c>
      <c r="F603" t="s">
        <v>4125</v>
      </c>
    </row>
    <row r="604" spans="1:6">
      <c r="A604" t="s">
        <v>4733</v>
      </c>
      <c r="B604" t="s">
        <v>357</v>
      </c>
      <c r="C604" t="s">
        <v>36</v>
      </c>
      <c r="D604" s="1">
        <v>46022</v>
      </c>
      <c r="E604" t="s">
        <v>4127</v>
      </c>
      <c r="F604" t="s">
        <v>4125</v>
      </c>
    </row>
    <row r="605" spans="1:6">
      <c r="A605" t="s">
        <v>4734</v>
      </c>
      <c r="B605" t="s">
        <v>357</v>
      </c>
      <c r="C605" t="s">
        <v>36</v>
      </c>
      <c r="D605" s="1">
        <v>46020</v>
      </c>
      <c r="E605" t="s">
        <v>4133</v>
      </c>
      <c r="F605" t="s">
        <v>4125</v>
      </c>
    </row>
    <row r="606" spans="1:6">
      <c r="A606" t="s">
        <v>4735</v>
      </c>
      <c r="B606" t="s">
        <v>359</v>
      </c>
      <c r="C606" t="s">
        <v>40</v>
      </c>
      <c r="D606" s="1">
        <v>45838</v>
      </c>
      <c r="E606" t="s">
        <v>4129</v>
      </c>
      <c r="F606" t="s">
        <v>4139</v>
      </c>
    </row>
    <row r="607" spans="1:6">
      <c r="A607" t="s">
        <v>4736</v>
      </c>
      <c r="B607" t="s">
        <v>359</v>
      </c>
      <c r="C607" t="s">
        <v>40</v>
      </c>
      <c r="D607" s="1">
        <v>45833</v>
      </c>
      <c r="E607" t="s">
        <v>4133</v>
      </c>
      <c r="F607" t="s">
        <v>4125</v>
      </c>
    </row>
    <row r="608" spans="1:6">
      <c r="A608" t="s">
        <v>4737</v>
      </c>
      <c r="B608" t="s">
        <v>361</v>
      </c>
      <c r="C608" t="s">
        <v>36</v>
      </c>
      <c r="D608" s="1">
        <v>45796</v>
      </c>
      <c r="E608" t="s">
        <v>4133</v>
      </c>
      <c r="F608" t="s">
        <v>4139</v>
      </c>
    </row>
    <row r="609" spans="1:6">
      <c r="A609" t="s">
        <v>4738</v>
      </c>
      <c r="B609" t="s">
        <v>361</v>
      </c>
      <c r="C609" t="s">
        <v>36</v>
      </c>
      <c r="D609" s="1">
        <v>45821</v>
      </c>
      <c r="E609" t="s">
        <v>4133</v>
      </c>
      <c r="F609" t="s">
        <v>4139</v>
      </c>
    </row>
    <row r="610" spans="1:6">
      <c r="A610" t="s">
        <v>4739</v>
      </c>
      <c r="B610" t="s">
        <v>361</v>
      </c>
      <c r="C610" t="s">
        <v>36</v>
      </c>
      <c r="D610" s="1">
        <v>45771</v>
      </c>
      <c r="E610" t="s">
        <v>4135</v>
      </c>
      <c r="F610" t="s">
        <v>4139</v>
      </c>
    </row>
    <row r="611" spans="1:6">
      <c r="A611" t="s">
        <v>4740</v>
      </c>
      <c r="B611" t="s">
        <v>361</v>
      </c>
      <c r="C611" t="s">
        <v>36</v>
      </c>
      <c r="D611" s="1">
        <v>45780</v>
      </c>
      <c r="E611" t="s">
        <v>4133</v>
      </c>
      <c r="F611" t="s">
        <v>4137</v>
      </c>
    </row>
    <row r="612" spans="1:6">
      <c r="A612" t="s">
        <v>4741</v>
      </c>
      <c r="B612" t="s">
        <v>361</v>
      </c>
      <c r="C612" t="s">
        <v>36</v>
      </c>
      <c r="D612" s="1">
        <v>45779</v>
      </c>
      <c r="E612" t="s">
        <v>4133</v>
      </c>
      <c r="F612" t="s">
        <v>4139</v>
      </c>
    </row>
    <row r="613" spans="1:6">
      <c r="A613" t="s">
        <v>4742</v>
      </c>
      <c r="B613" t="s">
        <v>363</v>
      </c>
      <c r="C613" t="s">
        <v>59</v>
      </c>
      <c r="D613" s="1">
        <v>46013</v>
      </c>
      <c r="E613" t="s">
        <v>4133</v>
      </c>
      <c r="F613" t="s">
        <v>4139</v>
      </c>
    </row>
    <row r="614" spans="1:6">
      <c r="A614" t="s">
        <v>4743</v>
      </c>
      <c r="B614" t="s">
        <v>363</v>
      </c>
      <c r="C614" t="s">
        <v>59</v>
      </c>
      <c r="D614" s="1">
        <v>46000</v>
      </c>
      <c r="E614" t="s">
        <v>4124</v>
      </c>
      <c r="F614" t="s">
        <v>4139</v>
      </c>
    </row>
    <row r="615" spans="1:6">
      <c r="A615" t="s">
        <v>4744</v>
      </c>
      <c r="B615" t="s">
        <v>363</v>
      </c>
      <c r="C615" t="s">
        <v>59</v>
      </c>
      <c r="D615" s="1">
        <v>46008</v>
      </c>
      <c r="E615" t="s">
        <v>4133</v>
      </c>
      <c r="F615" t="s">
        <v>4137</v>
      </c>
    </row>
    <row r="616" spans="1:6">
      <c r="A616" t="s">
        <v>4745</v>
      </c>
      <c r="B616" t="s">
        <v>365</v>
      </c>
      <c r="C616" t="s">
        <v>22</v>
      </c>
      <c r="D616" s="1">
        <v>45859</v>
      </c>
      <c r="E616" t="s">
        <v>4127</v>
      </c>
      <c r="F616" t="s">
        <v>4139</v>
      </c>
    </row>
    <row r="617" spans="1:6">
      <c r="A617" t="s">
        <v>4746</v>
      </c>
      <c r="B617" t="s">
        <v>365</v>
      </c>
      <c r="C617" t="s">
        <v>22</v>
      </c>
      <c r="D617" s="1">
        <v>45849</v>
      </c>
      <c r="E617" t="s">
        <v>4129</v>
      </c>
      <c r="F617" t="s">
        <v>4139</v>
      </c>
    </row>
    <row r="618" spans="1:6">
      <c r="A618" t="s">
        <v>4747</v>
      </c>
      <c r="B618" t="s">
        <v>366</v>
      </c>
      <c r="C618" t="s">
        <v>168</v>
      </c>
      <c r="D618" s="1">
        <v>45936</v>
      </c>
      <c r="E618" t="s">
        <v>4129</v>
      </c>
      <c r="F618" t="s">
        <v>4137</v>
      </c>
    </row>
    <row r="619" spans="1:6">
      <c r="A619" t="s">
        <v>4748</v>
      </c>
      <c r="B619" t="s">
        <v>366</v>
      </c>
      <c r="C619" t="s">
        <v>168</v>
      </c>
      <c r="D619" s="1">
        <v>45959</v>
      </c>
      <c r="E619" t="s">
        <v>4124</v>
      </c>
      <c r="F619" t="s">
        <v>4139</v>
      </c>
    </row>
    <row r="620" spans="1:6">
      <c r="A620" t="s">
        <v>4749</v>
      </c>
      <c r="B620" t="s">
        <v>366</v>
      </c>
      <c r="C620" t="s">
        <v>168</v>
      </c>
      <c r="D620" s="1">
        <v>45940</v>
      </c>
      <c r="E620" t="s">
        <v>4135</v>
      </c>
      <c r="F620" t="s">
        <v>4125</v>
      </c>
    </row>
    <row r="621" spans="1:6">
      <c r="A621" t="s">
        <v>4750</v>
      </c>
      <c r="B621" t="s">
        <v>366</v>
      </c>
      <c r="C621" t="s">
        <v>168</v>
      </c>
      <c r="D621" s="1">
        <v>45955</v>
      </c>
      <c r="E621" t="s">
        <v>4129</v>
      </c>
      <c r="F621" t="s">
        <v>4137</v>
      </c>
    </row>
    <row r="622" spans="1:6">
      <c r="A622" t="s">
        <v>4751</v>
      </c>
      <c r="B622" t="s">
        <v>366</v>
      </c>
      <c r="C622" t="s">
        <v>168</v>
      </c>
      <c r="D622" s="1">
        <v>45940</v>
      </c>
      <c r="E622" t="s">
        <v>4129</v>
      </c>
      <c r="F622" t="s">
        <v>4125</v>
      </c>
    </row>
    <row r="623" spans="1:6">
      <c r="A623" t="s">
        <v>4752</v>
      </c>
      <c r="B623" t="s">
        <v>368</v>
      </c>
      <c r="C623" t="s">
        <v>152</v>
      </c>
      <c r="D623" s="1">
        <v>45977</v>
      </c>
      <c r="E623" t="s">
        <v>4135</v>
      </c>
      <c r="F623" t="s">
        <v>4125</v>
      </c>
    </row>
    <row r="624" spans="1:6">
      <c r="A624" t="s">
        <v>4753</v>
      </c>
      <c r="B624" t="s">
        <v>368</v>
      </c>
      <c r="C624" t="s">
        <v>152</v>
      </c>
      <c r="D624" s="1">
        <v>45973</v>
      </c>
      <c r="E624" t="s">
        <v>4135</v>
      </c>
      <c r="F624" t="s">
        <v>4137</v>
      </c>
    </row>
    <row r="625" spans="1:6">
      <c r="A625" t="s">
        <v>4754</v>
      </c>
      <c r="B625" t="s">
        <v>368</v>
      </c>
      <c r="C625" t="s">
        <v>152</v>
      </c>
      <c r="D625" s="1">
        <v>45974</v>
      </c>
      <c r="E625" t="s">
        <v>4127</v>
      </c>
      <c r="F625" t="s">
        <v>4137</v>
      </c>
    </row>
    <row r="626" spans="1:6">
      <c r="A626" t="s">
        <v>4755</v>
      </c>
      <c r="B626" t="s">
        <v>368</v>
      </c>
      <c r="C626" t="s">
        <v>152</v>
      </c>
      <c r="D626" s="1">
        <v>45967</v>
      </c>
      <c r="E626" t="s">
        <v>4124</v>
      </c>
      <c r="F626" t="s">
        <v>4137</v>
      </c>
    </row>
    <row r="627" spans="1:6">
      <c r="A627" t="s">
        <v>4756</v>
      </c>
      <c r="B627" t="s">
        <v>370</v>
      </c>
      <c r="C627" t="s">
        <v>46</v>
      </c>
      <c r="D627" s="1">
        <v>45830</v>
      </c>
      <c r="E627" t="s">
        <v>4127</v>
      </c>
      <c r="F627" t="s">
        <v>4139</v>
      </c>
    </row>
    <row r="628" spans="1:6">
      <c r="A628" t="s">
        <v>4757</v>
      </c>
      <c r="B628" t="s">
        <v>370</v>
      </c>
      <c r="C628" t="s">
        <v>46</v>
      </c>
      <c r="D628" s="1">
        <v>45838</v>
      </c>
      <c r="E628" t="s">
        <v>4129</v>
      </c>
      <c r="F628" t="s">
        <v>4125</v>
      </c>
    </row>
    <row r="629" spans="1:6">
      <c r="A629" t="s">
        <v>4758</v>
      </c>
      <c r="B629" t="s">
        <v>370</v>
      </c>
      <c r="C629" t="s">
        <v>46</v>
      </c>
      <c r="D629" s="1">
        <v>45874</v>
      </c>
      <c r="E629" t="s">
        <v>4129</v>
      </c>
      <c r="F629" t="s">
        <v>4125</v>
      </c>
    </row>
    <row r="630" spans="1:6">
      <c r="A630" t="s">
        <v>4759</v>
      </c>
      <c r="B630" t="s">
        <v>372</v>
      </c>
      <c r="C630" t="s">
        <v>70</v>
      </c>
      <c r="D630" s="1">
        <v>45902</v>
      </c>
      <c r="E630" t="s">
        <v>4133</v>
      </c>
      <c r="F630" t="s">
        <v>4125</v>
      </c>
    </row>
    <row r="631" spans="1:6">
      <c r="A631" t="s">
        <v>4760</v>
      </c>
      <c r="B631" t="s">
        <v>372</v>
      </c>
      <c r="C631" t="s">
        <v>70</v>
      </c>
      <c r="D631" s="1">
        <v>45905</v>
      </c>
      <c r="E631" t="s">
        <v>4129</v>
      </c>
      <c r="F631" t="s">
        <v>4139</v>
      </c>
    </row>
    <row r="632" spans="1:6">
      <c r="A632" t="s">
        <v>4761</v>
      </c>
      <c r="B632" t="s">
        <v>372</v>
      </c>
      <c r="C632" t="s">
        <v>70</v>
      </c>
      <c r="D632" s="1">
        <v>45916</v>
      </c>
      <c r="E632" t="s">
        <v>4133</v>
      </c>
      <c r="F632" t="s">
        <v>4125</v>
      </c>
    </row>
    <row r="633" spans="1:6">
      <c r="A633" t="s">
        <v>4762</v>
      </c>
      <c r="B633" t="s">
        <v>372</v>
      </c>
      <c r="C633" t="s">
        <v>70</v>
      </c>
      <c r="D633" s="1">
        <v>45903</v>
      </c>
      <c r="E633" t="s">
        <v>4124</v>
      </c>
      <c r="F633" t="s">
        <v>4139</v>
      </c>
    </row>
    <row r="634" spans="1:6">
      <c r="A634" t="s">
        <v>4763</v>
      </c>
      <c r="B634" t="s">
        <v>373</v>
      </c>
      <c r="C634" t="s">
        <v>63</v>
      </c>
      <c r="D634" s="1">
        <v>45727</v>
      </c>
      <c r="E634" t="s">
        <v>4127</v>
      </c>
      <c r="F634" t="s">
        <v>4137</v>
      </c>
    </row>
    <row r="635" spans="1:6">
      <c r="A635" t="s">
        <v>4764</v>
      </c>
      <c r="B635" t="s">
        <v>373</v>
      </c>
      <c r="C635" t="s">
        <v>63</v>
      </c>
      <c r="D635" s="1">
        <v>45732</v>
      </c>
      <c r="E635" t="s">
        <v>4133</v>
      </c>
      <c r="F635" t="s">
        <v>4139</v>
      </c>
    </row>
    <row r="636" spans="1:6">
      <c r="A636" t="s">
        <v>4765</v>
      </c>
      <c r="B636" t="s">
        <v>375</v>
      </c>
      <c r="C636" t="s">
        <v>50</v>
      </c>
      <c r="D636" s="1">
        <v>45683</v>
      </c>
      <c r="E636" t="s">
        <v>4129</v>
      </c>
      <c r="F636" t="s">
        <v>4125</v>
      </c>
    </row>
    <row r="637" spans="1:6">
      <c r="A637" t="s">
        <v>4766</v>
      </c>
      <c r="B637" t="s">
        <v>375</v>
      </c>
      <c r="C637" t="s">
        <v>50</v>
      </c>
      <c r="D637" s="1">
        <v>45677</v>
      </c>
      <c r="E637" t="s">
        <v>4135</v>
      </c>
      <c r="F637" t="s">
        <v>4139</v>
      </c>
    </row>
    <row r="638" spans="1:6">
      <c r="A638" t="s">
        <v>4767</v>
      </c>
      <c r="B638" t="s">
        <v>375</v>
      </c>
      <c r="C638" t="s">
        <v>50</v>
      </c>
      <c r="D638" s="1">
        <v>45706</v>
      </c>
      <c r="E638" t="s">
        <v>4124</v>
      </c>
      <c r="F638" t="s">
        <v>4137</v>
      </c>
    </row>
    <row r="639" spans="1:6">
      <c r="A639" t="s">
        <v>4768</v>
      </c>
      <c r="B639" t="s">
        <v>377</v>
      </c>
      <c r="C639" t="s">
        <v>56</v>
      </c>
      <c r="D639" s="1">
        <v>45937</v>
      </c>
      <c r="E639" t="s">
        <v>4133</v>
      </c>
      <c r="F639" t="s">
        <v>4137</v>
      </c>
    </row>
    <row r="640" spans="1:6">
      <c r="A640" t="s">
        <v>4769</v>
      </c>
      <c r="B640" t="s">
        <v>377</v>
      </c>
      <c r="C640" t="s">
        <v>56</v>
      </c>
      <c r="D640" s="1">
        <v>45952</v>
      </c>
      <c r="E640" t="s">
        <v>4133</v>
      </c>
      <c r="F640" t="s">
        <v>4125</v>
      </c>
    </row>
    <row r="641" spans="1:6">
      <c r="A641" t="s">
        <v>4770</v>
      </c>
      <c r="B641" t="s">
        <v>377</v>
      </c>
      <c r="C641" t="s">
        <v>56</v>
      </c>
      <c r="D641" s="1">
        <v>45941</v>
      </c>
      <c r="E641" t="s">
        <v>4127</v>
      </c>
      <c r="F641" t="s">
        <v>4139</v>
      </c>
    </row>
    <row r="642" spans="1:6">
      <c r="A642" t="s">
        <v>4771</v>
      </c>
      <c r="B642" t="s">
        <v>378</v>
      </c>
      <c r="C642" t="s">
        <v>36</v>
      </c>
      <c r="D642" s="1">
        <v>46021</v>
      </c>
      <c r="E642" t="s">
        <v>4129</v>
      </c>
      <c r="F642" t="s">
        <v>4139</v>
      </c>
    </row>
    <row r="643" spans="1:6">
      <c r="A643" t="s">
        <v>4772</v>
      </c>
      <c r="B643" t="s">
        <v>378</v>
      </c>
      <c r="C643" t="s">
        <v>36</v>
      </c>
      <c r="D643" s="1">
        <v>46018</v>
      </c>
      <c r="E643" t="s">
        <v>4135</v>
      </c>
      <c r="F643" t="s">
        <v>4139</v>
      </c>
    </row>
    <row r="644" spans="1:6">
      <c r="A644" t="s">
        <v>4773</v>
      </c>
      <c r="B644" t="s">
        <v>378</v>
      </c>
      <c r="C644" t="s">
        <v>36</v>
      </c>
      <c r="D644" s="1">
        <v>46019</v>
      </c>
      <c r="E644" t="s">
        <v>4124</v>
      </c>
      <c r="F644" t="s">
        <v>4137</v>
      </c>
    </row>
    <row r="645" spans="1:6">
      <c r="A645" t="s">
        <v>4774</v>
      </c>
      <c r="B645" t="s">
        <v>378</v>
      </c>
      <c r="C645" t="s">
        <v>36</v>
      </c>
      <c r="D645" s="1">
        <v>46016</v>
      </c>
      <c r="E645" t="s">
        <v>4133</v>
      </c>
      <c r="F645" t="s">
        <v>4125</v>
      </c>
    </row>
    <row r="646" spans="1:6">
      <c r="A646" t="s">
        <v>4775</v>
      </c>
      <c r="B646" t="s">
        <v>378</v>
      </c>
      <c r="C646" t="s">
        <v>36</v>
      </c>
      <c r="D646" s="1">
        <v>46021</v>
      </c>
      <c r="E646" t="s">
        <v>4124</v>
      </c>
      <c r="F646" t="s">
        <v>4137</v>
      </c>
    </row>
    <row r="647" spans="1:6">
      <c r="A647" t="s">
        <v>4776</v>
      </c>
      <c r="B647" t="s">
        <v>380</v>
      </c>
      <c r="C647" t="s">
        <v>40</v>
      </c>
      <c r="D647" s="1">
        <v>45843</v>
      </c>
      <c r="E647" t="s">
        <v>4135</v>
      </c>
      <c r="F647" t="s">
        <v>4137</v>
      </c>
    </row>
    <row r="648" spans="1:6">
      <c r="A648" t="s">
        <v>4777</v>
      </c>
      <c r="B648" t="s">
        <v>380</v>
      </c>
      <c r="C648" t="s">
        <v>40</v>
      </c>
      <c r="D648" s="1">
        <v>45834</v>
      </c>
      <c r="E648" t="s">
        <v>4135</v>
      </c>
      <c r="F648" t="s">
        <v>4139</v>
      </c>
    </row>
    <row r="649" spans="1:6">
      <c r="A649" t="s">
        <v>4778</v>
      </c>
      <c r="B649" t="s">
        <v>380</v>
      </c>
      <c r="C649" t="s">
        <v>40</v>
      </c>
      <c r="D649" s="1">
        <v>45844</v>
      </c>
      <c r="E649" t="s">
        <v>4127</v>
      </c>
      <c r="F649" t="s">
        <v>4139</v>
      </c>
    </row>
    <row r="650" spans="1:6">
      <c r="A650" t="s">
        <v>4779</v>
      </c>
      <c r="B650" t="s">
        <v>380</v>
      </c>
      <c r="C650" t="s">
        <v>40</v>
      </c>
      <c r="D650" s="1">
        <v>45835</v>
      </c>
      <c r="E650" t="s">
        <v>4133</v>
      </c>
      <c r="F650" t="s">
        <v>4125</v>
      </c>
    </row>
    <row r="651" spans="1:6">
      <c r="A651" t="s">
        <v>4780</v>
      </c>
      <c r="B651" t="s">
        <v>380</v>
      </c>
      <c r="C651" t="s">
        <v>40</v>
      </c>
      <c r="D651" s="1">
        <v>45834</v>
      </c>
      <c r="E651" t="s">
        <v>4135</v>
      </c>
      <c r="F651" t="s">
        <v>4125</v>
      </c>
    </row>
    <row r="652" spans="1:6">
      <c r="A652" t="s">
        <v>4781</v>
      </c>
      <c r="B652" t="s">
        <v>382</v>
      </c>
      <c r="C652" t="s">
        <v>40</v>
      </c>
      <c r="D652" s="1">
        <v>45675</v>
      </c>
      <c r="E652" t="s">
        <v>4135</v>
      </c>
      <c r="F652" t="s">
        <v>4125</v>
      </c>
    </row>
    <row r="653" spans="1:6">
      <c r="A653" t="s">
        <v>4782</v>
      </c>
      <c r="B653" t="s">
        <v>382</v>
      </c>
      <c r="C653" t="s">
        <v>40</v>
      </c>
      <c r="D653" s="1">
        <v>45682</v>
      </c>
      <c r="E653" t="s">
        <v>4135</v>
      </c>
      <c r="F653" t="s">
        <v>4139</v>
      </c>
    </row>
    <row r="654" spans="1:6">
      <c r="A654" t="s">
        <v>4783</v>
      </c>
      <c r="B654" t="s">
        <v>384</v>
      </c>
      <c r="C654" t="s">
        <v>152</v>
      </c>
      <c r="D654" s="1">
        <v>45939</v>
      </c>
      <c r="E654" t="s">
        <v>4127</v>
      </c>
      <c r="F654" t="s">
        <v>4139</v>
      </c>
    </row>
    <row r="655" spans="1:6">
      <c r="A655" t="s">
        <v>4784</v>
      </c>
      <c r="B655" t="s">
        <v>384</v>
      </c>
      <c r="C655" t="s">
        <v>152</v>
      </c>
      <c r="D655" s="1">
        <v>45963</v>
      </c>
      <c r="E655" t="s">
        <v>4129</v>
      </c>
      <c r="F655" t="s">
        <v>4137</v>
      </c>
    </row>
    <row r="656" spans="1:6">
      <c r="A656" t="s">
        <v>4785</v>
      </c>
      <c r="B656" t="s">
        <v>384</v>
      </c>
      <c r="C656" t="s">
        <v>152</v>
      </c>
      <c r="D656" s="1">
        <v>45939</v>
      </c>
      <c r="E656" t="s">
        <v>4124</v>
      </c>
      <c r="F656" t="s">
        <v>4125</v>
      </c>
    </row>
    <row r="657" spans="1:6">
      <c r="A657" t="s">
        <v>4786</v>
      </c>
      <c r="B657" t="s">
        <v>386</v>
      </c>
      <c r="C657" t="s">
        <v>46</v>
      </c>
      <c r="D657" s="1">
        <v>45880</v>
      </c>
      <c r="E657" t="s">
        <v>4129</v>
      </c>
      <c r="F657" t="s">
        <v>4125</v>
      </c>
    </row>
    <row r="658" spans="1:6">
      <c r="A658" t="s">
        <v>4787</v>
      </c>
      <c r="B658" t="s">
        <v>386</v>
      </c>
      <c r="C658" t="s">
        <v>46</v>
      </c>
      <c r="D658" s="1">
        <v>45862</v>
      </c>
      <c r="E658" t="s">
        <v>4127</v>
      </c>
      <c r="F658" t="s">
        <v>4137</v>
      </c>
    </row>
    <row r="659" spans="1:6">
      <c r="A659" t="s">
        <v>4788</v>
      </c>
      <c r="B659" t="s">
        <v>386</v>
      </c>
      <c r="C659" t="s">
        <v>46</v>
      </c>
      <c r="D659" s="1">
        <v>45894</v>
      </c>
      <c r="E659" t="s">
        <v>4129</v>
      </c>
      <c r="F659" t="s">
        <v>4139</v>
      </c>
    </row>
    <row r="660" spans="1:6">
      <c r="A660" t="s">
        <v>4789</v>
      </c>
      <c r="B660" t="s">
        <v>388</v>
      </c>
      <c r="C660" t="s">
        <v>56</v>
      </c>
      <c r="D660" s="1">
        <v>45898</v>
      </c>
      <c r="E660" t="s">
        <v>4135</v>
      </c>
      <c r="F660" t="s">
        <v>4139</v>
      </c>
    </row>
    <row r="661" spans="1:6">
      <c r="A661" t="s">
        <v>4790</v>
      </c>
      <c r="B661" t="s">
        <v>388</v>
      </c>
      <c r="C661" t="s">
        <v>56</v>
      </c>
      <c r="D661" s="1">
        <v>45897</v>
      </c>
      <c r="E661" t="s">
        <v>4127</v>
      </c>
      <c r="F661" t="s">
        <v>4137</v>
      </c>
    </row>
    <row r="662" spans="1:6">
      <c r="A662" t="s">
        <v>4791</v>
      </c>
      <c r="B662" t="s">
        <v>388</v>
      </c>
      <c r="C662" t="s">
        <v>56</v>
      </c>
      <c r="D662" s="1">
        <v>45896</v>
      </c>
      <c r="E662" t="s">
        <v>4135</v>
      </c>
      <c r="F662" t="s">
        <v>4125</v>
      </c>
    </row>
    <row r="663" spans="1:6">
      <c r="A663" t="s">
        <v>4792</v>
      </c>
      <c r="B663" t="s">
        <v>388</v>
      </c>
      <c r="C663" t="s">
        <v>56</v>
      </c>
      <c r="D663" s="1">
        <v>45896</v>
      </c>
      <c r="E663" t="s">
        <v>4133</v>
      </c>
      <c r="F663" t="s">
        <v>4125</v>
      </c>
    </row>
    <row r="664" spans="1:6">
      <c r="A664" t="s">
        <v>4793</v>
      </c>
      <c r="B664" t="s">
        <v>388</v>
      </c>
      <c r="C664" t="s">
        <v>56</v>
      </c>
      <c r="D664" s="1">
        <v>45896</v>
      </c>
      <c r="E664" t="s">
        <v>4124</v>
      </c>
      <c r="F664" t="s">
        <v>4139</v>
      </c>
    </row>
    <row r="665" spans="1:6">
      <c r="A665" t="s">
        <v>4794</v>
      </c>
      <c r="B665" t="s">
        <v>390</v>
      </c>
      <c r="C665" t="s">
        <v>91</v>
      </c>
      <c r="D665" s="1">
        <v>45799</v>
      </c>
      <c r="E665" t="s">
        <v>4135</v>
      </c>
      <c r="F665" t="s">
        <v>4125</v>
      </c>
    </row>
    <row r="666" spans="1:6">
      <c r="A666" t="s">
        <v>4795</v>
      </c>
      <c r="B666" t="s">
        <v>390</v>
      </c>
      <c r="C666" t="s">
        <v>91</v>
      </c>
      <c r="D666" s="1">
        <v>45782</v>
      </c>
      <c r="E666" t="s">
        <v>4124</v>
      </c>
      <c r="F666" t="s">
        <v>4137</v>
      </c>
    </row>
    <row r="667" spans="1:6">
      <c r="A667" t="s">
        <v>4796</v>
      </c>
      <c r="B667" t="s">
        <v>390</v>
      </c>
      <c r="C667" t="s">
        <v>91</v>
      </c>
      <c r="D667" s="1">
        <v>45811</v>
      </c>
      <c r="E667" t="s">
        <v>4127</v>
      </c>
      <c r="F667" t="s">
        <v>4137</v>
      </c>
    </row>
    <row r="668" spans="1:6">
      <c r="A668" t="s">
        <v>4797</v>
      </c>
      <c r="B668" t="s">
        <v>391</v>
      </c>
      <c r="C668" t="s">
        <v>78</v>
      </c>
      <c r="D668" s="1">
        <v>46005</v>
      </c>
      <c r="E668" t="s">
        <v>4135</v>
      </c>
      <c r="F668" t="s">
        <v>4125</v>
      </c>
    </row>
    <row r="669" spans="1:6">
      <c r="A669" t="s">
        <v>4798</v>
      </c>
      <c r="B669" t="s">
        <v>391</v>
      </c>
      <c r="C669" t="s">
        <v>78</v>
      </c>
      <c r="D669" s="1">
        <v>46021</v>
      </c>
      <c r="E669" t="s">
        <v>4129</v>
      </c>
      <c r="F669" t="s">
        <v>4139</v>
      </c>
    </row>
    <row r="670" spans="1:6">
      <c r="A670" t="s">
        <v>4799</v>
      </c>
      <c r="B670" t="s">
        <v>391</v>
      </c>
      <c r="C670" t="s">
        <v>78</v>
      </c>
      <c r="D670" s="1">
        <v>46002</v>
      </c>
      <c r="E670" t="s">
        <v>4133</v>
      </c>
      <c r="F670" t="s">
        <v>4125</v>
      </c>
    </row>
    <row r="671" spans="1:6">
      <c r="A671" t="s">
        <v>4800</v>
      </c>
      <c r="B671" t="s">
        <v>393</v>
      </c>
      <c r="C671" t="s">
        <v>27</v>
      </c>
      <c r="D671" s="1">
        <v>45761</v>
      </c>
      <c r="E671" t="s">
        <v>4124</v>
      </c>
      <c r="F671" t="s">
        <v>4125</v>
      </c>
    </row>
    <row r="672" spans="1:6">
      <c r="A672" t="s">
        <v>4801</v>
      </c>
      <c r="B672" t="s">
        <v>393</v>
      </c>
      <c r="C672" t="s">
        <v>27</v>
      </c>
      <c r="D672" s="1">
        <v>45772</v>
      </c>
      <c r="E672" t="s">
        <v>4127</v>
      </c>
      <c r="F672" t="s">
        <v>4139</v>
      </c>
    </row>
    <row r="673" spans="1:6">
      <c r="A673" t="s">
        <v>4802</v>
      </c>
      <c r="B673" t="s">
        <v>393</v>
      </c>
      <c r="C673" t="s">
        <v>27</v>
      </c>
      <c r="D673" s="1">
        <v>45776</v>
      </c>
      <c r="E673" t="s">
        <v>4135</v>
      </c>
      <c r="F673" t="s">
        <v>4139</v>
      </c>
    </row>
    <row r="674" spans="1:6">
      <c r="A674" t="s">
        <v>4803</v>
      </c>
      <c r="B674" t="s">
        <v>393</v>
      </c>
      <c r="C674" t="s">
        <v>27</v>
      </c>
      <c r="D674" s="1">
        <v>45756</v>
      </c>
      <c r="E674" t="s">
        <v>4135</v>
      </c>
      <c r="F674" t="s">
        <v>4139</v>
      </c>
    </row>
    <row r="675" spans="1:6">
      <c r="A675" t="s">
        <v>4804</v>
      </c>
      <c r="B675" t="s">
        <v>393</v>
      </c>
      <c r="C675" t="s">
        <v>27</v>
      </c>
      <c r="D675" s="1">
        <v>45776</v>
      </c>
      <c r="E675" t="s">
        <v>4129</v>
      </c>
      <c r="F675" t="s">
        <v>4125</v>
      </c>
    </row>
    <row r="676" spans="1:6">
      <c r="A676" t="s">
        <v>4805</v>
      </c>
      <c r="B676" t="s">
        <v>395</v>
      </c>
      <c r="C676" t="s">
        <v>63</v>
      </c>
      <c r="D676" s="1">
        <v>46001</v>
      </c>
      <c r="E676" t="s">
        <v>4135</v>
      </c>
      <c r="F676" t="s">
        <v>4125</v>
      </c>
    </row>
    <row r="677" spans="1:6">
      <c r="A677" t="s">
        <v>4806</v>
      </c>
      <c r="B677" t="s">
        <v>395</v>
      </c>
      <c r="C677" t="s">
        <v>63</v>
      </c>
      <c r="D677" s="1">
        <v>46001</v>
      </c>
      <c r="E677" t="s">
        <v>4127</v>
      </c>
      <c r="F677" t="s">
        <v>4139</v>
      </c>
    </row>
    <row r="678" spans="1:6">
      <c r="A678" t="s">
        <v>4807</v>
      </c>
      <c r="B678" t="s">
        <v>397</v>
      </c>
      <c r="C678" t="s">
        <v>22</v>
      </c>
      <c r="D678" s="1">
        <v>45917</v>
      </c>
      <c r="E678" t="s">
        <v>4124</v>
      </c>
      <c r="F678" t="s">
        <v>4139</v>
      </c>
    </row>
    <row r="679" spans="1:6">
      <c r="A679" t="s">
        <v>4808</v>
      </c>
      <c r="B679" t="s">
        <v>397</v>
      </c>
      <c r="C679" t="s">
        <v>22</v>
      </c>
      <c r="D679" s="1">
        <v>45912</v>
      </c>
      <c r="E679" t="s">
        <v>4135</v>
      </c>
      <c r="F679" t="s">
        <v>4139</v>
      </c>
    </row>
    <row r="680" spans="1:6">
      <c r="A680" t="s">
        <v>4809</v>
      </c>
      <c r="B680" t="s">
        <v>399</v>
      </c>
      <c r="C680" t="s">
        <v>56</v>
      </c>
      <c r="D680" s="1">
        <v>45948</v>
      </c>
      <c r="E680" t="s">
        <v>4124</v>
      </c>
      <c r="F680" t="s">
        <v>4125</v>
      </c>
    </row>
    <row r="681" spans="1:6">
      <c r="A681" t="s">
        <v>4810</v>
      </c>
      <c r="B681" t="s">
        <v>399</v>
      </c>
      <c r="C681" t="s">
        <v>56</v>
      </c>
      <c r="D681" s="1">
        <v>45912</v>
      </c>
      <c r="E681" t="s">
        <v>4129</v>
      </c>
      <c r="F681" t="s">
        <v>4139</v>
      </c>
    </row>
    <row r="682" spans="1:6">
      <c r="A682" t="s">
        <v>4811</v>
      </c>
      <c r="B682" t="s">
        <v>399</v>
      </c>
      <c r="C682" t="s">
        <v>56</v>
      </c>
      <c r="D682" s="1">
        <v>45965</v>
      </c>
      <c r="E682" t="s">
        <v>4124</v>
      </c>
      <c r="F682" t="s">
        <v>4139</v>
      </c>
    </row>
    <row r="683" spans="1:6">
      <c r="A683" t="s">
        <v>4812</v>
      </c>
      <c r="B683" t="s">
        <v>399</v>
      </c>
      <c r="C683" t="s">
        <v>56</v>
      </c>
      <c r="D683" s="1">
        <v>45939</v>
      </c>
      <c r="E683" t="s">
        <v>4129</v>
      </c>
      <c r="F683" t="s">
        <v>4125</v>
      </c>
    </row>
    <row r="684" spans="1:6">
      <c r="A684" t="s">
        <v>4813</v>
      </c>
      <c r="B684" t="s">
        <v>399</v>
      </c>
      <c r="C684" t="s">
        <v>56</v>
      </c>
      <c r="D684" s="1">
        <v>45958</v>
      </c>
      <c r="E684" t="s">
        <v>4133</v>
      </c>
      <c r="F684" t="s">
        <v>4125</v>
      </c>
    </row>
    <row r="685" spans="1:6">
      <c r="A685" t="s">
        <v>4814</v>
      </c>
      <c r="B685" t="s">
        <v>400</v>
      </c>
      <c r="C685" t="s">
        <v>46</v>
      </c>
      <c r="D685" s="1">
        <v>45782</v>
      </c>
      <c r="E685" t="s">
        <v>4127</v>
      </c>
      <c r="F685" t="s">
        <v>4125</v>
      </c>
    </row>
    <row r="686" spans="1:6">
      <c r="A686" t="s">
        <v>4815</v>
      </c>
      <c r="B686" t="s">
        <v>400</v>
      </c>
      <c r="C686" t="s">
        <v>46</v>
      </c>
      <c r="D686" s="1">
        <v>45758</v>
      </c>
      <c r="E686" t="s">
        <v>4129</v>
      </c>
      <c r="F686" t="s">
        <v>4139</v>
      </c>
    </row>
    <row r="687" spans="1:6">
      <c r="A687" t="s">
        <v>4816</v>
      </c>
      <c r="B687" t="s">
        <v>400</v>
      </c>
      <c r="C687" t="s">
        <v>46</v>
      </c>
      <c r="D687" s="1">
        <v>45784</v>
      </c>
      <c r="E687" t="s">
        <v>4124</v>
      </c>
      <c r="F687" t="s">
        <v>4139</v>
      </c>
    </row>
    <row r="688" spans="1:6">
      <c r="A688" t="s">
        <v>4817</v>
      </c>
      <c r="B688" t="s">
        <v>401</v>
      </c>
      <c r="C688" t="s">
        <v>46</v>
      </c>
      <c r="D688" s="1">
        <v>45807</v>
      </c>
      <c r="E688" t="s">
        <v>4133</v>
      </c>
      <c r="F688" t="s">
        <v>4139</v>
      </c>
    </row>
    <row r="689" spans="1:6">
      <c r="A689" t="s">
        <v>4818</v>
      </c>
      <c r="B689" t="s">
        <v>401</v>
      </c>
      <c r="C689" t="s">
        <v>46</v>
      </c>
      <c r="D689" s="1">
        <v>45808</v>
      </c>
      <c r="E689" t="s">
        <v>4129</v>
      </c>
      <c r="F689" t="s">
        <v>4125</v>
      </c>
    </row>
    <row r="690" spans="1:6">
      <c r="A690" t="s">
        <v>4819</v>
      </c>
      <c r="B690" t="s">
        <v>401</v>
      </c>
      <c r="C690" t="s">
        <v>46</v>
      </c>
      <c r="D690" s="1">
        <v>45775</v>
      </c>
      <c r="E690" t="s">
        <v>4124</v>
      </c>
      <c r="F690" t="s">
        <v>4139</v>
      </c>
    </row>
    <row r="691" spans="1:6">
      <c r="A691" t="s">
        <v>4820</v>
      </c>
      <c r="B691" t="s">
        <v>401</v>
      </c>
      <c r="C691" t="s">
        <v>46</v>
      </c>
      <c r="D691" s="1">
        <v>45782</v>
      </c>
      <c r="E691" t="s">
        <v>4127</v>
      </c>
      <c r="F691" t="s">
        <v>4125</v>
      </c>
    </row>
    <row r="692" spans="1:6">
      <c r="A692" t="s">
        <v>4821</v>
      </c>
      <c r="B692" t="s">
        <v>403</v>
      </c>
      <c r="C692" t="s">
        <v>78</v>
      </c>
      <c r="D692" s="1">
        <v>45769</v>
      </c>
      <c r="E692" t="s">
        <v>4129</v>
      </c>
      <c r="F692" t="s">
        <v>4137</v>
      </c>
    </row>
    <row r="693" spans="1:6">
      <c r="A693" t="s">
        <v>4822</v>
      </c>
      <c r="B693" t="s">
        <v>403</v>
      </c>
      <c r="C693" t="s">
        <v>78</v>
      </c>
      <c r="D693" s="1">
        <v>45726</v>
      </c>
      <c r="E693" t="s">
        <v>4135</v>
      </c>
      <c r="F693" t="s">
        <v>4137</v>
      </c>
    </row>
    <row r="694" spans="1:6">
      <c r="A694" t="s">
        <v>4823</v>
      </c>
      <c r="B694" t="s">
        <v>403</v>
      </c>
      <c r="C694" t="s">
        <v>78</v>
      </c>
      <c r="D694" s="1">
        <v>45740</v>
      </c>
      <c r="E694" t="s">
        <v>4135</v>
      </c>
      <c r="F694" t="s">
        <v>4139</v>
      </c>
    </row>
    <row r="695" spans="1:6">
      <c r="A695" t="s">
        <v>4824</v>
      </c>
      <c r="B695" t="s">
        <v>405</v>
      </c>
      <c r="C695" t="s">
        <v>27</v>
      </c>
      <c r="D695" s="1">
        <v>45897</v>
      </c>
      <c r="E695" t="s">
        <v>4133</v>
      </c>
      <c r="F695" t="s">
        <v>4125</v>
      </c>
    </row>
    <row r="696" spans="1:6">
      <c r="A696" t="s">
        <v>4825</v>
      </c>
      <c r="B696" t="s">
        <v>405</v>
      </c>
      <c r="C696" t="s">
        <v>27</v>
      </c>
      <c r="D696" s="1">
        <v>45904</v>
      </c>
      <c r="E696" t="s">
        <v>4133</v>
      </c>
      <c r="F696" t="s">
        <v>4137</v>
      </c>
    </row>
    <row r="697" spans="1:6">
      <c r="A697" t="s">
        <v>4826</v>
      </c>
      <c r="B697" t="s">
        <v>405</v>
      </c>
      <c r="C697" t="s">
        <v>27</v>
      </c>
      <c r="D697" s="1">
        <v>45935</v>
      </c>
      <c r="E697" t="s">
        <v>4124</v>
      </c>
      <c r="F697" t="s">
        <v>4125</v>
      </c>
    </row>
    <row r="698" spans="1:6">
      <c r="A698" t="s">
        <v>4827</v>
      </c>
      <c r="B698" t="s">
        <v>407</v>
      </c>
      <c r="C698" t="s">
        <v>56</v>
      </c>
      <c r="D698" s="1">
        <v>45920</v>
      </c>
      <c r="E698" t="s">
        <v>4129</v>
      </c>
      <c r="F698" t="s">
        <v>4125</v>
      </c>
    </row>
    <row r="699" spans="1:6">
      <c r="A699" t="s">
        <v>4828</v>
      </c>
      <c r="B699" t="s">
        <v>407</v>
      </c>
      <c r="C699" t="s">
        <v>56</v>
      </c>
      <c r="D699" s="1">
        <v>45910</v>
      </c>
      <c r="E699" t="s">
        <v>4135</v>
      </c>
      <c r="F699" t="s">
        <v>4125</v>
      </c>
    </row>
    <row r="700" spans="1:6">
      <c r="A700" t="s">
        <v>4829</v>
      </c>
      <c r="B700" t="s">
        <v>407</v>
      </c>
      <c r="C700" t="s">
        <v>56</v>
      </c>
      <c r="D700" s="1">
        <v>45945</v>
      </c>
      <c r="E700" t="s">
        <v>4129</v>
      </c>
      <c r="F700" t="s">
        <v>4125</v>
      </c>
    </row>
    <row r="701" spans="1:6">
      <c r="A701" t="s">
        <v>4830</v>
      </c>
      <c r="B701" t="s">
        <v>407</v>
      </c>
      <c r="C701" t="s">
        <v>56</v>
      </c>
      <c r="D701" s="1">
        <v>45981</v>
      </c>
      <c r="E701" t="s">
        <v>4135</v>
      </c>
      <c r="F701" t="s">
        <v>4139</v>
      </c>
    </row>
    <row r="702" spans="1:6">
      <c r="A702" t="s">
        <v>4831</v>
      </c>
      <c r="B702" t="s">
        <v>407</v>
      </c>
      <c r="C702" t="s">
        <v>56</v>
      </c>
      <c r="D702" s="1">
        <v>45933</v>
      </c>
      <c r="E702" t="s">
        <v>4135</v>
      </c>
      <c r="F702" t="s">
        <v>4139</v>
      </c>
    </row>
    <row r="703" spans="1:6">
      <c r="A703" t="s">
        <v>4832</v>
      </c>
      <c r="B703" t="s">
        <v>408</v>
      </c>
      <c r="C703" t="s">
        <v>27</v>
      </c>
      <c r="D703" s="1">
        <v>45738</v>
      </c>
      <c r="E703" t="s">
        <v>4133</v>
      </c>
      <c r="F703" t="s">
        <v>4137</v>
      </c>
    </row>
    <row r="704" spans="1:6">
      <c r="A704" t="s">
        <v>4833</v>
      </c>
      <c r="B704" t="s">
        <v>408</v>
      </c>
      <c r="C704" t="s">
        <v>27</v>
      </c>
      <c r="D704" s="1">
        <v>45754</v>
      </c>
      <c r="E704" t="s">
        <v>4135</v>
      </c>
      <c r="F704" t="s">
        <v>4125</v>
      </c>
    </row>
    <row r="705" spans="1:6">
      <c r="A705" t="s">
        <v>4834</v>
      </c>
      <c r="B705" t="s">
        <v>409</v>
      </c>
      <c r="C705" t="s">
        <v>119</v>
      </c>
      <c r="D705" s="1">
        <v>45953</v>
      </c>
      <c r="E705" t="s">
        <v>4127</v>
      </c>
      <c r="F705" t="s">
        <v>4137</v>
      </c>
    </row>
    <row r="706" spans="1:6">
      <c r="A706" t="s">
        <v>4835</v>
      </c>
      <c r="B706" t="s">
        <v>409</v>
      </c>
      <c r="C706" t="s">
        <v>119</v>
      </c>
      <c r="D706" s="1">
        <v>45962</v>
      </c>
      <c r="E706" t="s">
        <v>4124</v>
      </c>
      <c r="F706" t="s">
        <v>4139</v>
      </c>
    </row>
    <row r="707" spans="1:6">
      <c r="A707" t="s">
        <v>4836</v>
      </c>
      <c r="B707" t="s">
        <v>411</v>
      </c>
      <c r="C707" t="s">
        <v>63</v>
      </c>
      <c r="D707" s="1">
        <v>45707</v>
      </c>
      <c r="E707" t="s">
        <v>4135</v>
      </c>
      <c r="F707" t="s">
        <v>4125</v>
      </c>
    </row>
    <row r="708" spans="1:6">
      <c r="A708" t="s">
        <v>4837</v>
      </c>
      <c r="B708" t="s">
        <v>411</v>
      </c>
      <c r="C708" t="s">
        <v>63</v>
      </c>
      <c r="D708" s="1">
        <v>45697</v>
      </c>
      <c r="E708" t="s">
        <v>4129</v>
      </c>
      <c r="F708" t="s">
        <v>4139</v>
      </c>
    </row>
    <row r="709" spans="1:6">
      <c r="A709" t="s">
        <v>4838</v>
      </c>
      <c r="B709" t="s">
        <v>411</v>
      </c>
      <c r="C709" t="s">
        <v>63</v>
      </c>
      <c r="D709" s="1">
        <v>45694</v>
      </c>
      <c r="E709" t="s">
        <v>4129</v>
      </c>
      <c r="F709" t="s">
        <v>4125</v>
      </c>
    </row>
    <row r="710" spans="1:6">
      <c r="A710" t="s">
        <v>4839</v>
      </c>
      <c r="B710" t="s">
        <v>411</v>
      </c>
      <c r="C710" t="s">
        <v>63</v>
      </c>
      <c r="D710" s="1">
        <v>45711</v>
      </c>
      <c r="E710" t="s">
        <v>4129</v>
      </c>
      <c r="F710" t="s">
        <v>4139</v>
      </c>
    </row>
    <row r="711" spans="1:6">
      <c r="A711" t="s">
        <v>4840</v>
      </c>
      <c r="B711" t="s">
        <v>411</v>
      </c>
      <c r="C711" t="s">
        <v>63</v>
      </c>
      <c r="D711" s="1">
        <v>45706</v>
      </c>
      <c r="E711" t="s">
        <v>4129</v>
      </c>
      <c r="F711" t="s">
        <v>4125</v>
      </c>
    </row>
    <row r="712" spans="1:6">
      <c r="A712" t="s">
        <v>4841</v>
      </c>
      <c r="B712" t="s">
        <v>413</v>
      </c>
      <c r="C712" t="s">
        <v>56</v>
      </c>
      <c r="D712" s="1">
        <v>45886</v>
      </c>
      <c r="E712" t="s">
        <v>4124</v>
      </c>
      <c r="F712" t="s">
        <v>4137</v>
      </c>
    </row>
    <row r="713" spans="1:6">
      <c r="A713" t="s">
        <v>4842</v>
      </c>
      <c r="B713" t="s">
        <v>413</v>
      </c>
      <c r="C713" t="s">
        <v>56</v>
      </c>
      <c r="D713" s="1">
        <v>45843</v>
      </c>
      <c r="E713" t="s">
        <v>4129</v>
      </c>
      <c r="F713" t="s">
        <v>4139</v>
      </c>
    </row>
    <row r="714" spans="1:6">
      <c r="A714" t="s">
        <v>4843</v>
      </c>
      <c r="B714" t="s">
        <v>413</v>
      </c>
      <c r="C714" t="s">
        <v>56</v>
      </c>
      <c r="D714" s="1">
        <v>45857</v>
      </c>
      <c r="E714" t="s">
        <v>4135</v>
      </c>
      <c r="F714" t="s">
        <v>4139</v>
      </c>
    </row>
    <row r="715" spans="1:6">
      <c r="A715" t="s">
        <v>4844</v>
      </c>
      <c r="B715" t="s">
        <v>413</v>
      </c>
      <c r="C715" t="s">
        <v>56</v>
      </c>
      <c r="D715" s="1">
        <v>45835</v>
      </c>
      <c r="E715" t="s">
        <v>4133</v>
      </c>
      <c r="F715" t="s">
        <v>4137</v>
      </c>
    </row>
    <row r="716" spans="1:6">
      <c r="A716" t="s">
        <v>4845</v>
      </c>
      <c r="B716" t="s">
        <v>413</v>
      </c>
      <c r="C716" t="s">
        <v>56</v>
      </c>
      <c r="D716" s="1">
        <v>45900</v>
      </c>
      <c r="E716" t="s">
        <v>4133</v>
      </c>
      <c r="F716" t="s">
        <v>4125</v>
      </c>
    </row>
    <row r="717" spans="1:6">
      <c r="A717" t="s">
        <v>4846</v>
      </c>
      <c r="B717" t="s">
        <v>415</v>
      </c>
      <c r="C717" t="s">
        <v>50</v>
      </c>
      <c r="D717" s="1">
        <v>45914</v>
      </c>
      <c r="E717" t="s">
        <v>4127</v>
      </c>
      <c r="F717" t="s">
        <v>4137</v>
      </c>
    </row>
    <row r="718" spans="1:6">
      <c r="A718" t="s">
        <v>4847</v>
      </c>
      <c r="B718" t="s">
        <v>415</v>
      </c>
      <c r="C718" t="s">
        <v>50</v>
      </c>
      <c r="D718" s="1">
        <v>45874</v>
      </c>
      <c r="E718" t="s">
        <v>4127</v>
      </c>
      <c r="F718" t="s">
        <v>4137</v>
      </c>
    </row>
    <row r="719" spans="1:6">
      <c r="A719" t="s">
        <v>4848</v>
      </c>
      <c r="B719" t="s">
        <v>415</v>
      </c>
      <c r="C719" t="s">
        <v>50</v>
      </c>
      <c r="D719" s="1">
        <v>45902</v>
      </c>
      <c r="E719" t="s">
        <v>4129</v>
      </c>
      <c r="F719" t="s">
        <v>4137</v>
      </c>
    </row>
    <row r="720" spans="1:6">
      <c r="A720" t="s">
        <v>4849</v>
      </c>
      <c r="B720" t="s">
        <v>417</v>
      </c>
      <c r="C720" t="s">
        <v>46</v>
      </c>
      <c r="D720" s="1">
        <v>46012</v>
      </c>
      <c r="E720" t="s">
        <v>4127</v>
      </c>
      <c r="F720" t="s">
        <v>4137</v>
      </c>
    </row>
    <row r="721" spans="1:6">
      <c r="A721" t="s">
        <v>4850</v>
      </c>
      <c r="B721" t="s">
        <v>417</v>
      </c>
      <c r="C721" t="s">
        <v>46</v>
      </c>
      <c r="D721" s="1">
        <v>46019</v>
      </c>
      <c r="E721" t="s">
        <v>4124</v>
      </c>
      <c r="F721" t="s">
        <v>4137</v>
      </c>
    </row>
    <row r="722" spans="1:6">
      <c r="A722" t="s">
        <v>4851</v>
      </c>
      <c r="B722" t="s">
        <v>417</v>
      </c>
      <c r="C722" t="s">
        <v>46</v>
      </c>
      <c r="D722" s="1">
        <v>46021</v>
      </c>
      <c r="E722" t="s">
        <v>4133</v>
      </c>
      <c r="F722" t="s">
        <v>4125</v>
      </c>
    </row>
    <row r="723" spans="1:6">
      <c r="A723" t="s">
        <v>4852</v>
      </c>
      <c r="B723" t="s">
        <v>419</v>
      </c>
      <c r="C723" t="s">
        <v>75</v>
      </c>
      <c r="D723" s="1">
        <v>46012</v>
      </c>
      <c r="E723" t="s">
        <v>4127</v>
      </c>
      <c r="F723" t="s">
        <v>4125</v>
      </c>
    </row>
    <row r="724" spans="1:6">
      <c r="A724" t="s">
        <v>4853</v>
      </c>
      <c r="B724" t="s">
        <v>419</v>
      </c>
      <c r="C724" t="s">
        <v>75</v>
      </c>
      <c r="D724" s="1">
        <v>46022</v>
      </c>
      <c r="E724" t="s">
        <v>4127</v>
      </c>
      <c r="F724" t="s">
        <v>4125</v>
      </c>
    </row>
    <row r="725" spans="1:6">
      <c r="A725" t="s">
        <v>4854</v>
      </c>
      <c r="B725" t="s">
        <v>421</v>
      </c>
      <c r="C725" t="s">
        <v>78</v>
      </c>
      <c r="D725" s="1">
        <v>45977</v>
      </c>
      <c r="E725" t="s">
        <v>4129</v>
      </c>
      <c r="F725" t="s">
        <v>4139</v>
      </c>
    </row>
    <row r="726" spans="1:6">
      <c r="A726" t="s">
        <v>4855</v>
      </c>
      <c r="B726" t="s">
        <v>421</v>
      </c>
      <c r="C726" t="s">
        <v>78</v>
      </c>
      <c r="D726" s="1">
        <v>45989</v>
      </c>
      <c r="E726" t="s">
        <v>4129</v>
      </c>
      <c r="F726" t="s">
        <v>4137</v>
      </c>
    </row>
    <row r="727" spans="1:6">
      <c r="A727" t="s">
        <v>4856</v>
      </c>
      <c r="B727" t="s">
        <v>421</v>
      </c>
      <c r="C727" t="s">
        <v>78</v>
      </c>
      <c r="D727" s="1">
        <v>45964</v>
      </c>
      <c r="E727" t="s">
        <v>4129</v>
      </c>
      <c r="F727" t="s">
        <v>4139</v>
      </c>
    </row>
    <row r="728" spans="1:6">
      <c r="A728" t="s">
        <v>4857</v>
      </c>
      <c r="B728" t="s">
        <v>421</v>
      </c>
      <c r="C728" t="s">
        <v>78</v>
      </c>
      <c r="D728" s="1">
        <v>46003</v>
      </c>
      <c r="E728" t="s">
        <v>4127</v>
      </c>
      <c r="F728" t="s">
        <v>4125</v>
      </c>
    </row>
    <row r="729" spans="1:6">
      <c r="A729" t="s">
        <v>4858</v>
      </c>
      <c r="B729" t="s">
        <v>422</v>
      </c>
      <c r="C729" t="s">
        <v>70</v>
      </c>
      <c r="D729" s="1">
        <v>45864</v>
      </c>
      <c r="E729" t="s">
        <v>4127</v>
      </c>
      <c r="F729" t="s">
        <v>4139</v>
      </c>
    </row>
    <row r="730" spans="1:6">
      <c r="A730" t="s">
        <v>4859</v>
      </c>
      <c r="B730" t="s">
        <v>422</v>
      </c>
      <c r="C730" t="s">
        <v>70</v>
      </c>
      <c r="D730" s="1">
        <v>45811</v>
      </c>
      <c r="E730" t="s">
        <v>4127</v>
      </c>
      <c r="F730" t="s">
        <v>4139</v>
      </c>
    </row>
    <row r="731" spans="1:6">
      <c r="A731" t="s">
        <v>4860</v>
      </c>
      <c r="B731" t="s">
        <v>422</v>
      </c>
      <c r="C731" t="s">
        <v>70</v>
      </c>
      <c r="D731" s="1">
        <v>45822</v>
      </c>
      <c r="E731" t="s">
        <v>4133</v>
      </c>
      <c r="F731" t="s">
        <v>4137</v>
      </c>
    </row>
    <row r="732" spans="1:6">
      <c r="A732" t="s">
        <v>4861</v>
      </c>
      <c r="B732" t="s">
        <v>424</v>
      </c>
      <c r="C732" t="s">
        <v>36</v>
      </c>
      <c r="D732" s="1">
        <v>45923</v>
      </c>
      <c r="E732" t="s">
        <v>4133</v>
      </c>
      <c r="F732" t="s">
        <v>4125</v>
      </c>
    </row>
    <row r="733" spans="1:6">
      <c r="A733" t="s">
        <v>4862</v>
      </c>
      <c r="B733" t="s">
        <v>424</v>
      </c>
      <c r="C733" t="s">
        <v>36</v>
      </c>
      <c r="D733" s="1">
        <v>45957</v>
      </c>
      <c r="E733" t="s">
        <v>4135</v>
      </c>
      <c r="F733" t="s">
        <v>4139</v>
      </c>
    </row>
    <row r="734" spans="1:6">
      <c r="A734" t="s">
        <v>4863</v>
      </c>
      <c r="B734" t="s">
        <v>424</v>
      </c>
      <c r="C734" t="s">
        <v>36</v>
      </c>
      <c r="D734" s="1">
        <v>45960</v>
      </c>
      <c r="E734" t="s">
        <v>4133</v>
      </c>
      <c r="F734" t="s">
        <v>4137</v>
      </c>
    </row>
    <row r="735" spans="1:6">
      <c r="A735" t="s">
        <v>4864</v>
      </c>
      <c r="B735" t="s">
        <v>424</v>
      </c>
      <c r="C735" t="s">
        <v>36</v>
      </c>
      <c r="D735" s="1">
        <v>45938</v>
      </c>
      <c r="E735" t="s">
        <v>4129</v>
      </c>
      <c r="F735" t="s">
        <v>4139</v>
      </c>
    </row>
    <row r="736" spans="1:6">
      <c r="A736" t="s">
        <v>4865</v>
      </c>
      <c r="B736" t="s">
        <v>425</v>
      </c>
      <c r="C736" t="s">
        <v>46</v>
      </c>
      <c r="D736" s="1">
        <v>46017</v>
      </c>
      <c r="E736" t="s">
        <v>4127</v>
      </c>
      <c r="F736" t="s">
        <v>4139</v>
      </c>
    </row>
    <row r="737" spans="1:6">
      <c r="A737" t="s">
        <v>4866</v>
      </c>
      <c r="B737" t="s">
        <v>425</v>
      </c>
      <c r="C737" t="s">
        <v>46</v>
      </c>
      <c r="D737" s="1">
        <v>46018</v>
      </c>
      <c r="E737" t="s">
        <v>4127</v>
      </c>
      <c r="F737" t="s">
        <v>4125</v>
      </c>
    </row>
    <row r="738" spans="1:6">
      <c r="A738" t="s">
        <v>4867</v>
      </c>
      <c r="B738" t="s">
        <v>427</v>
      </c>
      <c r="C738" t="s">
        <v>152</v>
      </c>
      <c r="D738" s="1">
        <v>45777</v>
      </c>
      <c r="E738" t="s">
        <v>4135</v>
      </c>
      <c r="F738" t="s">
        <v>4139</v>
      </c>
    </row>
    <row r="739" spans="1:6">
      <c r="A739" t="s">
        <v>4868</v>
      </c>
      <c r="B739" t="s">
        <v>427</v>
      </c>
      <c r="C739" t="s">
        <v>152</v>
      </c>
      <c r="D739" s="1">
        <v>45777</v>
      </c>
      <c r="E739" t="s">
        <v>4133</v>
      </c>
      <c r="F739" t="s">
        <v>4139</v>
      </c>
    </row>
    <row r="740" spans="1:6">
      <c r="A740" t="s">
        <v>4869</v>
      </c>
      <c r="B740" t="s">
        <v>429</v>
      </c>
      <c r="C740" t="s">
        <v>56</v>
      </c>
      <c r="D740" s="1">
        <v>45939</v>
      </c>
      <c r="E740" t="s">
        <v>4127</v>
      </c>
      <c r="F740" t="s">
        <v>4125</v>
      </c>
    </row>
    <row r="741" spans="1:6">
      <c r="A741" t="s">
        <v>4870</v>
      </c>
      <c r="B741" t="s">
        <v>429</v>
      </c>
      <c r="C741" t="s">
        <v>56</v>
      </c>
      <c r="D741" s="1">
        <v>45952</v>
      </c>
      <c r="E741" t="s">
        <v>4135</v>
      </c>
      <c r="F741" t="s">
        <v>4139</v>
      </c>
    </row>
    <row r="742" spans="1:6">
      <c r="A742" t="s">
        <v>4871</v>
      </c>
      <c r="B742" t="s">
        <v>429</v>
      </c>
      <c r="C742" t="s">
        <v>56</v>
      </c>
      <c r="D742" s="1">
        <v>45960</v>
      </c>
      <c r="E742" t="s">
        <v>4129</v>
      </c>
      <c r="F742" t="s">
        <v>4137</v>
      </c>
    </row>
    <row r="743" spans="1:6">
      <c r="A743" t="s">
        <v>4872</v>
      </c>
      <c r="B743" t="s">
        <v>429</v>
      </c>
      <c r="C743" t="s">
        <v>56</v>
      </c>
      <c r="D743" s="1">
        <v>45990</v>
      </c>
      <c r="E743" t="s">
        <v>4124</v>
      </c>
      <c r="F743" t="s">
        <v>4139</v>
      </c>
    </row>
    <row r="744" spans="1:6">
      <c r="A744" t="s">
        <v>4873</v>
      </c>
      <c r="B744" t="s">
        <v>430</v>
      </c>
      <c r="C744" t="s">
        <v>59</v>
      </c>
      <c r="D744" s="1">
        <v>46008</v>
      </c>
      <c r="E744" t="s">
        <v>4129</v>
      </c>
      <c r="F744" t="s">
        <v>4125</v>
      </c>
    </row>
    <row r="745" spans="1:6">
      <c r="A745" t="s">
        <v>4874</v>
      </c>
      <c r="B745" t="s">
        <v>430</v>
      </c>
      <c r="C745" t="s">
        <v>59</v>
      </c>
      <c r="D745" s="1">
        <v>46017</v>
      </c>
      <c r="E745" t="s">
        <v>4129</v>
      </c>
      <c r="F745" t="s">
        <v>4137</v>
      </c>
    </row>
    <row r="746" spans="1:6">
      <c r="A746" t="s">
        <v>4875</v>
      </c>
      <c r="B746" t="s">
        <v>430</v>
      </c>
      <c r="C746" t="s">
        <v>59</v>
      </c>
      <c r="D746" s="1">
        <v>46012</v>
      </c>
      <c r="E746" t="s">
        <v>4127</v>
      </c>
      <c r="F746" t="s">
        <v>4139</v>
      </c>
    </row>
    <row r="747" spans="1:6">
      <c r="A747" t="s">
        <v>4876</v>
      </c>
      <c r="B747" t="s">
        <v>430</v>
      </c>
      <c r="C747" t="s">
        <v>59</v>
      </c>
      <c r="D747" s="1">
        <v>46020</v>
      </c>
      <c r="E747" t="s">
        <v>4133</v>
      </c>
      <c r="F747" t="s">
        <v>4137</v>
      </c>
    </row>
    <row r="748" spans="1:6">
      <c r="A748" t="s">
        <v>4877</v>
      </c>
      <c r="B748" t="s">
        <v>430</v>
      </c>
      <c r="C748" t="s">
        <v>59</v>
      </c>
      <c r="D748" s="1">
        <v>46021</v>
      </c>
      <c r="E748" t="s">
        <v>4135</v>
      </c>
      <c r="F748" t="s">
        <v>4139</v>
      </c>
    </row>
    <row r="749" spans="1:6">
      <c r="A749" t="s">
        <v>4878</v>
      </c>
      <c r="B749" t="s">
        <v>432</v>
      </c>
      <c r="C749" t="s">
        <v>22</v>
      </c>
      <c r="D749" s="1">
        <v>45753</v>
      </c>
      <c r="E749" t="s">
        <v>4124</v>
      </c>
      <c r="F749" t="s">
        <v>4139</v>
      </c>
    </row>
    <row r="750" spans="1:6">
      <c r="A750" t="s">
        <v>4879</v>
      </c>
      <c r="B750" t="s">
        <v>432</v>
      </c>
      <c r="C750" t="s">
        <v>22</v>
      </c>
      <c r="D750" s="1">
        <v>45749</v>
      </c>
      <c r="E750" t="s">
        <v>4127</v>
      </c>
      <c r="F750" t="s">
        <v>4137</v>
      </c>
    </row>
    <row r="751" spans="1:6">
      <c r="A751" t="s">
        <v>4880</v>
      </c>
      <c r="B751" t="s">
        <v>432</v>
      </c>
      <c r="C751" t="s">
        <v>22</v>
      </c>
      <c r="D751" s="1">
        <v>45769</v>
      </c>
      <c r="E751" t="s">
        <v>4133</v>
      </c>
      <c r="F751" t="s">
        <v>4139</v>
      </c>
    </row>
    <row r="752" spans="1:6">
      <c r="A752" t="s">
        <v>4881</v>
      </c>
      <c r="B752" t="s">
        <v>432</v>
      </c>
      <c r="C752" t="s">
        <v>22</v>
      </c>
      <c r="D752" s="1">
        <v>45767</v>
      </c>
      <c r="E752" t="s">
        <v>4133</v>
      </c>
      <c r="F752" t="s">
        <v>4137</v>
      </c>
    </row>
    <row r="753" spans="1:6">
      <c r="A753" t="s">
        <v>4882</v>
      </c>
      <c r="B753" t="s">
        <v>434</v>
      </c>
      <c r="C753" t="s">
        <v>126</v>
      </c>
      <c r="D753" s="1">
        <v>45815</v>
      </c>
      <c r="E753" t="s">
        <v>4127</v>
      </c>
      <c r="F753" t="s">
        <v>4125</v>
      </c>
    </row>
    <row r="754" spans="1:6">
      <c r="A754" t="s">
        <v>4883</v>
      </c>
      <c r="B754" t="s">
        <v>434</v>
      </c>
      <c r="C754" t="s">
        <v>126</v>
      </c>
      <c r="D754" s="1">
        <v>45885</v>
      </c>
      <c r="E754" t="s">
        <v>4133</v>
      </c>
      <c r="F754" t="s">
        <v>4137</v>
      </c>
    </row>
    <row r="755" spans="1:6">
      <c r="A755" t="s">
        <v>4884</v>
      </c>
      <c r="B755" t="s">
        <v>434</v>
      </c>
      <c r="C755" t="s">
        <v>126</v>
      </c>
      <c r="D755" s="1">
        <v>45870</v>
      </c>
      <c r="E755" t="s">
        <v>4124</v>
      </c>
      <c r="F755" t="s">
        <v>4137</v>
      </c>
    </row>
    <row r="756" spans="1:6">
      <c r="A756" t="s">
        <v>4885</v>
      </c>
      <c r="B756" t="s">
        <v>434</v>
      </c>
      <c r="C756" t="s">
        <v>126</v>
      </c>
      <c r="D756" s="1">
        <v>45877</v>
      </c>
      <c r="E756" t="s">
        <v>4124</v>
      </c>
      <c r="F756" t="s">
        <v>4139</v>
      </c>
    </row>
    <row r="757" spans="1:6">
      <c r="A757" t="s">
        <v>4886</v>
      </c>
      <c r="B757" t="s">
        <v>434</v>
      </c>
      <c r="C757" t="s">
        <v>126</v>
      </c>
      <c r="D757" s="1">
        <v>45881</v>
      </c>
      <c r="E757" t="s">
        <v>4135</v>
      </c>
      <c r="F757" t="s">
        <v>4125</v>
      </c>
    </row>
    <row r="758" spans="1:6">
      <c r="A758" t="s">
        <v>4887</v>
      </c>
      <c r="B758" t="s">
        <v>436</v>
      </c>
      <c r="C758" t="s">
        <v>22</v>
      </c>
      <c r="D758" s="1">
        <v>45713</v>
      </c>
      <c r="E758" t="s">
        <v>4133</v>
      </c>
      <c r="F758" t="s">
        <v>4125</v>
      </c>
    </row>
    <row r="759" spans="1:6">
      <c r="A759" t="s">
        <v>4888</v>
      </c>
      <c r="B759" t="s">
        <v>436</v>
      </c>
      <c r="C759" t="s">
        <v>22</v>
      </c>
      <c r="D759" s="1">
        <v>45764</v>
      </c>
      <c r="E759" t="s">
        <v>4124</v>
      </c>
      <c r="F759" t="s">
        <v>4139</v>
      </c>
    </row>
    <row r="760" spans="1:6">
      <c r="A760" t="s">
        <v>4889</v>
      </c>
      <c r="B760" t="s">
        <v>436</v>
      </c>
      <c r="C760" t="s">
        <v>22</v>
      </c>
      <c r="D760" s="1">
        <v>45766</v>
      </c>
      <c r="E760" t="s">
        <v>4129</v>
      </c>
      <c r="F760" t="s">
        <v>4137</v>
      </c>
    </row>
    <row r="761" spans="1:6">
      <c r="A761" t="s">
        <v>4890</v>
      </c>
      <c r="B761" t="s">
        <v>438</v>
      </c>
      <c r="C761" t="s">
        <v>70</v>
      </c>
      <c r="D761" s="1">
        <v>45905</v>
      </c>
      <c r="E761" t="s">
        <v>4124</v>
      </c>
      <c r="F761" t="s">
        <v>4125</v>
      </c>
    </row>
    <row r="762" spans="1:6">
      <c r="A762" t="s">
        <v>4891</v>
      </c>
      <c r="B762" t="s">
        <v>438</v>
      </c>
      <c r="C762" t="s">
        <v>70</v>
      </c>
      <c r="D762" s="1">
        <v>45927</v>
      </c>
      <c r="E762" t="s">
        <v>4133</v>
      </c>
      <c r="F762" t="s">
        <v>4139</v>
      </c>
    </row>
    <row r="763" spans="1:6">
      <c r="A763" t="s">
        <v>4892</v>
      </c>
      <c r="B763" t="s">
        <v>438</v>
      </c>
      <c r="C763" t="s">
        <v>70</v>
      </c>
      <c r="D763" s="1">
        <v>45898</v>
      </c>
      <c r="E763" t="s">
        <v>4135</v>
      </c>
      <c r="F763" t="s">
        <v>4125</v>
      </c>
    </row>
    <row r="764" spans="1:6">
      <c r="A764" t="s">
        <v>4893</v>
      </c>
      <c r="B764" t="s">
        <v>438</v>
      </c>
      <c r="C764" t="s">
        <v>70</v>
      </c>
      <c r="D764" s="1">
        <v>45942</v>
      </c>
      <c r="E764" t="s">
        <v>4133</v>
      </c>
      <c r="F764" t="s">
        <v>4139</v>
      </c>
    </row>
    <row r="765" spans="1:6">
      <c r="A765" t="s">
        <v>4894</v>
      </c>
      <c r="B765" t="s">
        <v>438</v>
      </c>
      <c r="C765" t="s">
        <v>70</v>
      </c>
      <c r="D765" s="1">
        <v>45927</v>
      </c>
      <c r="E765" t="s">
        <v>4135</v>
      </c>
      <c r="F765" t="s">
        <v>4137</v>
      </c>
    </row>
    <row r="766" spans="1:6">
      <c r="A766" t="s">
        <v>4895</v>
      </c>
      <c r="B766" t="s">
        <v>440</v>
      </c>
      <c r="C766" t="s">
        <v>36</v>
      </c>
      <c r="D766" s="1">
        <v>46000</v>
      </c>
      <c r="E766" t="s">
        <v>4127</v>
      </c>
      <c r="F766" t="s">
        <v>4139</v>
      </c>
    </row>
    <row r="767" spans="1:6">
      <c r="A767" t="s">
        <v>4896</v>
      </c>
      <c r="B767" t="s">
        <v>440</v>
      </c>
      <c r="C767" t="s">
        <v>36</v>
      </c>
      <c r="D767" s="1">
        <v>45973</v>
      </c>
      <c r="E767" t="s">
        <v>4129</v>
      </c>
      <c r="F767" t="s">
        <v>4125</v>
      </c>
    </row>
    <row r="768" spans="1:6">
      <c r="A768" t="s">
        <v>4897</v>
      </c>
      <c r="B768" t="s">
        <v>440</v>
      </c>
      <c r="C768" t="s">
        <v>36</v>
      </c>
      <c r="D768" s="1">
        <v>45998</v>
      </c>
      <c r="E768" t="s">
        <v>4135</v>
      </c>
      <c r="F768" t="s">
        <v>4137</v>
      </c>
    </row>
    <row r="769" spans="1:6">
      <c r="A769" t="s">
        <v>4898</v>
      </c>
      <c r="B769" t="s">
        <v>440</v>
      </c>
      <c r="C769" t="s">
        <v>36</v>
      </c>
      <c r="D769" s="1">
        <v>45976</v>
      </c>
      <c r="E769" t="s">
        <v>4127</v>
      </c>
      <c r="F769" t="s">
        <v>4125</v>
      </c>
    </row>
    <row r="770" spans="1:6">
      <c r="A770" t="s">
        <v>4899</v>
      </c>
      <c r="B770" t="s">
        <v>441</v>
      </c>
      <c r="C770" t="s">
        <v>27</v>
      </c>
      <c r="D770" s="1">
        <v>46021</v>
      </c>
      <c r="E770" t="s">
        <v>4129</v>
      </c>
      <c r="F770" t="s">
        <v>4137</v>
      </c>
    </row>
    <row r="771" spans="1:6">
      <c r="A771" t="s">
        <v>4900</v>
      </c>
      <c r="B771" t="s">
        <v>441</v>
      </c>
      <c r="C771" t="s">
        <v>27</v>
      </c>
      <c r="D771" s="1">
        <v>46020</v>
      </c>
      <c r="E771" t="s">
        <v>4124</v>
      </c>
      <c r="F771" t="s">
        <v>4137</v>
      </c>
    </row>
    <row r="772" spans="1:6">
      <c r="A772" t="s">
        <v>4901</v>
      </c>
      <c r="B772" t="s">
        <v>441</v>
      </c>
      <c r="C772" t="s">
        <v>27</v>
      </c>
      <c r="D772" s="1">
        <v>46021</v>
      </c>
      <c r="E772" t="s">
        <v>4124</v>
      </c>
      <c r="F772" t="s">
        <v>4125</v>
      </c>
    </row>
    <row r="773" spans="1:6">
      <c r="A773" t="s">
        <v>4902</v>
      </c>
      <c r="B773" t="s">
        <v>442</v>
      </c>
      <c r="C773" t="s">
        <v>78</v>
      </c>
      <c r="D773" s="1">
        <v>45937</v>
      </c>
      <c r="E773" t="s">
        <v>4135</v>
      </c>
      <c r="F773" t="s">
        <v>4139</v>
      </c>
    </row>
    <row r="774" spans="1:6">
      <c r="A774" t="s">
        <v>4903</v>
      </c>
      <c r="B774" t="s">
        <v>442</v>
      </c>
      <c r="C774" t="s">
        <v>78</v>
      </c>
      <c r="D774" s="1">
        <v>45902</v>
      </c>
      <c r="E774" t="s">
        <v>4133</v>
      </c>
      <c r="F774" t="s">
        <v>4125</v>
      </c>
    </row>
    <row r="775" spans="1:6">
      <c r="A775" t="s">
        <v>4904</v>
      </c>
      <c r="B775" t="s">
        <v>442</v>
      </c>
      <c r="C775" t="s">
        <v>78</v>
      </c>
      <c r="D775" s="1">
        <v>45903</v>
      </c>
      <c r="E775" t="s">
        <v>4135</v>
      </c>
      <c r="F775" t="s">
        <v>4125</v>
      </c>
    </row>
    <row r="776" spans="1:6">
      <c r="A776" t="s">
        <v>4905</v>
      </c>
      <c r="B776" t="s">
        <v>444</v>
      </c>
      <c r="C776" t="s">
        <v>32</v>
      </c>
      <c r="D776" s="1">
        <v>45756</v>
      </c>
      <c r="E776" t="s">
        <v>4129</v>
      </c>
      <c r="F776" t="s">
        <v>4137</v>
      </c>
    </row>
    <row r="777" spans="1:6">
      <c r="A777" t="s">
        <v>4906</v>
      </c>
      <c r="B777" t="s">
        <v>444</v>
      </c>
      <c r="C777" t="s">
        <v>32</v>
      </c>
      <c r="D777" s="1">
        <v>45762</v>
      </c>
      <c r="E777" t="s">
        <v>4124</v>
      </c>
      <c r="F777" t="s">
        <v>4137</v>
      </c>
    </row>
    <row r="778" spans="1:6">
      <c r="A778" t="s">
        <v>4907</v>
      </c>
      <c r="B778" t="s">
        <v>444</v>
      </c>
      <c r="C778" t="s">
        <v>32</v>
      </c>
      <c r="D778" s="1">
        <v>45749</v>
      </c>
      <c r="E778" t="s">
        <v>4135</v>
      </c>
      <c r="F778" t="s">
        <v>4139</v>
      </c>
    </row>
    <row r="779" spans="1:6">
      <c r="A779" t="s">
        <v>4908</v>
      </c>
      <c r="B779" t="s">
        <v>445</v>
      </c>
      <c r="C779" t="s">
        <v>53</v>
      </c>
      <c r="D779" s="1">
        <v>45955</v>
      </c>
      <c r="E779" t="s">
        <v>4133</v>
      </c>
      <c r="F779" t="s">
        <v>4125</v>
      </c>
    </row>
    <row r="780" spans="1:6">
      <c r="A780" t="s">
        <v>4909</v>
      </c>
      <c r="B780" t="s">
        <v>445</v>
      </c>
      <c r="C780" t="s">
        <v>53</v>
      </c>
      <c r="D780" s="1">
        <v>45983</v>
      </c>
      <c r="E780" t="s">
        <v>4127</v>
      </c>
      <c r="F780" t="s">
        <v>4139</v>
      </c>
    </row>
    <row r="781" spans="1:6">
      <c r="A781" t="s">
        <v>4910</v>
      </c>
      <c r="B781" t="s">
        <v>445</v>
      </c>
      <c r="C781" t="s">
        <v>53</v>
      </c>
      <c r="D781" s="1">
        <v>45990</v>
      </c>
      <c r="E781" t="s">
        <v>4124</v>
      </c>
      <c r="F781" t="s">
        <v>4125</v>
      </c>
    </row>
    <row r="782" spans="1:6">
      <c r="A782" t="s">
        <v>4911</v>
      </c>
      <c r="B782" t="s">
        <v>445</v>
      </c>
      <c r="C782" t="s">
        <v>53</v>
      </c>
      <c r="D782" s="1">
        <v>45958</v>
      </c>
      <c r="E782" t="s">
        <v>4135</v>
      </c>
      <c r="F782" t="s">
        <v>4125</v>
      </c>
    </row>
    <row r="783" spans="1:6">
      <c r="A783" t="s">
        <v>4912</v>
      </c>
      <c r="B783" t="s">
        <v>447</v>
      </c>
      <c r="C783" t="s">
        <v>16</v>
      </c>
      <c r="D783" s="1">
        <v>45965</v>
      </c>
      <c r="E783" t="s">
        <v>4129</v>
      </c>
      <c r="F783" t="s">
        <v>4137</v>
      </c>
    </row>
    <row r="784" spans="1:6">
      <c r="A784" t="s">
        <v>4913</v>
      </c>
      <c r="B784" t="s">
        <v>447</v>
      </c>
      <c r="C784" t="s">
        <v>16</v>
      </c>
      <c r="D784" s="1">
        <v>45902</v>
      </c>
      <c r="E784" t="s">
        <v>4127</v>
      </c>
      <c r="F784" t="s">
        <v>4125</v>
      </c>
    </row>
    <row r="785" spans="1:6">
      <c r="A785" t="s">
        <v>4914</v>
      </c>
      <c r="B785" t="s">
        <v>449</v>
      </c>
      <c r="C785" t="s">
        <v>59</v>
      </c>
      <c r="D785" s="1">
        <v>45927</v>
      </c>
      <c r="E785" t="s">
        <v>4135</v>
      </c>
      <c r="F785" t="s">
        <v>4139</v>
      </c>
    </row>
    <row r="786" spans="1:6">
      <c r="A786" t="s">
        <v>4915</v>
      </c>
      <c r="B786" t="s">
        <v>449</v>
      </c>
      <c r="C786" t="s">
        <v>59</v>
      </c>
      <c r="D786" s="1">
        <v>45928</v>
      </c>
      <c r="E786" t="s">
        <v>4129</v>
      </c>
      <c r="F786" t="s">
        <v>4137</v>
      </c>
    </row>
    <row r="787" spans="1:6">
      <c r="A787" t="s">
        <v>4916</v>
      </c>
      <c r="B787" t="s">
        <v>449</v>
      </c>
      <c r="C787" t="s">
        <v>59</v>
      </c>
      <c r="D787" s="1">
        <v>45897</v>
      </c>
      <c r="E787" t="s">
        <v>4124</v>
      </c>
      <c r="F787" t="s">
        <v>4125</v>
      </c>
    </row>
    <row r="788" spans="1:6">
      <c r="A788" t="s">
        <v>4917</v>
      </c>
      <c r="B788" t="s">
        <v>449</v>
      </c>
      <c r="C788" t="s">
        <v>59</v>
      </c>
      <c r="D788" s="1">
        <v>45911</v>
      </c>
      <c r="E788" t="s">
        <v>4129</v>
      </c>
      <c r="F788" t="s">
        <v>4139</v>
      </c>
    </row>
    <row r="789" spans="1:6">
      <c r="A789" t="s">
        <v>4918</v>
      </c>
      <c r="B789" t="s">
        <v>450</v>
      </c>
      <c r="C789" t="s">
        <v>63</v>
      </c>
      <c r="D789" s="1">
        <v>45679</v>
      </c>
      <c r="E789" t="s">
        <v>4135</v>
      </c>
      <c r="F789" t="s">
        <v>4125</v>
      </c>
    </row>
    <row r="790" spans="1:6">
      <c r="A790" t="s">
        <v>4919</v>
      </c>
      <c r="B790" t="s">
        <v>450</v>
      </c>
      <c r="C790" t="s">
        <v>63</v>
      </c>
      <c r="D790" s="1">
        <v>45679</v>
      </c>
      <c r="E790" t="s">
        <v>4127</v>
      </c>
      <c r="F790" t="s">
        <v>4137</v>
      </c>
    </row>
    <row r="791" spans="1:6">
      <c r="A791" t="s">
        <v>4920</v>
      </c>
      <c r="B791" t="s">
        <v>450</v>
      </c>
      <c r="C791" t="s">
        <v>63</v>
      </c>
      <c r="D791" s="1">
        <v>45671</v>
      </c>
      <c r="E791" t="s">
        <v>4133</v>
      </c>
      <c r="F791" t="s">
        <v>4125</v>
      </c>
    </row>
    <row r="792" spans="1:6">
      <c r="A792" t="s">
        <v>4921</v>
      </c>
      <c r="B792" t="s">
        <v>450</v>
      </c>
      <c r="C792" t="s">
        <v>63</v>
      </c>
      <c r="D792" s="1">
        <v>45676</v>
      </c>
      <c r="E792" t="s">
        <v>4129</v>
      </c>
      <c r="F792" t="s">
        <v>4125</v>
      </c>
    </row>
    <row r="793" spans="1:6">
      <c r="A793" t="s">
        <v>4922</v>
      </c>
      <c r="B793" t="s">
        <v>452</v>
      </c>
      <c r="C793" t="s">
        <v>32</v>
      </c>
      <c r="D793" s="1">
        <v>45868</v>
      </c>
      <c r="E793" t="s">
        <v>4133</v>
      </c>
      <c r="F793" t="s">
        <v>4139</v>
      </c>
    </row>
    <row r="794" spans="1:6">
      <c r="A794" t="s">
        <v>4923</v>
      </c>
      <c r="B794" t="s">
        <v>452</v>
      </c>
      <c r="C794" t="s">
        <v>32</v>
      </c>
      <c r="D794" s="1">
        <v>45885</v>
      </c>
      <c r="E794" t="s">
        <v>4135</v>
      </c>
      <c r="F794" t="s">
        <v>4137</v>
      </c>
    </row>
    <row r="795" spans="1:6">
      <c r="A795" t="s">
        <v>4924</v>
      </c>
      <c r="B795" t="s">
        <v>454</v>
      </c>
      <c r="C795" t="s">
        <v>59</v>
      </c>
      <c r="D795" s="1">
        <v>45803</v>
      </c>
      <c r="E795" t="s">
        <v>4133</v>
      </c>
      <c r="F795" t="s">
        <v>4139</v>
      </c>
    </row>
    <row r="796" spans="1:6">
      <c r="A796" t="s">
        <v>4925</v>
      </c>
      <c r="B796" t="s">
        <v>454</v>
      </c>
      <c r="C796" t="s">
        <v>59</v>
      </c>
      <c r="D796" s="1">
        <v>45784</v>
      </c>
      <c r="E796" t="s">
        <v>4124</v>
      </c>
      <c r="F796" t="s">
        <v>4137</v>
      </c>
    </row>
    <row r="797" spans="1:6">
      <c r="A797" t="s">
        <v>4926</v>
      </c>
      <c r="B797" t="s">
        <v>454</v>
      </c>
      <c r="C797" t="s">
        <v>59</v>
      </c>
      <c r="D797" s="1">
        <v>45794</v>
      </c>
      <c r="E797" t="s">
        <v>4127</v>
      </c>
      <c r="F797" t="s">
        <v>4137</v>
      </c>
    </row>
    <row r="798" spans="1:6">
      <c r="A798" t="s">
        <v>4927</v>
      </c>
      <c r="B798" t="s">
        <v>454</v>
      </c>
      <c r="C798" t="s">
        <v>59</v>
      </c>
      <c r="D798" s="1">
        <v>45802</v>
      </c>
      <c r="E798" t="s">
        <v>4129</v>
      </c>
      <c r="F798" t="s">
        <v>4139</v>
      </c>
    </row>
    <row r="799" spans="1:6">
      <c r="A799" t="s">
        <v>4928</v>
      </c>
      <c r="B799" t="s">
        <v>455</v>
      </c>
      <c r="C799" t="s">
        <v>22</v>
      </c>
      <c r="D799" s="1">
        <v>45948</v>
      </c>
      <c r="E799" t="s">
        <v>4127</v>
      </c>
      <c r="F799" t="s">
        <v>4125</v>
      </c>
    </row>
    <row r="800" spans="1:6">
      <c r="A800" t="s">
        <v>4929</v>
      </c>
      <c r="B800" t="s">
        <v>455</v>
      </c>
      <c r="C800" t="s">
        <v>22</v>
      </c>
      <c r="D800" s="1">
        <v>45905</v>
      </c>
      <c r="E800" t="s">
        <v>4133</v>
      </c>
      <c r="F800" t="s">
        <v>4125</v>
      </c>
    </row>
    <row r="801" spans="1:6">
      <c r="A801" t="s">
        <v>4930</v>
      </c>
      <c r="B801" t="s">
        <v>455</v>
      </c>
      <c r="C801" t="s">
        <v>22</v>
      </c>
      <c r="D801" s="1">
        <v>45945</v>
      </c>
      <c r="E801" t="s">
        <v>4124</v>
      </c>
      <c r="F801" t="s">
        <v>4125</v>
      </c>
    </row>
    <row r="802" spans="1:6">
      <c r="A802" t="s">
        <v>4931</v>
      </c>
      <c r="B802" t="s">
        <v>455</v>
      </c>
      <c r="C802" t="s">
        <v>22</v>
      </c>
      <c r="D802" s="1">
        <v>45934</v>
      </c>
      <c r="E802" t="s">
        <v>4127</v>
      </c>
      <c r="F802" t="s">
        <v>4137</v>
      </c>
    </row>
    <row r="803" spans="1:6">
      <c r="A803" t="s">
        <v>4932</v>
      </c>
      <c r="B803" t="s">
        <v>455</v>
      </c>
      <c r="C803" t="s">
        <v>22</v>
      </c>
      <c r="D803" s="1">
        <v>45934</v>
      </c>
      <c r="E803" t="s">
        <v>4133</v>
      </c>
      <c r="F803" t="s">
        <v>4137</v>
      </c>
    </row>
    <row r="804" spans="1:6">
      <c r="A804" t="s">
        <v>4933</v>
      </c>
      <c r="B804" t="s">
        <v>457</v>
      </c>
      <c r="C804" t="s">
        <v>36</v>
      </c>
      <c r="D804" s="1">
        <v>45914</v>
      </c>
      <c r="E804" t="s">
        <v>4129</v>
      </c>
      <c r="F804" t="s">
        <v>4139</v>
      </c>
    </row>
    <row r="805" spans="1:6">
      <c r="A805" t="s">
        <v>4934</v>
      </c>
      <c r="B805" t="s">
        <v>457</v>
      </c>
      <c r="C805" t="s">
        <v>36</v>
      </c>
      <c r="D805" s="1">
        <v>45894</v>
      </c>
      <c r="E805" t="s">
        <v>4133</v>
      </c>
      <c r="F805" t="s">
        <v>4139</v>
      </c>
    </row>
    <row r="806" spans="1:6">
      <c r="A806" t="s">
        <v>4935</v>
      </c>
      <c r="B806" t="s">
        <v>457</v>
      </c>
      <c r="C806" t="s">
        <v>36</v>
      </c>
      <c r="D806" s="1">
        <v>45920</v>
      </c>
      <c r="E806" t="s">
        <v>4133</v>
      </c>
      <c r="F806" t="s">
        <v>4125</v>
      </c>
    </row>
    <row r="807" spans="1:6">
      <c r="A807" t="s">
        <v>4936</v>
      </c>
      <c r="B807" t="s">
        <v>459</v>
      </c>
      <c r="C807" t="s">
        <v>36</v>
      </c>
      <c r="D807" s="1">
        <v>45876</v>
      </c>
      <c r="E807" t="s">
        <v>4133</v>
      </c>
      <c r="F807" t="s">
        <v>4139</v>
      </c>
    </row>
    <row r="808" spans="1:6">
      <c r="A808" t="s">
        <v>4937</v>
      </c>
      <c r="B808" t="s">
        <v>459</v>
      </c>
      <c r="C808" t="s">
        <v>36</v>
      </c>
      <c r="D808" s="1">
        <v>45875</v>
      </c>
      <c r="E808" t="s">
        <v>4135</v>
      </c>
      <c r="F808" t="s">
        <v>4125</v>
      </c>
    </row>
    <row r="809" spans="1:6">
      <c r="A809" t="s">
        <v>4938</v>
      </c>
      <c r="B809" t="s">
        <v>461</v>
      </c>
      <c r="C809" t="s">
        <v>53</v>
      </c>
      <c r="D809" s="1">
        <v>45724</v>
      </c>
      <c r="E809" t="s">
        <v>4135</v>
      </c>
      <c r="F809" t="s">
        <v>4137</v>
      </c>
    </row>
    <row r="810" spans="1:6">
      <c r="A810" t="s">
        <v>4939</v>
      </c>
      <c r="B810" t="s">
        <v>461</v>
      </c>
      <c r="C810" t="s">
        <v>53</v>
      </c>
      <c r="D810" s="1">
        <v>45711</v>
      </c>
      <c r="E810" t="s">
        <v>4124</v>
      </c>
      <c r="F810" t="s">
        <v>4125</v>
      </c>
    </row>
    <row r="811" spans="1:6">
      <c r="A811" t="s">
        <v>4940</v>
      </c>
      <c r="B811" t="s">
        <v>462</v>
      </c>
      <c r="C811" t="s">
        <v>22</v>
      </c>
      <c r="D811" s="1">
        <v>45802</v>
      </c>
      <c r="E811" t="s">
        <v>4124</v>
      </c>
      <c r="F811" t="s">
        <v>4137</v>
      </c>
    </row>
    <row r="812" spans="1:6">
      <c r="A812" t="s">
        <v>4941</v>
      </c>
      <c r="B812" t="s">
        <v>462</v>
      </c>
      <c r="C812" t="s">
        <v>22</v>
      </c>
      <c r="D812" s="1">
        <v>45820</v>
      </c>
      <c r="E812" t="s">
        <v>4133</v>
      </c>
      <c r="F812" t="s">
        <v>4137</v>
      </c>
    </row>
    <row r="813" spans="1:6">
      <c r="A813" t="s">
        <v>4942</v>
      </c>
      <c r="B813" t="s">
        <v>462</v>
      </c>
      <c r="C813" t="s">
        <v>22</v>
      </c>
      <c r="D813" s="1">
        <v>45815</v>
      </c>
      <c r="E813" t="s">
        <v>4135</v>
      </c>
      <c r="F813" t="s">
        <v>4137</v>
      </c>
    </row>
    <row r="814" spans="1:6">
      <c r="A814" t="s">
        <v>4943</v>
      </c>
      <c r="B814" t="s">
        <v>462</v>
      </c>
      <c r="C814" t="s">
        <v>22</v>
      </c>
      <c r="D814" s="1">
        <v>45803</v>
      </c>
      <c r="E814" t="s">
        <v>4124</v>
      </c>
      <c r="F814" t="s">
        <v>4139</v>
      </c>
    </row>
    <row r="815" spans="1:6">
      <c r="A815" t="s">
        <v>4944</v>
      </c>
      <c r="B815" t="s">
        <v>463</v>
      </c>
      <c r="C815" t="s">
        <v>126</v>
      </c>
      <c r="D815" s="1">
        <v>46002</v>
      </c>
      <c r="E815" t="s">
        <v>4127</v>
      </c>
      <c r="F815" t="s">
        <v>4139</v>
      </c>
    </row>
    <row r="816" spans="1:6">
      <c r="A816" t="s">
        <v>4945</v>
      </c>
      <c r="B816" t="s">
        <v>463</v>
      </c>
      <c r="C816" t="s">
        <v>126</v>
      </c>
      <c r="D816" s="1">
        <v>45989</v>
      </c>
      <c r="E816" t="s">
        <v>4133</v>
      </c>
      <c r="F816" t="s">
        <v>4139</v>
      </c>
    </row>
    <row r="817" spans="1:6">
      <c r="A817" t="s">
        <v>4946</v>
      </c>
      <c r="B817" t="s">
        <v>464</v>
      </c>
      <c r="C817" t="s">
        <v>152</v>
      </c>
      <c r="D817" s="1">
        <v>45920</v>
      </c>
      <c r="E817" t="s">
        <v>4135</v>
      </c>
      <c r="F817" t="s">
        <v>4125</v>
      </c>
    </row>
    <row r="818" spans="1:6">
      <c r="A818" t="s">
        <v>4947</v>
      </c>
      <c r="B818" t="s">
        <v>464</v>
      </c>
      <c r="C818" t="s">
        <v>152</v>
      </c>
      <c r="D818" s="1">
        <v>45928</v>
      </c>
      <c r="E818" t="s">
        <v>4124</v>
      </c>
      <c r="F818" t="s">
        <v>4125</v>
      </c>
    </row>
    <row r="819" spans="1:6">
      <c r="A819" t="s">
        <v>4948</v>
      </c>
      <c r="B819" t="s">
        <v>464</v>
      </c>
      <c r="C819" t="s">
        <v>152</v>
      </c>
      <c r="D819" s="1">
        <v>45886</v>
      </c>
      <c r="E819" t="s">
        <v>4129</v>
      </c>
      <c r="F819" t="s">
        <v>4125</v>
      </c>
    </row>
    <row r="820" spans="1:6">
      <c r="A820" t="s">
        <v>4949</v>
      </c>
      <c r="B820" t="s">
        <v>464</v>
      </c>
      <c r="C820" t="s">
        <v>152</v>
      </c>
      <c r="D820" s="1">
        <v>45948</v>
      </c>
      <c r="E820" t="s">
        <v>4124</v>
      </c>
      <c r="F820" t="s">
        <v>4137</v>
      </c>
    </row>
    <row r="821" spans="1:6">
      <c r="A821" t="s">
        <v>4950</v>
      </c>
      <c r="B821" t="s">
        <v>464</v>
      </c>
      <c r="C821" t="s">
        <v>152</v>
      </c>
      <c r="D821" s="1">
        <v>45937</v>
      </c>
      <c r="E821" t="s">
        <v>4133</v>
      </c>
      <c r="F821" t="s">
        <v>4125</v>
      </c>
    </row>
    <row r="822" spans="1:6">
      <c r="A822" t="s">
        <v>4951</v>
      </c>
      <c r="B822" t="s">
        <v>465</v>
      </c>
      <c r="C822" t="s">
        <v>36</v>
      </c>
      <c r="D822" s="1">
        <v>46020</v>
      </c>
      <c r="E822" t="s">
        <v>4127</v>
      </c>
      <c r="F822" t="s">
        <v>4137</v>
      </c>
    </row>
    <row r="823" spans="1:6">
      <c r="A823" t="s">
        <v>4952</v>
      </c>
      <c r="B823" t="s">
        <v>465</v>
      </c>
      <c r="C823" t="s">
        <v>36</v>
      </c>
      <c r="D823" s="1">
        <v>46010</v>
      </c>
      <c r="E823" t="s">
        <v>4133</v>
      </c>
      <c r="F823" t="s">
        <v>4137</v>
      </c>
    </row>
    <row r="824" spans="1:6">
      <c r="A824" t="s">
        <v>4953</v>
      </c>
      <c r="B824" t="s">
        <v>465</v>
      </c>
      <c r="C824" t="s">
        <v>36</v>
      </c>
      <c r="D824" s="1">
        <v>46018</v>
      </c>
      <c r="E824" t="s">
        <v>4127</v>
      </c>
      <c r="F824" t="s">
        <v>4139</v>
      </c>
    </row>
    <row r="825" spans="1:6">
      <c r="A825" t="s">
        <v>4954</v>
      </c>
      <c r="B825" t="s">
        <v>465</v>
      </c>
      <c r="C825" t="s">
        <v>36</v>
      </c>
      <c r="D825" s="1">
        <v>46017</v>
      </c>
      <c r="E825" t="s">
        <v>4127</v>
      </c>
      <c r="F825" t="s">
        <v>4125</v>
      </c>
    </row>
    <row r="826" spans="1:6">
      <c r="A826" t="s">
        <v>4955</v>
      </c>
      <c r="B826" t="s">
        <v>467</v>
      </c>
      <c r="C826" t="s">
        <v>50</v>
      </c>
      <c r="D826" s="1">
        <v>45709</v>
      </c>
      <c r="E826" t="s">
        <v>4133</v>
      </c>
      <c r="F826" t="s">
        <v>4125</v>
      </c>
    </row>
    <row r="827" spans="1:6">
      <c r="A827" t="s">
        <v>4956</v>
      </c>
      <c r="B827" t="s">
        <v>467</v>
      </c>
      <c r="C827" t="s">
        <v>50</v>
      </c>
      <c r="D827" s="1">
        <v>45706</v>
      </c>
      <c r="E827" t="s">
        <v>4135</v>
      </c>
      <c r="F827" t="s">
        <v>4139</v>
      </c>
    </row>
    <row r="828" spans="1:6">
      <c r="A828" t="s">
        <v>4957</v>
      </c>
      <c r="B828" t="s">
        <v>467</v>
      </c>
      <c r="C828" t="s">
        <v>50</v>
      </c>
      <c r="D828" s="1">
        <v>45680</v>
      </c>
      <c r="E828" t="s">
        <v>4135</v>
      </c>
      <c r="F828" t="s">
        <v>4139</v>
      </c>
    </row>
    <row r="829" spans="1:6">
      <c r="A829" t="s">
        <v>4958</v>
      </c>
      <c r="B829" t="s">
        <v>467</v>
      </c>
      <c r="C829" t="s">
        <v>50</v>
      </c>
      <c r="D829" s="1">
        <v>45693</v>
      </c>
      <c r="E829" t="s">
        <v>4124</v>
      </c>
      <c r="F829" t="s">
        <v>4137</v>
      </c>
    </row>
    <row r="830" spans="1:6">
      <c r="A830" t="s">
        <v>4959</v>
      </c>
      <c r="B830" t="s">
        <v>469</v>
      </c>
      <c r="C830" t="s">
        <v>40</v>
      </c>
      <c r="D830" s="1">
        <v>45918</v>
      </c>
      <c r="E830" t="s">
        <v>4124</v>
      </c>
      <c r="F830" t="s">
        <v>4139</v>
      </c>
    </row>
    <row r="831" spans="1:6">
      <c r="A831" t="s">
        <v>4960</v>
      </c>
      <c r="B831" t="s">
        <v>469</v>
      </c>
      <c r="C831" t="s">
        <v>40</v>
      </c>
      <c r="D831" s="1">
        <v>45940</v>
      </c>
      <c r="E831" t="s">
        <v>4129</v>
      </c>
      <c r="F831" t="s">
        <v>4137</v>
      </c>
    </row>
    <row r="832" spans="1:6">
      <c r="A832" t="s">
        <v>4961</v>
      </c>
      <c r="B832" t="s">
        <v>469</v>
      </c>
      <c r="C832" t="s">
        <v>40</v>
      </c>
      <c r="D832" s="1">
        <v>45932</v>
      </c>
      <c r="E832" t="s">
        <v>4129</v>
      </c>
      <c r="F832" t="s">
        <v>4139</v>
      </c>
    </row>
    <row r="833" spans="1:6">
      <c r="A833" t="s">
        <v>4962</v>
      </c>
      <c r="B833" t="s">
        <v>469</v>
      </c>
      <c r="C833" t="s">
        <v>40</v>
      </c>
      <c r="D833" s="1">
        <v>45922</v>
      </c>
      <c r="E833" t="s">
        <v>4133</v>
      </c>
      <c r="F833" t="s">
        <v>4125</v>
      </c>
    </row>
    <row r="834" spans="1:6">
      <c r="A834" t="s">
        <v>4963</v>
      </c>
      <c r="B834" t="s">
        <v>470</v>
      </c>
      <c r="C834" t="s">
        <v>27</v>
      </c>
      <c r="D834" s="1">
        <v>45909</v>
      </c>
      <c r="E834" t="s">
        <v>4133</v>
      </c>
      <c r="F834" t="s">
        <v>4137</v>
      </c>
    </row>
    <row r="835" spans="1:6">
      <c r="A835" t="s">
        <v>4964</v>
      </c>
      <c r="B835" t="s">
        <v>470</v>
      </c>
      <c r="C835" t="s">
        <v>27</v>
      </c>
      <c r="D835" s="1">
        <v>45911</v>
      </c>
      <c r="E835" t="s">
        <v>4133</v>
      </c>
      <c r="F835" t="s">
        <v>4137</v>
      </c>
    </row>
    <row r="836" spans="1:6">
      <c r="A836" t="s">
        <v>4965</v>
      </c>
      <c r="B836" t="s">
        <v>470</v>
      </c>
      <c r="C836" t="s">
        <v>27</v>
      </c>
      <c r="D836" s="1">
        <v>45908</v>
      </c>
      <c r="E836" t="s">
        <v>4135</v>
      </c>
      <c r="F836" t="s">
        <v>4125</v>
      </c>
    </row>
    <row r="837" spans="1:6">
      <c r="A837" t="s">
        <v>4966</v>
      </c>
      <c r="B837" t="s">
        <v>472</v>
      </c>
      <c r="C837" t="s">
        <v>70</v>
      </c>
      <c r="D837" s="1">
        <v>45963</v>
      </c>
      <c r="E837" t="s">
        <v>4127</v>
      </c>
      <c r="F837" t="s">
        <v>4139</v>
      </c>
    </row>
    <row r="838" spans="1:6">
      <c r="A838" t="s">
        <v>4967</v>
      </c>
      <c r="B838" t="s">
        <v>472</v>
      </c>
      <c r="C838" t="s">
        <v>70</v>
      </c>
      <c r="D838" s="1">
        <v>45985</v>
      </c>
      <c r="E838" t="s">
        <v>4129</v>
      </c>
      <c r="F838" t="s">
        <v>4139</v>
      </c>
    </row>
    <row r="839" spans="1:6">
      <c r="A839" t="s">
        <v>4968</v>
      </c>
      <c r="B839" t="s">
        <v>472</v>
      </c>
      <c r="C839" t="s">
        <v>70</v>
      </c>
      <c r="D839" s="1">
        <v>45953</v>
      </c>
      <c r="E839" t="s">
        <v>4135</v>
      </c>
      <c r="F839" t="s">
        <v>4139</v>
      </c>
    </row>
    <row r="840" spans="1:6">
      <c r="A840" t="s">
        <v>4969</v>
      </c>
      <c r="B840" t="s">
        <v>472</v>
      </c>
      <c r="C840" t="s">
        <v>70</v>
      </c>
      <c r="D840" s="1">
        <v>45987</v>
      </c>
      <c r="E840" t="s">
        <v>4135</v>
      </c>
      <c r="F840" t="s">
        <v>4137</v>
      </c>
    </row>
    <row r="841" spans="1:6">
      <c r="A841" t="s">
        <v>4970</v>
      </c>
      <c r="B841" t="s">
        <v>473</v>
      </c>
      <c r="C841" t="s">
        <v>40</v>
      </c>
      <c r="D841" s="1">
        <v>45737</v>
      </c>
      <c r="E841" t="s">
        <v>4129</v>
      </c>
      <c r="F841" t="s">
        <v>4139</v>
      </c>
    </row>
    <row r="842" spans="1:6">
      <c r="A842" t="s">
        <v>4971</v>
      </c>
      <c r="B842" t="s">
        <v>473</v>
      </c>
      <c r="C842" t="s">
        <v>40</v>
      </c>
      <c r="D842" s="1">
        <v>45734</v>
      </c>
      <c r="E842" t="s">
        <v>4133</v>
      </c>
      <c r="F842" t="s">
        <v>4125</v>
      </c>
    </row>
    <row r="843" spans="1:6">
      <c r="A843" t="s">
        <v>4972</v>
      </c>
      <c r="B843" t="s">
        <v>473</v>
      </c>
      <c r="C843" t="s">
        <v>40</v>
      </c>
      <c r="D843" s="1">
        <v>45749</v>
      </c>
      <c r="E843" t="s">
        <v>4124</v>
      </c>
      <c r="F843" t="s">
        <v>4139</v>
      </c>
    </row>
    <row r="844" spans="1:6">
      <c r="A844" t="s">
        <v>4973</v>
      </c>
      <c r="B844" t="s">
        <v>473</v>
      </c>
      <c r="C844" t="s">
        <v>40</v>
      </c>
      <c r="D844" s="1">
        <v>45730</v>
      </c>
      <c r="E844" t="s">
        <v>4124</v>
      </c>
      <c r="F844" t="s">
        <v>4139</v>
      </c>
    </row>
    <row r="845" spans="1:6">
      <c r="A845" t="s">
        <v>4974</v>
      </c>
      <c r="B845" t="s">
        <v>473</v>
      </c>
      <c r="C845" t="s">
        <v>40</v>
      </c>
      <c r="D845" s="1">
        <v>45730</v>
      </c>
      <c r="E845" t="s">
        <v>4133</v>
      </c>
      <c r="F845" t="s">
        <v>4139</v>
      </c>
    </row>
    <row r="846" spans="1:6">
      <c r="A846" t="s">
        <v>4975</v>
      </c>
      <c r="B846" t="s">
        <v>474</v>
      </c>
      <c r="C846" t="s">
        <v>50</v>
      </c>
      <c r="D846" s="1">
        <v>45855</v>
      </c>
      <c r="E846" t="s">
        <v>4135</v>
      </c>
      <c r="F846" t="s">
        <v>4139</v>
      </c>
    </row>
    <row r="847" spans="1:6">
      <c r="A847" t="s">
        <v>4976</v>
      </c>
      <c r="B847" t="s">
        <v>474</v>
      </c>
      <c r="C847" t="s">
        <v>50</v>
      </c>
      <c r="D847" s="1">
        <v>45807</v>
      </c>
      <c r="E847" t="s">
        <v>4129</v>
      </c>
      <c r="F847" t="s">
        <v>4139</v>
      </c>
    </row>
    <row r="848" spans="1:6">
      <c r="A848" t="s">
        <v>4977</v>
      </c>
      <c r="B848" t="s">
        <v>474</v>
      </c>
      <c r="C848" t="s">
        <v>50</v>
      </c>
      <c r="D848" s="1">
        <v>45866</v>
      </c>
      <c r="E848" t="s">
        <v>4129</v>
      </c>
      <c r="F848" t="s">
        <v>4139</v>
      </c>
    </row>
    <row r="849" spans="1:6">
      <c r="A849" t="s">
        <v>4978</v>
      </c>
      <c r="B849" t="s">
        <v>474</v>
      </c>
      <c r="C849" t="s">
        <v>50</v>
      </c>
      <c r="D849" s="1">
        <v>45841</v>
      </c>
      <c r="E849" t="s">
        <v>4127</v>
      </c>
      <c r="F849" t="s">
        <v>4137</v>
      </c>
    </row>
    <row r="850" spans="1:6">
      <c r="A850" t="s">
        <v>4979</v>
      </c>
      <c r="B850" t="s">
        <v>474</v>
      </c>
      <c r="C850" t="s">
        <v>50</v>
      </c>
      <c r="D850" s="1">
        <v>45803</v>
      </c>
      <c r="E850" t="s">
        <v>4129</v>
      </c>
      <c r="F850" t="s">
        <v>4139</v>
      </c>
    </row>
    <row r="851" spans="1:6">
      <c r="A851" t="s">
        <v>4980</v>
      </c>
      <c r="B851" t="s">
        <v>475</v>
      </c>
      <c r="C851" t="s">
        <v>119</v>
      </c>
      <c r="D851" s="1">
        <v>45712</v>
      </c>
      <c r="E851" t="s">
        <v>4135</v>
      </c>
      <c r="F851" t="s">
        <v>4139</v>
      </c>
    </row>
    <row r="852" spans="1:6">
      <c r="A852" t="s">
        <v>4981</v>
      </c>
      <c r="B852" t="s">
        <v>475</v>
      </c>
      <c r="C852" t="s">
        <v>119</v>
      </c>
      <c r="D852" s="1">
        <v>45725</v>
      </c>
      <c r="E852" t="s">
        <v>4124</v>
      </c>
      <c r="F852" t="s">
        <v>4137</v>
      </c>
    </row>
    <row r="853" spans="1:6">
      <c r="A853" t="s">
        <v>4982</v>
      </c>
      <c r="B853" t="s">
        <v>475</v>
      </c>
      <c r="C853" t="s">
        <v>119</v>
      </c>
      <c r="D853" s="1">
        <v>45728</v>
      </c>
      <c r="E853" t="s">
        <v>4135</v>
      </c>
      <c r="F853" t="s">
        <v>4125</v>
      </c>
    </row>
    <row r="854" spans="1:6">
      <c r="A854" t="s">
        <v>4983</v>
      </c>
      <c r="B854" t="s">
        <v>475</v>
      </c>
      <c r="C854" t="s">
        <v>119</v>
      </c>
      <c r="D854" s="1">
        <v>45711</v>
      </c>
      <c r="E854" t="s">
        <v>4133</v>
      </c>
      <c r="F854" t="s">
        <v>4125</v>
      </c>
    </row>
    <row r="855" spans="1:6">
      <c r="A855" t="s">
        <v>4984</v>
      </c>
      <c r="B855" t="s">
        <v>476</v>
      </c>
      <c r="C855" t="s">
        <v>75</v>
      </c>
      <c r="D855" s="1">
        <v>45948</v>
      </c>
      <c r="E855" t="s">
        <v>4135</v>
      </c>
      <c r="F855" t="s">
        <v>4139</v>
      </c>
    </row>
    <row r="856" spans="1:6">
      <c r="A856" t="s">
        <v>4985</v>
      </c>
      <c r="B856" t="s">
        <v>476</v>
      </c>
      <c r="C856" t="s">
        <v>75</v>
      </c>
      <c r="D856" s="1">
        <v>45883</v>
      </c>
      <c r="E856" t="s">
        <v>4124</v>
      </c>
      <c r="F856" t="s">
        <v>4125</v>
      </c>
    </row>
    <row r="857" spans="1:6">
      <c r="A857" t="s">
        <v>4986</v>
      </c>
      <c r="B857" t="s">
        <v>478</v>
      </c>
      <c r="C857" t="s">
        <v>168</v>
      </c>
      <c r="D857" s="1">
        <v>45905</v>
      </c>
      <c r="E857" t="s">
        <v>4135</v>
      </c>
      <c r="F857" t="s">
        <v>4139</v>
      </c>
    </row>
    <row r="858" spans="1:6">
      <c r="A858" t="s">
        <v>4987</v>
      </c>
      <c r="B858" t="s">
        <v>478</v>
      </c>
      <c r="C858" t="s">
        <v>168</v>
      </c>
      <c r="D858" s="1">
        <v>45900</v>
      </c>
      <c r="E858" t="s">
        <v>4124</v>
      </c>
      <c r="F858" t="s">
        <v>4139</v>
      </c>
    </row>
    <row r="859" spans="1:6">
      <c r="A859" t="s">
        <v>4988</v>
      </c>
      <c r="B859" t="s">
        <v>480</v>
      </c>
      <c r="C859" t="s">
        <v>46</v>
      </c>
      <c r="D859" s="1">
        <v>45901</v>
      </c>
      <c r="E859" t="s">
        <v>4124</v>
      </c>
      <c r="F859" t="s">
        <v>4137</v>
      </c>
    </row>
    <row r="860" spans="1:6">
      <c r="A860" t="s">
        <v>4989</v>
      </c>
      <c r="B860" t="s">
        <v>480</v>
      </c>
      <c r="C860" t="s">
        <v>46</v>
      </c>
      <c r="D860" s="1">
        <v>45901</v>
      </c>
      <c r="E860" t="s">
        <v>4124</v>
      </c>
      <c r="F860" t="s">
        <v>4125</v>
      </c>
    </row>
    <row r="861" spans="1:6">
      <c r="A861" t="s">
        <v>4990</v>
      </c>
      <c r="B861" t="s">
        <v>480</v>
      </c>
      <c r="C861" t="s">
        <v>46</v>
      </c>
      <c r="D861" s="1">
        <v>45902</v>
      </c>
      <c r="E861" t="s">
        <v>4127</v>
      </c>
      <c r="F861" t="s">
        <v>4137</v>
      </c>
    </row>
    <row r="862" spans="1:6">
      <c r="A862" t="s">
        <v>4991</v>
      </c>
      <c r="B862" t="s">
        <v>480</v>
      </c>
      <c r="C862" t="s">
        <v>46</v>
      </c>
      <c r="D862" s="1">
        <v>45902</v>
      </c>
      <c r="E862" t="s">
        <v>4127</v>
      </c>
      <c r="F862" t="s">
        <v>4139</v>
      </c>
    </row>
    <row r="863" spans="1:6">
      <c r="A863" t="s">
        <v>4992</v>
      </c>
      <c r="B863" t="s">
        <v>480</v>
      </c>
      <c r="C863" t="s">
        <v>46</v>
      </c>
      <c r="D863" s="1">
        <v>45899</v>
      </c>
      <c r="E863" t="s">
        <v>4129</v>
      </c>
      <c r="F863" t="s">
        <v>4139</v>
      </c>
    </row>
    <row r="864" spans="1:6">
      <c r="A864" t="s">
        <v>4993</v>
      </c>
      <c r="B864" t="s">
        <v>482</v>
      </c>
      <c r="C864" t="s">
        <v>53</v>
      </c>
      <c r="D864" s="1">
        <v>45921</v>
      </c>
      <c r="E864" t="s">
        <v>4129</v>
      </c>
      <c r="F864" t="s">
        <v>4139</v>
      </c>
    </row>
    <row r="865" spans="1:6">
      <c r="A865" t="s">
        <v>4994</v>
      </c>
      <c r="B865" t="s">
        <v>482</v>
      </c>
      <c r="C865" t="s">
        <v>53</v>
      </c>
      <c r="D865" s="1">
        <v>45914</v>
      </c>
      <c r="E865" t="s">
        <v>4129</v>
      </c>
      <c r="F865" t="s">
        <v>4139</v>
      </c>
    </row>
    <row r="866" spans="1:6">
      <c r="A866" t="s">
        <v>4995</v>
      </c>
      <c r="B866" t="s">
        <v>482</v>
      </c>
      <c r="C866" t="s">
        <v>53</v>
      </c>
      <c r="D866" s="1">
        <v>45898</v>
      </c>
      <c r="E866" t="s">
        <v>4124</v>
      </c>
      <c r="F866" t="s">
        <v>4125</v>
      </c>
    </row>
    <row r="867" spans="1:6">
      <c r="A867" t="s">
        <v>4996</v>
      </c>
      <c r="B867" t="s">
        <v>484</v>
      </c>
      <c r="C867" t="s">
        <v>56</v>
      </c>
      <c r="D867" s="1">
        <v>45920</v>
      </c>
      <c r="E867" t="s">
        <v>4124</v>
      </c>
      <c r="F867" t="s">
        <v>4125</v>
      </c>
    </row>
    <row r="868" spans="1:6">
      <c r="A868" t="s">
        <v>4997</v>
      </c>
      <c r="B868" t="s">
        <v>484</v>
      </c>
      <c r="C868" t="s">
        <v>56</v>
      </c>
      <c r="D868" s="1">
        <v>45914</v>
      </c>
      <c r="E868" t="s">
        <v>4129</v>
      </c>
      <c r="F868" t="s">
        <v>4139</v>
      </c>
    </row>
    <row r="869" spans="1:6">
      <c r="A869" t="s">
        <v>4998</v>
      </c>
      <c r="B869" t="s">
        <v>484</v>
      </c>
      <c r="C869" t="s">
        <v>56</v>
      </c>
      <c r="D869" s="1">
        <v>45936</v>
      </c>
      <c r="E869" t="s">
        <v>4133</v>
      </c>
      <c r="F869" t="s">
        <v>4137</v>
      </c>
    </row>
    <row r="870" spans="1:6">
      <c r="A870" t="s">
        <v>4999</v>
      </c>
      <c r="B870" t="s">
        <v>486</v>
      </c>
      <c r="C870" t="s">
        <v>22</v>
      </c>
      <c r="D870" s="1">
        <v>45979</v>
      </c>
      <c r="E870" t="s">
        <v>4135</v>
      </c>
      <c r="F870" t="s">
        <v>4139</v>
      </c>
    </row>
    <row r="871" spans="1:6">
      <c r="A871" t="s">
        <v>5000</v>
      </c>
      <c r="B871" t="s">
        <v>486</v>
      </c>
      <c r="C871" t="s">
        <v>22</v>
      </c>
      <c r="D871" s="1">
        <v>45987</v>
      </c>
      <c r="E871" t="s">
        <v>4133</v>
      </c>
      <c r="F871" t="s">
        <v>4125</v>
      </c>
    </row>
    <row r="872" spans="1:6">
      <c r="A872" t="s">
        <v>5001</v>
      </c>
      <c r="B872" t="s">
        <v>486</v>
      </c>
      <c r="C872" t="s">
        <v>22</v>
      </c>
      <c r="D872" s="1">
        <v>45968</v>
      </c>
      <c r="E872" t="s">
        <v>4135</v>
      </c>
      <c r="F872" t="s">
        <v>4139</v>
      </c>
    </row>
    <row r="873" spans="1:6">
      <c r="A873" t="s">
        <v>5002</v>
      </c>
      <c r="B873" t="s">
        <v>486</v>
      </c>
      <c r="C873" t="s">
        <v>22</v>
      </c>
      <c r="D873" s="1">
        <v>45961</v>
      </c>
      <c r="E873" t="s">
        <v>4127</v>
      </c>
      <c r="F873" t="s">
        <v>4139</v>
      </c>
    </row>
    <row r="874" spans="1:6">
      <c r="A874" t="s">
        <v>5003</v>
      </c>
      <c r="B874" t="s">
        <v>486</v>
      </c>
      <c r="C874" t="s">
        <v>22</v>
      </c>
      <c r="D874" s="1">
        <v>45927</v>
      </c>
      <c r="E874" t="s">
        <v>4133</v>
      </c>
      <c r="F874" t="s">
        <v>4137</v>
      </c>
    </row>
    <row r="875" spans="1:6">
      <c r="A875" t="s">
        <v>5004</v>
      </c>
      <c r="B875" t="s">
        <v>488</v>
      </c>
      <c r="C875" t="s">
        <v>78</v>
      </c>
      <c r="D875" s="1">
        <v>46019</v>
      </c>
      <c r="E875" t="s">
        <v>4124</v>
      </c>
      <c r="F875" t="s">
        <v>4139</v>
      </c>
    </row>
    <row r="876" spans="1:6">
      <c r="A876" t="s">
        <v>5005</v>
      </c>
      <c r="B876" t="s">
        <v>488</v>
      </c>
      <c r="C876" t="s">
        <v>78</v>
      </c>
      <c r="D876" s="1">
        <v>46020</v>
      </c>
      <c r="E876" t="s">
        <v>4124</v>
      </c>
      <c r="F876" t="s">
        <v>4125</v>
      </c>
    </row>
    <row r="877" spans="1:6">
      <c r="A877" t="s">
        <v>5006</v>
      </c>
      <c r="B877" t="s">
        <v>488</v>
      </c>
      <c r="C877" t="s">
        <v>78</v>
      </c>
      <c r="D877" s="1">
        <v>46018</v>
      </c>
      <c r="E877" t="s">
        <v>4133</v>
      </c>
      <c r="F877" t="s">
        <v>4137</v>
      </c>
    </row>
    <row r="878" spans="1:6">
      <c r="A878" t="s">
        <v>5007</v>
      </c>
      <c r="B878" t="s">
        <v>488</v>
      </c>
      <c r="C878" t="s">
        <v>78</v>
      </c>
      <c r="D878" s="1">
        <v>46020</v>
      </c>
      <c r="E878" t="s">
        <v>4129</v>
      </c>
      <c r="F878" t="s">
        <v>4139</v>
      </c>
    </row>
    <row r="879" spans="1:6">
      <c r="A879" t="s">
        <v>5008</v>
      </c>
      <c r="B879" t="s">
        <v>488</v>
      </c>
      <c r="C879" t="s">
        <v>78</v>
      </c>
      <c r="D879" s="1">
        <v>46020</v>
      </c>
      <c r="E879" t="s">
        <v>4124</v>
      </c>
      <c r="F879" t="s">
        <v>4137</v>
      </c>
    </row>
    <row r="880" spans="1:6">
      <c r="A880" t="s">
        <v>5009</v>
      </c>
      <c r="B880" t="s">
        <v>490</v>
      </c>
      <c r="C880" t="s">
        <v>56</v>
      </c>
      <c r="D880" s="1">
        <v>45953</v>
      </c>
      <c r="E880" t="s">
        <v>4133</v>
      </c>
      <c r="F880" t="s">
        <v>4137</v>
      </c>
    </row>
    <row r="881" spans="1:6">
      <c r="A881" t="s">
        <v>5010</v>
      </c>
      <c r="B881" t="s">
        <v>490</v>
      </c>
      <c r="C881" t="s">
        <v>56</v>
      </c>
      <c r="D881" s="1">
        <v>45963</v>
      </c>
      <c r="E881" t="s">
        <v>4124</v>
      </c>
      <c r="F881" t="s">
        <v>4125</v>
      </c>
    </row>
    <row r="882" spans="1:6">
      <c r="A882" t="s">
        <v>5011</v>
      </c>
      <c r="B882" t="s">
        <v>490</v>
      </c>
      <c r="C882" t="s">
        <v>56</v>
      </c>
      <c r="D882" s="1">
        <v>45953</v>
      </c>
      <c r="E882" t="s">
        <v>4127</v>
      </c>
      <c r="F882" t="s">
        <v>4137</v>
      </c>
    </row>
    <row r="883" spans="1:6">
      <c r="A883" t="s">
        <v>5012</v>
      </c>
      <c r="B883" t="s">
        <v>490</v>
      </c>
      <c r="C883" t="s">
        <v>56</v>
      </c>
      <c r="D883" s="1">
        <v>45957</v>
      </c>
      <c r="E883" t="s">
        <v>4129</v>
      </c>
      <c r="F883" t="s">
        <v>4125</v>
      </c>
    </row>
    <row r="884" spans="1:6">
      <c r="A884" t="s">
        <v>5013</v>
      </c>
      <c r="B884" t="s">
        <v>492</v>
      </c>
      <c r="C884" t="s">
        <v>78</v>
      </c>
      <c r="D884" s="1">
        <v>45742</v>
      </c>
      <c r="E884" t="s">
        <v>4127</v>
      </c>
      <c r="F884" t="s">
        <v>4137</v>
      </c>
    </row>
    <row r="885" spans="1:6">
      <c r="A885" t="s">
        <v>5014</v>
      </c>
      <c r="B885" t="s">
        <v>492</v>
      </c>
      <c r="C885" t="s">
        <v>78</v>
      </c>
      <c r="D885" s="1">
        <v>45745</v>
      </c>
      <c r="E885" t="s">
        <v>4129</v>
      </c>
      <c r="F885" t="s">
        <v>4125</v>
      </c>
    </row>
    <row r="886" spans="1:6">
      <c r="A886" t="s">
        <v>5015</v>
      </c>
      <c r="B886" t="s">
        <v>492</v>
      </c>
      <c r="C886" t="s">
        <v>78</v>
      </c>
      <c r="D886" s="1">
        <v>45755</v>
      </c>
      <c r="E886" t="s">
        <v>4127</v>
      </c>
      <c r="F886" t="s">
        <v>4139</v>
      </c>
    </row>
    <row r="887" spans="1:6">
      <c r="A887" t="s">
        <v>5016</v>
      </c>
      <c r="B887" t="s">
        <v>494</v>
      </c>
      <c r="C887" t="s">
        <v>40</v>
      </c>
      <c r="D887" s="1">
        <v>45897</v>
      </c>
      <c r="E887" t="s">
        <v>4135</v>
      </c>
      <c r="F887" t="s">
        <v>4137</v>
      </c>
    </row>
    <row r="888" spans="1:6">
      <c r="A888" t="s">
        <v>5017</v>
      </c>
      <c r="B888" t="s">
        <v>494</v>
      </c>
      <c r="C888" t="s">
        <v>40</v>
      </c>
      <c r="D888" s="1">
        <v>45900</v>
      </c>
      <c r="E888" t="s">
        <v>4133</v>
      </c>
      <c r="F888" t="s">
        <v>4137</v>
      </c>
    </row>
    <row r="889" spans="1:6">
      <c r="A889" t="s">
        <v>5018</v>
      </c>
      <c r="B889" t="s">
        <v>494</v>
      </c>
      <c r="C889" t="s">
        <v>40</v>
      </c>
      <c r="D889" s="1">
        <v>45911</v>
      </c>
      <c r="E889" t="s">
        <v>4127</v>
      </c>
      <c r="F889" t="s">
        <v>4139</v>
      </c>
    </row>
    <row r="890" spans="1:6">
      <c r="A890" t="s">
        <v>5019</v>
      </c>
      <c r="B890" t="s">
        <v>494</v>
      </c>
      <c r="C890" t="s">
        <v>40</v>
      </c>
      <c r="D890" s="1">
        <v>45902</v>
      </c>
      <c r="E890" t="s">
        <v>4135</v>
      </c>
      <c r="F890" t="s">
        <v>4137</v>
      </c>
    </row>
    <row r="891" spans="1:6">
      <c r="A891" t="s">
        <v>5020</v>
      </c>
      <c r="B891" t="s">
        <v>495</v>
      </c>
      <c r="C891" t="s">
        <v>126</v>
      </c>
      <c r="D891" s="1">
        <v>45920</v>
      </c>
      <c r="E891" t="s">
        <v>4124</v>
      </c>
      <c r="F891" t="s">
        <v>4137</v>
      </c>
    </row>
    <row r="892" spans="1:6">
      <c r="A892" t="s">
        <v>5021</v>
      </c>
      <c r="B892" t="s">
        <v>495</v>
      </c>
      <c r="C892" t="s">
        <v>126</v>
      </c>
      <c r="D892" s="1">
        <v>45938</v>
      </c>
      <c r="E892" t="s">
        <v>4124</v>
      </c>
      <c r="F892" t="s">
        <v>4125</v>
      </c>
    </row>
    <row r="893" spans="1:6">
      <c r="A893" t="s">
        <v>5022</v>
      </c>
      <c r="B893" t="s">
        <v>495</v>
      </c>
      <c r="C893" t="s">
        <v>126</v>
      </c>
      <c r="D893" s="1">
        <v>45913</v>
      </c>
      <c r="E893" t="s">
        <v>4127</v>
      </c>
      <c r="F893" t="s">
        <v>4139</v>
      </c>
    </row>
    <row r="894" spans="1:6">
      <c r="A894" t="s">
        <v>5023</v>
      </c>
      <c r="B894" t="s">
        <v>495</v>
      </c>
      <c r="C894" t="s">
        <v>126</v>
      </c>
      <c r="D894" s="1">
        <v>45916</v>
      </c>
      <c r="E894" t="s">
        <v>4133</v>
      </c>
      <c r="F894" t="s">
        <v>4139</v>
      </c>
    </row>
    <row r="895" spans="1:6">
      <c r="A895" t="s">
        <v>5024</v>
      </c>
      <c r="B895" t="s">
        <v>495</v>
      </c>
      <c r="C895" t="s">
        <v>126</v>
      </c>
      <c r="D895" s="1">
        <v>45945</v>
      </c>
      <c r="E895" t="s">
        <v>4127</v>
      </c>
      <c r="F895" t="s">
        <v>4137</v>
      </c>
    </row>
    <row r="896" spans="1:6">
      <c r="A896" t="s">
        <v>5025</v>
      </c>
      <c r="B896" t="s">
        <v>496</v>
      </c>
      <c r="C896" t="s">
        <v>91</v>
      </c>
      <c r="D896" s="1">
        <v>45945</v>
      </c>
      <c r="E896" t="s">
        <v>4135</v>
      </c>
      <c r="F896" t="s">
        <v>4137</v>
      </c>
    </row>
    <row r="897" spans="1:6">
      <c r="A897" t="s">
        <v>5026</v>
      </c>
      <c r="B897" t="s">
        <v>496</v>
      </c>
      <c r="C897" t="s">
        <v>91</v>
      </c>
      <c r="D897" s="1">
        <v>45935</v>
      </c>
      <c r="E897" t="s">
        <v>4124</v>
      </c>
      <c r="F897" t="s">
        <v>4137</v>
      </c>
    </row>
    <row r="898" spans="1:6">
      <c r="A898" t="s">
        <v>5027</v>
      </c>
      <c r="B898" t="s">
        <v>496</v>
      </c>
      <c r="C898" t="s">
        <v>91</v>
      </c>
      <c r="D898" s="1">
        <v>45942</v>
      </c>
      <c r="E898" t="s">
        <v>4133</v>
      </c>
      <c r="F898" t="s">
        <v>4139</v>
      </c>
    </row>
    <row r="899" spans="1:6">
      <c r="A899" t="s">
        <v>5028</v>
      </c>
      <c r="B899" t="s">
        <v>498</v>
      </c>
      <c r="C899" t="s">
        <v>22</v>
      </c>
      <c r="D899" s="1">
        <v>45748</v>
      </c>
      <c r="E899" t="s">
        <v>4135</v>
      </c>
      <c r="F899" t="s">
        <v>4139</v>
      </c>
    </row>
    <row r="900" spans="1:6">
      <c r="A900" t="s">
        <v>5029</v>
      </c>
      <c r="B900" t="s">
        <v>498</v>
      </c>
      <c r="C900" t="s">
        <v>22</v>
      </c>
      <c r="D900" s="1">
        <v>45744</v>
      </c>
      <c r="E900" t="s">
        <v>4127</v>
      </c>
      <c r="F900" t="s">
        <v>4125</v>
      </c>
    </row>
    <row r="901" spans="1:6">
      <c r="A901" t="s">
        <v>5030</v>
      </c>
      <c r="B901" t="s">
        <v>498</v>
      </c>
      <c r="C901" t="s">
        <v>22</v>
      </c>
      <c r="D901" s="1">
        <v>45747</v>
      </c>
      <c r="E901" t="s">
        <v>4124</v>
      </c>
      <c r="F901" t="s">
        <v>4137</v>
      </c>
    </row>
    <row r="902" spans="1:6">
      <c r="A902" t="s">
        <v>5031</v>
      </c>
      <c r="B902" t="s">
        <v>500</v>
      </c>
      <c r="C902" t="s">
        <v>168</v>
      </c>
      <c r="D902" s="1">
        <v>45979</v>
      </c>
      <c r="E902" t="s">
        <v>4127</v>
      </c>
      <c r="F902" t="s">
        <v>4139</v>
      </c>
    </row>
    <row r="903" spans="1:6">
      <c r="A903" t="s">
        <v>5032</v>
      </c>
      <c r="B903" t="s">
        <v>500</v>
      </c>
      <c r="C903" t="s">
        <v>168</v>
      </c>
      <c r="D903" s="1">
        <v>45946</v>
      </c>
      <c r="E903" t="s">
        <v>4124</v>
      </c>
      <c r="F903" t="s">
        <v>4137</v>
      </c>
    </row>
    <row r="904" spans="1:6">
      <c r="A904" t="s">
        <v>5033</v>
      </c>
      <c r="B904" t="s">
        <v>500</v>
      </c>
      <c r="C904" t="s">
        <v>168</v>
      </c>
      <c r="D904" s="1">
        <v>45954</v>
      </c>
      <c r="E904" t="s">
        <v>4124</v>
      </c>
      <c r="F904" t="s">
        <v>4137</v>
      </c>
    </row>
    <row r="905" spans="1:6">
      <c r="A905" t="s">
        <v>5034</v>
      </c>
      <c r="B905" t="s">
        <v>502</v>
      </c>
      <c r="C905" t="s">
        <v>50</v>
      </c>
      <c r="D905" s="1">
        <v>45938</v>
      </c>
      <c r="E905" t="s">
        <v>4133</v>
      </c>
      <c r="F905" t="s">
        <v>4125</v>
      </c>
    </row>
    <row r="906" spans="1:6">
      <c r="A906" t="s">
        <v>5035</v>
      </c>
      <c r="B906" t="s">
        <v>502</v>
      </c>
      <c r="C906" t="s">
        <v>50</v>
      </c>
      <c r="D906" s="1">
        <v>45947</v>
      </c>
      <c r="E906" t="s">
        <v>4133</v>
      </c>
      <c r="F906" t="s">
        <v>4139</v>
      </c>
    </row>
    <row r="907" spans="1:6">
      <c r="A907" t="s">
        <v>5036</v>
      </c>
      <c r="B907" t="s">
        <v>502</v>
      </c>
      <c r="C907" t="s">
        <v>50</v>
      </c>
      <c r="D907" s="1">
        <v>45960</v>
      </c>
      <c r="E907" t="s">
        <v>4129</v>
      </c>
      <c r="F907" t="s">
        <v>4139</v>
      </c>
    </row>
    <row r="908" spans="1:6">
      <c r="A908" t="s">
        <v>5037</v>
      </c>
      <c r="B908" t="s">
        <v>502</v>
      </c>
      <c r="C908" t="s">
        <v>50</v>
      </c>
      <c r="D908" s="1">
        <v>45936</v>
      </c>
      <c r="E908" t="s">
        <v>4133</v>
      </c>
      <c r="F908" t="s">
        <v>4137</v>
      </c>
    </row>
    <row r="909" spans="1:6">
      <c r="A909" t="s">
        <v>5038</v>
      </c>
      <c r="B909" t="s">
        <v>502</v>
      </c>
      <c r="C909" t="s">
        <v>50</v>
      </c>
      <c r="D909" s="1">
        <v>45956</v>
      </c>
      <c r="E909" t="s">
        <v>4135</v>
      </c>
      <c r="F909" t="s">
        <v>4137</v>
      </c>
    </row>
    <row r="910" spans="1:6">
      <c r="A910" t="s">
        <v>5039</v>
      </c>
      <c r="B910" t="s">
        <v>503</v>
      </c>
      <c r="C910" t="s">
        <v>16</v>
      </c>
      <c r="D910" s="1">
        <v>45687</v>
      </c>
      <c r="E910" t="s">
        <v>4133</v>
      </c>
      <c r="F910" t="s">
        <v>4125</v>
      </c>
    </row>
    <row r="911" spans="1:6">
      <c r="A911" t="s">
        <v>5040</v>
      </c>
      <c r="B911" t="s">
        <v>503</v>
      </c>
      <c r="C911" t="s">
        <v>16</v>
      </c>
      <c r="D911" s="1">
        <v>45714</v>
      </c>
      <c r="E911" t="s">
        <v>4133</v>
      </c>
      <c r="F911" t="s">
        <v>4125</v>
      </c>
    </row>
    <row r="912" spans="1:6">
      <c r="A912" t="s">
        <v>5041</v>
      </c>
      <c r="B912" t="s">
        <v>503</v>
      </c>
      <c r="C912" t="s">
        <v>16</v>
      </c>
      <c r="D912" s="1">
        <v>45711</v>
      </c>
      <c r="E912" t="s">
        <v>4135</v>
      </c>
      <c r="F912" t="s">
        <v>4137</v>
      </c>
    </row>
    <row r="913" spans="1:6">
      <c r="A913" t="s">
        <v>5042</v>
      </c>
      <c r="B913" t="s">
        <v>504</v>
      </c>
      <c r="C913" t="s">
        <v>56</v>
      </c>
      <c r="D913" s="1">
        <v>45943</v>
      </c>
      <c r="E913" t="s">
        <v>4127</v>
      </c>
      <c r="F913" t="s">
        <v>4139</v>
      </c>
    </row>
    <row r="914" spans="1:6">
      <c r="A914" t="s">
        <v>5043</v>
      </c>
      <c r="B914" t="s">
        <v>504</v>
      </c>
      <c r="C914" t="s">
        <v>56</v>
      </c>
      <c r="D914" s="1">
        <v>45937</v>
      </c>
      <c r="E914" t="s">
        <v>4127</v>
      </c>
      <c r="F914" t="s">
        <v>4137</v>
      </c>
    </row>
    <row r="915" spans="1:6">
      <c r="A915" t="s">
        <v>5044</v>
      </c>
      <c r="B915" t="s">
        <v>504</v>
      </c>
      <c r="C915" t="s">
        <v>56</v>
      </c>
      <c r="D915" s="1">
        <v>45938</v>
      </c>
      <c r="E915" t="s">
        <v>4124</v>
      </c>
      <c r="F915" t="s">
        <v>4125</v>
      </c>
    </row>
    <row r="916" spans="1:6">
      <c r="A916" t="s">
        <v>5045</v>
      </c>
      <c r="B916" t="s">
        <v>504</v>
      </c>
      <c r="C916" t="s">
        <v>56</v>
      </c>
      <c r="D916" s="1">
        <v>45924</v>
      </c>
      <c r="E916" t="s">
        <v>4135</v>
      </c>
      <c r="F916" t="s">
        <v>4125</v>
      </c>
    </row>
    <row r="917" spans="1:6">
      <c r="A917" t="s">
        <v>5046</v>
      </c>
      <c r="B917" t="s">
        <v>506</v>
      </c>
      <c r="C917" t="s">
        <v>59</v>
      </c>
      <c r="D917" s="1">
        <v>45897</v>
      </c>
      <c r="E917" t="s">
        <v>4127</v>
      </c>
      <c r="F917" t="s">
        <v>4137</v>
      </c>
    </row>
    <row r="918" spans="1:6">
      <c r="A918" t="s">
        <v>5047</v>
      </c>
      <c r="B918" t="s">
        <v>506</v>
      </c>
      <c r="C918" t="s">
        <v>59</v>
      </c>
      <c r="D918" s="1">
        <v>45939</v>
      </c>
      <c r="E918" t="s">
        <v>4129</v>
      </c>
      <c r="F918" t="s">
        <v>4137</v>
      </c>
    </row>
    <row r="919" spans="1:6">
      <c r="A919" t="s">
        <v>5048</v>
      </c>
      <c r="B919" t="s">
        <v>506</v>
      </c>
      <c r="C919" t="s">
        <v>59</v>
      </c>
      <c r="D919" s="1">
        <v>45888</v>
      </c>
      <c r="E919" t="s">
        <v>4129</v>
      </c>
      <c r="F919" t="s">
        <v>4137</v>
      </c>
    </row>
    <row r="920" spans="1:6">
      <c r="A920" t="s">
        <v>5049</v>
      </c>
      <c r="B920" t="s">
        <v>507</v>
      </c>
      <c r="C920" t="s">
        <v>22</v>
      </c>
      <c r="D920" s="1">
        <v>45997</v>
      </c>
      <c r="E920" t="s">
        <v>4135</v>
      </c>
      <c r="F920" t="s">
        <v>4137</v>
      </c>
    </row>
    <row r="921" spans="1:6">
      <c r="A921" t="s">
        <v>5050</v>
      </c>
      <c r="B921" t="s">
        <v>507</v>
      </c>
      <c r="C921" t="s">
        <v>22</v>
      </c>
      <c r="D921" s="1">
        <v>46003</v>
      </c>
      <c r="E921" t="s">
        <v>4129</v>
      </c>
      <c r="F921" t="s">
        <v>4137</v>
      </c>
    </row>
    <row r="922" spans="1:6">
      <c r="A922" t="s">
        <v>5051</v>
      </c>
      <c r="B922" t="s">
        <v>507</v>
      </c>
      <c r="C922" t="s">
        <v>22</v>
      </c>
      <c r="D922" s="1">
        <v>45987</v>
      </c>
      <c r="E922" t="s">
        <v>4127</v>
      </c>
      <c r="F922" t="s">
        <v>4125</v>
      </c>
    </row>
    <row r="923" spans="1:6">
      <c r="A923" t="s">
        <v>5052</v>
      </c>
      <c r="B923" t="s">
        <v>508</v>
      </c>
      <c r="C923" t="s">
        <v>56</v>
      </c>
      <c r="D923" s="1">
        <v>45896</v>
      </c>
      <c r="E923" t="s">
        <v>4127</v>
      </c>
      <c r="F923" t="s">
        <v>4137</v>
      </c>
    </row>
    <row r="924" spans="1:6">
      <c r="A924" t="s">
        <v>5053</v>
      </c>
      <c r="B924" t="s">
        <v>508</v>
      </c>
      <c r="C924" t="s">
        <v>56</v>
      </c>
      <c r="D924" s="1">
        <v>45897</v>
      </c>
      <c r="E924" t="s">
        <v>4124</v>
      </c>
      <c r="F924" t="s">
        <v>4125</v>
      </c>
    </row>
    <row r="925" spans="1:6">
      <c r="A925" t="s">
        <v>5054</v>
      </c>
      <c r="B925" t="s">
        <v>508</v>
      </c>
      <c r="C925" t="s">
        <v>56</v>
      </c>
      <c r="D925" s="1">
        <v>45898</v>
      </c>
      <c r="E925" t="s">
        <v>4133</v>
      </c>
      <c r="F925" t="s">
        <v>4139</v>
      </c>
    </row>
    <row r="926" spans="1:6">
      <c r="A926" t="s">
        <v>5055</v>
      </c>
      <c r="B926" t="s">
        <v>508</v>
      </c>
      <c r="C926" t="s">
        <v>56</v>
      </c>
      <c r="D926" s="1">
        <v>45899</v>
      </c>
      <c r="E926" t="s">
        <v>4124</v>
      </c>
      <c r="F926" t="s">
        <v>4139</v>
      </c>
    </row>
    <row r="927" spans="1:6">
      <c r="A927" t="s">
        <v>5056</v>
      </c>
      <c r="B927" t="s">
        <v>508</v>
      </c>
      <c r="C927" t="s">
        <v>56</v>
      </c>
      <c r="D927" s="1">
        <v>45900</v>
      </c>
      <c r="E927" t="s">
        <v>4129</v>
      </c>
      <c r="F927" t="s">
        <v>4137</v>
      </c>
    </row>
    <row r="928" spans="1:6">
      <c r="A928" t="s">
        <v>5057</v>
      </c>
      <c r="B928" t="s">
        <v>510</v>
      </c>
      <c r="C928" t="s">
        <v>16</v>
      </c>
      <c r="D928" s="1">
        <v>45997</v>
      </c>
      <c r="E928" t="s">
        <v>4133</v>
      </c>
      <c r="F928" t="s">
        <v>4139</v>
      </c>
    </row>
    <row r="929" spans="1:6">
      <c r="A929" t="s">
        <v>5058</v>
      </c>
      <c r="B929" t="s">
        <v>510</v>
      </c>
      <c r="C929" t="s">
        <v>16</v>
      </c>
      <c r="D929" s="1">
        <v>45989</v>
      </c>
      <c r="E929" t="s">
        <v>4124</v>
      </c>
      <c r="F929" t="s">
        <v>4125</v>
      </c>
    </row>
    <row r="930" spans="1:6">
      <c r="A930" t="s">
        <v>5059</v>
      </c>
      <c r="B930" t="s">
        <v>510</v>
      </c>
      <c r="C930" t="s">
        <v>16</v>
      </c>
      <c r="D930" s="1">
        <v>45983</v>
      </c>
      <c r="E930" t="s">
        <v>4127</v>
      </c>
      <c r="F930" t="s">
        <v>4139</v>
      </c>
    </row>
    <row r="931" spans="1:6">
      <c r="A931" t="s">
        <v>5060</v>
      </c>
      <c r="B931" t="s">
        <v>511</v>
      </c>
      <c r="C931" t="s">
        <v>152</v>
      </c>
      <c r="D931" s="1">
        <v>45904</v>
      </c>
      <c r="E931" t="s">
        <v>4135</v>
      </c>
      <c r="F931" t="s">
        <v>4125</v>
      </c>
    </row>
    <row r="932" spans="1:6">
      <c r="A932" t="s">
        <v>5061</v>
      </c>
      <c r="B932" t="s">
        <v>511</v>
      </c>
      <c r="C932" t="s">
        <v>152</v>
      </c>
      <c r="D932" s="1">
        <v>45883</v>
      </c>
      <c r="E932" t="s">
        <v>4133</v>
      </c>
      <c r="F932" t="s">
        <v>4125</v>
      </c>
    </row>
    <row r="933" spans="1:6">
      <c r="A933" t="s">
        <v>5062</v>
      </c>
      <c r="B933" t="s">
        <v>512</v>
      </c>
      <c r="C933" t="s">
        <v>56</v>
      </c>
      <c r="D933" s="1">
        <v>45832</v>
      </c>
      <c r="E933" t="s">
        <v>4133</v>
      </c>
      <c r="F933" t="s">
        <v>4139</v>
      </c>
    </row>
    <row r="934" spans="1:6">
      <c r="A934" t="s">
        <v>5063</v>
      </c>
      <c r="B934" t="s">
        <v>512</v>
      </c>
      <c r="C934" t="s">
        <v>56</v>
      </c>
      <c r="D934" s="1">
        <v>45856</v>
      </c>
      <c r="E934" t="s">
        <v>4127</v>
      </c>
      <c r="F934" t="s">
        <v>4137</v>
      </c>
    </row>
    <row r="935" spans="1:6">
      <c r="A935" t="s">
        <v>5064</v>
      </c>
      <c r="B935" t="s">
        <v>512</v>
      </c>
      <c r="C935" t="s">
        <v>56</v>
      </c>
      <c r="D935" s="1">
        <v>45854</v>
      </c>
      <c r="E935" t="s">
        <v>4124</v>
      </c>
      <c r="F935" t="s">
        <v>4137</v>
      </c>
    </row>
    <row r="936" spans="1:6">
      <c r="A936" t="s">
        <v>5065</v>
      </c>
      <c r="B936" t="s">
        <v>512</v>
      </c>
      <c r="C936" t="s">
        <v>56</v>
      </c>
      <c r="D936" s="1">
        <v>45833</v>
      </c>
      <c r="E936" t="s">
        <v>4133</v>
      </c>
      <c r="F936" t="s">
        <v>4139</v>
      </c>
    </row>
    <row r="937" spans="1:6">
      <c r="A937" t="s">
        <v>5066</v>
      </c>
      <c r="B937" t="s">
        <v>513</v>
      </c>
      <c r="C937" t="s">
        <v>78</v>
      </c>
      <c r="D937" s="1">
        <v>45812</v>
      </c>
      <c r="E937" t="s">
        <v>4133</v>
      </c>
      <c r="F937" t="s">
        <v>4139</v>
      </c>
    </row>
    <row r="938" spans="1:6">
      <c r="A938" t="s">
        <v>5067</v>
      </c>
      <c r="B938" t="s">
        <v>513</v>
      </c>
      <c r="C938" t="s">
        <v>78</v>
      </c>
      <c r="D938" s="1">
        <v>45770</v>
      </c>
      <c r="E938" t="s">
        <v>4133</v>
      </c>
      <c r="F938" t="s">
        <v>4137</v>
      </c>
    </row>
    <row r="939" spans="1:6">
      <c r="A939" t="s">
        <v>5068</v>
      </c>
      <c r="B939" t="s">
        <v>513</v>
      </c>
      <c r="C939" t="s">
        <v>78</v>
      </c>
      <c r="D939" s="1">
        <v>45798</v>
      </c>
      <c r="E939" t="s">
        <v>4127</v>
      </c>
      <c r="F939" t="s">
        <v>4125</v>
      </c>
    </row>
    <row r="940" spans="1:6">
      <c r="A940" t="s">
        <v>5069</v>
      </c>
      <c r="B940" t="s">
        <v>513</v>
      </c>
      <c r="C940" t="s">
        <v>78</v>
      </c>
      <c r="D940" s="1">
        <v>45800</v>
      </c>
      <c r="E940" t="s">
        <v>4135</v>
      </c>
      <c r="F940" t="s">
        <v>4137</v>
      </c>
    </row>
    <row r="941" spans="1:6">
      <c r="A941" t="s">
        <v>5070</v>
      </c>
      <c r="B941" t="s">
        <v>513</v>
      </c>
      <c r="C941" t="s">
        <v>78</v>
      </c>
      <c r="D941" s="1">
        <v>45830</v>
      </c>
      <c r="E941" t="s">
        <v>4129</v>
      </c>
      <c r="F941" t="s">
        <v>4137</v>
      </c>
    </row>
    <row r="942" spans="1:6">
      <c r="A942" t="s">
        <v>5071</v>
      </c>
      <c r="B942" t="s">
        <v>514</v>
      </c>
      <c r="C942" t="s">
        <v>91</v>
      </c>
      <c r="D942" s="1">
        <v>45676</v>
      </c>
      <c r="E942" t="s">
        <v>4135</v>
      </c>
      <c r="F942" t="s">
        <v>4139</v>
      </c>
    </row>
    <row r="943" spans="1:6">
      <c r="A943" t="s">
        <v>5072</v>
      </c>
      <c r="B943" t="s">
        <v>514</v>
      </c>
      <c r="C943" t="s">
        <v>91</v>
      </c>
      <c r="D943" s="1">
        <v>45674</v>
      </c>
      <c r="E943" t="s">
        <v>4124</v>
      </c>
      <c r="F943" t="s">
        <v>4125</v>
      </c>
    </row>
    <row r="944" spans="1:6">
      <c r="A944" t="s">
        <v>5073</v>
      </c>
      <c r="B944" t="s">
        <v>514</v>
      </c>
      <c r="C944" t="s">
        <v>91</v>
      </c>
      <c r="D944" s="1">
        <v>45675</v>
      </c>
      <c r="E944" t="s">
        <v>4133</v>
      </c>
      <c r="F944" t="s">
        <v>4139</v>
      </c>
    </row>
    <row r="945" spans="1:6">
      <c r="A945" t="s">
        <v>5074</v>
      </c>
      <c r="B945" t="s">
        <v>514</v>
      </c>
      <c r="C945" t="s">
        <v>91</v>
      </c>
      <c r="D945" s="1">
        <v>45687</v>
      </c>
      <c r="E945" t="s">
        <v>4124</v>
      </c>
      <c r="F945" t="s">
        <v>4139</v>
      </c>
    </row>
    <row r="946" spans="1:6">
      <c r="A946" t="s">
        <v>5075</v>
      </c>
      <c r="B946" t="s">
        <v>515</v>
      </c>
      <c r="C946" t="s">
        <v>27</v>
      </c>
      <c r="D946" s="1">
        <v>45999</v>
      </c>
      <c r="E946" t="s">
        <v>4133</v>
      </c>
      <c r="F946" t="s">
        <v>4139</v>
      </c>
    </row>
    <row r="947" spans="1:6">
      <c r="A947" t="s">
        <v>5076</v>
      </c>
      <c r="B947" t="s">
        <v>515</v>
      </c>
      <c r="C947" t="s">
        <v>27</v>
      </c>
      <c r="D947" s="1">
        <v>46007</v>
      </c>
      <c r="E947" t="s">
        <v>4133</v>
      </c>
      <c r="F947" t="s">
        <v>4125</v>
      </c>
    </row>
    <row r="948" spans="1:6">
      <c r="A948" t="s">
        <v>5077</v>
      </c>
      <c r="B948" t="s">
        <v>516</v>
      </c>
      <c r="C948" t="s">
        <v>78</v>
      </c>
      <c r="D948" s="1">
        <v>45757</v>
      </c>
      <c r="E948" t="s">
        <v>4135</v>
      </c>
      <c r="F948" t="s">
        <v>4125</v>
      </c>
    </row>
    <row r="949" spans="1:6">
      <c r="A949" t="s">
        <v>5078</v>
      </c>
      <c r="B949" t="s">
        <v>516</v>
      </c>
      <c r="C949" t="s">
        <v>78</v>
      </c>
      <c r="D949" s="1">
        <v>45761</v>
      </c>
      <c r="E949" t="s">
        <v>4135</v>
      </c>
      <c r="F949" t="s">
        <v>4125</v>
      </c>
    </row>
    <row r="950" spans="1:6">
      <c r="A950" t="s">
        <v>5079</v>
      </c>
      <c r="B950" t="s">
        <v>516</v>
      </c>
      <c r="C950" t="s">
        <v>78</v>
      </c>
      <c r="D950" s="1">
        <v>45761</v>
      </c>
      <c r="E950" t="s">
        <v>4133</v>
      </c>
      <c r="F950" t="s">
        <v>4139</v>
      </c>
    </row>
    <row r="951" spans="1:6">
      <c r="A951" t="s">
        <v>5080</v>
      </c>
      <c r="B951" t="s">
        <v>516</v>
      </c>
      <c r="C951" t="s">
        <v>78</v>
      </c>
      <c r="D951" s="1">
        <v>45761</v>
      </c>
      <c r="E951" t="s">
        <v>4133</v>
      </c>
      <c r="F951" t="s">
        <v>4125</v>
      </c>
    </row>
    <row r="952" spans="1:6">
      <c r="A952" t="s">
        <v>5081</v>
      </c>
      <c r="B952" t="s">
        <v>518</v>
      </c>
      <c r="C952" t="s">
        <v>75</v>
      </c>
      <c r="D952" s="1">
        <v>45848</v>
      </c>
      <c r="E952" t="s">
        <v>4129</v>
      </c>
      <c r="F952" t="s">
        <v>4139</v>
      </c>
    </row>
    <row r="953" spans="1:6">
      <c r="A953" t="s">
        <v>5082</v>
      </c>
      <c r="B953" t="s">
        <v>518</v>
      </c>
      <c r="C953" t="s">
        <v>75</v>
      </c>
      <c r="D953" s="1">
        <v>45858</v>
      </c>
      <c r="E953" t="s">
        <v>4133</v>
      </c>
      <c r="F953" t="s">
        <v>4139</v>
      </c>
    </row>
    <row r="954" spans="1:6">
      <c r="A954" t="s">
        <v>5083</v>
      </c>
      <c r="B954" t="s">
        <v>518</v>
      </c>
      <c r="C954" t="s">
        <v>75</v>
      </c>
      <c r="D954" s="1">
        <v>45847</v>
      </c>
      <c r="E954" t="s">
        <v>4124</v>
      </c>
      <c r="F954" t="s">
        <v>4137</v>
      </c>
    </row>
    <row r="955" spans="1:6">
      <c r="A955" t="s">
        <v>5084</v>
      </c>
      <c r="B955" t="s">
        <v>518</v>
      </c>
      <c r="C955" t="s">
        <v>75</v>
      </c>
      <c r="D955" s="1">
        <v>45829</v>
      </c>
      <c r="E955" t="s">
        <v>4129</v>
      </c>
      <c r="F955" t="s">
        <v>4139</v>
      </c>
    </row>
    <row r="956" spans="1:6">
      <c r="A956" t="s">
        <v>5085</v>
      </c>
      <c r="B956" t="s">
        <v>518</v>
      </c>
      <c r="C956" t="s">
        <v>75</v>
      </c>
      <c r="D956" s="1">
        <v>45854</v>
      </c>
      <c r="E956" t="s">
        <v>4133</v>
      </c>
      <c r="F956" t="s">
        <v>4137</v>
      </c>
    </row>
    <row r="957" spans="1:6">
      <c r="A957" t="s">
        <v>5086</v>
      </c>
      <c r="B957" t="s">
        <v>519</v>
      </c>
      <c r="C957" t="s">
        <v>53</v>
      </c>
      <c r="D957" s="1">
        <v>45944</v>
      </c>
      <c r="E957" t="s">
        <v>4124</v>
      </c>
      <c r="F957" t="s">
        <v>4139</v>
      </c>
    </row>
    <row r="958" spans="1:6">
      <c r="A958" t="s">
        <v>5087</v>
      </c>
      <c r="B958" t="s">
        <v>519</v>
      </c>
      <c r="C958" t="s">
        <v>53</v>
      </c>
      <c r="D958" s="1">
        <v>45948</v>
      </c>
      <c r="E958" t="s">
        <v>4127</v>
      </c>
      <c r="F958" t="s">
        <v>4137</v>
      </c>
    </row>
    <row r="959" spans="1:6">
      <c r="A959" t="s">
        <v>5088</v>
      </c>
      <c r="B959" t="s">
        <v>521</v>
      </c>
      <c r="C959" t="s">
        <v>91</v>
      </c>
      <c r="D959" s="1">
        <v>46022</v>
      </c>
      <c r="E959" t="s">
        <v>4124</v>
      </c>
      <c r="F959" t="s">
        <v>4139</v>
      </c>
    </row>
    <row r="960" spans="1:6">
      <c r="A960" t="s">
        <v>5089</v>
      </c>
      <c r="B960" t="s">
        <v>521</v>
      </c>
      <c r="C960" t="s">
        <v>91</v>
      </c>
      <c r="D960" s="1">
        <v>46022</v>
      </c>
      <c r="E960" t="s">
        <v>4133</v>
      </c>
      <c r="F960" t="s">
        <v>4137</v>
      </c>
    </row>
    <row r="961" spans="1:6">
      <c r="A961" t="s">
        <v>5090</v>
      </c>
      <c r="B961" t="s">
        <v>521</v>
      </c>
      <c r="C961" t="s">
        <v>91</v>
      </c>
      <c r="D961" s="1">
        <v>46019</v>
      </c>
      <c r="E961" t="s">
        <v>4127</v>
      </c>
      <c r="F961" t="s">
        <v>4139</v>
      </c>
    </row>
    <row r="962" spans="1:6">
      <c r="A962" t="s">
        <v>5091</v>
      </c>
      <c r="B962" t="s">
        <v>521</v>
      </c>
      <c r="C962" t="s">
        <v>91</v>
      </c>
      <c r="D962" s="1">
        <v>46009</v>
      </c>
      <c r="E962" t="s">
        <v>4124</v>
      </c>
      <c r="F962" t="s">
        <v>4125</v>
      </c>
    </row>
    <row r="963" spans="1:6">
      <c r="A963" t="s">
        <v>5092</v>
      </c>
      <c r="B963" t="s">
        <v>522</v>
      </c>
      <c r="C963" t="s">
        <v>36</v>
      </c>
      <c r="D963" s="1">
        <v>45930</v>
      </c>
      <c r="E963" t="s">
        <v>4133</v>
      </c>
      <c r="F963" t="s">
        <v>4137</v>
      </c>
    </row>
    <row r="964" spans="1:6">
      <c r="A964" t="s">
        <v>5093</v>
      </c>
      <c r="B964" t="s">
        <v>522</v>
      </c>
      <c r="C964" t="s">
        <v>36</v>
      </c>
      <c r="D964" s="1">
        <v>45931</v>
      </c>
      <c r="E964" t="s">
        <v>4127</v>
      </c>
      <c r="F964" t="s">
        <v>4139</v>
      </c>
    </row>
    <row r="965" spans="1:6">
      <c r="A965" t="s">
        <v>5094</v>
      </c>
      <c r="B965" t="s">
        <v>523</v>
      </c>
      <c r="C965" t="s">
        <v>46</v>
      </c>
      <c r="D965" s="1">
        <v>45822</v>
      </c>
      <c r="E965" t="s">
        <v>4124</v>
      </c>
      <c r="F965" t="s">
        <v>4125</v>
      </c>
    </row>
    <row r="966" spans="1:6">
      <c r="A966" t="s">
        <v>5095</v>
      </c>
      <c r="B966" t="s">
        <v>523</v>
      </c>
      <c r="C966" t="s">
        <v>46</v>
      </c>
      <c r="D966" s="1">
        <v>45828</v>
      </c>
      <c r="E966" t="s">
        <v>4124</v>
      </c>
      <c r="F966" t="s">
        <v>4125</v>
      </c>
    </row>
    <row r="967" spans="1:6">
      <c r="A967" t="s">
        <v>5096</v>
      </c>
      <c r="B967" t="s">
        <v>523</v>
      </c>
      <c r="C967" t="s">
        <v>46</v>
      </c>
      <c r="D967" s="1">
        <v>45812</v>
      </c>
      <c r="E967" t="s">
        <v>4135</v>
      </c>
      <c r="F967" t="s">
        <v>4137</v>
      </c>
    </row>
    <row r="968" spans="1:6">
      <c r="A968" t="s">
        <v>5097</v>
      </c>
      <c r="B968" t="s">
        <v>523</v>
      </c>
      <c r="C968" t="s">
        <v>46</v>
      </c>
      <c r="D968" s="1">
        <v>45790</v>
      </c>
      <c r="E968" t="s">
        <v>4133</v>
      </c>
      <c r="F968" t="s">
        <v>4137</v>
      </c>
    </row>
    <row r="969" spans="1:6">
      <c r="A969" t="s">
        <v>5098</v>
      </c>
      <c r="B969" t="s">
        <v>523</v>
      </c>
      <c r="C969" t="s">
        <v>46</v>
      </c>
      <c r="D969" s="1">
        <v>45839</v>
      </c>
      <c r="E969" t="s">
        <v>4124</v>
      </c>
      <c r="F969" t="s">
        <v>4139</v>
      </c>
    </row>
    <row r="970" spans="1:6">
      <c r="A970" t="s">
        <v>5099</v>
      </c>
      <c r="B970" t="s">
        <v>525</v>
      </c>
      <c r="C970" t="s">
        <v>70</v>
      </c>
      <c r="D970" s="1">
        <v>45712</v>
      </c>
      <c r="E970" t="s">
        <v>4127</v>
      </c>
      <c r="F970" t="s">
        <v>4125</v>
      </c>
    </row>
    <row r="971" spans="1:6">
      <c r="A971" t="s">
        <v>5100</v>
      </c>
      <c r="B971" t="s">
        <v>525</v>
      </c>
      <c r="C971" t="s">
        <v>70</v>
      </c>
      <c r="D971" s="1">
        <v>45711</v>
      </c>
      <c r="E971" t="s">
        <v>4133</v>
      </c>
      <c r="F971" t="s">
        <v>4125</v>
      </c>
    </row>
    <row r="972" spans="1:6">
      <c r="A972" t="s">
        <v>5101</v>
      </c>
      <c r="B972" t="s">
        <v>525</v>
      </c>
      <c r="C972" t="s">
        <v>70</v>
      </c>
      <c r="D972" s="1">
        <v>45723</v>
      </c>
      <c r="E972" t="s">
        <v>4124</v>
      </c>
      <c r="F972" t="s">
        <v>4139</v>
      </c>
    </row>
    <row r="973" spans="1:6">
      <c r="A973" t="s">
        <v>5102</v>
      </c>
      <c r="B973" t="s">
        <v>525</v>
      </c>
      <c r="C973" t="s">
        <v>70</v>
      </c>
      <c r="D973" s="1">
        <v>45717</v>
      </c>
      <c r="E973" t="s">
        <v>4124</v>
      </c>
      <c r="F973" t="s">
        <v>4137</v>
      </c>
    </row>
    <row r="974" spans="1:6">
      <c r="A974" t="s">
        <v>5103</v>
      </c>
      <c r="B974" t="s">
        <v>527</v>
      </c>
      <c r="C974" t="s">
        <v>119</v>
      </c>
      <c r="D974" s="1">
        <v>45848</v>
      </c>
      <c r="E974" t="s">
        <v>4124</v>
      </c>
      <c r="F974" t="s">
        <v>4137</v>
      </c>
    </row>
    <row r="975" spans="1:6">
      <c r="A975" t="s">
        <v>5104</v>
      </c>
      <c r="B975" t="s">
        <v>527</v>
      </c>
      <c r="C975" t="s">
        <v>119</v>
      </c>
      <c r="D975" s="1">
        <v>45873</v>
      </c>
      <c r="E975" t="s">
        <v>4124</v>
      </c>
      <c r="F975" t="s">
        <v>4137</v>
      </c>
    </row>
    <row r="976" spans="1:6">
      <c r="A976" t="s">
        <v>5105</v>
      </c>
      <c r="B976" t="s">
        <v>527</v>
      </c>
      <c r="C976" t="s">
        <v>119</v>
      </c>
      <c r="D976" s="1">
        <v>45891</v>
      </c>
      <c r="E976" t="s">
        <v>4133</v>
      </c>
      <c r="F976" t="s">
        <v>4139</v>
      </c>
    </row>
    <row r="977" spans="1:6">
      <c r="A977" t="s">
        <v>5106</v>
      </c>
      <c r="B977" t="s">
        <v>527</v>
      </c>
      <c r="C977" t="s">
        <v>119</v>
      </c>
      <c r="D977" s="1">
        <v>45855</v>
      </c>
      <c r="E977" t="s">
        <v>4129</v>
      </c>
      <c r="F977" t="s">
        <v>4125</v>
      </c>
    </row>
    <row r="978" spans="1:6">
      <c r="A978" t="s">
        <v>5107</v>
      </c>
      <c r="B978" t="s">
        <v>527</v>
      </c>
      <c r="C978" t="s">
        <v>119</v>
      </c>
      <c r="D978" s="1">
        <v>45871</v>
      </c>
      <c r="E978" t="s">
        <v>4135</v>
      </c>
      <c r="F978" t="s">
        <v>4137</v>
      </c>
    </row>
    <row r="979" spans="1:6">
      <c r="A979" t="s">
        <v>5108</v>
      </c>
      <c r="B979" t="s">
        <v>528</v>
      </c>
      <c r="C979" t="s">
        <v>91</v>
      </c>
      <c r="D979" s="1">
        <v>45873</v>
      </c>
      <c r="E979" t="s">
        <v>4133</v>
      </c>
      <c r="F979" t="s">
        <v>4137</v>
      </c>
    </row>
    <row r="980" spans="1:6">
      <c r="A980" t="s">
        <v>5109</v>
      </c>
      <c r="B980" t="s">
        <v>528</v>
      </c>
      <c r="C980" t="s">
        <v>91</v>
      </c>
      <c r="D980" s="1">
        <v>45865</v>
      </c>
      <c r="E980" t="s">
        <v>4124</v>
      </c>
      <c r="F980" t="s">
        <v>4125</v>
      </c>
    </row>
    <row r="981" spans="1:6">
      <c r="A981" t="s">
        <v>5110</v>
      </c>
      <c r="B981" t="s">
        <v>528</v>
      </c>
      <c r="C981" t="s">
        <v>91</v>
      </c>
      <c r="D981" s="1">
        <v>45869</v>
      </c>
      <c r="E981" t="s">
        <v>4129</v>
      </c>
      <c r="F981" t="s">
        <v>4125</v>
      </c>
    </row>
    <row r="982" spans="1:6">
      <c r="A982" t="s">
        <v>5111</v>
      </c>
      <c r="B982" t="s">
        <v>530</v>
      </c>
      <c r="C982" t="s">
        <v>40</v>
      </c>
      <c r="D982" s="1">
        <v>45701</v>
      </c>
      <c r="E982" t="s">
        <v>4127</v>
      </c>
      <c r="F982" t="s">
        <v>4137</v>
      </c>
    </row>
    <row r="983" spans="1:6">
      <c r="A983" t="s">
        <v>5112</v>
      </c>
      <c r="B983" t="s">
        <v>530</v>
      </c>
      <c r="C983" t="s">
        <v>40</v>
      </c>
      <c r="D983" s="1">
        <v>45690</v>
      </c>
      <c r="E983" t="s">
        <v>4124</v>
      </c>
      <c r="F983" t="s">
        <v>4137</v>
      </c>
    </row>
    <row r="984" spans="1:6">
      <c r="A984" t="s">
        <v>5113</v>
      </c>
      <c r="B984" t="s">
        <v>531</v>
      </c>
      <c r="C984" t="s">
        <v>16</v>
      </c>
      <c r="D984" s="1">
        <v>45693</v>
      </c>
      <c r="E984" t="s">
        <v>4127</v>
      </c>
      <c r="F984" t="s">
        <v>4139</v>
      </c>
    </row>
    <row r="985" spans="1:6">
      <c r="A985" t="s">
        <v>5114</v>
      </c>
      <c r="B985" t="s">
        <v>531</v>
      </c>
      <c r="C985" t="s">
        <v>16</v>
      </c>
      <c r="D985" s="1">
        <v>45687</v>
      </c>
      <c r="E985" t="s">
        <v>4129</v>
      </c>
      <c r="F985" t="s">
        <v>4137</v>
      </c>
    </row>
    <row r="986" spans="1:6">
      <c r="A986" t="s">
        <v>5115</v>
      </c>
      <c r="B986" t="s">
        <v>531</v>
      </c>
      <c r="C986" t="s">
        <v>16</v>
      </c>
      <c r="D986" s="1">
        <v>45688</v>
      </c>
      <c r="E986" t="s">
        <v>4124</v>
      </c>
      <c r="F986" t="s">
        <v>4125</v>
      </c>
    </row>
    <row r="987" spans="1:6">
      <c r="A987" t="s">
        <v>5116</v>
      </c>
      <c r="B987" t="s">
        <v>531</v>
      </c>
      <c r="C987" t="s">
        <v>16</v>
      </c>
      <c r="D987" s="1">
        <v>45713</v>
      </c>
      <c r="E987" t="s">
        <v>4129</v>
      </c>
      <c r="F987" t="s">
        <v>4125</v>
      </c>
    </row>
    <row r="988" spans="1:6">
      <c r="A988" t="s">
        <v>5117</v>
      </c>
      <c r="B988" t="s">
        <v>532</v>
      </c>
      <c r="C988" t="s">
        <v>16</v>
      </c>
      <c r="D988" s="1">
        <v>45709</v>
      </c>
      <c r="E988" t="s">
        <v>4129</v>
      </c>
      <c r="F988" t="s">
        <v>4139</v>
      </c>
    </row>
    <row r="989" spans="1:6">
      <c r="A989" t="s">
        <v>5118</v>
      </c>
      <c r="B989" t="s">
        <v>532</v>
      </c>
      <c r="C989" t="s">
        <v>16</v>
      </c>
      <c r="D989" s="1">
        <v>45730</v>
      </c>
      <c r="E989" t="s">
        <v>4133</v>
      </c>
      <c r="F989" t="s">
        <v>4125</v>
      </c>
    </row>
    <row r="990" spans="1:6">
      <c r="A990" t="s">
        <v>5119</v>
      </c>
      <c r="B990" t="s">
        <v>532</v>
      </c>
      <c r="C990" t="s">
        <v>16</v>
      </c>
      <c r="D990" s="1">
        <v>45694</v>
      </c>
      <c r="E990" t="s">
        <v>4127</v>
      </c>
      <c r="F990" t="s">
        <v>4137</v>
      </c>
    </row>
    <row r="991" spans="1:6">
      <c r="A991" t="s">
        <v>5120</v>
      </c>
      <c r="B991" t="s">
        <v>532</v>
      </c>
      <c r="C991" t="s">
        <v>16</v>
      </c>
      <c r="D991" s="1">
        <v>45732</v>
      </c>
      <c r="E991" t="s">
        <v>4127</v>
      </c>
      <c r="F991" t="s">
        <v>4139</v>
      </c>
    </row>
    <row r="992" spans="1:6">
      <c r="A992" t="s">
        <v>5121</v>
      </c>
      <c r="B992" t="s">
        <v>532</v>
      </c>
      <c r="C992" t="s">
        <v>16</v>
      </c>
      <c r="D992" s="1">
        <v>45746</v>
      </c>
      <c r="E992" t="s">
        <v>4127</v>
      </c>
      <c r="F992" t="s">
        <v>4137</v>
      </c>
    </row>
    <row r="993" spans="1:6">
      <c r="A993" t="s">
        <v>5122</v>
      </c>
      <c r="B993" t="s">
        <v>534</v>
      </c>
      <c r="C993" t="s">
        <v>78</v>
      </c>
      <c r="D993" s="1">
        <v>45921</v>
      </c>
      <c r="E993" t="s">
        <v>4129</v>
      </c>
      <c r="F993" t="s">
        <v>4137</v>
      </c>
    </row>
    <row r="994" spans="1:6">
      <c r="A994" t="s">
        <v>5123</v>
      </c>
      <c r="B994" t="s">
        <v>534</v>
      </c>
      <c r="C994" t="s">
        <v>78</v>
      </c>
      <c r="D994" s="1">
        <v>45919</v>
      </c>
      <c r="E994" t="s">
        <v>4129</v>
      </c>
      <c r="F994" t="s">
        <v>4125</v>
      </c>
    </row>
    <row r="995" spans="1:6">
      <c r="A995" t="s">
        <v>5124</v>
      </c>
      <c r="B995" t="s">
        <v>536</v>
      </c>
      <c r="C995" t="s">
        <v>56</v>
      </c>
      <c r="D995" s="1">
        <v>45728</v>
      </c>
      <c r="E995" t="s">
        <v>4133</v>
      </c>
      <c r="F995" t="s">
        <v>4125</v>
      </c>
    </row>
    <row r="996" spans="1:6">
      <c r="A996" t="s">
        <v>5125</v>
      </c>
      <c r="B996" t="s">
        <v>536</v>
      </c>
      <c r="C996" t="s">
        <v>56</v>
      </c>
      <c r="D996" s="1">
        <v>45725</v>
      </c>
      <c r="E996" t="s">
        <v>4129</v>
      </c>
      <c r="F996" t="s">
        <v>4137</v>
      </c>
    </row>
    <row r="997" spans="1:6">
      <c r="A997" t="s">
        <v>5126</v>
      </c>
      <c r="B997" t="s">
        <v>536</v>
      </c>
      <c r="C997" t="s">
        <v>56</v>
      </c>
      <c r="D997" s="1">
        <v>45733</v>
      </c>
      <c r="E997" t="s">
        <v>4129</v>
      </c>
      <c r="F997" t="s">
        <v>4137</v>
      </c>
    </row>
    <row r="998" spans="1:6">
      <c r="A998" t="s">
        <v>5127</v>
      </c>
      <c r="B998" t="s">
        <v>537</v>
      </c>
      <c r="C998" t="s">
        <v>36</v>
      </c>
      <c r="D998" s="1">
        <v>45849</v>
      </c>
      <c r="E998" t="s">
        <v>4135</v>
      </c>
      <c r="F998" t="s">
        <v>4125</v>
      </c>
    </row>
    <row r="999" spans="1:6">
      <c r="A999" t="s">
        <v>5128</v>
      </c>
      <c r="B999" t="s">
        <v>537</v>
      </c>
      <c r="C999" t="s">
        <v>36</v>
      </c>
      <c r="D999" s="1">
        <v>45845</v>
      </c>
      <c r="E999" t="s">
        <v>4127</v>
      </c>
      <c r="F999" t="s">
        <v>4125</v>
      </c>
    </row>
    <row r="1000" spans="1:6">
      <c r="A1000" t="s">
        <v>5129</v>
      </c>
      <c r="B1000" t="s">
        <v>537</v>
      </c>
      <c r="C1000" t="s">
        <v>36</v>
      </c>
      <c r="D1000" s="1">
        <v>45841</v>
      </c>
      <c r="E1000" t="s">
        <v>4129</v>
      </c>
      <c r="F1000" t="s">
        <v>4125</v>
      </c>
    </row>
    <row r="1001" spans="1:6">
      <c r="A1001" t="s">
        <v>5130</v>
      </c>
      <c r="B1001" t="s">
        <v>538</v>
      </c>
      <c r="C1001" t="s">
        <v>56</v>
      </c>
      <c r="D1001" s="1">
        <v>45770</v>
      </c>
      <c r="E1001" t="s">
        <v>4133</v>
      </c>
      <c r="F1001" t="s">
        <v>4125</v>
      </c>
    </row>
    <row r="1002" spans="1:6">
      <c r="A1002" t="s">
        <v>5131</v>
      </c>
      <c r="B1002" t="s">
        <v>538</v>
      </c>
      <c r="C1002" t="s">
        <v>56</v>
      </c>
      <c r="D1002" s="1">
        <v>45766</v>
      </c>
      <c r="E1002" t="s">
        <v>4124</v>
      </c>
      <c r="F1002" t="s">
        <v>4137</v>
      </c>
    </row>
    <row r="1003" spans="1:6">
      <c r="A1003" t="s">
        <v>5132</v>
      </c>
      <c r="B1003" t="s">
        <v>538</v>
      </c>
      <c r="C1003" t="s">
        <v>56</v>
      </c>
      <c r="D1003" s="1">
        <v>45769</v>
      </c>
      <c r="E1003" t="s">
        <v>4135</v>
      </c>
      <c r="F1003" t="s">
        <v>4137</v>
      </c>
    </row>
    <row r="1004" spans="1:6">
      <c r="A1004" t="s">
        <v>5133</v>
      </c>
      <c r="B1004" t="s">
        <v>538</v>
      </c>
      <c r="C1004" t="s">
        <v>56</v>
      </c>
      <c r="D1004" s="1">
        <v>45781</v>
      </c>
      <c r="E1004" t="s">
        <v>4129</v>
      </c>
      <c r="F1004" t="s">
        <v>4139</v>
      </c>
    </row>
    <row r="1005" spans="1:6">
      <c r="A1005" t="s">
        <v>5134</v>
      </c>
      <c r="B1005" t="s">
        <v>538</v>
      </c>
      <c r="C1005" t="s">
        <v>56</v>
      </c>
      <c r="D1005" s="1">
        <v>45772</v>
      </c>
      <c r="E1005" t="s">
        <v>4135</v>
      </c>
      <c r="F1005" t="s">
        <v>4139</v>
      </c>
    </row>
    <row r="1006" spans="1:6">
      <c r="A1006" t="s">
        <v>5135</v>
      </c>
      <c r="B1006" t="s">
        <v>540</v>
      </c>
      <c r="C1006" t="s">
        <v>70</v>
      </c>
      <c r="D1006" s="1">
        <v>45824</v>
      </c>
      <c r="E1006" t="s">
        <v>4133</v>
      </c>
      <c r="F1006" t="s">
        <v>4139</v>
      </c>
    </row>
    <row r="1007" spans="1:6">
      <c r="A1007" t="s">
        <v>5136</v>
      </c>
      <c r="B1007" t="s">
        <v>540</v>
      </c>
      <c r="C1007" t="s">
        <v>70</v>
      </c>
      <c r="D1007" s="1">
        <v>45793</v>
      </c>
      <c r="E1007" t="s">
        <v>4127</v>
      </c>
      <c r="F1007" t="s">
        <v>4139</v>
      </c>
    </row>
    <row r="1008" spans="1:6">
      <c r="A1008" t="s">
        <v>5137</v>
      </c>
      <c r="B1008" t="s">
        <v>540</v>
      </c>
      <c r="C1008" t="s">
        <v>70</v>
      </c>
      <c r="D1008" s="1">
        <v>45784</v>
      </c>
      <c r="E1008" t="s">
        <v>4127</v>
      </c>
      <c r="F1008" t="s">
        <v>4137</v>
      </c>
    </row>
    <row r="1009" spans="1:6">
      <c r="A1009" t="s">
        <v>5138</v>
      </c>
      <c r="B1009" t="s">
        <v>540</v>
      </c>
      <c r="C1009" t="s">
        <v>70</v>
      </c>
      <c r="D1009" s="1">
        <v>45825</v>
      </c>
      <c r="E1009" t="s">
        <v>4129</v>
      </c>
      <c r="F1009" t="s">
        <v>4139</v>
      </c>
    </row>
    <row r="1010" spans="1:6">
      <c r="A1010" t="s">
        <v>5139</v>
      </c>
      <c r="B1010" t="s">
        <v>540</v>
      </c>
      <c r="C1010" t="s">
        <v>70</v>
      </c>
      <c r="D1010" s="1">
        <v>45824</v>
      </c>
      <c r="E1010" t="s">
        <v>4133</v>
      </c>
      <c r="F1010" t="s">
        <v>4125</v>
      </c>
    </row>
    <row r="1011" spans="1:6">
      <c r="A1011" t="s">
        <v>5140</v>
      </c>
      <c r="B1011" t="s">
        <v>541</v>
      </c>
      <c r="C1011" t="s">
        <v>70</v>
      </c>
      <c r="D1011" s="1">
        <v>45725</v>
      </c>
      <c r="E1011" t="s">
        <v>4135</v>
      </c>
      <c r="F1011" t="s">
        <v>4139</v>
      </c>
    </row>
    <row r="1012" spans="1:6">
      <c r="A1012" t="s">
        <v>5141</v>
      </c>
      <c r="B1012" t="s">
        <v>541</v>
      </c>
      <c r="C1012" t="s">
        <v>70</v>
      </c>
      <c r="D1012" s="1">
        <v>45707</v>
      </c>
      <c r="E1012" t="s">
        <v>4129</v>
      </c>
      <c r="F1012" t="s">
        <v>4125</v>
      </c>
    </row>
    <row r="1013" spans="1:6">
      <c r="A1013" t="s">
        <v>5142</v>
      </c>
      <c r="B1013" t="s">
        <v>543</v>
      </c>
      <c r="C1013" t="s">
        <v>50</v>
      </c>
      <c r="D1013" s="1">
        <v>46017</v>
      </c>
      <c r="E1013" t="s">
        <v>4133</v>
      </c>
      <c r="F1013" t="s">
        <v>4137</v>
      </c>
    </row>
    <row r="1014" spans="1:6">
      <c r="A1014" t="s">
        <v>5143</v>
      </c>
      <c r="B1014" t="s">
        <v>543</v>
      </c>
      <c r="C1014" t="s">
        <v>50</v>
      </c>
      <c r="D1014" s="1">
        <v>46008</v>
      </c>
      <c r="E1014" t="s">
        <v>4129</v>
      </c>
      <c r="F1014" t="s">
        <v>4125</v>
      </c>
    </row>
    <row r="1015" spans="1:6">
      <c r="A1015" t="s">
        <v>5144</v>
      </c>
      <c r="B1015" t="s">
        <v>543</v>
      </c>
      <c r="C1015" t="s">
        <v>50</v>
      </c>
      <c r="D1015" s="1">
        <v>46010</v>
      </c>
      <c r="E1015" t="s">
        <v>4135</v>
      </c>
      <c r="F1015" t="s">
        <v>4137</v>
      </c>
    </row>
    <row r="1016" spans="1:6">
      <c r="A1016" t="s">
        <v>5145</v>
      </c>
      <c r="B1016" t="s">
        <v>545</v>
      </c>
      <c r="C1016" t="s">
        <v>27</v>
      </c>
      <c r="D1016" s="1">
        <v>45778</v>
      </c>
      <c r="E1016" t="s">
        <v>4129</v>
      </c>
      <c r="F1016" t="s">
        <v>4137</v>
      </c>
    </row>
    <row r="1017" spans="1:6">
      <c r="A1017" t="s">
        <v>5146</v>
      </c>
      <c r="B1017" t="s">
        <v>545</v>
      </c>
      <c r="C1017" t="s">
        <v>27</v>
      </c>
      <c r="D1017" s="1">
        <v>45754</v>
      </c>
      <c r="E1017" t="s">
        <v>4127</v>
      </c>
      <c r="F1017" t="s">
        <v>4125</v>
      </c>
    </row>
    <row r="1018" spans="1:6">
      <c r="A1018" t="s">
        <v>5147</v>
      </c>
      <c r="B1018" t="s">
        <v>546</v>
      </c>
      <c r="C1018" t="s">
        <v>168</v>
      </c>
      <c r="D1018" s="1">
        <v>45800</v>
      </c>
      <c r="E1018" t="s">
        <v>4129</v>
      </c>
      <c r="F1018" t="s">
        <v>4139</v>
      </c>
    </row>
    <row r="1019" spans="1:6">
      <c r="A1019" t="s">
        <v>5148</v>
      </c>
      <c r="B1019" t="s">
        <v>546</v>
      </c>
      <c r="C1019" t="s">
        <v>168</v>
      </c>
      <c r="D1019" s="1">
        <v>45823</v>
      </c>
      <c r="E1019" t="s">
        <v>4133</v>
      </c>
      <c r="F1019" t="s">
        <v>4125</v>
      </c>
    </row>
    <row r="1020" spans="1:6">
      <c r="A1020" t="s">
        <v>5149</v>
      </c>
      <c r="B1020" t="s">
        <v>546</v>
      </c>
      <c r="C1020" t="s">
        <v>168</v>
      </c>
      <c r="D1020" s="1">
        <v>45825</v>
      </c>
      <c r="E1020" t="s">
        <v>4135</v>
      </c>
      <c r="F1020" t="s">
        <v>4137</v>
      </c>
    </row>
    <row r="1021" spans="1:6">
      <c r="A1021" t="s">
        <v>5150</v>
      </c>
      <c r="B1021" t="s">
        <v>546</v>
      </c>
      <c r="C1021" t="s">
        <v>168</v>
      </c>
      <c r="D1021" s="1">
        <v>45817</v>
      </c>
      <c r="E1021" t="s">
        <v>4124</v>
      </c>
      <c r="F1021" t="s">
        <v>4137</v>
      </c>
    </row>
    <row r="1022" spans="1:6">
      <c r="A1022" t="s">
        <v>5151</v>
      </c>
      <c r="B1022" t="s">
        <v>548</v>
      </c>
      <c r="C1022" t="s">
        <v>40</v>
      </c>
      <c r="D1022" s="1">
        <v>46022</v>
      </c>
      <c r="E1022" t="s">
        <v>4127</v>
      </c>
      <c r="F1022" t="s">
        <v>4137</v>
      </c>
    </row>
    <row r="1023" spans="1:6">
      <c r="A1023" t="s">
        <v>5152</v>
      </c>
      <c r="B1023" t="s">
        <v>548</v>
      </c>
      <c r="C1023" t="s">
        <v>40</v>
      </c>
      <c r="D1023" s="1">
        <v>46009</v>
      </c>
      <c r="E1023" t="s">
        <v>4135</v>
      </c>
      <c r="F1023" t="s">
        <v>4137</v>
      </c>
    </row>
    <row r="1024" spans="1:6">
      <c r="A1024" t="s">
        <v>5153</v>
      </c>
      <c r="B1024" t="s">
        <v>548</v>
      </c>
      <c r="C1024" t="s">
        <v>40</v>
      </c>
      <c r="D1024" s="1">
        <v>46011</v>
      </c>
      <c r="E1024" t="s">
        <v>4135</v>
      </c>
      <c r="F1024" t="s">
        <v>4137</v>
      </c>
    </row>
    <row r="1025" spans="1:6">
      <c r="A1025" t="s">
        <v>5154</v>
      </c>
      <c r="B1025" t="s">
        <v>548</v>
      </c>
      <c r="C1025" t="s">
        <v>40</v>
      </c>
      <c r="D1025" s="1">
        <v>46018</v>
      </c>
      <c r="E1025" t="s">
        <v>4127</v>
      </c>
      <c r="F1025" t="s">
        <v>4125</v>
      </c>
    </row>
    <row r="1026" spans="1:6">
      <c r="A1026" t="s">
        <v>5155</v>
      </c>
      <c r="B1026" t="s">
        <v>548</v>
      </c>
      <c r="C1026" t="s">
        <v>40</v>
      </c>
      <c r="D1026" s="1">
        <v>46014</v>
      </c>
      <c r="E1026" t="s">
        <v>4133</v>
      </c>
      <c r="F1026" t="s">
        <v>4137</v>
      </c>
    </row>
    <row r="1027" spans="1:6">
      <c r="A1027" t="s">
        <v>5156</v>
      </c>
      <c r="B1027" t="s">
        <v>550</v>
      </c>
      <c r="C1027" t="s">
        <v>59</v>
      </c>
      <c r="D1027" s="1">
        <v>45921</v>
      </c>
      <c r="E1027" t="s">
        <v>4124</v>
      </c>
      <c r="F1027" t="s">
        <v>4125</v>
      </c>
    </row>
    <row r="1028" spans="1:6">
      <c r="A1028" t="s">
        <v>5157</v>
      </c>
      <c r="B1028" t="s">
        <v>550</v>
      </c>
      <c r="C1028" t="s">
        <v>59</v>
      </c>
      <c r="D1028" s="1">
        <v>45945</v>
      </c>
      <c r="E1028" t="s">
        <v>4129</v>
      </c>
      <c r="F1028" t="s">
        <v>4125</v>
      </c>
    </row>
    <row r="1029" spans="1:6">
      <c r="A1029" t="s">
        <v>5158</v>
      </c>
      <c r="B1029" t="s">
        <v>552</v>
      </c>
      <c r="C1029" t="s">
        <v>53</v>
      </c>
      <c r="D1029" s="1">
        <v>45704</v>
      </c>
      <c r="E1029" t="s">
        <v>4127</v>
      </c>
      <c r="F1029" t="s">
        <v>4137</v>
      </c>
    </row>
    <row r="1030" spans="1:6">
      <c r="A1030" t="s">
        <v>5159</v>
      </c>
      <c r="B1030" t="s">
        <v>552</v>
      </c>
      <c r="C1030" t="s">
        <v>53</v>
      </c>
      <c r="D1030" s="1">
        <v>45702</v>
      </c>
      <c r="E1030" t="s">
        <v>4133</v>
      </c>
      <c r="F1030" t="s">
        <v>4139</v>
      </c>
    </row>
    <row r="1031" spans="1:6">
      <c r="A1031" t="s">
        <v>5160</v>
      </c>
      <c r="B1031" t="s">
        <v>552</v>
      </c>
      <c r="C1031" t="s">
        <v>53</v>
      </c>
      <c r="D1031" s="1">
        <v>45689</v>
      </c>
      <c r="E1031" t="s">
        <v>4135</v>
      </c>
      <c r="F1031" t="s">
        <v>4125</v>
      </c>
    </row>
    <row r="1032" spans="1:6">
      <c r="A1032" t="s">
        <v>5161</v>
      </c>
      <c r="B1032" t="s">
        <v>554</v>
      </c>
      <c r="C1032" t="s">
        <v>168</v>
      </c>
      <c r="D1032" s="1">
        <v>46005</v>
      </c>
      <c r="E1032" t="s">
        <v>4129</v>
      </c>
      <c r="F1032" t="s">
        <v>4137</v>
      </c>
    </row>
    <row r="1033" spans="1:6">
      <c r="A1033" t="s">
        <v>5162</v>
      </c>
      <c r="B1033" t="s">
        <v>554</v>
      </c>
      <c r="C1033" t="s">
        <v>168</v>
      </c>
      <c r="D1033" s="1">
        <v>45980</v>
      </c>
      <c r="E1033" t="s">
        <v>4135</v>
      </c>
      <c r="F1033" t="s">
        <v>4139</v>
      </c>
    </row>
    <row r="1034" spans="1:6">
      <c r="A1034" t="s">
        <v>5163</v>
      </c>
      <c r="B1034" t="s">
        <v>554</v>
      </c>
      <c r="C1034" t="s">
        <v>168</v>
      </c>
      <c r="D1034" s="1">
        <v>45988</v>
      </c>
      <c r="E1034" t="s">
        <v>4127</v>
      </c>
      <c r="F1034" t="s">
        <v>4139</v>
      </c>
    </row>
    <row r="1035" spans="1:6">
      <c r="A1035" t="s">
        <v>5164</v>
      </c>
      <c r="B1035" t="s">
        <v>556</v>
      </c>
      <c r="C1035" t="s">
        <v>63</v>
      </c>
      <c r="D1035" s="1">
        <v>45779</v>
      </c>
      <c r="E1035" t="s">
        <v>4135</v>
      </c>
      <c r="F1035" t="s">
        <v>4137</v>
      </c>
    </row>
    <row r="1036" spans="1:6">
      <c r="A1036" t="s">
        <v>5165</v>
      </c>
      <c r="B1036" t="s">
        <v>556</v>
      </c>
      <c r="C1036" t="s">
        <v>63</v>
      </c>
      <c r="D1036" s="1">
        <v>45774</v>
      </c>
      <c r="E1036" t="s">
        <v>4133</v>
      </c>
      <c r="F1036" t="s">
        <v>4137</v>
      </c>
    </row>
    <row r="1037" spans="1:6">
      <c r="A1037" t="s">
        <v>5166</v>
      </c>
      <c r="B1037" t="s">
        <v>558</v>
      </c>
      <c r="C1037" t="s">
        <v>50</v>
      </c>
      <c r="D1037" s="1">
        <v>45836</v>
      </c>
      <c r="E1037" t="s">
        <v>4129</v>
      </c>
      <c r="F1037" t="s">
        <v>4137</v>
      </c>
    </row>
    <row r="1038" spans="1:6">
      <c r="A1038" t="s">
        <v>5167</v>
      </c>
      <c r="B1038" t="s">
        <v>558</v>
      </c>
      <c r="C1038" t="s">
        <v>50</v>
      </c>
      <c r="D1038" s="1">
        <v>45840</v>
      </c>
      <c r="E1038" t="s">
        <v>4124</v>
      </c>
      <c r="F1038" t="s">
        <v>4125</v>
      </c>
    </row>
    <row r="1039" spans="1:6">
      <c r="A1039" t="s">
        <v>5168</v>
      </c>
      <c r="B1039" t="s">
        <v>560</v>
      </c>
      <c r="C1039" t="s">
        <v>126</v>
      </c>
      <c r="D1039" s="1">
        <v>45789</v>
      </c>
      <c r="E1039" t="s">
        <v>4135</v>
      </c>
      <c r="F1039" t="s">
        <v>4125</v>
      </c>
    </row>
    <row r="1040" spans="1:6">
      <c r="A1040" t="s">
        <v>5169</v>
      </c>
      <c r="B1040" t="s">
        <v>560</v>
      </c>
      <c r="C1040" t="s">
        <v>126</v>
      </c>
      <c r="D1040" s="1">
        <v>45775</v>
      </c>
      <c r="E1040" t="s">
        <v>4127</v>
      </c>
      <c r="F1040" t="s">
        <v>4125</v>
      </c>
    </row>
    <row r="1041" spans="1:6">
      <c r="A1041" t="s">
        <v>5170</v>
      </c>
      <c r="B1041" t="s">
        <v>560</v>
      </c>
      <c r="C1041" t="s">
        <v>126</v>
      </c>
      <c r="D1041" s="1">
        <v>45774</v>
      </c>
      <c r="E1041" t="s">
        <v>4124</v>
      </c>
      <c r="F1041" t="s">
        <v>4139</v>
      </c>
    </row>
    <row r="1042" spans="1:6">
      <c r="A1042" t="s">
        <v>5171</v>
      </c>
      <c r="B1042" t="s">
        <v>562</v>
      </c>
      <c r="C1042" t="s">
        <v>70</v>
      </c>
      <c r="D1042" s="1">
        <v>45843</v>
      </c>
      <c r="E1042" t="s">
        <v>4124</v>
      </c>
      <c r="F1042" t="s">
        <v>4139</v>
      </c>
    </row>
    <row r="1043" spans="1:6">
      <c r="A1043" t="s">
        <v>5172</v>
      </c>
      <c r="B1043" t="s">
        <v>562</v>
      </c>
      <c r="C1043" t="s">
        <v>70</v>
      </c>
      <c r="D1043" s="1">
        <v>45806</v>
      </c>
      <c r="E1043" t="s">
        <v>4124</v>
      </c>
      <c r="F1043" t="s">
        <v>4139</v>
      </c>
    </row>
    <row r="1044" spans="1:6">
      <c r="A1044" t="s">
        <v>5173</v>
      </c>
      <c r="B1044" t="s">
        <v>562</v>
      </c>
      <c r="C1044" t="s">
        <v>70</v>
      </c>
      <c r="D1044" s="1">
        <v>45826</v>
      </c>
      <c r="E1044" t="s">
        <v>4124</v>
      </c>
      <c r="F1044" t="s">
        <v>4125</v>
      </c>
    </row>
    <row r="1045" spans="1:6">
      <c r="A1045" t="s">
        <v>5174</v>
      </c>
      <c r="B1045" t="s">
        <v>562</v>
      </c>
      <c r="C1045" t="s">
        <v>70</v>
      </c>
      <c r="D1045" s="1">
        <v>45819</v>
      </c>
      <c r="E1045" t="s">
        <v>4124</v>
      </c>
      <c r="F1045" t="s">
        <v>4125</v>
      </c>
    </row>
    <row r="1046" spans="1:6">
      <c r="A1046" t="s">
        <v>5175</v>
      </c>
      <c r="B1046" t="s">
        <v>563</v>
      </c>
      <c r="C1046" t="s">
        <v>56</v>
      </c>
      <c r="D1046" s="1">
        <v>45849</v>
      </c>
      <c r="E1046" t="s">
        <v>4127</v>
      </c>
      <c r="F1046" t="s">
        <v>4125</v>
      </c>
    </row>
    <row r="1047" spans="1:6">
      <c r="A1047" t="s">
        <v>5176</v>
      </c>
      <c r="B1047" t="s">
        <v>563</v>
      </c>
      <c r="C1047" t="s">
        <v>56</v>
      </c>
      <c r="D1047" s="1">
        <v>45865</v>
      </c>
      <c r="E1047" t="s">
        <v>4133</v>
      </c>
      <c r="F1047" t="s">
        <v>4139</v>
      </c>
    </row>
    <row r="1048" spans="1:6">
      <c r="A1048" t="s">
        <v>5177</v>
      </c>
      <c r="B1048" t="s">
        <v>563</v>
      </c>
      <c r="C1048" t="s">
        <v>56</v>
      </c>
      <c r="D1048" s="1">
        <v>45821</v>
      </c>
      <c r="E1048" t="s">
        <v>4129</v>
      </c>
      <c r="F1048" t="s">
        <v>4125</v>
      </c>
    </row>
    <row r="1049" spans="1:6">
      <c r="A1049" t="s">
        <v>5178</v>
      </c>
      <c r="B1049" t="s">
        <v>564</v>
      </c>
      <c r="C1049" t="s">
        <v>59</v>
      </c>
      <c r="D1049" s="1">
        <v>46006</v>
      </c>
      <c r="E1049" t="s">
        <v>4129</v>
      </c>
      <c r="F1049" t="s">
        <v>4137</v>
      </c>
    </row>
    <row r="1050" spans="1:6">
      <c r="A1050" t="s">
        <v>5179</v>
      </c>
      <c r="B1050" t="s">
        <v>564</v>
      </c>
      <c r="C1050" t="s">
        <v>59</v>
      </c>
      <c r="D1050" s="1">
        <v>46011</v>
      </c>
      <c r="E1050" t="s">
        <v>4124</v>
      </c>
      <c r="F1050" t="s">
        <v>4139</v>
      </c>
    </row>
    <row r="1051" spans="1:6">
      <c r="A1051" t="s">
        <v>5180</v>
      </c>
      <c r="B1051" t="s">
        <v>564</v>
      </c>
      <c r="C1051" t="s">
        <v>59</v>
      </c>
      <c r="D1051" s="1">
        <v>46003</v>
      </c>
      <c r="E1051" t="s">
        <v>4127</v>
      </c>
      <c r="F1051" t="s">
        <v>4125</v>
      </c>
    </row>
    <row r="1052" spans="1:6">
      <c r="A1052" t="s">
        <v>5181</v>
      </c>
      <c r="B1052" t="s">
        <v>564</v>
      </c>
      <c r="C1052" t="s">
        <v>59</v>
      </c>
      <c r="D1052" s="1">
        <v>46017</v>
      </c>
      <c r="E1052" t="s">
        <v>4124</v>
      </c>
      <c r="F1052" t="s">
        <v>4139</v>
      </c>
    </row>
    <row r="1053" spans="1:6">
      <c r="A1053" t="s">
        <v>5182</v>
      </c>
      <c r="B1053" t="s">
        <v>566</v>
      </c>
      <c r="C1053" t="s">
        <v>40</v>
      </c>
      <c r="D1053" s="1">
        <v>45713</v>
      </c>
      <c r="E1053" t="s">
        <v>4129</v>
      </c>
      <c r="F1053" t="s">
        <v>4137</v>
      </c>
    </row>
    <row r="1054" spans="1:6">
      <c r="A1054" t="s">
        <v>5183</v>
      </c>
      <c r="B1054" t="s">
        <v>566</v>
      </c>
      <c r="C1054" t="s">
        <v>40</v>
      </c>
      <c r="D1054" s="1">
        <v>45746</v>
      </c>
      <c r="E1054" t="s">
        <v>4127</v>
      </c>
      <c r="F1054" t="s">
        <v>4137</v>
      </c>
    </row>
    <row r="1055" spans="1:6">
      <c r="A1055" t="s">
        <v>5184</v>
      </c>
      <c r="B1055" t="s">
        <v>566</v>
      </c>
      <c r="C1055" t="s">
        <v>40</v>
      </c>
      <c r="D1055" s="1">
        <v>45701</v>
      </c>
      <c r="E1055" t="s">
        <v>4127</v>
      </c>
      <c r="F1055" t="s">
        <v>4125</v>
      </c>
    </row>
    <row r="1056" spans="1:6">
      <c r="A1056" t="s">
        <v>5185</v>
      </c>
      <c r="B1056" t="s">
        <v>566</v>
      </c>
      <c r="C1056" t="s">
        <v>40</v>
      </c>
      <c r="D1056" s="1">
        <v>45742</v>
      </c>
      <c r="E1056" t="s">
        <v>4135</v>
      </c>
      <c r="F1056" t="s">
        <v>4125</v>
      </c>
    </row>
    <row r="1057" spans="1:6">
      <c r="A1057" t="s">
        <v>5186</v>
      </c>
      <c r="B1057" t="s">
        <v>568</v>
      </c>
      <c r="C1057" t="s">
        <v>22</v>
      </c>
      <c r="D1057" s="1">
        <v>45689</v>
      </c>
      <c r="E1057" t="s">
        <v>4135</v>
      </c>
      <c r="F1057" t="s">
        <v>4125</v>
      </c>
    </row>
    <row r="1058" spans="1:6">
      <c r="A1058" t="s">
        <v>5187</v>
      </c>
      <c r="B1058" t="s">
        <v>568</v>
      </c>
      <c r="C1058" t="s">
        <v>22</v>
      </c>
      <c r="D1058" s="1">
        <v>45692</v>
      </c>
      <c r="E1058" t="s">
        <v>4124</v>
      </c>
      <c r="F1058" t="s">
        <v>4139</v>
      </c>
    </row>
    <row r="1059" spans="1:6">
      <c r="A1059" t="s">
        <v>5188</v>
      </c>
      <c r="B1059" t="s">
        <v>568</v>
      </c>
      <c r="C1059" t="s">
        <v>22</v>
      </c>
      <c r="D1059" s="1">
        <v>45692</v>
      </c>
      <c r="E1059" t="s">
        <v>4133</v>
      </c>
      <c r="F1059" t="s">
        <v>4137</v>
      </c>
    </row>
    <row r="1060" spans="1:6">
      <c r="A1060" t="s">
        <v>5189</v>
      </c>
      <c r="B1060" t="s">
        <v>568</v>
      </c>
      <c r="C1060" t="s">
        <v>22</v>
      </c>
      <c r="D1060" s="1">
        <v>45690</v>
      </c>
      <c r="E1060" t="s">
        <v>4129</v>
      </c>
      <c r="F1060" t="s">
        <v>4137</v>
      </c>
    </row>
    <row r="1061" spans="1:6">
      <c r="A1061" t="s">
        <v>5190</v>
      </c>
      <c r="B1061" t="s">
        <v>568</v>
      </c>
      <c r="C1061" t="s">
        <v>22</v>
      </c>
      <c r="D1061" s="1">
        <v>45692</v>
      </c>
      <c r="E1061" t="s">
        <v>4124</v>
      </c>
      <c r="F1061" t="s">
        <v>4139</v>
      </c>
    </row>
    <row r="1062" spans="1:6">
      <c r="A1062" t="s">
        <v>5191</v>
      </c>
      <c r="B1062" t="s">
        <v>569</v>
      </c>
      <c r="C1062" t="s">
        <v>75</v>
      </c>
      <c r="D1062" s="1">
        <v>45734</v>
      </c>
      <c r="E1062" t="s">
        <v>4129</v>
      </c>
      <c r="F1062" t="s">
        <v>4139</v>
      </c>
    </row>
    <row r="1063" spans="1:6">
      <c r="A1063" t="s">
        <v>5192</v>
      </c>
      <c r="B1063" t="s">
        <v>569</v>
      </c>
      <c r="C1063" t="s">
        <v>75</v>
      </c>
      <c r="D1063" s="1">
        <v>45754</v>
      </c>
      <c r="E1063" t="s">
        <v>4129</v>
      </c>
      <c r="F1063" t="s">
        <v>4139</v>
      </c>
    </row>
    <row r="1064" spans="1:6">
      <c r="A1064" t="s">
        <v>5193</v>
      </c>
      <c r="B1064" t="s">
        <v>569</v>
      </c>
      <c r="C1064" t="s">
        <v>75</v>
      </c>
      <c r="D1064" s="1">
        <v>45747</v>
      </c>
      <c r="E1064" t="s">
        <v>4133</v>
      </c>
      <c r="F1064" t="s">
        <v>4139</v>
      </c>
    </row>
    <row r="1065" spans="1:6">
      <c r="A1065" t="s">
        <v>5194</v>
      </c>
      <c r="B1065" t="s">
        <v>569</v>
      </c>
      <c r="C1065" t="s">
        <v>75</v>
      </c>
      <c r="D1065" s="1">
        <v>45752</v>
      </c>
      <c r="E1065" t="s">
        <v>4133</v>
      </c>
      <c r="F1065" t="s">
        <v>4137</v>
      </c>
    </row>
    <row r="1066" spans="1:6">
      <c r="A1066" t="s">
        <v>5195</v>
      </c>
      <c r="B1066" t="s">
        <v>571</v>
      </c>
      <c r="C1066" t="s">
        <v>46</v>
      </c>
      <c r="D1066" s="1">
        <v>45874</v>
      </c>
      <c r="E1066" t="s">
        <v>4124</v>
      </c>
      <c r="F1066" t="s">
        <v>4125</v>
      </c>
    </row>
    <row r="1067" spans="1:6">
      <c r="A1067" t="s">
        <v>5196</v>
      </c>
      <c r="B1067" t="s">
        <v>571</v>
      </c>
      <c r="C1067" t="s">
        <v>46</v>
      </c>
      <c r="D1067" s="1">
        <v>45867</v>
      </c>
      <c r="E1067" t="s">
        <v>4129</v>
      </c>
      <c r="F1067" t="s">
        <v>4125</v>
      </c>
    </row>
    <row r="1068" spans="1:6">
      <c r="A1068" t="s">
        <v>5197</v>
      </c>
      <c r="B1068" t="s">
        <v>571</v>
      </c>
      <c r="C1068" t="s">
        <v>46</v>
      </c>
      <c r="D1068" s="1">
        <v>45859</v>
      </c>
      <c r="E1068" t="s">
        <v>4127</v>
      </c>
      <c r="F1068" t="s">
        <v>4139</v>
      </c>
    </row>
    <row r="1069" spans="1:6">
      <c r="A1069" t="s">
        <v>5198</v>
      </c>
      <c r="B1069" t="s">
        <v>571</v>
      </c>
      <c r="C1069" t="s">
        <v>46</v>
      </c>
      <c r="D1069" s="1">
        <v>45879</v>
      </c>
      <c r="E1069" t="s">
        <v>4129</v>
      </c>
      <c r="F1069" t="s">
        <v>4137</v>
      </c>
    </row>
    <row r="1070" spans="1:6">
      <c r="A1070" t="s">
        <v>5199</v>
      </c>
      <c r="B1070" t="s">
        <v>571</v>
      </c>
      <c r="C1070" t="s">
        <v>46</v>
      </c>
      <c r="D1070" s="1">
        <v>45869</v>
      </c>
      <c r="E1070" t="s">
        <v>4129</v>
      </c>
      <c r="F1070" t="s">
        <v>4139</v>
      </c>
    </row>
    <row r="1071" spans="1:6">
      <c r="A1071" t="s">
        <v>5200</v>
      </c>
      <c r="B1071" t="s">
        <v>573</v>
      </c>
      <c r="C1071" t="s">
        <v>40</v>
      </c>
      <c r="D1071" s="1">
        <v>45835</v>
      </c>
      <c r="E1071" t="s">
        <v>4127</v>
      </c>
      <c r="F1071" t="s">
        <v>4139</v>
      </c>
    </row>
    <row r="1072" spans="1:6">
      <c r="A1072" t="s">
        <v>5201</v>
      </c>
      <c r="B1072" t="s">
        <v>573</v>
      </c>
      <c r="C1072" t="s">
        <v>40</v>
      </c>
      <c r="D1072" s="1">
        <v>45830</v>
      </c>
      <c r="E1072" t="s">
        <v>4124</v>
      </c>
      <c r="F1072" t="s">
        <v>4139</v>
      </c>
    </row>
    <row r="1073" spans="1:6">
      <c r="A1073" t="s">
        <v>5202</v>
      </c>
      <c r="B1073" t="s">
        <v>574</v>
      </c>
      <c r="C1073" t="s">
        <v>168</v>
      </c>
      <c r="D1073" s="1">
        <v>45883</v>
      </c>
      <c r="E1073" t="s">
        <v>4127</v>
      </c>
      <c r="F1073" t="s">
        <v>4125</v>
      </c>
    </row>
    <row r="1074" spans="1:6">
      <c r="A1074" t="s">
        <v>5203</v>
      </c>
      <c r="B1074" t="s">
        <v>574</v>
      </c>
      <c r="C1074" t="s">
        <v>168</v>
      </c>
      <c r="D1074" s="1">
        <v>45894</v>
      </c>
      <c r="E1074" t="s">
        <v>4135</v>
      </c>
      <c r="F1074" t="s">
        <v>4137</v>
      </c>
    </row>
    <row r="1075" spans="1:6">
      <c r="A1075" t="s">
        <v>5204</v>
      </c>
      <c r="B1075" t="s">
        <v>574</v>
      </c>
      <c r="C1075" t="s">
        <v>168</v>
      </c>
      <c r="D1075" s="1">
        <v>45898</v>
      </c>
      <c r="E1075" t="s">
        <v>4133</v>
      </c>
      <c r="F1075" t="s">
        <v>4137</v>
      </c>
    </row>
    <row r="1076" spans="1:6">
      <c r="A1076" t="s">
        <v>5205</v>
      </c>
      <c r="B1076" t="s">
        <v>574</v>
      </c>
      <c r="C1076" t="s">
        <v>168</v>
      </c>
      <c r="D1076" s="1">
        <v>45888</v>
      </c>
      <c r="E1076" t="s">
        <v>4135</v>
      </c>
      <c r="F1076" t="s">
        <v>4137</v>
      </c>
    </row>
    <row r="1077" spans="1:6">
      <c r="A1077" t="s">
        <v>5206</v>
      </c>
      <c r="B1077" t="s">
        <v>574</v>
      </c>
      <c r="C1077" t="s">
        <v>168</v>
      </c>
      <c r="D1077" s="1">
        <v>45884</v>
      </c>
      <c r="E1077" t="s">
        <v>4124</v>
      </c>
      <c r="F1077" t="s">
        <v>4137</v>
      </c>
    </row>
    <row r="1078" spans="1:6">
      <c r="A1078" t="s">
        <v>5207</v>
      </c>
      <c r="B1078" t="s">
        <v>576</v>
      </c>
      <c r="C1078" t="s">
        <v>119</v>
      </c>
      <c r="D1078" s="1">
        <v>45914</v>
      </c>
      <c r="E1078" t="s">
        <v>4124</v>
      </c>
      <c r="F1078" t="s">
        <v>4139</v>
      </c>
    </row>
    <row r="1079" spans="1:6">
      <c r="A1079" t="s">
        <v>5208</v>
      </c>
      <c r="B1079" t="s">
        <v>576</v>
      </c>
      <c r="C1079" t="s">
        <v>119</v>
      </c>
      <c r="D1079" s="1">
        <v>45876</v>
      </c>
      <c r="E1079" t="s">
        <v>4129</v>
      </c>
      <c r="F1079" t="s">
        <v>4137</v>
      </c>
    </row>
    <row r="1080" spans="1:6">
      <c r="A1080" t="s">
        <v>5209</v>
      </c>
      <c r="B1080" t="s">
        <v>576</v>
      </c>
      <c r="C1080" t="s">
        <v>119</v>
      </c>
      <c r="D1080" s="1">
        <v>45903</v>
      </c>
      <c r="E1080" t="s">
        <v>4135</v>
      </c>
      <c r="F1080" t="s">
        <v>4125</v>
      </c>
    </row>
    <row r="1081" spans="1:6">
      <c r="A1081" t="s">
        <v>5210</v>
      </c>
      <c r="B1081" t="s">
        <v>576</v>
      </c>
      <c r="C1081" t="s">
        <v>119</v>
      </c>
      <c r="D1081" s="1">
        <v>45917</v>
      </c>
      <c r="E1081" t="s">
        <v>4135</v>
      </c>
      <c r="F1081" t="s">
        <v>4137</v>
      </c>
    </row>
    <row r="1082" spans="1:6">
      <c r="A1082" t="s">
        <v>5211</v>
      </c>
      <c r="B1082" t="s">
        <v>576</v>
      </c>
      <c r="C1082" t="s">
        <v>119</v>
      </c>
      <c r="D1082" s="1">
        <v>45907</v>
      </c>
      <c r="E1082" t="s">
        <v>4129</v>
      </c>
      <c r="F1082" t="s">
        <v>4139</v>
      </c>
    </row>
    <row r="1083" spans="1:6">
      <c r="A1083" t="s">
        <v>5212</v>
      </c>
      <c r="B1083" t="s">
        <v>577</v>
      </c>
      <c r="C1083" t="s">
        <v>22</v>
      </c>
      <c r="D1083" s="1">
        <v>45729</v>
      </c>
      <c r="E1083" t="s">
        <v>4129</v>
      </c>
      <c r="F1083" t="s">
        <v>4137</v>
      </c>
    </row>
    <row r="1084" spans="1:6">
      <c r="A1084" t="s">
        <v>5213</v>
      </c>
      <c r="B1084" t="s">
        <v>577</v>
      </c>
      <c r="C1084" t="s">
        <v>22</v>
      </c>
      <c r="D1084" s="1">
        <v>45735</v>
      </c>
      <c r="E1084" t="s">
        <v>4129</v>
      </c>
      <c r="F1084" t="s">
        <v>4139</v>
      </c>
    </row>
    <row r="1085" spans="1:6">
      <c r="A1085" t="s">
        <v>5214</v>
      </c>
      <c r="B1085" t="s">
        <v>577</v>
      </c>
      <c r="C1085" t="s">
        <v>22</v>
      </c>
      <c r="D1085" s="1">
        <v>45707</v>
      </c>
      <c r="E1085" t="s">
        <v>4133</v>
      </c>
      <c r="F1085" t="s">
        <v>4125</v>
      </c>
    </row>
    <row r="1086" spans="1:6">
      <c r="A1086" t="s">
        <v>5215</v>
      </c>
      <c r="B1086" t="s">
        <v>577</v>
      </c>
      <c r="C1086" t="s">
        <v>22</v>
      </c>
      <c r="D1086" s="1">
        <v>45711</v>
      </c>
      <c r="E1086" t="s">
        <v>4129</v>
      </c>
      <c r="F1086" t="s">
        <v>4137</v>
      </c>
    </row>
    <row r="1087" spans="1:6">
      <c r="A1087" t="s">
        <v>5216</v>
      </c>
      <c r="B1087" t="s">
        <v>579</v>
      </c>
      <c r="C1087" t="s">
        <v>59</v>
      </c>
      <c r="D1087" s="1">
        <v>45999</v>
      </c>
      <c r="E1087" t="s">
        <v>4124</v>
      </c>
      <c r="F1087" t="s">
        <v>4139</v>
      </c>
    </row>
    <row r="1088" spans="1:6">
      <c r="A1088" t="s">
        <v>5217</v>
      </c>
      <c r="B1088" t="s">
        <v>579</v>
      </c>
      <c r="C1088" t="s">
        <v>59</v>
      </c>
      <c r="D1088" s="1">
        <v>46021</v>
      </c>
      <c r="E1088" t="s">
        <v>4135</v>
      </c>
      <c r="F1088" t="s">
        <v>4137</v>
      </c>
    </row>
    <row r="1089" spans="1:6">
      <c r="A1089" t="s">
        <v>5218</v>
      </c>
      <c r="B1089" t="s">
        <v>580</v>
      </c>
      <c r="C1089" t="s">
        <v>22</v>
      </c>
      <c r="D1089" s="1">
        <v>46019</v>
      </c>
      <c r="E1089" t="s">
        <v>4135</v>
      </c>
      <c r="F1089" t="s">
        <v>4139</v>
      </c>
    </row>
    <row r="1090" spans="1:6">
      <c r="A1090" t="s">
        <v>5219</v>
      </c>
      <c r="B1090" t="s">
        <v>580</v>
      </c>
      <c r="C1090" t="s">
        <v>22</v>
      </c>
      <c r="D1090" s="1">
        <v>46018</v>
      </c>
      <c r="E1090" t="s">
        <v>4129</v>
      </c>
      <c r="F1090" t="s">
        <v>4137</v>
      </c>
    </row>
    <row r="1091" spans="1:6">
      <c r="A1091" t="s">
        <v>5220</v>
      </c>
      <c r="B1091" t="s">
        <v>580</v>
      </c>
      <c r="C1091" t="s">
        <v>22</v>
      </c>
      <c r="D1091" s="1">
        <v>46018</v>
      </c>
      <c r="E1091" t="s">
        <v>4124</v>
      </c>
      <c r="F1091" t="s">
        <v>4125</v>
      </c>
    </row>
    <row r="1092" spans="1:6">
      <c r="A1092" t="s">
        <v>5221</v>
      </c>
      <c r="B1092" t="s">
        <v>580</v>
      </c>
      <c r="C1092" t="s">
        <v>22</v>
      </c>
      <c r="D1092" s="1">
        <v>46018</v>
      </c>
      <c r="E1092" t="s">
        <v>4133</v>
      </c>
      <c r="F1092" t="s">
        <v>4137</v>
      </c>
    </row>
    <row r="1093" spans="1:6">
      <c r="A1093" t="s">
        <v>5222</v>
      </c>
      <c r="B1093" t="s">
        <v>582</v>
      </c>
      <c r="C1093" t="s">
        <v>168</v>
      </c>
      <c r="D1093" s="1">
        <v>46015</v>
      </c>
      <c r="E1093" t="s">
        <v>4124</v>
      </c>
      <c r="F1093" t="s">
        <v>4137</v>
      </c>
    </row>
    <row r="1094" spans="1:6">
      <c r="A1094" t="s">
        <v>5223</v>
      </c>
      <c r="B1094" t="s">
        <v>582</v>
      </c>
      <c r="C1094" t="s">
        <v>168</v>
      </c>
      <c r="D1094" s="1">
        <v>45995</v>
      </c>
      <c r="E1094" t="s">
        <v>4135</v>
      </c>
      <c r="F1094" t="s">
        <v>4139</v>
      </c>
    </row>
    <row r="1095" spans="1:6">
      <c r="A1095" t="s">
        <v>5224</v>
      </c>
      <c r="B1095" t="s">
        <v>582</v>
      </c>
      <c r="C1095" t="s">
        <v>168</v>
      </c>
      <c r="D1095" s="1">
        <v>45993</v>
      </c>
      <c r="E1095" t="s">
        <v>4135</v>
      </c>
      <c r="F1095" t="s">
        <v>4139</v>
      </c>
    </row>
    <row r="1096" spans="1:6">
      <c r="A1096" t="s">
        <v>5225</v>
      </c>
      <c r="B1096" t="s">
        <v>582</v>
      </c>
      <c r="C1096" t="s">
        <v>168</v>
      </c>
      <c r="D1096" s="1">
        <v>46019</v>
      </c>
      <c r="E1096" t="s">
        <v>4133</v>
      </c>
      <c r="F1096" t="s">
        <v>4125</v>
      </c>
    </row>
    <row r="1097" spans="1:6">
      <c r="A1097" t="s">
        <v>5226</v>
      </c>
      <c r="B1097" t="s">
        <v>583</v>
      </c>
      <c r="C1097" t="s">
        <v>70</v>
      </c>
      <c r="D1097" s="1">
        <v>45789</v>
      </c>
      <c r="E1097" t="s">
        <v>4124</v>
      </c>
      <c r="F1097" t="s">
        <v>4139</v>
      </c>
    </row>
    <row r="1098" spans="1:6">
      <c r="A1098" t="s">
        <v>5227</v>
      </c>
      <c r="B1098" t="s">
        <v>583</v>
      </c>
      <c r="C1098" t="s">
        <v>70</v>
      </c>
      <c r="D1098" s="1">
        <v>45780</v>
      </c>
      <c r="E1098" t="s">
        <v>4124</v>
      </c>
      <c r="F1098" t="s">
        <v>4139</v>
      </c>
    </row>
    <row r="1099" spans="1:6">
      <c r="A1099" t="s">
        <v>5228</v>
      </c>
      <c r="B1099" t="s">
        <v>583</v>
      </c>
      <c r="C1099" t="s">
        <v>70</v>
      </c>
      <c r="D1099" s="1">
        <v>45768</v>
      </c>
      <c r="E1099" t="s">
        <v>4135</v>
      </c>
      <c r="F1099" t="s">
        <v>4139</v>
      </c>
    </row>
    <row r="1100" spans="1:6">
      <c r="A1100" t="s">
        <v>5229</v>
      </c>
      <c r="B1100" t="s">
        <v>583</v>
      </c>
      <c r="C1100" t="s">
        <v>70</v>
      </c>
      <c r="D1100" s="1">
        <v>45788</v>
      </c>
      <c r="E1100" t="s">
        <v>4124</v>
      </c>
      <c r="F1100" t="s">
        <v>4137</v>
      </c>
    </row>
    <row r="1101" spans="1:6">
      <c r="A1101" t="s">
        <v>5230</v>
      </c>
      <c r="B1101" t="s">
        <v>584</v>
      </c>
      <c r="C1101" t="s">
        <v>32</v>
      </c>
      <c r="D1101" s="1">
        <v>45957</v>
      </c>
      <c r="E1101" t="s">
        <v>4133</v>
      </c>
      <c r="F1101" t="s">
        <v>4125</v>
      </c>
    </row>
    <row r="1102" spans="1:6">
      <c r="A1102" t="s">
        <v>5231</v>
      </c>
      <c r="B1102" t="s">
        <v>584</v>
      </c>
      <c r="C1102" t="s">
        <v>32</v>
      </c>
      <c r="D1102" s="1">
        <v>45984</v>
      </c>
      <c r="E1102" t="s">
        <v>4124</v>
      </c>
      <c r="F1102" t="s">
        <v>4137</v>
      </c>
    </row>
    <row r="1103" spans="1:6">
      <c r="A1103" t="s">
        <v>5232</v>
      </c>
      <c r="B1103" t="s">
        <v>584</v>
      </c>
      <c r="C1103" t="s">
        <v>32</v>
      </c>
      <c r="D1103" s="1">
        <v>45994</v>
      </c>
      <c r="E1103" t="s">
        <v>4129</v>
      </c>
      <c r="F1103" t="s">
        <v>4125</v>
      </c>
    </row>
    <row r="1104" spans="1:6">
      <c r="A1104" t="s">
        <v>5233</v>
      </c>
      <c r="B1104" t="s">
        <v>584</v>
      </c>
      <c r="C1104" t="s">
        <v>32</v>
      </c>
      <c r="D1104" s="1">
        <v>45992</v>
      </c>
      <c r="E1104" t="s">
        <v>4127</v>
      </c>
      <c r="F1104" t="s">
        <v>4139</v>
      </c>
    </row>
    <row r="1105" spans="1:6">
      <c r="A1105" t="s">
        <v>5234</v>
      </c>
      <c r="B1105" t="s">
        <v>585</v>
      </c>
      <c r="C1105" t="s">
        <v>32</v>
      </c>
      <c r="D1105" s="1">
        <v>45974</v>
      </c>
      <c r="E1105" t="s">
        <v>4129</v>
      </c>
      <c r="F1105" t="s">
        <v>4137</v>
      </c>
    </row>
    <row r="1106" spans="1:6">
      <c r="A1106" t="s">
        <v>5235</v>
      </c>
      <c r="B1106" t="s">
        <v>585</v>
      </c>
      <c r="C1106" t="s">
        <v>32</v>
      </c>
      <c r="D1106" s="1">
        <v>45990</v>
      </c>
      <c r="E1106" t="s">
        <v>4133</v>
      </c>
      <c r="F1106" t="s">
        <v>4137</v>
      </c>
    </row>
    <row r="1107" spans="1:6">
      <c r="A1107" t="s">
        <v>5236</v>
      </c>
      <c r="B1107" t="s">
        <v>586</v>
      </c>
      <c r="C1107" t="s">
        <v>32</v>
      </c>
      <c r="D1107" s="1">
        <v>45918</v>
      </c>
      <c r="E1107" t="s">
        <v>4135</v>
      </c>
      <c r="F1107" t="s">
        <v>4137</v>
      </c>
    </row>
    <row r="1108" spans="1:6">
      <c r="A1108" t="s">
        <v>5237</v>
      </c>
      <c r="B1108" t="s">
        <v>586</v>
      </c>
      <c r="C1108" t="s">
        <v>32</v>
      </c>
      <c r="D1108" s="1">
        <v>45922</v>
      </c>
      <c r="E1108" t="s">
        <v>4124</v>
      </c>
      <c r="F1108" t="s">
        <v>4139</v>
      </c>
    </row>
    <row r="1109" spans="1:6">
      <c r="A1109" t="s">
        <v>5238</v>
      </c>
      <c r="B1109" t="s">
        <v>586</v>
      </c>
      <c r="C1109" t="s">
        <v>32</v>
      </c>
      <c r="D1109" s="1">
        <v>45932</v>
      </c>
      <c r="E1109" t="s">
        <v>4135</v>
      </c>
      <c r="F1109" t="s">
        <v>4125</v>
      </c>
    </row>
    <row r="1110" spans="1:6">
      <c r="A1110" t="s">
        <v>5239</v>
      </c>
      <c r="B1110" t="s">
        <v>588</v>
      </c>
      <c r="C1110" t="s">
        <v>152</v>
      </c>
      <c r="D1110" s="1">
        <v>46019</v>
      </c>
      <c r="E1110" t="s">
        <v>4127</v>
      </c>
      <c r="F1110" t="s">
        <v>4137</v>
      </c>
    </row>
    <row r="1111" spans="1:6">
      <c r="A1111" t="s">
        <v>5240</v>
      </c>
      <c r="B1111" t="s">
        <v>588</v>
      </c>
      <c r="C1111" t="s">
        <v>152</v>
      </c>
      <c r="D1111" s="1">
        <v>46017</v>
      </c>
      <c r="E1111" t="s">
        <v>4135</v>
      </c>
      <c r="F1111" t="s">
        <v>4125</v>
      </c>
    </row>
    <row r="1112" spans="1:6">
      <c r="A1112" t="s">
        <v>5241</v>
      </c>
      <c r="B1112" t="s">
        <v>588</v>
      </c>
      <c r="C1112" t="s">
        <v>152</v>
      </c>
      <c r="D1112" s="1">
        <v>45979</v>
      </c>
      <c r="E1112" t="s">
        <v>4127</v>
      </c>
      <c r="F1112" t="s">
        <v>4125</v>
      </c>
    </row>
    <row r="1113" spans="1:6">
      <c r="A1113" t="s">
        <v>5242</v>
      </c>
      <c r="B1113" t="s">
        <v>588</v>
      </c>
      <c r="C1113" t="s">
        <v>152</v>
      </c>
      <c r="D1113" s="1">
        <v>46013</v>
      </c>
      <c r="E1113" t="s">
        <v>4133</v>
      </c>
      <c r="F1113" t="s">
        <v>4125</v>
      </c>
    </row>
    <row r="1114" spans="1:6">
      <c r="A1114" t="s">
        <v>5243</v>
      </c>
      <c r="B1114" t="s">
        <v>588</v>
      </c>
      <c r="C1114" t="s">
        <v>152</v>
      </c>
      <c r="D1114" s="1">
        <v>45996</v>
      </c>
      <c r="E1114" t="s">
        <v>4135</v>
      </c>
      <c r="F1114" t="s">
        <v>4139</v>
      </c>
    </row>
    <row r="1115" spans="1:6">
      <c r="A1115" t="s">
        <v>5244</v>
      </c>
      <c r="B1115" t="s">
        <v>590</v>
      </c>
      <c r="C1115" t="s">
        <v>119</v>
      </c>
      <c r="D1115" s="1">
        <v>45944</v>
      </c>
      <c r="E1115" t="s">
        <v>4133</v>
      </c>
      <c r="F1115" t="s">
        <v>4139</v>
      </c>
    </row>
    <row r="1116" spans="1:6">
      <c r="A1116" t="s">
        <v>5245</v>
      </c>
      <c r="B1116" t="s">
        <v>590</v>
      </c>
      <c r="C1116" t="s">
        <v>119</v>
      </c>
      <c r="D1116" s="1">
        <v>45931</v>
      </c>
      <c r="E1116" t="s">
        <v>4127</v>
      </c>
      <c r="F1116" t="s">
        <v>4137</v>
      </c>
    </row>
    <row r="1117" spans="1:6">
      <c r="A1117" t="s">
        <v>5246</v>
      </c>
      <c r="B1117" t="s">
        <v>590</v>
      </c>
      <c r="C1117" t="s">
        <v>119</v>
      </c>
      <c r="D1117" s="1">
        <v>45952</v>
      </c>
      <c r="E1117" t="s">
        <v>4135</v>
      </c>
      <c r="F1117" t="s">
        <v>4139</v>
      </c>
    </row>
    <row r="1118" spans="1:6">
      <c r="A1118" t="s">
        <v>5247</v>
      </c>
      <c r="B1118" t="s">
        <v>591</v>
      </c>
      <c r="C1118" t="s">
        <v>53</v>
      </c>
      <c r="D1118" s="1">
        <v>45705</v>
      </c>
      <c r="E1118" t="s">
        <v>4127</v>
      </c>
      <c r="F1118" t="s">
        <v>4137</v>
      </c>
    </row>
    <row r="1119" spans="1:6">
      <c r="A1119" t="s">
        <v>5248</v>
      </c>
      <c r="B1119" t="s">
        <v>591</v>
      </c>
      <c r="C1119" t="s">
        <v>53</v>
      </c>
      <c r="D1119" s="1">
        <v>45701</v>
      </c>
      <c r="E1119" t="s">
        <v>4133</v>
      </c>
      <c r="F1119" t="s">
        <v>4125</v>
      </c>
    </row>
    <row r="1120" spans="1:6">
      <c r="A1120" t="s">
        <v>5249</v>
      </c>
      <c r="B1120" t="s">
        <v>591</v>
      </c>
      <c r="C1120" t="s">
        <v>53</v>
      </c>
      <c r="D1120" s="1">
        <v>45698</v>
      </c>
      <c r="E1120" t="s">
        <v>4135</v>
      </c>
      <c r="F1120" t="s">
        <v>4125</v>
      </c>
    </row>
    <row r="1121" spans="1:6">
      <c r="A1121" t="s">
        <v>5250</v>
      </c>
      <c r="B1121" t="s">
        <v>593</v>
      </c>
      <c r="C1121" t="s">
        <v>50</v>
      </c>
      <c r="D1121" s="1">
        <v>46012</v>
      </c>
      <c r="E1121" t="s">
        <v>4129</v>
      </c>
      <c r="F1121" t="s">
        <v>4125</v>
      </c>
    </row>
    <row r="1122" spans="1:6">
      <c r="A1122" t="s">
        <v>5251</v>
      </c>
      <c r="B1122" t="s">
        <v>593</v>
      </c>
      <c r="C1122" t="s">
        <v>50</v>
      </c>
      <c r="D1122" s="1">
        <v>46012</v>
      </c>
      <c r="E1122" t="s">
        <v>4133</v>
      </c>
      <c r="F1122" t="s">
        <v>4125</v>
      </c>
    </row>
    <row r="1123" spans="1:6">
      <c r="A1123" t="s">
        <v>5252</v>
      </c>
      <c r="B1123" t="s">
        <v>595</v>
      </c>
      <c r="C1123" t="s">
        <v>27</v>
      </c>
      <c r="D1123" s="1">
        <v>45749</v>
      </c>
      <c r="E1123" t="s">
        <v>4135</v>
      </c>
      <c r="F1123" t="s">
        <v>4125</v>
      </c>
    </row>
    <row r="1124" spans="1:6">
      <c r="A1124" t="s">
        <v>5253</v>
      </c>
      <c r="B1124" t="s">
        <v>595</v>
      </c>
      <c r="C1124" t="s">
        <v>27</v>
      </c>
      <c r="D1124" s="1">
        <v>45766</v>
      </c>
      <c r="E1124" t="s">
        <v>4127</v>
      </c>
      <c r="F1124" t="s">
        <v>4139</v>
      </c>
    </row>
    <row r="1125" spans="1:6">
      <c r="A1125" t="s">
        <v>5254</v>
      </c>
      <c r="B1125" t="s">
        <v>595</v>
      </c>
      <c r="C1125" t="s">
        <v>27</v>
      </c>
      <c r="D1125" s="1">
        <v>45750</v>
      </c>
      <c r="E1125" t="s">
        <v>4135</v>
      </c>
      <c r="F1125" t="s">
        <v>4137</v>
      </c>
    </row>
    <row r="1126" spans="1:6">
      <c r="A1126" t="s">
        <v>5255</v>
      </c>
      <c r="B1126" t="s">
        <v>595</v>
      </c>
      <c r="C1126" t="s">
        <v>27</v>
      </c>
      <c r="D1126" s="1">
        <v>45769</v>
      </c>
      <c r="E1126" t="s">
        <v>4133</v>
      </c>
      <c r="F1126" t="s">
        <v>4139</v>
      </c>
    </row>
    <row r="1127" spans="1:6">
      <c r="A1127" t="s">
        <v>5256</v>
      </c>
      <c r="B1127" t="s">
        <v>595</v>
      </c>
      <c r="C1127" t="s">
        <v>27</v>
      </c>
      <c r="D1127" s="1">
        <v>45773</v>
      </c>
      <c r="E1127" t="s">
        <v>4127</v>
      </c>
      <c r="F1127" t="s">
        <v>4137</v>
      </c>
    </row>
    <row r="1128" spans="1:6">
      <c r="A1128" t="s">
        <v>5257</v>
      </c>
      <c r="B1128" t="s">
        <v>596</v>
      </c>
      <c r="C1128" t="s">
        <v>27</v>
      </c>
      <c r="D1128" s="1">
        <v>45844</v>
      </c>
      <c r="E1128" t="s">
        <v>4135</v>
      </c>
      <c r="F1128" t="s">
        <v>4139</v>
      </c>
    </row>
    <row r="1129" spans="1:6">
      <c r="A1129" t="s">
        <v>5258</v>
      </c>
      <c r="B1129" t="s">
        <v>596</v>
      </c>
      <c r="C1129" t="s">
        <v>27</v>
      </c>
      <c r="D1129" s="1">
        <v>45845</v>
      </c>
      <c r="E1129" t="s">
        <v>4124</v>
      </c>
      <c r="F1129" t="s">
        <v>4137</v>
      </c>
    </row>
    <row r="1130" spans="1:6">
      <c r="A1130" t="s">
        <v>5259</v>
      </c>
      <c r="B1130" t="s">
        <v>596</v>
      </c>
      <c r="C1130" t="s">
        <v>27</v>
      </c>
      <c r="D1130" s="1">
        <v>45852</v>
      </c>
      <c r="E1130" t="s">
        <v>4124</v>
      </c>
      <c r="F1130" t="s">
        <v>4137</v>
      </c>
    </row>
    <row r="1131" spans="1:6">
      <c r="A1131" t="s">
        <v>5260</v>
      </c>
      <c r="B1131" t="s">
        <v>596</v>
      </c>
      <c r="C1131" t="s">
        <v>27</v>
      </c>
      <c r="D1131" s="1">
        <v>45854</v>
      </c>
      <c r="E1131" t="s">
        <v>4129</v>
      </c>
      <c r="F1131" t="s">
        <v>4125</v>
      </c>
    </row>
    <row r="1132" spans="1:6">
      <c r="A1132" t="s">
        <v>5261</v>
      </c>
      <c r="B1132" t="s">
        <v>596</v>
      </c>
      <c r="C1132" t="s">
        <v>27</v>
      </c>
      <c r="D1132" s="1">
        <v>45817</v>
      </c>
      <c r="E1132" t="s">
        <v>4133</v>
      </c>
      <c r="F1132" t="s">
        <v>4137</v>
      </c>
    </row>
    <row r="1133" spans="1:6">
      <c r="A1133" t="s">
        <v>5262</v>
      </c>
      <c r="B1133" t="s">
        <v>597</v>
      </c>
      <c r="C1133" t="s">
        <v>50</v>
      </c>
      <c r="D1133" s="1">
        <v>45718</v>
      </c>
      <c r="E1133" t="s">
        <v>4133</v>
      </c>
      <c r="F1133" t="s">
        <v>4125</v>
      </c>
    </row>
    <row r="1134" spans="1:6">
      <c r="A1134" t="s">
        <v>5263</v>
      </c>
      <c r="B1134" t="s">
        <v>597</v>
      </c>
      <c r="C1134" t="s">
        <v>50</v>
      </c>
      <c r="D1134" s="1">
        <v>45734</v>
      </c>
      <c r="E1134" t="s">
        <v>4135</v>
      </c>
      <c r="F1134" t="s">
        <v>4125</v>
      </c>
    </row>
    <row r="1135" spans="1:6">
      <c r="A1135" t="s">
        <v>5264</v>
      </c>
      <c r="B1135" t="s">
        <v>598</v>
      </c>
      <c r="C1135" t="s">
        <v>56</v>
      </c>
      <c r="D1135" s="1">
        <v>45876</v>
      </c>
      <c r="E1135" t="s">
        <v>4129</v>
      </c>
      <c r="F1135" t="s">
        <v>4139</v>
      </c>
    </row>
    <row r="1136" spans="1:6">
      <c r="A1136" t="s">
        <v>5265</v>
      </c>
      <c r="B1136" t="s">
        <v>598</v>
      </c>
      <c r="C1136" t="s">
        <v>56</v>
      </c>
      <c r="D1136" s="1">
        <v>45860</v>
      </c>
      <c r="E1136" t="s">
        <v>4124</v>
      </c>
      <c r="F1136" t="s">
        <v>4125</v>
      </c>
    </row>
    <row r="1137" spans="1:6">
      <c r="A1137" t="s">
        <v>5266</v>
      </c>
      <c r="B1137" t="s">
        <v>598</v>
      </c>
      <c r="C1137" t="s">
        <v>56</v>
      </c>
      <c r="D1137" s="1">
        <v>45835</v>
      </c>
      <c r="E1137" t="s">
        <v>4129</v>
      </c>
      <c r="F1137" t="s">
        <v>4125</v>
      </c>
    </row>
    <row r="1138" spans="1:6">
      <c r="A1138" t="s">
        <v>5267</v>
      </c>
      <c r="B1138" t="s">
        <v>598</v>
      </c>
      <c r="C1138" t="s">
        <v>56</v>
      </c>
      <c r="D1138" s="1">
        <v>45865</v>
      </c>
      <c r="E1138" t="s">
        <v>4127</v>
      </c>
      <c r="F1138" t="s">
        <v>4125</v>
      </c>
    </row>
    <row r="1139" spans="1:6">
      <c r="A1139" t="s">
        <v>5268</v>
      </c>
      <c r="B1139" t="s">
        <v>599</v>
      </c>
      <c r="C1139" t="s">
        <v>91</v>
      </c>
      <c r="D1139" s="1">
        <v>45706</v>
      </c>
      <c r="E1139" t="s">
        <v>4129</v>
      </c>
      <c r="F1139" t="s">
        <v>4125</v>
      </c>
    </row>
    <row r="1140" spans="1:6">
      <c r="A1140" t="s">
        <v>5269</v>
      </c>
      <c r="B1140" t="s">
        <v>599</v>
      </c>
      <c r="C1140" t="s">
        <v>91</v>
      </c>
      <c r="D1140" s="1">
        <v>45720</v>
      </c>
      <c r="E1140" t="s">
        <v>4129</v>
      </c>
      <c r="F1140" t="s">
        <v>4137</v>
      </c>
    </row>
    <row r="1141" spans="1:6">
      <c r="A1141" t="s">
        <v>5270</v>
      </c>
      <c r="B1141" t="s">
        <v>599</v>
      </c>
      <c r="C1141" t="s">
        <v>91</v>
      </c>
      <c r="D1141" s="1">
        <v>45749</v>
      </c>
      <c r="E1141" t="s">
        <v>4135</v>
      </c>
      <c r="F1141" t="s">
        <v>4139</v>
      </c>
    </row>
    <row r="1142" spans="1:6">
      <c r="A1142" t="s">
        <v>5271</v>
      </c>
      <c r="B1142" t="s">
        <v>600</v>
      </c>
      <c r="C1142" t="s">
        <v>63</v>
      </c>
      <c r="D1142" s="1">
        <v>45813</v>
      </c>
      <c r="E1142" t="s">
        <v>4127</v>
      </c>
      <c r="F1142" t="s">
        <v>4125</v>
      </c>
    </row>
    <row r="1143" spans="1:6">
      <c r="A1143" t="s">
        <v>5272</v>
      </c>
      <c r="B1143" t="s">
        <v>600</v>
      </c>
      <c r="C1143" t="s">
        <v>63</v>
      </c>
      <c r="D1143" s="1">
        <v>45822</v>
      </c>
      <c r="E1143" t="s">
        <v>4127</v>
      </c>
      <c r="F1143" t="s">
        <v>4139</v>
      </c>
    </row>
    <row r="1144" spans="1:6">
      <c r="A1144" t="s">
        <v>5273</v>
      </c>
      <c r="B1144" t="s">
        <v>602</v>
      </c>
      <c r="C1144" t="s">
        <v>53</v>
      </c>
      <c r="D1144" s="1">
        <v>45892</v>
      </c>
      <c r="E1144" t="s">
        <v>4127</v>
      </c>
      <c r="F1144" t="s">
        <v>4137</v>
      </c>
    </row>
    <row r="1145" spans="1:6">
      <c r="A1145" t="s">
        <v>5274</v>
      </c>
      <c r="B1145" t="s">
        <v>602</v>
      </c>
      <c r="C1145" t="s">
        <v>53</v>
      </c>
      <c r="D1145" s="1">
        <v>45889</v>
      </c>
      <c r="E1145" t="s">
        <v>4124</v>
      </c>
      <c r="F1145" t="s">
        <v>4125</v>
      </c>
    </row>
    <row r="1146" spans="1:6">
      <c r="A1146" t="s">
        <v>5275</v>
      </c>
      <c r="B1146" t="s">
        <v>602</v>
      </c>
      <c r="C1146" t="s">
        <v>53</v>
      </c>
      <c r="D1146" s="1">
        <v>45890</v>
      </c>
      <c r="E1146" t="s">
        <v>4133</v>
      </c>
      <c r="F1146" t="s">
        <v>4137</v>
      </c>
    </row>
    <row r="1147" spans="1:6">
      <c r="A1147" t="s">
        <v>5276</v>
      </c>
      <c r="B1147" t="s">
        <v>603</v>
      </c>
      <c r="C1147" t="s">
        <v>168</v>
      </c>
      <c r="D1147" s="1">
        <v>45855</v>
      </c>
      <c r="E1147" t="s">
        <v>4135</v>
      </c>
      <c r="F1147" t="s">
        <v>4137</v>
      </c>
    </row>
    <row r="1148" spans="1:6">
      <c r="A1148" t="s">
        <v>5277</v>
      </c>
      <c r="B1148" t="s">
        <v>603</v>
      </c>
      <c r="C1148" t="s">
        <v>168</v>
      </c>
      <c r="D1148" s="1">
        <v>45848</v>
      </c>
      <c r="E1148" t="s">
        <v>4124</v>
      </c>
      <c r="F1148" t="s">
        <v>4139</v>
      </c>
    </row>
    <row r="1149" spans="1:6">
      <c r="A1149" t="s">
        <v>5278</v>
      </c>
      <c r="B1149" t="s">
        <v>604</v>
      </c>
      <c r="C1149" t="s">
        <v>56</v>
      </c>
      <c r="D1149" s="1">
        <v>45926</v>
      </c>
      <c r="E1149" t="s">
        <v>4124</v>
      </c>
      <c r="F1149" t="s">
        <v>4139</v>
      </c>
    </row>
    <row r="1150" spans="1:6">
      <c r="A1150" t="s">
        <v>5279</v>
      </c>
      <c r="B1150" t="s">
        <v>604</v>
      </c>
      <c r="C1150" t="s">
        <v>56</v>
      </c>
      <c r="D1150" s="1">
        <v>45882</v>
      </c>
      <c r="E1150" t="s">
        <v>4129</v>
      </c>
      <c r="F1150" t="s">
        <v>4139</v>
      </c>
    </row>
    <row r="1151" spans="1:6">
      <c r="A1151" t="s">
        <v>5280</v>
      </c>
      <c r="B1151" t="s">
        <v>604</v>
      </c>
      <c r="C1151" t="s">
        <v>56</v>
      </c>
      <c r="D1151" s="1">
        <v>45926</v>
      </c>
      <c r="E1151" t="s">
        <v>4124</v>
      </c>
      <c r="F1151" t="s">
        <v>4139</v>
      </c>
    </row>
    <row r="1152" spans="1:6">
      <c r="A1152" t="s">
        <v>5281</v>
      </c>
      <c r="B1152" t="s">
        <v>604</v>
      </c>
      <c r="C1152" t="s">
        <v>56</v>
      </c>
      <c r="D1152" s="1">
        <v>45929</v>
      </c>
      <c r="E1152" t="s">
        <v>4129</v>
      </c>
      <c r="F1152" t="s">
        <v>4139</v>
      </c>
    </row>
    <row r="1153" spans="1:6">
      <c r="A1153" t="s">
        <v>5282</v>
      </c>
      <c r="B1153" t="s">
        <v>604</v>
      </c>
      <c r="C1153" t="s">
        <v>56</v>
      </c>
      <c r="D1153" s="1">
        <v>45891</v>
      </c>
      <c r="E1153" t="s">
        <v>4124</v>
      </c>
      <c r="F1153" t="s">
        <v>4137</v>
      </c>
    </row>
    <row r="1154" spans="1:6">
      <c r="A1154" t="s">
        <v>5283</v>
      </c>
      <c r="B1154" t="s">
        <v>605</v>
      </c>
      <c r="C1154" t="s">
        <v>75</v>
      </c>
      <c r="D1154" s="1">
        <v>45962</v>
      </c>
      <c r="E1154" t="s">
        <v>4127</v>
      </c>
      <c r="F1154" t="s">
        <v>4139</v>
      </c>
    </row>
    <row r="1155" spans="1:6">
      <c r="A1155" t="s">
        <v>5284</v>
      </c>
      <c r="B1155" t="s">
        <v>605</v>
      </c>
      <c r="C1155" t="s">
        <v>75</v>
      </c>
      <c r="D1155" s="1">
        <v>45960</v>
      </c>
      <c r="E1155" t="s">
        <v>4135</v>
      </c>
      <c r="F1155" t="s">
        <v>4139</v>
      </c>
    </row>
    <row r="1156" spans="1:6">
      <c r="A1156" t="s">
        <v>5285</v>
      </c>
      <c r="B1156" t="s">
        <v>605</v>
      </c>
      <c r="C1156" t="s">
        <v>75</v>
      </c>
      <c r="D1156" s="1">
        <v>45955</v>
      </c>
      <c r="E1156" t="s">
        <v>4127</v>
      </c>
      <c r="F1156" t="s">
        <v>4137</v>
      </c>
    </row>
    <row r="1157" spans="1:6">
      <c r="A1157" t="s">
        <v>5286</v>
      </c>
      <c r="B1157" t="s">
        <v>605</v>
      </c>
      <c r="C1157" t="s">
        <v>75</v>
      </c>
      <c r="D1157" s="1">
        <v>45953</v>
      </c>
      <c r="E1157" t="s">
        <v>4127</v>
      </c>
      <c r="F1157" t="s">
        <v>4137</v>
      </c>
    </row>
    <row r="1158" spans="1:6">
      <c r="A1158" t="s">
        <v>5287</v>
      </c>
      <c r="B1158" t="s">
        <v>607</v>
      </c>
      <c r="C1158" t="s">
        <v>126</v>
      </c>
      <c r="D1158" s="1">
        <v>45966</v>
      </c>
      <c r="E1158" t="s">
        <v>4129</v>
      </c>
      <c r="F1158" t="s">
        <v>4137</v>
      </c>
    </row>
    <row r="1159" spans="1:6">
      <c r="A1159" t="s">
        <v>5288</v>
      </c>
      <c r="B1159" t="s">
        <v>607</v>
      </c>
      <c r="C1159" t="s">
        <v>126</v>
      </c>
      <c r="D1159" s="1">
        <v>45963</v>
      </c>
      <c r="E1159" t="s">
        <v>4133</v>
      </c>
      <c r="F1159" t="s">
        <v>4137</v>
      </c>
    </row>
    <row r="1160" spans="1:6">
      <c r="A1160" t="s">
        <v>5289</v>
      </c>
      <c r="B1160" t="s">
        <v>608</v>
      </c>
      <c r="C1160" t="s">
        <v>16</v>
      </c>
      <c r="D1160" s="1">
        <v>45995</v>
      </c>
      <c r="E1160" t="s">
        <v>4124</v>
      </c>
      <c r="F1160" t="s">
        <v>4125</v>
      </c>
    </row>
    <row r="1161" spans="1:6">
      <c r="A1161" t="s">
        <v>5290</v>
      </c>
      <c r="B1161" t="s">
        <v>608</v>
      </c>
      <c r="C1161" t="s">
        <v>16</v>
      </c>
      <c r="D1161" s="1">
        <v>45975</v>
      </c>
      <c r="E1161" t="s">
        <v>4135</v>
      </c>
      <c r="F1161" t="s">
        <v>4125</v>
      </c>
    </row>
    <row r="1162" spans="1:6">
      <c r="A1162" t="s">
        <v>5291</v>
      </c>
      <c r="B1162" t="s">
        <v>608</v>
      </c>
      <c r="C1162" t="s">
        <v>16</v>
      </c>
      <c r="D1162" s="1">
        <v>45967</v>
      </c>
      <c r="E1162" t="s">
        <v>4133</v>
      </c>
      <c r="F1162" t="s">
        <v>4125</v>
      </c>
    </row>
    <row r="1163" spans="1:6">
      <c r="A1163" t="s">
        <v>5292</v>
      </c>
      <c r="B1163" t="s">
        <v>608</v>
      </c>
      <c r="C1163" t="s">
        <v>16</v>
      </c>
      <c r="D1163" s="1">
        <v>45989</v>
      </c>
      <c r="E1163" t="s">
        <v>4129</v>
      </c>
      <c r="F1163" t="s">
        <v>4137</v>
      </c>
    </row>
    <row r="1164" spans="1:6">
      <c r="A1164" t="s">
        <v>5293</v>
      </c>
      <c r="B1164" t="s">
        <v>608</v>
      </c>
      <c r="C1164" t="s">
        <v>16</v>
      </c>
      <c r="D1164" s="1">
        <v>45971</v>
      </c>
      <c r="E1164" t="s">
        <v>4135</v>
      </c>
      <c r="F1164" t="s">
        <v>4137</v>
      </c>
    </row>
    <row r="1165" spans="1:6">
      <c r="A1165" t="s">
        <v>5294</v>
      </c>
      <c r="B1165" t="s">
        <v>610</v>
      </c>
      <c r="C1165" t="s">
        <v>70</v>
      </c>
      <c r="D1165" s="1">
        <v>46018</v>
      </c>
      <c r="E1165" t="s">
        <v>4133</v>
      </c>
      <c r="F1165" t="s">
        <v>4125</v>
      </c>
    </row>
    <row r="1166" spans="1:6">
      <c r="A1166" t="s">
        <v>5295</v>
      </c>
      <c r="B1166" t="s">
        <v>610</v>
      </c>
      <c r="C1166" t="s">
        <v>70</v>
      </c>
      <c r="D1166" s="1">
        <v>46018</v>
      </c>
      <c r="E1166" t="s">
        <v>4133</v>
      </c>
      <c r="F1166" t="s">
        <v>4139</v>
      </c>
    </row>
    <row r="1167" spans="1:6">
      <c r="A1167" t="s">
        <v>5296</v>
      </c>
      <c r="B1167" t="s">
        <v>610</v>
      </c>
      <c r="C1167" t="s">
        <v>70</v>
      </c>
      <c r="D1167" s="1">
        <v>46020</v>
      </c>
      <c r="E1167" t="s">
        <v>4129</v>
      </c>
      <c r="F1167" t="s">
        <v>4125</v>
      </c>
    </row>
    <row r="1168" spans="1:6">
      <c r="A1168" t="s">
        <v>5297</v>
      </c>
      <c r="B1168" t="s">
        <v>610</v>
      </c>
      <c r="C1168" t="s">
        <v>70</v>
      </c>
      <c r="D1168" s="1">
        <v>46002</v>
      </c>
      <c r="E1168" t="s">
        <v>4129</v>
      </c>
      <c r="F1168" t="s">
        <v>4125</v>
      </c>
    </row>
    <row r="1169" spans="1:6">
      <c r="A1169" t="s">
        <v>5298</v>
      </c>
      <c r="B1169" t="s">
        <v>612</v>
      </c>
      <c r="C1169" t="s">
        <v>119</v>
      </c>
      <c r="D1169" s="1">
        <v>45698</v>
      </c>
      <c r="E1169" t="s">
        <v>4129</v>
      </c>
      <c r="F1169" t="s">
        <v>4137</v>
      </c>
    </row>
    <row r="1170" spans="1:6">
      <c r="A1170" t="s">
        <v>5299</v>
      </c>
      <c r="B1170" t="s">
        <v>612</v>
      </c>
      <c r="C1170" t="s">
        <v>119</v>
      </c>
      <c r="D1170" s="1">
        <v>45677</v>
      </c>
      <c r="E1170" t="s">
        <v>4129</v>
      </c>
      <c r="F1170" t="s">
        <v>4125</v>
      </c>
    </row>
    <row r="1171" spans="1:6">
      <c r="A1171" t="s">
        <v>5300</v>
      </c>
      <c r="B1171" t="s">
        <v>612</v>
      </c>
      <c r="C1171" t="s">
        <v>119</v>
      </c>
      <c r="D1171" s="1">
        <v>45708</v>
      </c>
      <c r="E1171" t="s">
        <v>4124</v>
      </c>
      <c r="F1171" t="s">
        <v>4125</v>
      </c>
    </row>
    <row r="1172" spans="1:6">
      <c r="A1172" t="s">
        <v>5301</v>
      </c>
      <c r="B1172" t="s">
        <v>614</v>
      </c>
      <c r="C1172" t="s">
        <v>70</v>
      </c>
      <c r="D1172" s="1">
        <v>45837</v>
      </c>
      <c r="E1172" t="s">
        <v>4133</v>
      </c>
      <c r="F1172" t="s">
        <v>4139</v>
      </c>
    </row>
    <row r="1173" spans="1:6">
      <c r="A1173" t="s">
        <v>5302</v>
      </c>
      <c r="B1173" t="s">
        <v>614</v>
      </c>
      <c r="C1173" t="s">
        <v>70</v>
      </c>
      <c r="D1173" s="1">
        <v>45866</v>
      </c>
      <c r="E1173" t="s">
        <v>4135</v>
      </c>
      <c r="F1173" t="s">
        <v>4137</v>
      </c>
    </row>
    <row r="1174" spans="1:6">
      <c r="A1174" t="s">
        <v>5303</v>
      </c>
      <c r="B1174" t="s">
        <v>614</v>
      </c>
      <c r="C1174" t="s">
        <v>70</v>
      </c>
      <c r="D1174" s="1">
        <v>45841</v>
      </c>
      <c r="E1174" t="s">
        <v>4135</v>
      </c>
      <c r="F1174" t="s">
        <v>4137</v>
      </c>
    </row>
    <row r="1175" spans="1:6">
      <c r="A1175" t="s">
        <v>5304</v>
      </c>
      <c r="B1175" t="s">
        <v>614</v>
      </c>
      <c r="C1175" t="s">
        <v>70</v>
      </c>
      <c r="D1175" s="1">
        <v>45881</v>
      </c>
      <c r="E1175" t="s">
        <v>4133</v>
      </c>
      <c r="F1175" t="s">
        <v>4139</v>
      </c>
    </row>
    <row r="1176" spans="1:6">
      <c r="A1176" t="s">
        <v>5305</v>
      </c>
      <c r="B1176" t="s">
        <v>615</v>
      </c>
      <c r="C1176" t="s">
        <v>126</v>
      </c>
      <c r="D1176" s="1">
        <v>45694</v>
      </c>
      <c r="E1176" t="s">
        <v>4127</v>
      </c>
      <c r="F1176" t="s">
        <v>4139</v>
      </c>
    </row>
    <row r="1177" spans="1:6">
      <c r="A1177" t="s">
        <v>5306</v>
      </c>
      <c r="B1177" t="s">
        <v>615</v>
      </c>
      <c r="C1177" t="s">
        <v>126</v>
      </c>
      <c r="D1177" s="1">
        <v>45714</v>
      </c>
      <c r="E1177" t="s">
        <v>4127</v>
      </c>
      <c r="F1177" t="s">
        <v>4137</v>
      </c>
    </row>
    <row r="1178" spans="1:6">
      <c r="A1178" t="s">
        <v>5307</v>
      </c>
      <c r="B1178" t="s">
        <v>615</v>
      </c>
      <c r="C1178" t="s">
        <v>126</v>
      </c>
      <c r="D1178" s="1">
        <v>45712</v>
      </c>
      <c r="E1178" t="s">
        <v>4133</v>
      </c>
      <c r="F1178" t="s">
        <v>4139</v>
      </c>
    </row>
    <row r="1179" spans="1:6">
      <c r="A1179" t="s">
        <v>5308</v>
      </c>
      <c r="B1179" t="s">
        <v>615</v>
      </c>
      <c r="C1179" t="s">
        <v>126</v>
      </c>
      <c r="D1179" s="1">
        <v>45700</v>
      </c>
      <c r="E1179" t="s">
        <v>4135</v>
      </c>
      <c r="F1179" t="s">
        <v>4125</v>
      </c>
    </row>
    <row r="1180" spans="1:6">
      <c r="A1180" t="s">
        <v>5309</v>
      </c>
      <c r="B1180" t="s">
        <v>615</v>
      </c>
      <c r="C1180" t="s">
        <v>126</v>
      </c>
      <c r="D1180" s="1">
        <v>45725</v>
      </c>
      <c r="E1180" t="s">
        <v>4135</v>
      </c>
      <c r="F1180" t="s">
        <v>4137</v>
      </c>
    </row>
    <row r="1181" spans="1:6">
      <c r="A1181" t="s">
        <v>5310</v>
      </c>
      <c r="B1181" t="s">
        <v>616</v>
      </c>
      <c r="C1181" t="s">
        <v>36</v>
      </c>
      <c r="D1181" s="1">
        <v>45746</v>
      </c>
      <c r="E1181" t="s">
        <v>4133</v>
      </c>
      <c r="F1181" t="s">
        <v>4137</v>
      </c>
    </row>
    <row r="1182" spans="1:6">
      <c r="A1182" t="s">
        <v>5311</v>
      </c>
      <c r="B1182" t="s">
        <v>616</v>
      </c>
      <c r="C1182" t="s">
        <v>36</v>
      </c>
      <c r="D1182" s="1">
        <v>45756</v>
      </c>
      <c r="E1182" t="s">
        <v>4135</v>
      </c>
      <c r="F1182" t="s">
        <v>4139</v>
      </c>
    </row>
    <row r="1183" spans="1:6">
      <c r="A1183" t="s">
        <v>5312</v>
      </c>
      <c r="B1183" t="s">
        <v>617</v>
      </c>
      <c r="C1183" t="s">
        <v>119</v>
      </c>
      <c r="D1183" s="1">
        <v>46005</v>
      </c>
      <c r="E1183" t="s">
        <v>4129</v>
      </c>
      <c r="F1183" t="s">
        <v>4139</v>
      </c>
    </row>
    <row r="1184" spans="1:6">
      <c r="A1184" t="s">
        <v>5313</v>
      </c>
      <c r="B1184" t="s">
        <v>617</v>
      </c>
      <c r="C1184" t="s">
        <v>119</v>
      </c>
      <c r="D1184" s="1">
        <v>46007</v>
      </c>
      <c r="E1184" t="s">
        <v>4127</v>
      </c>
      <c r="F1184" t="s">
        <v>4125</v>
      </c>
    </row>
    <row r="1185" spans="1:6">
      <c r="A1185" t="s">
        <v>5314</v>
      </c>
      <c r="B1185" t="s">
        <v>617</v>
      </c>
      <c r="C1185" t="s">
        <v>119</v>
      </c>
      <c r="D1185" s="1">
        <v>46008</v>
      </c>
      <c r="E1185" t="s">
        <v>4135</v>
      </c>
      <c r="F1185" t="s">
        <v>4125</v>
      </c>
    </row>
    <row r="1186" spans="1:6">
      <c r="A1186" t="s">
        <v>5315</v>
      </c>
      <c r="B1186" t="s">
        <v>617</v>
      </c>
      <c r="C1186" t="s">
        <v>119</v>
      </c>
      <c r="D1186" s="1">
        <v>46016</v>
      </c>
      <c r="E1186" t="s">
        <v>4129</v>
      </c>
      <c r="F1186" t="s">
        <v>4137</v>
      </c>
    </row>
    <row r="1187" spans="1:6">
      <c r="A1187" t="s">
        <v>5316</v>
      </c>
      <c r="B1187" t="s">
        <v>617</v>
      </c>
      <c r="C1187" t="s">
        <v>119</v>
      </c>
      <c r="D1187" s="1">
        <v>46004</v>
      </c>
      <c r="E1187" t="s">
        <v>4133</v>
      </c>
      <c r="F1187" t="s">
        <v>4137</v>
      </c>
    </row>
    <row r="1188" spans="1:6">
      <c r="A1188" t="s">
        <v>5317</v>
      </c>
      <c r="B1188" t="s">
        <v>618</v>
      </c>
      <c r="C1188" t="s">
        <v>16</v>
      </c>
      <c r="D1188" s="1">
        <v>45998</v>
      </c>
      <c r="E1188" t="s">
        <v>4127</v>
      </c>
      <c r="F1188" t="s">
        <v>4125</v>
      </c>
    </row>
    <row r="1189" spans="1:6">
      <c r="A1189" t="s">
        <v>5318</v>
      </c>
      <c r="B1189" t="s">
        <v>618</v>
      </c>
      <c r="C1189" t="s">
        <v>16</v>
      </c>
      <c r="D1189" s="1">
        <v>45995</v>
      </c>
      <c r="E1189" t="s">
        <v>4129</v>
      </c>
      <c r="F1189" t="s">
        <v>4125</v>
      </c>
    </row>
    <row r="1190" spans="1:6">
      <c r="A1190" t="s">
        <v>5319</v>
      </c>
      <c r="B1190" t="s">
        <v>618</v>
      </c>
      <c r="C1190" t="s">
        <v>16</v>
      </c>
      <c r="D1190" s="1">
        <v>45996</v>
      </c>
      <c r="E1190" t="s">
        <v>4133</v>
      </c>
      <c r="F1190" t="s">
        <v>4139</v>
      </c>
    </row>
    <row r="1191" spans="1:6">
      <c r="A1191" t="s">
        <v>5320</v>
      </c>
      <c r="B1191" t="s">
        <v>618</v>
      </c>
      <c r="C1191" t="s">
        <v>16</v>
      </c>
      <c r="D1191" s="1">
        <v>45993</v>
      </c>
      <c r="E1191" t="s">
        <v>4127</v>
      </c>
      <c r="F1191" t="s">
        <v>4139</v>
      </c>
    </row>
    <row r="1192" spans="1:6">
      <c r="A1192" t="s">
        <v>5321</v>
      </c>
      <c r="B1192" t="s">
        <v>620</v>
      </c>
      <c r="C1192" t="s">
        <v>53</v>
      </c>
      <c r="D1192" s="1">
        <v>45757</v>
      </c>
      <c r="E1192" t="s">
        <v>4127</v>
      </c>
      <c r="F1192" t="s">
        <v>4139</v>
      </c>
    </row>
    <row r="1193" spans="1:6">
      <c r="A1193" t="s">
        <v>5322</v>
      </c>
      <c r="B1193" t="s">
        <v>620</v>
      </c>
      <c r="C1193" t="s">
        <v>53</v>
      </c>
      <c r="D1193" s="1">
        <v>45771</v>
      </c>
      <c r="E1193" t="s">
        <v>4127</v>
      </c>
      <c r="F1193" t="s">
        <v>4137</v>
      </c>
    </row>
    <row r="1194" spans="1:6">
      <c r="A1194" t="s">
        <v>5323</v>
      </c>
      <c r="B1194" t="s">
        <v>620</v>
      </c>
      <c r="C1194" t="s">
        <v>53</v>
      </c>
      <c r="D1194" s="1">
        <v>45742</v>
      </c>
      <c r="E1194" t="s">
        <v>4124</v>
      </c>
      <c r="F1194" t="s">
        <v>4125</v>
      </c>
    </row>
    <row r="1195" spans="1:6">
      <c r="A1195" t="s">
        <v>5324</v>
      </c>
      <c r="B1195" t="s">
        <v>620</v>
      </c>
      <c r="C1195" t="s">
        <v>53</v>
      </c>
      <c r="D1195" s="1">
        <v>45750</v>
      </c>
      <c r="E1195" t="s">
        <v>4133</v>
      </c>
      <c r="F1195" t="s">
        <v>4125</v>
      </c>
    </row>
    <row r="1196" spans="1:6">
      <c r="A1196" t="s">
        <v>5325</v>
      </c>
      <c r="B1196" t="s">
        <v>621</v>
      </c>
      <c r="C1196" t="s">
        <v>70</v>
      </c>
      <c r="D1196" s="1">
        <v>45970</v>
      </c>
      <c r="E1196" t="s">
        <v>4129</v>
      </c>
      <c r="F1196" t="s">
        <v>4139</v>
      </c>
    </row>
    <row r="1197" spans="1:6">
      <c r="A1197" t="s">
        <v>5326</v>
      </c>
      <c r="B1197" t="s">
        <v>621</v>
      </c>
      <c r="C1197" t="s">
        <v>70</v>
      </c>
      <c r="D1197" s="1">
        <v>45976</v>
      </c>
      <c r="E1197" t="s">
        <v>4133</v>
      </c>
      <c r="F1197" t="s">
        <v>4137</v>
      </c>
    </row>
    <row r="1198" spans="1:6">
      <c r="A1198" t="s">
        <v>5327</v>
      </c>
      <c r="B1198" t="s">
        <v>622</v>
      </c>
      <c r="C1198" t="s">
        <v>56</v>
      </c>
      <c r="D1198" s="1">
        <v>45841</v>
      </c>
      <c r="E1198" t="s">
        <v>4135</v>
      </c>
      <c r="F1198" t="s">
        <v>4125</v>
      </c>
    </row>
    <row r="1199" spans="1:6">
      <c r="A1199" t="s">
        <v>5328</v>
      </c>
      <c r="B1199" t="s">
        <v>622</v>
      </c>
      <c r="C1199" t="s">
        <v>56</v>
      </c>
      <c r="D1199" s="1">
        <v>45841</v>
      </c>
      <c r="E1199" t="s">
        <v>4127</v>
      </c>
      <c r="F1199" t="s">
        <v>4125</v>
      </c>
    </row>
    <row r="1200" spans="1:6">
      <c r="A1200" t="s">
        <v>5329</v>
      </c>
      <c r="B1200" t="s">
        <v>622</v>
      </c>
      <c r="C1200" t="s">
        <v>56</v>
      </c>
      <c r="D1200" s="1">
        <v>45846</v>
      </c>
      <c r="E1200" t="s">
        <v>4135</v>
      </c>
      <c r="F1200" t="s">
        <v>4139</v>
      </c>
    </row>
    <row r="1201" spans="1:6">
      <c r="A1201" t="s">
        <v>5330</v>
      </c>
      <c r="B1201" t="s">
        <v>622</v>
      </c>
      <c r="C1201" t="s">
        <v>56</v>
      </c>
      <c r="D1201" s="1">
        <v>45845</v>
      </c>
      <c r="E1201" t="s">
        <v>4135</v>
      </c>
      <c r="F1201" t="s">
        <v>4139</v>
      </c>
    </row>
    <row r="1202" spans="1:6">
      <c r="A1202" t="s">
        <v>5331</v>
      </c>
      <c r="B1202" t="s">
        <v>622</v>
      </c>
      <c r="C1202" t="s">
        <v>56</v>
      </c>
      <c r="D1202" s="1">
        <v>45848</v>
      </c>
      <c r="E1202" t="s">
        <v>4127</v>
      </c>
      <c r="F1202" t="s">
        <v>4139</v>
      </c>
    </row>
    <row r="1203" spans="1:6">
      <c r="A1203" t="s">
        <v>5332</v>
      </c>
      <c r="B1203" t="s">
        <v>624</v>
      </c>
      <c r="C1203" t="s">
        <v>56</v>
      </c>
      <c r="D1203" s="1">
        <v>45800</v>
      </c>
      <c r="E1203" t="s">
        <v>4135</v>
      </c>
      <c r="F1203" t="s">
        <v>4125</v>
      </c>
    </row>
    <row r="1204" spans="1:6">
      <c r="A1204" t="s">
        <v>5333</v>
      </c>
      <c r="B1204" t="s">
        <v>624</v>
      </c>
      <c r="C1204" t="s">
        <v>56</v>
      </c>
      <c r="D1204" s="1">
        <v>45812</v>
      </c>
      <c r="E1204" t="s">
        <v>4129</v>
      </c>
      <c r="F1204" t="s">
        <v>4125</v>
      </c>
    </row>
    <row r="1205" spans="1:6">
      <c r="A1205" t="s">
        <v>5334</v>
      </c>
      <c r="B1205" t="s">
        <v>624</v>
      </c>
      <c r="C1205" t="s">
        <v>56</v>
      </c>
      <c r="D1205" s="1">
        <v>45808</v>
      </c>
      <c r="E1205" t="s">
        <v>4129</v>
      </c>
      <c r="F1205" t="s">
        <v>4125</v>
      </c>
    </row>
    <row r="1206" spans="1:6">
      <c r="A1206" t="s">
        <v>5335</v>
      </c>
      <c r="B1206" t="s">
        <v>625</v>
      </c>
      <c r="C1206" t="s">
        <v>50</v>
      </c>
      <c r="D1206" s="1">
        <v>45729</v>
      </c>
      <c r="E1206" t="s">
        <v>4133</v>
      </c>
      <c r="F1206" t="s">
        <v>4125</v>
      </c>
    </row>
    <row r="1207" spans="1:6">
      <c r="A1207" t="s">
        <v>5336</v>
      </c>
      <c r="B1207" t="s">
        <v>625</v>
      </c>
      <c r="C1207" t="s">
        <v>50</v>
      </c>
      <c r="D1207" s="1">
        <v>45744</v>
      </c>
      <c r="E1207" t="s">
        <v>4129</v>
      </c>
      <c r="F1207" t="s">
        <v>4125</v>
      </c>
    </row>
    <row r="1208" spans="1:6">
      <c r="A1208" t="s">
        <v>5337</v>
      </c>
      <c r="B1208" t="s">
        <v>625</v>
      </c>
      <c r="C1208" t="s">
        <v>50</v>
      </c>
      <c r="D1208" s="1">
        <v>45731</v>
      </c>
      <c r="E1208" t="s">
        <v>4129</v>
      </c>
      <c r="F1208" t="s">
        <v>4137</v>
      </c>
    </row>
    <row r="1209" spans="1:6">
      <c r="A1209" t="s">
        <v>5338</v>
      </c>
      <c r="B1209" t="s">
        <v>625</v>
      </c>
      <c r="C1209" t="s">
        <v>50</v>
      </c>
      <c r="D1209" s="1">
        <v>45723</v>
      </c>
      <c r="E1209" t="s">
        <v>4124</v>
      </c>
      <c r="F1209" t="s">
        <v>4125</v>
      </c>
    </row>
    <row r="1210" spans="1:6">
      <c r="A1210" t="s">
        <v>5339</v>
      </c>
      <c r="B1210" t="s">
        <v>627</v>
      </c>
      <c r="C1210" t="s">
        <v>53</v>
      </c>
      <c r="D1210" s="1">
        <v>45856</v>
      </c>
      <c r="E1210" t="s">
        <v>4133</v>
      </c>
      <c r="F1210" t="s">
        <v>4125</v>
      </c>
    </row>
    <row r="1211" spans="1:6">
      <c r="A1211" t="s">
        <v>5340</v>
      </c>
      <c r="B1211" t="s">
        <v>627</v>
      </c>
      <c r="C1211" t="s">
        <v>53</v>
      </c>
      <c r="D1211" s="1">
        <v>45837</v>
      </c>
      <c r="E1211" t="s">
        <v>4133</v>
      </c>
      <c r="F1211" t="s">
        <v>4137</v>
      </c>
    </row>
    <row r="1212" spans="1:6">
      <c r="A1212" t="s">
        <v>5341</v>
      </c>
      <c r="B1212" t="s">
        <v>627</v>
      </c>
      <c r="C1212" t="s">
        <v>53</v>
      </c>
      <c r="D1212" s="1">
        <v>45881</v>
      </c>
      <c r="E1212" t="s">
        <v>4124</v>
      </c>
      <c r="F1212" t="s">
        <v>4125</v>
      </c>
    </row>
    <row r="1213" spans="1:6">
      <c r="A1213" t="s">
        <v>5342</v>
      </c>
      <c r="B1213" t="s">
        <v>627</v>
      </c>
      <c r="C1213" t="s">
        <v>53</v>
      </c>
      <c r="D1213" s="1">
        <v>45851</v>
      </c>
      <c r="E1213" t="s">
        <v>4127</v>
      </c>
      <c r="F1213" t="s">
        <v>4139</v>
      </c>
    </row>
    <row r="1214" spans="1:6">
      <c r="A1214" t="s">
        <v>5343</v>
      </c>
      <c r="B1214" t="s">
        <v>629</v>
      </c>
      <c r="C1214" t="s">
        <v>91</v>
      </c>
      <c r="D1214" s="1">
        <v>45702</v>
      </c>
      <c r="E1214" t="s">
        <v>4135</v>
      </c>
      <c r="F1214" t="s">
        <v>4137</v>
      </c>
    </row>
    <row r="1215" spans="1:6">
      <c r="A1215" t="s">
        <v>5344</v>
      </c>
      <c r="B1215" t="s">
        <v>629</v>
      </c>
      <c r="C1215" t="s">
        <v>91</v>
      </c>
      <c r="D1215" s="1">
        <v>45703</v>
      </c>
      <c r="E1215" t="s">
        <v>4133</v>
      </c>
      <c r="F1215" t="s">
        <v>4125</v>
      </c>
    </row>
    <row r="1216" spans="1:6">
      <c r="A1216" t="s">
        <v>5345</v>
      </c>
      <c r="B1216" t="s">
        <v>629</v>
      </c>
      <c r="C1216" t="s">
        <v>91</v>
      </c>
      <c r="D1216" s="1">
        <v>45709</v>
      </c>
      <c r="E1216" t="s">
        <v>4133</v>
      </c>
      <c r="F1216" t="s">
        <v>4139</v>
      </c>
    </row>
    <row r="1217" spans="1:6">
      <c r="A1217" t="s">
        <v>5346</v>
      </c>
      <c r="B1217" t="s">
        <v>631</v>
      </c>
      <c r="C1217" t="s">
        <v>46</v>
      </c>
      <c r="D1217" s="1">
        <v>45976</v>
      </c>
      <c r="E1217" t="s">
        <v>4127</v>
      </c>
      <c r="F1217" t="s">
        <v>4139</v>
      </c>
    </row>
    <row r="1218" spans="1:6">
      <c r="A1218" t="s">
        <v>5347</v>
      </c>
      <c r="B1218" t="s">
        <v>631</v>
      </c>
      <c r="C1218" t="s">
        <v>46</v>
      </c>
      <c r="D1218" s="1">
        <v>45982</v>
      </c>
      <c r="E1218" t="s">
        <v>4129</v>
      </c>
      <c r="F1218" t="s">
        <v>4139</v>
      </c>
    </row>
    <row r="1219" spans="1:6">
      <c r="A1219" t="s">
        <v>5348</v>
      </c>
      <c r="B1219" t="s">
        <v>631</v>
      </c>
      <c r="C1219" t="s">
        <v>46</v>
      </c>
      <c r="D1219" s="1">
        <v>45965</v>
      </c>
      <c r="E1219" t="s">
        <v>4129</v>
      </c>
      <c r="F1219" t="s">
        <v>4125</v>
      </c>
    </row>
    <row r="1220" spans="1:6">
      <c r="A1220" t="s">
        <v>5349</v>
      </c>
      <c r="B1220" t="s">
        <v>631</v>
      </c>
      <c r="C1220" t="s">
        <v>46</v>
      </c>
      <c r="D1220" s="1">
        <v>45989</v>
      </c>
      <c r="E1220" t="s">
        <v>4133</v>
      </c>
      <c r="F1220" t="s">
        <v>4125</v>
      </c>
    </row>
    <row r="1221" spans="1:6">
      <c r="A1221" t="s">
        <v>5350</v>
      </c>
      <c r="B1221" t="s">
        <v>631</v>
      </c>
      <c r="C1221" t="s">
        <v>46</v>
      </c>
      <c r="D1221" s="1">
        <v>45989</v>
      </c>
      <c r="E1221" t="s">
        <v>4129</v>
      </c>
      <c r="F1221" t="s">
        <v>4139</v>
      </c>
    </row>
    <row r="1222" spans="1:6">
      <c r="A1222" t="s">
        <v>5351</v>
      </c>
      <c r="B1222" t="s">
        <v>632</v>
      </c>
      <c r="C1222" t="s">
        <v>53</v>
      </c>
      <c r="D1222" s="1">
        <v>45860</v>
      </c>
      <c r="E1222" t="s">
        <v>4129</v>
      </c>
      <c r="F1222" t="s">
        <v>4125</v>
      </c>
    </row>
    <row r="1223" spans="1:6">
      <c r="A1223" t="s">
        <v>5352</v>
      </c>
      <c r="B1223" t="s">
        <v>632</v>
      </c>
      <c r="C1223" t="s">
        <v>53</v>
      </c>
      <c r="D1223" s="1">
        <v>45864</v>
      </c>
      <c r="E1223" t="s">
        <v>4133</v>
      </c>
      <c r="F1223" t="s">
        <v>4139</v>
      </c>
    </row>
    <row r="1224" spans="1:6">
      <c r="A1224" t="s">
        <v>5353</v>
      </c>
      <c r="B1224" t="s">
        <v>634</v>
      </c>
      <c r="C1224" t="s">
        <v>63</v>
      </c>
      <c r="D1224" s="1">
        <v>45739</v>
      </c>
      <c r="E1224" t="s">
        <v>4129</v>
      </c>
      <c r="F1224" t="s">
        <v>4125</v>
      </c>
    </row>
    <row r="1225" spans="1:6">
      <c r="A1225" t="s">
        <v>5354</v>
      </c>
      <c r="B1225" t="s">
        <v>634</v>
      </c>
      <c r="C1225" t="s">
        <v>63</v>
      </c>
      <c r="D1225" s="1">
        <v>45723</v>
      </c>
      <c r="E1225" t="s">
        <v>4133</v>
      </c>
      <c r="F1225" t="s">
        <v>4137</v>
      </c>
    </row>
    <row r="1226" spans="1:6">
      <c r="A1226" t="s">
        <v>5355</v>
      </c>
      <c r="B1226" t="s">
        <v>634</v>
      </c>
      <c r="C1226" t="s">
        <v>63</v>
      </c>
      <c r="D1226" s="1">
        <v>45708</v>
      </c>
      <c r="E1226" t="s">
        <v>4124</v>
      </c>
      <c r="F1226" t="s">
        <v>4137</v>
      </c>
    </row>
    <row r="1227" spans="1:6">
      <c r="A1227" t="s">
        <v>5356</v>
      </c>
      <c r="B1227" t="s">
        <v>635</v>
      </c>
      <c r="C1227" t="s">
        <v>119</v>
      </c>
      <c r="D1227" s="1">
        <v>45710</v>
      </c>
      <c r="E1227" t="s">
        <v>4133</v>
      </c>
      <c r="F1227" t="s">
        <v>4139</v>
      </c>
    </row>
    <row r="1228" spans="1:6">
      <c r="A1228" t="s">
        <v>5357</v>
      </c>
      <c r="B1228" t="s">
        <v>635</v>
      </c>
      <c r="C1228" t="s">
        <v>119</v>
      </c>
      <c r="D1228" s="1">
        <v>45718</v>
      </c>
      <c r="E1228" t="s">
        <v>4133</v>
      </c>
      <c r="F1228" t="s">
        <v>4125</v>
      </c>
    </row>
    <row r="1229" spans="1:6">
      <c r="A1229" t="s">
        <v>5358</v>
      </c>
      <c r="B1229" t="s">
        <v>635</v>
      </c>
      <c r="C1229" t="s">
        <v>119</v>
      </c>
      <c r="D1229" s="1">
        <v>45712</v>
      </c>
      <c r="E1229" t="s">
        <v>4129</v>
      </c>
      <c r="F1229" t="s">
        <v>4139</v>
      </c>
    </row>
    <row r="1230" spans="1:6">
      <c r="A1230" t="s">
        <v>5359</v>
      </c>
      <c r="B1230" t="s">
        <v>637</v>
      </c>
      <c r="C1230" t="s">
        <v>152</v>
      </c>
      <c r="D1230" s="1">
        <v>45855</v>
      </c>
      <c r="E1230" t="s">
        <v>4127</v>
      </c>
      <c r="F1230" t="s">
        <v>4125</v>
      </c>
    </row>
    <row r="1231" spans="1:6">
      <c r="A1231" t="s">
        <v>5360</v>
      </c>
      <c r="B1231" t="s">
        <v>637</v>
      </c>
      <c r="C1231" t="s">
        <v>152</v>
      </c>
      <c r="D1231" s="1">
        <v>45894</v>
      </c>
      <c r="E1231" t="s">
        <v>4129</v>
      </c>
      <c r="F1231" t="s">
        <v>4125</v>
      </c>
    </row>
    <row r="1232" spans="1:6">
      <c r="A1232" t="s">
        <v>5361</v>
      </c>
      <c r="B1232" t="s">
        <v>638</v>
      </c>
      <c r="C1232" t="s">
        <v>40</v>
      </c>
      <c r="D1232" s="1">
        <v>45965</v>
      </c>
      <c r="E1232" t="s">
        <v>4127</v>
      </c>
      <c r="F1232" t="s">
        <v>4139</v>
      </c>
    </row>
    <row r="1233" spans="1:6">
      <c r="A1233" t="s">
        <v>5362</v>
      </c>
      <c r="B1233" t="s">
        <v>638</v>
      </c>
      <c r="C1233" t="s">
        <v>40</v>
      </c>
      <c r="D1233" s="1">
        <v>45972</v>
      </c>
      <c r="E1233" t="s">
        <v>4129</v>
      </c>
      <c r="F1233" t="s">
        <v>4125</v>
      </c>
    </row>
    <row r="1234" spans="1:6">
      <c r="A1234" t="s">
        <v>5363</v>
      </c>
      <c r="B1234" t="s">
        <v>638</v>
      </c>
      <c r="C1234" t="s">
        <v>40</v>
      </c>
      <c r="D1234" s="1">
        <v>45977</v>
      </c>
      <c r="E1234" t="s">
        <v>4135</v>
      </c>
      <c r="F1234" t="s">
        <v>4139</v>
      </c>
    </row>
    <row r="1235" spans="1:6">
      <c r="A1235" t="s">
        <v>5364</v>
      </c>
      <c r="B1235" t="s">
        <v>638</v>
      </c>
      <c r="C1235" t="s">
        <v>40</v>
      </c>
      <c r="D1235" s="1">
        <v>45963</v>
      </c>
      <c r="E1235" t="s">
        <v>4129</v>
      </c>
      <c r="F1235" t="s">
        <v>4125</v>
      </c>
    </row>
    <row r="1236" spans="1:6">
      <c r="A1236" t="s">
        <v>5365</v>
      </c>
      <c r="B1236" t="s">
        <v>640</v>
      </c>
      <c r="C1236" t="s">
        <v>22</v>
      </c>
      <c r="D1236" s="1">
        <v>45864</v>
      </c>
      <c r="E1236" t="s">
        <v>4124</v>
      </c>
      <c r="F1236" t="s">
        <v>4125</v>
      </c>
    </row>
    <row r="1237" spans="1:6">
      <c r="A1237" t="s">
        <v>5366</v>
      </c>
      <c r="B1237" t="s">
        <v>640</v>
      </c>
      <c r="C1237" t="s">
        <v>22</v>
      </c>
      <c r="D1237" s="1">
        <v>45855</v>
      </c>
      <c r="E1237" t="s">
        <v>4129</v>
      </c>
      <c r="F1237" t="s">
        <v>4125</v>
      </c>
    </row>
    <row r="1238" spans="1:6">
      <c r="A1238" t="s">
        <v>5367</v>
      </c>
      <c r="B1238" t="s">
        <v>640</v>
      </c>
      <c r="C1238" t="s">
        <v>22</v>
      </c>
      <c r="D1238" s="1">
        <v>45855</v>
      </c>
      <c r="E1238" t="s">
        <v>4129</v>
      </c>
      <c r="F1238" t="s">
        <v>4137</v>
      </c>
    </row>
    <row r="1239" spans="1:6">
      <c r="A1239" t="s">
        <v>5368</v>
      </c>
      <c r="B1239" t="s">
        <v>641</v>
      </c>
      <c r="C1239" t="s">
        <v>126</v>
      </c>
      <c r="D1239" s="1">
        <v>45718</v>
      </c>
      <c r="E1239" t="s">
        <v>4129</v>
      </c>
      <c r="F1239" t="s">
        <v>4139</v>
      </c>
    </row>
    <row r="1240" spans="1:6">
      <c r="A1240" t="s">
        <v>5369</v>
      </c>
      <c r="B1240" t="s">
        <v>641</v>
      </c>
      <c r="C1240" t="s">
        <v>126</v>
      </c>
      <c r="D1240" s="1">
        <v>45714</v>
      </c>
      <c r="E1240" t="s">
        <v>4124</v>
      </c>
      <c r="F1240" t="s">
        <v>4125</v>
      </c>
    </row>
    <row r="1241" spans="1:6">
      <c r="A1241" t="s">
        <v>5370</v>
      </c>
      <c r="B1241" t="s">
        <v>641</v>
      </c>
      <c r="C1241" t="s">
        <v>126</v>
      </c>
      <c r="D1241" s="1">
        <v>45723</v>
      </c>
      <c r="E1241" t="s">
        <v>4127</v>
      </c>
      <c r="F1241" t="s">
        <v>4125</v>
      </c>
    </row>
    <row r="1242" spans="1:6">
      <c r="A1242" t="s">
        <v>5371</v>
      </c>
      <c r="B1242" t="s">
        <v>642</v>
      </c>
      <c r="C1242" t="s">
        <v>32</v>
      </c>
      <c r="D1242" s="1">
        <v>45752</v>
      </c>
      <c r="E1242" t="s">
        <v>4129</v>
      </c>
      <c r="F1242" t="s">
        <v>4139</v>
      </c>
    </row>
    <row r="1243" spans="1:6">
      <c r="A1243" t="s">
        <v>5372</v>
      </c>
      <c r="B1243" t="s">
        <v>642</v>
      </c>
      <c r="C1243" t="s">
        <v>32</v>
      </c>
      <c r="D1243" s="1">
        <v>45754</v>
      </c>
      <c r="E1243" t="s">
        <v>4127</v>
      </c>
      <c r="F1243" t="s">
        <v>4137</v>
      </c>
    </row>
    <row r="1244" spans="1:6">
      <c r="A1244" t="s">
        <v>5373</v>
      </c>
      <c r="B1244" t="s">
        <v>642</v>
      </c>
      <c r="C1244" t="s">
        <v>32</v>
      </c>
      <c r="D1244" s="1">
        <v>45755</v>
      </c>
      <c r="E1244" t="s">
        <v>4129</v>
      </c>
      <c r="F1244" t="s">
        <v>4137</v>
      </c>
    </row>
    <row r="1245" spans="1:6">
      <c r="A1245" t="s">
        <v>5374</v>
      </c>
      <c r="B1245" t="s">
        <v>642</v>
      </c>
      <c r="C1245" t="s">
        <v>32</v>
      </c>
      <c r="D1245" s="1">
        <v>45752</v>
      </c>
      <c r="E1245" t="s">
        <v>4133</v>
      </c>
      <c r="F1245" t="s">
        <v>4139</v>
      </c>
    </row>
    <row r="1246" spans="1:6">
      <c r="A1246" t="s">
        <v>5375</v>
      </c>
      <c r="B1246" t="s">
        <v>643</v>
      </c>
      <c r="C1246" t="s">
        <v>78</v>
      </c>
      <c r="D1246" s="1">
        <v>45776</v>
      </c>
      <c r="E1246" t="s">
        <v>4133</v>
      </c>
      <c r="F1246" t="s">
        <v>4139</v>
      </c>
    </row>
    <row r="1247" spans="1:6">
      <c r="A1247" t="s">
        <v>5376</v>
      </c>
      <c r="B1247" t="s">
        <v>643</v>
      </c>
      <c r="C1247" t="s">
        <v>78</v>
      </c>
      <c r="D1247" s="1">
        <v>45796</v>
      </c>
      <c r="E1247" t="s">
        <v>4127</v>
      </c>
      <c r="F1247" t="s">
        <v>4139</v>
      </c>
    </row>
    <row r="1248" spans="1:6">
      <c r="A1248" t="s">
        <v>5377</v>
      </c>
      <c r="B1248" t="s">
        <v>643</v>
      </c>
      <c r="C1248" t="s">
        <v>78</v>
      </c>
      <c r="D1248" s="1">
        <v>45770</v>
      </c>
      <c r="E1248" t="s">
        <v>4135</v>
      </c>
      <c r="F1248" t="s">
        <v>4137</v>
      </c>
    </row>
    <row r="1249" spans="1:6">
      <c r="A1249" t="s">
        <v>5378</v>
      </c>
      <c r="B1249" t="s">
        <v>645</v>
      </c>
      <c r="C1249" t="s">
        <v>16</v>
      </c>
      <c r="D1249" s="1">
        <v>45769</v>
      </c>
      <c r="E1249" t="s">
        <v>4133</v>
      </c>
      <c r="F1249" t="s">
        <v>4139</v>
      </c>
    </row>
    <row r="1250" spans="1:6">
      <c r="A1250" t="s">
        <v>5379</v>
      </c>
      <c r="B1250" t="s">
        <v>645</v>
      </c>
      <c r="C1250" t="s">
        <v>16</v>
      </c>
      <c r="D1250" s="1">
        <v>45773</v>
      </c>
      <c r="E1250" t="s">
        <v>4135</v>
      </c>
      <c r="F1250" t="s">
        <v>4139</v>
      </c>
    </row>
    <row r="1251" spans="1:6">
      <c r="A1251" t="s">
        <v>5380</v>
      </c>
      <c r="B1251" t="s">
        <v>645</v>
      </c>
      <c r="C1251" t="s">
        <v>16</v>
      </c>
      <c r="D1251" s="1">
        <v>45799</v>
      </c>
      <c r="E1251" t="s">
        <v>4124</v>
      </c>
      <c r="F1251" t="s">
        <v>4125</v>
      </c>
    </row>
    <row r="1252" spans="1:6">
      <c r="A1252" t="s">
        <v>5381</v>
      </c>
      <c r="B1252" t="s">
        <v>645</v>
      </c>
      <c r="C1252" t="s">
        <v>16</v>
      </c>
      <c r="D1252" s="1">
        <v>45788</v>
      </c>
      <c r="E1252" t="s">
        <v>4127</v>
      </c>
      <c r="F1252" t="s">
        <v>4125</v>
      </c>
    </row>
    <row r="1253" spans="1:6">
      <c r="A1253" t="s">
        <v>5382</v>
      </c>
      <c r="B1253" t="s">
        <v>645</v>
      </c>
      <c r="C1253" t="s">
        <v>16</v>
      </c>
      <c r="D1253" s="1">
        <v>45792</v>
      </c>
      <c r="E1253" t="s">
        <v>4135</v>
      </c>
      <c r="F1253" t="s">
        <v>4139</v>
      </c>
    </row>
    <row r="1254" spans="1:6">
      <c r="A1254" t="s">
        <v>5383</v>
      </c>
      <c r="B1254" t="s">
        <v>646</v>
      </c>
      <c r="C1254" t="s">
        <v>119</v>
      </c>
      <c r="D1254" s="1">
        <v>45794</v>
      </c>
      <c r="E1254" t="s">
        <v>4127</v>
      </c>
      <c r="F1254" t="s">
        <v>4139</v>
      </c>
    </row>
    <row r="1255" spans="1:6">
      <c r="A1255" t="s">
        <v>5384</v>
      </c>
      <c r="B1255" t="s">
        <v>646</v>
      </c>
      <c r="C1255" t="s">
        <v>119</v>
      </c>
      <c r="D1255" s="1">
        <v>45786</v>
      </c>
      <c r="E1255" t="s">
        <v>4129</v>
      </c>
      <c r="F1255" t="s">
        <v>4137</v>
      </c>
    </row>
    <row r="1256" spans="1:6">
      <c r="A1256" t="s">
        <v>5385</v>
      </c>
      <c r="B1256" t="s">
        <v>647</v>
      </c>
      <c r="C1256" t="s">
        <v>46</v>
      </c>
      <c r="D1256" s="1">
        <v>45961</v>
      </c>
      <c r="E1256" t="s">
        <v>4129</v>
      </c>
      <c r="F1256" t="s">
        <v>4137</v>
      </c>
    </row>
    <row r="1257" spans="1:6">
      <c r="A1257" t="s">
        <v>5386</v>
      </c>
      <c r="B1257" t="s">
        <v>647</v>
      </c>
      <c r="C1257" t="s">
        <v>46</v>
      </c>
      <c r="D1257" s="1">
        <v>45920</v>
      </c>
      <c r="E1257" t="s">
        <v>4127</v>
      </c>
      <c r="F1257" t="s">
        <v>4125</v>
      </c>
    </row>
    <row r="1258" spans="1:6">
      <c r="A1258" t="s">
        <v>5387</v>
      </c>
      <c r="B1258" t="s">
        <v>647</v>
      </c>
      <c r="C1258" t="s">
        <v>46</v>
      </c>
      <c r="D1258" s="1">
        <v>45945</v>
      </c>
      <c r="E1258" t="s">
        <v>4129</v>
      </c>
      <c r="F1258" t="s">
        <v>4125</v>
      </c>
    </row>
    <row r="1259" spans="1:6">
      <c r="A1259" t="s">
        <v>5388</v>
      </c>
      <c r="B1259" t="s">
        <v>647</v>
      </c>
      <c r="C1259" t="s">
        <v>46</v>
      </c>
      <c r="D1259" s="1">
        <v>45959</v>
      </c>
      <c r="E1259" t="s">
        <v>4124</v>
      </c>
      <c r="F1259" t="s">
        <v>4137</v>
      </c>
    </row>
    <row r="1260" spans="1:6">
      <c r="A1260" t="s">
        <v>5389</v>
      </c>
      <c r="B1260" t="s">
        <v>648</v>
      </c>
      <c r="C1260" t="s">
        <v>36</v>
      </c>
      <c r="D1260" s="1">
        <v>46012</v>
      </c>
      <c r="E1260" t="s">
        <v>4135</v>
      </c>
      <c r="F1260" t="s">
        <v>4137</v>
      </c>
    </row>
    <row r="1261" spans="1:6">
      <c r="A1261" t="s">
        <v>5390</v>
      </c>
      <c r="B1261" t="s">
        <v>648</v>
      </c>
      <c r="C1261" t="s">
        <v>36</v>
      </c>
      <c r="D1261" s="1">
        <v>45997</v>
      </c>
      <c r="E1261" t="s">
        <v>4127</v>
      </c>
      <c r="F1261" t="s">
        <v>4137</v>
      </c>
    </row>
    <row r="1262" spans="1:6">
      <c r="A1262" t="s">
        <v>5391</v>
      </c>
      <c r="B1262" t="s">
        <v>648</v>
      </c>
      <c r="C1262" t="s">
        <v>36</v>
      </c>
      <c r="D1262" s="1">
        <v>46008</v>
      </c>
      <c r="E1262" t="s">
        <v>4129</v>
      </c>
      <c r="F1262" t="s">
        <v>4139</v>
      </c>
    </row>
    <row r="1263" spans="1:6">
      <c r="A1263" t="s">
        <v>5392</v>
      </c>
      <c r="B1263" t="s">
        <v>649</v>
      </c>
      <c r="C1263" t="s">
        <v>91</v>
      </c>
      <c r="D1263" s="1">
        <v>45940</v>
      </c>
      <c r="E1263" t="s">
        <v>4124</v>
      </c>
      <c r="F1263" t="s">
        <v>4125</v>
      </c>
    </row>
    <row r="1264" spans="1:6">
      <c r="A1264" t="s">
        <v>5393</v>
      </c>
      <c r="B1264" t="s">
        <v>649</v>
      </c>
      <c r="C1264" t="s">
        <v>91</v>
      </c>
      <c r="D1264" s="1">
        <v>45949</v>
      </c>
      <c r="E1264" t="s">
        <v>4124</v>
      </c>
      <c r="F1264" t="s">
        <v>4137</v>
      </c>
    </row>
    <row r="1265" spans="1:6">
      <c r="A1265" t="s">
        <v>5394</v>
      </c>
      <c r="B1265" t="s">
        <v>649</v>
      </c>
      <c r="C1265" t="s">
        <v>91</v>
      </c>
      <c r="D1265" s="1">
        <v>45953</v>
      </c>
      <c r="E1265" t="s">
        <v>4124</v>
      </c>
      <c r="F1265" t="s">
        <v>4137</v>
      </c>
    </row>
    <row r="1266" spans="1:6">
      <c r="A1266" t="s">
        <v>5395</v>
      </c>
      <c r="B1266" t="s">
        <v>650</v>
      </c>
      <c r="C1266" t="s">
        <v>40</v>
      </c>
      <c r="D1266" s="1">
        <v>45825</v>
      </c>
      <c r="E1266" t="s">
        <v>4133</v>
      </c>
      <c r="F1266" t="s">
        <v>4137</v>
      </c>
    </row>
    <row r="1267" spans="1:6">
      <c r="A1267" t="s">
        <v>5396</v>
      </c>
      <c r="B1267" t="s">
        <v>650</v>
      </c>
      <c r="C1267" t="s">
        <v>40</v>
      </c>
      <c r="D1267" s="1">
        <v>45823</v>
      </c>
      <c r="E1267" t="s">
        <v>4129</v>
      </c>
      <c r="F1267" t="s">
        <v>4125</v>
      </c>
    </row>
    <row r="1268" spans="1:6">
      <c r="A1268" t="s">
        <v>5397</v>
      </c>
      <c r="B1268" t="s">
        <v>650</v>
      </c>
      <c r="C1268" t="s">
        <v>40</v>
      </c>
      <c r="D1268" s="1">
        <v>45814</v>
      </c>
      <c r="E1268" t="s">
        <v>4133</v>
      </c>
      <c r="F1268" t="s">
        <v>4137</v>
      </c>
    </row>
    <row r="1269" spans="1:6">
      <c r="A1269" t="s">
        <v>5398</v>
      </c>
      <c r="B1269" t="s">
        <v>650</v>
      </c>
      <c r="C1269" t="s">
        <v>40</v>
      </c>
      <c r="D1269" s="1">
        <v>45826</v>
      </c>
      <c r="E1269" t="s">
        <v>4135</v>
      </c>
      <c r="F1269" t="s">
        <v>4139</v>
      </c>
    </row>
    <row r="1270" spans="1:6">
      <c r="A1270" t="s">
        <v>5399</v>
      </c>
      <c r="B1270" t="s">
        <v>652</v>
      </c>
      <c r="C1270" t="s">
        <v>152</v>
      </c>
      <c r="D1270" s="1">
        <v>45689</v>
      </c>
      <c r="E1270" t="s">
        <v>4129</v>
      </c>
      <c r="F1270" t="s">
        <v>4139</v>
      </c>
    </row>
    <row r="1271" spans="1:6">
      <c r="A1271" t="s">
        <v>5400</v>
      </c>
      <c r="B1271" t="s">
        <v>652</v>
      </c>
      <c r="C1271" t="s">
        <v>152</v>
      </c>
      <c r="D1271" s="1">
        <v>45725</v>
      </c>
      <c r="E1271" t="s">
        <v>4129</v>
      </c>
      <c r="F1271" t="s">
        <v>4137</v>
      </c>
    </row>
    <row r="1272" spans="1:6">
      <c r="A1272" t="s">
        <v>5401</v>
      </c>
      <c r="B1272" t="s">
        <v>652</v>
      </c>
      <c r="C1272" t="s">
        <v>152</v>
      </c>
      <c r="D1272" s="1">
        <v>45677</v>
      </c>
      <c r="E1272" t="s">
        <v>4127</v>
      </c>
      <c r="F1272" t="s">
        <v>4137</v>
      </c>
    </row>
    <row r="1273" spans="1:6">
      <c r="A1273" t="s">
        <v>5402</v>
      </c>
      <c r="B1273" t="s">
        <v>652</v>
      </c>
      <c r="C1273" t="s">
        <v>152</v>
      </c>
      <c r="D1273" s="1">
        <v>45699</v>
      </c>
      <c r="E1273" t="s">
        <v>4124</v>
      </c>
      <c r="F1273" t="s">
        <v>4137</v>
      </c>
    </row>
    <row r="1274" spans="1:6">
      <c r="A1274" t="s">
        <v>5403</v>
      </c>
      <c r="B1274" t="s">
        <v>654</v>
      </c>
      <c r="C1274" t="s">
        <v>70</v>
      </c>
      <c r="D1274" s="1">
        <v>45906</v>
      </c>
      <c r="E1274" t="s">
        <v>4129</v>
      </c>
      <c r="F1274" t="s">
        <v>4125</v>
      </c>
    </row>
    <row r="1275" spans="1:6">
      <c r="A1275" t="s">
        <v>5404</v>
      </c>
      <c r="B1275" t="s">
        <v>654</v>
      </c>
      <c r="C1275" t="s">
        <v>70</v>
      </c>
      <c r="D1275" s="1">
        <v>45924</v>
      </c>
      <c r="E1275" t="s">
        <v>4129</v>
      </c>
      <c r="F1275" t="s">
        <v>4137</v>
      </c>
    </row>
    <row r="1276" spans="1:6">
      <c r="A1276" t="s">
        <v>5405</v>
      </c>
      <c r="B1276" t="s">
        <v>654</v>
      </c>
      <c r="C1276" t="s">
        <v>70</v>
      </c>
      <c r="D1276" s="1">
        <v>45922</v>
      </c>
      <c r="E1276" t="s">
        <v>4124</v>
      </c>
      <c r="F1276" t="s">
        <v>4137</v>
      </c>
    </row>
    <row r="1277" spans="1:6">
      <c r="A1277" t="s">
        <v>5406</v>
      </c>
      <c r="B1277" t="s">
        <v>654</v>
      </c>
      <c r="C1277" t="s">
        <v>70</v>
      </c>
      <c r="D1277" s="1">
        <v>45924</v>
      </c>
      <c r="E1277" t="s">
        <v>4133</v>
      </c>
      <c r="F1277" t="s">
        <v>4137</v>
      </c>
    </row>
    <row r="1278" spans="1:6">
      <c r="A1278" t="s">
        <v>5407</v>
      </c>
      <c r="B1278" t="s">
        <v>654</v>
      </c>
      <c r="C1278" t="s">
        <v>70</v>
      </c>
      <c r="D1278" s="1">
        <v>45905</v>
      </c>
      <c r="E1278" t="s">
        <v>4124</v>
      </c>
      <c r="F1278" t="s">
        <v>4125</v>
      </c>
    </row>
    <row r="1279" spans="1:6">
      <c r="A1279" t="s">
        <v>5408</v>
      </c>
      <c r="B1279" t="s">
        <v>655</v>
      </c>
      <c r="C1279" t="s">
        <v>32</v>
      </c>
      <c r="D1279" s="1">
        <v>45888</v>
      </c>
      <c r="E1279" t="s">
        <v>4124</v>
      </c>
      <c r="F1279" t="s">
        <v>4125</v>
      </c>
    </row>
    <row r="1280" spans="1:6">
      <c r="A1280" t="s">
        <v>5409</v>
      </c>
      <c r="B1280" t="s">
        <v>655</v>
      </c>
      <c r="C1280" t="s">
        <v>32</v>
      </c>
      <c r="D1280" s="1">
        <v>45893</v>
      </c>
      <c r="E1280" t="s">
        <v>4127</v>
      </c>
      <c r="F1280" t="s">
        <v>4139</v>
      </c>
    </row>
    <row r="1281" spans="1:6">
      <c r="A1281" t="s">
        <v>5410</v>
      </c>
      <c r="B1281" t="s">
        <v>655</v>
      </c>
      <c r="C1281" t="s">
        <v>32</v>
      </c>
      <c r="D1281" s="1">
        <v>45894</v>
      </c>
      <c r="E1281" t="s">
        <v>4124</v>
      </c>
      <c r="F1281" t="s">
        <v>4125</v>
      </c>
    </row>
    <row r="1282" spans="1:6">
      <c r="A1282" t="s">
        <v>5411</v>
      </c>
      <c r="B1282" t="s">
        <v>655</v>
      </c>
      <c r="C1282" t="s">
        <v>32</v>
      </c>
      <c r="D1282" s="1">
        <v>45894</v>
      </c>
      <c r="E1282" t="s">
        <v>4129</v>
      </c>
      <c r="F1282" t="s">
        <v>4137</v>
      </c>
    </row>
    <row r="1283" spans="1:6">
      <c r="A1283" t="s">
        <v>5412</v>
      </c>
      <c r="B1283" t="s">
        <v>657</v>
      </c>
      <c r="C1283" t="s">
        <v>70</v>
      </c>
      <c r="D1283" s="1">
        <v>45954</v>
      </c>
      <c r="E1283" t="s">
        <v>4124</v>
      </c>
      <c r="F1283" t="s">
        <v>4139</v>
      </c>
    </row>
    <row r="1284" spans="1:6">
      <c r="A1284" t="s">
        <v>5413</v>
      </c>
      <c r="B1284" t="s">
        <v>657</v>
      </c>
      <c r="C1284" t="s">
        <v>70</v>
      </c>
      <c r="D1284" s="1">
        <v>45965</v>
      </c>
      <c r="E1284" t="s">
        <v>4124</v>
      </c>
      <c r="F1284" t="s">
        <v>4139</v>
      </c>
    </row>
    <row r="1285" spans="1:6">
      <c r="A1285" t="s">
        <v>5414</v>
      </c>
      <c r="B1285" t="s">
        <v>657</v>
      </c>
      <c r="C1285" t="s">
        <v>70</v>
      </c>
      <c r="D1285" s="1">
        <v>45963</v>
      </c>
      <c r="E1285" t="s">
        <v>4133</v>
      </c>
      <c r="F1285" t="s">
        <v>4137</v>
      </c>
    </row>
    <row r="1286" spans="1:6">
      <c r="A1286" t="s">
        <v>5415</v>
      </c>
      <c r="B1286" t="s">
        <v>657</v>
      </c>
      <c r="C1286" t="s">
        <v>70</v>
      </c>
      <c r="D1286" s="1">
        <v>45966</v>
      </c>
      <c r="E1286" t="s">
        <v>4124</v>
      </c>
      <c r="F1286" t="s">
        <v>4125</v>
      </c>
    </row>
    <row r="1287" spans="1:6">
      <c r="A1287" t="s">
        <v>5416</v>
      </c>
      <c r="B1287" t="s">
        <v>657</v>
      </c>
      <c r="C1287" t="s">
        <v>70</v>
      </c>
      <c r="D1287" s="1">
        <v>45957</v>
      </c>
      <c r="E1287" t="s">
        <v>4133</v>
      </c>
      <c r="F1287" t="s">
        <v>4139</v>
      </c>
    </row>
    <row r="1288" spans="1:6">
      <c r="A1288" t="s">
        <v>5417</v>
      </c>
      <c r="B1288" t="s">
        <v>658</v>
      </c>
      <c r="C1288" t="s">
        <v>119</v>
      </c>
      <c r="D1288" s="1">
        <v>45756</v>
      </c>
      <c r="E1288" t="s">
        <v>4124</v>
      </c>
      <c r="F1288" t="s">
        <v>4137</v>
      </c>
    </row>
    <row r="1289" spans="1:6">
      <c r="A1289" t="s">
        <v>5418</v>
      </c>
      <c r="B1289" t="s">
        <v>658</v>
      </c>
      <c r="C1289" t="s">
        <v>119</v>
      </c>
      <c r="D1289" s="1">
        <v>45774</v>
      </c>
      <c r="E1289" t="s">
        <v>4135</v>
      </c>
      <c r="F1289" t="s">
        <v>4137</v>
      </c>
    </row>
    <row r="1290" spans="1:6">
      <c r="A1290" t="s">
        <v>5419</v>
      </c>
      <c r="B1290" t="s">
        <v>658</v>
      </c>
      <c r="C1290" t="s">
        <v>119</v>
      </c>
      <c r="D1290" s="1">
        <v>45832</v>
      </c>
      <c r="E1290" t="s">
        <v>4129</v>
      </c>
      <c r="F1290" t="s">
        <v>4139</v>
      </c>
    </row>
    <row r="1291" spans="1:6">
      <c r="A1291" t="s">
        <v>5420</v>
      </c>
      <c r="B1291" t="s">
        <v>659</v>
      </c>
      <c r="C1291" t="s">
        <v>16</v>
      </c>
      <c r="D1291" s="1">
        <v>45931</v>
      </c>
      <c r="E1291" t="s">
        <v>4129</v>
      </c>
      <c r="F1291" t="s">
        <v>4137</v>
      </c>
    </row>
    <row r="1292" spans="1:6">
      <c r="A1292" t="s">
        <v>5421</v>
      </c>
      <c r="B1292" t="s">
        <v>659</v>
      </c>
      <c r="C1292" t="s">
        <v>16</v>
      </c>
      <c r="D1292" s="1">
        <v>45953</v>
      </c>
      <c r="E1292" t="s">
        <v>4133</v>
      </c>
      <c r="F1292" t="s">
        <v>4137</v>
      </c>
    </row>
    <row r="1293" spans="1:6">
      <c r="A1293" t="s">
        <v>5422</v>
      </c>
      <c r="B1293" t="s">
        <v>661</v>
      </c>
      <c r="C1293" t="s">
        <v>126</v>
      </c>
      <c r="D1293" s="1">
        <v>45827</v>
      </c>
      <c r="E1293" t="s">
        <v>4124</v>
      </c>
      <c r="F1293" t="s">
        <v>4137</v>
      </c>
    </row>
    <row r="1294" spans="1:6">
      <c r="A1294" t="s">
        <v>5423</v>
      </c>
      <c r="B1294" t="s">
        <v>661</v>
      </c>
      <c r="C1294" t="s">
        <v>126</v>
      </c>
      <c r="D1294" s="1">
        <v>45788</v>
      </c>
      <c r="E1294" t="s">
        <v>4133</v>
      </c>
      <c r="F1294" t="s">
        <v>4139</v>
      </c>
    </row>
    <row r="1295" spans="1:6">
      <c r="A1295" t="s">
        <v>5424</v>
      </c>
      <c r="B1295" t="s">
        <v>661</v>
      </c>
      <c r="C1295" t="s">
        <v>126</v>
      </c>
      <c r="D1295" s="1">
        <v>45820</v>
      </c>
      <c r="E1295" t="s">
        <v>4133</v>
      </c>
      <c r="F1295" t="s">
        <v>4137</v>
      </c>
    </row>
    <row r="1296" spans="1:6">
      <c r="A1296" t="s">
        <v>5425</v>
      </c>
      <c r="B1296" t="s">
        <v>663</v>
      </c>
      <c r="C1296" t="s">
        <v>63</v>
      </c>
      <c r="D1296" s="1">
        <v>45862</v>
      </c>
      <c r="E1296" t="s">
        <v>4124</v>
      </c>
      <c r="F1296" t="s">
        <v>4137</v>
      </c>
    </row>
    <row r="1297" spans="1:6">
      <c r="A1297" t="s">
        <v>5426</v>
      </c>
      <c r="B1297" t="s">
        <v>663</v>
      </c>
      <c r="C1297" t="s">
        <v>63</v>
      </c>
      <c r="D1297" s="1">
        <v>45864</v>
      </c>
      <c r="E1297" t="s">
        <v>4124</v>
      </c>
      <c r="F1297" t="s">
        <v>4125</v>
      </c>
    </row>
    <row r="1298" spans="1:6">
      <c r="A1298" t="s">
        <v>5427</v>
      </c>
      <c r="B1298" t="s">
        <v>665</v>
      </c>
      <c r="C1298" t="s">
        <v>32</v>
      </c>
      <c r="D1298" s="1">
        <v>45810</v>
      </c>
      <c r="E1298" t="s">
        <v>4133</v>
      </c>
      <c r="F1298" t="s">
        <v>4139</v>
      </c>
    </row>
    <row r="1299" spans="1:6">
      <c r="A1299" t="s">
        <v>5428</v>
      </c>
      <c r="B1299" t="s">
        <v>665</v>
      </c>
      <c r="C1299" t="s">
        <v>32</v>
      </c>
      <c r="D1299" s="1">
        <v>45841</v>
      </c>
      <c r="E1299" t="s">
        <v>4135</v>
      </c>
      <c r="F1299" t="s">
        <v>4137</v>
      </c>
    </row>
    <row r="1300" spans="1:6">
      <c r="A1300" t="s">
        <v>5429</v>
      </c>
      <c r="B1300" t="s">
        <v>667</v>
      </c>
      <c r="C1300" t="s">
        <v>50</v>
      </c>
      <c r="D1300" s="1">
        <v>45818</v>
      </c>
      <c r="E1300" t="s">
        <v>4133</v>
      </c>
      <c r="F1300" t="s">
        <v>4139</v>
      </c>
    </row>
    <row r="1301" spans="1:6">
      <c r="A1301" t="s">
        <v>5430</v>
      </c>
      <c r="B1301" t="s">
        <v>667</v>
      </c>
      <c r="C1301" t="s">
        <v>50</v>
      </c>
      <c r="D1301" s="1">
        <v>45817</v>
      </c>
      <c r="E1301" t="s">
        <v>4124</v>
      </c>
      <c r="F1301" t="s">
        <v>4137</v>
      </c>
    </row>
    <row r="1302" spans="1:6">
      <c r="A1302" t="s">
        <v>5431</v>
      </c>
      <c r="B1302" t="s">
        <v>668</v>
      </c>
      <c r="C1302" t="s">
        <v>75</v>
      </c>
      <c r="D1302" s="1">
        <v>45923</v>
      </c>
      <c r="E1302" t="s">
        <v>4135</v>
      </c>
      <c r="F1302" t="s">
        <v>4137</v>
      </c>
    </row>
    <row r="1303" spans="1:6">
      <c r="A1303" t="s">
        <v>5432</v>
      </c>
      <c r="B1303" t="s">
        <v>668</v>
      </c>
      <c r="C1303" t="s">
        <v>75</v>
      </c>
      <c r="D1303" s="1">
        <v>45917</v>
      </c>
      <c r="E1303" t="s">
        <v>4133</v>
      </c>
      <c r="F1303" t="s">
        <v>4137</v>
      </c>
    </row>
    <row r="1304" spans="1:6">
      <c r="A1304" t="s">
        <v>5433</v>
      </c>
      <c r="B1304" t="s">
        <v>668</v>
      </c>
      <c r="C1304" t="s">
        <v>75</v>
      </c>
      <c r="D1304" s="1">
        <v>45918</v>
      </c>
      <c r="E1304" t="s">
        <v>4135</v>
      </c>
      <c r="F1304" t="s">
        <v>4137</v>
      </c>
    </row>
    <row r="1305" spans="1:6">
      <c r="A1305" t="s">
        <v>5434</v>
      </c>
      <c r="B1305" t="s">
        <v>668</v>
      </c>
      <c r="C1305" t="s">
        <v>75</v>
      </c>
      <c r="D1305" s="1">
        <v>45927</v>
      </c>
      <c r="E1305" t="s">
        <v>4124</v>
      </c>
      <c r="F1305" t="s">
        <v>4137</v>
      </c>
    </row>
    <row r="1306" spans="1:6">
      <c r="A1306" t="s">
        <v>5435</v>
      </c>
      <c r="B1306" t="s">
        <v>670</v>
      </c>
      <c r="C1306" t="s">
        <v>70</v>
      </c>
      <c r="D1306" s="1">
        <v>45940</v>
      </c>
      <c r="E1306" t="s">
        <v>4129</v>
      </c>
      <c r="F1306" t="s">
        <v>4139</v>
      </c>
    </row>
    <row r="1307" spans="1:6">
      <c r="A1307" t="s">
        <v>5436</v>
      </c>
      <c r="B1307" t="s">
        <v>670</v>
      </c>
      <c r="C1307" t="s">
        <v>70</v>
      </c>
      <c r="D1307" s="1">
        <v>45960</v>
      </c>
      <c r="E1307" t="s">
        <v>4127</v>
      </c>
      <c r="F1307" t="s">
        <v>4139</v>
      </c>
    </row>
    <row r="1308" spans="1:6">
      <c r="A1308" t="s">
        <v>5437</v>
      </c>
      <c r="B1308" t="s">
        <v>670</v>
      </c>
      <c r="C1308" t="s">
        <v>70</v>
      </c>
      <c r="D1308" s="1">
        <v>45988</v>
      </c>
      <c r="E1308" t="s">
        <v>4135</v>
      </c>
      <c r="F1308" t="s">
        <v>4139</v>
      </c>
    </row>
    <row r="1309" spans="1:6">
      <c r="A1309" t="s">
        <v>5438</v>
      </c>
      <c r="B1309" t="s">
        <v>671</v>
      </c>
      <c r="C1309" t="s">
        <v>40</v>
      </c>
      <c r="D1309" s="1">
        <v>45762</v>
      </c>
      <c r="E1309" t="s">
        <v>4129</v>
      </c>
      <c r="F1309" t="s">
        <v>4125</v>
      </c>
    </row>
    <row r="1310" spans="1:6">
      <c r="A1310" t="s">
        <v>5439</v>
      </c>
      <c r="B1310" t="s">
        <v>671</v>
      </c>
      <c r="C1310" t="s">
        <v>40</v>
      </c>
      <c r="D1310" s="1">
        <v>45757</v>
      </c>
      <c r="E1310" t="s">
        <v>4133</v>
      </c>
      <c r="F1310" t="s">
        <v>4137</v>
      </c>
    </row>
    <row r="1311" spans="1:6">
      <c r="A1311" t="s">
        <v>5440</v>
      </c>
      <c r="B1311" t="s">
        <v>673</v>
      </c>
      <c r="C1311" t="s">
        <v>59</v>
      </c>
      <c r="D1311" s="1">
        <v>45687</v>
      </c>
      <c r="E1311" t="s">
        <v>4133</v>
      </c>
      <c r="F1311" t="s">
        <v>4139</v>
      </c>
    </row>
    <row r="1312" spans="1:6">
      <c r="A1312" t="s">
        <v>5441</v>
      </c>
      <c r="B1312" t="s">
        <v>673</v>
      </c>
      <c r="C1312" t="s">
        <v>59</v>
      </c>
      <c r="D1312" s="1">
        <v>45690</v>
      </c>
      <c r="E1312" t="s">
        <v>4133</v>
      </c>
      <c r="F1312" t="s">
        <v>4139</v>
      </c>
    </row>
    <row r="1313" spans="1:6">
      <c r="A1313" t="s">
        <v>5442</v>
      </c>
      <c r="B1313" t="s">
        <v>673</v>
      </c>
      <c r="C1313" t="s">
        <v>59</v>
      </c>
      <c r="D1313" s="1">
        <v>45689</v>
      </c>
      <c r="E1313" t="s">
        <v>4135</v>
      </c>
      <c r="F1313" t="s">
        <v>4125</v>
      </c>
    </row>
    <row r="1314" spans="1:6">
      <c r="A1314" t="s">
        <v>5443</v>
      </c>
      <c r="B1314" t="s">
        <v>674</v>
      </c>
      <c r="C1314" t="s">
        <v>78</v>
      </c>
      <c r="D1314" s="1">
        <v>45733</v>
      </c>
      <c r="E1314" t="s">
        <v>4127</v>
      </c>
      <c r="F1314" t="s">
        <v>4137</v>
      </c>
    </row>
    <row r="1315" spans="1:6">
      <c r="A1315" t="s">
        <v>5444</v>
      </c>
      <c r="B1315" t="s">
        <v>674</v>
      </c>
      <c r="C1315" t="s">
        <v>78</v>
      </c>
      <c r="D1315" s="1">
        <v>45724</v>
      </c>
      <c r="E1315" t="s">
        <v>4135</v>
      </c>
      <c r="F1315" t="s">
        <v>4125</v>
      </c>
    </row>
    <row r="1316" spans="1:6">
      <c r="A1316" t="s">
        <v>5445</v>
      </c>
      <c r="B1316" t="s">
        <v>675</v>
      </c>
      <c r="C1316" t="s">
        <v>36</v>
      </c>
      <c r="D1316" s="1">
        <v>45877</v>
      </c>
      <c r="E1316" t="s">
        <v>4124</v>
      </c>
      <c r="F1316" t="s">
        <v>4125</v>
      </c>
    </row>
    <row r="1317" spans="1:6">
      <c r="A1317" t="s">
        <v>5446</v>
      </c>
      <c r="B1317" t="s">
        <v>675</v>
      </c>
      <c r="C1317" t="s">
        <v>36</v>
      </c>
      <c r="D1317" s="1">
        <v>45897</v>
      </c>
      <c r="E1317" t="s">
        <v>4133</v>
      </c>
      <c r="F1317" t="s">
        <v>4137</v>
      </c>
    </row>
    <row r="1318" spans="1:6">
      <c r="A1318" t="s">
        <v>5447</v>
      </c>
      <c r="B1318" t="s">
        <v>675</v>
      </c>
      <c r="C1318" t="s">
        <v>36</v>
      </c>
      <c r="D1318" s="1">
        <v>45890</v>
      </c>
      <c r="E1318" t="s">
        <v>4124</v>
      </c>
      <c r="F1318" t="s">
        <v>4139</v>
      </c>
    </row>
    <row r="1319" spans="1:6">
      <c r="A1319" t="s">
        <v>5448</v>
      </c>
      <c r="B1319" t="s">
        <v>676</v>
      </c>
      <c r="C1319" t="s">
        <v>152</v>
      </c>
      <c r="D1319" s="1">
        <v>45991</v>
      </c>
      <c r="E1319" t="s">
        <v>4129</v>
      </c>
      <c r="F1319" t="s">
        <v>4125</v>
      </c>
    </row>
    <row r="1320" spans="1:6">
      <c r="A1320" t="s">
        <v>5449</v>
      </c>
      <c r="B1320" t="s">
        <v>676</v>
      </c>
      <c r="C1320" t="s">
        <v>152</v>
      </c>
      <c r="D1320" s="1">
        <v>45992</v>
      </c>
      <c r="E1320" t="s">
        <v>4127</v>
      </c>
      <c r="F1320" t="s">
        <v>4139</v>
      </c>
    </row>
    <row r="1321" spans="1:6">
      <c r="A1321" t="s">
        <v>5450</v>
      </c>
      <c r="B1321" t="s">
        <v>676</v>
      </c>
      <c r="C1321" t="s">
        <v>152</v>
      </c>
      <c r="D1321" s="1">
        <v>45999</v>
      </c>
      <c r="E1321" t="s">
        <v>4127</v>
      </c>
      <c r="F1321" t="s">
        <v>4125</v>
      </c>
    </row>
    <row r="1322" spans="1:6">
      <c r="A1322" t="s">
        <v>5451</v>
      </c>
      <c r="B1322" t="s">
        <v>676</v>
      </c>
      <c r="C1322" t="s">
        <v>152</v>
      </c>
      <c r="D1322" s="1">
        <v>46001</v>
      </c>
      <c r="E1322" t="s">
        <v>4124</v>
      </c>
      <c r="F1322" t="s">
        <v>4125</v>
      </c>
    </row>
    <row r="1323" spans="1:6">
      <c r="A1323" t="s">
        <v>5452</v>
      </c>
      <c r="B1323" t="s">
        <v>676</v>
      </c>
      <c r="C1323" t="s">
        <v>152</v>
      </c>
      <c r="D1323" s="1">
        <v>46002</v>
      </c>
      <c r="E1323" t="s">
        <v>4135</v>
      </c>
      <c r="F1323" t="s">
        <v>4137</v>
      </c>
    </row>
    <row r="1324" spans="1:6">
      <c r="A1324" t="s">
        <v>5453</v>
      </c>
      <c r="B1324" t="s">
        <v>678</v>
      </c>
      <c r="C1324" t="s">
        <v>40</v>
      </c>
      <c r="D1324" s="1">
        <v>46015</v>
      </c>
      <c r="E1324" t="s">
        <v>4135</v>
      </c>
      <c r="F1324" t="s">
        <v>4125</v>
      </c>
    </row>
    <row r="1325" spans="1:6">
      <c r="A1325" t="s">
        <v>5454</v>
      </c>
      <c r="B1325" t="s">
        <v>678</v>
      </c>
      <c r="C1325" t="s">
        <v>40</v>
      </c>
      <c r="D1325" s="1">
        <v>46017</v>
      </c>
      <c r="E1325" t="s">
        <v>4133</v>
      </c>
      <c r="F1325" t="s">
        <v>4139</v>
      </c>
    </row>
    <row r="1326" spans="1:6">
      <c r="A1326" t="s">
        <v>5455</v>
      </c>
      <c r="B1326" t="s">
        <v>678</v>
      </c>
      <c r="C1326" t="s">
        <v>40</v>
      </c>
      <c r="D1326" s="1">
        <v>45999</v>
      </c>
      <c r="E1326" t="s">
        <v>4129</v>
      </c>
      <c r="F1326" t="s">
        <v>4139</v>
      </c>
    </row>
    <row r="1327" spans="1:6">
      <c r="A1327" t="s">
        <v>5456</v>
      </c>
      <c r="B1327" t="s">
        <v>678</v>
      </c>
      <c r="C1327" t="s">
        <v>40</v>
      </c>
      <c r="D1327" s="1">
        <v>46008</v>
      </c>
      <c r="E1327" t="s">
        <v>4135</v>
      </c>
      <c r="F1327" t="s">
        <v>4125</v>
      </c>
    </row>
    <row r="1328" spans="1:6">
      <c r="A1328" t="s">
        <v>5457</v>
      </c>
      <c r="B1328" t="s">
        <v>678</v>
      </c>
      <c r="C1328" t="s">
        <v>40</v>
      </c>
      <c r="D1328" s="1">
        <v>46012</v>
      </c>
      <c r="E1328" t="s">
        <v>4135</v>
      </c>
      <c r="F1328" t="s">
        <v>4125</v>
      </c>
    </row>
    <row r="1329" spans="1:6">
      <c r="A1329" t="s">
        <v>5458</v>
      </c>
      <c r="B1329" t="s">
        <v>679</v>
      </c>
      <c r="C1329" t="s">
        <v>126</v>
      </c>
      <c r="D1329" s="1">
        <v>45877</v>
      </c>
      <c r="E1329" t="s">
        <v>4127</v>
      </c>
      <c r="F1329" t="s">
        <v>4139</v>
      </c>
    </row>
    <row r="1330" spans="1:6">
      <c r="A1330" t="s">
        <v>5459</v>
      </c>
      <c r="B1330" t="s">
        <v>679</v>
      </c>
      <c r="C1330" t="s">
        <v>126</v>
      </c>
      <c r="D1330" s="1">
        <v>45866</v>
      </c>
      <c r="E1330" t="s">
        <v>4127</v>
      </c>
      <c r="F1330" t="s">
        <v>4125</v>
      </c>
    </row>
    <row r="1331" spans="1:6">
      <c r="A1331" t="s">
        <v>5460</v>
      </c>
      <c r="B1331" t="s">
        <v>679</v>
      </c>
      <c r="C1331" t="s">
        <v>126</v>
      </c>
      <c r="D1331" s="1">
        <v>45851</v>
      </c>
      <c r="E1331" t="s">
        <v>4129</v>
      </c>
      <c r="F1331" t="s">
        <v>4137</v>
      </c>
    </row>
    <row r="1332" spans="1:6">
      <c r="A1332" t="s">
        <v>5461</v>
      </c>
      <c r="B1332" t="s">
        <v>681</v>
      </c>
      <c r="C1332" t="s">
        <v>46</v>
      </c>
      <c r="D1332" s="1">
        <v>45817</v>
      </c>
      <c r="E1332" t="s">
        <v>4135</v>
      </c>
      <c r="F1332" t="s">
        <v>4125</v>
      </c>
    </row>
    <row r="1333" spans="1:6">
      <c r="A1333" t="s">
        <v>5462</v>
      </c>
      <c r="B1333" t="s">
        <v>681</v>
      </c>
      <c r="C1333" t="s">
        <v>46</v>
      </c>
      <c r="D1333" s="1">
        <v>45819</v>
      </c>
      <c r="E1333" t="s">
        <v>4135</v>
      </c>
      <c r="F1333" t="s">
        <v>4125</v>
      </c>
    </row>
    <row r="1334" spans="1:6">
      <c r="A1334" t="s">
        <v>5463</v>
      </c>
      <c r="B1334" t="s">
        <v>682</v>
      </c>
      <c r="C1334" t="s">
        <v>56</v>
      </c>
      <c r="D1334" s="1">
        <v>45822</v>
      </c>
      <c r="E1334" t="s">
        <v>4135</v>
      </c>
      <c r="F1334" t="s">
        <v>4139</v>
      </c>
    </row>
    <row r="1335" spans="1:6">
      <c r="A1335" t="s">
        <v>5464</v>
      </c>
      <c r="B1335" t="s">
        <v>682</v>
      </c>
      <c r="C1335" t="s">
        <v>56</v>
      </c>
      <c r="D1335" s="1">
        <v>45824</v>
      </c>
      <c r="E1335" t="s">
        <v>4133</v>
      </c>
      <c r="F1335" t="s">
        <v>4139</v>
      </c>
    </row>
    <row r="1336" spans="1:6">
      <c r="A1336" t="s">
        <v>5465</v>
      </c>
      <c r="B1336" t="s">
        <v>682</v>
      </c>
      <c r="C1336" t="s">
        <v>56</v>
      </c>
      <c r="D1336" s="1">
        <v>45825</v>
      </c>
      <c r="E1336" t="s">
        <v>4135</v>
      </c>
      <c r="F1336" t="s">
        <v>4125</v>
      </c>
    </row>
    <row r="1337" spans="1:6">
      <c r="A1337" t="s">
        <v>5466</v>
      </c>
      <c r="B1337" t="s">
        <v>684</v>
      </c>
      <c r="C1337" t="s">
        <v>32</v>
      </c>
      <c r="D1337" s="1">
        <v>45836</v>
      </c>
      <c r="E1337" t="s">
        <v>4127</v>
      </c>
      <c r="F1337" t="s">
        <v>4125</v>
      </c>
    </row>
    <row r="1338" spans="1:6">
      <c r="A1338" t="s">
        <v>5467</v>
      </c>
      <c r="B1338" t="s">
        <v>684</v>
      </c>
      <c r="C1338" t="s">
        <v>32</v>
      </c>
      <c r="D1338" s="1">
        <v>45845</v>
      </c>
      <c r="E1338" t="s">
        <v>4135</v>
      </c>
      <c r="F1338" t="s">
        <v>4137</v>
      </c>
    </row>
    <row r="1339" spans="1:6">
      <c r="A1339" t="s">
        <v>5468</v>
      </c>
      <c r="B1339" t="s">
        <v>684</v>
      </c>
      <c r="C1339" t="s">
        <v>32</v>
      </c>
      <c r="D1339" s="1">
        <v>45847</v>
      </c>
      <c r="E1339" t="s">
        <v>4133</v>
      </c>
      <c r="F1339" t="s">
        <v>4137</v>
      </c>
    </row>
    <row r="1340" spans="1:6">
      <c r="A1340" t="s">
        <v>5469</v>
      </c>
      <c r="B1340" t="s">
        <v>685</v>
      </c>
      <c r="C1340" t="s">
        <v>78</v>
      </c>
      <c r="D1340" s="1">
        <v>45947</v>
      </c>
      <c r="E1340" t="s">
        <v>4124</v>
      </c>
      <c r="F1340" t="s">
        <v>4139</v>
      </c>
    </row>
    <row r="1341" spans="1:6">
      <c r="A1341" t="s">
        <v>5470</v>
      </c>
      <c r="B1341" t="s">
        <v>685</v>
      </c>
      <c r="C1341" t="s">
        <v>78</v>
      </c>
      <c r="D1341" s="1">
        <v>45937</v>
      </c>
      <c r="E1341" t="s">
        <v>4129</v>
      </c>
      <c r="F1341" t="s">
        <v>4125</v>
      </c>
    </row>
    <row r="1342" spans="1:6">
      <c r="A1342" t="s">
        <v>5471</v>
      </c>
      <c r="B1342" t="s">
        <v>687</v>
      </c>
      <c r="C1342" t="s">
        <v>126</v>
      </c>
      <c r="D1342" s="1">
        <v>45793</v>
      </c>
      <c r="E1342" t="s">
        <v>4127</v>
      </c>
      <c r="F1342" t="s">
        <v>4139</v>
      </c>
    </row>
    <row r="1343" spans="1:6">
      <c r="A1343" t="s">
        <v>5472</v>
      </c>
      <c r="B1343" t="s">
        <v>687</v>
      </c>
      <c r="C1343" t="s">
        <v>126</v>
      </c>
      <c r="D1343" s="1">
        <v>45834</v>
      </c>
      <c r="E1343" t="s">
        <v>4124</v>
      </c>
      <c r="F1343" t="s">
        <v>4139</v>
      </c>
    </row>
    <row r="1344" spans="1:6">
      <c r="A1344" t="s">
        <v>5473</v>
      </c>
      <c r="B1344" t="s">
        <v>687</v>
      </c>
      <c r="C1344" t="s">
        <v>126</v>
      </c>
      <c r="D1344" s="1">
        <v>45798</v>
      </c>
      <c r="E1344" t="s">
        <v>4135</v>
      </c>
      <c r="F1344" t="s">
        <v>4139</v>
      </c>
    </row>
    <row r="1345" spans="1:6">
      <c r="A1345" t="s">
        <v>5474</v>
      </c>
      <c r="B1345" t="s">
        <v>687</v>
      </c>
      <c r="C1345" t="s">
        <v>126</v>
      </c>
      <c r="D1345" s="1">
        <v>45789</v>
      </c>
      <c r="E1345" t="s">
        <v>4129</v>
      </c>
      <c r="F1345" t="s">
        <v>4125</v>
      </c>
    </row>
    <row r="1346" spans="1:6">
      <c r="A1346" t="s">
        <v>5475</v>
      </c>
      <c r="B1346" t="s">
        <v>687</v>
      </c>
      <c r="C1346" t="s">
        <v>126</v>
      </c>
      <c r="D1346" s="1">
        <v>45835</v>
      </c>
      <c r="E1346" t="s">
        <v>4127</v>
      </c>
      <c r="F1346" t="s">
        <v>4137</v>
      </c>
    </row>
    <row r="1347" spans="1:6">
      <c r="A1347" t="s">
        <v>5476</v>
      </c>
      <c r="B1347" t="s">
        <v>688</v>
      </c>
      <c r="C1347" t="s">
        <v>32</v>
      </c>
      <c r="D1347" s="1">
        <v>45873</v>
      </c>
      <c r="E1347" t="s">
        <v>4129</v>
      </c>
      <c r="F1347" t="s">
        <v>4139</v>
      </c>
    </row>
    <row r="1348" spans="1:6">
      <c r="A1348" t="s">
        <v>5477</v>
      </c>
      <c r="B1348" t="s">
        <v>688</v>
      </c>
      <c r="C1348" t="s">
        <v>32</v>
      </c>
      <c r="D1348" s="1">
        <v>45861</v>
      </c>
      <c r="E1348" t="s">
        <v>4124</v>
      </c>
      <c r="F1348" t="s">
        <v>4137</v>
      </c>
    </row>
    <row r="1349" spans="1:6">
      <c r="A1349" t="s">
        <v>5478</v>
      </c>
      <c r="B1349" t="s">
        <v>689</v>
      </c>
      <c r="C1349" t="s">
        <v>16</v>
      </c>
      <c r="D1349" s="1">
        <v>45948</v>
      </c>
      <c r="E1349" t="s">
        <v>4133</v>
      </c>
      <c r="F1349" t="s">
        <v>4137</v>
      </c>
    </row>
    <row r="1350" spans="1:6">
      <c r="A1350" t="s">
        <v>5479</v>
      </c>
      <c r="B1350" t="s">
        <v>689</v>
      </c>
      <c r="C1350" t="s">
        <v>16</v>
      </c>
      <c r="D1350" s="1">
        <v>45958</v>
      </c>
      <c r="E1350" t="s">
        <v>4133</v>
      </c>
      <c r="F1350" t="s">
        <v>4125</v>
      </c>
    </row>
    <row r="1351" spans="1:6">
      <c r="A1351" t="s">
        <v>5480</v>
      </c>
      <c r="B1351" t="s">
        <v>689</v>
      </c>
      <c r="C1351" t="s">
        <v>16</v>
      </c>
      <c r="D1351" s="1">
        <v>45960</v>
      </c>
      <c r="E1351" t="s">
        <v>4135</v>
      </c>
      <c r="F1351" t="s">
        <v>4137</v>
      </c>
    </row>
    <row r="1352" spans="1:6">
      <c r="A1352" t="s">
        <v>5481</v>
      </c>
      <c r="B1352" t="s">
        <v>690</v>
      </c>
      <c r="C1352" t="s">
        <v>126</v>
      </c>
      <c r="D1352" s="1">
        <v>45837</v>
      </c>
      <c r="E1352" t="s">
        <v>4124</v>
      </c>
      <c r="F1352" t="s">
        <v>4125</v>
      </c>
    </row>
    <row r="1353" spans="1:6">
      <c r="A1353" t="s">
        <v>5482</v>
      </c>
      <c r="B1353" t="s">
        <v>690</v>
      </c>
      <c r="C1353" t="s">
        <v>126</v>
      </c>
      <c r="D1353" s="1">
        <v>45863</v>
      </c>
      <c r="E1353" t="s">
        <v>4133</v>
      </c>
      <c r="F1353" t="s">
        <v>4125</v>
      </c>
    </row>
    <row r="1354" spans="1:6">
      <c r="A1354" t="s">
        <v>5483</v>
      </c>
      <c r="B1354" t="s">
        <v>691</v>
      </c>
      <c r="C1354" t="s">
        <v>59</v>
      </c>
      <c r="D1354" s="1">
        <v>45768</v>
      </c>
      <c r="E1354" t="s">
        <v>4133</v>
      </c>
      <c r="F1354" t="s">
        <v>4139</v>
      </c>
    </row>
    <row r="1355" spans="1:6">
      <c r="A1355" t="s">
        <v>5484</v>
      </c>
      <c r="B1355" t="s">
        <v>691</v>
      </c>
      <c r="C1355" t="s">
        <v>59</v>
      </c>
      <c r="D1355" s="1">
        <v>45778</v>
      </c>
      <c r="E1355" t="s">
        <v>4127</v>
      </c>
      <c r="F1355" t="s">
        <v>4139</v>
      </c>
    </row>
    <row r="1356" spans="1:6">
      <c r="A1356" t="s">
        <v>5485</v>
      </c>
      <c r="B1356" t="s">
        <v>691</v>
      </c>
      <c r="C1356" t="s">
        <v>59</v>
      </c>
      <c r="D1356" s="1">
        <v>45759</v>
      </c>
      <c r="E1356" t="s">
        <v>4135</v>
      </c>
      <c r="F1356" t="s">
        <v>4125</v>
      </c>
    </row>
    <row r="1357" spans="1:6">
      <c r="A1357" t="s">
        <v>5486</v>
      </c>
      <c r="B1357" t="s">
        <v>691</v>
      </c>
      <c r="C1357" t="s">
        <v>59</v>
      </c>
      <c r="D1357" s="1">
        <v>45767</v>
      </c>
      <c r="E1357" t="s">
        <v>4127</v>
      </c>
      <c r="F1357" t="s">
        <v>4139</v>
      </c>
    </row>
    <row r="1358" spans="1:6">
      <c r="A1358" t="s">
        <v>5487</v>
      </c>
      <c r="B1358" t="s">
        <v>692</v>
      </c>
      <c r="C1358" t="s">
        <v>53</v>
      </c>
      <c r="D1358" s="1">
        <v>45717</v>
      </c>
      <c r="E1358" t="s">
        <v>4135</v>
      </c>
      <c r="F1358" t="s">
        <v>4137</v>
      </c>
    </row>
    <row r="1359" spans="1:6">
      <c r="A1359" t="s">
        <v>5488</v>
      </c>
      <c r="B1359" t="s">
        <v>692</v>
      </c>
      <c r="C1359" t="s">
        <v>53</v>
      </c>
      <c r="D1359" s="1">
        <v>45718</v>
      </c>
      <c r="E1359" t="s">
        <v>4135</v>
      </c>
      <c r="F1359" t="s">
        <v>4139</v>
      </c>
    </row>
    <row r="1360" spans="1:6">
      <c r="A1360" t="s">
        <v>5489</v>
      </c>
      <c r="B1360" t="s">
        <v>692</v>
      </c>
      <c r="C1360" t="s">
        <v>53</v>
      </c>
      <c r="D1360" s="1">
        <v>45738</v>
      </c>
      <c r="E1360" t="s">
        <v>4135</v>
      </c>
      <c r="F1360" t="s">
        <v>4125</v>
      </c>
    </row>
    <row r="1361" spans="1:6">
      <c r="A1361" t="s">
        <v>5490</v>
      </c>
      <c r="B1361" t="s">
        <v>692</v>
      </c>
      <c r="C1361" t="s">
        <v>53</v>
      </c>
      <c r="D1361" s="1">
        <v>45767</v>
      </c>
      <c r="E1361" t="s">
        <v>4133</v>
      </c>
      <c r="F1361" t="s">
        <v>4137</v>
      </c>
    </row>
    <row r="1362" spans="1:6">
      <c r="A1362" t="s">
        <v>5491</v>
      </c>
      <c r="B1362" t="s">
        <v>692</v>
      </c>
      <c r="C1362" t="s">
        <v>53</v>
      </c>
      <c r="D1362" s="1">
        <v>45743</v>
      </c>
      <c r="E1362" t="s">
        <v>4135</v>
      </c>
      <c r="F1362" t="s">
        <v>4139</v>
      </c>
    </row>
    <row r="1363" spans="1:6">
      <c r="A1363" t="s">
        <v>5492</v>
      </c>
      <c r="B1363" t="s">
        <v>694</v>
      </c>
      <c r="C1363" t="s">
        <v>75</v>
      </c>
      <c r="D1363" s="1">
        <v>45761</v>
      </c>
      <c r="E1363" t="s">
        <v>4127</v>
      </c>
      <c r="F1363" t="s">
        <v>4139</v>
      </c>
    </row>
    <row r="1364" spans="1:6">
      <c r="A1364" t="s">
        <v>5493</v>
      </c>
      <c r="B1364" t="s">
        <v>694</v>
      </c>
      <c r="C1364" t="s">
        <v>75</v>
      </c>
      <c r="D1364" s="1">
        <v>45780</v>
      </c>
      <c r="E1364" t="s">
        <v>4133</v>
      </c>
      <c r="F1364" t="s">
        <v>4137</v>
      </c>
    </row>
    <row r="1365" spans="1:6">
      <c r="A1365" t="s">
        <v>5494</v>
      </c>
      <c r="B1365" t="s">
        <v>694</v>
      </c>
      <c r="C1365" t="s">
        <v>75</v>
      </c>
      <c r="D1365" s="1">
        <v>45760</v>
      </c>
      <c r="E1365" t="s">
        <v>4127</v>
      </c>
      <c r="F1365" t="s">
        <v>4139</v>
      </c>
    </row>
    <row r="1366" spans="1:6">
      <c r="A1366" t="s">
        <v>5495</v>
      </c>
      <c r="B1366" t="s">
        <v>695</v>
      </c>
      <c r="C1366" t="s">
        <v>36</v>
      </c>
      <c r="D1366" s="1">
        <v>45909</v>
      </c>
      <c r="E1366" t="s">
        <v>4135</v>
      </c>
      <c r="F1366" t="s">
        <v>4125</v>
      </c>
    </row>
    <row r="1367" spans="1:6">
      <c r="A1367" t="s">
        <v>5496</v>
      </c>
      <c r="B1367" t="s">
        <v>695</v>
      </c>
      <c r="C1367" t="s">
        <v>36</v>
      </c>
      <c r="D1367" s="1">
        <v>45906</v>
      </c>
      <c r="E1367" t="s">
        <v>4124</v>
      </c>
      <c r="F1367" t="s">
        <v>4125</v>
      </c>
    </row>
    <row r="1368" spans="1:6">
      <c r="A1368" t="s">
        <v>5497</v>
      </c>
      <c r="B1368" t="s">
        <v>697</v>
      </c>
      <c r="C1368" t="s">
        <v>36</v>
      </c>
      <c r="D1368" s="1">
        <v>45940</v>
      </c>
      <c r="E1368" t="s">
        <v>4135</v>
      </c>
      <c r="F1368" t="s">
        <v>4137</v>
      </c>
    </row>
    <row r="1369" spans="1:6">
      <c r="A1369" t="s">
        <v>5498</v>
      </c>
      <c r="B1369" t="s">
        <v>697</v>
      </c>
      <c r="C1369" t="s">
        <v>36</v>
      </c>
      <c r="D1369" s="1">
        <v>45951</v>
      </c>
      <c r="E1369" t="s">
        <v>4124</v>
      </c>
      <c r="F1369" t="s">
        <v>4125</v>
      </c>
    </row>
    <row r="1370" spans="1:6">
      <c r="A1370" t="s">
        <v>5499</v>
      </c>
      <c r="B1370" t="s">
        <v>697</v>
      </c>
      <c r="C1370" t="s">
        <v>36</v>
      </c>
      <c r="D1370" s="1">
        <v>45907</v>
      </c>
      <c r="E1370" t="s">
        <v>4127</v>
      </c>
      <c r="F1370" t="s">
        <v>4137</v>
      </c>
    </row>
    <row r="1371" spans="1:6">
      <c r="A1371" t="s">
        <v>5500</v>
      </c>
      <c r="B1371" t="s">
        <v>697</v>
      </c>
      <c r="C1371" t="s">
        <v>36</v>
      </c>
      <c r="D1371" s="1">
        <v>45912</v>
      </c>
      <c r="E1371" t="s">
        <v>4133</v>
      </c>
      <c r="F1371" t="s">
        <v>4137</v>
      </c>
    </row>
    <row r="1372" spans="1:6">
      <c r="A1372" t="s">
        <v>5501</v>
      </c>
      <c r="B1372" t="s">
        <v>699</v>
      </c>
      <c r="C1372" t="s">
        <v>36</v>
      </c>
      <c r="D1372" s="1">
        <v>45743</v>
      </c>
      <c r="E1372" t="s">
        <v>4129</v>
      </c>
      <c r="F1372" t="s">
        <v>4125</v>
      </c>
    </row>
    <row r="1373" spans="1:6">
      <c r="A1373" t="s">
        <v>5502</v>
      </c>
      <c r="B1373" t="s">
        <v>699</v>
      </c>
      <c r="C1373" t="s">
        <v>36</v>
      </c>
      <c r="D1373" s="1">
        <v>45750</v>
      </c>
      <c r="E1373" t="s">
        <v>4124</v>
      </c>
      <c r="F1373" t="s">
        <v>4125</v>
      </c>
    </row>
    <row r="1374" spans="1:6">
      <c r="A1374" t="s">
        <v>5503</v>
      </c>
      <c r="B1374" t="s">
        <v>699</v>
      </c>
      <c r="C1374" t="s">
        <v>36</v>
      </c>
      <c r="D1374" s="1">
        <v>45742</v>
      </c>
      <c r="E1374" t="s">
        <v>4135</v>
      </c>
      <c r="F1374" t="s">
        <v>4139</v>
      </c>
    </row>
    <row r="1375" spans="1:6">
      <c r="A1375" t="s">
        <v>5504</v>
      </c>
      <c r="B1375" t="s">
        <v>699</v>
      </c>
      <c r="C1375" t="s">
        <v>36</v>
      </c>
      <c r="D1375" s="1">
        <v>45749</v>
      </c>
      <c r="E1375" t="s">
        <v>4127</v>
      </c>
      <c r="F1375" t="s">
        <v>4139</v>
      </c>
    </row>
    <row r="1376" spans="1:6">
      <c r="A1376" t="s">
        <v>5505</v>
      </c>
      <c r="B1376" t="s">
        <v>701</v>
      </c>
      <c r="C1376" t="s">
        <v>70</v>
      </c>
      <c r="D1376" s="1">
        <v>45846</v>
      </c>
      <c r="E1376" t="s">
        <v>4124</v>
      </c>
      <c r="F1376" t="s">
        <v>4137</v>
      </c>
    </row>
    <row r="1377" spans="1:6">
      <c r="A1377" t="s">
        <v>5506</v>
      </c>
      <c r="B1377" t="s">
        <v>701</v>
      </c>
      <c r="C1377" t="s">
        <v>70</v>
      </c>
      <c r="D1377" s="1">
        <v>45830</v>
      </c>
      <c r="E1377" t="s">
        <v>4124</v>
      </c>
      <c r="F1377" t="s">
        <v>4137</v>
      </c>
    </row>
    <row r="1378" spans="1:6">
      <c r="A1378" t="s">
        <v>5507</v>
      </c>
      <c r="B1378" t="s">
        <v>702</v>
      </c>
      <c r="C1378" t="s">
        <v>78</v>
      </c>
      <c r="D1378" s="1">
        <v>45962</v>
      </c>
      <c r="E1378" t="s">
        <v>4129</v>
      </c>
      <c r="F1378" t="s">
        <v>4137</v>
      </c>
    </row>
    <row r="1379" spans="1:6">
      <c r="A1379" t="s">
        <v>5508</v>
      </c>
      <c r="B1379" t="s">
        <v>702</v>
      </c>
      <c r="C1379" t="s">
        <v>78</v>
      </c>
      <c r="D1379" s="1">
        <v>45945</v>
      </c>
      <c r="E1379" t="s">
        <v>4124</v>
      </c>
      <c r="F1379" t="s">
        <v>4139</v>
      </c>
    </row>
    <row r="1380" spans="1:6">
      <c r="A1380" t="s">
        <v>5509</v>
      </c>
      <c r="B1380" t="s">
        <v>704</v>
      </c>
      <c r="C1380" t="s">
        <v>119</v>
      </c>
      <c r="D1380" s="1">
        <v>45786</v>
      </c>
      <c r="E1380" t="s">
        <v>4127</v>
      </c>
      <c r="F1380" t="s">
        <v>4137</v>
      </c>
    </row>
    <row r="1381" spans="1:6">
      <c r="A1381" t="s">
        <v>5510</v>
      </c>
      <c r="B1381" t="s">
        <v>704</v>
      </c>
      <c r="C1381" t="s">
        <v>119</v>
      </c>
      <c r="D1381" s="1">
        <v>45805</v>
      </c>
      <c r="E1381" t="s">
        <v>4127</v>
      </c>
      <c r="F1381" t="s">
        <v>4139</v>
      </c>
    </row>
    <row r="1382" spans="1:6">
      <c r="A1382" t="s">
        <v>5511</v>
      </c>
      <c r="B1382" t="s">
        <v>705</v>
      </c>
      <c r="C1382" t="s">
        <v>22</v>
      </c>
      <c r="D1382" s="1">
        <v>46008</v>
      </c>
      <c r="E1382" t="s">
        <v>4129</v>
      </c>
      <c r="F1382" t="s">
        <v>4125</v>
      </c>
    </row>
    <row r="1383" spans="1:6">
      <c r="A1383" t="s">
        <v>5512</v>
      </c>
      <c r="B1383" t="s">
        <v>705</v>
      </c>
      <c r="C1383" t="s">
        <v>22</v>
      </c>
      <c r="D1383" s="1">
        <v>46003</v>
      </c>
      <c r="E1383" t="s">
        <v>4127</v>
      </c>
      <c r="F1383" t="s">
        <v>4137</v>
      </c>
    </row>
    <row r="1384" spans="1:6">
      <c r="A1384" t="s">
        <v>5513</v>
      </c>
      <c r="B1384" t="s">
        <v>705</v>
      </c>
      <c r="C1384" t="s">
        <v>22</v>
      </c>
      <c r="D1384" s="1">
        <v>46013</v>
      </c>
      <c r="E1384" t="s">
        <v>4129</v>
      </c>
      <c r="F1384" t="s">
        <v>4137</v>
      </c>
    </row>
    <row r="1385" spans="1:6">
      <c r="A1385" t="s">
        <v>5514</v>
      </c>
      <c r="B1385" t="s">
        <v>705</v>
      </c>
      <c r="C1385" t="s">
        <v>22</v>
      </c>
      <c r="D1385" s="1">
        <v>46008</v>
      </c>
      <c r="E1385" t="s">
        <v>4135</v>
      </c>
      <c r="F1385" t="s">
        <v>4137</v>
      </c>
    </row>
    <row r="1386" spans="1:6">
      <c r="A1386" t="s">
        <v>5515</v>
      </c>
      <c r="B1386" t="s">
        <v>707</v>
      </c>
      <c r="C1386" t="s">
        <v>53</v>
      </c>
      <c r="D1386" s="1">
        <v>45755</v>
      </c>
      <c r="E1386" t="s">
        <v>4124</v>
      </c>
      <c r="F1386" t="s">
        <v>4125</v>
      </c>
    </row>
    <row r="1387" spans="1:6">
      <c r="A1387" t="s">
        <v>5516</v>
      </c>
      <c r="B1387" t="s">
        <v>707</v>
      </c>
      <c r="C1387" t="s">
        <v>53</v>
      </c>
      <c r="D1387" s="1">
        <v>45715</v>
      </c>
      <c r="E1387" t="s">
        <v>4127</v>
      </c>
      <c r="F1387" t="s">
        <v>4139</v>
      </c>
    </row>
    <row r="1388" spans="1:6">
      <c r="A1388" t="s">
        <v>5517</v>
      </c>
      <c r="B1388" t="s">
        <v>707</v>
      </c>
      <c r="C1388" t="s">
        <v>53</v>
      </c>
      <c r="D1388" s="1">
        <v>45790</v>
      </c>
      <c r="E1388" t="s">
        <v>4129</v>
      </c>
      <c r="F1388" t="s">
        <v>4139</v>
      </c>
    </row>
    <row r="1389" spans="1:6">
      <c r="A1389" t="s">
        <v>5518</v>
      </c>
      <c r="B1389" t="s">
        <v>708</v>
      </c>
      <c r="C1389" t="s">
        <v>36</v>
      </c>
      <c r="D1389" s="1">
        <v>45833</v>
      </c>
      <c r="E1389" t="s">
        <v>4133</v>
      </c>
      <c r="F1389" t="s">
        <v>4125</v>
      </c>
    </row>
    <row r="1390" spans="1:6">
      <c r="A1390" t="s">
        <v>5519</v>
      </c>
      <c r="B1390" t="s">
        <v>708</v>
      </c>
      <c r="C1390" t="s">
        <v>36</v>
      </c>
      <c r="D1390" s="1">
        <v>45835</v>
      </c>
      <c r="E1390" t="s">
        <v>4127</v>
      </c>
      <c r="F1390" t="s">
        <v>4139</v>
      </c>
    </row>
    <row r="1391" spans="1:6">
      <c r="A1391" t="s">
        <v>5520</v>
      </c>
      <c r="B1391" t="s">
        <v>709</v>
      </c>
      <c r="C1391" t="s">
        <v>168</v>
      </c>
      <c r="D1391" s="1">
        <v>45922</v>
      </c>
      <c r="E1391" t="s">
        <v>4129</v>
      </c>
      <c r="F1391" t="s">
        <v>4125</v>
      </c>
    </row>
    <row r="1392" spans="1:6">
      <c r="A1392" t="s">
        <v>5521</v>
      </c>
      <c r="B1392" t="s">
        <v>709</v>
      </c>
      <c r="C1392" t="s">
        <v>168</v>
      </c>
      <c r="D1392" s="1">
        <v>45916</v>
      </c>
      <c r="E1392" t="s">
        <v>4127</v>
      </c>
      <c r="F1392" t="s">
        <v>4125</v>
      </c>
    </row>
    <row r="1393" spans="1:6">
      <c r="A1393" t="s">
        <v>5522</v>
      </c>
      <c r="B1393" t="s">
        <v>709</v>
      </c>
      <c r="C1393" t="s">
        <v>168</v>
      </c>
      <c r="D1393" s="1">
        <v>45931</v>
      </c>
      <c r="E1393" t="s">
        <v>4124</v>
      </c>
      <c r="F1393" t="s">
        <v>4125</v>
      </c>
    </row>
    <row r="1394" spans="1:6">
      <c r="A1394" t="s">
        <v>5523</v>
      </c>
      <c r="B1394" t="s">
        <v>709</v>
      </c>
      <c r="C1394" t="s">
        <v>168</v>
      </c>
      <c r="D1394" s="1">
        <v>45919</v>
      </c>
      <c r="E1394" t="s">
        <v>4124</v>
      </c>
      <c r="F1394" t="s">
        <v>4137</v>
      </c>
    </row>
    <row r="1395" spans="1:6">
      <c r="A1395" t="s">
        <v>5524</v>
      </c>
      <c r="B1395" t="s">
        <v>711</v>
      </c>
      <c r="C1395" t="s">
        <v>27</v>
      </c>
      <c r="D1395" s="1">
        <v>45853</v>
      </c>
      <c r="E1395" t="s">
        <v>4127</v>
      </c>
      <c r="F1395" t="s">
        <v>4125</v>
      </c>
    </row>
    <row r="1396" spans="1:6">
      <c r="A1396" t="s">
        <v>5525</v>
      </c>
      <c r="B1396" t="s">
        <v>711</v>
      </c>
      <c r="C1396" t="s">
        <v>27</v>
      </c>
      <c r="D1396" s="1">
        <v>45838</v>
      </c>
      <c r="E1396" t="s">
        <v>4133</v>
      </c>
      <c r="F1396" t="s">
        <v>4125</v>
      </c>
    </row>
    <row r="1397" spans="1:6">
      <c r="A1397" t="s">
        <v>5526</v>
      </c>
      <c r="B1397" t="s">
        <v>711</v>
      </c>
      <c r="C1397" t="s">
        <v>27</v>
      </c>
      <c r="D1397" s="1">
        <v>45853</v>
      </c>
      <c r="E1397" t="s">
        <v>4127</v>
      </c>
      <c r="F1397" t="s">
        <v>4137</v>
      </c>
    </row>
    <row r="1398" spans="1:6">
      <c r="A1398" t="s">
        <v>5527</v>
      </c>
      <c r="B1398" t="s">
        <v>711</v>
      </c>
      <c r="C1398" t="s">
        <v>27</v>
      </c>
      <c r="D1398" s="1">
        <v>45858</v>
      </c>
      <c r="E1398" t="s">
        <v>4127</v>
      </c>
      <c r="F1398" t="s">
        <v>4137</v>
      </c>
    </row>
    <row r="1399" spans="1:6">
      <c r="A1399" t="s">
        <v>5528</v>
      </c>
      <c r="B1399" t="s">
        <v>711</v>
      </c>
      <c r="C1399" t="s">
        <v>27</v>
      </c>
      <c r="D1399" s="1">
        <v>45853</v>
      </c>
      <c r="E1399" t="s">
        <v>4133</v>
      </c>
      <c r="F1399" t="s">
        <v>4125</v>
      </c>
    </row>
    <row r="1400" spans="1:6">
      <c r="A1400" t="s">
        <v>5529</v>
      </c>
      <c r="B1400" t="s">
        <v>712</v>
      </c>
      <c r="C1400" t="s">
        <v>152</v>
      </c>
      <c r="D1400" s="1">
        <v>46014</v>
      </c>
      <c r="E1400" t="s">
        <v>4127</v>
      </c>
      <c r="F1400" t="s">
        <v>4137</v>
      </c>
    </row>
    <row r="1401" spans="1:6">
      <c r="A1401" t="s">
        <v>5530</v>
      </c>
      <c r="B1401" t="s">
        <v>712</v>
      </c>
      <c r="C1401" t="s">
        <v>152</v>
      </c>
      <c r="D1401" s="1">
        <v>46016</v>
      </c>
      <c r="E1401" t="s">
        <v>4129</v>
      </c>
      <c r="F1401" t="s">
        <v>4139</v>
      </c>
    </row>
    <row r="1402" spans="1:6">
      <c r="A1402" t="s">
        <v>5531</v>
      </c>
      <c r="B1402" t="s">
        <v>712</v>
      </c>
      <c r="C1402" t="s">
        <v>152</v>
      </c>
      <c r="D1402" s="1">
        <v>46021</v>
      </c>
      <c r="E1402" t="s">
        <v>4124</v>
      </c>
      <c r="F1402" t="s">
        <v>4137</v>
      </c>
    </row>
    <row r="1403" spans="1:6">
      <c r="A1403" t="s">
        <v>5532</v>
      </c>
      <c r="B1403" t="s">
        <v>712</v>
      </c>
      <c r="C1403" t="s">
        <v>152</v>
      </c>
      <c r="D1403" s="1">
        <v>46016</v>
      </c>
      <c r="E1403" t="s">
        <v>4135</v>
      </c>
      <c r="F1403" t="s">
        <v>4139</v>
      </c>
    </row>
    <row r="1404" spans="1:6">
      <c r="A1404" t="s">
        <v>5533</v>
      </c>
      <c r="B1404" t="s">
        <v>714</v>
      </c>
      <c r="C1404" t="s">
        <v>78</v>
      </c>
      <c r="D1404" s="1">
        <v>46001</v>
      </c>
      <c r="E1404" t="s">
        <v>4133</v>
      </c>
      <c r="F1404" t="s">
        <v>4139</v>
      </c>
    </row>
    <row r="1405" spans="1:6">
      <c r="A1405" t="s">
        <v>5534</v>
      </c>
      <c r="B1405" t="s">
        <v>714</v>
      </c>
      <c r="C1405" t="s">
        <v>78</v>
      </c>
      <c r="D1405" s="1">
        <v>46013</v>
      </c>
      <c r="E1405" t="s">
        <v>4124</v>
      </c>
      <c r="F1405" t="s">
        <v>4139</v>
      </c>
    </row>
    <row r="1406" spans="1:6">
      <c r="A1406" t="s">
        <v>5535</v>
      </c>
      <c r="B1406" t="s">
        <v>714</v>
      </c>
      <c r="C1406" t="s">
        <v>78</v>
      </c>
      <c r="D1406" s="1">
        <v>45994</v>
      </c>
      <c r="E1406" t="s">
        <v>4133</v>
      </c>
      <c r="F1406" t="s">
        <v>4125</v>
      </c>
    </row>
    <row r="1407" spans="1:6">
      <c r="A1407" t="s">
        <v>5536</v>
      </c>
      <c r="B1407" t="s">
        <v>714</v>
      </c>
      <c r="C1407" t="s">
        <v>78</v>
      </c>
      <c r="D1407" s="1">
        <v>46012</v>
      </c>
      <c r="E1407" t="s">
        <v>4129</v>
      </c>
      <c r="F1407" t="s">
        <v>4137</v>
      </c>
    </row>
    <row r="1408" spans="1:6">
      <c r="A1408" t="s">
        <v>5537</v>
      </c>
      <c r="B1408" t="s">
        <v>714</v>
      </c>
      <c r="C1408" t="s">
        <v>78</v>
      </c>
      <c r="D1408" s="1">
        <v>46000</v>
      </c>
      <c r="E1408" t="s">
        <v>4124</v>
      </c>
      <c r="F1408" t="s">
        <v>4139</v>
      </c>
    </row>
    <row r="1409" spans="1:6">
      <c r="A1409" t="s">
        <v>5538</v>
      </c>
      <c r="B1409" t="s">
        <v>715</v>
      </c>
      <c r="C1409" t="s">
        <v>78</v>
      </c>
      <c r="D1409" s="1">
        <v>45896</v>
      </c>
      <c r="E1409" t="s">
        <v>4124</v>
      </c>
      <c r="F1409" t="s">
        <v>4137</v>
      </c>
    </row>
    <row r="1410" spans="1:6">
      <c r="A1410" t="s">
        <v>5539</v>
      </c>
      <c r="B1410" t="s">
        <v>715</v>
      </c>
      <c r="C1410" t="s">
        <v>78</v>
      </c>
      <c r="D1410" s="1">
        <v>45862</v>
      </c>
      <c r="E1410" t="s">
        <v>4133</v>
      </c>
      <c r="F1410" t="s">
        <v>4139</v>
      </c>
    </row>
    <row r="1411" spans="1:6">
      <c r="A1411" t="s">
        <v>5540</v>
      </c>
      <c r="B1411" t="s">
        <v>715</v>
      </c>
      <c r="C1411" t="s">
        <v>78</v>
      </c>
      <c r="D1411" s="1">
        <v>45871</v>
      </c>
      <c r="E1411" t="s">
        <v>4133</v>
      </c>
      <c r="F1411" t="s">
        <v>4137</v>
      </c>
    </row>
    <row r="1412" spans="1:6">
      <c r="A1412" t="s">
        <v>5541</v>
      </c>
      <c r="B1412" t="s">
        <v>715</v>
      </c>
      <c r="C1412" t="s">
        <v>78</v>
      </c>
      <c r="D1412" s="1">
        <v>45943</v>
      </c>
      <c r="E1412" t="s">
        <v>4129</v>
      </c>
      <c r="F1412" t="s">
        <v>4139</v>
      </c>
    </row>
    <row r="1413" spans="1:6">
      <c r="A1413" t="s">
        <v>5542</v>
      </c>
      <c r="B1413" t="s">
        <v>715</v>
      </c>
      <c r="C1413" t="s">
        <v>78</v>
      </c>
      <c r="D1413" s="1">
        <v>45863</v>
      </c>
      <c r="E1413" t="s">
        <v>4129</v>
      </c>
      <c r="F1413" t="s">
        <v>4125</v>
      </c>
    </row>
    <row r="1414" spans="1:6">
      <c r="A1414" t="s">
        <v>5543</v>
      </c>
      <c r="B1414" t="s">
        <v>717</v>
      </c>
      <c r="C1414" t="s">
        <v>16</v>
      </c>
      <c r="D1414" s="1">
        <v>46017</v>
      </c>
      <c r="E1414" t="s">
        <v>4129</v>
      </c>
      <c r="F1414" t="s">
        <v>4139</v>
      </c>
    </row>
    <row r="1415" spans="1:6">
      <c r="A1415" t="s">
        <v>5544</v>
      </c>
      <c r="B1415" t="s">
        <v>717</v>
      </c>
      <c r="C1415" t="s">
        <v>16</v>
      </c>
      <c r="D1415" s="1">
        <v>46014</v>
      </c>
      <c r="E1415" t="s">
        <v>4127</v>
      </c>
      <c r="F1415" t="s">
        <v>4139</v>
      </c>
    </row>
    <row r="1416" spans="1:6">
      <c r="A1416" t="s">
        <v>5545</v>
      </c>
      <c r="B1416" t="s">
        <v>717</v>
      </c>
      <c r="C1416" t="s">
        <v>16</v>
      </c>
      <c r="D1416" s="1">
        <v>46021</v>
      </c>
      <c r="E1416" t="s">
        <v>4135</v>
      </c>
      <c r="F1416" t="s">
        <v>4137</v>
      </c>
    </row>
    <row r="1417" spans="1:6">
      <c r="A1417" t="s">
        <v>5546</v>
      </c>
      <c r="B1417" t="s">
        <v>717</v>
      </c>
      <c r="C1417" t="s">
        <v>16</v>
      </c>
      <c r="D1417" s="1">
        <v>46013</v>
      </c>
      <c r="E1417" t="s">
        <v>4124</v>
      </c>
      <c r="F1417" t="s">
        <v>4125</v>
      </c>
    </row>
    <row r="1418" spans="1:6">
      <c r="A1418" t="s">
        <v>5547</v>
      </c>
      <c r="B1418" t="s">
        <v>717</v>
      </c>
      <c r="C1418" t="s">
        <v>16</v>
      </c>
      <c r="D1418" s="1">
        <v>46021</v>
      </c>
      <c r="E1418" t="s">
        <v>4129</v>
      </c>
      <c r="F1418" t="s">
        <v>4137</v>
      </c>
    </row>
    <row r="1419" spans="1:6">
      <c r="A1419" t="s">
        <v>5548</v>
      </c>
      <c r="B1419" t="s">
        <v>718</v>
      </c>
      <c r="C1419" t="s">
        <v>50</v>
      </c>
      <c r="D1419" s="1">
        <v>45933</v>
      </c>
      <c r="E1419" t="s">
        <v>4129</v>
      </c>
      <c r="F1419" t="s">
        <v>4137</v>
      </c>
    </row>
    <row r="1420" spans="1:6">
      <c r="A1420" t="s">
        <v>5549</v>
      </c>
      <c r="B1420" t="s">
        <v>718</v>
      </c>
      <c r="C1420" t="s">
        <v>50</v>
      </c>
      <c r="D1420" s="1">
        <v>45943</v>
      </c>
      <c r="E1420" t="s">
        <v>4133</v>
      </c>
      <c r="F1420" t="s">
        <v>4139</v>
      </c>
    </row>
    <row r="1421" spans="1:6">
      <c r="A1421" t="s">
        <v>5550</v>
      </c>
      <c r="B1421" t="s">
        <v>718</v>
      </c>
      <c r="C1421" t="s">
        <v>50</v>
      </c>
      <c r="D1421" s="1">
        <v>45937</v>
      </c>
      <c r="E1421" t="s">
        <v>4129</v>
      </c>
      <c r="F1421" t="s">
        <v>4139</v>
      </c>
    </row>
    <row r="1422" spans="1:6">
      <c r="A1422" t="s">
        <v>5551</v>
      </c>
      <c r="B1422" t="s">
        <v>719</v>
      </c>
      <c r="C1422" t="s">
        <v>27</v>
      </c>
      <c r="D1422" s="1">
        <v>45953</v>
      </c>
      <c r="E1422" t="s">
        <v>4135</v>
      </c>
      <c r="F1422" t="s">
        <v>4137</v>
      </c>
    </row>
    <row r="1423" spans="1:6">
      <c r="A1423" t="s">
        <v>5552</v>
      </c>
      <c r="B1423" t="s">
        <v>719</v>
      </c>
      <c r="C1423" t="s">
        <v>27</v>
      </c>
      <c r="D1423" s="1">
        <v>45955</v>
      </c>
      <c r="E1423" t="s">
        <v>4133</v>
      </c>
      <c r="F1423" t="s">
        <v>4139</v>
      </c>
    </row>
    <row r="1424" spans="1:6">
      <c r="A1424" t="s">
        <v>5553</v>
      </c>
      <c r="B1424" t="s">
        <v>719</v>
      </c>
      <c r="C1424" t="s">
        <v>27</v>
      </c>
      <c r="D1424" s="1">
        <v>45949</v>
      </c>
      <c r="E1424" t="s">
        <v>4133</v>
      </c>
      <c r="F1424" t="s">
        <v>4125</v>
      </c>
    </row>
    <row r="1425" spans="1:6">
      <c r="A1425" t="s">
        <v>5554</v>
      </c>
      <c r="B1425" t="s">
        <v>719</v>
      </c>
      <c r="C1425" t="s">
        <v>27</v>
      </c>
      <c r="D1425" s="1">
        <v>45949</v>
      </c>
      <c r="E1425" t="s">
        <v>4129</v>
      </c>
      <c r="F1425" t="s">
        <v>4137</v>
      </c>
    </row>
    <row r="1426" spans="1:6">
      <c r="A1426" t="s">
        <v>5555</v>
      </c>
      <c r="B1426" t="s">
        <v>720</v>
      </c>
      <c r="C1426" t="s">
        <v>36</v>
      </c>
      <c r="D1426" s="1">
        <v>46013</v>
      </c>
      <c r="E1426" t="s">
        <v>4135</v>
      </c>
      <c r="F1426" t="s">
        <v>4139</v>
      </c>
    </row>
    <row r="1427" spans="1:6">
      <c r="A1427" t="s">
        <v>5556</v>
      </c>
      <c r="B1427" t="s">
        <v>720</v>
      </c>
      <c r="C1427" t="s">
        <v>36</v>
      </c>
      <c r="D1427" s="1">
        <v>46016</v>
      </c>
      <c r="E1427" t="s">
        <v>4135</v>
      </c>
      <c r="F1427" t="s">
        <v>4137</v>
      </c>
    </row>
    <row r="1428" spans="1:6">
      <c r="A1428" t="s">
        <v>5557</v>
      </c>
      <c r="B1428" t="s">
        <v>721</v>
      </c>
      <c r="C1428" t="s">
        <v>168</v>
      </c>
      <c r="D1428" s="1">
        <v>45970</v>
      </c>
      <c r="E1428" t="s">
        <v>4129</v>
      </c>
      <c r="F1428" t="s">
        <v>4137</v>
      </c>
    </row>
    <row r="1429" spans="1:6">
      <c r="A1429" t="s">
        <v>5558</v>
      </c>
      <c r="B1429" t="s">
        <v>721</v>
      </c>
      <c r="C1429" t="s">
        <v>168</v>
      </c>
      <c r="D1429" s="1">
        <v>45982</v>
      </c>
      <c r="E1429" t="s">
        <v>4124</v>
      </c>
      <c r="F1429" t="s">
        <v>4125</v>
      </c>
    </row>
    <row r="1430" spans="1:6">
      <c r="A1430" t="s">
        <v>5559</v>
      </c>
      <c r="B1430" t="s">
        <v>721</v>
      </c>
      <c r="C1430" t="s">
        <v>168</v>
      </c>
      <c r="D1430" s="1">
        <v>45976</v>
      </c>
      <c r="E1430" t="s">
        <v>4124</v>
      </c>
      <c r="F1430" t="s">
        <v>4137</v>
      </c>
    </row>
    <row r="1431" spans="1:6">
      <c r="A1431" t="s">
        <v>5560</v>
      </c>
      <c r="B1431" t="s">
        <v>721</v>
      </c>
      <c r="C1431" t="s">
        <v>168</v>
      </c>
      <c r="D1431" s="1">
        <v>45971</v>
      </c>
      <c r="E1431" t="s">
        <v>4127</v>
      </c>
      <c r="F1431" t="s">
        <v>4125</v>
      </c>
    </row>
    <row r="1432" spans="1:6">
      <c r="A1432" t="s">
        <v>5561</v>
      </c>
      <c r="B1432" t="s">
        <v>721</v>
      </c>
      <c r="C1432" t="s">
        <v>168</v>
      </c>
      <c r="D1432" s="1">
        <v>45993</v>
      </c>
      <c r="E1432" t="s">
        <v>4135</v>
      </c>
      <c r="F1432" t="s">
        <v>4125</v>
      </c>
    </row>
    <row r="1433" spans="1:6">
      <c r="A1433" t="s">
        <v>5562</v>
      </c>
      <c r="B1433" t="s">
        <v>722</v>
      </c>
      <c r="C1433" t="s">
        <v>40</v>
      </c>
      <c r="D1433" s="1">
        <v>46002</v>
      </c>
      <c r="E1433" t="s">
        <v>4124</v>
      </c>
      <c r="F1433" t="s">
        <v>4137</v>
      </c>
    </row>
    <row r="1434" spans="1:6">
      <c r="A1434" t="s">
        <v>5563</v>
      </c>
      <c r="B1434" t="s">
        <v>722</v>
      </c>
      <c r="C1434" t="s">
        <v>40</v>
      </c>
      <c r="D1434" s="1">
        <v>45983</v>
      </c>
      <c r="E1434" t="s">
        <v>4129</v>
      </c>
      <c r="F1434" t="s">
        <v>4139</v>
      </c>
    </row>
    <row r="1435" spans="1:6">
      <c r="A1435" t="s">
        <v>5564</v>
      </c>
      <c r="B1435" t="s">
        <v>722</v>
      </c>
      <c r="C1435" t="s">
        <v>40</v>
      </c>
      <c r="D1435" s="1">
        <v>45986</v>
      </c>
      <c r="E1435" t="s">
        <v>4127</v>
      </c>
      <c r="F1435" t="s">
        <v>4139</v>
      </c>
    </row>
    <row r="1436" spans="1:6">
      <c r="A1436" t="s">
        <v>5565</v>
      </c>
      <c r="B1436" t="s">
        <v>724</v>
      </c>
      <c r="C1436" t="s">
        <v>119</v>
      </c>
      <c r="D1436" s="1">
        <v>45873</v>
      </c>
      <c r="E1436" t="s">
        <v>4127</v>
      </c>
      <c r="F1436" t="s">
        <v>4139</v>
      </c>
    </row>
    <row r="1437" spans="1:6">
      <c r="A1437" t="s">
        <v>5566</v>
      </c>
      <c r="B1437" t="s">
        <v>724</v>
      </c>
      <c r="C1437" t="s">
        <v>119</v>
      </c>
      <c r="D1437" s="1">
        <v>45869</v>
      </c>
      <c r="E1437" t="s">
        <v>4124</v>
      </c>
      <c r="F1437" t="s">
        <v>4139</v>
      </c>
    </row>
    <row r="1438" spans="1:6">
      <c r="A1438" t="s">
        <v>5567</v>
      </c>
      <c r="B1438" t="s">
        <v>724</v>
      </c>
      <c r="C1438" t="s">
        <v>119</v>
      </c>
      <c r="D1438" s="1">
        <v>45878</v>
      </c>
      <c r="E1438" t="s">
        <v>4133</v>
      </c>
      <c r="F1438" t="s">
        <v>4139</v>
      </c>
    </row>
    <row r="1439" spans="1:6">
      <c r="A1439" t="s">
        <v>5568</v>
      </c>
      <c r="B1439" t="s">
        <v>725</v>
      </c>
      <c r="C1439" t="s">
        <v>40</v>
      </c>
      <c r="D1439" s="1">
        <v>45993</v>
      </c>
      <c r="E1439" t="s">
        <v>4129</v>
      </c>
      <c r="F1439" t="s">
        <v>4139</v>
      </c>
    </row>
    <row r="1440" spans="1:6">
      <c r="A1440" t="s">
        <v>5569</v>
      </c>
      <c r="B1440" t="s">
        <v>725</v>
      </c>
      <c r="C1440" t="s">
        <v>40</v>
      </c>
      <c r="D1440" s="1">
        <v>45965</v>
      </c>
      <c r="E1440" t="s">
        <v>4135</v>
      </c>
      <c r="F1440" t="s">
        <v>4137</v>
      </c>
    </row>
    <row r="1441" spans="1:6">
      <c r="A1441" t="s">
        <v>5570</v>
      </c>
      <c r="B1441" t="s">
        <v>725</v>
      </c>
      <c r="C1441" t="s">
        <v>40</v>
      </c>
      <c r="D1441" s="1">
        <v>46008</v>
      </c>
      <c r="E1441" t="s">
        <v>4135</v>
      </c>
      <c r="F1441" t="s">
        <v>4137</v>
      </c>
    </row>
    <row r="1442" spans="1:6">
      <c r="A1442" t="s">
        <v>5571</v>
      </c>
      <c r="B1442" t="s">
        <v>725</v>
      </c>
      <c r="C1442" t="s">
        <v>40</v>
      </c>
      <c r="D1442" s="1">
        <v>46010</v>
      </c>
      <c r="E1442" t="s">
        <v>4124</v>
      </c>
      <c r="F1442" t="s">
        <v>4125</v>
      </c>
    </row>
    <row r="1443" spans="1:6">
      <c r="A1443" t="s">
        <v>5572</v>
      </c>
      <c r="B1443" t="s">
        <v>726</v>
      </c>
      <c r="C1443" t="s">
        <v>70</v>
      </c>
      <c r="D1443" s="1">
        <v>46009</v>
      </c>
      <c r="E1443" t="s">
        <v>4127</v>
      </c>
      <c r="F1443" t="s">
        <v>4125</v>
      </c>
    </row>
    <row r="1444" spans="1:6">
      <c r="A1444" t="s">
        <v>5573</v>
      </c>
      <c r="B1444" t="s">
        <v>726</v>
      </c>
      <c r="C1444" t="s">
        <v>70</v>
      </c>
      <c r="D1444" s="1">
        <v>46021</v>
      </c>
      <c r="E1444" t="s">
        <v>4135</v>
      </c>
      <c r="F1444" t="s">
        <v>4125</v>
      </c>
    </row>
    <row r="1445" spans="1:6">
      <c r="A1445" t="s">
        <v>5574</v>
      </c>
      <c r="B1445" t="s">
        <v>726</v>
      </c>
      <c r="C1445" t="s">
        <v>70</v>
      </c>
      <c r="D1445" s="1">
        <v>46018</v>
      </c>
      <c r="E1445" t="s">
        <v>4124</v>
      </c>
      <c r="F1445" t="s">
        <v>4125</v>
      </c>
    </row>
    <row r="1446" spans="1:6">
      <c r="A1446" t="s">
        <v>5575</v>
      </c>
      <c r="B1446" t="s">
        <v>726</v>
      </c>
      <c r="C1446" t="s">
        <v>70</v>
      </c>
      <c r="D1446" s="1">
        <v>46016</v>
      </c>
      <c r="E1446" t="s">
        <v>4135</v>
      </c>
      <c r="F1446" t="s">
        <v>4137</v>
      </c>
    </row>
    <row r="1447" spans="1:6">
      <c r="A1447" t="s">
        <v>5576</v>
      </c>
      <c r="B1447" t="s">
        <v>728</v>
      </c>
      <c r="C1447" t="s">
        <v>50</v>
      </c>
      <c r="D1447" s="1">
        <v>45864</v>
      </c>
      <c r="E1447" t="s">
        <v>4127</v>
      </c>
      <c r="F1447" t="s">
        <v>4137</v>
      </c>
    </row>
    <row r="1448" spans="1:6">
      <c r="A1448" t="s">
        <v>5577</v>
      </c>
      <c r="B1448" t="s">
        <v>728</v>
      </c>
      <c r="C1448" t="s">
        <v>50</v>
      </c>
      <c r="D1448" s="1">
        <v>45853</v>
      </c>
      <c r="E1448" t="s">
        <v>4127</v>
      </c>
      <c r="F1448" t="s">
        <v>4139</v>
      </c>
    </row>
    <row r="1449" spans="1:6">
      <c r="A1449" t="s">
        <v>5578</v>
      </c>
      <c r="B1449" t="s">
        <v>730</v>
      </c>
      <c r="C1449" t="s">
        <v>70</v>
      </c>
      <c r="D1449" s="1">
        <v>45797</v>
      </c>
      <c r="E1449" t="s">
        <v>4124</v>
      </c>
      <c r="F1449" t="s">
        <v>4139</v>
      </c>
    </row>
    <row r="1450" spans="1:6">
      <c r="A1450" t="s">
        <v>5579</v>
      </c>
      <c r="B1450" t="s">
        <v>730</v>
      </c>
      <c r="C1450" t="s">
        <v>70</v>
      </c>
      <c r="D1450" s="1">
        <v>45793</v>
      </c>
      <c r="E1450" t="s">
        <v>4129</v>
      </c>
      <c r="F1450" t="s">
        <v>4125</v>
      </c>
    </row>
    <row r="1451" spans="1:6">
      <c r="A1451" t="s">
        <v>5580</v>
      </c>
      <c r="B1451" t="s">
        <v>730</v>
      </c>
      <c r="C1451" t="s">
        <v>70</v>
      </c>
      <c r="D1451" s="1">
        <v>45784</v>
      </c>
      <c r="E1451" t="s">
        <v>4124</v>
      </c>
      <c r="F1451" t="s">
        <v>4137</v>
      </c>
    </row>
    <row r="1452" spans="1:6">
      <c r="A1452" t="s">
        <v>5581</v>
      </c>
      <c r="B1452" t="s">
        <v>730</v>
      </c>
      <c r="C1452" t="s">
        <v>70</v>
      </c>
      <c r="D1452" s="1">
        <v>45796</v>
      </c>
      <c r="E1452" t="s">
        <v>4129</v>
      </c>
      <c r="F1452" t="s">
        <v>4125</v>
      </c>
    </row>
    <row r="1453" spans="1:6">
      <c r="A1453" t="s">
        <v>5582</v>
      </c>
      <c r="B1453" t="s">
        <v>731</v>
      </c>
      <c r="C1453" t="s">
        <v>53</v>
      </c>
      <c r="D1453" s="1">
        <v>45973</v>
      </c>
      <c r="E1453" t="s">
        <v>4129</v>
      </c>
      <c r="F1453" t="s">
        <v>4137</v>
      </c>
    </row>
    <row r="1454" spans="1:6">
      <c r="A1454" t="s">
        <v>5583</v>
      </c>
      <c r="B1454" t="s">
        <v>731</v>
      </c>
      <c r="C1454" t="s">
        <v>53</v>
      </c>
      <c r="D1454" s="1">
        <v>45975</v>
      </c>
      <c r="E1454" t="s">
        <v>4129</v>
      </c>
      <c r="F1454" t="s">
        <v>4139</v>
      </c>
    </row>
    <row r="1455" spans="1:6">
      <c r="A1455" t="s">
        <v>5584</v>
      </c>
      <c r="B1455" t="s">
        <v>731</v>
      </c>
      <c r="C1455" t="s">
        <v>53</v>
      </c>
      <c r="D1455" s="1">
        <v>45975</v>
      </c>
      <c r="E1455" t="s">
        <v>4133</v>
      </c>
      <c r="F1455" t="s">
        <v>4137</v>
      </c>
    </row>
    <row r="1456" spans="1:6">
      <c r="A1456" t="s">
        <v>5585</v>
      </c>
      <c r="B1456" t="s">
        <v>732</v>
      </c>
      <c r="C1456" t="s">
        <v>63</v>
      </c>
      <c r="D1456" s="1">
        <v>45845</v>
      </c>
      <c r="E1456" t="s">
        <v>4127</v>
      </c>
      <c r="F1456" t="s">
        <v>4125</v>
      </c>
    </row>
    <row r="1457" spans="1:6">
      <c r="A1457" t="s">
        <v>5586</v>
      </c>
      <c r="B1457" t="s">
        <v>732</v>
      </c>
      <c r="C1457" t="s">
        <v>63</v>
      </c>
      <c r="D1457" s="1">
        <v>45853</v>
      </c>
      <c r="E1457" t="s">
        <v>4129</v>
      </c>
      <c r="F1457" t="s">
        <v>4139</v>
      </c>
    </row>
    <row r="1458" spans="1:6">
      <c r="A1458" t="s">
        <v>5587</v>
      </c>
      <c r="B1458" t="s">
        <v>732</v>
      </c>
      <c r="C1458" t="s">
        <v>63</v>
      </c>
      <c r="D1458" s="1">
        <v>45856</v>
      </c>
      <c r="E1458" t="s">
        <v>4127</v>
      </c>
      <c r="F1458" t="s">
        <v>4137</v>
      </c>
    </row>
    <row r="1459" spans="1:6">
      <c r="A1459" t="s">
        <v>5588</v>
      </c>
      <c r="B1459" t="s">
        <v>732</v>
      </c>
      <c r="C1459" t="s">
        <v>63</v>
      </c>
      <c r="D1459" s="1">
        <v>45856</v>
      </c>
      <c r="E1459" t="s">
        <v>4127</v>
      </c>
      <c r="F1459" t="s">
        <v>4139</v>
      </c>
    </row>
    <row r="1460" spans="1:6">
      <c r="A1460" t="s">
        <v>5589</v>
      </c>
      <c r="B1460" t="s">
        <v>733</v>
      </c>
      <c r="C1460" t="s">
        <v>119</v>
      </c>
      <c r="D1460" s="1">
        <v>45862</v>
      </c>
      <c r="E1460" t="s">
        <v>4127</v>
      </c>
      <c r="F1460" t="s">
        <v>4139</v>
      </c>
    </row>
    <row r="1461" spans="1:6">
      <c r="A1461" t="s">
        <v>5590</v>
      </c>
      <c r="B1461" t="s">
        <v>733</v>
      </c>
      <c r="C1461" t="s">
        <v>119</v>
      </c>
      <c r="D1461" s="1">
        <v>45898</v>
      </c>
      <c r="E1461" t="s">
        <v>4124</v>
      </c>
      <c r="F1461" t="s">
        <v>4137</v>
      </c>
    </row>
    <row r="1462" spans="1:6">
      <c r="A1462" t="s">
        <v>5591</v>
      </c>
      <c r="B1462" t="s">
        <v>733</v>
      </c>
      <c r="C1462" t="s">
        <v>119</v>
      </c>
      <c r="D1462" s="1">
        <v>45878</v>
      </c>
      <c r="E1462" t="s">
        <v>4127</v>
      </c>
      <c r="F1462" t="s">
        <v>4139</v>
      </c>
    </row>
    <row r="1463" spans="1:6">
      <c r="A1463" t="s">
        <v>5592</v>
      </c>
      <c r="B1463" t="s">
        <v>733</v>
      </c>
      <c r="C1463" t="s">
        <v>119</v>
      </c>
      <c r="D1463" s="1">
        <v>45859</v>
      </c>
      <c r="E1463" t="s">
        <v>4127</v>
      </c>
      <c r="F1463" t="s">
        <v>4125</v>
      </c>
    </row>
    <row r="1464" spans="1:6">
      <c r="A1464" t="s">
        <v>5593</v>
      </c>
      <c r="B1464" t="s">
        <v>733</v>
      </c>
      <c r="C1464" t="s">
        <v>119</v>
      </c>
      <c r="D1464" s="1">
        <v>45870</v>
      </c>
      <c r="E1464" t="s">
        <v>4124</v>
      </c>
      <c r="F1464" t="s">
        <v>4137</v>
      </c>
    </row>
    <row r="1465" spans="1:6">
      <c r="A1465" t="s">
        <v>5594</v>
      </c>
      <c r="B1465" t="s">
        <v>734</v>
      </c>
      <c r="C1465" t="s">
        <v>32</v>
      </c>
      <c r="D1465" s="1">
        <v>45971</v>
      </c>
      <c r="E1465" t="s">
        <v>4133</v>
      </c>
      <c r="F1465" t="s">
        <v>4139</v>
      </c>
    </row>
    <row r="1466" spans="1:6">
      <c r="A1466" t="s">
        <v>5595</v>
      </c>
      <c r="B1466" t="s">
        <v>734</v>
      </c>
      <c r="C1466" t="s">
        <v>32</v>
      </c>
      <c r="D1466" s="1">
        <v>45941</v>
      </c>
      <c r="E1466" t="s">
        <v>4135</v>
      </c>
      <c r="F1466" t="s">
        <v>4137</v>
      </c>
    </row>
    <row r="1467" spans="1:6">
      <c r="A1467" t="s">
        <v>5596</v>
      </c>
      <c r="B1467" t="s">
        <v>735</v>
      </c>
      <c r="C1467" t="s">
        <v>152</v>
      </c>
      <c r="D1467" s="1">
        <v>45849</v>
      </c>
      <c r="E1467" t="s">
        <v>4135</v>
      </c>
      <c r="F1467" t="s">
        <v>4137</v>
      </c>
    </row>
    <row r="1468" spans="1:6">
      <c r="A1468" t="s">
        <v>5597</v>
      </c>
      <c r="B1468" t="s">
        <v>735</v>
      </c>
      <c r="C1468" t="s">
        <v>152</v>
      </c>
      <c r="D1468" s="1">
        <v>45867</v>
      </c>
      <c r="E1468" t="s">
        <v>4124</v>
      </c>
      <c r="F1468" t="s">
        <v>4139</v>
      </c>
    </row>
    <row r="1469" spans="1:6">
      <c r="A1469" t="s">
        <v>5598</v>
      </c>
      <c r="B1469" t="s">
        <v>735</v>
      </c>
      <c r="C1469" t="s">
        <v>152</v>
      </c>
      <c r="D1469" s="1">
        <v>45855</v>
      </c>
      <c r="E1469" t="s">
        <v>4135</v>
      </c>
      <c r="F1469" t="s">
        <v>4139</v>
      </c>
    </row>
    <row r="1470" spans="1:6">
      <c r="A1470" t="s">
        <v>5599</v>
      </c>
      <c r="B1470" t="s">
        <v>735</v>
      </c>
      <c r="C1470" t="s">
        <v>152</v>
      </c>
      <c r="D1470" s="1">
        <v>45850</v>
      </c>
      <c r="E1470" t="s">
        <v>4127</v>
      </c>
      <c r="F1470" t="s">
        <v>4139</v>
      </c>
    </row>
    <row r="1471" spans="1:6">
      <c r="A1471" t="s">
        <v>5600</v>
      </c>
      <c r="B1471" t="s">
        <v>735</v>
      </c>
      <c r="C1471" t="s">
        <v>152</v>
      </c>
      <c r="D1471" s="1">
        <v>45848</v>
      </c>
      <c r="E1471" t="s">
        <v>4124</v>
      </c>
      <c r="F1471" t="s">
        <v>4137</v>
      </c>
    </row>
    <row r="1472" spans="1:6">
      <c r="A1472" t="s">
        <v>5601</v>
      </c>
      <c r="B1472" t="s">
        <v>736</v>
      </c>
      <c r="C1472" t="s">
        <v>46</v>
      </c>
      <c r="D1472" s="1">
        <v>45756</v>
      </c>
      <c r="E1472" t="s">
        <v>4127</v>
      </c>
      <c r="F1472" t="s">
        <v>4137</v>
      </c>
    </row>
    <row r="1473" spans="1:6">
      <c r="A1473" t="s">
        <v>5602</v>
      </c>
      <c r="B1473" t="s">
        <v>736</v>
      </c>
      <c r="C1473" t="s">
        <v>46</v>
      </c>
      <c r="D1473" s="1">
        <v>45804</v>
      </c>
      <c r="E1473" t="s">
        <v>4124</v>
      </c>
      <c r="F1473" t="s">
        <v>4139</v>
      </c>
    </row>
    <row r="1474" spans="1:6">
      <c r="A1474" t="s">
        <v>5603</v>
      </c>
      <c r="B1474" t="s">
        <v>736</v>
      </c>
      <c r="C1474" t="s">
        <v>46</v>
      </c>
      <c r="D1474" s="1">
        <v>45754</v>
      </c>
      <c r="E1474" t="s">
        <v>4133</v>
      </c>
      <c r="F1474" t="s">
        <v>4139</v>
      </c>
    </row>
    <row r="1475" spans="1:6">
      <c r="A1475" t="s">
        <v>5604</v>
      </c>
      <c r="B1475" t="s">
        <v>736</v>
      </c>
      <c r="C1475" t="s">
        <v>46</v>
      </c>
      <c r="D1475" s="1">
        <v>45756</v>
      </c>
      <c r="E1475" t="s">
        <v>4135</v>
      </c>
      <c r="F1475" t="s">
        <v>4137</v>
      </c>
    </row>
    <row r="1476" spans="1:6">
      <c r="A1476" t="s">
        <v>5605</v>
      </c>
      <c r="B1476" t="s">
        <v>736</v>
      </c>
      <c r="C1476" t="s">
        <v>46</v>
      </c>
      <c r="D1476" s="1">
        <v>45804</v>
      </c>
      <c r="E1476" t="s">
        <v>4133</v>
      </c>
      <c r="F1476" t="s">
        <v>4125</v>
      </c>
    </row>
    <row r="1477" spans="1:6">
      <c r="A1477" t="s">
        <v>5606</v>
      </c>
      <c r="B1477" t="s">
        <v>738</v>
      </c>
      <c r="C1477" t="s">
        <v>40</v>
      </c>
      <c r="D1477" s="1">
        <v>45884</v>
      </c>
      <c r="E1477" t="s">
        <v>4133</v>
      </c>
      <c r="F1477" t="s">
        <v>4137</v>
      </c>
    </row>
    <row r="1478" spans="1:6">
      <c r="A1478" t="s">
        <v>5607</v>
      </c>
      <c r="B1478" t="s">
        <v>738</v>
      </c>
      <c r="C1478" t="s">
        <v>40</v>
      </c>
      <c r="D1478" s="1">
        <v>45880</v>
      </c>
      <c r="E1478" t="s">
        <v>4129</v>
      </c>
      <c r="F1478" t="s">
        <v>4139</v>
      </c>
    </row>
    <row r="1479" spans="1:6">
      <c r="A1479" t="s">
        <v>5608</v>
      </c>
      <c r="B1479" t="s">
        <v>738</v>
      </c>
      <c r="C1479" t="s">
        <v>40</v>
      </c>
      <c r="D1479" s="1">
        <v>45885</v>
      </c>
      <c r="E1479" t="s">
        <v>4135</v>
      </c>
      <c r="F1479" t="s">
        <v>4139</v>
      </c>
    </row>
    <row r="1480" spans="1:6">
      <c r="A1480" t="s">
        <v>5609</v>
      </c>
      <c r="B1480" t="s">
        <v>738</v>
      </c>
      <c r="C1480" t="s">
        <v>40</v>
      </c>
      <c r="D1480" s="1">
        <v>45881</v>
      </c>
      <c r="E1480" t="s">
        <v>4133</v>
      </c>
      <c r="F1480" t="s">
        <v>4137</v>
      </c>
    </row>
    <row r="1481" spans="1:6">
      <c r="A1481" t="s">
        <v>5610</v>
      </c>
      <c r="B1481" t="s">
        <v>740</v>
      </c>
      <c r="C1481" t="s">
        <v>22</v>
      </c>
      <c r="D1481" s="1">
        <v>45766</v>
      </c>
      <c r="E1481" t="s">
        <v>4133</v>
      </c>
      <c r="F1481" t="s">
        <v>4139</v>
      </c>
    </row>
    <row r="1482" spans="1:6">
      <c r="A1482" t="s">
        <v>5611</v>
      </c>
      <c r="B1482" t="s">
        <v>740</v>
      </c>
      <c r="C1482" t="s">
        <v>22</v>
      </c>
      <c r="D1482" s="1">
        <v>45771</v>
      </c>
      <c r="E1482" t="s">
        <v>4133</v>
      </c>
      <c r="F1482" t="s">
        <v>4137</v>
      </c>
    </row>
    <row r="1483" spans="1:6">
      <c r="A1483" t="s">
        <v>5612</v>
      </c>
      <c r="B1483" t="s">
        <v>740</v>
      </c>
      <c r="C1483" t="s">
        <v>22</v>
      </c>
      <c r="D1483" s="1">
        <v>45765</v>
      </c>
      <c r="E1483" t="s">
        <v>4135</v>
      </c>
      <c r="F1483" t="s">
        <v>4137</v>
      </c>
    </row>
    <row r="1484" spans="1:6">
      <c r="A1484" t="s">
        <v>5613</v>
      </c>
      <c r="B1484" t="s">
        <v>742</v>
      </c>
      <c r="C1484" t="s">
        <v>78</v>
      </c>
      <c r="D1484" s="1">
        <v>45718</v>
      </c>
      <c r="E1484" t="s">
        <v>4127</v>
      </c>
      <c r="F1484" t="s">
        <v>4137</v>
      </c>
    </row>
    <row r="1485" spans="1:6">
      <c r="A1485" t="s">
        <v>5614</v>
      </c>
      <c r="B1485" t="s">
        <v>742</v>
      </c>
      <c r="C1485" t="s">
        <v>78</v>
      </c>
      <c r="D1485" s="1">
        <v>45734</v>
      </c>
      <c r="E1485" t="s">
        <v>4133</v>
      </c>
      <c r="F1485" t="s">
        <v>4125</v>
      </c>
    </row>
    <row r="1486" spans="1:6">
      <c r="A1486" t="s">
        <v>5615</v>
      </c>
      <c r="B1486" t="s">
        <v>742</v>
      </c>
      <c r="C1486" t="s">
        <v>78</v>
      </c>
      <c r="D1486" s="1">
        <v>45731</v>
      </c>
      <c r="E1486" t="s">
        <v>4133</v>
      </c>
      <c r="F1486" t="s">
        <v>4137</v>
      </c>
    </row>
    <row r="1487" spans="1:6">
      <c r="A1487" t="s">
        <v>5616</v>
      </c>
      <c r="B1487" t="s">
        <v>744</v>
      </c>
      <c r="C1487" t="s">
        <v>91</v>
      </c>
      <c r="D1487" s="1">
        <v>45803</v>
      </c>
      <c r="E1487" t="s">
        <v>4133</v>
      </c>
      <c r="F1487" t="s">
        <v>4139</v>
      </c>
    </row>
    <row r="1488" spans="1:6">
      <c r="A1488" t="s">
        <v>5617</v>
      </c>
      <c r="B1488" t="s">
        <v>744</v>
      </c>
      <c r="C1488" t="s">
        <v>91</v>
      </c>
      <c r="D1488" s="1">
        <v>45843</v>
      </c>
      <c r="E1488" t="s">
        <v>4127</v>
      </c>
      <c r="F1488" t="s">
        <v>4139</v>
      </c>
    </row>
    <row r="1489" spans="1:6">
      <c r="A1489" t="s">
        <v>5618</v>
      </c>
      <c r="B1489" t="s">
        <v>744</v>
      </c>
      <c r="C1489" t="s">
        <v>91</v>
      </c>
      <c r="D1489" s="1">
        <v>45819</v>
      </c>
      <c r="E1489" t="s">
        <v>4124</v>
      </c>
      <c r="F1489" t="s">
        <v>4137</v>
      </c>
    </row>
    <row r="1490" spans="1:6">
      <c r="A1490" t="s">
        <v>5619</v>
      </c>
      <c r="B1490" t="s">
        <v>746</v>
      </c>
      <c r="C1490" t="s">
        <v>53</v>
      </c>
      <c r="D1490" s="1">
        <v>45890</v>
      </c>
      <c r="E1490" t="s">
        <v>4133</v>
      </c>
      <c r="F1490" t="s">
        <v>4125</v>
      </c>
    </row>
    <row r="1491" spans="1:6">
      <c r="A1491" t="s">
        <v>5620</v>
      </c>
      <c r="B1491" t="s">
        <v>746</v>
      </c>
      <c r="C1491" t="s">
        <v>53</v>
      </c>
      <c r="D1491" s="1">
        <v>45894</v>
      </c>
      <c r="E1491" t="s">
        <v>4127</v>
      </c>
      <c r="F1491" t="s">
        <v>4137</v>
      </c>
    </row>
    <row r="1492" spans="1:6">
      <c r="A1492" t="s">
        <v>5621</v>
      </c>
      <c r="B1492" t="s">
        <v>747</v>
      </c>
      <c r="C1492" t="s">
        <v>56</v>
      </c>
      <c r="D1492" s="1">
        <v>45936</v>
      </c>
      <c r="E1492" t="s">
        <v>4129</v>
      </c>
      <c r="F1492" t="s">
        <v>4139</v>
      </c>
    </row>
    <row r="1493" spans="1:6">
      <c r="A1493" t="s">
        <v>5622</v>
      </c>
      <c r="B1493" t="s">
        <v>747</v>
      </c>
      <c r="C1493" t="s">
        <v>56</v>
      </c>
      <c r="D1493" s="1">
        <v>45930</v>
      </c>
      <c r="E1493" t="s">
        <v>4129</v>
      </c>
      <c r="F1493" t="s">
        <v>4125</v>
      </c>
    </row>
    <row r="1494" spans="1:6">
      <c r="A1494" t="s">
        <v>5623</v>
      </c>
      <c r="B1494" t="s">
        <v>748</v>
      </c>
      <c r="C1494" t="s">
        <v>126</v>
      </c>
      <c r="D1494" s="1">
        <v>46021</v>
      </c>
      <c r="E1494" t="s">
        <v>4135</v>
      </c>
      <c r="F1494" t="s">
        <v>4125</v>
      </c>
    </row>
    <row r="1495" spans="1:6">
      <c r="A1495" t="s">
        <v>5624</v>
      </c>
      <c r="B1495" t="s">
        <v>748</v>
      </c>
      <c r="C1495" t="s">
        <v>126</v>
      </c>
      <c r="D1495" s="1">
        <v>46019</v>
      </c>
      <c r="E1495" t="s">
        <v>4133</v>
      </c>
      <c r="F1495" t="s">
        <v>4139</v>
      </c>
    </row>
    <row r="1496" spans="1:6">
      <c r="A1496" t="s">
        <v>5625</v>
      </c>
      <c r="B1496" t="s">
        <v>748</v>
      </c>
      <c r="C1496" t="s">
        <v>126</v>
      </c>
      <c r="D1496" s="1">
        <v>46019</v>
      </c>
      <c r="E1496" t="s">
        <v>4124</v>
      </c>
      <c r="F1496" t="s">
        <v>4125</v>
      </c>
    </row>
    <row r="1497" spans="1:6">
      <c r="A1497" t="s">
        <v>5626</v>
      </c>
      <c r="B1497" t="s">
        <v>748</v>
      </c>
      <c r="C1497" t="s">
        <v>126</v>
      </c>
      <c r="D1497" s="1">
        <v>46020</v>
      </c>
      <c r="E1497" t="s">
        <v>4129</v>
      </c>
      <c r="F1497" t="s">
        <v>4137</v>
      </c>
    </row>
    <row r="1498" spans="1:6">
      <c r="A1498" t="s">
        <v>5627</v>
      </c>
      <c r="B1498" t="s">
        <v>750</v>
      </c>
      <c r="C1498" t="s">
        <v>22</v>
      </c>
      <c r="D1498" s="1">
        <v>45990</v>
      </c>
      <c r="E1498" t="s">
        <v>4129</v>
      </c>
      <c r="F1498" t="s">
        <v>4137</v>
      </c>
    </row>
    <row r="1499" spans="1:6">
      <c r="A1499" t="s">
        <v>5628</v>
      </c>
      <c r="B1499" t="s">
        <v>750</v>
      </c>
      <c r="C1499" t="s">
        <v>22</v>
      </c>
      <c r="D1499" s="1">
        <v>45988</v>
      </c>
      <c r="E1499" t="s">
        <v>4127</v>
      </c>
      <c r="F1499" t="s">
        <v>4139</v>
      </c>
    </row>
    <row r="1500" spans="1:6">
      <c r="A1500" t="s">
        <v>5629</v>
      </c>
      <c r="B1500" t="s">
        <v>751</v>
      </c>
      <c r="C1500" t="s">
        <v>46</v>
      </c>
      <c r="D1500" s="1">
        <v>46020</v>
      </c>
      <c r="E1500" t="s">
        <v>4129</v>
      </c>
      <c r="F1500" t="s">
        <v>4137</v>
      </c>
    </row>
    <row r="1501" spans="1:6">
      <c r="A1501" t="s">
        <v>5630</v>
      </c>
      <c r="B1501" t="s">
        <v>751</v>
      </c>
      <c r="C1501" t="s">
        <v>46</v>
      </c>
      <c r="D1501" s="1">
        <v>46021</v>
      </c>
      <c r="E1501" t="s">
        <v>4124</v>
      </c>
      <c r="F1501" t="s">
        <v>4137</v>
      </c>
    </row>
    <row r="1502" spans="1:6">
      <c r="A1502" t="s">
        <v>5631</v>
      </c>
      <c r="B1502" t="s">
        <v>751</v>
      </c>
      <c r="C1502" t="s">
        <v>46</v>
      </c>
      <c r="D1502" s="1">
        <v>46022</v>
      </c>
      <c r="E1502" t="s">
        <v>4127</v>
      </c>
      <c r="F1502" t="s">
        <v>4139</v>
      </c>
    </row>
    <row r="1503" spans="1:6">
      <c r="A1503" t="s">
        <v>5632</v>
      </c>
      <c r="B1503" t="s">
        <v>752</v>
      </c>
      <c r="C1503" t="s">
        <v>75</v>
      </c>
      <c r="D1503" s="1">
        <v>45953</v>
      </c>
      <c r="E1503" t="s">
        <v>4127</v>
      </c>
      <c r="F1503" t="s">
        <v>4125</v>
      </c>
    </row>
    <row r="1504" spans="1:6">
      <c r="A1504" t="s">
        <v>5633</v>
      </c>
      <c r="B1504" t="s">
        <v>752</v>
      </c>
      <c r="C1504" t="s">
        <v>75</v>
      </c>
      <c r="D1504" s="1">
        <v>45954</v>
      </c>
      <c r="E1504" t="s">
        <v>4129</v>
      </c>
      <c r="F1504" t="s">
        <v>4139</v>
      </c>
    </row>
    <row r="1505" spans="1:6">
      <c r="A1505" t="s">
        <v>5634</v>
      </c>
      <c r="B1505" t="s">
        <v>752</v>
      </c>
      <c r="C1505" t="s">
        <v>75</v>
      </c>
      <c r="D1505" s="1">
        <v>45952</v>
      </c>
      <c r="E1505" t="s">
        <v>4135</v>
      </c>
      <c r="F1505" t="s">
        <v>4139</v>
      </c>
    </row>
    <row r="1506" spans="1:6">
      <c r="A1506" t="s">
        <v>5635</v>
      </c>
      <c r="B1506" t="s">
        <v>752</v>
      </c>
      <c r="C1506" t="s">
        <v>75</v>
      </c>
      <c r="D1506" s="1">
        <v>45958</v>
      </c>
      <c r="E1506" t="s">
        <v>4135</v>
      </c>
      <c r="F1506" t="s">
        <v>4137</v>
      </c>
    </row>
    <row r="1507" spans="1:6">
      <c r="A1507" t="s">
        <v>5636</v>
      </c>
      <c r="B1507" t="s">
        <v>754</v>
      </c>
      <c r="C1507" t="s">
        <v>75</v>
      </c>
      <c r="D1507" s="1">
        <v>45800</v>
      </c>
      <c r="E1507" t="s">
        <v>4127</v>
      </c>
      <c r="F1507" t="s">
        <v>4125</v>
      </c>
    </row>
    <row r="1508" spans="1:6">
      <c r="A1508" t="s">
        <v>5637</v>
      </c>
      <c r="B1508" t="s">
        <v>754</v>
      </c>
      <c r="C1508" t="s">
        <v>75</v>
      </c>
      <c r="D1508" s="1">
        <v>45838</v>
      </c>
      <c r="E1508" t="s">
        <v>4127</v>
      </c>
      <c r="F1508" t="s">
        <v>4137</v>
      </c>
    </row>
    <row r="1509" spans="1:6">
      <c r="A1509" t="s">
        <v>5638</v>
      </c>
      <c r="B1509" t="s">
        <v>756</v>
      </c>
      <c r="C1509" t="s">
        <v>119</v>
      </c>
      <c r="D1509" s="1">
        <v>45845</v>
      </c>
      <c r="E1509" t="s">
        <v>4127</v>
      </c>
      <c r="F1509" t="s">
        <v>4139</v>
      </c>
    </row>
    <row r="1510" spans="1:6">
      <c r="A1510" t="s">
        <v>5639</v>
      </c>
      <c r="B1510" t="s">
        <v>756</v>
      </c>
      <c r="C1510" t="s">
        <v>119</v>
      </c>
      <c r="D1510" s="1">
        <v>45839</v>
      </c>
      <c r="E1510" t="s">
        <v>4127</v>
      </c>
      <c r="F1510" t="s">
        <v>4139</v>
      </c>
    </row>
    <row r="1511" spans="1:6">
      <c r="A1511" t="s">
        <v>5640</v>
      </c>
      <c r="B1511" t="s">
        <v>758</v>
      </c>
      <c r="C1511" t="s">
        <v>56</v>
      </c>
      <c r="D1511" s="1">
        <v>46020</v>
      </c>
      <c r="E1511" t="s">
        <v>4124</v>
      </c>
      <c r="F1511" t="s">
        <v>4139</v>
      </c>
    </row>
    <row r="1512" spans="1:6">
      <c r="A1512" t="s">
        <v>5641</v>
      </c>
      <c r="B1512" t="s">
        <v>758</v>
      </c>
      <c r="C1512" t="s">
        <v>56</v>
      </c>
      <c r="D1512" s="1">
        <v>46004</v>
      </c>
      <c r="E1512" t="s">
        <v>4127</v>
      </c>
      <c r="F1512" t="s">
        <v>4139</v>
      </c>
    </row>
    <row r="1513" spans="1:6">
      <c r="A1513" t="s">
        <v>5642</v>
      </c>
      <c r="B1513" t="s">
        <v>758</v>
      </c>
      <c r="C1513" t="s">
        <v>56</v>
      </c>
      <c r="D1513" s="1">
        <v>46012</v>
      </c>
      <c r="E1513" t="s">
        <v>4124</v>
      </c>
      <c r="F1513" t="s">
        <v>4139</v>
      </c>
    </row>
    <row r="1514" spans="1:6">
      <c r="A1514" t="s">
        <v>5643</v>
      </c>
      <c r="B1514" t="s">
        <v>760</v>
      </c>
      <c r="C1514" t="s">
        <v>32</v>
      </c>
      <c r="D1514" s="1">
        <v>45869</v>
      </c>
      <c r="E1514" t="s">
        <v>4135</v>
      </c>
      <c r="F1514" t="s">
        <v>4139</v>
      </c>
    </row>
    <row r="1515" spans="1:6">
      <c r="A1515" t="s">
        <v>5644</v>
      </c>
      <c r="B1515" t="s">
        <v>760</v>
      </c>
      <c r="C1515" t="s">
        <v>32</v>
      </c>
      <c r="D1515" s="1">
        <v>45908</v>
      </c>
      <c r="E1515" t="s">
        <v>4135</v>
      </c>
      <c r="F1515" t="s">
        <v>4125</v>
      </c>
    </row>
    <row r="1516" spans="1:6">
      <c r="A1516" t="s">
        <v>5645</v>
      </c>
      <c r="B1516" t="s">
        <v>760</v>
      </c>
      <c r="C1516" t="s">
        <v>32</v>
      </c>
      <c r="D1516" s="1">
        <v>45882</v>
      </c>
      <c r="E1516" t="s">
        <v>4133</v>
      </c>
      <c r="F1516" t="s">
        <v>4137</v>
      </c>
    </row>
    <row r="1517" spans="1:6">
      <c r="A1517" t="s">
        <v>5646</v>
      </c>
      <c r="B1517" t="s">
        <v>760</v>
      </c>
      <c r="C1517" t="s">
        <v>32</v>
      </c>
      <c r="D1517" s="1">
        <v>45866</v>
      </c>
      <c r="E1517" t="s">
        <v>4135</v>
      </c>
      <c r="F1517" t="s">
        <v>4137</v>
      </c>
    </row>
    <row r="1518" spans="1:6">
      <c r="A1518" t="s">
        <v>5647</v>
      </c>
      <c r="B1518" t="s">
        <v>760</v>
      </c>
      <c r="C1518" t="s">
        <v>32</v>
      </c>
      <c r="D1518" s="1">
        <v>45870</v>
      </c>
      <c r="E1518" t="s">
        <v>4133</v>
      </c>
      <c r="F1518" t="s">
        <v>4139</v>
      </c>
    </row>
    <row r="1519" spans="1:6">
      <c r="A1519" t="s">
        <v>5648</v>
      </c>
      <c r="B1519" t="s">
        <v>762</v>
      </c>
      <c r="C1519" t="s">
        <v>75</v>
      </c>
      <c r="D1519" s="1">
        <v>45928</v>
      </c>
      <c r="E1519" t="s">
        <v>4133</v>
      </c>
      <c r="F1519" t="s">
        <v>4137</v>
      </c>
    </row>
    <row r="1520" spans="1:6">
      <c r="A1520" t="s">
        <v>5649</v>
      </c>
      <c r="B1520" t="s">
        <v>762</v>
      </c>
      <c r="C1520" t="s">
        <v>75</v>
      </c>
      <c r="D1520" s="1">
        <v>45914</v>
      </c>
      <c r="E1520" t="s">
        <v>4133</v>
      </c>
      <c r="F1520" t="s">
        <v>4139</v>
      </c>
    </row>
    <row r="1521" spans="1:6">
      <c r="A1521" t="s">
        <v>5650</v>
      </c>
      <c r="B1521" t="s">
        <v>764</v>
      </c>
      <c r="C1521" t="s">
        <v>53</v>
      </c>
      <c r="D1521" s="1">
        <v>45728</v>
      </c>
      <c r="E1521" t="s">
        <v>4129</v>
      </c>
      <c r="F1521" t="s">
        <v>4125</v>
      </c>
    </row>
    <row r="1522" spans="1:6">
      <c r="A1522" t="s">
        <v>5651</v>
      </c>
      <c r="B1522" t="s">
        <v>764</v>
      </c>
      <c r="C1522" t="s">
        <v>53</v>
      </c>
      <c r="D1522" s="1">
        <v>45735</v>
      </c>
      <c r="E1522" t="s">
        <v>4133</v>
      </c>
      <c r="F1522" t="s">
        <v>4139</v>
      </c>
    </row>
    <row r="1523" spans="1:6">
      <c r="A1523" t="s">
        <v>5652</v>
      </c>
      <c r="B1523" t="s">
        <v>765</v>
      </c>
      <c r="C1523" t="s">
        <v>119</v>
      </c>
      <c r="D1523" s="1">
        <v>45888</v>
      </c>
      <c r="E1523" t="s">
        <v>4129</v>
      </c>
      <c r="F1523" t="s">
        <v>4125</v>
      </c>
    </row>
    <row r="1524" spans="1:6">
      <c r="A1524" t="s">
        <v>5653</v>
      </c>
      <c r="B1524" t="s">
        <v>765</v>
      </c>
      <c r="C1524" t="s">
        <v>119</v>
      </c>
      <c r="D1524" s="1">
        <v>45902</v>
      </c>
      <c r="E1524" t="s">
        <v>4129</v>
      </c>
      <c r="F1524" t="s">
        <v>4139</v>
      </c>
    </row>
    <row r="1525" spans="1:6">
      <c r="A1525" t="s">
        <v>5654</v>
      </c>
      <c r="B1525" t="s">
        <v>765</v>
      </c>
      <c r="C1525" t="s">
        <v>119</v>
      </c>
      <c r="D1525" s="1">
        <v>45886</v>
      </c>
      <c r="E1525" t="s">
        <v>4133</v>
      </c>
      <c r="F1525" t="s">
        <v>4139</v>
      </c>
    </row>
    <row r="1526" spans="1:6">
      <c r="A1526" t="s">
        <v>5655</v>
      </c>
      <c r="B1526" t="s">
        <v>766</v>
      </c>
      <c r="C1526" t="s">
        <v>70</v>
      </c>
      <c r="D1526" s="1">
        <v>45933</v>
      </c>
      <c r="E1526" t="s">
        <v>4124</v>
      </c>
      <c r="F1526" t="s">
        <v>4137</v>
      </c>
    </row>
    <row r="1527" spans="1:6">
      <c r="A1527" t="s">
        <v>5656</v>
      </c>
      <c r="B1527" t="s">
        <v>766</v>
      </c>
      <c r="C1527" t="s">
        <v>70</v>
      </c>
      <c r="D1527" s="1">
        <v>45928</v>
      </c>
      <c r="E1527" t="s">
        <v>4127</v>
      </c>
      <c r="F1527" t="s">
        <v>4125</v>
      </c>
    </row>
    <row r="1528" spans="1:6">
      <c r="A1528" t="s">
        <v>5657</v>
      </c>
      <c r="B1528" t="s">
        <v>768</v>
      </c>
      <c r="C1528" t="s">
        <v>32</v>
      </c>
      <c r="D1528" s="1">
        <v>46010</v>
      </c>
      <c r="E1528" t="s">
        <v>4127</v>
      </c>
      <c r="F1528" t="s">
        <v>4137</v>
      </c>
    </row>
    <row r="1529" spans="1:6">
      <c r="A1529" t="s">
        <v>5658</v>
      </c>
      <c r="B1529" t="s">
        <v>768</v>
      </c>
      <c r="C1529" t="s">
        <v>32</v>
      </c>
      <c r="D1529" s="1">
        <v>46010</v>
      </c>
      <c r="E1529" t="s">
        <v>4129</v>
      </c>
      <c r="F1529" t="s">
        <v>4137</v>
      </c>
    </row>
    <row r="1530" spans="1:6">
      <c r="A1530" t="s">
        <v>5659</v>
      </c>
      <c r="B1530" t="s">
        <v>768</v>
      </c>
      <c r="C1530" t="s">
        <v>32</v>
      </c>
      <c r="D1530" s="1">
        <v>46010</v>
      </c>
      <c r="E1530" t="s">
        <v>4127</v>
      </c>
      <c r="F1530" t="s">
        <v>4139</v>
      </c>
    </row>
    <row r="1531" spans="1:6">
      <c r="A1531" t="s">
        <v>5660</v>
      </c>
      <c r="B1531" t="s">
        <v>770</v>
      </c>
      <c r="C1531" t="s">
        <v>50</v>
      </c>
      <c r="D1531" s="1">
        <v>45754</v>
      </c>
      <c r="E1531" t="s">
        <v>4127</v>
      </c>
      <c r="F1531" t="s">
        <v>4125</v>
      </c>
    </row>
    <row r="1532" spans="1:6">
      <c r="A1532" t="s">
        <v>5661</v>
      </c>
      <c r="B1532" t="s">
        <v>770</v>
      </c>
      <c r="C1532" t="s">
        <v>50</v>
      </c>
      <c r="D1532" s="1">
        <v>45771</v>
      </c>
      <c r="E1532" t="s">
        <v>4127</v>
      </c>
      <c r="F1532" t="s">
        <v>4139</v>
      </c>
    </row>
    <row r="1533" spans="1:6">
      <c r="A1533" t="s">
        <v>5662</v>
      </c>
      <c r="B1533" t="s">
        <v>770</v>
      </c>
      <c r="C1533" t="s">
        <v>50</v>
      </c>
      <c r="D1533" s="1">
        <v>45769</v>
      </c>
      <c r="E1533" t="s">
        <v>4124</v>
      </c>
      <c r="F1533" t="s">
        <v>4125</v>
      </c>
    </row>
    <row r="1534" spans="1:6">
      <c r="A1534" t="s">
        <v>5663</v>
      </c>
      <c r="B1534" t="s">
        <v>770</v>
      </c>
      <c r="C1534" t="s">
        <v>50</v>
      </c>
      <c r="D1534" s="1">
        <v>45782</v>
      </c>
      <c r="E1534" t="s">
        <v>4127</v>
      </c>
      <c r="F1534" t="s">
        <v>4125</v>
      </c>
    </row>
    <row r="1535" spans="1:6">
      <c r="A1535" t="s">
        <v>5664</v>
      </c>
      <c r="B1535" t="s">
        <v>770</v>
      </c>
      <c r="C1535" t="s">
        <v>50</v>
      </c>
      <c r="D1535" s="1">
        <v>45744</v>
      </c>
      <c r="E1535" t="s">
        <v>4133</v>
      </c>
      <c r="F1535" t="s">
        <v>4139</v>
      </c>
    </row>
    <row r="1536" spans="1:6">
      <c r="A1536" t="s">
        <v>5665</v>
      </c>
      <c r="B1536" t="s">
        <v>771</v>
      </c>
      <c r="C1536" t="s">
        <v>168</v>
      </c>
      <c r="D1536" s="1">
        <v>45856</v>
      </c>
      <c r="E1536" t="s">
        <v>4135</v>
      </c>
      <c r="F1536" t="s">
        <v>4139</v>
      </c>
    </row>
    <row r="1537" spans="1:6">
      <c r="A1537" t="s">
        <v>5666</v>
      </c>
      <c r="B1537" t="s">
        <v>771</v>
      </c>
      <c r="C1537" t="s">
        <v>168</v>
      </c>
      <c r="D1537" s="1">
        <v>45862</v>
      </c>
      <c r="E1537" t="s">
        <v>4135</v>
      </c>
      <c r="F1537" t="s">
        <v>4139</v>
      </c>
    </row>
    <row r="1538" spans="1:6">
      <c r="A1538" t="s">
        <v>5667</v>
      </c>
      <c r="B1538" t="s">
        <v>771</v>
      </c>
      <c r="C1538" t="s">
        <v>168</v>
      </c>
      <c r="D1538" s="1">
        <v>45870</v>
      </c>
      <c r="E1538" t="s">
        <v>4127</v>
      </c>
      <c r="F1538" t="s">
        <v>4137</v>
      </c>
    </row>
    <row r="1539" spans="1:6">
      <c r="A1539" t="s">
        <v>5668</v>
      </c>
      <c r="B1539" t="s">
        <v>771</v>
      </c>
      <c r="C1539" t="s">
        <v>168</v>
      </c>
      <c r="D1539" s="1">
        <v>45884</v>
      </c>
      <c r="E1539" t="s">
        <v>4124</v>
      </c>
      <c r="F1539" t="s">
        <v>4137</v>
      </c>
    </row>
    <row r="1540" spans="1:6">
      <c r="A1540" t="s">
        <v>5669</v>
      </c>
      <c r="B1540" t="s">
        <v>771</v>
      </c>
      <c r="C1540" t="s">
        <v>168</v>
      </c>
      <c r="D1540" s="1">
        <v>45873</v>
      </c>
      <c r="E1540" t="s">
        <v>4129</v>
      </c>
      <c r="F1540" t="s">
        <v>4125</v>
      </c>
    </row>
    <row r="1541" spans="1:6">
      <c r="A1541" t="s">
        <v>5670</v>
      </c>
      <c r="B1541" t="s">
        <v>772</v>
      </c>
      <c r="C1541" t="s">
        <v>168</v>
      </c>
      <c r="D1541" s="1">
        <v>45903</v>
      </c>
      <c r="E1541" t="s">
        <v>4133</v>
      </c>
      <c r="F1541" t="s">
        <v>4125</v>
      </c>
    </row>
    <row r="1542" spans="1:6">
      <c r="A1542" t="s">
        <v>5671</v>
      </c>
      <c r="B1542" t="s">
        <v>772</v>
      </c>
      <c r="C1542" t="s">
        <v>168</v>
      </c>
      <c r="D1542" s="1">
        <v>45907</v>
      </c>
      <c r="E1542" t="s">
        <v>4129</v>
      </c>
      <c r="F1542" t="s">
        <v>4125</v>
      </c>
    </row>
    <row r="1543" spans="1:6">
      <c r="A1543" t="s">
        <v>5672</v>
      </c>
      <c r="B1543" t="s">
        <v>772</v>
      </c>
      <c r="C1543" t="s">
        <v>168</v>
      </c>
      <c r="D1543" s="1">
        <v>45882</v>
      </c>
      <c r="E1543" t="s">
        <v>4133</v>
      </c>
      <c r="F1543" t="s">
        <v>4139</v>
      </c>
    </row>
    <row r="1544" spans="1:6">
      <c r="A1544" t="s">
        <v>5673</v>
      </c>
      <c r="B1544" t="s">
        <v>774</v>
      </c>
      <c r="C1544" t="s">
        <v>78</v>
      </c>
      <c r="D1544" s="1">
        <v>45683</v>
      </c>
      <c r="E1544" t="s">
        <v>4127</v>
      </c>
      <c r="F1544" t="s">
        <v>4137</v>
      </c>
    </row>
    <row r="1545" spans="1:6">
      <c r="A1545" t="s">
        <v>5674</v>
      </c>
      <c r="B1545" t="s">
        <v>774</v>
      </c>
      <c r="C1545" t="s">
        <v>78</v>
      </c>
      <c r="D1545" s="1">
        <v>45684</v>
      </c>
      <c r="E1545" t="s">
        <v>4129</v>
      </c>
      <c r="F1545" t="s">
        <v>4137</v>
      </c>
    </row>
    <row r="1546" spans="1:6">
      <c r="A1546" t="s">
        <v>5675</v>
      </c>
      <c r="B1546" t="s">
        <v>774</v>
      </c>
      <c r="C1546" t="s">
        <v>78</v>
      </c>
      <c r="D1546" s="1">
        <v>45697</v>
      </c>
      <c r="E1546" t="s">
        <v>4135</v>
      </c>
      <c r="F1546" t="s">
        <v>4139</v>
      </c>
    </row>
    <row r="1547" spans="1:6">
      <c r="A1547" t="s">
        <v>5676</v>
      </c>
      <c r="B1547" t="s">
        <v>774</v>
      </c>
      <c r="C1547" t="s">
        <v>78</v>
      </c>
      <c r="D1547" s="1">
        <v>45673</v>
      </c>
      <c r="E1547" t="s">
        <v>4135</v>
      </c>
      <c r="F1547" t="s">
        <v>4139</v>
      </c>
    </row>
    <row r="1548" spans="1:6">
      <c r="A1548" t="s">
        <v>5677</v>
      </c>
      <c r="B1548" t="s">
        <v>776</v>
      </c>
      <c r="C1548" t="s">
        <v>75</v>
      </c>
      <c r="D1548" s="1">
        <v>45881</v>
      </c>
      <c r="E1548" t="s">
        <v>4129</v>
      </c>
      <c r="F1548" t="s">
        <v>4139</v>
      </c>
    </row>
    <row r="1549" spans="1:6">
      <c r="A1549" t="s">
        <v>5678</v>
      </c>
      <c r="B1549" t="s">
        <v>776</v>
      </c>
      <c r="C1549" t="s">
        <v>75</v>
      </c>
      <c r="D1549" s="1">
        <v>45852</v>
      </c>
      <c r="E1549" t="s">
        <v>4135</v>
      </c>
      <c r="F1549" t="s">
        <v>4137</v>
      </c>
    </row>
    <row r="1550" spans="1:6">
      <c r="A1550" t="s">
        <v>5679</v>
      </c>
      <c r="B1550" t="s">
        <v>777</v>
      </c>
      <c r="C1550" t="s">
        <v>75</v>
      </c>
      <c r="D1550" s="1">
        <v>45744</v>
      </c>
      <c r="E1550" t="s">
        <v>4129</v>
      </c>
      <c r="F1550" t="s">
        <v>4125</v>
      </c>
    </row>
    <row r="1551" spans="1:6">
      <c r="A1551" t="s">
        <v>5680</v>
      </c>
      <c r="B1551" t="s">
        <v>777</v>
      </c>
      <c r="C1551" t="s">
        <v>75</v>
      </c>
      <c r="D1551" s="1">
        <v>45757</v>
      </c>
      <c r="E1551" t="s">
        <v>4127</v>
      </c>
      <c r="F1551" t="s">
        <v>4137</v>
      </c>
    </row>
    <row r="1552" spans="1:6">
      <c r="A1552" t="s">
        <v>5681</v>
      </c>
      <c r="B1552" t="s">
        <v>777</v>
      </c>
      <c r="C1552" t="s">
        <v>75</v>
      </c>
      <c r="D1552" s="1">
        <v>45723</v>
      </c>
      <c r="E1552" t="s">
        <v>4127</v>
      </c>
      <c r="F1552" t="s">
        <v>4137</v>
      </c>
    </row>
    <row r="1553" spans="1:6">
      <c r="A1553" t="s">
        <v>5682</v>
      </c>
      <c r="B1553" t="s">
        <v>778</v>
      </c>
      <c r="C1553" t="s">
        <v>53</v>
      </c>
      <c r="D1553" s="1">
        <v>45804</v>
      </c>
      <c r="E1553" t="s">
        <v>4124</v>
      </c>
      <c r="F1553" t="s">
        <v>4137</v>
      </c>
    </row>
    <row r="1554" spans="1:6">
      <c r="A1554" t="s">
        <v>5683</v>
      </c>
      <c r="B1554" t="s">
        <v>778</v>
      </c>
      <c r="C1554" t="s">
        <v>53</v>
      </c>
      <c r="D1554" s="1">
        <v>45814</v>
      </c>
      <c r="E1554" t="s">
        <v>4124</v>
      </c>
      <c r="F1554" t="s">
        <v>4125</v>
      </c>
    </row>
    <row r="1555" spans="1:6">
      <c r="A1555" t="s">
        <v>5684</v>
      </c>
      <c r="B1555" t="s">
        <v>778</v>
      </c>
      <c r="C1555" t="s">
        <v>53</v>
      </c>
      <c r="D1555" s="1">
        <v>45815</v>
      </c>
      <c r="E1555" t="s">
        <v>4127</v>
      </c>
      <c r="F1555" t="s">
        <v>4125</v>
      </c>
    </row>
    <row r="1556" spans="1:6">
      <c r="A1556" t="s">
        <v>5685</v>
      </c>
      <c r="B1556" t="s">
        <v>780</v>
      </c>
      <c r="C1556" t="s">
        <v>78</v>
      </c>
      <c r="D1556" s="1">
        <v>45887</v>
      </c>
      <c r="E1556" t="s">
        <v>4124</v>
      </c>
      <c r="F1556" t="s">
        <v>4125</v>
      </c>
    </row>
    <row r="1557" spans="1:6">
      <c r="A1557" t="s">
        <v>5686</v>
      </c>
      <c r="B1557" t="s">
        <v>780</v>
      </c>
      <c r="C1557" t="s">
        <v>78</v>
      </c>
      <c r="D1557" s="1">
        <v>45877</v>
      </c>
      <c r="E1557" t="s">
        <v>4135</v>
      </c>
      <c r="F1557" t="s">
        <v>4137</v>
      </c>
    </row>
    <row r="1558" spans="1:6">
      <c r="A1558" t="s">
        <v>5687</v>
      </c>
      <c r="B1558" t="s">
        <v>780</v>
      </c>
      <c r="C1558" t="s">
        <v>78</v>
      </c>
      <c r="D1558" s="1">
        <v>45885</v>
      </c>
      <c r="E1558" t="s">
        <v>4129</v>
      </c>
      <c r="F1558" t="s">
        <v>4125</v>
      </c>
    </row>
    <row r="1559" spans="1:6">
      <c r="A1559" t="s">
        <v>5688</v>
      </c>
      <c r="B1559" t="s">
        <v>781</v>
      </c>
      <c r="C1559" t="s">
        <v>32</v>
      </c>
      <c r="D1559" s="1">
        <v>45943</v>
      </c>
      <c r="E1559" t="s">
        <v>4124</v>
      </c>
      <c r="F1559" t="s">
        <v>4139</v>
      </c>
    </row>
    <row r="1560" spans="1:6">
      <c r="A1560" t="s">
        <v>5689</v>
      </c>
      <c r="B1560" t="s">
        <v>781</v>
      </c>
      <c r="C1560" t="s">
        <v>32</v>
      </c>
      <c r="D1560" s="1">
        <v>45919</v>
      </c>
      <c r="E1560" t="s">
        <v>4133</v>
      </c>
      <c r="F1560" t="s">
        <v>4139</v>
      </c>
    </row>
    <row r="1561" spans="1:6">
      <c r="A1561" t="s">
        <v>5690</v>
      </c>
      <c r="B1561" t="s">
        <v>781</v>
      </c>
      <c r="C1561" t="s">
        <v>32</v>
      </c>
      <c r="D1561" s="1">
        <v>45906</v>
      </c>
      <c r="E1561" t="s">
        <v>4127</v>
      </c>
      <c r="F1561" t="s">
        <v>4125</v>
      </c>
    </row>
    <row r="1562" spans="1:6">
      <c r="A1562" t="s">
        <v>5691</v>
      </c>
      <c r="B1562" t="s">
        <v>781</v>
      </c>
      <c r="C1562" t="s">
        <v>32</v>
      </c>
      <c r="D1562" s="1">
        <v>45951</v>
      </c>
      <c r="E1562" t="s">
        <v>4127</v>
      </c>
      <c r="F1562" t="s">
        <v>4139</v>
      </c>
    </row>
    <row r="1563" spans="1:6">
      <c r="A1563" t="s">
        <v>5692</v>
      </c>
      <c r="B1563" t="s">
        <v>783</v>
      </c>
      <c r="C1563" t="s">
        <v>78</v>
      </c>
      <c r="D1563" s="1">
        <v>45947</v>
      </c>
      <c r="E1563" t="s">
        <v>4133</v>
      </c>
      <c r="F1563" t="s">
        <v>4139</v>
      </c>
    </row>
    <row r="1564" spans="1:6">
      <c r="A1564" t="s">
        <v>5693</v>
      </c>
      <c r="B1564" t="s">
        <v>783</v>
      </c>
      <c r="C1564" t="s">
        <v>78</v>
      </c>
      <c r="D1564" s="1">
        <v>45952</v>
      </c>
      <c r="E1564" t="s">
        <v>4133</v>
      </c>
      <c r="F1564" t="s">
        <v>4125</v>
      </c>
    </row>
    <row r="1565" spans="1:6">
      <c r="A1565" t="s">
        <v>5694</v>
      </c>
      <c r="B1565" t="s">
        <v>783</v>
      </c>
      <c r="C1565" t="s">
        <v>78</v>
      </c>
      <c r="D1565" s="1">
        <v>45937</v>
      </c>
      <c r="E1565" t="s">
        <v>4129</v>
      </c>
      <c r="F1565" t="s">
        <v>4137</v>
      </c>
    </row>
    <row r="1566" spans="1:6">
      <c r="A1566" t="s">
        <v>5695</v>
      </c>
      <c r="B1566" t="s">
        <v>784</v>
      </c>
      <c r="C1566" t="s">
        <v>40</v>
      </c>
      <c r="D1566" s="1">
        <v>45710</v>
      </c>
      <c r="E1566" t="s">
        <v>4124</v>
      </c>
      <c r="F1566" t="s">
        <v>4125</v>
      </c>
    </row>
    <row r="1567" spans="1:6">
      <c r="A1567" t="s">
        <v>5696</v>
      </c>
      <c r="B1567" t="s">
        <v>784</v>
      </c>
      <c r="C1567" t="s">
        <v>40</v>
      </c>
      <c r="D1567" s="1">
        <v>45710</v>
      </c>
      <c r="E1567" t="s">
        <v>4135</v>
      </c>
      <c r="F1567" t="s">
        <v>4125</v>
      </c>
    </row>
    <row r="1568" spans="1:6">
      <c r="A1568" t="s">
        <v>5697</v>
      </c>
      <c r="B1568" t="s">
        <v>784</v>
      </c>
      <c r="C1568" t="s">
        <v>40</v>
      </c>
      <c r="D1568" s="1">
        <v>45706</v>
      </c>
      <c r="E1568" t="s">
        <v>4127</v>
      </c>
      <c r="F1568" t="s">
        <v>4137</v>
      </c>
    </row>
    <row r="1569" spans="1:6">
      <c r="A1569" t="s">
        <v>5698</v>
      </c>
      <c r="B1569" t="s">
        <v>785</v>
      </c>
      <c r="C1569" t="s">
        <v>50</v>
      </c>
      <c r="D1569" s="1">
        <v>45718</v>
      </c>
      <c r="E1569" t="s">
        <v>4135</v>
      </c>
      <c r="F1569" t="s">
        <v>4139</v>
      </c>
    </row>
    <row r="1570" spans="1:6">
      <c r="A1570" t="s">
        <v>5699</v>
      </c>
      <c r="B1570" t="s">
        <v>785</v>
      </c>
      <c r="C1570" t="s">
        <v>50</v>
      </c>
      <c r="D1570" s="1">
        <v>45730</v>
      </c>
      <c r="E1570" t="s">
        <v>4124</v>
      </c>
      <c r="F1570" t="s">
        <v>4139</v>
      </c>
    </row>
    <row r="1571" spans="1:6">
      <c r="A1571" t="s">
        <v>5700</v>
      </c>
      <c r="B1571" t="s">
        <v>787</v>
      </c>
      <c r="C1571" t="s">
        <v>46</v>
      </c>
      <c r="D1571" s="1">
        <v>45801</v>
      </c>
      <c r="E1571" t="s">
        <v>4135</v>
      </c>
      <c r="F1571" t="s">
        <v>4137</v>
      </c>
    </row>
    <row r="1572" spans="1:6">
      <c r="A1572" t="s">
        <v>5701</v>
      </c>
      <c r="B1572" t="s">
        <v>787</v>
      </c>
      <c r="C1572" t="s">
        <v>46</v>
      </c>
      <c r="D1572" s="1">
        <v>45785</v>
      </c>
      <c r="E1572" t="s">
        <v>4127</v>
      </c>
      <c r="F1572" t="s">
        <v>4125</v>
      </c>
    </row>
    <row r="1573" spans="1:6">
      <c r="A1573" t="s">
        <v>5702</v>
      </c>
      <c r="B1573" t="s">
        <v>787</v>
      </c>
      <c r="C1573" t="s">
        <v>46</v>
      </c>
      <c r="D1573" s="1">
        <v>45789</v>
      </c>
      <c r="E1573" t="s">
        <v>4133</v>
      </c>
      <c r="F1573" t="s">
        <v>4125</v>
      </c>
    </row>
    <row r="1574" spans="1:6">
      <c r="A1574" t="s">
        <v>5703</v>
      </c>
      <c r="B1574" t="s">
        <v>787</v>
      </c>
      <c r="C1574" t="s">
        <v>46</v>
      </c>
      <c r="D1574" s="1">
        <v>45800</v>
      </c>
      <c r="E1574" t="s">
        <v>4124</v>
      </c>
      <c r="F1574" t="s">
        <v>4139</v>
      </c>
    </row>
    <row r="1575" spans="1:6">
      <c r="A1575" t="s">
        <v>5704</v>
      </c>
      <c r="B1575" t="s">
        <v>787</v>
      </c>
      <c r="C1575" t="s">
        <v>46</v>
      </c>
      <c r="D1575" s="1">
        <v>45782</v>
      </c>
      <c r="E1575" t="s">
        <v>4129</v>
      </c>
      <c r="F1575" t="s">
        <v>4125</v>
      </c>
    </row>
    <row r="1576" spans="1:6">
      <c r="A1576" t="s">
        <v>5705</v>
      </c>
      <c r="B1576" t="s">
        <v>788</v>
      </c>
      <c r="C1576" t="s">
        <v>63</v>
      </c>
      <c r="D1576" s="1">
        <v>45994</v>
      </c>
      <c r="E1576" t="s">
        <v>4133</v>
      </c>
      <c r="F1576" t="s">
        <v>4137</v>
      </c>
    </row>
    <row r="1577" spans="1:6">
      <c r="A1577" t="s">
        <v>5706</v>
      </c>
      <c r="B1577" t="s">
        <v>788</v>
      </c>
      <c r="C1577" t="s">
        <v>63</v>
      </c>
      <c r="D1577" s="1">
        <v>45989</v>
      </c>
      <c r="E1577" t="s">
        <v>4135</v>
      </c>
      <c r="F1577" t="s">
        <v>4137</v>
      </c>
    </row>
    <row r="1578" spans="1:6">
      <c r="A1578" t="s">
        <v>5707</v>
      </c>
      <c r="B1578" t="s">
        <v>790</v>
      </c>
      <c r="C1578" t="s">
        <v>91</v>
      </c>
      <c r="D1578" s="1">
        <v>45961</v>
      </c>
      <c r="E1578" t="s">
        <v>4124</v>
      </c>
      <c r="F1578" t="s">
        <v>4125</v>
      </c>
    </row>
    <row r="1579" spans="1:6">
      <c r="A1579" t="s">
        <v>5708</v>
      </c>
      <c r="B1579" t="s">
        <v>790</v>
      </c>
      <c r="C1579" t="s">
        <v>91</v>
      </c>
      <c r="D1579" s="1">
        <v>45957</v>
      </c>
      <c r="E1579" t="s">
        <v>4133</v>
      </c>
      <c r="F1579" t="s">
        <v>4125</v>
      </c>
    </row>
    <row r="1580" spans="1:6">
      <c r="A1580" t="s">
        <v>5709</v>
      </c>
      <c r="B1580" t="s">
        <v>790</v>
      </c>
      <c r="C1580" t="s">
        <v>91</v>
      </c>
      <c r="D1580" s="1">
        <v>45968</v>
      </c>
      <c r="E1580" t="s">
        <v>4133</v>
      </c>
      <c r="F1580" t="s">
        <v>4137</v>
      </c>
    </row>
    <row r="1581" spans="1:6">
      <c r="A1581" t="s">
        <v>5710</v>
      </c>
      <c r="B1581" t="s">
        <v>790</v>
      </c>
      <c r="C1581" t="s">
        <v>91</v>
      </c>
      <c r="D1581" s="1">
        <v>45962</v>
      </c>
      <c r="E1581" t="s">
        <v>4124</v>
      </c>
      <c r="F1581" t="s">
        <v>4137</v>
      </c>
    </row>
    <row r="1582" spans="1:6">
      <c r="A1582" t="s">
        <v>5711</v>
      </c>
      <c r="B1582" t="s">
        <v>790</v>
      </c>
      <c r="C1582" t="s">
        <v>91</v>
      </c>
      <c r="D1582" s="1">
        <v>45957</v>
      </c>
      <c r="E1582" t="s">
        <v>4124</v>
      </c>
      <c r="F1582" t="s">
        <v>4137</v>
      </c>
    </row>
    <row r="1583" spans="1:6">
      <c r="A1583" t="s">
        <v>5712</v>
      </c>
      <c r="B1583" t="s">
        <v>791</v>
      </c>
      <c r="C1583" t="s">
        <v>40</v>
      </c>
      <c r="D1583" s="1">
        <v>45888</v>
      </c>
      <c r="E1583" t="s">
        <v>4133</v>
      </c>
      <c r="F1583" t="s">
        <v>4125</v>
      </c>
    </row>
    <row r="1584" spans="1:6">
      <c r="A1584" t="s">
        <v>5713</v>
      </c>
      <c r="B1584" t="s">
        <v>791</v>
      </c>
      <c r="C1584" t="s">
        <v>40</v>
      </c>
      <c r="D1584" s="1">
        <v>45899</v>
      </c>
      <c r="E1584" t="s">
        <v>4135</v>
      </c>
      <c r="F1584" t="s">
        <v>4125</v>
      </c>
    </row>
    <row r="1585" spans="1:6">
      <c r="A1585" t="s">
        <v>5714</v>
      </c>
      <c r="B1585" t="s">
        <v>793</v>
      </c>
      <c r="C1585" t="s">
        <v>70</v>
      </c>
      <c r="D1585" s="1">
        <v>45751</v>
      </c>
      <c r="E1585" t="s">
        <v>4124</v>
      </c>
      <c r="F1585" t="s">
        <v>4137</v>
      </c>
    </row>
    <row r="1586" spans="1:6">
      <c r="A1586" t="s">
        <v>5715</v>
      </c>
      <c r="B1586" t="s">
        <v>793</v>
      </c>
      <c r="C1586" t="s">
        <v>70</v>
      </c>
      <c r="D1586" s="1">
        <v>45779</v>
      </c>
      <c r="E1586" t="s">
        <v>4133</v>
      </c>
      <c r="F1586" t="s">
        <v>4137</v>
      </c>
    </row>
    <row r="1587" spans="1:6">
      <c r="A1587" t="s">
        <v>5716</v>
      </c>
      <c r="B1587" t="s">
        <v>794</v>
      </c>
      <c r="C1587" t="s">
        <v>50</v>
      </c>
      <c r="D1587" s="1">
        <v>45908</v>
      </c>
      <c r="E1587" t="s">
        <v>4127</v>
      </c>
      <c r="F1587" t="s">
        <v>4139</v>
      </c>
    </row>
    <row r="1588" spans="1:6">
      <c r="A1588" t="s">
        <v>5717</v>
      </c>
      <c r="B1588" t="s">
        <v>794</v>
      </c>
      <c r="C1588" t="s">
        <v>50</v>
      </c>
      <c r="D1588" s="1">
        <v>45906</v>
      </c>
      <c r="E1588" t="s">
        <v>4127</v>
      </c>
      <c r="F1588" t="s">
        <v>4125</v>
      </c>
    </row>
    <row r="1589" spans="1:6">
      <c r="A1589" t="s">
        <v>5718</v>
      </c>
      <c r="B1589" t="s">
        <v>794</v>
      </c>
      <c r="C1589" t="s">
        <v>50</v>
      </c>
      <c r="D1589" s="1">
        <v>45911</v>
      </c>
      <c r="E1589" t="s">
        <v>4135</v>
      </c>
      <c r="F1589" t="s">
        <v>4125</v>
      </c>
    </row>
    <row r="1590" spans="1:6">
      <c r="A1590" t="s">
        <v>5719</v>
      </c>
      <c r="B1590" t="s">
        <v>796</v>
      </c>
      <c r="C1590" t="s">
        <v>53</v>
      </c>
      <c r="D1590" s="1">
        <v>45872</v>
      </c>
      <c r="E1590" t="s">
        <v>4133</v>
      </c>
      <c r="F1590" t="s">
        <v>4125</v>
      </c>
    </row>
    <row r="1591" spans="1:6">
      <c r="A1591" t="s">
        <v>5720</v>
      </c>
      <c r="B1591" t="s">
        <v>796</v>
      </c>
      <c r="C1591" t="s">
        <v>53</v>
      </c>
      <c r="D1591" s="1">
        <v>45848</v>
      </c>
      <c r="E1591" t="s">
        <v>4133</v>
      </c>
      <c r="F1591" t="s">
        <v>4137</v>
      </c>
    </row>
    <row r="1592" spans="1:6">
      <c r="A1592" t="s">
        <v>5721</v>
      </c>
      <c r="B1592" t="s">
        <v>796</v>
      </c>
      <c r="C1592" t="s">
        <v>53</v>
      </c>
      <c r="D1592" s="1">
        <v>45855</v>
      </c>
      <c r="E1592" t="s">
        <v>4124</v>
      </c>
      <c r="F1592" t="s">
        <v>4139</v>
      </c>
    </row>
    <row r="1593" spans="1:6">
      <c r="A1593" t="s">
        <v>5722</v>
      </c>
      <c r="B1593" t="s">
        <v>796</v>
      </c>
      <c r="C1593" t="s">
        <v>53</v>
      </c>
      <c r="D1593" s="1">
        <v>45806</v>
      </c>
      <c r="E1593" t="s">
        <v>4135</v>
      </c>
      <c r="F1593" t="s">
        <v>4139</v>
      </c>
    </row>
    <row r="1594" spans="1:6">
      <c r="A1594" t="s">
        <v>5723</v>
      </c>
      <c r="B1594" t="s">
        <v>797</v>
      </c>
      <c r="C1594" t="s">
        <v>32</v>
      </c>
      <c r="D1594" s="1">
        <v>45808</v>
      </c>
      <c r="E1594" t="s">
        <v>4133</v>
      </c>
      <c r="F1594" t="s">
        <v>4137</v>
      </c>
    </row>
    <row r="1595" spans="1:6">
      <c r="A1595" t="s">
        <v>5724</v>
      </c>
      <c r="B1595" t="s">
        <v>797</v>
      </c>
      <c r="C1595" t="s">
        <v>32</v>
      </c>
      <c r="D1595" s="1">
        <v>45823</v>
      </c>
      <c r="E1595" t="s">
        <v>4124</v>
      </c>
      <c r="F1595" t="s">
        <v>4137</v>
      </c>
    </row>
    <row r="1596" spans="1:6">
      <c r="A1596" t="s">
        <v>5725</v>
      </c>
      <c r="B1596" t="s">
        <v>797</v>
      </c>
      <c r="C1596" t="s">
        <v>32</v>
      </c>
      <c r="D1596" s="1">
        <v>45812</v>
      </c>
      <c r="E1596" t="s">
        <v>4135</v>
      </c>
      <c r="F1596" t="s">
        <v>4125</v>
      </c>
    </row>
    <row r="1597" spans="1:6">
      <c r="A1597" t="s">
        <v>5726</v>
      </c>
      <c r="B1597" t="s">
        <v>797</v>
      </c>
      <c r="C1597" t="s">
        <v>32</v>
      </c>
      <c r="D1597" s="1">
        <v>45824</v>
      </c>
      <c r="E1597" t="s">
        <v>4127</v>
      </c>
      <c r="F1597" t="s">
        <v>4139</v>
      </c>
    </row>
    <row r="1598" spans="1:6">
      <c r="A1598" t="s">
        <v>5727</v>
      </c>
      <c r="B1598" t="s">
        <v>799</v>
      </c>
      <c r="C1598" t="s">
        <v>46</v>
      </c>
      <c r="D1598" s="1">
        <v>45907</v>
      </c>
      <c r="E1598" t="s">
        <v>4124</v>
      </c>
      <c r="F1598" t="s">
        <v>4125</v>
      </c>
    </row>
    <row r="1599" spans="1:6">
      <c r="A1599" t="s">
        <v>5728</v>
      </c>
      <c r="B1599" t="s">
        <v>799</v>
      </c>
      <c r="C1599" t="s">
        <v>46</v>
      </c>
      <c r="D1599" s="1">
        <v>45921</v>
      </c>
      <c r="E1599" t="s">
        <v>4135</v>
      </c>
      <c r="F1599" t="s">
        <v>4125</v>
      </c>
    </row>
    <row r="1600" spans="1:6">
      <c r="A1600" t="s">
        <v>5729</v>
      </c>
      <c r="B1600" t="s">
        <v>799</v>
      </c>
      <c r="C1600" t="s">
        <v>46</v>
      </c>
      <c r="D1600" s="1">
        <v>45904</v>
      </c>
      <c r="E1600" t="s">
        <v>4127</v>
      </c>
      <c r="F1600" t="s">
        <v>4125</v>
      </c>
    </row>
    <row r="1601" spans="1:6">
      <c r="A1601" t="s">
        <v>5730</v>
      </c>
      <c r="B1601" t="s">
        <v>799</v>
      </c>
      <c r="C1601" t="s">
        <v>46</v>
      </c>
      <c r="D1601" s="1">
        <v>45913</v>
      </c>
      <c r="E1601" t="s">
        <v>4124</v>
      </c>
      <c r="F1601" t="s">
        <v>4139</v>
      </c>
    </row>
    <row r="1602" spans="1:6">
      <c r="A1602" t="s">
        <v>5731</v>
      </c>
      <c r="B1602" t="s">
        <v>799</v>
      </c>
      <c r="C1602" t="s">
        <v>46</v>
      </c>
      <c r="D1602" s="1">
        <v>45912</v>
      </c>
      <c r="E1602" t="s">
        <v>4129</v>
      </c>
      <c r="F1602" t="s">
        <v>4139</v>
      </c>
    </row>
    <row r="1603" spans="1:6">
      <c r="A1603" t="s">
        <v>5732</v>
      </c>
      <c r="B1603" t="s">
        <v>800</v>
      </c>
      <c r="C1603" t="s">
        <v>119</v>
      </c>
      <c r="D1603" s="1">
        <v>46004</v>
      </c>
      <c r="E1603" t="s">
        <v>4127</v>
      </c>
      <c r="F1603" t="s">
        <v>4139</v>
      </c>
    </row>
    <row r="1604" spans="1:6">
      <c r="A1604" t="s">
        <v>5733</v>
      </c>
      <c r="B1604" t="s">
        <v>800</v>
      </c>
      <c r="C1604" t="s">
        <v>119</v>
      </c>
      <c r="D1604" s="1">
        <v>46016</v>
      </c>
      <c r="E1604" t="s">
        <v>4124</v>
      </c>
      <c r="F1604" t="s">
        <v>4137</v>
      </c>
    </row>
    <row r="1605" spans="1:6">
      <c r="A1605" t="s">
        <v>5734</v>
      </c>
      <c r="B1605" t="s">
        <v>800</v>
      </c>
      <c r="C1605" t="s">
        <v>119</v>
      </c>
      <c r="D1605" s="1">
        <v>46006</v>
      </c>
      <c r="E1605" t="s">
        <v>4133</v>
      </c>
      <c r="F1605" t="s">
        <v>4137</v>
      </c>
    </row>
    <row r="1606" spans="1:6">
      <c r="A1606" t="s">
        <v>5735</v>
      </c>
      <c r="B1606" t="s">
        <v>802</v>
      </c>
      <c r="C1606" t="s">
        <v>36</v>
      </c>
      <c r="D1606" s="1">
        <v>46002</v>
      </c>
      <c r="E1606" t="s">
        <v>4135</v>
      </c>
      <c r="F1606" t="s">
        <v>4125</v>
      </c>
    </row>
    <row r="1607" spans="1:6">
      <c r="A1607" t="s">
        <v>5736</v>
      </c>
      <c r="B1607" t="s">
        <v>802</v>
      </c>
      <c r="C1607" t="s">
        <v>36</v>
      </c>
      <c r="D1607" s="1">
        <v>45997</v>
      </c>
      <c r="E1607" t="s">
        <v>4135</v>
      </c>
      <c r="F1607" t="s">
        <v>4137</v>
      </c>
    </row>
    <row r="1608" spans="1:6">
      <c r="A1608" t="s">
        <v>5737</v>
      </c>
      <c r="B1608" t="s">
        <v>802</v>
      </c>
      <c r="C1608" t="s">
        <v>36</v>
      </c>
      <c r="D1608" s="1">
        <v>45991</v>
      </c>
      <c r="E1608" t="s">
        <v>4135</v>
      </c>
      <c r="F1608" t="s">
        <v>4125</v>
      </c>
    </row>
    <row r="1609" spans="1:6">
      <c r="A1609" t="s">
        <v>5738</v>
      </c>
      <c r="B1609" t="s">
        <v>802</v>
      </c>
      <c r="C1609" t="s">
        <v>36</v>
      </c>
      <c r="D1609" s="1">
        <v>46003</v>
      </c>
      <c r="E1609" t="s">
        <v>4133</v>
      </c>
      <c r="F1609" t="s">
        <v>4137</v>
      </c>
    </row>
    <row r="1610" spans="1:6">
      <c r="A1610" t="s">
        <v>5739</v>
      </c>
      <c r="B1610" t="s">
        <v>802</v>
      </c>
      <c r="C1610" t="s">
        <v>36</v>
      </c>
      <c r="D1610" s="1">
        <v>45996</v>
      </c>
      <c r="E1610" t="s">
        <v>4133</v>
      </c>
      <c r="F1610" t="s">
        <v>4137</v>
      </c>
    </row>
    <row r="1611" spans="1:6">
      <c r="A1611" t="s">
        <v>5740</v>
      </c>
      <c r="B1611" t="s">
        <v>804</v>
      </c>
      <c r="C1611" t="s">
        <v>50</v>
      </c>
      <c r="D1611" s="1">
        <v>45763</v>
      </c>
      <c r="E1611" t="s">
        <v>4133</v>
      </c>
      <c r="F1611" t="s">
        <v>4139</v>
      </c>
    </row>
    <row r="1612" spans="1:6">
      <c r="A1612" t="s">
        <v>5741</v>
      </c>
      <c r="B1612" t="s">
        <v>804</v>
      </c>
      <c r="C1612" t="s">
        <v>50</v>
      </c>
      <c r="D1612" s="1">
        <v>45779</v>
      </c>
      <c r="E1612" t="s">
        <v>4124</v>
      </c>
      <c r="F1612" t="s">
        <v>4137</v>
      </c>
    </row>
    <row r="1613" spans="1:6">
      <c r="A1613" t="s">
        <v>5742</v>
      </c>
      <c r="B1613" t="s">
        <v>804</v>
      </c>
      <c r="C1613" t="s">
        <v>50</v>
      </c>
      <c r="D1613" s="1">
        <v>45743</v>
      </c>
      <c r="E1613" t="s">
        <v>4129</v>
      </c>
      <c r="F1613" t="s">
        <v>4125</v>
      </c>
    </row>
    <row r="1614" spans="1:6">
      <c r="A1614" t="s">
        <v>5743</v>
      </c>
      <c r="B1614" t="s">
        <v>804</v>
      </c>
      <c r="C1614" t="s">
        <v>50</v>
      </c>
      <c r="D1614" s="1">
        <v>45741</v>
      </c>
      <c r="E1614" t="s">
        <v>4129</v>
      </c>
      <c r="F1614" t="s">
        <v>4137</v>
      </c>
    </row>
    <row r="1615" spans="1:6">
      <c r="A1615" t="s">
        <v>5744</v>
      </c>
      <c r="B1615" t="s">
        <v>804</v>
      </c>
      <c r="C1615" t="s">
        <v>50</v>
      </c>
      <c r="D1615" s="1">
        <v>45769</v>
      </c>
      <c r="E1615" t="s">
        <v>4127</v>
      </c>
      <c r="F1615" t="s">
        <v>4125</v>
      </c>
    </row>
    <row r="1616" spans="1:6">
      <c r="A1616" t="s">
        <v>5745</v>
      </c>
      <c r="B1616" t="s">
        <v>805</v>
      </c>
      <c r="C1616" t="s">
        <v>22</v>
      </c>
      <c r="D1616" s="1">
        <v>46001</v>
      </c>
      <c r="E1616" t="s">
        <v>4124</v>
      </c>
      <c r="F1616" t="s">
        <v>4139</v>
      </c>
    </row>
    <row r="1617" spans="1:6">
      <c r="A1617" t="s">
        <v>5746</v>
      </c>
      <c r="B1617" t="s">
        <v>805</v>
      </c>
      <c r="C1617" t="s">
        <v>22</v>
      </c>
      <c r="D1617" s="1">
        <v>45997</v>
      </c>
      <c r="E1617" t="s">
        <v>4129</v>
      </c>
      <c r="F1617" t="s">
        <v>4125</v>
      </c>
    </row>
    <row r="1618" spans="1:6">
      <c r="A1618" t="s">
        <v>5747</v>
      </c>
      <c r="B1618" t="s">
        <v>806</v>
      </c>
      <c r="C1618" t="s">
        <v>59</v>
      </c>
      <c r="D1618" s="1">
        <v>45923</v>
      </c>
      <c r="E1618" t="s">
        <v>4124</v>
      </c>
      <c r="F1618" t="s">
        <v>4139</v>
      </c>
    </row>
    <row r="1619" spans="1:6">
      <c r="A1619" t="s">
        <v>5748</v>
      </c>
      <c r="B1619" t="s">
        <v>806</v>
      </c>
      <c r="C1619" t="s">
        <v>59</v>
      </c>
      <c r="D1619" s="1">
        <v>45918</v>
      </c>
      <c r="E1619" t="s">
        <v>4124</v>
      </c>
      <c r="F1619" t="s">
        <v>4139</v>
      </c>
    </row>
    <row r="1620" spans="1:6">
      <c r="A1620" t="s">
        <v>5749</v>
      </c>
      <c r="B1620" t="s">
        <v>806</v>
      </c>
      <c r="C1620" t="s">
        <v>59</v>
      </c>
      <c r="D1620" s="1">
        <v>45920</v>
      </c>
      <c r="E1620" t="s">
        <v>4124</v>
      </c>
      <c r="F1620" t="s">
        <v>4137</v>
      </c>
    </row>
    <row r="1621" spans="1:6">
      <c r="A1621" t="s">
        <v>5750</v>
      </c>
      <c r="B1621" t="s">
        <v>806</v>
      </c>
      <c r="C1621" t="s">
        <v>59</v>
      </c>
      <c r="D1621" s="1">
        <v>45925</v>
      </c>
      <c r="E1621" t="s">
        <v>4124</v>
      </c>
      <c r="F1621" t="s">
        <v>4139</v>
      </c>
    </row>
    <row r="1622" spans="1:6">
      <c r="A1622" t="s">
        <v>5751</v>
      </c>
      <c r="B1622" t="s">
        <v>806</v>
      </c>
      <c r="C1622" t="s">
        <v>59</v>
      </c>
      <c r="D1622" s="1">
        <v>45920</v>
      </c>
      <c r="E1622" t="s">
        <v>4135</v>
      </c>
      <c r="F1622" t="s">
        <v>4125</v>
      </c>
    </row>
    <row r="1623" spans="1:6">
      <c r="A1623" t="s">
        <v>5752</v>
      </c>
      <c r="B1623" t="s">
        <v>807</v>
      </c>
      <c r="C1623" t="s">
        <v>16</v>
      </c>
      <c r="D1623" s="1">
        <v>45815</v>
      </c>
      <c r="E1623" t="s">
        <v>4133</v>
      </c>
      <c r="F1623" t="s">
        <v>4139</v>
      </c>
    </row>
    <row r="1624" spans="1:6">
      <c r="A1624" t="s">
        <v>5753</v>
      </c>
      <c r="B1624" t="s">
        <v>807</v>
      </c>
      <c r="C1624" t="s">
        <v>16</v>
      </c>
      <c r="D1624" s="1">
        <v>45865</v>
      </c>
      <c r="E1624" t="s">
        <v>4127</v>
      </c>
      <c r="F1624" t="s">
        <v>4125</v>
      </c>
    </row>
    <row r="1625" spans="1:6">
      <c r="A1625" t="s">
        <v>5754</v>
      </c>
      <c r="B1625" t="s">
        <v>808</v>
      </c>
      <c r="C1625" t="s">
        <v>119</v>
      </c>
      <c r="D1625" s="1">
        <v>45898</v>
      </c>
      <c r="E1625" t="s">
        <v>4124</v>
      </c>
      <c r="F1625" t="s">
        <v>4139</v>
      </c>
    </row>
    <row r="1626" spans="1:6">
      <c r="A1626" t="s">
        <v>5755</v>
      </c>
      <c r="B1626" t="s">
        <v>808</v>
      </c>
      <c r="C1626" t="s">
        <v>119</v>
      </c>
      <c r="D1626" s="1">
        <v>45893</v>
      </c>
      <c r="E1626" t="s">
        <v>4124</v>
      </c>
      <c r="F1626" t="s">
        <v>4139</v>
      </c>
    </row>
    <row r="1627" spans="1:6">
      <c r="A1627" t="s">
        <v>5756</v>
      </c>
      <c r="B1627" t="s">
        <v>808</v>
      </c>
      <c r="C1627" t="s">
        <v>119</v>
      </c>
      <c r="D1627" s="1">
        <v>45869</v>
      </c>
      <c r="E1627" t="s">
        <v>4135</v>
      </c>
      <c r="F1627" t="s">
        <v>4137</v>
      </c>
    </row>
    <row r="1628" spans="1:6">
      <c r="A1628" t="s">
        <v>5757</v>
      </c>
      <c r="B1628" t="s">
        <v>810</v>
      </c>
      <c r="C1628" t="s">
        <v>63</v>
      </c>
      <c r="D1628" s="1">
        <v>45747</v>
      </c>
      <c r="E1628" t="s">
        <v>4129</v>
      </c>
      <c r="F1628" t="s">
        <v>4139</v>
      </c>
    </row>
    <row r="1629" spans="1:6">
      <c r="A1629" t="s">
        <v>5758</v>
      </c>
      <c r="B1629" t="s">
        <v>810</v>
      </c>
      <c r="C1629" t="s">
        <v>63</v>
      </c>
      <c r="D1629" s="1">
        <v>45749</v>
      </c>
      <c r="E1629" t="s">
        <v>4135</v>
      </c>
      <c r="F1629" t="s">
        <v>4139</v>
      </c>
    </row>
    <row r="1630" spans="1:6">
      <c r="A1630" t="s">
        <v>5759</v>
      </c>
      <c r="B1630" t="s">
        <v>810</v>
      </c>
      <c r="C1630" t="s">
        <v>63</v>
      </c>
      <c r="D1630" s="1">
        <v>45741</v>
      </c>
      <c r="E1630" t="s">
        <v>4133</v>
      </c>
      <c r="F1630" t="s">
        <v>4137</v>
      </c>
    </row>
    <row r="1631" spans="1:6">
      <c r="A1631" t="s">
        <v>5760</v>
      </c>
      <c r="B1631" t="s">
        <v>810</v>
      </c>
      <c r="C1631" t="s">
        <v>63</v>
      </c>
      <c r="D1631" s="1">
        <v>45739</v>
      </c>
      <c r="E1631" t="s">
        <v>4129</v>
      </c>
      <c r="F1631" t="s">
        <v>4139</v>
      </c>
    </row>
    <row r="1632" spans="1:6">
      <c r="A1632" t="s">
        <v>5761</v>
      </c>
      <c r="B1632" t="s">
        <v>810</v>
      </c>
      <c r="C1632" t="s">
        <v>63</v>
      </c>
      <c r="D1632" s="1">
        <v>45739</v>
      </c>
      <c r="E1632" t="s">
        <v>4129</v>
      </c>
      <c r="F1632" t="s">
        <v>4125</v>
      </c>
    </row>
    <row r="1633" spans="1:6">
      <c r="A1633" t="s">
        <v>5762</v>
      </c>
      <c r="B1633" t="s">
        <v>812</v>
      </c>
      <c r="C1633" t="s">
        <v>50</v>
      </c>
      <c r="D1633" s="1">
        <v>45873</v>
      </c>
      <c r="E1633" t="s">
        <v>4135</v>
      </c>
      <c r="F1633" t="s">
        <v>4137</v>
      </c>
    </row>
    <row r="1634" spans="1:6">
      <c r="A1634" t="s">
        <v>5763</v>
      </c>
      <c r="B1634" t="s">
        <v>812</v>
      </c>
      <c r="C1634" t="s">
        <v>50</v>
      </c>
      <c r="D1634" s="1">
        <v>45859</v>
      </c>
      <c r="E1634" t="s">
        <v>4129</v>
      </c>
      <c r="F1634" t="s">
        <v>4139</v>
      </c>
    </row>
    <row r="1635" spans="1:6">
      <c r="A1635" t="s">
        <v>5764</v>
      </c>
      <c r="B1635" t="s">
        <v>812</v>
      </c>
      <c r="C1635" t="s">
        <v>50</v>
      </c>
      <c r="D1635" s="1">
        <v>45876</v>
      </c>
      <c r="E1635" t="s">
        <v>4124</v>
      </c>
      <c r="F1635" t="s">
        <v>4137</v>
      </c>
    </row>
    <row r="1636" spans="1:6">
      <c r="A1636" t="s">
        <v>5765</v>
      </c>
      <c r="B1636" t="s">
        <v>813</v>
      </c>
      <c r="C1636" t="s">
        <v>152</v>
      </c>
      <c r="D1636" s="1">
        <v>45709</v>
      </c>
      <c r="E1636" t="s">
        <v>4133</v>
      </c>
      <c r="F1636" t="s">
        <v>4139</v>
      </c>
    </row>
    <row r="1637" spans="1:6">
      <c r="A1637" t="s">
        <v>5766</v>
      </c>
      <c r="B1637" t="s">
        <v>813</v>
      </c>
      <c r="C1637" t="s">
        <v>152</v>
      </c>
      <c r="D1637" s="1">
        <v>45702</v>
      </c>
      <c r="E1637" t="s">
        <v>4127</v>
      </c>
      <c r="F1637" t="s">
        <v>4137</v>
      </c>
    </row>
    <row r="1638" spans="1:6">
      <c r="A1638" t="s">
        <v>5767</v>
      </c>
      <c r="B1638" t="s">
        <v>813</v>
      </c>
      <c r="C1638" t="s">
        <v>152</v>
      </c>
      <c r="D1638" s="1">
        <v>45702</v>
      </c>
      <c r="E1638" t="s">
        <v>4133</v>
      </c>
      <c r="F1638" t="s">
        <v>4139</v>
      </c>
    </row>
    <row r="1639" spans="1:6">
      <c r="A1639" t="s">
        <v>5768</v>
      </c>
      <c r="B1639" t="s">
        <v>813</v>
      </c>
      <c r="C1639" t="s">
        <v>152</v>
      </c>
      <c r="D1639" s="1">
        <v>45707</v>
      </c>
      <c r="E1639" t="s">
        <v>4127</v>
      </c>
      <c r="F1639" t="s">
        <v>4139</v>
      </c>
    </row>
    <row r="1640" spans="1:6">
      <c r="A1640" t="s">
        <v>5769</v>
      </c>
      <c r="B1640" t="s">
        <v>813</v>
      </c>
      <c r="C1640" t="s">
        <v>152</v>
      </c>
      <c r="D1640" s="1">
        <v>45706</v>
      </c>
      <c r="E1640" t="s">
        <v>4133</v>
      </c>
      <c r="F1640" t="s">
        <v>4137</v>
      </c>
    </row>
    <row r="1641" spans="1:6">
      <c r="A1641" t="s">
        <v>5770</v>
      </c>
      <c r="B1641" t="s">
        <v>815</v>
      </c>
      <c r="C1641" t="s">
        <v>59</v>
      </c>
      <c r="D1641" s="1">
        <v>45700</v>
      </c>
      <c r="E1641" t="s">
        <v>4135</v>
      </c>
      <c r="F1641" t="s">
        <v>4137</v>
      </c>
    </row>
    <row r="1642" spans="1:6">
      <c r="A1642" t="s">
        <v>5771</v>
      </c>
      <c r="B1642" t="s">
        <v>815</v>
      </c>
      <c r="C1642" t="s">
        <v>59</v>
      </c>
      <c r="D1642" s="1">
        <v>45695</v>
      </c>
      <c r="E1642" t="s">
        <v>4135</v>
      </c>
      <c r="F1642" t="s">
        <v>4125</v>
      </c>
    </row>
    <row r="1643" spans="1:6">
      <c r="A1643" t="s">
        <v>5772</v>
      </c>
      <c r="B1643" t="s">
        <v>815</v>
      </c>
      <c r="C1643" t="s">
        <v>59</v>
      </c>
      <c r="D1643" s="1">
        <v>45696</v>
      </c>
      <c r="E1643" t="s">
        <v>4133</v>
      </c>
      <c r="F1643" t="s">
        <v>4137</v>
      </c>
    </row>
    <row r="1644" spans="1:6">
      <c r="A1644" t="s">
        <v>5773</v>
      </c>
      <c r="B1644" t="s">
        <v>815</v>
      </c>
      <c r="C1644" t="s">
        <v>59</v>
      </c>
      <c r="D1644" s="1">
        <v>45706</v>
      </c>
      <c r="E1644" t="s">
        <v>4124</v>
      </c>
      <c r="F1644" t="s">
        <v>4125</v>
      </c>
    </row>
    <row r="1645" spans="1:6">
      <c r="A1645" t="s">
        <v>5774</v>
      </c>
      <c r="B1645" t="s">
        <v>815</v>
      </c>
      <c r="C1645" t="s">
        <v>59</v>
      </c>
      <c r="D1645" s="1">
        <v>45695</v>
      </c>
      <c r="E1645" t="s">
        <v>4135</v>
      </c>
      <c r="F1645" t="s">
        <v>4125</v>
      </c>
    </row>
    <row r="1646" spans="1:6">
      <c r="A1646" t="s">
        <v>5775</v>
      </c>
      <c r="B1646" t="s">
        <v>817</v>
      </c>
      <c r="C1646" t="s">
        <v>53</v>
      </c>
      <c r="D1646" s="1">
        <v>45770</v>
      </c>
      <c r="E1646" t="s">
        <v>4135</v>
      </c>
      <c r="F1646" t="s">
        <v>4139</v>
      </c>
    </row>
    <row r="1647" spans="1:6">
      <c r="A1647" t="s">
        <v>5776</v>
      </c>
      <c r="B1647" t="s">
        <v>817</v>
      </c>
      <c r="C1647" t="s">
        <v>53</v>
      </c>
      <c r="D1647" s="1">
        <v>45797</v>
      </c>
      <c r="E1647" t="s">
        <v>4135</v>
      </c>
      <c r="F1647" t="s">
        <v>4139</v>
      </c>
    </row>
    <row r="1648" spans="1:6">
      <c r="A1648" t="s">
        <v>5777</v>
      </c>
      <c r="B1648" t="s">
        <v>817</v>
      </c>
      <c r="C1648" t="s">
        <v>53</v>
      </c>
      <c r="D1648" s="1">
        <v>45766</v>
      </c>
      <c r="E1648" t="s">
        <v>4135</v>
      </c>
      <c r="F1648" t="s">
        <v>4137</v>
      </c>
    </row>
    <row r="1649" spans="1:6">
      <c r="A1649" t="s">
        <v>5778</v>
      </c>
      <c r="B1649" t="s">
        <v>817</v>
      </c>
      <c r="C1649" t="s">
        <v>53</v>
      </c>
      <c r="D1649" s="1">
        <v>45791</v>
      </c>
      <c r="E1649" t="s">
        <v>4124</v>
      </c>
      <c r="F1649" t="s">
        <v>4139</v>
      </c>
    </row>
    <row r="1650" spans="1:6">
      <c r="A1650" t="s">
        <v>5779</v>
      </c>
      <c r="B1650" t="s">
        <v>818</v>
      </c>
      <c r="C1650" t="s">
        <v>40</v>
      </c>
      <c r="D1650" s="1">
        <v>46020</v>
      </c>
      <c r="E1650" t="s">
        <v>4127</v>
      </c>
      <c r="F1650" t="s">
        <v>4139</v>
      </c>
    </row>
    <row r="1651" spans="1:6">
      <c r="A1651" t="s">
        <v>5780</v>
      </c>
      <c r="B1651" t="s">
        <v>818</v>
      </c>
      <c r="C1651" t="s">
        <v>40</v>
      </c>
      <c r="D1651" s="1">
        <v>46020</v>
      </c>
      <c r="E1651" t="s">
        <v>4127</v>
      </c>
      <c r="F1651" t="s">
        <v>4137</v>
      </c>
    </row>
    <row r="1652" spans="1:6">
      <c r="A1652" t="s">
        <v>5781</v>
      </c>
      <c r="B1652" t="s">
        <v>818</v>
      </c>
      <c r="C1652" t="s">
        <v>40</v>
      </c>
      <c r="D1652" s="1">
        <v>46020</v>
      </c>
      <c r="E1652" t="s">
        <v>4129</v>
      </c>
      <c r="F1652" t="s">
        <v>4125</v>
      </c>
    </row>
    <row r="1653" spans="1:6">
      <c r="A1653" t="s">
        <v>5782</v>
      </c>
      <c r="B1653" t="s">
        <v>818</v>
      </c>
      <c r="C1653" t="s">
        <v>40</v>
      </c>
      <c r="D1653" s="1">
        <v>46021</v>
      </c>
      <c r="E1653" t="s">
        <v>4135</v>
      </c>
      <c r="F1653" t="s">
        <v>4139</v>
      </c>
    </row>
    <row r="1654" spans="1:6">
      <c r="A1654" t="s">
        <v>5783</v>
      </c>
      <c r="B1654" t="s">
        <v>818</v>
      </c>
      <c r="C1654" t="s">
        <v>40</v>
      </c>
      <c r="D1654" s="1">
        <v>46022</v>
      </c>
      <c r="E1654" t="s">
        <v>4124</v>
      </c>
      <c r="F1654" t="s">
        <v>4137</v>
      </c>
    </row>
    <row r="1655" spans="1:6">
      <c r="A1655" t="s">
        <v>5784</v>
      </c>
      <c r="B1655" t="s">
        <v>820</v>
      </c>
      <c r="C1655" t="s">
        <v>36</v>
      </c>
      <c r="D1655" s="1">
        <v>45999</v>
      </c>
      <c r="E1655" t="s">
        <v>4127</v>
      </c>
      <c r="F1655" t="s">
        <v>4137</v>
      </c>
    </row>
    <row r="1656" spans="1:6">
      <c r="A1656" t="s">
        <v>5785</v>
      </c>
      <c r="B1656" t="s">
        <v>820</v>
      </c>
      <c r="C1656" t="s">
        <v>36</v>
      </c>
      <c r="D1656" s="1">
        <v>46003</v>
      </c>
      <c r="E1656" t="s">
        <v>4133</v>
      </c>
      <c r="F1656" t="s">
        <v>4137</v>
      </c>
    </row>
    <row r="1657" spans="1:6">
      <c r="A1657" t="s">
        <v>5786</v>
      </c>
      <c r="B1657" t="s">
        <v>820</v>
      </c>
      <c r="C1657" t="s">
        <v>36</v>
      </c>
      <c r="D1657" s="1">
        <v>45973</v>
      </c>
      <c r="E1657" t="s">
        <v>4133</v>
      </c>
      <c r="F1657" t="s">
        <v>4125</v>
      </c>
    </row>
    <row r="1658" spans="1:6">
      <c r="A1658" t="s">
        <v>5787</v>
      </c>
      <c r="B1658" t="s">
        <v>822</v>
      </c>
      <c r="C1658" t="s">
        <v>36</v>
      </c>
      <c r="D1658" s="1">
        <v>45849</v>
      </c>
      <c r="E1658" t="s">
        <v>4124</v>
      </c>
      <c r="F1658" t="s">
        <v>4139</v>
      </c>
    </row>
    <row r="1659" spans="1:6">
      <c r="A1659" t="s">
        <v>5788</v>
      </c>
      <c r="B1659" t="s">
        <v>822</v>
      </c>
      <c r="C1659" t="s">
        <v>36</v>
      </c>
      <c r="D1659" s="1">
        <v>45853</v>
      </c>
      <c r="E1659" t="s">
        <v>4135</v>
      </c>
      <c r="F1659" t="s">
        <v>4139</v>
      </c>
    </row>
    <row r="1660" spans="1:6">
      <c r="A1660" t="s">
        <v>5789</v>
      </c>
      <c r="B1660" t="s">
        <v>822</v>
      </c>
      <c r="C1660" t="s">
        <v>36</v>
      </c>
      <c r="D1660" s="1">
        <v>45835</v>
      </c>
      <c r="E1660" t="s">
        <v>4127</v>
      </c>
      <c r="F1660" t="s">
        <v>4137</v>
      </c>
    </row>
    <row r="1661" spans="1:6">
      <c r="A1661" t="s">
        <v>5790</v>
      </c>
      <c r="B1661" t="s">
        <v>824</v>
      </c>
      <c r="C1661" t="s">
        <v>70</v>
      </c>
      <c r="D1661" s="1">
        <v>45665</v>
      </c>
      <c r="E1661" t="s">
        <v>4129</v>
      </c>
      <c r="F1661" t="s">
        <v>4139</v>
      </c>
    </row>
    <row r="1662" spans="1:6">
      <c r="A1662" t="s">
        <v>5791</v>
      </c>
      <c r="B1662" t="s">
        <v>824</v>
      </c>
      <c r="C1662" t="s">
        <v>70</v>
      </c>
      <c r="D1662" s="1">
        <v>45668</v>
      </c>
      <c r="E1662" t="s">
        <v>4127</v>
      </c>
      <c r="F1662" t="s">
        <v>4125</v>
      </c>
    </row>
    <row r="1663" spans="1:6">
      <c r="A1663" t="s">
        <v>5792</v>
      </c>
      <c r="B1663" t="s">
        <v>824</v>
      </c>
      <c r="C1663" t="s">
        <v>70</v>
      </c>
      <c r="D1663" s="1">
        <v>45665</v>
      </c>
      <c r="E1663" t="s">
        <v>4129</v>
      </c>
      <c r="F1663" t="s">
        <v>4139</v>
      </c>
    </row>
    <row r="1664" spans="1:6">
      <c r="A1664" t="s">
        <v>5793</v>
      </c>
      <c r="B1664" t="s">
        <v>824</v>
      </c>
      <c r="C1664" t="s">
        <v>70</v>
      </c>
      <c r="D1664" s="1">
        <v>45663</v>
      </c>
      <c r="E1664" t="s">
        <v>4129</v>
      </c>
      <c r="F1664" t="s">
        <v>4137</v>
      </c>
    </row>
    <row r="1665" spans="1:6">
      <c r="A1665" t="s">
        <v>5794</v>
      </c>
      <c r="B1665" t="s">
        <v>825</v>
      </c>
      <c r="C1665" t="s">
        <v>70</v>
      </c>
      <c r="D1665" s="1">
        <v>45963</v>
      </c>
      <c r="E1665" t="s">
        <v>4133</v>
      </c>
      <c r="F1665" t="s">
        <v>4137</v>
      </c>
    </row>
    <row r="1666" spans="1:6">
      <c r="A1666" t="s">
        <v>5795</v>
      </c>
      <c r="B1666" t="s">
        <v>825</v>
      </c>
      <c r="C1666" t="s">
        <v>70</v>
      </c>
      <c r="D1666" s="1">
        <v>45982</v>
      </c>
      <c r="E1666" t="s">
        <v>4133</v>
      </c>
      <c r="F1666" t="s">
        <v>4137</v>
      </c>
    </row>
    <row r="1667" spans="1:6">
      <c r="A1667" t="s">
        <v>5796</v>
      </c>
      <c r="B1667" t="s">
        <v>825</v>
      </c>
      <c r="C1667" t="s">
        <v>70</v>
      </c>
      <c r="D1667" s="1">
        <v>45977</v>
      </c>
      <c r="E1667" t="s">
        <v>4133</v>
      </c>
      <c r="F1667" t="s">
        <v>4139</v>
      </c>
    </row>
    <row r="1668" spans="1:6">
      <c r="A1668" t="s">
        <v>5797</v>
      </c>
      <c r="B1668" t="s">
        <v>827</v>
      </c>
      <c r="C1668" t="s">
        <v>50</v>
      </c>
      <c r="D1668" s="1">
        <v>45854</v>
      </c>
      <c r="E1668" t="s">
        <v>4127</v>
      </c>
      <c r="F1668" t="s">
        <v>4139</v>
      </c>
    </row>
    <row r="1669" spans="1:6">
      <c r="A1669" t="s">
        <v>5798</v>
      </c>
      <c r="B1669" t="s">
        <v>827</v>
      </c>
      <c r="C1669" t="s">
        <v>50</v>
      </c>
      <c r="D1669" s="1">
        <v>45850</v>
      </c>
      <c r="E1669" t="s">
        <v>4133</v>
      </c>
      <c r="F1669" t="s">
        <v>4125</v>
      </c>
    </row>
    <row r="1670" spans="1:6">
      <c r="A1670" t="s">
        <v>5799</v>
      </c>
      <c r="B1670" t="s">
        <v>829</v>
      </c>
      <c r="C1670" t="s">
        <v>46</v>
      </c>
      <c r="D1670" s="1">
        <v>45840</v>
      </c>
      <c r="E1670" t="s">
        <v>4127</v>
      </c>
      <c r="F1670" t="s">
        <v>4137</v>
      </c>
    </row>
    <row r="1671" spans="1:6">
      <c r="A1671" t="s">
        <v>5800</v>
      </c>
      <c r="B1671" t="s">
        <v>829</v>
      </c>
      <c r="C1671" t="s">
        <v>46</v>
      </c>
      <c r="D1671" s="1">
        <v>45832</v>
      </c>
      <c r="E1671" t="s">
        <v>4129</v>
      </c>
      <c r="F1671" t="s">
        <v>4137</v>
      </c>
    </row>
    <row r="1672" spans="1:6">
      <c r="A1672" t="s">
        <v>5801</v>
      </c>
      <c r="B1672" t="s">
        <v>829</v>
      </c>
      <c r="C1672" t="s">
        <v>46</v>
      </c>
      <c r="D1672" s="1">
        <v>45845</v>
      </c>
      <c r="E1672" t="s">
        <v>4129</v>
      </c>
      <c r="F1672" t="s">
        <v>4139</v>
      </c>
    </row>
    <row r="1673" spans="1:6">
      <c r="A1673" t="s">
        <v>5802</v>
      </c>
      <c r="B1673" t="s">
        <v>829</v>
      </c>
      <c r="C1673" t="s">
        <v>46</v>
      </c>
      <c r="D1673" s="1">
        <v>45842</v>
      </c>
      <c r="E1673" t="s">
        <v>4127</v>
      </c>
      <c r="F1673" t="s">
        <v>4125</v>
      </c>
    </row>
    <row r="1674" spans="1:6">
      <c r="A1674" t="s">
        <v>5803</v>
      </c>
      <c r="B1674" t="s">
        <v>831</v>
      </c>
      <c r="C1674" t="s">
        <v>27</v>
      </c>
      <c r="D1674" s="1">
        <v>45853</v>
      </c>
      <c r="E1674" t="s">
        <v>4133</v>
      </c>
      <c r="F1674" t="s">
        <v>4137</v>
      </c>
    </row>
    <row r="1675" spans="1:6">
      <c r="A1675" t="s">
        <v>5804</v>
      </c>
      <c r="B1675" t="s">
        <v>831</v>
      </c>
      <c r="C1675" t="s">
        <v>27</v>
      </c>
      <c r="D1675" s="1">
        <v>45862</v>
      </c>
      <c r="E1675" t="s">
        <v>4135</v>
      </c>
      <c r="F1675" t="s">
        <v>4139</v>
      </c>
    </row>
    <row r="1676" spans="1:6">
      <c r="A1676" t="s">
        <v>5805</v>
      </c>
      <c r="B1676" t="s">
        <v>832</v>
      </c>
      <c r="C1676" t="s">
        <v>40</v>
      </c>
      <c r="D1676" s="1">
        <v>45937</v>
      </c>
      <c r="E1676" t="s">
        <v>4133</v>
      </c>
      <c r="F1676" t="s">
        <v>4137</v>
      </c>
    </row>
    <row r="1677" spans="1:6">
      <c r="A1677" t="s">
        <v>5806</v>
      </c>
      <c r="B1677" t="s">
        <v>832</v>
      </c>
      <c r="C1677" t="s">
        <v>40</v>
      </c>
      <c r="D1677" s="1">
        <v>45938</v>
      </c>
      <c r="E1677" t="s">
        <v>4129</v>
      </c>
      <c r="F1677" t="s">
        <v>4137</v>
      </c>
    </row>
    <row r="1678" spans="1:6">
      <c r="A1678" t="s">
        <v>5807</v>
      </c>
      <c r="B1678" t="s">
        <v>833</v>
      </c>
      <c r="C1678" t="s">
        <v>168</v>
      </c>
      <c r="D1678" s="1">
        <v>45748</v>
      </c>
      <c r="E1678" t="s">
        <v>4124</v>
      </c>
      <c r="F1678" t="s">
        <v>4125</v>
      </c>
    </row>
    <row r="1679" spans="1:6">
      <c r="A1679" t="s">
        <v>5808</v>
      </c>
      <c r="B1679" t="s">
        <v>833</v>
      </c>
      <c r="C1679" t="s">
        <v>168</v>
      </c>
      <c r="D1679" s="1">
        <v>45731</v>
      </c>
      <c r="E1679" t="s">
        <v>4129</v>
      </c>
      <c r="F1679" t="s">
        <v>4125</v>
      </c>
    </row>
    <row r="1680" spans="1:6">
      <c r="A1680" t="s">
        <v>5809</v>
      </c>
      <c r="B1680" t="s">
        <v>833</v>
      </c>
      <c r="C1680" t="s">
        <v>168</v>
      </c>
      <c r="D1680" s="1">
        <v>45735</v>
      </c>
      <c r="E1680" t="s">
        <v>4129</v>
      </c>
      <c r="F1680" t="s">
        <v>4137</v>
      </c>
    </row>
    <row r="1681" spans="1:6">
      <c r="A1681" t="s">
        <v>5810</v>
      </c>
      <c r="B1681" t="s">
        <v>833</v>
      </c>
      <c r="C1681" t="s">
        <v>168</v>
      </c>
      <c r="D1681" s="1">
        <v>45749</v>
      </c>
      <c r="E1681" t="s">
        <v>4124</v>
      </c>
      <c r="F1681" t="s">
        <v>4137</v>
      </c>
    </row>
    <row r="1682" spans="1:6">
      <c r="A1682" t="s">
        <v>5811</v>
      </c>
      <c r="B1682" t="s">
        <v>833</v>
      </c>
      <c r="C1682" t="s">
        <v>168</v>
      </c>
      <c r="D1682" s="1">
        <v>45738</v>
      </c>
      <c r="E1682" t="s">
        <v>4124</v>
      </c>
      <c r="F1682" t="s">
        <v>4139</v>
      </c>
    </row>
    <row r="1683" spans="1:6">
      <c r="A1683" t="s">
        <v>5812</v>
      </c>
      <c r="B1683" t="s">
        <v>835</v>
      </c>
      <c r="C1683" t="s">
        <v>91</v>
      </c>
      <c r="D1683" s="1">
        <v>46022</v>
      </c>
      <c r="E1683" t="s">
        <v>4133</v>
      </c>
      <c r="F1683" t="s">
        <v>4139</v>
      </c>
    </row>
    <row r="1684" spans="1:6">
      <c r="A1684" t="s">
        <v>5813</v>
      </c>
      <c r="B1684" t="s">
        <v>835</v>
      </c>
      <c r="C1684" t="s">
        <v>91</v>
      </c>
      <c r="D1684" s="1">
        <v>46022</v>
      </c>
      <c r="E1684" t="s">
        <v>4135</v>
      </c>
      <c r="F1684" t="s">
        <v>4137</v>
      </c>
    </row>
    <row r="1685" spans="1:6">
      <c r="A1685" t="s">
        <v>5814</v>
      </c>
      <c r="B1685" t="s">
        <v>837</v>
      </c>
      <c r="C1685" t="s">
        <v>75</v>
      </c>
      <c r="D1685" s="1">
        <v>45936</v>
      </c>
      <c r="E1685" t="s">
        <v>4135</v>
      </c>
      <c r="F1685" t="s">
        <v>4125</v>
      </c>
    </row>
    <row r="1686" spans="1:6">
      <c r="A1686" t="s">
        <v>5815</v>
      </c>
      <c r="B1686" t="s">
        <v>837</v>
      </c>
      <c r="C1686" t="s">
        <v>75</v>
      </c>
      <c r="D1686" s="1">
        <v>45913</v>
      </c>
      <c r="E1686" t="s">
        <v>4135</v>
      </c>
      <c r="F1686" t="s">
        <v>4139</v>
      </c>
    </row>
    <row r="1687" spans="1:6">
      <c r="A1687" t="s">
        <v>5816</v>
      </c>
      <c r="B1687" t="s">
        <v>837</v>
      </c>
      <c r="C1687" t="s">
        <v>75</v>
      </c>
      <c r="D1687" s="1">
        <v>45930</v>
      </c>
      <c r="E1687" t="s">
        <v>4124</v>
      </c>
      <c r="F1687" t="s">
        <v>4137</v>
      </c>
    </row>
    <row r="1688" spans="1:6">
      <c r="A1688" t="s">
        <v>5817</v>
      </c>
      <c r="B1688" t="s">
        <v>837</v>
      </c>
      <c r="C1688" t="s">
        <v>75</v>
      </c>
      <c r="D1688" s="1">
        <v>45939</v>
      </c>
      <c r="E1688" t="s">
        <v>4135</v>
      </c>
      <c r="F1688" t="s">
        <v>4137</v>
      </c>
    </row>
    <row r="1689" spans="1:6">
      <c r="A1689" t="s">
        <v>5818</v>
      </c>
      <c r="B1689" t="s">
        <v>838</v>
      </c>
      <c r="C1689" t="s">
        <v>16</v>
      </c>
      <c r="D1689" s="1">
        <v>45880</v>
      </c>
      <c r="E1689" t="s">
        <v>4133</v>
      </c>
      <c r="F1689" t="s">
        <v>4139</v>
      </c>
    </row>
    <row r="1690" spans="1:6">
      <c r="A1690" t="s">
        <v>5819</v>
      </c>
      <c r="B1690" t="s">
        <v>838</v>
      </c>
      <c r="C1690" t="s">
        <v>16</v>
      </c>
      <c r="D1690" s="1">
        <v>45875</v>
      </c>
      <c r="E1690" t="s">
        <v>4124</v>
      </c>
      <c r="F1690" t="s">
        <v>4139</v>
      </c>
    </row>
    <row r="1691" spans="1:6">
      <c r="A1691" t="s">
        <v>5820</v>
      </c>
      <c r="B1691" t="s">
        <v>838</v>
      </c>
      <c r="C1691" t="s">
        <v>16</v>
      </c>
      <c r="D1691" s="1">
        <v>45891</v>
      </c>
      <c r="E1691" t="s">
        <v>4133</v>
      </c>
      <c r="F1691" t="s">
        <v>4137</v>
      </c>
    </row>
    <row r="1692" spans="1:6">
      <c r="A1692" t="s">
        <v>5821</v>
      </c>
      <c r="B1692" t="s">
        <v>838</v>
      </c>
      <c r="C1692" t="s">
        <v>16</v>
      </c>
      <c r="D1692" s="1">
        <v>45916</v>
      </c>
      <c r="E1692" t="s">
        <v>4129</v>
      </c>
      <c r="F1692" t="s">
        <v>4137</v>
      </c>
    </row>
    <row r="1693" spans="1:6">
      <c r="A1693" t="s">
        <v>5822</v>
      </c>
      <c r="B1693" t="s">
        <v>838</v>
      </c>
      <c r="C1693" t="s">
        <v>16</v>
      </c>
      <c r="D1693" s="1">
        <v>45896</v>
      </c>
      <c r="E1693" t="s">
        <v>4127</v>
      </c>
      <c r="F1693" t="s">
        <v>4139</v>
      </c>
    </row>
    <row r="1694" spans="1:6">
      <c r="A1694" t="s">
        <v>5823</v>
      </c>
      <c r="B1694" t="s">
        <v>839</v>
      </c>
      <c r="C1694" t="s">
        <v>70</v>
      </c>
      <c r="D1694" s="1">
        <v>45840</v>
      </c>
      <c r="E1694" t="s">
        <v>4124</v>
      </c>
      <c r="F1694" t="s">
        <v>4137</v>
      </c>
    </row>
    <row r="1695" spans="1:6">
      <c r="A1695" t="s">
        <v>5824</v>
      </c>
      <c r="B1695" t="s">
        <v>839</v>
      </c>
      <c r="C1695" t="s">
        <v>70</v>
      </c>
      <c r="D1695" s="1">
        <v>45850</v>
      </c>
      <c r="E1695" t="s">
        <v>4133</v>
      </c>
      <c r="F1695" t="s">
        <v>4139</v>
      </c>
    </row>
    <row r="1696" spans="1:6">
      <c r="A1696" t="s">
        <v>5825</v>
      </c>
      <c r="B1696" t="s">
        <v>839</v>
      </c>
      <c r="C1696" t="s">
        <v>70</v>
      </c>
      <c r="D1696" s="1">
        <v>45859</v>
      </c>
      <c r="E1696" t="s">
        <v>4124</v>
      </c>
      <c r="F1696" t="s">
        <v>4125</v>
      </c>
    </row>
    <row r="1697" spans="1:6">
      <c r="A1697" t="s">
        <v>5826</v>
      </c>
      <c r="B1697" t="s">
        <v>839</v>
      </c>
      <c r="C1697" t="s">
        <v>70</v>
      </c>
      <c r="D1697" s="1">
        <v>45852</v>
      </c>
      <c r="E1697" t="s">
        <v>4135</v>
      </c>
      <c r="F1697" t="s">
        <v>4137</v>
      </c>
    </row>
    <row r="1698" spans="1:6">
      <c r="A1698" t="s">
        <v>5827</v>
      </c>
      <c r="B1698" t="s">
        <v>840</v>
      </c>
      <c r="C1698" t="s">
        <v>75</v>
      </c>
      <c r="D1698" s="1">
        <v>46005</v>
      </c>
      <c r="E1698" t="s">
        <v>4133</v>
      </c>
      <c r="F1698" t="s">
        <v>4125</v>
      </c>
    </row>
    <row r="1699" spans="1:6">
      <c r="A1699" t="s">
        <v>5828</v>
      </c>
      <c r="B1699" t="s">
        <v>840</v>
      </c>
      <c r="C1699" t="s">
        <v>75</v>
      </c>
      <c r="D1699" s="1">
        <v>45977</v>
      </c>
      <c r="E1699" t="s">
        <v>4133</v>
      </c>
      <c r="F1699" t="s">
        <v>4139</v>
      </c>
    </row>
    <row r="1700" spans="1:6">
      <c r="A1700" t="s">
        <v>5829</v>
      </c>
      <c r="B1700" t="s">
        <v>841</v>
      </c>
      <c r="C1700" t="s">
        <v>53</v>
      </c>
      <c r="D1700" s="1">
        <v>45964</v>
      </c>
      <c r="E1700" t="s">
        <v>4124</v>
      </c>
      <c r="F1700" t="s">
        <v>4137</v>
      </c>
    </row>
    <row r="1701" spans="1:6">
      <c r="A1701" t="s">
        <v>5830</v>
      </c>
      <c r="B1701" t="s">
        <v>841</v>
      </c>
      <c r="C1701" t="s">
        <v>53</v>
      </c>
      <c r="D1701" s="1">
        <v>45955</v>
      </c>
      <c r="E1701" t="s">
        <v>4135</v>
      </c>
      <c r="F1701" t="s">
        <v>4125</v>
      </c>
    </row>
    <row r="1702" spans="1:6">
      <c r="A1702" t="s">
        <v>5831</v>
      </c>
      <c r="B1702" t="s">
        <v>841</v>
      </c>
      <c r="C1702" t="s">
        <v>53</v>
      </c>
      <c r="D1702" s="1">
        <v>45960</v>
      </c>
      <c r="E1702" t="s">
        <v>4124</v>
      </c>
      <c r="F1702" t="s">
        <v>4139</v>
      </c>
    </row>
    <row r="1703" spans="1:6">
      <c r="A1703" t="s">
        <v>5832</v>
      </c>
      <c r="B1703" t="s">
        <v>843</v>
      </c>
      <c r="C1703" t="s">
        <v>91</v>
      </c>
      <c r="D1703" s="1">
        <v>46016</v>
      </c>
      <c r="E1703" t="s">
        <v>4129</v>
      </c>
      <c r="F1703" t="s">
        <v>4137</v>
      </c>
    </row>
    <row r="1704" spans="1:6">
      <c r="A1704" t="s">
        <v>5833</v>
      </c>
      <c r="B1704" t="s">
        <v>843</v>
      </c>
      <c r="C1704" t="s">
        <v>91</v>
      </c>
      <c r="D1704" s="1">
        <v>46003</v>
      </c>
      <c r="E1704" t="s">
        <v>4135</v>
      </c>
      <c r="F1704" t="s">
        <v>4139</v>
      </c>
    </row>
    <row r="1705" spans="1:6">
      <c r="A1705" t="s">
        <v>5834</v>
      </c>
      <c r="B1705" t="s">
        <v>843</v>
      </c>
      <c r="C1705" t="s">
        <v>91</v>
      </c>
      <c r="D1705" s="1">
        <v>46004</v>
      </c>
      <c r="E1705" t="s">
        <v>4133</v>
      </c>
      <c r="F1705" t="s">
        <v>4139</v>
      </c>
    </row>
    <row r="1706" spans="1:6">
      <c r="A1706" t="s">
        <v>5835</v>
      </c>
      <c r="B1706" t="s">
        <v>845</v>
      </c>
      <c r="C1706" t="s">
        <v>59</v>
      </c>
      <c r="D1706" s="1">
        <v>45763</v>
      </c>
      <c r="E1706" t="s">
        <v>4133</v>
      </c>
      <c r="F1706" t="s">
        <v>4139</v>
      </c>
    </row>
    <row r="1707" spans="1:6">
      <c r="A1707" t="s">
        <v>5836</v>
      </c>
      <c r="B1707" t="s">
        <v>845</v>
      </c>
      <c r="C1707" t="s">
        <v>59</v>
      </c>
      <c r="D1707" s="1">
        <v>45731</v>
      </c>
      <c r="E1707" t="s">
        <v>4129</v>
      </c>
      <c r="F1707" t="s">
        <v>4137</v>
      </c>
    </row>
    <row r="1708" spans="1:6">
      <c r="A1708" t="s">
        <v>5837</v>
      </c>
      <c r="B1708" t="s">
        <v>845</v>
      </c>
      <c r="C1708" t="s">
        <v>59</v>
      </c>
      <c r="D1708" s="1">
        <v>45790</v>
      </c>
      <c r="E1708" t="s">
        <v>4129</v>
      </c>
      <c r="F1708" t="s">
        <v>4139</v>
      </c>
    </row>
    <row r="1709" spans="1:6">
      <c r="A1709" t="s">
        <v>5838</v>
      </c>
      <c r="B1709" t="s">
        <v>846</v>
      </c>
      <c r="C1709" t="s">
        <v>59</v>
      </c>
      <c r="D1709" s="1">
        <v>45716</v>
      </c>
      <c r="E1709" t="s">
        <v>4133</v>
      </c>
      <c r="F1709" t="s">
        <v>4139</v>
      </c>
    </row>
    <row r="1710" spans="1:6">
      <c r="A1710" t="s">
        <v>5839</v>
      </c>
      <c r="B1710" t="s">
        <v>846</v>
      </c>
      <c r="C1710" t="s">
        <v>59</v>
      </c>
      <c r="D1710" s="1">
        <v>45718</v>
      </c>
      <c r="E1710" t="s">
        <v>4127</v>
      </c>
      <c r="F1710" t="s">
        <v>4137</v>
      </c>
    </row>
    <row r="1711" spans="1:6">
      <c r="A1711" t="s">
        <v>5840</v>
      </c>
      <c r="B1711" t="s">
        <v>846</v>
      </c>
      <c r="C1711" t="s">
        <v>59</v>
      </c>
      <c r="D1711" s="1">
        <v>45721</v>
      </c>
      <c r="E1711" t="s">
        <v>4127</v>
      </c>
      <c r="F1711" t="s">
        <v>4125</v>
      </c>
    </row>
    <row r="1712" spans="1:6">
      <c r="A1712" t="s">
        <v>5841</v>
      </c>
      <c r="B1712" t="s">
        <v>847</v>
      </c>
      <c r="C1712" t="s">
        <v>59</v>
      </c>
      <c r="D1712" s="1">
        <v>45788</v>
      </c>
      <c r="E1712" t="s">
        <v>4127</v>
      </c>
      <c r="F1712" t="s">
        <v>4125</v>
      </c>
    </row>
    <row r="1713" spans="1:6">
      <c r="A1713" t="s">
        <v>5842</v>
      </c>
      <c r="B1713" t="s">
        <v>847</v>
      </c>
      <c r="C1713" t="s">
        <v>59</v>
      </c>
      <c r="D1713" s="1">
        <v>45795</v>
      </c>
      <c r="E1713" t="s">
        <v>4133</v>
      </c>
      <c r="F1713" t="s">
        <v>4139</v>
      </c>
    </row>
    <row r="1714" spans="1:6">
      <c r="A1714" t="s">
        <v>5843</v>
      </c>
      <c r="B1714" t="s">
        <v>847</v>
      </c>
      <c r="C1714" t="s">
        <v>59</v>
      </c>
      <c r="D1714" s="1">
        <v>45793</v>
      </c>
      <c r="E1714" t="s">
        <v>4135</v>
      </c>
      <c r="F1714" t="s">
        <v>4125</v>
      </c>
    </row>
    <row r="1715" spans="1:6">
      <c r="A1715" t="s">
        <v>5844</v>
      </c>
      <c r="B1715" t="s">
        <v>847</v>
      </c>
      <c r="C1715" t="s">
        <v>59</v>
      </c>
      <c r="D1715" s="1">
        <v>45789</v>
      </c>
      <c r="E1715" t="s">
        <v>4127</v>
      </c>
      <c r="F1715" t="s">
        <v>4137</v>
      </c>
    </row>
    <row r="1716" spans="1:6">
      <c r="A1716" t="s">
        <v>5845</v>
      </c>
      <c r="B1716" t="s">
        <v>847</v>
      </c>
      <c r="C1716" t="s">
        <v>59</v>
      </c>
      <c r="D1716" s="1">
        <v>45787</v>
      </c>
      <c r="E1716" t="s">
        <v>4135</v>
      </c>
      <c r="F1716" t="s">
        <v>4125</v>
      </c>
    </row>
    <row r="1717" spans="1:6">
      <c r="A1717" t="s">
        <v>5846</v>
      </c>
      <c r="B1717" t="s">
        <v>848</v>
      </c>
      <c r="C1717" t="s">
        <v>59</v>
      </c>
      <c r="D1717" s="1">
        <v>45859</v>
      </c>
      <c r="E1717" t="s">
        <v>4124</v>
      </c>
      <c r="F1717" t="s">
        <v>4125</v>
      </c>
    </row>
    <row r="1718" spans="1:6">
      <c r="A1718" t="s">
        <v>5847</v>
      </c>
      <c r="B1718" t="s">
        <v>848</v>
      </c>
      <c r="C1718" t="s">
        <v>59</v>
      </c>
      <c r="D1718" s="1">
        <v>45847</v>
      </c>
      <c r="E1718" t="s">
        <v>4127</v>
      </c>
      <c r="F1718" t="s">
        <v>4125</v>
      </c>
    </row>
    <row r="1719" spans="1:6">
      <c r="A1719" t="s">
        <v>5848</v>
      </c>
      <c r="B1719" t="s">
        <v>848</v>
      </c>
      <c r="C1719" t="s">
        <v>59</v>
      </c>
      <c r="D1719" s="1">
        <v>45853</v>
      </c>
      <c r="E1719" t="s">
        <v>4127</v>
      </c>
      <c r="F1719" t="s">
        <v>4137</v>
      </c>
    </row>
    <row r="1720" spans="1:6">
      <c r="A1720" t="s">
        <v>5849</v>
      </c>
      <c r="B1720" t="s">
        <v>848</v>
      </c>
      <c r="C1720" t="s">
        <v>59</v>
      </c>
      <c r="D1720" s="1">
        <v>45860</v>
      </c>
      <c r="E1720" t="s">
        <v>4124</v>
      </c>
      <c r="F1720" t="s">
        <v>4137</v>
      </c>
    </row>
    <row r="1721" spans="1:6">
      <c r="A1721" t="s">
        <v>5850</v>
      </c>
      <c r="B1721" t="s">
        <v>849</v>
      </c>
      <c r="C1721" t="s">
        <v>46</v>
      </c>
      <c r="D1721" s="1">
        <v>45972</v>
      </c>
      <c r="E1721" t="s">
        <v>4133</v>
      </c>
      <c r="F1721" t="s">
        <v>4139</v>
      </c>
    </row>
    <row r="1722" spans="1:6">
      <c r="A1722" t="s">
        <v>5851</v>
      </c>
      <c r="B1722" t="s">
        <v>849</v>
      </c>
      <c r="C1722" t="s">
        <v>46</v>
      </c>
      <c r="D1722" s="1">
        <v>45985</v>
      </c>
      <c r="E1722" t="s">
        <v>4135</v>
      </c>
      <c r="F1722" t="s">
        <v>4137</v>
      </c>
    </row>
    <row r="1723" spans="1:6">
      <c r="A1723" t="s">
        <v>5852</v>
      </c>
      <c r="B1723" t="s">
        <v>849</v>
      </c>
      <c r="C1723" t="s">
        <v>46</v>
      </c>
      <c r="D1723" s="1">
        <v>45997</v>
      </c>
      <c r="E1723" t="s">
        <v>4135</v>
      </c>
      <c r="F1723" t="s">
        <v>4125</v>
      </c>
    </row>
    <row r="1724" spans="1:6">
      <c r="A1724" t="s">
        <v>5853</v>
      </c>
      <c r="B1724" t="s">
        <v>849</v>
      </c>
      <c r="C1724" t="s">
        <v>46</v>
      </c>
      <c r="D1724" s="1">
        <v>45972</v>
      </c>
      <c r="E1724" t="s">
        <v>4129</v>
      </c>
      <c r="F1724" t="s">
        <v>4125</v>
      </c>
    </row>
    <row r="1725" spans="1:6">
      <c r="A1725" t="s">
        <v>5854</v>
      </c>
      <c r="B1725" t="s">
        <v>850</v>
      </c>
      <c r="C1725" t="s">
        <v>91</v>
      </c>
      <c r="D1725" s="1">
        <v>45925</v>
      </c>
      <c r="E1725" t="s">
        <v>4129</v>
      </c>
      <c r="F1725" t="s">
        <v>4139</v>
      </c>
    </row>
    <row r="1726" spans="1:6">
      <c r="A1726" t="s">
        <v>5855</v>
      </c>
      <c r="B1726" t="s">
        <v>850</v>
      </c>
      <c r="C1726" t="s">
        <v>91</v>
      </c>
      <c r="D1726" s="1">
        <v>45910</v>
      </c>
      <c r="E1726" t="s">
        <v>4124</v>
      </c>
      <c r="F1726" t="s">
        <v>4137</v>
      </c>
    </row>
    <row r="1727" spans="1:6">
      <c r="A1727" t="s">
        <v>5856</v>
      </c>
      <c r="B1727" t="s">
        <v>850</v>
      </c>
      <c r="C1727" t="s">
        <v>91</v>
      </c>
      <c r="D1727" s="1">
        <v>45907</v>
      </c>
      <c r="E1727" t="s">
        <v>4124</v>
      </c>
      <c r="F1727" t="s">
        <v>4137</v>
      </c>
    </row>
    <row r="1728" spans="1:6">
      <c r="A1728" t="s">
        <v>5857</v>
      </c>
      <c r="B1728" t="s">
        <v>852</v>
      </c>
      <c r="C1728" t="s">
        <v>70</v>
      </c>
      <c r="D1728" s="1">
        <v>45803</v>
      </c>
      <c r="E1728" t="s">
        <v>4135</v>
      </c>
      <c r="F1728" t="s">
        <v>4125</v>
      </c>
    </row>
    <row r="1729" spans="1:6">
      <c r="A1729" t="s">
        <v>5858</v>
      </c>
      <c r="B1729" t="s">
        <v>852</v>
      </c>
      <c r="C1729" t="s">
        <v>70</v>
      </c>
      <c r="D1729" s="1">
        <v>45798</v>
      </c>
      <c r="E1729" t="s">
        <v>4124</v>
      </c>
      <c r="F1729" t="s">
        <v>4125</v>
      </c>
    </row>
    <row r="1730" spans="1:6">
      <c r="A1730" t="s">
        <v>5859</v>
      </c>
      <c r="B1730" t="s">
        <v>854</v>
      </c>
      <c r="C1730" t="s">
        <v>91</v>
      </c>
      <c r="D1730" s="1">
        <v>45776</v>
      </c>
      <c r="E1730" t="s">
        <v>4127</v>
      </c>
      <c r="F1730" t="s">
        <v>4137</v>
      </c>
    </row>
    <row r="1731" spans="1:6">
      <c r="A1731" t="s">
        <v>5860</v>
      </c>
      <c r="B1731" t="s">
        <v>854</v>
      </c>
      <c r="C1731" t="s">
        <v>91</v>
      </c>
      <c r="D1731" s="1">
        <v>45808</v>
      </c>
      <c r="E1731" t="s">
        <v>4127</v>
      </c>
      <c r="F1731" t="s">
        <v>4139</v>
      </c>
    </row>
    <row r="1732" spans="1:6">
      <c r="A1732" t="s">
        <v>5861</v>
      </c>
      <c r="B1732" t="s">
        <v>854</v>
      </c>
      <c r="C1732" t="s">
        <v>91</v>
      </c>
      <c r="D1732" s="1">
        <v>45806</v>
      </c>
      <c r="E1732" t="s">
        <v>4124</v>
      </c>
      <c r="F1732" t="s">
        <v>4125</v>
      </c>
    </row>
    <row r="1733" spans="1:6">
      <c r="A1733" t="s">
        <v>5862</v>
      </c>
      <c r="B1733" t="s">
        <v>854</v>
      </c>
      <c r="C1733" t="s">
        <v>91</v>
      </c>
      <c r="D1733" s="1">
        <v>45790</v>
      </c>
      <c r="E1733" t="s">
        <v>4129</v>
      </c>
      <c r="F1733" t="s">
        <v>4139</v>
      </c>
    </row>
    <row r="1734" spans="1:6">
      <c r="A1734" t="s">
        <v>5863</v>
      </c>
      <c r="B1734" t="s">
        <v>854</v>
      </c>
      <c r="C1734" t="s">
        <v>91</v>
      </c>
      <c r="D1734" s="1">
        <v>45813</v>
      </c>
      <c r="E1734" t="s">
        <v>4135</v>
      </c>
      <c r="F1734" t="s">
        <v>4137</v>
      </c>
    </row>
    <row r="1735" spans="1:6">
      <c r="A1735" t="s">
        <v>5864</v>
      </c>
      <c r="B1735" t="s">
        <v>855</v>
      </c>
      <c r="C1735" t="s">
        <v>119</v>
      </c>
      <c r="D1735" s="1">
        <v>45772</v>
      </c>
      <c r="E1735" t="s">
        <v>4124</v>
      </c>
      <c r="F1735" t="s">
        <v>4139</v>
      </c>
    </row>
    <row r="1736" spans="1:6">
      <c r="A1736" t="s">
        <v>5865</v>
      </c>
      <c r="B1736" t="s">
        <v>855</v>
      </c>
      <c r="C1736" t="s">
        <v>119</v>
      </c>
      <c r="D1736" s="1">
        <v>45764</v>
      </c>
      <c r="E1736" t="s">
        <v>4129</v>
      </c>
      <c r="F1736" t="s">
        <v>4137</v>
      </c>
    </row>
    <row r="1737" spans="1:6">
      <c r="A1737" t="s">
        <v>5866</v>
      </c>
      <c r="B1737" t="s">
        <v>855</v>
      </c>
      <c r="C1737" t="s">
        <v>119</v>
      </c>
      <c r="D1737" s="1">
        <v>45770</v>
      </c>
      <c r="E1737" t="s">
        <v>4129</v>
      </c>
      <c r="F1737" t="s">
        <v>4125</v>
      </c>
    </row>
    <row r="1738" spans="1:6">
      <c r="A1738" t="s">
        <v>5867</v>
      </c>
      <c r="B1738" t="s">
        <v>856</v>
      </c>
      <c r="C1738" t="s">
        <v>59</v>
      </c>
      <c r="D1738" s="1">
        <v>45888</v>
      </c>
      <c r="E1738" t="s">
        <v>4124</v>
      </c>
      <c r="F1738" t="s">
        <v>4139</v>
      </c>
    </row>
    <row r="1739" spans="1:6">
      <c r="A1739" t="s">
        <v>5868</v>
      </c>
      <c r="B1739" t="s">
        <v>856</v>
      </c>
      <c r="C1739" t="s">
        <v>59</v>
      </c>
      <c r="D1739" s="1">
        <v>45887</v>
      </c>
      <c r="E1739" t="s">
        <v>4135</v>
      </c>
      <c r="F1739" t="s">
        <v>4125</v>
      </c>
    </row>
    <row r="1740" spans="1:6">
      <c r="A1740" t="s">
        <v>5869</v>
      </c>
      <c r="B1740" t="s">
        <v>858</v>
      </c>
      <c r="C1740" t="s">
        <v>126</v>
      </c>
      <c r="D1740" s="1">
        <v>45959</v>
      </c>
      <c r="E1740" t="s">
        <v>4124</v>
      </c>
      <c r="F1740" t="s">
        <v>4125</v>
      </c>
    </row>
    <row r="1741" spans="1:6">
      <c r="A1741" t="s">
        <v>5870</v>
      </c>
      <c r="B1741" t="s">
        <v>858</v>
      </c>
      <c r="C1741" t="s">
        <v>126</v>
      </c>
      <c r="D1741" s="1">
        <v>45955</v>
      </c>
      <c r="E1741" t="s">
        <v>4124</v>
      </c>
      <c r="F1741" t="s">
        <v>4125</v>
      </c>
    </row>
    <row r="1742" spans="1:6">
      <c r="A1742" t="s">
        <v>5871</v>
      </c>
      <c r="B1742" t="s">
        <v>858</v>
      </c>
      <c r="C1742" t="s">
        <v>126</v>
      </c>
      <c r="D1742" s="1">
        <v>45969</v>
      </c>
      <c r="E1742" t="s">
        <v>4133</v>
      </c>
      <c r="F1742" t="s">
        <v>4139</v>
      </c>
    </row>
    <row r="1743" spans="1:6">
      <c r="A1743" t="s">
        <v>5872</v>
      </c>
      <c r="B1743" t="s">
        <v>858</v>
      </c>
      <c r="C1743" t="s">
        <v>126</v>
      </c>
      <c r="D1743" s="1">
        <v>45956</v>
      </c>
      <c r="E1743" t="s">
        <v>4127</v>
      </c>
      <c r="F1743" t="s">
        <v>4125</v>
      </c>
    </row>
    <row r="1744" spans="1:6">
      <c r="A1744" t="s">
        <v>5873</v>
      </c>
      <c r="B1744" t="s">
        <v>858</v>
      </c>
      <c r="C1744" t="s">
        <v>126</v>
      </c>
      <c r="D1744" s="1">
        <v>45958</v>
      </c>
      <c r="E1744" t="s">
        <v>4127</v>
      </c>
      <c r="F1744" t="s">
        <v>4125</v>
      </c>
    </row>
    <row r="1745" spans="1:6">
      <c r="A1745" t="s">
        <v>5874</v>
      </c>
      <c r="B1745" t="s">
        <v>860</v>
      </c>
      <c r="C1745" t="s">
        <v>63</v>
      </c>
      <c r="D1745" s="1">
        <v>45912</v>
      </c>
      <c r="E1745" t="s">
        <v>4124</v>
      </c>
      <c r="F1745" t="s">
        <v>4139</v>
      </c>
    </row>
    <row r="1746" spans="1:6">
      <c r="A1746" t="s">
        <v>5875</v>
      </c>
      <c r="B1746" t="s">
        <v>860</v>
      </c>
      <c r="C1746" t="s">
        <v>63</v>
      </c>
      <c r="D1746" s="1">
        <v>45907</v>
      </c>
      <c r="E1746" t="s">
        <v>4135</v>
      </c>
      <c r="F1746" t="s">
        <v>4137</v>
      </c>
    </row>
    <row r="1747" spans="1:6">
      <c r="A1747" t="s">
        <v>5876</v>
      </c>
      <c r="B1747" t="s">
        <v>860</v>
      </c>
      <c r="C1747" t="s">
        <v>63</v>
      </c>
      <c r="D1747" s="1">
        <v>45914</v>
      </c>
      <c r="E1747" t="s">
        <v>4127</v>
      </c>
      <c r="F1747" t="s">
        <v>4125</v>
      </c>
    </row>
    <row r="1748" spans="1:6">
      <c r="A1748" t="s">
        <v>5877</v>
      </c>
      <c r="B1748" t="s">
        <v>862</v>
      </c>
      <c r="C1748" t="s">
        <v>22</v>
      </c>
      <c r="D1748" s="1">
        <v>45993</v>
      </c>
      <c r="E1748" t="s">
        <v>4133</v>
      </c>
      <c r="F1748" t="s">
        <v>4139</v>
      </c>
    </row>
    <row r="1749" spans="1:6">
      <c r="A1749" t="s">
        <v>5878</v>
      </c>
      <c r="B1749" t="s">
        <v>862</v>
      </c>
      <c r="C1749" t="s">
        <v>22</v>
      </c>
      <c r="D1749" s="1">
        <v>45983</v>
      </c>
      <c r="E1749" t="s">
        <v>4133</v>
      </c>
      <c r="F1749" t="s">
        <v>4137</v>
      </c>
    </row>
    <row r="1750" spans="1:6">
      <c r="A1750" t="s">
        <v>5879</v>
      </c>
      <c r="B1750" t="s">
        <v>863</v>
      </c>
      <c r="C1750" t="s">
        <v>22</v>
      </c>
      <c r="D1750" s="1">
        <v>45865</v>
      </c>
      <c r="E1750" t="s">
        <v>4129</v>
      </c>
      <c r="F1750" t="s">
        <v>4137</v>
      </c>
    </row>
    <row r="1751" spans="1:6">
      <c r="A1751" t="s">
        <v>5880</v>
      </c>
      <c r="B1751" t="s">
        <v>863</v>
      </c>
      <c r="C1751" t="s">
        <v>22</v>
      </c>
      <c r="D1751" s="1">
        <v>45877</v>
      </c>
      <c r="E1751" t="s">
        <v>4124</v>
      </c>
      <c r="F1751" t="s">
        <v>4125</v>
      </c>
    </row>
    <row r="1752" spans="1:6">
      <c r="A1752" t="s">
        <v>5881</v>
      </c>
      <c r="B1752" t="s">
        <v>863</v>
      </c>
      <c r="C1752" t="s">
        <v>22</v>
      </c>
      <c r="D1752" s="1">
        <v>45877</v>
      </c>
      <c r="E1752" t="s">
        <v>4133</v>
      </c>
      <c r="F1752" t="s">
        <v>4137</v>
      </c>
    </row>
    <row r="1753" spans="1:6">
      <c r="A1753" t="s">
        <v>5882</v>
      </c>
      <c r="B1753" t="s">
        <v>865</v>
      </c>
      <c r="C1753" t="s">
        <v>70</v>
      </c>
      <c r="D1753" s="1">
        <v>45782</v>
      </c>
      <c r="E1753" t="s">
        <v>4127</v>
      </c>
      <c r="F1753" t="s">
        <v>4137</v>
      </c>
    </row>
    <row r="1754" spans="1:6">
      <c r="A1754" t="s">
        <v>5883</v>
      </c>
      <c r="B1754" t="s">
        <v>865</v>
      </c>
      <c r="C1754" t="s">
        <v>70</v>
      </c>
      <c r="D1754" s="1">
        <v>45758</v>
      </c>
      <c r="E1754" t="s">
        <v>4129</v>
      </c>
      <c r="F1754" t="s">
        <v>4137</v>
      </c>
    </row>
    <row r="1755" spans="1:6">
      <c r="A1755" t="s">
        <v>5884</v>
      </c>
      <c r="B1755" t="s">
        <v>865</v>
      </c>
      <c r="C1755" t="s">
        <v>70</v>
      </c>
      <c r="D1755" s="1">
        <v>45775</v>
      </c>
      <c r="E1755" t="s">
        <v>4127</v>
      </c>
      <c r="F1755" t="s">
        <v>4137</v>
      </c>
    </row>
    <row r="1756" spans="1:6">
      <c r="A1756" t="s">
        <v>5885</v>
      </c>
      <c r="B1756" t="s">
        <v>865</v>
      </c>
      <c r="C1756" t="s">
        <v>70</v>
      </c>
      <c r="D1756" s="1">
        <v>45776</v>
      </c>
      <c r="E1756" t="s">
        <v>4133</v>
      </c>
      <c r="F1756" t="s">
        <v>4137</v>
      </c>
    </row>
    <row r="1757" spans="1:6">
      <c r="A1757" t="s">
        <v>5886</v>
      </c>
      <c r="B1757" t="s">
        <v>865</v>
      </c>
      <c r="C1757" t="s">
        <v>70</v>
      </c>
      <c r="D1757" s="1">
        <v>45778</v>
      </c>
      <c r="E1757" t="s">
        <v>4124</v>
      </c>
      <c r="F1757" t="s">
        <v>4139</v>
      </c>
    </row>
    <row r="1758" spans="1:6">
      <c r="A1758" t="s">
        <v>5887</v>
      </c>
      <c r="B1758" t="s">
        <v>866</v>
      </c>
      <c r="C1758" t="s">
        <v>32</v>
      </c>
      <c r="D1758" s="1">
        <v>45719</v>
      </c>
      <c r="E1758" t="s">
        <v>4127</v>
      </c>
      <c r="F1758" t="s">
        <v>4139</v>
      </c>
    </row>
    <row r="1759" spans="1:6">
      <c r="A1759" t="s">
        <v>5888</v>
      </c>
      <c r="B1759" t="s">
        <v>866</v>
      </c>
      <c r="C1759" t="s">
        <v>32</v>
      </c>
      <c r="D1759" s="1">
        <v>45726</v>
      </c>
      <c r="E1759" t="s">
        <v>4124</v>
      </c>
      <c r="F1759" t="s">
        <v>4137</v>
      </c>
    </row>
    <row r="1760" spans="1:6">
      <c r="A1760" t="s">
        <v>5889</v>
      </c>
      <c r="B1760" t="s">
        <v>866</v>
      </c>
      <c r="C1760" t="s">
        <v>32</v>
      </c>
      <c r="D1760" s="1">
        <v>45719</v>
      </c>
      <c r="E1760" t="s">
        <v>4135</v>
      </c>
      <c r="F1760" t="s">
        <v>4137</v>
      </c>
    </row>
    <row r="1761" spans="1:6">
      <c r="A1761" t="s">
        <v>5890</v>
      </c>
      <c r="B1761" t="s">
        <v>866</v>
      </c>
      <c r="C1761" t="s">
        <v>32</v>
      </c>
      <c r="D1761" s="1">
        <v>45727</v>
      </c>
      <c r="E1761" t="s">
        <v>4129</v>
      </c>
      <c r="F1761" t="s">
        <v>4139</v>
      </c>
    </row>
    <row r="1762" spans="1:6">
      <c r="A1762" t="s">
        <v>5891</v>
      </c>
      <c r="B1762" t="s">
        <v>866</v>
      </c>
      <c r="C1762" t="s">
        <v>32</v>
      </c>
      <c r="D1762" s="1">
        <v>45724</v>
      </c>
      <c r="E1762" t="s">
        <v>4129</v>
      </c>
      <c r="F1762" t="s">
        <v>4137</v>
      </c>
    </row>
    <row r="1763" spans="1:6">
      <c r="A1763" t="s">
        <v>5892</v>
      </c>
      <c r="B1763" t="s">
        <v>867</v>
      </c>
      <c r="C1763" t="s">
        <v>78</v>
      </c>
      <c r="D1763" s="1">
        <v>46018</v>
      </c>
      <c r="E1763" t="s">
        <v>4127</v>
      </c>
      <c r="F1763" t="s">
        <v>4137</v>
      </c>
    </row>
    <row r="1764" spans="1:6">
      <c r="A1764" t="s">
        <v>5893</v>
      </c>
      <c r="B1764" t="s">
        <v>867</v>
      </c>
      <c r="C1764" t="s">
        <v>78</v>
      </c>
      <c r="D1764" s="1">
        <v>45995</v>
      </c>
      <c r="E1764" t="s">
        <v>4124</v>
      </c>
      <c r="F1764" t="s">
        <v>4137</v>
      </c>
    </row>
    <row r="1765" spans="1:6">
      <c r="A1765" t="s">
        <v>5894</v>
      </c>
      <c r="B1765" t="s">
        <v>867</v>
      </c>
      <c r="C1765" t="s">
        <v>78</v>
      </c>
      <c r="D1765" s="1">
        <v>46008</v>
      </c>
      <c r="E1765" t="s">
        <v>4129</v>
      </c>
      <c r="F1765" t="s">
        <v>4125</v>
      </c>
    </row>
    <row r="1766" spans="1:6">
      <c r="A1766" t="s">
        <v>5895</v>
      </c>
      <c r="B1766" t="s">
        <v>867</v>
      </c>
      <c r="C1766" t="s">
        <v>78</v>
      </c>
      <c r="D1766" s="1">
        <v>45998</v>
      </c>
      <c r="E1766" t="s">
        <v>4129</v>
      </c>
      <c r="F1766" t="s">
        <v>4125</v>
      </c>
    </row>
    <row r="1767" spans="1:6">
      <c r="A1767" t="s">
        <v>5896</v>
      </c>
      <c r="B1767" t="s">
        <v>868</v>
      </c>
      <c r="C1767" t="s">
        <v>50</v>
      </c>
      <c r="D1767" s="1">
        <v>45794</v>
      </c>
      <c r="E1767" t="s">
        <v>4133</v>
      </c>
      <c r="F1767" t="s">
        <v>4139</v>
      </c>
    </row>
    <row r="1768" spans="1:6">
      <c r="A1768" t="s">
        <v>5897</v>
      </c>
      <c r="B1768" t="s">
        <v>868</v>
      </c>
      <c r="C1768" t="s">
        <v>50</v>
      </c>
      <c r="D1768" s="1">
        <v>45836</v>
      </c>
      <c r="E1768" t="s">
        <v>4135</v>
      </c>
      <c r="F1768" t="s">
        <v>4139</v>
      </c>
    </row>
    <row r="1769" spans="1:6">
      <c r="A1769" t="s">
        <v>5898</v>
      </c>
      <c r="B1769" t="s">
        <v>868</v>
      </c>
      <c r="C1769" t="s">
        <v>50</v>
      </c>
      <c r="D1769" s="1">
        <v>45796</v>
      </c>
      <c r="E1769" t="s">
        <v>4133</v>
      </c>
      <c r="F1769" t="s">
        <v>4137</v>
      </c>
    </row>
    <row r="1770" spans="1:6">
      <c r="A1770" t="s">
        <v>5899</v>
      </c>
      <c r="B1770" t="s">
        <v>868</v>
      </c>
      <c r="C1770" t="s">
        <v>50</v>
      </c>
      <c r="D1770" s="1">
        <v>45833</v>
      </c>
      <c r="E1770" t="s">
        <v>4124</v>
      </c>
      <c r="F1770" t="s">
        <v>4137</v>
      </c>
    </row>
    <row r="1771" spans="1:6">
      <c r="A1771" t="s">
        <v>5900</v>
      </c>
      <c r="B1771" t="s">
        <v>868</v>
      </c>
      <c r="C1771" t="s">
        <v>50</v>
      </c>
      <c r="D1771" s="1">
        <v>45838</v>
      </c>
      <c r="E1771" t="s">
        <v>4135</v>
      </c>
      <c r="F1771" t="s">
        <v>4125</v>
      </c>
    </row>
    <row r="1772" spans="1:6">
      <c r="A1772" t="s">
        <v>5901</v>
      </c>
      <c r="B1772" t="s">
        <v>869</v>
      </c>
      <c r="C1772" t="s">
        <v>53</v>
      </c>
      <c r="D1772" s="1">
        <v>45754</v>
      </c>
      <c r="E1772" t="s">
        <v>4133</v>
      </c>
      <c r="F1772" t="s">
        <v>4125</v>
      </c>
    </row>
    <row r="1773" spans="1:6">
      <c r="A1773" t="s">
        <v>5902</v>
      </c>
      <c r="B1773" t="s">
        <v>869</v>
      </c>
      <c r="C1773" t="s">
        <v>53</v>
      </c>
      <c r="D1773" s="1">
        <v>45751</v>
      </c>
      <c r="E1773" t="s">
        <v>4124</v>
      </c>
      <c r="F1773" t="s">
        <v>4137</v>
      </c>
    </row>
    <row r="1774" spans="1:6">
      <c r="A1774" t="s">
        <v>5903</v>
      </c>
      <c r="B1774" t="s">
        <v>869</v>
      </c>
      <c r="C1774" t="s">
        <v>53</v>
      </c>
      <c r="D1774" s="1">
        <v>45785</v>
      </c>
      <c r="E1774" t="s">
        <v>4133</v>
      </c>
      <c r="F1774" t="s">
        <v>4139</v>
      </c>
    </row>
    <row r="1775" spans="1:6">
      <c r="A1775" t="s">
        <v>5904</v>
      </c>
      <c r="B1775" t="s">
        <v>869</v>
      </c>
      <c r="C1775" t="s">
        <v>53</v>
      </c>
      <c r="D1775" s="1">
        <v>45767</v>
      </c>
      <c r="E1775" t="s">
        <v>4133</v>
      </c>
      <c r="F1775" t="s">
        <v>4125</v>
      </c>
    </row>
    <row r="1776" spans="1:6">
      <c r="A1776" t="s">
        <v>5905</v>
      </c>
      <c r="B1776" t="s">
        <v>870</v>
      </c>
      <c r="C1776" t="s">
        <v>75</v>
      </c>
      <c r="D1776" s="1">
        <v>45998</v>
      </c>
      <c r="E1776" t="s">
        <v>4135</v>
      </c>
      <c r="F1776" t="s">
        <v>4125</v>
      </c>
    </row>
    <row r="1777" spans="1:6">
      <c r="A1777" t="s">
        <v>5906</v>
      </c>
      <c r="B1777" t="s">
        <v>870</v>
      </c>
      <c r="C1777" t="s">
        <v>75</v>
      </c>
      <c r="D1777" s="1">
        <v>45994</v>
      </c>
      <c r="E1777" t="s">
        <v>4124</v>
      </c>
      <c r="F1777" t="s">
        <v>4125</v>
      </c>
    </row>
    <row r="1778" spans="1:6">
      <c r="A1778" t="s">
        <v>5907</v>
      </c>
      <c r="B1778" t="s">
        <v>870</v>
      </c>
      <c r="C1778" t="s">
        <v>75</v>
      </c>
      <c r="D1778" s="1">
        <v>45996</v>
      </c>
      <c r="E1778" t="s">
        <v>4133</v>
      </c>
      <c r="F1778" t="s">
        <v>4125</v>
      </c>
    </row>
    <row r="1779" spans="1:6">
      <c r="A1779" t="s">
        <v>5908</v>
      </c>
      <c r="B1779" t="s">
        <v>870</v>
      </c>
      <c r="C1779" t="s">
        <v>75</v>
      </c>
      <c r="D1779" s="1">
        <v>45985</v>
      </c>
      <c r="E1779" t="s">
        <v>4133</v>
      </c>
      <c r="F1779" t="s">
        <v>4139</v>
      </c>
    </row>
    <row r="1780" spans="1:6">
      <c r="A1780" t="s">
        <v>5909</v>
      </c>
      <c r="B1780" t="s">
        <v>872</v>
      </c>
      <c r="C1780" t="s">
        <v>70</v>
      </c>
      <c r="D1780" s="1">
        <v>45909</v>
      </c>
      <c r="E1780" t="s">
        <v>4124</v>
      </c>
      <c r="F1780" t="s">
        <v>4139</v>
      </c>
    </row>
    <row r="1781" spans="1:6">
      <c r="A1781" t="s">
        <v>5910</v>
      </c>
      <c r="B1781" t="s">
        <v>872</v>
      </c>
      <c r="C1781" t="s">
        <v>70</v>
      </c>
      <c r="D1781" s="1">
        <v>45868</v>
      </c>
      <c r="E1781" t="s">
        <v>4129</v>
      </c>
      <c r="F1781" t="s">
        <v>4137</v>
      </c>
    </row>
    <row r="1782" spans="1:6">
      <c r="A1782" t="s">
        <v>5911</v>
      </c>
      <c r="B1782" t="s">
        <v>872</v>
      </c>
      <c r="C1782" t="s">
        <v>70</v>
      </c>
      <c r="D1782" s="1">
        <v>45906</v>
      </c>
      <c r="E1782" t="s">
        <v>4127</v>
      </c>
      <c r="F1782" t="s">
        <v>4137</v>
      </c>
    </row>
    <row r="1783" spans="1:6">
      <c r="A1783" t="s">
        <v>5912</v>
      </c>
      <c r="B1783" t="s">
        <v>873</v>
      </c>
      <c r="C1783" t="s">
        <v>78</v>
      </c>
      <c r="D1783" s="1">
        <v>45698</v>
      </c>
      <c r="E1783" t="s">
        <v>4133</v>
      </c>
      <c r="F1783" t="s">
        <v>4137</v>
      </c>
    </row>
    <row r="1784" spans="1:6">
      <c r="A1784" t="s">
        <v>5913</v>
      </c>
      <c r="B1784" t="s">
        <v>873</v>
      </c>
      <c r="C1784" t="s">
        <v>78</v>
      </c>
      <c r="D1784" s="1">
        <v>45706</v>
      </c>
      <c r="E1784" t="s">
        <v>4133</v>
      </c>
      <c r="F1784" t="s">
        <v>4125</v>
      </c>
    </row>
    <row r="1785" spans="1:6">
      <c r="A1785" t="s">
        <v>5914</v>
      </c>
      <c r="B1785" t="s">
        <v>873</v>
      </c>
      <c r="C1785" t="s">
        <v>78</v>
      </c>
      <c r="D1785" s="1">
        <v>45726</v>
      </c>
      <c r="E1785" t="s">
        <v>4127</v>
      </c>
      <c r="F1785" t="s">
        <v>4139</v>
      </c>
    </row>
    <row r="1786" spans="1:6">
      <c r="A1786" t="s">
        <v>5915</v>
      </c>
      <c r="B1786" t="s">
        <v>873</v>
      </c>
      <c r="C1786" t="s">
        <v>78</v>
      </c>
      <c r="D1786" s="1">
        <v>45706</v>
      </c>
      <c r="E1786" t="s">
        <v>4127</v>
      </c>
      <c r="F1786" t="s">
        <v>4137</v>
      </c>
    </row>
    <row r="1787" spans="1:6">
      <c r="A1787" t="s">
        <v>5916</v>
      </c>
      <c r="B1787" t="s">
        <v>874</v>
      </c>
      <c r="C1787" t="s">
        <v>16</v>
      </c>
      <c r="D1787" s="1">
        <v>45704</v>
      </c>
      <c r="E1787" t="s">
        <v>4129</v>
      </c>
      <c r="F1787" t="s">
        <v>4139</v>
      </c>
    </row>
    <row r="1788" spans="1:6">
      <c r="A1788" t="s">
        <v>5917</v>
      </c>
      <c r="B1788" t="s">
        <v>874</v>
      </c>
      <c r="C1788" t="s">
        <v>16</v>
      </c>
      <c r="D1788" s="1">
        <v>45709</v>
      </c>
      <c r="E1788" t="s">
        <v>4133</v>
      </c>
      <c r="F1788" t="s">
        <v>4125</v>
      </c>
    </row>
    <row r="1789" spans="1:6">
      <c r="A1789" t="s">
        <v>5918</v>
      </c>
      <c r="B1789" t="s">
        <v>874</v>
      </c>
      <c r="C1789" t="s">
        <v>16</v>
      </c>
      <c r="D1789" s="1">
        <v>45707</v>
      </c>
      <c r="E1789" t="s">
        <v>4127</v>
      </c>
      <c r="F1789" t="s">
        <v>4125</v>
      </c>
    </row>
    <row r="1790" spans="1:6">
      <c r="A1790" t="s">
        <v>5919</v>
      </c>
      <c r="B1790" t="s">
        <v>874</v>
      </c>
      <c r="C1790" t="s">
        <v>16</v>
      </c>
      <c r="D1790" s="1">
        <v>45692</v>
      </c>
      <c r="E1790" t="s">
        <v>4133</v>
      </c>
      <c r="F1790" t="s">
        <v>4137</v>
      </c>
    </row>
    <row r="1791" spans="1:6">
      <c r="A1791" t="s">
        <v>5920</v>
      </c>
      <c r="B1791" t="s">
        <v>875</v>
      </c>
      <c r="C1791" t="s">
        <v>168</v>
      </c>
      <c r="D1791" s="1">
        <v>45832</v>
      </c>
      <c r="E1791" t="s">
        <v>4124</v>
      </c>
      <c r="F1791" t="s">
        <v>4139</v>
      </c>
    </row>
    <row r="1792" spans="1:6">
      <c r="A1792" t="s">
        <v>5921</v>
      </c>
      <c r="B1792" t="s">
        <v>875</v>
      </c>
      <c r="C1792" t="s">
        <v>168</v>
      </c>
      <c r="D1792" s="1">
        <v>45841</v>
      </c>
      <c r="E1792" t="s">
        <v>4129</v>
      </c>
      <c r="F1792" t="s">
        <v>4125</v>
      </c>
    </row>
    <row r="1793" spans="1:6">
      <c r="A1793" t="s">
        <v>5922</v>
      </c>
      <c r="B1793" t="s">
        <v>877</v>
      </c>
      <c r="C1793" t="s">
        <v>91</v>
      </c>
      <c r="D1793" s="1">
        <v>45728</v>
      </c>
      <c r="E1793" t="s">
        <v>4133</v>
      </c>
      <c r="F1793" t="s">
        <v>4139</v>
      </c>
    </row>
    <row r="1794" spans="1:6">
      <c r="A1794" t="s">
        <v>5923</v>
      </c>
      <c r="B1794" t="s">
        <v>877</v>
      </c>
      <c r="C1794" t="s">
        <v>91</v>
      </c>
      <c r="D1794" s="1">
        <v>45698</v>
      </c>
      <c r="E1794" t="s">
        <v>4124</v>
      </c>
      <c r="F1794" t="s">
        <v>4125</v>
      </c>
    </row>
    <row r="1795" spans="1:6">
      <c r="A1795" t="s">
        <v>5924</v>
      </c>
      <c r="B1795" t="s">
        <v>877</v>
      </c>
      <c r="C1795" t="s">
        <v>91</v>
      </c>
      <c r="D1795" s="1">
        <v>45722</v>
      </c>
      <c r="E1795" t="s">
        <v>4127</v>
      </c>
      <c r="F1795" t="s">
        <v>4137</v>
      </c>
    </row>
    <row r="1796" spans="1:6">
      <c r="A1796" t="s">
        <v>5925</v>
      </c>
      <c r="B1796" t="s">
        <v>879</v>
      </c>
      <c r="C1796" t="s">
        <v>78</v>
      </c>
      <c r="D1796" s="1">
        <v>45676</v>
      </c>
      <c r="E1796" t="s">
        <v>4124</v>
      </c>
      <c r="F1796" t="s">
        <v>4139</v>
      </c>
    </row>
    <row r="1797" spans="1:6">
      <c r="A1797" t="s">
        <v>5926</v>
      </c>
      <c r="B1797" t="s">
        <v>879</v>
      </c>
      <c r="C1797" t="s">
        <v>78</v>
      </c>
      <c r="D1797" s="1">
        <v>45674</v>
      </c>
      <c r="E1797" t="s">
        <v>4124</v>
      </c>
      <c r="F1797" t="s">
        <v>4125</v>
      </c>
    </row>
    <row r="1798" spans="1:6">
      <c r="A1798" t="s">
        <v>5927</v>
      </c>
      <c r="B1798" t="s">
        <v>881</v>
      </c>
      <c r="C1798" t="s">
        <v>59</v>
      </c>
      <c r="D1798" s="1">
        <v>45963</v>
      </c>
      <c r="E1798" t="s">
        <v>4127</v>
      </c>
      <c r="F1798" t="s">
        <v>4137</v>
      </c>
    </row>
    <row r="1799" spans="1:6">
      <c r="A1799" t="s">
        <v>5928</v>
      </c>
      <c r="B1799" t="s">
        <v>881</v>
      </c>
      <c r="C1799" t="s">
        <v>59</v>
      </c>
      <c r="D1799" s="1">
        <v>45946</v>
      </c>
      <c r="E1799" t="s">
        <v>4135</v>
      </c>
      <c r="F1799" t="s">
        <v>4139</v>
      </c>
    </row>
    <row r="1800" spans="1:6">
      <c r="A1800" t="s">
        <v>5929</v>
      </c>
      <c r="B1800" t="s">
        <v>881</v>
      </c>
      <c r="C1800" t="s">
        <v>59</v>
      </c>
      <c r="D1800" s="1">
        <v>45950</v>
      </c>
      <c r="E1800" t="s">
        <v>4129</v>
      </c>
      <c r="F1800" t="s">
        <v>4139</v>
      </c>
    </row>
    <row r="1801" spans="1:6">
      <c r="A1801" t="s">
        <v>5930</v>
      </c>
      <c r="B1801" t="s">
        <v>881</v>
      </c>
      <c r="C1801" t="s">
        <v>59</v>
      </c>
      <c r="D1801" s="1">
        <v>45968</v>
      </c>
      <c r="E1801" t="s">
        <v>4124</v>
      </c>
      <c r="F1801" t="s">
        <v>4125</v>
      </c>
    </row>
    <row r="1802" spans="1:6">
      <c r="A1802" t="s">
        <v>5931</v>
      </c>
      <c r="B1802" t="s">
        <v>882</v>
      </c>
      <c r="C1802" t="s">
        <v>56</v>
      </c>
      <c r="D1802" s="1">
        <v>45683</v>
      </c>
      <c r="E1802" t="s">
        <v>4124</v>
      </c>
      <c r="F1802" t="s">
        <v>4139</v>
      </c>
    </row>
    <row r="1803" spans="1:6">
      <c r="A1803" t="s">
        <v>5932</v>
      </c>
      <c r="B1803" t="s">
        <v>882</v>
      </c>
      <c r="C1803" t="s">
        <v>56</v>
      </c>
      <c r="D1803" s="1">
        <v>45685</v>
      </c>
      <c r="E1803" t="s">
        <v>4133</v>
      </c>
      <c r="F1803" t="s">
        <v>4137</v>
      </c>
    </row>
    <row r="1804" spans="1:6">
      <c r="A1804" t="s">
        <v>5933</v>
      </c>
      <c r="B1804" t="s">
        <v>883</v>
      </c>
      <c r="C1804" t="s">
        <v>78</v>
      </c>
      <c r="D1804" s="1">
        <v>45823</v>
      </c>
      <c r="E1804" t="s">
        <v>4129</v>
      </c>
      <c r="F1804" t="s">
        <v>4139</v>
      </c>
    </row>
    <row r="1805" spans="1:6">
      <c r="A1805" t="s">
        <v>5934</v>
      </c>
      <c r="B1805" t="s">
        <v>883</v>
      </c>
      <c r="C1805" t="s">
        <v>78</v>
      </c>
      <c r="D1805" s="1">
        <v>45838</v>
      </c>
      <c r="E1805" t="s">
        <v>4127</v>
      </c>
      <c r="F1805" t="s">
        <v>4139</v>
      </c>
    </row>
    <row r="1806" spans="1:6">
      <c r="A1806" t="s">
        <v>5935</v>
      </c>
      <c r="B1806" t="s">
        <v>885</v>
      </c>
      <c r="C1806" t="s">
        <v>16</v>
      </c>
      <c r="D1806" s="1">
        <v>45889</v>
      </c>
      <c r="E1806" t="s">
        <v>4129</v>
      </c>
      <c r="F1806" t="s">
        <v>4125</v>
      </c>
    </row>
    <row r="1807" spans="1:6">
      <c r="A1807" t="s">
        <v>5936</v>
      </c>
      <c r="B1807" t="s">
        <v>885</v>
      </c>
      <c r="C1807" t="s">
        <v>16</v>
      </c>
      <c r="D1807" s="1">
        <v>45851</v>
      </c>
      <c r="E1807" t="s">
        <v>4133</v>
      </c>
      <c r="F1807" t="s">
        <v>4137</v>
      </c>
    </row>
    <row r="1808" spans="1:6">
      <c r="A1808" t="s">
        <v>5937</v>
      </c>
      <c r="B1808" t="s">
        <v>885</v>
      </c>
      <c r="C1808" t="s">
        <v>16</v>
      </c>
      <c r="D1808" s="1">
        <v>45871</v>
      </c>
      <c r="E1808" t="s">
        <v>4129</v>
      </c>
      <c r="F1808" t="s">
        <v>4137</v>
      </c>
    </row>
    <row r="1809" spans="1:6">
      <c r="A1809" t="s">
        <v>5938</v>
      </c>
      <c r="B1809" t="s">
        <v>885</v>
      </c>
      <c r="C1809" t="s">
        <v>16</v>
      </c>
      <c r="D1809" s="1">
        <v>45862</v>
      </c>
      <c r="E1809" t="s">
        <v>4133</v>
      </c>
      <c r="F1809" t="s">
        <v>4139</v>
      </c>
    </row>
    <row r="1810" spans="1:6">
      <c r="A1810" t="s">
        <v>5939</v>
      </c>
      <c r="B1810" t="s">
        <v>887</v>
      </c>
      <c r="C1810" t="s">
        <v>63</v>
      </c>
      <c r="D1810" s="1">
        <v>45780</v>
      </c>
      <c r="E1810" t="s">
        <v>4135</v>
      </c>
      <c r="F1810" t="s">
        <v>4125</v>
      </c>
    </row>
    <row r="1811" spans="1:6">
      <c r="A1811" t="s">
        <v>5940</v>
      </c>
      <c r="B1811" t="s">
        <v>887</v>
      </c>
      <c r="C1811" t="s">
        <v>63</v>
      </c>
      <c r="D1811" s="1">
        <v>45832</v>
      </c>
      <c r="E1811" t="s">
        <v>4124</v>
      </c>
      <c r="F1811" t="s">
        <v>4139</v>
      </c>
    </row>
    <row r="1812" spans="1:6">
      <c r="A1812" t="s">
        <v>5941</v>
      </c>
      <c r="B1812" t="s">
        <v>887</v>
      </c>
      <c r="C1812" t="s">
        <v>63</v>
      </c>
      <c r="D1812" s="1">
        <v>45778</v>
      </c>
      <c r="E1812" t="s">
        <v>4124</v>
      </c>
      <c r="F1812" t="s">
        <v>4139</v>
      </c>
    </row>
    <row r="1813" spans="1:6">
      <c r="A1813" t="s">
        <v>5942</v>
      </c>
      <c r="B1813" t="s">
        <v>889</v>
      </c>
      <c r="C1813" t="s">
        <v>56</v>
      </c>
      <c r="D1813" s="1">
        <v>45854</v>
      </c>
      <c r="E1813" t="s">
        <v>4124</v>
      </c>
      <c r="F1813" t="s">
        <v>4137</v>
      </c>
    </row>
    <row r="1814" spans="1:6">
      <c r="A1814" t="s">
        <v>5943</v>
      </c>
      <c r="B1814" t="s">
        <v>889</v>
      </c>
      <c r="C1814" t="s">
        <v>56</v>
      </c>
      <c r="D1814" s="1">
        <v>45868</v>
      </c>
      <c r="E1814" t="s">
        <v>4133</v>
      </c>
      <c r="F1814" t="s">
        <v>4139</v>
      </c>
    </row>
    <row r="1815" spans="1:6">
      <c r="A1815" t="s">
        <v>5944</v>
      </c>
      <c r="B1815" t="s">
        <v>889</v>
      </c>
      <c r="C1815" t="s">
        <v>56</v>
      </c>
      <c r="D1815" s="1">
        <v>45860</v>
      </c>
      <c r="E1815" t="s">
        <v>4124</v>
      </c>
      <c r="F1815" t="s">
        <v>4139</v>
      </c>
    </row>
    <row r="1816" spans="1:6">
      <c r="A1816" t="s">
        <v>5945</v>
      </c>
      <c r="B1816" t="s">
        <v>889</v>
      </c>
      <c r="C1816" t="s">
        <v>56</v>
      </c>
      <c r="D1816" s="1">
        <v>45867</v>
      </c>
      <c r="E1816" t="s">
        <v>4129</v>
      </c>
      <c r="F1816" t="s">
        <v>4139</v>
      </c>
    </row>
    <row r="1817" spans="1:6">
      <c r="A1817" t="s">
        <v>5946</v>
      </c>
      <c r="B1817" t="s">
        <v>889</v>
      </c>
      <c r="C1817" t="s">
        <v>56</v>
      </c>
      <c r="D1817" s="1">
        <v>45863</v>
      </c>
      <c r="E1817" t="s">
        <v>4133</v>
      </c>
      <c r="F1817" t="s">
        <v>4125</v>
      </c>
    </row>
    <row r="1818" spans="1:6">
      <c r="A1818" t="s">
        <v>5947</v>
      </c>
      <c r="B1818" t="s">
        <v>890</v>
      </c>
      <c r="C1818" t="s">
        <v>27</v>
      </c>
      <c r="D1818" s="1">
        <v>45990</v>
      </c>
      <c r="E1818" t="s">
        <v>4129</v>
      </c>
      <c r="F1818" t="s">
        <v>4137</v>
      </c>
    </row>
    <row r="1819" spans="1:6">
      <c r="A1819" t="s">
        <v>5948</v>
      </c>
      <c r="B1819" t="s">
        <v>890</v>
      </c>
      <c r="C1819" t="s">
        <v>27</v>
      </c>
      <c r="D1819" s="1">
        <v>45996</v>
      </c>
      <c r="E1819" t="s">
        <v>4133</v>
      </c>
      <c r="F1819" t="s">
        <v>4139</v>
      </c>
    </row>
    <row r="1820" spans="1:6">
      <c r="A1820" t="s">
        <v>5949</v>
      </c>
      <c r="B1820" t="s">
        <v>891</v>
      </c>
      <c r="C1820" t="s">
        <v>152</v>
      </c>
      <c r="D1820" s="1">
        <v>45990</v>
      </c>
      <c r="E1820" t="s">
        <v>4135</v>
      </c>
      <c r="F1820" t="s">
        <v>4139</v>
      </c>
    </row>
    <row r="1821" spans="1:6">
      <c r="A1821" t="s">
        <v>5950</v>
      </c>
      <c r="B1821" t="s">
        <v>891</v>
      </c>
      <c r="C1821" t="s">
        <v>152</v>
      </c>
      <c r="D1821" s="1">
        <v>45932</v>
      </c>
      <c r="E1821" t="s">
        <v>4127</v>
      </c>
      <c r="F1821" t="s">
        <v>4125</v>
      </c>
    </row>
    <row r="1822" spans="1:6">
      <c r="A1822" t="s">
        <v>5951</v>
      </c>
      <c r="B1822" t="s">
        <v>891</v>
      </c>
      <c r="C1822" t="s">
        <v>152</v>
      </c>
      <c r="D1822" s="1">
        <v>45966</v>
      </c>
      <c r="E1822" t="s">
        <v>4133</v>
      </c>
      <c r="F1822" t="s">
        <v>4139</v>
      </c>
    </row>
    <row r="1823" spans="1:6">
      <c r="A1823" t="s">
        <v>5952</v>
      </c>
      <c r="B1823" t="s">
        <v>891</v>
      </c>
      <c r="C1823" t="s">
        <v>152</v>
      </c>
      <c r="D1823" s="1">
        <v>46000</v>
      </c>
      <c r="E1823" t="s">
        <v>4127</v>
      </c>
      <c r="F1823" t="s">
        <v>4137</v>
      </c>
    </row>
    <row r="1824" spans="1:6">
      <c r="A1824" t="s">
        <v>5953</v>
      </c>
      <c r="B1824" t="s">
        <v>891</v>
      </c>
      <c r="C1824" t="s">
        <v>152</v>
      </c>
      <c r="D1824" s="1">
        <v>46004</v>
      </c>
      <c r="E1824" t="s">
        <v>4124</v>
      </c>
      <c r="F1824" t="s">
        <v>4139</v>
      </c>
    </row>
    <row r="1825" spans="1:6">
      <c r="A1825" t="s">
        <v>5954</v>
      </c>
      <c r="B1825" t="s">
        <v>893</v>
      </c>
      <c r="C1825" t="s">
        <v>40</v>
      </c>
      <c r="D1825" s="1">
        <v>45828</v>
      </c>
      <c r="E1825" t="s">
        <v>4135</v>
      </c>
      <c r="F1825" t="s">
        <v>4137</v>
      </c>
    </row>
    <row r="1826" spans="1:6">
      <c r="A1826" t="s">
        <v>5955</v>
      </c>
      <c r="B1826" t="s">
        <v>893</v>
      </c>
      <c r="C1826" t="s">
        <v>40</v>
      </c>
      <c r="D1826" s="1">
        <v>45854</v>
      </c>
      <c r="E1826" t="s">
        <v>4133</v>
      </c>
      <c r="F1826" t="s">
        <v>4137</v>
      </c>
    </row>
    <row r="1827" spans="1:6">
      <c r="A1827" t="s">
        <v>5956</v>
      </c>
      <c r="B1827" t="s">
        <v>893</v>
      </c>
      <c r="C1827" t="s">
        <v>40</v>
      </c>
      <c r="D1827" s="1">
        <v>45796</v>
      </c>
      <c r="E1827" t="s">
        <v>4124</v>
      </c>
      <c r="F1827" t="s">
        <v>4139</v>
      </c>
    </row>
    <row r="1828" spans="1:6">
      <c r="A1828" t="s">
        <v>5957</v>
      </c>
      <c r="B1828" t="s">
        <v>893</v>
      </c>
      <c r="C1828" t="s">
        <v>40</v>
      </c>
      <c r="D1828" s="1">
        <v>45840</v>
      </c>
      <c r="E1828" t="s">
        <v>4124</v>
      </c>
      <c r="F1828" t="s">
        <v>4125</v>
      </c>
    </row>
    <row r="1829" spans="1:6">
      <c r="A1829" t="s">
        <v>5958</v>
      </c>
      <c r="B1829" t="s">
        <v>895</v>
      </c>
      <c r="C1829" t="s">
        <v>168</v>
      </c>
      <c r="D1829" s="1">
        <v>45881</v>
      </c>
      <c r="E1829" t="s">
        <v>4135</v>
      </c>
      <c r="F1829" t="s">
        <v>4137</v>
      </c>
    </row>
    <row r="1830" spans="1:6">
      <c r="A1830" t="s">
        <v>5959</v>
      </c>
      <c r="B1830" t="s">
        <v>895</v>
      </c>
      <c r="C1830" t="s">
        <v>168</v>
      </c>
      <c r="D1830" s="1">
        <v>45875</v>
      </c>
      <c r="E1830" t="s">
        <v>4127</v>
      </c>
      <c r="F1830" t="s">
        <v>4137</v>
      </c>
    </row>
    <row r="1831" spans="1:6">
      <c r="A1831" t="s">
        <v>5960</v>
      </c>
      <c r="B1831" t="s">
        <v>897</v>
      </c>
      <c r="C1831" t="s">
        <v>78</v>
      </c>
      <c r="D1831" s="1">
        <v>45743</v>
      </c>
      <c r="E1831" t="s">
        <v>4129</v>
      </c>
      <c r="F1831" t="s">
        <v>4137</v>
      </c>
    </row>
    <row r="1832" spans="1:6">
      <c r="A1832" t="s">
        <v>5961</v>
      </c>
      <c r="B1832" t="s">
        <v>897</v>
      </c>
      <c r="C1832" t="s">
        <v>78</v>
      </c>
      <c r="D1832" s="1">
        <v>45742</v>
      </c>
      <c r="E1832" t="s">
        <v>4127</v>
      </c>
      <c r="F1832" t="s">
        <v>4139</v>
      </c>
    </row>
    <row r="1833" spans="1:6">
      <c r="A1833" t="s">
        <v>5962</v>
      </c>
      <c r="B1833" t="s">
        <v>897</v>
      </c>
      <c r="C1833" t="s">
        <v>78</v>
      </c>
      <c r="D1833" s="1">
        <v>45741</v>
      </c>
      <c r="E1833" t="s">
        <v>4135</v>
      </c>
      <c r="F1833" t="s">
        <v>4139</v>
      </c>
    </row>
    <row r="1834" spans="1:6">
      <c r="A1834" t="s">
        <v>5963</v>
      </c>
      <c r="B1834" t="s">
        <v>898</v>
      </c>
      <c r="C1834" t="s">
        <v>91</v>
      </c>
      <c r="D1834" s="1">
        <v>45795</v>
      </c>
      <c r="E1834" t="s">
        <v>4133</v>
      </c>
      <c r="F1834" t="s">
        <v>4125</v>
      </c>
    </row>
    <row r="1835" spans="1:6">
      <c r="A1835" t="s">
        <v>5964</v>
      </c>
      <c r="B1835" t="s">
        <v>898</v>
      </c>
      <c r="C1835" t="s">
        <v>91</v>
      </c>
      <c r="D1835" s="1">
        <v>45817</v>
      </c>
      <c r="E1835" t="s">
        <v>4133</v>
      </c>
      <c r="F1835" t="s">
        <v>4125</v>
      </c>
    </row>
    <row r="1836" spans="1:6">
      <c r="A1836" t="s">
        <v>5965</v>
      </c>
      <c r="B1836" t="s">
        <v>898</v>
      </c>
      <c r="C1836" t="s">
        <v>91</v>
      </c>
      <c r="D1836" s="1">
        <v>45793</v>
      </c>
      <c r="E1836" t="s">
        <v>4135</v>
      </c>
      <c r="F1836" t="s">
        <v>4139</v>
      </c>
    </row>
    <row r="1837" spans="1:6">
      <c r="A1837" t="s">
        <v>5966</v>
      </c>
      <c r="B1837" t="s">
        <v>898</v>
      </c>
      <c r="C1837" t="s">
        <v>91</v>
      </c>
      <c r="D1837" s="1">
        <v>45809</v>
      </c>
      <c r="E1837" t="s">
        <v>4129</v>
      </c>
      <c r="F1837" t="s">
        <v>4137</v>
      </c>
    </row>
    <row r="1838" spans="1:6">
      <c r="A1838" t="s">
        <v>5967</v>
      </c>
      <c r="B1838" t="s">
        <v>899</v>
      </c>
      <c r="C1838" t="s">
        <v>22</v>
      </c>
      <c r="D1838" s="1">
        <v>45715</v>
      </c>
      <c r="E1838" t="s">
        <v>4124</v>
      </c>
      <c r="F1838" t="s">
        <v>4125</v>
      </c>
    </row>
    <row r="1839" spans="1:6">
      <c r="A1839" t="s">
        <v>5968</v>
      </c>
      <c r="B1839" t="s">
        <v>899</v>
      </c>
      <c r="C1839" t="s">
        <v>22</v>
      </c>
      <c r="D1839" s="1">
        <v>45717</v>
      </c>
      <c r="E1839" t="s">
        <v>4124</v>
      </c>
      <c r="F1839" t="s">
        <v>4137</v>
      </c>
    </row>
    <row r="1840" spans="1:6">
      <c r="A1840" t="s">
        <v>5969</v>
      </c>
      <c r="B1840" t="s">
        <v>899</v>
      </c>
      <c r="C1840" t="s">
        <v>22</v>
      </c>
      <c r="D1840" s="1">
        <v>45733</v>
      </c>
      <c r="E1840" t="s">
        <v>4133</v>
      </c>
      <c r="F1840" t="s">
        <v>4139</v>
      </c>
    </row>
    <row r="1841" spans="1:6">
      <c r="A1841" t="s">
        <v>5970</v>
      </c>
      <c r="B1841" t="s">
        <v>899</v>
      </c>
      <c r="C1841" t="s">
        <v>22</v>
      </c>
      <c r="D1841" s="1">
        <v>45717</v>
      </c>
      <c r="E1841" t="s">
        <v>4133</v>
      </c>
      <c r="F1841" t="s">
        <v>4137</v>
      </c>
    </row>
    <row r="1842" spans="1:6">
      <c r="A1842" t="s">
        <v>5971</v>
      </c>
      <c r="B1842" t="s">
        <v>901</v>
      </c>
      <c r="C1842" t="s">
        <v>119</v>
      </c>
      <c r="D1842" s="1">
        <v>45695</v>
      </c>
      <c r="E1842" t="s">
        <v>4129</v>
      </c>
      <c r="F1842" t="s">
        <v>4139</v>
      </c>
    </row>
    <row r="1843" spans="1:6">
      <c r="A1843" t="s">
        <v>5972</v>
      </c>
      <c r="B1843" t="s">
        <v>901</v>
      </c>
      <c r="C1843" t="s">
        <v>119</v>
      </c>
      <c r="D1843" s="1">
        <v>45680</v>
      </c>
      <c r="E1843" t="s">
        <v>4124</v>
      </c>
      <c r="F1843" t="s">
        <v>4125</v>
      </c>
    </row>
    <row r="1844" spans="1:6">
      <c r="A1844" t="s">
        <v>5973</v>
      </c>
      <c r="B1844" t="s">
        <v>901</v>
      </c>
      <c r="C1844" t="s">
        <v>119</v>
      </c>
      <c r="D1844" s="1">
        <v>45676</v>
      </c>
      <c r="E1844" t="s">
        <v>4133</v>
      </c>
      <c r="F1844" t="s">
        <v>4139</v>
      </c>
    </row>
    <row r="1845" spans="1:6">
      <c r="A1845" t="s">
        <v>5974</v>
      </c>
      <c r="B1845" t="s">
        <v>903</v>
      </c>
      <c r="C1845" t="s">
        <v>119</v>
      </c>
      <c r="D1845" s="1">
        <v>46022</v>
      </c>
      <c r="E1845" t="s">
        <v>4129</v>
      </c>
      <c r="F1845" t="s">
        <v>4125</v>
      </c>
    </row>
    <row r="1846" spans="1:6">
      <c r="A1846" t="s">
        <v>5975</v>
      </c>
      <c r="B1846" t="s">
        <v>903</v>
      </c>
      <c r="C1846" t="s">
        <v>119</v>
      </c>
      <c r="D1846" s="1">
        <v>46008</v>
      </c>
      <c r="E1846" t="s">
        <v>4127</v>
      </c>
      <c r="F1846" t="s">
        <v>4137</v>
      </c>
    </row>
    <row r="1847" spans="1:6">
      <c r="A1847" t="s">
        <v>5976</v>
      </c>
      <c r="B1847" t="s">
        <v>903</v>
      </c>
      <c r="C1847" t="s">
        <v>119</v>
      </c>
      <c r="D1847" s="1">
        <v>45992</v>
      </c>
      <c r="E1847" t="s">
        <v>4129</v>
      </c>
      <c r="F1847" t="s">
        <v>4137</v>
      </c>
    </row>
    <row r="1848" spans="1:6">
      <c r="A1848" t="s">
        <v>5977</v>
      </c>
      <c r="B1848" t="s">
        <v>903</v>
      </c>
      <c r="C1848" t="s">
        <v>119</v>
      </c>
      <c r="D1848" s="1">
        <v>45995</v>
      </c>
      <c r="E1848" t="s">
        <v>4127</v>
      </c>
      <c r="F1848" t="s">
        <v>4139</v>
      </c>
    </row>
    <row r="1849" spans="1:6">
      <c r="A1849" t="s">
        <v>5978</v>
      </c>
      <c r="B1849" t="s">
        <v>903</v>
      </c>
      <c r="C1849" t="s">
        <v>119</v>
      </c>
      <c r="D1849" s="1">
        <v>46003</v>
      </c>
      <c r="E1849" t="s">
        <v>4135</v>
      </c>
      <c r="F1849" t="s">
        <v>4137</v>
      </c>
    </row>
    <row r="1850" spans="1:6">
      <c r="A1850" t="s">
        <v>5979</v>
      </c>
      <c r="B1850" t="s">
        <v>904</v>
      </c>
      <c r="C1850" t="s">
        <v>46</v>
      </c>
      <c r="D1850" s="1">
        <v>46017</v>
      </c>
      <c r="E1850" t="s">
        <v>4124</v>
      </c>
      <c r="F1850" t="s">
        <v>4125</v>
      </c>
    </row>
    <row r="1851" spans="1:6">
      <c r="A1851" t="s">
        <v>5980</v>
      </c>
      <c r="B1851" t="s">
        <v>904</v>
      </c>
      <c r="C1851" t="s">
        <v>46</v>
      </c>
      <c r="D1851" s="1">
        <v>46015</v>
      </c>
      <c r="E1851" t="s">
        <v>4124</v>
      </c>
      <c r="F1851" t="s">
        <v>4137</v>
      </c>
    </row>
    <row r="1852" spans="1:6">
      <c r="A1852" t="s">
        <v>5981</v>
      </c>
      <c r="B1852" t="s">
        <v>906</v>
      </c>
      <c r="C1852" t="s">
        <v>126</v>
      </c>
      <c r="D1852" s="1">
        <v>45954</v>
      </c>
      <c r="E1852" t="s">
        <v>4127</v>
      </c>
      <c r="F1852" t="s">
        <v>4139</v>
      </c>
    </row>
    <row r="1853" spans="1:6">
      <c r="A1853" t="s">
        <v>5982</v>
      </c>
      <c r="B1853" t="s">
        <v>906</v>
      </c>
      <c r="C1853" t="s">
        <v>126</v>
      </c>
      <c r="D1853" s="1">
        <v>45938</v>
      </c>
      <c r="E1853" t="s">
        <v>4124</v>
      </c>
      <c r="F1853" t="s">
        <v>4137</v>
      </c>
    </row>
    <row r="1854" spans="1:6">
      <c r="A1854" t="s">
        <v>5983</v>
      </c>
      <c r="B1854" t="s">
        <v>906</v>
      </c>
      <c r="C1854" t="s">
        <v>126</v>
      </c>
      <c r="D1854" s="1">
        <v>45965</v>
      </c>
      <c r="E1854" t="s">
        <v>4135</v>
      </c>
      <c r="F1854" t="s">
        <v>4125</v>
      </c>
    </row>
    <row r="1855" spans="1:6">
      <c r="A1855" t="s">
        <v>5984</v>
      </c>
      <c r="B1855" t="s">
        <v>906</v>
      </c>
      <c r="C1855" t="s">
        <v>126</v>
      </c>
      <c r="D1855" s="1">
        <v>45964</v>
      </c>
      <c r="E1855" t="s">
        <v>4135</v>
      </c>
      <c r="F1855" t="s">
        <v>4139</v>
      </c>
    </row>
    <row r="1856" spans="1:6">
      <c r="A1856" t="s">
        <v>5985</v>
      </c>
      <c r="B1856" t="s">
        <v>908</v>
      </c>
      <c r="C1856" t="s">
        <v>46</v>
      </c>
      <c r="D1856" s="1">
        <v>45745</v>
      </c>
      <c r="E1856" t="s">
        <v>4124</v>
      </c>
      <c r="F1856" t="s">
        <v>4139</v>
      </c>
    </row>
    <row r="1857" spans="1:6">
      <c r="A1857" t="s">
        <v>5986</v>
      </c>
      <c r="B1857" t="s">
        <v>908</v>
      </c>
      <c r="C1857" t="s">
        <v>46</v>
      </c>
      <c r="D1857" s="1">
        <v>45753</v>
      </c>
      <c r="E1857" t="s">
        <v>4133</v>
      </c>
      <c r="F1857" t="s">
        <v>4139</v>
      </c>
    </row>
    <row r="1858" spans="1:6">
      <c r="A1858" t="s">
        <v>5987</v>
      </c>
      <c r="B1858" t="s">
        <v>908</v>
      </c>
      <c r="C1858" t="s">
        <v>46</v>
      </c>
      <c r="D1858" s="1">
        <v>45775</v>
      </c>
      <c r="E1858" t="s">
        <v>4129</v>
      </c>
      <c r="F1858" t="s">
        <v>4137</v>
      </c>
    </row>
    <row r="1859" spans="1:6">
      <c r="A1859" t="s">
        <v>5988</v>
      </c>
      <c r="B1859" t="s">
        <v>910</v>
      </c>
      <c r="C1859" t="s">
        <v>91</v>
      </c>
      <c r="D1859" s="1">
        <v>45798</v>
      </c>
      <c r="E1859" t="s">
        <v>4129</v>
      </c>
      <c r="F1859" t="s">
        <v>4125</v>
      </c>
    </row>
    <row r="1860" spans="1:6">
      <c r="A1860" t="s">
        <v>5989</v>
      </c>
      <c r="B1860" t="s">
        <v>910</v>
      </c>
      <c r="C1860" t="s">
        <v>91</v>
      </c>
      <c r="D1860" s="1">
        <v>45736</v>
      </c>
      <c r="E1860" t="s">
        <v>4133</v>
      </c>
      <c r="F1860" t="s">
        <v>4139</v>
      </c>
    </row>
    <row r="1861" spans="1:6">
      <c r="A1861" t="s">
        <v>5990</v>
      </c>
      <c r="B1861" t="s">
        <v>910</v>
      </c>
      <c r="C1861" t="s">
        <v>91</v>
      </c>
      <c r="D1861" s="1">
        <v>45768</v>
      </c>
      <c r="E1861" t="s">
        <v>4124</v>
      </c>
      <c r="F1861" t="s">
        <v>4137</v>
      </c>
    </row>
    <row r="1862" spans="1:6">
      <c r="A1862" t="s">
        <v>5991</v>
      </c>
      <c r="B1862" t="s">
        <v>910</v>
      </c>
      <c r="C1862" t="s">
        <v>91</v>
      </c>
      <c r="D1862" s="1">
        <v>45780</v>
      </c>
      <c r="E1862" t="s">
        <v>4124</v>
      </c>
      <c r="F1862" t="s">
        <v>4137</v>
      </c>
    </row>
    <row r="1863" spans="1:6">
      <c r="A1863" t="s">
        <v>5992</v>
      </c>
      <c r="B1863" t="s">
        <v>911</v>
      </c>
      <c r="C1863" t="s">
        <v>75</v>
      </c>
      <c r="D1863" s="1">
        <v>45809</v>
      </c>
      <c r="E1863" t="s">
        <v>4124</v>
      </c>
      <c r="F1863" t="s">
        <v>4137</v>
      </c>
    </row>
    <row r="1864" spans="1:6">
      <c r="A1864" t="s">
        <v>5993</v>
      </c>
      <c r="B1864" t="s">
        <v>911</v>
      </c>
      <c r="C1864" t="s">
        <v>75</v>
      </c>
      <c r="D1864" s="1">
        <v>45807</v>
      </c>
      <c r="E1864" t="s">
        <v>4135</v>
      </c>
      <c r="F1864" t="s">
        <v>4125</v>
      </c>
    </row>
    <row r="1865" spans="1:6">
      <c r="A1865" t="s">
        <v>5994</v>
      </c>
      <c r="B1865" t="s">
        <v>911</v>
      </c>
      <c r="C1865" t="s">
        <v>75</v>
      </c>
      <c r="D1865" s="1">
        <v>45826</v>
      </c>
      <c r="E1865" t="s">
        <v>4127</v>
      </c>
      <c r="F1865" t="s">
        <v>4139</v>
      </c>
    </row>
    <row r="1866" spans="1:6">
      <c r="A1866" t="s">
        <v>5995</v>
      </c>
      <c r="B1866" t="s">
        <v>911</v>
      </c>
      <c r="C1866" t="s">
        <v>75</v>
      </c>
      <c r="D1866" s="1">
        <v>45780</v>
      </c>
      <c r="E1866" t="s">
        <v>4127</v>
      </c>
      <c r="F1866" t="s">
        <v>4137</v>
      </c>
    </row>
    <row r="1867" spans="1:6">
      <c r="A1867" t="s">
        <v>5996</v>
      </c>
      <c r="B1867" t="s">
        <v>913</v>
      </c>
      <c r="C1867" t="s">
        <v>63</v>
      </c>
      <c r="D1867" s="1">
        <v>45972</v>
      </c>
      <c r="E1867" t="s">
        <v>4127</v>
      </c>
      <c r="F1867" t="s">
        <v>4139</v>
      </c>
    </row>
    <row r="1868" spans="1:6">
      <c r="A1868" t="s">
        <v>5997</v>
      </c>
      <c r="B1868" t="s">
        <v>913</v>
      </c>
      <c r="C1868" t="s">
        <v>63</v>
      </c>
      <c r="D1868" s="1">
        <v>45941</v>
      </c>
      <c r="E1868" t="s">
        <v>4133</v>
      </c>
      <c r="F1868" t="s">
        <v>4125</v>
      </c>
    </row>
    <row r="1869" spans="1:6">
      <c r="A1869" t="s">
        <v>5998</v>
      </c>
      <c r="B1869" t="s">
        <v>913</v>
      </c>
      <c r="C1869" t="s">
        <v>63</v>
      </c>
      <c r="D1869" s="1">
        <v>45949</v>
      </c>
      <c r="E1869" t="s">
        <v>4124</v>
      </c>
      <c r="F1869" t="s">
        <v>4125</v>
      </c>
    </row>
    <row r="1870" spans="1:6">
      <c r="A1870" t="s">
        <v>5999</v>
      </c>
      <c r="B1870" t="s">
        <v>913</v>
      </c>
      <c r="C1870" t="s">
        <v>63</v>
      </c>
      <c r="D1870" s="1">
        <v>45958</v>
      </c>
      <c r="E1870" t="s">
        <v>4129</v>
      </c>
      <c r="F1870" t="s">
        <v>4125</v>
      </c>
    </row>
    <row r="1871" spans="1:6">
      <c r="A1871" t="s">
        <v>6000</v>
      </c>
      <c r="B1871" t="s">
        <v>915</v>
      </c>
      <c r="C1871" t="s">
        <v>16</v>
      </c>
      <c r="D1871" s="1">
        <v>45813</v>
      </c>
      <c r="E1871" t="s">
        <v>4127</v>
      </c>
      <c r="F1871" t="s">
        <v>4137</v>
      </c>
    </row>
    <row r="1872" spans="1:6">
      <c r="A1872" t="s">
        <v>6001</v>
      </c>
      <c r="B1872" t="s">
        <v>915</v>
      </c>
      <c r="C1872" t="s">
        <v>16</v>
      </c>
      <c r="D1872" s="1">
        <v>45841</v>
      </c>
      <c r="E1872" t="s">
        <v>4133</v>
      </c>
      <c r="F1872" t="s">
        <v>4139</v>
      </c>
    </row>
    <row r="1873" spans="1:6">
      <c r="A1873" t="s">
        <v>6002</v>
      </c>
      <c r="B1873" t="s">
        <v>915</v>
      </c>
      <c r="C1873" t="s">
        <v>16</v>
      </c>
      <c r="D1873" s="1">
        <v>45845</v>
      </c>
      <c r="E1873" t="s">
        <v>4127</v>
      </c>
      <c r="F1873" t="s">
        <v>4139</v>
      </c>
    </row>
    <row r="1874" spans="1:6">
      <c r="A1874" t="s">
        <v>6003</v>
      </c>
      <c r="B1874" t="s">
        <v>916</v>
      </c>
      <c r="C1874" t="s">
        <v>63</v>
      </c>
      <c r="D1874" s="1">
        <v>45925</v>
      </c>
      <c r="E1874" t="s">
        <v>4133</v>
      </c>
      <c r="F1874" t="s">
        <v>4137</v>
      </c>
    </row>
    <row r="1875" spans="1:6">
      <c r="A1875" t="s">
        <v>6004</v>
      </c>
      <c r="B1875" t="s">
        <v>916</v>
      </c>
      <c r="C1875" t="s">
        <v>63</v>
      </c>
      <c r="D1875" s="1">
        <v>45921</v>
      </c>
      <c r="E1875" t="s">
        <v>4127</v>
      </c>
      <c r="F1875" t="s">
        <v>4125</v>
      </c>
    </row>
    <row r="1876" spans="1:6">
      <c r="A1876" t="s">
        <v>6005</v>
      </c>
      <c r="B1876" t="s">
        <v>917</v>
      </c>
      <c r="C1876" t="s">
        <v>32</v>
      </c>
      <c r="D1876" s="1">
        <v>45979</v>
      </c>
      <c r="E1876" t="s">
        <v>4124</v>
      </c>
      <c r="F1876" t="s">
        <v>4137</v>
      </c>
    </row>
    <row r="1877" spans="1:6">
      <c r="A1877" t="s">
        <v>6006</v>
      </c>
      <c r="B1877" t="s">
        <v>917</v>
      </c>
      <c r="C1877" t="s">
        <v>32</v>
      </c>
      <c r="D1877" s="1">
        <v>45935</v>
      </c>
      <c r="E1877" t="s">
        <v>4135</v>
      </c>
      <c r="F1877" t="s">
        <v>4137</v>
      </c>
    </row>
    <row r="1878" spans="1:6">
      <c r="A1878" t="s">
        <v>6007</v>
      </c>
      <c r="B1878" t="s">
        <v>917</v>
      </c>
      <c r="C1878" t="s">
        <v>32</v>
      </c>
      <c r="D1878" s="1">
        <v>45938</v>
      </c>
      <c r="E1878" t="s">
        <v>4127</v>
      </c>
      <c r="F1878" t="s">
        <v>4139</v>
      </c>
    </row>
    <row r="1879" spans="1:6">
      <c r="A1879" t="s">
        <v>6008</v>
      </c>
      <c r="B1879" t="s">
        <v>917</v>
      </c>
      <c r="C1879" t="s">
        <v>32</v>
      </c>
      <c r="D1879" s="1">
        <v>45952</v>
      </c>
      <c r="E1879" t="s">
        <v>4133</v>
      </c>
      <c r="F1879" t="s">
        <v>4137</v>
      </c>
    </row>
    <row r="1880" spans="1:6">
      <c r="A1880" t="s">
        <v>6009</v>
      </c>
      <c r="B1880" t="s">
        <v>917</v>
      </c>
      <c r="C1880" t="s">
        <v>32</v>
      </c>
      <c r="D1880" s="1">
        <v>45944</v>
      </c>
      <c r="E1880" t="s">
        <v>4129</v>
      </c>
      <c r="F1880" t="s">
        <v>4137</v>
      </c>
    </row>
    <row r="1881" spans="1:6">
      <c r="A1881" t="s">
        <v>6010</v>
      </c>
      <c r="B1881" t="s">
        <v>919</v>
      </c>
      <c r="C1881" t="s">
        <v>50</v>
      </c>
      <c r="D1881" s="1">
        <v>46008</v>
      </c>
      <c r="E1881" t="s">
        <v>4129</v>
      </c>
      <c r="F1881" t="s">
        <v>4125</v>
      </c>
    </row>
    <row r="1882" spans="1:6">
      <c r="A1882" t="s">
        <v>6011</v>
      </c>
      <c r="B1882" t="s">
        <v>919</v>
      </c>
      <c r="C1882" t="s">
        <v>50</v>
      </c>
      <c r="D1882" s="1">
        <v>46022</v>
      </c>
      <c r="E1882" t="s">
        <v>4133</v>
      </c>
      <c r="F1882" t="s">
        <v>4125</v>
      </c>
    </row>
    <row r="1883" spans="1:6">
      <c r="A1883" t="s">
        <v>6012</v>
      </c>
      <c r="B1883" t="s">
        <v>919</v>
      </c>
      <c r="C1883" t="s">
        <v>50</v>
      </c>
      <c r="D1883" s="1">
        <v>46022</v>
      </c>
      <c r="E1883" t="s">
        <v>4133</v>
      </c>
      <c r="F1883" t="s">
        <v>4139</v>
      </c>
    </row>
    <row r="1884" spans="1:6">
      <c r="A1884" t="s">
        <v>6013</v>
      </c>
      <c r="B1884" t="s">
        <v>919</v>
      </c>
      <c r="C1884" t="s">
        <v>50</v>
      </c>
      <c r="D1884" s="1">
        <v>46006</v>
      </c>
      <c r="E1884" t="s">
        <v>4129</v>
      </c>
      <c r="F1884" t="s">
        <v>4137</v>
      </c>
    </row>
    <row r="1885" spans="1:6">
      <c r="A1885" t="s">
        <v>6014</v>
      </c>
      <c r="B1885" t="s">
        <v>921</v>
      </c>
      <c r="C1885" t="s">
        <v>168</v>
      </c>
      <c r="D1885" s="1">
        <v>45804</v>
      </c>
      <c r="E1885" t="s">
        <v>4129</v>
      </c>
      <c r="F1885" t="s">
        <v>4125</v>
      </c>
    </row>
    <row r="1886" spans="1:6">
      <c r="A1886" t="s">
        <v>6015</v>
      </c>
      <c r="B1886" t="s">
        <v>921</v>
      </c>
      <c r="C1886" t="s">
        <v>168</v>
      </c>
      <c r="D1886" s="1">
        <v>45820</v>
      </c>
      <c r="E1886" t="s">
        <v>4133</v>
      </c>
      <c r="F1886" t="s">
        <v>4137</v>
      </c>
    </row>
    <row r="1887" spans="1:6">
      <c r="A1887" t="s">
        <v>6016</v>
      </c>
      <c r="B1887" t="s">
        <v>921</v>
      </c>
      <c r="C1887" t="s">
        <v>168</v>
      </c>
      <c r="D1887" s="1">
        <v>45801</v>
      </c>
      <c r="E1887" t="s">
        <v>4124</v>
      </c>
      <c r="F1887" t="s">
        <v>4125</v>
      </c>
    </row>
    <row r="1888" spans="1:6">
      <c r="A1888" t="s">
        <v>6017</v>
      </c>
      <c r="B1888" t="s">
        <v>922</v>
      </c>
      <c r="C1888" t="s">
        <v>126</v>
      </c>
      <c r="D1888" s="1">
        <v>45710</v>
      </c>
      <c r="E1888" t="s">
        <v>4135</v>
      </c>
      <c r="F1888" t="s">
        <v>4137</v>
      </c>
    </row>
    <row r="1889" spans="1:6">
      <c r="A1889" t="s">
        <v>6018</v>
      </c>
      <c r="B1889" t="s">
        <v>922</v>
      </c>
      <c r="C1889" t="s">
        <v>126</v>
      </c>
      <c r="D1889" s="1">
        <v>45691</v>
      </c>
      <c r="E1889" t="s">
        <v>4127</v>
      </c>
      <c r="F1889" t="s">
        <v>4125</v>
      </c>
    </row>
    <row r="1890" spans="1:6">
      <c r="A1890" t="s">
        <v>6019</v>
      </c>
      <c r="B1890" t="s">
        <v>922</v>
      </c>
      <c r="C1890" t="s">
        <v>126</v>
      </c>
      <c r="D1890" s="1">
        <v>45708</v>
      </c>
      <c r="E1890" t="s">
        <v>4124</v>
      </c>
      <c r="F1890" t="s">
        <v>4125</v>
      </c>
    </row>
    <row r="1891" spans="1:6">
      <c r="A1891" t="s">
        <v>6020</v>
      </c>
      <c r="B1891" t="s">
        <v>922</v>
      </c>
      <c r="C1891" t="s">
        <v>126</v>
      </c>
      <c r="D1891" s="1">
        <v>45702</v>
      </c>
      <c r="E1891" t="s">
        <v>4129</v>
      </c>
      <c r="F1891" t="s">
        <v>4137</v>
      </c>
    </row>
    <row r="1892" spans="1:6">
      <c r="A1892" t="s">
        <v>6021</v>
      </c>
      <c r="B1892" t="s">
        <v>922</v>
      </c>
      <c r="C1892" t="s">
        <v>126</v>
      </c>
      <c r="D1892" s="1">
        <v>45711</v>
      </c>
      <c r="E1892" t="s">
        <v>4124</v>
      </c>
      <c r="F1892" t="s">
        <v>4137</v>
      </c>
    </row>
    <row r="1893" spans="1:6">
      <c r="A1893" t="s">
        <v>6022</v>
      </c>
      <c r="B1893" t="s">
        <v>923</v>
      </c>
      <c r="C1893" t="s">
        <v>46</v>
      </c>
      <c r="D1893" s="1">
        <v>45864</v>
      </c>
      <c r="E1893" t="s">
        <v>4127</v>
      </c>
      <c r="F1893" t="s">
        <v>4125</v>
      </c>
    </row>
    <row r="1894" spans="1:6">
      <c r="A1894" t="s">
        <v>6023</v>
      </c>
      <c r="B1894" t="s">
        <v>923</v>
      </c>
      <c r="C1894" t="s">
        <v>46</v>
      </c>
      <c r="D1894" s="1">
        <v>45819</v>
      </c>
      <c r="E1894" t="s">
        <v>4127</v>
      </c>
      <c r="F1894" t="s">
        <v>4125</v>
      </c>
    </row>
    <row r="1895" spans="1:6">
      <c r="A1895" t="s">
        <v>6024</v>
      </c>
      <c r="B1895" t="s">
        <v>923</v>
      </c>
      <c r="C1895" t="s">
        <v>46</v>
      </c>
      <c r="D1895" s="1">
        <v>45855</v>
      </c>
      <c r="E1895" t="s">
        <v>4135</v>
      </c>
      <c r="F1895" t="s">
        <v>4137</v>
      </c>
    </row>
    <row r="1896" spans="1:6">
      <c r="A1896" t="s">
        <v>6025</v>
      </c>
      <c r="B1896" t="s">
        <v>924</v>
      </c>
      <c r="C1896" t="s">
        <v>63</v>
      </c>
      <c r="D1896" s="1">
        <v>45876</v>
      </c>
      <c r="E1896" t="s">
        <v>4127</v>
      </c>
      <c r="F1896" t="s">
        <v>4137</v>
      </c>
    </row>
    <row r="1897" spans="1:6">
      <c r="A1897" t="s">
        <v>6026</v>
      </c>
      <c r="B1897" t="s">
        <v>924</v>
      </c>
      <c r="C1897" t="s">
        <v>63</v>
      </c>
      <c r="D1897" s="1">
        <v>45878</v>
      </c>
      <c r="E1897" t="s">
        <v>4127</v>
      </c>
      <c r="F1897" t="s">
        <v>4137</v>
      </c>
    </row>
    <row r="1898" spans="1:6">
      <c r="A1898" t="s">
        <v>6027</v>
      </c>
      <c r="B1898" t="s">
        <v>925</v>
      </c>
      <c r="C1898" t="s">
        <v>32</v>
      </c>
      <c r="D1898" s="1">
        <v>45872</v>
      </c>
      <c r="E1898" t="s">
        <v>4133</v>
      </c>
      <c r="F1898" t="s">
        <v>4137</v>
      </c>
    </row>
    <row r="1899" spans="1:6">
      <c r="A1899" t="s">
        <v>6028</v>
      </c>
      <c r="B1899" t="s">
        <v>925</v>
      </c>
      <c r="C1899" t="s">
        <v>32</v>
      </c>
      <c r="D1899" s="1">
        <v>45869</v>
      </c>
      <c r="E1899" t="s">
        <v>4124</v>
      </c>
      <c r="F1899" t="s">
        <v>4139</v>
      </c>
    </row>
    <row r="1900" spans="1:6">
      <c r="A1900" t="s">
        <v>6029</v>
      </c>
      <c r="B1900" t="s">
        <v>925</v>
      </c>
      <c r="C1900" t="s">
        <v>32</v>
      </c>
      <c r="D1900" s="1">
        <v>45871</v>
      </c>
      <c r="E1900" t="s">
        <v>4135</v>
      </c>
      <c r="F1900" t="s">
        <v>4125</v>
      </c>
    </row>
    <row r="1901" spans="1:6">
      <c r="A1901" t="s">
        <v>6030</v>
      </c>
      <c r="B1901" t="s">
        <v>925</v>
      </c>
      <c r="C1901" t="s">
        <v>32</v>
      </c>
      <c r="D1901" s="1">
        <v>45865</v>
      </c>
      <c r="E1901" t="s">
        <v>4133</v>
      </c>
      <c r="F1901" t="s">
        <v>4125</v>
      </c>
    </row>
    <row r="1902" spans="1:6">
      <c r="A1902" t="s">
        <v>6031</v>
      </c>
      <c r="B1902" t="s">
        <v>926</v>
      </c>
      <c r="C1902" t="s">
        <v>126</v>
      </c>
      <c r="D1902" s="1">
        <v>45967</v>
      </c>
      <c r="E1902" t="s">
        <v>4129</v>
      </c>
      <c r="F1902" t="s">
        <v>4139</v>
      </c>
    </row>
    <row r="1903" spans="1:6">
      <c r="A1903" t="s">
        <v>6032</v>
      </c>
      <c r="B1903" t="s">
        <v>926</v>
      </c>
      <c r="C1903" t="s">
        <v>126</v>
      </c>
      <c r="D1903" s="1">
        <v>45972</v>
      </c>
      <c r="E1903" t="s">
        <v>4129</v>
      </c>
      <c r="F1903" t="s">
        <v>4139</v>
      </c>
    </row>
    <row r="1904" spans="1:6">
      <c r="A1904" t="s">
        <v>6033</v>
      </c>
      <c r="B1904" t="s">
        <v>927</v>
      </c>
      <c r="C1904" t="s">
        <v>36</v>
      </c>
      <c r="D1904" s="1">
        <v>45792</v>
      </c>
      <c r="E1904" t="s">
        <v>4135</v>
      </c>
      <c r="F1904" t="s">
        <v>4139</v>
      </c>
    </row>
    <row r="1905" spans="1:6">
      <c r="A1905" t="s">
        <v>6034</v>
      </c>
      <c r="B1905" t="s">
        <v>927</v>
      </c>
      <c r="C1905" t="s">
        <v>36</v>
      </c>
      <c r="D1905" s="1">
        <v>45776</v>
      </c>
      <c r="E1905" t="s">
        <v>4133</v>
      </c>
      <c r="F1905" t="s">
        <v>4125</v>
      </c>
    </row>
    <row r="1906" spans="1:6">
      <c r="A1906" t="s">
        <v>6035</v>
      </c>
      <c r="B1906" t="s">
        <v>927</v>
      </c>
      <c r="C1906" t="s">
        <v>36</v>
      </c>
      <c r="D1906" s="1">
        <v>45778</v>
      </c>
      <c r="E1906" t="s">
        <v>4129</v>
      </c>
      <c r="F1906" t="s">
        <v>4137</v>
      </c>
    </row>
    <row r="1907" spans="1:6">
      <c r="A1907" t="s">
        <v>6036</v>
      </c>
      <c r="B1907" t="s">
        <v>928</v>
      </c>
      <c r="C1907" t="s">
        <v>70</v>
      </c>
      <c r="D1907" s="1">
        <v>45739</v>
      </c>
      <c r="E1907" t="s">
        <v>4124</v>
      </c>
      <c r="F1907" t="s">
        <v>4125</v>
      </c>
    </row>
    <row r="1908" spans="1:6">
      <c r="A1908" t="s">
        <v>6037</v>
      </c>
      <c r="B1908" t="s">
        <v>928</v>
      </c>
      <c r="C1908" t="s">
        <v>70</v>
      </c>
      <c r="D1908" s="1">
        <v>45744</v>
      </c>
      <c r="E1908" t="s">
        <v>4135</v>
      </c>
      <c r="F1908" t="s">
        <v>4125</v>
      </c>
    </row>
    <row r="1909" spans="1:6">
      <c r="A1909" t="s">
        <v>6038</v>
      </c>
      <c r="B1909" t="s">
        <v>928</v>
      </c>
      <c r="C1909" t="s">
        <v>70</v>
      </c>
      <c r="D1909" s="1">
        <v>45742</v>
      </c>
      <c r="E1909" t="s">
        <v>4133</v>
      </c>
      <c r="F1909" t="s">
        <v>4139</v>
      </c>
    </row>
    <row r="1910" spans="1:6">
      <c r="A1910" t="s">
        <v>6039</v>
      </c>
      <c r="B1910" t="s">
        <v>928</v>
      </c>
      <c r="C1910" t="s">
        <v>70</v>
      </c>
      <c r="D1910" s="1">
        <v>45739</v>
      </c>
      <c r="E1910" t="s">
        <v>4129</v>
      </c>
      <c r="F1910" t="s">
        <v>4125</v>
      </c>
    </row>
    <row r="1911" spans="1:6">
      <c r="A1911" t="s">
        <v>6040</v>
      </c>
      <c r="B1911" t="s">
        <v>930</v>
      </c>
      <c r="C1911" t="s">
        <v>36</v>
      </c>
      <c r="D1911" s="1">
        <v>45692</v>
      </c>
      <c r="E1911" t="s">
        <v>4129</v>
      </c>
      <c r="F1911" t="s">
        <v>4137</v>
      </c>
    </row>
    <row r="1912" spans="1:6">
      <c r="A1912" t="s">
        <v>6041</v>
      </c>
      <c r="B1912" t="s">
        <v>930</v>
      </c>
      <c r="C1912" t="s">
        <v>36</v>
      </c>
      <c r="D1912" s="1">
        <v>45709</v>
      </c>
      <c r="E1912" t="s">
        <v>4124</v>
      </c>
      <c r="F1912" t="s">
        <v>4125</v>
      </c>
    </row>
    <row r="1913" spans="1:6">
      <c r="A1913" t="s">
        <v>6042</v>
      </c>
      <c r="B1913" t="s">
        <v>930</v>
      </c>
      <c r="C1913" t="s">
        <v>36</v>
      </c>
      <c r="D1913" s="1">
        <v>45670</v>
      </c>
      <c r="E1913" t="s">
        <v>4127</v>
      </c>
      <c r="F1913" t="s">
        <v>4137</v>
      </c>
    </row>
    <row r="1914" spans="1:6">
      <c r="A1914" t="s">
        <v>6043</v>
      </c>
      <c r="B1914" t="s">
        <v>930</v>
      </c>
      <c r="C1914" t="s">
        <v>36</v>
      </c>
      <c r="D1914" s="1">
        <v>45726</v>
      </c>
      <c r="E1914" t="s">
        <v>4135</v>
      </c>
      <c r="F1914" t="s">
        <v>4139</v>
      </c>
    </row>
    <row r="1915" spans="1:6">
      <c r="A1915" t="s">
        <v>6044</v>
      </c>
      <c r="B1915" t="s">
        <v>930</v>
      </c>
      <c r="C1915" t="s">
        <v>36</v>
      </c>
      <c r="D1915" s="1">
        <v>45701</v>
      </c>
      <c r="E1915" t="s">
        <v>4129</v>
      </c>
      <c r="F1915" t="s">
        <v>4137</v>
      </c>
    </row>
    <row r="1916" spans="1:6">
      <c r="A1916" t="s">
        <v>6045</v>
      </c>
      <c r="B1916" t="s">
        <v>931</v>
      </c>
      <c r="C1916" t="s">
        <v>32</v>
      </c>
      <c r="D1916" s="1">
        <v>45763</v>
      </c>
      <c r="E1916" t="s">
        <v>4129</v>
      </c>
      <c r="F1916" t="s">
        <v>4125</v>
      </c>
    </row>
    <row r="1917" spans="1:6">
      <c r="A1917" t="s">
        <v>6046</v>
      </c>
      <c r="B1917" t="s">
        <v>931</v>
      </c>
      <c r="C1917" t="s">
        <v>32</v>
      </c>
      <c r="D1917" s="1">
        <v>45720</v>
      </c>
      <c r="E1917" t="s">
        <v>4124</v>
      </c>
      <c r="F1917" t="s">
        <v>4139</v>
      </c>
    </row>
    <row r="1918" spans="1:6">
      <c r="A1918" t="s">
        <v>6047</v>
      </c>
      <c r="B1918" t="s">
        <v>931</v>
      </c>
      <c r="C1918" t="s">
        <v>32</v>
      </c>
      <c r="D1918" s="1">
        <v>45736</v>
      </c>
      <c r="E1918" t="s">
        <v>4124</v>
      </c>
      <c r="F1918" t="s">
        <v>4137</v>
      </c>
    </row>
    <row r="1919" spans="1:6">
      <c r="A1919" t="s">
        <v>6048</v>
      </c>
      <c r="B1919" t="s">
        <v>931</v>
      </c>
      <c r="C1919" t="s">
        <v>32</v>
      </c>
      <c r="D1919" s="1">
        <v>45753</v>
      </c>
      <c r="E1919" t="s">
        <v>4129</v>
      </c>
      <c r="F1919" t="s">
        <v>4125</v>
      </c>
    </row>
    <row r="1920" spans="1:6">
      <c r="A1920" t="s">
        <v>6049</v>
      </c>
      <c r="B1920" t="s">
        <v>932</v>
      </c>
      <c r="C1920" t="s">
        <v>126</v>
      </c>
      <c r="D1920" s="1">
        <v>45989</v>
      </c>
      <c r="E1920" t="s">
        <v>4133</v>
      </c>
      <c r="F1920" t="s">
        <v>4125</v>
      </c>
    </row>
    <row r="1921" spans="1:6">
      <c r="A1921" t="s">
        <v>6050</v>
      </c>
      <c r="B1921" t="s">
        <v>932</v>
      </c>
      <c r="C1921" t="s">
        <v>126</v>
      </c>
      <c r="D1921" s="1">
        <v>45972</v>
      </c>
      <c r="E1921" t="s">
        <v>4127</v>
      </c>
      <c r="F1921" t="s">
        <v>4139</v>
      </c>
    </row>
    <row r="1922" spans="1:6">
      <c r="A1922" t="s">
        <v>6051</v>
      </c>
      <c r="B1922" t="s">
        <v>932</v>
      </c>
      <c r="C1922" t="s">
        <v>126</v>
      </c>
      <c r="D1922" s="1">
        <v>46004</v>
      </c>
      <c r="E1922" t="s">
        <v>4133</v>
      </c>
      <c r="F1922" t="s">
        <v>4139</v>
      </c>
    </row>
    <row r="1923" spans="1:6">
      <c r="A1923" t="s">
        <v>6052</v>
      </c>
      <c r="B1923" t="s">
        <v>932</v>
      </c>
      <c r="C1923" t="s">
        <v>126</v>
      </c>
      <c r="D1923" s="1">
        <v>45988</v>
      </c>
      <c r="E1923" t="s">
        <v>4135</v>
      </c>
      <c r="F1923" t="s">
        <v>4139</v>
      </c>
    </row>
    <row r="1924" spans="1:6">
      <c r="A1924" t="s">
        <v>6053</v>
      </c>
      <c r="B1924" t="s">
        <v>932</v>
      </c>
      <c r="C1924" t="s">
        <v>126</v>
      </c>
      <c r="D1924" s="1">
        <v>46008</v>
      </c>
      <c r="E1924" t="s">
        <v>4124</v>
      </c>
      <c r="F1924" t="s">
        <v>4125</v>
      </c>
    </row>
    <row r="1925" spans="1:6">
      <c r="A1925" t="s">
        <v>6054</v>
      </c>
      <c r="B1925" t="s">
        <v>934</v>
      </c>
      <c r="C1925" t="s">
        <v>126</v>
      </c>
      <c r="D1925" s="1">
        <v>45896</v>
      </c>
      <c r="E1925" t="s">
        <v>4124</v>
      </c>
      <c r="F1925" t="s">
        <v>4137</v>
      </c>
    </row>
    <row r="1926" spans="1:6">
      <c r="A1926" t="s">
        <v>6055</v>
      </c>
      <c r="B1926" t="s">
        <v>934</v>
      </c>
      <c r="C1926" t="s">
        <v>126</v>
      </c>
      <c r="D1926" s="1">
        <v>45907</v>
      </c>
      <c r="E1926" t="s">
        <v>4135</v>
      </c>
      <c r="F1926" t="s">
        <v>4139</v>
      </c>
    </row>
    <row r="1927" spans="1:6">
      <c r="A1927" t="s">
        <v>6056</v>
      </c>
      <c r="B1927" t="s">
        <v>934</v>
      </c>
      <c r="C1927" t="s">
        <v>126</v>
      </c>
      <c r="D1927" s="1">
        <v>45905</v>
      </c>
      <c r="E1927" t="s">
        <v>4129</v>
      </c>
      <c r="F1927" t="s">
        <v>4125</v>
      </c>
    </row>
    <row r="1928" spans="1:6">
      <c r="A1928" t="s">
        <v>6057</v>
      </c>
      <c r="B1928" t="s">
        <v>934</v>
      </c>
      <c r="C1928" t="s">
        <v>126</v>
      </c>
      <c r="D1928" s="1">
        <v>45916</v>
      </c>
      <c r="E1928" t="s">
        <v>4133</v>
      </c>
      <c r="F1928" t="s">
        <v>4137</v>
      </c>
    </row>
    <row r="1929" spans="1:6">
      <c r="A1929" t="s">
        <v>6058</v>
      </c>
      <c r="B1929" t="s">
        <v>934</v>
      </c>
      <c r="C1929" t="s">
        <v>126</v>
      </c>
      <c r="D1929" s="1">
        <v>45890</v>
      </c>
      <c r="E1929" t="s">
        <v>4129</v>
      </c>
      <c r="F1929" t="s">
        <v>4137</v>
      </c>
    </row>
    <row r="1930" spans="1:6">
      <c r="A1930" t="s">
        <v>6059</v>
      </c>
      <c r="B1930" t="s">
        <v>936</v>
      </c>
      <c r="C1930" t="s">
        <v>152</v>
      </c>
      <c r="D1930" s="1">
        <v>46018</v>
      </c>
      <c r="E1930" t="s">
        <v>4133</v>
      </c>
      <c r="F1930" t="s">
        <v>4137</v>
      </c>
    </row>
    <row r="1931" spans="1:6">
      <c r="A1931" t="s">
        <v>6060</v>
      </c>
      <c r="B1931" t="s">
        <v>936</v>
      </c>
      <c r="C1931" t="s">
        <v>152</v>
      </c>
      <c r="D1931" s="1">
        <v>45999</v>
      </c>
      <c r="E1931" t="s">
        <v>4133</v>
      </c>
      <c r="F1931" t="s">
        <v>4139</v>
      </c>
    </row>
    <row r="1932" spans="1:6">
      <c r="A1932" t="s">
        <v>6061</v>
      </c>
      <c r="B1932" t="s">
        <v>937</v>
      </c>
      <c r="C1932" t="s">
        <v>27</v>
      </c>
      <c r="D1932" s="1">
        <v>45763</v>
      </c>
      <c r="E1932" t="s">
        <v>4129</v>
      </c>
      <c r="F1932" t="s">
        <v>4137</v>
      </c>
    </row>
    <row r="1933" spans="1:6">
      <c r="A1933" t="s">
        <v>6062</v>
      </c>
      <c r="B1933" t="s">
        <v>937</v>
      </c>
      <c r="C1933" t="s">
        <v>27</v>
      </c>
      <c r="D1933" s="1">
        <v>45747</v>
      </c>
      <c r="E1933" t="s">
        <v>4129</v>
      </c>
      <c r="F1933" t="s">
        <v>4137</v>
      </c>
    </row>
    <row r="1934" spans="1:6">
      <c r="A1934" t="s">
        <v>6063</v>
      </c>
      <c r="B1934" t="s">
        <v>937</v>
      </c>
      <c r="C1934" t="s">
        <v>27</v>
      </c>
      <c r="D1934" s="1">
        <v>45755</v>
      </c>
      <c r="E1934" t="s">
        <v>4133</v>
      </c>
      <c r="F1934" t="s">
        <v>4137</v>
      </c>
    </row>
    <row r="1935" spans="1:6">
      <c r="A1935" t="s">
        <v>6064</v>
      </c>
      <c r="B1935" t="s">
        <v>938</v>
      </c>
      <c r="C1935" t="s">
        <v>152</v>
      </c>
      <c r="D1935" s="1">
        <v>46013</v>
      </c>
      <c r="E1935" t="s">
        <v>4129</v>
      </c>
      <c r="F1935" t="s">
        <v>4125</v>
      </c>
    </row>
    <row r="1936" spans="1:6">
      <c r="A1936" t="s">
        <v>6065</v>
      </c>
      <c r="B1936" t="s">
        <v>938</v>
      </c>
      <c r="C1936" t="s">
        <v>152</v>
      </c>
      <c r="D1936" s="1">
        <v>46010</v>
      </c>
      <c r="E1936" t="s">
        <v>4129</v>
      </c>
      <c r="F1936" t="s">
        <v>4125</v>
      </c>
    </row>
    <row r="1937" spans="1:6">
      <c r="A1937" t="s">
        <v>6066</v>
      </c>
      <c r="B1937" t="s">
        <v>938</v>
      </c>
      <c r="C1937" t="s">
        <v>152</v>
      </c>
      <c r="D1937" s="1">
        <v>46015</v>
      </c>
      <c r="E1937" t="s">
        <v>4129</v>
      </c>
      <c r="F1937" t="s">
        <v>4125</v>
      </c>
    </row>
    <row r="1938" spans="1:6">
      <c r="A1938" t="s">
        <v>6067</v>
      </c>
      <c r="B1938" t="s">
        <v>939</v>
      </c>
      <c r="C1938" t="s">
        <v>36</v>
      </c>
      <c r="D1938" s="1">
        <v>45775</v>
      </c>
      <c r="E1938" t="s">
        <v>4124</v>
      </c>
      <c r="F1938" t="s">
        <v>4139</v>
      </c>
    </row>
    <row r="1939" spans="1:6">
      <c r="A1939" t="s">
        <v>6068</v>
      </c>
      <c r="B1939" t="s">
        <v>939</v>
      </c>
      <c r="C1939" t="s">
        <v>36</v>
      </c>
      <c r="D1939" s="1">
        <v>45769</v>
      </c>
      <c r="E1939" t="s">
        <v>4124</v>
      </c>
      <c r="F1939" t="s">
        <v>4139</v>
      </c>
    </row>
    <row r="1940" spans="1:6">
      <c r="A1940" t="s">
        <v>6069</v>
      </c>
      <c r="B1940" t="s">
        <v>941</v>
      </c>
      <c r="C1940" t="s">
        <v>126</v>
      </c>
      <c r="D1940" s="1">
        <v>45780</v>
      </c>
      <c r="E1940" t="s">
        <v>4133</v>
      </c>
      <c r="F1940" t="s">
        <v>4137</v>
      </c>
    </row>
    <row r="1941" spans="1:6">
      <c r="A1941" t="s">
        <v>6070</v>
      </c>
      <c r="B1941" t="s">
        <v>941</v>
      </c>
      <c r="C1941" t="s">
        <v>126</v>
      </c>
      <c r="D1941" s="1">
        <v>45831</v>
      </c>
      <c r="E1941" t="s">
        <v>4135</v>
      </c>
      <c r="F1941" t="s">
        <v>4137</v>
      </c>
    </row>
    <row r="1942" spans="1:6">
      <c r="A1942" t="s">
        <v>6071</v>
      </c>
      <c r="B1942" t="s">
        <v>941</v>
      </c>
      <c r="C1942" t="s">
        <v>126</v>
      </c>
      <c r="D1942" s="1">
        <v>45761</v>
      </c>
      <c r="E1942" t="s">
        <v>4135</v>
      </c>
      <c r="F1942" t="s">
        <v>4137</v>
      </c>
    </row>
    <row r="1943" spans="1:6">
      <c r="A1943" t="s">
        <v>6072</v>
      </c>
      <c r="B1943" t="s">
        <v>941</v>
      </c>
      <c r="C1943" t="s">
        <v>126</v>
      </c>
      <c r="D1943" s="1">
        <v>45796</v>
      </c>
      <c r="E1943" t="s">
        <v>4124</v>
      </c>
      <c r="F1943" t="s">
        <v>4125</v>
      </c>
    </row>
    <row r="1944" spans="1:6">
      <c r="A1944" t="s">
        <v>6073</v>
      </c>
      <c r="B1944" t="s">
        <v>941</v>
      </c>
      <c r="C1944" t="s">
        <v>126</v>
      </c>
      <c r="D1944" s="1">
        <v>45799</v>
      </c>
      <c r="E1944" t="s">
        <v>4127</v>
      </c>
      <c r="F1944" t="s">
        <v>4125</v>
      </c>
    </row>
    <row r="1945" spans="1:6">
      <c r="A1945" t="s">
        <v>6074</v>
      </c>
      <c r="B1945" t="s">
        <v>942</v>
      </c>
      <c r="C1945" t="s">
        <v>91</v>
      </c>
      <c r="D1945" s="1">
        <v>45962</v>
      </c>
      <c r="E1945" t="s">
        <v>4135</v>
      </c>
      <c r="F1945" t="s">
        <v>4137</v>
      </c>
    </row>
    <row r="1946" spans="1:6">
      <c r="A1946" t="s">
        <v>6075</v>
      </c>
      <c r="B1946" t="s">
        <v>942</v>
      </c>
      <c r="C1946" t="s">
        <v>91</v>
      </c>
      <c r="D1946" s="1">
        <v>45951</v>
      </c>
      <c r="E1946" t="s">
        <v>4135</v>
      </c>
      <c r="F1946" t="s">
        <v>4125</v>
      </c>
    </row>
    <row r="1947" spans="1:6">
      <c r="A1947" t="s">
        <v>6076</v>
      </c>
      <c r="B1947" t="s">
        <v>942</v>
      </c>
      <c r="C1947" t="s">
        <v>91</v>
      </c>
      <c r="D1947" s="1">
        <v>45969</v>
      </c>
      <c r="E1947" t="s">
        <v>4127</v>
      </c>
      <c r="F1947" t="s">
        <v>4125</v>
      </c>
    </row>
    <row r="1948" spans="1:6">
      <c r="A1948" t="s">
        <v>6077</v>
      </c>
      <c r="B1948" t="s">
        <v>943</v>
      </c>
      <c r="C1948" t="s">
        <v>119</v>
      </c>
      <c r="D1948" s="1">
        <v>45828</v>
      </c>
      <c r="E1948" t="s">
        <v>4135</v>
      </c>
      <c r="F1948" t="s">
        <v>4139</v>
      </c>
    </row>
    <row r="1949" spans="1:6">
      <c r="A1949" t="s">
        <v>6078</v>
      </c>
      <c r="B1949" t="s">
        <v>943</v>
      </c>
      <c r="C1949" t="s">
        <v>119</v>
      </c>
      <c r="D1949" s="1">
        <v>45877</v>
      </c>
      <c r="E1949" t="s">
        <v>4135</v>
      </c>
      <c r="F1949" t="s">
        <v>4139</v>
      </c>
    </row>
    <row r="1950" spans="1:6">
      <c r="A1950" t="s">
        <v>6079</v>
      </c>
      <c r="B1950" t="s">
        <v>945</v>
      </c>
      <c r="C1950" t="s">
        <v>27</v>
      </c>
      <c r="D1950" s="1">
        <v>45833</v>
      </c>
      <c r="E1950" t="s">
        <v>4124</v>
      </c>
      <c r="F1950" t="s">
        <v>4137</v>
      </c>
    </row>
    <row r="1951" spans="1:6">
      <c r="A1951" t="s">
        <v>6080</v>
      </c>
      <c r="B1951" t="s">
        <v>945</v>
      </c>
      <c r="C1951" t="s">
        <v>27</v>
      </c>
      <c r="D1951" s="1">
        <v>45827</v>
      </c>
      <c r="E1951" t="s">
        <v>4129</v>
      </c>
      <c r="F1951" t="s">
        <v>4139</v>
      </c>
    </row>
    <row r="1952" spans="1:6">
      <c r="A1952" t="s">
        <v>6081</v>
      </c>
      <c r="B1952" t="s">
        <v>945</v>
      </c>
      <c r="C1952" t="s">
        <v>27</v>
      </c>
      <c r="D1952" s="1">
        <v>45826</v>
      </c>
      <c r="E1952" t="s">
        <v>4129</v>
      </c>
      <c r="F1952" t="s">
        <v>4137</v>
      </c>
    </row>
    <row r="1953" spans="1:6">
      <c r="A1953" t="s">
        <v>6082</v>
      </c>
      <c r="B1953" t="s">
        <v>945</v>
      </c>
      <c r="C1953" t="s">
        <v>27</v>
      </c>
      <c r="D1953" s="1">
        <v>45829</v>
      </c>
      <c r="E1953" t="s">
        <v>4124</v>
      </c>
      <c r="F1953" t="s">
        <v>4125</v>
      </c>
    </row>
    <row r="1954" spans="1:6">
      <c r="A1954" t="s">
        <v>6083</v>
      </c>
      <c r="B1954" t="s">
        <v>945</v>
      </c>
      <c r="C1954" t="s">
        <v>27</v>
      </c>
      <c r="D1954" s="1">
        <v>45830</v>
      </c>
      <c r="E1954" t="s">
        <v>4127</v>
      </c>
      <c r="F1954" t="s">
        <v>4137</v>
      </c>
    </row>
    <row r="1955" spans="1:6">
      <c r="A1955" t="s">
        <v>6084</v>
      </c>
      <c r="B1955" t="s">
        <v>946</v>
      </c>
      <c r="C1955" t="s">
        <v>91</v>
      </c>
      <c r="D1955" s="1">
        <v>45984</v>
      </c>
      <c r="E1955" t="s">
        <v>4129</v>
      </c>
      <c r="F1955" t="s">
        <v>4137</v>
      </c>
    </row>
    <row r="1956" spans="1:6">
      <c r="A1956" t="s">
        <v>6085</v>
      </c>
      <c r="B1956" t="s">
        <v>946</v>
      </c>
      <c r="C1956" t="s">
        <v>91</v>
      </c>
      <c r="D1956" s="1">
        <v>45991</v>
      </c>
      <c r="E1956" t="s">
        <v>4127</v>
      </c>
      <c r="F1956" t="s">
        <v>4125</v>
      </c>
    </row>
    <row r="1957" spans="1:6">
      <c r="A1957" t="s">
        <v>6086</v>
      </c>
      <c r="B1957" t="s">
        <v>946</v>
      </c>
      <c r="C1957" t="s">
        <v>91</v>
      </c>
      <c r="D1957" s="1">
        <v>45944</v>
      </c>
      <c r="E1957" t="s">
        <v>4129</v>
      </c>
      <c r="F1957" t="s">
        <v>4137</v>
      </c>
    </row>
    <row r="1958" spans="1:6">
      <c r="A1958" t="s">
        <v>6087</v>
      </c>
      <c r="B1958" t="s">
        <v>947</v>
      </c>
      <c r="C1958" t="s">
        <v>78</v>
      </c>
      <c r="D1958" s="1">
        <v>45718</v>
      </c>
      <c r="E1958" t="s">
        <v>4127</v>
      </c>
      <c r="F1958" t="s">
        <v>4139</v>
      </c>
    </row>
    <row r="1959" spans="1:6">
      <c r="A1959" t="s">
        <v>6088</v>
      </c>
      <c r="B1959" t="s">
        <v>947</v>
      </c>
      <c r="C1959" t="s">
        <v>78</v>
      </c>
      <c r="D1959" s="1">
        <v>45671</v>
      </c>
      <c r="E1959" t="s">
        <v>4135</v>
      </c>
      <c r="F1959" t="s">
        <v>4137</v>
      </c>
    </row>
    <row r="1960" spans="1:6">
      <c r="A1960" t="s">
        <v>6089</v>
      </c>
      <c r="B1960" t="s">
        <v>947</v>
      </c>
      <c r="C1960" t="s">
        <v>78</v>
      </c>
      <c r="D1960" s="1">
        <v>45716</v>
      </c>
      <c r="E1960" t="s">
        <v>4129</v>
      </c>
      <c r="F1960" t="s">
        <v>4139</v>
      </c>
    </row>
    <row r="1961" spans="1:6">
      <c r="A1961" t="s">
        <v>6090</v>
      </c>
      <c r="B1961" t="s">
        <v>949</v>
      </c>
      <c r="C1961" t="s">
        <v>91</v>
      </c>
      <c r="D1961" s="1">
        <v>45828</v>
      </c>
      <c r="E1961" t="s">
        <v>4127</v>
      </c>
      <c r="F1961" t="s">
        <v>4125</v>
      </c>
    </row>
    <row r="1962" spans="1:6">
      <c r="A1962" t="s">
        <v>6091</v>
      </c>
      <c r="B1962" t="s">
        <v>949</v>
      </c>
      <c r="C1962" t="s">
        <v>91</v>
      </c>
      <c r="D1962" s="1">
        <v>45856</v>
      </c>
      <c r="E1962" t="s">
        <v>4124</v>
      </c>
      <c r="F1962" t="s">
        <v>4139</v>
      </c>
    </row>
    <row r="1963" spans="1:6">
      <c r="A1963" t="s">
        <v>6092</v>
      </c>
      <c r="B1963" t="s">
        <v>949</v>
      </c>
      <c r="C1963" t="s">
        <v>91</v>
      </c>
      <c r="D1963" s="1">
        <v>45870</v>
      </c>
      <c r="E1963" t="s">
        <v>4127</v>
      </c>
      <c r="F1963" t="s">
        <v>4137</v>
      </c>
    </row>
    <row r="1964" spans="1:6">
      <c r="A1964" t="s">
        <v>6093</v>
      </c>
      <c r="B1964" t="s">
        <v>949</v>
      </c>
      <c r="C1964" t="s">
        <v>91</v>
      </c>
      <c r="D1964" s="1">
        <v>45866</v>
      </c>
      <c r="E1964" t="s">
        <v>4133</v>
      </c>
      <c r="F1964" t="s">
        <v>4125</v>
      </c>
    </row>
    <row r="1965" spans="1:6">
      <c r="A1965" t="s">
        <v>6094</v>
      </c>
      <c r="B1965" t="s">
        <v>950</v>
      </c>
      <c r="C1965" t="s">
        <v>32</v>
      </c>
      <c r="D1965" s="1">
        <v>45992</v>
      </c>
      <c r="E1965" t="s">
        <v>4133</v>
      </c>
      <c r="F1965" t="s">
        <v>4125</v>
      </c>
    </row>
    <row r="1966" spans="1:6">
      <c r="A1966" t="s">
        <v>6095</v>
      </c>
      <c r="B1966" t="s">
        <v>950</v>
      </c>
      <c r="C1966" t="s">
        <v>32</v>
      </c>
      <c r="D1966" s="1">
        <v>46014</v>
      </c>
      <c r="E1966" t="s">
        <v>4135</v>
      </c>
      <c r="F1966" t="s">
        <v>4125</v>
      </c>
    </row>
    <row r="1967" spans="1:6">
      <c r="A1967" t="s">
        <v>6096</v>
      </c>
      <c r="B1967" t="s">
        <v>951</v>
      </c>
      <c r="C1967" t="s">
        <v>126</v>
      </c>
      <c r="D1967" s="1">
        <v>45717</v>
      </c>
      <c r="E1967" t="s">
        <v>4127</v>
      </c>
      <c r="F1967" t="s">
        <v>4139</v>
      </c>
    </row>
    <row r="1968" spans="1:6">
      <c r="A1968" t="s">
        <v>6097</v>
      </c>
      <c r="B1968" t="s">
        <v>951</v>
      </c>
      <c r="C1968" t="s">
        <v>126</v>
      </c>
      <c r="D1968" s="1">
        <v>45720</v>
      </c>
      <c r="E1968" t="s">
        <v>4129</v>
      </c>
      <c r="F1968" t="s">
        <v>4125</v>
      </c>
    </row>
    <row r="1969" spans="1:6">
      <c r="A1969" t="s">
        <v>6098</v>
      </c>
      <c r="B1969" t="s">
        <v>953</v>
      </c>
      <c r="C1969" t="s">
        <v>91</v>
      </c>
      <c r="D1969" s="1">
        <v>46022</v>
      </c>
      <c r="E1969" t="s">
        <v>4133</v>
      </c>
      <c r="F1969" t="s">
        <v>4139</v>
      </c>
    </row>
    <row r="1970" spans="1:6">
      <c r="A1970" t="s">
        <v>6099</v>
      </c>
      <c r="B1970" t="s">
        <v>953</v>
      </c>
      <c r="C1970" t="s">
        <v>91</v>
      </c>
      <c r="D1970" s="1">
        <v>46021</v>
      </c>
      <c r="E1970" t="s">
        <v>4129</v>
      </c>
      <c r="F1970" t="s">
        <v>4139</v>
      </c>
    </row>
    <row r="1971" spans="1:6">
      <c r="A1971" t="s">
        <v>6100</v>
      </c>
      <c r="B1971" t="s">
        <v>953</v>
      </c>
      <c r="C1971" t="s">
        <v>91</v>
      </c>
      <c r="D1971" s="1">
        <v>46022</v>
      </c>
      <c r="E1971" t="s">
        <v>4133</v>
      </c>
      <c r="F1971" t="s">
        <v>4139</v>
      </c>
    </row>
    <row r="1972" spans="1:6">
      <c r="A1972" t="s">
        <v>6101</v>
      </c>
      <c r="B1972" t="s">
        <v>953</v>
      </c>
      <c r="C1972" t="s">
        <v>91</v>
      </c>
      <c r="D1972" s="1">
        <v>46022</v>
      </c>
      <c r="E1972" t="s">
        <v>4133</v>
      </c>
      <c r="F1972" t="s">
        <v>4137</v>
      </c>
    </row>
    <row r="1973" spans="1:6">
      <c r="A1973" t="s">
        <v>6102</v>
      </c>
      <c r="B1973" t="s">
        <v>953</v>
      </c>
      <c r="C1973" t="s">
        <v>91</v>
      </c>
      <c r="D1973" s="1">
        <v>46021</v>
      </c>
      <c r="E1973" t="s">
        <v>4129</v>
      </c>
      <c r="F1973" t="s">
        <v>4137</v>
      </c>
    </row>
    <row r="1974" spans="1:6">
      <c r="A1974" t="s">
        <v>6103</v>
      </c>
      <c r="B1974" t="s">
        <v>955</v>
      </c>
      <c r="C1974" t="s">
        <v>46</v>
      </c>
      <c r="D1974" s="1">
        <v>45853</v>
      </c>
      <c r="E1974" t="s">
        <v>4124</v>
      </c>
      <c r="F1974" t="s">
        <v>4139</v>
      </c>
    </row>
    <row r="1975" spans="1:6">
      <c r="A1975" t="s">
        <v>6104</v>
      </c>
      <c r="B1975" t="s">
        <v>955</v>
      </c>
      <c r="C1975" t="s">
        <v>46</v>
      </c>
      <c r="D1975" s="1">
        <v>45824</v>
      </c>
      <c r="E1975" t="s">
        <v>4133</v>
      </c>
      <c r="F1975" t="s">
        <v>4139</v>
      </c>
    </row>
    <row r="1976" spans="1:6">
      <c r="A1976" t="s">
        <v>6105</v>
      </c>
      <c r="B1976" t="s">
        <v>956</v>
      </c>
      <c r="C1976" t="s">
        <v>126</v>
      </c>
      <c r="D1976" s="1">
        <v>45821</v>
      </c>
      <c r="E1976" t="s">
        <v>4135</v>
      </c>
      <c r="F1976" t="s">
        <v>4137</v>
      </c>
    </row>
    <row r="1977" spans="1:6">
      <c r="A1977" t="s">
        <v>6106</v>
      </c>
      <c r="B1977" t="s">
        <v>956</v>
      </c>
      <c r="C1977" t="s">
        <v>126</v>
      </c>
      <c r="D1977" s="1">
        <v>45823</v>
      </c>
      <c r="E1977" t="s">
        <v>4135</v>
      </c>
      <c r="F1977" t="s">
        <v>4137</v>
      </c>
    </row>
    <row r="1978" spans="1:6">
      <c r="A1978" t="s">
        <v>6107</v>
      </c>
      <c r="B1978" t="s">
        <v>956</v>
      </c>
      <c r="C1978" t="s">
        <v>126</v>
      </c>
      <c r="D1978" s="1">
        <v>45820</v>
      </c>
      <c r="E1978" t="s">
        <v>4124</v>
      </c>
      <c r="F1978" t="s">
        <v>4125</v>
      </c>
    </row>
    <row r="1979" spans="1:6">
      <c r="A1979" t="s">
        <v>6108</v>
      </c>
      <c r="B1979" t="s">
        <v>956</v>
      </c>
      <c r="C1979" t="s">
        <v>126</v>
      </c>
      <c r="D1979" s="1">
        <v>45824</v>
      </c>
      <c r="E1979" t="s">
        <v>4135</v>
      </c>
      <c r="F1979" t="s">
        <v>4137</v>
      </c>
    </row>
    <row r="1980" spans="1:6">
      <c r="A1980" t="s">
        <v>6109</v>
      </c>
      <c r="B1980" t="s">
        <v>956</v>
      </c>
      <c r="C1980" t="s">
        <v>126</v>
      </c>
      <c r="D1980" s="1">
        <v>45822</v>
      </c>
      <c r="E1980" t="s">
        <v>4129</v>
      </c>
      <c r="F1980" t="s">
        <v>4137</v>
      </c>
    </row>
    <row r="1981" spans="1:6">
      <c r="A1981" t="s">
        <v>6110</v>
      </c>
      <c r="B1981" t="s">
        <v>957</v>
      </c>
      <c r="C1981" t="s">
        <v>168</v>
      </c>
      <c r="D1981" s="1">
        <v>45799</v>
      </c>
      <c r="E1981" t="s">
        <v>4124</v>
      </c>
      <c r="F1981" t="s">
        <v>4137</v>
      </c>
    </row>
    <row r="1982" spans="1:6">
      <c r="A1982" t="s">
        <v>6111</v>
      </c>
      <c r="B1982" t="s">
        <v>957</v>
      </c>
      <c r="C1982" t="s">
        <v>168</v>
      </c>
      <c r="D1982" s="1">
        <v>45815</v>
      </c>
      <c r="E1982" t="s">
        <v>4127</v>
      </c>
      <c r="F1982" t="s">
        <v>4137</v>
      </c>
    </row>
    <row r="1983" spans="1:6">
      <c r="A1983" t="s">
        <v>6112</v>
      </c>
      <c r="B1983" t="s">
        <v>957</v>
      </c>
      <c r="C1983" t="s">
        <v>168</v>
      </c>
      <c r="D1983" s="1">
        <v>45821</v>
      </c>
      <c r="E1983" t="s">
        <v>4129</v>
      </c>
      <c r="F1983" t="s">
        <v>4137</v>
      </c>
    </row>
    <row r="1984" spans="1:6">
      <c r="A1984" t="s">
        <v>6113</v>
      </c>
      <c r="B1984" t="s">
        <v>957</v>
      </c>
      <c r="C1984" t="s">
        <v>168</v>
      </c>
      <c r="D1984" s="1">
        <v>45823</v>
      </c>
      <c r="E1984" t="s">
        <v>4135</v>
      </c>
      <c r="F1984" t="s">
        <v>4139</v>
      </c>
    </row>
    <row r="1985" spans="1:6">
      <c r="A1985" t="s">
        <v>6114</v>
      </c>
      <c r="B1985" t="s">
        <v>958</v>
      </c>
      <c r="C1985" t="s">
        <v>22</v>
      </c>
      <c r="D1985" s="1">
        <v>45769</v>
      </c>
      <c r="E1985" t="s">
        <v>4129</v>
      </c>
      <c r="F1985" t="s">
        <v>4125</v>
      </c>
    </row>
    <row r="1986" spans="1:6">
      <c r="A1986" t="s">
        <v>6115</v>
      </c>
      <c r="B1986" t="s">
        <v>958</v>
      </c>
      <c r="C1986" t="s">
        <v>22</v>
      </c>
      <c r="D1986" s="1">
        <v>45754</v>
      </c>
      <c r="E1986" t="s">
        <v>4133</v>
      </c>
      <c r="F1986" t="s">
        <v>4125</v>
      </c>
    </row>
    <row r="1987" spans="1:6">
      <c r="A1987" t="s">
        <v>6116</v>
      </c>
      <c r="B1987" t="s">
        <v>958</v>
      </c>
      <c r="C1987" t="s">
        <v>22</v>
      </c>
      <c r="D1987" s="1">
        <v>45750</v>
      </c>
      <c r="E1987" t="s">
        <v>4127</v>
      </c>
      <c r="F1987" t="s">
        <v>4139</v>
      </c>
    </row>
    <row r="1988" spans="1:6">
      <c r="A1988" t="s">
        <v>6117</v>
      </c>
      <c r="B1988" t="s">
        <v>958</v>
      </c>
      <c r="C1988" t="s">
        <v>22</v>
      </c>
      <c r="D1988" s="1">
        <v>45766</v>
      </c>
      <c r="E1988" t="s">
        <v>4127</v>
      </c>
      <c r="F1988" t="s">
        <v>4139</v>
      </c>
    </row>
    <row r="1989" spans="1:6">
      <c r="A1989" t="s">
        <v>6118</v>
      </c>
      <c r="B1989" t="s">
        <v>960</v>
      </c>
      <c r="C1989" t="s">
        <v>50</v>
      </c>
      <c r="D1989" s="1">
        <v>46013</v>
      </c>
      <c r="E1989" t="s">
        <v>4124</v>
      </c>
      <c r="F1989" t="s">
        <v>4125</v>
      </c>
    </row>
    <row r="1990" spans="1:6">
      <c r="A1990" t="s">
        <v>6119</v>
      </c>
      <c r="B1990" t="s">
        <v>960</v>
      </c>
      <c r="C1990" t="s">
        <v>50</v>
      </c>
      <c r="D1990" s="1">
        <v>46013</v>
      </c>
      <c r="E1990" t="s">
        <v>4133</v>
      </c>
      <c r="F1990" t="s">
        <v>4137</v>
      </c>
    </row>
    <row r="1991" spans="1:6">
      <c r="A1991" t="s">
        <v>6120</v>
      </c>
      <c r="B1991" t="s">
        <v>960</v>
      </c>
      <c r="C1991" t="s">
        <v>50</v>
      </c>
      <c r="D1991" s="1">
        <v>46017</v>
      </c>
      <c r="E1991" t="s">
        <v>4133</v>
      </c>
      <c r="F1991" t="s">
        <v>4125</v>
      </c>
    </row>
    <row r="1992" spans="1:6">
      <c r="A1992" t="s">
        <v>6121</v>
      </c>
      <c r="B1992" t="s">
        <v>960</v>
      </c>
      <c r="C1992" t="s">
        <v>50</v>
      </c>
      <c r="D1992" s="1">
        <v>46006</v>
      </c>
      <c r="E1992" t="s">
        <v>4133</v>
      </c>
      <c r="F1992" t="s">
        <v>4139</v>
      </c>
    </row>
    <row r="1993" spans="1:6">
      <c r="A1993" t="s">
        <v>6122</v>
      </c>
      <c r="B1993" t="s">
        <v>962</v>
      </c>
      <c r="C1993" t="s">
        <v>152</v>
      </c>
      <c r="D1993" s="1">
        <v>45847</v>
      </c>
      <c r="E1993" t="s">
        <v>4135</v>
      </c>
      <c r="F1993" t="s">
        <v>4139</v>
      </c>
    </row>
    <row r="1994" spans="1:6">
      <c r="A1994" t="s">
        <v>6123</v>
      </c>
      <c r="B1994" t="s">
        <v>962</v>
      </c>
      <c r="C1994" t="s">
        <v>152</v>
      </c>
      <c r="D1994" s="1">
        <v>45844</v>
      </c>
      <c r="E1994" t="s">
        <v>4129</v>
      </c>
      <c r="F1994" t="s">
        <v>4137</v>
      </c>
    </row>
    <row r="1995" spans="1:6">
      <c r="A1995" t="s">
        <v>6124</v>
      </c>
      <c r="B1995" t="s">
        <v>962</v>
      </c>
      <c r="C1995" t="s">
        <v>152</v>
      </c>
      <c r="D1995" s="1">
        <v>45848</v>
      </c>
      <c r="E1995" t="s">
        <v>4129</v>
      </c>
      <c r="F1995" t="s">
        <v>4125</v>
      </c>
    </row>
    <row r="1996" spans="1:6">
      <c r="A1996" t="s">
        <v>6125</v>
      </c>
      <c r="B1996" t="s">
        <v>962</v>
      </c>
      <c r="C1996" t="s">
        <v>152</v>
      </c>
      <c r="D1996" s="1">
        <v>45843</v>
      </c>
      <c r="E1996" t="s">
        <v>4124</v>
      </c>
      <c r="F1996" t="s">
        <v>4137</v>
      </c>
    </row>
    <row r="1997" spans="1:6">
      <c r="A1997" t="s">
        <v>6126</v>
      </c>
      <c r="B1997" t="s">
        <v>962</v>
      </c>
      <c r="C1997" t="s">
        <v>152</v>
      </c>
      <c r="D1997" s="1">
        <v>45837</v>
      </c>
      <c r="E1997" t="s">
        <v>4127</v>
      </c>
      <c r="F1997" t="s">
        <v>4125</v>
      </c>
    </row>
    <row r="1998" spans="1:6">
      <c r="A1998" t="s">
        <v>6127</v>
      </c>
      <c r="B1998" t="s">
        <v>963</v>
      </c>
      <c r="C1998" t="s">
        <v>16</v>
      </c>
      <c r="D1998" s="1">
        <v>45922</v>
      </c>
      <c r="E1998" t="s">
        <v>4129</v>
      </c>
      <c r="F1998" t="s">
        <v>4137</v>
      </c>
    </row>
    <row r="1999" spans="1:6">
      <c r="A1999" t="s">
        <v>6128</v>
      </c>
      <c r="B1999" t="s">
        <v>963</v>
      </c>
      <c r="C1999" t="s">
        <v>16</v>
      </c>
      <c r="D1999" s="1">
        <v>45942</v>
      </c>
      <c r="E1999" t="s">
        <v>4133</v>
      </c>
      <c r="F1999" t="s">
        <v>4139</v>
      </c>
    </row>
    <row r="2000" spans="1:6">
      <c r="A2000" t="s">
        <v>6129</v>
      </c>
      <c r="B2000" t="s">
        <v>963</v>
      </c>
      <c r="C2000" t="s">
        <v>16</v>
      </c>
      <c r="D2000" s="1">
        <v>45937</v>
      </c>
      <c r="E2000" t="s">
        <v>4135</v>
      </c>
      <c r="F2000" t="s">
        <v>4137</v>
      </c>
    </row>
    <row r="2001" spans="1:6">
      <c r="A2001" t="s">
        <v>6130</v>
      </c>
      <c r="B2001" t="s">
        <v>963</v>
      </c>
      <c r="C2001" t="s">
        <v>16</v>
      </c>
      <c r="D2001" s="1">
        <v>45943</v>
      </c>
      <c r="E2001" t="s">
        <v>4129</v>
      </c>
      <c r="F2001" t="s">
        <v>4139</v>
      </c>
    </row>
    <row r="2002" spans="1:6">
      <c r="A2002" t="s">
        <v>6131</v>
      </c>
      <c r="B2002" t="s">
        <v>963</v>
      </c>
      <c r="C2002" t="s">
        <v>16</v>
      </c>
      <c r="D2002" s="1">
        <v>45941</v>
      </c>
      <c r="E2002" t="s">
        <v>4135</v>
      </c>
      <c r="F2002" t="s">
        <v>4139</v>
      </c>
    </row>
    <row r="2003" spans="1:6">
      <c r="A2003" t="s">
        <v>6132</v>
      </c>
      <c r="B2003" t="s">
        <v>965</v>
      </c>
      <c r="C2003" t="s">
        <v>46</v>
      </c>
      <c r="D2003" s="1">
        <v>45718</v>
      </c>
      <c r="E2003" t="s">
        <v>4133</v>
      </c>
      <c r="F2003" t="s">
        <v>4125</v>
      </c>
    </row>
    <row r="2004" spans="1:6">
      <c r="A2004" t="s">
        <v>6133</v>
      </c>
      <c r="B2004" t="s">
        <v>965</v>
      </c>
      <c r="C2004" t="s">
        <v>46</v>
      </c>
      <c r="D2004" s="1">
        <v>45708</v>
      </c>
      <c r="E2004" t="s">
        <v>4135</v>
      </c>
      <c r="F2004" t="s">
        <v>4139</v>
      </c>
    </row>
    <row r="2005" spans="1:6">
      <c r="A2005" t="s">
        <v>6134</v>
      </c>
      <c r="B2005" t="s">
        <v>965</v>
      </c>
      <c r="C2005" t="s">
        <v>46</v>
      </c>
      <c r="D2005" s="1">
        <v>45713</v>
      </c>
      <c r="E2005" t="s">
        <v>4127</v>
      </c>
      <c r="F2005" t="s">
        <v>4139</v>
      </c>
    </row>
    <row r="2006" spans="1:6">
      <c r="A2006" t="s">
        <v>6135</v>
      </c>
      <c r="B2006" t="s">
        <v>967</v>
      </c>
      <c r="C2006" t="s">
        <v>75</v>
      </c>
      <c r="D2006" s="1">
        <v>45911</v>
      </c>
      <c r="E2006" t="s">
        <v>4135</v>
      </c>
      <c r="F2006" t="s">
        <v>4137</v>
      </c>
    </row>
    <row r="2007" spans="1:6">
      <c r="A2007" t="s">
        <v>6136</v>
      </c>
      <c r="B2007" t="s">
        <v>967</v>
      </c>
      <c r="C2007" t="s">
        <v>75</v>
      </c>
      <c r="D2007" s="1">
        <v>45887</v>
      </c>
      <c r="E2007" t="s">
        <v>4124</v>
      </c>
      <c r="F2007" t="s">
        <v>4125</v>
      </c>
    </row>
    <row r="2008" spans="1:6">
      <c r="A2008" t="s">
        <v>6137</v>
      </c>
      <c r="B2008" t="s">
        <v>968</v>
      </c>
      <c r="C2008" t="s">
        <v>126</v>
      </c>
      <c r="D2008" s="1">
        <v>45916</v>
      </c>
      <c r="E2008" t="s">
        <v>4124</v>
      </c>
      <c r="F2008" t="s">
        <v>4137</v>
      </c>
    </row>
    <row r="2009" spans="1:6">
      <c r="A2009" t="s">
        <v>6138</v>
      </c>
      <c r="B2009" t="s">
        <v>968</v>
      </c>
      <c r="C2009" t="s">
        <v>126</v>
      </c>
      <c r="D2009" s="1">
        <v>45935</v>
      </c>
      <c r="E2009" t="s">
        <v>4124</v>
      </c>
      <c r="F2009" t="s">
        <v>4125</v>
      </c>
    </row>
    <row r="2010" spans="1:6">
      <c r="A2010" t="s">
        <v>6139</v>
      </c>
      <c r="B2010" t="s">
        <v>968</v>
      </c>
      <c r="C2010" t="s">
        <v>126</v>
      </c>
      <c r="D2010" s="1">
        <v>45949</v>
      </c>
      <c r="E2010" t="s">
        <v>4129</v>
      </c>
      <c r="F2010" t="s">
        <v>4139</v>
      </c>
    </row>
    <row r="2011" spans="1:6">
      <c r="A2011" t="s">
        <v>6140</v>
      </c>
      <c r="B2011" t="s">
        <v>968</v>
      </c>
      <c r="C2011" t="s">
        <v>126</v>
      </c>
      <c r="D2011" s="1">
        <v>45943</v>
      </c>
      <c r="E2011" t="s">
        <v>4124</v>
      </c>
      <c r="F2011" t="s">
        <v>4125</v>
      </c>
    </row>
    <row r="2012" spans="1:6">
      <c r="A2012" t="s">
        <v>6141</v>
      </c>
      <c r="B2012" t="s">
        <v>970</v>
      </c>
      <c r="C2012" t="s">
        <v>53</v>
      </c>
      <c r="D2012" s="1">
        <v>45787</v>
      </c>
      <c r="E2012" t="s">
        <v>4133</v>
      </c>
      <c r="F2012" t="s">
        <v>4125</v>
      </c>
    </row>
    <row r="2013" spans="1:6">
      <c r="A2013" t="s">
        <v>6142</v>
      </c>
      <c r="B2013" t="s">
        <v>970</v>
      </c>
      <c r="C2013" t="s">
        <v>53</v>
      </c>
      <c r="D2013" s="1">
        <v>45790</v>
      </c>
      <c r="E2013" t="s">
        <v>4124</v>
      </c>
      <c r="F2013" t="s">
        <v>4139</v>
      </c>
    </row>
    <row r="2014" spans="1:6">
      <c r="A2014" t="s">
        <v>6143</v>
      </c>
      <c r="B2014" t="s">
        <v>970</v>
      </c>
      <c r="C2014" t="s">
        <v>53</v>
      </c>
      <c r="D2014" s="1">
        <v>45791</v>
      </c>
      <c r="E2014" t="s">
        <v>4135</v>
      </c>
      <c r="F2014" t="s">
        <v>4139</v>
      </c>
    </row>
    <row r="2015" spans="1:6">
      <c r="A2015" t="s">
        <v>6144</v>
      </c>
      <c r="B2015" t="s">
        <v>970</v>
      </c>
      <c r="C2015" t="s">
        <v>53</v>
      </c>
      <c r="D2015" s="1">
        <v>45786</v>
      </c>
      <c r="E2015" t="s">
        <v>4135</v>
      </c>
      <c r="F2015" t="s">
        <v>4139</v>
      </c>
    </row>
    <row r="2016" spans="1:6">
      <c r="A2016" t="s">
        <v>6145</v>
      </c>
      <c r="B2016" t="s">
        <v>971</v>
      </c>
      <c r="C2016" t="s">
        <v>22</v>
      </c>
      <c r="D2016" s="1">
        <v>45717</v>
      </c>
      <c r="E2016" t="s">
        <v>4124</v>
      </c>
      <c r="F2016" t="s">
        <v>4139</v>
      </c>
    </row>
    <row r="2017" spans="1:6">
      <c r="A2017" t="s">
        <v>6146</v>
      </c>
      <c r="B2017" t="s">
        <v>971</v>
      </c>
      <c r="C2017" t="s">
        <v>22</v>
      </c>
      <c r="D2017" s="1">
        <v>45713</v>
      </c>
      <c r="E2017" t="s">
        <v>4124</v>
      </c>
      <c r="F2017" t="s">
        <v>4139</v>
      </c>
    </row>
    <row r="2018" spans="1:6">
      <c r="A2018" t="s">
        <v>6147</v>
      </c>
      <c r="B2018" t="s">
        <v>971</v>
      </c>
      <c r="C2018" t="s">
        <v>22</v>
      </c>
      <c r="D2018" s="1">
        <v>45710</v>
      </c>
      <c r="E2018" t="s">
        <v>4124</v>
      </c>
      <c r="F2018" t="s">
        <v>4125</v>
      </c>
    </row>
    <row r="2019" spans="1:6">
      <c r="A2019" t="s">
        <v>6148</v>
      </c>
      <c r="B2019" t="s">
        <v>971</v>
      </c>
      <c r="C2019" t="s">
        <v>22</v>
      </c>
      <c r="D2019" s="1">
        <v>45721</v>
      </c>
      <c r="E2019" t="s">
        <v>4133</v>
      </c>
      <c r="F2019" t="s">
        <v>4137</v>
      </c>
    </row>
    <row r="2020" spans="1:6">
      <c r="A2020" t="s">
        <v>6149</v>
      </c>
      <c r="B2020" t="s">
        <v>972</v>
      </c>
      <c r="C2020" t="s">
        <v>152</v>
      </c>
      <c r="D2020" s="1">
        <v>46018</v>
      </c>
      <c r="E2020" t="s">
        <v>4129</v>
      </c>
      <c r="F2020" t="s">
        <v>4137</v>
      </c>
    </row>
    <row r="2021" spans="1:6">
      <c r="A2021" t="s">
        <v>6150</v>
      </c>
      <c r="B2021" t="s">
        <v>972</v>
      </c>
      <c r="C2021" t="s">
        <v>152</v>
      </c>
      <c r="D2021" s="1">
        <v>46019</v>
      </c>
      <c r="E2021" t="s">
        <v>4124</v>
      </c>
      <c r="F2021" t="s">
        <v>4139</v>
      </c>
    </row>
    <row r="2022" spans="1:6">
      <c r="A2022" t="s">
        <v>6151</v>
      </c>
      <c r="B2022" t="s">
        <v>972</v>
      </c>
      <c r="C2022" t="s">
        <v>152</v>
      </c>
      <c r="D2022" s="1">
        <v>46016</v>
      </c>
      <c r="E2022" t="s">
        <v>4124</v>
      </c>
      <c r="F2022" t="s">
        <v>4137</v>
      </c>
    </row>
    <row r="2023" spans="1:6">
      <c r="A2023" t="s">
        <v>6152</v>
      </c>
      <c r="B2023" t="s">
        <v>974</v>
      </c>
      <c r="C2023" t="s">
        <v>16</v>
      </c>
      <c r="D2023" s="1">
        <v>45885</v>
      </c>
      <c r="E2023" t="s">
        <v>4129</v>
      </c>
      <c r="F2023" t="s">
        <v>4137</v>
      </c>
    </row>
    <row r="2024" spans="1:6">
      <c r="A2024" t="s">
        <v>6153</v>
      </c>
      <c r="B2024" t="s">
        <v>974</v>
      </c>
      <c r="C2024" t="s">
        <v>16</v>
      </c>
      <c r="D2024" s="1">
        <v>45878</v>
      </c>
      <c r="E2024" t="s">
        <v>4135</v>
      </c>
      <c r="F2024" t="s">
        <v>4137</v>
      </c>
    </row>
    <row r="2025" spans="1:6">
      <c r="A2025" t="s">
        <v>6154</v>
      </c>
      <c r="B2025" t="s">
        <v>974</v>
      </c>
      <c r="C2025" t="s">
        <v>16</v>
      </c>
      <c r="D2025" s="1">
        <v>45892</v>
      </c>
      <c r="E2025" t="s">
        <v>4124</v>
      </c>
      <c r="F2025" t="s">
        <v>4125</v>
      </c>
    </row>
    <row r="2026" spans="1:6">
      <c r="A2026" t="s">
        <v>6155</v>
      </c>
      <c r="B2026" t="s">
        <v>974</v>
      </c>
      <c r="C2026" t="s">
        <v>16</v>
      </c>
      <c r="D2026" s="1">
        <v>45877</v>
      </c>
      <c r="E2026" t="s">
        <v>4135</v>
      </c>
      <c r="F2026" t="s">
        <v>4139</v>
      </c>
    </row>
    <row r="2027" spans="1:6">
      <c r="A2027" t="s">
        <v>6156</v>
      </c>
      <c r="B2027" t="s">
        <v>974</v>
      </c>
      <c r="C2027" t="s">
        <v>16</v>
      </c>
      <c r="D2027" s="1">
        <v>45885</v>
      </c>
      <c r="E2027" t="s">
        <v>4129</v>
      </c>
      <c r="F2027" t="s">
        <v>4137</v>
      </c>
    </row>
    <row r="2028" spans="1:6">
      <c r="A2028" t="s">
        <v>6157</v>
      </c>
      <c r="B2028" t="s">
        <v>975</v>
      </c>
      <c r="C2028" t="s">
        <v>50</v>
      </c>
      <c r="D2028" s="1">
        <v>45936</v>
      </c>
      <c r="E2028" t="s">
        <v>4133</v>
      </c>
      <c r="F2028" t="s">
        <v>4125</v>
      </c>
    </row>
    <row r="2029" spans="1:6">
      <c r="A2029" t="s">
        <v>6158</v>
      </c>
      <c r="B2029" t="s">
        <v>975</v>
      </c>
      <c r="C2029" t="s">
        <v>50</v>
      </c>
      <c r="D2029" s="1">
        <v>45937</v>
      </c>
      <c r="E2029" t="s">
        <v>4127</v>
      </c>
      <c r="F2029" t="s">
        <v>4137</v>
      </c>
    </row>
    <row r="2030" spans="1:6">
      <c r="A2030" t="s">
        <v>6159</v>
      </c>
      <c r="B2030" t="s">
        <v>975</v>
      </c>
      <c r="C2030" t="s">
        <v>50</v>
      </c>
      <c r="D2030" s="1">
        <v>45933</v>
      </c>
      <c r="E2030" t="s">
        <v>4127</v>
      </c>
      <c r="F2030" t="s">
        <v>4139</v>
      </c>
    </row>
    <row r="2031" spans="1:6">
      <c r="A2031" t="s">
        <v>6160</v>
      </c>
      <c r="B2031" t="s">
        <v>975</v>
      </c>
      <c r="C2031" t="s">
        <v>50</v>
      </c>
      <c r="D2031" s="1">
        <v>45924</v>
      </c>
      <c r="E2031" t="s">
        <v>4135</v>
      </c>
      <c r="F2031" t="s">
        <v>4137</v>
      </c>
    </row>
    <row r="2032" spans="1:6">
      <c r="A2032" t="s">
        <v>6161</v>
      </c>
      <c r="B2032" t="s">
        <v>975</v>
      </c>
      <c r="C2032" t="s">
        <v>50</v>
      </c>
      <c r="D2032" s="1">
        <v>45935</v>
      </c>
      <c r="E2032" t="s">
        <v>4124</v>
      </c>
      <c r="F2032" t="s">
        <v>4139</v>
      </c>
    </row>
    <row r="2033" spans="1:6">
      <c r="A2033" t="s">
        <v>6162</v>
      </c>
      <c r="B2033" t="s">
        <v>976</v>
      </c>
      <c r="C2033" t="s">
        <v>91</v>
      </c>
      <c r="D2033" s="1">
        <v>45988</v>
      </c>
      <c r="E2033" t="s">
        <v>4133</v>
      </c>
      <c r="F2033" t="s">
        <v>4125</v>
      </c>
    </row>
    <row r="2034" spans="1:6">
      <c r="A2034" t="s">
        <v>6163</v>
      </c>
      <c r="B2034" t="s">
        <v>976</v>
      </c>
      <c r="C2034" t="s">
        <v>91</v>
      </c>
      <c r="D2034" s="1">
        <v>45986</v>
      </c>
      <c r="E2034" t="s">
        <v>4135</v>
      </c>
      <c r="F2034" t="s">
        <v>4125</v>
      </c>
    </row>
    <row r="2035" spans="1:6">
      <c r="A2035" t="s">
        <v>6164</v>
      </c>
      <c r="B2035" t="s">
        <v>976</v>
      </c>
      <c r="C2035" t="s">
        <v>91</v>
      </c>
      <c r="D2035" s="1">
        <v>45987</v>
      </c>
      <c r="E2035" t="s">
        <v>4124</v>
      </c>
      <c r="F2035" t="s">
        <v>4137</v>
      </c>
    </row>
    <row r="2036" spans="1:6">
      <c r="A2036" t="s">
        <v>6165</v>
      </c>
      <c r="B2036" t="s">
        <v>977</v>
      </c>
      <c r="C2036" t="s">
        <v>91</v>
      </c>
      <c r="D2036" s="1">
        <v>45912</v>
      </c>
      <c r="E2036" t="s">
        <v>4127</v>
      </c>
      <c r="F2036" t="s">
        <v>4139</v>
      </c>
    </row>
    <row r="2037" spans="1:6">
      <c r="A2037" t="s">
        <v>6166</v>
      </c>
      <c r="B2037" t="s">
        <v>977</v>
      </c>
      <c r="C2037" t="s">
        <v>91</v>
      </c>
      <c r="D2037" s="1">
        <v>45901</v>
      </c>
      <c r="E2037" t="s">
        <v>4129</v>
      </c>
      <c r="F2037" t="s">
        <v>4125</v>
      </c>
    </row>
    <row r="2038" spans="1:6">
      <c r="A2038" t="s">
        <v>6167</v>
      </c>
      <c r="B2038" t="s">
        <v>978</v>
      </c>
      <c r="C2038" t="s">
        <v>59</v>
      </c>
      <c r="D2038" s="1">
        <v>45920</v>
      </c>
      <c r="E2038" t="s">
        <v>4135</v>
      </c>
      <c r="F2038" t="s">
        <v>4125</v>
      </c>
    </row>
    <row r="2039" spans="1:6">
      <c r="A2039" t="s">
        <v>6168</v>
      </c>
      <c r="B2039" t="s">
        <v>978</v>
      </c>
      <c r="C2039" t="s">
        <v>59</v>
      </c>
      <c r="D2039" s="1">
        <v>45928</v>
      </c>
      <c r="E2039" t="s">
        <v>4133</v>
      </c>
      <c r="F2039" t="s">
        <v>4137</v>
      </c>
    </row>
    <row r="2040" spans="1:6">
      <c r="A2040" t="s">
        <v>6169</v>
      </c>
      <c r="B2040" t="s">
        <v>978</v>
      </c>
      <c r="C2040" t="s">
        <v>59</v>
      </c>
      <c r="D2040" s="1">
        <v>45923</v>
      </c>
      <c r="E2040" t="s">
        <v>4135</v>
      </c>
      <c r="F2040" t="s">
        <v>4125</v>
      </c>
    </row>
    <row r="2041" spans="1:6">
      <c r="A2041" t="s">
        <v>6170</v>
      </c>
      <c r="B2041" t="s">
        <v>978</v>
      </c>
      <c r="C2041" t="s">
        <v>59</v>
      </c>
      <c r="D2041" s="1">
        <v>45928</v>
      </c>
      <c r="E2041" t="s">
        <v>4127</v>
      </c>
      <c r="F2041" t="s">
        <v>4125</v>
      </c>
    </row>
    <row r="2042" spans="1:6">
      <c r="A2042" t="s">
        <v>6171</v>
      </c>
      <c r="B2042" t="s">
        <v>978</v>
      </c>
      <c r="C2042" t="s">
        <v>59</v>
      </c>
      <c r="D2042" s="1">
        <v>45936</v>
      </c>
      <c r="E2042" t="s">
        <v>4129</v>
      </c>
      <c r="F2042" t="s">
        <v>4139</v>
      </c>
    </row>
    <row r="2043" spans="1:6">
      <c r="A2043" t="s">
        <v>6172</v>
      </c>
      <c r="B2043" t="s">
        <v>979</v>
      </c>
      <c r="C2043" t="s">
        <v>152</v>
      </c>
      <c r="D2043" s="1">
        <v>45989</v>
      </c>
      <c r="E2043" t="s">
        <v>4124</v>
      </c>
      <c r="F2043" t="s">
        <v>4139</v>
      </c>
    </row>
    <row r="2044" spans="1:6">
      <c r="A2044" t="s">
        <v>6173</v>
      </c>
      <c r="B2044" t="s">
        <v>979</v>
      </c>
      <c r="C2044" t="s">
        <v>152</v>
      </c>
      <c r="D2044" s="1">
        <v>45994</v>
      </c>
      <c r="E2044" t="s">
        <v>4127</v>
      </c>
      <c r="F2044" t="s">
        <v>4137</v>
      </c>
    </row>
    <row r="2045" spans="1:6">
      <c r="A2045" t="s">
        <v>6174</v>
      </c>
      <c r="B2045" t="s">
        <v>981</v>
      </c>
      <c r="C2045" t="s">
        <v>126</v>
      </c>
      <c r="D2045" s="1">
        <v>45670</v>
      </c>
      <c r="E2045" t="s">
        <v>4135</v>
      </c>
      <c r="F2045" t="s">
        <v>4139</v>
      </c>
    </row>
    <row r="2046" spans="1:6">
      <c r="A2046" t="s">
        <v>6175</v>
      </c>
      <c r="B2046" t="s">
        <v>981</v>
      </c>
      <c r="C2046" t="s">
        <v>126</v>
      </c>
      <c r="D2046" s="1">
        <v>45667</v>
      </c>
      <c r="E2046" t="s">
        <v>4127</v>
      </c>
      <c r="F2046" t="s">
        <v>4139</v>
      </c>
    </row>
    <row r="2047" spans="1:6">
      <c r="A2047" t="s">
        <v>6176</v>
      </c>
      <c r="B2047" t="s">
        <v>981</v>
      </c>
      <c r="C2047" t="s">
        <v>126</v>
      </c>
      <c r="D2047" s="1">
        <v>45669</v>
      </c>
      <c r="E2047" t="s">
        <v>4129</v>
      </c>
      <c r="F2047" t="s">
        <v>4137</v>
      </c>
    </row>
    <row r="2048" spans="1:6">
      <c r="A2048" t="s">
        <v>6177</v>
      </c>
      <c r="B2048" t="s">
        <v>981</v>
      </c>
      <c r="C2048" t="s">
        <v>126</v>
      </c>
      <c r="D2048" s="1">
        <v>45690</v>
      </c>
      <c r="E2048" t="s">
        <v>4129</v>
      </c>
      <c r="F2048" t="s">
        <v>4137</v>
      </c>
    </row>
    <row r="2049" spans="1:6">
      <c r="A2049" t="s">
        <v>6178</v>
      </c>
      <c r="B2049" t="s">
        <v>982</v>
      </c>
      <c r="C2049" t="s">
        <v>63</v>
      </c>
      <c r="D2049" s="1">
        <v>45870</v>
      </c>
      <c r="E2049" t="s">
        <v>4124</v>
      </c>
      <c r="F2049" t="s">
        <v>4139</v>
      </c>
    </row>
    <row r="2050" spans="1:6">
      <c r="A2050" t="s">
        <v>6179</v>
      </c>
      <c r="B2050" t="s">
        <v>982</v>
      </c>
      <c r="C2050" t="s">
        <v>63</v>
      </c>
      <c r="D2050" s="1">
        <v>45885</v>
      </c>
      <c r="E2050" t="s">
        <v>4124</v>
      </c>
      <c r="F2050" t="s">
        <v>4139</v>
      </c>
    </row>
    <row r="2051" spans="1:6">
      <c r="A2051" t="s">
        <v>6180</v>
      </c>
      <c r="B2051" t="s">
        <v>982</v>
      </c>
      <c r="C2051" t="s">
        <v>63</v>
      </c>
      <c r="D2051" s="1">
        <v>45847</v>
      </c>
      <c r="E2051" t="s">
        <v>4124</v>
      </c>
      <c r="F2051" t="s">
        <v>4137</v>
      </c>
    </row>
    <row r="2052" spans="1:6">
      <c r="A2052" t="s">
        <v>6181</v>
      </c>
      <c r="B2052" t="s">
        <v>982</v>
      </c>
      <c r="C2052" t="s">
        <v>63</v>
      </c>
      <c r="D2052" s="1">
        <v>45877</v>
      </c>
      <c r="E2052" t="s">
        <v>4133</v>
      </c>
      <c r="F2052" t="s">
        <v>4125</v>
      </c>
    </row>
    <row r="2053" spans="1:6">
      <c r="A2053" t="s">
        <v>6182</v>
      </c>
      <c r="B2053" t="s">
        <v>984</v>
      </c>
      <c r="C2053" t="s">
        <v>70</v>
      </c>
      <c r="D2053" s="1">
        <v>45999</v>
      </c>
      <c r="E2053" t="s">
        <v>4127</v>
      </c>
      <c r="F2053" t="s">
        <v>4137</v>
      </c>
    </row>
    <row r="2054" spans="1:6">
      <c r="A2054" t="s">
        <v>6183</v>
      </c>
      <c r="B2054" t="s">
        <v>984</v>
      </c>
      <c r="C2054" t="s">
        <v>70</v>
      </c>
      <c r="D2054" s="1">
        <v>46010</v>
      </c>
      <c r="E2054" t="s">
        <v>4133</v>
      </c>
      <c r="F2054" t="s">
        <v>4139</v>
      </c>
    </row>
    <row r="2055" spans="1:6">
      <c r="A2055" t="s">
        <v>6184</v>
      </c>
      <c r="B2055" t="s">
        <v>984</v>
      </c>
      <c r="C2055" t="s">
        <v>70</v>
      </c>
      <c r="D2055" s="1">
        <v>46020</v>
      </c>
      <c r="E2055" t="s">
        <v>4129</v>
      </c>
      <c r="F2055" t="s">
        <v>4139</v>
      </c>
    </row>
    <row r="2056" spans="1:6">
      <c r="A2056" t="s">
        <v>6185</v>
      </c>
      <c r="B2056" t="s">
        <v>984</v>
      </c>
      <c r="C2056" t="s">
        <v>70</v>
      </c>
      <c r="D2056" s="1">
        <v>46020</v>
      </c>
      <c r="E2056" t="s">
        <v>4127</v>
      </c>
      <c r="F2056" t="s">
        <v>4125</v>
      </c>
    </row>
    <row r="2057" spans="1:6">
      <c r="A2057" t="s">
        <v>6186</v>
      </c>
      <c r="B2057" t="s">
        <v>985</v>
      </c>
      <c r="C2057" t="s">
        <v>46</v>
      </c>
      <c r="D2057" s="1">
        <v>45815</v>
      </c>
      <c r="E2057" t="s">
        <v>4124</v>
      </c>
      <c r="F2057" t="s">
        <v>4139</v>
      </c>
    </row>
    <row r="2058" spans="1:6">
      <c r="A2058" t="s">
        <v>6187</v>
      </c>
      <c r="B2058" t="s">
        <v>985</v>
      </c>
      <c r="C2058" t="s">
        <v>46</v>
      </c>
      <c r="D2058" s="1">
        <v>45830</v>
      </c>
      <c r="E2058" t="s">
        <v>4133</v>
      </c>
      <c r="F2058" t="s">
        <v>4125</v>
      </c>
    </row>
    <row r="2059" spans="1:6">
      <c r="A2059" t="s">
        <v>6188</v>
      </c>
      <c r="B2059" t="s">
        <v>986</v>
      </c>
      <c r="C2059" t="s">
        <v>78</v>
      </c>
      <c r="D2059" s="1">
        <v>45903</v>
      </c>
      <c r="E2059" t="s">
        <v>4133</v>
      </c>
      <c r="F2059" t="s">
        <v>4125</v>
      </c>
    </row>
    <row r="2060" spans="1:6">
      <c r="A2060" t="s">
        <v>6189</v>
      </c>
      <c r="B2060" t="s">
        <v>986</v>
      </c>
      <c r="C2060" t="s">
        <v>78</v>
      </c>
      <c r="D2060" s="1">
        <v>45906</v>
      </c>
      <c r="E2060" t="s">
        <v>4127</v>
      </c>
      <c r="F2060" t="s">
        <v>4125</v>
      </c>
    </row>
    <row r="2061" spans="1:6">
      <c r="A2061" t="s">
        <v>6190</v>
      </c>
      <c r="B2061" t="s">
        <v>986</v>
      </c>
      <c r="C2061" t="s">
        <v>78</v>
      </c>
      <c r="D2061" s="1">
        <v>45897</v>
      </c>
      <c r="E2061" t="s">
        <v>4129</v>
      </c>
      <c r="F2061" t="s">
        <v>4137</v>
      </c>
    </row>
    <row r="2062" spans="1:6">
      <c r="A2062" t="s">
        <v>6191</v>
      </c>
      <c r="B2062" t="s">
        <v>986</v>
      </c>
      <c r="C2062" t="s">
        <v>78</v>
      </c>
      <c r="D2062" s="1">
        <v>45877</v>
      </c>
      <c r="E2062" t="s">
        <v>4124</v>
      </c>
      <c r="F2062" t="s">
        <v>4137</v>
      </c>
    </row>
    <row r="2063" spans="1:6">
      <c r="A2063" t="s">
        <v>6192</v>
      </c>
      <c r="B2063" t="s">
        <v>987</v>
      </c>
      <c r="C2063" t="s">
        <v>16</v>
      </c>
      <c r="D2063" s="1">
        <v>45912</v>
      </c>
      <c r="E2063" t="s">
        <v>4124</v>
      </c>
      <c r="F2063" t="s">
        <v>4125</v>
      </c>
    </row>
    <row r="2064" spans="1:6">
      <c r="A2064" t="s">
        <v>6193</v>
      </c>
      <c r="B2064" t="s">
        <v>987</v>
      </c>
      <c r="C2064" t="s">
        <v>16</v>
      </c>
      <c r="D2064" s="1">
        <v>45893</v>
      </c>
      <c r="E2064" t="s">
        <v>4133</v>
      </c>
      <c r="F2064" t="s">
        <v>4137</v>
      </c>
    </row>
    <row r="2065" spans="1:6">
      <c r="A2065" t="s">
        <v>6194</v>
      </c>
      <c r="B2065" t="s">
        <v>987</v>
      </c>
      <c r="C2065" t="s">
        <v>16</v>
      </c>
      <c r="D2065" s="1">
        <v>45906</v>
      </c>
      <c r="E2065" t="s">
        <v>4124</v>
      </c>
      <c r="F2065" t="s">
        <v>4137</v>
      </c>
    </row>
    <row r="2066" spans="1:6">
      <c r="A2066" t="s">
        <v>6195</v>
      </c>
      <c r="B2066" t="s">
        <v>987</v>
      </c>
      <c r="C2066" t="s">
        <v>16</v>
      </c>
      <c r="D2066" s="1">
        <v>45901</v>
      </c>
      <c r="E2066" t="s">
        <v>4135</v>
      </c>
      <c r="F2066" t="s">
        <v>4125</v>
      </c>
    </row>
    <row r="2067" spans="1:6">
      <c r="A2067" t="s">
        <v>6196</v>
      </c>
      <c r="B2067" t="s">
        <v>988</v>
      </c>
      <c r="C2067" t="s">
        <v>126</v>
      </c>
      <c r="D2067" s="1">
        <v>45759</v>
      </c>
      <c r="E2067" t="s">
        <v>4135</v>
      </c>
      <c r="F2067" t="s">
        <v>4125</v>
      </c>
    </row>
    <row r="2068" spans="1:6">
      <c r="A2068" t="s">
        <v>6197</v>
      </c>
      <c r="B2068" t="s">
        <v>988</v>
      </c>
      <c r="C2068" t="s">
        <v>126</v>
      </c>
      <c r="D2068" s="1">
        <v>45788</v>
      </c>
      <c r="E2068" t="s">
        <v>4133</v>
      </c>
      <c r="F2068" t="s">
        <v>4137</v>
      </c>
    </row>
    <row r="2069" spans="1:6">
      <c r="A2069" t="s">
        <v>6198</v>
      </c>
      <c r="B2069" t="s">
        <v>988</v>
      </c>
      <c r="C2069" t="s">
        <v>126</v>
      </c>
      <c r="D2069" s="1">
        <v>45730</v>
      </c>
      <c r="E2069" t="s">
        <v>4129</v>
      </c>
      <c r="F2069" t="s">
        <v>4125</v>
      </c>
    </row>
    <row r="2070" spans="1:6">
      <c r="A2070" t="s">
        <v>6199</v>
      </c>
      <c r="B2070" t="s">
        <v>988</v>
      </c>
      <c r="C2070" t="s">
        <v>126</v>
      </c>
      <c r="D2070" s="1">
        <v>45777</v>
      </c>
      <c r="E2070" t="s">
        <v>4129</v>
      </c>
      <c r="F2070" t="s">
        <v>4125</v>
      </c>
    </row>
    <row r="2071" spans="1:6">
      <c r="A2071" t="s">
        <v>6200</v>
      </c>
      <c r="B2071" t="s">
        <v>989</v>
      </c>
      <c r="C2071" t="s">
        <v>168</v>
      </c>
      <c r="D2071" s="1">
        <v>45910</v>
      </c>
      <c r="E2071" t="s">
        <v>4133</v>
      </c>
      <c r="F2071" t="s">
        <v>4139</v>
      </c>
    </row>
    <row r="2072" spans="1:6">
      <c r="A2072" t="s">
        <v>6201</v>
      </c>
      <c r="B2072" t="s">
        <v>989</v>
      </c>
      <c r="C2072" t="s">
        <v>168</v>
      </c>
      <c r="D2072" s="1">
        <v>45905</v>
      </c>
      <c r="E2072" t="s">
        <v>4129</v>
      </c>
      <c r="F2072" t="s">
        <v>4137</v>
      </c>
    </row>
    <row r="2073" spans="1:6">
      <c r="A2073" t="s">
        <v>6202</v>
      </c>
      <c r="B2073" t="s">
        <v>989</v>
      </c>
      <c r="C2073" t="s">
        <v>168</v>
      </c>
      <c r="D2073" s="1">
        <v>45921</v>
      </c>
      <c r="E2073" t="s">
        <v>4135</v>
      </c>
      <c r="F2073" t="s">
        <v>4125</v>
      </c>
    </row>
    <row r="2074" spans="1:6">
      <c r="A2074" t="s">
        <v>6203</v>
      </c>
      <c r="B2074" t="s">
        <v>991</v>
      </c>
      <c r="C2074" t="s">
        <v>126</v>
      </c>
      <c r="D2074" s="1">
        <v>45779</v>
      </c>
      <c r="E2074" t="s">
        <v>4124</v>
      </c>
      <c r="F2074" t="s">
        <v>4125</v>
      </c>
    </row>
    <row r="2075" spans="1:6">
      <c r="A2075" t="s">
        <v>6204</v>
      </c>
      <c r="B2075" t="s">
        <v>991</v>
      </c>
      <c r="C2075" t="s">
        <v>126</v>
      </c>
      <c r="D2075" s="1">
        <v>45756</v>
      </c>
      <c r="E2075" t="s">
        <v>4133</v>
      </c>
      <c r="F2075" t="s">
        <v>4125</v>
      </c>
    </row>
    <row r="2076" spans="1:6">
      <c r="A2076" t="s">
        <v>6205</v>
      </c>
      <c r="B2076" t="s">
        <v>991</v>
      </c>
      <c r="C2076" t="s">
        <v>126</v>
      </c>
      <c r="D2076" s="1">
        <v>45752</v>
      </c>
      <c r="E2076" t="s">
        <v>4124</v>
      </c>
      <c r="F2076" t="s">
        <v>4125</v>
      </c>
    </row>
    <row r="2077" spans="1:6">
      <c r="A2077" t="s">
        <v>6206</v>
      </c>
      <c r="B2077" t="s">
        <v>993</v>
      </c>
      <c r="C2077" t="s">
        <v>27</v>
      </c>
      <c r="D2077" s="1">
        <v>45932</v>
      </c>
      <c r="E2077" t="s">
        <v>4133</v>
      </c>
      <c r="F2077" t="s">
        <v>4137</v>
      </c>
    </row>
    <row r="2078" spans="1:6">
      <c r="A2078" t="s">
        <v>6207</v>
      </c>
      <c r="B2078" t="s">
        <v>993</v>
      </c>
      <c r="C2078" t="s">
        <v>27</v>
      </c>
      <c r="D2078" s="1">
        <v>45921</v>
      </c>
      <c r="E2078" t="s">
        <v>4133</v>
      </c>
      <c r="F2078" t="s">
        <v>4137</v>
      </c>
    </row>
    <row r="2079" spans="1:6">
      <c r="A2079" t="s">
        <v>6208</v>
      </c>
      <c r="B2079" t="s">
        <v>993</v>
      </c>
      <c r="C2079" t="s">
        <v>27</v>
      </c>
      <c r="D2079" s="1">
        <v>45922</v>
      </c>
      <c r="E2079" t="s">
        <v>4129</v>
      </c>
      <c r="F2079" t="s">
        <v>4125</v>
      </c>
    </row>
    <row r="2080" spans="1:6">
      <c r="A2080" t="s">
        <v>6209</v>
      </c>
      <c r="B2080" t="s">
        <v>993</v>
      </c>
      <c r="C2080" t="s">
        <v>27</v>
      </c>
      <c r="D2080" s="1">
        <v>45927</v>
      </c>
      <c r="E2080" t="s">
        <v>4124</v>
      </c>
      <c r="F2080" t="s">
        <v>4139</v>
      </c>
    </row>
    <row r="2081" spans="1:6">
      <c r="A2081" t="s">
        <v>6210</v>
      </c>
      <c r="B2081" t="s">
        <v>993</v>
      </c>
      <c r="C2081" t="s">
        <v>27</v>
      </c>
      <c r="D2081" s="1">
        <v>45884</v>
      </c>
      <c r="E2081" t="s">
        <v>4135</v>
      </c>
      <c r="F2081" t="s">
        <v>4137</v>
      </c>
    </row>
    <row r="2082" spans="1:6">
      <c r="A2082" t="s">
        <v>6211</v>
      </c>
      <c r="B2082" t="s">
        <v>995</v>
      </c>
      <c r="C2082" t="s">
        <v>46</v>
      </c>
      <c r="D2082" s="1">
        <v>45750</v>
      </c>
      <c r="E2082" t="s">
        <v>4127</v>
      </c>
      <c r="F2082" t="s">
        <v>4125</v>
      </c>
    </row>
    <row r="2083" spans="1:6">
      <c r="A2083" t="s">
        <v>6212</v>
      </c>
      <c r="B2083" t="s">
        <v>995</v>
      </c>
      <c r="C2083" t="s">
        <v>46</v>
      </c>
      <c r="D2083" s="1">
        <v>45788</v>
      </c>
      <c r="E2083" t="s">
        <v>4133</v>
      </c>
      <c r="F2083" t="s">
        <v>4137</v>
      </c>
    </row>
    <row r="2084" spans="1:6">
      <c r="A2084" t="s">
        <v>6213</v>
      </c>
      <c r="B2084" t="s">
        <v>995</v>
      </c>
      <c r="C2084" t="s">
        <v>46</v>
      </c>
      <c r="D2084" s="1">
        <v>45789</v>
      </c>
      <c r="E2084" t="s">
        <v>4124</v>
      </c>
      <c r="F2084" t="s">
        <v>4139</v>
      </c>
    </row>
    <row r="2085" spans="1:6">
      <c r="A2085" t="s">
        <v>6214</v>
      </c>
      <c r="B2085" t="s">
        <v>995</v>
      </c>
      <c r="C2085" t="s">
        <v>46</v>
      </c>
      <c r="D2085" s="1">
        <v>45792</v>
      </c>
      <c r="E2085" t="s">
        <v>4127</v>
      </c>
      <c r="F2085" t="s">
        <v>4137</v>
      </c>
    </row>
    <row r="2086" spans="1:6">
      <c r="A2086" t="s">
        <v>6215</v>
      </c>
      <c r="B2086" t="s">
        <v>996</v>
      </c>
      <c r="C2086" t="s">
        <v>32</v>
      </c>
      <c r="D2086" s="1">
        <v>45836</v>
      </c>
      <c r="E2086" t="s">
        <v>4129</v>
      </c>
      <c r="F2086" t="s">
        <v>4137</v>
      </c>
    </row>
    <row r="2087" spans="1:6">
      <c r="A2087" t="s">
        <v>6216</v>
      </c>
      <c r="B2087" t="s">
        <v>996</v>
      </c>
      <c r="C2087" t="s">
        <v>32</v>
      </c>
      <c r="D2087" s="1">
        <v>45828</v>
      </c>
      <c r="E2087" t="s">
        <v>4135</v>
      </c>
      <c r="F2087" t="s">
        <v>4137</v>
      </c>
    </row>
    <row r="2088" spans="1:6">
      <c r="A2088" t="s">
        <v>6217</v>
      </c>
      <c r="B2088" t="s">
        <v>996</v>
      </c>
      <c r="C2088" t="s">
        <v>32</v>
      </c>
      <c r="D2088" s="1">
        <v>45863</v>
      </c>
      <c r="E2088" t="s">
        <v>4127</v>
      </c>
      <c r="F2088" t="s">
        <v>4125</v>
      </c>
    </row>
    <row r="2089" spans="1:6">
      <c r="A2089" t="s">
        <v>6218</v>
      </c>
      <c r="B2089" t="s">
        <v>998</v>
      </c>
      <c r="C2089" t="s">
        <v>168</v>
      </c>
      <c r="D2089" s="1">
        <v>45985</v>
      </c>
      <c r="E2089" t="s">
        <v>4124</v>
      </c>
      <c r="F2089" t="s">
        <v>4137</v>
      </c>
    </row>
    <row r="2090" spans="1:6">
      <c r="A2090" t="s">
        <v>6219</v>
      </c>
      <c r="B2090" t="s">
        <v>998</v>
      </c>
      <c r="C2090" t="s">
        <v>168</v>
      </c>
      <c r="D2090" s="1">
        <v>45977</v>
      </c>
      <c r="E2090" t="s">
        <v>4133</v>
      </c>
      <c r="F2090" t="s">
        <v>4139</v>
      </c>
    </row>
    <row r="2091" spans="1:6">
      <c r="A2091" t="s">
        <v>6220</v>
      </c>
      <c r="B2091" t="s">
        <v>998</v>
      </c>
      <c r="C2091" t="s">
        <v>168</v>
      </c>
      <c r="D2091" s="1">
        <v>45986</v>
      </c>
      <c r="E2091" t="s">
        <v>4135</v>
      </c>
      <c r="F2091" t="s">
        <v>4125</v>
      </c>
    </row>
    <row r="2092" spans="1:6">
      <c r="A2092" t="s">
        <v>6221</v>
      </c>
      <c r="B2092" t="s">
        <v>999</v>
      </c>
      <c r="C2092" t="s">
        <v>91</v>
      </c>
      <c r="D2092" s="1">
        <v>45982</v>
      </c>
      <c r="E2092" t="s">
        <v>4127</v>
      </c>
      <c r="F2092" t="s">
        <v>4125</v>
      </c>
    </row>
    <row r="2093" spans="1:6">
      <c r="A2093" t="s">
        <v>6222</v>
      </c>
      <c r="B2093" t="s">
        <v>999</v>
      </c>
      <c r="C2093" t="s">
        <v>91</v>
      </c>
      <c r="D2093" s="1">
        <v>45965</v>
      </c>
      <c r="E2093" t="s">
        <v>4124</v>
      </c>
      <c r="F2093" t="s">
        <v>4137</v>
      </c>
    </row>
    <row r="2094" spans="1:6">
      <c r="A2094" t="s">
        <v>6223</v>
      </c>
      <c r="B2094" t="s">
        <v>999</v>
      </c>
      <c r="C2094" t="s">
        <v>91</v>
      </c>
      <c r="D2094" s="1">
        <v>45939</v>
      </c>
      <c r="E2094" t="s">
        <v>4129</v>
      </c>
      <c r="F2094" t="s">
        <v>4137</v>
      </c>
    </row>
    <row r="2095" spans="1:6">
      <c r="A2095" t="s">
        <v>6224</v>
      </c>
      <c r="B2095" t="s">
        <v>1001</v>
      </c>
      <c r="C2095" t="s">
        <v>22</v>
      </c>
      <c r="D2095" s="1">
        <v>45669</v>
      </c>
      <c r="E2095" t="s">
        <v>4127</v>
      </c>
      <c r="F2095" t="s">
        <v>4125</v>
      </c>
    </row>
    <row r="2096" spans="1:6">
      <c r="A2096" t="s">
        <v>6225</v>
      </c>
      <c r="B2096" t="s">
        <v>1001</v>
      </c>
      <c r="C2096" t="s">
        <v>22</v>
      </c>
      <c r="D2096" s="1">
        <v>45668</v>
      </c>
      <c r="E2096" t="s">
        <v>4135</v>
      </c>
      <c r="F2096" t="s">
        <v>4137</v>
      </c>
    </row>
    <row r="2097" spans="1:6">
      <c r="A2097" t="s">
        <v>6226</v>
      </c>
      <c r="B2097" t="s">
        <v>1001</v>
      </c>
      <c r="C2097" t="s">
        <v>22</v>
      </c>
      <c r="D2097" s="1">
        <v>45680</v>
      </c>
      <c r="E2097" t="s">
        <v>4124</v>
      </c>
      <c r="F2097" t="s">
        <v>4125</v>
      </c>
    </row>
    <row r="2098" spans="1:6">
      <c r="A2098" t="s">
        <v>6227</v>
      </c>
      <c r="B2098" t="s">
        <v>1002</v>
      </c>
      <c r="C2098" t="s">
        <v>46</v>
      </c>
      <c r="D2098" s="1">
        <v>45947</v>
      </c>
      <c r="E2098" t="s">
        <v>4129</v>
      </c>
      <c r="F2098" t="s">
        <v>4139</v>
      </c>
    </row>
    <row r="2099" spans="1:6">
      <c r="A2099" t="s">
        <v>6228</v>
      </c>
      <c r="B2099" t="s">
        <v>1002</v>
      </c>
      <c r="C2099" t="s">
        <v>46</v>
      </c>
      <c r="D2099" s="1">
        <v>45943</v>
      </c>
      <c r="E2099" t="s">
        <v>4129</v>
      </c>
      <c r="F2099" t="s">
        <v>4125</v>
      </c>
    </row>
    <row r="2100" spans="1:6">
      <c r="A2100" t="s">
        <v>6229</v>
      </c>
      <c r="B2100" t="s">
        <v>1004</v>
      </c>
      <c r="C2100" t="s">
        <v>119</v>
      </c>
      <c r="D2100" s="1">
        <v>45702</v>
      </c>
      <c r="E2100" t="s">
        <v>4135</v>
      </c>
      <c r="F2100" t="s">
        <v>4125</v>
      </c>
    </row>
    <row r="2101" spans="1:6">
      <c r="A2101" t="s">
        <v>6230</v>
      </c>
      <c r="B2101" t="s">
        <v>1004</v>
      </c>
      <c r="C2101" t="s">
        <v>119</v>
      </c>
      <c r="D2101" s="1">
        <v>45712</v>
      </c>
      <c r="E2101" t="s">
        <v>4135</v>
      </c>
      <c r="F2101" t="s">
        <v>4139</v>
      </c>
    </row>
    <row r="2102" spans="1:6">
      <c r="A2102" t="s">
        <v>6231</v>
      </c>
      <c r="B2102" t="s">
        <v>1004</v>
      </c>
      <c r="C2102" t="s">
        <v>119</v>
      </c>
      <c r="D2102" s="1">
        <v>45709</v>
      </c>
      <c r="E2102" t="s">
        <v>4124</v>
      </c>
      <c r="F2102" t="s">
        <v>4139</v>
      </c>
    </row>
    <row r="2103" spans="1:6">
      <c r="A2103" t="s">
        <v>6232</v>
      </c>
      <c r="B2103" t="s">
        <v>1005</v>
      </c>
      <c r="C2103" t="s">
        <v>16</v>
      </c>
      <c r="D2103" s="1">
        <v>45953</v>
      </c>
      <c r="E2103" t="s">
        <v>4135</v>
      </c>
      <c r="F2103" t="s">
        <v>4139</v>
      </c>
    </row>
    <row r="2104" spans="1:6">
      <c r="A2104" t="s">
        <v>6233</v>
      </c>
      <c r="B2104" t="s">
        <v>1005</v>
      </c>
      <c r="C2104" t="s">
        <v>16</v>
      </c>
      <c r="D2104" s="1">
        <v>45970</v>
      </c>
      <c r="E2104" t="s">
        <v>4124</v>
      </c>
      <c r="F2104" t="s">
        <v>4139</v>
      </c>
    </row>
    <row r="2105" spans="1:6">
      <c r="A2105" t="s">
        <v>6234</v>
      </c>
      <c r="B2105" t="s">
        <v>1006</v>
      </c>
      <c r="C2105" t="s">
        <v>40</v>
      </c>
      <c r="D2105" s="1">
        <v>45994</v>
      </c>
      <c r="E2105" t="s">
        <v>4133</v>
      </c>
      <c r="F2105" t="s">
        <v>4125</v>
      </c>
    </row>
    <row r="2106" spans="1:6">
      <c r="A2106" t="s">
        <v>6235</v>
      </c>
      <c r="B2106" t="s">
        <v>1006</v>
      </c>
      <c r="C2106" t="s">
        <v>40</v>
      </c>
      <c r="D2106" s="1">
        <v>46019</v>
      </c>
      <c r="E2106" t="s">
        <v>4135</v>
      </c>
      <c r="F2106" t="s">
        <v>4125</v>
      </c>
    </row>
    <row r="2107" spans="1:6">
      <c r="A2107" t="s">
        <v>6236</v>
      </c>
      <c r="B2107" t="s">
        <v>1006</v>
      </c>
      <c r="C2107" t="s">
        <v>40</v>
      </c>
      <c r="D2107" s="1">
        <v>46013</v>
      </c>
      <c r="E2107" t="s">
        <v>4127</v>
      </c>
      <c r="F2107" t="s">
        <v>4125</v>
      </c>
    </row>
    <row r="2108" spans="1:6">
      <c r="A2108" t="s">
        <v>6237</v>
      </c>
      <c r="B2108" t="s">
        <v>1006</v>
      </c>
      <c r="C2108" t="s">
        <v>40</v>
      </c>
      <c r="D2108" s="1">
        <v>45982</v>
      </c>
      <c r="E2108" t="s">
        <v>4129</v>
      </c>
      <c r="F2108" t="s">
        <v>4137</v>
      </c>
    </row>
    <row r="2109" spans="1:6">
      <c r="A2109" t="s">
        <v>6238</v>
      </c>
      <c r="B2109" t="s">
        <v>1006</v>
      </c>
      <c r="C2109" t="s">
        <v>40</v>
      </c>
      <c r="D2109" s="1">
        <v>45989</v>
      </c>
      <c r="E2109" t="s">
        <v>4124</v>
      </c>
      <c r="F2109" t="s">
        <v>4125</v>
      </c>
    </row>
    <row r="2110" spans="1:6">
      <c r="A2110" t="s">
        <v>6239</v>
      </c>
      <c r="B2110" t="s">
        <v>1007</v>
      </c>
      <c r="C2110" t="s">
        <v>63</v>
      </c>
      <c r="D2110" s="1">
        <v>45902</v>
      </c>
      <c r="E2110" t="s">
        <v>4127</v>
      </c>
      <c r="F2110" t="s">
        <v>4125</v>
      </c>
    </row>
    <row r="2111" spans="1:6">
      <c r="A2111" t="s">
        <v>6240</v>
      </c>
      <c r="B2111" t="s">
        <v>1007</v>
      </c>
      <c r="C2111" t="s">
        <v>63</v>
      </c>
      <c r="D2111" s="1">
        <v>45921</v>
      </c>
      <c r="E2111" t="s">
        <v>4129</v>
      </c>
      <c r="F2111" t="s">
        <v>4137</v>
      </c>
    </row>
    <row r="2112" spans="1:6">
      <c r="A2112" t="s">
        <v>6241</v>
      </c>
      <c r="B2112" t="s">
        <v>1007</v>
      </c>
      <c r="C2112" t="s">
        <v>63</v>
      </c>
      <c r="D2112" s="1">
        <v>45910</v>
      </c>
      <c r="E2112" t="s">
        <v>4127</v>
      </c>
      <c r="F2112" t="s">
        <v>4125</v>
      </c>
    </row>
    <row r="2113" spans="1:6">
      <c r="A2113" t="s">
        <v>6242</v>
      </c>
      <c r="B2113" t="s">
        <v>1007</v>
      </c>
      <c r="C2113" t="s">
        <v>63</v>
      </c>
      <c r="D2113" s="1">
        <v>45906</v>
      </c>
      <c r="E2113" t="s">
        <v>4127</v>
      </c>
      <c r="F2113" t="s">
        <v>4137</v>
      </c>
    </row>
    <row r="2114" spans="1:6">
      <c r="A2114" t="s">
        <v>6243</v>
      </c>
      <c r="B2114" t="s">
        <v>1007</v>
      </c>
      <c r="C2114" t="s">
        <v>63</v>
      </c>
      <c r="D2114" s="1">
        <v>45926</v>
      </c>
      <c r="E2114" t="s">
        <v>4129</v>
      </c>
      <c r="F2114" t="s">
        <v>4137</v>
      </c>
    </row>
    <row r="2115" spans="1:6">
      <c r="A2115" t="s">
        <v>6244</v>
      </c>
      <c r="B2115" t="s">
        <v>1008</v>
      </c>
      <c r="C2115" t="s">
        <v>53</v>
      </c>
      <c r="D2115" s="1">
        <v>45755</v>
      </c>
      <c r="E2115" t="s">
        <v>4124</v>
      </c>
      <c r="F2115" t="s">
        <v>4125</v>
      </c>
    </row>
    <row r="2116" spans="1:6">
      <c r="A2116" t="s">
        <v>6245</v>
      </c>
      <c r="B2116" t="s">
        <v>1008</v>
      </c>
      <c r="C2116" t="s">
        <v>53</v>
      </c>
      <c r="D2116" s="1">
        <v>45770</v>
      </c>
      <c r="E2116" t="s">
        <v>4133</v>
      </c>
      <c r="F2116" t="s">
        <v>4137</v>
      </c>
    </row>
    <row r="2117" spans="1:6">
      <c r="A2117" t="s">
        <v>6246</v>
      </c>
      <c r="B2117" t="s">
        <v>1008</v>
      </c>
      <c r="C2117" t="s">
        <v>53</v>
      </c>
      <c r="D2117" s="1">
        <v>45772</v>
      </c>
      <c r="E2117" t="s">
        <v>4129</v>
      </c>
      <c r="F2117" t="s">
        <v>4139</v>
      </c>
    </row>
    <row r="2118" spans="1:6">
      <c r="A2118" t="s">
        <v>6247</v>
      </c>
      <c r="B2118" t="s">
        <v>1009</v>
      </c>
      <c r="C2118" t="s">
        <v>126</v>
      </c>
      <c r="D2118" s="1">
        <v>45810</v>
      </c>
      <c r="E2118" t="s">
        <v>4127</v>
      </c>
      <c r="F2118" t="s">
        <v>4125</v>
      </c>
    </row>
    <row r="2119" spans="1:6">
      <c r="A2119" t="s">
        <v>6248</v>
      </c>
      <c r="B2119" t="s">
        <v>1009</v>
      </c>
      <c r="C2119" t="s">
        <v>126</v>
      </c>
      <c r="D2119" s="1">
        <v>45780</v>
      </c>
      <c r="E2119" t="s">
        <v>4129</v>
      </c>
      <c r="F2119" t="s">
        <v>4125</v>
      </c>
    </row>
    <row r="2120" spans="1:6">
      <c r="A2120" t="s">
        <v>6249</v>
      </c>
      <c r="B2120" t="s">
        <v>1010</v>
      </c>
      <c r="C2120" t="s">
        <v>78</v>
      </c>
      <c r="D2120" s="1">
        <v>45772</v>
      </c>
      <c r="E2120" t="s">
        <v>4124</v>
      </c>
      <c r="F2120" t="s">
        <v>4125</v>
      </c>
    </row>
    <row r="2121" spans="1:6">
      <c r="A2121" t="s">
        <v>6250</v>
      </c>
      <c r="B2121" t="s">
        <v>1010</v>
      </c>
      <c r="C2121" t="s">
        <v>78</v>
      </c>
      <c r="D2121" s="1">
        <v>45775</v>
      </c>
      <c r="E2121" t="s">
        <v>4124</v>
      </c>
      <c r="F2121" t="s">
        <v>4125</v>
      </c>
    </row>
    <row r="2122" spans="1:6">
      <c r="A2122" t="s">
        <v>6251</v>
      </c>
      <c r="B2122" t="s">
        <v>1010</v>
      </c>
      <c r="C2122" t="s">
        <v>78</v>
      </c>
      <c r="D2122" s="1">
        <v>45764</v>
      </c>
      <c r="E2122" t="s">
        <v>4135</v>
      </c>
      <c r="F2122" t="s">
        <v>4137</v>
      </c>
    </row>
    <row r="2123" spans="1:6">
      <c r="A2123" t="s">
        <v>6252</v>
      </c>
      <c r="B2123" t="s">
        <v>1010</v>
      </c>
      <c r="C2123" t="s">
        <v>78</v>
      </c>
      <c r="D2123" s="1">
        <v>45771</v>
      </c>
      <c r="E2123" t="s">
        <v>4127</v>
      </c>
      <c r="F2123" t="s">
        <v>4137</v>
      </c>
    </row>
    <row r="2124" spans="1:6">
      <c r="A2124" t="s">
        <v>6253</v>
      </c>
      <c r="B2124" t="s">
        <v>1011</v>
      </c>
      <c r="C2124" t="s">
        <v>40</v>
      </c>
      <c r="D2124" s="1">
        <v>45865</v>
      </c>
      <c r="E2124" t="s">
        <v>4133</v>
      </c>
      <c r="F2124" t="s">
        <v>4137</v>
      </c>
    </row>
    <row r="2125" spans="1:6">
      <c r="A2125" t="s">
        <v>6254</v>
      </c>
      <c r="B2125" t="s">
        <v>1011</v>
      </c>
      <c r="C2125" t="s">
        <v>40</v>
      </c>
      <c r="D2125" s="1">
        <v>45842</v>
      </c>
      <c r="E2125" t="s">
        <v>4124</v>
      </c>
      <c r="F2125" t="s">
        <v>4137</v>
      </c>
    </row>
    <row r="2126" spans="1:6">
      <c r="A2126" t="s">
        <v>6255</v>
      </c>
      <c r="B2126" t="s">
        <v>1011</v>
      </c>
      <c r="C2126" t="s">
        <v>40</v>
      </c>
      <c r="D2126" s="1">
        <v>45880</v>
      </c>
      <c r="E2126" t="s">
        <v>4135</v>
      </c>
      <c r="F2126" t="s">
        <v>4137</v>
      </c>
    </row>
    <row r="2127" spans="1:6">
      <c r="A2127" t="s">
        <v>6256</v>
      </c>
      <c r="B2127" t="s">
        <v>1011</v>
      </c>
      <c r="C2127" t="s">
        <v>40</v>
      </c>
      <c r="D2127" s="1">
        <v>45856</v>
      </c>
      <c r="E2127" t="s">
        <v>4133</v>
      </c>
      <c r="F2127" t="s">
        <v>4125</v>
      </c>
    </row>
    <row r="2128" spans="1:6">
      <c r="A2128" t="s">
        <v>6257</v>
      </c>
      <c r="B2128" t="s">
        <v>1011</v>
      </c>
      <c r="C2128" t="s">
        <v>40</v>
      </c>
      <c r="D2128" s="1">
        <v>45851</v>
      </c>
      <c r="E2128" t="s">
        <v>4135</v>
      </c>
      <c r="F2128" t="s">
        <v>4125</v>
      </c>
    </row>
    <row r="2129" spans="1:6">
      <c r="A2129" t="s">
        <v>6258</v>
      </c>
      <c r="B2129" t="s">
        <v>1012</v>
      </c>
      <c r="C2129" t="s">
        <v>40</v>
      </c>
      <c r="D2129" s="1">
        <v>45888</v>
      </c>
      <c r="E2129" t="s">
        <v>4129</v>
      </c>
      <c r="F2129" t="s">
        <v>4137</v>
      </c>
    </row>
    <row r="2130" spans="1:6">
      <c r="A2130" t="s">
        <v>6259</v>
      </c>
      <c r="B2130" t="s">
        <v>1012</v>
      </c>
      <c r="C2130" t="s">
        <v>40</v>
      </c>
      <c r="D2130" s="1">
        <v>45903</v>
      </c>
      <c r="E2130" t="s">
        <v>4127</v>
      </c>
      <c r="F2130" t="s">
        <v>4139</v>
      </c>
    </row>
    <row r="2131" spans="1:6">
      <c r="A2131" t="s">
        <v>6260</v>
      </c>
      <c r="B2131" t="s">
        <v>1012</v>
      </c>
      <c r="C2131" t="s">
        <v>40</v>
      </c>
      <c r="D2131" s="1">
        <v>45853</v>
      </c>
      <c r="E2131" t="s">
        <v>4135</v>
      </c>
      <c r="F2131" t="s">
        <v>4139</v>
      </c>
    </row>
    <row r="2132" spans="1:6">
      <c r="A2132" t="s">
        <v>6261</v>
      </c>
      <c r="B2132" t="s">
        <v>1013</v>
      </c>
      <c r="C2132" t="s">
        <v>22</v>
      </c>
      <c r="D2132" s="1">
        <v>45961</v>
      </c>
      <c r="E2132" t="s">
        <v>4133</v>
      </c>
      <c r="F2132" t="s">
        <v>4139</v>
      </c>
    </row>
    <row r="2133" spans="1:6">
      <c r="A2133" t="s">
        <v>6262</v>
      </c>
      <c r="B2133" t="s">
        <v>1013</v>
      </c>
      <c r="C2133" t="s">
        <v>22</v>
      </c>
      <c r="D2133" s="1">
        <v>45971</v>
      </c>
      <c r="E2133" t="s">
        <v>4127</v>
      </c>
      <c r="F2133" t="s">
        <v>4137</v>
      </c>
    </row>
    <row r="2134" spans="1:6">
      <c r="A2134" t="s">
        <v>6263</v>
      </c>
      <c r="B2134" t="s">
        <v>1013</v>
      </c>
      <c r="C2134" t="s">
        <v>22</v>
      </c>
      <c r="D2134" s="1">
        <v>45969</v>
      </c>
      <c r="E2134" t="s">
        <v>4127</v>
      </c>
      <c r="F2134" t="s">
        <v>4137</v>
      </c>
    </row>
    <row r="2135" spans="1:6">
      <c r="A2135" t="s">
        <v>6264</v>
      </c>
      <c r="B2135" t="s">
        <v>1013</v>
      </c>
      <c r="C2135" t="s">
        <v>22</v>
      </c>
      <c r="D2135" s="1">
        <v>45965</v>
      </c>
      <c r="E2135" t="s">
        <v>4133</v>
      </c>
      <c r="F2135" t="s">
        <v>4137</v>
      </c>
    </row>
    <row r="2136" spans="1:6">
      <c r="A2136" t="s">
        <v>6265</v>
      </c>
      <c r="B2136" t="s">
        <v>1013</v>
      </c>
      <c r="C2136" t="s">
        <v>22</v>
      </c>
      <c r="D2136" s="1">
        <v>45963</v>
      </c>
      <c r="E2136" t="s">
        <v>4133</v>
      </c>
      <c r="F2136" t="s">
        <v>4137</v>
      </c>
    </row>
    <row r="2137" spans="1:6">
      <c r="A2137" t="s">
        <v>6266</v>
      </c>
      <c r="B2137" t="s">
        <v>1014</v>
      </c>
      <c r="C2137" t="s">
        <v>59</v>
      </c>
      <c r="D2137" s="1">
        <v>45791</v>
      </c>
      <c r="E2137" t="s">
        <v>4135</v>
      </c>
      <c r="F2137" t="s">
        <v>4137</v>
      </c>
    </row>
    <row r="2138" spans="1:6">
      <c r="A2138" t="s">
        <v>6267</v>
      </c>
      <c r="B2138" t="s">
        <v>1014</v>
      </c>
      <c r="C2138" t="s">
        <v>59</v>
      </c>
      <c r="D2138" s="1">
        <v>45808</v>
      </c>
      <c r="E2138" t="s">
        <v>4129</v>
      </c>
      <c r="F2138" t="s">
        <v>4125</v>
      </c>
    </row>
    <row r="2139" spans="1:6">
      <c r="A2139" t="s">
        <v>6268</v>
      </c>
      <c r="B2139" t="s">
        <v>1016</v>
      </c>
      <c r="C2139" t="s">
        <v>50</v>
      </c>
      <c r="D2139" s="1">
        <v>45812</v>
      </c>
      <c r="E2139" t="s">
        <v>4127</v>
      </c>
      <c r="F2139" t="s">
        <v>4137</v>
      </c>
    </row>
    <row r="2140" spans="1:6">
      <c r="A2140" t="s">
        <v>6269</v>
      </c>
      <c r="B2140" t="s">
        <v>1016</v>
      </c>
      <c r="C2140" t="s">
        <v>50</v>
      </c>
      <c r="D2140" s="1">
        <v>45814</v>
      </c>
      <c r="E2140" t="s">
        <v>4124</v>
      </c>
      <c r="F2140" t="s">
        <v>4137</v>
      </c>
    </row>
    <row r="2141" spans="1:6">
      <c r="A2141" t="s">
        <v>6270</v>
      </c>
      <c r="B2141" t="s">
        <v>1016</v>
      </c>
      <c r="C2141" t="s">
        <v>50</v>
      </c>
      <c r="D2141" s="1">
        <v>45817</v>
      </c>
      <c r="E2141" t="s">
        <v>4135</v>
      </c>
      <c r="F2141" t="s">
        <v>4125</v>
      </c>
    </row>
    <row r="2142" spans="1:6">
      <c r="A2142" t="s">
        <v>6271</v>
      </c>
      <c r="B2142" t="s">
        <v>1017</v>
      </c>
      <c r="C2142" t="s">
        <v>152</v>
      </c>
      <c r="D2142" s="1">
        <v>45795</v>
      </c>
      <c r="E2142" t="s">
        <v>4133</v>
      </c>
      <c r="F2142" t="s">
        <v>4125</v>
      </c>
    </row>
    <row r="2143" spans="1:6">
      <c r="A2143" t="s">
        <v>6272</v>
      </c>
      <c r="B2143" t="s">
        <v>1017</v>
      </c>
      <c r="C2143" t="s">
        <v>152</v>
      </c>
      <c r="D2143" s="1">
        <v>45788</v>
      </c>
      <c r="E2143" t="s">
        <v>4129</v>
      </c>
      <c r="F2143" t="s">
        <v>4137</v>
      </c>
    </row>
    <row r="2144" spans="1:6">
      <c r="A2144" t="s">
        <v>6273</v>
      </c>
      <c r="B2144" t="s">
        <v>1017</v>
      </c>
      <c r="C2144" t="s">
        <v>152</v>
      </c>
      <c r="D2144" s="1">
        <v>45788</v>
      </c>
      <c r="E2144" t="s">
        <v>4129</v>
      </c>
      <c r="F2144" t="s">
        <v>4137</v>
      </c>
    </row>
    <row r="2145" spans="1:6">
      <c r="A2145" t="s">
        <v>6274</v>
      </c>
      <c r="B2145" t="s">
        <v>1017</v>
      </c>
      <c r="C2145" t="s">
        <v>152</v>
      </c>
      <c r="D2145" s="1">
        <v>45788</v>
      </c>
      <c r="E2145" t="s">
        <v>4129</v>
      </c>
      <c r="F2145" t="s">
        <v>4137</v>
      </c>
    </row>
    <row r="2146" spans="1:6">
      <c r="A2146" t="s">
        <v>6275</v>
      </c>
      <c r="B2146" t="s">
        <v>1017</v>
      </c>
      <c r="C2146" t="s">
        <v>152</v>
      </c>
      <c r="D2146" s="1">
        <v>45796</v>
      </c>
      <c r="E2146" t="s">
        <v>4124</v>
      </c>
      <c r="F2146" t="s">
        <v>4137</v>
      </c>
    </row>
    <row r="2147" spans="1:6">
      <c r="A2147" t="s">
        <v>6276</v>
      </c>
      <c r="B2147" t="s">
        <v>1018</v>
      </c>
      <c r="C2147" t="s">
        <v>70</v>
      </c>
      <c r="D2147" s="1">
        <v>45769</v>
      </c>
      <c r="E2147" t="s">
        <v>4124</v>
      </c>
      <c r="F2147" t="s">
        <v>4125</v>
      </c>
    </row>
    <row r="2148" spans="1:6">
      <c r="A2148" t="s">
        <v>6277</v>
      </c>
      <c r="B2148" t="s">
        <v>1018</v>
      </c>
      <c r="C2148" t="s">
        <v>70</v>
      </c>
      <c r="D2148" s="1">
        <v>45720</v>
      </c>
      <c r="E2148" t="s">
        <v>4133</v>
      </c>
      <c r="F2148" t="s">
        <v>4125</v>
      </c>
    </row>
    <row r="2149" spans="1:6">
      <c r="A2149" t="s">
        <v>6278</v>
      </c>
      <c r="B2149" t="s">
        <v>1020</v>
      </c>
      <c r="C2149" t="s">
        <v>32</v>
      </c>
      <c r="D2149" s="1">
        <v>45903</v>
      </c>
      <c r="E2149" t="s">
        <v>4129</v>
      </c>
      <c r="F2149" t="s">
        <v>4125</v>
      </c>
    </row>
    <row r="2150" spans="1:6">
      <c r="A2150" t="s">
        <v>6279</v>
      </c>
      <c r="B2150" t="s">
        <v>1020</v>
      </c>
      <c r="C2150" t="s">
        <v>32</v>
      </c>
      <c r="D2150" s="1">
        <v>45912</v>
      </c>
      <c r="E2150" t="s">
        <v>4124</v>
      </c>
      <c r="F2150" t="s">
        <v>4139</v>
      </c>
    </row>
    <row r="2151" spans="1:6">
      <c r="A2151" t="s">
        <v>6280</v>
      </c>
      <c r="B2151" t="s">
        <v>1020</v>
      </c>
      <c r="C2151" t="s">
        <v>32</v>
      </c>
      <c r="D2151" s="1">
        <v>45901</v>
      </c>
      <c r="E2151" t="s">
        <v>4129</v>
      </c>
      <c r="F2151" t="s">
        <v>4137</v>
      </c>
    </row>
    <row r="2152" spans="1:6">
      <c r="A2152" t="s">
        <v>6281</v>
      </c>
      <c r="B2152" t="s">
        <v>1020</v>
      </c>
      <c r="C2152" t="s">
        <v>32</v>
      </c>
      <c r="D2152" s="1">
        <v>45889</v>
      </c>
      <c r="E2152" t="s">
        <v>4129</v>
      </c>
      <c r="F2152" t="s">
        <v>4137</v>
      </c>
    </row>
    <row r="2153" spans="1:6">
      <c r="A2153" t="s">
        <v>6282</v>
      </c>
      <c r="B2153" t="s">
        <v>1021</v>
      </c>
      <c r="C2153" t="s">
        <v>78</v>
      </c>
      <c r="D2153" s="1">
        <v>45835</v>
      </c>
      <c r="E2153" t="s">
        <v>4129</v>
      </c>
      <c r="F2153" t="s">
        <v>4137</v>
      </c>
    </row>
    <row r="2154" spans="1:6">
      <c r="A2154" t="s">
        <v>6283</v>
      </c>
      <c r="B2154" t="s">
        <v>1021</v>
      </c>
      <c r="C2154" t="s">
        <v>78</v>
      </c>
      <c r="D2154" s="1">
        <v>45859</v>
      </c>
      <c r="E2154" t="s">
        <v>4135</v>
      </c>
      <c r="F2154" t="s">
        <v>4139</v>
      </c>
    </row>
    <row r="2155" spans="1:6">
      <c r="A2155" t="s">
        <v>6284</v>
      </c>
      <c r="B2155" t="s">
        <v>1021</v>
      </c>
      <c r="C2155" t="s">
        <v>78</v>
      </c>
      <c r="D2155" s="1">
        <v>45832</v>
      </c>
      <c r="E2155" t="s">
        <v>4135</v>
      </c>
      <c r="F2155" t="s">
        <v>4137</v>
      </c>
    </row>
    <row r="2156" spans="1:6">
      <c r="A2156" t="s">
        <v>6285</v>
      </c>
      <c r="B2156" t="s">
        <v>1021</v>
      </c>
      <c r="C2156" t="s">
        <v>78</v>
      </c>
      <c r="D2156" s="1">
        <v>45834</v>
      </c>
      <c r="E2156" t="s">
        <v>4133</v>
      </c>
      <c r="F2156" t="s">
        <v>4139</v>
      </c>
    </row>
    <row r="2157" spans="1:6">
      <c r="A2157" t="s">
        <v>6286</v>
      </c>
      <c r="B2157" t="s">
        <v>1021</v>
      </c>
      <c r="C2157" t="s">
        <v>78</v>
      </c>
      <c r="D2157" s="1">
        <v>45857</v>
      </c>
      <c r="E2157" t="s">
        <v>4129</v>
      </c>
      <c r="F2157" t="s">
        <v>4139</v>
      </c>
    </row>
    <row r="2158" spans="1:6">
      <c r="A2158" t="s">
        <v>6287</v>
      </c>
      <c r="B2158" t="s">
        <v>1022</v>
      </c>
      <c r="C2158" t="s">
        <v>56</v>
      </c>
      <c r="D2158" s="1">
        <v>45855</v>
      </c>
      <c r="E2158" t="s">
        <v>4135</v>
      </c>
      <c r="F2158" t="s">
        <v>4137</v>
      </c>
    </row>
    <row r="2159" spans="1:6">
      <c r="A2159" t="s">
        <v>6288</v>
      </c>
      <c r="B2159" t="s">
        <v>1022</v>
      </c>
      <c r="C2159" t="s">
        <v>56</v>
      </c>
      <c r="D2159" s="1">
        <v>45853</v>
      </c>
      <c r="E2159" t="s">
        <v>4135</v>
      </c>
      <c r="F2159" t="s">
        <v>4139</v>
      </c>
    </row>
    <row r="2160" spans="1:6">
      <c r="A2160" t="s">
        <v>6289</v>
      </c>
      <c r="B2160" t="s">
        <v>1022</v>
      </c>
      <c r="C2160" t="s">
        <v>56</v>
      </c>
      <c r="D2160" s="1">
        <v>45858</v>
      </c>
      <c r="E2160" t="s">
        <v>4133</v>
      </c>
      <c r="F2160" t="s">
        <v>4139</v>
      </c>
    </row>
    <row r="2161" spans="1:6">
      <c r="A2161" t="s">
        <v>6290</v>
      </c>
      <c r="B2161" t="s">
        <v>1023</v>
      </c>
      <c r="C2161" t="s">
        <v>70</v>
      </c>
      <c r="D2161" s="1">
        <v>45875</v>
      </c>
      <c r="E2161" t="s">
        <v>4135</v>
      </c>
      <c r="F2161" t="s">
        <v>4139</v>
      </c>
    </row>
    <row r="2162" spans="1:6">
      <c r="A2162" t="s">
        <v>6291</v>
      </c>
      <c r="B2162" t="s">
        <v>1023</v>
      </c>
      <c r="C2162" t="s">
        <v>70</v>
      </c>
      <c r="D2162" s="1">
        <v>45874</v>
      </c>
      <c r="E2162" t="s">
        <v>4129</v>
      </c>
      <c r="F2162" t="s">
        <v>4139</v>
      </c>
    </row>
    <row r="2163" spans="1:6">
      <c r="A2163" t="s">
        <v>6292</v>
      </c>
      <c r="B2163" t="s">
        <v>1023</v>
      </c>
      <c r="C2163" t="s">
        <v>70</v>
      </c>
      <c r="D2163" s="1">
        <v>45855</v>
      </c>
      <c r="E2163" t="s">
        <v>4135</v>
      </c>
      <c r="F2163" t="s">
        <v>4125</v>
      </c>
    </row>
    <row r="2164" spans="1:6">
      <c r="A2164" t="s">
        <v>6293</v>
      </c>
      <c r="B2164" t="s">
        <v>1023</v>
      </c>
      <c r="C2164" t="s">
        <v>70</v>
      </c>
      <c r="D2164" s="1">
        <v>45883</v>
      </c>
      <c r="E2164" t="s">
        <v>4133</v>
      </c>
      <c r="F2164" t="s">
        <v>4139</v>
      </c>
    </row>
    <row r="2165" spans="1:6">
      <c r="A2165" t="s">
        <v>6294</v>
      </c>
      <c r="B2165" t="s">
        <v>1023</v>
      </c>
      <c r="C2165" t="s">
        <v>70</v>
      </c>
      <c r="D2165" s="1">
        <v>45863</v>
      </c>
      <c r="E2165" t="s">
        <v>4133</v>
      </c>
      <c r="F2165" t="s">
        <v>4137</v>
      </c>
    </row>
    <row r="2166" spans="1:6">
      <c r="A2166" t="s">
        <v>6295</v>
      </c>
      <c r="B2166" t="s">
        <v>1025</v>
      </c>
      <c r="C2166" t="s">
        <v>152</v>
      </c>
      <c r="D2166" s="1">
        <v>45852</v>
      </c>
      <c r="E2166" t="s">
        <v>4133</v>
      </c>
      <c r="F2166" t="s">
        <v>4137</v>
      </c>
    </row>
    <row r="2167" spans="1:6">
      <c r="A2167" t="s">
        <v>6296</v>
      </c>
      <c r="B2167" t="s">
        <v>1025</v>
      </c>
      <c r="C2167" t="s">
        <v>152</v>
      </c>
      <c r="D2167" s="1">
        <v>45821</v>
      </c>
      <c r="E2167" t="s">
        <v>4133</v>
      </c>
      <c r="F2167" t="s">
        <v>4137</v>
      </c>
    </row>
    <row r="2168" spans="1:6">
      <c r="A2168" t="s">
        <v>6297</v>
      </c>
      <c r="B2168" t="s">
        <v>1025</v>
      </c>
      <c r="C2168" t="s">
        <v>152</v>
      </c>
      <c r="D2168" s="1">
        <v>45846</v>
      </c>
      <c r="E2168" t="s">
        <v>4124</v>
      </c>
      <c r="F2168" t="s">
        <v>4139</v>
      </c>
    </row>
    <row r="2169" spans="1:6">
      <c r="A2169" t="s">
        <v>6298</v>
      </c>
      <c r="B2169" t="s">
        <v>1025</v>
      </c>
      <c r="C2169" t="s">
        <v>152</v>
      </c>
      <c r="D2169" s="1">
        <v>45842</v>
      </c>
      <c r="E2169" t="s">
        <v>4127</v>
      </c>
      <c r="F2169" t="s">
        <v>4137</v>
      </c>
    </row>
    <row r="2170" spans="1:6">
      <c r="A2170" t="s">
        <v>6299</v>
      </c>
      <c r="B2170" t="s">
        <v>1026</v>
      </c>
      <c r="C2170" t="s">
        <v>59</v>
      </c>
      <c r="D2170" s="1">
        <v>46001</v>
      </c>
      <c r="E2170" t="s">
        <v>4133</v>
      </c>
      <c r="F2170" t="s">
        <v>4139</v>
      </c>
    </row>
    <row r="2171" spans="1:6">
      <c r="A2171" t="s">
        <v>6300</v>
      </c>
      <c r="B2171" t="s">
        <v>1026</v>
      </c>
      <c r="C2171" t="s">
        <v>59</v>
      </c>
      <c r="D2171" s="1">
        <v>45998</v>
      </c>
      <c r="E2171" t="s">
        <v>4135</v>
      </c>
      <c r="F2171" t="s">
        <v>4125</v>
      </c>
    </row>
    <row r="2172" spans="1:6">
      <c r="A2172" t="s">
        <v>6301</v>
      </c>
      <c r="B2172" t="s">
        <v>1026</v>
      </c>
      <c r="C2172" t="s">
        <v>59</v>
      </c>
      <c r="D2172" s="1">
        <v>45991</v>
      </c>
      <c r="E2172" t="s">
        <v>4135</v>
      </c>
      <c r="F2172" t="s">
        <v>4125</v>
      </c>
    </row>
    <row r="2173" spans="1:6">
      <c r="A2173" t="s">
        <v>6302</v>
      </c>
      <c r="B2173" t="s">
        <v>1026</v>
      </c>
      <c r="C2173" t="s">
        <v>59</v>
      </c>
      <c r="D2173" s="1">
        <v>45995</v>
      </c>
      <c r="E2173" t="s">
        <v>4135</v>
      </c>
      <c r="F2173" t="s">
        <v>4125</v>
      </c>
    </row>
    <row r="2174" spans="1:6">
      <c r="A2174" t="s">
        <v>6303</v>
      </c>
      <c r="B2174" t="s">
        <v>1028</v>
      </c>
      <c r="C2174" t="s">
        <v>27</v>
      </c>
      <c r="D2174" s="1">
        <v>45989</v>
      </c>
      <c r="E2174" t="s">
        <v>4135</v>
      </c>
      <c r="F2174" t="s">
        <v>4139</v>
      </c>
    </row>
    <row r="2175" spans="1:6">
      <c r="A2175" t="s">
        <v>6304</v>
      </c>
      <c r="B2175" t="s">
        <v>1028</v>
      </c>
      <c r="C2175" t="s">
        <v>27</v>
      </c>
      <c r="D2175" s="1">
        <v>45996</v>
      </c>
      <c r="E2175" t="s">
        <v>4135</v>
      </c>
      <c r="F2175" t="s">
        <v>4125</v>
      </c>
    </row>
    <row r="2176" spans="1:6">
      <c r="A2176" t="s">
        <v>6305</v>
      </c>
      <c r="B2176" t="s">
        <v>1028</v>
      </c>
      <c r="C2176" t="s">
        <v>27</v>
      </c>
      <c r="D2176" s="1">
        <v>46005</v>
      </c>
      <c r="E2176" t="s">
        <v>4135</v>
      </c>
      <c r="F2176" t="s">
        <v>4137</v>
      </c>
    </row>
    <row r="2177" spans="1:6">
      <c r="A2177" t="s">
        <v>6306</v>
      </c>
      <c r="B2177" t="s">
        <v>1029</v>
      </c>
      <c r="C2177" t="s">
        <v>75</v>
      </c>
      <c r="D2177" s="1">
        <v>45674</v>
      </c>
      <c r="E2177" t="s">
        <v>4133</v>
      </c>
      <c r="F2177" t="s">
        <v>4137</v>
      </c>
    </row>
    <row r="2178" spans="1:6">
      <c r="A2178" t="s">
        <v>6307</v>
      </c>
      <c r="B2178" t="s">
        <v>1029</v>
      </c>
      <c r="C2178" t="s">
        <v>75</v>
      </c>
      <c r="D2178" s="1">
        <v>45674</v>
      </c>
      <c r="E2178" t="s">
        <v>4124</v>
      </c>
      <c r="F2178" t="s">
        <v>4139</v>
      </c>
    </row>
    <row r="2179" spans="1:6">
      <c r="A2179" t="s">
        <v>6308</v>
      </c>
      <c r="B2179" t="s">
        <v>1029</v>
      </c>
      <c r="C2179" t="s">
        <v>75</v>
      </c>
      <c r="D2179" s="1">
        <v>45682</v>
      </c>
      <c r="E2179" t="s">
        <v>4124</v>
      </c>
      <c r="F2179" t="s">
        <v>4139</v>
      </c>
    </row>
    <row r="2180" spans="1:6">
      <c r="A2180" t="s">
        <v>6309</v>
      </c>
      <c r="B2180" t="s">
        <v>1029</v>
      </c>
      <c r="C2180" t="s">
        <v>75</v>
      </c>
      <c r="D2180" s="1">
        <v>45707</v>
      </c>
      <c r="E2180" t="s">
        <v>4124</v>
      </c>
      <c r="F2180" t="s">
        <v>4125</v>
      </c>
    </row>
    <row r="2181" spans="1:6">
      <c r="A2181" t="s">
        <v>6310</v>
      </c>
      <c r="B2181" t="s">
        <v>1030</v>
      </c>
      <c r="C2181" t="s">
        <v>126</v>
      </c>
      <c r="D2181" s="1">
        <v>45745</v>
      </c>
      <c r="E2181" t="s">
        <v>4124</v>
      </c>
      <c r="F2181" t="s">
        <v>4137</v>
      </c>
    </row>
    <row r="2182" spans="1:6">
      <c r="A2182" t="s">
        <v>6311</v>
      </c>
      <c r="B2182" t="s">
        <v>1030</v>
      </c>
      <c r="C2182" t="s">
        <v>126</v>
      </c>
      <c r="D2182" s="1">
        <v>45764</v>
      </c>
      <c r="E2182" t="s">
        <v>4129</v>
      </c>
      <c r="F2182" t="s">
        <v>4137</v>
      </c>
    </row>
    <row r="2183" spans="1:6">
      <c r="A2183" t="s">
        <v>6312</v>
      </c>
      <c r="B2183" t="s">
        <v>1031</v>
      </c>
      <c r="C2183" t="s">
        <v>70</v>
      </c>
      <c r="D2183" s="1">
        <v>45847</v>
      </c>
      <c r="E2183" t="s">
        <v>4124</v>
      </c>
      <c r="F2183" t="s">
        <v>4125</v>
      </c>
    </row>
    <row r="2184" spans="1:6">
      <c r="A2184" t="s">
        <v>6313</v>
      </c>
      <c r="B2184" t="s">
        <v>1031</v>
      </c>
      <c r="C2184" t="s">
        <v>70</v>
      </c>
      <c r="D2184" s="1">
        <v>45853</v>
      </c>
      <c r="E2184" t="s">
        <v>4135</v>
      </c>
      <c r="F2184" t="s">
        <v>4139</v>
      </c>
    </row>
    <row r="2185" spans="1:6">
      <c r="A2185" t="s">
        <v>6314</v>
      </c>
      <c r="B2185" t="s">
        <v>1032</v>
      </c>
      <c r="C2185" t="s">
        <v>78</v>
      </c>
      <c r="D2185" s="1">
        <v>45738</v>
      </c>
      <c r="E2185" t="s">
        <v>4135</v>
      </c>
      <c r="F2185" t="s">
        <v>4137</v>
      </c>
    </row>
    <row r="2186" spans="1:6">
      <c r="A2186" t="s">
        <v>6315</v>
      </c>
      <c r="B2186" t="s">
        <v>1032</v>
      </c>
      <c r="C2186" t="s">
        <v>78</v>
      </c>
      <c r="D2186" s="1">
        <v>45736</v>
      </c>
      <c r="E2186" t="s">
        <v>4127</v>
      </c>
      <c r="F2186" t="s">
        <v>4137</v>
      </c>
    </row>
    <row r="2187" spans="1:6">
      <c r="A2187" t="s">
        <v>6316</v>
      </c>
      <c r="B2187" t="s">
        <v>1034</v>
      </c>
      <c r="C2187" t="s">
        <v>63</v>
      </c>
      <c r="D2187" s="1">
        <v>45961</v>
      </c>
      <c r="E2187" t="s">
        <v>4133</v>
      </c>
      <c r="F2187" t="s">
        <v>4125</v>
      </c>
    </row>
    <row r="2188" spans="1:6">
      <c r="A2188" t="s">
        <v>6317</v>
      </c>
      <c r="B2188" t="s">
        <v>1034</v>
      </c>
      <c r="C2188" t="s">
        <v>63</v>
      </c>
      <c r="D2188" s="1">
        <v>45948</v>
      </c>
      <c r="E2188" t="s">
        <v>4133</v>
      </c>
      <c r="F2188" t="s">
        <v>4139</v>
      </c>
    </row>
    <row r="2189" spans="1:6">
      <c r="A2189" t="s">
        <v>6318</v>
      </c>
      <c r="B2189" t="s">
        <v>1034</v>
      </c>
      <c r="C2189" t="s">
        <v>63</v>
      </c>
      <c r="D2189" s="1">
        <v>45935</v>
      </c>
      <c r="E2189" t="s">
        <v>4133</v>
      </c>
      <c r="F2189" t="s">
        <v>4139</v>
      </c>
    </row>
    <row r="2190" spans="1:6">
      <c r="A2190" t="s">
        <v>6319</v>
      </c>
      <c r="B2190" t="s">
        <v>1036</v>
      </c>
      <c r="C2190" t="s">
        <v>78</v>
      </c>
      <c r="D2190" s="1">
        <v>45746</v>
      </c>
      <c r="E2190" t="s">
        <v>4124</v>
      </c>
      <c r="F2190" t="s">
        <v>4139</v>
      </c>
    </row>
    <row r="2191" spans="1:6">
      <c r="A2191" t="s">
        <v>6320</v>
      </c>
      <c r="B2191" t="s">
        <v>1036</v>
      </c>
      <c r="C2191" t="s">
        <v>78</v>
      </c>
      <c r="D2191" s="1">
        <v>45747</v>
      </c>
      <c r="E2191" t="s">
        <v>4129</v>
      </c>
      <c r="F2191" t="s">
        <v>4137</v>
      </c>
    </row>
    <row r="2192" spans="1:6">
      <c r="A2192" t="s">
        <v>6321</v>
      </c>
      <c r="B2192" t="s">
        <v>1036</v>
      </c>
      <c r="C2192" t="s">
        <v>78</v>
      </c>
      <c r="D2192" s="1">
        <v>45748</v>
      </c>
      <c r="E2192" t="s">
        <v>4124</v>
      </c>
      <c r="F2192" t="s">
        <v>4139</v>
      </c>
    </row>
    <row r="2193" spans="1:6">
      <c r="A2193" t="s">
        <v>6322</v>
      </c>
      <c r="B2193" t="s">
        <v>1037</v>
      </c>
      <c r="C2193" t="s">
        <v>50</v>
      </c>
      <c r="D2193" s="1">
        <v>45851</v>
      </c>
      <c r="E2193" t="s">
        <v>4133</v>
      </c>
      <c r="F2193" t="s">
        <v>4125</v>
      </c>
    </row>
    <row r="2194" spans="1:6">
      <c r="A2194" t="s">
        <v>6323</v>
      </c>
      <c r="B2194" t="s">
        <v>1037</v>
      </c>
      <c r="C2194" t="s">
        <v>50</v>
      </c>
      <c r="D2194" s="1">
        <v>45857</v>
      </c>
      <c r="E2194" t="s">
        <v>4127</v>
      </c>
      <c r="F2194" t="s">
        <v>4125</v>
      </c>
    </row>
    <row r="2195" spans="1:6">
      <c r="A2195" t="s">
        <v>6324</v>
      </c>
      <c r="B2195" t="s">
        <v>1037</v>
      </c>
      <c r="C2195" t="s">
        <v>50</v>
      </c>
      <c r="D2195" s="1">
        <v>45838</v>
      </c>
      <c r="E2195" t="s">
        <v>4133</v>
      </c>
      <c r="F2195" t="s">
        <v>4137</v>
      </c>
    </row>
    <row r="2196" spans="1:6">
      <c r="A2196" t="s">
        <v>6325</v>
      </c>
      <c r="B2196" t="s">
        <v>1037</v>
      </c>
      <c r="C2196" t="s">
        <v>50</v>
      </c>
      <c r="D2196" s="1">
        <v>45843</v>
      </c>
      <c r="E2196" t="s">
        <v>4133</v>
      </c>
      <c r="F2196" t="s">
        <v>4125</v>
      </c>
    </row>
    <row r="2197" spans="1:6">
      <c r="A2197" t="s">
        <v>6326</v>
      </c>
      <c r="B2197" t="s">
        <v>1037</v>
      </c>
      <c r="C2197" t="s">
        <v>50</v>
      </c>
      <c r="D2197" s="1">
        <v>45834</v>
      </c>
      <c r="E2197" t="s">
        <v>4133</v>
      </c>
      <c r="F2197" t="s">
        <v>4139</v>
      </c>
    </row>
    <row r="2198" spans="1:6">
      <c r="A2198" t="s">
        <v>6327</v>
      </c>
      <c r="B2198" t="s">
        <v>1038</v>
      </c>
      <c r="C2198" t="s">
        <v>70</v>
      </c>
      <c r="D2198" s="1">
        <v>45754</v>
      </c>
      <c r="E2198" t="s">
        <v>4133</v>
      </c>
      <c r="F2198" t="s">
        <v>4125</v>
      </c>
    </row>
    <row r="2199" spans="1:6">
      <c r="A2199" t="s">
        <v>6328</v>
      </c>
      <c r="B2199" t="s">
        <v>1038</v>
      </c>
      <c r="C2199" t="s">
        <v>70</v>
      </c>
      <c r="D2199" s="1">
        <v>45730</v>
      </c>
      <c r="E2199" t="s">
        <v>4124</v>
      </c>
      <c r="F2199" t="s">
        <v>4125</v>
      </c>
    </row>
    <row r="2200" spans="1:6">
      <c r="A2200" t="s">
        <v>6329</v>
      </c>
      <c r="B2200" t="s">
        <v>1038</v>
      </c>
      <c r="C2200" t="s">
        <v>70</v>
      </c>
      <c r="D2200" s="1">
        <v>45731</v>
      </c>
      <c r="E2200" t="s">
        <v>4135</v>
      </c>
      <c r="F2200" t="s">
        <v>4125</v>
      </c>
    </row>
    <row r="2201" spans="1:6">
      <c r="A2201" t="s">
        <v>6330</v>
      </c>
      <c r="B2201" t="s">
        <v>1038</v>
      </c>
      <c r="C2201" t="s">
        <v>70</v>
      </c>
      <c r="D2201" s="1">
        <v>45733</v>
      </c>
      <c r="E2201" t="s">
        <v>4133</v>
      </c>
      <c r="F2201" t="s">
        <v>4139</v>
      </c>
    </row>
    <row r="2202" spans="1:6">
      <c r="A2202" t="s">
        <v>6331</v>
      </c>
      <c r="B2202" t="s">
        <v>1038</v>
      </c>
      <c r="C2202" t="s">
        <v>70</v>
      </c>
      <c r="D2202" s="1">
        <v>45741</v>
      </c>
      <c r="E2202" t="s">
        <v>4129</v>
      </c>
      <c r="F2202" t="s">
        <v>4125</v>
      </c>
    </row>
    <row r="2203" spans="1:6">
      <c r="A2203" t="s">
        <v>6332</v>
      </c>
      <c r="B2203" t="s">
        <v>1040</v>
      </c>
      <c r="C2203" t="s">
        <v>56</v>
      </c>
      <c r="D2203" s="1">
        <v>45976</v>
      </c>
      <c r="E2203" t="s">
        <v>4135</v>
      </c>
      <c r="F2203" t="s">
        <v>4139</v>
      </c>
    </row>
    <row r="2204" spans="1:6">
      <c r="A2204" t="s">
        <v>6333</v>
      </c>
      <c r="B2204" t="s">
        <v>1040</v>
      </c>
      <c r="C2204" t="s">
        <v>56</v>
      </c>
      <c r="D2204" s="1">
        <v>45950</v>
      </c>
      <c r="E2204" t="s">
        <v>4129</v>
      </c>
      <c r="F2204" t="s">
        <v>4139</v>
      </c>
    </row>
    <row r="2205" spans="1:6">
      <c r="A2205" t="s">
        <v>6334</v>
      </c>
      <c r="B2205" t="s">
        <v>1040</v>
      </c>
      <c r="C2205" t="s">
        <v>56</v>
      </c>
      <c r="D2205" s="1">
        <v>45948</v>
      </c>
      <c r="E2205" t="s">
        <v>4129</v>
      </c>
      <c r="F2205" t="s">
        <v>4125</v>
      </c>
    </row>
    <row r="2206" spans="1:6">
      <c r="A2206" t="s">
        <v>6335</v>
      </c>
      <c r="B2206" t="s">
        <v>1041</v>
      </c>
      <c r="C2206" t="s">
        <v>152</v>
      </c>
      <c r="D2206" s="1">
        <v>45712</v>
      </c>
      <c r="E2206" t="s">
        <v>4127</v>
      </c>
      <c r="F2206" t="s">
        <v>4139</v>
      </c>
    </row>
    <row r="2207" spans="1:6">
      <c r="A2207" t="s">
        <v>6336</v>
      </c>
      <c r="B2207" t="s">
        <v>1041</v>
      </c>
      <c r="C2207" t="s">
        <v>152</v>
      </c>
      <c r="D2207" s="1">
        <v>45729</v>
      </c>
      <c r="E2207" t="s">
        <v>4127</v>
      </c>
      <c r="F2207" t="s">
        <v>4139</v>
      </c>
    </row>
    <row r="2208" spans="1:6">
      <c r="A2208" t="s">
        <v>6337</v>
      </c>
      <c r="B2208" t="s">
        <v>1041</v>
      </c>
      <c r="C2208" t="s">
        <v>152</v>
      </c>
      <c r="D2208" s="1">
        <v>45687</v>
      </c>
      <c r="E2208" t="s">
        <v>4127</v>
      </c>
      <c r="F2208" t="s">
        <v>4125</v>
      </c>
    </row>
    <row r="2209" spans="1:6">
      <c r="A2209" t="s">
        <v>6338</v>
      </c>
      <c r="B2209" t="s">
        <v>1041</v>
      </c>
      <c r="C2209" t="s">
        <v>152</v>
      </c>
      <c r="D2209" s="1">
        <v>45718</v>
      </c>
      <c r="E2209" t="s">
        <v>4127</v>
      </c>
      <c r="F2209" t="s">
        <v>4139</v>
      </c>
    </row>
    <row r="2210" spans="1:6">
      <c r="A2210" t="s">
        <v>6339</v>
      </c>
      <c r="B2210" t="s">
        <v>1041</v>
      </c>
      <c r="C2210" t="s">
        <v>152</v>
      </c>
      <c r="D2210" s="1">
        <v>45729</v>
      </c>
      <c r="E2210" t="s">
        <v>4129</v>
      </c>
      <c r="F2210" t="s">
        <v>4125</v>
      </c>
    </row>
    <row r="2211" spans="1:6">
      <c r="A2211" t="s">
        <v>6340</v>
      </c>
      <c r="B2211" t="s">
        <v>1042</v>
      </c>
      <c r="C2211" t="s">
        <v>70</v>
      </c>
      <c r="D2211" s="1">
        <v>45921</v>
      </c>
      <c r="E2211" t="s">
        <v>4124</v>
      </c>
      <c r="F2211" t="s">
        <v>4125</v>
      </c>
    </row>
    <row r="2212" spans="1:6">
      <c r="A2212" t="s">
        <v>6341</v>
      </c>
      <c r="B2212" t="s">
        <v>1042</v>
      </c>
      <c r="C2212" t="s">
        <v>70</v>
      </c>
      <c r="D2212" s="1">
        <v>45892</v>
      </c>
      <c r="E2212" t="s">
        <v>4135</v>
      </c>
      <c r="F2212" t="s">
        <v>4137</v>
      </c>
    </row>
    <row r="2213" spans="1:6">
      <c r="A2213" t="s">
        <v>6342</v>
      </c>
      <c r="B2213" t="s">
        <v>1042</v>
      </c>
      <c r="C2213" t="s">
        <v>70</v>
      </c>
      <c r="D2213" s="1">
        <v>45877</v>
      </c>
      <c r="E2213" t="s">
        <v>4135</v>
      </c>
      <c r="F2213" t="s">
        <v>4137</v>
      </c>
    </row>
    <row r="2214" spans="1:6">
      <c r="A2214" t="s">
        <v>6343</v>
      </c>
      <c r="B2214" t="s">
        <v>1044</v>
      </c>
      <c r="C2214" t="s">
        <v>27</v>
      </c>
      <c r="D2214" s="1">
        <v>45981</v>
      </c>
      <c r="E2214" t="s">
        <v>4127</v>
      </c>
      <c r="F2214" t="s">
        <v>4139</v>
      </c>
    </row>
    <row r="2215" spans="1:6">
      <c r="A2215" t="s">
        <v>6344</v>
      </c>
      <c r="B2215" t="s">
        <v>1044</v>
      </c>
      <c r="C2215" t="s">
        <v>27</v>
      </c>
      <c r="D2215" s="1">
        <v>45977</v>
      </c>
      <c r="E2215" t="s">
        <v>4133</v>
      </c>
      <c r="F2215" t="s">
        <v>4125</v>
      </c>
    </row>
    <row r="2216" spans="1:6">
      <c r="A2216" t="s">
        <v>6345</v>
      </c>
      <c r="B2216" t="s">
        <v>1044</v>
      </c>
      <c r="C2216" t="s">
        <v>27</v>
      </c>
      <c r="D2216" s="1">
        <v>45966</v>
      </c>
      <c r="E2216" t="s">
        <v>4129</v>
      </c>
      <c r="F2216" t="s">
        <v>4139</v>
      </c>
    </row>
    <row r="2217" spans="1:6">
      <c r="A2217" t="s">
        <v>6346</v>
      </c>
      <c r="B2217" t="s">
        <v>1044</v>
      </c>
      <c r="C2217" t="s">
        <v>27</v>
      </c>
      <c r="D2217" s="1">
        <v>45981</v>
      </c>
      <c r="E2217" t="s">
        <v>4129</v>
      </c>
      <c r="F2217" t="s">
        <v>4137</v>
      </c>
    </row>
    <row r="2218" spans="1:6">
      <c r="A2218" t="s">
        <v>6347</v>
      </c>
      <c r="B2218" t="s">
        <v>1045</v>
      </c>
      <c r="C2218" t="s">
        <v>22</v>
      </c>
      <c r="D2218" s="1">
        <v>45853</v>
      </c>
      <c r="E2218" t="s">
        <v>4127</v>
      </c>
      <c r="F2218" t="s">
        <v>4139</v>
      </c>
    </row>
    <row r="2219" spans="1:6">
      <c r="A2219" t="s">
        <v>6348</v>
      </c>
      <c r="B2219" t="s">
        <v>1045</v>
      </c>
      <c r="C2219" t="s">
        <v>22</v>
      </c>
      <c r="D2219" s="1">
        <v>45858</v>
      </c>
      <c r="E2219" t="s">
        <v>4127</v>
      </c>
      <c r="F2219" t="s">
        <v>4139</v>
      </c>
    </row>
    <row r="2220" spans="1:6">
      <c r="A2220" t="s">
        <v>6349</v>
      </c>
      <c r="B2220" t="s">
        <v>1046</v>
      </c>
      <c r="C2220" t="s">
        <v>59</v>
      </c>
      <c r="D2220" s="1">
        <v>46003</v>
      </c>
      <c r="E2220" t="s">
        <v>4135</v>
      </c>
      <c r="F2220" t="s">
        <v>4125</v>
      </c>
    </row>
    <row r="2221" spans="1:6">
      <c r="A2221" t="s">
        <v>6350</v>
      </c>
      <c r="B2221" t="s">
        <v>1046</v>
      </c>
      <c r="C2221" t="s">
        <v>59</v>
      </c>
      <c r="D2221" s="1">
        <v>46020</v>
      </c>
      <c r="E2221" t="s">
        <v>4124</v>
      </c>
      <c r="F2221" t="s">
        <v>4137</v>
      </c>
    </row>
    <row r="2222" spans="1:6">
      <c r="A2222" t="s">
        <v>6351</v>
      </c>
      <c r="B2222" t="s">
        <v>1047</v>
      </c>
      <c r="C2222" t="s">
        <v>53</v>
      </c>
      <c r="D2222" s="1">
        <v>45843</v>
      </c>
      <c r="E2222" t="s">
        <v>4127</v>
      </c>
      <c r="F2222" t="s">
        <v>4137</v>
      </c>
    </row>
    <row r="2223" spans="1:6">
      <c r="A2223" t="s">
        <v>6352</v>
      </c>
      <c r="B2223" t="s">
        <v>1047</v>
      </c>
      <c r="C2223" t="s">
        <v>53</v>
      </c>
      <c r="D2223" s="1">
        <v>45806</v>
      </c>
      <c r="E2223" t="s">
        <v>4133</v>
      </c>
      <c r="F2223" t="s">
        <v>4139</v>
      </c>
    </row>
    <row r="2224" spans="1:6">
      <c r="A2224" t="s">
        <v>6353</v>
      </c>
      <c r="B2224" t="s">
        <v>1047</v>
      </c>
      <c r="C2224" t="s">
        <v>53</v>
      </c>
      <c r="D2224" s="1">
        <v>45832</v>
      </c>
      <c r="E2224" t="s">
        <v>4135</v>
      </c>
      <c r="F2224" t="s">
        <v>4125</v>
      </c>
    </row>
    <row r="2225" spans="1:6">
      <c r="A2225" t="s">
        <v>6354</v>
      </c>
      <c r="B2225" t="s">
        <v>1047</v>
      </c>
      <c r="C2225" t="s">
        <v>53</v>
      </c>
      <c r="D2225" s="1">
        <v>45832</v>
      </c>
      <c r="E2225" t="s">
        <v>4135</v>
      </c>
      <c r="F2225" t="s">
        <v>4125</v>
      </c>
    </row>
    <row r="2226" spans="1:6">
      <c r="A2226" t="s">
        <v>6355</v>
      </c>
      <c r="B2226" t="s">
        <v>1047</v>
      </c>
      <c r="C2226" t="s">
        <v>53</v>
      </c>
      <c r="D2226" s="1">
        <v>45828</v>
      </c>
      <c r="E2226" t="s">
        <v>4127</v>
      </c>
      <c r="F2226" t="s">
        <v>4139</v>
      </c>
    </row>
    <row r="2227" spans="1:6">
      <c r="A2227" t="s">
        <v>6356</v>
      </c>
      <c r="B2227" t="s">
        <v>1048</v>
      </c>
      <c r="C2227" t="s">
        <v>59</v>
      </c>
      <c r="D2227" s="1">
        <v>46022</v>
      </c>
      <c r="E2227" t="s">
        <v>4133</v>
      </c>
      <c r="F2227" t="s">
        <v>4125</v>
      </c>
    </row>
    <row r="2228" spans="1:6">
      <c r="A2228" t="s">
        <v>6357</v>
      </c>
      <c r="B2228" t="s">
        <v>1048</v>
      </c>
      <c r="C2228" t="s">
        <v>59</v>
      </c>
      <c r="D2228" s="1">
        <v>45957</v>
      </c>
      <c r="E2228" t="s">
        <v>4129</v>
      </c>
      <c r="F2228" t="s">
        <v>4139</v>
      </c>
    </row>
    <row r="2229" spans="1:6">
      <c r="A2229" t="s">
        <v>6358</v>
      </c>
      <c r="B2229" t="s">
        <v>1049</v>
      </c>
      <c r="C2229" t="s">
        <v>152</v>
      </c>
      <c r="D2229" s="1">
        <v>46011</v>
      </c>
      <c r="E2229" t="s">
        <v>4124</v>
      </c>
      <c r="F2229" t="s">
        <v>4125</v>
      </c>
    </row>
    <row r="2230" spans="1:6">
      <c r="A2230" t="s">
        <v>6359</v>
      </c>
      <c r="B2230" t="s">
        <v>1049</v>
      </c>
      <c r="C2230" t="s">
        <v>152</v>
      </c>
      <c r="D2230" s="1">
        <v>46021</v>
      </c>
      <c r="E2230" t="s">
        <v>4133</v>
      </c>
      <c r="F2230" t="s">
        <v>4137</v>
      </c>
    </row>
    <row r="2231" spans="1:6">
      <c r="A2231" t="s">
        <v>6360</v>
      </c>
      <c r="B2231" t="s">
        <v>1049</v>
      </c>
      <c r="C2231" t="s">
        <v>152</v>
      </c>
      <c r="D2231" s="1">
        <v>46010</v>
      </c>
      <c r="E2231" t="s">
        <v>4133</v>
      </c>
      <c r="F2231" t="s">
        <v>4139</v>
      </c>
    </row>
    <row r="2232" spans="1:6">
      <c r="A2232" t="s">
        <v>6361</v>
      </c>
      <c r="B2232" t="s">
        <v>1049</v>
      </c>
      <c r="C2232" t="s">
        <v>152</v>
      </c>
      <c r="D2232" s="1">
        <v>45978</v>
      </c>
      <c r="E2232" t="s">
        <v>4133</v>
      </c>
      <c r="F2232" t="s">
        <v>4125</v>
      </c>
    </row>
    <row r="2233" spans="1:6">
      <c r="A2233" t="s">
        <v>6362</v>
      </c>
      <c r="B2233" t="s">
        <v>1050</v>
      </c>
      <c r="C2233" t="s">
        <v>53</v>
      </c>
      <c r="D2233" s="1">
        <v>45812</v>
      </c>
      <c r="E2233" t="s">
        <v>4135</v>
      </c>
      <c r="F2233" t="s">
        <v>4137</v>
      </c>
    </row>
    <row r="2234" spans="1:6">
      <c r="A2234" t="s">
        <v>6363</v>
      </c>
      <c r="B2234" t="s">
        <v>1050</v>
      </c>
      <c r="C2234" t="s">
        <v>53</v>
      </c>
      <c r="D2234" s="1">
        <v>45814</v>
      </c>
      <c r="E2234" t="s">
        <v>4133</v>
      </c>
      <c r="F2234" t="s">
        <v>4137</v>
      </c>
    </row>
    <row r="2235" spans="1:6">
      <c r="A2235" t="s">
        <v>6364</v>
      </c>
      <c r="B2235" t="s">
        <v>1050</v>
      </c>
      <c r="C2235" t="s">
        <v>53</v>
      </c>
      <c r="D2235" s="1">
        <v>45814</v>
      </c>
      <c r="E2235" t="s">
        <v>4127</v>
      </c>
      <c r="F2235" t="s">
        <v>4139</v>
      </c>
    </row>
    <row r="2236" spans="1:6">
      <c r="A2236" t="s">
        <v>6365</v>
      </c>
      <c r="B2236" t="s">
        <v>1050</v>
      </c>
      <c r="C2236" t="s">
        <v>53</v>
      </c>
      <c r="D2236" s="1">
        <v>45810</v>
      </c>
      <c r="E2236" t="s">
        <v>4129</v>
      </c>
      <c r="F2236" t="s">
        <v>4125</v>
      </c>
    </row>
    <row r="2237" spans="1:6">
      <c r="A2237" t="s">
        <v>6366</v>
      </c>
      <c r="B2237" t="s">
        <v>1052</v>
      </c>
      <c r="C2237" t="s">
        <v>32</v>
      </c>
      <c r="D2237" s="1">
        <v>45855</v>
      </c>
      <c r="E2237" t="s">
        <v>4129</v>
      </c>
      <c r="F2237" t="s">
        <v>4125</v>
      </c>
    </row>
    <row r="2238" spans="1:6">
      <c r="A2238" t="s">
        <v>6367</v>
      </c>
      <c r="B2238" t="s">
        <v>1052</v>
      </c>
      <c r="C2238" t="s">
        <v>32</v>
      </c>
      <c r="D2238" s="1">
        <v>45861</v>
      </c>
      <c r="E2238" t="s">
        <v>4135</v>
      </c>
      <c r="F2238" t="s">
        <v>4137</v>
      </c>
    </row>
    <row r="2239" spans="1:6">
      <c r="A2239" t="s">
        <v>6368</v>
      </c>
      <c r="B2239" t="s">
        <v>1052</v>
      </c>
      <c r="C2239" t="s">
        <v>32</v>
      </c>
      <c r="D2239" s="1">
        <v>45862</v>
      </c>
      <c r="E2239" t="s">
        <v>4127</v>
      </c>
      <c r="F2239" t="s">
        <v>4139</v>
      </c>
    </row>
    <row r="2240" spans="1:6">
      <c r="A2240" t="s">
        <v>6369</v>
      </c>
      <c r="B2240" t="s">
        <v>1052</v>
      </c>
      <c r="C2240" t="s">
        <v>32</v>
      </c>
      <c r="D2240" s="1">
        <v>45865</v>
      </c>
      <c r="E2240" t="s">
        <v>4133</v>
      </c>
      <c r="F2240" t="s">
        <v>4125</v>
      </c>
    </row>
    <row r="2241" spans="1:6">
      <c r="A2241" t="s">
        <v>6370</v>
      </c>
      <c r="B2241" t="s">
        <v>1053</v>
      </c>
      <c r="C2241" t="s">
        <v>63</v>
      </c>
      <c r="D2241" s="1">
        <v>45963</v>
      </c>
      <c r="E2241" t="s">
        <v>4124</v>
      </c>
      <c r="F2241" t="s">
        <v>4137</v>
      </c>
    </row>
    <row r="2242" spans="1:6">
      <c r="A2242" t="s">
        <v>6371</v>
      </c>
      <c r="B2242" t="s">
        <v>1053</v>
      </c>
      <c r="C2242" t="s">
        <v>63</v>
      </c>
      <c r="D2242" s="1">
        <v>45960</v>
      </c>
      <c r="E2242" t="s">
        <v>4135</v>
      </c>
      <c r="F2242" t="s">
        <v>4139</v>
      </c>
    </row>
    <row r="2243" spans="1:6">
      <c r="A2243" t="s">
        <v>6372</v>
      </c>
      <c r="B2243" t="s">
        <v>1053</v>
      </c>
      <c r="C2243" t="s">
        <v>63</v>
      </c>
      <c r="D2243" s="1">
        <v>45932</v>
      </c>
      <c r="E2243" t="s">
        <v>4133</v>
      </c>
      <c r="F2243" t="s">
        <v>4139</v>
      </c>
    </row>
    <row r="2244" spans="1:6">
      <c r="A2244" t="s">
        <v>6373</v>
      </c>
      <c r="B2244" t="s">
        <v>1053</v>
      </c>
      <c r="C2244" t="s">
        <v>63</v>
      </c>
      <c r="D2244" s="1">
        <v>45924</v>
      </c>
      <c r="E2244" t="s">
        <v>4129</v>
      </c>
      <c r="F2244" t="s">
        <v>4137</v>
      </c>
    </row>
    <row r="2245" spans="1:6">
      <c r="A2245" t="s">
        <v>6374</v>
      </c>
      <c r="B2245" t="s">
        <v>1054</v>
      </c>
      <c r="C2245" t="s">
        <v>56</v>
      </c>
      <c r="D2245" s="1">
        <v>45820</v>
      </c>
      <c r="E2245" t="s">
        <v>4133</v>
      </c>
      <c r="F2245" t="s">
        <v>4125</v>
      </c>
    </row>
    <row r="2246" spans="1:6">
      <c r="A2246" t="s">
        <v>6375</v>
      </c>
      <c r="B2246" t="s">
        <v>1054</v>
      </c>
      <c r="C2246" t="s">
        <v>56</v>
      </c>
      <c r="D2246" s="1">
        <v>45860</v>
      </c>
      <c r="E2246" t="s">
        <v>4127</v>
      </c>
      <c r="F2246" t="s">
        <v>4139</v>
      </c>
    </row>
    <row r="2247" spans="1:6">
      <c r="A2247" t="s">
        <v>6376</v>
      </c>
      <c r="B2247" t="s">
        <v>1054</v>
      </c>
      <c r="C2247" t="s">
        <v>56</v>
      </c>
      <c r="D2247" s="1">
        <v>45852</v>
      </c>
      <c r="E2247" t="s">
        <v>4129</v>
      </c>
      <c r="F2247" t="s">
        <v>4137</v>
      </c>
    </row>
    <row r="2248" spans="1:6">
      <c r="A2248" t="s">
        <v>6377</v>
      </c>
      <c r="B2248" t="s">
        <v>1055</v>
      </c>
      <c r="C2248" t="s">
        <v>22</v>
      </c>
      <c r="D2248" s="1">
        <v>45725</v>
      </c>
      <c r="E2248" t="s">
        <v>4124</v>
      </c>
      <c r="F2248" t="s">
        <v>4139</v>
      </c>
    </row>
    <row r="2249" spans="1:6">
      <c r="A2249" t="s">
        <v>6378</v>
      </c>
      <c r="B2249" t="s">
        <v>1055</v>
      </c>
      <c r="C2249" t="s">
        <v>22</v>
      </c>
      <c r="D2249" s="1">
        <v>45726</v>
      </c>
      <c r="E2249" t="s">
        <v>4129</v>
      </c>
      <c r="F2249" t="s">
        <v>4139</v>
      </c>
    </row>
    <row r="2250" spans="1:6">
      <c r="A2250" t="s">
        <v>6379</v>
      </c>
      <c r="B2250" t="s">
        <v>1055</v>
      </c>
      <c r="C2250" t="s">
        <v>22</v>
      </c>
      <c r="D2250" s="1">
        <v>45753</v>
      </c>
      <c r="E2250" t="s">
        <v>4127</v>
      </c>
      <c r="F2250" t="s">
        <v>4139</v>
      </c>
    </row>
    <row r="2251" spans="1:6">
      <c r="A2251" t="s">
        <v>6380</v>
      </c>
      <c r="B2251" t="s">
        <v>1055</v>
      </c>
      <c r="C2251" t="s">
        <v>22</v>
      </c>
      <c r="D2251" s="1">
        <v>45742</v>
      </c>
      <c r="E2251" t="s">
        <v>4135</v>
      </c>
      <c r="F2251" t="s">
        <v>4125</v>
      </c>
    </row>
    <row r="2252" spans="1:6">
      <c r="A2252" t="s">
        <v>6381</v>
      </c>
      <c r="B2252" t="s">
        <v>1056</v>
      </c>
      <c r="C2252" t="s">
        <v>78</v>
      </c>
      <c r="D2252" s="1">
        <v>45913</v>
      </c>
      <c r="E2252" t="s">
        <v>4124</v>
      </c>
      <c r="F2252" t="s">
        <v>4137</v>
      </c>
    </row>
    <row r="2253" spans="1:6">
      <c r="A2253" t="s">
        <v>6382</v>
      </c>
      <c r="B2253" t="s">
        <v>1056</v>
      </c>
      <c r="C2253" t="s">
        <v>78</v>
      </c>
      <c r="D2253" s="1">
        <v>45895</v>
      </c>
      <c r="E2253" t="s">
        <v>4124</v>
      </c>
      <c r="F2253" t="s">
        <v>4139</v>
      </c>
    </row>
    <row r="2254" spans="1:6">
      <c r="A2254" t="s">
        <v>6383</v>
      </c>
      <c r="B2254" t="s">
        <v>1057</v>
      </c>
      <c r="C2254" t="s">
        <v>50</v>
      </c>
      <c r="D2254" s="1">
        <v>45885</v>
      </c>
      <c r="E2254" t="s">
        <v>4135</v>
      </c>
      <c r="F2254" t="s">
        <v>4137</v>
      </c>
    </row>
    <row r="2255" spans="1:6">
      <c r="A2255" t="s">
        <v>6384</v>
      </c>
      <c r="B2255" t="s">
        <v>1057</v>
      </c>
      <c r="C2255" t="s">
        <v>50</v>
      </c>
      <c r="D2255" s="1">
        <v>45896</v>
      </c>
      <c r="E2255" t="s">
        <v>4127</v>
      </c>
      <c r="F2255" t="s">
        <v>4139</v>
      </c>
    </row>
    <row r="2256" spans="1:6">
      <c r="A2256" t="s">
        <v>6385</v>
      </c>
      <c r="B2256" t="s">
        <v>1057</v>
      </c>
      <c r="C2256" t="s">
        <v>50</v>
      </c>
      <c r="D2256" s="1">
        <v>45906</v>
      </c>
      <c r="E2256" t="s">
        <v>4135</v>
      </c>
      <c r="F2256" t="s">
        <v>4137</v>
      </c>
    </row>
    <row r="2257" spans="1:6">
      <c r="A2257" t="s">
        <v>6386</v>
      </c>
      <c r="B2257" t="s">
        <v>1057</v>
      </c>
      <c r="C2257" t="s">
        <v>50</v>
      </c>
      <c r="D2257" s="1">
        <v>45917</v>
      </c>
      <c r="E2257" t="s">
        <v>4135</v>
      </c>
      <c r="F2257" t="s">
        <v>4125</v>
      </c>
    </row>
    <row r="2258" spans="1:6">
      <c r="A2258" t="s">
        <v>6387</v>
      </c>
      <c r="B2258" t="s">
        <v>1058</v>
      </c>
      <c r="C2258" t="s">
        <v>46</v>
      </c>
      <c r="D2258" s="1">
        <v>45976</v>
      </c>
      <c r="E2258" t="s">
        <v>4127</v>
      </c>
      <c r="F2258" t="s">
        <v>4125</v>
      </c>
    </row>
    <row r="2259" spans="1:6">
      <c r="A2259" t="s">
        <v>6388</v>
      </c>
      <c r="B2259" t="s">
        <v>1058</v>
      </c>
      <c r="C2259" t="s">
        <v>46</v>
      </c>
      <c r="D2259" s="1">
        <v>45923</v>
      </c>
      <c r="E2259" t="s">
        <v>4124</v>
      </c>
      <c r="F2259" t="s">
        <v>4125</v>
      </c>
    </row>
    <row r="2260" spans="1:6">
      <c r="A2260" t="s">
        <v>6389</v>
      </c>
      <c r="B2260" t="s">
        <v>1058</v>
      </c>
      <c r="C2260" t="s">
        <v>46</v>
      </c>
      <c r="D2260" s="1">
        <v>45973</v>
      </c>
      <c r="E2260" t="s">
        <v>4124</v>
      </c>
      <c r="F2260" t="s">
        <v>4125</v>
      </c>
    </row>
    <row r="2261" spans="1:6">
      <c r="A2261" t="s">
        <v>6390</v>
      </c>
      <c r="B2261" t="s">
        <v>1059</v>
      </c>
      <c r="C2261" t="s">
        <v>168</v>
      </c>
      <c r="D2261" s="1">
        <v>45714</v>
      </c>
      <c r="E2261" t="s">
        <v>4133</v>
      </c>
      <c r="F2261" t="s">
        <v>4125</v>
      </c>
    </row>
    <row r="2262" spans="1:6">
      <c r="A2262" t="s">
        <v>6391</v>
      </c>
      <c r="B2262" t="s">
        <v>1059</v>
      </c>
      <c r="C2262" t="s">
        <v>168</v>
      </c>
      <c r="D2262" s="1">
        <v>45704</v>
      </c>
      <c r="E2262" t="s">
        <v>4129</v>
      </c>
      <c r="F2262" t="s">
        <v>4137</v>
      </c>
    </row>
    <row r="2263" spans="1:6">
      <c r="A2263" t="s">
        <v>6392</v>
      </c>
      <c r="B2263" t="s">
        <v>1061</v>
      </c>
      <c r="C2263" t="s">
        <v>27</v>
      </c>
      <c r="D2263" s="1">
        <v>45974</v>
      </c>
      <c r="E2263" t="s">
        <v>4135</v>
      </c>
      <c r="F2263" t="s">
        <v>4125</v>
      </c>
    </row>
    <row r="2264" spans="1:6">
      <c r="A2264" t="s">
        <v>6393</v>
      </c>
      <c r="B2264" t="s">
        <v>1061</v>
      </c>
      <c r="C2264" t="s">
        <v>27</v>
      </c>
      <c r="D2264" s="1">
        <v>45980</v>
      </c>
      <c r="E2264" t="s">
        <v>4124</v>
      </c>
      <c r="F2264" t="s">
        <v>4139</v>
      </c>
    </row>
    <row r="2265" spans="1:6">
      <c r="A2265" t="s">
        <v>6394</v>
      </c>
      <c r="B2265" t="s">
        <v>1061</v>
      </c>
      <c r="C2265" t="s">
        <v>27</v>
      </c>
      <c r="D2265" s="1">
        <v>45988</v>
      </c>
      <c r="E2265" t="s">
        <v>4129</v>
      </c>
      <c r="F2265" t="s">
        <v>4125</v>
      </c>
    </row>
    <row r="2266" spans="1:6">
      <c r="A2266" t="s">
        <v>6395</v>
      </c>
      <c r="B2266" t="s">
        <v>1061</v>
      </c>
      <c r="C2266" t="s">
        <v>27</v>
      </c>
      <c r="D2266" s="1">
        <v>45982</v>
      </c>
      <c r="E2266" t="s">
        <v>4127</v>
      </c>
      <c r="F2266" t="s">
        <v>4139</v>
      </c>
    </row>
    <row r="2267" spans="1:6">
      <c r="A2267" t="s">
        <v>6396</v>
      </c>
      <c r="B2267" t="s">
        <v>1063</v>
      </c>
      <c r="C2267" t="s">
        <v>53</v>
      </c>
      <c r="D2267" s="1">
        <v>46022</v>
      </c>
      <c r="E2267" t="s">
        <v>4135</v>
      </c>
      <c r="F2267" t="s">
        <v>4139</v>
      </c>
    </row>
    <row r="2268" spans="1:6">
      <c r="A2268" t="s">
        <v>6397</v>
      </c>
      <c r="B2268" t="s">
        <v>1063</v>
      </c>
      <c r="C2268" t="s">
        <v>53</v>
      </c>
      <c r="D2268" s="1">
        <v>46022</v>
      </c>
      <c r="E2268" t="s">
        <v>4135</v>
      </c>
      <c r="F2268" t="s">
        <v>4139</v>
      </c>
    </row>
    <row r="2269" spans="1:6">
      <c r="A2269" t="s">
        <v>6398</v>
      </c>
      <c r="B2269" t="s">
        <v>1063</v>
      </c>
      <c r="C2269" t="s">
        <v>53</v>
      </c>
      <c r="D2269" s="1">
        <v>46022</v>
      </c>
      <c r="E2269" t="s">
        <v>4133</v>
      </c>
      <c r="F2269" t="s">
        <v>4137</v>
      </c>
    </row>
    <row r="2270" spans="1:6">
      <c r="A2270" t="s">
        <v>6399</v>
      </c>
      <c r="B2270" t="s">
        <v>1063</v>
      </c>
      <c r="C2270" t="s">
        <v>53</v>
      </c>
      <c r="D2270" s="1">
        <v>46022</v>
      </c>
      <c r="E2270" t="s">
        <v>4133</v>
      </c>
      <c r="F2270" t="s">
        <v>4137</v>
      </c>
    </row>
    <row r="2271" spans="1:6">
      <c r="A2271" t="s">
        <v>6400</v>
      </c>
      <c r="B2271" t="s">
        <v>1063</v>
      </c>
      <c r="C2271" t="s">
        <v>53</v>
      </c>
      <c r="D2271" s="1">
        <v>46022</v>
      </c>
      <c r="E2271" t="s">
        <v>4124</v>
      </c>
      <c r="F2271" t="s">
        <v>4137</v>
      </c>
    </row>
    <row r="2272" spans="1:6">
      <c r="A2272" t="s">
        <v>6401</v>
      </c>
      <c r="B2272" t="s">
        <v>1064</v>
      </c>
      <c r="C2272" t="s">
        <v>168</v>
      </c>
      <c r="D2272" s="1">
        <v>45864</v>
      </c>
      <c r="E2272" t="s">
        <v>4133</v>
      </c>
      <c r="F2272" t="s">
        <v>4139</v>
      </c>
    </row>
    <row r="2273" spans="1:6">
      <c r="A2273" t="s">
        <v>6402</v>
      </c>
      <c r="B2273" t="s">
        <v>1064</v>
      </c>
      <c r="C2273" t="s">
        <v>168</v>
      </c>
      <c r="D2273" s="1">
        <v>45849</v>
      </c>
      <c r="E2273" t="s">
        <v>4124</v>
      </c>
      <c r="F2273" t="s">
        <v>4139</v>
      </c>
    </row>
    <row r="2274" spans="1:6">
      <c r="A2274" t="s">
        <v>6403</v>
      </c>
      <c r="B2274" t="s">
        <v>1064</v>
      </c>
      <c r="C2274" t="s">
        <v>168</v>
      </c>
      <c r="D2274" s="1">
        <v>45847</v>
      </c>
      <c r="E2274" t="s">
        <v>4127</v>
      </c>
      <c r="F2274" t="s">
        <v>4125</v>
      </c>
    </row>
    <row r="2275" spans="1:6">
      <c r="A2275" t="s">
        <v>6404</v>
      </c>
      <c r="B2275" t="s">
        <v>1064</v>
      </c>
      <c r="C2275" t="s">
        <v>168</v>
      </c>
      <c r="D2275" s="1">
        <v>45873</v>
      </c>
      <c r="E2275" t="s">
        <v>4133</v>
      </c>
      <c r="F2275" t="s">
        <v>4137</v>
      </c>
    </row>
    <row r="2276" spans="1:6">
      <c r="A2276" t="s">
        <v>6405</v>
      </c>
      <c r="B2276" t="s">
        <v>1066</v>
      </c>
      <c r="C2276" t="s">
        <v>50</v>
      </c>
      <c r="D2276" s="1">
        <v>45801</v>
      </c>
      <c r="E2276" t="s">
        <v>4135</v>
      </c>
      <c r="F2276" t="s">
        <v>4139</v>
      </c>
    </row>
    <row r="2277" spans="1:6">
      <c r="A2277" t="s">
        <v>6406</v>
      </c>
      <c r="B2277" t="s">
        <v>1066</v>
      </c>
      <c r="C2277" t="s">
        <v>50</v>
      </c>
      <c r="D2277" s="1">
        <v>45856</v>
      </c>
      <c r="E2277" t="s">
        <v>4133</v>
      </c>
      <c r="F2277" t="s">
        <v>4139</v>
      </c>
    </row>
    <row r="2278" spans="1:6">
      <c r="A2278" t="s">
        <v>6407</v>
      </c>
      <c r="B2278" t="s">
        <v>1066</v>
      </c>
      <c r="C2278" t="s">
        <v>50</v>
      </c>
      <c r="D2278" s="1">
        <v>45830</v>
      </c>
      <c r="E2278" t="s">
        <v>4124</v>
      </c>
      <c r="F2278" t="s">
        <v>4137</v>
      </c>
    </row>
    <row r="2279" spans="1:6">
      <c r="A2279" t="s">
        <v>6408</v>
      </c>
      <c r="B2279" t="s">
        <v>1066</v>
      </c>
      <c r="C2279" t="s">
        <v>50</v>
      </c>
      <c r="D2279" s="1">
        <v>45792</v>
      </c>
      <c r="E2279" t="s">
        <v>4129</v>
      </c>
      <c r="F2279" t="s">
        <v>4125</v>
      </c>
    </row>
    <row r="2280" spans="1:6">
      <c r="A2280" t="s">
        <v>6409</v>
      </c>
      <c r="B2280" t="s">
        <v>1067</v>
      </c>
      <c r="C2280" t="s">
        <v>75</v>
      </c>
      <c r="D2280" s="1">
        <v>45773</v>
      </c>
      <c r="E2280" t="s">
        <v>4129</v>
      </c>
      <c r="F2280" t="s">
        <v>4137</v>
      </c>
    </row>
    <row r="2281" spans="1:6">
      <c r="A2281" t="s">
        <v>6410</v>
      </c>
      <c r="B2281" t="s">
        <v>1067</v>
      </c>
      <c r="C2281" t="s">
        <v>75</v>
      </c>
      <c r="D2281" s="1">
        <v>45776</v>
      </c>
      <c r="E2281" t="s">
        <v>4124</v>
      </c>
      <c r="F2281" t="s">
        <v>4125</v>
      </c>
    </row>
    <row r="2282" spans="1:6">
      <c r="A2282" t="s">
        <v>6411</v>
      </c>
      <c r="B2282" t="s">
        <v>1068</v>
      </c>
      <c r="C2282" t="s">
        <v>119</v>
      </c>
      <c r="D2282" s="1">
        <v>45773</v>
      </c>
      <c r="E2282" t="s">
        <v>4127</v>
      </c>
      <c r="F2282" t="s">
        <v>4139</v>
      </c>
    </row>
    <row r="2283" spans="1:6">
      <c r="A2283" t="s">
        <v>6412</v>
      </c>
      <c r="B2283" t="s">
        <v>1068</v>
      </c>
      <c r="C2283" t="s">
        <v>119</v>
      </c>
      <c r="D2283" s="1">
        <v>45778</v>
      </c>
      <c r="E2283" t="s">
        <v>4135</v>
      </c>
      <c r="F2283" t="s">
        <v>4125</v>
      </c>
    </row>
    <row r="2284" spans="1:6">
      <c r="A2284" t="s">
        <v>6413</v>
      </c>
      <c r="B2284" t="s">
        <v>1069</v>
      </c>
      <c r="C2284" t="s">
        <v>27</v>
      </c>
      <c r="D2284" s="1">
        <v>45937</v>
      </c>
      <c r="E2284" t="s">
        <v>4124</v>
      </c>
      <c r="F2284" t="s">
        <v>4139</v>
      </c>
    </row>
    <row r="2285" spans="1:6">
      <c r="A2285" t="s">
        <v>6414</v>
      </c>
      <c r="B2285" t="s">
        <v>1069</v>
      </c>
      <c r="C2285" t="s">
        <v>27</v>
      </c>
      <c r="D2285" s="1">
        <v>45933</v>
      </c>
      <c r="E2285" t="s">
        <v>4129</v>
      </c>
      <c r="F2285" t="s">
        <v>4139</v>
      </c>
    </row>
    <row r="2286" spans="1:6">
      <c r="A2286" t="s">
        <v>6415</v>
      </c>
      <c r="B2286" t="s">
        <v>1069</v>
      </c>
      <c r="C2286" t="s">
        <v>27</v>
      </c>
      <c r="D2286" s="1">
        <v>45922</v>
      </c>
      <c r="E2286" t="s">
        <v>4135</v>
      </c>
      <c r="F2286" t="s">
        <v>4137</v>
      </c>
    </row>
    <row r="2287" spans="1:6">
      <c r="A2287" t="s">
        <v>6416</v>
      </c>
      <c r="B2287" t="s">
        <v>1069</v>
      </c>
      <c r="C2287" t="s">
        <v>27</v>
      </c>
      <c r="D2287" s="1">
        <v>45916</v>
      </c>
      <c r="E2287" t="s">
        <v>4135</v>
      </c>
      <c r="F2287" t="s">
        <v>4137</v>
      </c>
    </row>
    <row r="2288" spans="1:6">
      <c r="A2288" t="s">
        <v>6417</v>
      </c>
      <c r="B2288" t="s">
        <v>1069</v>
      </c>
      <c r="C2288" t="s">
        <v>27</v>
      </c>
      <c r="D2288" s="1">
        <v>45918</v>
      </c>
      <c r="E2288" t="s">
        <v>4124</v>
      </c>
      <c r="F2288" t="s">
        <v>4139</v>
      </c>
    </row>
    <row r="2289" spans="1:6">
      <c r="A2289" t="s">
        <v>6418</v>
      </c>
      <c r="B2289" t="s">
        <v>1071</v>
      </c>
      <c r="C2289" t="s">
        <v>36</v>
      </c>
      <c r="D2289" s="1">
        <v>46011</v>
      </c>
      <c r="E2289" t="s">
        <v>4129</v>
      </c>
      <c r="F2289" t="s">
        <v>4125</v>
      </c>
    </row>
    <row r="2290" spans="1:6">
      <c r="A2290" t="s">
        <v>6419</v>
      </c>
      <c r="B2290" t="s">
        <v>1071</v>
      </c>
      <c r="C2290" t="s">
        <v>36</v>
      </c>
      <c r="D2290" s="1">
        <v>46017</v>
      </c>
      <c r="E2290" t="s">
        <v>4129</v>
      </c>
      <c r="F2290" t="s">
        <v>4125</v>
      </c>
    </row>
    <row r="2291" spans="1:6">
      <c r="A2291" t="s">
        <v>6420</v>
      </c>
      <c r="B2291" t="s">
        <v>1071</v>
      </c>
      <c r="C2291" t="s">
        <v>36</v>
      </c>
      <c r="D2291" s="1">
        <v>46007</v>
      </c>
      <c r="E2291" t="s">
        <v>4129</v>
      </c>
      <c r="F2291" t="s">
        <v>4125</v>
      </c>
    </row>
    <row r="2292" spans="1:6">
      <c r="A2292" t="s">
        <v>6421</v>
      </c>
      <c r="B2292" t="s">
        <v>1071</v>
      </c>
      <c r="C2292" t="s">
        <v>36</v>
      </c>
      <c r="D2292" s="1">
        <v>46001</v>
      </c>
      <c r="E2292" t="s">
        <v>4127</v>
      </c>
      <c r="F2292" t="s">
        <v>4137</v>
      </c>
    </row>
    <row r="2293" spans="1:6">
      <c r="A2293" t="s">
        <v>6422</v>
      </c>
      <c r="B2293" t="s">
        <v>1072</v>
      </c>
      <c r="C2293" t="s">
        <v>75</v>
      </c>
      <c r="D2293" s="1">
        <v>45838</v>
      </c>
      <c r="E2293" t="s">
        <v>4133</v>
      </c>
      <c r="F2293" t="s">
        <v>4137</v>
      </c>
    </row>
    <row r="2294" spans="1:6">
      <c r="A2294" t="s">
        <v>6423</v>
      </c>
      <c r="B2294" t="s">
        <v>1072</v>
      </c>
      <c r="C2294" t="s">
        <v>75</v>
      </c>
      <c r="D2294" s="1">
        <v>45813</v>
      </c>
      <c r="E2294" t="s">
        <v>4127</v>
      </c>
      <c r="F2294" t="s">
        <v>4125</v>
      </c>
    </row>
    <row r="2295" spans="1:6">
      <c r="A2295" t="s">
        <v>6424</v>
      </c>
      <c r="B2295" t="s">
        <v>1073</v>
      </c>
      <c r="C2295" t="s">
        <v>32</v>
      </c>
      <c r="D2295" s="1">
        <v>45833</v>
      </c>
      <c r="E2295" t="s">
        <v>4129</v>
      </c>
      <c r="F2295" t="s">
        <v>4125</v>
      </c>
    </row>
    <row r="2296" spans="1:6">
      <c r="A2296" t="s">
        <v>6425</v>
      </c>
      <c r="B2296" t="s">
        <v>1073</v>
      </c>
      <c r="C2296" t="s">
        <v>32</v>
      </c>
      <c r="D2296" s="1">
        <v>45850</v>
      </c>
      <c r="E2296" t="s">
        <v>4129</v>
      </c>
      <c r="F2296" t="s">
        <v>4139</v>
      </c>
    </row>
    <row r="2297" spans="1:6">
      <c r="A2297" t="s">
        <v>6426</v>
      </c>
      <c r="B2297" t="s">
        <v>1075</v>
      </c>
      <c r="C2297" t="s">
        <v>27</v>
      </c>
      <c r="D2297" s="1">
        <v>45974</v>
      </c>
      <c r="E2297" t="s">
        <v>4124</v>
      </c>
      <c r="F2297" t="s">
        <v>4125</v>
      </c>
    </row>
    <row r="2298" spans="1:6">
      <c r="A2298" t="s">
        <v>6427</v>
      </c>
      <c r="B2298" t="s">
        <v>1075</v>
      </c>
      <c r="C2298" t="s">
        <v>27</v>
      </c>
      <c r="D2298" s="1">
        <v>45963</v>
      </c>
      <c r="E2298" t="s">
        <v>4129</v>
      </c>
      <c r="F2298" t="s">
        <v>4139</v>
      </c>
    </row>
    <row r="2299" spans="1:6">
      <c r="A2299" t="s">
        <v>6428</v>
      </c>
      <c r="B2299" t="s">
        <v>1077</v>
      </c>
      <c r="C2299" t="s">
        <v>27</v>
      </c>
      <c r="D2299" s="1">
        <v>45782</v>
      </c>
      <c r="E2299" t="s">
        <v>4135</v>
      </c>
      <c r="F2299" t="s">
        <v>4125</v>
      </c>
    </row>
    <row r="2300" spans="1:6">
      <c r="A2300" t="s">
        <v>6429</v>
      </c>
      <c r="B2300" t="s">
        <v>1077</v>
      </c>
      <c r="C2300" t="s">
        <v>27</v>
      </c>
      <c r="D2300" s="1">
        <v>45787</v>
      </c>
      <c r="E2300" t="s">
        <v>4129</v>
      </c>
      <c r="F2300" t="s">
        <v>4139</v>
      </c>
    </row>
    <row r="2301" spans="1:6">
      <c r="A2301" t="s">
        <v>6430</v>
      </c>
      <c r="B2301" t="s">
        <v>1077</v>
      </c>
      <c r="C2301" t="s">
        <v>27</v>
      </c>
      <c r="D2301" s="1">
        <v>45768</v>
      </c>
      <c r="E2301" t="s">
        <v>4124</v>
      </c>
      <c r="F2301" t="s">
        <v>4139</v>
      </c>
    </row>
    <row r="2302" spans="1:6">
      <c r="A2302" t="s">
        <v>6431</v>
      </c>
      <c r="B2302" t="s">
        <v>1078</v>
      </c>
      <c r="C2302" t="s">
        <v>27</v>
      </c>
      <c r="D2302" s="1">
        <v>45829</v>
      </c>
      <c r="E2302" t="s">
        <v>4124</v>
      </c>
      <c r="F2302" t="s">
        <v>4139</v>
      </c>
    </row>
    <row r="2303" spans="1:6">
      <c r="A2303" t="s">
        <v>6432</v>
      </c>
      <c r="B2303" t="s">
        <v>1078</v>
      </c>
      <c r="C2303" t="s">
        <v>27</v>
      </c>
      <c r="D2303" s="1">
        <v>45815</v>
      </c>
      <c r="E2303" t="s">
        <v>4135</v>
      </c>
      <c r="F2303" t="s">
        <v>4125</v>
      </c>
    </row>
    <row r="2304" spans="1:6">
      <c r="A2304" t="s">
        <v>6433</v>
      </c>
      <c r="B2304" t="s">
        <v>1078</v>
      </c>
      <c r="C2304" t="s">
        <v>27</v>
      </c>
      <c r="D2304" s="1">
        <v>45821</v>
      </c>
      <c r="E2304" t="s">
        <v>4129</v>
      </c>
      <c r="F2304" t="s">
        <v>4125</v>
      </c>
    </row>
    <row r="2305" spans="1:6">
      <c r="A2305" t="s">
        <v>6434</v>
      </c>
      <c r="B2305" t="s">
        <v>1079</v>
      </c>
      <c r="C2305" t="s">
        <v>56</v>
      </c>
      <c r="D2305" s="1">
        <v>46022</v>
      </c>
      <c r="E2305" t="s">
        <v>4124</v>
      </c>
      <c r="F2305" t="s">
        <v>4137</v>
      </c>
    </row>
    <row r="2306" spans="1:6">
      <c r="A2306" t="s">
        <v>6435</v>
      </c>
      <c r="B2306" t="s">
        <v>1079</v>
      </c>
      <c r="C2306" t="s">
        <v>56</v>
      </c>
      <c r="D2306" s="1">
        <v>46022</v>
      </c>
      <c r="E2306" t="s">
        <v>4135</v>
      </c>
      <c r="F2306" t="s">
        <v>4137</v>
      </c>
    </row>
    <row r="2307" spans="1:6">
      <c r="A2307" t="s">
        <v>6436</v>
      </c>
      <c r="B2307" t="s">
        <v>1081</v>
      </c>
      <c r="C2307" t="s">
        <v>27</v>
      </c>
      <c r="D2307" s="1">
        <v>45979</v>
      </c>
      <c r="E2307" t="s">
        <v>4135</v>
      </c>
      <c r="F2307" t="s">
        <v>4137</v>
      </c>
    </row>
    <row r="2308" spans="1:6">
      <c r="A2308" t="s">
        <v>6437</v>
      </c>
      <c r="B2308" t="s">
        <v>1081</v>
      </c>
      <c r="C2308" t="s">
        <v>27</v>
      </c>
      <c r="D2308" s="1">
        <v>45979</v>
      </c>
      <c r="E2308" t="s">
        <v>4135</v>
      </c>
      <c r="F2308" t="s">
        <v>4125</v>
      </c>
    </row>
    <row r="2309" spans="1:6">
      <c r="A2309" t="s">
        <v>6438</v>
      </c>
      <c r="B2309" t="s">
        <v>1082</v>
      </c>
      <c r="C2309" t="s">
        <v>152</v>
      </c>
      <c r="D2309" s="1">
        <v>46014</v>
      </c>
      <c r="E2309" t="s">
        <v>4133</v>
      </c>
      <c r="F2309" t="s">
        <v>4139</v>
      </c>
    </row>
    <row r="2310" spans="1:6">
      <c r="A2310" t="s">
        <v>6439</v>
      </c>
      <c r="B2310" t="s">
        <v>1082</v>
      </c>
      <c r="C2310" t="s">
        <v>152</v>
      </c>
      <c r="D2310" s="1">
        <v>46018</v>
      </c>
      <c r="E2310" t="s">
        <v>4135</v>
      </c>
      <c r="F2310" t="s">
        <v>4139</v>
      </c>
    </row>
    <row r="2311" spans="1:6">
      <c r="A2311" t="s">
        <v>6440</v>
      </c>
      <c r="B2311" t="s">
        <v>1082</v>
      </c>
      <c r="C2311" t="s">
        <v>152</v>
      </c>
      <c r="D2311" s="1">
        <v>46021</v>
      </c>
      <c r="E2311" t="s">
        <v>4135</v>
      </c>
      <c r="F2311" t="s">
        <v>4139</v>
      </c>
    </row>
    <row r="2312" spans="1:6">
      <c r="A2312" t="s">
        <v>6441</v>
      </c>
      <c r="B2312" t="s">
        <v>1082</v>
      </c>
      <c r="C2312" t="s">
        <v>152</v>
      </c>
      <c r="D2312" s="1">
        <v>46022</v>
      </c>
      <c r="E2312" t="s">
        <v>4133</v>
      </c>
      <c r="F2312" t="s">
        <v>4137</v>
      </c>
    </row>
    <row r="2313" spans="1:6">
      <c r="A2313" t="s">
        <v>6442</v>
      </c>
      <c r="B2313" t="s">
        <v>1083</v>
      </c>
      <c r="C2313" t="s">
        <v>46</v>
      </c>
      <c r="D2313" s="1">
        <v>45802</v>
      </c>
      <c r="E2313" t="s">
        <v>4129</v>
      </c>
      <c r="F2313" t="s">
        <v>4137</v>
      </c>
    </row>
    <row r="2314" spans="1:6">
      <c r="A2314" t="s">
        <v>6443</v>
      </c>
      <c r="B2314" t="s">
        <v>1083</v>
      </c>
      <c r="C2314" t="s">
        <v>46</v>
      </c>
      <c r="D2314" s="1">
        <v>45803</v>
      </c>
      <c r="E2314" t="s">
        <v>4135</v>
      </c>
      <c r="F2314" t="s">
        <v>4137</v>
      </c>
    </row>
    <row r="2315" spans="1:6">
      <c r="A2315" t="s">
        <v>6444</v>
      </c>
      <c r="B2315" t="s">
        <v>1083</v>
      </c>
      <c r="C2315" t="s">
        <v>46</v>
      </c>
      <c r="D2315" s="1">
        <v>45813</v>
      </c>
      <c r="E2315" t="s">
        <v>4133</v>
      </c>
      <c r="F2315" t="s">
        <v>4125</v>
      </c>
    </row>
    <row r="2316" spans="1:6">
      <c r="A2316" t="s">
        <v>6445</v>
      </c>
      <c r="B2316" t="s">
        <v>1084</v>
      </c>
      <c r="C2316" t="s">
        <v>126</v>
      </c>
      <c r="D2316" s="1">
        <v>45767</v>
      </c>
      <c r="E2316" t="s">
        <v>4127</v>
      </c>
      <c r="F2316" t="s">
        <v>4137</v>
      </c>
    </row>
    <row r="2317" spans="1:6">
      <c r="A2317" t="s">
        <v>6446</v>
      </c>
      <c r="B2317" t="s">
        <v>1084</v>
      </c>
      <c r="C2317" t="s">
        <v>126</v>
      </c>
      <c r="D2317" s="1">
        <v>45768</v>
      </c>
      <c r="E2317" t="s">
        <v>4133</v>
      </c>
      <c r="F2317" t="s">
        <v>4137</v>
      </c>
    </row>
    <row r="2318" spans="1:6">
      <c r="A2318" t="s">
        <v>6447</v>
      </c>
      <c r="B2318" t="s">
        <v>1084</v>
      </c>
      <c r="C2318" t="s">
        <v>126</v>
      </c>
      <c r="D2318" s="1">
        <v>45771</v>
      </c>
      <c r="E2318" t="s">
        <v>4135</v>
      </c>
      <c r="F2318" t="s">
        <v>4137</v>
      </c>
    </row>
    <row r="2319" spans="1:6">
      <c r="A2319" t="s">
        <v>6448</v>
      </c>
      <c r="B2319" t="s">
        <v>1084</v>
      </c>
      <c r="C2319" t="s">
        <v>126</v>
      </c>
      <c r="D2319" s="1">
        <v>45773</v>
      </c>
      <c r="E2319" t="s">
        <v>4133</v>
      </c>
      <c r="F2319" t="s">
        <v>4139</v>
      </c>
    </row>
    <row r="2320" spans="1:6">
      <c r="A2320" t="s">
        <v>6449</v>
      </c>
      <c r="B2320" t="s">
        <v>1085</v>
      </c>
      <c r="C2320" t="s">
        <v>75</v>
      </c>
      <c r="D2320" s="1">
        <v>45849</v>
      </c>
      <c r="E2320" t="s">
        <v>4135</v>
      </c>
      <c r="F2320" t="s">
        <v>4125</v>
      </c>
    </row>
    <row r="2321" spans="1:6">
      <c r="A2321" t="s">
        <v>6450</v>
      </c>
      <c r="B2321" t="s">
        <v>1085</v>
      </c>
      <c r="C2321" t="s">
        <v>75</v>
      </c>
      <c r="D2321" s="1">
        <v>45869</v>
      </c>
      <c r="E2321" t="s">
        <v>4133</v>
      </c>
      <c r="F2321" t="s">
        <v>4139</v>
      </c>
    </row>
    <row r="2322" spans="1:6">
      <c r="A2322" t="s">
        <v>6451</v>
      </c>
      <c r="B2322" t="s">
        <v>1085</v>
      </c>
      <c r="C2322" t="s">
        <v>75</v>
      </c>
      <c r="D2322" s="1">
        <v>45837</v>
      </c>
      <c r="E2322" t="s">
        <v>4124</v>
      </c>
      <c r="F2322" t="s">
        <v>4125</v>
      </c>
    </row>
    <row r="2323" spans="1:6">
      <c r="A2323" t="s">
        <v>6452</v>
      </c>
      <c r="B2323" t="s">
        <v>1085</v>
      </c>
      <c r="C2323" t="s">
        <v>75</v>
      </c>
      <c r="D2323" s="1">
        <v>45831</v>
      </c>
      <c r="E2323" t="s">
        <v>4129</v>
      </c>
      <c r="F2323" t="s">
        <v>4125</v>
      </c>
    </row>
    <row r="2324" spans="1:6">
      <c r="A2324" t="s">
        <v>6453</v>
      </c>
      <c r="B2324" t="s">
        <v>1086</v>
      </c>
      <c r="C2324" t="s">
        <v>152</v>
      </c>
      <c r="D2324" s="1">
        <v>45865</v>
      </c>
      <c r="E2324" t="s">
        <v>4133</v>
      </c>
      <c r="F2324" t="s">
        <v>4137</v>
      </c>
    </row>
    <row r="2325" spans="1:6">
      <c r="A2325" t="s">
        <v>6454</v>
      </c>
      <c r="B2325" t="s">
        <v>1086</v>
      </c>
      <c r="C2325" t="s">
        <v>152</v>
      </c>
      <c r="D2325" s="1">
        <v>45865</v>
      </c>
      <c r="E2325" t="s">
        <v>4133</v>
      </c>
      <c r="F2325" t="s">
        <v>4139</v>
      </c>
    </row>
    <row r="2326" spans="1:6">
      <c r="A2326" t="s">
        <v>6455</v>
      </c>
      <c r="B2326" t="s">
        <v>1087</v>
      </c>
      <c r="C2326" t="s">
        <v>27</v>
      </c>
      <c r="D2326" s="1">
        <v>45953</v>
      </c>
      <c r="E2326" t="s">
        <v>4135</v>
      </c>
      <c r="F2326" t="s">
        <v>4125</v>
      </c>
    </row>
    <row r="2327" spans="1:6">
      <c r="A2327" t="s">
        <v>6456</v>
      </c>
      <c r="B2327" t="s">
        <v>1087</v>
      </c>
      <c r="C2327" t="s">
        <v>27</v>
      </c>
      <c r="D2327" s="1">
        <v>45953</v>
      </c>
      <c r="E2327" t="s">
        <v>4129</v>
      </c>
      <c r="F2327" t="s">
        <v>4137</v>
      </c>
    </row>
    <row r="2328" spans="1:6">
      <c r="A2328" t="s">
        <v>6457</v>
      </c>
      <c r="B2328" t="s">
        <v>1087</v>
      </c>
      <c r="C2328" t="s">
        <v>27</v>
      </c>
      <c r="D2328" s="1">
        <v>45951</v>
      </c>
      <c r="E2328" t="s">
        <v>4124</v>
      </c>
      <c r="F2328" t="s">
        <v>4137</v>
      </c>
    </row>
    <row r="2329" spans="1:6">
      <c r="A2329" t="s">
        <v>6458</v>
      </c>
      <c r="B2329" t="s">
        <v>1087</v>
      </c>
      <c r="C2329" t="s">
        <v>27</v>
      </c>
      <c r="D2329" s="1">
        <v>45948</v>
      </c>
      <c r="E2329" t="s">
        <v>4124</v>
      </c>
      <c r="F2329" t="s">
        <v>4125</v>
      </c>
    </row>
    <row r="2330" spans="1:6">
      <c r="A2330" t="s">
        <v>6459</v>
      </c>
      <c r="B2330" t="s">
        <v>1087</v>
      </c>
      <c r="C2330" t="s">
        <v>27</v>
      </c>
      <c r="D2330" s="1">
        <v>45951</v>
      </c>
      <c r="E2330" t="s">
        <v>4135</v>
      </c>
      <c r="F2330" t="s">
        <v>4139</v>
      </c>
    </row>
    <row r="2331" spans="1:6">
      <c r="A2331" t="s">
        <v>6460</v>
      </c>
      <c r="B2331" t="s">
        <v>1088</v>
      </c>
      <c r="C2331" t="s">
        <v>126</v>
      </c>
      <c r="D2331" s="1">
        <v>45860</v>
      </c>
      <c r="E2331" t="s">
        <v>4133</v>
      </c>
      <c r="F2331" t="s">
        <v>4137</v>
      </c>
    </row>
    <row r="2332" spans="1:6">
      <c r="A2332" t="s">
        <v>6461</v>
      </c>
      <c r="B2332" t="s">
        <v>1088</v>
      </c>
      <c r="C2332" t="s">
        <v>126</v>
      </c>
      <c r="D2332" s="1">
        <v>45869</v>
      </c>
      <c r="E2332" t="s">
        <v>4129</v>
      </c>
      <c r="F2332" t="s">
        <v>4139</v>
      </c>
    </row>
    <row r="2333" spans="1:6">
      <c r="A2333" t="s">
        <v>6462</v>
      </c>
      <c r="B2333" t="s">
        <v>1088</v>
      </c>
      <c r="C2333" t="s">
        <v>126</v>
      </c>
      <c r="D2333" s="1">
        <v>45868</v>
      </c>
      <c r="E2333" t="s">
        <v>4135</v>
      </c>
      <c r="F2333" t="s">
        <v>4125</v>
      </c>
    </row>
    <row r="2334" spans="1:6">
      <c r="A2334" t="s">
        <v>6463</v>
      </c>
      <c r="B2334" t="s">
        <v>1088</v>
      </c>
      <c r="C2334" t="s">
        <v>126</v>
      </c>
      <c r="D2334" s="1">
        <v>45867</v>
      </c>
      <c r="E2334" t="s">
        <v>4135</v>
      </c>
      <c r="F2334" t="s">
        <v>4137</v>
      </c>
    </row>
    <row r="2335" spans="1:6">
      <c r="A2335" t="s">
        <v>6464</v>
      </c>
      <c r="B2335" t="s">
        <v>1089</v>
      </c>
      <c r="C2335" t="s">
        <v>59</v>
      </c>
      <c r="D2335" s="1">
        <v>45897</v>
      </c>
      <c r="E2335" t="s">
        <v>4129</v>
      </c>
      <c r="F2335" t="s">
        <v>4139</v>
      </c>
    </row>
    <row r="2336" spans="1:6">
      <c r="A2336" t="s">
        <v>6465</v>
      </c>
      <c r="B2336" t="s">
        <v>1089</v>
      </c>
      <c r="C2336" t="s">
        <v>59</v>
      </c>
      <c r="D2336" s="1">
        <v>45904</v>
      </c>
      <c r="E2336" t="s">
        <v>4135</v>
      </c>
      <c r="F2336" t="s">
        <v>4125</v>
      </c>
    </row>
    <row r="2337" spans="1:6">
      <c r="A2337" t="s">
        <v>6466</v>
      </c>
      <c r="B2337" t="s">
        <v>1089</v>
      </c>
      <c r="C2337" t="s">
        <v>59</v>
      </c>
      <c r="D2337" s="1">
        <v>45901</v>
      </c>
      <c r="E2337" t="s">
        <v>4129</v>
      </c>
      <c r="F2337" t="s">
        <v>4139</v>
      </c>
    </row>
    <row r="2338" spans="1:6">
      <c r="A2338" t="s">
        <v>6467</v>
      </c>
      <c r="B2338" t="s">
        <v>1089</v>
      </c>
      <c r="C2338" t="s">
        <v>59</v>
      </c>
      <c r="D2338" s="1">
        <v>45944</v>
      </c>
      <c r="E2338" t="s">
        <v>4129</v>
      </c>
      <c r="F2338" t="s">
        <v>4137</v>
      </c>
    </row>
    <row r="2339" spans="1:6">
      <c r="A2339" t="s">
        <v>6468</v>
      </c>
      <c r="B2339" t="s">
        <v>1089</v>
      </c>
      <c r="C2339" t="s">
        <v>59</v>
      </c>
      <c r="D2339" s="1">
        <v>45918</v>
      </c>
      <c r="E2339" t="s">
        <v>4129</v>
      </c>
      <c r="F2339" t="s">
        <v>4137</v>
      </c>
    </row>
    <row r="2340" spans="1:6">
      <c r="A2340" t="s">
        <v>6469</v>
      </c>
      <c r="B2340" t="s">
        <v>1090</v>
      </c>
      <c r="C2340" t="s">
        <v>16</v>
      </c>
      <c r="D2340" s="1">
        <v>45773</v>
      </c>
      <c r="E2340" t="s">
        <v>4135</v>
      </c>
      <c r="F2340" t="s">
        <v>4139</v>
      </c>
    </row>
    <row r="2341" spans="1:6">
      <c r="A2341" t="s">
        <v>6470</v>
      </c>
      <c r="B2341" t="s">
        <v>1090</v>
      </c>
      <c r="C2341" t="s">
        <v>16</v>
      </c>
      <c r="D2341" s="1">
        <v>45810</v>
      </c>
      <c r="E2341" t="s">
        <v>4129</v>
      </c>
      <c r="F2341" t="s">
        <v>4139</v>
      </c>
    </row>
    <row r="2342" spans="1:6">
      <c r="A2342" t="s">
        <v>6471</v>
      </c>
      <c r="B2342" t="s">
        <v>1090</v>
      </c>
      <c r="C2342" t="s">
        <v>16</v>
      </c>
      <c r="D2342" s="1">
        <v>45816</v>
      </c>
      <c r="E2342" t="s">
        <v>4129</v>
      </c>
      <c r="F2342" t="s">
        <v>4137</v>
      </c>
    </row>
    <row r="2343" spans="1:6">
      <c r="A2343" t="s">
        <v>6472</v>
      </c>
      <c r="B2343" t="s">
        <v>1090</v>
      </c>
      <c r="C2343" t="s">
        <v>16</v>
      </c>
      <c r="D2343" s="1">
        <v>45790</v>
      </c>
      <c r="E2343" t="s">
        <v>4124</v>
      </c>
      <c r="F2343" t="s">
        <v>4139</v>
      </c>
    </row>
    <row r="2344" spans="1:6">
      <c r="A2344" t="s">
        <v>6473</v>
      </c>
      <c r="B2344" t="s">
        <v>1090</v>
      </c>
      <c r="C2344" t="s">
        <v>16</v>
      </c>
      <c r="D2344" s="1">
        <v>45793</v>
      </c>
      <c r="E2344" t="s">
        <v>4124</v>
      </c>
      <c r="F2344" t="s">
        <v>4125</v>
      </c>
    </row>
    <row r="2345" spans="1:6">
      <c r="A2345" t="s">
        <v>6474</v>
      </c>
      <c r="B2345" t="s">
        <v>1091</v>
      </c>
      <c r="C2345" t="s">
        <v>152</v>
      </c>
      <c r="D2345" s="1">
        <v>46019</v>
      </c>
      <c r="E2345" t="s">
        <v>4127</v>
      </c>
      <c r="F2345" t="s">
        <v>4137</v>
      </c>
    </row>
    <row r="2346" spans="1:6">
      <c r="A2346" t="s">
        <v>6475</v>
      </c>
      <c r="B2346" t="s">
        <v>1091</v>
      </c>
      <c r="C2346" t="s">
        <v>152</v>
      </c>
      <c r="D2346" s="1">
        <v>46013</v>
      </c>
      <c r="E2346" t="s">
        <v>4135</v>
      </c>
      <c r="F2346" t="s">
        <v>4137</v>
      </c>
    </row>
    <row r="2347" spans="1:6">
      <c r="A2347" t="s">
        <v>6476</v>
      </c>
      <c r="B2347" t="s">
        <v>1091</v>
      </c>
      <c r="C2347" t="s">
        <v>152</v>
      </c>
      <c r="D2347" s="1">
        <v>46016</v>
      </c>
      <c r="E2347" t="s">
        <v>4129</v>
      </c>
      <c r="F2347" t="s">
        <v>4125</v>
      </c>
    </row>
    <row r="2348" spans="1:6">
      <c r="A2348" t="s">
        <v>6477</v>
      </c>
      <c r="B2348" t="s">
        <v>1093</v>
      </c>
      <c r="C2348" t="s">
        <v>27</v>
      </c>
      <c r="D2348" s="1">
        <v>46014</v>
      </c>
      <c r="E2348" t="s">
        <v>4133</v>
      </c>
      <c r="F2348" t="s">
        <v>4137</v>
      </c>
    </row>
    <row r="2349" spans="1:6">
      <c r="A2349" t="s">
        <v>6478</v>
      </c>
      <c r="B2349" t="s">
        <v>1093</v>
      </c>
      <c r="C2349" t="s">
        <v>27</v>
      </c>
      <c r="D2349" s="1">
        <v>46015</v>
      </c>
      <c r="E2349" t="s">
        <v>4135</v>
      </c>
      <c r="F2349" t="s">
        <v>4125</v>
      </c>
    </row>
    <row r="2350" spans="1:6">
      <c r="A2350" t="s">
        <v>6479</v>
      </c>
      <c r="B2350" t="s">
        <v>1095</v>
      </c>
      <c r="C2350" t="s">
        <v>91</v>
      </c>
      <c r="D2350" s="1">
        <v>45709</v>
      </c>
      <c r="E2350" t="s">
        <v>4127</v>
      </c>
      <c r="F2350" t="s">
        <v>4139</v>
      </c>
    </row>
    <row r="2351" spans="1:6">
      <c r="A2351" t="s">
        <v>6480</v>
      </c>
      <c r="B2351" t="s">
        <v>1095</v>
      </c>
      <c r="C2351" t="s">
        <v>91</v>
      </c>
      <c r="D2351" s="1">
        <v>45726</v>
      </c>
      <c r="E2351" t="s">
        <v>4135</v>
      </c>
      <c r="F2351" t="s">
        <v>4139</v>
      </c>
    </row>
    <row r="2352" spans="1:6">
      <c r="A2352" t="s">
        <v>6481</v>
      </c>
      <c r="B2352" t="s">
        <v>1095</v>
      </c>
      <c r="C2352" t="s">
        <v>91</v>
      </c>
      <c r="D2352" s="1">
        <v>45701</v>
      </c>
      <c r="E2352" t="s">
        <v>4124</v>
      </c>
      <c r="F2352" t="s">
        <v>4139</v>
      </c>
    </row>
    <row r="2353" spans="1:6">
      <c r="A2353" t="s">
        <v>6482</v>
      </c>
      <c r="B2353" t="s">
        <v>1096</v>
      </c>
      <c r="C2353" t="s">
        <v>36</v>
      </c>
      <c r="D2353" s="1">
        <v>45751</v>
      </c>
      <c r="E2353" t="s">
        <v>4133</v>
      </c>
      <c r="F2353" t="s">
        <v>4139</v>
      </c>
    </row>
    <row r="2354" spans="1:6">
      <c r="A2354" t="s">
        <v>6483</v>
      </c>
      <c r="B2354" t="s">
        <v>1096</v>
      </c>
      <c r="C2354" t="s">
        <v>36</v>
      </c>
      <c r="D2354" s="1">
        <v>45787</v>
      </c>
      <c r="E2354" t="s">
        <v>4124</v>
      </c>
      <c r="F2354" t="s">
        <v>4137</v>
      </c>
    </row>
    <row r="2355" spans="1:6">
      <c r="A2355" t="s">
        <v>6484</v>
      </c>
      <c r="B2355" t="s">
        <v>1096</v>
      </c>
      <c r="C2355" t="s">
        <v>36</v>
      </c>
      <c r="D2355" s="1">
        <v>45800</v>
      </c>
      <c r="E2355" t="s">
        <v>4135</v>
      </c>
      <c r="F2355" t="s">
        <v>4139</v>
      </c>
    </row>
    <row r="2356" spans="1:6">
      <c r="A2356" t="s">
        <v>6485</v>
      </c>
      <c r="B2356" t="s">
        <v>1096</v>
      </c>
      <c r="C2356" t="s">
        <v>36</v>
      </c>
      <c r="D2356" s="1">
        <v>45785</v>
      </c>
      <c r="E2356" t="s">
        <v>4124</v>
      </c>
      <c r="F2356" t="s">
        <v>4125</v>
      </c>
    </row>
    <row r="2357" spans="1:6">
      <c r="A2357" t="s">
        <v>6486</v>
      </c>
      <c r="B2357" t="s">
        <v>1096</v>
      </c>
      <c r="C2357" t="s">
        <v>36</v>
      </c>
      <c r="D2357" s="1">
        <v>45762</v>
      </c>
      <c r="E2357" t="s">
        <v>4124</v>
      </c>
      <c r="F2357" t="s">
        <v>4139</v>
      </c>
    </row>
    <row r="2358" spans="1:6">
      <c r="A2358" t="s">
        <v>6487</v>
      </c>
      <c r="B2358" t="s">
        <v>1097</v>
      </c>
      <c r="C2358" t="s">
        <v>50</v>
      </c>
      <c r="D2358" s="1">
        <v>45843</v>
      </c>
      <c r="E2358" t="s">
        <v>4124</v>
      </c>
      <c r="F2358" t="s">
        <v>4139</v>
      </c>
    </row>
    <row r="2359" spans="1:6">
      <c r="A2359" t="s">
        <v>6488</v>
      </c>
      <c r="B2359" t="s">
        <v>1097</v>
      </c>
      <c r="C2359" t="s">
        <v>50</v>
      </c>
      <c r="D2359" s="1">
        <v>45837</v>
      </c>
      <c r="E2359" t="s">
        <v>4135</v>
      </c>
      <c r="F2359" t="s">
        <v>4125</v>
      </c>
    </row>
    <row r="2360" spans="1:6">
      <c r="A2360" t="s">
        <v>6489</v>
      </c>
      <c r="B2360" t="s">
        <v>1097</v>
      </c>
      <c r="C2360" t="s">
        <v>50</v>
      </c>
      <c r="D2360" s="1">
        <v>45844</v>
      </c>
      <c r="E2360" t="s">
        <v>4127</v>
      </c>
      <c r="F2360" t="s">
        <v>4125</v>
      </c>
    </row>
    <row r="2361" spans="1:6">
      <c r="A2361" t="s">
        <v>6490</v>
      </c>
      <c r="B2361" t="s">
        <v>1098</v>
      </c>
      <c r="C2361" t="s">
        <v>40</v>
      </c>
      <c r="D2361" s="1">
        <v>45989</v>
      </c>
      <c r="E2361" t="s">
        <v>4127</v>
      </c>
      <c r="F2361" t="s">
        <v>4139</v>
      </c>
    </row>
    <row r="2362" spans="1:6">
      <c r="A2362" t="s">
        <v>6491</v>
      </c>
      <c r="B2362" t="s">
        <v>1098</v>
      </c>
      <c r="C2362" t="s">
        <v>40</v>
      </c>
      <c r="D2362" s="1">
        <v>45998</v>
      </c>
      <c r="E2362" t="s">
        <v>4127</v>
      </c>
      <c r="F2362" t="s">
        <v>4125</v>
      </c>
    </row>
    <row r="2363" spans="1:6">
      <c r="A2363" t="s">
        <v>6492</v>
      </c>
      <c r="B2363" t="s">
        <v>1098</v>
      </c>
      <c r="C2363" t="s">
        <v>40</v>
      </c>
      <c r="D2363" s="1">
        <v>45967</v>
      </c>
      <c r="E2363" t="s">
        <v>4124</v>
      </c>
      <c r="F2363" t="s">
        <v>4137</v>
      </c>
    </row>
    <row r="2364" spans="1:6">
      <c r="A2364" t="s">
        <v>6493</v>
      </c>
      <c r="B2364" t="s">
        <v>1099</v>
      </c>
      <c r="C2364" t="s">
        <v>53</v>
      </c>
      <c r="D2364" s="1">
        <v>45992</v>
      </c>
      <c r="E2364" t="s">
        <v>4127</v>
      </c>
      <c r="F2364" t="s">
        <v>4125</v>
      </c>
    </row>
    <row r="2365" spans="1:6">
      <c r="A2365" t="s">
        <v>6494</v>
      </c>
      <c r="B2365" t="s">
        <v>1099</v>
      </c>
      <c r="C2365" t="s">
        <v>53</v>
      </c>
      <c r="D2365" s="1">
        <v>46019</v>
      </c>
      <c r="E2365" t="s">
        <v>4133</v>
      </c>
      <c r="F2365" t="s">
        <v>4137</v>
      </c>
    </row>
    <row r="2366" spans="1:6">
      <c r="A2366" t="s">
        <v>6495</v>
      </c>
      <c r="B2366" t="s">
        <v>1099</v>
      </c>
      <c r="C2366" t="s">
        <v>53</v>
      </c>
      <c r="D2366" s="1">
        <v>45992</v>
      </c>
      <c r="E2366" t="s">
        <v>4135</v>
      </c>
      <c r="F2366" t="s">
        <v>4125</v>
      </c>
    </row>
    <row r="2367" spans="1:6">
      <c r="A2367" t="s">
        <v>6496</v>
      </c>
      <c r="B2367" t="s">
        <v>1099</v>
      </c>
      <c r="C2367" t="s">
        <v>53</v>
      </c>
      <c r="D2367" s="1">
        <v>45990</v>
      </c>
      <c r="E2367" t="s">
        <v>4129</v>
      </c>
      <c r="F2367" t="s">
        <v>4139</v>
      </c>
    </row>
    <row r="2368" spans="1:6">
      <c r="A2368" t="s">
        <v>6497</v>
      </c>
      <c r="B2368" t="s">
        <v>1101</v>
      </c>
      <c r="C2368" t="s">
        <v>168</v>
      </c>
      <c r="D2368" s="1">
        <v>45904</v>
      </c>
      <c r="E2368" t="s">
        <v>4127</v>
      </c>
      <c r="F2368" t="s">
        <v>4139</v>
      </c>
    </row>
    <row r="2369" spans="1:6">
      <c r="A2369" t="s">
        <v>6498</v>
      </c>
      <c r="B2369" t="s">
        <v>1101</v>
      </c>
      <c r="C2369" t="s">
        <v>168</v>
      </c>
      <c r="D2369" s="1">
        <v>45903</v>
      </c>
      <c r="E2369" t="s">
        <v>4127</v>
      </c>
      <c r="F2369" t="s">
        <v>4125</v>
      </c>
    </row>
    <row r="2370" spans="1:6">
      <c r="A2370" t="s">
        <v>6499</v>
      </c>
      <c r="B2370" t="s">
        <v>1101</v>
      </c>
      <c r="C2370" t="s">
        <v>168</v>
      </c>
      <c r="D2370" s="1">
        <v>45901</v>
      </c>
      <c r="E2370" t="s">
        <v>4124</v>
      </c>
      <c r="F2370" t="s">
        <v>4137</v>
      </c>
    </row>
    <row r="2371" spans="1:6">
      <c r="A2371" t="s">
        <v>6500</v>
      </c>
      <c r="B2371" t="s">
        <v>1101</v>
      </c>
      <c r="C2371" t="s">
        <v>168</v>
      </c>
      <c r="D2371" s="1">
        <v>45902</v>
      </c>
      <c r="E2371" t="s">
        <v>4133</v>
      </c>
      <c r="F2371" t="s">
        <v>4137</v>
      </c>
    </row>
    <row r="2372" spans="1:6">
      <c r="A2372" t="s">
        <v>6501</v>
      </c>
      <c r="B2372" t="s">
        <v>1101</v>
      </c>
      <c r="C2372" t="s">
        <v>168</v>
      </c>
      <c r="D2372" s="1">
        <v>45908</v>
      </c>
      <c r="E2372" t="s">
        <v>4133</v>
      </c>
      <c r="F2372" t="s">
        <v>4125</v>
      </c>
    </row>
    <row r="2373" spans="1:6">
      <c r="A2373" t="s">
        <v>6502</v>
      </c>
      <c r="B2373" t="s">
        <v>1102</v>
      </c>
      <c r="C2373" t="s">
        <v>63</v>
      </c>
      <c r="D2373" s="1">
        <v>45727</v>
      </c>
      <c r="E2373" t="s">
        <v>4133</v>
      </c>
      <c r="F2373" t="s">
        <v>4139</v>
      </c>
    </row>
    <row r="2374" spans="1:6">
      <c r="A2374" t="s">
        <v>6503</v>
      </c>
      <c r="B2374" t="s">
        <v>1102</v>
      </c>
      <c r="C2374" t="s">
        <v>63</v>
      </c>
      <c r="D2374" s="1">
        <v>45734</v>
      </c>
      <c r="E2374" t="s">
        <v>4135</v>
      </c>
      <c r="F2374" t="s">
        <v>4139</v>
      </c>
    </row>
    <row r="2375" spans="1:6">
      <c r="A2375" t="s">
        <v>6504</v>
      </c>
      <c r="B2375" t="s">
        <v>1102</v>
      </c>
      <c r="C2375" t="s">
        <v>63</v>
      </c>
      <c r="D2375" s="1">
        <v>45718</v>
      </c>
      <c r="E2375" t="s">
        <v>4133</v>
      </c>
      <c r="F2375" t="s">
        <v>4125</v>
      </c>
    </row>
    <row r="2376" spans="1:6">
      <c r="A2376" t="s">
        <v>6505</v>
      </c>
      <c r="B2376" t="s">
        <v>1103</v>
      </c>
      <c r="C2376" t="s">
        <v>91</v>
      </c>
      <c r="D2376" s="1">
        <v>45977</v>
      </c>
      <c r="E2376" t="s">
        <v>4135</v>
      </c>
      <c r="F2376" t="s">
        <v>4139</v>
      </c>
    </row>
    <row r="2377" spans="1:6">
      <c r="A2377" t="s">
        <v>6506</v>
      </c>
      <c r="B2377" t="s">
        <v>1103</v>
      </c>
      <c r="C2377" t="s">
        <v>91</v>
      </c>
      <c r="D2377" s="1">
        <v>46021</v>
      </c>
      <c r="E2377" t="s">
        <v>4133</v>
      </c>
      <c r="F2377" t="s">
        <v>4139</v>
      </c>
    </row>
    <row r="2378" spans="1:6">
      <c r="A2378" t="s">
        <v>6507</v>
      </c>
      <c r="B2378" t="s">
        <v>1104</v>
      </c>
      <c r="C2378" t="s">
        <v>46</v>
      </c>
      <c r="D2378" s="1">
        <v>45692</v>
      </c>
      <c r="E2378" t="s">
        <v>4135</v>
      </c>
      <c r="F2378" t="s">
        <v>4137</v>
      </c>
    </row>
    <row r="2379" spans="1:6">
      <c r="A2379" t="s">
        <v>6508</v>
      </c>
      <c r="B2379" t="s">
        <v>1104</v>
      </c>
      <c r="C2379" t="s">
        <v>46</v>
      </c>
      <c r="D2379" s="1">
        <v>45671</v>
      </c>
      <c r="E2379" t="s">
        <v>4124</v>
      </c>
      <c r="F2379" t="s">
        <v>4125</v>
      </c>
    </row>
    <row r="2380" spans="1:6">
      <c r="A2380" t="s">
        <v>6509</v>
      </c>
      <c r="B2380" t="s">
        <v>1104</v>
      </c>
      <c r="C2380" t="s">
        <v>46</v>
      </c>
      <c r="D2380" s="1">
        <v>45670</v>
      </c>
      <c r="E2380" t="s">
        <v>4124</v>
      </c>
      <c r="F2380" t="s">
        <v>4137</v>
      </c>
    </row>
    <row r="2381" spans="1:6">
      <c r="A2381" t="s">
        <v>6510</v>
      </c>
      <c r="B2381" t="s">
        <v>1104</v>
      </c>
      <c r="C2381" t="s">
        <v>46</v>
      </c>
      <c r="D2381" s="1">
        <v>45662</v>
      </c>
      <c r="E2381" t="s">
        <v>4124</v>
      </c>
      <c r="F2381" t="s">
        <v>4139</v>
      </c>
    </row>
    <row r="2382" spans="1:6">
      <c r="A2382" t="s">
        <v>6511</v>
      </c>
      <c r="B2382" t="s">
        <v>1106</v>
      </c>
      <c r="C2382" t="s">
        <v>27</v>
      </c>
      <c r="D2382" s="1">
        <v>45752</v>
      </c>
      <c r="E2382" t="s">
        <v>4135</v>
      </c>
      <c r="F2382" t="s">
        <v>4139</v>
      </c>
    </row>
    <row r="2383" spans="1:6">
      <c r="A2383" t="s">
        <v>6512</v>
      </c>
      <c r="B2383" t="s">
        <v>1106</v>
      </c>
      <c r="C2383" t="s">
        <v>27</v>
      </c>
      <c r="D2383" s="1">
        <v>45768</v>
      </c>
      <c r="E2383" t="s">
        <v>4135</v>
      </c>
      <c r="F2383" t="s">
        <v>4139</v>
      </c>
    </row>
    <row r="2384" spans="1:6">
      <c r="A2384" t="s">
        <v>6513</v>
      </c>
      <c r="B2384" t="s">
        <v>1107</v>
      </c>
      <c r="C2384" t="s">
        <v>56</v>
      </c>
      <c r="D2384" s="1">
        <v>45839</v>
      </c>
      <c r="E2384" t="s">
        <v>4129</v>
      </c>
      <c r="F2384" t="s">
        <v>4139</v>
      </c>
    </row>
    <row r="2385" spans="1:6">
      <c r="A2385" t="s">
        <v>6514</v>
      </c>
      <c r="B2385" t="s">
        <v>1107</v>
      </c>
      <c r="C2385" t="s">
        <v>56</v>
      </c>
      <c r="D2385" s="1">
        <v>45841</v>
      </c>
      <c r="E2385" t="s">
        <v>4127</v>
      </c>
      <c r="F2385" t="s">
        <v>4139</v>
      </c>
    </row>
    <row r="2386" spans="1:6">
      <c r="A2386" t="s">
        <v>6515</v>
      </c>
      <c r="B2386" t="s">
        <v>1107</v>
      </c>
      <c r="C2386" t="s">
        <v>56</v>
      </c>
      <c r="D2386" s="1">
        <v>45817</v>
      </c>
      <c r="E2386" t="s">
        <v>4133</v>
      </c>
      <c r="F2386" t="s">
        <v>4139</v>
      </c>
    </row>
    <row r="2387" spans="1:6">
      <c r="A2387" t="s">
        <v>6516</v>
      </c>
      <c r="B2387" t="s">
        <v>1107</v>
      </c>
      <c r="C2387" t="s">
        <v>56</v>
      </c>
      <c r="D2387" s="1">
        <v>45872</v>
      </c>
      <c r="E2387" t="s">
        <v>4127</v>
      </c>
      <c r="F2387" t="s">
        <v>4125</v>
      </c>
    </row>
    <row r="2388" spans="1:6">
      <c r="A2388" t="s">
        <v>6517</v>
      </c>
      <c r="B2388" t="s">
        <v>1108</v>
      </c>
      <c r="C2388" t="s">
        <v>59</v>
      </c>
      <c r="D2388" s="1">
        <v>45706</v>
      </c>
      <c r="E2388" t="s">
        <v>4129</v>
      </c>
      <c r="F2388" t="s">
        <v>4137</v>
      </c>
    </row>
    <row r="2389" spans="1:6">
      <c r="A2389" t="s">
        <v>6518</v>
      </c>
      <c r="B2389" t="s">
        <v>1108</v>
      </c>
      <c r="C2389" t="s">
        <v>59</v>
      </c>
      <c r="D2389" s="1">
        <v>45738</v>
      </c>
      <c r="E2389" t="s">
        <v>4124</v>
      </c>
      <c r="F2389" t="s">
        <v>4137</v>
      </c>
    </row>
    <row r="2390" spans="1:6">
      <c r="A2390" t="s">
        <v>6519</v>
      </c>
      <c r="B2390" t="s">
        <v>1108</v>
      </c>
      <c r="C2390" t="s">
        <v>59</v>
      </c>
      <c r="D2390" s="1">
        <v>45759</v>
      </c>
      <c r="E2390" t="s">
        <v>4127</v>
      </c>
      <c r="F2390" t="s">
        <v>4137</v>
      </c>
    </row>
    <row r="2391" spans="1:6">
      <c r="A2391" t="s">
        <v>6520</v>
      </c>
      <c r="B2391" t="s">
        <v>1108</v>
      </c>
      <c r="C2391" t="s">
        <v>59</v>
      </c>
      <c r="D2391" s="1">
        <v>45736</v>
      </c>
      <c r="E2391" t="s">
        <v>4124</v>
      </c>
      <c r="F2391" t="s">
        <v>4137</v>
      </c>
    </row>
    <row r="2392" spans="1:6">
      <c r="A2392" t="s">
        <v>6521</v>
      </c>
      <c r="B2392" t="s">
        <v>1110</v>
      </c>
      <c r="C2392" t="s">
        <v>168</v>
      </c>
      <c r="D2392" s="1">
        <v>45786</v>
      </c>
      <c r="E2392" t="s">
        <v>4124</v>
      </c>
      <c r="F2392" t="s">
        <v>4137</v>
      </c>
    </row>
    <row r="2393" spans="1:6">
      <c r="A2393" t="s">
        <v>6522</v>
      </c>
      <c r="B2393" t="s">
        <v>1110</v>
      </c>
      <c r="C2393" t="s">
        <v>168</v>
      </c>
      <c r="D2393" s="1">
        <v>45781</v>
      </c>
      <c r="E2393" t="s">
        <v>4124</v>
      </c>
      <c r="F2393" t="s">
        <v>4139</v>
      </c>
    </row>
    <row r="2394" spans="1:6">
      <c r="A2394" t="s">
        <v>6523</v>
      </c>
      <c r="B2394" t="s">
        <v>1110</v>
      </c>
      <c r="C2394" t="s">
        <v>168</v>
      </c>
      <c r="D2394" s="1">
        <v>45776</v>
      </c>
      <c r="E2394" t="s">
        <v>4124</v>
      </c>
      <c r="F2394" t="s">
        <v>4137</v>
      </c>
    </row>
    <row r="2395" spans="1:6">
      <c r="A2395" t="s">
        <v>6524</v>
      </c>
      <c r="B2395" t="s">
        <v>1110</v>
      </c>
      <c r="C2395" t="s">
        <v>168</v>
      </c>
      <c r="D2395" s="1">
        <v>45774</v>
      </c>
      <c r="E2395" t="s">
        <v>4135</v>
      </c>
      <c r="F2395" t="s">
        <v>4137</v>
      </c>
    </row>
    <row r="2396" spans="1:6">
      <c r="A2396" t="s">
        <v>6525</v>
      </c>
      <c r="B2396" t="s">
        <v>1111</v>
      </c>
      <c r="C2396" t="s">
        <v>168</v>
      </c>
      <c r="D2396" s="1">
        <v>45863</v>
      </c>
      <c r="E2396" t="s">
        <v>4124</v>
      </c>
      <c r="F2396" t="s">
        <v>4137</v>
      </c>
    </row>
    <row r="2397" spans="1:6">
      <c r="A2397" t="s">
        <v>6526</v>
      </c>
      <c r="B2397" t="s">
        <v>1111</v>
      </c>
      <c r="C2397" t="s">
        <v>168</v>
      </c>
      <c r="D2397" s="1">
        <v>45871</v>
      </c>
      <c r="E2397" t="s">
        <v>4127</v>
      </c>
      <c r="F2397" t="s">
        <v>4137</v>
      </c>
    </row>
    <row r="2398" spans="1:6">
      <c r="A2398" t="s">
        <v>6527</v>
      </c>
      <c r="B2398" t="s">
        <v>1112</v>
      </c>
      <c r="C2398" t="s">
        <v>22</v>
      </c>
      <c r="D2398" s="1">
        <v>45935</v>
      </c>
      <c r="E2398" t="s">
        <v>4124</v>
      </c>
      <c r="F2398" t="s">
        <v>4137</v>
      </c>
    </row>
    <row r="2399" spans="1:6">
      <c r="A2399" t="s">
        <v>6528</v>
      </c>
      <c r="B2399" t="s">
        <v>1112</v>
      </c>
      <c r="C2399" t="s">
        <v>22</v>
      </c>
      <c r="D2399" s="1">
        <v>45913</v>
      </c>
      <c r="E2399" t="s">
        <v>4135</v>
      </c>
      <c r="F2399" t="s">
        <v>4137</v>
      </c>
    </row>
    <row r="2400" spans="1:6">
      <c r="A2400" t="s">
        <v>6529</v>
      </c>
      <c r="B2400" t="s">
        <v>1112</v>
      </c>
      <c r="C2400" t="s">
        <v>22</v>
      </c>
      <c r="D2400" s="1">
        <v>45865</v>
      </c>
      <c r="E2400" t="s">
        <v>4127</v>
      </c>
      <c r="F2400" t="s">
        <v>4139</v>
      </c>
    </row>
    <row r="2401" spans="1:6">
      <c r="A2401" t="s">
        <v>6530</v>
      </c>
      <c r="B2401" t="s">
        <v>1112</v>
      </c>
      <c r="C2401" t="s">
        <v>22</v>
      </c>
      <c r="D2401" s="1">
        <v>45866</v>
      </c>
      <c r="E2401" t="s">
        <v>4127</v>
      </c>
      <c r="F2401" t="s">
        <v>4125</v>
      </c>
    </row>
    <row r="2402" spans="1:6">
      <c r="A2402" t="s">
        <v>6531</v>
      </c>
      <c r="B2402" t="s">
        <v>1112</v>
      </c>
      <c r="C2402" t="s">
        <v>22</v>
      </c>
      <c r="D2402" s="1">
        <v>45919</v>
      </c>
      <c r="E2402" t="s">
        <v>4129</v>
      </c>
      <c r="F2402" t="s">
        <v>4137</v>
      </c>
    </row>
    <row r="2403" spans="1:6">
      <c r="A2403" t="s">
        <v>6532</v>
      </c>
      <c r="B2403" t="s">
        <v>1113</v>
      </c>
      <c r="C2403" t="s">
        <v>119</v>
      </c>
      <c r="D2403" s="1">
        <v>45932</v>
      </c>
      <c r="E2403" t="s">
        <v>4127</v>
      </c>
      <c r="F2403" t="s">
        <v>4125</v>
      </c>
    </row>
    <row r="2404" spans="1:6">
      <c r="A2404" t="s">
        <v>6533</v>
      </c>
      <c r="B2404" t="s">
        <v>1113</v>
      </c>
      <c r="C2404" t="s">
        <v>119</v>
      </c>
      <c r="D2404" s="1">
        <v>45950</v>
      </c>
      <c r="E2404" t="s">
        <v>4124</v>
      </c>
      <c r="F2404" t="s">
        <v>4125</v>
      </c>
    </row>
    <row r="2405" spans="1:6">
      <c r="A2405" t="s">
        <v>6534</v>
      </c>
      <c r="B2405" t="s">
        <v>1113</v>
      </c>
      <c r="C2405" t="s">
        <v>119</v>
      </c>
      <c r="D2405" s="1">
        <v>45918</v>
      </c>
      <c r="E2405" t="s">
        <v>4129</v>
      </c>
      <c r="F2405" t="s">
        <v>4139</v>
      </c>
    </row>
    <row r="2406" spans="1:6">
      <c r="A2406" t="s">
        <v>6535</v>
      </c>
      <c r="B2406" t="s">
        <v>1114</v>
      </c>
      <c r="C2406" t="s">
        <v>16</v>
      </c>
      <c r="D2406" s="1">
        <v>45849</v>
      </c>
      <c r="E2406" t="s">
        <v>4124</v>
      </c>
      <c r="F2406" t="s">
        <v>4137</v>
      </c>
    </row>
    <row r="2407" spans="1:6">
      <c r="A2407" t="s">
        <v>6536</v>
      </c>
      <c r="B2407" t="s">
        <v>1114</v>
      </c>
      <c r="C2407" t="s">
        <v>16</v>
      </c>
      <c r="D2407" s="1">
        <v>45862</v>
      </c>
      <c r="E2407" t="s">
        <v>4135</v>
      </c>
      <c r="F2407" t="s">
        <v>4139</v>
      </c>
    </row>
    <row r="2408" spans="1:6">
      <c r="A2408" t="s">
        <v>6537</v>
      </c>
      <c r="B2408" t="s">
        <v>1115</v>
      </c>
      <c r="C2408" t="s">
        <v>126</v>
      </c>
      <c r="D2408" s="1">
        <v>45842</v>
      </c>
      <c r="E2408" t="s">
        <v>4135</v>
      </c>
      <c r="F2408" t="s">
        <v>4137</v>
      </c>
    </row>
    <row r="2409" spans="1:6">
      <c r="A2409" t="s">
        <v>6538</v>
      </c>
      <c r="B2409" t="s">
        <v>1115</v>
      </c>
      <c r="C2409" t="s">
        <v>126</v>
      </c>
      <c r="D2409" s="1">
        <v>45847</v>
      </c>
      <c r="E2409" t="s">
        <v>4129</v>
      </c>
      <c r="F2409" t="s">
        <v>4125</v>
      </c>
    </row>
    <row r="2410" spans="1:6">
      <c r="A2410" t="s">
        <v>6539</v>
      </c>
      <c r="B2410" t="s">
        <v>1115</v>
      </c>
      <c r="C2410" t="s">
        <v>126</v>
      </c>
      <c r="D2410" s="1">
        <v>45848</v>
      </c>
      <c r="E2410" t="s">
        <v>4135</v>
      </c>
      <c r="F2410" t="s">
        <v>4137</v>
      </c>
    </row>
    <row r="2411" spans="1:6">
      <c r="A2411" t="s">
        <v>6540</v>
      </c>
      <c r="B2411" t="s">
        <v>1115</v>
      </c>
      <c r="C2411" t="s">
        <v>126</v>
      </c>
      <c r="D2411" s="1">
        <v>45878</v>
      </c>
      <c r="E2411" t="s">
        <v>4133</v>
      </c>
      <c r="F2411" t="s">
        <v>4137</v>
      </c>
    </row>
    <row r="2412" spans="1:6">
      <c r="A2412" t="s">
        <v>6541</v>
      </c>
      <c r="B2412" t="s">
        <v>1116</v>
      </c>
      <c r="C2412" t="s">
        <v>22</v>
      </c>
      <c r="D2412" s="1">
        <v>45735</v>
      </c>
      <c r="E2412" t="s">
        <v>4124</v>
      </c>
      <c r="F2412" t="s">
        <v>4137</v>
      </c>
    </row>
    <row r="2413" spans="1:6">
      <c r="A2413" t="s">
        <v>6542</v>
      </c>
      <c r="B2413" t="s">
        <v>1116</v>
      </c>
      <c r="C2413" t="s">
        <v>22</v>
      </c>
      <c r="D2413" s="1">
        <v>45739</v>
      </c>
      <c r="E2413" t="s">
        <v>4127</v>
      </c>
      <c r="F2413" t="s">
        <v>4125</v>
      </c>
    </row>
    <row r="2414" spans="1:6">
      <c r="A2414" t="s">
        <v>6543</v>
      </c>
      <c r="B2414" t="s">
        <v>1116</v>
      </c>
      <c r="C2414" t="s">
        <v>22</v>
      </c>
      <c r="D2414" s="1">
        <v>45737</v>
      </c>
      <c r="E2414" t="s">
        <v>4127</v>
      </c>
      <c r="F2414" t="s">
        <v>4139</v>
      </c>
    </row>
    <row r="2415" spans="1:6">
      <c r="A2415" t="s">
        <v>6544</v>
      </c>
      <c r="B2415" t="s">
        <v>1116</v>
      </c>
      <c r="C2415" t="s">
        <v>22</v>
      </c>
      <c r="D2415" s="1">
        <v>45748</v>
      </c>
      <c r="E2415" t="s">
        <v>4135</v>
      </c>
      <c r="F2415" t="s">
        <v>4139</v>
      </c>
    </row>
    <row r="2416" spans="1:6">
      <c r="A2416" t="s">
        <v>6545</v>
      </c>
      <c r="B2416" t="s">
        <v>1118</v>
      </c>
      <c r="C2416" t="s">
        <v>40</v>
      </c>
      <c r="D2416" s="1">
        <v>45902</v>
      </c>
      <c r="E2416" t="s">
        <v>4127</v>
      </c>
      <c r="F2416" t="s">
        <v>4125</v>
      </c>
    </row>
    <row r="2417" spans="1:6">
      <c r="A2417" t="s">
        <v>6546</v>
      </c>
      <c r="B2417" t="s">
        <v>1118</v>
      </c>
      <c r="C2417" t="s">
        <v>40</v>
      </c>
      <c r="D2417" s="1">
        <v>45908</v>
      </c>
      <c r="E2417" t="s">
        <v>4135</v>
      </c>
      <c r="F2417" t="s">
        <v>4125</v>
      </c>
    </row>
    <row r="2418" spans="1:6">
      <c r="A2418" t="s">
        <v>6547</v>
      </c>
      <c r="B2418" t="s">
        <v>1118</v>
      </c>
      <c r="C2418" t="s">
        <v>40</v>
      </c>
      <c r="D2418" s="1">
        <v>45864</v>
      </c>
      <c r="E2418" t="s">
        <v>4129</v>
      </c>
      <c r="F2418" t="s">
        <v>4125</v>
      </c>
    </row>
    <row r="2419" spans="1:6">
      <c r="A2419" t="s">
        <v>6548</v>
      </c>
      <c r="B2419" t="s">
        <v>1118</v>
      </c>
      <c r="C2419" t="s">
        <v>40</v>
      </c>
      <c r="D2419" s="1">
        <v>45855</v>
      </c>
      <c r="E2419" t="s">
        <v>4127</v>
      </c>
      <c r="F2419" t="s">
        <v>4125</v>
      </c>
    </row>
    <row r="2420" spans="1:6">
      <c r="A2420" t="s">
        <v>6549</v>
      </c>
      <c r="B2420" t="s">
        <v>1119</v>
      </c>
      <c r="C2420" t="s">
        <v>126</v>
      </c>
      <c r="D2420" s="1">
        <v>45945</v>
      </c>
      <c r="E2420" t="s">
        <v>4127</v>
      </c>
      <c r="F2420" t="s">
        <v>4139</v>
      </c>
    </row>
    <row r="2421" spans="1:6">
      <c r="A2421" t="s">
        <v>6550</v>
      </c>
      <c r="B2421" t="s">
        <v>1119</v>
      </c>
      <c r="C2421" t="s">
        <v>126</v>
      </c>
      <c r="D2421" s="1">
        <v>45935</v>
      </c>
      <c r="E2421" t="s">
        <v>4127</v>
      </c>
      <c r="F2421" t="s">
        <v>4139</v>
      </c>
    </row>
    <row r="2422" spans="1:6">
      <c r="A2422" t="s">
        <v>6551</v>
      </c>
      <c r="B2422" t="s">
        <v>1120</v>
      </c>
      <c r="C2422" t="s">
        <v>32</v>
      </c>
      <c r="D2422" s="1">
        <v>45722</v>
      </c>
      <c r="E2422" t="s">
        <v>4127</v>
      </c>
      <c r="F2422" t="s">
        <v>4139</v>
      </c>
    </row>
    <row r="2423" spans="1:6">
      <c r="A2423" t="s">
        <v>6552</v>
      </c>
      <c r="B2423" t="s">
        <v>1120</v>
      </c>
      <c r="C2423" t="s">
        <v>32</v>
      </c>
      <c r="D2423" s="1">
        <v>45706</v>
      </c>
      <c r="E2423" t="s">
        <v>4124</v>
      </c>
      <c r="F2423" t="s">
        <v>4137</v>
      </c>
    </row>
    <row r="2424" spans="1:6">
      <c r="A2424" t="s">
        <v>6553</v>
      </c>
      <c r="B2424" t="s">
        <v>1120</v>
      </c>
      <c r="C2424" t="s">
        <v>32</v>
      </c>
      <c r="D2424" s="1">
        <v>45704</v>
      </c>
      <c r="E2424" t="s">
        <v>4129</v>
      </c>
      <c r="F2424" t="s">
        <v>4137</v>
      </c>
    </row>
    <row r="2425" spans="1:6">
      <c r="A2425" t="s">
        <v>6554</v>
      </c>
      <c r="B2425" t="s">
        <v>1120</v>
      </c>
      <c r="C2425" t="s">
        <v>32</v>
      </c>
      <c r="D2425" s="1">
        <v>45707</v>
      </c>
      <c r="E2425" t="s">
        <v>4135</v>
      </c>
      <c r="F2425" t="s">
        <v>4125</v>
      </c>
    </row>
    <row r="2426" spans="1:6">
      <c r="A2426" t="s">
        <v>6555</v>
      </c>
      <c r="B2426" t="s">
        <v>1120</v>
      </c>
      <c r="C2426" t="s">
        <v>32</v>
      </c>
      <c r="D2426" s="1">
        <v>45702</v>
      </c>
      <c r="E2426" t="s">
        <v>4127</v>
      </c>
      <c r="F2426" t="s">
        <v>4139</v>
      </c>
    </row>
    <row r="2427" spans="1:6">
      <c r="A2427" t="s">
        <v>6556</v>
      </c>
      <c r="B2427" t="s">
        <v>1121</v>
      </c>
      <c r="C2427" t="s">
        <v>152</v>
      </c>
      <c r="D2427" s="1">
        <v>45952</v>
      </c>
      <c r="E2427" t="s">
        <v>4135</v>
      </c>
      <c r="F2427" t="s">
        <v>4137</v>
      </c>
    </row>
    <row r="2428" spans="1:6">
      <c r="A2428" t="s">
        <v>6557</v>
      </c>
      <c r="B2428" t="s">
        <v>1121</v>
      </c>
      <c r="C2428" t="s">
        <v>152</v>
      </c>
      <c r="D2428" s="1">
        <v>45959</v>
      </c>
      <c r="E2428" t="s">
        <v>4133</v>
      </c>
      <c r="F2428" t="s">
        <v>4125</v>
      </c>
    </row>
    <row r="2429" spans="1:6">
      <c r="A2429" t="s">
        <v>6558</v>
      </c>
      <c r="B2429" t="s">
        <v>1121</v>
      </c>
      <c r="C2429" t="s">
        <v>152</v>
      </c>
      <c r="D2429" s="1">
        <v>45949</v>
      </c>
      <c r="E2429" t="s">
        <v>4127</v>
      </c>
      <c r="F2429" t="s">
        <v>4125</v>
      </c>
    </row>
    <row r="2430" spans="1:6">
      <c r="A2430" t="s">
        <v>6559</v>
      </c>
      <c r="B2430" t="s">
        <v>1121</v>
      </c>
      <c r="C2430" t="s">
        <v>152</v>
      </c>
      <c r="D2430" s="1">
        <v>45964</v>
      </c>
      <c r="E2430" t="s">
        <v>4129</v>
      </c>
      <c r="F2430" t="s">
        <v>4139</v>
      </c>
    </row>
    <row r="2431" spans="1:6">
      <c r="A2431" t="s">
        <v>6560</v>
      </c>
      <c r="B2431" t="s">
        <v>1122</v>
      </c>
      <c r="C2431" t="s">
        <v>27</v>
      </c>
      <c r="D2431" s="1">
        <v>45732</v>
      </c>
      <c r="E2431" t="s">
        <v>4133</v>
      </c>
      <c r="F2431" t="s">
        <v>4137</v>
      </c>
    </row>
    <row r="2432" spans="1:6">
      <c r="A2432" t="s">
        <v>6561</v>
      </c>
      <c r="B2432" t="s">
        <v>1122</v>
      </c>
      <c r="C2432" t="s">
        <v>27</v>
      </c>
      <c r="D2432" s="1">
        <v>45736</v>
      </c>
      <c r="E2432" t="s">
        <v>4127</v>
      </c>
      <c r="F2432" t="s">
        <v>4139</v>
      </c>
    </row>
    <row r="2433" spans="1:6">
      <c r="A2433" t="s">
        <v>6562</v>
      </c>
      <c r="B2433" t="s">
        <v>1122</v>
      </c>
      <c r="C2433" t="s">
        <v>27</v>
      </c>
      <c r="D2433" s="1">
        <v>45738</v>
      </c>
      <c r="E2433" t="s">
        <v>4127</v>
      </c>
      <c r="F2433" t="s">
        <v>4139</v>
      </c>
    </row>
    <row r="2434" spans="1:6">
      <c r="A2434" t="s">
        <v>6563</v>
      </c>
      <c r="B2434" t="s">
        <v>1123</v>
      </c>
      <c r="C2434" t="s">
        <v>50</v>
      </c>
      <c r="D2434" s="1">
        <v>45699</v>
      </c>
      <c r="E2434" t="s">
        <v>4133</v>
      </c>
      <c r="F2434" t="s">
        <v>4137</v>
      </c>
    </row>
    <row r="2435" spans="1:6">
      <c r="A2435" t="s">
        <v>6564</v>
      </c>
      <c r="B2435" t="s">
        <v>1123</v>
      </c>
      <c r="C2435" t="s">
        <v>50</v>
      </c>
      <c r="D2435" s="1">
        <v>45703</v>
      </c>
      <c r="E2435" t="s">
        <v>4135</v>
      </c>
      <c r="F2435" t="s">
        <v>4139</v>
      </c>
    </row>
    <row r="2436" spans="1:6">
      <c r="A2436" t="s">
        <v>6565</v>
      </c>
      <c r="B2436" t="s">
        <v>1123</v>
      </c>
      <c r="C2436" t="s">
        <v>50</v>
      </c>
      <c r="D2436" s="1">
        <v>45730</v>
      </c>
      <c r="E2436" t="s">
        <v>4129</v>
      </c>
      <c r="F2436" t="s">
        <v>4139</v>
      </c>
    </row>
    <row r="2437" spans="1:6">
      <c r="A2437" t="s">
        <v>6566</v>
      </c>
      <c r="B2437" t="s">
        <v>1123</v>
      </c>
      <c r="C2437" t="s">
        <v>50</v>
      </c>
      <c r="D2437" s="1">
        <v>45692</v>
      </c>
      <c r="E2437" t="s">
        <v>4135</v>
      </c>
      <c r="F2437" t="s">
        <v>4137</v>
      </c>
    </row>
    <row r="2438" spans="1:6">
      <c r="A2438" t="s">
        <v>6567</v>
      </c>
      <c r="B2438" t="s">
        <v>1123</v>
      </c>
      <c r="C2438" t="s">
        <v>50</v>
      </c>
      <c r="D2438" s="1">
        <v>45691</v>
      </c>
      <c r="E2438" t="s">
        <v>4133</v>
      </c>
      <c r="F2438" t="s">
        <v>4139</v>
      </c>
    </row>
    <row r="2439" spans="1:6">
      <c r="A2439" t="s">
        <v>6568</v>
      </c>
      <c r="B2439" t="s">
        <v>1124</v>
      </c>
      <c r="C2439" t="s">
        <v>126</v>
      </c>
      <c r="D2439" s="1">
        <v>45759</v>
      </c>
      <c r="E2439" t="s">
        <v>4133</v>
      </c>
      <c r="F2439" t="s">
        <v>4125</v>
      </c>
    </row>
    <row r="2440" spans="1:6">
      <c r="A2440" t="s">
        <v>6569</v>
      </c>
      <c r="B2440" t="s">
        <v>1124</v>
      </c>
      <c r="C2440" t="s">
        <v>126</v>
      </c>
      <c r="D2440" s="1">
        <v>45773</v>
      </c>
      <c r="E2440" t="s">
        <v>4124</v>
      </c>
      <c r="F2440" t="s">
        <v>4125</v>
      </c>
    </row>
    <row r="2441" spans="1:6">
      <c r="A2441" t="s">
        <v>6570</v>
      </c>
      <c r="B2441" t="s">
        <v>1124</v>
      </c>
      <c r="C2441" t="s">
        <v>126</v>
      </c>
      <c r="D2441" s="1">
        <v>45732</v>
      </c>
      <c r="E2441" t="s">
        <v>4133</v>
      </c>
      <c r="F2441" t="s">
        <v>4139</v>
      </c>
    </row>
    <row r="2442" spans="1:6">
      <c r="A2442" t="s">
        <v>6571</v>
      </c>
      <c r="B2442" t="s">
        <v>1124</v>
      </c>
      <c r="C2442" t="s">
        <v>126</v>
      </c>
      <c r="D2442" s="1">
        <v>45765</v>
      </c>
      <c r="E2442" t="s">
        <v>4133</v>
      </c>
      <c r="F2442" t="s">
        <v>4139</v>
      </c>
    </row>
    <row r="2443" spans="1:6">
      <c r="A2443" t="s">
        <v>6572</v>
      </c>
      <c r="B2443" t="s">
        <v>1125</v>
      </c>
      <c r="C2443" t="s">
        <v>32</v>
      </c>
      <c r="D2443" s="1">
        <v>45667</v>
      </c>
      <c r="E2443" t="s">
        <v>4135</v>
      </c>
      <c r="F2443" t="s">
        <v>4125</v>
      </c>
    </row>
    <row r="2444" spans="1:6">
      <c r="A2444" t="s">
        <v>6573</v>
      </c>
      <c r="B2444" t="s">
        <v>1125</v>
      </c>
      <c r="C2444" t="s">
        <v>32</v>
      </c>
      <c r="D2444" s="1">
        <v>45661</v>
      </c>
      <c r="E2444" t="s">
        <v>4129</v>
      </c>
      <c r="F2444" t="s">
        <v>4137</v>
      </c>
    </row>
    <row r="2445" spans="1:6">
      <c r="A2445" t="s">
        <v>6574</v>
      </c>
      <c r="B2445" t="s">
        <v>1125</v>
      </c>
      <c r="C2445" t="s">
        <v>32</v>
      </c>
      <c r="D2445" s="1">
        <v>45669</v>
      </c>
      <c r="E2445" t="s">
        <v>4129</v>
      </c>
      <c r="F2445" t="s">
        <v>4137</v>
      </c>
    </row>
    <row r="2446" spans="1:6">
      <c r="A2446" t="s">
        <v>6575</v>
      </c>
      <c r="B2446" t="s">
        <v>1125</v>
      </c>
      <c r="C2446" t="s">
        <v>32</v>
      </c>
      <c r="D2446" s="1">
        <v>45677</v>
      </c>
      <c r="E2446" t="s">
        <v>4124</v>
      </c>
      <c r="F2446" t="s">
        <v>4139</v>
      </c>
    </row>
    <row r="2447" spans="1:6">
      <c r="A2447" t="s">
        <v>6576</v>
      </c>
      <c r="B2447" t="s">
        <v>1125</v>
      </c>
      <c r="C2447" t="s">
        <v>32</v>
      </c>
      <c r="D2447" s="1">
        <v>45667</v>
      </c>
      <c r="E2447" t="s">
        <v>4129</v>
      </c>
      <c r="F2447" t="s">
        <v>4137</v>
      </c>
    </row>
    <row r="2448" spans="1:6">
      <c r="A2448" t="s">
        <v>6577</v>
      </c>
      <c r="B2448" t="s">
        <v>1126</v>
      </c>
      <c r="C2448" t="s">
        <v>16</v>
      </c>
      <c r="D2448" s="1">
        <v>45804</v>
      </c>
      <c r="E2448" t="s">
        <v>4135</v>
      </c>
      <c r="F2448" t="s">
        <v>4139</v>
      </c>
    </row>
    <row r="2449" spans="1:6">
      <c r="A2449" t="s">
        <v>6578</v>
      </c>
      <c r="B2449" t="s">
        <v>1126</v>
      </c>
      <c r="C2449" t="s">
        <v>16</v>
      </c>
      <c r="D2449" s="1">
        <v>45793</v>
      </c>
      <c r="E2449" t="s">
        <v>4124</v>
      </c>
      <c r="F2449" t="s">
        <v>4139</v>
      </c>
    </row>
    <row r="2450" spans="1:6">
      <c r="A2450" t="s">
        <v>6579</v>
      </c>
      <c r="B2450" t="s">
        <v>1126</v>
      </c>
      <c r="C2450" t="s">
        <v>16</v>
      </c>
      <c r="D2450" s="1">
        <v>45804</v>
      </c>
      <c r="E2450" t="s">
        <v>4135</v>
      </c>
      <c r="F2450" t="s">
        <v>4125</v>
      </c>
    </row>
    <row r="2451" spans="1:6">
      <c r="A2451" t="s">
        <v>6580</v>
      </c>
      <c r="B2451" t="s">
        <v>1126</v>
      </c>
      <c r="C2451" t="s">
        <v>16</v>
      </c>
      <c r="D2451" s="1">
        <v>45810</v>
      </c>
      <c r="E2451" t="s">
        <v>4135</v>
      </c>
      <c r="F2451" t="s">
        <v>4125</v>
      </c>
    </row>
    <row r="2452" spans="1:6">
      <c r="A2452" t="s">
        <v>6581</v>
      </c>
      <c r="B2452" t="s">
        <v>1126</v>
      </c>
      <c r="C2452" t="s">
        <v>16</v>
      </c>
      <c r="D2452" s="1">
        <v>45810</v>
      </c>
      <c r="E2452" t="s">
        <v>4127</v>
      </c>
      <c r="F2452" t="s">
        <v>4137</v>
      </c>
    </row>
    <row r="2453" spans="1:6">
      <c r="A2453" t="s">
        <v>6582</v>
      </c>
      <c r="B2453" t="s">
        <v>1128</v>
      </c>
      <c r="C2453" t="s">
        <v>168</v>
      </c>
      <c r="D2453" s="1">
        <v>45948</v>
      </c>
      <c r="E2453" t="s">
        <v>4135</v>
      </c>
      <c r="F2453" t="s">
        <v>4139</v>
      </c>
    </row>
    <row r="2454" spans="1:6">
      <c r="A2454" t="s">
        <v>6583</v>
      </c>
      <c r="B2454" t="s">
        <v>1128</v>
      </c>
      <c r="C2454" t="s">
        <v>168</v>
      </c>
      <c r="D2454" s="1">
        <v>45969</v>
      </c>
      <c r="E2454" t="s">
        <v>4135</v>
      </c>
      <c r="F2454" t="s">
        <v>4137</v>
      </c>
    </row>
    <row r="2455" spans="1:6">
      <c r="A2455" t="s">
        <v>6584</v>
      </c>
      <c r="B2455" t="s">
        <v>1128</v>
      </c>
      <c r="C2455" t="s">
        <v>168</v>
      </c>
      <c r="D2455" s="1">
        <v>45972</v>
      </c>
      <c r="E2455" t="s">
        <v>4127</v>
      </c>
      <c r="F2455" t="s">
        <v>4137</v>
      </c>
    </row>
    <row r="2456" spans="1:6">
      <c r="A2456" t="s">
        <v>6585</v>
      </c>
      <c r="B2456" t="s">
        <v>1128</v>
      </c>
      <c r="C2456" t="s">
        <v>168</v>
      </c>
      <c r="D2456" s="1">
        <v>45973</v>
      </c>
      <c r="E2456" t="s">
        <v>4129</v>
      </c>
      <c r="F2456" t="s">
        <v>4139</v>
      </c>
    </row>
    <row r="2457" spans="1:6">
      <c r="A2457" t="s">
        <v>6586</v>
      </c>
      <c r="B2457" t="s">
        <v>1129</v>
      </c>
      <c r="C2457" t="s">
        <v>36</v>
      </c>
      <c r="D2457" s="1">
        <v>45948</v>
      </c>
      <c r="E2457" t="s">
        <v>4133</v>
      </c>
      <c r="F2457" t="s">
        <v>4137</v>
      </c>
    </row>
    <row r="2458" spans="1:6">
      <c r="A2458" t="s">
        <v>6587</v>
      </c>
      <c r="B2458" t="s">
        <v>1129</v>
      </c>
      <c r="C2458" t="s">
        <v>36</v>
      </c>
      <c r="D2458" s="1">
        <v>45945</v>
      </c>
      <c r="E2458" t="s">
        <v>4127</v>
      </c>
      <c r="F2458" t="s">
        <v>4137</v>
      </c>
    </row>
    <row r="2459" spans="1:6">
      <c r="A2459" t="s">
        <v>6588</v>
      </c>
      <c r="B2459" t="s">
        <v>1131</v>
      </c>
      <c r="C2459" t="s">
        <v>56</v>
      </c>
      <c r="D2459" s="1">
        <v>45743</v>
      </c>
      <c r="E2459" t="s">
        <v>4127</v>
      </c>
      <c r="F2459" t="s">
        <v>4137</v>
      </c>
    </row>
    <row r="2460" spans="1:6">
      <c r="A2460" t="s">
        <v>6589</v>
      </c>
      <c r="B2460" t="s">
        <v>1131</v>
      </c>
      <c r="C2460" t="s">
        <v>56</v>
      </c>
      <c r="D2460" s="1">
        <v>45780</v>
      </c>
      <c r="E2460" t="s">
        <v>4133</v>
      </c>
      <c r="F2460" t="s">
        <v>4137</v>
      </c>
    </row>
    <row r="2461" spans="1:6">
      <c r="A2461" t="s">
        <v>6590</v>
      </c>
      <c r="B2461" t="s">
        <v>1131</v>
      </c>
      <c r="C2461" t="s">
        <v>56</v>
      </c>
      <c r="D2461" s="1">
        <v>45788</v>
      </c>
      <c r="E2461" t="s">
        <v>4133</v>
      </c>
      <c r="F2461" t="s">
        <v>4139</v>
      </c>
    </row>
    <row r="2462" spans="1:6">
      <c r="A2462" t="s">
        <v>6591</v>
      </c>
      <c r="B2462" t="s">
        <v>1131</v>
      </c>
      <c r="C2462" t="s">
        <v>56</v>
      </c>
      <c r="D2462" s="1">
        <v>45758</v>
      </c>
      <c r="E2462" t="s">
        <v>4135</v>
      </c>
      <c r="F2462" t="s">
        <v>4137</v>
      </c>
    </row>
    <row r="2463" spans="1:6">
      <c r="A2463" t="s">
        <v>6592</v>
      </c>
      <c r="B2463" t="s">
        <v>1132</v>
      </c>
      <c r="C2463" t="s">
        <v>27</v>
      </c>
      <c r="D2463" s="1">
        <v>45986</v>
      </c>
      <c r="E2463" t="s">
        <v>4124</v>
      </c>
      <c r="F2463" t="s">
        <v>4125</v>
      </c>
    </row>
    <row r="2464" spans="1:6">
      <c r="A2464" t="s">
        <v>6593</v>
      </c>
      <c r="B2464" t="s">
        <v>1132</v>
      </c>
      <c r="C2464" t="s">
        <v>27</v>
      </c>
      <c r="D2464" s="1">
        <v>45991</v>
      </c>
      <c r="E2464" t="s">
        <v>4127</v>
      </c>
      <c r="F2464" t="s">
        <v>4137</v>
      </c>
    </row>
    <row r="2465" spans="1:6">
      <c r="A2465" t="s">
        <v>6594</v>
      </c>
      <c r="B2465" t="s">
        <v>1134</v>
      </c>
      <c r="C2465" t="s">
        <v>63</v>
      </c>
      <c r="D2465" s="1">
        <v>45903</v>
      </c>
      <c r="E2465" t="s">
        <v>4133</v>
      </c>
      <c r="F2465" t="s">
        <v>4137</v>
      </c>
    </row>
    <row r="2466" spans="1:6">
      <c r="A2466" t="s">
        <v>6595</v>
      </c>
      <c r="B2466" t="s">
        <v>1134</v>
      </c>
      <c r="C2466" t="s">
        <v>63</v>
      </c>
      <c r="D2466" s="1">
        <v>45916</v>
      </c>
      <c r="E2466" t="s">
        <v>4124</v>
      </c>
      <c r="F2466" t="s">
        <v>4137</v>
      </c>
    </row>
    <row r="2467" spans="1:6">
      <c r="A2467" t="s">
        <v>6596</v>
      </c>
      <c r="B2467" t="s">
        <v>1134</v>
      </c>
      <c r="C2467" t="s">
        <v>63</v>
      </c>
      <c r="D2467" s="1">
        <v>45908</v>
      </c>
      <c r="E2467" t="s">
        <v>4133</v>
      </c>
      <c r="F2467" t="s">
        <v>4125</v>
      </c>
    </row>
    <row r="2468" spans="1:6">
      <c r="A2468" t="s">
        <v>6597</v>
      </c>
      <c r="B2468" t="s">
        <v>1134</v>
      </c>
      <c r="C2468" t="s">
        <v>63</v>
      </c>
      <c r="D2468" s="1">
        <v>45904</v>
      </c>
      <c r="E2468" t="s">
        <v>4133</v>
      </c>
      <c r="F2468" t="s">
        <v>4137</v>
      </c>
    </row>
    <row r="2469" spans="1:6">
      <c r="A2469" t="s">
        <v>6598</v>
      </c>
      <c r="B2469" t="s">
        <v>1134</v>
      </c>
      <c r="C2469" t="s">
        <v>63</v>
      </c>
      <c r="D2469" s="1">
        <v>45925</v>
      </c>
      <c r="E2469" t="s">
        <v>4127</v>
      </c>
      <c r="F2469" t="s">
        <v>4125</v>
      </c>
    </row>
    <row r="2470" spans="1:6">
      <c r="A2470" t="s">
        <v>6599</v>
      </c>
      <c r="B2470" t="s">
        <v>1136</v>
      </c>
      <c r="C2470" t="s">
        <v>91</v>
      </c>
      <c r="D2470" s="1">
        <v>45701</v>
      </c>
      <c r="E2470" t="s">
        <v>4135</v>
      </c>
      <c r="F2470" t="s">
        <v>4125</v>
      </c>
    </row>
    <row r="2471" spans="1:6">
      <c r="A2471" t="s">
        <v>6600</v>
      </c>
      <c r="B2471" t="s">
        <v>1136</v>
      </c>
      <c r="C2471" t="s">
        <v>91</v>
      </c>
      <c r="D2471" s="1">
        <v>45673</v>
      </c>
      <c r="E2471" t="s">
        <v>4127</v>
      </c>
      <c r="F2471" t="s">
        <v>4137</v>
      </c>
    </row>
    <row r="2472" spans="1:6">
      <c r="A2472" t="s">
        <v>6601</v>
      </c>
      <c r="B2472" t="s">
        <v>1136</v>
      </c>
      <c r="C2472" t="s">
        <v>91</v>
      </c>
      <c r="D2472" s="1">
        <v>45675</v>
      </c>
      <c r="E2472" t="s">
        <v>4129</v>
      </c>
      <c r="F2472" t="s">
        <v>4137</v>
      </c>
    </row>
    <row r="2473" spans="1:6">
      <c r="A2473" t="s">
        <v>6602</v>
      </c>
      <c r="B2473" t="s">
        <v>1136</v>
      </c>
      <c r="C2473" t="s">
        <v>91</v>
      </c>
      <c r="D2473" s="1">
        <v>45699</v>
      </c>
      <c r="E2473" t="s">
        <v>4124</v>
      </c>
      <c r="F2473" t="s">
        <v>4125</v>
      </c>
    </row>
    <row r="2474" spans="1:6">
      <c r="A2474" t="s">
        <v>6603</v>
      </c>
      <c r="B2474" t="s">
        <v>1136</v>
      </c>
      <c r="C2474" t="s">
        <v>91</v>
      </c>
      <c r="D2474" s="1">
        <v>45680</v>
      </c>
      <c r="E2474" t="s">
        <v>4127</v>
      </c>
      <c r="F2474" t="s">
        <v>4125</v>
      </c>
    </row>
    <row r="2475" spans="1:6">
      <c r="A2475" t="s">
        <v>6604</v>
      </c>
      <c r="B2475" t="s">
        <v>1137</v>
      </c>
      <c r="C2475" t="s">
        <v>119</v>
      </c>
      <c r="D2475" s="1">
        <v>45963</v>
      </c>
      <c r="E2475" t="s">
        <v>4127</v>
      </c>
      <c r="F2475" t="s">
        <v>4137</v>
      </c>
    </row>
    <row r="2476" spans="1:6">
      <c r="A2476" t="s">
        <v>6605</v>
      </c>
      <c r="B2476" t="s">
        <v>1137</v>
      </c>
      <c r="C2476" t="s">
        <v>119</v>
      </c>
      <c r="D2476" s="1">
        <v>45943</v>
      </c>
      <c r="E2476" t="s">
        <v>4124</v>
      </c>
      <c r="F2476" t="s">
        <v>4125</v>
      </c>
    </row>
    <row r="2477" spans="1:6">
      <c r="A2477" t="s">
        <v>6606</v>
      </c>
      <c r="B2477" t="s">
        <v>1137</v>
      </c>
      <c r="C2477" t="s">
        <v>119</v>
      </c>
      <c r="D2477" s="1">
        <v>45968</v>
      </c>
      <c r="E2477" t="s">
        <v>4124</v>
      </c>
      <c r="F2477" t="s">
        <v>4137</v>
      </c>
    </row>
    <row r="2478" spans="1:6">
      <c r="A2478" t="s">
        <v>6607</v>
      </c>
      <c r="B2478" t="s">
        <v>1137</v>
      </c>
      <c r="C2478" t="s">
        <v>119</v>
      </c>
      <c r="D2478" s="1">
        <v>45961</v>
      </c>
      <c r="E2478" t="s">
        <v>4133</v>
      </c>
      <c r="F2478" t="s">
        <v>4125</v>
      </c>
    </row>
    <row r="2479" spans="1:6">
      <c r="A2479" t="s">
        <v>6608</v>
      </c>
      <c r="B2479" t="s">
        <v>1138</v>
      </c>
      <c r="C2479" t="s">
        <v>16</v>
      </c>
      <c r="D2479" s="1">
        <v>45884</v>
      </c>
      <c r="E2479" t="s">
        <v>4129</v>
      </c>
      <c r="F2479" t="s">
        <v>4125</v>
      </c>
    </row>
    <row r="2480" spans="1:6">
      <c r="A2480" t="s">
        <v>6609</v>
      </c>
      <c r="B2480" t="s">
        <v>1138</v>
      </c>
      <c r="C2480" t="s">
        <v>16</v>
      </c>
      <c r="D2480" s="1">
        <v>45861</v>
      </c>
      <c r="E2480" t="s">
        <v>4129</v>
      </c>
      <c r="F2480" t="s">
        <v>4139</v>
      </c>
    </row>
    <row r="2481" spans="1:6">
      <c r="A2481" t="s">
        <v>6610</v>
      </c>
      <c r="B2481" t="s">
        <v>1138</v>
      </c>
      <c r="C2481" t="s">
        <v>16</v>
      </c>
      <c r="D2481" s="1">
        <v>45867</v>
      </c>
      <c r="E2481" t="s">
        <v>4124</v>
      </c>
      <c r="F2481" t="s">
        <v>4139</v>
      </c>
    </row>
    <row r="2482" spans="1:6">
      <c r="A2482" t="s">
        <v>6611</v>
      </c>
      <c r="B2482" t="s">
        <v>1139</v>
      </c>
      <c r="C2482" t="s">
        <v>46</v>
      </c>
      <c r="D2482" s="1">
        <v>45943</v>
      </c>
      <c r="E2482" t="s">
        <v>4127</v>
      </c>
      <c r="F2482" t="s">
        <v>4137</v>
      </c>
    </row>
    <row r="2483" spans="1:6">
      <c r="A2483" t="s">
        <v>6612</v>
      </c>
      <c r="B2483" t="s">
        <v>1139</v>
      </c>
      <c r="C2483" t="s">
        <v>46</v>
      </c>
      <c r="D2483" s="1">
        <v>45928</v>
      </c>
      <c r="E2483" t="s">
        <v>4127</v>
      </c>
      <c r="F2483" t="s">
        <v>4125</v>
      </c>
    </row>
    <row r="2484" spans="1:6">
      <c r="A2484" t="s">
        <v>6613</v>
      </c>
      <c r="B2484" t="s">
        <v>1139</v>
      </c>
      <c r="C2484" t="s">
        <v>46</v>
      </c>
      <c r="D2484" s="1">
        <v>45961</v>
      </c>
      <c r="E2484" t="s">
        <v>4129</v>
      </c>
      <c r="F2484" t="s">
        <v>4137</v>
      </c>
    </row>
    <row r="2485" spans="1:6">
      <c r="A2485" t="s">
        <v>6614</v>
      </c>
      <c r="B2485" t="s">
        <v>1140</v>
      </c>
      <c r="C2485" t="s">
        <v>22</v>
      </c>
      <c r="D2485" s="1">
        <v>45815</v>
      </c>
      <c r="E2485" t="s">
        <v>4133</v>
      </c>
      <c r="F2485" t="s">
        <v>4125</v>
      </c>
    </row>
    <row r="2486" spans="1:6">
      <c r="A2486" t="s">
        <v>6615</v>
      </c>
      <c r="B2486" t="s">
        <v>1140</v>
      </c>
      <c r="C2486" t="s">
        <v>22</v>
      </c>
      <c r="D2486" s="1">
        <v>45821</v>
      </c>
      <c r="E2486" t="s">
        <v>4133</v>
      </c>
      <c r="F2486" t="s">
        <v>4137</v>
      </c>
    </row>
    <row r="2487" spans="1:6">
      <c r="A2487" t="s">
        <v>6616</v>
      </c>
      <c r="B2487" t="s">
        <v>1140</v>
      </c>
      <c r="C2487" t="s">
        <v>22</v>
      </c>
      <c r="D2487" s="1">
        <v>45779</v>
      </c>
      <c r="E2487" t="s">
        <v>4133</v>
      </c>
      <c r="F2487" t="s">
        <v>4125</v>
      </c>
    </row>
    <row r="2488" spans="1:6">
      <c r="A2488" t="s">
        <v>6617</v>
      </c>
      <c r="B2488" t="s">
        <v>1142</v>
      </c>
      <c r="C2488" t="s">
        <v>78</v>
      </c>
      <c r="D2488" s="1">
        <v>45866</v>
      </c>
      <c r="E2488" t="s">
        <v>4133</v>
      </c>
      <c r="F2488" t="s">
        <v>4137</v>
      </c>
    </row>
    <row r="2489" spans="1:6">
      <c r="A2489" t="s">
        <v>6618</v>
      </c>
      <c r="B2489" t="s">
        <v>1142</v>
      </c>
      <c r="C2489" t="s">
        <v>78</v>
      </c>
      <c r="D2489" s="1">
        <v>45872</v>
      </c>
      <c r="E2489" t="s">
        <v>4135</v>
      </c>
      <c r="F2489" t="s">
        <v>4139</v>
      </c>
    </row>
    <row r="2490" spans="1:6">
      <c r="A2490" t="s">
        <v>6619</v>
      </c>
      <c r="B2490" t="s">
        <v>1143</v>
      </c>
      <c r="C2490" t="s">
        <v>53</v>
      </c>
      <c r="D2490" s="1">
        <v>45714</v>
      </c>
      <c r="E2490" t="s">
        <v>4129</v>
      </c>
      <c r="F2490" t="s">
        <v>4137</v>
      </c>
    </row>
    <row r="2491" spans="1:6">
      <c r="A2491" t="s">
        <v>6620</v>
      </c>
      <c r="B2491" t="s">
        <v>1143</v>
      </c>
      <c r="C2491" t="s">
        <v>53</v>
      </c>
      <c r="D2491" s="1">
        <v>45702</v>
      </c>
      <c r="E2491" t="s">
        <v>4124</v>
      </c>
      <c r="F2491" t="s">
        <v>4137</v>
      </c>
    </row>
    <row r="2492" spans="1:6">
      <c r="A2492" t="s">
        <v>6621</v>
      </c>
      <c r="B2492" t="s">
        <v>1144</v>
      </c>
      <c r="C2492" t="s">
        <v>36</v>
      </c>
      <c r="D2492" s="1">
        <v>45977</v>
      </c>
      <c r="E2492" t="s">
        <v>4124</v>
      </c>
      <c r="F2492" t="s">
        <v>4137</v>
      </c>
    </row>
    <row r="2493" spans="1:6">
      <c r="A2493" t="s">
        <v>6622</v>
      </c>
      <c r="B2493" t="s">
        <v>1144</v>
      </c>
      <c r="C2493" t="s">
        <v>36</v>
      </c>
      <c r="D2493" s="1">
        <v>45997</v>
      </c>
      <c r="E2493" t="s">
        <v>4133</v>
      </c>
      <c r="F2493" t="s">
        <v>4137</v>
      </c>
    </row>
    <row r="2494" spans="1:6">
      <c r="A2494" t="s">
        <v>6623</v>
      </c>
      <c r="B2494" t="s">
        <v>1144</v>
      </c>
      <c r="C2494" t="s">
        <v>36</v>
      </c>
      <c r="D2494" s="1">
        <v>46019</v>
      </c>
      <c r="E2494" t="s">
        <v>4124</v>
      </c>
      <c r="F2494" t="s">
        <v>4137</v>
      </c>
    </row>
    <row r="2495" spans="1:6">
      <c r="A2495" t="s">
        <v>6624</v>
      </c>
      <c r="B2495" t="s">
        <v>1144</v>
      </c>
      <c r="C2495" t="s">
        <v>36</v>
      </c>
      <c r="D2495" s="1">
        <v>46009</v>
      </c>
      <c r="E2495" t="s">
        <v>4133</v>
      </c>
      <c r="F2495" t="s">
        <v>4137</v>
      </c>
    </row>
    <row r="2496" spans="1:6">
      <c r="A2496" t="s">
        <v>6625</v>
      </c>
      <c r="B2496" t="s">
        <v>1144</v>
      </c>
      <c r="C2496" t="s">
        <v>36</v>
      </c>
      <c r="D2496" s="1">
        <v>46019</v>
      </c>
      <c r="E2496" t="s">
        <v>4129</v>
      </c>
      <c r="F2496" t="s">
        <v>4125</v>
      </c>
    </row>
    <row r="2497" spans="1:6">
      <c r="A2497" t="s">
        <v>6626</v>
      </c>
      <c r="B2497" t="s">
        <v>1145</v>
      </c>
      <c r="C2497" t="s">
        <v>36</v>
      </c>
      <c r="D2497" s="1">
        <v>45681</v>
      </c>
      <c r="E2497" t="s">
        <v>4135</v>
      </c>
      <c r="F2497" t="s">
        <v>4125</v>
      </c>
    </row>
    <row r="2498" spans="1:6">
      <c r="A2498" t="s">
        <v>6627</v>
      </c>
      <c r="B2498" t="s">
        <v>1145</v>
      </c>
      <c r="C2498" t="s">
        <v>36</v>
      </c>
      <c r="D2498" s="1">
        <v>45683</v>
      </c>
      <c r="E2498" t="s">
        <v>4124</v>
      </c>
      <c r="F2498" t="s">
        <v>4137</v>
      </c>
    </row>
    <row r="2499" spans="1:6">
      <c r="A2499" t="s">
        <v>6628</v>
      </c>
      <c r="B2499" t="s">
        <v>1146</v>
      </c>
      <c r="C2499" t="s">
        <v>75</v>
      </c>
      <c r="D2499" s="1">
        <v>45976</v>
      </c>
      <c r="E2499" t="s">
        <v>4124</v>
      </c>
      <c r="F2499" t="s">
        <v>4139</v>
      </c>
    </row>
    <row r="2500" spans="1:6">
      <c r="A2500" t="s">
        <v>6629</v>
      </c>
      <c r="B2500" t="s">
        <v>1146</v>
      </c>
      <c r="C2500" t="s">
        <v>75</v>
      </c>
      <c r="D2500" s="1">
        <v>45967</v>
      </c>
      <c r="E2500" t="s">
        <v>4135</v>
      </c>
      <c r="F2500" t="s">
        <v>4125</v>
      </c>
    </row>
    <row r="2501" spans="1:6">
      <c r="A2501" t="s">
        <v>6630</v>
      </c>
      <c r="B2501" t="s">
        <v>1146</v>
      </c>
      <c r="C2501" t="s">
        <v>75</v>
      </c>
      <c r="D2501" s="1">
        <v>45977</v>
      </c>
      <c r="E2501" t="s">
        <v>4133</v>
      </c>
      <c r="F2501" t="s">
        <v>4125</v>
      </c>
    </row>
    <row r="2502" spans="1:6">
      <c r="A2502" t="s">
        <v>6631</v>
      </c>
      <c r="B2502" t="s">
        <v>1148</v>
      </c>
      <c r="C2502" t="s">
        <v>119</v>
      </c>
      <c r="D2502" s="1">
        <v>45816</v>
      </c>
      <c r="E2502" t="s">
        <v>4124</v>
      </c>
      <c r="F2502" t="s">
        <v>4139</v>
      </c>
    </row>
    <row r="2503" spans="1:6">
      <c r="A2503" t="s">
        <v>6632</v>
      </c>
      <c r="B2503" t="s">
        <v>1148</v>
      </c>
      <c r="C2503" t="s">
        <v>119</v>
      </c>
      <c r="D2503" s="1">
        <v>45807</v>
      </c>
      <c r="E2503" t="s">
        <v>4127</v>
      </c>
      <c r="F2503" t="s">
        <v>4139</v>
      </c>
    </row>
    <row r="2504" spans="1:6">
      <c r="A2504" t="s">
        <v>6633</v>
      </c>
      <c r="B2504" t="s">
        <v>1149</v>
      </c>
      <c r="C2504" t="s">
        <v>119</v>
      </c>
      <c r="D2504" s="1">
        <v>45827</v>
      </c>
      <c r="E2504" t="s">
        <v>4124</v>
      </c>
      <c r="F2504" t="s">
        <v>4125</v>
      </c>
    </row>
    <row r="2505" spans="1:6">
      <c r="A2505" t="s">
        <v>6634</v>
      </c>
      <c r="B2505" t="s">
        <v>1149</v>
      </c>
      <c r="C2505" t="s">
        <v>119</v>
      </c>
      <c r="D2505" s="1">
        <v>45852</v>
      </c>
      <c r="E2505" t="s">
        <v>4135</v>
      </c>
      <c r="F2505" t="s">
        <v>4137</v>
      </c>
    </row>
    <row r="2506" spans="1:6">
      <c r="A2506" t="s">
        <v>6635</v>
      </c>
      <c r="B2506" t="s">
        <v>1149</v>
      </c>
      <c r="C2506" t="s">
        <v>119</v>
      </c>
      <c r="D2506" s="1">
        <v>45828</v>
      </c>
      <c r="E2506" t="s">
        <v>4127</v>
      </c>
      <c r="F2506" t="s">
        <v>4139</v>
      </c>
    </row>
    <row r="2507" spans="1:6">
      <c r="A2507" t="s">
        <v>6636</v>
      </c>
      <c r="B2507" t="s">
        <v>1150</v>
      </c>
      <c r="C2507" t="s">
        <v>50</v>
      </c>
      <c r="D2507" s="1">
        <v>45926</v>
      </c>
      <c r="E2507" t="s">
        <v>4129</v>
      </c>
      <c r="F2507" t="s">
        <v>4125</v>
      </c>
    </row>
    <row r="2508" spans="1:6">
      <c r="A2508" t="s">
        <v>6637</v>
      </c>
      <c r="B2508" t="s">
        <v>1150</v>
      </c>
      <c r="C2508" t="s">
        <v>50</v>
      </c>
      <c r="D2508" s="1">
        <v>45913</v>
      </c>
      <c r="E2508" t="s">
        <v>4124</v>
      </c>
      <c r="F2508" t="s">
        <v>4137</v>
      </c>
    </row>
    <row r="2509" spans="1:6">
      <c r="A2509" t="s">
        <v>6638</v>
      </c>
      <c r="B2509" t="s">
        <v>1150</v>
      </c>
      <c r="C2509" t="s">
        <v>50</v>
      </c>
      <c r="D2509" s="1">
        <v>45956</v>
      </c>
      <c r="E2509" t="s">
        <v>4124</v>
      </c>
      <c r="F2509" t="s">
        <v>4139</v>
      </c>
    </row>
    <row r="2510" spans="1:6">
      <c r="A2510" t="s">
        <v>6639</v>
      </c>
      <c r="B2510" t="s">
        <v>1151</v>
      </c>
      <c r="C2510" t="s">
        <v>16</v>
      </c>
      <c r="D2510" s="1">
        <v>46018</v>
      </c>
      <c r="E2510" t="s">
        <v>4124</v>
      </c>
      <c r="F2510" t="s">
        <v>4139</v>
      </c>
    </row>
    <row r="2511" spans="1:6">
      <c r="A2511" t="s">
        <v>6640</v>
      </c>
      <c r="B2511" t="s">
        <v>1151</v>
      </c>
      <c r="C2511" t="s">
        <v>16</v>
      </c>
      <c r="D2511" s="1">
        <v>45987</v>
      </c>
      <c r="E2511" t="s">
        <v>4133</v>
      </c>
      <c r="F2511" t="s">
        <v>4137</v>
      </c>
    </row>
    <row r="2512" spans="1:6">
      <c r="A2512" t="s">
        <v>6641</v>
      </c>
      <c r="B2512" t="s">
        <v>1151</v>
      </c>
      <c r="C2512" t="s">
        <v>16</v>
      </c>
      <c r="D2512" s="1">
        <v>46005</v>
      </c>
      <c r="E2512" t="s">
        <v>4124</v>
      </c>
      <c r="F2512" t="s">
        <v>4137</v>
      </c>
    </row>
    <row r="2513" spans="1:6">
      <c r="A2513" t="s">
        <v>6642</v>
      </c>
      <c r="B2513" t="s">
        <v>1151</v>
      </c>
      <c r="C2513" t="s">
        <v>16</v>
      </c>
      <c r="D2513" s="1">
        <v>46015</v>
      </c>
      <c r="E2513" t="s">
        <v>4135</v>
      </c>
      <c r="F2513" t="s">
        <v>4139</v>
      </c>
    </row>
    <row r="2514" spans="1:6">
      <c r="A2514" t="s">
        <v>6643</v>
      </c>
      <c r="B2514" t="s">
        <v>1151</v>
      </c>
      <c r="C2514" t="s">
        <v>16</v>
      </c>
      <c r="D2514" s="1">
        <v>45990</v>
      </c>
      <c r="E2514" t="s">
        <v>4133</v>
      </c>
      <c r="F2514" t="s">
        <v>4139</v>
      </c>
    </row>
    <row r="2515" spans="1:6">
      <c r="A2515" t="s">
        <v>6644</v>
      </c>
      <c r="B2515" t="s">
        <v>1153</v>
      </c>
      <c r="C2515" t="s">
        <v>75</v>
      </c>
      <c r="D2515" s="1">
        <v>46000</v>
      </c>
      <c r="E2515" t="s">
        <v>4135</v>
      </c>
      <c r="F2515" t="s">
        <v>4125</v>
      </c>
    </row>
    <row r="2516" spans="1:6">
      <c r="A2516" t="s">
        <v>6645</v>
      </c>
      <c r="B2516" t="s">
        <v>1153</v>
      </c>
      <c r="C2516" t="s">
        <v>75</v>
      </c>
      <c r="D2516" s="1">
        <v>46011</v>
      </c>
      <c r="E2516" t="s">
        <v>4133</v>
      </c>
      <c r="F2516" t="s">
        <v>4125</v>
      </c>
    </row>
    <row r="2517" spans="1:6">
      <c r="A2517" t="s">
        <v>6646</v>
      </c>
      <c r="B2517" t="s">
        <v>1153</v>
      </c>
      <c r="C2517" t="s">
        <v>75</v>
      </c>
      <c r="D2517" s="1">
        <v>45999</v>
      </c>
      <c r="E2517" t="s">
        <v>4135</v>
      </c>
      <c r="F2517" t="s">
        <v>4139</v>
      </c>
    </row>
    <row r="2518" spans="1:6">
      <c r="A2518" t="s">
        <v>6647</v>
      </c>
      <c r="B2518" t="s">
        <v>1153</v>
      </c>
      <c r="C2518" t="s">
        <v>75</v>
      </c>
      <c r="D2518" s="1">
        <v>46002</v>
      </c>
      <c r="E2518" t="s">
        <v>4127</v>
      </c>
      <c r="F2518" t="s">
        <v>4139</v>
      </c>
    </row>
    <row r="2519" spans="1:6">
      <c r="A2519" t="s">
        <v>6648</v>
      </c>
      <c r="B2519" t="s">
        <v>1153</v>
      </c>
      <c r="C2519" t="s">
        <v>75</v>
      </c>
      <c r="D2519" s="1">
        <v>46021</v>
      </c>
      <c r="E2519" t="s">
        <v>4124</v>
      </c>
      <c r="F2519" t="s">
        <v>4139</v>
      </c>
    </row>
    <row r="2520" spans="1:6">
      <c r="A2520" t="s">
        <v>6649</v>
      </c>
      <c r="B2520" t="s">
        <v>1154</v>
      </c>
      <c r="C2520" t="s">
        <v>50</v>
      </c>
      <c r="D2520" s="1">
        <v>45672</v>
      </c>
      <c r="E2520" t="s">
        <v>4127</v>
      </c>
      <c r="F2520" t="s">
        <v>4139</v>
      </c>
    </row>
    <row r="2521" spans="1:6">
      <c r="A2521" t="s">
        <v>6650</v>
      </c>
      <c r="B2521" t="s">
        <v>1154</v>
      </c>
      <c r="C2521" t="s">
        <v>50</v>
      </c>
      <c r="D2521" s="1">
        <v>45694</v>
      </c>
      <c r="E2521" t="s">
        <v>4135</v>
      </c>
      <c r="F2521" t="s">
        <v>4139</v>
      </c>
    </row>
    <row r="2522" spans="1:6">
      <c r="A2522" t="s">
        <v>6651</v>
      </c>
      <c r="B2522" t="s">
        <v>1154</v>
      </c>
      <c r="C2522" t="s">
        <v>50</v>
      </c>
      <c r="D2522" s="1">
        <v>45694</v>
      </c>
      <c r="E2522" t="s">
        <v>4124</v>
      </c>
      <c r="F2522" t="s">
        <v>4137</v>
      </c>
    </row>
    <row r="2523" spans="1:6">
      <c r="A2523" t="s">
        <v>6652</v>
      </c>
      <c r="B2523" t="s">
        <v>1154</v>
      </c>
      <c r="C2523" t="s">
        <v>50</v>
      </c>
      <c r="D2523" s="1">
        <v>45677</v>
      </c>
      <c r="E2523" t="s">
        <v>4133</v>
      </c>
      <c r="F2523" t="s">
        <v>4139</v>
      </c>
    </row>
    <row r="2524" spans="1:6">
      <c r="A2524" t="s">
        <v>6653</v>
      </c>
      <c r="B2524" t="s">
        <v>1155</v>
      </c>
      <c r="C2524" t="s">
        <v>63</v>
      </c>
      <c r="D2524" s="1">
        <v>45710</v>
      </c>
      <c r="E2524" t="s">
        <v>4133</v>
      </c>
      <c r="F2524" t="s">
        <v>4125</v>
      </c>
    </row>
    <row r="2525" spans="1:6">
      <c r="A2525" t="s">
        <v>6654</v>
      </c>
      <c r="B2525" t="s">
        <v>1155</v>
      </c>
      <c r="C2525" t="s">
        <v>63</v>
      </c>
      <c r="D2525" s="1">
        <v>45699</v>
      </c>
      <c r="E2525" t="s">
        <v>4135</v>
      </c>
      <c r="F2525" t="s">
        <v>4125</v>
      </c>
    </row>
    <row r="2526" spans="1:6">
      <c r="A2526" t="s">
        <v>6655</v>
      </c>
      <c r="B2526" t="s">
        <v>1155</v>
      </c>
      <c r="C2526" t="s">
        <v>63</v>
      </c>
      <c r="D2526" s="1">
        <v>45707</v>
      </c>
      <c r="E2526" t="s">
        <v>4127</v>
      </c>
      <c r="F2526" t="s">
        <v>4139</v>
      </c>
    </row>
    <row r="2527" spans="1:6">
      <c r="A2527" t="s">
        <v>6656</v>
      </c>
      <c r="B2527" t="s">
        <v>1155</v>
      </c>
      <c r="C2527" t="s">
        <v>63</v>
      </c>
      <c r="D2527" s="1">
        <v>45702</v>
      </c>
      <c r="E2527" t="s">
        <v>4124</v>
      </c>
      <c r="F2527" t="s">
        <v>4139</v>
      </c>
    </row>
    <row r="2528" spans="1:6">
      <c r="A2528" t="s">
        <v>6657</v>
      </c>
      <c r="B2528" t="s">
        <v>1155</v>
      </c>
      <c r="C2528" t="s">
        <v>63</v>
      </c>
      <c r="D2528" s="1">
        <v>45707</v>
      </c>
      <c r="E2528" t="s">
        <v>4133</v>
      </c>
      <c r="F2528" t="s">
        <v>4137</v>
      </c>
    </row>
    <row r="2529" spans="1:6">
      <c r="A2529" t="s">
        <v>6658</v>
      </c>
      <c r="B2529" t="s">
        <v>1156</v>
      </c>
      <c r="C2529" t="s">
        <v>53</v>
      </c>
      <c r="D2529" s="1">
        <v>45795</v>
      </c>
      <c r="E2529" t="s">
        <v>4129</v>
      </c>
      <c r="F2529" t="s">
        <v>4137</v>
      </c>
    </row>
    <row r="2530" spans="1:6">
      <c r="A2530" t="s">
        <v>6659</v>
      </c>
      <c r="B2530" t="s">
        <v>1156</v>
      </c>
      <c r="C2530" t="s">
        <v>53</v>
      </c>
      <c r="D2530" s="1">
        <v>45797</v>
      </c>
      <c r="E2530" t="s">
        <v>4135</v>
      </c>
      <c r="F2530" t="s">
        <v>4139</v>
      </c>
    </row>
    <row r="2531" spans="1:6">
      <c r="A2531" t="s">
        <v>6660</v>
      </c>
      <c r="B2531" t="s">
        <v>1156</v>
      </c>
      <c r="C2531" t="s">
        <v>53</v>
      </c>
      <c r="D2531" s="1">
        <v>45794</v>
      </c>
      <c r="E2531" t="s">
        <v>4129</v>
      </c>
      <c r="F2531" t="s">
        <v>4137</v>
      </c>
    </row>
    <row r="2532" spans="1:6">
      <c r="A2532" t="s">
        <v>6661</v>
      </c>
      <c r="B2532" t="s">
        <v>1156</v>
      </c>
      <c r="C2532" t="s">
        <v>53</v>
      </c>
      <c r="D2532" s="1">
        <v>45787</v>
      </c>
      <c r="E2532" t="s">
        <v>4133</v>
      </c>
      <c r="F2532" t="s">
        <v>4137</v>
      </c>
    </row>
    <row r="2533" spans="1:6">
      <c r="A2533" t="s">
        <v>6662</v>
      </c>
      <c r="B2533" t="s">
        <v>1156</v>
      </c>
      <c r="C2533" t="s">
        <v>53</v>
      </c>
      <c r="D2533" s="1">
        <v>45794</v>
      </c>
      <c r="E2533" t="s">
        <v>4133</v>
      </c>
      <c r="F2533" t="s">
        <v>4137</v>
      </c>
    </row>
    <row r="2534" spans="1:6">
      <c r="A2534" t="s">
        <v>6663</v>
      </c>
      <c r="B2534" t="s">
        <v>1157</v>
      </c>
      <c r="C2534" t="s">
        <v>53</v>
      </c>
      <c r="D2534" s="1">
        <v>46020</v>
      </c>
      <c r="E2534" t="s">
        <v>4124</v>
      </c>
      <c r="F2534" t="s">
        <v>4125</v>
      </c>
    </row>
    <row r="2535" spans="1:6">
      <c r="A2535" t="s">
        <v>6664</v>
      </c>
      <c r="B2535" t="s">
        <v>1157</v>
      </c>
      <c r="C2535" t="s">
        <v>53</v>
      </c>
      <c r="D2535" s="1">
        <v>46020</v>
      </c>
      <c r="E2535" t="s">
        <v>4127</v>
      </c>
      <c r="F2535" t="s">
        <v>4125</v>
      </c>
    </row>
    <row r="2536" spans="1:6">
      <c r="A2536" t="s">
        <v>6665</v>
      </c>
      <c r="B2536" t="s">
        <v>1157</v>
      </c>
      <c r="C2536" t="s">
        <v>53</v>
      </c>
      <c r="D2536" s="1">
        <v>46022</v>
      </c>
      <c r="E2536" t="s">
        <v>4127</v>
      </c>
      <c r="F2536" t="s">
        <v>4137</v>
      </c>
    </row>
    <row r="2537" spans="1:6">
      <c r="A2537" t="s">
        <v>6666</v>
      </c>
      <c r="B2537" t="s">
        <v>1157</v>
      </c>
      <c r="C2537" t="s">
        <v>53</v>
      </c>
      <c r="D2537" s="1">
        <v>46021</v>
      </c>
      <c r="E2537" t="s">
        <v>4129</v>
      </c>
      <c r="F2537" t="s">
        <v>4137</v>
      </c>
    </row>
    <row r="2538" spans="1:6">
      <c r="A2538" t="s">
        <v>6667</v>
      </c>
      <c r="B2538" t="s">
        <v>1157</v>
      </c>
      <c r="C2538" t="s">
        <v>53</v>
      </c>
      <c r="D2538" s="1">
        <v>46021</v>
      </c>
      <c r="E2538" t="s">
        <v>4129</v>
      </c>
      <c r="F2538" t="s">
        <v>4125</v>
      </c>
    </row>
    <row r="2539" spans="1:6">
      <c r="A2539" t="s">
        <v>6668</v>
      </c>
      <c r="B2539" t="s">
        <v>1158</v>
      </c>
      <c r="C2539" t="s">
        <v>56</v>
      </c>
      <c r="D2539" s="1">
        <v>46008</v>
      </c>
      <c r="E2539" t="s">
        <v>4124</v>
      </c>
      <c r="F2539" t="s">
        <v>4137</v>
      </c>
    </row>
    <row r="2540" spans="1:6">
      <c r="A2540" t="s">
        <v>6669</v>
      </c>
      <c r="B2540" t="s">
        <v>1158</v>
      </c>
      <c r="C2540" t="s">
        <v>56</v>
      </c>
      <c r="D2540" s="1">
        <v>45998</v>
      </c>
      <c r="E2540" t="s">
        <v>4129</v>
      </c>
      <c r="F2540" t="s">
        <v>4125</v>
      </c>
    </row>
    <row r="2541" spans="1:6">
      <c r="A2541" t="s">
        <v>6670</v>
      </c>
      <c r="B2541" t="s">
        <v>1160</v>
      </c>
      <c r="C2541" t="s">
        <v>91</v>
      </c>
      <c r="D2541" s="1">
        <v>46000</v>
      </c>
      <c r="E2541" t="s">
        <v>4135</v>
      </c>
      <c r="F2541" t="s">
        <v>4125</v>
      </c>
    </row>
    <row r="2542" spans="1:6">
      <c r="A2542" t="s">
        <v>6671</v>
      </c>
      <c r="B2542" t="s">
        <v>1160</v>
      </c>
      <c r="C2542" t="s">
        <v>91</v>
      </c>
      <c r="D2542" s="1">
        <v>45992</v>
      </c>
      <c r="E2542" t="s">
        <v>4127</v>
      </c>
      <c r="F2542" t="s">
        <v>4137</v>
      </c>
    </row>
    <row r="2543" spans="1:6">
      <c r="A2543" t="s">
        <v>6672</v>
      </c>
      <c r="B2543" t="s">
        <v>1160</v>
      </c>
      <c r="C2543" t="s">
        <v>91</v>
      </c>
      <c r="D2543" s="1">
        <v>45992</v>
      </c>
      <c r="E2543" t="s">
        <v>4127</v>
      </c>
      <c r="F2543" t="s">
        <v>4125</v>
      </c>
    </row>
    <row r="2544" spans="1:6">
      <c r="A2544" t="s">
        <v>6673</v>
      </c>
      <c r="B2544" t="s">
        <v>1160</v>
      </c>
      <c r="C2544" t="s">
        <v>91</v>
      </c>
      <c r="D2544" s="1">
        <v>46006</v>
      </c>
      <c r="E2544" t="s">
        <v>4127</v>
      </c>
      <c r="F2544" t="s">
        <v>4137</v>
      </c>
    </row>
    <row r="2545" spans="1:6">
      <c r="A2545" t="s">
        <v>6674</v>
      </c>
      <c r="B2545" t="s">
        <v>1161</v>
      </c>
      <c r="C2545" t="s">
        <v>75</v>
      </c>
      <c r="D2545" s="1">
        <v>45977</v>
      </c>
      <c r="E2545" t="s">
        <v>4124</v>
      </c>
      <c r="F2545" t="s">
        <v>4125</v>
      </c>
    </row>
    <row r="2546" spans="1:6">
      <c r="A2546" t="s">
        <v>6675</v>
      </c>
      <c r="B2546" t="s">
        <v>1161</v>
      </c>
      <c r="C2546" t="s">
        <v>75</v>
      </c>
      <c r="D2546" s="1">
        <v>45987</v>
      </c>
      <c r="E2546" t="s">
        <v>4135</v>
      </c>
      <c r="F2546" t="s">
        <v>4139</v>
      </c>
    </row>
    <row r="2547" spans="1:6">
      <c r="A2547" t="s">
        <v>6676</v>
      </c>
      <c r="B2547" t="s">
        <v>1161</v>
      </c>
      <c r="C2547" t="s">
        <v>75</v>
      </c>
      <c r="D2547" s="1">
        <v>45994</v>
      </c>
      <c r="E2547" t="s">
        <v>4127</v>
      </c>
      <c r="F2547" t="s">
        <v>4125</v>
      </c>
    </row>
    <row r="2548" spans="1:6">
      <c r="A2548" t="s">
        <v>6677</v>
      </c>
      <c r="B2548" t="s">
        <v>1161</v>
      </c>
      <c r="C2548" t="s">
        <v>75</v>
      </c>
      <c r="D2548" s="1">
        <v>45978</v>
      </c>
      <c r="E2548" t="s">
        <v>4135</v>
      </c>
      <c r="F2548" t="s">
        <v>4125</v>
      </c>
    </row>
    <row r="2549" spans="1:6">
      <c r="A2549" t="s">
        <v>6678</v>
      </c>
      <c r="B2549" t="s">
        <v>1163</v>
      </c>
      <c r="C2549" t="s">
        <v>91</v>
      </c>
      <c r="D2549" s="1">
        <v>45785</v>
      </c>
      <c r="E2549" t="s">
        <v>4129</v>
      </c>
      <c r="F2549" t="s">
        <v>4137</v>
      </c>
    </row>
    <row r="2550" spans="1:6">
      <c r="A2550" t="s">
        <v>6679</v>
      </c>
      <c r="B2550" t="s">
        <v>1163</v>
      </c>
      <c r="C2550" t="s">
        <v>91</v>
      </c>
      <c r="D2550" s="1">
        <v>45819</v>
      </c>
      <c r="E2550" t="s">
        <v>4127</v>
      </c>
      <c r="F2550" t="s">
        <v>4139</v>
      </c>
    </row>
    <row r="2551" spans="1:6">
      <c r="A2551" t="s">
        <v>6680</v>
      </c>
      <c r="B2551" t="s">
        <v>1163</v>
      </c>
      <c r="C2551" t="s">
        <v>91</v>
      </c>
      <c r="D2551" s="1">
        <v>45783</v>
      </c>
      <c r="E2551" t="s">
        <v>4129</v>
      </c>
      <c r="F2551" t="s">
        <v>4139</v>
      </c>
    </row>
    <row r="2552" spans="1:6">
      <c r="A2552" t="s">
        <v>6681</v>
      </c>
      <c r="B2552" t="s">
        <v>1163</v>
      </c>
      <c r="C2552" t="s">
        <v>91</v>
      </c>
      <c r="D2552" s="1">
        <v>45783</v>
      </c>
      <c r="E2552" t="s">
        <v>4133</v>
      </c>
      <c r="F2552" t="s">
        <v>4137</v>
      </c>
    </row>
    <row r="2553" spans="1:6">
      <c r="A2553" t="s">
        <v>6682</v>
      </c>
      <c r="B2553" t="s">
        <v>1163</v>
      </c>
      <c r="C2553" t="s">
        <v>91</v>
      </c>
      <c r="D2553" s="1">
        <v>45821</v>
      </c>
      <c r="E2553" t="s">
        <v>4124</v>
      </c>
      <c r="F2553" t="s">
        <v>4139</v>
      </c>
    </row>
    <row r="2554" spans="1:6">
      <c r="A2554" t="s">
        <v>6683</v>
      </c>
      <c r="B2554" t="s">
        <v>1165</v>
      </c>
      <c r="C2554" t="s">
        <v>40</v>
      </c>
      <c r="D2554" s="1">
        <v>45917</v>
      </c>
      <c r="E2554" t="s">
        <v>4124</v>
      </c>
      <c r="F2554" t="s">
        <v>4125</v>
      </c>
    </row>
    <row r="2555" spans="1:6">
      <c r="A2555" t="s">
        <v>6684</v>
      </c>
      <c r="B2555" t="s">
        <v>1165</v>
      </c>
      <c r="C2555" t="s">
        <v>40</v>
      </c>
      <c r="D2555" s="1">
        <v>45973</v>
      </c>
      <c r="E2555" t="s">
        <v>4129</v>
      </c>
      <c r="F2555" t="s">
        <v>4139</v>
      </c>
    </row>
    <row r="2556" spans="1:6">
      <c r="A2556" t="s">
        <v>6685</v>
      </c>
      <c r="B2556" t="s">
        <v>1165</v>
      </c>
      <c r="C2556" t="s">
        <v>40</v>
      </c>
      <c r="D2556" s="1">
        <v>45971</v>
      </c>
      <c r="E2556" t="s">
        <v>4124</v>
      </c>
      <c r="F2556" t="s">
        <v>4137</v>
      </c>
    </row>
    <row r="2557" spans="1:6">
      <c r="A2557" t="s">
        <v>6686</v>
      </c>
      <c r="B2557" t="s">
        <v>1165</v>
      </c>
      <c r="C2557" t="s">
        <v>40</v>
      </c>
      <c r="D2557" s="1">
        <v>45951</v>
      </c>
      <c r="E2557" t="s">
        <v>4133</v>
      </c>
      <c r="F2557" t="s">
        <v>4139</v>
      </c>
    </row>
    <row r="2558" spans="1:6">
      <c r="A2558" t="s">
        <v>6687</v>
      </c>
      <c r="B2558" t="s">
        <v>1166</v>
      </c>
      <c r="C2558" t="s">
        <v>16</v>
      </c>
      <c r="D2558" s="1">
        <v>45688</v>
      </c>
      <c r="E2558" t="s">
        <v>4124</v>
      </c>
      <c r="F2558" t="s">
        <v>4139</v>
      </c>
    </row>
    <row r="2559" spans="1:6">
      <c r="A2559" t="s">
        <v>6688</v>
      </c>
      <c r="B2559" t="s">
        <v>1166</v>
      </c>
      <c r="C2559" t="s">
        <v>16</v>
      </c>
      <c r="D2559" s="1">
        <v>45686</v>
      </c>
      <c r="E2559" t="s">
        <v>4129</v>
      </c>
      <c r="F2559" t="s">
        <v>4139</v>
      </c>
    </row>
    <row r="2560" spans="1:6">
      <c r="A2560" t="s">
        <v>6689</v>
      </c>
      <c r="B2560" t="s">
        <v>1166</v>
      </c>
      <c r="C2560" t="s">
        <v>16</v>
      </c>
      <c r="D2560" s="1">
        <v>45685</v>
      </c>
      <c r="E2560" t="s">
        <v>4133</v>
      </c>
      <c r="F2560" t="s">
        <v>4137</v>
      </c>
    </row>
    <row r="2561" spans="1:6">
      <c r="A2561" t="s">
        <v>6690</v>
      </c>
      <c r="B2561" t="s">
        <v>1168</v>
      </c>
      <c r="C2561" t="s">
        <v>152</v>
      </c>
      <c r="D2561" s="1">
        <v>45818</v>
      </c>
      <c r="E2561" t="s">
        <v>4135</v>
      </c>
      <c r="F2561" t="s">
        <v>4139</v>
      </c>
    </row>
    <row r="2562" spans="1:6">
      <c r="A2562" t="s">
        <v>6691</v>
      </c>
      <c r="B2562" t="s">
        <v>1168</v>
      </c>
      <c r="C2562" t="s">
        <v>152</v>
      </c>
      <c r="D2562" s="1">
        <v>45838</v>
      </c>
      <c r="E2562" t="s">
        <v>4129</v>
      </c>
      <c r="F2562" t="s">
        <v>4137</v>
      </c>
    </row>
    <row r="2563" spans="1:6">
      <c r="A2563" t="s">
        <v>6692</v>
      </c>
      <c r="B2563" t="s">
        <v>1168</v>
      </c>
      <c r="C2563" t="s">
        <v>152</v>
      </c>
      <c r="D2563" s="1">
        <v>45817</v>
      </c>
      <c r="E2563" t="s">
        <v>4135</v>
      </c>
      <c r="F2563" t="s">
        <v>4137</v>
      </c>
    </row>
    <row r="2564" spans="1:6">
      <c r="A2564" t="s">
        <v>6693</v>
      </c>
      <c r="B2564" t="s">
        <v>1168</v>
      </c>
      <c r="C2564" t="s">
        <v>152</v>
      </c>
      <c r="D2564" s="1">
        <v>45816</v>
      </c>
      <c r="E2564" t="s">
        <v>4129</v>
      </c>
      <c r="F2564" t="s">
        <v>4125</v>
      </c>
    </row>
    <row r="2565" spans="1:6">
      <c r="A2565" t="s">
        <v>6694</v>
      </c>
      <c r="B2565" t="s">
        <v>1170</v>
      </c>
      <c r="C2565" t="s">
        <v>46</v>
      </c>
      <c r="D2565" s="1">
        <v>45964</v>
      </c>
      <c r="E2565" t="s">
        <v>4135</v>
      </c>
      <c r="F2565" t="s">
        <v>4137</v>
      </c>
    </row>
    <row r="2566" spans="1:6">
      <c r="A2566" t="s">
        <v>6695</v>
      </c>
      <c r="B2566" t="s">
        <v>1170</v>
      </c>
      <c r="C2566" t="s">
        <v>46</v>
      </c>
      <c r="D2566" s="1">
        <v>45989</v>
      </c>
      <c r="E2566" t="s">
        <v>4135</v>
      </c>
      <c r="F2566" t="s">
        <v>4139</v>
      </c>
    </row>
    <row r="2567" spans="1:6">
      <c r="A2567" t="s">
        <v>6696</v>
      </c>
      <c r="B2567" t="s">
        <v>1170</v>
      </c>
      <c r="C2567" t="s">
        <v>46</v>
      </c>
      <c r="D2567" s="1">
        <v>45964</v>
      </c>
      <c r="E2567" t="s">
        <v>4127</v>
      </c>
      <c r="F2567" t="s">
        <v>4139</v>
      </c>
    </row>
    <row r="2568" spans="1:6">
      <c r="A2568" t="s">
        <v>6697</v>
      </c>
      <c r="B2568" t="s">
        <v>1170</v>
      </c>
      <c r="C2568" t="s">
        <v>46</v>
      </c>
      <c r="D2568" s="1">
        <v>45950</v>
      </c>
      <c r="E2568" t="s">
        <v>4135</v>
      </c>
      <c r="F2568" t="s">
        <v>4125</v>
      </c>
    </row>
    <row r="2569" spans="1:6">
      <c r="A2569" t="s">
        <v>6698</v>
      </c>
      <c r="B2569" t="s">
        <v>1170</v>
      </c>
      <c r="C2569" t="s">
        <v>46</v>
      </c>
      <c r="D2569" s="1">
        <v>45969</v>
      </c>
      <c r="E2569" t="s">
        <v>4124</v>
      </c>
      <c r="F2569" t="s">
        <v>4125</v>
      </c>
    </row>
    <row r="2570" spans="1:6">
      <c r="A2570" t="s">
        <v>6699</v>
      </c>
      <c r="B2570" t="s">
        <v>1171</v>
      </c>
      <c r="C2570" t="s">
        <v>22</v>
      </c>
      <c r="D2570" s="1">
        <v>45890</v>
      </c>
      <c r="E2570" t="s">
        <v>4124</v>
      </c>
      <c r="F2570" t="s">
        <v>4125</v>
      </c>
    </row>
    <row r="2571" spans="1:6">
      <c r="A2571" t="s">
        <v>6700</v>
      </c>
      <c r="B2571" t="s">
        <v>1171</v>
      </c>
      <c r="C2571" t="s">
        <v>22</v>
      </c>
      <c r="D2571" s="1">
        <v>45898</v>
      </c>
      <c r="E2571" t="s">
        <v>4133</v>
      </c>
      <c r="F2571" t="s">
        <v>4125</v>
      </c>
    </row>
    <row r="2572" spans="1:6">
      <c r="A2572" t="s">
        <v>6701</v>
      </c>
      <c r="B2572" t="s">
        <v>1171</v>
      </c>
      <c r="C2572" t="s">
        <v>22</v>
      </c>
      <c r="D2572" s="1">
        <v>45894</v>
      </c>
      <c r="E2572" t="s">
        <v>4135</v>
      </c>
      <c r="F2572" t="s">
        <v>4125</v>
      </c>
    </row>
    <row r="2573" spans="1:6">
      <c r="A2573" t="s">
        <v>6702</v>
      </c>
      <c r="B2573" t="s">
        <v>1171</v>
      </c>
      <c r="C2573" t="s">
        <v>22</v>
      </c>
      <c r="D2573" s="1">
        <v>45901</v>
      </c>
      <c r="E2573" t="s">
        <v>4124</v>
      </c>
      <c r="F2573" t="s">
        <v>4125</v>
      </c>
    </row>
    <row r="2574" spans="1:6">
      <c r="A2574" t="s">
        <v>6703</v>
      </c>
      <c r="B2574" t="s">
        <v>1171</v>
      </c>
      <c r="C2574" t="s">
        <v>22</v>
      </c>
      <c r="D2574" s="1">
        <v>45896</v>
      </c>
      <c r="E2574" t="s">
        <v>4127</v>
      </c>
      <c r="F2574" t="s">
        <v>4139</v>
      </c>
    </row>
    <row r="2575" spans="1:6">
      <c r="A2575" t="s">
        <v>6704</v>
      </c>
      <c r="B2575" t="s">
        <v>1172</v>
      </c>
      <c r="C2575" t="s">
        <v>63</v>
      </c>
      <c r="D2575" s="1">
        <v>45932</v>
      </c>
      <c r="E2575" t="s">
        <v>4124</v>
      </c>
      <c r="F2575" t="s">
        <v>4139</v>
      </c>
    </row>
    <row r="2576" spans="1:6">
      <c r="A2576" t="s">
        <v>6705</v>
      </c>
      <c r="B2576" t="s">
        <v>1172</v>
      </c>
      <c r="C2576" t="s">
        <v>63</v>
      </c>
      <c r="D2576" s="1">
        <v>45907</v>
      </c>
      <c r="E2576" t="s">
        <v>4135</v>
      </c>
      <c r="F2576" t="s">
        <v>4139</v>
      </c>
    </row>
    <row r="2577" spans="1:6">
      <c r="A2577" t="s">
        <v>6706</v>
      </c>
      <c r="B2577" t="s">
        <v>1174</v>
      </c>
      <c r="C2577" t="s">
        <v>36</v>
      </c>
      <c r="D2577" s="1">
        <v>45841</v>
      </c>
      <c r="E2577" t="s">
        <v>4129</v>
      </c>
      <c r="F2577" t="s">
        <v>4139</v>
      </c>
    </row>
    <row r="2578" spans="1:6">
      <c r="A2578" t="s">
        <v>6707</v>
      </c>
      <c r="B2578" t="s">
        <v>1174</v>
      </c>
      <c r="C2578" t="s">
        <v>36</v>
      </c>
      <c r="D2578" s="1">
        <v>45839</v>
      </c>
      <c r="E2578" t="s">
        <v>4133</v>
      </c>
      <c r="F2578" t="s">
        <v>4137</v>
      </c>
    </row>
    <row r="2579" spans="1:6">
      <c r="A2579" t="s">
        <v>6708</v>
      </c>
      <c r="B2579" t="s">
        <v>1175</v>
      </c>
      <c r="C2579" t="s">
        <v>59</v>
      </c>
      <c r="D2579" s="1">
        <v>45977</v>
      </c>
      <c r="E2579" t="s">
        <v>4133</v>
      </c>
      <c r="F2579" t="s">
        <v>4137</v>
      </c>
    </row>
    <row r="2580" spans="1:6">
      <c r="A2580" t="s">
        <v>6709</v>
      </c>
      <c r="B2580" t="s">
        <v>1175</v>
      </c>
      <c r="C2580" t="s">
        <v>59</v>
      </c>
      <c r="D2580" s="1">
        <v>45966</v>
      </c>
      <c r="E2580" t="s">
        <v>4127</v>
      </c>
      <c r="F2580" t="s">
        <v>4139</v>
      </c>
    </row>
    <row r="2581" spans="1:6">
      <c r="A2581" t="s">
        <v>6710</v>
      </c>
      <c r="B2581" t="s">
        <v>1175</v>
      </c>
      <c r="C2581" t="s">
        <v>59</v>
      </c>
      <c r="D2581" s="1">
        <v>45967</v>
      </c>
      <c r="E2581" t="s">
        <v>4127</v>
      </c>
      <c r="F2581" t="s">
        <v>4137</v>
      </c>
    </row>
    <row r="2582" spans="1:6">
      <c r="A2582" t="s">
        <v>6711</v>
      </c>
      <c r="B2582" t="s">
        <v>1175</v>
      </c>
      <c r="C2582" t="s">
        <v>59</v>
      </c>
      <c r="D2582" s="1">
        <v>45980</v>
      </c>
      <c r="E2582" t="s">
        <v>4135</v>
      </c>
      <c r="F2582" t="s">
        <v>4139</v>
      </c>
    </row>
    <row r="2583" spans="1:6">
      <c r="A2583" t="s">
        <v>6712</v>
      </c>
      <c r="B2583" t="s">
        <v>1175</v>
      </c>
      <c r="C2583" t="s">
        <v>59</v>
      </c>
      <c r="D2583" s="1">
        <v>45964</v>
      </c>
      <c r="E2583" t="s">
        <v>4129</v>
      </c>
      <c r="F2583" t="s">
        <v>4125</v>
      </c>
    </row>
    <row r="2584" spans="1:6">
      <c r="A2584" t="s">
        <v>6713</v>
      </c>
      <c r="B2584" t="s">
        <v>1176</v>
      </c>
      <c r="C2584" t="s">
        <v>56</v>
      </c>
      <c r="D2584" s="1">
        <v>45803</v>
      </c>
      <c r="E2584" t="s">
        <v>4135</v>
      </c>
      <c r="F2584" t="s">
        <v>4139</v>
      </c>
    </row>
    <row r="2585" spans="1:6">
      <c r="A2585" t="s">
        <v>6714</v>
      </c>
      <c r="B2585" t="s">
        <v>1176</v>
      </c>
      <c r="C2585" t="s">
        <v>56</v>
      </c>
      <c r="D2585" s="1">
        <v>45797</v>
      </c>
      <c r="E2585" t="s">
        <v>4129</v>
      </c>
      <c r="F2585" t="s">
        <v>4139</v>
      </c>
    </row>
    <row r="2586" spans="1:6">
      <c r="A2586" t="s">
        <v>6715</v>
      </c>
      <c r="B2586" t="s">
        <v>1177</v>
      </c>
      <c r="C2586" t="s">
        <v>119</v>
      </c>
      <c r="D2586" s="1">
        <v>45814</v>
      </c>
      <c r="E2586" t="s">
        <v>4127</v>
      </c>
      <c r="F2586" t="s">
        <v>4139</v>
      </c>
    </row>
    <row r="2587" spans="1:6">
      <c r="A2587" t="s">
        <v>6716</v>
      </c>
      <c r="B2587" t="s">
        <v>1177</v>
      </c>
      <c r="C2587" t="s">
        <v>119</v>
      </c>
      <c r="D2587" s="1">
        <v>45821</v>
      </c>
      <c r="E2587" t="s">
        <v>4133</v>
      </c>
      <c r="F2587" t="s">
        <v>4139</v>
      </c>
    </row>
    <row r="2588" spans="1:6">
      <c r="A2588" t="s">
        <v>6717</v>
      </c>
      <c r="B2588" t="s">
        <v>1177</v>
      </c>
      <c r="C2588" t="s">
        <v>119</v>
      </c>
      <c r="D2588" s="1">
        <v>45793</v>
      </c>
      <c r="E2588" t="s">
        <v>4129</v>
      </c>
      <c r="F2588" t="s">
        <v>4139</v>
      </c>
    </row>
    <row r="2589" spans="1:6">
      <c r="A2589" t="s">
        <v>6718</v>
      </c>
      <c r="B2589" t="s">
        <v>1178</v>
      </c>
      <c r="C2589" t="s">
        <v>75</v>
      </c>
      <c r="D2589" s="1">
        <v>45809</v>
      </c>
      <c r="E2589" t="s">
        <v>4133</v>
      </c>
      <c r="F2589" t="s">
        <v>4137</v>
      </c>
    </row>
    <row r="2590" spans="1:6">
      <c r="A2590" t="s">
        <v>6719</v>
      </c>
      <c r="B2590" t="s">
        <v>1178</v>
      </c>
      <c r="C2590" t="s">
        <v>75</v>
      </c>
      <c r="D2590" s="1">
        <v>45857</v>
      </c>
      <c r="E2590" t="s">
        <v>4135</v>
      </c>
      <c r="F2590" t="s">
        <v>4125</v>
      </c>
    </row>
    <row r="2591" spans="1:6">
      <c r="A2591" t="s">
        <v>6720</v>
      </c>
      <c r="B2591" t="s">
        <v>1179</v>
      </c>
      <c r="C2591" t="s">
        <v>56</v>
      </c>
      <c r="D2591" s="1">
        <v>45851</v>
      </c>
      <c r="E2591" t="s">
        <v>4127</v>
      </c>
      <c r="F2591" t="s">
        <v>4125</v>
      </c>
    </row>
    <row r="2592" spans="1:6">
      <c r="A2592" t="s">
        <v>6721</v>
      </c>
      <c r="B2592" t="s">
        <v>1179</v>
      </c>
      <c r="C2592" t="s">
        <v>56</v>
      </c>
      <c r="D2592" s="1">
        <v>45872</v>
      </c>
      <c r="E2592" t="s">
        <v>4133</v>
      </c>
      <c r="F2592" t="s">
        <v>4125</v>
      </c>
    </row>
    <row r="2593" spans="1:6">
      <c r="A2593" t="s">
        <v>6722</v>
      </c>
      <c r="B2593" t="s">
        <v>1179</v>
      </c>
      <c r="C2593" t="s">
        <v>56</v>
      </c>
      <c r="D2593" s="1">
        <v>45862</v>
      </c>
      <c r="E2593" t="s">
        <v>4133</v>
      </c>
      <c r="F2593" t="s">
        <v>4137</v>
      </c>
    </row>
    <row r="2594" spans="1:6">
      <c r="A2594" t="s">
        <v>6723</v>
      </c>
      <c r="B2594" t="s">
        <v>1179</v>
      </c>
      <c r="C2594" t="s">
        <v>56</v>
      </c>
      <c r="D2594" s="1">
        <v>45850</v>
      </c>
      <c r="E2594" t="s">
        <v>4135</v>
      </c>
      <c r="F2594" t="s">
        <v>4139</v>
      </c>
    </row>
    <row r="2595" spans="1:6">
      <c r="A2595" t="s">
        <v>6724</v>
      </c>
      <c r="B2595" t="s">
        <v>1180</v>
      </c>
      <c r="C2595" t="s">
        <v>75</v>
      </c>
      <c r="D2595" s="1">
        <v>45810</v>
      </c>
      <c r="E2595" t="s">
        <v>4135</v>
      </c>
      <c r="F2595" t="s">
        <v>4125</v>
      </c>
    </row>
    <row r="2596" spans="1:6">
      <c r="A2596" t="s">
        <v>6725</v>
      </c>
      <c r="B2596" t="s">
        <v>1180</v>
      </c>
      <c r="C2596" t="s">
        <v>75</v>
      </c>
      <c r="D2596" s="1">
        <v>45788</v>
      </c>
      <c r="E2596" t="s">
        <v>4135</v>
      </c>
      <c r="F2596" t="s">
        <v>4139</v>
      </c>
    </row>
    <row r="2597" spans="1:6">
      <c r="A2597" t="s">
        <v>6726</v>
      </c>
      <c r="B2597" t="s">
        <v>1180</v>
      </c>
      <c r="C2597" t="s">
        <v>75</v>
      </c>
      <c r="D2597" s="1">
        <v>45821</v>
      </c>
      <c r="E2597" t="s">
        <v>4129</v>
      </c>
      <c r="F2597" t="s">
        <v>4139</v>
      </c>
    </row>
    <row r="2598" spans="1:6">
      <c r="A2598" t="s">
        <v>6727</v>
      </c>
      <c r="B2598" t="s">
        <v>1181</v>
      </c>
      <c r="C2598" t="s">
        <v>78</v>
      </c>
      <c r="D2598" s="1">
        <v>45724</v>
      </c>
      <c r="E2598" t="s">
        <v>4127</v>
      </c>
      <c r="F2598" t="s">
        <v>4125</v>
      </c>
    </row>
    <row r="2599" spans="1:6">
      <c r="A2599" t="s">
        <v>6728</v>
      </c>
      <c r="B2599" t="s">
        <v>1181</v>
      </c>
      <c r="C2599" t="s">
        <v>78</v>
      </c>
      <c r="D2599" s="1">
        <v>45731</v>
      </c>
      <c r="E2599" t="s">
        <v>4124</v>
      </c>
      <c r="F2599" t="s">
        <v>4137</v>
      </c>
    </row>
    <row r="2600" spans="1:6">
      <c r="A2600" t="s">
        <v>6729</v>
      </c>
      <c r="B2600" t="s">
        <v>1181</v>
      </c>
      <c r="C2600" t="s">
        <v>78</v>
      </c>
      <c r="D2600" s="1">
        <v>45725</v>
      </c>
      <c r="E2600" t="s">
        <v>4124</v>
      </c>
      <c r="F2600" t="s">
        <v>4139</v>
      </c>
    </row>
    <row r="2601" spans="1:6">
      <c r="A2601" t="s">
        <v>6730</v>
      </c>
      <c r="B2601" t="s">
        <v>1181</v>
      </c>
      <c r="C2601" t="s">
        <v>78</v>
      </c>
      <c r="D2601" s="1">
        <v>45722</v>
      </c>
      <c r="E2601" t="s">
        <v>4124</v>
      </c>
      <c r="F2601" t="s">
        <v>4139</v>
      </c>
    </row>
    <row r="2602" spans="1:6">
      <c r="A2602" t="s">
        <v>6731</v>
      </c>
      <c r="B2602" t="s">
        <v>1181</v>
      </c>
      <c r="C2602" t="s">
        <v>78</v>
      </c>
      <c r="D2602" s="1">
        <v>45662</v>
      </c>
      <c r="E2602" t="s">
        <v>4135</v>
      </c>
      <c r="F2602" t="s">
        <v>4139</v>
      </c>
    </row>
    <row r="2603" spans="1:6">
      <c r="A2603" t="s">
        <v>6732</v>
      </c>
      <c r="B2603" t="s">
        <v>1182</v>
      </c>
      <c r="C2603" t="s">
        <v>91</v>
      </c>
      <c r="D2603" s="1">
        <v>45737</v>
      </c>
      <c r="E2603" t="s">
        <v>4124</v>
      </c>
      <c r="F2603" t="s">
        <v>4139</v>
      </c>
    </row>
    <row r="2604" spans="1:6">
      <c r="A2604" t="s">
        <v>6733</v>
      </c>
      <c r="B2604" t="s">
        <v>1182</v>
      </c>
      <c r="C2604" t="s">
        <v>91</v>
      </c>
      <c r="D2604" s="1">
        <v>45765</v>
      </c>
      <c r="E2604" t="s">
        <v>4133</v>
      </c>
      <c r="F2604" t="s">
        <v>4139</v>
      </c>
    </row>
    <row r="2605" spans="1:6">
      <c r="A2605" t="s">
        <v>6734</v>
      </c>
      <c r="B2605" t="s">
        <v>1183</v>
      </c>
      <c r="C2605" t="s">
        <v>126</v>
      </c>
      <c r="D2605" s="1">
        <v>45888</v>
      </c>
      <c r="E2605" t="s">
        <v>4135</v>
      </c>
      <c r="F2605" t="s">
        <v>4137</v>
      </c>
    </row>
    <row r="2606" spans="1:6">
      <c r="A2606" t="s">
        <v>6735</v>
      </c>
      <c r="B2606" t="s">
        <v>1183</v>
      </c>
      <c r="C2606" t="s">
        <v>126</v>
      </c>
      <c r="D2606" s="1">
        <v>45896</v>
      </c>
      <c r="E2606" t="s">
        <v>4124</v>
      </c>
      <c r="F2606" t="s">
        <v>4137</v>
      </c>
    </row>
    <row r="2607" spans="1:6">
      <c r="A2607" t="s">
        <v>6736</v>
      </c>
      <c r="B2607" t="s">
        <v>1183</v>
      </c>
      <c r="C2607" t="s">
        <v>126</v>
      </c>
      <c r="D2607" s="1">
        <v>45902</v>
      </c>
      <c r="E2607" t="s">
        <v>4124</v>
      </c>
      <c r="F2607" t="s">
        <v>4137</v>
      </c>
    </row>
    <row r="2608" spans="1:6">
      <c r="A2608" t="s">
        <v>6737</v>
      </c>
      <c r="B2608" t="s">
        <v>1185</v>
      </c>
      <c r="C2608" t="s">
        <v>22</v>
      </c>
      <c r="D2608" s="1">
        <v>45724</v>
      </c>
      <c r="E2608" t="s">
        <v>4127</v>
      </c>
      <c r="F2608" t="s">
        <v>4137</v>
      </c>
    </row>
    <row r="2609" spans="1:6">
      <c r="A2609" t="s">
        <v>6738</v>
      </c>
      <c r="B2609" t="s">
        <v>1185</v>
      </c>
      <c r="C2609" t="s">
        <v>22</v>
      </c>
      <c r="D2609" s="1">
        <v>45730</v>
      </c>
      <c r="E2609" t="s">
        <v>4124</v>
      </c>
      <c r="F2609" t="s">
        <v>4139</v>
      </c>
    </row>
    <row r="2610" spans="1:6">
      <c r="A2610" t="s">
        <v>6739</v>
      </c>
      <c r="B2610" t="s">
        <v>1185</v>
      </c>
      <c r="C2610" t="s">
        <v>22</v>
      </c>
      <c r="D2610" s="1">
        <v>45733</v>
      </c>
      <c r="E2610" t="s">
        <v>4127</v>
      </c>
      <c r="F2610" t="s">
        <v>4137</v>
      </c>
    </row>
    <row r="2611" spans="1:6">
      <c r="A2611" t="s">
        <v>6740</v>
      </c>
      <c r="B2611" t="s">
        <v>1185</v>
      </c>
      <c r="C2611" t="s">
        <v>22</v>
      </c>
      <c r="D2611" s="1">
        <v>45737</v>
      </c>
      <c r="E2611" t="s">
        <v>4129</v>
      </c>
      <c r="F2611" t="s">
        <v>4125</v>
      </c>
    </row>
    <row r="2612" spans="1:6">
      <c r="A2612" t="s">
        <v>6741</v>
      </c>
      <c r="B2612" t="s">
        <v>1186</v>
      </c>
      <c r="C2612" t="s">
        <v>22</v>
      </c>
      <c r="D2612" s="1">
        <v>45701</v>
      </c>
      <c r="E2612" t="s">
        <v>4129</v>
      </c>
      <c r="F2612" t="s">
        <v>4137</v>
      </c>
    </row>
    <row r="2613" spans="1:6">
      <c r="A2613" t="s">
        <v>6742</v>
      </c>
      <c r="B2613" t="s">
        <v>1186</v>
      </c>
      <c r="C2613" t="s">
        <v>22</v>
      </c>
      <c r="D2613" s="1">
        <v>45695</v>
      </c>
      <c r="E2613" t="s">
        <v>4133</v>
      </c>
      <c r="F2613" t="s">
        <v>4125</v>
      </c>
    </row>
    <row r="2614" spans="1:6">
      <c r="A2614" t="s">
        <v>6743</v>
      </c>
      <c r="B2614" t="s">
        <v>1187</v>
      </c>
      <c r="C2614" t="s">
        <v>119</v>
      </c>
      <c r="D2614" s="1">
        <v>45887</v>
      </c>
      <c r="E2614" t="s">
        <v>4127</v>
      </c>
      <c r="F2614" t="s">
        <v>4137</v>
      </c>
    </row>
    <row r="2615" spans="1:6">
      <c r="A2615" t="s">
        <v>6744</v>
      </c>
      <c r="B2615" t="s">
        <v>1187</v>
      </c>
      <c r="C2615" t="s">
        <v>119</v>
      </c>
      <c r="D2615" s="1">
        <v>45871</v>
      </c>
      <c r="E2615" t="s">
        <v>4133</v>
      </c>
      <c r="F2615" t="s">
        <v>4125</v>
      </c>
    </row>
    <row r="2616" spans="1:6">
      <c r="A2616" t="s">
        <v>6745</v>
      </c>
      <c r="B2616" t="s">
        <v>1187</v>
      </c>
      <c r="C2616" t="s">
        <v>119</v>
      </c>
      <c r="D2616" s="1">
        <v>45885</v>
      </c>
      <c r="E2616" t="s">
        <v>4133</v>
      </c>
      <c r="F2616" t="s">
        <v>4137</v>
      </c>
    </row>
    <row r="2617" spans="1:6">
      <c r="A2617" t="s">
        <v>6746</v>
      </c>
      <c r="B2617" t="s">
        <v>1187</v>
      </c>
      <c r="C2617" t="s">
        <v>119</v>
      </c>
      <c r="D2617" s="1">
        <v>45896</v>
      </c>
      <c r="E2617" t="s">
        <v>4124</v>
      </c>
      <c r="F2617" t="s">
        <v>4137</v>
      </c>
    </row>
    <row r="2618" spans="1:6">
      <c r="A2618" t="s">
        <v>6747</v>
      </c>
      <c r="B2618" t="s">
        <v>1188</v>
      </c>
      <c r="C2618" t="s">
        <v>27</v>
      </c>
      <c r="D2618" s="1">
        <v>46009</v>
      </c>
      <c r="E2618" t="s">
        <v>4124</v>
      </c>
      <c r="F2618" t="s">
        <v>4125</v>
      </c>
    </row>
    <row r="2619" spans="1:6">
      <c r="A2619" t="s">
        <v>6748</v>
      </c>
      <c r="B2619" t="s">
        <v>1188</v>
      </c>
      <c r="C2619" t="s">
        <v>27</v>
      </c>
      <c r="D2619" s="1">
        <v>46022</v>
      </c>
      <c r="E2619" t="s">
        <v>4127</v>
      </c>
      <c r="F2619" t="s">
        <v>4139</v>
      </c>
    </row>
    <row r="2620" spans="1:6">
      <c r="A2620" t="s">
        <v>6749</v>
      </c>
      <c r="B2620" t="s">
        <v>1188</v>
      </c>
      <c r="C2620" t="s">
        <v>27</v>
      </c>
      <c r="D2620" s="1">
        <v>46003</v>
      </c>
      <c r="E2620" t="s">
        <v>4135</v>
      </c>
      <c r="F2620" t="s">
        <v>4139</v>
      </c>
    </row>
    <row r="2621" spans="1:6">
      <c r="A2621" t="s">
        <v>6750</v>
      </c>
      <c r="B2621" t="s">
        <v>1188</v>
      </c>
      <c r="C2621" t="s">
        <v>27</v>
      </c>
      <c r="D2621" s="1">
        <v>46018</v>
      </c>
      <c r="E2621" t="s">
        <v>4124</v>
      </c>
      <c r="F2621" t="s">
        <v>4137</v>
      </c>
    </row>
    <row r="2622" spans="1:6">
      <c r="A2622" t="s">
        <v>6751</v>
      </c>
      <c r="B2622" t="s">
        <v>1188</v>
      </c>
      <c r="C2622" t="s">
        <v>27</v>
      </c>
      <c r="D2622" s="1">
        <v>46011</v>
      </c>
      <c r="E2622" t="s">
        <v>4135</v>
      </c>
      <c r="F2622" t="s">
        <v>4139</v>
      </c>
    </row>
    <row r="2623" spans="1:6">
      <c r="A2623" t="s">
        <v>6752</v>
      </c>
      <c r="B2623" t="s">
        <v>1189</v>
      </c>
      <c r="C2623" t="s">
        <v>70</v>
      </c>
      <c r="D2623" s="1">
        <v>45796</v>
      </c>
      <c r="E2623" t="s">
        <v>4129</v>
      </c>
      <c r="F2623" t="s">
        <v>4137</v>
      </c>
    </row>
    <row r="2624" spans="1:6">
      <c r="A2624" t="s">
        <v>6753</v>
      </c>
      <c r="B2624" t="s">
        <v>1189</v>
      </c>
      <c r="C2624" t="s">
        <v>70</v>
      </c>
      <c r="D2624" s="1">
        <v>45752</v>
      </c>
      <c r="E2624" t="s">
        <v>4133</v>
      </c>
      <c r="F2624" t="s">
        <v>4139</v>
      </c>
    </row>
    <row r="2625" spans="1:6">
      <c r="A2625" t="s">
        <v>6754</v>
      </c>
      <c r="B2625" t="s">
        <v>1189</v>
      </c>
      <c r="C2625" t="s">
        <v>70</v>
      </c>
      <c r="D2625" s="1">
        <v>45746</v>
      </c>
      <c r="E2625" t="s">
        <v>4133</v>
      </c>
      <c r="F2625" t="s">
        <v>4137</v>
      </c>
    </row>
    <row r="2626" spans="1:6">
      <c r="A2626" t="s">
        <v>6755</v>
      </c>
      <c r="B2626" t="s">
        <v>1189</v>
      </c>
      <c r="C2626" t="s">
        <v>70</v>
      </c>
      <c r="D2626" s="1">
        <v>45787</v>
      </c>
      <c r="E2626" t="s">
        <v>4133</v>
      </c>
      <c r="F2626" t="s">
        <v>4139</v>
      </c>
    </row>
    <row r="2627" spans="1:6">
      <c r="A2627" t="s">
        <v>6756</v>
      </c>
      <c r="B2627" t="s">
        <v>1189</v>
      </c>
      <c r="C2627" t="s">
        <v>70</v>
      </c>
      <c r="D2627" s="1">
        <v>45785</v>
      </c>
      <c r="E2627" t="s">
        <v>4135</v>
      </c>
      <c r="F2627" t="s">
        <v>4125</v>
      </c>
    </row>
    <row r="2628" spans="1:6">
      <c r="A2628" t="s">
        <v>6757</v>
      </c>
      <c r="B2628" t="s">
        <v>1190</v>
      </c>
      <c r="C2628" t="s">
        <v>70</v>
      </c>
      <c r="D2628" s="1">
        <v>46018</v>
      </c>
      <c r="E2628" t="s">
        <v>4129</v>
      </c>
      <c r="F2628" t="s">
        <v>4125</v>
      </c>
    </row>
    <row r="2629" spans="1:6">
      <c r="A2629" t="s">
        <v>6758</v>
      </c>
      <c r="B2629" t="s">
        <v>1190</v>
      </c>
      <c r="C2629" t="s">
        <v>70</v>
      </c>
      <c r="D2629" s="1">
        <v>46010</v>
      </c>
      <c r="E2629" t="s">
        <v>4127</v>
      </c>
      <c r="F2629" t="s">
        <v>4125</v>
      </c>
    </row>
    <row r="2630" spans="1:6">
      <c r="A2630" t="s">
        <v>6759</v>
      </c>
      <c r="B2630" t="s">
        <v>1190</v>
      </c>
      <c r="C2630" t="s">
        <v>70</v>
      </c>
      <c r="D2630" s="1">
        <v>46004</v>
      </c>
      <c r="E2630" t="s">
        <v>4129</v>
      </c>
      <c r="F2630" t="s">
        <v>4125</v>
      </c>
    </row>
    <row r="2631" spans="1:6">
      <c r="A2631" t="s">
        <v>6760</v>
      </c>
      <c r="B2631" t="s">
        <v>1190</v>
      </c>
      <c r="C2631" t="s">
        <v>70</v>
      </c>
      <c r="D2631" s="1">
        <v>46021</v>
      </c>
      <c r="E2631" t="s">
        <v>4127</v>
      </c>
      <c r="F2631" t="s">
        <v>4125</v>
      </c>
    </row>
    <row r="2632" spans="1:6">
      <c r="A2632" t="s">
        <v>6761</v>
      </c>
      <c r="B2632" t="s">
        <v>1191</v>
      </c>
      <c r="C2632" t="s">
        <v>168</v>
      </c>
      <c r="D2632" s="1">
        <v>45672</v>
      </c>
      <c r="E2632" t="s">
        <v>4129</v>
      </c>
      <c r="F2632" t="s">
        <v>4137</v>
      </c>
    </row>
    <row r="2633" spans="1:6">
      <c r="A2633" t="s">
        <v>6762</v>
      </c>
      <c r="B2633" t="s">
        <v>1191</v>
      </c>
      <c r="C2633" t="s">
        <v>168</v>
      </c>
      <c r="D2633" s="1">
        <v>45685</v>
      </c>
      <c r="E2633" t="s">
        <v>4133</v>
      </c>
      <c r="F2633" t="s">
        <v>4139</v>
      </c>
    </row>
    <row r="2634" spans="1:6">
      <c r="A2634" t="s">
        <v>6763</v>
      </c>
      <c r="B2634" t="s">
        <v>1191</v>
      </c>
      <c r="C2634" t="s">
        <v>168</v>
      </c>
      <c r="D2634" s="1">
        <v>45704</v>
      </c>
      <c r="E2634" t="s">
        <v>4135</v>
      </c>
      <c r="F2634" t="s">
        <v>4139</v>
      </c>
    </row>
    <row r="2635" spans="1:6">
      <c r="A2635" t="s">
        <v>6764</v>
      </c>
      <c r="B2635" t="s">
        <v>1191</v>
      </c>
      <c r="C2635" t="s">
        <v>168</v>
      </c>
      <c r="D2635" s="1">
        <v>45684</v>
      </c>
      <c r="E2635" t="s">
        <v>4124</v>
      </c>
      <c r="F2635" t="s">
        <v>4139</v>
      </c>
    </row>
    <row r="2636" spans="1:6">
      <c r="A2636" t="s">
        <v>6765</v>
      </c>
      <c r="B2636" t="s">
        <v>1191</v>
      </c>
      <c r="C2636" t="s">
        <v>168</v>
      </c>
      <c r="D2636" s="1">
        <v>45675</v>
      </c>
      <c r="E2636" t="s">
        <v>4129</v>
      </c>
      <c r="F2636" t="s">
        <v>4125</v>
      </c>
    </row>
    <row r="2637" spans="1:6">
      <c r="A2637" t="s">
        <v>6766</v>
      </c>
      <c r="B2637" t="s">
        <v>1192</v>
      </c>
      <c r="C2637" t="s">
        <v>22</v>
      </c>
      <c r="D2637" s="1">
        <v>45914</v>
      </c>
      <c r="E2637" t="s">
        <v>4133</v>
      </c>
      <c r="F2637" t="s">
        <v>4137</v>
      </c>
    </row>
    <row r="2638" spans="1:6">
      <c r="A2638" t="s">
        <v>6767</v>
      </c>
      <c r="B2638" t="s">
        <v>1192</v>
      </c>
      <c r="C2638" t="s">
        <v>22</v>
      </c>
      <c r="D2638" s="1">
        <v>45875</v>
      </c>
      <c r="E2638" t="s">
        <v>4124</v>
      </c>
      <c r="F2638" t="s">
        <v>4137</v>
      </c>
    </row>
    <row r="2639" spans="1:6">
      <c r="A2639" t="s">
        <v>6768</v>
      </c>
      <c r="B2639" t="s">
        <v>1192</v>
      </c>
      <c r="C2639" t="s">
        <v>22</v>
      </c>
      <c r="D2639" s="1">
        <v>45899</v>
      </c>
      <c r="E2639" t="s">
        <v>4135</v>
      </c>
      <c r="F2639" t="s">
        <v>4137</v>
      </c>
    </row>
    <row r="2640" spans="1:6">
      <c r="A2640" t="s">
        <v>6769</v>
      </c>
      <c r="B2640" t="s">
        <v>1192</v>
      </c>
      <c r="C2640" t="s">
        <v>22</v>
      </c>
      <c r="D2640" s="1">
        <v>45902</v>
      </c>
      <c r="E2640" t="s">
        <v>4133</v>
      </c>
      <c r="F2640" t="s">
        <v>4137</v>
      </c>
    </row>
    <row r="2641" spans="1:6">
      <c r="A2641" t="s">
        <v>6770</v>
      </c>
      <c r="B2641" t="s">
        <v>1192</v>
      </c>
      <c r="C2641" t="s">
        <v>22</v>
      </c>
      <c r="D2641" s="1">
        <v>45895</v>
      </c>
      <c r="E2641" t="s">
        <v>4133</v>
      </c>
      <c r="F2641" t="s">
        <v>4137</v>
      </c>
    </row>
    <row r="2642" spans="1:6">
      <c r="A2642" t="s">
        <v>6771</v>
      </c>
      <c r="B2642" t="s">
        <v>1193</v>
      </c>
      <c r="C2642" t="s">
        <v>36</v>
      </c>
      <c r="D2642" s="1">
        <v>45881</v>
      </c>
      <c r="E2642" t="s">
        <v>4135</v>
      </c>
      <c r="F2642" t="s">
        <v>4125</v>
      </c>
    </row>
    <row r="2643" spans="1:6">
      <c r="A2643" t="s">
        <v>6772</v>
      </c>
      <c r="B2643" t="s">
        <v>1193</v>
      </c>
      <c r="C2643" t="s">
        <v>36</v>
      </c>
      <c r="D2643" s="1">
        <v>45880</v>
      </c>
      <c r="E2643" t="s">
        <v>4129</v>
      </c>
      <c r="F2643" t="s">
        <v>4137</v>
      </c>
    </row>
    <row r="2644" spans="1:6">
      <c r="A2644" t="s">
        <v>6773</v>
      </c>
      <c r="B2644" t="s">
        <v>1193</v>
      </c>
      <c r="C2644" t="s">
        <v>36</v>
      </c>
      <c r="D2644" s="1">
        <v>45914</v>
      </c>
      <c r="E2644" t="s">
        <v>4133</v>
      </c>
      <c r="F2644" t="s">
        <v>4139</v>
      </c>
    </row>
    <row r="2645" spans="1:6">
      <c r="A2645" t="s">
        <v>6774</v>
      </c>
      <c r="B2645" t="s">
        <v>1195</v>
      </c>
      <c r="C2645" t="s">
        <v>27</v>
      </c>
      <c r="D2645" s="1">
        <v>45756</v>
      </c>
      <c r="E2645" t="s">
        <v>4133</v>
      </c>
      <c r="F2645" t="s">
        <v>4139</v>
      </c>
    </row>
    <row r="2646" spans="1:6">
      <c r="A2646" t="s">
        <v>6775</v>
      </c>
      <c r="B2646" t="s">
        <v>1195</v>
      </c>
      <c r="C2646" t="s">
        <v>27</v>
      </c>
      <c r="D2646" s="1">
        <v>45771</v>
      </c>
      <c r="E2646" t="s">
        <v>4127</v>
      </c>
      <c r="F2646" t="s">
        <v>4125</v>
      </c>
    </row>
    <row r="2647" spans="1:6">
      <c r="A2647" t="s">
        <v>6776</v>
      </c>
      <c r="B2647" t="s">
        <v>1195</v>
      </c>
      <c r="C2647" t="s">
        <v>27</v>
      </c>
      <c r="D2647" s="1">
        <v>45779</v>
      </c>
      <c r="E2647" t="s">
        <v>4129</v>
      </c>
      <c r="F2647" t="s">
        <v>4139</v>
      </c>
    </row>
    <row r="2648" spans="1:6">
      <c r="A2648" t="s">
        <v>6777</v>
      </c>
      <c r="B2648" t="s">
        <v>1195</v>
      </c>
      <c r="C2648" t="s">
        <v>27</v>
      </c>
      <c r="D2648" s="1">
        <v>45739</v>
      </c>
      <c r="E2648" t="s">
        <v>4135</v>
      </c>
      <c r="F2648" t="s">
        <v>4137</v>
      </c>
    </row>
    <row r="2649" spans="1:6">
      <c r="A2649" t="s">
        <v>6778</v>
      </c>
      <c r="B2649" t="s">
        <v>1195</v>
      </c>
      <c r="C2649" t="s">
        <v>27</v>
      </c>
      <c r="D2649" s="1">
        <v>45776</v>
      </c>
      <c r="E2649" t="s">
        <v>4133</v>
      </c>
      <c r="F2649" t="s">
        <v>4139</v>
      </c>
    </row>
    <row r="2650" spans="1:6">
      <c r="A2650" t="s">
        <v>6779</v>
      </c>
      <c r="B2650" t="s">
        <v>1196</v>
      </c>
      <c r="C2650" t="s">
        <v>27</v>
      </c>
      <c r="D2650" s="1">
        <v>45989</v>
      </c>
      <c r="E2650" t="s">
        <v>4129</v>
      </c>
      <c r="F2650" t="s">
        <v>4137</v>
      </c>
    </row>
    <row r="2651" spans="1:6">
      <c r="A2651" t="s">
        <v>6780</v>
      </c>
      <c r="B2651" t="s">
        <v>1196</v>
      </c>
      <c r="C2651" t="s">
        <v>27</v>
      </c>
      <c r="D2651" s="1">
        <v>45976</v>
      </c>
      <c r="E2651" t="s">
        <v>4129</v>
      </c>
      <c r="F2651" t="s">
        <v>4137</v>
      </c>
    </row>
    <row r="2652" spans="1:6">
      <c r="A2652" t="s">
        <v>6781</v>
      </c>
      <c r="B2652" t="s">
        <v>1197</v>
      </c>
      <c r="C2652" t="s">
        <v>36</v>
      </c>
      <c r="D2652" s="1">
        <v>45990</v>
      </c>
      <c r="E2652" t="s">
        <v>4127</v>
      </c>
      <c r="F2652" t="s">
        <v>4139</v>
      </c>
    </row>
    <row r="2653" spans="1:6">
      <c r="A2653" t="s">
        <v>6782</v>
      </c>
      <c r="B2653" t="s">
        <v>1197</v>
      </c>
      <c r="C2653" t="s">
        <v>36</v>
      </c>
      <c r="D2653" s="1">
        <v>45980</v>
      </c>
      <c r="E2653" t="s">
        <v>4127</v>
      </c>
      <c r="F2653" t="s">
        <v>4125</v>
      </c>
    </row>
    <row r="2654" spans="1:6">
      <c r="A2654" t="s">
        <v>6783</v>
      </c>
      <c r="B2654" t="s">
        <v>1197</v>
      </c>
      <c r="C2654" t="s">
        <v>36</v>
      </c>
      <c r="D2654" s="1">
        <v>45973</v>
      </c>
      <c r="E2654" t="s">
        <v>4124</v>
      </c>
      <c r="F2654" t="s">
        <v>4137</v>
      </c>
    </row>
    <row r="2655" spans="1:6">
      <c r="A2655" t="s">
        <v>6784</v>
      </c>
      <c r="B2655" t="s">
        <v>1198</v>
      </c>
      <c r="C2655" t="s">
        <v>16</v>
      </c>
      <c r="D2655" s="1">
        <v>45823</v>
      </c>
      <c r="E2655" t="s">
        <v>4124</v>
      </c>
      <c r="F2655" t="s">
        <v>4139</v>
      </c>
    </row>
    <row r="2656" spans="1:6">
      <c r="A2656" t="s">
        <v>6785</v>
      </c>
      <c r="B2656" t="s">
        <v>1198</v>
      </c>
      <c r="C2656" t="s">
        <v>16</v>
      </c>
      <c r="D2656" s="1">
        <v>45853</v>
      </c>
      <c r="E2656" t="s">
        <v>4135</v>
      </c>
      <c r="F2656" t="s">
        <v>4139</v>
      </c>
    </row>
    <row r="2657" spans="1:6">
      <c r="A2657" t="s">
        <v>6786</v>
      </c>
      <c r="B2657" t="s">
        <v>1198</v>
      </c>
      <c r="C2657" t="s">
        <v>16</v>
      </c>
      <c r="D2657" s="1">
        <v>45813</v>
      </c>
      <c r="E2657" t="s">
        <v>4133</v>
      </c>
      <c r="F2657" t="s">
        <v>4125</v>
      </c>
    </row>
    <row r="2658" spans="1:6">
      <c r="A2658" t="s">
        <v>6787</v>
      </c>
      <c r="B2658" t="s">
        <v>1199</v>
      </c>
      <c r="C2658" t="s">
        <v>126</v>
      </c>
      <c r="D2658" s="1">
        <v>45735</v>
      </c>
      <c r="E2658" t="s">
        <v>4127</v>
      </c>
      <c r="F2658" t="s">
        <v>4125</v>
      </c>
    </row>
    <row r="2659" spans="1:6">
      <c r="A2659" t="s">
        <v>6788</v>
      </c>
      <c r="B2659" t="s">
        <v>1199</v>
      </c>
      <c r="C2659" t="s">
        <v>126</v>
      </c>
      <c r="D2659" s="1">
        <v>45720</v>
      </c>
      <c r="E2659" t="s">
        <v>4124</v>
      </c>
      <c r="F2659" t="s">
        <v>4137</v>
      </c>
    </row>
    <row r="2660" spans="1:6">
      <c r="A2660" t="s">
        <v>6789</v>
      </c>
      <c r="B2660" t="s">
        <v>1199</v>
      </c>
      <c r="C2660" t="s">
        <v>126</v>
      </c>
      <c r="D2660" s="1">
        <v>45726</v>
      </c>
      <c r="E2660" t="s">
        <v>4133</v>
      </c>
      <c r="F2660" t="s">
        <v>4125</v>
      </c>
    </row>
    <row r="2661" spans="1:6">
      <c r="A2661" t="s">
        <v>6790</v>
      </c>
      <c r="B2661" t="s">
        <v>1199</v>
      </c>
      <c r="C2661" t="s">
        <v>126</v>
      </c>
      <c r="D2661" s="1">
        <v>45734</v>
      </c>
      <c r="E2661" t="s">
        <v>4129</v>
      </c>
      <c r="F2661" t="s">
        <v>4125</v>
      </c>
    </row>
    <row r="2662" spans="1:6">
      <c r="A2662" t="s">
        <v>6791</v>
      </c>
      <c r="B2662" t="s">
        <v>1200</v>
      </c>
      <c r="C2662" t="s">
        <v>78</v>
      </c>
      <c r="D2662" s="1">
        <v>45903</v>
      </c>
      <c r="E2662" t="s">
        <v>4133</v>
      </c>
      <c r="F2662" t="s">
        <v>4137</v>
      </c>
    </row>
    <row r="2663" spans="1:6">
      <c r="A2663" t="s">
        <v>6792</v>
      </c>
      <c r="B2663" t="s">
        <v>1200</v>
      </c>
      <c r="C2663" t="s">
        <v>78</v>
      </c>
      <c r="D2663" s="1">
        <v>45924</v>
      </c>
      <c r="E2663" t="s">
        <v>4135</v>
      </c>
      <c r="F2663" t="s">
        <v>4137</v>
      </c>
    </row>
    <row r="2664" spans="1:6">
      <c r="A2664" t="s">
        <v>6793</v>
      </c>
      <c r="B2664" t="s">
        <v>1202</v>
      </c>
      <c r="C2664" t="s">
        <v>59</v>
      </c>
      <c r="D2664" s="1">
        <v>46021</v>
      </c>
      <c r="E2664" t="s">
        <v>4133</v>
      </c>
      <c r="F2664" t="s">
        <v>4139</v>
      </c>
    </row>
    <row r="2665" spans="1:6">
      <c r="A2665" t="s">
        <v>6794</v>
      </c>
      <c r="B2665" t="s">
        <v>1202</v>
      </c>
      <c r="C2665" t="s">
        <v>59</v>
      </c>
      <c r="D2665" s="1">
        <v>46022</v>
      </c>
      <c r="E2665" t="s">
        <v>4124</v>
      </c>
      <c r="F2665" t="s">
        <v>4139</v>
      </c>
    </row>
    <row r="2666" spans="1:6">
      <c r="A2666" t="s">
        <v>6795</v>
      </c>
      <c r="B2666" t="s">
        <v>1202</v>
      </c>
      <c r="C2666" t="s">
        <v>59</v>
      </c>
      <c r="D2666" s="1">
        <v>46022</v>
      </c>
      <c r="E2666" t="s">
        <v>4127</v>
      </c>
      <c r="F2666" t="s">
        <v>4139</v>
      </c>
    </row>
    <row r="2667" spans="1:6">
      <c r="A2667" t="s">
        <v>6796</v>
      </c>
      <c r="B2667" t="s">
        <v>1202</v>
      </c>
      <c r="C2667" t="s">
        <v>59</v>
      </c>
      <c r="D2667" s="1">
        <v>46021</v>
      </c>
      <c r="E2667" t="s">
        <v>4135</v>
      </c>
      <c r="F2667" t="s">
        <v>4139</v>
      </c>
    </row>
    <row r="2668" spans="1:6">
      <c r="A2668" t="s">
        <v>6797</v>
      </c>
      <c r="B2668" t="s">
        <v>1204</v>
      </c>
      <c r="C2668" t="s">
        <v>22</v>
      </c>
      <c r="D2668" s="1">
        <v>45822</v>
      </c>
      <c r="E2668" t="s">
        <v>4127</v>
      </c>
      <c r="F2668" t="s">
        <v>4125</v>
      </c>
    </row>
    <row r="2669" spans="1:6">
      <c r="A2669" t="s">
        <v>6798</v>
      </c>
      <c r="B2669" t="s">
        <v>1204</v>
      </c>
      <c r="C2669" t="s">
        <v>22</v>
      </c>
      <c r="D2669" s="1">
        <v>45811</v>
      </c>
      <c r="E2669" t="s">
        <v>4127</v>
      </c>
      <c r="F2669" t="s">
        <v>4139</v>
      </c>
    </row>
    <row r="2670" spans="1:6">
      <c r="A2670" t="s">
        <v>6799</v>
      </c>
      <c r="B2670" t="s">
        <v>1204</v>
      </c>
      <c r="C2670" t="s">
        <v>22</v>
      </c>
      <c r="D2670" s="1">
        <v>45803</v>
      </c>
      <c r="E2670" t="s">
        <v>4124</v>
      </c>
      <c r="F2670" t="s">
        <v>4125</v>
      </c>
    </row>
    <row r="2671" spans="1:6">
      <c r="A2671" t="s">
        <v>6800</v>
      </c>
      <c r="B2671" t="s">
        <v>1204</v>
      </c>
      <c r="C2671" t="s">
        <v>22</v>
      </c>
      <c r="D2671" s="1">
        <v>45806</v>
      </c>
      <c r="E2671" t="s">
        <v>4135</v>
      </c>
      <c r="F2671" t="s">
        <v>4139</v>
      </c>
    </row>
    <row r="2672" spans="1:6">
      <c r="A2672" t="s">
        <v>6801</v>
      </c>
      <c r="B2672" t="s">
        <v>1205</v>
      </c>
      <c r="C2672" t="s">
        <v>56</v>
      </c>
      <c r="D2672" s="1">
        <v>45856</v>
      </c>
      <c r="E2672" t="s">
        <v>4129</v>
      </c>
      <c r="F2672" t="s">
        <v>4125</v>
      </c>
    </row>
    <row r="2673" spans="1:6">
      <c r="A2673" t="s">
        <v>6802</v>
      </c>
      <c r="B2673" t="s">
        <v>1205</v>
      </c>
      <c r="C2673" t="s">
        <v>56</v>
      </c>
      <c r="D2673" s="1">
        <v>45835</v>
      </c>
      <c r="E2673" t="s">
        <v>4129</v>
      </c>
      <c r="F2673" t="s">
        <v>4137</v>
      </c>
    </row>
    <row r="2674" spans="1:6">
      <c r="A2674" t="s">
        <v>6803</v>
      </c>
      <c r="B2674" t="s">
        <v>1206</v>
      </c>
      <c r="C2674" t="s">
        <v>40</v>
      </c>
      <c r="D2674" s="1">
        <v>45677</v>
      </c>
      <c r="E2674" t="s">
        <v>4129</v>
      </c>
      <c r="F2674" t="s">
        <v>4139</v>
      </c>
    </row>
    <row r="2675" spans="1:6">
      <c r="A2675" t="s">
        <v>6804</v>
      </c>
      <c r="B2675" t="s">
        <v>1206</v>
      </c>
      <c r="C2675" t="s">
        <v>40</v>
      </c>
      <c r="D2675" s="1">
        <v>45681</v>
      </c>
      <c r="E2675" t="s">
        <v>4127</v>
      </c>
      <c r="F2675" t="s">
        <v>4137</v>
      </c>
    </row>
    <row r="2676" spans="1:6">
      <c r="A2676" t="s">
        <v>6805</v>
      </c>
      <c r="B2676" t="s">
        <v>1206</v>
      </c>
      <c r="C2676" t="s">
        <v>40</v>
      </c>
      <c r="D2676" s="1">
        <v>45668</v>
      </c>
      <c r="E2676" t="s">
        <v>4135</v>
      </c>
      <c r="F2676" t="s">
        <v>4125</v>
      </c>
    </row>
    <row r="2677" spans="1:6">
      <c r="A2677" t="s">
        <v>6806</v>
      </c>
      <c r="B2677" t="s">
        <v>1207</v>
      </c>
      <c r="C2677" t="s">
        <v>152</v>
      </c>
      <c r="D2677" s="1">
        <v>45890</v>
      </c>
      <c r="E2677" t="s">
        <v>4124</v>
      </c>
      <c r="F2677" t="s">
        <v>4139</v>
      </c>
    </row>
    <row r="2678" spans="1:6">
      <c r="A2678" t="s">
        <v>6807</v>
      </c>
      <c r="B2678" t="s">
        <v>1207</v>
      </c>
      <c r="C2678" t="s">
        <v>152</v>
      </c>
      <c r="D2678" s="1">
        <v>45915</v>
      </c>
      <c r="E2678" t="s">
        <v>4133</v>
      </c>
      <c r="F2678" t="s">
        <v>4139</v>
      </c>
    </row>
    <row r="2679" spans="1:6">
      <c r="A2679" t="s">
        <v>6808</v>
      </c>
      <c r="B2679" t="s">
        <v>1207</v>
      </c>
      <c r="C2679" t="s">
        <v>152</v>
      </c>
      <c r="D2679" s="1">
        <v>45895</v>
      </c>
      <c r="E2679" t="s">
        <v>4129</v>
      </c>
      <c r="F2679" t="s">
        <v>4125</v>
      </c>
    </row>
    <row r="2680" spans="1:6">
      <c r="A2680" t="s">
        <v>6809</v>
      </c>
      <c r="B2680" t="s">
        <v>1207</v>
      </c>
      <c r="C2680" t="s">
        <v>152</v>
      </c>
      <c r="D2680" s="1">
        <v>45913</v>
      </c>
      <c r="E2680" t="s">
        <v>4133</v>
      </c>
      <c r="F2680" t="s">
        <v>4125</v>
      </c>
    </row>
    <row r="2681" spans="1:6">
      <c r="A2681" t="s">
        <v>6810</v>
      </c>
      <c r="B2681" t="s">
        <v>1207</v>
      </c>
      <c r="C2681" t="s">
        <v>152</v>
      </c>
      <c r="D2681" s="1">
        <v>45899</v>
      </c>
      <c r="E2681" t="s">
        <v>4129</v>
      </c>
      <c r="F2681" t="s">
        <v>4125</v>
      </c>
    </row>
    <row r="2682" spans="1:6">
      <c r="A2682" t="s">
        <v>6811</v>
      </c>
      <c r="B2682" t="s">
        <v>1208</v>
      </c>
      <c r="C2682" t="s">
        <v>56</v>
      </c>
      <c r="D2682" s="1">
        <v>45789</v>
      </c>
      <c r="E2682" t="s">
        <v>4129</v>
      </c>
      <c r="F2682" t="s">
        <v>4125</v>
      </c>
    </row>
    <row r="2683" spans="1:6">
      <c r="A2683" t="s">
        <v>6812</v>
      </c>
      <c r="B2683" t="s">
        <v>1208</v>
      </c>
      <c r="C2683" t="s">
        <v>56</v>
      </c>
      <c r="D2683" s="1">
        <v>45792</v>
      </c>
      <c r="E2683" t="s">
        <v>4133</v>
      </c>
      <c r="F2683" t="s">
        <v>4125</v>
      </c>
    </row>
    <row r="2684" spans="1:6">
      <c r="A2684" t="s">
        <v>6813</v>
      </c>
      <c r="B2684" t="s">
        <v>1208</v>
      </c>
      <c r="C2684" t="s">
        <v>56</v>
      </c>
      <c r="D2684" s="1">
        <v>45821</v>
      </c>
      <c r="E2684" t="s">
        <v>4133</v>
      </c>
      <c r="F2684" t="s">
        <v>4137</v>
      </c>
    </row>
    <row r="2685" spans="1:6">
      <c r="A2685" t="s">
        <v>6814</v>
      </c>
      <c r="B2685" t="s">
        <v>1208</v>
      </c>
      <c r="C2685" t="s">
        <v>56</v>
      </c>
      <c r="D2685" s="1">
        <v>45798</v>
      </c>
      <c r="E2685" t="s">
        <v>4124</v>
      </c>
      <c r="F2685" t="s">
        <v>4139</v>
      </c>
    </row>
    <row r="2686" spans="1:6">
      <c r="A2686" t="s">
        <v>6815</v>
      </c>
      <c r="B2686" t="s">
        <v>1210</v>
      </c>
      <c r="C2686" t="s">
        <v>40</v>
      </c>
      <c r="D2686" s="1">
        <v>45767</v>
      </c>
      <c r="E2686" t="s">
        <v>4133</v>
      </c>
      <c r="F2686" t="s">
        <v>4137</v>
      </c>
    </row>
    <row r="2687" spans="1:6">
      <c r="A2687" t="s">
        <v>6816</v>
      </c>
      <c r="B2687" t="s">
        <v>1210</v>
      </c>
      <c r="C2687" t="s">
        <v>40</v>
      </c>
      <c r="D2687" s="1">
        <v>45763</v>
      </c>
      <c r="E2687" t="s">
        <v>4129</v>
      </c>
      <c r="F2687" t="s">
        <v>4125</v>
      </c>
    </row>
    <row r="2688" spans="1:6">
      <c r="A2688" t="s">
        <v>6817</v>
      </c>
      <c r="B2688" t="s">
        <v>1210</v>
      </c>
      <c r="C2688" t="s">
        <v>40</v>
      </c>
      <c r="D2688" s="1">
        <v>45779</v>
      </c>
      <c r="E2688" t="s">
        <v>4133</v>
      </c>
      <c r="F2688" t="s">
        <v>4139</v>
      </c>
    </row>
    <row r="2689" spans="1:6">
      <c r="A2689" t="s">
        <v>6818</v>
      </c>
      <c r="B2689" t="s">
        <v>1212</v>
      </c>
      <c r="C2689" t="s">
        <v>70</v>
      </c>
      <c r="D2689" s="1">
        <v>45787</v>
      </c>
      <c r="E2689" t="s">
        <v>4129</v>
      </c>
      <c r="F2689" t="s">
        <v>4125</v>
      </c>
    </row>
    <row r="2690" spans="1:6">
      <c r="A2690" t="s">
        <v>6819</v>
      </c>
      <c r="B2690" t="s">
        <v>1212</v>
      </c>
      <c r="C2690" t="s">
        <v>70</v>
      </c>
      <c r="D2690" s="1">
        <v>45809</v>
      </c>
      <c r="E2690" t="s">
        <v>4129</v>
      </c>
      <c r="F2690" t="s">
        <v>4139</v>
      </c>
    </row>
    <row r="2691" spans="1:6">
      <c r="A2691" t="s">
        <v>6820</v>
      </c>
      <c r="B2691" t="s">
        <v>1212</v>
      </c>
      <c r="C2691" t="s">
        <v>70</v>
      </c>
      <c r="D2691" s="1">
        <v>45810</v>
      </c>
      <c r="E2691" t="s">
        <v>4129</v>
      </c>
      <c r="F2691" t="s">
        <v>4137</v>
      </c>
    </row>
    <row r="2692" spans="1:6">
      <c r="A2692" t="s">
        <v>6821</v>
      </c>
      <c r="B2692" t="s">
        <v>1212</v>
      </c>
      <c r="C2692" t="s">
        <v>70</v>
      </c>
      <c r="D2692" s="1">
        <v>45785</v>
      </c>
      <c r="E2692" t="s">
        <v>4127</v>
      </c>
      <c r="F2692" t="s">
        <v>4139</v>
      </c>
    </row>
    <row r="2693" spans="1:6">
      <c r="A2693" t="s">
        <v>6822</v>
      </c>
      <c r="B2693" t="s">
        <v>1213</v>
      </c>
      <c r="C2693" t="s">
        <v>22</v>
      </c>
      <c r="D2693" s="1">
        <v>45763</v>
      </c>
      <c r="E2693" t="s">
        <v>4127</v>
      </c>
      <c r="F2693" t="s">
        <v>4139</v>
      </c>
    </row>
    <row r="2694" spans="1:6">
      <c r="A2694" t="s">
        <v>6823</v>
      </c>
      <c r="B2694" t="s">
        <v>1213</v>
      </c>
      <c r="C2694" t="s">
        <v>22</v>
      </c>
      <c r="D2694" s="1">
        <v>45787</v>
      </c>
      <c r="E2694" t="s">
        <v>4129</v>
      </c>
      <c r="F2694" t="s">
        <v>4139</v>
      </c>
    </row>
    <row r="2695" spans="1:6">
      <c r="A2695" t="s">
        <v>6824</v>
      </c>
      <c r="B2695" t="s">
        <v>1213</v>
      </c>
      <c r="C2695" t="s">
        <v>22</v>
      </c>
      <c r="D2695" s="1">
        <v>45784</v>
      </c>
      <c r="E2695" t="s">
        <v>4127</v>
      </c>
      <c r="F2695" t="s">
        <v>4139</v>
      </c>
    </row>
    <row r="2696" spans="1:6">
      <c r="A2696" t="s">
        <v>6825</v>
      </c>
      <c r="B2696" t="s">
        <v>1214</v>
      </c>
      <c r="C2696" t="s">
        <v>32</v>
      </c>
      <c r="D2696" s="1">
        <v>45760</v>
      </c>
      <c r="E2696" t="s">
        <v>4129</v>
      </c>
      <c r="F2696" t="s">
        <v>4125</v>
      </c>
    </row>
    <row r="2697" spans="1:6">
      <c r="A2697" t="s">
        <v>6826</v>
      </c>
      <c r="B2697" t="s">
        <v>1214</v>
      </c>
      <c r="C2697" t="s">
        <v>32</v>
      </c>
      <c r="D2697" s="1">
        <v>45755</v>
      </c>
      <c r="E2697" t="s">
        <v>4133</v>
      </c>
      <c r="F2697" t="s">
        <v>4125</v>
      </c>
    </row>
    <row r="2698" spans="1:6">
      <c r="A2698" t="s">
        <v>6827</v>
      </c>
      <c r="B2698" t="s">
        <v>1214</v>
      </c>
      <c r="C2698" t="s">
        <v>32</v>
      </c>
      <c r="D2698" s="1">
        <v>45725</v>
      </c>
      <c r="E2698" t="s">
        <v>4124</v>
      </c>
      <c r="F2698" t="s">
        <v>4125</v>
      </c>
    </row>
    <row r="2699" spans="1:6">
      <c r="A2699" t="s">
        <v>6828</v>
      </c>
      <c r="B2699" t="s">
        <v>1214</v>
      </c>
      <c r="C2699" t="s">
        <v>32</v>
      </c>
      <c r="D2699" s="1">
        <v>45760</v>
      </c>
      <c r="E2699" t="s">
        <v>4124</v>
      </c>
      <c r="F2699" t="s">
        <v>4137</v>
      </c>
    </row>
    <row r="2700" spans="1:6">
      <c r="A2700" t="s">
        <v>6829</v>
      </c>
      <c r="B2700" t="s">
        <v>1214</v>
      </c>
      <c r="C2700" t="s">
        <v>32</v>
      </c>
      <c r="D2700" s="1">
        <v>45731</v>
      </c>
      <c r="E2700" t="s">
        <v>4127</v>
      </c>
      <c r="F2700" t="s">
        <v>4139</v>
      </c>
    </row>
    <row r="2701" spans="1:6">
      <c r="A2701" t="s">
        <v>6830</v>
      </c>
      <c r="B2701" t="s">
        <v>1215</v>
      </c>
      <c r="C2701" t="s">
        <v>27</v>
      </c>
      <c r="D2701" s="1">
        <v>45942</v>
      </c>
      <c r="E2701" t="s">
        <v>4133</v>
      </c>
      <c r="F2701" t="s">
        <v>4137</v>
      </c>
    </row>
    <row r="2702" spans="1:6">
      <c r="A2702" t="s">
        <v>6831</v>
      </c>
      <c r="B2702" t="s">
        <v>1215</v>
      </c>
      <c r="C2702" t="s">
        <v>27</v>
      </c>
      <c r="D2702" s="1">
        <v>45948</v>
      </c>
      <c r="E2702" t="s">
        <v>4133</v>
      </c>
      <c r="F2702" t="s">
        <v>4139</v>
      </c>
    </row>
    <row r="2703" spans="1:6">
      <c r="A2703" t="s">
        <v>6832</v>
      </c>
      <c r="B2703" t="s">
        <v>1215</v>
      </c>
      <c r="C2703" t="s">
        <v>27</v>
      </c>
      <c r="D2703" s="1">
        <v>45901</v>
      </c>
      <c r="E2703" t="s">
        <v>4129</v>
      </c>
      <c r="F2703" t="s">
        <v>4125</v>
      </c>
    </row>
    <row r="2704" spans="1:6">
      <c r="A2704" t="s">
        <v>6833</v>
      </c>
      <c r="B2704" t="s">
        <v>1215</v>
      </c>
      <c r="C2704" t="s">
        <v>27</v>
      </c>
      <c r="D2704" s="1">
        <v>45960</v>
      </c>
      <c r="E2704" t="s">
        <v>4133</v>
      </c>
      <c r="F2704" t="s">
        <v>4125</v>
      </c>
    </row>
    <row r="2705" spans="1:6">
      <c r="A2705" t="s">
        <v>6834</v>
      </c>
      <c r="B2705" t="s">
        <v>1216</v>
      </c>
      <c r="C2705" t="s">
        <v>36</v>
      </c>
      <c r="D2705" s="1">
        <v>45956</v>
      </c>
      <c r="E2705" t="s">
        <v>4127</v>
      </c>
      <c r="F2705" t="s">
        <v>4125</v>
      </c>
    </row>
    <row r="2706" spans="1:6">
      <c r="A2706" t="s">
        <v>6835</v>
      </c>
      <c r="B2706" t="s">
        <v>1216</v>
      </c>
      <c r="C2706" t="s">
        <v>36</v>
      </c>
      <c r="D2706" s="1">
        <v>45968</v>
      </c>
      <c r="E2706" t="s">
        <v>4127</v>
      </c>
      <c r="F2706" t="s">
        <v>4139</v>
      </c>
    </row>
    <row r="2707" spans="1:6">
      <c r="A2707" t="s">
        <v>6836</v>
      </c>
      <c r="B2707" t="s">
        <v>1216</v>
      </c>
      <c r="C2707" t="s">
        <v>36</v>
      </c>
      <c r="D2707" s="1">
        <v>45947</v>
      </c>
      <c r="E2707" t="s">
        <v>4133</v>
      </c>
      <c r="F2707" t="s">
        <v>4137</v>
      </c>
    </row>
    <row r="2708" spans="1:6">
      <c r="A2708" t="s">
        <v>6837</v>
      </c>
      <c r="B2708" t="s">
        <v>1216</v>
      </c>
      <c r="C2708" t="s">
        <v>36</v>
      </c>
      <c r="D2708" s="1">
        <v>45983</v>
      </c>
      <c r="E2708" t="s">
        <v>4135</v>
      </c>
      <c r="F2708" t="s">
        <v>4125</v>
      </c>
    </row>
    <row r="2709" spans="1:6">
      <c r="A2709" t="s">
        <v>6838</v>
      </c>
      <c r="B2709" t="s">
        <v>1217</v>
      </c>
      <c r="C2709" t="s">
        <v>168</v>
      </c>
      <c r="D2709" s="1">
        <v>45832</v>
      </c>
      <c r="E2709" t="s">
        <v>4127</v>
      </c>
      <c r="F2709" t="s">
        <v>4125</v>
      </c>
    </row>
    <row r="2710" spans="1:6">
      <c r="A2710" t="s">
        <v>6839</v>
      </c>
      <c r="B2710" t="s">
        <v>1217</v>
      </c>
      <c r="C2710" t="s">
        <v>168</v>
      </c>
      <c r="D2710" s="1">
        <v>45820</v>
      </c>
      <c r="E2710" t="s">
        <v>4124</v>
      </c>
      <c r="F2710" t="s">
        <v>4139</v>
      </c>
    </row>
    <row r="2711" spans="1:6">
      <c r="A2711" t="s">
        <v>6840</v>
      </c>
      <c r="B2711" t="s">
        <v>1218</v>
      </c>
      <c r="C2711" t="s">
        <v>91</v>
      </c>
      <c r="D2711" s="1">
        <v>45755</v>
      </c>
      <c r="E2711" t="s">
        <v>4127</v>
      </c>
      <c r="F2711" t="s">
        <v>4137</v>
      </c>
    </row>
    <row r="2712" spans="1:6">
      <c r="A2712" t="s">
        <v>6841</v>
      </c>
      <c r="B2712" t="s">
        <v>1218</v>
      </c>
      <c r="C2712" t="s">
        <v>91</v>
      </c>
      <c r="D2712" s="1">
        <v>45762</v>
      </c>
      <c r="E2712" t="s">
        <v>4133</v>
      </c>
      <c r="F2712" t="s">
        <v>4139</v>
      </c>
    </row>
    <row r="2713" spans="1:6">
      <c r="A2713" t="s">
        <v>6842</v>
      </c>
      <c r="B2713" t="s">
        <v>1219</v>
      </c>
      <c r="C2713" t="s">
        <v>50</v>
      </c>
      <c r="D2713" s="1">
        <v>45733</v>
      </c>
      <c r="E2713" t="s">
        <v>4127</v>
      </c>
      <c r="F2713" t="s">
        <v>4139</v>
      </c>
    </row>
    <row r="2714" spans="1:6">
      <c r="A2714" t="s">
        <v>6843</v>
      </c>
      <c r="B2714" t="s">
        <v>1219</v>
      </c>
      <c r="C2714" t="s">
        <v>50</v>
      </c>
      <c r="D2714" s="1">
        <v>45723</v>
      </c>
      <c r="E2714" t="s">
        <v>4133</v>
      </c>
      <c r="F2714" t="s">
        <v>4137</v>
      </c>
    </row>
    <row r="2715" spans="1:6">
      <c r="A2715" t="s">
        <v>6844</v>
      </c>
      <c r="B2715" t="s">
        <v>1219</v>
      </c>
      <c r="C2715" t="s">
        <v>50</v>
      </c>
      <c r="D2715" s="1">
        <v>45724</v>
      </c>
      <c r="E2715" t="s">
        <v>4133</v>
      </c>
      <c r="F2715" t="s">
        <v>4125</v>
      </c>
    </row>
    <row r="2716" spans="1:6">
      <c r="A2716" t="s">
        <v>6845</v>
      </c>
      <c r="B2716" t="s">
        <v>1219</v>
      </c>
      <c r="C2716" t="s">
        <v>50</v>
      </c>
      <c r="D2716" s="1">
        <v>45719</v>
      </c>
      <c r="E2716" t="s">
        <v>4127</v>
      </c>
      <c r="F2716" t="s">
        <v>4125</v>
      </c>
    </row>
    <row r="2717" spans="1:6">
      <c r="A2717" t="s">
        <v>6846</v>
      </c>
      <c r="B2717" t="s">
        <v>1221</v>
      </c>
      <c r="C2717" t="s">
        <v>53</v>
      </c>
      <c r="D2717" s="1">
        <v>45766</v>
      </c>
      <c r="E2717" t="s">
        <v>4127</v>
      </c>
      <c r="F2717" t="s">
        <v>4137</v>
      </c>
    </row>
    <row r="2718" spans="1:6">
      <c r="A2718" t="s">
        <v>6847</v>
      </c>
      <c r="B2718" t="s">
        <v>1221</v>
      </c>
      <c r="C2718" t="s">
        <v>53</v>
      </c>
      <c r="D2718" s="1">
        <v>45775</v>
      </c>
      <c r="E2718" t="s">
        <v>4133</v>
      </c>
      <c r="F2718" t="s">
        <v>4137</v>
      </c>
    </row>
    <row r="2719" spans="1:6">
      <c r="A2719" t="s">
        <v>6848</v>
      </c>
      <c r="B2719" t="s">
        <v>1222</v>
      </c>
      <c r="C2719" t="s">
        <v>50</v>
      </c>
      <c r="D2719" s="1">
        <v>45799</v>
      </c>
      <c r="E2719" t="s">
        <v>4135</v>
      </c>
      <c r="F2719" t="s">
        <v>4125</v>
      </c>
    </row>
    <row r="2720" spans="1:6">
      <c r="A2720" t="s">
        <v>6849</v>
      </c>
      <c r="B2720" t="s">
        <v>1222</v>
      </c>
      <c r="C2720" t="s">
        <v>50</v>
      </c>
      <c r="D2720" s="1">
        <v>45806</v>
      </c>
      <c r="E2720" t="s">
        <v>4135</v>
      </c>
      <c r="F2720" t="s">
        <v>4139</v>
      </c>
    </row>
    <row r="2721" spans="1:6">
      <c r="A2721" t="s">
        <v>6850</v>
      </c>
      <c r="B2721" t="s">
        <v>1223</v>
      </c>
      <c r="C2721" t="s">
        <v>119</v>
      </c>
      <c r="D2721" s="1">
        <v>45783</v>
      </c>
      <c r="E2721" t="s">
        <v>4133</v>
      </c>
      <c r="F2721" t="s">
        <v>4137</v>
      </c>
    </row>
    <row r="2722" spans="1:6">
      <c r="A2722" t="s">
        <v>6851</v>
      </c>
      <c r="B2722" t="s">
        <v>1223</v>
      </c>
      <c r="C2722" t="s">
        <v>119</v>
      </c>
      <c r="D2722" s="1">
        <v>45783</v>
      </c>
      <c r="E2722" t="s">
        <v>4129</v>
      </c>
      <c r="F2722" t="s">
        <v>4125</v>
      </c>
    </row>
    <row r="2723" spans="1:6">
      <c r="A2723" t="s">
        <v>6852</v>
      </c>
      <c r="B2723" t="s">
        <v>1223</v>
      </c>
      <c r="C2723" t="s">
        <v>119</v>
      </c>
      <c r="D2723" s="1">
        <v>45786</v>
      </c>
      <c r="E2723" t="s">
        <v>4135</v>
      </c>
      <c r="F2723" t="s">
        <v>4125</v>
      </c>
    </row>
    <row r="2724" spans="1:6">
      <c r="A2724" t="s">
        <v>6853</v>
      </c>
      <c r="B2724" t="s">
        <v>1223</v>
      </c>
      <c r="C2724" t="s">
        <v>119</v>
      </c>
      <c r="D2724" s="1">
        <v>45784</v>
      </c>
      <c r="E2724" t="s">
        <v>4127</v>
      </c>
      <c r="F2724" t="s">
        <v>4139</v>
      </c>
    </row>
    <row r="2725" spans="1:6">
      <c r="A2725" t="s">
        <v>6854</v>
      </c>
      <c r="B2725" t="s">
        <v>1223</v>
      </c>
      <c r="C2725" t="s">
        <v>119</v>
      </c>
      <c r="D2725" s="1">
        <v>45786</v>
      </c>
      <c r="E2725" t="s">
        <v>4129</v>
      </c>
      <c r="F2725" t="s">
        <v>4137</v>
      </c>
    </row>
    <row r="2726" spans="1:6">
      <c r="A2726" t="s">
        <v>6855</v>
      </c>
      <c r="B2726" t="s">
        <v>1224</v>
      </c>
      <c r="C2726" t="s">
        <v>91</v>
      </c>
      <c r="D2726" s="1">
        <v>45798</v>
      </c>
      <c r="E2726" t="s">
        <v>4124</v>
      </c>
      <c r="F2726" t="s">
        <v>4125</v>
      </c>
    </row>
    <row r="2727" spans="1:6">
      <c r="A2727" t="s">
        <v>6856</v>
      </c>
      <c r="B2727" t="s">
        <v>1224</v>
      </c>
      <c r="C2727" t="s">
        <v>91</v>
      </c>
      <c r="D2727" s="1">
        <v>45801</v>
      </c>
      <c r="E2727" t="s">
        <v>4127</v>
      </c>
      <c r="F2727" t="s">
        <v>4125</v>
      </c>
    </row>
    <row r="2728" spans="1:6">
      <c r="A2728" t="s">
        <v>6857</v>
      </c>
      <c r="B2728" t="s">
        <v>1225</v>
      </c>
      <c r="C2728" t="s">
        <v>78</v>
      </c>
      <c r="D2728" s="1">
        <v>45988</v>
      </c>
      <c r="E2728" t="s">
        <v>4133</v>
      </c>
      <c r="F2728" t="s">
        <v>4125</v>
      </c>
    </row>
    <row r="2729" spans="1:6">
      <c r="A2729" t="s">
        <v>6858</v>
      </c>
      <c r="B2729" t="s">
        <v>1225</v>
      </c>
      <c r="C2729" t="s">
        <v>78</v>
      </c>
      <c r="D2729" s="1">
        <v>46011</v>
      </c>
      <c r="E2729" t="s">
        <v>4135</v>
      </c>
      <c r="F2729" t="s">
        <v>4139</v>
      </c>
    </row>
    <row r="2730" spans="1:6">
      <c r="A2730" t="s">
        <v>6859</v>
      </c>
      <c r="B2730" t="s">
        <v>1225</v>
      </c>
      <c r="C2730" t="s">
        <v>78</v>
      </c>
      <c r="D2730" s="1">
        <v>46003</v>
      </c>
      <c r="E2730" t="s">
        <v>4133</v>
      </c>
      <c r="F2730" t="s">
        <v>4125</v>
      </c>
    </row>
    <row r="2731" spans="1:6">
      <c r="A2731" t="s">
        <v>6860</v>
      </c>
      <c r="B2731" t="s">
        <v>1226</v>
      </c>
      <c r="C2731" t="s">
        <v>75</v>
      </c>
      <c r="D2731" s="1">
        <v>45721</v>
      </c>
      <c r="E2731" t="s">
        <v>4135</v>
      </c>
      <c r="F2731" t="s">
        <v>4139</v>
      </c>
    </row>
    <row r="2732" spans="1:6">
      <c r="A2732" t="s">
        <v>6861</v>
      </c>
      <c r="B2732" t="s">
        <v>1226</v>
      </c>
      <c r="C2732" t="s">
        <v>75</v>
      </c>
      <c r="D2732" s="1">
        <v>45715</v>
      </c>
      <c r="E2732" t="s">
        <v>4127</v>
      </c>
      <c r="F2732" t="s">
        <v>4137</v>
      </c>
    </row>
    <row r="2733" spans="1:6">
      <c r="A2733" t="s">
        <v>6862</v>
      </c>
      <c r="B2733" t="s">
        <v>1226</v>
      </c>
      <c r="C2733" t="s">
        <v>75</v>
      </c>
      <c r="D2733" s="1">
        <v>45720</v>
      </c>
      <c r="E2733" t="s">
        <v>4124</v>
      </c>
      <c r="F2733" t="s">
        <v>4125</v>
      </c>
    </row>
    <row r="2734" spans="1:6">
      <c r="A2734" t="s">
        <v>6863</v>
      </c>
      <c r="B2734" t="s">
        <v>1227</v>
      </c>
      <c r="C2734" t="s">
        <v>16</v>
      </c>
      <c r="D2734" s="1">
        <v>45900</v>
      </c>
      <c r="E2734" t="s">
        <v>4124</v>
      </c>
      <c r="F2734" t="s">
        <v>4137</v>
      </c>
    </row>
    <row r="2735" spans="1:6">
      <c r="A2735" t="s">
        <v>6864</v>
      </c>
      <c r="B2735" t="s">
        <v>1227</v>
      </c>
      <c r="C2735" t="s">
        <v>16</v>
      </c>
      <c r="D2735" s="1">
        <v>45898</v>
      </c>
      <c r="E2735" t="s">
        <v>4133</v>
      </c>
      <c r="F2735" t="s">
        <v>4137</v>
      </c>
    </row>
    <row r="2736" spans="1:6">
      <c r="A2736" t="s">
        <v>6865</v>
      </c>
      <c r="B2736" t="s">
        <v>1227</v>
      </c>
      <c r="C2736" t="s">
        <v>16</v>
      </c>
      <c r="D2736" s="1">
        <v>45885</v>
      </c>
      <c r="E2736" t="s">
        <v>4124</v>
      </c>
      <c r="F2736" t="s">
        <v>4137</v>
      </c>
    </row>
    <row r="2737" spans="1:6">
      <c r="A2737" t="s">
        <v>6866</v>
      </c>
      <c r="B2737" t="s">
        <v>1228</v>
      </c>
      <c r="C2737" t="s">
        <v>70</v>
      </c>
      <c r="D2737" s="1">
        <v>45909</v>
      </c>
      <c r="E2737" t="s">
        <v>4135</v>
      </c>
      <c r="F2737" t="s">
        <v>4137</v>
      </c>
    </row>
    <row r="2738" spans="1:6">
      <c r="A2738" t="s">
        <v>6867</v>
      </c>
      <c r="B2738" t="s">
        <v>1228</v>
      </c>
      <c r="C2738" t="s">
        <v>70</v>
      </c>
      <c r="D2738" s="1">
        <v>45892</v>
      </c>
      <c r="E2738" t="s">
        <v>4124</v>
      </c>
      <c r="F2738" t="s">
        <v>4125</v>
      </c>
    </row>
    <row r="2739" spans="1:6">
      <c r="A2739" t="s">
        <v>6868</v>
      </c>
      <c r="B2739" t="s">
        <v>1228</v>
      </c>
      <c r="C2739" t="s">
        <v>70</v>
      </c>
      <c r="D2739" s="1">
        <v>45896</v>
      </c>
      <c r="E2739" t="s">
        <v>4129</v>
      </c>
      <c r="F2739" t="s">
        <v>4137</v>
      </c>
    </row>
    <row r="2740" spans="1:6">
      <c r="A2740" t="s">
        <v>6869</v>
      </c>
      <c r="B2740" t="s">
        <v>1228</v>
      </c>
      <c r="C2740" t="s">
        <v>70</v>
      </c>
      <c r="D2740" s="1">
        <v>45914</v>
      </c>
      <c r="E2740" t="s">
        <v>4127</v>
      </c>
      <c r="F2740" t="s">
        <v>4125</v>
      </c>
    </row>
    <row r="2741" spans="1:6">
      <c r="A2741" t="s">
        <v>6870</v>
      </c>
      <c r="B2741" t="s">
        <v>1229</v>
      </c>
      <c r="C2741" t="s">
        <v>78</v>
      </c>
      <c r="D2741" s="1">
        <v>46013</v>
      </c>
      <c r="E2741" t="s">
        <v>4124</v>
      </c>
      <c r="F2741" t="s">
        <v>4139</v>
      </c>
    </row>
    <row r="2742" spans="1:6">
      <c r="A2742" t="s">
        <v>6871</v>
      </c>
      <c r="B2742" t="s">
        <v>1229</v>
      </c>
      <c r="C2742" t="s">
        <v>78</v>
      </c>
      <c r="D2742" s="1">
        <v>46010</v>
      </c>
      <c r="E2742" t="s">
        <v>4135</v>
      </c>
      <c r="F2742" t="s">
        <v>4125</v>
      </c>
    </row>
    <row r="2743" spans="1:6">
      <c r="A2743" t="s">
        <v>6872</v>
      </c>
      <c r="B2743" t="s">
        <v>1229</v>
      </c>
      <c r="C2743" t="s">
        <v>78</v>
      </c>
      <c r="D2743" s="1">
        <v>46017</v>
      </c>
      <c r="E2743" t="s">
        <v>4124</v>
      </c>
      <c r="F2743" t="s">
        <v>4139</v>
      </c>
    </row>
    <row r="2744" spans="1:6">
      <c r="A2744" t="s">
        <v>6873</v>
      </c>
      <c r="B2744" t="s">
        <v>1229</v>
      </c>
      <c r="C2744" t="s">
        <v>78</v>
      </c>
      <c r="D2744" s="1">
        <v>46018</v>
      </c>
      <c r="E2744" t="s">
        <v>4129</v>
      </c>
      <c r="F2744" t="s">
        <v>4125</v>
      </c>
    </row>
    <row r="2745" spans="1:6">
      <c r="A2745" t="s">
        <v>6874</v>
      </c>
      <c r="B2745" t="s">
        <v>1229</v>
      </c>
      <c r="C2745" t="s">
        <v>78</v>
      </c>
      <c r="D2745" s="1">
        <v>46012</v>
      </c>
      <c r="E2745" t="s">
        <v>4133</v>
      </c>
      <c r="F2745" t="s">
        <v>4137</v>
      </c>
    </row>
    <row r="2746" spans="1:6">
      <c r="A2746" t="s">
        <v>6875</v>
      </c>
      <c r="B2746" t="s">
        <v>1230</v>
      </c>
      <c r="C2746" t="s">
        <v>63</v>
      </c>
      <c r="D2746" s="1">
        <v>45824</v>
      </c>
      <c r="E2746" t="s">
        <v>4133</v>
      </c>
      <c r="F2746" t="s">
        <v>4139</v>
      </c>
    </row>
    <row r="2747" spans="1:6">
      <c r="A2747" t="s">
        <v>6876</v>
      </c>
      <c r="B2747" t="s">
        <v>1230</v>
      </c>
      <c r="C2747" t="s">
        <v>63</v>
      </c>
      <c r="D2747" s="1">
        <v>45806</v>
      </c>
      <c r="E2747" t="s">
        <v>4127</v>
      </c>
      <c r="F2747" t="s">
        <v>4139</v>
      </c>
    </row>
    <row r="2748" spans="1:6">
      <c r="A2748" t="s">
        <v>6877</v>
      </c>
      <c r="B2748" t="s">
        <v>1231</v>
      </c>
      <c r="C2748" t="s">
        <v>119</v>
      </c>
      <c r="D2748" s="1">
        <v>45973</v>
      </c>
      <c r="E2748" t="s">
        <v>4127</v>
      </c>
      <c r="F2748" t="s">
        <v>4125</v>
      </c>
    </row>
    <row r="2749" spans="1:6">
      <c r="A2749" t="s">
        <v>6878</v>
      </c>
      <c r="B2749" t="s">
        <v>1231</v>
      </c>
      <c r="C2749" t="s">
        <v>119</v>
      </c>
      <c r="D2749" s="1">
        <v>46021</v>
      </c>
      <c r="E2749" t="s">
        <v>4129</v>
      </c>
      <c r="F2749" t="s">
        <v>4137</v>
      </c>
    </row>
    <row r="2750" spans="1:6">
      <c r="A2750" t="s">
        <v>6879</v>
      </c>
      <c r="B2750" t="s">
        <v>1231</v>
      </c>
      <c r="C2750" t="s">
        <v>119</v>
      </c>
      <c r="D2750" s="1">
        <v>46008</v>
      </c>
      <c r="E2750" t="s">
        <v>4127</v>
      </c>
      <c r="F2750" t="s">
        <v>4139</v>
      </c>
    </row>
    <row r="2751" spans="1:6">
      <c r="A2751" t="s">
        <v>6880</v>
      </c>
      <c r="B2751" t="s">
        <v>1232</v>
      </c>
      <c r="C2751" t="s">
        <v>75</v>
      </c>
      <c r="D2751" s="1">
        <v>45719</v>
      </c>
      <c r="E2751" t="s">
        <v>4124</v>
      </c>
      <c r="F2751" t="s">
        <v>4137</v>
      </c>
    </row>
    <row r="2752" spans="1:6">
      <c r="A2752" t="s">
        <v>6881</v>
      </c>
      <c r="B2752" t="s">
        <v>1232</v>
      </c>
      <c r="C2752" t="s">
        <v>75</v>
      </c>
      <c r="D2752" s="1">
        <v>45752</v>
      </c>
      <c r="E2752" t="s">
        <v>4135</v>
      </c>
      <c r="F2752" t="s">
        <v>4139</v>
      </c>
    </row>
    <row r="2753" spans="1:6">
      <c r="A2753" t="s">
        <v>6882</v>
      </c>
      <c r="B2753" t="s">
        <v>1232</v>
      </c>
      <c r="C2753" t="s">
        <v>75</v>
      </c>
      <c r="D2753" s="1">
        <v>45733</v>
      </c>
      <c r="E2753" t="s">
        <v>4133</v>
      </c>
      <c r="F2753" t="s">
        <v>4137</v>
      </c>
    </row>
    <row r="2754" spans="1:6">
      <c r="A2754" t="s">
        <v>6883</v>
      </c>
      <c r="B2754" t="s">
        <v>1232</v>
      </c>
      <c r="C2754" t="s">
        <v>75</v>
      </c>
      <c r="D2754" s="1">
        <v>45735</v>
      </c>
      <c r="E2754" t="s">
        <v>4124</v>
      </c>
      <c r="F2754" t="s">
        <v>4139</v>
      </c>
    </row>
    <row r="2755" spans="1:6">
      <c r="A2755" t="s">
        <v>6884</v>
      </c>
      <c r="B2755" t="s">
        <v>1233</v>
      </c>
      <c r="C2755" t="s">
        <v>36</v>
      </c>
      <c r="D2755" s="1">
        <v>45803</v>
      </c>
      <c r="E2755" t="s">
        <v>4124</v>
      </c>
      <c r="F2755" t="s">
        <v>4139</v>
      </c>
    </row>
    <row r="2756" spans="1:6">
      <c r="A2756" t="s">
        <v>6885</v>
      </c>
      <c r="B2756" t="s">
        <v>1233</v>
      </c>
      <c r="C2756" t="s">
        <v>36</v>
      </c>
      <c r="D2756" s="1">
        <v>45800</v>
      </c>
      <c r="E2756" t="s">
        <v>4124</v>
      </c>
      <c r="F2756" t="s">
        <v>4137</v>
      </c>
    </row>
    <row r="2757" spans="1:6">
      <c r="A2757" t="s">
        <v>6886</v>
      </c>
      <c r="B2757" t="s">
        <v>1233</v>
      </c>
      <c r="C2757" t="s">
        <v>36</v>
      </c>
      <c r="D2757" s="1">
        <v>45842</v>
      </c>
      <c r="E2757" t="s">
        <v>4133</v>
      </c>
      <c r="F2757" t="s">
        <v>4139</v>
      </c>
    </row>
    <row r="2758" spans="1:6">
      <c r="A2758" t="s">
        <v>6887</v>
      </c>
      <c r="B2758" t="s">
        <v>1234</v>
      </c>
      <c r="C2758" t="s">
        <v>32</v>
      </c>
      <c r="D2758" s="1">
        <v>45743</v>
      </c>
      <c r="E2758" t="s">
        <v>4133</v>
      </c>
      <c r="F2758" t="s">
        <v>4125</v>
      </c>
    </row>
    <row r="2759" spans="1:6">
      <c r="A2759" t="s">
        <v>6888</v>
      </c>
      <c r="B2759" t="s">
        <v>1234</v>
      </c>
      <c r="C2759" t="s">
        <v>32</v>
      </c>
      <c r="D2759" s="1">
        <v>45753</v>
      </c>
      <c r="E2759" t="s">
        <v>4133</v>
      </c>
      <c r="F2759" t="s">
        <v>4137</v>
      </c>
    </row>
    <row r="2760" spans="1:6">
      <c r="A2760" t="s">
        <v>6889</v>
      </c>
      <c r="B2760" t="s">
        <v>1236</v>
      </c>
      <c r="C2760" t="s">
        <v>32</v>
      </c>
      <c r="D2760" s="1">
        <v>45799</v>
      </c>
      <c r="E2760" t="s">
        <v>4135</v>
      </c>
      <c r="F2760" t="s">
        <v>4139</v>
      </c>
    </row>
    <row r="2761" spans="1:6">
      <c r="A2761" t="s">
        <v>6890</v>
      </c>
      <c r="B2761" t="s">
        <v>1236</v>
      </c>
      <c r="C2761" t="s">
        <v>32</v>
      </c>
      <c r="D2761" s="1">
        <v>45795</v>
      </c>
      <c r="E2761" t="s">
        <v>4127</v>
      </c>
      <c r="F2761" t="s">
        <v>4125</v>
      </c>
    </row>
    <row r="2762" spans="1:6">
      <c r="A2762" t="s">
        <v>6891</v>
      </c>
      <c r="B2762" t="s">
        <v>1236</v>
      </c>
      <c r="C2762" t="s">
        <v>32</v>
      </c>
      <c r="D2762" s="1">
        <v>45775</v>
      </c>
      <c r="E2762" t="s">
        <v>4133</v>
      </c>
      <c r="F2762" t="s">
        <v>4137</v>
      </c>
    </row>
    <row r="2763" spans="1:6">
      <c r="A2763" t="s">
        <v>6892</v>
      </c>
      <c r="B2763" t="s">
        <v>1236</v>
      </c>
      <c r="C2763" t="s">
        <v>32</v>
      </c>
      <c r="D2763" s="1">
        <v>45778</v>
      </c>
      <c r="E2763" t="s">
        <v>4124</v>
      </c>
      <c r="F2763" t="s">
        <v>4137</v>
      </c>
    </row>
    <row r="2764" spans="1:6">
      <c r="A2764" t="s">
        <v>6893</v>
      </c>
      <c r="B2764" t="s">
        <v>1238</v>
      </c>
      <c r="C2764" t="s">
        <v>56</v>
      </c>
      <c r="D2764" s="1">
        <v>46001</v>
      </c>
      <c r="E2764" t="s">
        <v>4124</v>
      </c>
      <c r="F2764" t="s">
        <v>4125</v>
      </c>
    </row>
    <row r="2765" spans="1:6">
      <c r="A2765" t="s">
        <v>6894</v>
      </c>
      <c r="B2765" t="s">
        <v>1238</v>
      </c>
      <c r="C2765" t="s">
        <v>56</v>
      </c>
      <c r="D2765" s="1">
        <v>45977</v>
      </c>
      <c r="E2765" t="s">
        <v>4133</v>
      </c>
      <c r="F2765" t="s">
        <v>4125</v>
      </c>
    </row>
    <row r="2766" spans="1:6">
      <c r="A2766" t="s">
        <v>6895</v>
      </c>
      <c r="B2766" t="s">
        <v>1238</v>
      </c>
      <c r="C2766" t="s">
        <v>56</v>
      </c>
      <c r="D2766" s="1">
        <v>45968</v>
      </c>
      <c r="E2766" t="s">
        <v>4129</v>
      </c>
      <c r="F2766" t="s">
        <v>4139</v>
      </c>
    </row>
    <row r="2767" spans="1:6">
      <c r="A2767" t="s">
        <v>6896</v>
      </c>
      <c r="B2767" t="s">
        <v>1238</v>
      </c>
      <c r="C2767" t="s">
        <v>56</v>
      </c>
      <c r="D2767" s="1">
        <v>45991</v>
      </c>
      <c r="E2767" t="s">
        <v>4135</v>
      </c>
      <c r="F2767" t="s">
        <v>4139</v>
      </c>
    </row>
    <row r="2768" spans="1:6">
      <c r="A2768" t="s">
        <v>6897</v>
      </c>
      <c r="B2768" t="s">
        <v>1239</v>
      </c>
      <c r="C2768" t="s">
        <v>126</v>
      </c>
      <c r="D2768" s="1">
        <v>45684</v>
      </c>
      <c r="E2768" t="s">
        <v>4124</v>
      </c>
      <c r="F2768" t="s">
        <v>4139</v>
      </c>
    </row>
    <row r="2769" spans="1:6">
      <c r="A2769" t="s">
        <v>6898</v>
      </c>
      <c r="B2769" t="s">
        <v>1239</v>
      </c>
      <c r="C2769" t="s">
        <v>126</v>
      </c>
      <c r="D2769" s="1">
        <v>45689</v>
      </c>
      <c r="E2769" t="s">
        <v>4133</v>
      </c>
      <c r="F2769" t="s">
        <v>4139</v>
      </c>
    </row>
    <row r="2770" spans="1:6">
      <c r="A2770" t="s">
        <v>6899</v>
      </c>
      <c r="B2770" t="s">
        <v>1239</v>
      </c>
      <c r="C2770" t="s">
        <v>126</v>
      </c>
      <c r="D2770" s="1">
        <v>45694</v>
      </c>
      <c r="E2770" t="s">
        <v>4127</v>
      </c>
      <c r="F2770" t="s">
        <v>4125</v>
      </c>
    </row>
    <row r="2771" spans="1:6">
      <c r="A2771" t="s">
        <v>6900</v>
      </c>
      <c r="B2771" t="s">
        <v>1239</v>
      </c>
      <c r="C2771" t="s">
        <v>126</v>
      </c>
      <c r="D2771" s="1">
        <v>45700</v>
      </c>
      <c r="E2771" t="s">
        <v>4124</v>
      </c>
      <c r="F2771" t="s">
        <v>4139</v>
      </c>
    </row>
    <row r="2772" spans="1:6">
      <c r="A2772" t="s">
        <v>6901</v>
      </c>
      <c r="B2772" t="s">
        <v>1239</v>
      </c>
      <c r="C2772" t="s">
        <v>126</v>
      </c>
      <c r="D2772" s="1">
        <v>45685</v>
      </c>
      <c r="E2772" t="s">
        <v>4135</v>
      </c>
      <c r="F2772" t="s">
        <v>4137</v>
      </c>
    </row>
    <row r="2773" spans="1:6">
      <c r="A2773" t="s">
        <v>6902</v>
      </c>
      <c r="B2773" t="s">
        <v>1240</v>
      </c>
      <c r="C2773" t="s">
        <v>126</v>
      </c>
      <c r="D2773" s="1">
        <v>45855</v>
      </c>
      <c r="E2773" t="s">
        <v>4133</v>
      </c>
      <c r="F2773" t="s">
        <v>4139</v>
      </c>
    </row>
    <row r="2774" spans="1:6">
      <c r="A2774" t="s">
        <v>6903</v>
      </c>
      <c r="B2774" t="s">
        <v>1240</v>
      </c>
      <c r="C2774" t="s">
        <v>126</v>
      </c>
      <c r="D2774" s="1">
        <v>45862</v>
      </c>
      <c r="E2774" t="s">
        <v>4133</v>
      </c>
      <c r="F2774" t="s">
        <v>4137</v>
      </c>
    </row>
    <row r="2775" spans="1:6">
      <c r="A2775" t="s">
        <v>6904</v>
      </c>
      <c r="B2775" t="s">
        <v>1240</v>
      </c>
      <c r="C2775" t="s">
        <v>126</v>
      </c>
      <c r="D2775" s="1">
        <v>45856</v>
      </c>
      <c r="E2775" t="s">
        <v>4135</v>
      </c>
      <c r="F2775" t="s">
        <v>4137</v>
      </c>
    </row>
    <row r="2776" spans="1:6">
      <c r="A2776" t="s">
        <v>6905</v>
      </c>
      <c r="B2776" t="s">
        <v>1241</v>
      </c>
      <c r="C2776" t="s">
        <v>56</v>
      </c>
      <c r="D2776" s="1">
        <v>46021</v>
      </c>
      <c r="E2776" t="s">
        <v>4129</v>
      </c>
      <c r="F2776" t="s">
        <v>4139</v>
      </c>
    </row>
    <row r="2777" spans="1:6">
      <c r="A2777" t="s">
        <v>6906</v>
      </c>
      <c r="B2777" t="s">
        <v>1241</v>
      </c>
      <c r="C2777" t="s">
        <v>56</v>
      </c>
      <c r="D2777" s="1">
        <v>46018</v>
      </c>
      <c r="E2777" t="s">
        <v>4124</v>
      </c>
      <c r="F2777" t="s">
        <v>4139</v>
      </c>
    </row>
    <row r="2778" spans="1:6">
      <c r="A2778" t="s">
        <v>6907</v>
      </c>
      <c r="B2778" t="s">
        <v>1241</v>
      </c>
      <c r="C2778" t="s">
        <v>56</v>
      </c>
      <c r="D2778" s="1">
        <v>46018</v>
      </c>
      <c r="E2778" t="s">
        <v>4127</v>
      </c>
      <c r="F2778" t="s">
        <v>4137</v>
      </c>
    </row>
    <row r="2779" spans="1:6">
      <c r="A2779" t="s">
        <v>6908</v>
      </c>
      <c r="B2779" t="s">
        <v>1242</v>
      </c>
      <c r="C2779" t="s">
        <v>78</v>
      </c>
      <c r="D2779" s="1">
        <v>45705</v>
      </c>
      <c r="E2779" t="s">
        <v>4133</v>
      </c>
      <c r="F2779" t="s">
        <v>4125</v>
      </c>
    </row>
    <row r="2780" spans="1:6">
      <c r="A2780" t="s">
        <v>6909</v>
      </c>
      <c r="B2780" t="s">
        <v>1242</v>
      </c>
      <c r="C2780" t="s">
        <v>78</v>
      </c>
      <c r="D2780" s="1">
        <v>45676</v>
      </c>
      <c r="E2780" t="s">
        <v>4133</v>
      </c>
      <c r="F2780" t="s">
        <v>4139</v>
      </c>
    </row>
    <row r="2781" spans="1:6">
      <c r="A2781" t="s">
        <v>6910</v>
      </c>
      <c r="B2781" t="s">
        <v>1243</v>
      </c>
      <c r="C2781" t="s">
        <v>119</v>
      </c>
      <c r="D2781" s="1">
        <v>45749</v>
      </c>
      <c r="E2781" t="s">
        <v>4135</v>
      </c>
      <c r="F2781" t="s">
        <v>4139</v>
      </c>
    </row>
    <row r="2782" spans="1:6">
      <c r="A2782" t="s">
        <v>6911</v>
      </c>
      <c r="B2782" t="s">
        <v>1243</v>
      </c>
      <c r="C2782" t="s">
        <v>119</v>
      </c>
      <c r="D2782" s="1">
        <v>45730</v>
      </c>
      <c r="E2782" t="s">
        <v>4133</v>
      </c>
      <c r="F2782" t="s">
        <v>4125</v>
      </c>
    </row>
    <row r="2783" spans="1:6">
      <c r="A2783" t="s">
        <v>6912</v>
      </c>
      <c r="B2783" t="s">
        <v>1243</v>
      </c>
      <c r="C2783" t="s">
        <v>119</v>
      </c>
      <c r="D2783" s="1">
        <v>45769</v>
      </c>
      <c r="E2783" t="s">
        <v>4129</v>
      </c>
      <c r="F2783" t="s">
        <v>4125</v>
      </c>
    </row>
    <row r="2784" spans="1:6">
      <c r="A2784" t="s">
        <v>6913</v>
      </c>
      <c r="B2784" t="s">
        <v>1244</v>
      </c>
      <c r="C2784" t="s">
        <v>75</v>
      </c>
      <c r="D2784" s="1">
        <v>45954</v>
      </c>
      <c r="E2784" t="s">
        <v>4129</v>
      </c>
      <c r="F2784" t="s">
        <v>4139</v>
      </c>
    </row>
    <row r="2785" spans="1:6">
      <c r="A2785" t="s">
        <v>6914</v>
      </c>
      <c r="B2785" t="s">
        <v>1244</v>
      </c>
      <c r="C2785" t="s">
        <v>75</v>
      </c>
      <c r="D2785" s="1">
        <v>45944</v>
      </c>
      <c r="E2785" t="s">
        <v>4133</v>
      </c>
      <c r="F2785" t="s">
        <v>4137</v>
      </c>
    </row>
    <row r="2786" spans="1:6">
      <c r="A2786" t="s">
        <v>6915</v>
      </c>
      <c r="B2786" t="s">
        <v>1244</v>
      </c>
      <c r="C2786" t="s">
        <v>75</v>
      </c>
      <c r="D2786" s="1">
        <v>45964</v>
      </c>
      <c r="E2786" t="s">
        <v>4135</v>
      </c>
      <c r="F2786" t="s">
        <v>4139</v>
      </c>
    </row>
    <row r="2787" spans="1:6">
      <c r="A2787" t="s">
        <v>6916</v>
      </c>
      <c r="B2787" t="s">
        <v>1244</v>
      </c>
      <c r="C2787" t="s">
        <v>75</v>
      </c>
      <c r="D2787" s="1">
        <v>45983</v>
      </c>
      <c r="E2787" t="s">
        <v>4135</v>
      </c>
      <c r="F2787" t="s">
        <v>4125</v>
      </c>
    </row>
    <row r="2788" spans="1:6">
      <c r="A2788" t="s">
        <v>6917</v>
      </c>
      <c r="B2788" t="s">
        <v>1245</v>
      </c>
      <c r="C2788" t="s">
        <v>50</v>
      </c>
      <c r="D2788" s="1">
        <v>45738</v>
      </c>
      <c r="E2788" t="s">
        <v>4127</v>
      </c>
      <c r="F2788" t="s">
        <v>4137</v>
      </c>
    </row>
    <row r="2789" spans="1:6">
      <c r="A2789" t="s">
        <v>6918</v>
      </c>
      <c r="B2789" t="s">
        <v>1245</v>
      </c>
      <c r="C2789" t="s">
        <v>50</v>
      </c>
      <c r="D2789" s="1">
        <v>45733</v>
      </c>
      <c r="E2789" t="s">
        <v>4133</v>
      </c>
      <c r="F2789" t="s">
        <v>4139</v>
      </c>
    </row>
    <row r="2790" spans="1:6">
      <c r="A2790" t="s">
        <v>6919</v>
      </c>
      <c r="B2790" t="s">
        <v>1245</v>
      </c>
      <c r="C2790" t="s">
        <v>50</v>
      </c>
      <c r="D2790" s="1">
        <v>45733</v>
      </c>
      <c r="E2790" t="s">
        <v>4133</v>
      </c>
      <c r="F2790" t="s">
        <v>4125</v>
      </c>
    </row>
    <row r="2791" spans="1:6">
      <c r="A2791" t="s">
        <v>6920</v>
      </c>
      <c r="B2791" t="s">
        <v>1245</v>
      </c>
      <c r="C2791" t="s">
        <v>50</v>
      </c>
      <c r="D2791" s="1">
        <v>45733</v>
      </c>
      <c r="E2791" t="s">
        <v>4133</v>
      </c>
      <c r="F2791" t="s">
        <v>4137</v>
      </c>
    </row>
    <row r="2792" spans="1:6">
      <c r="A2792" t="s">
        <v>6921</v>
      </c>
      <c r="B2792" t="s">
        <v>1245</v>
      </c>
      <c r="C2792" t="s">
        <v>50</v>
      </c>
      <c r="D2792" s="1">
        <v>45738</v>
      </c>
      <c r="E2792" t="s">
        <v>4129</v>
      </c>
      <c r="F2792" t="s">
        <v>4139</v>
      </c>
    </row>
    <row r="2793" spans="1:6">
      <c r="A2793" t="s">
        <v>6922</v>
      </c>
      <c r="B2793" t="s">
        <v>1246</v>
      </c>
      <c r="C2793" t="s">
        <v>75</v>
      </c>
      <c r="D2793" s="1">
        <v>45923</v>
      </c>
      <c r="E2793" t="s">
        <v>4133</v>
      </c>
      <c r="F2793" t="s">
        <v>4125</v>
      </c>
    </row>
    <row r="2794" spans="1:6">
      <c r="A2794" t="s">
        <v>6923</v>
      </c>
      <c r="B2794" t="s">
        <v>1246</v>
      </c>
      <c r="C2794" t="s">
        <v>75</v>
      </c>
      <c r="D2794" s="1">
        <v>45908</v>
      </c>
      <c r="E2794" t="s">
        <v>4127</v>
      </c>
      <c r="F2794" t="s">
        <v>4137</v>
      </c>
    </row>
    <row r="2795" spans="1:6">
      <c r="A2795" t="s">
        <v>6924</v>
      </c>
      <c r="B2795" t="s">
        <v>1247</v>
      </c>
      <c r="C2795" t="s">
        <v>70</v>
      </c>
      <c r="D2795" s="1">
        <v>45954</v>
      </c>
      <c r="E2795" t="s">
        <v>4129</v>
      </c>
      <c r="F2795" t="s">
        <v>4125</v>
      </c>
    </row>
    <row r="2796" spans="1:6">
      <c r="A2796" t="s">
        <v>6925</v>
      </c>
      <c r="B2796" t="s">
        <v>1247</v>
      </c>
      <c r="C2796" t="s">
        <v>70</v>
      </c>
      <c r="D2796" s="1">
        <v>45946</v>
      </c>
      <c r="E2796" t="s">
        <v>4127</v>
      </c>
      <c r="F2796" t="s">
        <v>4137</v>
      </c>
    </row>
    <row r="2797" spans="1:6">
      <c r="A2797" t="s">
        <v>6926</v>
      </c>
      <c r="B2797" t="s">
        <v>1247</v>
      </c>
      <c r="C2797" t="s">
        <v>70</v>
      </c>
      <c r="D2797" s="1">
        <v>45949</v>
      </c>
      <c r="E2797" t="s">
        <v>4133</v>
      </c>
      <c r="F2797" t="s">
        <v>4139</v>
      </c>
    </row>
    <row r="2798" spans="1:6">
      <c r="A2798" t="s">
        <v>6927</v>
      </c>
      <c r="B2798" t="s">
        <v>1248</v>
      </c>
      <c r="C2798" t="s">
        <v>50</v>
      </c>
      <c r="D2798" s="1">
        <v>46005</v>
      </c>
      <c r="E2798" t="s">
        <v>4133</v>
      </c>
      <c r="F2798" t="s">
        <v>4139</v>
      </c>
    </row>
    <row r="2799" spans="1:6">
      <c r="A2799" t="s">
        <v>6928</v>
      </c>
      <c r="B2799" t="s">
        <v>1248</v>
      </c>
      <c r="C2799" t="s">
        <v>50</v>
      </c>
      <c r="D2799" s="1">
        <v>46014</v>
      </c>
      <c r="E2799" t="s">
        <v>4133</v>
      </c>
      <c r="F2799" t="s">
        <v>4139</v>
      </c>
    </row>
    <row r="2800" spans="1:6">
      <c r="A2800" t="s">
        <v>6929</v>
      </c>
      <c r="B2800" t="s">
        <v>1248</v>
      </c>
      <c r="C2800" t="s">
        <v>50</v>
      </c>
      <c r="D2800" s="1">
        <v>46018</v>
      </c>
      <c r="E2800" t="s">
        <v>4127</v>
      </c>
      <c r="F2800" t="s">
        <v>4139</v>
      </c>
    </row>
    <row r="2801" spans="1:6">
      <c r="A2801" t="s">
        <v>6930</v>
      </c>
      <c r="B2801" t="s">
        <v>1248</v>
      </c>
      <c r="C2801" t="s">
        <v>50</v>
      </c>
      <c r="D2801" s="1">
        <v>46000</v>
      </c>
      <c r="E2801" t="s">
        <v>4127</v>
      </c>
      <c r="F2801" t="s">
        <v>4125</v>
      </c>
    </row>
    <row r="2802" spans="1:6">
      <c r="A2802" t="s">
        <v>6931</v>
      </c>
      <c r="B2802" t="s">
        <v>1248</v>
      </c>
      <c r="C2802" t="s">
        <v>50</v>
      </c>
      <c r="D2802" s="1">
        <v>45997</v>
      </c>
      <c r="E2802" t="s">
        <v>4133</v>
      </c>
      <c r="F2802" t="s">
        <v>4137</v>
      </c>
    </row>
    <row r="2803" spans="1:6">
      <c r="A2803" t="s">
        <v>6932</v>
      </c>
      <c r="B2803" t="s">
        <v>1249</v>
      </c>
      <c r="C2803" t="s">
        <v>91</v>
      </c>
      <c r="D2803" s="1">
        <v>45938</v>
      </c>
      <c r="E2803" t="s">
        <v>4127</v>
      </c>
      <c r="F2803" t="s">
        <v>4125</v>
      </c>
    </row>
    <row r="2804" spans="1:6">
      <c r="A2804" t="s">
        <v>6933</v>
      </c>
      <c r="B2804" t="s">
        <v>1249</v>
      </c>
      <c r="C2804" t="s">
        <v>91</v>
      </c>
      <c r="D2804" s="1">
        <v>45943</v>
      </c>
      <c r="E2804" t="s">
        <v>4127</v>
      </c>
      <c r="F2804" t="s">
        <v>4137</v>
      </c>
    </row>
    <row r="2805" spans="1:6">
      <c r="A2805" t="s">
        <v>6934</v>
      </c>
      <c r="B2805" t="s">
        <v>1249</v>
      </c>
      <c r="C2805" t="s">
        <v>91</v>
      </c>
      <c r="D2805" s="1">
        <v>45971</v>
      </c>
      <c r="E2805" t="s">
        <v>4133</v>
      </c>
      <c r="F2805" t="s">
        <v>4137</v>
      </c>
    </row>
    <row r="2806" spans="1:6">
      <c r="A2806" t="s">
        <v>6935</v>
      </c>
      <c r="B2806" t="s">
        <v>1249</v>
      </c>
      <c r="C2806" t="s">
        <v>91</v>
      </c>
      <c r="D2806" s="1">
        <v>45948</v>
      </c>
      <c r="E2806" t="s">
        <v>4135</v>
      </c>
      <c r="F2806" t="s">
        <v>4125</v>
      </c>
    </row>
    <row r="2807" spans="1:6">
      <c r="A2807" t="s">
        <v>6936</v>
      </c>
      <c r="B2807" t="s">
        <v>1249</v>
      </c>
      <c r="C2807" t="s">
        <v>91</v>
      </c>
      <c r="D2807" s="1">
        <v>45953</v>
      </c>
      <c r="E2807" t="s">
        <v>4133</v>
      </c>
      <c r="F2807" t="s">
        <v>4125</v>
      </c>
    </row>
    <row r="2808" spans="1:6">
      <c r="A2808" t="s">
        <v>6937</v>
      </c>
      <c r="B2808" t="s">
        <v>1251</v>
      </c>
      <c r="C2808" t="s">
        <v>59</v>
      </c>
      <c r="D2808" s="1">
        <v>45686</v>
      </c>
      <c r="E2808" t="s">
        <v>4129</v>
      </c>
      <c r="F2808" t="s">
        <v>4125</v>
      </c>
    </row>
    <row r="2809" spans="1:6">
      <c r="A2809" t="s">
        <v>6938</v>
      </c>
      <c r="B2809" t="s">
        <v>1251</v>
      </c>
      <c r="C2809" t="s">
        <v>59</v>
      </c>
      <c r="D2809" s="1">
        <v>45718</v>
      </c>
      <c r="E2809" t="s">
        <v>4135</v>
      </c>
      <c r="F2809" t="s">
        <v>4139</v>
      </c>
    </row>
    <row r="2810" spans="1:6">
      <c r="A2810" t="s">
        <v>6939</v>
      </c>
      <c r="B2810" t="s">
        <v>1251</v>
      </c>
      <c r="C2810" t="s">
        <v>59</v>
      </c>
      <c r="D2810" s="1">
        <v>45689</v>
      </c>
      <c r="E2810" t="s">
        <v>4133</v>
      </c>
      <c r="F2810" t="s">
        <v>4137</v>
      </c>
    </row>
    <row r="2811" spans="1:6">
      <c r="A2811" t="s">
        <v>6940</v>
      </c>
      <c r="B2811" t="s">
        <v>1251</v>
      </c>
      <c r="C2811" t="s">
        <v>59</v>
      </c>
      <c r="D2811" s="1">
        <v>45688</v>
      </c>
      <c r="E2811" t="s">
        <v>4133</v>
      </c>
      <c r="F2811" t="s">
        <v>4137</v>
      </c>
    </row>
    <row r="2812" spans="1:6">
      <c r="A2812" t="s">
        <v>6941</v>
      </c>
      <c r="B2812" t="s">
        <v>1252</v>
      </c>
      <c r="C2812" t="s">
        <v>27</v>
      </c>
      <c r="D2812" s="1">
        <v>45949</v>
      </c>
      <c r="E2812" t="s">
        <v>4135</v>
      </c>
      <c r="F2812" t="s">
        <v>4125</v>
      </c>
    </row>
    <row r="2813" spans="1:6">
      <c r="A2813" t="s">
        <v>6942</v>
      </c>
      <c r="B2813" t="s">
        <v>1252</v>
      </c>
      <c r="C2813" t="s">
        <v>27</v>
      </c>
      <c r="D2813" s="1">
        <v>45945</v>
      </c>
      <c r="E2813" t="s">
        <v>4124</v>
      </c>
      <c r="F2813" t="s">
        <v>4125</v>
      </c>
    </row>
    <row r="2814" spans="1:6">
      <c r="A2814" t="s">
        <v>6943</v>
      </c>
      <c r="B2814" t="s">
        <v>1252</v>
      </c>
      <c r="C2814" t="s">
        <v>27</v>
      </c>
      <c r="D2814" s="1">
        <v>45945</v>
      </c>
      <c r="E2814" t="s">
        <v>4129</v>
      </c>
      <c r="F2814" t="s">
        <v>4125</v>
      </c>
    </row>
    <row r="2815" spans="1:6">
      <c r="A2815" t="s">
        <v>6944</v>
      </c>
      <c r="B2815" t="s">
        <v>1252</v>
      </c>
      <c r="C2815" t="s">
        <v>27</v>
      </c>
      <c r="D2815" s="1">
        <v>45943</v>
      </c>
      <c r="E2815" t="s">
        <v>4124</v>
      </c>
      <c r="F2815" t="s">
        <v>4137</v>
      </c>
    </row>
    <row r="2816" spans="1:6">
      <c r="A2816" t="s">
        <v>6945</v>
      </c>
      <c r="B2816" t="s">
        <v>1252</v>
      </c>
      <c r="C2816" t="s">
        <v>27</v>
      </c>
      <c r="D2816" s="1">
        <v>45945</v>
      </c>
      <c r="E2816" t="s">
        <v>4135</v>
      </c>
      <c r="F2816" t="s">
        <v>4125</v>
      </c>
    </row>
    <row r="2817" spans="1:6">
      <c r="A2817" t="s">
        <v>6946</v>
      </c>
      <c r="B2817" t="s">
        <v>1253</v>
      </c>
      <c r="C2817" t="s">
        <v>59</v>
      </c>
      <c r="D2817" s="1">
        <v>45979</v>
      </c>
      <c r="E2817" t="s">
        <v>4133</v>
      </c>
      <c r="F2817" t="s">
        <v>4139</v>
      </c>
    </row>
    <row r="2818" spans="1:6">
      <c r="A2818" t="s">
        <v>6947</v>
      </c>
      <c r="B2818" t="s">
        <v>1253</v>
      </c>
      <c r="C2818" t="s">
        <v>59</v>
      </c>
      <c r="D2818" s="1">
        <v>46002</v>
      </c>
      <c r="E2818" t="s">
        <v>4124</v>
      </c>
      <c r="F2818" t="s">
        <v>4125</v>
      </c>
    </row>
    <row r="2819" spans="1:6">
      <c r="A2819" t="s">
        <v>6948</v>
      </c>
      <c r="B2819" t="s">
        <v>1253</v>
      </c>
      <c r="C2819" t="s">
        <v>59</v>
      </c>
      <c r="D2819" s="1">
        <v>45978</v>
      </c>
      <c r="E2819" t="s">
        <v>4127</v>
      </c>
      <c r="F2819" t="s">
        <v>4125</v>
      </c>
    </row>
    <row r="2820" spans="1:6">
      <c r="A2820" t="s">
        <v>6949</v>
      </c>
      <c r="B2820" t="s">
        <v>1253</v>
      </c>
      <c r="C2820" t="s">
        <v>59</v>
      </c>
      <c r="D2820" s="1">
        <v>45997</v>
      </c>
      <c r="E2820" t="s">
        <v>4129</v>
      </c>
      <c r="F2820" t="s">
        <v>4137</v>
      </c>
    </row>
    <row r="2821" spans="1:6">
      <c r="A2821" t="s">
        <v>6950</v>
      </c>
      <c r="B2821" t="s">
        <v>1254</v>
      </c>
      <c r="C2821" t="s">
        <v>91</v>
      </c>
      <c r="D2821" s="1">
        <v>45791</v>
      </c>
      <c r="E2821" t="s">
        <v>4127</v>
      </c>
      <c r="F2821" t="s">
        <v>4137</v>
      </c>
    </row>
    <row r="2822" spans="1:6">
      <c r="A2822" t="s">
        <v>6951</v>
      </c>
      <c r="B2822" t="s">
        <v>1254</v>
      </c>
      <c r="C2822" t="s">
        <v>91</v>
      </c>
      <c r="D2822" s="1">
        <v>45786</v>
      </c>
      <c r="E2822" t="s">
        <v>4135</v>
      </c>
      <c r="F2822" t="s">
        <v>4137</v>
      </c>
    </row>
    <row r="2823" spans="1:6">
      <c r="A2823" t="s">
        <v>6952</v>
      </c>
      <c r="B2823" t="s">
        <v>1254</v>
      </c>
      <c r="C2823" t="s">
        <v>91</v>
      </c>
      <c r="D2823" s="1">
        <v>45798</v>
      </c>
      <c r="E2823" t="s">
        <v>4135</v>
      </c>
      <c r="F2823" t="s">
        <v>4125</v>
      </c>
    </row>
    <row r="2824" spans="1:6">
      <c r="A2824" t="s">
        <v>6953</v>
      </c>
      <c r="B2824" t="s">
        <v>1256</v>
      </c>
      <c r="C2824" t="s">
        <v>16</v>
      </c>
      <c r="D2824" s="1">
        <v>45955</v>
      </c>
      <c r="E2824" t="s">
        <v>4124</v>
      </c>
      <c r="F2824" t="s">
        <v>4137</v>
      </c>
    </row>
    <row r="2825" spans="1:6">
      <c r="A2825" t="s">
        <v>6954</v>
      </c>
      <c r="B2825" t="s">
        <v>1256</v>
      </c>
      <c r="C2825" t="s">
        <v>16</v>
      </c>
      <c r="D2825" s="1">
        <v>45954</v>
      </c>
      <c r="E2825" t="s">
        <v>4129</v>
      </c>
      <c r="F2825" t="s">
        <v>4125</v>
      </c>
    </row>
    <row r="2826" spans="1:6">
      <c r="A2826" t="s">
        <v>6955</v>
      </c>
      <c r="B2826" t="s">
        <v>1256</v>
      </c>
      <c r="C2826" t="s">
        <v>16</v>
      </c>
      <c r="D2826" s="1">
        <v>45969</v>
      </c>
      <c r="E2826" t="s">
        <v>4129</v>
      </c>
      <c r="F2826" t="s">
        <v>4139</v>
      </c>
    </row>
    <row r="2827" spans="1:6">
      <c r="A2827" t="s">
        <v>6956</v>
      </c>
      <c r="B2827" t="s">
        <v>1256</v>
      </c>
      <c r="C2827" t="s">
        <v>16</v>
      </c>
      <c r="D2827" s="1">
        <v>45950</v>
      </c>
      <c r="E2827" t="s">
        <v>4133</v>
      </c>
      <c r="F2827" t="s">
        <v>4137</v>
      </c>
    </row>
    <row r="2828" spans="1:6">
      <c r="A2828" t="s">
        <v>6957</v>
      </c>
      <c r="B2828" t="s">
        <v>1256</v>
      </c>
      <c r="C2828" t="s">
        <v>16</v>
      </c>
      <c r="D2828" s="1">
        <v>45951</v>
      </c>
      <c r="E2828" t="s">
        <v>4129</v>
      </c>
      <c r="F2828" t="s">
        <v>4125</v>
      </c>
    </row>
    <row r="2829" spans="1:6">
      <c r="A2829" t="s">
        <v>6958</v>
      </c>
      <c r="B2829" t="s">
        <v>1257</v>
      </c>
      <c r="C2829" t="s">
        <v>78</v>
      </c>
      <c r="D2829" s="1">
        <v>45800</v>
      </c>
      <c r="E2829" t="s">
        <v>4127</v>
      </c>
      <c r="F2829" t="s">
        <v>4125</v>
      </c>
    </row>
    <row r="2830" spans="1:6">
      <c r="A2830" t="s">
        <v>6959</v>
      </c>
      <c r="B2830" t="s">
        <v>1257</v>
      </c>
      <c r="C2830" t="s">
        <v>78</v>
      </c>
      <c r="D2830" s="1">
        <v>45819</v>
      </c>
      <c r="E2830" t="s">
        <v>4133</v>
      </c>
      <c r="F2830" t="s">
        <v>4137</v>
      </c>
    </row>
    <row r="2831" spans="1:6">
      <c r="A2831" t="s">
        <v>6960</v>
      </c>
      <c r="B2831" t="s">
        <v>1257</v>
      </c>
      <c r="C2831" t="s">
        <v>78</v>
      </c>
      <c r="D2831" s="1">
        <v>45806</v>
      </c>
      <c r="E2831" t="s">
        <v>4135</v>
      </c>
      <c r="F2831" t="s">
        <v>4139</v>
      </c>
    </row>
    <row r="2832" spans="1:6">
      <c r="A2832" t="s">
        <v>6961</v>
      </c>
      <c r="B2832" t="s">
        <v>1257</v>
      </c>
      <c r="C2832" t="s">
        <v>78</v>
      </c>
      <c r="D2832" s="1">
        <v>45805</v>
      </c>
      <c r="E2832" t="s">
        <v>4127</v>
      </c>
      <c r="F2832" t="s">
        <v>4139</v>
      </c>
    </row>
    <row r="2833" spans="1:6">
      <c r="A2833" t="s">
        <v>6962</v>
      </c>
      <c r="B2833" t="s">
        <v>1258</v>
      </c>
      <c r="C2833" t="s">
        <v>40</v>
      </c>
      <c r="D2833" s="1">
        <v>45960</v>
      </c>
      <c r="E2833" t="s">
        <v>4133</v>
      </c>
      <c r="F2833" t="s">
        <v>4125</v>
      </c>
    </row>
    <row r="2834" spans="1:6">
      <c r="A2834" t="s">
        <v>6963</v>
      </c>
      <c r="B2834" t="s">
        <v>1258</v>
      </c>
      <c r="C2834" t="s">
        <v>40</v>
      </c>
      <c r="D2834" s="1">
        <v>45977</v>
      </c>
      <c r="E2834" t="s">
        <v>4124</v>
      </c>
      <c r="F2834" t="s">
        <v>4125</v>
      </c>
    </row>
    <row r="2835" spans="1:6">
      <c r="A2835" t="s">
        <v>6964</v>
      </c>
      <c r="B2835" t="s">
        <v>1259</v>
      </c>
      <c r="C2835" t="s">
        <v>70</v>
      </c>
      <c r="D2835" s="1">
        <v>45967</v>
      </c>
      <c r="E2835" t="s">
        <v>4135</v>
      </c>
      <c r="F2835" t="s">
        <v>4139</v>
      </c>
    </row>
    <row r="2836" spans="1:6">
      <c r="A2836" t="s">
        <v>6965</v>
      </c>
      <c r="B2836" t="s">
        <v>1259</v>
      </c>
      <c r="C2836" t="s">
        <v>70</v>
      </c>
      <c r="D2836" s="1">
        <v>45961</v>
      </c>
      <c r="E2836" t="s">
        <v>4127</v>
      </c>
      <c r="F2836" t="s">
        <v>4139</v>
      </c>
    </row>
    <row r="2837" spans="1:6">
      <c r="A2837" t="s">
        <v>6966</v>
      </c>
      <c r="B2837" t="s">
        <v>1259</v>
      </c>
      <c r="C2837" t="s">
        <v>70</v>
      </c>
      <c r="D2837" s="1">
        <v>45938</v>
      </c>
      <c r="E2837" t="s">
        <v>4124</v>
      </c>
      <c r="F2837" t="s">
        <v>4139</v>
      </c>
    </row>
    <row r="2838" spans="1:6">
      <c r="A2838" t="s">
        <v>6967</v>
      </c>
      <c r="B2838" t="s">
        <v>1260</v>
      </c>
      <c r="C2838" t="s">
        <v>46</v>
      </c>
      <c r="D2838" s="1">
        <v>46003</v>
      </c>
      <c r="E2838" t="s">
        <v>4124</v>
      </c>
      <c r="F2838" t="s">
        <v>4125</v>
      </c>
    </row>
    <row r="2839" spans="1:6">
      <c r="A2839" t="s">
        <v>6968</v>
      </c>
      <c r="B2839" t="s">
        <v>1260</v>
      </c>
      <c r="C2839" t="s">
        <v>46</v>
      </c>
      <c r="D2839" s="1">
        <v>46017</v>
      </c>
      <c r="E2839" t="s">
        <v>4129</v>
      </c>
      <c r="F2839" t="s">
        <v>4139</v>
      </c>
    </row>
    <row r="2840" spans="1:6">
      <c r="A2840" t="s">
        <v>6969</v>
      </c>
      <c r="B2840" t="s">
        <v>1260</v>
      </c>
      <c r="C2840" t="s">
        <v>46</v>
      </c>
      <c r="D2840" s="1">
        <v>45971</v>
      </c>
      <c r="E2840" t="s">
        <v>4135</v>
      </c>
      <c r="F2840" t="s">
        <v>4139</v>
      </c>
    </row>
    <row r="2841" spans="1:6">
      <c r="A2841" t="s">
        <v>6970</v>
      </c>
      <c r="B2841" t="s">
        <v>1260</v>
      </c>
      <c r="C2841" t="s">
        <v>46</v>
      </c>
      <c r="D2841" s="1">
        <v>45972</v>
      </c>
      <c r="E2841" t="s">
        <v>4133</v>
      </c>
      <c r="F2841" t="s">
        <v>4125</v>
      </c>
    </row>
    <row r="2842" spans="1:6">
      <c r="A2842" t="s">
        <v>6971</v>
      </c>
      <c r="B2842" t="s">
        <v>1260</v>
      </c>
      <c r="C2842" t="s">
        <v>46</v>
      </c>
      <c r="D2842" s="1">
        <v>45977</v>
      </c>
      <c r="E2842" t="s">
        <v>4127</v>
      </c>
      <c r="F2842" t="s">
        <v>4137</v>
      </c>
    </row>
    <row r="2843" spans="1:6">
      <c r="A2843" t="s">
        <v>6972</v>
      </c>
      <c r="B2843" t="s">
        <v>1261</v>
      </c>
      <c r="C2843" t="s">
        <v>126</v>
      </c>
      <c r="D2843" s="1">
        <v>45967</v>
      </c>
      <c r="E2843" t="s">
        <v>4127</v>
      </c>
      <c r="F2843" t="s">
        <v>4125</v>
      </c>
    </row>
    <row r="2844" spans="1:6">
      <c r="A2844" t="s">
        <v>6973</v>
      </c>
      <c r="B2844" t="s">
        <v>1261</v>
      </c>
      <c r="C2844" t="s">
        <v>126</v>
      </c>
      <c r="D2844" s="1">
        <v>45964</v>
      </c>
      <c r="E2844" t="s">
        <v>4124</v>
      </c>
      <c r="F2844" t="s">
        <v>4139</v>
      </c>
    </row>
    <row r="2845" spans="1:6">
      <c r="A2845" t="s">
        <v>6974</v>
      </c>
      <c r="B2845" t="s">
        <v>1261</v>
      </c>
      <c r="C2845" t="s">
        <v>126</v>
      </c>
      <c r="D2845" s="1">
        <v>45966</v>
      </c>
      <c r="E2845" t="s">
        <v>4124</v>
      </c>
      <c r="F2845" t="s">
        <v>4137</v>
      </c>
    </row>
    <row r="2846" spans="1:6">
      <c r="A2846" t="s">
        <v>6975</v>
      </c>
      <c r="B2846" t="s">
        <v>1261</v>
      </c>
      <c r="C2846" t="s">
        <v>126</v>
      </c>
      <c r="D2846" s="1">
        <v>45968</v>
      </c>
      <c r="E2846" t="s">
        <v>4135</v>
      </c>
      <c r="F2846" t="s">
        <v>4139</v>
      </c>
    </row>
    <row r="2847" spans="1:6">
      <c r="A2847" t="s">
        <v>6976</v>
      </c>
      <c r="B2847" t="s">
        <v>1261</v>
      </c>
      <c r="C2847" t="s">
        <v>126</v>
      </c>
      <c r="D2847" s="1">
        <v>45964</v>
      </c>
      <c r="E2847" t="s">
        <v>4127</v>
      </c>
      <c r="F2847" t="s">
        <v>4125</v>
      </c>
    </row>
    <row r="2848" spans="1:6">
      <c r="A2848" t="s">
        <v>6977</v>
      </c>
      <c r="B2848" t="s">
        <v>1262</v>
      </c>
      <c r="C2848" t="s">
        <v>119</v>
      </c>
      <c r="D2848" s="1">
        <v>45999</v>
      </c>
      <c r="E2848" t="s">
        <v>4124</v>
      </c>
      <c r="F2848" t="s">
        <v>4125</v>
      </c>
    </row>
    <row r="2849" spans="1:6">
      <c r="A2849" t="s">
        <v>6978</v>
      </c>
      <c r="B2849" t="s">
        <v>1262</v>
      </c>
      <c r="C2849" t="s">
        <v>119</v>
      </c>
      <c r="D2849" s="1">
        <v>46015</v>
      </c>
      <c r="E2849" t="s">
        <v>4127</v>
      </c>
      <c r="F2849" t="s">
        <v>4139</v>
      </c>
    </row>
    <row r="2850" spans="1:6">
      <c r="A2850" t="s">
        <v>6979</v>
      </c>
      <c r="B2850" t="s">
        <v>1262</v>
      </c>
      <c r="C2850" t="s">
        <v>119</v>
      </c>
      <c r="D2850" s="1">
        <v>46022</v>
      </c>
      <c r="E2850" t="s">
        <v>4135</v>
      </c>
      <c r="F2850" t="s">
        <v>4137</v>
      </c>
    </row>
    <row r="2851" spans="1:6">
      <c r="A2851" t="s">
        <v>6980</v>
      </c>
      <c r="B2851" t="s">
        <v>1263</v>
      </c>
      <c r="C2851" t="s">
        <v>126</v>
      </c>
      <c r="D2851" s="1">
        <v>45810</v>
      </c>
      <c r="E2851" t="s">
        <v>4127</v>
      </c>
      <c r="F2851" t="s">
        <v>4137</v>
      </c>
    </row>
    <row r="2852" spans="1:6">
      <c r="A2852" t="s">
        <v>6981</v>
      </c>
      <c r="B2852" t="s">
        <v>1263</v>
      </c>
      <c r="C2852" t="s">
        <v>126</v>
      </c>
      <c r="D2852" s="1">
        <v>45777</v>
      </c>
      <c r="E2852" t="s">
        <v>4133</v>
      </c>
      <c r="F2852" t="s">
        <v>4137</v>
      </c>
    </row>
    <row r="2853" spans="1:6">
      <c r="A2853" t="s">
        <v>6982</v>
      </c>
      <c r="B2853" t="s">
        <v>1263</v>
      </c>
      <c r="C2853" t="s">
        <v>126</v>
      </c>
      <c r="D2853" s="1">
        <v>45772</v>
      </c>
      <c r="E2853" t="s">
        <v>4127</v>
      </c>
      <c r="F2853" t="s">
        <v>4139</v>
      </c>
    </row>
    <row r="2854" spans="1:6">
      <c r="A2854" t="s">
        <v>6983</v>
      </c>
      <c r="B2854" t="s">
        <v>1263</v>
      </c>
      <c r="C2854" t="s">
        <v>126</v>
      </c>
      <c r="D2854" s="1">
        <v>45834</v>
      </c>
      <c r="E2854" t="s">
        <v>4129</v>
      </c>
      <c r="F2854" t="s">
        <v>4137</v>
      </c>
    </row>
    <row r="2855" spans="1:6">
      <c r="A2855" t="s">
        <v>6984</v>
      </c>
      <c r="B2855" t="s">
        <v>1264</v>
      </c>
      <c r="C2855" t="s">
        <v>70</v>
      </c>
      <c r="D2855" s="1">
        <v>45895</v>
      </c>
      <c r="E2855" t="s">
        <v>4133</v>
      </c>
      <c r="F2855" t="s">
        <v>4125</v>
      </c>
    </row>
    <row r="2856" spans="1:6">
      <c r="A2856" t="s">
        <v>6985</v>
      </c>
      <c r="B2856" t="s">
        <v>1264</v>
      </c>
      <c r="C2856" t="s">
        <v>70</v>
      </c>
      <c r="D2856" s="1">
        <v>45889</v>
      </c>
      <c r="E2856" t="s">
        <v>4133</v>
      </c>
      <c r="F2856" t="s">
        <v>4139</v>
      </c>
    </row>
    <row r="2857" spans="1:6">
      <c r="A2857" t="s">
        <v>6986</v>
      </c>
      <c r="B2857" t="s">
        <v>1264</v>
      </c>
      <c r="C2857" t="s">
        <v>70</v>
      </c>
      <c r="D2857" s="1">
        <v>45892</v>
      </c>
      <c r="E2857" t="s">
        <v>4135</v>
      </c>
      <c r="F2857" t="s">
        <v>4137</v>
      </c>
    </row>
    <row r="2858" spans="1:6">
      <c r="A2858" t="s">
        <v>6987</v>
      </c>
      <c r="B2858" t="s">
        <v>1264</v>
      </c>
      <c r="C2858" t="s">
        <v>70</v>
      </c>
      <c r="D2858" s="1">
        <v>45894</v>
      </c>
      <c r="E2858" t="s">
        <v>4133</v>
      </c>
      <c r="F2858" t="s">
        <v>4139</v>
      </c>
    </row>
    <row r="2859" spans="1:6">
      <c r="A2859" t="s">
        <v>6988</v>
      </c>
      <c r="B2859" t="s">
        <v>1264</v>
      </c>
      <c r="C2859" t="s">
        <v>70</v>
      </c>
      <c r="D2859" s="1">
        <v>45857</v>
      </c>
      <c r="E2859" t="s">
        <v>4133</v>
      </c>
      <c r="F2859" t="s">
        <v>4125</v>
      </c>
    </row>
    <row r="2860" spans="1:6">
      <c r="A2860" t="s">
        <v>6989</v>
      </c>
      <c r="B2860" t="s">
        <v>1265</v>
      </c>
      <c r="C2860" t="s">
        <v>91</v>
      </c>
      <c r="D2860" s="1">
        <v>45866</v>
      </c>
      <c r="E2860" t="s">
        <v>4127</v>
      </c>
      <c r="F2860" t="s">
        <v>4125</v>
      </c>
    </row>
    <row r="2861" spans="1:6">
      <c r="A2861" t="s">
        <v>6990</v>
      </c>
      <c r="B2861" t="s">
        <v>1265</v>
      </c>
      <c r="C2861" t="s">
        <v>91</v>
      </c>
      <c r="D2861" s="1">
        <v>45884</v>
      </c>
      <c r="E2861" t="s">
        <v>4133</v>
      </c>
      <c r="F2861" t="s">
        <v>4139</v>
      </c>
    </row>
    <row r="2862" spans="1:6">
      <c r="A2862" t="s">
        <v>6991</v>
      </c>
      <c r="B2862" t="s">
        <v>1265</v>
      </c>
      <c r="C2862" t="s">
        <v>91</v>
      </c>
      <c r="D2862" s="1">
        <v>45884</v>
      </c>
      <c r="E2862" t="s">
        <v>4127</v>
      </c>
      <c r="F2862" t="s">
        <v>4137</v>
      </c>
    </row>
    <row r="2863" spans="1:6">
      <c r="A2863" t="s">
        <v>6992</v>
      </c>
      <c r="B2863" t="s">
        <v>1265</v>
      </c>
      <c r="C2863" t="s">
        <v>91</v>
      </c>
      <c r="D2863" s="1">
        <v>45902</v>
      </c>
      <c r="E2863" t="s">
        <v>4133</v>
      </c>
      <c r="F2863" t="s">
        <v>4137</v>
      </c>
    </row>
    <row r="2864" spans="1:6">
      <c r="A2864" t="s">
        <v>6993</v>
      </c>
      <c r="B2864" t="s">
        <v>1265</v>
      </c>
      <c r="C2864" t="s">
        <v>91</v>
      </c>
      <c r="D2864" s="1">
        <v>45922</v>
      </c>
      <c r="E2864" t="s">
        <v>4129</v>
      </c>
      <c r="F2864" t="s">
        <v>4139</v>
      </c>
    </row>
    <row r="2865" spans="1:6">
      <c r="A2865" t="s">
        <v>6994</v>
      </c>
      <c r="B2865" t="s">
        <v>1266</v>
      </c>
      <c r="C2865" t="s">
        <v>53</v>
      </c>
      <c r="D2865" s="1">
        <v>45973</v>
      </c>
      <c r="E2865" t="s">
        <v>4127</v>
      </c>
      <c r="F2865" t="s">
        <v>4137</v>
      </c>
    </row>
    <row r="2866" spans="1:6">
      <c r="A2866" t="s">
        <v>6995</v>
      </c>
      <c r="B2866" t="s">
        <v>1266</v>
      </c>
      <c r="C2866" t="s">
        <v>53</v>
      </c>
      <c r="D2866" s="1">
        <v>45911</v>
      </c>
      <c r="E2866" t="s">
        <v>4133</v>
      </c>
      <c r="F2866" t="s">
        <v>4139</v>
      </c>
    </row>
    <row r="2867" spans="1:6">
      <c r="A2867" t="s">
        <v>6996</v>
      </c>
      <c r="B2867" t="s">
        <v>1266</v>
      </c>
      <c r="C2867" t="s">
        <v>53</v>
      </c>
      <c r="D2867" s="1">
        <v>45944</v>
      </c>
      <c r="E2867" t="s">
        <v>4129</v>
      </c>
      <c r="F2867" t="s">
        <v>4139</v>
      </c>
    </row>
    <row r="2868" spans="1:6">
      <c r="A2868" t="s">
        <v>6997</v>
      </c>
      <c r="B2868" t="s">
        <v>1267</v>
      </c>
      <c r="C2868" t="s">
        <v>59</v>
      </c>
      <c r="D2868" s="1">
        <v>45759</v>
      </c>
      <c r="E2868" t="s">
        <v>4135</v>
      </c>
      <c r="F2868" t="s">
        <v>4139</v>
      </c>
    </row>
    <row r="2869" spans="1:6">
      <c r="A2869" t="s">
        <v>6998</v>
      </c>
      <c r="B2869" t="s">
        <v>1267</v>
      </c>
      <c r="C2869" t="s">
        <v>59</v>
      </c>
      <c r="D2869" s="1">
        <v>45780</v>
      </c>
      <c r="E2869" t="s">
        <v>4129</v>
      </c>
      <c r="F2869" t="s">
        <v>4125</v>
      </c>
    </row>
    <row r="2870" spans="1:6">
      <c r="A2870" t="s">
        <v>6999</v>
      </c>
      <c r="B2870" t="s">
        <v>1267</v>
      </c>
      <c r="C2870" t="s">
        <v>59</v>
      </c>
      <c r="D2870" s="1">
        <v>45764</v>
      </c>
      <c r="E2870" t="s">
        <v>4133</v>
      </c>
      <c r="F2870" t="s">
        <v>4139</v>
      </c>
    </row>
    <row r="2871" spans="1:6">
      <c r="A2871" t="s">
        <v>7000</v>
      </c>
      <c r="B2871" t="s">
        <v>1267</v>
      </c>
      <c r="C2871" t="s">
        <v>59</v>
      </c>
      <c r="D2871" s="1">
        <v>45780</v>
      </c>
      <c r="E2871" t="s">
        <v>4124</v>
      </c>
      <c r="F2871" t="s">
        <v>4125</v>
      </c>
    </row>
    <row r="2872" spans="1:6">
      <c r="A2872" t="s">
        <v>7001</v>
      </c>
      <c r="B2872" t="s">
        <v>1267</v>
      </c>
      <c r="C2872" t="s">
        <v>59</v>
      </c>
      <c r="D2872" s="1">
        <v>45758</v>
      </c>
      <c r="E2872" t="s">
        <v>4129</v>
      </c>
      <c r="F2872" t="s">
        <v>4139</v>
      </c>
    </row>
    <row r="2873" spans="1:6">
      <c r="A2873" t="s">
        <v>7002</v>
      </c>
      <c r="B2873" t="s">
        <v>1269</v>
      </c>
      <c r="C2873" t="s">
        <v>119</v>
      </c>
      <c r="D2873" s="1">
        <v>45971</v>
      </c>
      <c r="E2873" t="s">
        <v>4129</v>
      </c>
      <c r="F2873" t="s">
        <v>4139</v>
      </c>
    </row>
    <row r="2874" spans="1:6">
      <c r="A2874" t="s">
        <v>7003</v>
      </c>
      <c r="B2874" t="s">
        <v>1269</v>
      </c>
      <c r="C2874" t="s">
        <v>119</v>
      </c>
      <c r="D2874" s="1">
        <v>45980</v>
      </c>
      <c r="E2874" t="s">
        <v>4129</v>
      </c>
      <c r="F2874" t="s">
        <v>4125</v>
      </c>
    </row>
    <row r="2875" spans="1:6">
      <c r="A2875" t="s">
        <v>7004</v>
      </c>
      <c r="B2875" t="s">
        <v>1269</v>
      </c>
      <c r="C2875" t="s">
        <v>119</v>
      </c>
      <c r="D2875" s="1">
        <v>45991</v>
      </c>
      <c r="E2875" t="s">
        <v>4129</v>
      </c>
      <c r="F2875" t="s">
        <v>4125</v>
      </c>
    </row>
    <row r="2876" spans="1:6">
      <c r="A2876" t="s">
        <v>7005</v>
      </c>
      <c r="B2876" t="s">
        <v>1269</v>
      </c>
      <c r="C2876" t="s">
        <v>119</v>
      </c>
      <c r="D2876" s="1">
        <v>45981</v>
      </c>
      <c r="E2876" t="s">
        <v>4129</v>
      </c>
      <c r="F2876" t="s">
        <v>4125</v>
      </c>
    </row>
    <row r="2877" spans="1:6">
      <c r="A2877" t="s">
        <v>7006</v>
      </c>
      <c r="B2877" t="s">
        <v>1269</v>
      </c>
      <c r="C2877" t="s">
        <v>119</v>
      </c>
      <c r="D2877" s="1">
        <v>45979</v>
      </c>
      <c r="E2877" t="s">
        <v>4127</v>
      </c>
      <c r="F2877" t="s">
        <v>4125</v>
      </c>
    </row>
    <row r="2878" spans="1:6">
      <c r="A2878" t="s">
        <v>7007</v>
      </c>
      <c r="B2878" t="s">
        <v>1270</v>
      </c>
      <c r="C2878" t="s">
        <v>119</v>
      </c>
      <c r="D2878" s="1">
        <v>46021</v>
      </c>
      <c r="E2878" t="s">
        <v>4127</v>
      </c>
      <c r="F2878" t="s">
        <v>4125</v>
      </c>
    </row>
    <row r="2879" spans="1:6">
      <c r="A2879" t="s">
        <v>7008</v>
      </c>
      <c r="B2879" t="s">
        <v>1270</v>
      </c>
      <c r="C2879" t="s">
        <v>119</v>
      </c>
      <c r="D2879" s="1">
        <v>46016</v>
      </c>
      <c r="E2879" t="s">
        <v>4129</v>
      </c>
      <c r="F2879" t="s">
        <v>4139</v>
      </c>
    </row>
    <row r="2880" spans="1:6">
      <c r="A2880" t="s">
        <v>7009</v>
      </c>
      <c r="B2880" t="s">
        <v>1270</v>
      </c>
      <c r="C2880" t="s">
        <v>119</v>
      </c>
      <c r="D2880" s="1">
        <v>46008</v>
      </c>
      <c r="E2880" t="s">
        <v>4127</v>
      </c>
      <c r="F2880" t="s">
        <v>4125</v>
      </c>
    </row>
    <row r="2881" spans="1:6">
      <c r="A2881" t="s">
        <v>7010</v>
      </c>
      <c r="B2881" t="s">
        <v>1271</v>
      </c>
      <c r="C2881" t="s">
        <v>53</v>
      </c>
      <c r="D2881" s="1">
        <v>45927</v>
      </c>
      <c r="E2881" t="s">
        <v>4135</v>
      </c>
      <c r="F2881" t="s">
        <v>4139</v>
      </c>
    </row>
    <row r="2882" spans="1:6">
      <c r="A2882" t="s">
        <v>7011</v>
      </c>
      <c r="B2882" t="s">
        <v>1271</v>
      </c>
      <c r="C2882" t="s">
        <v>53</v>
      </c>
      <c r="D2882" s="1">
        <v>45951</v>
      </c>
      <c r="E2882" t="s">
        <v>4135</v>
      </c>
      <c r="F2882" t="s">
        <v>4137</v>
      </c>
    </row>
    <row r="2883" spans="1:6">
      <c r="A2883" t="s">
        <v>7012</v>
      </c>
      <c r="B2883" t="s">
        <v>1271</v>
      </c>
      <c r="C2883" t="s">
        <v>53</v>
      </c>
      <c r="D2883" s="1">
        <v>45965</v>
      </c>
      <c r="E2883" t="s">
        <v>4129</v>
      </c>
      <c r="F2883" t="s">
        <v>4125</v>
      </c>
    </row>
    <row r="2884" spans="1:6">
      <c r="A2884" t="s">
        <v>7013</v>
      </c>
      <c r="B2884" t="s">
        <v>1272</v>
      </c>
      <c r="C2884" t="s">
        <v>22</v>
      </c>
      <c r="D2884" s="1">
        <v>46005</v>
      </c>
      <c r="E2884" t="s">
        <v>4124</v>
      </c>
      <c r="F2884" t="s">
        <v>4139</v>
      </c>
    </row>
    <row r="2885" spans="1:6">
      <c r="A2885" t="s">
        <v>7014</v>
      </c>
      <c r="B2885" t="s">
        <v>1272</v>
      </c>
      <c r="C2885" t="s">
        <v>22</v>
      </c>
      <c r="D2885" s="1">
        <v>46017</v>
      </c>
      <c r="E2885" t="s">
        <v>4124</v>
      </c>
      <c r="F2885" t="s">
        <v>4139</v>
      </c>
    </row>
    <row r="2886" spans="1:6">
      <c r="A2886" t="s">
        <v>7015</v>
      </c>
      <c r="B2886" t="s">
        <v>1273</v>
      </c>
      <c r="C2886" t="s">
        <v>16</v>
      </c>
      <c r="D2886" s="1">
        <v>45968</v>
      </c>
      <c r="E2886" t="s">
        <v>4135</v>
      </c>
      <c r="F2886" t="s">
        <v>4125</v>
      </c>
    </row>
    <row r="2887" spans="1:6">
      <c r="A2887" t="s">
        <v>7016</v>
      </c>
      <c r="B2887" t="s">
        <v>1273</v>
      </c>
      <c r="C2887" t="s">
        <v>16</v>
      </c>
      <c r="D2887" s="1">
        <v>45953</v>
      </c>
      <c r="E2887" t="s">
        <v>4129</v>
      </c>
      <c r="F2887" t="s">
        <v>4139</v>
      </c>
    </row>
    <row r="2888" spans="1:6">
      <c r="A2888" t="s">
        <v>7017</v>
      </c>
      <c r="B2888" t="s">
        <v>1273</v>
      </c>
      <c r="C2888" t="s">
        <v>16</v>
      </c>
      <c r="D2888" s="1">
        <v>45963</v>
      </c>
      <c r="E2888" t="s">
        <v>4133</v>
      </c>
      <c r="F2888" t="s">
        <v>4137</v>
      </c>
    </row>
    <row r="2889" spans="1:6">
      <c r="A2889" t="s">
        <v>7018</v>
      </c>
      <c r="B2889" t="s">
        <v>1273</v>
      </c>
      <c r="C2889" t="s">
        <v>16</v>
      </c>
      <c r="D2889" s="1">
        <v>45971</v>
      </c>
      <c r="E2889" t="s">
        <v>4133</v>
      </c>
      <c r="F2889" t="s">
        <v>4139</v>
      </c>
    </row>
    <row r="2890" spans="1:6">
      <c r="A2890" t="s">
        <v>7019</v>
      </c>
      <c r="B2890" t="s">
        <v>1274</v>
      </c>
      <c r="C2890" t="s">
        <v>119</v>
      </c>
      <c r="D2890" s="1">
        <v>45978</v>
      </c>
      <c r="E2890" t="s">
        <v>4135</v>
      </c>
      <c r="F2890" t="s">
        <v>4137</v>
      </c>
    </row>
    <row r="2891" spans="1:6">
      <c r="A2891" t="s">
        <v>7020</v>
      </c>
      <c r="B2891" t="s">
        <v>1274</v>
      </c>
      <c r="C2891" t="s">
        <v>119</v>
      </c>
      <c r="D2891" s="1">
        <v>45980</v>
      </c>
      <c r="E2891" t="s">
        <v>4127</v>
      </c>
      <c r="F2891" t="s">
        <v>4139</v>
      </c>
    </row>
    <row r="2892" spans="1:6">
      <c r="A2892" t="s">
        <v>7021</v>
      </c>
      <c r="B2892" t="s">
        <v>1274</v>
      </c>
      <c r="C2892" t="s">
        <v>119</v>
      </c>
      <c r="D2892" s="1">
        <v>45978</v>
      </c>
      <c r="E2892" t="s">
        <v>4124</v>
      </c>
      <c r="F2892" t="s">
        <v>4125</v>
      </c>
    </row>
    <row r="2893" spans="1:6">
      <c r="A2893" t="s">
        <v>7022</v>
      </c>
      <c r="B2893" t="s">
        <v>1274</v>
      </c>
      <c r="C2893" t="s">
        <v>119</v>
      </c>
      <c r="D2893" s="1">
        <v>45976</v>
      </c>
      <c r="E2893" t="s">
        <v>4127</v>
      </c>
      <c r="F2893" t="s">
        <v>4137</v>
      </c>
    </row>
    <row r="2894" spans="1:6">
      <c r="A2894" t="s">
        <v>7023</v>
      </c>
      <c r="B2894" t="s">
        <v>1275</v>
      </c>
      <c r="C2894" t="s">
        <v>168</v>
      </c>
      <c r="D2894" s="1">
        <v>45701</v>
      </c>
      <c r="E2894" t="s">
        <v>4127</v>
      </c>
      <c r="F2894" t="s">
        <v>4139</v>
      </c>
    </row>
    <row r="2895" spans="1:6">
      <c r="A2895" t="s">
        <v>7024</v>
      </c>
      <c r="B2895" t="s">
        <v>1275</v>
      </c>
      <c r="C2895" t="s">
        <v>168</v>
      </c>
      <c r="D2895" s="1">
        <v>45681</v>
      </c>
      <c r="E2895" t="s">
        <v>4135</v>
      </c>
      <c r="F2895" t="s">
        <v>4137</v>
      </c>
    </row>
    <row r="2896" spans="1:6">
      <c r="A2896" t="s">
        <v>7025</v>
      </c>
      <c r="B2896" t="s">
        <v>1275</v>
      </c>
      <c r="C2896" t="s">
        <v>168</v>
      </c>
      <c r="D2896" s="1">
        <v>45690</v>
      </c>
      <c r="E2896" t="s">
        <v>4129</v>
      </c>
      <c r="F2896" t="s">
        <v>4139</v>
      </c>
    </row>
    <row r="2897" spans="1:6">
      <c r="A2897" t="s">
        <v>7026</v>
      </c>
      <c r="B2897" t="s">
        <v>1275</v>
      </c>
      <c r="C2897" t="s">
        <v>168</v>
      </c>
      <c r="D2897" s="1">
        <v>45680</v>
      </c>
      <c r="E2897" t="s">
        <v>4129</v>
      </c>
      <c r="F2897" t="s">
        <v>4137</v>
      </c>
    </row>
    <row r="2898" spans="1:6">
      <c r="A2898" t="s">
        <v>7027</v>
      </c>
      <c r="B2898" t="s">
        <v>1276</v>
      </c>
      <c r="C2898" t="s">
        <v>152</v>
      </c>
      <c r="D2898" s="1">
        <v>45978</v>
      </c>
      <c r="E2898" t="s">
        <v>4129</v>
      </c>
      <c r="F2898" t="s">
        <v>4137</v>
      </c>
    </row>
    <row r="2899" spans="1:6">
      <c r="A2899" t="s">
        <v>7028</v>
      </c>
      <c r="B2899" t="s">
        <v>1276</v>
      </c>
      <c r="C2899" t="s">
        <v>152</v>
      </c>
      <c r="D2899" s="1">
        <v>45987</v>
      </c>
      <c r="E2899" t="s">
        <v>4124</v>
      </c>
      <c r="F2899" t="s">
        <v>4137</v>
      </c>
    </row>
    <row r="2900" spans="1:6">
      <c r="A2900" t="s">
        <v>7029</v>
      </c>
      <c r="B2900" t="s">
        <v>1278</v>
      </c>
      <c r="C2900" t="s">
        <v>70</v>
      </c>
      <c r="D2900" s="1">
        <v>45858</v>
      </c>
      <c r="E2900" t="s">
        <v>4124</v>
      </c>
      <c r="F2900" t="s">
        <v>4125</v>
      </c>
    </row>
    <row r="2901" spans="1:6">
      <c r="A2901" t="s">
        <v>7030</v>
      </c>
      <c r="B2901" t="s">
        <v>1278</v>
      </c>
      <c r="C2901" t="s">
        <v>70</v>
      </c>
      <c r="D2901" s="1">
        <v>45857</v>
      </c>
      <c r="E2901" t="s">
        <v>4129</v>
      </c>
      <c r="F2901" t="s">
        <v>4125</v>
      </c>
    </row>
    <row r="2902" spans="1:6">
      <c r="A2902" t="s">
        <v>7031</v>
      </c>
      <c r="B2902" t="s">
        <v>1279</v>
      </c>
      <c r="C2902" t="s">
        <v>16</v>
      </c>
      <c r="D2902" s="1">
        <v>46020</v>
      </c>
      <c r="E2902" t="s">
        <v>4129</v>
      </c>
      <c r="F2902" t="s">
        <v>4139</v>
      </c>
    </row>
    <row r="2903" spans="1:6">
      <c r="A2903" t="s">
        <v>7032</v>
      </c>
      <c r="B2903" t="s">
        <v>1279</v>
      </c>
      <c r="C2903" t="s">
        <v>16</v>
      </c>
      <c r="D2903" s="1">
        <v>46017</v>
      </c>
      <c r="E2903" t="s">
        <v>4124</v>
      </c>
      <c r="F2903" t="s">
        <v>4125</v>
      </c>
    </row>
    <row r="2904" spans="1:6">
      <c r="A2904" t="s">
        <v>7033</v>
      </c>
      <c r="B2904" t="s">
        <v>1279</v>
      </c>
      <c r="C2904" t="s">
        <v>16</v>
      </c>
      <c r="D2904" s="1">
        <v>46006</v>
      </c>
      <c r="E2904" t="s">
        <v>4135</v>
      </c>
      <c r="F2904" t="s">
        <v>4139</v>
      </c>
    </row>
    <row r="2905" spans="1:6">
      <c r="A2905" t="s">
        <v>7034</v>
      </c>
      <c r="B2905" t="s">
        <v>1281</v>
      </c>
      <c r="C2905" t="s">
        <v>126</v>
      </c>
      <c r="D2905" s="1">
        <v>45990</v>
      </c>
      <c r="E2905" t="s">
        <v>4135</v>
      </c>
      <c r="F2905" t="s">
        <v>4139</v>
      </c>
    </row>
    <row r="2906" spans="1:6">
      <c r="A2906" t="s">
        <v>7035</v>
      </c>
      <c r="B2906" t="s">
        <v>1281</v>
      </c>
      <c r="C2906" t="s">
        <v>126</v>
      </c>
      <c r="D2906" s="1">
        <v>45991</v>
      </c>
      <c r="E2906" t="s">
        <v>4135</v>
      </c>
      <c r="F2906" t="s">
        <v>4125</v>
      </c>
    </row>
    <row r="2907" spans="1:6">
      <c r="A2907" t="s">
        <v>7036</v>
      </c>
      <c r="B2907" t="s">
        <v>1281</v>
      </c>
      <c r="C2907" t="s">
        <v>126</v>
      </c>
      <c r="D2907" s="1">
        <v>45990</v>
      </c>
      <c r="E2907" t="s">
        <v>4124</v>
      </c>
      <c r="F2907" t="s">
        <v>4125</v>
      </c>
    </row>
    <row r="2908" spans="1:6">
      <c r="A2908" t="s">
        <v>7037</v>
      </c>
      <c r="B2908" t="s">
        <v>1281</v>
      </c>
      <c r="C2908" t="s">
        <v>126</v>
      </c>
      <c r="D2908" s="1">
        <v>45986</v>
      </c>
      <c r="E2908" t="s">
        <v>4129</v>
      </c>
      <c r="F2908" t="s">
        <v>4139</v>
      </c>
    </row>
    <row r="2909" spans="1:6">
      <c r="A2909" t="s">
        <v>7038</v>
      </c>
      <c r="B2909" t="s">
        <v>1282</v>
      </c>
      <c r="C2909" t="s">
        <v>56</v>
      </c>
      <c r="D2909" s="1">
        <v>45738</v>
      </c>
      <c r="E2909" t="s">
        <v>4133</v>
      </c>
      <c r="F2909" t="s">
        <v>4137</v>
      </c>
    </row>
    <row r="2910" spans="1:6">
      <c r="A2910" t="s">
        <v>7039</v>
      </c>
      <c r="B2910" t="s">
        <v>1282</v>
      </c>
      <c r="C2910" t="s">
        <v>56</v>
      </c>
      <c r="D2910" s="1">
        <v>45772</v>
      </c>
      <c r="E2910" t="s">
        <v>4129</v>
      </c>
      <c r="F2910" t="s">
        <v>4137</v>
      </c>
    </row>
    <row r="2911" spans="1:6">
      <c r="A2911" t="s">
        <v>7040</v>
      </c>
      <c r="B2911" t="s">
        <v>1284</v>
      </c>
      <c r="C2911" t="s">
        <v>78</v>
      </c>
      <c r="D2911" s="1">
        <v>45772</v>
      </c>
      <c r="E2911" t="s">
        <v>4124</v>
      </c>
      <c r="F2911" t="s">
        <v>4139</v>
      </c>
    </row>
    <row r="2912" spans="1:6">
      <c r="A2912" t="s">
        <v>7041</v>
      </c>
      <c r="B2912" t="s">
        <v>1284</v>
      </c>
      <c r="C2912" t="s">
        <v>78</v>
      </c>
      <c r="D2912" s="1">
        <v>45775</v>
      </c>
      <c r="E2912" t="s">
        <v>4129</v>
      </c>
      <c r="F2912" t="s">
        <v>4139</v>
      </c>
    </row>
    <row r="2913" spans="1:6">
      <c r="A2913" t="s">
        <v>7042</v>
      </c>
      <c r="B2913" t="s">
        <v>1284</v>
      </c>
      <c r="C2913" t="s">
        <v>78</v>
      </c>
      <c r="D2913" s="1">
        <v>45775</v>
      </c>
      <c r="E2913" t="s">
        <v>4133</v>
      </c>
      <c r="F2913" t="s">
        <v>4139</v>
      </c>
    </row>
    <row r="2914" spans="1:6">
      <c r="A2914" t="s">
        <v>7043</v>
      </c>
      <c r="B2914" t="s">
        <v>1285</v>
      </c>
      <c r="C2914" t="s">
        <v>70</v>
      </c>
      <c r="D2914" s="1">
        <v>45703</v>
      </c>
      <c r="E2914" t="s">
        <v>4135</v>
      </c>
      <c r="F2914" t="s">
        <v>4137</v>
      </c>
    </row>
    <row r="2915" spans="1:6">
      <c r="A2915" t="s">
        <v>7044</v>
      </c>
      <c r="B2915" t="s">
        <v>1285</v>
      </c>
      <c r="C2915" t="s">
        <v>70</v>
      </c>
      <c r="D2915" s="1">
        <v>45705</v>
      </c>
      <c r="E2915" t="s">
        <v>4129</v>
      </c>
      <c r="F2915" t="s">
        <v>4125</v>
      </c>
    </row>
    <row r="2916" spans="1:6">
      <c r="A2916" t="s">
        <v>7045</v>
      </c>
      <c r="B2916" t="s">
        <v>1285</v>
      </c>
      <c r="C2916" t="s">
        <v>70</v>
      </c>
      <c r="D2916" s="1">
        <v>45703</v>
      </c>
      <c r="E2916" t="s">
        <v>4124</v>
      </c>
      <c r="F2916" t="s">
        <v>4139</v>
      </c>
    </row>
    <row r="2917" spans="1:6">
      <c r="A2917" t="s">
        <v>7046</v>
      </c>
      <c r="B2917" t="s">
        <v>1286</v>
      </c>
      <c r="C2917" t="s">
        <v>36</v>
      </c>
      <c r="D2917" s="1">
        <v>45717</v>
      </c>
      <c r="E2917" t="s">
        <v>4129</v>
      </c>
      <c r="F2917" t="s">
        <v>4137</v>
      </c>
    </row>
    <row r="2918" spans="1:6">
      <c r="A2918" t="s">
        <v>7047</v>
      </c>
      <c r="B2918" t="s">
        <v>1286</v>
      </c>
      <c r="C2918" t="s">
        <v>36</v>
      </c>
      <c r="D2918" s="1">
        <v>45702</v>
      </c>
      <c r="E2918" t="s">
        <v>4135</v>
      </c>
      <c r="F2918" t="s">
        <v>4137</v>
      </c>
    </row>
    <row r="2919" spans="1:6">
      <c r="A2919" t="s">
        <v>7048</v>
      </c>
      <c r="B2919" t="s">
        <v>1288</v>
      </c>
      <c r="C2919" t="s">
        <v>70</v>
      </c>
      <c r="D2919" s="1">
        <v>45712</v>
      </c>
      <c r="E2919" t="s">
        <v>4124</v>
      </c>
      <c r="F2919" t="s">
        <v>4137</v>
      </c>
    </row>
    <row r="2920" spans="1:6">
      <c r="A2920" t="s">
        <v>7049</v>
      </c>
      <c r="B2920" t="s">
        <v>1288</v>
      </c>
      <c r="C2920" t="s">
        <v>70</v>
      </c>
      <c r="D2920" s="1">
        <v>45740</v>
      </c>
      <c r="E2920" t="s">
        <v>4133</v>
      </c>
      <c r="F2920" t="s">
        <v>4139</v>
      </c>
    </row>
    <row r="2921" spans="1:6">
      <c r="A2921" t="s">
        <v>7050</v>
      </c>
      <c r="B2921" t="s">
        <v>1288</v>
      </c>
      <c r="C2921" t="s">
        <v>70</v>
      </c>
      <c r="D2921" s="1">
        <v>45735</v>
      </c>
      <c r="E2921" t="s">
        <v>4124</v>
      </c>
      <c r="F2921" t="s">
        <v>4125</v>
      </c>
    </row>
    <row r="2922" spans="1:6">
      <c r="A2922" t="s">
        <v>7051</v>
      </c>
      <c r="B2922" t="s">
        <v>1288</v>
      </c>
      <c r="C2922" t="s">
        <v>70</v>
      </c>
      <c r="D2922" s="1">
        <v>45738</v>
      </c>
      <c r="E2922" t="s">
        <v>4135</v>
      </c>
      <c r="F2922" t="s">
        <v>4139</v>
      </c>
    </row>
    <row r="2923" spans="1:6">
      <c r="A2923" t="s">
        <v>7052</v>
      </c>
      <c r="B2923" t="s">
        <v>1290</v>
      </c>
      <c r="C2923" t="s">
        <v>126</v>
      </c>
      <c r="D2923" s="1">
        <v>45997</v>
      </c>
      <c r="E2923" t="s">
        <v>4127</v>
      </c>
      <c r="F2923" t="s">
        <v>4125</v>
      </c>
    </row>
    <row r="2924" spans="1:6">
      <c r="A2924" t="s">
        <v>7053</v>
      </c>
      <c r="B2924" t="s">
        <v>1290</v>
      </c>
      <c r="C2924" t="s">
        <v>126</v>
      </c>
      <c r="D2924" s="1">
        <v>46011</v>
      </c>
      <c r="E2924" t="s">
        <v>4135</v>
      </c>
      <c r="F2924" t="s">
        <v>4125</v>
      </c>
    </row>
    <row r="2925" spans="1:6">
      <c r="A2925" t="s">
        <v>7054</v>
      </c>
      <c r="B2925" t="s">
        <v>1291</v>
      </c>
      <c r="C2925" t="s">
        <v>59</v>
      </c>
      <c r="D2925" s="1">
        <v>46022</v>
      </c>
      <c r="E2925" t="s">
        <v>4129</v>
      </c>
      <c r="F2925" t="s">
        <v>4139</v>
      </c>
    </row>
    <row r="2926" spans="1:6">
      <c r="A2926" t="s">
        <v>7055</v>
      </c>
      <c r="B2926" t="s">
        <v>1291</v>
      </c>
      <c r="C2926" t="s">
        <v>59</v>
      </c>
      <c r="D2926" s="1">
        <v>46017</v>
      </c>
      <c r="E2926" t="s">
        <v>4127</v>
      </c>
      <c r="F2926" t="s">
        <v>4137</v>
      </c>
    </row>
    <row r="2927" spans="1:6">
      <c r="A2927" t="s">
        <v>7056</v>
      </c>
      <c r="B2927" t="s">
        <v>1292</v>
      </c>
      <c r="C2927" t="s">
        <v>126</v>
      </c>
      <c r="D2927" s="1">
        <v>45952</v>
      </c>
      <c r="E2927" t="s">
        <v>4124</v>
      </c>
      <c r="F2927" t="s">
        <v>4137</v>
      </c>
    </row>
    <row r="2928" spans="1:6">
      <c r="A2928" t="s">
        <v>7057</v>
      </c>
      <c r="B2928" t="s">
        <v>1292</v>
      </c>
      <c r="C2928" t="s">
        <v>126</v>
      </c>
      <c r="D2928" s="1">
        <v>45951</v>
      </c>
      <c r="E2928" t="s">
        <v>4124</v>
      </c>
      <c r="F2928" t="s">
        <v>4137</v>
      </c>
    </row>
    <row r="2929" spans="1:6">
      <c r="A2929" t="s">
        <v>7058</v>
      </c>
      <c r="B2929" t="s">
        <v>1292</v>
      </c>
      <c r="C2929" t="s">
        <v>126</v>
      </c>
      <c r="D2929" s="1">
        <v>45954</v>
      </c>
      <c r="E2929" t="s">
        <v>4124</v>
      </c>
      <c r="F2929" t="s">
        <v>4125</v>
      </c>
    </row>
    <row r="2930" spans="1:6">
      <c r="A2930" t="s">
        <v>7059</v>
      </c>
      <c r="B2930" t="s">
        <v>1292</v>
      </c>
      <c r="C2930" t="s">
        <v>126</v>
      </c>
      <c r="D2930" s="1">
        <v>45953</v>
      </c>
      <c r="E2930" t="s">
        <v>4133</v>
      </c>
      <c r="F2930" t="s">
        <v>4137</v>
      </c>
    </row>
    <row r="2931" spans="1:6">
      <c r="A2931" t="s">
        <v>7060</v>
      </c>
      <c r="B2931" t="s">
        <v>1292</v>
      </c>
      <c r="C2931" t="s">
        <v>126</v>
      </c>
      <c r="D2931" s="1">
        <v>45951</v>
      </c>
      <c r="E2931" t="s">
        <v>4124</v>
      </c>
      <c r="F2931" t="s">
        <v>4125</v>
      </c>
    </row>
    <row r="2932" spans="1:6">
      <c r="A2932" t="s">
        <v>7061</v>
      </c>
      <c r="B2932" t="s">
        <v>1293</v>
      </c>
      <c r="C2932" t="s">
        <v>126</v>
      </c>
      <c r="D2932" s="1">
        <v>45793</v>
      </c>
      <c r="E2932" t="s">
        <v>4127</v>
      </c>
      <c r="F2932" t="s">
        <v>4139</v>
      </c>
    </row>
    <row r="2933" spans="1:6">
      <c r="A2933" t="s">
        <v>7062</v>
      </c>
      <c r="B2933" t="s">
        <v>1293</v>
      </c>
      <c r="C2933" t="s">
        <v>126</v>
      </c>
      <c r="D2933" s="1">
        <v>45799</v>
      </c>
      <c r="E2933" t="s">
        <v>4127</v>
      </c>
      <c r="F2933" t="s">
        <v>4125</v>
      </c>
    </row>
    <row r="2934" spans="1:6">
      <c r="A2934" t="s">
        <v>7063</v>
      </c>
      <c r="B2934" t="s">
        <v>1293</v>
      </c>
      <c r="C2934" t="s">
        <v>126</v>
      </c>
      <c r="D2934" s="1">
        <v>45778</v>
      </c>
      <c r="E2934" t="s">
        <v>4133</v>
      </c>
      <c r="F2934" t="s">
        <v>4125</v>
      </c>
    </row>
    <row r="2935" spans="1:6">
      <c r="A2935" t="s">
        <v>7064</v>
      </c>
      <c r="B2935" t="s">
        <v>1293</v>
      </c>
      <c r="C2935" t="s">
        <v>126</v>
      </c>
      <c r="D2935" s="1">
        <v>45766</v>
      </c>
      <c r="E2935" t="s">
        <v>4124</v>
      </c>
      <c r="F2935" t="s">
        <v>4125</v>
      </c>
    </row>
    <row r="2936" spans="1:6">
      <c r="A2936" t="s">
        <v>7065</v>
      </c>
      <c r="B2936" t="s">
        <v>1293</v>
      </c>
      <c r="C2936" t="s">
        <v>126</v>
      </c>
      <c r="D2936" s="1">
        <v>45759</v>
      </c>
      <c r="E2936" t="s">
        <v>4133</v>
      </c>
      <c r="F2936" t="s">
        <v>4125</v>
      </c>
    </row>
    <row r="2937" spans="1:6">
      <c r="A2937" t="s">
        <v>7066</v>
      </c>
      <c r="B2937" t="s">
        <v>1294</v>
      </c>
      <c r="C2937" t="s">
        <v>70</v>
      </c>
      <c r="D2937" s="1">
        <v>45980</v>
      </c>
      <c r="E2937" t="s">
        <v>4124</v>
      </c>
      <c r="F2937" t="s">
        <v>4125</v>
      </c>
    </row>
    <row r="2938" spans="1:6">
      <c r="A2938" t="s">
        <v>7067</v>
      </c>
      <c r="B2938" t="s">
        <v>1294</v>
      </c>
      <c r="C2938" t="s">
        <v>70</v>
      </c>
      <c r="D2938" s="1">
        <v>46019</v>
      </c>
      <c r="E2938" t="s">
        <v>4127</v>
      </c>
      <c r="F2938" t="s">
        <v>4125</v>
      </c>
    </row>
    <row r="2939" spans="1:6">
      <c r="A2939" t="s">
        <v>7068</v>
      </c>
      <c r="B2939" t="s">
        <v>1294</v>
      </c>
      <c r="C2939" t="s">
        <v>70</v>
      </c>
      <c r="D2939" s="1">
        <v>45952</v>
      </c>
      <c r="E2939" t="s">
        <v>4135</v>
      </c>
      <c r="F2939" t="s">
        <v>4139</v>
      </c>
    </row>
    <row r="2940" spans="1:6">
      <c r="A2940" t="s">
        <v>7069</v>
      </c>
      <c r="B2940" t="s">
        <v>1294</v>
      </c>
      <c r="C2940" t="s">
        <v>70</v>
      </c>
      <c r="D2940" s="1">
        <v>45954</v>
      </c>
      <c r="E2940" t="s">
        <v>4127</v>
      </c>
      <c r="F2940" t="s">
        <v>4139</v>
      </c>
    </row>
    <row r="2941" spans="1:6">
      <c r="A2941" t="s">
        <v>7070</v>
      </c>
      <c r="B2941" t="s">
        <v>1295</v>
      </c>
      <c r="C2941" t="s">
        <v>126</v>
      </c>
      <c r="D2941" s="1">
        <v>46006</v>
      </c>
      <c r="E2941" t="s">
        <v>4129</v>
      </c>
      <c r="F2941" t="s">
        <v>4137</v>
      </c>
    </row>
    <row r="2942" spans="1:6">
      <c r="A2942" t="s">
        <v>7071</v>
      </c>
      <c r="B2942" t="s">
        <v>1295</v>
      </c>
      <c r="C2942" t="s">
        <v>126</v>
      </c>
      <c r="D2942" s="1">
        <v>46020</v>
      </c>
      <c r="E2942" t="s">
        <v>4129</v>
      </c>
      <c r="F2942" t="s">
        <v>4125</v>
      </c>
    </row>
    <row r="2943" spans="1:6">
      <c r="A2943" t="s">
        <v>7072</v>
      </c>
      <c r="B2943" t="s">
        <v>1295</v>
      </c>
      <c r="C2943" t="s">
        <v>126</v>
      </c>
      <c r="D2943" s="1">
        <v>46014</v>
      </c>
      <c r="E2943" t="s">
        <v>4133</v>
      </c>
      <c r="F2943" t="s">
        <v>4125</v>
      </c>
    </row>
    <row r="2944" spans="1:6">
      <c r="A2944" t="s">
        <v>7073</v>
      </c>
      <c r="B2944" t="s">
        <v>1296</v>
      </c>
      <c r="C2944" t="s">
        <v>152</v>
      </c>
      <c r="D2944" s="1">
        <v>45911</v>
      </c>
      <c r="E2944" t="s">
        <v>4135</v>
      </c>
      <c r="F2944" t="s">
        <v>4125</v>
      </c>
    </row>
    <row r="2945" spans="1:6">
      <c r="A2945" t="s">
        <v>7074</v>
      </c>
      <c r="B2945" t="s">
        <v>1296</v>
      </c>
      <c r="C2945" t="s">
        <v>152</v>
      </c>
      <c r="D2945" s="1">
        <v>45940</v>
      </c>
      <c r="E2945" t="s">
        <v>4124</v>
      </c>
      <c r="F2945" t="s">
        <v>4137</v>
      </c>
    </row>
    <row r="2946" spans="1:6">
      <c r="A2946" t="s">
        <v>7075</v>
      </c>
      <c r="B2946" t="s">
        <v>1296</v>
      </c>
      <c r="C2946" t="s">
        <v>152</v>
      </c>
      <c r="D2946" s="1">
        <v>45950</v>
      </c>
      <c r="E2946" t="s">
        <v>4135</v>
      </c>
      <c r="F2946" t="s">
        <v>4125</v>
      </c>
    </row>
    <row r="2947" spans="1:6">
      <c r="A2947" t="s">
        <v>7076</v>
      </c>
      <c r="B2947" t="s">
        <v>1296</v>
      </c>
      <c r="C2947" t="s">
        <v>152</v>
      </c>
      <c r="D2947" s="1">
        <v>45912</v>
      </c>
      <c r="E2947" t="s">
        <v>4133</v>
      </c>
      <c r="F2947" t="s">
        <v>4125</v>
      </c>
    </row>
    <row r="2948" spans="1:6">
      <c r="A2948" t="s">
        <v>7077</v>
      </c>
      <c r="B2948" t="s">
        <v>1297</v>
      </c>
      <c r="C2948" t="s">
        <v>22</v>
      </c>
      <c r="D2948" s="1">
        <v>45701</v>
      </c>
      <c r="E2948" t="s">
        <v>4129</v>
      </c>
      <c r="F2948" t="s">
        <v>4125</v>
      </c>
    </row>
    <row r="2949" spans="1:6">
      <c r="A2949" t="s">
        <v>7078</v>
      </c>
      <c r="B2949" t="s">
        <v>1297</v>
      </c>
      <c r="C2949" t="s">
        <v>22</v>
      </c>
      <c r="D2949" s="1">
        <v>45710</v>
      </c>
      <c r="E2949" t="s">
        <v>4129</v>
      </c>
      <c r="F2949" t="s">
        <v>4137</v>
      </c>
    </row>
    <row r="2950" spans="1:6">
      <c r="A2950" t="s">
        <v>7079</v>
      </c>
      <c r="B2950" t="s">
        <v>1297</v>
      </c>
      <c r="C2950" t="s">
        <v>22</v>
      </c>
      <c r="D2950" s="1">
        <v>45701</v>
      </c>
      <c r="E2950" t="s">
        <v>4135</v>
      </c>
      <c r="F2950" t="s">
        <v>4137</v>
      </c>
    </row>
    <row r="2951" spans="1:6">
      <c r="A2951" t="s">
        <v>7080</v>
      </c>
      <c r="B2951" t="s">
        <v>1297</v>
      </c>
      <c r="C2951" t="s">
        <v>22</v>
      </c>
      <c r="D2951" s="1">
        <v>45703</v>
      </c>
      <c r="E2951" t="s">
        <v>4124</v>
      </c>
      <c r="F2951" t="s">
        <v>4125</v>
      </c>
    </row>
    <row r="2952" spans="1:6">
      <c r="A2952" t="s">
        <v>7081</v>
      </c>
      <c r="B2952" t="s">
        <v>1297</v>
      </c>
      <c r="C2952" t="s">
        <v>22</v>
      </c>
      <c r="D2952" s="1">
        <v>45698</v>
      </c>
      <c r="E2952" t="s">
        <v>4129</v>
      </c>
      <c r="F2952" t="s">
        <v>4137</v>
      </c>
    </row>
    <row r="2953" spans="1:6">
      <c r="A2953" t="s">
        <v>7082</v>
      </c>
      <c r="B2953" t="s">
        <v>1298</v>
      </c>
      <c r="C2953" t="s">
        <v>46</v>
      </c>
      <c r="D2953" s="1">
        <v>45886</v>
      </c>
      <c r="E2953" t="s">
        <v>4124</v>
      </c>
      <c r="F2953" t="s">
        <v>4125</v>
      </c>
    </row>
    <row r="2954" spans="1:6">
      <c r="A2954" t="s">
        <v>7083</v>
      </c>
      <c r="B2954" t="s">
        <v>1298</v>
      </c>
      <c r="C2954" t="s">
        <v>46</v>
      </c>
      <c r="D2954" s="1">
        <v>45883</v>
      </c>
      <c r="E2954" t="s">
        <v>4124</v>
      </c>
      <c r="F2954" t="s">
        <v>4125</v>
      </c>
    </row>
    <row r="2955" spans="1:6">
      <c r="A2955" t="s">
        <v>7084</v>
      </c>
      <c r="B2955" t="s">
        <v>1298</v>
      </c>
      <c r="C2955" t="s">
        <v>46</v>
      </c>
      <c r="D2955" s="1">
        <v>45864</v>
      </c>
      <c r="E2955" t="s">
        <v>4133</v>
      </c>
      <c r="F2955" t="s">
        <v>4125</v>
      </c>
    </row>
    <row r="2956" spans="1:6">
      <c r="A2956" t="s">
        <v>7085</v>
      </c>
      <c r="B2956" t="s">
        <v>1298</v>
      </c>
      <c r="C2956" t="s">
        <v>46</v>
      </c>
      <c r="D2956" s="1">
        <v>45869</v>
      </c>
      <c r="E2956" t="s">
        <v>4135</v>
      </c>
      <c r="F2956" t="s">
        <v>4137</v>
      </c>
    </row>
    <row r="2957" spans="1:6">
      <c r="A2957" t="s">
        <v>7086</v>
      </c>
      <c r="B2957" t="s">
        <v>1299</v>
      </c>
      <c r="C2957" t="s">
        <v>75</v>
      </c>
      <c r="D2957" s="1">
        <v>45870</v>
      </c>
      <c r="E2957" t="s">
        <v>4124</v>
      </c>
      <c r="F2957" t="s">
        <v>4139</v>
      </c>
    </row>
    <row r="2958" spans="1:6">
      <c r="A2958" t="s">
        <v>7087</v>
      </c>
      <c r="B2958" t="s">
        <v>1299</v>
      </c>
      <c r="C2958" t="s">
        <v>75</v>
      </c>
      <c r="D2958" s="1">
        <v>45841</v>
      </c>
      <c r="E2958" t="s">
        <v>4127</v>
      </c>
      <c r="F2958" t="s">
        <v>4125</v>
      </c>
    </row>
    <row r="2959" spans="1:6">
      <c r="A2959" t="s">
        <v>7088</v>
      </c>
      <c r="B2959" t="s">
        <v>1299</v>
      </c>
      <c r="C2959" t="s">
        <v>75</v>
      </c>
      <c r="D2959" s="1">
        <v>45851</v>
      </c>
      <c r="E2959" t="s">
        <v>4135</v>
      </c>
      <c r="F2959" t="s">
        <v>4125</v>
      </c>
    </row>
    <row r="2960" spans="1:6">
      <c r="A2960" t="s">
        <v>7089</v>
      </c>
      <c r="B2960" t="s">
        <v>1299</v>
      </c>
      <c r="C2960" t="s">
        <v>75</v>
      </c>
      <c r="D2960" s="1">
        <v>45848</v>
      </c>
      <c r="E2960" t="s">
        <v>4135</v>
      </c>
      <c r="F2960" t="s">
        <v>4125</v>
      </c>
    </row>
    <row r="2961" spans="1:6">
      <c r="A2961" t="s">
        <v>7090</v>
      </c>
      <c r="B2961" t="s">
        <v>1299</v>
      </c>
      <c r="C2961" t="s">
        <v>75</v>
      </c>
      <c r="D2961" s="1">
        <v>45867</v>
      </c>
      <c r="E2961" t="s">
        <v>4129</v>
      </c>
      <c r="F2961" t="s">
        <v>4137</v>
      </c>
    </row>
    <row r="2962" spans="1:6">
      <c r="A2962" t="s">
        <v>7091</v>
      </c>
      <c r="B2962" t="s">
        <v>1300</v>
      </c>
      <c r="C2962" t="s">
        <v>126</v>
      </c>
      <c r="D2962" s="1">
        <v>45767</v>
      </c>
      <c r="E2962" t="s">
        <v>4127</v>
      </c>
      <c r="F2962" t="s">
        <v>4139</v>
      </c>
    </row>
    <row r="2963" spans="1:6">
      <c r="A2963" t="s">
        <v>7092</v>
      </c>
      <c r="B2963" t="s">
        <v>1300</v>
      </c>
      <c r="C2963" t="s">
        <v>126</v>
      </c>
      <c r="D2963" s="1">
        <v>45825</v>
      </c>
      <c r="E2963" t="s">
        <v>4127</v>
      </c>
      <c r="F2963" t="s">
        <v>4125</v>
      </c>
    </row>
    <row r="2964" spans="1:6">
      <c r="A2964" t="s">
        <v>7093</v>
      </c>
      <c r="B2964" t="s">
        <v>1300</v>
      </c>
      <c r="C2964" t="s">
        <v>126</v>
      </c>
      <c r="D2964" s="1">
        <v>45818</v>
      </c>
      <c r="E2964" t="s">
        <v>4135</v>
      </c>
      <c r="F2964" t="s">
        <v>4137</v>
      </c>
    </row>
    <row r="2965" spans="1:6">
      <c r="A2965" t="s">
        <v>7094</v>
      </c>
      <c r="B2965" t="s">
        <v>1300</v>
      </c>
      <c r="C2965" t="s">
        <v>126</v>
      </c>
      <c r="D2965" s="1">
        <v>45806</v>
      </c>
      <c r="E2965" t="s">
        <v>4135</v>
      </c>
      <c r="F2965" t="s">
        <v>4125</v>
      </c>
    </row>
    <row r="2966" spans="1:6">
      <c r="A2966" t="s">
        <v>7095</v>
      </c>
      <c r="B2966" t="s">
        <v>1301</v>
      </c>
      <c r="C2966" t="s">
        <v>63</v>
      </c>
      <c r="D2966" s="1">
        <v>45785</v>
      </c>
      <c r="E2966" t="s">
        <v>4129</v>
      </c>
      <c r="F2966" t="s">
        <v>4139</v>
      </c>
    </row>
    <row r="2967" spans="1:6">
      <c r="A2967" t="s">
        <v>7096</v>
      </c>
      <c r="B2967" t="s">
        <v>1301</v>
      </c>
      <c r="C2967" t="s">
        <v>63</v>
      </c>
      <c r="D2967" s="1">
        <v>45806</v>
      </c>
      <c r="E2967" t="s">
        <v>4124</v>
      </c>
      <c r="F2967" t="s">
        <v>4137</v>
      </c>
    </row>
    <row r="2968" spans="1:6">
      <c r="A2968" t="s">
        <v>7097</v>
      </c>
      <c r="B2968" t="s">
        <v>1302</v>
      </c>
      <c r="C2968" t="s">
        <v>36</v>
      </c>
      <c r="D2968" s="1">
        <v>45971</v>
      </c>
      <c r="E2968" t="s">
        <v>4124</v>
      </c>
      <c r="F2968" t="s">
        <v>4125</v>
      </c>
    </row>
    <row r="2969" spans="1:6">
      <c r="A2969" t="s">
        <v>7098</v>
      </c>
      <c r="B2969" t="s">
        <v>1302</v>
      </c>
      <c r="C2969" t="s">
        <v>36</v>
      </c>
      <c r="D2969" s="1">
        <v>45941</v>
      </c>
      <c r="E2969" t="s">
        <v>4127</v>
      </c>
      <c r="F2969" t="s">
        <v>4139</v>
      </c>
    </row>
    <row r="2970" spans="1:6">
      <c r="A2970" t="s">
        <v>7099</v>
      </c>
      <c r="B2970" t="s">
        <v>1302</v>
      </c>
      <c r="C2970" t="s">
        <v>36</v>
      </c>
      <c r="D2970" s="1">
        <v>45923</v>
      </c>
      <c r="E2970" t="s">
        <v>4135</v>
      </c>
      <c r="F2970" t="s">
        <v>4137</v>
      </c>
    </row>
    <row r="2971" spans="1:6">
      <c r="A2971" t="s">
        <v>7100</v>
      </c>
      <c r="B2971" t="s">
        <v>1302</v>
      </c>
      <c r="C2971" t="s">
        <v>36</v>
      </c>
      <c r="D2971" s="1">
        <v>45963</v>
      </c>
      <c r="E2971" t="s">
        <v>4129</v>
      </c>
      <c r="F2971" t="s">
        <v>4139</v>
      </c>
    </row>
    <row r="2972" spans="1:6">
      <c r="A2972" t="s">
        <v>7101</v>
      </c>
      <c r="B2972" t="s">
        <v>1304</v>
      </c>
      <c r="C2972" t="s">
        <v>50</v>
      </c>
      <c r="D2972" s="1">
        <v>45954</v>
      </c>
      <c r="E2972" t="s">
        <v>4135</v>
      </c>
      <c r="F2972" t="s">
        <v>4125</v>
      </c>
    </row>
    <row r="2973" spans="1:6">
      <c r="A2973" t="s">
        <v>7102</v>
      </c>
      <c r="B2973" t="s">
        <v>1304</v>
      </c>
      <c r="C2973" t="s">
        <v>50</v>
      </c>
      <c r="D2973" s="1">
        <v>45963</v>
      </c>
      <c r="E2973" t="s">
        <v>4129</v>
      </c>
      <c r="F2973" t="s">
        <v>4139</v>
      </c>
    </row>
    <row r="2974" spans="1:6">
      <c r="A2974" t="s">
        <v>7103</v>
      </c>
      <c r="B2974" t="s">
        <v>1304</v>
      </c>
      <c r="C2974" t="s">
        <v>50</v>
      </c>
      <c r="D2974" s="1">
        <v>45961</v>
      </c>
      <c r="E2974" t="s">
        <v>4133</v>
      </c>
      <c r="F2974" t="s">
        <v>4139</v>
      </c>
    </row>
    <row r="2975" spans="1:6">
      <c r="A2975" t="s">
        <v>7104</v>
      </c>
      <c r="B2975" t="s">
        <v>1305</v>
      </c>
      <c r="C2975" t="s">
        <v>126</v>
      </c>
      <c r="D2975" s="1">
        <v>45879</v>
      </c>
      <c r="E2975" t="s">
        <v>4135</v>
      </c>
      <c r="F2975" t="s">
        <v>4139</v>
      </c>
    </row>
    <row r="2976" spans="1:6">
      <c r="A2976" t="s">
        <v>7105</v>
      </c>
      <c r="B2976" t="s">
        <v>1305</v>
      </c>
      <c r="C2976" t="s">
        <v>126</v>
      </c>
      <c r="D2976" s="1">
        <v>45872</v>
      </c>
      <c r="E2976" t="s">
        <v>4135</v>
      </c>
      <c r="F2976" t="s">
        <v>4137</v>
      </c>
    </row>
    <row r="2977" spans="1:6">
      <c r="A2977" t="s">
        <v>7106</v>
      </c>
      <c r="B2977" t="s">
        <v>1305</v>
      </c>
      <c r="C2977" t="s">
        <v>126</v>
      </c>
      <c r="D2977" s="1">
        <v>45898</v>
      </c>
      <c r="E2977" t="s">
        <v>4135</v>
      </c>
      <c r="F2977" t="s">
        <v>4137</v>
      </c>
    </row>
    <row r="2978" spans="1:6">
      <c r="A2978" t="s">
        <v>7107</v>
      </c>
      <c r="B2978" t="s">
        <v>1305</v>
      </c>
      <c r="C2978" t="s">
        <v>126</v>
      </c>
      <c r="D2978" s="1">
        <v>45889</v>
      </c>
      <c r="E2978" t="s">
        <v>4129</v>
      </c>
      <c r="F2978" t="s">
        <v>4139</v>
      </c>
    </row>
    <row r="2979" spans="1:6">
      <c r="A2979" t="s">
        <v>7108</v>
      </c>
      <c r="B2979" t="s">
        <v>1306</v>
      </c>
      <c r="C2979" t="s">
        <v>22</v>
      </c>
      <c r="D2979" s="1">
        <v>45822</v>
      </c>
      <c r="E2979" t="s">
        <v>4127</v>
      </c>
      <c r="F2979" t="s">
        <v>4139</v>
      </c>
    </row>
    <row r="2980" spans="1:6">
      <c r="A2980" t="s">
        <v>7109</v>
      </c>
      <c r="B2980" t="s">
        <v>1306</v>
      </c>
      <c r="C2980" t="s">
        <v>22</v>
      </c>
      <c r="D2980" s="1">
        <v>45849</v>
      </c>
      <c r="E2980" t="s">
        <v>4124</v>
      </c>
      <c r="F2980" t="s">
        <v>4125</v>
      </c>
    </row>
    <row r="2981" spans="1:6">
      <c r="A2981" t="s">
        <v>7110</v>
      </c>
      <c r="B2981" t="s">
        <v>1307</v>
      </c>
      <c r="C2981" t="s">
        <v>119</v>
      </c>
      <c r="D2981" s="1">
        <v>45931</v>
      </c>
      <c r="E2981" t="s">
        <v>4135</v>
      </c>
      <c r="F2981" t="s">
        <v>4139</v>
      </c>
    </row>
    <row r="2982" spans="1:6">
      <c r="A2982" t="s">
        <v>7111</v>
      </c>
      <c r="B2982" t="s">
        <v>1307</v>
      </c>
      <c r="C2982" t="s">
        <v>119</v>
      </c>
      <c r="D2982" s="1">
        <v>45939</v>
      </c>
      <c r="E2982" t="s">
        <v>4129</v>
      </c>
      <c r="F2982" t="s">
        <v>4125</v>
      </c>
    </row>
    <row r="2983" spans="1:6">
      <c r="A2983" t="s">
        <v>7112</v>
      </c>
      <c r="B2983" t="s">
        <v>1307</v>
      </c>
      <c r="C2983" t="s">
        <v>119</v>
      </c>
      <c r="D2983" s="1">
        <v>45934</v>
      </c>
      <c r="E2983" t="s">
        <v>4127</v>
      </c>
      <c r="F2983" t="s">
        <v>4137</v>
      </c>
    </row>
    <row r="2984" spans="1:6">
      <c r="A2984" t="s">
        <v>7113</v>
      </c>
      <c r="B2984" t="s">
        <v>1307</v>
      </c>
      <c r="C2984" t="s">
        <v>119</v>
      </c>
      <c r="D2984" s="1">
        <v>45928</v>
      </c>
      <c r="E2984" t="s">
        <v>4135</v>
      </c>
      <c r="F2984" t="s">
        <v>4137</v>
      </c>
    </row>
    <row r="2985" spans="1:6">
      <c r="A2985" t="s">
        <v>7114</v>
      </c>
      <c r="B2985" t="s">
        <v>1309</v>
      </c>
      <c r="C2985" t="s">
        <v>22</v>
      </c>
      <c r="D2985" s="1">
        <v>45722</v>
      </c>
      <c r="E2985" t="s">
        <v>4127</v>
      </c>
      <c r="F2985" t="s">
        <v>4139</v>
      </c>
    </row>
    <row r="2986" spans="1:6">
      <c r="A2986" t="s">
        <v>7115</v>
      </c>
      <c r="B2986" t="s">
        <v>1309</v>
      </c>
      <c r="C2986" t="s">
        <v>22</v>
      </c>
      <c r="D2986" s="1">
        <v>45704</v>
      </c>
      <c r="E2986" t="s">
        <v>4124</v>
      </c>
      <c r="F2986" t="s">
        <v>4125</v>
      </c>
    </row>
    <row r="2987" spans="1:6">
      <c r="A2987" t="s">
        <v>7116</v>
      </c>
      <c r="B2987" t="s">
        <v>1309</v>
      </c>
      <c r="C2987" t="s">
        <v>22</v>
      </c>
      <c r="D2987" s="1">
        <v>45730</v>
      </c>
      <c r="E2987" t="s">
        <v>4129</v>
      </c>
      <c r="F2987" t="s">
        <v>4137</v>
      </c>
    </row>
    <row r="2988" spans="1:6">
      <c r="A2988" t="s">
        <v>7117</v>
      </c>
      <c r="B2988" t="s">
        <v>1309</v>
      </c>
      <c r="C2988" t="s">
        <v>22</v>
      </c>
      <c r="D2988" s="1">
        <v>45722</v>
      </c>
      <c r="E2988" t="s">
        <v>4129</v>
      </c>
      <c r="F2988" t="s">
        <v>4125</v>
      </c>
    </row>
    <row r="2989" spans="1:6">
      <c r="A2989" t="s">
        <v>7118</v>
      </c>
      <c r="B2989" t="s">
        <v>1309</v>
      </c>
      <c r="C2989" t="s">
        <v>22</v>
      </c>
      <c r="D2989" s="1">
        <v>45730</v>
      </c>
      <c r="E2989" t="s">
        <v>4129</v>
      </c>
      <c r="F2989" t="s">
        <v>4137</v>
      </c>
    </row>
    <row r="2990" spans="1:6">
      <c r="A2990" t="s">
        <v>7119</v>
      </c>
      <c r="B2990" t="s">
        <v>1310</v>
      </c>
      <c r="C2990" t="s">
        <v>152</v>
      </c>
      <c r="D2990" s="1">
        <v>46022</v>
      </c>
      <c r="E2990" t="s">
        <v>4133</v>
      </c>
      <c r="F2990" t="s">
        <v>4125</v>
      </c>
    </row>
    <row r="2991" spans="1:6">
      <c r="A2991" t="s">
        <v>7120</v>
      </c>
      <c r="B2991" t="s">
        <v>1310</v>
      </c>
      <c r="C2991" t="s">
        <v>152</v>
      </c>
      <c r="D2991" s="1">
        <v>46022</v>
      </c>
      <c r="E2991" t="s">
        <v>4127</v>
      </c>
      <c r="F2991" t="s">
        <v>4139</v>
      </c>
    </row>
    <row r="2992" spans="1:6">
      <c r="A2992" t="s">
        <v>7121</v>
      </c>
      <c r="B2992" t="s">
        <v>1310</v>
      </c>
      <c r="C2992" t="s">
        <v>152</v>
      </c>
      <c r="D2992" s="1">
        <v>46022</v>
      </c>
      <c r="E2992" t="s">
        <v>4133</v>
      </c>
      <c r="F2992" t="s">
        <v>4139</v>
      </c>
    </row>
    <row r="2993" spans="1:6">
      <c r="A2993" t="s">
        <v>7122</v>
      </c>
      <c r="B2993" t="s">
        <v>1310</v>
      </c>
      <c r="C2993" t="s">
        <v>152</v>
      </c>
      <c r="D2993" s="1">
        <v>46022</v>
      </c>
      <c r="E2993" t="s">
        <v>4135</v>
      </c>
      <c r="F2993" t="s">
        <v>4137</v>
      </c>
    </row>
    <row r="2994" spans="1:6">
      <c r="A2994" t="s">
        <v>7123</v>
      </c>
      <c r="B2994" t="s">
        <v>1312</v>
      </c>
      <c r="C2994" t="s">
        <v>78</v>
      </c>
      <c r="D2994" s="1">
        <v>45978</v>
      </c>
      <c r="E2994" t="s">
        <v>4133</v>
      </c>
      <c r="F2994" t="s">
        <v>4139</v>
      </c>
    </row>
    <row r="2995" spans="1:6">
      <c r="A2995" t="s">
        <v>7124</v>
      </c>
      <c r="B2995" t="s">
        <v>1312</v>
      </c>
      <c r="C2995" t="s">
        <v>78</v>
      </c>
      <c r="D2995" s="1">
        <v>45958</v>
      </c>
      <c r="E2995" t="s">
        <v>4127</v>
      </c>
      <c r="F2995" t="s">
        <v>4137</v>
      </c>
    </row>
    <row r="2996" spans="1:6">
      <c r="A2996" t="s">
        <v>7125</v>
      </c>
      <c r="B2996" t="s">
        <v>1312</v>
      </c>
      <c r="C2996" t="s">
        <v>78</v>
      </c>
      <c r="D2996" s="1">
        <v>45988</v>
      </c>
      <c r="E2996" t="s">
        <v>4133</v>
      </c>
      <c r="F2996" t="s">
        <v>4125</v>
      </c>
    </row>
    <row r="2997" spans="1:6">
      <c r="A2997" t="s">
        <v>7126</v>
      </c>
      <c r="B2997" t="s">
        <v>1312</v>
      </c>
      <c r="C2997" t="s">
        <v>78</v>
      </c>
      <c r="D2997" s="1">
        <v>45971</v>
      </c>
      <c r="E2997" t="s">
        <v>4124</v>
      </c>
      <c r="F2997" t="s">
        <v>4125</v>
      </c>
    </row>
    <row r="2998" spans="1:6">
      <c r="A2998" t="s">
        <v>7127</v>
      </c>
      <c r="B2998" t="s">
        <v>1313</v>
      </c>
      <c r="C2998" t="s">
        <v>27</v>
      </c>
      <c r="D2998" s="1">
        <v>45865</v>
      </c>
      <c r="E2998" t="s">
        <v>4135</v>
      </c>
      <c r="F2998" t="s">
        <v>4137</v>
      </c>
    </row>
    <row r="2999" spans="1:6">
      <c r="A2999" t="s">
        <v>7128</v>
      </c>
      <c r="B2999" t="s">
        <v>1313</v>
      </c>
      <c r="C2999" t="s">
        <v>27</v>
      </c>
      <c r="D2999" s="1">
        <v>45831</v>
      </c>
      <c r="E2999" t="s">
        <v>4124</v>
      </c>
      <c r="F2999" t="s">
        <v>4137</v>
      </c>
    </row>
    <row r="3000" spans="1:6">
      <c r="A3000" t="s">
        <v>7129</v>
      </c>
      <c r="B3000" t="s">
        <v>1313</v>
      </c>
      <c r="C3000" t="s">
        <v>27</v>
      </c>
      <c r="D3000" s="1">
        <v>45859</v>
      </c>
      <c r="E3000" t="s">
        <v>4127</v>
      </c>
      <c r="F3000" t="s">
        <v>4125</v>
      </c>
    </row>
    <row r="3001" spans="1:6">
      <c r="A3001" t="s">
        <v>7130</v>
      </c>
      <c r="B3001" t="s">
        <v>1313</v>
      </c>
      <c r="C3001" t="s">
        <v>27</v>
      </c>
      <c r="D3001" s="1">
        <v>45855</v>
      </c>
      <c r="E3001" t="s">
        <v>4135</v>
      </c>
      <c r="F3001" t="s">
        <v>4125</v>
      </c>
    </row>
    <row r="3002" spans="1:6">
      <c r="A3002" t="s">
        <v>7131</v>
      </c>
      <c r="B3002" t="s">
        <v>1313</v>
      </c>
      <c r="C3002" t="s">
        <v>27</v>
      </c>
      <c r="D3002" s="1">
        <v>45803</v>
      </c>
      <c r="E3002" t="s">
        <v>4135</v>
      </c>
      <c r="F3002" t="s">
        <v>4137</v>
      </c>
    </row>
    <row r="3003" spans="1:6">
      <c r="A3003" t="s">
        <v>7132</v>
      </c>
      <c r="B3003" t="s">
        <v>1314</v>
      </c>
      <c r="C3003" t="s">
        <v>75</v>
      </c>
      <c r="D3003" s="1">
        <v>45850</v>
      </c>
      <c r="E3003" t="s">
        <v>4135</v>
      </c>
      <c r="F3003" t="s">
        <v>4139</v>
      </c>
    </row>
    <row r="3004" spans="1:6">
      <c r="A3004" t="s">
        <v>7133</v>
      </c>
      <c r="B3004" t="s">
        <v>1314</v>
      </c>
      <c r="C3004" t="s">
        <v>75</v>
      </c>
      <c r="D3004" s="1">
        <v>45850</v>
      </c>
      <c r="E3004" t="s">
        <v>4135</v>
      </c>
      <c r="F3004" t="s">
        <v>4125</v>
      </c>
    </row>
    <row r="3005" spans="1:6">
      <c r="A3005" t="s">
        <v>7134</v>
      </c>
      <c r="B3005" t="s">
        <v>1315</v>
      </c>
      <c r="C3005" t="s">
        <v>46</v>
      </c>
      <c r="D3005" s="1">
        <v>45994</v>
      </c>
      <c r="E3005" t="s">
        <v>4135</v>
      </c>
      <c r="F3005" t="s">
        <v>4137</v>
      </c>
    </row>
    <row r="3006" spans="1:6">
      <c r="A3006" t="s">
        <v>7135</v>
      </c>
      <c r="B3006" t="s">
        <v>1315</v>
      </c>
      <c r="C3006" t="s">
        <v>46</v>
      </c>
      <c r="D3006" s="1">
        <v>45986</v>
      </c>
      <c r="E3006" t="s">
        <v>4124</v>
      </c>
      <c r="F3006" t="s">
        <v>4139</v>
      </c>
    </row>
    <row r="3007" spans="1:6">
      <c r="A3007" t="s">
        <v>7136</v>
      </c>
      <c r="B3007" t="s">
        <v>1316</v>
      </c>
      <c r="C3007" t="s">
        <v>50</v>
      </c>
      <c r="D3007" s="1">
        <v>45953</v>
      </c>
      <c r="E3007" t="s">
        <v>4135</v>
      </c>
      <c r="F3007" t="s">
        <v>4139</v>
      </c>
    </row>
    <row r="3008" spans="1:6">
      <c r="A3008" t="s">
        <v>7137</v>
      </c>
      <c r="B3008" t="s">
        <v>1316</v>
      </c>
      <c r="C3008" t="s">
        <v>50</v>
      </c>
      <c r="D3008" s="1">
        <v>45939</v>
      </c>
      <c r="E3008" t="s">
        <v>4124</v>
      </c>
      <c r="F3008" t="s">
        <v>4137</v>
      </c>
    </row>
    <row r="3009" spans="1:6">
      <c r="A3009" t="s">
        <v>7138</v>
      </c>
      <c r="B3009" t="s">
        <v>1317</v>
      </c>
      <c r="C3009" t="s">
        <v>91</v>
      </c>
      <c r="D3009" s="1">
        <v>45986</v>
      </c>
      <c r="E3009" t="s">
        <v>4135</v>
      </c>
      <c r="F3009" t="s">
        <v>4125</v>
      </c>
    </row>
    <row r="3010" spans="1:6">
      <c r="A3010" t="s">
        <v>7139</v>
      </c>
      <c r="B3010" t="s">
        <v>1317</v>
      </c>
      <c r="C3010" t="s">
        <v>91</v>
      </c>
      <c r="D3010" s="1">
        <v>45956</v>
      </c>
      <c r="E3010" t="s">
        <v>4129</v>
      </c>
      <c r="F3010" t="s">
        <v>4125</v>
      </c>
    </row>
    <row r="3011" spans="1:6">
      <c r="A3011" t="s">
        <v>7140</v>
      </c>
      <c r="B3011" t="s">
        <v>1319</v>
      </c>
      <c r="C3011" t="s">
        <v>59</v>
      </c>
      <c r="D3011" s="1">
        <v>46014</v>
      </c>
      <c r="E3011" t="s">
        <v>4124</v>
      </c>
      <c r="F3011" t="s">
        <v>4139</v>
      </c>
    </row>
    <row r="3012" spans="1:6">
      <c r="A3012" t="s">
        <v>7141</v>
      </c>
      <c r="B3012" t="s">
        <v>1319</v>
      </c>
      <c r="C3012" t="s">
        <v>59</v>
      </c>
      <c r="D3012" s="1">
        <v>45996</v>
      </c>
      <c r="E3012" t="s">
        <v>4124</v>
      </c>
      <c r="F3012" t="s">
        <v>4125</v>
      </c>
    </row>
    <row r="3013" spans="1:6">
      <c r="A3013" t="s">
        <v>7142</v>
      </c>
      <c r="B3013" t="s">
        <v>1320</v>
      </c>
      <c r="C3013" t="s">
        <v>22</v>
      </c>
      <c r="D3013" s="1">
        <v>45791</v>
      </c>
      <c r="E3013" t="s">
        <v>4135</v>
      </c>
      <c r="F3013" t="s">
        <v>4125</v>
      </c>
    </row>
    <row r="3014" spans="1:6">
      <c r="A3014" t="s">
        <v>7143</v>
      </c>
      <c r="B3014" t="s">
        <v>1320</v>
      </c>
      <c r="C3014" t="s">
        <v>22</v>
      </c>
      <c r="D3014" s="1">
        <v>45841</v>
      </c>
      <c r="E3014" t="s">
        <v>4129</v>
      </c>
      <c r="F3014" t="s">
        <v>4139</v>
      </c>
    </row>
    <row r="3015" spans="1:6">
      <c r="A3015" t="s">
        <v>7144</v>
      </c>
      <c r="B3015" t="s">
        <v>1320</v>
      </c>
      <c r="C3015" t="s">
        <v>22</v>
      </c>
      <c r="D3015" s="1">
        <v>45821</v>
      </c>
      <c r="E3015" t="s">
        <v>4135</v>
      </c>
      <c r="F3015" t="s">
        <v>4139</v>
      </c>
    </row>
    <row r="3016" spans="1:6">
      <c r="A3016" t="s">
        <v>7145</v>
      </c>
      <c r="B3016" t="s">
        <v>1321</v>
      </c>
      <c r="C3016" t="s">
        <v>16</v>
      </c>
      <c r="D3016" s="1">
        <v>45999</v>
      </c>
      <c r="E3016" t="s">
        <v>4127</v>
      </c>
      <c r="F3016" t="s">
        <v>4125</v>
      </c>
    </row>
    <row r="3017" spans="1:6">
      <c r="A3017" t="s">
        <v>7146</v>
      </c>
      <c r="B3017" t="s">
        <v>1321</v>
      </c>
      <c r="C3017" t="s">
        <v>16</v>
      </c>
      <c r="D3017" s="1">
        <v>46005</v>
      </c>
      <c r="E3017" t="s">
        <v>4135</v>
      </c>
      <c r="F3017" t="s">
        <v>4125</v>
      </c>
    </row>
    <row r="3018" spans="1:6">
      <c r="A3018" t="s">
        <v>7147</v>
      </c>
      <c r="B3018" t="s">
        <v>1321</v>
      </c>
      <c r="C3018" t="s">
        <v>16</v>
      </c>
      <c r="D3018" s="1">
        <v>46000</v>
      </c>
      <c r="E3018" t="s">
        <v>4127</v>
      </c>
      <c r="F3018" t="s">
        <v>4125</v>
      </c>
    </row>
    <row r="3019" spans="1:6">
      <c r="A3019" t="s">
        <v>7148</v>
      </c>
      <c r="B3019" t="s">
        <v>1322</v>
      </c>
      <c r="C3019" t="s">
        <v>40</v>
      </c>
      <c r="D3019" s="1">
        <v>45908</v>
      </c>
      <c r="E3019" t="s">
        <v>4135</v>
      </c>
      <c r="F3019" t="s">
        <v>4139</v>
      </c>
    </row>
    <row r="3020" spans="1:6">
      <c r="A3020" t="s">
        <v>7149</v>
      </c>
      <c r="B3020" t="s">
        <v>1322</v>
      </c>
      <c r="C3020" t="s">
        <v>40</v>
      </c>
      <c r="D3020" s="1">
        <v>45913</v>
      </c>
      <c r="E3020" t="s">
        <v>4127</v>
      </c>
      <c r="F3020" t="s">
        <v>4137</v>
      </c>
    </row>
    <row r="3021" spans="1:6">
      <c r="A3021" t="s">
        <v>7150</v>
      </c>
      <c r="B3021" t="s">
        <v>1322</v>
      </c>
      <c r="C3021" t="s">
        <v>40</v>
      </c>
      <c r="D3021" s="1">
        <v>45934</v>
      </c>
      <c r="E3021" t="s">
        <v>4129</v>
      </c>
      <c r="F3021" t="s">
        <v>4125</v>
      </c>
    </row>
    <row r="3022" spans="1:6">
      <c r="A3022" t="s">
        <v>7151</v>
      </c>
      <c r="B3022" t="s">
        <v>1322</v>
      </c>
      <c r="C3022" t="s">
        <v>40</v>
      </c>
      <c r="D3022" s="1">
        <v>45885</v>
      </c>
      <c r="E3022" t="s">
        <v>4135</v>
      </c>
      <c r="F3022" t="s">
        <v>4137</v>
      </c>
    </row>
    <row r="3023" spans="1:6">
      <c r="A3023" t="s">
        <v>7152</v>
      </c>
      <c r="B3023" t="s">
        <v>1322</v>
      </c>
      <c r="C3023" t="s">
        <v>40</v>
      </c>
      <c r="D3023" s="1">
        <v>45927</v>
      </c>
      <c r="E3023" t="s">
        <v>4133</v>
      </c>
      <c r="F3023" t="s">
        <v>4139</v>
      </c>
    </row>
    <row r="3024" spans="1:6">
      <c r="A3024" t="s">
        <v>7153</v>
      </c>
      <c r="B3024" t="s">
        <v>1323</v>
      </c>
      <c r="C3024" t="s">
        <v>59</v>
      </c>
      <c r="D3024" s="1">
        <v>45739</v>
      </c>
      <c r="E3024" t="s">
        <v>4133</v>
      </c>
      <c r="F3024" t="s">
        <v>4139</v>
      </c>
    </row>
    <row r="3025" spans="1:6">
      <c r="A3025" t="s">
        <v>7154</v>
      </c>
      <c r="B3025" t="s">
        <v>1323</v>
      </c>
      <c r="C3025" t="s">
        <v>59</v>
      </c>
      <c r="D3025" s="1">
        <v>45724</v>
      </c>
      <c r="E3025" t="s">
        <v>4127</v>
      </c>
      <c r="F3025" t="s">
        <v>4139</v>
      </c>
    </row>
    <row r="3026" spans="1:6">
      <c r="A3026" t="s">
        <v>7155</v>
      </c>
      <c r="B3026" t="s">
        <v>1323</v>
      </c>
      <c r="C3026" t="s">
        <v>59</v>
      </c>
      <c r="D3026" s="1">
        <v>45730</v>
      </c>
      <c r="E3026" t="s">
        <v>4129</v>
      </c>
      <c r="F3026" t="s">
        <v>4125</v>
      </c>
    </row>
    <row r="3027" spans="1:6">
      <c r="A3027" t="s">
        <v>7156</v>
      </c>
      <c r="B3027" t="s">
        <v>1323</v>
      </c>
      <c r="C3027" t="s">
        <v>59</v>
      </c>
      <c r="D3027" s="1">
        <v>45708</v>
      </c>
      <c r="E3027" t="s">
        <v>4135</v>
      </c>
      <c r="F3027" t="s">
        <v>4139</v>
      </c>
    </row>
    <row r="3028" spans="1:6">
      <c r="A3028" t="s">
        <v>7157</v>
      </c>
      <c r="B3028" t="s">
        <v>1323</v>
      </c>
      <c r="C3028" t="s">
        <v>59</v>
      </c>
      <c r="D3028" s="1">
        <v>45694</v>
      </c>
      <c r="E3028" t="s">
        <v>4133</v>
      </c>
      <c r="F3028" t="s">
        <v>4139</v>
      </c>
    </row>
    <row r="3029" spans="1:6">
      <c r="A3029" t="s">
        <v>7158</v>
      </c>
      <c r="B3029" t="s">
        <v>1324</v>
      </c>
      <c r="C3029" t="s">
        <v>59</v>
      </c>
      <c r="D3029" s="1">
        <v>45704</v>
      </c>
      <c r="E3029" t="s">
        <v>4124</v>
      </c>
      <c r="F3029" t="s">
        <v>4125</v>
      </c>
    </row>
    <row r="3030" spans="1:6">
      <c r="A3030" t="s">
        <v>7159</v>
      </c>
      <c r="B3030" t="s">
        <v>1324</v>
      </c>
      <c r="C3030" t="s">
        <v>59</v>
      </c>
      <c r="D3030" s="1">
        <v>45701</v>
      </c>
      <c r="E3030" t="s">
        <v>4129</v>
      </c>
      <c r="F3030" t="s">
        <v>4125</v>
      </c>
    </row>
    <row r="3031" spans="1:6">
      <c r="A3031" t="s">
        <v>7160</v>
      </c>
      <c r="B3031" t="s">
        <v>1324</v>
      </c>
      <c r="C3031" t="s">
        <v>59</v>
      </c>
      <c r="D3031" s="1">
        <v>45699</v>
      </c>
      <c r="E3031" t="s">
        <v>4127</v>
      </c>
      <c r="F3031" t="s">
        <v>4125</v>
      </c>
    </row>
    <row r="3032" spans="1:6">
      <c r="A3032" t="s">
        <v>7161</v>
      </c>
      <c r="B3032" t="s">
        <v>1324</v>
      </c>
      <c r="C3032" t="s">
        <v>59</v>
      </c>
      <c r="D3032" s="1">
        <v>45691</v>
      </c>
      <c r="E3032" t="s">
        <v>4127</v>
      </c>
      <c r="F3032" t="s">
        <v>4125</v>
      </c>
    </row>
    <row r="3033" spans="1:6">
      <c r="A3033" t="s">
        <v>7162</v>
      </c>
      <c r="B3033" t="s">
        <v>1324</v>
      </c>
      <c r="C3033" t="s">
        <v>59</v>
      </c>
      <c r="D3033" s="1">
        <v>45701</v>
      </c>
      <c r="E3033" t="s">
        <v>4127</v>
      </c>
      <c r="F3033" t="s">
        <v>4139</v>
      </c>
    </row>
    <row r="3034" spans="1:6">
      <c r="A3034" t="s">
        <v>7163</v>
      </c>
      <c r="B3034" t="s">
        <v>1325</v>
      </c>
      <c r="C3034" t="s">
        <v>50</v>
      </c>
      <c r="D3034" s="1">
        <v>45862</v>
      </c>
      <c r="E3034" t="s">
        <v>4124</v>
      </c>
      <c r="F3034" t="s">
        <v>4125</v>
      </c>
    </row>
    <row r="3035" spans="1:6">
      <c r="A3035" t="s">
        <v>7164</v>
      </c>
      <c r="B3035" t="s">
        <v>1325</v>
      </c>
      <c r="C3035" t="s">
        <v>50</v>
      </c>
      <c r="D3035" s="1">
        <v>45860</v>
      </c>
      <c r="E3035" t="s">
        <v>4129</v>
      </c>
      <c r="F3035" t="s">
        <v>4125</v>
      </c>
    </row>
    <row r="3036" spans="1:6">
      <c r="A3036" t="s">
        <v>7165</v>
      </c>
      <c r="B3036" t="s">
        <v>1325</v>
      </c>
      <c r="C3036" t="s">
        <v>50</v>
      </c>
      <c r="D3036" s="1">
        <v>45864</v>
      </c>
      <c r="E3036" t="s">
        <v>4133</v>
      </c>
      <c r="F3036" t="s">
        <v>4137</v>
      </c>
    </row>
    <row r="3037" spans="1:6">
      <c r="A3037" t="s">
        <v>7166</v>
      </c>
      <c r="B3037" t="s">
        <v>1325</v>
      </c>
      <c r="C3037" t="s">
        <v>50</v>
      </c>
      <c r="D3037" s="1">
        <v>45860</v>
      </c>
      <c r="E3037" t="s">
        <v>4127</v>
      </c>
      <c r="F3037" t="s">
        <v>4139</v>
      </c>
    </row>
    <row r="3038" spans="1:6">
      <c r="A3038" t="s">
        <v>7167</v>
      </c>
      <c r="B3038" t="s">
        <v>1326</v>
      </c>
      <c r="C3038" t="s">
        <v>50</v>
      </c>
      <c r="D3038" s="1">
        <v>45707</v>
      </c>
      <c r="E3038" t="s">
        <v>4127</v>
      </c>
      <c r="F3038" t="s">
        <v>4139</v>
      </c>
    </row>
    <row r="3039" spans="1:6">
      <c r="A3039" t="s">
        <v>7168</v>
      </c>
      <c r="B3039" t="s">
        <v>1326</v>
      </c>
      <c r="C3039" t="s">
        <v>50</v>
      </c>
      <c r="D3039" s="1">
        <v>45720</v>
      </c>
      <c r="E3039" t="s">
        <v>4127</v>
      </c>
      <c r="F3039" t="s">
        <v>4125</v>
      </c>
    </row>
    <row r="3040" spans="1:6">
      <c r="A3040" t="s">
        <v>7169</v>
      </c>
      <c r="B3040" t="s">
        <v>1327</v>
      </c>
      <c r="C3040" t="s">
        <v>63</v>
      </c>
      <c r="D3040" s="1">
        <v>45761</v>
      </c>
      <c r="E3040" t="s">
        <v>4135</v>
      </c>
      <c r="F3040" t="s">
        <v>4125</v>
      </c>
    </row>
    <row r="3041" spans="1:6">
      <c r="A3041" t="s">
        <v>7170</v>
      </c>
      <c r="B3041" t="s">
        <v>1327</v>
      </c>
      <c r="C3041" t="s">
        <v>63</v>
      </c>
      <c r="D3041" s="1">
        <v>45787</v>
      </c>
      <c r="E3041" t="s">
        <v>4133</v>
      </c>
      <c r="F3041" t="s">
        <v>4125</v>
      </c>
    </row>
    <row r="3042" spans="1:6">
      <c r="A3042" t="s">
        <v>7171</v>
      </c>
      <c r="B3042" t="s">
        <v>1327</v>
      </c>
      <c r="C3042" t="s">
        <v>63</v>
      </c>
      <c r="D3042" s="1">
        <v>45763</v>
      </c>
      <c r="E3042" t="s">
        <v>4135</v>
      </c>
      <c r="F3042" t="s">
        <v>4137</v>
      </c>
    </row>
    <row r="3043" spans="1:6">
      <c r="A3043" t="s">
        <v>7172</v>
      </c>
      <c r="B3043" t="s">
        <v>1327</v>
      </c>
      <c r="C3043" t="s">
        <v>63</v>
      </c>
      <c r="D3043" s="1">
        <v>45759</v>
      </c>
      <c r="E3043" t="s">
        <v>4135</v>
      </c>
      <c r="F3043" t="s">
        <v>4125</v>
      </c>
    </row>
    <row r="3044" spans="1:6">
      <c r="A3044" t="s">
        <v>7173</v>
      </c>
      <c r="B3044" t="s">
        <v>1327</v>
      </c>
      <c r="C3044" t="s">
        <v>63</v>
      </c>
      <c r="D3044" s="1">
        <v>45765</v>
      </c>
      <c r="E3044" t="s">
        <v>4133</v>
      </c>
      <c r="F3044" t="s">
        <v>4139</v>
      </c>
    </row>
    <row r="3045" spans="1:6">
      <c r="A3045" t="s">
        <v>7174</v>
      </c>
      <c r="B3045" t="s">
        <v>1328</v>
      </c>
      <c r="C3045" t="s">
        <v>36</v>
      </c>
      <c r="D3045" s="1">
        <v>45879</v>
      </c>
      <c r="E3045" t="s">
        <v>4124</v>
      </c>
      <c r="F3045" t="s">
        <v>4139</v>
      </c>
    </row>
    <row r="3046" spans="1:6">
      <c r="A3046" t="s">
        <v>7175</v>
      </c>
      <c r="B3046" t="s">
        <v>1328</v>
      </c>
      <c r="C3046" t="s">
        <v>36</v>
      </c>
      <c r="D3046" s="1">
        <v>45871</v>
      </c>
      <c r="E3046" t="s">
        <v>4135</v>
      </c>
      <c r="F3046" t="s">
        <v>4139</v>
      </c>
    </row>
    <row r="3047" spans="1:6">
      <c r="A3047" t="s">
        <v>7176</v>
      </c>
      <c r="B3047" t="s">
        <v>1329</v>
      </c>
      <c r="C3047" t="s">
        <v>46</v>
      </c>
      <c r="D3047" s="1">
        <v>45925</v>
      </c>
      <c r="E3047" t="s">
        <v>4135</v>
      </c>
      <c r="F3047" t="s">
        <v>4139</v>
      </c>
    </row>
    <row r="3048" spans="1:6">
      <c r="A3048" t="s">
        <v>7177</v>
      </c>
      <c r="B3048" t="s">
        <v>1329</v>
      </c>
      <c r="C3048" t="s">
        <v>46</v>
      </c>
      <c r="D3048" s="1">
        <v>45904</v>
      </c>
      <c r="E3048" t="s">
        <v>4129</v>
      </c>
      <c r="F3048" t="s">
        <v>4139</v>
      </c>
    </row>
    <row r="3049" spans="1:6">
      <c r="A3049" t="s">
        <v>7178</v>
      </c>
      <c r="B3049" t="s">
        <v>1329</v>
      </c>
      <c r="C3049" t="s">
        <v>46</v>
      </c>
      <c r="D3049" s="1">
        <v>45913</v>
      </c>
      <c r="E3049" t="s">
        <v>4124</v>
      </c>
      <c r="F3049" t="s">
        <v>4137</v>
      </c>
    </row>
    <row r="3050" spans="1:6">
      <c r="A3050" t="s">
        <v>7179</v>
      </c>
      <c r="B3050" t="s">
        <v>1330</v>
      </c>
      <c r="C3050" t="s">
        <v>27</v>
      </c>
      <c r="D3050" s="1">
        <v>46001</v>
      </c>
      <c r="E3050" t="s">
        <v>4133</v>
      </c>
      <c r="F3050" t="s">
        <v>4139</v>
      </c>
    </row>
    <row r="3051" spans="1:6">
      <c r="A3051" t="s">
        <v>7180</v>
      </c>
      <c r="B3051" t="s">
        <v>1330</v>
      </c>
      <c r="C3051" t="s">
        <v>27</v>
      </c>
      <c r="D3051" s="1">
        <v>46005</v>
      </c>
      <c r="E3051" t="s">
        <v>4133</v>
      </c>
      <c r="F3051" t="s">
        <v>4125</v>
      </c>
    </row>
    <row r="3052" spans="1:6">
      <c r="A3052" t="s">
        <v>7181</v>
      </c>
      <c r="B3052" t="s">
        <v>1330</v>
      </c>
      <c r="C3052" t="s">
        <v>27</v>
      </c>
      <c r="D3052" s="1">
        <v>46017</v>
      </c>
      <c r="E3052" t="s">
        <v>4124</v>
      </c>
      <c r="F3052" t="s">
        <v>4125</v>
      </c>
    </row>
    <row r="3053" spans="1:6">
      <c r="A3053" t="s">
        <v>7182</v>
      </c>
      <c r="B3053" t="s">
        <v>1330</v>
      </c>
      <c r="C3053" t="s">
        <v>27</v>
      </c>
      <c r="D3053" s="1">
        <v>46012</v>
      </c>
      <c r="E3053" t="s">
        <v>4135</v>
      </c>
      <c r="F3053" t="s">
        <v>4137</v>
      </c>
    </row>
    <row r="3054" spans="1:6">
      <c r="A3054" t="s">
        <v>7183</v>
      </c>
      <c r="B3054" t="s">
        <v>1331</v>
      </c>
      <c r="C3054" t="s">
        <v>50</v>
      </c>
      <c r="D3054" s="1">
        <v>46002</v>
      </c>
      <c r="E3054" t="s">
        <v>4133</v>
      </c>
      <c r="F3054" t="s">
        <v>4125</v>
      </c>
    </row>
    <row r="3055" spans="1:6">
      <c r="A3055" t="s">
        <v>7184</v>
      </c>
      <c r="B3055" t="s">
        <v>1331</v>
      </c>
      <c r="C3055" t="s">
        <v>50</v>
      </c>
      <c r="D3055" s="1">
        <v>46004</v>
      </c>
      <c r="E3055" t="s">
        <v>4127</v>
      </c>
      <c r="F3055" t="s">
        <v>4137</v>
      </c>
    </row>
    <row r="3056" spans="1:6">
      <c r="A3056" t="s">
        <v>7185</v>
      </c>
      <c r="B3056" t="s">
        <v>1331</v>
      </c>
      <c r="C3056" t="s">
        <v>50</v>
      </c>
      <c r="D3056" s="1">
        <v>46021</v>
      </c>
      <c r="E3056" t="s">
        <v>4124</v>
      </c>
      <c r="F3056" t="s">
        <v>4139</v>
      </c>
    </row>
    <row r="3057" spans="1:6">
      <c r="A3057" t="s">
        <v>7186</v>
      </c>
      <c r="B3057" t="s">
        <v>1331</v>
      </c>
      <c r="C3057" t="s">
        <v>50</v>
      </c>
      <c r="D3057" s="1">
        <v>46021</v>
      </c>
      <c r="E3057" t="s">
        <v>4133</v>
      </c>
      <c r="F3057" t="s">
        <v>4139</v>
      </c>
    </row>
    <row r="3058" spans="1:6">
      <c r="A3058" t="s">
        <v>7187</v>
      </c>
      <c r="B3058" t="s">
        <v>1331</v>
      </c>
      <c r="C3058" t="s">
        <v>50</v>
      </c>
      <c r="D3058" s="1">
        <v>46020</v>
      </c>
      <c r="E3058" t="s">
        <v>4129</v>
      </c>
      <c r="F3058" t="s">
        <v>4125</v>
      </c>
    </row>
    <row r="3059" spans="1:6">
      <c r="A3059" t="s">
        <v>7188</v>
      </c>
      <c r="B3059" t="s">
        <v>1332</v>
      </c>
      <c r="C3059" t="s">
        <v>56</v>
      </c>
      <c r="D3059" s="1">
        <v>45920</v>
      </c>
      <c r="E3059" t="s">
        <v>4135</v>
      </c>
      <c r="F3059" t="s">
        <v>4137</v>
      </c>
    </row>
    <row r="3060" spans="1:6">
      <c r="A3060" t="s">
        <v>7189</v>
      </c>
      <c r="B3060" t="s">
        <v>1332</v>
      </c>
      <c r="C3060" t="s">
        <v>56</v>
      </c>
      <c r="D3060" s="1">
        <v>45923</v>
      </c>
      <c r="E3060" t="s">
        <v>4129</v>
      </c>
      <c r="F3060" t="s">
        <v>4137</v>
      </c>
    </row>
    <row r="3061" spans="1:6">
      <c r="A3061" t="s">
        <v>7190</v>
      </c>
      <c r="B3061" t="s">
        <v>1332</v>
      </c>
      <c r="C3061" t="s">
        <v>56</v>
      </c>
      <c r="D3061" s="1">
        <v>45929</v>
      </c>
      <c r="E3061" t="s">
        <v>4127</v>
      </c>
      <c r="F3061" t="s">
        <v>4137</v>
      </c>
    </row>
    <row r="3062" spans="1:6">
      <c r="A3062" t="s">
        <v>7191</v>
      </c>
      <c r="B3062" t="s">
        <v>1333</v>
      </c>
      <c r="C3062" t="s">
        <v>126</v>
      </c>
      <c r="D3062" s="1">
        <v>45672</v>
      </c>
      <c r="E3062" t="s">
        <v>4124</v>
      </c>
      <c r="F3062" t="s">
        <v>4139</v>
      </c>
    </row>
    <row r="3063" spans="1:6">
      <c r="A3063" t="s">
        <v>7192</v>
      </c>
      <c r="B3063" t="s">
        <v>1333</v>
      </c>
      <c r="C3063" t="s">
        <v>126</v>
      </c>
      <c r="D3063" s="1">
        <v>45682</v>
      </c>
      <c r="E3063" t="s">
        <v>4129</v>
      </c>
      <c r="F3063" t="s">
        <v>4139</v>
      </c>
    </row>
    <row r="3064" spans="1:6">
      <c r="A3064" t="s">
        <v>7193</v>
      </c>
      <c r="B3064" t="s">
        <v>1333</v>
      </c>
      <c r="C3064" t="s">
        <v>126</v>
      </c>
      <c r="D3064" s="1">
        <v>45686</v>
      </c>
      <c r="E3064" t="s">
        <v>4135</v>
      </c>
      <c r="F3064" t="s">
        <v>4125</v>
      </c>
    </row>
    <row r="3065" spans="1:6">
      <c r="A3065" t="s">
        <v>7194</v>
      </c>
      <c r="B3065" t="s">
        <v>1333</v>
      </c>
      <c r="C3065" t="s">
        <v>126</v>
      </c>
      <c r="D3065" s="1">
        <v>45686</v>
      </c>
      <c r="E3065" t="s">
        <v>4127</v>
      </c>
      <c r="F3065" t="s">
        <v>4139</v>
      </c>
    </row>
    <row r="3066" spans="1:6">
      <c r="A3066" t="s">
        <v>7195</v>
      </c>
      <c r="B3066" t="s">
        <v>1333</v>
      </c>
      <c r="C3066" t="s">
        <v>126</v>
      </c>
      <c r="D3066" s="1">
        <v>45676</v>
      </c>
      <c r="E3066" t="s">
        <v>4129</v>
      </c>
      <c r="F3066" t="s">
        <v>4125</v>
      </c>
    </row>
    <row r="3067" spans="1:6">
      <c r="A3067" t="s">
        <v>7196</v>
      </c>
      <c r="B3067" t="s">
        <v>1334</v>
      </c>
      <c r="C3067" t="s">
        <v>46</v>
      </c>
      <c r="D3067" s="1">
        <v>45914</v>
      </c>
      <c r="E3067" t="s">
        <v>4129</v>
      </c>
      <c r="F3067" t="s">
        <v>4125</v>
      </c>
    </row>
    <row r="3068" spans="1:6">
      <c r="A3068" t="s">
        <v>7197</v>
      </c>
      <c r="B3068" t="s">
        <v>1334</v>
      </c>
      <c r="C3068" t="s">
        <v>46</v>
      </c>
      <c r="D3068" s="1">
        <v>45891</v>
      </c>
      <c r="E3068" t="s">
        <v>4127</v>
      </c>
      <c r="F3068" t="s">
        <v>4137</v>
      </c>
    </row>
    <row r="3069" spans="1:6">
      <c r="A3069" t="s">
        <v>7198</v>
      </c>
      <c r="B3069" t="s">
        <v>1334</v>
      </c>
      <c r="C3069" t="s">
        <v>46</v>
      </c>
      <c r="D3069" s="1">
        <v>45911</v>
      </c>
      <c r="E3069" t="s">
        <v>4135</v>
      </c>
      <c r="F3069" t="s">
        <v>4125</v>
      </c>
    </row>
    <row r="3070" spans="1:6">
      <c r="A3070" t="s">
        <v>7199</v>
      </c>
      <c r="B3070" t="s">
        <v>1335</v>
      </c>
      <c r="C3070" t="s">
        <v>46</v>
      </c>
      <c r="D3070" s="1">
        <v>45810</v>
      </c>
      <c r="E3070" t="s">
        <v>4127</v>
      </c>
      <c r="F3070" t="s">
        <v>4137</v>
      </c>
    </row>
    <row r="3071" spans="1:6">
      <c r="A3071" t="s">
        <v>7200</v>
      </c>
      <c r="B3071" t="s">
        <v>1335</v>
      </c>
      <c r="C3071" t="s">
        <v>46</v>
      </c>
      <c r="D3071" s="1">
        <v>45802</v>
      </c>
      <c r="E3071" t="s">
        <v>4129</v>
      </c>
      <c r="F3071" t="s">
        <v>4125</v>
      </c>
    </row>
    <row r="3072" spans="1:6">
      <c r="A3072" t="s">
        <v>7201</v>
      </c>
      <c r="B3072" t="s">
        <v>1336</v>
      </c>
      <c r="C3072" t="s">
        <v>22</v>
      </c>
      <c r="D3072" s="1">
        <v>45842</v>
      </c>
      <c r="E3072" t="s">
        <v>4135</v>
      </c>
      <c r="F3072" t="s">
        <v>4139</v>
      </c>
    </row>
    <row r="3073" spans="1:6">
      <c r="A3073" t="s">
        <v>7202</v>
      </c>
      <c r="B3073" t="s">
        <v>1336</v>
      </c>
      <c r="C3073" t="s">
        <v>22</v>
      </c>
      <c r="D3073" s="1">
        <v>45831</v>
      </c>
      <c r="E3073" t="s">
        <v>4124</v>
      </c>
      <c r="F3073" t="s">
        <v>4139</v>
      </c>
    </row>
    <row r="3074" spans="1:6">
      <c r="A3074" t="s">
        <v>7203</v>
      </c>
      <c r="B3074" t="s">
        <v>1336</v>
      </c>
      <c r="C3074" t="s">
        <v>22</v>
      </c>
      <c r="D3074" s="1">
        <v>45823</v>
      </c>
      <c r="E3074" t="s">
        <v>4127</v>
      </c>
      <c r="F3074" t="s">
        <v>4137</v>
      </c>
    </row>
    <row r="3075" spans="1:6">
      <c r="A3075" t="s">
        <v>7204</v>
      </c>
      <c r="B3075" t="s">
        <v>1336</v>
      </c>
      <c r="C3075" t="s">
        <v>22</v>
      </c>
      <c r="D3075" s="1">
        <v>45842</v>
      </c>
      <c r="E3075" t="s">
        <v>4133</v>
      </c>
      <c r="F3075" t="s">
        <v>4139</v>
      </c>
    </row>
    <row r="3076" spans="1:6">
      <c r="A3076" t="s">
        <v>7205</v>
      </c>
      <c r="B3076" t="s">
        <v>1337</v>
      </c>
      <c r="C3076" t="s">
        <v>70</v>
      </c>
      <c r="D3076" s="1">
        <v>45770</v>
      </c>
      <c r="E3076" t="s">
        <v>4129</v>
      </c>
      <c r="F3076" t="s">
        <v>4139</v>
      </c>
    </row>
    <row r="3077" spans="1:6">
      <c r="A3077" t="s">
        <v>7206</v>
      </c>
      <c r="B3077" t="s">
        <v>1337</v>
      </c>
      <c r="C3077" t="s">
        <v>70</v>
      </c>
      <c r="D3077" s="1">
        <v>45730</v>
      </c>
      <c r="E3077" t="s">
        <v>4124</v>
      </c>
      <c r="F3077" t="s">
        <v>4137</v>
      </c>
    </row>
    <row r="3078" spans="1:6">
      <c r="A3078" t="s">
        <v>7207</v>
      </c>
      <c r="B3078" t="s">
        <v>1338</v>
      </c>
      <c r="C3078" t="s">
        <v>22</v>
      </c>
      <c r="D3078" s="1">
        <v>45741</v>
      </c>
      <c r="E3078" t="s">
        <v>4135</v>
      </c>
      <c r="F3078" t="s">
        <v>4125</v>
      </c>
    </row>
    <row r="3079" spans="1:6">
      <c r="A3079" t="s">
        <v>7208</v>
      </c>
      <c r="B3079" t="s">
        <v>1338</v>
      </c>
      <c r="C3079" t="s">
        <v>22</v>
      </c>
      <c r="D3079" s="1">
        <v>45740</v>
      </c>
      <c r="E3079" t="s">
        <v>4133</v>
      </c>
      <c r="F3079" t="s">
        <v>4137</v>
      </c>
    </row>
    <row r="3080" spans="1:6">
      <c r="A3080" t="s">
        <v>7209</v>
      </c>
      <c r="B3080" t="s">
        <v>1338</v>
      </c>
      <c r="C3080" t="s">
        <v>22</v>
      </c>
      <c r="D3080" s="1">
        <v>45751</v>
      </c>
      <c r="E3080" t="s">
        <v>4133</v>
      </c>
      <c r="F3080" t="s">
        <v>4137</v>
      </c>
    </row>
    <row r="3081" spans="1:6">
      <c r="A3081" t="s">
        <v>7210</v>
      </c>
      <c r="B3081" t="s">
        <v>1338</v>
      </c>
      <c r="C3081" t="s">
        <v>22</v>
      </c>
      <c r="D3081" s="1">
        <v>45741</v>
      </c>
      <c r="E3081" t="s">
        <v>4135</v>
      </c>
      <c r="F3081" t="s">
        <v>4125</v>
      </c>
    </row>
    <row r="3082" spans="1:6">
      <c r="A3082" t="s">
        <v>7211</v>
      </c>
      <c r="B3082" t="s">
        <v>1338</v>
      </c>
      <c r="C3082" t="s">
        <v>22</v>
      </c>
      <c r="D3082" s="1">
        <v>45740</v>
      </c>
      <c r="E3082" t="s">
        <v>4124</v>
      </c>
      <c r="F3082" t="s">
        <v>4137</v>
      </c>
    </row>
    <row r="3083" spans="1:6">
      <c r="A3083" t="s">
        <v>7212</v>
      </c>
      <c r="B3083" t="s">
        <v>1339</v>
      </c>
      <c r="C3083" t="s">
        <v>53</v>
      </c>
      <c r="D3083" s="1">
        <v>45925</v>
      </c>
      <c r="E3083" t="s">
        <v>4127</v>
      </c>
      <c r="F3083" t="s">
        <v>4139</v>
      </c>
    </row>
    <row r="3084" spans="1:6">
      <c r="A3084" t="s">
        <v>7213</v>
      </c>
      <c r="B3084" t="s">
        <v>1339</v>
      </c>
      <c r="C3084" t="s">
        <v>53</v>
      </c>
      <c r="D3084" s="1">
        <v>45919</v>
      </c>
      <c r="E3084" t="s">
        <v>4135</v>
      </c>
      <c r="F3084" t="s">
        <v>4139</v>
      </c>
    </row>
    <row r="3085" spans="1:6">
      <c r="A3085" t="s">
        <v>7214</v>
      </c>
      <c r="B3085" t="s">
        <v>1339</v>
      </c>
      <c r="C3085" t="s">
        <v>53</v>
      </c>
      <c r="D3085" s="1">
        <v>45939</v>
      </c>
      <c r="E3085" t="s">
        <v>4135</v>
      </c>
      <c r="F3085" t="s">
        <v>4139</v>
      </c>
    </row>
    <row r="3086" spans="1:6">
      <c r="A3086" t="s">
        <v>7215</v>
      </c>
      <c r="B3086" t="s">
        <v>1339</v>
      </c>
      <c r="C3086" t="s">
        <v>53</v>
      </c>
      <c r="D3086" s="1">
        <v>45895</v>
      </c>
      <c r="E3086" t="s">
        <v>4129</v>
      </c>
      <c r="F3086" t="s">
        <v>4137</v>
      </c>
    </row>
    <row r="3087" spans="1:6">
      <c r="A3087" t="s">
        <v>7216</v>
      </c>
      <c r="B3087" t="s">
        <v>1340</v>
      </c>
      <c r="C3087" t="s">
        <v>50</v>
      </c>
      <c r="D3087" s="1">
        <v>45954</v>
      </c>
      <c r="E3087" t="s">
        <v>4133</v>
      </c>
      <c r="F3087" t="s">
        <v>4125</v>
      </c>
    </row>
    <row r="3088" spans="1:6">
      <c r="A3088" t="s">
        <v>7217</v>
      </c>
      <c r="B3088" t="s">
        <v>1340</v>
      </c>
      <c r="C3088" t="s">
        <v>50</v>
      </c>
      <c r="D3088" s="1">
        <v>45928</v>
      </c>
      <c r="E3088" t="s">
        <v>4127</v>
      </c>
      <c r="F3088" t="s">
        <v>4139</v>
      </c>
    </row>
    <row r="3089" spans="1:6">
      <c r="A3089" t="s">
        <v>7218</v>
      </c>
      <c r="B3089" t="s">
        <v>1342</v>
      </c>
      <c r="C3089" t="s">
        <v>50</v>
      </c>
      <c r="D3089" s="1">
        <v>45883</v>
      </c>
      <c r="E3089" t="s">
        <v>4133</v>
      </c>
      <c r="F3089" t="s">
        <v>4137</v>
      </c>
    </row>
    <row r="3090" spans="1:6">
      <c r="A3090" t="s">
        <v>7219</v>
      </c>
      <c r="B3090" t="s">
        <v>1342</v>
      </c>
      <c r="C3090" t="s">
        <v>50</v>
      </c>
      <c r="D3090" s="1">
        <v>45872</v>
      </c>
      <c r="E3090" t="s">
        <v>4129</v>
      </c>
      <c r="F3090" t="s">
        <v>4139</v>
      </c>
    </row>
    <row r="3091" spans="1:6">
      <c r="A3091" t="s">
        <v>7220</v>
      </c>
      <c r="B3091" t="s">
        <v>1342</v>
      </c>
      <c r="C3091" t="s">
        <v>50</v>
      </c>
      <c r="D3091" s="1">
        <v>45881</v>
      </c>
      <c r="E3091" t="s">
        <v>4124</v>
      </c>
      <c r="F3091" t="s">
        <v>4139</v>
      </c>
    </row>
    <row r="3092" spans="1:6">
      <c r="A3092" t="s">
        <v>7221</v>
      </c>
      <c r="B3092" t="s">
        <v>1342</v>
      </c>
      <c r="C3092" t="s">
        <v>50</v>
      </c>
      <c r="D3092" s="1">
        <v>45868</v>
      </c>
      <c r="E3092" t="s">
        <v>4133</v>
      </c>
      <c r="F3092" t="s">
        <v>4137</v>
      </c>
    </row>
    <row r="3093" spans="1:6">
      <c r="A3093" t="s">
        <v>7222</v>
      </c>
      <c r="B3093" t="s">
        <v>1342</v>
      </c>
      <c r="C3093" t="s">
        <v>50</v>
      </c>
      <c r="D3093" s="1">
        <v>45915</v>
      </c>
      <c r="E3093" t="s">
        <v>4124</v>
      </c>
      <c r="F3093" t="s">
        <v>4137</v>
      </c>
    </row>
    <row r="3094" spans="1:6">
      <c r="A3094" t="s">
        <v>7223</v>
      </c>
      <c r="B3094" t="s">
        <v>1343</v>
      </c>
      <c r="C3094" t="s">
        <v>152</v>
      </c>
      <c r="D3094" s="1">
        <v>45992</v>
      </c>
      <c r="E3094" t="s">
        <v>4133</v>
      </c>
      <c r="F3094" t="s">
        <v>4137</v>
      </c>
    </row>
    <row r="3095" spans="1:6">
      <c r="A3095" t="s">
        <v>7224</v>
      </c>
      <c r="B3095" t="s">
        <v>1343</v>
      </c>
      <c r="C3095" t="s">
        <v>152</v>
      </c>
      <c r="D3095" s="1">
        <v>45979</v>
      </c>
      <c r="E3095" t="s">
        <v>4133</v>
      </c>
      <c r="F3095" t="s">
        <v>4125</v>
      </c>
    </row>
    <row r="3096" spans="1:6">
      <c r="A3096" t="s">
        <v>7225</v>
      </c>
      <c r="B3096" t="s">
        <v>1343</v>
      </c>
      <c r="C3096" t="s">
        <v>152</v>
      </c>
      <c r="D3096" s="1">
        <v>45986</v>
      </c>
      <c r="E3096" t="s">
        <v>4129</v>
      </c>
      <c r="F3096" t="s">
        <v>4139</v>
      </c>
    </row>
    <row r="3097" spans="1:6">
      <c r="A3097" t="s">
        <v>7226</v>
      </c>
      <c r="B3097" t="s">
        <v>1343</v>
      </c>
      <c r="C3097" t="s">
        <v>152</v>
      </c>
      <c r="D3097" s="1">
        <v>45980</v>
      </c>
      <c r="E3097" t="s">
        <v>4129</v>
      </c>
      <c r="F3097" t="s">
        <v>4125</v>
      </c>
    </row>
    <row r="3098" spans="1:6">
      <c r="A3098" t="s">
        <v>7227</v>
      </c>
      <c r="B3098" t="s">
        <v>1343</v>
      </c>
      <c r="C3098" t="s">
        <v>152</v>
      </c>
      <c r="D3098" s="1">
        <v>45986</v>
      </c>
      <c r="E3098" t="s">
        <v>4129</v>
      </c>
      <c r="F3098" t="s">
        <v>4139</v>
      </c>
    </row>
    <row r="3099" spans="1:6">
      <c r="A3099" t="s">
        <v>7228</v>
      </c>
      <c r="B3099" t="s">
        <v>1344</v>
      </c>
      <c r="C3099" t="s">
        <v>46</v>
      </c>
      <c r="D3099" s="1">
        <v>45830</v>
      </c>
      <c r="E3099" t="s">
        <v>4129</v>
      </c>
      <c r="F3099" t="s">
        <v>4137</v>
      </c>
    </row>
    <row r="3100" spans="1:6">
      <c r="A3100" t="s">
        <v>7229</v>
      </c>
      <c r="B3100" t="s">
        <v>1344</v>
      </c>
      <c r="C3100" t="s">
        <v>46</v>
      </c>
      <c r="D3100" s="1">
        <v>45826</v>
      </c>
      <c r="E3100" t="s">
        <v>4129</v>
      </c>
      <c r="F3100" t="s">
        <v>4125</v>
      </c>
    </row>
    <row r="3101" spans="1:6">
      <c r="A3101" t="s">
        <v>7230</v>
      </c>
      <c r="B3101" t="s">
        <v>1344</v>
      </c>
      <c r="C3101" t="s">
        <v>46</v>
      </c>
      <c r="D3101" s="1">
        <v>45827</v>
      </c>
      <c r="E3101" t="s">
        <v>4135</v>
      </c>
      <c r="F3101" t="s">
        <v>4125</v>
      </c>
    </row>
    <row r="3102" spans="1:6">
      <c r="A3102" t="s">
        <v>7231</v>
      </c>
      <c r="B3102" t="s">
        <v>1344</v>
      </c>
      <c r="C3102" t="s">
        <v>46</v>
      </c>
      <c r="D3102" s="1">
        <v>45821</v>
      </c>
      <c r="E3102" t="s">
        <v>4135</v>
      </c>
      <c r="F3102" t="s">
        <v>4137</v>
      </c>
    </row>
    <row r="3103" spans="1:6">
      <c r="A3103" t="s">
        <v>7232</v>
      </c>
      <c r="B3103" t="s">
        <v>1345</v>
      </c>
      <c r="C3103" t="s">
        <v>27</v>
      </c>
      <c r="D3103" s="1">
        <v>45889</v>
      </c>
      <c r="E3103" t="s">
        <v>4135</v>
      </c>
      <c r="F3103" t="s">
        <v>4137</v>
      </c>
    </row>
    <row r="3104" spans="1:6">
      <c r="A3104" t="s">
        <v>7233</v>
      </c>
      <c r="B3104" t="s">
        <v>1345</v>
      </c>
      <c r="C3104" t="s">
        <v>27</v>
      </c>
      <c r="D3104" s="1">
        <v>45906</v>
      </c>
      <c r="E3104" t="s">
        <v>4133</v>
      </c>
      <c r="F3104" t="s">
        <v>4137</v>
      </c>
    </row>
    <row r="3105" spans="1:6">
      <c r="A3105" t="s">
        <v>7234</v>
      </c>
      <c r="B3105" t="s">
        <v>1346</v>
      </c>
      <c r="C3105" t="s">
        <v>91</v>
      </c>
      <c r="D3105" s="1">
        <v>45808</v>
      </c>
      <c r="E3105" t="s">
        <v>4129</v>
      </c>
      <c r="F3105" t="s">
        <v>4125</v>
      </c>
    </row>
    <row r="3106" spans="1:6">
      <c r="A3106" t="s">
        <v>7235</v>
      </c>
      <c r="B3106" t="s">
        <v>1346</v>
      </c>
      <c r="C3106" t="s">
        <v>91</v>
      </c>
      <c r="D3106" s="1">
        <v>45803</v>
      </c>
      <c r="E3106" t="s">
        <v>4129</v>
      </c>
      <c r="F3106" t="s">
        <v>4137</v>
      </c>
    </row>
    <row r="3107" spans="1:6">
      <c r="A3107" t="s">
        <v>7236</v>
      </c>
      <c r="B3107" t="s">
        <v>1346</v>
      </c>
      <c r="C3107" t="s">
        <v>91</v>
      </c>
      <c r="D3107" s="1">
        <v>45803</v>
      </c>
      <c r="E3107" t="s">
        <v>4129</v>
      </c>
      <c r="F3107" t="s">
        <v>4139</v>
      </c>
    </row>
    <row r="3108" spans="1:6">
      <c r="A3108" t="s">
        <v>7237</v>
      </c>
      <c r="B3108" t="s">
        <v>1347</v>
      </c>
      <c r="C3108" t="s">
        <v>46</v>
      </c>
      <c r="D3108" s="1">
        <v>45721</v>
      </c>
      <c r="E3108" t="s">
        <v>4133</v>
      </c>
      <c r="F3108" t="s">
        <v>4125</v>
      </c>
    </row>
    <row r="3109" spans="1:6">
      <c r="A3109" t="s">
        <v>7238</v>
      </c>
      <c r="B3109" t="s">
        <v>1347</v>
      </c>
      <c r="C3109" t="s">
        <v>46</v>
      </c>
      <c r="D3109" s="1">
        <v>45721</v>
      </c>
      <c r="E3109" t="s">
        <v>4129</v>
      </c>
      <c r="F3109" t="s">
        <v>4139</v>
      </c>
    </row>
    <row r="3110" spans="1:6">
      <c r="A3110" t="s">
        <v>7239</v>
      </c>
      <c r="B3110" t="s">
        <v>1347</v>
      </c>
      <c r="C3110" t="s">
        <v>46</v>
      </c>
      <c r="D3110" s="1">
        <v>45698</v>
      </c>
      <c r="E3110" t="s">
        <v>4133</v>
      </c>
      <c r="F3110" t="s">
        <v>4137</v>
      </c>
    </row>
    <row r="3111" spans="1:6">
      <c r="A3111" t="s">
        <v>7240</v>
      </c>
      <c r="B3111" t="s">
        <v>1348</v>
      </c>
      <c r="C3111" t="s">
        <v>27</v>
      </c>
      <c r="D3111" s="1">
        <v>46003</v>
      </c>
      <c r="E3111" t="s">
        <v>4129</v>
      </c>
      <c r="F3111" t="s">
        <v>4125</v>
      </c>
    </row>
    <row r="3112" spans="1:6">
      <c r="A3112" t="s">
        <v>7241</v>
      </c>
      <c r="B3112" t="s">
        <v>1348</v>
      </c>
      <c r="C3112" t="s">
        <v>27</v>
      </c>
      <c r="D3112" s="1">
        <v>46012</v>
      </c>
      <c r="E3112" t="s">
        <v>4129</v>
      </c>
      <c r="F3112" t="s">
        <v>4125</v>
      </c>
    </row>
    <row r="3113" spans="1:6">
      <c r="A3113" t="s">
        <v>7242</v>
      </c>
      <c r="B3113" t="s">
        <v>1348</v>
      </c>
      <c r="C3113" t="s">
        <v>27</v>
      </c>
      <c r="D3113" s="1">
        <v>46017</v>
      </c>
      <c r="E3113" t="s">
        <v>4124</v>
      </c>
      <c r="F3113" t="s">
        <v>4139</v>
      </c>
    </row>
    <row r="3114" spans="1:6">
      <c r="A3114" t="s">
        <v>7243</v>
      </c>
      <c r="B3114" t="s">
        <v>1350</v>
      </c>
      <c r="C3114" t="s">
        <v>70</v>
      </c>
      <c r="D3114" s="1">
        <v>45894</v>
      </c>
      <c r="E3114" t="s">
        <v>4129</v>
      </c>
      <c r="F3114" t="s">
        <v>4137</v>
      </c>
    </row>
    <row r="3115" spans="1:6">
      <c r="A3115" t="s">
        <v>7244</v>
      </c>
      <c r="B3115" t="s">
        <v>1350</v>
      </c>
      <c r="C3115" t="s">
        <v>70</v>
      </c>
      <c r="D3115" s="1">
        <v>45918</v>
      </c>
      <c r="E3115" t="s">
        <v>4127</v>
      </c>
      <c r="F3115" t="s">
        <v>4125</v>
      </c>
    </row>
    <row r="3116" spans="1:6">
      <c r="A3116" t="s">
        <v>7245</v>
      </c>
      <c r="B3116" t="s">
        <v>1351</v>
      </c>
      <c r="C3116" t="s">
        <v>27</v>
      </c>
      <c r="D3116" s="1">
        <v>45921</v>
      </c>
      <c r="E3116" t="s">
        <v>4127</v>
      </c>
      <c r="F3116" t="s">
        <v>4137</v>
      </c>
    </row>
    <row r="3117" spans="1:6">
      <c r="A3117" t="s">
        <v>7246</v>
      </c>
      <c r="B3117" t="s">
        <v>1351</v>
      </c>
      <c r="C3117" t="s">
        <v>27</v>
      </c>
      <c r="D3117" s="1">
        <v>45889</v>
      </c>
      <c r="E3117" t="s">
        <v>4129</v>
      </c>
      <c r="F3117" t="s">
        <v>4139</v>
      </c>
    </row>
    <row r="3118" spans="1:6">
      <c r="A3118" t="s">
        <v>7247</v>
      </c>
      <c r="B3118" t="s">
        <v>1351</v>
      </c>
      <c r="C3118" t="s">
        <v>27</v>
      </c>
      <c r="D3118" s="1">
        <v>45892</v>
      </c>
      <c r="E3118" t="s">
        <v>4133</v>
      </c>
      <c r="F3118" t="s">
        <v>4137</v>
      </c>
    </row>
    <row r="3119" spans="1:6">
      <c r="A3119" t="s">
        <v>7248</v>
      </c>
      <c r="B3119" t="s">
        <v>1351</v>
      </c>
      <c r="C3119" t="s">
        <v>27</v>
      </c>
      <c r="D3119" s="1">
        <v>45923</v>
      </c>
      <c r="E3119" t="s">
        <v>4133</v>
      </c>
      <c r="F3119" t="s">
        <v>4137</v>
      </c>
    </row>
    <row r="3120" spans="1:6">
      <c r="A3120" t="s">
        <v>7249</v>
      </c>
      <c r="B3120" t="s">
        <v>1351</v>
      </c>
      <c r="C3120" t="s">
        <v>27</v>
      </c>
      <c r="D3120" s="1">
        <v>45919</v>
      </c>
      <c r="E3120" t="s">
        <v>4127</v>
      </c>
      <c r="F3120" t="s">
        <v>4137</v>
      </c>
    </row>
    <row r="3121" spans="1:6">
      <c r="A3121" t="s">
        <v>7250</v>
      </c>
      <c r="B3121" t="s">
        <v>1352</v>
      </c>
      <c r="C3121" t="s">
        <v>168</v>
      </c>
      <c r="D3121" s="1">
        <v>45759</v>
      </c>
      <c r="E3121" t="s">
        <v>4129</v>
      </c>
      <c r="F3121" t="s">
        <v>4137</v>
      </c>
    </row>
    <row r="3122" spans="1:6">
      <c r="A3122" t="s">
        <v>7251</v>
      </c>
      <c r="B3122" t="s">
        <v>1352</v>
      </c>
      <c r="C3122" t="s">
        <v>168</v>
      </c>
      <c r="D3122" s="1">
        <v>45762</v>
      </c>
      <c r="E3122" t="s">
        <v>4135</v>
      </c>
      <c r="F3122" t="s">
        <v>4125</v>
      </c>
    </row>
    <row r="3123" spans="1:6">
      <c r="A3123" t="s">
        <v>7252</v>
      </c>
      <c r="B3123" t="s">
        <v>1353</v>
      </c>
      <c r="C3123" t="s">
        <v>50</v>
      </c>
      <c r="D3123" s="1">
        <v>45918</v>
      </c>
      <c r="E3123" t="s">
        <v>4129</v>
      </c>
      <c r="F3123" t="s">
        <v>4137</v>
      </c>
    </row>
    <row r="3124" spans="1:6">
      <c r="A3124" t="s">
        <v>7253</v>
      </c>
      <c r="B3124" t="s">
        <v>1353</v>
      </c>
      <c r="C3124" t="s">
        <v>50</v>
      </c>
      <c r="D3124" s="1">
        <v>45930</v>
      </c>
      <c r="E3124" t="s">
        <v>4133</v>
      </c>
      <c r="F3124" t="s">
        <v>4137</v>
      </c>
    </row>
    <row r="3125" spans="1:6">
      <c r="A3125" t="s">
        <v>7254</v>
      </c>
      <c r="B3125" t="s">
        <v>1353</v>
      </c>
      <c r="C3125" t="s">
        <v>50</v>
      </c>
      <c r="D3125" s="1">
        <v>45973</v>
      </c>
      <c r="E3125" t="s">
        <v>4133</v>
      </c>
      <c r="F3125" t="s">
        <v>4125</v>
      </c>
    </row>
    <row r="3126" spans="1:6">
      <c r="A3126" t="s">
        <v>7255</v>
      </c>
      <c r="B3126" t="s">
        <v>1353</v>
      </c>
      <c r="C3126" t="s">
        <v>50</v>
      </c>
      <c r="D3126" s="1">
        <v>45943</v>
      </c>
      <c r="E3126" t="s">
        <v>4133</v>
      </c>
      <c r="F3126" t="s">
        <v>4137</v>
      </c>
    </row>
    <row r="3127" spans="1:6">
      <c r="A3127" t="s">
        <v>7256</v>
      </c>
      <c r="B3127" t="s">
        <v>1354</v>
      </c>
      <c r="C3127" t="s">
        <v>32</v>
      </c>
      <c r="D3127" s="1">
        <v>45951</v>
      </c>
      <c r="E3127" t="s">
        <v>4133</v>
      </c>
      <c r="F3127" t="s">
        <v>4137</v>
      </c>
    </row>
    <row r="3128" spans="1:6">
      <c r="A3128" t="s">
        <v>7257</v>
      </c>
      <c r="B3128" t="s">
        <v>1354</v>
      </c>
      <c r="C3128" t="s">
        <v>32</v>
      </c>
      <c r="D3128" s="1">
        <v>45958</v>
      </c>
      <c r="E3128" t="s">
        <v>4124</v>
      </c>
      <c r="F3128" t="s">
        <v>4139</v>
      </c>
    </row>
    <row r="3129" spans="1:6">
      <c r="A3129" t="s">
        <v>7258</v>
      </c>
      <c r="B3129" t="s">
        <v>1354</v>
      </c>
      <c r="C3129" t="s">
        <v>32</v>
      </c>
      <c r="D3129" s="1">
        <v>45949</v>
      </c>
      <c r="E3129" t="s">
        <v>4133</v>
      </c>
      <c r="F3129" t="s">
        <v>4125</v>
      </c>
    </row>
    <row r="3130" spans="1:6">
      <c r="A3130" t="s">
        <v>7259</v>
      </c>
      <c r="B3130" t="s">
        <v>1354</v>
      </c>
      <c r="C3130" t="s">
        <v>32</v>
      </c>
      <c r="D3130" s="1">
        <v>45969</v>
      </c>
      <c r="E3130" t="s">
        <v>4124</v>
      </c>
      <c r="F3130" t="s">
        <v>4125</v>
      </c>
    </row>
    <row r="3131" spans="1:6">
      <c r="A3131" t="s">
        <v>7260</v>
      </c>
      <c r="B3131" t="s">
        <v>1354</v>
      </c>
      <c r="C3131" t="s">
        <v>32</v>
      </c>
      <c r="D3131" s="1">
        <v>45960</v>
      </c>
      <c r="E3131" t="s">
        <v>4127</v>
      </c>
      <c r="F3131" t="s">
        <v>4125</v>
      </c>
    </row>
    <row r="3132" spans="1:6">
      <c r="A3132" t="s">
        <v>7261</v>
      </c>
      <c r="B3132" t="s">
        <v>1355</v>
      </c>
      <c r="C3132" t="s">
        <v>63</v>
      </c>
      <c r="D3132" s="1">
        <v>45804</v>
      </c>
      <c r="E3132" t="s">
        <v>4133</v>
      </c>
      <c r="F3132" t="s">
        <v>4137</v>
      </c>
    </row>
    <row r="3133" spans="1:6">
      <c r="A3133" t="s">
        <v>7262</v>
      </c>
      <c r="B3133" t="s">
        <v>1355</v>
      </c>
      <c r="C3133" t="s">
        <v>63</v>
      </c>
      <c r="D3133" s="1">
        <v>45786</v>
      </c>
      <c r="E3133" t="s">
        <v>4135</v>
      </c>
      <c r="F3133" t="s">
        <v>4125</v>
      </c>
    </row>
    <row r="3134" spans="1:6">
      <c r="A3134" t="s">
        <v>7263</v>
      </c>
      <c r="B3134" t="s">
        <v>1355</v>
      </c>
      <c r="C3134" t="s">
        <v>63</v>
      </c>
      <c r="D3134" s="1">
        <v>45828</v>
      </c>
      <c r="E3134" t="s">
        <v>4133</v>
      </c>
      <c r="F3134" t="s">
        <v>4137</v>
      </c>
    </row>
    <row r="3135" spans="1:6">
      <c r="A3135" t="s">
        <v>7264</v>
      </c>
      <c r="B3135" t="s">
        <v>1355</v>
      </c>
      <c r="C3135" t="s">
        <v>63</v>
      </c>
      <c r="D3135" s="1">
        <v>45803</v>
      </c>
      <c r="E3135" t="s">
        <v>4135</v>
      </c>
      <c r="F3135" t="s">
        <v>4137</v>
      </c>
    </row>
    <row r="3136" spans="1:6">
      <c r="A3136" t="s">
        <v>7265</v>
      </c>
      <c r="B3136" t="s">
        <v>1356</v>
      </c>
      <c r="C3136" t="s">
        <v>32</v>
      </c>
      <c r="D3136" s="1">
        <v>45815</v>
      </c>
      <c r="E3136" t="s">
        <v>4129</v>
      </c>
      <c r="F3136" t="s">
        <v>4139</v>
      </c>
    </row>
    <row r="3137" spans="1:6">
      <c r="A3137" t="s">
        <v>7266</v>
      </c>
      <c r="B3137" t="s">
        <v>1356</v>
      </c>
      <c r="C3137" t="s">
        <v>32</v>
      </c>
      <c r="D3137" s="1">
        <v>45817</v>
      </c>
      <c r="E3137" t="s">
        <v>4133</v>
      </c>
      <c r="F3137" t="s">
        <v>4137</v>
      </c>
    </row>
    <row r="3138" spans="1:6">
      <c r="A3138" t="s">
        <v>7267</v>
      </c>
      <c r="B3138" t="s">
        <v>1356</v>
      </c>
      <c r="C3138" t="s">
        <v>32</v>
      </c>
      <c r="D3138" s="1">
        <v>45802</v>
      </c>
      <c r="E3138" t="s">
        <v>4127</v>
      </c>
      <c r="F3138" t="s">
        <v>4137</v>
      </c>
    </row>
    <row r="3139" spans="1:6">
      <c r="A3139" t="s">
        <v>7268</v>
      </c>
      <c r="B3139" t="s">
        <v>1356</v>
      </c>
      <c r="C3139" t="s">
        <v>32</v>
      </c>
      <c r="D3139" s="1">
        <v>45813</v>
      </c>
      <c r="E3139" t="s">
        <v>4135</v>
      </c>
      <c r="F3139" t="s">
        <v>4125</v>
      </c>
    </row>
    <row r="3140" spans="1:6">
      <c r="A3140" t="s">
        <v>7269</v>
      </c>
      <c r="B3140" t="s">
        <v>1356</v>
      </c>
      <c r="C3140" t="s">
        <v>32</v>
      </c>
      <c r="D3140" s="1">
        <v>45812</v>
      </c>
      <c r="E3140" t="s">
        <v>4129</v>
      </c>
      <c r="F3140" t="s">
        <v>4125</v>
      </c>
    </row>
    <row r="3141" spans="1:6">
      <c r="A3141" t="s">
        <v>7270</v>
      </c>
      <c r="B3141" t="s">
        <v>1357</v>
      </c>
      <c r="C3141" t="s">
        <v>70</v>
      </c>
      <c r="D3141" s="1">
        <v>45995</v>
      </c>
      <c r="E3141" t="s">
        <v>4135</v>
      </c>
      <c r="F3141" t="s">
        <v>4137</v>
      </c>
    </row>
    <row r="3142" spans="1:6">
      <c r="A3142" t="s">
        <v>7271</v>
      </c>
      <c r="B3142" t="s">
        <v>1357</v>
      </c>
      <c r="C3142" t="s">
        <v>70</v>
      </c>
      <c r="D3142" s="1">
        <v>45982</v>
      </c>
      <c r="E3142" t="s">
        <v>4135</v>
      </c>
      <c r="F3142" t="s">
        <v>4125</v>
      </c>
    </row>
    <row r="3143" spans="1:6">
      <c r="A3143" t="s">
        <v>7272</v>
      </c>
      <c r="B3143" t="s">
        <v>1358</v>
      </c>
      <c r="C3143" t="s">
        <v>78</v>
      </c>
      <c r="D3143" s="1">
        <v>45825</v>
      </c>
      <c r="E3143" t="s">
        <v>4127</v>
      </c>
      <c r="F3143" t="s">
        <v>4137</v>
      </c>
    </row>
    <row r="3144" spans="1:6">
      <c r="A3144" t="s">
        <v>7273</v>
      </c>
      <c r="B3144" t="s">
        <v>1358</v>
      </c>
      <c r="C3144" t="s">
        <v>78</v>
      </c>
      <c r="D3144" s="1">
        <v>45802</v>
      </c>
      <c r="E3144" t="s">
        <v>4129</v>
      </c>
      <c r="F3144" t="s">
        <v>4139</v>
      </c>
    </row>
    <row r="3145" spans="1:6">
      <c r="A3145" t="s">
        <v>7274</v>
      </c>
      <c r="B3145" t="s">
        <v>1360</v>
      </c>
      <c r="C3145" t="s">
        <v>27</v>
      </c>
      <c r="D3145" s="1">
        <v>45781</v>
      </c>
      <c r="E3145" t="s">
        <v>4133</v>
      </c>
      <c r="F3145" t="s">
        <v>4137</v>
      </c>
    </row>
    <row r="3146" spans="1:6">
      <c r="A3146" t="s">
        <v>7275</v>
      </c>
      <c r="B3146" t="s">
        <v>1360</v>
      </c>
      <c r="C3146" t="s">
        <v>27</v>
      </c>
      <c r="D3146" s="1">
        <v>45762</v>
      </c>
      <c r="E3146" t="s">
        <v>4133</v>
      </c>
      <c r="F3146" t="s">
        <v>4139</v>
      </c>
    </row>
    <row r="3147" spans="1:6">
      <c r="A3147" t="s">
        <v>7276</v>
      </c>
      <c r="B3147" t="s">
        <v>1362</v>
      </c>
      <c r="C3147" t="s">
        <v>152</v>
      </c>
      <c r="D3147" s="1">
        <v>45729</v>
      </c>
      <c r="E3147" t="s">
        <v>4133</v>
      </c>
      <c r="F3147" t="s">
        <v>4125</v>
      </c>
    </row>
    <row r="3148" spans="1:6">
      <c r="A3148" t="s">
        <v>7277</v>
      </c>
      <c r="B3148" t="s">
        <v>1362</v>
      </c>
      <c r="C3148" t="s">
        <v>152</v>
      </c>
      <c r="D3148" s="1">
        <v>45680</v>
      </c>
      <c r="E3148" t="s">
        <v>4127</v>
      </c>
      <c r="F3148" t="s">
        <v>4125</v>
      </c>
    </row>
    <row r="3149" spans="1:6">
      <c r="A3149" t="s">
        <v>7278</v>
      </c>
      <c r="B3149" t="s">
        <v>1362</v>
      </c>
      <c r="C3149" t="s">
        <v>152</v>
      </c>
      <c r="D3149" s="1">
        <v>45706</v>
      </c>
      <c r="E3149" t="s">
        <v>4129</v>
      </c>
      <c r="F3149" t="s">
        <v>4125</v>
      </c>
    </row>
    <row r="3150" spans="1:6">
      <c r="A3150" t="s">
        <v>7279</v>
      </c>
      <c r="B3150" t="s">
        <v>1362</v>
      </c>
      <c r="C3150" t="s">
        <v>152</v>
      </c>
      <c r="D3150" s="1">
        <v>45712</v>
      </c>
      <c r="E3150" t="s">
        <v>4133</v>
      </c>
      <c r="F3150" t="s">
        <v>4125</v>
      </c>
    </row>
    <row r="3151" spans="1:6">
      <c r="A3151" t="s">
        <v>7280</v>
      </c>
      <c r="B3151" t="s">
        <v>1362</v>
      </c>
      <c r="C3151" t="s">
        <v>152</v>
      </c>
      <c r="D3151" s="1">
        <v>45706</v>
      </c>
      <c r="E3151" t="s">
        <v>4133</v>
      </c>
      <c r="F3151" t="s">
        <v>4137</v>
      </c>
    </row>
    <row r="3152" spans="1:6">
      <c r="A3152" t="s">
        <v>7281</v>
      </c>
      <c r="B3152" t="s">
        <v>1363</v>
      </c>
      <c r="C3152" t="s">
        <v>78</v>
      </c>
      <c r="D3152" s="1">
        <v>45748</v>
      </c>
      <c r="E3152" t="s">
        <v>4129</v>
      </c>
      <c r="F3152" t="s">
        <v>4139</v>
      </c>
    </row>
    <row r="3153" spans="1:6">
      <c r="A3153" t="s">
        <v>7282</v>
      </c>
      <c r="B3153" t="s">
        <v>1363</v>
      </c>
      <c r="C3153" t="s">
        <v>78</v>
      </c>
      <c r="D3153" s="1">
        <v>45757</v>
      </c>
      <c r="E3153" t="s">
        <v>4124</v>
      </c>
      <c r="F3153" t="s">
        <v>4137</v>
      </c>
    </row>
    <row r="3154" spans="1:6">
      <c r="A3154" t="s">
        <v>7283</v>
      </c>
      <c r="B3154" t="s">
        <v>1363</v>
      </c>
      <c r="C3154" t="s">
        <v>78</v>
      </c>
      <c r="D3154" s="1">
        <v>45761</v>
      </c>
      <c r="E3154" t="s">
        <v>4129</v>
      </c>
      <c r="F3154" t="s">
        <v>4125</v>
      </c>
    </row>
    <row r="3155" spans="1:6">
      <c r="A3155" t="s">
        <v>7284</v>
      </c>
      <c r="B3155" t="s">
        <v>1364</v>
      </c>
      <c r="C3155" t="s">
        <v>78</v>
      </c>
      <c r="D3155" s="1">
        <v>46021</v>
      </c>
      <c r="E3155" t="s">
        <v>4129</v>
      </c>
      <c r="F3155" t="s">
        <v>4137</v>
      </c>
    </row>
    <row r="3156" spans="1:6">
      <c r="A3156" t="s">
        <v>7285</v>
      </c>
      <c r="B3156" t="s">
        <v>1364</v>
      </c>
      <c r="C3156" t="s">
        <v>78</v>
      </c>
      <c r="D3156" s="1">
        <v>46016</v>
      </c>
      <c r="E3156" t="s">
        <v>4127</v>
      </c>
      <c r="F3156" t="s">
        <v>4137</v>
      </c>
    </row>
    <row r="3157" spans="1:6">
      <c r="A3157" t="s">
        <v>7286</v>
      </c>
      <c r="B3157" t="s">
        <v>1364</v>
      </c>
      <c r="C3157" t="s">
        <v>78</v>
      </c>
      <c r="D3157" s="1">
        <v>46019</v>
      </c>
      <c r="E3157" t="s">
        <v>4127</v>
      </c>
      <c r="F3157" t="s">
        <v>4125</v>
      </c>
    </row>
    <row r="3158" spans="1:6">
      <c r="A3158" t="s">
        <v>7287</v>
      </c>
      <c r="B3158" t="s">
        <v>1364</v>
      </c>
      <c r="C3158" t="s">
        <v>78</v>
      </c>
      <c r="D3158" s="1">
        <v>46015</v>
      </c>
      <c r="E3158" t="s">
        <v>4133</v>
      </c>
      <c r="F3158" t="s">
        <v>4139</v>
      </c>
    </row>
    <row r="3159" spans="1:6">
      <c r="A3159" t="s">
        <v>7288</v>
      </c>
      <c r="B3159" t="s">
        <v>1365</v>
      </c>
      <c r="C3159" t="s">
        <v>63</v>
      </c>
      <c r="D3159" s="1">
        <v>46016</v>
      </c>
      <c r="E3159" t="s">
        <v>4133</v>
      </c>
      <c r="F3159" t="s">
        <v>4139</v>
      </c>
    </row>
    <row r="3160" spans="1:6">
      <c r="A3160" t="s">
        <v>7289</v>
      </c>
      <c r="B3160" t="s">
        <v>1365</v>
      </c>
      <c r="C3160" t="s">
        <v>63</v>
      </c>
      <c r="D3160" s="1">
        <v>46020</v>
      </c>
      <c r="E3160" t="s">
        <v>4133</v>
      </c>
      <c r="F3160" t="s">
        <v>4137</v>
      </c>
    </row>
    <row r="3161" spans="1:6">
      <c r="A3161" t="s">
        <v>7290</v>
      </c>
      <c r="B3161" t="s">
        <v>1367</v>
      </c>
      <c r="C3161" t="s">
        <v>27</v>
      </c>
      <c r="D3161" s="1">
        <v>45814</v>
      </c>
      <c r="E3161" t="s">
        <v>4135</v>
      </c>
      <c r="F3161" t="s">
        <v>4137</v>
      </c>
    </row>
    <row r="3162" spans="1:6">
      <c r="A3162" t="s">
        <v>7291</v>
      </c>
      <c r="B3162" t="s">
        <v>1367</v>
      </c>
      <c r="C3162" t="s">
        <v>27</v>
      </c>
      <c r="D3162" s="1">
        <v>45790</v>
      </c>
      <c r="E3162" t="s">
        <v>4133</v>
      </c>
      <c r="F3162" t="s">
        <v>4125</v>
      </c>
    </row>
    <row r="3163" spans="1:6">
      <c r="A3163" t="s">
        <v>7292</v>
      </c>
      <c r="B3163" t="s">
        <v>1367</v>
      </c>
      <c r="C3163" t="s">
        <v>27</v>
      </c>
      <c r="D3163" s="1">
        <v>45848</v>
      </c>
      <c r="E3163" t="s">
        <v>4127</v>
      </c>
      <c r="F3163" t="s">
        <v>4137</v>
      </c>
    </row>
    <row r="3164" spans="1:6">
      <c r="A3164" t="s">
        <v>7293</v>
      </c>
      <c r="B3164" t="s">
        <v>1367</v>
      </c>
      <c r="C3164" t="s">
        <v>27</v>
      </c>
      <c r="D3164" s="1">
        <v>45821</v>
      </c>
      <c r="E3164" t="s">
        <v>4129</v>
      </c>
      <c r="F3164" t="s">
        <v>4139</v>
      </c>
    </row>
    <row r="3165" spans="1:6">
      <c r="A3165" t="s">
        <v>7294</v>
      </c>
      <c r="B3165" t="s">
        <v>1367</v>
      </c>
      <c r="C3165" t="s">
        <v>27</v>
      </c>
      <c r="D3165" s="1">
        <v>45822</v>
      </c>
      <c r="E3165" t="s">
        <v>4124</v>
      </c>
      <c r="F3165" t="s">
        <v>4139</v>
      </c>
    </row>
    <row r="3166" spans="1:6">
      <c r="A3166" t="s">
        <v>7295</v>
      </c>
      <c r="B3166" t="s">
        <v>1369</v>
      </c>
      <c r="C3166" t="s">
        <v>50</v>
      </c>
      <c r="D3166" s="1">
        <v>45994</v>
      </c>
      <c r="E3166" t="s">
        <v>4127</v>
      </c>
      <c r="F3166" t="s">
        <v>4137</v>
      </c>
    </row>
    <row r="3167" spans="1:6">
      <c r="A3167" t="s">
        <v>7296</v>
      </c>
      <c r="B3167" t="s">
        <v>1369</v>
      </c>
      <c r="C3167" t="s">
        <v>50</v>
      </c>
      <c r="D3167" s="1">
        <v>46005</v>
      </c>
      <c r="E3167" t="s">
        <v>4127</v>
      </c>
      <c r="F3167" t="s">
        <v>4125</v>
      </c>
    </row>
    <row r="3168" spans="1:6">
      <c r="A3168" t="s">
        <v>7297</v>
      </c>
      <c r="B3168" t="s">
        <v>1369</v>
      </c>
      <c r="C3168" t="s">
        <v>50</v>
      </c>
      <c r="D3168" s="1">
        <v>46020</v>
      </c>
      <c r="E3168" t="s">
        <v>4129</v>
      </c>
      <c r="F3168" t="s">
        <v>4125</v>
      </c>
    </row>
    <row r="3169" spans="1:6">
      <c r="A3169" t="s">
        <v>7298</v>
      </c>
      <c r="B3169" t="s">
        <v>1371</v>
      </c>
      <c r="C3169" t="s">
        <v>32</v>
      </c>
      <c r="D3169" s="1">
        <v>45888</v>
      </c>
      <c r="E3169" t="s">
        <v>4124</v>
      </c>
      <c r="F3169" t="s">
        <v>4137</v>
      </c>
    </row>
    <row r="3170" spans="1:6">
      <c r="A3170" t="s">
        <v>7299</v>
      </c>
      <c r="B3170" t="s">
        <v>1371</v>
      </c>
      <c r="C3170" t="s">
        <v>32</v>
      </c>
      <c r="D3170" s="1">
        <v>45899</v>
      </c>
      <c r="E3170" t="s">
        <v>4124</v>
      </c>
      <c r="F3170" t="s">
        <v>4137</v>
      </c>
    </row>
    <row r="3171" spans="1:6">
      <c r="A3171" t="s">
        <v>7300</v>
      </c>
      <c r="B3171" t="s">
        <v>1371</v>
      </c>
      <c r="C3171" t="s">
        <v>32</v>
      </c>
      <c r="D3171" s="1">
        <v>45902</v>
      </c>
      <c r="E3171" t="s">
        <v>4133</v>
      </c>
      <c r="F3171" t="s">
        <v>4125</v>
      </c>
    </row>
    <row r="3172" spans="1:6">
      <c r="A3172" t="s">
        <v>7301</v>
      </c>
      <c r="B3172" t="s">
        <v>1371</v>
      </c>
      <c r="C3172" t="s">
        <v>32</v>
      </c>
      <c r="D3172" s="1">
        <v>45896</v>
      </c>
      <c r="E3172" t="s">
        <v>4127</v>
      </c>
      <c r="F3172" t="s">
        <v>4137</v>
      </c>
    </row>
    <row r="3173" spans="1:6">
      <c r="A3173" t="s">
        <v>7302</v>
      </c>
      <c r="B3173" t="s">
        <v>1372</v>
      </c>
      <c r="C3173" t="s">
        <v>168</v>
      </c>
      <c r="D3173" s="1">
        <v>45921</v>
      </c>
      <c r="E3173" t="s">
        <v>4124</v>
      </c>
      <c r="F3173" t="s">
        <v>4137</v>
      </c>
    </row>
    <row r="3174" spans="1:6">
      <c r="A3174" t="s">
        <v>7303</v>
      </c>
      <c r="B3174" t="s">
        <v>1372</v>
      </c>
      <c r="C3174" t="s">
        <v>168</v>
      </c>
      <c r="D3174" s="1">
        <v>45919</v>
      </c>
      <c r="E3174" t="s">
        <v>4135</v>
      </c>
      <c r="F3174" t="s">
        <v>4137</v>
      </c>
    </row>
    <row r="3175" spans="1:6">
      <c r="A3175" t="s">
        <v>7304</v>
      </c>
      <c r="B3175" t="s">
        <v>1372</v>
      </c>
      <c r="C3175" t="s">
        <v>168</v>
      </c>
      <c r="D3175" s="1">
        <v>45922</v>
      </c>
      <c r="E3175" t="s">
        <v>4127</v>
      </c>
      <c r="F3175" t="s">
        <v>4139</v>
      </c>
    </row>
    <row r="3176" spans="1:6">
      <c r="A3176" t="s">
        <v>7305</v>
      </c>
      <c r="B3176" t="s">
        <v>1372</v>
      </c>
      <c r="C3176" t="s">
        <v>168</v>
      </c>
      <c r="D3176" s="1">
        <v>45918</v>
      </c>
      <c r="E3176" t="s">
        <v>4124</v>
      </c>
      <c r="F3176" t="s">
        <v>4125</v>
      </c>
    </row>
    <row r="3177" spans="1:6">
      <c r="A3177" t="s">
        <v>7306</v>
      </c>
      <c r="B3177" t="s">
        <v>1373</v>
      </c>
      <c r="C3177" t="s">
        <v>119</v>
      </c>
      <c r="D3177" s="1">
        <v>45836</v>
      </c>
      <c r="E3177" t="s">
        <v>4135</v>
      </c>
      <c r="F3177" t="s">
        <v>4139</v>
      </c>
    </row>
    <row r="3178" spans="1:6">
      <c r="A3178" t="s">
        <v>7307</v>
      </c>
      <c r="B3178" t="s">
        <v>1373</v>
      </c>
      <c r="C3178" t="s">
        <v>119</v>
      </c>
      <c r="D3178" s="1">
        <v>45839</v>
      </c>
      <c r="E3178" t="s">
        <v>4135</v>
      </c>
      <c r="F3178" t="s">
        <v>4137</v>
      </c>
    </row>
    <row r="3179" spans="1:6">
      <c r="A3179" t="s">
        <v>7308</v>
      </c>
      <c r="B3179" t="s">
        <v>1373</v>
      </c>
      <c r="C3179" t="s">
        <v>119</v>
      </c>
      <c r="D3179" s="1">
        <v>45841</v>
      </c>
      <c r="E3179" t="s">
        <v>4124</v>
      </c>
      <c r="F3179" t="s">
        <v>4125</v>
      </c>
    </row>
    <row r="3180" spans="1:6">
      <c r="A3180" t="s">
        <v>7309</v>
      </c>
      <c r="B3180" t="s">
        <v>1374</v>
      </c>
      <c r="C3180" t="s">
        <v>91</v>
      </c>
      <c r="D3180" s="1">
        <v>45869</v>
      </c>
      <c r="E3180" t="s">
        <v>4133</v>
      </c>
      <c r="F3180" t="s">
        <v>4139</v>
      </c>
    </row>
    <row r="3181" spans="1:6">
      <c r="A3181" t="s">
        <v>7310</v>
      </c>
      <c r="B3181" t="s">
        <v>1374</v>
      </c>
      <c r="C3181" t="s">
        <v>91</v>
      </c>
      <c r="D3181" s="1">
        <v>45880</v>
      </c>
      <c r="E3181" t="s">
        <v>4133</v>
      </c>
      <c r="F3181" t="s">
        <v>4139</v>
      </c>
    </row>
    <row r="3182" spans="1:6">
      <c r="A3182" t="s">
        <v>7311</v>
      </c>
      <c r="B3182" t="s">
        <v>1375</v>
      </c>
      <c r="C3182" t="s">
        <v>40</v>
      </c>
      <c r="D3182" s="1">
        <v>45961</v>
      </c>
      <c r="E3182" t="s">
        <v>4129</v>
      </c>
      <c r="F3182" t="s">
        <v>4125</v>
      </c>
    </row>
    <row r="3183" spans="1:6">
      <c r="A3183" t="s">
        <v>7312</v>
      </c>
      <c r="B3183" t="s">
        <v>1375</v>
      </c>
      <c r="C3183" t="s">
        <v>40</v>
      </c>
      <c r="D3183" s="1">
        <v>45956</v>
      </c>
      <c r="E3183" t="s">
        <v>4124</v>
      </c>
      <c r="F3183" t="s">
        <v>4125</v>
      </c>
    </row>
    <row r="3184" spans="1:6">
      <c r="A3184" t="s">
        <v>7313</v>
      </c>
      <c r="B3184" t="s">
        <v>1376</v>
      </c>
      <c r="C3184" t="s">
        <v>126</v>
      </c>
      <c r="D3184" s="1">
        <v>45787</v>
      </c>
      <c r="E3184" t="s">
        <v>4133</v>
      </c>
      <c r="F3184" t="s">
        <v>4137</v>
      </c>
    </row>
    <row r="3185" spans="1:6">
      <c r="A3185" t="s">
        <v>7314</v>
      </c>
      <c r="B3185" t="s">
        <v>1376</v>
      </c>
      <c r="C3185" t="s">
        <v>126</v>
      </c>
      <c r="D3185" s="1">
        <v>45772</v>
      </c>
      <c r="E3185" t="s">
        <v>4135</v>
      </c>
      <c r="F3185" t="s">
        <v>4125</v>
      </c>
    </row>
    <row r="3186" spans="1:6">
      <c r="A3186" t="s">
        <v>7315</v>
      </c>
      <c r="B3186" t="s">
        <v>1376</v>
      </c>
      <c r="C3186" t="s">
        <v>126</v>
      </c>
      <c r="D3186" s="1">
        <v>45771</v>
      </c>
      <c r="E3186" t="s">
        <v>4127</v>
      </c>
      <c r="F3186" t="s">
        <v>4139</v>
      </c>
    </row>
    <row r="3187" spans="1:6">
      <c r="A3187" t="s">
        <v>7316</v>
      </c>
      <c r="B3187" t="s">
        <v>1376</v>
      </c>
      <c r="C3187" t="s">
        <v>126</v>
      </c>
      <c r="D3187" s="1">
        <v>45778</v>
      </c>
      <c r="E3187" t="s">
        <v>4124</v>
      </c>
      <c r="F3187" t="s">
        <v>4139</v>
      </c>
    </row>
    <row r="3188" spans="1:6">
      <c r="A3188" t="s">
        <v>7317</v>
      </c>
      <c r="B3188" t="s">
        <v>1376</v>
      </c>
      <c r="C3188" t="s">
        <v>126</v>
      </c>
      <c r="D3188" s="1">
        <v>45762</v>
      </c>
      <c r="E3188" t="s">
        <v>4133</v>
      </c>
      <c r="F3188" t="s">
        <v>4139</v>
      </c>
    </row>
    <row r="3189" spans="1:6">
      <c r="A3189" t="s">
        <v>7318</v>
      </c>
      <c r="B3189" t="s">
        <v>1377</v>
      </c>
      <c r="C3189" t="s">
        <v>56</v>
      </c>
      <c r="D3189" s="1">
        <v>45835</v>
      </c>
      <c r="E3189" t="s">
        <v>4129</v>
      </c>
      <c r="F3189" t="s">
        <v>4139</v>
      </c>
    </row>
    <row r="3190" spans="1:6">
      <c r="A3190" t="s">
        <v>7319</v>
      </c>
      <c r="B3190" t="s">
        <v>1377</v>
      </c>
      <c r="C3190" t="s">
        <v>56</v>
      </c>
      <c r="D3190" s="1">
        <v>45845</v>
      </c>
      <c r="E3190" t="s">
        <v>4129</v>
      </c>
      <c r="F3190" t="s">
        <v>4137</v>
      </c>
    </row>
    <row r="3191" spans="1:6">
      <c r="A3191" t="s">
        <v>7320</v>
      </c>
      <c r="B3191" t="s">
        <v>1377</v>
      </c>
      <c r="C3191" t="s">
        <v>56</v>
      </c>
      <c r="D3191" s="1">
        <v>45807</v>
      </c>
      <c r="E3191" t="s">
        <v>4127</v>
      </c>
      <c r="F3191" t="s">
        <v>4137</v>
      </c>
    </row>
    <row r="3192" spans="1:6">
      <c r="A3192" t="s">
        <v>7321</v>
      </c>
      <c r="B3192" t="s">
        <v>1377</v>
      </c>
      <c r="C3192" t="s">
        <v>56</v>
      </c>
      <c r="D3192" s="1">
        <v>45851</v>
      </c>
      <c r="E3192" t="s">
        <v>4135</v>
      </c>
      <c r="F3192" t="s">
        <v>4137</v>
      </c>
    </row>
    <row r="3193" spans="1:6">
      <c r="A3193" t="s">
        <v>7322</v>
      </c>
      <c r="B3193" t="s">
        <v>1378</v>
      </c>
      <c r="C3193" t="s">
        <v>50</v>
      </c>
      <c r="D3193" s="1">
        <v>46013</v>
      </c>
      <c r="E3193" t="s">
        <v>4133</v>
      </c>
      <c r="F3193" t="s">
        <v>4125</v>
      </c>
    </row>
    <row r="3194" spans="1:6">
      <c r="A3194" t="s">
        <v>7323</v>
      </c>
      <c r="B3194" t="s">
        <v>1378</v>
      </c>
      <c r="C3194" t="s">
        <v>50</v>
      </c>
      <c r="D3194" s="1">
        <v>46019</v>
      </c>
      <c r="E3194" t="s">
        <v>4127</v>
      </c>
      <c r="F3194" t="s">
        <v>4137</v>
      </c>
    </row>
    <row r="3195" spans="1:6">
      <c r="A3195" t="s">
        <v>7324</v>
      </c>
      <c r="B3195" t="s">
        <v>1378</v>
      </c>
      <c r="C3195" t="s">
        <v>50</v>
      </c>
      <c r="D3195" s="1">
        <v>46018</v>
      </c>
      <c r="E3195" t="s">
        <v>4127</v>
      </c>
      <c r="F3195" t="s">
        <v>4125</v>
      </c>
    </row>
    <row r="3196" spans="1:6">
      <c r="A3196" t="s">
        <v>7325</v>
      </c>
      <c r="B3196" t="s">
        <v>1378</v>
      </c>
      <c r="C3196" t="s">
        <v>50</v>
      </c>
      <c r="D3196" s="1">
        <v>46020</v>
      </c>
      <c r="E3196" t="s">
        <v>4127</v>
      </c>
      <c r="F3196" t="s">
        <v>4125</v>
      </c>
    </row>
    <row r="3197" spans="1:6">
      <c r="A3197" t="s">
        <v>7326</v>
      </c>
      <c r="B3197" t="s">
        <v>1379</v>
      </c>
      <c r="C3197" t="s">
        <v>70</v>
      </c>
      <c r="D3197" s="1">
        <v>45720</v>
      </c>
      <c r="E3197" t="s">
        <v>4124</v>
      </c>
      <c r="F3197" t="s">
        <v>4137</v>
      </c>
    </row>
    <row r="3198" spans="1:6">
      <c r="A3198" t="s">
        <v>7327</v>
      </c>
      <c r="B3198" t="s">
        <v>1379</v>
      </c>
      <c r="C3198" t="s">
        <v>70</v>
      </c>
      <c r="D3198" s="1">
        <v>45740</v>
      </c>
      <c r="E3198" t="s">
        <v>4135</v>
      </c>
      <c r="F3198" t="s">
        <v>4139</v>
      </c>
    </row>
    <row r="3199" spans="1:6">
      <c r="A3199" t="s">
        <v>7328</v>
      </c>
      <c r="B3199" t="s">
        <v>1379</v>
      </c>
      <c r="C3199" t="s">
        <v>70</v>
      </c>
      <c r="D3199" s="1">
        <v>45733</v>
      </c>
      <c r="E3199" t="s">
        <v>4135</v>
      </c>
      <c r="F3199" t="s">
        <v>4137</v>
      </c>
    </row>
    <row r="3200" spans="1:6">
      <c r="A3200" t="s">
        <v>7329</v>
      </c>
      <c r="B3200" t="s">
        <v>1379</v>
      </c>
      <c r="C3200" t="s">
        <v>70</v>
      </c>
      <c r="D3200" s="1">
        <v>45725</v>
      </c>
      <c r="E3200" t="s">
        <v>4133</v>
      </c>
      <c r="F3200" t="s">
        <v>4139</v>
      </c>
    </row>
    <row r="3201" spans="1:6">
      <c r="A3201" t="s">
        <v>7330</v>
      </c>
      <c r="B3201" t="s">
        <v>1379</v>
      </c>
      <c r="C3201" t="s">
        <v>70</v>
      </c>
      <c r="D3201" s="1">
        <v>45739</v>
      </c>
      <c r="E3201" t="s">
        <v>4135</v>
      </c>
      <c r="F3201" t="s">
        <v>4139</v>
      </c>
    </row>
    <row r="3202" spans="1:6">
      <c r="A3202" t="s">
        <v>7331</v>
      </c>
      <c r="B3202" t="s">
        <v>1380</v>
      </c>
      <c r="C3202" t="s">
        <v>40</v>
      </c>
      <c r="D3202" s="1">
        <v>45668</v>
      </c>
      <c r="E3202" t="s">
        <v>4127</v>
      </c>
      <c r="F3202" t="s">
        <v>4125</v>
      </c>
    </row>
    <row r="3203" spans="1:6">
      <c r="A3203" t="s">
        <v>7332</v>
      </c>
      <c r="B3203" t="s">
        <v>1380</v>
      </c>
      <c r="C3203" t="s">
        <v>40</v>
      </c>
      <c r="D3203" s="1">
        <v>45674</v>
      </c>
      <c r="E3203" t="s">
        <v>4135</v>
      </c>
      <c r="F3203" t="s">
        <v>4139</v>
      </c>
    </row>
    <row r="3204" spans="1:6">
      <c r="A3204" t="s">
        <v>7333</v>
      </c>
      <c r="B3204" t="s">
        <v>1381</v>
      </c>
      <c r="C3204" t="s">
        <v>78</v>
      </c>
      <c r="D3204" s="1">
        <v>45863</v>
      </c>
      <c r="E3204" t="s">
        <v>4133</v>
      </c>
      <c r="F3204" t="s">
        <v>4139</v>
      </c>
    </row>
    <row r="3205" spans="1:6">
      <c r="A3205" t="s">
        <v>7334</v>
      </c>
      <c r="B3205" t="s">
        <v>1381</v>
      </c>
      <c r="C3205" t="s">
        <v>78</v>
      </c>
      <c r="D3205" s="1">
        <v>45837</v>
      </c>
      <c r="E3205" t="s">
        <v>4129</v>
      </c>
      <c r="F3205" t="s">
        <v>4139</v>
      </c>
    </row>
    <row r="3206" spans="1:6">
      <c r="A3206" t="s">
        <v>7335</v>
      </c>
      <c r="B3206" t="s">
        <v>1381</v>
      </c>
      <c r="C3206" t="s">
        <v>78</v>
      </c>
      <c r="D3206" s="1">
        <v>45874</v>
      </c>
      <c r="E3206" t="s">
        <v>4124</v>
      </c>
      <c r="F3206" t="s">
        <v>4137</v>
      </c>
    </row>
    <row r="3207" spans="1:6">
      <c r="A3207" t="s">
        <v>7336</v>
      </c>
      <c r="B3207" t="s">
        <v>1383</v>
      </c>
      <c r="C3207" t="s">
        <v>119</v>
      </c>
      <c r="D3207" s="1">
        <v>45734</v>
      </c>
      <c r="E3207" t="s">
        <v>4127</v>
      </c>
      <c r="F3207" t="s">
        <v>4137</v>
      </c>
    </row>
    <row r="3208" spans="1:6">
      <c r="A3208" t="s">
        <v>7337</v>
      </c>
      <c r="B3208" t="s">
        <v>1383</v>
      </c>
      <c r="C3208" t="s">
        <v>119</v>
      </c>
      <c r="D3208" s="1">
        <v>45708</v>
      </c>
      <c r="E3208" t="s">
        <v>4124</v>
      </c>
      <c r="F3208" t="s">
        <v>4139</v>
      </c>
    </row>
    <row r="3209" spans="1:6">
      <c r="A3209" t="s">
        <v>7338</v>
      </c>
      <c r="B3209" t="s">
        <v>1383</v>
      </c>
      <c r="C3209" t="s">
        <v>119</v>
      </c>
      <c r="D3209" s="1">
        <v>45726</v>
      </c>
      <c r="E3209" t="s">
        <v>4135</v>
      </c>
      <c r="F3209" t="s">
        <v>4125</v>
      </c>
    </row>
    <row r="3210" spans="1:6">
      <c r="A3210" t="s">
        <v>7339</v>
      </c>
      <c r="B3210" t="s">
        <v>1383</v>
      </c>
      <c r="C3210" t="s">
        <v>119</v>
      </c>
      <c r="D3210" s="1">
        <v>45715</v>
      </c>
      <c r="E3210" t="s">
        <v>4133</v>
      </c>
      <c r="F3210" t="s">
        <v>4137</v>
      </c>
    </row>
    <row r="3211" spans="1:6">
      <c r="A3211" t="s">
        <v>7340</v>
      </c>
      <c r="B3211" t="s">
        <v>1384</v>
      </c>
      <c r="C3211" t="s">
        <v>126</v>
      </c>
      <c r="D3211" s="1">
        <v>45906</v>
      </c>
      <c r="E3211" t="s">
        <v>4129</v>
      </c>
      <c r="F3211" t="s">
        <v>4137</v>
      </c>
    </row>
    <row r="3212" spans="1:6">
      <c r="A3212" t="s">
        <v>7341</v>
      </c>
      <c r="B3212" t="s">
        <v>1384</v>
      </c>
      <c r="C3212" t="s">
        <v>126</v>
      </c>
      <c r="D3212" s="1">
        <v>45952</v>
      </c>
      <c r="E3212" t="s">
        <v>4129</v>
      </c>
      <c r="F3212" t="s">
        <v>4125</v>
      </c>
    </row>
    <row r="3213" spans="1:6">
      <c r="A3213" t="s">
        <v>7342</v>
      </c>
      <c r="B3213" t="s">
        <v>1385</v>
      </c>
      <c r="C3213" t="s">
        <v>22</v>
      </c>
      <c r="D3213" s="1">
        <v>45995</v>
      </c>
      <c r="E3213" t="s">
        <v>4127</v>
      </c>
      <c r="F3213" t="s">
        <v>4137</v>
      </c>
    </row>
    <row r="3214" spans="1:6">
      <c r="A3214" t="s">
        <v>7343</v>
      </c>
      <c r="B3214" t="s">
        <v>1385</v>
      </c>
      <c r="C3214" t="s">
        <v>22</v>
      </c>
      <c r="D3214" s="1">
        <v>46013</v>
      </c>
      <c r="E3214" t="s">
        <v>4135</v>
      </c>
      <c r="F3214" t="s">
        <v>4137</v>
      </c>
    </row>
    <row r="3215" spans="1:6">
      <c r="A3215" t="s">
        <v>7344</v>
      </c>
      <c r="B3215" t="s">
        <v>1387</v>
      </c>
      <c r="C3215" t="s">
        <v>36</v>
      </c>
      <c r="D3215" s="1">
        <v>46014</v>
      </c>
      <c r="E3215" t="s">
        <v>4135</v>
      </c>
      <c r="F3215" t="s">
        <v>4137</v>
      </c>
    </row>
    <row r="3216" spans="1:6">
      <c r="A3216" t="s">
        <v>7345</v>
      </c>
      <c r="B3216" t="s">
        <v>1387</v>
      </c>
      <c r="C3216" t="s">
        <v>36</v>
      </c>
      <c r="D3216" s="1">
        <v>46010</v>
      </c>
      <c r="E3216" t="s">
        <v>4135</v>
      </c>
      <c r="F3216" t="s">
        <v>4125</v>
      </c>
    </row>
    <row r="3217" spans="1:6">
      <c r="A3217" t="s">
        <v>7346</v>
      </c>
      <c r="B3217" t="s">
        <v>1387</v>
      </c>
      <c r="C3217" t="s">
        <v>36</v>
      </c>
      <c r="D3217" s="1">
        <v>46013</v>
      </c>
      <c r="E3217" t="s">
        <v>4129</v>
      </c>
      <c r="F3217" t="s">
        <v>4137</v>
      </c>
    </row>
    <row r="3218" spans="1:6">
      <c r="A3218" t="s">
        <v>7347</v>
      </c>
      <c r="B3218" t="s">
        <v>1387</v>
      </c>
      <c r="C3218" t="s">
        <v>36</v>
      </c>
      <c r="D3218" s="1">
        <v>46011</v>
      </c>
      <c r="E3218" t="s">
        <v>4129</v>
      </c>
      <c r="F3218" t="s">
        <v>4139</v>
      </c>
    </row>
    <row r="3219" spans="1:6">
      <c r="A3219" t="s">
        <v>7348</v>
      </c>
      <c r="B3219" t="s">
        <v>1387</v>
      </c>
      <c r="C3219" t="s">
        <v>36</v>
      </c>
      <c r="D3219" s="1">
        <v>46013</v>
      </c>
      <c r="E3219" t="s">
        <v>4129</v>
      </c>
      <c r="F3219" t="s">
        <v>4139</v>
      </c>
    </row>
    <row r="3220" spans="1:6">
      <c r="A3220" t="s">
        <v>7349</v>
      </c>
      <c r="B3220" t="s">
        <v>1388</v>
      </c>
      <c r="C3220" t="s">
        <v>63</v>
      </c>
      <c r="D3220" s="1">
        <v>45935</v>
      </c>
      <c r="E3220" t="s">
        <v>4129</v>
      </c>
      <c r="F3220" t="s">
        <v>4125</v>
      </c>
    </row>
    <row r="3221" spans="1:6">
      <c r="A3221" t="s">
        <v>7350</v>
      </c>
      <c r="B3221" t="s">
        <v>1388</v>
      </c>
      <c r="C3221" t="s">
        <v>63</v>
      </c>
      <c r="D3221" s="1">
        <v>45919</v>
      </c>
      <c r="E3221" t="s">
        <v>4135</v>
      </c>
      <c r="F3221" t="s">
        <v>4139</v>
      </c>
    </row>
    <row r="3222" spans="1:6">
      <c r="A3222" t="s">
        <v>7351</v>
      </c>
      <c r="B3222" t="s">
        <v>1389</v>
      </c>
      <c r="C3222" t="s">
        <v>27</v>
      </c>
      <c r="D3222" s="1">
        <v>45679</v>
      </c>
      <c r="E3222" t="s">
        <v>4124</v>
      </c>
      <c r="F3222" t="s">
        <v>4137</v>
      </c>
    </row>
    <row r="3223" spans="1:6">
      <c r="A3223" t="s">
        <v>7352</v>
      </c>
      <c r="B3223" t="s">
        <v>1389</v>
      </c>
      <c r="C3223" t="s">
        <v>27</v>
      </c>
      <c r="D3223" s="1">
        <v>45668</v>
      </c>
      <c r="E3223" t="s">
        <v>4133</v>
      </c>
      <c r="F3223" t="s">
        <v>4139</v>
      </c>
    </row>
    <row r="3224" spans="1:6">
      <c r="A3224" t="s">
        <v>7353</v>
      </c>
      <c r="B3224" t="s">
        <v>1389</v>
      </c>
      <c r="C3224" t="s">
        <v>27</v>
      </c>
      <c r="D3224" s="1">
        <v>45681</v>
      </c>
      <c r="E3224" t="s">
        <v>4129</v>
      </c>
      <c r="F3224" t="s">
        <v>4125</v>
      </c>
    </row>
    <row r="3225" spans="1:6">
      <c r="A3225" t="s">
        <v>7354</v>
      </c>
      <c r="B3225" t="s">
        <v>1389</v>
      </c>
      <c r="C3225" t="s">
        <v>27</v>
      </c>
      <c r="D3225" s="1">
        <v>45692</v>
      </c>
      <c r="E3225" t="s">
        <v>4129</v>
      </c>
      <c r="F3225" t="s">
        <v>4125</v>
      </c>
    </row>
    <row r="3226" spans="1:6">
      <c r="A3226" t="s">
        <v>7355</v>
      </c>
      <c r="B3226" t="s">
        <v>1389</v>
      </c>
      <c r="C3226" t="s">
        <v>27</v>
      </c>
      <c r="D3226" s="1">
        <v>45680</v>
      </c>
      <c r="E3226" t="s">
        <v>4124</v>
      </c>
      <c r="F3226" t="s">
        <v>4139</v>
      </c>
    </row>
    <row r="3227" spans="1:6">
      <c r="A3227" t="s">
        <v>7356</v>
      </c>
      <c r="B3227" t="s">
        <v>1391</v>
      </c>
      <c r="C3227" t="s">
        <v>53</v>
      </c>
      <c r="D3227" s="1">
        <v>45844</v>
      </c>
      <c r="E3227" t="s">
        <v>4127</v>
      </c>
      <c r="F3227" t="s">
        <v>4137</v>
      </c>
    </row>
    <row r="3228" spans="1:6">
      <c r="A3228" t="s">
        <v>7357</v>
      </c>
      <c r="B3228" t="s">
        <v>1391</v>
      </c>
      <c r="C3228" t="s">
        <v>53</v>
      </c>
      <c r="D3228" s="1">
        <v>45850</v>
      </c>
      <c r="E3228" t="s">
        <v>4135</v>
      </c>
      <c r="F3228" t="s">
        <v>4125</v>
      </c>
    </row>
    <row r="3229" spans="1:6">
      <c r="A3229" t="s">
        <v>7358</v>
      </c>
      <c r="B3229" t="s">
        <v>1391</v>
      </c>
      <c r="C3229" t="s">
        <v>53</v>
      </c>
      <c r="D3229" s="1">
        <v>45814</v>
      </c>
      <c r="E3229" t="s">
        <v>4129</v>
      </c>
      <c r="F3229" t="s">
        <v>4125</v>
      </c>
    </row>
    <row r="3230" spans="1:6">
      <c r="A3230" t="s">
        <v>7359</v>
      </c>
      <c r="B3230" t="s">
        <v>1392</v>
      </c>
      <c r="C3230" t="s">
        <v>22</v>
      </c>
      <c r="D3230" s="1">
        <v>45874</v>
      </c>
      <c r="E3230" t="s">
        <v>4127</v>
      </c>
      <c r="F3230" t="s">
        <v>4125</v>
      </c>
    </row>
    <row r="3231" spans="1:6">
      <c r="A3231" t="s">
        <v>7360</v>
      </c>
      <c r="B3231" t="s">
        <v>1392</v>
      </c>
      <c r="C3231" t="s">
        <v>22</v>
      </c>
      <c r="D3231" s="1">
        <v>45811</v>
      </c>
      <c r="E3231" t="s">
        <v>4133</v>
      </c>
      <c r="F3231" t="s">
        <v>4139</v>
      </c>
    </row>
    <row r="3232" spans="1:6">
      <c r="A3232" t="s">
        <v>7361</v>
      </c>
      <c r="B3232" t="s">
        <v>1392</v>
      </c>
      <c r="C3232" t="s">
        <v>22</v>
      </c>
      <c r="D3232" s="1">
        <v>45824</v>
      </c>
      <c r="E3232" t="s">
        <v>4133</v>
      </c>
      <c r="F3232" t="s">
        <v>4137</v>
      </c>
    </row>
    <row r="3233" spans="1:6">
      <c r="A3233" t="s">
        <v>7362</v>
      </c>
      <c r="B3233" t="s">
        <v>1392</v>
      </c>
      <c r="C3233" t="s">
        <v>22</v>
      </c>
      <c r="D3233" s="1">
        <v>45850</v>
      </c>
      <c r="E3233" t="s">
        <v>4135</v>
      </c>
      <c r="F3233" t="s">
        <v>4139</v>
      </c>
    </row>
    <row r="3234" spans="1:6">
      <c r="A3234" t="s">
        <v>7363</v>
      </c>
      <c r="B3234" t="s">
        <v>1392</v>
      </c>
      <c r="C3234" t="s">
        <v>22</v>
      </c>
      <c r="D3234" s="1">
        <v>45846</v>
      </c>
      <c r="E3234" t="s">
        <v>4127</v>
      </c>
      <c r="F3234" t="s">
        <v>4137</v>
      </c>
    </row>
    <row r="3235" spans="1:6">
      <c r="A3235" t="s">
        <v>7364</v>
      </c>
      <c r="B3235" t="s">
        <v>1393</v>
      </c>
      <c r="C3235" t="s">
        <v>63</v>
      </c>
      <c r="D3235" s="1">
        <v>45864</v>
      </c>
      <c r="E3235" t="s">
        <v>4124</v>
      </c>
      <c r="F3235" t="s">
        <v>4137</v>
      </c>
    </row>
    <row r="3236" spans="1:6">
      <c r="A3236" t="s">
        <v>7365</v>
      </c>
      <c r="B3236" t="s">
        <v>1393</v>
      </c>
      <c r="C3236" t="s">
        <v>63</v>
      </c>
      <c r="D3236" s="1">
        <v>45854</v>
      </c>
      <c r="E3236" t="s">
        <v>4133</v>
      </c>
      <c r="F3236" t="s">
        <v>4139</v>
      </c>
    </row>
    <row r="3237" spans="1:6">
      <c r="A3237" t="s">
        <v>7366</v>
      </c>
      <c r="B3237" t="s">
        <v>1393</v>
      </c>
      <c r="C3237" t="s">
        <v>63</v>
      </c>
      <c r="D3237" s="1">
        <v>45864</v>
      </c>
      <c r="E3237" t="s">
        <v>4127</v>
      </c>
      <c r="F3237" t="s">
        <v>4137</v>
      </c>
    </row>
    <row r="3238" spans="1:6">
      <c r="A3238" t="s">
        <v>7367</v>
      </c>
      <c r="B3238" t="s">
        <v>1393</v>
      </c>
      <c r="C3238" t="s">
        <v>63</v>
      </c>
      <c r="D3238" s="1">
        <v>45854</v>
      </c>
      <c r="E3238" t="s">
        <v>4133</v>
      </c>
      <c r="F3238" t="s">
        <v>4125</v>
      </c>
    </row>
    <row r="3239" spans="1:6">
      <c r="A3239" t="s">
        <v>7368</v>
      </c>
      <c r="B3239" t="s">
        <v>1393</v>
      </c>
      <c r="C3239" t="s">
        <v>63</v>
      </c>
      <c r="D3239" s="1">
        <v>45859</v>
      </c>
      <c r="E3239" t="s">
        <v>4127</v>
      </c>
      <c r="F3239" t="s">
        <v>4139</v>
      </c>
    </row>
    <row r="3240" spans="1:6">
      <c r="A3240" t="s">
        <v>7369</v>
      </c>
      <c r="B3240" t="s">
        <v>1394</v>
      </c>
      <c r="C3240" t="s">
        <v>56</v>
      </c>
      <c r="D3240" s="1">
        <v>45889</v>
      </c>
      <c r="E3240" t="s">
        <v>4129</v>
      </c>
      <c r="F3240" t="s">
        <v>4139</v>
      </c>
    </row>
    <row r="3241" spans="1:6">
      <c r="A3241" t="s">
        <v>7370</v>
      </c>
      <c r="B3241" t="s">
        <v>1394</v>
      </c>
      <c r="C3241" t="s">
        <v>56</v>
      </c>
      <c r="D3241" s="1">
        <v>45870</v>
      </c>
      <c r="E3241" t="s">
        <v>4129</v>
      </c>
      <c r="F3241" t="s">
        <v>4139</v>
      </c>
    </row>
    <row r="3242" spans="1:6">
      <c r="A3242" t="s">
        <v>7371</v>
      </c>
      <c r="B3242" t="s">
        <v>1395</v>
      </c>
      <c r="C3242" t="s">
        <v>63</v>
      </c>
      <c r="D3242" s="1">
        <v>45773</v>
      </c>
      <c r="E3242" t="s">
        <v>4129</v>
      </c>
      <c r="F3242" t="s">
        <v>4137</v>
      </c>
    </row>
    <row r="3243" spans="1:6">
      <c r="A3243" t="s">
        <v>7372</v>
      </c>
      <c r="B3243" t="s">
        <v>1395</v>
      </c>
      <c r="C3243" t="s">
        <v>63</v>
      </c>
      <c r="D3243" s="1">
        <v>45786</v>
      </c>
      <c r="E3243" t="s">
        <v>4133</v>
      </c>
      <c r="F3243" t="s">
        <v>4125</v>
      </c>
    </row>
    <row r="3244" spans="1:6">
      <c r="A3244" t="s">
        <v>7373</v>
      </c>
      <c r="B3244" t="s">
        <v>1395</v>
      </c>
      <c r="C3244" t="s">
        <v>63</v>
      </c>
      <c r="D3244" s="1">
        <v>45768</v>
      </c>
      <c r="E3244" t="s">
        <v>4129</v>
      </c>
      <c r="F3244" t="s">
        <v>4137</v>
      </c>
    </row>
    <row r="3245" spans="1:6">
      <c r="A3245" t="s">
        <v>7374</v>
      </c>
      <c r="B3245" t="s">
        <v>1396</v>
      </c>
      <c r="C3245" t="s">
        <v>50</v>
      </c>
      <c r="D3245" s="1">
        <v>45984</v>
      </c>
      <c r="E3245" t="s">
        <v>4127</v>
      </c>
      <c r="F3245" t="s">
        <v>4125</v>
      </c>
    </row>
    <row r="3246" spans="1:6">
      <c r="A3246" t="s">
        <v>7375</v>
      </c>
      <c r="B3246" t="s">
        <v>1396</v>
      </c>
      <c r="C3246" t="s">
        <v>50</v>
      </c>
      <c r="D3246" s="1">
        <v>46010</v>
      </c>
      <c r="E3246" t="s">
        <v>4135</v>
      </c>
      <c r="F3246" t="s">
        <v>4137</v>
      </c>
    </row>
    <row r="3247" spans="1:6">
      <c r="A3247" t="s">
        <v>7376</v>
      </c>
      <c r="B3247" t="s">
        <v>1396</v>
      </c>
      <c r="C3247" t="s">
        <v>50</v>
      </c>
      <c r="D3247" s="1">
        <v>46012</v>
      </c>
      <c r="E3247" t="s">
        <v>4133</v>
      </c>
      <c r="F3247" t="s">
        <v>4125</v>
      </c>
    </row>
    <row r="3248" spans="1:6">
      <c r="A3248" t="s">
        <v>7377</v>
      </c>
      <c r="B3248" t="s">
        <v>1396</v>
      </c>
      <c r="C3248" t="s">
        <v>50</v>
      </c>
      <c r="D3248" s="1">
        <v>46012</v>
      </c>
      <c r="E3248" t="s">
        <v>4124</v>
      </c>
      <c r="F3248" t="s">
        <v>4139</v>
      </c>
    </row>
    <row r="3249" spans="1:6">
      <c r="A3249" t="s">
        <v>7378</v>
      </c>
      <c r="B3249" t="s">
        <v>1397</v>
      </c>
      <c r="C3249" t="s">
        <v>78</v>
      </c>
      <c r="D3249" s="1">
        <v>45738</v>
      </c>
      <c r="E3249" t="s">
        <v>4129</v>
      </c>
      <c r="F3249" t="s">
        <v>4125</v>
      </c>
    </row>
    <row r="3250" spans="1:6">
      <c r="A3250" t="s">
        <v>7379</v>
      </c>
      <c r="B3250" t="s">
        <v>1397</v>
      </c>
      <c r="C3250" t="s">
        <v>78</v>
      </c>
      <c r="D3250" s="1">
        <v>45727</v>
      </c>
      <c r="E3250" t="s">
        <v>4124</v>
      </c>
      <c r="F3250" t="s">
        <v>4139</v>
      </c>
    </row>
    <row r="3251" spans="1:6">
      <c r="A3251" t="s">
        <v>7380</v>
      </c>
      <c r="B3251" t="s">
        <v>1397</v>
      </c>
      <c r="C3251" t="s">
        <v>78</v>
      </c>
      <c r="D3251" s="1">
        <v>45731</v>
      </c>
      <c r="E3251" t="s">
        <v>4133</v>
      </c>
      <c r="F3251" t="s">
        <v>4125</v>
      </c>
    </row>
    <row r="3252" spans="1:6">
      <c r="A3252" t="s">
        <v>7381</v>
      </c>
      <c r="B3252" t="s">
        <v>1397</v>
      </c>
      <c r="C3252" t="s">
        <v>78</v>
      </c>
      <c r="D3252" s="1">
        <v>45722</v>
      </c>
      <c r="E3252" t="s">
        <v>4129</v>
      </c>
      <c r="F3252" t="s">
        <v>4137</v>
      </c>
    </row>
    <row r="3253" spans="1:6">
      <c r="A3253" t="s">
        <v>7382</v>
      </c>
      <c r="B3253" t="s">
        <v>1397</v>
      </c>
      <c r="C3253" t="s">
        <v>78</v>
      </c>
      <c r="D3253" s="1">
        <v>45726</v>
      </c>
      <c r="E3253" t="s">
        <v>4133</v>
      </c>
      <c r="F3253" t="s">
        <v>4137</v>
      </c>
    </row>
    <row r="3254" spans="1:6">
      <c r="A3254" t="s">
        <v>7383</v>
      </c>
      <c r="B3254" t="s">
        <v>1399</v>
      </c>
      <c r="C3254" t="s">
        <v>50</v>
      </c>
      <c r="D3254" s="1">
        <v>45840</v>
      </c>
      <c r="E3254" t="s">
        <v>4133</v>
      </c>
      <c r="F3254" t="s">
        <v>4125</v>
      </c>
    </row>
    <row r="3255" spans="1:6">
      <c r="A3255" t="s">
        <v>7384</v>
      </c>
      <c r="B3255" t="s">
        <v>1399</v>
      </c>
      <c r="C3255" t="s">
        <v>50</v>
      </c>
      <c r="D3255" s="1">
        <v>45822</v>
      </c>
      <c r="E3255" t="s">
        <v>4124</v>
      </c>
      <c r="F3255" t="s">
        <v>4137</v>
      </c>
    </row>
    <row r="3256" spans="1:6">
      <c r="A3256" t="s">
        <v>7385</v>
      </c>
      <c r="B3256" t="s">
        <v>1399</v>
      </c>
      <c r="C3256" t="s">
        <v>50</v>
      </c>
      <c r="D3256" s="1">
        <v>45830</v>
      </c>
      <c r="E3256" t="s">
        <v>4129</v>
      </c>
      <c r="F3256" t="s">
        <v>4139</v>
      </c>
    </row>
    <row r="3257" spans="1:6">
      <c r="A3257" t="s">
        <v>7386</v>
      </c>
      <c r="B3257" t="s">
        <v>1399</v>
      </c>
      <c r="C3257" t="s">
        <v>50</v>
      </c>
      <c r="D3257" s="1">
        <v>45820</v>
      </c>
      <c r="E3257" t="s">
        <v>4133</v>
      </c>
      <c r="F3257" t="s">
        <v>4125</v>
      </c>
    </row>
    <row r="3258" spans="1:6">
      <c r="A3258" t="s">
        <v>7387</v>
      </c>
      <c r="B3258" t="s">
        <v>1401</v>
      </c>
      <c r="C3258" t="s">
        <v>56</v>
      </c>
      <c r="D3258" s="1">
        <v>45766</v>
      </c>
      <c r="E3258" t="s">
        <v>4135</v>
      </c>
      <c r="F3258" t="s">
        <v>4139</v>
      </c>
    </row>
    <row r="3259" spans="1:6">
      <c r="A3259" t="s">
        <v>7388</v>
      </c>
      <c r="B3259" t="s">
        <v>1401</v>
      </c>
      <c r="C3259" t="s">
        <v>56</v>
      </c>
      <c r="D3259" s="1">
        <v>45750</v>
      </c>
      <c r="E3259" t="s">
        <v>4129</v>
      </c>
      <c r="F3259" t="s">
        <v>4137</v>
      </c>
    </row>
    <row r="3260" spans="1:6">
      <c r="A3260" t="s">
        <v>7389</v>
      </c>
      <c r="B3260" t="s">
        <v>1401</v>
      </c>
      <c r="C3260" t="s">
        <v>56</v>
      </c>
      <c r="D3260" s="1">
        <v>45774</v>
      </c>
      <c r="E3260" t="s">
        <v>4129</v>
      </c>
      <c r="F3260" t="s">
        <v>4125</v>
      </c>
    </row>
    <row r="3261" spans="1:6">
      <c r="A3261" t="s">
        <v>7390</v>
      </c>
      <c r="B3261" t="s">
        <v>1401</v>
      </c>
      <c r="C3261" t="s">
        <v>56</v>
      </c>
      <c r="D3261" s="1">
        <v>45741</v>
      </c>
      <c r="E3261" t="s">
        <v>4124</v>
      </c>
      <c r="F3261" t="s">
        <v>4139</v>
      </c>
    </row>
    <row r="3262" spans="1:6">
      <c r="A3262" t="s">
        <v>7391</v>
      </c>
      <c r="B3262" t="s">
        <v>1401</v>
      </c>
      <c r="C3262" t="s">
        <v>56</v>
      </c>
      <c r="D3262" s="1">
        <v>45765</v>
      </c>
      <c r="E3262" t="s">
        <v>4127</v>
      </c>
      <c r="F3262" t="s">
        <v>4137</v>
      </c>
    </row>
    <row r="3263" spans="1:6">
      <c r="A3263" t="s">
        <v>7392</v>
      </c>
      <c r="B3263" t="s">
        <v>1402</v>
      </c>
      <c r="C3263" t="s">
        <v>27</v>
      </c>
      <c r="D3263" s="1">
        <v>45968</v>
      </c>
      <c r="E3263" t="s">
        <v>4129</v>
      </c>
      <c r="F3263" t="s">
        <v>4139</v>
      </c>
    </row>
    <row r="3264" spans="1:6">
      <c r="A3264" t="s">
        <v>7393</v>
      </c>
      <c r="B3264" t="s">
        <v>1402</v>
      </c>
      <c r="C3264" t="s">
        <v>27</v>
      </c>
      <c r="D3264" s="1">
        <v>45941</v>
      </c>
      <c r="E3264" t="s">
        <v>4129</v>
      </c>
      <c r="F3264" t="s">
        <v>4139</v>
      </c>
    </row>
    <row r="3265" spans="1:6">
      <c r="A3265" t="s">
        <v>7394</v>
      </c>
      <c r="B3265" t="s">
        <v>1402</v>
      </c>
      <c r="C3265" t="s">
        <v>27</v>
      </c>
      <c r="D3265" s="1">
        <v>45949</v>
      </c>
      <c r="E3265" t="s">
        <v>4127</v>
      </c>
      <c r="F3265" t="s">
        <v>4137</v>
      </c>
    </row>
    <row r="3266" spans="1:6">
      <c r="A3266" t="s">
        <v>7395</v>
      </c>
      <c r="B3266" t="s">
        <v>1402</v>
      </c>
      <c r="C3266" t="s">
        <v>27</v>
      </c>
      <c r="D3266" s="1">
        <v>45941</v>
      </c>
      <c r="E3266" t="s">
        <v>4129</v>
      </c>
      <c r="F3266" t="s">
        <v>4139</v>
      </c>
    </row>
    <row r="3267" spans="1:6">
      <c r="A3267" t="s">
        <v>7396</v>
      </c>
      <c r="B3267" t="s">
        <v>1404</v>
      </c>
      <c r="C3267" t="s">
        <v>53</v>
      </c>
      <c r="D3267" s="1">
        <v>45700</v>
      </c>
      <c r="E3267" t="s">
        <v>4135</v>
      </c>
      <c r="F3267" t="s">
        <v>4139</v>
      </c>
    </row>
    <row r="3268" spans="1:6">
      <c r="A3268" t="s">
        <v>7397</v>
      </c>
      <c r="B3268" t="s">
        <v>1404</v>
      </c>
      <c r="C3268" t="s">
        <v>53</v>
      </c>
      <c r="D3268" s="1">
        <v>45707</v>
      </c>
      <c r="E3268" t="s">
        <v>4124</v>
      </c>
      <c r="F3268" t="s">
        <v>4139</v>
      </c>
    </row>
    <row r="3269" spans="1:6">
      <c r="A3269" t="s">
        <v>7398</v>
      </c>
      <c r="B3269" t="s">
        <v>1404</v>
      </c>
      <c r="C3269" t="s">
        <v>53</v>
      </c>
      <c r="D3269" s="1">
        <v>45722</v>
      </c>
      <c r="E3269" t="s">
        <v>4135</v>
      </c>
      <c r="F3269" t="s">
        <v>4125</v>
      </c>
    </row>
    <row r="3270" spans="1:6">
      <c r="A3270" t="s">
        <v>7399</v>
      </c>
      <c r="B3270" t="s">
        <v>1404</v>
      </c>
      <c r="C3270" t="s">
        <v>53</v>
      </c>
      <c r="D3270" s="1">
        <v>45710</v>
      </c>
      <c r="E3270" t="s">
        <v>4127</v>
      </c>
      <c r="F3270" t="s">
        <v>4139</v>
      </c>
    </row>
    <row r="3271" spans="1:6">
      <c r="A3271" t="s">
        <v>7400</v>
      </c>
      <c r="B3271" t="s">
        <v>1404</v>
      </c>
      <c r="C3271" t="s">
        <v>53</v>
      </c>
      <c r="D3271" s="1">
        <v>45693</v>
      </c>
      <c r="E3271" t="s">
        <v>4133</v>
      </c>
      <c r="F3271" t="s">
        <v>4137</v>
      </c>
    </row>
    <row r="3272" spans="1:6">
      <c r="A3272" t="s">
        <v>7401</v>
      </c>
      <c r="B3272" t="s">
        <v>1406</v>
      </c>
      <c r="C3272" t="s">
        <v>119</v>
      </c>
      <c r="D3272" s="1">
        <v>45777</v>
      </c>
      <c r="E3272" t="s">
        <v>4133</v>
      </c>
      <c r="F3272" t="s">
        <v>4137</v>
      </c>
    </row>
    <row r="3273" spans="1:6">
      <c r="A3273" t="s">
        <v>7402</v>
      </c>
      <c r="B3273" t="s">
        <v>1406</v>
      </c>
      <c r="C3273" t="s">
        <v>119</v>
      </c>
      <c r="D3273" s="1">
        <v>45785</v>
      </c>
      <c r="E3273" t="s">
        <v>4127</v>
      </c>
      <c r="F3273" t="s">
        <v>4139</v>
      </c>
    </row>
    <row r="3274" spans="1:6">
      <c r="A3274" t="s">
        <v>7403</v>
      </c>
      <c r="B3274" t="s">
        <v>1406</v>
      </c>
      <c r="C3274" t="s">
        <v>119</v>
      </c>
      <c r="D3274" s="1">
        <v>45781</v>
      </c>
      <c r="E3274" t="s">
        <v>4133</v>
      </c>
      <c r="F3274" t="s">
        <v>4139</v>
      </c>
    </row>
    <row r="3275" spans="1:6">
      <c r="A3275" t="s">
        <v>7404</v>
      </c>
      <c r="B3275" t="s">
        <v>1407</v>
      </c>
      <c r="C3275" t="s">
        <v>119</v>
      </c>
      <c r="D3275" s="1">
        <v>45999</v>
      </c>
      <c r="E3275" t="s">
        <v>4124</v>
      </c>
      <c r="F3275" t="s">
        <v>4139</v>
      </c>
    </row>
    <row r="3276" spans="1:6">
      <c r="A3276" t="s">
        <v>7405</v>
      </c>
      <c r="B3276" t="s">
        <v>1407</v>
      </c>
      <c r="C3276" t="s">
        <v>119</v>
      </c>
      <c r="D3276" s="1">
        <v>45999</v>
      </c>
      <c r="E3276" t="s">
        <v>4133</v>
      </c>
      <c r="F3276" t="s">
        <v>4137</v>
      </c>
    </row>
    <row r="3277" spans="1:6">
      <c r="A3277" t="s">
        <v>7406</v>
      </c>
      <c r="B3277" t="s">
        <v>1407</v>
      </c>
      <c r="C3277" t="s">
        <v>119</v>
      </c>
      <c r="D3277" s="1">
        <v>45988</v>
      </c>
      <c r="E3277" t="s">
        <v>4124</v>
      </c>
      <c r="F3277" t="s">
        <v>4139</v>
      </c>
    </row>
    <row r="3278" spans="1:6">
      <c r="A3278" t="s">
        <v>7407</v>
      </c>
      <c r="B3278" t="s">
        <v>1409</v>
      </c>
      <c r="C3278" t="s">
        <v>40</v>
      </c>
      <c r="D3278" s="1">
        <v>45779</v>
      </c>
      <c r="E3278" t="s">
        <v>4133</v>
      </c>
      <c r="F3278" t="s">
        <v>4137</v>
      </c>
    </row>
    <row r="3279" spans="1:6">
      <c r="A3279" t="s">
        <v>7408</v>
      </c>
      <c r="B3279" t="s">
        <v>1409</v>
      </c>
      <c r="C3279" t="s">
        <v>40</v>
      </c>
      <c r="D3279" s="1">
        <v>45783</v>
      </c>
      <c r="E3279" t="s">
        <v>4124</v>
      </c>
      <c r="F3279" t="s">
        <v>4125</v>
      </c>
    </row>
    <row r="3280" spans="1:6">
      <c r="A3280" t="s">
        <v>7409</v>
      </c>
      <c r="B3280" t="s">
        <v>1409</v>
      </c>
      <c r="C3280" t="s">
        <v>40</v>
      </c>
      <c r="D3280" s="1">
        <v>45814</v>
      </c>
      <c r="E3280" t="s">
        <v>4133</v>
      </c>
      <c r="F3280" t="s">
        <v>4139</v>
      </c>
    </row>
    <row r="3281" spans="1:6">
      <c r="A3281" t="s">
        <v>7410</v>
      </c>
      <c r="B3281" t="s">
        <v>1410</v>
      </c>
      <c r="C3281" t="s">
        <v>91</v>
      </c>
      <c r="D3281" s="1">
        <v>46021</v>
      </c>
      <c r="E3281" t="s">
        <v>4127</v>
      </c>
      <c r="F3281" t="s">
        <v>4139</v>
      </c>
    </row>
    <row r="3282" spans="1:6">
      <c r="A3282" t="s">
        <v>7411</v>
      </c>
      <c r="B3282" t="s">
        <v>1410</v>
      </c>
      <c r="C3282" t="s">
        <v>91</v>
      </c>
      <c r="D3282" s="1">
        <v>46022</v>
      </c>
      <c r="E3282" t="s">
        <v>4135</v>
      </c>
      <c r="F3282" t="s">
        <v>4125</v>
      </c>
    </row>
    <row r="3283" spans="1:6">
      <c r="A3283" t="s">
        <v>7412</v>
      </c>
      <c r="B3283" t="s">
        <v>1410</v>
      </c>
      <c r="C3283" t="s">
        <v>91</v>
      </c>
      <c r="D3283" s="1">
        <v>46020</v>
      </c>
      <c r="E3283" t="s">
        <v>4124</v>
      </c>
      <c r="F3283" t="s">
        <v>4137</v>
      </c>
    </row>
    <row r="3284" spans="1:6">
      <c r="A3284" t="s">
        <v>7413</v>
      </c>
      <c r="B3284" t="s">
        <v>1410</v>
      </c>
      <c r="C3284" t="s">
        <v>91</v>
      </c>
      <c r="D3284" s="1">
        <v>46020</v>
      </c>
      <c r="E3284" t="s">
        <v>4129</v>
      </c>
      <c r="F3284" t="s">
        <v>4125</v>
      </c>
    </row>
    <row r="3285" spans="1:6">
      <c r="A3285" t="s">
        <v>7414</v>
      </c>
      <c r="B3285" t="s">
        <v>1411</v>
      </c>
      <c r="C3285" t="s">
        <v>91</v>
      </c>
      <c r="D3285" s="1">
        <v>45755</v>
      </c>
      <c r="E3285" t="s">
        <v>4135</v>
      </c>
      <c r="F3285" t="s">
        <v>4137</v>
      </c>
    </row>
    <row r="3286" spans="1:6">
      <c r="A3286" t="s">
        <v>7415</v>
      </c>
      <c r="B3286" t="s">
        <v>1411</v>
      </c>
      <c r="C3286" t="s">
        <v>91</v>
      </c>
      <c r="D3286" s="1">
        <v>45759</v>
      </c>
      <c r="E3286" t="s">
        <v>4133</v>
      </c>
      <c r="F3286" t="s">
        <v>4139</v>
      </c>
    </row>
    <row r="3287" spans="1:6">
      <c r="A3287" t="s">
        <v>7416</v>
      </c>
      <c r="B3287" t="s">
        <v>1411</v>
      </c>
      <c r="C3287" t="s">
        <v>91</v>
      </c>
      <c r="D3287" s="1">
        <v>45729</v>
      </c>
      <c r="E3287" t="s">
        <v>4133</v>
      </c>
      <c r="F3287" t="s">
        <v>4137</v>
      </c>
    </row>
    <row r="3288" spans="1:6">
      <c r="A3288" t="s">
        <v>7417</v>
      </c>
      <c r="B3288" t="s">
        <v>1412</v>
      </c>
      <c r="C3288" t="s">
        <v>168</v>
      </c>
      <c r="D3288" s="1">
        <v>45897</v>
      </c>
      <c r="E3288" t="s">
        <v>4127</v>
      </c>
      <c r="F3288" t="s">
        <v>4139</v>
      </c>
    </row>
    <row r="3289" spans="1:6">
      <c r="A3289" t="s">
        <v>7418</v>
      </c>
      <c r="B3289" t="s">
        <v>1412</v>
      </c>
      <c r="C3289" t="s">
        <v>168</v>
      </c>
      <c r="D3289" s="1">
        <v>45884</v>
      </c>
      <c r="E3289" t="s">
        <v>4124</v>
      </c>
      <c r="F3289" t="s">
        <v>4137</v>
      </c>
    </row>
    <row r="3290" spans="1:6">
      <c r="A3290" t="s">
        <v>7419</v>
      </c>
      <c r="B3290" t="s">
        <v>1413</v>
      </c>
      <c r="C3290" t="s">
        <v>152</v>
      </c>
      <c r="D3290" s="1">
        <v>45742</v>
      </c>
      <c r="E3290" t="s">
        <v>4135</v>
      </c>
      <c r="F3290" t="s">
        <v>4125</v>
      </c>
    </row>
    <row r="3291" spans="1:6">
      <c r="A3291" t="s">
        <v>7420</v>
      </c>
      <c r="B3291" t="s">
        <v>1413</v>
      </c>
      <c r="C3291" t="s">
        <v>152</v>
      </c>
      <c r="D3291" s="1">
        <v>45743</v>
      </c>
      <c r="E3291" t="s">
        <v>4135</v>
      </c>
      <c r="F3291" t="s">
        <v>4125</v>
      </c>
    </row>
    <row r="3292" spans="1:6">
      <c r="A3292" t="s">
        <v>7421</v>
      </c>
      <c r="B3292" t="s">
        <v>1413</v>
      </c>
      <c r="C3292" t="s">
        <v>152</v>
      </c>
      <c r="D3292" s="1">
        <v>45739</v>
      </c>
      <c r="E3292" t="s">
        <v>4127</v>
      </c>
      <c r="F3292" t="s">
        <v>4125</v>
      </c>
    </row>
    <row r="3293" spans="1:6">
      <c r="A3293" t="s">
        <v>7422</v>
      </c>
      <c r="B3293" t="s">
        <v>1413</v>
      </c>
      <c r="C3293" t="s">
        <v>152</v>
      </c>
      <c r="D3293" s="1">
        <v>45743</v>
      </c>
      <c r="E3293" t="s">
        <v>4135</v>
      </c>
      <c r="F3293" t="s">
        <v>4125</v>
      </c>
    </row>
    <row r="3294" spans="1:6">
      <c r="A3294" t="s">
        <v>7423</v>
      </c>
      <c r="B3294" t="s">
        <v>1413</v>
      </c>
      <c r="C3294" t="s">
        <v>152</v>
      </c>
      <c r="D3294" s="1">
        <v>45739</v>
      </c>
      <c r="E3294" t="s">
        <v>4135</v>
      </c>
      <c r="F3294" t="s">
        <v>4137</v>
      </c>
    </row>
    <row r="3295" spans="1:6">
      <c r="A3295" t="s">
        <v>7424</v>
      </c>
      <c r="B3295" t="s">
        <v>1414</v>
      </c>
      <c r="C3295" t="s">
        <v>59</v>
      </c>
      <c r="D3295" s="1">
        <v>46001</v>
      </c>
      <c r="E3295" t="s">
        <v>4133</v>
      </c>
      <c r="F3295" t="s">
        <v>4137</v>
      </c>
    </row>
    <row r="3296" spans="1:6">
      <c r="A3296" t="s">
        <v>7425</v>
      </c>
      <c r="B3296" t="s">
        <v>1414</v>
      </c>
      <c r="C3296" t="s">
        <v>59</v>
      </c>
      <c r="D3296" s="1">
        <v>46008</v>
      </c>
      <c r="E3296" t="s">
        <v>4127</v>
      </c>
      <c r="F3296" t="s">
        <v>4125</v>
      </c>
    </row>
    <row r="3297" spans="1:6">
      <c r="A3297" t="s">
        <v>7426</v>
      </c>
      <c r="B3297" t="s">
        <v>1414</v>
      </c>
      <c r="C3297" t="s">
        <v>59</v>
      </c>
      <c r="D3297" s="1">
        <v>45983</v>
      </c>
      <c r="E3297" t="s">
        <v>4124</v>
      </c>
      <c r="F3297" t="s">
        <v>4137</v>
      </c>
    </row>
    <row r="3298" spans="1:6">
      <c r="A3298" t="s">
        <v>7427</v>
      </c>
      <c r="B3298" t="s">
        <v>1414</v>
      </c>
      <c r="C3298" t="s">
        <v>59</v>
      </c>
      <c r="D3298" s="1">
        <v>46008</v>
      </c>
      <c r="E3298" t="s">
        <v>4129</v>
      </c>
      <c r="F3298" t="s">
        <v>4137</v>
      </c>
    </row>
    <row r="3299" spans="1:6">
      <c r="A3299" t="s">
        <v>7428</v>
      </c>
      <c r="B3299" t="s">
        <v>1416</v>
      </c>
      <c r="C3299" t="s">
        <v>40</v>
      </c>
      <c r="D3299" s="1">
        <v>45902</v>
      </c>
      <c r="E3299" t="s">
        <v>4133</v>
      </c>
      <c r="F3299" t="s">
        <v>4139</v>
      </c>
    </row>
    <row r="3300" spans="1:6">
      <c r="A3300" t="s">
        <v>7429</v>
      </c>
      <c r="B3300" t="s">
        <v>1416</v>
      </c>
      <c r="C3300" t="s">
        <v>40</v>
      </c>
      <c r="D3300" s="1">
        <v>45924</v>
      </c>
      <c r="E3300" t="s">
        <v>4127</v>
      </c>
      <c r="F3300" t="s">
        <v>4125</v>
      </c>
    </row>
    <row r="3301" spans="1:6">
      <c r="A3301" t="s">
        <v>7430</v>
      </c>
      <c r="B3301" t="s">
        <v>1416</v>
      </c>
      <c r="C3301" t="s">
        <v>40</v>
      </c>
      <c r="D3301" s="1">
        <v>45864</v>
      </c>
      <c r="E3301" t="s">
        <v>4129</v>
      </c>
      <c r="F3301" t="s">
        <v>4139</v>
      </c>
    </row>
    <row r="3302" spans="1:6">
      <c r="A3302" t="s">
        <v>7431</v>
      </c>
      <c r="B3302" t="s">
        <v>1416</v>
      </c>
      <c r="C3302" t="s">
        <v>40</v>
      </c>
      <c r="D3302" s="1">
        <v>45890</v>
      </c>
      <c r="E3302" t="s">
        <v>4133</v>
      </c>
      <c r="F3302" t="s">
        <v>4139</v>
      </c>
    </row>
    <row r="3303" spans="1:6">
      <c r="A3303" t="s">
        <v>7432</v>
      </c>
      <c r="B3303" t="s">
        <v>1417</v>
      </c>
      <c r="C3303" t="s">
        <v>56</v>
      </c>
      <c r="D3303" s="1">
        <v>45862</v>
      </c>
      <c r="E3303" t="s">
        <v>4133</v>
      </c>
      <c r="F3303" t="s">
        <v>4125</v>
      </c>
    </row>
    <row r="3304" spans="1:6">
      <c r="A3304" t="s">
        <v>7433</v>
      </c>
      <c r="B3304" t="s">
        <v>1417</v>
      </c>
      <c r="C3304" t="s">
        <v>56</v>
      </c>
      <c r="D3304" s="1">
        <v>45858</v>
      </c>
      <c r="E3304" t="s">
        <v>4135</v>
      </c>
      <c r="F3304" t="s">
        <v>4125</v>
      </c>
    </row>
    <row r="3305" spans="1:6">
      <c r="A3305" t="s">
        <v>7434</v>
      </c>
      <c r="B3305" t="s">
        <v>1417</v>
      </c>
      <c r="C3305" t="s">
        <v>56</v>
      </c>
      <c r="D3305" s="1">
        <v>45856</v>
      </c>
      <c r="E3305" t="s">
        <v>4124</v>
      </c>
      <c r="F3305" t="s">
        <v>4125</v>
      </c>
    </row>
    <row r="3306" spans="1:6">
      <c r="A3306" t="s">
        <v>7435</v>
      </c>
      <c r="B3306" t="s">
        <v>1417</v>
      </c>
      <c r="C3306" t="s">
        <v>56</v>
      </c>
      <c r="D3306" s="1">
        <v>45865</v>
      </c>
      <c r="E3306" t="s">
        <v>4127</v>
      </c>
      <c r="F3306" t="s">
        <v>4139</v>
      </c>
    </row>
    <row r="3307" spans="1:6">
      <c r="A3307" t="s">
        <v>7436</v>
      </c>
      <c r="B3307" t="s">
        <v>1417</v>
      </c>
      <c r="C3307" t="s">
        <v>56</v>
      </c>
      <c r="D3307" s="1">
        <v>45861</v>
      </c>
      <c r="E3307" t="s">
        <v>4127</v>
      </c>
      <c r="F3307" t="s">
        <v>4125</v>
      </c>
    </row>
    <row r="3308" spans="1:6">
      <c r="A3308" t="s">
        <v>7437</v>
      </c>
      <c r="B3308" t="s">
        <v>1418</v>
      </c>
      <c r="C3308" t="s">
        <v>78</v>
      </c>
      <c r="D3308" s="1">
        <v>45659</v>
      </c>
      <c r="E3308" t="s">
        <v>4133</v>
      </c>
      <c r="F3308" t="s">
        <v>4139</v>
      </c>
    </row>
    <row r="3309" spans="1:6">
      <c r="A3309" t="s">
        <v>7438</v>
      </c>
      <c r="B3309" t="s">
        <v>1418</v>
      </c>
      <c r="C3309" t="s">
        <v>78</v>
      </c>
      <c r="D3309" s="1">
        <v>45671</v>
      </c>
      <c r="E3309" t="s">
        <v>4133</v>
      </c>
      <c r="F3309" t="s">
        <v>4139</v>
      </c>
    </row>
    <row r="3310" spans="1:6">
      <c r="A3310" t="s">
        <v>7439</v>
      </c>
      <c r="B3310" t="s">
        <v>1418</v>
      </c>
      <c r="C3310" t="s">
        <v>78</v>
      </c>
      <c r="D3310" s="1">
        <v>45668</v>
      </c>
      <c r="E3310" t="s">
        <v>4133</v>
      </c>
      <c r="F3310" t="s">
        <v>4137</v>
      </c>
    </row>
    <row r="3311" spans="1:6">
      <c r="A3311" t="s">
        <v>7440</v>
      </c>
      <c r="B3311" t="s">
        <v>1418</v>
      </c>
      <c r="C3311" t="s">
        <v>78</v>
      </c>
      <c r="D3311" s="1">
        <v>45664</v>
      </c>
      <c r="E3311" t="s">
        <v>4135</v>
      </c>
      <c r="F3311" t="s">
        <v>4137</v>
      </c>
    </row>
    <row r="3312" spans="1:6">
      <c r="A3312" t="s">
        <v>7441</v>
      </c>
      <c r="B3312" t="s">
        <v>1419</v>
      </c>
      <c r="C3312" t="s">
        <v>56</v>
      </c>
      <c r="D3312" s="1">
        <v>45796</v>
      </c>
      <c r="E3312" t="s">
        <v>4124</v>
      </c>
      <c r="F3312" t="s">
        <v>4125</v>
      </c>
    </row>
    <row r="3313" spans="1:6">
      <c r="A3313" t="s">
        <v>7442</v>
      </c>
      <c r="B3313" t="s">
        <v>1419</v>
      </c>
      <c r="C3313" t="s">
        <v>56</v>
      </c>
      <c r="D3313" s="1">
        <v>45802</v>
      </c>
      <c r="E3313" t="s">
        <v>4135</v>
      </c>
      <c r="F3313" t="s">
        <v>4137</v>
      </c>
    </row>
    <row r="3314" spans="1:6">
      <c r="A3314" t="s">
        <v>7443</v>
      </c>
      <c r="B3314" t="s">
        <v>1419</v>
      </c>
      <c r="C3314" t="s">
        <v>56</v>
      </c>
      <c r="D3314" s="1">
        <v>45828</v>
      </c>
      <c r="E3314" t="s">
        <v>4129</v>
      </c>
      <c r="F3314" t="s">
        <v>4139</v>
      </c>
    </row>
    <row r="3315" spans="1:6">
      <c r="A3315" t="s">
        <v>7444</v>
      </c>
      <c r="B3315" t="s">
        <v>1419</v>
      </c>
      <c r="C3315" t="s">
        <v>56</v>
      </c>
      <c r="D3315" s="1">
        <v>45812</v>
      </c>
      <c r="E3315" t="s">
        <v>4129</v>
      </c>
      <c r="F3315" t="s">
        <v>4125</v>
      </c>
    </row>
    <row r="3316" spans="1:6">
      <c r="A3316" t="s">
        <v>7445</v>
      </c>
      <c r="B3316" t="s">
        <v>1419</v>
      </c>
      <c r="C3316" t="s">
        <v>56</v>
      </c>
      <c r="D3316" s="1">
        <v>45813</v>
      </c>
      <c r="E3316" t="s">
        <v>4133</v>
      </c>
      <c r="F3316" t="s">
        <v>4139</v>
      </c>
    </row>
    <row r="3317" spans="1:6">
      <c r="A3317" t="s">
        <v>7446</v>
      </c>
      <c r="B3317" t="s">
        <v>1421</v>
      </c>
      <c r="C3317" t="s">
        <v>53</v>
      </c>
      <c r="D3317" s="1">
        <v>45675</v>
      </c>
      <c r="E3317" t="s">
        <v>4129</v>
      </c>
      <c r="F3317" t="s">
        <v>4139</v>
      </c>
    </row>
    <row r="3318" spans="1:6">
      <c r="A3318" t="s">
        <v>7447</v>
      </c>
      <c r="B3318" t="s">
        <v>1421</v>
      </c>
      <c r="C3318" t="s">
        <v>53</v>
      </c>
      <c r="D3318" s="1">
        <v>45662</v>
      </c>
      <c r="E3318" t="s">
        <v>4127</v>
      </c>
      <c r="F3318" t="s">
        <v>4137</v>
      </c>
    </row>
    <row r="3319" spans="1:6">
      <c r="A3319" t="s">
        <v>7448</v>
      </c>
      <c r="B3319" t="s">
        <v>1422</v>
      </c>
      <c r="C3319" t="s">
        <v>168</v>
      </c>
      <c r="D3319" s="1">
        <v>45957</v>
      </c>
      <c r="E3319" t="s">
        <v>4129</v>
      </c>
      <c r="F3319" t="s">
        <v>4139</v>
      </c>
    </row>
    <row r="3320" spans="1:6">
      <c r="A3320" t="s">
        <v>7449</v>
      </c>
      <c r="B3320" t="s">
        <v>1422</v>
      </c>
      <c r="C3320" t="s">
        <v>168</v>
      </c>
      <c r="D3320" s="1">
        <v>45905</v>
      </c>
      <c r="E3320" t="s">
        <v>4127</v>
      </c>
      <c r="F3320" t="s">
        <v>4125</v>
      </c>
    </row>
    <row r="3321" spans="1:6">
      <c r="A3321" t="s">
        <v>7450</v>
      </c>
      <c r="B3321" t="s">
        <v>1422</v>
      </c>
      <c r="C3321" t="s">
        <v>168</v>
      </c>
      <c r="D3321" s="1">
        <v>45955</v>
      </c>
      <c r="E3321" t="s">
        <v>4135</v>
      </c>
      <c r="F3321" t="s">
        <v>4125</v>
      </c>
    </row>
    <row r="3322" spans="1:6">
      <c r="A3322" t="s">
        <v>7451</v>
      </c>
      <c r="B3322" t="s">
        <v>1422</v>
      </c>
      <c r="C3322" t="s">
        <v>168</v>
      </c>
      <c r="D3322" s="1">
        <v>45922</v>
      </c>
      <c r="E3322" t="s">
        <v>4127</v>
      </c>
      <c r="F3322" t="s">
        <v>4139</v>
      </c>
    </row>
    <row r="3323" spans="1:6">
      <c r="A3323" t="s">
        <v>7452</v>
      </c>
      <c r="B3323" t="s">
        <v>1423</v>
      </c>
      <c r="C3323" t="s">
        <v>56</v>
      </c>
      <c r="D3323" s="1">
        <v>45858</v>
      </c>
      <c r="E3323" t="s">
        <v>4124</v>
      </c>
      <c r="F3323" t="s">
        <v>4125</v>
      </c>
    </row>
    <row r="3324" spans="1:6">
      <c r="A3324" t="s">
        <v>7453</v>
      </c>
      <c r="B3324" t="s">
        <v>1423</v>
      </c>
      <c r="C3324" t="s">
        <v>56</v>
      </c>
      <c r="D3324" s="1">
        <v>45868</v>
      </c>
      <c r="E3324" t="s">
        <v>4133</v>
      </c>
      <c r="F3324" t="s">
        <v>4125</v>
      </c>
    </row>
    <row r="3325" spans="1:6">
      <c r="A3325" t="s">
        <v>7454</v>
      </c>
      <c r="B3325" t="s">
        <v>1424</v>
      </c>
      <c r="C3325" t="s">
        <v>50</v>
      </c>
      <c r="D3325" s="1">
        <v>45938</v>
      </c>
      <c r="E3325" t="s">
        <v>4127</v>
      </c>
      <c r="F3325" t="s">
        <v>4139</v>
      </c>
    </row>
    <row r="3326" spans="1:6">
      <c r="A3326" t="s">
        <v>7455</v>
      </c>
      <c r="B3326" t="s">
        <v>1424</v>
      </c>
      <c r="C3326" t="s">
        <v>50</v>
      </c>
      <c r="D3326" s="1">
        <v>45907</v>
      </c>
      <c r="E3326" t="s">
        <v>4124</v>
      </c>
      <c r="F3326" t="s">
        <v>4125</v>
      </c>
    </row>
    <row r="3327" spans="1:6">
      <c r="A3327" t="s">
        <v>7456</v>
      </c>
      <c r="B3327" t="s">
        <v>1424</v>
      </c>
      <c r="C3327" t="s">
        <v>50</v>
      </c>
      <c r="D3327" s="1">
        <v>45911</v>
      </c>
      <c r="E3327" t="s">
        <v>4135</v>
      </c>
      <c r="F3327" t="s">
        <v>4125</v>
      </c>
    </row>
    <row r="3328" spans="1:6">
      <c r="A3328" t="s">
        <v>7457</v>
      </c>
      <c r="B3328" t="s">
        <v>1424</v>
      </c>
      <c r="C3328" t="s">
        <v>50</v>
      </c>
      <c r="D3328" s="1">
        <v>45904</v>
      </c>
      <c r="E3328" t="s">
        <v>4135</v>
      </c>
      <c r="F3328" t="s">
        <v>4125</v>
      </c>
    </row>
    <row r="3329" spans="1:6">
      <c r="A3329" t="s">
        <v>7458</v>
      </c>
      <c r="B3329" t="s">
        <v>1424</v>
      </c>
      <c r="C3329" t="s">
        <v>50</v>
      </c>
      <c r="D3329" s="1">
        <v>45913</v>
      </c>
      <c r="E3329" t="s">
        <v>4127</v>
      </c>
      <c r="F3329" t="s">
        <v>4125</v>
      </c>
    </row>
    <row r="3330" spans="1:6">
      <c r="A3330" t="s">
        <v>7459</v>
      </c>
      <c r="B3330" t="s">
        <v>1425</v>
      </c>
      <c r="C3330" t="s">
        <v>168</v>
      </c>
      <c r="D3330" s="1">
        <v>45709</v>
      </c>
      <c r="E3330" t="s">
        <v>4133</v>
      </c>
      <c r="F3330" t="s">
        <v>4139</v>
      </c>
    </row>
    <row r="3331" spans="1:6">
      <c r="A3331" t="s">
        <v>7460</v>
      </c>
      <c r="B3331" t="s">
        <v>1425</v>
      </c>
      <c r="C3331" t="s">
        <v>168</v>
      </c>
      <c r="D3331" s="1">
        <v>45688</v>
      </c>
      <c r="E3331" t="s">
        <v>4127</v>
      </c>
      <c r="F3331" t="s">
        <v>4139</v>
      </c>
    </row>
    <row r="3332" spans="1:6">
      <c r="A3332" t="s">
        <v>7461</v>
      </c>
      <c r="B3332" t="s">
        <v>1425</v>
      </c>
      <c r="C3332" t="s">
        <v>168</v>
      </c>
      <c r="D3332" s="1">
        <v>45677</v>
      </c>
      <c r="E3332" t="s">
        <v>4124</v>
      </c>
      <c r="F3332" t="s">
        <v>4139</v>
      </c>
    </row>
    <row r="3333" spans="1:6">
      <c r="A3333" t="s">
        <v>7462</v>
      </c>
      <c r="B3333" t="s">
        <v>1425</v>
      </c>
      <c r="C3333" t="s">
        <v>168</v>
      </c>
      <c r="D3333" s="1">
        <v>45716</v>
      </c>
      <c r="E3333" t="s">
        <v>4127</v>
      </c>
      <c r="F3333" t="s">
        <v>4137</v>
      </c>
    </row>
    <row r="3334" spans="1:6">
      <c r="A3334" t="s">
        <v>7463</v>
      </c>
      <c r="B3334" t="s">
        <v>1426</v>
      </c>
      <c r="C3334" t="s">
        <v>168</v>
      </c>
      <c r="D3334" s="1">
        <v>45877</v>
      </c>
      <c r="E3334" t="s">
        <v>4135</v>
      </c>
      <c r="F3334" t="s">
        <v>4139</v>
      </c>
    </row>
    <row r="3335" spans="1:6">
      <c r="A3335" t="s">
        <v>7464</v>
      </c>
      <c r="B3335" t="s">
        <v>1426</v>
      </c>
      <c r="C3335" t="s">
        <v>168</v>
      </c>
      <c r="D3335" s="1">
        <v>45832</v>
      </c>
      <c r="E3335" t="s">
        <v>4127</v>
      </c>
      <c r="F3335" t="s">
        <v>4137</v>
      </c>
    </row>
    <row r="3336" spans="1:6">
      <c r="A3336" t="s">
        <v>7465</v>
      </c>
      <c r="B3336" t="s">
        <v>1426</v>
      </c>
      <c r="C3336" t="s">
        <v>168</v>
      </c>
      <c r="D3336" s="1">
        <v>45816</v>
      </c>
      <c r="E3336" t="s">
        <v>4133</v>
      </c>
      <c r="F3336" t="s">
        <v>4139</v>
      </c>
    </row>
    <row r="3337" spans="1:6">
      <c r="A3337" t="s">
        <v>7466</v>
      </c>
      <c r="B3337" t="s">
        <v>1427</v>
      </c>
      <c r="C3337" t="s">
        <v>119</v>
      </c>
      <c r="D3337" s="1">
        <v>45710</v>
      </c>
      <c r="E3337" t="s">
        <v>4127</v>
      </c>
      <c r="F3337" t="s">
        <v>4139</v>
      </c>
    </row>
    <row r="3338" spans="1:6">
      <c r="A3338" t="s">
        <v>7467</v>
      </c>
      <c r="B3338" t="s">
        <v>1427</v>
      </c>
      <c r="C3338" t="s">
        <v>119</v>
      </c>
      <c r="D3338" s="1">
        <v>45678</v>
      </c>
      <c r="E3338" t="s">
        <v>4135</v>
      </c>
      <c r="F3338" t="s">
        <v>4139</v>
      </c>
    </row>
    <row r="3339" spans="1:6">
      <c r="A3339" t="s">
        <v>7468</v>
      </c>
      <c r="B3339" t="s">
        <v>1427</v>
      </c>
      <c r="C3339" t="s">
        <v>119</v>
      </c>
      <c r="D3339" s="1">
        <v>45683</v>
      </c>
      <c r="E3339" t="s">
        <v>4124</v>
      </c>
      <c r="F3339" t="s">
        <v>4137</v>
      </c>
    </row>
    <row r="3340" spans="1:6">
      <c r="A3340" t="s">
        <v>7469</v>
      </c>
      <c r="B3340" t="s">
        <v>1427</v>
      </c>
      <c r="C3340" t="s">
        <v>119</v>
      </c>
      <c r="D3340" s="1">
        <v>45706</v>
      </c>
      <c r="E3340" t="s">
        <v>4135</v>
      </c>
      <c r="F3340" t="s">
        <v>4139</v>
      </c>
    </row>
    <row r="3341" spans="1:6">
      <c r="A3341" t="s">
        <v>7470</v>
      </c>
      <c r="B3341" t="s">
        <v>1427</v>
      </c>
      <c r="C3341" t="s">
        <v>119</v>
      </c>
      <c r="D3341" s="1">
        <v>45717</v>
      </c>
      <c r="E3341" t="s">
        <v>4133</v>
      </c>
      <c r="F3341" t="s">
        <v>4137</v>
      </c>
    </row>
    <row r="3342" spans="1:6">
      <c r="A3342" t="s">
        <v>7471</v>
      </c>
      <c r="B3342" t="s">
        <v>1428</v>
      </c>
      <c r="C3342" t="s">
        <v>40</v>
      </c>
      <c r="D3342" s="1">
        <v>45963</v>
      </c>
      <c r="E3342" t="s">
        <v>4135</v>
      </c>
      <c r="F3342" t="s">
        <v>4139</v>
      </c>
    </row>
    <row r="3343" spans="1:6">
      <c r="A3343" t="s">
        <v>7472</v>
      </c>
      <c r="B3343" t="s">
        <v>1428</v>
      </c>
      <c r="C3343" t="s">
        <v>40</v>
      </c>
      <c r="D3343" s="1">
        <v>45912</v>
      </c>
      <c r="E3343" t="s">
        <v>4129</v>
      </c>
      <c r="F3343" t="s">
        <v>4125</v>
      </c>
    </row>
    <row r="3344" spans="1:6">
      <c r="A3344" t="s">
        <v>7473</v>
      </c>
      <c r="B3344" t="s">
        <v>1428</v>
      </c>
      <c r="C3344" t="s">
        <v>40</v>
      </c>
      <c r="D3344" s="1">
        <v>45966</v>
      </c>
      <c r="E3344" t="s">
        <v>4124</v>
      </c>
      <c r="F3344" t="s">
        <v>4137</v>
      </c>
    </row>
    <row r="3345" spans="1:6">
      <c r="A3345" t="s">
        <v>7474</v>
      </c>
      <c r="B3345" t="s">
        <v>1428</v>
      </c>
      <c r="C3345" t="s">
        <v>40</v>
      </c>
      <c r="D3345" s="1">
        <v>45912</v>
      </c>
      <c r="E3345" t="s">
        <v>4124</v>
      </c>
      <c r="F3345" t="s">
        <v>4139</v>
      </c>
    </row>
    <row r="3346" spans="1:6">
      <c r="A3346" t="s">
        <v>7475</v>
      </c>
      <c r="B3346" t="s">
        <v>1429</v>
      </c>
      <c r="C3346" t="s">
        <v>22</v>
      </c>
      <c r="D3346" s="1">
        <v>46012</v>
      </c>
      <c r="E3346" t="s">
        <v>4129</v>
      </c>
      <c r="F3346" t="s">
        <v>4139</v>
      </c>
    </row>
    <row r="3347" spans="1:6">
      <c r="A3347" t="s">
        <v>7476</v>
      </c>
      <c r="B3347" t="s">
        <v>1429</v>
      </c>
      <c r="C3347" t="s">
        <v>22</v>
      </c>
      <c r="D3347" s="1">
        <v>46003</v>
      </c>
      <c r="E3347" t="s">
        <v>4127</v>
      </c>
      <c r="F3347" t="s">
        <v>4137</v>
      </c>
    </row>
    <row r="3348" spans="1:6">
      <c r="A3348" t="s">
        <v>7477</v>
      </c>
      <c r="B3348" t="s">
        <v>1429</v>
      </c>
      <c r="C3348" t="s">
        <v>22</v>
      </c>
      <c r="D3348" s="1">
        <v>46015</v>
      </c>
      <c r="E3348" t="s">
        <v>4133</v>
      </c>
      <c r="F3348" t="s">
        <v>4125</v>
      </c>
    </row>
    <row r="3349" spans="1:6">
      <c r="A3349" t="s">
        <v>7478</v>
      </c>
      <c r="B3349" t="s">
        <v>1429</v>
      </c>
      <c r="C3349" t="s">
        <v>22</v>
      </c>
      <c r="D3349" s="1">
        <v>46020</v>
      </c>
      <c r="E3349" t="s">
        <v>4135</v>
      </c>
      <c r="F3349" t="s">
        <v>4139</v>
      </c>
    </row>
    <row r="3350" spans="1:6">
      <c r="A3350" t="s">
        <v>7479</v>
      </c>
      <c r="B3350" t="s">
        <v>1430</v>
      </c>
      <c r="C3350" t="s">
        <v>46</v>
      </c>
      <c r="D3350" s="1">
        <v>45710</v>
      </c>
      <c r="E3350" t="s">
        <v>4124</v>
      </c>
      <c r="F3350" t="s">
        <v>4125</v>
      </c>
    </row>
    <row r="3351" spans="1:6">
      <c r="A3351" t="s">
        <v>7480</v>
      </c>
      <c r="B3351" t="s">
        <v>1430</v>
      </c>
      <c r="C3351" t="s">
        <v>46</v>
      </c>
      <c r="D3351" s="1">
        <v>45709</v>
      </c>
      <c r="E3351" t="s">
        <v>4133</v>
      </c>
      <c r="F3351" t="s">
        <v>4125</v>
      </c>
    </row>
    <row r="3352" spans="1:6">
      <c r="A3352" t="s">
        <v>7481</v>
      </c>
      <c r="B3352" t="s">
        <v>1430</v>
      </c>
      <c r="C3352" t="s">
        <v>46</v>
      </c>
      <c r="D3352" s="1">
        <v>45729</v>
      </c>
      <c r="E3352" t="s">
        <v>4129</v>
      </c>
      <c r="F3352" t="s">
        <v>4125</v>
      </c>
    </row>
    <row r="3353" spans="1:6">
      <c r="A3353" t="s">
        <v>7482</v>
      </c>
      <c r="B3353" t="s">
        <v>1431</v>
      </c>
      <c r="C3353" t="s">
        <v>70</v>
      </c>
      <c r="D3353" s="1">
        <v>45884</v>
      </c>
      <c r="E3353" t="s">
        <v>4129</v>
      </c>
      <c r="F3353" t="s">
        <v>4139</v>
      </c>
    </row>
    <row r="3354" spans="1:6">
      <c r="A3354" t="s">
        <v>7483</v>
      </c>
      <c r="B3354" t="s">
        <v>1431</v>
      </c>
      <c r="C3354" t="s">
        <v>70</v>
      </c>
      <c r="D3354" s="1">
        <v>45893</v>
      </c>
      <c r="E3354" t="s">
        <v>4133</v>
      </c>
      <c r="F3354" t="s">
        <v>4139</v>
      </c>
    </row>
    <row r="3355" spans="1:6">
      <c r="A3355" t="s">
        <v>7484</v>
      </c>
      <c r="B3355" t="s">
        <v>1432</v>
      </c>
      <c r="C3355" t="s">
        <v>168</v>
      </c>
      <c r="D3355" s="1">
        <v>45992</v>
      </c>
      <c r="E3355" t="s">
        <v>4135</v>
      </c>
      <c r="F3355" t="s">
        <v>4125</v>
      </c>
    </row>
    <row r="3356" spans="1:6">
      <c r="A3356" t="s">
        <v>7485</v>
      </c>
      <c r="B3356" t="s">
        <v>1432</v>
      </c>
      <c r="C3356" t="s">
        <v>168</v>
      </c>
      <c r="D3356" s="1">
        <v>45944</v>
      </c>
      <c r="E3356" t="s">
        <v>4124</v>
      </c>
      <c r="F3356" t="s">
        <v>4125</v>
      </c>
    </row>
    <row r="3357" spans="1:6">
      <c r="A3357" t="s">
        <v>7486</v>
      </c>
      <c r="B3357" t="s">
        <v>1432</v>
      </c>
      <c r="C3357" t="s">
        <v>168</v>
      </c>
      <c r="D3357" s="1">
        <v>45998</v>
      </c>
      <c r="E3357" t="s">
        <v>4133</v>
      </c>
      <c r="F3357" t="s">
        <v>4125</v>
      </c>
    </row>
    <row r="3358" spans="1:6">
      <c r="A3358" t="s">
        <v>7487</v>
      </c>
      <c r="B3358" t="s">
        <v>1432</v>
      </c>
      <c r="C3358" t="s">
        <v>168</v>
      </c>
      <c r="D3358" s="1">
        <v>45938</v>
      </c>
      <c r="E3358" t="s">
        <v>4127</v>
      </c>
      <c r="F3358" t="s">
        <v>4139</v>
      </c>
    </row>
    <row r="3359" spans="1:6">
      <c r="A3359" t="s">
        <v>7488</v>
      </c>
      <c r="B3359" t="s">
        <v>1432</v>
      </c>
      <c r="C3359" t="s">
        <v>168</v>
      </c>
      <c r="D3359" s="1">
        <v>45993</v>
      </c>
      <c r="E3359" t="s">
        <v>4129</v>
      </c>
      <c r="F3359" t="s">
        <v>4125</v>
      </c>
    </row>
    <row r="3360" spans="1:6">
      <c r="A3360" t="s">
        <v>7489</v>
      </c>
      <c r="B3360" t="s">
        <v>1433</v>
      </c>
      <c r="C3360" t="s">
        <v>46</v>
      </c>
      <c r="D3360" s="1">
        <v>46003</v>
      </c>
      <c r="E3360" t="s">
        <v>4127</v>
      </c>
      <c r="F3360" t="s">
        <v>4137</v>
      </c>
    </row>
    <row r="3361" spans="1:6">
      <c r="A3361" t="s">
        <v>7490</v>
      </c>
      <c r="B3361" t="s">
        <v>1433</v>
      </c>
      <c r="C3361" t="s">
        <v>46</v>
      </c>
      <c r="D3361" s="1">
        <v>45977</v>
      </c>
      <c r="E3361" t="s">
        <v>4133</v>
      </c>
      <c r="F3361" t="s">
        <v>4125</v>
      </c>
    </row>
    <row r="3362" spans="1:6">
      <c r="A3362" t="s">
        <v>7491</v>
      </c>
      <c r="B3362" t="s">
        <v>1433</v>
      </c>
      <c r="C3362" t="s">
        <v>46</v>
      </c>
      <c r="D3362" s="1">
        <v>45950</v>
      </c>
      <c r="E3362" t="s">
        <v>4129</v>
      </c>
      <c r="F3362" t="s">
        <v>4139</v>
      </c>
    </row>
    <row r="3363" spans="1:6">
      <c r="A3363" t="s">
        <v>7492</v>
      </c>
      <c r="B3363" t="s">
        <v>1434</v>
      </c>
      <c r="C3363" t="s">
        <v>59</v>
      </c>
      <c r="D3363" s="1">
        <v>45761</v>
      </c>
      <c r="E3363" t="s">
        <v>4135</v>
      </c>
      <c r="F3363" t="s">
        <v>4139</v>
      </c>
    </row>
    <row r="3364" spans="1:6">
      <c r="A3364" t="s">
        <v>7493</v>
      </c>
      <c r="B3364" t="s">
        <v>1434</v>
      </c>
      <c r="C3364" t="s">
        <v>59</v>
      </c>
      <c r="D3364" s="1">
        <v>45762</v>
      </c>
      <c r="E3364" t="s">
        <v>4135</v>
      </c>
      <c r="F3364" t="s">
        <v>4139</v>
      </c>
    </row>
    <row r="3365" spans="1:6">
      <c r="A3365" t="s">
        <v>7494</v>
      </c>
      <c r="B3365" t="s">
        <v>1434</v>
      </c>
      <c r="C3365" t="s">
        <v>59</v>
      </c>
      <c r="D3365" s="1">
        <v>45749</v>
      </c>
      <c r="E3365" t="s">
        <v>4133</v>
      </c>
      <c r="F3365" t="s">
        <v>4137</v>
      </c>
    </row>
    <row r="3366" spans="1:6">
      <c r="A3366" t="s">
        <v>7495</v>
      </c>
      <c r="B3366" t="s">
        <v>1435</v>
      </c>
      <c r="C3366" t="s">
        <v>16</v>
      </c>
      <c r="D3366" s="1">
        <v>46004</v>
      </c>
      <c r="E3366" t="s">
        <v>4129</v>
      </c>
      <c r="F3366" t="s">
        <v>4125</v>
      </c>
    </row>
    <row r="3367" spans="1:6">
      <c r="A3367" t="s">
        <v>7496</v>
      </c>
      <c r="B3367" t="s">
        <v>1435</v>
      </c>
      <c r="C3367" t="s">
        <v>16</v>
      </c>
      <c r="D3367" s="1">
        <v>46015</v>
      </c>
      <c r="E3367" t="s">
        <v>4135</v>
      </c>
      <c r="F3367" t="s">
        <v>4125</v>
      </c>
    </row>
    <row r="3368" spans="1:6">
      <c r="A3368" t="s">
        <v>7497</v>
      </c>
      <c r="B3368" t="s">
        <v>1435</v>
      </c>
      <c r="C3368" t="s">
        <v>16</v>
      </c>
      <c r="D3368" s="1">
        <v>45993</v>
      </c>
      <c r="E3368" t="s">
        <v>4135</v>
      </c>
      <c r="F3368" t="s">
        <v>4125</v>
      </c>
    </row>
    <row r="3369" spans="1:6">
      <c r="A3369" t="s">
        <v>7498</v>
      </c>
      <c r="B3369" t="s">
        <v>1435</v>
      </c>
      <c r="C3369" t="s">
        <v>16</v>
      </c>
      <c r="D3369" s="1">
        <v>46013</v>
      </c>
      <c r="E3369" t="s">
        <v>4133</v>
      </c>
      <c r="F3369" t="s">
        <v>4139</v>
      </c>
    </row>
    <row r="3370" spans="1:6">
      <c r="A3370" t="s">
        <v>7499</v>
      </c>
      <c r="B3370" t="s">
        <v>1435</v>
      </c>
      <c r="C3370" t="s">
        <v>16</v>
      </c>
      <c r="D3370" s="1">
        <v>45994</v>
      </c>
      <c r="E3370" t="s">
        <v>4135</v>
      </c>
      <c r="F3370" t="s">
        <v>4139</v>
      </c>
    </row>
    <row r="3371" spans="1:6">
      <c r="A3371" t="s">
        <v>7500</v>
      </c>
      <c r="B3371" t="s">
        <v>1436</v>
      </c>
      <c r="C3371" t="s">
        <v>78</v>
      </c>
      <c r="D3371" s="1">
        <v>45792</v>
      </c>
      <c r="E3371" t="s">
        <v>4133</v>
      </c>
      <c r="F3371" t="s">
        <v>4139</v>
      </c>
    </row>
    <row r="3372" spans="1:6">
      <c r="A3372" t="s">
        <v>7501</v>
      </c>
      <c r="B3372" t="s">
        <v>1436</v>
      </c>
      <c r="C3372" t="s">
        <v>78</v>
      </c>
      <c r="D3372" s="1">
        <v>45781</v>
      </c>
      <c r="E3372" t="s">
        <v>4135</v>
      </c>
      <c r="F3372" t="s">
        <v>4139</v>
      </c>
    </row>
    <row r="3373" spans="1:6">
      <c r="A3373" t="s">
        <v>7502</v>
      </c>
      <c r="B3373" t="s">
        <v>1436</v>
      </c>
      <c r="C3373" t="s">
        <v>78</v>
      </c>
      <c r="D3373" s="1">
        <v>45774</v>
      </c>
      <c r="E3373" t="s">
        <v>4129</v>
      </c>
      <c r="F3373" t="s">
        <v>4139</v>
      </c>
    </row>
    <row r="3374" spans="1:6">
      <c r="A3374" t="s">
        <v>7503</v>
      </c>
      <c r="B3374" t="s">
        <v>1437</v>
      </c>
      <c r="C3374" t="s">
        <v>46</v>
      </c>
      <c r="D3374" s="1">
        <v>45894</v>
      </c>
      <c r="E3374" t="s">
        <v>4124</v>
      </c>
      <c r="F3374" t="s">
        <v>4137</v>
      </c>
    </row>
    <row r="3375" spans="1:6">
      <c r="A3375" t="s">
        <v>7504</v>
      </c>
      <c r="B3375" t="s">
        <v>1437</v>
      </c>
      <c r="C3375" t="s">
        <v>46</v>
      </c>
      <c r="D3375" s="1">
        <v>45888</v>
      </c>
      <c r="E3375" t="s">
        <v>4124</v>
      </c>
      <c r="F3375" t="s">
        <v>4125</v>
      </c>
    </row>
    <row r="3376" spans="1:6">
      <c r="A3376" t="s">
        <v>7505</v>
      </c>
      <c r="B3376" t="s">
        <v>1437</v>
      </c>
      <c r="C3376" t="s">
        <v>46</v>
      </c>
      <c r="D3376" s="1">
        <v>45872</v>
      </c>
      <c r="E3376" t="s">
        <v>4129</v>
      </c>
      <c r="F3376" t="s">
        <v>4125</v>
      </c>
    </row>
    <row r="3377" spans="1:6">
      <c r="A3377" t="s">
        <v>7506</v>
      </c>
      <c r="B3377" t="s">
        <v>1438</v>
      </c>
      <c r="C3377" t="s">
        <v>70</v>
      </c>
      <c r="D3377" s="1">
        <v>46015</v>
      </c>
      <c r="E3377" t="s">
        <v>4127</v>
      </c>
      <c r="F3377" t="s">
        <v>4137</v>
      </c>
    </row>
    <row r="3378" spans="1:6">
      <c r="A3378" t="s">
        <v>7507</v>
      </c>
      <c r="B3378" t="s">
        <v>1438</v>
      </c>
      <c r="C3378" t="s">
        <v>70</v>
      </c>
      <c r="D3378" s="1">
        <v>46021</v>
      </c>
      <c r="E3378" t="s">
        <v>4129</v>
      </c>
      <c r="F3378" t="s">
        <v>4139</v>
      </c>
    </row>
    <row r="3379" spans="1:6">
      <c r="A3379" t="s">
        <v>7508</v>
      </c>
      <c r="B3379" t="s">
        <v>1439</v>
      </c>
      <c r="C3379" t="s">
        <v>50</v>
      </c>
      <c r="D3379" s="1">
        <v>45938</v>
      </c>
      <c r="E3379" t="s">
        <v>4124</v>
      </c>
      <c r="F3379" t="s">
        <v>4137</v>
      </c>
    </row>
    <row r="3380" spans="1:6">
      <c r="A3380" t="s">
        <v>7509</v>
      </c>
      <c r="B3380" t="s">
        <v>1439</v>
      </c>
      <c r="C3380" t="s">
        <v>50</v>
      </c>
      <c r="D3380" s="1">
        <v>45931</v>
      </c>
      <c r="E3380" t="s">
        <v>4135</v>
      </c>
      <c r="F3380" t="s">
        <v>4125</v>
      </c>
    </row>
    <row r="3381" spans="1:6">
      <c r="A3381" t="s">
        <v>7510</v>
      </c>
      <c r="B3381" t="s">
        <v>1440</v>
      </c>
      <c r="C3381" t="s">
        <v>27</v>
      </c>
      <c r="D3381" s="1">
        <v>45925</v>
      </c>
      <c r="E3381" t="s">
        <v>4124</v>
      </c>
      <c r="F3381" t="s">
        <v>4137</v>
      </c>
    </row>
    <row r="3382" spans="1:6">
      <c r="A3382" t="s">
        <v>7511</v>
      </c>
      <c r="B3382" t="s">
        <v>1440</v>
      </c>
      <c r="C3382" t="s">
        <v>27</v>
      </c>
      <c r="D3382" s="1">
        <v>45877</v>
      </c>
      <c r="E3382" t="s">
        <v>4124</v>
      </c>
      <c r="F3382" t="s">
        <v>4139</v>
      </c>
    </row>
    <row r="3383" spans="1:6">
      <c r="A3383" t="s">
        <v>7512</v>
      </c>
      <c r="B3383" t="s">
        <v>1440</v>
      </c>
      <c r="C3383" t="s">
        <v>27</v>
      </c>
      <c r="D3383" s="1">
        <v>45922</v>
      </c>
      <c r="E3383" t="s">
        <v>4135</v>
      </c>
      <c r="F3383" t="s">
        <v>4139</v>
      </c>
    </row>
    <row r="3384" spans="1:6">
      <c r="A3384" t="s">
        <v>7513</v>
      </c>
      <c r="B3384" t="s">
        <v>1440</v>
      </c>
      <c r="C3384" t="s">
        <v>27</v>
      </c>
      <c r="D3384" s="1">
        <v>45937</v>
      </c>
      <c r="E3384" t="s">
        <v>4124</v>
      </c>
      <c r="F3384" t="s">
        <v>4137</v>
      </c>
    </row>
    <row r="3385" spans="1:6">
      <c r="A3385" t="s">
        <v>7514</v>
      </c>
      <c r="B3385" t="s">
        <v>1442</v>
      </c>
      <c r="C3385" t="s">
        <v>40</v>
      </c>
      <c r="D3385" s="1">
        <v>45980</v>
      </c>
      <c r="E3385" t="s">
        <v>4135</v>
      </c>
      <c r="F3385" t="s">
        <v>4125</v>
      </c>
    </row>
    <row r="3386" spans="1:6">
      <c r="A3386" t="s">
        <v>7515</v>
      </c>
      <c r="B3386" t="s">
        <v>1442</v>
      </c>
      <c r="C3386" t="s">
        <v>40</v>
      </c>
      <c r="D3386" s="1">
        <v>45974</v>
      </c>
      <c r="E3386" t="s">
        <v>4129</v>
      </c>
      <c r="F3386" t="s">
        <v>4139</v>
      </c>
    </row>
    <row r="3387" spans="1:6">
      <c r="A3387" t="s">
        <v>7516</v>
      </c>
      <c r="B3387" t="s">
        <v>1442</v>
      </c>
      <c r="C3387" t="s">
        <v>40</v>
      </c>
      <c r="D3387" s="1">
        <v>45969</v>
      </c>
      <c r="E3387" t="s">
        <v>4129</v>
      </c>
      <c r="F3387" t="s">
        <v>4137</v>
      </c>
    </row>
    <row r="3388" spans="1:6">
      <c r="A3388" t="s">
        <v>7517</v>
      </c>
      <c r="B3388" t="s">
        <v>1442</v>
      </c>
      <c r="C3388" t="s">
        <v>40</v>
      </c>
      <c r="D3388" s="1">
        <v>45977</v>
      </c>
      <c r="E3388" t="s">
        <v>4133</v>
      </c>
      <c r="F3388" t="s">
        <v>4137</v>
      </c>
    </row>
    <row r="3389" spans="1:6">
      <c r="A3389" t="s">
        <v>7518</v>
      </c>
      <c r="B3389" t="s">
        <v>1442</v>
      </c>
      <c r="C3389" t="s">
        <v>40</v>
      </c>
      <c r="D3389" s="1">
        <v>45993</v>
      </c>
      <c r="E3389" t="s">
        <v>4124</v>
      </c>
      <c r="F3389" t="s">
        <v>4139</v>
      </c>
    </row>
    <row r="3390" spans="1:6">
      <c r="A3390" t="s">
        <v>7519</v>
      </c>
      <c r="B3390" t="s">
        <v>1443</v>
      </c>
      <c r="C3390" t="s">
        <v>75</v>
      </c>
      <c r="D3390" s="1">
        <v>45757</v>
      </c>
      <c r="E3390" t="s">
        <v>4124</v>
      </c>
      <c r="F3390" t="s">
        <v>4125</v>
      </c>
    </row>
    <row r="3391" spans="1:6">
      <c r="A3391" t="s">
        <v>7520</v>
      </c>
      <c r="B3391" t="s">
        <v>1443</v>
      </c>
      <c r="C3391" t="s">
        <v>75</v>
      </c>
      <c r="D3391" s="1">
        <v>45752</v>
      </c>
      <c r="E3391" t="s">
        <v>4127</v>
      </c>
      <c r="F3391" t="s">
        <v>4125</v>
      </c>
    </row>
    <row r="3392" spans="1:6">
      <c r="A3392" t="s">
        <v>7521</v>
      </c>
      <c r="B3392" t="s">
        <v>1443</v>
      </c>
      <c r="C3392" t="s">
        <v>75</v>
      </c>
      <c r="D3392" s="1">
        <v>45779</v>
      </c>
      <c r="E3392" t="s">
        <v>4127</v>
      </c>
      <c r="F3392" t="s">
        <v>4137</v>
      </c>
    </row>
    <row r="3393" spans="1:6">
      <c r="A3393" t="s">
        <v>7522</v>
      </c>
      <c r="B3393" t="s">
        <v>1443</v>
      </c>
      <c r="C3393" t="s">
        <v>75</v>
      </c>
      <c r="D3393" s="1">
        <v>45787</v>
      </c>
      <c r="E3393" t="s">
        <v>4135</v>
      </c>
      <c r="F3393" t="s">
        <v>4139</v>
      </c>
    </row>
    <row r="3394" spans="1:6">
      <c r="A3394" t="s">
        <v>7523</v>
      </c>
      <c r="B3394" t="s">
        <v>1444</v>
      </c>
      <c r="C3394" t="s">
        <v>119</v>
      </c>
      <c r="D3394" s="1">
        <v>45985</v>
      </c>
      <c r="E3394" t="s">
        <v>4135</v>
      </c>
      <c r="F3394" t="s">
        <v>4125</v>
      </c>
    </row>
    <row r="3395" spans="1:6">
      <c r="A3395" t="s">
        <v>7524</v>
      </c>
      <c r="B3395" t="s">
        <v>1444</v>
      </c>
      <c r="C3395" t="s">
        <v>119</v>
      </c>
      <c r="D3395" s="1">
        <v>45987</v>
      </c>
      <c r="E3395" t="s">
        <v>4133</v>
      </c>
      <c r="F3395" t="s">
        <v>4125</v>
      </c>
    </row>
    <row r="3396" spans="1:6">
      <c r="A3396" t="s">
        <v>7525</v>
      </c>
      <c r="B3396" t="s">
        <v>1444</v>
      </c>
      <c r="C3396" t="s">
        <v>119</v>
      </c>
      <c r="D3396" s="1">
        <v>45992</v>
      </c>
      <c r="E3396" t="s">
        <v>4129</v>
      </c>
      <c r="F3396" t="s">
        <v>4125</v>
      </c>
    </row>
    <row r="3397" spans="1:6">
      <c r="A3397" t="s">
        <v>7526</v>
      </c>
      <c r="B3397" t="s">
        <v>1444</v>
      </c>
      <c r="C3397" t="s">
        <v>119</v>
      </c>
      <c r="D3397" s="1">
        <v>45989</v>
      </c>
      <c r="E3397" t="s">
        <v>4127</v>
      </c>
      <c r="F3397" t="s">
        <v>4139</v>
      </c>
    </row>
    <row r="3398" spans="1:6">
      <c r="A3398" t="s">
        <v>7527</v>
      </c>
      <c r="B3398" t="s">
        <v>1444</v>
      </c>
      <c r="C3398" t="s">
        <v>119</v>
      </c>
      <c r="D3398" s="1">
        <v>45986</v>
      </c>
      <c r="E3398" t="s">
        <v>4129</v>
      </c>
      <c r="F3398" t="s">
        <v>4137</v>
      </c>
    </row>
    <row r="3399" spans="1:6">
      <c r="A3399" t="s">
        <v>7528</v>
      </c>
      <c r="B3399" t="s">
        <v>1446</v>
      </c>
      <c r="C3399" t="s">
        <v>168</v>
      </c>
      <c r="D3399" s="1">
        <v>45809</v>
      </c>
      <c r="E3399" t="s">
        <v>4135</v>
      </c>
      <c r="F3399" t="s">
        <v>4137</v>
      </c>
    </row>
    <row r="3400" spans="1:6">
      <c r="A3400" t="s">
        <v>7529</v>
      </c>
      <c r="B3400" t="s">
        <v>1446</v>
      </c>
      <c r="C3400" t="s">
        <v>168</v>
      </c>
      <c r="D3400" s="1">
        <v>45832</v>
      </c>
      <c r="E3400" t="s">
        <v>4135</v>
      </c>
      <c r="F3400" t="s">
        <v>4139</v>
      </c>
    </row>
    <row r="3401" spans="1:6">
      <c r="A3401" t="s">
        <v>7530</v>
      </c>
      <c r="B3401" t="s">
        <v>1446</v>
      </c>
      <c r="C3401" t="s">
        <v>168</v>
      </c>
      <c r="D3401" s="1">
        <v>45827</v>
      </c>
      <c r="E3401" t="s">
        <v>4135</v>
      </c>
      <c r="F3401" t="s">
        <v>4139</v>
      </c>
    </row>
    <row r="3402" spans="1:6">
      <c r="A3402" t="s">
        <v>7531</v>
      </c>
      <c r="B3402" t="s">
        <v>1447</v>
      </c>
      <c r="C3402" t="s">
        <v>91</v>
      </c>
      <c r="D3402" s="1">
        <v>46014</v>
      </c>
      <c r="E3402" t="s">
        <v>4124</v>
      </c>
      <c r="F3402" t="s">
        <v>4125</v>
      </c>
    </row>
    <row r="3403" spans="1:6">
      <c r="A3403" t="s">
        <v>7532</v>
      </c>
      <c r="B3403" t="s">
        <v>1447</v>
      </c>
      <c r="C3403" t="s">
        <v>91</v>
      </c>
      <c r="D3403" s="1">
        <v>46018</v>
      </c>
      <c r="E3403" t="s">
        <v>4127</v>
      </c>
      <c r="F3403" t="s">
        <v>4137</v>
      </c>
    </row>
    <row r="3404" spans="1:6">
      <c r="A3404" t="s">
        <v>7533</v>
      </c>
      <c r="B3404" t="s">
        <v>1447</v>
      </c>
      <c r="C3404" t="s">
        <v>91</v>
      </c>
      <c r="D3404" s="1">
        <v>46010</v>
      </c>
      <c r="E3404" t="s">
        <v>4124</v>
      </c>
      <c r="F3404" t="s">
        <v>4137</v>
      </c>
    </row>
    <row r="3405" spans="1:6">
      <c r="A3405" t="s">
        <v>7534</v>
      </c>
      <c r="B3405" t="s">
        <v>1447</v>
      </c>
      <c r="C3405" t="s">
        <v>91</v>
      </c>
      <c r="D3405" s="1">
        <v>46018</v>
      </c>
      <c r="E3405" t="s">
        <v>4127</v>
      </c>
      <c r="F3405" t="s">
        <v>4125</v>
      </c>
    </row>
    <row r="3406" spans="1:6">
      <c r="A3406" t="s">
        <v>7535</v>
      </c>
      <c r="B3406" t="s">
        <v>1448</v>
      </c>
      <c r="C3406" t="s">
        <v>16</v>
      </c>
      <c r="D3406" s="1">
        <v>45784</v>
      </c>
      <c r="E3406" t="s">
        <v>4129</v>
      </c>
      <c r="F3406" t="s">
        <v>4125</v>
      </c>
    </row>
    <row r="3407" spans="1:6">
      <c r="A3407" t="s">
        <v>7536</v>
      </c>
      <c r="B3407" t="s">
        <v>1448</v>
      </c>
      <c r="C3407" t="s">
        <v>16</v>
      </c>
      <c r="D3407" s="1">
        <v>45784</v>
      </c>
      <c r="E3407" t="s">
        <v>4133</v>
      </c>
      <c r="F3407" t="s">
        <v>4137</v>
      </c>
    </row>
    <row r="3408" spans="1:6">
      <c r="A3408" t="s">
        <v>7537</v>
      </c>
      <c r="B3408" t="s">
        <v>1448</v>
      </c>
      <c r="C3408" t="s">
        <v>16</v>
      </c>
      <c r="D3408" s="1">
        <v>45773</v>
      </c>
      <c r="E3408" t="s">
        <v>4127</v>
      </c>
      <c r="F3408" t="s">
        <v>4139</v>
      </c>
    </row>
    <row r="3409" spans="1:6">
      <c r="A3409" t="s">
        <v>7538</v>
      </c>
      <c r="B3409" t="s">
        <v>1448</v>
      </c>
      <c r="C3409" t="s">
        <v>16</v>
      </c>
      <c r="D3409" s="1">
        <v>45765</v>
      </c>
      <c r="E3409" t="s">
        <v>4135</v>
      </c>
      <c r="F3409" t="s">
        <v>4137</v>
      </c>
    </row>
    <row r="3410" spans="1:6">
      <c r="A3410" t="s">
        <v>7539</v>
      </c>
      <c r="B3410" t="s">
        <v>1448</v>
      </c>
      <c r="C3410" t="s">
        <v>16</v>
      </c>
      <c r="D3410" s="1">
        <v>45778</v>
      </c>
      <c r="E3410" t="s">
        <v>4127</v>
      </c>
      <c r="F3410" t="s">
        <v>4139</v>
      </c>
    </row>
    <row r="3411" spans="1:6">
      <c r="A3411" t="s">
        <v>7540</v>
      </c>
      <c r="B3411" t="s">
        <v>1449</v>
      </c>
      <c r="C3411" t="s">
        <v>70</v>
      </c>
      <c r="D3411" s="1">
        <v>45976</v>
      </c>
      <c r="E3411" t="s">
        <v>4129</v>
      </c>
      <c r="F3411" t="s">
        <v>4139</v>
      </c>
    </row>
    <row r="3412" spans="1:6">
      <c r="A3412" t="s">
        <v>7541</v>
      </c>
      <c r="B3412" t="s">
        <v>1449</v>
      </c>
      <c r="C3412" t="s">
        <v>70</v>
      </c>
      <c r="D3412" s="1">
        <v>45971</v>
      </c>
      <c r="E3412" t="s">
        <v>4127</v>
      </c>
      <c r="F3412" t="s">
        <v>4125</v>
      </c>
    </row>
    <row r="3413" spans="1:6">
      <c r="A3413" t="s">
        <v>7542</v>
      </c>
      <c r="B3413" t="s">
        <v>1449</v>
      </c>
      <c r="C3413" t="s">
        <v>70</v>
      </c>
      <c r="D3413" s="1">
        <v>45975</v>
      </c>
      <c r="E3413" t="s">
        <v>4124</v>
      </c>
      <c r="F3413" t="s">
        <v>4137</v>
      </c>
    </row>
    <row r="3414" spans="1:6">
      <c r="A3414" t="s">
        <v>7543</v>
      </c>
      <c r="B3414" t="s">
        <v>1450</v>
      </c>
      <c r="C3414" t="s">
        <v>168</v>
      </c>
      <c r="D3414" s="1">
        <v>45730</v>
      </c>
      <c r="E3414" t="s">
        <v>4127</v>
      </c>
      <c r="F3414" t="s">
        <v>4125</v>
      </c>
    </row>
    <row r="3415" spans="1:6">
      <c r="A3415" t="s">
        <v>7544</v>
      </c>
      <c r="B3415" t="s">
        <v>1450</v>
      </c>
      <c r="C3415" t="s">
        <v>168</v>
      </c>
      <c r="D3415" s="1">
        <v>45752</v>
      </c>
      <c r="E3415" t="s">
        <v>4133</v>
      </c>
      <c r="F3415" t="s">
        <v>4137</v>
      </c>
    </row>
    <row r="3416" spans="1:6">
      <c r="A3416" t="s">
        <v>7545</v>
      </c>
      <c r="B3416" t="s">
        <v>1450</v>
      </c>
      <c r="C3416" t="s">
        <v>168</v>
      </c>
      <c r="D3416" s="1">
        <v>45726</v>
      </c>
      <c r="E3416" t="s">
        <v>4124</v>
      </c>
      <c r="F3416" t="s">
        <v>4139</v>
      </c>
    </row>
    <row r="3417" spans="1:6">
      <c r="A3417" t="s">
        <v>7546</v>
      </c>
      <c r="B3417" t="s">
        <v>1451</v>
      </c>
      <c r="C3417" t="s">
        <v>70</v>
      </c>
      <c r="D3417" s="1">
        <v>46012</v>
      </c>
      <c r="E3417" t="s">
        <v>4133</v>
      </c>
      <c r="F3417" t="s">
        <v>4137</v>
      </c>
    </row>
    <row r="3418" spans="1:6">
      <c r="A3418" t="s">
        <v>7547</v>
      </c>
      <c r="B3418" t="s">
        <v>1451</v>
      </c>
      <c r="C3418" t="s">
        <v>70</v>
      </c>
      <c r="D3418" s="1">
        <v>46009</v>
      </c>
      <c r="E3418" t="s">
        <v>4127</v>
      </c>
      <c r="F3418" t="s">
        <v>4139</v>
      </c>
    </row>
    <row r="3419" spans="1:6">
      <c r="A3419" t="s">
        <v>7548</v>
      </c>
      <c r="B3419" t="s">
        <v>1451</v>
      </c>
      <c r="C3419" t="s">
        <v>70</v>
      </c>
      <c r="D3419" s="1">
        <v>46021</v>
      </c>
      <c r="E3419" t="s">
        <v>4133</v>
      </c>
      <c r="F3419" t="s">
        <v>4137</v>
      </c>
    </row>
    <row r="3420" spans="1:6">
      <c r="A3420" t="s">
        <v>7549</v>
      </c>
      <c r="B3420" t="s">
        <v>1452</v>
      </c>
      <c r="C3420" t="s">
        <v>168</v>
      </c>
      <c r="D3420" s="1">
        <v>46009</v>
      </c>
      <c r="E3420" t="s">
        <v>4129</v>
      </c>
      <c r="F3420" t="s">
        <v>4137</v>
      </c>
    </row>
    <row r="3421" spans="1:6">
      <c r="A3421" t="s">
        <v>7550</v>
      </c>
      <c r="B3421" t="s">
        <v>1452</v>
      </c>
      <c r="C3421" t="s">
        <v>168</v>
      </c>
      <c r="D3421" s="1">
        <v>45999</v>
      </c>
      <c r="E3421" t="s">
        <v>4135</v>
      </c>
      <c r="F3421" t="s">
        <v>4139</v>
      </c>
    </row>
    <row r="3422" spans="1:6">
      <c r="A3422" t="s">
        <v>7551</v>
      </c>
      <c r="B3422" t="s">
        <v>1454</v>
      </c>
      <c r="C3422" t="s">
        <v>63</v>
      </c>
      <c r="D3422" s="1">
        <v>45932</v>
      </c>
      <c r="E3422" t="s">
        <v>4127</v>
      </c>
      <c r="F3422" t="s">
        <v>4125</v>
      </c>
    </row>
    <row r="3423" spans="1:6">
      <c r="A3423" t="s">
        <v>7552</v>
      </c>
      <c r="B3423" t="s">
        <v>1454</v>
      </c>
      <c r="C3423" t="s">
        <v>63</v>
      </c>
      <c r="D3423" s="1">
        <v>45908</v>
      </c>
      <c r="E3423" t="s">
        <v>4124</v>
      </c>
      <c r="F3423" t="s">
        <v>4125</v>
      </c>
    </row>
    <row r="3424" spans="1:6">
      <c r="A3424" t="s">
        <v>7553</v>
      </c>
      <c r="B3424" t="s">
        <v>1454</v>
      </c>
      <c r="C3424" t="s">
        <v>63</v>
      </c>
      <c r="D3424" s="1">
        <v>45944</v>
      </c>
      <c r="E3424" t="s">
        <v>4127</v>
      </c>
      <c r="F3424" t="s">
        <v>4137</v>
      </c>
    </row>
    <row r="3425" spans="1:6">
      <c r="A3425" t="s">
        <v>7554</v>
      </c>
      <c r="B3425" t="s">
        <v>1455</v>
      </c>
      <c r="C3425" t="s">
        <v>59</v>
      </c>
      <c r="D3425" s="1">
        <v>45691</v>
      </c>
      <c r="E3425" t="s">
        <v>4135</v>
      </c>
      <c r="F3425" t="s">
        <v>4137</v>
      </c>
    </row>
    <row r="3426" spans="1:6">
      <c r="A3426" t="s">
        <v>7555</v>
      </c>
      <c r="B3426" t="s">
        <v>1455</v>
      </c>
      <c r="C3426" t="s">
        <v>59</v>
      </c>
      <c r="D3426" s="1">
        <v>45711</v>
      </c>
      <c r="E3426" t="s">
        <v>4124</v>
      </c>
      <c r="F3426" t="s">
        <v>4139</v>
      </c>
    </row>
    <row r="3427" spans="1:6">
      <c r="A3427" t="s">
        <v>7556</v>
      </c>
      <c r="B3427" t="s">
        <v>1455</v>
      </c>
      <c r="C3427" t="s">
        <v>59</v>
      </c>
      <c r="D3427" s="1">
        <v>45709</v>
      </c>
      <c r="E3427" t="s">
        <v>4124</v>
      </c>
      <c r="F3427" t="s">
        <v>4125</v>
      </c>
    </row>
    <row r="3428" spans="1:6">
      <c r="A3428" t="s">
        <v>7557</v>
      </c>
      <c r="B3428" t="s">
        <v>1455</v>
      </c>
      <c r="C3428" t="s">
        <v>59</v>
      </c>
      <c r="D3428" s="1">
        <v>45702</v>
      </c>
      <c r="E3428" t="s">
        <v>4124</v>
      </c>
      <c r="F3428" t="s">
        <v>4139</v>
      </c>
    </row>
    <row r="3429" spans="1:6">
      <c r="A3429" t="s">
        <v>7558</v>
      </c>
      <c r="B3429" t="s">
        <v>1456</v>
      </c>
      <c r="C3429" t="s">
        <v>46</v>
      </c>
      <c r="D3429" s="1">
        <v>45729</v>
      </c>
      <c r="E3429" t="s">
        <v>4129</v>
      </c>
      <c r="F3429" t="s">
        <v>4139</v>
      </c>
    </row>
    <row r="3430" spans="1:6">
      <c r="A3430" t="s">
        <v>7559</v>
      </c>
      <c r="B3430" t="s">
        <v>1456</v>
      </c>
      <c r="C3430" t="s">
        <v>46</v>
      </c>
      <c r="D3430" s="1">
        <v>45715</v>
      </c>
      <c r="E3430" t="s">
        <v>4127</v>
      </c>
      <c r="F3430" t="s">
        <v>4137</v>
      </c>
    </row>
    <row r="3431" spans="1:6">
      <c r="A3431" t="s">
        <v>7560</v>
      </c>
      <c r="B3431" t="s">
        <v>1456</v>
      </c>
      <c r="C3431" t="s">
        <v>46</v>
      </c>
      <c r="D3431" s="1">
        <v>45725</v>
      </c>
      <c r="E3431" t="s">
        <v>4129</v>
      </c>
      <c r="F3431" t="s">
        <v>4125</v>
      </c>
    </row>
    <row r="3432" spans="1:6">
      <c r="A3432" t="s">
        <v>7561</v>
      </c>
      <c r="B3432" t="s">
        <v>1456</v>
      </c>
      <c r="C3432" t="s">
        <v>46</v>
      </c>
      <c r="D3432" s="1">
        <v>45715</v>
      </c>
      <c r="E3432" t="s">
        <v>4133</v>
      </c>
      <c r="F3432" t="s">
        <v>4139</v>
      </c>
    </row>
    <row r="3433" spans="1:6">
      <c r="A3433" t="s">
        <v>7562</v>
      </c>
      <c r="B3433" t="s">
        <v>1456</v>
      </c>
      <c r="C3433" t="s">
        <v>46</v>
      </c>
      <c r="D3433" s="1">
        <v>45729</v>
      </c>
      <c r="E3433" t="s">
        <v>4135</v>
      </c>
      <c r="F3433" t="s">
        <v>4137</v>
      </c>
    </row>
    <row r="3434" spans="1:6">
      <c r="A3434" t="s">
        <v>7563</v>
      </c>
      <c r="B3434" t="s">
        <v>1457</v>
      </c>
      <c r="C3434" t="s">
        <v>168</v>
      </c>
      <c r="D3434" s="1">
        <v>45736</v>
      </c>
      <c r="E3434" t="s">
        <v>4133</v>
      </c>
      <c r="F3434" t="s">
        <v>4125</v>
      </c>
    </row>
    <row r="3435" spans="1:6">
      <c r="A3435" t="s">
        <v>7564</v>
      </c>
      <c r="B3435" t="s">
        <v>1457</v>
      </c>
      <c r="C3435" t="s">
        <v>168</v>
      </c>
      <c r="D3435" s="1">
        <v>45732</v>
      </c>
      <c r="E3435" t="s">
        <v>4135</v>
      </c>
      <c r="F3435" t="s">
        <v>4125</v>
      </c>
    </row>
    <row r="3436" spans="1:6">
      <c r="A3436" t="s">
        <v>7565</v>
      </c>
      <c r="B3436" t="s">
        <v>1458</v>
      </c>
      <c r="C3436" t="s">
        <v>78</v>
      </c>
      <c r="D3436" s="1">
        <v>45867</v>
      </c>
      <c r="E3436" t="s">
        <v>4124</v>
      </c>
      <c r="F3436" t="s">
        <v>4125</v>
      </c>
    </row>
    <row r="3437" spans="1:6">
      <c r="A3437" t="s">
        <v>7566</v>
      </c>
      <c r="B3437" t="s">
        <v>1458</v>
      </c>
      <c r="C3437" t="s">
        <v>78</v>
      </c>
      <c r="D3437" s="1">
        <v>45872</v>
      </c>
      <c r="E3437" t="s">
        <v>4127</v>
      </c>
      <c r="F3437" t="s">
        <v>4125</v>
      </c>
    </row>
    <row r="3438" spans="1:6">
      <c r="A3438" t="s">
        <v>7567</v>
      </c>
      <c r="B3438" t="s">
        <v>1459</v>
      </c>
      <c r="C3438" t="s">
        <v>32</v>
      </c>
      <c r="D3438" s="1">
        <v>45753</v>
      </c>
      <c r="E3438" t="s">
        <v>4135</v>
      </c>
      <c r="F3438" t="s">
        <v>4125</v>
      </c>
    </row>
    <row r="3439" spans="1:6">
      <c r="A3439" t="s">
        <v>7568</v>
      </c>
      <c r="B3439" t="s">
        <v>1459</v>
      </c>
      <c r="C3439" t="s">
        <v>32</v>
      </c>
      <c r="D3439" s="1">
        <v>45753</v>
      </c>
      <c r="E3439" t="s">
        <v>4129</v>
      </c>
      <c r="F3439" t="s">
        <v>4137</v>
      </c>
    </row>
    <row r="3440" spans="1:6">
      <c r="A3440" t="s">
        <v>7569</v>
      </c>
      <c r="B3440" t="s">
        <v>1459</v>
      </c>
      <c r="C3440" t="s">
        <v>32</v>
      </c>
      <c r="D3440" s="1">
        <v>45758</v>
      </c>
      <c r="E3440" t="s">
        <v>4135</v>
      </c>
      <c r="F3440" t="s">
        <v>4139</v>
      </c>
    </row>
    <row r="3441" spans="1:6">
      <c r="A3441" t="s">
        <v>7570</v>
      </c>
      <c r="B3441" t="s">
        <v>1460</v>
      </c>
      <c r="C3441" t="s">
        <v>78</v>
      </c>
      <c r="D3441" s="1">
        <v>45985</v>
      </c>
      <c r="E3441" t="s">
        <v>4127</v>
      </c>
      <c r="F3441" t="s">
        <v>4137</v>
      </c>
    </row>
    <row r="3442" spans="1:6">
      <c r="A3442" t="s">
        <v>7571</v>
      </c>
      <c r="B3442" t="s">
        <v>1460</v>
      </c>
      <c r="C3442" t="s">
        <v>78</v>
      </c>
      <c r="D3442" s="1">
        <v>46015</v>
      </c>
      <c r="E3442" t="s">
        <v>4135</v>
      </c>
      <c r="F3442" t="s">
        <v>4137</v>
      </c>
    </row>
    <row r="3443" spans="1:6">
      <c r="A3443" t="s">
        <v>7572</v>
      </c>
      <c r="B3443" t="s">
        <v>1460</v>
      </c>
      <c r="C3443" t="s">
        <v>78</v>
      </c>
      <c r="D3443" s="1">
        <v>45999</v>
      </c>
      <c r="E3443" t="s">
        <v>4135</v>
      </c>
      <c r="F3443" t="s">
        <v>4139</v>
      </c>
    </row>
    <row r="3444" spans="1:6">
      <c r="A3444" t="s">
        <v>7573</v>
      </c>
      <c r="B3444" t="s">
        <v>1462</v>
      </c>
      <c r="C3444" t="s">
        <v>53</v>
      </c>
      <c r="D3444" s="1">
        <v>45917</v>
      </c>
      <c r="E3444" t="s">
        <v>4129</v>
      </c>
      <c r="F3444" t="s">
        <v>4139</v>
      </c>
    </row>
    <row r="3445" spans="1:6">
      <c r="A3445" t="s">
        <v>7574</v>
      </c>
      <c r="B3445" t="s">
        <v>1462</v>
      </c>
      <c r="C3445" t="s">
        <v>53</v>
      </c>
      <c r="D3445" s="1">
        <v>45923</v>
      </c>
      <c r="E3445" t="s">
        <v>4129</v>
      </c>
      <c r="F3445" t="s">
        <v>4137</v>
      </c>
    </row>
    <row r="3446" spans="1:6">
      <c r="A3446" t="s">
        <v>7575</v>
      </c>
      <c r="B3446" t="s">
        <v>1462</v>
      </c>
      <c r="C3446" t="s">
        <v>53</v>
      </c>
      <c r="D3446" s="1">
        <v>45918</v>
      </c>
      <c r="E3446" t="s">
        <v>4129</v>
      </c>
      <c r="F3446" t="s">
        <v>4139</v>
      </c>
    </row>
    <row r="3447" spans="1:6">
      <c r="A3447" t="s">
        <v>7576</v>
      </c>
      <c r="B3447" t="s">
        <v>1462</v>
      </c>
      <c r="C3447" t="s">
        <v>53</v>
      </c>
      <c r="D3447" s="1">
        <v>45920</v>
      </c>
      <c r="E3447" t="s">
        <v>4124</v>
      </c>
      <c r="F3447" t="s">
        <v>4139</v>
      </c>
    </row>
    <row r="3448" spans="1:6">
      <c r="A3448" t="s">
        <v>7577</v>
      </c>
      <c r="B3448" t="s">
        <v>1462</v>
      </c>
      <c r="C3448" t="s">
        <v>53</v>
      </c>
      <c r="D3448" s="1">
        <v>45918</v>
      </c>
      <c r="E3448" t="s">
        <v>4133</v>
      </c>
      <c r="F3448" t="s">
        <v>4137</v>
      </c>
    </row>
    <row r="3449" spans="1:6">
      <c r="A3449" t="s">
        <v>7578</v>
      </c>
      <c r="B3449" t="s">
        <v>1463</v>
      </c>
      <c r="C3449" t="s">
        <v>59</v>
      </c>
      <c r="D3449" s="1">
        <v>45764</v>
      </c>
      <c r="E3449" t="s">
        <v>4127</v>
      </c>
      <c r="F3449" t="s">
        <v>4125</v>
      </c>
    </row>
    <row r="3450" spans="1:6">
      <c r="A3450" t="s">
        <v>7579</v>
      </c>
      <c r="B3450" t="s">
        <v>1463</v>
      </c>
      <c r="C3450" t="s">
        <v>59</v>
      </c>
      <c r="D3450" s="1">
        <v>45742</v>
      </c>
      <c r="E3450" t="s">
        <v>4124</v>
      </c>
      <c r="F3450" t="s">
        <v>4137</v>
      </c>
    </row>
    <row r="3451" spans="1:6">
      <c r="A3451" t="s">
        <v>7580</v>
      </c>
      <c r="B3451" t="s">
        <v>1463</v>
      </c>
      <c r="C3451" t="s">
        <v>59</v>
      </c>
      <c r="D3451" s="1">
        <v>45734</v>
      </c>
      <c r="E3451" t="s">
        <v>4127</v>
      </c>
      <c r="F3451" t="s">
        <v>4137</v>
      </c>
    </row>
    <row r="3452" spans="1:6">
      <c r="A3452" t="s">
        <v>7581</v>
      </c>
      <c r="B3452" t="s">
        <v>1463</v>
      </c>
      <c r="C3452" t="s">
        <v>59</v>
      </c>
      <c r="D3452" s="1">
        <v>45742</v>
      </c>
      <c r="E3452" t="s">
        <v>4135</v>
      </c>
      <c r="F3452" t="s">
        <v>4139</v>
      </c>
    </row>
    <row r="3453" spans="1:6">
      <c r="A3453" t="s">
        <v>7582</v>
      </c>
      <c r="B3453" t="s">
        <v>1463</v>
      </c>
      <c r="C3453" t="s">
        <v>59</v>
      </c>
      <c r="D3453" s="1">
        <v>45735</v>
      </c>
      <c r="E3453" t="s">
        <v>4135</v>
      </c>
      <c r="F3453" t="s">
        <v>4125</v>
      </c>
    </row>
    <row r="3454" spans="1:6">
      <c r="A3454" t="s">
        <v>7583</v>
      </c>
      <c r="B3454" t="s">
        <v>1464</v>
      </c>
      <c r="C3454" t="s">
        <v>126</v>
      </c>
      <c r="D3454" s="1">
        <v>46022</v>
      </c>
      <c r="E3454" t="s">
        <v>4129</v>
      </c>
      <c r="F3454" t="s">
        <v>4125</v>
      </c>
    </row>
    <row r="3455" spans="1:6">
      <c r="A3455" t="s">
        <v>7584</v>
      </c>
      <c r="B3455" t="s">
        <v>1464</v>
      </c>
      <c r="C3455" t="s">
        <v>126</v>
      </c>
      <c r="D3455" s="1">
        <v>46022</v>
      </c>
      <c r="E3455" t="s">
        <v>4135</v>
      </c>
      <c r="F3455" t="s">
        <v>4139</v>
      </c>
    </row>
    <row r="3456" spans="1:6">
      <c r="A3456" t="s">
        <v>7585</v>
      </c>
      <c r="B3456" t="s">
        <v>1464</v>
      </c>
      <c r="C3456" t="s">
        <v>126</v>
      </c>
      <c r="D3456" s="1">
        <v>46022</v>
      </c>
      <c r="E3456" t="s">
        <v>4124</v>
      </c>
      <c r="F3456" t="s">
        <v>4139</v>
      </c>
    </row>
    <row r="3457" spans="1:6">
      <c r="A3457" t="s">
        <v>7586</v>
      </c>
      <c r="B3457" t="s">
        <v>1465</v>
      </c>
      <c r="C3457" t="s">
        <v>63</v>
      </c>
      <c r="D3457" s="1">
        <v>45831</v>
      </c>
      <c r="E3457" t="s">
        <v>4133</v>
      </c>
      <c r="F3457" t="s">
        <v>4125</v>
      </c>
    </row>
    <row r="3458" spans="1:6">
      <c r="A3458" t="s">
        <v>7587</v>
      </c>
      <c r="B3458" t="s">
        <v>1465</v>
      </c>
      <c r="C3458" t="s">
        <v>63</v>
      </c>
      <c r="D3458" s="1">
        <v>45830</v>
      </c>
      <c r="E3458" t="s">
        <v>4127</v>
      </c>
      <c r="F3458" t="s">
        <v>4137</v>
      </c>
    </row>
    <row r="3459" spans="1:6">
      <c r="A3459" t="s">
        <v>7588</v>
      </c>
      <c r="B3459" t="s">
        <v>1465</v>
      </c>
      <c r="C3459" t="s">
        <v>63</v>
      </c>
      <c r="D3459" s="1">
        <v>45840</v>
      </c>
      <c r="E3459" t="s">
        <v>4124</v>
      </c>
      <c r="F3459" t="s">
        <v>4137</v>
      </c>
    </row>
    <row r="3460" spans="1:6">
      <c r="A3460" t="s">
        <v>7589</v>
      </c>
      <c r="B3460" t="s">
        <v>1466</v>
      </c>
      <c r="C3460" t="s">
        <v>27</v>
      </c>
      <c r="D3460" s="1">
        <v>45915</v>
      </c>
      <c r="E3460" t="s">
        <v>4133</v>
      </c>
      <c r="F3460" t="s">
        <v>4125</v>
      </c>
    </row>
    <row r="3461" spans="1:6">
      <c r="A3461" t="s">
        <v>7590</v>
      </c>
      <c r="B3461" t="s">
        <v>1466</v>
      </c>
      <c r="C3461" t="s">
        <v>27</v>
      </c>
      <c r="D3461" s="1">
        <v>45910</v>
      </c>
      <c r="E3461" t="s">
        <v>4135</v>
      </c>
      <c r="F3461" t="s">
        <v>4137</v>
      </c>
    </row>
    <row r="3462" spans="1:6">
      <c r="A3462" t="s">
        <v>7591</v>
      </c>
      <c r="B3462" t="s">
        <v>1466</v>
      </c>
      <c r="C3462" t="s">
        <v>27</v>
      </c>
      <c r="D3462" s="1">
        <v>45917</v>
      </c>
      <c r="E3462" t="s">
        <v>4124</v>
      </c>
      <c r="F3462" t="s">
        <v>4125</v>
      </c>
    </row>
    <row r="3463" spans="1:6">
      <c r="A3463" t="s">
        <v>7592</v>
      </c>
      <c r="B3463" t="s">
        <v>1466</v>
      </c>
      <c r="C3463" t="s">
        <v>27</v>
      </c>
      <c r="D3463" s="1">
        <v>45909</v>
      </c>
      <c r="E3463" t="s">
        <v>4129</v>
      </c>
      <c r="F3463" t="s">
        <v>4137</v>
      </c>
    </row>
    <row r="3464" spans="1:6">
      <c r="A3464" t="s">
        <v>7593</v>
      </c>
      <c r="B3464" t="s">
        <v>1467</v>
      </c>
      <c r="C3464" t="s">
        <v>126</v>
      </c>
      <c r="D3464" s="1">
        <v>45985</v>
      </c>
      <c r="E3464" t="s">
        <v>4124</v>
      </c>
      <c r="F3464" t="s">
        <v>4139</v>
      </c>
    </row>
    <row r="3465" spans="1:6">
      <c r="A3465" t="s">
        <v>7594</v>
      </c>
      <c r="B3465" t="s">
        <v>1467</v>
      </c>
      <c r="C3465" t="s">
        <v>126</v>
      </c>
      <c r="D3465" s="1">
        <v>45996</v>
      </c>
      <c r="E3465" t="s">
        <v>4127</v>
      </c>
      <c r="F3465" t="s">
        <v>4137</v>
      </c>
    </row>
    <row r="3466" spans="1:6">
      <c r="A3466" t="s">
        <v>7595</v>
      </c>
      <c r="B3466" t="s">
        <v>1467</v>
      </c>
      <c r="C3466" t="s">
        <v>126</v>
      </c>
      <c r="D3466" s="1">
        <v>45959</v>
      </c>
      <c r="E3466" t="s">
        <v>4135</v>
      </c>
      <c r="F3466" t="s">
        <v>4125</v>
      </c>
    </row>
    <row r="3467" spans="1:6">
      <c r="A3467" t="s">
        <v>7596</v>
      </c>
      <c r="B3467" t="s">
        <v>1467</v>
      </c>
      <c r="C3467" t="s">
        <v>126</v>
      </c>
      <c r="D3467" s="1">
        <v>45958</v>
      </c>
      <c r="E3467" t="s">
        <v>4127</v>
      </c>
      <c r="F3467" t="s">
        <v>4139</v>
      </c>
    </row>
    <row r="3468" spans="1:6">
      <c r="A3468" t="s">
        <v>7597</v>
      </c>
      <c r="B3468" t="s">
        <v>1468</v>
      </c>
      <c r="C3468" t="s">
        <v>152</v>
      </c>
      <c r="D3468" s="1">
        <v>45730</v>
      </c>
      <c r="E3468" t="s">
        <v>4133</v>
      </c>
      <c r="F3468" t="s">
        <v>4125</v>
      </c>
    </row>
    <row r="3469" spans="1:6">
      <c r="A3469" t="s">
        <v>7598</v>
      </c>
      <c r="B3469" t="s">
        <v>1468</v>
      </c>
      <c r="C3469" t="s">
        <v>152</v>
      </c>
      <c r="D3469" s="1">
        <v>45740</v>
      </c>
      <c r="E3469" t="s">
        <v>4124</v>
      </c>
      <c r="F3469" t="s">
        <v>4125</v>
      </c>
    </row>
    <row r="3470" spans="1:6">
      <c r="A3470" t="s">
        <v>7599</v>
      </c>
      <c r="B3470" t="s">
        <v>1469</v>
      </c>
      <c r="C3470" t="s">
        <v>40</v>
      </c>
      <c r="D3470" s="1">
        <v>45889</v>
      </c>
      <c r="E3470" t="s">
        <v>4127</v>
      </c>
      <c r="F3470" t="s">
        <v>4139</v>
      </c>
    </row>
    <row r="3471" spans="1:6">
      <c r="A3471" t="s">
        <v>7600</v>
      </c>
      <c r="B3471" t="s">
        <v>1469</v>
      </c>
      <c r="C3471" t="s">
        <v>40</v>
      </c>
      <c r="D3471" s="1">
        <v>45915</v>
      </c>
      <c r="E3471" t="s">
        <v>4135</v>
      </c>
      <c r="F3471" t="s">
        <v>4125</v>
      </c>
    </row>
    <row r="3472" spans="1:6">
      <c r="A3472" t="s">
        <v>7601</v>
      </c>
      <c r="B3472" t="s">
        <v>1469</v>
      </c>
      <c r="C3472" t="s">
        <v>40</v>
      </c>
      <c r="D3472" s="1">
        <v>45888</v>
      </c>
      <c r="E3472" t="s">
        <v>4133</v>
      </c>
      <c r="F3472" t="s">
        <v>4125</v>
      </c>
    </row>
    <row r="3473" spans="1:6">
      <c r="A3473" t="s">
        <v>7602</v>
      </c>
      <c r="B3473" t="s">
        <v>1470</v>
      </c>
      <c r="C3473" t="s">
        <v>59</v>
      </c>
      <c r="D3473" s="1">
        <v>45725</v>
      </c>
      <c r="E3473" t="s">
        <v>4135</v>
      </c>
      <c r="F3473" t="s">
        <v>4125</v>
      </c>
    </row>
    <row r="3474" spans="1:6">
      <c r="A3474" t="s">
        <v>7603</v>
      </c>
      <c r="B3474" t="s">
        <v>1470</v>
      </c>
      <c r="C3474" t="s">
        <v>59</v>
      </c>
      <c r="D3474" s="1">
        <v>45720</v>
      </c>
      <c r="E3474" t="s">
        <v>4129</v>
      </c>
      <c r="F3474" t="s">
        <v>4137</v>
      </c>
    </row>
    <row r="3475" spans="1:6">
      <c r="A3475" t="s">
        <v>7604</v>
      </c>
      <c r="B3475" t="s">
        <v>1470</v>
      </c>
      <c r="C3475" t="s">
        <v>59</v>
      </c>
      <c r="D3475" s="1">
        <v>45721</v>
      </c>
      <c r="E3475" t="s">
        <v>4129</v>
      </c>
      <c r="F3475" t="s">
        <v>4125</v>
      </c>
    </row>
    <row r="3476" spans="1:6">
      <c r="A3476" t="s">
        <v>7605</v>
      </c>
      <c r="B3476" t="s">
        <v>1471</v>
      </c>
      <c r="C3476" t="s">
        <v>32</v>
      </c>
      <c r="D3476" s="1">
        <v>45738</v>
      </c>
      <c r="E3476" t="s">
        <v>4124</v>
      </c>
      <c r="F3476" t="s">
        <v>4139</v>
      </c>
    </row>
    <row r="3477" spans="1:6">
      <c r="A3477" t="s">
        <v>7606</v>
      </c>
      <c r="B3477" t="s">
        <v>1471</v>
      </c>
      <c r="C3477" t="s">
        <v>32</v>
      </c>
      <c r="D3477" s="1">
        <v>45686</v>
      </c>
      <c r="E3477" t="s">
        <v>4129</v>
      </c>
      <c r="F3477" t="s">
        <v>4139</v>
      </c>
    </row>
    <row r="3478" spans="1:6">
      <c r="A3478" t="s">
        <v>7607</v>
      </c>
      <c r="B3478" t="s">
        <v>1471</v>
      </c>
      <c r="C3478" t="s">
        <v>32</v>
      </c>
      <c r="D3478" s="1">
        <v>45692</v>
      </c>
      <c r="E3478" t="s">
        <v>4124</v>
      </c>
      <c r="F3478" t="s">
        <v>4125</v>
      </c>
    </row>
    <row r="3479" spans="1:6">
      <c r="A3479" t="s">
        <v>7608</v>
      </c>
      <c r="B3479" t="s">
        <v>1471</v>
      </c>
      <c r="C3479" t="s">
        <v>32</v>
      </c>
      <c r="D3479" s="1">
        <v>45725</v>
      </c>
      <c r="E3479" t="s">
        <v>4133</v>
      </c>
      <c r="F3479" t="s">
        <v>4137</v>
      </c>
    </row>
    <row r="3480" spans="1:6">
      <c r="A3480" t="s">
        <v>7609</v>
      </c>
      <c r="B3480" t="s">
        <v>1471</v>
      </c>
      <c r="C3480" t="s">
        <v>32</v>
      </c>
      <c r="D3480" s="1">
        <v>45719</v>
      </c>
      <c r="E3480" t="s">
        <v>4129</v>
      </c>
      <c r="F3480" t="s">
        <v>4125</v>
      </c>
    </row>
    <row r="3481" spans="1:6">
      <c r="A3481" t="s">
        <v>7610</v>
      </c>
      <c r="B3481" t="s">
        <v>1472</v>
      </c>
      <c r="C3481" t="s">
        <v>32</v>
      </c>
      <c r="D3481" s="1">
        <v>45997</v>
      </c>
      <c r="E3481" t="s">
        <v>4129</v>
      </c>
      <c r="F3481" t="s">
        <v>4139</v>
      </c>
    </row>
    <row r="3482" spans="1:6">
      <c r="A3482" t="s">
        <v>7611</v>
      </c>
      <c r="B3482" t="s">
        <v>1472</v>
      </c>
      <c r="C3482" t="s">
        <v>32</v>
      </c>
      <c r="D3482" s="1">
        <v>46014</v>
      </c>
      <c r="E3482" t="s">
        <v>4127</v>
      </c>
      <c r="F3482" t="s">
        <v>4137</v>
      </c>
    </row>
    <row r="3483" spans="1:6">
      <c r="A3483" t="s">
        <v>7612</v>
      </c>
      <c r="B3483" t="s">
        <v>1472</v>
      </c>
      <c r="C3483" t="s">
        <v>32</v>
      </c>
      <c r="D3483" s="1">
        <v>46002</v>
      </c>
      <c r="E3483" t="s">
        <v>4133</v>
      </c>
      <c r="F3483" t="s">
        <v>4125</v>
      </c>
    </row>
    <row r="3484" spans="1:6">
      <c r="A3484" t="s">
        <v>7613</v>
      </c>
      <c r="B3484" t="s">
        <v>1473</v>
      </c>
      <c r="C3484" t="s">
        <v>56</v>
      </c>
      <c r="D3484" s="1">
        <v>45991</v>
      </c>
      <c r="E3484" t="s">
        <v>4129</v>
      </c>
      <c r="F3484" t="s">
        <v>4139</v>
      </c>
    </row>
    <row r="3485" spans="1:6">
      <c r="A3485" t="s">
        <v>7614</v>
      </c>
      <c r="B3485" t="s">
        <v>1473</v>
      </c>
      <c r="C3485" t="s">
        <v>56</v>
      </c>
      <c r="D3485" s="1">
        <v>46006</v>
      </c>
      <c r="E3485" t="s">
        <v>4133</v>
      </c>
      <c r="F3485" t="s">
        <v>4137</v>
      </c>
    </row>
    <row r="3486" spans="1:6">
      <c r="A3486" t="s">
        <v>7615</v>
      </c>
      <c r="B3486" t="s">
        <v>1473</v>
      </c>
      <c r="C3486" t="s">
        <v>56</v>
      </c>
      <c r="D3486" s="1">
        <v>46015</v>
      </c>
      <c r="E3486" t="s">
        <v>4124</v>
      </c>
      <c r="F3486" t="s">
        <v>4137</v>
      </c>
    </row>
    <row r="3487" spans="1:6">
      <c r="A3487" t="s">
        <v>7616</v>
      </c>
      <c r="B3487" t="s">
        <v>1474</v>
      </c>
      <c r="C3487" t="s">
        <v>59</v>
      </c>
      <c r="D3487" s="1">
        <v>45809</v>
      </c>
      <c r="E3487" t="s">
        <v>4127</v>
      </c>
      <c r="F3487" t="s">
        <v>4137</v>
      </c>
    </row>
    <row r="3488" spans="1:6">
      <c r="A3488" t="s">
        <v>7617</v>
      </c>
      <c r="B3488" t="s">
        <v>1474</v>
      </c>
      <c r="C3488" t="s">
        <v>59</v>
      </c>
      <c r="D3488" s="1">
        <v>45811</v>
      </c>
      <c r="E3488" t="s">
        <v>4124</v>
      </c>
      <c r="F3488" t="s">
        <v>4137</v>
      </c>
    </row>
    <row r="3489" spans="1:6">
      <c r="A3489" t="s">
        <v>7618</v>
      </c>
      <c r="B3489" t="s">
        <v>1474</v>
      </c>
      <c r="C3489" t="s">
        <v>59</v>
      </c>
      <c r="D3489" s="1">
        <v>45809</v>
      </c>
      <c r="E3489" t="s">
        <v>4127</v>
      </c>
      <c r="F3489" t="s">
        <v>4125</v>
      </c>
    </row>
    <row r="3490" spans="1:6">
      <c r="A3490" t="s">
        <v>7619</v>
      </c>
      <c r="B3490" t="s">
        <v>1474</v>
      </c>
      <c r="C3490" t="s">
        <v>59</v>
      </c>
      <c r="D3490" s="1">
        <v>45810</v>
      </c>
      <c r="E3490" t="s">
        <v>4129</v>
      </c>
      <c r="F3490" t="s">
        <v>4137</v>
      </c>
    </row>
    <row r="3491" spans="1:6">
      <c r="A3491" t="s">
        <v>7620</v>
      </c>
      <c r="B3491" t="s">
        <v>1474</v>
      </c>
      <c r="C3491" t="s">
        <v>59</v>
      </c>
      <c r="D3491" s="1">
        <v>45807</v>
      </c>
      <c r="E3491" t="s">
        <v>4133</v>
      </c>
      <c r="F3491" t="s">
        <v>4137</v>
      </c>
    </row>
    <row r="3492" spans="1:6">
      <c r="A3492" t="s">
        <v>7621</v>
      </c>
      <c r="B3492" t="s">
        <v>1476</v>
      </c>
      <c r="C3492" t="s">
        <v>59</v>
      </c>
      <c r="D3492" s="1">
        <v>45838</v>
      </c>
      <c r="E3492" t="s">
        <v>4127</v>
      </c>
      <c r="F3492" t="s">
        <v>4137</v>
      </c>
    </row>
    <row r="3493" spans="1:6">
      <c r="A3493" t="s">
        <v>7622</v>
      </c>
      <c r="B3493" t="s">
        <v>1476</v>
      </c>
      <c r="C3493" t="s">
        <v>59</v>
      </c>
      <c r="D3493" s="1">
        <v>45846</v>
      </c>
      <c r="E3493" t="s">
        <v>4135</v>
      </c>
      <c r="F3493" t="s">
        <v>4137</v>
      </c>
    </row>
    <row r="3494" spans="1:6">
      <c r="A3494" t="s">
        <v>7623</v>
      </c>
      <c r="B3494" t="s">
        <v>1476</v>
      </c>
      <c r="C3494" t="s">
        <v>59</v>
      </c>
      <c r="D3494" s="1">
        <v>45838</v>
      </c>
      <c r="E3494" t="s">
        <v>4133</v>
      </c>
      <c r="F3494" t="s">
        <v>4125</v>
      </c>
    </row>
    <row r="3495" spans="1:6">
      <c r="A3495" t="s">
        <v>7624</v>
      </c>
      <c r="B3495" t="s">
        <v>1476</v>
      </c>
      <c r="C3495" t="s">
        <v>59</v>
      </c>
      <c r="D3495" s="1">
        <v>45846</v>
      </c>
      <c r="E3495" t="s">
        <v>4124</v>
      </c>
      <c r="F3495" t="s">
        <v>4137</v>
      </c>
    </row>
    <row r="3496" spans="1:6">
      <c r="A3496" t="s">
        <v>7625</v>
      </c>
      <c r="B3496" t="s">
        <v>1476</v>
      </c>
      <c r="C3496" t="s">
        <v>59</v>
      </c>
      <c r="D3496" s="1">
        <v>45844</v>
      </c>
      <c r="E3496" t="s">
        <v>4124</v>
      </c>
      <c r="F3496" t="s">
        <v>4125</v>
      </c>
    </row>
    <row r="3497" spans="1:6">
      <c r="A3497" t="s">
        <v>7626</v>
      </c>
      <c r="B3497" t="s">
        <v>1477</v>
      </c>
      <c r="C3497" t="s">
        <v>59</v>
      </c>
      <c r="D3497" s="1">
        <v>45739</v>
      </c>
      <c r="E3497" t="s">
        <v>4135</v>
      </c>
      <c r="F3497" t="s">
        <v>4139</v>
      </c>
    </row>
    <row r="3498" spans="1:6">
      <c r="A3498" t="s">
        <v>7627</v>
      </c>
      <c r="B3498" t="s">
        <v>1477</v>
      </c>
      <c r="C3498" t="s">
        <v>59</v>
      </c>
      <c r="D3498" s="1">
        <v>45745</v>
      </c>
      <c r="E3498" t="s">
        <v>4129</v>
      </c>
      <c r="F3498" t="s">
        <v>4137</v>
      </c>
    </row>
    <row r="3499" spans="1:6">
      <c r="A3499" t="s">
        <v>7628</v>
      </c>
      <c r="B3499" t="s">
        <v>1477</v>
      </c>
      <c r="C3499" t="s">
        <v>59</v>
      </c>
      <c r="D3499" s="1">
        <v>45699</v>
      </c>
      <c r="E3499" t="s">
        <v>4135</v>
      </c>
      <c r="F3499" t="s">
        <v>4137</v>
      </c>
    </row>
    <row r="3500" spans="1:6">
      <c r="A3500" t="s">
        <v>7629</v>
      </c>
      <c r="B3500" t="s">
        <v>1478</v>
      </c>
      <c r="C3500" t="s">
        <v>78</v>
      </c>
      <c r="D3500" s="1">
        <v>45933</v>
      </c>
      <c r="E3500" t="s">
        <v>4127</v>
      </c>
      <c r="F3500" t="s">
        <v>4125</v>
      </c>
    </row>
    <row r="3501" spans="1:6">
      <c r="A3501" t="s">
        <v>7630</v>
      </c>
      <c r="B3501" t="s">
        <v>1478</v>
      </c>
      <c r="C3501" t="s">
        <v>78</v>
      </c>
      <c r="D3501" s="1">
        <v>45946</v>
      </c>
      <c r="E3501" t="s">
        <v>4129</v>
      </c>
      <c r="F3501" t="s">
        <v>4125</v>
      </c>
    </row>
    <row r="3502" spans="1:6">
      <c r="A3502" t="s">
        <v>7631</v>
      </c>
      <c r="B3502" t="s">
        <v>1478</v>
      </c>
      <c r="C3502" t="s">
        <v>78</v>
      </c>
      <c r="D3502" s="1">
        <v>45982</v>
      </c>
      <c r="E3502" t="s">
        <v>4129</v>
      </c>
      <c r="F3502" t="s">
        <v>4125</v>
      </c>
    </row>
    <row r="3503" spans="1:6">
      <c r="A3503" t="s">
        <v>7632</v>
      </c>
      <c r="B3503" t="s">
        <v>1479</v>
      </c>
      <c r="C3503" t="s">
        <v>119</v>
      </c>
      <c r="D3503" s="1">
        <v>45880</v>
      </c>
      <c r="E3503" t="s">
        <v>4127</v>
      </c>
      <c r="F3503" t="s">
        <v>4137</v>
      </c>
    </row>
    <row r="3504" spans="1:6">
      <c r="A3504" t="s">
        <v>7633</v>
      </c>
      <c r="B3504" t="s">
        <v>1479</v>
      </c>
      <c r="C3504" t="s">
        <v>119</v>
      </c>
      <c r="D3504" s="1">
        <v>45873</v>
      </c>
      <c r="E3504" t="s">
        <v>4127</v>
      </c>
      <c r="F3504" t="s">
        <v>4125</v>
      </c>
    </row>
    <row r="3505" spans="1:6">
      <c r="A3505" t="s">
        <v>7634</v>
      </c>
      <c r="B3505" t="s">
        <v>1479</v>
      </c>
      <c r="C3505" t="s">
        <v>119</v>
      </c>
      <c r="D3505" s="1">
        <v>45875</v>
      </c>
      <c r="E3505" t="s">
        <v>4133</v>
      </c>
      <c r="F3505" t="s">
        <v>4137</v>
      </c>
    </row>
    <row r="3506" spans="1:6">
      <c r="A3506" t="s">
        <v>7635</v>
      </c>
      <c r="B3506" t="s">
        <v>1479</v>
      </c>
      <c r="C3506" t="s">
        <v>119</v>
      </c>
      <c r="D3506" s="1">
        <v>45898</v>
      </c>
      <c r="E3506" t="s">
        <v>4133</v>
      </c>
      <c r="F3506" t="s">
        <v>4137</v>
      </c>
    </row>
    <row r="3507" spans="1:6">
      <c r="A3507" t="s">
        <v>7636</v>
      </c>
      <c r="B3507" t="s">
        <v>1480</v>
      </c>
      <c r="C3507" t="s">
        <v>56</v>
      </c>
      <c r="D3507" s="1">
        <v>45797</v>
      </c>
      <c r="E3507" t="s">
        <v>4129</v>
      </c>
      <c r="F3507" t="s">
        <v>4137</v>
      </c>
    </row>
    <row r="3508" spans="1:6">
      <c r="A3508" t="s">
        <v>7637</v>
      </c>
      <c r="B3508" t="s">
        <v>1480</v>
      </c>
      <c r="C3508" t="s">
        <v>56</v>
      </c>
      <c r="D3508" s="1">
        <v>45809</v>
      </c>
      <c r="E3508" t="s">
        <v>4127</v>
      </c>
      <c r="F3508" t="s">
        <v>4139</v>
      </c>
    </row>
    <row r="3509" spans="1:6">
      <c r="A3509" t="s">
        <v>7638</v>
      </c>
      <c r="B3509" t="s">
        <v>1480</v>
      </c>
      <c r="C3509" t="s">
        <v>56</v>
      </c>
      <c r="D3509" s="1">
        <v>45816</v>
      </c>
      <c r="E3509" t="s">
        <v>4129</v>
      </c>
      <c r="F3509" t="s">
        <v>4139</v>
      </c>
    </row>
    <row r="3510" spans="1:6">
      <c r="A3510" t="s">
        <v>7639</v>
      </c>
      <c r="B3510" t="s">
        <v>1480</v>
      </c>
      <c r="C3510" t="s">
        <v>56</v>
      </c>
      <c r="D3510" s="1">
        <v>45792</v>
      </c>
      <c r="E3510" t="s">
        <v>4135</v>
      </c>
      <c r="F3510" t="s">
        <v>4139</v>
      </c>
    </row>
    <row r="3511" spans="1:6">
      <c r="A3511" t="s">
        <v>7640</v>
      </c>
      <c r="B3511" t="s">
        <v>1482</v>
      </c>
      <c r="C3511" t="s">
        <v>63</v>
      </c>
      <c r="D3511" s="1">
        <v>45904</v>
      </c>
      <c r="E3511" t="s">
        <v>4135</v>
      </c>
      <c r="F3511" t="s">
        <v>4139</v>
      </c>
    </row>
    <row r="3512" spans="1:6">
      <c r="A3512" t="s">
        <v>7641</v>
      </c>
      <c r="B3512" t="s">
        <v>1482</v>
      </c>
      <c r="C3512" t="s">
        <v>63</v>
      </c>
      <c r="D3512" s="1">
        <v>45874</v>
      </c>
      <c r="E3512" t="s">
        <v>4129</v>
      </c>
      <c r="F3512" t="s">
        <v>4137</v>
      </c>
    </row>
    <row r="3513" spans="1:6">
      <c r="A3513" t="s">
        <v>7642</v>
      </c>
      <c r="B3513" t="s">
        <v>1484</v>
      </c>
      <c r="C3513" t="s">
        <v>168</v>
      </c>
      <c r="D3513" s="1">
        <v>45719</v>
      </c>
      <c r="E3513" t="s">
        <v>4127</v>
      </c>
      <c r="F3513" t="s">
        <v>4125</v>
      </c>
    </row>
    <row r="3514" spans="1:6">
      <c r="A3514" t="s">
        <v>7643</v>
      </c>
      <c r="B3514" t="s">
        <v>1484</v>
      </c>
      <c r="C3514" t="s">
        <v>168</v>
      </c>
      <c r="D3514" s="1">
        <v>45727</v>
      </c>
      <c r="E3514" t="s">
        <v>4124</v>
      </c>
      <c r="F3514" t="s">
        <v>4137</v>
      </c>
    </row>
    <row r="3515" spans="1:6">
      <c r="A3515" t="s">
        <v>7644</v>
      </c>
      <c r="B3515" t="s">
        <v>1484</v>
      </c>
      <c r="C3515" t="s">
        <v>168</v>
      </c>
      <c r="D3515" s="1">
        <v>45721</v>
      </c>
      <c r="E3515" t="s">
        <v>4124</v>
      </c>
      <c r="F3515" t="s">
        <v>4125</v>
      </c>
    </row>
    <row r="3516" spans="1:6">
      <c r="A3516" t="s">
        <v>7645</v>
      </c>
      <c r="B3516" t="s">
        <v>1484</v>
      </c>
      <c r="C3516" t="s">
        <v>168</v>
      </c>
      <c r="D3516" s="1">
        <v>45718</v>
      </c>
      <c r="E3516" t="s">
        <v>4135</v>
      </c>
      <c r="F3516" t="s">
        <v>4139</v>
      </c>
    </row>
    <row r="3517" spans="1:6">
      <c r="A3517" t="s">
        <v>7646</v>
      </c>
      <c r="B3517" t="s">
        <v>1485</v>
      </c>
      <c r="C3517" t="s">
        <v>27</v>
      </c>
      <c r="D3517" s="1">
        <v>45858</v>
      </c>
      <c r="E3517" t="s">
        <v>4129</v>
      </c>
      <c r="F3517" t="s">
        <v>4139</v>
      </c>
    </row>
    <row r="3518" spans="1:6">
      <c r="A3518" t="s">
        <v>7647</v>
      </c>
      <c r="B3518" t="s">
        <v>1485</v>
      </c>
      <c r="C3518" t="s">
        <v>27</v>
      </c>
      <c r="D3518" s="1">
        <v>45848</v>
      </c>
      <c r="E3518" t="s">
        <v>4133</v>
      </c>
      <c r="F3518" t="s">
        <v>4139</v>
      </c>
    </row>
    <row r="3519" spans="1:6">
      <c r="A3519" t="s">
        <v>7648</v>
      </c>
      <c r="B3519" t="s">
        <v>1485</v>
      </c>
      <c r="C3519" t="s">
        <v>27</v>
      </c>
      <c r="D3519" s="1">
        <v>45821</v>
      </c>
      <c r="E3519" t="s">
        <v>4127</v>
      </c>
      <c r="F3519" t="s">
        <v>4139</v>
      </c>
    </row>
    <row r="3520" spans="1:6">
      <c r="A3520" t="s">
        <v>7649</v>
      </c>
      <c r="B3520" t="s">
        <v>1486</v>
      </c>
      <c r="C3520" t="s">
        <v>75</v>
      </c>
      <c r="D3520" s="1">
        <v>45915</v>
      </c>
      <c r="E3520" t="s">
        <v>4129</v>
      </c>
      <c r="F3520" t="s">
        <v>4137</v>
      </c>
    </row>
    <row r="3521" spans="1:6">
      <c r="A3521" t="s">
        <v>7650</v>
      </c>
      <c r="B3521" t="s">
        <v>1486</v>
      </c>
      <c r="C3521" t="s">
        <v>75</v>
      </c>
      <c r="D3521" s="1">
        <v>45934</v>
      </c>
      <c r="E3521" t="s">
        <v>4124</v>
      </c>
      <c r="F3521" t="s">
        <v>4139</v>
      </c>
    </row>
    <row r="3522" spans="1:6">
      <c r="A3522" t="s">
        <v>7651</v>
      </c>
      <c r="B3522" t="s">
        <v>1486</v>
      </c>
      <c r="C3522" t="s">
        <v>75</v>
      </c>
      <c r="D3522" s="1">
        <v>45929</v>
      </c>
      <c r="E3522" t="s">
        <v>4124</v>
      </c>
      <c r="F3522" t="s">
        <v>4139</v>
      </c>
    </row>
    <row r="3523" spans="1:6">
      <c r="A3523" t="s">
        <v>7652</v>
      </c>
      <c r="B3523" t="s">
        <v>1487</v>
      </c>
      <c r="C3523" t="s">
        <v>50</v>
      </c>
      <c r="D3523" s="1">
        <v>45785</v>
      </c>
      <c r="E3523" t="s">
        <v>4127</v>
      </c>
      <c r="F3523" t="s">
        <v>4137</v>
      </c>
    </row>
    <row r="3524" spans="1:6">
      <c r="A3524" t="s">
        <v>7653</v>
      </c>
      <c r="B3524" t="s">
        <v>1487</v>
      </c>
      <c r="C3524" t="s">
        <v>50</v>
      </c>
      <c r="D3524" s="1">
        <v>45793</v>
      </c>
      <c r="E3524" t="s">
        <v>4135</v>
      </c>
      <c r="F3524" t="s">
        <v>4139</v>
      </c>
    </row>
    <row r="3525" spans="1:6">
      <c r="A3525" t="s">
        <v>7654</v>
      </c>
      <c r="B3525" t="s">
        <v>1487</v>
      </c>
      <c r="C3525" t="s">
        <v>50</v>
      </c>
      <c r="D3525" s="1">
        <v>45773</v>
      </c>
      <c r="E3525" t="s">
        <v>4135</v>
      </c>
      <c r="F3525" t="s">
        <v>4125</v>
      </c>
    </row>
    <row r="3526" spans="1:6">
      <c r="A3526" t="s">
        <v>7655</v>
      </c>
      <c r="B3526" t="s">
        <v>1488</v>
      </c>
      <c r="C3526" t="s">
        <v>46</v>
      </c>
      <c r="D3526" s="1">
        <v>45763</v>
      </c>
      <c r="E3526" t="s">
        <v>4135</v>
      </c>
      <c r="F3526" t="s">
        <v>4139</v>
      </c>
    </row>
    <row r="3527" spans="1:6">
      <c r="A3527" t="s">
        <v>7656</v>
      </c>
      <c r="B3527" t="s">
        <v>1488</v>
      </c>
      <c r="C3527" t="s">
        <v>46</v>
      </c>
      <c r="D3527" s="1">
        <v>45771</v>
      </c>
      <c r="E3527" t="s">
        <v>4124</v>
      </c>
      <c r="F3527" t="s">
        <v>4137</v>
      </c>
    </row>
    <row r="3528" spans="1:6">
      <c r="A3528" t="s">
        <v>7657</v>
      </c>
      <c r="B3528" t="s">
        <v>1488</v>
      </c>
      <c r="C3528" t="s">
        <v>46</v>
      </c>
      <c r="D3528" s="1">
        <v>45767</v>
      </c>
      <c r="E3528" t="s">
        <v>4127</v>
      </c>
      <c r="F3528" t="s">
        <v>4137</v>
      </c>
    </row>
    <row r="3529" spans="1:6">
      <c r="A3529" t="s">
        <v>7658</v>
      </c>
      <c r="B3529" t="s">
        <v>1489</v>
      </c>
      <c r="C3529" t="s">
        <v>27</v>
      </c>
      <c r="D3529" s="1">
        <v>45671</v>
      </c>
      <c r="E3529" t="s">
        <v>4129</v>
      </c>
      <c r="F3529" t="s">
        <v>4125</v>
      </c>
    </row>
    <row r="3530" spans="1:6">
      <c r="A3530" t="s">
        <v>7659</v>
      </c>
      <c r="B3530" t="s">
        <v>1489</v>
      </c>
      <c r="C3530" t="s">
        <v>27</v>
      </c>
      <c r="D3530" s="1">
        <v>45707</v>
      </c>
      <c r="E3530" t="s">
        <v>4135</v>
      </c>
      <c r="F3530" t="s">
        <v>4125</v>
      </c>
    </row>
    <row r="3531" spans="1:6">
      <c r="A3531" t="s">
        <v>7660</v>
      </c>
      <c r="B3531" t="s">
        <v>1490</v>
      </c>
      <c r="C3531" t="s">
        <v>22</v>
      </c>
      <c r="D3531" s="1">
        <v>45958</v>
      </c>
      <c r="E3531" t="s">
        <v>4124</v>
      </c>
      <c r="F3531" t="s">
        <v>4137</v>
      </c>
    </row>
    <row r="3532" spans="1:6">
      <c r="A3532" t="s">
        <v>7661</v>
      </c>
      <c r="B3532" t="s">
        <v>1490</v>
      </c>
      <c r="C3532" t="s">
        <v>22</v>
      </c>
      <c r="D3532" s="1">
        <v>45962</v>
      </c>
      <c r="E3532" t="s">
        <v>4133</v>
      </c>
      <c r="F3532" t="s">
        <v>4137</v>
      </c>
    </row>
    <row r="3533" spans="1:6">
      <c r="A3533" t="s">
        <v>7662</v>
      </c>
      <c r="B3533" t="s">
        <v>1490</v>
      </c>
      <c r="C3533" t="s">
        <v>22</v>
      </c>
      <c r="D3533" s="1">
        <v>45962</v>
      </c>
      <c r="E3533" t="s">
        <v>4127</v>
      </c>
      <c r="F3533" t="s">
        <v>4139</v>
      </c>
    </row>
    <row r="3534" spans="1:6">
      <c r="A3534" t="s">
        <v>7663</v>
      </c>
      <c r="B3534" t="s">
        <v>1490</v>
      </c>
      <c r="C3534" t="s">
        <v>22</v>
      </c>
      <c r="D3534" s="1">
        <v>45960</v>
      </c>
      <c r="E3534" t="s">
        <v>4135</v>
      </c>
      <c r="F3534" t="s">
        <v>4125</v>
      </c>
    </row>
    <row r="3535" spans="1:6">
      <c r="A3535" t="s">
        <v>7664</v>
      </c>
      <c r="B3535" t="s">
        <v>1491</v>
      </c>
      <c r="C3535" t="s">
        <v>53</v>
      </c>
      <c r="D3535" s="1">
        <v>45784</v>
      </c>
      <c r="E3535" t="s">
        <v>4135</v>
      </c>
      <c r="F3535" t="s">
        <v>4137</v>
      </c>
    </row>
    <row r="3536" spans="1:6">
      <c r="A3536" t="s">
        <v>7665</v>
      </c>
      <c r="B3536" t="s">
        <v>1491</v>
      </c>
      <c r="C3536" t="s">
        <v>53</v>
      </c>
      <c r="D3536" s="1">
        <v>45784</v>
      </c>
      <c r="E3536" t="s">
        <v>4135</v>
      </c>
      <c r="F3536" t="s">
        <v>4139</v>
      </c>
    </row>
    <row r="3537" spans="1:6">
      <c r="A3537" t="s">
        <v>7666</v>
      </c>
      <c r="B3537" t="s">
        <v>1491</v>
      </c>
      <c r="C3537" t="s">
        <v>53</v>
      </c>
      <c r="D3537" s="1">
        <v>45766</v>
      </c>
      <c r="E3537" t="s">
        <v>4135</v>
      </c>
      <c r="F3537" t="s">
        <v>4125</v>
      </c>
    </row>
    <row r="3538" spans="1:6">
      <c r="A3538" t="s">
        <v>7667</v>
      </c>
      <c r="B3538" t="s">
        <v>1491</v>
      </c>
      <c r="C3538" t="s">
        <v>53</v>
      </c>
      <c r="D3538" s="1">
        <v>45760</v>
      </c>
      <c r="E3538" t="s">
        <v>4129</v>
      </c>
      <c r="F3538" t="s">
        <v>4139</v>
      </c>
    </row>
    <row r="3539" spans="1:6">
      <c r="A3539" t="s">
        <v>7668</v>
      </c>
      <c r="B3539" t="s">
        <v>1491</v>
      </c>
      <c r="C3539" t="s">
        <v>53</v>
      </c>
      <c r="D3539" s="1">
        <v>45742</v>
      </c>
      <c r="E3539" t="s">
        <v>4135</v>
      </c>
      <c r="F3539" t="s">
        <v>4139</v>
      </c>
    </row>
    <row r="3540" spans="1:6">
      <c r="A3540" t="s">
        <v>7669</v>
      </c>
      <c r="B3540" t="s">
        <v>1492</v>
      </c>
      <c r="C3540" t="s">
        <v>22</v>
      </c>
      <c r="D3540" s="1">
        <v>45965</v>
      </c>
      <c r="E3540" t="s">
        <v>4135</v>
      </c>
      <c r="F3540" t="s">
        <v>4137</v>
      </c>
    </row>
    <row r="3541" spans="1:6">
      <c r="A3541" t="s">
        <v>7670</v>
      </c>
      <c r="B3541" t="s">
        <v>1492</v>
      </c>
      <c r="C3541" t="s">
        <v>22</v>
      </c>
      <c r="D3541" s="1">
        <v>45977</v>
      </c>
      <c r="E3541" t="s">
        <v>4124</v>
      </c>
      <c r="F3541" t="s">
        <v>4137</v>
      </c>
    </row>
    <row r="3542" spans="1:6">
      <c r="A3542" t="s">
        <v>7671</v>
      </c>
      <c r="B3542" t="s">
        <v>1493</v>
      </c>
      <c r="C3542" t="s">
        <v>70</v>
      </c>
      <c r="D3542" s="1">
        <v>46005</v>
      </c>
      <c r="E3542" t="s">
        <v>4124</v>
      </c>
      <c r="F3542" t="s">
        <v>4125</v>
      </c>
    </row>
    <row r="3543" spans="1:6">
      <c r="A3543" t="s">
        <v>7672</v>
      </c>
      <c r="B3543" t="s">
        <v>1493</v>
      </c>
      <c r="C3543" t="s">
        <v>70</v>
      </c>
      <c r="D3543" s="1">
        <v>46020</v>
      </c>
      <c r="E3543" t="s">
        <v>4127</v>
      </c>
      <c r="F3543" t="s">
        <v>4137</v>
      </c>
    </row>
    <row r="3544" spans="1:6">
      <c r="A3544" t="s">
        <v>7673</v>
      </c>
      <c r="B3544" t="s">
        <v>1493</v>
      </c>
      <c r="C3544" t="s">
        <v>70</v>
      </c>
      <c r="D3544" s="1">
        <v>46008</v>
      </c>
      <c r="E3544" t="s">
        <v>4133</v>
      </c>
      <c r="F3544" t="s">
        <v>4139</v>
      </c>
    </row>
    <row r="3545" spans="1:6">
      <c r="A3545" t="s">
        <v>7674</v>
      </c>
      <c r="B3545" t="s">
        <v>1493</v>
      </c>
      <c r="C3545" t="s">
        <v>70</v>
      </c>
      <c r="D3545" s="1">
        <v>46009</v>
      </c>
      <c r="E3545" t="s">
        <v>4127</v>
      </c>
      <c r="F3545" t="s">
        <v>4139</v>
      </c>
    </row>
    <row r="3546" spans="1:6">
      <c r="A3546" t="s">
        <v>7675</v>
      </c>
      <c r="B3546" t="s">
        <v>1493</v>
      </c>
      <c r="C3546" t="s">
        <v>70</v>
      </c>
      <c r="D3546" s="1">
        <v>46002</v>
      </c>
      <c r="E3546" t="s">
        <v>4133</v>
      </c>
      <c r="F3546" t="s">
        <v>4139</v>
      </c>
    </row>
    <row r="3547" spans="1:6">
      <c r="A3547" t="s">
        <v>7676</v>
      </c>
      <c r="B3547" t="s">
        <v>1494</v>
      </c>
      <c r="C3547" t="s">
        <v>63</v>
      </c>
      <c r="D3547" s="1">
        <v>45976</v>
      </c>
      <c r="E3547" t="s">
        <v>4135</v>
      </c>
      <c r="F3547" t="s">
        <v>4139</v>
      </c>
    </row>
    <row r="3548" spans="1:6">
      <c r="A3548" t="s">
        <v>7677</v>
      </c>
      <c r="B3548" t="s">
        <v>1494</v>
      </c>
      <c r="C3548" t="s">
        <v>63</v>
      </c>
      <c r="D3548" s="1">
        <v>45958</v>
      </c>
      <c r="E3548" t="s">
        <v>4129</v>
      </c>
      <c r="F3548" t="s">
        <v>4137</v>
      </c>
    </row>
    <row r="3549" spans="1:6">
      <c r="A3549" t="s">
        <v>7678</v>
      </c>
      <c r="B3549" t="s">
        <v>1494</v>
      </c>
      <c r="C3549" t="s">
        <v>63</v>
      </c>
      <c r="D3549" s="1">
        <v>46000</v>
      </c>
      <c r="E3549" t="s">
        <v>4133</v>
      </c>
      <c r="F3549" t="s">
        <v>4125</v>
      </c>
    </row>
    <row r="3550" spans="1:6">
      <c r="A3550" t="s">
        <v>7679</v>
      </c>
      <c r="B3550" t="s">
        <v>1495</v>
      </c>
      <c r="C3550" t="s">
        <v>46</v>
      </c>
      <c r="D3550" s="1">
        <v>45705</v>
      </c>
      <c r="E3550" t="s">
        <v>4124</v>
      </c>
      <c r="F3550" t="s">
        <v>4125</v>
      </c>
    </row>
    <row r="3551" spans="1:6">
      <c r="A3551" t="s">
        <v>7680</v>
      </c>
      <c r="B3551" t="s">
        <v>1495</v>
      </c>
      <c r="C3551" t="s">
        <v>46</v>
      </c>
      <c r="D3551" s="1">
        <v>45717</v>
      </c>
      <c r="E3551" t="s">
        <v>4127</v>
      </c>
      <c r="F3551" t="s">
        <v>4125</v>
      </c>
    </row>
    <row r="3552" spans="1:6">
      <c r="A3552" t="s">
        <v>7681</v>
      </c>
      <c r="B3552" t="s">
        <v>1495</v>
      </c>
      <c r="C3552" t="s">
        <v>46</v>
      </c>
      <c r="D3552" s="1">
        <v>45721</v>
      </c>
      <c r="E3552" t="s">
        <v>4124</v>
      </c>
      <c r="F3552" t="s">
        <v>4125</v>
      </c>
    </row>
    <row r="3553" spans="1:6">
      <c r="A3553" t="s">
        <v>7682</v>
      </c>
      <c r="B3553" t="s">
        <v>1495</v>
      </c>
      <c r="C3553" t="s">
        <v>46</v>
      </c>
      <c r="D3553" s="1">
        <v>45728</v>
      </c>
      <c r="E3553" t="s">
        <v>4133</v>
      </c>
      <c r="F3553" t="s">
        <v>4137</v>
      </c>
    </row>
    <row r="3554" spans="1:6">
      <c r="A3554" t="s">
        <v>7683</v>
      </c>
      <c r="B3554" t="s">
        <v>1497</v>
      </c>
      <c r="C3554" t="s">
        <v>36</v>
      </c>
      <c r="D3554" s="1">
        <v>45825</v>
      </c>
      <c r="E3554" t="s">
        <v>4124</v>
      </c>
      <c r="F3554" t="s">
        <v>4137</v>
      </c>
    </row>
    <row r="3555" spans="1:6">
      <c r="A3555" t="s">
        <v>7684</v>
      </c>
      <c r="B3555" t="s">
        <v>1497</v>
      </c>
      <c r="C3555" t="s">
        <v>36</v>
      </c>
      <c r="D3555" s="1">
        <v>45862</v>
      </c>
      <c r="E3555" t="s">
        <v>4129</v>
      </c>
      <c r="F3555" t="s">
        <v>4139</v>
      </c>
    </row>
    <row r="3556" spans="1:6">
      <c r="A3556" t="s">
        <v>7685</v>
      </c>
      <c r="B3556" t="s">
        <v>1497</v>
      </c>
      <c r="C3556" t="s">
        <v>36</v>
      </c>
      <c r="D3556" s="1">
        <v>45856</v>
      </c>
      <c r="E3556" t="s">
        <v>4124</v>
      </c>
      <c r="F3556" t="s">
        <v>4139</v>
      </c>
    </row>
    <row r="3557" spans="1:6">
      <c r="A3557" t="s">
        <v>7686</v>
      </c>
      <c r="B3557" t="s">
        <v>1497</v>
      </c>
      <c r="C3557" t="s">
        <v>36</v>
      </c>
      <c r="D3557" s="1">
        <v>45872</v>
      </c>
      <c r="E3557" t="s">
        <v>4124</v>
      </c>
      <c r="F3557" t="s">
        <v>4125</v>
      </c>
    </row>
    <row r="3558" spans="1:6">
      <c r="A3558" t="s">
        <v>7687</v>
      </c>
      <c r="B3558" t="s">
        <v>1498</v>
      </c>
      <c r="C3558" t="s">
        <v>50</v>
      </c>
      <c r="D3558" s="1">
        <v>45715</v>
      </c>
      <c r="E3558" t="s">
        <v>4129</v>
      </c>
      <c r="F3558" t="s">
        <v>4137</v>
      </c>
    </row>
    <row r="3559" spans="1:6">
      <c r="A3559" t="s">
        <v>7688</v>
      </c>
      <c r="B3559" t="s">
        <v>1498</v>
      </c>
      <c r="C3559" t="s">
        <v>50</v>
      </c>
      <c r="D3559" s="1">
        <v>45735</v>
      </c>
      <c r="E3559" t="s">
        <v>4127</v>
      </c>
      <c r="F3559" t="s">
        <v>4125</v>
      </c>
    </row>
    <row r="3560" spans="1:6">
      <c r="A3560" t="s">
        <v>7689</v>
      </c>
      <c r="B3560" t="s">
        <v>1498</v>
      </c>
      <c r="C3560" t="s">
        <v>50</v>
      </c>
      <c r="D3560" s="1">
        <v>45736</v>
      </c>
      <c r="E3560" t="s">
        <v>4135</v>
      </c>
      <c r="F3560" t="s">
        <v>4139</v>
      </c>
    </row>
    <row r="3561" spans="1:6">
      <c r="A3561" t="s">
        <v>7690</v>
      </c>
      <c r="B3561" t="s">
        <v>1498</v>
      </c>
      <c r="C3561" t="s">
        <v>50</v>
      </c>
      <c r="D3561" s="1">
        <v>45721</v>
      </c>
      <c r="E3561" t="s">
        <v>4135</v>
      </c>
      <c r="F3561" t="s">
        <v>4125</v>
      </c>
    </row>
    <row r="3562" spans="1:6">
      <c r="A3562" t="s">
        <v>7691</v>
      </c>
      <c r="B3562" t="s">
        <v>1498</v>
      </c>
      <c r="C3562" t="s">
        <v>50</v>
      </c>
      <c r="D3562" s="1">
        <v>45702</v>
      </c>
      <c r="E3562" t="s">
        <v>4124</v>
      </c>
      <c r="F3562" t="s">
        <v>4125</v>
      </c>
    </row>
    <row r="3563" spans="1:6">
      <c r="A3563" t="s">
        <v>7692</v>
      </c>
      <c r="B3563" t="s">
        <v>1499</v>
      </c>
      <c r="C3563" t="s">
        <v>126</v>
      </c>
      <c r="D3563" s="1">
        <v>45716</v>
      </c>
      <c r="E3563" t="s">
        <v>4127</v>
      </c>
      <c r="F3563" t="s">
        <v>4125</v>
      </c>
    </row>
    <row r="3564" spans="1:6">
      <c r="A3564" t="s">
        <v>7693</v>
      </c>
      <c r="B3564" t="s">
        <v>1499</v>
      </c>
      <c r="C3564" t="s">
        <v>126</v>
      </c>
      <c r="D3564" s="1">
        <v>45726</v>
      </c>
      <c r="E3564" t="s">
        <v>4124</v>
      </c>
      <c r="F3564" t="s">
        <v>4125</v>
      </c>
    </row>
    <row r="3565" spans="1:6">
      <c r="A3565" t="s">
        <v>7694</v>
      </c>
      <c r="B3565" t="s">
        <v>1501</v>
      </c>
      <c r="C3565" t="s">
        <v>46</v>
      </c>
      <c r="D3565" s="1">
        <v>45935</v>
      </c>
      <c r="E3565" t="s">
        <v>4133</v>
      </c>
      <c r="F3565" t="s">
        <v>4125</v>
      </c>
    </row>
    <row r="3566" spans="1:6">
      <c r="A3566" t="s">
        <v>7695</v>
      </c>
      <c r="B3566" t="s">
        <v>1501</v>
      </c>
      <c r="C3566" t="s">
        <v>46</v>
      </c>
      <c r="D3566" s="1">
        <v>45922</v>
      </c>
      <c r="E3566" t="s">
        <v>4127</v>
      </c>
      <c r="F3566" t="s">
        <v>4139</v>
      </c>
    </row>
    <row r="3567" spans="1:6">
      <c r="A3567" t="s">
        <v>7696</v>
      </c>
      <c r="B3567" t="s">
        <v>1501</v>
      </c>
      <c r="C3567" t="s">
        <v>46</v>
      </c>
      <c r="D3567" s="1">
        <v>45930</v>
      </c>
      <c r="E3567" t="s">
        <v>4133</v>
      </c>
      <c r="F3567" t="s">
        <v>4137</v>
      </c>
    </row>
    <row r="3568" spans="1:6">
      <c r="A3568" t="s">
        <v>7697</v>
      </c>
      <c r="B3568" t="s">
        <v>1502</v>
      </c>
      <c r="C3568" t="s">
        <v>168</v>
      </c>
      <c r="D3568" s="1">
        <v>45741</v>
      </c>
      <c r="E3568" t="s">
        <v>4135</v>
      </c>
      <c r="F3568" t="s">
        <v>4139</v>
      </c>
    </row>
    <row r="3569" spans="1:6">
      <c r="A3569" t="s">
        <v>7698</v>
      </c>
      <c r="B3569" t="s">
        <v>1502</v>
      </c>
      <c r="C3569" t="s">
        <v>168</v>
      </c>
      <c r="D3569" s="1">
        <v>45753</v>
      </c>
      <c r="E3569" t="s">
        <v>4127</v>
      </c>
      <c r="F3569" t="s">
        <v>4139</v>
      </c>
    </row>
    <row r="3570" spans="1:6">
      <c r="A3570" t="s">
        <v>7699</v>
      </c>
      <c r="B3570" t="s">
        <v>1502</v>
      </c>
      <c r="C3570" t="s">
        <v>168</v>
      </c>
      <c r="D3570" s="1">
        <v>45739</v>
      </c>
      <c r="E3570" t="s">
        <v>4133</v>
      </c>
      <c r="F3570" t="s">
        <v>4137</v>
      </c>
    </row>
    <row r="3571" spans="1:6">
      <c r="A3571" t="s">
        <v>7700</v>
      </c>
      <c r="B3571" t="s">
        <v>1502</v>
      </c>
      <c r="C3571" t="s">
        <v>168</v>
      </c>
      <c r="D3571" s="1">
        <v>45741</v>
      </c>
      <c r="E3571" t="s">
        <v>4124</v>
      </c>
      <c r="F3571" t="s">
        <v>4125</v>
      </c>
    </row>
    <row r="3572" spans="1:6">
      <c r="A3572" t="s">
        <v>7701</v>
      </c>
      <c r="B3572" t="s">
        <v>1502</v>
      </c>
      <c r="C3572" t="s">
        <v>168</v>
      </c>
      <c r="D3572" s="1">
        <v>45750</v>
      </c>
      <c r="E3572" t="s">
        <v>4127</v>
      </c>
      <c r="F3572" t="s">
        <v>4125</v>
      </c>
    </row>
    <row r="3573" spans="1:6">
      <c r="A3573" t="s">
        <v>7702</v>
      </c>
      <c r="B3573" t="s">
        <v>1503</v>
      </c>
      <c r="C3573" t="s">
        <v>36</v>
      </c>
      <c r="D3573" s="1">
        <v>45760</v>
      </c>
      <c r="E3573" t="s">
        <v>4127</v>
      </c>
      <c r="F3573" t="s">
        <v>4137</v>
      </c>
    </row>
    <row r="3574" spans="1:6">
      <c r="A3574" t="s">
        <v>7703</v>
      </c>
      <c r="B3574" t="s">
        <v>1503</v>
      </c>
      <c r="C3574" t="s">
        <v>36</v>
      </c>
      <c r="D3574" s="1">
        <v>45756</v>
      </c>
      <c r="E3574" t="s">
        <v>4127</v>
      </c>
      <c r="F3574" t="s">
        <v>4125</v>
      </c>
    </row>
    <row r="3575" spans="1:6">
      <c r="A3575" t="s">
        <v>7704</v>
      </c>
      <c r="B3575" t="s">
        <v>1503</v>
      </c>
      <c r="C3575" t="s">
        <v>36</v>
      </c>
      <c r="D3575" s="1">
        <v>45763</v>
      </c>
      <c r="E3575" t="s">
        <v>4129</v>
      </c>
      <c r="F3575" t="s">
        <v>4125</v>
      </c>
    </row>
    <row r="3576" spans="1:6">
      <c r="A3576" t="s">
        <v>7705</v>
      </c>
      <c r="B3576" t="s">
        <v>1503</v>
      </c>
      <c r="C3576" t="s">
        <v>36</v>
      </c>
      <c r="D3576" s="1">
        <v>45761</v>
      </c>
      <c r="E3576" t="s">
        <v>4133</v>
      </c>
      <c r="F3576" t="s">
        <v>4137</v>
      </c>
    </row>
    <row r="3577" spans="1:6">
      <c r="A3577" t="s">
        <v>7706</v>
      </c>
      <c r="B3577" t="s">
        <v>1504</v>
      </c>
      <c r="C3577" t="s">
        <v>168</v>
      </c>
      <c r="D3577" s="1">
        <v>45741</v>
      </c>
      <c r="E3577" t="s">
        <v>4127</v>
      </c>
      <c r="F3577" t="s">
        <v>4139</v>
      </c>
    </row>
    <row r="3578" spans="1:6">
      <c r="A3578" t="s">
        <v>7707</v>
      </c>
      <c r="B3578" t="s">
        <v>1504</v>
      </c>
      <c r="C3578" t="s">
        <v>168</v>
      </c>
      <c r="D3578" s="1">
        <v>45720</v>
      </c>
      <c r="E3578" t="s">
        <v>4124</v>
      </c>
      <c r="F3578" t="s">
        <v>4137</v>
      </c>
    </row>
    <row r="3579" spans="1:6">
      <c r="A3579" t="s">
        <v>7708</v>
      </c>
      <c r="B3579" t="s">
        <v>1505</v>
      </c>
      <c r="C3579" t="s">
        <v>168</v>
      </c>
      <c r="D3579" s="1">
        <v>45878</v>
      </c>
      <c r="E3579" t="s">
        <v>4135</v>
      </c>
      <c r="F3579" t="s">
        <v>4137</v>
      </c>
    </row>
    <row r="3580" spans="1:6">
      <c r="A3580" t="s">
        <v>7709</v>
      </c>
      <c r="B3580" t="s">
        <v>1505</v>
      </c>
      <c r="C3580" t="s">
        <v>168</v>
      </c>
      <c r="D3580" s="1">
        <v>45892</v>
      </c>
      <c r="E3580" t="s">
        <v>4124</v>
      </c>
      <c r="F3580" t="s">
        <v>4137</v>
      </c>
    </row>
    <row r="3581" spans="1:6">
      <c r="A3581" t="s">
        <v>7710</v>
      </c>
      <c r="B3581" t="s">
        <v>1505</v>
      </c>
      <c r="C3581" t="s">
        <v>168</v>
      </c>
      <c r="D3581" s="1">
        <v>45871</v>
      </c>
      <c r="E3581" t="s">
        <v>4135</v>
      </c>
      <c r="F3581" t="s">
        <v>4137</v>
      </c>
    </row>
    <row r="3582" spans="1:6">
      <c r="A3582" t="s">
        <v>7711</v>
      </c>
      <c r="B3582" t="s">
        <v>1506</v>
      </c>
      <c r="C3582" t="s">
        <v>53</v>
      </c>
      <c r="D3582" s="1">
        <v>45923</v>
      </c>
      <c r="E3582" t="s">
        <v>4129</v>
      </c>
      <c r="F3582" t="s">
        <v>4139</v>
      </c>
    </row>
    <row r="3583" spans="1:6">
      <c r="A3583" t="s">
        <v>7712</v>
      </c>
      <c r="B3583" t="s">
        <v>1506</v>
      </c>
      <c r="C3583" t="s">
        <v>53</v>
      </c>
      <c r="D3583" s="1">
        <v>45873</v>
      </c>
      <c r="E3583" t="s">
        <v>4127</v>
      </c>
      <c r="F3583" t="s">
        <v>4125</v>
      </c>
    </row>
    <row r="3584" spans="1:6">
      <c r="A3584" t="s">
        <v>7713</v>
      </c>
      <c r="B3584" t="s">
        <v>1506</v>
      </c>
      <c r="C3584" t="s">
        <v>53</v>
      </c>
      <c r="D3584" s="1">
        <v>45918</v>
      </c>
      <c r="E3584" t="s">
        <v>4135</v>
      </c>
      <c r="F3584" t="s">
        <v>4139</v>
      </c>
    </row>
    <row r="3585" spans="1:6">
      <c r="A3585" t="s">
        <v>7714</v>
      </c>
      <c r="B3585" t="s">
        <v>1507</v>
      </c>
      <c r="C3585" t="s">
        <v>46</v>
      </c>
      <c r="D3585" s="1">
        <v>45714</v>
      </c>
      <c r="E3585" t="s">
        <v>4129</v>
      </c>
      <c r="F3585" t="s">
        <v>4137</v>
      </c>
    </row>
    <row r="3586" spans="1:6">
      <c r="A3586" t="s">
        <v>7715</v>
      </c>
      <c r="B3586" t="s">
        <v>1507</v>
      </c>
      <c r="C3586" t="s">
        <v>46</v>
      </c>
      <c r="D3586" s="1">
        <v>45708</v>
      </c>
      <c r="E3586" t="s">
        <v>4124</v>
      </c>
      <c r="F3586" t="s">
        <v>4139</v>
      </c>
    </row>
    <row r="3587" spans="1:6">
      <c r="A3587" t="s">
        <v>7716</v>
      </c>
      <c r="B3587" t="s">
        <v>1507</v>
      </c>
      <c r="C3587" t="s">
        <v>46</v>
      </c>
      <c r="D3587" s="1">
        <v>45723</v>
      </c>
      <c r="E3587" t="s">
        <v>4135</v>
      </c>
      <c r="F3587" t="s">
        <v>4125</v>
      </c>
    </row>
    <row r="3588" spans="1:6">
      <c r="A3588" t="s">
        <v>7717</v>
      </c>
      <c r="B3588" t="s">
        <v>1507</v>
      </c>
      <c r="C3588" t="s">
        <v>46</v>
      </c>
      <c r="D3588" s="1">
        <v>45720</v>
      </c>
      <c r="E3588" t="s">
        <v>4135</v>
      </c>
      <c r="F3588" t="s">
        <v>4125</v>
      </c>
    </row>
    <row r="3589" spans="1:6">
      <c r="A3589" t="s">
        <v>7718</v>
      </c>
      <c r="B3589" t="s">
        <v>1508</v>
      </c>
      <c r="C3589" t="s">
        <v>126</v>
      </c>
      <c r="D3589" s="1">
        <v>45682</v>
      </c>
      <c r="E3589" t="s">
        <v>4135</v>
      </c>
      <c r="F3589" t="s">
        <v>4139</v>
      </c>
    </row>
    <row r="3590" spans="1:6">
      <c r="A3590" t="s">
        <v>7719</v>
      </c>
      <c r="B3590" t="s">
        <v>1508</v>
      </c>
      <c r="C3590" t="s">
        <v>126</v>
      </c>
      <c r="D3590" s="1">
        <v>45682</v>
      </c>
      <c r="E3590" t="s">
        <v>4135</v>
      </c>
      <c r="F3590" t="s">
        <v>4125</v>
      </c>
    </row>
    <row r="3591" spans="1:6">
      <c r="A3591" t="s">
        <v>7720</v>
      </c>
      <c r="B3591" t="s">
        <v>1508</v>
      </c>
      <c r="C3591" t="s">
        <v>126</v>
      </c>
      <c r="D3591" s="1">
        <v>45680</v>
      </c>
      <c r="E3591" t="s">
        <v>4133</v>
      </c>
      <c r="F3591" t="s">
        <v>4137</v>
      </c>
    </row>
    <row r="3592" spans="1:6">
      <c r="A3592" t="s">
        <v>7721</v>
      </c>
      <c r="B3592" t="s">
        <v>1508</v>
      </c>
      <c r="C3592" t="s">
        <v>126</v>
      </c>
      <c r="D3592" s="1">
        <v>45686</v>
      </c>
      <c r="E3592" t="s">
        <v>4135</v>
      </c>
      <c r="F3592" t="s">
        <v>4139</v>
      </c>
    </row>
    <row r="3593" spans="1:6">
      <c r="A3593" t="s">
        <v>7722</v>
      </c>
      <c r="B3593" t="s">
        <v>1509</v>
      </c>
      <c r="C3593" t="s">
        <v>27</v>
      </c>
      <c r="D3593" s="1">
        <v>45764</v>
      </c>
      <c r="E3593" t="s">
        <v>4133</v>
      </c>
      <c r="F3593" t="s">
        <v>4125</v>
      </c>
    </row>
    <row r="3594" spans="1:6">
      <c r="A3594" t="s">
        <v>7723</v>
      </c>
      <c r="B3594" t="s">
        <v>1509</v>
      </c>
      <c r="C3594" t="s">
        <v>27</v>
      </c>
      <c r="D3594" s="1">
        <v>45759</v>
      </c>
      <c r="E3594" t="s">
        <v>4129</v>
      </c>
      <c r="F3594" t="s">
        <v>4139</v>
      </c>
    </row>
    <row r="3595" spans="1:6">
      <c r="A3595" t="s">
        <v>7724</v>
      </c>
      <c r="B3595" t="s">
        <v>1509</v>
      </c>
      <c r="C3595" t="s">
        <v>27</v>
      </c>
      <c r="D3595" s="1">
        <v>45761</v>
      </c>
      <c r="E3595" t="s">
        <v>4129</v>
      </c>
      <c r="F3595" t="s">
        <v>4137</v>
      </c>
    </row>
    <row r="3596" spans="1:6">
      <c r="A3596" t="s">
        <v>7725</v>
      </c>
      <c r="B3596" t="s">
        <v>1509</v>
      </c>
      <c r="C3596" t="s">
        <v>27</v>
      </c>
      <c r="D3596" s="1">
        <v>45765</v>
      </c>
      <c r="E3596" t="s">
        <v>4124</v>
      </c>
      <c r="F3596" t="s">
        <v>4137</v>
      </c>
    </row>
    <row r="3597" spans="1:6">
      <c r="A3597" t="s">
        <v>7726</v>
      </c>
      <c r="B3597" t="s">
        <v>1510</v>
      </c>
      <c r="C3597" t="s">
        <v>46</v>
      </c>
      <c r="D3597" s="1">
        <v>45975</v>
      </c>
      <c r="E3597" t="s">
        <v>4127</v>
      </c>
      <c r="F3597" t="s">
        <v>4139</v>
      </c>
    </row>
    <row r="3598" spans="1:6">
      <c r="A3598" t="s">
        <v>7727</v>
      </c>
      <c r="B3598" t="s">
        <v>1510</v>
      </c>
      <c r="C3598" t="s">
        <v>46</v>
      </c>
      <c r="D3598" s="1">
        <v>45999</v>
      </c>
      <c r="E3598" t="s">
        <v>4133</v>
      </c>
      <c r="F3598" t="s">
        <v>4139</v>
      </c>
    </row>
    <row r="3599" spans="1:6">
      <c r="A3599" t="s">
        <v>7728</v>
      </c>
      <c r="B3599" t="s">
        <v>1510</v>
      </c>
      <c r="C3599" t="s">
        <v>46</v>
      </c>
      <c r="D3599" s="1">
        <v>45980</v>
      </c>
      <c r="E3599" t="s">
        <v>4135</v>
      </c>
      <c r="F3599" t="s">
        <v>4125</v>
      </c>
    </row>
    <row r="3600" spans="1:6">
      <c r="A3600" t="s">
        <v>7729</v>
      </c>
      <c r="B3600" t="s">
        <v>1510</v>
      </c>
      <c r="C3600" t="s">
        <v>46</v>
      </c>
      <c r="D3600" s="1">
        <v>45988</v>
      </c>
      <c r="E3600" t="s">
        <v>4124</v>
      </c>
      <c r="F3600" t="s">
        <v>4137</v>
      </c>
    </row>
    <row r="3601" spans="1:6">
      <c r="A3601" t="s">
        <v>7730</v>
      </c>
      <c r="B3601" t="s">
        <v>1510</v>
      </c>
      <c r="C3601" t="s">
        <v>46</v>
      </c>
      <c r="D3601" s="1">
        <v>45996</v>
      </c>
      <c r="E3601" t="s">
        <v>4129</v>
      </c>
      <c r="F3601" t="s">
        <v>4137</v>
      </c>
    </row>
    <row r="3602" spans="1:6">
      <c r="A3602" t="s">
        <v>7731</v>
      </c>
      <c r="B3602" t="s">
        <v>1512</v>
      </c>
      <c r="C3602" t="s">
        <v>119</v>
      </c>
      <c r="D3602" s="1">
        <v>45874</v>
      </c>
      <c r="E3602" t="s">
        <v>4133</v>
      </c>
      <c r="F3602" t="s">
        <v>4125</v>
      </c>
    </row>
    <row r="3603" spans="1:6">
      <c r="A3603" t="s">
        <v>7732</v>
      </c>
      <c r="B3603" t="s">
        <v>1512</v>
      </c>
      <c r="C3603" t="s">
        <v>119</v>
      </c>
      <c r="D3603" s="1">
        <v>45852</v>
      </c>
      <c r="E3603" t="s">
        <v>4135</v>
      </c>
      <c r="F3603" t="s">
        <v>4139</v>
      </c>
    </row>
    <row r="3604" spans="1:6">
      <c r="A3604" t="s">
        <v>7733</v>
      </c>
      <c r="B3604" t="s">
        <v>1512</v>
      </c>
      <c r="C3604" t="s">
        <v>119</v>
      </c>
      <c r="D3604" s="1">
        <v>45843</v>
      </c>
      <c r="E3604" t="s">
        <v>4135</v>
      </c>
      <c r="F3604" t="s">
        <v>4139</v>
      </c>
    </row>
    <row r="3605" spans="1:6">
      <c r="A3605" t="s">
        <v>7734</v>
      </c>
      <c r="B3605" t="s">
        <v>1512</v>
      </c>
      <c r="C3605" t="s">
        <v>119</v>
      </c>
      <c r="D3605" s="1">
        <v>45864</v>
      </c>
      <c r="E3605" t="s">
        <v>4135</v>
      </c>
      <c r="F3605" t="s">
        <v>4125</v>
      </c>
    </row>
    <row r="3606" spans="1:6">
      <c r="A3606" t="s">
        <v>7735</v>
      </c>
      <c r="B3606" t="s">
        <v>1513</v>
      </c>
      <c r="C3606" t="s">
        <v>75</v>
      </c>
      <c r="D3606" s="1">
        <v>45758</v>
      </c>
      <c r="E3606" t="s">
        <v>4135</v>
      </c>
      <c r="F3606" t="s">
        <v>4125</v>
      </c>
    </row>
    <row r="3607" spans="1:6">
      <c r="A3607" t="s">
        <v>7736</v>
      </c>
      <c r="B3607" t="s">
        <v>1513</v>
      </c>
      <c r="C3607" t="s">
        <v>75</v>
      </c>
      <c r="D3607" s="1">
        <v>45757</v>
      </c>
      <c r="E3607" t="s">
        <v>4129</v>
      </c>
      <c r="F3607" t="s">
        <v>4139</v>
      </c>
    </row>
    <row r="3608" spans="1:6">
      <c r="A3608" t="s">
        <v>7737</v>
      </c>
      <c r="B3608" t="s">
        <v>1514</v>
      </c>
      <c r="C3608" t="s">
        <v>152</v>
      </c>
      <c r="D3608" s="1">
        <v>45925</v>
      </c>
      <c r="E3608" t="s">
        <v>4124</v>
      </c>
      <c r="F3608" t="s">
        <v>4125</v>
      </c>
    </row>
    <row r="3609" spans="1:6">
      <c r="A3609" t="s">
        <v>7738</v>
      </c>
      <c r="B3609" t="s">
        <v>1514</v>
      </c>
      <c r="C3609" t="s">
        <v>152</v>
      </c>
      <c r="D3609" s="1">
        <v>45984</v>
      </c>
      <c r="E3609" t="s">
        <v>4129</v>
      </c>
      <c r="F3609" t="s">
        <v>4125</v>
      </c>
    </row>
    <row r="3610" spans="1:6">
      <c r="A3610" t="s">
        <v>7739</v>
      </c>
      <c r="B3610" t="s">
        <v>1514</v>
      </c>
      <c r="C3610" t="s">
        <v>152</v>
      </c>
      <c r="D3610" s="1">
        <v>45941</v>
      </c>
      <c r="E3610" t="s">
        <v>4129</v>
      </c>
      <c r="F3610" t="s">
        <v>4125</v>
      </c>
    </row>
    <row r="3611" spans="1:6">
      <c r="A3611" t="s">
        <v>7740</v>
      </c>
      <c r="B3611" t="s">
        <v>1514</v>
      </c>
      <c r="C3611" t="s">
        <v>152</v>
      </c>
      <c r="D3611" s="1">
        <v>45973</v>
      </c>
      <c r="E3611" t="s">
        <v>4133</v>
      </c>
      <c r="F3611" t="s">
        <v>4125</v>
      </c>
    </row>
    <row r="3612" spans="1:6">
      <c r="A3612" t="s">
        <v>7741</v>
      </c>
      <c r="B3612" t="s">
        <v>1514</v>
      </c>
      <c r="C3612" t="s">
        <v>152</v>
      </c>
      <c r="D3612" s="1">
        <v>45926</v>
      </c>
      <c r="E3612" t="s">
        <v>4129</v>
      </c>
      <c r="F3612" t="s">
        <v>4125</v>
      </c>
    </row>
    <row r="3613" spans="1:6">
      <c r="A3613" t="s">
        <v>7742</v>
      </c>
      <c r="B3613" t="s">
        <v>1515</v>
      </c>
      <c r="C3613" t="s">
        <v>50</v>
      </c>
      <c r="D3613" s="1">
        <v>45713</v>
      </c>
      <c r="E3613" t="s">
        <v>4133</v>
      </c>
      <c r="F3613" t="s">
        <v>4139</v>
      </c>
    </row>
    <row r="3614" spans="1:6">
      <c r="A3614" t="s">
        <v>7743</v>
      </c>
      <c r="B3614" t="s">
        <v>1515</v>
      </c>
      <c r="C3614" t="s">
        <v>50</v>
      </c>
      <c r="D3614" s="1">
        <v>45668</v>
      </c>
      <c r="E3614" t="s">
        <v>4127</v>
      </c>
      <c r="F3614" t="s">
        <v>4139</v>
      </c>
    </row>
    <row r="3615" spans="1:6">
      <c r="A3615" t="s">
        <v>7744</v>
      </c>
      <c r="B3615" t="s">
        <v>1515</v>
      </c>
      <c r="C3615" t="s">
        <v>50</v>
      </c>
      <c r="D3615" s="1">
        <v>45715</v>
      </c>
      <c r="E3615" t="s">
        <v>4135</v>
      </c>
      <c r="F3615" t="s">
        <v>4125</v>
      </c>
    </row>
    <row r="3616" spans="1:6">
      <c r="A3616" t="s">
        <v>7745</v>
      </c>
      <c r="B3616" t="s">
        <v>1516</v>
      </c>
      <c r="C3616" t="s">
        <v>50</v>
      </c>
      <c r="D3616" s="1">
        <v>45865</v>
      </c>
      <c r="E3616" t="s">
        <v>4127</v>
      </c>
      <c r="F3616" t="s">
        <v>4139</v>
      </c>
    </row>
    <row r="3617" spans="1:6">
      <c r="A3617" t="s">
        <v>7746</v>
      </c>
      <c r="B3617" t="s">
        <v>1516</v>
      </c>
      <c r="C3617" t="s">
        <v>50</v>
      </c>
      <c r="D3617" s="1">
        <v>45876</v>
      </c>
      <c r="E3617" t="s">
        <v>4135</v>
      </c>
      <c r="F3617" t="s">
        <v>4125</v>
      </c>
    </row>
    <row r="3618" spans="1:6">
      <c r="A3618" t="s">
        <v>7747</v>
      </c>
      <c r="B3618" t="s">
        <v>1516</v>
      </c>
      <c r="C3618" t="s">
        <v>50</v>
      </c>
      <c r="D3618" s="1">
        <v>45860</v>
      </c>
      <c r="E3618" t="s">
        <v>4127</v>
      </c>
      <c r="F3618" t="s">
        <v>4125</v>
      </c>
    </row>
    <row r="3619" spans="1:6">
      <c r="A3619" t="s">
        <v>7748</v>
      </c>
      <c r="B3619" t="s">
        <v>1516</v>
      </c>
      <c r="C3619" t="s">
        <v>50</v>
      </c>
      <c r="D3619" s="1">
        <v>45865</v>
      </c>
      <c r="E3619" t="s">
        <v>4124</v>
      </c>
      <c r="F3619" t="s">
        <v>4125</v>
      </c>
    </row>
    <row r="3620" spans="1:6">
      <c r="A3620" t="s">
        <v>7749</v>
      </c>
      <c r="B3620" t="s">
        <v>1518</v>
      </c>
      <c r="C3620" t="s">
        <v>63</v>
      </c>
      <c r="D3620" s="1">
        <v>46000</v>
      </c>
      <c r="E3620" t="s">
        <v>4124</v>
      </c>
      <c r="F3620" t="s">
        <v>4139</v>
      </c>
    </row>
    <row r="3621" spans="1:6">
      <c r="A3621" t="s">
        <v>7750</v>
      </c>
      <c r="B3621" t="s">
        <v>1518</v>
      </c>
      <c r="C3621" t="s">
        <v>63</v>
      </c>
      <c r="D3621" s="1">
        <v>45985</v>
      </c>
      <c r="E3621" t="s">
        <v>4135</v>
      </c>
      <c r="F3621" t="s">
        <v>4125</v>
      </c>
    </row>
    <row r="3622" spans="1:6">
      <c r="A3622" t="s">
        <v>7751</v>
      </c>
      <c r="B3622" t="s">
        <v>1518</v>
      </c>
      <c r="C3622" t="s">
        <v>63</v>
      </c>
      <c r="D3622" s="1">
        <v>45984</v>
      </c>
      <c r="E3622" t="s">
        <v>4129</v>
      </c>
      <c r="F3622" t="s">
        <v>4125</v>
      </c>
    </row>
    <row r="3623" spans="1:6">
      <c r="A3623" t="s">
        <v>7752</v>
      </c>
      <c r="B3623" t="s">
        <v>1519</v>
      </c>
      <c r="C3623" t="s">
        <v>126</v>
      </c>
      <c r="D3623" s="1">
        <v>45823</v>
      </c>
      <c r="E3623" t="s">
        <v>4129</v>
      </c>
      <c r="F3623" t="s">
        <v>4137</v>
      </c>
    </row>
    <row r="3624" spans="1:6">
      <c r="A3624" t="s">
        <v>7753</v>
      </c>
      <c r="B3624" t="s">
        <v>1519</v>
      </c>
      <c r="C3624" t="s">
        <v>126</v>
      </c>
      <c r="D3624" s="1">
        <v>45778</v>
      </c>
      <c r="E3624" t="s">
        <v>4124</v>
      </c>
      <c r="F3624" t="s">
        <v>4137</v>
      </c>
    </row>
    <row r="3625" spans="1:6">
      <c r="A3625" t="s">
        <v>7754</v>
      </c>
      <c r="B3625" t="s">
        <v>1520</v>
      </c>
      <c r="C3625" t="s">
        <v>36</v>
      </c>
      <c r="D3625" s="1">
        <v>45956</v>
      </c>
      <c r="E3625" t="s">
        <v>4135</v>
      </c>
      <c r="F3625" t="s">
        <v>4139</v>
      </c>
    </row>
    <row r="3626" spans="1:6">
      <c r="A3626" t="s">
        <v>7755</v>
      </c>
      <c r="B3626" t="s">
        <v>1520</v>
      </c>
      <c r="C3626" t="s">
        <v>36</v>
      </c>
      <c r="D3626" s="1">
        <v>45947</v>
      </c>
      <c r="E3626" t="s">
        <v>4129</v>
      </c>
      <c r="F3626" t="s">
        <v>4139</v>
      </c>
    </row>
    <row r="3627" spans="1:6">
      <c r="A3627" t="s">
        <v>7756</v>
      </c>
      <c r="B3627" t="s">
        <v>1520</v>
      </c>
      <c r="C3627" t="s">
        <v>36</v>
      </c>
      <c r="D3627" s="1">
        <v>45943</v>
      </c>
      <c r="E3627" t="s">
        <v>4129</v>
      </c>
      <c r="F3627" t="s">
        <v>4125</v>
      </c>
    </row>
    <row r="3628" spans="1:6">
      <c r="A3628" t="s">
        <v>7757</v>
      </c>
      <c r="B3628" t="s">
        <v>1521</v>
      </c>
      <c r="C3628" t="s">
        <v>16</v>
      </c>
      <c r="D3628" s="1">
        <v>45804</v>
      </c>
      <c r="E3628" t="s">
        <v>4124</v>
      </c>
      <c r="F3628" t="s">
        <v>4137</v>
      </c>
    </row>
    <row r="3629" spans="1:6">
      <c r="A3629" t="s">
        <v>7758</v>
      </c>
      <c r="B3629" t="s">
        <v>1521</v>
      </c>
      <c r="C3629" t="s">
        <v>16</v>
      </c>
      <c r="D3629" s="1">
        <v>45802</v>
      </c>
      <c r="E3629" t="s">
        <v>4133</v>
      </c>
      <c r="F3629" t="s">
        <v>4125</v>
      </c>
    </row>
    <row r="3630" spans="1:6">
      <c r="A3630" t="s">
        <v>7759</v>
      </c>
      <c r="B3630" t="s">
        <v>1522</v>
      </c>
      <c r="C3630" t="s">
        <v>40</v>
      </c>
      <c r="D3630" s="1">
        <v>45964</v>
      </c>
      <c r="E3630" t="s">
        <v>4129</v>
      </c>
      <c r="F3630" t="s">
        <v>4139</v>
      </c>
    </row>
    <row r="3631" spans="1:6">
      <c r="A3631" t="s">
        <v>7760</v>
      </c>
      <c r="B3631" t="s">
        <v>1522</v>
      </c>
      <c r="C3631" t="s">
        <v>40</v>
      </c>
      <c r="D3631" s="1">
        <v>46014</v>
      </c>
      <c r="E3631" t="s">
        <v>4129</v>
      </c>
      <c r="F3631" t="s">
        <v>4137</v>
      </c>
    </row>
    <row r="3632" spans="1:6">
      <c r="A3632" t="s">
        <v>7761</v>
      </c>
      <c r="B3632" t="s">
        <v>1522</v>
      </c>
      <c r="C3632" t="s">
        <v>40</v>
      </c>
      <c r="D3632" s="1">
        <v>46007</v>
      </c>
      <c r="E3632" t="s">
        <v>4133</v>
      </c>
      <c r="F3632" t="s">
        <v>4137</v>
      </c>
    </row>
    <row r="3633" spans="1:6">
      <c r="A3633" t="s">
        <v>7762</v>
      </c>
      <c r="B3633" t="s">
        <v>1523</v>
      </c>
      <c r="C3633" t="s">
        <v>46</v>
      </c>
      <c r="D3633" s="1">
        <v>45860</v>
      </c>
      <c r="E3633" t="s">
        <v>4124</v>
      </c>
      <c r="F3633" t="s">
        <v>4139</v>
      </c>
    </row>
    <row r="3634" spans="1:6">
      <c r="A3634" t="s">
        <v>7763</v>
      </c>
      <c r="B3634" t="s">
        <v>1523</v>
      </c>
      <c r="C3634" t="s">
        <v>46</v>
      </c>
      <c r="D3634" s="1">
        <v>45885</v>
      </c>
      <c r="E3634" t="s">
        <v>4133</v>
      </c>
      <c r="F3634" t="s">
        <v>4125</v>
      </c>
    </row>
    <row r="3635" spans="1:6">
      <c r="A3635" t="s">
        <v>7764</v>
      </c>
      <c r="B3635" t="s">
        <v>1523</v>
      </c>
      <c r="C3635" t="s">
        <v>46</v>
      </c>
      <c r="D3635" s="1">
        <v>45890</v>
      </c>
      <c r="E3635" t="s">
        <v>4135</v>
      </c>
      <c r="F3635" t="s">
        <v>4125</v>
      </c>
    </row>
    <row r="3636" spans="1:6">
      <c r="A3636" t="s">
        <v>7765</v>
      </c>
      <c r="B3636" t="s">
        <v>1523</v>
      </c>
      <c r="C3636" t="s">
        <v>46</v>
      </c>
      <c r="D3636" s="1">
        <v>45863</v>
      </c>
      <c r="E3636" t="s">
        <v>4124</v>
      </c>
      <c r="F3636" t="s">
        <v>4137</v>
      </c>
    </row>
    <row r="3637" spans="1:6">
      <c r="A3637" t="s">
        <v>7766</v>
      </c>
      <c r="B3637" t="s">
        <v>1524</v>
      </c>
      <c r="C3637" t="s">
        <v>56</v>
      </c>
      <c r="D3637" s="1">
        <v>45895</v>
      </c>
      <c r="E3637" t="s">
        <v>4124</v>
      </c>
      <c r="F3637" t="s">
        <v>4139</v>
      </c>
    </row>
    <row r="3638" spans="1:6">
      <c r="A3638" t="s">
        <v>7767</v>
      </c>
      <c r="B3638" t="s">
        <v>1524</v>
      </c>
      <c r="C3638" t="s">
        <v>56</v>
      </c>
      <c r="D3638" s="1">
        <v>45893</v>
      </c>
      <c r="E3638" t="s">
        <v>4129</v>
      </c>
      <c r="F3638" t="s">
        <v>4125</v>
      </c>
    </row>
    <row r="3639" spans="1:6">
      <c r="A3639" t="s">
        <v>7768</v>
      </c>
      <c r="B3639" t="s">
        <v>1524</v>
      </c>
      <c r="C3639" t="s">
        <v>56</v>
      </c>
      <c r="D3639" s="1">
        <v>45929</v>
      </c>
      <c r="E3639" t="s">
        <v>4129</v>
      </c>
      <c r="F3639" t="s">
        <v>4139</v>
      </c>
    </row>
    <row r="3640" spans="1:6">
      <c r="A3640" t="s">
        <v>7769</v>
      </c>
      <c r="B3640" t="s">
        <v>1525</v>
      </c>
      <c r="C3640" t="s">
        <v>75</v>
      </c>
      <c r="D3640" s="1">
        <v>46003</v>
      </c>
      <c r="E3640" t="s">
        <v>4129</v>
      </c>
      <c r="F3640" t="s">
        <v>4139</v>
      </c>
    </row>
    <row r="3641" spans="1:6">
      <c r="A3641" t="s">
        <v>7770</v>
      </c>
      <c r="B3641" t="s">
        <v>1525</v>
      </c>
      <c r="C3641" t="s">
        <v>75</v>
      </c>
      <c r="D3641" s="1">
        <v>45994</v>
      </c>
      <c r="E3641" t="s">
        <v>4127</v>
      </c>
      <c r="F3641" t="s">
        <v>4125</v>
      </c>
    </row>
    <row r="3642" spans="1:6">
      <c r="A3642" t="s">
        <v>7771</v>
      </c>
      <c r="B3642" t="s">
        <v>1525</v>
      </c>
      <c r="C3642" t="s">
        <v>75</v>
      </c>
      <c r="D3642" s="1">
        <v>45996</v>
      </c>
      <c r="E3642" t="s">
        <v>4135</v>
      </c>
      <c r="F3642" t="s">
        <v>4125</v>
      </c>
    </row>
    <row r="3643" spans="1:6">
      <c r="A3643" t="s">
        <v>7772</v>
      </c>
      <c r="B3643" t="s">
        <v>1527</v>
      </c>
      <c r="C3643" t="s">
        <v>56</v>
      </c>
      <c r="D3643" s="1">
        <v>45815</v>
      </c>
      <c r="E3643" t="s">
        <v>4129</v>
      </c>
      <c r="F3643" t="s">
        <v>4139</v>
      </c>
    </row>
    <row r="3644" spans="1:6">
      <c r="A3644" t="s">
        <v>7773</v>
      </c>
      <c r="B3644" t="s">
        <v>1527</v>
      </c>
      <c r="C3644" t="s">
        <v>56</v>
      </c>
      <c r="D3644" s="1">
        <v>45871</v>
      </c>
      <c r="E3644" t="s">
        <v>4127</v>
      </c>
      <c r="F3644" t="s">
        <v>4125</v>
      </c>
    </row>
    <row r="3645" spans="1:6">
      <c r="A3645" t="s">
        <v>7774</v>
      </c>
      <c r="B3645" t="s">
        <v>1527</v>
      </c>
      <c r="C3645" t="s">
        <v>56</v>
      </c>
      <c r="D3645" s="1">
        <v>45876</v>
      </c>
      <c r="E3645" t="s">
        <v>4127</v>
      </c>
      <c r="F3645" t="s">
        <v>4125</v>
      </c>
    </row>
    <row r="3646" spans="1:6">
      <c r="A3646" t="s">
        <v>7775</v>
      </c>
      <c r="B3646" t="s">
        <v>1527</v>
      </c>
      <c r="C3646" t="s">
        <v>56</v>
      </c>
      <c r="D3646" s="1">
        <v>45858</v>
      </c>
      <c r="E3646" t="s">
        <v>4129</v>
      </c>
      <c r="F3646" t="s">
        <v>4125</v>
      </c>
    </row>
    <row r="3647" spans="1:6">
      <c r="A3647" t="s">
        <v>7776</v>
      </c>
      <c r="B3647" t="s">
        <v>1527</v>
      </c>
      <c r="C3647" t="s">
        <v>56</v>
      </c>
      <c r="D3647" s="1">
        <v>45849</v>
      </c>
      <c r="E3647" t="s">
        <v>4124</v>
      </c>
      <c r="F3647" t="s">
        <v>4137</v>
      </c>
    </row>
    <row r="3648" spans="1:6">
      <c r="A3648" t="s">
        <v>7777</v>
      </c>
      <c r="B3648" t="s">
        <v>1529</v>
      </c>
      <c r="C3648" t="s">
        <v>126</v>
      </c>
      <c r="D3648" s="1">
        <v>45987</v>
      </c>
      <c r="E3648" t="s">
        <v>4124</v>
      </c>
      <c r="F3648" t="s">
        <v>4125</v>
      </c>
    </row>
    <row r="3649" spans="1:6">
      <c r="A3649" t="s">
        <v>7778</v>
      </c>
      <c r="B3649" t="s">
        <v>1529</v>
      </c>
      <c r="C3649" t="s">
        <v>126</v>
      </c>
      <c r="D3649" s="1">
        <v>46009</v>
      </c>
      <c r="E3649" t="s">
        <v>4127</v>
      </c>
      <c r="F3649" t="s">
        <v>4139</v>
      </c>
    </row>
    <row r="3650" spans="1:6">
      <c r="A3650" t="s">
        <v>7779</v>
      </c>
      <c r="B3650" t="s">
        <v>1529</v>
      </c>
      <c r="C3650" t="s">
        <v>126</v>
      </c>
      <c r="D3650" s="1">
        <v>45994</v>
      </c>
      <c r="E3650" t="s">
        <v>4129</v>
      </c>
      <c r="F3650" t="s">
        <v>4125</v>
      </c>
    </row>
    <row r="3651" spans="1:6">
      <c r="A3651" t="s">
        <v>7780</v>
      </c>
      <c r="B3651" t="s">
        <v>1530</v>
      </c>
      <c r="C3651" t="s">
        <v>53</v>
      </c>
      <c r="D3651" s="1">
        <v>45892</v>
      </c>
      <c r="E3651" t="s">
        <v>4133</v>
      </c>
      <c r="F3651" t="s">
        <v>4125</v>
      </c>
    </row>
    <row r="3652" spans="1:6">
      <c r="A3652" t="s">
        <v>7781</v>
      </c>
      <c r="B3652" t="s">
        <v>1530</v>
      </c>
      <c r="C3652" t="s">
        <v>53</v>
      </c>
      <c r="D3652" s="1">
        <v>45873</v>
      </c>
      <c r="E3652" t="s">
        <v>4129</v>
      </c>
      <c r="F3652" t="s">
        <v>4137</v>
      </c>
    </row>
    <row r="3653" spans="1:6">
      <c r="A3653" t="s">
        <v>7782</v>
      </c>
      <c r="B3653" t="s">
        <v>1530</v>
      </c>
      <c r="C3653" t="s">
        <v>53</v>
      </c>
      <c r="D3653" s="1">
        <v>45853</v>
      </c>
      <c r="E3653" t="s">
        <v>4127</v>
      </c>
      <c r="F3653" t="s">
        <v>4139</v>
      </c>
    </row>
    <row r="3654" spans="1:6">
      <c r="A3654" t="s">
        <v>7783</v>
      </c>
      <c r="B3654" t="s">
        <v>1530</v>
      </c>
      <c r="C3654" t="s">
        <v>53</v>
      </c>
      <c r="D3654" s="1">
        <v>45867</v>
      </c>
      <c r="E3654" t="s">
        <v>4133</v>
      </c>
      <c r="F3654" t="s">
        <v>4139</v>
      </c>
    </row>
    <row r="3655" spans="1:6">
      <c r="A3655" t="s">
        <v>7784</v>
      </c>
      <c r="B3655" t="s">
        <v>1531</v>
      </c>
      <c r="C3655" t="s">
        <v>36</v>
      </c>
      <c r="D3655" s="1">
        <v>45695</v>
      </c>
      <c r="E3655" t="s">
        <v>4129</v>
      </c>
      <c r="F3655" t="s">
        <v>4137</v>
      </c>
    </row>
    <row r="3656" spans="1:6">
      <c r="A3656" t="s">
        <v>7785</v>
      </c>
      <c r="B3656" t="s">
        <v>1531</v>
      </c>
      <c r="C3656" t="s">
        <v>36</v>
      </c>
      <c r="D3656" s="1">
        <v>45700</v>
      </c>
      <c r="E3656" t="s">
        <v>4129</v>
      </c>
      <c r="F3656" t="s">
        <v>4139</v>
      </c>
    </row>
    <row r="3657" spans="1:6">
      <c r="A3657" t="s">
        <v>7786</v>
      </c>
      <c r="B3657" t="s">
        <v>1531</v>
      </c>
      <c r="C3657" t="s">
        <v>36</v>
      </c>
      <c r="D3657" s="1">
        <v>45692</v>
      </c>
      <c r="E3657" t="s">
        <v>4133</v>
      </c>
      <c r="F3657" t="s">
        <v>4125</v>
      </c>
    </row>
    <row r="3658" spans="1:6">
      <c r="A3658" t="s">
        <v>7787</v>
      </c>
      <c r="B3658" t="s">
        <v>1532</v>
      </c>
      <c r="C3658" t="s">
        <v>50</v>
      </c>
      <c r="D3658" s="1">
        <v>45951</v>
      </c>
      <c r="E3658" t="s">
        <v>4129</v>
      </c>
      <c r="F3658" t="s">
        <v>4125</v>
      </c>
    </row>
    <row r="3659" spans="1:6">
      <c r="A3659" t="s">
        <v>7788</v>
      </c>
      <c r="B3659" t="s">
        <v>1532</v>
      </c>
      <c r="C3659" t="s">
        <v>50</v>
      </c>
      <c r="D3659" s="1">
        <v>45949</v>
      </c>
      <c r="E3659" t="s">
        <v>4127</v>
      </c>
      <c r="F3659" t="s">
        <v>4125</v>
      </c>
    </row>
    <row r="3660" spans="1:6">
      <c r="A3660" t="s">
        <v>7789</v>
      </c>
      <c r="B3660" t="s">
        <v>1532</v>
      </c>
      <c r="C3660" t="s">
        <v>50</v>
      </c>
      <c r="D3660" s="1">
        <v>45943</v>
      </c>
      <c r="E3660" t="s">
        <v>4129</v>
      </c>
      <c r="F3660" t="s">
        <v>4137</v>
      </c>
    </row>
    <row r="3661" spans="1:6">
      <c r="A3661" t="s">
        <v>7790</v>
      </c>
      <c r="B3661" t="s">
        <v>1533</v>
      </c>
      <c r="C3661" t="s">
        <v>46</v>
      </c>
      <c r="D3661" s="1">
        <v>45761</v>
      </c>
      <c r="E3661" t="s">
        <v>4133</v>
      </c>
      <c r="F3661" t="s">
        <v>4125</v>
      </c>
    </row>
    <row r="3662" spans="1:6">
      <c r="A3662" t="s">
        <v>7791</v>
      </c>
      <c r="B3662" t="s">
        <v>1533</v>
      </c>
      <c r="C3662" t="s">
        <v>46</v>
      </c>
      <c r="D3662" s="1">
        <v>45778</v>
      </c>
      <c r="E3662" t="s">
        <v>4124</v>
      </c>
      <c r="F3662" t="s">
        <v>4125</v>
      </c>
    </row>
    <row r="3663" spans="1:6">
      <c r="A3663" t="s">
        <v>7792</v>
      </c>
      <c r="B3663" t="s">
        <v>1535</v>
      </c>
      <c r="C3663" t="s">
        <v>119</v>
      </c>
      <c r="D3663" s="1">
        <v>45979</v>
      </c>
      <c r="E3663" t="s">
        <v>4129</v>
      </c>
      <c r="F3663" t="s">
        <v>4139</v>
      </c>
    </row>
    <row r="3664" spans="1:6">
      <c r="A3664" t="s">
        <v>7793</v>
      </c>
      <c r="B3664" t="s">
        <v>1535</v>
      </c>
      <c r="C3664" t="s">
        <v>119</v>
      </c>
      <c r="D3664" s="1">
        <v>45991</v>
      </c>
      <c r="E3664" t="s">
        <v>4129</v>
      </c>
      <c r="F3664" t="s">
        <v>4125</v>
      </c>
    </row>
    <row r="3665" spans="1:6">
      <c r="A3665" t="s">
        <v>7794</v>
      </c>
      <c r="B3665" t="s">
        <v>1537</v>
      </c>
      <c r="C3665" t="s">
        <v>59</v>
      </c>
      <c r="D3665" s="1">
        <v>45907</v>
      </c>
      <c r="E3665" t="s">
        <v>4124</v>
      </c>
      <c r="F3665" t="s">
        <v>4125</v>
      </c>
    </row>
    <row r="3666" spans="1:6">
      <c r="A3666" t="s">
        <v>7795</v>
      </c>
      <c r="B3666" t="s">
        <v>1537</v>
      </c>
      <c r="C3666" t="s">
        <v>59</v>
      </c>
      <c r="D3666" s="1">
        <v>45891</v>
      </c>
      <c r="E3666" t="s">
        <v>4133</v>
      </c>
      <c r="F3666" t="s">
        <v>4139</v>
      </c>
    </row>
    <row r="3667" spans="1:6">
      <c r="A3667" t="s">
        <v>7796</v>
      </c>
      <c r="B3667" t="s">
        <v>1537</v>
      </c>
      <c r="C3667" t="s">
        <v>59</v>
      </c>
      <c r="D3667" s="1">
        <v>45913</v>
      </c>
      <c r="E3667" t="s">
        <v>4124</v>
      </c>
      <c r="F3667" t="s">
        <v>4137</v>
      </c>
    </row>
    <row r="3668" spans="1:6">
      <c r="A3668" t="s">
        <v>7797</v>
      </c>
      <c r="B3668" t="s">
        <v>1537</v>
      </c>
      <c r="C3668" t="s">
        <v>59</v>
      </c>
      <c r="D3668" s="1">
        <v>45902</v>
      </c>
      <c r="E3668" t="s">
        <v>4133</v>
      </c>
      <c r="F3668" t="s">
        <v>4139</v>
      </c>
    </row>
    <row r="3669" spans="1:6">
      <c r="A3669" t="s">
        <v>7798</v>
      </c>
      <c r="B3669" t="s">
        <v>1537</v>
      </c>
      <c r="C3669" t="s">
        <v>59</v>
      </c>
      <c r="D3669" s="1">
        <v>45921</v>
      </c>
      <c r="E3669" t="s">
        <v>4127</v>
      </c>
      <c r="F3669" t="s">
        <v>4137</v>
      </c>
    </row>
    <row r="3670" spans="1:6">
      <c r="A3670" t="s">
        <v>7799</v>
      </c>
      <c r="B3670" t="s">
        <v>1538</v>
      </c>
      <c r="C3670" t="s">
        <v>78</v>
      </c>
      <c r="D3670" s="1">
        <v>45973</v>
      </c>
      <c r="E3670" t="s">
        <v>4124</v>
      </c>
      <c r="F3670" t="s">
        <v>4137</v>
      </c>
    </row>
    <row r="3671" spans="1:6">
      <c r="A3671" t="s">
        <v>7800</v>
      </c>
      <c r="B3671" t="s">
        <v>1538</v>
      </c>
      <c r="C3671" t="s">
        <v>78</v>
      </c>
      <c r="D3671" s="1">
        <v>45967</v>
      </c>
      <c r="E3671" t="s">
        <v>4127</v>
      </c>
      <c r="F3671" t="s">
        <v>4139</v>
      </c>
    </row>
    <row r="3672" spans="1:6">
      <c r="A3672" t="s">
        <v>7801</v>
      </c>
      <c r="B3672" t="s">
        <v>1538</v>
      </c>
      <c r="C3672" t="s">
        <v>78</v>
      </c>
      <c r="D3672" s="1">
        <v>45971</v>
      </c>
      <c r="E3672" t="s">
        <v>4135</v>
      </c>
      <c r="F3672" t="s">
        <v>4139</v>
      </c>
    </row>
    <row r="3673" spans="1:6">
      <c r="A3673" t="s">
        <v>7802</v>
      </c>
      <c r="B3673" t="s">
        <v>1538</v>
      </c>
      <c r="C3673" t="s">
        <v>78</v>
      </c>
      <c r="D3673" s="1">
        <v>45966</v>
      </c>
      <c r="E3673" t="s">
        <v>4127</v>
      </c>
      <c r="F3673" t="s">
        <v>4137</v>
      </c>
    </row>
    <row r="3674" spans="1:6">
      <c r="A3674" t="s">
        <v>7803</v>
      </c>
      <c r="B3674" t="s">
        <v>1538</v>
      </c>
      <c r="C3674" t="s">
        <v>78</v>
      </c>
      <c r="D3674" s="1">
        <v>45974</v>
      </c>
      <c r="E3674" t="s">
        <v>4129</v>
      </c>
      <c r="F3674" t="s">
        <v>4137</v>
      </c>
    </row>
    <row r="3675" spans="1:6">
      <c r="A3675" t="s">
        <v>7804</v>
      </c>
      <c r="B3675" t="s">
        <v>1539</v>
      </c>
      <c r="C3675" t="s">
        <v>168</v>
      </c>
      <c r="D3675" s="1">
        <v>45829</v>
      </c>
      <c r="E3675" t="s">
        <v>4135</v>
      </c>
      <c r="F3675" t="s">
        <v>4139</v>
      </c>
    </row>
    <row r="3676" spans="1:6">
      <c r="A3676" t="s">
        <v>7805</v>
      </c>
      <c r="B3676" t="s">
        <v>1539</v>
      </c>
      <c r="C3676" t="s">
        <v>168</v>
      </c>
      <c r="D3676" s="1">
        <v>45848</v>
      </c>
      <c r="E3676" t="s">
        <v>4127</v>
      </c>
      <c r="F3676" t="s">
        <v>4137</v>
      </c>
    </row>
    <row r="3677" spans="1:6">
      <c r="A3677" t="s">
        <v>7806</v>
      </c>
      <c r="B3677" t="s">
        <v>1540</v>
      </c>
      <c r="C3677" t="s">
        <v>152</v>
      </c>
      <c r="D3677" s="1">
        <v>45936</v>
      </c>
      <c r="E3677" t="s">
        <v>4129</v>
      </c>
      <c r="F3677" t="s">
        <v>4139</v>
      </c>
    </row>
    <row r="3678" spans="1:6">
      <c r="A3678" t="s">
        <v>7807</v>
      </c>
      <c r="B3678" t="s">
        <v>1540</v>
      </c>
      <c r="C3678" t="s">
        <v>152</v>
      </c>
      <c r="D3678" s="1">
        <v>45951</v>
      </c>
      <c r="E3678" t="s">
        <v>4124</v>
      </c>
      <c r="F3678" t="s">
        <v>4137</v>
      </c>
    </row>
    <row r="3679" spans="1:6">
      <c r="A3679" t="s">
        <v>7808</v>
      </c>
      <c r="B3679" t="s">
        <v>1540</v>
      </c>
      <c r="C3679" t="s">
        <v>152</v>
      </c>
      <c r="D3679" s="1">
        <v>45923</v>
      </c>
      <c r="E3679" t="s">
        <v>4133</v>
      </c>
      <c r="F3679" t="s">
        <v>4139</v>
      </c>
    </row>
    <row r="3680" spans="1:6">
      <c r="A3680" t="s">
        <v>7809</v>
      </c>
      <c r="B3680" t="s">
        <v>1540</v>
      </c>
      <c r="C3680" t="s">
        <v>152</v>
      </c>
      <c r="D3680" s="1">
        <v>45947</v>
      </c>
      <c r="E3680" t="s">
        <v>4135</v>
      </c>
      <c r="F3680" t="s">
        <v>4137</v>
      </c>
    </row>
    <row r="3681" spans="1:6">
      <c r="A3681" t="s">
        <v>7810</v>
      </c>
      <c r="B3681" t="s">
        <v>1541</v>
      </c>
      <c r="C3681" t="s">
        <v>46</v>
      </c>
      <c r="D3681" s="1">
        <v>45728</v>
      </c>
      <c r="E3681" t="s">
        <v>4135</v>
      </c>
      <c r="F3681" t="s">
        <v>4137</v>
      </c>
    </row>
    <row r="3682" spans="1:6">
      <c r="A3682" t="s">
        <v>7811</v>
      </c>
      <c r="B3682" t="s">
        <v>1541</v>
      </c>
      <c r="C3682" t="s">
        <v>46</v>
      </c>
      <c r="D3682" s="1">
        <v>45736</v>
      </c>
      <c r="E3682" t="s">
        <v>4135</v>
      </c>
      <c r="F3682" t="s">
        <v>4139</v>
      </c>
    </row>
    <row r="3683" spans="1:6">
      <c r="A3683" t="s">
        <v>7812</v>
      </c>
      <c r="B3683" t="s">
        <v>1542</v>
      </c>
      <c r="C3683" t="s">
        <v>36</v>
      </c>
      <c r="D3683" s="1">
        <v>45803</v>
      </c>
      <c r="E3683" t="s">
        <v>4127</v>
      </c>
      <c r="F3683" t="s">
        <v>4125</v>
      </c>
    </row>
    <row r="3684" spans="1:6">
      <c r="A3684" t="s">
        <v>7813</v>
      </c>
      <c r="B3684" t="s">
        <v>1542</v>
      </c>
      <c r="C3684" t="s">
        <v>36</v>
      </c>
      <c r="D3684" s="1">
        <v>45799</v>
      </c>
      <c r="E3684" t="s">
        <v>4129</v>
      </c>
      <c r="F3684" t="s">
        <v>4125</v>
      </c>
    </row>
    <row r="3685" spans="1:6">
      <c r="A3685" t="s">
        <v>7814</v>
      </c>
      <c r="B3685" t="s">
        <v>1542</v>
      </c>
      <c r="C3685" t="s">
        <v>36</v>
      </c>
      <c r="D3685" s="1">
        <v>45786</v>
      </c>
      <c r="E3685" t="s">
        <v>4129</v>
      </c>
      <c r="F3685" t="s">
        <v>4137</v>
      </c>
    </row>
    <row r="3686" spans="1:6">
      <c r="A3686" t="s">
        <v>7815</v>
      </c>
      <c r="B3686" t="s">
        <v>1542</v>
      </c>
      <c r="C3686" t="s">
        <v>36</v>
      </c>
      <c r="D3686" s="1">
        <v>45796</v>
      </c>
      <c r="E3686" t="s">
        <v>4127</v>
      </c>
      <c r="F3686" t="s">
        <v>4125</v>
      </c>
    </row>
    <row r="3687" spans="1:6">
      <c r="A3687" t="s">
        <v>7816</v>
      </c>
      <c r="B3687" t="s">
        <v>1542</v>
      </c>
      <c r="C3687" t="s">
        <v>36</v>
      </c>
      <c r="D3687" s="1">
        <v>45800</v>
      </c>
      <c r="E3687" t="s">
        <v>4127</v>
      </c>
      <c r="F3687" t="s">
        <v>4125</v>
      </c>
    </row>
    <row r="3688" spans="1:6">
      <c r="A3688" t="s">
        <v>7817</v>
      </c>
      <c r="B3688" t="s">
        <v>1543</v>
      </c>
      <c r="C3688" t="s">
        <v>78</v>
      </c>
      <c r="D3688" s="1">
        <v>45960</v>
      </c>
      <c r="E3688" t="s">
        <v>4129</v>
      </c>
      <c r="F3688" t="s">
        <v>4137</v>
      </c>
    </row>
    <row r="3689" spans="1:6">
      <c r="A3689" t="s">
        <v>7818</v>
      </c>
      <c r="B3689" t="s">
        <v>1543</v>
      </c>
      <c r="C3689" t="s">
        <v>78</v>
      </c>
      <c r="D3689" s="1">
        <v>45972</v>
      </c>
      <c r="E3689" t="s">
        <v>4127</v>
      </c>
      <c r="F3689" t="s">
        <v>4125</v>
      </c>
    </row>
    <row r="3690" spans="1:6">
      <c r="A3690" t="s">
        <v>7819</v>
      </c>
      <c r="B3690" t="s">
        <v>1543</v>
      </c>
      <c r="C3690" t="s">
        <v>78</v>
      </c>
      <c r="D3690" s="1">
        <v>45959</v>
      </c>
      <c r="E3690" t="s">
        <v>4124</v>
      </c>
      <c r="F3690" t="s">
        <v>4139</v>
      </c>
    </row>
    <row r="3691" spans="1:6">
      <c r="A3691" t="s">
        <v>7820</v>
      </c>
      <c r="B3691" t="s">
        <v>1543</v>
      </c>
      <c r="C3691" t="s">
        <v>78</v>
      </c>
      <c r="D3691" s="1">
        <v>45958</v>
      </c>
      <c r="E3691" t="s">
        <v>4127</v>
      </c>
      <c r="F3691" t="s">
        <v>4139</v>
      </c>
    </row>
    <row r="3692" spans="1:6">
      <c r="A3692" t="s">
        <v>7821</v>
      </c>
      <c r="B3692" t="s">
        <v>1543</v>
      </c>
      <c r="C3692" t="s">
        <v>78</v>
      </c>
      <c r="D3692" s="1">
        <v>45973</v>
      </c>
      <c r="E3692" t="s">
        <v>4133</v>
      </c>
      <c r="F3692" t="s">
        <v>4137</v>
      </c>
    </row>
    <row r="3693" spans="1:6">
      <c r="A3693" t="s">
        <v>7822</v>
      </c>
      <c r="B3693" t="s">
        <v>1544</v>
      </c>
      <c r="C3693" t="s">
        <v>46</v>
      </c>
      <c r="D3693" s="1">
        <v>45812</v>
      </c>
      <c r="E3693" t="s">
        <v>4135</v>
      </c>
      <c r="F3693" t="s">
        <v>4137</v>
      </c>
    </row>
    <row r="3694" spans="1:6">
      <c r="A3694" t="s">
        <v>7823</v>
      </c>
      <c r="B3694" t="s">
        <v>1544</v>
      </c>
      <c r="C3694" t="s">
        <v>46</v>
      </c>
      <c r="D3694" s="1">
        <v>45818</v>
      </c>
      <c r="E3694" t="s">
        <v>4129</v>
      </c>
      <c r="F3694" t="s">
        <v>4125</v>
      </c>
    </row>
    <row r="3695" spans="1:6">
      <c r="A3695" t="s">
        <v>7824</v>
      </c>
      <c r="B3695" t="s">
        <v>1544</v>
      </c>
      <c r="C3695" t="s">
        <v>46</v>
      </c>
      <c r="D3695" s="1">
        <v>45836</v>
      </c>
      <c r="E3695" t="s">
        <v>4127</v>
      </c>
      <c r="F3695" t="s">
        <v>4139</v>
      </c>
    </row>
    <row r="3696" spans="1:6">
      <c r="A3696" t="s">
        <v>7825</v>
      </c>
      <c r="B3696" t="s">
        <v>1545</v>
      </c>
      <c r="C3696" t="s">
        <v>27</v>
      </c>
      <c r="D3696" s="1">
        <v>45844</v>
      </c>
      <c r="E3696" t="s">
        <v>4127</v>
      </c>
      <c r="F3696" t="s">
        <v>4139</v>
      </c>
    </row>
    <row r="3697" spans="1:6">
      <c r="A3697" t="s">
        <v>7826</v>
      </c>
      <c r="B3697" t="s">
        <v>1545</v>
      </c>
      <c r="C3697" t="s">
        <v>27</v>
      </c>
      <c r="D3697" s="1">
        <v>45902</v>
      </c>
      <c r="E3697" t="s">
        <v>4129</v>
      </c>
      <c r="F3697" t="s">
        <v>4125</v>
      </c>
    </row>
    <row r="3698" spans="1:6">
      <c r="A3698" t="s">
        <v>7827</v>
      </c>
      <c r="B3698" t="s">
        <v>1545</v>
      </c>
      <c r="C3698" t="s">
        <v>27</v>
      </c>
      <c r="D3698" s="1">
        <v>45843</v>
      </c>
      <c r="E3698" t="s">
        <v>4135</v>
      </c>
      <c r="F3698" t="s">
        <v>4139</v>
      </c>
    </row>
    <row r="3699" spans="1:6">
      <c r="A3699" t="s">
        <v>7828</v>
      </c>
      <c r="B3699" t="s">
        <v>1547</v>
      </c>
      <c r="C3699" t="s">
        <v>168</v>
      </c>
      <c r="D3699" s="1">
        <v>45874</v>
      </c>
      <c r="E3699" t="s">
        <v>4129</v>
      </c>
      <c r="F3699" t="s">
        <v>4137</v>
      </c>
    </row>
    <row r="3700" spans="1:6">
      <c r="A3700" t="s">
        <v>7829</v>
      </c>
      <c r="B3700" t="s">
        <v>1547</v>
      </c>
      <c r="C3700" t="s">
        <v>168</v>
      </c>
      <c r="D3700" s="1">
        <v>45878</v>
      </c>
      <c r="E3700" t="s">
        <v>4129</v>
      </c>
      <c r="F3700" t="s">
        <v>4139</v>
      </c>
    </row>
    <row r="3701" spans="1:6">
      <c r="A3701" t="s">
        <v>7830</v>
      </c>
      <c r="B3701" t="s">
        <v>1547</v>
      </c>
      <c r="C3701" t="s">
        <v>168</v>
      </c>
      <c r="D3701" s="1">
        <v>45884</v>
      </c>
      <c r="E3701" t="s">
        <v>4135</v>
      </c>
      <c r="F3701" t="s">
        <v>4137</v>
      </c>
    </row>
    <row r="3702" spans="1:6">
      <c r="A3702" t="s">
        <v>7831</v>
      </c>
      <c r="B3702" t="s">
        <v>1547</v>
      </c>
      <c r="C3702" t="s">
        <v>168</v>
      </c>
      <c r="D3702" s="1">
        <v>45888</v>
      </c>
      <c r="E3702" t="s">
        <v>4135</v>
      </c>
      <c r="F3702" t="s">
        <v>4139</v>
      </c>
    </row>
    <row r="3703" spans="1:6">
      <c r="A3703" t="s">
        <v>7832</v>
      </c>
      <c r="B3703" t="s">
        <v>1547</v>
      </c>
      <c r="C3703" t="s">
        <v>168</v>
      </c>
      <c r="D3703" s="1">
        <v>45882</v>
      </c>
      <c r="E3703" t="s">
        <v>4129</v>
      </c>
      <c r="F3703" t="s">
        <v>4137</v>
      </c>
    </row>
    <row r="3704" spans="1:6">
      <c r="A3704" t="s">
        <v>7833</v>
      </c>
      <c r="B3704" t="s">
        <v>1548</v>
      </c>
      <c r="C3704" t="s">
        <v>27</v>
      </c>
      <c r="D3704" s="1">
        <v>45859</v>
      </c>
      <c r="E3704" t="s">
        <v>4135</v>
      </c>
      <c r="F3704" t="s">
        <v>4137</v>
      </c>
    </row>
    <row r="3705" spans="1:6">
      <c r="A3705" t="s">
        <v>7834</v>
      </c>
      <c r="B3705" t="s">
        <v>1548</v>
      </c>
      <c r="C3705" t="s">
        <v>27</v>
      </c>
      <c r="D3705" s="1">
        <v>45824</v>
      </c>
      <c r="E3705" t="s">
        <v>4133</v>
      </c>
      <c r="F3705" t="s">
        <v>4125</v>
      </c>
    </row>
    <row r="3706" spans="1:6">
      <c r="A3706" t="s">
        <v>7835</v>
      </c>
      <c r="B3706" t="s">
        <v>1548</v>
      </c>
      <c r="C3706" t="s">
        <v>27</v>
      </c>
      <c r="D3706" s="1">
        <v>45831</v>
      </c>
      <c r="E3706" t="s">
        <v>4127</v>
      </c>
      <c r="F3706" t="s">
        <v>4137</v>
      </c>
    </row>
    <row r="3707" spans="1:6">
      <c r="A3707" t="s">
        <v>7836</v>
      </c>
      <c r="B3707" t="s">
        <v>1549</v>
      </c>
      <c r="C3707" t="s">
        <v>126</v>
      </c>
      <c r="D3707" s="1">
        <v>45854</v>
      </c>
      <c r="E3707" t="s">
        <v>4124</v>
      </c>
      <c r="F3707" t="s">
        <v>4139</v>
      </c>
    </row>
    <row r="3708" spans="1:6">
      <c r="A3708" t="s">
        <v>7837</v>
      </c>
      <c r="B3708" t="s">
        <v>1549</v>
      </c>
      <c r="C3708" t="s">
        <v>126</v>
      </c>
      <c r="D3708" s="1">
        <v>45844</v>
      </c>
      <c r="E3708" t="s">
        <v>4124</v>
      </c>
      <c r="F3708" t="s">
        <v>4125</v>
      </c>
    </row>
    <row r="3709" spans="1:6">
      <c r="A3709" t="s">
        <v>7838</v>
      </c>
      <c r="B3709" t="s">
        <v>1549</v>
      </c>
      <c r="C3709" t="s">
        <v>126</v>
      </c>
      <c r="D3709" s="1">
        <v>45811</v>
      </c>
      <c r="E3709" t="s">
        <v>4127</v>
      </c>
      <c r="F3709" t="s">
        <v>4139</v>
      </c>
    </row>
    <row r="3710" spans="1:6">
      <c r="A3710" t="s">
        <v>7839</v>
      </c>
      <c r="B3710" t="s">
        <v>1549</v>
      </c>
      <c r="C3710" t="s">
        <v>126</v>
      </c>
      <c r="D3710" s="1">
        <v>45820</v>
      </c>
      <c r="E3710" t="s">
        <v>4124</v>
      </c>
      <c r="F3710" t="s">
        <v>4139</v>
      </c>
    </row>
    <row r="3711" spans="1:6">
      <c r="A3711" t="s">
        <v>7840</v>
      </c>
      <c r="B3711" t="s">
        <v>1549</v>
      </c>
      <c r="C3711" t="s">
        <v>126</v>
      </c>
      <c r="D3711" s="1">
        <v>45844</v>
      </c>
      <c r="E3711" t="s">
        <v>4129</v>
      </c>
      <c r="F3711" t="s">
        <v>4125</v>
      </c>
    </row>
    <row r="3712" spans="1:6">
      <c r="A3712" t="s">
        <v>7841</v>
      </c>
      <c r="B3712" t="s">
        <v>1550</v>
      </c>
      <c r="C3712" t="s">
        <v>59</v>
      </c>
      <c r="D3712" s="1">
        <v>45799</v>
      </c>
      <c r="E3712" t="s">
        <v>4133</v>
      </c>
      <c r="F3712" t="s">
        <v>4125</v>
      </c>
    </row>
    <row r="3713" spans="1:6">
      <c r="A3713" t="s">
        <v>7842</v>
      </c>
      <c r="B3713" t="s">
        <v>1550</v>
      </c>
      <c r="C3713" t="s">
        <v>59</v>
      </c>
      <c r="D3713" s="1">
        <v>45830</v>
      </c>
      <c r="E3713" t="s">
        <v>4129</v>
      </c>
      <c r="F3713" t="s">
        <v>4137</v>
      </c>
    </row>
    <row r="3714" spans="1:6">
      <c r="A3714" t="s">
        <v>7843</v>
      </c>
      <c r="B3714" t="s">
        <v>1551</v>
      </c>
      <c r="C3714" t="s">
        <v>63</v>
      </c>
      <c r="D3714" s="1">
        <v>45699</v>
      </c>
      <c r="E3714" t="s">
        <v>4127</v>
      </c>
      <c r="F3714" t="s">
        <v>4137</v>
      </c>
    </row>
    <row r="3715" spans="1:6">
      <c r="A3715" t="s">
        <v>7844</v>
      </c>
      <c r="B3715" t="s">
        <v>1551</v>
      </c>
      <c r="C3715" t="s">
        <v>63</v>
      </c>
      <c r="D3715" s="1">
        <v>45676</v>
      </c>
      <c r="E3715" t="s">
        <v>4127</v>
      </c>
      <c r="F3715" t="s">
        <v>4137</v>
      </c>
    </row>
    <row r="3716" spans="1:6">
      <c r="A3716" t="s">
        <v>7845</v>
      </c>
      <c r="B3716" t="s">
        <v>1551</v>
      </c>
      <c r="C3716" t="s">
        <v>63</v>
      </c>
      <c r="D3716" s="1">
        <v>45683</v>
      </c>
      <c r="E3716" t="s">
        <v>4129</v>
      </c>
      <c r="F3716" t="s">
        <v>4125</v>
      </c>
    </row>
    <row r="3717" spans="1:6">
      <c r="A3717" t="s">
        <v>7846</v>
      </c>
      <c r="B3717" t="s">
        <v>1551</v>
      </c>
      <c r="C3717" t="s">
        <v>63</v>
      </c>
      <c r="D3717" s="1">
        <v>45685</v>
      </c>
      <c r="E3717" t="s">
        <v>4129</v>
      </c>
      <c r="F3717" t="s">
        <v>4125</v>
      </c>
    </row>
    <row r="3718" spans="1:6">
      <c r="A3718" t="s">
        <v>7847</v>
      </c>
      <c r="B3718" t="s">
        <v>1551</v>
      </c>
      <c r="C3718" t="s">
        <v>63</v>
      </c>
      <c r="D3718" s="1">
        <v>45695</v>
      </c>
      <c r="E3718" t="s">
        <v>4129</v>
      </c>
      <c r="F3718" t="s">
        <v>4137</v>
      </c>
    </row>
    <row r="3719" spans="1:6">
      <c r="A3719" t="s">
        <v>7848</v>
      </c>
      <c r="B3719" t="s">
        <v>1552</v>
      </c>
      <c r="C3719" t="s">
        <v>56</v>
      </c>
      <c r="D3719" s="1">
        <v>45913</v>
      </c>
      <c r="E3719" t="s">
        <v>4133</v>
      </c>
      <c r="F3719" t="s">
        <v>4125</v>
      </c>
    </row>
    <row r="3720" spans="1:6">
      <c r="A3720" t="s">
        <v>7849</v>
      </c>
      <c r="B3720" t="s">
        <v>1552</v>
      </c>
      <c r="C3720" t="s">
        <v>56</v>
      </c>
      <c r="D3720" s="1">
        <v>45853</v>
      </c>
      <c r="E3720" t="s">
        <v>4135</v>
      </c>
      <c r="F3720" t="s">
        <v>4139</v>
      </c>
    </row>
    <row r="3721" spans="1:6">
      <c r="A3721" t="s">
        <v>7850</v>
      </c>
      <c r="B3721" t="s">
        <v>1552</v>
      </c>
      <c r="C3721" t="s">
        <v>56</v>
      </c>
      <c r="D3721" s="1">
        <v>45856</v>
      </c>
      <c r="E3721" t="s">
        <v>4124</v>
      </c>
      <c r="F3721" t="s">
        <v>4125</v>
      </c>
    </row>
    <row r="3722" spans="1:6">
      <c r="A3722" t="s">
        <v>7851</v>
      </c>
      <c r="B3722" t="s">
        <v>1553</v>
      </c>
      <c r="C3722" t="s">
        <v>119</v>
      </c>
      <c r="D3722" s="1">
        <v>45971</v>
      </c>
      <c r="E3722" t="s">
        <v>4124</v>
      </c>
      <c r="F3722" t="s">
        <v>4139</v>
      </c>
    </row>
    <row r="3723" spans="1:6">
      <c r="A3723" t="s">
        <v>7852</v>
      </c>
      <c r="B3723" t="s">
        <v>1553</v>
      </c>
      <c r="C3723" t="s">
        <v>119</v>
      </c>
      <c r="D3723" s="1">
        <v>45979</v>
      </c>
      <c r="E3723" t="s">
        <v>4129</v>
      </c>
      <c r="F3723" t="s">
        <v>4125</v>
      </c>
    </row>
    <row r="3724" spans="1:6">
      <c r="A3724" t="s">
        <v>7853</v>
      </c>
      <c r="B3724" t="s">
        <v>1553</v>
      </c>
      <c r="C3724" t="s">
        <v>119</v>
      </c>
      <c r="D3724" s="1">
        <v>45978</v>
      </c>
      <c r="E3724" t="s">
        <v>4127</v>
      </c>
      <c r="F3724" t="s">
        <v>4137</v>
      </c>
    </row>
    <row r="3725" spans="1:6">
      <c r="A3725" t="s">
        <v>7854</v>
      </c>
      <c r="B3725" t="s">
        <v>1553</v>
      </c>
      <c r="C3725" t="s">
        <v>119</v>
      </c>
      <c r="D3725" s="1">
        <v>45972</v>
      </c>
      <c r="E3725" t="s">
        <v>4127</v>
      </c>
      <c r="F3725" t="s">
        <v>4139</v>
      </c>
    </row>
    <row r="3726" spans="1:6">
      <c r="A3726" t="s">
        <v>7855</v>
      </c>
      <c r="B3726" t="s">
        <v>1553</v>
      </c>
      <c r="C3726" t="s">
        <v>119</v>
      </c>
      <c r="D3726" s="1">
        <v>45982</v>
      </c>
      <c r="E3726" t="s">
        <v>4124</v>
      </c>
      <c r="F3726" t="s">
        <v>4139</v>
      </c>
    </row>
    <row r="3727" spans="1:6">
      <c r="A3727" t="s">
        <v>7856</v>
      </c>
      <c r="B3727" t="s">
        <v>1554</v>
      </c>
      <c r="C3727" t="s">
        <v>50</v>
      </c>
      <c r="D3727" s="1">
        <v>45745</v>
      </c>
      <c r="E3727" t="s">
        <v>4133</v>
      </c>
      <c r="F3727" t="s">
        <v>4139</v>
      </c>
    </row>
    <row r="3728" spans="1:6">
      <c r="A3728" t="s">
        <v>7857</v>
      </c>
      <c r="B3728" t="s">
        <v>1554</v>
      </c>
      <c r="C3728" t="s">
        <v>50</v>
      </c>
      <c r="D3728" s="1">
        <v>45726</v>
      </c>
      <c r="E3728" t="s">
        <v>4129</v>
      </c>
      <c r="F3728" t="s">
        <v>4137</v>
      </c>
    </row>
    <row r="3729" spans="1:6">
      <c r="A3729" t="s">
        <v>7858</v>
      </c>
      <c r="B3729" t="s">
        <v>1554</v>
      </c>
      <c r="C3729" t="s">
        <v>50</v>
      </c>
      <c r="D3729" s="1">
        <v>45745</v>
      </c>
      <c r="E3729" t="s">
        <v>4133</v>
      </c>
      <c r="F3729" t="s">
        <v>4137</v>
      </c>
    </row>
    <row r="3730" spans="1:6">
      <c r="A3730" t="s">
        <v>7859</v>
      </c>
      <c r="B3730" t="s">
        <v>1554</v>
      </c>
      <c r="C3730" t="s">
        <v>50</v>
      </c>
      <c r="D3730" s="1">
        <v>45732</v>
      </c>
      <c r="E3730" t="s">
        <v>4129</v>
      </c>
      <c r="F3730" t="s">
        <v>4139</v>
      </c>
    </row>
    <row r="3731" spans="1:6">
      <c r="A3731" t="s">
        <v>7860</v>
      </c>
      <c r="B3731" t="s">
        <v>1554</v>
      </c>
      <c r="C3731" t="s">
        <v>50</v>
      </c>
      <c r="D3731" s="1">
        <v>45712</v>
      </c>
      <c r="E3731" t="s">
        <v>4129</v>
      </c>
      <c r="F3731" t="s">
        <v>4125</v>
      </c>
    </row>
    <row r="3732" spans="1:6">
      <c r="A3732" t="s">
        <v>7861</v>
      </c>
      <c r="B3732" t="s">
        <v>1555</v>
      </c>
      <c r="C3732" t="s">
        <v>119</v>
      </c>
      <c r="D3732" s="1">
        <v>45990</v>
      </c>
      <c r="E3732" t="s">
        <v>4135</v>
      </c>
      <c r="F3732" t="s">
        <v>4125</v>
      </c>
    </row>
    <row r="3733" spans="1:6">
      <c r="A3733" t="s">
        <v>7862</v>
      </c>
      <c r="B3733" t="s">
        <v>1555</v>
      </c>
      <c r="C3733" t="s">
        <v>119</v>
      </c>
      <c r="D3733" s="1">
        <v>45993</v>
      </c>
      <c r="E3733" t="s">
        <v>4124</v>
      </c>
      <c r="F3733" t="s">
        <v>4125</v>
      </c>
    </row>
    <row r="3734" spans="1:6">
      <c r="A3734" t="s">
        <v>7863</v>
      </c>
      <c r="B3734" t="s">
        <v>1555</v>
      </c>
      <c r="C3734" t="s">
        <v>119</v>
      </c>
      <c r="D3734" s="1">
        <v>45986</v>
      </c>
      <c r="E3734" t="s">
        <v>4135</v>
      </c>
      <c r="F3734" t="s">
        <v>4137</v>
      </c>
    </row>
    <row r="3735" spans="1:6">
      <c r="A3735" t="s">
        <v>7864</v>
      </c>
      <c r="B3735" t="s">
        <v>1555</v>
      </c>
      <c r="C3735" t="s">
        <v>119</v>
      </c>
      <c r="D3735" s="1">
        <v>45982</v>
      </c>
      <c r="E3735" t="s">
        <v>4127</v>
      </c>
      <c r="F3735" t="s">
        <v>4125</v>
      </c>
    </row>
    <row r="3736" spans="1:6">
      <c r="A3736" t="s">
        <v>7865</v>
      </c>
      <c r="B3736" t="s">
        <v>1556</v>
      </c>
      <c r="C3736" t="s">
        <v>27</v>
      </c>
      <c r="D3736" s="1">
        <v>45895</v>
      </c>
      <c r="E3736" t="s">
        <v>4133</v>
      </c>
      <c r="F3736" t="s">
        <v>4139</v>
      </c>
    </row>
    <row r="3737" spans="1:6">
      <c r="A3737" t="s">
        <v>7866</v>
      </c>
      <c r="B3737" t="s">
        <v>1556</v>
      </c>
      <c r="C3737" t="s">
        <v>27</v>
      </c>
      <c r="D3737" s="1">
        <v>45898</v>
      </c>
      <c r="E3737" t="s">
        <v>4129</v>
      </c>
      <c r="F3737" t="s">
        <v>4139</v>
      </c>
    </row>
    <row r="3738" spans="1:6">
      <c r="A3738" t="s">
        <v>7867</v>
      </c>
      <c r="B3738" t="s">
        <v>1556</v>
      </c>
      <c r="C3738" t="s">
        <v>27</v>
      </c>
      <c r="D3738" s="1">
        <v>45895</v>
      </c>
      <c r="E3738" t="s">
        <v>4135</v>
      </c>
      <c r="F3738" t="s">
        <v>4125</v>
      </c>
    </row>
    <row r="3739" spans="1:6">
      <c r="A3739" t="s">
        <v>7868</v>
      </c>
      <c r="B3739" t="s">
        <v>1556</v>
      </c>
      <c r="C3739" t="s">
        <v>27</v>
      </c>
      <c r="D3739" s="1">
        <v>45897</v>
      </c>
      <c r="E3739" t="s">
        <v>4129</v>
      </c>
      <c r="F3739" t="s">
        <v>4137</v>
      </c>
    </row>
    <row r="3740" spans="1:6">
      <c r="A3740" t="s">
        <v>7869</v>
      </c>
      <c r="B3740" t="s">
        <v>1556</v>
      </c>
      <c r="C3740" t="s">
        <v>27</v>
      </c>
      <c r="D3740" s="1">
        <v>45899</v>
      </c>
      <c r="E3740" t="s">
        <v>4135</v>
      </c>
      <c r="F3740" t="s">
        <v>4125</v>
      </c>
    </row>
    <row r="3741" spans="1:6">
      <c r="A3741" t="s">
        <v>7870</v>
      </c>
      <c r="B3741" t="s">
        <v>1557</v>
      </c>
      <c r="C3741" t="s">
        <v>152</v>
      </c>
      <c r="D3741" s="1">
        <v>45772</v>
      </c>
      <c r="E3741" t="s">
        <v>4129</v>
      </c>
      <c r="F3741" t="s">
        <v>4139</v>
      </c>
    </row>
    <row r="3742" spans="1:6">
      <c r="A3742" t="s">
        <v>7871</v>
      </c>
      <c r="B3742" t="s">
        <v>1557</v>
      </c>
      <c r="C3742" t="s">
        <v>152</v>
      </c>
      <c r="D3742" s="1">
        <v>45774</v>
      </c>
      <c r="E3742" t="s">
        <v>4129</v>
      </c>
      <c r="F3742" t="s">
        <v>4125</v>
      </c>
    </row>
    <row r="3743" spans="1:6">
      <c r="A3743" t="s">
        <v>7872</v>
      </c>
      <c r="B3743" t="s">
        <v>1557</v>
      </c>
      <c r="C3743" t="s">
        <v>152</v>
      </c>
      <c r="D3743" s="1">
        <v>45727</v>
      </c>
      <c r="E3743" t="s">
        <v>4133</v>
      </c>
      <c r="F3743" t="s">
        <v>4137</v>
      </c>
    </row>
    <row r="3744" spans="1:6">
      <c r="A3744" t="s">
        <v>7873</v>
      </c>
      <c r="B3744" t="s">
        <v>1557</v>
      </c>
      <c r="C3744" t="s">
        <v>152</v>
      </c>
      <c r="D3744" s="1">
        <v>45740</v>
      </c>
      <c r="E3744" t="s">
        <v>4133</v>
      </c>
      <c r="F3744" t="s">
        <v>4139</v>
      </c>
    </row>
    <row r="3745" spans="1:6">
      <c r="A3745" t="s">
        <v>7874</v>
      </c>
      <c r="B3745" t="s">
        <v>1558</v>
      </c>
      <c r="C3745" t="s">
        <v>32</v>
      </c>
      <c r="D3745" s="1">
        <v>45771</v>
      </c>
      <c r="E3745" t="s">
        <v>4124</v>
      </c>
      <c r="F3745" t="s">
        <v>4139</v>
      </c>
    </row>
    <row r="3746" spans="1:6">
      <c r="A3746" t="s">
        <v>7875</v>
      </c>
      <c r="B3746" t="s">
        <v>1558</v>
      </c>
      <c r="C3746" t="s">
        <v>32</v>
      </c>
      <c r="D3746" s="1">
        <v>45776</v>
      </c>
      <c r="E3746" t="s">
        <v>4127</v>
      </c>
      <c r="F3746" t="s">
        <v>4125</v>
      </c>
    </row>
    <row r="3747" spans="1:6">
      <c r="A3747" t="s">
        <v>7876</v>
      </c>
      <c r="B3747" t="s">
        <v>1558</v>
      </c>
      <c r="C3747" t="s">
        <v>32</v>
      </c>
      <c r="D3747" s="1">
        <v>45809</v>
      </c>
      <c r="E3747" t="s">
        <v>4129</v>
      </c>
      <c r="F3747" t="s">
        <v>4137</v>
      </c>
    </row>
    <row r="3748" spans="1:6">
      <c r="A3748" t="s">
        <v>7877</v>
      </c>
      <c r="B3748" t="s">
        <v>1558</v>
      </c>
      <c r="C3748" t="s">
        <v>32</v>
      </c>
      <c r="D3748" s="1">
        <v>45799</v>
      </c>
      <c r="E3748" t="s">
        <v>4135</v>
      </c>
      <c r="F3748" t="s">
        <v>4139</v>
      </c>
    </row>
    <row r="3749" spans="1:6">
      <c r="A3749" t="s">
        <v>7878</v>
      </c>
      <c r="B3749" t="s">
        <v>1558</v>
      </c>
      <c r="C3749" t="s">
        <v>32</v>
      </c>
      <c r="D3749" s="1">
        <v>45785</v>
      </c>
      <c r="E3749" t="s">
        <v>4135</v>
      </c>
      <c r="F3749" t="s">
        <v>4125</v>
      </c>
    </row>
    <row r="3750" spans="1:6">
      <c r="A3750" t="s">
        <v>7879</v>
      </c>
      <c r="B3750" t="s">
        <v>1560</v>
      </c>
      <c r="C3750" t="s">
        <v>53</v>
      </c>
      <c r="D3750" s="1">
        <v>46006</v>
      </c>
      <c r="E3750" t="s">
        <v>4135</v>
      </c>
      <c r="F3750" t="s">
        <v>4139</v>
      </c>
    </row>
    <row r="3751" spans="1:6">
      <c r="A3751" t="s">
        <v>7880</v>
      </c>
      <c r="B3751" t="s">
        <v>1560</v>
      </c>
      <c r="C3751" t="s">
        <v>53</v>
      </c>
      <c r="D3751" s="1">
        <v>46019</v>
      </c>
      <c r="E3751" t="s">
        <v>4127</v>
      </c>
      <c r="F3751" t="s">
        <v>4137</v>
      </c>
    </row>
    <row r="3752" spans="1:6">
      <c r="A3752" t="s">
        <v>7881</v>
      </c>
      <c r="B3752" t="s">
        <v>1560</v>
      </c>
      <c r="C3752" t="s">
        <v>53</v>
      </c>
      <c r="D3752" s="1">
        <v>46002</v>
      </c>
      <c r="E3752" t="s">
        <v>4135</v>
      </c>
      <c r="F3752" t="s">
        <v>4125</v>
      </c>
    </row>
    <row r="3753" spans="1:6">
      <c r="A3753" t="s">
        <v>7882</v>
      </c>
      <c r="B3753" t="s">
        <v>1560</v>
      </c>
      <c r="C3753" t="s">
        <v>53</v>
      </c>
      <c r="D3753" s="1">
        <v>46009</v>
      </c>
      <c r="E3753" t="s">
        <v>4129</v>
      </c>
      <c r="F3753" t="s">
        <v>4139</v>
      </c>
    </row>
    <row r="3754" spans="1:6">
      <c r="A3754" t="s">
        <v>7883</v>
      </c>
      <c r="B3754" t="s">
        <v>1561</v>
      </c>
      <c r="C3754" t="s">
        <v>27</v>
      </c>
      <c r="D3754" s="1">
        <v>45739</v>
      </c>
      <c r="E3754" t="s">
        <v>4124</v>
      </c>
      <c r="F3754" t="s">
        <v>4139</v>
      </c>
    </row>
    <row r="3755" spans="1:6">
      <c r="A3755" t="s">
        <v>7884</v>
      </c>
      <c r="B3755" t="s">
        <v>1561</v>
      </c>
      <c r="C3755" t="s">
        <v>27</v>
      </c>
      <c r="D3755" s="1">
        <v>45738</v>
      </c>
      <c r="E3755" t="s">
        <v>4133</v>
      </c>
      <c r="F3755" t="s">
        <v>4139</v>
      </c>
    </row>
    <row r="3756" spans="1:6">
      <c r="A3756" t="s">
        <v>7885</v>
      </c>
      <c r="B3756" t="s">
        <v>1561</v>
      </c>
      <c r="C3756" t="s">
        <v>27</v>
      </c>
      <c r="D3756" s="1">
        <v>45743</v>
      </c>
      <c r="E3756" t="s">
        <v>4129</v>
      </c>
      <c r="F3756" t="s">
        <v>4137</v>
      </c>
    </row>
    <row r="3757" spans="1:6">
      <c r="A3757" t="s">
        <v>7886</v>
      </c>
      <c r="B3757" t="s">
        <v>1562</v>
      </c>
      <c r="C3757" t="s">
        <v>32</v>
      </c>
      <c r="D3757" s="1">
        <v>45883</v>
      </c>
      <c r="E3757" t="s">
        <v>4127</v>
      </c>
      <c r="F3757" t="s">
        <v>4139</v>
      </c>
    </row>
    <row r="3758" spans="1:6">
      <c r="A3758" t="s">
        <v>7887</v>
      </c>
      <c r="B3758" t="s">
        <v>1562</v>
      </c>
      <c r="C3758" t="s">
        <v>32</v>
      </c>
      <c r="D3758" s="1">
        <v>45893</v>
      </c>
      <c r="E3758" t="s">
        <v>4133</v>
      </c>
      <c r="F3758" t="s">
        <v>4139</v>
      </c>
    </row>
    <row r="3759" spans="1:6">
      <c r="A3759" t="s">
        <v>7888</v>
      </c>
      <c r="B3759" t="s">
        <v>1562</v>
      </c>
      <c r="C3759" t="s">
        <v>32</v>
      </c>
      <c r="D3759" s="1">
        <v>45873</v>
      </c>
      <c r="E3759" t="s">
        <v>4129</v>
      </c>
      <c r="F3759" t="s">
        <v>4125</v>
      </c>
    </row>
    <row r="3760" spans="1:6">
      <c r="A3760" t="s">
        <v>7889</v>
      </c>
      <c r="B3760" t="s">
        <v>1562</v>
      </c>
      <c r="C3760" t="s">
        <v>32</v>
      </c>
      <c r="D3760" s="1">
        <v>45896</v>
      </c>
      <c r="E3760" t="s">
        <v>4127</v>
      </c>
      <c r="F3760" t="s">
        <v>4125</v>
      </c>
    </row>
    <row r="3761" spans="1:6">
      <c r="A3761" t="s">
        <v>7890</v>
      </c>
      <c r="B3761" t="s">
        <v>1562</v>
      </c>
      <c r="C3761" t="s">
        <v>32</v>
      </c>
      <c r="D3761" s="1">
        <v>45880</v>
      </c>
      <c r="E3761" t="s">
        <v>4127</v>
      </c>
      <c r="F3761" t="s">
        <v>4125</v>
      </c>
    </row>
    <row r="3762" spans="1:6">
      <c r="A3762" t="s">
        <v>7891</v>
      </c>
      <c r="B3762" t="s">
        <v>1563</v>
      </c>
      <c r="C3762" t="s">
        <v>152</v>
      </c>
      <c r="D3762" s="1">
        <v>45877</v>
      </c>
      <c r="E3762" t="s">
        <v>4129</v>
      </c>
      <c r="F3762" t="s">
        <v>4125</v>
      </c>
    </row>
    <row r="3763" spans="1:6">
      <c r="A3763" t="s">
        <v>7892</v>
      </c>
      <c r="B3763" t="s">
        <v>1563</v>
      </c>
      <c r="C3763" t="s">
        <v>152</v>
      </c>
      <c r="D3763" s="1">
        <v>45867</v>
      </c>
      <c r="E3763" t="s">
        <v>4135</v>
      </c>
      <c r="F3763" t="s">
        <v>4137</v>
      </c>
    </row>
    <row r="3764" spans="1:6">
      <c r="A3764" t="s">
        <v>7893</v>
      </c>
      <c r="B3764" t="s">
        <v>1563</v>
      </c>
      <c r="C3764" t="s">
        <v>152</v>
      </c>
      <c r="D3764" s="1">
        <v>45870</v>
      </c>
      <c r="E3764" t="s">
        <v>4133</v>
      </c>
      <c r="F3764" t="s">
        <v>4137</v>
      </c>
    </row>
    <row r="3765" spans="1:6">
      <c r="A3765" t="s">
        <v>7894</v>
      </c>
      <c r="B3765" t="s">
        <v>1564</v>
      </c>
      <c r="C3765" t="s">
        <v>32</v>
      </c>
      <c r="D3765" s="1">
        <v>45778</v>
      </c>
      <c r="E3765" t="s">
        <v>4129</v>
      </c>
      <c r="F3765" t="s">
        <v>4125</v>
      </c>
    </row>
    <row r="3766" spans="1:6">
      <c r="A3766" t="s">
        <v>7895</v>
      </c>
      <c r="B3766" t="s">
        <v>1564</v>
      </c>
      <c r="C3766" t="s">
        <v>32</v>
      </c>
      <c r="D3766" s="1">
        <v>45793</v>
      </c>
      <c r="E3766" t="s">
        <v>4129</v>
      </c>
      <c r="F3766" t="s">
        <v>4137</v>
      </c>
    </row>
    <row r="3767" spans="1:6">
      <c r="A3767" t="s">
        <v>7896</v>
      </c>
      <c r="B3767" t="s">
        <v>1564</v>
      </c>
      <c r="C3767" t="s">
        <v>32</v>
      </c>
      <c r="D3767" s="1">
        <v>45791</v>
      </c>
      <c r="E3767" t="s">
        <v>4133</v>
      </c>
      <c r="F3767" t="s">
        <v>4125</v>
      </c>
    </row>
    <row r="3768" spans="1:6">
      <c r="A3768" t="s">
        <v>7897</v>
      </c>
      <c r="B3768" t="s">
        <v>1564</v>
      </c>
      <c r="C3768" t="s">
        <v>32</v>
      </c>
      <c r="D3768" s="1">
        <v>45816</v>
      </c>
      <c r="E3768" t="s">
        <v>4129</v>
      </c>
      <c r="F3768" t="s">
        <v>4139</v>
      </c>
    </row>
    <row r="3769" spans="1:6">
      <c r="A3769" t="s">
        <v>7898</v>
      </c>
      <c r="B3769" t="s">
        <v>1564</v>
      </c>
      <c r="C3769" t="s">
        <v>32</v>
      </c>
      <c r="D3769" s="1">
        <v>45817</v>
      </c>
      <c r="E3769" t="s">
        <v>4124</v>
      </c>
      <c r="F3769" t="s">
        <v>4137</v>
      </c>
    </row>
    <row r="3770" spans="1:6">
      <c r="A3770" t="s">
        <v>7899</v>
      </c>
      <c r="B3770" t="s">
        <v>1565</v>
      </c>
      <c r="C3770" t="s">
        <v>50</v>
      </c>
      <c r="D3770" s="1">
        <v>45985</v>
      </c>
      <c r="E3770" t="s">
        <v>4127</v>
      </c>
      <c r="F3770" t="s">
        <v>4137</v>
      </c>
    </row>
    <row r="3771" spans="1:6">
      <c r="A3771" t="s">
        <v>7900</v>
      </c>
      <c r="B3771" t="s">
        <v>1565</v>
      </c>
      <c r="C3771" t="s">
        <v>50</v>
      </c>
      <c r="D3771" s="1">
        <v>45983</v>
      </c>
      <c r="E3771" t="s">
        <v>4133</v>
      </c>
      <c r="F3771" t="s">
        <v>4125</v>
      </c>
    </row>
    <row r="3772" spans="1:6">
      <c r="A3772" t="s">
        <v>7901</v>
      </c>
      <c r="B3772" t="s">
        <v>1565</v>
      </c>
      <c r="C3772" t="s">
        <v>50</v>
      </c>
      <c r="D3772" s="1">
        <v>45981</v>
      </c>
      <c r="E3772" t="s">
        <v>4127</v>
      </c>
      <c r="F3772" t="s">
        <v>4125</v>
      </c>
    </row>
    <row r="3773" spans="1:6">
      <c r="A3773" t="s">
        <v>7902</v>
      </c>
      <c r="B3773" t="s">
        <v>1565</v>
      </c>
      <c r="C3773" t="s">
        <v>50</v>
      </c>
      <c r="D3773" s="1">
        <v>45985</v>
      </c>
      <c r="E3773" t="s">
        <v>4135</v>
      </c>
      <c r="F3773" t="s">
        <v>4137</v>
      </c>
    </row>
    <row r="3774" spans="1:6">
      <c r="A3774" t="s">
        <v>7903</v>
      </c>
      <c r="B3774" t="s">
        <v>1566</v>
      </c>
      <c r="C3774" t="s">
        <v>152</v>
      </c>
      <c r="D3774" s="1">
        <v>45806</v>
      </c>
      <c r="E3774" t="s">
        <v>4124</v>
      </c>
      <c r="F3774" t="s">
        <v>4137</v>
      </c>
    </row>
    <row r="3775" spans="1:6">
      <c r="A3775" t="s">
        <v>7904</v>
      </c>
      <c r="B3775" t="s">
        <v>1566</v>
      </c>
      <c r="C3775" t="s">
        <v>152</v>
      </c>
      <c r="D3775" s="1">
        <v>45807</v>
      </c>
      <c r="E3775" t="s">
        <v>4133</v>
      </c>
      <c r="F3775" t="s">
        <v>4139</v>
      </c>
    </row>
    <row r="3776" spans="1:6">
      <c r="A3776" t="s">
        <v>7905</v>
      </c>
      <c r="B3776" t="s">
        <v>1567</v>
      </c>
      <c r="C3776" t="s">
        <v>119</v>
      </c>
      <c r="D3776" s="1">
        <v>45929</v>
      </c>
      <c r="E3776" t="s">
        <v>4127</v>
      </c>
      <c r="F3776" t="s">
        <v>4125</v>
      </c>
    </row>
    <row r="3777" spans="1:6">
      <c r="A3777" t="s">
        <v>7906</v>
      </c>
      <c r="B3777" t="s">
        <v>1567</v>
      </c>
      <c r="C3777" t="s">
        <v>119</v>
      </c>
      <c r="D3777" s="1">
        <v>45922</v>
      </c>
      <c r="E3777" t="s">
        <v>4135</v>
      </c>
      <c r="F3777" t="s">
        <v>4139</v>
      </c>
    </row>
    <row r="3778" spans="1:6">
      <c r="A3778" t="s">
        <v>7907</v>
      </c>
      <c r="B3778" t="s">
        <v>1567</v>
      </c>
      <c r="C3778" t="s">
        <v>119</v>
      </c>
      <c r="D3778" s="1">
        <v>45927</v>
      </c>
      <c r="E3778" t="s">
        <v>4127</v>
      </c>
      <c r="F3778" t="s">
        <v>4137</v>
      </c>
    </row>
    <row r="3779" spans="1:6">
      <c r="A3779" t="s">
        <v>7908</v>
      </c>
      <c r="B3779" t="s">
        <v>1567</v>
      </c>
      <c r="C3779" t="s">
        <v>119</v>
      </c>
      <c r="D3779" s="1">
        <v>45929</v>
      </c>
      <c r="E3779" t="s">
        <v>4133</v>
      </c>
      <c r="F3779" t="s">
        <v>4137</v>
      </c>
    </row>
    <row r="3780" spans="1:6">
      <c r="A3780" t="s">
        <v>7909</v>
      </c>
      <c r="B3780" t="s">
        <v>1567</v>
      </c>
      <c r="C3780" t="s">
        <v>119</v>
      </c>
      <c r="D3780" s="1">
        <v>45918</v>
      </c>
      <c r="E3780" t="s">
        <v>4135</v>
      </c>
      <c r="F3780" t="s">
        <v>4125</v>
      </c>
    </row>
    <row r="3781" spans="1:6">
      <c r="A3781" t="s">
        <v>7910</v>
      </c>
      <c r="B3781" t="s">
        <v>1569</v>
      </c>
      <c r="C3781" t="s">
        <v>46</v>
      </c>
      <c r="D3781" s="1">
        <v>45987</v>
      </c>
      <c r="E3781" t="s">
        <v>4129</v>
      </c>
      <c r="F3781" t="s">
        <v>4139</v>
      </c>
    </row>
    <row r="3782" spans="1:6">
      <c r="A3782" t="s">
        <v>7911</v>
      </c>
      <c r="B3782" t="s">
        <v>1569</v>
      </c>
      <c r="C3782" t="s">
        <v>46</v>
      </c>
      <c r="D3782" s="1">
        <v>46001</v>
      </c>
      <c r="E3782" t="s">
        <v>4135</v>
      </c>
      <c r="F3782" t="s">
        <v>4137</v>
      </c>
    </row>
    <row r="3783" spans="1:6">
      <c r="A3783" t="s">
        <v>7912</v>
      </c>
      <c r="B3783" t="s">
        <v>1570</v>
      </c>
      <c r="C3783" t="s">
        <v>27</v>
      </c>
      <c r="D3783" s="1">
        <v>45806</v>
      </c>
      <c r="E3783" t="s">
        <v>4124</v>
      </c>
      <c r="F3783" t="s">
        <v>4139</v>
      </c>
    </row>
    <row r="3784" spans="1:6">
      <c r="A3784" t="s">
        <v>7913</v>
      </c>
      <c r="B3784" t="s">
        <v>1570</v>
      </c>
      <c r="C3784" t="s">
        <v>27</v>
      </c>
      <c r="D3784" s="1">
        <v>45792</v>
      </c>
      <c r="E3784" t="s">
        <v>4127</v>
      </c>
      <c r="F3784" t="s">
        <v>4137</v>
      </c>
    </row>
    <row r="3785" spans="1:6">
      <c r="A3785" t="s">
        <v>7914</v>
      </c>
      <c r="B3785" t="s">
        <v>1570</v>
      </c>
      <c r="C3785" t="s">
        <v>27</v>
      </c>
      <c r="D3785" s="1">
        <v>45794</v>
      </c>
      <c r="E3785" t="s">
        <v>4133</v>
      </c>
      <c r="F3785" t="s">
        <v>4139</v>
      </c>
    </row>
    <row r="3786" spans="1:6">
      <c r="A3786" t="s">
        <v>7915</v>
      </c>
      <c r="B3786" t="s">
        <v>1570</v>
      </c>
      <c r="C3786" t="s">
        <v>27</v>
      </c>
      <c r="D3786" s="1">
        <v>45814</v>
      </c>
      <c r="E3786" t="s">
        <v>4124</v>
      </c>
      <c r="F3786" t="s">
        <v>4125</v>
      </c>
    </row>
    <row r="3787" spans="1:6">
      <c r="A3787" t="s">
        <v>7916</v>
      </c>
      <c r="B3787" t="s">
        <v>1572</v>
      </c>
      <c r="C3787" t="s">
        <v>16</v>
      </c>
      <c r="D3787" s="1">
        <v>45710</v>
      </c>
      <c r="E3787" t="s">
        <v>4129</v>
      </c>
      <c r="F3787" t="s">
        <v>4137</v>
      </c>
    </row>
    <row r="3788" spans="1:6">
      <c r="A3788" t="s">
        <v>7917</v>
      </c>
      <c r="B3788" t="s">
        <v>1572</v>
      </c>
      <c r="C3788" t="s">
        <v>16</v>
      </c>
      <c r="D3788" s="1">
        <v>45731</v>
      </c>
      <c r="E3788" t="s">
        <v>4129</v>
      </c>
      <c r="F3788" t="s">
        <v>4137</v>
      </c>
    </row>
    <row r="3789" spans="1:6">
      <c r="A3789" t="s">
        <v>7918</v>
      </c>
      <c r="B3789" t="s">
        <v>1573</v>
      </c>
      <c r="C3789" t="s">
        <v>78</v>
      </c>
      <c r="D3789" s="1">
        <v>45780</v>
      </c>
      <c r="E3789" t="s">
        <v>4127</v>
      </c>
      <c r="F3789" t="s">
        <v>4125</v>
      </c>
    </row>
    <row r="3790" spans="1:6">
      <c r="A3790" t="s">
        <v>7919</v>
      </c>
      <c r="B3790" t="s">
        <v>1573</v>
      </c>
      <c r="C3790" t="s">
        <v>78</v>
      </c>
      <c r="D3790" s="1">
        <v>45783</v>
      </c>
      <c r="E3790" t="s">
        <v>4135</v>
      </c>
      <c r="F3790" t="s">
        <v>4139</v>
      </c>
    </row>
    <row r="3791" spans="1:6">
      <c r="A3791" t="s">
        <v>7920</v>
      </c>
      <c r="B3791" t="s">
        <v>1573</v>
      </c>
      <c r="C3791" t="s">
        <v>78</v>
      </c>
      <c r="D3791" s="1">
        <v>45753</v>
      </c>
      <c r="E3791" t="s">
        <v>4127</v>
      </c>
      <c r="F3791" t="s">
        <v>4139</v>
      </c>
    </row>
    <row r="3792" spans="1:6">
      <c r="A3792" t="s">
        <v>7921</v>
      </c>
      <c r="B3792" t="s">
        <v>1574</v>
      </c>
      <c r="C3792" t="s">
        <v>126</v>
      </c>
      <c r="D3792" s="1">
        <v>45758</v>
      </c>
      <c r="E3792" t="s">
        <v>4129</v>
      </c>
      <c r="F3792" t="s">
        <v>4125</v>
      </c>
    </row>
    <row r="3793" spans="1:6">
      <c r="A3793" t="s">
        <v>7922</v>
      </c>
      <c r="B3793" t="s">
        <v>1574</v>
      </c>
      <c r="C3793" t="s">
        <v>126</v>
      </c>
      <c r="D3793" s="1">
        <v>45755</v>
      </c>
      <c r="E3793" t="s">
        <v>4133</v>
      </c>
      <c r="F3793" t="s">
        <v>4139</v>
      </c>
    </row>
    <row r="3794" spans="1:6">
      <c r="A3794" t="s">
        <v>7923</v>
      </c>
      <c r="B3794" t="s">
        <v>1575</v>
      </c>
      <c r="C3794" t="s">
        <v>119</v>
      </c>
      <c r="D3794" s="1">
        <v>45887</v>
      </c>
      <c r="E3794" t="s">
        <v>4129</v>
      </c>
      <c r="F3794" t="s">
        <v>4137</v>
      </c>
    </row>
    <row r="3795" spans="1:6">
      <c r="A3795" t="s">
        <v>7924</v>
      </c>
      <c r="B3795" t="s">
        <v>1575</v>
      </c>
      <c r="C3795" t="s">
        <v>119</v>
      </c>
      <c r="D3795" s="1">
        <v>45906</v>
      </c>
      <c r="E3795" t="s">
        <v>4135</v>
      </c>
      <c r="F3795" t="s">
        <v>4139</v>
      </c>
    </row>
    <row r="3796" spans="1:6">
      <c r="A3796" t="s">
        <v>7925</v>
      </c>
      <c r="B3796" t="s">
        <v>1576</v>
      </c>
      <c r="C3796" t="s">
        <v>46</v>
      </c>
      <c r="D3796" s="1">
        <v>45686</v>
      </c>
      <c r="E3796" t="s">
        <v>4124</v>
      </c>
      <c r="F3796" t="s">
        <v>4125</v>
      </c>
    </row>
    <row r="3797" spans="1:6">
      <c r="A3797" t="s">
        <v>7926</v>
      </c>
      <c r="B3797" t="s">
        <v>1576</v>
      </c>
      <c r="C3797" t="s">
        <v>46</v>
      </c>
      <c r="D3797" s="1">
        <v>45711</v>
      </c>
      <c r="E3797" t="s">
        <v>4133</v>
      </c>
      <c r="F3797" t="s">
        <v>4139</v>
      </c>
    </row>
    <row r="3798" spans="1:6">
      <c r="A3798" t="s">
        <v>7927</v>
      </c>
      <c r="B3798" t="s">
        <v>1576</v>
      </c>
      <c r="C3798" t="s">
        <v>46</v>
      </c>
      <c r="D3798" s="1">
        <v>45695</v>
      </c>
      <c r="E3798" t="s">
        <v>4124</v>
      </c>
      <c r="F3798" t="s">
        <v>4137</v>
      </c>
    </row>
    <row r="3799" spans="1:6">
      <c r="A3799" t="s">
        <v>7928</v>
      </c>
      <c r="B3799" t="s">
        <v>1576</v>
      </c>
      <c r="C3799" t="s">
        <v>46</v>
      </c>
      <c r="D3799" s="1">
        <v>45694</v>
      </c>
      <c r="E3799" t="s">
        <v>4133</v>
      </c>
      <c r="F3799" t="s">
        <v>4139</v>
      </c>
    </row>
    <row r="3800" spans="1:6">
      <c r="A3800" t="s">
        <v>7929</v>
      </c>
      <c r="B3800" t="s">
        <v>1577</v>
      </c>
      <c r="C3800" t="s">
        <v>126</v>
      </c>
      <c r="D3800" s="1">
        <v>45805</v>
      </c>
      <c r="E3800" t="s">
        <v>4124</v>
      </c>
      <c r="F3800" t="s">
        <v>4139</v>
      </c>
    </row>
    <row r="3801" spans="1:6">
      <c r="A3801" t="s">
        <v>7930</v>
      </c>
      <c r="B3801" t="s">
        <v>1577</v>
      </c>
      <c r="C3801" t="s">
        <v>126</v>
      </c>
      <c r="D3801" s="1">
        <v>45751</v>
      </c>
      <c r="E3801" t="s">
        <v>4133</v>
      </c>
      <c r="F3801" t="s">
        <v>4125</v>
      </c>
    </row>
    <row r="3802" spans="1:6">
      <c r="A3802" t="s">
        <v>7931</v>
      </c>
      <c r="B3802" t="s">
        <v>1577</v>
      </c>
      <c r="C3802" t="s">
        <v>126</v>
      </c>
      <c r="D3802" s="1">
        <v>45784</v>
      </c>
      <c r="E3802" t="s">
        <v>4135</v>
      </c>
      <c r="F3802" t="s">
        <v>4139</v>
      </c>
    </row>
    <row r="3803" spans="1:6">
      <c r="A3803" t="s">
        <v>7932</v>
      </c>
      <c r="B3803" t="s">
        <v>1578</v>
      </c>
      <c r="C3803" t="s">
        <v>126</v>
      </c>
      <c r="D3803" s="1">
        <v>45983</v>
      </c>
      <c r="E3803" t="s">
        <v>4124</v>
      </c>
      <c r="F3803" t="s">
        <v>4139</v>
      </c>
    </row>
    <row r="3804" spans="1:6">
      <c r="A3804" t="s">
        <v>7933</v>
      </c>
      <c r="B3804" t="s">
        <v>1578</v>
      </c>
      <c r="C3804" t="s">
        <v>126</v>
      </c>
      <c r="D3804" s="1">
        <v>45957</v>
      </c>
      <c r="E3804" t="s">
        <v>4133</v>
      </c>
      <c r="F3804" t="s">
        <v>4139</v>
      </c>
    </row>
    <row r="3805" spans="1:6">
      <c r="A3805" t="s">
        <v>7934</v>
      </c>
      <c r="B3805" t="s">
        <v>1579</v>
      </c>
      <c r="C3805" t="s">
        <v>40</v>
      </c>
      <c r="D3805" s="1">
        <v>46021</v>
      </c>
      <c r="E3805" t="s">
        <v>4124</v>
      </c>
      <c r="F3805" t="s">
        <v>4139</v>
      </c>
    </row>
    <row r="3806" spans="1:6">
      <c r="A3806" t="s">
        <v>7935</v>
      </c>
      <c r="B3806" t="s">
        <v>1579</v>
      </c>
      <c r="C3806" t="s">
        <v>40</v>
      </c>
      <c r="D3806" s="1">
        <v>46022</v>
      </c>
      <c r="E3806" t="s">
        <v>4127</v>
      </c>
      <c r="F3806" t="s">
        <v>4137</v>
      </c>
    </row>
    <row r="3807" spans="1:6">
      <c r="A3807" t="s">
        <v>7936</v>
      </c>
      <c r="B3807" t="s">
        <v>1579</v>
      </c>
      <c r="C3807" t="s">
        <v>40</v>
      </c>
      <c r="D3807" s="1">
        <v>46021</v>
      </c>
      <c r="E3807" t="s">
        <v>4124</v>
      </c>
      <c r="F3807" t="s">
        <v>4139</v>
      </c>
    </row>
    <row r="3808" spans="1:6">
      <c r="A3808" t="s">
        <v>7937</v>
      </c>
      <c r="B3808" t="s">
        <v>1580</v>
      </c>
      <c r="C3808" t="s">
        <v>40</v>
      </c>
      <c r="D3808" s="1">
        <v>45828</v>
      </c>
      <c r="E3808" t="s">
        <v>4124</v>
      </c>
      <c r="F3808" t="s">
        <v>4139</v>
      </c>
    </row>
    <row r="3809" spans="1:6">
      <c r="A3809" t="s">
        <v>7938</v>
      </c>
      <c r="B3809" t="s">
        <v>1580</v>
      </c>
      <c r="C3809" t="s">
        <v>40</v>
      </c>
      <c r="D3809" s="1">
        <v>45812</v>
      </c>
      <c r="E3809" t="s">
        <v>4127</v>
      </c>
      <c r="F3809" t="s">
        <v>4139</v>
      </c>
    </row>
    <row r="3810" spans="1:6">
      <c r="A3810" t="s">
        <v>7939</v>
      </c>
      <c r="B3810" t="s">
        <v>1581</v>
      </c>
      <c r="C3810" t="s">
        <v>91</v>
      </c>
      <c r="D3810" s="1">
        <v>45707</v>
      </c>
      <c r="E3810" t="s">
        <v>4135</v>
      </c>
      <c r="F3810" t="s">
        <v>4137</v>
      </c>
    </row>
    <row r="3811" spans="1:6">
      <c r="A3811" t="s">
        <v>7940</v>
      </c>
      <c r="B3811" t="s">
        <v>1581</v>
      </c>
      <c r="C3811" t="s">
        <v>91</v>
      </c>
      <c r="D3811" s="1">
        <v>45709</v>
      </c>
      <c r="E3811" t="s">
        <v>4133</v>
      </c>
      <c r="F3811" t="s">
        <v>4139</v>
      </c>
    </row>
    <row r="3812" spans="1:6">
      <c r="A3812" t="s">
        <v>7941</v>
      </c>
      <c r="B3812" t="s">
        <v>1581</v>
      </c>
      <c r="C3812" t="s">
        <v>91</v>
      </c>
      <c r="D3812" s="1">
        <v>45702</v>
      </c>
      <c r="E3812" t="s">
        <v>4124</v>
      </c>
      <c r="F3812" t="s">
        <v>4125</v>
      </c>
    </row>
    <row r="3813" spans="1:6">
      <c r="A3813" t="s">
        <v>7942</v>
      </c>
      <c r="B3813" t="s">
        <v>1581</v>
      </c>
      <c r="C3813" t="s">
        <v>91</v>
      </c>
      <c r="D3813" s="1">
        <v>45705</v>
      </c>
      <c r="E3813" t="s">
        <v>4127</v>
      </c>
      <c r="F3813" t="s">
        <v>4139</v>
      </c>
    </row>
    <row r="3814" spans="1:6">
      <c r="A3814" t="s">
        <v>7943</v>
      </c>
      <c r="B3814" t="s">
        <v>1581</v>
      </c>
      <c r="C3814" t="s">
        <v>91</v>
      </c>
      <c r="D3814" s="1">
        <v>45703</v>
      </c>
      <c r="E3814" t="s">
        <v>4135</v>
      </c>
      <c r="F3814" t="s">
        <v>4137</v>
      </c>
    </row>
    <row r="3815" spans="1:6">
      <c r="A3815" t="s">
        <v>7944</v>
      </c>
      <c r="B3815" t="s">
        <v>1582</v>
      </c>
      <c r="C3815" t="s">
        <v>22</v>
      </c>
      <c r="D3815" s="1">
        <v>46018</v>
      </c>
      <c r="E3815" t="s">
        <v>4127</v>
      </c>
      <c r="F3815" t="s">
        <v>4125</v>
      </c>
    </row>
    <row r="3816" spans="1:6">
      <c r="A3816" t="s">
        <v>7945</v>
      </c>
      <c r="B3816" t="s">
        <v>1582</v>
      </c>
      <c r="C3816" t="s">
        <v>22</v>
      </c>
      <c r="D3816" s="1">
        <v>46000</v>
      </c>
      <c r="E3816" t="s">
        <v>4127</v>
      </c>
      <c r="F3816" t="s">
        <v>4139</v>
      </c>
    </row>
    <row r="3817" spans="1:6">
      <c r="A3817" t="s">
        <v>7946</v>
      </c>
      <c r="B3817" t="s">
        <v>1582</v>
      </c>
      <c r="C3817" t="s">
        <v>22</v>
      </c>
      <c r="D3817" s="1">
        <v>45990</v>
      </c>
      <c r="E3817" t="s">
        <v>4133</v>
      </c>
      <c r="F3817" t="s">
        <v>4139</v>
      </c>
    </row>
    <row r="3818" spans="1:6">
      <c r="A3818" t="s">
        <v>7947</v>
      </c>
      <c r="B3818" t="s">
        <v>1582</v>
      </c>
      <c r="C3818" t="s">
        <v>22</v>
      </c>
      <c r="D3818" s="1">
        <v>45972</v>
      </c>
      <c r="E3818" t="s">
        <v>4133</v>
      </c>
      <c r="F3818" t="s">
        <v>4125</v>
      </c>
    </row>
    <row r="3819" spans="1:6">
      <c r="A3819" t="s">
        <v>7948</v>
      </c>
      <c r="B3819" t="s">
        <v>1583</v>
      </c>
      <c r="C3819" t="s">
        <v>152</v>
      </c>
      <c r="D3819" s="1">
        <v>45940</v>
      </c>
      <c r="E3819" t="s">
        <v>4124</v>
      </c>
      <c r="F3819" t="s">
        <v>4125</v>
      </c>
    </row>
    <row r="3820" spans="1:6">
      <c r="A3820" t="s">
        <v>7949</v>
      </c>
      <c r="B3820" t="s">
        <v>1583</v>
      </c>
      <c r="C3820" t="s">
        <v>152</v>
      </c>
      <c r="D3820" s="1">
        <v>45945</v>
      </c>
      <c r="E3820" t="s">
        <v>4129</v>
      </c>
      <c r="F3820" t="s">
        <v>4125</v>
      </c>
    </row>
    <row r="3821" spans="1:6">
      <c r="A3821" t="s">
        <v>7950</v>
      </c>
      <c r="B3821" t="s">
        <v>1583</v>
      </c>
      <c r="C3821" t="s">
        <v>152</v>
      </c>
      <c r="D3821" s="1">
        <v>45945</v>
      </c>
      <c r="E3821" t="s">
        <v>4135</v>
      </c>
      <c r="F3821" t="s">
        <v>4139</v>
      </c>
    </row>
    <row r="3822" spans="1:6">
      <c r="A3822" t="s">
        <v>7951</v>
      </c>
      <c r="B3822" t="s">
        <v>1583</v>
      </c>
      <c r="C3822" t="s">
        <v>152</v>
      </c>
      <c r="D3822" s="1">
        <v>45946</v>
      </c>
      <c r="E3822" t="s">
        <v>4124</v>
      </c>
      <c r="F3822" t="s">
        <v>4139</v>
      </c>
    </row>
    <row r="3823" spans="1:6">
      <c r="A3823" t="s">
        <v>7952</v>
      </c>
      <c r="B3823" t="s">
        <v>1583</v>
      </c>
      <c r="C3823" t="s">
        <v>152</v>
      </c>
      <c r="D3823" s="1">
        <v>45932</v>
      </c>
      <c r="E3823" t="s">
        <v>4129</v>
      </c>
      <c r="F3823" t="s">
        <v>4125</v>
      </c>
    </row>
    <row r="3824" spans="1:6">
      <c r="A3824" t="s">
        <v>7953</v>
      </c>
      <c r="B3824" t="s">
        <v>1584</v>
      </c>
      <c r="C3824" t="s">
        <v>36</v>
      </c>
      <c r="D3824" s="1">
        <v>45826</v>
      </c>
      <c r="E3824" t="s">
        <v>4133</v>
      </c>
      <c r="F3824" t="s">
        <v>4137</v>
      </c>
    </row>
    <row r="3825" spans="1:6">
      <c r="A3825" t="s">
        <v>7954</v>
      </c>
      <c r="B3825" t="s">
        <v>1584</v>
      </c>
      <c r="C3825" t="s">
        <v>36</v>
      </c>
      <c r="D3825" s="1">
        <v>45808</v>
      </c>
      <c r="E3825" t="s">
        <v>4129</v>
      </c>
      <c r="F3825" t="s">
        <v>4125</v>
      </c>
    </row>
    <row r="3826" spans="1:6">
      <c r="A3826" t="s">
        <v>7955</v>
      </c>
      <c r="B3826" t="s">
        <v>1585</v>
      </c>
      <c r="C3826" t="s">
        <v>59</v>
      </c>
      <c r="D3826" s="1">
        <v>45849</v>
      </c>
      <c r="E3826" t="s">
        <v>4135</v>
      </c>
      <c r="F3826" t="s">
        <v>4139</v>
      </c>
    </row>
    <row r="3827" spans="1:6">
      <c r="A3827" t="s">
        <v>7956</v>
      </c>
      <c r="B3827" t="s">
        <v>1585</v>
      </c>
      <c r="C3827" t="s">
        <v>59</v>
      </c>
      <c r="D3827" s="1">
        <v>45861</v>
      </c>
      <c r="E3827" t="s">
        <v>4127</v>
      </c>
      <c r="F3827" t="s">
        <v>4139</v>
      </c>
    </row>
    <row r="3828" spans="1:6">
      <c r="A3828" t="s">
        <v>7957</v>
      </c>
      <c r="B3828" t="s">
        <v>1585</v>
      </c>
      <c r="C3828" t="s">
        <v>59</v>
      </c>
      <c r="D3828" s="1">
        <v>45828</v>
      </c>
      <c r="E3828" t="s">
        <v>4129</v>
      </c>
      <c r="F3828" t="s">
        <v>4137</v>
      </c>
    </row>
    <row r="3829" spans="1:6">
      <c r="A3829" t="s">
        <v>7958</v>
      </c>
      <c r="B3829" t="s">
        <v>1585</v>
      </c>
      <c r="C3829" t="s">
        <v>59</v>
      </c>
      <c r="D3829" s="1">
        <v>45843</v>
      </c>
      <c r="E3829" t="s">
        <v>4124</v>
      </c>
      <c r="F3829" t="s">
        <v>4137</v>
      </c>
    </row>
    <row r="3830" spans="1:6">
      <c r="A3830" t="s">
        <v>7959</v>
      </c>
      <c r="B3830" t="s">
        <v>1585</v>
      </c>
      <c r="C3830" t="s">
        <v>59</v>
      </c>
      <c r="D3830" s="1">
        <v>45839</v>
      </c>
      <c r="E3830" t="s">
        <v>4133</v>
      </c>
      <c r="F3830" t="s">
        <v>4125</v>
      </c>
    </row>
    <row r="3831" spans="1:6">
      <c r="A3831" t="s">
        <v>7960</v>
      </c>
      <c r="B3831" t="s">
        <v>1586</v>
      </c>
      <c r="C3831" t="s">
        <v>75</v>
      </c>
      <c r="D3831" s="1">
        <v>45960</v>
      </c>
      <c r="E3831" t="s">
        <v>4133</v>
      </c>
      <c r="F3831" t="s">
        <v>4139</v>
      </c>
    </row>
    <row r="3832" spans="1:6">
      <c r="A3832" t="s">
        <v>7961</v>
      </c>
      <c r="B3832" t="s">
        <v>1586</v>
      </c>
      <c r="C3832" t="s">
        <v>75</v>
      </c>
      <c r="D3832" s="1">
        <v>45955</v>
      </c>
      <c r="E3832" t="s">
        <v>4135</v>
      </c>
      <c r="F3832" t="s">
        <v>4139</v>
      </c>
    </row>
    <row r="3833" spans="1:6">
      <c r="A3833" t="s">
        <v>7962</v>
      </c>
      <c r="B3833" t="s">
        <v>1586</v>
      </c>
      <c r="C3833" t="s">
        <v>75</v>
      </c>
      <c r="D3833" s="1">
        <v>45998</v>
      </c>
      <c r="E3833" t="s">
        <v>4124</v>
      </c>
      <c r="F3833" t="s">
        <v>4125</v>
      </c>
    </row>
    <row r="3834" spans="1:6">
      <c r="A3834" t="s">
        <v>7963</v>
      </c>
      <c r="B3834" t="s">
        <v>1587</v>
      </c>
      <c r="C3834" t="s">
        <v>168</v>
      </c>
      <c r="D3834" s="1">
        <v>45666</v>
      </c>
      <c r="E3834" t="s">
        <v>4133</v>
      </c>
      <c r="F3834" t="s">
        <v>4125</v>
      </c>
    </row>
    <row r="3835" spans="1:6">
      <c r="A3835" t="s">
        <v>7964</v>
      </c>
      <c r="B3835" t="s">
        <v>1587</v>
      </c>
      <c r="C3835" t="s">
        <v>168</v>
      </c>
      <c r="D3835" s="1">
        <v>45698</v>
      </c>
      <c r="E3835" t="s">
        <v>4124</v>
      </c>
      <c r="F3835" t="s">
        <v>4139</v>
      </c>
    </row>
    <row r="3836" spans="1:6">
      <c r="A3836" t="s">
        <v>7965</v>
      </c>
      <c r="B3836" t="s">
        <v>1588</v>
      </c>
      <c r="C3836" t="s">
        <v>59</v>
      </c>
      <c r="D3836" s="1">
        <v>45893</v>
      </c>
      <c r="E3836" t="s">
        <v>4127</v>
      </c>
      <c r="F3836" t="s">
        <v>4139</v>
      </c>
    </row>
    <row r="3837" spans="1:6">
      <c r="A3837" t="s">
        <v>7966</v>
      </c>
      <c r="B3837" t="s">
        <v>1588</v>
      </c>
      <c r="C3837" t="s">
        <v>59</v>
      </c>
      <c r="D3837" s="1">
        <v>45902</v>
      </c>
      <c r="E3837" t="s">
        <v>4133</v>
      </c>
      <c r="F3837" t="s">
        <v>4139</v>
      </c>
    </row>
    <row r="3838" spans="1:6">
      <c r="A3838" t="s">
        <v>7967</v>
      </c>
      <c r="B3838" t="s">
        <v>1589</v>
      </c>
      <c r="C3838" t="s">
        <v>32</v>
      </c>
      <c r="D3838" s="1">
        <v>45962</v>
      </c>
      <c r="E3838" t="s">
        <v>4129</v>
      </c>
      <c r="F3838" t="s">
        <v>4125</v>
      </c>
    </row>
    <row r="3839" spans="1:6">
      <c r="A3839" t="s">
        <v>7968</v>
      </c>
      <c r="B3839" t="s">
        <v>1589</v>
      </c>
      <c r="C3839" t="s">
        <v>32</v>
      </c>
      <c r="D3839" s="1">
        <v>45965</v>
      </c>
      <c r="E3839" t="s">
        <v>4129</v>
      </c>
      <c r="F3839" t="s">
        <v>4125</v>
      </c>
    </row>
    <row r="3840" spans="1:6">
      <c r="A3840" t="s">
        <v>7969</v>
      </c>
      <c r="B3840" t="s">
        <v>1589</v>
      </c>
      <c r="C3840" t="s">
        <v>32</v>
      </c>
      <c r="D3840" s="1">
        <v>45962</v>
      </c>
      <c r="E3840" t="s">
        <v>4129</v>
      </c>
      <c r="F3840" t="s">
        <v>4139</v>
      </c>
    </row>
    <row r="3841" spans="1:6">
      <c r="A3841" t="s">
        <v>7970</v>
      </c>
      <c r="B3841" t="s">
        <v>1590</v>
      </c>
      <c r="C3841" t="s">
        <v>63</v>
      </c>
      <c r="D3841" s="1">
        <v>45842</v>
      </c>
      <c r="E3841" t="s">
        <v>4135</v>
      </c>
      <c r="F3841" t="s">
        <v>4139</v>
      </c>
    </row>
    <row r="3842" spans="1:6">
      <c r="A3842" t="s">
        <v>7971</v>
      </c>
      <c r="B3842" t="s">
        <v>1590</v>
      </c>
      <c r="C3842" t="s">
        <v>63</v>
      </c>
      <c r="D3842" s="1">
        <v>45831</v>
      </c>
      <c r="E3842" t="s">
        <v>4133</v>
      </c>
      <c r="F3842" t="s">
        <v>4125</v>
      </c>
    </row>
    <row r="3843" spans="1:6">
      <c r="A3843" t="s">
        <v>7972</v>
      </c>
      <c r="B3843" t="s">
        <v>1590</v>
      </c>
      <c r="C3843" t="s">
        <v>63</v>
      </c>
      <c r="D3843" s="1">
        <v>45846</v>
      </c>
      <c r="E3843" t="s">
        <v>4127</v>
      </c>
      <c r="F3843" t="s">
        <v>4125</v>
      </c>
    </row>
    <row r="3844" spans="1:6">
      <c r="A3844" t="s">
        <v>7973</v>
      </c>
      <c r="B3844" t="s">
        <v>1590</v>
      </c>
      <c r="C3844" t="s">
        <v>63</v>
      </c>
      <c r="D3844" s="1">
        <v>45837</v>
      </c>
      <c r="E3844" t="s">
        <v>4135</v>
      </c>
      <c r="F3844" t="s">
        <v>4137</v>
      </c>
    </row>
    <row r="3845" spans="1:6">
      <c r="A3845" t="s">
        <v>7974</v>
      </c>
      <c r="B3845" t="s">
        <v>1591</v>
      </c>
      <c r="C3845" t="s">
        <v>168</v>
      </c>
      <c r="D3845" s="1">
        <v>45905</v>
      </c>
      <c r="E3845" t="s">
        <v>4129</v>
      </c>
      <c r="F3845" t="s">
        <v>4125</v>
      </c>
    </row>
    <row r="3846" spans="1:6">
      <c r="A3846" t="s">
        <v>7975</v>
      </c>
      <c r="B3846" t="s">
        <v>1591</v>
      </c>
      <c r="C3846" t="s">
        <v>168</v>
      </c>
      <c r="D3846" s="1">
        <v>45897</v>
      </c>
      <c r="E3846" t="s">
        <v>4127</v>
      </c>
      <c r="F3846" t="s">
        <v>4137</v>
      </c>
    </row>
    <row r="3847" spans="1:6">
      <c r="A3847" t="s">
        <v>7976</v>
      </c>
      <c r="B3847" t="s">
        <v>1592</v>
      </c>
      <c r="C3847" t="s">
        <v>50</v>
      </c>
      <c r="D3847" s="1">
        <v>45821</v>
      </c>
      <c r="E3847" t="s">
        <v>4135</v>
      </c>
      <c r="F3847" t="s">
        <v>4137</v>
      </c>
    </row>
    <row r="3848" spans="1:6">
      <c r="A3848" t="s">
        <v>7977</v>
      </c>
      <c r="B3848" t="s">
        <v>1592</v>
      </c>
      <c r="C3848" t="s">
        <v>50</v>
      </c>
      <c r="D3848" s="1">
        <v>45819</v>
      </c>
      <c r="E3848" t="s">
        <v>4127</v>
      </c>
      <c r="F3848" t="s">
        <v>4137</v>
      </c>
    </row>
    <row r="3849" spans="1:6">
      <c r="A3849" t="s">
        <v>7978</v>
      </c>
      <c r="B3849" t="s">
        <v>1593</v>
      </c>
      <c r="C3849" t="s">
        <v>59</v>
      </c>
      <c r="D3849" s="1">
        <v>45873</v>
      </c>
      <c r="E3849" t="s">
        <v>4124</v>
      </c>
      <c r="F3849" t="s">
        <v>4137</v>
      </c>
    </row>
    <row r="3850" spans="1:6">
      <c r="A3850" t="s">
        <v>7979</v>
      </c>
      <c r="B3850" t="s">
        <v>1593</v>
      </c>
      <c r="C3850" t="s">
        <v>59</v>
      </c>
      <c r="D3850" s="1">
        <v>45840</v>
      </c>
      <c r="E3850" t="s">
        <v>4133</v>
      </c>
      <c r="F3850" t="s">
        <v>4139</v>
      </c>
    </row>
    <row r="3851" spans="1:6">
      <c r="A3851" t="s">
        <v>7980</v>
      </c>
      <c r="B3851" t="s">
        <v>1593</v>
      </c>
      <c r="C3851" t="s">
        <v>59</v>
      </c>
      <c r="D3851" s="1">
        <v>45829</v>
      </c>
      <c r="E3851" t="s">
        <v>4129</v>
      </c>
      <c r="F3851" t="s">
        <v>4139</v>
      </c>
    </row>
    <row r="3852" spans="1:6">
      <c r="A3852" t="s">
        <v>7981</v>
      </c>
      <c r="B3852" t="s">
        <v>1593</v>
      </c>
      <c r="C3852" t="s">
        <v>59</v>
      </c>
      <c r="D3852" s="1">
        <v>45856</v>
      </c>
      <c r="E3852" t="s">
        <v>4133</v>
      </c>
      <c r="F3852" t="s">
        <v>4139</v>
      </c>
    </row>
    <row r="3853" spans="1:6">
      <c r="A3853" t="s">
        <v>7982</v>
      </c>
      <c r="B3853" t="s">
        <v>1594</v>
      </c>
      <c r="C3853" t="s">
        <v>27</v>
      </c>
      <c r="D3853" s="1">
        <v>46010</v>
      </c>
      <c r="E3853" t="s">
        <v>4135</v>
      </c>
      <c r="F3853" t="s">
        <v>4137</v>
      </c>
    </row>
    <row r="3854" spans="1:6">
      <c r="A3854" t="s">
        <v>7983</v>
      </c>
      <c r="B3854" t="s">
        <v>1594</v>
      </c>
      <c r="C3854" t="s">
        <v>27</v>
      </c>
      <c r="D3854" s="1">
        <v>46012</v>
      </c>
      <c r="E3854" t="s">
        <v>4133</v>
      </c>
      <c r="F3854" t="s">
        <v>4125</v>
      </c>
    </row>
    <row r="3855" spans="1:6">
      <c r="A3855" t="s">
        <v>7984</v>
      </c>
      <c r="B3855" t="s">
        <v>1594</v>
      </c>
      <c r="C3855" t="s">
        <v>27</v>
      </c>
      <c r="D3855" s="1">
        <v>46015</v>
      </c>
      <c r="E3855" t="s">
        <v>4129</v>
      </c>
      <c r="F3855" t="s">
        <v>4139</v>
      </c>
    </row>
    <row r="3856" spans="1:6">
      <c r="A3856" t="s">
        <v>7985</v>
      </c>
      <c r="B3856" t="s">
        <v>1594</v>
      </c>
      <c r="C3856" t="s">
        <v>27</v>
      </c>
      <c r="D3856" s="1">
        <v>46017</v>
      </c>
      <c r="E3856" t="s">
        <v>4127</v>
      </c>
      <c r="F3856" t="s">
        <v>4125</v>
      </c>
    </row>
    <row r="3857" spans="1:6">
      <c r="A3857" t="s">
        <v>7986</v>
      </c>
      <c r="B3857" t="s">
        <v>1596</v>
      </c>
      <c r="C3857" t="s">
        <v>22</v>
      </c>
      <c r="D3857" s="1">
        <v>45788</v>
      </c>
      <c r="E3857" t="s">
        <v>4127</v>
      </c>
      <c r="F3857" t="s">
        <v>4137</v>
      </c>
    </row>
    <row r="3858" spans="1:6">
      <c r="A3858" t="s">
        <v>7987</v>
      </c>
      <c r="B3858" t="s">
        <v>1596</v>
      </c>
      <c r="C3858" t="s">
        <v>22</v>
      </c>
      <c r="D3858" s="1">
        <v>45775</v>
      </c>
      <c r="E3858" t="s">
        <v>4133</v>
      </c>
      <c r="F3858" t="s">
        <v>4137</v>
      </c>
    </row>
    <row r="3859" spans="1:6">
      <c r="A3859" t="s">
        <v>7988</v>
      </c>
      <c r="B3859" t="s">
        <v>1596</v>
      </c>
      <c r="C3859" t="s">
        <v>22</v>
      </c>
      <c r="D3859" s="1">
        <v>45779</v>
      </c>
      <c r="E3859" t="s">
        <v>4135</v>
      </c>
      <c r="F3859" t="s">
        <v>4125</v>
      </c>
    </row>
    <row r="3860" spans="1:6">
      <c r="A3860" t="s">
        <v>7989</v>
      </c>
      <c r="B3860" t="s">
        <v>1597</v>
      </c>
      <c r="C3860" t="s">
        <v>75</v>
      </c>
      <c r="D3860" s="1">
        <v>45960</v>
      </c>
      <c r="E3860" t="s">
        <v>4127</v>
      </c>
      <c r="F3860" t="s">
        <v>4137</v>
      </c>
    </row>
    <row r="3861" spans="1:6">
      <c r="A3861" t="s">
        <v>7990</v>
      </c>
      <c r="B3861" t="s">
        <v>1597</v>
      </c>
      <c r="C3861" t="s">
        <v>75</v>
      </c>
      <c r="D3861" s="1">
        <v>45958</v>
      </c>
      <c r="E3861" t="s">
        <v>4133</v>
      </c>
      <c r="F3861" t="s">
        <v>4137</v>
      </c>
    </row>
    <row r="3862" spans="1:6">
      <c r="A3862" t="s">
        <v>7991</v>
      </c>
      <c r="B3862" t="s">
        <v>1597</v>
      </c>
      <c r="C3862" t="s">
        <v>75</v>
      </c>
      <c r="D3862" s="1">
        <v>45952</v>
      </c>
      <c r="E3862" t="s">
        <v>4133</v>
      </c>
      <c r="F3862" t="s">
        <v>4139</v>
      </c>
    </row>
    <row r="3863" spans="1:6">
      <c r="A3863" t="s">
        <v>7992</v>
      </c>
      <c r="B3863" t="s">
        <v>1599</v>
      </c>
      <c r="C3863" t="s">
        <v>63</v>
      </c>
      <c r="D3863" s="1">
        <v>45751</v>
      </c>
      <c r="E3863" t="s">
        <v>4135</v>
      </c>
      <c r="F3863" t="s">
        <v>4125</v>
      </c>
    </row>
    <row r="3864" spans="1:6">
      <c r="A3864" t="s">
        <v>7993</v>
      </c>
      <c r="B3864" t="s">
        <v>1599</v>
      </c>
      <c r="C3864" t="s">
        <v>63</v>
      </c>
      <c r="D3864" s="1">
        <v>45761</v>
      </c>
      <c r="E3864" t="s">
        <v>4129</v>
      </c>
      <c r="F3864" t="s">
        <v>4139</v>
      </c>
    </row>
    <row r="3865" spans="1:6">
      <c r="A3865" t="s">
        <v>7994</v>
      </c>
      <c r="B3865" t="s">
        <v>1600</v>
      </c>
      <c r="C3865" t="s">
        <v>46</v>
      </c>
      <c r="D3865" s="1">
        <v>45705</v>
      </c>
      <c r="E3865" t="s">
        <v>4135</v>
      </c>
      <c r="F3865" t="s">
        <v>4139</v>
      </c>
    </row>
    <row r="3866" spans="1:6">
      <c r="A3866" t="s">
        <v>7995</v>
      </c>
      <c r="B3866" t="s">
        <v>1600</v>
      </c>
      <c r="C3866" t="s">
        <v>46</v>
      </c>
      <c r="D3866" s="1">
        <v>45723</v>
      </c>
      <c r="E3866" t="s">
        <v>4127</v>
      </c>
      <c r="F3866" t="s">
        <v>4125</v>
      </c>
    </row>
    <row r="3867" spans="1:6">
      <c r="A3867" t="s">
        <v>7996</v>
      </c>
      <c r="B3867" t="s">
        <v>1600</v>
      </c>
      <c r="C3867" t="s">
        <v>46</v>
      </c>
      <c r="D3867" s="1">
        <v>45725</v>
      </c>
      <c r="E3867" t="s">
        <v>4127</v>
      </c>
      <c r="F3867" t="s">
        <v>4139</v>
      </c>
    </row>
    <row r="3868" spans="1:6">
      <c r="A3868" t="s">
        <v>7997</v>
      </c>
      <c r="B3868" t="s">
        <v>1600</v>
      </c>
      <c r="C3868" t="s">
        <v>46</v>
      </c>
      <c r="D3868" s="1">
        <v>45718</v>
      </c>
      <c r="E3868" t="s">
        <v>4124</v>
      </c>
      <c r="F3868" t="s">
        <v>4137</v>
      </c>
    </row>
    <row r="3869" spans="1:6">
      <c r="A3869" t="s">
        <v>7998</v>
      </c>
      <c r="B3869" t="s">
        <v>1602</v>
      </c>
      <c r="C3869" t="s">
        <v>75</v>
      </c>
      <c r="D3869" s="1">
        <v>45796</v>
      </c>
      <c r="E3869" t="s">
        <v>4135</v>
      </c>
      <c r="F3869" t="s">
        <v>4125</v>
      </c>
    </row>
    <row r="3870" spans="1:6">
      <c r="A3870" t="s">
        <v>7999</v>
      </c>
      <c r="B3870" t="s">
        <v>1602</v>
      </c>
      <c r="C3870" t="s">
        <v>75</v>
      </c>
      <c r="D3870" s="1">
        <v>45794</v>
      </c>
      <c r="E3870" t="s">
        <v>4124</v>
      </c>
      <c r="F3870" t="s">
        <v>4139</v>
      </c>
    </row>
    <row r="3871" spans="1:6">
      <c r="A3871" t="s">
        <v>8000</v>
      </c>
      <c r="B3871" t="s">
        <v>1602</v>
      </c>
      <c r="C3871" t="s">
        <v>75</v>
      </c>
      <c r="D3871" s="1">
        <v>45791</v>
      </c>
      <c r="E3871" t="s">
        <v>4129</v>
      </c>
      <c r="F3871" t="s">
        <v>4139</v>
      </c>
    </row>
    <row r="3872" spans="1:6">
      <c r="A3872" t="s">
        <v>8001</v>
      </c>
      <c r="B3872" t="s">
        <v>1602</v>
      </c>
      <c r="C3872" t="s">
        <v>75</v>
      </c>
      <c r="D3872" s="1">
        <v>45795</v>
      </c>
      <c r="E3872" t="s">
        <v>4135</v>
      </c>
      <c r="F3872" t="s">
        <v>4139</v>
      </c>
    </row>
    <row r="3873" spans="1:6">
      <c r="A3873" t="s">
        <v>8002</v>
      </c>
      <c r="B3873" t="s">
        <v>1602</v>
      </c>
      <c r="C3873" t="s">
        <v>75</v>
      </c>
      <c r="D3873" s="1">
        <v>45795</v>
      </c>
      <c r="E3873" t="s">
        <v>4124</v>
      </c>
      <c r="F3873" t="s">
        <v>4125</v>
      </c>
    </row>
    <row r="3874" spans="1:6">
      <c r="A3874" t="s">
        <v>8003</v>
      </c>
      <c r="B3874" t="s">
        <v>1604</v>
      </c>
      <c r="C3874" t="s">
        <v>126</v>
      </c>
      <c r="D3874" s="1">
        <v>45818</v>
      </c>
      <c r="E3874" t="s">
        <v>4124</v>
      </c>
      <c r="F3874" t="s">
        <v>4137</v>
      </c>
    </row>
    <row r="3875" spans="1:6">
      <c r="A3875" t="s">
        <v>8004</v>
      </c>
      <c r="B3875" t="s">
        <v>1604</v>
      </c>
      <c r="C3875" t="s">
        <v>126</v>
      </c>
      <c r="D3875" s="1">
        <v>45833</v>
      </c>
      <c r="E3875" t="s">
        <v>4135</v>
      </c>
      <c r="F3875" t="s">
        <v>4139</v>
      </c>
    </row>
    <row r="3876" spans="1:6">
      <c r="A3876" t="s">
        <v>8005</v>
      </c>
      <c r="B3876" t="s">
        <v>1604</v>
      </c>
      <c r="C3876" t="s">
        <v>126</v>
      </c>
      <c r="D3876" s="1">
        <v>45826</v>
      </c>
      <c r="E3876" t="s">
        <v>4133</v>
      </c>
      <c r="F3876" t="s">
        <v>4125</v>
      </c>
    </row>
    <row r="3877" spans="1:6">
      <c r="A3877" t="s">
        <v>8006</v>
      </c>
      <c r="B3877" t="s">
        <v>1604</v>
      </c>
      <c r="C3877" t="s">
        <v>126</v>
      </c>
      <c r="D3877" s="1">
        <v>45837</v>
      </c>
      <c r="E3877" t="s">
        <v>4135</v>
      </c>
      <c r="F3877" t="s">
        <v>4137</v>
      </c>
    </row>
    <row r="3878" spans="1:6">
      <c r="A3878" t="s">
        <v>8007</v>
      </c>
      <c r="B3878" t="s">
        <v>1604</v>
      </c>
      <c r="C3878" t="s">
        <v>126</v>
      </c>
      <c r="D3878" s="1">
        <v>45837</v>
      </c>
      <c r="E3878" t="s">
        <v>4135</v>
      </c>
      <c r="F3878" t="s">
        <v>4137</v>
      </c>
    </row>
    <row r="3879" spans="1:6">
      <c r="A3879" t="s">
        <v>8008</v>
      </c>
      <c r="B3879" t="s">
        <v>1605</v>
      </c>
      <c r="C3879" t="s">
        <v>50</v>
      </c>
      <c r="D3879" s="1">
        <v>45875</v>
      </c>
      <c r="E3879" t="s">
        <v>4133</v>
      </c>
      <c r="F3879" t="s">
        <v>4125</v>
      </c>
    </row>
    <row r="3880" spans="1:6">
      <c r="A3880" t="s">
        <v>8009</v>
      </c>
      <c r="B3880" t="s">
        <v>1605</v>
      </c>
      <c r="C3880" t="s">
        <v>50</v>
      </c>
      <c r="D3880" s="1">
        <v>45914</v>
      </c>
      <c r="E3880" t="s">
        <v>4124</v>
      </c>
      <c r="F3880" t="s">
        <v>4137</v>
      </c>
    </row>
    <row r="3881" spans="1:6">
      <c r="A3881" t="s">
        <v>8010</v>
      </c>
      <c r="B3881" t="s">
        <v>1605</v>
      </c>
      <c r="C3881" t="s">
        <v>50</v>
      </c>
      <c r="D3881" s="1">
        <v>45912</v>
      </c>
      <c r="E3881" t="s">
        <v>4129</v>
      </c>
      <c r="F3881" t="s">
        <v>4137</v>
      </c>
    </row>
    <row r="3882" spans="1:6">
      <c r="A3882" t="s">
        <v>8011</v>
      </c>
      <c r="B3882" t="s">
        <v>1606</v>
      </c>
      <c r="C3882" t="s">
        <v>50</v>
      </c>
      <c r="D3882" s="1">
        <v>45808</v>
      </c>
      <c r="E3882" t="s">
        <v>4133</v>
      </c>
      <c r="F3882" t="s">
        <v>4137</v>
      </c>
    </row>
    <row r="3883" spans="1:6">
      <c r="A3883" t="s">
        <v>8012</v>
      </c>
      <c r="B3883" t="s">
        <v>1606</v>
      </c>
      <c r="C3883" t="s">
        <v>50</v>
      </c>
      <c r="D3883" s="1">
        <v>45811</v>
      </c>
      <c r="E3883" t="s">
        <v>4129</v>
      </c>
      <c r="F3883" t="s">
        <v>4137</v>
      </c>
    </row>
    <row r="3884" spans="1:6">
      <c r="A3884" t="s">
        <v>8013</v>
      </c>
      <c r="B3884" t="s">
        <v>1606</v>
      </c>
      <c r="C3884" t="s">
        <v>50</v>
      </c>
      <c r="D3884" s="1">
        <v>45824</v>
      </c>
      <c r="E3884" t="s">
        <v>4129</v>
      </c>
      <c r="F3884" t="s">
        <v>4137</v>
      </c>
    </row>
    <row r="3885" spans="1:6">
      <c r="A3885" t="s">
        <v>8014</v>
      </c>
      <c r="B3885" t="s">
        <v>1606</v>
      </c>
      <c r="C3885" t="s">
        <v>50</v>
      </c>
      <c r="D3885" s="1">
        <v>45817</v>
      </c>
      <c r="E3885" t="s">
        <v>4135</v>
      </c>
      <c r="F3885" t="s">
        <v>4139</v>
      </c>
    </row>
    <row r="3886" spans="1:6">
      <c r="A3886" t="s">
        <v>8015</v>
      </c>
      <c r="B3886" t="s">
        <v>1607</v>
      </c>
      <c r="C3886" t="s">
        <v>16</v>
      </c>
      <c r="D3886" s="1">
        <v>45774</v>
      </c>
      <c r="E3886" t="s">
        <v>4133</v>
      </c>
      <c r="F3886" t="s">
        <v>4137</v>
      </c>
    </row>
    <row r="3887" spans="1:6">
      <c r="A3887" t="s">
        <v>8016</v>
      </c>
      <c r="B3887" t="s">
        <v>1607</v>
      </c>
      <c r="C3887" t="s">
        <v>16</v>
      </c>
      <c r="D3887" s="1">
        <v>45805</v>
      </c>
      <c r="E3887" t="s">
        <v>4124</v>
      </c>
      <c r="F3887" t="s">
        <v>4137</v>
      </c>
    </row>
    <row r="3888" spans="1:6">
      <c r="A3888" t="s">
        <v>8017</v>
      </c>
      <c r="B3888" t="s">
        <v>1608</v>
      </c>
      <c r="C3888" t="s">
        <v>91</v>
      </c>
      <c r="D3888" s="1">
        <v>45752</v>
      </c>
      <c r="E3888" t="s">
        <v>4133</v>
      </c>
      <c r="F3888" t="s">
        <v>4139</v>
      </c>
    </row>
    <row r="3889" spans="1:6">
      <c r="A3889" t="s">
        <v>8018</v>
      </c>
      <c r="B3889" t="s">
        <v>1608</v>
      </c>
      <c r="C3889" t="s">
        <v>91</v>
      </c>
      <c r="D3889" s="1">
        <v>45819</v>
      </c>
      <c r="E3889" t="s">
        <v>4124</v>
      </c>
      <c r="F3889" t="s">
        <v>4139</v>
      </c>
    </row>
    <row r="3890" spans="1:6">
      <c r="A3890" t="s">
        <v>8019</v>
      </c>
      <c r="B3890" t="s">
        <v>1608</v>
      </c>
      <c r="C3890" t="s">
        <v>91</v>
      </c>
      <c r="D3890" s="1">
        <v>45810</v>
      </c>
      <c r="E3890" t="s">
        <v>4129</v>
      </c>
      <c r="F3890" t="s">
        <v>4139</v>
      </c>
    </row>
    <row r="3891" spans="1:6">
      <c r="A3891" t="s">
        <v>8020</v>
      </c>
      <c r="B3891" t="s">
        <v>1608</v>
      </c>
      <c r="C3891" t="s">
        <v>91</v>
      </c>
      <c r="D3891" s="1">
        <v>45808</v>
      </c>
      <c r="E3891" t="s">
        <v>4135</v>
      </c>
      <c r="F3891" t="s">
        <v>4137</v>
      </c>
    </row>
    <row r="3892" spans="1:6">
      <c r="A3892" t="s">
        <v>8021</v>
      </c>
      <c r="B3892" t="s">
        <v>1609</v>
      </c>
      <c r="C3892" t="s">
        <v>32</v>
      </c>
      <c r="D3892" s="1">
        <v>45810</v>
      </c>
      <c r="E3892" t="s">
        <v>4129</v>
      </c>
      <c r="F3892" t="s">
        <v>4137</v>
      </c>
    </row>
    <row r="3893" spans="1:6">
      <c r="A3893" t="s">
        <v>8022</v>
      </c>
      <c r="B3893" t="s">
        <v>1609</v>
      </c>
      <c r="C3893" t="s">
        <v>32</v>
      </c>
      <c r="D3893" s="1">
        <v>45814</v>
      </c>
      <c r="E3893" t="s">
        <v>4124</v>
      </c>
      <c r="F3893" t="s">
        <v>4125</v>
      </c>
    </row>
    <row r="3894" spans="1:6">
      <c r="A3894" t="s">
        <v>8023</v>
      </c>
      <c r="B3894" t="s">
        <v>1610</v>
      </c>
      <c r="C3894" t="s">
        <v>32</v>
      </c>
      <c r="D3894" s="1">
        <v>45792</v>
      </c>
      <c r="E3894" t="s">
        <v>4133</v>
      </c>
      <c r="F3894" t="s">
        <v>4139</v>
      </c>
    </row>
    <row r="3895" spans="1:6">
      <c r="A3895" t="s">
        <v>8024</v>
      </c>
      <c r="B3895" t="s">
        <v>1610</v>
      </c>
      <c r="C3895" t="s">
        <v>32</v>
      </c>
      <c r="D3895" s="1">
        <v>45795</v>
      </c>
      <c r="E3895" t="s">
        <v>4127</v>
      </c>
      <c r="F3895" t="s">
        <v>4139</v>
      </c>
    </row>
    <row r="3896" spans="1:6">
      <c r="A3896" t="s">
        <v>8025</v>
      </c>
      <c r="B3896" t="s">
        <v>1611</v>
      </c>
      <c r="C3896" t="s">
        <v>91</v>
      </c>
      <c r="D3896" s="1">
        <v>45701</v>
      </c>
      <c r="E3896" t="s">
        <v>4127</v>
      </c>
      <c r="F3896" t="s">
        <v>4125</v>
      </c>
    </row>
    <row r="3897" spans="1:6">
      <c r="A3897" t="s">
        <v>8026</v>
      </c>
      <c r="B3897" t="s">
        <v>1611</v>
      </c>
      <c r="C3897" t="s">
        <v>91</v>
      </c>
      <c r="D3897" s="1">
        <v>45723</v>
      </c>
      <c r="E3897" t="s">
        <v>4129</v>
      </c>
      <c r="F3897" t="s">
        <v>4137</v>
      </c>
    </row>
    <row r="3898" spans="1:6">
      <c r="A3898" t="s">
        <v>8027</v>
      </c>
      <c r="B3898" t="s">
        <v>1611</v>
      </c>
      <c r="C3898" t="s">
        <v>91</v>
      </c>
      <c r="D3898" s="1">
        <v>45700</v>
      </c>
      <c r="E3898" t="s">
        <v>4135</v>
      </c>
      <c r="F3898" t="s">
        <v>4137</v>
      </c>
    </row>
    <row r="3899" spans="1:6">
      <c r="A3899" t="s">
        <v>8028</v>
      </c>
      <c r="B3899" t="s">
        <v>1611</v>
      </c>
      <c r="C3899" t="s">
        <v>91</v>
      </c>
      <c r="D3899" s="1">
        <v>45704</v>
      </c>
      <c r="E3899" t="s">
        <v>4133</v>
      </c>
      <c r="F3899" t="s">
        <v>4125</v>
      </c>
    </row>
    <row r="3900" spans="1:6">
      <c r="A3900" t="s">
        <v>8029</v>
      </c>
      <c r="B3900" t="s">
        <v>1611</v>
      </c>
      <c r="C3900" t="s">
        <v>91</v>
      </c>
      <c r="D3900" s="1">
        <v>45723</v>
      </c>
      <c r="E3900" t="s">
        <v>4129</v>
      </c>
      <c r="F3900" t="s">
        <v>4137</v>
      </c>
    </row>
    <row r="3901" spans="1:6">
      <c r="A3901" t="s">
        <v>8030</v>
      </c>
      <c r="B3901" t="s">
        <v>1612</v>
      </c>
      <c r="C3901" t="s">
        <v>168</v>
      </c>
      <c r="D3901" s="1">
        <v>45746</v>
      </c>
      <c r="E3901" t="s">
        <v>4133</v>
      </c>
      <c r="F3901" t="s">
        <v>4137</v>
      </c>
    </row>
    <row r="3902" spans="1:6">
      <c r="A3902" t="s">
        <v>8031</v>
      </c>
      <c r="B3902" t="s">
        <v>1612</v>
      </c>
      <c r="C3902" t="s">
        <v>168</v>
      </c>
      <c r="D3902" s="1">
        <v>45743</v>
      </c>
      <c r="E3902" t="s">
        <v>4133</v>
      </c>
      <c r="F3902" t="s">
        <v>4139</v>
      </c>
    </row>
    <row r="3903" spans="1:6">
      <c r="A3903" t="s">
        <v>8032</v>
      </c>
      <c r="B3903" t="s">
        <v>1613</v>
      </c>
      <c r="C3903" t="s">
        <v>46</v>
      </c>
      <c r="D3903" s="1">
        <v>45786</v>
      </c>
      <c r="E3903" t="s">
        <v>4133</v>
      </c>
      <c r="F3903" t="s">
        <v>4125</v>
      </c>
    </row>
    <row r="3904" spans="1:6">
      <c r="A3904" t="s">
        <v>8033</v>
      </c>
      <c r="B3904" t="s">
        <v>1613</v>
      </c>
      <c r="C3904" t="s">
        <v>46</v>
      </c>
      <c r="D3904" s="1">
        <v>45830</v>
      </c>
      <c r="E3904" t="s">
        <v>4135</v>
      </c>
      <c r="F3904" t="s">
        <v>4137</v>
      </c>
    </row>
    <row r="3905" spans="1:6">
      <c r="A3905" t="s">
        <v>8034</v>
      </c>
      <c r="B3905" t="s">
        <v>1613</v>
      </c>
      <c r="C3905" t="s">
        <v>46</v>
      </c>
      <c r="D3905" s="1">
        <v>45787</v>
      </c>
      <c r="E3905" t="s">
        <v>4129</v>
      </c>
      <c r="F3905" t="s">
        <v>4137</v>
      </c>
    </row>
    <row r="3906" spans="1:6">
      <c r="A3906" t="s">
        <v>8035</v>
      </c>
      <c r="B3906" t="s">
        <v>1613</v>
      </c>
      <c r="C3906" t="s">
        <v>46</v>
      </c>
      <c r="D3906" s="1">
        <v>45793</v>
      </c>
      <c r="E3906" t="s">
        <v>4129</v>
      </c>
      <c r="F3906" t="s">
        <v>4125</v>
      </c>
    </row>
    <row r="3907" spans="1:6">
      <c r="A3907" t="s">
        <v>8036</v>
      </c>
      <c r="B3907" t="s">
        <v>1613</v>
      </c>
      <c r="C3907" t="s">
        <v>46</v>
      </c>
      <c r="D3907" s="1">
        <v>45817</v>
      </c>
      <c r="E3907" t="s">
        <v>4124</v>
      </c>
      <c r="F3907" t="s">
        <v>4125</v>
      </c>
    </row>
    <row r="3908" spans="1:6">
      <c r="A3908" t="s">
        <v>8037</v>
      </c>
      <c r="B3908" t="s">
        <v>1614</v>
      </c>
      <c r="C3908" t="s">
        <v>70</v>
      </c>
      <c r="D3908" s="1">
        <v>46012</v>
      </c>
      <c r="E3908" t="s">
        <v>4135</v>
      </c>
      <c r="F3908" t="s">
        <v>4125</v>
      </c>
    </row>
    <row r="3909" spans="1:6">
      <c r="A3909" t="s">
        <v>8038</v>
      </c>
      <c r="B3909" t="s">
        <v>1614</v>
      </c>
      <c r="C3909" t="s">
        <v>70</v>
      </c>
      <c r="D3909" s="1">
        <v>45986</v>
      </c>
      <c r="E3909" t="s">
        <v>4133</v>
      </c>
      <c r="F3909" t="s">
        <v>4137</v>
      </c>
    </row>
    <row r="3910" spans="1:6">
      <c r="A3910" t="s">
        <v>8039</v>
      </c>
      <c r="B3910" t="s">
        <v>1614</v>
      </c>
      <c r="C3910" t="s">
        <v>70</v>
      </c>
      <c r="D3910" s="1">
        <v>45989</v>
      </c>
      <c r="E3910" t="s">
        <v>4129</v>
      </c>
      <c r="F3910" t="s">
        <v>4125</v>
      </c>
    </row>
    <row r="3911" spans="1:6">
      <c r="A3911" t="s">
        <v>8040</v>
      </c>
      <c r="B3911" t="s">
        <v>1614</v>
      </c>
      <c r="C3911" t="s">
        <v>70</v>
      </c>
      <c r="D3911" s="1">
        <v>46007</v>
      </c>
      <c r="E3911" t="s">
        <v>4129</v>
      </c>
      <c r="F3911" t="s">
        <v>4125</v>
      </c>
    </row>
    <row r="3912" spans="1:6">
      <c r="A3912" t="s">
        <v>8041</v>
      </c>
      <c r="B3912" t="s">
        <v>1616</v>
      </c>
      <c r="C3912" t="s">
        <v>75</v>
      </c>
      <c r="D3912" s="1">
        <v>45903</v>
      </c>
      <c r="E3912" t="s">
        <v>4133</v>
      </c>
      <c r="F3912" t="s">
        <v>4125</v>
      </c>
    </row>
    <row r="3913" spans="1:6">
      <c r="A3913" t="s">
        <v>8042</v>
      </c>
      <c r="B3913" t="s">
        <v>1616</v>
      </c>
      <c r="C3913" t="s">
        <v>75</v>
      </c>
      <c r="D3913" s="1">
        <v>45908</v>
      </c>
      <c r="E3913" t="s">
        <v>4129</v>
      </c>
      <c r="F3913" t="s">
        <v>4139</v>
      </c>
    </row>
    <row r="3914" spans="1:6">
      <c r="A3914" t="s">
        <v>8043</v>
      </c>
      <c r="B3914" t="s">
        <v>1617</v>
      </c>
      <c r="C3914" t="s">
        <v>59</v>
      </c>
      <c r="D3914" s="1">
        <v>45767</v>
      </c>
      <c r="E3914" t="s">
        <v>4124</v>
      </c>
      <c r="F3914" t="s">
        <v>4139</v>
      </c>
    </row>
    <row r="3915" spans="1:6">
      <c r="A3915" t="s">
        <v>8044</v>
      </c>
      <c r="B3915" t="s">
        <v>1617</v>
      </c>
      <c r="C3915" t="s">
        <v>59</v>
      </c>
      <c r="D3915" s="1">
        <v>45749</v>
      </c>
      <c r="E3915" t="s">
        <v>4124</v>
      </c>
      <c r="F3915" t="s">
        <v>4137</v>
      </c>
    </row>
    <row r="3916" spans="1:6">
      <c r="A3916" t="s">
        <v>8045</v>
      </c>
      <c r="B3916" t="s">
        <v>1617</v>
      </c>
      <c r="C3916" t="s">
        <v>59</v>
      </c>
      <c r="D3916" s="1">
        <v>45751</v>
      </c>
      <c r="E3916" t="s">
        <v>4133</v>
      </c>
      <c r="F3916" t="s">
        <v>4137</v>
      </c>
    </row>
    <row r="3917" spans="1:6">
      <c r="A3917" t="s">
        <v>8046</v>
      </c>
      <c r="B3917" t="s">
        <v>1617</v>
      </c>
      <c r="C3917" t="s">
        <v>59</v>
      </c>
      <c r="D3917" s="1">
        <v>45763</v>
      </c>
      <c r="E3917" t="s">
        <v>4129</v>
      </c>
      <c r="F3917" t="s">
        <v>4139</v>
      </c>
    </row>
    <row r="3918" spans="1:6">
      <c r="A3918" t="s">
        <v>8047</v>
      </c>
      <c r="B3918" t="s">
        <v>1618</v>
      </c>
      <c r="C3918" t="s">
        <v>75</v>
      </c>
      <c r="D3918" s="1">
        <v>45805</v>
      </c>
      <c r="E3918" t="s">
        <v>4135</v>
      </c>
      <c r="F3918" t="s">
        <v>4125</v>
      </c>
    </row>
    <row r="3919" spans="1:6">
      <c r="A3919" t="s">
        <v>8048</v>
      </c>
      <c r="B3919" t="s">
        <v>1618</v>
      </c>
      <c r="C3919" t="s">
        <v>75</v>
      </c>
      <c r="D3919" s="1">
        <v>45836</v>
      </c>
      <c r="E3919" t="s">
        <v>4127</v>
      </c>
      <c r="F3919" t="s">
        <v>4139</v>
      </c>
    </row>
    <row r="3920" spans="1:6">
      <c r="A3920" t="s">
        <v>8049</v>
      </c>
      <c r="B3920" t="s">
        <v>1619</v>
      </c>
      <c r="C3920" t="s">
        <v>126</v>
      </c>
      <c r="D3920" s="1">
        <v>45879</v>
      </c>
      <c r="E3920" t="s">
        <v>4124</v>
      </c>
      <c r="F3920" t="s">
        <v>4125</v>
      </c>
    </row>
    <row r="3921" spans="1:6">
      <c r="A3921" t="s">
        <v>8050</v>
      </c>
      <c r="B3921" t="s">
        <v>1619</v>
      </c>
      <c r="C3921" t="s">
        <v>126</v>
      </c>
      <c r="D3921" s="1">
        <v>45871</v>
      </c>
      <c r="E3921" t="s">
        <v>4124</v>
      </c>
      <c r="F3921" t="s">
        <v>4137</v>
      </c>
    </row>
    <row r="3922" spans="1:6">
      <c r="A3922" t="s">
        <v>8051</v>
      </c>
      <c r="B3922" t="s">
        <v>1619</v>
      </c>
      <c r="C3922" t="s">
        <v>126</v>
      </c>
      <c r="D3922" s="1">
        <v>45872</v>
      </c>
      <c r="E3922" t="s">
        <v>4124</v>
      </c>
      <c r="F3922" t="s">
        <v>4139</v>
      </c>
    </row>
    <row r="3923" spans="1:6">
      <c r="A3923" t="s">
        <v>8052</v>
      </c>
      <c r="B3923" t="s">
        <v>1619</v>
      </c>
      <c r="C3923" t="s">
        <v>126</v>
      </c>
      <c r="D3923" s="1">
        <v>45872</v>
      </c>
      <c r="E3923" t="s">
        <v>4124</v>
      </c>
      <c r="F3923" t="s">
        <v>4125</v>
      </c>
    </row>
    <row r="3924" spans="1:6">
      <c r="A3924" t="s">
        <v>8053</v>
      </c>
      <c r="B3924" t="s">
        <v>1619</v>
      </c>
      <c r="C3924" t="s">
        <v>126</v>
      </c>
      <c r="D3924" s="1">
        <v>45881</v>
      </c>
      <c r="E3924" t="s">
        <v>4127</v>
      </c>
      <c r="F3924" t="s">
        <v>4139</v>
      </c>
    </row>
    <row r="3925" spans="1:6">
      <c r="A3925" t="s">
        <v>8054</v>
      </c>
      <c r="B3925" t="s">
        <v>1621</v>
      </c>
      <c r="C3925" t="s">
        <v>53</v>
      </c>
      <c r="D3925" s="1">
        <v>45836</v>
      </c>
      <c r="E3925" t="s">
        <v>4124</v>
      </c>
      <c r="F3925" t="s">
        <v>4137</v>
      </c>
    </row>
    <row r="3926" spans="1:6">
      <c r="A3926" t="s">
        <v>8055</v>
      </c>
      <c r="B3926" t="s">
        <v>1621</v>
      </c>
      <c r="C3926" t="s">
        <v>53</v>
      </c>
      <c r="D3926" s="1">
        <v>45835</v>
      </c>
      <c r="E3926" t="s">
        <v>4135</v>
      </c>
      <c r="F3926" t="s">
        <v>4137</v>
      </c>
    </row>
    <row r="3927" spans="1:6">
      <c r="A3927" t="s">
        <v>8056</v>
      </c>
      <c r="B3927" t="s">
        <v>1622</v>
      </c>
      <c r="C3927" t="s">
        <v>32</v>
      </c>
      <c r="D3927" s="1">
        <v>45680</v>
      </c>
      <c r="E3927" t="s">
        <v>4135</v>
      </c>
      <c r="F3927" t="s">
        <v>4125</v>
      </c>
    </row>
    <row r="3928" spans="1:6">
      <c r="A3928" t="s">
        <v>8057</v>
      </c>
      <c r="B3928" t="s">
        <v>1622</v>
      </c>
      <c r="C3928" t="s">
        <v>32</v>
      </c>
      <c r="D3928" s="1">
        <v>45709</v>
      </c>
      <c r="E3928" t="s">
        <v>4133</v>
      </c>
      <c r="F3928" t="s">
        <v>4125</v>
      </c>
    </row>
    <row r="3929" spans="1:6">
      <c r="A3929" t="s">
        <v>8058</v>
      </c>
      <c r="B3929" t="s">
        <v>1622</v>
      </c>
      <c r="C3929" t="s">
        <v>32</v>
      </c>
      <c r="D3929" s="1">
        <v>45696</v>
      </c>
      <c r="E3929" t="s">
        <v>4135</v>
      </c>
      <c r="F3929" t="s">
        <v>4125</v>
      </c>
    </row>
    <row r="3930" spans="1:6">
      <c r="A3930" t="s">
        <v>8059</v>
      </c>
      <c r="B3930" t="s">
        <v>1623</v>
      </c>
      <c r="C3930" t="s">
        <v>119</v>
      </c>
      <c r="D3930" s="1">
        <v>45811</v>
      </c>
      <c r="E3930" t="s">
        <v>4133</v>
      </c>
      <c r="F3930" t="s">
        <v>4137</v>
      </c>
    </row>
    <row r="3931" spans="1:6">
      <c r="A3931" t="s">
        <v>8060</v>
      </c>
      <c r="B3931" t="s">
        <v>1623</v>
      </c>
      <c r="C3931" t="s">
        <v>119</v>
      </c>
      <c r="D3931" s="1">
        <v>45821</v>
      </c>
      <c r="E3931" t="s">
        <v>4133</v>
      </c>
      <c r="F3931" t="s">
        <v>4139</v>
      </c>
    </row>
    <row r="3932" spans="1:6">
      <c r="A3932" t="s">
        <v>8061</v>
      </c>
      <c r="B3932" t="s">
        <v>1623</v>
      </c>
      <c r="C3932" t="s">
        <v>119</v>
      </c>
      <c r="D3932" s="1">
        <v>45813</v>
      </c>
      <c r="E3932" t="s">
        <v>4127</v>
      </c>
      <c r="F3932" t="s">
        <v>4139</v>
      </c>
    </row>
    <row r="3933" spans="1:6">
      <c r="A3933" t="s">
        <v>8062</v>
      </c>
      <c r="B3933" t="s">
        <v>1623</v>
      </c>
      <c r="C3933" t="s">
        <v>119</v>
      </c>
      <c r="D3933" s="1">
        <v>45831</v>
      </c>
      <c r="E3933" t="s">
        <v>4124</v>
      </c>
      <c r="F3933" t="s">
        <v>4125</v>
      </c>
    </row>
    <row r="3934" spans="1:6">
      <c r="A3934" t="s">
        <v>8063</v>
      </c>
      <c r="B3934" t="s">
        <v>1623</v>
      </c>
      <c r="C3934" t="s">
        <v>119</v>
      </c>
      <c r="D3934" s="1">
        <v>45830</v>
      </c>
      <c r="E3934" t="s">
        <v>4129</v>
      </c>
      <c r="F3934" t="s">
        <v>4137</v>
      </c>
    </row>
    <row r="3935" spans="1:6">
      <c r="A3935" t="s">
        <v>8064</v>
      </c>
      <c r="B3935" t="s">
        <v>1624</v>
      </c>
      <c r="C3935" t="s">
        <v>59</v>
      </c>
      <c r="D3935" s="1">
        <v>45794</v>
      </c>
      <c r="E3935" t="s">
        <v>4133</v>
      </c>
      <c r="F3935" t="s">
        <v>4137</v>
      </c>
    </row>
    <row r="3936" spans="1:6">
      <c r="A3936" t="s">
        <v>8065</v>
      </c>
      <c r="B3936" t="s">
        <v>1624</v>
      </c>
      <c r="C3936" t="s">
        <v>59</v>
      </c>
      <c r="D3936" s="1">
        <v>45785</v>
      </c>
      <c r="E3936" t="s">
        <v>4133</v>
      </c>
      <c r="F3936" t="s">
        <v>4137</v>
      </c>
    </row>
    <row r="3937" spans="1:6">
      <c r="A3937" t="s">
        <v>8066</v>
      </c>
      <c r="B3937" t="s">
        <v>1625</v>
      </c>
      <c r="C3937" t="s">
        <v>32</v>
      </c>
      <c r="D3937" s="1">
        <v>45800</v>
      </c>
      <c r="E3937" t="s">
        <v>4124</v>
      </c>
      <c r="F3937" t="s">
        <v>4139</v>
      </c>
    </row>
    <row r="3938" spans="1:6">
      <c r="A3938" t="s">
        <v>8067</v>
      </c>
      <c r="B3938" t="s">
        <v>1625</v>
      </c>
      <c r="C3938" t="s">
        <v>32</v>
      </c>
      <c r="D3938" s="1">
        <v>45807</v>
      </c>
      <c r="E3938" t="s">
        <v>4127</v>
      </c>
      <c r="F3938" t="s">
        <v>4137</v>
      </c>
    </row>
    <row r="3939" spans="1:6">
      <c r="A3939" t="s">
        <v>8068</v>
      </c>
      <c r="B3939" t="s">
        <v>1626</v>
      </c>
      <c r="C3939" t="s">
        <v>78</v>
      </c>
      <c r="D3939" s="1">
        <v>45966</v>
      </c>
      <c r="E3939" t="s">
        <v>4129</v>
      </c>
      <c r="F3939" t="s">
        <v>4137</v>
      </c>
    </row>
    <row r="3940" spans="1:6">
      <c r="A3940" t="s">
        <v>8069</v>
      </c>
      <c r="B3940" t="s">
        <v>1626</v>
      </c>
      <c r="C3940" t="s">
        <v>78</v>
      </c>
      <c r="D3940" s="1">
        <v>46000</v>
      </c>
      <c r="E3940" t="s">
        <v>4129</v>
      </c>
      <c r="F3940" t="s">
        <v>4139</v>
      </c>
    </row>
    <row r="3941" spans="1:6">
      <c r="A3941" t="s">
        <v>8070</v>
      </c>
      <c r="B3941" t="s">
        <v>1626</v>
      </c>
      <c r="C3941" t="s">
        <v>78</v>
      </c>
      <c r="D3941" s="1">
        <v>45980</v>
      </c>
      <c r="E3941" t="s">
        <v>4127</v>
      </c>
      <c r="F3941" t="s">
        <v>4137</v>
      </c>
    </row>
    <row r="3942" spans="1:6">
      <c r="A3942" t="s">
        <v>8071</v>
      </c>
      <c r="B3942" t="s">
        <v>1627</v>
      </c>
      <c r="C3942" t="s">
        <v>70</v>
      </c>
      <c r="D3942" s="1">
        <v>46005</v>
      </c>
      <c r="E3942" t="s">
        <v>4127</v>
      </c>
      <c r="F3942" t="s">
        <v>4137</v>
      </c>
    </row>
    <row r="3943" spans="1:6">
      <c r="A3943" t="s">
        <v>8072</v>
      </c>
      <c r="B3943" t="s">
        <v>1627</v>
      </c>
      <c r="C3943" t="s">
        <v>70</v>
      </c>
      <c r="D3943" s="1">
        <v>46014</v>
      </c>
      <c r="E3943" t="s">
        <v>4127</v>
      </c>
      <c r="F3943" t="s">
        <v>4137</v>
      </c>
    </row>
    <row r="3944" spans="1:6">
      <c r="A3944" t="s">
        <v>8073</v>
      </c>
      <c r="B3944" t="s">
        <v>1628</v>
      </c>
      <c r="C3944" t="s">
        <v>59</v>
      </c>
      <c r="D3944" s="1">
        <v>45736</v>
      </c>
      <c r="E3944" t="s">
        <v>4133</v>
      </c>
      <c r="F3944" t="s">
        <v>4125</v>
      </c>
    </row>
    <row r="3945" spans="1:6">
      <c r="A3945" t="s">
        <v>8074</v>
      </c>
      <c r="B3945" t="s">
        <v>1628</v>
      </c>
      <c r="C3945" t="s">
        <v>59</v>
      </c>
      <c r="D3945" s="1">
        <v>45744</v>
      </c>
      <c r="E3945" t="s">
        <v>4133</v>
      </c>
      <c r="F3945" t="s">
        <v>4137</v>
      </c>
    </row>
    <row r="3946" spans="1:6">
      <c r="A3946" t="s">
        <v>8075</v>
      </c>
      <c r="B3946" t="s">
        <v>1628</v>
      </c>
      <c r="C3946" t="s">
        <v>59</v>
      </c>
      <c r="D3946" s="1">
        <v>45742</v>
      </c>
      <c r="E3946" t="s">
        <v>4127</v>
      </c>
      <c r="F3946" t="s">
        <v>4125</v>
      </c>
    </row>
    <row r="3947" spans="1:6">
      <c r="A3947" t="s">
        <v>8076</v>
      </c>
      <c r="B3947" t="s">
        <v>1628</v>
      </c>
      <c r="C3947" t="s">
        <v>59</v>
      </c>
      <c r="D3947" s="1">
        <v>45745</v>
      </c>
      <c r="E3947" t="s">
        <v>4129</v>
      </c>
      <c r="F3947" t="s">
        <v>4125</v>
      </c>
    </row>
    <row r="3948" spans="1:6">
      <c r="A3948" t="s">
        <v>8077</v>
      </c>
      <c r="B3948" t="s">
        <v>1628</v>
      </c>
      <c r="C3948" t="s">
        <v>59</v>
      </c>
      <c r="D3948" s="1">
        <v>45737</v>
      </c>
      <c r="E3948" t="s">
        <v>4124</v>
      </c>
      <c r="F3948" t="s">
        <v>4125</v>
      </c>
    </row>
    <row r="3949" spans="1:6">
      <c r="A3949" t="s">
        <v>8078</v>
      </c>
      <c r="B3949" t="s">
        <v>1629</v>
      </c>
      <c r="C3949" t="s">
        <v>126</v>
      </c>
      <c r="D3949" s="1">
        <v>45726</v>
      </c>
      <c r="E3949" t="s">
        <v>4133</v>
      </c>
      <c r="F3949" t="s">
        <v>4137</v>
      </c>
    </row>
    <row r="3950" spans="1:6">
      <c r="A3950" t="s">
        <v>8079</v>
      </c>
      <c r="B3950" t="s">
        <v>1629</v>
      </c>
      <c r="C3950" t="s">
        <v>126</v>
      </c>
      <c r="D3950" s="1">
        <v>45740</v>
      </c>
      <c r="E3950" t="s">
        <v>4127</v>
      </c>
      <c r="F3950" t="s">
        <v>4125</v>
      </c>
    </row>
    <row r="3951" spans="1:6">
      <c r="A3951" t="s">
        <v>8080</v>
      </c>
      <c r="B3951" t="s">
        <v>1629</v>
      </c>
      <c r="C3951" t="s">
        <v>126</v>
      </c>
      <c r="D3951" s="1">
        <v>45737</v>
      </c>
      <c r="E3951" t="s">
        <v>4135</v>
      </c>
      <c r="F3951" t="s">
        <v>4137</v>
      </c>
    </row>
    <row r="3952" spans="1:6">
      <c r="A3952" t="s">
        <v>8081</v>
      </c>
      <c r="B3952" t="s">
        <v>1629</v>
      </c>
      <c r="C3952" t="s">
        <v>126</v>
      </c>
      <c r="D3952" s="1">
        <v>45711</v>
      </c>
      <c r="E3952" t="s">
        <v>4135</v>
      </c>
      <c r="F3952" t="s">
        <v>4125</v>
      </c>
    </row>
    <row r="3953" spans="1:6">
      <c r="A3953" t="s">
        <v>8082</v>
      </c>
      <c r="B3953" t="s">
        <v>1629</v>
      </c>
      <c r="C3953" t="s">
        <v>126</v>
      </c>
      <c r="D3953" s="1">
        <v>45719</v>
      </c>
      <c r="E3953" t="s">
        <v>4127</v>
      </c>
      <c r="F3953" t="s">
        <v>4137</v>
      </c>
    </row>
    <row r="3954" spans="1:6">
      <c r="A3954" t="s">
        <v>8083</v>
      </c>
      <c r="B3954" t="s">
        <v>1630</v>
      </c>
      <c r="C3954" t="s">
        <v>119</v>
      </c>
      <c r="D3954" s="1">
        <v>45921</v>
      </c>
      <c r="E3954" t="s">
        <v>4124</v>
      </c>
      <c r="F3954" t="s">
        <v>4137</v>
      </c>
    </row>
    <row r="3955" spans="1:6">
      <c r="A3955" t="s">
        <v>8084</v>
      </c>
      <c r="B3955" t="s">
        <v>1630</v>
      </c>
      <c r="C3955" t="s">
        <v>119</v>
      </c>
      <c r="D3955" s="1">
        <v>45896</v>
      </c>
      <c r="E3955" t="s">
        <v>4135</v>
      </c>
      <c r="F3955" t="s">
        <v>4139</v>
      </c>
    </row>
    <row r="3956" spans="1:6">
      <c r="A3956" t="s">
        <v>8085</v>
      </c>
      <c r="B3956" t="s">
        <v>1631</v>
      </c>
      <c r="C3956" t="s">
        <v>32</v>
      </c>
      <c r="D3956" s="1">
        <v>46019</v>
      </c>
      <c r="E3956" t="s">
        <v>4124</v>
      </c>
      <c r="F3956" t="s">
        <v>4137</v>
      </c>
    </row>
    <row r="3957" spans="1:6">
      <c r="A3957" t="s">
        <v>8086</v>
      </c>
      <c r="B3957" t="s">
        <v>1631</v>
      </c>
      <c r="C3957" t="s">
        <v>32</v>
      </c>
      <c r="D3957" s="1">
        <v>46011</v>
      </c>
      <c r="E3957" t="s">
        <v>4127</v>
      </c>
      <c r="F3957" t="s">
        <v>4125</v>
      </c>
    </row>
    <row r="3958" spans="1:6">
      <c r="A3958" t="s">
        <v>8087</v>
      </c>
      <c r="B3958" t="s">
        <v>1631</v>
      </c>
      <c r="C3958" t="s">
        <v>32</v>
      </c>
      <c r="D3958" s="1">
        <v>46011</v>
      </c>
      <c r="E3958" t="s">
        <v>4135</v>
      </c>
      <c r="F3958" t="s">
        <v>4125</v>
      </c>
    </row>
    <row r="3959" spans="1:6">
      <c r="A3959" t="s">
        <v>8088</v>
      </c>
      <c r="B3959" t="s">
        <v>1632</v>
      </c>
      <c r="C3959" t="s">
        <v>63</v>
      </c>
      <c r="D3959" s="1">
        <v>45912</v>
      </c>
      <c r="E3959" t="s">
        <v>4133</v>
      </c>
      <c r="F3959" t="s">
        <v>4125</v>
      </c>
    </row>
    <row r="3960" spans="1:6">
      <c r="A3960" t="s">
        <v>8089</v>
      </c>
      <c r="B3960" t="s">
        <v>1632</v>
      </c>
      <c r="C3960" t="s">
        <v>63</v>
      </c>
      <c r="D3960" s="1">
        <v>45922</v>
      </c>
      <c r="E3960" t="s">
        <v>4127</v>
      </c>
      <c r="F3960" t="s">
        <v>4139</v>
      </c>
    </row>
    <row r="3961" spans="1:6">
      <c r="A3961" t="s">
        <v>8090</v>
      </c>
      <c r="B3961" t="s">
        <v>1632</v>
      </c>
      <c r="C3961" t="s">
        <v>63</v>
      </c>
      <c r="D3961" s="1">
        <v>45917</v>
      </c>
      <c r="E3961" t="s">
        <v>4133</v>
      </c>
      <c r="F3961" t="s">
        <v>4137</v>
      </c>
    </row>
    <row r="3962" spans="1:6">
      <c r="A3962" t="s">
        <v>8091</v>
      </c>
      <c r="B3962" t="s">
        <v>1633</v>
      </c>
      <c r="C3962" t="s">
        <v>50</v>
      </c>
      <c r="D3962" s="1">
        <v>45987</v>
      </c>
      <c r="E3962" t="s">
        <v>4129</v>
      </c>
      <c r="F3962" t="s">
        <v>4137</v>
      </c>
    </row>
    <row r="3963" spans="1:6">
      <c r="A3963" t="s">
        <v>8092</v>
      </c>
      <c r="B3963" t="s">
        <v>1633</v>
      </c>
      <c r="C3963" t="s">
        <v>50</v>
      </c>
      <c r="D3963" s="1">
        <v>45994</v>
      </c>
      <c r="E3963" t="s">
        <v>4127</v>
      </c>
      <c r="F3963" t="s">
        <v>4139</v>
      </c>
    </row>
    <row r="3964" spans="1:6">
      <c r="A3964" t="s">
        <v>8093</v>
      </c>
      <c r="B3964" t="s">
        <v>1635</v>
      </c>
      <c r="C3964" t="s">
        <v>16</v>
      </c>
      <c r="D3964" s="1">
        <v>45912</v>
      </c>
      <c r="E3964" t="s">
        <v>4127</v>
      </c>
      <c r="F3964" t="s">
        <v>4139</v>
      </c>
    </row>
    <row r="3965" spans="1:6">
      <c r="A3965" t="s">
        <v>8094</v>
      </c>
      <c r="B3965" t="s">
        <v>1635</v>
      </c>
      <c r="C3965" t="s">
        <v>16</v>
      </c>
      <c r="D3965" s="1">
        <v>45923</v>
      </c>
      <c r="E3965" t="s">
        <v>4133</v>
      </c>
      <c r="F3965" t="s">
        <v>4125</v>
      </c>
    </row>
    <row r="3966" spans="1:6">
      <c r="A3966" t="s">
        <v>8095</v>
      </c>
      <c r="B3966" t="s">
        <v>1635</v>
      </c>
      <c r="C3966" t="s">
        <v>16</v>
      </c>
      <c r="D3966" s="1">
        <v>45871</v>
      </c>
      <c r="E3966" t="s">
        <v>4135</v>
      </c>
      <c r="F3966" t="s">
        <v>4125</v>
      </c>
    </row>
    <row r="3967" spans="1:6">
      <c r="A3967" t="s">
        <v>8096</v>
      </c>
      <c r="B3967" t="s">
        <v>1635</v>
      </c>
      <c r="C3967" t="s">
        <v>16</v>
      </c>
      <c r="D3967" s="1">
        <v>45901</v>
      </c>
      <c r="E3967" t="s">
        <v>4135</v>
      </c>
      <c r="F3967" t="s">
        <v>4139</v>
      </c>
    </row>
    <row r="3968" spans="1:6">
      <c r="A3968" t="s">
        <v>8097</v>
      </c>
      <c r="B3968" t="s">
        <v>1636</v>
      </c>
      <c r="C3968" t="s">
        <v>22</v>
      </c>
      <c r="D3968" s="1">
        <v>45754</v>
      </c>
      <c r="E3968" t="s">
        <v>4133</v>
      </c>
      <c r="F3968" t="s">
        <v>4139</v>
      </c>
    </row>
    <row r="3969" spans="1:6">
      <c r="A3969" t="s">
        <v>8098</v>
      </c>
      <c r="B3969" t="s">
        <v>1636</v>
      </c>
      <c r="C3969" t="s">
        <v>22</v>
      </c>
      <c r="D3969" s="1">
        <v>45728</v>
      </c>
      <c r="E3969" t="s">
        <v>4124</v>
      </c>
      <c r="F3969" t="s">
        <v>4137</v>
      </c>
    </row>
    <row r="3970" spans="1:6">
      <c r="A3970" t="s">
        <v>8099</v>
      </c>
      <c r="B3970" t="s">
        <v>1636</v>
      </c>
      <c r="C3970" t="s">
        <v>22</v>
      </c>
      <c r="D3970" s="1">
        <v>45755</v>
      </c>
      <c r="E3970" t="s">
        <v>4124</v>
      </c>
      <c r="F3970" t="s">
        <v>4125</v>
      </c>
    </row>
    <row r="3971" spans="1:6">
      <c r="A3971" t="s">
        <v>8100</v>
      </c>
      <c r="B3971" t="s">
        <v>1637</v>
      </c>
      <c r="C3971" t="s">
        <v>46</v>
      </c>
      <c r="D3971" s="1">
        <v>45892</v>
      </c>
      <c r="E3971" t="s">
        <v>4127</v>
      </c>
      <c r="F3971" t="s">
        <v>4125</v>
      </c>
    </row>
    <row r="3972" spans="1:6">
      <c r="A3972" t="s">
        <v>8101</v>
      </c>
      <c r="B3972" t="s">
        <v>1637</v>
      </c>
      <c r="C3972" t="s">
        <v>46</v>
      </c>
      <c r="D3972" s="1">
        <v>45899</v>
      </c>
      <c r="E3972" t="s">
        <v>4129</v>
      </c>
      <c r="F3972" t="s">
        <v>4125</v>
      </c>
    </row>
    <row r="3973" spans="1:6">
      <c r="A3973" t="s">
        <v>8102</v>
      </c>
      <c r="B3973" t="s">
        <v>1638</v>
      </c>
      <c r="C3973" t="s">
        <v>16</v>
      </c>
      <c r="D3973" s="1">
        <v>45758</v>
      </c>
      <c r="E3973" t="s">
        <v>4133</v>
      </c>
      <c r="F3973" t="s">
        <v>4139</v>
      </c>
    </row>
    <row r="3974" spans="1:6">
      <c r="A3974" t="s">
        <v>8103</v>
      </c>
      <c r="B3974" t="s">
        <v>1638</v>
      </c>
      <c r="C3974" t="s">
        <v>16</v>
      </c>
      <c r="D3974" s="1">
        <v>45794</v>
      </c>
      <c r="E3974" t="s">
        <v>4124</v>
      </c>
      <c r="F3974" t="s">
        <v>4125</v>
      </c>
    </row>
    <row r="3975" spans="1:6">
      <c r="A3975" t="s">
        <v>8104</v>
      </c>
      <c r="B3975" t="s">
        <v>1638</v>
      </c>
      <c r="C3975" t="s">
        <v>16</v>
      </c>
      <c r="D3975" s="1">
        <v>45797</v>
      </c>
      <c r="E3975" t="s">
        <v>4129</v>
      </c>
      <c r="F3975" t="s">
        <v>4139</v>
      </c>
    </row>
    <row r="3976" spans="1:6">
      <c r="A3976" t="s">
        <v>8105</v>
      </c>
      <c r="B3976" t="s">
        <v>1640</v>
      </c>
      <c r="C3976" t="s">
        <v>75</v>
      </c>
      <c r="D3976" s="1">
        <v>46007</v>
      </c>
      <c r="E3976" t="s">
        <v>4124</v>
      </c>
      <c r="F3976" t="s">
        <v>4137</v>
      </c>
    </row>
    <row r="3977" spans="1:6">
      <c r="A3977" t="s">
        <v>8106</v>
      </c>
      <c r="B3977" t="s">
        <v>1640</v>
      </c>
      <c r="C3977" t="s">
        <v>75</v>
      </c>
      <c r="D3977" s="1">
        <v>46005</v>
      </c>
      <c r="E3977" t="s">
        <v>4135</v>
      </c>
      <c r="F3977" t="s">
        <v>4139</v>
      </c>
    </row>
    <row r="3978" spans="1:6">
      <c r="A3978" t="s">
        <v>8107</v>
      </c>
      <c r="B3978" t="s">
        <v>1641</v>
      </c>
      <c r="C3978" t="s">
        <v>36</v>
      </c>
      <c r="D3978" s="1">
        <v>45680</v>
      </c>
      <c r="E3978" t="s">
        <v>4124</v>
      </c>
      <c r="F3978" t="s">
        <v>4137</v>
      </c>
    </row>
    <row r="3979" spans="1:6">
      <c r="A3979" t="s">
        <v>8108</v>
      </c>
      <c r="B3979" t="s">
        <v>1641</v>
      </c>
      <c r="C3979" t="s">
        <v>36</v>
      </c>
      <c r="D3979" s="1">
        <v>45680</v>
      </c>
      <c r="E3979" t="s">
        <v>4127</v>
      </c>
      <c r="F3979" t="s">
        <v>4137</v>
      </c>
    </row>
    <row r="3980" spans="1:6">
      <c r="A3980" t="s">
        <v>8109</v>
      </c>
      <c r="B3980" t="s">
        <v>1641</v>
      </c>
      <c r="C3980" t="s">
        <v>36</v>
      </c>
      <c r="D3980" s="1">
        <v>45684</v>
      </c>
      <c r="E3980" t="s">
        <v>4129</v>
      </c>
      <c r="F3980" t="s">
        <v>4139</v>
      </c>
    </row>
    <row r="3981" spans="1:6">
      <c r="A3981" t="s">
        <v>8110</v>
      </c>
      <c r="B3981" t="s">
        <v>1642</v>
      </c>
      <c r="C3981" t="s">
        <v>22</v>
      </c>
      <c r="D3981" s="1">
        <v>45743</v>
      </c>
      <c r="E3981" t="s">
        <v>4124</v>
      </c>
      <c r="F3981" t="s">
        <v>4137</v>
      </c>
    </row>
    <row r="3982" spans="1:6">
      <c r="A3982" t="s">
        <v>8111</v>
      </c>
      <c r="B3982" t="s">
        <v>1642</v>
      </c>
      <c r="C3982" t="s">
        <v>22</v>
      </c>
      <c r="D3982" s="1">
        <v>45772</v>
      </c>
      <c r="E3982" t="s">
        <v>4133</v>
      </c>
      <c r="F3982" t="s">
        <v>4139</v>
      </c>
    </row>
    <row r="3983" spans="1:6">
      <c r="A3983" t="s">
        <v>8112</v>
      </c>
      <c r="B3983" t="s">
        <v>1642</v>
      </c>
      <c r="C3983" t="s">
        <v>22</v>
      </c>
      <c r="D3983" s="1">
        <v>45783</v>
      </c>
      <c r="E3983" t="s">
        <v>4129</v>
      </c>
      <c r="F3983" t="s">
        <v>4125</v>
      </c>
    </row>
    <row r="3984" spans="1:6">
      <c r="A3984" t="s">
        <v>8113</v>
      </c>
      <c r="B3984" t="s">
        <v>1643</v>
      </c>
      <c r="C3984" t="s">
        <v>91</v>
      </c>
      <c r="D3984" s="1">
        <v>45744</v>
      </c>
      <c r="E3984" t="s">
        <v>4135</v>
      </c>
      <c r="F3984" t="s">
        <v>4125</v>
      </c>
    </row>
    <row r="3985" spans="1:6">
      <c r="A3985" t="s">
        <v>8114</v>
      </c>
      <c r="B3985" t="s">
        <v>1643</v>
      </c>
      <c r="C3985" t="s">
        <v>91</v>
      </c>
      <c r="D3985" s="1">
        <v>45718</v>
      </c>
      <c r="E3985" t="s">
        <v>4135</v>
      </c>
      <c r="F3985" t="s">
        <v>4125</v>
      </c>
    </row>
    <row r="3986" spans="1:6">
      <c r="A3986" t="s">
        <v>8115</v>
      </c>
      <c r="B3986" t="s">
        <v>1643</v>
      </c>
      <c r="C3986" t="s">
        <v>91</v>
      </c>
      <c r="D3986" s="1">
        <v>45720</v>
      </c>
      <c r="E3986" t="s">
        <v>4124</v>
      </c>
      <c r="F3986" t="s">
        <v>4139</v>
      </c>
    </row>
    <row r="3987" spans="1:6">
      <c r="A3987" t="s">
        <v>8116</v>
      </c>
      <c r="B3987" t="s">
        <v>1645</v>
      </c>
      <c r="C3987" t="s">
        <v>70</v>
      </c>
      <c r="D3987" s="1">
        <v>45863</v>
      </c>
      <c r="E3987" t="s">
        <v>4124</v>
      </c>
      <c r="F3987" t="s">
        <v>4137</v>
      </c>
    </row>
    <row r="3988" spans="1:6">
      <c r="A3988" t="s">
        <v>8117</v>
      </c>
      <c r="B3988" t="s">
        <v>1645</v>
      </c>
      <c r="C3988" t="s">
        <v>70</v>
      </c>
      <c r="D3988" s="1">
        <v>45852</v>
      </c>
      <c r="E3988" t="s">
        <v>4135</v>
      </c>
      <c r="F3988" t="s">
        <v>4137</v>
      </c>
    </row>
    <row r="3989" spans="1:6">
      <c r="A3989" t="s">
        <v>8118</v>
      </c>
      <c r="B3989" t="s">
        <v>1645</v>
      </c>
      <c r="C3989" t="s">
        <v>70</v>
      </c>
      <c r="D3989" s="1">
        <v>45831</v>
      </c>
      <c r="E3989" t="s">
        <v>4129</v>
      </c>
      <c r="F3989" t="s">
        <v>4125</v>
      </c>
    </row>
    <row r="3990" spans="1:6">
      <c r="A3990" t="s">
        <v>8119</v>
      </c>
      <c r="B3990" t="s">
        <v>1645</v>
      </c>
      <c r="C3990" t="s">
        <v>70</v>
      </c>
      <c r="D3990" s="1">
        <v>45848</v>
      </c>
      <c r="E3990" t="s">
        <v>4127</v>
      </c>
      <c r="F3990" t="s">
        <v>4139</v>
      </c>
    </row>
    <row r="3991" spans="1:6">
      <c r="A3991" t="s">
        <v>8120</v>
      </c>
      <c r="B3991" t="s">
        <v>1645</v>
      </c>
      <c r="C3991" t="s">
        <v>70</v>
      </c>
      <c r="D3991" s="1">
        <v>45885</v>
      </c>
      <c r="E3991" t="s">
        <v>4124</v>
      </c>
      <c r="F3991" t="s">
        <v>4137</v>
      </c>
    </row>
    <row r="3992" spans="1:6">
      <c r="A3992" t="s">
        <v>8121</v>
      </c>
      <c r="B3992" t="s">
        <v>1646</v>
      </c>
      <c r="C3992" t="s">
        <v>56</v>
      </c>
      <c r="D3992" s="1">
        <v>45849</v>
      </c>
      <c r="E3992" t="s">
        <v>4124</v>
      </c>
      <c r="F3992" t="s">
        <v>4125</v>
      </c>
    </row>
    <row r="3993" spans="1:6">
      <c r="A3993" t="s">
        <v>8122</v>
      </c>
      <c r="B3993" t="s">
        <v>1646</v>
      </c>
      <c r="C3993" t="s">
        <v>56</v>
      </c>
      <c r="D3993" s="1">
        <v>45856</v>
      </c>
      <c r="E3993" t="s">
        <v>4127</v>
      </c>
      <c r="F3993" t="s">
        <v>4137</v>
      </c>
    </row>
    <row r="3994" spans="1:6">
      <c r="A3994" t="s">
        <v>8123</v>
      </c>
      <c r="B3994" t="s">
        <v>1646</v>
      </c>
      <c r="C3994" t="s">
        <v>56</v>
      </c>
      <c r="D3994" s="1">
        <v>45849</v>
      </c>
      <c r="E3994" t="s">
        <v>4135</v>
      </c>
      <c r="F3994" t="s">
        <v>4139</v>
      </c>
    </row>
    <row r="3995" spans="1:6">
      <c r="A3995" t="s">
        <v>8124</v>
      </c>
      <c r="B3995" t="s">
        <v>1646</v>
      </c>
      <c r="C3995" t="s">
        <v>56</v>
      </c>
      <c r="D3995" s="1">
        <v>45849</v>
      </c>
      <c r="E3995" t="s">
        <v>4133</v>
      </c>
      <c r="F3995" t="s">
        <v>4125</v>
      </c>
    </row>
    <row r="3996" spans="1:6">
      <c r="A3996" t="s">
        <v>8125</v>
      </c>
      <c r="B3996" t="s">
        <v>1647</v>
      </c>
      <c r="C3996" t="s">
        <v>50</v>
      </c>
      <c r="D3996" s="1">
        <v>45689</v>
      </c>
      <c r="E3996" t="s">
        <v>4127</v>
      </c>
      <c r="F3996" t="s">
        <v>4125</v>
      </c>
    </row>
    <row r="3997" spans="1:6">
      <c r="A3997" t="s">
        <v>8126</v>
      </c>
      <c r="B3997" t="s">
        <v>1647</v>
      </c>
      <c r="C3997" t="s">
        <v>50</v>
      </c>
      <c r="D3997" s="1">
        <v>45682</v>
      </c>
      <c r="E3997" t="s">
        <v>4129</v>
      </c>
      <c r="F3997" t="s">
        <v>4139</v>
      </c>
    </row>
    <row r="3998" spans="1:6">
      <c r="A3998" t="s">
        <v>8127</v>
      </c>
      <c r="B3998" t="s">
        <v>1648</v>
      </c>
      <c r="C3998" t="s">
        <v>91</v>
      </c>
      <c r="D3998" s="1">
        <v>45758</v>
      </c>
      <c r="E3998" t="s">
        <v>4133</v>
      </c>
      <c r="F3998" t="s">
        <v>4139</v>
      </c>
    </row>
    <row r="3999" spans="1:6">
      <c r="A3999" t="s">
        <v>8128</v>
      </c>
      <c r="B3999" t="s">
        <v>1648</v>
      </c>
      <c r="C3999" t="s">
        <v>91</v>
      </c>
      <c r="D3999" s="1">
        <v>45781</v>
      </c>
      <c r="E3999" t="s">
        <v>4127</v>
      </c>
      <c r="F3999" t="s">
        <v>4125</v>
      </c>
    </row>
    <row r="4000" spans="1:6">
      <c r="A4000" t="s">
        <v>8129</v>
      </c>
      <c r="B4000" t="s">
        <v>1648</v>
      </c>
      <c r="C4000" t="s">
        <v>91</v>
      </c>
      <c r="D4000" s="1">
        <v>45781</v>
      </c>
      <c r="E4000" t="s">
        <v>4127</v>
      </c>
      <c r="F4000" t="s">
        <v>4137</v>
      </c>
    </row>
    <row r="4001" spans="1:6">
      <c r="A4001" t="s">
        <v>8130</v>
      </c>
      <c r="B4001" t="s">
        <v>1648</v>
      </c>
      <c r="C4001" t="s">
        <v>91</v>
      </c>
      <c r="D4001" s="1">
        <v>45783</v>
      </c>
      <c r="E4001" t="s">
        <v>4133</v>
      </c>
      <c r="F4001" t="s">
        <v>4139</v>
      </c>
    </row>
    <row r="4002" spans="1:6">
      <c r="A4002" t="s">
        <v>8131</v>
      </c>
      <c r="B4002" t="s">
        <v>1649</v>
      </c>
      <c r="C4002" t="s">
        <v>78</v>
      </c>
      <c r="D4002" s="1">
        <v>45839</v>
      </c>
      <c r="E4002" t="s">
        <v>4135</v>
      </c>
      <c r="F4002" t="s">
        <v>4139</v>
      </c>
    </row>
    <row r="4003" spans="1:6">
      <c r="A4003" t="s">
        <v>8132</v>
      </c>
      <c r="B4003" t="s">
        <v>1649</v>
      </c>
      <c r="C4003" t="s">
        <v>78</v>
      </c>
      <c r="D4003" s="1">
        <v>45833</v>
      </c>
      <c r="E4003" t="s">
        <v>4135</v>
      </c>
      <c r="F4003" t="s">
        <v>4137</v>
      </c>
    </row>
    <row r="4004" spans="1:6">
      <c r="A4004" t="s">
        <v>8133</v>
      </c>
      <c r="B4004" t="s">
        <v>1649</v>
      </c>
      <c r="C4004" t="s">
        <v>78</v>
      </c>
      <c r="D4004" s="1">
        <v>45833</v>
      </c>
      <c r="E4004" t="s">
        <v>4124</v>
      </c>
      <c r="F4004" t="s">
        <v>4139</v>
      </c>
    </row>
    <row r="4005" spans="1:6">
      <c r="A4005" t="s">
        <v>8134</v>
      </c>
      <c r="B4005" t="s">
        <v>1650</v>
      </c>
      <c r="C4005" t="s">
        <v>126</v>
      </c>
      <c r="D4005" s="1">
        <v>45663</v>
      </c>
      <c r="E4005" t="s">
        <v>4127</v>
      </c>
      <c r="F4005" t="s">
        <v>4137</v>
      </c>
    </row>
    <row r="4006" spans="1:6">
      <c r="A4006" t="s">
        <v>8135</v>
      </c>
      <c r="B4006" t="s">
        <v>1650</v>
      </c>
      <c r="C4006" t="s">
        <v>126</v>
      </c>
      <c r="D4006" s="1">
        <v>45662</v>
      </c>
      <c r="E4006" t="s">
        <v>4135</v>
      </c>
      <c r="F4006" t="s">
        <v>4125</v>
      </c>
    </row>
    <row r="4007" spans="1:6">
      <c r="A4007" t="s">
        <v>8136</v>
      </c>
      <c r="B4007" t="s">
        <v>1651</v>
      </c>
      <c r="C4007" t="s">
        <v>152</v>
      </c>
      <c r="D4007" s="1">
        <v>45971</v>
      </c>
      <c r="E4007" t="s">
        <v>4135</v>
      </c>
      <c r="F4007" t="s">
        <v>4139</v>
      </c>
    </row>
    <row r="4008" spans="1:6">
      <c r="A4008" t="s">
        <v>8137</v>
      </c>
      <c r="B4008" t="s">
        <v>1651</v>
      </c>
      <c r="C4008" t="s">
        <v>152</v>
      </c>
      <c r="D4008" s="1">
        <v>45995</v>
      </c>
      <c r="E4008" t="s">
        <v>4124</v>
      </c>
      <c r="F4008" t="s">
        <v>4139</v>
      </c>
    </row>
    <row r="4009" spans="1:6">
      <c r="A4009" t="s">
        <v>8138</v>
      </c>
      <c r="B4009" t="s">
        <v>1652</v>
      </c>
      <c r="C4009" t="s">
        <v>32</v>
      </c>
      <c r="D4009" s="1">
        <v>45854</v>
      </c>
      <c r="E4009" t="s">
        <v>4127</v>
      </c>
      <c r="F4009" t="s">
        <v>4125</v>
      </c>
    </row>
    <row r="4010" spans="1:6">
      <c r="A4010" t="s">
        <v>8139</v>
      </c>
      <c r="B4010" t="s">
        <v>1652</v>
      </c>
      <c r="C4010" t="s">
        <v>32</v>
      </c>
      <c r="D4010" s="1">
        <v>45821</v>
      </c>
      <c r="E4010" t="s">
        <v>4129</v>
      </c>
      <c r="F4010" t="s">
        <v>4139</v>
      </c>
    </row>
    <row r="4011" spans="1:6">
      <c r="A4011" t="s">
        <v>8140</v>
      </c>
      <c r="B4011" t="s">
        <v>1652</v>
      </c>
      <c r="C4011" t="s">
        <v>32</v>
      </c>
      <c r="D4011" s="1">
        <v>45844</v>
      </c>
      <c r="E4011" t="s">
        <v>4127</v>
      </c>
      <c r="F4011" t="s">
        <v>4125</v>
      </c>
    </row>
    <row r="4012" spans="1:6">
      <c r="A4012" t="s">
        <v>8141</v>
      </c>
      <c r="B4012" t="s">
        <v>1653</v>
      </c>
      <c r="C4012" t="s">
        <v>56</v>
      </c>
      <c r="D4012" s="1">
        <v>45772</v>
      </c>
      <c r="E4012" t="s">
        <v>4135</v>
      </c>
      <c r="F4012" t="s">
        <v>4125</v>
      </c>
    </row>
    <row r="4013" spans="1:6">
      <c r="A4013" t="s">
        <v>8142</v>
      </c>
      <c r="B4013" t="s">
        <v>1653</v>
      </c>
      <c r="C4013" t="s">
        <v>56</v>
      </c>
      <c r="D4013" s="1">
        <v>45776</v>
      </c>
      <c r="E4013" t="s">
        <v>4135</v>
      </c>
      <c r="F4013" t="s">
        <v>4137</v>
      </c>
    </row>
    <row r="4014" spans="1:6">
      <c r="A4014" t="s">
        <v>8143</v>
      </c>
      <c r="B4014" t="s">
        <v>1653</v>
      </c>
      <c r="C4014" t="s">
        <v>56</v>
      </c>
      <c r="D4014" s="1">
        <v>45760</v>
      </c>
      <c r="E4014" t="s">
        <v>4124</v>
      </c>
      <c r="F4014" t="s">
        <v>4137</v>
      </c>
    </row>
    <row r="4015" spans="1:6">
      <c r="A4015" t="s">
        <v>8144</v>
      </c>
      <c r="B4015" t="s">
        <v>1653</v>
      </c>
      <c r="C4015" t="s">
        <v>56</v>
      </c>
      <c r="D4015" s="1">
        <v>45744</v>
      </c>
      <c r="E4015" t="s">
        <v>4129</v>
      </c>
      <c r="F4015" t="s">
        <v>4125</v>
      </c>
    </row>
    <row r="4016" spans="1:6">
      <c r="A4016" t="s">
        <v>8145</v>
      </c>
      <c r="B4016" t="s">
        <v>1653</v>
      </c>
      <c r="C4016" t="s">
        <v>56</v>
      </c>
      <c r="D4016" s="1">
        <v>45776</v>
      </c>
      <c r="E4016" t="s">
        <v>4127</v>
      </c>
      <c r="F4016" t="s">
        <v>4137</v>
      </c>
    </row>
    <row r="4017" spans="1:6">
      <c r="A4017" t="s">
        <v>8146</v>
      </c>
      <c r="B4017" t="s">
        <v>1654</v>
      </c>
      <c r="C4017" t="s">
        <v>53</v>
      </c>
      <c r="D4017" s="1">
        <v>46017</v>
      </c>
      <c r="E4017" t="s">
        <v>4129</v>
      </c>
      <c r="F4017" t="s">
        <v>4137</v>
      </c>
    </row>
    <row r="4018" spans="1:6">
      <c r="A4018" t="s">
        <v>8147</v>
      </c>
      <c r="B4018" t="s">
        <v>1654</v>
      </c>
      <c r="C4018" t="s">
        <v>53</v>
      </c>
      <c r="D4018" s="1">
        <v>45995</v>
      </c>
      <c r="E4018" t="s">
        <v>4135</v>
      </c>
      <c r="F4018" t="s">
        <v>4137</v>
      </c>
    </row>
    <row r="4019" spans="1:6">
      <c r="A4019" t="s">
        <v>8148</v>
      </c>
      <c r="B4019" t="s">
        <v>1654</v>
      </c>
      <c r="C4019" t="s">
        <v>53</v>
      </c>
      <c r="D4019" s="1">
        <v>45978</v>
      </c>
      <c r="E4019" t="s">
        <v>4135</v>
      </c>
      <c r="F4019" t="s">
        <v>4139</v>
      </c>
    </row>
    <row r="4020" spans="1:6">
      <c r="A4020" t="s">
        <v>8149</v>
      </c>
      <c r="B4020" t="s">
        <v>1655</v>
      </c>
      <c r="C4020" t="s">
        <v>27</v>
      </c>
      <c r="D4020" s="1">
        <v>45852</v>
      </c>
      <c r="E4020" t="s">
        <v>4135</v>
      </c>
      <c r="F4020" t="s">
        <v>4139</v>
      </c>
    </row>
    <row r="4021" spans="1:6">
      <c r="A4021" t="s">
        <v>8150</v>
      </c>
      <c r="B4021" t="s">
        <v>1655</v>
      </c>
      <c r="C4021" t="s">
        <v>27</v>
      </c>
      <c r="D4021" s="1">
        <v>45876</v>
      </c>
      <c r="E4021" t="s">
        <v>4133</v>
      </c>
      <c r="F4021" t="s">
        <v>4137</v>
      </c>
    </row>
    <row r="4022" spans="1:6">
      <c r="A4022" t="s">
        <v>8151</v>
      </c>
      <c r="B4022" t="s">
        <v>1655</v>
      </c>
      <c r="C4022" t="s">
        <v>27</v>
      </c>
      <c r="D4022" s="1">
        <v>45854</v>
      </c>
      <c r="E4022" t="s">
        <v>4133</v>
      </c>
      <c r="F4022" t="s">
        <v>4125</v>
      </c>
    </row>
    <row r="4023" spans="1:6">
      <c r="A4023" t="s">
        <v>8152</v>
      </c>
      <c r="B4023" t="s">
        <v>1655</v>
      </c>
      <c r="C4023" t="s">
        <v>27</v>
      </c>
      <c r="D4023" s="1">
        <v>45867</v>
      </c>
      <c r="E4023" t="s">
        <v>4124</v>
      </c>
      <c r="F4023" t="s">
        <v>4125</v>
      </c>
    </row>
    <row r="4024" spans="1:6">
      <c r="A4024" t="s">
        <v>8153</v>
      </c>
      <c r="B4024" t="s">
        <v>1656</v>
      </c>
      <c r="C4024" t="s">
        <v>78</v>
      </c>
      <c r="D4024" s="1">
        <v>45807</v>
      </c>
      <c r="E4024" t="s">
        <v>4129</v>
      </c>
      <c r="F4024" t="s">
        <v>4139</v>
      </c>
    </row>
    <row r="4025" spans="1:6">
      <c r="A4025" t="s">
        <v>8154</v>
      </c>
      <c r="B4025" t="s">
        <v>1656</v>
      </c>
      <c r="C4025" t="s">
        <v>78</v>
      </c>
      <c r="D4025" s="1">
        <v>45813</v>
      </c>
      <c r="E4025" t="s">
        <v>4127</v>
      </c>
      <c r="F4025" t="s">
        <v>4125</v>
      </c>
    </row>
    <row r="4026" spans="1:6">
      <c r="A4026" t="s">
        <v>8155</v>
      </c>
      <c r="B4026" t="s">
        <v>1657</v>
      </c>
      <c r="C4026" t="s">
        <v>91</v>
      </c>
      <c r="D4026" s="1">
        <v>46022</v>
      </c>
      <c r="E4026" t="s">
        <v>4129</v>
      </c>
      <c r="F4026" t="s">
        <v>4137</v>
      </c>
    </row>
    <row r="4027" spans="1:6">
      <c r="A4027" t="s">
        <v>8156</v>
      </c>
      <c r="B4027" t="s">
        <v>1657</v>
      </c>
      <c r="C4027" t="s">
        <v>91</v>
      </c>
      <c r="D4027" s="1">
        <v>46019</v>
      </c>
      <c r="E4027" t="s">
        <v>4133</v>
      </c>
      <c r="F4027" t="s">
        <v>4137</v>
      </c>
    </row>
    <row r="4028" spans="1:6">
      <c r="A4028" t="s">
        <v>8157</v>
      </c>
      <c r="B4028" t="s">
        <v>1657</v>
      </c>
      <c r="C4028" t="s">
        <v>91</v>
      </c>
      <c r="D4028" s="1">
        <v>46019</v>
      </c>
      <c r="E4028" t="s">
        <v>4124</v>
      </c>
      <c r="F4028" t="s">
        <v>4125</v>
      </c>
    </row>
    <row r="4029" spans="1:6">
      <c r="A4029" t="s">
        <v>8158</v>
      </c>
      <c r="B4029" t="s">
        <v>1657</v>
      </c>
      <c r="C4029" t="s">
        <v>91</v>
      </c>
      <c r="D4029" s="1">
        <v>46017</v>
      </c>
      <c r="E4029" t="s">
        <v>4135</v>
      </c>
      <c r="F4029" t="s">
        <v>4139</v>
      </c>
    </row>
    <row r="4030" spans="1:6">
      <c r="A4030" t="s">
        <v>8159</v>
      </c>
      <c r="B4030" t="s">
        <v>1658</v>
      </c>
      <c r="C4030" t="s">
        <v>119</v>
      </c>
      <c r="D4030" s="1">
        <v>45969</v>
      </c>
      <c r="E4030" t="s">
        <v>4127</v>
      </c>
      <c r="F4030" t="s">
        <v>4137</v>
      </c>
    </row>
    <row r="4031" spans="1:6">
      <c r="A4031" t="s">
        <v>8160</v>
      </c>
      <c r="B4031" t="s">
        <v>1658</v>
      </c>
      <c r="C4031" t="s">
        <v>119</v>
      </c>
      <c r="D4031" s="1">
        <v>46004</v>
      </c>
      <c r="E4031" t="s">
        <v>4129</v>
      </c>
      <c r="F4031" t="s">
        <v>4125</v>
      </c>
    </row>
    <row r="4032" spans="1:6">
      <c r="A4032" t="s">
        <v>8161</v>
      </c>
      <c r="B4032" t="s">
        <v>1659</v>
      </c>
      <c r="C4032" t="s">
        <v>40</v>
      </c>
      <c r="D4032" s="1">
        <v>45736</v>
      </c>
      <c r="E4032" t="s">
        <v>4127</v>
      </c>
      <c r="F4032" t="s">
        <v>4125</v>
      </c>
    </row>
    <row r="4033" spans="1:6">
      <c r="A4033" t="s">
        <v>8162</v>
      </c>
      <c r="B4033" t="s">
        <v>1659</v>
      </c>
      <c r="C4033" t="s">
        <v>40</v>
      </c>
      <c r="D4033" s="1">
        <v>45714</v>
      </c>
      <c r="E4033" t="s">
        <v>4124</v>
      </c>
      <c r="F4033" t="s">
        <v>4139</v>
      </c>
    </row>
    <row r="4034" spans="1:6">
      <c r="A4034" t="s">
        <v>8163</v>
      </c>
      <c r="B4034" t="s">
        <v>1659</v>
      </c>
      <c r="C4034" t="s">
        <v>40</v>
      </c>
      <c r="D4034" s="1">
        <v>45712</v>
      </c>
      <c r="E4034" t="s">
        <v>4135</v>
      </c>
      <c r="F4034" t="s">
        <v>4139</v>
      </c>
    </row>
    <row r="4035" spans="1:6">
      <c r="A4035" t="s">
        <v>8164</v>
      </c>
      <c r="B4035" t="s">
        <v>1660</v>
      </c>
      <c r="C4035" t="s">
        <v>16</v>
      </c>
      <c r="D4035" s="1">
        <v>45908</v>
      </c>
      <c r="E4035" t="s">
        <v>4133</v>
      </c>
      <c r="F4035" t="s">
        <v>4125</v>
      </c>
    </row>
    <row r="4036" spans="1:6">
      <c r="A4036" t="s">
        <v>8165</v>
      </c>
      <c r="B4036" t="s">
        <v>1660</v>
      </c>
      <c r="C4036" t="s">
        <v>16</v>
      </c>
      <c r="D4036" s="1">
        <v>45911</v>
      </c>
      <c r="E4036" t="s">
        <v>4135</v>
      </c>
      <c r="F4036" t="s">
        <v>4125</v>
      </c>
    </row>
    <row r="4037" spans="1:6">
      <c r="A4037" t="s">
        <v>8166</v>
      </c>
      <c r="B4037" t="s">
        <v>1660</v>
      </c>
      <c r="C4037" t="s">
        <v>16</v>
      </c>
      <c r="D4037" s="1">
        <v>45881</v>
      </c>
      <c r="E4037" t="s">
        <v>4135</v>
      </c>
      <c r="F4037" t="s">
        <v>4139</v>
      </c>
    </row>
    <row r="4038" spans="1:6">
      <c r="A4038" t="s">
        <v>8167</v>
      </c>
      <c r="B4038" t="s">
        <v>1660</v>
      </c>
      <c r="C4038" t="s">
        <v>16</v>
      </c>
      <c r="D4038" s="1">
        <v>45905</v>
      </c>
      <c r="E4038" t="s">
        <v>4133</v>
      </c>
      <c r="F4038" t="s">
        <v>4139</v>
      </c>
    </row>
    <row r="4039" spans="1:6">
      <c r="A4039" t="s">
        <v>8168</v>
      </c>
      <c r="B4039" t="s">
        <v>1662</v>
      </c>
      <c r="C4039" t="s">
        <v>91</v>
      </c>
      <c r="D4039" s="1">
        <v>46014</v>
      </c>
      <c r="E4039" t="s">
        <v>4124</v>
      </c>
      <c r="F4039" t="s">
        <v>4139</v>
      </c>
    </row>
    <row r="4040" spans="1:6">
      <c r="A4040" t="s">
        <v>8169</v>
      </c>
      <c r="B4040" t="s">
        <v>1662</v>
      </c>
      <c r="C4040" t="s">
        <v>91</v>
      </c>
      <c r="D4040" s="1">
        <v>46015</v>
      </c>
      <c r="E4040" t="s">
        <v>4127</v>
      </c>
      <c r="F4040" t="s">
        <v>4139</v>
      </c>
    </row>
    <row r="4041" spans="1:6">
      <c r="A4041" t="s">
        <v>8170</v>
      </c>
      <c r="B4041" t="s">
        <v>1662</v>
      </c>
      <c r="C4041" t="s">
        <v>91</v>
      </c>
      <c r="D4041" s="1">
        <v>46017</v>
      </c>
      <c r="E4041" t="s">
        <v>4133</v>
      </c>
      <c r="F4041" t="s">
        <v>4139</v>
      </c>
    </row>
    <row r="4042" spans="1:6">
      <c r="A4042" t="s">
        <v>8171</v>
      </c>
      <c r="B4042" t="s">
        <v>1663</v>
      </c>
      <c r="C4042" t="s">
        <v>168</v>
      </c>
      <c r="D4042" s="1">
        <v>45783</v>
      </c>
      <c r="E4042" t="s">
        <v>4129</v>
      </c>
      <c r="F4042" t="s">
        <v>4125</v>
      </c>
    </row>
    <row r="4043" spans="1:6">
      <c r="A4043" t="s">
        <v>8172</v>
      </c>
      <c r="B4043" t="s">
        <v>1663</v>
      </c>
      <c r="C4043" t="s">
        <v>168</v>
      </c>
      <c r="D4043" s="1">
        <v>45796</v>
      </c>
      <c r="E4043" t="s">
        <v>4124</v>
      </c>
      <c r="F4043" t="s">
        <v>4139</v>
      </c>
    </row>
    <row r="4044" spans="1:6">
      <c r="A4044" t="s">
        <v>8173</v>
      </c>
      <c r="B4044" t="s">
        <v>1664</v>
      </c>
      <c r="C4044" t="s">
        <v>32</v>
      </c>
      <c r="D4044" s="1">
        <v>45715</v>
      </c>
      <c r="E4044" t="s">
        <v>4127</v>
      </c>
      <c r="F4044" t="s">
        <v>4137</v>
      </c>
    </row>
    <row r="4045" spans="1:6">
      <c r="A4045" t="s">
        <v>8174</v>
      </c>
      <c r="B4045" t="s">
        <v>1664</v>
      </c>
      <c r="C4045" t="s">
        <v>32</v>
      </c>
      <c r="D4045" s="1">
        <v>45690</v>
      </c>
      <c r="E4045" t="s">
        <v>4135</v>
      </c>
      <c r="F4045" t="s">
        <v>4139</v>
      </c>
    </row>
    <row r="4046" spans="1:6">
      <c r="A4046" t="s">
        <v>8175</v>
      </c>
      <c r="B4046" t="s">
        <v>1665</v>
      </c>
      <c r="C4046" t="s">
        <v>70</v>
      </c>
      <c r="D4046" s="1">
        <v>45698</v>
      </c>
      <c r="E4046" t="s">
        <v>4127</v>
      </c>
      <c r="F4046" t="s">
        <v>4139</v>
      </c>
    </row>
    <row r="4047" spans="1:6">
      <c r="A4047" t="s">
        <v>8176</v>
      </c>
      <c r="B4047" t="s">
        <v>1665</v>
      </c>
      <c r="C4047" t="s">
        <v>70</v>
      </c>
      <c r="D4047" s="1">
        <v>45735</v>
      </c>
      <c r="E4047" t="s">
        <v>4129</v>
      </c>
      <c r="F4047" t="s">
        <v>4139</v>
      </c>
    </row>
    <row r="4048" spans="1:6">
      <c r="A4048" t="s">
        <v>8177</v>
      </c>
      <c r="B4048" t="s">
        <v>1665</v>
      </c>
      <c r="C4048" t="s">
        <v>70</v>
      </c>
      <c r="D4048" s="1">
        <v>45684</v>
      </c>
      <c r="E4048" t="s">
        <v>4135</v>
      </c>
      <c r="F4048" t="s">
        <v>4137</v>
      </c>
    </row>
    <row r="4049" spans="1:6">
      <c r="A4049" t="s">
        <v>8178</v>
      </c>
      <c r="B4049" t="s">
        <v>1666</v>
      </c>
      <c r="C4049" t="s">
        <v>53</v>
      </c>
      <c r="D4049" s="1">
        <v>45703</v>
      </c>
      <c r="E4049" t="s">
        <v>4129</v>
      </c>
      <c r="F4049" t="s">
        <v>4139</v>
      </c>
    </row>
    <row r="4050" spans="1:6">
      <c r="A4050" t="s">
        <v>8179</v>
      </c>
      <c r="B4050" t="s">
        <v>1666</v>
      </c>
      <c r="C4050" t="s">
        <v>53</v>
      </c>
      <c r="D4050" s="1">
        <v>45731</v>
      </c>
      <c r="E4050" t="s">
        <v>4124</v>
      </c>
      <c r="F4050" t="s">
        <v>4125</v>
      </c>
    </row>
    <row r="4051" spans="1:6">
      <c r="A4051" t="s">
        <v>8180</v>
      </c>
      <c r="B4051" t="s">
        <v>1666</v>
      </c>
      <c r="C4051" t="s">
        <v>53</v>
      </c>
      <c r="D4051" s="1">
        <v>45704</v>
      </c>
      <c r="E4051" t="s">
        <v>4127</v>
      </c>
      <c r="F4051" t="s">
        <v>4137</v>
      </c>
    </row>
    <row r="4052" spans="1:6">
      <c r="A4052" t="s">
        <v>8181</v>
      </c>
      <c r="B4052" t="s">
        <v>1666</v>
      </c>
      <c r="C4052" t="s">
        <v>53</v>
      </c>
      <c r="D4052" s="1">
        <v>45719</v>
      </c>
      <c r="E4052" t="s">
        <v>4124</v>
      </c>
      <c r="F4052" t="s">
        <v>4139</v>
      </c>
    </row>
    <row r="4053" spans="1:6">
      <c r="A4053" t="s">
        <v>8182</v>
      </c>
      <c r="B4053" t="s">
        <v>1666</v>
      </c>
      <c r="C4053" t="s">
        <v>53</v>
      </c>
      <c r="D4053" s="1">
        <v>45728</v>
      </c>
      <c r="E4053" t="s">
        <v>4133</v>
      </c>
      <c r="F4053" t="s">
        <v>4137</v>
      </c>
    </row>
    <row r="4054" spans="1:6">
      <c r="A4054" t="s">
        <v>8183</v>
      </c>
      <c r="B4054" t="s">
        <v>1667</v>
      </c>
      <c r="C4054" t="s">
        <v>78</v>
      </c>
      <c r="D4054" s="1">
        <v>45887</v>
      </c>
      <c r="E4054" t="s">
        <v>4124</v>
      </c>
      <c r="F4054" t="s">
        <v>4139</v>
      </c>
    </row>
    <row r="4055" spans="1:6">
      <c r="A4055" t="s">
        <v>8184</v>
      </c>
      <c r="B4055" t="s">
        <v>1667</v>
      </c>
      <c r="C4055" t="s">
        <v>78</v>
      </c>
      <c r="D4055" s="1">
        <v>45883</v>
      </c>
      <c r="E4055" t="s">
        <v>4127</v>
      </c>
      <c r="F4055" t="s">
        <v>4137</v>
      </c>
    </row>
    <row r="4056" spans="1:6">
      <c r="A4056" t="s">
        <v>8185</v>
      </c>
      <c r="B4056" t="s">
        <v>1667</v>
      </c>
      <c r="C4056" t="s">
        <v>78</v>
      </c>
      <c r="D4056" s="1">
        <v>45869</v>
      </c>
      <c r="E4056" t="s">
        <v>4124</v>
      </c>
      <c r="F4056" t="s">
        <v>4137</v>
      </c>
    </row>
    <row r="4057" spans="1:6">
      <c r="A4057" t="s">
        <v>8186</v>
      </c>
      <c r="B4057" t="s">
        <v>1667</v>
      </c>
      <c r="C4057" t="s">
        <v>78</v>
      </c>
      <c r="D4057" s="1">
        <v>45876</v>
      </c>
      <c r="E4057" t="s">
        <v>4135</v>
      </c>
      <c r="F4057" t="s">
        <v>4125</v>
      </c>
    </row>
    <row r="4058" spans="1:6">
      <c r="A4058" t="s">
        <v>8187</v>
      </c>
      <c r="B4058" t="s">
        <v>1668</v>
      </c>
      <c r="C4058" t="s">
        <v>126</v>
      </c>
      <c r="D4058" s="1">
        <v>45876</v>
      </c>
      <c r="E4058" t="s">
        <v>4135</v>
      </c>
      <c r="F4058" t="s">
        <v>4125</v>
      </c>
    </row>
    <row r="4059" spans="1:6">
      <c r="A4059" t="s">
        <v>8188</v>
      </c>
      <c r="B4059" t="s">
        <v>1668</v>
      </c>
      <c r="C4059" t="s">
        <v>126</v>
      </c>
      <c r="D4059" s="1">
        <v>45874</v>
      </c>
      <c r="E4059" t="s">
        <v>4124</v>
      </c>
      <c r="F4059" t="s">
        <v>4137</v>
      </c>
    </row>
    <row r="4060" spans="1:6">
      <c r="A4060" t="s">
        <v>8189</v>
      </c>
      <c r="B4060" t="s">
        <v>1668</v>
      </c>
      <c r="C4060" t="s">
        <v>126</v>
      </c>
      <c r="D4060" s="1">
        <v>45885</v>
      </c>
      <c r="E4060" t="s">
        <v>4127</v>
      </c>
      <c r="F4060" t="s">
        <v>4139</v>
      </c>
    </row>
    <row r="4061" spans="1:6">
      <c r="A4061" t="s">
        <v>8190</v>
      </c>
      <c r="B4061" t="s">
        <v>1668</v>
      </c>
      <c r="C4061" t="s">
        <v>126</v>
      </c>
      <c r="D4061" s="1">
        <v>45880</v>
      </c>
      <c r="E4061" t="s">
        <v>4124</v>
      </c>
      <c r="F4061" t="s">
        <v>4139</v>
      </c>
    </row>
    <row r="4062" spans="1:6">
      <c r="A4062" t="s">
        <v>8191</v>
      </c>
      <c r="B4062" t="s">
        <v>1669</v>
      </c>
      <c r="C4062" t="s">
        <v>59</v>
      </c>
      <c r="D4062" s="1">
        <v>45936</v>
      </c>
      <c r="E4062" t="s">
        <v>4129</v>
      </c>
      <c r="F4062" t="s">
        <v>4139</v>
      </c>
    </row>
    <row r="4063" spans="1:6">
      <c r="A4063" t="s">
        <v>8192</v>
      </c>
      <c r="B4063" t="s">
        <v>1669</v>
      </c>
      <c r="C4063" t="s">
        <v>59</v>
      </c>
      <c r="D4063" s="1">
        <v>45977</v>
      </c>
      <c r="E4063" t="s">
        <v>4127</v>
      </c>
      <c r="F4063" t="s">
        <v>4137</v>
      </c>
    </row>
    <row r="4064" spans="1:6">
      <c r="A4064" t="s">
        <v>8193</v>
      </c>
      <c r="B4064" t="s">
        <v>1669</v>
      </c>
      <c r="C4064" t="s">
        <v>59</v>
      </c>
      <c r="D4064" s="1">
        <v>45976</v>
      </c>
      <c r="E4064" t="s">
        <v>4133</v>
      </c>
      <c r="F4064" t="s">
        <v>4137</v>
      </c>
    </row>
    <row r="4065" spans="1:6">
      <c r="A4065" t="s">
        <v>8194</v>
      </c>
      <c r="B4065" t="s">
        <v>1669</v>
      </c>
      <c r="C4065" t="s">
        <v>59</v>
      </c>
      <c r="D4065" s="1">
        <v>45945</v>
      </c>
      <c r="E4065" t="s">
        <v>4127</v>
      </c>
      <c r="F4065" t="s">
        <v>4139</v>
      </c>
    </row>
    <row r="4066" spans="1:6">
      <c r="A4066" t="s">
        <v>8195</v>
      </c>
      <c r="B4066" t="s">
        <v>1670</v>
      </c>
      <c r="C4066" t="s">
        <v>22</v>
      </c>
      <c r="D4066" s="1">
        <v>45706</v>
      </c>
      <c r="E4066" t="s">
        <v>4135</v>
      </c>
      <c r="F4066" t="s">
        <v>4139</v>
      </c>
    </row>
    <row r="4067" spans="1:6">
      <c r="A4067" t="s">
        <v>8196</v>
      </c>
      <c r="B4067" t="s">
        <v>1670</v>
      </c>
      <c r="C4067" t="s">
        <v>22</v>
      </c>
      <c r="D4067" s="1">
        <v>45689</v>
      </c>
      <c r="E4067" t="s">
        <v>4127</v>
      </c>
      <c r="F4067" t="s">
        <v>4125</v>
      </c>
    </row>
    <row r="4068" spans="1:6">
      <c r="A4068" t="s">
        <v>8197</v>
      </c>
      <c r="B4068" t="s">
        <v>1670</v>
      </c>
      <c r="C4068" t="s">
        <v>22</v>
      </c>
      <c r="D4068" s="1">
        <v>45696</v>
      </c>
      <c r="E4068" t="s">
        <v>4124</v>
      </c>
      <c r="F4068" t="s">
        <v>4137</v>
      </c>
    </row>
    <row r="4069" spans="1:6">
      <c r="A4069" t="s">
        <v>8198</v>
      </c>
      <c r="B4069" t="s">
        <v>1671</v>
      </c>
      <c r="C4069" t="s">
        <v>46</v>
      </c>
      <c r="D4069" s="1">
        <v>45944</v>
      </c>
      <c r="E4069" t="s">
        <v>4124</v>
      </c>
      <c r="F4069" t="s">
        <v>4125</v>
      </c>
    </row>
    <row r="4070" spans="1:6">
      <c r="A4070" t="s">
        <v>8199</v>
      </c>
      <c r="B4070" t="s">
        <v>1671</v>
      </c>
      <c r="C4070" t="s">
        <v>46</v>
      </c>
      <c r="D4070" s="1">
        <v>45928</v>
      </c>
      <c r="E4070" t="s">
        <v>4124</v>
      </c>
      <c r="F4070" t="s">
        <v>4125</v>
      </c>
    </row>
    <row r="4071" spans="1:6">
      <c r="A4071" t="s">
        <v>8200</v>
      </c>
      <c r="B4071" t="s">
        <v>1671</v>
      </c>
      <c r="C4071" t="s">
        <v>46</v>
      </c>
      <c r="D4071" s="1">
        <v>45912</v>
      </c>
      <c r="E4071" t="s">
        <v>4135</v>
      </c>
      <c r="F4071" t="s">
        <v>4137</v>
      </c>
    </row>
    <row r="4072" spans="1:6">
      <c r="A4072" t="s">
        <v>8201</v>
      </c>
      <c r="B4072" t="s">
        <v>1672</v>
      </c>
      <c r="C4072" t="s">
        <v>50</v>
      </c>
      <c r="D4072" s="1">
        <v>45858</v>
      </c>
      <c r="E4072" t="s">
        <v>4135</v>
      </c>
      <c r="F4072" t="s">
        <v>4125</v>
      </c>
    </row>
    <row r="4073" spans="1:6">
      <c r="A4073" t="s">
        <v>8202</v>
      </c>
      <c r="B4073" t="s">
        <v>1672</v>
      </c>
      <c r="C4073" t="s">
        <v>50</v>
      </c>
      <c r="D4073" s="1">
        <v>45874</v>
      </c>
      <c r="E4073" t="s">
        <v>4127</v>
      </c>
      <c r="F4073" t="s">
        <v>4139</v>
      </c>
    </row>
    <row r="4074" spans="1:6">
      <c r="A4074" t="s">
        <v>8203</v>
      </c>
      <c r="B4074" t="s">
        <v>1672</v>
      </c>
      <c r="C4074" t="s">
        <v>50</v>
      </c>
      <c r="D4074" s="1">
        <v>45888</v>
      </c>
      <c r="E4074" t="s">
        <v>4133</v>
      </c>
      <c r="F4074" t="s">
        <v>4139</v>
      </c>
    </row>
    <row r="4075" spans="1:6">
      <c r="A4075" t="s">
        <v>8204</v>
      </c>
      <c r="B4075" t="s">
        <v>1672</v>
      </c>
      <c r="C4075" t="s">
        <v>50</v>
      </c>
      <c r="D4075" s="1">
        <v>45885</v>
      </c>
      <c r="E4075" t="s">
        <v>4127</v>
      </c>
      <c r="F4075" t="s">
        <v>4139</v>
      </c>
    </row>
    <row r="4076" spans="1:6">
      <c r="A4076" t="s">
        <v>8205</v>
      </c>
      <c r="B4076" t="s">
        <v>1672</v>
      </c>
      <c r="C4076" t="s">
        <v>50</v>
      </c>
      <c r="D4076" s="1">
        <v>45879</v>
      </c>
      <c r="E4076" t="s">
        <v>4127</v>
      </c>
      <c r="F4076" t="s">
        <v>4125</v>
      </c>
    </row>
    <row r="4077" spans="1:6">
      <c r="A4077" t="s">
        <v>8206</v>
      </c>
      <c r="B4077" t="s">
        <v>1673</v>
      </c>
      <c r="C4077" t="s">
        <v>32</v>
      </c>
      <c r="D4077" s="1">
        <v>45848</v>
      </c>
      <c r="E4077" t="s">
        <v>4133</v>
      </c>
      <c r="F4077" t="s">
        <v>4125</v>
      </c>
    </row>
    <row r="4078" spans="1:6">
      <c r="A4078" t="s">
        <v>8207</v>
      </c>
      <c r="B4078" t="s">
        <v>1673</v>
      </c>
      <c r="C4078" t="s">
        <v>32</v>
      </c>
      <c r="D4078" s="1">
        <v>45844</v>
      </c>
      <c r="E4078" t="s">
        <v>4135</v>
      </c>
      <c r="F4078" t="s">
        <v>4137</v>
      </c>
    </row>
    <row r="4079" spans="1:6">
      <c r="A4079" t="s">
        <v>8208</v>
      </c>
      <c r="B4079" t="s">
        <v>1674</v>
      </c>
      <c r="C4079" t="s">
        <v>91</v>
      </c>
      <c r="D4079" s="1">
        <v>46009</v>
      </c>
      <c r="E4079" t="s">
        <v>4124</v>
      </c>
      <c r="F4079" t="s">
        <v>4125</v>
      </c>
    </row>
    <row r="4080" spans="1:6">
      <c r="A4080" t="s">
        <v>8209</v>
      </c>
      <c r="B4080" t="s">
        <v>1674</v>
      </c>
      <c r="C4080" t="s">
        <v>91</v>
      </c>
      <c r="D4080" s="1">
        <v>46018</v>
      </c>
      <c r="E4080" t="s">
        <v>4127</v>
      </c>
      <c r="F4080" t="s">
        <v>4137</v>
      </c>
    </row>
    <row r="4081" spans="1:6">
      <c r="A4081" t="s">
        <v>8210</v>
      </c>
      <c r="B4081" t="s">
        <v>1674</v>
      </c>
      <c r="C4081" t="s">
        <v>91</v>
      </c>
      <c r="D4081" s="1">
        <v>46008</v>
      </c>
      <c r="E4081" t="s">
        <v>4124</v>
      </c>
      <c r="F4081" t="s">
        <v>4139</v>
      </c>
    </row>
    <row r="4082" spans="1:6">
      <c r="A4082" t="s">
        <v>8211</v>
      </c>
      <c r="B4082" t="s">
        <v>1674</v>
      </c>
      <c r="C4082" t="s">
        <v>91</v>
      </c>
      <c r="D4082" s="1">
        <v>46014</v>
      </c>
      <c r="E4082" t="s">
        <v>4124</v>
      </c>
      <c r="F4082" t="s">
        <v>4139</v>
      </c>
    </row>
    <row r="4083" spans="1:6">
      <c r="A4083" t="s">
        <v>8212</v>
      </c>
      <c r="B4083" t="s">
        <v>1675</v>
      </c>
      <c r="C4083" t="s">
        <v>40</v>
      </c>
      <c r="D4083" s="1">
        <v>45895</v>
      </c>
      <c r="E4083" t="s">
        <v>4129</v>
      </c>
      <c r="F4083" t="s">
        <v>4139</v>
      </c>
    </row>
    <row r="4084" spans="1:6">
      <c r="A4084" t="s">
        <v>8213</v>
      </c>
      <c r="B4084" t="s">
        <v>1675</v>
      </c>
      <c r="C4084" t="s">
        <v>40</v>
      </c>
      <c r="D4084" s="1">
        <v>45893</v>
      </c>
      <c r="E4084" t="s">
        <v>4127</v>
      </c>
      <c r="F4084" t="s">
        <v>4125</v>
      </c>
    </row>
    <row r="4085" spans="1:6">
      <c r="A4085" t="s">
        <v>8214</v>
      </c>
      <c r="B4085" t="s">
        <v>1675</v>
      </c>
      <c r="C4085" t="s">
        <v>40</v>
      </c>
      <c r="D4085" s="1">
        <v>45875</v>
      </c>
      <c r="E4085" t="s">
        <v>4129</v>
      </c>
      <c r="F4085" t="s">
        <v>4137</v>
      </c>
    </row>
    <row r="4086" spans="1:6">
      <c r="A4086" t="s">
        <v>8215</v>
      </c>
      <c r="B4086" t="s">
        <v>1676</v>
      </c>
      <c r="C4086" t="s">
        <v>63</v>
      </c>
      <c r="D4086" s="1">
        <v>45959</v>
      </c>
      <c r="E4086" t="s">
        <v>4133</v>
      </c>
      <c r="F4086" t="s">
        <v>4139</v>
      </c>
    </row>
    <row r="4087" spans="1:6">
      <c r="A4087" t="s">
        <v>8216</v>
      </c>
      <c r="B4087" t="s">
        <v>1676</v>
      </c>
      <c r="C4087" t="s">
        <v>63</v>
      </c>
      <c r="D4087" s="1">
        <v>45962</v>
      </c>
      <c r="E4087" t="s">
        <v>4129</v>
      </c>
      <c r="F4087" t="s">
        <v>4137</v>
      </c>
    </row>
    <row r="4088" spans="1:6">
      <c r="A4088" t="s">
        <v>8217</v>
      </c>
      <c r="B4088" t="s">
        <v>1676</v>
      </c>
      <c r="C4088" t="s">
        <v>63</v>
      </c>
      <c r="D4088" s="1">
        <v>45955</v>
      </c>
      <c r="E4088" t="s">
        <v>4133</v>
      </c>
      <c r="F4088" t="s">
        <v>4125</v>
      </c>
    </row>
    <row r="4089" spans="1:6">
      <c r="A4089" t="s">
        <v>8218</v>
      </c>
      <c r="B4089" t="s">
        <v>1677</v>
      </c>
      <c r="C4089" t="s">
        <v>119</v>
      </c>
      <c r="D4089" s="1">
        <v>45876</v>
      </c>
      <c r="E4089" t="s">
        <v>4133</v>
      </c>
      <c r="F4089" t="s">
        <v>4139</v>
      </c>
    </row>
    <row r="4090" spans="1:6">
      <c r="A4090" t="s">
        <v>8219</v>
      </c>
      <c r="B4090" t="s">
        <v>1677</v>
      </c>
      <c r="C4090" t="s">
        <v>119</v>
      </c>
      <c r="D4090" s="1">
        <v>45870</v>
      </c>
      <c r="E4090" t="s">
        <v>4124</v>
      </c>
      <c r="F4090" t="s">
        <v>4137</v>
      </c>
    </row>
    <row r="4091" spans="1:6">
      <c r="A4091" t="s">
        <v>8220</v>
      </c>
      <c r="B4091" t="s">
        <v>1678</v>
      </c>
      <c r="C4091" t="s">
        <v>50</v>
      </c>
      <c r="D4091" s="1">
        <v>45918</v>
      </c>
      <c r="E4091" t="s">
        <v>4124</v>
      </c>
      <c r="F4091" t="s">
        <v>4137</v>
      </c>
    </row>
    <row r="4092" spans="1:6">
      <c r="A4092" t="s">
        <v>8221</v>
      </c>
      <c r="B4092" t="s">
        <v>1678</v>
      </c>
      <c r="C4092" t="s">
        <v>50</v>
      </c>
      <c r="D4092" s="1">
        <v>45919</v>
      </c>
      <c r="E4092" t="s">
        <v>4129</v>
      </c>
      <c r="F4092" t="s">
        <v>4139</v>
      </c>
    </row>
    <row r="4093" spans="1:6">
      <c r="A4093" t="s">
        <v>8222</v>
      </c>
      <c r="B4093" t="s">
        <v>1678</v>
      </c>
      <c r="C4093" t="s">
        <v>50</v>
      </c>
      <c r="D4093" s="1">
        <v>45920</v>
      </c>
      <c r="E4093" t="s">
        <v>4135</v>
      </c>
      <c r="F4093" t="s">
        <v>4137</v>
      </c>
    </row>
    <row r="4094" spans="1:6">
      <c r="A4094" t="s">
        <v>8223</v>
      </c>
      <c r="B4094" t="s">
        <v>1680</v>
      </c>
      <c r="C4094" t="s">
        <v>56</v>
      </c>
      <c r="D4094" s="1">
        <v>45996</v>
      </c>
      <c r="E4094" t="s">
        <v>4135</v>
      </c>
      <c r="F4094" t="s">
        <v>4125</v>
      </c>
    </row>
    <row r="4095" spans="1:6">
      <c r="A4095" t="s">
        <v>8224</v>
      </c>
      <c r="B4095" t="s">
        <v>1680</v>
      </c>
      <c r="C4095" t="s">
        <v>56</v>
      </c>
      <c r="D4095" s="1">
        <v>45996</v>
      </c>
      <c r="E4095" t="s">
        <v>4129</v>
      </c>
      <c r="F4095" t="s">
        <v>4139</v>
      </c>
    </row>
    <row r="4096" spans="1:6">
      <c r="A4096" t="s">
        <v>8225</v>
      </c>
      <c r="B4096" t="s">
        <v>1680</v>
      </c>
      <c r="C4096" t="s">
        <v>56</v>
      </c>
      <c r="D4096" s="1">
        <v>45998</v>
      </c>
      <c r="E4096" t="s">
        <v>4124</v>
      </c>
      <c r="F4096" t="s">
        <v>4139</v>
      </c>
    </row>
    <row r="4097" spans="1:6">
      <c r="A4097" t="s">
        <v>8226</v>
      </c>
      <c r="B4097" t="s">
        <v>1680</v>
      </c>
      <c r="C4097" t="s">
        <v>56</v>
      </c>
      <c r="D4097" s="1">
        <v>45999</v>
      </c>
      <c r="E4097" t="s">
        <v>4135</v>
      </c>
      <c r="F4097" t="s">
        <v>4137</v>
      </c>
    </row>
    <row r="4098" spans="1:6">
      <c r="A4098" t="s">
        <v>8227</v>
      </c>
      <c r="B4098" t="s">
        <v>1680</v>
      </c>
      <c r="C4098" t="s">
        <v>56</v>
      </c>
      <c r="D4098" s="1">
        <v>45991</v>
      </c>
      <c r="E4098" t="s">
        <v>4129</v>
      </c>
      <c r="F4098" t="s">
        <v>4125</v>
      </c>
    </row>
    <row r="4099" spans="1:6">
      <c r="A4099" t="s">
        <v>8228</v>
      </c>
      <c r="B4099" t="s">
        <v>1681</v>
      </c>
      <c r="C4099" t="s">
        <v>22</v>
      </c>
      <c r="D4099" s="1">
        <v>45870</v>
      </c>
      <c r="E4099" t="s">
        <v>4133</v>
      </c>
      <c r="F4099" t="s">
        <v>4125</v>
      </c>
    </row>
    <row r="4100" spans="1:6">
      <c r="A4100" t="s">
        <v>8229</v>
      </c>
      <c r="B4100" t="s">
        <v>1681</v>
      </c>
      <c r="C4100" t="s">
        <v>22</v>
      </c>
      <c r="D4100" s="1">
        <v>45891</v>
      </c>
      <c r="E4100" t="s">
        <v>4133</v>
      </c>
      <c r="F4100" t="s">
        <v>4137</v>
      </c>
    </row>
    <row r="4101" spans="1:6">
      <c r="A4101" t="s">
        <v>8230</v>
      </c>
      <c r="B4101" t="s">
        <v>1681</v>
      </c>
      <c r="C4101" t="s">
        <v>22</v>
      </c>
      <c r="D4101" s="1">
        <v>45903</v>
      </c>
      <c r="E4101" t="s">
        <v>4129</v>
      </c>
      <c r="F4101" t="s">
        <v>4137</v>
      </c>
    </row>
    <row r="4102" spans="1:6">
      <c r="A4102" t="s">
        <v>8231</v>
      </c>
      <c r="B4102" t="s">
        <v>1682</v>
      </c>
      <c r="C4102" t="s">
        <v>27</v>
      </c>
      <c r="D4102" s="1">
        <v>45960</v>
      </c>
      <c r="E4102" t="s">
        <v>4133</v>
      </c>
      <c r="F4102" t="s">
        <v>4139</v>
      </c>
    </row>
    <row r="4103" spans="1:6">
      <c r="A4103" t="s">
        <v>8232</v>
      </c>
      <c r="B4103" t="s">
        <v>1682</v>
      </c>
      <c r="C4103" t="s">
        <v>27</v>
      </c>
      <c r="D4103" s="1">
        <v>45988</v>
      </c>
      <c r="E4103" t="s">
        <v>4135</v>
      </c>
      <c r="F4103" t="s">
        <v>4125</v>
      </c>
    </row>
    <row r="4104" spans="1:6">
      <c r="A4104" t="s">
        <v>8233</v>
      </c>
      <c r="B4104" t="s">
        <v>1682</v>
      </c>
      <c r="C4104" t="s">
        <v>27</v>
      </c>
      <c r="D4104" s="1">
        <v>45938</v>
      </c>
      <c r="E4104" t="s">
        <v>4124</v>
      </c>
      <c r="F4104" t="s">
        <v>4139</v>
      </c>
    </row>
    <row r="4105" spans="1:6">
      <c r="A4105" t="s">
        <v>8234</v>
      </c>
      <c r="B4105" t="s">
        <v>1684</v>
      </c>
      <c r="C4105" t="s">
        <v>63</v>
      </c>
      <c r="D4105" s="1">
        <v>45763</v>
      </c>
      <c r="E4105" t="s">
        <v>4129</v>
      </c>
      <c r="F4105" t="s">
        <v>4139</v>
      </c>
    </row>
    <row r="4106" spans="1:6">
      <c r="A4106" t="s">
        <v>8235</v>
      </c>
      <c r="B4106" t="s">
        <v>1684</v>
      </c>
      <c r="C4106" t="s">
        <v>63</v>
      </c>
      <c r="D4106" s="1">
        <v>45801</v>
      </c>
      <c r="E4106" t="s">
        <v>4127</v>
      </c>
      <c r="F4106" t="s">
        <v>4139</v>
      </c>
    </row>
    <row r="4107" spans="1:6">
      <c r="A4107" t="s">
        <v>8236</v>
      </c>
      <c r="B4107" t="s">
        <v>1684</v>
      </c>
      <c r="C4107" t="s">
        <v>63</v>
      </c>
      <c r="D4107" s="1">
        <v>45777</v>
      </c>
      <c r="E4107" t="s">
        <v>4124</v>
      </c>
      <c r="F4107" t="s">
        <v>4139</v>
      </c>
    </row>
    <row r="4108" spans="1:6">
      <c r="A4108" t="s">
        <v>8237</v>
      </c>
      <c r="B4108" t="s">
        <v>1684</v>
      </c>
      <c r="C4108" t="s">
        <v>63</v>
      </c>
      <c r="D4108" s="1">
        <v>45806</v>
      </c>
      <c r="E4108" t="s">
        <v>4133</v>
      </c>
      <c r="F4108" t="s">
        <v>4125</v>
      </c>
    </row>
    <row r="4109" spans="1:6">
      <c r="A4109" t="s">
        <v>8238</v>
      </c>
      <c r="B4109" t="s">
        <v>1684</v>
      </c>
      <c r="C4109" t="s">
        <v>63</v>
      </c>
      <c r="D4109" s="1">
        <v>45802</v>
      </c>
      <c r="E4109" t="s">
        <v>4127</v>
      </c>
      <c r="F4109" t="s">
        <v>4125</v>
      </c>
    </row>
    <row r="4110" spans="1:6">
      <c r="A4110" t="s">
        <v>8239</v>
      </c>
      <c r="B4110" t="s">
        <v>1685</v>
      </c>
      <c r="C4110" t="s">
        <v>22</v>
      </c>
      <c r="D4110" s="1">
        <v>45968</v>
      </c>
      <c r="E4110" t="s">
        <v>4135</v>
      </c>
      <c r="F4110" t="s">
        <v>4137</v>
      </c>
    </row>
    <row r="4111" spans="1:6">
      <c r="A4111" t="s">
        <v>8240</v>
      </c>
      <c r="B4111" t="s">
        <v>1685</v>
      </c>
      <c r="C4111" t="s">
        <v>22</v>
      </c>
      <c r="D4111" s="1">
        <v>45962</v>
      </c>
      <c r="E4111" t="s">
        <v>4129</v>
      </c>
      <c r="F4111" t="s">
        <v>4125</v>
      </c>
    </row>
    <row r="4112" spans="1:6">
      <c r="A4112" t="s">
        <v>8241</v>
      </c>
      <c r="B4112" t="s">
        <v>1687</v>
      </c>
      <c r="C4112" t="s">
        <v>40</v>
      </c>
      <c r="D4112" s="1">
        <v>45917</v>
      </c>
      <c r="E4112" t="s">
        <v>4135</v>
      </c>
      <c r="F4112" t="s">
        <v>4139</v>
      </c>
    </row>
    <row r="4113" spans="1:6">
      <c r="A4113" t="s">
        <v>8242</v>
      </c>
      <c r="B4113" t="s">
        <v>1687</v>
      </c>
      <c r="C4113" t="s">
        <v>40</v>
      </c>
      <c r="D4113" s="1">
        <v>45919</v>
      </c>
      <c r="E4113" t="s">
        <v>4127</v>
      </c>
      <c r="F4113" t="s">
        <v>4125</v>
      </c>
    </row>
    <row r="4114" spans="1:6">
      <c r="A4114" t="s">
        <v>8243</v>
      </c>
      <c r="B4114" t="s">
        <v>1687</v>
      </c>
      <c r="C4114" t="s">
        <v>40</v>
      </c>
      <c r="D4114" s="1">
        <v>45897</v>
      </c>
      <c r="E4114" t="s">
        <v>4135</v>
      </c>
      <c r="F4114" t="s">
        <v>4139</v>
      </c>
    </row>
    <row r="4115" spans="1:6">
      <c r="A4115" t="s">
        <v>8244</v>
      </c>
      <c r="B4115" t="s">
        <v>1687</v>
      </c>
      <c r="C4115" t="s">
        <v>40</v>
      </c>
      <c r="D4115" s="1">
        <v>45888</v>
      </c>
      <c r="E4115" t="s">
        <v>4127</v>
      </c>
      <c r="F4115" t="s">
        <v>4125</v>
      </c>
    </row>
    <row r="4116" spans="1:6">
      <c r="A4116" t="s">
        <v>8245</v>
      </c>
      <c r="B4116" t="s">
        <v>1687</v>
      </c>
      <c r="C4116" t="s">
        <v>40</v>
      </c>
      <c r="D4116" s="1">
        <v>45908</v>
      </c>
      <c r="E4116" t="s">
        <v>4135</v>
      </c>
      <c r="F4116" t="s">
        <v>4137</v>
      </c>
    </row>
    <row r="4117" spans="1:6">
      <c r="A4117" t="s">
        <v>8246</v>
      </c>
      <c r="B4117" t="s">
        <v>1688</v>
      </c>
      <c r="C4117" t="s">
        <v>50</v>
      </c>
      <c r="D4117" s="1">
        <v>45826</v>
      </c>
      <c r="E4117" t="s">
        <v>4124</v>
      </c>
      <c r="F4117" t="s">
        <v>4125</v>
      </c>
    </row>
    <row r="4118" spans="1:6">
      <c r="A4118" t="s">
        <v>8247</v>
      </c>
      <c r="B4118" t="s">
        <v>1688</v>
      </c>
      <c r="C4118" t="s">
        <v>50</v>
      </c>
      <c r="D4118" s="1">
        <v>45800</v>
      </c>
      <c r="E4118" t="s">
        <v>4124</v>
      </c>
      <c r="F4118" t="s">
        <v>4125</v>
      </c>
    </row>
    <row r="4119" spans="1:6">
      <c r="A4119" t="s">
        <v>8248</v>
      </c>
      <c r="B4119" t="s">
        <v>1689</v>
      </c>
      <c r="C4119" t="s">
        <v>91</v>
      </c>
      <c r="D4119" s="1">
        <v>46009</v>
      </c>
      <c r="E4119" t="s">
        <v>4127</v>
      </c>
      <c r="F4119" t="s">
        <v>4125</v>
      </c>
    </row>
    <row r="4120" spans="1:6">
      <c r="A4120" t="s">
        <v>8249</v>
      </c>
      <c r="B4120" t="s">
        <v>1689</v>
      </c>
      <c r="C4120" t="s">
        <v>91</v>
      </c>
      <c r="D4120" s="1">
        <v>46018</v>
      </c>
      <c r="E4120" t="s">
        <v>4135</v>
      </c>
      <c r="F4120" t="s">
        <v>4125</v>
      </c>
    </row>
    <row r="4121" spans="1:6">
      <c r="A4121" t="s">
        <v>8250</v>
      </c>
      <c r="B4121" t="s">
        <v>1690</v>
      </c>
      <c r="C4121" t="s">
        <v>40</v>
      </c>
      <c r="D4121" s="1">
        <v>45677</v>
      </c>
      <c r="E4121" t="s">
        <v>4124</v>
      </c>
      <c r="F4121" t="s">
        <v>4125</v>
      </c>
    </row>
    <row r="4122" spans="1:6">
      <c r="A4122" t="s">
        <v>8251</v>
      </c>
      <c r="B4122" t="s">
        <v>1690</v>
      </c>
      <c r="C4122" t="s">
        <v>40</v>
      </c>
      <c r="D4122" s="1">
        <v>45696</v>
      </c>
      <c r="E4122" t="s">
        <v>4133</v>
      </c>
      <c r="F4122" t="s">
        <v>4137</v>
      </c>
    </row>
    <row r="4123" spans="1:6">
      <c r="A4123" t="s">
        <v>8252</v>
      </c>
      <c r="B4123" t="s">
        <v>1691</v>
      </c>
      <c r="C4123" t="s">
        <v>75</v>
      </c>
      <c r="D4123" s="1">
        <v>45724</v>
      </c>
      <c r="E4123" t="s">
        <v>4135</v>
      </c>
      <c r="F4123" t="s">
        <v>4125</v>
      </c>
    </row>
    <row r="4124" spans="1:6">
      <c r="A4124" t="s">
        <v>8253</v>
      </c>
      <c r="B4124" t="s">
        <v>1691</v>
      </c>
      <c r="C4124" t="s">
        <v>75</v>
      </c>
      <c r="D4124" s="1">
        <v>45694</v>
      </c>
      <c r="E4124" t="s">
        <v>4129</v>
      </c>
      <c r="F4124" t="s">
        <v>4137</v>
      </c>
    </row>
    <row r="4125" spans="1:6">
      <c r="A4125" t="s">
        <v>8254</v>
      </c>
      <c r="B4125" t="s">
        <v>1691</v>
      </c>
      <c r="C4125" t="s">
        <v>75</v>
      </c>
      <c r="D4125" s="1">
        <v>45743</v>
      </c>
      <c r="E4125" t="s">
        <v>4135</v>
      </c>
      <c r="F4125" t="s">
        <v>4125</v>
      </c>
    </row>
    <row r="4126" spans="1:6">
      <c r="A4126" t="s">
        <v>8255</v>
      </c>
      <c r="B4126" t="s">
        <v>1692</v>
      </c>
      <c r="C4126" t="s">
        <v>16</v>
      </c>
      <c r="D4126" s="1">
        <v>45936</v>
      </c>
      <c r="E4126" t="s">
        <v>4135</v>
      </c>
      <c r="F4126" t="s">
        <v>4125</v>
      </c>
    </row>
    <row r="4127" spans="1:6">
      <c r="A4127" t="s">
        <v>8256</v>
      </c>
      <c r="B4127" t="s">
        <v>1692</v>
      </c>
      <c r="C4127" t="s">
        <v>16</v>
      </c>
      <c r="D4127" s="1">
        <v>45937</v>
      </c>
      <c r="E4127" t="s">
        <v>4124</v>
      </c>
      <c r="F4127" t="s">
        <v>4125</v>
      </c>
    </row>
    <row r="4128" spans="1:6">
      <c r="A4128" t="s">
        <v>8257</v>
      </c>
      <c r="B4128" t="s">
        <v>1692</v>
      </c>
      <c r="C4128" t="s">
        <v>16</v>
      </c>
      <c r="D4128" s="1">
        <v>45931</v>
      </c>
      <c r="E4128" t="s">
        <v>4133</v>
      </c>
      <c r="F4128" t="s">
        <v>4139</v>
      </c>
    </row>
    <row r="4129" spans="1:6">
      <c r="A4129" t="s">
        <v>8258</v>
      </c>
      <c r="B4129" t="s">
        <v>1692</v>
      </c>
      <c r="C4129" t="s">
        <v>16</v>
      </c>
      <c r="D4129" s="1">
        <v>45933</v>
      </c>
      <c r="E4129" t="s">
        <v>4129</v>
      </c>
      <c r="F4129" t="s">
        <v>4139</v>
      </c>
    </row>
    <row r="4130" spans="1:6">
      <c r="A4130" t="s">
        <v>8259</v>
      </c>
      <c r="B4130" t="s">
        <v>1693</v>
      </c>
      <c r="C4130" t="s">
        <v>53</v>
      </c>
      <c r="D4130" s="1">
        <v>45990</v>
      </c>
      <c r="E4130" t="s">
        <v>4135</v>
      </c>
      <c r="F4130" t="s">
        <v>4139</v>
      </c>
    </row>
    <row r="4131" spans="1:6">
      <c r="A4131" t="s">
        <v>8260</v>
      </c>
      <c r="B4131" t="s">
        <v>1693</v>
      </c>
      <c r="C4131" t="s">
        <v>53</v>
      </c>
      <c r="D4131" s="1">
        <v>46000</v>
      </c>
      <c r="E4131" t="s">
        <v>4133</v>
      </c>
      <c r="F4131" t="s">
        <v>4125</v>
      </c>
    </row>
    <row r="4132" spans="1:6">
      <c r="A4132" t="s">
        <v>8261</v>
      </c>
      <c r="B4132" t="s">
        <v>1693</v>
      </c>
      <c r="C4132" t="s">
        <v>53</v>
      </c>
      <c r="D4132" s="1">
        <v>45973</v>
      </c>
      <c r="E4132" t="s">
        <v>4133</v>
      </c>
      <c r="F4132" t="s">
        <v>4139</v>
      </c>
    </row>
    <row r="4133" spans="1:6">
      <c r="A4133" t="s">
        <v>8262</v>
      </c>
      <c r="B4133" t="s">
        <v>1693</v>
      </c>
      <c r="C4133" t="s">
        <v>53</v>
      </c>
      <c r="D4133" s="1">
        <v>46004</v>
      </c>
      <c r="E4133" t="s">
        <v>4133</v>
      </c>
      <c r="F4133" t="s">
        <v>4137</v>
      </c>
    </row>
    <row r="4134" spans="1:6">
      <c r="A4134" t="s">
        <v>8263</v>
      </c>
      <c r="B4134" t="s">
        <v>1693</v>
      </c>
      <c r="C4134" t="s">
        <v>53</v>
      </c>
      <c r="D4134" s="1">
        <v>45968</v>
      </c>
      <c r="E4134" t="s">
        <v>4135</v>
      </c>
      <c r="F4134" t="s">
        <v>4137</v>
      </c>
    </row>
    <row r="4135" spans="1:6">
      <c r="A4135" t="s">
        <v>8264</v>
      </c>
      <c r="B4135" t="s">
        <v>1694</v>
      </c>
      <c r="C4135" t="s">
        <v>91</v>
      </c>
      <c r="D4135" s="1">
        <v>45822</v>
      </c>
      <c r="E4135" t="s">
        <v>4129</v>
      </c>
      <c r="F4135" t="s">
        <v>4125</v>
      </c>
    </row>
    <row r="4136" spans="1:6">
      <c r="A4136" t="s">
        <v>8265</v>
      </c>
      <c r="B4136" t="s">
        <v>1694</v>
      </c>
      <c r="C4136" t="s">
        <v>91</v>
      </c>
      <c r="D4136" s="1">
        <v>45832</v>
      </c>
      <c r="E4136" t="s">
        <v>4133</v>
      </c>
      <c r="F4136" t="s">
        <v>4139</v>
      </c>
    </row>
    <row r="4137" spans="1:6">
      <c r="A4137" t="s">
        <v>8266</v>
      </c>
      <c r="B4137" t="s">
        <v>1694</v>
      </c>
      <c r="C4137" t="s">
        <v>91</v>
      </c>
      <c r="D4137" s="1">
        <v>45812</v>
      </c>
      <c r="E4137" t="s">
        <v>4133</v>
      </c>
      <c r="F4137" t="s">
        <v>4125</v>
      </c>
    </row>
    <row r="4138" spans="1:6">
      <c r="A4138" t="s">
        <v>8267</v>
      </c>
      <c r="B4138" t="s">
        <v>1694</v>
      </c>
      <c r="C4138" t="s">
        <v>91</v>
      </c>
      <c r="D4138" s="1">
        <v>45848</v>
      </c>
      <c r="E4138" t="s">
        <v>4127</v>
      </c>
      <c r="F4138" t="s">
        <v>4125</v>
      </c>
    </row>
    <row r="4139" spans="1:6">
      <c r="A4139" t="s">
        <v>8268</v>
      </c>
      <c r="B4139" t="s">
        <v>1695</v>
      </c>
      <c r="C4139" t="s">
        <v>75</v>
      </c>
      <c r="D4139" s="1">
        <v>45819</v>
      </c>
      <c r="E4139" t="s">
        <v>4135</v>
      </c>
      <c r="F4139" t="s">
        <v>4137</v>
      </c>
    </row>
    <row r="4140" spans="1:6">
      <c r="A4140" t="s">
        <v>8269</v>
      </c>
      <c r="B4140" t="s">
        <v>1695</v>
      </c>
      <c r="C4140" t="s">
        <v>75</v>
      </c>
      <c r="D4140" s="1">
        <v>45833</v>
      </c>
      <c r="E4140" t="s">
        <v>4135</v>
      </c>
      <c r="F4140" t="s">
        <v>4139</v>
      </c>
    </row>
    <row r="4141" spans="1:6">
      <c r="A4141" t="s">
        <v>8270</v>
      </c>
      <c r="B4141" t="s">
        <v>1696</v>
      </c>
      <c r="C4141" t="s">
        <v>40</v>
      </c>
      <c r="D4141" s="1">
        <v>45951</v>
      </c>
      <c r="E4141" t="s">
        <v>4127</v>
      </c>
      <c r="F4141" t="s">
        <v>4139</v>
      </c>
    </row>
    <row r="4142" spans="1:6">
      <c r="A4142" t="s">
        <v>8271</v>
      </c>
      <c r="B4142" t="s">
        <v>1696</v>
      </c>
      <c r="C4142" t="s">
        <v>40</v>
      </c>
      <c r="D4142" s="1">
        <v>45955</v>
      </c>
      <c r="E4142" t="s">
        <v>4127</v>
      </c>
      <c r="F4142" t="s">
        <v>4139</v>
      </c>
    </row>
    <row r="4143" spans="1:6">
      <c r="A4143" t="s">
        <v>8272</v>
      </c>
      <c r="B4143" t="s">
        <v>1697</v>
      </c>
      <c r="C4143" t="s">
        <v>152</v>
      </c>
      <c r="D4143" s="1">
        <v>45702</v>
      </c>
      <c r="E4143" t="s">
        <v>4127</v>
      </c>
      <c r="F4143" t="s">
        <v>4125</v>
      </c>
    </row>
    <row r="4144" spans="1:6">
      <c r="A4144" t="s">
        <v>8273</v>
      </c>
      <c r="B4144" t="s">
        <v>1697</v>
      </c>
      <c r="C4144" t="s">
        <v>152</v>
      </c>
      <c r="D4144" s="1">
        <v>45680</v>
      </c>
      <c r="E4144" t="s">
        <v>4135</v>
      </c>
      <c r="F4144" t="s">
        <v>4137</v>
      </c>
    </row>
    <row r="4145" spans="1:6">
      <c r="A4145" t="s">
        <v>8274</v>
      </c>
      <c r="B4145" t="s">
        <v>1697</v>
      </c>
      <c r="C4145" t="s">
        <v>152</v>
      </c>
      <c r="D4145" s="1">
        <v>45696</v>
      </c>
      <c r="E4145" t="s">
        <v>4129</v>
      </c>
      <c r="F4145" t="s">
        <v>4125</v>
      </c>
    </row>
    <row r="4146" spans="1:6">
      <c r="A4146" t="s">
        <v>8275</v>
      </c>
      <c r="B4146" t="s">
        <v>1697</v>
      </c>
      <c r="C4146" t="s">
        <v>152</v>
      </c>
      <c r="D4146" s="1">
        <v>45688</v>
      </c>
      <c r="E4146" t="s">
        <v>4133</v>
      </c>
      <c r="F4146" t="s">
        <v>4137</v>
      </c>
    </row>
    <row r="4147" spans="1:6">
      <c r="A4147" t="s">
        <v>8276</v>
      </c>
      <c r="B4147" t="s">
        <v>1697</v>
      </c>
      <c r="C4147" t="s">
        <v>152</v>
      </c>
      <c r="D4147" s="1">
        <v>45707</v>
      </c>
      <c r="E4147" t="s">
        <v>4124</v>
      </c>
      <c r="F4147" t="s">
        <v>4139</v>
      </c>
    </row>
    <row r="4148" spans="1:6">
      <c r="A4148" t="s">
        <v>8277</v>
      </c>
      <c r="B4148" t="s">
        <v>1698</v>
      </c>
      <c r="C4148" t="s">
        <v>16</v>
      </c>
      <c r="D4148" s="1">
        <v>46022</v>
      </c>
      <c r="E4148" t="s">
        <v>4124</v>
      </c>
      <c r="F4148" t="s">
        <v>4137</v>
      </c>
    </row>
    <row r="4149" spans="1:6">
      <c r="A4149" t="s">
        <v>8278</v>
      </c>
      <c r="B4149" t="s">
        <v>1698</v>
      </c>
      <c r="C4149" t="s">
        <v>16</v>
      </c>
      <c r="D4149" s="1">
        <v>46022</v>
      </c>
      <c r="E4149" t="s">
        <v>4129</v>
      </c>
      <c r="F4149" t="s">
        <v>4125</v>
      </c>
    </row>
    <row r="4150" spans="1:6">
      <c r="A4150" t="s">
        <v>8279</v>
      </c>
      <c r="B4150" t="s">
        <v>1698</v>
      </c>
      <c r="C4150" t="s">
        <v>16</v>
      </c>
      <c r="D4150" s="1">
        <v>46022</v>
      </c>
      <c r="E4150" t="s">
        <v>4127</v>
      </c>
      <c r="F4150" t="s">
        <v>4125</v>
      </c>
    </row>
    <row r="4151" spans="1:6">
      <c r="A4151" t="s">
        <v>8280</v>
      </c>
      <c r="B4151" t="s">
        <v>1698</v>
      </c>
      <c r="C4151" t="s">
        <v>16</v>
      </c>
      <c r="D4151" s="1">
        <v>46022</v>
      </c>
      <c r="E4151" t="s">
        <v>4135</v>
      </c>
      <c r="F4151" t="s">
        <v>4137</v>
      </c>
    </row>
    <row r="4152" spans="1:6">
      <c r="A4152" t="s">
        <v>8281</v>
      </c>
      <c r="B4152" t="s">
        <v>1698</v>
      </c>
      <c r="C4152" t="s">
        <v>16</v>
      </c>
      <c r="D4152" s="1">
        <v>46022</v>
      </c>
      <c r="E4152" t="s">
        <v>4129</v>
      </c>
      <c r="F4152" t="s">
        <v>4137</v>
      </c>
    </row>
    <row r="4153" spans="1:6">
      <c r="A4153" t="s">
        <v>8282</v>
      </c>
      <c r="B4153" t="s">
        <v>1699</v>
      </c>
      <c r="C4153" t="s">
        <v>75</v>
      </c>
      <c r="D4153" s="1">
        <v>45753</v>
      </c>
      <c r="E4153" t="s">
        <v>4129</v>
      </c>
      <c r="F4153" t="s">
        <v>4125</v>
      </c>
    </row>
    <row r="4154" spans="1:6">
      <c r="A4154" t="s">
        <v>8283</v>
      </c>
      <c r="B4154" t="s">
        <v>1699</v>
      </c>
      <c r="C4154" t="s">
        <v>75</v>
      </c>
      <c r="D4154" s="1">
        <v>45735</v>
      </c>
      <c r="E4154" t="s">
        <v>4133</v>
      </c>
      <c r="F4154" t="s">
        <v>4137</v>
      </c>
    </row>
    <row r="4155" spans="1:6">
      <c r="A4155" t="s">
        <v>8284</v>
      </c>
      <c r="B4155" t="s">
        <v>1699</v>
      </c>
      <c r="C4155" t="s">
        <v>75</v>
      </c>
      <c r="D4155" s="1">
        <v>45753</v>
      </c>
      <c r="E4155" t="s">
        <v>4124</v>
      </c>
      <c r="F4155" t="s">
        <v>4139</v>
      </c>
    </row>
    <row r="4156" spans="1:6">
      <c r="A4156" t="s">
        <v>8285</v>
      </c>
      <c r="B4156" t="s">
        <v>1700</v>
      </c>
      <c r="C4156" t="s">
        <v>56</v>
      </c>
      <c r="D4156" s="1">
        <v>45969</v>
      </c>
      <c r="E4156" t="s">
        <v>4127</v>
      </c>
      <c r="F4156" t="s">
        <v>4125</v>
      </c>
    </row>
    <row r="4157" spans="1:6">
      <c r="A4157" t="s">
        <v>8286</v>
      </c>
      <c r="B4157" t="s">
        <v>1700</v>
      </c>
      <c r="C4157" t="s">
        <v>56</v>
      </c>
      <c r="D4157" s="1">
        <v>45986</v>
      </c>
      <c r="E4157" t="s">
        <v>4124</v>
      </c>
      <c r="F4157" t="s">
        <v>4125</v>
      </c>
    </row>
    <row r="4158" spans="1:6">
      <c r="A4158" t="s">
        <v>8287</v>
      </c>
      <c r="B4158" t="s">
        <v>1700</v>
      </c>
      <c r="C4158" t="s">
        <v>56</v>
      </c>
      <c r="D4158" s="1">
        <v>45985</v>
      </c>
      <c r="E4158" t="s">
        <v>4124</v>
      </c>
      <c r="F4158" t="s">
        <v>4137</v>
      </c>
    </row>
    <row r="4159" spans="1:6">
      <c r="A4159" t="s">
        <v>8288</v>
      </c>
      <c r="B4159" t="s">
        <v>1701</v>
      </c>
      <c r="C4159" t="s">
        <v>91</v>
      </c>
      <c r="D4159" s="1">
        <v>45896</v>
      </c>
      <c r="E4159" t="s">
        <v>4127</v>
      </c>
      <c r="F4159" t="s">
        <v>4125</v>
      </c>
    </row>
    <row r="4160" spans="1:6">
      <c r="A4160" t="s">
        <v>8289</v>
      </c>
      <c r="B4160" t="s">
        <v>1701</v>
      </c>
      <c r="C4160" t="s">
        <v>91</v>
      </c>
      <c r="D4160" s="1">
        <v>45887</v>
      </c>
      <c r="E4160" t="s">
        <v>4133</v>
      </c>
      <c r="F4160" t="s">
        <v>4137</v>
      </c>
    </row>
    <row r="4161" spans="1:6">
      <c r="A4161" t="s">
        <v>8290</v>
      </c>
      <c r="B4161" t="s">
        <v>1702</v>
      </c>
      <c r="C4161" t="s">
        <v>119</v>
      </c>
      <c r="D4161" s="1">
        <v>45756</v>
      </c>
      <c r="E4161" t="s">
        <v>4133</v>
      </c>
      <c r="F4161" t="s">
        <v>4139</v>
      </c>
    </row>
    <row r="4162" spans="1:6">
      <c r="A4162" t="s">
        <v>8291</v>
      </c>
      <c r="B4162" t="s">
        <v>1702</v>
      </c>
      <c r="C4162" t="s">
        <v>119</v>
      </c>
      <c r="D4162" s="1">
        <v>45763</v>
      </c>
      <c r="E4162" t="s">
        <v>4127</v>
      </c>
      <c r="F4162" t="s">
        <v>4137</v>
      </c>
    </row>
    <row r="4163" spans="1:6">
      <c r="A4163" t="s">
        <v>8292</v>
      </c>
      <c r="B4163" t="s">
        <v>1702</v>
      </c>
      <c r="C4163" t="s">
        <v>119</v>
      </c>
      <c r="D4163" s="1">
        <v>45761</v>
      </c>
      <c r="E4163" t="s">
        <v>4124</v>
      </c>
      <c r="F4163" t="s">
        <v>4137</v>
      </c>
    </row>
    <row r="4164" spans="1:6">
      <c r="A4164" t="s">
        <v>8293</v>
      </c>
      <c r="B4164" t="s">
        <v>1702</v>
      </c>
      <c r="C4164" t="s">
        <v>119</v>
      </c>
      <c r="D4164" s="1">
        <v>45773</v>
      </c>
      <c r="E4164" t="s">
        <v>4129</v>
      </c>
      <c r="F4164" t="s">
        <v>4125</v>
      </c>
    </row>
    <row r="4165" spans="1:6">
      <c r="A4165" t="s">
        <v>8294</v>
      </c>
      <c r="B4165" t="s">
        <v>1702</v>
      </c>
      <c r="C4165" t="s">
        <v>119</v>
      </c>
      <c r="D4165" s="1">
        <v>45763</v>
      </c>
      <c r="E4165" t="s">
        <v>4127</v>
      </c>
      <c r="F4165" t="s">
        <v>4125</v>
      </c>
    </row>
    <row r="4166" spans="1:6">
      <c r="A4166" t="s">
        <v>8295</v>
      </c>
      <c r="B4166" t="s">
        <v>1703</v>
      </c>
      <c r="C4166" t="s">
        <v>78</v>
      </c>
      <c r="D4166" s="1">
        <v>45677</v>
      </c>
      <c r="E4166" t="s">
        <v>4135</v>
      </c>
      <c r="F4166" t="s">
        <v>4125</v>
      </c>
    </row>
    <row r="4167" spans="1:6">
      <c r="A4167" t="s">
        <v>8296</v>
      </c>
      <c r="B4167" t="s">
        <v>1703</v>
      </c>
      <c r="C4167" t="s">
        <v>78</v>
      </c>
      <c r="D4167" s="1">
        <v>45748</v>
      </c>
      <c r="E4167" t="s">
        <v>4124</v>
      </c>
      <c r="F4167" t="s">
        <v>4137</v>
      </c>
    </row>
    <row r="4168" spans="1:6">
      <c r="A4168" t="s">
        <v>8297</v>
      </c>
      <c r="B4168" t="s">
        <v>1704</v>
      </c>
      <c r="C4168" t="s">
        <v>63</v>
      </c>
      <c r="D4168" s="1">
        <v>45947</v>
      </c>
      <c r="E4168" t="s">
        <v>4127</v>
      </c>
      <c r="F4168" t="s">
        <v>4139</v>
      </c>
    </row>
    <row r="4169" spans="1:6">
      <c r="A4169" t="s">
        <v>8298</v>
      </c>
      <c r="B4169" t="s">
        <v>1704</v>
      </c>
      <c r="C4169" t="s">
        <v>63</v>
      </c>
      <c r="D4169" s="1">
        <v>45915</v>
      </c>
      <c r="E4169" t="s">
        <v>4127</v>
      </c>
      <c r="F4169" t="s">
        <v>4139</v>
      </c>
    </row>
    <row r="4170" spans="1:6">
      <c r="A4170" t="s">
        <v>8299</v>
      </c>
      <c r="B4170" t="s">
        <v>1704</v>
      </c>
      <c r="C4170" t="s">
        <v>63</v>
      </c>
      <c r="D4170" s="1">
        <v>45940</v>
      </c>
      <c r="E4170" t="s">
        <v>4129</v>
      </c>
      <c r="F4170" t="s">
        <v>4125</v>
      </c>
    </row>
    <row r="4171" spans="1:6">
      <c r="A4171" t="s">
        <v>8300</v>
      </c>
      <c r="B4171" t="s">
        <v>1704</v>
      </c>
      <c r="C4171" t="s">
        <v>63</v>
      </c>
      <c r="D4171" s="1">
        <v>45917</v>
      </c>
      <c r="E4171" t="s">
        <v>4133</v>
      </c>
      <c r="F4171" t="s">
        <v>4125</v>
      </c>
    </row>
    <row r="4172" spans="1:6">
      <c r="A4172" t="s">
        <v>8301</v>
      </c>
      <c r="B4172" t="s">
        <v>1705</v>
      </c>
      <c r="C4172" t="s">
        <v>40</v>
      </c>
      <c r="D4172" s="1">
        <v>45827</v>
      </c>
      <c r="E4172" t="s">
        <v>4135</v>
      </c>
      <c r="F4172" t="s">
        <v>4125</v>
      </c>
    </row>
    <row r="4173" spans="1:6">
      <c r="A4173" t="s">
        <v>8302</v>
      </c>
      <c r="B4173" t="s">
        <v>1705</v>
      </c>
      <c r="C4173" t="s">
        <v>40</v>
      </c>
      <c r="D4173" s="1">
        <v>45845</v>
      </c>
      <c r="E4173" t="s">
        <v>4133</v>
      </c>
      <c r="F4173" t="s">
        <v>4125</v>
      </c>
    </row>
    <row r="4174" spans="1:6">
      <c r="A4174" t="s">
        <v>8303</v>
      </c>
      <c r="B4174" t="s">
        <v>1705</v>
      </c>
      <c r="C4174" t="s">
        <v>40</v>
      </c>
      <c r="D4174" s="1">
        <v>45823</v>
      </c>
      <c r="E4174" t="s">
        <v>4124</v>
      </c>
      <c r="F4174" t="s">
        <v>4125</v>
      </c>
    </row>
    <row r="4175" spans="1:6">
      <c r="A4175" t="s">
        <v>8304</v>
      </c>
      <c r="B4175" t="s">
        <v>1705</v>
      </c>
      <c r="C4175" t="s">
        <v>40</v>
      </c>
      <c r="D4175" s="1">
        <v>45792</v>
      </c>
      <c r="E4175" t="s">
        <v>4133</v>
      </c>
      <c r="F4175" t="s">
        <v>4139</v>
      </c>
    </row>
    <row r="4176" spans="1:6">
      <c r="A4176" t="s">
        <v>8305</v>
      </c>
      <c r="B4176" t="s">
        <v>1706</v>
      </c>
      <c r="C4176" t="s">
        <v>152</v>
      </c>
      <c r="D4176" s="1">
        <v>45789</v>
      </c>
      <c r="E4176" t="s">
        <v>4129</v>
      </c>
      <c r="F4176" t="s">
        <v>4137</v>
      </c>
    </row>
    <row r="4177" spans="1:6">
      <c r="A4177" t="s">
        <v>8306</v>
      </c>
      <c r="B4177" t="s">
        <v>1706</v>
      </c>
      <c r="C4177" t="s">
        <v>152</v>
      </c>
      <c r="D4177" s="1">
        <v>45790</v>
      </c>
      <c r="E4177" t="s">
        <v>4135</v>
      </c>
      <c r="F4177" t="s">
        <v>4125</v>
      </c>
    </row>
    <row r="4178" spans="1:6">
      <c r="A4178" t="s">
        <v>8307</v>
      </c>
      <c r="B4178" t="s">
        <v>1708</v>
      </c>
      <c r="C4178" t="s">
        <v>40</v>
      </c>
      <c r="D4178" s="1">
        <v>45681</v>
      </c>
      <c r="E4178" t="s">
        <v>4135</v>
      </c>
      <c r="F4178" t="s">
        <v>4139</v>
      </c>
    </row>
    <row r="4179" spans="1:6">
      <c r="A4179" t="s">
        <v>8308</v>
      </c>
      <c r="B4179" t="s">
        <v>1708</v>
      </c>
      <c r="C4179" t="s">
        <v>40</v>
      </c>
      <c r="D4179" s="1">
        <v>45703</v>
      </c>
      <c r="E4179" t="s">
        <v>4135</v>
      </c>
      <c r="F4179" t="s">
        <v>4137</v>
      </c>
    </row>
    <row r="4180" spans="1:6">
      <c r="A4180" t="s">
        <v>8309</v>
      </c>
      <c r="B4180" t="s">
        <v>1708</v>
      </c>
      <c r="C4180" t="s">
        <v>40</v>
      </c>
      <c r="D4180" s="1">
        <v>45703</v>
      </c>
      <c r="E4180" t="s">
        <v>4129</v>
      </c>
      <c r="F4180" t="s">
        <v>4137</v>
      </c>
    </row>
    <row r="4181" spans="1:6">
      <c r="A4181" t="s">
        <v>8310</v>
      </c>
      <c r="B4181" t="s">
        <v>1709</v>
      </c>
      <c r="C4181" t="s">
        <v>53</v>
      </c>
      <c r="D4181" s="1">
        <v>45727</v>
      </c>
      <c r="E4181" t="s">
        <v>4127</v>
      </c>
      <c r="F4181" t="s">
        <v>4139</v>
      </c>
    </row>
    <row r="4182" spans="1:6">
      <c r="A4182" t="s">
        <v>8311</v>
      </c>
      <c r="B4182" t="s">
        <v>1709</v>
      </c>
      <c r="C4182" t="s">
        <v>53</v>
      </c>
      <c r="D4182" s="1">
        <v>45692</v>
      </c>
      <c r="E4182" t="s">
        <v>4124</v>
      </c>
      <c r="F4182" t="s">
        <v>4139</v>
      </c>
    </row>
    <row r="4183" spans="1:6">
      <c r="A4183" t="s">
        <v>8312</v>
      </c>
      <c r="B4183" t="s">
        <v>1710</v>
      </c>
      <c r="C4183" t="s">
        <v>75</v>
      </c>
      <c r="D4183" s="1">
        <v>45714</v>
      </c>
      <c r="E4183" t="s">
        <v>4124</v>
      </c>
      <c r="F4183" t="s">
        <v>4139</v>
      </c>
    </row>
    <row r="4184" spans="1:6">
      <c r="A4184" t="s">
        <v>8313</v>
      </c>
      <c r="B4184" t="s">
        <v>1710</v>
      </c>
      <c r="C4184" t="s">
        <v>75</v>
      </c>
      <c r="D4184" s="1">
        <v>45694</v>
      </c>
      <c r="E4184" t="s">
        <v>4124</v>
      </c>
      <c r="F4184" t="s">
        <v>4139</v>
      </c>
    </row>
    <row r="4185" spans="1:6">
      <c r="A4185" t="s">
        <v>8314</v>
      </c>
      <c r="B4185" t="s">
        <v>1710</v>
      </c>
      <c r="C4185" t="s">
        <v>75</v>
      </c>
      <c r="D4185" s="1">
        <v>45693</v>
      </c>
      <c r="E4185" t="s">
        <v>4127</v>
      </c>
      <c r="F4185" t="s">
        <v>4125</v>
      </c>
    </row>
    <row r="4186" spans="1:6">
      <c r="A4186" t="s">
        <v>8315</v>
      </c>
      <c r="B4186" t="s">
        <v>1711</v>
      </c>
      <c r="C4186" t="s">
        <v>16</v>
      </c>
      <c r="D4186" s="1">
        <v>45829</v>
      </c>
      <c r="E4186" t="s">
        <v>4124</v>
      </c>
      <c r="F4186" t="s">
        <v>4139</v>
      </c>
    </row>
    <row r="4187" spans="1:6">
      <c r="A4187" t="s">
        <v>8316</v>
      </c>
      <c r="B4187" t="s">
        <v>1711</v>
      </c>
      <c r="C4187" t="s">
        <v>16</v>
      </c>
      <c r="D4187" s="1">
        <v>45826</v>
      </c>
      <c r="E4187" t="s">
        <v>4129</v>
      </c>
      <c r="F4187" t="s">
        <v>4137</v>
      </c>
    </row>
    <row r="4188" spans="1:6">
      <c r="A4188" t="s">
        <v>8317</v>
      </c>
      <c r="B4188" t="s">
        <v>1711</v>
      </c>
      <c r="C4188" t="s">
        <v>16</v>
      </c>
      <c r="D4188" s="1">
        <v>45806</v>
      </c>
      <c r="E4188" t="s">
        <v>4135</v>
      </c>
      <c r="F4188" t="s">
        <v>4137</v>
      </c>
    </row>
    <row r="4189" spans="1:6">
      <c r="A4189" t="s">
        <v>8318</v>
      </c>
      <c r="B4189" t="s">
        <v>1711</v>
      </c>
      <c r="C4189" t="s">
        <v>16</v>
      </c>
      <c r="D4189" s="1">
        <v>45802</v>
      </c>
      <c r="E4189" t="s">
        <v>4133</v>
      </c>
      <c r="F4189" t="s">
        <v>4125</v>
      </c>
    </row>
    <row r="4190" spans="1:6">
      <c r="A4190" t="s">
        <v>8319</v>
      </c>
      <c r="B4190" t="s">
        <v>1712</v>
      </c>
      <c r="C4190" t="s">
        <v>59</v>
      </c>
      <c r="D4190" s="1">
        <v>45833</v>
      </c>
      <c r="E4190" t="s">
        <v>4124</v>
      </c>
      <c r="F4190" t="s">
        <v>4125</v>
      </c>
    </row>
    <row r="4191" spans="1:6">
      <c r="A4191" t="s">
        <v>8320</v>
      </c>
      <c r="B4191" t="s">
        <v>1712</v>
      </c>
      <c r="C4191" t="s">
        <v>59</v>
      </c>
      <c r="D4191" s="1">
        <v>45852</v>
      </c>
      <c r="E4191" t="s">
        <v>4135</v>
      </c>
      <c r="F4191" t="s">
        <v>4125</v>
      </c>
    </row>
    <row r="4192" spans="1:6">
      <c r="A4192" t="s">
        <v>8321</v>
      </c>
      <c r="B4192" t="s">
        <v>1712</v>
      </c>
      <c r="C4192" t="s">
        <v>59</v>
      </c>
      <c r="D4192" s="1">
        <v>45897</v>
      </c>
      <c r="E4192" t="s">
        <v>4127</v>
      </c>
      <c r="F4192" t="s">
        <v>4139</v>
      </c>
    </row>
    <row r="4193" spans="1:6">
      <c r="A4193" t="s">
        <v>8322</v>
      </c>
      <c r="B4193" t="s">
        <v>1712</v>
      </c>
      <c r="C4193" t="s">
        <v>59</v>
      </c>
      <c r="D4193" s="1">
        <v>45856</v>
      </c>
      <c r="E4193" t="s">
        <v>4127</v>
      </c>
      <c r="F4193" t="s">
        <v>4137</v>
      </c>
    </row>
    <row r="4194" spans="1:6">
      <c r="A4194" t="s">
        <v>8323</v>
      </c>
      <c r="B4194" t="s">
        <v>1713</v>
      </c>
      <c r="C4194" t="s">
        <v>27</v>
      </c>
      <c r="D4194" s="1">
        <v>45989</v>
      </c>
      <c r="E4194" t="s">
        <v>4129</v>
      </c>
      <c r="F4194" t="s">
        <v>4125</v>
      </c>
    </row>
    <row r="4195" spans="1:6">
      <c r="A4195" t="s">
        <v>8324</v>
      </c>
      <c r="B4195" t="s">
        <v>1713</v>
      </c>
      <c r="C4195" t="s">
        <v>27</v>
      </c>
      <c r="D4195" s="1">
        <v>45972</v>
      </c>
      <c r="E4195" t="s">
        <v>4133</v>
      </c>
      <c r="F4195" t="s">
        <v>4137</v>
      </c>
    </row>
    <row r="4196" spans="1:6">
      <c r="A4196" t="s">
        <v>8325</v>
      </c>
      <c r="B4196" t="s">
        <v>1713</v>
      </c>
      <c r="C4196" t="s">
        <v>27</v>
      </c>
      <c r="D4196" s="1">
        <v>46020</v>
      </c>
      <c r="E4196" t="s">
        <v>4124</v>
      </c>
      <c r="F4196" t="s">
        <v>4137</v>
      </c>
    </row>
    <row r="4197" spans="1:6">
      <c r="A4197" t="s">
        <v>8326</v>
      </c>
      <c r="B4197" t="s">
        <v>1713</v>
      </c>
      <c r="C4197" t="s">
        <v>27</v>
      </c>
      <c r="D4197" s="1">
        <v>45984</v>
      </c>
      <c r="E4197" t="s">
        <v>4129</v>
      </c>
      <c r="F4197" t="s">
        <v>4137</v>
      </c>
    </row>
    <row r="4198" spans="1:6">
      <c r="A4198" t="s">
        <v>8327</v>
      </c>
      <c r="B4198" t="s">
        <v>1714</v>
      </c>
      <c r="C4198" t="s">
        <v>78</v>
      </c>
      <c r="D4198" s="1">
        <v>45969</v>
      </c>
      <c r="E4198" t="s">
        <v>4127</v>
      </c>
      <c r="F4198" t="s">
        <v>4139</v>
      </c>
    </row>
    <row r="4199" spans="1:6">
      <c r="A4199" t="s">
        <v>8328</v>
      </c>
      <c r="B4199" t="s">
        <v>1714</v>
      </c>
      <c r="C4199" t="s">
        <v>78</v>
      </c>
      <c r="D4199" s="1">
        <v>46003</v>
      </c>
      <c r="E4199" t="s">
        <v>4135</v>
      </c>
      <c r="F4199" t="s">
        <v>4139</v>
      </c>
    </row>
    <row r="4200" spans="1:6">
      <c r="A4200" t="s">
        <v>8329</v>
      </c>
      <c r="B4200" t="s">
        <v>1715</v>
      </c>
      <c r="C4200" t="s">
        <v>91</v>
      </c>
      <c r="D4200" s="1">
        <v>45822</v>
      </c>
      <c r="E4200" t="s">
        <v>4129</v>
      </c>
      <c r="F4200" t="s">
        <v>4139</v>
      </c>
    </row>
    <row r="4201" spans="1:6">
      <c r="A4201" t="s">
        <v>8330</v>
      </c>
      <c r="B4201" t="s">
        <v>1715</v>
      </c>
      <c r="C4201" t="s">
        <v>91</v>
      </c>
      <c r="D4201" s="1">
        <v>45830</v>
      </c>
      <c r="E4201" t="s">
        <v>4129</v>
      </c>
      <c r="F4201" t="s">
        <v>4137</v>
      </c>
    </row>
    <row r="4202" spans="1:6">
      <c r="A4202" t="s">
        <v>8331</v>
      </c>
      <c r="B4202" t="s">
        <v>1715</v>
      </c>
      <c r="C4202" t="s">
        <v>91</v>
      </c>
      <c r="D4202" s="1">
        <v>45842</v>
      </c>
      <c r="E4202" t="s">
        <v>4135</v>
      </c>
      <c r="F4202" t="s">
        <v>4125</v>
      </c>
    </row>
    <row r="4203" spans="1:6">
      <c r="A4203" t="s">
        <v>8332</v>
      </c>
      <c r="B4203" t="s">
        <v>1717</v>
      </c>
      <c r="C4203" t="s">
        <v>75</v>
      </c>
      <c r="D4203" s="1">
        <v>45989</v>
      </c>
      <c r="E4203" t="s">
        <v>4129</v>
      </c>
      <c r="F4203" t="s">
        <v>4139</v>
      </c>
    </row>
    <row r="4204" spans="1:6">
      <c r="A4204" t="s">
        <v>8333</v>
      </c>
      <c r="B4204" t="s">
        <v>1717</v>
      </c>
      <c r="C4204" t="s">
        <v>75</v>
      </c>
      <c r="D4204" s="1">
        <v>45940</v>
      </c>
      <c r="E4204" t="s">
        <v>4124</v>
      </c>
      <c r="F4204" t="s">
        <v>4137</v>
      </c>
    </row>
    <row r="4205" spans="1:6">
      <c r="A4205" t="s">
        <v>8334</v>
      </c>
      <c r="B4205" t="s">
        <v>1717</v>
      </c>
      <c r="C4205" t="s">
        <v>75</v>
      </c>
      <c r="D4205" s="1">
        <v>45941</v>
      </c>
      <c r="E4205" t="s">
        <v>4129</v>
      </c>
      <c r="F4205" t="s">
        <v>4125</v>
      </c>
    </row>
    <row r="4206" spans="1:6">
      <c r="A4206" t="s">
        <v>8335</v>
      </c>
      <c r="B4206" t="s">
        <v>1717</v>
      </c>
      <c r="C4206" t="s">
        <v>75</v>
      </c>
      <c r="D4206" s="1">
        <v>45964</v>
      </c>
      <c r="E4206" t="s">
        <v>4133</v>
      </c>
      <c r="F4206" t="s">
        <v>4137</v>
      </c>
    </row>
    <row r="4207" spans="1:6">
      <c r="A4207" t="s">
        <v>8336</v>
      </c>
      <c r="B4207" t="s">
        <v>1717</v>
      </c>
      <c r="C4207" t="s">
        <v>75</v>
      </c>
      <c r="D4207" s="1">
        <v>45957</v>
      </c>
      <c r="E4207" t="s">
        <v>4124</v>
      </c>
      <c r="F4207" t="s">
        <v>4125</v>
      </c>
    </row>
    <row r="4208" spans="1:6">
      <c r="A4208" t="s">
        <v>8337</v>
      </c>
      <c r="B4208" t="s">
        <v>1718</v>
      </c>
      <c r="C4208" t="s">
        <v>126</v>
      </c>
      <c r="D4208" s="1">
        <v>45817</v>
      </c>
      <c r="E4208" t="s">
        <v>4124</v>
      </c>
      <c r="F4208" t="s">
        <v>4137</v>
      </c>
    </row>
    <row r="4209" spans="1:6">
      <c r="A4209" t="s">
        <v>8338</v>
      </c>
      <c r="B4209" t="s">
        <v>1718</v>
      </c>
      <c r="C4209" t="s">
        <v>126</v>
      </c>
      <c r="D4209" s="1">
        <v>45795</v>
      </c>
      <c r="E4209" t="s">
        <v>4133</v>
      </c>
      <c r="F4209" t="s">
        <v>4125</v>
      </c>
    </row>
    <row r="4210" spans="1:6">
      <c r="A4210" t="s">
        <v>8339</v>
      </c>
      <c r="B4210" t="s">
        <v>1718</v>
      </c>
      <c r="C4210" t="s">
        <v>126</v>
      </c>
      <c r="D4210" s="1">
        <v>45837</v>
      </c>
      <c r="E4210" t="s">
        <v>4129</v>
      </c>
      <c r="F4210" t="s">
        <v>4139</v>
      </c>
    </row>
    <row r="4211" spans="1:6">
      <c r="A4211" t="s">
        <v>8340</v>
      </c>
      <c r="B4211" t="s">
        <v>1719</v>
      </c>
      <c r="C4211" t="s">
        <v>36</v>
      </c>
      <c r="D4211" s="1">
        <v>45684</v>
      </c>
      <c r="E4211" t="s">
        <v>4133</v>
      </c>
      <c r="F4211" t="s">
        <v>4125</v>
      </c>
    </row>
    <row r="4212" spans="1:6">
      <c r="A4212" t="s">
        <v>8341</v>
      </c>
      <c r="B4212" t="s">
        <v>1719</v>
      </c>
      <c r="C4212" t="s">
        <v>36</v>
      </c>
      <c r="D4212" s="1">
        <v>45757</v>
      </c>
      <c r="E4212" t="s">
        <v>4133</v>
      </c>
      <c r="F4212" t="s">
        <v>4125</v>
      </c>
    </row>
    <row r="4213" spans="1:6">
      <c r="A4213" t="s">
        <v>8342</v>
      </c>
      <c r="B4213" t="s">
        <v>1719</v>
      </c>
      <c r="C4213" t="s">
        <v>36</v>
      </c>
      <c r="D4213" s="1">
        <v>45759</v>
      </c>
      <c r="E4213" t="s">
        <v>4127</v>
      </c>
      <c r="F4213" t="s">
        <v>4139</v>
      </c>
    </row>
    <row r="4214" spans="1:6">
      <c r="A4214" t="s">
        <v>8343</v>
      </c>
      <c r="B4214" t="s">
        <v>1720</v>
      </c>
      <c r="C4214" t="s">
        <v>126</v>
      </c>
      <c r="D4214" s="1">
        <v>46016</v>
      </c>
      <c r="E4214" t="s">
        <v>4129</v>
      </c>
      <c r="F4214" t="s">
        <v>4137</v>
      </c>
    </row>
    <row r="4215" spans="1:6">
      <c r="A4215" t="s">
        <v>8344</v>
      </c>
      <c r="B4215" t="s">
        <v>1720</v>
      </c>
      <c r="C4215" t="s">
        <v>126</v>
      </c>
      <c r="D4215" s="1">
        <v>46016</v>
      </c>
      <c r="E4215" t="s">
        <v>4129</v>
      </c>
      <c r="F4215" t="s">
        <v>4139</v>
      </c>
    </row>
    <row r="4216" spans="1:6">
      <c r="A4216" t="s">
        <v>8345</v>
      </c>
      <c r="B4216" t="s">
        <v>1721</v>
      </c>
      <c r="C4216" t="s">
        <v>36</v>
      </c>
      <c r="D4216" s="1">
        <v>45790</v>
      </c>
      <c r="E4216" t="s">
        <v>4124</v>
      </c>
      <c r="F4216" t="s">
        <v>4125</v>
      </c>
    </row>
    <row r="4217" spans="1:6">
      <c r="A4217" t="s">
        <v>8346</v>
      </c>
      <c r="B4217" t="s">
        <v>1721</v>
      </c>
      <c r="C4217" t="s">
        <v>36</v>
      </c>
      <c r="D4217" s="1">
        <v>45802</v>
      </c>
      <c r="E4217" t="s">
        <v>4135</v>
      </c>
      <c r="F4217" t="s">
        <v>4139</v>
      </c>
    </row>
    <row r="4218" spans="1:6">
      <c r="A4218" t="s">
        <v>8347</v>
      </c>
      <c r="B4218" t="s">
        <v>1722</v>
      </c>
      <c r="C4218" t="s">
        <v>78</v>
      </c>
      <c r="D4218" s="1">
        <v>45969</v>
      </c>
      <c r="E4218" t="s">
        <v>4127</v>
      </c>
      <c r="F4218" t="s">
        <v>4137</v>
      </c>
    </row>
    <row r="4219" spans="1:6">
      <c r="A4219" t="s">
        <v>8348</v>
      </c>
      <c r="B4219" t="s">
        <v>1722</v>
      </c>
      <c r="C4219" t="s">
        <v>78</v>
      </c>
      <c r="D4219" s="1">
        <v>45965</v>
      </c>
      <c r="E4219" t="s">
        <v>4129</v>
      </c>
      <c r="F4219" t="s">
        <v>4125</v>
      </c>
    </row>
    <row r="4220" spans="1:6">
      <c r="A4220" t="s">
        <v>8349</v>
      </c>
      <c r="B4220" t="s">
        <v>1722</v>
      </c>
      <c r="C4220" t="s">
        <v>78</v>
      </c>
      <c r="D4220" s="1">
        <v>45967</v>
      </c>
      <c r="E4220" t="s">
        <v>4135</v>
      </c>
      <c r="F4220" t="s">
        <v>4139</v>
      </c>
    </row>
    <row r="4221" spans="1:6">
      <c r="A4221" t="s">
        <v>8350</v>
      </c>
      <c r="B4221" t="s">
        <v>1722</v>
      </c>
      <c r="C4221" t="s">
        <v>78</v>
      </c>
      <c r="D4221" s="1">
        <v>45972</v>
      </c>
      <c r="E4221" t="s">
        <v>4133</v>
      </c>
      <c r="F4221" t="s">
        <v>4137</v>
      </c>
    </row>
    <row r="4222" spans="1:6">
      <c r="A4222" t="s">
        <v>8351</v>
      </c>
      <c r="B4222" t="s">
        <v>1723</v>
      </c>
      <c r="C4222" t="s">
        <v>27</v>
      </c>
      <c r="D4222" s="1">
        <v>46000</v>
      </c>
      <c r="E4222" t="s">
        <v>4135</v>
      </c>
      <c r="F4222" t="s">
        <v>4137</v>
      </c>
    </row>
    <row r="4223" spans="1:6">
      <c r="A4223" t="s">
        <v>8352</v>
      </c>
      <c r="B4223" t="s">
        <v>1723</v>
      </c>
      <c r="C4223" t="s">
        <v>27</v>
      </c>
      <c r="D4223" s="1">
        <v>45985</v>
      </c>
      <c r="E4223" t="s">
        <v>4135</v>
      </c>
      <c r="F4223" t="s">
        <v>4137</v>
      </c>
    </row>
    <row r="4224" spans="1:6">
      <c r="A4224" t="s">
        <v>8353</v>
      </c>
      <c r="B4224" t="s">
        <v>1723</v>
      </c>
      <c r="C4224" t="s">
        <v>27</v>
      </c>
      <c r="D4224" s="1">
        <v>46010</v>
      </c>
      <c r="E4224" t="s">
        <v>4124</v>
      </c>
      <c r="F4224" t="s">
        <v>4139</v>
      </c>
    </row>
    <row r="4225" spans="1:6">
      <c r="A4225" t="s">
        <v>8354</v>
      </c>
      <c r="B4225" t="s">
        <v>1723</v>
      </c>
      <c r="C4225" t="s">
        <v>27</v>
      </c>
      <c r="D4225" s="1">
        <v>45997</v>
      </c>
      <c r="E4225" t="s">
        <v>4135</v>
      </c>
      <c r="F4225" t="s">
        <v>4139</v>
      </c>
    </row>
    <row r="4226" spans="1:6">
      <c r="A4226" t="s">
        <v>8355</v>
      </c>
      <c r="B4226" t="s">
        <v>1723</v>
      </c>
      <c r="C4226" t="s">
        <v>27</v>
      </c>
      <c r="D4226" s="1">
        <v>45982</v>
      </c>
      <c r="E4226" t="s">
        <v>4124</v>
      </c>
      <c r="F4226" t="s">
        <v>4139</v>
      </c>
    </row>
    <row r="4227" spans="1:6">
      <c r="A4227" t="s">
        <v>8356</v>
      </c>
      <c r="B4227" t="s">
        <v>1724</v>
      </c>
      <c r="C4227" t="s">
        <v>16</v>
      </c>
      <c r="D4227" s="1">
        <v>45715</v>
      </c>
      <c r="E4227" t="s">
        <v>4129</v>
      </c>
      <c r="F4227" t="s">
        <v>4137</v>
      </c>
    </row>
    <row r="4228" spans="1:6">
      <c r="A4228" t="s">
        <v>8357</v>
      </c>
      <c r="B4228" t="s">
        <v>1724</v>
      </c>
      <c r="C4228" t="s">
        <v>16</v>
      </c>
      <c r="D4228" s="1">
        <v>45672</v>
      </c>
      <c r="E4228" t="s">
        <v>4127</v>
      </c>
      <c r="F4228" t="s">
        <v>4139</v>
      </c>
    </row>
    <row r="4229" spans="1:6">
      <c r="A4229" t="s">
        <v>8358</v>
      </c>
      <c r="B4229" t="s">
        <v>1724</v>
      </c>
      <c r="C4229" t="s">
        <v>16</v>
      </c>
      <c r="D4229" s="1">
        <v>45716</v>
      </c>
      <c r="E4229" t="s">
        <v>4135</v>
      </c>
      <c r="F4229" t="s">
        <v>4139</v>
      </c>
    </row>
    <row r="4230" spans="1:6">
      <c r="A4230" t="s">
        <v>8359</v>
      </c>
      <c r="B4230" t="s">
        <v>1725</v>
      </c>
      <c r="C4230" t="s">
        <v>168</v>
      </c>
      <c r="D4230" s="1">
        <v>45897</v>
      </c>
      <c r="E4230" t="s">
        <v>4133</v>
      </c>
      <c r="F4230" t="s">
        <v>4125</v>
      </c>
    </row>
    <row r="4231" spans="1:6">
      <c r="A4231" t="s">
        <v>8360</v>
      </c>
      <c r="B4231" t="s">
        <v>1725</v>
      </c>
      <c r="C4231" t="s">
        <v>168</v>
      </c>
      <c r="D4231" s="1">
        <v>45914</v>
      </c>
      <c r="E4231" t="s">
        <v>4129</v>
      </c>
      <c r="F4231" t="s">
        <v>4139</v>
      </c>
    </row>
    <row r="4232" spans="1:6">
      <c r="A4232" t="s">
        <v>8361</v>
      </c>
      <c r="B4232" t="s">
        <v>1725</v>
      </c>
      <c r="C4232" t="s">
        <v>168</v>
      </c>
      <c r="D4232" s="1">
        <v>45880</v>
      </c>
      <c r="E4232" t="s">
        <v>4135</v>
      </c>
      <c r="F4232" t="s">
        <v>4125</v>
      </c>
    </row>
    <row r="4233" spans="1:6">
      <c r="A4233" t="s">
        <v>8362</v>
      </c>
      <c r="B4233" t="s">
        <v>1725</v>
      </c>
      <c r="C4233" t="s">
        <v>168</v>
      </c>
      <c r="D4233" s="1">
        <v>45882</v>
      </c>
      <c r="E4233" t="s">
        <v>4129</v>
      </c>
      <c r="F4233" t="s">
        <v>4139</v>
      </c>
    </row>
    <row r="4234" spans="1:6">
      <c r="A4234" t="s">
        <v>8363</v>
      </c>
      <c r="B4234" t="s">
        <v>1725</v>
      </c>
      <c r="C4234" t="s">
        <v>168</v>
      </c>
      <c r="D4234" s="1">
        <v>45890</v>
      </c>
      <c r="E4234" t="s">
        <v>4133</v>
      </c>
      <c r="F4234" t="s">
        <v>4125</v>
      </c>
    </row>
    <row r="4235" spans="1:6">
      <c r="A4235" t="s">
        <v>8364</v>
      </c>
      <c r="B4235" t="s">
        <v>1726</v>
      </c>
      <c r="C4235" t="s">
        <v>70</v>
      </c>
      <c r="D4235" s="1">
        <v>45738</v>
      </c>
      <c r="E4235" t="s">
        <v>4127</v>
      </c>
      <c r="F4235" t="s">
        <v>4125</v>
      </c>
    </row>
    <row r="4236" spans="1:6">
      <c r="A4236" t="s">
        <v>8365</v>
      </c>
      <c r="B4236" t="s">
        <v>1726</v>
      </c>
      <c r="C4236" t="s">
        <v>70</v>
      </c>
      <c r="D4236" s="1">
        <v>45738</v>
      </c>
      <c r="E4236" t="s">
        <v>4129</v>
      </c>
      <c r="F4236" t="s">
        <v>4137</v>
      </c>
    </row>
    <row r="4237" spans="1:6">
      <c r="A4237" t="s">
        <v>8366</v>
      </c>
      <c r="B4237" t="s">
        <v>1726</v>
      </c>
      <c r="C4237" t="s">
        <v>70</v>
      </c>
      <c r="D4237" s="1">
        <v>45734</v>
      </c>
      <c r="E4237" t="s">
        <v>4133</v>
      </c>
      <c r="F4237" t="s">
        <v>4125</v>
      </c>
    </row>
    <row r="4238" spans="1:6">
      <c r="A4238" t="s">
        <v>8367</v>
      </c>
      <c r="B4238" t="s">
        <v>1727</v>
      </c>
      <c r="C4238" t="s">
        <v>22</v>
      </c>
      <c r="D4238" s="1">
        <v>45723</v>
      </c>
      <c r="E4238" t="s">
        <v>4124</v>
      </c>
      <c r="F4238" t="s">
        <v>4137</v>
      </c>
    </row>
    <row r="4239" spans="1:6">
      <c r="A4239" t="s">
        <v>8368</v>
      </c>
      <c r="B4239" t="s">
        <v>1727</v>
      </c>
      <c r="C4239" t="s">
        <v>22</v>
      </c>
      <c r="D4239" s="1">
        <v>45720</v>
      </c>
      <c r="E4239" t="s">
        <v>4127</v>
      </c>
      <c r="F4239" t="s">
        <v>4137</v>
      </c>
    </row>
    <row r="4240" spans="1:6">
      <c r="A4240" t="s">
        <v>8369</v>
      </c>
      <c r="B4240" t="s">
        <v>1727</v>
      </c>
      <c r="C4240" t="s">
        <v>22</v>
      </c>
      <c r="D4240" s="1">
        <v>45754</v>
      </c>
      <c r="E4240" t="s">
        <v>4135</v>
      </c>
      <c r="F4240" t="s">
        <v>4139</v>
      </c>
    </row>
    <row r="4241" spans="1:6">
      <c r="A4241" t="s">
        <v>8370</v>
      </c>
      <c r="B4241" t="s">
        <v>1727</v>
      </c>
      <c r="C4241" t="s">
        <v>22</v>
      </c>
      <c r="D4241" s="1">
        <v>45719</v>
      </c>
      <c r="E4241" t="s">
        <v>4127</v>
      </c>
      <c r="F4241" t="s">
        <v>4125</v>
      </c>
    </row>
    <row r="4242" spans="1:6">
      <c r="A4242" t="s">
        <v>8371</v>
      </c>
      <c r="B4242" t="s">
        <v>1727</v>
      </c>
      <c r="C4242" t="s">
        <v>22</v>
      </c>
      <c r="D4242" s="1">
        <v>45750</v>
      </c>
      <c r="E4242" t="s">
        <v>4129</v>
      </c>
      <c r="F4242" t="s">
        <v>4137</v>
      </c>
    </row>
    <row r="4243" spans="1:6">
      <c r="A4243" t="s">
        <v>8372</v>
      </c>
      <c r="B4243" t="s">
        <v>1728</v>
      </c>
      <c r="C4243" t="s">
        <v>152</v>
      </c>
      <c r="D4243" s="1">
        <v>45784</v>
      </c>
      <c r="E4243" t="s">
        <v>4127</v>
      </c>
      <c r="F4243" t="s">
        <v>4125</v>
      </c>
    </row>
    <row r="4244" spans="1:6">
      <c r="A4244" t="s">
        <v>8373</v>
      </c>
      <c r="B4244" t="s">
        <v>1728</v>
      </c>
      <c r="C4244" t="s">
        <v>152</v>
      </c>
      <c r="D4244" s="1">
        <v>45779</v>
      </c>
      <c r="E4244" t="s">
        <v>4127</v>
      </c>
      <c r="F4244" t="s">
        <v>4137</v>
      </c>
    </row>
    <row r="4245" spans="1:6">
      <c r="A4245" t="s">
        <v>8374</v>
      </c>
      <c r="B4245" t="s">
        <v>1728</v>
      </c>
      <c r="C4245" t="s">
        <v>152</v>
      </c>
      <c r="D4245" s="1">
        <v>45783</v>
      </c>
      <c r="E4245" t="s">
        <v>4124</v>
      </c>
      <c r="F4245" t="s">
        <v>4137</v>
      </c>
    </row>
    <row r="4246" spans="1:6">
      <c r="A4246" t="s">
        <v>8375</v>
      </c>
      <c r="B4246" t="s">
        <v>1728</v>
      </c>
      <c r="C4246" t="s">
        <v>152</v>
      </c>
      <c r="D4246" s="1">
        <v>45778</v>
      </c>
      <c r="E4246" t="s">
        <v>4135</v>
      </c>
      <c r="F4246" t="s">
        <v>4125</v>
      </c>
    </row>
    <row r="4247" spans="1:6">
      <c r="A4247" t="s">
        <v>8376</v>
      </c>
      <c r="B4247" t="s">
        <v>1728</v>
      </c>
      <c r="C4247" t="s">
        <v>152</v>
      </c>
      <c r="D4247" s="1">
        <v>45794</v>
      </c>
      <c r="E4247" t="s">
        <v>4127</v>
      </c>
      <c r="F4247" t="s">
        <v>4139</v>
      </c>
    </row>
    <row r="4248" spans="1:6">
      <c r="A4248" t="s">
        <v>8377</v>
      </c>
      <c r="B4248" t="s">
        <v>1729</v>
      </c>
      <c r="C4248" t="s">
        <v>56</v>
      </c>
      <c r="D4248" s="1">
        <v>45917</v>
      </c>
      <c r="E4248" t="s">
        <v>4124</v>
      </c>
      <c r="F4248" t="s">
        <v>4139</v>
      </c>
    </row>
    <row r="4249" spans="1:6">
      <c r="A4249" t="s">
        <v>8378</v>
      </c>
      <c r="B4249" t="s">
        <v>1729</v>
      </c>
      <c r="C4249" t="s">
        <v>56</v>
      </c>
      <c r="D4249" s="1">
        <v>45930</v>
      </c>
      <c r="E4249" t="s">
        <v>4129</v>
      </c>
      <c r="F4249" t="s">
        <v>4137</v>
      </c>
    </row>
    <row r="4250" spans="1:6">
      <c r="A4250" t="s">
        <v>8379</v>
      </c>
      <c r="B4250" t="s">
        <v>1729</v>
      </c>
      <c r="C4250" t="s">
        <v>56</v>
      </c>
      <c r="D4250" s="1">
        <v>45912</v>
      </c>
      <c r="E4250" t="s">
        <v>4124</v>
      </c>
      <c r="F4250" t="s">
        <v>4139</v>
      </c>
    </row>
    <row r="4251" spans="1:6">
      <c r="A4251" t="s">
        <v>8380</v>
      </c>
      <c r="B4251" t="s">
        <v>1729</v>
      </c>
      <c r="C4251" t="s">
        <v>56</v>
      </c>
      <c r="D4251" s="1">
        <v>45929</v>
      </c>
      <c r="E4251" t="s">
        <v>4124</v>
      </c>
      <c r="F4251" t="s">
        <v>4125</v>
      </c>
    </row>
    <row r="4252" spans="1:6">
      <c r="A4252" t="s">
        <v>8381</v>
      </c>
      <c r="B4252" t="s">
        <v>1729</v>
      </c>
      <c r="C4252" t="s">
        <v>56</v>
      </c>
      <c r="D4252" s="1">
        <v>45920</v>
      </c>
      <c r="E4252" t="s">
        <v>4124</v>
      </c>
      <c r="F4252" t="s">
        <v>4137</v>
      </c>
    </row>
    <row r="4253" spans="1:6">
      <c r="A4253" t="s">
        <v>8382</v>
      </c>
      <c r="B4253" t="s">
        <v>1730</v>
      </c>
      <c r="C4253" t="s">
        <v>126</v>
      </c>
      <c r="D4253" s="1">
        <v>45840</v>
      </c>
      <c r="E4253" t="s">
        <v>4127</v>
      </c>
      <c r="F4253" t="s">
        <v>4139</v>
      </c>
    </row>
    <row r="4254" spans="1:6">
      <c r="A4254" t="s">
        <v>8383</v>
      </c>
      <c r="B4254" t="s">
        <v>1730</v>
      </c>
      <c r="C4254" t="s">
        <v>126</v>
      </c>
      <c r="D4254" s="1">
        <v>45838</v>
      </c>
      <c r="E4254" t="s">
        <v>4133</v>
      </c>
      <c r="F4254" t="s">
        <v>4137</v>
      </c>
    </row>
    <row r="4255" spans="1:6">
      <c r="A4255" t="s">
        <v>8384</v>
      </c>
      <c r="B4255" t="s">
        <v>1731</v>
      </c>
      <c r="C4255" t="s">
        <v>46</v>
      </c>
      <c r="D4255" s="1">
        <v>45892</v>
      </c>
      <c r="E4255" t="s">
        <v>4133</v>
      </c>
      <c r="F4255" t="s">
        <v>4137</v>
      </c>
    </row>
    <row r="4256" spans="1:6">
      <c r="A4256" t="s">
        <v>8385</v>
      </c>
      <c r="B4256" t="s">
        <v>1731</v>
      </c>
      <c r="C4256" t="s">
        <v>46</v>
      </c>
      <c r="D4256" s="1">
        <v>45878</v>
      </c>
      <c r="E4256" t="s">
        <v>4135</v>
      </c>
      <c r="F4256" t="s">
        <v>4137</v>
      </c>
    </row>
    <row r="4257" spans="1:6">
      <c r="A4257" t="s">
        <v>8386</v>
      </c>
      <c r="B4257" t="s">
        <v>1731</v>
      </c>
      <c r="C4257" t="s">
        <v>46</v>
      </c>
      <c r="D4257" s="1">
        <v>45883</v>
      </c>
      <c r="E4257" t="s">
        <v>4133</v>
      </c>
      <c r="F4257" t="s">
        <v>4139</v>
      </c>
    </row>
    <row r="4258" spans="1:6">
      <c r="A4258" t="s">
        <v>8387</v>
      </c>
      <c r="B4258" t="s">
        <v>1731</v>
      </c>
      <c r="C4258" t="s">
        <v>46</v>
      </c>
      <c r="D4258" s="1">
        <v>45881</v>
      </c>
      <c r="E4258" t="s">
        <v>4129</v>
      </c>
      <c r="F4258" t="s">
        <v>4137</v>
      </c>
    </row>
    <row r="4259" spans="1:6">
      <c r="A4259" t="s">
        <v>8388</v>
      </c>
      <c r="B4259" t="s">
        <v>1731</v>
      </c>
      <c r="C4259" t="s">
        <v>46</v>
      </c>
      <c r="D4259" s="1">
        <v>45883</v>
      </c>
      <c r="E4259" t="s">
        <v>4124</v>
      </c>
      <c r="F4259" t="s">
        <v>4125</v>
      </c>
    </row>
    <row r="4260" spans="1:6">
      <c r="A4260" t="s">
        <v>8389</v>
      </c>
      <c r="B4260" t="s">
        <v>1732</v>
      </c>
      <c r="C4260" t="s">
        <v>36</v>
      </c>
      <c r="D4260" s="1">
        <v>45813</v>
      </c>
      <c r="E4260" t="s">
        <v>4124</v>
      </c>
      <c r="F4260" t="s">
        <v>4139</v>
      </c>
    </row>
    <row r="4261" spans="1:6">
      <c r="A4261" t="s">
        <v>8390</v>
      </c>
      <c r="B4261" t="s">
        <v>1732</v>
      </c>
      <c r="C4261" t="s">
        <v>36</v>
      </c>
      <c r="D4261" s="1">
        <v>45829</v>
      </c>
      <c r="E4261" t="s">
        <v>4133</v>
      </c>
      <c r="F4261" t="s">
        <v>4125</v>
      </c>
    </row>
    <row r="4262" spans="1:6">
      <c r="A4262" t="s">
        <v>8391</v>
      </c>
      <c r="B4262" t="s">
        <v>1733</v>
      </c>
      <c r="C4262" t="s">
        <v>50</v>
      </c>
      <c r="D4262" s="1">
        <v>45954</v>
      </c>
      <c r="E4262" t="s">
        <v>4133</v>
      </c>
      <c r="F4262" t="s">
        <v>4125</v>
      </c>
    </row>
    <row r="4263" spans="1:6">
      <c r="A4263" t="s">
        <v>8392</v>
      </c>
      <c r="B4263" t="s">
        <v>1733</v>
      </c>
      <c r="C4263" t="s">
        <v>50</v>
      </c>
      <c r="D4263" s="1">
        <v>45945</v>
      </c>
      <c r="E4263" t="s">
        <v>4135</v>
      </c>
      <c r="F4263" t="s">
        <v>4137</v>
      </c>
    </row>
    <row r="4264" spans="1:6">
      <c r="A4264" t="s">
        <v>8393</v>
      </c>
      <c r="B4264" t="s">
        <v>1733</v>
      </c>
      <c r="C4264" t="s">
        <v>50</v>
      </c>
      <c r="D4264" s="1">
        <v>45975</v>
      </c>
      <c r="E4264" t="s">
        <v>4129</v>
      </c>
      <c r="F4264" t="s">
        <v>4137</v>
      </c>
    </row>
    <row r="4265" spans="1:6">
      <c r="A4265" t="s">
        <v>8394</v>
      </c>
      <c r="B4265" t="s">
        <v>1733</v>
      </c>
      <c r="C4265" t="s">
        <v>50</v>
      </c>
      <c r="D4265" s="1">
        <v>45946</v>
      </c>
      <c r="E4265" t="s">
        <v>4129</v>
      </c>
      <c r="F4265" t="s">
        <v>4137</v>
      </c>
    </row>
    <row r="4266" spans="1:6">
      <c r="A4266" t="s">
        <v>8395</v>
      </c>
      <c r="B4266" t="s">
        <v>1734</v>
      </c>
      <c r="C4266" t="s">
        <v>53</v>
      </c>
      <c r="D4266" s="1">
        <v>45857</v>
      </c>
      <c r="E4266" t="s">
        <v>4127</v>
      </c>
      <c r="F4266" t="s">
        <v>4139</v>
      </c>
    </row>
    <row r="4267" spans="1:6">
      <c r="A4267" t="s">
        <v>8396</v>
      </c>
      <c r="B4267" t="s">
        <v>1734</v>
      </c>
      <c r="C4267" t="s">
        <v>53</v>
      </c>
      <c r="D4267" s="1">
        <v>45862</v>
      </c>
      <c r="E4267" t="s">
        <v>4133</v>
      </c>
      <c r="F4267" t="s">
        <v>4125</v>
      </c>
    </row>
    <row r="4268" spans="1:6">
      <c r="A4268" t="s">
        <v>8397</v>
      </c>
      <c r="B4268" t="s">
        <v>1735</v>
      </c>
      <c r="C4268" t="s">
        <v>168</v>
      </c>
      <c r="D4268" s="1">
        <v>45753</v>
      </c>
      <c r="E4268" t="s">
        <v>4135</v>
      </c>
      <c r="F4268" t="s">
        <v>4125</v>
      </c>
    </row>
    <row r="4269" spans="1:6">
      <c r="A4269" t="s">
        <v>8398</v>
      </c>
      <c r="B4269" t="s">
        <v>1735</v>
      </c>
      <c r="C4269" t="s">
        <v>168</v>
      </c>
      <c r="D4269" s="1">
        <v>45786</v>
      </c>
      <c r="E4269" t="s">
        <v>4129</v>
      </c>
      <c r="F4269" t="s">
        <v>4125</v>
      </c>
    </row>
    <row r="4270" spans="1:6">
      <c r="A4270" t="s">
        <v>8399</v>
      </c>
      <c r="B4270" t="s">
        <v>1735</v>
      </c>
      <c r="C4270" t="s">
        <v>168</v>
      </c>
      <c r="D4270" s="1">
        <v>45771</v>
      </c>
      <c r="E4270" t="s">
        <v>4135</v>
      </c>
      <c r="F4270" t="s">
        <v>4125</v>
      </c>
    </row>
    <row r="4271" spans="1:6">
      <c r="A4271" t="s">
        <v>8400</v>
      </c>
      <c r="B4271" t="s">
        <v>1736</v>
      </c>
      <c r="C4271" t="s">
        <v>50</v>
      </c>
      <c r="D4271" s="1">
        <v>45868</v>
      </c>
      <c r="E4271" t="s">
        <v>4135</v>
      </c>
      <c r="F4271" t="s">
        <v>4137</v>
      </c>
    </row>
    <row r="4272" spans="1:6">
      <c r="A4272" t="s">
        <v>8401</v>
      </c>
      <c r="B4272" t="s">
        <v>1736</v>
      </c>
      <c r="C4272" t="s">
        <v>50</v>
      </c>
      <c r="D4272" s="1">
        <v>45877</v>
      </c>
      <c r="E4272" t="s">
        <v>4124</v>
      </c>
      <c r="F4272" t="s">
        <v>4137</v>
      </c>
    </row>
    <row r="4273" spans="1:6">
      <c r="A4273" t="s">
        <v>8402</v>
      </c>
      <c r="B4273" t="s">
        <v>1736</v>
      </c>
      <c r="C4273" t="s">
        <v>50</v>
      </c>
      <c r="D4273" s="1">
        <v>45874</v>
      </c>
      <c r="E4273" t="s">
        <v>4129</v>
      </c>
      <c r="F4273" t="s">
        <v>4125</v>
      </c>
    </row>
    <row r="4274" spans="1:6">
      <c r="A4274" t="s">
        <v>8403</v>
      </c>
      <c r="B4274" t="s">
        <v>1736</v>
      </c>
      <c r="C4274" t="s">
        <v>50</v>
      </c>
      <c r="D4274" s="1">
        <v>45867</v>
      </c>
      <c r="E4274" t="s">
        <v>4127</v>
      </c>
      <c r="F4274" t="s">
        <v>4139</v>
      </c>
    </row>
    <row r="4275" spans="1:6">
      <c r="A4275" t="s">
        <v>8404</v>
      </c>
      <c r="B4275" t="s">
        <v>1737</v>
      </c>
      <c r="C4275" t="s">
        <v>168</v>
      </c>
      <c r="D4275" s="1">
        <v>45977</v>
      </c>
      <c r="E4275" t="s">
        <v>4135</v>
      </c>
      <c r="F4275" t="s">
        <v>4139</v>
      </c>
    </row>
    <row r="4276" spans="1:6">
      <c r="A4276" t="s">
        <v>8405</v>
      </c>
      <c r="B4276" t="s">
        <v>1737</v>
      </c>
      <c r="C4276" t="s">
        <v>168</v>
      </c>
      <c r="D4276" s="1">
        <v>45997</v>
      </c>
      <c r="E4276" t="s">
        <v>4135</v>
      </c>
      <c r="F4276" t="s">
        <v>4139</v>
      </c>
    </row>
    <row r="4277" spans="1:6">
      <c r="A4277" t="s">
        <v>8406</v>
      </c>
      <c r="B4277" t="s">
        <v>1737</v>
      </c>
      <c r="C4277" t="s">
        <v>168</v>
      </c>
      <c r="D4277" s="1">
        <v>45994</v>
      </c>
      <c r="E4277" t="s">
        <v>4133</v>
      </c>
      <c r="F4277" t="s">
        <v>4137</v>
      </c>
    </row>
    <row r="4278" spans="1:6">
      <c r="A4278" t="s">
        <v>8407</v>
      </c>
      <c r="B4278" t="s">
        <v>1738</v>
      </c>
      <c r="C4278" t="s">
        <v>70</v>
      </c>
      <c r="D4278" s="1">
        <v>45887</v>
      </c>
      <c r="E4278" t="s">
        <v>4127</v>
      </c>
      <c r="F4278" t="s">
        <v>4137</v>
      </c>
    </row>
    <row r="4279" spans="1:6">
      <c r="A4279" t="s">
        <v>8408</v>
      </c>
      <c r="B4279" t="s">
        <v>1738</v>
      </c>
      <c r="C4279" t="s">
        <v>70</v>
      </c>
      <c r="D4279" s="1">
        <v>45878</v>
      </c>
      <c r="E4279" t="s">
        <v>4129</v>
      </c>
      <c r="F4279" t="s">
        <v>4125</v>
      </c>
    </row>
    <row r="4280" spans="1:6">
      <c r="A4280" t="s">
        <v>8409</v>
      </c>
      <c r="B4280" t="s">
        <v>1738</v>
      </c>
      <c r="C4280" t="s">
        <v>70</v>
      </c>
      <c r="D4280" s="1">
        <v>45907</v>
      </c>
      <c r="E4280" t="s">
        <v>4135</v>
      </c>
      <c r="F4280" t="s">
        <v>4125</v>
      </c>
    </row>
    <row r="4281" spans="1:6">
      <c r="A4281" t="s">
        <v>8410</v>
      </c>
      <c r="B4281" t="s">
        <v>1739</v>
      </c>
      <c r="C4281" t="s">
        <v>32</v>
      </c>
      <c r="D4281" s="1">
        <v>45839</v>
      </c>
      <c r="E4281" t="s">
        <v>4133</v>
      </c>
      <c r="F4281" t="s">
        <v>4137</v>
      </c>
    </row>
    <row r="4282" spans="1:6">
      <c r="A4282" t="s">
        <v>8411</v>
      </c>
      <c r="B4282" t="s">
        <v>1739</v>
      </c>
      <c r="C4282" t="s">
        <v>32</v>
      </c>
      <c r="D4282" s="1">
        <v>45837</v>
      </c>
      <c r="E4282" t="s">
        <v>4124</v>
      </c>
      <c r="F4282" t="s">
        <v>4125</v>
      </c>
    </row>
    <row r="4283" spans="1:6">
      <c r="A4283" t="s">
        <v>8412</v>
      </c>
      <c r="B4283" t="s">
        <v>1739</v>
      </c>
      <c r="C4283" t="s">
        <v>32</v>
      </c>
      <c r="D4283" s="1">
        <v>45829</v>
      </c>
      <c r="E4283" t="s">
        <v>4135</v>
      </c>
      <c r="F4283" t="s">
        <v>4125</v>
      </c>
    </row>
    <row r="4284" spans="1:6">
      <c r="A4284" t="s">
        <v>8413</v>
      </c>
      <c r="B4284" t="s">
        <v>1740</v>
      </c>
      <c r="C4284" t="s">
        <v>70</v>
      </c>
      <c r="D4284" s="1">
        <v>45684</v>
      </c>
      <c r="E4284" t="s">
        <v>4124</v>
      </c>
      <c r="F4284" t="s">
        <v>4125</v>
      </c>
    </row>
    <row r="4285" spans="1:6">
      <c r="A4285" t="s">
        <v>8414</v>
      </c>
      <c r="B4285" t="s">
        <v>1740</v>
      </c>
      <c r="C4285" t="s">
        <v>70</v>
      </c>
      <c r="D4285" s="1">
        <v>45719</v>
      </c>
      <c r="E4285" t="s">
        <v>4135</v>
      </c>
      <c r="F4285" t="s">
        <v>4139</v>
      </c>
    </row>
    <row r="4286" spans="1:6">
      <c r="A4286" t="s">
        <v>8415</v>
      </c>
      <c r="B4286" t="s">
        <v>1740</v>
      </c>
      <c r="C4286" t="s">
        <v>70</v>
      </c>
      <c r="D4286" s="1">
        <v>45704</v>
      </c>
      <c r="E4286" t="s">
        <v>4124</v>
      </c>
      <c r="F4286" t="s">
        <v>4137</v>
      </c>
    </row>
    <row r="4287" spans="1:6">
      <c r="A4287" t="s">
        <v>8416</v>
      </c>
      <c r="B4287" t="s">
        <v>1741</v>
      </c>
      <c r="C4287" t="s">
        <v>168</v>
      </c>
      <c r="D4287" s="1">
        <v>45699</v>
      </c>
      <c r="E4287" t="s">
        <v>4124</v>
      </c>
      <c r="F4287" t="s">
        <v>4139</v>
      </c>
    </row>
    <row r="4288" spans="1:6">
      <c r="A4288" t="s">
        <v>8417</v>
      </c>
      <c r="B4288" t="s">
        <v>1741</v>
      </c>
      <c r="C4288" t="s">
        <v>168</v>
      </c>
      <c r="D4288" s="1">
        <v>45722</v>
      </c>
      <c r="E4288" t="s">
        <v>4129</v>
      </c>
      <c r="F4288" t="s">
        <v>4137</v>
      </c>
    </row>
    <row r="4289" spans="1:6">
      <c r="A4289" t="s">
        <v>8418</v>
      </c>
      <c r="B4289" t="s">
        <v>1741</v>
      </c>
      <c r="C4289" t="s">
        <v>168</v>
      </c>
      <c r="D4289" s="1">
        <v>45702</v>
      </c>
      <c r="E4289" t="s">
        <v>4135</v>
      </c>
      <c r="F4289" t="s">
        <v>4137</v>
      </c>
    </row>
    <row r="4290" spans="1:6">
      <c r="A4290" t="s">
        <v>8419</v>
      </c>
      <c r="B4290" t="s">
        <v>1741</v>
      </c>
      <c r="C4290" t="s">
        <v>168</v>
      </c>
      <c r="D4290" s="1">
        <v>45700</v>
      </c>
      <c r="E4290" t="s">
        <v>4127</v>
      </c>
      <c r="F4290" t="s">
        <v>4125</v>
      </c>
    </row>
    <row r="4291" spans="1:6">
      <c r="A4291" t="s">
        <v>8420</v>
      </c>
      <c r="B4291" t="s">
        <v>1741</v>
      </c>
      <c r="C4291" t="s">
        <v>168</v>
      </c>
      <c r="D4291" s="1">
        <v>45736</v>
      </c>
      <c r="E4291" t="s">
        <v>4135</v>
      </c>
      <c r="F4291" t="s">
        <v>4125</v>
      </c>
    </row>
    <row r="4292" spans="1:6">
      <c r="A4292" t="s">
        <v>8421</v>
      </c>
      <c r="B4292" t="s">
        <v>1743</v>
      </c>
      <c r="C4292" t="s">
        <v>168</v>
      </c>
      <c r="D4292" s="1">
        <v>45987</v>
      </c>
      <c r="E4292" t="s">
        <v>4127</v>
      </c>
      <c r="F4292" t="s">
        <v>4139</v>
      </c>
    </row>
    <row r="4293" spans="1:6">
      <c r="A4293" t="s">
        <v>8422</v>
      </c>
      <c r="B4293" t="s">
        <v>1743</v>
      </c>
      <c r="C4293" t="s">
        <v>168</v>
      </c>
      <c r="D4293" s="1">
        <v>45990</v>
      </c>
      <c r="E4293" t="s">
        <v>4124</v>
      </c>
      <c r="F4293" t="s">
        <v>4137</v>
      </c>
    </row>
    <row r="4294" spans="1:6">
      <c r="A4294" t="s">
        <v>8423</v>
      </c>
      <c r="B4294" t="s">
        <v>1743</v>
      </c>
      <c r="C4294" t="s">
        <v>168</v>
      </c>
      <c r="D4294" s="1">
        <v>45985</v>
      </c>
      <c r="E4294" t="s">
        <v>4129</v>
      </c>
      <c r="F4294" t="s">
        <v>4139</v>
      </c>
    </row>
    <row r="4295" spans="1:6">
      <c r="A4295" t="s">
        <v>8424</v>
      </c>
      <c r="B4295" t="s">
        <v>1744</v>
      </c>
      <c r="C4295" t="s">
        <v>59</v>
      </c>
      <c r="D4295" s="1">
        <v>45734</v>
      </c>
      <c r="E4295" t="s">
        <v>4135</v>
      </c>
      <c r="F4295" t="s">
        <v>4125</v>
      </c>
    </row>
    <row r="4296" spans="1:6">
      <c r="A4296" t="s">
        <v>8425</v>
      </c>
      <c r="B4296" t="s">
        <v>1744</v>
      </c>
      <c r="C4296" t="s">
        <v>59</v>
      </c>
      <c r="D4296" s="1">
        <v>45733</v>
      </c>
      <c r="E4296" t="s">
        <v>4124</v>
      </c>
      <c r="F4296" t="s">
        <v>4137</v>
      </c>
    </row>
    <row r="4297" spans="1:6">
      <c r="A4297" t="s">
        <v>8426</v>
      </c>
      <c r="B4297" t="s">
        <v>1744</v>
      </c>
      <c r="C4297" t="s">
        <v>59</v>
      </c>
      <c r="D4297" s="1">
        <v>45734</v>
      </c>
      <c r="E4297" t="s">
        <v>4133</v>
      </c>
      <c r="F4297" t="s">
        <v>4137</v>
      </c>
    </row>
    <row r="4298" spans="1:6">
      <c r="A4298" t="s">
        <v>8427</v>
      </c>
      <c r="B4298" t="s">
        <v>1745</v>
      </c>
      <c r="C4298" t="s">
        <v>16</v>
      </c>
      <c r="D4298" s="1">
        <v>45892</v>
      </c>
      <c r="E4298" t="s">
        <v>4129</v>
      </c>
      <c r="F4298" t="s">
        <v>4125</v>
      </c>
    </row>
    <row r="4299" spans="1:6">
      <c r="A4299" t="s">
        <v>8428</v>
      </c>
      <c r="B4299" t="s">
        <v>1745</v>
      </c>
      <c r="C4299" t="s">
        <v>16</v>
      </c>
      <c r="D4299" s="1">
        <v>45854</v>
      </c>
      <c r="E4299" t="s">
        <v>4129</v>
      </c>
      <c r="F4299" t="s">
        <v>4139</v>
      </c>
    </row>
    <row r="4300" spans="1:6">
      <c r="A4300" t="s">
        <v>8429</v>
      </c>
      <c r="B4300" t="s">
        <v>1745</v>
      </c>
      <c r="C4300" t="s">
        <v>16</v>
      </c>
      <c r="D4300" s="1">
        <v>45851</v>
      </c>
      <c r="E4300" t="s">
        <v>4129</v>
      </c>
      <c r="F4300" t="s">
        <v>4125</v>
      </c>
    </row>
    <row r="4301" spans="1:6">
      <c r="A4301" t="s">
        <v>8430</v>
      </c>
      <c r="B4301" t="s">
        <v>1745</v>
      </c>
      <c r="C4301" t="s">
        <v>16</v>
      </c>
      <c r="D4301" s="1">
        <v>45883</v>
      </c>
      <c r="E4301" t="s">
        <v>4124</v>
      </c>
      <c r="F4301" t="s">
        <v>4139</v>
      </c>
    </row>
    <row r="4302" spans="1:6">
      <c r="A4302" t="s">
        <v>8431</v>
      </c>
      <c r="B4302" t="s">
        <v>1745</v>
      </c>
      <c r="C4302" t="s">
        <v>16</v>
      </c>
      <c r="D4302" s="1">
        <v>45894</v>
      </c>
      <c r="E4302" t="s">
        <v>4129</v>
      </c>
      <c r="F4302" t="s">
        <v>4137</v>
      </c>
    </row>
    <row r="4303" spans="1:6">
      <c r="A4303" t="s">
        <v>8432</v>
      </c>
      <c r="B4303" t="s">
        <v>1746</v>
      </c>
      <c r="C4303" t="s">
        <v>70</v>
      </c>
      <c r="D4303" s="1">
        <v>45810</v>
      </c>
      <c r="E4303" t="s">
        <v>4135</v>
      </c>
      <c r="F4303" t="s">
        <v>4125</v>
      </c>
    </row>
    <row r="4304" spans="1:6">
      <c r="A4304" t="s">
        <v>8433</v>
      </c>
      <c r="B4304" t="s">
        <v>1746</v>
      </c>
      <c r="C4304" t="s">
        <v>70</v>
      </c>
      <c r="D4304" s="1">
        <v>45816</v>
      </c>
      <c r="E4304" t="s">
        <v>4129</v>
      </c>
      <c r="F4304" t="s">
        <v>4137</v>
      </c>
    </row>
    <row r="4305" spans="1:6">
      <c r="A4305" t="s">
        <v>8434</v>
      </c>
      <c r="B4305" t="s">
        <v>1746</v>
      </c>
      <c r="C4305" t="s">
        <v>70</v>
      </c>
      <c r="D4305" s="1">
        <v>45826</v>
      </c>
      <c r="E4305" t="s">
        <v>4133</v>
      </c>
      <c r="F4305" t="s">
        <v>4139</v>
      </c>
    </row>
    <row r="4306" spans="1:6">
      <c r="A4306" t="s">
        <v>8435</v>
      </c>
      <c r="B4306" t="s">
        <v>1747</v>
      </c>
      <c r="C4306" t="s">
        <v>56</v>
      </c>
      <c r="D4306" s="1">
        <v>46000</v>
      </c>
      <c r="E4306" t="s">
        <v>4135</v>
      </c>
      <c r="F4306" t="s">
        <v>4137</v>
      </c>
    </row>
    <row r="4307" spans="1:6">
      <c r="A4307" t="s">
        <v>8436</v>
      </c>
      <c r="B4307" t="s">
        <v>1747</v>
      </c>
      <c r="C4307" t="s">
        <v>56</v>
      </c>
      <c r="D4307" s="1">
        <v>45959</v>
      </c>
      <c r="E4307" t="s">
        <v>4133</v>
      </c>
      <c r="F4307" t="s">
        <v>4125</v>
      </c>
    </row>
    <row r="4308" spans="1:6">
      <c r="A4308" t="s">
        <v>8437</v>
      </c>
      <c r="B4308" t="s">
        <v>1747</v>
      </c>
      <c r="C4308" t="s">
        <v>56</v>
      </c>
      <c r="D4308" s="1">
        <v>45966</v>
      </c>
      <c r="E4308" t="s">
        <v>4135</v>
      </c>
      <c r="F4308" t="s">
        <v>4125</v>
      </c>
    </row>
    <row r="4309" spans="1:6">
      <c r="A4309" t="s">
        <v>8438</v>
      </c>
      <c r="B4309" t="s">
        <v>1747</v>
      </c>
      <c r="C4309" t="s">
        <v>56</v>
      </c>
      <c r="D4309" s="1">
        <v>46014</v>
      </c>
      <c r="E4309" t="s">
        <v>4124</v>
      </c>
      <c r="F4309" t="s">
        <v>4125</v>
      </c>
    </row>
    <row r="4310" spans="1:6">
      <c r="A4310" t="s">
        <v>8439</v>
      </c>
      <c r="B4310" t="s">
        <v>1748</v>
      </c>
      <c r="C4310" t="s">
        <v>168</v>
      </c>
      <c r="D4310" s="1">
        <v>45776</v>
      </c>
      <c r="E4310" t="s">
        <v>4127</v>
      </c>
      <c r="F4310" t="s">
        <v>4137</v>
      </c>
    </row>
    <row r="4311" spans="1:6">
      <c r="A4311" t="s">
        <v>8440</v>
      </c>
      <c r="B4311" t="s">
        <v>1748</v>
      </c>
      <c r="C4311" t="s">
        <v>168</v>
      </c>
      <c r="D4311" s="1">
        <v>45815</v>
      </c>
      <c r="E4311" t="s">
        <v>4129</v>
      </c>
      <c r="F4311" t="s">
        <v>4125</v>
      </c>
    </row>
    <row r="4312" spans="1:6">
      <c r="A4312" t="s">
        <v>8441</v>
      </c>
      <c r="B4312" t="s">
        <v>1748</v>
      </c>
      <c r="C4312" t="s">
        <v>168</v>
      </c>
      <c r="D4312" s="1">
        <v>45818</v>
      </c>
      <c r="E4312" t="s">
        <v>4133</v>
      </c>
      <c r="F4312" t="s">
        <v>4125</v>
      </c>
    </row>
    <row r="4313" spans="1:6">
      <c r="A4313" t="s">
        <v>8442</v>
      </c>
      <c r="B4313" t="s">
        <v>1749</v>
      </c>
      <c r="C4313" t="s">
        <v>56</v>
      </c>
      <c r="D4313" s="1">
        <v>45740</v>
      </c>
      <c r="E4313" t="s">
        <v>4129</v>
      </c>
      <c r="F4313" t="s">
        <v>4137</v>
      </c>
    </row>
    <row r="4314" spans="1:6">
      <c r="A4314" t="s">
        <v>8443</v>
      </c>
      <c r="B4314" t="s">
        <v>1749</v>
      </c>
      <c r="C4314" t="s">
        <v>56</v>
      </c>
      <c r="D4314" s="1">
        <v>45732</v>
      </c>
      <c r="E4314" t="s">
        <v>4124</v>
      </c>
      <c r="F4314" t="s">
        <v>4125</v>
      </c>
    </row>
    <row r="4315" spans="1:6">
      <c r="A4315" t="s">
        <v>8444</v>
      </c>
      <c r="B4315" t="s">
        <v>1750</v>
      </c>
      <c r="C4315" t="s">
        <v>70</v>
      </c>
      <c r="D4315" s="1">
        <v>45796</v>
      </c>
      <c r="E4315" t="s">
        <v>4129</v>
      </c>
      <c r="F4315" t="s">
        <v>4125</v>
      </c>
    </row>
    <row r="4316" spans="1:6">
      <c r="A4316" t="s">
        <v>8445</v>
      </c>
      <c r="B4316" t="s">
        <v>1750</v>
      </c>
      <c r="C4316" t="s">
        <v>70</v>
      </c>
      <c r="D4316" s="1">
        <v>45777</v>
      </c>
      <c r="E4316" t="s">
        <v>4124</v>
      </c>
      <c r="F4316" t="s">
        <v>4139</v>
      </c>
    </row>
    <row r="4317" spans="1:6">
      <c r="A4317" t="s">
        <v>8446</v>
      </c>
      <c r="B4317" t="s">
        <v>1750</v>
      </c>
      <c r="C4317" t="s">
        <v>70</v>
      </c>
      <c r="D4317" s="1">
        <v>45780</v>
      </c>
      <c r="E4317" t="s">
        <v>4129</v>
      </c>
      <c r="F4317" t="s">
        <v>4137</v>
      </c>
    </row>
    <row r="4318" spans="1:6">
      <c r="A4318" t="s">
        <v>8447</v>
      </c>
      <c r="B4318" t="s">
        <v>1750</v>
      </c>
      <c r="C4318" t="s">
        <v>70</v>
      </c>
      <c r="D4318" s="1">
        <v>45788</v>
      </c>
      <c r="E4318" t="s">
        <v>4129</v>
      </c>
      <c r="F4318" t="s">
        <v>4137</v>
      </c>
    </row>
    <row r="4319" spans="1:6">
      <c r="A4319" t="s">
        <v>8448</v>
      </c>
      <c r="B4319" t="s">
        <v>1750</v>
      </c>
      <c r="C4319" t="s">
        <v>70</v>
      </c>
      <c r="D4319" s="1">
        <v>45796</v>
      </c>
      <c r="E4319" t="s">
        <v>4124</v>
      </c>
      <c r="F4319" t="s">
        <v>4139</v>
      </c>
    </row>
    <row r="4320" spans="1:6">
      <c r="A4320" t="s">
        <v>8449</v>
      </c>
      <c r="B4320" t="s">
        <v>1751</v>
      </c>
      <c r="C4320" t="s">
        <v>119</v>
      </c>
      <c r="D4320" s="1">
        <v>45787</v>
      </c>
      <c r="E4320" t="s">
        <v>4129</v>
      </c>
      <c r="F4320" t="s">
        <v>4139</v>
      </c>
    </row>
    <row r="4321" spans="1:6">
      <c r="A4321" t="s">
        <v>8450</v>
      </c>
      <c r="B4321" t="s">
        <v>1751</v>
      </c>
      <c r="C4321" t="s">
        <v>119</v>
      </c>
      <c r="D4321" s="1">
        <v>45799</v>
      </c>
      <c r="E4321" t="s">
        <v>4124</v>
      </c>
      <c r="F4321" t="s">
        <v>4139</v>
      </c>
    </row>
    <row r="4322" spans="1:6">
      <c r="A4322" t="s">
        <v>8451</v>
      </c>
      <c r="B4322" t="s">
        <v>1752</v>
      </c>
      <c r="C4322" t="s">
        <v>75</v>
      </c>
      <c r="D4322" s="1">
        <v>45678</v>
      </c>
      <c r="E4322" t="s">
        <v>4127</v>
      </c>
      <c r="F4322" t="s">
        <v>4137</v>
      </c>
    </row>
    <row r="4323" spans="1:6">
      <c r="A4323" t="s">
        <v>8452</v>
      </c>
      <c r="B4323" t="s">
        <v>1752</v>
      </c>
      <c r="C4323" t="s">
        <v>75</v>
      </c>
      <c r="D4323" s="1">
        <v>45703</v>
      </c>
      <c r="E4323" t="s">
        <v>4129</v>
      </c>
      <c r="F4323" t="s">
        <v>4137</v>
      </c>
    </row>
    <row r="4324" spans="1:6">
      <c r="A4324" t="s">
        <v>8453</v>
      </c>
      <c r="B4324" t="s">
        <v>1752</v>
      </c>
      <c r="C4324" t="s">
        <v>75</v>
      </c>
      <c r="D4324" s="1">
        <v>45681</v>
      </c>
      <c r="E4324" t="s">
        <v>4127</v>
      </c>
      <c r="F4324" t="s">
        <v>4137</v>
      </c>
    </row>
    <row r="4325" spans="1:6">
      <c r="A4325" t="s">
        <v>8454</v>
      </c>
      <c r="B4325" t="s">
        <v>1752</v>
      </c>
      <c r="C4325" t="s">
        <v>75</v>
      </c>
      <c r="D4325" s="1">
        <v>45692</v>
      </c>
      <c r="E4325" t="s">
        <v>4127</v>
      </c>
      <c r="F4325" t="s">
        <v>4139</v>
      </c>
    </row>
    <row r="4326" spans="1:6">
      <c r="A4326" t="s">
        <v>8455</v>
      </c>
      <c r="B4326" t="s">
        <v>1752</v>
      </c>
      <c r="C4326" t="s">
        <v>75</v>
      </c>
      <c r="D4326" s="1">
        <v>45672</v>
      </c>
      <c r="E4326" t="s">
        <v>4127</v>
      </c>
      <c r="F4326" t="s">
        <v>4137</v>
      </c>
    </row>
    <row r="4327" spans="1:6">
      <c r="A4327" t="s">
        <v>8456</v>
      </c>
      <c r="B4327" t="s">
        <v>1754</v>
      </c>
      <c r="C4327" t="s">
        <v>46</v>
      </c>
      <c r="D4327" s="1">
        <v>45698</v>
      </c>
      <c r="E4327" t="s">
        <v>4133</v>
      </c>
      <c r="F4327" t="s">
        <v>4137</v>
      </c>
    </row>
    <row r="4328" spans="1:6">
      <c r="A4328" t="s">
        <v>8457</v>
      </c>
      <c r="B4328" t="s">
        <v>1754</v>
      </c>
      <c r="C4328" t="s">
        <v>46</v>
      </c>
      <c r="D4328" s="1">
        <v>45670</v>
      </c>
      <c r="E4328" t="s">
        <v>4124</v>
      </c>
      <c r="F4328" t="s">
        <v>4137</v>
      </c>
    </row>
    <row r="4329" spans="1:6">
      <c r="A4329" t="s">
        <v>8458</v>
      </c>
      <c r="B4329" t="s">
        <v>1754</v>
      </c>
      <c r="C4329" t="s">
        <v>46</v>
      </c>
      <c r="D4329" s="1">
        <v>45706</v>
      </c>
      <c r="E4329" t="s">
        <v>4127</v>
      </c>
      <c r="F4329" t="s">
        <v>4137</v>
      </c>
    </row>
    <row r="4330" spans="1:6">
      <c r="A4330" t="s">
        <v>8459</v>
      </c>
      <c r="B4330" t="s">
        <v>1755</v>
      </c>
      <c r="C4330" t="s">
        <v>78</v>
      </c>
      <c r="D4330" s="1">
        <v>45789</v>
      </c>
      <c r="E4330" t="s">
        <v>4135</v>
      </c>
      <c r="F4330" t="s">
        <v>4139</v>
      </c>
    </row>
    <row r="4331" spans="1:6">
      <c r="A4331" t="s">
        <v>8460</v>
      </c>
      <c r="B4331" t="s">
        <v>1755</v>
      </c>
      <c r="C4331" t="s">
        <v>78</v>
      </c>
      <c r="D4331" s="1">
        <v>45801</v>
      </c>
      <c r="E4331" t="s">
        <v>4129</v>
      </c>
      <c r="F4331" t="s">
        <v>4137</v>
      </c>
    </row>
    <row r="4332" spans="1:6">
      <c r="A4332" t="s">
        <v>8461</v>
      </c>
      <c r="B4332" t="s">
        <v>1755</v>
      </c>
      <c r="C4332" t="s">
        <v>78</v>
      </c>
      <c r="D4332" s="1">
        <v>45823</v>
      </c>
      <c r="E4332" t="s">
        <v>4124</v>
      </c>
      <c r="F4332" t="s">
        <v>4139</v>
      </c>
    </row>
    <row r="4333" spans="1:6">
      <c r="A4333" t="s">
        <v>8462</v>
      </c>
      <c r="B4333" t="s">
        <v>1755</v>
      </c>
      <c r="C4333" t="s">
        <v>78</v>
      </c>
      <c r="D4333" s="1">
        <v>45821</v>
      </c>
      <c r="E4333" t="s">
        <v>4135</v>
      </c>
      <c r="F4333" t="s">
        <v>4137</v>
      </c>
    </row>
    <row r="4334" spans="1:6">
      <c r="A4334" t="s">
        <v>8463</v>
      </c>
      <c r="B4334" t="s">
        <v>1756</v>
      </c>
      <c r="C4334" t="s">
        <v>70</v>
      </c>
      <c r="D4334" s="1">
        <v>45707</v>
      </c>
      <c r="E4334" t="s">
        <v>4135</v>
      </c>
      <c r="F4334" t="s">
        <v>4139</v>
      </c>
    </row>
    <row r="4335" spans="1:6">
      <c r="A4335" t="s">
        <v>8464</v>
      </c>
      <c r="B4335" t="s">
        <v>1756</v>
      </c>
      <c r="C4335" t="s">
        <v>70</v>
      </c>
      <c r="D4335" s="1">
        <v>45722</v>
      </c>
      <c r="E4335" t="s">
        <v>4124</v>
      </c>
      <c r="F4335" t="s">
        <v>4139</v>
      </c>
    </row>
    <row r="4336" spans="1:6">
      <c r="A4336" t="s">
        <v>8465</v>
      </c>
      <c r="B4336" t="s">
        <v>1756</v>
      </c>
      <c r="C4336" t="s">
        <v>70</v>
      </c>
      <c r="D4336" s="1">
        <v>45701</v>
      </c>
      <c r="E4336" t="s">
        <v>4133</v>
      </c>
      <c r="F4336" t="s">
        <v>4125</v>
      </c>
    </row>
    <row r="4337" spans="1:6">
      <c r="A4337" t="s">
        <v>8466</v>
      </c>
      <c r="B4337" t="s">
        <v>1756</v>
      </c>
      <c r="C4337" t="s">
        <v>70</v>
      </c>
      <c r="D4337" s="1">
        <v>45711</v>
      </c>
      <c r="E4337" t="s">
        <v>4133</v>
      </c>
      <c r="F4337" t="s">
        <v>4125</v>
      </c>
    </row>
    <row r="4338" spans="1:6">
      <c r="A4338" t="s">
        <v>8467</v>
      </c>
      <c r="B4338" t="s">
        <v>1757</v>
      </c>
      <c r="C4338" t="s">
        <v>63</v>
      </c>
      <c r="D4338" s="1">
        <v>45846</v>
      </c>
      <c r="E4338" t="s">
        <v>4133</v>
      </c>
      <c r="F4338" t="s">
        <v>4125</v>
      </c>
    </row>
    <row r="4339" spans="1:6">
      <c r="A4339" t="s">
        <v>8468</v>
      </c>
      <c r="B4339" t="s">
        <v>1757</v>
      </c>
      <c r="C4339" t="s">
        <v>63</v>
      </c>
      <c r="D4339" s="1">
        <v>45827</v>
      </c>
      <c r="E4339" t="s">
        <v>4133</v>
      </c>
      <c r="F4339" t="s">
        <v>4125</v>
      </c>
    </row>
    <row r="4340" spans="1:6">
      <c r="A4340" t="s">
        <v>8469</v>
      </c>
      <c r="B4340" t="s">
        <v>1757</v>
      </c>
      <c r="C4340" t="s">
        <v>63</v>
      </c>
      <c r="D4340" s="1">
        <v>45832</v>
      </c>
      <c r="E4340" t="s">
        <v>4129</v>
      </c>
      <c r="F4340" t="s">
        <v>4137</v>
      </c>
    </row>
    <row r="4341" spans="1:6">
      <c r="A4341" t="s">
        <v>8470</v>
      </c>
      <c r="B4341" t="s">
        <v>1757</v>
      </c>
      <c r="C4341" t="s">
        <v>63</v>
      </c>
      <c r="D4341" s="1">
        <v>45845</v>
      </c>
      <c r="E4341" t="s">
        <v>4124</v>
      </c>
      <c r="F4341" t="s">
        <v>4139</v>
      </c>
    </row>
    <row r="4342" spans="1:6">
      <c r="A4342" t="s">
        <v>8471</v>
      </c>
      <c r="B4342" t="s">
        <v>1758</v>
      </c>
      <c r="C4342" t="s">
        <v>91</v>
      </c>
      <c r="D4342" s="1">
        <v>45752</v>
      </c>
      <c r="E4342" t="s">
        <v>4133</v>
      </c>
      <c r="F4342" t="s">
        <v>4137</v>
      </c>
    </row>
    <row r="4343" spans="1:6">
      <c r="A4343" t="s">
        <v>8472</v>
      </c>
      <c r="B4343" t="s">
        <v>1758</v>
      </c>
      <c r="C4343" t="s">
        <v>91</v>
      </c>
      <c r="D4343" s="1">
        <v>45746</v>
      </c>
      <c r="E4343" t="s">
        <v>4133</v>
      </c>
      <c r="F4343" t="s">
        <v>4137</v>
      </c>
    </row>
    <row r="4344" spans="1:6">
      <c r="A4344" t="s">
        <v>8473</v>
      </c>
      <c r="B4344" t="s">
        <v>1758</v>
      </c>
      <c r="C4344" t="s">
        <v>91</v>
      </c>
      <c r="D4344" s="1">
        <v>45742</v>
      </c>
      <c r="E4344" t="s">
        <v>4127</v>
      </c>
      <c r="F4344" t="s">
        <v>4137</v>
      </c>
    </row>
    <row r="4345" spans="1:6">
      <c r="A4345" t="s">
        <v>8474</v>
      </c>
      <c r="B4345" t="s">
        <v>1758</v>
      </c>
      <c r="C4345" t="s">
        <v>91</v>
      </c>
      <c r="D4345" s="1">
        <v>45751</v>
      </c>
      <c r="E4345" t="s">
        <v>4127</v>
      </c>
      <c r="F4345" t="s">
        <v>4125</v>
      </c>
    </row>
    <row r="4346" spans="1:6">
      <c r="A4346" t="s">
        <v>8475</v>
      </c>
      <c r="B4346" t="s">
        <v>1759</v>
      </c>
      <c r="C4346" t="s">
        <v>56</v>
      </c>
      <c r="D4346" s="1">
        <v>45830</v>
      </c>
      <c r="E4346" t="s">
        <v>4124</v>
      </c>
      <c r="F4346" t="s">
        <v>4139</v>
      </c>
    </row>
    <row r="4347" spans="1:6">
      <c r="A4347" t="s">
        <v>8476</v>
      </c>
      <c r="B4347" t="s">
        <v>1759</v>
      </c>
      <c r="C4347" t="s">
        <v>56</v>
      </c>
      <c r="D4347" s="1">
        <v>45832</v>
      </c>
      <c r="E4347" t="s">
        <v>4129</v>
      </c>
      <c r="F4347" t="s">
        <v>4137</v>
      </c>
    </row>
    <row r="4348" spans="1:6">
      <c r="A4348" t="s">
        <v>8477</v>
      </c>
      <c r="B4348" t="s">
        <v>1761</v>
      </c>
      <c r="C4348" t="s">
        <v>53</v>
      </c>
      <c r="D4348" s="1">
        <v>45810</v>
      </c>
      <c r="E4348" t="s">
        <v>4127</v>
      </c>
      <c r="F4348" t="s">
        <v>4125</v>
      </c>
    </row>
    <row r="4349" spans="1:6">
      <c r="A4349" t="s">
        <v>8478</v>
      </c>
      <c r="B4349" t="s">
        <v>1761</v>
      </c>
      <c r="C4349" t="s">
        <v>53</v>
      </c>
      <c r="D4349" s="1">
        <v>45778</v>
      </c>
      <c r="E4349" t="s">
        <v>4124</v>
      </c>
      <c r="F4349" t="s">
        <v>4139</v>
      </c>
    </row>
    <row r="4350" spans="1:6">
      <c r="A4350" t="s">
        <v>8479</v>
      </c>
      <c r="B4350" t="s">
        <v>1761</v>
      </c>
      <c r="C4350" t="s">
        <v>53</v>
      </c>
      <c r="D4350" s="1">
        <v>45796</v>
      </c>
      <c r="E4350" t="s">
        <v>4135</v>
      </c>
      <c r="F4350" t="s">
        <v>4139</v>
      </c>
    </row>
    <row r="4351" spans="1:6">
      <c r="A4351" t="s">
        <v>8480</v>
      </c>
      <c r="B4351" t="s">
        <v>1761</v>
      </c>
      <c r="C4351" t="s">
        <v>53</v>
      </c>
      <c r="D4351" s="1">
        <v>45791</v>
      </c>
      <c r="E4351" t="s">
        <v>4133</v>
      </c>
      <c r="F4351" t="s">
        <v>4125</v>
      </c>
    </row>
    <row r="4352" spans="1:6">
      <c r="A4352" t="s">
        <v>8481</v>
      </c>
      <c r="B4352" t="s">
        <v>1762</v>
      </c>
      <c r="C4352" t="s">
        <v>32</v>
      </c>
      <c r="D4352" s="1">
        <v>45941</v>
      </c>
      <c r="E4352" t="s">
        <v>4127</v>
      </c>
      <c r="F4352" t="s">
        <v>4139</v>
      </c>
    </row>
    <row r="4353" spans="1:6">
      <c r="A4353" t="s">
        <v>8482</v>
      </c>
      <c r="B4353" t="s">
        <v>1762</v>
      </c>
      <c r="C4353" t="s">
        <v>32</v>
      </c>
      <c r="D4353" s="1">
        <v>45931</v>
      </c>
      <c r="E4353" t="s">
        <v>4124</v>
      </c>
      <c r="F4353" t="s">
        <v>4125</v>
      </c>
    </row>
    <row r="4354" spans="1:6">
      <c r="A4354" t="s">
        <v>8483</v>
      </c>
      <c r="B4354" t="s">
        <v>1763</v>
      </c>
      <c r="C4354" t="s">
        <v>63</v>
      </c>
      <c r="D4354" s="1">
        <v>45804</v>
      </c>
      <c r="E4354" t="s">
        <v>4127</v>
      </c>
      <c r="F4354" t="s">
        <v>4139</v>
      </c>
    </row>
    <row r="4355" spans="1:6">
      <c r="A4355" t="s">
        <v>8484</v>
      </c>
      <c r="B4355" t="s">
        <v>1763</v>
      </c>
      <c r="C4355" t="s">
        <v>63</v>
      </c>
      <c r="D4355" s="1">
        <v>45792</v>
      </c>
      <c r="E4355" t="s">
        <v>4135</v>
      </c>
      <c r="F4355" t="s">
        <v>4139</v>
      </c>
    </row>
    <row r="4356" spans="1:6">
      <c r="A4356" t="s">
        <v>8485</v>
      </c>
      <c r="B4356" t="s">
        <v>1763</v>
      </c>
      <c r="C4356" t="s">
        <v>63</v>
      </c>
      <c r="D4356" s="1">
        <v>45767</v>
      </c>
      <c r="E4356" t="s">
        <v>4135</v>
      </c>
      <c r="F4356" t="s">
        <v>4137</v>
      </c>
    </row>
    <row r="4357" spans="1:6">
      <c r="A4357" t="s">
        <v>8486</v>
      </c>
      <c r="B4357" t="s">
        <v>1763</v>
      </c>
      <c r="C4357" t="s">
        <v>63</v>
      </c>
      <c r="D4357" s="1">
        <v>45742</v>
      </c>
      <c r="E4357" t="s">
        <v>4127</v>
      </c>
      <c r="F4357" t="s">
        <v>4125</v>
      </c>
    </row>
    <row r="4358" spans="1:6">
      <c r="A4358" t="s">
        <v>8487</v>
      </c>
      <c r="B4358" t="s">
        <v>1763</v>
      </c>
      <c r="C4358" t="s">
        <v>63</v>
      </c>
      <c r="D4358" s="1">
        <v>45809</v>
      </c>
      <c r="E4358" t="s">
        <v>4124</v>
      </c>
      <c r="F4358" t="s">
        <v>4125</v>
      </c>
    </row>
    <row r="4359" spans="1:6">
      <c r="A4359" t="s">
        <v>8488</v>
      </c>
      <c r="B4359" t="s">
        <v>1764</v>
      </c>
      <c r="C4359" t="s">
        <v>75</v>
      </c>
      <c r="D4359" s="1">
        <v>45917</v>
      </c>
      <c r="E4359" t="s">
        <v>4133</v>
      </c>
      <c r="F4359" t="s">
        <v>4137</v>
      </c>
    </row>
    <row r="4360" spans="1:6">
      <c r="A4360" t="s">
        <v>8489</v>
      </c>
      <c r="B4360" t="s">
        <v>1764</v>
      </c>
      <c r="C4360" t="s">
        <v>75</v>
      </c>
      <c r="D4360" s="1">
        <v>45944</v>
      </c>
      <c r="E4360" t="s">
        <v>4135</v>
      </c>
      <c r="F4360" t="s">
        <v>4125</v>
      </c>
    </row>
    <row r="4361" spans="1:6">
      <c r="A4361" t="s">
        <v>8490</v>
      </c>
      <c r="B4361" t="s">
        <v>1764</v>
      </c>
      <c r="C4361" t="s">
        <v>75</v>
      </c>
      <c r="D4361" s="1">
        <v>45920</v>
      </c>
      <c r="E4361" t="s">
        <v>4133</v>
      </c>
      <c r="F4361" t="s">
        <v>4137</v>
      </c>
    </row>
    <row r="4362" spans="1:6">
      <c r="A4362" t="s">
        <v>8491</v>
      </c>
      <c r="B4362" t="s">
        <v>1764</v>
      </c>
      <c r="C4362" t="s">
        <v>75</v>
      </c>
      <c r="D4362" s="1">
        <v>45904</v>
      </c>
      <c r="E4362" t="s">
        <v>4129</v>
      </c>
      <c r="F4362" t="s">
        <v>4139</v>
      </c>
    </row>
    <row r="4363" spans="1:6">
      <c r="A4363" t="s">
        <v>8492</v>
      </c>
      <c r="B4363" t="s">
        <v>1764</v>
      </c>
      <c r="C4363" t="s">
        <v>75</v>
      </c>
      <c r="D4363" s="1">
        <v>45952</v>
      </c>
      <c r="E4363" t="s">
        <v>4129</v>
      </c>
      <c r="F4363" t="s">
        <v>4125</v>
      </c>
    </row>
    <row r="4364" spans="1:6">
      <c r="A4364" t="s">
        <v>8493</v>
      </c>
      <c r="B4364" t="s">
        <v>1765</v>
      </c>
      <c r="C4364" t="s">
        <v>78</v>
      </c>
      <c r="D4364" s="1">
        <v>45879</v>
      </c>
      <c r="E4364" t="s">
        <v>4135</v>
      </c>
      <c r="F4364" t="s">
        <v>4139</v>
      </c>
    </row>
    <row r="4365" spans="1:6">
      <c r="A4365" t="s">
        <v>8494</v>
      </c>
      <c r="B4365" t="s">
        <v>1765</v>
      </c>
      <c r="C4365" t="s">
        <v>78</v>
      </c>
      <c r="D4365" s="1">
        <v>45861</v>
      </c>
      <c r="E4365" t="s">
        <v>4124</v>
      </c>
      <c r="F4365" t="s">
        <v>4125</v>
      </c>
    </row>
    <row r="4366" spans="1:6">
      <c r="A4366" t="s">
        <v>8495</v>
      </c>
      <c r="B4366" t="s">
        <v>1766</v>
      </c>
      <c r="C4366" t="s">
        <v>32</v>
      </c>
      <c r="D4366" s="1">
        <v>45778</v>
      </c>
      <c r="E4366" t="s">
        <v>4129</v>
      </c>
      <c r="F4366" t="s">
        <v>4139</v>
      </c>
    </row>
    <row r="4367" spans="1:6">
      <c r="A4367" t="s">
        <v>8496</v>
      </c>
      <c r="B4367" t="s">
        <v>1766</v>
      </c>
      <c r="C4367" t="s">
        <v>32</v>
      </c>
      <c r="D4367" s="1">
        <v>45722</v>
      </c>
      <c r="E4367" t="s">
        <v>4124</v>
      </c>
      <c r="F4367" t="s">
        <v>4137</v>
      </c>
    </row>
    <row r="4368" spans="1:6">
      <c r="A4368" t="s">
        <v>8497</v>
      </c>
      <c r="B4368" t="s">
        <v>1766</v>
      </c>
      <c r="C4368" t="s">
        <v>32</v>
      </c>
      <c r="D4368" s="1">
        <v>45752</v>
      </c>
      <c r="E4368" t="s">
        <v>4129</v>
      </c>
      <c r="F4368" t="s">
        <v>4125</v>
      </c>
    </row>
    <row r="4369" spans="1:6">
      <c r="A4369" t="s">
        <v>8498</v>
      </c>
      <c r="B4369" t="s">
        <v>1767</v>
      </c>
      <c r="C4369" t="s">
        <v>53</v>
      </c>
      <c r="D4369" s="1">
        <v>46003</v>
      </c>
      <c r="E4369" t="s">
        <v>4124</v>
      </c>
      <c r="F4369" t="s">
        <v>4137</v>
      </c>
    </row>
    <row r="4370" spans="1:6">
      <c r="A4370" t="s">
        <v>8499</v>
      </c>
      <c r="B4370" t="s">
        <v>1767</v>
      </c>
      <c r="C4370" t="s">
        <v>53</v>
      </c>
      <c r="D4370" s="1">
        <v>46016</v>
      </c>
      <c r="E4370" t="s">
        <v>4127</v>
      </c>
      <c r="F4370" t="s">
        <v>4137</v>
      </c>
    </row>
    <row r="4371" spans="1:6">
      <c r="A4371" t="s">
        <v>8500</v>
      </c>
      <c r="B4371" t="s">
        <v>1767</v>
      </c>
      <c r="C4371" t="s">
        <v>53</v>
      </c>
      <c r="D4371" s="1">
        <v>46007</v>
      </c>
      <c r="E4371" t="s">
        <v>4129</v>
      </c>
      <c r="F4371" t="s">
        <v>4125</v>
      </c>
    </row>
    <row r="4372" spans="1:6">
      <c r="A4372" t="s">
        <v>8501</v>
      </c>
      <c r="B4372" t="s">
        <v>1767</v>
      </c>
      <c r="C4372" t="s">
        <v>53</v>
      </c>
      <c r="D4372" s="1">
        <v>46003</v>
      </c>
      <c r="E4372" t="s">
        <v>4129</v>
      </c>
      <c r="F4372" t="s">
        <v>4125</v>
      </c>
    </row>
    <row r="4373" spans="1:6">
      <c r="A4373" t="s">
        <v>8502</v>
      </c>
      <c r="B4373" t="s">
        <v>1768</v>
      </c>
      <c r="C4373" t="s">
        <v>53</v>
      </c>
      <c r="D4373" s="1">
        <v>45930</v>
      </c>
      <c r="E4373" t="s">
        <v>4124</v>
      </c>
      <c r="F4373" t="s">
        <v>4125</v>
      </c>
    </row>
    <row r="4374" spans="1:6">
      <c r="A4374" t="s">
        <v>8503</v>
      </c>
      <c r="B4374" t="s">
        <v>1768</v>
      </c>
      <c r="C4374" t="s">
        <v>53</v>
      </c>
      <c r="D4374" s="1">
        <v>45896</v>
      </c>
      <c r="E4374" t="s">
        <v>4129</v>
      </c>
      <c r="F4374" t="s">
        <v>4125</v>
      </c>
    </row>
    <row r="4375" spans="1:6">
      <c r="A4375" t="s">
        <v>8504</v>
      </c>
      <c r="B4375" t="s">
        <v>1769</v>
      </c>
      <c r="C4375" t="s">
        <v>56</v>
      </c>
      <c r="D4375" s="1">
        <v>46004</v>
      </c>
      <c r="E4375" t="s">
        <v>4129</v>
      </c>
      <c r="F4375" t="s">
        <v>4137</v>
      </c>
    </row>
    <row r="4376" spans="1:6">
      <c r="A4376" t="s">
        <v>8505</v>
      </c>
      <c r="B4376" t="s">
        <v>1769</v>
      </c>
      <c r="C4376" t="s">
        <v>56</v>
      </c>
      <c r="D4376" s="1">
        <v>45995</v>
      </c>
      <c r="E4376" t="s">
        <v>4135</v>
      </c>
      <c r="F4376" t="s">
        <v>4125</v>
      </c>
    </row>
    <row r="4377" spans="1:6">
      <c r="A4377" t="s">
        <v>8506</v>
      </c>
      <c r="B4377" t="s">
        <v>1769</v>
      </c>
      <c r="C4377" t="s">
        <v>56</v>
      </c>
      <c r="D4377" s="1">
        <v>45970</v>
      </c>
      <c r="E4377" t="s">
        <v>4135</v>
      </c>
      <c r="F4377" t="s">
        <v>4139</v>
      </c>
    </row>
    <row r="4378" spans="1:6">
      <c r="A4378" t="s">
        <v>8507</v>
      </c>
      <c r="B4378" t="s">
        <v>1769</v>
      </c>
      <c r="C4378" t="s">
        <v>56</v>
      </c>
      <c r="D4378" s="1">
        <v>46012</v>
      </c>
      <c r="E4378" t="s">
        <v>4124</v>
      </c>
      <c r="F4378" t="s">
        <v>4137</v>
      </c>
    </row>
    <row r="4379" spans="1:6">
      <c r="A4379" t="s">
        <v>8508</v>
      </c>
      <c r="B4379" t="s">
        <v>1770</v>
      </c>
      <c r="C4379" t="s">
        <v>126</v>
      </c>
      <c r="D4379" s="1">
        <v>45978</v>
      </c>
      <c r="E4379" t="s">
        <v>4129</v>
      </c>
      <c r="F4379" t="s">
        <v>4139</v>
      </c>
    </row>
    <row r="4380" spans="1:6">
      <c r="A4380" t="s">
        <v>8509</v>
      </c>
      <c r="B4380" t="s">
        <v>1770</v>
      </c>
      <c r="C4380" t="s">
        <v>126</v>
      </c>
      <c r="D4380" s="1">
        <v>45965</v>
      </c>
      <c r="E4380" t="s">
        <v>4129</v>
      </c>
      <c r="F4380" t="s">
        <v>4125</v>
      </c>
    </row>
    <row r="4381" spans="1:6">
      <c r="A4381" t="s">
        <v>8510</v>
      </c>
      <c r="B4381" t="s">
        <v>1771</v>
      </c>
      <c r="C4381" t="s">
        <v>63</v>
      </c>
      <c r="D4381" s="1">
        <v>45999</v>
      </c>
      <c r="E4381" t="s">
        <v>4124</v>
      </c>
      <c r="F4381" t="s">
        <v>4125</v>
      </c>
    </row>
    <row r="4382" spans="1:6">
      <c r="A4382" t="s">
        <v>8511</v>
      </c>
      <c r="B4382" t="s">
        <v>1771</v>
      </c>
      <c r="C4382" t="s">
        <v>63</v>
      </c>
      <c r="D4382" s="1">
        <v>46006</v>
      </c>
      <c r="E4382" t="s">
        <v>4133</v>
      </c>
      <c r="F4382" t="s">
        <v>4139</v>
      </c>
    </row>
    <row r="4383" spans="1:6">
      <c r="A4383" t="s">
        <v>8512</v>
      </c>
      <c r="B4383" t="s">
        <v>1772</v>
      </c>
      <c r="C4383" t="s">
        <v>56</v>
      </c>
      <c r="D4383" s="1">
        <v>45742</v>
      </c>
      <c r="E4383" t="s">
        <v>4129</v>
      </c>
      <c r="F4383" t="s">
        <v>4139</v>
      </c>
    </row>
    <row r="4384" spans="1:6">
      <c r="A4384" t="s">
        <v>8513</v>
      </c>
      <c r="B4384" t="s">
        <v>1772</v>
      </c>
      <c r="C4384" t="s">
        <v>56</v>
      </c>
      <c r="D4384" s="1">
        <v>45732</v>
      </c>
      <c r="E4384" t="s">
        <v>4127</v>
      </c>
      <c r="F4384" t="s">
        <v>4125</v>
      </c>
    </row>
    <row r="4385" spans="1:6">
      <c r="A4385" t="s">
        <v>8514</v>
      </c>
      <c r="B4385" t="s">
        <v>1772</v>
      </c>
      <c r="C4385" t="s">
        <v>56</v>
      </c>
      <c r="D4385" s="1">
        <v>45741</v>
      </c>
      <c r="E4385" t="s">
        <v>4124</v>
      </c>
      <c r="F4385" t="s">
        <v>4125</v>
      </c>
    </row>
    <row r="4386" spans="1:6">
      <c r="A4386" t="s">
        <v>8515</v>
      </c>
      <c r="B4386" t="s">
        <v>1772</v>
      </c>
      <c r="C4386" t="s">
        <v>56</v>
      </c>
      <c r="D4386" s="1">
        <v>45734</v>
      </c>
      <c r="E4386" t="s">
        <v>4129</v>
      </c>
      <c r="F4386" t="s">
        <v>4137</v>
      </c>
    </row>
    <row r="4387" spans="1:6">
      <c r="A4387" t="s">
        <v>8516</v>
      </c>
      <c r="B4387" t="s">
        <v>1772</v>
      </c>
      <c r="C4387" t="s">
        <v>56</v>
      </c>
      <c r="D4387" s="1">
        <v>45726</v>
      </c>
      <c r="E4387" t="s">
        <v>4135</v>
      </c>
      <c r="F4387" t="s">
        <v>4125</v>
      </c>
    </row>
    <row r="4388" spans="1:6">
      <c r="A4388" t="s">
        <v>8517</v>
      </c>
      <c r="B4388" t="s">
        <v>1773</v>
      </c>
      <c r="C4388" t="s">
        <v>32</v>
      </c>
      <c r="D4388" s="1">
        <v>45952</v>
      </c>
      <c r="E4388" t="s">
        <v>4127</v>
      </c>
      <c r="F4388" t="s">
        <v>4125</v>
      </c>
    </row>
    <row r="4389" spans="1:6">
      <c r="A4389" t="s">
        <v>8518</v>
      </c>
      <c r="B4389" t="s">
        <v>1773</v>
      </c>
      <c r="C4389" t="s">
        <v>32</v>
      </c>
      <c r="D4389" s="1">
        <v>45966</v>
      </c>
      <c r="E4389" t="s">
        <v>4133</v>
      </c>
      <c r="F4389" t="s">
        <v>4137</v>
      </c>
    </row>
    <row r="4390" spans="1:6">
      <c r="A4390" t="s">
        <v>8519</v>
      </c>
      <c r="B4390" t="s">
        <v>1773</v>
      </c>
      <c r="C4390" t="s">
        <v>32</v>
      </c>
      <c r="D4390" s="1">
        <v>45965</v>
      </c>
      <c r="E4390" t="s">
        <v>4135</v>
      </c>
      <c r="F4390" t="s">
        <v>4125</v>
      </c>
    </row>
    <row r="4391" spans="1:6">
      <c r="A4391" t="s">
        <v>8520</v>
      </c>
      <c r="B4391" t="s">
        <v>1774</v>
      </c>
      <c r="C4391" t="s">
        <v>168</v>
      </c>
      <c r="D4391" s="1">
        <v>45731</v>
      </c>
      <c r="E4391" t="s">
        <v>4135</v>
      </c>
      <c r="F4391" t="s">
        <v>4125</v>
      </c>
    </row>
    <row r="4392" spans="1:6">
      <c r="A4392" t="s">
        <v>8521</v>
      </c>
      <c r="B4392" t="s">
        <v>1774</v>
      </c>
      <c r="C4392" t="s">
        <v>168</v>
      </c>
      <c r="D4392" s="1">
        <v>45714</v>
      </c>
      <c r="E4392" t="s">
        <v>4129</v>
      </c>
      <c r="F4392" t="s">
        <v>4137</v>
      </c>
    </row>
    <row r="4393" spans="1:6">
      <c r="A4393" t="s">
        <v>8522</v>
      </c>
      <c r="B4393" t="s">
        <v>1775</v>
      </c>
      <c r="C4393" t="s">
        <v>78</v>
      </c>
      <c r="D4393" s="1">
        <v>45954</v>
      </c>
      <c r="E4393" t="s">
        <v>4129</v>
      </c>
      <c r="F4393" t="s">
        <v>4139</v>
      </c>
    </row>
    <row r="4394" spans="1:6">
      <c r="A4394" t="s">
        <v>8523</v>
      </c>
      <c r="B4394" t="s">
        <v>1775</v>
      </c>
      <c r="C4394" t="s">
        <v>78</v>
      </c>
      <c r="D4394" s="1">
        <v>45928</v>
      </c>
      <c r="E4394" t="s">
        <v>4133</v>
      </c>
      <c r="F4394" t="s">
        <v>4137</v>
      </c>
    </row>
    <row r="4395" spans="1:6">
      <c r="A4395" t="s">
        <v>8524</v>
      </c>
      <c r="B4395" t="s">
        <v>1775</v>
      </c>
      <c r="C4395" t="s">
        <v>78</v>
      </c>
      <c r="D4395" s="1">
        <v>45926</v>
      </c>
      <c r="E4395" t="s">
        <v>4127</v>
      </c>
      <c r="F4395" t="s">
        <v>4137</v>
      </c>
    </row>
    <row r="4396" spans="1:6">
      <c r="A4396" t="s">
        <v>8525</v>
      </c>
      <c r="B4396" t="s">
        <v>1775</v>
      </c>
      <c r="C4396" t="s">
        <v>78</v>
      </c>
      <c r="D4396" s="1">
        <v>45925</v>
      </c>
      <c r="E4396" t="s">
        <v>4133</v>
      </c>
      <c r="F4396" t="s">
        <v>4139</v>
      </c>
    </row>
    <row r="4397" spans="1:6">
      <c r="A4397" t="s">
        <v>8526</v>
      </c>
      <c r="B4397" t="s">
        <v>1776</v>
      </c>
      <c r="C4397" t="s">
        <v>40</v>
      </c>
      <c r="D4397" s="1">
        <v>45751</v>
      </c>
      <c r="E4397" t="s">
        <v>4129</v>
      </c>
      <c r="F4397" t="s">
        <v>4139</v>
      </c>
    </row>
    <row r="4398" spans="1:6">
      <c r="A4398" t="s">
        <v>8527</v>
      </c>
      <c r="B4398" t="s">
        <v>1776</v>
      </c>
      <c r="C4398" t="s">
        <v>40</v>
      </c>
      <c r="D4398" s="1">
        <v>45687</v>
      </c>
      <c r="E4398" t="s">
        <v>4129</v>
      </c>
      <c r="F4398" t="s">
        <v>4125</v>
      </c>
    </row>
    <row r="4399" spans="1:6">
      <c r="A4399" t="s">
        <v>8528</v>
      </c>
      <c r="B4399" t="s">
        <v>1776</v>
      </c>
      <c r="C4399" t="s">
        <v>40</v>
      </c>
      <c r="D4399" s="1">
        <v>45739</v>
      </c>
      <c r="E4399" t="s">
        <v>4124</v>
      </c>
      <c r="F4399" t="s">
        <v>4125</v>
      </c>
    </row>
    <row r="4400" spans="1:6">
      <c r="A4400" t="s">
        <v>8529</v>
      </c>
      <c r="B4400" t="s">
        <v>1776</v>
      </c>
      <c r="C4400" t="s">
        <v>40</v>
      </c>
      <c r="D4400" s="1">
        <v>45740</v>
      </c>
      <c r="E4400" t="s">
        <v>4129</v>
      </c>
      <c r="F4400" t="s">
        <v>4139</v>
      </c>
    </row>
    <row r="4401" spans="1:6">
      <c r="A4401" t="s">
        <v>8530</v>
      </c>
      <c r="B4401" t="s">
        <v>1776</v>
      </c>
      <c r="C4401" t="s">
        <v>40</v>
      </c>
      <c r="D4401" s="1">
        <v>45701</v>
      </c>
      <c r="E4401" t="s">
        <v>4135</v>
      </c>
      <c r="F4401" t="s">
        <v>4125</v>
      </c>
    </row>
    <row r="4402" spans="1:6">
      <c r="A4402" t="s">
        <v>8531</v>
      </c>
      <c r="B4402" t="s">
        <v>1777</v>
      </c>
      <c r="C4402" t="s">
        <v>152</v>
      </c>
      <c r="D4402" s="1">
        <v>45841</v>
      </c>
      <c r="E4402" t="s">
        <v>4135</v>
      </c>
      <c r="F4402" t="s">
        <v>4137</v>
      </c>
    </row>
    <row r="4403" spans="1:6">
      <c r="A4403" t="s">
        <v>8532</v>
      </c>
      <c r="B4403" t="s">
        <v>1777</v>
      </c>
      <c r="C4403" t="s">
        <v>152</v>
      </c>
      <c r="D4403" s="1">
        <v>45867</v>
      </c>
      <c r="E4403" t="s">
        <v>4127</v>
      </c>
      <c r="F4403" t="s">
        <v>4139</v>
      </c>
    </row>
    <row r="4404" spans="1:6">
      <c r="A4404" t="s">
        <v>8533</v>
      </c>
      <c r="B4404" t="s">
        <v>1777</v>
      </c>
      <c r="C4404" t="s">
        <v>152</v>
      </c>
      <c r="D4404" s="1">
        <v>45844</v>
      </c>
      <c r="E4404" t="s">
        <v>4124</v>
      </c>
      <c r="F4404" t="s">
        <v>4139</v>
      </c>
    </row>
    <row r="4405" spans="1:6">
      <c r="A4405" t="s">
        <v>8534</v>
      </c>
      <c r="B4405" t="s">
        <v>1777</v>
      </c>
      <c r="C4405" t="s">
        <v>152</v>
      </c>
      <c r="D4405" s="1">
        <v>45848</v>
      </c>
      <c r="E4405" t="s">
        <v>4129</v>
      </c>
      <c r="F4405" t="s">
        <v>4137</v>
      </c>
    </row>
    <row r="4406" spans="1:6">
      <c r="A4406" t="s">
        <v>8535</v>
      </c>
      <c r="B4406" t="s">
        <v>1778</v>
      </c>
      <c r="C4406" t="s">
        <v>32</v>
      </c>
      <c r="D4406" s="1">
        <v>45939</v>
      </c>
      <c r="E4406" t="s">
        <v>4135</v>
      </c>
      <c r="F4406" t="s">
        <v>4125</v>
      </c>
    </row>
    <row r="4407" spans="1:6">
      <c r="A4407" t="s">
        <v>8536</v>
      </c>
      <c r="B4407" t="s">
        <v>1778</v>
      </c>
      <c r="C4407" t="s">
        <v>32</v>
      </c>
      <c r="D4407" s="1">
        <v>45939</v>
      </c>
      <c r="E4407" t="s">
        <v>4135</v>
      </c>
      <c r="F4407" t="s">
        <v>4125</v>
      </c>
    </row>
    <row r="4408" spans="1:6">
      <c r="A4408" t="s">
        <v>8537</v>
      </c>
      <c r="B4408" t="s">
        <v>1778</v>
      </c>
      <c r="C4408" t="s">
        <v>32</v>
      </c>
      <c r="D4408" s="1">
        <v>45931</v>
      </c>
      <c r="E4408" t="s">
        <v>4135</v>
      </c>
      <c r="F4408" t="s">
        <v>4139</v>
      </c>
    </row>
    <row r="4409" spans="1:6">
      <c r="A4409" t="s">
        <v>8538</v>
      </c>
      <c r="B4409" t="s">
        <v>1778</v>
      </c>
      <c r="C4409" t="s">
        <v>32</v>
      </c>
      <c r="D4409" s="1">
        <v>45933</v>
      </c>
      <c r="E4409" t="s">
        <v>4124</v>
      </c>
      <c r="F4409" t="s">
        <v>4125</v>
      </c>
    </row>
    <row r="4410" spans="1:6">
      <c r="A4410" t="s">
        <v>8539</v>
      </c>
      <c r="B4410" t="s">
        <v>1778</v>
      </c>
      <c r="C4410" t="s">
        <v>32</v>
      </c>
      <c r="D4410" s="1">
        <v>45923</v>
      </c>
      <c r="E4410" t="s">
        <v>4133</v>
      </c>
      <c r="F4410" t="s">
        <v>4139</v>
      </c>
    </row>
    <row r="4411" spans="1:6">
      <c r="A4411" t="s">
        <v>8540</v>
      </c>
      <c r="B4411" t="s">
        <v>1779</v>
      </c>
      <c r="C4411" t="s">
        <v>16</v>
      </c>
      <c r="D4411" s="1">
        <v>45949</v>
      </c>
      <c r="E4411" t="s">
        <v>4124</v>
      </c>
      <c r="F4411" t="s">
        <v>4125</v>
      </c>
    </row>
    <row r="4412" spans="1:6">
      <c r="A4412" t="s">
        <v>8541</v>
      </c>
      <c r="B4412" t="s">
        <v>1779</v>
      </c>
      <c r="C4412" t="s">
        <v>16</v>
      </c>
      <c r="D4412" s="1">
        <v>45967</v>
      </c>
      <c r="E4412" t="s">
        <v>4133</v>
      </c>
      <c r="F4412" t="s">
        <v>4125</v>
      </c>
    </row>
    <row r="4413" spans="1:6">
      <c r="A4413" t="s">
        <v>8542</v>
      </c>
      <c r="B4413" t="s">
        <v>1779</v>
      </c>
      <c r="C4413" t="s">
        <v>16</v>
      </c>
      <c r="D4413" s="1">
        <v>45966</v>
      </c>
      <c r="E4413" t="s">
        <v>4127</v>
      </c>
      <c r="F4413" t="s">
        <v>4125</v>
      </c>
    </row>
    <row r="4414" spans="1:6">
      <c r="A4414" t="s">
        <v>8543</v>
      </c>
      <c r="B4414" t="s">
        <v>1779</v>
      </c>
      <c r="C4414" t="s">
        <v>16</v>
      </c>
      <c r="D4414" s="1">
        <v>45959</v>
      </c>
      <c r="E4414" t="s">
        <v>4129</v>
      </c>
      <c r="F4414" t="s">
        <v>4137</v>
      </c>
    </row>
    <row r="4415" spans="1:6">
      <c r="A4415" t="s">
        <v>8544</v>
      </c>
      <c r="B4415" t="s">
        <v>1780</v>
      </c>
      <c r="C4415" t="s">
        <v>46</v>
      </c>
      <c r="D4415" s="1">
        <v>45920</v>
      </c>
      <c r="E4415" t="s">
        <v>4135</v>
      </c>
      <c r="F4415" t="s">
        <v>4125</v>
      </c>
    </row>
    <row r="4416" spans="1:6">
      <c r="A4416" t="s">
        <v>8545</v>
      </c>
      <c r="B4416" t="s">
        <v>1780</v>
      </c>
      <c r="C4416" t="s">
        <v>46</v>
      </c>
      <c r="D4416" s="1">
        <v>45903</v>
      </c>
      <c r="E4416" t="s">
        <v>4127</v>
      </c>
      <c r="F4416" t="s">
        <v>4125</v>
      </c>
    </row>
    <row r="4417" spans="1:6">
      <c r="A4417" t="s">
        <v>8546</v>
      </c>
      <c r="B4417" t="s">
        <v>1780</v>
      </c>
      <c r="C4417" t="s">
        <v>46</v>
      </c>
      <c r="D4417" s="1">
        <v>45936</v>
      </c>
      <c r="E4417" t="s">
        <v>4129</v>
      </c>
      <c r="F4417" t="s">
        <v>4137</v>
      </c>
    </row>
    <row r="4418" spans="1:6">
      <c r="A4418" t="s">
        <v>8547</v>
      </c>
      <c r="B4418" t="s">
        <v>1780</v>
      </c>
      <c r="C4418" t="s">
        <v>46</v>
      </c>
      <c r="D4418" s="1">
        <v>45930</v>
      </c>
      <c r="E4418" t="s">
        <v>4127</v>
      </c>
      <c r="F4418" t="s">
        <v>4125</v>
      </c>
    </row>
    <row r="4419" spans="1:6">
      <c r="A4419" t="s">
        <v>8548</v>
      </c>
      <c r="B4419" t="s">
        <v>1781</v>
      </c>
      <c r="C4419" t="s">
        <v>36</v>
      </c>
      <c r="D4419" s="1">
        <v>45838</v>
      </c>
      <c r="E4419" t="s">
        <v>4133</v>
      </c>
      <c r="F4419" t="s">
        <v>4139</v>
      </c>
    </row>
    <row r="4420" spans="1:6">
      <c r="A4420" t="s">
        <v>8549</v>
      </c>
      <c r="B4420" t="s">
        <v>1781</v>
      </c>
      <c r="C4420" t="s">
        <v>36</v>
      </c>
      <c r="D4420" s="1">
        <v>45816</v>
      </c>
      <c r="E4420" t="s">
        <v>4133</v>
      </c>
      <c r="F4420" t="s">
        <v>4125</v>
      </c>
    </row>
    <row r="4421" spans="1:6">
      <c r="A4421" t="s">
        <v>8550</v>
      </c>
      <c r="B4421" t="s">
        <v>1782</v>
      </c>
      <c r="C4421" t="s">
        <v>32</v>
      </c>
      <c r="D4421" s="1">
        <v>45971</v>
      </c>
      <c r="E4421" t="s">
        <v>4133</v>
      </c>
      <c r="F4421" t="s">
        <v>4125</v>
      </c>
    </row>
    <row r="4422" spans="1:6">
      <c r="A4422" t="s">
        <v>8551</v>
      </c>
      <c r="B4422" t="s">
        <v>1782</v>
      </c>
      <c r="C4422" t="s">
        <v>32</v>
      </c>
      <c r="D4422" s="1">
        <v>45984</v>
      </c>
      <c r="E4422" t="s">
        <v>4127</v>
      </c>
      <c r="F4422" t="s">
        <v>4125</v>
      </c>
    </row>
    <row r="4423" spans="1:6">
      <c r="A4423" t="s">
        <v>8552</v>
      </c>
      <c r="B4423" t="s">
        <v>1782</v>
      </c>
      <c r="C4423" t="s">
        <v>32</v>
      </c>
      <c r="D4423" s="1">
        <v>45960</v>
      </c>
      <c r="E4423" t="s">
        <v>4124</v>
      </c>
      <c r="F4423" t="s">
        <v>4137</v>
      </c>
    </row>
    <row r="4424" spans="1:6">
      <c r="A4424" t="s">
        <v>8553</v>
      </c>
      <c r="B4424" t="s">
        <v>1782</v>
      </c>
      <c r="C4424" t="s">
        <v>32</v>
      </c>
      <c r="D4424" s="1">
        <v>45965</v>
      </c>
      <c r="E4424" t="s">
        <v>4133</v>
      </c>
      <c r="F4424" t="s">
        <v>4125</v>
      </c>
    </row>
    <row r="4425" spans="1:6">
      <c r="A4425" t="s">
        <v>8554</v>
      </c>
      <c r="B4425" t="s">
        <v>1782</v>
      </c>
      <c r="C4425" t="s">
        <v>32</v>
      </c>
      <c r="D4425" s="1">
        <v>45955</v>
      </c>
      <c r="E4425" t="s">
        <v>4129</v>
      </c>
      <c r="F4425" t="s">
        <v>4125</v>
      </c>
    </row>
    <row r="4426" spans="1:6">
      <c r="A4426" t="s">
        <v>8555</v>
      </c>
      <c r="B4426" t="s">
        <v>1783</v>
      </c>
      <c r="C4426" t="s">
        <v>50</v>
      </c>
      <c r="D4426" s="1">
        <v>45887</v>
      </c>
      <c r="E4426" t="s">
        <v>4133</v>
      </c>
      <c r="F4426" t="s">
        <v>4125</v>
      </c>
    </row>
    <row r="4427" spans="1:6">
      <c r="A4427" t="s">
        <v>8556</v>
      </c>
      <c r="B4427" t="s">
        <v>1783</v>
      </c>
      <c r="C4427" t="s">
        <v>50</v>
      </c>
      <c r="D4427" s="1">
        <v>45902</v>
      </c>
      <c r="E4427" t="s">
        <v>4124</v>
      </c>
      <c r="F4427" t="s">
        <v>4125</v>
      </c>
    </row>
    <row r="4428" spans="1:6">
      <c r="A4428" t="s">
        <v>8557</v>
      </c>
      <c r="B4428" t="s">
        <v>1783</v>
      </c>
      <c r="C4428" t="s">
        <v>50</v>
      </c>
      <c r="D4428" s="1">
        <v>45876</v>
      </c>
      <c r="E4428" t="s">
        <v>4133</v>
      </c>
      <c r="F4428" t="s">
        <v>4125</v>
      </c>
    </row>
    <row r="4429" spans="1:6">
      <c r="A4429" t="s">
        <v>8558</v>
      </c>
      <c r="B4429" t="s">
        <v>1783</v>
      </c>
      <c r="C4429" t="s">
        <v>50</v>
      </c>
      <c r="D4429" s="1">
        <v>45877</v>
      </c>
      <c r="E4429" t="s">
        <v>4124</v>
      </c>
      <c r="F4429" t="s">
        <v>4137</v>
      </c>
    </row>
    <row r="4430" spans="1:6">
      <c r="A4430" t="s">
        <v>8559</v>
      </c>
      <c r="B4430" t="s">
        <v>1783</v>
      </c>
      <c r="C4430" t="s">
        <v>50</v>
      </c>
      <c r="D4430" s="1">
        <v>45893</v>
      </c>
      <c r="E4430" t="s">
        <v>4124</v>
      </c>
      <c r="F4430" t="s">
        <v>4139</v>
      </c>
    </row>
    <row r="4431" spans="1:6">
      <c r="A4431" t="s">
        <v>8560</v>
      </c>
      <c r="B4431" t="s">
        <v>1784</v>
      </c>
      <c r="C4431" t="s">
        <v>32</v>
      </c>
      <c r="D4431" s="1">
        <v>45878</v>
      </c>
      <c r="E4431" t="s">
        <v>4135</v>
      </c>
      <c r="F4431" t="s">
        <v>4139</v>
      </c>
    </row>
    <row r="4432" spans="1:6">
      <c r="A4432" t="s">
        <v>8561</v>
      </c>
      <c r="B4432" t="s">
        <v>1784</v>
      </c>
      <c r="C4432" t="s">
        <v>32</v>
      </c>
      <c r="D4432" s="1">
        <v>45874</v>
      </c>
      <c r="E4432" t="s">
        <v>4135</v>
      </c>
      <c r="F4432" t="s">
        <v>4139</v>
      </c>
    </row>
    <row r="4433" spans="1:6">
      <c r="A4433" t="s">
        <v>8562</v>
      </c>
      <c r="B4433" t="s">
        <v>1784</v>
      </c>
      <c r="C4433" t="s">
        <v>32</v>
      </c>
      <c r="D4433" s="1">
        <v>45877</v>
      </c>
      <c r="E4433" t="s">
        <v>4127</v>
      </c>
      <c r="F4433" t="s">
        <v>4125</v>
      </c>
    </row>
    <row r="4434" spans="1:6">
      <c r="A4434" t="s">
        <v>8563</v>
      </c>
      <c r="B4434" t="s">
        <v>1785</v>
      </c>
      <c r="C4434" t="s">
        <v>46</v>
      </c>
      <c r="D4434" s="1">
        <v>45726</v>
      </c>
      <c r="E4434" t="s">
        <v>4127</v>
      </c>
      <c r="F4434" t="s">
        <v>4125</v>
      </c>
    </row>
    <row r="4435" spans="1:6">
      <c r="A4435" t="s">
        <v>8564</v>
      </c>
      <c r="B4435" t="s">
        <v>1785</v>
      </c>
      <c r="C4435" t="s">
        <v>46</v>
      </c>
      <c r="D4435" s="1">
        <v>45696</v>
      </c>
      <c r="E4435" t="s">
        <v>4133</v>
      </c>
      <c r="F4435" t="s">
        <v>4137</v>
      </c>
    </row>
    <row r="4436" spans="1:6">
      <c r="A4436" t="s">
        <v>8565</v>
      </c>
      <c r="B4436" t="s">
        <v>1785</v>
      </c>
      <c r="C4436" t="s">
        <v>46</v>
      </c>
      <c r="D4436" s="1">
        <v>45723</v>
      </c>
      <c r="E4436" t="s">
        <v>4129</v>
      </c>
      <c r="F4436" t="s">
        <v>4139</v>
      </c>
    </row>
    <row r="4437" spans="1:6">
      <c r="A4437" t="s">
        <v>8566</v>
      </c>
      <c r="B4437" t="s">
        <v>1785</v>
      </c>
      <c r="C4437" t="s">
        <v>46</v>
      </c>
      <c r="D4437" s="1">
        <v>45715</v>
      </c>
      <c r="E4437" t="s">
        <v>4135</v>
      </c>
      <c r="F4437" t="s">
        <v>4125</v>
      </c>
    </row>
    <row r="4438" spans="1:6">
      <c r="A4438" t="s">
        <v>8567</v>
      </c>
      <c r="B4438" t="s">
        <v>1785</v>
      </c>
      <c r="C4438" t="s">
        <v>46</v>
      </c>
      <c r="D4438" s="1">
        <v>45714</v>
      </c>
      <c r="E4438" t="s">
        <v>4127</v>
      </c>
      <c r="F4438" t="s">
        <v>4137</v>
      </c>
    </row>
    <row r="4439" spans="1:6">
      <c r="A4439" t="s">
        <v>8568</v>
      </c>
      <c r="B4439" t="s">
        <v>1786</v>
      </c>
      <c r="C4439" t="s">
        <v>91</v>
      </c>
      <c r="D4439" s="1">
        <v>45696</v>
      </c>
      <c r="E4439" t="s">
        <v>4127</v>
      </c>
      <c r="F4439" t="s">
        <v>4137</v>
      </c>
    </row>
    <row r="4440" spans="1:6">
      <c r="A4440" t="s">
        <v>8569</v>
      </c>
      <c r="B4440" t="s">
        <v>1786</v>
      </c>
      <c r="C4440" t="s">
        <v>91</v>
      </c>
      <c r="D4440" s="1">
        <v>45690</v>
      </c>
      <c r="E4440" t="s">
        <v>4135</v>
      </c>
      <c r="F4440" t="s">
        <v>4137</v>
      </c>
    </row>
    <row r="4441" spans="1:6">
      <c r="A4441" t="s">
        <v>8570</v>
      </c>
      <c r="B4441" t="s">
        <v>1786</v>
      </c>
      <c r="C4441" t="s">
        <v>91</v>
      </c>
      <c r="D4441" s="1">
        <v>45674</v>
      </c>
      <c r="E4441" t="s">
        <v>4133</v>
      </c>
      <c r="F4441" t="s">
        <v>4125</v>
      </c>
    </row>
    <row r="4442" spans="1:6">
      <c r="A4442" t="s">
        <v>8571</v>
      </c>
      <c r="B4442" t="s">
        <v>1786</v>
      </c>
      <c r="C4442" t="s">
        <v>91</v>
      </c>
      <c r="D4442" s="1">
        <v>45695</v>
      </c>
      <c r="E4442" t="s">
        <v>4135</v>
      </c>
      <c r="F4442" t="s">
        <v>4137</v>
      </c>
    </row>
    <row r="4443" spans="1:6">
      <c r="A4443" t="s">
        <v>8572</v>
      </c>
      <c r="B4443" t="s">
        <v>1787</v>
      </c>
      <c r="C4443" t="s">
        <v>36</v>
      </c>
      <c r="D4443" s="1">
        <v>45843</v>
      </c>
      <c r="E4443" t="s">
        <v>4135</v>
      </c>
      <c r="F4443" t="s">
        <v>4125</v>
      </c>
    </row>
    <row r="4444" spans="1:6">
      <c r="A4444" t="s">
        <v>8573</v>
      </c>
      <c r="B4444" t="s">
        <v>1787</v>
      </c>
      <c r="C4444" t="s">
        <v>36</v>
      </c>
      <c r="D4444" s="1">
        <v>45792</v>
      </c>
      <c r="E4444" t="s">
        <v>4124</v>
      </c>
      <c r="F4444" t="s">
        <v>4125</v>
      </c>
    </row>
    <row r="4445" spans="1:6">
      <c r="A4445" t="s">
        <v>8574</v>
      </c>
      <c r="B4445" t="s">
        <v>1787</v>
      </c>
      <c r="C4445" t="s">
        <v>36</v>
      </c>
      <c r="D4445" s="1">
        <v>45825</v>
      </c>
      <c r="E4445" t="s">
        <v>4124</v>
      </c>
      <c r="F4445" t="s">
        <v>4137</v>
      </c>
    </row>
    <row r="4446" spans="1:6">
      <c r="A4446" t="s">
        <v>8575</v>
      </c>
      <c r="B4446" t="s">
        <v>1787</v>
      </c>
      <c r="C4446" t="s">
        <v>36</v>
      </c>
      <c r="D4446" s="1">
        <v>45780</v>
      </c>
      <c r="E4446" t="s">
        <v>4127</v>
      </c>
      <c r="F4446" t="s">
        <v>4125</v>
      </c>
    </row>
    <row r="4447" spans="1:6">
      <c r="A4447" t="s">
        <v>8576</v>
      </c>
      <c r="B4447" t="s">
        <v>1788</v>
      </c>
      <c r="C4447" t="s">
        <v>78</v>
      </c>
      <c r="D4447" s="1">
        <v>45964</v>
      </c>
      <c r="E4447" t="s">
        <v>4127</v>
      </c>
      <c r="F4447" t="s">
        <v>4137</v>
      </c>
    </row>
    <row r="4448" spans="1:6">
      <c r="A4448" t="s">
        <v>8577</v>
      </c>
      <c r="B4448" t="s">
        <v>1788</v>
      </c>
      <c r="C4448" t="s">
        <v>78</v>
      </c>
      <c r="D4448" s="1">
        <v>45967</v>
      </c>
      <c r="E4448" t="s">
        <v>4127</v>
      </c>
      <c r="F4448" t="s">
        <v>4125</v>
      </c>
    </row>
    <row r="4449" spans="1:6">
      <c r="A4449" t="s">
        <v>8578</v>
      </c>
      <c r="B4449" t="s">
        <v>1788</v>
      </c>
      <c r="C4449" t="s">
        <v>78</v>
      </c>
      <c r="D4449" s="1">
        <v>45950</v>
      </c>
      <c r="E4449" t="s">
        <v>4124</v>
      </c>
      <c r="F4449" t="s">
        <v>4139</v>
      </c>
    </row>
    <row r="4450" spans="1:6">
      <c r="A4450" t="s">
        <v>8579</v>
      </c>
      <c r="B4450" t="s">
        <v>1789</v>
      </c>
      <c r="C4450" t="s">
        <v>119</v>
      </c>
      <c r="D4450" s="1">
        <v>45798</v>
      </c>
      <c r="E4450" t="s">
        <v>4127</v>
      </c>
      <c r="F4450" t="s">
        <v>4137</v>
      </c>
    </row>
    <row r="4451" spans="1:6">
      <c r="A4451" t="s">
        <v>8580</v>
      </c>
      <c r="B4451" t="s">
        <v>1789</v>
      </c>
      <c r="C4451" t="s">
        <v>119</v>
      </c>
      <c r="D4451" s="1">
        <v>45819</v>
      </c>
      <c r="E4451" t="s">
        <v>4133</v>
      </c>
      <c r="F4451" t="s">
        <v>4137</v>
      </c>
    </row>
    <row r="4452" spans="1:6">
      <c r="A4452" t="s">
        <v>8581</v>
      </c>
      <c r="B4452" t="s">
        <v>1789</v>
      </c>
      <c r="C4452" t="s">
        <v>119</v>
      </c>
      <c r="D4452" s="1">
        <v>45818</v>
      </c>
      <c r="E4452" t="s">
        <v>4124</v>
      </c>
      <c r="F4452" t="s">
        <v>4137</v>
      </c>
    </row>
    <row r="4453" spans="1:6">
      <c r="A4453" t="s">
        <v>8582</v>
      </c>
      <c r="B4453" t="s">
        <v>1789</v>
      </c>
      <c r="C4453" t="s">
        <v>119</v>
      </c>
      <c r="D4453" s="1">
        <v>45812</v>
      </c>
      <c r="E4453" t="s">
        <v>4135</v>
      </c>
      <c r="F4453" t="s">
        <v>4139</v>
      </c>
    </row>
    <row r="4454" spans="1:6">
      <c r="A4454" t="s">
        <v>8583</v>
      </c>
      <c r="B4454" t="s">
        <v>1790</v>
      </c>
      <c r="C4454" t="s">
        <v>27</v>
      </c>
      <c r="D4454" s="1">
        <v>45818</v>
      </c>
      <c r="E4454" t="s">
        <v>4133</v>
      </c>
      <c r="F4454" t="s">
        <v>4139</v>
      </c>
    </row>
    <row r="4455" spans="1:6">
      <c r="A4455" t="s">
        <v>8584</v>
      </c>
      <c r="B4455" t="s">
        <v>1790</v>
      </c>
      <c r="C4455" t="s">
        <v>27</v>
      </c>
      <c r="D4455" s="1">
        <v>45792</v>
      </c>
      <c r="E4455" t="s">
        <v>4127</v>
      </c>
      <c r="F4455" t="s">
        <v>4139</v>
      </c>
    </row>
    <row r="4456" spans="1:6">
      <c r="A4456" t="s">
        <v>8585</v>
      </c>
      <c r="B4456" t="s">
        <v>1790</v>
      </c>
      <c r="C4456" t="s">
        <v>27</v>
      </c>
      <c r="D4456" s="1">
        <v>45865</v>
      </c>
      <c r="E4456" t="s">
        <v>4127</v>
      </c>
      <c r="F4456" t="s">
        <v>4137</v>
      </c>
    </row>
    <row r="4457" spans="1:6">
      <c r="A4457" t="s">
        <v>8586</v>
      </c>
      <c r="B4457" t="s">
        <v>1790</v>
      </c>
      <c r="C4457" t="s">
        <v>27</v>
      </c>
      <c r="D4457" s="1">
        <v>45822</v>
      </c>
      <c r="E4457" t="s">
        <v>4124</v>
      </c>
      <c r="F4457" t="s">
        <v>4137</v>
      </c>
    </row>
    <row r="4458" spans="1:6">
      <c r="A4458" t="s">
        <v>8587</v>
      </c>
      <c r="B4458" t="s">
        <v>1791</v>
      </c>
      <c r="C4458" t="s">
        <v>22</v>
      </c>
      <c r="D4458" s="1">
        <v>45717</v>
      </c>
      <c r="E4458" t="s">
        <v>4129</v>
      </c>
      <c r="F4458" t="s">
        <v>4137</v>
      </c>
    </row>
    <row r="4459" spans="1:6">
      <c r="A4459" t="s">
        <v>8588</v>
      </c>
      <c r="B4459" t="s">
        <v>1791</v>
      </c>
      <c r="C4459" t="s">
        <v>22</v>
      </c>
      <c r="D4459" s="1">
        <v>45709</v>
      </c>
      <c r="E4459" t="s">
        <v>4133</v>
      </c>
      <c r="F4459" t="s">
        <v>4137</v>
      </c>
    </row>
    <row r="4460" spans="1:6">
      <c r="A4460" t="s">
        <v>8589</v>
      </c>
      <c r="B4460" t="s">
        <v>1792</v>
      </c>
      <c r="C4460" t="s">
        <v>70</v>
      </c>
      <c r="D4460" s="1">
        <v>45837</v>
      </c>
      <c r="E4460" t="s">
        <v>4135</v>
      </c>
      <c r="F4460" t="s">
        <v>4125</v>
      </c>
    </row>
    <row r="4461" spans="1:6">
      <c r="A4461" t="s">
        <v>8590</v>
      </c>
      <c r="B4461" t="s">
        <v>1792</v>
      </c>
      <c r="C4461" t="s">
        <v>70</v>
      </c>
      <c r="D4461" s="1">
        <v>45827</v>
      </c>
      <c r="E4461" t="s">
        <v>4133</v>
      </c>
      <c r="F4461" t="s">
        <v>4137</v>
      </c>
    </row>
    <row r="4462" spans="1:6">
      <c r="A4462" t="s">
        <v>8591</v>
      </c>
      <c r="B4462" t="s">
        <v>1792</v>
      </c>
      <c r="C4462" t="s">
        <v>70</v>
      </c>
      <c r="D4462" s="1">
        <v>45826</v>
      </c>
      <c r="E4462" t="s">
        <v>4129</v>
      </c>
      <c r="F4462" t="s">
        <v>4137</v>
      </c>
    </row>
    <row r="4463" spans="1:6">
      <c r="A4463" t="s">
        <v>8592</v>
      </c>
      <c r="B4463" t="s">
        <v>1792</v>
      </c>
      <c r="C4463" t="s">
        <v>70</v>
      </c>
      <c r="D4463" s="1">
        <v>45827</v>
      </c>
      <c r="E4463" t="s">
        <v>4133</v>
      </c>
      <c r="F4463" t="s">
        <v>4125</v>
      </c>
    </row>
    <row r="4464" spans="1:6">
      <c r="A4464" t="s">
        <v>8593</v>
      </c>
      <c r="B4464" t="s">
        <v>1792</v>
      </c>
      <c r="C4464" t="s">
        <v>70</v>
      </c>
      <c r="D4464" s="1">
        <v>45836</v>
      </c>
      <c r="E4464" t="s">
        <v>4129</v>
      </c>
      <c r="F4464" t="s">
        <v>4137</v>
      </c>
    </row>
    <row r="4465" spans="1:6">
      <c r="A4465" t="s">
        <v>8594</v>
      </c>
      <c r="B4465" t="s">
        <v>1793</v>
      </c>
      <c r="C4465" t="s">
        <v>168</v>
      </c>
      <c r="D4465" s="1">
        <v>45840</v>
      </c>
      <c r="E4465" t="s">
        <v>4124</v>
      </c>
      <c r="F4465" t="s">
        <v>4125</v>
      </c>
    </row>
    <row r="4466" spans="1:6">
      <c r="A4466" t="s">
        <v>8595</v>
      </c>
      <c r="B4466" t="s">
        <v>1793</v>
      </c>
      <c r="C4466" t="s">
        <v>168</v>
      </c>
      <c r="D4466" s="1">
        <v>45837</v>
      </c>
      <c r="E4466" t="s">
        <v>4135</v>
      </c>
      <c r="F4466" t="s">
        <v>4139</v>
      </c>
    </row>
    <row r="4467" spans="1:6">
      <c r="A4467" t="s">
        <v>8596</v>
      </c>
      <c r="B4467" t="s">
        <v>1793</v>
      </c>
      <c r="C4467" t="s">
        <v>168</v>
      </c>
      <c r="D4467" s="1">
        <v>45839</v>
      </c>
      <c r="E4467" t="s">
        <v>4133</v>
      </c>
      <c r="F4467" t="s">
        <v>4137</v>
      </c>
    </row>
    <row r="4468" spans="1:6">
      <c r="A4468" t="s">
        <v>8597</v>
      </c>
      <c r="B4468" t="s">
        <v>1794</v>
      </c>
      <c r="C4468" t="s">
        <v>75</v>
      </c>
      <c r="D4468" s="1">
        <v>46020</v>
      </c>
      <c r="E4468" t="s">
        <v>4133</v>
      </c>
      <c r="F4468" t="s">
        <v>4139</v>
      </c>
    </row>
    <row r="4469" spans="1:6">
      <c r="A4469" t="s">
        <v>8598</v>
      </c>
      <c r="B4469" t="s">
        <v>1794</v>
      </c>
      <c r="C4469" t="s">
        <v>75</v>
      </c>
      <c r="D4469" s="1">
        <v>46022</v>
      </c>
      <c r="E4469" t="s">
        <v>4127</v>
      </c>
      <c r="F4469" t="s">
        <v>4125</v>
      </c>
    </row>
    <row r="4470" spans="1:6">
      <c r="A4470" t="s">
        <v>8599</v>
      </c>
      <c r="B4470" t="s">
        <v>1794</v>
      </c>
      <c r="C4470" t="s">
        <v>75</v>
      </c>
      <c r="D4470" s="1">
        <v>46021</v>
      </c>
      <c r="E4470" t="s">
        <v>4133</v>
      </c>
      <c r="F4470" t="s">
        <v>4125</v>
      </c>
    </row>
    <row r="4471" spans="1:6">
      <c r="A4471" t="s">
        <v>8600</v>
      </c>
      <c r="B4471" t="s">
        <v>1795</v>
      </c>
      <c r="C4471" t="s">
        <v>168</v>
      </c>
      <c r="D4471" s="1">
        <v>45820</v>
      </c>
      <c r="E4471" t="s">
        <v>4133</v>
      </c>
      <c r="F4471" t="s">
        <v>4139</v>
      </c>
    </row>
    <row r="4472" spans="1:6">
      <c r="A4472" t="s">
        <v>8601</v>
      </c>
      <c r="B4472" t="s">
        <v>1795</v>
      </c>
      <c r="C4472" t="s">
        <v>168</v>
      </c>
      <c r="D4472" s="1">
        <v>45815</v>
      </c>
      <c r="E4472" t="s">
        <v>4133</v>
      </c>
      <c r="F4472" t="s">
        <v>4137</v>
      </c>
    </row>
    <row r="4473" spans="1:6">
      <c r="A4473" t="s">
        <v>8602</v>
      </c>
      <c r="B4473" t="s">
        <v>1795</v>
      </c>
      <c r="C4473" t="s">
        <v>168</v>
      </c>
      <c r="D4473" s="1">
        <v>45815</v>
      </c>
      <c r="E4473" t="s">
        <v>4129</v>
      </c>
      <c r="F4473" t="s">
        <v>4125</v>
      </c>
    </row>
    <row r="4474" spans="1:6">
      <c r="A4474" t="s">
        <v>8603</v>
      </c>
      <c r="B4474" t="s">
        <v>1795</v>
      </c>
      <c r="C4474" t="s">
        <v>168</v>
      </c>
      <c r="D4474" s="1">
        <v>45809</v>
      </c>
      <c r="E4474" t="s">
        <v>4133</v>
      </c>
      <c r="F4474" t="s">
        <v>4139</v>
      </c>
    </row>
    <row r="4475" spans="1:6">
      <c r="A4475" t="s">
        <v>8604</v>
      </c>
      <c r="B4475" t="s">
        <v>1795</v>
      </c>
      <c r="C4475" t="s">
        <v>168</v>
      </c>
      <c r="D4475" s="1">
        <v>45817</v>
      </c>
      <c r="E4475" t="s">
        <v>4124</v>
      </c>
      <c r="F4475" t="s">
        <v>4139</v>
      </c>
    </row>
    <row r="4476" spans="1:6">
      <c r="A4476" t="s">
        <v>8605</v>
      </c>
      <c r="B4476" t="s">
        <v>1796</v>
      </c>
      <c r="C4476" t="s">
        <v>50</v>
      </c>
      <c r="D4476" s="1">
        <v>45737</v>
      </c>
      <c r="E4476" t="s">
        <v>4129</v>
      </c>
      <c r="F4476" t="s">
        <v>4139</v>
      </c>
    </row>
    <row r="4477" spans="1:6">
      <c r="A4477" t="s">
        <v>8606</v>
      </c>
      <c r="B4477" t="s">
        <v>1796</v>
      </c>
      <c r="C4477" t="s">
        <v>50</v>
      </c>
      <c r="D4477" s="1">
        <v>45735</v>
      </c>
      <c r="E4477" t="s">
        <v>4135</v>
      </c>
      <c r="F4477" t="s">
        <v>4139</v>
      </c>
    </row>
    <row r="4478" spans="1:6">
      <c r="A4478" t="s">
        <v>8607</v>
      </c>
      <c r="B4478" t="s">
        <v>1796</v>
      </c>
      <c r="C4478" t="s">
        <v>50</v>
      </c>
      <c r="D4478" s="1">
        <v>45741</v>
      </c>
      <c r="E4478" t="s">
        <v>4124</v>
      </c>
      <c r="F4478" t="s">
        <v>4139</v>
      </c>
    </row>
    <row r="4479" spans="1:6">
      <c r="A4479" t="s">
        <v>8608</v>
      </c>
      <c r="B4479" t="s">
        <v>1796</v>
      </c>
      <c r="C4479" t="s">
        <v>50</v>
      </c>
      <c r="D4479" s="1">
        <v>45750</v>
      </c>
      <c r="E4479" t="s">
        <v>4133</v>
      </c>
      <c r="F4479" t="s">
        <v>4139</v>
      </c>
    </row>
    <row r="4480" spans="1:6">
      <c r="A4480" t="s">
        <v>8609</v>
      </c>
      <c r="B4480" t="s">
        <v>1797</v>
      </c>
      <c r="C4480" t="s">
        <v>50</v>
      </c>
      <c r="D4480" s="1">
        <v>45688</v>
      </c>
      <c r="E4480" t="s">
        <v>4129</v>
      </c>
      <c r="F4480" t="s">
        <v>4139</v>
      </c>
    </row>
    <row r="4481" spans="1:6">
      <c r="A4481" t="s">
        <v>8610</v>
      </c>
      <c r="B4481" t="s">
        <v>1797</v>
      </c>
      <c r="C4481" t="s">
        <v>50</v>
      </c>
      <c r="D4481" s="1">
        <v>45687</v>
      </c>
      <c r="E4481" t="s">
        <v>4135</v>
      </c>
      <c r="F4481" t="s">
        <v>4125</v>
      </c>
    </row>
    <row r="4482" spans="1:6">
      <c r="A4482" t="s">
        <v>8611</v>
      </c>
      <c r="B4482" t="s">
        <v>1797</v>
      </c>
      <c r="C4482" t="s">
        <v>50</v>
      </c>
      <c r="D4482" s="1">
        <v>45686</v>
      </c>
      <c r="E4482" t="s">
        <v>4127</v>
      </c>
      <c r="F4482" t="s">
        <v>4139</v>
      </c>
    </row>
    <row r="4483" spans="1:6">
      <c r="A4483" t="s">
        <v>8612</v>
      </c>
      <c r="B4483" t="s">
        <v>1798</v>
      </c>
      <c r="C4483" t="s">
        <v>53</v>
      </c>
      <c r="D4483" s="1">
        <v>45809</v>
      </c>
      <c r="E4483" t="s">
        <v>4135</v>
      </c>
      <c r="F4483" t="s">
        <v>4139</v>
      </c>
    </row>
    <row r="4484" spans="1:6">
      <c r="A4484" t="s">
        <v>8613</v>
      </c>
      <c r="B4484" t="s">
        <v>1798</v>
      </c>
      <c r="C4484" t="s">
        <v>53</v>
      </c>
      <c r="D4484" s="1">
        <v>45805</v>
      </c>
      <c r="E4484" t="s">
        <v>4135</v>
      </c>
      <c r="F4484" t="s">
        <v>4125</v>
      </c>
    </row>
    <row r="4485" spans="1:6">
      <c r="A4485" t="s">
        <v>8614</v>
      </c>
      <c r="B4485" t="s">
        <v>1798</v>
      </c>
      <c r="C4485" t="s">
        <v>53</v>
      </c>
      <c r="D4485" s="1">
        <v>45818</v>
      </c>
      <c r="E4485" t="s">
        <v>4127</v>
      </c>
      <c r="F4485" t="s">
        <v>4137</v>
      </c>
    </row>
    <row r="4486" spans="1:6">
      <c r="A4486" t="s">
        <v>8615</v>
      </c>
      <c r="B4486" t="s">
        <v>1798</v>
      </c>
      <c r="C4486" t="s">
        <v>53</v>
      </c>
      <c r="D4486" s="1">
        <v>45845</v>
      </c>
      <c r="E4486" t="s">
        <v>4124</v>
      </c>
      <c r="F4486" t="s">
        <v>4137</v>
      </c>
    </row>
    <row r="4487" spans="1:6">
      <c r="A4487" t="s">
        <v>8616</v>
      </c>
      <c r="B4487" t="s">
        <v>1799</v>
      </c>
      <c r="C4487" t="s">
        <v>168</v>
      </c>
      <c r="D4487" s="1">
        <v>45839</v>
      </c>
      <c r="E4487" t="s">
        <v>4129</v>
      </c>
      <c r="F4487" t="s">
        <v>4137</v>
      </c>
    </row>
    <row r="4488" spans="1:6">
      <c r="A4488" t="s">
        <v>8617</v>
      </c>
      <c r="B4488" t="s">
        <v>1799</v>
      </c>
      <c r="C4488" t="s">
        <v>168</v>
      </c>
      <c r="D4488" s="1">
        <v>45808</v>
      </c>
      <c r="E4488" t="s">
        <v>4124</v>
      </c>
      <c r="F4488" t="s">
        <v>4137</v>
      </c>
    </row>
    <row r="4489" spans="1:6">
      <c r="A4489" t="s">
        <v>8618</v>
      </c>
      <c r="B4489" t="s">
        <v>1800</v>
      </c>
      <c r="C4489" t="s">
        <v>22</v>
      </c>
      <c r="D4489" s="1">
        <v>46008</v>
      </c>
      <c r="E4489" t="s">
        <v>4135</v>
      </c>
      <c r="F4489" t="s">
        <v>4137</v>
      </c>
    </row>
    <row r="4490" spans="1:6">
      <c r="A4490" t="s">
        <v>8619</v>
      </c>
      <c r="B4490" t="s">
        <v>1800</v>
      </c>
      <c r="C4490" t="s">
        <v>22</v>
      </c>
      <c r="D4490" s="1">
        <v>46003</v>
      </c>
      <c r="E4490" t="s">
        <v>4133</v>
      </c>
      <c r="F4490" t="s">
        <v>4137</v>
      </c>
    </row>
    <row r="4491" spans="1:6">
      <c r="A4491" t="s">
        <v>8620</v>
      </c>
      <c r="B4491" t="s">
        <v>1800</v>
      </c>
      <c r="C4491" t="s">
        <v>22</v>
      </c>
      <c r="D4491" s="1">
        <v>45989</v>
      </c>
      <c r="E4491" t="s">
        <v>4124</v>
      </c>
      <c r="F4491" t="s">
        <v>4137</v>
      </c>
    </row>
    <row r="4492" spans="1:6">
      <c r="A4492" t="s">
        <v>8621</v>
      </c>
      <c r="B4492" t="s">
        <v>1801</v>
      </c>
      <c r="C4492" t="s">
        <v>56</v>
      </c>
      <c r="D4492" s="1">
        <v>45730</v>
      </c>
      <c r="E4492" t="s">
        <v>4124</v>
      </c>
      <c r="F4492" t="s">
        <v>4137</v>
      </c>
    </row>
    <row r="4493" spans="1:6">
      <c r="A4493" t="s">
        <v>8622</v>
      </c>
      <c r="B4493" t="s">
        <v>1801</v>
      </c>
      <c r="C4493" t="s">
        <v>56</v>
      </c>
      <c r="D4493" s="1">
        <v>45710</v>
      </c>
      <c r="E4493" t="s">
        <v>4133</v>
      </c>
      <c r="F4493" t="s">
        <v>4137</v>
      </c>
    </row>
    <row r="4494" spans="1:6">
      <c r="A4494" t="s">
        <v>8623</v>
      </c>
      <c r="B4494" t="s">
        <v>1802</v>
      </c>
      <c r="C4494" t="s">
        <v>168</v>
      </c>
      <c r="D4494" s="1">
        <v>45835</v>
      </c>
      <c r="E4494" t="s">
        <v>4124</v>
      </c>
      <c r="F4494" t="s">
        <v>4125</v>
      </c>
    </row>
    <row r="4495" spans="1:6">
      <c r="A4495" t="s">
        <v>8624</v>
      </c>
      <c r="B4495" t="s">
        <v>1802</v>
      </c>
      <c r="C4495" t="s">
        <v>168</v>
      </c>
      <c r="D4495" s="1">
        <v>45825</v>
      </c>
      <c r="E4495" t="s">
        <v>4135</v>
      </c>
      <c r="F4495" t="s">
        <v>4137</v>
      </c>
    </row>
    <row r="4496" spans="1:6">
      <c r="A4496" t="s">
        <v>8625</v>
      </c>
      <c r="B4496" t="s">
        <v>1802</v>
      </c>
      <c r="C4496" t="s">
        <v>168</v>
      </c>
      <c r="D4496" s="1">
        <v>45811</v>
      </c>
      <c r="E4496" t="s">
        <v>4129</v>
      </c>
      <c r="F4496" t="s">
        <v>4125</v>
      </c>
    </row>
    <row r="4497" spans="1:6">
      <c r="A4497" t="s">
        <v>8626</v>
      </c>
      <c r="B4497" t="s">
        <v>1802</v>
      </c>
      <c r="C4497" t="s">
        <v>168</v>
      </c>
      <c r="D4497" s="1">
        <v>45837</v>
      </c>
      <c r="E4497" t="s">
        <v>4135</v>
      </c>
      <c r="F4497" t="s">
        <v>4125</v>
      </c>
    </row>
    <row r="4498" spans="1:6">
      <c r="A4498" t="s">
        <v>8627</v>
      </c>
      <c r="B4498" t="s">
        <v>1803</v>
      </c>
      <c r="C4498" t="s">
        <v>119</v>
      </c>
      <c r="D4498" s="1">
        <v>45840</v>
      </c>
      <c r="E4498" t="s">
        <v>4133</v>
      </c>
      <c r="F4498" t="s">
        <v>4137</v>
      </c>
    </row>
    <row r="4499" spans="1:6">
      <c r="A4499" t="s">
        <v>8628</v>
      </c>
      <c r="B4499" t="s">
        <v>1803</v>
      </c>
      <c r="C4499" t="s">
        <v>119</v>
      </c>
      <c r="D4499" s="1">
        <v>45846</v>
      </c>
      <c r="E4499" t="s">
        <v>4133</v>
      </c>
      <c r="F4499" t="s">
        <v>4139</v>
      </c>
    </row>
    <row r="4500" spans="1:6">
      <c r="A4500" t="s">
        <v>8629</v>
      </c>
      <c r="B4500" t="s">
        <v>1803</v>
      </c>
      <c r="C4500" t="s">
        <v>119</v>
      </c>
      <c r="D4500" s="1">
        <v>45851</v>
      </c>
      <c r="E4500" t="s">
        <v>4124</v>
      </c>
      <c r="F4500" t="s">
        <v>4125</v>
      </c>
    </row>
    <row r="4501" spans="1:6">
      <c r="A4501" t="s">
        <v>8630</v>
      </c>
      <c r="B4501" t="s">
        <v>1804</v>
      </c>
      <c r="C4501" t="s">
        <v>168</v>
      </c>
      <c r="D4501" s="1">
        <v>46013</v>
      </c>
      <c r="E4501" t="s">
        <v>4127</v>
      </c>
      <c r="F4501" t="s">
        <v>4125</v>
      </c>
    </row>
    <row r="4502" spans="1:6">
      <c r="A4502" t="s">
        <v>8631</v>
      </c>
      <c r="B4502" t="s">
        <v>1804</v>
      </c>
      <c r="C4502" t="s">
        <v>168</v>
      </c>
      <c r="D4502" s="1">
        <v>46005</v>
      </c>
      <c r="E4502" t="s">
        <v>4135</v>
      </c>
      <c r="F4502" t="s">
        <v>4125</v>
      </c>
    </row>
    <row r="4503" spans="1:6">
      <c r="A4503" t="s">
        <v>8632</v>
      </c>
      <c r="B4503" t="s">
        <v>1804</v>
      </c>
      <c r="C4503" t="s">
        <v>168</v>
      </c>
      <c r="D4503" s="1">
        <v>45979</v>
      </c>
      <c r="E4503" t="s">
        <v>4124</v>
      </c>
      <c r="F4503" t="s">
        <v>4139</v>
      </c>
    </row>
    <row r="4504" spans="1:6">
      <c r="A4504" t="s">
        <v>8633</v>
      </c>
      <c r="B4504" t="s">
        <v>1804</v>
      </c>
      <c r="C4504" t="s">
        <v>168</v>
      </c>
      <c r="D4504" s="1">
        <v>46003</v>
      </c>
      <c r="E4504" t="s">
        <v>4129</v>
      </c>
      <c r="F4504" t="s">
        <v>4139</v>
      </c>
    </row>
    <row r="4505" spans="1:6">
      <c r="A4505" t="s">
        <v>8634</v>
      </c>
      <c r="B4505" t="s">
        <v>1804</v>
      </c>
      <c r="C4505" t="s">
        <v>168</v>
      </c>
      <c r="D4505" s="1">
        <v>45996</v>
      </c>
      <c r="E4505" t="s">
        <v>4129</v>
      </c>
      <c r="F4505" t="s">
        <v>4137</v>
      </c>
    </row>
    <row r="4506" spans="1:6">
      <c r="A4506" t="s">
        <v>8635</v>
      </c>
      <c r="B4506" t="s">
        <v>1805</v>
      </c>
      <c r="C4506" t="s">
        <v>75</v>
      </c>
      <c r="D4506" s="1">
        <v>45987</v>
      </c>
      <c r="E4506" t="s">
        <v>4129</v>
      </c>
      <c r="F4506" t="s">
        <v>4139</v>
      </c>
    </row>
    <row r="4507" spans="1:6">
      <c r="A4507" t="s">
        <v>8636</v>
      </c>
      <c r="B4507" t="s">
        <v>1805</v>
      </c>
      <c r="C4507" t="s">
        <v>75</v>
      </c>
      <c r="D4507" s="1">
        <v>45979</v>
      </c>
      <c r="E4507" t="s">
        <v>4124</v>
      </c>
      <c r="F4507" t="s">
        <v>4125</v>
      </c>
    </row>
    <row r="4508" spans="1:6">
      <c r="A4508" t="s">
        <v>8637</v>
      </c>
      <c r="B4508" t="s">
        <v>1805</v>
      </c>
      <c r="C4508" t="s">
        <v>75</v>
      </c>
      <c r="D4508" s="1">
        <v>46014</v>
      </c>
      <c r="E4508" t="s">
        <v>4135</v>
      </c>
      <c r="F4508" t="s">
        <v>4125</v>
      </c>
    </row>
    <row r="4509" spans="1:6">
      <c r="A4509" t="s">
        <v>8638</v>
      </c>
      <c r="B4509" t="s">
        <v>1805</v>
      </c>
      <c r="C4509" t="s">
        <v>75</v>
      </c>
      <c r="D4509" s="1">
        <v>46002</v>
      </c>
      <c r="E4509" t="s">
        <v>4133</v>
      </c>
      <c r="F4509" t="s">
        <v>4139</v>
      </c>
    </row>
    <row r="4510" spans="1:6">
      <c r="A4510" t="s">
        <v>8639</v>
      </c>
      <c r="B4510" t="s">
        <v>1806</v>
      </c>
      <c r="C4510" t="s">
        <v>36</v>
      </c>
      <c r="D4510" s="1">
        <v>45781</v>
      </c>
      <c r="E4510" t="s">
        <v>4129</v>
      </c>
      <c r="F4510" t="s">
        <v>4125</v>
      </c>
    </row>
    <row r="4511" spans="1:6">
      <c r="A4511" t="s">
        <v>8640</v>
      </c>
      <c r="B4511" t="s">
        <v>1806</v>
      </c>
      <c r="C4511" t="s">
        <v>36</v>
      </c>
      <c r="D4511" s="1">
        <v>45791</v>
      </c>
      <c r="E4511" t="s">
        <v>4124</v>
      </c>
      <c r="F4511" t="s">
        <v>4125</v>
      </c>
    </row>
    <row r="4512" spans="1:6">
      <c r="A4512" t="s">
        <v>8641</v>
      </c>
      <c r="B4512" t="s">
        <v>1807</v>
      </c>
      <c r="C4512" t="s">
        <v>46</v>
      </c>
      <c r="D4512" s="1">
        <v>45950</v>
      </c>
      <c r="E4512" t="s">
        <v>4133</v>
      </c>
      <c r="F4512" t="s">
        <v>4137</v>
      </c>
    </row>
    <row r="4513" spans="1:6">
      <c r="A4513" t="s">
        <v>8642</v>
      </c>
      <c r="B4513" t="s">
        <v>1807</v>
      </c>
      <c r="C4513" t="s">
        <v>46</v>
      </c>
      <c r="D4513" s="1">
        <v>45967</v>
      </c>
      <c r="E4513" t="s">
        <v>4135</v>
      </c>
      <c r="F4513" t="s">
        <v>4125</v>
      </c>
    </row>
    <row r="4514" spans="1:6">
      <c r="A4514" t="s">
        <v>8643</v>
      </c>
      <c r="B4514" t="s">
        <v>1808</v>
      </c>
      <c r="C4514" t="s">
        <v>32</v>
      </c>
      <c r="D4514" s="1">
        <v>45879</v>
      </c>
      <c r="E4514" t="s">
        <v>4127</v>
      </c>
      <c r="F4514" t="s">
        <v>4137</v>
      </c>
    </row>
    <row r="4515" spans="1:6">
      <c r="A4515" t="s">
        <v>8644</v>
      </c>
      <c r="B4515" t="s">
        <v>1808</v>
      </c>
      <c r="C4515" t="s">
        <v>32</v>
      </c>
      <c r="D4515" s="1">
        <v>45874</v>
      </c>
      <c r="E4515" t="s">
        <v>4135</v>
      </c>
      <c r="F4515" t="s">
        <v>4125</v>
      </c>
    </row>
    <row r="4516" spans="1:6">
      <c r="A4516" t="s">
        <v>8645</v>
      </c>
      <c r="B4516" t="s">
        <v>1808</v>
      </c>
      <c r="C4516" t="s">
        <v>32</v>
      </c>
      <c r="D4516" s="1">
        <v>45867</v>
      </c>
      <c r="E4516" t="s">
        <v>4124</v>
      </c>
      <c r="F4516" t="s">
        <v>4139</v>
      </c>
    </row>
    <row r="4517" spans="1:6">
      <c r="A4517" t="s">
        <v>8646</v>
      </c>
      <c r="B4517" t="s">
        <v>1808</v>
      </c>
      <c r="C4517" t="s">
        <v>32</v>
      </c>
      <c r="D4517" s="1">
        <v>45898</v>
      </c>
      <c r="E4517" t="s">
        <v>4129</v>
      </c>
      <c r="F4517" t="s">
        <v>4125</v>
      </c>
    </row>
    <row r="4518" spans="1:6">
      <c r="A4518" t="s">
        <v>8647</v>
      </c>
      <c r="B4518" t="s">
        <v>1808</v>
      </c>
      <c r="C4518" t="s">
        <v>32</v>
      </c>
      <c r="D4518" s="1">
        <v>45880</v>
      </c>
      <c r="E4518" t="s">
        <v>4133</v>
      </c>
      <c r="F4518" t="s">
        <v>4139</v>
      </c>
    </row>
    <row r="4519" spans="1:6">
      <c r="A4519" t="s">
        <v>8648</v>
      </c>
      <c r="B4519" t="s">
        <v>1809</v>
      </c>
      <c r="C4519" t="s">
        <v>152</v>
      </c>
      <c r="D4519" s="1">
        <v>45925</v>
      </c>
      <c r="E4519" t="s">
        <v>4129</v>
      </c>
      <c r="F4519" t="s">
        <v>4137</v>
      </c>
    </row>
    <row r="4520" spans="1:6">
      <c r="A4520" t="s">
        <v>8649</v>
      </c>
      <c r="B4520" t="s">
        <v>1809</v>
      </c>
      <c r="C4520" t="s">
        <v>152</v>
      </c>
      <c r="D4520" s="1">
        <v>45918</v>
      </c>
      <c r="E4520" t="s">
        <v>4129</v>
      </c>
      <c r="F4520" t="s">
        <v>4137</v>
      </c>
    </row>
    <row r="4521" spans="1:6">
      <c r="A4521" t="s">
        <v>8650</v>
      </c>
      <c r="B4521" t="s">
        <v>1809</v>
      </c>
      <c r="C4521" t="s">
        <v>152</v>
      </c>
      <c r="D4521" s="1">
        <v>45930</v>
      </c>
      <c r="E4521" t="s">
        <v>4133</v>
      </c>
      <c r="F4521" t="s">
        <v>4137</v>
      </c>
    </row>
    <row r="4522" spans="1:6">
      <c r="A4522" t="s">
        <v>8651</v>
      </c>
      <c r="B4522" t="s">
        <v>1809</v>
      </c>
      <c r="C4522" t="s">
        <v>152</v>
      </c>
      <c r="D4522" s="1">
        <v>45933</v>
      </c>
      <c r="E4522" t="s">
        <v>4135</v>
      </c>
      <c r="F4522" t="s">
        <v>4139</v>
      </c>
    </row>
    <row r="4523" spans="1:6">
      <c r="A4523" t="s">
        <v>8652</v>
      </c>
      <c r="B4523" t="s">
        <v>1809</v>
      </c>
      <c r="C4523" t="s">
        <v>152</v>
      </c>
      <c r="D4523" s="1">
        <v>45926</v>
      </c>
      <c r="E4523" t="s">
        <v>4135</v>
      </c>
      <c r="F4523" t="s">
        <v>4125</v>
      </c>
    </row>
    <row r="4524" spans="1:6">
      <c r="A4524" t="s">
        <v>8653</v>
      </c>
      <c r="B4524" t="s">
        <v>1810</v>
      </c>
      <c r="C4524" t="s">
        <v>46</v>
      </c>
      <c r="D4524" s="1">
        <v>45906</v>
      </c>
      <c r="E4524" t="s">
        <v>4135</v>
      </c>
      <c r="F4524" t="s">
        <v>4125</v>
      </c>
    </row>
    <row r="4525" spans="1:6">
      <c r="A4525" t="s">
        <v>8654</v>
      </c>
      <c r="B4525" t="s">
        <v>1810</v>
      </c>
      <c r="C4525" t="s">
        <v>46</v>
      </c>
      <c r="D4525" s="1">
        <v>45895</v>
      </c>
      <c r="E4525" t="s">
        <v>4127</v>
      </c>
      <c r="F4525" t="s">
        <v>4125</v>
      </c>
    </row>
    <row r="4526" spans="1:6">
      <c r="A4526" t="s">
        <v>8655</v>
      </c>
      <c r="B4526" t="s">
        <v>1810</v>
      </c>
      <c r="C4526" t="s">
        <v>46</v>
      </c>
      <c r="D4526" s="1">
        <v>45894</v>
      </c>
      <c r="E4526" t="s">
        <v>4133</v>
      </c>
      <c r="F4526" t="s">
        <v>4139</v>
      </c>
    </row>
    <row r="4527" spans="1:6">
      <c r="A4527" t="s">
        <v>8656</v>
      </c>
      <c r="B4527" t="s">
        <v>1810</v>
      </c>
      <c r="C4527" t="s">
        <v>46</v>
      </c>
      <c r="D4527" s="1">
        <v>45869</v>
      </c>
      <c r="E4527" t="s">
        <v>4135</v>
      </c>
      <c r="F4527" t="s">
        <v>4139</v>
      </c>
    </row>
    <row r="4528" spans="1:6">
      <c r="A4528" t="s">
        <v>8657</v>
      </c>
      <c r="B4528" t="s">
        <v>1810</v>
      </c>
      <c r="C4528" t="s">
        <v>46</v>
      </c>
      <c r="D4528" s="1">
        <v>45874</v>
      </c>
      <c r="E4528" t="s">
        <v>4127</v>
      </c>
      <c r="F4528" t="s">
        <v>4139</v>
      </c>
    </row>
    <row r="4529" spans="1:6">
      <c r="A4529" t="s">
        <v>8658</v>
      </c>
      <c r="B4529" t="s">
        <v>1811</v>
      </c>
      <c r="C4529" t="s">
        <v>36</v>
      </c>
      <c r="D4529" s="1">
        <v>45920</v>
      </c>
      <c r="E4529" t="s">
        <v>4133</v>
      </c>
      <c r="F4529" t="s">
        <v>4125</v>
      </c>
    </row>
    <row r="4530" spans="1:6">
      <c r="A4530" t="s">
        <v>8659</v>
      </c>
      <c r="B4530" t="s">
        <v>1811</v>
      </c>
      <c r="C4530" t="s">
        <v>36</v>
      </c>
      <c r="D4530" s="1">
        <v>45907</v>
      </c>
      <c r="E4530" t="s">
        <v>4133</v>
      </c>
      <c r="F4530" t="s">
        <v>4137</v>
      </c>
    </row>
    <row r="4531" spans="1:6">
      <c r="A4531" t="s">
        <v>8660</v>
      </c>
      <c r="B4531" t="s">
        <v>1812</v>
      </c>
      <c r="C4531" t="s">
        <v>78</v>
      </c>
      <c r="D4531" s="1">
        <v>45677</v>
      </c>
      <c r="E4531" t="s">
        <v>4127</v>
      </c>
      <c r="F4531" t="s">
        <v>4125</v>
      </c>
    </row>
    <row r="4532" spans="1:6">
      <c r="A4532" t="s">
        <v>8661</v>
      </c>
      <c r="B4532" t="s">
        <v>1812</v>
      </c>
      <c r="C4532" t="s">
        <v>78</v>
      </c>
      <c r="D4532" s="1">
        <v>45714</v>
      </c>
      <c r="E4532" t="s">
        <v>4133</v>
      </c>
      <c r="F4532" t="s">
        <v>4139</v>
      </c>
    </row>
    <row r="4533" spans="1:6">
      <c r="A4533" t="s">
        <v>8662</v>
      </c>
      <c r="B4533" t="s">
        <v>1812</v>
      </c>
      <c r="C4533" t="s">
        <v>78</v>
      </c>
      <c r="D4533" s="1">
        <v>45680</v>
      </c>
      <c r="E4533" t="s">
        <v>4127</v>
      </c>
      <c r="F4533" t="s">
        <v>4125</v>
      </c>
    </row>
    <row r="4534" spans="1:6">
      <c r="A4534" t="s">
        <v>8663</v>
      </c>
      <c r="B4534" t="s">
        <v>1812</v>
      </c>
      <c r="C4534" t="s">
        <v>78</v>
      </c>
      <c r="D4534" s="1">
        <v>45687</v>
      </c>
      <c r="E4534" t="s">
        <v>4133</v>
      </c>
      <c r="F4534" t="s">
        <v>4139</v>
      </c>
    </row>
    <row r="4535" spans="1:6">
      <c r="A4535" t="s">
        <v>8664</v>
      </c>
      <c r="B4535" t="s">
        <v>1812</v>
      </c>
      <c r="C4535" t="s">
        <v>78</v>
      </c>
      <c r="D4535" s="1">
        <v>45710</v>
      </c>
      <c r="E4535" t="s">
        <v>4129</v>
      </c>
      <c r="F4535" t="s">
        <v>4137</v>
      </c>
    </row>
    <row r="4536" spans="1:6">
      <c r="A4536" t="s">
        <v>8665</v>
      </c>
      <c r="B4536" t="s">
        <v>1813</v>
      </c>
      <c r="C4536" t="s">
        <v>70</v>
      </c>
      <c r="D4536" s="1">
        <v>45868</v>
      </c>
      <c r="E4536" t="s">
        <v>4135</v>
      </c>
      <c r="F4536" t="s">
        <v>4139</v>
      </c>
    </row>
    <row r="4537" spans="1:6">
      <c r="A4537" t="s">
        <v>8666</v>
      </c>
      <c r="B4537" t="s">
        <v>1813</v>
      </c>
      <c r="C4537" t="s">
        <v>70</v>
      </c>
      <c r="D4537" s="1">
        <v>45867</v>
      </c>
      <c r="E4537" t="s">
        <v>4127</v>
      </c>
      <c r="F4537" t="s">
        <v>4125</v>
      </c>
    </row>
    <row r="4538" spans="1:6">
      <c r="A4538" t="s">
        <v>8667</v>
      </c>
      <c r="B4538" t="s">
        <v>1813</v>
      </c>
      <c r="C4538" t="s">
        <v>70</v>
      </c>
      <c r="D4538" s="1">
        <v>45875</v>
      </c>
      <c r="E4538" t="s">
        <v>4127</v>
      </c>
      <c r="F4538" t="s">
        <v>4137</v>
      </c>
    </row>
    <row r="4539" spans="1:6">
      <c r="A4539" t="s">
        <v>8668</v>
      </c>
      <c r="B4539" t="s">
        <v>1814</v>
      </c>
      <c r="C4539" t="s">
        <v>168</v>
      </c>
      <c r="D4539" s="1">
        <v>45694</v>
      </c>
      <c r="E4539" t="s">
        <v>4124</v>
      </c>
      <c r="F4539" t="s">
        <v>4125</v>
      </c>
    </row>
    <row r="4540" spans="1:6">
      <c r="A4540" t="s">
        <v>8669</v>
      </c>
      <c r="B4540" t="s">
        <v>1814</v>
      </c>
      <c r="C4540" t="s">
        <v>168</v>
      </c>
      <c r="D4540" s="1">
        <v>45694</v>
      </c>
      <c r="E4540" t="s">
        <v>4135</v>
      </c>
      <c r="F4540" t="s">
        <v>4125</v>
      </c>
    </row>
    <row r="4541" spans="1:6">
      <c r="A4541" t="s">
        <v>8670</v>
      </c>
      <c r="B4541" t="s">
        <v>1814</v>
      </c>
      <c r="C4541" t="s">
        <v>168</v>
      </c>
      <c r="D4541" s="1">
        <v>45712</v>
      </c>
      <c r="E4541" t="s">
        <v>4133</v>
      </c>
      <c r="F4541" t="s">
        <v>4139</v>
      </c>
    </row>
    <row r="4542" spans="1:6">
      <c r="A4542" t="s">
        <v>8671</v>
      </c>
      <c r="B4542" t="s">
        <v>1814</v>
      </c>
      <c r="C4542" t="s">
        <v>168</v>
      </c>
      <c r="D4542" s="1">
        <v>45708</v>
      </c>
      <c r="E4542" t="s">
        <v>4124</v>
      </c>
      <c r="F4542" t="s">
        <v>4139</v>
      </c>
    </row>
    <row r="4543" spans="1:6">
      <c r="A4543" t="s">
        <v>8672</v>
      </c>
      <c r="B4543" t="s">
        <v>1814</v>
      </c>
      <c r="C4543" t="s">
        <v>168</v>
      </c>
      <c r="D4543" s="1">
        <v>45693</v>
      </c>
      <c r="E4543" t="s">
        <v>4124</v>
      </c>
      <c r="F4543" t="s">
        <v>4139</v>
      </c>
    </row>
    <row r="4544" spans="1:6">
      <c r="A4544" t="s">
        <v>8673</v>
      </c>
      <c r="B4544" t="s">
        <v>1815</v>
      </c>
      <c r="C4544" t="s">
        <v>70</v>
      </c>
      <c r="D4544" s="1">
        <v>45964</v>
      </c>
      <c r="E4544" t="s">
        <v>4129</v>
      </c>
      <c r="F4544" t="s">
        <v>4125</v>
      </c>
    </row>
    <row r="4545" spans="1:6">
      <c r="A4545" t="s">
        <v>8674</v>
      </c>
      <c r="B4545" t="s">
        <v>1815</v>
      </c>
      <c r="C4545" t="s">
        <v>70</v>
      </c>
      <c r="D4545" s="1">
        <v>45957</v>
      </c>
      <c r="E4545" t="s">
        <v>4127</v>
      </c>
      <c r="F4545" t="s">
        <v>4139</v>
      </c>
    </row>
    <row r="4546" spans="1:6">
      <c r="A4546" t="s">
        <v>8675</v>
      </c>
      <c r="B4546" t="s">
        <v>1815</v>
      </c>
      <c r="C4546" t="s">
        <v>70</v>
      </c>
      <c r="D4546" s="1">
        <v>45957</v>
      </c>
      <c r="E4546" t="s">
        <v>4135</v>
      </c>
      <c r="F4546" t="s">
        <v>4125</v>
      </c>
    </row>
    <row r="4547" spans="1:6">
      <c r="A4547" t="s">
        <v>8676</v>
      </c>
      <c r="B4547" t="s">
        <v>1816</v>
      </c>
      <c r="C4547" t="s">
        <v>40</v>
      </c>
      <c r="D4547" s="1">
        <v>45880</v>
      </c>
      <c r="E4547" t="s">
        <v>4129</v>
      </c>
      <c r="F4547" t="s">
        <v>4137</v>
      </c>
    </row>
    <row r="4548" spans="1:6">
      <c r="A4548" t="s">
        <v>8677</v>
      </c>
      <c r="B4548" t="s">
        <v>1816</v>
      </c>
      <c r="C4548" t="s">
        <v>40</v>
      </c>
      <c r="D4548" s="1">
        <v>45882</v>
      </c>
      <c r="E4548" t="s">
        <v>4124</v>
      </c>
      <c r="F4548" t="s">
        <v>4137</v>
      </c>
    </row>
    <row r="4549" spans="1:6">
      <c r="A4549" t="s">
        <v>8678</v>
      </c>
      <c r="B4549" t="s">
        <v>1816</v>
      </c>
      <c r="C4549" t="s">
        <v>40</v>
      </c>
      <c r="D4549" s="1">
        <v>45874</v>
      </c>
      <c r="E4549" t="s">
        <v>4135</v>
      </c>
      <c r="F4549" t="s">
        <v>4125</v>
      </c>
    </row>
    <row r="4550" spans="1:6">
      <c r="A4550" t="s">
        <v>8679</v>
      </c>
      <c r="B4550" t="s">
        <v>1816</v>
      </c>
      <c r="C4550" t="s">
        <v>40</v>
      </c>
      <c r="D4550" s="1">
        <v>45829</v>
      </c>
      <c r="E4550" t="s">
        <v>4135</v>
      </c>
      <c r="F4550" t="s">
        <v>4125</v>
      </c>
    </row>
    <row r="4551" spans="1:6">
      <c r="A4551" t="s">
        <v>8680</v>
      </c>
      <c r="B4551" t="s">
        <v>1816</v>
      </c>
      <c r="C4551" t="s">
        <v>40</v>
      </c>
      <c r="D4551" s="1">
        <v>45830</v>
      </c>
      <c r="E4551" t="s">
        <v>4133</v>
      </c>
      <c r="F4551" t="s">
        <v>4125</v>
      </c>
    </row>
    <row r="4552" spans="1:6">
      <c r="A4552" t="s">
        <v>8681</v>
      </c>
      <c r="B4552" t="s">
        <v>1818</v>
      </c>
      <c r="C4552" t="s">
        <v>63</v>
      </c>
      <c r="D4552" s="1">
        <v>45755</v>
      </c>
      <c r="E4552" t="s">
        <v>4135</v>
      </c>
      <c r="F4552" t="s">
        <v>4139</v>
      </c>
    </row>
    <row r="4553" spans="1:6">
      <c r="A4553" t="s">
        <v>8682</v>
      </c>
      <c r="B4553" t="s">
        <v>1818</v>
      </c>
      <c r="C4553" t="s">
        <v>63</v>
      </c>
      <c r="D4553" s="1">
        <v>45736</v>
      </c>
      <c r="E4553" t="s">
        <v>4127</v>
      </c>
      <c r="F4553" t="s">
        <v>4139</v>
      </c>
    </row>
    <row r="4554" spans="1:6">
      <c r="A4554" t="s">
        <v>8683</v>
      </c>
      <c r="B4554" t="s">
        <v>1818</v>
      </c>
      <c r="C4554" t="s">
        <v>63</v>
      </c>
      <c r="D4554" s="1">
        <v>45718</v>
      </c>
      <c r="E4554" t="s">
        <v>4135</v>
      </c>
      <c r="F4554" t="s">
        <v>4139</v>
      </c>
    </row>
    <row r="4555" spans="1:6">
      <c r="A4555" t="s">
        <v>8684</v>
      </c>
      <c r="B4555" t="s">
        <v>1819</v>
      </c>
      <c r="C4555" t="s">
        <v>75</v>
      </c>
      <c r="D4555" s="1">
        <v>45879</v>
      </c>
      <c r="E4555" t="s">
        <v>4129</v>
      </c>
      <c r="F4555" t="s">
        <v>4137</v>
      </c>
    </row>
    <row r="4556" spans="1:6">
      <c r="A4556" t="s">
        <v>8685</v>
      </c>
      <c r="B4556" t="s">
        <v>1819</v>
      </c>
      <c r="C4556" t="s">
        <v>75</v>
      </c>
      <c r="D4556" s="1">
        <v>45871</v>
      </c>
      <c r="E4556" t="s">
        <v>4127</v>
      </c>
      <c r="F4556" t="s">
        <v>4139</v>
      </c>
    </row>
    <row r="4557" spans="1:6">
      <c r="A4557" t="s">
        <v>8686</v>
      </c>
      <c r="B4557" t="s">
        <v>1820</v>
      </c>
      <c r="C4557" t="s">
        <v>59</v>
      </c>
      <c r="D4557" s="1">
        <v>45818</v>
      </c>
      <c r="E4557" t="s">
        <v>4124</v>
      </c>
      <c r="F4557" t="s">
        <v>4125</v>
      </c>
    </row>
    <row r="4558" spans="1:6">
      <c r="A4558" t="s">
        <v>8687</v>
      </c>
      <c r="B4558" t="s">
        <v>1820</v>
      </c>
      <c r="C4558" t="s">
        <v>59</v>
      </c>
      <c r="D4558" s="1">
        <v>45821</v>
      </c>
      <c r="E4558" t="s">
        <v>4129</v>
      </c>
      <c r="F4558" t="s">
        <v>4125</v>
      </c>
    </row>
    <row r="4559" spans="1:6">
      <c r="A4559" t="s">
        <v>8688</v>
      </c>
      <c r="B4559" t="s">
        <v>1820</v>
      </c>
      <c r="C4559" t="s">
        <v>59</v>
      </c>
      <c r="D4559" s="1">
        <v>45822</v>
      </c>
      <c r="E4559" t="s">
        <v>4124</v>
      </c>
      <c r="F4559" t="s">
        <v>4137</v>
      </c>
    </row>
    <row r="4560" spans="1:6">
      <c r="A4560" t="s">
        <v>8689</v>
      </c>
      <c r="B4560" t="s">
        <v>1820</v>
      </c>
      <c r="C4560" t="s">
        <v>59</v>
      </c>
      <c r="D4560" s="1">
        <v>45821</v>
      </c>
      <c r="E4560" t="s">
        <v>4129</v>
      </c>
      <c r="F4560" t="s">
        <v>4125</v>
      </c>
    </row>
    <row r="4561" spans="1:6">
      <c r="A4561" t="s">
        <v>8690</v>
      </c>
      <c r="B4561" t="s">
        <v>1820</v>
      </c>
      <c r="C4561" t="s">
        <v>59</v>
      </c>
      <c r="D4561" s="1">
        <v>45820</v>
      </c>
      <c r="E4561" t="s">
        <v>4133</v>
      </c>
      <c r="F4561" t="s">
        <v>4139</v>
      </c>
    </row>
    <row r="4562" spans="1:6">
      <c r="A4562" t="s">
        <v>8691</v>
      </c>
      <c r="B4562" t="s">
        <v>1822</v>
      </c>
      <c r="C4562" t="s">
        <v>56</v>
      </c>
      <c r="D4562" s="1">
        <v>45992</v>
      </c>
      <c r="E4562" t="s">
        <v>4127</v>
      </c>
      <c r="F4562" t="s">
        <v>4137</v>
      </c>
    </row>
    <row r="4563" spans="1:6">
      <c r="A4563" t="s">
        <v>8692</v>
      </c>
      <c r="B4563" t="s">
        <v>1822</v>
      </c>
      <c r="C4563" t="s">
        <v>56</v>
      </c>
      <c r="D4563" s="1">
        <v>46011</v>
      </c>
      <c r="E4563" t="s">
        <v>4127</v>
      </c>
      <c r="F4563" t="s">
        <v>4139</v>
      </c>
    </row>
    <row r="4564" spans="1:6">
      <c r="A4564" t="s">
        <v>8693</v>
      </c>
      <c r="B4564" t="s">
        <v>1822</v>
      </c>
      <c r="C4564" t="s">
        <v>56</v>
      </c>
      <c r="D4564" s="1">
        <v>45990</v>
      </c>
      <c r="E4564" t="s">
        <v>4124</v>
      </c>
      <c r="F4564" t="s">
        <v>4125</v>
      </c>
    </row>
    <row r="4565" spans="1:6">
      <c r="A4565" t="s">
        <v>8694</v>
      </c>
      <c r="B4565" t="s">
        <v>1822</v>
      </c>
      <c r="C4565" t="s">
        <v>56</v>
      </c>
      <c r="D4565" s="1">
        <v>45984</v>
      </c>
      <c r="E4565" t="s">
        <v>4124</v>
      </c>
      <c r="F4565" t="s">
        <v>4139</v>
      </c>
    </row>
    <row r="4566" spans="1:6">
      <c r="A4566" t="s">
        <v>8695</v>
      </c>
      <c r="B4566" t="s">
        <v>1822</v>
      </c>
      <c r="C4566" t="s">
        <v>56</v>
      </c>
      <c r="D4566" s="1">
        <v>46003</v>
      </c>
      <c r="E4566" t="s">
        <v>4124</v>
      </c>
      <c r="F4566" t="s">
        <v>4139</v>
      </c>
    </row>
    <row r="4567" spans="1:6">
      <c r="A4567" t="s">
        <v>8696</v>
      </c>
      <c r="B4567" t="s">
        <v>1823</v>
      </c>
      <c r="C4567" t="s">
        <v>40</v>
      </c>
      <c r="D4567" s="1">
        <v>45870</v>
      </c>
      <c r="E4567" t="s">
        <v>4127</v>
      </c>
      <c r="F4567" t="s">
        <v>4125</v>
      </c>
    </row>
    <row r="4568" spans="1:6">
      <c r="A4568" t="s">
        <v>8697</v>
      </c>
      <c r="B4568" t="s">
        <v>1823</v>
      </c>
      <c r="C4568" t="s">
        <v>40</v>
      </c>
      <c r="D4568" s="1">
        <v>45882</v>
      </c>
      <c r="E4568" t="s">
        <v>4133</v>
      </c>
      <c r="F4568" t="s">
        <v>4139</v>
      </c>
    </row>
    <row r="4569" spans="1:6">
      <c r="A4569" t="s">
        <v>8698</v>
      </c>
      <c r="B4569" t="s">
        <v>1825</v>
      </c>
      <c r="C4569" t="s">
        <v>63</v>
      </c>
      <c r="D4569" s="1">
        <v>45995</v>
      </c>
      <c r="E4569" t="s">
        <v>4133</v>
      </c>
      <c r="F4569" t="s">
        <v>4139</v>
      </c>
    </row>
    <row r="4570" spans="1:6">
      <c r="A4570" t="s">
        <v>8699</v>
      </c>
      <c r="B4570" t="s">
        <v>1825</v>
      </c>
      <c r="C4570" t="s">
        <v>63</v>
      </c>
      <c r="D4570" s="1">
        <v>46015</v>
      </c>
      <c r="E4570" t="s">
        <v>4124</v>
      </c>
      <c r="F4570" t="s">
        <v>4125</v>
      </c>
    </row>
    <row r="4571" spans="1:6">
      <c r="A4571" t="s">
        <v>8700</v>
      </c>
      <c r="B4571" t="s">
        <v>1825</v>
      </c>
      <c r="C4571" t="s">
        <v>63</v>
      </c>
      <c r="D4571" s="1">
        <v>45992</v>
      </c>
      <c r="E4571" t="s">
        <v>4127</v>
      </c>
      <c r="F4571" t="s">
        <v>4139</v>
      </c>
    </row>
    <row r="4572" spans="1:6">
      <c r="A4572" t="s">
        <v>8701</v>
      </c>
      <c r="B4572" t="s">
        <v>1825</v>
      </c>
      <c r="C4572" t="s">
        <v>63</v>
      </c>
      <c r="D4572" s="1">
        <v>46020</v>
      </c>
      <c r="E4572" t="s">
        <v>4135</v>
      </c>
      <c r="F4572" t="s">
        <v>4125</v>
      </c>
    </row>
    <row r="4573" spans="1:6">
      <c r="A4573" t="s">
        <v>8702</v>
      </c>
      <c r="B4573" t="s">
        <v>1825</v>
      </c>
      <c r="C4573" t="s">
        <v>63</v>
      </c>
      <c r="D4573" s="1">
        <v>45998</v>
      </c>
      <c r="E4573" t="s">
        <v>4133</v>
      </c>
      <c r="F4573" t="s">
        <v>4137</v>
      </c>
    </row>
    <row r="4574" spans="1:6">
      <c r="A4574" t="s">
        <v>8703</v>
      </c>
      <c r="B4574" t="s">
        <v>1826</v>
      </c>
      <c r="C4574" t="s">
        <v>78</v>
      </c>
      <c r="D4574" s="1">
        <v>45931</v>
      </c>
      <c r="E4574" t="s">
        <v>4135</v>
      </c>
      <c r="F4574" t="s">
        <v>4139</v>
      </c>
    </row>
    <row r="4575" spans="1:6">
      <c r="A4575" t="s">
        <v>8704</v>
      </c>
      <c r="B4575" t="s">
        <v>1826</v>
      </c>
      <c r="C4575" t="s">
        <v>78</v>
      </c>
      <c r="D4575" s="1">
        <v>45919</v>
      </c>
      <c r="E4575" t="s">
        <v>4129</v>
      </c>
      <c r="F4575" t="s">
        <v>4139</v>
      </c>
    </row>
    <row r="4576" spans="1:6">
      <c r="A4576" t="s">
        <v>8705</v>
      </c>
      <c r="B4576" t="s">
        <v>1826</v>
      </c>
      <c r="C4576" t="s">
        <v>78</v>
      </c>
      <c r="D4576" s="1">
        <v>45923</v>
      </c>
      <c r="E4576" t="s">
        <v>4133</v>
      </c>
      <c r="F4576" t="s">
        <v>4125</v>
      </c>
    </row>
    <row r="4577" spans="1:6">
      <c r="A4577" t="s">
        <v>8706</v>
      </c>
      <c r="B4577" t="s">
        <v>1827</v>
      </c>
      <c r="C4577" t="s">
        <v>16</v>
      </c>
      <c r="D4577" s="1">
        <v>45754</v>
      </c>
      <c r="E4577" t="s">
        <v>4133</v>
      </c>
      <c r="F4577" t="s">
        <v>4139</v>
      </c>
    </row>
    <row r="4578" spans="1:6">
      <c r="A4578" t="s">
        <v>8707</v>
      </c>
      <c r="B4578" t="s">
        <v>1827</v>
      </c>
      <c r="C4578" t="s">
        <v>16</v>
      </c>
      <c r="D4578" s="1">
        <v>45783</v>
      </c>
      <c r="E4578" t="s">
        <v>4129</v>
      </c>
      <c r="F4578" t="s">
        <v>4137</v>
      </c>
    </row>
    <row r="4579" spans="1:6">
      <c r="A4579" t="s">
        <v>8708</v>
      </c>
      <c r="B4579" t="s">
        <v>1828</v>
      </c>
      <c r="C4579" t="s">
        <v>70</v>
      </c>
      <c r="D4579" s="1">
        <v>45780</v>
      </c>
      <c r="E4579" t="s">
        <v>4127</v>
      </c>
      <c r="F4579" t="s">
        <v>4137</v>
      </c>
    </row>
    <row r="4580" spans="1:6">
      <c r="A4580" t="s">
        <v>8709</v>
      </c>
      <c r="B4580" t="s">
        <v>1828</v>
      </c>
      <c r="C4580" t="s">
        <v>70</v>
      </c>
      <c r="D4580" s="1">
        <v>45778</v>
      </c>
      <c r="E4580" t="s">
        <v>4135</v>
      </c>
      <c r="F4580" t="s">
        <v>4125</v>
      </c>
    </row>
    <row r="4581" spans="1:6">
      <c r="A4581" t="s">
        <v>8710</v>
      </c>
      <c r="B4581" t="s">
        <v>1828</v>
      </c>
      <c r="C4581" t="s">
        <v>70</v>
      </c>
      <c r="D4581" s="1">
        <v>45790</v>
      </c>
      <c r="E4581" t="s">
        <v>4129</v>
      </c>
      <c r="F4581" t="s">
        <v>4139</v>
      </c>
    </row>
    <row r="4582" spans="1:6">
      <c r="A4582" t="s">
        <v>8711</v>
      </c>
      <c r="B4582" t="s">
        <v>1828</v>
      </c>
      <c r="C4582" t="s">
        <v>70</v>
      </c>
      <c r="D4582" s="1">
        <v>45774</v>
      </c>
      <c r="E4582" t="s">
        <v>4124</v>
      </c>
      <c r="F4582" t="s">
        <v>4137</v>
      </c>
    </row>
    <row r="4583" spans="1:6">
      <c r="A4583" t="s">
        <v>8712</v>
      </c>
      <c r="B4583" t="s">
        <v>1829</v>
      </c>
      <c r="C4583" t="s">
        <v>152</v>
      </c>
      <c r="D4583" s="1">
        <v>45916</v>
      </c>
      <c r="E4583" t="s">
        <v>4133</v>
      </c>
      <c r="F4583" t="s">
        <v>4139</v>
      </c>
    </row>
    <row r="4584" spans="1:6">
      <c r="A4584" t="s">
        <v>8713</v>
      </c>
      <c r="B4584" t="s">
        <v>1829</v>
      </c>
      <c r="C4584" t="s">
        <v>152</v>
      </c>
      <c r="D4584" s="1">
        <v>45908</v>
      </c>
      <c r="E4584" t="s">
        <v>4127</v>
      </c>
      <c r="F4584" t="s">
        <v>4139</v>
      </c>
    </row>
    <row r="4585" spans="1:6">
      <c r="A4585" t="s">
        <v>8714</v>
      </c>
      <c r="B4585" t="s">
        <v>1829</v>
      </c>
      <c r="C4585" t="s">
        <v>152</v>
      </c>
      <c r="D4585" s="1">
        <v>45917</v>
      </c>
      <c r="E4585" t="s">
        <v>4127</v>
      </c>
      <c r="F4585" t="s">
        <v>4125</v>
      </c>
    </row>
    <row r="4586" spans="1:6">
      <c r="A4586" t="s">
        <v>8715</v>
      </c>
      <c r="B4586" t="s">
        <v>1830</v>
      </c>
      <c r="C4586" t="s">
        <v>75</v>
      </c>
      <c r="D4586" s="1">
        <v>45830</v>
      </c>
      <c r="E4586" t="s">
        <v>4124</v>
      </c>
      <c r="F4586" t="s">
        <v>4125</v>
      </c>
    </row>
    <row r="4587" spans="1:6">
      <c r="A4587" t="s">
        <v>8716</v>
      </c>
      <c r="B4587" t="s">
        <v>1830</v>
      </c>
      <c r="C4587" t="s">
        <v>75</v>
      </c>
      <c r="D4587" s="1">
        <v>45838</v>
      </c>
      <c r="E4587" t="s">
        <v>4124</v>
      </c>
      <c r="F4587" t="s">
        <v>4137</v>
      </c>
    </row>
    <row r="4588" spans="1:6">
      <c r="A4588" t="s">
        <v>8717</v>
      </c>
      <c r="B4588" t="s">
        <v>1830</v>
      </c>
      <c r="C4588" t="s">
        <v>75</v>
      </c>
      <c r="D4588" s="1">
        <v>45858</v>
      </c>
      <c r="E4588" t="s">
        <v>4135</v>
      </c>
      <c r="F4588" t="s">
        <v>4125</v>
      </c>
    </row>
    <row r="4589" spans="1:6">
      <c r="A4589" t="s">
        <v>8718</v>
      </c>
      <c r="B4589" t="s">
        <v>1830</v>
      </c>
      <c r="C4589" t="s">
        <v>75</v>
      </c>
      <c r="D4589" s="1">
        <v>45814</v>
      </c>
      <c r="E4589" t="s">
        <v>4135</v>
      </c>
      <c r="F4589" t="s">
        <v>4139</v>
      </c>
    </row>
    <row r="4590" spans="1:6">
      <c r="A4590" t="s">
        <v>8719</v>
      </c>
      <c r="B4590" t="s">
        <v>1831</v>
      </c>
      <c r="C4590" t="s">
        <v>119</v>
      </c>
      <c r="D4590" s="1">
        <v>46013</v>
      </c>
      <c r="E4590" t="s">
        <v>4135</v>
      </c>
      <c r="F4590" t="s">
        <v>4137</v>
      </c>
    </row>
    <row r="4591" spans="1:6">
      <c r="A4591" t="s">
        <v>8720</v>
      </c>
      <c r="B4591" t="s">
        <v>1831</v>
      </c>
      <c r="C4591" t="s">
        <v>119</v>
      </c>
      <c r="D4591" s="1">
        <v>46005</v>
      </c>
      <c r="E4591" t="s">
        <v>4129</v>
      </c>
      <c r="F4591" t="s">
        <v>4139</v>
      </c>
    </row>
    <row r="4592" spans="1:6">
      <c r="A4592" t="s">
        <v>8721</v>
      </c>
      <c r="B4592" t="s">
        <v>1832</v>
      </c>
      <c r="C4592" t="s">
        <v>53</v>
      </c>
      <c r="D4592" s="1">
        <v>45811</v>
      </c>
      <c r="E4592" t="s">
        <v>4127</v>
      </c>
      <c r="F4592" t="s">
        <v>4125</v>
      </c>
    </row>
    <row r="4593" spans="1:6">
      <c r="A4593" t="s">
        <v>8722</v>
      </c>
      <c r="B4593" t="s">
        <v>1832</v>
      </c>
      <c r="C4593" t="s">
        <v>53</v>
      </c>
      <c r="D4593" s="1">
        <v>45812</v>
      </c>
      <c r="E4593" t="s">
        <v>4127</v>
      </c>
      <c r="F4593" t="s">
        <v>4137</v>
      </c>
    </row>
    <row r="4594" spans="1:6">
      <c r="A4594" t="s">
        <v>8723</v>
      </c>
      <c r="B4594" t="s">
        <v>1833</v>
      </c>
      <c r="C4594" t="s">
        <v>56</v>
      </c>
      <c r="D4594" s="1">
        <v>45956</v>
      </c>
      <c r="E4594" t="s">
        <v>4129</v>
      </c>
      <c r="F4594" t="s">
        <v>4137</v>
      </c>
    </row>
    <row r="4595" spans="1:6">
      <c r="A4595" t="s">
        <v>8724</v>
      </c>
      <c r="B4595" t="s">
        <v>1833</v>
      </c>
      <c r="C4595" t="s">
        <v>56</v>
      </c>
      <c r="D4595" s="1">
        <v>45959</v>
      </c>
      <c r="E4595" t="s">
        <v>4133</v>
      </c>
      <c r="F4595" t="s">
        <v>4125</v>
      </c>
    </row>
    <row r="4596" spans="1:6">
      <c r="A4596" t="s">
        <v>8725</v>
      </c>
      <c r="B4596" t="s">
        <v>1835</v>
      </c>
      <c r="C4596" t="s">
        <v>126</v>
      </c>
      <c r="D4596" s="1">
        <v>45973</v>
      </c>
      <c r="E4596" t="s">
        <v>4127</v>
      </c>
      <c r="F4596" t="s">
        <v>4137</v>
      </c>
    </row>
    <row r="4597" spans="1:6">
      <c r="A4597" t="s">
        <v>8726</v>
      </c>
      <c r="B4597" t="s">
        <v>1835</v>
      </c>
      <c r="C4597" t="s">
        <v>126</v>
      </c>
      <c r="D4597" s="1">
        <v>45982</v>
      </c>
      <c r="E4597" t="s">
        <v>4135</v>
      </c>
      <c r="F4597" t="s">
        <v>4139</v>
      </c>
    </row>
    <row r="4598" spans="1:6">
      <c r="A4598" t="s">
        <v>8727</v>
      </c>
      <c r="B4598" t="s">
        <v>1836</v>
      </c>
      <c r="C4598" t="s">
        <v>40</v>
      </c>
      <c r="D4598" s="1">
        <v>45898</v>
      </c>
      <c r="E4598" t="s">
        <v>4133</v>
      </c>
      <c r="F4598" t="s">
        <v>4139</v>
      </c>
    </row>
    <row r="4599" spans="1:6">
      <c r="A4599" t="s">
        <v>8728</v>
      </c>
      <c r="B4599" t="s">
        <v>1836</v>
      </c>
      <c r="C4599" t="s">
        <v>40</v>
      </c>
      <c r="D4599" s="1">
        <v>45898</v>
      </c>
      <c r="E4599" t="s">
        <v>4129</v>
      </c>
      <c r="F4599" t="s">
        <v>4139</v>
      </c>
    </row>
    <row r="4600" spans="1:6">
      <c r="A4600" t="s">
        <v>8729</v>
      </c>
      <c r="B4600" t="s">
        <v>1836</v>
      </c>
      <c r="C4600" t="s">
        <v>40</v>
      </c>
      <c r="D4600" s="1">
        <v>45894</v>
      </c>
      <c r="E4600" t="s">
        <v>4129</v>
      </c>
      <c r="F4600" t="s">
        <v>4125</v>
      </c>
    </row>
    <row r="4601" spans="1:6">
      <c r="A4601" t="s">
        <v>8730</v>
      </c>
      <c r="B4601" t="s">
        <v>1836</v>
      </c>
      <c r="C4601" t="s">
        <v>40</v>
      </c>
      <c r="D4601" s="1">
        <v>45886</v>
      </c>
      <c r="E4601" t="s">
        <v>4135</v>
      </c>
      <c r="F4601" t="s">
        <v>4137</v>
      </c>
    </row>
    <row r="4602" spans="1:6">
      <c r="A4602" t="s">
        <v>8731</v>
      </c>
      <c r="B4602" t="s">
        <v>1836</v>
      </c>
      <c r="C4602" t="s">
        <v>40</v>
      </c>
      <c r="D4602" s="1">
        <v>45892</v>
      </c>
      <c r="E4602" t="s">
        <v>4133</v>
      </c>
      <c r="F4602" t="s">
        <v>4125</v>
      </c>
    </row>
    <row r="4603" spans="1:6">
      <c r="A4603" t="s">
        <v>8732</v>
      </c>
      <c r="B4603" t="s">
        <v>1837</v>
      </c>
      <c r="C4603" t="s">
        <v>59</v>
      </c>
      <c r="D4603" s="1">
        <v>45876</v>
      </c>
      <c r="E4603" t="s">
        <v>4124</v>
      </c>
      <c r="F4603" t="s">
        <v>4139</v>
      </c>
    </row>
    <row r="4604" spans="1:6">
      <c r="A4604" t="s">
        <v>8733</v>
      </c>
      <c r="B4604" t="s">
        <v>1837</v>
      </c>
      <c r="C4604" t="s">
        <v>59</v>
      </c>
      <c r="D4604" s="1">
        <v>45872</v>
      </c>
      <c r="E4604" t="s">
        <v>4133</v>
      </c>
      <c r="F4604" t="s">
        <v>4125</v>
      </c>
    </row>
    <row r="4605" spans="1:6">
      <c r="A4605" t="s">
        <v>8734</v>
      </c>
      <c r="B4605" t="s">
        <v>1837</v>
      </c>
      <c r="C4605" t="s">
        <v>59</v>
      </c>
      <c r="D4605" s="1">
        <v>45871</v>
      </c>
      <c r="E4605" t="s">
        <v>4135</v>
      </c>
      <c r="F4605" t="s">
        <v>4139</v>
      </c>
    </row>
    <row r="4606" spans="1:6">
      <c r="A4606" t="s">
        <v>8735</v>
      </c>
      <c r="B4606" t="s">
        <v>1837</v>
      </c>
      <c r="C4606" t="s">
        <v>59</v>
      </c>
      <c r="D4606" s="1">
        <v>45885</v>
      </c>
      <c r="E4606" t="s">
        <v>4135</v>
      </c>
      <c r="F4606" t="s">
        <v>4137</v>
      </c>
    </row>
    <row r="4607" spans="1:6">
      <c r="A4607" t="s">
        <v>8736</v>
      </c>
      <c r="B4607" t="s">
        <v>1838</v>
      </c>
      <c r="C4607" t="s">
        <v>40</v>
      </c>
      <c r="D4607" s="1">
        <v>45924</v>
      </c>
      <c r="E4607" t="s">
        <v>4133</v>
      </c>
      <c r="F4607" t="s">
        <v>4125</v>
      </c>
    </row>
    <row r="4608" spans="1:6">
      <c r="A4608" t="s">
        <v>8737</v>
      </c>
      <c r="B4608" t="s">
        <v>1838</v>
      </c>
      <c r="C4608" t="s">
        <v>40</v>
      </c>
      <c r="D4608" s="1">
        <v>45925</v>
      </c>
      <c r="E4608" t="s">
        <v>4127</v>
      </c>
      <c r="F4608" t="s">
        <v>4139</v>
      </c>
    </row>
    <row r="4609" spans="1:6">
      <c r="A4609" t="s">
        <v>8738</v>
      </c>
      <c r="B4609" t="s">
        <v>1838</v>
      </c>
      <c r="C4609" t="s">
        <v>40</v>
      </c>
      <c r="D4609" s="1">
        <v>45926</v>
      </c>
      <c r="E4609" t="s">
        <v>4129</v>
      </c>
      <c r="F4609" t="s">
        <v>4139</v>
      </c>
    </row>
    <row r="4610" spans="1:6">
      <c r="A4610" t="s">
        <v>8739</v>
      </c>
      <c r="B4610" t="s">
        <v>1839</v>
      </c>
      <c r="C4610" t="s">
        <v>152</v>
      </c>
      <c r="D4610" s="1">
        <v>45820</v>
      </c>
      <c r="E4610" t="s">
        <v>4135</v>
      </c>
      <c r="F4610" t="s">
        <v>4137</v>
      </c>
    </row>
    <row r="4611" spans="1:6">
      <c r="A4611" t="s">
        <v>8740</v>
      </c>
      <c r="B4611" t="s">
        <v>1839</v>
      </c>
      <c r="C4611" t="s">
        <v>152</v>
      </c>
      <c r="D4611" s="1">
        <v>45840</v>
      </c>
      <c r="E4611" t="s">
        <v>4127</v>
      </c>
      <c r="F4611" t="s">
        <v>4137</v>
      </c>
    </row>
    <row r="4612" spans="1:6">
      <c r="A4612" t="s">
        <v>8741</v>
      </c>
      <c r="B4612" t="s">
        <v>1839</v>
      </c>
      <c r="C4612" t="s">
        <v>152</v>
      </c>
      <c r="D4612" s="1">
        <v>45826</v>
      </c>
      <c r="E4612" t="s">
        <v>4135</v>
      </c>
      <c r="F4612" t="s">
        <v>4139</v>
      </c>
    </row>
    <row r="4613" spans="1:6">
      <c r="A4613" t="s">
        <v>8742</v>
      </c>
      <c r="B4613" t="s">
        <v>1839</v>
      </c>
      <c r="C4613" t="s">
        <v>152</v>
      </c>
      <c r="D4613" s="1">
        <v>45847</v>
      </c>
      <c r="E4613" t="s">
        <v>4135</v>
      </c>
      <c r="F4613" t="s">
        <v>4125</v>
      </c>
    </row>
    <row r="4614" spans="1:6">
      <c r="A4614" t="s">
        <v>8743</v>
      </c>
      <c r="B4614" t="s">
        <v>1839</v>
      </c>
      <c r="C4614" t="s">
        <v>152</v>
      </c>
      <c r="D4614" s="1">
        <v>45862</v>
      </c>
      <c r="E4614" t="s">
        <v>4129</v>
      </c>
      <c r="F4614" t="s">
        <v>4137</v>
      </c>
    </row>
    <row r="4615" spans="1:6">
      <c r="A4615" t="s">
        <v>8744</v>
      </c>
      <c r="B4615" t="s">
        <v>1840</v>
      </c>
      <c r="C4615" t="s">
        <v>75</v>
      </c>
      <c r="D4615" s="1">
        <v>45705</v>
      </c>
      <c r="E4615" t="s">
        <v>4127</v>
      </c>
      <c r="F4615" t="s">
        <v>4139</v>
      </c>
    </row>
    <row r="4616" spans="1:6">
      <c r="A4616" t="s">
        <v>8745</v>
      </c>
      <c r="B4616" t="s">
        <v>1840</v>
      </c>
      <c r="C4616" t="s">
        <v>75</v>
      </c>
      <c r="D4616" s="1">
        <v>45717</v>
      </c>
      <c r="E4616" t="s">
        <v>4129</v>
      </c>
      <c r="F4616" t="s">
        <v>4137</v>
      </c>
    </row>
    <row r="4617" spans="1:6">
      <c r="A4617" t="s">
        <v>8746</v>
      </c>
      <c r="B4617" t="s">
        <v>1840</v>
      </c>
      <c r="C4617" t="s">
        <v>75</v>
      </c>
      <c r="D4617" s="1">
        <v>45750</v>
      </c>
      <c r="E4617" t="s">
        <v>4135</v>
      </c>
      <c r="F4617" t="s">
        <v>4125</v>
      </c>
    </row>
    <row r="4618" spans="1:6">
      <c r="A4618" t="s">
        <v>8747</v>
      </c>
      <c r="B4618" t="s">
        <v>1841</v>
      </c>
      <c r="C4618" t="s">
        <v>70</v>
      </c>
      <c r="D4618" s="1">
        <v>45887</v>
      </c>
      <c r="E4618" t="s">
        <v>4127</v>
      </c>
      <c r="F4618" t="s">
        <v>4139</v>
      </c>
    </row>
    <row r="4619" spans="1:6">
      <c r="A4619" t="s">
        <v>8748</v>
      </c>
      <c r="B4619" t="s">
        <v>1841</v>
      </c>
      <c r="C4619" t="s">
        <v>70</v>
      </c>
      <c r="D4619" s="1">
        <v>45936</v>
      </c>
      <c r="E4619" t="s">
        <v>4124</v>
      </c>
      <c r="F4619" t="s">
        <v>4125</v>
      </c>
    </row>
    <row r="4620" spans="1:6">
      <c r="A4620" t="s">
        <v>8749</v>
      </c>
      <c r="B4620" t="s">
        <v>1841</v>
      </c>
      <c r="C4620" t="s">
        <v>70</v>
      </c>
      <c r="D4620" s="1">
        <v>45906</v>
      </c>
      <c r="E4620" t="s">
        <v>4133</v>
      </c>
      <c r="F4620" t="s">
        <v>4137</v>
      </c>
    </row>
    <row r="4621" spans="1:6">
      <c r="A4621" t="s">
        <v>8750</v>
      </c>
      <c r="B4621" t="s">
        <v>1842</v>
      </c>
      <c r="C4621" t="s">
        <v>50</v>
      </c>
      <c r="D4621" s="1">
        <v>45773</v>
      </c>
      <c r="E4621" t="s">
        <v>4135</v>
      </c>
      <c r="F4621" t="s">
        <v>4139</v>
      </c>
    </row>
    <row r="4622" spans="1:6">
      <c r="A4622" t="s">
        <v>8751</v>
      </c>
      <c r="B4622" t="s">
        <v>1842</v>
      </c>
      <c r="C4622" t="s">
        <v>50</v>
      </c>
      <c r="D4622" s="1">
        <v>45800</v>
      </c>
      <c r="E4622" t="s">
        <v>4127</v>
      </c>
      <c r="F4622" t="s">
        <v>4139</v>
      </c>
    </row>
    <row r="4623" spans="1:6">
      <c r="A4623" t="s">
        <v>8752</v>
      </c>
      <c r="B4623" t="s">
        <v>1844</v>
      </c>
      <c r="C4623" t="s">
        <v>53</v>
      </c>
      <c r="D4623" s="1">
        <v>45795</v>
      </c>
      <c r="E4623" t="s">
        <v>4133</v>
      </c>
      <c r="F4623" t="s">
        <v>4137</v>
      </c>
    </row>
    <row r="4624" spans="1:6">
      <c r="A4624" t="s">
        <v>8753</v>
      </c>
      <c r="B4624" t="s">
        <v>1844</v>
      </c>
      <c r="C4624" t="s">
        <v>53</v>
      </c>
      <c r="D4624" s="1">
        <v>45788</v>
      </c>
      <c r="E4624" t="s">
        <v>4129</v>
      </c>
      <c r="F4624" t="s">
        <v>4139</v>
      </c>
    </row>
    <row r="4625" spans="1:6">
      <c r="A4625" t="s">
        <v>8754</v>
      </c>
      <c r="B4625" t="s">
        <v>1844</v>
      </c>
      <c r="C4625" t="s">
        <v>53</v>
      </c>
      <c r="D4625" s="1">
        <v>45789</v>
      </c>
      <c r="E4625" t="s">
        <v>4129</v>
      </c>
      <c r="F4625" t="s">
        <v>4139</v>
      </c>
    </row>
    <row r="4626" spans="1:6">
      <c r="A4626" t="s">
        <v>8755</v>
      </c>
      <c r="B4626" t="s">
        <v>1845</v>
      </c>
      <c r="C4626" t="s">
        <v>126</v>
      </c>
      <c r="D4626" s="1">
        <v>45849</v>
      </c>
      <c r="E4626" t="s">
        <v>4133</v>
      </c>
      <c r="F4626" t="s">
        <v>4125</v>
      </c>
    </row>
    <row r="4627" spans="1:6">
      <c r="A4627" t="s">
        <v>8756</v>
      </c>
      <c r="B4627" t="s">
        <v>1845</v>
      </c>
      <c r="C4627" t="s">
        <v>126</v>
      </c>
      <c r="D4627" s="1">
        <v>45851</v>
      </c>
      <c r="E4627" t="s">
        <v>4135</v>
      </c>
      <c r="F4627" t="s">
        <v>4125</v>
      </c>
    </row>
    <row r="4628" spans="1:6">
      <c r="A4628" t="s">
        <v>8757</v>
      </c>
      <c r="B4628" t="s">
        <v>1846</v>
      </c>
      <c r="C4628" t="s">
        <v>91</v>
      </c>
      <c r="D4628" s="1">
        <v>45900</v>
      </c>
      <c r="E4628" t="s">
        <v>4124</v>
      </c>
      <c r="F4628" t="s">
        <v>4139</v>
      </c>
    </row>
    <row r="4629" spans="1:6">
      <c r="A4629" t="s">
        <v>8758</v>
      </c>
      <c r="B4629" t="s">
        <v>1846</v>
      </c>
      <c r="C4629" t="s">
        <v>91</v>
      </c>
      <c r="D4629" s="1">
        <v>45894</v>
      </c>
      <c r="E4629" t="s">
        <v>4127</v>
      </c>
      <c r="F4629" t="s">
        <v>4137</v>
      </c>
    </row>
    <row r="4630" spans="1:6">
      <c r="A4630" t="s">
        <v>8759</v>
      </c>
      <c r="B4630" t="s">
        <v>1846</v>
      </c>
      <c r="C4630" t="s">
        <v>91</v>
      </c>
      <c r="D4630" s="1">
        <v>45897</v>
      </c>
      <c r="E4630" t="s">
        <v>4127</v>
      </c>
      <c r="F4630" t="s">
        <v>4139</v>
      </c>
    </row>
    <row r="4631" spans="1:6">
      <c r="A4631" t="s">
        <v>8760</v>
      </c>
      <c r="B4631" t="s">
        <v>1846</v>
      </c>
      <c r="C4631" t="s">
        <v>91</v>
      </c>
      <c r="D4631" s="1">
        <v>45901</v>
      </c>
      <c r="E4631" t="s">
        <v>4124</v>
      </c>
      <c r="F4631" t="s">
        <v>4125</v>
      </c>
    </row>
    <row r="4632" spans="1:6">
      <c r="A4632" t="s">
        <v>8761</v>
      </c>
      <c r="B4632" t="s">
        <v>1847</v>
      </c>
      <c r="C4632" t="s">
        <v>75</v>
      </c>
      <c r="D4632" s="1">
        <v>45682</v>
      </c>
      <c r="E4632" t="s">
        <v>4124</v>
      </c>
      <c r="F4632" t="s">
        <v>4137</v>
      </c>
    </row>
    <row r="4633" spans="1:6">
      <c r="A4633" t="s">
        <v>8762</v>
      </c>
      <c r="B4633" t="s">
        <v>1847</v>
      </c>
      <c r="C4633" t="s">
        <v>75</v>
      </c>
      <c r="D4633" s="1">
        <v>45708</v>
      </c>
      <c r="E4633" t="s">
        <v>4129</v>
      </c>
      <c r="F4633" t="s">
        <v>4139</v>
      </c>
    </row>
    <row r="4634" spans="1:6">
      <c r="A4634" t="s">
        <v>8763</v>
      </c>
      <c r="B4634" t="s">
        <v>1848</v>
      </c>
      <c r="C4634" t="s">
        <v>36</v>
      </c>
      <c r="D4634" s="1">
        <v>45828</v>
      </c>
      <c r="E4634" t="s">
        <v>4135</v>
      </c>
      <c r="F4634" t="s">
        <v>4125</v>
      </c>
    </row>
    <row r="4635" spans="1:6">
      <c r="A4635" t="s">
        <v>8764</v>
      </c>
      <c r="B4635" t="s">
        <v>1848</v>
      </c>
      <c r="C4635" t="s">
        <v>36</v>
      </c>
      <c r="D4635" s="1">
        <v>45845</v>
      </c>
      <c r="E4635" t="s">
        <v>4133</v>
      </c>
      <c r="F4635" t="s">
        <v>4139</v>
      </c>
    </row>
    <row r="4636" spans="1:6">
      <c r="A4636" t="s">
        <v>8765</v>
      </c>
      <c r="B4636" t="s">
        <v>1848</v>
      </c>
      <c r="C4636" t="s">
        <v>36</v>
      </c>
      <c r="D4636" s="1">
        <v>45848</v>
      </c>
      <c r="E4636" t="s">
        <v>4124</v>
      </c>
      <c r="F4636" t="s">
        <v>4137</v>
      </c>
    </row>
    <row r="4637" spans="1:6">
      <c r="A4637" t="s">
        <v>8766</v>
      </c>
      <c r="B4637" t="s">
        <v>1848</v>
      </c>
      <c r="C4637" t="s">
        <v>36</v>
      </c>
      <c r="D4637" s="1">
        <v>45833</v>
      </c>
      <c r="E4637" t="s">
        <v>4124</v>
      </c>
      <c r="F4637" t="s">
        <v>4125</v>
      </c>
    </row>
    <row r="4638" spans="1:6">
      <c r="A4638" t="s">
        <v>8767</v>
      </c>
      <c r="B4638" t="s">
        <v>1849</v>
      </c>
      <c r="C4638" t="s">
        <v>53</v>
      </c>
      <c r="D4638" s="1">
        <v>45854</v>
      </c>
      <c r="E4638" t="s">
        <v>4129</v>
      </c>
      <c r="F4638" t="s">
        <v>4139</v>
      </c>
    </row>
    <row r="4639" spans="1:6">
      <c r="A4639" t="s">
        <v>8768</v>
      </c>
      <c r="B4639" t="s">
        <v>1849</v>
      </c>
      <c r="C4639" t="s">
        <v>53</v>
      </c>
      <c r="D4639" s="1">
        <v>45875</v>
      </c>
      <c r="E4639" t="s">
        <v>4124</v>
      </c>
      <c r="F4639" t="s">
        <v>4125</v>
      </c>
    </row>
    <row r="4640" spans="1:6">
      <c r="A4640" t="s">
        <v>8769</v>
      </c>
      <c r="B4640" t="s">
        <v>1850</v>
      </c>
      <c r="C4640" t="s">
        <v>27</v>
      </c>
      <c r="D4640" s="1">
        <v>45992</v>
      </c>
      <c r="E4640" t="s">
        <v>4129</v>
      </c>
      <c r="F4640" t="s">
        <v>4125</v>
      </c>
    </row>
    <row r="4641" spans="1:6">
      <c r="A4641" t="s">
        <v>8770</v>
      </c>
      <c r="B4641" t="s">
        <v>1850</v>
      </c>
      <c r="C4641" t="s">
        <v>27</v>
      </c>
      <c r="D4641" s="1">
        <v>45991</v>
      </c>
      <c r="E4641" t="s">
        <v>4133</v>
      </c>
      <c r="F4641" t="s">
        <v>4137</v>
      </c>
    </row>
    <row r="4642" spans="1:6">
      <c r="A4642" t="s">
        <v>8771</v>
      </c>
      <c r="B4642" t="s">
        <v>1850</v>
      </c>
      <c r="C4642" t="s">
        <v>27</v>
      </c>
      <c r="D4642" s="1">
        <v>45997</v>
      </c>
      <c r="E4642" t="s">
        <v>4124</v>
      </c>
      <c r="F4642" t="s">
        <v>4125</v>
      </c>
    </row>
    <row r="4643" spans="1:6">
      <c r="A4643" t="s">
        <v>8772</v>
      </c>
      <c r="B4643" t="s">
        <v>1850</v>
      </c>
      <c r="C4643" t="s">
        <v>27</v>
      </c>
      <c r="D4643" s="1">
        <v>45990</v>
      </c>
      <c r="E4643" t="s">
        <v>4135</v>
      </c>
      <c r="F4643" t="s">
        <v>4137</v>
      </c>
    </row>
    <row r="4644" spans="1:6">
      <c r="A4644" t="s">
        <v>8773</v>
      </c>
      <c r="B4644" t="s">
        <v>1850</v>
      </c>
      <c r="C4644" t="s">
        <v>27</v>
      </c>
      <c r="D4644" s="1">
        <v>45984</v>
      </c>
      <c r="E4644" t="s">
        <v>4135</v>
      </c>
      <c r="F4644" t="s">
        <v>4139</v>
      </c>
    </row>
    <row r="4645" spans="1:6">
      <c r="A4645" t="s">
        <v>8774</v>
      </c>
      <c r="B4645" t="s">
        <v>1851</v>
      </c>
      <c r="C4645" t="s">
        <v>22</v>
      </c>
      <c r="D4645" s="1">
        <v>45786</v>
      </c>
      <c r="E4645" t="s">
        <v>4127</v>
      </c>
      <c r="F4645" t="s">
        <v>4137</v>
      </c>
    </row>
    <row r="4646" spans="1:6">
      <c r="A4646" t="s">
        <v>8775</v>
      </c>
      <c r="B4646" t="s">
        <v>1851</v>
      </c>
      <c r="C4646" t="s">
        <v>22</v>
      </c>
      <c r="D4646" s="1">
        <v>45749</v>
      </c>
      <c r="E4646" t="s">
        <v>4124</v>
      </c>
      <c r="F4646" t="s">
        <v>4139</v>
      </c>
    </row>
    <row r="4647" spans="1:6">
      <c r="A4647" t="s">
        <v>8776</v>
      </c>
      <c r="B4647" t="s">
        <v>1851</v>
      </c>
      <c r="C4647" t="s">
        <v>22</v>
      </c>
      <c r="D4647" s="1">
        <v>45731</v>
      </c>
      <c r="E4647" t="s">
        <v>4127</v>
      </c>
      <c r="F4647" t="s">
        <v>4139</v>
      </c>
    </row>
    <row r="4648" spans="1:6">
      <c r="A4648" t="s">
        <v>8777</v>
      </c>
      <c r="B4648" t="s">
        <v>1851</v>
      </c>
      <c r="C4648" t="s">
        <v>22</v>
      </c>
      <c r="D4648" s="1">
        <v>45798</v>
      </c>
      <c r="E4648" t="s">
        <v>4127</v>
      </c>
      <c r="F4648" t="s">
        <v>4139</v>
      </c>
    </row>
    <row r="4649" spans="1:6">
      <c r="A4649" t="s">
        <v>8778</v>
      </c>
      <c r="B4649" t="s">
        <v>1852</v>
      </c>
      <c r="C4649" t="s">
        <v>46</v>
      </c>
      <c r="D4649" s="1">
        <v>45796</v>
      </c>
      <c r="E4649" t="s">
        <v>4135</v>
      </c>
      <c r="F4649" t="s">
        <v>4137</v>
      </c>
    </row>
    <row r="4650" spans="1:6">
      <c r="A4650" t="s">
        <v>8779</v>
      </c>
      <c r="B4650" t="s">
        <v>1852</v>
      </c>
      <c r="C4650" t="s">
        <v>46</v>
      </c>
      <c r="D4650" s="1">
        <v>45810</v>
      </c>
      <c r="E4650" t="s">
        <v>4127</v>
      </c>
      <c r="F4650" t="s">
        <v>4125</v>
      </c>
    </row>
    <row r="4651" spans="1:6">
      <c r="A4651" t="s">
        <v>8780</v>
      </c>
      <c r="B4651" t="s">
        <v>1853</v>
      </c>
      <c r="C4651" t="s">
        <v>56</v>
      </c>
      <c r="D4651" s="1">
        <v>45864</v>
      </c>
      <c r="E4651" t="s">
        <v>4124</v>
      </c>
      <c r="F4651" t="s">
        <v>4137</v>
      </c>
    </row>
    <row r="4652" spans="1:6">
      <c r="A4652" t="s">
        <v>8781</v>
      </c>
      <c r="B4652" t="s">
        <v>1853</v>
      </c>
      <c r="C4652" t="s">
        <v>56</v>
      </c>
      <c r="D4652" s="1">
        <v>45873</v>
      </c>
      <c r="E4652" t="s">
        <v>4129</v>
      </c>
      <c r="F4652" t="s">
        <v>4139</v>
      </c>
    </row>
    <row r="4653" spans="1:6">
      <c r="A4653" t="s">
        <v>8782</v>
      </c>
      <c r="B4653" t="s">
        <v>1853</v>
      </c>
      <c r="C4653" t="s">
        <v>56</v>
      </c>
      <c r="D4653" s="1">
        <v>45873</v>
      </c>
      <c r="E4653" t="s">
        <v>4135</v>
      </c>
      <c r="F4653" t="s">
        <v>4125</v>
      </c>
    </row>
    <row r="4654" spans="1:6">
      <c r="A4654" t="s">
        <v>8783</v>
      </c>
      <c r="B4654" t="s">
        <v>1853</v>
      </c>
      <c r="C4654" t="s">
        <v>56</v>
      </c>
      <c r="D4654" s="1">
        <v>45860</v>
      </c>
      <c r="E4654" t="s">
        <v>4133</v>
      </c>
      <c r="F4654" t="s">
        <v>4139</v>
      </c>
    </row>
    <row r="4655" spans="1:6">
      <c r="A4655" t="s">
        <v>8784</v>
      </c>
      <c r="B4655" t="s">
        <v>1853</v>
      </c>
      <c r="C4655" t="s">
        <v>56</v>
      </c>
      <c r="D4655" s="1">
        <v>45858</v>
      </c>
      <c r="E4655" t="s">
        <v>4127</v>
      </c>
      <c r="F4655" t="s">
        <v>4125</v>
      </c>
    </row>
    <row r="4656" spans="1:6">
      <c r="A4656" t="s">
        <v>8785</v>
      </c>
      <c r="B4656" t="s">
        <v>1854</v>
      </c>
      <c r="C4656" t="s">
        <v>36</v>
      </c>
      <c r="D4656" s="1">
        <v>45866</v>
      </c>
      <c r="E4656" t="s">
        <v>4135</v>
      </c>
      <c r="F4656" t="s">
        <v>4137</v>
      </c>
    </row>
    <row r="4657" spans="1:6">
      <c r="A4657" t="s">
        <v>8786</v>
      </c>
      <c r="B4657" t="s">
        <v>1854</v>
      </c>
      <c r="C4657" t="s">
        <v>36</v>
      </c>
      <c r="D4657" s="1">
        <v>45842</v>
      </c>
      <c r="E4657" t="s">
        <v>4135</v>
      </c>
      <c r="F4657" t="s">
        <v>4137</v>
      </c>
    </row>
    <row r="4658" spans="1:6">
      <c r="A4658" t="s">
        <v>8787</v>
      </c>
      <c r="B4658" t="s">
        <v>1854</v>
      </c>
      <c r="C4658" t="s">
        <v>36</v>
      </c>
      <c r="D4658" s="1">
        <v>45849</v>
      </c>
      <c r="E4658" t="s">
        <v>4127</v>
      </c>
      <c r="F4658" t="s">
        <v>4137</v>
      </c>
    </row>
    <row r="4659" spans="1:6">
      <c r="A4659" t="s">
        <v>8788</v>
      </c>
      <c r="B4659" t="s">
        <v>1854</v>
      </c>
      <c r="C4659" t="s">
        <v>36</v>
      </c>
      <c r="D4659" s="1">
        <v>45898</v>
      </c>
      <c r="E4659" t="s">
        <v>4127</v>
      </c>
      <c r="F4659" t="s">
        <v>4139</v>
      </c>
    </row>
    <row r="4660" spans="1:6">
      <c r="A4660" t="s">
        <v>8789</v>
      </c>
      <c r="B4660" t="s">
        <v>1854</v>
      </c>
      <c r="C4660" t="s">
        <v>36</v>
      </c>
      <c r="D4660" s="1">
        <v>45899</v>
      </c>
      <c r="E4660" t="s">
        <v>4135</v>
      </c>
      <c r="F4660" t="s">
        <v>4137</v>
      </c>
    </row>
    <row r="4661" spans="1:6">
      <c r="A4661" t="s">
        <v>8790</v>
      </c>
      <c r="B4661" t="s">
        <v>1855</v>
      </c>
      <c r="C4661" t="s">
        <v>22</v>
      </c>
      <c r="D4661" s="1">
        <v>45851</v>
      </c>
      <c r="E4661" t="s">
        <v>4124</v>
      </c>
      <c r="F4661" t="s">
        <v>4125</v>
      </c>
    </row>
    <row r="4662" spans="1:6">
      <c r="A4662" t="s">
        <v>8791</v>
      </c>
      <c r="B4662" t="s">
        <v>1855</v>
      </c>
      <c r="C4662" t="s">
        <v>22</v>
      </c>
      <c r="D4662" s="1">
        <v>45836</v>
      </c>
      <c r="E4662" t="s">
        <v>4129</v>
      </c>
      <c r="F4662" t="s">
        <v>4137</v>
      </c>
    </row>
    <row r="4663" spans="1:6">
      <c r="A4663" t="s">
        <v>8792</v>
      </c>
      <c r="B4663" t="s">
        <v>1855</v>
      </c>
      <c r="C4663" t="s">
        <v>22</v>
      </c>
      <c r="D4663" s="1">
        <v>45828</v>
      </c>
      <c r="E4663" t="s">
        <v>4135</v>
      </c>
      <c r="F4663" t="s">
        <v>4137</v>
      </c>
    </row>
    <row r="4664" spans="1:6">
      <c r="A4664" t="s">
        <v>8793</v>
      </c>
      <c r="B4664" t="s">
        <v>1855</v>
      </c>
      <c r="C4664" t="s">
        <v>22</v>
      </c>
      <c r="D4664" s="1">
        <v>45870</v>
      </c>
      <c r="E4664" t="s">
        <v>4129</v>
      </c>
      <c r="F4664" t="s">
        <v>4137</v>
      </c>
    </row>
    <row r="4665" spans="1:6">
      <c r="A4665" t="s">
        <v>8794</v>
      </c>
      <c r="B4665" t="s">
        <v>1856</v>
      </c>
      <c r="C4665" t="s">
        <v>27</v>
      </c>
      <c r="D4665" s="1">
        <v>45687</v>
      </c>
      <c r="E4665" t="s">
        <v>4124</v>
      </c>
      <c r="F4665" t="s">
        <v>4137</v>
      </c>
    </row>
    <row r="4666" spans="1:6">
      <c r="A4666" t="s">
        <v>8795</v>
      </c>
      <c r="B4666" t="s">
        <v>1856</v>
      </c>
      <c r="C4666" t="s">
        <v>27</v>
      </c>
      <c r="D4666" s="1">
        <v>45681</v>
      </c>
      <c r="E4666" t="s">
        <v>4129</v>
      </c>
      <c r="F4666" t="s">
        <v>4137</v>
      </c>
    </row>
    <row r="4667" spans="1:6">
      <c r="A4667" t="s">
        <v>8796</v>
      </c>
      <c r="B4667" t="s">
        <v>1856</v>
      </c>
      <c r="C4667" t="s">
        <v>27</v>
      </c>
      <c r="D4667" s="1">
        <v>45672</v>
      </c>
      <c r="E4667" t="s">
        <v>4135</v>
      </c>
      <c r="F4667" t="s">
        <v>4125</v>
      </c>
    </row>
    <row r="4668" spans="1:6">
      <c r="A4668" t="s">
        <v>8797</v>
      </c>
      <c r="B4668" t="s">
        <v>1857</v>
      </c>
      <c r="C4668" t="s">
        <v>168</v>
      </c>
      <c r="D4668" s="1">
        <v>45889</v>
      </c>
      <c r="E4668" t="s">
        <v>4129</v>
      </c>
      <c r="F4668" t="s">
        <v>4137</v>
      </c>
    </row>
    <row r="4669" spans="1:6">
      <c r="A4669" t="s">
        <v>8798</v>
      </c>
      <c r="B4669" t="s">
        <v>1857</v>
      </c>
      <c r="C4669" t="s">
        <v>168</v>
      </c>
      <c r="D4669" s="1">
        <v>45914</v>
      </c>
      <c r="E4669" t="s">
        <v>4127</v>
      </c>
      <c r="F4669" t="s">
        <v>4125</v>
      </c>
    </row>
    <row r="4670" spans="1:6">
      <c r="A4670" t="s">
        <v>8799</v>
      </c>
      <c r="B4670" t="s">
        <v>1857</v>
      </c>
      <c r="C4670" t="s">
        <v>168</v>
      </c>
      <c r="D4670" s="1">
        <v>45921</v>
      </c>
      <c r="E4670" t="s">
        <v>4135</v>
      </c>
      <c r="F4670" t="s">
        <v>4139</v>
      </c>
    </row>
    <row r="4671" spans="1:6">
      <c r="A4671" t="s">
        <v>8800</v>
      </c>
      <c r="B4671" t="s">
        <v>1857</v>
      </c>
      <c r="C4671" t="s">
        <v>168</v>
      </c>
      <c r="D4671" s="1">
        <v>45903</v>
      </c>
      <c r="E4671" t="s">
        <v>4129</v>
      </c>
      <c r="F4671" t="s">
        <v>4139</v>
      </c>
    </row>
    <row r="4672" spans="1:6">
      <c r="A4672" t="s">
        <v>8801</v>
      </c>
      <c r="B4672" t="s">
        <v>1858</v>
      </c>
      <c r="C4672" t="s">
        <v>152</v>
      </c>
      <c r="D4672" s="1">
        <v>45678</v>
      </c>
      <c r="E4672" t="s">
        <v>4127</v>
      </c>
      <c r="F4672" t="s">
        <v>4137</v>
      </c>
    </row>
    <row r="4673" spans="1:6">
      <c r="A4673" t="s">
        <v>8802</v>
      </c>
      <c r="B4673" t="s">
        <v>1858</v>
      </c>
      <c r="C4673" t="s">
        <v>152</v>
      </c>
      <c r="D4673" s="1">
        <v>45689</v>
      </c>
      <c r="E4673" t="s">
        <v>4135</v>
      </c>
      <c r="F4673" t="s">
        <v>4137</v>
      </c>
    </row>
    <row r="4674" spans="1:6">
      <c r="A4674" t="s">
        <v>8803</v>
      </c>
      <c r="B4674" t="s">
        <v>1859</v>
      </c>
      <c r="C4674" t="s">
        <v>152</v>
      </c>
      <c r="D4674" s="1">
        <v>46016</v>
      </c>
      <c r="E4674" t="s">
        <v>4127</v>
      </c>
      <c r="F4674" t="s">
        <v>4137</v>
      </c>
    </row>
    <row r="4675" spans="1:6">
      <c r="A4675" t="s">
        <v>8804</v>
      </c>
      <c r="B4675" t="s">
        <v>1859</v>
      </c>
      <c r="C4675" t="s">
        <v>152</v>
      </c>
      <c r="D4675" s="1">
        <v>46017</v>
      </c>
      <c r="E4675" t="s">
        <v>4135</v>
      </c>
      <c r="F4675" t="s">
        <v>4139</v>
      </c>
    </row>
    <row r="4676" spans="1:6">
      <c r="A4676" t="s">
        <v>8805</v>
      </c>
      <c r="B4676" t="s">
        <v>1859</v>
      </c>
      <c r="C4676" t="s">
        <v>152</v>
      </c>
      <c r="D4676" s="1">
        <v>46022</v>
      </c>
      <c r="E4676" t="s">
        <v>4135</v>
      </c>
      <c r="F4676" t="s">
        <v>4125</v>
      </c>
    </row>
    <row r="4677" spans="1:6">
      <c r="A4677" t="s">
        <v>8806</v>
      </c>
      <c r="B4677" t="s">
        <v>1860</v>
      </c>
      <c r="C4677" t="s">
        <v>16</v>
      </c>
      <c r="D4677" s="1">
        <v>45845</v>
      </c>
      <c r="E4677" t="s">
        <v>4135</v>
      </c>
      <c r="F4677" t="s">
        <v>4137</v>
      </c>
    </row>
    <row r="4678" spans="1:6">
      <c r="A4678" t="s">
        <v>8807</v>
      </c>
      <c r="B4678" t="s">
        <v>1860</v>
      </c>
      <c r="C4678" t="s">
        <v>16</v>
      </c>
      <c r="D4678" s="1">
        <v>45860</v>
      </c>
      <c r="E4678" t="s">
        <v>4135</v>
      </c>
      <c r="F4678" t="s">
        <v>4125</v>
      </c>
    </row>
    <row r="4679" spans="1:6">
      <c r="A4679" t="s">
        <v>8808</v>
      </c>
      <c r="B4679" t="s">
        <v>1861</v>
      </c>
      <c r="C4679" t="s">
        <v>36</v>
      </c>
      <c r="D4679" s="1">
        <v>45769</v>
      </c>
      <c r="E4679" t="s">
        <v>4129</v>
      </c>
      <c r="F4679" t="s">
        <v>4137</v>
      </c>
    </row>
    <row r="4680" spans="1:6">
      <c r="A4680" t="s">
        <v>8809</v>
      </c>
      <c r="B4680" t="s">
        <v>1861</v>
      </c>
      <c r="C4680" t="s">
        <v>36</v>
      </c>
      <c r="D4680" s="1">
        <v>45764</v>
      </c>
      <c r="E4680" t="s">
        <v>4124</v>
      </c>
      <c r="F4680" t="s">
        <v>4137</v>
      </c>
    </row>
    <row r="4681" spans="1:6">
      <c r="A4681" t="s">
        <v>8810</v>
      </c>
      <c r="B4681" t="s">
        <v>1862</v>
      </c>
      <c r="C4681" t="s">
        <v>75</v>
      </c>
      <c r="D4681" s="1">
        <v>45794</v>
      </c>
      <c r="E4681" t="s">
        <v>4135</v>
      </c>
      <c r="F4681" t="s">
        <v>4125</v>
      </c>
    </row>
    <row r="4682" spans="1:6">
      <c r="A4682" t="s">
        <v>8811</v>
      </c>
      <c r="B4682" t="s">
        <v>1862</v>
      </c>
      <c r="C4682" t="s">
        <v>75</v>
      </c>
      <c r="D4682" s="1">
        <v>45796</v>
      </c>
      <c r="E4682" t="s">
        <v>4129</v>
      </c>
      <c r="F4682" t="s">
        <v>4137</v>
      </c>
    </row>
    <row r="4683" spans="1:6">
      <c r="A4683" t="s">
        <v>8812</v>
      </c>
      <c r="B4683" t="s">
        <v>1863</v>
      </c>
      <c r="C4683" t="s">
        <v>46</v>
      </c>
      <c r="D4683" s="1">
        <v>46017</v>
      </c>
      <c r="E4683" t="s">
        <v>4133</v>
      </c>
      <c r="F4683" t="s">
        <v>4125</v>
      </c>
    </row>
    <row r="4684" spans="1:6">
      <c r="A4684" t="s">
        <v>8813</v>
      </c>
      <c r="B4684" t="s">
        <v>1863</v>
      </c>
      <c r="C4684" t="s">
        <v>46</v>
      </c>
      <c r="D4684" s="1">
        <v>46020</v>
      </c>
      <c r="E4684" t="s">
        <v>4124</v>
      </c>
      <c r="F4684" t="s">
        <v>4137</v>
      </c>
    </row>
    <row r="4685" spans="1:6">
      <c r="A4685" t="s">
        <v>8814</v>
      </c>
      <c r="B4685" t="s">
        <v>1863</v>
      </c>
      <c r="C4685" t="s">
        <v>46</v>
      </c>
      <c r="D4685" s="1">
        <v>46015</v>
      </c>
      <c r="E4685" t="s">
        <v>4133</v>
      </c>
      <c r="F4685" t="s">
        <v>4139</v>
      </c>
    </row>
    <row r="4686" spans="1:6">
      <c r="A4686" t="s">
        <v>8815</v>
      </c>
      <c r="B4686" t="s">
        <v>1863</v>
      </c>
      <c r="C4686" t="s">
        <v>46</v>
      </c>
      <c r="D4686" s="1">
        <v>46017</v>
      </c>
      <c r="E4686" t="s">
        <v>4127</v>
      </c>
      <c r="F4686" t="s">
        <v>4125</v>
      </c>
    </row>
    <row r="4687" spans="1:6">
      <c r="A4687" t="s">
        <v>8816</v>
      </c>
      <c r="B4687" t="s">
        <v>1863</v>
      </c>
      <c r="C4687" t="s">
        <v>46</v>
      </c>
      <c r="D4687" s="1">
        <v>46020</v>
      </c>
      <c r="E4687" t="s">
        <v>4133</v>
      </c>
      <c r="F4687" t="s">
        <v>4125</v>
      </c>
    </row>
    <row r="4688" spans="1:6">
      <c r="A4688" t="s">
        <v>8817</v>
      </c>
      <c r="B4688" t="s">
        <v>1864</v>
      </c>
      <c r="C4688" t="s">
        <v>16</v>
      </c>
      <c r="D4688" s="1">
        <v>45689</v>
      </c>
      <c r="E4688" t="s">
        <v>4133</v>
      </c>
      <c r="F4688" t="s">
        <v>4137</v>
      </c>
    </row>
    <row r="4689" spans="1:6">
      <c r="A4689" t="s">
        <v>8818</v>
      </c>
      <c r="B4689" t="s">
        <v>1864</v>
      </c>
      <c r="C4689" t="s">
        <v>16</v>
      </c>
      <c r="D4689" s="1">
        <v>45688</v>
      </c>
      <c r="E4689" t="s">
        <v>4129</v>
      </c>
      <c r="F4689" t="s">
        <v>4125</v>
      </c>
    </row>
    <row r="4690" spans="1:6">
      <c r="A4690" t="s">
        <v>8819</v>
      </c>
      <c r="B4690" t="s">
        <v>1864</v>
      </c>
      <c r="C4690" t="s">
        <v>16</v>
      </c>
      <c r="D4690" s="1">
        <v>45683</v>
      </c>
      <c r="E4690" t="s">
        <v>4129</v>
      </c>
      <c r="F4690" t="s">
        <v>4139</v>
      </c>
    </row>
    <row r="4691" spans="1:6">
      <c r="A4691" t="s">
        <v>8820</v>
      </c>
      <c r="B4691" t="s">
        <v>1864</v>
      </c>
      <c r="C4691" t="s">
        <v>16</v>
      </c>
      <c r="D4691" s="1">
        <v>45686</v>
      </c>
      <c r="E4691" t="s">
        <v>4129</v>
      </c>
      <c r="F4691" t="s">
        <v>4125</v>
      </c>
    </row>
    <row r="4692" spans="1:6">
      <c r="A4692" t="s">
        <v>8821</v>
      </c>
      <c r="B4692" t="s">
        <v>1865</v>
      </c>
      <c r="C4692" t="s">
        <v>27</v>
      </c>
      <c r="D4692" s="1">
        <v>45811</v>
      </c>
      <c r="E4692" t="s">
        <v>4133</v>
      </c>
      <c r="F4692" t="s">
        <v>4137</v>
      </c>
    </row>
    <row r="4693" spans="1:6">
      <c r="A4693" t="s">
        <v>8822</v>
      </c>
      <c r="B4693" t="s">
        <v>1865</v>
      </c>
      <c r="C4693" t="s">
        <v>27</v>
      </c>
      <c r="D4693" s="1">
        <v>45816</v>
      </c>
      <c r="E4693" t="s">
        <v>4124</v>
      </c>
      <c r="F4693" t="s">
        <v>4125</v>
      </c>
    </row>
    <row r="4694" spans="1:6">
      <c r="A4694" t="s">
        <v>8823</v>
      </c>
      <c r="B4694" t="s">
        <v>1865</v>
      </c>
      <c r="C4694" t="s">
        <v>27</v>
      </c>
      <c r="D4694" s="1">
        <v>45814</v>
      </c>
      <c r="E4694" t="s">
        <v>4133</v>
      </c>
      <c r="F4694" t="s">
        <v>4125</v>
      </c>
    </row>
    <row r="4695" spans="1:6">
      <c r="A4695" t="s">
        <v>8824</v>
      </c>
      <c r="B4695" t="s">
        <v>1865</v>
      </c>
      <c r="C4695" t="s">
        <v>27</v>
      </c>
      <c r="D4695" s="1">
        <v>45810</v>
      </c>
      <c r="E4695" t="s">
        <v>4127</v>
      </c>
      <c r="F4695" t="s">
        <v>4139</v>
      </c>
    </row>
    <row r="4696" spans="1:6">
      <c r="A4696" t="s">
        <v>8825</v>
      </c>
      <c r="B4696" t="s">
        <v>1866</v>
      </c>
      <c r="C4696" t="s">
        <v>70</v>
      </c>
      <c r="D4696" s="1">
        <v>45830</v>
      </c>
      <c r="E4696" t="s">
        <v>4133</v>
      </c>
      <c r="F4696" t="s">
        <v>4139</v>
      </c>
    </row>
    <row r="4697" spans="1:6">
      <c r="A4697" t="s">
        <v>8826</v>
      </c>
      <c r="B4697" t="s">
        <v>1866</v>
      </c>
      <c r="C4697" t="s">
        <v>70</v>
      </c>
      <c r="D4697" s="1">
        <v>45800</v>
      </c>
      <c r="E4697" t="s">
        <v>4129</v>
      </c>
      <c r="F4697" t="s">
        <v>4125</v>
      </c>
    </row>
    <row r="4698" spans="1:6">
      <c r="A4698" t="s">
        <v>8827</v>
      </c>
      <c r="B4698" t="s">
        <v>1866</v>
      </c>
      <c r="C4698" t="s">
        <v>70</v>
      </c>
      <c r="D4698" s="1">
        <v>45798</v>
      </c>
      <c r="E4698" t="s">
        <v>4133</v>
      </c>
      <c r="F4698" t="s">
        <v>4137</v>
      </c>
    </row>
    <row r="4699" spans="1:6">
      <c r="A4699" t="s">
        <v>8828</v>
      </c>
      <c r="B4699" t="s">
        <v>1866</v>
      </c>
      <c r="C4699" t="s">
        <v>70</v>
      </c>
      <c r="D4699" s="1">
        <v>45831</v>
      </c>
      <c r="E4699" t="s">
        <v>4127</v>
      </c>
      <c r="F4699" t="s">
        <v>4137</v>
      </c>
    </row>
    <row r="4700" spans="1:6">
      <c r="A4700" t="s">
        <v>8829</v>
      </c>
      <c r="B4700" t="s">
        <v>1867</v>
      </c>
      <c r="C4700" t="s">
        <v>53</v>
      </c>
      <c r="D4700" s="1">
        <v>45911</v>
      </c>
      <c r="E4700" t="s">
        <v>4135</v>
      </c>
      <c r="F4700" t="s">
        <v>4137</v>
      </c>
    </row>
    <row r="4701" spans="1:6">
      <c r="A4701" t="s">
        <v>8830</v>
      </c>
      <c r="B4701" t="s">
        <v>1867</v>
      </c>
      <c r="C4701" t="s">
        <v>53</v>
      </c>
      <c r="D4701" s="1">
        <v>45920</v>
      </c>
      <c r="E4701" t="s">
        <v>4124</v>
      </c>
      <c r="F4701" t="s">
        <v>4125</v>
      </c>
    </row>
    <row r="4702" spans="1:6">
      <c r="A4702" t="s">
        <v>8831</v>
      </c>
      <c r="B4702" t="s">
        <v>1868</v>
      </c>
      <c r="C4702" t="s">
        <v>63</v>
      </c>
      <c r="D4702" s="1">
        <v>46011</v>
      </c>
      <c r="E4702" t="s">
        <v>4129</v>
      </c>
      <c r="F4702" t="s">
        <v>4137</v>
      </c>
    </row>
    <row r="4703" spans="1:6">
      <c r="A4703" t="s">
        <v>8832</v>
      </c>
      <c r="B4703" t="s">
        <v>1868</v>
      </c>
      <c r="C4703" t="s">
        <v>63</v>
      </c>
      <c r="D4703" s="1">
        <v>46015</v>
      </c>
      <c r="E4703" t="s">
        <v>4129</v>
      </c>
      <c r="F4703" t="s">
        <v>4137</v>
      </c>
    </row>
    <row r="4704" spans="1:6">
      <c r="A4704" t="s">
        <v>8833</v>
      </c>
      <c r="B4704" t="s">
        <v>1870</v>
      </c>
      <c r="C4704" t="s">
        <v>63</v>
      </c>
      <c r="D4704" s="1">
        <v>45976</v>
      </c>
      <c r="E4704" t="s">
        <v>4133</v>
      </c>
      <c r="F4704" t="s">
        <v>4137</v>
      </c>
    </row>
    <row r="4705" spans="1:6">
      <c r="A4705" t="s">
        <v>8834</v>
      </c>
      <c r="B4705" t="s">
        <v>1870</v>
      </c>
      <c r="C4705" t="s">
        <v>63</v>
      </c>
      <c r="D4705" s="1">
        <v>46005</v>
      </c>
      <c r="E4705" t="s">
        <v>4133</v>
      </c>
      <c r="F4705" t="s">
        <v>4125</v>
      </c>
    </row>
    <row r="4706" spans="1:6">
      <c r="A4706" t="s">
        <v>8835</v>
      </c>
      <c r="B4706" t="s">
        <v>1870</v>
      </c>
      <c r="C4706" t="s">
        <v>63</v>
      </c>
      <c r="D4706" s="1">
        <v>45970</v>
      </c>
      <c r="E4706" t="s">
        <v>4133</v>
      </c>
      <c r="F4706" t="s">
        <v>4137</v>
      </c>
    </row>
    <row r="4707" spans="1:6">
      <c r="A4707" t="s">
        <v>8836</v>
      </c>
      <c r="B4707" t="s">
        <v>1871</v>
      </c>
      <c r="C4707" t="s">
        <v>78</v>
      </c>
      <c r="D4707" s="1">
        <v>45869</v>
      </c>
      <c r="E4707" t="s">
        <v>4124</v>
      </c>
      <c r="F4707" t="s">
        <v>4125</v>
      </c>
    </row>
    <row r="4708" spans="1:6">
      <c r="A4708" t="s">
        <v>8837</v>
      </c>
      <c r="B4708" t="s">
        <v>1871</v>
      </c>
      <c r="C4708" t="s">
        <v>78</v>
      </c>
      <c r="D4708" s="1">
        <v>45858</v>
      </c>
      <c r="E4708" t="s">
        <v>4129</v>
      </c>
      <c r="F4708" t="s">
        <v>4137</v>
      </c>
    </row>
    <row r="4709" spans="1:6">
      <c r="A4709" t="s">
        <v>8838</v>
      </c>
      <c r="B4709" t="s">
        <v>1871</v>
      </c>
      <c r="C4709" t="s">
        <v>78</v>
      </c>
      <c r="D4709" s="1">
        <v>45864</v>
      </c>
      <c r="E4709" t="s">
        <v>4127</v>
      </c>
      <c r="F4709" t="s">
        <v>4139</v>
      </c>
    </row>
    <row r="4710" spans="1:6">
      <c r="A4710" t="s">
        <v>8839</v>
      </c>
      <c r="B4710" t="s">
        <v>1871</v>
      </c>
      <c r="C4710" t="s">
        <v>78</v>
      </c>
      <c r="D4710" s="1">
        <v>45864</v>
      </c>
      <c r="E4710" t="s">
        <v>4129</v>
      </c>
      <c r="F4710" t="s">
        <v>4125</v>
      </c>
    </row>
    <row r="4711" spans="1:6">
      <c r="A4711" t="s">
        <v>8840</v>
      </c>
      <c r="B4711" t="s">
        <v>1871</v>
      </c>
      <c r="C4711" t="s">
        <v>78</v>
      </c>
      <c r="D4711" s="1">
        <v>45886</v>
      </c>
      <c r="E4711" t="s">
        <v>4129</v>
      </c>
      <c r="F4711" t="s">
        <v>4139</v>
      </c>
    </row>
    <row r="4712" spans="1:6">
      <c r="A4712" t="s">
        <v>8841</v>
      </c>
      <c r="B4712" t="s">
        <v>1872</v>
      </c>
      <c r="C4712" t="s">
        <v>59</v>
      </c>
      <c r="D4712" s="1">
        <v>45864</v>
      </c>
      <c r="E4712" t="s">
        <v>4127</v>
      </c>
      <c r="F4712" t="s">
        <v>4125</v>
      </c>
    </row>
    <row r="4713" spans="1:6">
      <c r="A4713" t="s">
        <v>8842</v>
      </c>
      <c r="B4713" t="s">
        <v>1872</v>
      </c>
      <c r="C4713" t="s">
        <v>59</v>
      </c>
      <c r="D4713" s="1">
        <v>45870</v>
      </c>
      <c r="E4713" t="s">
        <v>4124</v>
      </c>
      <c r="F4713" t="s">
        <v>4137</v>
      </c>
    </row>
    <row r="4714" spans="1:6">
      <c r="A4714" t="s">
        <v>8843</v>
      </c>
      <c r="B4714" t="s">
        <v>1873</v>
      </c>
      <c r="C4714" t="s">
        <v>56</v>
      </c>
      <c r="D4714" s="1">
        <v>45774</v>
      </c>
      <c r="E4714" t="s">
        <v>4124</v>
      </c>
      <c r="F4714" t="s">
        <v>4139</v>
      </c>
    </row>
    <row r="4715" spans="1:6">
      <c r="A4715" t="s">
        <v>8844</v>
      </c>
      <c r="B4715" t="s">
        <v>1873</v>
      </c>
      <c r="C4715" t="s">
        <v>56</v>
      </c>
      <c r="D4715" s="1">
        <v>45794</v>
      </c>
      <c r="E4715" t="s">
        <v>4124</v>
      </c>
      <c r="F4715" t="s">
        <v>4137</v>
      </c>
    </row>
    <row r="4716" spans="1:6">
      <c r="A4716" t="s">
        <v>8845</v>
      </c>
      <c r="B4716" t="s">
        <v>1873</v>
      </c>
      <c r="C4716" t="s">
        <v>56</v>
      </c>
      <c r="D4716" s="1">
        <v>45778</v>
      </c>
      <c r="E4716" t="s">
        <v>4127</v>
      </c>
      <c r="F4716" t="s">
        <v>4137</v>
      </c>
    </row>
    <row r="4717" spans="1:6">
      <c r="A4717" t="s">
        <v>8846</v>
      </c>
      <c r="B4717" t="s">
        <v>1875</v>
      </c>
      <c r="C4717" t="s">
        <v>91</v>
      </c>
      <c r="D4717" s="1">
        <v>46022</v>
      </c>
      <c r="E4717" t="s">
        <v>4133</v>
      </c>
      <c r="F4717" t="s">
        <v>4139</v>
      </c>
    </row>
    <row r="4718" spans="1:6">
      <c r="A4718" t="s">
        <v>8847</v>
      </c>
      <c r="B4718" t="s">
        <v>1875</v>
      </c>
      <c r="C4718" t="s">
        <v>91</v>
      </c>
      <c r="D4718" s="1">
        <v>46021</v>
      </c>
      <c r="E4718" t="s">
        <v>4129</v>
      </c>
      <c r="F4718" t="s">
        <v>4137</v>
      </c>
    </row>
    <row r="4719" spans="1:6">
      <c r="A4719" t="s">
        <v>8848</v>
      </c>
      <c r="B4719" t="s">
        <v>1875</v>
      </c>
      <c r="C4719" t="s">
        <v>91</v>
      </c>
      <c r="D4719" s="1">
        <v>46021</v>
      </c>
      <c r="E4719" t="s">
        <v>4133</v>
      </c>
      <c r="F4719" t="s">
        <v>4125</v>
      </c>
    </row>
    <row r="4720" spans="1:6">
      <c r="A4720" t="s">
        <v>8849</v>
      </c>
      <c r="B4720" t="s">
        <v>1875</v>
      </c>
      <c r="C4720" t="s">
        <v>91</v>
      </c>
      <c r="D4720" s="1">
        <v>46022</v>
      </c>
      <c r="E4720" t="s">
        <v>4135</v>
      </c>
      <c r="F4720" t="s">
        <v>4125</v>
      </c>
    </row>
    <row r="4721" spans="1:6">
      <c r="A4721" t="s">
        <v>8850</v>
      </c>
      <c r="B4721" t="s">
        <v>1877</v>
      </c>
      <c r="C4721" t="s">
        <v>32</v>
      </c>
      <c r="D4721" s="1">
        <v>45775</v>
      </c>
      <c r="E4721" t="s">
        <v>4129</v>
      </c>
      <c r="F4721" t="s">
        <v>4137</v>
      </c>
    </row>
    <row r="4722" spans="1:6">
      <c r="A4722" t="s">
        <v>8851</v>
      </c>
      <c r="B4722" t="s">
        <v>1877</v>
      </c>
      <c r="C4722" t="s">
        <v>32</v>
      </c>
      <c r="D4722" s="1">
        <v>45776</v>
      </c>
      <c r="E4722" t="s">
        <v>4127</v>
      </c>
      <c r="F4722" t="s">
        <v>4139</v>
      </c>
    </row>
    <row r="4723" spans="1:6">
      <c r="A4723" t="s">
        <v>8852</v>
      </c>
      <c r="B4723" t="s">
        <v>1879</v>
      </c>
      <c r="C4723" t="s">
        <v>22</v>
      </c>
      <c r="D4723" s="1">
        <v>46006</v>
      </c>
      <c r="E4723" t="s">
        <v>4133</v>
      </c>
      <c r="F4723" t="s">
        <v>4139</v>
      </c>
    </row>
    <row r="4724" spans="1:6">
      <c r="A4724" t="s">
        <v>8853</v>
      </c>
      <c r="B4724" t="s">
        <v>1879</v>
      </c>
      <c r="C4724" t="s">
        <v>22</v>
      </c>
      <c r="D4724" s="1">
        <v>45994</v>
      </c>
      <c r="E4724" t="s">
        <v>4133</v>
      </c>
      <c r="F4724" t="s">
        <v>4139</v>
      </c>
    </row>
    <row r="4725" spans="1:6">
      <c r="A4725" t="s">
        <v>8854</v>
      </c>
      <c r="B4725" t="s">
        <v>1880</v>
      </c>
      <c r="C4725" t="s">
        <v>78</v>
      </c>
      <c r="D4725" s="1">
        <v>45799</v>
      </c>
      <c r="E4725" t="s">
        <v>4124</v>
      </c>
      <c r="F4725" t="s">
        <v>4125</v>
      </c>
    </row>
    <row r="4726" spans="1:6">
      <c r="A4726" t="s">
        <v>8855</v>
      </c>
      <c r="B4726" t="s">
        <v>1880</v>
      </c>
      <c r="C4726" t="s">
        <v>78</v>
      </c>
      <c r="D4726" s="1">
        <v>45799</v>
      </c>
      <c r="E4726" t="s">
        <v>4124</v>
      </c>
      <c r="F4726" t="s">
        <v>4137</v>
      </c>
    </row>
    <row r="4727" spans="1:6">
      <c r="A4727" t="s">
        <v>8856</v>
      </c>
      <c r="B4727" t="s">
        <v>1880</v>
      </c>
      <c r="C4727" t="s">
        <v>78</v>
      </c>
      <c r="D4727" s="1">
        <v>45763</v>
      </c>
      <c r="E4727" t="s">
        <v>4129</v>
      </c>
      <c r="F4727" t="s">
        <v>4125</v>
      </c>
    </row>
    <row r="4728" spans="1:6">
      <c r="A4728" t="s">
        <v>8857</v>
      </c>
      <c r="B4728" t="s">
        <v>1880</v>
      </c>
      <c r="C4728" t="s">
        <v>78</v>
      </c>
      <c r="D4728" s="1">
        <v>45784</v>
      </c>
      <c r="E4728" t="s">
        <v>4133</v>
      </c>
      <c r="F4728" t="s">
        <v>4125</v>
      </c>
    </row>
    <row r="4729" spans="1:6">
      <c r="A4729" t="s">
        <v>8858</v>
      </c>
      <c r="B4729" t="s">
        <v>1881</v>
      </c>
      <c r="C4729" t="s">
        <v>32</v>
      </c>
      <c r="D4729" s="1">
        <v>45765</v>
      </c>
      <c r="E4729" t="s">
        <v>4127</v>
      </c>
      <c r="F4729" t="s">
        <v>4139</v>
      </c>
    </row>
    <row r="4730" spans="1:6">
      <c r="A4730" t="s">
        <v>8859</v>
      </c>
      <c r="B4730" t="s">
        <v>1881</v>
      </c>
      <c r="C4730" t="s">
        <v>32</v>
      </c>
      <c r="D4730" s="1">
        <v>45790</v>
      </c>
      <c r="E4730" t="s">
        <v>4129</v>
      </c>
      <c r="F4730" t="s">
        <v>4125</v>
      </c>
    </row>
    <row r="4731" spans="1:6">
      <c r="A4731" t="s">
        <v>8860</v>
      </c>
      <c r="B4731" t="s">
        <v>1881</v>
      </c>
      <c r="C4731" t="s">
        <v>32</v>
      </c>
      <c r="D4731" s="1">
        <v>45761</v>
      </c>
      <c r="E4731" t="s">
        <v>4129</v>
      </c>
      <c r="F4731" t="s">
        <v>4139</v>
      </c>
    </row>
    <row r="4732" spans="1:6">
      <c r="A4732" t="s">
        <v>8861</v>
      </c>
      <c r="B4732" t="s">
        <v>1881</v>
      </c>
      <c r="C4732" t="s">
        <v>32</v>
      </c>
      <c r="D4732" s="1">
        <v>45737</v>
      </c>
      <c r="E4732" t="s">
        <v>4127</v>
      </c>
      <c r="F4732" t="s">
        <v>4137</v>
      </c>
    </row>
    <row r="4733" spans="1:6">
      <c r="A4733" t="s">
        <v>8862</v>
      </c>
      <c r="B4733" t="s">
        <v>1881</v>
      </c>
      <c r="C4733" t="s">
        <v>32</v>
      </c>
      <c r="D4733" s="1">
        <v>45715</v>
      </c>
      <c r="E4733" t="s">
        <v>4133</v>
      </c>
      <c r="F4733" t="s">
        <v>4125</v>
      </c>
    </row>
    <row r="4734" spans="1:6">
      <c r="A4734" t="s">
        <v>8863</v>
      </c>
      <c r="B4734" t="s">
        <v>1882</v>
      </c>
      <c r="C4734" t="s">
        <v>168</v>
      </c>
      <c r="D4734" s="1">
        <v>45769</v>
      </c>
      <c r="E4734" t="s">
        <v>4129</v>
      </c>
      <c r="F4734" t="s">
        <v>4139</v>
      </c>
    </row>
    <row r="4735" spans="1:6">
      <c r="A4735" t="s">
        <v>8864</v>
      </c>
      <c r="B4735" t="s">
        <v>1882</v>
      </c>
      <c r="C4735" t="s">
        <v>168</v>
      </c>
      <c r="D4735" s="1">
        <v>45751</v>
      </c>
      <c r="E4735" t="s">
        <v>4135</v>
      </c>
      <c r="F4735" t="s">
        <v>4139</v>
      </c>
    </row>
    <row r="4736" spans="1:6">
      <c r="A4736" t="s">
        <v>8865</v>
      </c>
      <c r="B4736" t="s">
        <v>1882</v>
      </c>
      <c r="C4736" t="s">
        <v>168</v>
      </c>
      <c r="D4736" s="1">
        <v>45777</v>
      </c>
      <c r="E4736" t="s">
        <v>4133</v>
      </c>
      <c r="F4736" t="s">
        <v>4137</v>
      </c>
    </row>
    <row r="4737" spans="1:6">
      <c r="A4737" t="s">
        <v>8866</v>
      </c>
      <c r="B4737" t="s">
        <v>1883</v>
      </c>
      <c r="C4737" t="s">
        <v>46</v>
      </c>
      <c r="D4737" s="1">
        <v>45899</v>
      </c>
      <c r="E4737" t="s">
        <v>4127</v>
      </c>
      <c r="F4737" t="s">
        <v>4137</v>
      </c>
    </row>
    <row r="4738" spans="1:6">
      <c r="A4738" t="s">
        <v>8867</v>
      </c>
      <c r="B4738" t="s">
        <v>1883</v>
      </c>
      <c r="C4738" t="s">
        <v>46</v>
      </c>
      <c r="D4738" s="1">
        <v>45932</v>
      </c>
      <c r="E4738" t="s">
        <v>4129</v>
      </c>
      <c r="F4738" t="s">
        <v>4139</v>
      </c>
    </row>
    <row r="4739" spans="1:6">
      <c r="A4739" t="s">
        <v>8868</v>
      </c>
      <c r="B4739" t="s">
        <v>1885</v>
      </c>
      <c r="C4739" t="s">
        <v>27</v>
      </c>
      <c r="D4739" s="1">
        <v>46017</v>
      </c>
      <c r="E4739" t="s">
        <v>4129</v>
      </c>
      <c r="F4739" t="s">
        <v>4139</v>
      </c>
    </row>
    <row r="4740" spans="1:6">
      <c r="A4740" t="s">
        <v>8869</v>
      </c>
      <c r="B4740" t="s">
        <v>1885</v>
      </c>
      <c r="C4740" t="s">
        <v>27</v>
      </c>
      <c r="D4740" s="1">
        <v>46018</v>
      </c>
      <c r="E4740" t="s">
        <v>4124</v>
      </c>
      <c r="F4740" t="s">
        <v>4137</v>
      </c>
    </row>
    <row r="4741" spans="1:6">
      <c r="A4741" t="s">
        <v>8870</v>
      </c>
      <c r="B4741" t="s">
        <v>1886</v>
      </c>
      <c r="C4741" t="s">
        <v>168</v>
      </c>
      <c r="D4741" s="1">
        <v>46007</v>
      </c>
      <c r="E4741" t="s">
        <v>4127</v>
      </c>
      <c r="F4741" t="s">
        <v>4137</v>
      </c>
    </row>
    <row r="4742" spans="1:6">
      <c r="A4742" t="s">
        <v>8871</v>
      </c>
      <c r="B4742" t="s">
        <v>1886</v>
      </c>
      <c r="C4742" t="s">
        <v>168</v>
      </c>
      <c r="D4742" s="1">
        <v>46016</v>
      </c>
      <c r="E4742" t="s">
        <v>4129</v>
      </c>
      <c r="F4742" t="s">
        <v>4125</v>
      </c>
    </row>
    <row r="4743" spans="1:6">
      <c r="A4743" t="s">
        <v>8872</v>
      </c>
      <c r="B4743" t="s">
        <v>1886</v>
      </c>
      <c r="C4743" t="s">
        <v>168</v>
      </c>
      <c r="D4743" s="1">
        <v>46006</v>
      </c>
      <c r="E4743" t="s">
        <v>4127</v>
      </c>
      <c r="F4743" t="s">
        <v>4137</v>
      </c>
    </row>
    <row r="4744" spans="1:6">
      <c r="A4744" t="s">
        <v>8873</v>
      </c>
      <c r="B4744" t="s">
        <v>1887</v>
      </c>
      <c r="C4744" t="s">
        <v>63</v>
      </c>
      <c r="D4744" s="1">
        <v>45802</v>
      </c>
      <c r="E4744" t="s">
        <v>4135</v>
      </c>
      <c r="F4744" t="s">
        <v>4125</v>
      </c>
    </row>
    <row r="4745" spans="1:6">
      <c r="A4745" t="s">
        <v>8874</v>
      </c>
      <c r="B4745" t="s">
        <v>1887</v>
      </c>
      <c r="C4745" t="s">
        <v>63</v>
      </c>
      <c r="D4745" s="1">
        <v>45817</v>
      </c>
      <c r="E4745" t="s">
        <v>4124</v>
      </c>
      <c r="F4745" t="s">
        <v>4125</v>
      </c>
    </row>
    <row r="4746" spans="1:6">
      <c r="A4746" t="s">
        <v>8875</v>
      </c>
      <c r="B4746" t="s">
        <v>1887</v>
      </c>
      <c r="C4746" t="s">
        <v>63</v>
      </c>
      <c r="D4746" s="1">
        <v>45802</v>
      </c>
      <c r="E4746" t="s">
        <v>4127</v>
      </c>
      <c r="F4746" t="s">
        <v>4125</v>
      </c>
    </row>
    <row r="4747" spans="1:6">
      <c r="A4747" t="s">
        <v>8876</v>
      </c>
      <c r="B4747" t="s">
        <v>1887</v>
      </c>
      <c r="C4747" t="s">
        <v>63</v>
      </c>
      <c r="D4747" s="1">
        <v>45783</v>
      </c>
      <c r="E4747" t="s">
        <v>4135</v>
      </c>
      <c r="F4747" t="s">
        <v>4139</v>
      </c>
    </row>
    <row r="4748" spans="1:6">
      <c r="A4748" t="s">
        <v>8877</v>
      </c>
      <c r="B4748" t="s">
        <v>1888</v>
      </c>
      <c r="C4748" t="s">
        <v>46</v>
      </c>
      <c r="D4748" s="1">
        <v>45930</v>
      </c>
      <c r="E4748" t="s">
        <v>4124</v>
      </c>
      <c r="F4748" t="s">
        <v>4125</v>
      </c>
    </row>
    <row r="4749" spans="1:6">
      <c r="A4749" t="s">
        <v>8878</v>
      </c>
      <c r="B4749" t="s">
        <v>1888</v>
      </c>
      <c r="C4749" t="s">
        <v>46</v>
      </c>
      <c r="D4749" s="1">
        <v>45932</v>
      </c>
      <c r="E4749" t="s">
        <v>4127</v>
      </c>
      <c r="F4749" t="s">
        <v>4125</v>
      </c>
    </row>
    <row r="4750" spans="1:6">
      <c r="A4750" t="s">
        <v>8879</v>
      </c>
      <c r="B4750" t="s">
        <v>1888</v>
      </c>
      <c r="C4750" t="s">
        <v>46</v>
      </c>
      <c r="D4750" s="1">
        <v>45968</v>
      </c>
      <c r="E4750" t="s">
        <v>4135</v>
      </c>
      <c r="F4750" t="s">
        <v>4125</v>
      </c>
    </row>
    <row r="4751" spans="1:6">
      <c r="A4751" t="s">
        <v>8880</v>
      </c>
      <c r="B4751" t="s">
        <v>1889</v>
      </c>
      <c r="C4751" t="s">
        <v>126</v>
      </c>
      <c r="D4751" s="1">
        <v>45807</v>
      </c>
      <c r="E4751" t="s">
        <v>4127</v>
      </c>
      <c r="F4751" t="s">
        <v>4125</v>
      </c>
    </row>
    <row r="4752" spans="1:6">
      <c r="A4752" t="s">
        <v>8881</v>
      </c>
      <c r="B4752" t="s">
        <v>1889</v>
      </c>
      <c r="C4752" t="s">
        <v>126</v>
      </c>
      <c r="D4752" s="1">
        <v>45817</v>
      </c>
      <c r="E4752" t="s">
        <v>4124</v>
      </c>
      <c r="F4752" t="s">
        <v>4139</v>
      </c>
    </row>
    <row r="4753" spans="1:6">
      <c r="A4753" t="s">
        <v>8882</v>
      </c>
      <c r="B4753" t="s">
        <v>1890</v>
      </c>
      <c r="C4753" t="s">
        <v>50</v>
      </c>
      <c r="D4753" s="1">
        <v>45695</v>
      </c>
      <c r="E4753" t="s">
        <v>4135</v>
      </c>
      <c r="F4753" t="s">
        <v>4125</v>
      </c>
    </row>
    <row r="4754" spans="1:6">
      <c r="A4754" t="s">
        <v>8883</v>
      </c>
      <c r="B4754" t="s">
        <v>1890</v>
      </c>
      <c r="C4754" t="s">
        <v>50</v>
      </c>
      <c r="D4754" s="1">
        <v>45673</v>
      </c>
      <c r="E4754" t="s">
        <v>4135</v>
      </c>
      <c r="F4754" t="s">
        <v>4139</v>
      </c>
    </row>
    <row r="4755" spans="1:6">
      <c r="A4755" t="s">
        <v>8884</v>
      </c>
      <c r="B4755" t="s">
        <v>1891</v>
      </c>
      <c r="C4755" t="s">
        <v>78</v>
      </c>
      <c r="D4755" s="1">
        <v>45856</v>
      </c>
      <c r="E4755" t="s">
        <v>4129</v>
      </c>
      <c r="F4755" t="s">
        <v>4125</v>
      </c>
    </row>
    <row r="4756" spans="1:6">
      <c r="A4756" t="s">
        <v>8885</v>
      </c>
      <c r="B4756" t="s">
        <v>1891</v>
      </c>
      <c r="C4756" t="s">
        <v>78</v>
      </c>
      <c r="D4756" s="1">
        <v>45868</v>
      </c>
      <c r="E4756" t="s">
        <v>4133</v>
      </c>
      <c r="F4756" t="s">
        <v>4125</v>
      </c>
    </row>
    <row r="4757" spans="1:6">
      <c r="A4757" t="s">
        <v>8886</v>
      </c>
      <c r="B4757" t="s">
        <v>1892</v>
      </c>
      <c r="C4757" t="s">
        <v>27</v>
      </c>
      <c r="D4757" s="1">
        <v>45680</v>
      </c>
      <c r="E4757" t="s">
        <v>4127</v>
      </c>
      <c r="F4757" t="s">
        <v>4139</v>
      </c>
    </row>
    <row r="4758" spans="1:6">
      <c r="A4758" t="s">
        <v>8887</v>
      </c>
      <c r="B4758" t="s">
        <v>1892</v>
      </c>
      <c r="C4758" t="s">
        <v>27</v>
      </c>
      <c r="D4758" s="1">
        <v>45680</v>
      </c>
      <c r="E4758" t="s">
        <v>4129</v>
      </c>
      <c r="F4758" t="s">
        <v>4125</v>
      </c>
    </row>
    <row r="4759" spans="1:6">
      <c r="A4759" t="s">
        <v>8888</v>
      </c>
      <c r="B4759" t="s">
        <v>1892</v>
      </c>
      <c r="C4759" t="s">
        <v>27</v>
      </c>
      <c r="D4759" s="1">
        <v>45670</v>
      </c>
      <c r="E4759" t="s">
        <v>4129</v>
      </c>
      <c r="F4759" t="s">
        <v>4125</v>
      </c>
    </row>
    <row r="4760" spans="1:6">
      <c r="A4760" t="s">
        <v>8889</v>
      </c>
      <c r="B4760" t="s">
        <v>1893</v>
      </c>
      <c r="C4760" t="s">
        <v>78</v>
      </c>
      <c r="D4760" s="1">
        <v>45698</v>
      </c>
      <c r="E4760" t="s">
        <v>4124</v>
      </c>
      <c r="F4760" t="s">
        <v>4137</v>
      </c>
    </row>
    <row r="4761" spans="1:6">
      <c r="A4761" t="s">
        <v>8890</v>
      </c>
      <c r="B4761" t="s">
        <v>1893</v>
      </c>
      <c r="C4761" t="s">
        <v>78</v>
      </c>
      <c r="D4761" s="1">
        <v>45693</v>
      </c>
      <c r="E4761" t="s">
        <v>4129</v>
      </c>
      <c r="F4761" t="s">
        <v>4125</v>
      </c>
    </row>
    <row r="4762" spans="1:6">
      <c r="A4762" t="s">
        <v>8891</v>
      </c>
      <c r="B4762" t="s">
        <v>1894</v>
      </c>
      <c r="C4762" t="s">
        <v>70</v>
      </c>
      <c r="D4762" s="1">
        <v>45778</v>
      </c>
      <c r="E4762" t="s">
        <v>4124</v>
      </c>
      <c r="F4762" t="s">
        <v>4125</v>
      </c>
    </row>
    <row r="4763" spans="1:6">
      <c r="A4763" t="s">
        <v>8892</v>
      </c>
      <c r="B4763" t="s">
        <v>1894</v>
      </c>
      <c r="C4763" t="s">
        <v>70</v>
      </c>
      <c r="D4763" s="1">
        <v>45745</v>
      </c>
      <c r="E4763" t="s">
        <v>4124</v>
      </c>
      <c r="F4763" t="s">
        <v>4139</v>
      </c>
    </row>
    <row r="4764" spans="1:6">
      <c r="A4764" t="s">
        <v>8893</v>
      </c>
      <c r="B4764" t="s">
        <v>1894</v>
      </c>
      <c r="C4764" t="s">
        <v>70</v>
      </c>
      <c r="D4764" s="1">
        <v>45784</v>
      </c>
      <c r="E4764" t="s">
        <v>4127</v>
      </c>
      <c r="F4764" t="s">
        <v>4125</v>
      </c>
    </row>
    <row r="4765" spans="1:6">
      <c r="A4765" t="s">
        <v>8894</v>
      </c>
      <c r="B4765" t="s">
        <v>1894</v>
      </c>
      <c r="C4765" t="s">
        <v>70</v>
      </c>
      <c r="D4765" s="1">
        <v>45743</v>
      </c>
      <c r="E4765" t="s">
        <v>4133</v>
      </c>
      <c r="F4765" t="s">
        <v>4139</v>
      </c>
    </row>
    <row r="4766" spans="1:6">
      <c r="A4766" t="s">
        <v>8895</v>
      </c>
      <c r="B4766" t="s">
        <v>1895</v>
      </c>
      <c r="C4766" t="s">
        <v>63</v>
      </c>
      <c r="D4766" s="1">
        <v>45804</v>
      </c>
      <c r="E4766" t="s">
        <v>4124</v>
      </c>
      <c r="F4766" t="s">
        <v>4125</v>
      </c>
    </row>
    <row r="4767" spans="1:6">
      <c r="A4767" t="s">
        <v>8896</v>
      </c>
      <c r="B4767" t="s">
        <v>1895</v>
      </c>
      <c r="C4767" t="s">
        <v>63</v>
      </c>
      <c r="D4767" s="1">
        <v>45798</v>
      </c>
      <c r="E4767" t="s">
        <v>4127</v>
      </c>
      <c r="F4767" t="s">
        <v>4139</v>
      </c>
    </row>
    <row r="4768" spans="1:6">
      <c r="A4768" t="s">
        <v>8897</v>
      </c>
      <c r="B4768" t="s">
        <v>1895</v>
      </c>
      <c r="C4768" t="s">
        <v>63</v>
      </c>
      <c r="D4768" s="1">
        <v>45772</v>
      </c>
      <c r="E4768" t="s">
        <v>4129</v>
      </c>
      <c r="F4768" t="s">
        <v>4125</v>
      </c>
    </row>
    <row r="4769" spans="1:6">
      <c r="A4769" t="s">
        <v>8898</v>
      </c>
      <c r="B4769" t="s">
        <v>1897</v>
      </c>
      <c r="C4769" t="s">
        <v>152</v>
      </c>
      <c r="D4769" s="1">
        <v>45742</v>
      </c>
      <c r="E4769" t="s">
        <v>4124</v>
      </c>
      <c r="F4769" t="s">
        <v>4137</v>
      </c>
    </row>
    <row r="4770" spans="1:6">
      <c r="A4770" t="s">
        <v>8899</v>
      </c>
      <c r="B4770" t="s">
        <v>1897</v>
      </c>
      <c r="C4770" t="s">
        <v>152</v>
      </c>
      <c r="D4770" s="1">
        <v>45783</v>
      </c>
      <c r="E4770" t="s">
        <v>4124</v>
      </c>
      <c r="F4770" t="s">
        <v>4125</v>
      </c>
    </row>
    <row r="4771" spans="1:6">
      <c r="A4771" t="s">
        <v>8900</v>
      </c>
      <c r="B4771" t="s">
        <v>1898</v>
      </c>
      <c r="C4771" t="s">
        <v>56</v>
      </c>
      <c r="D4771" s="1">
        <v>45924</v>
      </c>
      <c r="E4771" t="s">
        <v>4129</v>
      </c>
      <c r="F4771" t="s">
        <v>4125</v>
      </c>
    </row>
    <row r="4772" spans="1:6">
      <c r="A4772" t="s">
        <v>8901</v>
      </c>
      <c r="B4772" t="s">
        <v>1898</v>
      </c>
      <c r="C4772" t="s">
        <v>56</v>
      </c>
      <c r="D4772" s="1">
        <v>45932</v>
      </c>
      <c r="E4772" t="s">
        <v>4127</v>
      </c>
      <c r="F4772" t="s">
        <v>4139</v>
      </c>
    </row>
    <row r="4773" spans="1:6">
      <c r="A4773" t="s">
        <v>8902</v>
      </c>
      <c r="B4773" t="s">
        <v>1898</v>
      </c>
      <c r="C4773" t="s">
        <v>56</v>
      </c>
      <c r="D4773" s="1">
        <v>45913</v>
      </c>
      <c r="E4773" t="s">
        <v>4124</v>
      </c>
      <c r="F4773" t="s">
        <v>4125</v>
      </c>
    </row>
    <row r="4774" spans="1:6">
      <c r="A4774" t="s">
        <v>8903</v>
      </c>
      <c r="B4774" t="s">
        <v>1899</v>
      </c>
      <c r="C4774" t="s">
        <v>32</v>
      </c>
      <c r="D4774" s="1">
        <v>45764</v>
      </c>
      <c r="E4774" t="s">
        <v>4135</v>
      </c>
      <c r="F4774" t="s">
        <v>4137</v>
      </c>
    </row>
    <row r="4775" spans="1:6">
      <c r="A4775" t="s">
        <v>8904</v>
      </c>
      <c r="B4775" t="s">
        <v>1899</v>
      </c>
      <c r="C4775" t="s">
        <v>32</v>
      </c>
      <c r="D4775" s="1">
        <v>45766</v>
      </c>
      <c r="E4775" t="s">
        <v>4124</v>
      </c>
      <c r="F4775" t="s">
        <v>4139</v>
      </c>
    </row>
    <row r="4776" spans="1:6">
      <c r="A4776" t="s">
        <v>8905</v>
      </c>
      <c r="B4776" t="s">
        <v>1900</v>
      </c>
      <c r="C4776" t="s">
        <v>40</v>
      </c>
      <c r="D4776" s="1">
        <v>45781</v>
      </c>
      <c r="E4776" t="s">
        <v>4129</v>
      </c>
      <c r="F4776" t="s">
        <v>4125</v>
      </c>
    </row>
    <row r="4777" spans="1:6">
      <c r="A4777" t="s">
        <v>8906</v>
      </c>
      <c r="B4777" t="s">
        <v>1900</v>
      </c>
      <c r="C4777" t="s">
        <v>40</v>
      </c>
      <c r="D4777" s="1">
        <v>45774</v>
      </c>
      <c r="E4777" t="s">
        <v>4127</v>
      </c>
      <c r="F4777" t="s">
        <v>4125</v>
      </c>
    </row>
    <row r="4778" spans="1:6">
      <c r="A4778" t="s">
        <v>8907</v>
      </c>
      <c r="B4778" t="s">
        <v>1900</v>
      </c>
      <c r="C4778" t="s">
        <v>40</v>
      </c>
      <c r="D4778" s="1">
        <v>45812</v>
      </c>
      <c r="E4778" t="s">
        <v>4133</v>
      </c>
      <c r="F4778" t="s">
        <v>4139</v>
      </c>
    </row>
    <row r="4779" spans="1:6">
      <c r="A4779" t="s">
        <v>8908</v>
      </c>
      <c r="B4779" t="s">
        <v>1900</v>
      </c>
      <c r="C4779" t="s">
        <v>40</v>
      </c>
      <c r="D4779" s="1">
        <v>45785</v>
      </c>
      <c r="E4779" t="s">
        <v>4127</v>
      </c>
      <c r="F4779" t="s">
        <v>4125</v>
      </c>
    </row>
    <row r="4780" spans="1:6">
      <c r="A4780" t="s">
        <v>8909</v>
      </c>
      <c r="B4780" t="s">
        <v>1900</v>
      </c>
      <c r="C4780" t="s">
        <v>40</v>
      </c>
      <c r="D4780" s="1">
        <v>45805</v>
      </c>
      <c r="E4780" t="s">
        <v>4124</v>
      </c>
      <c r="F4780" t="s">
        <v>4137</v>
      </c>
    </row>
    <row r="4781" spans="1:6">
      <c r="A4781" t="s">
        <v>8910</v>
      </c>
      <c r="B4781" t="s">
        <v>1901</v>
      </c>
      <c r="C4781" t="s">
        <v>91</v>
      </c>
      <c r="D4781" s="1">
        <v>46013</v>
      </c>
      <c r="E4781" t="s">
        <v>4129</v>
      </c>
      <c r="F4781" t="s">
        <v>4139</v>
      </c>
    </row>
    <row r="4782" spans="1:6">
      <c r="A4782" t="s">
        <v>8911</v>
      </c>
      <c r="B4782" t="s">
        <v>1901</v>
      </c>
      <c r="C4782" t="s">
        <v>91</v>
      </c>
      <c r="D4782" s="1">
        <v>45986</v>
      </c>
      <c r="E4782" t="s">
        <v>4133</v>
      </c>
      <c r="F4782" t="s">
        <v>4139</v>
      </c>
    </row>
    <row r="4783" spans="1:6">
      <c r="A4783" t="s">
        <v>8912</v>
      </c>
      <c r="B4783" t="s">
        <v>1901</v>
      </c>
      <c r="C4783" t="s">
        <v>91</v>
      </c>
      <c r="D4783" s="1">
        <v>46011</v>
      </c>
      <c r="E4783" t="s">
        <v>4127</v>
      </c>
      <c r="F4783" t="s">
        <v>4139</v>
      </c>
    </row>
    <row r="4784" spans="1:6">
      <c r="A4784" t="s">
        <v>8913</v>
      </c>
      <c r="B4784" t="s">
        <v>1901</v>
      </c>
      <c r="C4784" t="s">
        <v>91</v>
      </c>
      <c r="D4784" s="1">
        <v>46015</v>
      </c>
      <c r="E4784" t="s">
        <v>4124</v>
      </c>
      <c r="F4784" t="s">
        <v>4139</v>
      </c>
    </row>
    <row r="4785" spans="1:6">
      <c r="A4785" t="s">
        <v>8914</v>
      </c>
      <c r="B4785" t="s">
        <v>1902</v>
      </c>
      <c r="C4785" t="s">
        <v>152</v>
      </c>
      <c r="D4785" s="1">
        <v>45930</v>
      </c>
      <c r="E4785" t="s">
        <v>4127</v>
      </c>
      <c r="F4785" t="s">
        <v>4139</v>
      </c>
    </row>
    <row r="4786" spans="1:6">
      <c r="A4786" t="s">
        <v>8915</v>
      </c>
      <c r="B4786" t="s">
        <v>1902</v>
      </c>
      <c r="C4786" t="s">
        <v>152</v>
      </c>
      <c r="D4786" s="1">
        <v>45933</v>
      </c>
      <c r="E4786" t="s">
        <v>4133</v>
      </c>
      <c r="F4786" t="s">
        <v>4125</v>
      </c>
    </row>
    <row r="4787" spans="1:6">
      <c r="A4787" t="s">
        <v>8916</v>
      </c>
      <c r="B4787" t="s">
        <v>1902</v>
      </c>
      <c r="C4787" t="s">
        <v>152</v>
      </c>
      <c r="D4787" s="1">
        <v>45912</v>
      </c>
      <c r="E4787" t="s">
        <v>4127</v>
      </c>
      <c r="F4787" t="s">
        <v>4125</v>
      </c>
    </row>
    <row r="4788" spans="1:6">
      <c r="A4788" t="s">
        <v>8917</v>
      </c>
      <c r="B4788" t="s">
        <v>1902</v>
      </c>
      <c r="C4788" t="s">
        <v>152</v>
      </c>
      <c r="D4788" s="1">
        <v>45932</v>
      </c>
      <c r="E4788" t="s">
        <v>4133</v>
      </c>
      <c r="F4788" t="s">
        <v>4139</v>
      </c>
    </row>
    <row r="4789" spans="1:6">
      <c r="A4789" t="s">
        <v>8918</v>
      </c>
      <c r="B4789" t="s">
        <v>1903</v>
      </c>
      <c r="C4789" t="s">
        <v>152</v>
      </c>
      <c r="D4789" s="1">
        <v>45746</v>
      </c>
      <c r="E4789" t="s">
        <v>4124</v>
      </c>
      <c r="F4789" t="s">
        <v>4125</v>
      </c>
    </row>
    <row r="4790" spans="1:6">
      <c r="A4790" t="s">
        <v>8919</v>
      </c>
      <c r="B4790" t="s">
        <v>1903</v>
      </c>
      <c r="C4790" t="s">
        <v>152</v>
      </c>
      <c r="D4790" s="1">
        <v>45742</v>
      </c>
      <c r="E4790" t="s">
        <v>4127</v>
      </c>
      <c r="F4790" t="s">
        <v>4125</v>
      </c>
    </row>
    <row r="4791" spans="1:6">
      <c r="A4791" t="s">
        <v>8920</v>
      </c>
      <c r="B4791" t="s">
        <v>1903</v>
      </c>
      <c r="C4791" t="s">
        <v>152</v>
      </c>
      <c r="D4791" s="1">
        <v>45739</v>
      </c>
      <c r="E4791" t="s">
        <v>4133</v>
      </c>
      <c r="F4791" t="s">
        <v>4125</v>
      </c>
    </row>
    <row r="4792" spans="1:6">
      <c r="A4792" t="s">
        <v>8921</v>
      </c>
      <c r="B4792" t="s">
        <v>1904</v>
      </c>
      <c r="C4792" t="s">
        <v>27</v>
      </c>
      <c r="D4792" s="1">
        <v>45731</v>
      </c>
      <c r="E4792" t="s">
        <v>4129</v>
      </c>
      <c r="F4792" t="s">
        <v>4137</v>
      </c>
    </row>
    <row r="4793" spans="1:6">
      <c r="A4793" t="s">
        <v>8922</v>
      </c>
      <c r="B4793" t="s">
        <v>1904</v>
      </c>
      <c r="C4793" t="s">
        <v>27</v>
      </c>
      <c r="D4793" s="1">
        <v>45730</v>
      </c>
      <c r="E4793" t="s">
        <v>4124</v>
      </c>
      <c r="F4793" t="s">
        <v>4137</v>
      </c>
    </row>
    <row r="4794" spans="1:6">
      <c r="A4794" t="s">
        <v>8923</v>
      </c>
      <c r="B4794" t="s">
        <v>1905</v>
      </c>
      <c r="C4794" t="s">
        <v>46</v>
      </c>
      <c r="D4794" s="1">
        <v>45887</v>
      </c>
      <c r="E4794" t="s">
        <v>4124</v>
      </c>
      <c r="F4794" t="s">
        <v>4125</v>
      </c>
    </row>
    <row r="4795" spans="1:6">
      <c r="A4795" t="s">
        <v>8924</v>
      </c>
      <c r="B4795" t="s">
        <v>1905</v>
      </c>
      <c r="C4795" t="s">
        <v>46</v>
      </c>
      <c r="D4795" s="1">
        <v>45889</v>
      </c>
      <c r="E4795" t="s">
        <v>4133</v>
      </c>
      <c r="F4795" t="s">
        <v>4125</v>
      </c>
    </row>
    <row r="4796" spans="1:6">
      <c r="A4796" t="s">
        <v>8925</v>
      </c>
      <c r="B4796" t="s">
        <v>1905</v>
      </c>
      <c r="C4796" t="s">
        <v>46</v>
      </c>
      <c r="D4796" s="1">
        <v>45934</v>
      </c>
      <c r="E4796" t="s">
        <v>4133</v>
      </c>
      <c r="F4796" t="s">
        <v>4137</v>
      </c>
    </row>
    <row r="4797" spans="1:6">
      <c r="A4797" t="s">
        <v>8926</v>
      </c>
      <c r="B4797" t="s">
        <v>1906</v>
      </c>
      <c r="C4797" t="s">
        <v>53</v>
      </c>
      <c r="D4797" s="1">
        <v>45915</v>
      </c>
      <c r="E4797" t="s">
        <v>4127</v>
      </c>
      <c r="F4797" t="s">
        <v>4125</v>
      </c>
    </row>
    <row r="4798" spans="1:6">
      <c r="A4798" t="s">
        <v>8927</v>
      </c>
      <c r="B4798" t="s">
        <v>1906</v>
      </c>
      <c r="C4798" t="s">
        <v>53</v>
      </c>
      <c r="D4798" s="1">
        <v>45922</v>
      </c>
      <c r="E4798" t="s">
        <v>4124</v>
      </c>
      <c r="F4798" t="s">
        <v>4137</v>
      </c>
    </row>
    <row r="4799" spans="1:6">
      <c r="A4799" t="s">
        <v>8928</v>
      </c>
      <c r="B4799" t="s">
        <v>1906</v>
      </c>
      <c r="C4799" t="s">
        <v>53</v>
      </c>
      <c r="D4799" s="1">
        <v>45916</v>
      </c>
      <c r="E4799" t="s">
        <v>4124</v>
      </c>
      <c r="F4799" t="s">
        <v>4125</v>
      </c>
    </row>
    <row r="4800" spans="1:6">
      <c r="A4800" t="s">
        <v>8929</v>
      </c>
      <c r="B4800" t="s">
        <v>1906</v>
      </c>
      <c r="C4800" t="s">
        <v>53</v>
      </c>
      <c r="D4800" s="1">
        <v>45917</v>
      </c>
      <c r="E4800" t="s">
        <v>4133</v>
      </c>
      <c r="F4800" t="s">
        <v>4125</v>
      </c>
    </row>
    <row r="4801" spans="1:6">
      <c r="A4801" t="s">
        <v>8930</v>
      </c>
      <c r="B4801" t="s">
        <v>1906</v>
      </c>
      <c r="C4801" t="s">
        <v>53</v>
      </c>
      <c r="D4801" s="1">
        <v>45918</v>
      </c>
      <c r="E4801" t="s">
        <v>4124</v>
      </c>
      <c r="F4801" t="s">
        <v>4125</v>
      </c>
    </row>
    <row r="4802" spans="1:6">
      <c r="A4802" t="s">
        <v>8931</v>
      </c>
      <c r="B4802" t="s">
        <v>1907</v>
      </c>
      <c r="C4802" t="s">
        <v>91</v>
      </c>
      <c r="D4802" s="1">
        <v>45862</v>
      </c>
      <c r="E4802" t="s">
        <v>4129</v>
      </c>
      <c r="F4802" t="s">
        <v>4137</v>
      </c>
    </row>
    <row r="4803" spans="1:6">
      <c r="A4803" t="s">
        <v>8932</v>
      </c>
      <c r="B4803" t="s">
        <v>1907</v>
      </c>
      <c r="C4803" t="s">
        <v>91</v>
      </c>
      <c r="D4803" s="1">
        <v>45840</v>
      </c>
      <c r="E4803" t="s">
        <v>4127</v>
      </c>
      <c r="F4803" t="s">
        <v>4125</v>
      </c>
    </row>
    <row r="4804" spans="1:6">
      <c r="A4804" t="s">
        <v>8933</v>
      </c>
      <c r="B4804" t="s">
        <v>1908</v>
      </c>
      <c r="C4804" t="s">
        <v>152</v>
      </c>
      <c r="D4804" s="1">
        <v>45781</v>
      </c>
      <c r="E4804" t="s">
        <v>4129</v>
      </c>
      <c r="F4804" t="s">
        <v>4139</v>
      </c>
    </row>
    <row r="4805" spans="1:6">
      <c r="A4805" t="s">
        <v>8934</v>
      </c>
      <c r="B4805" t="s">
        <v>1908</v>
      </c>
      <c r="C4805" t="s">
        <v>152</v>
      </c>
      <c r="D4805" s="1">
        <v>45778</v>
      </c>
      <c r="E4805" t="s">
        <v>4129</v>
      </c>
      <c r="F4805" t="s">
        <v>4139</v>
      </c>
    </row>
    <row r="4806" spans="1:6">
      <c r="A4806" t="s">
        <v>8935</v>
      </c>
      <c r="B4806" t="s">
        <v>1908</v>
      </c>
      <c r="C4806" t="s">
        <v>152</v>
      </c>
      <c r="D4806" s="1">
        <v>45779</v>
      </c>
      <c r="E4806" t="s">
        <v>4129</v>
      </c>
      <c r="F4806" t="s">
        <v>4125</v>
      </c>
    </row>
    <row r="4807" spans="1:6">
      <c r="A4807" t="s">
        <v>8936</v>
      </c>
      <c r="B4807" t="s">
        <v>1908</v>
      </c>
      <c r="C4807" t="s">
        <v>152</v>
      </c>
      <c r="D4807" s="1">
        <v>45777</v>
      </c>
      <c r="E4807" t="s">
        <v>4127</v>
      </c>
      <c r="F4807" t="s">
        <v>4125</v>
      </c>
    </row>
    <row r="4808" spans="1:6">
      <c r="A4808" t="s">
        <v>8937</v>
      </c>
      <c r="B4808" t="s">
        <v>1908</v>
      </c>
      <c r="C4808" t="s">
        <v>152</v>
      </c>
      <c r="D4808" s="1">
        <v>45783</v>
      </c>
      <c r="E4808" t="s">
        <v>4135</v>
      </c>
      <c r="F4808" t="s">
        <v>4137</v>
      </c>
    </row>
    <row r="4809" spans="1:6">
      <c r="A4809" t="s">
        <v>8938</v>
      </c>
      <c r="B4809" t="s">
        <v>1909</v>
      </c>
      <c r="C4809" t="s">
        <v>75</v>
      </c>
      <c r="D4809" s="1">
        <v>45881</v>
      </c>
      <c r="E4809" t="s">
        <v>4124</v>
      </c>
      <c r="F4809" t="s">
        <v>4137</v>
      </c>
    </row>
    <row r="4810" spans="1:6">
      <c r="A4810" t="s">
        <v>8939</v>
      </c>
      <c r="B4810" t="s">
        <v>1909</v>
      </c>
      <c r="C4810" t="s">
        <v>75</v>
      </c>
      <c r="D4810" s="1">
        <v>45903</v>
      </c>
      <c r="E4810" t="s">
        <v>4129</v>
      </c>
      <c r="F4810" t="s">
        <v>4137</v>
      </c>
    </row>
    <row r="4811" spans="1:6">
      <c r="A4811" t="s">
        <v>8940</v>
      </c>
      <c r="B4811" t="s">
        <v>1909</v>
      </c>
      <c r="C4811" t="s">
        <v>75</v>
      </c>
      <c r="D4811" s="1">
        <v>45880</v>
      </c>
      <c r="E4811" t="s">
        <v>4129</v>
      </c>
      <c r="F4811" t="s">
        <v>4125</v>
      </c>
    </row>
    <row r="4812" spans="1:6">
      <c r="A4812" t="s">
        <v>8941</v>
      </c>
      <c r="B4812" t="s">
        <v>1910</v>
      </c>
      <c r="C4812" t="s">
        <v>78</v>
      </c>
      <c r="D4812" s="1">
        <v>46006</v>
      </c>
      <c r="E4812" t="s">
        <v>4124</v>
      </c>
      <c r="F4812" t="s">
        <v>4125</v>
      </c>
    </row>
    <row r="4813" spans="1:6">
      <c r="A4813" t="s">
        <v>8942</v>
      </c>
      <c r="B4813" t="s">
        <v>1910</v>
      </c>
      <c r="C4813" t="s">
        <v>78</v>
      </c>
      <c r="D4813" s="1">
        <v>46012</v>
      </c>
      <c r="E4813" t="s">
        <v>4129</v>
      </c>
      <c r="F4813" t="s">
        <v>4139</v>
      </c>
    </row>
    <row r="4814" spans="1:6">
      <c r="A4814" t="s">
        <v>8943</v>
      </c>
      <c r="B4814" t="s">
        <v>1910</v>
      </c>
      <c r="C4814" t="s">
        <v>78</v>
      </c>
      <c r="D4814" s="1">
        <v>46013</v>
      </c>
      <c r="E4814" t="s">
        <v>4133</v>
      </c>
      <c r="F4814" t="s">
        <v>4125</v>
      </c>
    </row>
    <row r="4815" spans="1:6">
      <c r="A4815" t="s">
        <v>8944</v>
      </c>
      <c r="B4815" t="s">
        <v>1910</v>
      </c>
      <c r="C4815" t="s">
        <v>78</v>
      </c>
      <c r="D4815" s="1">
        <v>46010</v>
      </c>
      <c r="E4815" t="s">
        <v>4127</v>
      </c>
      <c r="F4815" t="s">
        <v>4139</v>
      </c>
    </row>
    <row r="4816" spans="1:6">
      <c r="A4816" t="s">
        <v>8945</v>
      </c>
      <c r="B4816" t="s">
        <v>1911</v>
      </c>
      <c r="C4816" t="s">
        <v>70</v>
      </c>
      <c r="D4816" s="1">
        <v>45966</v>
      </c>
      <c r="E4816" t="s">
        <v>4124</v>
      </c>
      <c r="F4816" t="s">
        <v>4139</v>
      </c>
    </row>
    <row r="4817" spans="1:6">
      <c r="A4817" t="s">
        <v>8946</v>
      </c>
      <c r="B4817" t="s">
        <v>1911</v>
      </c>
      <c r="C4817" t="s">
        <v>70</v>
      </c>
      <c r="D4817" s="1">
        <v>45980</v>
      </c>
      <c r="E4817" t="s">
        <v>4135</v>
      </c>
      <c r="F4817" t="s">
        <v>4125</v>
      </c>
    </row>
    <row r="4818" spans="1:6">
      <c r="A4818" t="s">
        <v>8947</v>
      </c>
      <c r="B4818" t="s">
        <v>1912</v>
      </c>
      <c r="C4818" t="s">
        <v>63</v>
      </c>
      <c r="D4818" s="1">
        <v>45715</v>
      </c>
      <c r="E4818" t="s">
        <v>4127</v>
      </c>
      <c r="F4818" t="s">
        <v>4125</v>
      </c>
    </row>
    <row r="4819" spans="1:6">
      <c r="A4819" t="s">
        <v>8948</v>
      </c>
      <c r="B4819" t="s">
        <v>1912</v>
      </c>
      <c r="C4819" t="s">
        <v>63</v>
      </c>
      <c r="D4819" s="1">
        <v>45681</v>
      </c>
      <c r="E4819" t="s">
        <v>4135</v>
      </c>
      <c r="F4819" t="s">
        <v>4125</v>
      </c>
    </row>
    <row r="4820" spans="1:6">
      <c r="A4820" t="s">
        <v>8949</v>
      </c>
      <c r="B4820" t="s">
        <v>1912</v>
      </c>
      <c r="C4820" t="s">
        <v>63</v>
      </c>
      <c r="D4820" s="1">
        <v>45684</v>
      </c>
      <c r="E4820" t="s">
        <v>4133</v>
      </c>
      <c r="F4820" t="s">
        <v>4137</v>
      </c>
    </row>
    <row r="4821" spans="1:6">
      <c r="A4821" t="s">
        <v>8950</v>
      </c>
      <c r="B4821" t="s">
        <v>1912</v>
      </c>
      <c r="C4821" t="s">
        <v>63</v>
      </c>
      <c r="D4821" s="1">
        <v>45698</v>
      </c>
      <c r="E4821" t="s">
        <v>4127</v>
      </c>
      <c r="F4821" t="s">
        <v>4125</v>
      </c>
    </row>
    <row r="4822" spans="1:6">
      <c r="A4822" t="s">
        <v>8951</v>
      </c>
      <c r="B4822" t="s">
        <v>1913</v>
      </c>
      <c r="C4822" t="s">
        <v>40</v>
      </c>
      <c r="D4822" s="1">
        <v>45681</v>
      </c>
      <c r="E4822" t="s">
        <v>4135</v>
      </c>
      <c r="F4822" t="s">
        <v>4137</v>
      </c>
    </row>
    <row r="4823" spans="1:6">
      <c r="A4823" t="s">
        <v>8952</v>
      </c>
      <c r="B4823" t="s">
        <v>1913</v>
      </c>
      <c r="C4823" t="s">
        <v>40</v>
      </c>
      <c r="D4823" s="1">
        <v>45680</v>
      </c>
      <c r="E4823" t="s">
        <v>4133</v>
      </c>
      <c r="F4823" t="s">
        <v>4139</v>
      </c>
    </row>
    <row r="4824" spans="1:6">
      <c r="A4824" t="s">
        <v>8953</v>
      </c>
      <c r="B4824" t="s">
        <v>1914</v>
      </c>
      <c r="C4824" t="s">
        <v>56</v>
      </c>
      <c r="D4824" s="1">
        <v>45798</v>
      </c>
      <c r="E4824" t="s">
        <v>4133</v>
      </c>
      <c r="F4824" t="s">
        <v>4139</v>
      </c>
    </row>
    <row r="4825" spans="1:6">
      <c r="A4825" t="s">
        <v>8954</v>
      </c>
      <c r="B4825" t="s">
        <v>1914</v>
      </c>
      <c r="C4825" t="s">
        <v>56</v>
      </c>
      <c r="D4825" s="1">
        <v>45802</v>
      </c>
      <c r="E4825" t="s">
        <v>4135</v>
      </c>
      <c r="F4825" t="s">
        <v>4125</v>
      </c>
    </row>
    <row r="4826" spans="1:6">
      <c r="A4826" t="s">
        <v>8955</v>
      </c>
      <c r="B4826" t="s">
        <v>1914</v>
      </c>
      <c r="C4826" t="s">
        <v>56</v>
      </c>
      <c r="D4826" s="1">
        <v>45815</v>
      </c>
      <c r="E4826" t="s">
        <v>4129</v>
      </c>
      <c r="F4826" t="s">
        <v>4139</v>
      </c>
    </row>
    <row r="4827" spans="1:6">
      <c r="A4827" t="s">
        <v>8956</v>
      </c>
      <c r="B4827" t="s">
        <v>1915</v>
      </c>
      <c r="C4827" t="s">
        <v>32</v>
      </c>
      <c r="D4827" s="1">
        <v>45864</v>
      </c>
      <c r="E4827" t="s">
        <v>4127</v>
      </c>
      <c r="F4827" t="s">
        <v>4139</v>
      </c>
    </row>
    <row r="4828" spans="1:6">
      <c r="A4828" t="s">
        <v>8957</v>
      </c>
      <c r="B4828" t="s">
        <v>1915</v>
      </c>
      <c r="C4828" t="s">
        <v>32</v>
      </c>
      <c r="D4828" s="1">
        <v>45847</v>
      </c>
      <c r="E4828" t="s">
        <v>4129</v>
      </c>
      <c r="F4828" t="s">
        <v>4137</v>
      </c>
    </row>
    <row r="4829" spans="1:6">
      <c r="A4829" t="s">
        <v>8958</v>
      </c>
      <c r="B4829" t="s">
        <v>1915</v>
      </c>
      <c r="C4829" t="s">
        <v>32</v>
      </c>
      <c r="D4829" s="1">
        <v>45904</v>
      </c>
      <c r="E4829" t="s">
        <v>4135</v>
      </c>
      <c r="F4829" t="s">
        <v>4125</v>
      </c>
    </row>
    <row r="4830" spans="1:6">
      <c r="A4830" t="s">
        <v>8959</v>
      </c>
      <c r="B4830" t="s">
        <v>1915</v>
      </c>
      <c r="C4830" t="s">
        <v>32</v>
      </c>
      <c r="D4830" s="1">
        <v>45865</v>
      </c>
      <c r="E4830" t="s">
        <v>4129</v>
      </c>
      <c r="F4830" t="s">
        <v>4125</v>
      </c>
    </row>
    <row r="4831" spans="1:6">
      <c r="A4831" t="s">
        <v>8960</v>
      </c>
      <c r="B4831" t="s">
        <v>1915</v>
      </c>
      <c r="C4831" t="s">
        <v>32</v>
      </c>
      <c r="D4831" s="1">
        <v>45885</v>
      </c>
      <c r="E4831" t="s">
        <v>4127</v>
      </c>
      <c r="F4831" t="s">
        <v>4137</v>
      </c>
    </row>
    <row r="4832" spans="1:6">
      <c r="A4832" t="s">
        <v>8961</v>
      </c>
      <c r="B4832" t="s">
        <v>1917</v>
      </c>
      <c r="C4832" t="s">
        <v>16</v>
      </c>
      <c r="D4832" s="1">
        <v>45982</v>
      </c>
      <c r="E4832" t="s">
        <v>4133</v>
      </c>
      <c r="F4832" t="s">
        <v>4137</v>
      </c>
    </row>
    <row r="4833" spans="1:6">
      <c r="A4833" t="s">
        <v>8962</v>
      </c>
      <c r="B4833" t="s">
        <v>1917</v>
      </c>
      <c r="C4833" t="s">
        <v>16</v>
      </c>
      <c r="D4833" s="1">
        <v>45991</v>
      </c>
      <c r="E4833" t="s">
        <v>4127</v>
      </c>
      <c r="F4833" t="s">
        <v>4137</v>
      </c>
    </row>
    <row r="4834" spans="1:6">
      <c r="A4834" t="s">
        <v>8963</v>
      </c>
      <c r="B4834" t="s">
        <v>1917</v>
      </c>
      <c r="C4834" t="s">
        <v>16</v>
      </c>
      <c r="D4834" s="1">
        <v>45986</v>
      </c>
      <c r="E4834" t="s">
        <v>4127</v>
      </c>
      <c r="F4834" t="s">
        <v>4125</v>
      </c>
    </row>
    <row r="4835" spans="1:6">
      <c r="A4835" t="s">
        <v>8964</v>
      </c>
      <c r="B4835" t="s">
        <v>1917</v>
      </c>
      <c r="C4835" t="s">
        <v>16</v>
      </c>
      <c r="D4835" s="1">
        <v>45984</v>
      </c>
      <c r="E4835" t="s">
        <v>4124</v>
      </c>
      <c r="F4835" t="s">
        <v>4125</v>
      </c>
    </row>
    <row r="4836" spans="1:6">
      <c r="A4836" t="s">
        <v>8965</v>
      </c>
      <c r="B4836" t="s">
        <v>1918</v>
      </c>
      <c r="C4836" t="s">
        <v>75</v>
      </c>
      <c r="D4836" s="1">
        <v>45914</v>
      </c>
      <c r="E4836" t="s">
        <v>4127</v>
      </c>
      <c r="F4836" t="s">
        <v>4137</v>
      </c>
    </row>
    <row r="4837" spans="1:6">
      <c r="A4837" t="s">
        <v>8966</v>
      </c>
      <c r="B4837" t="s">
        <v>1918</v>
      </c>
      <c r="C4837" t="s">
        <v>75</v>
      </c>
      <c r="D4837" s="1">
        <v>45903</v>
      </c>
      <c r="E4837" t="s">
        <v>4135</v>
      </c>
      <c r="F4837" t="s">
        <v>4139</v>
      </c>
    </row>
    <row r="4838" spans="1:6">
      <c r="A4838" t="s">
        <v>8967</v>
      </c>
      <c r="B4838" t="s">
        <v>1918</v>
      </c>
      <c r="C4838" t="s">
        <v>75</v>
      </c>
      <c r="D4838" s="1">
        <v>45910</v>
      </c>
      <c r="E4838" t="s">
        <v>4124</v>
      </c>
      <c r="F4838" t="s">
        <v>4137</v>
      </c>
    </row>
    <row r="4839" spans="1:6">
      <c r="A4839" t="s">
        <v>8968</v>
      </c>
      <c r="B4839" t="s">
        <v>1919</v>
      </c>
      <c r="C4839" t="s">
        <v>168</v>
      </c>
      <c r="D4839" s="1">
        <v>45891</v>
      </c>
      <c r="E4839" t="s">
        <v>4133</v>
      </c>
      <c r="F4839" t="s">
        <v>4125</v>
      </c>
    </row>
    <row r="4840" spans="1:6">
      <c r="A4840" t="s">
        <v>8969</v>
      </c>
      <c r="B4840" t="s">
        <v>1919</v>
      </c>
      <c r="C4840" t="s">
        <v>168</v>
      </c>
      <c r="D4840" s="1">
        <v>45889</v>
      </c>
      <c r="E4840" t="s">
        <v>4124</v>
      </c>
      <c r="F4840" t="s">
        <v>4139</v>
      </c>
    </row>
    <row r="4841" spans="1:6">
      <c r="A4841" t="s">
        <v>8970</v>
      </c>
      <c r="B4841" t="s">
        <v>1919</v>
      </c>
      <c r="C4841" t="s">
        <v>168</v>
      </c>
      <c r="D4841" s="1">
        <v>45875</v>
      </c>
      <c r="E4841" t="s">
        <v>4129</v>
      </c>
      <c r="F4841" t="s">
        <v>4125</v>
      </c>
    </row>
    <row r="4842" spans="1:6">
      <c r="A4842" t="s">
        <v>8971</v>
      </c>
      <c r="B4842" t="s">
        <v>1919</v>
      </c>
      <c r="C4842" t="s">
        <v>168</v>
      </c>
      <c r="D4842" s="1">
        <v>45876</v>
      </c>
      <c r="E4842" t="s">
        <v>4124</v>
      </c>
      <c r="F4842" t="s">
        <v>4125</v>
      </c>
    </row>
    <row r="4843" spans="1:6">
      <c r="A4843" t="s">
        <v>8972</v>
      </c>
      <c r="B4843" t="s">
        <v>1920</v>
      </c>
      <c r="C4843" t="s">
        <v>119</v>
      </c>
      <c r="D4843" s="1">
        <v>45905</v>
      </c>
      <c r="E4843" t="s">
        <v>4124</v>
      </c>
      <c r="F4843" t="s">
        <v>4139</v>
      </c>
    </row>
    <row r="4844" spans="1:6">
      <c r="A4844" t="s">
        <v>8973</v>
      </c>
      <c r="B4844" t="s">
        <v>1920</v>
      </c>
      <c r="C4844" t="s">
        <v>119</v>
      </c>
      <c r="D4844" s="1">
        <v>45897</v>
      </c>
      <c r="E4844" t="s">
        <v>4127</v>
      </c>
      <c r="F4844" t="s">
        <v>4139</v>
      </c>
    </row>
    <row r="4845" spans="1:6">
      <c r="A4845" t="s">
        <v>8974</v>
      </c>
      <c r="B4845" t="s">
        <v>1921</v>
      </c>
      <c r="C4845" t="s">
        <v>56</v>
      </c>
      <c r="D4845" s="1">
        <v>45966</v>
      </c>
      <c r="E4845" t="s">
        <v>4127</v>
      </c>
      <c r="F4845" t="s">
        <v>4139</v>
      </c>
    </row>
    <row r="4846" spans="1:6">
      <c r="A4846" t="s">
        <v>8975</v>
      </c>
      <c r="B4846" t="s">
        <v>1921</v>
      </c>
      <c r="C4846" t="s">
        <v>56</v>
      </c>
      <c r="D4846" s="1">
        <v>45976</v>
      </c>
      <c r="E4846" t="s">
        <v>4129</v>
      </c>
      <c r="F4846" t="s">
        <v>4125</v>
      </c>
    </row>
    <row r="4847" spans="1:6">
      <c r="A4847" t="s">
        <v>8976</v>
      </c>
      <c r="B4847" t="s">
        <v>1921</v>
      </c>
      <c r="C4847" t="s">
        <v>56</v>
      </c>
      <c r="D4847" s="1">
        <v>45961</v>
      </c>
      <c r="E4847" t="s">
        <v>4127</v>
      </c>
      <c r="F4847" t="s">
        <v>4125</v>
      </c>
    </row>
    <row r="4848" spans="1:6">
      <c r="A4848" t="s">
        <v>8977</v>
      </c>
      <c r="B4848" t="s">
        <v>1922</v>
      </c>
      <c r="C4848" t="s">
        <v>152</v>
      </c>
      <c r="D4848" s="1">
        <v>45999</v>
      </c>
      <c r="E4848" t="s">
        <v>4127</v>
      </c>
      <c r="F4848" t="s">
        <v>4139</v>
      </c>
    </row>
    <row r="4849" spans="1:6">
      <c r="A4849" t="s">
        <v>8978</v>
      </c>
      <c r="B4849" t="s">
        <v>1922</v>
      </c>
      <c r="C4849" t="s">
        <v>152</v>
      </c>
      <c r="D4849" s="1">
        <v>46011</v>
      </c>
      <c r="E4849" t="s">
        <v>4135</v>
      </c>
      <c r="F4849" t="s">
        <v>4125</v>
      </c>
    </row>
    <row r="4850" spans="1:6">
      <c r="A4850" t="s">
        <v>8979</v>
      </c>
      <c r="B4850" t="s">
        <v>1922</v>
      </c>
      <c r="C4850" t="s">
        <v>152</v>
      </c>
      <c r="D4850" s="1">
        <v>45995</v>
      </c>
      <c r="E4850" t="s">
        <v>4135</v>
      </c>
      <c r="F4850" t="s">
        <v>4139</v>
      </c>
    </row>
    <row r="4851" spans="1:6">
      <c r="A4851" t="s">
        <v>8980</v>
      </c>
      <c r="B4851" t="s">
        <v>1922</v>
      </c>
      <c r="C4851" t="s">
        <v>152</v>
      </c>
      <c r="D4851" s="1">
        <v>45997</v>
      </c>
      <c r="E4851" t="s">
        <v>4127</v>
      </c>
      <c r="F4851" t="s">
        <v>4139</v>
      </c>
    </row>
    <row r="4852" spans="1:6">
      <c r="A4852" t="s">
        <v>8981</v>
      </c>
      <c r="B4852" t="s">
        <v>1922</v>
      </c>
      <c r="C4852" t="s">
        <v>152</v>
      </c>
      <c r="D4852" s="1">
        <v>46005</v>
      </c>
      <c r="E4852" t="s">
        <v>4127</v>
      </c>
      <c r="F4852" t="s">
        <v>4137</v>
      </c>
    </row>
    <row r="4853" spans="1:6">
      <c r="A4853" t="s">
        <v>8982</v>
      </c>
      <c r="B4853" t="s">
        <v>1923</v>
      </c>
      <c r="C4853" t="s">
        <v>59</v>
      </c>
      <c r="D4853" s="1">
        <v>45761</v>
      </c>
      <c r="E4853" t="s">
        <v>4127</v>
      </c>
      <c r="F4853" t="s">
        <v>4139</v>
      </c>
    </row>
    <row r="4854" spans="1:6">
      <c r="A4854" t="s">
        <v>8983</v>
      </c>
      <c r="B4854" t="s">
        <v>1923</v>
      </c>
      <c r="C4854" t="s">
        <v>59</v>
      </c>
      <c r="D4854" s="1">
        <v>45754</v>
      </c>
      <c r="E4854" t="s">
        <v>4129</v>
      </c>
      <c r="F4854" t="s">
        <v>4125</v>
      </c>
    </row>
    <row r="4855" spans="1:6">
      <c r="A4855" t="s">
        <v>8984</v>
      </c>
      <c r="B4855" t="s">
        <v>1924</v>
      </c>
      <c r="C4855" t="s">
        <v>40</v>
      </c>
      <c r="D4855" s="1">
        <v>45870</v>
      </c>
      <c r="E4855" t="s">
        <v>4129</v>
      </c>
      <c r="F4855" t="s">
        <v>4137</v>
      </c>
    </row>
    <row r="4856" spans="1:6">
      <c r="A4856" t="s">
        <v>8985</v>
      </c>
      <c r="B4856" t="s">
        <v>1924</v>
      </c>
      <c r="C4856" t="s">
        <v>40</v>
      </c>
      <c r="D4856" s="1">
        <v>45846</v>
      </c>
      <c r="E4856" t="s">
        <v>4133</v>
      </c>
      <c r="F4856" t="s">
        <v>4125</v>
      </c>
    </row>
    <row r="4857" spans="1:6">
      <c r="A4857" t="s">
        <v>8986</v>
      </c>
      <c r="B4857" t="s">
        <v>1924</v>
      </c>
      <c r="C4857" t="s">
        <v>40</v>
      </c>
      <c r="D4857" s="1">
        <v>45867</v>
      </c>
      <c r="E4857" t="s">
        <v>4133</v>
      </c>
      <c r="F4857" t="s">
        <v>4137</v>
      </c>
    </row>
    <row r="4858" spans="1:6">
      <c r="A4858" t="s">
        <v>8987</v>
      </c>
      <c r="B4858" t="s">
        <v>1925</v>
      </c>
      <c r="C4858" t="s">
        <v>126</v>
      </c>
      <c r="D4858" s="1">
        <v>46009</v>
      </c>
      <c r="E4858" t="s">
        <v>4124</v>
      </c>
      <c r="F4858" t="s">
        <v>4139</v>
      </c>
    </row>
    <row r="4859" spans="1:6">
      <c r="A4859" t="s">
        <v>8988</v>
      </c>
      <c r="B4859" t="s">
        <v>1925</v>
      </c>
      <c r="C4859" t="s">
        <v>126</v>
      </c>
      <c r="D4859" s="1">
        <v>46012</v>
      </c>
      <c r="E4859" t="s">
        <v>4129</v>
      </c>
      <c r="F4859" t="s">
        <v>4139</v>
      </c>
    </row>
    <row r="4860" spans="1:6">
      <c r="A4860" t="s">
        <v>8989</v>
      </c>
      <c r="B4860" t="s">
        <v>1925</v>
      </c>
      <c r="C4860" t="s">
        <v>126</v>
      </c>
      <c r="D4860" s="1">
        <v>46020</v>
      </c>
      <c r="E4860" t="s">
        <v>4135</v>
      </c>
      <c r="F4860" t="s">
        <v>4125</v>
      </c>
    </row>
    <row r="4861" spans="1:6">
      <c r="A4861" t="s">
        <v>8990</v>
      </c>
      <c r="B4861" t="s">
        <v>1925</v>
      </c>
      <c r="C4861" t="s">
        <v>126</v>
      </c>
      <c r="D4861" s="1">
        <v>46009</v>
      </c>
      <c r="E4861" t="s">
        <v>4133</v>
      </c>
      <c r="F4861" t="s">
        <v>4125</v>
      </c>
    </row>
    <row r="4862" spans="1:6">
      <c r="A4862" t="s">
        <v>8991</v>
      </c>
      <c r="B4862" t="s">
        <v>1926</v>
      </c>
      <c r="C4862" t="s">
        <v>168</v>
      </c>
      <c r="D4862" s="1">
        <v>45992</v>
      </c>
      <c r="E4862" t="s">
        <v>4133</v>
      </c>
      <c r="F4862" t="s">
        <v>4137</v>
      </c>
    </row>
    <row r="4863" spans="1:6">
      <c r="A4863" t="s">
        <v>8992</v>
      </c>
      <c r="B4863" t="s">
        <v>1926</v>
      </c>
      <c r="C4863" t="s">
        <v>168</v>
      </c>
      <c r="D4863" s="1">
        <v>45988</v>
      </c>
      <c r="E4863" t="s">
        <v>4135</v>
      </c>
      <c r="F4863" t="s">
        <v>4125</v>
      </c>
    </row>
    <row r="4864" spans="1:6">
      <c r="A4864" t="s">
        <v>8993</v>
      </c>
      <c r="B4864" t="s">
        <v>1926</v>
      </c>
      <c r="C4864" t="s">
        <v>168</v>
      </c>
      <c r="D4864" s="1">
        <v>45988</v>
      </c>
      <c r="E4864" t="s">
        <v>4124</v>
      </c>
      <c r="F4864" t="s">
        <v>4137</v>
      </c>
    </row>
    <row r="4865" spans="1:6">
      <c r="A4865" t="s">
        <v>8994</v>
      </c>
      <c r="B4865" t="s">
        <v>1926</v>
      </c>
      <c r="C4865" t="s">
        <v>168</v>
      </c>
      <c r="D4865" s="1">
        <v>45977</v>
      </c>
      <c r="E4865" t="s">
        <v>4133</v>
      </c>
      <c r="F4865" t="s">
        <v>4137</v>
      </c>
    </row>
    <row r="4866" spans="1:6">
      <c r="A4866" t="s">
        <v>8995</v>
      </c>
      <c r="B4866" t="s">
        <v>1926</v>
      </c>
      <c r="C4866" t="s">
        <v>168</v>
      </c>
      <c r="D4866" s="1">
        <v>45978</v>
      </c>
      <c r="E4866" t="s">
        <v>4129</v>
      </c>
      <c r="F4866" t="s">
        <v>4125</v>
      </c>
    </row>
    <row r="4867" spans="1:6">
      <c r="A4867" t="s">
        <v>8996</v>
      </c>
      <c r="B4867" t="s">
        <v>1927</v>
      </c>
      <c r="C4867" t="s">
        <v>36</v>
      </c>
      <c r="D4867" s="1">
        <v>45661</v>
      </c>
      <c r="E4867" t="s">
        <v>4127</v>
      </c>
      <c r="F4867" t="s">
        <v>4137</v>
      </c>
    </row>
    <row r="4868" spans="1:6">
      <c r="A4868" t="s">
        <v>8997</v>
      </c>
      <c r="B4868" t="s">
        <v>1927</v>
      </c>
      <c r="C4868" t="s">
        <v>36</v>
      </c>
      <c r="D4868" s="1">
        <v>45678</v>
      </c>
      <c r="E4868" t="s">
        <v>4133</v>
      </c>
      <c r="F4868" t="s">
        <v>4139</v>
      </c>
    </row>
    <row r="4869" spans="1:6">
      <c r="A4869" t="s">
        <v>8998</v>
      </c>
      <c r="B4869" t="s">
        <v>1927</v>
      </c>
      <c r="C4869" t="s">
        <v>36</v>
      </c>
      <c r="D4869" s="1">
        <v>45669</v>
      </c>
      <c r="E4869" t="s">
        <v>4133</v>
      </c>
      <c r="F4869" t="s">
        <v>4139</v>
      </c>
    </row>
    <row r="4870" spans="1:6">
      <c r="A4870" t="s">
        <v>8999</v>
      </c>
      <c r="B4870" t="s">
        <v>1928</v>
      </c>
      <c r="C4870" t="s">
        <v>36</v>
      </c>
      <c r="D4870" s="1">
        <v>45963</v>
      </c>
      <c r="E4870" t="s">
        <v>4127</v>
      </c>
      <c r="F4870" t="s">
        <v>4139</v>
      </c>
    </row>
    <row r="4871" spans="1:6">
      <c r="A4871" t="s">
        <v>9000</v>
      </c>
      <c r="B4871" t="s">
        <v>1928</v>
      </c>
      <c r="C4871" t="s">
        <v>36</v>
      </c>
      <c r="D4871" s="1">
        <v>45945</v>
      </c>
      <c r="E4871" t="s">
        <v>4129</v>
      </c>
      <c r="F4871" t="s">
        <v>4137</v>
      </c>
    </row>
    <row r="4872" spans="1:6">
      <c r="A4872" t="s">
        <v>9001</v>
      </c>
      <c r="B4872" t="s">
        <v>1928</v>
      </c>
      <c r="C4872" t="s">
        <v>36</v>
      </c>
      <c r="D4872" s="1">
        <v>45988</v>
      </c>
      <c r="E4872" t="s">
        <v>4124</v>
      </c>
      <c r="F4872" t="s">
        <v>4137</v>
      </c>
    </row>
    <row r="4873" spans="1:6">
      <c r="A4873" t="s">
        <v>9002</v>
      </c>
      <c r="B4873" t="s">
        <v>1930</v>
      </c>
      <c r="C4873" t="s">
        <v>70</v>
      </c>
      <c r="D4873" s="1">
        <v>45789</v>
      </c>
      <c r="E4873" t="s">
        <v>4124</v>
      </c>
      <c r="F4873" t="s">
        <v>4125</v>
      </c>
    </row>
    <row r="4874" spans="1:6">
      <c r="A4874" t="s">
        <v>9003</v>
      </c>
      <c r="B4874" t="s">
        <v>1930</v>
      </c>
      <c r="C4874" t="s">
        <v>70</v>
      </c>
      <c r="D4874" s="1">
        <v>45784</v>
      </c>
      <c r="E4874" t="s">
        <v>4127</v>
      </c>
      <c r="F4874" t="s">
        <v>4125</v>
      </c>
    </row>
    <row r="4875" spans="1:6">
      <c r="A4875" t="s">
        <v>9004</v>
      </c>
      <c r="B4875" t="s">
        <v>1930</v>
      </c>
      <c r="C4875" t="s">
        <v>70</v>
      </c>
      <c r="D4875" s="1">
        <v>45780</v>
      </c>
      <c r="E4875" t="s">
        <v>4129</v>
      </c>
      <c r="F4875" t="s">
        <v>4125</v>
      </c>
    </row>
    <row r="4876" spans="1:6">
      <c r="A4876" t="s">
        <v>9005</v>
      </c>
      <c r="B4876" t="s">
        <v>1930</v>
      </c>
      <c r="C4876" t="s">
        <v>70</v>
      </c>
      <c r="D4876" s="1">
        <v>45790</v>
      </c>
      <c r="E4876" t="s">
        <v>4135</v>
      </c>
      <c r="F4876" t="s">
        <v>4139</v>
      </c>
    </row>
    <row r="4877" spans="1:6">
      <c r="A4877" t="s">
        <v>9006</v>
      </c>
      <c r="B4877" t="s">
        <v>1930</v>
      </c>
      <c r="C4877" t="s">
        <v>70</v>
      </c>
      <c r="D4877" s="1">
        <v>45791</v>
      </c>
      <c r="E4877" t="s">
        <v>4124</v>
      </c>
      <c r="F4877" t="s">
        <v>4125</v>
      </c>
    </row>
    <row r="4878" spans="1:6">
      <c r="A4878" t="s">
        <v>9007</v>
      </c>
      <c r="B4878" t="s">
        <v>1931</v>
      </c>
      <c r="C4878" t="s">
        <v>27</v>
      </c>
      <c r="D4878" s="1">
        <v>45702</v>
      </c>
      <c r="E4878" t="s">
        <v>4127</v>
      </c>
      <c r="F4878" t="s">
        <v>4139</v>
      </c>
    </row>
    <row r="4879" spans="1:6">
      <c r="A4879" t="s">
        <v>9008</v>
      </c>
      <c r="B4879" t="s">
        <v>1931</v>
      </c>
      <c r="C4879" t="s">
        <v>27</v>
      </c>
      <c r="D4879" s="1">
        <v>45727</v>
      </c>
      <c r="E4879" t="s">
        <v>4135</v>
      </c>
      <c r="F4879" t="s">
        <v>4137</v>
      </c>
    </row>
    <row r="4880" spans="1:6">
      <c r="A4880" t="s">
        <v>9009</v>
      </c>
      <c r="B4880" t="s">
        <v>1932</v>
      </c>
      <c r="C4880" t="s">
        <v>46</v>
      </c>
      <c r="D4880" s="1">
        <v>45948</v>
      </c>
      <c r="E4880" t="s">
        <v>4135</v>
      </c>
      <c r="F4880" t="s">
        <v>4139</v>
      </c>
    </row>
    <row r="4881" spans="1:6">
      <c r="A4881" t="s">
        <v>9010</v>
      </c>
      <c r="B4881" t="s">
        <v>1932</v>
      </c>
      <c r="C4881" t="s">
        <v>46</v>
      </c>
      <c r="D4881" s="1">
        <v>45938</v>
      </c>
      <c r="E4881" t="s">
        <v>4129</v>
      </c>
      <c r="F4881" t="s">
        <v>4125</v>
      </c>
    </row>
    <row r="4882" spans="1:6">
      <c r="A4882" t="s">
        <v>9011</v>
      </c>
      <c r="B4882" t="s">
        <v>1932</v>
      </c>
      <c r="C4882" t="s">
        <v>46</v>
      </c>
      <c r="D4882" s="1">
        <v>45943</v>
      </c>
      <c r="E4882" t="s">
        <v>4133</v>
      </c>
      <c r="F4882" t="s">
        <v>4125</v>
      </c>
    </row>
    <row r="4883" spans="1:6">
      <c r="A4883" t="s">
        <v>9012</v>
      </c>
      <c r="B4883" t="s">
        <v>1933</v>
      </c>
      <c r="C4883" t="s">
        <v>46</v>
      </c>
      <c r="D4883" s="1">
        <v>45999</v>
      </c>
      <c r="E4883" t="s">
        <v>4124</v>
      </c>
      <c r="F4883" t="s">
        <v>4125</v>
      </c>
    </row>
    <row r="4884" spans="1:6">
      <c r="A4884" t="s">
        <v>9013</v>
      </c>
      <c r="B4884" t="s">
        <v>1933</v>
      </c>
      <c r="C4884" t="s">
        <v>46</v>
      </c>
      <c r="D4884" s="1">
        <v>45984</v>
      </c>
      <c r="E4884" t="s">
        <v>4124</v>
      </c>
      <c r="F4884" t="s">
        <v>4125</v>
      </c>
    </row>
    <row r="4885" spans="1:6">
      <c r="A4885" t="s">
        <v>9014</v>
      </c>
      <c r="B4885" t="s">
        <v>1933</v>
      </c>
      <c r="C4885" t="s">
        <v>46</v>
      </c>
      <c r="D4885" s="1">
        <v>46016</v>
      </c>
      <c r="E4885" t="s">
        <v>4129</v>
      </c>
      <c r="F4885" t="s">
        <v>4125</v>
      </c>
    </row>
    <row r="4886" spans="1:6">
      <c r="A4886" t="s">
        <v>9015</v>
      </c>
      <c r="B4886" t="s">
        <v>1933</v>
      </c>
      <c r="C4886" t="s">
        <v>46</v>
      </c>
      <c r="D4886" s="1">
        <v>46003</v>
      </c>
      <c r="E4886" t="s">
        <v>4124</v>
      </c>
      <c r="F4886" t="s">
        <v>4137</v>
      </c>
    </row>
    <row r="4887" spans="1:6">
      <c r="A4887" t="s">
        <v>9016</v>
      </c>
      <c r="B4887" t="s">
        <v>1933</v>
      </c>
      <c r="C4887" t="s">
        <v>46</v>
      </c>
      <c r="D4887" s="1">
        <v>46014</v>
      </c>
      <c r="E4887" t="s">
        <v>4135</v>
      </c>
      <c r="F4887" t="s">
        <v>4139</v>
      </c>
    </row>
    <row r="4888" spans="1:6">
      <c r="A4888" t="s">
        <v>9017</v>
      </c>
      <c r="B4888" t="s">
        <v>1934</v>
      </c>
      <c r="C4888" t="s">
        <v>16</v>
      </c>
      <c r="D4888" s="1">
        <v>45727</v>
      </c>
      <c r="E4888" t="s">
        <v>4124</v>
      </c>
      <c r="F4888" t="s">
        <v>4139</v>
      </c>
    </row>
    <row r="4889" spans="1:6">
      <c r="A4889" t="s">
        <v>9018</v>
      </c>
      <c r="B4889" t="s">
        <v>1934</v>
      </c>
      <c r="C4889" t="s">
        <v>16</v>
      </c>
      <c r="D4889" s="1">
        <v>45732</v>
      </c>
      <c r="E4889" t="s">
        <v>4129</v>
      </c>
      <c r="F4889" t="s">
        <v>4137</v>
      </c>
    </row>
    <row r="4890" spans="1:6">
      <c r="A4890" t="s">
        <v>9019</v>
      </c>
      <c r="B4890" t="s">
        <v>1934</v>
      </c>
      <c r="C4890" t="s">
        <v>16</v>
      </c>
      <c r="D4890" s="1">
        <v>45724</v>
      </c>
      <c r="E4890" t="s">
        <v>4129</v>
      </c>
      <c r="F4890" t="s">
        <v>4125</v>
      </c>
    </row>
    <row r="4891" spans="1:6">
      <c r="A4891" t="s">
        <v>9020</v>
      </c>
      <c r="B4891" t="s">
        <v>1934</v>
      </c>
      <c r="C4891" t="s">
        <v>16</v>
      </c>
      <c r="D4891" s="1">
        <v>45734</v>
      </c>
      <c r="E4891" t="s">
        <v>4133</v>
      </c>
      <c r="F4891" t="s">
        <v>4139</v>
      </c>
    </row>
    <row r="4892" spans="1:6">
      <c r="A4892" t="s">
        <v>9021</v>
      </c>
      <c r="B4892" t="s">
        <v>1934</v>
      </c>
      <c r="C4892" t="s">
        <v>16</v>
      </c>
      <c r="D4892" s="1">
        <v>45730</v>
      </c>
      <c r="E4892" t="s">
        <v>4124</v>
      </c>
      <c r="F4892" t="s">
        <v>4139</v>
      </c>
    </row>
    <row r="4893" spans="1:6">
      <c r="A4893" t="s">
        <v>9022</v>
      </c>
      <c r="B4893" t="s">
        <v>1935</v>
      </c>
      <c r="C4893" t="s">
        <v>27</v>
      </c>
      <c r="D4893" s="1">
        <v>45760</v>
      </c>
      <c r="E4893" t="s">
        <v>4127</v>
      </c>
      <c r="F4893" t="s">
        <v>4137</v>
      </c>
    </row>
    <row r="4894" spans="1:6">
      <c r="A4894" t="s">
        <v>9023</v>
      </c>
      <c r="B4894" t="s">
        <v>1935</v>
      </c>
      <c r="C4894" t="s">
        <v>27</v>
      </c>
      <c r="D4894" s="1">
        <v>45767</v>
      </c>
      <c r="E4894" t="s">
        <v>4129</v>
      </c>
      <c r="F4894" t="s">
        <v>4137</v>
      </c>
    </row>
    <row r="4895" spans="1:6">
      <c r="A4895" t="s">
        <v>9024</v>
      </c>
      <c r="B4895" t="s">
        <v>1935</v>
      </c>
      <c r="C4895" t="s">
        <v>27</v>
      </c>
      <c r="D4895" s="1">
        <v>45732</v>
      </c>
      <c r="E4895" t="s">
        <v>4129</v>
      </c>
      <c r="F4895" t="s">
        <v>4137</v>
      </c>
    </row>
    <row r="4896" spans="1:6">
      <c r="A4896" t="s">
        <v>9025</v>
      </c>
      <c r="B4896" t="s">
        <v>1935</v>
      </c>
      <c r="C4896" t="s">
        <v>27</v>
      </c>
      <c r="D4896" s="1">
        <v>45758</v>
      </c>
      <c r="E4896" t="s">
        <v>4127</v>
      </c>
      <c r="F4896" t="s">
        <v>4137</v>
      </c>
    </row>
    <row r="4897" spans="1:6">
      <c r="A4897" t="s">
        <v>9026</v>
      </c>
      <c r="B4897" t="s">
        <v>1936</v>
      </c>
      <c r="C4897" t="s">
        <v>63</v>
      </c>
      <c r="D4897" s="1">
        <v>45817</v>
      </c>
      <c r="E4897" t="s">
        <v>4129</v>
      </c>
      <c r="F4897" t="s">
        <v>4137</v>
      </c>
    </row>
    <row r="4898" spans="1:6">
      <c r="A4898" t="s">
        <v>9027</v>
      </c>
      <c r="B4898" t="s">
        <v>1936</v>
      </c>
      <c r="C4898" t="s">
        <v>63</v>
      </c>
      <c r="D4898" s="1">
        <v>45771</v>
      </c>
      <c r="E4898" t="s">
        <v>4124</v>
      </c>
      <c r="F4898" t="s">
        <v>4139</v>
      </c>
    </row>
    <row r="4899" spans="1:6">
      <c r="A4899" t="s">
        <v>9028</v>
      </c>
      <c r="B4899" t="s">
        <v>1937</v>
      </c>
      <c r="C4899" t="s">
        <v>36</v>
      </c>
      <c r="D4899" s="1">
        <v>45735</v>
      </c>
      <c r="E4899" t="s">
        <v>4127</v>
      </c>
      <c r="F4899" t="s">
        <v>4137</v>
      </c>
    </row>
    <row r="4900" spans="1:6">
      <c r="A4900" t="s">
        <v>9029</v>
      </c>
      <c r="B4900" t="s">
        <v>1937</v>
      </c>
      <c r="C4900" t="s">
        <v>36</v>
      </c>
      <c r="D4900" s="1">
        <v>45725</v>
      </c>
      <c r="E4900" t="s">
        <v>4124</v>
      </c>
      <c r="F4900" t="s">
        <v>4139</v>
      </c>
    </row>
    <row r="4901" spans="1:6">
      <c r="A4901" t="s">
        <v>9030</v>
      </c>
      <c r="B4901" t="s">
        <v>1938</v>
      </c>
      <c r="C4901" t="s">
        <v>119</v>
      </c>
      <c r="D4901" s="1">
        <v>45903</v>
      </c>
      <c r="E4901" t="s">
        <v>4127</v>
      </c>
      <c r="F4901" t="s">
        <v>4137</v>
      </c>
    </row>
    <row r="4902" spans="1:6">
      <c r="A4902" t="s">
        <v>9031</v>
      </c>
      <c r="B4902" t="s">
        <v>1938</v>
      </c>
      <c r="C4902" t="s">
        <v>119</v>
      </c>
      <c r="D4902" s="1">
        <v>45914</v>
      </c>
      <c r="E4902" t="s">
        <v>4124</v>
      </c>
      <c r="F4902" t="s">
        <v>4137</v>
      </c>
    </row>
    <row r="4903" spans="1:6">
      <c r="A4903" t="s">
        <v>9032</v>
      </c>
      <c r="B4903" t="s">
        <v>1938</v>
      </c>
      <c r="C4903" t="s">
        <v>119</v>
      </c>
      <c r="D4903" s="1">
        <v>45904</v>
      </c>
      <c r="E4903" t="s">
        <v>4124</v>
      </c>
      <c r="F4903" t="s">
        <v>4137</v>
      </c>
    </row>
    <row r="4904" spans="1:6">
      <c r="A4904" t="s">
        <v>9033</v>
      </c>
      <c r="B4904" t="s">
        <v>1938</v>
      </c>
      <c r="C4904" t="s">
        <v>119</v>
      </c>
      <c r="D4904" s="1">
        <v>45905</v>
      </c>
      <c r="E4904" t="s">
        <v>4135</v>
      </c>
      <c r="F4904" t="s">
        <v>4139</v>
      </c>
    </row>
    <row r="4905" spans="1:6">
      <c r="A4905" t="s">
        <v>9034</v>
      </c>
      <c r="B4905" t="s">
        <v>1938</v>
      </c>
      <c r="C4905" t="s">
        <v>119</v>
      </c>
      <c r="D4905" s="1">
        <v>45906</v>
      </c>
      <c r="E4905" t="s">
        <v>4133</v>
      </c>
      <c r="F4905" t="s">
        <v>4139</v>
      </c>
    </row>
    <row r="4906" spans="1:6">
      <c r="A4906" t="s">
        <v>9035</v>
      </c>
      <c r="B4906" t="s">
        <v>1939</v>
      </c>
      <c r="C4906" t="s">
        <v>59</v>
      </c>
      <c r="D4906" s="1">
        <v>45710</v>
      </c>
      <c r="E4906" t="s">
        <v>4129</v>
      </c>
      <c r="F4906" t="s">
        <v>4137</v>
      </c>
    </row>
    <row r="4907" spans="1:6">
      <c r="A4907" t="s">
        <v>9036</v>
      </c>
      <c r="B4907" t="s">
        <v>1939</v>
      </c>
      <c r="C4907" t="s">
        <v>59</v>
      </c>
      <c r="D4907" s="1">
        <v>45724</v>
      </c>
      <c r="E4907" t="s">
        <v>4124</v>
      </c>
      <c r="F4907" t="s">
        <v>4139</v>
      </c>
    </row>
    <row r="4908" spans="1:6">
      <c r="A4908" t="s">
        <v>9037</v>
      </c>
      <c r="B4908" t="s">
        <v>1939</v>
      </c>
      <c r="C4908" t="s">
        <v>59</v>
      </c>
      <c r="D4908" s="1">
        <v>45735</v>
      </c>
      <c r="E4908" t="s">
        <v>4124</v>
      </c>
      <c r="F4908" t="s">
        <v>4137</v>
      </c>
    </row>
    <row r="4909" spans="1:6">
      <c r="A4909" t="s">
        <v>9038</v>
      </c>
      <c r="B4909" t="s">
        <v>1940</v>
      </c>
      <c r="C4909" t="s">
        <v>91</v>
      </c>
      <c r="D4909" s="1">
        <v>45883</v>
      </c>
      <c r="E4909" t="s">
        <v>4124</v>
      </c>
      <c r="F4909" t="s">
        <v>4125</v>
      </c>
    </row>
    <row r="4910" spans="1:6">
      <c r="A4910" t="s">
        <v>9039</v>
      </c>
      <c r="B4910" t="s">
        <v>1940</v>
      </c>
      <c r="C4910" t="s">
        <v>91</v>
      </c>
      <c r="D4910" s="1">
        <v>45927</v>
      </c>
      <c r="E4910" t="s">
        <v>4135</v>
      </c>
      <c r="F4910" t="s">
        <v>4139</v>
      </c>
    </row>
    <row r="4911" spans="1:6">
      <c r="A4911" t="s">
        <v>9040</v>
      </c>
      <c r="B4911" t="s">
        <v>1941</v>
      </c>
      <c r="C4911" t="s">
        <v>63</v>
      </c>
      <c r="D4911" s="1">
        <v>45843</v>
      </c>
      <c r="E4911" t="s">
        <v>4135</v>
      </c>
      <c r="F4911" t="s">
        <v>4125</v>
      </c>
    </row>
    <row r="4912" spans="1:6">
      <c r="A4912" t="s">
        <v>9041</v>
      </c>
      <c r="B4912" t="s">
        <v>1941</v>
      </c>
      <c r="C4912" t="s">
        <v>63</v>
      </c>
      <c r="D4912" s="1">
        <v>45788</v>
      </c>
      <c r="E4912" t="s">
        <v>4129</v>
      </c>
      <c r="F4912" t="s">
        <v>4139</v>
      </c>
    </row>
    <row r="4913" spans="1:6">
      <c r="A4913" t="s">
        <v>9042</v>
      </c>
      <c r="B4913" t="s">
        <v>1941</v>
      </c>
      <c r="C4913" t="s">
        <v>63</v>
      </c>
      <c r="D4913" s="1">
        <v>45854</v>
      </c>
      <c r="E4913" t="s">
        <v>4135</v>
      </c>
      <c r="F4913" t="s">
        <v>4137</v>
      </c>
    </row>
    <row r="4914" spans="1:6">
      <c r="A4914" t="s">
        <v>9043</v>
      </c>
      <c r="B4914" t="s">
        <v>1941</v>
      </c>
      <c r="C4914" t="s">
        <v>63</v>
      </c>
      <c r="D4914" s="1">
        <v>45777</v>
      </c>
      <c r="E4914" t="s">
        <v>4124</v>
      </c>
      <c r="F4914" t="s">
        <v>4137</v>
      </c>
    </row>
    <row r="4915" spans="1:6">
      <c r="A4915" t="s">
        <v>9044</v>
      </c>
      <c r="B4915" t="s">
        <v>1942</v>
      </c>
      <c r="C4915" t="s">
        <v>16</v>
      </c>
      <c r="D4915" s="1">
        <v>45695</v>
      </c>
      <c r="E4915" t="s">
        <v>4129</v>
      </c>
      <c r="F4915" t="s">
        <v>4137</v>
      </c>
    </row>
    <row r="4916" spans="1:6">
      <c r="A4916" t="s">
        <v>9045</v>
      </c>
      <c r="B4916" t="s">
        <v>1942</v>
      </c>
      <c r="C4916" t="s">
        <v>16</v>
      </c>
      <c r="D4916" s="1">
        <v>45700</v>
      </c>
      <c r="E4916" t="s">
        <v>4135</v>
      </c>
      <c r="F4916" t="s">
        <v>4125</v>
      </c>
    </row>
    <row r="4917" spans="1:6">
      <c r="A4917" t="s">
        <v>9046</v>
      </c>
      <c r="B4917" t="s">
        <v>1943</v>
      </c>
      <c r="C4917" t="s">
        <v>36</v>
      </c>
      <c r="D4917" s="1">
        <v>45721</v>
      </c>
      <c r="E4917" t="s">
        <v>4124</v>
      </c>
      <c r="F4917" t="s">
        <v>4137</v>
      </c>
    </row>
    <row r="4918" spans="1:6">
      <c r="A4918" t="s">
        <v>9047</v>
      </c>
      <c r="B4918" t="s">
        <v>1943</v>
      </c>
      <c r="C4918" t="s">
        <v>36</v>
      </c>
      <c r="D4918" s="1">
        <v>45728</v>
      </c>
      <c r="E4918" t="s">
        <v>4129</v>
      </c>
      <c r="F4918" t="s">
        <v>4125</v>
      </c>
    </row>
    <row r="4919" spans="1:6">
      <c r="A4919" t="s">
        <v>9048</v>
      </c>
      <c r="B4919" t="s">
        <v>1943</v>
      </c>
      <c r="C4919" t="s">
        <v>36</v>
      </c>
      <c r="D4919" s="1">
        <v>45729</v>
      </c>
      <c r="E4919" t="s">
        <v>4127</v>
      </c>
      <c r="F4919" t="s">
        <v>4125</v>
      </c>
    </row>
    <row r="4920" spans="1:6">
      <c r="A4920" t="s">
        <v>9049</v>
      </c>
      <c r="B4920" t="s">
        <v>1943</v>
      </c>
      <c r="C4920" t="s">
        <v>36</v>
      </c>
      <c r="D4920" s="1">
        <v>45728</v>
      </c>
      <c r="E4920" t="s">
        <v>4127</v>
      </c>
      <c r="F4920" t="s">
        <v>4125</v>
      </c>
    </row>
    <row r="4921" spans="1:6">
      <c r="A4921" t="s">
        <v>9050</v>
      </c>
      <c r="B4921" t="s">
        <v>1943</v>
      </c>
      <c r="C4921" t="s">
        <v>36</v>
      </c>
      <c r="D4921" s="1">
        <v>45730</v>
      </c>
      <c r="E4921" t="s">
        <v>4124</v>
      </c>
      <c r="F4921" t="s">
        <v>4125</v>
      </c>
    </row>
    <row r="4922" spans="1:6">
      <c r="A4922" t="s">
        <v>9051</v>
      </c>
      <c r="B4922" t="s">
        <v>1944</v>
      </c>
      <c r="C4922" t="s">
        <v>91</v>
      </c>
      <c r="D4922" s="1">
        <v>45748</v>
      </c>
      <c r="E4922" t="s">
        <v>4129</v>
      </c>
      <c r="F4922" t="s">
        <v>4137</v>
      </c>
    </row>
    <row r="4923" spans="1:6">
      <c r="A4923" t="s">
        <v>9052</v>
      </c>
      <c r="B4923" t="s">
        <v>1944</v>
      </c>
      <c r="C4923" t="s">
        <v>91</v>
      </c>
      <c r="D4923" s="1">
        <v>45750</v>
      </c>
      <c r="E4923" t="s">
        <v>4124</v>
      </c>
      <c r="F4923" t="s">
        <v>4137</v>
      </c>
    </row>
    <row r="4924" spans="1:6">
      <c r="A4924" t="s">
        <v>9053</v>
      </c>
      <c r="B4924" t="s">
        <v>1945</v>
      </c>
      <c r="C4924" t="s">
        <v>53</v>
      </c>
      <c r="D4924" s="1">
        <v>45961</v>
      </c>
      <c r="E4924" t="s">
        <v>4127</v>
      </c>
      <c r="F4924" t="s">
        <v>4137</v>
      </c>
    </row>
    <row r="4925" spans="1:6">
      <c r="A4925" t="s">
        <v>9054</v>
      </c>
      <c r="B4925" t="s">
        <v>1945</v>
      </c>
      <c r="C4925" t="s">
        <v>53</v>
      </c>
      <c r="D4925" s="1">
        <v>45948</v>
      </c>
      <c r="E4925" t="s">
        <v>4133</v>
      </c>
      <c r="F4925" t="s">
        <v>4137</v>
      </c>
    </row>
    <row r="4926" spans="1:6">
      <c r="A4926" t="s">
        <v>9055</v>
      </c>
      <c r="B4926" t="s">
        <v>1945</v>
      </c>
      <c r="C4926" t="s">
        <v>53</v>
      </c>
      <c r="D4926" s="1">
        <v>45947</v>
      </c>
      <c r="E4926" t="s">
        <v>4133</v>
      </c>
      <c r="F4926" t="s">
        <v>4139</v>
      </c>
    </row>
    <row r="4927" spans="1:6">
      <c r="A4927" t="s">
        <v>9056</v>
      </c>
      <c r="B4927" t="s">
        <v>1946</v>
      </c>
      <c r="C4927" t="s">
        <v>40</v>
      </c>
      <c r="D4927" s="1">
        <v>45857</v>
      </c>
      <c r="E4927" t="s">
        <v>4124</v>
      </c>
      <c r="F4927" t="s">
        <v>4139</v>
      </c>
    </row>
    <row r="4928" spans="1:6">
      <c r="A4928" t="s">
        <v>9057</v>
      </c>
      <c r="B4928" t="s">
        <v>1946</v>
      </c>
      <c r="C4928" t="s">
        <v>40</v>
      </c>
      <c r="D4928" s="1">
        <v>45853</v>
      </c>
      <c r="E4928" t="s">
        <v>4129</v>
      </c>
      <c r="F4928" t="s">
        <v>4125</v>
      </c>
    </row>
    <row r="4929" spans="1:6">
      <c r="A4929" t="s">
        <v>9058</v>
      </c>
      <c r="B4929" t="s">
        <v>1946</v>
      </c>
      <c r="C4929" t="s">
        <v>40</v>
      </c>
      <c r="D4929" s="1">
        <v>45840</v>
      </c>
      <c r="E4929" t="s">
        <v>4133</v>
      </c>
      <c r="F4929" t="s">
        <v>4125</v>
      </c>
    </row>
    <row r="4930" spans="1:6">
      <c r="A4930" t="s">
        <v>9059</v>
      </c>
      <c r="B4930" t="s">
        <v>1946</v>
      </c>
      <c r="C4930" t="s">
        <v>40</v>
      </c>
      <c r="D4930" s="1">
        <v>45864</v>
      </c>
      <c r="E4930" t="s">
        <v>4135</v>
      </c>
      <c r="F4930" t="s">
        <v>4125</v>
      </c>
    </row>
    <row r="4931" spans="1:6">
      <c r="A4931" t="s">
        <v>9060</v>
      </c>
      <c r="B4931" t="s">
        <v>1947</v>
      </c>
      <c r="C4931" t="s">
        <v>50</v>
      </c>
      <c r="D4931" s="1">
        <v>45996</v>
      </c>
      <c r="E4931" t="s">
        <v>4135</v>
      </c>
      <c r="F4931" t="s">
        <v>4125</v>
      </c>
    </row>
    <row r="4932" spans="1:6">
      <c r="A4932" t="s">
        <v>9061</v>
      </c>
      <c r="B4932" t="s">
        <v>1947</v>
      </c>
      <c r="C4932" t="s">
        <v>50</v>
      </c>
      <c r="D4932" s="1">
        <v>45989</v>
      </c>
      <c r="E4932" t="s">
        <v>4124</v>
      </c>
      <c r="F4932" t="s">
        <v>4139</v>
      </c>
    </row>
    <row r="4933" spans="1:6">
      <c r="A4933" t="s">
        <v>9062</v>
      </c>
      <c r="B4933" t="s">
        <v>1948</v>
      </c>
      <c r="C4933" t="s">
        <v>91</v>
      </c>
      <c r="D4933" s="1">
        <v>45767</v>
      </c>
      <c r="E4933" t="s">
        <v>4133</v>
      </c>
      <c r="F4933" t="s">
        <v>4139</v>
      </c>
    </row>
    <row r="4934" spans="1:6">
      <c r="A4934" t="s">
        <v>9063</v>
      </c>
      <c r="B4934" t="s">
        <v>1948</v>
      </c>
      <c r="C4934" t="s">
        <v>91</v>
      </c>
      <c r="D4934" s="1">
        <v>45756</v>
      </c>
      <c r="E4934" t="s">
        <v>4124</v>
      </c>
      <c r="F4934" t="s">
        <v>4125</v>
      </c>
    </row>
    <row r="4935" spans="1:6">
      <c r="A4935" t="s">
        <v>9064</v>
      </c>
      <c r="B4935" t="s">
        <v>1948</v>
      </c>
      <c r="C4935" t="s">
        <v>91</v>
      </c>
      <c r="D4935" s="1">
        <v>45781</v>
      </c>
      <c r="E4935" t="s">
        <v>4129</v>
      </c>
      <c r="F4935" t="s">
        <v>4137</v>
      </c>
    </row>
    <row r="4936" spans="1:6">
      <c r="A4936" t="s">
        <v>9065</v>
      </c>
      <c r="B4936" t="s">
        <v>1949</v>
      </c>
      <c r="C4936" t="s">
        <v>27</v>
      </c>
      <c r="D4936" s="1">
        <v>45757</v>
      </c>
      <c r="E4936" t="s">
        <v>4127</v>
      </c>
      <c r="F4936" t="s">
        <v>4125</v>
      </c>
    </row>
    <row r="4937" spans="1:6">
      <c r="A4937" t="s">
        <v>9066</v>
      </c>
      <c r="B4937" t="s">
        <v>1949</v>
      </c>
      <c r="C4937" t="s">
        <v>27</v>
      </c>
      <c r="D4937" s="1">
        <v>45718</v>
      </c>
      <c r="E4937" t="s">
        <v>4127</v>
      </c>
      <c r="F4937" t="s">
        <v>4125</v>
      </c>
    </row>
    <row r="4938" spans="1:6">
      <c r="A4938" t="s">
        <v>9067</v>
      </c>
      <c r="B4938" t="s">
        <v>1949</v>
      </c>
      <c r="C4938" t="s">
        <v>27</v>
      </c>
      <c r="D4938" s="1">
        <v>45723</v>
      </c>
      <c r="E4938" t="s">
        <v>4129</v>
      </c>
      <c r="F4938" t="s">
        <v>4139</v>
      </c>
    </row>
    <row r="4939" spans="1:6">
      <c r="A4939" t="s">
        <v>9068</v>
      </c>
      <c r="B4939" t="s">
        <v>1950</v>
      </c>
      <c r="C4939" t="s">
        <v>32</v>
      </c>
      <c r="D4939" s="1">
        <v>45805</v>
      </c>
      <c r="E4939" t="s">
        <v>4129</v>
      </c>
      <c r="F4939" t="s">
        <v>4125</v>
      </c>
    </row>
    <row r="4940" spans="1:6">
      <c r="A4940" t="s">
        <v>9069</v>
      </c>
      <c r="B4940" t="s">
        <v>1950</v>
      </c>
      <c r="C4940" t="s">
        <v>32</v>
      </c>
      <c r="D4940" s="1">
        <v>45797</v>
      </c>
      <c r="E4940" t="s">
        <v>4135</v>
      </c>
      <c r="F4940" t="s">
        <v>4137</v>
      </c>
    </row>
    <row r="4941" spans="1:6">
      <c r="A4941" t="s">
        <v>9070</v>
      </c>
      <c r="B4941" t="s">
        <v>1950</v>
      </c>
      <c r="C4941" t="s">
        <v>32</v>
      </c>
      <c r="D4941" s="1">
        <v>45821</v>
      </c>
      <c r="E4941" t="s">
        <v>4133</v>
      </c>
      <c r="F4941" t="s">
        <v>4137</v>
      </c>
    </row>
    <row r="4942" spans="1:6">
      <c r="A4942" t="s">
        <v>9071</v>
      </c>
      <c r="B4942" t="s">
        <v>1950</v>
      </c>
      <c r="C4942" t="s">
        <v>32</v>
      </c>
      <c r="D4942" s="1">
        <v>45812</v>
      </c>
      <c r="E4942" t="s">
        <v>4133</v>
      </c>
      <c r="F4942" t="s">
        <v>4125</v>
      </c>
    </row>
    <row r="4943" spans="1:6">
      <c r="A4943" t="s">
        <v>9072</v>
      </c>
      <c r="B4943" t="s">
        <v>1951</v>
      </c>
      <c r="C4943" t="s">
        <v>78</v>
      </c>
      <c r="D4943" s="1">
        <v>45828</v>
      </c>
      <c r="E4943" t="s">
        <v>4135</v>
      </c>
      <c r="F4943" t="s">
        <v>4137</v>
      </c>
    </row>
    <row r="4944" spans="1:6">
      <c r="A4944" t="s">
        <v>9073</v>
      </c>
      <c r="B4944" t="s">
        <v>1951</v>
      </c>
      <c r="C4944" t="s">
        <v>78</v>
      </c>
      <c r="D4944" s="1">
        <v>45824</v>
      </c>
      <c r="E4944" t="s">
        <v>4133</v>
      </c>
      <c r="F4944" t="s">
        <v>4125</v>
      </c>
    </row>
    <row r="4945" spans="1:6">
      <c r="A4945" t="s">
        <v>9074</v>
      </c>
      <c r="B4945" t="s">
        <v>1952</v>
      </c>
      <c r="C4945" t="s">
        <v>78</v>
      </c>
      <c r="D4945" s="1">
        <v>45970</v>
      </c>
      <c r="E4945" t="s">
        <v>4135</v>
      </c>
      <c r="F4945" t="s">
        <v>4139</v>
      </c>
    </row>
    <row r="4946" spans="1:6">
      <c r="A4946" t="s">
        <v>9075</v>
      </c>
      <c r="B4946" t="s">
        <v>1952</v>
      </c>
      <c r="C4946" t="s">
        <v>78</v>
      </c>
      <c r="D4946" s="1">
        <v>45970</v>
      </c>
      <c r="E4946" t="s">
        <v>4124</v>
      </c>
      <c r="F4946" t="s">
        <v>4139</v>
      </c>
    </row>
    <row r="4947" spans="1:6">
      <c r="A4947" t="s">
        <v>9076</v>
      </c>
      <c r="B4947" t="s">
        <v>1952</v>
      </c>
      <c r="C4947" t="s">
        <v>78</v>
      </c>
      <c r="D4947" s="1">
        <v>45999</v>
      </c>
      <c r="E4947" t="s">
        <v>4133</v>
      </c>
      <c r="F4947" t="s">
        <v>4125</v>
      </c>
    </row>
    <row r="4948" spans="1:6">
      <c r="A4948" t="s">
        <v>9077</v>
      </c>
      <c r="B4948" t="s">
        <v>1952</v>
      </c>
      <c r="C4948" t="s">
        <v>78</v>
      </c>
      <c r="D4948" s="1">
        <v>45965</v>
      </c>
      <c r="E4948" t="s">
        <v>4133</v>
      </c>
      <c r="F4948" t="s">
        <v>4137</v>
      </c>
    </row>
    <row r="4949" spans="1:6">
      <c r="A4949" t="s">
        <v>9078</v>
      </c>
      <c r="B4949" t="s">
        <v>1953</v>
      </c>
      <c r="C4949" t="s">
        <v>119</v>
      </c>
      <c r="D4949" s="1">
        <v>45998</v>
      </c>
      <c r="E4949" t="s">
        <v>4127</v>
      </c>
      <c r="F4949" t="s">
        <v>4125</v>
      </c>
    </row>
    <row r="4950" spans="1:6">
      <c r="A4950" t="s">
        <v>9079</v>
      </c>
      <c r="B4950" t="s">
        <v>1953</v>
      </c>
      <c r="C4950" t="s">
        <v>119</v>
      </c>
      <c r="D4950" s="1">
        <v>45996</v>
      </c>
      <c r="E4950" t="s">
        <v>4129</v>
      </c>
      <c r="F4950" t="s">
        <v>4125</v>
      </c>
    </row>
    <row r="4951" spans="1:6">
      <c r="A4951" t="s">
        <v>9080</v>
      </c>
      <c r="B4951" t="s">
        <v>1953</v>
      </c>
      <c r="C4951" t="s">
        <v>119</v>
      </c>
      <c r="D4951" s="1">
        <v>46005</v>
      </c>
      <c r="E4951" t="s">
        <v>4129</v>
      </c>
      <c r="F4951" t="s">
        <v>4139</v>
      </c>
    </row>
    <row r="4952" spans="1:6">
      <c r="A4952" t="s">
        <v>9081</v>
      </c>
      <c r="B4952" t="s">
        <v>1953</v>
      </c>
      <c r="C4952" t="s">
        <v>119</v>
      </c>
      <c r="D4952" s="1">
        <v>46007</v>
      </c>
      <c r="E4952" t="s">
        <v>4133</v>
      </c>
      <c r="F4952" t="s">
        <v>4137</v>
      </c>
    </row>
    <row r="4953" spans="1:6">
      <c r="A4953" t="s">
        <v>9082</v>
      </c>
      <c r="B4953" t="s">
        <v>1953</v>
      </c>
      <c r="C4953" t="s">
        <v>119</v>
      </c>
      <c r="D4953" s="1">
        <v>46003</v>
      </c>
      <c r="E4953" t="s">
        <v>4135</v>
      </c>
      <c r="F4953" t="s">
        <v>4137</v>
      </c>
    </row>
    <row r="4954" spans="1:6">
      <c r="A4954" t="s">
        <v>9083</v>
      </c>
      <c r="B4954" t="s">
        <v>1954</v>
      </c>
      <c r="C4954" t="s">
        <v>22</v>
      </c>
      <c r="D4954" s="1">
        <v>45877</v>
      </c>
      <c r="E4954" t="s">
        <v>4133</v>
      </c>
      <c r="F4954" t="s">
        <v>4137</v>
      </c>
    </row>
    <row r="4955" spans="1:6">
      <c r="A4955" t="s">
        <v>9084</v>
      </c>
      <c r="B4955" t="s">
        <v>1954</v>
      </c>
      <c r="C4955" t="s">
        <v>22</v>
      </c>
      <c r="D4955" s="1">
        <v>45867</v>
      </c>
      <c r="E4955" t="s">
        <v>4133</v>
      </c>
      <c r="F4955" t="s">
        <v>4137</v>
      </c>
    </row>
    <row r="4956" spans="1:6">
      <c r="A4956" t="s">
        <v>9085</v>
      </c>
      <c r="B4956" t="s">
        <v>1954</v>
      </c>
      <c r="C4956" t="s">
        <v>22</v>
      </c>
      <c r="D4956" s="1">
        <v>45870</v>
      </c>
      <c r="E4956" t="s">
        <v>4127</v>
      </c>
      <c r="F4956" t="s">
        <v>4139</v>
      </c>
    </row>
    <row r="4957" spans="1:6">
      <c r="A4957" t="s">
        <v>9086</v>
      </c>
      <c r="B4957" t="s">
        <v>1954</v>
      </c>
      <c r="C4957" t="s">
        <v>22</v>
      </c>
      <c r="D4957" s="1">
        <v>45868</v>
      </c>
      <c r="E4957" t="s">
        <v>4127</v>
      </c>
      <c r="F4957" t="s">
        <v>4139</v>
      </c>
    </row>
    <row r="4958" spans="1:6">
      <c r="A4958" t="s">
        <v>9087</v>
      </c>
      <c r="B4958" t="s">
        <v>1954</v>
      </c>
      <c r="C4958" t="s">
        <v>22</v>
      </c>
      <c r="D4958" s="1">
        <v>45868</v>
      </c>
      <c r="E4958" t="s">
        <v>4135</v>
      </c>
      <c r="F4958" t="s">
        <v>4125</v>
      </c>
    </row>
    <row r="4959" spans="1:6">
      <c r="A4959" t="s">
        <v>9088</v>
      </c>
      <c r="B4959" t="s">
        <v>1955</v>
      </c>
      <c r="C4959" t="s">
        <v>53</v>
      </c>
      <c r="D4959" s="1">
        <v>46021</v>
      </c>
      <c r="E4959" t="s">
        <v>4135</v>
      </c>
      <c r="F4959" t="s">
        <v>4137</v>
      </c>
    </row>
    <row r="4960" spans="1:6">
      <c r="A4960" t="s">
        <v>9089</v>
      </c>
      <c r="B4960" t="s">
        <v>1955</v>
      </c>
      <c r="C4960" t="s">
        <v>53</v>
      </c>
      <c r="D4960" s="1">
        <v>46015</v>
      </c>
      <c r="E4960" t="s">
        <v>4127</v>
      </c>
      <c r="F4960" t="s">
        <v>4139</v>
      </c>
    </row>
    <row r="4961" spans="1:6">
      <c r="A4961" t="s">
        <v>9090</v>
      </c>
      <c r="B4961" t="s">
        <v>1955</v>
      </c>
      <c r="C4961" t="s">
        <v>53</v>
      </c>
      <c r="D4961" s="1">
        <v>46011</v>
      </c>
      <c r="E4961" t="s">
        <v>4129</v>
      </c>
      <c r="F4961" t="s">
        <v>4139</v>
      </c>
    </row>
    <row r="4962" spans="1:6">
      <c r="A4962" t="s">
        <v>9091</v>
      </c>
      <c r="B4962" t="s">
        <v>1956</v>
      </c>
      <c r="C4962" t="s">
        <v>40</v>
      </c>
      <c r="D4962" s="1">
        <v>45830</v>
      </c>
      <c r="E4962" t="s">
        <v>4135</v>
      </c>
      <c r="F4962" t="s">
        <v>4137</v>
      </c>
    </row>
    <row r="4963" spans="1:6">
      <c r="A4963" t="s">
        <v>9092</v>
      </c>
      <c r="B4963" t="s">
        <v>1956</v>
      </c>
      <c r="C4963" t="s">
        <v>40</v>
      </c>
      <c r="D4963" s="1">
        <v>45795</v>
      </c>
      <c r="E4963" t="s">
        <v>4129</v>
      </c>
      <c r="F4963" t="s">
        <v>4137</v>
      </c>
    </row>
    <row r="4964" spans="1:6">
      <c r="A4964" t="s">
        <v>9093</v>
      </c>
      <c r="B4964" t="s">
        <v>1956</v>
      </c>
      <c r="C4964" t="s">
        <v>40</v>
      </c>
      <c r="D4964" s="1">
        <v>45851</v>
      </c>
      <c r="E4964" t="s">
        <v>4124</v>
      </c>
      <c r="F4964" t="s">
        <v>4137</v>
      </c>
    </row>
    <row r="4965" spans="1:6">
      <c r="A4965" t="s">
        <v>9094</v>
      </c>
      <c r="B4965" t="s">
        <v>1957</v>
      </c>
      <c r="C4965" t="s">
        <v>46</v>
      </c>
      <c r="D4965" s="1">
        <v>46000</v>
      </c>
      <c r="E4965" t="s">
        <v>4129</v>
      </c>
      <c r="F4965" t="s">
        <v>4125</v>
      </c>
    </row>
    <row r="4966" spans="1:6">
      <c r="A4966" t="s">
        <v>9095</v>
      </c>
      <c r="B4966" t="s">
        <v>1957</v>
      </c>
      <c r="C4966" t="s">
        <v>46</v>
      </c>
      <c r="D4966" s="1">
        <v>46009</v>
      </c>
      <c r="E4966" t="s">
        <v>4133</v>
      </c>
      <c r="F4966" t="s">
        <v>4137</v>
      </c>
    </row>
    <row r="4967" spans="1:6">
      <c r="A4967" t="s">
        <v>9096</v>
      </c>
      <c r="B4967" t="s">
        <v>1957</v>
      </c>
      <c r="C4967" t="s">
        <v>46</v>
      </c>
      <c r="D4967" s="1">
        <v>46015</v>
      </c>
      <c r="E4967" t="s">
        <v>4127</v>
      </c>
      <c r="F4967" t="s">
        <v>4139</v>
      </c>
    </row>
    <row r="4968" spans="1:6">
      <c r="A4968" t="s">
        <v>9097</v>
      </c>
      <c r="B4968" t="s">
        <v>1957</v>
      </c>
      <c r="C4968" t="s">
        <v>46</v>
      </c>
      <c r="D4968" s="1">
        <v>46019</v>
      </c>
      <c r="E4968" t="s">
        <v>4129</v>
      </c>
      <c r="F4968" t="s">
        <v>4125</v>
      </c>
    </row>
    <row r="4969" spans="1:6">
      <c r="A4969" t="s">
        <v>9098</v>
      </c>
      <c r="B4969" t="s">
        <v>1958</v>
      </c>
      <c r="C4969" t="s">
        <v>75</v>
      </c>
      <c r="D4969" s="1">
        <v>45940</v>
      </c>
      <c r="E4969" t="s">
        <v>4129</v>
      </c>
      <c r="F4969" t="s">
        <v>4139</v>
      </c>
    </row>
    <row r="4970" spans="1:6">
      <c r="A4970" t="s">
        <v>9099</v>
      </c>
      <c r="B4970" t="s">
        <v>1958</v>
      </c>
      <c r="C4970" t="s">
        <v>75</v>
      </c>
      <c r="D4970" s="1">
        <v>45929</v>
      </c>
      <c r="E4970" t="s">
        <v>4135</v>
      </c>
      <c r="F4970" t="s">
        <v>4137</v>
      </c>
    </row>
    <row r="4971" spans="1:6">
      <c r="A4971" t="s">
        <v>9100</v>
      </c>
      <c r="B4971" t="s">
        <v>1959</v>
      </c>
      <c r="C4971" t="s">
        <v>70</v>
      </c>
      <c r="D4971" s="1">
        <v>45673</v>
      </c>
      <c r="E4971" t="s">
        <v>4135</v>
      </c>
      <c r="F4971" t="s">
        <v>4139</v>
      </c>
    </row>
    <row r="4972" spans="1:6">
      <c r="A4972" t="s">
        <v>9101</v>
      </c>
      <c r="B4972" t="s">
        <v>1959</v>
      </c>
      <c r="C4972" t="s">
        <v>70</v>
      </c>
      <c r="D4972" s="1">
        <v>45701</v>
      </c>
      <c r="E4972" t="s">
        <v>4124</v>
      </c>
      <c r="F4972" t="s">
        <v>4125</v>
      </c>
    </row>
    <row r="4973" spans="1:6">
      <c r="A4973" t="s">
        <v>9102</v>
      </c>
      <c r="B4973" t="s">
        <v>1959</v>
      </c>
      <c r="C4973" t="s">
        <v>70</v>
      </c>
      <c r="D4973" s="1">
        <v>45695</v>
      </c>
      <c r="E4973" t="s">
        <v>4124</v>
      </c>
      <c r="F4973" t="s">
        <v>4125</v>
      </c>
    </row>
    <row r="4974" spans="1:6">
      <c r="A4974" t="s">
        <v>9103</v>
      </c>
      <c r="B4974" t="s">
        <v>1960</v>
      </c>
      <c r="C4974" t="s">
        <v>63</v>
      </c>
      <c r="D4974" s="1">
        <v>45757</v>
      </c>
      <c r="E4974" t="s">
        <v>4129</v>
      </c>
      <c r="F4974" t="s">
        <v>4137</v>
      </c>
    </row>
    <row r="4975" spans="1:6">
      <c r="A4975" t="s">
        <v>9104</v>
      </c>
      <c r="B4975" t="s">
        <v>1960</v>
      </c>
      <c r="C4975" t="s">
        <v>63</v>
      </c>
      <c r="D4975" s="1">
        <v>45757</v>
      </c>
      <c r="E4975" t="s">
        <v>4133</v>
      </c>
      <c r="F4975" t="s">
        <v>4125</v>
      </c>
    </row>
    <row r="4976" spans="1:6">
      <c r="A4976" t="s">
        <v>9105</v>
      </c>
      <c r="B4976" t="s">
        <v>1960</v>
      </c>
      <c r="C4976" t="s">
        <v>63</v>
      </c>
      <c r="D4976" s="1">
        <v>45815</v>
      </c>
      <c r="E4976" t="s">
        <v>4135</v>
      </c>
      <c r="F4976" t="s">
        <v>4125</v>
      </c>
    </row>
    <row r="4977" spans="1:6">
      <c r="A4977" t="s">
        <v>9106</v>
      </c>
      <c r="B4977" t="s">
        <v>1960</v>
      </c>
      <c r="C4977" t="s">
        <v>63</v>
      </c>
      <c r="D4977" s="1">
        <v>45748</v>
      </c>
      <c r="E4977" t="s">
        <v>4129</v>
      </c>
      <c r="F4977" t="s">
        <v>4139</v>
      </c>
    </row>
    <row r="4978" spans="1:6">
      <c r="A4978" t="s">
        <v>9107</v>
      </c>
      <c r="B4978" t="s">
        <v>1960</v>
      </c>
      <c r="C4978" t="s">
        <v>63</v>
      </c>
      <c r="D4978" s="1">
        <v>45785</v>
      </c>
      <c r="E4978" t="s">
        <v>4135</v>
      </c>
      <c r="F4978" t="s">
        <v>4137</v>
      </c>
    </row>
    <row r="4979" spans="1:6">
      <c r="A4979" t="s">
        <v>9108</v>
      </c>
      <c r="B4979" t="s">
        <v>1961</v>
      </c>
      <c r="C4979" t="s">
        <v>75</v>
      </c>
      <c r="D4979" s="1">
        <v>45834</v>
      </c>
      <c r="E4979" t="s">
        <v>4135</v>
      </c>
      <c r="F4979" t="s">
        <v>4139</v>
      </c>
    </row>
    <row r="4980" spans="1:6">
      <c r="A4980" t="s">
        <v>9109</v>
      </c>
      <c r="B4980" t="s">
        <v>1961</v>
      </c>
      <c r="C4980" t="s">
        <v>75</v>
      </c>
      <c r="D4980" s="1">
        <v>45859</v>
      </c>
      <c r="E4980" t="s">
        <v>4127</v>
      </c>
      <c r="F4980" t="s">
        <v>4125</v>
      </c>
    </row>
    <row r="4981" spans="1:6">
      <c r="A4981" t="s">
        <v>9110</v>
      </c>
      <c r="B4981" t="s">
        <v>1961</v>
      </c>
      <c r="C4981" t="s">
        <v>75</v>
      </c>
      <c r="D4981" s="1">
        <v>45841</v>
      </c>
      <c r="E4981" t="s">
        <v>4129</v>
      </c>
      <c r="F4981" t="s">
        <v>4125</v>
      </c>
    </row>
    <row r="4982" spans="1:6">
      <c r="A4982" t="s">
        <v>9111</v>
      </c>
      <c r="B4982" t="s">
        <v>1961</v>
      </c>
      <c r="C4982" t="s">
        <v>75</v>
      </c>
      <c r="D4982" s="1">
        <v>45822</v>
      </c>
      <c r="E4982" t="s">
        <v>4135</v>
      </c>
      <c r="F4982" t="s">
        <v>4137</v>
      </c>
    </row>
    <row r="4983" spans="1:6">
      <c r="A4983" t="s">
        <v>9112</v>
      </c>
      <c r="B4983" t="s">
        <v>1962</v>
      </c>
      <c r="C4983" t="s">
        <v>16</v>
      </c>
      <c r="D4983" s="1">
        <v>45774</v>
      </c>
      <c r="E4983" t="s">
        <v>4124</v>
      </c>
      <c r="F4983" t="s">
        <v>4137</v>
      </c>
    </row>
    <row r="4984" spans="1:6">
      <c r="A4984" t="s">
        <v>9113</v>
      </c>
      <c r="B4984" t="s">
        <v>1962</v>
      </c>
      <c r="C4984" t="s">
        <v>16</v>
      </c>
      <c r="D4984" s="1">
        <v>45746</v>
      </c>
      <c r="E4984" t="s">
        <v>4135</v>
      </c>
      <c r="F4984" t="s">
        <v>4137</v>
      </c>
    </row>
    <row r="4985" spans="1:6">
      <c r="A4985" t="s">
        <v>9114</v>
      </c>
      <c r="B4985" t="s">
        <v>1963</v>
      </c>
      <c r="C4985" t="s">
        <v>63</v>
      </c>
      <c r="D4985" s="1">
        <v>45756</v>
      </c>
      <c r="E4985" t="s">
        <v>4135</v>
      </c>
      <c r="F4985" t="s">
        <v>4137</v>
      </c>
    </row>
    <row r="4986" spans="1:6">
      <c r="A4986" t="s">
        <v>9115</v>
      </c>
      <c r="B4986" t="s">
        <v>1963</v>
      </c>
      <c r="C4986" t="s">
        <v>63</v>
      </c>
      <c r="D4986" s="1">
        <v>45748</v>
      </c>
      <c r="E4986" t="s">
        <v>4129</v>
      </c>
      <c r="F4986" t="s">
        <v>4137</v>
      </c>
    </row>
    <row r="4987" spans="1:6">
      <c r="A4987" t="s">
        <v>9116</v>
      </c>
      <c r="B4987" t="s">
        <v>1963</v>
      </c>
      <c r="C4987" t="s">
        <v>63</v>
      </c>
      <c r="D4987" s="1">
        <v>45753</v>
      </c>
      <c r="E4987" t="s">
        <v>4129</v>
      </c>
      <c r="F4987" t="s">
        <v>4125</v>
      </c>
    </row>
    <row r="4988" spans="1:6">
      <c r="A4988" t="s">
        <v>9117</v>
      </c>
      <c r="B4988" t="s">
        <v>1963</v>
      </c>
      <c r="C4988" t="s">
        <v>63</v>
      </c>
      <c r="D4988" s="1">
        <v>45764</v>
      </c>
      <c r="E4988" t="s">
        <v>4129</v>
      </c>
      <c r="F4988" t="s">
        <v>4137</v>
      </c>
    </row>
    <row r="4989" spans="1:6">
      <c r="A4989" t="s">
        <v>9118</v>
      </c>
      <c r="B4989" t="s">
        <v>1963</v>
      </c>
      <c r="C4989" t="s">
        <v>63</v>
      </c>
      <c r="D4989" s="1">
        <v>45767</v>
      </c>
      <c r="E4989" t="s">
        <v>4127</v>
      </c>
      <c r="F4989" t="s">
        <v>4137</v>
      </c>
    </row>
    <row r="4990" spans="1:6">
      <c r="A4990" t="s">
        <v>9119</v>
      </c>
      <c r="B4990" t="s">
        <v>1964</v>
      </c>
      <c r="C4990" t="s">
        <v>46</v>
      </c>
      <c r="D4990" s="1">
        <v>45861</v>
      </c>
      <c r="E4990" t="s">
        <v>4133</v>
      </c>
      <c r="F4990" t="s">
        <v>4137</v>
      </c>
    </row>
    <row r="4991" spans="1:6">
      <c r="A4991" t="s">
        <v>9120</v>
      </c>
      <c r="B4991" t="s">
        <v>1964</v>
      </c>
      <c r="C4991" t="s">
        <v>46</v>
      </c>
      <c r="D4991" s="1">
        <v>45836</v>
      </c>
      <c r="E4991" t="s">
        <v>4127</v>
      </c>
      <c r="F4991" t="s">
        <v>4139</v>
      </c>
    </row>
    <row r="4992" spans="1:6">
      <c r="A4992" t="s">
        <v>9121</v>
      </c>
      <c r="B4992" t="s">
        <v>1964</v>
      </c>
      <c r="C4992" t="s">
        <v>46</v>
      </c>
      <c r="D4992" s="1">
        <v>45818</v>
      </c>
      <c r="E4992" t="s">
        <v>4124</v>
      </c>
      <c r="F4992" t="s">
        <v>4139</v>
      </c>
    </row>
    <row r="4993" spans="1:6">
      <c r="A4993" t="s">
        <v>9122</v>
      </c>
      <c r="B4993" t="s">
        <v>1964</v>
      </c>
      <c r="C4993" t="s">
        <v>46</v>
      </c>
      <c r="D4993" s="1">
        <v>45855</v>
      </c>
      <c r="E4993" t="s">
        <v>4129</v>
      </c>
      <c r="F4993" t="s">
        <v>4139</v>
      </c>
    </row>
    <row r="4994" spans="1:6">
      <c r="A4994" t="s">
        <v>9123</v>
      </c>
      <c r="B4994" t="s">
        <v>1965</v>
      </c>
      <c r="C4994" t="s">
        <v>63</v>
      </c>
      <c r="D4994" s="1">
        <v>45967</v>
      </c>
      <c r="E4994" t="s">
        <v>4127</v>
      </c>
      <c r="F4994" t="s">
        <v>4125</v>
      </c>
    </row>
    <row r="4995" spans="1:6">
      <c r="A4995" t="s">
        <v>9124</v>
      </c>
      <c r="B4995" t="s">
        <v>1965</v>
      </c>
      <c r="C4995" t="s">
        <v>63</v>
      </c>
      <c r="D4995" s="1">
        <v>45982</v>
      </c>
      <c r="E4995" t="s">
        <v>4129</v>
      </c>
      <c r="F4995" t="s">
        <v>4125</v>
      </c>
    </row>
    <row r="4996" spans="1:6">
      <c r="A4996" t="s">
        <v>9125</v>
      </c>
      <c r="B4996" t="s">
        <v>1965</v>
      </c>
      <c r="C4996" t="s">
        <v>63</v>
      </c>
      <c r="D4996" s="1">
        <v>45971</v>
      </c>
      <c r="E4996" t="s">
        <v>4124</v>
      </c>
      <c r="F4996" t="s">
        <v>4125</v>
      </c>
    </row>
    <row r="4997" spans="1:6">
      <c r="A4997" t="s">
        <v>9126</v>
      </c>
      <c r="B4997" t="s">
        <v>1966</v>
      </c>
      <c r="C4997" t="s">
        <v>36</v>
      </c>
      <c r="D4997" s="1">
        <v>45901</v>
      </c>
      <c r="E4997" t="s">
        <v>4124</v>
      </c>
      <c r="F4997" t="s">
        <v>4125</v>
      </c>
    </row>
    <row r="4998" spans="1:6">
      <c r="A4998" t="s">
        <v>9127</v>
      </c>
      <c r="B4998" t="s">
        <v>1966</v>
      </c>
      <c r="C4998" t="s">
        <v>36</v>
      </c>
      <c r="D4998" s="1">
        <v>45970</v>
      </c>
      <c r="E4998" t="s">
        <v>4133</v>
      </c>
      <c r="F4998" t="s">
        <v>4137</v>
      </c>
    </row>
    <row r="4999" spans="1:6">
      <c r="A4999" t="s">
        <v>9128</v>
      </c>
      <c r="B4999" t="s">
        <v>1966</v>
      </c>
      <c r="C4999" t="s">
        <v>36</v>
      </c>
      <c r="D4999" s="1">
        <v>45962</v>
      </c>
      <c r="E4999" t="s">
        <v>4133</v>
      </c>
      <c r="F4999" t="s">
        <v>4139</v>
      </c>
    </row>
    <row r="5000" spans="1:6">
      <c r="A5000" t="s">
        <v>9129</v>
      </c>
      <c r="B5000" t="s">
        <v>1966</v>
      </c>
      <c r="C5000" t="s">
        <v>36</v>
      </c>
      <c r="D5000" s="1">
        <v>45921</v>
      </c>
      <c r="E5000" t="s">
        <v>4129</v>
      </c>
      <c r="F5000" t="s">
        <v>4137</v>
      </c>
    </row>
    <row r="5001" spans="1:6">
      <c r="A5001" t="s">
        <v>9130</v>
      </c>
      <c r="B5001" t="s">
        <v>1966</v>
      </c>
      <c r="C5001" t="s">
        <v>36</v>
      </c>
      <c r="D5001" s="1">
        <v>45898</v>
      </c>
      <c r="E5001" t="s">
        <v>4133</v>
      </c>
      <c r="F5001" t="s">
        <v>4139</v>
      </c>
    </row>
    <row r="5002" spans="1:6">
      <c r="A5002" t="s">
        <v>9131</v>
      </c>
      <c r="B5002" t="s">
        <v>1967</v>
      </c>
      <c r="C5002" t="s">
        <v>56</v>
      </c>
      <c r="D5002" s="1">
        <v>45836</v>
      </c>
      <c r="E5002" t="s">
        <v>4124</v>
      </c>
      <c r="F5002" t="s">
        <v>4137</v>
      </c>
    </row>
    <row r="5003" spans="1:6">
      <c r="A5003" t="s">
        <v>9132</v>
      </c>
      <c r="B5003" t="s">
        <v>1967</v>
      </c>
      <c r="C5003" t="s">
        <v>56</v>
      </c>
      <c r="D5003" s="1">
        <v>45832</v>
      </c>
      <c r="E5003" t="s">
        <v>4133</v>
      </c>
      <c r="F5003" t="s">
        <v>4125</v>
      </c>
    </row>
    <row r="5004" spans="1:6">
      <c r="A5004" t="s">
        <v>9133</v>
      </c>
      <c r="B5004" t="s">
        <v>1967</v>
      </c>
      <c r="C5004" t="s">
        <v>56</v>
      </c>
      <c r="D5004" s="1">
        <v>45834</v>
      </c>
      <c r="E5004" t="s">
        <v>4133</v>
      </c>
      <c r="F5004" t="s">
        <v>4125</v>
      </c>
    </row>
    <row r="5005" spans="1:6">
      <c r="A5005" t="s">
        <v>9134</v>
      </c>
      <c r="B5005" t="s">
        <v>1967</v>
      </c>
      <c r="C5005" t="s">
        <v>56</v>
      </c>
      <c r="D5005" s="1">
        <v>45855</v>
      </c>
      <c r="E5005" t="s">
        <v>4124</v>
      </c>
      <c r="F5005" t="s">
        <v>4139</v>
      </c>
    </row>
    <row r="5006" spans="1:6">
      <c r="A5006" t="s">
        <v>9135</v>
      </c>
      <c r="B5006" t="s">
        <v>1967</v>
      </c>
      <c r="C5006" t="s">
        <v>56</v>
      </c>
      <c r="D5006" s="1">
        <v>45803</v>
      </c>
      <c r="E5006" t="s">
        <v>4124</v>
      </c>
      <c r="F5006" t="s">
        <v>4137</v>
      </c>
    </row>
    <row r="5007" spans="1:6">
      <c r="A5007" t="s">
        <v>9136</v>
      </c>
      <c r="B5007" t="s">
        <v>1968</v>
      </c>
      <c r="C5007" t="s">
        <v>91</v>
      </c>
      <c r="D5007" s="1">
        <v>45965</v>
      </c>
      <c r="E5007" t="s">
        <v>4124</v>
      </c>
      <c r="F5007" t="s">
        <v>4125</v>
      </c>
    </row>
    <row r="5008" spans="1:6">
      <c r="A5008" t="s">
        <v>9137</v>
      </c>
      <c r="B5008" t="s">
        <v>1968</v>
      </c>
      <c r="C5008" t="s">
        <v>91</v>
      </c>
      <c r="D5008" s="1">
        <v>45962</v>
      </c>
      <c r="E5008" t="s">
        <v>4127</v>
      </c>
      <c r="F5008" t="s">
        <v>4139</v>
      </c>
    </row>
    <row r="5009" spans="1:6">
      <c r="A5009" t="s">
        <v>9138</v>
      </c>
      <c r="B5009" t="s">
        <v>1968</v>
      </c>
      <c r="C5009" t="s">
        <v>91</v>
      </c>
      <c r="D5009" s="1">
        <v>45974</v>
      </c>
      <c r="E5009" t="s">
        <v>4127</v>
      </c>
      <c r="F5009" t="s">
        <v>4137</v>
      </c>
    </row>
    <row r="5010" spans="1:6">
      <c r="A5010" t="s">
        <v>9139</v>
      </c>
      <c r="B5010" t="s">
        <v>1968</v>
      </c>
      <c r="C5010" t="s">
        <v>91</v>
      </c>
      <c r="D5010" s="1">
        <v>45970</v>
      </c>
      <c r="E5010" t="s">
        <v>4133</v>
      </c>
      <c r="F5010" t="s">
        <v>4125</v>
      </c>
    </row>
    <row r="5011" spans="1:6">
      <c r="A5011" t="s">
        <v>9140</v>
      </c>
      <c r="B5011" t="s">
        <v>1969</v>
      </c>
      <c r="C5011" t="s">
        <v>36</v>
      </c>
      <c r="D5011" s="1">
        <v>46020</v>
      </c>
      <c r="E5011" t="s">
        <v>4127</v>
      </c>
      <c r="F5011" t="s">
        <v>4139</v>
      </c>
    </row>
    <row r="5012" spans="1:6">
      <c r="A5012" t="s">
        <v>9141</v>
      </c>
      <c r="B5012" t="s">
        <v>1969</v>
      </c>
      <c r="C5012" t="s">
        <v>36</v>
      </c>
      <c r="D5012" s="1">
        <v>46022</v>
      </c>
      <c r="E5012" t="s">
        <v>4124</v>
      </c>
      <c r="F5012" t="s">
        <v>4139</v>
      </c>
    </row>
    <row r="5013" spans="1:6">
      <c r="A5013" t="s">
        <v>9142</v>
      </c>
      <c r="B5013" t="s">
        <v>1970</v>
      </c>
      <c r="C5013" t="s">
        <v>63</v>
      </c>
      <c r="D5013" s="1">
        <v>45966</v>
      </c>
      <c r="E5013" t="s">
        <v>4127</v>
      </c>
      <c r="F5013" t="s">
        <v>4139</v>
      </c>
    </row>
    <row r="5014" spans="1:6">
      <c r="A5014" t="s">
        <v>9143</v>
      </c>
      <c r="B5014" t="s">
        <v>1970</v>
      </c>
      <c r="C5014" t="s">
        <v>63</v>
      </c>
      <c r="D5014" s="1">
        <v>46001</v>
      </c>
      <c r="E5014" t="s">
        <v>4135</v>
      </c>
      <c r="F5014" t="s">
        <v>4125</v>
      </c>
    </row>
    <row r="5015" spans="1:6">
      <c r="A5015" t="s">
        <v>9144</v>
      </c>
      <c r="B5015" t="s">
        <v>1971</v>
      </c>
      <c r="C5015" t="s">
        <v>59</v>
      </c>
      <c r="D5015" s="1">
        <v>45910</v>
      </c>
      <c r="E5015" t="s">
        <v>4127</v>
      </c>
      <c r="F5015" t="s">
        <v>4125</v>
      </c>
    </row>
    <row r="5016" spans="1:6">
      <c r="A5016" t="s">
        <v>9145</v>
      </c>
      <c r="B5016" t="s">
        <v>1971</v>
      </c>
      <c r="C5016" t="s">
        <v>59</v>
      </c>
      <c r="D5016" s="1">
        <v>45892</v>
      </c>
      <c r="E5016" t="s">
        <v>4124</v>
      </c>
      <c r="F5016" t="s">
        <v>4125</v>
      </c>
    </row>
    <row r="5017" spans="1:6">
      <c r="A5017" t="s">
        <v>9146</v>
      </c>
      <c r="B5017" t="s">
        <v>1971</v>
      </c>
      <c r="C5017" t="s">
        <v>59</v>
      </c>
      <c r="D5017" s="1">
        <v>45932</v>
      </c>
      <c r="E5017" t="s">
        <v>4133</v>
      </c>
      <c r="F5017" t="s">
        <v>4125</v>
      </c>
    </row>
    <row r="5018" spans="1:6">
      <c r="A5018" t="s">
        <v>9147</v>
      </c>
      <c r="B5018" t="s">
        <v>1972</v>
      </c>
      <c r="C5018" t="s">
        <v>40</v>
      </c>
      <c r="D5018" s="1">
        <v>45928</v>
      </c>
      <c r="E5018" t="s">
        <v>4129</v>
      </c>
      <c r="F5018" t="s">
        <v>4137</v>
      </c>
    </row>
    <row r="5019" spans="1:6">
      <c r="A5019" t="s">
        <v>9148</v>
      </c>
      <c r="B5019" t="s">
        <v>1972</v>
      </c>
      <c r="C5019" t="s">
        <v>40</v>
      </c>
      <c r="D5019" s="1">
        <v>45929</v>
      </c>
      <c r="E5019" t="s">
        <v>4127</v>
      </c>
      <c r="F5019" t="s">
        <v>4139</v>
      </c>
    </row>
    <row r="5020" spans="1:6">
      <c r="A5020" t="s">
        <v>9149</v>
      </c>
      <c r="B5020" t="s">
        <v>1972</v>
      </c>
      <c r="C5020" t="s">
        <v>40</v>
      </c>
      <c r="D5020" s="1">
        <v>45929</v>
      </c>
      <c r="E5020" t="s">
        <v>4135</v>
      </c>
      <c r="F5020" t="s">
        <v>4139</v>
      </c>
    </row>
    <row r="5021" spans="1:6">
      <c r="A5021" t="s">
        <v>9150</v>
      </c>
      <c r="B5021" t="s">
        <v>1972</v>
      </c>
      <c r="C5021" t="s">
        <v>40</v>
      </c>
      <c r="D5021" s="1">
        <v>45924</v>
      </c>
      <c r="E5021" t="s">
        <v>4129</v>
      </c>
      <c r="F5021" t="s">
        <v>4137</v>
      </c>
    </row>
    <row r="5022" spans="1:6">
      <c r="A5022" t="s">
        <v>9151</v>
      </c>
      <c r="B5022" t="s">
        <v>1972</v>
      </c>
      <c r="C5022" t="s">
        <v>40</v>
      </c>
      <c r="D5022" s="1">
        <v>45922</v>
      </c>
      <c r="E5022" t="s">
        <v>4124</v>
      </c>
      <c r="F5022" t="s">
        <v>4137</v>
      </c>
    </row>
    <row r="5023" spans="1:6">
      <c r="A5023" t="s">
        <v>9152</v>
      </c>
      <c r="B5023" t="s">
        <v>1973</v>
      </c>
      <c r="C5023" t="s">
        <v>22</v>
      </c>
      <c r="D5023" s="1">
        <v>45904</v>
      </c>
      <c r="E5023" t="s">
        <v>4135</v>
      </c>
      <c r="F5023" t="s">
        <v>4125</v>
      </c>
    </row>
    <row r="5024" spans="1:6">
      <c r="A5024" t="s">
        <v>9153</v>
      </c>
      <c r="B5024" t="s">
        <v>1973</v>
      </c>
      <c r="C5024" t="s">
        <v>22</v>
      </c>
      <c r="D5024" s="1">
        <v>45928</v>
      </c>
      <c r="E5024" t="s">
        <v>4135</v>
      </c>
      <c r="F5024" t="s">
        <v>4137</v>
      </c>
    </row>
    <row r="5025" spans="1:6">
      <c r="A5025" t="s">
        <v>9154</v>
      </c>
      <c r="B5025" t="s">
        <v>1973</v>
      </c>
      <c r="C5025" t="s">
        <v>22</v>
      </c>
      <c r="D5025" s="1">
        <v>45920</v>
      </c>
      <c r="E5025" t="s">
        <v>4127</v>
      </c>
      <c r="F5025" t="s">
        <v>4139</v>
      </c>
    </row>
    <row r="5026" spans="1:6">
      <c r="A5026" t="s">
        <v>9155</v>
      </c>
      <c r="B5026" t="s">
        <v>1974</v>
      </c>
      <c r="C5026" t="s">
        <v>40</v>
      </c>
      <c r="D5026" s="1">
        <v>45883</v>
      </c>
      <c r="E5026" t="s">
        <v>4135</v>
      </c>
      <c r="F5026" t="s">
        <v>4139</v>
      </c>
    </row>
    <row r="5027" spans="1:6">
      <c r="A5027" t="s">
        <v>9156</v>
      </c>
      <c r="B5027" t="s">
        <v>1974</v>
      </c>
      <c r="C5027" t="s">
        <v>40</v>
      </c>
      <c r="D5027" s="1">
        <v>45911</v>
      </c>
      <c r="E5027" t="s">
        <v>4124</v>
      </c>
      <c r="F5027" t="s">
        <v>4125</v>
      </c>
    </row>
    <row r="5028" spans="1:6">
      <c r="A5028" t="s">
        <v>9157</v>
      </c>
      <c r="B5028" t="s">
        <v>1975</v>
      </c>
      <c r="C5028" t="s">
        <v>59</v>
      </c>
      <c r="D5028" s="1">
        <v>45711</v>
      </c>
      <c r="E5028" t="s">
        <v>4124</v>
      </c>
      <c r="F5028" t="s">
        <v>4137</v>
      </c>
    </row>
    <row r="5029" spans="1:6">
      <c r="A5029" t="s">
        <v>9158</v>
      </c>
      <c r="B5029" t="s">
        <v>1975</v>
      </c>
      <c r="C5029" t="s">
        <v>59</v>
      </c>
      <c r="D5029" s="1">
        <v>45693</v>
      </c>
      <c r="E5029" t="s">
        <v>4124</v>
      </c>
      <c r="F5029" t="s">
        <v>4139</v>
      </c>
    </row>
    <row r="5030" spans="1:6">
      <c r="A5030" t="s">
        <v>9159</v>
      </c>
      <c r="B5030" t="s">
        <v>1975</v>
      </c>
      <c r="C5030" t="s">
        <v>59</v>
      </c>
      <c r="D5030" s="1">
        <v>45706</v>
      </c>
      <c r="E5030" t="s">
        <v>4135</v>
      </c>
      <c r="F5030" t="s">
        <v>4137</v>
      </c>
    </row>
    <row r="5031" spans="1:6">
      <c r="A5031" t="s">
        <v>9160</v>
      </c>
      <c r="B5031" t="s">
        <v>1975</v>
      </c>
      <c r="C5031" t="s">
        <v>59</v>
      </c>
      <c r="D5031" s="1">
        <v>45710</v>
      </c>
      <c r="E5031" t="s">
        <v>4129</v>
      </c>
      <c r="F5031" t="s">
        <v>4137</v>
      </c>
    </row>
    <row r="5032" spans="1:6">
      <c r="A5032" t="s">
        <v>9161</v>
      </c>
      <c r="B5032" t="s">
        <v>1976</v>
      </c>
      <c r="C5032" t="s">
        <v>56</v>
      </c>
      <c r="D5032" s="1">
        <v>46022</v>
      </c>
      <c r="E5032" t="s">
        <v>4124</v>
      </c>
      <c r="F5032" t="s">
        <v>4137</v>
      </c>
    </row>
    <row r="5033" spans="1:6">
      <c r="A5033" t="s">
        <v>9162</v>
      </c>
      <c r="B5033" t="s">
        <v>1976</v>
      </c>
      <c r="C5033" t="s">
        <v>56</v>
      </c>
      <c r="D5033" s="1">
        <v>46011</v>
      </c>
      <c r="E5033" t="s">
        <v>4127</v>
      </c>
      <c r="F5033" t="s">
        <v>4125</v>
      </c>
    </row>
    <row r="5034" spans="1:6">
      <c r="A5034" t="s">
        <v>9163</v>
      </c>
      <c r="B5034" t="s">
        <v>1976</v>
      </c>
      <c r="C5034" t="s">
        <v>56</v>
      </c>
      <c r="D5034" s="1">
        <v>45990</v>
      </c>
      <c r="E5034" t="s">
        <v>4135</v>
      </c>
      <c r="F5034" t="s">
        <v>4137</v>
      </c>
    </row>
    <row r="5035" spans="1:6">
      <c r="A5035" t="s">
        <v>9164</v>
      </c>
      <c r="B5035" t="s">
        <v>1976</v>
      </c>
      <c r="C5035" t="s">
        <v>56</v>
      </c>
      <c r="D5035" s="1">
        <v>46004</v>
      </c>
      <c r="E5035" t="s">
        <v>4127</v>
      </c>
      <c r="F5035" t="s">
        <v>4139</v>
      </c>
    </row>
    <row r="5036" spans="1:6">
      <c r="A5036" t="s">
        <v>9165</v>
      </c>
      <c r="B5036" t="s">
        <v>1977</v>
      </c>
      <c r="C5036" t="s">
        <v>78</v>
      </c>
      <c r="D5036" s="1">
        <v>45912</v>
      </c>
      <c r="E5036" t="s">
        <v>4129</v>
      </c>
      <c r="F5036" t="s">
        <v>4137</v>
      </c>
    </row>
    <row r="5037" spans="1:6">
      <c r="A5037" t="s">
        <v>9166</v>
      </c>
      <c r="B5037" t="s">
        <v>1977</v>
      </c>
      <c r="C5037" t="s">
        <v>78</v>
      </c>
      <c r="D5037" s="1">
        <v>45904</v>
      </c>
      <c r="E5037" t="s">
        <v>4133</v>
      </c>
      <c r="F5037" t="s">
        <v>4137</v>
      </c>
    </row>
    <row r="5038" spans="1:6">
      <c r="A5038" t="s">
        <v>9167</v>
      </c>
      <c r="B5038" t="s">
        <v>1977</v>
      </c>
      <c r="C5038" t="s">
        <v>78</v>
      </c>
      <c r="D5038" s="1">
        <v>45895</v>
      </c>
      <c r="E5038" t="s">
        <v>4133</v>
      </c>
      <c r="F5038" t="s">
        <v>4137</v>
      </c>
    </row>
    <row r="5039" spans="1:6">
      <c r="A5039" t="s">
        <v>9168</v>
      </c>
      <c r="B5039" t="s">
        <v>1977</v>
      </c>
      <c r="C5039" t="s">
        <v>78</v>
      </c>
      <c r="D5039" s="1">
        <v>45912</v>
      </c>
      <c r="E5039" t="s">
        <v>4124</v>
      </c>
      <c r="F5039" t="s">
        <v>4137</v>
      </c>
    </row>
    <row r="5040" spans="1:6">
      <c r="A5040" t="s">
        <v>9169</v>
      </c>
      <c r="B5040" t="s">
        <v>1977</v>
      </c>
      <c r="C5040" t="s">
        <v>78</v>
      </c>
      <c r="D5040" s="1">
        <v>45891</v>
      </c>
      <c r="E5040" t="s">
        <v>4127</v>
      </c>
      <c r="F5040" t="s">
        <v>4125</v>
      </c>
    </row>
    <row r="5041" spans="1:6">
      <c r="A5041" t="s">
        <v>9170</v>
      </c>
      <c r="B5041" t="s">
        <v>1978</v>
      </c>
      <c r="C5041" t="s">
        <v>75</v>
      </c>
      <c r="D5041" s="1">
        <v>45849</v>
      </c>
      <c r="E5041" t="s">
        <v>4129</v>
      </c>
      <c r="F5041" t="s">
        <v>4139</v>
      </c>
    </row>
    <row r="5042" spans="1:6">
      <c r="A5042" t="s">
        <v>9171</v>
      </c>
      <c r="B5042" t="s">
        <v>1978</v>
      </c>
      <c r="C5042" t="s">
        <v>75</v>
      </c>
      <c r="D5042" s="1">
        <v>45812</v>
      </c>
      <c r="E5042" t="s">
        <v>4133</v>
      </c>
      <c r="F5042" t="s">
        <v>4125</v>
      </c>
    </row>
    <row r="5043" spans="1:6">
      <c r="A5043" t="s">
        <v>9172</v>
      </c>
      <c r="B5043" t="s">
        <v>1979</v>
      </c>
      <c r="C5043" t="s">
        <v>53</v>
      </c>
      <c r="D5043" s="1">
        <v>45888</v>
      </c>
      <c r="E5043" t="s">
        <v>4135</v>
      </c>
      <c r="F5043" t="s">
        <v>4125</v>
      </c>
    </row>
    <row r="5044" spans="1:6">
      <c r="A5044" t="s">
        <v>9173</v>
      </c>
      <c r="B5044" t="s">
        <v>1979</v>
      </c>
      <c r="C5044" t="s">
        <v>53</v>
      </c>
      <c r="D5044" s="1">
        <v>45918</v>
      </c>
      <c r="E5044" t="s">
        <v>4127</v>
      </c>
      <c r="F5044" t="s">
        <v>4125</v>
      </c>
    </row>
    <row r="5045" spans="1:6">
      <c r="A5045" t="s">
        <v>9174</v>
      </c>
      <c r="B5045" t="s">
        <v>1979</v>
      </c>
      <c r="C5045" t="s">
        <v>53</v>
      </c>
      <c r="D5045" s="1">
        <v>45909</v>
      </c>
      <c r="E5045" t="s">
        <v>4124</v>
      </c>
      <c r="F5045" t="s">
        <v>4137</v>
      </c>
    </row>
    <row r="5046" spans="1:6">
      <c r="A5046" t="s">
        <v>9175</v>
      </c>
      <c r="B5046" t="s">
        <v>1979</v>
      </c>
      <c r="C5046" t="s">
        <v>53</v>
      </c>
      <c r="D5046" s="1">
        <v>45882</v>
      </c>
      <c r="E5046" t="s">
        <v>4127</v>
      </c>
      <c r="F5046" t="s">
        <v>4139</v>
      </c>
    </row>
    <row r="5047" spans="1:6">
      <c r="A5047" t="s">
        <v>9176</v>
      </c>
      <c r="B5047" t="s">
        <v>1980</v>
      </c>
      <c r="C5047" t="s">
        <v>126</v>
      </c>
      <c r="D5047" s="1">
        <v>45877</v>
      </c>
      <c r="E5047" t="s">
        <v>4133</v>
      </c>
      <c r="F5047" t="s">
        <v>4139</v>
      </c>
    </row>
    <row r="5048" spans="1:6">
      <c r="A5048" t="s">
        <v>9177</v>
      </c>
      <c r="B5048" t="s">
        <v>1980</v>
      </c>
      <c r="C5048" t="s">
        <v>126</v>
      </c>
      <c r="D5048" s="1">
        <v>45868</v>
      </c>
      <c r="E5048" t="s">
        <v>4135</v>
      </c>
      <c r="F5048" t="s">
        <v>4137</v>
      </c>
    </row>
    <row r="5049" spans="1:6">
      <c r="A5049" t="s">
        <v>9178</v>
      </c>
      <c r="B5049" t="s">
        <v>1981</v>
      </c>
      <c r="C5049" t="s">
        <v>16</v>
      </c>
      <c r="D5049" s="1">
        <v>45883</v>
      </c>
      <c r="E5049" t="s">
        <v>4133</v>
      </c>
      <c r="F5049" t="s">
        <v>4125</v>
      </c>
    </row>
    <row r="5050" spans="1:6">
      <c r="A5050" t="s">
        <v>9179</v>
      </c>
      <c r="B5050" t="s">
        <v>1981</v>
      </c>
      <c r="C5050" t="s">
        <v>16</v>
      </c>
      <c r="D5050" s="1">
        <v>45886</v>
      </c>
      <c r="E5050" t="s">
        <v>4127</v>
      </c>
      <c r="F5050" t="s">
        <v>4125</v>
      </c>
    </row>
    <row r="5051" spans="1:6">
      <c r="A5051" t="s">
        <v>9180</v>
      </c>
      <c r="B5051" t="s">
        <v>1981</v>
      </c>
      <c r="C5051" t="s">
        <v>16</v>
      </c>
      <c r="D5051" s="1">
        <v>45900</v>
      </c>
      <c r="E5051" t="s">
        <v>4124</v>
      </c>
      <c r="F5051" t="s">
        <v>4137</v>
      </c>
    </row>
    <row r="5052" spans="1:6">
      <c r="A5052" t="s">
        <v>9181</v>
      </c>
      <c r="B5052" t="s">
        <v>1981</v>
      </c>
      <c r="C5052" t="s">
        <v>16</v>
      </c>
      <c r="D5052" s="1">
        <v>45924</v>
      </c>
      <c r="E5052" t="s">
        <v>4124</v>
      </c>
      <c r="F5052" t="s">
        <v>4139</v>
      </c>
    </row>
    <row r="5053" spans="1:6">
      <c r="A5053" t="s">
        <v>9182</v>
      </c>
      <c r="B5053" t="s">
        <v>1982</v>
      </c>
      <c r="C5053" t="s">
        <v>152</v>
      </c>
      <c r="D5053" s="1">
        <v>45912</v>
      </c>
      <c r="E5053" t="s">
        <v>4129</v>
      </c>
      <c r="F5053" t="s">
        <v>4137</v>
      </c>
    </row>
    <row r="5054" spans="1:6">
      <c r="A5054" t="s">
        <v>9183</v>
      </c>
      <c r="B5054" t="s">
        <v>1982</v>
      </c>
      <c r="C5054" t="s">
        <v>152</v>
      </c>
      <c r="D5054" s="1">
        <v>45910</v>
      </c>
      <c r="E5054" t="s">
        <v>4124</v>
      </c>
      <c r="F5054" t="s">
        <v>4125</v>
      </c>
    </row>
    <row r="5055" spans="1:6">
      <c r="A5055" t="s">
        <v>9184</v>
      </c>
      <c r="B5055" t="s">
        <v>1982</v>
      </c>
      <c r="C5055" t="s">
        <v>152</v>
      </c>
      <c r="D5055" s="1">
        <v>45902</v>
      </c>
      <c r="E5055" t="s">
        <v>4129</v>
      </c>
      <c r="F5055" t="s">
        <v>4139</v>
      </c>
    </row>
    <row r="5056" spans="1:6">
      <c r="A5056" t="s">
        <v>9185</v>
      </c>
      <c r="B5056" t="s">
        <v>1982</v>
      </c>
      <c r="C5056" t="s">
        <v>152</v>
      </c>
      <c r="D5056" s="1">
        <v>45909</v>
      </c>
      <c r="E5056" t="s">
        <v>4135</v>
      </c>
      <c r="F5056" t="s">
        <v>4137</v>
      </c>
    </row>
    <row r="5057" spans="1:6">
      <c r="A5057" t="s">
        <v>9186</v>
      </c>
      <c r="B5057" t="s">
        <v>1984</v>
      </c>
      <c r="C5057" t="s">
        <v>119</v>
      </c>
      <c r="D5057" s="1">
        <v>45987</v>
      </c>
      <c r="E5057" t="s">
        <v>4135</v>
      </c>
      <c r="F5057" t="s">
        <v>4139</v>
      </c>
    </row>
    <row r="5058" spans="1:6">
      <c r="A5058" t="s">
        <v>9187</v>
      </c>
      <c r="B5058" t="s">
        <v>1984</v>
      </c>
      <c r="C5058" t="s">
        <v>119</v>
      </c>
      <c r="D5058" s="1">
        <v>45981</v>
      </c>
      <c r="E5058" t="s">
        <v>4129</v>
      </c>
      <c r="F5058" t="s">
        <v>4125</v>
      </c>
    </row>
    <row r="5059" spans="1:6">
      <c r="A5059" t="s">
        <v>9188</v>
      </c>
      <c r="B5059" t="s">
        <v>1984</v>
      </c>
      <c r="C5059" t="s">
        <v>119</v>
      </c>
      <c r="D5059" s="1">
        <v>45981</v>
      </c>
      <c r="E5059" t="s">
        <v>4124</v>
      </c>
      <c r="F5059" t="s">
        <v>4137</v>
      </c>
    </row>
    <row r="5060" spans="1:6">
      <c r="A5060" t="s">
        <v>9189</v>
      </c>
      <c r="B5060" t="s">
        <v>1985</v>
      </c>
      <c r="C5060" t="s">
        <v>53</v>
      </c>
      <c r="D5060" s="1">
        <v>45838</v>
      </c>
      <c r="E5060" t="s">
        <v>4133</v>
      </c>
      <c r="F5060" t="s">
        <v>4137</v>
      </c>
    </row>
    <row r="5061" spans="1:6">
      <c r="A5061" t="s">
        <v>9190</v>
      </c>
      <c r="B5061" t="s">
        <v>1985</v>
      </c>
      <c r="C5061" t="s">
        <v>53</v>
      </c>
      <c r="D5061" s="1">
        <v>45826</v>
      </c>
      <c r="E5061" t="s">
        <v>4127</v>
      </c>
      <c r="F5061" t="s">
        <v>4139</v>
      </c>
    </row>
    <row r="5062" spans="1:6">
      <c r="A5062" t="s">
        <v>9191</v>
      </c>
      <c r="B5062" t="s">
        <v>1985</v>
      </c>
      <c r="C5062" t="s">
        <v>53</v>
      </c>
      <c r="D5062" s="1">
        <v>45846</v>
      </c>
      <c r="E5062" t="s">
        <v>4133</v>
      </c>
      <c r="F5062" t="s">
        <v>4125</v>
      </c>
    </row>
    <row r="5063" spans="1:6">
      <c r="A5063" t="s">
        <v>9192</v>
      </c>
      <c r="B5063" t="s">
        <v>1986</v>
      </c>
      <c r="C5063" t="s">
        <v>46</v>
      </c>
      <c r="D5063" s="1">
        <v>45879</v>
      </c>
      <c r="E5063" t="s">
        <v>4127</v>
      </c>
      <c r="F5063" t="s">
        <v>4139</v>
      </c>
    </row>
    <row r="5064" spans="1:6">
      <c r="A5064" t="s">
        <v>9193</v>
      </c>
      <c r="B5064" t="s">
        <v>1986</v>
      </c>
      <c r="C5064" t="s">
        <v>46</v>
      </c>
      <c r="D5064" s="1">
        <v>45848</v>
      </c>
      <c r="E5064" t="s">
        <v>4124</v>
      </c>
      <c r="F5064" t="s">
        <v>4137</v>
      </c>
    </row>
    <row r="5065" spans="1:6">
      <c r="A5065" t="s">
        <v>9194</v>
      </c>
      <c r="B5065" t="s">
        <v>1986</v>
      </c>
      <c r="C5065" t="s">
        <v>46</v>
      </c>
      <c r="D5065" s="1">
        <v>45853</v>
      </c>
      <c r="E5065" t="s">
        <v>4135</v>
      </c>
      <c r="F5065" t="s">
        <v>4139</v>
      </c>
    </row>
    <row r="5066" spans="1:6">
      <c r="A5066" t="s">
        <v>9195</v>
      </c>
      <c r="B5066" t="s">
        <v>1986</v>
      </c>
      <c r="C5066" t="s">
        <v>46</v>
      </c>
      <c r="D5066" s="1">
        <v>45839</v>
      </c>
      <c r="E5066" t="s">
        <v>4127</v>
      </c>
      <c r="F5066" t="s">
        <v>4125</v>
      </c>
    </row>
    <row r="5067" spans="1:6">
      <c r="A5067" t="s">
        <v>9196</v>
      </c>
      <c r="B5067" t="s">
        <v>1986</v>
      </c>
      <c r="C5067" t="s">
        <v>46</v>
      </c>
      <c r="D5067" s="1">
        <v>45848</v>
      </c>
      <c r="E5067" t="s">
        <v>4127</v>
      </c>
      <c r="F5067" t="s">
        <v>4139</v>
      </c>
    </row>
    <row r="5068" spans="1:6">
      <c r="A5068" t="s">
        <v>9197</v>
      </c>
      <c r="B5068" t="s">
        <v>1987</v>
      </c>
      <c r="C5068" t="s">
        <v>126</v>
      </c>
      <c r="D5068" s="1">
        <v>45825</v>
      </c>
      <c r="E5068" t="s">
        <v>4127</v>
      </c>
      <c r="F5068" t="s">
        <v>4137</v>
      </c>
    </row>
    <row r="5069" spans="1:6">
      <c r="A5069" t="s">
        <v>9198</v>
      </c>
      <c r="B5069" t="s">
        <v>1987</v>
      </c>
      <c r="C5069" t="s">
        <v>126</v>
      </c>
      <c r="D5069" s="1">
        <v>45834</v>
      </c>
      <c r="E5069" t="s">
        <v>4127</v>
      </c>
      <c r="F5069" t="s">
        <v>4139</v>
      </c>
    </row>
    <row r="5070" spans="1:6">
      <c r="A5070" t="s">
        <v>9199</v>
      </c>
      <c r="B5070" t="s">
        <v>1987</v>
      </c>
      <c r="C5070" t="s">
        <v>126</v>
      </c>
      <c r="D5070" s="1">
        <v>45799</v>
      </c>
      <c r="E5070" t="s">
        <v>4133</v>
      </c>
      <c r="F5070" t="s">
        <v>4139</v>
      </c>
    </row>
    <row r="5071" spans="1:6">
      <c r="A5071" t="s">
        <v>9200</v>
      </c>
      <c r="B5071" t="s">
        <v>1987</v>
      </c>
      <c r="C5071" t="s">
        <v>126</v>
      </c>
      <c r="D5071" s="1">
        <v>45819</v>
      </c>
      <c r="E5071" t="s">
        <v>4133</v>
      </c>
      <c r="F5071" t="s">
        <v>4125</v>
      </c>
    </row>
    <row r="5072" spans="1:6">
      <c r="A5072" t="s">
        <v>9201</v>
      </c>
      <c r="B5072" t="s">
        <v>1987</v>
      </c>
      <c r="C5072" t="s">
        <v>126</v>
      </c>
      <c r="D5072" s="1">
        <v>45797</v>
      </c>
      <c r="E5072" t="s">
        <v>4133</v>
      </c>
      <c r="F5072" t="s">
        <v>4139</v>
      </c>
    </row>
    <row r="5073" spans="1:6">
      <c r="A5073" t="s">
        <v>9202</v>
      </c>
      <c r="B5073" t="s">
        <v>1988</v>
      </c>
      <c r="C5073" t="s">
        <v>40</v>
      </c>
      <c r="D5073" s="1">
        <v>45771</v>
      </c>
      <c r="E5073" t="s">
        <v>4129</v>
      </c>
      <c r="F5073" t="s">
        <v>4125</v>
      </c>
    </row>
    <row r="5074" spans="1:6">
      <c r="A5074" t="s">
        <v>9203</v>
      </c>
      <c r="B5074" t="s">
        <v>1988</v>
      </c>
      <c r="C5074" t="s">
        <v>40</v>
      </c>
      <c r="D5074" s="1">
        <v>45807</v>
      </c>
      <c r="E5074" t="s">
        <v>4129</v>
      </c>
      <c r="F5074" t="s">
        <v>4137</v>
      </c>
    </row>
    <row r="5075" spans="1:6">
      <c r="A5075" t="s">
        <v>9204</v>
      </c>
      <c r="B5075" t="s">
        <v>1988</v>
      </c>
      <c r="C5075" t="s">
        <v>40</v>
      </c>
      <c r="D5075" s="1">
        <v>45798</v>
      </c>
      <c r="E5075" t="s">
        <v>4135</v>
      </c>
      <c r="F5075" t="s">
        <v>4125</v>
      </c>
    </row>
    <row r="5076" spans="1:6">
      <c r="A5076" t="s">
        <v>9205</v>
      </c>
      <c r="B5076" t="s">
        <v>1988</v>
      </c>
      <c r="C5076" t="s">
        <v>40</v>
      </c>
      <c r="D5076" s="1">
        <v>45765</v>
      </c>
      <c r="E5076" t="s">
        <v>4124</v>
      </c>
      <c r="F5076" t="s">
        <v>4125</v>
      </c>
    </row>
    <row r="5077" spans="1:6">
      <c r="A5077" t="s">
        <v>9206</v>
      </c>
      <c r="B5077" t="s">
        <v>1989</v>
      </c>
      <c r="C5077" t="s">
        <v>91</v>
      </c>
      <c r="D5077" s="1">
        <v>45990</v>
      </c>
      <c r="E5077" t="s">
        <v>4135</v>
      </c>
      <c r="F5077" t="s">
        <v>4125</v>
      </c>
    </row>
    <row r="5078" spans="1:6">
      <c r="A5078" t="s">
        <v>9207</v>
      </c>
      <c r="B5078" t="s">
        <v>1989</v>
      </c>
      <c r="C5078" t="s">
        <v>91</v>
      </c>
      <c r="D5078" s="1">
        <v>45982</v>
      </c>
      <c r="E5078" t="s">
        <v>4127</v>
      </c>
      <c r="F5078" t="s">
        <v>4137</v>
      </c>
    </row>
    <row r="5079" spans="1:6">
      <c r="A5079" t="s">
        <v>9208</v>
      </c>
      <c r="B5079" t="s">
        <v>1990</v>
      </c>
      <c r="C5079" t="s">
        <v>53</v>
      </c>
      <c r="D5079" s="1">
        <v>45859</v>
      </c>
      <c r="E5079" t="s">
        <v>4129</v>
      </c>
      <c r="F5079" t="s">
        <v>4125</v>
      </c>
    </row>
    <row r="5080" spans="1:6">
      <c r="A5080" t="s">
        <v>9209</v>
      </c>
      <c r="B5080" t="s">
        <v>1990</v>
      </c>
      <c r="C5080" t="s">
        <v>53</v>
      </c>
      <c r="D5080" s="1">
        <v>45852</v>
      </c>
      <c r="E5080" t="s">
        <v>4129</v>
      </c>
      <c r="F5080" t="s">
        <v>4125</v>
      </c>
    </row>
    <row r="5081" spans="1:6">
      <c r="A5081" t="s">
        <v>9210</v>
      </c>
      <c r="B5081" t="s">
        <v>1990</v>
      </c>
      <c r="C5081" t="s">
        <v>53</v>
      </c>
      <c r="D5081" s="1">
        <v>45874</v>
      </c>
      <c r="E5081" t="s">
        <v>4133</v>
      </c>
      <c r="F5081" t="s">
        <v>4125</v>
      </c>
    </row>
    <row r="5082" spans="1:6">
      <c r="A5082" t="s">
        <v>9211</v>
      </c>
      <c r="B5082" t="s">
        <v>1991</v>
      </c>
      <c r="C5082" t="s">
        <v>119</v>
      </c>
      <c r="D5082" s="1">
        <v>45710</v>
      </c>
      <c r="E5082" t="s">
        <v>4135</v>
      </c>
      <c r="F5082" t="s">
        <v>4139</v>
      </c>
    </row>
    <row r="5083" spans="1:6">
      <c r="A5083" t="s">
        <v>9212</v>
      </c>
      <c r="B5083" t="s">
        <v>1991</v>
      </c>
      <c r="C5083" t="s">
        <v>119</v>
      </c>
      <c r="D5083" s="1">
        <v>45735</v>
      </c>
      <c r="E5083" t="s">
        <v>4129</v>
      </c>
      <c r="F5083" t="s">
        <v>4137</v>
      </c>
    </row>
    <row r="5084" spans="1:6">
      <c r="A5084" t="s">
        <v>9213</v>
      </c>
      <c r="B5084" t="s">
        <v>1991</v>
      </c>
      <c r="C5084" t="s">
        <v>119</v>
      </c>
      <c r="D5084" s="1">
        <v>45727</v>
      </c>
      <c r="E5084" t="s">
        <v>4124</v>
      </c>
      <c r="F5084" t="s">
        <v>4125</v>
      </c>
    </row>
    <row r="5085" spans="1:6">
      <c r="A5085" t="s">
        <v>9214</v>
      </c>
      <c r="B5085" t="s">
        <v>1992</v>
      </c>
      <c r="C5085" t="s">
        <v>46</v>
      </c>
      <c r="D5085" s="1">
        <v>45964</v>
      </c>
      <c r="E5085" t="s">
        <v>4127</v>
      </c>
      <c r="F5085" t="s">
        <v>4139</v>
      </c>
    </row>
    <row r="5086" spans="1:6">
      <c r="A5086" t="s">
        <v>9215</v>
      </c>
      <c r="B5086" t="s">
        <v>1992</v>
      </c>
      <c r="C5086" t="s">
        <v>46</v>
      </c>
      <c r="D5086" s="1">
        <v>45960</v>
      </c>
      <c r="E5086" t="s">
        <v>4127</v>
      </c>
      <c r="F5086" t="s">
        <v>4125</v>
      </c>
    </row>
    <row r="5087" spans="1:6">
      <c r="A5087" t="s">
        <v>9216</v>
      </c>
      <c r="B5087" t="s">
        <v>1992</v>
      </c>
      <c r="C5087" t="s">
        <v>46</v>
      </c>
      <c r="D5087" s="1">
        <v>45970</v>
      </c>
      <c r="E5087" t="s">
        <v>4133</v>
      </c>
      <c r="F5087" t="s">
        <v>4139</v>
      </c>
    </row>
    <row r="5088" spans="1:6">
      <c r="A5088" t="s">
        <v>9217</v>
      </c>
      <c r="B5088" t="s">
        <v>1992</v>
      </c>
      <c r="C5088" t="s">
        <v>46</v>
      </c>
      <c r="D5088" s="1">
        <v>45965</v>
      </c>
      <c r="E5088" t="s">
        <v>4133</v>
      </c>
      <c r="F5088" t="s">
        <v>4137</v>
      </c>
    </row>
    <row r="5089" spans="1:6">
      <c r="A5089" t="s">
        <v>9218</v>
      </c>
      <c r="B5089" t="s">
        <v>1992</v>
      </c>
      <c r="C5089" t="s">
        <v>46</v>
      </c>
      <c r="D5089" s="1">
        <v>45978</v>
      </c>
      <c r="E5089" t="s">
        <v>4127</v>
      </c>
      <c r="F5089" t="s">
        <v>4137</v>
      </c>
    </row>
    <row r="5090" spans="1:6">
      <c r="A5090" t="s">
        <v>9219</v>
      </c>
      <c r="B5090" t="s">
        <v>1993</v>
      </c>
      <c r="C5090" t="s">
        <v>27</v>
      </c>
      <c r="D5090" s="1">
        <v>45850</v>
      </c>
      <c r="E5090" t="s">
        <v>4124</v>
      </c>
      <c r="F5090" t="s">
        <v>4125</v>
      </c>
    </row>
    <row r="5091" spans="1:6">
      <c r="A5091" t="s">
        <v>9220</v>
      </c>
      <c r="B5091" t="s">
        <v>1993</v>
      </c>
      <c r="C5091" t="s">
        <v>27</v>
      </c>
      <c r="D5091" s="1">
        <v>45827</v>
      </c>
      <c r="E5091" t="s">
        <v>4133</v>
      </c>
      <c r="F5091" t="s">
        <v>4139</v>
      </c>
    </row>
    <row r="5092" spans="1:6">
      <c r="A5092" t="s">
        <v>9221</v>
      </c>
      <c r="B5092" t="s">
        <v>1994</v>
      </c>
      <c r="C5092" t="s">
        <v>22</v>
      </c>
      <c r="D5092" s="1">
        <v>45857</v>
      </c>
      <c r="E5092" t="s">
        <v>4127</v>
      </c>
      <c r="F5092" t="s">
        <v>4137</v>
      </c>
    </row>
    <row r="5093" spans="1:6">
      <c r="A5093" t="s">
        <v>9222</v>
      </c>
      <c r="B5093" t="s">
        <v>1994</v>
      </c>
      <c r="C5093" t="s">
        <v>22</v>
      </c>
      <c r="D5093" s="1">
        <v>45861</v>
      </c>
      <c r="E5093" t="s">
        <v>4133</v>
      </c>
      <c r="F5093" t="s">
        <v>4125</v>
      </c>
    </row>
    <row r="5094" spans="1:6">
      <c r="A5094" t="s">
        <v>9223</v>
      </c>
      <c r="B5094" t="s">
        <v>1994</v>
      </c>
      <c r="C5094" t="s">
        <v>22</v>
      </c>
      <c r="D5094" s="1">
        <v>45853</v>
      </c>
      <c r="E5094" t="s">
        <v>4129</v>
      </c>
      <c r="F5094" t="s">
        <v>4125</v>
      </c>
    </row>
    <row r="5095" spans="1:6">
      <c r="A5095" t="s">
        <v>9224</v>
      </c>
      <c r="B5095" t="s">
        <v>1994</v>
      </c>
      <c r="C5095" t="s">
        <v>22</v>
      </c>
      <c r="D5095" s="1">
        <v>45848</v>
      </c>
      <c r="E5095" t="s">
        <v>4135</v>
      </c>
      <c r="F5095" t="s">
        <v>4137</v>
      </c>
    </row>
    <row r="5096" spans="1:6">
      <c r="A5096" t="s">
        <v>9225</v>
      </c>
      <c r="B5096" t="s">
        <v>1994</v>
      </c>
      <c r="C5096" t="s">
        <v>22</v>
      </c>
      <c r="D5096" s="1">
        <v>45881</v>
      </c>
      <c r="E5096" t="s">
        <v>4129</v>
      </c>
      <c r="F5096" t="s">
        <v>4137</v>
      </c>
    </row>
    <row r="5097" spans="1:6">
      <c r="A5097" t="s">
        <v>9226</v>
      </c>
      <c r="B5097" t="s">
        <v>1995</v>
      </c>
      <c r="C5097" t="s">
        <v>46</v>
      </c>
      <c r="D5097" s="1">
        <v>45874</v>
      </c>
      <c r="E5097" t="s">
        <v>4124</v>
      </c>
      <c r="F5097" t="s">
        <v>4125</v>
      </c>
    </row>
    <row r="5098" spans="1:6">
      <c r="A5098" t="s">
        <v>9227</v>
      </c>
      <c r="B5098" t="s">
        <v>1995</v>
      </c>
      <c r="C5098" t="s">
        <v>46</v>
      </c>
      <c r="D5098" s="1">
        <v>45883</v>
      </c>
      <c r="E5098" t="s">
        <v>4129</v>
      </c>
      <c r="F5098" t="s">
        <v>4139</v>
      </c>
    </row>
    <row r="5099" spans="1:6">
      <c r="A5099" t="s">
        <v>9228</v>
      </c>
      <c r="B5099" t="s">
        <v>1995</v>
      </c>
      <c r="C5099" t="s">
        <v>46</v>
      </c>
      <c r="D5099" s="1">
        <v>45871</v>
      </c>
      <c r="E5099" t="s">
        <v>4133</v>
      </c>
      <c r="F5099" t="s">
        <v>4125</v>
      </c>
    </row>
    <row r="5100" spans="1:6">
      <c r="A5100" t="s">
        <v>9229</v>
      </c>
      <c r="B5100" t="s">
        <v>1995</v>
      </c>
      <c r="C5100" t="s">
        <v>46</v>
      </c>
      <c r="D5100" s="1">
        <v>45887</v>
      </c>
      <c r="E5100" t="s">
        <v>4135</v>
      </c>
      <c r="F5100" t="s">
        <v>4139</v>
      </c>
    </row>
    <row r="5101" spans="1:6">
      <c r="A5101" t="s">
        <v>9230</v>
      </c>
      <c r="B5101" t="s">
        <v>1995</v>
      </c>
      <c r="C5101" t="s">
        <v>46</v>
      </c>
      <c r="D5101" s="1">
        <v>45879</v>
      </c>
      <c r="E5101" t="s">
        <v>4135</v>
      </c>
      <c r="F5101" t="s">
        <v>4125</v>
      </c>
    </row>
    <row r="5102" spans="1:6">
      <c r="A5102" t="s">
        <v>9231</v>
      </c>
      <c r="B5102" t="s">
        <v>1996</v>
      </c>
      <c r="C5102" t="s">
        <v>56</v>
      </c>
      <c r="D5102" s="1">
        <v>45781</v>
      </c>
      <c r="E5102" t="s">
        <v>4135</v>
      </c>
      <c r="F5102" t="s">
        <v>4125</v>
      </c>
    </row>
    <row r="5103" spans="1:6">
      <c r="A5103" t="s">
        <v>9232</v>
      </c>
      <c r="B5103" t="s">
        <v>1996</v>
      </c>
      <c r="C5103" t="s">
        <v>56</v>
      </c>
      <c r="D5103" s="1">
        <v>45778</v>
      </c>
      <c r="E5103" t="s">
        <v>4129</v>
      </c>
      <c r="F5103" t="s">
        <v>4125</v>
      </c>
    </row>
    <row r="5104" spans="1:6">
      <c r="A5104" t="s">
        <v>9233</v>
      </c>
      <c r="B5104" t="s">
        <v>1996</v>
      </c>
      <c r="C5104" t="s">
        <v>56</v>
      </c>
      <c r="D5104" s="1">
        <v>45778</v>
      </c>
      <c r="E5104" t="s">
        <v>4135</v>
      </c>
      <c r="F5104" t="s">
        <v>4139</v>
      </c>
    </row>
    <row r="5105" spans="1:6">
      <c r="A5105" t="s">
        <v>9234</v>
      </c>
      <c r="B5105" t="s">
        <v>1996</v>
      </c>
      <c r="C5105" t="s">
        <v>56</v>
      </c>
      <c r="D5105" s="1">
        <v>45797</v>
      </c>
      <c r="E5105" t="s">
        <v>4135</v>
      </c>
      <c r="F5105" t="s">
        <v>4125</v>
      </c>
    </row>
    <row r="5106" spans="1:6">
      <c r="A5106" t="s">
        <v>9235</v>
      </c>
      <c r="B5106" t="s">
        <v>1997</v>
      </c>
      <c r="C5106" t="s">
        <v>56</v>
      </c>
      <c r="D5106" s="1">
        <v>46022</v>
      </c>
      <c r="E5106" t="s">
        <v>4127</v>
      </c>
      <c r="F5106" t="s">
        <v>4137</v>
      </c>
    </row>
    <row r="5107" spans="1:6">
      <c r="A5107" t="s">
        <v>9236</v>
      </c>
      <c r="B5107" t="s">
        <v>1997</v>
      </c>
      <c r="C5107" t="s">
        <v>56</v>
      </c>
      <c r="D5107" s="1">
        <v>46020</v>
      </c>
      <c r="E5107" t="s">
        <v>4135</v>
      </c>
      <c r="F5107" t="s">
        <v>4125</v>
      </c>
    </row>
    <row r="5108" spans="1:6">
      <c r="A5108" t="s">
        <v>9237</v>
      </c>
      <c r="B5108" t="s">
        <v>1997</v>
      </c>
      <c r="C5108" t="s">
        <v>56</v>
      </c>
      <c r="D5108" s="1">
        <v>46022</v>
      </c>
      <c r="E5108" t="s">
        <v>4124</v>
      </c>
      <c r="F5108" t="s">
        <v>4139</v>
      </c>
    </row>
    <row r="5109" spans="1:6">
      <c r="A5109" t="s">
        <v>9238</v>
      </c>
      <c r="B5109" t="s">
        <v>1998</v>
      </c>
      <c r="C5109" t="s">
        <v>75</v>
      </c>
      <c r="D5109" s="1">
        <v>45748</v>
      </c>
      <c r="E5109" t="s">
        <v>4127</v>
      </c>
      <c r="F5109" t="s">
        <v>4139</v>
      </c>
    </row>
    <row r="5110" spans="1:6">
      <c r="A5110" t="s">
        <v>9239</v>
      </c>
      <c r="B5110" t="s">
        <v>1998</v>
      </c>
      <c r="C5110" t="s">
        <v>75</v>
      </c>
      <c r="D5110" s="1">
        <v>45791</v>
      </c>
      <c r="E5110" t="s">
        <v>4133</v>
      </c>
      <c r="F5110" t="s">
        <v>4139</v>
      </c>
    </row>
    <row r="5111" spans="1:6">
      <c r="A5111" t="s">
        <v>9240</v>
      </c>
      <c r="B5111" t="s">
        <v>1998</v>
      </c>
      <c r="C5111" t="s">
        <v>75</v>
      </c>
      <c r="D5111" s="1">
        <v>45776</v>
      </c>
      <c r="E5111" t="s">
        <v>4133</v>
      </c>
      <c r="F5111" t="s">
        <v>4137</v>
      </c>
    </row>
    <row r="5112" spans="1:6">
      <c r="A5112" t="s">
        <v>9241</v>
      </c>
      <c r="B5112" t="s">
        <v>1998</v>
      </c>
      <c r="C5112" t="s">
        <v>75</v>
      </c>
      <c r="D5112" s="1">
        <v>45774</v>
      </c>
      <c r="E5112" t="s">
        <v>4135</v>
      </c>
      <c r="F5112" t="s">
        <v>4125</v>
      </c>
    </row>
    <row r="5113" spans="1:6">
      <c r="A5113" t="s">
        <v>9242</v>
      </c>
      <c r="B5113" t="s">
        <v>1998</v>
      </c>
      <c r="C5113" t="s">
        <v>75</v>
      </c>
      <c r="D5113" s="1">
        <v>45737</v>
      </c>
      <c r="E5113" t="s">
        <v>4127</v>
      </c>
      <c r="F5113" t="s">
        <v>4125</v>
      </c>
    </row>
    <row r="5114" spans="1:6">
      <c r="A5114" t="s">
        <v>9243</v>
      </c>
      <c r="B5114" t="s">
        <v>1999</v>
      </c>
      <c r="C5114" t="s">
        <v>70</v>
      </c>
      <c r="D5114" s="1">
        <v>46021</v>
      </c>
      <c r="E5114" t="s">
        <v>4129</v>
      </c>
      <c r="F5114" t="s">
        <v>4139</v>
      </c>
    </row>
    <row r="5115" spans="1:6">
      <c r="A5115" t="s">
        <v>9244</v>
      </c>
      <c r="B5115" t="s">
        <v>1999</v>
      </c>
      <c r="C5115" t="s">
        <v>70</v>
      </c>
      <c r="D5115" s="1">
        <v>46020</v>
      </c>
      <c r="E5115" t="s">
        <v>4135</v>
      </c>
      <c r="F5115" t="s">
        <v>4137</v>
      </c>
    </row>
    <row r="5116" spans="1:6">
      <c r="A5116" t="s">
        <v>9245</v>
      </c>
      <c r="B5116" t="s">
        <v>2000</v>
      </c>
      <c r="C5116" t="s">
        <v>91</v>
      </c>
      <c r="D5116" s="1">
        <v>45848</v>
      </c>
      <c r="E5116" t="s">
        <v>4133</v>
      </c>
      <c r="F5116" t="s">
        <v>4137</v>
      </c>
    </row>
    <row r="5117" spans="1:6">
      <c r="A5117" t="s">
        <v>9246</v>
      </c>
      <c r="B5117" t="s">
        <v>2000</v>
      </c>
      <c r="C5117" t="s">
        <v>91</v>
      </c>
      <c r="D5117" s="1">
        <v>45816</v>
      </c>
      <c r="E5117" t="s">
        <v>4129</v>
      </c>
      <c r="F5117" t="s">
        <v>4125</v>
      </c>
    </row>
    <row r="5118" spans="1:6">
      <c r="A5118" t="s">
        <v>9247</v>
      </c>
      <c r="B5118" t="s">
        <v>2001</v>
      </c>
      <c r="C5118" t="s">
        <v>16</v>
      </c>
      <c r="D5118" s="1">
        <v>45921</v>
      </c>
      <c r="E5118" t="s">
        <v>4127</v>
      </c>
      <c r="F5118" t="s">
        <v>4137</v>
      </c>
    </row>
    <row r="5119" spans="1:6">
      <c r="A5119" t="s">
        <v>9248</v>
      </c>
      <c r="B5119" t="s">
        <v>2001</v>
      </c>
      <c r="C5119" t="s">
        <v>16</v>
      </c>
      <c r="D5119" s="1">
        <v>45889</v>
      </c>
      <c r="E5119" t="s">
        <v>4135</v>
      </c>
      <c r="F5119" t="s">
        <v>4125</v>
      </c>
    </row>
    <row r="5120" spans="1:6">
      <c r="A5120" t="s">
        <v>9249</v>
      </c>
      <c r="B5120" t="s">
        <v>2001</v>
      </c>
      <c r="C5120" t="s">
        <v>16</v>
      </c>
      <c r="D5120" s="1">
        <v>45916</v>
      </c>
      <c r="E5120" t="s">
        <v>4124</v>
      </c>
      <c r="F5120" t="s">
        <v>4125</v>
      </c>
    </row>
    <row r="5121" spans="1:6">
      <c r="A5121" t="s">
        <v>9250</v>
      </c>
      <c r="B5121" t="s">
        <v>2001</v>
      </c>
      <c r="C5121" t="s">
        <v>16</v>
      </c>
      <c r="D5121" s="1">
        <v>45913</v>
      </c>
      <c r="E5121" t="s">
        <v>4129</v>
      </c>
      <c r="F5121" t="s">
        <v>4137</v>
      </c>
    </row>
    <row r="5122" spans="1:6">
      <c r="A5122" t="s">
        <v>9251</v>
      </c>
      <c r="B5122" t="s">
        <v>2002</v>
      </c>
      <c r="C5122" t="s">
        <v>152</v>
      </c>
      <c r="D5122" s="1">
        <v>45959</v>
      </c>
      <c r="E5122" t="s">
        <v>4133</v>
      </c>
      <c r="F5122" t="s">
        <v>4137</v>
      </c>
    </row>
    <row r="5123" spans="1:6">
      <c r="A5123" t="s">
        <v>9252</v>
      </c>
      <c r="B5123" t="s">
        <v>2002</v>
      </c>
      <c r="C5123" t="s">
        <v>152</v>
      </c>
      <c r="D5123" s="1">
        <v>45957</v>
      </c>
      <c r="E5123" t="s">
        <v>4135</v>
      </c>
      <c r="F5123" t="s">
        <v>4139</v>
      </c>
    </row>
    <row r="5124" spans="1:6">
      <c r="A5124" t="s">
        <v>9253</v>
      </c>
      <c r="B5124" t="s">
        <v>2002</v>
      </c>
      <c r="C5124" t="s">
        <v>152</v>
      </c>
      <c r="D5124" s="1">
        <v>45950</v>
      </c>
      <c r="E5124" t="s">
        <v>4133</v>
      </c>
      <c r="F5124" t="s">
        <v>4139</v>
      </c>
    </row>
    <row r="5125" spans="1:6">
      <c r="A5125" t="s">
        <v>9254</v>
      </c>
      <c r="B5125" t="s">
        <v>2002</v>
      </c>
      <c r="C5125" t="s">
        <v>152</v>
      </c>
      <c r="D5125" s="1">
        <v>45887</v>
      </c>
      <c r="E5125" t="s">
        <v>4135</v>
      </c>
      <c r="F5125" t="s">
        <v>4125</v>
      </c>
    </row>
    <row r="5126" spans="1:6">
      <c r="A5126" t="s">
        <v>9255</v>
      </c>
      <c r="B5126" t="s">
        <v>2002</v>
      </c>
      <c r="C5126" t="s">
        <v>152</v>
      </c>
      <c r="D5126" s="1">
        <v>45923</v>
      </c>
      <c r="E5126" t="s">
        <v>4133</v>
      </c>
      <c r="F5126" t="s">
        <v>4137</v>
      </c>
    </row>
    <row r="5127" spans="1:6">
      <c r="A5127" t="s">
        <v>9256</v>
      </c>
      <c r="B5127" t="s">
        <v>2003</v>
      </c>
      <c r="C5127" t="s">
        <v>16</v>
      </c>
      <c r="D5127" s="1">
        <v>46014</v>
      </c>
      <c r="E5127" t="s">
        <v>4133</v>
      </c>
      <c r="F5127" t="s">
        <v>4139</v>
      </c>
    </row>
    <row r="5128" spans="1:6">
      <c r="A5128" t="s">
        <v>9257</v>
      </c>
      <c r="B5128" t="s">
        <v>2003</v>
      </c>
      <c r="C5128" t="s">
        <v>16</v>
      </c>
      <c r="D5128" s="1">
        <v>46008</v>
      </c>
      <c r="E5128" t="s">
        <v>4133</v>
      </c>
      <c r="F5128" t="s">
        <v>4125</v>
      </c>
    </row>
    <row r="5129" spans="1:6">
      <c r="A5129" t="s">
        <v>9258</v>
      </c>
      <c r="B5129" t="s">
        <v>2003</v>
      </c>
      <c r="C5129" t="s">
        <v>16</v>
      </c>
      <c r="D5129" s="1">
        <v>46006</v>
      </c>
      <c r="E5129" t="s">
        <v>4129</v>
      </c>
      <c r="F5129" t="s">
        <v>4125</v>
      </c>
    </row>
    <row r="5130" spans="1:6">
      <c r="A5130" t="s">
        <v>9259</v>
      </c>
      <c r="B5130" t="s">
        <v>2004</v>
      </c>
      <c r="C5130" t="s">
        <v>126</v>
      </c>
      <c r="D5130" s="1">
        <v>45977</v>
      </c>
      <c r="E5130" t="s">
        <v>4124</v>
      </c>
      <c r="F5130" t="s">
        <v>4125</v>
      </c>
    </row>
    <row r="5131" spans="1:6">
      <c r="A5131" t="s">
        <v>9260</v>
      </c>
      <c r="B5131" t="s">
        <v>2004</v>
      </c>
      <c r="C5131" t="s">
        <v>126</v>
      </c>
      <c r="D5131" s="1">
        <v>45950</v>
      </c>
      <c r="E5131" t="s">
        <v>4127</v>
      </c>
      <c r="F5131" t="s">
        <v>4139</v>
      </c>
    </row>
    <row r="5132" spans="1:6">
      <c r="A5132" t="s">
        <v>9261</v>
      </c>
      <c r="B5132" t="s">
        <v>2005</v>
      </c>
      <c r="C5132" t="s">
        <v>126</v>
      </c>
      <c r="D5132" s="1">
        <v>45985</v>
      </c>
      <c r="E5132" t="s">
        <v>4133</v>
      </c>
      <c r="F5132" t="s">
        <v>4125</v>
      </c>
    </row>
    <row r="5133" spans="1:6">
      <c r="A5133" t="s">
        <v>9262</v>
      </c>
      <c r="B5133" t="s">
        <v>2005</v>
      </c>
      <c r="C5133" t="s">
        <v>126</v>
      </c>
      <c r="D5133" s="1">
        <v>45966</v>
      </c>
      <c r="E5133" t="s">
        <v>4135</v>
      </c>
      <c r="F5133" t="s">
        <v>4139</v>
      </c>
    </row>
    <row r="5134" spans="1:6">
      <c r="A5134" t="s">
        <v>9263</v>
      </c>
      <c r="B5134" t="s">
        <v>2005</v>
      </c>
      <c r="C5134" t="s">
        <v>126</v>
      </c>
      <c r="D5134" s="1">
        <v>45987</v>
      </c>
      <c r="E5134" t="s">
        <v>4124</v>
      </c>
      <c r="F5134" t="s">
        <v>4137</v>
      </c>
    </row>
    <row r="5135" spans="1:6">
      <c r="A5135" t="s">
        <v>9264</v>
      </c>
      <c r="B5135" t="s">
        <v>2006</v>
      </c>
      <c r="C5135" t="s">
        <v>91</v>
      </c>
      <c r="D5135" s="1">
        <v>45963</v>
      </c>
      <c r="E5135" t="s">
        <v>4135</v>
      </c>
      <c r="F5135" t="s">
        <v>4125</v>
      </c>
    </row>
    <row r="5136" spans="1:6">
      <c r="A5136" t="s">
        <v>9265</v>
      </c>
      <c r="B5136" t="s">
        <v>2006</v>
      </c>
      <c r="C5136" t="s">
        <v>91</v>
      </c>
      <c r="D5136" s="1">
        <v>45976</v>
      </c>
      <c r="E5136" t="s">
        <v>4135</v>
      </c>
      <c r="F5136" t="s">
        <v>4137</v>
      </c>
    </row>
    <row r="5137" spans="1:6">
      <c r="A5137" t="s">
        <v>9266</v>
      </c>
      <c r="B5137" t="s">
        <v>2006</v>
      </c>
      <c r="C5137" t="s">
        <v>91</v>
      </c>
      <c r="D5137" s="1">
        <v>45968</v>
      </c>
      <c r="E5137" t="s">
        <v>4129</v>
      </c>
      <c r="F5137" t="s">
        <v>4125</v>
      </c>
    </row>
    <row r="5138" spans="1:6">
      <c r="A5138" t="s">
        <v>9267</v>
      </c>
      <c r="B5138" t="s">
        <v>2006</v>
      </c>
      <c r="C5138" t="s">
        <v>91</v>
      </c>
      <c r="D5138" s="1">
        <v>45930</v>
      </c>
      <c r="E5138" t="s">
        <v>4135</v>
      </c>
      <c r="F5138" t="s">
        <v>4125</v>
      </c>
    </row>
    <row r="5139" spans="1:6">
      <c r="A5139" t="s">
        <v>9268</v>
      </c>
      <c r="B5139" t="s">
        <v>2006</v>
      </c>
      <c r="C5139" t="s">
        <v>91</v>
      </c>
      <c r="D5139" s="1">
        <v>45976</v>
      </c>
      <c r="E5139" t="s">
        <v>4135</v>
      </c>
      <c r="F5139" t="s">
        <v>4125</v>
      </c>
    </row>
    <row r="5140" spans="1:6">
      <c r="A5140" t="s">
        <v>9269</v>
      </c>
      <c r="B5140" t="s">
        <v>2007</v>
      </c>
      <c r="C5140" t="s">
        <v>70</v>
      </c>
      <c r="D5140" s="1">
        <v>45959</v>
      </c>
      <c r="E5140" t="s">
        <v>4129</v>
      </c>
      <c r="F5140" t="s">
        <v>4137</v>
      </c>
    </row>
    <row r="5141" spans="1:6">
      <c r="A5141" t="s">
        <v>9270</v>
      </c>
      <c r="B5141" t="s">
        <v>2007</v>
      </c>
      <c r="C5141" t="s">
        <v>70</v>
      </c>
      <c r="D5141" s="1">
        <v>45954</v>
      </c>
      <c r="E5141" t="s">
        <v>4129</v>
      </c>
      <c r="F5141" t="s">
        <v>4125</v>
      </c>
    </row>
    <row r="5142" spans="1:6">
      <c r="A5142" t="s">
        <v>9271</v>
      </c>
      <c r="B5142" t="s">
        <v>2007</v>
      </c>
      <c r="C5142" t="s">
        <v>70</v>
      </c>
      <c r="D5142" s="1">
        <v>45946</v>
      </c>
      <c r="E5142" t="s">
        <v>4124</v>
      </c>
      <c r="F5142" t="s">
        <v>4137</v>
      </c>
    </row>
    <row r="5143" spans="1:6">
      <c r="A5143" t="s">
        <v>9272</v>
      </c>
      <c r="B5143" t="s">
        <v>2007</v>
      </c>
      <c r="C5143" t="s">
        <v>70</v>
      </c>
      <c r="D5143" s="1">
        <v>45953</v>
      </c>
      <c r="E5143" t="s">
        <v>4124</v>
      </c>
      <c r="F5143" t="s">
        <v>4125</v>
      </c>
    </row>
    <row r="5144" spans="1:6">
      <c r="A5144" t="s">
        <v>9273</v>
      </c>
      <c r="B5144" t="s">
        <v>2007</v>
      </c>
      <c r="C5144" t="s">
        <v>70</v>
      </c>
      <c r="D5144" s="1">
        <v>45928</v>
      </c>
      <c r="E5144" t="s">
        <v>4129</v>
      </c>
      <c r="F5144" t="s">
        <v>4137</v>
      </c>
    </row>
    <row r="5145" spans="1:6">
      <c r="A5145" t="s">
        <v>9274</v>
      </c>
      <c r="B5145" t="s">
        <v>2008</v>
      </c>
      <c r="C5145" t="s">
        <v>119</v>
      </c>
      <c r="D5145" s="1">
        <v>45791</v>
      </c>
      <c r="E5145" t="s">
        <v>4135</v>
      </c>
      <c r="F5145" t="s">
        <v>4139</v>
      </c>
    </row>
    <row r="5146" spans="1:6">
      <c r="A5146" t="s">
        <v>9275</v>
      </c>
      <c r="B5146" t="s">
        <v>2008</v>
      </c>
      <c r="C5146" t="s">
        <v>119</v>
      </c>
      <c r="D5146" s="1">
        <v>45784</v>
      </c>
      <c r="E5146" t="s">
        <v>4127</v>
      </c>
      <c r="F5146" t="s">
        <v>4125</v>
      </c>
    </row>
    <row r="5147" spans="1:6">
      <c r="A5147" t="s">
        <v>9276</v>
      </c>
      <c r="B5147" t="s">
        <v>2008</v>
      </c>
      <c r="C5147" t="s">
        <v>119</v>
      </c>
      <c r="D5147" s="1">
        <v>45782</v>
      </c>
      <c r="E5147" t="s">
        <v>4133</v>
      </c>
      <c r="F5147" t="s">
        <v>4137</v>
      </c>
    </row>
    <row r="5148" spans="1:6">
      <c r="A5148" t="s">
        <v>9277</v>
      </c>
      <c r="B5148" t="s">
        <v>2008</v>
      </c>
      <c r="C5148" t="s">
        <v>119</v>
      </c>
      <c r="D5148" s="1">
        <v>45790</v>
      </c>
      <c r="E5148" t="s">
        <v>4127</v>
      </c>
      <c r="F5148" t="s">
        <v>4125</v>
      </c>
    </row>
    <row r="5149" spans="1:6">
      <c r="A5149" t="s">
        <v>9278</v>
      </c>
      <c r="B5149" t="s">
        <v>2008</v>
      </c>
      <c r="C5149" t="s">
        <v>119</v>
      </c>
      <c r="D5149" s="1">
        <v>45791</v>
      </c>
      <c r="E5149" t="s">
        <v>4129</v>
      </c>
      <c r="F5149" t="s">
        <v>4125</v>
      </c>
    </row>
    <row r="5150" spans="1:6">
      <c r="A5150" t="s">
        <v>9279</v>
      </c>
      <c r="B5150" t="s">
        <v>2009</v>
      </c>
      <c r="C5150" t="s">
        <v>50</v>
      </c>
      <c r="D5150" s="1">
        <v>45957</v>
      </c>
      <c r="E5150" t="s">
        <v>4135</v>
      </c>
      <c r="F5150" t="s">
        <v>4137</v>
      </c>
    </row>
    <row r="5151" spans="1:6">
      <c r="A5151" t="s">
        <v>9280</v>
      </c>
      <c r="B5151" t="s">
        <v>2009</v>
      </c>
      <c r="C5151" t="s">
        <v>50</v>
      </c>
      <c r="D5151" s="1">
        <v>45964</v>
      </c>
      <c r="E5151" t="s">
        <v>4127</v>
      </c>
      <c r="F5151" t="s">
        <v>4139</v>
      </c>
    </row>
    <row r="5152" spans="1:6">
      <c r="A5152" t="s">
        <v>9281</v>
      </c>
      <c r="B5152" t="s">
        <v>2009</v>
      </c>
      <c r="C5152" t="s">
        <v>50</v>
      </c>
      <c r="D5152" s="1">
        <v>45923</v>
      </c>
      <c r="E5152" t="s">
        <v>4129</v>
      </c>
      <c r="F5152" t="s">
        <v>4125</v>
      </c>
    </row>
    <row r="5153" spans="1:6">
      <c r="A5153" t="s">
        <v>9282</v>
      </c>
      <c r="B5153" t="s">
        <v>2009</v>
      </c>
      <c r="C5153" t="s">
        <v>50</v>
      </c>
      <c r="D5153" s="1">
        <v>45971</v>
      </c>
      <c r="E5153" t="s">
        <v>4124</v>
      </c>
      <c r="F5153" t="s">
        <v>4137</v>
      </c>
    </row>
    <row r="5154" spans="1:6">
      <c r="A5154" t="s">
        <v>9283</v>
      </c>
      <c r="B5154" t="s">
        <v>2010</v>
      </c>
      <c r="C5154" t="s">
        <v>16</v>
      </c>
      <c r="D5154" s="1">
        <v>46010</v>
      </c>
      <c r="E5154" t="s">
        <v>4124</v>
      </c>
      <c r="F5154" t="s">
        <v>4137</v>
      </c>
    </row>
    <row r="5155" spans="1:6">
      <c r="A5155" t="s">
        <v>9284</v>
      </c>
      <c r="B5155" t="s">
        <v>2010</v>
      </c>
      <c r="C5155" t="s">
        <v>16</v>
      </c>
      <c r="D5155" s="1">
        <v>46004</v>
      </c>
      <c r="E5155" t="s">
        <v>4129</v>
      </c>
      <c r="F5155" t="s">
        <v>4137</v>
      </c>
    </row>
    <row r="5156" spans="1:6">
      <c r="A5156" t="s">
        <v>9285</v>
      </c>
      <c r="B5156" t="s">
        <v>2011</v>
      </c>
      <c r="C5156" t="s">
        <v>70</v>
      </c>
      <c r="D5156" s="1">
        <v>45708</v>
      </c>
      <c r="E5156" t="s">
        <v>4135</v>
      </c>
      <c r="F5156" t="s">
        <v>4139</v>
      </c>
    </row>
    <row r="5157" spans="1:6">
      <c r="A5157" t="s">
        <v>9286</v>
      </c>
      <c r="B5157" t="s">
        <v>2011</v>
      </c>
      <c r="C5157" t="s">
        <v>70</v>
      </c>
      <c r="D5157" s="1">
        <v>45688</v>
      </c>
      <c r="E5157" t="s">
        <v>4127</v>
      </c>
      <c r="F5157" t="s">
        <v>4125</v>
      </c>
    </row>
    <row r="5158" spans="1:6">
      <c r="A5158" t="s">
        <v>9287</v>
      </c>
      <c r="B5158" t="s">
        <v>2012</v>
      </c>
      <c r="C5158" t="s">
        <v>75</v>
      </c>
      <c r="D5158" s="1">
        <v>45755</v>
      </c>
      <c r="E5158" t="s">
        <v>4129</v>
      </c>
      <c r="F5158" t="s">
        <v>4139</v>
      </c>
    </row>
    <row r="5159" spans="1:6">
      <c r="A5159" t="s">
        <v>9288</v>
      </c>
      <c r="B5159" t="s">
        <v>2012</v>
      </c>
      <c r="C5159" t="s">
        <v>75</v>
      </c>
      <c r="D5159" s="1">
        <v>45761</v>
      </c>
      <c r="E5159" t="s">
        <v>4124</v>
      </c>
      <c r="F5159" t="s">
        <v>4137</v>
      </c>
    </row>
    <row r="5160" spans="1:6">
      <c r="A5160" t="s">
        <v>9289</v>
      </c>
      <c r="B5160" t="s">
        <v>2012</v>
      </c>
      <c r="C5160" t="s">
        <v>75</v>
      </c>
      <c r="D5160" s="1">
        <v>45763</v>
      </c>
      <c r="E5160" t="s">
        <v>4133</v>
      </c>
      <c r="F5160" t="s">
        <v>4125</v>
      </c>
    </row>
    <row r="5161" spans="1:6">
      <c r="A5161" t="s">
        <v>9290</v>
      </c>
      <c r="B5161" t="s">
        <v>2013</v>
      </c>
      <c r="C5161" t="s">
        <v>40</v>
      </c>
      <c r="D5161" s="1">
        <v>45893</v>
      </c>
      <c r="E5161" t="s">
        <v>4135</v>
      </c>
      <c r="F5161" t="s">
        <v>4139</v>
      </c>
    </row>
    <row r="5162" spans="1:6">
      <c r="A5162" t="s">
        <v>9291</v>
      </c>
      <c r="B5162" t="s">
        <v>2013</v>
      </c>
      <c r="C5162" t="s">
        <v>40</v>
      </c>
      <c r="D5162" s="1">
        <v>45885</v>
      </c>
      <c r="E5162" t="s">
        <v>4129</v>
      </c>
      <c r="F5162" t="s">
        <v>4139</v>
      </c>
    </row>
    <row r="5163" spans="1:6">
      <c r="A5163" t="s">
        <v>9292</v>
      </c>
      <c r="B5163" t="s">
        <v>2014</v>
      </c>
      <c r="C5163" t="s">
        <v>75</v>
      </c>
      <c r="D5163" s="1">
        <v>45904</v>
      </c>
      <c r="E5163" t="s">
        <v>4127</v>
      </c>
      <c r="F5163" t="s">
        <v>4137</v>
      </c>
    </row>
    <row r="5164" spans="1:6">
      <c r="A5164" t="s">
        <v>9293</v>
      </c>
      <c r="B5164" t="s">
        <v>2014</v>
      </c>
      <c r="C5164" t="s">
        <v>75</v>
      </c>
      <c r="D5164" s="1">
        <v>45899</v>
      </c>
      <c r="E5164" t="s">
        <v>4124</v>
      </c>
      <c r="F5164" t="s">
        <v>4139</v>
      </c>
    </row>
    <row r="5165" spans="1:6">
      <c r="A5165" t="s">
        <v>9294</v>
      </c>
      <c r="B5165" t="s">
        <v>2015</v>
      </c>
      <c r="C5165" t="s">
        <v>56</v>
      </c>
      <c r="D5165" s="1">
        <v>45747</v>
      </c>
      <c r="E5165" t="s">
        <v>4124</v>
      </c>
      <c r="F5165" t="s">
        <v>4125</v>
      </c>
    </row>
    <row r="5166" spans="1:6">
      <c r="A5166" t="s">
        <v>9295</v>
      </c>
      <c r="B5166" t="s">
        <v>2015</v>
      </c>
      <c r="C5166" t="s">
        <v>56</v>
      </c>
      <c r="D5166" s="1">
        <v>45747</v>
      </c>
      <c r="E5166" t="s">
        <v>4135</v>
      </c>
      <c r="F5166" t="s">
        <v>4137</v>
      </c>
    </row>
    <row r="5167" spans="1:6">
      <c r="A5167" t="s">
        <v>9296</v>
      </c>
      <c r="B5167" t="s">
        <v>2015</v>
      </c>
      <c r="C5167" t="s">
        <v>56</v>
      </c>
      <c r="D5167" s="1">
        <v>45738</v>
      </c>
      <c r="E5167" t="s">
        <v>4133</v>
      </c>
      <c r="F5167" t="s">
        <v>4125</v>
      </c>
    </row>
    <row r="5168" spans="1:6">
      <c r="A5168" t="s">
        <v>9297</v>
      </c>
      <c r="B5168" t="s">
        <v>2015</v>
      </c>
      <c r="C5168" t="s">
        <v>56</v>
      </c>
      <c r="D5168" s="1">
        <v>45741</v>
      </c>
      <c r="E5168" t="s">
        <v>4135</v>
      </c>
      <c r="F5168" t="s">
        <v>4137</v>
      </c>
    </row>
    <row r="5169" spans="1:6">
      <c r="A5169" t="s">
        <v>9298</v>
      </c>
      <c r="B5169" t="s">
        <v>2016</v>
      </c>
      <c r="C5169" t="s">
        <v>40</v>
      </c>
      <c r="D5169" s="1">
        <v>45997</v>
      </c>
      <c r="E5169" t="s">
        <v>4135</v>
      </c>
      <c r="F5169" t="s">
        <v>4125</v>
      </c>
    </row>
    <row r="5170" spans="1:6">
      <c r="A5170" t="s">
        <v>9299</v>
      </c>
      <c r="B5170" t="s">
        <v>2016</v>
      </c>
      <c r="C5170" t="s">
        <v>40</v>
      </c>
      <c r="D5170" s="1">
        <v>45988</v>
      </c>
      <c r="E5170" t="s">
        <v>4133</v>
      </c>
      <c r="F5170" t="s">
        <v>4139</v>
      </c>
    </row>
    <row r="5171" spans="1:6">
      <c r="A5171" t="s">
        <v>9300</v>
      </c>
      <c r="B5171" t="s">
        <v>2016</v>
      </c>
      <c r="C5171" t="s">
        <v>40</v>
      </c>
      <c r="D5171" s="1">
        <v>45979</v>
      </c>
      <c r="E5171" t="s">
        <v>4127</v>
      </c>
      <c r="F5171" t="s">
        <v>4137</v>
      </c>
    </row>
    <row r="5172" spans="1:6">
      <c r="A5172" t="s">
        <v>9301</v>
      </c>
      <c r="B5172" t="s">
        <v>2016</v>
      </c>
      <c r="C5172" t="s">
        <v>40</v>
      </c>
      <c r="D5172" s="1">
        <v>45997</v>
      </c>
      <c r="E5172" t="s">
        <v>4135</v>
      </c>
      <c r="F5172" t="s">
        <v>4125</v>
      </c>
    </row>
    <row r="5173" spans="1:6">
      <c r="A5173" t="s">
        <v>9302</v>
      </c>
      <c r="B5173" t="s">
        <v>2016</v>
      </c>
      <c r="C5173" t="s">
        <v>40</v>
      </c>
      <c r="D5173" s="1">
        <v>45984</v>
      </c>
      <c r="E5173" t="s">
        <v>4133</v>
      </c>
      <c r="F5173" t="s">
        <v>4125</v>
      </c>
    </row>
    <row r="5174" spans="1:6">
      <c r="A5174" t="s">
        <v>9303</v>
      </c>
      <c r="B5174" t="s">
        <v>2018</v>
      </c>
      <c r="C5174" t="s">
        <v>152</v>
      </c>
      <c r="D5174" s="1">
        <v>45827</v>
      </c>
      <c r="E5174" t="s">
        <v>4129</v>
      </c>
      <c r="F5174" t="s">
        <v>4137</v>
      </c>
    </row>
    <row r="5175" spans="1:6">
      <c r="A5175" t="s">
        <v>9304</v>
      </c>
      <c r="B5175" t="s">
        <v>2018</v>
      </c>
      <c r="C5175" t="s">
        <v>152</v>
      </c>
      <c r="D5175" s="1">
        <v>45833</v>
      </c>
      <c r="E5175" t="s">
        <v>4124</v>
      </c>
      <c r="F5175" t="s">
        <v>4125</v>
      </c>
    </row>
    <row r="5176" spans="1:6">
      <c r="A5176" t="s">
        <v>9305</v>
      </c>
      <c r="B5176" t="s">
        <v>2018</v>
      </c>
      <c r="C5176" t="s">
        <v>152</v>
      </c>
      <c r="D5176" s="1">
        <v>45837</v>
      </c>
      <c r="E5176" t="s">
        <v>4127</v>
      </c>
      <c r="F5176" t="s">
        <v>4137</v>
      </c>
    </row>
    <row r="5177" spans="1:6">
      <c r="A5177" t="s">
        <v>9306</v>
      </c>
      <c r="B5177" t="s">
        <v>2018</v>
      </c>
      <c r="C5177" t="s">
        <v>152</v>
      </c>
      <c r="D5177" s="1">
        <v>45833</v>
      </c>
      <c r="E5177" t="s">
        <v>4133</v>
      </c>
      <c r="F5177" t="s">
        <v>4137</v>
      </c>
    </row>
    <row r="5178" spans="1:6">
      <c r="A5178" t="s">
        <v>9307</v>
      </c>
      <c r="B5178" t="s">
        <v>2020</v>
      </c>
      <c r="C5178" t="s">
        <v>46</v>
      </c>
      <c r="D5178" s="1">
        <v>45918</v>
      </c>
      <c r="E5178" t="s">
        <v>4124</v>
      </c>
      <c r="F5178" t="s">
        <v>4137</v>
      </c>
    </row>
    <row r="5179" spans="1:6">
      <c r="A5179" t="s">
        <v>9308</v>
      </c>
      <c r="B5179" t="s">
        <v>2020</v>
      </c>
      <c r="C5179" t="s">
        <v>46</v>
      </c>
      <c r="D5179" s="1">
        <v>45915</v>
      </c>
      <c r="E5179" t="s">
        <v>4133</v>
      </c>
      <c r="F5179" t="s">
        <v>4139</v>
      </c>
    </row>
    <row r="5180" spans="1:6">
      <c r="A5180" t="s">
        <v>9309</v>
      </c>
      <c r="B5180" t="s">
        <v>2021</v>
      </c>
      <c r="C5180" t="s">
        <v>16</v>
      </c>
      <c r="D5180" s="1">
        <v>45854</v>
      </c>
      <c r="E5180" t="s">
        <v>4133</v>
      </c>
      <c r="F5180" t="s">
        <v>4137</v>
      </c>
    </row>
    <row r="5181" spans="1:6">
      <c r="A5181" t="s">
        <v>9310</v>
      </c>
      <c r="B5181" t="s">
        <v>2021</v>
      </c>
      <c r="C5181" t="s">
        <v>16</v>
      </c>
      <c r="D5181" s="1">
        <v>45828</v>
      </c>
      <c r="E5181" t="s">
        <v>4129</v>
      </c>
      <c r="F5181" t="s">
        <v>4125</v>
      </c>
    </row>
    <row r="5182" spans="1:6">
      <c r="A5182" t="s">
        <v>9311</v>
      </c>
      <c r="B5182" t="s">
        <v>2021</v>
      </c>
      <c r="C5182" t="s">
        <v>16</v>
      </c>
      <c r="D5182" s="1">
        <v>45822</v>
      </c>
      <c r="E5182" t="s">
        <v>4129</v>
      </c>
      <c r="F5182" t="s">
        <v>4125</v>
      </c>
    </row>
    <row r="5183" spans="1:6">
      <c r="A5183" t="s">
        <v>9312</v>
      </c>
      <c r="B5183" t="s">
        <v>2022</v>
      </c>
      <c r="C5183" t="s">
        <v>50</v>
      </c>
      <c r="D5183" s="1">
        <v>46014</v>
      </c>
      <c r="E5183" t="s">
        <v>4127</v>
      </c>
      <c r="F5183" t="s">
        <v>4137</v>
      </c>
    </row>
    <row r="5184" spans="1:6">
      <c r="A5184" t="s">
        <v>9313</v>
      </c>
      <c r="B5184" t="s">
        <v>2022</v>
      </c>
      <c r="C5184" t="s">
        <v>50</v>
      </c>
      <c r="D5184" s="1">
        <v>46007</v>
      </c>
      <c r="E5184" t="s">
        <v>4129</v>
      </c>
      <c r="F5184" t="s">
        <v>4139</v>
      </c>
    </row>
    <row r="5185" spans="1:6">
      <c r="A5185" t="s">
        <v>9314</v>
      </c>
      <c r="B5185" t="s">
        <v>2022</v>
      </c>
      <c r="C5185" t="s">
        <v>50</v>
      </c>
      <c r="D5185" s="1">
        <v>46017</v>
      </c>
      <c r="E5185" t="s">
        <v>4133</v>
      </c>
      <c r="F5185" t="s">
        <v>4137</v>
      </c>
    </row>
    <row r="5186" spans="1:6">
      <c r="A5186" t="s">
        <v>9315</v>
      </c>
      <c r="B5186" t="s">
        <v>2022</v>
      </c>
      <c r="C5186" t="s">
        <v>50</v>
      </c>
      <c r="D5186" s="1">
        <v>46007</v>
      </c>
      <c r="E5186" t="s">
        <v>4127</v>
      </c>
      <c r="F5186" t="s">
        <v>4125</v>
      </c>
    </row>
    <row r="5187" spans="1:6">
      <c r="A5187" t="s">
        <v>9316</v>
      </c>
      <c r="B5187" t="s">
        <v>2022</v>
      </c>
      <c r="C5187" t="s">
        <v>50</v>
      </c>
      <c r="D5187" s="1">
        <v>46003</v>
      </c>
      <c r="E5187" t="s">
        <v>4135</v>
      </c>
      <c r="F5187" t="s">
        <v>4125</v>
      </c>
    </row>
    <row r="5188" spans="1:6">
      <c r="A5188" t="s">
        <v>9317</v>
      </c>
      <c r="B5188" t="s">
        <v>2023</v>
      </c>
      <c r="C5188" t="s">
        <v>75</v>
      </c>
      <c r="D5188" s="1">
        <v>45897</v>
      </c>
      <c r="E5188" t="s">
        <v>4133</v>
      </c>
      <c r="F5188" t="s">
        <v>4125</v>
      </c>
    </row>
    <row r="5189" spans="1:6">
      <c r="A5189" t="s">
        <v>9318</v>
      </c>
      <c r="B5189" t="s">
        <v>2023</v>
      </c>
      <c r="C5189" t="s">
        <v>75</v>
      </c>
      <c r="D5189" s="1">
        <v>45913</v>
      </c>
      <c r="E5189" t="s">
        <v>4129</v>
      </c>
      <c r="F5189" t="s">
        <v>4139</v>
      </c>
    </row>
    <row r="5190" spans="1:6">
      <c r="A5190" t="s">
        <v>9319</v>
      </c>
      <c r="B5190" t="s">
        <v>2023</v>
      </c>
      <c r="C5190" t="s">
        <v>75</v>
      </c>
      <c r="D5190" s="1">
        <v>45941</v>
      </c>
      <c r="E5190" t="s">
        <v>4124</v>
      </c>
      <c r="F5190" t="s">
        <v>4125</v>
      </c>
    </row>
    <row r="5191" spans="1:6">
      <c r="A5191" t="s">
        <v>9320</v>
      </c>
      <c r="B5191" t="s">
        <v>2024</v>
      </c>
      <c r="C5191" t="s">
        <v>46</v>
      </c>
      <c r="D5191" s="1">
        <v>45841</v>
      </c>
      <c r="E5191" t="s">
        <v>4133</v>
      </c>
      <c r="F5191" t="s">
        <v>4139</v>
      </c>
    </row>
    <row r="5192" spans="1:6">
      <c r="A5192" t="s">
        <v>9321</v>
      </c>
      <c r="B5192" t="s">
        <v>2024</v>
      </c>
      <c r="C5192" t="s">
        <v>46</v>
      </c>
      <c r="D5192" s="1">
        <v>45877</v>
      </c>
      <c r="E5192" t="s">
        <v>4127</v>
      </c>
      <c r="F5192" t="s">
        <v>4137</v>
      </c>
    </row>
    <row r="5193" spans="1:6">
      <c r="A5193" t="s">
        <v>9322</v>
      </c>
      <c r="B5193" t="s">
        <v>2026</v>
      </c>
      <c r="C5193" t="s">
        <v>16</v>
      </c>
      <c r="D5193" s="1">
        <v>45983</v>
      </c>
      <c r="E5193" t="s">
        <v>4127</v>
      </c>
      <c r="F5193" t="s">
        <v>4137</v>
      </c>
    </row>
    <row r="5194" spans="1:6">
      <c r="A5194" t="s">
        <v>9323</v>
      </c>
      <c r="B5194" t="s">
        <v>2026</v>
      </c>
      <c r="C5194" t="s">
        <v>16</v>
      </c>
      <c r="D5194" s="1">
        <v>46001</v>
      </c>
      <c r="E5194" t="s">
        <v>4129</v>
      </c>
      <c r="F5194" t="s">
        <v>4137</v>
      </c>
    </row>
    <row r="5195" spans="1:6">
      <c r="A5195" t="s">
        <v>9324</v>
      </c>
      <c r="B5195" t="s">
        <v>2026</v>
      </c>
      <c r="C5195" t="s">
        <v>16</v>
      </c>
      <c r="D5195" s="1">
        <v>45997</v>
      </c>
      <c r="E5195" t="s">
        <v>4127</v>
      </c>
      <c r="F5195" t="s">
        <v>4139</v>
      </c>
    </row>
    <row r="5196" spans="1:6">
      <c r="A5196" t="s">
        <v>9325</v>
      </c>
      <c r="B5196" t="s">
        <v>2027</v>
      </c>
      <c r="C5196" t="s">
        <v>40</v>
      </c>
      <c r="D5196" s="1">
        <v>46012</v>
      </c>
      <c r="E5196" t="s">
        <v>4124</v>
      </c>
      <c r="F5196" t="s">
        <v>4139</v>
      </c>
    </row>
    <row r="5197" spans="1:6">
      <c r="A5197" t="s">
        <v>9326</v>
      </c>
      <c r="B5197" t="s">
        <v>2027</v>
      </c>
      <c r="C5197" t="s">
        <v>40</v>
      </c>
      <c r="D5197" s="1">
        <v>46009</v>
      </c>
      <c r="E5197" t="s">
        <v>4135</v>
      </c>
      <c r="F5197" t="s">
        <v>4139</v>
      </c>
    </row>
    <row r="5198" spans="1:6">
      <c r="A5198" t="s">
        <v>9327</v>
      </c>
      <c r="B5198" t="s">
        <v>2027</v>
      </c>
      <c r="C5198" t="s">
        <v>40</v>
      </c>
      <c r="D5198" s="1">
        <v>45998</v>
      </c>
      <c r="E5198" t="s">
        <v>4129</v>
      </c>
      <c r="F5198" t="s">
        <v>4137</v>
      </c>
    </row>
    <row r="5199" spans="1:6">
      <c r="A5199" t="s">
        <v>9328</v>
      </c>
      <c r="B5199" t="s">
        <v>2027</v>
      </c>
      <c r="C5199" t="s">
        <v>40</v>
      </c>
      <c r="D5199" s="1">
        <v>46012</v>
      </c>
      <c r="E5199" t="s">
        <v>4127</v>
      </c>
      <c r="F5199" t="s">
        <v>4125</v>
      </c>
    </row>
    <row r="5200" spans="1:6">
      <c r="A5200" t="s">
        <v>9329</v>
      </c>
      <c r="B5200" t="s">
        <v>2028</v>
      </c>
      <c r="C5200" t="s">
        <v>50</v>
      </c>
      <c r="D5200" s="1">
        <v>45917</v>
      </c>
      <c r="E5200" t="s">
        <v>4124</v>
      </c>
      <c r="F5200" t="s">
        <v>4137</v>
      </c>
    </row>
    <row r="5201" spans="1:6">
      <c r="A5201" t="s">
        <v>9330</v>
      </c>
      <c r="B5201" t="s">
        <v>2028</v>
      </c>
      <c r="C5201" t="s">
        <v>50</v>
      </c>
      <c r="D5201" s="1">
        <v>45839</v>
      </c>
      <c r="E5201" t="s">
        <v>4135</v>
      </c>
      <c r="F5201" t="s">
        <v>4125</v>
      </c>
    </row>
    <row r="5202" spans="1:6">
      <c r="A5202" t="s">
        <v>9331</v>
      </c>
      <c r="B5202" t="s">
        <v>2029</v>
      </c>
      <c r="C5202" t="s">
        <v>27</v>
      </c>
      <c r="D5202" s="1">
        <v>45758</v>
      </c>
      <c r="E5202" t="s">
        <v>4124</v>
      </c>
      <c r="F5202" t="s">
        <v>4139</v>
      </c>
    </row>
    <row r="5203" spans="1:6">
      <c r="A5203" t="s">
        <v>9332</v>
      </c>
      <c r="B5203" t="s">
        <v>2029</v>
      </c>
      <c r="C5203" t="s">
        <v>27</v>
      </c>
      <c r="D5203" s="1">
        <v>45773</v>
      </c>
      <c r="E5203" t="s">
        <v>4124</v>
      </c>
      <c r="F5203" t="s">
        <v>4125</v>
      </c>
    </row>
    <row r="5204" spans="1:6">
      <c r="A5204" t="s">
        <v>9333</v>
      </c>
      <c r="B5204" t="s">
        <v>2029</v>
      </c>
      <c r="C5204" t="s">
        <v>27</v>
      </c>
      <c r="D5204" s="1">
        <v>45785</v>
      </c>
      <c r="E5204" t="s">
        <v>4133</v>
      </c>
      <c r="F5204" t="s">
        <v>4137</v>
      </c>
    </row>
    <row r="5205" spans="1:6">
      <c r="A5205" t="s">
        <v>9334</v>
      </c>
      <c r="B5205" t="s">
        <v>2029</v>
      </c>
      <c r="C5205" t="s">
        <v>27</v>
      </c>
      <c r="D5205" s="1">
        <v>45788</v>
      </c>
      <c r="E5205" t="s">
        <v>4129</v>
      </c>
      <c r="F5205" t="s">
        <v>4137</v>
      </c>
    </row>
    <row r="5206" spans="1:6">
      <c r="A5206" t="s">
        <v>9335</v>
      </c>
      <c r="B5206" t="s">
        <v>2030</v>
      </c>
      <c r="C5206" t="s">
        <v>78</v>
      </c>
      <c r="D5206" s="1">
        <v>45839</v>
      </c>
      <c r="E5206" t="s">
        <v>4135</v>
      </c>
      <c r="F5206" t="s">
        <v>4137</v>
      </c>
    </row>
    <row r="5207" spans="1:6">
      <c r="A5207" t="s">
        <v>9336</v>
      </c>
      <c r="B5207" t="s">
        <v>2030</v>
      </c>
      <c r="C5207" t="s">
        <v>78</v>
      </c>
      <c r="D5207" s="1">
        <v>45824</v>
      </c>
      <c r="E5207" t="s">
        <v>4127</v>
      </c>
      <c r="F5207" t="s">
        <v>4125</v>
      </c>
    </row>
    <row r="5208" spans="1:6">
      <c r="A5208" t="s">
        <v>9337</v>
      </c>
      <c r="B5208" t="s">
        <v>2031</v>
      </c>
      <c r="C5208" t="s">
        <v>46</v>
      </c>
      <c r="D5208" s="1">
        <v>45749</v>
      </c>
      <c r="E5208" t="s">
        <v>4127</v>
      </c>
      <c r="F5208" t="s">
        <v>4125</v>
      </c>
    </row>
    <row r="5209" spans="1:6">
      <c r="A5209" t="s">
        <v>9338</v>
      </c>
      <c r="B5209" t="s">
        <v>2031</v>
      </c>
      <c r="C5209" t="s">
        <v>46</v>
      </c>
      <c r="D5209" s="1">
        <v>45721</v>
      </c>
      <c r="E5209" t="s">
        <v>4133</v>
      </c>
      <c r="F5209" t="s">
        <v>4139</v>
      </c>
    </row>
    <row r="5210" spans="1:6">
      <c r="A5210" t="s">
        <v>9339</v>
      </c>
      <c r="B5210" t="s">
        <v>2032</v>
      </c>
      <c r="C5210" t="s">
        <v>53</v>
      </c>
      <c r="D5210" s="1">
        <v>45892</v>
      </c>
      <c r="E5210" t="s">
        <v>4135</v>
      </c>
      <c r="F5210" t="s">
        <v>4125</v>
      </c>
    </row>
    <row r="5211" spans="1:6">
      <c r="A5211" t="s">
        <v>9340</v>
      </c>
      <c r="B5211" t="s">
        <v>2032</v>
      </c>
      <c r="C5211" t="s">
        <v>53</v>
      </c>
      <c r="D5211" s="1">
        <v>45874</v>
      </c>
      <c r="E5211" t="s">
        <v>4127</v>
      </c>
      <c r="F5211" t="s">
        <v>4125</v>
      </c>
    </row>
    <row r="5212" spans="1:6">
      <c r="A5212" t="s">
        <v>9341</v>
      </c>
      <c r="B5212" t="s">
        <v>2032</v>
      </c>
      <c r="C5212" t="s">
        <v>53</v>
      </c>
      <c r="D5212" s="1">
        <v>45860</v>
      </c>
      <c r="E5212" t="s">
        <v>4124</v>
      </c>
      <c r="F5212" t="s">
        <v>4125</v>
      </c>
    </row>
    <row r="5213" spans="1:6">
      <c r="A5213" t="s">
        <v>9342</v>
      </c>
      <c r="B5213" t="s">
        <v>2032</v>
      </c>
      <c r="C5213" t="s">
        <v>53</v>
      </c>
      <c r="D5213" s="1">
        <v>45863</v>
      </c>
      <c r="E5213" t="s">
        <v>4133</v>
      </c>
      <c r="F5213" t="s">
        <v>4125</v>
      </c>
    </row>
    <row r="5214" spans="1:6">
      <c r="A5214" t="s">
        <v>9343</v>
      </c>
      <c r="B5214" t="s">
        <v>2032</v>
      </c>
      <c r="C5214" t="s">
        <v>53</v>
      </c>
      <c r="D5214" s="1">
        <v>45877</v>
      </c>
      <c r="E5214" t="s">
        <v>4129</v>
      </c>
      <c r="F5214" t="s">
        <v>4139</v>
      </c>
    </row>
    <row r="5215" spans="1:6">
      <c r="A5215" t="s">
        <v>9344</v>
      </c>
      <c r="B5215" t="s">
        <v>2033</v>
      </c>
      <c r="C5215" t="s">
        <v>63</v>
      </c>
      <c r="D5215" s="1">
        <v>45898</v>
      </c>
      <c r="E5215" t="s">
        <v>4127</v>
      </c>
      <c r="F5215" t="s">
        <v>4125</v>
      </c>
    </row>
    <row r="5216" spans="1:6">
      <c r="A5216" t="s">
        <v>9345</v>
      </c>
      <c r="B5216" t="s">
        <v>2033</v>
      </c>
      <c r="C5216" t="s">
        <v>63</v>
      </c>
      <c r="D5216" s="1">
        <v>45908</v>
      </c>
      <c r="E5216" t="s">
        <v>4129</v>
      </c>
      <c r="F5216" t="s">
        <v>4137</v>
      </c>
    </row>
    <row r="5217" spans="1:6">
      <c r="A5217" t="s">
        <v>9346</v>
      </c>
      <c r="B5217" t="s">
        <v>2033</v>
      </c>
      <c r="C5217" t="s">
        <v>63</v>
      </c>
      <c r="D5217" s="1">
        <v>45877</v>
      </c>
      <c r="E5217" t="s">
        <v>4124</v>
      </c>
      <c r="F5217" t="s">
        <v>4139</v>
      </c>
    </row>
    <row r="5218" spans="1:6">
      <c r="A5218" t="s">
        <v>9347</v>
      </c>
      <c r="B5218" t="s">
        <v>2034</v>
      </c>
      <c r="C5218" t="s">
        <v>75</v>
      </c>
      <c r="D5218" s="1">
        <v>45943</v>
      </c>
      <c r="E5218" t="s">
        <v>4129</v>
      </c>
      <c r="F5218" t="s">
        <v>4139</v>
      </c>
    </row>
    <row r="5219" spans="1:6">
      <c r="A5219" t="s">
        <v>9348</v>
      </c>
      <c r="B5219" t="s">
        <v>2034</v>
      </c>
      <c r="C5219" t="s">
        <v>75</v>
      </c>
      <c r="D5219" s="1">
        <v>45935</v>
      </c>
      <c r="E5219" t="s">
        <v>4127</v>
      </c>
      <c r="F5219" t="s">
        <v>4139</v>
      </c>
    </row>
    <row r="5220" spans="1:6">
      <c r="A5220" t="s">
        <v>9349</v>
      </c>
      <c r="B5220" t="s">
        <v>2035</v>
      </c>
      <c r="C5220" t="s">
        <v>59</v>
      </c>
      <c r="D5220" s="1">
        <v>45859</v>
      </c>
      <c r="E5220" t="s">
        <v>4135</v>
      </c>
      <c r="F5220" t="s">
        <v>4137</v>
      </c>
    </row>
    <row r="5221" spans="1:6">
      <c r="A5221" t="s">
        <v>9350</v>
      </c>
      <c r="B5221" t="s">
        <v>2035</v>
      </c>
      <c r="C5221" t="s">
        <v>59</v>
      </c>
      <c r="D5221" s="1">
        <v>45846</v>
      </c>
      <c r="E5221" t="s">
        <v>4129</v>
      </c>
      <c r="F5221" t="s">
        <v>4137</v>
      </c>
    </row>
    <row r="5222" spans="1:6">
      <c r="A5222" t="s">
        <v>9351</v>
      </c>
      <c r="B5222" t="s">
        <v>2035</v>
      </c>
      <c r="C5222" t="s">
        <v>59</v>
      </c>
      <c r="D5222" s="1">
        <v>45844</v>
      </c>
      <c r="E5222" t="s">
        <v>4133</v>
      </c>
      <c r="F5222" t="s">
        <v>4125</v>
      </c>
    </row>
    <row r="5223" spans="1:6">
      <c r="A5223" t="s">
        <v>9352</v>
      </c>
      <c r="B5223" t="s">
        <v>2035</v>
      </c>
      <c r="C5223" t="s">
        <v>59</v>
      </c>
      <c r="D5223" s="1">
        <v>45833</v>
      </c>
      <c r="E5223" t="s">
        <v>4129</v>
      </c>
      <c r="F5223" t="s">
        <v>4139</v>
      </c>
    </row>
    <row r="5224" spans="1:6">
      <c r="A5224" t="s">
        <v>9353</v>
      </c>
      <c r="B5224" t="s">
        <v>2035</v>
      </c>
      <c r="C5224" t="s">
        <v>59</v>
      </c>
      <c r="D5224" s="1">
        <v>45828</v>
      </c>
      <c r="E5224" t="s">
        <v>4133</v>
      </c>
      <c r="F5224" t="s">
        <v>4125</v>
      </c>
    </row>
    <row r="5225" spans="1:6">
      <c r="A5225" t="s">
        <v>9354</v>
      </c>
      <c r="B5225" t="s">
        <v>2036</v>
      </c>
      <c r="C5225" t="s">
        <v>168</v>
      </c>
      <c r="D5225" s="1">
        <v>45896</v>
      </c>
      <c r="E5225" t="s">
        <v>4133</v>
      </c>
      <c r="F5225" t="s">
        <v>4125</v>
      </c>
    </row>
    <row r="5226" spans="1:6">
      <c r="A5226" t="s">
        <v>9355</v>
      </c>
      <c r="B5226" t="s">
        <v>2036</v>
      </c>
      <c r="C5226" t="s">
        <v>168</v>
      </c>
      <c r="D5226" s="1">
        <v>45855</v>
      </c>
      <c r="E5226" t="s">
        <v>4127</v>
      </c>
      <c r="F5226" t="s">
        <v>4139</v>
      </c>
    </row>
    <row r="5227" spans="1:6">
      <c r="A5227" t="s">
        <v>9356</v>
      </c>
      <c r="B5227" t="s">
        <v>2036</v>
      </c>
      <c r="C5227" t="s">
        <v>168</v>
      </c>
      <c r="D5227" s="1">
        <v>45904</v>
      </c>
      <c r="E5227" t="s">
        <v>4124</v>
      </c>
      <c r="F5227" t="s">
        <v>4139</v>
      </c>
    </row>
    <row r="5228" spans="1:6">
      <c r="A5228" t="s">
        <v>9357</v>
      </c>
      <c r="B5228" t="s">
        <v>2036</v>
      </c>
      <c r="C5228" t="s">
        <v>168</v>
      </c>
      <c r="D5228" s="1">
        <v>45901</v>
      </c>
      <c r="E5228" t="s">
        <v>4124</v>
      </c>
      <c r="F5228" t="s">
        <v>4125</v>
      </c>
    </row>
    <row r="5229" spans="1:6">
      <c r="A5229" t="s">
        <v>9358</v>
      </c>
      <c r="B5229" t="s">
        <v>2036</v>
      </c>
      <c r="C5229" t="s">
        <v>168</v>
      </c>
      <c r="D5229" s="1">
        <v>45904</v>
      </c>
      <c r="E5229" t="s">
        <v>4127</v>
      </c>
      <c r="F5229" t="s">
        <v>4125</v>
      </c>
    </row>
    <row r="5230" spans="1:6">
      <c r="A5230" t="s">
        <v>9359</v>
      </c>
      <c r="B5230" t="s">
        <v>2037</v>
      </c>
      <c r="C5230" t="s">
        <v>168</v>
      </c>
      <c r="D5230" s="1">
        <v>45933</v>
      </c>
      <c r="E5230" t="s">
        <v>4135</v>
      </c>
      <c r="F5230" t="s">
        <v>4139</v>
      </c>
    </row>
    <row r="5231" spans="1:6">
      <c r="A5231" t="s">
        <v>9360</v>
      </c>
      <c r="B5231" t="s">
        <v>2037</v>
      </c>
      <c r="C5231" t="s">
        <v>168</v>
      </c>
      <c r="D5231" s="1">
        <v>45938</v>
      </c>
      <c r="E5231" t="s">
        <v>4133</v>
      </c>
      <c r="F5231" t="s">
        <v>4137</v>
      </c>
    </row>
    <row r="5232" spans="1:6">
      <c r="A5232" t="s">
        <v>9361</v>
      </c>
      <c r="B5232" t="s">
        <v>2038</v>
      </c>
      <c r="C5232" t="s">
        <v>168</v>
      </c>
      <c r="D5232" s="1">
        <v>45876</v>
      </c>
      <c r="E5232" t="s">
        <v>4127</v>
      </c>
      <c r="F5232" t="s">
        <v>4125</v>
      </c>
    </row>
    <row r="5233" spans="1:6">
      <c r="A5233" t="s">
        <v>9362</v>
      </c>
      <c r="B5233" t="s">
        <v>2038</v>
      </c>
      <c r="C5233" t="s">
        <v>168</v>
      </c>
      <c r="D5233" s="1">
        <v>45878</v>
      </c>
      <c r="E5233" t="s">
        <v>4127</v>
      </c>
      <c r="F5233" t="s">
        <v>4137</v>
      </c>
    </row>
    <row r="5234" spans="1:6">
      <c r="A5234" t="s">
        <v>9363</v>
      </c>
      <c r="B5234" t="s">
        <v>2038</v>
      </c>
      <c r="C5234" t="s">
        <v>168</v>
      </c>
      <c r="D5234" s="1">
        <v>45871</v>
      </c>
      <c r="E5234" t="s">
        <v>4127</v>
      </c>
      <c r="F5234" t="s">
        <v>4137</v>
      </c>
    </row>
    <row r="5235" spans="1:6">
      <c r="A5235" t="s">
        <v>9364</v>
      </c>
      <c r="B5235" t="s">
        <v>2039</v>
      </c>
      <c r="C5235" t="s">
        <v>152</v>
      </c>
      <c r="D5235" s="1">
        <v>45869</v>
      </c>
      <c r="E5235" t="s">
        <v>4133</v>
      </c>
      <c r="F5235" t="s">
        <v>4139</v>
      </c>
    </row>
    <row r="5236" spans="1:6">
      <c r="A5236" t="s">
        <v>9365</v>
      </c>
      <c r="B5236" t="s">
        <v>2039</v>
      </c>
      <c r="C5236" t="s">
        <v>152</v>
      </c>
      <c r="D5236" s="1">
        <v>45884</v>
      </c>
      <c r="E5236" t="s">
        <v>4133</v>
      </c>
      <c r="F5236" t="s">
        <v>4125</v>
      </c>
    </row>
    <row r="5237" spans="1:6">
      <c r="A5237" t="s">
        <v>9366</v>
      </c>
      <c r="B5237" t="s">
        <v>2039</v>
      </c>
      <c r="C5237" t="s">
        <v>152</v>
      </c>
      <c r="D5237" s="1">
        <v>45885</v>
      </c>
      <c r="E5237" t="s">
        <v>4127</v>
      </c>
      <c r="F5237" t="s">
        <v>4139</v>
      </c>
    </row>
    <row r="5238" spans="1:6">
      <c r="A5238" t="s">
        <v>9367</v>
      </c>
      <c r="B5238" t="s">
        <v>2039</v>
      </c>
      <c r="C5238" t="s">
        <v>152</v>
      </c>
      <c r="D5238" s="1">
        <v>45864</v>
      </c>
      <c r="E5238" t="s">
        <v>4124</v>
      </c>
      <c r="F5238" t="s">
        <v>4137</v>
      </c>
    </row>
    <row r="5239" spans="1:6">
      <c r="A5239" t="s">
        <v>9368</v>
      </c>
      <c r="B5239" t="s">
        <v>2040</v>
      </c>
      <c r="C5239" t="s">
        <v>27</v>
      </c>
      <c r="D5239" s="1">
        <v>46016</v>
      </c>
      <c r="E5239" t="s">
        <v>4124</v>
      </c>
      <c r="F5239" t="s">
        <v>4125</v>
      </c>
    </row>
    <row r="5240" spans="1:6">
      <c r="A5240" t="s">
        <v>9369</v>
      </c>
      <c r="B5240" t="s">
        <v>2040</v>
      </c>
      <c r="C5240" t="s">
        <v>27</v>
      </c>
      <c r="D5240" s="1">
        <v>46013</v>
      </c>
      <c r="E5240" t="s">
        <v>4133</v>
      </c>
      <c r="F5240" t="s">
        <v>4125</v>
      </c>
    </row>
    <row r="5241" spans="1:6">
      <c r="A5241" t="s">
        <v>9370</v>
      </c>
      <c r="B5241" t="s">
        <v>2040</v>
      </c>
      <c r="C5241" t="s">
        <v>27</v>
      </c>
      <c r="D5241" s="1">
        <v>46021</v>
      </c>
      <c r="E5241" t="s">
        <v>4127</v>
      </c>
      <c r="F5241" t="s">
        <v>4137</v>
      </c>
    </row>
    <row r="5242" spans="1:6">
      <c r="A5242" t="s">
        <v>9371</v>
      </c>
      <c r="B5242" t="s">
        <v>2041</v>
      </c>
      <c r="C5242" t="s">
        <v>152</v>
      </c>
      <c r="D5242" s="1">
        <v>45859</v>
      </c>
      <c r="E5242" t="s">
        <v>4135</v>
      </c>
      <c r="F5242" t="s">
        <v>4137</v>
      </c>
    </row>
    <row r="5243" spans="1:6">
      <c r="A5243" t="s">
        <v>9372</v>
      </c>
      <c r="B5243" t="s">
        <v>2041</v>
      </c>
      <c r="C5243" t="s">
        <v>152</v>
      </c>
      <c r="D5243" s="1">
        <v>45861</v>
      </c>
      <c r="E5243" t="s">
        <v>4133</v>
      </c>
      <c r="F5243" t="s">
        <v>4139</v>
      </c>
    </row>
    <row r="5244" spans="1:6">
      <c r="A5244" t="s">
        <v>9373</v>
      </c>
      <c r="B5244" t="s">
        <v>2041</v>
      </c>
      <c r="C5244" t="s">
        <v>152</v>
      </c>
      <c r="D5244" s="1">
        <v>45856</v>
      </c>
      <c r="E5244" t="s">
        <v>4135</v>
      </c>
      <c r="F5244" t="s">
        <v>4137</v>
      </c>
    </row>
    <row r="5245" spans="1:6">
      <c r="A5245" t="s">
        <v>9374</v>
      </c>
      <c r="B5245" t="s">
        <v>2042</v>
      </c>
      <c r="C5245" t="s">
        <v>168</v>
      </c>
      <c r="D5245" s="1">
        <v>45864</v>
      </c>
      <c r="E5245" t="s">
        <v>4124</v>
      </c>
      <c r="F5245" t="s">
        <v>4139</v>
      </c>
    </row>
    <row r="5246" spans="1:6">
      <c r="A5246" t="s">
        <v>9375</v>
      </c>
      <c r="B5246" t="s">
        <v>2042</v>
      </c>
      <c r="C5246" t="s">
        <v>168</v>
      </c>
      <c r="D5246" s="1">
        <v>45857</v>
      </c>
      <c r="E5246" t="s">
        <v>4124</v>
      </c>
      <c r="F5246" t="s">
        <v>4125</v>
      </c>
    </row>
    <row r="5247" spans="1:6">
      <c r="A5247" t="s">
        <v>9376</v>
      </c>
      <c r="B5247" t="s">
        <v>2042</v>
      </c>
      <c r="C5247" t="s">
        <v>168</v>
      </c>
      <c r="D5247" s="1">
        <v>45864</v>
      </c>
      <c r="E5247" t="s">
        <v>4124</v>
      </c>
      <c r="F5247" t="s">
        <v>4139</v>
      </c>
    </row>
    <row r="5248" spans="1:6">
      <c r="A5248" t="s">
        <v>9377</v>
      </c>
      <c r="B5248" t="s">
        <v>2042</v>
      </c>
      <c r="C5248" t="s">
        <v>168</v>
      </c>
      <c r="D5248" s="1">
        <v>45860</v>
      </c>
      <c r="E5248" t="s">
        <v>4124</v>
      </c>
      <c r="F5248" t="s">
        <v>4137</v>
      </c>
    </row>
    <row r="5249" spans="1:6">
      <c r="A5249" t="s">
        <v>9378</v>
      </c>
      <c r="B5249" t="s">
        <v>2043</v>
      </c>
      <c r="C5249" t="s">
        <v>63</v>
      </c>
      <c r="D5249" s="1">
        <v>45855</v>
      </c>
      <c r="E5249" t="s">
        <v>4124</v>
      </c>
      <c r="F5249" t="s">
        <v>4139</v>
      </c>
    </row>
    <row r="5250" spans="1:6">
      <c r="A5250" t="s">
        <v>9379</v>
      </c>
      <c r="B5250" t="s">
        <v>2043</v>
      </c>
      <c r="C5250" t="s">
        <v>63</v>
      </c>
      <c r="D5250" s="1">
        <v>45851</v>
      </c>
      <c r="E5250" t="s">
        <v>4127</v>
      </c>
      <c r="F5250" t="s">
        <v>4125</v>
      </c>
    </row>
    <row r="5251" spans="1:6">
      <c r="A5251" t="s">
        <v>9380</v>
      </c>
      <c r="B5251" t="s">
        <v>2043</v>
      </c>
      <c r="C5251" t="s">
        <v>63</v>
      </c>
      <c r="D5251" s="1">
        <v>45882</v>
      </c>
      <c r="E5251" t="s">
        <v>4129</v>
      </c>
      <c r="F5251" t="s">
        <v>4137</v>
      </c>
    </row>
    <row r="5252" spans="1:6">
      <c r="A5252" t="s">
        <v>9381</v>
      </c>
      <c r="B5252" t="s">
        <v>2044</v>
      </c>
      <c r="C5252" t="s">
        <v>91</v>
      </c>
      <c r="D5252" s="1">
        <v>45748</v>
      </c>
      <c r="E5252" t="s">
        <v>4127</v>
      </c>
      <c r="F5252" t="s">
        <v>4137</v>
      </c>
    </row>
    <row r="5253" spans="1:6">
      <c r="A5253" t="s">
        <v>9382</v>
      </c>
      <c r="B5253" t="s">
        <v>2044</v>
      </c>
      <c r="C5253" t="s">
        <v>91</v>
      </c>
      <c r="D5253" s="1">
        <v>45742</v>
      </c>
      <c r="E5253" t="s">
        <v>4129</v>
      </c>
      <c r="F5253" t="s">
        <v>4137</v>
      </c>
    </row>
    <row r="5254" spans="1:6">
      <c r="A5254" t="s">
        <v>9383</v>
      </c>
      <c r="B5254" t="s">
        <v>2044</v>
      </c>
      <c r="C5254" t="s">
        <v>91</v>
      </c>
      <c r="D5254" s="1">
        <v>45769</v>
      </c>
      <c r="E5254" t="s">
        <v>4127</v>
      </c>
      <c r="F5254" t="s">
        <v>4139</v>
      </c>
    </row>
    <row r="5255" spans="1:6">
      <c r="A5255" t="s">
        <v>9384</v>
      </c>
      <c r="B5255" t="s">
        <v>2044</v>
      </c>
      <c r="C5255" t="s">
        <v>91</v>
      </c>
      <c r="D5255" s="1">
        <v>45785</v>
      </c>
      <c r="E5255" t="s">
        <v>4129</v>
      </c>
      <c r="F5255" t="s">
        <v>4139</v>
      </c>
    </row>
    <row r="5256" spans="1:6">
      <c r="A5256" t="s">
        <v>9385</v>
      </c>
      <c r="B5256" t="s">
        <v>2044</v>
      </c>
      <c r="C5256" t="s">
        <v>91</v>
      </c>
      <c r="D5256" s="1">
        <v>45761</v>
      </c>
      <c r="E5256" t="s">
        <v>4133</v>
      </c>
      <c r="F5256" t="s">
        <v>4137</v>
      </c>
    </row>
    <row r="5257" spans="1:6">
      <c r="A5257" t="s">
        <v>9386</v>
      </c>
      <c r="B5257" t="s">
        <v>2045</v>
      </c>
      <c r="C5257" t="s">
        <v>126</v>
      </c>
      <c r="D5257" s="1">
        <v>46010</v>
      </c>
      <c r="E5257" t="s">
        <v>4133</v>
      </c>
      <c r="F5257" t="s">
        <v>4139</v>
      </c>
    </row>
    <row r="5258" spans="1:6">
      <c r="A5258" t="s">
        <v>9387</v>
      </c>
      <c r="B5258" t="s">
        <v>2045</v>
      </c>
      <c r="C5258" t="s">
        <v>126</v>
      </c>
      <c r="D5258" s="1">
        <v>45988</v>
      </c>
      <c r="E5258" t="s">
        <v>4135</v>
      </c>
      <c r="F5258" t="s">
        <v>4137</v>
      </c>
    </row>
    <row r="5259" spans="1:6">
      <c r="A5259" t="s">
        <v>9388</v>
      </c>
      <c r="B5259" t="s">
        <v>2045</v>
      </c>
      <c r="C5259" t="s">
        <v>126</v>
      </c>
      <c r="D5259" s="1">
        <v>46021</v>
      </c>
      <c r="E5259" t="s">
        <v>4133</v>
      </c>
      <c r="F5259" t="s">
        <v>4125</v>
      </c>
    </row>
    <row r="5260" spans="1:6">
      <c r="A5260" t="s">
        <v>9389</v>
      </c>
      <c r="B5260" t="s">
        <v>2045</v>
      </c>
      <c r="C5260" t="s">
        <v>126</v>
      </c>
      <c r="D5260" s="1">
        <v>46007</v>
      </c>
      <c r="E5260" t="s">
        <v>4124</v>
      </c>
      <c r="F5260" t="s">
        <v>4125</v>
      </c>
    </row>
    <row r="5261" spans="1:6">
      <c r="A5261" t="s">
        <v>9390</v>
      </c>
      <c r="B5261" t="s">
        <v>2045</v>
      </c>
      <c r="C5261" t="s">
        <v>126</v>
      </c>
      <c r="D5261" s="1">
        <v>45972</v>
      </c>
      <c r="E5261" t="s">
        <v>4133</v>
      </c>
      <c r="F5261" t="s">
        <v>4125</v>
      </c>
    </row>
    <row r="5262" spans="1:6">
      <c r="A5262" t="s">
        <v>9391</v>
      </c>
      <c r="B5262" t="s">
        <v>2046</v>
      </c>
      <c r="C5262" t="s">
        <v>91</v>
      </c>
      <c r="D5262" s="1">
        <v>45973</v>
      </c>
      <c r="E5262" t="s">
        <v>4133</v>
      </c>
      <c r="F5262" t="s">
        <v>4137</v>
      </c>
    </row>
    <row r="5263" spans="1:6">
      <c r="A5263" t="s">
        <v>9392</v>
      </c>
      <c r="B5263" t="s">
        <v>2046</v>
      </c>
      <c r="C5263" t="s">
        <v>91</v>
      </c>
      <c r="D5263" s="1">
        <v>45961</v>
      </c>
      <c r="E5263" t="s">
        <v>4135</v>
      </c>
      <c r="F5263" t="s">
        <v>4139</v>
      </c>
    </row>
    <row r="5264" spans="1:6">
      <c r="A5264" t="s">
        <v>9393</v>
      </c>
      <c r="B5264" t="s">
        <v>2046</v>
      </c>
      <c r="C5264" t="s">
        <v>91</v>
      </c>
      <c r="D5264" s="1">
        <v>45965</v>
      </c>
      <c r="E5264" t="s">
        <v>4135</v>
      </c>
      <c r="F5264" t="s">
        <v>4139</v>
      </c>
    </row>
    <row r="5265" spans="1:6">
      <c r="A5265" t="s">
        <v>9394</v>
      </c>
      <c r="B5265" t="s">
        <v>2046</v>
      </c>
      <c r="C5265" t="s">
        <v>91</v>
      </c>
      <c r="D5265" s="1">
        <v>45959</v>
      </c>
      <c r="E5265" t="s">
        <v>4124</v>
      </c>
      <c r="F5265" t="s">
        <v>4125</v>
      </c>
    </row>
    <row r="5266" spans="1:6">
      <c r="A5266" t="s">
        <v>9395</v>
      </c>
      <c r="B5266" t="s">
        <v>2046</v>
      </c>
      <c r="C5266" t="s">
        <v>91</v>
      </c>
      <c r="D5266" s="1">
        <v>45952</v>
      </c>
      <c r="E5266" t="s">
        <v>4127</v>
      </c>
      <c r="F5266" t="s">
        <v>4139</v>
      </c>
    </row>
    <row r="5267" spans="1:6">
      <c r="A5267" t="s">
        <v>9396</v>
      </c>
      <c r="B5267" t="s">
        <v>2047</v>
      </c>
      <c r="C5267" t="s">
        <v>75</v>
      </c>
      <c r="D5267" s="1">
        <v>45782</v>
      </c>
      <c r="E5267" t="s">
        <v>4129</v>
      </c>
      <c r="F5267" t="s">
        <v>4139</v>
      </c>
    </row>
    <row r="5268" spans="1:6">
      <c r="A5268" t="s">
        <v>9397</v>
      </c>
      <c r="B5268" t="s">
        <v>2047</v>
      </c>
      <c r="C5268" t="s">
        <v>75</v>
      </c>
      <c r="D5268" s="1">
        <v>45765</v>
      </c>
      <c r="E5268" t="s">
        <v>4129</v>
      </c>
      <c r="F5268" t="s">
        <v>4139</v>
      </c>
    </row>
    <row r="5269" spans="1:6">
      <c r="A5269" t="s">
        <v>9398</v>
      </c>
      <c r="B5269" t="s">
        <v>2047</v>
      </c>
      <c r="C5269" t="s">
        <v>75</v>
      </c>
      <c r="D5269" s="1">
        <v>45772</v>
      </c>
      <c r="E5269" t="s">
        <v>4127</v>
      </c>
      <c r="F5269" t="s">
        <v>4125</v>
      </c>
    </row>
    <row r="5270" spans="1:6">
      <c r="A5270" t="s">
        <v>9399</v>
      </c>
      <c r="B5270" t="s">
        <v>2047</v>
      </c>
      <c r="C5270" t="s">
        <v>75</v>
      </c>
      <c r="D5270" s="1">
        <v>45776</v>
      </c>
      <c r="E5270" t="s">
        <v>4129</v>
      </c>
      <c r="F5270" t="s">
        <v>4137</v>
      </c>
    </row>
    <row r="5271" spans="1:6">
      <c r="A5271" t="s">
        <v>9400</v>
      </c>
      <c r="B5271" t="s">
        <v>2048</v>
      </c>
      <c r="C5271" t="s">
        <v>119</v>
      </c>
      <c r="D5271" s="1">
        <v>45990</v>
      </c>
      <c r="E5271" t="s">
        <v>4124</v>
      </c>
      <c r="F5271" t="s">
        <v>4137</v>
      </c>
    </row>
    <row r="5272" spans="1:6">
      <c r="A5272" t="s">
        <v>9401</v>
      </c>
      <c r="B5272" t="s">
        <v>2048</v>
      </c>
      <c r="C5272" t="s">
        <v>119</v>
      </c>
      <c r="D5272" s="1">
        <v>46006</v>
      </c>
      <c r="E5272" t="s">
        <v>4127</v>
      </c>
      <c r="F5272" t="s">
        <v>4137</v>
      </c>
    </row>
    <row r="5273" spans="1:6">
      <c r="A5273" t="s">
        <v>9402</v>
      </c>
      <c r="B5273" t="s">
        <v>2048</v>
      </c>
      <c r="C5273" t="s">
        <v>119</v>
      </c>
      <c r="D5273" s="1">
        <v>46021</v>
      </c>
      <c r="E5273" t="s">
        <v>4135</v>
      </c>
      <c r="F5273" t="s">
        <v>4125</v>
      </c>
    </row>
    <row r="5274" spans="1:6">
      <c r="A5274" t="s">
        <v>9403</v>
      </c>
      <c r="B5274" t="s">
        <v>2048</v>
      </c>
      <c r="C5274" t="s">
        <v>119</v>
      </c>
      <c r="D5274" s="1">
        <v>46007</v>
      </c>
      <c r="E5274" t="s">
        <v>4133</v>
      </c>
      <c r="F5274" t="s">
        <v>4139</v>
      </c>
    </row>
    <row r="5275" spans="1:6">
      <c r="A5275" t="s">
        <v>9404</v>
      </c>
      <c r="B5275" t="s">
        <v>2049</v>
      </c>
      <c r="C5275" t="s">
        <v>46</v>
      </c>
      <c r="D5275" s="1">
        <v>45815</v>
      </c>
      <c r="E5275" t="s">
        <v>4129</v>
      </c>
      <c r="F5275" t="s">
        <v>4137</v>
      </c>
    </row>
    <row r="5276" spans="1:6">
      <c r="A5276" t="s">
        <v>9405</v>
      </c>
      <c r="B5276" t="s">
        <v>2049</v>
      </c>
      <c r="C5276" t="s">
        <v>46</v>
      </c>
      <c r="D5276" s="1">
        <v>45824</v>
      </c>
      <c r="E5276" t="s">
        <v>4129</v>
      </c>
      <c r="F5276" t="s">
        <v>4125</v>
      </c>
    </row>
    <row r="5277" spans="1:6">
      <c r="A5277" t="s">
        <v>9406</v>
      </c>
      <c r="B5277" t="s">
        <v>2049</v>
      </c>
      <c r="C5277" t="s">
        <v>46</v>
      </c>
      <c r="D5277" s="1">
        <v>45831</v>
      </c>
      <c r="E5277" t="s">
        <v>4124</v>
      </c>
      <c r="F5277" t="s">
        <v>4125</v>
      </c>
    </row>
    <row r="5278" spans="1:6">
      <c r="A5278" t="s">
        <v>9407</v>
      </c>
      <c r="B5278" t="s">
        <v>2050</v>
      </c>
      <c r="C5278" t="s">
        <v>126</v>
      </c>
      <c r="D5278" s="1">
        <v>45841</v>
      </c>
      <c r="E5278" t="s">
        <v>4124</v>
      </c>
      <c r="F5278" t="s">
        <v>4125</v>
      </c>
    </row>
    <row r="5279" spans="1:6">
      <c r="A5279" t="s">
        <v>9408</v>
      </c>
      <c r="B5279" t="s">
        <v>2050</v>
      </c>
      <c r="C5279" t="s">
        <v>126</v>
      </c>
      <c r="D5279" s="1">
        <v>45834</v>
      </c>
      <c r="E5279" t="s">
        <v>4135</v>
      </c>
      <c r="F5279" t="s">
        <v>4139</v>
      </c>
    </row>
    <row r="5280" spans="1:6">
      <c r="A5280" t="s">
        <v>9409</v>
      </c>
      <c r="B5280" t="s">
        <v>2050</v>
      </c>
      <c r="C5280" t="s">
        <v>126</v>
      </c>
      <c r="D5280" s="1">
        <v>45875</v>
      </c>
      <c r="E5280" t="s">
        <v>4124</v>
      </c>
      <c r="F5280" t="s">
        <v>4125</v>
      </c>
    </row>
    <row r="5281" spans="1:6">
      <c r="A5281" t="s">
        <v>9410</v>
      </c>
      <c r="B5281" t="s">
        <v>2050</v>
      </c>
      <c r="C5281" t="s">
        <v>126</v>
      </c>
      <c r="D5281" s="1">
        <v>45888</v>
      </c>
      <c r="E5281" t="s">
        <v>4133</v>
      </c>
      <c r="F5281" t="s">
        <v>4125</v>
      </c>
    </row>
    <row r="5282" spans="1:6">
      <c r="A5282" t="s">
        <v>9411</v>
      </c>
      <c r="B5282" t="s">
        <v>2050</v>
      </c>
      <c r="C5282" t="s">
        <v>126</v>
      </c>
      <c r="D5282" s="1">
        <v>45869</v>
      </c>
      <c r="E5282" t="s">
        <v>4133</v>
      </c>
      <c r="F5282" t="s">
        <v>4139</v>
      </c>
    </row>
    <row r="5283" spans="1:6">
      <c r="A5283" t="s">
        <v>9412</v>
      </c>
      <c r="B5283" t="s">
        <v>2051</v>
      </c>
      <c r="C5283" t="s">
        <v>36</v>
      </c>
      <c r="D5283" s="1">
        <v>45673</v>
      </c>
      <c r="E5283" t="s">
        <v>4135</v>
      </c>
      <c r="F5283" t="s">
        <v>4137</v>
      </c>
    </row>
    <row r="5284" spans="1:6">
      <c r="A5284" t="s">
        <v>9413</v>
      </c>
      <c r="B5284" t="s">
        <v>2051</v>
      </c>
      <c r="C5284" t="s">
        <v>36</v>
      </c>
      <c r="D5284" s="1">
        <v>45684</v>
      </c>
      <c r="E5284" t="s">
        <v>4129</v>
      </c>
      <c r="F5284" t="s">
        <v>4137</v>
      </c>
    </row>
    <row r="5285" spans="1:6">
      <c r="A5285" t="s">
        <v>9414</v>
      </c>
      <c r="B5285" t="s">
        <v>2051</v>
      </c>
      <c r="C5285" t="s">
        <v>36</v>
      </c>
      <c r="D5285" s="1">
        <v>45667</v>
      </c>
      <c r="E5285" t="s">
        <v>4129</v>
      </c>
      <c r="F5285" t="s">
        <v>4137</v>
      </c>
    </row>
    <row r="5286" spans="1:6">
      <c r="A5286" t="s">
        <v>9415</v>
      </c>
      <c r="B5286" t="s">
        <v>2051</v>
      </c>
      <c r="C5286" t="s">
        <v>36</v>
      </c>
      <c r="D5286" s="1">
        <v>45708</v>
      </c>
      <c r="E5286" t="s">
        <v>4124</v>
      </c>
      <c r="F5286" t="s">
        <v>4137</v>
      </c>
    </row>
    <row r="5287" spans="1:6">
      <c r="A5287" t="s">
        <v>9416</v>
      </c>
      <c r="B5287" t="s">
        <v>2052</v>
      </c>
      <c r="C5287" t="s">
        <v>59</v>
      </c>
      <c r="D5287" s="1">
        <v>45729</v>
      </c>
      <c r="E5287" t="s">
        <v>4135</v>
      </c>
      <c r="F5287" t="s">
        <v>4139</v>
      </c>
    </row>
    <row r="5288" spans="1:6">
      <c r="A5288" t="s">
        <v>9417</v>
      </c>
      <c r="B5288" t="s">
        <v>2052</v>
      </c>
      <c r="C5288" t="s">
        <v>59</v>
      </c>
      <c r="D5288" s="1">
        <v>45729</v>
      </c>
      <c r="E5288" t="s">
        <v>4124</v>
      </c>
      <c r="F5288" t="s">
        <v>4139</v>
      </c>
    </row>
    <row r="5289" spans="1:6">
      <c r="A5289" t="s">
        <v>9418</v>
      </c>
      <c r="B5289" t="s">
        <v>2052</v>
      </c>
      <c r="C5289" t="s">
        <v>59</v>
      </c>
      <c r="D5289" s="1">
        <v>45691</v>
      </c>
      <c r="E5289" t="s">
        <v>4135</v>
      </c>
      <c r="F5289" t="s">
        <v>4139</v>
      </c>
    </row>
    <row r="5290" spans="1:6">
      <c r="A5290" t="s">
        <v>9419</v>
      </c>
      <c r="B5290" t="s">
        <v>2052</v>
      </c>
      <c r="C5290" t="s">
        <v>59</v>
      </c>
      <c r="D5290" s="1">
        <v>45700</v>
      </c>
      <c r="E5290" t="s">
        <v>4127</v>
      </c>
      <c r="F5290" t="s">
        <v>4125</v>
      </c>
    </row>
    <row r="5291" spans="1:6">
      <c r="A5291" t="s">
        <v>9420</v>
      </c>
      <c r="B5291" t="s">
        <v>2052</v>
      </c>
      <c r="C5291" t="s">
        <v>59</v>
      </c>
      <c r="D5291" s="1">
        <v>45715</v>
      </c>
      <c r="E5291" t="s">
        <v>4124</v>
      </c>
      <c r="F5291" t="s">
        <v>4137</v>
      </c>
    </row>
    <row r="5292" spans="1:6">
      <c r="A5292" t="s">
        <v>9421</v>
      </c>
      <c r="B5292" t="s">
        <v>2053</v>
      </c>
      <c r="C5292" t="s">
        <v>91</v>
      </c>
      <c r="D5292" s="1">
        <v>45836</v>
      </c>
      <c r="E5292" t="s">
        <v>4124</v>
      </c>
      <c r="F5292" t="s">
        <v>4125</v>
      </c>
    </row>
    <row r="5293" spans="1:6">
      <c r="A5293" t="s">
        <v>9422</v>
      </c>
      <c r="B5293" t="s">
        <v>2053</v>
      </c>
      <c r="C5293" t="s">
        <v>91</v>
      </c>
      <c r="D5293" s="1">
        <v>45835</v>
      </c>
      <c r="E5293" t="s">
        <v>4133</v>
      </c>
      <c r="F5293" t="s">
        <v>4125</v>
      </c>
    </row>
    <row r="5294" spans="1:6">
      <c r="A5294" t="s">
        <v>9423</v>
      </c>
      <c r="B5294" t="s">
        <v>2054</v>
      </c>
      <c r="C5294" t="s">
        <v>32</v>
      </c>
      <c r="D5294" s="1">
        <v>45706</v>
      </c>
      <c r="E5294" t="s">
        <v>4129</v>
      </c>
      <c r="F5294" t="s">
        <v>4137</v>
      </c>
    </row>
    <row r="5295" spans="1:6">
      <c r="A5295" t="s">
        <v>9424</v>
      </c>
      <c r="B5295" t="s">
        <v>2054</v>
      </c>
      <c r="C5295" t="s">
        <v>32</v>
      </c>
      <c r="D5295" s="1">
        <v>45705</v>
      </c>
      <c r="E5295" t="s">
        <v>4127</v>
      </c>
      <c r="F5295" t="s">
        <v>4137</v>
      </c>
    </row>
    <row r="5296" spans="1:6">
      <c r="A5296" t="s">
        <v>9425</v>
      </c>
      <c r="B5296" t="s">
        <v>2054</v>
      </c>
      <c r="C5296" t="s">
        <v>32</v>
      </c>
      <c r="D5296" s="1">
        <v>45694</v>
      </c>
      <c r="E5296" t="s">
        <v>4133</v>
      </c>
      <c r="F5296" t="s">
        <v>4139</v>
      </c>
    </row>
    <row r="5297" spans="1:6">
      <c r="A5297" t="s">
        <v>9426</v>
      </c>
      <c r="B5297" t="s">
        <v>2054</v>
      </c>
      <c r="C5297" t="s">
        <v>32</v>
      </c>
      <c r="D5297" s="1">
        <v>45674</v>
      </c>
      <c r="E5297" t="s">
        <v>4133</v>
      </c>
      <c r="F5297" t="s">
        <v>4137</v>
      </c>
    </row>
    <row r="5298" spans="1:6">
      <c r="A5298" t="s">
        <v>9427</v>
      </c>
      <c r="B5298" t="s">
        <v>2054</v>
      </c>
      <c r="C5298" t="s">
        <v>32</v>
      </c>
      <c r="D5298" s="1">
        <v>45704</v>
      </c>
      <c r="E5298" t="s">
        <v>4124</v>
      </c>
      <c r="F5298" t="s">
        <v>4137</v>
      </c>
    </row>
    <row r="5299" spans="1:6">
      <c r="A5299" t="s">
        <v>9428</v>
      </c>
      <c r="B5299" t="s">
        <v>2055</v>
      </c>
      <c r="C5299" t="s">
        <v>91</v>
      </c>
      <c r="D5299" s="1">
        <v>45815</v>
      </c>
      <c r="E5299" t="s">
        <v>4135</v>
      </c>
      <c r="F5299" t="s">
        <v>4137</v>
      </c>
    </row>
    <row r="5300" spans="1:6">
      <c r="A5300" t="s">
        <v>9429</v>
      </c>
      <c r="B5300" t="s">
        <v>2055</v>
      </c>
      <c r="C5300" t="s">
        <v>91</v>
      </c>
      <c r="D5300" s="1">
        <v>45849</v>
      </c>
      <c r="E5300" t="s">
        <v>4129</v>
      </c>
      <c r="F5300" t="s">
        <v>4139</v>
      </c>
    </row>
    <row r="5301" spans="1:6">
      <c r="A5301" t="s">
        <v>9430</v>
      </c>
      <c r="B5301" t="s">
        <v>2055</v>
      </c>
      <c r="C5301" t="s">
        <v>91</v>
      </c>
      <c r="D5301" s="1">
        <v>45824</v>
      </c>
      <c r="E5301" t="s">
        <v>4129</v>
      </c>
      <c r="F5301" t="s">
        <v>4137</v>
      </c>
    </row>
    <row r="5302" spans="1:6">
      <c r="A5302" t="s">
        <v>9431</v>
      </c>
      <c r="B5302" t="s">
        <v>2055</v>
      </c>
      <c r="C5302" t="s">
        <v>91</v>
      </c>
      <c r="D5302" s="1">
        <v>45823</v>
      </c>
      <c r="E5302" t="s">
        <v>4133</v>
      </c>
      <c r="F5302" t="s">
        <v>4139</v>
      </c>
    </row>
    <row r="5303" spans="1:6">
      <c r="A5303" t="s">
        <v>9432</v>
      </c>
      <c r="B5303" t="s">
        <v>2055</v>
      </c>
      <c r="C5303" t="s">
        <v>91</v>
      </c>
      <c r="D5303" s="1">
        <v>45843</v>
      </c>
      <c r="E5303" t="s">
        <v>4133</v>
      </c>
      <c r="F5303" t="s">
        <v>4125</v>
      </c>
    </row>
    <row r="5304" spans="1:6">
      <c r="A5304" t="s">
        <v>9433</v>
      </c>
      <c r="B5304" t="s">
        <v>2056</v>
      </c>
      <c r="C5304" t="s">
        <v>36</v>
      </c>
      <c r="D5304" s="1">
        <v>45987</v>
      </c>
      <c r="E5304" t="s">
        <v>4124</v>
      </c>
      <c r="F5304" t="s">
        <v>4139</v>
      </c>
    </row>
    <row r="5305" spans="1:6">
      <c r="A5305" t="s">
        <v>9434</v>
      </c>
      <c r="B5305" t="s">
        <v>2056</v>
      </c>
      <c r="C5305" t="s">
        <v>36</v>
      </c>
      <c r="D5305" s="1">
        <v>45941</v>
      </c>
      <c r="E5305" t="s">
        <v>4129</v>
      </c>
      <c r="F5305" t="s">
        <v>4139</v>
      </c>
    </row>
    <row r="5306" spans="1:6">
      <c r="A5306" t="s">
        <v>9435</v>
      </c>
      <c r="B5306" t="s">
        <v>2056</v>
      </c>
      <c r="C5306" t="s">
        <v>36</v>
      </c>
      <c r="D5306" s="1">
        <v>45987</v>
      </c>
      <c r="E5306" t="s">
        <v>4124</v>
      </c>
      <c r="F5306" t="s">
        <v>4125</v>
      </c>
    </row>
    <row r="5307" spans="1:6">
      <c r="A5307" t="s">
        <v>9436</v>
      </c>
      <c r="B5307" t="s">
        <v>2057</v>
      </c>
      <c r="C5307" t="s">
        <v>119</v>
      </c>
      <c r="D5307" s="1">
        <v>45889</v>
      </c>
      <c r="E5307" t="s">
        <v>4135</v>
      </c>
      <c r="F5307" t="s">
        <v>4125</v>
      </c>
    </row>
    <row r="5308" spans="1:6">
      <c r="A5308" t="s">
        <v>9437</v>
      </c>
      <c r="B5308" t="s">
        <v>2057</v>
      </c>
      <c r="C5308" t="s">
        <v>119</v>
      </c>
      <c r="D5308" s="1">
        <v>45936</v>
      </c>
      <c r="E5308" t="s">
        <v>4135</v>
      </c>
      <c r="F5308" t="s">
        <v>4137</v>
      </c>
    </row>
    <row r="5309" spans="1:6">
      <c r="A5309" t="s">
        <v>9438</v>
      </c>
      <c r="B5309" t="s">
        <v>2057</v>
      </c>
      <c r="C5309" t="s">
        <v>119</v>
      </c>
      <c r="D5309" s="1">
        <v>45912</v>
      </c>
      <c r="E5309" t="s">
        <v>4124</v>
      </c>
      <c r="F5309" t="s">
        <v>4137</v>
      </c>
    </row>
    <row r="5310" spans="1:6">
      <c r="A5310" t="s">
        <v>9439</v>
      </c>
      <c r="B5310" t="s">
        <v>2057</v>
      </c>
      <c r="C5310" t="s">
        <v>119</v>
      </c>
      <c r="D5310" s="1">
        <v>45907</v>
      </c>
      <c r="E5310" t="s">
        <v>4124</v>
      </c>
      <c r="F5310" t="s">
        <v>4139</v>
      </c>
    </row>
    <row r="5311" spans="1:6">
      <c r="A5311" t="s">
        <v>9440</v>
      </c>
      <c r="B5311" t="s">
        <v>2057</v>
      </c>
      <c r="C5311" t="s">
        <v>119</v>
      </c>
      <c r="D5311" s="1">
        <v>45894</v>
      </c>
      <c r="E5311" t="s">
        <v>4133</v>
      </c>
      <c r="F5311" t="s">
        <v>4137</v>
      </c>
    </row>
    <row r="5312" spans="1:6">
      <c r="A5312" t="s">
        <v>9441</v>
      </c>
      <c r="B5312" t="s">
        <v>2058</v>
      </c>
      <c r="C5312" t="s">
        <v>91</v>
      </c>
      <c r="D5312" s="1">
        <v>45773</v>
      </c>
      <c r="E5312" t="s">
        <v>4129</v>
      </c>
      <c r="F5312" t="s">
        <v>4125</v>
      </c>
    </row>
    <row r="5313" spans="1:6">
      <c r="A5313" t="s">
        <v>9442</v>
      </c>
      <c r="B5313" t="s">
        <v>2058</v>
      </c>
      <c r="C5313" t="s">
        <v>91</v>
      </c>
      <c r="D5313" s="1">
        <v>45742</v>
      </c>
      <c r="E5313" t="s">
        <v>4127</v>
      </c>
      <c r="F5313" t="s">
        <v>4139</v>
      </c>
    </row>
    <row r="5314" spans="1:6">
      <c r="A5314" t="s">
        <v>9443</v>
      </c>
      <c r="B5314" t="s">
        <v>2059</v>
      </c>
      <c r="C5314" t="s">
        <v>126</v>
      </c>
      <c r="D5314" s="1">
        <v>46012</v>
      </c>
      <c r="E5314" t="s">
        <v>4127</v>
      </c>
      <c r="F5314" t="s">
        <v>4137</v>
      </c>
    </row>
    <row r="5315" spans="1:6">
      <c r="A5315" t="s">
        <v>9444</v>
      </c>
      <c r="B5315" t="s">
        <v>2059</v>
      </c>
      <c r="C5315" t="s">
        <v>126</v>
      </c>
      <c r="D5315" s="1">
        <v>46008</v>
      </c>
      <c r="E5315" t="s">
        <v>4124</v>
      </c>
      <c r="F5315" t="s">
        <v>4125</v>
      </c>
    </row>
    <row r="5316" spans="1:6">
      <c r="A5316" t="s">
        <v>9445</v>
      </c>
      <c r="B5316" t="s">
        <v>2059</v>
      </c>
      <c r="C5316" t="s">
        <v>126</v>
      </c>
      <c r="D5316" s="1">
        <v>46022</v>
      </c>
      <c r="E5316" t="s">
        <v>4133</v>
      </c>
      <c r="F5316" t="s">
        <v>4137</v>
      </c>
    </row>
    <row r="5317" spans="1:6">
      <c r="A5317" t="s">
        <v>9446</v>
      </c>
      <c r="B5317" t="s">
        <v>2061</v>
      </c>
      <c r="C5317" t="s">
        <v>75</v>
      </c>
      <c r="D5317" s="1">
        <v>46016</v>
      </c>
      <c r="E5317" t="s">
        <v>4124</v>
      </c>
      <c r="F5317" t="s">
        <v>4125</v>
      </c>
    </row>
    <row r="5318" spans="1:6">
      <c r="A5318" t="s">
        <v>9447</v>
      </c>
      <c r="B5318" t="s">
        <v>2061</v>
      </c>
      <c r="C5318" t="s">
        <v>75</v>
      </c>
      <c r="D5318" s="1">
        <v>46018</v>
      </c>
      <c r="E5318" t="s">
        <v>4127</v>
      </c>
      <c r="F5318" t="s">
        <v>4139</v>
      </c>
    </row>
    <row r="5319" spans="1:6">
      <c r="A5319" t="s">
        <v>9448</v>
      </c>
      <c r="B5319" t="s">
        <v>2061</v>
      </c>
      <c r="C5319" t="s">
        <v>75</v>
      </c>
      <c r="D5319" s="1">
        <v>46015</v>
      </c>
      <c r="E5319" t="s">
        <v>4133</v>
      </c>
      <c r="F5319" t="s">
        <v>4139</v>
      </c>
    </row>
    <row r="5320" spans="1:6">
      <c r="A5320" t="s">
        <v>9449</v>
      </c>
      <c r="B5320" t="s">
        <v>2062</v>
      </c>
      <c r="C5320" t="s">
        <v>75</v>
      </c>
      <c r="D5320" s="1">
        <v>45908</v>
      </c>
      <c r="E5320" t="s">
        <v>4129</v>
      </c>
      <c r="F5320" t="s">
        <v>4137</v>
      </c>
    </row>
    <row r="5321" spans="1:6">
      <c r="A5321" t="s">
        <v>9450</v>
      </c>
      <c r="B5321" t="s">
        <v>2062</v>
      </c>
      <c r="C5321" t="s">
        <v>75</v>
      </c>
      <c r="D5321" s="1">
        <v>45916</v>
      </c>
      <c r="E5321" t="s">
        <v>4127</v>
      </c>
      <c r="F5321" t="s">
        <v>4139</v>
      </c>
    </row>
    <row r="5322" spans="1:6">
      <c r="A5322" t="s">
        <v>9451</v>
      </c>
      <c r="B5322" t="s">
        <v>2062</v>
      </c>
      <c r="C5322" t="s">
        <v>75</v>
      </c>
      <c r="D5322" s="1">
        <v>45905</v>
      </c>
      <c r="E5322" t="s">
        <v>4133</v>
      </c>
      <c r="F5322" t="s">
        <v>4125</v>
      </c>
    </row>
    <row r="5323" spans="1:6">
      <c r="A5323" t="s">
        <v>9452</v>
      </c>
      <c r="B5323" t="s">
        <v>2062</v>
      </c>
      <c r="C5323" t="s">
        <v>75</v>
      </c>
      <c r="D5323" s="1">
        <v>45914</v>
      </c>
      <c r="E5323" t="s">
        <v>4129</v>
      </c>
      <c r="F5323" t="s">
        <v>4139</v>
      </c>
    </row>
    <row r="5324" spans="1:6">
      <c r="A5324" t="s">
        <v>9453</v>
      </c>
      <c r="B5324" t="s">
        <v>2063</v>
      </c>
      <c r="C5324" t="s">
        <v>152</v>
      </c>
      <c r="D5324" s="1">
        <v>45851</v>
      </c>
      <c r="E5324" t="s">
        <v>4124</v>
      </c>
      <c r="F5324" t="s">
        <v>4137</v>
      </c>
    </row>
    <row r="5325" spans="1:6">
      <c r="A5325" t="s">
        <v>9454</v>
      </c>
      <c r="B5325" t="s">
        <v>2063</v>
      </c>
      <c r="C5325" t="s">
        <v>152</v>
      </c>
      <c r="D5325" s="1">
        <v>45841</v>
      </c>
      <c r="E5325" t="s">
        <v>4127</v>
      </c>
      <c r="F5325" t="s">
        <v>4137</v>
      </c>
    </row>
    <row r="5326" spans="1:6">
      <c r="A5326" t="s">
        <v>9455</v>
      </c>
      <c r="B5326" t="s">
        <v>2063</v>
      </c>
      <c r="C5326" t="s">
        <v>152</v>
      </c>
      <c r="D5326" s="1">
        <v>45862</v>
      </c>
      <c r="E5326" t="s">
        <v>4133</v>
      </c>
      <c r="F5326" t="s">
        <v>4137</v>
      </c>
    </row>
    <row r="5327" spans="1:6">
      <c r="A5327" t="s">
        <v>9456</v>
      </c>
      <c r="B5327" t="s">
        <v>2064</v>
      </c>
      <c r="C5327" t="s">
        <v>50</v>
      </c>
      <c r="D5327" s="1">
        <v>45958</v>
      </c>
      <c r="E5327" t="s">
        <v>4129</v>
      </c>
      <c r="F5327" t="s">
        <v>4139</v>
      </c>
    </row>
    <row r="5328" spans="1:6">
      <c r="A5328" t="s">
        <v>9457</v>
      </c>
      <c r="B5328" t="s">
        <v>2064</v>
      </c>
      <c r="C5328" t="s">
        <v>50</v>
      </c>
      <c r="D5328" s="1">
        <v>45950</v>
      </c>
      <c r="E5328" t="s">
        <v>4133</v>
      </c>
      <c r="F5328" t="s">
        <v>4139</v>
      </c>
    </row>
    <row r="5329" spans="1:6">
      <c r="A5329" t="s">
        <v>9458</v>
      </c>
      <c r="B5329" t="s">
        <v>2065</v>
      </c>
      <c r="C5329" t="s">
        <v>59</v>
      </c>
      <c r="D5329" s="1">
        <v>45681</v>
      </c>
      <c r="E5329" t="s">
        <v>4129</v>
      </c>
      <c r="F5329" t="s">
        <v>4125</v>
      </c>
    </row>
    <row r="5330" spans="1:6">
      <c r="A5330" t="s">
        <v>9459</v>
      </c>
      <c r="B5330" t="s">
        <v>2065</v>
      </c>
      <c r="C5330" t="s">
        <v>59</v>
      </c>
      <c r="D5330" s="1">
        <v>45679</v>
      </c>
      <c r="E5330" t="s">
        <v>4129</v>
      </c>
      <c r="F5330" t="s">
        <v>4137</v>
      </c>
    </row>
    <row r="5331" spans="1:6">
      <c r="A5331" t="s">
        <v>9460</v>
      </c>
      <c r="B5331" t="s">
        <v>2065</v>
      </c>
      <c r="C5331" t="s">
        <v>59</v>
      </c>
      <c r="D5331" s="1">
        <v>45693</v>
      </c>
      <c r="E5331" t="s">
        <v>4129</v>
      </c>
      <c r="F5331" t="s">
        <v>4137</v>
      </c>
    </row>
    <row r="5332" spans="1:6">
      <c r="A5332" t="s">
        <v>9461</v>
      </c>
      <c r="B5332" t="s">
        <v>2065</v>
      </c>
      <c r="C5332" t="s">
        <v>59</v>
      </c>
      <c r="D5332" s="1">
        <v>45680</v>
      </c>
      <c r="E5332" t="s">
        <v>4129</v>
      </c>
      <c r="F5332" t="s">
        <v>4137</v>
      </c>
    </row>
    <row r="5333" spans="1:6">
      <c r="A5333" t="s">
        <v>9462</v>
      </c>
      <c r="B5333" t="s">
        <v>2065</v>
      </c>
      <c r="C5333" t="s">
        <v>59</v>
      </c>
      <c r="D5333" s="1">
        <v>45681</v>
      </c>
      <c r="E5333" t="s">
        <v>4133</v>
      </c>
      <c r="F5333" t="s">
        <v>4137</v>
      </c>
    </row>
    <row r="5334" spans="1:6">
      <c r="A5334" t="s">
        <v>9463</v>
      </c>
      <c r="B5334" t="s">
        <v>2066</v>
      </c>
      <c r="C5334" t="s">
        <v>40</v>
      </c>
      <c r="D5334" s="1">
        <v>45967</v>
      </c>
      <c r="E5334" t="s">
        <v>4127</v>
      </c>
      <c r="F5334" t="s">
        <v>4139</v>
      </c>
    </row>
    <row r="5335" spans="1:6">
      <c r="A5335" t="s">
        <v>9464</v>
      </c>
      <c r="B5335" t="s">
        <v>2066</v>
      </c>
      <c r="C5335" t="s">
        <v>40</v>
      </c>
      <c r="D5335" s="1">
        <v>45975</v>
      </c>
      <c r="E5335" t="s">
        <v>4133</v>
      </c>
      <c r="F5335" t="s">
        <v>4139</v>
      </c>
    </row>
    <row r="5336" spans="1:6">
      <c r="A5336" t="s">
        <v>9465</v>
      </c>
      <c r="B5336" t="s">
        <v>2066</v>
      </c>
      <c r="C5336" t="s">
        <v>40</v>
      </c>
      <c r="D5336" s="1">
        <v>45960</v>
      </c>
      <c r="E5336" t="s">
        <v>4135</v>
      </c>
      <c r="F5336" t="s">
        <v>4125</v>
      </c>
    </row>
    <row r="5337" spans="1:6">
      <c r="A5337" t="s">
        <v>9466</v>
      </c>
      <c r="B5337" t="s">
        <v>2066</v>
      </c>
      <c r="C5337" t="s">
        <v>40</v>
      </c>
      <c r="D5337" s="1">
        <v>45983</v>
      </c>
      <c r="E5337" t="s">
        <v>4129</v>
      </c>
      <c r="F5337" t="s">
        <v>4139</v>
      </c>
    </row>
    <row r="5338" spans="1:6">
      <c r="A5338" t="s">
        <v>9467</v>
      </c>
      <c r="B5338" t="s">
        <v>2066</v>
      </c>
      <c r="C5338" t="s">
        <v>40</v>
      </c>
      <c r="D5338" s="1">
        <v>45978</v>
      </c>
      <c r="E5338" t="s">
        <v>4133</v>
      </c>
      <c r="F5338" t="s">
        <v>4139</v>
      </c>
    </row>
    <row r="5339" spans="1:6">
      <c r="A5339" t="s">
        <v>9468</v>
      </c>
      <c r="B5339" t="s">
        <v>2068</v>
      </c>
      <c r="C5339" t="s">
        <v>53</v>
      </c>
      <c r="D5339" s="1">
        <v>45792</v>
      </c>
      <c r="E5339" t="s">
        <v>4135</v>
      </c>
      <c r="F5339" t="s">
        <v>4125</v>
      </c>
    </row>
    <row r="5340" spans="1:6">
      <c r="A5340" t="s">
        <v>9469</v>
      </c>
      <c r="B5340" t="s">
        <v>2068</v>
      </c>
      <c r="C5340" t="s">
        <v>53</v>
      </c>
      <c r="D5340" s="1">
        <v>45794</v>
      </c>
      <c r="E5340" t="s">
        <v>4133</v>
      </c>
      <c r="F5340" t="s">
        <v>4139</v>
      </c>
    </row>
    <row r="5341" spans="1:6">
      <c r="A5341" t="s">
        <v>9470</v>
      </c>
      <c r="B5341" t="s">
        <v>2068</v>
      </c>
      <c r="C5341" t="s">
        <v>53</v>
      </c>
      <c r="D5341" s="1">
        <v>45795</v>
      </c>
      <c r="E5341" t="s">
        <v>4124</v>
      </c>
      <c r="F5341" t="s">
        <v>4137</v>
      </c>
    </row>
    <row r="5342" spans="1:6">
      <c r="A5342" t="s">
        <v>9471</v>
      </c>
      <c r="B5342" t="s">
        <v>2069</v>
      </c>
      <c r="C5342" t="s">
        <v>91</v>
      </c>
      <c r="D5342" s="1">
        <v>45726</v>
      </c>
      <c r="E5342" t="s">
        <v>4124</v>
      </c>
      <c r="F5342" t="s">
        <v>4137</v>
      </c>
    </row>
    <row r="5343" spans="1:6">
      <c r="A5343" t="s">
        <v>9472</v>
      </c>
      <c r="B5343" t="s">
        <v>2069</v>
      </c>
      <c r="C5343" t="s">
        <v>91</v>
      </c>
      <c r="D5343" s="1">
        <v>45708</v>
      </c>
      <c r="E5343" t="s">
        <v>4124</v>
      </c>
      <c r="F5343" t="s">
        <v>4137</v>
      </c>
    </row>
    <row r="5344" spans="1:6">
      <c r="A5344" t="s">
        <v>9473</v>
      </c>
      <c r="B5344" t="s">
        <v>2070</v>
      </c>
      <c r="C5344" t="s">
        <v>70</v>
      </c>
      <c r="D5344" s="1">
        <v>45760</v>
      </c>
      <c r="E5344" t="s">
        <v>4133</v>
      </c>
      <c r="F5344" t="s">
        <v>4139</v>
      </c>
    </row>
    <row r="5345" spans="1:6">
      <c r="A5345" t="s">
        <v>9474</v>
      </c>
      <c r="B5345" t="s">
        <v>2070</v>
      </c>
      <c r="C5345" t="s">
        <v>70</v>
      </c>
      <c r="D5345" s="1">
        <v>45763</v>
      </c>
      <c r="E5345" t="s">
        <v>4124</v>
      </c>
      <c r="F5345" t="s">
        <v>4139</v>
      </c>
    </row>
    <row r="5346" spans="1:6">
      <c r="A5346" t="s">
        <v>9475</v>
      </c>
      <c r="B5346" t="s">
        <v>2070</v>
      </c>
      <c r="C5346" t="s">
        <v>70</v>
      </c>
      <c r="D5346" s="1">
        <v>45738</v>
      </c>
      <c r="E5346" t="s">
        <v>4129</v>
      </c>
      <c r="F5346" t="s">
        <v>4137</v>
      </c>
    </row>
    <row r="5347" spans="1:6">
      <c r="A5347" t="s">
        <v>9476</v>
      </c>
      <c r="B5347" t="s">
        <v>2071</v>
      </c>
      <c r="C5347" t="s">
        <v>56</v>
      </c>
      <c r="D5347" s="1">
        <v>45784</v>
      </c>
      <c r="E5347" t="s">
        <v>4129</v>
      </c>
      <c r="F5347" t="s">
        <v>4139</v>
      </c>
    </row>
    <row r="5348" spans="1:6">
      <c r="A5348" t="s">
        <v>9477</v>
      </c>
      <c r="B5348" t="s">
        <v>2071</v>
      </c>
      <c r="C5348" t="s">
        <v>56</v>
      </c>
      <c r="D5348" s="1">
        <v>45804</v>
      </c>
      <c r="E5348" t="s">
        <v>4129</v>
      </c>
      <c r="F5348" t="s">
        <v>4125</v>
      </c>
    </row>
    <row r="5349" spans="1:6">
      <c r="A5349" t="s">
        <v>9478</v>
      </c>
      <c r="B5349" t="s">
        <v>2071</v>
      </c>
      <c r="C5349" t="s">
        <v>56</v>
      </c>
      <c r="D5349" s="1">
        <v>45755</v>
      </c>
      <c r="E5349" t="s">
        <v>4124</v>
      </c>
      <c r="F5349" t="s">
        <v>4139</v>
      </c>
    </row>
    <row r="5350" spans="1:6">
      <c r="A5350" t="s">
        <v>9479</v>
      </c>
      <c r="B5350" t="s">
        <v>2072</v>
      </c>
      <c r="C5350" t="s">
        <v>152</v>
      </c>
      <c r="D5350" s="1">
        <v>45838</v>
      </c>
      <c r="E5350" t="s">
        <v>4127</v>
      </c>
      <c r="F5350" t="s">
        <v>4125</v>
      </c>
    </row>
    <row r="5351" spans="1:6">
      <c r="A5351" t="s">
        <v>9480</v>
      </c>
      <c r="B5351" t="s">
        <v>2072</v>
      </c>
      <c r="C5351" t="s">
        <v>152</v>
      </c>
      <c r="D5351" s="1">
        <v>45897</v>
      </c>
      <c r="E5351" t="s">
        <v>4127</v>
      </c>
      <c r="F5351" t="s">
        <v>4125</v>
      </c>
    </row>
    <row r="5352" spans="1:6">
      <c r="A5352" t="s">
        <v>9481</v>
      </c>
      <c r="B5352" t="s">
        <v>2072</v>
      </c>
      <c r="C5352" t="s">
        <v>152</v>
      </c>
      <c r="D5352" s="1">
        <v>45841</v>
      </c>
      <c r="E5352" t="s">
        <v>4129</v>
      </c>
      <c r="F5352" t="s">
        <v>4125</v>
      </c>
    </row>
    <row r="5353" spans="1:6">
      <c r="A5353" t="s">
        <v>9482</v>
      </c>
      <c r="B5353" t="s">
        <v>2072</v>
      </c>
      <c r="C5353" t="s">
        <v>152</v>
      </c>
      <c r="D5353" s="1">
        <v>45887</v>
      </c>
      <c r="E5353" t="s">
        <v>4133</v>
      </c>
      <c r="F5353" t="s">
        <v>4139</v>
      </c>
    </row>
    <row r="5354" spans="1:6">
      <c r="A5354" t="s">
        <v>9483</v>
      </c>
      <c r="B5354" t="s">
        <v>2072</v>
      </c>
      <c r="C5354" t="s">
        <v>152</v>
      </c>
      <c r="D5354" s="1">
        <v>45875</v>
      </c>
      <c r="E5354" t="s">
        <v>4133</v>
      </c>
      <c r="F5354" t="s">
        <v>4125</v>
      </c>
    </row>
    <row r="5355" spans="1:6">
      <c r="A5355" t="s">
        <v>9484</v>
      </c>
      <c r="B5355" t="s">
        <v>2073</v>
      </c>
      <c r="C5355" t="s">
        <v>22</v>
      </c>
      <c r="D5355" s="1">
        <v>45928</v>
      </c>
      <c r="E5355" t="s">
        <v>4133</v>
      </c>
      <c r="F5355" t="s">
        <v>4139</v>
      </c>
    </row>
    <row r="5356" spans="1:6">
      <c r="A5356" t="s">
        <v>9485</v>
      </c>
      <c r="B5356" t="s">
        <v>2073</v>
      </c>
      <c r="C5356" t="s">
        <v>22</v>
      </c>
      <c r="D5356" s="1">
        <v>45931</v>
      </c>
      <c r="E5356" t="s">
        <v>4129</v>
      </c>
      <c r="F5356" t="s">
        <v>4125</v>
      </c>
    </row>
    <row r="5357" spans="1:6">
      <c r="A5357" t="s">
        <v>9486</v>
      </c>
      <c r="B5357" t="s">
        <v>2074</v>
      </c>
      <c r="C5357" t="s">
        <v>126</v>
      </c>
      <c r="D5357" s="1">
        <v>45797</v>
      </c>
      <c r="E5357" t="s">
        <v>4135</v>
      </c>
      <c r="F5357" t="s">
        <v>4137</v>
      </c>
    </row>
    <row r="5358" spans="1:6">
      <c r="A5358" t="s">
        <v>9487</v>
      </c>
      <c r="B5358" t="s">
        <v>2074</v>
      </c>
      <c r="C5358" t="s">
        <v>126</v>
      </c>
      <c r="D5358" s="1">
        <v>45797</v>
      </c>
      <c r="E5358" t="s">
        <v>4127</v>
      </c>
      <c r="F5358" t="s">
        <v>4125</v>
      </c>
    </row>
    <row r="5359" spans="1:6">
      <c r="A5359" t="s">
        <v>9488</v>
      </c>
      <c r="B5359" t="s">
        <v>2074</v>
      </c>
      <c r="C5359" t="s">
        <v>126</v>
      </c>
      <c r="D5359" s="1">
        <v>45784</v>
      </c>
      <c r="E5359" t="s">
        <v>4129</v>
      </c>
      <c r="F5359" t="s">
        <v>4139</v>
      </c>
    </row>
    <row r="5360" spans="1:6">
      <c r="A5360" t="s">
        <v>9489</v>
      </c>
      <c r="B5360" t="s">
        <v>2074</v>
      </c>
      <c r="C5360" t="s">
        <v>126</v>
      </c>
      <c r="D5360" s="1">
        <v>45789</v>
      </c>
      <c r="E5360" t="s">
        <v>4129</v>
      </c>
      <c r="F5360" t="s">
        <v>4125</v>
      </c>
    </row>
    <row r="5361" spans="1:6">
      <c r="A5361" t="s">
        <v>9490</v>
      </c>
      <c r="B5361" t="s">
        <v>2075</v>
      </c>
      <c r="C5361" t="s">
        <v>152</v>
      </c>
      <c r="D5361" s="1">
        <v>45731</v>
      </c>
      <c r="E5361" t="s">
        <v>4133</v>
      </c>
      <c r="F5361" t="s">
        <v>4137</v>
      </c>
    </row>
    <row r="5362" spans="1:6">
      <c r="A5362" t="s">
        <v>9491</v>
      </c>
      <c r="B5362" t="s">
        <v>2075</v>
      </c>
      <c r="C5362" t="s">
        <v>152</v>
      </c>
      <c r="D5362" s="1">
        <v>45742</v>
      </c>
      <c r="E5362" t="s">
        <v>4124</v>
      </c>
      <c r="F5362" t="s">
        <v>4137</v>
      </c>
    </row>
    <row r="5363" spans="1:6">
      <c r="A5363" t="s">
        <v>9492</v>
      </c>
      <c r="B5363" t="s">
        <v>2075</v>
      </c>
      <c r="C5363" t="s">
        <v>152</v>
      </c>
      <c r="D5363" s="1">
        <v>45728</v>
      </c>
      <c r="E5363" t="s">
        <v>4127</v>
      </c>
      <c r="F5363" t="s">
        <v>4139</v>
      </c>
    </row>
    <row r="5364" spans="1:6">
      <c r="A5364" t="s">
        <v>9493</v>
      </c>
      <c r="B5364" t="s">
        <v>2075</v>
      </c>
      <c r="C5364" t="s">
        <v>152</v>
      </c>
      <c r="D5364" s="1">
        <v>45740</v>
      </c>
      <c r="E5364" t="s">
        <v>4129</v>
      </c>
      <c r="F5364" t="s">
        <v>4137</v>
      </c>
    </row>
    <row r="5365" spans="1:6">
      <c r="A5365" t="s">
        <v>9494</v>
      </c>
      <c r="B5365" t="s">
        <v>2076</v>
      </c>
      <c r="C5365" t="s">
        <v>56</v>
      </c>
      <c r="D5365" s="1">
        <v>45890</v>
      </c>
      <c r="E5365" t="s">
        <v>4133</v>
      </c>
      <c r="F5365" t="s">
        <v>4139</v>
      </c>
    </row>
    <row r="5366" spans="1:6">
      <c r="A5366" t="s">
        <v>9495</v>
      </c>
      <c r="B5366" t="s">
        <v>2076</v>
      </c>
      <c r="C5366" t="s">
        <v>56</v>
      </c>
      <c r="D5366" s="1">
        <v>45877</v>
      </c>
      <c r="E5366" t="s">
        <v>4129</v>
      </c>
      <c r="F5366" t="s">
        <v>4137</v>
      </c>
    </row>
    <row r="5367" spans="1:6">
      <c r="A5367" t="s">
        <v>9496</v>
      </c>
      <c r="B5367" t="s">
        <v>2076</v>
      </c>
      <c r="C5367" t="s">
        <v>56</v>
      </c>
      <c r="D5367" s="1">
        <v>45891</v>
      </c>
      <c r="E5367" t="s">
        <v>4124</v>
      </c>
      <c r="F5367" t="s">
        <v>4139</v>
      </c>
    </row>
    <row r="5368" spans="1:6">
      <c r="A5368" t="s">
        <v>9497</v>
      </c>
      <c r="B5368" t="s">
        <v>2077</v>
      </c>
      <c r="C5368" t="s">
        <v>32</v>
      </c>
      <c r="D5368" s="1">
        <v>46022</v>
      </c>
      <c r="E5368" t="s">
        <v>4127</v>
      </c>
      <c r="F5368" t="s">
        <v>4139</v>
      </c>
    </row>
    <row r="5369" spans="1:6">
      <c r="A5369" t="s">
        <v>9498</v>
      </c>
      <c r="B5369" t="s">
        <v>2077</v>
      </c>
      <c r="C5369" t="s">
        <v>32</v>
      </c>
      <c r="D5369" s="1">
        <v>46022</v>
      </c>
      <c r="E5369" t="s">
        <v>4127</v>
      </c>
      <c r="F5369" t="s">
        <v>4137</v>
      </c>
    </row>
    <row r="5370" spans="1:6">
      <c r="A5370" t="s">
        <v>9499</v>
      </c>
      <c r="B5370" t="s">
        <v>2077</v>
      </c>
      <c r="C5370" t="s">
        <v>32</v>
      </c>
      <c r="D5370" s="1">
        <v>46022</v>
      </c>
      <c r="E5370" t="s">
        <v>4124</v>
      </c>
      <c r="F5370" t="s">
        <v>4125</v>
      </c>
    </row>
    <row r="5371" spans="1:6">
      <c r="A5371" t="s">
        <v>9500</v>
      </c>
      <c r="B5371" t="s">
        <v>2078</v>
      </c>
      <c r="C5371" t="s">
        <v>63</v>
      </c>
      <c r="D5371" s="1">
        <v>45855</v>
      </c>
      <c r="E5371" t="s">
        <v>4129</v>
      </c>
      <c r="F5371" t="s">
        <v>4125</v>
      </c>
    </row>
    <row r="5372" spans="1:6">
      <c r="A5372" t="s">
        <v>9501</v>
      </c>
      <c r="B5372" t="s">
        <v>2078</v>
      </c>
      <c r="C5372" t="s">
        <v>63</v>
      </c>
      <c r="D5372" s="1">
        <v>45851</v>
      </c>
      <c r="E5372" t="s">
        <v>4135</v>
      </c>
      <c r="F5372" t="s">
        <v>4137</v>
      </c>
    </row>
    <row r="5373" spans="1:6">
      <c r="A5373" t="s">
        <v>9502</v>
      </c>
      <c r="B5373" t="s">
        <v>2079</v>
      </c>
      <c r="C5373" t="s">
        <v>46</v>
      </c>
      <c r="D5373" s="1">
        <v>45987</v>
      </c>
      <c r="E5373" t="s">
        <v>4133</v>
      </c>
      <c r="F5373" t="s">
        <v>4125</v>
      </c>
    </row>
    <row r="5374" spans="1:6">
      <c r="A5374" t="s">
        <v>9503</v>
      </c>
      <c r="B5374" t="s">
        <v>2079</v>
      </c>
      <c r="C5374" t="s">
        <v>46</v>
      </c>
      <c r="D5374" s="1">
        <v>46004</v>
      </c>
      <c r="E5374" t="s">
        <v>4133</v>
      </c>
      <c r="F5374" t="s">
        <v>4125</v>
      </c>
    </row>
    <row r="5375" spans="1:6">
      <c r="A5375" t="s">
        <v>9504</v>
      </c>
      <c r="B5375" t="s">
        <v>2080</v>
      </c>
      <c r="C5375" t="s">
        <v>152</v>
      </c>
      <c r="D5375" s="1">
        <v>45929</v>
      </c>
      <c r="E5375" t="s">
        <v>4135</v>
      </c>
      <c r="F5375" t="s">
        <v>4139</v>
      </c>
    </row>
    <row r="5376" spans="1:6">
      <c r="A5376" t="s">
        <v>9505</v>
      </c>
      <c r="B5376" t="s">
        <v>2080</v>
      </c>
      <c r="C5376" t="s">
        <v>152</v>
      </c>
      <c r="D5376" s="1">
        <v>45928</v>
      </c>
      <c r="E5376" t="s">
        <v>4127</v>
      </c>
      <c r="F5376" t="s">
        <v>4125</v>
      </c>
    </row>
    <row r="5377" spans="1:6">
      <c r="A5377" t="s">
        <v>9506</v>
      </c>
      <c r="B5377" t="s">
        <v>2080</v>
      </c>
      <c r="C5377" t="s">
        <v>152</v>
      </c>
      <c r="D5377" s="1">
        <v>45914</v>
      </c>
      <c r="E5377" t="s">
        <v>4133</v>
      </c>
      <c r="F5377" t="s">
        <v>4139</v>
      </c>
    </row>
    <row r="5378" spans="1:6">
      <c r="A5378" t="s">
        <v>9507</v>
      </c>
      <c r="B5378" t="s">
        <v>2080</v>
      </c>
      <c r="C5378" t="s">
        <v>152</v>
      </c>
      <c r="D5378" s="1">
        <v>45931</v>
      </c>
      <c r="E5378" t="s">
        <v>4129</v>
      </c>
      <c r="F5378" t="s">
        <v>4139</v>
      </c>
    </row>
    <row r="5379" spans="1:6">
      <c r="A5379" t="s">
        <v>9508</v>
      </c>
      <c r="B5379" t="s">
        <v>2080</v>
      </c>
      <c r="C5379" t="s">
        <v>152</v>
      </c>
      <c r="D5379" s="1">
        <v>45908</v>
      </c>
      <c r="E5379" t="s">
        <v>4129</v>
      </c>
      <c r="F5379" t="s">
        <v>4139</v>
      </c>
    </row>
    <row r="5380" spans="1:6">
      <c r="A5380" t="s">
        <v>9509</v>
      </c>
      <c r="B5380" t="s">
        <v>2081</v>
      </c>
      <c r="C5380" t="s">
        <v>46</v>
      </c>
      <c r="D5380" s="1">
        <v>45714</v>
      </c>
      <c r="E5380" t="s">
        <v>4135</v>
      </c>
      <c r="F5380" t="s">
        <v>4137</v>
      </c>
    </row>
    <row r="5381" spans="1:6">
      <c r="A5381" t="s">
        <v>9510</v>
      </c>
      <c r="B5381" t="s">
        <v>2081</v>
      </c>
      <c r="C5381" t="s">
        <v>46</v>
      </c>
      <c r="D5381" s="1">
        <v>45718</v>
      </c>
      <c r="E5381" t="s">
        <v>4133</v>
      </c>
      <c r="F5381" t="s">
        <v>4137</v>
      </c>
    </row>
    <row r="5382" spans="1:6">
      <c r="A5382" t="s">
        <v>9511</v>
      </c>
      <c r="B5382" t="s">
        <v>2081</v>
      </c>
      <c r="C5382" t="s">
        <v>46</v>
      </c>
      <c r="D5382" s="1">
        <v>45724</v>
      </c>
      <c r="E5382" t="s">
        <v>4127</v>
      </c>
      <c r="F5382" t="s">
        <v>4137</v>
      </c>
    </row>
    <row r="5383" spans="1:6">
      <c r="A5383" t="s">
        <v>9512</v>
      </c>
      <c r="B5383" t="s">
        <v>2081</v>
      </c>
      <c r="C5383" t="s">
        <v>46</v>
      </c>
      <c r="D5383" s="1">
        <v>45727</v>
      </c>
      <c r="E5383" t="s">
        <v>4133</v>
      </c>
      <c r="F5383" t="s">
        <v>4139</v>
      </c>
    </row>
    <row r="5384" spans="1:6">
      <c r="A5384" t="s">
        <v>9513</v>
      </c>
      <c r="B5384" t="s">
        <v>2081</v>
      </c>
      <c r="C5384" t="s">
        <v>46</v>
      </c>
      <c r="D5384" s="1">
        <v>45729</v>
      </c>
      <c r="E5384" t="s">
        <v>4133</v>
      </c>
      <c r="F5384" t="s">
        <v>4125</v>
      </c>
    </row>
    <row r="5385" spans="1:6">
      <c r="A5385" t="s">
        <v>9514</v>
      </c>
      <c r="B5385" t="s">
        <v>2082</v>
      </c>
      <c r="C5385" t="s">
        <v>63</v>
      </c>
      <c r="D5385" s="1">
        <v>45791</v>
      </c>
      <c r="E5385" t="s">
        <v>4135</v>
      </c>
      <c r="F5385" t="s">
        <v>4139</v>
      </c>
    </row>
    <row r="5386" spans="1:6">
      <c r="A5386" t="s">
        <v>9515</v>
      </c>
      <c r="B5386" t="s">
        <v>2082</v>
      </c>
      <c r="C5386" t="s">
        <v>63</v>
      </c>
      <c r="D5386" s="1">
        <v>45808</v>
      </c>
      <c r="E5386" t="s">
        <v>4129</v>
      </c>
      <c r="F5386" t="s">
        <v>4125</v>
      </c>
    </row>
    <row r="5387" spans="1:6">
      <c r="A5387" t="s">
        <v>9516</v>
      </c>
      <c r="B5387" t="s">
        <v>2082</v>
      </c>
      <c r="C5387" t="s">
        <v>63</v>
      </c>
      <c r="D5387" s="1">
        <v>45787</v>
      </c>
      <c r="E5387" t="s">
        <v>4127</v>
      </c>
      <c r="F5387" t="s">
        <v>4125</v>
      </c>
    </row>
    <row r="5388" spans="1:6">
      <c r="A5388" t="s">
        <v>9517</v>
      </c>
      <c r="B5388" t="s">
        <v>2082</v>
      </c>
      <c r="C5388" t="s">
        <v>63</v>
      </c>
      <c r="D5388" s="1">
        <v>45798</v>
      </c>
      <c r="E5388" t="s">
        <v>4124</v>
      </c>
      <c r="F5388" t="s">
        <v>4125</v>
      </c>
    </row>
    <row r="5389" spans="1:6">
      <c r="A5389" t="s">
        <v>9518</v>
      </c>
      <c r="B5389" t="s">
        <v>2082</v>
      </c>
      <c r="C5389" t="s">
        <v>63</v>
      </c>
      <c r="D5389" s="1">
        <v>45802</v>
      </c>
      <c r="E5389" t="s">
        <v>4124</v>
      </c>
      <c r="F5389" t="s">
        <v>4139</v>
      </c>
    </row>
    <row r="5390" spans="1:6">
      <c r="A5390" t="s">
        <v>9519</v>
      </c>
      <c r="B5390" t="s">
        <v>2083</v>
      </c>
      <c r="C5390" t="s">
        <v>50</v>
      </c>
      <c r="D5390" s="1">
        <v>45691</v>
      </c>
      <c r="E5390" t="s">
        <v>4135</v>
      </c>
      <c r="F5390" t="s">
        <v>4137</v>
      </c>
    </row>
    <row r="5391" spans="1:6">
      <c r="A5391" t="s">
        <v>9520</v>
      </c>
      <c r="B5391" t="s">
        <v>2083</v>
      </c>
      <c r="C5391" t="s">
        <v>50</v>
      </c>
      <c r="D5391" s="1">
        <v>45678</v>
      </c>
      <c r="E5391" t="s">
        <v>4133</v>
      </c>
      <c r="F5391" t="s">
        <v>4139</v>
      </c>
    </row>
    <row r="5392" spans="1:6">
      <c r="A5392" t="s">
        <v>9521</v>
      </c>
      <c r="B5392" t="s">
        <v>2083</v>
      </c>
      <c r="C5392" t="s">
        <v>50</v>
      </c>
      <c r="D5392" s="1">
        <v>45691</v>
      </c>
      <c r="E5392" t="s">
        <v>4135</v>
      </c>
      <c r="F5392" t="s">
        <v>4139</v>
      </c>
    </row>
    <row r="5393" spans="1:6">
      <c r="A5393" t="s">
        <v>9522</v>
      </c>
      <c r="B5393" t="s">
        <v>2083</v>
      </c>
      <c r="C5393" t="s">
        <v>50</v>
      </c>
      <c r="D5393" s="1">
        <v>45687</v>
      </c>
      <c r="E5393" t="s">
        <v>4129</v>
      </c>
      <c r="F5393" t="s">
        <v>4139</v>
      </c>
    </row>
    <row r="5394" spans="1:6">
      <c r="A5394" t="s">
        <v>9523</v>
      </c>
      <c r="B5394" t="s">
        <v>2083</v>
      </c>
      <c r="C5394" t="s">
        <v>50</v>
      </c>
      <c r="D5394" s="1">
        <v>45686</v>
      </c>
      <c r="E5394" t="s">
        <v>4133</v>
      </c>
      <c r="F5394" t="s">
        <v>4125</v>
      </c>
    </row>
    <row r="5395" spans="1:6">
      <c r="A5395" t="s">
        <v>9524</v>
      </c>
      <c r="B5395" t="s">
        <v>2084</v>
      </c>
      <c r="C5395" t="s">
        <v>53</v>
      </c>
      <c r="D5395" s="1">
        <v>45897</v>
      </c>
      <c r="E5395" t="s">
        <v>4124</v>
      </c>
      <c r="F5395" t="s">
        <v>4125</v>
      </c>
    </row>
    <row r="5396" spans="1:6">
      <c r="A5396" t="s">
        <v>9525</v>
      </c>
      <c r="B5396" t="s">
        <v>2084</v>
      </c>
      <c r="C5396" t="s">
        <v>53</v>
      </c>
      <c r="D5396" s="1">
        <v>45941</v>
      </c>
      <c r="E5396" t="s">
        <v>4135</v>
      </c>
      <c r="F5396" t="s">
        <v>4125</v>
      </c>
    </row>
    <row r="5397" spans="1:6">
      <c r="A5397" t="s">
        <v>9526</v>
      </c>
      <c r="B5397" t="s">
        <v>2084</v>
      </c>
      <c r="C5397" t="s">
        <v>53</v>
      </c>
      <c r="D5397" s="1">
        <v>45920</v>
      </c>
      <c r="E5397" t="s">
        <v>4127</v>
      </c>
      <c r="F5397" t="s">
        <v>4137</v>
      </c>
    </row>
    <row r="5398" spans="1:6">
      <c r="A5398" t="s">
        <v>9527</v>
      </c>
      <c r="B5398" t="s">
        <v>2084</v>
      </c>
      <c r="C5398" t="s">
        <v>53</v>
      </c>
      <c r="D5398" s="1">
        <v>45885</v>
      </c>
      <c r="E5398" t="s">
        <v>4127</v>
      </c>
      <c r="F5398" t="s">
        <v>4139</v>
      </c>
    </row>
    <row r="5399" spans="1:6">
      <c r="A5399" t="s">
        <v>9528</v>
      </c>
      <c r="B5399" t="s">
        <v>2085</v>
      </c>
      <c r="C5399" t="s">
        <v>27</v>
      </c>
      <c r="D5399" s="1">
        <v>45897</v>
      </c>
      <c r="E5399" t="s">
        <v>4129</v>
      </c>
      <c r="F5399" t="s">
        <v>4139</v>
      </c>
    </row>
    <row r="5400" spans="1:6">
      <c r="A5400" t="s">
        <v>9529</v>
      </c>
      <c r="B5400" t="s">
        <v>2085</v>
      </c>
      <c r="C5400" t="s">
        <v>27</v>
      </c>
      <c r="D5400" s="1">
        <v>45942</v>
      </c>
      <c r="E5400" t="s">
        <v>4135</v>
      </c>
      <c r="F5400" t="s">
        <v>4137</v>
      </c>
    </row>
    <row r="5401" spans="1:6">
      <c r="A5401" t="s">
        <v>9530</v>
      </c>
      <c r="B5401" t="s">
        <v>2085</v>
      </c>
      <c r="C5401" t="s">
        <v>27</v>
      </c>
      <c r="D5401" s="1">
        <v>45892</v>
      </c>
      <c r="E5401" t="s">
        <v>4129</v>
      </c>
      <c r="F5401" t="s">
        <v>4137</v>
      </c>
    </row>
    <row r="5402" spans="1:6">
      <c r="A5402" t="s">
        <v>9531</v>
      </c>
      <c r="B5402" t="s">
        <v>2085</v>
      </c>
      <c r="C5402" t="s">
        <v>27</v>
      </c>
      <c r="D5402" s="1">
        <v>45938</v>
      </c>
      <c r="E5402" t="s">
        <v>4133</v>
      </c>
      <c r="F5402" t="s">
        <v>4137</v>
      </c>
    </row>
    <row r="5403" spans="1:6">
      <c r="A5403" t="s">
        <v>9532</v>
      </c>
      <c r="B5403" t="s">
        <v>2086</v>
      </c>
      <c r="C5403" t="s">
        <v>50</v>
      </c>
      <c r="D5403" s="1">
        <v>45772</v>
      </c>
      <c r="E5403" t="s">
        <v>4124</v>
      </c>
      <c r="F5403" t="s">
        <v>4139</v>
      </c>
    </row>
    <row r="5404" spans="1:6">
      <c r="A5404" t="s">
        <v>9533</v>
      </c>
      <c r="B5404" t="s">
        <v>2086</v>
      </c>
      <c r="C5404" t="s">
        <v>50</v>
      </c>
      <c r="D5404" s="1">
        <v>45766</v>
      </c>
      <c r="E5404" t="s">
        <v>4129</v>
      </c>
      <c r="F5404" t="s">
        <v>4139</v>
      </c>
    </row>
    <row r="5405" spans="1:6">
      <c r="A5405" t="s">
        <v>9534</v>
      </c>
      <c r="B5405" t="s">
        <v>2086</v>
      </c>
      <c r="C5405" t="s">
        <v>50</v>
      </c>
      <c r="D5405" s="1">
        <v>45765</v>
      </c>
      <c r="E5405" t="s">
        <v>4135</v>
      </c>
      <c r="F5405" t="s">
        <v>4139</v>
      </c>
    </row>
    <row r="5406" spans="1:6">
      <c r="A5406" t="s">
        <v>9535</v>
      </c>
      <c r="B5406" t="s">
        <v>2087</v>
      </c>
      <c r="C5406" t="s">
        <v>126</v>
      </c>
      <c r="D5406" s="1">
        <v>45818</v>
      </c>
      <c r="E5406" t="s">
        <v>4133</v>
      </c>
      <c r="F5406" t="s">
        <v>4139</v>
      </c>
    </row>
    <row r="5407" spans="1:6">
      <c r="A5407" t="s">
        <v>9536</v>
      </c>
      <c r="B5407" t="s">
        <v>2087</v>
      </c>
      <c r="C5407" t="s">
        <v>126</v>
      </c>
      <c r="D5407" s="1">
        <v>45808</v>
      </c>
      <c r="E5407" t="s">
        <v>4127</v>
      </c>
      <c r="F5407" t="s">
        <v>4137</v>
      </c>
    </row>
    <row r="5408" spans="1:6">
      <c r="A5408" t="s">
        <v>9537</v>
      </c>
      <c r="B5408" t="s">
        <v>2087</v>
      </c>
      <c r="C5408" t="s">
        <v>126</v>
      </c>
      <c r="D5408" s="1">
        <v>45815</v>
      </c>
      <c r="E5408" t="s">
        <v>4133</v>
      </c>
      <c r="F5408" t="s">
        <v>4125</v>
      </c>
    </row>
    <row r="5409" spans="1:6">
      <c r="A5409" t="s">
        <v>9538</v>
      </c>
      <c r="B5409" t="s">
        <v>2087</v>
      </c>
      <c r="C5409" t="s">
        <v>126</v>
      </c>
      <c r="D5409" s="1">
        <v>45822</v>
      </c>
      <c r="E5409" t="s">
        <v>4135</v>
      </c>
      <c r="F5409" t="s">
        <v>4125</v>
      </c>
    </row>
    <row r="5410" spans="1:6">
      <c r="A5410" t="s">
        <v>9539</v>
      </c>
      <c r="B5410" t="s">
        <v>2087</v>
      </c>
      <c r="C5410" t="s">
        <v>126</v>
      </c>
      <c r="D5410" s="1">
        <v>45828</v>
      </c>
      <c r="E5410" t="s">
        <v>4135</v>
      </c>
      <c r="F5410" t="s">
        <v>4139</v>
      </c>
    </row>
    <row r="5411" spans="1:6">
      <c r="A5411" t="s">
        <v>9540</v>
      </c>
      <c r="B5411" t="s">
        <v>2088</v>
      </c>
      <c r="C5411" t="s">
        <v>91</v>
      </c>
      <c r="D5411" s="1">
        <v>45684</v>
      </c>
      <c r="E5411" t="s">
        <v>4127</v>
      </c>
      <c r="F5411" t="s">
        <v>4139</v>
      </c>
    </row>
    <row r="5412" spans="1:6">
      <c r="A5412" t="s">
        <v>9541</v>
      </c>
      <c r="B5412" t="s">
        <v>2088</v>
      </c>
      <c r="C5412" t="s">
        <v>91</v>
      </c>
      <c r="D5412" s="1">
        <v>45680</v>
      </c>
      <c r="E5412" t="s">
        <v>4124</v>
      </c>
      <c r="F5412" t="s">
        <v>4125</v>
      </c>
    </row>
    <row r="5413" spans="1:6">
      <c r="A5413" t="s">
        <v>9542</v>
      </c>
      <c r="B5413" t="s">
        <v>2088</v>
      </c>
      <c r="C5413" t="s">
        <v>91</v>
      </c>
      <c r="D5413" s="1">
        <v>45682</v>
      </c>
      <c r="E5413" t="s">
        <v>4127</v>
      </c>
      <c r="F5413" t="s">
        <v>4137</v>
      </c>
    </row>
    <row r="5414" spans="1:6">
      <c r="A5414" t="s">
        <v>9543</v>
      </c>
      <c r="B5414" t="s">
        <v>2089</v>
      </c>
      <c r="C5414" t="s">
        <v>22</v>
      </c>
      <c r="D5414" s="1">
        <v>45726</v>
      </c>
      <c r="E5414" t="s">
        <v>4127</v>
      </c>
      <c r="F5414" t="s">
        <v>4137</v>
      </c>
    </row>
    <row r="5415" spans="1:6">
      <c r="A5415" t="s">
        <v>9544</v>
      </c>
      <c r="B5415" t="s">
        <v>2089</v>
      </c>
      <c r="C5415" t="s">
        <v>22</v>
      </c>
      <c r="D5415" s="1">
        <v>45710</v>
      </c>
      <c r="E5415" t="s">
        <v>4127</v>
      </c>
      <c r="F5415" t="s">
        <v>4139</v>
      </c>
    </row>
    <row r="5416" spans="1:6">
      <c r="A5416" t="s">
        <v>9545</v>
      </c>
      <c r="B5416" t="s">
        <v>2089</v>
      </c>
      <c r="C5416" t="s">
        <v>22</v>
      </c>
      <c r="D5416" s="1">
        <v>45690</v>
      </c>
      <c r="E5416" t="s">
        <v>4129</v>
      </c>
      <c r="F5416" t="s">
        <v>4125</v>
      </c>
    </row>
    <row r="5417" spans="1:6">
      <c r="A5417" t="s">
        <v>9546</v>
      </c>
      <c r="B5417" t="s">
        <v>2090</v>
      </c>
      <c r="C5417" t="s">
        <v>16</v>
      </c>
      <c r="D5417" s="1">
        <v>45707</v>
      </c>
      <c r="E5417" t="s">
        <v>4135</v>
      </c>
      <c r="F5417" t="s">
        <v>4125</v>
      </c>
    </row>
    <row r="5418" spans="1:6">
      <c r="A5418" t="s">
        <v>9547</v>
      </c>
      <c r="B5418" t="s">
        <v>2090</v>
      </c>
      <c r="C5418" t="s">
        <v>16</v>
      </c>
      <c r="D5418" s="1">
        <v>45724</v>
      </c>
      <c r="E5418" t="s">
        <v>4133</v>
      </c>
      <c r="F5418" t="s">
        <v>4137</v>
      </c>
    </row>
    <row r="5419" spans="1:6">
      <c r="A5419" t="s">
        <v>9548</v>
      </c>
      <c r="B5419" t="s">
        <v>2091</v>
      </c>
      <c r="C5419" t="s">
        <v>78</v>
      </c>
      <c r="D5419" s="1">
        <v>46015</v>
      </c>
      <c r="E5419" t="s">
        <v>4124</v>
      </c>
      <c r="F5419" t="s">
        <v>4137</v>
      </c>
    </row>
    <row r="5420" spans="1:6">
      <c r="A5420" t="s">
        <v>9549</v>
      </c>
      <c r="B5420" t="s">
        <v>2091</v>
      </c>
      <c r="C5420" t="s">
        <v>78</v>
      </c>
      <c r="D5420" s="1">
        <v>46015</v>
      </c>
      <c r="E5420" t="s">
        <v>4124</v>
      </c>
      <c r="F5420" t="s">
        <v>4139</v>
      </c>
    </row>
    <row r="5421" spans="1:6">
      <c r="A5421" t="s">
        <v>9550</v>
      </c>
      <c r="B5421" t="s">
        <v>2092</v>
      </c>
      <c r="C5421" t="s">
        <v>32</v>
      </c>
      <c r="D5421" s="1">
        <v>45778</v>
      </c>
      <c r="E5421" t="s">
        <v>4124</v>
      </c>
      <c r="F5421" t="s">
        <v>4139</v>
      </c>
    </row>
    <row r="5422" spans="1:6">
      <c r="A5422" t="s">
        <v>9551</v>
      </c>
      <c r="B5422" t="s">
        <v>2092</v>
      </c>
      <c r="C5422" t="s">
        <v>32</v>
      </c>
      <c r="D5422" s="1">
        <v>45828</v>
      </c>
      <c r="E5422" t="s">
        <v>4135</v>
      </c>
      <c r="F5422" t="s">
        <v>4139</v>
      </c>
    </row>
    <row r="5423" spans="1:6">
      <c r="A5423" t="s">
        <v>9552</v>
      </c>
      <c r="B5423" t="s">
        <v>2092</v>
      </c>
      <c r="C5423" t="s">
        <v>32</v>
      </c>
      <c r="D5423" s="1">
        <v>45844</v>
      </c>
      <c r="E5423" t="s">
        <v>4127</v>
      </c>
      <c r="F5423" t="s">
        <v>4125</v>
      </c>
    </row>
    <row r="5424" spans="1:6">
      <c r="A5424" t="s">
        <v>9553</v>
      </c>
      <c r="B5424" t="s">
        <v>2093</v>
      </c>
      <c r="C5424" t="s">
        <v>40</v>
      </c>
      <c r="D5424" s="1">
        <v>45725</v>
      </c>
      <c r="E5424" t="s">
        <v>4127</v>
      </c>
      <c r="F5424" t="s">
        <v>4139</v>
      </c>
    </row>
    <row r="5425" spans="1:6">
      <c r="A5425" t="s">
        <v>9554</v>
      </c>
      <c r="B5425" t="s">
        <v>2093</v>
      </c>
      <c r="C5425" t="s">
        <v>40</v>
      </c>
      <c r="D5425" s="1">
        <v>45725</v>
      </c>
      <c r="E5425" t="s">
        <v>4127</v>
      </c>
      <c r="F5425" t="s">
        <v>4125</v>
      </c>
    </row>
    <row r="5426" spans="1:6">
      <c r="A5426" t="s">
        <v>9555</v>
      </c>
      <c r="B5426" t="s">
        <v>2093</v>
      </c>
      <c r="C5426" t="s">
        <v>40</v>
      </c>
      <c r="D5426" s="1">
        <v>45731</v>
      </c>
      <c r="E5426" t="s">
        <v>4129</v>
      </c>
      <c r="F5426" t="s">
        <v>4137</v>
      </c>
    </row>
    <row r="5427" spans="1:6">
      <c r="A5427" t="s">
        <v>9556</v>
      </c>
      <c r="B5427" t="s">
        <v>2093</v>
      </c>
      <c r="C5427" t="s">
        <v>40</v>
      </c>
      <c r="D5427" s="1">
        <v>45731</v>
      </c>
      <c r="E5427" t="s">
        <v>4129</v>
      </c>
      <c r="F5427" t="s">
        <v>4137</v>
      </c>
    </row>
    <row r="5428" spans="1:6">
      <c r="A5428" t="s">
        <v>9557</v>
      </c>
      <c r="B5428" t="s">
        <v>2095</v>
      </c>
      <c r="C5428" t="s">
        <v>40</v>
      </c>
      <c r="D5428" s="1">
        <v>45761</v>
      </c>
      <c r="E5428" t="s">
        <v>4133</v>
      </c>
      <c r="F5428" t="s">
        <v>4139</v>
      </c>
    </row>
    <row r="5429" spans="1:6">
      <c r="A5429" t="s">
        <v>9558</v>
      </c>
      <c r="B5429" t="s">
        <v>2095</v>
      </c>
      <c r="C5429" t="s">
        <v>40</v>
      </c>
      <c r="D5429" s="1">
        <v>45813</v>
      </c>
      <c r="E5429" t="s">
        <v>4127</v>
      </c>
      <c r="F5429" t="s">
        <v>4137</v>
      </c>
    </row>
    <row r="5430" spans="1:6">
      <c r="A5430" t="s">
        <v>9559</v>
      </c>
      <c r="B5430" t="s">
        <v>2096</v>
      </c>
      <c r="C5430" t="s">
        <v>27</v>
      </c>
      <c r="D5430" s="1">
        <v>45772</v>
      </c>
      <c r="E5430" t="s">
        <v>4127</v>
      </c>
      <c r="F5430" t="s">
        <v>4137</v>
      </c>
    </row>
    <row r="5431" spans="1:6">
      <c r="A5431" t="s">
        <v>9560</v>
      </c>
      <c r="B5431" t="s">
        <v>2096</v>
      </c>
      <c r="C5431" t="s">
        <v>27</v>
      </c>
      <c r="D5431" s="1">
        <v>45782</v>
      </c>
      <c r="E5431" t="s">
        <v>4124</v>
      </c>
      <c r="F5431" t="s">
        <v>4139</v>
      </c>
    </row>
    <row r="5432" spans="1:6">
      <c r="A5432" t="s">
        <v>9561</v>
      </c>
      <c r="B5432" t="s">
        <v>2096</v>
      </c>
      <c r="C5432" t="s">
        <v>27</v>
      </c>
      <c r="D5432" s="1">
        <v>45834</v>
      </c>
      <c r="E5432" t="s">
        <v>4133</v>
      </c>
      <c r="F5432" t="s">
        <v>4137</v>
      </c>
    </row>
    <row r="5433" spans="1:6">
      <c r="A5433" t="s">
        <v>9562</v>
      </c>
      <c r="B5433" t="s">
        <v>2097</v>
      </c>
      <c r="C5433" t="s">
        <v>36</v>
      </c>
      <c r="D5433" s="1">
        <v>46022</v>
      </c>
      <c r="E5433" t="s">
        <v>4133</v>
      </c>
      <c r="F5433" t="s">
        <v>4137</v>
      </c>
    </row>
    <row r="5434" spans="1:6">
      <c r="A5434" t="s">
        <v>9563</v>
      </c>
      <c r="B5434" t="s">
        <v>2097</v>
      </c>
      <c r="C5434" t="s">
        <v>36</v>
      </c>
      <c r="D5434" s="1">
        <v>46022</v>
      </c>
      <c r="E5434" t="s">
        <v>4133</v>
      </c>
      <c r="F5434" t="s">
        <v>4125</v>
      </c>
    </row>
    <row r="5435" spans="1:6">
      <c r="A5435" t="s">
        <v>9564</v>
      </c>
      <c r="B5435" t="s">
        <v>2097</v>
      </c>
      <c r="C5435" t="s">
        <v>36</v>
      </c>
      <c r="D5435" s="1">
        <v>46022</v>
      </c>
      <c r="E5435" t="s">
        <v>4124</v>
      </c>
      <c r="F5435" t="s">
        <v>4137</v>
      </c>
    </row>
    <row r="5436" spans="1:6">
      <c r="A5436" t="s">
        <v>9565</v>
      </c>
      <c r="B5436" t="s">
        <v>2097</v>
      </c>
      <c r="C5436" t="s">
        <v>36</v>
      </c>
      <c r="D5436" s="1">
        <v>46021</v>
      </c>
      <c r="E5436" t="s">
        <v>4129</v>
      </c>
      <c r="F5436" t="s">
        <v>4125</v>
      </c>
    </row>
    <row r="5437" spans="1:6">
      <c r="A5437" t="s">
        <v>9566</v>
      </c>
      <c r="B5437" t="s">
        <v>2097</v>
      </c>
      <c r="C5437" t="s">
        <v>36</v>
      </c>
      <c r="D5437" s="1">
        <v>46020</v>
      </c>
      <c r="E5437" t="s">
        <v>4124</v>
      </c>
      <c r="F5437" t="s">
        <v>4137</v>
      </c>
    </row>
    <row r="5438" spans="1:6">
      <c r="A5438" t="s">
        <v>9567</v>
      </c>
      <c r="B5438" t="s">
        <v>2098</v>
      </c>
      <c r="C5438" t="s">
        <v>53</v>
      </c>
      <c r="D5438" s="1">
        <v>45685</v>
      </c>
      <c r="E5438" t="s">
        <v>4127</v>
      </c>
      <c r="F5438" t="s">
        <v>4137</v>
      </c>
    </row>
    <row r="5439" spans="1:6">
      <c r="A5439" t="s">
        <v>9568</v>
      </c>
      <c r="B5439" t="s">
        <v>2098</v>
      </c>
      <c r="C5439" t="s">
        <v>53</v>
      </c>
      <c r="D5439" s="1">
        <v>45668</v>
      </c>
      <c r="E5439" t="s">
        <v>4135</v>
      </c>
      <c r="F5439" t="s">
        <v>4137</v>
      </c>
    </row>
    <row r="5440" spans="1:6">
      <c r="A5440" t="s">
        <v>9569</v>
      </c>
      <c r="B5440" t="s">
        <v>2099</v>
      </c>
      <c r="C5440" t="s">
        <v>32</v>
      </c>
      <c r="D5440" s="1">
        <v>45853</v>
      </c>
      <c r="E5440" t="s">
        <v>4129</v>
      </c>
      <c r="F5440" t="s">
        <v>4137</v>
      </c>
    </row>
    <row r="5441" spans="1:6">
      <c r="A5441" t="s">
        <v>9570</v>
      </c>
      <c r="B5441" t="s">
        <v>2099</v>
      </c>
      <c r="C5441" t="s">
        <v>32</v>
      </c>
      <c r="D5441" s="1">
        <v>45868</v>
      </c>
      <c r="E5441" t="s">
        <v>4129</v>
      </c>
      <c r="F5441" t="s">
        <v>4125</v>
      </c>
    </row>
    <row r="5442" spans="1:6">
      <c r="A5442" t="s">
        <v>9571</v>
      </c>
      <c r="B5442" t="s">
        <v>2100</v>
      </c>
      <c r="C5442" t="s">
        <v>40</v>
      </c>
      <c r="D5442" s="1">
        <v>45715</v>
      </c>
      <c r="E5442" t="s">
        <v>4127</v>
      </c>
      <c r="F5442" t="s">
        <v>4137</v>
      </c>
    </row>
    <row r="5443" spans="1:6">
      <c r="A5443" t="s">
        <v>9572</v>
      </c>
      <c r="B5443" t="s">
        <v>2100</v>
      </c>
      <c r="C5443" t="s">
        <v>40</v>
      </c>
      <c r="D5443" s="1">
        <v>45740</v>
      </c>
      <c r="E5443" t="s">
        <v>4127</v>
      </c>
      <c r="F5443" t="s">
        <v>4125</v>
      </c>
    </row>
    <row r="5444" spans="1:6">
      <c r="A5444" t="s">
        <v>9573</v>
      </c>
      <c r="B5444" t="s">
        <v>2100</v>
      </c>
      <c r="C5444" t="s">
        <v>40</v>
      </c>
      <c r="D5444" s="1">
        <v>45712</v>
      </c>
      <c r="E5444" t="s">
        <v>4124</v>
      </c>
      <c r="F5444" t="s">
        <v>4137</v>
      </c>
    </row>
    <row r="5445" spans="1:6">
      <c r="A5445" t="s">
        <v>9574</v>
      </c>
      <c r="B5445" t="s">
        <v>2100</v>
      </c>
      <c r="C5445" t="s">
        <v>40</v>
      </c>
      <c r="D5445" s="1">
        <v>45743</v>
      </c>
      <c r="E5445" t="s">
        <v>4129</v>
      </c>
      <c r="F5445" t="s">
        <v>4125</v>
      </c>
    </row>
    <row r="5446" spans="1:6">
      <c r="A5446" t="s">
        <v>9575</v>
      </c>
      <c r="B5446" t="s">
        <v>2100</v>
      </c>
      <c r="C5446" t="s">
        <v>40</v>
      </c>
      <c r="D5446" s="1">
        <v>45736</v>
      </c>
      <c r="E5446" t="s">
        <v>4124</v>
      </c>
      <c r="F5446" t="s">
        <v>4137</v>
      </c>
    </row>
    <row r="5447" spans="1:6">
      <c r="A5447" t="s">
        <v>9576</v>
      </c>
      <c r="B5447" t="s">
        <v>2101</v>
      </c>
      <c r="C5447" t="s">
        <v>91</v>
      </c>
      <c r="D5447" s="1">
        <v>45910</v>
      </c>
      <c r="E5447" t="s">
        <v>4127</v>
      </c>
      <c r="F5447" t="s">
        <v>4125</v>
      </c>
    </row>
    <row r="5448" spans="1:6">
      <c r="A5448" t="s">
        <v>9577</v>
      </c>
      <c r="B5448" t="s">
        <v>2101</v>
      </c>
      <c r="C5448" t="s">
        <v>91</v>
      </c>
      <c r="D5448" s="1">
        <v>45920</v>
      </c>
      <c r="E5448" t="s">
        <v>4124</v>
      </c>
      <c r="F5448" t="s">
        <v>4139</v>
      </c>
    </row>
    <row r="5449" spans="1:6">
      <c r="A5449" t="s">
        <v>9578</v>
      </c>
      <c r="B5449" t="s">
        <v>2101</v>
      </c>
      <c r="C5449" t="s">
        <v>91</v>
      </c>
      <c r="D5449" s="1">
        <v>45918</v>
      </c>
      <c r="E5449" t="s">
        <v>4135</v>
      </c>
      <c r="F5449" t="s">
        <v>4139</v>
      </c>
    </row>
    <row r="5450" spans="1:6">
      <c r="A5450" t="s">
        <v>9579</v>
      </c>
      <c r="B5450" t="s">
        <v>2101</v>
      </c>
      <c r="C5450" t="s">
        <v>91</v>
      </c>
      <c r="D5450" s="1">
        <v>45925</v>
      </c>
      <c r="E5450" t="s">
        <v>4133</v>
      </c>
      <c r="F5450" t="s">
        <v>4125</v>
      </c>
    </row>
    <row r="5451" spans="1:6">
      <c r="A5451" t="s">
        <v>9580</v>
      </c>
      <c r="B5451" t="s">
        <v>2101</v>
      </c>
      <c r="C5451" t="s">
        <v>91</v>
      </c>
      <c r="D5451" s="1">
        <v>45923</v>
      </c>
      <c r="E5451" t="s">
        <v>4135</v>
      </c>
      <c r="F5451" t="s">
        <v>4125</v>
      </c>
    </row>
    <row r="5452" spans="1:6">
      <c r="A5452" t="s">
        <v>9581</v>
      </c>
      <c r="B5452" t="s">
        <v>2102</v>
      </c>
      <c r="C5452" t="s">
        <v>70</v>
      </c>
      <c r="D5452" s="1">
        <v>45704</v>
      </c>
      <c r="E5452" t="s">
        <v>4124</v>
      </c>
      <c r="F5452" t="s">
        <v>4125</v>
      </c>
    </row>
    <row r="5453" spans="1:6">
      <c r="A5453" t="s">
        <v>9582</v>
      </c>
      <c r="B5453" t="s">
        <v>2102</v>
      </c>
      <c r="C5453" t="s">
        <v>70</v>
      </c>
      <c r="D5453" s="1">
        <v>45735</v>
      </c>
      <c r="E5453" t="s">
        <v>4124</v>
      </c>
      <c r="F5453" t="s">
        <v>4139</v>
      </c>
    </row>
    <row r="5454" spans="1:6">
      <c r="A5454" t="s">
        <v>9583</v>
      </c>
      <c r="B5454" t="s">
        <v>2102</v>
      </c>
      <c r="C5454" t="s">
        <v>70</v>
      </c>
      <c r="D5454" s="1">
        <v>45676</v>
      </c>
      <c r="E5454" t="s">
        <v>4135</v>
      </c>
      <c r="F5454" t="s">
        <v>4139</v>
      </c>
    </row>
    <row r="5455" spans="1:6">
      <c r="A5455" t="s">
        <v>9584</v>
      </c>
      <c r="B5455" t="s">
        <v>2103</v>
      </c>
      <c r="C5455" t="s">
        <v>63</v>
      </c>
      <c r="D5455" s="1">
        <v>45921</v>
      </c>
      <c r="E5455" t="s">
        <v>4124</v>
      </c>
      <c r="F5455" t="s">
        <v>4125</v>
      </c>
    </row>
    <row r="5456" spans="1:6">
      <c r="A5456" t="s">
        <v>9585</v>
      </c>
      <c r="B5456" t="s">
        <v>2103</v>
      </c>
      <c r="C5456" t="s">
        <v>63</v>
      </c>
      <c r="D5456" s="1">
        <v>45908</v>
      </c>
      <c r="E5456" t="s">
        <v>4133</v>
      </c>
      <c r="F5456" t="s">
        <v>4139</v>
      </c>
    </row>
    <row r="5457" spans="1:6">
      <c r="A5457" t="s">
        <v>9586</v>
      </c>
      <c r="B5457" t="s">
        <v>2103</v>
      </c>
      <c r="C5457" t="s">
        <v>63</v>
      </c>
      <c r="D5457" s="1">
        <v>45908</v>
      </c>
      <c r="E5457" t="s">
        <v>4127</v>
      </c>
      <c r="F5457" t="s">
        <v>4125</v>
      </c>
    </row>
    <row r="5458" spans="1:6">
      <c r="A5458" t="s">
        <v>9587</v>
      </c>
      <c r="B5458" t="s">
        <v>2103</v>
      </c>
      <c r="C5458" t="s">
        <v>63</v>
      </c>
      <c r="D5458" s="1">
        <v>45905</v>
      </c>
      <c r="E5458" t="s">
        <v>4135</v>
      </c>
      <c r="F5458" t="s">
        <v>4137</v>
      </c>
    </row>
    <row r="5459" spans="1:6">
      <c r="A5459" t="s">
        <v>9588</v>
      </c>
      <c r="B5459" t="s">
        <v>2104</v>
      </c>
      <c r="C5459" t="s">
        <v>91</v>
      </c>
      <c r="D5459" s="1">
        <v>45832</v>
      </c>
      <c r="E5459" t="s">
        <v>4129</v>
      </c>
      <c r="F5459" t="s">
        <v>4125</v>
      </c>
    </row>
    <row r="5460" spans="1:6">
      <c r="A5460" t="s">
        <v>9589</v>
      </c>
      <c r="B5460" t="s">
        <v>2104</v>
      </c>
      <c r="C5460" t="s">
        <v>91</v>
      </c>
      <c r="D5460" s="1">
        <v>45836</v>
      </c>
      <c r="E5460" t="s">
        <v>4129</v>
      </c>
      <c r="F5460" t="s">
        <v>4139</v>
      </c>
    </row>
    <row r="5461" spans="1:6">
      <c r="A5461" t="s">
        <v>9590</v>
      </c>
      <c r="B5461" t="s">
        <v>2105</v>
      </c>
      <c r="C5461" t="s">
        <v>59</v>
      </c>
      <c r="D5461" s="1">
        <v>46005</v>
      </c>
      <c r="E5461" t="s">
        <v>4133</v>
      </c>
      <c r="F5461" t="s">
        <v>4137</v>
      </c>
    </row>
    <row r="5462" spans="1:6">
      <c r="A5462" t="s">
        <v>9591</v>
      </c>
      <c r="B5462" t="s">
        <v>2105</v>
      </c>
      <c r="C5462" t="s">
        <v>59</v>
      </c>
      <c r="D5462" s="1">
        <v>45994</v>
      </c>
      <c r="E5462" t="s">
        <v>4133</v>
      </c>
      <c r="F5462" t="s">
        <v>4139</v>
      </c>
    </row>
    <row r="5463" spans="1:6">
      <c r="A5463" t="s">
        <v>9592</v>
      </c>
      <c r="B5463" t="s">
        <v>2105</v>
      </c>
      <c r="C5463" t="s">
        <v>59</v>
      </c>
      <c r="D5463" s="1">
        <v>45999</v>
      </c>
      <c r="E5463" t="s">
        <v>4135</v>
      </c>
      <c r="F5463" t="s">
        <v>4125</v>
      </c>
    </row>
    <row r="5464" spans="1:6">
      <c r="A5464" t="s">
        <v>9593</v>
      </c>
      <c r="B5464" t="s">
        <v>2105</v>
      </c>
      <c r="C5464" t="s">
        <v>59</v>
      </c>
      <c r="D5464" s="1">
        <v>45995</v>
      </c>
      <c r="E5464" t="s">
        <v>4133</v>
      </c>
      <c r="F5464" t="s">
        <v>4139</v>
      </c>
    </row>
    <row r="5465" spans="1:6">
      <c r="A5465" t="s">
        <v>9594</v>
      </c>
      <c r="B5465" t="s">
        <v>2106</v>
      </c>
      <c r="C5465" t="s">
        <v>70</v>
      </c>
      <c r="D5465" s="1">
        <v>45822</v>
      </c>
      <c r="E5465" t="s">
        <v>4127</v>
      </c>
      <c r="F5465" t="s">
        <v>4139</v>
      </c>
    </row>
    <row r="5466" spans="1:6">
      <c r="A5466" t="s">
        <v>9595</v>
      </c>
      <c r="B5466" t="s">
        <v>2106</v>
      </c>
      <c r="C5466" t="s">
        <v>70</v>
      </c>
      <c r="D5466" s="1">
        <v>45821</v>
      </c>
      <c r="E5466" t="s">
        <v>4129</v>
      </c>
      <c r="F5466" t="s">
        <v>4125</v>
      </c>
    </row>
    <row r="5467" spans="1:6">
      <c r="A5467" t="s">
        <v>9596</v>
      </c>
      <c r="B5467" t="s">
        <v>2107</v>
      </c>
      <c r="C5467" t="s">
        <v>36</v>
      </c>
      <c r="D5467" s="1">
        <v>45840</v>
      </c>
      <c r="E5467" t="s">
        <v>4133</v>
      </c>
      <c r="F5467" t="s">
        <v>4125</v>
      </c>
    </row>
    <row r="5468" spans="1:6">
      <c r="A5468" t="s">
        <v>9597</v>
      </c>
      <c r="B5468" t="s">
        <v>2107</v>
      </c>
      <c r="C5468" t="s">
        <v>36</v>
      </c>
      <c r="D5468" s="1">
        <v>45856</v>
      </c>
      <c r="E5468" t="s">
        <v>4124</v>
      </c>
      <c r="F5468" t="s">
        <v>4139</v>
      </c>
    </row>
    <row r="5469" spans="1:6">
      <c r="A5469" t="s">
        <v>9598</v>
      </c>
      <c r="B5469" t="s">
        <v>2107</v>
      </c>
      <c r="C5469" t="s">
        <v>36</v>
      </c>
      <c r="D5469" s="1">
        <v>45827</v>
      </c>
      <c r="E5469" t="s">
        <v>4127</v>
      </c>
      <c r="F5469" t="s">
        <v>4139</v>
      </c>
    </row>
    <row r="5470" spans="1:6">
      <c r="A5470" t="s">
        <v>9599</v>
      </c>
      <c r="B5470" t="s">
        <v>2108</v>
      </c>
      <c r="C5470" t="s">
        <v>22</v>
      </c>
      <c r="D5470" s="1">
        <v>45695</v>
      </c>
      <c r="E5470" t="s">
        <v>4133</v>
      </c>
      <c r="F5470" t="s">
        <v>4137</v>
      </c>
    </row>
    <row r="5471" spans="1:6">
      <c r="A5471" t="s">
        <v>9600</v>
      </c>
      <c r="B5471" t="s">
        <v>2108</v>
      </c>
      <c r="C5471" t="s">
        <v>22</v>
      </c>
      <c r="D5471" s="1">
        <v>45698</v>
      </c>
      <c r="E5471" t="s">
        <v>4124</v>
      </c>
      <c r="F5471" t="s">
        <v>4137</v>
      </c>
    </row>
    <row r="5472" spans="1:6">
      <c r="A5472" t="s">
        <v>9601</v>
      </c>
      <c r="B5472" t="s">
        <v>2108</v>
      </c>
      <c r="C5472" t="s">
        <v>22</v>
      </c>
      <c r="D5472" s="1">
        <v>45689</v>
      </c>
      <c r="E5472" t="s">
        <v>4135</v>
      </c>
      <c r="F5472" t="s">
        <v>4137</v>
      </c>
    </row>
    <row r="5473" spans="1:6">
      <c r="A5473" t="s">
        <v>9602</v>
      </c>
      <c r="B5473" t="s">
        <v>2109</v>
      </c>
      <c r="C5473" t="s">
        <v>91</v>
      </c>
      <c r="D5473" s="1">
        <v>45928</v>
      </c>
      <c r="E5473" t="s">
        <v>4133</v>
      </c>
      <c r="F5473" t="s">
        <v>4137</v>
      </c>
    </row>
    <row r="5474" spans="1:6">
      <c r="A5474" t="s">
        <v>9603</v>
      </c>
      <c r="B5474" t="s">
        <v>2109</v>
      </c>
      <c r="C5474" t="s">
        <v>91</v>
      </c>
      <c r="D5474" s="1">
        <v>45929</v>
      </c>
      <c r="E5474" t="s">
        <v>4124</v>
      </c>
      <c r="F5474" t="s">
        <v>4139</v>
      </c>
    </row>
    <row r="5475" spans="1:6">
      <c r="A5475" t="s">
        <v>9604</v>
      </c>
      <c r="B5475" t="s">
        <v>2110</v>
      </c>
      <c r="C5475" t="s">
        <v>46</v>
      </c>
      <c r="D5475" s="1">
        <v>45765</v>
      </c>
      <c r="E5475" t="s">
        <v>4129</v>
      </c>
      <c r="F5475" t="s">
        <v>4139</v>
      </c>
    </row>
    <row r="5476" spans="1:6">
      <c r="A5476" t="s">
        <v>9605</v>
      </c>
      <c r="B5476" t="s">
        <v>2110</v>
      </c>
      <c r="C5476" t="s">
        <v>46</v>
      </c>
      <c r="D5476" s="1">
        <v>45768</v>
      </c>
      <c r="E5476" t="s">
        <v>4129</v>
      </c>
      <c r="F5476" t="s">
        <v>4137</v>
      </c>
    </row>
    <row r="5477" spans="1:6">
      <c r="A5477" t="s">
        <v>9606</v>
      </c>
      <c r="B5477" t="s">
        <v>2110</v>
      </c>
      <c r="C5477" t="s">
        <v>46</v>
      </c>
      <c r="D5477" s="1">
        <v>45756</v>
      </c>
      <c r="E5477" t="s">
        <v>4124</v>
      </c>
      <c r="F5477" t="s">
        <v>4139</v>
      </c>
    </row>
    <row r="5478" spans="1:6">
      <c r="A5478" t="s">
        <v>9607</v>
      </c>
      <c r="B5478" t="s">
        <v>2110</v>
      </c>
      <c r="C5478" t="s">
        <v>46</v>
      </c>
      <c r="D5478" s="1">
        <v>45760</v>
      </c>
      <c r="E5478" t="s">
        <v>4135</v>
      </c>
      <c r="F5478" t="s">
        <v>4137</v>
      </c>
    </row>
    <row r="5479" spans="1:6">
      <c r="A5479" t="s">
        <v>9608</v>
      </c>
      <c r="B5479" t="s">
        <v>2111</v>
      </c>
      <c r="C5479" t="s">
        <v>91</v>
      </c>
      <c r="D5479" s="1">
        <v>45949</v>
      </c>
      <c r="E5479" t="s">
        <v>4135</v>
      </c>
      <c r="F5479" t="s">
        <v>4137</v>
      </c>
    </row>
    <row r="5480" spans="1:6">
      <c r="A5480" t="s">
        <v>9609</v>
      </c>
      <c r="B5480" t="s">
        <v>2111</v>
      </c>
      <c r="C5480" t="s">
        <v>91</v>
      </c>
      <c r="D5480" s="1">
        <v>45975</v>
      </c>
      <c r="E5480" t="s">
        <v>4135</v>
      </c>
      <c r="F5480" t="s">
        <v>4137</v>
      </c>
    </row>
    <row r="5481" spans="1:6">
      <c r="A5481" t="s">
        <v>9610</v>
      </c>
      <c r="B5481" t="s">
        <v>2112</v>
      </c>
      <c r="C5481" t="s">
        <v>22</v>
      </c>
      <c r="D5481" s="1">
        <v>45778</v>
      </c>
      <c r="E5481" t="s">
        <v>4133</v>
      </c>
      <c r="F5481" t="s">
        <v>4139</v>
      </c>
    </row>
    <row r="5482" spans="1:6">
      <c r="A5482" t="s">
        <v>9611</v>
      </c>
      <c r="B5482" t="s">
        <v>2112</v>
      </c>
      <c r="C5482" t="s">
        <v>22</v>
      </c>
      <c r="D5482" s="1">
        <v>45759</v>
      </c>
      <c r="E5482" t="s">
        <v>4133</v>
      </c>
      <c r="F5482" t="s">
        <v>4125</v>
      </c>
    </row>
    <row r="5483" spans="1:6">
      <c r="A5483" t="s">
        <v>9612</v>
      </c>
      <c r="B5483" t="s">
        <v>2112</v>
      </c>
      <c r="C5483" t="s">
        <v>22</v>
      </c>
      <c r="D5483" s="1">
        <v>45757</v>
      </c>
      <c r="E5483" t="s">
        <v>4135</v>
      </c>
      <c r="F5483" t="s">
        <v>4137</v>
      </c>
    </row>
    <row r="5484" spans="1:6">
      <c r="A5484" t="s">
        <v>9613</v>
      </c>
      <c r="B5484" t="s">
        <v>2112</v>
      </c>
      <c r="C5484" t="s">
        <v>22</v>
      </c>
      <c r="D5484" s="1">
        <v>45779</v>
      </c>
      <c r="E5484" t="s">
        <v>4129</v>
      </c>
      <c r="F5484" t="s">
        <v>4139</v>
      </c>
    </row>
    <row r="5485" spans="1:6">
      <c r="A5485" t="s">
        <v>9614</v>
      </c>
      <c r="B5485" t="s">
        <v>2113</v>
      </c>
      <c r="C5485" t="s">
        <v>27</v>
      </c>
      <c r="D5485" s="1">
        <v>45968</v>
      </c>
      <c r="E5485" t="s">
        <v>4127</v>
      </c>
      <c r="F5485" t="s">
        <v>4137</v>
      </c>
    </row>
    <row r="5486" spans="1:6">
      <c r="A5486" t="s">
        <v>9615</v>
      </c>
      <c r="B5486" t="s">
        <v>2113</v>
      </c>
      <c r="C5486" t="s">
        <v>27</v>
      </c>
      <c r="D5486" s="1">
        <v>46017</v>
      </c>
      <c r="E5486" t="s">
        <v>4133</v>
      </c>
      <c r="F5486" t="s">
        <v>4125</v>
      </c>
    </row>
    <row r="5487" spans="1:6">
      <c r="A5487" t="s">
        <v>9616</v>
      </c>
      <c r="B5487" t="s">
        <v>2114</v>
      </c>
      <c r="C5487" t="s">
        <v>53</v>
      </c>
      <c r="D5487" s="1">
        <v>45748</v>
      </c>
      <c r="E5487" t="s">
        <v>4124</v>
      </c>
      <c r="F5487" t="s">
        <v>4137</v>
      </c>
    </row>
    <row r="5488" spans="1:6">
      <c r="A5488" t="s">
        <v>9617</v>
      </c>
      <c r="B5488" t="s">
        <v>2114</v>
      </c>
      <c r="C5488" t="s">
        <v>53</v>
      </c>
      <c r="D5488" s="1">
        <v>45781</v>
      </c>
      <c r="E5488" t="s">
        <v>4129</v>
      </c>
      <c r="F5488" t="s">
        <v>4125</v>
      </c>
    </row>
    <row r="5489" spans="1:6">
      <c r="A5489" t="s">
        <v>9618</v>
      </c>
      <c r="B5489" t="s">
        <v>2114</v>
      </c>
      <c r="C5489" t="s">
        <v>53</v>
      </c>
      <c r="D5489" s="1">
        <v>45737</v>
      </c>
      <c r="E5489" t="s">
        <v>4127</v>
      </c>
      <c r="F5489" t="s">
        <v>4139</v>
      </c>
    </row>
    <row r="5490" spans="1:6">
      <c r="A5490" t="s">
        <v>9619</v>
      </c>
      <c r="B5490" t="s">
        <v>2115</v>
      </c>
      <c r="C5490" t="s">
        <v>78</v>
      </c>
      <c r="D5490" s="1">
        <v>45809</v>
      </c>
      <c r="E5490" t="s">
        <v>4133</v>
      </c>
      <c r="F5490" t="s">
        <v>4137</v>
      </c>
    </row>
    <row r="5491" spans="1:6">
      <c r="A5491" t="s">
        <v>9620</v>
      </c>
      <c r="B5491" t="s">
        <v>2115</v>
      </c>
      <c r="C5491" t="s">
        <v>78</v>
      </c>
      <c r="D5491" s="1">
        <v>45792</v>
      </c>
      <c r="E5491" t="s">
        <v>4127</v>
      </c>
      <c r="F5491" t="s">
        <v>4139</v>
      </c>
    </row>
    <row r="5492" spans="1:6">
      <c r="A5492" t="s">
        <v>9621</v>
      </c>
      <c r="B5492" t="s">
        <v>2116</v>
      </c>
      <c r="C5492" t="s">
        <v>168</v>
      </c>
      <c r="D5492" s="1">
        <v>45747</v>
      </c>
      <c r="E5492" t="s">
        <v>4124</v>
      </c>
      <c r="F5492" t="s">
        <v>4139</v>
      </c>
    </row>
    <row r="5493" spans="1:6">
      <c r="A5493" t="s">
        <v>9622</v>
      </c>
      <c r="B5493" t="s">
        <v>2116</v>
      </c>
      <c r="C5493" t="s">
        <v>168</v>
      </c>
      <c r="D5493" s="1">
        <v>45754</v>
      </c>
      <c r="E5493" t="s">
        <v>4127</v>
      </c>
      <c r="F5493" t="s">
        <v>4137</v>
      </c>
    </row>
    <row r="5494" spans="1:6">
      <c r="A5494" t="s">
        <v>9623</v>
      </c>
      <c r="B5494" t="s">
        <v>2116</v>
      </c>
      <c r="C5494" t="s">
        <v>168</v>
      </c>
      <c r="D5494" s="1">
        <v>45738</v>
      </c>
      <c r="E5494" t="s">
        <v>4129</v>
      </c>
      <c r="F5494" t="s">
        <v>4125</v>
      </c>
    </row>
    <row r="5495" spans="1:6">
      <c r="A5495" t="s">
        <v>9624</v>
      </c>
      <c r="B5495" t="s">
        <v>2116</v>
      </c>
      <c r="C5495" t="s">
        <v>168</v>
      </c>
      <c r="D5495" s="1">
        <v>45746</v>
      </c>
      <c r="E5495" t="s">
        <v>4133</v>
      </c>
      <c r="F5495" t="s">
        <v>4137</v>
      </c>
    </row>
    <row r="5496" spans="1:6">
      <c r="A5496" t="s">
        <v>9625</v>
      </c>
      <c r="B5496" t="s">
        <v>2117</v>
      </c>
      <c r="C5496" t="s">
        <v>16</v>
      </c>
      <c r="D5496" s="1">
        <v>46002</v>
      </c>
      <c r="E5496" t="s">
        <v>4133</v>
      </c>
      <c r="F5496" t="s">
        <v>4137</v>
      </c>
    </row>
    <row r="5497" spans="1:6">
      <c r="A5497" t="s">
        <v>9626</v>
      </c>
      <c r="B5497" t="s">
        <v>2117</v>
      </c>
      <c r="C5497" t="s">
        <v>16</v>
      </c>
      <c r="D5497" s="1">
        <v>46021</v>
      </c>
      <c r="E5497" t="s">
        <v>4127</v>
      </c>
      <c r="F5497" t="s">
        <v>4137</v>
      </c>
    </row>
    <row r="5498" spans="1:6">
      <c r="A5498" t="s">
        <v>9627</v>
      </c>
      <c r="B5498" t="s">
        <v>2118</v>
      </c>
      <c r="C5498" t="s">
        <v>32</v>
      </c>
      <c r="D5498" s="1">
        <v>45747</v>
      </c>
      <c r="E5498" t="s">
        <v>4133</v>
      </c>
      <c r="F5498" t="s">
        <v>4137</v>
      </c>
    </row>
    <row r="5499" spans="1:6">
      <c r="A5499" t="s">
        <v>9628</v>
      </c>
      <c r="B5499" t="s">
        <v>2118</v>
      </c>
      <c r="C5499" t="s">
        <v>32</v>
      </c>
      <c r="D5499" s="1">
        <v>45745</v>
      </c>
      <c r="E5499" t="s">
        <v>4127</v>
      </c>
      <c r="F5499" t="s">
        <v>4139</v>
      </c>
    </row>
    <row r="5500" spans="1:6">
      <c r="A5500" t="s">
        <v>9629</v>
      </c>
      <c r="B5500" t="s">
        <v>2118</v>
      </c>
      <c r="C5500" t="s">
        <v>32</v>
      </c>
      <c r="D5500" s="1">
        <v>45729</v>
      </c>
      <c r="E5500" t="s">
        <v>4135</v>
      </c>
      <c r="F5500" t="s">
        <v>4137</v>
      </c>
    </row>
    <row r="5501" spans="1:6">
      <c r="A5501" t="s">
        <v>9630</v>
      </c>
      <c r="B5501" t="s">
        <v>2118</v>
      </c>
      <c r="C5501" t="s">
        <v>32</v>
      </c>
      <c r="D5501" s="1">
        <v>45730</v>
      </c>
      <c r="E5501" t="s">
        <v>4127</v>
      </c>
      <c r="F5501" t="s">
        <v>4125</v>
      </c>
    </row>
    <row r="5502" spans="1:6">
      <c r="A5502" t="s">
        <v>9631</v>
      </c>
      <c r="B5502" t="s">
        <v>2119</v>
      </c>
      <c r="C5502" t="s">
        <v>50</v>
      </c>
      <c r="D5502" s="1">
        <v>46004</v>
      </c>
      <c r="E5502" t="s">
        <v>4127</v>
      </c>
      <c r="F5502" t="s">
        <v>4139</v>
      </c>
    </row>
    <row r="5503" spans="1:6">
      <c r="A5503" t="s">
        <v>9632</v>
      </c>
      <c r="B5503" t="s">
        <v>2119</v>
      </c>
      <c r="C5503" t="s">
        <v>50</v>
      </c>
      <c r="D5503" s="1">
        <v>45949</v>
      </c>
      <c r="E5503" t="s">
        <v>4124</v>
      </c>
      <c r="F5503" t="s">
        <v>4137</v>
      </c>
    </row>
    <row r="5504" spans="1:6">
      <c r="A5504" t="s">
        <v>9633</v>
      </c>
      <c r="B5504" t="s">
        <v>2119</v>
      </c>
      <c r="C5504" t="s">
        <v>50</v>
      </c>
      <c r="D5504" s="1">
        <v>45935</v>
      </c>
      <c r="E5504" t="s">
        <v>4133</v>
      </c>
      <c r="F5504" t="s">
        <v>4137</v>
      </c>
    </row>
    <row r="5505" spans="1:6">
      <c r="A5505" t="s">
        <v>9634</v>
      </c>
      <c r="B5505" t="s">
        <v>2119</v>
      </c>
      <c r="C5505" t="s">
        <v>50</v>
      </c>
      <c r="D5505" s="1">
        <v>45928</v>
      </c>
      <c r="E5505" t="s">
        <v>4135</v>
      </c>
      <c r="F5505" t="s">
        <v>4139</v>
      </c>
    </row>
    <row r="5506" spans="1:6">
      <c r="A5506" t="s">
        <v>9635</v>
      </c>
      <c r="B5506" t="s">
        <v>2119</v>
      </c>
      <c r="C5506" t="s">
        <v>50</v>
      </c>
      <c r="D5506" s="1">
        <v>45980</v>
      </c>
      <c r="E5506" t="s">
        <v>4124</v>
      </c>
      <c r="F5506" t="s">
        <v>4137</v>
      </c>
    </row>
    <row r="5507" spans="1:6">
      <c r="A5507" t="s">
        <v>9636</v>
      </c>
      <c r="B5507" t="s">
        <v>2120</v>
      </c>
      <c r="C5507" t="s">
        <v>119</v>
      </c>
      <c r="D5507" s="1">
        <v>45682</v>
      </c>
      <c r="E5507" t="s">
        <v>4129</v>
      </c>
      <c r="F5507" t="s">
        <v>4125</v>
      </c>
    </row>
    <row r="5508" spans="1:6">
      <c r="A5508" t="s">
        <v>9637</v>
      </c>
      <c r="B5508" t="s">
        <v>2120</v>
      </c>
      <c r="C5508" t="s">
        <v>119</v>
      </c>
      <c r="D5508" s="1">
        <v>45706</v>
      </c>
      <c r="E5508" t="s">
        <v>4127</v>
      </c>
      <c r="F5508" t="s">
        <v>4137</v>
      </c>
    </row>
    <row r="5509" spans="1:6">
      <c r="A5509" t="s">
        <v>9638</v>
      </c>
      <c r="B5509" t="s">
        <v>2121</v>
      </c>
      <c r="C5509" t="s">
        <v>78</v>
      </c>
      <c r="D5509" s="1">
        <v>45826</v>
      </c>
      <c r="E5509" t="s">
        <v>4124</v>
      </c>
      <c r="F5509" t="s">
        <v>4137</v>
      </c>
    </row>
    <row r="5510" spans="1:6">
      <c r="A5510" t="s">
        <v>9639</v>
      </c>
      <c r="B5510" t="s">
        <v>2121</v>
      </c>
      <c r="C5510" t="s">
        <v>78</v>
      </c>
      <c r="D5510" s="1">
        <v>45830</v>
      </c>
      <c r="E5510" t="s">
        <v>4124</v>
      </c>
      <c r="F5510" t="s">
        <v>4137</v>
      </c>
    </row>
    <row r="5511" spans="1:6">
      <c r="A5511" t="s">
        <v>9640</v>
      </c>
      <c r="B5511" t="s">
        <v>2122</v>
      </c>
      <c r="C5511" t="s">
        <v>119</v>
      </c>
      <c r="D5511" s="1">
        <v>45917</v>
      </c>
      <c r="E5511" t="s">
        <v>4133</v>
      </c>
      <c r="F5511" t="s">
        <v>4137</v>
      </c>
    </row>
    <row r="5512" spans="1:6">
      <c r="A5512" t="s">
        <v>9641</v>
      </c>
      <c r="B5512" t="s">
        <v>2122</v>
      </c>
      <c r="C5512" t="s">
        <v>119</v>
      </c>
      <c r="D5512" s="1">
        <v>45852</v>
      </c>
      <c r="E5512" t="s">
        <v>4135</v>
      </c>
      <c r="F5512" t="s">
        <v>4137</v>
      </c>
    </row>
    <row r="5513" spans="1:6">
      <c r="A5513" t="s">
        <v>9642</v>
      </c>
      <c r="B5513" t="s">
        <v>2122</v>
      </c>
      <c r="C5513" t="s">
        <v>119</v>
      </c>
      <c r="D5513" s="1">
        <v>45864</v>
      </c>
      <c r="E5513" t="s">
        <v>4133</v>
      </c>
      <c r="F5513" t="s">
        <v>4139</v>
      </c>
    </row>
    <row r="5514" spans="1:6">
      <c r="A5514" t="s">
        <v>9643</v>
      </c>
      <c r="B5514" t="s">
        <v>2122</v>
      </c>
      <c r="C5514" t="s">
        <v>119</v>
      </c>
      <c r="D5514" s="1">
        <v>45909</v>
      </c>
      <c r="E5514" t="s">
        <v>4124</v>
      </c>
      <c r="F5514" t="s">
        <v>4139</v>
      </c>
    </row>
    <row r="5515" spans="1:6">
      <c r="A5515" t="s">
        <v>9644</v>
      </c>
      <c r="B5515" t="s">
        <v>2123</v>
      </c>
      <c r="C5515" t="s">
        <v>59</v>
      </c>
      <c r="D5515" s="1">
        <v>45918</v>
      </c>
      <c r="E5515" t="s">
        <v>4133</v>
      </c>
      <c r="F5515" t="s">
        <v>4137</v>
      </c>
    </row>
    <row r="5516" spans="1:6">
      <c r="A5516" t="s">
        <v>9645</v>
      </c>
      <c r="B5516" t="s">
        <v>2123</v>
      </c>
      <c r="C5516" t="s">
        <v>59</v>
      </c>
      <c r="D5516" s="1">
        <v>45939</v>
      </c>
      <c r="E5516" t="s">
        <v>4133</v>
      </c>
      <c r="F5516" t="s">
        <v>4139</v>
      </c>
    </row>
    <row r="5517" spans="1:6">
      <c r="A5517" t="s">
        <v>9646</v>
      </c>
      <c r="B5517" t="s">
        <v>2123</v>
      </c>
      <c r="C5517" t="s">
        <v>59</v>
      </c>
      <c r="D5517" s="1">
        <v>45910</v>
      </c>
      <c r="E5517" t="s">
        <v>4124</v>
      </c>
      <c r="F5517" t="s">
        <v>4139</v>
      </c>
    </row>
    <row r="5518" spans="1:6">
      <c r="A5518" t="s">
        <v>9647</v>
      </c>
      <c r="B5518" t="s">
        <v>2124</v>
      </c>
      <c r="C5518" t="s">
        <v>36</v>
      </c>
      <c r="D5518" s="1">
        <v>45701</v>
      </c>
      <c r="E5518" t="s">
        <v>4127</v>
      </c>
      <c r="F5518" t="s">
        <v>4137</v>
      </c>
    </row>
    <row r="5519" spans="1:6">
      <c r="A5519" t="s">
        <v>9648</v>
      </c>
      <c r="B5519" t="s">
        <v>2124</v>
      </c>
      <c r="C5519" t="s">
        <v>36</v>
      </c>
      <c r="D5519" s="1">
        <v>45689</v>
      </c>
      <c r="E5519" t="s">
        <v>4127</v>
      </c>
      <c r="F5519" t="s">
        <v>4137</v>
      </c>
    </row>
    <row r="5520" spans="1:6">
      <c r="A5520" t="s">
        <v>9649</v>
      </c>
      <c r="B5520" t="s">
        <v>2125</v>
      </c>
      <c r="C5520" t="s">
        <v>22</v>
      </c>
      <c r="D5520" s="1">
        <v>45908</v>
      </c>
      <c r="E5520" t="s">
        <v>4127</v>
      </c>
      <c r="F5520" t="s">
        <v>4139</v>
      </c>
    </row>
    <row r="5521" spans="1:6">
      <c r="A5521" t="s">
        <v>9650</v>
      </c>
      <c r="B5521" t="s">
        <v>2125</v>
      </c>
      <c r="C5521" t="s">
        <v>22</v>
      </c>
      <c r="D5521" s="1">
        <v>45901</v>
      </c>
      <c r="E5521" t="s">
        <v>4129</v>
      </c>
      <c r="F5521" t="s">
        <v>4139</v>
      </c>
    </row>
    <row r="5522" spans="1:6">
      <c r="A5522" t="s">
        <v>9651</v>
      </c>
      <c r="B5522" t="s">
        <v>2125</v>
      </c>
      <c r="C5522" t="s">
        <v>22</v>
      </c>
      <c r="D5522" s="1">
        <v>45917</v>
      </c>
      <c r="E5522" t="s">
        <v>4133</v>
      </c>
      <c r="F5522" t="s">
        <v>4139</v>
      </c>
    </row>
    <row r="5523" spans="1:6">
      <c r="A5523" t="s">
        <v>9652</v>
      </c>
      <c r="B5523" t="s">
        <v>2125</v>
      </c>
      <c r="C5523" t="s">
        <v>22</v>
      </c>
      <c r="D5523" s="1">
        <v>45901</v>
      </c>
      <c r="E5523" t="s">
        <v>4127</v>
      </c>
      <c r="F5523" t="s">
        <v>4139</v>
      </c>
    </row>
    <row r="5524" spans="1:6">
      <c r="A5524" t="s">
        <v>9653</v>
      </c>
      <c r="B5524" t="s">
        <v>2125</v>
      </c>
      <c r="C5524" t="s">
        <v>22</v>
      </c>
      <c r="D5524" s="1">
        <v>45887</v>
      </c>
      <c r="E5524" t="s">
        <v>4133</v>
      </c>
      <c r="F5524" t="s">
        <v>4137</v>
      </c>
    </row>
    <row r="5525" spans="1:6">
      <c r="A5525" t="s">
        <v>9654</v>
      </c>
      <c r="B5525" t="s">
        <v>2126</v>
      </c>
      <c r="C5525" t="s">
        <v>50</v>
      </c>
      <c r="D5525" s="1">
        <v>46003</v>
      </c>
      <c r="E5525" t="s">
        <v>4129</v>
      </c>
      <c r="F5525" t="s">
        <v>4137</v>
      </c>
    </row>
    <row r="5526" spans="1:6">
      <c r="A5526" t="s">
        <v>9655</v>
      </c>
      <c r="B5526" t="s">
        <v>2126</v>
      </c>
      <c r="C5526" t="s">
        <v>50</v>
      </c>
      <c r="D5526" s="1">
        <v>45997</v>
      </c>
      <c r="E5526" t="s">
        <v>4124</v>
      </c>
      <c r="F5526" t="s">
        <v>4139</v>
      </c>
    </row>
    <row r="5527" spans="1:6">
      <c r="A5527" t="s">
        <v>9656</v>
      </c>
      <c r="B5527" t="s">
        <v>2127</v>
      </c>
      <c r="C5527" t="s">
        <v>75</v>
      </c>
      <c r="D5527" s="1">
        <v>46007</v>
      </c>
      <c r="E5527" t="s">
        <v>4135</v>
      </c>
      <c r="F5527" t="s">
        <v>4125</v>
      </c>
    </row>
    <row r="5528" spans="1:6">
      <c r="A5528" t="s">
        <v>9657</v>
      </c>
      <c r="B5528" t="s">
        <v>2127</v>
      </c>
      <c r="C5528" t="s">
        <v>75</v>
      </c>
      <c r="D5528" s="1">
        <v>45999</v>
      </c>
      <c r="E5528" t="s">
        <v>4129</v>
      </c>
      <c r="F5528" t="s">
        <v>4137</v>
      </c>
    </row>
    <row r="5529" spans="1:6">
      <c r="A5529" t="s">
        <v>9658</v>
      </c>
      <c r="B5529" t="s">
        <v>2127</v>
      </c>
      <c r="C5529" t="s">
        <v>75</v>
      </c>
      <c r="D5529" s="1">
        <v>46002</v>
      </c>
      <c r="E5529" t="s">
        <v>4129</v>
      </c>
      <c r="F5529" t="s">
        <v>4137</v>
      </c>
    </row>
    <row r="5530" spans="1:6">
      <c r="A5530" t="s">
        <v>9659</v>
      </c>
      <c r="B5530" t="s">
        <v>2128</v>
      </c>
      <c r="C5530" t="s">
        <v>78</v>
      </c>
      <c r="D5530" s="1">
        <v>45992</v>
      </c>
      <c r="E5530" t="s">
        <v>4133</v>
      </c>
      <c r="F5530" t="s">
        <v>4139</v>
      </c>
    </row>
    <row r="5531" spans="1:6">
      <c r="A5531" t="s">
        <v>9660</v>
      </c>
      <c r="B5531" t="s">
        <v>2128</v>
      </c>
      <c r="C5531" t="s">
        <v>78</v>
      </c>
      <c r="D5531" s="1">
        <v>45993</v>
      </c>
      <c r="E5531" t="s">
        <v>4129</v>
      </c>
      <c r="F5531" t="s">
        <v>4139</v>
      </c>
    </row>
    <row r="5532" spans="1:6">
      <c r="A5532" t="s">
        <v>9661</v>
      </c>
      <c r="B5532" t="s">
        <v>2129</v>
      </c>
      <c r="C5532" t="s">
        <v>22</v>
      </c>
      <c r="D5532" s="1">
        <v>45976</v>
      </c>
      <c r="E5532" t="s">
        <v>4135</v>
      </c>
      <c r="F5532" t="s">
        <v>4137</v>
      </c>
    </row>
    <row r="5533" spans="1:6">
      <c r="A5533" t="s">
        <v>9662</v>
      </c>
      <c r="B5533" t="s">
        <v>2129</v>
      </c>
      <c r="C5533" t="s">
        <v>22</v>
      </c>
      <c r="D5533" s="1">
        <v>45976</v>
      </c>
      <c r="E5533" t="s">
        <v>4129</v>
      </c>
      <c r="F5533" t="s">
        <v>4139</v>
      </c>
    </row>
    <row r="5534" spans="1:6">
      <c r="A5534" t="s">
        <v>9663</v>
      </c>
      <c r="B5534" t="s">
        <v>2130</v>
      </c>
      <c r="C5534" t="s">
        <v>53</v>
      </c>
      <c r="D5534" s="1">
        <v>45860</v>
      </c>
      <c r="E5534" t="s">
        <v>4124</v>
      </c>
      <c r="F5534" t="s">
        <v>4137</v>
      </c>
    </row>
    <row r="5535" spans="1:6">
      <c r="A5535" t="s">
        <v>9664</v>
      </c>
      <c r="B5535" t="s">
        <v>2130</v>
      </c>
      <c r="C5535" t="s">
        <v>53</v>
      </c>
      <c r="D5535" s="1">
        <v>45862</v>
      </c>
      <c r="E5535" t="s">
        <v>4135</v>
      </c>
      <c r="F5535" t="s">
        <v>4125</v>
      </c>
    </row>
    <row r="5536" spans="1:6">
      <c r="A5536" t="s">
        <v>9665</v>
      </c>
      <c r="B5536" t="s">
        <v>2130</v>
      </c>
      <c r="C5536" t="s">
        <v>53</v>
      </c>
      <c r="D5536" s="1">
        <v>45864</v>
      </c>
      <c r="E5536" t="s">
        <v>4129</v>
      </c>
      <c r="F5536" t="s">
        <v>4137</v>
      </c>
    </row>
    <row r="5537" spans="1:6">
      <c r="A5537" t="s">
        <v>9666</v>
      </c>
      <c r="B5537" t="s">
        <v>2130</v>
      </c>
      <c r="C5537" t="s">
        <v>53</v>
      </c>
      <c r="D5537" s="1">
        <v>45856</v>
      </c>
      <c r="E5537" t="s">
        <v>4133</v>
      </c>
      <c r="F5537" t="s">
        <v>4137</v>
      </c>
    </row>
    <row r="5538" spans="1:6">
      <c r="A5538" t="s">
        <v>9667</v>
      </c>
      <c r="B5538" t="s">
        <v>2131</v>
      </c>
      <c r="C5538" t="s">
        <v>91</v>
      </c>
      <c r="D5538" s="1">
        <v>45848</v>
      </c>
      <c r="E5538" t="s">
        <v>4129</v>
      </c>
      <c r="F5538" t="s">
        <v>4137</v>
      </c>
    </row>
    <row r="5539" spans="1:6">
      <c r="A5539" t="s">
        <v>9668</v>
      </c>
      <c r="B5539" t="s">
        <v>2131</v>
      </c>
      <c r="C5539" t="s">
        <v>91</v>
      </c>
      <c r="D5539" s="1">
        <v>45867</v>
      </c>
      <c r="E5539" t="s">
        <v>4129</v>
      </c>
      <c r="F5539" t="s">
        <v>4139</v>
      </c>
    </row>
    <row r="5540" spans="1:6">
      <c r="A5540" t="s">
        <v>9669</v>
      </c>
      <c r="B5540" t="s">
        <v>2131</v>
      </c>
      <c r="C5540" t="s">
        <v>91</v>
      </c>
      <c r="D5540" s="1">
        <v>45865</v>
      </c>
      <c r="E5540" t="s">
        <v>4127</v>
      </c>
      <c r="F5540" t="s">
        <v>4139</v>
      </c>
    </row>
    <row r="5541" spans="1:6">
      <c r="A5541" t="s">
        <v>9670</v>
      </c>
      <c r="B5541" t="s">
        <v>2131</v>
      </c>
      <c r="C5541" t="s">
        <v>91</v>
      </c>
      <c r="D5541" s="1">
        <v>45845</v>
      </c>
      <c r="E5541" t="s">
        <v>4127</v>
      </c>
      <c r="F5541" t="s">
        <v>4139</v>
      </c>
    </row>
    <row r="5542" spans="1:6">
      <c r="A5542" t="s">
        <v>9671</v>
      </c>
      <c r="B5542" t="s">
        <v>2131</v>
      </c>
      <c r="C5542" t="s">
        <v>91</v>
      </c>
      <c r="D5542" s="1">
        <v>45853</v>
      </c>
      <c r="E5542" t="s">
        <v>4124</v>
      </c>
      <c r="F5542" t="s">
        <v>4139</v>
      </c>
    </row>
    <row r="5543" spans="1:6">
      <c r="A5543" t="s">
        <v>9672</v>
      </c>
      <c r="B5543" t="s">
        <v>2132</v>
      </c>
      <c r="C5543" t="s">
        <v>46</v>
      </c>
      <c r="D5543" s="1">
        <v>45715</v>
      </c>
      <c r="E5543" t="s">
        <v>4129</v>
      </c>
      <c r="F5543" t="s">
        <v>4137</v>
      </c>
    </row>
    <row r="5544" spans="1:6">
      <c r="A5544" t="s">
        <v>9673</v>
      </c>
      <c r="B5544" t="s">
        <v>2132</v>
      </c>
      <c r="C5544" t="s">
        <v>46</v>
      </c>
      <c r="D5544" s="1">
        <v>45717</v>
      </c>
      <c r="E5544" t="s">
        <v>4129</v>
      </c>
      <c r="F5544" t="s">
        <v>4137</v>
      </c>
    </row>
    <row r="5545" spans="1:6">
      <c r="A5545" t="s">
        <v>9674</v>
      </c>
      <c r="B5545" t="s">
        <v>2132</v>
      </c>
      <c r="C5545" t="s">
        <v>46</v>
      </c>
      <c r="D5545" s="1">
        <v>45726</v>
      </c>
      <c r="E5545" t="s">
        <v>4127</v>
      </c>
      <c r="F5545" t="s">
        <v>4125</v>
      </c>
    </row>
    <row r="5546" spans="1:6">
      <c r="A5546" t="s">
        <v>9675</v>
      </c>
      <c r="B5546" t="s">
        <v>2132</v>
      </c>
      <c r="C5546" t="s">
        <v>46</v>
      </c>
      <c r="D5546" s="1">
        <v>45723</v>
      </c>
      <c r="E5546" t="s">
        <v>4129</v>
      </c>
      <c r="F5546" t="s">
        <v>4139</v>
      </c>
    </row>
    <row r="5547" spans="1:6">
      <c r="A5547" t="s">
        <v>9676</v>
      </c>
      <c r="B5547" t="s">
        <v>2132</v>
      </c>
      <c r="C5547" t="s">
        <v>46</v>
      </c>
      <c r="D5547" s="1">
        <v>45716</v>
      </c>
      <c r="E5547" t="s">
        <v>4133</v>
      </c>
      <c r="F5547" t="s">
        <v>4139</v>
      </c>
    </row>
    <row r="5548" spans="1:6">
      <c r="A5548" t="s">
        <v>9677</v>
      </c>
      <c r="B5548" t="s">
        <v>2133</v>
      </c>
      <c r="C5548" t="s">
        <v>63</v>
      </c>
      <c r="D5548" s="1">
        <v>45945</v>
      </c>
      <c r="E5548" t="s">
        <v>4124</v>
      </c>
      <c r="F5548" t="s">
        <v>4139</v>
      </c>
    </row>
    <row r="5549" spans="1:6">
      <c r="A5549" t="s">
        <v>9678</v>
      </c>
      <c r="B5549" t="s">
        <v>2133</v>
      </c>
      <c r="C5549" t="s">
        <v>63</v>
      </c>
      <c r="D5549" s="1">
        <v>45932</v>
      </c>
      <c r="E5549" t="s">
        <v>4135</v>
      </c>
      <c r="F5549" t="s">
        <v>4139</v>
      </c>
    </row>
    <row r="5550" spans="1:6">
      <c r="A5550" t="s">
        <v>9679</v>
      </c>
      <c r="B5550" t="s">
        <v>2134</v>
      </c>
      <c r="C5550" t="s">
        <v>91</v>
      </c>
      <c r="D5550" s="1">
        <v>45981</v>
      </c>
      <c r="E5550" t="s">
        <v>4133</v>
      </c>
      <c r="F5550" t="s">
        <v>4125</v>
      </c>
    </row>
    <row r="5551" spans="1:6">
      <c r="A5551" t="s">
        <v>9680</v>
      </c>
      <c r="B5551" t="s">
        <v>2134</v>
      </c>
      <c r="C5551" t="s">
        <v>91</v>
      </c>
      <c r="D5551" s="1">
        <v>45945</v>
      </c>
      <c r="E5551" t="s">
        <v>4135</v>
      </c>
      <c r="F5551" t="s">
        <v>4139</v>
      </c>
    </row>
    <row r="5552" spans="1:6">
      <c r="A5552" t="s">
        <v>9681</v>
      </c>
      <c r="B5552" t="s">
        <v>2134</v>
      </c>
      <c r="C5552" t="s">
        <v>91</v>
      </c>
      <c r="D5552" s="1">
        <v>45945</v>
      </c>
      <c r="E5552" t="s">
        <v>4135</v>
      </c>
      <c r="F5552" t="s">
        <v>4139</v>
      </c>
    </row>
    <row r="5553" spans="1:6">
      <c r="A5553" t="s">
        <v>9682</v>
      </c>
      <c r="B5553" t="s">
        <v>2134</v>
      </c>
      <c r="C5553" t="s">
        <v>91</v>
      </c>
      <c r="D5553" s="1">
        <v>45980</v>
      </c>
      <c r="E5553" t="s">
        <v>4135</v>
      </c>
      <c r="F5553" t="s">
        <v>4139</v>
      </c>
    </row>
    <row r="5554" spans="1:6">
      <c r="A5554" t="s">
        <v>9683</v>
      </c>
      <c r="B5554" t="s">
        <v>2135</v>
      </c>
      <c r="C5554" t="s">
        <v>32</v>
      </c>
      <c r="D5554" s="1">
        <v>45817</v>
      </c>
      <c r="E5554" t="s">
        <v>4124</v>
      </c>
      <c r="F5554" t="s">
        <v>4137</v>
      </c>
    </row>
    <row r="5555" spans="1:6">
      <c r="A5555" t="s">
        <v>9684</v>
      </c>
      <c r="B5555" t="s">
        <v>2135</v>
      </c>
      <c r="C5555" t="s">
        <v>32</v>
      </c>
      <c r="D5555" s="1">
        <v>45853</v>
      </c>
      <c r="E5555" t="s">
        <v>4133</v>
      </c>
      <c r="F5555" t="s">
        <v>4125</v>
      </c>
    </row>
    <row r="5556" spans="1:6">
      <c r="A5556" t="s">
        <v>9685</v>
      </c>
      <c r="B5556" t="s">
        <v>2135</v>
      </c>
      <c r="C5556" t="s">
        <v>32</v>
      </c>
      <c r="D5556" s="1">
        <v>45845</v>
      </c>
      <c r="E5556" t="s">
        <v>4124</v>
      </c>
      <c r="F5556" t="s">
        <v>4125</v>
      </c>
    </row>
    <row r="5557" spans="1:6">
      <c r="A5557" t="s">
        <v>9686</v>
      </c>
      <c r="B5557" t="s">
        <v>2136</v>
      </c>
      <c r="C5557" t="s">
        <v>50</v>
      </c>
      <c r="D5557" s="1">
        <v>45809</v>
      </c>
      <c r="E5557" t="s">
        <v>4127</v>
      </c>
      <c r="F5557" t="s">
        <v>4139</v>
      </c>
    </row>
    <row r="5558" spans="1:6">
      <c r="A5558" t="s">
        <v>9687</v>
      </c>
      <c r="B5558" t="s">
        <v>2136</v>
      </c>
      <c r="C5558" t="s">
        <v>50</v>
      </c>
      <c r="D5558" s="1">
        <v>45785</v>
      </c>
      <c r="E5558" t="s">
        <v>4135</v>
      </c>
      <c r="F5558" t="s">
        <v>4139</v>
      </c>
    </row>
    <row r="5559" spans="1:6">
      <c r="A5559" t="s">
        <v>9688</v>
      </c>
      <c r="B5559" t="s">
        <v>2136</v>
      </c>
      <c r="C5559" t="s">
        <v>50</v>
      </c>
      <c r="D5559" s="1">
        <v>45827</v>
      </c>
      <c r="E5559" t="s">
        <v>4133</v>
      </c>
      <c r="F5559" t="s">
        <v>4125</v>
      </c>
    </row>
    <row r="5560" spans="1:6">
      <c r="A5560" t="s">
        <v>9689</v>
      </c>
      <c r="B5560" t="s">
        <v>2136</v>
      </c>
      <c r="C5560" t="s">
        <v>50</v>
      </c>
      <c r="D5560" s="1">
        <v>45827</v>
      </c>
      <c r="E5560" t="s">
        <v>4135</v>
      </c>
      <c r="F5560" t="s">
        <v>4125</v>
      </c>
    </row>
    <row r="5561" spans="1:6">
      <c r="A5561" t="s">
        <v>9690</v>
      </c>
      <c r="B5561" t="s">
        <v>2136</v>
      </c>
      <c r="C5561" t="s">
        <v>50</v>
      </c>
      <c r="D5561" s="1">
        <v>45776</v>
      </c>
      <c r="E5561" t="s">
        <v>4127</v>
      </c>
      <c r="F5561" t="s">
        <v>4139</v>
      </c>
    </row>
    <row r="5562" spans="1:6">
      <c r="A5562" t="s">
        <v>9691</v>
      </c>
      <c r="B5562" t="s">
        <v>2137</v>
      </c>
      <c r="C5562" t="s">
        <v>78</v>
      </c>
      <c r="D5562" s="1">
        <v>46012</v>
      </c>
      <c r="E5562" t="s">
        <v>4129</v>
      </c>
      <c r="F5562" t="s">
        <v>4137</v>
      </c>
    </row>
    <row r="5563" spans="1:6">
      <c r="A5563" t="s">
        <v>9692</v>
      </c>
      <c r="B5563" t="s">
        <v>2137</v>
      </c>
      <c r="C5563" t="s">
        <v>78</v>
      </c>
      <c r="D5563" s="1">
        <v>46021</v>
      </c>
      <c r="E5563" t="s">
        <v>4129</v>
      </c>
      <c r="F5563" t="s">
        <v>4125</v>
      </c>
    </row>
    <row r="5564" spans="1:6">
      <c r="A5564" t="s">
        <v>9693</v>
      </c>
      <c r="B5564" t="s">
        <v>2137</v>
      </c>
      <c r="C5564" t="s">
        <v>78</v>
      </c>
      <c r="D5564" s="1">
        <v>46003</v>
      </c>
      <c r="E5564" t="s">
        <v>4135</v>
      </c>
      <c r="F5564" t="s">
        <v>4139</v>
      </c>
    </row>
    <row r="5565" spans="1:6">
      <c r="A5565" t="s">
        <v>9694</v>
      </c>
      <c r="B5565" t="s">
        <v>2138</v>
      </c>
      <c r="C5565" t="s">
        <v>119</v>
      </c>
      <c r="D5565" s="1">
        <v>45910</v>
      </c>
      <c r="E5565" t="s">
        <v>4124</v>
      </c>
      <c r="F5565" t="s">
        <v>4125</v>
      </c>
    </row>
    <row r="5566" spans="1:6">
      <c r="A5566" t="s">
        <v>9695</v>
      </c>
      <c r="B5566" t="s">
        <v>2138</v>
      </c>
      <c r="C5566" t="s">
        <v>119</v>
      </c>
      <c r="D5566" s="1">
        <v>45904</v>
      </c>
      <c r="E5566" t="s">
        <v>4124</v>
      </c>
      <c r="F5566" t="s">
        <v>4125</v>
      </c>
    </row>
    <row r="5567" spans="1:6">
      <c r="A5567" t="s">
        <v>9696</v>
      </c>
      <c r="B5567" t="s">
        <v>2138</v>
      </c>
      <c r="C5567" t="s">
        <v>119</v>
      </c>
      <c r="D5567" s="1">
        <v>45877</v>
      </c>
      <c r="E5567" t="s">
        <v>4133</v>
      </c>
      <c r="F5567" t="s">
        <v>4139</v>
      </c>
    </row>
    <row r="5568" spans="1:6">
      <c r="A5568" t="s">
        <v>9697</v>
      </c>
      <c r="B5568" t="s">
        <v>2139</v>
      </c>
      <c r="C5568" t="s">
        <v>126</v>
      </c>
      <c r="D5568" s="1">
        <v>45688</v>
      </c>
      <c r="E5568" t="s">
        <v>4133</v>
      </c>
      <c r="F5568" t="s">
        <v>4137</v>
      </c>
    </row>
    <row r="5569" spans="1:6">
      <c r="A5569" t="s">
        <v>9698</v>
      </c>
      <c r="B5569" t="s">
        <v>2139</v>
      </c>
      <c r="C5569" t="s">
        <v>126</v>
      </c>
      <c r="D5569" s="1">
        <v>45686</v>
      </c>
      <c r="E5569" t="s">
        <v>4127</v>
      </c>
      <c r="F5569" t="s">
        <v>4125</v>
      </c>
    </row>
    <row r="5570" spans="1:6">
      <c r="A5570" t="s">
        <v>9699</v>
      </c>
      <c r="B5570" t="s">
        <v>2139</v>
      </c>
      <c r="C5570" t="s">
        <v>126</v>
      </c>
      <c r="D5570" s="1">
        <v>45691</v>
      </c>
      <c r="E5570" t="s">
        <v>4133</v>
      </c>
      <c r="F5570" t="s">
        <v>4125</v>
      </c>
    </row>
    <row r="5571" spans="1:6">
      <c r="A5571" t="s">
        <v>9700</v>
      </c>
      <c r="B5571" t="s">
        <v>2139</v>
      </c>
      <c r="C5571" t="s">
        <v>126</v>
      </c>
      <c r="D5571" s="1">
        <v>45687</v>
      </c>
      <c r="E5571" t="s">
        <v>4135</v>
      </c>
      <c r="F5571" t="s">
        <v>4137</v>
      </c>
    </row>
    <row r="5572" spans="1:6">
      <c r="A5572" t="s">
        <v>9701</v>
      </c>
      <c r="B5572" t="s">
        <v>2139</v>
      </c>
      <c r="C5572" t="s">
        <v>126</v>
      </c>
      <c r="D5572" s="1">
        <v>45689</v>
      </c>
      <c r="E5572" t="s">
        <v>4124</v>
      </c>
      <c r="F5572" t="s">
        <v>4125</v>
      </c>
    </row>
    <row r="5573" spans="1:6">
      <c r="A5573" t="s">
        <v>9702</v>
      </c>
      <c r="B5573" t="s">
        <v>2140</v>
      </c>
      <c r="C5573" t="s">
        <v>152</v>
      </c>
      <c r="D5573" s="1">
        <v>45967</v>
      </c>
      <c r="E5573" t="s">
        <v>4135</v>
      </c>
      <c r="F5573" t="s">
        <v>4139</v>
      </c>
    </row>
    <row r="5574" spans="1:6">
      <c r="A5574" t="s">
        <v>9703</v>
      </c>
      <c r="B5574" t="s">
        <v>2140</v>
      </c>
      <c r="C5574" t="s">
        <v>152</v>
      </c>
      <c r="D5574" s="1">
        <v>45966</v>
      </c>
      <c r="E5574" t="s">
        <v>4135</v>
      </c>
      <c r="F5574" t="s">
        <v>4125</v>
      </c>
    </row>
    <row r="5575" spans="1:6">
      <c r="A5575" t="s">
        <v>9704</v>
      </c>
      <c r="B5575" t="s">
        <v>2140</v>
      </c>
      <c r="C5575" t="s">
        <v>152</v>
      </c>
      <c r="D5575" s="1">
        <v>45965</v>
      </c>
      <c r="E5575" t="s">
        <v>4124</v>
      </c>
      <c r="F5575" t="s">
        <v>4125</v>
      </c>
    </row>
    <row r="5576" spans="1:6">
      <c r="A5576" t="s">
        <v>9705</v>
      </c>
      <c r="B5576" t="s">
        <v>2141</v>
      </c>
      <c r="C5576" t="s">
        <v>126</v>
      </c>
      <c r="D5576" s="1">
        <v>45794</v>
      </c>
      <c r="E5576" t="s">
        <v>4127</v>
      </c>
      <c r="F5576" t="s">
        <v>4137</v>
      </c>
    </row>
    <row r="5577" spans="1:6">
      <c r="A5577" t="s">
        <v>9706</v>
      </c>
      <c r="B5577" t="s">
        <v>2141</v>
      </c>
      <c r="C5577" t="s">
        <v>126</v>
      </c>
      <c r="D5577" s="1">
        <v>45797</v>
      </c>
      <c r="E5577" t="s">
        <v>4129</v>
      </c>
      <c r="F5577" t="s">
        <v>4125</v>
      </c>
    </row>
    <row r="5578" spans="1:6">
      <c r="A5578" t="s">
        <v>9707</v>
      </c>
      <c r="B5578" t="s">
        <v>2141</v>
      </c>
      <c r="C5578" t="s">
        <v>126</v>
      </c>
      <c r="D5578" s="1">
        <v>45791</v>
      </c>
      <c r="E5578" t="s">
        <v>4124</v>
      </c>
      <c r="F5578" t="s">
        <v>4137</v>
      </c>
    </row>
    <row r="5579" spans="1:6">
      <c r="A5579" t="s">
        <v>9708</v>
      </c>
      <c r="B5579" t="s">
        <v>2142</v>
      </c>
      <c r="C5579" t="s">
        <v>36</v>
      </c>
      <c r="D5579" s="1">
        <v>45954</v>
      </c>
      <c r="E5579" t="s">
        <v>4129</v>
      </c>
      <c r="F5579" t="s">
        <v>4125</v>
      </c>
    </row>
    <row r="5580" spans="1:6">
      <c r="A5580" t="s">
        <v>9709</v>
      </c>
      <c r="B5580" t="s">
        <v>2142</v>
      </c>
      <c r="C5580" t="s">
        <v>36</v>
      </c>
      <c r="D5580" s="1">
        <v>46002</v>
      </c>
      <c r="E5580" t="s">
        <v>4135</v>
      </c>
      <c r="F5580" t="s">
        <v>4137</v>
      </c>
    </row>
    <row r="5581" spans="1:6">
      <c r="A5581" t="s">
        <v>9710</v>
      </c>
      <c r="B5581" t="s">
        <v>2142</v>
      </c>
      <c r="C5581" t="s">
        <v>36</v>
      </c>
      <c r="D5581" s="1">
        <v>45996</v>
      </c>
      <c r="E5581" t="s">
        <v>4124</v>
      </c>
      <c r="F5581" t="s">
        <v>4137</v>
      </c>
    </row>
    <row r="5582" spans="1:6">
      <c r="A5582" t="s">
        <v>9711</v>
      </c>
      <c r="B5582" t="s">
        <v>2142</v>
      </c>
      <c r="C5582" t="s">
        <v>36</v>
      </c>
      <c r="D5582" s="1">
        <v>45993</v>
      </c>
      <c r="E5582" t="s">
        <v>4133</v>
      </c>
      <c r="F5582" t="s">
        <v>4139</v>
      </c>
    </row>
    <row r="5583" spans="1:6">
      <c r="A5583" t="s">
        <v>9712</v>
      </c>
      <c r="B5583" t="s">
        <v>2143</v>
      </c>
      <c r="C5583" t="s">
        <v>78</v>
      </c>
      <c r="D5583" s="1">
        <v>45903</v>
      </c>
      <c r="E5583" t="s">
        <v>4124</v>
      </c>
      <c r="F5583" t="s">
        <v>4125</v>
      </c>
    </row>
    <row r="5584" spans="1:6">
      <c r="A5584" t="s">
        <v>9713</v>
      </c>
      <c r="B5584" t="s">
        <v>2143</v>
      </c>
      <c r="C5584" t="s">
        <v>78</v>
      </c>
      <c r="D5584" s="1">
        <v>45917</v>
      </c>
      <c r="E5584" t="s">
        <v>4124</v>
      </c>
      <c r="F5584" t="s">
        <v>4139</v>
      </c>
    </row>
    <row r="5585" spans="1:6">
      <c r="A5585" t="s">
        <v>9714</v>
      </c>
      <c r="B5585" t="s">
        <v>2143</v>
      </c>
      <c r="C5585" t="s">
        <v>78</v>
      </c>
      <c r="D5585" s="1">
        <v>45871</v>
      </c>
      <c r="E5585" t="s">
        <v>4135</v>
      </c>
      <c r="F5585" t="s">
        <v>4137</v>
      </c>
    </row>
    <row r="5586" spans="1:6">
      <c r="A5586" t="s">
        <v>9715</v>
      </c>
      <c r="B5586" t="s">
        <v>2144</v>
      </c>
      <c r="C5586" t="s">
        <v>16</v>
      </c>
      <c r="D5586" s="1">
        <v>45746</v>
      </c>
      <c r="E5586" t="s">
        <v>4135</v>
      </c>
      <c r="F5586" t="s">
        <v>4139</v>
      </c>
    </row>
    <row r="5587" spans="1:6">
      <c r="A5587" t="s">
        <v>9716</v>
      </c>
      <c r="B5587" t="s">
        <v>2144</v>
      </c>
      <c r="C5587" t="s">
        <v>16</v>
      </c>
      <c r="D5587" s="1">
        <v>45748</v>
      </c>
      <c r="E5587" t="s">
        <v>4135</v>
      </c>
      <c r="F5587" t="s">
        <v>4125</v>
      </c>
    </row>
    <row r="5588" spans="1:6">
      <c r="A5588" t="s">
        <v>9717</v>
      </c>
      <c r="B5588" t="s">
        <v>2144</v>
      </c>
      <c r="C5588" t="s">
        <v>16</v>
      </c>
      <c r="D5588" s="1">
        <v>45742</v>
      </c>
      <c r="E5588" t="s">
        <v>4127</v>
      </c>
      <c r="F5588" t="s">
        <v>4125</v>
      </c>
    </row>
    <row r="5589" spans="1:6">
      <c r="A5589" t="s">
        <v>9718</v>
      </c>
      <c r="B5589" t="s">
        <v>2144</v>
      </c>
      <c r="C5589" t="s">
        <v>16</v>
      </c>
      <c r="D5589" s="1">
        <v>45748</v>
      </c>
      <c r="E5589" t="s">
        <v>4135</v>
      </c>
      <c r="F5589" t="s">
        <v>4125</v>
      </c>
    </row>
    <row r="5590" spans="1:6">
      <c r="A5590" t="s">
        <v>9719</v>
      </c>
      <c r="B5590" t="s">
        <v>2145</v>
      </c>
      <c r="C5590" t="s">
        <v>78</v>
      </c>
      <c r="D5590" s="1">
        <v>45735</v>
      </c>
      <c r="E5590" t="s">
        <v>4124</v>
      </c>
      <c r="F5590" t="s">
        <v>4139</v>
      </c>
    </row>
    <row r="5591" spans="1:6">
      <c r="A5591" t="s">
        <v>9720</v>
      </c>
      <c r="B5591" t="s">
        <v>2145</v>
      </c>
      <c r="C5591" t="s">
        <v>78</v>
      </c>
      <c r="D5591" s="1">
        <v>45768</v>
      </c>
      <c r="E5591" t="s">
        <v>4127</v>
      </c>
      <c r="F5591" t="s">
        <v>4137</v>
      </c>
    </row>
    <row r="5592" spans="1:6">
      <c r="A5592" t="s">
        <v>9721</v>
      </c>
      <c r="B5592" t="s">
        <v>2146</v>
      </c>
      <c r="C5592" t="s">
        <v>78</v>
      </c>
      <c r="D5592" s="1">
        <v>45769</v>
      </c>
      <c r="E5592" t="s">
        <v>4127</v>
      </c>
      <c r="F5592" t="s">
        <v>4139</v>
      </c>
    </row>
    <row r="5593" spans="1:6">
      <c r="A5593" t="s">
        <v>9722</v>
      </c>
      <c r="B5593" t="s">
        <v>2146</v>
      </c>
      <c r="C5593" t="s">
        <v>78</v>
      </c>
      <c r="D5593" s="1">
        <v>45769</v>
      </c>
      <c r="E5593" t="s">
        <v>4124</v>
      </c>
      <c r="F5593" t="s">
        <v>4137</v>
      </c>
    </row>
    <row r="5594" spans="1:6">
      <c r="A5594" t="s">
        <v>9723</v>
      </c>
      <c r="B5594" t="s">
        <v>2147</v>
      </c>
      <c r="C5594" t="s">
        <v>70</v>
      </c>
      <c r="D5594" s="1">
        <v>45891</v>
      </c>
      <c r="E5594" t="s">
        <v>4133</v>
      </c>
      <c r="F5594" t="s">
        <v>4139</v>
      </c>
    </row>
    <row r="5595" spans="1:6">
      <c r="A5595" t="s">
        <v>9724</v>
      </c>
      <c r="B5595" t="s">
        <v>2147</v>
      </c>
      <c r="C5595" t="s">
        <v>70</v>
      </c>
      <c r="D5595" s="1">
        <v>45900</v>
      </c>
      <c r="E5595" t="s">
        <v>4127</v>
      </c>
      <c r="F5595" t="s">
        <v>4137</v>
      </c>
    </row>
    <row r="5596" spans="1:6">
      <c r="A5596" t="s">
        <v>9725</v>
      </c>
      <c r="B5596" t="s">
        <v>2147</v>
      </c>
      <c r="C5596" t="s">
        <v>70</v>
      </c>
      <c r="D5596" s="1">
        <v>45891</v>
      </c>
      <c r="E5596" t="s">
        <v>4133</v>
      </c>
      <c r="F5596" t="s">
        <v>4125</v>
      </c>
    </row>
    <row r="5597" spans="1:6">
      <c r="A5597" t="s">
        <v>9726</v>
      </c>
      <c r="B5597" t="s">
        <v>2147</v>
      </c>
      <c r="C5597" t="s">
        <v>70</v>
      </c>
      <c r="D5597" s="1">
        <v>45903</v>
      </c>
      <c r="E5597" t="s">
        <v>4133</v>
      </c>
      <c r="F5597" t="s">
        <v>4139</v>
      </c>
    </row>
    <row r="5598" spans="1:6">
      <c r="A5598" t="s">
        <v>9727</v>
      </c>
      <c r="B5598" t="s">
        <v>2147</v>
      </c>
      <c r="C5598" t="s">
        <v>70</v>
      </c>
      <c r="D5598" s="1">
        <v>45892</v>
      </c>
      <c r="E5598" t="s">
        <v>4133</v>
      </c>
      <c r="F5598" t="s">
        <v>4139</v>
      </c>
    </row>
    <row r="5599" spans="1:6">
      <c r="A5599" t="s">
        <v>9728</v>
      </c>
      <c r="B5599" t="s">
        <v>2148</v>
      </c>
      <c r="C5599" t="s">
        <v>50</v>
      </c>
      <c r="D5599" s="1">
        <v>45816</v>
      </c>
      <c r="E5599" t="s">
        <v>4133</v>
      </c>
      <c r="F5599" t="s">
        <v>4139</v>
      </c>
    </row>
    <row r="5600" spans="1:6">
      <c r="A5600" t="s">
        <v>9729</v>
      </c>
      <c r="B5600" t="s">
        <v>2148</v>
      </c>
      <c r="C5600" t="s">
        <v>50</v>
      </c>
      <c r="D5600" s="1">
        <v>45839</v>
      </c>
      <c r="E5600" t="s">
        <v>4133</v>
      </c>
      <c r="F5600" t="s">
        <v>4137</v>
      </c>
    </row>
    <row r="5601" spans="1:6">
      <c r="A5601" t="s">
        <v>9730</v>
      </c>
      <c r="B5601" t="s">
        <v>2148</v>
      </c>
      <c r="C5601" t="s">
        <v>50</v>
      </c>
      <c r="D5601" s="1">
        <v>45821</v>
      </c>
      <c r="E5601" t="s">
        <v>4135</v>
      </c>
      <c r="F5601" t="s">
        <v>4139</v>
      </c>
    </row>
    <row r="5602" spans="1:6">
      <c r="A5602" t="s">
        <v>9731</v>
      </c>
      <c r="B5602" t="s">
        <v>2149</v>
      </c>
      <c r="C5602" t="s">
        <v>126</v>
      </c>
      <c r="D5602" s="1">
        <v>45999</v>
      </c>
      <c r="E5602" t="s">
        <v>4127</v>
      </c>
      <c r="F5602" t="s">
        <v>4139</v>
      </c>
    </row>
    <row r="5603" spans="1:6">
      <c r="A5603" t="s">
        <v>9732</v>
      </c>
      <c r="B5603" t="s">
        <v>2149</v>
      </c>
      <c r="C5603" t="s">
        <v>126</v>
      </c>
      <c r="D5603" s="1">
        <v>45993</v>
      </c>
      <c r="E5603" t="s">
        <v>4124</v>
      </c>
      <c r="F5603" t="s">
        <v>4125</v>
      </c>
    </row>
    <row r="5604" spans="1:6">
      <c r="A5604" t="s">
        <v>9733</v>
      </c>
      <c r="B5604" t="s">
        <v>2149</v>
      </c>
      <c r="C5604" t="s">
        <v>126</v>
      </c>
      <c r="D5604" s="1">
        <v>45994</v>
      </c>
      <c r="E5604" t="s">
        <v>4129</v>
      </c>
      <c r="F5604" t="s">
        <v>4139</v>
      </c>
    </row>
    <row r="5605" spans="1:6">
      <c r="A5605" t="s">
        <v>9734</v>
      </c>
      <c r="B5605" t="s">
        <v>2150</v>
      </c>
      <c r="C5605" t="s">
        <v>53</v>
      </c>
      <c r="D5605" s="1">
        <v>45905</v>
      </c>
      <c r="E5605" t="s">
        <v>4124</v>
      </c>
      <c r="F5605" t="s">
        <v>4125</v>
      </c>
    </row>
    <row r="5606" spans="1:6">
      <c r="A5606" t="s">
        <v>9735</v>
      </c>
      <c r="B5606" t="s">
        <v>2150</v>
      </c>
      <c r="C5606" t="s">
        <v>53</v>
      </c>
      <c r="D5606" s="1">
        <v>45889</v>
      </c>
      <c r="E5606" t="s">
        <v>4133</v>
      </c>
      <c r="F5606" t="s">
        <v>4139</v>
      </c>
    </row>
    <row r="5607" spans="1:6">
      <c r="A5607" t="s">
        <v>9736</v>
      </c>
      <c r="B5607" t="s">
        <v>2150</v>
      </c>
      <c r="C5607" t="s">
        <v>53</v>
      </c>
      <c r="D5607" s="1">
        <v>45883</v>
      </c>
      <c r="E5607" t="s">
        <v>4133</v>
      </c>
      <c r="F5607" t="s">
        <v>4137</v>
      </c>
    </row>
    <row r="5608" spans="1:6">
      <c r="A5608" t="s">
        <v>9737</v>
      </c>
      <c r="B5608" t="s">
        <v>2150</v>
      </c>
      <c r="C5608" t="s">
        <v>53</v>
      </c>
      <c r="D5608" s="1">
        <v>45893</v>
      </c>
      <c r="E5608" t="s">
        <v>4127</v>
      </c>
      <c r="F5608" t="s">
        <v>4137</v>
      </c>
    </row>
    <row r="5609" spans="1:6">
      <c r="A5609" t="s">
        <v>9738</v>
      </c>
      <c r="B5609" t="s">
        <v>2150</v>
      </c>
      <c r="C5609" t="s">
        <v>53</v>
      </c>
      <c r="D5609" s="1">
        <v>45874</v>
      </c>
      <c r="E5609" t="s">
        <v>4133</v>
      </c>
      <c r="F5609" t="s">
        <v>4137</v>
      </c>
    </row>
    <row r="5610" spans="1:6">
      <c r="A5610" t="s">
        <v>9739</v>
      </c>
      <c r="B5610" t="s">
        <v>2151</v>
      </c>
      <c r="C5610" t="s">
        <v>22</v>
      </c>
      <c r="D5610" s="1">
        <v>45793</v>
      </c>
      <c r="E5610" t="s">
        <v>4133</v>
      </c>
      <c r="F5610" t="s">
        <v>4137</v>
      </c>
    </row>
    <row r="5611" spans="1:6">
      <c r="A5611" t="s">
        <v>9740</v>
      </c>
      <c r="B5611" t="s">
        <v>2151</v>
      </c>
      <c r="C5611" t="s">
        <v>22</v>
      </c>
      <c r="D5611" s="1">
        <v>45794</v>
      </c>
      <c r="E5611" t="s">
        <v>4124</v>
      </c>
      <c r="F5611" t="s">
        <v>4137</v>
      </c>
    </row>
    <row r="5612" spans="1:6">
      <c r="A5612" t="s">
        <v>9741</v>
      </c>
      <c r="B5612" t="s">
        <v>2151</v>
      </c>
      <c r="C5612" t="s">
        <v>22</v>
      </c>
      <c r="D5612" s="1">
        <v>45797</v>
      </c>
      <c r="E5612" t="s">
        <v>4135</v>
      </c>
      <c r="F5612" t="s">
        <v>4125</v>
      </c>
    </row>
    <row r="5613" spans="1:6">
      <c r="A5613" t="s">
        <v>9742</v>
      </c>
      <c r="B5613" t="s">
        <v>2151</v>
      </c>
      <c r="C5613" t="s">
        <v>22</v>
      </c>
      <c r="D5613" s="1">
        <v>45799</v>
      </c>
      <c r="E5613" t="s">
        <v>4135</v>
      </c>
      <c r="F5613" t="s">
        <v>4125</v>
      </c>
    </row>
    <row r="5614" spans="1:6">
      <c r="A5614" t="s">
        <v>9743</v>
      </c>
      <c r="B5614" t="s">
        <v>2152</v>
      </c>
      <c r="C5614" t="s">
        <v>75</v>
      </c>
      <c r="D5614" s="1">
        <v>45848</v>
      </c>
      <c r="E5614" t="s">
        <v>4129</v>
      </c>
      <c r="F5614" t="s">
        <v>4125</v>
      </c>
    </row>
    <row r="5615" spans="1:6">
      <c r="A5615" t="s">
        <v>9744</v>
      </c>
      <c r="B5615" t="s">
        <v>2152</v>
      </c>
      <c r="C5615" t="s">
        <v>75</v>
      </c>
      <c r="D5615" s="1">
        <v>45835</v>
      </c>
      <c r="E5615" t="s">
        <v>4133</v>
      </c>
      <c r="F5615" t="s">
        <v>4125</v>
      </c>
    </row>
    <row r="5616" spans="1:6">
      <c r="A5616" t="s">
        <v>9745</v>
      </c>
      <c r="B5616" t="s">
        <v>2152</v>
      </c>
      <c r="C5616" t="s">
        <v>75</v>
      </c>
      <c r="D5616" s="1">
        <v>45855</v>
      </c>
      <c r="E5616" t="s">
        <v>4135</v>
      </c>
      <c r="F5616" t="s">
        <v>4139</v>
      </c>
    </row>
    <row r="5617" spans="1:6">
      <c r="A5617" t="s">
        <v>9746</v>
      </c>
      <c r="B5617" t="s">
        <v>2152</v>
      </c>
      <c r="C5617" t="s">
        <v>75</v>
      </c>
      <c r="D5617" s="1">
        <v>45830</v>
      </c>
      <c r="E5617" t="s">
        <v>4135</v>
      </c>
      <c r="F5617" t="s">
        <v>4125</v>
      </c>
    </row>
    <row r="5618" spans="1:6">
      <c r="A5618" t="s">
        <v>9747</v>
      </c>
      <c r="B5618" t="s">
        <v>2152</v>
      </c>
      <c r="C5618" t="s">
        <v>75</v>
      </c>
      <c r="D5618" s="1">
        <v>45830</v>
      </c>
      <c r="E5618" t="s">
        <v>4127</v>
      </c>
      <c r="F5618" t="s">
        <v>4139</v>
      </c>
    </row>
    <row r="5619" spans="1:6">
      <c r="A5619" t="s">
        <v>9748</v>
      </c>
      <c r="B5619" t="s">
        <v>2153</v>
      </c>
      <c r="C5619" t="s">
        <v>168</v>
      </c>
      <c r="D5619" s="1">
        <v>45764</v>
      </c>
      <c r="E5619" t="s">
        <v>4135</v>
      </c>
      <c r="F5619" t="s">
        <v>4137</v>
      </c>
    </row>
    <row r="5620" spans="1:6">
      <c r="A5620" t="s">
        <v>9749</v>
      </c>
      <c r="B5620" t="s">
        <v>2153</v>
      </c>
      <c r="C5620" t="s">
        <v>168</v>
      </c>
      <c r="D5620" s="1">
        <v>45760</v>
      </c>
      <c r="E5620" t="s">
        <v>4133</v>
      </c>
      <c r="F5620" t="s">
        <v>4125</v>
      </c>
    </row>
    <row r="5621" spans="1:6">
      <c r="A5621" t="s">
        <v>9750</v>
      </c>
      <c r="B5621" t="s">
        <v>2153</v>
      </c>
      <c r="C5621" t="s">
        <v>168</v>
      </c>
      <c r="D5621" s="1">
        <v>45765</v>
      </c>
      <c r="E5621" t="s">
        <v>4124</v>
      </c>
      <c r="F5621" t="s">
        <v>4137</v>
      </c>
    </row>
    <row r="5622" spans="1:6">
      <c r="A5622" t="s">
        <v>9751</v>
      </c>
      <c r="B5622" t="s">
        <v>2153</v>
      </c>
      <c r="C5622" t="s">
        <v>168</v>
      </c>
      <c r="D5622" s="1">
        <v>45748</v>
      </c>
      <c r="E5622" t="s">
        <v>4127</v>
      </c>
      <c r="F5622" t="s">
        <v>4125</v>
      </c>
    </row>
    <row r="5623" spans="1:6">
      <c r="A5623" t="s">
        <v>9752</v>
      </c>
      <c r="B5623" t="s">
        <v>2153</v>
      </c>
      <c r="C5623" t="s">
        <v>168</v>
      </c>
      <c r="D5623" s="1">
        <v>45751</v>
      </c>
      <c r="E5623" t="s">
        <v>4129</v>
      </c>
      <c r="F5623" t="s">
        <v>4137</v>
      </c>
    </row>
    <row r="5624" spans="1:6">
      <c r="A5624" t="s">
        <v>9753</v>
      </c>
      <c r="B5624" t="s">
        <v>2154</v>
      </c>
      <c r="C5624" t="s">
        <v>70</v>
      </c>
      <c r="D5624" s="1">
        <v>45731</v>
      </c>
      <c r="E5624" t="s">
        <v>4124</v>
      </c>
      <c r="F5624" t="s">
        <v>4125</v>
      </c>
    </row>
    <row r="5625" spans="1:6">
      <c r="A5625" t="s">
        <v>9754</v>
      </c>
      <c r="B5625" t="s">
        <v>2154</v>
      </c>
      <c r="C5625" t="s">
        <v>70</v>
      </c>
      <c r="D5625" s="1">
        <v>45734</v>
      </c>
      <c r="E5625" t="s">
        <v>4129</v>
      </c>
      <c r="F5625" t="s">
        <v>4125</v>
      </c>
    </row>
    <row r="5626" spans="1:6">
      <c r="A5626" t="s">
        <v>9755</v>
      </c>
      <c r="B5626" t="s">
        <v>2154</v>
      </c>
      <c r="C5626" t="s">
        <v>70</v>
      </c>
      <c r="D5626" s="1">
        <v>45722</v>
      </c>
      <c r="E5626" t="s">
        <v>4124</v>
      </c>
      <c r="F5626" t="s">
        <v>4139</v>
      </c>
    </row>
    <row r="5627" spans="1:6">
      <c r="A5627" t="s">
        <v>9756</v>
      </c>
      <c r="B5627" t="s">
        <v>2155</v>
      </c>
      <c r="C5627" t="s">
        <v>22</v>
      </c>
      <c r="D5627" s="1">
        <v>45808</v>
      </c>
      <c r="E5627" t="s">
        <v>4124</v>
      </c>
      <c r="F5627" t="s">
        <v>4139</v>
      </c>
    </row>
    <row r="5628" spans="1:6">
      <c r="A5628" t="s">
        <v>9757</v>
      </c>
      <c r="B5628" t="s">
        <v>2155</v>
      </c>
      <c r="C5628" t="s">
        <v>22</v>
      </c>
      <c r="D5628" s="1">
        <v>45807</v>
      </c>
      <c r="E5628" t="s">
        <v>4124</v>
      </c>
      <c r="F5628" t="s">
        <v>4139</v>
      </c>
    </row>
    <row r="5629" spans="1:6">
      <c r="A5629" t="s">
        <v>9758</v>
      </c>
      <c r="B5629" t="s">
        <v>2157</v>
      </c>
      <c r="C5629" t="s">
        <v>168</v>
      </c>
      <c r="D5629" s="1">
        <v>45751</v>
      </c>
      <c r="E5629" t="s">
        <v>4127</v>
      </c>
      <c r="F5629" t="s">
        <v>4125</v>
      </c>
    </row>
    <row r="5630" spans="1:6">
      <c r="A5630" t="s">
        <v>9759</v>
      </c>
      <c r="B5630" t="s">
        <v>2157</v>
      </c>
      <c r="C5630" t="s">
        <v>168</v>
      </c>
      <c r="D5630" s="1">
        <v>45771</v>
      </c>
      <c r="E5630" t="s">
        <v>4129</v>
      </c>
      <c r="F5630" t="s">
        <v>4137</v>
      </c>
    </row>
    <row r="5631" spans="1:6">
      <c r="A5631" t="s">
        <v>9760</v>
      </c>
      <c r="B5631" t="s">
        <v>2157</v>
      </c>
      <c r="C5631" t="s">
        <v>168</v>
      </c>
      <c r="D5631" s="1">
        <v>45777</v>
      </c>
      <c r="E5631" t="s">
        <v>4127</v>
      </c>
      <c r="F5631" t="s">
        <v>4137</v>
      </c>
    </row>
    <row r="5632" spans="1:6">
      <c r="A5632" t="s">
        <v>9761</v>
      </c>
      <c r="B5632" t="s">
        <v>2158</v>
      </c>
      <c r="C5632" t="s">
        <v>63</v>
      </c>
      <c r="D5632" s="1">
        <v>45722</v>
      </c>
      <c r="E5632" t="s">
        <v>4127</v>
      </c>
      <c r="F5632" t="s">
        <v>4137</v>
      </c>
    </row>
    <row r="5633" spans="1:6">
      <c r="A5633" t="s">
        <v>9762</v>
      </c>
      <c r="B5633" t="s">
        <v>2158</v>
      </c>
      <c r="C5633" t="s">
        <v>63</v>
      </c>
      <c r="D5633" s="1">
        <v>45729</v>
      </c>
      <c r="E5633" t="s">
        <v>4135</v>
      </c>
      <c r="F5633" t="s">
        <v>4137</v>
      </c>
    </row>
    <row r="5634" spans="1:6">
      <c r="A5634" t="s">
        <v>9763</v>
      </c>
      <c r="B5634" t="s">
        <v>2159</v>
      </c>
      <c r="C5634" t="s">
        <v>40</v>
      </c>
      <c r="D5634" s="1">
        <v>46008</v>
      </c>
      <c r="E5634" t="s">
        <v>4133</v>
      </c>
      <c r="F5634" t="s">
        <v>4137</v>
      </c>
    </row>
    <row r="5635" spans="1:6">
      <c r="A5635" t="s">
        <v>9764</v>
      </c>
      <c r="B5635" t="s">
        <v>2159</v>
      </c>
      <c r="C5635" t="s">
        <v>40</v>
      </c>
      <c r="D5635" s="1">
        <v>46012</v>
      </c>
      <c r="E5635" t="s">
        <v>4135</v>
      </c>
      <c r="F5635" t="s">
        <v>4139</v>
      </c>
    </row>
    <row r="5636" spans="1:6">
      <c r="A5636" t="s">
        <v>9765</v>
      </c>
      <c r="B5636" t="s">
        <v>2159</v>
      </c>
      <c r="C5636" t="s">
        <v>40</v>
      </c>
      <c r="D5636" s="1">
        <v>46013</v>
      </c>
      <c r="E5636" t="s">
        <v>4135</v>
      </c>
      <c r="F5636" t="s">
        <v>4137</v>
      </c>
    </row>
    <row r="5637" spans="1:6">
      <c r="A5637" t="s">
        <v>9766</v>
      </c>
      <c r="B5637" t="s">
        <v>2159</v>
      </c>
      <c r="C5637" t="s">
        <v>40</v>
      </c>
      <c r="D5637" s="1">
        <v>46019</v>
      </c>
      <c r="E5637" t="s">
        <v>4133</v>
      </c>
      <c r="F5637" t="s">
        <v>4139</v>
      </c>
    </row>
    <row r="5638" spans="1:6">
      <c r="A5638" t="s">
        <v>9767</v>
      </c>
      <c r="B5638" t="s">
        <v>2159</v>
      </c>
      <c r="C5638" t="s">
        <v>40</v>
      </c>
      <c r="D5638" s="1">
        <v>46013</v>
      </c>
      <c r="E5638" t="s">
        <v>4127</v>
      </c>
      <c r="F5638" t="s">
        <v>4137</v>
      </c>
    </row>
    <row r="5639" spans="1:6">
      <c r="A5639" t="s">
        <v>9768</v>
      </c>
      <c r="B5639" t="s">
        <v>2160</v>
      </c>
      <c r="C5639" t="s">
        <v>70</v>
      </c>
      <c r="D5639" s="1">
        <v>45759</v>
      </c>
      <c r="E5639" t="s">
        <v>4124</v>
      </c>
      <c r="F5639" t="s">
        <v>4139</v>
      </c>
    </row>
    <row r="5640" spans="1:6">
      <c r="A5640" t="s">
        <v>9769</v>
      </c>
      <c r="B5640" t="s">
        <v>2160</v>
      </c>
      <c r="C5640" t="s">
        <v>70</v>
      </c>
      <c r="D5640" s="1">
        <v>45738</v>
      </c>
      <c r="E5640" t="s">
        <v>4135</v>
      </c>
      <c r="F5640" t="s">
        <v>4125</v>
      </c>
    </row>
    <row r="5641" spans="1:6">
      <c r="A5641" t="s">
        <v>9770</v>
      </c>
      <c r="B5641" t="s">
        <v>2160</v>
      </c>
      <c r="C5641" t="s">
        <v>70</v>
      </c>
      <c r="D5641" s="1">
        <v>45797</v>
      </c>
      <c r="E5641" t="s">
        <v>4129</v>
      </c>
      <c r="F5641" t="s">
        <v>4125</v>
      </c>
    </row>
    <row r="5642" spans="1:6">
      <c r="A5642" t="s">
        <v>9771</v>
      </c>
      <c r="B5642" t="s">
        <v>2160</v>
      </c>
      <c r="C5642" t="s">
        <v>70</v>
      </c>
      <c r="D5642" s="1">
        <v>45785</v>
      </c>
      <c r="E5642" t="s">
        <v>4129</v>
      </c>
      <c r="F5642" t="s">
        <v>4125</v>
      </c>
    </row>
    <row r="5643" spans="1:6">
      <c r="A5643" t="s">
        <v>9772</v>
      </c>
      <c r="B5643" t="s">
        <v>2160</v>
      </c>
      <c r="C5643" t="s">
        <v>70</v>
      </c>
      <c r="D5643" s="1">
        <v>45740</v>
      </c>
      <c r="E5643" t="s">
        <v>4124</v>
      </c>
      <c r="F5643" t="s">
        <v>4139</v>
      </c>
    </row>
    <row r="5644" spans="1:6">
      <c r="A5644" t="s">
        <v>9773</v>
      </c>
      <c r="B5644" t="s">
        <v>2161</v>
      </c>
      <c r="C5644" t="s">
        <v>22</v>
      </c>
      <c r="D5644" s="1">
        <v>45691</v>
      </c>
      <c r="E5644" t="s">
        <v>4129</v>
      </c>
      <c r="F5644" t="s">
        <v>4137</v>
      </c>
    </row>
    <row r="5645" spans="1:6">
      <c r="A5645" t="s">
        <v>9774</v>
      </c>
      <c r="B5645" t="s">
        <v>2161</v>
      </c>
      <c r="C5645" t="s">
        <v>22</v>
      </c>
      <c r="D5645" s="1">
        <v>45717</v>
      </c>
      <c r="E5645" t="s">
        <v>4129</v>
      </c>
      <c r="F5645" t="s">
        <v>4125</v>
      </c>
    </row>
    <row r="5646" spans="1:6">
      <c r="A5646" t="s">
        <v>9775</v>
      </c>
      <c r="B5646" t="s">
        <v>2161</v>
      </c>
      <c r="C5646" t="s">
        <v>22</v>
      </c>
      <c r="D5646" s="1">
        <v>45707</v>
      </c>
      <c r="E5646" t="s">
        <v>4129</v>
      </c>
      <c r="F5646" t="s">
        <v>4125</v>
      </c>
    </row>
    <row r="5647" spans="1:6">
      <c r="A5647" t="s">
        <v>9776</v>
      </c>
      <c r="B5647" t="s">
        <v>2161</v>
      </c>
      <c r="C5647" t="s">
        <v>22</v>
      </c>
      <c r="D5647" s="1">
        <v>45688</v>
      </c>
      <c r="E5647" t="s">
        <v>4129</v>
      </c>
      <c r="F5647" t="s">
        <v>4137</v>
      </c>
    </row>
    <row r="5648" spans="1:6">
      <c r="A5648" t="s">
        <v>9777</v>
      </c>
      <c r="B5648" t="s">
        <v>2162</v>
      </c>
      <c r="C5648" t="s">
        <v>119</v>
      </c>
      <c r="D5648" s="1">
        <v>45912</v>
      </c>
      <c r="E5648" t="s">
        <v>4124</v>
      </c>
      <c r="F5648" t="s">
        <v>4125</v>
      </c>
    </row>
    <row r="5649" spans="1:6">
      <c r="A5649" t="s">
        <v>9778</v>
      </c>
      <c r="B5649" t="s">
        <v>2162</v>
      </c>
      <c r="C5649" t="s">
        <v>119</v>
      </c>
      <c r="D5649" s="1">
        <v>45915</v>
      </c>
      <c r="E5649" t="s">
        <v>4129</v>
      </c>
      <c r="F5649" t="s">
        <v>4125</v>
      </c>
    </row>
    <row r="5650" spans="1:6">
      <c r="A5650" t="s">
        <v>9779</v>
      </c>
      <c r="B5650" t="s">
        <v>2162</v>
      </c>
      <c r="C5650" t="s">
        <v>119</v>
      </c>
      <c r="D5650" s="1">
        <v>45916</v>
      </c>
      <c r="E5650" t="s">
        <v>4127</v>
      </c>
      <c r="F5650" t="s">
        <v>4137</v>
      </c>
    </row>
    <row r="5651" spans="1:6">
      <c r="A5651" t="s">
        <v>9780</v>
      </c>
      <c r="B5651" t="s">
        <v>2162</v>
      </c>
      <c r="C5651" t="s">
        <v>119</v>
      </c>
      <c r="D5651" s="1">
        <v>45926</v>
      </c>
      <c r="E5651" t="s">
        <v>4127</v>
      </c>
      <c r="F5651" t="s">
        <v>4137</v>
      </c>
    </row>
    <row r="5652" spans="1:6">
      <c r="A5652" t="s">
        <v>9781</v>
      </c>
      <c r="B5652" t="s">
        <v>2162</v>
      </c>
      <c r="C5652" t="s">
        <v>119</v>
      </c>
      <c r="D5652" s="1">
        <v>45914</v>
      </c>
      <c r="E5652" t="s">
        <v>4133</v>
      </c>
      <c r="F5652" t="s">
        <v>4139</v>
      </c>
    </row>
    <row r="5653" spans="1:6">
      <c r="A5653" t="s">
        <v>9782</v>
      </c>
      <c r="B5653" t="s">
        <v>2163</v>
      </c>
      <c r="C5653" t="s">
        <v>50</v>
      </c>
      <c r="D5653" s="1">
        <v>45769</v>
      </c>
      <c r="E5653" t="s">
        <v>4124</v>
      </c>
      <c r="F5653" t="s">
        <v>4137</v>
      </c>
    </row>
    <row r="5654" spans="1:6">
      <c r="A5654" t="s">
        <v>9783</v>
      </c>
      <c r="B5654" t="s">
        <v>2163</v>
      </c>
      <c r="C5654" t="s">
        <v>50</v>
      </c>
      <c r="D5654" s="1">
        <v>45763</v>
      </c>
      <c r="E5654" t="s">
        <v>4133</v>
      </c>
      <c r="F5654" t="s">
        <v>4125</v>
      </c>
    </row>
    <row r="5655" spans="1:6">
      <c r="A5655" t="s">
        <v>9784</v>
      </c>
      <c r="B5655" t="s">
        <v>2163</v>
      </c>
      <c r="C5655" t="s">
        <v>50</v>
      </c>
      <c r="D5655" s="1">
        <v>45757</v>
      </c>
      <c r="E5655" t="s">
        <v>4133</v>
      </c>
      <c r="F5655" t="s">
        <v>4125</v>
      </c>
    </row>
    <row r="5656" spans="1:6">
      <c r="A5656" t="s">
        <v>9785</v>
      </c>
      <c r="B5656" t="s">
        <v>2163</v>
      </c>
      <c r="C5656" t="s">
        <v>50</v>
      </c>
      <c r="D5656" s="1">
        <v>45753</v>
      </c>
      <c r="E5656" t="s">
        <v>4135</v>
      </c>
      <c r="F5656" t="s">
        <v>4137</v>
      </c>
    </row>
    <row r="5657" spans="1:6">
      <c r="A5657" t="s">
        <v>9786</v>
      </c>
      <c r="B5657" t="s">
        <v>2164</v>
      </c>
      <c r="C5657" t="s">
        <v>63</v>
      </c>
      <c r="D5657" s="1">
        <v>45838</v>
      </c>
      <c r="E5657" t="s">
        <v>4124</v>
      </c>
      <c r="F5657" t="s">
        <v>4137</v>
      </c>
    </row>
    <row r="5658" spans="1:6">
      <c r="A5658" t="s">
        <v>9787</v>
      </c>
      <c r="B5658" t="s">
        <v>2164</v>
      </c>
      <c r="C5658" t="s">
        <v>63</v>
      </c>
      <c r="D5658" s="1">
        <v>45829</v>
      </c>
      <c r="E5658" t="s">
        <v>4127</v>
      </c>
      <c r="F5658" t="s">
        <v>4137</v>
      </c>
    </row>
    <row r="5659" spans="1:6">
      <c r="A5659" t="s">
        <v>9788</v>
      </c>
      <c r="B5659" t="s">
        <v>2164</v>
      </c>
      <c r="C5659" t="s">
        <v>63</v>
      </c>
      <c r="D5659" s="1">
        <v>45829</v>
      </c>
      <c r="E5659" t="s">
        <v>4135</v>
      </c>
      <c r="F5659" t="s">
        <v>4125</v>
      </c>
    </row>
    <row r="5660" spans="1:6">
      <c r="A5660" t="s">
        <v>9789</v>
      </c>
      <c r="B5660" t="s">
        <v>2164</v>
      </c>
      <c r="C5660" t="s">
        <v>63</v>
      </c>
      <c r="D5660" s="1">
        <v>45828</v>
      </c>
      <c r="E5660" t="s">
        <v>4127</v>
      </c>
      <c r="F5660" t="s">
        <v>4137</v>
      </c>
    </row>
    <row r="5661" spans="1:6">
      <c r="A5661" t="s">
        <v>9790</v>
      </c>
      <c r="B5661" t="s">
        <v>2164</v>
      </c>
      <c r="C5661" t="s">
        <v>63</v>
      </c>
      <c r="D5661" s="1">
        <v>45835</v>
      </c>
      <c r="E5661" t="s">
        <v>4133</v>
      </c>
      <c r="F5661" t="s">
        <v>4137</v>
      </c>
    </row>
    <row r="5662" spans="1:6">
      <c r="A5662" t="s">
        <v>9791</v>
      </c>
      <c r="B5662" t="s">
        <v>2165</v>
      </c>
      <c r="C5662" t="s">
        <v>40</v>
      </c>
      <c r="D5662" s="1">
        <v>45779</v>
      </c>
      <c r="E5662" t="s">
        <v>4133</v>
      </c>
      <c r="F5662" t="s">
        <v>4125</v>
      </c>
    </row>
    <row r="5663" spans="1:6">
      <c r="A5663" t="s">
        <v>9792</v>
      </c>
      <c r="B5663" t="s">
        <v>2165</v>
      </c>
      <c r="C5663" t="s">
        <v>40</v>
      </c>
      <c r="D5663" s="1">
        <v>45776</v>
      </c>
      <c r="E5663" t="s">
        <v>4124</v>
      </c>
      <c r="F5663" t="s">
        <v>4137</v>
      </c>
    </row>
    <row r="5664" spans="1:6">
      <c r="A5664" t="s">
        <v>9793</v>
      </c>
      <c r="B5664" t="s">
        <v>2165</v>
      </c>
      <c r="C5664" t="s">
        <v>40</v>
      </c>
      <c r="D5664" s="1">
        <v>45770</v>
      </c>
      <c r="E5664" t="s">
        <v>4135</v>
      </c>
      <c r="F5664" t="s">
        <v>4137</v>
      </c>
    </row>
    <row r="5665" spans="1:6">
      <c r="A5665" t="s">
        <v>9794</v>
      </c>
      <c r="B5665" t="s">
        <v>2165</v>
      </c>
      <c r="C5665" t="s">
        <v>40</v>
      </c>
      <c r="D5665" s="1">
        <v>45779</v>
      </c>
      <c r="E5665" t="s">
        <v>4133</v>
      </c>
      <c r="F5665" t="s">
        <v>4125</v>
      </c>
    </row>
    <row r="5666" spans="1:6">
      <c r="A5666" t="s">
        <v>9795</v>
      </c>
      <c r="B5666" t="s">
        <v>2165</v>
      </c>
      <c r="C5666" t="s">
        <v>40</v>
      </c>
      <c r="D5666" s="1">
        <v>45779</v>
      </c>
      <c r="E5666" t="s">
        <v>4133</v>
      </c>
      <c r="F5666" t="s">
        <v>4137</v>
      </c>
    </row>
    <row r="5667" spans="1:6">
      <c r="A5667" t="s">
        <v>9796</v>
      </c>
      <c r="B5667" t="s">
        <v>2166</v>
      </c>
      <c r="C5667" t="s">
        <v>75</v>
      </c>
      <c r="D5667" s="1">
        <v>45863</v>
      </c>
      <c r="E5667" t="s">
        <v>4135</v>
      </c>
      <c r="F5667" t="s">
        <v>4137</v>
      </c>
    </row>
    <row r="5668" spans="1:6">
      <c r="A5668" t="s">
        <v>9797</v>
      </c>
      <c r="B5668" t="s">
        <v>2166</v>
      </c>
      <c r="C5668" t="s">
        <v>75</v>
      </c>
      <c r="D5668" s="1">
        <v>45874</v>
      </c>
      <c r="E5668" t="s">
        <v>4129</v>
      </c>
      <c r="F5668" t="s">
        <v>4125</v>
      </c>
    </row>
    <row r="5669" spans="1:6">
      <c r="A5669" t="s">
        <v>9798</v>
      </c>
      <c r="B5669" t="s">
        <v>2167</v>
      </c>
      <c r="C5669" t="s">
        <v>63</v>
      </c>
      <c r="D5669" s="1">
        <v>45833</v>
      </c>
      <c r="E5669" t="s">
        <v>4135</v>
      </c>
      <c r="F5669" t="s">
        <v>4139</v>
      </c>
    </row>
    <row r="5670" spans="1:6">
      <c r="A5670" t="s">
        <v>9799</v>
      </c>
      <c r="B5670" t="s">
        <v>2167</v>
      </c>
      <c r="C5670" t="s">
        <v>63</v>
      </c>
      <c r="D5670" s="1">
        <v>45835</v>
      </c>
      <c r="E5670" t="s">
        <v>4135</v>
      </c>
      <c r="F5670" t="s">
        <v>4137</v>
      </c>
    </row>
    <row r="5671" spans="1:6">
      <c r="A5671" t="s">
        <v>9800</v>
      </c>
      <c r="B5671" t="s">
        <v>2167</v>
      </c>
      <c r="C5671" t="s">
        <v>63</v>
      </c>
      <c r="D5671" s="1">
        <v>45839</v>
      </c>
      <c r="E5671" t="s">
        <v>4127</v>
      </c>
      <c r="F5671" t="s">
        <v>4139</v>
      </c>
    </row>
    <row r="5672" spans="1:6">
      <c r="A5672" t="s">
        <v>9801</v>
      </c>
      <c r="B5672" t="s">
        <v>2167</v>
      </c>
      <c r="C5672" t="s">
        <v>63</v>
      </c>
      <c r="D5672" s="1">
        <v>45832</v>
      </c>
      <c r="E5672" t="s">
        <v>4129</v>
      </c>
      <c r="F5672" t="s">
        <v>4137</v>
      </c>
    </row>
    <row r="5673" spans="1:6">
      <c r="A5673" t="s">
        <v>9802</v>
      </c>
      <c r="B5673" t="s">
        <v>2167</v>
      </c>
      <c r="C5673" t="s">
        <v>63</v>
      </c>
      <c r="D5673" s="1">
        <v>45830</v>
      </c>
      <c r="E5673" t="s">
        <v>4127</v>
      </c>
      <c r="F5673" t="s">
        <v>4125</v>
      </c>
    </row>
    <row r="5674" spans="1:6">
      <c r="A5674" t="s">
        <v>9803</v>
      </c>
      <c r="B5674" t="s">
        <v>2168</v>
      </c>
      <c r="C5674" t="s">
        <v>168</v>
      </c>
      <c r="D5674" s="1">
        <v>45747</v>
      </c>
      <c r="E5674" t="s">
        <v>4124</v>
      </c>
      <c r="F5674" t="s">
        <v>4125</v>
      </c>
    </row>
    <row r="5675" spans="1:6">
      <c r="A5675" t="s">
        <v>9804</v>
      </c>
      <c r="B5675" t="s">
        <v>2168</v>
      </c>
      <c r="C5675" t="s">
        <v>168</v>
      </c>
      <c r="D5675" s="1">
        <v>45750</v>
      </c>
      <c r="E5675" t="s">
        <v>4133</v>
      </c>
      <c r="F5675" t="s">
        <v>4125</v>
      </c>
    </row>
    <row r="5676" spans="1:6">
      <c r="A5676" t="s">
        <v>9805</v>
      </c>
      <c r="B5676" t="s">
        <v>2169</v>
      </c>
      <c r="C5676" t="s">
        <v>91</v>
      </c>
      <c r="D5676" s="1">
        <v>45832</v>
      </c>
      <c r="E5676" t="s">
        <v>4124</v>
      </c>
      <c r="F5676" t="s">
        <v>4137</v>
      </c>
    </row>
    <row r="5677" spans="1:6">
      <c r="A5677" t="s">
        <v>9806</v>
      </c>
      <c r="B5677" t="s">
        <v>2169</v>
      </c>
      <c r="C5677" t="s">
        <v>91</v>
      </c>
      <c r="D5677" s="1">
        <v>45827</v>
      </c>
      <c r="E5677" t="s">
        <v>4135</v>
      </c>
      <c r="F5677" t="s">
        <v>4137</v>
      </c>
    </row>
    <row r="5678" spans="1:6">
      <c r="A5678" t="s">
        <v>9807</v>
      </c>
      <c r="B5678" t="s">
        <v>2169</v>
      </c>
      <c r="C5678" t="s">
        <v>91</v>
      </c>
      <c r="D5678" s="1">
        <v>45857</v>
      </c>
      <c r="E5678" t="s">
        <v>4127</v>
      </c>
      <c r="F5678" t="s">
        <v>4137</v>
      </c>
    </row>
    <row r="5679" spans="1:6">
      <c r="A5679" t="s">
        <v>9808</v>
      </c>
      <c r="B5679" t="s">
        <v>2169</v>
      </c>
      <c r="C5679" t="s">
        <v>91</v>
      </c>
      <c r="D5679" s="1">
        <v>45853</v>
      </c>
      <c r="E5679" t="s">
        <v>4124</v>
      </c>
      <c r="F5679" t="s">
        <v>4137</v>
      </c>
    </row>
    <row r="5680" spans="1:6">
      <c r="A5680" t="s">
        <v>9809</v>
      </c>
      <c r="B5680" t="s">
        <v>2169</v>
      </c>
      <c r="C5680" t="s">
        <v>91</v>
      </c>
      <c r="D5680" s="1">
        <v>45832</v>
      </c>
      <c r="E5680" t="s">
        <v>4135</v>
      </c>
      <c r="F5680" t="s">
        <v>4139</v>
      </c>
    </row>
    <row r="5681" spans="1:6">
      <c r="A5681" t="s">
        <v>9810</v>
      </c>
      <c r="B5681" t="s">
        <v>2170</v>
      </c>
      <c r="C5681" t="s">
        <v>78</v>
      </c>
      <c r="D5681" s="1">
        <v>46011</v>
      </c>
      <c r="E5681" t="s">
        <v>4124</v>
      </c>
      <c r="F5681" t="s">
        <v>4139</v>
      </c>
    </row>
    <row r="5682" spans="1:6">
      <c r="A5682" t="s">
        <v>9811</v>
      </c>
      <c r="B5682" t="s">
        <v>2170</v>
      </c>
      <c r="C5682" t="s">
        <v>78</v>
      </c>
      <c r="D5682" s="1">
        <v>46001</v>
      </c>
      <c r="E5682" t="s">
        <v>4135</v>
      </c>
      <c r="F5682" t="s">
        <v>4139</v>
      </c>
    </row>
    <row r="5683" spans="1:6">
      <c r="A5683" t="s">
        <v>9812</v>
      </c>
      <c r="B5683" t="s">
        <v>2172</v>
      </c>
      <c r="C5683" t="s">
        <v>126</v>
      </c>
      <c r="D5683" s="1">
        <v>46001</v>
      </c>
      <c r="E5683" t="s">
        <v>4127</v>
      </c>
      <c r="F5683" t="s">
        <v>4139</v>
      </c>
    </row>
    <row r="5684" spans="1:6">
      <c r="A5684" t="s">
        <v>9813</v>
      </c>
      <c r="B5684" t="s">
        <v>2172</v>
      </c>
      <c r="C5684" t="s">
        <v>126</v>
      </c>
      <c r="D5684" s="1">
        <v>46003</v>
      </c>
      <c r="E5684" t="s">
        <v>4133</v>
      </c>
      <c r="F5684" t="s">
        <v>4137</v>
      </c>
    </row>
    <row r="5685" spans="1:6">
      <c r="A5685" t="s">
        <v>9814</v>
      </c>
      <c r="B5685" t="s">
        <v>2172</v>
      </c>
      <c r="C5685" t="s">
        <v>126</v>
      </c>
      <c r="D5685" s="1">
        <v>45998</v>
      </c>
      <c r="E5685" t="s">
        <v>4127</v>
      </c>
      <c r="F5685" t="s">
        <v>4137</v>
      </c>
    </row>
    <row r="5686" spans="1:6">
      <c r="A5686" t="s">
        <v>9815</v>
      </c>
      <c r="B5686" t="s">
        <v>2172</v>
      </c>
      <c r="C5686" t="s">
        <v>126</v>
      </c>
      <c r="D5686" s="1">
        <v>45998</v>
      </c>
      <c r="E5686" t="s">
        <v>4129</v>
      </c>
      <c r="F5686" t="s">
        <v>4137</v>
      </c>
    </row>
    <row r="5687" spans="1:6">
      <c r="A5687" t="s">
        <v>9816</v>
      </c>
      <c r="B5687" t="s">
        <v>2172</v>
      </c>
      <c r="C5687" t="s">
        <v>126</v>
      </c>
      <c r="D5687" s="1">
        <v>45993</v>
      </c>
      <c r="E5687" t="s">
        <v>4135</v>
      </c>
      <c r="F5687" t="s">
        <v>4137</v>
      </c>
    </row>
    <row r="5688" spans="1:6">
      <c r="A5688" t="s">
        <v>9817</v>
      </c>
      <c r="B5688" t="s">
        <v>2173</v>
      </c>
      <c r="C5688" t="s">
        <v>40</v>
      </c>
      <c r="D5688" s="1">
        <v>45906</v>
      </c>
      <c r="E5688" t="s">
        <v>4135</v>
      </c>
      <c r="F5688" t="s">
        <v>4137</v>
      </c>
    </row>
    <row r="5689" spans="1:6">
      <c r="A5689" t="s">
        <v>9818</v>
      </c>
      <c r="B5689" t="s">
        <v>2173</v>
      </c>
      <c r="C5689" t="s">
        <v>40</v>
      </c>
      <c r="D5689" s="1">
        <v>45929</v>
      </c>
      <c r="E5689" t="s">
        <v>4135</v>
      </c>
      <c r="F5689" t="s">
        <v>4125</v>
      </c>
    </row>
    <row r="5690" spans="1:6">
      <c r="A5690" t="s">
        <v>9819</v>
      </c>
      <c r="B5690" t="s">
        <v>2173</v>
      </c>
      <c r="C5690" t="s">
        <v>40</v>
      </c>
      <c r="D5690" s="1">
        <v>45884</v>
      </c>
      <c r="E5690" t="s">
        <v>4127</v>
      </c>
      <c r="F5690" t="s">
        <v>4125</v>
      </c>
    </row>
    <row r="5691" spans="1:6">
      <c r="A5691" t="s">
        <v>9820</v>
      </c>
      <c r="B5691" t="s">
        <v>2174</v>
      </c>
      <c r="C5691" t="s">
        <v>46</v>
      </c>
      <c r="D5691" s="1">
        <v>45708</v>
      </c>
      <c r="E5691" t="s">
        <v>4133</v>
      </c>
      <c r="F5691" t="s">
        <v>4139</v>
      </c>
    </row>
    <row r="5692" spans="1:6">
      <c r="A5692" t="s">
        <v>9821</v>
      </c>
      <c r="B5692" t="s">
        <v>2174</v>
      </c>
      <c r="C5692" t="s">
        <v>46</v>
      </c>
      <c r="D5692" s="1">
        <v>45683</v>
      </c>
      <c r="E5692" t="s">
        <v>4135</v>
      </c>
      <c r="F5692" t="s">
        <v>4139</v>
      </c>
    </row>
    <row r="5693" spans="1:6">
      <c r="A5693" t="s">
        <v>9822</v>
      </c>
      <c r="B5693" t="s">
        <v>2174</v>
      </c>
      <c r="C5693" t="s">
        <v>46</v>
      </c>
      <c r="D5693" s="1">
        <v>45708</v>
      </c>
      <c r="E5693" t="s">
        <v>4124</v>
      </c>
      <c r="F5693" t="s">
        <v>4137</v>
      </c>
    </row>
    <row r="5694" spans="1:6">
      <c r="A5694" t="s">
        <v>9823</v>
      </c>
      <c r="B5694" t="s">
        <v>2174</v>
      </c>
      <c r="C5694" t="s">
        <v>46</v>
      </c>
      <c r="D5694" s="1">
        <v>45693</v>
      </c>
      <c r="E5694" t="s">
        <v>4133</v>
      </c>
      <c r="F5694" t="s">
        <v>4137</v>
      </c>
    </row>
    <row r="5695" spans="1:6">
      <c r="A5695" t="s">
        <v>9824</v>
      </c>
      <c r="B5695" t="s">
        <v>2174</v>
      </c>
      <c r="C5695" t="s">
        <v>46</v>
      </c>
      <c r="D5695" s="1">
        <v>45678</v>
      </c>
      <c r="E5695" t="s">
        <v>4124</v>
      </c>
      <c r="F5695" t="s">
        <v>4125</v>
      </c>
    </row>
    <row r="5696" spans="1:6">
      <c r="A5696" t="s">
        <v>9825</v>
      </c>
      <c r="B5696" t="s">
        <v>2175</v>
      </c>
      <c r="C5696" t="s">
        <v>36</v>
      </c>
      <c r="D5696" s="1">
        <v>45671</v>
      </c>
      <c r="E5696" t="s">
        <v>4135</v>
      </c>
      <c r="F5696" t="s">
        <v>4125</v>
      </c>
    </row>
    <row r="5697" spans="1:6">
      <c r="A5697" t="s">
        <v>9826</v>
      </c>
      <c r="B5697" t="s">
        <v>2175</v>
      </c>
      <c r="C5697" t="s">
        <v>36</v>
      </c>
      <c r="D5697" s="1">
        <v>45676</v>
      </c>
      <c r="E5697" t="s">
        <v>4127</v>
      </c>
      <c r="F5697" t="s">
        <v>4137</v>
      </c>
    </row>
    <row r="5698" spans="1:6">
      <c r="A5698" t="s">
        <v>9827</v>
      </c>
      <c r="B5698" t="s">
        <v>2176</v>
      </c>
      <c r="C5698" t="s">
        <v>32</v>
      </c>
      <c r="D5698" s="1">
        <v>45902</v>
      </c>
      <c r="E5698" t="s">
        <v>4135</v>
      </c>
      <c r="F5698" t="s">
        <v>4125</v>
      </c>
    </row>
    <row r="5699" spans="1:6">
      <c r="A5699" t="s">
        <v>9828</v>
      </c>
      <c r="B5699" t="s">
        <v>2176</v>
      </c>
      <c r="C5699" t="s">
        <v>32</v>
      </c>
      <c r="D5699" s="1">
        <v>45907</v>
      </c>
      <c r="E5699" t="s">
        <v>4135</v>
      </c>
      <c r="F5699" t="s">
        <v>4125</v>
      </c>
    </row>
    <row r="5700" spans="1:6">
      <c r="A5700" t="s">
        <v>9829</v>
      </c>
      <c r="B5700" t="s">
        <v>2176</v>
      </c>
      <c r="C5700" t="s">
        <v>32</v>
      </c>
      <c r="D5700" s="1">
        <v>45904</v>
      </c>
      <c r="E5700" t="s">
        <v>4133</v>
      </c>
      <c r="F5700" t="s">
        <v>4125</v>
      </c>
    </row>
    <row r="5701" spans="1:6">
      <c r="A5701" t="s">
        <v>9830</v>
      </c>
      <c r="B5701" t="s">
        <v>2177</v>
      </c>
      <c r="C5701" t="s">
        <v>50</v>
      </c>
      <c r="D5701" s="1">
        <v>45879</v>
      </c>
      <c r="E5701" t="s">
        <v>4133</v>
      </c>
      <c r="F5701" t="s">
        <v>4137</v>
      </c>
    </row>
    <row r="5702" spans="1:6">
      <c r="A5702" t="s">
        <v>9831</v>
      </c>
      <c r="B5702" t="s">
        <v>2177</v>
      </c>
      <c r="C5702" t="s">
        <v>50</v>
      </c>
      <c r="D5702" s="1">
        <v>45861</v>
      </c>
      <c r="E5702" t="s">
        <v>4135</v>
      </c>
      <c r="F5702" t="s">
        <v>4139</v>
      </c>
    </row>
    <row r="5703" spans="1:6">
      <c r="A5703" t="s">
        <v>9832</v>
      </c>
      <c r="B5703" t="s">
        <v>2177</v>
      </c>
      <c r="C5703" t="s">
        <v>50</v>
      </c>
      <c r="D5703" s="1">
        <v>45904</v>
      </c>
      <c r="E5703" t="s">
        <v>4133</v>
      </c>
      <c r="F5703" t="s">
        <v>4139</v>
      </c>
    </row>
    <row r="5704" spans="1:6">
      <c r="A5704" t="s">
        <v>9833</v>
      </c>
      <c r="B5704" t="s">
        <v>2177</v>
      </c>
      <c r="C5704" t="s">
        <v>50</v>
      </c>
      <c r="D5704" s="1">
        <v>45922</v>
      </c>
      <c r="E5704" t="s">
        <v>4135</v>
      </c>
      <c r="F5704" t="s">
        <v>4139</v>
      </c>
    </row>
    <row r="5705" spans="1:6">
      <c r="A5705" t="s">
        <v>9834</v>
      </c>
      <c r="B5705" t="s">
        <v>2178</v>
      </c>
      <c r="C5705" t="s">
        <v>22</v>
      </c>
      <c r="D5705" s="1">
        <v>45900</v>
      </c>
      <c r="E5705" t="s">
        <v>4129</v>
      </c>
      <c r="F5705" t="s">
        <v>4125</v>
      </c>
    </row>
    <row r="5706" spans="1:6">
      <c r="A5706" t="s">
        <v>9835</v>
      </c>
      <c r="B5706" t="s">
        <v>2178</v>
      </c>
      <c r="C5706" t="s">
        <v>22</v>
      </c>
      <c r="D5706" s="1">
        <v>45913</v>
      </c>
      <c r="E5706" t="s">
        <v>4124</v>
      </c>
      <c r="F5706" t="s">
        <v>4139</v>
      </c>
    </row>
    <row r="5707" spans="1:6">
      <c r="A5707" t="s">
        <v>9836</v>
      </c>
      <c r="B5707" t="s">
        <v>2178</v>
      </c>
      <c r="C5707" t="s">
        <v>22</v>
      </c>
      <c r="D5707" s="1">
        <v>45913</v>
      </c>
      <c r="E5707" t="s">
        <v>4129</v>
      </c>
      <c r="F5707" t="s">
        <v>4139</v>
      </c>
    </row>
    <row r="5708" spans="1:6">
      <c r="A5708" t="s">
        <v>9837</v>
      </c>
      <c r="B5708" t="s">
        <v>2178</v>
      </c>
      <c r="C5708" t="s">
        <v>22</v>
      </c>
      <c r="D5708" s="1">
        <v>45886</v>
      </c>
      <c r="E5708" t="s">
        <v>4124</v>
      </c>
      <c r="F5708" t="s">
        <v>4139</v>
      </c>
    </row>
    <row r="5709" spans="1:6">
      <c r="A5709" t="s">
        <v>9838</v>
      </c>
      <c r="B5709" t="s">
        <v>2179</v>
      </c>
      <c r="C5709" t="s">
        <v>63</v>
      </c>
      <c r="D5709" s="1">
        <v>46017</v>
      </c>
      <c r="E5709" t="s">
        <v>4127</v>
      </c>
      <c r="F5709" t="s">
        <v>4137</v>
      </c>
    </row>
    <row r="5710" spans="1:6">
      <c r="A5710" t="s">
        <v>9839</v>
      </c>
      <c r="B5710" t="s">
        <v>2179</v>
      </c>
      <c r="C5710" t="s">
        <v>63</v>
      </c>
      <c r="D5710" s="1">
        <v>46019</v>
      </c>
      <c r="E5710" t="s">
        <v>4127</v>
      </c>
      <c r="F5710" t="s">
        <v>4125</v>
      </c>
    </row>
    <row r="5711" spans="1:6">
      <c r="A5711" t="s">
        <v>9840</v>
      </c>
      <c r="B5711" t="s">
        <v>2180</v>
      </c>
      <c r="C5711" t="s">
        <v>126</v>
      </c>
      <c r="D5711" s="1">
        <v>45803</v>
      </c>
      <c r="E5711" t="s">
        <v>4135</v>
      </c>
      <c r="F5711" t="s">
        <v>4125</v>
      </c>
    </row>
    <row r="5712" spans="1:6">
      <c r="A5712" t="s">
        <v>9841</v>
      </c>
      <c r="B5712" t="s">
        <v>2180</v>
      </c>
      <c r="C5712" t="s">
        <v>126</v>
      </c>
      <c r="D5712" s="1">
        <v>45800</v>
      </c>
      <c r="E5712" t="s">
        <v>4127</v>
      </c>
      <c r="F5712" t="s">
        <v>4139</v>
      </c>
    </row>
    <row r="5713" spans="1:6">
      <c r="A5713" t="s">
        <v>9842</v>
      </c>
      <c r="B5713" t="s">
        <v>2180</v>
      </c>
      <c r="C5713" t="s">
        <v>126</v>
      </c>
      <c r="D5713" s="1">
        <v>45801</v>
      </c>
      <c r="E5713" t="s">
        <v>4124</v>
      </c>
      <c r="F5713" t="s">
        <v>4139</v>
      </c>
    </row>
    <row r="5714" spans="1:6">
      <c r="A5714" t="s">
        <v>9843</v>
      </c>
      <c r="B5714" t="s">
        <v>2180</v>
      </c>
      <c r="C5714" t="s">
        <v>126</v>
      </c>
      <c r="D5714" s="1">
        <v>45803</v>
      </c>
      <c r="E5714" t="s">
        <v>4129</v>
      </c>
      <c r="F5714" t="s">
        <v>4137</v>
      </c>
    </row>
    <row r="5715" spans="1:6">
      <c r="A5715" t="s">
        <v>9844</v>
      </c>
      <c r="B5715" t="s">
        <v>2181</v>
      </c>
      <c r="C5715" t="s">
        <v>59</v>
      </c>
      <c r="D5715" s="1">
        <v>45964</v>
      </c>
      <c r="E5715" t="s">
        <v>4127</v>
      </c>
      <c r="F5715" t="s">
        <v>4137</v>
      </c>
    </row>
    <row r="5716" spans="1:6">
      <c r="A5716" t="s">
        <v>9845</v>
      </c>
      <c r="B5716" t="s">
        <v>2181</v>
      </c>
      <c r="C5716" t="s">
        <v>59</v>
      </c>
      <c r="D5716" s="1">
        <v>45970</v>
      </c>
      <c r="E5716" t="s">
        <v>4124</v>
      </c>
      <c r="F5716" t="s">
        <v>4139</v>
      </c>
    </row>
    <row r="5717" spans="1:6">
      <c r="A5717" t="s">
        <v>9846</v>
      </c>
      <c r="B5717" t="s">
        <v>2181</v>
      </c>
      <c r="C5717" t="s">
        <v>59</v>
      </c>
      <c r="D5717" s="1">
        <v>45966</v>
      </c>
      <c r="E5717" t="s">
        <v>4133</v>
      </c>
      <c r="F5717" t="s">
        <v>4139</v>
      </c>
    </row>
    <row r="5718" spans="1:6">
      <c r="A5718" t="s">
        <v>9847</v>
      </c>
      <c r="B5718" t="s">
        <v>2181</v>
      </c>
      <c r="C5718" t="s">
        <v>59</v>
      </c>
      <c r="D5718" s="1">
        <v>45976</v>
      </c>
      <c r="E5718" t="s">
        <v>4129</v>
      </c>
      <c r="F5718" t="s">
        <v>4125</v>
      </c>
    </row>
    <row r="5719" spans="1:6">
      <c r="A5719" t="s">
        <v>9848</v>
      </c>
      <c r="B5719" t="s">
        <v>2182</v>
      </c>
      <c r="C5719" t="s">
        <v>119</v>
      </c>
      <c r="D5719" s="1">
        <v>45865</v>
      </c>
      <c r="E5719" t="s">
        <v>4133</v>
      </c>
      <c r="F5719" t="s">
        <v>4125</v>
      </c>
    </row>
    <row r="5720" spans="1:6">
      <c r="A5720" t="s">
        <v>9849</v>
      </c>
      <c r="B5720" t="s">
        <v>2182</v>
      </c>
      <c r="C5720" t="s">
        <v>119</v>
      </c>
      <c r="D5720" s="1">
        <v>45862</v>
      </c>
      <c r="E5720" t="s">
        <v>4127</v>
      </c>
      <c r="F5720" t="s">
        <v>4139</v>
      </c>
    </row>
    <row r="5721" spans="1:6">
      <c r="A5721" t="s">
        <v>9850</v>
      </c>
      <c r="B5721" t="s">
        <v>2182</v>
      </c>
      <c r="C5721" t="s">
        <v>119</v>
      </c>
      <c r="D5721" s="1">
        <v>45870</v>
      </c>
      <c r="E5721" t="s">
        <v>4133</v>
      </c>
      <c r="F5721" t="s">
        <v>4139</v>
      </c>
    </row>
    <row r="5722" spans="1:6">
      <c r="A5722" t="s">
        <v>9851</v>
      </c>
      <c r="B5722" t="s">
        <v>2183</v>
      </c>
      <c r="C5722" t="s">
        <v>32</v>
      </c>
      <c r="D5722" s="1">
        <v>45746</v>
      </c>
      <c r="E5722" t="s">
        <v>4135</v>
      </c>
      <c r="F5722" t="s">
        <v>4139</v>
      </c>
    </row>
    <row r="5723" spans="1:6">
      <c r="A5723" t="s">
        <v>9852</v>
      </c>
      <c r="B5723" t="s">
        <v>2183</v>
      </c>
      <c r="C5723" t="s">
        <v>32</v>
      </c>
      <c r="D5723" s="1">
        <v>45740</v>
      </c>
      <c r="E5723" t="s">
        <v>4124</v>
      </c>
      <c r="F5723" t="s">
        <v>4137</v>
      </c>
    </row>
    <row r="5724" spans="1:6">
      <c r="A5724" t="s">
        <v>9853</v>
      </c>
      <c r="B5724" t="s">
        <v>2184</v>
      </c>
      <c r="C5724" t="s">
        <v>119</v>
      </c>
      <c r="D5724" s="1">
        <v>45870</v>
      </c>
      <c r="E5724" t="s">
        <v>4127</v>
      </c>
      <c r="F5724" t="s">
        <v>4139</v>
      </c>
    </row>
    <row r="5725" spans="1:6">
      <c r="A5725" t="s">
        <v>9854</v>
      </c>
      <c r="B5725" t="s">
        <v>2184</v>
      </c>
      <c r="C5725" t="s">
        <v>119</v>
      </c>
      <c r="D5725" s="1">
        <v>45863</v>
      </c>
      <c r="E5725" t="s">
        <v>4127</v>
      </c>
      <c r="F5725" t="s">
        <v>4139</v>
      </c>
    </row>
    <row r="5726" spans="1:6">
      <c r="A5726" t="s">
        <v>9855</v>
      </c>
      <c r="B5726" t="s">
        <v>2184</v>
      </c>
      <c r="C5726" t="s">
        <v>119</v>
      </c>
      <c r="D5726" s="1">
        <v>45857</v>
      </c>
      <c r="E5726" t="s">
        <v>4127</v>
      </c>
      <c r="F5726" t="s">
        <v>4139</v>
      </c>
    </row>
    <row r="5727" spans="1:6">
      <c r="A5727" t="s">
        <v>9856</v>
      </c>
      <c r="B5727" t="s">
        <v>2185</v>
      </c>
      <c r="C5727" t="s">
        <v>46</v>
      </c>
      <c r="D5727" s="1">
        <v>45717</v>
      </c>
      <c r="E5727" t="s">
        <v>4124</v>
      </c>
      <c r="F5727" t="s">
        <v>4139</v>
      </c>
    </row>
    <row r="5728" spans="1:6">
      <c r="A5728" t="s">
        <v>9857</v>
      </c>
      <c r="B5728" t="s">
        <v>2185</v>
      </c>
      <c r="C5728" t="s">
        <v>46</v>
      </c>
      <c r="D5728" s="1">
        <v>45704</v>
      </c>
      <c r="E5728" t="s">
        <v>4124</v>
      </c>
      <c r="F5728" t="s">
        <v>4139</v>
      </c>
    </row>
    <row r="5729" spans="1:6">
      <c r="A5729" t="s">
        <v>9858</v>
      </c>
      <c r="B5729" t="s">
        <v>2186</v>
      </c>
      <c r="C5729" t="s">
        <v>22</v>
      </c>
      <c r="D5729" s="1">
        <v>45920</v>
      </c>
      <c r="E5729" t="s">
        <v>4133</v>
      </c>
      <c r="F5729" t="s">
        <v>4125</v>
      </c>
    </row>
    <row r="5730" spans="1:6">
      <c r="A5730" t="s">
        <v>9859</v>
      </c>
      <c r="B5730" t="s">
        <v>2186</v>
      </c>
      <c r="C5730" t="s">
        <v>22</v>
      </c>
      <c r="D5730" s="1">
        <v>45907</v>
      </c>
      <c r="E5730" t="s">
        <v>4124</v>
      </c>
      <c r="F5730" t="s">
        <v>4137</v>
      </c>
    </row>
    <row r="5731" spans="1:6">
      <c r="A5731" t="s">
        <v>9860</v>
      </c>
      <c r="B5731" t="s">
        <v>2186</v>
      </c>
      <c r="C5731" t="s">
        <v>22</v>
      </c>
      <c r="D5731" s="1">
        <v>45907</v>
      </c>
      <c r="E5731" t="s">
        <v>4127</v>
      </c>
      <c r="F5731" t="s">
        <v>4139</v>
      </c>
    </row>
    <row r="5732" spans="1:6">
      <c r="A5732" t="s">
        <v>9861</v>
      </c>
      <c r="B5732" t="s">
        <v>2186</v>
      </c>
      <c r="C5732" t="s">
        <v>22</v>
      </c>
      <c r="D5732" s="1">
        <v>45913</v>
      </c>
      <c r="E5732" t="s">
        <v>4124</v>
      </c>
      <c r="F5732" t="s">
        <v>4125</v>
      </c>
    </row>
    <row r="5733" spans="1:6">
      <c r="A5733" t="s">
        <v>9862</v>
      </c>
      <c r="B5733" t="s">
        <v>2186</v>
      </c>
      <c r="C5733" t="s">
        <v>22</v>
      </c>
      <c r="D5733" s="1">
        <v>45924</v>
      </c>
      <c r="E5733" t="s">
        <v>4127</v>
      </c>
      <c r="F5733" t="s">
        <v>4125</v>
      </c>
    </row>
    <row r="5734" spans="1:6">
      <c r="A5734" t="s">
        <v>9863</v>
      </c>
      <c r="B5734" t="s">
        <v>2187</v>
      </c>
      <c r="C5734" t="s">
        <v>59</v>
      </c>
      <c r="D5734" s="1">
        <v>45894</v>
      </c>
      <c r="E5734" t="s">
        <v>4133</v>
      </c>
      <c r="F5734" t="s">
        <v>4125</v>
      </c>
    </row>
    <row r="5735" spans="1:6">
      <c r="A5735" t="s">
        <v>9864</v>
      </c>
      <c r="B5735" t="s">
        <v>2187</v>
      </c>
      <c r="C5735" t="s">
        <v>59</v>
      </c>
      <c r="D5735" s="1">
        <v>45889</v>
      </c>
      <c r="E5735" t="s">
        <v>4133</v>
      </c>
      <c r="F5735" t="s">
        <v>4125</v>
      </c>
    </row>
    <row r="5736" spans="1:6">
      <c r="A5736" t="s">
        <v>9865</v>
      </c>
      <c r="B5736" t="s">
        <v>2188</v>
      </c>
      <c r="C5736" t="s">
        <v>27</v>
      </c>
      <c r="D5736" s="1">
        <v>45921</v>
      </c>
      <c r="E5736" t="s">
        <v>4127</v>
      </c>
      <c r="F5736" t="s">
        <v>4125</v>
      </c>
    </row>
    <row r="5737" spans="1:6">
      <c r="A5737" t="s">
        <v>9866</v>
      </c>
      <c r="B5737" t="s">
        <v>2188</v>
      </c>
      <c r="C5737" t="s">
        <v>27</v>
      </c>
      <c r="D5737" s="1">
        <v>45930</v>
      </c>
      <c r="E5737" t="s">
        <v>4129</v>
      </c>
      <c r="F5737" t="s">
        <v>4137</v>
      </c>
    </row>
    <row r="5738" spans="1:6">
      <c r="A5738" t="s">
        <v>9867</v>
      </c>
      <c r="B5738" t="s">
        <v>2189</v>
      </c>
      <c r="C5738" t="s">
        <v>126</v>
      </c>
      <c r="D5738" s="1">
        <v>46022</v>
      </c>
      <c r="E5738" t="s">
        <v>4124</v>
      </c>
      <c r="F5738" t="s">
        <v>4137</v>
      </c>
    </row>
    <row r="5739" spans="1:6">
      <c r="A5739" t="s">
        <v>9868</v>
      </c>
      <c r="B5739" t="s">
        <v>2189</v>
      </c>
      <c r="C5739" t="s">
        <v>126</v>
      </c>
      <c r="D5739" s="1">
        <v>46022</v>
      </c>
      <c r="E5739" t="s">
        <v>4129</v>
      </c>
      <c r="F5739" t="s">
        <v>4137</v>
      </c>
    </row>
    <row r="5740" spans="1:6">
      <c r="A5740" t="s">
        <v>9869</v>
      </c>
      <c r="B5740" t="s">
        <v>2189</v>
      </c>
      <c r="C5740" t="s">
        <v>126</v>
      </c>
      <c r="D5740" s="1">
        <v>46020</v>
      </c>
      <c r="E5740" t="s">
        <v>4124</v>
      </c>
      <c r="F5740" t="s">
        <v>4125</v>
      </c>
    </row>
    <row r="5741" spans="1:6">
      <c r="A5741" t="s">
        <v>9870</v>
      </c>
      <c r="B5741" t="s">
        <v>2190</v>
      </c>
      <c r="C5741" t="s">
        <v>40</v>
      </c>
      <c r="D5741" s="1">
        <v>46001</v>
      </c>
      <c r="E5741" t="s">
        <v>4135</v>
      </c>
      <c r="F5741" t="s">
        <v>4137</v>
      </c>
    </row>
    <row r="5742" spans="1:6">
      <c r="A5742" t="s">
        <v>9871</v>
      </c>
      <c r="B5742" t="s">
        <v>2190</v>
      </c>
      <c r="C5742" t="s">
        <v>40</v>
      </c>
      <c r="D5742" s="1">
        <v>45994</v>
      </c>
      <c r="E5742" t="s">
        <v>4124</v>
      </c>
      <c r="F5742" t="s">
        <v>4125</v>
      </c>
    </row>
    <row r="5743" spans="1:6">
      <c r="A5743" t="s">
        <v>9872</v>
      </c>
      <c r="B5743" t="s">
        <v>2190</v>
      </c>
      <c r="C5743" t="s">
        <v>40</v>
      </c>
      <c r="D5743" s="1">
        <v>46001</v>
      </c>
      <c r="E5743" t="s">
        <v>4135</v>
      </c>
      <c r="F5743" t="s">
        <v>4139</v>
      </c>
    </row>
    <row r="5744" spans="1:6">
      <c r="A5744" t="s">
        <v>9873</v>
      </c>
      <c r="B5744" t="s">
        <v>2190</v>
      </c>
      <c r="C5744" t="s">
        <v>40</v>
      </c>
      <c r="D5744" s="1">
        <v>46003</v>
      </c>
      <c r="E5744" t="s">
        <v>4133</v>
      </c>
      <c r="F5744" t="s">
        <v>4137</v>
      </c>
    </row>
    <row r="5745" spans="1:6">
      <c r="A5745" t="s">
        <v>9874</v>
      </c>
      <c r="B5745" t="s">
        <v>2191</v>
      </c>
      <c r="C5745" t="s">
        <v>16</v>
      </c>
      <c r="D5745" s="1">
        <v>45778</v>
      </c>
      <c r="E5745" t="s">
        <v>4129</v>
      </c>
      <c r="F5745" t="s">
        <v>4139</v>
      </c>
    </row>
    <row r="5746" spans="1:6">
      <c r="A5746" t="s">
        <v>9875</v>
      </c>
      <c r="B5746" t="s">
        <v>2191</v>
      </c>
      <c r="C5746" t="s">
        <v>16</v>
      </c>
      <c r="D5746" s="1">
        <v>45773</v>
      </c>
      <c r="E5746" t="s">
        <v>4124</v>
      </c>
      <c r="F5746" t="s">
        <v>4137</v>
      </c>
    </row>
    <row r="5747" spans="1:6">
      <c r="A5747" t="s">
        <v>9876</v>
      </c>
      <c r="B5747" t="s">
        <v>2191</v>
      </c>
      <c r="C5747" t="s">
        <v>16</v>
      </c>
      <c r="D5747" s="1">
        <v>45777</v>
      </c>
      <c r="E5747" t="s">
        <v>4129</v>
      </c>
      <c r="F5747" t="s">
        <v>4125</v>
      </c>
    </row>
    <row r="5748" spans="1:6">
      <c r="A5748" t="s">
        <v>9877</v>
      </c>
      <c r="B5748" t="s">
        <v>2191</v>
      </c>
      <c r="C5748" t="s">
        <v>16</v>
      </c>
      <c r="D5748" s="1">
        <v>45775</v>
      </c>
      <c r="E5748" t="s">
        <v>4124</v>
      </c>
      <c r="F5748" t="s">
        <v>4137</v>
      </c>
    </row>
    <row r="5749" spans="1:6">
      <c r="A5749" t="s">
        <v>9878</v>
      </c>
      <c r="B5749" t="s">
        <v>2191</v>
      </c>
      <c r="C5749" t="s">
        <v>16</v>
      </c>
      <c r="D5749" s="1">
        <v>45774</v>
      </c>
      <c r="E5749" t="s">
        <v>4133</v>
      </c>
      <c r="F5749" t="s">
        <v>4125</v>
      </c>
    </row>
    <row r="5750" spans="1:6">
      <c r="A5750" t="s">
        <v>9879</v>
      </c>
      <c r="B5750" t="s">
        <v>2192</v>
      </c>
      <c r="C5750" t="s">
        <v>46</v>
      </c>
      <c r="D5750" s="1">
        <v>45975</v>
      </c>
      <c r="E5750" t="s">
        <v>4129</v>
      </c>
      <c r="F5750" t="s">
        <v>4137</v>
      </c>
    </row>
    <row r="5751" spans="1:6">
      <c r="A5751" t="s">
        <v>9880</v>
      </c>
      <c r="B5751" t="s">
        <v>2192</v>
      </c>
      <c r="C5751" t="s">
        <v>46</v>
      </c>
      <c r="D5751" s="1">
        <v>45979</v>
      </c>
      <c r="E5751" t="s">
        <v>4129</v>
      </c>
      <c r="F5751" t="s">
        <v>4125</v>
      </c>
    </row>
    <row r="5752" spans="1:6">
      <c r="A5752" t="s">
        <v>9881</v>
      </c>
      <c r="B5752" t="s">
        <v>2193</v>
      </c>
      <c r="C5752" t="s">
        <v>91</v>
      </c>
      <c r="D5752" s="1">
        <v>45980</v>
      </c>
      <c r="E5752" t="s">
        <v>4127</v>
      </c>
      <c r="F5752" t="s">
        <v>4125</v>
      </c>
    </row>
    <row r="5753" spans="1:6">
      <c r="A5753" t="s">
        <v>9882</v>
      </c>
      <c r="B5753" t="s">
        <v>2193</v>
      </c>
      <c r="C5753" t="s">
        <v>91</v>
      </c>
      <c r="D5753" s="1">
        <v>45964</v>
      </c>
      <c r="E5753" t="s">
        <v>4127</v>
      </c>
      <c r="F5753" t="s">
        <v>4137</v>
      </c>
    </row>
    <row r="5754" spans="1:6">
      <c r="A5754" t="s">
        <v>9883</v>
      </c>
      <c r="B5754" t="s">
        <v>2193</v>
      </c>
      <c r="C5754" t="s">
        <v>91</v>
      </c>
      <c r="D5754" s="1">
        <v>45991</v>
      </c>
      <c r="E5754" t="s">
        <v>4127</v>
      </c>
      <c r="F5754" t="s">
        <v>4137</v>
      </c>
    </row>
    <row r="5755" spans="1:6">
      <c r="A5755" t="s">
        <v>9884</v>
      </c>
      <c r="B5755" t="s">
        <v>2193</v>
      </c>
      <c r="C5755" t="s">
        <v>91</v>
      </c>
      <c r="D5755" s="1">
        <v>45962</v>
      </c>
      <c r="E5755" t="s">
        <v>4129</v>
      </c>
      <c r="F5755" t="s">
        <v>4125</v>
      </c>
    </row>
    <row r="5756" spans="1:6">
      <c r="A5756" t="s">
        <v>9885</v>
      </c>
      <c r="B5756" t="s">
        <v>2193</v>
      </c>
      <c r="C5756" t="s">
        <v>91</v>
      </c>
      <c r="D5756" s="1">
        <v>46014</v>
      </c>
      <c r="E5756" t="s">
        <v>4135</v>
      </c>
      <c r="F5756" t="s">
        <v>4139</v>
      </c>
    </row>
    <row r="5757" spans="1:6">
      <c r="A5757" t="s">
        <v>9886</v>
      </c>
      <c r="B5757" t="s">
        <v>2194</v>
      </c>
      <c r="C5757" t="s">
        <v>168</v>
      </c>
      <c r="D5757" s="1">
        <v>45831</v>
      </c>
      <c r="E5757" t="s">
        <v>4133</v>
      </c>
      <c r="F5757" t="s">
        <v>4125</v>
      </c>
    </row>
    <row r="5758" spans="1:6">
      <c r="A5758" t="s">
        <v>9887</v>
      </c>
      <c r="B5758" t="s">
        <v>2194</v>
      </c>
      <c r="C5758" t="s">
        <v>168</v>
      </c>
      <c r="D5758" s="1">
        <v>45867</v>
      </c>
      <c r="E5758" t="s">
        <v>4133</v>
      </c>
      <c r="F5758" t="s">
        <v>4125</v>
      </c>
    </row>
    <row r="5759" spans="1:6">
      <c r="A5759" t="s">
        <v>9888</v>
      </c>
      <c r="B5759" t="s">
        <v>2195</v>
      </c>
      <c r="C5759" t="s">
        <v>36</v>
      </c>
      <c r="D5759" s="1">
        <v>45941</v>
      </c>
      <c r="E5759" t="s">
        <v>4129</v>
      </c>
      <c r="F5759" t="s">
        <v>4137</v>
      </c>
    </row>
    <row r="5760" spans="1:6">
      <c r="A5760" t="s">
        <v>9889</v>
      </c>
      <c r="B5760" t="s">
        <v>2195</v>
      </c>
      <c r="C5760" t="s">
        <v>36</v>
      </c>
      <c r="D5760" s="1">
        <v>45926</v>
      </c>
      <c r="E5760" t="s">
        <v>4129</v>
      </c>
      <c r="F5760" t="s">
        <v>4125</v>
      </c>
    </row>
    <row r="5761" spans="1:6">
      <c r="A5761" t="s">
        <v>9890</v>
      </c>
      <c r="B5761" t="s">
        <v>2195</v>
      </c>
      <c r="C5761" t="s">
        <v>36</v>
      </c>
      <c r="D5761" s="1">
        <v>45932</v>
      </c>
      <c r="E5761" t="s">
        <v>4133</v>
      </c>
      <c r="F5761" t="s">
        <v>4125</v>
      </c>
    </row>
    <row r="5762" spans="1:6">
      <c r="A5762" t="s">
        <v>9891</v>
      </c>
      <c r="B5762" t="s">
        <v>2196</v>
      </c>
      <c r="C5762" t="s">
        <v>75</v>
      </c>
      <c r="D5762" s="1">
        <v>46017</v>
      </c>
      <c r="E5762" t="s">
        <v>4127</v>
      </c>
      <c r="F5762" t="s">
        <v>4139</v>
      </c>
    </row>
    <row r="5763" spans="1:6">
      <c r="A5763" t="s">
        <v>9892</v>
      </c>
      <c r="B5763" t="s">
        <v>2196</v>
      </c>
      <c r="C5763" t="s">
        <v>75</v>
      </c>
      <c r="D5763" s="1">
        <v>46013</v>
      </c>
      <c r="E5763" t="s">
        <v>4129</v>
      </c>
      <c r="F5763" t="s">
        <v>4137</v>
      </c>
    </row>
    <row r="5764" spans="1:6">
      <c r="A5764" t="s">
        <v>9893</v>
      </c>
      <c r="B5764" t="s">
        <v>2196</v>
      </c>
      <c r="C5764" t="s">
        <v>75</v>
      </c>
      <c r="D5764" s="1">
        <v>45999</v>
      </c>
      <c r="E5764" t="s">
        <v>4133</v>
      </c>
      <c r="F5764" t="s">
        <v>4137</v>
      </c>
    </row>
    <row r="5765" spans="1:6">
      <c r="A5765" t="s">
        <v>9894</v>
      </c>
      <c r="B5765" t="s">
        <v>2197</v>
      </c>
      <c r="C5765" t="s">
        <v>152</v>
      </c>
      <c r="D5765" s="1">
        <v>45945</v>
      </c>
      <c r="E5765" t="s">
        <v>4127</v>
      </c>
      <c r="F5765" t="s">
        <v>4137</v>
      </c>
    </row>
    <row r="5766" spans="1:6">
      <c r="A5766" t="s">
        <v>9895</v>
      </c>
      <c r="B5766" t="s">
        <v>2197</v>
      </c>
      <c r="C5766" t="s">
        <v>152</v>
      </c>
      <c r="D5766" s="1">
        <v>45969</v>
      </c>
      <c r="E5766" t="s">
        <v>4129</v>
      </c>
      <c r="F5766" t="s">
        <v>4125</v>
      </c>
    </row>
    <row r="5767" spans="1:6">
      <c r="A5767" t="s">
        <v>9896</v>
      </c>
      <c r="B5767" t="s">
        <v>2197</v>
      </c>
      <c r="C5767" t="s">
        <v>152</v>
      </c>
      <c r="D5767" s="1">
        <v>46006</v>
      </c>
      <c r="E5767" t="s">
        <v>4127</v>
      </c>
      <c r="F5767" t="s">
        <v>4137</v>
      </c>
    </row>
    <row r="5768" spans="1:6">
      <c r="A5768" t="s">
        <v>9897</v>
      </c>
      <c r="B5768" t="s">
        <v>2198</v>
      </c>
      <c r="C5768" t="s">
        <v>27</v>
      </c>
      <c r="D5768" s="1">
        <v>45838</v>
      </c>
      <c r="E5768" t="s">
        <v>4135</v>
      </c>
      <c r="F5768" t="s">
        <v>4139</v>
      </c>
    </row>
    <row r="5769" spans="1:6">
      <c r="A5769" t="s">
        <v>9898</v>
      </c>
      <c r="B5769" t="s">
        <v>2198</v>
      </c>
      <c r="C5769" t="s">
        <v>27</v>
      </c>
      <c r="D5769" s="1">
        <v>45824</v>
      </c>
      <c r="E5769" t="s">
        <v>4124</v>
      </c>
      <c r="F5769" t="s">
        <v>4139</v>
      </c>
    </row>
    <row r="5770" spans="1:6">
      <c r="A5770" t="s">
        <v>9899</v>
      </c>
      <c r="B5770" t="s">
        <v>2198</v>
      </c>
      <c r="C5770" t="s">
        <v>27</v>
      </c>
      <c r="D5770" s="1">
        <v>45837</v>
      </c>
      <c r="E5770" t="s">
        <v>4135</v>
      </c>
      <c r="F5770" t="s">
        <v>4137</v>
      </c>
    </row>
    <row r="5771" spans="1:6">
      <c r="A5771" t="s">
        <v>9900</v>
      </c>
      <c r="B5771" t="s">
        <v>2198</v>
      </c>
      <c r="C5771" t="s">
        <v>27</v>
      </c>
      <c r="D5771" s="1">
        <v>45829</v>
      </c>
      <c r="E5771" t="s">
        <v>4129</v>
      </c>
      <c r="F5771" t="s">
        <v>4139</v>
      </c>
    </row>
    <row r="5772" spans="1:6">
      <c r="A5772" t="s">
        <v>9901</v>
      </c>
      <c r="B5772" t="s">
        <v>2199</v>
      </c>
      <c r="C5772" t="s">
        <v>91</v>
      </c>
      <c r="D5772" s="1">
        <v>45749</v>
      </c>
      <c r="E5772" t="s">
        <v>4129</v>
      </c>
      <c r="F5772" t="s">
        <v>4125</v>
      </c>
    </row>
    <row r="5773" spans="1:6">
      <c r="A5773" t="s">
        <v>9902</v>
      </c>
      <c r="B5773" t="s">
        <v>2199</v>
      </c>
      <c r="C5773" t="s">
        <v>91</v>
      </c>
      <c r="D5773" s="1">
        <v>45745</v>
      </c>
      <c r="E5773" t="s">
        <v>4124</v>
      </c>
      <c r="F5773" t="s">
        <v>4137</v>
      </c>
    </row>
    <row r="5774" spans="1:6">
      <c r="A5774" t="s">
        <v>9903</v>
      </c>
      <c r="B5774" t="s">
        <v>2199</v>
      </c>
      <c r="C5774" t="s">
        <v>91</v>
      </c>
      <c r="D5774" s="1">
        <v>45740</v>
      </c>
      <c r="E5774" t="s">
        <v>4127</v>
      </c>
      <c r="F5774" t="s">
        <v>4137</v>
      </c>
    </row>
    <row r="5775" spans="1:6">
      <c r="A5775" t="s">
        <v>9904</v>
      </c>
      <c r="B5775" t="s">
        <v>2199</v>
      </c>
      <c r="C5775" t="s">
        <v>91</v>
      </c>
      <c r="D5775" s="1">
        <v>45747</v>
      </c>
      <c r="E5775" t="s">
        <v>4127</v>
      </c>
      <c r="F5775" t="s">
        <v>4137</v>
      </c>
    </row>
    <row r="5776" spans="1:6">
      <c r="A5776" t="s">
        <v>9905</v>
      </c>
      <c r="B5776" t="s">
        <v>2199</v>
      </c>
      <c r="C5776" t="s">
        <v>91</v>
      </c>
      <c r="D5776" s="1">
        <v>45755</v>
      </c>
      <c r="E5776" t="s">
        <v>4127</v>
      </c>
      <c r="F5776" t="s">
        <v>4139</v>
      </c>
    </row>
    <row r="5777" spans="1:6">
      <c r="A5777" t="s">
        <v>9906</v>
      </c>
      <c r="B5777" t="s">
        <v>2200</v>
      </c>
      <c r="C5777" t="s">
        <v>27</v>
      </c>
      <c r="D5777" s="1">
        <v>45739</v>
      </c>
      <c r="E5777" t="s">
        <v>4127</v>
      </c>
      <c r="F5777" t="s">
        <v>4125</v>
      </c>
    </row>
    <row r="5778" spans="1:6">
      <c r="A5778" t="s">
        <v>9907</v>
      </c>
      <c r="B5778" t="s">
        <v>2200</v>
      </c>
      <c r="C5778" t="s">
        <v>27</v>
      </c>
      <c r="D5778" s="1">
        <v>45730</v>
      </c>
      <c r="E5778" t="s">
        <v>4135</v>
      </c>
      <c r="F5778" t="s">
        <v>4125</v>
      </c>
    </row>
    <row r="5779" spans="1:6">
      <c r="A5779" t="s">
        <v>9908</v>
      </c>
      <c r="B5779" t="s">
        <v>2201</v>
      </c>
      <c r="C5779" t="s">
        <v>27</v>
      </c>
      <c r="D5779" s="1">
        <v>46017</v>
      </c>
      <c r="E5779" t="s">
        <v>4127</v>
      </c>
      <c r="F5779" t="s">
        <v>4125</v>
      </c>
    </row>
    <row r="5780" spans="1:6">
      <c r="A5780" t="s">
        <v>9909</v>
      </c>
      <c r="B5780" t="s">
        <v>2201</v>
      </c>
      <c r="C5780" t="s">
        <v>27</v>
      </c>
      <c r="D5780" s="1">
        <v>46019</v>
      </c>
      <c r="E5780" t="s">
        <v>4127</v>
      </c>
      <c r="F5780" t="s">
        <v>4137</v>
      </c>
    </row>
    <row r="5781" spans="1:6">
      <c r="A5781" t="s">
        <v>9910</v>
      </c>
      <c r="B5781" t="s">
        <v>2202</v>
      </c>
      <c r="C5781" t="s">
        <v>32</v>
      </c>
      <c r="D5781" s="1">
        <v>46004</v>
      </c>
      <c r="E5781" t="s">
        <v>4135</v>
      </c>
      <c r="F5781" t="s">
        <v>4125</v>
      </c>
    </row>
    <row r="5782" spans="1:6">
      <c r="A5782" t="s">
        <v>9911</v>
      </c>
      <c r="B5782" t="s">
        <v>2202</v>
      </c>
      <c r="C5782" t="s">
        <v>32</v>
      </c>
      <c r="D5782" s="1">
        <v>46007</v>
      </c>
      <c r="E5782" t="s">
        <v>4133</v>
      </c>
      <c r="F5782" t="s">
        <v>4137</v>
      </c>
    </row>
    <row r="5783" spans="1:6">
      <c r="A5783" t="s">
        <v>9912</v>
      </c>
      <c r="B5783" t="s">
        <v>2202</v>
      </c>
      <c r="C5783" t="s">
        <v>32</v>
      </c>
      <c r="D5783" s="1">
        <v>46000</v>
      </c>
      <c r="E5783" t="s">
        <v>4124</v>
      </c>
      <c r="F5783" t="s">
        <v>4137</v>
      </c>
    </row>
    <row r="5784" spans="1:6">
      <c r="A5784" t="s">
        <v>9913</v>
      </c>
      <c r="B5784" t="s">
        <v>2202</v>
      </c>
      <c r="C5784" t="s">
        <v>32</v>
      </c>
      <c r="D5784" s="1">
        <v>46019</v>
      </c>
      <c r="E5784" t="s">
        <v>4127</v>
      </c>
      <c r="F5784" t="s">
        <v>4125</v>
      </c>
    </row>
    <row r="5785" spans="1:6">
      <c r="A5785" t="s">
        <v>9914</v>
      </c>
      <c r="B5785" t="s">
        <v>2202</v>
      </c>
      <c r="C5785" t="s">
        <v>32</v>
      </c>
      <c r="D5785" s="1">
        <v>46000</v>
      </c>
      <c r="E5785" t="s">
        <v>4127</v>
      </c>
      <c r="F5785" t="s">
        <v>4139</v>
      </c>
    </row>
    <row r="5786" spans="1:6">
      <c r="A5786" t="s">
        <v>9915</v>
      </c>
      <c r="B5786" t="s">
        <v>2203</v>
      </c>
      <c r="C5786" t="s">
        <v>53</v>
      </c>
      <c r="D5786" s="1">
        <v>45781</v>
      </c>
      <c r="E5786" t="s">
        <v>4135</v>
      </c>
      <c r="F5786" t="s">
        <v>4125</v>
      </c>
    </row>
    <row r="5787" spans="1:6">
      <c r="A5787" t="s">
        <v>9916</v>
      </c>
      <c r="B5787" t="s">
        <v>2203</v>
      </c>
      <c r="C5787" t="s">
        <v>53</v>
      </c>
      <c r="D5787" s="1">
        <v>45787</v>
      </c>
      <c r="E5787" t="s">
        <v>4133</v>
      </c>
      <c r="F5787" t="s">
        <v>4125</v>
      </c>
    </row>
    <row r="5788" spans="1:6">
      <c r="A5788" t="s">
        <v>9917</v>
      </c>
      <c r="B5788" t="s">
        <v>2203</v>
      </c>
      <c r="C5788" t="s">
        <v>53</v>
      </c>
      <c r="D5788" s="1">
        <v>45777</v>
      </c>
      <c r="E5788" t="s">
        <v>4135</v>
      </c>
      <c r="F5788" t="s">
        <v>4137</v>
      </c>
    </row>
    <row r="5789" spans="1:6">
      <c r="A5789" t="s">
        <v>9918</v>
      </c>
      <c r="B5789" t="s">
        <v>2204</v>
      </c>
      <c r="C5789" t="s">
        <v>91</v>
      </c>
      <c r="D5789" s="1">
        <v>45872</v>
      </c>
      <c r="E5789" t="s">
        <v>4124</v>
      </c>
      <c r="F5789" t="s">
        <v>4125</v>
      </c>
    </row>
    <row r="5790" spans="1:6">
      <c r="A5790" t="s">
        <v>9919</v>
      </c>
      <c r="B5790" t="s">
        <v>2204</v>
      </c>
      <c r="C5790" t="s">
        <v>91</v>
      </c>
      <c r="D5790" s="1">
        <v>45877</v>
      </c>
      <c r="E5790" t="s">
        <v>4129</v>
      </c>
      <c r="F5790" t="s">
        <v>4137</v>
      </c>
    </row>
    <row r="5791" spans="1:6">
      <c r="A5791" t="s">
        <v>9920</v>
      </c>
      <c r="B5791" t="s">
        <v>2204</v>
      </c>
      <c r="C5791" t="s">
        <v>91</v>
      </c>
      <c r="D5791" s="1">
        <v>45873</v>
      </c>
      <c r="E5791" t="s">
        <v>4124</v>
      </c>
      <c r="F5791" t="s">
        <v>4137</v>
      </c>
    </row>
    <row r="5792" spans="1:6">
      <c r="A5792" t="s">
        <v>9921</v>
      </c>
      <c r="B5792" t="s">
        <v>2205</v>
      </c>
      <c r="C5792" t="s">
        <v>16</v>
      </c>
      <c r="D5792" s="1">
        <v>45880</v>
      </c>
      <c r="E5792" t="s">
        <v>4124</v>
      </c>
      <c r="F5792" t="s">
        <v>4137</v>
      </c>
    </row>
    <row r="5793" spans="1:6">
      <c r="A5793" t="s">
        <v>9922</v>
      </c>
      <c r="B5793" t="s">
        <v>2205</v>
      </c>
      <c r="C5793" t="s">
        <v>16</v>
      </c>
      <c r="D5793" s="1">
        <v>45872</v>
      </c>
      <c r="E5793" t="s">
        <v>4133</v>
      </c>
      <c r="F5793" t="s">
        <v>4125</v>
      </c>
    </row>
    <row r="5794" spans="1:6">
      <c r="A5794" t="s">
        <v>9923</v>
      </c>
      <c r="B5794" t="s">
        <v>2205</v>
      </c>
      <c r="C5794" t="s">
        <v>16</v>
      </c>
      <c r="D5794" s="1">
        <v>45838</v>
      </c>
      <c r="E5794" t="s">
        <v>4135</v>
      </c>
      <c r="F5794" t="s">
        <v>4125</v>
      </c>
    </row>
    <row r="5795" spans="1:6">
      <c r="A5795" t="s">
        <v>9924</v>
      </c>
      <c r="B5795" t="s">
        <v>2206</v>
      </c>
      <c r="C5795" t="s">
        <v>50</v>
      </c>
      <c r="D5795" s="1">
        <v>45749</v>
      </c>
      <c r="E5795" t="s">
        <v>4127</v>
      </c>
      <c r="F5795" t="s">
        <v>4125</v>
      </c>
    </row>
    <row r="5796" spans="1:6">
      <c r="A5796" t="s">
        <v>9925</v>
      </c>
      <c r="B5796" t="s">
        <v>2206</v>
      </c>
      <c r="C5796" t="s">
        <v>50</v>
      </c>
      <c r="D5796" s="1">
        <v>45756</v>
      </c>
      <c r="E5796" t="s">
        <v>4124</v>
      </c>
      <c r="F5796" t="s">
        <v>4125</v>
      </c>
    </row>
    <row r="5797" spans="1:6">
      <c r="A5797" t="s">
        <v>9926</v>
      </c>
      <c r="B5797" t="s">
        <v>2206</v>
      </c>
      <c r="C5797" t="s">
        <v>50</v>
      </c>
      <c r="D5797" s="1">
        <v>45764</v>
      </c>
      <c r="E5797" t="s">
        <v>4127</v>
      </c>
      <c r="F5797" t="s">
        <v>4139</v>
      </c>
    </row>
    <row r="5798" spans="1:6">
      <c r="A5798" t="s">
        <v>9927</v>
      </c>
      <c r="B5798" t="s">
        <v>2206</v>
      </c>
      <c r="C5798" t="s">
        <v>50</v>
      </c>
      <c r="D5798" s="1">
        <v>45764</v>
      </c>
      <c r="E5798" t="s">
        <v>4135</v>
      </c>
      <c r="F5798" t="s">
        <v>4125</v>
      </c>
    </row>
    <row r="5799" spans="1:6">
      <c r="A5799" t="s">
        <v>9928</v>
      </c>
      <c r="B5799" t="s">
        <v>2206</v>
      </c>
      <c r="C5799" t="s">
        <v>50</v>
      </c>
      <c r="D5799" s="1">
        <v>45757</v>
      </c>
      <c r="E5799" t="s">
        <v>4124</v>
      </c>
      <c r="F5799" t="s">
        <v>4139</v>
      </c>
    </row>
    <row r="5800" spans="1:6">
      <c r="A5800" t="s">
        <v>9929</v>
      </c>
      <c r="B5800" t="s">
        <v>2208</v>
      </c>
      <c r="C5800" t="s">
        <v>70</v>
      </c>
      <c r="D5800" s="1">
        <v>45792</v>
      </c>
      <c r="E5800" t="s">
        <v>4135</v>
      </c>
      <c r="F5800" t="s">
        <v>4125</v>
      </c>
    </row>
    <row r="5801" spans="1:6">
      <c r="A5801" t="s">
        <v>9930</v>
      </c>
      <c r="B5801" t="s">
        <v>2208</v>
      </c>
      <c r="C5801" t="s">
        <v>70</v>
      </c>
      <c r="D5801" s="1">
        <v>45792</v>
      </c>
      <c r="E5801" t="s">
        <v>4133</v>
      </c>
      <c r="F5801" t="s">
        <v>4139</v>
      </c>
    </row>
    <row r="5802" spans="1:6">
      <c r="A5802" t="s">
        <v>9931</v>
      </c>
      <c r="B5802" t="s">
        <v>2209</v>
      </c>
      <c r="C5802" t="s">
        <v>32</v>
      </c>
      <c r="D5802" s="1">
        <v>45933</v>
      </c>
      <c r="E5802" t="s">
        <v>4124</v>
      </c>
      <c r="F5802" t="s">
        <v>4125</v>
      </c>
    </row>
    <row r="5803" spans="1:6">
      <c r="A5803" t="s">
        <v>9932</v>
      </c>
      <c r="B5803" t="s">
        <v>2209</v>
      </c>
      <c r="C5803" t="s">
        <v>32</v>
      </c>
      <c r="D5803" s="1">
        <v>45969</v>
      </c>
      <c r="E5803" t="s">
        <v>4127</v>
      </c>
      <c r="F5803" t="s">
        <v>4139</v>
      </c>
    </row>
    <row r="5804" spans="1:6">
      <c r="A5804" t="s">
        <v>9933</v>
      </c>
      <c r="B5804" t="s">
        <v>2209</v>
      </c>
      <c r="C5804" t="s">
        <v>32</v>
      </c>
      <c r="D5804" s="1">
        <v>45955</v>
      </c>
      <c r="E5804" t="s">
        <v>4135</v>
      </c>
      <c r="F5804" t="s">
        <v>4125</v>
      </c>
    </row>
    <row r="5805" spans="1:6">
      <c r="A5805" t="s">
        <v>9934</v>
      </c>
      <c r="B5805" t="s">
        <v>2209</v>
      </c>
      <c r="C5805" t="s">
        <v>32</v>
      </c>
      <c r="D5805" s="1">
        <v>45954</v>
      </c>
      <c r="E5805" t="s">
        <v>4124</v>
      </c>
      <c r="F5805" t="s">
        <v>4139</v>
      </c>
    </row>
    <row r="5806" spans="1:6">
      <c r="A5806" t="s">
        <v>9935</v>
      </c>
      <c r="B5806" t="s">
        <v>2209</v>
      </c>
      <c r="C5806" t="s">
        <v>32</v>
      </c>
      <c r="D5806" s="1">
        <v>45940</v>
      </c>
      <c r="E5806" t="s">
        <v>4135</v>
      </c>
      <c r="F5806" t="s">
        <v>4139</v>
      </c>
    </row>
    <row r="5807" spans="1:6">
      <c r="A5807" t="s">
        <v>9936</v>
      </c>
      <c r="B5807" t="s">
        <v>2210</v>
      </c>
      <c r="C5807" t="s">
        <v>36</v>
      </c>
      <c r="D5807" s="1">
        <v>45956</v>
      </c>
      <c r="E5807" t="s">
        <v>4129</v>
      </c>
      <c r="F5807" t="s">
        <v>4139</v>
      </c>
    </row>
    <row r="5808" spans="1:6">
      <c r="A5808" t="s">
        <v>9937</v>
      </c>
      <c r="B5808" t="s">
        <v>2210</v>
      </c>
      <c r="C5808" t="s">
        <v>36</v>
      </c>
      <c r="D5808" s="1">
        <v>45959</v>
      </c>
      <c r="E5808" t="s">
        <v>4127</v>
      </c>
      <c r="F5808" t="s">
        <v>4125</v>
      </c>
    </row>
    <row r="5809" spans="1:6">
      <c r="A5809" t="s">
        <v>9938</v>
      </c>
      <c r="B5809" t="s">
        <v>2210</v>
      </c>
      <c r="C5809" t="s">
        <v>36</v>
      </c>
      <c r="D5809" s="1">
        <v>45985</v>
      </c>
      <c r="E5809" t="s">
        <v>4127</v>
      </c>
      <c r="F5809" t="s">
        <v>4125</v>
      </c>
    </row>
    <row r="5810" spans="1:6">
      <c r="A5810" t="s">
        <v>9939</v>
      </c>
      <c r="B5810" t="s">
        <v>2210</v>
      </c>
      <c r="C5810" t="s">
        <v>36</v>
      </c>
      <c r="D5810" s="1">
        <v>45968</v>
      </c>
      <c r="E5810" t="s">
        <v>4124</v>
      </c>
      <c r="F5810" t="s">
        <v>4139</v>
      </c>
    </row>
    <row r="5811" spans="1:6">
      <c r="A5811" t="s">
        <v>9940</v>
      </c>
      <c r="B5811" t="s">
        <v>2210</v>
      </c>
      <c r="C5811" t="s">
        <v>36</v>
      </c>
      <c r="D5811" s="1">
        <v>45966</v>
      </c>
      <c r="E5811" t="s">
        <v>4124</v>
      </c>
      <c r="F5811" t="s">
        <v>4139</v>
      </c>
    </row>
    <row r="5812" spans="1:6">
      <c r="A5812" t="s">
        <v>9941</v>
      </c>
      <c r="B5812" t="s">
        <v>2211</v>
      </c>
      <c r="C5812" t="s">
        <v>75</v>
      </c>
      <c r="D5812" s="1">
        <v>45897</v>
      </c>
      <c r="E5812" t="s">
        <v>4127</v>
      </c>
      <c r="F5812" t="s">
        <v>4125</v>
      </c>
    </row>
    <row r="5813" spans="1:6">
      <c r="A5813" t="s">
        <v>9942</v>
      </c>
      <c r="B5813" t="s">
        <v>2211</v>
      </c>
      <c r="C5813" t="s">
        <v>75</v>
      </c>
      <c r="D5813" s="1">
        <v>45898</v>
      </c>
      <c r="E5813" t="s">
        <v>4124</v>
      </c>
      <c r="F5813" t="s">
        <v>4139</v>
      </c>
    </row>
    <row r="5814" spans="1:6">
      <c r="A5814" t="s">
        <v>9943</v>
      </c>
      <c r="B5814" t="s">
        <v>2211</v>
      </c>
      <c r="C5814" t="s">
        <v>75</v>
      </c>
      <c r="D5814" s="1">
        <v>45889</v>
      </c>
      <c r="E5814" t="s">
        <v>4135</v>
      </c>
      <c r="F5814" t="s">
        <v>4137</v>
      </c>
    </row>
    <row r="5815" spans="1:6">
      <c r="A5815" t="s">
        <v>9944</v>
      </c>
      <c r="B5815" t="s">
        <v>2211</v>
      </c>
      <c r="C5815" t="s">
        <v>75</v>
      </c>
      <c r="D5815" s="1">
        <v>45892</v>
      </c>
      <c r="E5815" t="s">
        <v>4135</v>
      </c>
      <c r="F5815" t="s">
        <v>4139</v>
      </c>
    </row>
    <row r="5816" spans="1:6">
      <c r="A5816" t="s">
        <v>9945</v>
      </c>
      <c r="B5816" t="s">
        <v>2212</v>
      </c>
      <c r="C5816" t="s">
        <v>32</v>
      </c>
      <c r="D5816" s="1">
        <v>45679</v>
      </c>
      <c r="E5816" t="s">
        <v>4127</v>
      </c>
      <c r="F5816" t="s">
        <v>4137</v>
      </c>
    </row>
    <row r="5817" spans="1:6">
      <c r="A5817" t="s">
        <v>9946</v>
      </c>
      <c r="B5817" t="s">
        <v>2212</v>
      </c>
      <c r="C5817" t="s">
        <v>32</v>
      </c>
      <c r="D5817" s="1">
        <v>45682</v>
      </c>
      <c r="E5817" t="s">
        <v>4129</v>
      </c>
      <c r="F5817" t="s">
        <v>4125</v>
      </c>
    </row>
    <row r="5818" spans="1:6">
      <c r="A5818" t="s">
        <v>9947</v>
      </c>
      <c r="B5818" t="s">
        <v>2212</v>
      </c>
      <c r="C5818" t="s">
        <v>32</v>
      </c>
      <c r="D5818" s="1">
        <v>45692</v>
      </c>
      <c r="E5818" t="s">
        <v>4135</v>
      </c>
      <c r="F5818" t="s">
        <v>4125</v>
      </c>
    </row>
    <row r="5819" spans="1:6">
      <c r="A5819" t="s">
        <v>9948</v>
      </c>
      <c r="B5819" t="s">
        <v>2212</v>
      </c>
      <c r="C5819" t="s">
        <v>32</v>
      </c>
      <c r="D5819" s="1">
        <v>45694</v>
      </c>
      <c r="E5819" t="s">
        <v>4124</v>
      </c>
      <c r="F5819" t="s">
        <v>4137</v>
      </c>
    </row>
    <row r="5820" spans="1:6">
      <c r="A5820" t="s">
        <v>9949</v>
      </c>
      <c r="B5820" t="s">
        <v>2213</v>
      </c>
      <c r="C5820" t="s">
        <v>40</v>
      </c>
      <c r="D5820" s="1">
        <v>45764</v>
      </c>
      <c r="E5820" t="s">
        <v>4127</v>
      </c>
      <c r="F5820" t="s">
        <v>4137</v>
      </c>
    </row>
    <row r="5821" spans="1:6">
      <c r="A5821" t="s">
        <v>9950</v>
      </c>
      <c r="B5821" t="s">
        <v>2213</v>
      </c>
      <c r="C5821" t="s">
        <v>40</v>
      </c>
      <c r="D5821" s="1">
        <v>45769</v>
      </c>
      <c r="E5821" t="s">
        <v>4135</v>
      </c>
      <c r="F5821" t="s">
        <v>4125</v>
      </c>
    </row>
    <row r="5822" spans="1:6">
      <c r="A5822" t="s">
        <v>9951</v>
      </c>
      <c r="B5822" t="s">
        <v>2213</v>
      </c>
      <c r="C5822" t="s">
        <v>40</v>
      </c>
      <c r="D5822" s="1">
        <v>45761</v>
      </c>
      <c r="E5822" t="s">
        <v>4127</v>
      </c>
      <c r="F5822" t="s">
        <v>4137</v>
      </c>
    </row>
    <row r="5823" spans="1:6">
      <c r="A5823" t="s">
        <v>9952</v>
      </c>
      <c r="B5823" t="s">
        <v>2213</v>
      </c>
      <c r="C5823" t="s">
        <v>40</v>
      </c>
      <c r="D5823" s="1">
        <v>45712</v>
      </c>
      <c r="E5823" t="s">
        <v>4127</v>
      </c>
      <c r="F5823" t="s">
        <v>4137</v>
      </c>
    </row>
    <row r="5824" spans="1:6">
      <c r="A5824" t="s">
        <v>9953</v>
      </c>
      <c r="B5824" t="s">
        <v>2214</v>
      </c>
      <c r="C5824" t="s">
        <v>152</v>
      </c>
      <c r="D5824" s="1">
        <v>46006</v>
      </c>
      <c r="E5824" t="s">
        <v>4127</v>
      </c>
      <c r="F5824" t="s">
        <v>4125</v>
      </c>
    </row>
    <row r="5825" spans="1:6">
      <c r="A5825" t="s">
        <v>9954</v>
      </c>
      <c r="B5825" t="s">
        <v>2214</v>
      </c>
      <c r="C5825" t="s">
        <v>152</v>
      </c>
      <c r="D5825" s="1">
        <v>46020</v>
      </c>
      <c r="E5825" t="s">
        <v>4127</v>
      </c>
      <c r="F5825" t="s">
        <v>4137</v>
      </c>
    </row>
    <row r="5826" spans="1:6">
      <c r="A5826" t="s">
        <v>9955</v>
      </c>
      <c r="B5826" t="s">
        <v>2215</v>
      </c>
      <c r="C5826" t="s">
        <v>32</v>
      </c>
      <c r="D5826" s="1">
        <v>45709</v>
      </c>
      <c r="E5826" t="s">
        <v>4129</v>
      </c>
      <c r="F5826" t="s">
        <v>4125</v>
      </c>
    </row>
    <row r="5827" spans="1:6">
      <c r="A5827" t="s">
        <v>9956</v>
      </c>
      <c r="B5827" t="s">
        <v>2215</v>
      </c>
      <c r="C5827" t="s">
        <v>32</v>
      </c>
      <c r="D5827" s="1">
        <v>45725</v>
      </c>
      <c r="E5827" t="s">
        <v>4127</v>
      </c>
      <c r="F5827" t="s">
        <v>4139</v>
      </c>
    </row>
    <row r="5828" spans="1:6">
      <c r="A5828" t="s">
        <v>9957</v>
      </c>
      <c r="B5828" t="s">
        <v>2215</v>
      </c>
      <c r="C5828" t="s">
        <v>32</v>
      </c>
      <c r="D5828" s="1">
        <v>45698</v>
      </c>
      <c r="E5828" t="s">
        <v>4127</v>
      </c>
      <c r="F5828" t="s">
        <v>4139</v>
      </c>
    </row>
    <row r="5829" spans="1:6">
      <c r="A5829" t="s">
        <v>9958</v>
      </c>
      <c r="B5829" t="s">
        <v>2215</v>
      </c>
      <c r="C5829" t="s">
        <v>32</v>
      </c>
      <c r="D5829" s="1">
        <v>45703</v>
      </c>
      <c r="E5829" t="s">
        <v>4124</v>
      </c>
      <c r="F5829" t="s">
        <v>4139</v>
      </c>
    </row>
    <row r="5830" spans="1:6">
      <c r="A5830" t="s">
        <v>9959</v>
      </c>
      <c r="B5830" t="s">
        <v>2216</v>
      </c>
      <c r="C5830" t="s">
        <v>50</v>
      </c>
      <c r="D5830" s="1">
        <v>45839</v>
      </c>
      <c r="E5830" t="s">
        <v>4133</v>
      </c>
      <c r="F5830" t="s">
        <v>4125</v>
      </c>
    </row>
    <row r="5831" spans="1:6">
      <c r="A5831" t="s">
        <v>9960</v>
      </c>
      <c r="B5831" t="s">
        <v>2216</v>
      </c>
      <c r="C5831" t="s">
        <v>50</v>
      </c>
      <c r="D5831" s="1">
        <v>45826</v>
      </c>
      <c r="E5831" t="s">
        <v>4135</v>
      </c>
      <c r="F5831" t="s">
        <v>4125</v>
      </c>
    </row>
    <row r="5832" spans="1:6">
      <c r="A5832" t="s">
        <v>9961</v>
      </c>
      <c r="B5832" t="s">
        <v>2216</v>
      </c>
      <c r="C5832" t="s">
        <v>50</v>
      </c>
      <c r="D5832" s="1">
        <v>45839</v>
      </c>
      <c r="E5832" t="s">
        <v>4124</v>
      </c>
      <c r="F5832" t="s">
        <v>4139</v>
      </c>
    </row>
    <row r="5833" spans="1:6">
      <c r="A5833" t="s">
        <v>9962</v>
      </c>
      <c r="B5833" t="s">
        <v>2217</v>
      </c>
      <c r="C5833" t="s">
        <v>168</v>
      </c>
      <c r="D5833" s="1">
        <v>45971</v>
      </c>
      <c r="E5833" t="s">
        <v>4133</v>
      </c>
      <c r="F5833" t="s">
        <v>4139</v>
      </c>
    </row>
    <row r="5834" spans="1:6">
      <c r="A5834" t="s">
        <v>9963</v>
      </c>
      <c r="B5834" t="s">
        <v>2217</v>
      </c>
      <c r="C5834" t="s">
        <v>168</v>
      </c>
      <c r="D5834" s="1">
        <v>45970</v>
      </c>
      <c r="E5834" t="s">
        <v>4133</v>
      </c>
      <c r="F5834" t="s">
        <v>4139</v>
      </c>
    </row>
    <row r="5835" spans="1:6">
      <c r="A5835" t="s">
        <v>9964</v>
      </c>
      <c r="B5835" t="s">
        <v>2217</v>
      </c>
      <c r="C5835" t="s">
        <v>168</v>
      </c>
      <c r="D5835" s="1">
        <v>45959</v>
      </c>
      <c r="E5835" t="s">
        <v>4135</v>
      </c>
      <c r="F5835" t="s">
        <v>4139</v>
      </c>
    </row>
    <row r="5836" spans="1:6">
      <c r="A5836" t="s">
        <v>9965</v>
      </c>
      <c r="B5836" t="s">
        <v>2217</v>
      </c>
      <c r="C5836" t="s">
        <v>168</v>
      </c>
      <c r="D5836" s="1">
        <v>45965</v>
      </c>
      <c r="E5836" t="s">
        <v>4127</v>
      </c>
      <c r="F5836" t="s">
        <v>4139</v>
      </c>
    </row>
    <row r="5837" spans="1:6">
      <c r="A5837" t="s">
        <v>9966</v>
      </c>
      <c r="B5837" t="s">
        <v>2218</v>
      </c>
      <c r="C5837" t="s">
        <v>22</v>
      </c>
      <c r="D5837" s="1">
        <v>45708</v>
      </c>
      <c r="E5837" t="s">
        <v>4124</v>
      </c>
      <c r="F5837" t="s">
        <v>4137</v>
      </c>
    </row>
    <row r="5838" spans="1:6">
      <c r="A5838" t="s">
        <v>9967</v>
      </c>
      <c r="B5838" t="s">
        <v>2218</v>
      </c>
      <c r="C5838" t="s">
        <v>22</v>
      </c>
      <c r="D5838" s="1">
        <v>45723</v>
      </c>
      <c r="E5838" t="s">
        <v>4129</v>
      </c>
      <c r="F5838" t="s">
        <v>4137</v>
      </c>
    </row>
    <row r="5839" spans="1:6">
      <c r="A5839" t="s">
        <v>9968</v>
      </c>
      <c r="B5839" t="s">
        <v>2219</v>
      </c>
      <c r="C5839" t="s">
        <v>50</v>
      </c>
      <c r="D5839" s="1">
        <v>46010</v>
      </c>
      <c r="E5839" t="s">
        <v>4133</v>
      </c>
      <c r="F5839" t="s">
        <v>4137</v>
      </c>
    </row>
    <row r="5840" spans="1:6">
      <c r="A5840" t="s">
        <v>9969</v>
      </c>
      <c r="B5840" t="s">
        <v>2219</v>
      </c>
      <c r="C5840" t="s">
        <v>50</v>
      </c>
      <c r="D5840" s="1">
        <v>46009</v>
      </c>
      <c r="E5840" t="s">
        <v>4135</v>
      </c>
      <c r="F5840" t="s">
        <v>4125</v>
      </c>
    </row>
    <row r="5841" spans="1:6">
      <c r="A5841" t="s">
        <v>9970</v>
      </c>
      <c r="B5841" t="s">
        <v>2219</v>
      </c>
      <c r="C5841" t="s">
        <v>50</v>
      </c>
      <c r="D5841" s="1">
        <v>46019</v>
      </c>
      <c r="E5841" t="s">
        <v>4124</v>
      </c>
      <c r="F5841" t="s">
        <v>4139</v>
      </c>
    </row>
    <row r="5842" spans="1:6">
      <c r="A5842" t="s">
        <v>9971</v>
      </c>
      <c r="B5842" t="s">
        <v>2219</v>
      </c>
      <c r="C5842" t="s">
        <v>50</v>
      </c>
      <c r="D5842" s="1">
        <v>46017</v>
      </c>
      <c r="E5842" t="s">
        <v>4133</v>
      </c>
      <c r="F5842" t="s">
        <v>4137</v>
      </c>
    </row>
    <row r="5843" spans="1:6">
      <c r="A5843" t="s">
        <v>9972</v>
      </c>
      <c r="B5843" t="s">
        <v>2220</v>
      </c>
      <c r="C5843" t="s">
        <v>56</v>
      </c>
      <c r="D5843" s="1">
        <v>45854</v>
      </c>
      <c r="E5843" t="s">
        <v>4127</v>
      </c>
      <c r="F5843" t="s">
        <v>4139</v>
      </c>
    </row>
    <row r="5844" spans="1:6">
      <c r="A5844" t="s">
        <v>9973</v>
      </c>
      <c r="B5844" t="s">
        <v>2220</v>
      </c>
      <c r="C5844" t="s">
        <v>56</v>
      </c>
      <c r="D5844" s="1">
        <v>45886</v>
      </c>
      <c r="E5844" t="s">
        <v>4127</v>
      </c>
      <c r="F5844" t="s">
        <v>4139</v>
      </c>
    </row>
    <row r="5845" spans="1:6">
      <c r="A5845" t="s">
        <v>9974</v>
      </c>
      <c r="B5845" t="s">
        <v>2220</v>
      </c>
      <c r="C5845" t="s">
        <v>56</v>
      </c>
      <c r="D5845" s="1">
        <v>45847</v>
      </c>
      <c r="E5845" t="s">
        <v>4124</v>
      </c>
      <c r="F5845" t="s">
        <v>4125</v>
      </c>
    </row>
    <row r="5846" spans="1:6">
      <c r="A5846" t="s">
        <v>9975</v>
      </c>
      <c r="B5846" t="s">
        <v>2220</v>
      </c>
      <c r="C5846" t="s">
        <v>56</v>
      </c>
      <c r="D5846" s="1">
        <v>45877</v>
      </c>
      <c r="E5846" t="s">
        <v>4129</v>
      </c>
      <c r="F5846" t="s">
        <v>4139</v>
      </c>
    </row>
    <row r="5847" spans="1:6">
      <c r="A5847" t="s">
        <v>9976</v>
      </c>
      <c r="B5847" t="s">
        <v>2221</v>
      </c>
      <c r="C5847" t="s">
        <v>59</v>
      </c>
      <c r="D5847" s="1">
        <v>46001</v>
      </c>
      <c r="E5847" t="s">
        <v>4124</v>
      </c>
      <c r="F5847" t="s">
        <v>4137</v>
      </c>
    </row>
    <row r="5848" spans="1:6">
      <c r="A5848" t="s">
        <v>9977</v>
      </c>
      <c r="B5848" t="s">
        <v>2221</v>
      </c>
      <c r="C5848" t="s">
        <v>59</v>
      </c>
      <c r="D5848" s="1">
        <v>45999</v>
      </c>
      <c r="E5848" t="s">
        <v>4127</v>
      </c>
      <c r="F5848" t="s">
        <v>4139</v>
      </c>
    </row>
    <row r="5849" spans="1:6">
      <c r="A5849" t="s">
        <v>9978</v>
      </c>
      <c r="B5849" t="s">
        <v>2221</v>
      </c>
      <c r="C5849" t="s">
        <v>59</v>
      </c>
      <c r="D5849" s="1">
        <v>45991</v>
      </c>
      <c r="E5849" t="s">
        <v>4135</v>
      </c>
      <c r="F5849" t="s">
        <v>4139</v>
      </c>
    </row>
    <row r="5850" spans="1:6">
      <c r="A5850" t="s">
        <v>9979</v>
      </c>
      <c r="B5850" t="s">
        <v>2221</v>
      </c>
      <c r="C5850" t="s">
        <v>59</v>
      </c>
      <c r="D5850" s="1">
        <v>45994</v>
      </c>
      <c r="E5850" t="s">
        <v>4124</v>
      </c>
      <c r="F5850" t="s">
        <v>4125</v>
      </c>
    </row>
    <row r="5851" spans="1:6">
      <c r="A5851" t="s">
        <v>9980</v>
      </c>
      <c r="B5851" t="s">
        <v>2222</v>
      </c>
      <c r="C5851" t="s">
        <v>40</v>
      </c>
      <c r="D5851" s="1">
        <v>45919</v>
      </c>
      <c r="E5851" t="s">
        <v>4127</v>
      </c>
      <c r="F5851" t="s">
        <v>4125</v>
      </c>
    </row>
    <row r="5852" spans="1:6">
      <c r="A5852" t="s">
        <v>9981</v>
      </c>
      <c r="B5852" t="s">
        <v>2222</v>
      </c>
      <c r="C5852" t="s">
        <v>40</v>
      </c>
      <c r="D5852" s="1">
        <v>45925</v>
      </c>
      <c r="E5852" t="s">
        <v>4135</v>
      </c>
      <c r="F5852" t="s">
        <v>4125</v>
      </c>
    </row>
    <row r="5853" spans="1:6">
      <c r="A5853" t="s">
        <v>9982</v>
      </c>
      <c r="B5853" t="s">
        <v>2223</v>
      </c>
      <c r="C5853" t="s">
        <v>78</v>
      </c>
      <c r="D5853" s="1">
        <v>45817</v>
      </c>
      <c r="E5853" t="s">
        <v>4127</v>
      </c>
      <c r="F5853" t="s">
        <v>4125</v>
      </c>
    </row>
    <row r="5854" spans="1:6">
      <c r="A5854" t="s">
        <v>9983</v>
      </c>
      <c r="B5854" t="s">
        <v>2223</v>
      </c>
      <c r="C5854" t="s">
        <v>78</v>
      </c>
      <c r="D5854" s="1">
        <v>45804</v>
      </c>
      <c r="E5854" t="s">
        <v>4129</v>
      </c>
      <c r="F5854" t="s">
        <v>4137</v>
      </c>
    </row>
    <row r="5855" spans="1:6">
      <c r="A5855" t="s">
        <v>9984</v>
      </c>
      <c r="B5855" t="s">
        <v>2223</v>
      </c>
      <c r="C5855" t="s">
        <v>78</v>
      </c>
      <c r="D5855" s="1">
        <v>45808</v>
      </c>
      <c r="E5855" t="s">
        <v>4135</v>
      </c>
      <c r="F5855" t="s">
        <v>4125</v>
      </c>
    </row>
    <row r="5856" spans="1:6">
      <c r="A5856" t="s">
        <v>9985</v>
      </c>
      <c r="B5856" t="s">
        <v>2223</v>
      </c>
      <c r="C5856" t="s">
        <v>78</v>
      </c>
      <c r="D5856" s="1">
        <v>45808</v>
      </c>
      <c r="E5856" t="s">
        <v>4129</v>
      </c>
      <c r="F5856" t="s">
        <v>4139</v>
      </c>
    </row>
    <row r="5857" spans="1:6">
      <c r="A5857" t="s">
        <v>9986</v>
      </c>
      <c r="B5857" t="s">
        <v>2223</v>
      </c>
      <c r="C5857" t="s">
        <v>78</v>
      </c>
      <c r="D5857" s="1">
        <v>45826</v>
      </c>
      <c r="E5857" t="s">
        <v>4135</v>
      </c>
      <c r="F5857" t="s">
        <v>4137</v>
      </c>
    </row>
    <row r="5858" spans="1:6">
      <c r="A5858" t="s">
        <v>9987</v>
      </c>
      <c r="B5858" t="s">
        <v>2224</v>
      </c>
      <c r="C5858" t="s">
        <v>40</v>
      </c>
      <c r="D5858" s="1">
        <v>45966</v>
      </c>
      <c r="E5858" t="s">
        <v>4135</v>
      </c>
      <c r="F5858" t="s">
        <v>4139</v>
      </c>
    </row>
    <row r="5859" spans="1:6">
      <c r="A5859" t="s">
        <v>9988</v>
      </c>
      <c r="B5859" t="s">
        <v>2224</v>
      </c>
      <c r="C5859" t="s">
        <v>40</v>
      </c>
      <c r="D5859" s="1">
        <v>45961</v>
      </c>
      <c r="E5859" t="s">
        <v>4127</v>
      </c>
      <c r="F5859" t="s">
        <v>4137</v>
      </c>
    </row>
    <row r="5860" spans="1:6">
      <c r="A5860" t="s">
        <v>9989</v>
      </c>
      <c r="B5860" t="s">
        <v>2224</v>
      </c>
      <c r="C5860" t="s">
        <v>40</v>
      </c>
      <c r="D5860" s="1">
        <v>45956</v>
      </c>
      <c r="E5860" t="s">
        <v>4133</v>
      </c>
      <c r="F5860" t="s">
        <v>4125</v>
      </c>
    </row>
    <row r="5861" spans="1:6">
      <c r="A5861" t="s">
        <v>9990</v>
      </c>
      <c r="B5861" t="s">
        <v>2225</v>
      </c>
      <c r="C5861" t="s">
        <v>27</v>
      </c>
      <c r="D5861" s="1">
        <v>45720</v>
      </c>
      <c r="E5861" t="s">
        <v>4135</v>
      </c>
      <c r="F5861" t="s">
        <v>4139</v>
      </c>
    </row>
    <row r="5862" spans="1:6">
      <c r="A5862" t="s">
        <v>9991</v>
      </c>
      <c r="B5862" t="s">
        <v>2225</v>
      </c>
      <c r="C5862" t="s">
        <v>27</v>
      </c>
      <c r="D5862" s="1">
        <v>45754</v>
      </c>
      <c r="E5862" t="s">
        <v>4129</v>
      </c>
      <c r="F5862" t="s">
        <v>4137</v>
      </c>
    </row>
    <row r="5863" spans="1:6">
      <c r="A5863" t="s">
        <v>9992</v>
      </c>
      <c r="B5863" t="s">
        <v>2225</v>
      </c>
      <c r="C5863" t="s">
        <v>27</v>
      </c>
      <c r="D5863" s="1">
        <v>45760</v>
      </c>
      <c r="E5863" t="s">
        <v>4135</v>
      </c>
      <c r="F5863" t="s">
        <v>4137</v>
      </c>
    </row>
    <row r="5864" spans="1:6">
      <c r="A5864" t="s">
        <v>9993</v>
      </c>
      <c r="B5864" t="s">
        <v>2225</v>
      </c>
      <c r="C5864" t="s">
        <v>27</v>
      </c>
      <c r="D5864" s="1">
        <v>45743</v>
      </c>
      <c r="E5864" t="s">
        <v>4129</v>
      </c>
      <c r="F5864" t="s">
        <v>4137</v>
      </c>
    </row>
    <row r="5865" spans="1:6">
      <c r="A5865" t="s">
        <v>9994</v>
      </c>
      <c r="B5865" t="s">
        <v>2225</v>
      </c>
      <c r="C5865" t="s">
        <v>27</v>
      </c>
      <c r="D5865" s="1">
        <v>45721</v>
      </c>
      <c r="E5865" t="s">
        <v>4135</v>
      </c>
      <c r="F5865" t="s">
        <v>4137</v>
      </c>
    </row>
    <row r="5866" spans="1:6">
      <c r="A5866" t="s">
        <v>9995</v>
      </c>
      <c r="B5866" t="s">
        <v>2226</v>
      </c>
      <c r="C5866" t="s">
        <v>78</v>
      </c>
      <c r="D5866" s="1">
        <v>45733</v>
      </c>
      <c r="E5866" t="s">
        <v>4133</v>
      </c>
      <c r="F5866" t="s">
        <v>4139</v>
      </c>
    </row>
    <row r="5867" spans="1:6">
      <c r="A5867" t="s">
        <v>9996</v>
      </c>
      <c r="B5867" t="s">
        <v>2226</v>
      </c>
      <c r="C5867" t="s">
        <v>78</v>
      </c>
      <c r="D5867" s="1">
        <v>45718</v>
      </c>
      <c r="E5867" t="s">
        <v>4133</v>
      </c>
      <c r="F5867" t="s">
        <v>4137</v>
      </c>
    </row>
    <row r="5868" spans="1:6">
      <c r="A5868" t="s">
        <v>9997</v>
      </c>
      <c r="B5868" t="s">
        <v>2226</v>
      </c>
      <c r="C5868" t="s">
        <v>78</v>
      </c>
      <c r="D5868" s="1">
        <v>45735</v>
      </c>
      <c r="E5868" t="s">
        <v>4127</v>
      </c>
      <c r="F5868" t="s">
        <v>4125</v>
      </c>
    </row>
    <row r="5869" spans="1:6">
      <c r="A5869" t="s">
        <v>9998</v>
      </c>
      <c r="B5869" t="s">
        <v>2227</v>
      </c>
      <c r="C5869" t="s">
        <v>50</v>
      </c>
      <c r="D5869" s="1">
        <v>45937</v>
      </c>
      <c r="E5869" t="s">
        <v>4124</v>
      </c>
      <c r="F5869" t="s">
        <v>4137</v>
      </c>
    </row>
    <row r="5870" spans="1:6">
      <c r="A5870" t="s">
        <v>9999</v>
      </c>
      <c r="B5870" t="s">
        <v>2227</v>
      </c>
      <c r="C5870" t="s">
        <v>50</v>
      </c>
      <c r="D5870" s="1">
        <v>45939</v>
      </c>
      <c r="E5870" t="s">
        <v>4127</v>
      </c>
      <c r="F5870" t="s">
        <v>4139</v>
      </c>
    </row>
    <row r="5871" spans="1:6">
      <c r="A5871" t="s">
        <v>10000</v>
      </c>
      <c r="B5871" t="s">
        <v>2227</v>
      </c>
      <c r="C5871" t="s">
        <v>50</v>
      </c>
      <c r="D5871" s="1">
        <v>45930</v>
      </c>
      <c r="E5871" t="s">
        <v>4133</v>
      </c>
      <c r="F5871" t="s">
        <v>4125</v>
      </c>
    </row>
    <row r="5872" spans="1:6">
      <c r="A5872" t="s">
        <v>10001</v>
      </c>
      <c r="B5872" t="s">
        <v>2227</v>
      </c>
      <c r="C5872" t="s">
        <v>50</v>
      </c>
      <c r="D5872" s="1">
        <v>45928</v>
      </c>
      <c r="E5872" t="s">
        <v>4129</v>
      </c>
      <c r="F5872" t="s">
        <v>4125</v>
      </c>
    </row>
    <row r="5873" spans="1:6">
      <c r="A5873" t="s">
        <v>10002</v>
      </c>
      <c r="B5873" t="s">
        <v>2227</v>
      </c>
      <c r="C5873" t="s">
        <v>50</v>
      </c>
      <c r="D5873" s="1">
        <v>45927</v>
      </c>
      <c r="E5873" t="s">
        <v>4129</v>
      </c>
      <c r="F5873" t="s">
        <v>4139</v>
      </c>
    </row>
    <row r="5874" spans="1:6">
      <c r="A5874" t="s">
        <v>10003</v>
      </c>
      <c r="B5874" t="s">
        <v>2228</v>
      </c>
      <c r="C5874" t="s">
        <v>126</v>
      </c>
      <c r="D5874" s="1">
        <v>45785</v>
      </c>
      <c r="E5874" t="s">
        <v>4124</v>
      </c>
      <c r="F5874" t="s">
        <v>4125</v>
      </c>
    </row>
    <row r="5875" spans="1:6">
      <c r="A5875" t="s">
        <v>10004</v>
      </c>
      <c r="B5875" t="s">
        <v>2228</v>
      </c>
      <c r="C5875" t="s">
        <v>126</v>
      </c>
      <c r="D5875" s="1">
        <v>45807</v>
      </c>
      <c r="E5875" t="s">
        <v>4124</v>
      </c>
      <c r="F5875" t="s">
        <v>4139</v>
      </c>
    </row>
    <row r="5876" spans="1:6">
      <c r="A5876" t="s">
        <v>10005</v>
      </c>
      <c r="B5876" t="s">
        <v>2228</v>
      </c>
      <c r="C5876" t="s">
        <v>126</v>
      </c>
      <c r="D5876" s="1">
        <v>45794</v>
      </c>
      <c r="E5876" t="s">
        <v>4133</v>
      </c>
      <c r="F5876" t="s">
        <v>4137</v>
      </c>
    </row>
    <row r="5877" spans="1:6">
      <c r="A5877" t="s">
        <v>10006</v>
      </c>
      <c r="B5877" t="s">
        <v>2229</v>
      </c>
      <c r="C5877" t="s">
        <v>168</v>
      </c>
      <c r="D5877" s="1">
        <v>46015</v>
      </c>
      <c r="E5877" t="s">
        <v>4133</v>
      </c>
      <c r="F5877" t="s">
        <v>4137</v>
      </c>
    </row>
    <row r="5878" spans="1:6">
      <c r="A5878" t="s">
        <v>10007</v>
      </c>
      <c r="B5878" t="s">
        <v>2229</v>
      </c>
      <c r="C5878" t="s">
        <v>168</v>
      </c>
      <c r="D5878" s="1">
        <v>46011</v>
      </c>
      <c r="E5878" t="s">
        <v>4133</v>
      </c>
      <c r="F5878" t="s">
        <v>4139</v>
      </c>
    </row>
    <row r="5879" spans="1:6">
      <c r="A5879" t="s">
        <v>10008</v>
      </c>
      <c r="B5879" t="s">
        <v>2229</v>
      </c>
      <c r="C5879" t="s">
        <v>168</v>
      </c>
      <c r="D5879" s="1">
        <v>46022</v>
      </c>
      <c r="E5879" t="s">
        <v>4135</v>
      </c>
      <c r="F5879" t="s">
        <v>4139</v>
      </c>
    </row>
    <row r="5880" spans="1:6">
      <c r="A5880" t="s">
        <v>10009</v>
      </c>
      <c r="B5880" t="s">
        <v>2229</v>
      </c>
      <c r="C5880" t="s">
        <v>168</v>
      </c>
      <c r="D5880" s="1">
        <v>46011</v>
      </c>
      <c r="E5880" t="s">
        <v>4135</v>
      </c>
      <c r="F5880" t="s">
        <v>4137</v>
      </c>
    </row>
    <row r="5881" spans="1:6">
      <c r="A5881" t="s">
        <v>10010</v>
      </c>
      <c r="B5881" t="s">
        <v>2229</v>
      </c>
      <c r="C5881" t="s">
        <v>168</v>
      </c>
      <c r="D5881" s="1">
        <v>46015</v>
      </c>
      <c r="E5881" t="s">
        <v>4129</v>
      </c>
      <c r="F5881" t="s">
        <v>4137</v>
      </c>
    </row>
    <row r="5882" spans="1:6">
      <c r="A5882" t="s">
        <v>10011</v>
      </c>
      <c r="B5882" t="s">
        <v>2230</v>
      </c>
      <c r="C5882" t="s">
        <v>32</v>
      </c>
      <c r="D5882" s="1">
        <v>45760</v>
      </c>
      <c r="E5882" t="s">
        <v>4124</v>
      </c>
      <c r="F5882" t="s">
        <v>4137</v>
      </c>
    </row>
    <row r="5883" spans="1:6">
      <c r="A5883" t="s">
        <v>10012</v>
      </c>
      <c r="B5883" t="s">
        <v>2230</v>
      </c>
      <c r="C5883" t="s">
        <v>32</v>
      </c>
      <c r="D5883" s="1">
        <v>45716</v>
      </c>
      <c r="E5883" t="s">
        <v>4127</v>
      </c>
      <c r="F5883" t="s">
        <v>4125</v>
      </c>
    </row>
    <row r="5884" spans="1:6">
      <c r="A5884" t="s">
        <v>10013</v>
      </c>
      <c r="B5884" t="s">
        <v>2231</v>
      </c>
      <c r="C5884" t="s">
        <v>22</v>
      </c>
      <c r="D5884" s="1">
        <v>45788</v>
      </c>
      <c r="E5884" t="s">
        <v>4135</v>
      </c>
      <c r="F5884" t="s">
        <v>4125</v>
      </c>
    </row>
    <row r="5885" spans="1:6">
      <c r="A5885" t="s">
        <v>10014</v>
      </c>
      <c r="B5885" t="s">
        <v>2231</v>
      </c>
      <c r="C5885" t="s">
        <v>22</v>
      </c>
      <c r="D5885" s="1">
        <v>45766</v>
      </c>
      <c r="E5885" t="s">
        <v>4129</v>
      </c>
      <c r="F5885" t="s">
        <v>4125</v>
      </c>
    </row>
    <row r="5886" spans="1:6">
      <c r="A5886" t="s">
        <v>10015</v>
      </c>
      <c r="B5886" t="s">
        <v>2232</v>
      </c>
      <c r="C5886" t="s">
        <v>27</v>
      </c>
      <c r="D5886" s="1">
        <v>45826</v>
      </c>
      <c r="E5886" t="s">
        <v>4124</v>
      </c>
      <c r="F5886" t="s">
        <v>4137</v>
      </c>
    </row>
    <row r="5887" spans="1:6">
      <c r="A5887" t="s">
        <v>10016</v>
      </c>
      <c r="B5887" t="s">
        <v>2232</v>
      </c>
      <c r="C5887" t="s">
        <v>27</v>
      </c>
      <c r="D5887" s="1">
        <v>45878</v>
      </c>
      <c r="E5887" t="s">
        <v>4133</v>
      </c>
      <c r="F5887" t="s">
        <v>4139</v>
      </c>
    </row>
    <row r="5888" spans="1:6">
      <c r="A5888" t="s">
        <v>10017</v>
      </c>
      <c r="B5888" t="s">
        <v>2232</v>
      </c>
      <c r="C5888" t="s">
        <v>27</v>
      </c>
      <c r="D5888" s="1">
        <v>45863</v>
      </c>
      <c r="E5888" t="s">
        <v>4129</v>
      </c>
      <c r="F5888" t="s">
        <v>4125</v>
      </c>
    </row>
    <row r="5889" spans="1:6">
      <c r="A5889" t="s">
        <v>10018</v>
      </c>
      <c r="B5889" t="s">
        <v>2233</v>
      </c>
      <c r="C5889" t="s">
        <v>56</v>
      </c>
      <c r="D5889" s="1">
        <v>45868</v>
      </c>
      <c r="E5889" t="s">
        <v>4133</v>
      </c>
      <c r="F5889" t="s">
        <v>4137</v>
      </c>
    </row>
    <row r="5890" spans="1:6">
      <c r="A5890" t="s">
        <v>10019</v>
      </c>
      <c r="B5890" t="s">
        <v>2233</v>
      </c>
      <c r="C5890" t="s">
        <v>56</v>
      </c>
      <c r="D5890" s="1">
        <v>45874</v>
      </c>
      <c r="E5890" t="s">
        <v>4127</v>
      </c>
      <c r="F5890" t="s">
        <v>4125</v>
      </c>
    </row>
    <row r="5891" spans="1:6">
      <c r="A5891" t="s">
        <v>10020</v>
      </c>
      <c r="B5891" t="s">
        <v>2233</v>
      </c>
      <c r="C5891" t="s">
        <v>56</v>
      </c>
      <c r="D5891" s="1">
        <v>45862</v>
      </c>
      <c r="E5891" t="s">
        <v>4133</v>
      </c>
      <c r="F5891" t="s">
        <v>4125</v>
      </c>
    </row>
    <row r="5892" spans="1:6">
      <c r="A5892" t="s">
        <v>10021</v>
      </c>
      <c r="B5892" t="s">
        <v>2233</v>
      </c>
      <c r="C5892" t="s">
        <v>56</v>
      </c>
      <c r="D5892" s="1">
        <v>45924</v>
      </c>
      <c r="E5892" t="s">
        <v>4133</v>
      </c>
      <c r="F5892" t="s">
        <v>4137</v>
      </c>
    </row>
    <row r="5893" spans="1:6">
      <c r="A5893" t="s">
        <v>10022</v>
      </c>
      <c r="B5893" t="s">
        <v>2233</v>
      </c>
      <c r="C5893" t="s">
        <v>56</v>
      </c>
      <c r="D5893" s="1">
        <v>45944</v>
      </c>
      <c r="E5893" t="s">
        <v>4133</v>
      </c>
      <c r="F5893" t="s">
        <v>4125</v>
      </c>
    </row>
    <row r="5894" spans="1:6">
      <c r="A5894" t="s">
        <v>10023</v>
      </c>
      <c r="B5894" t="s">
        <v>2234</v>
      </c>
      <c r="C5894" t="s">
        <v>168</v>
      </c>
      <c r="D5894" s="1">
        <v>45769</v>
      </c>
      <c r="E5894" t="s">
        <v>4127</v>
      </c>
      <c r="F5894" t="s">
        <v>4125</v>
      </c>
    </row>
    <row r="5895" spans="1:6">
      <c r="A5895" t="s">
        <v>10024</v>
      </c>
      <c r="B5895" t="s">
        <v>2234</v>
      </c>
      <c r="C5895" t="s">
        <v>168</v>
      </c>
      <c r="D5895" s="1">
        <v>45785</v>
      </c>
      <c r="E5895" t="s">
        <v>4129</v>
      </c>
      <c r="F5895" t="s">
        <v>4125</v>
      </c>
    </row>
    <row r="5896" spans="1:6">
      <c r="A5896" t="s">
        <v>10025</v>
      </c>
      <c r="B5896" t="s">
        <v>2234</v>
      </c>
      <c r="C5896" t="s">
        <v>168</v>
      </c>
      <c r="D5896" s="1">
        <v>45763</v>
      </c>
      <c r="E5896" t="s">
        <v>4129</v>
      </c>
      <c r="F5896" t="s">
        <v>4125</v>
      </c>
    </row>
    <row r="5897" spans="1:6">
      <c r="A5897" t="s">
        <v>10026</v>
      </c>
      <c r="B5897" t="s">
        <v>2234</v>
      </c>
      <c r="C5897" t="s">
        <v>168</v>
      </c>
      <c r="D5897" s="1">
        <v>45761</v>
      </c>
      <c r="E5897" t="s">
        <v>4135</v>
      </c>
      <c r="F5897" t="s">
        <v>4137</v>
      </c>
    </row>
    <row r="5898" spans="1:6">
      <c r="A5898" t="s">
        <v>10027</v>
      </c>
      <c r="B5898" t="s">
        <v>2234</v>
      </c>
      <c r="C5898" t="s">
        <v>168</v>
      </c>
      <c r="D5898" s="1">
        <v>45772</v>
      </c>
      <c r="E5898" t="s">
        <v>4129</v>
      </c>
      <c r="F5898" t="s">
        <v>4125</v>
      </c>
    </row>
    <row r="5899" spans="1:6">
      <c r="A5899" t="s">
        <v>10028</v>
      </c>
      <c r="B5899" t="s">
        <v>2235</v>
      </c>
      <c r="C5899" t="s">
        <v>32</v>
      </c>
      <c r="D5899" s="1">
        <v>45800</v>
      </c>
      <c r="E5899" t="s">
        <v>4127</v>
      </c>
      <c r="F5899" t="s">
        <v>4137</v>
      </c>
    </row>
    <row r="5900" spans="1:6">
      <c r="A5900" t="s">
        <v>10029</v>
      </c>
      <c r="B5900" t="s">
        <v>2235</v>
      </c>
      <c r="C5900" t="s">
        <v>32</v>
      </c>
      <c r="D5900" s="1">
        <v>45773</v>
      </c>
      <c r="E5900" t="s">
        <v>4133</v>
      </c>
      <c r="F5900" t="s">
        <v>4139</v>
      </c>
    </row>
    <row r="5901" spans="1:6">
      <c r="A5901" t="s">
        <v>10030</v>
      </c>
      <c r="B5901" t="s">
        <v>2235</v>
      </c>
      <c r="C5901" t="s">
        <v>32</v>
      </c>
      <c r="D5901" s="1">
        <v>45792</v>
      </c>
      <c r="E5901" t="s">
        <v>4133</v>
      </c>
      <c r="F5901" t="s">
        <v>4125</v>
      </c>
    </row>
    <row r="5902" spans="1:6">
      <c r="A5902" t="s">
        <v>10031</v>
      </c>
      <c r="B5902" t="s">
        <v>2235</v>
      </c>
      <c r="C5902" t="s">
        <v>32</v>
      </c>
      <c r="D5902" s="1">
        <v>45779</v>
      </c>
      <c r="E5902" t="s">
        <v>4133</v>
      </c>
      <c r="F5902" t="s">
        <v>4139</v>
      </c>
    </row>
    <row r="5903" spans="1:6">
      <c r="A5903" t="s">
        <v>10032</v>
      </c>
      <c r="B5903" t="s">
        <v>2236</v>
      </c>
      <c r="C5903" t="s">
        <v>63</v>
      </c>
      <c r="D5903" s="1">
        <v>45754</v>
      </c>
      <c r="E5903" t="s">
        <v>4124</v>
      </c>
      <c r="F5903" t="s">
        <v>4125</v>
      </c>
    </row>
    <row r="5904" spans="1:6">
      <c r="A5904" t="s">
        <v>10033</v>
      </c>
      <c r="B5904" t="s">
        <v>2236</v>
      </c>
      <c r="C5904" t="s">
        <v>63</v>
      </c>
      <c r="D5904" s="1">
        <v>45754</v>
      </c>
      <c r="E5904" t="s">
        <v>4135</v>
      </c>
      <c r="F5904" t="s">
        <v>4139</v>
      </c>
    </row>
    <row r="5905" spans="1:6">
      <c r="A5905" t="s">
        <v>10034</v>
      </c>
      <c r="B5905" t="s">
        <v>2236</v>
      </c>
      <c r="C5905" t="s">
        <v>63</v>
      </c>
      <c r="D5905" s="1">
        <v>45776</v>
      </c>
      <c r="E5905" t="s">
        <v>4133</v>
      </c>
      <c r="F5905" t="s">
        <v>4139</v>
      </c>
    </row>
    <row r="5906" spans="1:6">
      <c r="A5906" t="s">
        <v>10035</v>
      </c>
      <c r="B5906" t="s">
        <v>2236</v>
      </c>
      <c r="C5906" t="s">
        <v>63</v>
      </c>
      <c r="D5906" s="1">
        <v>45758</v>
      </c>
      <c r="E5906" t="s">
        <v>4135</v>
      </c>
      <c r="F5906" t="s">
        <v>4137</v>
      </c>
    </row>
    <row r="5907" spans="1:6">
      <c r="A5907" t="s">
        <v>10036</v>
      </c>
      <c r="B5907" t="s">
        <v>2236</v>
      </c>
      <c r="C5907" t="s">
        <v>63</v>
      </c>
      <c r="D5907" s="1">
        <v>45758</v>
      </c>
      <c r="E5907" t="s">
        <v>4124</v>
      </c>
      <c r="F5907" t="s">
        <v>4137</v>
      </c>
    </row>
    <row r="5908" spans="1:6">
      <c r="A5908" t="s">
        <v>10037</v>
      </c>
      <c r="B5908" t="s">
        <v>2237</v>
      </c>
      <c r="C5908" t="s">
        <v>36</v>
      </c>
      <c r="D5908" s="1">
        <v>45879</v>
      </c>
      <c r="E5908" t="s">
        <v>4124</v>
      </c>
      <c r="F5908" t="s">
        <v>4139</v>
      </c>
    </row>
    <row r="5909" spans="1:6">
      <c r="A5909" t="s">
        <v>10038</v>
      </c>
      <c r="B5909" t="s">
        <v>2237</v>
      </c>
      <c r="C5909" t="s">
        <v>36</v>
      </c>
      <c r="D5909" s="1">
        <v>45904</v>
      </c>
      <c r="E5909" t="s">
        <v>4133</v>
      </c>
      <c r="F5909" t="s">
        <v>4139</v>
      </c>
    </row>
    <row r="5910" spans="1:6">
      <c r="A5910" t="s">
        <v>10039</v>
      </c>
      <c r="B5910" t="s">
        <v>2237</v>
      </c>
      <c r="C5910" t="s">
        <v>36</v>
      </c>
      <c r="D5910" s="1">
        <v>45875</v>
      </c>
      <c r="E5910" t="s">
        <v>4124</v>
      </c>
      <c r="F5910" t="s">
        <v>4139</v>
      </c>
    </row>
    <row r="5911" spans="1:6">
      <c r="A5911" t="s">
        <v>10040</v>
      </c>
      <c r="B5911" t="s">
        <v>2237</v>
      </c>
      <c r="C5911" t="s">
        <v>36</v>
      </c>
      <c r="D5911" s="1">
        <v>45879</v>
      </c>
      <c r="E5911" t="s">
        <v>4124</v>
      </c>
      <c r="F5911" t="s">
        <v>4137</v>
      </c>
    </row>
    <row r="5912" spans="1:6">
      <c r="A5912" t="s">
        <v>10041</v>
      </c>
      <c r="B5912" t="s">
        <v>2238</v>
      </c>
      <c r="C5912" t="s">
        <v>56</v>
      </c>
      <c r="D5912" s="1">
        <v>45884</v>
      </c>
      <c r="E5912" t="s">
        <v>4129</v>
      </c>
      <c r="F5912" t="s">
        <v>4139</v>
      </c>
    </row>
    <row r="5913" spans="1:6">
      <c r="A5913" t="s">
        <v>10042</v>
      </c>
      <c r="B5913" t="s">
        <v>2238</v>
      </c>
      <c r="C5913" t="s">
        <v>56</v>
      </c>
      <c r="D5913" s="1">
        <v>45885</v>
      </c>
      <c r="E5913" t="s">
        <v>4127</v>
      </c>
      <c r="F5913" t="s">
        <v>4137</v>
      </c>
    </row>
    <row r="5914" spans="1:6">
      <c r="A5914" t="s">
        <v>10043</v>
      </c>
      <c r="B5914" t="s">
        <v>2238</v>
      </c>
      <c r="C5914" t="s">
        <v>56</v>
      </c>
      <c r="D5914" s="1">
        <v>45885</v>
      </c>
      <c r="E5914" t="s">
        <v>4127</v>
      </c>
      <c r="F5914" t="s">
        <v>4137</v>
      </c>
    </row>
    <row r="5915" spans="1:6">
      <c r="A5915" t="s">
        <v>10044</v>
      </c>
      <c r="B5915" t="s">
        <v>2238</v>
      </c>
      <c r="C5915" t="s">
        <v>56</v>
      </c>
      <c r="D5915" s="1">
        <v>45886</v>
      </c>
      <c r="E5915" t="s">
        <v>4129</v>
      </c>
      <c r="F5915" t="s">
        <v>4139</v>
      </c>
    </row>
    <row r="5916" spans="1:6">
      <c r="A5916" t="s">
        <v>10045</v>
      </c>
      <c r="B5916" t="s">
        <v>2239</v>
      </c>
      <c r="C5916" t="s">
        <v>75</v>
      </c>
      <c r="D5916" s="1">
        <v>46017</v>
      </c>
      <c r="E5916" t="s">
        <v>4127</v>
      </c>
      <c r="F5916" t="s">
        <v>4137</v>
      </c>
    </row>
    <row r="5917" spans="1:6">
      <c r="A5917" t="s">
        <v>10046</v>
      </c>
      <c r="B5917" t="s">
        <v>2239</v>
      </c>
      <c r="C5917" t="s">
        <v>75</v>
      </c>
      <c r="D5917" s="1">
        <v>46017</v>
      </c>
      <c r="E5917" t="s">
        <v>4135</v>
      </c>
      <c r="F5917" t="s">
        <v>4137</v>
      </c>
    </row>
    <row r="5918" spans="1:6">
      <c r="A5918" t="s">
        <v>10047</v>
      </c>
      <c r="B5918" t="s">
        <v>2240</v>
      </c>
      <c r="C5918" t="s">
        <v>63</v>
      </c>
      <c r="D5918" s="1">
        <v>45975</v>
      </c>
      <c r="E5918" t="s">
        <v>4127</v>
      </c>
      <c r="F5918" t="s">
        <v>4137</v>
      </c>
    </row>
    <row r="5919" spans="1:6">
      <c r="A5919" t="s">
        <v>10048</v>
      </c>
      <c r="B5919" t="s">
        <v>2240</v>
      </c>
      <c r="C5919" t="s">
        <v>63</v>
      </c>
      <c r="D5919" s="1">
        <v>45971</v>
      </c>
      <c r="E5919" t="s">
        <v>4124</v>
      </c>
      <c r="F5919" t="s">
        <v>4125</v>
      </c>
    </row>
    <row r="5920" spans="1:6">
      <c r="A5920" t="s">
        <v>10049</v>
      </c>
      <c r="B5920" t="s">
        <v>2240</v>
      </c>
      <c r="C5920" t="s">
        <v>63</v>
      </c>
      <c r="D5920" s="1">
        <v>45972</v>
      </c>
      <c r="E5920" t="s">
        <v>4124</v>
      </c>
      <c r="F5920" t="s">
        <v>4125</v>
      </c>
    </row>
    <row r="5921" spans="1:6">
      <c r="A5921" t="s">
        <v>10050</v>
      </c>
      <c r="B5921" t="s">
        <v>2240</v>
      </c>
      <c r="C5921" t="s">
        <v>63</v>
      </c>
      <c r="D5921" s="1">
        <v>45973</v>
      </c>
      <c r="E5921" t="s">
        <v>4135</v>
      </c>
      <c r="F5921" t="s">
        <v>4137</v>
      </c>
    </row>
    <row r="5922" spans="1:6">
      <c r="A5922" t="s">
        <v>10051</v>
      </c>
      <c r="B5922" t="s">
        <v>2241</v>
      </c>
      <c r="C5922" t="s">
        <v>40</v>
      </c>
      <c r="D5922" s="1">
        <v>45697</v>
      </c>
      <c r="E5922" t="s">
        <v>4124</v>
      </c>
      <c r="F5922" t="s">
        <v>4139</v>
      </c>
    </row>
    <row r="5923" spans="1:6">
      <c r="A5923" t="s">
        <v>10052</v>
      </c>
      <c r="B5923" t="s">
        <v>2241</v>
      </c>
      <c r="C5923" t="s">
        <v>40</v>
      </c>
      <c r="D5923" s="1">
        <v>45671</v>
      </c>
      <c r="E5923" t="s">
        <v>4135</v>
      </c>
      <c r="F5923" t="s">
        <v>4139</v>
      </c>
    </row>
    <row r="5924" spans="1:6">
      <c r="A5924" t="s">
        <v>10053</v>
      </c>
      <c r="B5924" t="s">
        <v>2241</v>
      </c>
      <c r="C5924" t="s">
        <v>40</v>
      </c>
      <c r="D5924" s="1">
        <v>45676</v>
      </c>
      <c r="E5924" t="s">
        <v>4133</v>
      </c>
      <c r="F5924" t="s">
        <v>4125</v>
      </c>
    </row>
    <row r="5925" spans="1:6">
      <c r="A5925" t="s">
        <v>10054</v>
      </c>
      <c r="B5925" t="s">
        <v>2241</v>
      </c>
      <c r="C5925" t="s">
        <v>40</v>
      </c>
      <c r="D5925" s="1">
        <v>45697</v>
      </c>
      <c r="E5925" t="s">
        <v>4135</v>
      </c>
      <c r="F5925" t="s">
        <v>4139</v>
      </c>
    </row>
    <row r="5926" spans="1:6">
      <c r="A5926" t="s">
        <v>10055</v>
      </c>
      <c r="B5926" t="s">
        <v>2242</v>
      </c>
      <c r="C5926" t="s">
        <v>168</v>
      </c>
      <c r="D5926" s="1">
        <v>45951</v>
      </c>
      <c r="E5926" t="s">
        <v>4124</v>
      </c>
      <c r="F5926" t="s">
        <v>4125</v>
      </c>
    </row>
    <row r="5927" spans="1:6">
      <c r="A5927" t="s">
        <v>10056</v>
      </c>
      <c r="B5927" t="s">
        <v>2242</v>
      </c>
      <c r="C5927" t="s">
        <v>168</v>
      </c>
      <c r="D5927" s="1">
        <v>45954</v>
      </c>
      <c r="E5927" t="s">
        <v>4129</v>
      </c>
      <c r="F5927" t="s">
        <v>4137</v>
      </c>
    </row>
    <row r="5928" spans="1:6">
      <c r="A5928" t="s">
        <v>10057</v>
      </c>
      <c r="B5928" t="s">
        <v>2242</v>
      </c>
      <c r="C5928" t="s">
        <v>168</v>
      </c>
      <c r="D5928" s="1">
        <v>45932</v>
      </c>
      <c r="E5928" t="s">
        <v>4129</v>
      </c>
      <c r="F5928" t="s">
        <v>4137</v>
      </c>
    </row>
    <row r="5929" spans="1:6">
      <c r="A5929" t="s">
        <v>10058</v>
      </c>
      <c r="B5929" t="s">
        <v>2242</v>
      </c>
      <c r="C5929" t="s">
        <v>168</v>
      </c>
      <c r="D5929" s="1">
        <v>46005</v>
      </c>
      <c r="E5929" t="s">
        <v>4124</v>
      </c>
      <c r="F5929" t="s">
        <v>4139</v>
      </c>
    </row>
    <row r="5930" spans="1:6">
      <c r="A5930" t="s">
        <v>10059</v>
      </c>
      <c r="B5930" t="s">
        <v>2242</v>
      </c>
      <c r="C5930" t="s">
        <v>168</v>
      </c>
      <c r="D5930" s="1">
        <v>45999</v>
      </c>
      <c r="E5930" t="s">
        <v>4135</v>
      </c>
      <c r="F5930" t="s">
        <v>4137</v>
      </c>
    </row>
    <row r="5931" spans="1:6">
      <c r="A5931" t="s">
        <v>10060</v>
      </c>
      <c r="B5931" t="s">
        <v>2243</v>
      </c>
      <c r="C5931" t="s">
        <v>50</v>
      </c>
      <c r="D5931" s="1">
        <v>45963</v>
      </c>
      <c r="E5931" t="s">
        <v>4124</v>
      </c>
      <c r="F5931" t="s">
        <v>4125</v>
      </c>
    </row>
    <row r="5932" spans="1:6">
      <c r="A5932" t="s">
        <v>10061</v>
      </c>
      <c r="B5932" t="s">
        <v>2243</v>
      </c>
      <c r="C5932" t="s">
        <v>50</v>
      </c>
      <c r="D5932" s="1">
        <v>46001</v>
      </c>
      <c r="E5932" t="s">
        <v>4127</v>
      </c>
      <c r="F5932" t="s">
        <v>4139</v>
      </c>
    </row>
    <row r="5933" spans="1:6">
      <c r="A5933" t="s">
        <v>10062</v>
      </c>
      <c r="B5933" t="s">
        <v>2244</v>
      </c>
      <c r="C5933" t="s">
        <v>63</v>
      </c>
      <c r="D5933" s="1">
        <v>45979</v>
      </c>
      <c r="E5933" t="s">
        <v>4124</v>
      </c>
      <c r="F5933" t="s">
        <v>4139</v>
      </c>
    </row>
    <row r="5934" spans="1:6">
      <c r="A5934" t="s">
        <v>10063</v>
      </c>
      <c r="B5934" t="s">
        <v>2244</v>
      </c>
      <c r="C5934" t="s">
        <v>63</v>
      </c>
      <c r="D5934" s="1">
        <v>46010</v>
      </c>
      <c r="E5934" t="s">
        <v>4129</v>
      </c>
      <c r="F5934" t="s">
        <v>4137</v>
      </c>
    </row>
    <row r="5935" spans="1:6">
      <c r="A5935" t="s">
        <v>10064</v>
      </c>
      <c r="B5935" t="s">
        <v>2245</v>
      </c>
      <c r="C5935" t="s">
        <v>56</v>
      </c>
      <c r="D5935" s="1">
        <v>45838</v>
      </c>
      <c r="E5935" t="s">
        <v>4129</v>
      </c>
      <c r="F5935" t="s">
        <v>4125</v>
      </c>
    </row>
    <row r="5936" spans="1:6">
      <c r="A5936" t="s">
        <v>10065</v>
      </c>
      <c r="B5936" t="s">
        <v>2245</v>
      </c>
      <c r="C5936" t="s">
        <v>56</v>
      </c>
      <c r="D5936" s="1">
        <v>45841</v>
      </c>
      <c r="E5936" t="s">
        <v>4124</v>
      </c>
      <c r="F5936" t="s">
        <v>4125</v>
      </c>
    </row>
    <row r="5937" spans="1:6">
      <c r="A5937" t="s">
        <v>10066</v>
      </c>
      <c r="B5937" t="s">
        <v>2245</v>
      </c>
      <c r="C5937" t="s">
        <v>56</v>
      </c>
      <c r="D5937" s="1">
        <v>45839</v>
      </c>
      <c r="E5937" t="s">
        <v>4127</v>
      </c>
      <c r="F5937" t="s">
        <v>4139</v>
      </c>
    </row>
    <row r="5938" spans="1:6">
      <c r="A5938" t="s">
        <v>10067</v>
      </c>
      <c r="B5938" t="s">
        <v>2245</v>
      </c>
      <c r="C5938" t="s">
        <v>56</v>
      </c>
      <c r="D5938" s="1">
        <v>45831</v>
      </c>
      <c r="E5938" t="s">
        <v>4124</v>
      </c>
      <c r="F5938" t="s">
        <v>4125</v>
      </c>
    </row>
    <row r="5939" spans="1:6">
      <c r="A5939" t="s">
        <v>10068</v>
      </c>
      <c r="B5939" t="s">
        <v>2246</v>
      </c>
      <c r="C5939" t="s">
        <v>59</v>
      </c>
      <c r="D5939" s="1">
        <v>45747</v>
      </c>
      <c r="E5939" t="s">
        <v>4133</v>
      </c>
      <c r="F5939" t="s">
        <v>4125</v>
      </c>
    </row>
    <row r="5940" spans="1:6">
      <c r="A5940" t="s">
        <v>10069</v>
      </c>
      <c r="B5940" t="s">
        <v>2246</v>
      </c>
      <c r="C5940" t="s">
        <v>59</v>
      </c>
      <c r="D5940" s="1">
        <v>45738</v>
      </c>
      <c r="E5940" t="s">
        <v>4135</v>
      </c>
      <c r="F5940" t="s">
        <v>4137</v>
      </c>
    </row>
    <row r="5941" spans="1:6">
      <c r="A5941" t="s">
        <v>10070</v>
      </c>
      <c r="B5941" t="s">
        <v>2246</v>
      </c>
      <c r="C5941" t="s">
        <v>59</v>
      </c>
      <c r="D5941" s="1">
        <v>45733</v>
      </c>
      <c r="E5941" t="s">
        <v>4124</v>
      </c>
      <c r="F5941" t="s">
        <v>4125</v>
      </c>
    </row>
    <row r="5942" spans="1:6">
      <c r="A5942" t="s">
        <v>10071</v>
      </c>
      <c r="B5942" t="s">
        <v>2246</v>
      </c>
      <c r="C5942" t="s">
        <v>59</v>
      </c>
      <c r="D5942" s="1">
        <v>45745</v>
      </c>
      <c r="E5942" t="s">
        <v>4127</v>
      </c>
      <c r="F5942" t="s">
        <v>4125</v>
      </c>
    </row>
    <row r="5943" spans="1:6">
      <c r="A5943" t="s">
        <v>10072</v>
      </c>
      <c r="B5943" t="s">
        <v>2246</v>
      </c>
      <c r="C5943" t="s">
        <v>59</v>
      </c>
      <c r="D5943" s="1">
        <v>45748</v>
      </c>
      <c r="E5943" t="s">
        <v>4127</v>
      </c>
      <c r="F5943" t="s">
        <v>4125</v>
      </c>
    </row>
    <row r="5944" spans="1:6">
      <c r="A5944" t="s">
        <v>10073</v>
      </c>
      <c r="B5944" t="s">
        <v>2247</v>
      </c>
      <c r="C5944" t="s">
        <v>16</v>
      </c>
      <c r="D5944" s="1">
        <v>46016</v>
      </c>
      <c r="E5944" t="s">
        <v>4127</v>
      </c>
      <c r="F5944" t="s">
        <v>4125</v>
      </c>
    </row>
    <row r="5945" spans="1:6">
      <c r="A5945" t="s">
        <v>10074</v>
      </c>
      <c r="B5945" t="s">
        <v>2247</v>
      </c>
      <c r="C5945" t="s">
        <v>16</v>
      </c>
      <c r="D5945" s="1">
        <v>46019</v>
      </c>
      <c r="E5945" t="s">
        <v>4129</v>
      </c>
      <c r="F5945" t="s">
        <v>4137</v>
      </c>
    </row>
    <row r="5946" spans="1:6">
      <c r="A5946" t="s">
        <v>10075</v>
      </c>
      <c r="B5946" t="s">
        <v>2247</v>
      </c>
      <c r="C5946" t="s">
        <v>16</v>
      </c>
      <c r="D5946" s="1">
        <v>46005</v>
      </c>
      <c r="E5946" t="s">
        <v>4133</v>
      </c>
      <c r="F5946" t="s">
        <v>4139</v>
      </c>
    </row>
    <row r="5947" spans="1:6">
      <c r="A5947" t="s">
        <v>10076</v>
      </c>
      <c r="B5947" t="s">
        <v>2248</v>
      </c>
      <c r="C5947" t="s">
        <v>46</v>
      </c>
      <c r="D5947" s="1">
        <v>45908</v>
      </c>
      <c r="E5947" t="s">
        <v>4133</v>
      </c>
      <c r="F5947" t="s">
        <v>4125</v>
      </c>
    </row>
    <row r="5948" spans="1:6">
      <c r="A5948" t="s">
        <v>10077</v>
      </c>
      <c r="B5948" t="s">
        <v>2248</v>
      </c>
      <c r="C5948" t="s">
        <v>46</v>
      </c>
      <c r="D5948" s="1">
        <v>45903</v>
      </c>
      <c r="E5948" t="s">
        <v>4133</v>
      </c>
      <c r="F5948" t="s">
        <v>4137</v>
      </c>
    </row>
    <row r="5949" spans="1:6">
      <c r="A5949" t="s">
        <v>10078</v>
      </c>
      <c r="B5949" t="s">
        <v>2248</v>
      </c>
      <c r="C5949" t="s">
        <v>46</v>
      </c>
      <c r="D5949" s="1">
        <v>45914</v>
      </c>
      <c r="E5949" t="s">
        <v>4127</v>
      </c>
      <c r="F5949" t="s">
        <v>4125</v>
      </c>
    </row>
    <row r="5950" spans="1:6">
      <c r="A5950" t="s">
        <v>10079</v>
      </c>
      <c r="B5950" t="s">
        <v>2248</v>
      </c>
      <c r="C5950" t="s">
        <v>46</v>
      </c>
      <c r="D5950" s="1">
        <v>45905</v>
      </c>
      <c r="E5950" t="s">
        <v>4133</v>
      </c>
      <c r="F5950" t="s">
        <v>4125</v>
      </c>
    </row>
    <row r="5951" spans="1:6">
      <c r="A5951" t="s">
        <v>10080</v>
      </c>
      <c r="B5951" t="s">
        <v>2248</v>
      </c>
      <c r="C5951" t="s">
        <v>46</v>
      </c>
      <c r="D5951" s="1">
        <v>45905</v>
      </c>
      <c r="E5951" t="s">
        <v>4135</v>
      </c>
      <c r="F5951" t="s">
        <v>4125</v>
      </c>
    </row>
    <row r="5952" spans="1:6">
      <c r="A5952" t="s">
        <v>10081</v>
      </c>
      <c r="B5952" t="s">
        <v>2249</v>
      </c>
      <c r="C5952" t="s">
        <v>75</v>
      </c>
      <c r="D5952" s="1">
        <v>45839</v>
      </c>
      <c r="E5952" t="s">
        <v>4129</v>
      </c>
      <c r="F5952" t="s">
        <v>4137</v>
      </c>
    </row>
    <row r="5953" spans="1:6">
      <c r="A5953" t="s">
        <v>10082</v>
      </c>
      <c r="B5953" t="s">
        <v>2249</v>
      </c>
      <c r="C5953" t="s">
        <v>75</v>
      </c>
      <c r="D5953" s="1">
        <v>45840</v>
      </c>
      <c r="E5953" t="s">
        <v>4127</v>
      </c>
      <c r="F5953" t="s">
        <v>4137</v>
      </c>
    </row>
    <row r="5954" spans="1:6">
      <c r="A5954" t="s">
        <v>10083</v>
      </c>
      <c r="B5954" t="s">
        <v>2249</v>
      </c>
      <c r="C5954" t="s">
        <v>75</v>
      </c>
      <c r="D5954" s="1">
        <v>45839</v>
      </c>
      <c r="E5954" t="s">
        <v>4124</v>
      </c>
      <c r="F5954" t="s">
        <v>4125</v>
      </c>
    </row>
    <row r="5955" spans="1:6">
      <c r="A5955" t="s">
        <v>10084</v>
      </c>
      <c r="B5955" t="s">
        <v>2250</v>
      </c>
      <c r="C5955" t="s">
        <v>75</v>
      </c>
      <c r="D5955" s="1">
        <v>45742</v>
      </c>
      <c r="E5955" t="s">
        <v>4124</v>
      </c>
      <c r="F5955" t="s">
        <v>4139</v>
      </c>
    </row>
    <row r="5956" spans="1:6">
      <c r="A5956" t="s">
        <v>10085</v>
      </c>
      <c r="B5956" t="s">
        <v>2250</v>
      </c>
      <c r="C5956" t="s">
        <v>75</v>
      </c>
      <c r="D5956" s="1">
        <v>45734</v>
      </c>
      <c r="E5956" t="s">
        <v>4133</v>
      </c>
      <c r="F5956" t="s">
        <v>4137</v>
      </c>
    </row>
    <row r="5957" spans="1:6">
      <c r="A5957" t="s">
        <v>10086</v>
      </c>
      <c r="B5957" t="s">
        <v>2250</v>
      </c>
      <c r="C5957" t="s">
        <v>75</v>
      </c>
      <c r="D5957" s="1">
        <v>45715</v>
      </c>
      <c r="E5957" t="s">
        <v>4129</v>
      </c>
      <c r="F5957" t="s">
        <v>4139</v>
      </c>
    </row>
    <row r="5958" spans="1:6">
      <c r="A5958" t="s">
        <v>10087</v>
      </c>
      <c r="B5958" t="s">
        <v>2250</v>
      </c>
      <c r="C5958" t="s">
        <v>75</v>
      </c>
      <c r="D5958" s="1">
        <v>45738</v>
      </c>
      <c r="E5958" t="s">
        <v>4133</v>
      </c>
      <c r="F5958" t="s">
        <v>4125</v>
      </c>
    </row>
    <row r="5959" spans="1:6">
      <c r="A5959" t="s">
        <v>10088</v>
      </c>
      <c r="B5959" t="s">
        <v>2250</v>
      </c>
      <c r="C5959" t="s">
        <v>75</v>
      </c>
      <c r="D5959" s="1">
        <v>45737</v>
      </c>
      <c r="E5959" t="s">
        <v>4124</v>
      </c>
      <c r="F5959" t="s">
        <v>4139</v>
      </c>
    </row>
    <row r="5960" spans="1:6">
      <c r="A5960" t="s">
        <v>10089</v>
      </c>
      <c r="B5960" t="s">
        <v>2251</v>
      </c>
      <c r="C5960" t="s">
        <v>119</v>
      </c>
      <c r="D5960" s="1">
        <v>45806</v>
      </c>
      <c r="E5960" t="s">
        <v>4133</v>
      </c>
      <c r="F5960" t="s">
        <v>4139</v>
      </c>
    </row>
    <row r="5961" spans="1:6">
      <c r="A5961" t="s">
        <v>10090</v>
      </c>
      <c r="B5961" t="s">
        <v>2251</v>
      </c>
      <c r="C5961" t="s">
        <v>119</v>
      </c>
      <c r="D5961" s="1">
        <v>45804</v>
      </c>
      <c r="E5961" t="s">
        <v>4124</v>
      </c>
      <c r="F5961" t="s">
        <v>4137</v>
      </c>
    </row>
    <row r="5962" spans="1:6">
      <c r="A5962" t="s">
        <v>10091</v>
      </c>
      <c r="B5962" t="s">
        <v>2252</v>
      </c>
      <c r="C5962" t="s">
        <v>70</v>
      </c>
      <c r="D5962" s="1">
        <v>45748</v>
      </c>
      <c r="E5962" t="s">
        <v>4135</v>
      </c>
      <c r="F5962" t="s">
        <v>4125</v>
      </c>
    </row>
    <row r="5963" spans="1:6">
      <c r="A5963" t="s">
        <v>10092</v>
      </c>
      <c r="B5963" t="s">
        <v>2252</v>
      </c>
      <c r="C5963" t="s">
        <v>70</v>
      </c>
      <c r="D5963" s="1">
        <v>45748</v>
      </c>
      <c r="E5963" t="s">
        <v>4124</v>
      </c>
      <c r="F5963" t="s">
        <v>4139</v>
      </c>
    </row>
    <row r="5964" spans="1:6">
      <c r="A5964" t="s">
        <v>10093</v>
      </c>
      <c r="B5964" t="s">
        <v>2252</v>
      </c>
      <c r="C5964" t="s">
        <v>70</v>
      </c>
      <c r="D5964" s="1">
        <v>45776</v>
      </c>
      <c r="E5964" t="s">
        <v>4129</v>
      </c>
      <c r="F5964" t="s">
        <v>4125</v>
      </c>
    </row>
    <row r="5965" spans="1:6">
      <c r="A5965" t="s">
        <v>10094</v>
      </c>
      <c r="B5965" t="s">
        <v>2252</v>
      </c>
      <c r="C5965" t="s">
        <v>70</v>
      </c>
      <c r="D5965" s="1">
        <v>45753</v>
      </c>
      <c r="E5965" t="s">
        <v>4135</v>
      </c>
      <c r="F5965" t="s">
        <v>4139</v>
      </c>
    </row>
    <row r="5966" spans="1:6">
      <c r="A5966" t="s">
        <v>10095</v>
      </c>
      <c r="B5966" t="s">
        <v>2253</v>
      </c>
      <c r="C5966" t="s">
        <v>59</v>
      </c>
      <c r="D5966" s="1">
        <v>45825</v>
      </c>
      <c r="E5966" t="s">
        <v>4127</v>
      </c>
      <c r="F5966" t="s">
        <v>4139</v>
      </c>
    </row>
    <row r="5967" spans="1:6">
      <c r="A5967" t="s">
        <v>10096</v>
      </c>
      <c r="B5967" t="s">
        <v>2253</v>
      </c>
      <c r="C5967" t="s">
        <v>59</v>
      </c>
      <c r="D5967" s="1">
        <v>45829</v>
      </c>
      <c r="E5967" t="s">
        <v>4127</v>
      </c>
      <c r="F5967" t="s">
        <v>4139</v>
      </c>
    </row>
    <row r="5968" spans="1:6">
      <c r="A5968" t="s">
        <v>10097</v>
      </c>
      <c r="B5968" t="s">
        <v>2254</v>
      </c>
      <c r="C5968" t="s">
        <v>119</v>
      </c>
      <c r="D5968" s="1">
        <v>45692</v>
      </c>
      <c r="E5968" t="s">
        <v>4124</v>
      </c>
      <c r="F5968" t="s">
        <v>4125</v>
      </c>
    </row>
    <row r="5969" spans="1:6">
      <c r="A5969" t="s">
        <v>10098</v>
      </c>
      <c r="B5969" t="s">
        <v>2254</v>
      </c>
      <c r="C5969" t="s">
        <v>119</v>
      </c>
      <c r="D5969" s="1">
        <v>45685</v>
      </c>
      <c r="E5969" t="s">
        <v>4124</v>
      </c>
      <c r="F5969" t="s">
        <v>4125</v>
      </c>
    </row>
    <row r="5970" spans="1:6">
      <c r="A5970" t="s">
        <v>10099</v>
      </c>
      <c r="B5970" t="s">
        <v>2255</v>
      </c>
      <c r="C5970" t="s">
        <v>50</v>
      </c>
      <c r="D5970" s="1">
        <v>45904</v>
      </c>
      <c r="E5970" t="s">
        <v>4127</v>
      </c>
      <c r="F5970" t="s">
        <v>4137</v>
      </c>
    </row>
    <row r="5971" spans="1:6">
      <c r="A5971" t="s">
        <v>10100</v>
      </c>
      <c r="B5971" t="s">
        <v>2255</v>
      </c>
      <c r="C5971" t="s">
        <v>50</v>
      </c>
      <c r="D5971" s="1">
        <v>45911</v>
      </c>
      <c r="E5971" t="s">
        <v>4135</v>
      </c>
      <c r="F5971" t="s">
        <v>4139</v>
      </c>
    </row>
    <row r="5972" spans="1:6">
      <c r="A5972" t="s">
        <v>10101</v>
      </c>
      <c r="B5972" t="s">
        <v>2256</v>
      </c>
      <c r="C5972" t="s">
        <v>46</v>
      </c>
      <c r="D5972" s="1">
        <v>45670</v>
      </c>
      <c r="E5972" t="s">
        <v>4135</v>
      </c>
      <c r="F5972" t="s">
        <v>4137</v>
      </c>
    </row>
    <row r="5973" spans="1:6">
      <c r="A5973" t="s">
        <v>10102</v>
      </c>
      <c r="B5973" t="s">
        <v>2256</v>
      </c>
      <c r="C5973" t="s">
        <v>46</v>
      </c>
      <c r="D5973" s="1">
        <v>45731</v>
      </c>
      <c r="E5973" t="s">
        <v>4133</v>
      </c>
      <c r="F5973" t="s">
        <v>4125</v>
      </c>
    </row>
    <row r="5974" spans="1:6">
      <c r="A5974" t="s">
        <v>10103</v>
      </c>
      <c r="B5974" t="s">
        <v>2256</v>
      </c>
      <c r="C5974" t="s">
        <v>46</v>
      </c>
      <c r="D5974" s="1">
        <v>45730</v>
      </c>
      <c r="E5974" t="s">
        <v>4124</v>
      </c>
      <c r="F5974" t="s">
        <v>4125</v>
      </c>
    </row>
    <row r="5975" spans="1:6">
      <c r="A5975" t="s">
        <v>10104</v>
      </c>
      <c r="B5975" t="s">
        <v>2256</v>
      </c>
      <c r="C5975" t="s">
        <v>46</v>
      </c>
      <c r="D5975" s="1">
        <v>45720</v>
      </c>
      <c r="E5975" t="s">
        <v>4129</v>
      </c>
      <c r="F5975" t="s">
        <v>4139</v>
      </c>
    </row>
    <row r="5976" spans="1:6">
      <c r="A5976" t="s">
        <v>10105</v>
      </c>
      <c r="B5976" t="s">
        <v>2256</v>
      </c>
      <c r="C5976" t="s">
        <v>46</v>
      </c>
      <c r="D5976" s="1">
        <v>45686</v>
      </c>
      <c r="E5976" t="s">
        <v>4133</v>
      </c>
      <c r="F5976" t="s">
        <v>4137</v>
      </c>
    </row>
    <row r="5977" spans="1:6">
      <c r="A5977" t="s">
        <v>10106</v>
      </c>
      <c r="B5977" t="s">
        <v>2257</v>
      </c>
      <c r="C5977" t="s">
        <v>53</v>
      </c>
      <c r="D5977" s="1">
        <v>46005</v>
      </c>
      <c r="E5977" t="s">
        <v>4124</v>
      </c>
      <c r="F5977" t="s">
        <v>4125</v>
      </c>
    </row>
    <row r="5978" spans="1:6">
      <c r="A5978" t="s">
        <v>10107</v>
      </c>
      <c r="B5978" t="s">
        <v>2257</v>
      </c>
      <c r="C5978" t="s">
        <v>53</v>
      </c>
      <c r="D5978" s="1">
        <v>45988</v>
      </c>
      <c r="E5978" t="s">
        <v>4129</v>
      </c>
      <c r="F5978" t="s">
        <v>4137</v>
      </c>
    </row>
    <row r="5979" spans="1:6">
      <c r="A5979" t="s">
        <v>10108</v>
      </c>
      <c r="B5979" t="s">
        <v>2257</v>
      </c>
      <c r="C5979" t="s">
        <v>53</v>
      </c>
      <c r="D5979" s="1">
        <v>46002</v>
      </c>
      <c r="E5979" t="s">
        <v>4135</v>
      </c>
      <c r="F5979" t="s">
        <v>4125</v>
      </c>
    </row>
    <row r="5980" spans="1:6">
      <c r="A5980" t="s">
        <v>10109</v>
      </c>
      <c r="B5980" t="s">
        <v>2258</v>
      </c>
      <c r="C5980" t="s">
        <v>70</v>
      </c>
      <c r="D5980" s="1">
        <v>45909</v>
      </c>
      <c r="E5980" t="s">
        <v>4124</v>
      </c>
      <c r="F5980" t="s">
        <v>4137</v>
      </c>
    </row>
    <row r="5981" spans="1:6">
      <c r="A5981" t="s">
        <v>10110</v>
      </c>
      <c r="B5981" t="s">
        <v>2258</v>
      </c>
      <c r="C5981" t="s">
        <v>70</v>
      </c>
      <c r="D5981" s="1">
        <v>45926</v>
      </c>
      <c r="E5981" t="s">
        <v>4127</v>
      </c>
      <c r="F5981" t="s">
        <v>4125</v>
      </c>
    </row>
    <row r="5982" spans="1:6">
      <c r="A5982" t="s">
        <v>10111</v>
      </c>
      <c r="B5982" t="s">
        <v>2258</v>
      </c>
      <c r="C5982" t="s">
        <v>70</v>
      </c>
      <c r="D5982" s="1">
        <v>45918</v>
      </c>
      <c r="E5982" t="s">
        <v>4133</v>
      </c>
      <c r="F5982" t="s">
        <v>4125</v>
      </c>
    </row>
    <row r="5983" spans="1:6">
      <c r="A5983" t="s">
        <v>10112</v>
      </c>
      <c r="B5983" t="s">
        <v>2258</v>
      </c>
      <c r="C5983" t="s">
        <v>70</v>
      </c>
      <c r="D5983" s="1">
        <v>45933</v>
      </c>
      <c r="E5983" t="s">
        <v>4135</v>
      </c>
      <c r="F5983" t="s">
        <v>4125</v>
      </c>
    </row>
    <row r="5984" spans="1:6">
      <c r="A5984" t="s">
        <v>10113</v>
      </c>
      <c r="B5984" t="s">
        <v>2258</v>
      </c>
      <c r="C5984" t="s">
        <v>70</v>
      </c>
      <c r="D5984" s="1">
        <v>45907</v>
      </c>
      <c r="E5984" t="s">
        <v>4124</v>
      </c>
      <c r="F5984" t="s">
        <v>4125</v>
      </c>
    </row>
    <row r="5985" spans="1:6">
      <c r="A5985" t="s">
        <v>10114</v>
      </c>
      <c r="B5985" t="s">
        <v>2259</v>
      </c>
      <c r="C5985" t="s">
        <v>59</v>
      </c>
      <c r="D5985" s="1">
        <v>45953</v>
      </c>
      <c r="E5985" t="s">
        <v>4135</v>
      </c>
      <c r="F5985" t="s">
        <v>4137</v>
      </c>
    </row>
    <row r="5986" spans="1:6">
      <c r="A5986" t="s">
        <v>10115</v>
      </c>
      <c r="B5986" t="s">
        <v>2259</v>
      </c>
      <c r="C5986" t="s">
        <v>59</v>
      </c>
      <c r="D5986" s="1">
        <v>45955</v>
      </c>
      <c r="E5986" t="s">
        <v>4124</v>
      </c>
      <c r="F5986" t="s">
        <v>4125</v>
      </c>
    </row>
    <row r="5987" spans="1:6">
      <c r="A5987" t="s">
        <v>10116</v>
      </c>
      <c r="B5987" t="s">
        <v>2259</v>
      </c>
      <c r="C5987" t="s">
        <v>59</v>
      </c>
      <c r="D5987" s="1">
        <v>45956</v>
      </c>
      <c r="E5987" t="s">
        <v>4133</v>
      </c>
      <c r="F5987" t="s">
        <v>4139</v>
      </c>
    </row>
    <row r="5988" spans="1:6">
      <c r="A5988" t="s">
        <v>10117</v>
      </c>
      <c r="B5988" t="s">
        <v>2260</v>
      </c>
      <c r="C5988" t="s">
        <v>59</v>
      </c>
      <c r="D5988" s="1">
        <v>46004</v>
      </c>
      <c r="E5988" t="s">
        <v>4135</v>
      </c>
      <c r="F5988" t="s">
        <v>4139</v>
      </c>
    </row>
    <row r="5989" spans="1:6">
      <c r="A5989" t="s">
        <v>10118</v>
      </c>
      <c r="B5989" t="s">
        <v>2260</v>
      </c>
      <c r="C5989" t="s">
        <v>59</v>
      </c>
      <c r="D5989" s="1">
        <v>46016</v>
      </c>
      <c r="E5989" t="s">
        <v>4133</v>
      </c>
      <c r="F5989" t="s">
        <v>4137</v>
      </c>
    </row>
    <row r="5990" spans="1:6">
      <c r="A5990" t="s">
        <v>10119</v>
      </c>
      <c r="B5990" t="s">
        <v>2260</v>
      </c>
      <c r="C5990" t="s">
        <v>59</v>
      </c>
      <c r="D5990" s="1">
        <v>46021</v>
      </c>
      <c r="E5990" t="s">
        <v>4127</v>
      </c>
      <c r="F5990" t="s">
        <v>4139</v>
      </c>
    </row>
    <row r="5991" spans="1:6">
      <c r="A5991" t="s">
        <v>10120</v>
      </c>
      <c r="B5991" t="s">
        <v>2260</v>
      </c>
      <c r="C5991" t="s">
        <v>59</v>
      </c>
      <c r="D5991" s="1">
        <v>46020</v>
      </c>
      <c r="E5991" t="s">
        <v>4124</v>
      </c>
      <c r="F5991" t="s">
        <v>4139</v>
      </c>
    </row>
    <row r="5992" spans="1:6">
      <c r="A5992" t="s">
        <v>10121</v>
      </c>
      <c r="B5992" t="s">
        <v>2260</v>
      </c>
      <c r="C5992" t="s">
        <v>59</v>
      </c>
      <c r="D5992" s="1">
        <v>46007</v>
      </c>
      <c r="E5992" t="s">
        <v>4133</v>
      </c>
      <c r="F5992" t="s">
        <v>4137</v>
      </c>
    </row>
    <row r="5993" spans="1:6">
      <c r="A5993" t="s">
        <v>10122</v>
      </c>
      <c r="B5993" t="s">
        <v>2261</v>
      </c>
      <c r="C5993" t="s">
        <v>168</v>
      </c>
      <c r="D5993" s="1">
        <v>45997</v>
      </c>
      <c r="E5993" t="s">
        <v>4127</v>
      </c>
      <c r="F5993" t="s">
        <v>4125</v>
      </c>
    </row>
    <row r="5994" spans="1:6">
      <c r="A5994" t="s">
        <v>10123</v>
      </c>
      <c r="B5994" t="s">
        <v>2261</v>
      </c>
      <c r="C5994" t="s">
        <v>168</v>
      </c>
      <c r="D5994" s="1">
        <v>46001</v>
      </c>
      <c r="E5994" t="s">
        <v>4124</v>
      </c>
      <c r="F5994" t="s">
        <v>4125</v>
      </c>
    </row>
    <row r="5995" spans="1:6">
      <c r="A5995" t="s">
        <v>10124</v>
      </c>
      <c r="B5995" t="s">
        <v>2262</v>
      </c>
      <c r="C5995" t="s">
        <v>70</v>
      </c>
      <c r="D5995" s="1">
        <v>45701</v>
      </c>
      <c r="E5995" t="s">
        <v>4135</v>
      </c>
      <c r="F5995" t="s">
        <v>4137</v>
      </c>
    </row>
    <row r="5996" spans="1:6">
      <c r="A5996" t="s">
        <v>10125</v>
      </c>
      <c r="B5996" t="s">
        <v>2262</v>
      </c>
      <c r="C5996" t="s">
        <v>70</v>
      </c>
      <c r="D5996" s="1">
        <v>45716</v>
      </c>
      <c r="E5996" t="s">
        <v>4135</v>
      </c>
      <c r="F5996" t="s">
        <v>4139</v>
      </c>
    </row>
    <row r="5997" spans="1:6">
      <c r="A5997" t="s">
        <v>10126</v>
      </c>
      <c r="B5997" t="s">
        <v>2262</v>
      </c>
      <c r="C5997" t="s">
        <v>70</v>
      </c>
      <c r="D5997" s="1">
        <v>45705</v>
      </c>
      <c r="E5997" t="s">
        <v>4135</v>
      </c>
      <c r="F5997" t="s">
        <v>4139</v>
      </c>
    </row>
    <row r="5998" spans="1:6">
      <c r="A5998" t="s">
        <v>10127</v>
      </c>
      <c r="B5998" t="s">
        <v>2263</v>
      </c>
      <c r="C5998" t="s">
        <v>36</v>
      </c>
      <c r="D5998" s="1">
        <v>45802</v>
      </c>
      <c r="E5998" t="s">
        <v>4135</v>
      </c>
      <c r="F5998" t="s">
        <v>4139</v>
      </c>
    </row>
    <row r="5999" spans="1:6">
      <c r="A5999" t="s">
        <v>10128</v>
      </c>
      <c r="B5999" t="s">
        <v>2263</v>
      </c>
      <c r="C5999" t="s">
        <v>36</v>
      </c>
      <c r="D5999" s="1">
        <v>45782</v>
      </c>
      <c r="E5999" t="s">
        <v>4129</v>
      </c>
      <c r="F5999" t="s">
        <v>4139</v>
      </c>
    </row>
    <row r="6000" spans="1:6">
      <c r="A6000" t="s">
        <v>10129</v>
      </c>
      <c r="B6000" t="s">
        <v>2263</v>
      </c>
      <c r="C6000" t="s">
        <v>36</v>
      </c>
      <c r="D6000" s="1">
        <v>45752</v>
      </c>
      <c r="E6000" t="s">
        <v>4133</v>
      </c>
      <c r="F6000" t="s">
        <v>4139</v>
      </c>
    </row>
    <row r="6001" spans="1:6">
      <c r="A6001" t="s">
        <v>10130</v>
      </c>
      <c r="B6001" t="s">
        <v>2264</v>
      </c>
      <c r="C6001" t="s">
        <v>32</v>
      </c>
      <c r="D6001" s="1">
        <v>46018</v>
      </c>
      <c r="E6001" t="s">
        <v>4127</v>
      </c>
      <c r="F6001" t="s">
        <v>4139</v>
      </c>
    </row>
    <row r="6002" spans="1:6">
      <c r="A6002" t="s">
        <v>10131</v>
      </c>
      <c r="B6002" t="s">
        <v>2264</v>
      </c>
      <c r="C6002" t="s">
        <v>32</v>
      </c>
      <c r="D6002" s="1">
        <v>46018</v>
      </c>
      <c r="E6002" t="s">
        <v>4124</v>
      </c>
      <c r="F6002" t="s">
        <v>4139</v>
      </c>
    </row>
    <row r="6003" spans="1:6">
      <c r="A6003" t="s">
        <v>10132</v>
      </c>
      <c r="B6003" t="s">
        <v>2264</v>
      </c>
      <c r="C6003" t="s">
        <v>32</v>
      </c>
      <c r="D6003" s="1">
        <v>46019</v>
      </c>
      <c r="E6003" t="s">
        <v>4135</v>
      </c>
      <c r="F6003" t="s">
        <v>4139</v>
      </c>
    </row>
    <row r="6004" spans="1:6">
      <c r="A6004" t="s">
        <v>10133</v>
      </c>
      <c r="B6004" t="s">
        <v>2265</v>
      </c>
      <c r="C6004" t="s">
        <v>27</v>
      </c>
      <c r="D6004" s="1">
        <v>46006</v>
      </c>
      <c r="E6004" t="s">
        <v>4133</v>
      </c>
      <c r="F6004" t="s">
        <v>4139</v>
      </c>
    </row>
    <row r="6005" spans="1:6">
      <c r="A6005" t="s">
        <v>10134</v>
      </c>
      <c r="B6005" t="s">
        <v>2265</v>
      </c>
      <c r="C6005" t="s">
        <v>27</v>
      </c>
      <c r="D6005" s="1">
        <v>46004</v>
      </c>
      <c r="E6005" t="s">
        <v>4124</v>
      </c>
      <c r="F6005" t="s">
        <v>4125</v>
      </c>
    </row>
    <row r="6006" spans="1:6">
      <c r="A6006" t="s">
        <v>10135</v>
      </c>
      <c r="B6006" t="s">
        <v>2265</v>
      </c>
      <c r="C6006" t="s">
        <v>27</v>
      </c>
      <c r="D6006" s="1">
        <v>46021</v>
      </c>
      <c r="E6006" t="s">
        <v>4133</v>
      </c>
      <c r="F6006" t="s">
        <v>4137</v>
      </c>
    </row>
    <row r="6007" spans="1:6">
      <c r="A6007" t="s">
        <v>10136</v>
      </c>
      <c r="B6007" t="s">
        <v>2265</v>
      </c>
      <c r="C6007" t="s">
        <v>27</v>
      </c>
      <c r="D6007" s="1">
        <v>46010</v>
      </c>
      <c r="E6007" t="s">
        <v>4135</v>
      </c>
      <c r="F6007" t="s">
        <v>4137</v>
      </c>
    </row>
    <row r="6008" spans="1:6">
      <c r="A6008" t="s">
        <v>10137</v>
      </c>
      <c r="B6008" t="s">
        <v>2266</v>
      </c>
      <c r="C6008" t="s">
        <v>56</v>
      </c>
      <c r="D6008" s="1">
        <v>46021</v>
      </c>
      <c r="E6008" t="s">
        <v>4124</v>
      </c>
      <c r="F6008" t="s">
        <v>4137</v>
      </c>
    </row>
    <row r="6009" spans="1:6">
      <c r="A6009" t="s">
        <v>10138</v>
      </c>
      <c r="B6009" t="s">
        <v>2266</v>
      </c>
      <c r="C6009" t="s">
        <v>56</v>
      </c>
      <c r="D6009" s="1">
        <v>46022</v>
      </c>
      <c r="E6009" t="s">
        <v>4127</v>
      </c>
      <c r="F6009" t="s">
        <v>4137</v>
      </c>
    </row>
    <row r="6010" spans="1:6">
      <c r="A6010" t="s">
        <v>10139</v>
      </c>
      <c r="B6010" t="s">
        <v>2266</v>
      </c>
      <c r="C6010" t="s">
        <v>56</v>
      </c>
      <c r="D6010" s="1">
        <v>46022</v>
      </c>
      <c r="E6010" t="s">
        <v>4135</v>
      </c>
      <c r="F6010" t="s">
        <v>4139</v>
      </c>
    </row>
    <row r="6011" spans="1:6">
      <c r="A6011" t="s">
        <v>10140</v>
      </c>
      <c r="B6011" t="s">
        <v>2266</v>
      </c>
      <c r="C6011" t="s">
        <v>56</v>
      </c>
      <c r="D6011" s="1">
        <v>46022</v>
      </c>
      <c r="E6011" t="s">
        <v>4124</v>
      </c>
      <c r="F6011" t="s">
        <v>4125</v>
      </c>
    </row>
    <row r="6012" spans="1:6">
      <c r="A6012" t="s">
        <v>10141</v>
      </c>
      <c r="B6012" t="s">
        <v>2266</v>
      </c>
      <c r="C6012" t="s">
        <v>56</v>
      </c>
      <c r="D6012" s="1">
        <v>46021</v>
      </c>
      <c r="E6012" t="s">
        <v>4124</v>
      </c>
      <c r="F6012" t="s">
        <v>4125</v>
      </c>
    </row>
    <row r="6013" spans="1:6">
      <c r="A6013" t="s">
        <v>10142</v>
      </c>
      <c r="B6013" t="s">
        <v>2267</v>
      </c>
      <c r="C6013" t="s">
        <v>22</v>
      </c>
      <c r="D6013" s="1">
        <v>45839</v>
      </c>
      <c r="E6013" t="s">
        <v>4129</v>
      </c>
      <c r="F6013" t="s">
        <v>4137</v>
      </c>
    </row>
    <row r="6014" spans="1:6">
      <c r="A6014" t="s">
        <v>10143</v>
      </c>
      <c r="B6014" t="s">
        <v>2267</v>
      </c>
      <c r="C6014" t="s">
        <v>22</v>
      </c>
      <c r="D6014" s="1">
        <v>45819</v>
      </c>
      <c r="E6014" t="s">
        <v>4127</v>
      </c>
      <c r="F6014" t="s">
        <v>4125</v>
      </c>
    </row>
    <row r="6015" spans="1:6">
      <c r="A6015" t="s">
        <v>10144</v>
      </c>
      <c r="B6015" t="s">
        <v>2267</v>
      </c>
      <c r="C6015" t="s">
        <v>22</v>
      </c>
      <c r="D6015" s="1">
        <v>45814</v>
      </c>
      <c r="E6015" t="s">
        <v>4129</v>
      </c>
      <c r="F6015" t="s">
        <v>4125</v>
      </c>
    </row>
    <row r="6016" spans="1:6">
      <c r="A6016" t="s">
        <v>10145</v>
      </c>
      <c r="B6016" t="s">
        <v>2267</v>
      </c>
      <c r="C6016" t="s">
        <v>22</v>
      </c>
      <c r="D6016" s="1">
        <v>45819</v>
      </c>
      <c r="E6016" t="s">
        <v>4129</v>
      </c>
      <c r="F6016" t="s">
        <v>4139</v>
      </c>
    </row>
    <row r="6017" spans="1:6">
      <c r="A6017" t="s">
        <v>10146</v>
      </c>
      <c r="B6017" t="s">
        <v>2267</v>
      </c>
      <c r="C6017" t="s">
        <v>22</v>
      </c>
      <c r="D6017" s="1">
        <v>45820</v>
      </c>
      <c r="E6017" t="s">
        <v>4129</v>
      </c>
      <c r="F6017" t="s">
        <v>4137</v>
      </c>
    </row>
    <row r="6018" spans="1:6">
      <c r="A6018" t="s">
        <v>10147</v>
      </c>
      <c r="B6018" t="s">
        <v>2268</v>
      </c>
      <c r="C6018" t="s">
        <v>32</v>
      </c>
      <c r="D6018" s="1">
        <v>46011</v>
      </c>
      <c r="E6018" t="s">
        <v>4135</v>
      </c>
      <c r="F6018" t="s">
        <v>4139</v>
      </c>
    </row>
    <row r="6019" spans="1:6">
      <c r="A6019" t="s">
        <v>10148</v>
      </c>
      <c r="B6019" t="s">
        <v>2268</v>
      </c>
      <c r="C6019" t="s">
        <v>32</v>
      </c>
      <c r="D6019" s="1">
        <v>46020</v>
      </c>
      <c r="E6019" t="s">
        <v>4127</v>
      </c>
      <c r="F6019" t="s">
        <v>4125</v>
      </c>
    </row>
    <row r="6020" spans="1:6">
      <c r="A6020" t="s">
        <v>10149</v>
      </c>
      <c r="B6020" t="s">
        <v>2269</v>
      </c>
      <c r="C6020" t="s">
        <v>32</v>
      </c>
      <c r="D6020" s="1">
        <v>45846</v>
      </c>
      <c r="E6020" t="s">
        <v>4124</v>
      </c>
      <c r="F6020" t="s">
        <v>4137</v>
      </c>
    </row>
    <row r="6021" spans="1:6">
      <c r="A6021" t="s">
        <v>10150</v>
      </c>
      <c r="B6021" t="s">
        <v>2269</v>
      </c>
      <c r="C6021" t="s">
        <v>32</v>
      </c>
      <c r="D6021" s="1">
        <v>45850</v>
      </c>
      <c r="E6021" t="s">
        <v>4124</v>
      </c>
      <c r="F6021" t="s">
        <v>4125</v>
      </c>
    </row>
    <row r="6022" spans="1:6">
      <c r="A6022" t="s">
        <v>10151</v>
      </c>
      <c r="B6022" t="s">
        <v>2271</v>
      </c>
      <c r="C6022" t="s">
        <v>22</v>
      </c>
      <c r="D6022" s="1">
        <v>46007</v>
      </c>
      <c r="E6022" t="s">
        <v>4129</v>
      </c>
      <c r="F6022" t="s">
        <v>4125</v>
      </c>
    </row>
    <row r="6023" spans="1:6">
      <c r="A6023" t="s">
        <v>10152</v>
      </c>
      <c r="B6023" t="s">
        <v>2271</v>
      </c>
      <c r="C6023" t="s">
        <v>22</v>
      </c>
      <c r="D6023" s="1">
        <v>46022</v>
      </c>
      <c r="E6023" t="s">
        <v>4124</v>
      </c>
      <c r="F6023" t="s">
        <v>4139</v>
      </c>
    </row>
    <row r="6024" spans="1:6">
      <c r="A6024" t="s">
        <v>10153</v>
      </c>
      <c r="B6024" t="s">
        <v>2272</v>
      </c>
      <c r="C6024" t="s">
        <v>119</v>
      </c>
      <c r="D6024" s="1">
        <v>45845</v>
      </c>
      <c r="E6024" t="s">
        <v>4124</v>
      </c>
      <c r="F6024" t="s">
        <v>4137</v>
      </c>
    </row>
    <row r="6025" spans="1:6">
      <c r="A6025" t="s">
        <v>10154</v>
      </c>
      <c r="B6025" t="s">
        <v>2272</v>
      </c>
      <c r="C6025" t="s">
        <v>119</v>
      </c>
      <c r="D6025" s="1">
        <v>45846</v>
      </c>
      <c r="E6025" t="s">
        <v>4135</v>
      </c>
      <c r="F6025" t="s">
        <v>4139</v>
      </c>
    </row>
    <row r="6026" spans="1:6">
      <c r="A6026" t="s">
        <v>10155</v>
      </c>
      <c r="B6026" t="s">
        <v>2272</v>
      </c>
      <c r="C6026" t="s">
        <v>119</v>
      </c>
      <c r="D6026" s="1">
        <v>45851</v>
      </c>
      <c r="E6026" t="s">
        <v>4127</v>
      </c>
      <c r="F6026" t="s">
        <v>4125</v>
      </c>
    </row>
    <row r="6027" spans="1:6">
      <c r="A6027" t="s">
        <v>10156</v>
      </c>
      <c r="B6027" t="s">
        <v>2272</v>
      </c>
      <c r="C6027" t="s">
        <v>119</v>
      </c>
      <c r="D6027" s="1">
        <v>45853</v>
      </c>
      <c r="E6027" t="s">
        <v>4135</v>
      </c>
      <c r="F6027" t="s">
        <v>4125</v>
      </c>
    </row>
    <row r="6028" spans="1:6">
      <c r="A6028" t="s">
        <v>10157</v>
      </c>
      <c r="B6028" t="s">
        <v>2273</v>
      </c>
      <c r="C6028" t="s">
        <v>168</v>
      </c>
      <c r="D6028" s="1">
        <v>46009</v>
      </c>
      <c r="E6028" t="s">
        <v>4129</v>
      </c>
      <c r="F6028" t="s">
        <v>4137</v>
      </c>
    </row>
    <row r="6029" spans="1:6">
      <c r="A6029" t="s">
        <v>10158</v>
      </c>
      <c r="B6029" t="s">
        <v>2273</v>
      </c>
      <c r="C6029" t="s">
        <v>168</v>
      </c>
      <c r="D6029" s="1">
        <v>45951</v>
      </c>
      <c r="E6029" t="s">
        <v>4135</v>
      </c>
      <c r="F6029" t="s">
        <v>4125</v>
      </c>
    </row>
    <row r="6030" spans="1:6">
      <c r="A6030" t="s">
        <v>10159</v>
      </c>
      <c r="B6030" t="s">
        <v>2273</v>
      </c>
      <c r="C6030" t="s">
        <v>168</v>
      </c>
      <c r="D6030" s="1">
        <v>45987</v>
      </c>
      <c r="E6030" t="s">
        <v>4127</v>
      </c>
      <c r="F6030" t="s">
        <v>4137</v>
      </c>
    </row>
    <row r="6031" spans="1:6">
      <c r="A6031" t="s">
        <v>10160</v>
      </c>
      <c r="B6031" t="s">
        <v>2273</v>
      </c>
      <c r="C6031" t="s">
        <v>168</v>
      </c>
      <c r="D6031" s="1">
        <v>46001</v>
      </c>
      <c r="E6031" t="s">
        <v>4127</v>
      </c>
      <c r="F6031" t="s">
        <v>4137</v>
      </c>
    </row>
    <row r="6032" spans="1:6">
      <c r="A6032" t="s">
        <v>10161</v>
      </c>
      <c r="B6032" t="s">
        <v>2274</v>
      </c>
      <c r="C6032" t="s">
        <v>40</v>
      </c>
      <c r="D6032" s="1">
        <v>45759</v>
      </c>
      <c r="E6032" t="s">
        <v>4135</v>
      </c>
      <c r="F6032" t="s">
        <v>4125</v>
      </c>
    </row>
    <row r="6033" spans="1:6">
      <c r="A6033" t="s">
        <v>10162</v>
      </c>
      <c r="B6033" t="s">
        <v>2274</v>
      </c>
      <c r="C6033" t="s">
        <v>40</v>
      </c>
      <c r="D6033" s="1">
        <v>45772</v>
      </c>
      <c r="E6033" t="s">
        <v>4133</v>
      </c>
      <c r="F6033" t="s">
        <v>4139</v>
      </c>
    </row>
    <row r="6034" spans="1:6">
      <c r="A6034" t="s">
        <v>10163</v>
      </c>
      <c r="B6034" t="s">
        <v>2275</v>
      </c>
      <c r="C6034" t="s">
        <v>32</v>
      </c>
      <c r="D6034" s="1">
        <v>45775</v>
      </c>
      <c r="E6034" t="s">
        <v>4135</v>
      </c>
      <c r="F6034" t="s">
        <v>4139</v>
      </c>
    </row>
    <row r="6035" spans="1:6">
      <c r="A6035" t="s">
        <v>10164</v>
      </c>
      <c r="B6035" t="s">
        <v>2275</v>
      </c>
      <c r="C6035" t="s">
        <v>32</v>
      </c>
      <c r="D6035" s="1">
        <v>45808</v>
      </c>
      <c r="E6035" t="s">
        <v>4135</v>
      </c>
      <c r="F6035" t="s">
        <v>4137</v>
      </c>
    </row>
    <row r="6036" spans="1:6">
      <c r="A6036" t="s">
        <v>10165</v>
      </c>
      <c r="B6036" t="s">
        <v>2275</v>
      </c>
      <c r="C6036" t="s">
        <v>32</v>
      </c>
      <c r="D6036" s="1">
        <v>45794</v>
      </c>
      <c r="E6036" t="s">
        <v>4124</v>
      </c>
      <c r="F6036" t="s">
        <v>4137</v>
      </c>
    </row>
    <row r="6037" spans="1:6">
      <c r="A6037" t="s">
        <v>10166</v>
      </c>
      <c r="B6037" t="s">
        <v>2275</v>
      </c>
      <c r="C6037" t="s">
        <v>32</v>
      </c>
      <c r="D6037" s="1">
        <v>45798</v>
      </c>
      <c r="E6037" t="s">
        <v>4135</v>
      </c>
      <c r="F6037" t="s">
        <v>4125</v>
      </c>
    </row>
    <row r="6038" spans="1:6">
      <c r="A6038" t="s">
        <v>10167</v>
      </c>
      <c r="B6038" t="s">
        <v>2275</v>
      </c>
      <c r="C6038" t="s">
        <v>32</v>
      </c>
      <c r="D6038" s="1">
        <v>45766</v>
      </c>
      <c r="E6038" t="s">
        <v>4124</v>
      </c>
      <c r="F6038" t="s">
        <v>4125</v>
      </c>
    </row>
    <row r="6039" spans="1:6">
      <c r="A6039" t="s">
        <v>10168</v>
      </c>
      <c r="B6039" t="s">
        <v>2276</v>
      </c>
      <c r="C6039" t="s">
        <v>46</v>
      </c>
      <c r="D6039" s="1">
        <v>45957</v>
      </c>
      <c r="E6039" t="s">
        <v>4124</v>
      </c>
      <c r="F6039" t="s">
        <v>4139</v>
      </c>
    </row>
    <row r="6040" spans="1:6">
      <c r="A6040" t="s">
        <v>10169</v>
      </c>
      <c r="B6040" t="s">
        <v>2276</v>
      </c>
      <c r="C6040" t="s">
        <v>46</v>
      </c>
      <c r="D6040" s="1">
        <v>45974</v>
      </c>
      <c r="E6040" t="s">
        <v>4124</v>
      </c>
      <c r="F6040" t="s">
        <v>4137</v>
      </c>
    </row>
    <row r="6041" spans="1:6">
      <c r="A6041" t="s">
        <v>10170</v>
      </c>
      <c r="B6041" t="s">
        <v>2276</v>
      </c>
      <c r="C6041" t="s">
        <v>46</v>
      </c>
      <c r="D6041" s="1">
        <v>45993</v>
      </c>
      <c r="E6041" t="s">
        <v>4124</v>
      </c>
      <c r="F6041" t="s">
        <v>4125</v>
      </c>
    </row>
    <row r="6042" spans="1:6">
      <c r="A6042" t="s">
        <v>10171</v>
      </c>
      <c r="B6042" t="s">
        <v>2276</v>
      </c>
      <c r="C6042" t="s">
        <v>46</v>
      </c>
      <c r="D6042" s="1">
        <v>45980</v>
      </c>
      <c r="E6042" t="s">
        <v>4124</v>
      </c>
      <c r="F6042" t="s">
        <v>4125</v>
      </c>
    </row>
    <row r="6043" spans="1:6">
      <c r="A6043" t="s">
        <v>10172</v>
      </c>
      <c r="B6043" t="s">
        <v>2276</v>
      </c>
      <c r="C6043" t="s">
        <v>46</v>
      </c>
      <c r="D6043" s="1">
        <v>46000</v>
      </c>
      <c r="E6043" t="s">
        <v>4129</v>
      </c>
      <c r="F6043" t="s">
        <v>4137</v>
      </c>
    </row>
    <row r="6044" spans="1:6">
      <c r="A6044" t="s">
        <v>10173</v>
      </c>
      <c r="B6044" t="s">
        <v>2277</v>
      </c>
      <c r="C6044" t="s">
        <v>53</v>
      </c>
      <c r="D6044" s="1">
        <v>45906</v>
      </c>
      <c r="E6044" t="s">
        <v>4124</v>
      </c>
      <c r="F6044" t="s">
        <v>4137</v>
      </c>
    </row>
    <row r="6045" spans="1:6">
      <c r="A6045" t="s">
        <v>10174</v>
      </c>
      <c r="B6045" t="s">
        <v>2277</v>
      </c>
      <c r="C6045" t="s">
        <v>53</v>
      </c>
      <c r="D6045" s="1">
        <v>45919</v>
      </c>
      <c r="E6045" t="s">
        <v>4127</v>
      </c>
      <c r="F6045" t="s">
        <v>4125</v>
      </c>
    </row>
    <row r="6046" spans="1:6">
      <c r="A6046" t="s">
        <v>10175</v>
      </c>
      <c r="B6046" t="s">
        <v>2277</v>
      </c>
      <c r="C6046" t="s">
        <v>53</v>
      </c>
      <c r="D6046" s="1">
        <v>45913</v>
      </c>
      <c r="E6046" t="s">
        <v>4133</v>
      </c>
      <c r="F6046" t="s">
        <v>4139</v>
      </c>
    </row>
    <row r="6047" spans="1:6">
      <c r="A6047" t="s">
        <v>10176</v>
      </c>
      <c r="B6047" t="s">
        <v>2277</v>
      </c>
      <c r="C6047" t="s">
        <v>53</v>
      </c>
      <c r="D6047" s="1">
        <v>45909</v>
      </c>
      <c r="E6047" t="s">
        <v>4127</v>
      </c>
      <c r="F6047" t="s">
        <v>4137</v>
      </c>
    </row>
    <row r="6048" spans="1:6">
      <c r="A6048" t="s">
        <v>10177</v>
      </c>
      <c r="B6048" t="s">
        <v>2277</v>
      </c>
      <c r="C6048" t="s">
        <v>53</v>
      </c>
      <c r="D6048" s="1">
        <v>45918</v>
      </c>
      <c r="E6048" t="s">
        <v>4135</v>
      </c>
      <c r="F6048" t="s">
        <v>4125</v>
      </c>
    </row>
    <row r="6049" spans="1:6">
      <c r="A6049" t="s">
        <v>10178</v>
      </c>
      <c r="B6049" t="s">
        <v>2278</v>
      </c>
      <c r="C6049" t="s">
        <v>32</v>
      </c>
      <c r="D6049" s="1">
        <v>45987</v>
      </c>
      <c r="E6049" t="s">
        <v>4133</v>
      </c>
      <c r="F6049" t="s">
        <v>4125</v>
      </c>
    </row>
    <row r="6050" spans="1:6">
      <c r="A6050" t="s">
        <v>10179</v>
      </c>
      <c r="B6050" t="s">
        <v>2278</v>
      </c>
      <c r="C6050" t="s">
        <v>32</v>
      </c>
      <c r="D6050" s="1">
        <v>45972</v>
      </c>
      <c r="E6050" t="s">
        <v>4135</v>
      </c>
      <c r="F6050" t="s">
        <v>4125</v>
      </c>
    </row>
    <row r="6051" spans="1:6">
      <c r="A6051" t="s">
        <v>10180</v>
      </c>
      <c r="B6051" t="s">
        <v>2278</v>
      </c>
      <c r="C6051" t="s">
        <v>32</v>
      </c>
      <c r="D6051" s="1">
        <v>45988</v>
      </c>
      <c r="E6051" t="s">
        <v>4133</v>
      </c>
      <c r="F6051" t="s">
        <v>4125</v>
      </c>
    </row>
    <row r="6052" spans="1:6">
      <c r="A6052" t="s">
        <v>10181</v>
      </c>
      <c r="B6052" t="s">
        <v>2278</v>
      </c>
      <c r="C6052" t="s">
        <v>32</v>
      </c>
      <c r="D6052" s="1">
        <v>45973</v>
      </c>
      <c r="E6052" t="s">
        <v>4124</v>
      </c>
      <c r="F6052" t="s">
        <v>4137</v>
      </c>
    </row>
    <row r="6053" spans="1:6">
      <c r="A6053" t="s">
        <v>10182</v>
      </c>
      <c r="B6053" t="s">
        <v>2278</v>
      </c>
      <c r="C6053" t="s">
        <v>32</v>
      </c>
      <c r="D6053" s="1">
        <v>45974</v>
      </c>
      <c r="E6053" t="s">
        <v>4133</v>
      </c>
      <c r="F6053" t="s">
        <v>4125</v>
      </c>
    </row>
    <row r="6054" spans="1:6">
      <c r="A6054" t="s">
        <v>10183</v>
      </c>
      <c r="B6054" t="s">
        <v>2279</v>
      </c>
      <c r="C6054" t="s">
        <v>119</v>
      </c>
      <c r="D6054" s="1">
        <v>45844</v>
      </c>
      <c r="E6054" t="s">
        <v>4127</v>
      </c>
      <c r="F6054" t="s">
        <v>4137</v>
      </c>
    </row>
    <row r="6055" spans="1:6">
      <c r="A6055" t="s">
        <v>10184</v>
      </c>
      <c r="B6055" t="s">
        <v>2279</v>
      </c>
      <c r="C6055" t="s">
        <v>119</v>
      </c>
      <c r="D6055" s="1">
        <v>45818</v>
      </c>
      <c r="E6055" t="s">
        <v>4129</v>
      </c>
      <c r="F6055" t="s">
        <v>4137</v>
      </c>
    </row>
    <row r="6056" spans="1:6">
      <c r="A6056" t="s">
        <v>10185</v>
      </c>
      <c r="B6056" t="s">
        <v>2279</v>
      </c>
      <c r="C6056" t="s">
        <v>119</v>
      </c>
      <c r="D6056" s="1">
        <v>45853</v>
      </c>
      <c r="E6056" t="s">
        <v>4129</v>
      </c>
      <c r="F6056" t="s">
        <v>4139</v>
      </c>
    </row>
    <row r="6057" spans="1:6">
      <c r="A6057" t="s">
        <v>10186</v>
      </c>
      <c r="B6057" t="s">
        <v>2279</v>
      </c>
      <c r="C6057" t="s">
        <v>119</v>
      </c>
      <c r="D6057" s="1">
        <v>45818</v>
      </c>
      <c r="E6057" t="s">
        <v>4124</v>
      </c>
      <c r="F6057" t="s">
        <v>4139</v>
      </c>
    </row>
    <row r="6058" spans="1:6">
      <c r="A6058" t="s">
        <v>10187</v>
      </c>
      <c r="B6058" t="s">
        <v>2280</v>
      </c>
      <c r="C6058" t="s">
        <v>70</v>
      </c>
      <c r="D6058" s="1">
        <v>45784</v>
      </c>
      <c r="E6058" t="s">
        <v>4129</v>
      </c>
      <c r="F6058" t="s">
        <v>4125</v>
      </c>
    </row>
    <row r="6059" spans="1:6">
      <c r="A6059" t="s">
        <v>10188</v>
      </c>
      <c r="B6059" t="s">
        <v>2280</v>
      </c>
      <c r="C6059" t="s">
        <v>70</v>
      </c>
      <c r="D6059" s="1">
        <v>45755</v>
      </c>
      <c r="E6059" t="s">
        <v>4127</v>
      </c>
      <c r="F6059" t="s">
        <v>4139</v>
      </c>
    </row>
    <row r="6060" spans="1:6">
      <c r="A6060" t="s">
        <v>10189</v>
      </c>
      <c r="B6060" t="s">
        <v>2280</v>
      </c>
      <c r="C6060" t="s">
        <v>70</v>
      </c>
      <c r="D6060" s="1">
        <v>45772</v>
      </c>
      <c r="E6060" t="s">
        <v>4135</v>
      </c>
      <c r="F6060" t="s">
        <v>4137</v>
      </c>
    </row>
    <row r="6061" spans="1:6">
      <c r="A6061" t="s">
        <v>10190</v>
      </c>
      <c r="B6061" t="s">
        <v>2280</v>
      </c>
      <c r="C6061" t="s">
        <v>70</v>
      </c>
      <c r="D6061" s="1">
        <v>45766</v>
      </c>
      <c r="E6061" t="s">
        <v>4129</v>
      </c>
      <c r="F6061" t="s">
        <v>4137</v>
      </c>
    </row>
    <row r="6062" spans="1:6">
      <c r="A6062" t="s">
        <v>10191</v>
      </c>
      <c r="B6062" t="s">
        <v>2281</v>
      </c>
      <c r="C6062" t="s">
        <v>126</v>
      </c>
      <c r="D6062" s="1">
        <v>45731</v>
      </c>
      <c r="E6062" t="s">
        <v>4124</v>
      </c>
      <c r="F6062" t="s">
        <v>4139</v>
      </c>
    </row>
    <row r="6063" spans="1:6">
      <c r="A6063" t="s">
        <v>10192</v>
      </c>
      <c r="B6063" t="s">
        <v>2281</v>
      </c>
      <c r="C6063" t="s">
        <v>126</v>
      </c>
      <c r="D6063" s="1">
        <v>45715</v>
      </c>
      <c r="E6063" t="s">
        <v>4129</v>
      </c>
      <c r="F6063" t="s">
        <v>4125</v>
      </c>
    </row>
    <row r="6064" spans="1:6">
      <c r="A6064" t="s">
        <v>10193</v>
      </c>
      <c r="B6064" t="s">
        <v>2281</v>
      </c>
      <c r="C6064" t="s">
        <v>126</v>
      </c>
      <c r="D6064" s="1">
        <v>45716</v>
      </c>
      <c r="E6064" t="s">
        <v>4135</v>
      </c>
      <c r="F6064" t="s">
        <v>4137</v>
      </c>
    </row>
    <row r="6065" spans="1:6">
      <c r="A6065" t="s">
        <v>10194</v>
      </c>
      <c r="B6065" t="s">
        <v>2282</v>
      </c>
      <c r="C6065" t="s">
        <v>32</v>
      </c>
      <c r="D6065" s="1">
        <v>46006</v>
      </c>
      <c r="E6065" t="s">
        <v>4124</v>
      </c>
      <c r="F6065" t="s">
        <v>4137</v>
      </c>
    </row>
    <row r="6066" spans="1:6">
      <c r="A6066" t="s">
        <v>10195</v>
      </c>
      <c r="B6066" t="s">
        <v>2282</v>
      </c>
      <c r="C6066" t="s">
        <v>32</v>
      </c>
      <c r="D6066" s="1">
        <v>46004</v>
      </c>
      <c r="E6066" t="s">
        <v>4127</v>
      </c>
      <c r="F6066" t="s">
        <v>4137</v>
      </c>
    </row>
    <row r="6067" spans="1:6">
      <c r="A6067" t="s">
        <v>10196</v>
      </c>
      <c r="B6067" t="s">
        <v>2282</v>
      </c>
      <c r="C6067" t="s">
        <v>32</v>
      </c>
      <c r="D6067" s="1">
        <v>46003</v>
      </c>
      <c r="E6067" t="s">
        <v>4129</v>
      </c>
      <c r="F6067" t="s">
        <v>4139</v>
      </c>
    </row>
    <row r="6068" spans="1:6">
      <c r="A6068" t="s">
        <v>10197</v>
      </c>
      <c r="B6068" t="s">
        <v>2283</v>
      </c>
      <c r="C6068" t="s">
        <v>46</v>
      </c>
      <c r="D6068" s="1">
        <v>45899</v>
      </c>
      <c r="E6068" t="s">
        <v>4129</v>
      </c>
      <c r="F6068" t="s">
        <v>4125</v>
      </c>
    </row>
    <row r="6069" spans="1:6">
      <c r="A6069" t="s">
        <v>10198</v>
      </c>
      <c r="B6069" t="s">
        <v>2283</v>
      </c>
      <c r="C6069" t="s">
        <v>46</v>
      </c>
      <c r="D6069" s="1">
        <v>45888</v>
      </c>
      <c r="E6069" t="s">
        <v>4127</v>
      </c>
      <c r="F6069" t="s">
        <v>4137</v>
      </c>
    </row>
    <row r="6070" spans="1:6">
      <c r="A6070" t="s">
        <v>10199</v>
      </c>
      <c r="B6070" t="s">
        <v>2283</v>
      </c>
      <c r="C6070" t="s">
        <v>46</v>
      </c>
      <c r="D6070" s="1">
        <v>45893</v>
      </c>
      <c r="E6070" t="s">
        <v>4124</v>
      </c>
      <c r="F6070" t="s">
        <v>4125</v>
      </c>
    </row>
    <row r="6071" spans="1:6">
      <c r="A6071" t="s">
        <v>10200</v>
      </c>
      <c r="B6071" t="s">
        <v>2284</v>
      </c>
      <c r="C6071" t="s">
        <v>53</v>
      </c>
      <c r="D6071" s="1">
        <v>45987</v>
      </c>
      <c r="E6071" t="s">
        <v>4135</v>
      </c>
      <c r="F6071" t="s">
        <v>4137</v>
      </c>
    </row>
    <row r="6072" spans="1:6">
      <c r="A6072" t="s">
        <v>10201</v>
      </c>
      <c r="B6072" t="s">
        <v>2284</v>
      </c>
      <c r="C6072" t="s">
        <v>53</v>
      </c>
      <c r="D6072" s="1">
        <v>45986</v>
      </c>
      <c r="E6072" t="s">
        <v>4129</v>
      </c>
      <c r="F6072" t="s">
        <v>4137</v>
      </c>
    </row>
    <row r="6073" spans="1:6">
      <c r="A6073" t="s">
        <v>10202</v>
      </c>
      <c r="B6073" t="s">
        <v>2284</v>
      </c>
      <c r="C6073" t="s">
        <v>53</v>
      </c>
      <c r="D6073" s="1">
        <v>45995</v>
      </c>
      <c r="E6073" t="s">
        <v>4124</v>
      </c>
      <c r="F6073" t="s">
        <v>4139</v>
      </c>
    </row>
    <row r="6074" spans="1:6">
      <c r="A6074" t="s">
        <v>10203</v>
      </c>
      <c r="B6074" t="s">
        <v>2285</v>
      </c>
      <c r="C6074" t="s">
        <v>56</v>
      </c>
      <c r="D6074" s="1">
        <v>45821</v>
      </c>
      <c r="E6074" t="s">
        <v>4129</v>
      </c>
      <c r="F6074" t="s">
        <v>4139</v>
      </c>
    </row>
    <row r="6075" spans="1:6">
      <c r="A6075" t="s">
        <v>10204</v>
      </c>
      <c r="B6075" t="s">
        <v>2285</v>
      </c>
      <c r="C6075" t="s">
        <v>56</v>
      </c>
      <c r="D6075" s="1">
        <v>45819</v>
      </c>
      <c r="E6075" t="s">
        <v>4133</v>
      </c>
      <c r="F6075" t="s">
        <v>4139</v>
      </c>
    </row>
    <row r="6076" spans="1:6">
      <c r="A6076" t="s">
        <v>10205</v>
      </c>
      <c r="B6076" t="s">
        <v>2285</v>
      </c>
      <c r="C6076" t="s">
        <v>56</v>
      </c>
      <c r="D6076" s="1">
        <v>45820</v>
      </c>
      <c r="E6076" t="s">
        <v>4127</v>
      </c>
      <c r="F6076" t="s">
        <v>4137</v>
      </c>
    </row>
    <row r="6077" spans="1:6">
      <c r="A6077" t="s">
        <v>10206</v>
      </c>
      <c r="B6077" t="s">
        <v>2285</v>
      </c>
      <c r="C6077" t="s">
        <v>56</v>
      </c>
      <c r="D6077" s="1">
        <v>45825</v>
      </c>
      <c r="E6077" t="s">
        <v>4133</v>
      </c>
      <c r="F6077" t="s">
        <v>4125</v>
      </c>
    </row>
    <row r="6078" spans="1:6">
      <c r="A6078" t="s">
        <v>10207</v>
      </c>
      <c r="B6078" t="s">
        <v>2285</v>
      </c>
      <c r="C6078" t="s">
        <v>56</v>
      </c>
      <c r="D6078" s="1">
        <v>45819</v>
      </c>
      <c r="E6078" t="s">
        <v>4127</v>
      </c>
      <c r="F6078" t="s">
        <v>4125</v>
      </c>
    </row>
    <row r="6079" spans="1:6">
      <c r="A6079" t="s">
        <v>10208</v>
      </c>
      <c r="B6079" t="s">
        <v>2286</v>
      </c>
      <c r="C6079" t="s">
        <v>27</v>
      </c>
      <c r="D6079" s="1">
        <v>46004</v>
      </c>
      <c r="E6079" t="s">
        <v>4127</v>
      </c>
      <c r="F6079" t="s">
        <v>4139</v>
      </c>
    </row>
    <row r="6080" spans="1:6">
      <c r="A6080" t="s">
        <v>10209</v>
      </c>
      <c r="B6080" t="s">
        <v>2286</v>
      </c>
      <c r="C6080" t="s">
        <v>27</v>
      </c>
      <c r="D6080" s="1">
        <v>46020</v>
      </c>
      <c r="E6080" t="s">
        <v>4127</v>
      </c>
      <c r="F6080" t="s">
        <v>4137</v>
      </c>
    </row>
    <row r="6081" spans="1:6">
      <c r="A6081" t="s">
        <v>10210</v>
      </c>
      <c r="B6081" t="s">
        <v>2286</v>
      </c>
      <c r="C6081" t="s">
        <v>27</v>
      </c>
      <c r="D6081" s="1">
        <v>45971</v>
      </c>
      <c r="E6081" t="s">
        <v>4129</v>
      </c>
      <c r="F6081" t="s">
        <v>4139</v>
      </c>
    </row>
    <row r="6082" spans="1:6">
      <c r="A6082" t="s">
        <v>10211</v>
      </c>
      <c r="B6082" t="s">
        <v>2286</v>
      </c>
      <c r="C6082" t="s">
        <v>27</v>
      </c>
      <c r="D6082" s="1">
        <v>46006</v>
      </c>
      <c r="E6082" t="s">
        <v>4129</v>
      </c>
      <c r="F6082" t="s">
        <v>4139</v>
      </c>
    </row>
    <row r="6083" spans="1:6">
      <c r="A6083" t="s">
        <v>10212</v>
      </c>
      <c r="B6083" t="s">
        <v>2286</v>
      </c>
      <c r="C6083" t="s">
        <v>27</v>
      </c>
      <c r="D6083" s="1">
        <v>46017</v>
      </c>
      <c r="E6083" t="s">
        <v>4129</v>
      </c>
      <c r="F6083" t="s">
        <v>4137</v>
      </c>
    </row>
    <row r="6084" spans="1:6">
      <c r="A6084" t="s">
        <v>10213</v>
      </c>
      <c r="B6084" t="s">
        <v>2287</v>
      </c>
      <c r="C6084" t="s">
        <v>27</v>
      </c>
      <c r="D6084" s="1">
        <v>45953</v>
      </c>
      <c r="E6084" t="s">
        <v>4129</v>
      </c>
      <c r="F6084" t="s">
        <v>4139</v>
      </c>
    </row>
    <row r="6085" spans="1:6">
      <c r="A6085" t="s">
        <v>10214</v>
      </c>
      <c r="B6085" t="s">
        <v>2287</v>
      </c>
      <c r="C6085" t="s">
        <v>27</v>
      </c>
      <c r="D6085" s="1">
        <v>45940</v>
      </c>
      <c r="E6085" t="s">
        <v>4135</v>
      </c>
      <c r="F6085" t="s">
        <v>4125</v>
      </c>
    </row>
    <row r="6086" spans="1:6">
      <c r="A6086" t="s">
        <v>10215</v>
      </c>
      <c r="B6086" t="s">
        <v>2288</v>
      </c>
      <c r="C6086" t="s">
        <v>91</v>
      </c>
      <c r="D6086" s="1">
        <v>45672</v>
      </c>
      <c r="E6086" t="s">
        <v>4135</v>
      </c>
      <c r="F6086" t="s">
        <v>4139</v>
      </c>
    </row>
    <row r="6087" spans="1:6">
      <c r="A6087" t="s">
        <v>10216</v>
      </c>
      <c r="B6087" t="s">
        <v>2288</v>
      </c>
      <c r="C6087" t="s">
        <v>91</v>
      </c>
      <c r="D6087" s="1">
        <v>45672</v>
      </c>
      <c r="E6087" t="s">
        <v>4127</v>
      </c>
      <c r="F6087" t="s">
        <v>4125</v>
      </c>
    </row>
    <row r="6088" spans="1:6">
      <c r="A6088" t="s">
        <v>10217</v>
      </c>
      <c r="B6088" t="s">
        <v>2288</v>
      </c>
      <c r="C6088" t="s">
        <v>91</v>
      </c>
      <c r="D6088" s="1">
        <v>45677</v>
      </c>
      <c r="E6088" t="s">
        <v>4135</v>
      </c>
      <c r="F6088" t="s">
        <v>4139</v>
      </c>
    </row>
    <row r="6089" spans="1:6">
      <c r="A6089" t="s">
        <v>10218</v>
      </c>
      <c r="B6089" t="s">
        <v>2289</v>
      </c>
      <c r="C6089" t="s">
        <v>16</v>
      </c>
      <c r="D6089" s="1">
        <v>45712</v>
      </c>
      <c r="E6089" t="s">
        <v>4129</v>
      </c>
      <c r="F6089" t="s">
        <v>4137</v>
      </c>
    </row>
    <row r="6090" spans="1:6">
      <c r="A6090" t="s">
        <v>10219</v>
      </c>
      <c r="B6090" t="s">
        <v>2289</v>
      </c>
      <c r="C6090" t="s">
        <v>16</v>
      </c>
      <c r="D6090" s="1">
        <v>45703</v>
      </c>
      <c r="E6090" t="s">
        <v>4135</v>
      </c>
      <c r="F6090" t="s">
        <v>4125</v>
      </c>
    </row>
    <row r="6091" spans="1:6">
      <c r="A6091" t="s">
        <v>10220</v>
      </c>
      <c r="B6091" t="s">
        <v>2289</v>
      </c>
      <c r="C6091" t="s">
        <v>16</v>
      </c>
      <c r="D6091" s="1">
        <v>45707</v>
      </c>
      <c r="E6091" t="s">
        <v>4127</v>
      </c>
      <c r="F6091" t="s">
        <v>4125</v>
      </c>
    </row>
    <row r="6092" spans="1:6">
      <c r="A6092" t="s">
        <v>10221</v>
      </c>
      <c r="B6092" t="s">
        <v>2289</v>
      </c>
      <c r="C6092" t="s">
        <v>16</v>
      </c>
      <c r="D6092" s="1">
        <v>45679</v>
      </c>
      <c r="E6092" t="s">
        <v>4124</v>
      </c>
      <c r="F6092" t="s">
        <v>4137</v>
      </c>
    </row>
    <row r="6093" spans="1:6">
      <c r="A6093" t="s">
        <v>10222</v>
      </c>
      <c r="B6093" t="s">
        <v>2290</v>
      </c>
      <c r="C6093" t="s">
        <v>78</v>
      </c>
      <c r="D6093" s="1">
        <v>45888</v>
      </c>
      <c r="E6093" t="s">
        <v>4127</v>
      </c>
      <c r="F6093" t="s">
        <v>4139</v>
      </c>
    </row>
    <row r="6094" spans="1:6">
      <c r="A6094" t="s">
        <v>10223</v>
      </c>
      <c r="B6094" t="s">
        <v>2290</v>
      </c>
      <c r="C6094" t="s">
        <v>78</v>
      </c>
      <c r="D6094" s="1">
        <v>45883</v>
      </c>
      <c r="E6094" t="s">
        <v>4127</v>
      </c>
      <c r="F6094" t="s">
        <v>4137</v>
      </c>
    </row>
    <row r="6095" spans="1:6">
      <c r="A6095" t="s">
        <v>10224</v>
      </c>
      <c r="B6095" t="s">
        <v>2290</v>
      </c>
      <c r="C6095" t="s">
        <v>78</v>
      </c>
      <c r="D6095" s="1">
        <v>45891</v>
      </c>
      <c r="E6095" t="s">
        <v>4133</v>
      </c>
      <c r="F6095" t="s">
        <v>4139</v>
      </c>
    </row>
    <row r="6096" spans="1:6">
      <c r="A6096" t="s">
        <v>10225</v>
      </c>
      <c r="B6096" t="s">
        <v>2290</v>
      </c>
      <c r="C6096" t="s">
        <v>78</v>
      </c>
      <c r="D6096" s="1">
        <v>45873</v>
      </c>
      <c r="E6096" t="s">
        <v>4133</v>
      </c>
      <c r="F6096" t="s">
        <v>4125</v>
      </c>
    </row>
    <row r="6097" spans="1:6">
      <c r="A6097" t="s">
        <v>10226</v>
      </c>
      <c r="B6097" t="s">
        <v>2290</v>
      </c>
      <c r="C6097" t="s">
        <v>78</v>
      </c>
      <c r="D6097" s="1">
        <v>45883</v>
      </c>
      <c r="E6097" t="s">
        <v>4133</v>
      </c>
      <c r="F6097" t="s">
        <v>4125</v>
      </c>
    </row>
    <row r="6098" spans="1:6">
      <c r="A6098" t="s">
        <v>10227</v>
      </c>
      <c r="B6098" t="s">
        <v>2291</v>
      </c>
      <c r="C6098" t="s">
        <v>70</v>
      </c>
      <c r="D6098" s="1">
        <v>45725</v>
      </c>
      <c r="E6098" t="s">
        <v>4127</v>
      </c>
      <c r="F6098" t="s">
        <v>4137</v>
      </c>
    </row>
    <row r="6099" spans="1:6">
      <c r="A6099" t="s">
        <v>10228</v>
      </c>
      <c r="B6099" t="s">
        <v>2291</v>
      </c>
      <c r="C6099" t="s">
        <v>70</v>
      </c>
      <c r="D6099" s="1">
        <v>45738</v>
      </c>
      <c r="E6099" t="s">
        <v>4129</v>
      </c>
      <c r="F6099" t="s">
        <v>4137</v>
      </c>
    </row>
    <row r="6100" spans="1:6">
      <c r="A6100" t="s">
        <v>10229</v>
      </c>
      <c r="B6100" t="s">
        <v>2292</v>
      </c>
      <c r="C6100" t="s">
        <v>126</v>
      </c>
      <c r="D6100" s="1">
        <v>45705</v>
      </c>
      <c r="E6100" t="s">
        <v>4129</v>
      </c>
      <c r="F6100" t="s">
        <v>4125</v>
      </c>
    </row>
    <row r="6101" spans="1:6">
      <c r="A6101" t="s">
        <v>10230</v>
      </c>
      <c r="B6101" t="s">
        <v>2292</v>
      </c>
      <c r="C6101" t="s">
        <v>126</v>
      </c>
      <c r="D6101" s="1">
        <v>45707</v>
      </c>
      <c r="E6101" t="s">
        <v>4133</v>
      </c>
      <c r="F6101" t="s">
        <v>4139</v>
      </c>
    </row>
    <row r="6102" spans="1:6">
      <c r="A6102" t="s">
        <v>10231</v>
      </c>
      <c r="B6102" t="s">
        <v>2292</v>
      </c>
      <c r="C6102" t="s">
        <v>126</v>
      </c>
      <c r="D6102" s="1">
        <v>45706</v>
      </c>
      <c r="E6102" t="s">
        <v>4124</v>
      </c>
      <c r="F6102" t="s">
        <v>4125</v>
      </c>
    </row>
    <row r="6103" spans="1:6">
      <c r="A6103" t="s">
        <v>10232</v>
      </c>
      <c r="B6103" t="s">
        <v>2292</v>
      </c>
      <c r="C6103" t="s">
        <v>126</v>
      </c>
      <c r="D6103" s="1">
        <v>45691</v>
      </c>
      <c r="E6103" t="s">
        <v>4129</v>
      </c>
      <c r="F6103" t="s">
        <v>4137</v>
      </c>
    </row>
    <row r="6104" spans="1:6">
      <c r="A6104" t="s">
        <v>10233</v>
      </c>
      <c r="B6104" t="s">
        <v>2292</v>
      </c>
      <c r="C6104" t="s">
        <v>126</v>
      </c>
      <c r="D6104" s="1">
        <v>45705</v>
      </c>
      <c r="E6104" t="s">
        <v>4133</v>
      </c>
      <c r="F6104" t="s">
        <v>4137</v>
      </c>
    </row>
    <row r="6105" spans="1:6">
      <c r="A6105" t="s">
        <v>10234</v>
      </c>
      <c r="B6105" t="s">
        <v>2293</v>
      </c>
      <c r="C6105" t="s">
        <v>16</v>
      </c>
      <c r="D6105" s="1">
        <v>45757</v>
      </c>
      <c r="E6105" t="s">
        <v>4133</v>
      </c>
      <c r="F6105" t="s">
        <v>4137</v>
      </c>
    </row>
    <row r="6106" spans="1:6">
      <c r="A6106" t="s">
        <v>10235</v>
      </c>
      <c r="B6106" t="s">
        <v>2293</v>
      </c>
      <c r="C6106" t="s">
        <v>16</v>
      </c>
      <c r="D6106" s="1">
        <v>45766</v>
      </c>
      <c r="E6106" t="s">
        <v>4127</v>
      </c>
      <c r="F6106" t="s">
        <v>4139</v>
      </c>
    </row>
    <row r="6107" spans="1:6">
      <c r="A6107" t="s">
        <v>10236</v>
      </c>
      <c r="B6107" t="s">
        <v>2294</v>
      </c>
      <c r="C6107" t="s">
        <v>119</v>
      </c>
      <c r="D6107" s="1">
        <v>45722</v>
      </c>
      <c r="E6107" t="s">
        <v>4133</v>
      </c>
      <c r="F6107" t="s">
        <v>4137</v>
      </c>
    </row>
    <row r="6108" spans="1:6">
      <c r="A6108" t="s">
        <v>10237</v>
      </c>
      <c r="B6108" t="s">
        <v>2294</v>
      </c>
      <c r="C6108" t="s">
        <v>119</v>
      </c>
      <c r="D6108" s="1">
        <v>45666</v>
      </c>
      <c r="E6108" t="s">
        <v>4129</v>
      </c>
      <c r="F6108" t="s">
        <v>4139</v>
      </c>
    </row>
    <row r="6109" spans="1:6">
      <c r="A6109" t="s">
        <v>10238</v>
      </c>
      <c r="B6109" t="s">
        <v>2294</v>
      </c>
      <c r="C6109" t="s">
        <v>119</v>
      </c>
      <c r="D6109" s="1">
        <v>45681</v>
      </c>
      <c r="E6109" t="s">
        <v>4124</v>
      </c>
      <c r="F6109" t="s">
        <v>4125</v>
      </c>
    </row>
    <row r="6110" spans="1:6">
      <c r="A6110" t="s">
        <v>10239</v>
      </c>
      <c r="B6110" t="s">
        <v>2294</v>
      </c>
      <c r="C6110" t="s">
        <v>119</v>
      </c>
      <c r="D6110" s="1">
        <v>45684</v>
      </c>
      <c r="E6110" t="s">
        <v>4127</v>
      </c>
      <c r="F6110" t="s">
        <v>4137</v>
      </c>
    </row>
    <row r="6111" spans="1:6">
      <c r="A6111" t="s">
        <v>10240</v>
      </c>
      <c r="B6111" t="s">
        <v>2294</v>
      </c>
      <c r="C6111" t="s">
        <v>119</v>
      </c>
      <c r="D6111" s="1">
        <v>45700</v>
      </c>
      <c r="E6111" t="s">
        <v>4127</v>
      </c>
      <c r="F6111" t="s">
        <v>4139</v>
      </c>
    </row>
    <row r="6112" spans="1:6">
      <c r="A6112" t="s">
        <v>10241</v>
      </c>
      <c r="B6112" t="s">
        <v>2295</v>
      </c>
      <c r="C6112" t="s">
        <v>27</v>
      </c>
      <c r="D6112" s="1">
        <v>45976</v>
      </c>
      <c r="E6112" t="s">
        <v>4127</v>
      </c>
      <c r="F6112" t="s">
        <v>4137</v>
      </c>
    </row>
    <row r="6113" spans="1:6">
      <c r="A6113" t="s">
        <v>10242</v>
      </c>
      <c r="B6113" t="s">
        <v>2295</v>
      </c>
      <c r="C6113" t="s">
        <v>27</v>
      </c>
      <c r="D6113" s="1">
        <v>45987</v>
      </c>
      <c r="E6113" t="s">
        <v>4129</v>
      </c>
      <c r="F6113" t="s">
        <v>4125</v>
      </c>
    </row>
    <row r="6114" spans="1:6">
      <c r="A6114" t="s">
        <v>10243</v>
      </c>
      <c r="B6114" t="s">
        <v>2295</v>
      </c>
      <c r="C6114" t="s">
        <v>27</v>
      </c>
      <c r="D6114" s="1">
        <v>45974</v>
      </c>
      <c r="E6114" t="s">
        <v>4129</v>
      </c>
      <c r="F6114" t="s">
        <v>4125</v>
      </c>
    </row>
    <row r="6115" spans="1:6">
      <c r="A6115" t="s">
        <v>10244</v>
      </c>
      <c r="B6115" t="s">
        <v>2295</v>
      </c>
      <c r="C6115" t="s">
        <v>27</v>
      </c>
      <c r="D6115" s="1">
        <v>45994</v>
      </c>
      <c r="E6115" t="s">
        <v>4127</v>
      </c>
      <c r="F6115" t="s">
        <v>4125</v>
      </c>
    </row>
    <row r="6116" spans="1:6">
      <c r="A6116" t="s">
        <v>10245</v>
      </c>
      <c r="B6116" t="s">
        <v>2295</v>
      </c>
      <c r="C6116" t="s">
        <v>27</v>
      </c>
      <c r="D6116" s="1">
        <v>46001</v>
      </c>
      <c r="E6116" t="s">
        <v>4133</v>
      </c>
      <c r="F6116" t="s">
        <v>4137</v>
      </c>
    </row>
    <row r="6117" spans="1:6">
      <c r="A6117" t="s">
        <v>10246</v>
      </c>
      <c r="B6117" t="s">
        <v>2296</v>
      </c>
      <c r="C6117" t="s">
        <v>56</v>
      </c>
      <c r="D6117" s="1">
        <v>45812</v>
      </c>
      <c r="E6117" t="s">
        <v>4124</v>
      </c>
      <c r="F6117" t="s">
        <v>4137</v>
      </c>
    </row>
    <row r="6118" spans="1:6">
      <c r="A6118" t="s">
        <v>10247</v>
      </c>
      <c r="B6118" t="s">
        <v>2296</v>
      </c>
      <c r="C6118" t="s">
        <v>56</v>
      </c>
      <c r="D6118" s="1">
        <v>45803</v>
      </c>
      <c r="E6118" t="s">
        <v>4127</v>
      </c>
      <c r="F6118" t="s">
        <v>4139</v>
      </c>
    </row>
    <row r="6119" spans="1:6">
      <c r="A6119" t="s">
        <v>10248</v>
      </c>
      <c r="B6119" t="s">
        <v>2296</v>
      </c>
      <c r="C6119" t="s">
        <v>56</v>
      </c>
      <c r="D6119" s="1">
        <v>45819</v>
      </c>
      <c r="E6119" t="s">
        <v>4129</v>
      </c>
      <c r="F6119" t="s">
        <v>4137</v>
      </c>
    </row>
    <row r="6120" spans="1:6">
      <c r="A6120" t="s">
        <v>10249</v>
      </c>
      <c r="B6120" t="s">
        <v>2296</v>
      </c>
      <c r="C6120" t="s">
        <v>56</v>
      </c>
      <c r="D6120" s="1">
        <v>45812</v>
      </c>
      <c r="E6120" t="s">
        <v>4124</v>
      </c>
      <c r="F6120" t="s">
        <v>4137</v>
      </c>
    </row>
    <row r="6121" spans="1:6">
      <c r="A6121" t="s">
        <v>10250</v>
      </c>
      <c r="B6121" t="s">
        <v>2297</v>
      </c>
      <c r="C6121" t="s">
        <v>63</v>
      </c>
      <c r="D6121" s="1">
        <v>45850</v>
      </c>
      <c r="E6121" t="s">
        <v>4124</v>
      </c>
      <c r="F6121" t="s">
        <v>4139</v>
      </c>
    </row>
    <row r="6122" spans="1:6">
      <c r="A6122" t="s">
        <v>10251</v>
      </c>
      <c r="B6122" t="s">
        <v>2297</v>
      </c>
      <c r="C6122" t="s">
        <v>63</v>
      </c>
      <c r="D6122" s="1">
        <v>45849</v>
      </c>
      <c r="E6122" t="s">
        <v>4127</v>
      </c>
      <c r="F6122" t="s">
        <v>4125</v>
      </c>
    </row>
    <row r="6123" spans="1:6">
      <c r="A6123" t="s">
        <v>10252</v>
      </c>
      <c r="B6123" t="s">
        <v>2297</v>
      </c>
      <c r="C6123" t="s">
        <v>63</v>
      </c>
      <c r="D6123" s="1">
        <v>45846</v>
      </c>
      <c r="E6123" t="s">
        <v>4129</v>
      </c>
      <c r="F6123" t="s">
        <v>4137</v>
      </c>
    </row>
    <row r="6124" spans="1:6">
      <c r="A6124" t="s">
        <v>10253</v>
      </c>
      <c r="B6124" t="s">
        <v>2298</v>
      </c>
      <c r="C6124" t="s">
        <v>75</v>
      </c>
      <c r="D6124" s="1">
        <v>46021</v>
      </c>
      <c r="E6124" t="s">
        <v>4124</v>
      </c>
      <c r="F6124" t="s">
        <v>4137</v>
      </c>
    </row>
    <row r="6125" spans="1:6">
      <c r="A6125" t="s">
        <v>10254</v>
      </c>
      <c r="B6125" t="s">
        <v>2298</v>
      </c>
      <c r="C6125" t="s">
        <v>75</v>
      </c>
      <c r="D6125" s="1">
        <v>46011</v>
      </c>
      <c r="E6125" t="s">
        <v>4129</v>
      </c>
      <c r="F6125" t="s">
        <v>4137</v>
      </c>
    </row>
    <row r="6126" spans="1:6">
      <c r="A6126" t="s">
        <v>10255</v>
      </c>
      <c r="B6126" t="s">
        <v>2299</v>
      </c>
      <c r="C6126" t="s">
        <v>126</v>
      </c>
      <c r="D6126" s="1">
        <v>45818</v>
      </c>
      <c r="E6126" t="s">
        <v>4124</v>
      </c>
      <c r="F6126" t="s">
        <v>4137</v>
      </c>
    </row>
    <row r="6127" spans="1:6">
      <c r="A6127" t="s">
        <v>10256</v>
      </c>
      <c r="B6127" t="s">
        <v>2299</v>
      </c>
      <c r="C6127" t="s">
        <v>126</v>
      </c>
      <c r="D6127" s="1">
        <v>45827</v>
      </c>
      <c r="E6127" t="s">
        <v>4135</v>
      </c>
      <c r="F6127" t="s">
        <v>4137</v>
      </c>
    </row>
    <row r="6128" spans="1:6">
      <c r="A6128" t="s">
        <v>10257</v>
      </c>
      <c r="B6128" t="s">
        <v>2300</v>
      </c>
      <c r="C6128" t="s">
        <v>40</v>
      </c>
      <c r="D6128" s="1">
        <v>45725</v>
      </c>
      <c r="E6128" t="s">
        <v>4135</v>
      </c>
      <c r="F6128" t="s">
        <v>4137</v>
      </c>
    </row>
    <row r="6129" spans="1:6">
      <c r="A6129" t="s">
        <v>10258</v>
      </c>
      <c r="B6129" t="s">
        <v>2300</v>
      </c>
      <c r="C6129" t="s">
        <v>40</v>
      </c>
      <c r="D6129" s="1">
        <v>45689</v>
      </c>
      <c r="E6129" t="s">
        <v>4127</v>
      </c>
      <c r="F6129" t="s">
        <v>4139</v>
      </c>
    </row>
    <row r="6130" spans="1:6">
      <c r="A6130" t="s">
        <v>10259</v>
      </c>
      <c r="B6130" t="s">
        <v>2301</v>
      </c>
      <c r="C6130" t="s">
        <v>16</v>
      </c>
      <c r="D6130" s="1">
        <v>45773</v>
      </c>
      <c r="E6130" t="s">
        <v>4124</v>
      </c>
      <c r="F6130" t="s">
        <v>4139</v>
      </c>
    </row>
    <row r="6131" spans="1:6">
      <c r="A6131" t="s">
        <v>10260</v>
      </c>
      <c r="B6131" t="s">
        <v>2301</v>
      </c>
      <c r="C6131" t="s">
        <v>16</v>
      </c>
      <c r="D6131" s="1">
        <v>45763</v>
      </c>
      <c r="E6131" t="s">
        <v>4135</v>
      </c>
      <c r="F6131" t="s">
        <v>4139</v>
      </c>
    </row>
    <row r="6132" spans="1:6">
      <c r="A6132" t="s">
        <v>10261</v>
      </c>
      <c r="B6132" t="s">
        <v>2301</v>
      </c>
      <c r="C6132" t="s">
        <v>16</v>
      </c>
      <c r="D6132" s="1">
        <v>45758</v>
      </c>
      <c r="E6132" t="s">
        <v>4133</v>
      </c>
      <c r="F6132" t="s">
        <v>4137</v>
      </c>
    </row>
    <row r="6133" spans="1:6">
      <c r="A6133" t="s">
        <v>10262</v>
      </c>
      <c r="B6133" t="s">
        <v>2301</v>
      </c>
      <c r="C6133" t="s">
        <v>16</v>
      </c>
      <c r="D6133" s="1">
        <v>45784</v>
      </c>
      <c r="E6133" t="s">
        <v>4135</v>
      </c>
      <c r="F6133" t="s">
        <v>4139</v>
      </c>
    </row>
    <row r="6134" spans="1:6">
      <c r="A6134" t="s">
        <v>10263</v>
      </c>
      <c r="B6134" t="s">
        <v>2302</v>
      </c>
      <c r="C6134" t="s">
        <v>168</v>
      </c>
      <c r="D6134" s="1">
        <v>45840</v>
      </c>
      <c r="E6134" t="s">
        <v>4133</v>
      </c>
      <c r="F6134" t="s">
        <v>4137</v>
      </c>
    </row>
    <row r="6135" spans="1:6">
      <c r="A6135" t="s">
        <v>10264</v>
      </c>
      <c r="B6135" t="s">
        <v>2302</v>
      </c>
      <c r="C6135" t="s">
        <v>168</v>
      </c>
      <c r="D6135" s="1">
        <v>45834</v>
      </c>
      <c r="E6135" t="s">
        <v>4127</v>
      </c>
      <c r="F6135" t="s">
        <v>4125</v>
      </c>
    </row>
    <row r="6136" spans="1:6">
      <c r="A6136" t="s">
        <v>10265</v>
      </c>
      <c r="B6136" t="s">
        <v>2302</v>
      </c>
      <c r="C6136" t="s">
        <v>168</v>
      </c>
      <c r="D6136" s="1">
        <v>45831</v>
      </c>
      <c r="E6136" t="s">
        <v>4135</v>
      </c>
      <c r="F6136" t="s">
        <v>4139</v>
      </c>
    </row>
    <row r="6137" spans="1:6">
      <c r="A6137" t="s">
        <v>10266</v>
      </c>
      <c r="B6137" t="s">
        <v>2302</v>
      </c>
      <c r="C6137" t="s">
        <v>168</v>
      </c>
      <c r="D6137" s="1">
        <v>45831</v>
      </c>
      <c r="E6137" t="s">
        <v>4133</v>
      </c>
      <c r="F6137" t="s">
        <v>4139</v>
      </c>
    </row>
    <row r="6138" spans="1:6">
      <c r="A6138" t="s">
        <v>10267</v>
      </c>
      <c r="B6138" t="s">
        <v>2303</v>
      </c>
      <c r="C6138" t="s">
        <v>126</v>
      </c>
      <c r="D6138" s="1">
        <v>45971</v>
      </c>
      <c r="E6138" t="s">
        <v>4133</v>
      </c>
      <c r="F6138" t="s">
        <v>4125</v>
      </c>
    </row>
    <row r="6139" spans="1:6">
      <c r="A6139" t="s">
        <v>10268</v>
      </c>
      <c r="B6139" t="s">
        <v>2303</v>
      </c>
      <c r="C6139" t="s">
        <v>126</v>
      </c>
      <c r="D6139" s="1">
        <v>45985</v>
      </c>
      <c r="E6139" t="s">
        <v>4129</v>
      </c>
      <c r="F6139" t="s">
        <v>4139</v>
      </c>
    </row>
    <row r="6140" spans="1:6">
      <c r="A6140" t="s">
        <v>10269</v>
      </c>
      <c r="B6140" t="s">
        <v>2304</v>
      </c>
      <c r="C6140" t="s">
        <v>75</v>
      </c>
      <c r="D6140" s="1">
        <v>46007</v>
      </c>
      <c r="E6140" t="s">
        <v>4135</v>
      </c>
      <c r="F6140" t="s">
        <v>4139</v>
      </c>
    </row>
    <row r="6141" spans="1:6">
      <c r="A6141" t="s">
        <v>10270</v>
      </c>
      <c r="B6141" t="s">
        <v>2304</v>
      </c>
      <c r="C6141" t="s">
        <v>75</v>
      </c>
      <c r="D6141" s="1">
        <v>46009</v>
      </c>
      <c r="E6141" t="s">
        <v>4124</v>
      </c>
      <c r="F6141" t="s">
        <v>4125</v>
      </c>
    </row>
    <row r="6142" spans="1:6">
      <c r="A6142" t="s">
        <v>10271</v>
      </c>
      <c r="B6142" t="s">
        <v>2304</v>
      </c>
      <c r="C6142" t="s">
        <v>75</v>
      </c>
      <c r="D6142" s="1">
        <v>46010</v>
      </c>
      <c r="E6142" t="s">
        <v>4135</v>
      </c>
      <c r="F6142" t="s">
        <v>4139</v>
      </c>
    </row>
    <row r="6143" spans="1:6">
      <c r="A6143" t="s">
        <v>10272</v>
      </c>
      <c r="B6143" t="s">
        <v>2304</v>
      </c>
      <c r="C6143" t="s">
        <v>75</v>
      </c>
      <c r="D6143" s="1">
        <v>46012</v>
      </c>
      <c r="E6143" t="s">
        <v>4124</v>
      </c>
      <c r="F6143" t="s">
        <v>4125</v>
      </c>
    </row>
    <row r="6144" spans="1:6">
      <c r="A6144" t="s">
        <v>10273</v>
      </c>
      <c r="B6144" t="s">
        <v>2305</v>
      </c>
      <c r="C6144" t="s">
        <v>50</v>
      </c>
      <c r="D6144" s="1">
        <v>45701</v>
      </c>
      <c r="E6144" t="s">
        <v>4124</v>
      </c>
      <c r="F6144" t="s">
        <v>4137</v>
      </c>
    </row>
    <row r="6145" spans="1:6">
      <c r="A6145" t="s">
        <v>10274</v>
      </c>
      <c r="B6145" t="s">
        <v>2305</v>
      </c>
      <c r="C6145" t="s">
        <v>50</v>
      </c>
      <c r="D6145" s="1">
        <v>45706</v>
      </c>
      <c r="E6145" t="s">
        <v>4129</v>
      </c>
      <c r="F6145" t="s">
        <v>4125</v>
      </c>
    </row>
    <row r="6146" spans="1:6">
      <c r="A6146" t="s">
        <v>10275</v>
      </c>
      <c r="B6146" t="s">
        <v>2305</v>
      </c>
      <c r="C6146" t="s">
        <v>50</v>
      </c>
      <c r="D6146" s="1">
        <v>45705</v>
      </c>
      <c r="E6146" t="s">
        <v>4135</v>
      </c>
      <c r="F6146" t="s">
        <v>4125</v>
      </c>
    </row>
    <row r="6147" spans="1:6">
      <c r="A6147" t="s">
        <v>10276</v>
      </c>
      <c r="B6147" t="s">
        <v>2305</v>
      </c>
      <c r="C6147" t="s">
        <v>50</v>
      </c>
      <c r="D6147" s="1">
        <v>45704</v>
      </c>
      <c r="E6147" t="s">
        <v>4127</v>
      </c>
      <c r="F6147" t="s">
        <v>4125</v>
      </c>
    </row>
    <row r="6148" spans="1:6">
      <c r="A6148" t="s">
        <v>10277</v>
      </c>
      <c r="B6148" t="s">
        <v>2306</v>
      </c>
      <c r="C6148" t="s">
        <v>152</v>
      </c>
      <c r="D6148" s="1">
        <v>45882</v>
      </c>
      <c r="E6148" t="s">
        <v>4124</v>
      </c>
      <c r="F6148" t="s">
        <v>4125</v>
      </c>
    </row>
    <row r="6149" spans="1:6">
      <c r="A6149" t="s">
        <v>10278</v>
      </c>
      <c r="B6149" t="s">
        <v>2306</v>
      </c>
      <c r="C6149" t="s">
        <v>152</v>
      </c>
      <c r="D6149" s="1">
        <v>45844</v>
      </c>
      <c r="E6149" t="s">
        <v>4127</v>
      </c>
      <c r="F6149" t="s">
        <v>4137</v>
      </c>
    </row>
    <row r="6150" spans="1:6">
      <c r="A6150" t="s">
        <v>10279</v>
      </c>
      <c r="B6150" t="s">
        <v>2306</v>
      </c>
      <c r="C6150" t="s">
        <v>152</v>
      </c>
      <c r="D6150" s="1">
        <v>45853</v>
      </c>
      <c r="E6150" t="s">
        <v>4135</v>
      </c>
      <c r="F6150" t="s">
        <v>4139</v>
      </c>
    </row>
    <row r="6151" spans="1:6">
      <c r="A6151" t="s">
        <v>10280</v>
      </c>
      <c r="B6151" t="s">
        <v>2307</v>
      </c>
      <c r="C6151" t="s">
        <v>78</v>
      </c>
      <c r="D6151" s="1">
        <v>45867</v>
      </c>
      <c r="E6151" t="s">
        <v>4133</v>
      </c>
      <c r="F6151" t="s">
        <v>4139</v>
      </c>
    </row>
    <row r="6152" spans="1:6">
      <c r="A6152" t="s">
        <v>10281</v>
      </c>
      <c r="B6152" t="s">
        <v>2307</v>
      </c>
      <c r="C6152" t="s">
        <v>78</v>
      </c>
      <c r="D6152" s="1">
        <v>45857</v>
      </c>
      <c r="E6152" t="s">
        <v>4127</v>
      </c>
      <c r="F6152" t="s">
        <v>4137</v>
      </c>
    </row>
    <row r="6153" spans="1:6">
      <c r="A6153" t="s">
        <v>10282</v>
      </c>
      <c r="B6153" t="s">
        <v>2308</v>
      </c>
      <c r="C6153" t="s">
        <v>63</v>
      </c>
      <c r="D6153" s="1">
        <v>45813</v>
      </c>
      <c r="E6153" t="s">
        <v>4124</v>
      </c>
      <c r="F6153" t="s">
        <v>4137</v>
      </c>
    </row>
    <row r="6154" spans="1:6">
      <c r="A6154" t="s">
        <v>10283</v>
      </c>
      <c r="B6154" t="s">
        <v>2308</v>
      </c>
      <c r="C6154" t="s">
        <v>63</v>
      </c>
      <c r="D6154" s="1">
        <v>45801</v>
      </c>
      <c r="E6154" t="s">
        <v>4133</v>
      </c>
      <c r="F6154" t="s">
        <v>4125</v>
      </c>
    </row>
    <row r="6155" spans="1:6">
      <c r="A6155" t="s">
        <v>10284</v>
      </c>
      <c r="B6155" t="s">
        <v>2308</v>
      </c>
      <c r="C6155" t="s">
        <v>63</v>
      </c>
      <c r="D6155" s="1">
        <v>45769</v>
      </c>
      <c r="E6155" t="s">
        <v>4129</v>
      </c>
      <c r="F6155" t="s">
        <v>4125</v>
      </c>
    </row>
    <row r="6156" spans="1:6">
      <c r="A6156" t="s">
        <v>10285</v>
      </c>
      <c r="B6156" t="s">
        <v>2308</v>
      </c>
      <c r="C6156" t="s">
        <v>63</v>
      </c>
      <c r="D6156" s="1">
        <v>45816</v>
      </c>
      <c r="E6156" t="s">
        <v>4127</v>
      </c>
      <c r="F6156" t="s">
        <v>4137</v>
      </c>
    </row>
    <row r="6157" spans="1:6">
      <c r="A6157" t="s">
        <v>10286</v>
      </c>
      <c r="B6157" t="s">
        <v>2308</v>
      </c>
      <c r="C6157" t="s">
        <v>63</v>
      </c>
      <c r="D6157" s="1">
        <v>45817</v>
      </c>
      <c r="E6157" t="s">
        <v>4124</v>
      </c>
      <c r="F6157" t="s">
        <v>4139</v>
      </c>
    </row>
    <row r="6158" spans="1:6">
      <c r="A6158" t="s">
        <v>10287</v>
      </c>
      <c r="B6158" t="s">
        <v>2309</v>
      </c>
      <c r="C6158" t="s">
        <v>126</v>
      </c>
      <c r="D6158" s="1">
        <v>45724</v>
      </c>
      <c r="E6158" t="s">
        <v>4135</v>
      </c>
      <c r="F6158" t="s">
        <v>4139</v>
      </c>
    </row>
    <row r="6159" spans="1:6">
      <c r="A6159" t="s">
        <v>10288</v>
      </c>
      <c r="B6159" t="s">
        <v>2309</v>
      </c>
      <c r="C6159" t="s">
        <v>126</v>
      </c>
      <c r="D6159" s="1">
        <v>45709</v>
      </c>
      <c r="E6159" t="s">
        <v>4135</v>
      </c>
      <c r="F6159" t="s">
        <v>4137</v>
      </c>
    </row>
    <row r="6160" spans="1:6">
      <c r="A6160" t="s">
        <v>10289</v>
      </c>
      <c r="B6160" t="s">
        <v>2309</v>
      </c>
      <c r="C6160" t="s">
        <v>126</v>
      </c>
      <c r="D6160" s="1">
        <v>45694</v>
      </c>
      <c r="E6160" t="s">
        <v>4133</v>
      </c>
      <c r="F6160" t="s">
        <v>4125</v>
      </c>
    </row>
    <row r="6161" spans="1:6">
      <c r="A6161" t="s">
        <v>10290</v>
      </c>
      <c r="B6161" t="s">
        <v>2309</v>
      </c>
      <c r="C6161" t="s">
        <v>126</v>
      </c>
      <c r="D6161" s="1">
        <v>45727</v>
      </c>
      <c r="E6161" t="s">
        <v>4133</v>
      </c>
      <c r="F6161" t="s">
        <v>4137</v>
      </c>
    </row>
    <row r="6162" spans="1:6">
      <c r="A6162" t="s">
        <v>10291</v>
      </c>
      <c r="B6162" t="s">
        <v>2310</v>
      </c>
      <c r="C6162" t="s">
        <v>46</v>
      </c>
      <c r="D6162" s="1">
        <v>45813</v>
      </c>
      <c r="E6162" t="s">
        <v>4133</v>
      </c>
      <c r="F6162" t="s">
        <v>4137</v>
      </c>
    </row>
    <row r="6163" spans="1:6">
      <c r="A6163" t="s">
        <v>10292</v>
      </c>
      <c r="B6163" t="s">
        <v>2310</v>
      </c>
      <c r="C6163" t="s">
        <v>46</v>
      </c>
      <c r="D6163" s="1">
        <v>45807</v>
      </c>
      <c r="E6163" t="s">
        <v>4127</v>
      </c>
      <c r="F6163" t="s">
        <v>4139</v>
      </c>
    </row>
    <row r="6164" spans="1:6">
      <c r="A6164" t="s">
        <v>10293</v>
      </c>
      <c r="B6164" t="s">
        <v>2311</v>
      </c>
      <c r="C6164" t="s">
        <v>36</v>
      </c>
      <c r="D6164" s="1">
        <v>45875</v>
      </c>
      <c r="E6164" t="s">
        <v>4133</v>
      </c>
      <c r="F6164" t="s">
        <v>4139</v>
      </c>
    </row>
    <row r="6165" spans="1:6">
      <c r="A6165" t="s">
        <v>10294</v>
      </c>
      <c r="B6165" t="s">
        <v>2311</v>
      </c>
      <c r="C6165" t="s">
        <v>36</v>
      </c>
      <c r="D6165" s="1">
        <v>45860</v>
      </c>
      <c r="E6165" t="s">
        <v>4135</v>
      </c>
      <c r="F6165" t="s">
        <v>4139</v>
      </c>
    </row>
    <row r="6166" spans="1:6">
      <c r="A6166" t="s">
        <v>10295</v>
      </c>
      <c r="B6166" t="s">
        <v>2312</v>
      </c>
      <c r="C6166" t="s">
        <v>16</v>
      </c>
      <c r="D6166" s="1">
        <v>45957</v>
      </c>
      <c r="E6166" t="s">
        <v>4133</v>
      </c>
      <c r="F6166" t="s">
        <v>4139</v>
      </c>
    </row>
    <row r="6167" spans="1:6">
      <c r="A6167" t="s">
        <v>10296</v>
      </c>
      <c r="B6167" t="s">
        <v>2312</v>
      </c>
      <c r="C6167" t="s">
        <v>16</v>
      </c>
      <c r="D6167" s="1">
        <v>45978</v>
      </c>
      <c r="E6167" t="s">
        <v>4135</v>
      </c>
      <c r="F6167" t="s">
        <v>4125</v>
      </c>
    </row>
    <row r="6168" spans="1:6">
      <c r="A6168" t="s">
        <v>10297</v>
      </c>
      <c r="B6168" t="s">
        <v>2313</v>
      </c>
      <c r="C6168" t="s">
        <v>152</v>
      </c>
      <c r="D6168" s="1">
        <v>45820</v>
      </c>
      <c r="E6168" t="s">
        <v>4129</v>
      </c>
      <c r="F6168" t="s">
        <v>4125</v>
      </c>
    </row>
    <row r="6169" spans="1:6">
      <c r="A6169" t="s">
        <v>10298</v>
      </c>
      <c r="B6169" t="s">
        <v>2313</v>
      </c>
      <c r="C6169" t="s">
        <v>152</v>
      </c>
      <c r="D6169" s="1">
        <v>45876</v>
      </c>
      <c r="E6169" t="s">
        <v>4133</v>
      </c>
      <c r="F6169" t="s">
        <v>4137</v>
      </c>
    </row>
    <row r="6170" spans="1:6">
      <c r="A6170" t="s">
        <v>10299</v>
      </c>
      <c r="B6170" t="s">
        <v>2313</v>
      </c>
      <c r="C6170" t="s">
        <v>152</v>
      </c>
      <c r="D6170" s="1">
        <v>45877</v>
      </c>
      <c r="E6170" t="s">
        <v>4124</v>
      </c>
      <c r="F6170" t="s">
        <v>4139</v>
      </c>
    </row>
    <row r="6171" spans="1:6">
      <c r="A6171" t="s">
        <v>10300</v>
      </c>
      <c r="B6171" t="s">
        <v>2313</v>
      </c>
      <c r="C6171" t="s">
        <v>152</v>
      </c>
      <c r="D6171" s="1">
        <v>45828</v>
      </c>
      <c r="E6171" t="s">
        <v>4133</v>
      </c>
      <c r="F6171" t="s">
        <v>4137</v>
      </c>
    </row>
    <row r="6172" spans="1:6">
      <c r="A6172" t="s">
        <v>10301</v>
      </c>
      <c r="B6172" t="s">
        <v>2313</v>
      </c>
      <c r="C6172" t="s">
        <v>152</v>
      </c>
      <c r="D6172" s="1">
        <v>45831</v>
      </c>
      <c r="E6172" t="s">
        <v>4124</v>
      </c>
      <c r="F6172" t="s">
        <v>4125</v>
      </c>
    </row>
    <row r="6173" spans="1:6">
      <c r="A6173" t="s">
        <v>10302</v>
      </c>
      <c r="B6173" t="s">
        <v>2314</v>
      </c>
      <c r="C6173" t="s">
        <v>22</v>
      </c>
      <c r="D6173" s="1">
        <v>45883</v>
      </c>
      <c r="E6173" t="s">
        <v>4135</v>
      </c>
      <c r="F6173" t="s">
        <v>4139</v>
      </c>
    </row>
    <row r="6174" spans="1:6">
      <c r="A6174" t="s">
        <v>10303</v>
      </c>
      <c r="B6174" t="s">
        <v>2314</v>
      </c>
      <c r="C6174" t="s">
        <v>22</v>
      </c>
      <c r="D6174" s="1">
        <v>45888</v>
      </c>
      <c r="E6174" t="s">
        <v>4135</v>
      </c>
      <c r="F6174" t="s">
        <v>4139</v>
      </c>
    </row>
    <row r="6175" spans="1:6">
      <c r="A6175" t="s">
        <v>10304</v>
      </c>
      <c r="B6175" t="s">
        <v>2314</v>
      </c>
      <c r="C6175" t="s">
        <v>22</v>
      </c>
      <c r="D6175" s="1">
        <v>45892</v>
      </c>
      <c r="E6175" t="s">
        <v>4135</v>
      </c>
      <c r="F6175" t="s">
        <v>4125</v>
      </c>
    </row>
    <row r="6176" spans="1:6">
      <c r="A6176" t="s">
        <v>10305</v>
      </c>
      <c r="B6176" t="s">
        <v>2314</v>
      </c>
      <c r="C6176" t="s">
        <v>22</v>
      </c>
      <c r="D6176" s="1">
        <v>45901</v>
      </c>
      <c r="E6176" t="s">
        <v>4127</v>
      </c>
      <c r="F6176" t="s">
        <v>4125</v>
      </c>
    </row>
    <row r="6177" spans="1:6">
      <c r="A6177" t="s">
        <v>10306</v>
      </c>
      <c r="B6177" t="s">
        <v>2315</v>
      </c>
      <c r="C6177" t="s">
        <v>27</v>
      </c>
      <c r="D6177" s="1">
        <v>45815</v>
      </c>
      <c r="E6177" t="s">
        <v>4124</v>
      </c>
      <c r="F6177" t="s">
        <v>4137</v>
      </c>
    </row>
    <row r="6178" spans="1:6">
      <c r="A6178" t="s">
        <v>10307</v>
      </c>
      <c r="B6178" t="s">
        <v>2315</v>
      </c>
      <c r="C6178" t="s">
        <v>27</v>
      </c>
      <c r="D6178" s="1">
        <v>45821</v>
      </c>
      <c r="E6178" t="s">
        <v>4127</v>
      </c>
      <c r="F6178" t="s">
        <v>4139</v>
      </c>
    </row>
    <row r="6179" spans="1:6">
      <c r="A6179" t="s">
        <v>10308</v>
      </c>
      <c r="B6179" t="s">
        <v>2315</v>
      </c>
      <c r="C6179" t="s">
        <v>27</v>
      </c>
      <c r="D6179" s="1">
        <v>45820</v>
      </c>
      <c r="E6179" t="s">
        <v>4133</v>
      </c>
      <c r="F6179" t="s">
        <v>4139</v>
      </c>
    </row>
    <row r="6180" spans="1:6">
      <c r="A6180" t="s">
        <v>10309</v>
      </c>
      <c r="B6180" t="s">
        <v>2315</v>
      </c>
      <c r="C6180" t="s">
        <v>27</v>
      </c>
      <c r="D6180" s="1">
        <v>45818</v>
      </c>
      <c r="E6180" t="s">
        <v>4124</v>
      </c>
      <c r="F6180" t="s">
        <v>4137</v>
      </c>
    </row>
    <row r="6181" spans="1:6">
      <c r="A6181" t="s">
        <v>10310</v>
      </c>
      <c r="B6181" t="s">
        <v>2315</v>
      </c>
      <c r="C6181" t="s">
        <v>27</v>
      </c>
      <c r="D6181" s="1">
        <v>45817</v>
      </c>
      <c r="E6181" t="s">
        <v>4124</v>
      </c>
      <c r="F6181" t="s">
        <v>4139</v>
      </c>
    </row>
    <row r="6182" spans="1:6">
      <c r="A6182" t="s">
        <v>10311</v>
      </c>
      <c r="B6182" t="s">
        <v>2316</v>
      </c>
      <c r="C6182" t="s">
        <v>36</v>
      </c>
      <c r="D6182" s="1">
        <v>45856</v>
      </c>
      <c r="E6182" t="s">
        <v>4129</v>
      </c>
      <c r="F6182" t="s">
        <v>4139</v>
      </c>
    </row>
    <row r="6183" spans="1:6">
      <c r="A6183" t="s">
        <v>10312</v>
      </c>
      <c r="B6183" t="s">
        <v>2316</v>
      </c>
      <c r="C6183" t="s">
        <v>36</v>
      </c>
      <c r="D6183" s="1">
        <v>45854</v>
      </c>
      <c r="E6183" t="s">
        <v>4129</v>
      </c>
      <c r="F6183" t="s">
        <v>4139</v>
      </c>
    </row>
    <row r="6184" spans="1:6">
      <c r="A6184" t="s">
        <v>10313</v>
      </c>
      <c r="B6184" t="s">
        <v>2317</v>
      </c>
      <c r="C6184" t="s">
        <v>22</v>
      </c>
      <c r="D6184" s="1">
        <v>45966</v>
      </c>
      <c r="E6184" t="s">
        <v>4135</v>
      </c>
      <c r="F6184" t="s">
        <v>4125</v>
      </c>
    </row>
    <row r="6185" spans="1:6">
      <c r="A6185" t="s">
        <v>10314</v>
      </c>
      <c r="B6185" t="s">
        <v>2317</v>
      </c>
      <c r="C6185" t="s">
        <v>22</v>
      </c>
      <c r="D6185" s="1">
        <v>45959</v>
      </c>
      <c r="E6185" t="s">
        <v>4135</v>
      </c>
      <c r="F6185" t="s">
        <v>4139</v>
      </c>
    </row>
    <row r="6186" spans="1:6">
      <c r="A6186" t="s">
        <v>10315</v>
      </c>
      <c r="B6186" t="s">
        <v>2317</v>
      </c>
      <c r="C6186" t="s">
        <v>22</v>
      </c>
      <c r="D6186" s="1">
        <v>45971</v>
      </c>
      <c r="E6186" t="s">
        <v>4127</v>
      </c>
      <c r="F6186" t="s">
        <v>4125</v>
      </c>
    </row>
    <row r="6187" spans="1:6">
      <c r="A6187" t="s">
        <v>10316</v>
      </c>
      <c r="B6187" t="s">
        <v>2317</v>
      </c>
      <c r="C6187" t="s">
        <v>22</v>
      </c>
      <c r="D6187" s="1">
        <v>46008</v>
      </c>
      <c r="E6187" t="s">
        <v>4124</v>
      </c>
      <c r="F6187" t="s">
        <v>4125</v>
      </c>
    </row>
    <row r="6188" spans="1:6">
      <c r="A6188" t="s">
        <v>10317</v>
      </c>
      <c r="B6188" t="s">
        <v>2317</v>
      </c>
      <c r="C6188" t="s">
        <v>22</v>
      </c>
      <c r="D6188" s="1">
        <v>45954</v>
      </c>
      <c r="E6188" t="s">
        <v>4133</v>
      </c>
      <c r="F6188" t="s">
        <v>4137</v>
      </c>
    </row>
    <row r="6189" spans="1:6">
      <c r="A6189" t="s">
        <v>10318</v>
      </c>
      <c r="B6189" t="s">
        <v>2318</v>
      </c>
      <c r="C6189" t="s">
        <v>36</v>
      </c>
      <c r="D6189" s="1">
        <v>45699</v>
      </c>
      <c r="E6189" t="s">
        <v>4127</v>
      </c>
      <c r="F6189" t="s">
        <v>4125</v>
      </c>
    </row>
    <row r="6190" spans="1:6">
      <c r="A6190" t="s">
        <v>10319</v>
      </c>
      <c r="B6190" t="s">
        <v>2318</v>
      </c>
      <c r="C6190" t="s">
        <v>36</v>
      </c>
      <c r="D6190" s="1">
        <v>45707</v>
      </c>
      <c r="E6190" t="s">
        <v>4135</v>
      </c>
      <c r="F6190" t="s">
        <v>4137</v>
      </c>
    </row>
    <row r="6191" spans="1:6">
      <c r="A6191" t="s">
        <v>10320</v>
      </c>
      <c r="B6191" t="s">
        <v>2318</v>
      </c>
      <c r="C6191" t="s">
        <v>36</v>
      </c>
      <c r="D6191" s="1">
        <v>45740</v>
      </c>
      <c r="E6191" t="s">
        <v>4127</v>
      </c>
      <c r="F6191" t="s">
        <v>4125</v>
      </c>
    </row>
    <row r="6192" spans="1:6">
      <c r="A6192" t="s">
        <v>10321</v>
      </c>
      <c r="B6192" t="s">
        <v>2319</v>
      </c>
      <c r="C6192" t="s">
        <v>70</v>
      </c>
      <c r="D6192" s="1">
        <v>45731</v>
      </c>
      <c r="E6192" t="s">
        <v>4135</v>
      </c>
      <c r="F6192" t="s">
        <v>4139</v>
      </c>
    </row>
    <row r="6193" spans="1:6">
      <c r="A6193" t="s">
        <v>10322</v>
      </c>
      <c r="B6193" t="s">
        <v>2319</v>
      </c>
      <c r="C6193" t="s">
        <v>70</v>
      </c>
      <c r="D6193" s="1">
        <v>45716</v>
      </c>
      <c r="E6193" t="s">
        <v>4124</v>
      </c>
      <c r="F6193" t="s">
        <v>4125</v>
      </c>
    </row>
    <row r="6194" spans="1:6">
      <c r="A6194" t="s">
        <v>10323</v>
      </c>
      <c r="B6194" t="s">
        <v>2319</v>
      </c>
      <c r="C6194" t="s">
        <v>70</v>
      </c>
      <c r="D6194" s="1">
        <v>45730</v>
      </c>
      <c r="E6194" t="s">
        <v>4124</v>
      </c>
      <c r="F6194" t="s">
        <v>4125</v>
      </c>
    </row>
    <row r="6195" spans="1:6">
      <c r="A6195" t="s">
        <v>10324</v>
      </c>
      <c r="B6195" t="s">
        <v>2320</v>
      </c>
      <c r="C6195" t="s">
        <v>36</v>
      </c>
      <c r="D6195" s="1">
        <v>46020</v>
      </c>
      <c r="E6195" t="s">
        <v>4124</v>
      </c>
      <c r="F6195" t="s">
        <v>4125</v>
      </c>
    </row>
    <row r="6196" spans="1:6">
      <c r="A6196" t="s">
        <v>10325</v>
      </c>
      <c r="B6196" t="s">
        <v>2320</v>
      </c>
      <c r="C6196" t="s">
        <v>36</v>
      </c>
      <c r="D6196" s="1">
        <v>46021</v>
      </c>
      <c r="E6196" t="s">
        <v>4129</v>
      </c>
      <c r="F6196" t="s">
        <v>4137</v>
      </c>
    </row>
    <row r="6197" spans="1:6">
      <c r="A6197" t="s">
        <v>10326</v>
      </c>
      <c r="B6197" t="s">
        <v>2321</v>
      </c>
      <c r="C6197" t="s">
        <v>50</v>
      </c>
      <c r="D6197" s="1">
        <v>46009</v>
      </c>
      <c r="E6197" t="s">
        <v>4129</v>
      </c>
      <c r="F6197" t="s">
        <v>4139</v>
      </c>
    </row>
    <row r="6198" spans="1:6">
      <c r="A6198" t="s">
        <v>10327</v>
      </c>
      <c r="B6198" t="s">
        <v>2321</v>
      </c>
      <c r="C6198" t="s">
        <v>50</v>
      </c>
      <c r="D6198" s="1">
        <v>45984</v>
      </c>
      <c r="E6198" t="s">
        <v>4135</v>
      </c>
      <c r="F6198" t="s">
        <v>4137</v>
      </c>
    </row>
    <row r="6199" spans="1:6">
      <c r="A6199" t="s">
        <v>10328</v>
      </c>
      <c r="B6199" t="s">
        <v>2321</v>
      </c>
      <c r="C6199" t="s">
        <v>50</v>
      </c>
      <c r="D6199" s="1">
        <v>45990</v>
      </c>
      <c r="E6199" t="s">
        <v>4124</v>
      </c>
      <c r="F6199" t="s">
        <v>4137</v>
      </c>
    </row>
    <row r="6200" spans="1:6">
      <c r="A6200" t="s">
        <v>10329</v>
      </c>
      <c r="B6200" t="s">
        <v>2322</v>
      </c>
      <c r="C6200" t="s">
        <v>78</v>
      </c>
      <c r="D6200" s="1">
        <v>45944</v>
      </c>
      <c r="E6200" t="s">
        <v>4135</v>
      </c>
      <c r="F6200" t="s">
        <v>4137</v>
      </c>
    </row>
    <row r="6201" spans="1:6">
      <c r="A6201" t="s">
        <v>10330</v>
      </c>
      <c r="B6201" t="s">
        <v>2322</v>
      </c>
      <c r="C6201" t="s">
        <v>78</v>
      </c>
      <c r="D6201" s="1">
        <v>45958</v>
      </c>
      <c r="E6201" t="s">
        <v>4129</v>
      </c>
      <c r="F6201" t="s">
        <v>4137</v>
      </c>
    </row>
    <row r="6202" spans="1:6">
      <c r="A6202" t="s">
        <v>10331</v>
      </c>
      <c r="B6202" t="s">
        <v>2322</v>
      </c>
      <c r="C6202" t="s">
        <v>78</v>
      </c>
      <c r="D6202" s="1">
        <v>45912</v>
      </c>
      <c r="E6202" t="s">
        <v>4135</v>
      </c>
      <c r="F6202" t="s">
        <v>4137</v>
      </c>
    </row>
    <row r="6203" spans="1:6">
      <c r="A6203" t="s">
        <v>10332</v>
      </c>
      <c r="B6203" t="s">
        <v>2322</v>
      </c>
      <c r="C6203" t="s">
        <v>78</v>
      </c>
      <c r="D6203" s="1">
        <v>45913</v>
      </c>
      <c r="E6203" t="s">
        <v>4124</v>
      </c>
      <c r="F6203" t="s">
        <v>4137</v>
      </c>
    </row>
    <row r="6204" spans="1:6">
      <c r="A6204" t="s">
        <v>10333</v>
      </c>
      <c r="B6204" t="s">
        <v>2323</v>
      </c>
      <c r="C6204" t="s">
        <v>63</v>
      </c>
      <c r="D6204" s="1">
        <v>45890</v>
      </c>
      <c r="E6204" t="s">
        <v>4124</v>
      </c>
      <c r="F6204" t="s">
        <v>4139</v>
      </c>
    </row>
    <row r="6205" spans="1:6">
      <c r="A6205" t="s">
        <v>10334</v>
      </c>
      <c r="B6205" t="s">
        <v>2323</v>
      </c>
      <c r="C6205" t="s">
        <v>63</v>
      </c>
      <c r="D6205" s="1">
        <v>45859</v>
      </c>
      <c r="E6205" t="s">
        <v>4135</v>
      </c>
      <c r="F6205" t="s">
        <v>4125</v>
      </c>
    </row>
    <row r="6206" spans="1:6">
      <c r="A6206" t="s">
        <v>10335</v>
      </c>
      <c r="B6206" t="s">
        <v>2323</v>
      </c>
      <c r="C6206" t="s">
        <v>63</v>
      </c>
      <c r="D6206" s="1">
        <v>45912</v>
      </c>
      <c r="E6206" t="s">
        <v>4133</v>
      </c>
      <c r="F6206" t="s">
        <v>4125</v>
      </c>
    </row>
    <row r="6207" spans="1:6">
      <c r="A6207" t="s">
        <v>10336</v>
      </c>
      <c r="B6207" t="s">
        <v>2324</v>
      </c>
      <c r="C6207" t="s">
        <v>59</v>
      </c>
      <c r="D6207" s="1">
        <v>45725</v>
      </c>
      <c r="E6207" t="s">
        <v>4133</v>
      </c>
      <c r="F6207" t="s">
        <v>4137</v>
      </c>
    </row>
    <row r="6208" spans="1:6">
      <c r="A6208" t="s">
        <v>10337</v>
      </c>
      <c r="B6208" t="s">
        <v>2324</v>
      </c>
      <c r="C6208" t="s">
        <v>59</v>
      </c>
      <c r="D6208" s="1">
        <v>45720</v>
      </c>
      <c r="E6208" t="s">
        <v>4129</v>
      </c>
      <c r="F6208" t="s">
        <v>4139</v>
      </c>
    </row>
    <row r="6209" spans="1:6">
      <c r="A6209" t="s">
        <v>10338</v>
      </c>
      <c r="B6209" t="s">
        <v>2324</v>
      </c>
      <c r="C6209" t="s">
        <v>59</v>
      </c>
      <c r="D6209" s="1">
        <v>45720</v>
      </c>
      <c r="E6209" t="s">
        <v>4127</v>
      </c>
      <c r="F6209" t="s">
        <v>4139</v>
      </c>
    </row>
    <row r="6210" spans="1:6">
      <c r="A6210" t="s">
        <v>10339</v>
      </c>
      <c r="B6210" t="s">
        <v>2326</v>
      </c>
      <c r="C6210" t="s">
        <v>36</v>
      </c>
      <c r="D6210" s="1">
        <v>45813</v>
      </c>
      <c r="E6210" t="s">
        <v>4129</v>
      </c>
      <c r="F6210" t="s">
        <v>4137</v>
      </c>
    </row>
    <row r="6211" spans="1:6">
      <c r="A6211" t="s">
        <v>10340</v>
      </c>
      <c r="B6211" t="s">
        <v>2326</v>
      </c>
      <c r="C6211" t="s">
        <v>36</v>
      </c>
      <c r="D6211" s="1">
        <v>45789</v>
      </c>
      <c r="E6211" t="s">
        <v>4124</v>
      </c>
      <c r="F6211" t="s">
        <v>4137</v>
      </c>
    </row>
    <row r="6212" spans="1:6">
      <c r="A6212" t="s">
        <v>10341</v>
      </c>
      <c r="B6212" t="s">
        <v>2327</v>
      </c>
      <c r="C6212" t="s">
        <v>63</v>
      </c>
      <c r="D6212" s="1">
        <v>45695</v>
      </c>
      <c r="E6212" t="s">
        <v>4129</v>
      </c>
      <c r="F6212" t="s">
        <v>4125</v>
      </c>
    </row>
    <row r="6213" spans="1:6">
      <c r="A6213" t="s">
        <v>10342</v>
      </c>
      <c r="B6213" t="s">
        <v>2327</v>
      </c>
      <c r="C6213" t="s">
        <v>63</v>
      </c>
      <c r="D6213" s="1">
        <v>45670</v>
      </c>
      <c r="E6213" t="s">
        <v>4124</v>
      </c>
      <c r="F6213" t="s">
        <v>4137</v>
      </c>
    </row>
    <row r="6214" spans="1:6">
      <c r="A6214" t="s">
        <v>10343</v>
      </c>
      <c r="B6214" t="s">
        <v>2327</v>
      </c>
      <c r="C6214" t="s">
        <v>63</v>
      </c>
      <c r="D6214" s="1">
        <v>45745</v>
      </c>
      <c r="E6214" t="s">
        <v>4129</v>
      </c>
      <c r="F6214" t="s">
        <v>4137</v>
      </c>
    </row>
    <row r="6215" spans="1:6">
      <c r="A6215" t="s">
        <v>10344</v>
      </c>
      <c r="B6215" t="s">
        <v>2327</v>
      </c>
      <c r="C6215" t="s">
        <v>63</v>
      </c>
      <c r="D6215" s="1">
        <v>45726</v>
      </c>
      <c r="E6215" t="s">
        <v>4135</v>
      </c>
      <c r="F6215" t="s">
        <v>4137</v>
      </c>
    </row>
    <row r="6216" spans="1:6">
      <c r="A6216" t="s">
        <v>10345</v>
      </c>
      <c r="B6216" t="s">
        <v>2327</v>
      </c>
      <c r="C6216" t="s">
        <v>63</v>
      </c>
      <c r="D6216" s="1">
        <v>45724</v>
      </c>
      <c r="E6216" t="s">
        <v>4135</v>
      </c>
      <c r="F6216" t="s">
        <v>4139</v>
      </c>
    </row>
    <row r="6217" spans="1:6">
      <c r="A6217" t="s">
        <v>10346</v>
      </c>
      <c r="B6217" t="s">
        <v>2328</v>
      </c>
      <c r="C6217" t="s">
        <v>36</v>
      </c>
      <c r="D6217" s="1">
        <v>45727</v>
      </c>
      <c r="E6217" t="s">
        <v>4135</v>
      </c>
      <c r="F6217" t="s">
        <v>4125</v>
      </c>
    </row>
    <row r="6218" spans="1:6">
      <c r="A6218" t="s">
        <v>10347</v>
      </c>
      <c r="B6218" t="s">
        <v>2328</v>
      </c>
      <c r="C6218" t="s">
        <v>36</v>
      </c>
      <c r="D6218" s="1">
        <v>45723</v>
      </c>
      <c r="E6218" t="s">
        <v>4133</v>
      </c>
      <c r="F6218" t="s">
        <v>4137</v>
      </c>
    </row>
    <row r="6219" spans="1:6">
      <c r="A6219" t="s">
        <v>10348</v>
      </c>
      <c r="B6219" t="s">
        <v>2328</v>
      </c>
      <c r="C6219" t="s">
        <v>36</v>
      </c>
      <c r="D6219" s="1">
        <v>45734</v>
      </c>
      <c r="E6219" t="s">
        <v>4124</v>
      </c>
      <c r="F6219" t="s">
        <v>4125</v>
      </c>
    </row>
    <row r="6220" spans="1:6">
      <c r="A6220" t="s">
        <v>10349</v>
      </c>
      <c r="B6220" t="s">
        <v>2328</v>
      </c>
      <c r="C6220" t="s">
        <v>36</v>
      </c>
      <c r="D6220" s="1">
        <v>45736</v>
      </c>
      <c r="E6220" t="s">
        <v>4124</v>
      </c>
      <c r="F6220" t="s">
        <v>4139</v>
      </c>
    </row>
    <row r="6221" spans="1:6">
      <c r="A6221" t="s">
        <v>10350</v>
      </c>
      <c r="B6221" t="s">
        <v>2328</v>
      </c>
      <c r="C6221" t="s">
        <v>36</v>
      </c>
      <c r="D6221" s="1">
        <v>45746</v>
      </c>
      <c r="E6221" t="s">
        <v>4127</v>
      </c>
      <c r="F6221" t="s">
        <v>4137</v>
      </c>
    </row>
    <row r="6222" spans="1:6">
      <c r="A6222" t="s">
        <v>10351</v>
      </c>
      <c r="B6222" t="s">
        <v>2329</v>
      </c>
      <c r="C6222" t="s">
        <v>46</v>
      </c>
      <c r="D6222" s="1">
        <v>46022</v>
      </c>
      <c r="E6222" t="s">
        <v>4124</v>
      </c>
      <c r="F6222" t="s">
        <v>4137</v>
      </c>
    </row>
    <row r="6223" spans="1:6">
      <c r="A6223" t="s">
        <v>10352</v>
      </c>
      <c r="B6223" t="s">
        <v>2329</v>
      </c>
      <c r="C6223" t="s">
        <v>46</v>
      </c>
      <c r="D6223" s="1">
        <v>45998</v>
      </c>
      <c r="E6223" t="s">
        <v>4133</v>
      </c>
      <c r="F6223" t="s">
        <v>4139</v>
      </c>
    </row>
    <row r="6224" spans="1:6">
      <c r="A6224" t="s">
        <v>10353</v>
      </c>
      <c r="B6224" t="s">
        <v>2329</v>
      </c>
      <c r="C6224" t="s">
        <v>46</v>
      </c>
      <c r="D6224" s="1">
        <v>46019</v>
      </c>
      <c r="E6224" t="s">
        <v>4127</v>
      </c>
      <c r="F6224" t="s">
        <v>4137</v>
      </c>
    </row>
    <row r="6225" spans="1:6">
      <c r="A6225" t="s">
        <v>10354</v>
      </c>
      <c r="B6225" t="s">
        <v>2331</v>
      </c>
      <c r="C6225" t="s">
        <v>27</v>
      </c>
      <c r="D6225" s="1">
        <v>45928</v>
      </c>
      <c r="E6225" t="s">
        <v>4127</v>
      </c>
      <c r="F6225" t="s">
        <v>4137</v>
      </c>
    </row>
    <row r="6226" spans="1:6">
      <c r="A6226" t="s">
        <v>10355</v>
      </c>
      <c r="B6226" t="s">
        <v>2331</v>
      </c>
      <c r="C6226" t="s">
        <v>27</v>
      </c>
      <c r="D6226" s="1">
        <v>45928</v>
      </c>
      <c r="E6226" t="s">
        <v>4129</v>
      </c>
      <c r="F6226" t="s">
        <v>4125</v>
      </c>
    </row>
    <row r="6227" spans="1:6">
      <c r="A6227" t="s">
        <v>10356</v>
      </c>
      <c r="B6227" t="s">
        <v>2331</v>
      </c>
      <c r="C6227" t="s">
        <v>27</v>
      </c>
      <c r="D6227" s="1">
        <v>45922</v>
      </c>
      <c r="E6227" t="s">
        <v>4133</v>
      </c>
      <c r="F6227" t="s">
        <v>4139</v>
      </c>
    </row>
    <row r="6228" spans="1:6">
      <c r="A6228" t="s">
        <v>10357</v>
      </c>
      <c r="B6228" t="s">
        <v>2331</v>
      </c>
      <c r="C6228" t="s">
        <v>27</v>
      </c>
      <c r="D6228" s="1">
        <v>45929</v>
      </c>
      <c r="E6228" t="s">
        <v>4127</v>
      </c>
      <c r="F6228" t="s">
        <v>4125</v>
      </c>
    </row>
    <row r="6229" spans="1:6">
      <c r="A6229" t="s">
        <v>10358</v>
      </c>
      <c r="B6229" t="s">
        <v>2331</v>
      </c>
      <c r="C6229" t="s">
        <v>27</v>
      </c>
      <c r="D6229" s="1">
        <v>45926</v>
      </c>
      <c r="E6229" t="s">
        <v>4135</v>
      </c>
      <c r="F6229" t="s">
        <v>4137</v>
      </c>
    </row>
    <row r="6230" spans="1:6">
      <c r="A6230" t="s">
        <v>10359</v>
      </c>
      <c r="B6230" t="s">
        <v>2332</v>
      </c>
      <c r="C6230" t="s">
        <v>22</v>
      </c>
      <c r="D6230" s="1">
        <v>45991</v>
      </c>
      <c r="E6230" t="s">
        <v>4133</v>
      </c>
      <c r="F6230" t="s">
        <v>4139</v>
      </c>
    </row>
    <row r="6231" spans="1:6">
      <c r="A6231" t="s">
        <v>10360</v>
      </c>
      <c r="B6231" t="s">
        <v>2332</v>
      </c>
      <c r="C6231" t="s">
        <v>22</v>
      </c>
      <c r="D6231" s="1">
        <v>45984</v>
      </c>
      <c r="E6231" t="s">
        <v>4135</v>
      </c>
      <c r="F6231" t="s">
        <v>4139</v>
      </c>
    </row>
    <row r="6232" spans="1:6">
      <c r="A6232" t="s">
        <v>10361</v>
      </c>
      <c r="B6232" t="s">
        <v>2332</v>
      </c>
      <c r="C6232" t="s">
        <v>22</v>
      </c>
      <c r="D6232" s="1">
        <v>45991</v>
      </c>
      <c r="E6232" t="s">
        <v>4124</v>
      </c>
      <c r="F6232" t="s">
        <v>4137</v>
      </c>
    </row>
    <row r="6233" spans="1:6">
      <c r="A6233" t="s">
        <v>10362</v>
      </c>
      <c r="B6233" t="s">
        <v>2332</v>
      </c>
      <c r="C6233" t="s">
        <v>22</v>
      </c>
      <c r="D6233" s="1">
        <v>45987</v>
      </c>
      <c r="E6233" t="s">
        <v>4127</v>
      </c>
      <c r="F6233" t="s">
        <v>4125</v>
      </c>
    </row>
    <row r="6234" spans="1:6">
      <c r="A6234" t="s">
        <v>10363</v>
      </c>
      <c r="B6234" t="s">
        <v>2333</v>
      </c>
      <c r="C6234" t="s">
        <v>91</v>
      </c>
      <c r="D6234" s="1">
        <v>45951</v>
      </c>
      <c r="E6234" t="s">
        <v>4133</v>
      </c>
      <c r="F6234" t="s">
        <v>4137</v>
      </c>
    </row>
    <row r="6235" spans="1:6">
      <c r="A6235" t="s">
        <v>10364</v>
      </c>
      <c r="B6235" t="s">
        <v>2333</v>
      </c>
      <c r="C6235" t="s">
        <v>91</v>
      </c>
      <c r="D6235" s="1">
        <v>45945</v>
      </c>
      <c r="E6235" t="s">
        <v>4135</v>
      </c>
      <c r="F6235" t="s">
        <v>4137</v>
      </c>
    </row>
    <row r="6236" spans="1:6">
      <c r="A6236" t="s">
        <v>10365</v>
      </c>
      <c r="B6236" t="s">
        <v>2333</v>
      </c>
      <c r="C6236" t="s">
        <v>91</v>
      </c>
      <c r="D6236" s="1">
        <v>45977</v>
      </c>
      <c r="E6236" t="s">
        <v>4124</v>
      </c>
      <c r="F6236" t="s">
        <v>4137</v>
      </c>
    </row>
    <row r="6237" spans="1:6">
      <c r="A6237" t="s">
        <v>10366</v>
      </c>
      <c r="B6237" t="s">
        <v>2333</v>
      </c>
      <c r="C6237" t="s">
        <v>91</v>
      </c>
      <c r="D6237" s="1">
        <v>45978</v>
      </c>
      <c r="E6237" t="s">
        <v>4127</v>
      </c>
      <c r="F6237" t="s">
        <v>4125</v>
      </c>
    </row>
    <row r="6238" spans="1:6">
      <c r="A6238" t="s">
        <v>10367</v>
      </c>
      <c r="B6238" t="s">
        <v>2334</v>
      </c>
      <c r="C6238" t="s">
        <v>126</v>
      </c>
      <c r="D6238" s="1">
        <v>45825</v>
      </c>
      <c r="E6238" t="s">
        <v>4133</v>
      </c>
      <c r="F6238" t="s">
        <v>4125</v>
      </c>
    </row>
    <row r="6239" spans="1:6">
      <c r="A6239" t="s">
        <v>10368</v>
      </c>
      <c r="B6239" t="s">
        <v>2334</v>
      </c>
      <c r="C6239" t="s">
        <v>126</v>
      </c>
      <c r="D6239" s="1">
        <v>45833</v>
      </c>
      <c r="E6239" t="s">
        <v>4127</v>
      </c>
      <c r="F6239" t="s">
        <v>4125</v>
      </c>
    </row>
    <row r="6240" spans="1:6">
      <c r="A6240" t="s">
        <v>10369</v>
      </c>
      <c r="B6240" t="s">
        <v>2334</v>
      </c>
      <c r="C6240" t="s">
        <v>126</v>
      </c>
      <c r="D6240" s="1">
        <v>45840</v>
      </c>
      <c r="E6240" t="s">
        <v>4129</v>
      </c>
      <c r="F6240" t="s">
        <v>4125</v>
      </c>
    </row>
    <row r="6241" spans="1:6">
      <c r="A6241" t="s">
        <v>10370</v>
      </c>
      <c r="B6241" t="s">
        <v>2335</v>
      </c>
      <c r="C6241" t="s">
        <v>78</v>
      </c>
      <c r="D6241" s="1">
        <v>46003</v>
      </c>
      <c r="E6241" t="s">
        <v>4129</v>
      </c>
      <c r="F6241" t="s">
        <v>4139</v>
      </c>
    </row>
    <row r="6242" spans="1:6">
      <c r="A6242" t="s">
        <v>10371</v>
      </c>
      <c r="B6242" t="s">
        <v>2335</v>
      </c>
      <c r="C6242" t="s">
        <v>78</v>
      </c>
      <c r="D6242" s="1">
        <v>46016</v>
      </c>
      <c r="E6242" t="s">
        <v>4129</v>
      </c>
      <c r="F6242" t="s">
        <v>4139</v>
      </c>
    </row>
    <row r="6243" spans="1:6">
      <c r="A6243" t="s">
        <v>10372</v>
      </c>
      <c r="B6243" t="s">
        <v>2335</v>
      </c>
      <c r="C6243" t="s">
        <v>78</v>
      </c>
      <c r="D6243" s="1">
        <v>46009</v>
      </c>
      <c r="E6243" t="s">
        <v>4135</v>
      </c>
      <c r="F6243" t="s">
        <v>4125</v>
      </c>
    </row>
    <row r="6244" spans="1:6">
      <c r="A6244" t="s">
        <v>10373</v>
      </c>
      <c r="B6244" t="s">
        <v>2335</v>
      </c>
      <c r="C6244" t="s">
        <v>78</v>
      </c>
      <c r="D6244" s="1">
        <v>45999</v>
      </c>
      <c r="E6244" t="s">
        <v>4135</v>
      </c>
      <c r="F6244" t="s">
        <v>4125</v>
      </c>
    </row>
    <row r="6245" spans="1:6">
      <c r="A6245" t="s">
        <v>10374</v>
      </c>
      <c r="B6245" t="s">
        <v>2336</v>
      </c>
      <c r="C6245" t="s">
        <v>32</v>
      </c>
      <c r="D6245" s="1">
        <v>45993</v>
      </c>
      <c r="E6245" t="s">
        <v>4129</v>
      </c>
      <c r="F6245" t="s">
        <v>4139</v>
      </c>
    </row>
    <row r="6246" spans="1:6">
      <c r="A6246" t="s">
        <v>10375</v>
      </c>
      <c r="B6246" t="s">
        <v>2336</v>
      </c>
      <c r="C6246" t="s">
        <v>32</v>
      </c>
      <c r="D6246" s="1">
        <v>45990</v>
      </c>
      <c r="E6246" t="s">
        <v>4133</v>
      </c>
      <c r="F6246" t="s">
        <v>4137</v>
      </c>
    </row>
    <row r="6247" spans="1:6">
      <c r="A6247" t="s">
        <v>10376</v>
      </c>
      <c r="B6247" t="s">
        <v>2336</v>
      </c>
      <c r="C6247" t="s">
        <v>32</v>
      </c>
      <c r="D6247" s="1">
        <v>45983</v>
      </c>
      <c r="E6247" t="s">
        <v>4124</v>
      </c>
      <c r="F6247" t="s">
        <v>4139</v>
      </c>
    </row>
    <row r="6248" spans="1:6">
      <c r="A6248" t="s">
        <v>10377</v>
      </c>
      <c r="B6248" t="s">
        <v>2336</v>
      </c>
      <c r="C6248" t="s">
        <v>32</v>
      </c>
      <c r="D6248" s="1">
        <v>45962</v>
      </c>
      <c r="E6248" t="s">
        <v>4127</v>
      </c>
      <c r="F6248" t="s">
        <v>4139</v>
      </c>
    </row>
    <row r="6249" spans="1:6">
      <c r="A6249" t="s">
        <v>10378</v>
      </c>
      <c r="B6249" t="s">
        <v>2336</v>
      </c>
      <c r="C6249" t="s">
        <v>32</v>
      </c>
      <c r="D6249" s="1">
        <v>46000</v>
      </c>
      <c r="E6249" t="s">
        <v>4133</v>
      </c>
      <c r="F6249" t="s">
        <v>4125</v>
      </c>
    </row>
    <row r="6250" spans="1:6">
      <c r="A6250" t="s">
        <v>10379</v>
      </c>
      <c r="B6250" t="s">
        <v>2337</v>
      </c>
      <c r="C6250" t="s">
        <v>75</v>
      </c>
      <c r="D6250" s="1">
        <v>45757</v>
      </c>
      <c r="E6250" t="s">
        <v>4124</v>
      </c>
      <c r="F6250" t="s">
        <v>4137</v>
      </c>
    </row>
    <row r="6251" spans="1:6">
      <c r="A6251" t="s">
        <v>10380</v>
      </c>
      <c r="B6251" t="s">
        <v>2337</v>
      </c>
      <c r="C6251" t="s">
        <v>75</v>
      </c>
      <c r="D6251" s="1">
        <v>45781</v>
      </c>
      <c r="E6251" t="s">
        <v>4135</v>
      </c>
      <c r="F6251" t="s">
        <v>4125</v>
      </c>
    </row>
    <row r="6252" spans="1:6">
      <c r="A6252" t="s">
        <v>10381</v>
      </c>
      <c r="B6252" t="s">
        <v>2338</v>
      </c>
      <c r="C6252" t="s">
        <v>50</v>
      </c>
      <c r="D6252" s="1">
        <v>45896</v>
      </c>
      <c r="E6252" t="s">
        <v>4124</v>
      </c>
      <c r="F6252" t="s">
        <v>4137</v>
      </c>
    </row>
    <row r="6253" spans="1:6">
      <c r="A6253" t="s">
        <v>10382</v>
      </c>
      <c r="B6253" t="s">
        <v>2338</v>
      </c>
      <c r="C6253" t="s">
        <v>50</v>
      </c>
      <c r="D6253" s="1">
        <v>45881</v>
      </c>
      <c r="E6253" t="s">
        <v>4135</v>
      </c>
      <c r="F6253" t="s">
        <v>4139</v>
      </c>
    </row>
    <row r="6254" spans="1:6">
      <c r="A6254" t="s">
        <v>10383</v>
      </c>
      <c r="B6254" t="s">
        <v>2338</v>
      </c>
      <c r="C6254" t="s">
        <v>50</v>
      </c>
      <c r="D6254" s="1">
        <v>45887</v>
      </c>
      <c r="E6254" t="s">
        <v>4124</v>
      </c>
      <c r="F6254" t="s">
        <v>4139</v>
      </c>
    </row>
    <row r="6255" spans="1:6">
      <c r="A6255" t="s">
        <v>10384</v>
      </c>
      <c r="B6255" t="s">
        <v>2338</v>
      </c>
      <c r="C6255" t="s">
        <v>50</v>
      </c>
      <c r="D6255" s="1">
        <v>45915</v>
      </c>
      <c r="E6255" t="s">
        <v>4129</v>
      </c>
      <c r="F6255" t="s">
        <v>4137</v>
      </c>
    </row>
    <row r="6256" spans="1:6">
      <c r="A6256" t="s">
        <v>10385</v>
      </c>
      <c r="B6256" t="s">
        <v>2338</v>
      </c>
      <c r="C6256" t="s">
        <v>50</v>
      </c>
      <c r="D6256" s="1">
        <v>45895</v>
      </c>
      <c r="E6256" t="s">
        <v>4133</v>
      </c>
      <c r="F6256" t="s">
        <v>4137</v>
      </c>
    </row>
    <row r="6257" spans="1:6">
      <c r="A6257" t="s">
        <v>10386</v>
      </c>
      <c r="B6257" t="s">
        <v>2339</v>
      </c>
      <c r="C6257" t="s">
        <v>46</v>
      </c>
      <c r="D6257" s="1">
        <v>46020</v>
      </c>
      <c r="E6257" t="s">
        <v>4135</v>
      </c>
      <c r="F6257" t="s">
        <v>4125</v>
      </c>
    </row>
    <row r="6258" spans="1:6">
      <c r="A6258" t="s">
        <v>10387</v>
      </c>
      <c r="B6258" t="s">
        <v>2339</v>
      </c>
      <c r="C6258" t="s">
        <v>46</v>
      </c>
      <c r="D6258" s="1">
        <v>46021</v>
      </c>
      <c r="E6258" t="s">
        <v>4124</v>
      </c>
      <c r="F6258" t="s">
        <v>4139</v>
      </c>
    </row>
    <row r="6259" spans="1:6">
      <c r="A6259" t="s">
        <v>10388</v>
      </c>
      <c r="B6259" t="s">
        <v>2340</v>
      </c>
      <c r="C6259" t="s">
        <v>46</v>
      </c>
      <c r="D6259" s="1">
        <v>46021</v>
      </c>
      <c r="E6259" t="s">
        <v>4124</v>
      </c>
      <c r="F6259" t="s">
        <v>4125</v>
      </c>
    </row>
    <row r="6260" spans="1:6">
      <c r="A6260" t="s">
        <v>10389</v>
      </c>
      <c r="B6260" t="s">
        <v>2340</v>
      </c>
      <c r="C6260" t="s">
        <v>46</v>
      </c>
      <c r="D6260" s="1">
        <v>46022</v>
      </c>
      <c r="E6260" t="s">
        <v>4135</v>
      </c>
      <c r="F6260" t="s">
        <v>4125</v>
      </c>
    </row>
    <row r="6261" spans="1:6">
      <c r="A6261" t="s">
        <v>10390</v>
      </c>
      <c r="B6261" t="s">
        <v>2340</v>
      </c>
      <c r="C6261" t="s">
        <v>46</v>
      </c>
      <c r="D6261" s="1">
        <v>46013</v>
      </c>
      <c r="E6261" t="s">
        <v>4135</v>
      </c>
      <c r="F6261" t="s">
        <v>4139</v>
      </c>
    </row>
    <row r="6262" spans="1:6">
      <c r="A6262" t="s">
        <v>10391</v>
      </c>
      <c r="B6262" t="s">
        <v>2340</v>
      </c>
      <c r="C6262" t="s">
        <v>46</v>
      </c>
      <c r="D6262" s="1">
        <v>46020</v>
      </c>
      <c r="E6262" t="s">
        <v>4133</v>
      </c>
      <c r="F6262" t="s">
        <v>4137</v>
      </c>
    </row>
    <row r="6263" spans="1:6">
      <c r="A6263" t="s">
        <v>10392</v>
      </c>
      <c r="B6263" t="s">
        <v>2341</v>
      </c>
      <c r="C6263" t="s">
        <v>16</v>
      </c>
      <c r="D6263" s="1">
        <v>45887</v>
      </c>
      <c r="E6263" t="s">
        <v>4127</v>
      </c>
      <c r="F6263" t="s">
        <v>4125</v>
      </c>
    </row>
    <row r="6264" spans="1:6">
      <c r="A6264" t="s">
        <v>10393</v>
      </c>
      <c r="B6264" t="s">
        <v>2341</v>
      </c>
      <c r="C6264" t="s">
        <v>16</v>
      </c>
      <c r="D6264" s="1">
        <v>45934</v>
      </c>
      <c r="E6264" t="s">
        <v>4135</v>
      </c>
      <c r="F6264" t="s">
        <v>4137</v>
      </c>
    </row>
    <row r="6265" spans="1:6">
      <c r="A6265" t="s">
        <v>10394</v>
      </c>
      <c r="B6265" t="s">
        <v>2341</v>
      </c>
      <c r="C6265" t="s">
        <v>16</v>
      </c>
      <c r="D6265" s="1">
        <v>45888</v>
      </c>
      <c r="E6265" t="s">
        <v>4135</v>
      </c>
      <c r="F6265" t="s">
        <v>4137</v>
      </c>
    </row>
    <row r="6266" spans="1:6">
      <c r="A6266" t="s">
        <v>10395</v>
      </c>
      <c r="B6266" t="s">
        <v>2341</v>
      </c>
      <c r="C6266" t="s">
        <v>16</v>
      </c>
      <c r="D6266" s="1">
        <v>45887</v>
      </c>
      <c r="E6266" t="s">
        <v>4124</v>
      </c>
      <c r="F6266" t="s">
        <v>4125</v>
      </c>
    </row>
    <row r="6267" spans="1:6">
      <c r="A6267" t="s">
        <v>10396</v>
      </c>
      <c r="B6267" t="s">
        <v>2342</v>
      </c>
      <c r="C6267" t="s">
        <v>36</v>
      </c>
      <c r="D6267" s="1">
        <v>45905</v>
      </c>
      <c r="E6267" t="s">
        <v>4124</v>
      </c>
      <c r="F6267" t="s">
        <v>4139</v>
      </c>
    </row>
    <row r="6268" spans="1:6">
      <c r="A6268" t="s">
        <v>10397</v>
      </c>
      <c r="B6268" t="s">
        <v>2342</v>
      </c>
      <c r="C6268" t="s">
        <v>36</v>
      </c>
      <c r="D6268" s="1">
        <v>45904</v>
      </c>
      <c r="E6268" t="s">
        <v>4129</v>
      </c>
      <c r="F6268" t="s">
        <v>4139</v>
      </c>
    </row>
    <row r="6269" spans="1:6">
      <c r="A6269" t="s">
        <v>10398</v>
      </c>
      <c r="B6269" t="s">
        <v>2342</v>
      </c>
      <c r="C6269" t="s">
        <v>36</v>
      </c>
      <c r="D6269" s="1">
        <v>45902</v>
      </c>
      <c r="E6269" t="s">
        <v>4135</v>
      </c>
      <c r="F6269" t="s">
        <v>4137</v>
      </c>
    </row>
    <row r="6270" spans="1:6">
      <c r="A6270" t="s">
        <v>10399</v>
      </c>
      <c r="B6270" t="s">
        <v>2343</v>
      </c>
      <c r="C6270" t="s">
        <v>40</v>
      </c>
      <c r="D6270" s="1">
        <v>45995</v>
      </c>
      <c r="E6270" t="s">
        <v>4124</v>
      </c>
      <c r="F6270" t="s">
        <v>4125</v>
      </c>
    </row>
    <row r="6271" spans="1:6">
      <c r="A6271" t="s">
        <v>10400</v>
      </c>
      <c r="B6271" t="s">
        <v>2343</v>
      </c>
      <c r="C6271" t="s">
        <v>40</v>
      </c>
      <c r="D6271" s="1">
        <v>45992</v>
      </c>
      <c r="E6271" t="s">
        <v>4133</v>
      </c>
      <c r="F6271" t="s">
        <v>4137</v>
      </c>
    </row>
    <row r="6272" spans="1:6">
      <c r="A6272" t="s">
        <v>10401</v>
      </c>
      <c r="B6272" t="s">
        <v>2343</v>
      </c>
      <c r="C6272" t="s">
        <v>40</v>
      </c>
      <c r="D6272" s="1">
        <v>46022</v>
      </c>
      <c r="E6272" t="s">
        <v>4129</v>
      </c>
      <c r="F6272" t="s">
        <v>4139</v>
      </c>
    </row>
    <row r="6273" spans="1:6">
      <c r="A6273" t="s">
        <v>10402</v>
      </c>
      <c r="B6273" t="s">
        <v>2344</v>
      </c>
      <c r="C6273" t="s">
        <v>53</v>
      </c>
      <c r="D6273" s="1">
        <v>45682</v>
      </c>
      <c r="E6273" t="s">
        <v>4124</v>
      </c>
      <c r="F6273" t="s">
        <v>4139</v>
      </c>
    </row>
    <row r="6274" spans="1:6">
      <c r="A6274" t="s">
        <v>10403</v>
      </c>
      <c r="B6274" t="s">
        <v>2344</v>
      </c>
      <c r="C6274" t="s">
        <v>53</v>
      </c>
      <c r="D6274" s="1">
        <v>45709</v>
      </c>
      <c r="E6274" t="s">
        <v>4129</v>
      </c>
      <c r="F6274" t="s">
        <v>4139</v>
      </c>
    </row>
    <row r="6275" spans="1:6">
      <c r="A6275" t="s">
        <v>10404</v>
      </c>
      <c r="B6275" t="s">
        <v>2344</v>
      </c>
      <c r="C6275" t="s">
        <v>53</v>
      </c>
      <c r="D6275" s="1">
        <v>45728</v>
      </c>
      <c r="E6275" t="s">
        <v>4129</v>
      </c>
      <c r="F6275" t="s">
        <v>4125</v>
      </c>
    </row>
    <row r="6276" spans="1:6">
      <c r="A6276" t="s">
        <v>10405</v>
      </c>
      <c r="B6276" t="s">
        <v>2344</v>
      </c>
      <c r="C6276" t="s">
        <v>53</v>
      </c>
      <c r="D6276" s="1">
        <v>45721</v>
      </c>
      <c r="E6276" t="s">
        <v>4127</v>
      </c>
      <c r="F6276" t="s">
        <v>4137</v>
      </c>
    </row>
    <row r="6277" spans="1:6">
      <c r="A6277" t="s">
        <v>10406</v>
      </c>
      <c r="B6277" t="s">
        <v>2345</v>
      </c>
      <c r="C6277" t="s">
        <v>16</v>
      </c>
      <c r="D6277" s="1">
        <v>45923</v>
      </c>
      <c r="E6277" t="s">
        <v>4124</v>
      </c>
      <c r="F6277" t="s">
        <v>4137</v>
      </c>
    </row>
    <row r="6278" spans="1:6">
      <c r="A6278" t="s">
        <v>10407</v>
      </c>
      <c r="B6278" t="s">
        <v>2345</v>
      </c>
      <c r="C6278" t="s">
        <v>16</v>
      </c>
      <c r="D6278" s="1">
        <v>45924</v>
      </c>
      <c r="E6278" t="s">
        <v>4133</v>
      </c>
      <c r="F6278" t="s">
        <v>4137</v>
      </c>
    </row>
    <row r="6279" spans="1:6">
      <c r="A6279" t="s">
        <v>10408</v>
      </c>
      <c r="B6279" t="s">
        <v>2345</v>
      </c>
      <c r="C6279" t="s">
        <v>16</v>
      </c>
      <c r="D6279" s="1">
        <v>45924</v>
      </c>
      <c r="E6279" t="s">
        <v>4129</v>
      </c>
      <c r="F6279" t="s">
        <v>4139</v>
      </c>
    </row>
    <row r="6280" spans="1:6">
      <c r="A6280" t="s">
        <v>10409</v>
      </c>
      <c r="B6280" t="s">
        <v>2345</v>
      </c>
      <c r="C6280" t="s">
        <v>16</v>
      </c>
      <c r="D6280" s="1">
        <v>45927</v>
      </c>
      <c r="E6280" t="s">
        <v>4135</v>
      </c>
      <c r="F6280" t="s">
        <v>4125</v>
      </c>
    </row>
    <row r="6281" spans="1:6">
      <c r="A6281" t="s">
        <v>10410</v>
      </c>
      <c r="B6281" t="s">
        <v>2345</v>
      </c>
      <c r="C6281" t="s">
        <v>16</v>
      </c>
      <c r="D6281" s="1">
        <v>45920</v>
      </c>
      <c r="E6281" t="s">
        <v>4129</v>
      </c>
      <c r="F6281" t="s">
        <v>4139</v>
      </c>
    </row>
    <row r="6282" spans="1:6">
      <c r="A6282" t="s">
        <v>10411</v>
      </c>
      <c r="B6282" t="s">
        <v>2346</v>
      </c>
      <c r="C6282" t="s">
        <v>36</v>
      </c>
      <c r="D6282" s="1">
        <v>45951</v>
      </c>
      <c r="E6282" t="s">
        <v>4124</v>
      </c>
      <c r="F6282" t="s">
        <v>4137</v>
      </c>
    </row>
    <row r="6283" spans="1:6">
      <c r="A6283" t="s">
        <v>10412</v>
      </c>
      <c r="B6283" t="s">
        <v>2346</v>
      </c>
      <c r="C6283" t="s">
        <v>36</v>
      </c>
      <c r="D6283" s="1">
        <v>46007</v>
      </c>
      <c r="E6283" t="s">
        <v>4127</v>
      </c>
      <c r="F6283" t="s">
        <v>4125</v>
      </c>
    </row>
    <row r="6284" spans="1:6">
      <c r="A6284" t="s">
        <v>10413</v>
      </c>
      <c r="B6284" t="s">
        <v>2346</v>
      </c>
      <c r="C6284" t="s">
        <v>36</v>
      </c>
      <c r="D6284" s="1">
        <v>46005</v>
      </c>
      <c r="E6284" t="s">
        <v>4127</v>
      </c>
      <c r="F6284" t="s">
        <v>4137</v>
      </c>
    </row>
    <row r="6285" spans="1:6">
      <c r="A6285" t="s">
        <v>10414</v>
      </c>
      <c r="B6285" t="s">
        <v>2347</v>
      </c>
      <c r="C6285" t="s">
        <v>63</v>
      </c>
      <c r="D6285" s="1">
        <v>45985</v>
      </c>
      <c r="E6285" t="s">
        <v>4133</v>
      </c>
      <c r="F6285" t="s">
        <v>4137</v>
      </c>
    </row>
    <row r="6286" spans="1:6">
      <c r="A6286" t="s">
        <v>10415</v>
      </c>
      <c r="B6286" t="s">
        <v>2347</v>
      </c>
      <c r="C6286" t="s">
        <v>63</v>
      </c>
      <c r="D6286" s="1">
        <v>45985</v>
      </c>
      <c r="E6286" t="s">
        <v>4127</v>
      </c>
      <c r="F6286" t="s">
        <v>4137</v>
      </c>
    </row>
    <row r="6287" spans="1:6">
      <c r="A6287" t="s">
        <v>10416</v>
      </c>
      <c r="B6287" t="s">
        <v>2347</v>
      </c>
      <c r="C6287" t="s">
        <v>63</v>
      </c>
      <c r="D6287" s="1">
        <v>45945</v>
      </c>
      <c r="E6287" t="s">
        <v>4127</v>
      </c>
      <c r="F6287" t="s">
        <v>4139</v>
      </c>
    </row>
    <row r="6288" spans="1:6">
      <c r="A6288" t="s">
        <v>10417</v>
      </c>
      <c r="B6288" t="s">
        <v>2348</v>
      </c>
      <c r="C6288" t="s">
        <v>56</v>
      </c>
      <c r="D6288" s="1">
        <v>45723</v>
      </c>
      <c r="E6288" t="s">
        <v>4129</v>
      </c>
      <c r="F6288" t="s">
        <v>4125</v>
      </c>
    </row>
    <row r="6289" spans="1:6">
      <c r="A6289" t="s">
        <v>10418</v>
      </c>
      <c r="B6289" t="s">
        <v>2348</v>
      </c>
      <c r="C6289" t="s">
        <v>56</v>
      </c>
      <c r="D6289" s="1">
        <v>45724</v>
      </c>
      <c r="E6289" t="s">
        <v>4124</v>
      </c>
      <c r="F6289" t="s">
        <v>4137</v>
      </c>
    </row>
    <row r="6290" spans="1:6">
      <c r="A6290" t="s">
        <v>10419</v>
      </c>
      <c r="B6290" t="s">
        <v>2348</v>
      </c>
      <c r="C6290" t="s">
        <v>56</v>
      </c>
      <c r="D6290" s="1">
        <v>45697</v>
      </c>
      <c r="E6290" t="s">
        <v>4135</v>
      </c>
      <c r="F6290" t="s">
        <v>4139</v>
      </c>
    </row>
    <row r="6291" spans="1:6">
      <c r="A6291" t="s">
        <v>10420</v>
      </c>
      <c r="B6291" t="s">
        <v>2349</v>
      </c>
      <c r="C6291" t="s">
        <v>78</v>
      </c>
      <c r="D6291" s="1">
        <v>45811</v>
      </c>
      <c r="E6291" t="s">
        <v>4129</v>
      </c>
      <c r="F6291" t="s">
        <v>4125</v>
      </c>
    </row>
    <row r="6292" spans="1:6">
      <c r="A6292" t="s">
        <v>10421</v>
      </c>
      <c r="B6292" t="s">
        <v>2349</v>
      </c>
      <c r="C6292" t="s">
        <v>78</v>
      </c>
      <c r="D6292" s="1">
        <v>45820</v>
      </c>
      <c r="E6292" t="s">
        <v>4133</v>
      </c>
      <c r="F6292" t="s">
        <v>4137</v>
      </c>
    </row>
    <row r="6293" spans="1:6">
      <c r="A6293" t="s">
        <v>10422</v>
      </c>
      <c r="B6293" t="s">
        <v>2350</v>
      </c>
      <c r="C6293" t="s">
        <v>126</v>
      </c>
      <c r="D6293" s="1">
        <v>46013</v>
      </c>
      <c r="E6293" t="s">
        <v>4133</v>
      </c>
      <c r="F6293" t="s">
        <v>4125</v>
      </c>
    </row>
    <row r="6294" spans="1:6">
      <c r="A6294" t="s">
        <v>10423</v>
      </c>
      <c r="B6294" t="s">
        <v>2350</v>
      </c>
      <c r="C6294" t="s">
        <v>126</v>
      </c>
      <c r="D6294" s="1">
        <v>46017</v>
      </c>
      <c r="E6294" t="s">
        <v>4133</v>
      </c>
      <c r="F6294" t="s">
        <v>4139</v>
      </c>
    </row>
    <row r="6295" spans="1:6">
      <c r="A6295" t="s">
        <v>10424</v>
      </c>
      <c r="B6295" t="s">
        <v>2350</v>
      </c>
      <c r="C6295" t="s">
        <v>126</v>
      </c>
      <c r="D6295" s="1">
        <v>46016</v>
      </c>
      <c r="E6295" t="s">
        <v>4135</v>
      </c>
      <c r="F6295" t="s">
        <v>4139</v>
      </c>
    </row>
    <row r="6296" spans="1:6">
      <c r="A6296" t="s">
        <v>10425</v>
      </c>
      <c r="B6296" t="s">
        <v>2350</v>
      </c>
      <c r="C6296" t="s">
        <v>126</v>
      </c>
      <c r="D6296" s="1">
        <v>46009</v>
      </c>
      <c r="E6296" t="s">
        <v>4129</v>
      </c>
      <c r="F6296" t="s">
        <v>4139</v>
      </c>
    </row>
    <row r="6297" spans="1:6">
      <c r="A6297" t="s">
        <v>10426</v>
      </c>
      <c r="B6297" t="s">
        <v>2351</v>
      </c>
      <c r="C6297" t="s">
        <v>22</v>
      </c>
      <c r="D6297" s="1">
        <v>45931</v>
      </c>
      <c r="E6297" t="s">
        <v>4135</v>
      </c>
      <c r="F6297" t="s">
        <v>4139</v>
      </c>
    </row>
    <row r="6298" spans="1:6">
      <c r="A6298" t="s">
        <v>10427</v>
      </c>
      <c r="B6298" t="s">
        <v>2351</v>
      </c>
      <c r="C6298" t="s">
        <v>22</v>
      </c>
      <c r="D6298" s="1">
        <v>45936</v>
      </c>
      <c r="E6298" t="s">
        <v>4127</v>
      </c>
      <c r="F6298" t="s">
        <v>4137</v>
      </c>
    </row>
    <row r="6299" spans="1:6">
      <c r="A6299" t="s">
        <v>10428</v>
      </c>
      <c r="B6299" t="s">
        <v>2352</v>
      </c>
      <c r="C6299" t="s">
        <v>36</v>
      </c>
      <c r="D6299" s="1">
        <v>45806</v>
      </c>
      <c r="E6299" t="s">
        <v>4129</v>
      </c>
      <c r="F6299" t="s">
        <v>4125</v>
      </c>
    </row>
    <row r="6300" spans="1:6">
      <c r="A6300" t="s">
        <v>10429</v>
      </c>
      <c r="B6300" t="s">
        <v>2352</v>
      </c>
      <c r="C6300" t="s">
        <v>36</v>
      </c>
      <c r="D6300" s="1">
        <v>45778</v>
      </c>
      <c r="E6300" t="s">
        <v>4127</v>
      </c>
      <c r="F6300" t="s">
        <v>4125</v>
      </c>
    </row>
    <row r="6301" spans="1:6">
      <c r="A6301" t="s">
        <v>10430</v>
      </c>
      <c r="B6301" t="s">
        <v>2352</v>
      </c>
      <c r="C6301" t="s">
        <v>36</v>
      </c>
      <c r="D6301" s="1">
        <v>45790</v>
      </c>
      <c r="E6301" t="s">
        <v>4127</v>
      </c>
      <c r="F6301" t="s">
        <v>4139</v>
      </c>
    </row>
    <row r="6302" spans="1:6">
      <c r="A6302" t="s">
        <v>10431</v>
      </c>
      <c r="B6302" t="s">
        <v>2353</v>
      </c>
      <c r="C6302" t="s">
        <v>91</v>
      </c>
      <c r="D6302" s="1">
        <v>45717</v>
      </c>
      <c r="E6302" t="s">
        <v>4129</v>
      </c>
      <c r="F6302" t="s">
        <v>4137</v>
      </c>
    </row>
    <row r="6303" spans="1:6">
      <c r="A6303" t="s">
        <v>10432</v>
      </c>
      <c r="B6303" t="s">
        <v>2353</v>
      </c>
      <c r="C6303" t="s">
        <v>91</v>
      </c>
      <c r="D6303" s="1">
        <v>45713</v>
      </c>
      <c r="E6303" t="s">
        <v>4129</v>
      </c>
      <c r="F6303" t="s">
        <v>4137</v>
      </c>
    </row>
    <row r="6304" spans="1:6">
      <c r="A6304" t="s">
        <v>10433</v>
      </c>
      <c r="B6304" t="s">
        <v>2353</v>
      </c>
      <c r="C6304" t="s">
        <v>91</v>
      </c>
      <c r="D6304" s="1">
        <v>45724</v>
      </c>
      <c r="E6304" t="s">
        <v>4127</v>
      </c>
      <c r="F6304" t="s">
        <v>4137</v>
      </c>
    </row>
    <row r="6305" spans="1:6">
      <c r="A6305" t="s">
        <v>10434</v>
      </c>
      <c r="B6305" t="s">
        <v>2353</v>
      </c>
      <c r="C6305" t="s">
        <v>91</v>
      </c>
      <c r="D6305" s="1">
        <v>45760</v>
      </c>
      <c r="E6305" t="s">
        <v>4124</v>
      </c>
      <c r="F6305" t="s">
        <v>4125</v>
      </c>
    </row>
    <row r="6306" spans="1:6">
      <c r="A6306" t="s">
        <v>10435</v>
      </c>
      <c r="B6306" t="s">
        <v>2354</v>
      </c>
      <c r="C6306" t="s">
        <v>53</v>
      </c>
      <c r="D6306" s="1">
        <v>45903</v>
      </c>
      <c r="E6306" t="s">
        <v>4124</v>
      </c>
      <c r="F6306" t="s">
        <v>4125</v>
      </c>
    </row>
    <row r="6307" spans="1:6">
      <c r="A6307" t="s">
        <v>10436</v>
      </c>
      <c r="B6307" t="s">
        <v>2354</v>
      </c>
      <c r="C6307" t="s">
        <v>53</v>
      </c>
      <c r="D6307" s="1">
        <v>45909</v>
      </c>
      <c r="E6307" t="s">
        <v>4127</v>
      </c>
      <c r="F6307" t="s">
        <v>4137</v>
      </c>
    </row>
    <row r="6308" spans="1:6">
      <c r="A6308" t="s">
        <v>10437</v>
      </c>
      <c r="B6308" t="s">
        <v>2355</v>
      </c>
      <c r="C6308" t="s">
        <v>50</v>
      </c>
      <c r="D6308" s="1">
        <v>45935</v>
      </c>
      <c r="E6308" t="s">
        <v>4127</v>
      </c>
      <c r="F6308" t="s">
        <v>4125</v>
      </c>
    </row>
    <row r="6309" spans="1:6">
      <c r="A6309" t="s">
        <v>10438</v>
      </c>
      <c r="B6309" t="s">
        <v>2355</v>
      </c>
      <c r="C6309" t="s">
        <v>50</v>
      </c>
      <c r="D6309" s="1">
        <v>45891</v>
      </c>
      <c r="E6309" t="s">
        <v>4129</v>
      </c>
      <c r="F6309" t="s">
        <v>4125</v>
      </c>
    </row>
    <row r="6310" spans="1:6">
      <c r="A6310" t="s">
        <v>10439</v>
      </c>
      <c r="B6310" t="s">
        <v>2356</v>
      </c>
      <c r="C6310" t="s">
        <v>16</v>
      </c>
      <c r="D6310" s="1">
        <v>45831</v>
      </c>
      <c r="E6310" t="s">
        <v>4129</v>
      </c>
      <c r="F6310" t="s">
        <v>4137</v>
      </c>
    </row>
    <row r="6311" spans="1:6">
      <c r="A6311" t="s">
        <v>10440</v>
      </c>
      <c r="B6311" t="s">
        <v>2356</v>
      </c>
      <c r="C6311" t="s">
        <v>16</v>
      </c>
      <c r="D6311" s="1">
        <v>45827</v>
      </c>
      <c r="E6311" t="s">
        <v>4127</v>
      </c>
      <c r="F6311" t="s">
        <v>4125</v>
      </c>
    </row>
    <row r="6312" spans="1:6">
      <c r="A6312" t="s">
        <v>10441</v>
      </c>
      <c r="B6312" t="s">
        <v>2356</v>
      </c>
      <c r="C6312" t="s">
        <v>16</v>
      </c>
      <c r="D6312" s="1">
        <v>45849</v>
      </c>
      <c r="E6312" t="s">
        <v>4135</v>
      </c>
      <c r="F6312" t="s">
        <v>4137</v>
      </c>
    </row>
    <row r="6313" spans="1:6">
      <c r="A6313" t="s">
        <v>10442</v>
      </c>
      <c r="B6313" t="s">
        <v>2356</v>
      </c>
      <c r="C6313" t="s">
        <v>16</v>
      </c>
      <c r="D6313" s="1">
        <v>45826</v>
      </c>
      <c r="E6313" t="s">
        <v>4129</v>
      </c>
      <c r="F6313" t="s">
        <v>4125</v>
      </c>
    </row>
    <row r="6314" spans="1:6">
      <c r="A6314" t="s">
        <v>10443</v>
      </c>
      <c r="B6314" t="s">
        <v>2356</v>
      </c>
      <c r="C6314" t="s">
        <v>16</v>
      </c>
      <c r="D6314" s="1">
        <v>45809</v>
      </c>
      <c r="E6314" t="s">
        <v>4133</v>
      </c>
      <c r="F6314" t="s">
        <v>4125</v>
      </c>
    </row>
    <row r="6315" spans="1:6">
      <c r="A6315" t="s">
        <v>10444</v>
      </c>
      <c r="B6315" t="s">
        <v>2357</v>
      </c>
      <c r="C6315" t="s">
        <v>75</v>
      </c>
      <c r="D6315" s="1">
        <v>46017</v>
      </c>
      <c r="E6315" t="s">
        <v>4124</v>
      </c>
      <c r="F6315" t="s">
        <v>4137</v>
      </c>
    </row>
    <row r="6316" spans="1:6">
      <c r="A6316" t="s">
        <v>10445</v>
      </c>
      <c r="B6316" t="s">
        <v>2357</v>
      </c>
      <c r="C6316" t="s">
        <v>75</v>
      </c>
      <c r="D6316" s="1">
        <v>46005</v>
      </c>
      <c r="E6316" t="s">
        <v>4127</v>
      </c>
      <c r="F6316" t="s">
        <v>4125</v>
      </c>
    </row>
    <row r="6317" spans="1:6">
      <c r="A6317" t="s">
        <v>10446</v>
      </c>
      <c r="B6317" t="s">
        <v>2357</v>
      </c>
      <c r="C6317" t="s">
        <v>75</v>
      </c>
      <c r="D6317" s="1">
        <v>46002</v>
      </c>
      <c r="E6317" t="s">
        <v>4127</v>
      </c>
      <c r="F6317" t="s">
        <v>4137</v>
      </c>
    </row>
    <row r="6318" spans="1:6">
      <c r="A6318" t="s">
        <v>10447</v>
      </c>
      <c r="B6318" t="s">
        <v>2357</v>
      </c>
      <c r="C6318" t="s">
        <v>75</v>
      </c>
      <c r="D6318" s="1">
        <v>46019</v>
      </c>
      <c r="E6318" t="s">
        <v>4133</v>
      </c>
      <c r="F6318" t="s">
        <v>4139</v>
      </c>
    </row>
    <row r="6319" spans="1:6">
      <c r="A6319" t="s">
        <v>10448</v>
      </c>
      <c r="B6319" t="s">
        <v>2357</v>
      </c>
      <c r="C6319" t="s">
        <v>75</v>
      </c>
      <c r="D6319" s="1">
        <v>46003</v>
      </c>
      <c r="E6319" t="s">
        <v>4129</v>
      </c>
      <c r="F6319" t="s">
        <v>4137</v>
      </c>
    </row>
    <row r="6320" spans="1:6">
      <c r="A6320" t="s">
        <v>10449</v>
      </c>
      <c r="B6320" t="s">
        <v>2358</v>
      </c>
      <c r="C6320" t="s">
        <v>50</v>
      </c>
      <c r="D6320" s="1">
        <v>45821</v>
      </c>
      <c r="E6320" t="s">
        <v>4127</v>
      </c>
      <c r="F6320" t="s">
        <v>4137</v>
      </c>
    </row>
    <row r="6321" spans="1:6">
      <c r="A6321" t="s">
        <v>10450</v>
      </c>
      <c r="B6321" t="s">
        <v>2358</v>
      </c>
      <c r="C6321" t="s">
        <v>50</v>
      </c>
      <c r="D6321" s="1">
        <v>45821</v>
      </c>
      <c r="E6321" t="s">
        <v>4129</v>
      </c>
      <c r="F6321" t="s">
        <v>4137</v>
      </c>
    </row>
    <row r="6322" spans="1:6">
      <c r="A6322" t="s">
        <v>10451</v>
      </c>
      <c r="B6322" t="s">
        <v>2359</v>
      </c>
      <c r="C6322" t="s">
        <v>59</v>
      </c>
      <c r="D6322" s="1">
        <v>45912</v>
      </c>
      <c r="E6322" t="s">
        <v>4127</v>
      </c>
      <c r="F6322" t="s">
        <v>4137</v>
      </c>
    </row>
    <row r="6323" spans="1:6">
      <c r="A6323" t="s">
        <v>10452</v>
      </c>
      <c r="B6323" t="s">
        <v>2359</v>
      </c>
      <c r="C6323" t="s">
        <v>59</v>
      </c>
      <c r="D6323" s="1">
        <v>45909</v>
      </c>
      <c r="E6323" t="s">
        <v>4133</v>
      </c>
      <c r="F6323" t="s">
        <v>4139</v>
      </c>
    </row>
    <row r="6324" spans="1:6">
      <c r="A6324" t="s">
        <v>10453</v>
      </c>
      <c r="B6324" t="s">
        <v>2359</v>
      </c>
      <c r="C6324" t="s">
        <v>59</v>
      </c>
      <c r="D6324" s="1">
        <v>45904</v>
      </c>
      <c r="E6324" t="s">
        <v>4127</v>
      </c>
      <c r="F6324" t="s">
        <v>4125</v>
      </c>
    </row>
    <row r="6325" spans="1:6">
      <c r="A6325" t="s">
        <v>10454</v>
      </c>
      <c r="B6325" t="s">
        <v>2360</v>
      </c>
      <c r="C6325" t="s">
        <v>70</v>
      </c>
      <c r="D6325" s="1">
        <v>45763</v>
      </c>
      <c r="E6325" t="s">
        <v>4133</v>
      </c>
      <c r="F6325" t="s">
        <v>4139</v>
      </c>
    </row>
    <row r="6326" spans="1:6">
      <c r="A6326" t="s">
        <v>10455</v>
      </c>
      <c r="B6326" t="s">
        <v>2360</v>
      </c>
      <c r="C6326" t="s">
        <v>70</v>
      </c>
      <c r="D6326" s="1">
        <v>45802</v>
      </c>
      <c r="E6326" t="s">
        <v>4135</v>
      </c>
      <c r="F6326" t="s">
        <v>4137</v>
      </c>
    </row>
    <row r="6327" spans="1:6">
      <c r="A6327" t="s">
        <v>10456</v>
      </c>
      <c r="B6327" t="s">
        <v>2360</v>
      </c>
      <c r="C6327" t="s">
        <v>70</v>
      </c>
      <c r="D6327" s="1">
        <v>45753</v>
      </c>
      <c r="E6327" t="s">
        <v>4124</v>
      </c>
      <c r="F6327" t="s">
        <v>4137</v>
      </c>
    </row>
    <row r="6328" spans="1:6">
      <c r="A6328" t="s">
        <v>10457</v>
      </c>
      <c r="B6328" t="s">
        <v>2360</v>
      </c>
      <c r="C6328" t="s">
        <v>70</v>
      </c>
      <c r="D6328" s="1">
        <v>45767</v>
      </c>
      <c r="E6328" t="s">
        <v>4135</v>
      </c>
      <c r="F6328" t="s">
        <v>4139</v>
      </c>
    </row>
    <row r="6329" spans="1:6">
      <c r="A6329" t="s">
        <v>10458</v>
      </c>
      <c r="B6329" t="s">
        <v>2360</v>
      </c>
      <c r="C6329" t="s">
        <v>70</v>
      </c>
      <c r="D6329" s="1">
        <v>45804</v>
      </c>
      <c r="E6329" t="s">
        <v>4127</v>
      </c>
      <c r="F6329" t="s">
        <v>4137</v>
      </c>
    </row>
    <row r="6330" spans="1:6">
      <c r="A6330" t="s">
        <v>10459</v>
      </c>
      <c r="B6330" t="s">
        <v>2361</v>
      </c>
      <c r="C6330" t="s">
        <v>75</v>
      </c>
      <c r="D6330" s="1">
        <v>45804</v>
      </c>
      <c r="E6330" t="s">
        <v>4129</v>
      </c>
      <c r="F6330" t="s">
        <v>4139</v>
      </c>
    </row>
    <row r="6331" spans="1:6">
      <c r="A6331" t="s">
        <v>10460</v>
      </c>
      <c r="B6331" t="s">
        <v>2361</v>
      </c>
      <c r="C6331" t="s">
        <v>75</v>
      </c>
      <c r="D6331" s="1">
        <v>45811</v>
      </c>
      <c r="E6331" t="s">
        <v>4127</v>
      </c>
      <c r="F6331" t="s">
        <v>4137</v>
      </c>
    </row>
    <row r="6332" spans="1:6">
      <c r="A6332" t="s">
        <v>10461</v>
      </c>
      <c r="B6332" t="s">
        <v>2361</v>
      </c>
      <c r="C6332" t="s">
        <v>75</v>
      </c>
      <c r="D6332" s="1">
        <v>45804</v>
      </c>
      <c r="E6332" t="s">
        <v>4129</v>
      </c>
      <c r="F6332" t="s">
        <v>4137</v>
      </c>
    </row>
    <row r="6333" spans="1:6">
      <c r="A6333" t="s">
        <v>10462</v>
      </c>
      <c r="B6333" t="s">
        <v>2361</v>
      </c>
      <c r="C6333" t="s">
        <v>75</v>
      </c>
      <c r="D6333" s="1">
        <v>45812</v>
      </c>
      <c r="E6333" t="s">
        <v>4127</v>
      </c>
      <c r="F6333" t="s">
        <v>4137</v>
      </c>
    </row>
    <row r="6334" spans="1:6">
      <c r="A6334" t="s">
        <v>10463</v>
      </c>
      <c r="B6334" t="s">
        <v>2362</v>
      </c>
      <c r="C6334" t="s">
        <v>70</v>
      </c>
      <c r="D6334" s="1">
        <v>45901</v>
      </c>
      <c r="E6334" t="s">
        <v>4129</v>
      </c>
      <c r="F6334" t="s">
        <v>4139</v>
      </c>
    </row>
    <row r="6335" spans="1:6">
      <c r="A6335" t="s">
        <v>10464</v>
      </c>
      <c r="B6335" t="s">
        <v>2362</v>
      </c>
      <c r="C6335" t="s">
        <v>70</v>
      </c>
      <c r="D6335" s="1">
        <v>45897</v>
      </c>
      <c r="E6335" t="s">
        <v>4133</v>
      </c>
      <c r="F6335" t="s">
        <v>4137</v>
      </c>
    </row>
    <row r="6336" spans="1:6">
      <c r="A6336" t="s">
        <v>10465</v>
      </c>
      <c r="B6336" t="s">
        <v>2362</v>
      </c>
      <c r="C6336" t="s">
        <v>70</v>
      </c>
      <c r="D6336" s="1">
        <v>45880</v>
      </c>
      <c r="E6336" t="s">
        <v>4133</v>
      </c>
      <c r="F6336" t="s">
        <v>4125</v>
      </c>
    </row>
    <row r="6337" spans="1:6">
      <c r="A6337" t="s">
        <v>10466</v>
      </c>
      <c r="B6337" t="s">
        <v>2362</v>
      </c>
      <c r="C6337" t="s">
        <v>70</v>
      </c>
      <c r="D6337" s="1">
        <v>45901</v>
      </c>
      <c r="E6337" t="s">
        <v>4133</v>
      </c>
      <c r="F6337" t="s">
        <v>4137</v>
      </c>
    </row>
    <row r="6338" spans="1:6">
      <c r="A6338" t="s">
        <v>10467</v>
      </c>
      <c r="B6338" t="s">
        <v>2362</v>
      </c>
      <c r="C6338" t="s">
        <v>70</v>
      </c>
      <c r="D6338" s="1">
        <v>45887</v>
      </c>
      <c r="E6338" t="s">
        <v>4133</v>
      </c>
      <c r="F6338" t="s">
        <v>4137</v>
      </c>
    </row>
    <row r="6339" spans="1:6">
      <c r="A6339" t="s">
        <v>10468</v>
      </c>
      <c r="B6339" t="s">
        <v>2363</v>
      </c>
      <c r="C6339" t="s">
        <v>40</v>
      </c>
      <c r="D6339" s="1">
        <v>46013</v>
      </c>
      <c r="E6339" t="s">
        <v>4124</v>
      </c>
      <c r="F6339" t="s">
        <v>4125</v>
      </c>
    </row>
    <row r="6340" spans="1:6">
      <c r="A6340" t="s">
        <v>10469</v>
      </c>
      <c r="B6340" t="s">
        <v>2363</v>
      </c>
      <c r="C6340" t="s">
        <v>40</v>
      </c>
      <c r="D6340" s="1">
        <v>46018</v>
      </c>
      <c r="E6340" t="s">
        <v>4133</v>
      </c>
      <c r="F6340" t="s">
        <v>4125</v>
      </c>
    </row>
    <row r="6341" spans="1:6">
      <c r="A6341" t="s">
        <v>10470</v>
      </c>
      <c r="B6341" t="s">
        <v>2363</v>
      </c>
      <c r="C6341" t="s">
        <v>40</v>
      </c>
      <c r="D6341" s="1">
        <v>46013</v>
      </c>
      <c r="E6341" t="s">
        <v>4133</v>
      </c>
      <c r="F6341" t="s">
        <v>4125</v>
      </c>
    </row>
    <row r="6342" spans="1:6">
      <c r="A6342" t="s">
        <v>10471</v>
      </c>
      <c r="B6342" t="s">
        <v>2364</v>
      </c>
      <c r="C6342" t="s">
        <v>46</v>
      </c>
      <c r="D6342" s="1">
        <v>45930</v>
      </c>
      <c r="E6342" t="s">
        <v>4127</v>
      </c>
      <c r="F6342" t="s">
        <v>4137</v>
      </c>
    </row>
    <row r="6343" spans="1:6">
      <c r="A6343" t="s">
        <v>10472</v>
      </c>
      <c r="B6343" t="s">
        <v>2364</v>
      </c>
      <c r="C6343" t="s">
        <v>46</v>
      </c>
      <c r="D6343" s="1">
        <v>45996</v>
      </c>
      <c r="E6343" t="s">
        <v>4135</v>
      </c>
      <c r="F6343" t="s">
        <v>4125</v>
      </c>
    </row>
    <row r="6344" spans="1:6">
      <c r="A6344" t="s">
        <v>10473</v>
      </c>
      <c r="B6344" t="s">
        <v>2365</v>
      </c>
      <c r="C6344" t="s">
        <v>46</v>
      </c>
      <c r="D6344" s="1">
        <v>45848</v>
      </c>
      <c r="E6344" t="s">
        <v>4133</v>
      </c>
      <c r="F6344" t="s">
        <v>4125</v>
      </c>
    </row>
    <row r="6345" spans="1:6">
      <c r="A6345" t="s">
        <v>10474</v>
      </c>
      <c r="B6345" t="s">
        <v>2365</v>
      </c>
      <c r="C6345" t="s">
        <v>46</v>
      </c>
      <c r="D6345" s="1">
        <v>45869</v>
      </c>
      <c r="E6345" t="s">
        <v>4135</v>
      </c>
      <c r="F6345" t="s">
        <v>4125</v>
      </c>
    </row>
    <row r="6346" spans="1:6">
      <c r="A6346" t="s">
        <v>10475</v>
      </c>
      <c r="B6346" t="s">
        <v>2365</v>
      </c>
      <c r="C6346" t="s">
        <v>46</v>
      </c>
      <c r="D6346" s="1">
        <v>45868</v>
      </c>
      <c r="E6346" t="s">
        <v>4135</v>
      </c>
      <c r="F6346" t="s">
        <v>4125</v>
      </c>
    </row>
    <row r="6347" spans="1:6">
      <c r="A6347" t="s">
        <v>10476</v>
      </c>
      <c r="B6347" t="s">
        <v>2365</v>
      </c>
      <c r="C6347" t="s">
        <v>46</v>
      </c>
      <c r="D6347" s="1">
        <v>45853</v>
      </c>
      <c r="E6347" t="s">
        <v>4129</v>
      </c>
      <c r="F6347" t="s">
        <v>4137</v>
      </c>
    </row>
    <row r="6348" spans="1:6">
      <c r="A6348" t="s">
        <v>10477</v>
      </c>
      <c r="B6348" t="s">
        <v>2366</v>
      </c>
      <c r="C6348" t="s">
        <v>63</v>
      </c>
      <c r="D6348" s="1">
        <v>45680</v>
      </c>
      <c r="E6348" t="s">
        <v>4129</v>
      </c>
      <c r="F6348" t="s">
        <v>4125</v>
      </c>
    </row>
    <row r="6349" spans="1:6">
      <c r="A6349" t="s">
        <v>10478</v>
      </c>
      <c r="B6349" t="s">
        <v>2366</v>
      </c>
      <c r="C6349" t="s">
        <v>63</v>
      </c>
      <c r="D6349" s="1">
        <v>45682</v>
      </c>
      <c r="E6349" t="s">
        <v>4129</v>
      </c>
      <c r="F6349" t="s">
        <v>4137</v>
      </c>
    </row>
    <row r="6350" spans="1:6">
      <c r="A6350" t="s">
        <v>10479</v>
      </c>
      <c r="B6350" t="s">
        <v>2366</v>
      </c>
      <c r="C6350" t="s">
        <v>63</v>
      </c>
      <c r="D6350" s="1">
        <v>45683</v>
      </c>
      <c r="E6350" t="s">
        <v>4124</v>
      </c>
      <c r="F6350" t="s">
        <v>4125</v>
      </c>
    </row>
    <row r="6351" spans="1:6">
      <c r="A6351" t="s">
        <v>10480</v>
      </c>
      <c r="B6351" t="s">
        <v>2367</v>
      </c>
      <c r="C6351" t="s">
        <v>22</v>
      </c>
      <c r="D6351" s="1">
        <v>45890</v>
      </c>
      <c r="E6351" t="s">
        <v>4127</v>
      </c>
      <c r="F6351" t="s">
        <v>4139</v>
      </c>
    </row>
    <row r="6352" spans="1:6">
      <c r="A6352" t="s">
        <v>10481</v>
      </c>
      <c r="B6352" t="s">
        <v>2367</v>
      </c>
      <c r="C6352" t="s">
        <v>22</v>
      </c>
      <c r="D6352" s="1">
        <v>45904</v>
      </c>
      <c r="E6352" t="s">
        <v>4124</v>
      </c>
      <c r="F6352" t="s">
        <v>4137</v>
      </c>
    </row>
    <row r="6353" spans="1:6">
      <c r="A6353" t="s">
        <v>10482</v>
      </c>
      <c r="B6353" t="s">
        <v>2368</v>
      </c>
      <c r="C6353" t="s">
        <v>75</v>
      </c>
      <c r="D6353" s="1">
        <v>45876</v>
      </c>
      <c r="E6353" t="s">
        <v>4129</v>
      </c>
      <c r="F6353" t="s">
        <v>4137</v>
      </c>
    </row>
    <row r="6354" spans="1:6">
      <c r="A6354" t="s">
        <v>10483</v>
      </c>
      <c r="B6354" t="s">
        <v>2368</v>
      </c>
      <c r="C6354" t="s">
        <v>75</v>
      </c>
      <c r="D6354" s="1">
        <v>45875</v>
      </c>
      <c r="E6354" t="s">
        <v>4135</v>
      </c>
      <c r="F6354" t="s">
        <v>4137</v>
      </c>
    </row>
    <row r="6355" spans="1:6">
      <c r="A6355" t="s">
        <v>10484</v>
      </c>
      <c r="B6355" t="s">
        <v>2368</v>
      </c>
      <c r="C6355" t="s">
        <v>75</v>
      </c>
      <c r="D6355" s="1">
        <v>45878</v>
      </c>
      <c r="E6355" t="s">
        <v>4127</v>
      </c>
      <c r="F6355" t="s">
        <v>4125</v>
      </c>
    </row>
    <row r="6356" spans="1:6">
      <c r="A6356" t="s">
        <v>10485</v>
      </c>
      <c r="B6356" t="s">
        <v>2369</v>
      </c>
      <c r="C6356" t="s">
        <v>63</v>
      </c>
      <c r="D6356" s="1">
        <v>45933</v>
      </c>
      <c r="E6356" t="s">
        <v>4124</v>
      </c>
      <c r="F6356" t="s">
        <v>4125</v>
      </c>
    </row>
    <row r="6357" spans="1:6">
      <c r="A6357" t="s">
        <v>10486</v>
      </c>
      <c r="B6357" t="s">
        <v>2369</v>
      </c>
      <c r="C6357" t="s">
        <v>63</v>
      </c>
      <c r="D6357" s="1">
        <v>45905</v>
      </c>
      <c r="E6357" t="s">
        <v>4127</v>
      </c>
      <c r="F6357" t="s">
        <v>4137</v>
      </c>
    </row>
    <row r="6358" spans="1:6">
      <c r="A6358" t="s">
        <v>10487</v>
      </c>
      <c r="B6358" t="s">
        <v>2369</v>
      </c>
      <c r="C6358" t="s">
        <v>63</v>
      </c>
      <c r="D6358" s="1">
        <v>45924</v>
      </c>
      <c r="E6358" t="s">
        <v>4129</v>
      </c>
      <c r="F6358" t="s">
        <v>4139</v>
      </c>
    </row>
    <row r="6359" spans="1:6">
      <c r="A6359" t="s">
        <v>10488</v>
      </c>
      <c r="B6359" t="s">
        <v>2369</v>
      </c>
      <c r="C6359" t="s">
        <v>63</v>
      </c>
      <c r="D6359" s="1">
        <v>45936</v>
      </c>
      <c r="E6359" t="s">
        <v>4129</v>
      </c>
      <c r="F6359" t="s">
        <v>4125</v>
      </c>
    </row>
    <row r="6360" spans="1:6">
      <c r="A6360" t="s">
        <v>10489</v>
      </c>
      <c r="B6360" t="s">
        <v>2369</v>
      </c>
      <c r="C6360" t="s">
        <v>63</v>
      </c>
      <c r="D6360" s="1">
        <v>45921</v>
      </c>
      <c r="E6360" t="s">
        <v>4135</v>
      </c>
      <c r="F6360" t="s">
        <v>4139</v>
      </c>
    </row>
    <row r="6361" spans="1:6">
      <c r="A6361" t="s">
        <v>10490</v>
      </c>
      <c r="B6361" t="s">
        <v>2370</v>
      </c>
      <c r="C6361" t="s">
        <v>91</v>
      </c>
      <c r="D6361" s="1">
        <v>45901</v>
      </c>
      <c r="E6361" t="s">
        <v>4124</v>
      </c>
      <c r="F6361" t="s">
        <v>4125</v>
      </c>
    </row>
    <row r="6362" spans="1:6">
      <c r="A6362" t="s">
        <v>10491</v>
      </c>
      <c r="B6362" t="s">
        <v>2370</v>
      </c>
      <c r="C6362" t="s">
        <v>91</v>
      </c>
      <c r="D6362" s="1">
        <v>45905</v>
      </c>
      <c r="E6362" t="s">
        <v>4133</v>
      </c>
      <c r="F6362" t="s">
        <v>4125</v>
      </c>
    </row>
    <row r="6363" spans="1:6">
      <c r="A6363" t="s">
        <v>10492</v>
      </c>
      <c r="B6363" t="s">
        <v>2370</v>
      </c>
      <c r="C6363" t="s">
        <v>91</v>
      </c>
      <c r="D6363" s="1">
        <v>45899</v>
      </c>
      <c r="E6363" t="s">
        <v>4124</v>
      </c>
      <c r="F6363" t="s">
        <v>4137</v>
      </c>
    </row>
    <row r="6364" spans="1:6">
      <c r="A6364" t="s">
        <v>10493</v>
      </c>
      <c r="B6364" t="s">
        <v>2371</v>
      </c>
      <c r="C6364" t="s">
        <v>32</v>
      </c>
      <c r="D6364" s="1">
        <v>45888</v>
      </c>
      <c r="E6364" t="s">
        <v>4135</v>
      </c>
      <c r="F6364" t="s">
        <v>4137</v>
      </c>
    </row>
    <row r="6365" spans="1:6">
      <c r="A6365" t="s">
        <v>10494</v>
      </c>
      <c r="B6365" t="s">
        <v>2371</v>
      </c>
      <c r="C6365" t="s">
        <v>32</v>
      </c>
      <c r="D6365" s="1">
        <v>45906</v>
      </c>
      <c r="E6365" t="s">
        <v>4129</v>
      </c>
      <c r="F6365" t="s">
        <v>4137</v>
      </c>
    </row>
    <row r="6366" spans="1:6">
      <c r="A6366" t="s">
        <v>10495</v>
      </c>
      <c r="B6366" t="s">
        <v>2371</v>
      </c>
      <c r="C6366" t="s">
        <v>32</v>
      </c>
      <c r="D6366" s="1">
        <v>45874</v>
      </c>
      <c r="E6366" t="s">
        <v>4135</v>
      </c>
      <c r="F6366" t="s">
        <v>4139</v>
      </c>
    </row>
    <row r="6367" spans="1:6">
      <c r="A6367" t="s">
        <v>10496</v>
      </c>
      <c r="B6367" t="s">
        <v>2372</v>
      </c>
      <c r="C6367" t="s">
        <v>75</v>
      </c>
      <c r="D6367" s="1">
        <v>45840</v>
      </c>
      <c r="E6367" t="s">
        <v>4124</v>
      </c>
      <c r="F6367" t="s">
        <v>4137</v>
      </c>
    </row>
    <row r="6368" spans="1:6">
      <c r="A6368" t="s">
        <v>10497</v>
      </c>
      <c r="B6368" t="s">
        <v>2372</v>
      </c>
      <c r="C6368" t="s">
        <v>75</v>
      </c>
      <c r="D6368" s="1">
        <v>45813</v>
      </c>
      <c r="E6368" t="s">
        <v>4129</v>
      </c>
      <c r="F6368" t="s">
        <v>4137</v>
      </c>
    </row>
    <row r="6369" spans="1:6">
      <c r="A6369" t="s">
        <v>10498</v>
      </c>
      <c r="B6369" t="s">
        <v>2372</v>
      </c>
      <c r="C6369" t="s">
        <v>75</v>
      </c>
      <c r="D6369" s="1">
        <v>45838</v>
      </c>
      <c r="E6369" t="s">
        <v>4129</v>
      </c>
      <c r="F6369" t="s">
        <v>4139</v>
      </c>
    </row>
    <row r="6370" spans="1:6">
      <c r="A6370" t="s">
        <v>10499</v>
      </c>
      <c r="B6370" t="s">
        <v>2373</v>
      </c>
      <c r="C6370" t="s">
        <v>152</v>
      </c>
      <c r="D6370" s="1">
        <v>45860</v>
      </c>
      <c r="E6370" t="s">
        <v>4133</v>
      </c>
      <c r="F6370" t="s">
        <v>4139</v>
      </c>
    </row>
    <row r="6371" spans="1:6">
      <c r="A6371" t="s">
        <v>10500</v>
      </c>
      <c r="B6371" t="s">
        <v>2373</v>
      </c>
      <c r="C6371" t="s">
        <v>152</v>
      </c>
      <c r="D6371" s="1">
        <v>45847</v>
      </c>
      <c r="E6371" t="s">
        <v>4127</v>
      </c>
      <c r="F6371" t="s">
        <v>4139</v>
      </c>
    </row>
    <row r="6372" spans="1:6">
      <c r="A6372" t="s">
        <v>10501</v>
      </c>
      <c r="B6372" t="s">
        <v>2373</v>
      </c>
      <c r="C6372" t="s">
        <v>152</v>
      </c>
      <c r="D6372" s="1">
        <v>45872</v>
      </c>
      <c r="E6372" t="s">
        <v>4135</v>
      </c>
      <c r="F6372" t="s">
        <v>4137</v>
      </c>
    </row>
    <row r="6373" spans="1:6">
      <c r="A6373" t="s">
        <v>10502</v>
      </c>
      <c r="B6373" t="s">
        <v>2373</v>
      </c>
      <c r="C6373" t="s">
        <v>152</v>
      </c>
      <c r="D6373" s="1">
        <v>45865</v>
      </c>
      <c r="E6373" t="s">
        <v>4124</v>
      </c>
      <c r="F6373" t="s">
        <v>4125</v>
      </c>
    </row>
    <row r="6374" spans="1:6">
      <c r="A6374" t="s">
        <v>10503</v>
      </c>
      <c r="B6374" t="s">
        <v>2373</v>
      </c>
      <c r="C6374" t="s">
        <v>152</v>
      </c>
      <c r="D6374" s="1">
        <v>45852</v>
      </c>
      <c r="E6374" t="s">
        <v>4127</v>
      </c>
      <c r="F6374" t="s">
        <v>4125</v>
      </c>
    </row>
    <row r="6375" spans="1:6">
      <c r="A6375" t="s">
        <v>10504</v>
      </c>
      <c r="B6375" t="s">
        <v>2374</v>
      </c>
      <c r="C6375" t="s">
        <v>40</v>
      </c>
      <c r="D6375" s="1">
        <v>45793</v>
      </c>
      <c r="E6375" t="s">
        <v>4133</v>
      </c>
      <c r="F6375" t="s">
        <v>4137</v>
      </c>
    </row>
    <row r="6376" spans="1:6">
      <c r="A6376" t="s">
        <v>10505</v>
      </c>
      <c r="B6376" t="s">
        <v>2374</v>
      </c>
      <c r="C6376" t="s">
        <v>40</v>
      </c>
      <c r="D6376" s="1">
        <v>45794</v>
      </c>
      <c r="E6376" t="s">
        <v>4127</v>
      </c>
      <c r="F6376" t="s">
        <v>4139</v>
      </c>
    </row>
    <row r="6377" spans="1:6">
      <c r="A6377" t="s">
        <v>10506</v>
      </c>
      <c r="B6377" t="s">
        <v>2374</v>
      </c>
      <c r="C6377" t="s">
        <v>40</v>
      </c>
      <c r="D6377" s="1">
        <v>45783</v>
      </c>
      <c r="E6377" t="s">
        <v>4127</v>
      </c>
      <c r="F6377" t="s">
        <v>4139</v>
      </c>
    </row>
    <row r="6378" spans="1:6">
      <c r="A6378" t="s">
        <v>10507</v>
      </c>
      <c r="B6378" t="s">
        <v>2374</v>
      </c>
      <c r="C6378" t="s">
        <v>40</v>
      </c>
      <c r="D6378" s="1">
        <v>45769</v>
      </c>
      <c r="E6378" t="s">
        <v>4133</v>
      </c>
      <c r="F6378" t="s">
        <v>4137</v>
      </c>
    </row>
    <row r="6379" spans="1:6">
      <c r="A6379" t="s">
        <v>10508</v>
      </c>
      <c r="B6379" t="s">
        <v>2375</v>
      </c>
      <c r="C6379" t="s">
        <v>63</v>
      </c>
      <c r="D6379" s="1">
        <v>45919</v>
      </c>
      <c r="E6379" t="s">
        <v>4133</v>
      </c>
      <c r="F6379" t="s">
        <v>4125</v>
      </c>
    </row>
    <row r="6380" spans="1:6">
      <c r="A6380" t="s">
        <v>10509</v>
      </c>
      <c r="B6380" t="s">
        <v>2375</v>
      </c>
      <c r="C6380" t="s">
        <v>63</v>
      </c>
      <c r="D6380" s="1">
        <v>45889</v>
      </c>
      <c r="E6380" t="s">
        <v>4129</v>
      </c>
      <c r="F6380" t="s">
        <v>4125</v>
      </c>
    </row>
    <row r="6381" spans="1:6">
      <c r="A6381" t="s">
        <v>10510</v>
      </c>
      <c r="B6381" t="s">
        <v>2375</v>
      </c>
      <c r="C6381" t="s">
        <v>63</v>
      </c>
      <c r="D6381" s="1">
        <v>45922</v>
      </c>
      <c r="E6381" t="s">
        <v>4133</v>
      </c>
      <c r="F6381" t="s">
        <v>4137</v>
      </c>
    </row>
    <row r="6382" spans="1:6">
      <c r="A6382" t="s">
        <v>10511</v>
      </c>
      <c r="B6382" t="s">
        <v>2376</v>
      </c>
      <c r="C6382" t="s">
        <v>70</v>
      </c>
      <c r="D6382" s="1">
        <v>45802</v>
      </c>
      <c r="E6382" t="s">
        <v>4135</v>
      </c>
      <c r="F6382" t="s">
        <v>4139</v>
      </c>
    </row>
    <row r="6383" spans="1:6">
      <c r="A6383" t="s">
        <v>10512</v>
      </c>
      <c r="B6383" t="s">
        <v>2376</v>
      </c>
      <c r="C6383" t="s">
        <v>70</v>
      </c>
      <c r="D6383" s="1">
        <v>45850</v>
      </c>
      <c r="E6383" t="s">
        <v>4129</v>
      </c>
      <c r="F6383" t="s">
        <v>4137</v>
      </c>
    </row>
    <row r="6384" spans="1:6">
      <c r="A6384" t="s">
        <v>10513</v>
      </c>
      <c r="B6384" t="s">
        <v>2376</v>
      </c>
      <c r="C6384" t="s">
        <v>70</v>
      </c>
      <c r="D6384" s="1">
        <v>45832</v>
      </c>
      <c r="E6384" t="s">
        <v>4124</v>
      </c>
      <c r="F6384" t="s">
        <v>4125</v>
      </c>
    </row>
    <row r="6385" spans="1:6">
      <c r="A6385" t="s">
        <v>10514</v>
      </c>
      <c r="B6385" t="s">
        <v>2376</v>
      </c>
      <c r="C6385" t="s">
        <v>70</v>
      </c>
      <c r="D6385" s="1">
        <v>45804</v>
      </c>
      <c r="E6385" t="s">
        <v>4135</v>
      </c>
      <c r="F6385" t="s">
        <v>4137</v>
      </c>
    </row>
    <row r="6386" spans="1:6">
      <c r="A6386" t="s">
        <v>10515</v>
      </c>
      <c r="B6386" t="s">
        <v>2377</v>
      </c>
      <c r="C6386" t="s">
        <v>70</v>
      </c>
      <c r="D6386" s="1">
        <v>45802</v>
      </c>
      <c r="E6386" t="s">
        <v>4129</v>
      </c>
      <c r="F6386" t="s">
        <v>4125</v>
      </c>
    </row>
    <row r="6387" spans="1:6">
      <c r="A6387" t="s">
        <v>10516</v>
      </c>
      <c r="B6387" t="s">
        <v>2377</v>
      </c>
      <c r="C6387" t="s">
        <v>70</v>
      </c>
      <c r="D6387" s="1">
        <v>45804</v>
      </c>
      <c r="E6387" t="s">
        <v>4124</v>
      </c>
      <c r="F6387" t="s">
        <v>4139</v>
      </c>
    </row>
    <row r="6388" spans="1:6">
      <c r="A6388" t="s">
        <v>10517</v>
      </c>
      <c r="B6388" t="s">
        <v>2377</v>
      </c>
      <c r="C6388" t="s">
        <v>70</v>
      </c>
      <c r="D6388" s="1">
        <v>45802</v>
      </c>
      <c r="E6388" t="s">
        <v>4127</v>
      </c>
      <c r="F6388" t="s">
        <v>4139</v>
      </c>
    </row>
    <row r="6389" spans="1:6">
      <c r="A6389" t="s">
        <v>10518</v>
      </c>
      <c r="B6389" t="s">
        <v>2377</v>
      </c>
      <c r="C6389" t="s">
        <v>70</v>
      </c>
      <c r="D6389" s="1">
        <v>45808</v>
      </c>
      <c r="E6389" t="s">
        <v>4129</v>
      </c>
      <c r="F6389" t="s">
        <v>4139</v>
      </c>
    </row>
    <row r="6390" spans="1:6">
      <c r="A6390" t="s">
        <v>10519</v>
      </c>
      <c r="B6390" t="s">
        <v>2377</v>
      </c>
      <c r="C6390" t="s">
        <v>70</v>
      </c>
      <c r="D6390" s="1">
        <v>45833</v>
      </c>
      <c r="E6390" t="s">
        <v>4127</v>
      </c>
      <c r="F6390" t="s">
        <v>4137</v>
      </c>
    </row>
    <row r="6391" spans="1:6">
      <c r="A6391" t="s">
        <v>10520</v>
      </c>
      <c r="B6391" t="s">
        <v>2378</v>
      </c>
      <c r="C6391" t="s">
        <v>40</v>
      </c>
      <c r="D6391" s="1">
        <v>46009</v>
      </c>
      <c r="E6391" t="s">
        <v>4135</v>
      </c>
      <c r="F6391" t="s">
        <v>4137</v>
      </c>
    </row>
    <row r="6392" spans="1:6">
      <c r="A6392" t="s">
        <v>10521</v>
      </c>
      <c r="B6392" t="s">
        <v>2378</v>
      </c>
      <c r="C6392" t="s">
        <v>40</v>
      </c>
      <c r="D6392" s="1">
        <v>45956</v>
      </c>
      <c r="E6392" t="s">
        <v>4135</v>
      </c>
      <c r="F6392" t="s">
        <v>4137</v>
      </c>
    </row>
    <row r="6393" spans="1:6">
      <c r="A6393" t="s">
        <v>10522</v>
      </c>
      <c r="B6393" t="s">
        <v>2378</v>
      </c>
      <c r="C6393" t="s">
        <v>40</v>
      </c>
      <c r="D6393" s="1">
        <v>45994</v>
      </c>
      <c r="E6393" t="s">
        <v>4129</v>
      </c>
      <c r="F6393" t="s">
        <v>4137</v>
      </c>
    </row>
    <row r="6394" spans="1:6">
      <c r="A6394" t="s">
        <v>10523</v>
      </c>
      <c r="B6394" t="s">
        <v>2378</v>
      </c>
      <c r="C6394" t="s">
        <v>40</v>
      </c>
      <c r="D6394" s="1">
        <v>45961</v>
      </c>
      <c r="E6394" t="s">
        <v>4133</v>
      </c>
      <c r="F6394" t="s">
        <v>4137</v>
      </c>
    </row>
    <row r="6395" spans="1:6">
      <c r="A6395" t="s">
        <v>10524</v>
      </c>
      <c r="B6395" t="s">
        <v>2379</v>
      </c>
      <c r="C6395" t="s">
        <v>50</v>
      </c>
      <c r="D6395" s="1">
        <v>45760</v>
      </c>
      <c r="E6395" t="s">
        <v>4133</v>
      </c>
      <c r="F6395" t="s">
        <v>4137</v>
      </c>
    </row>
    <row r="6396" spans="1:6">
      <c r="A6396" t="s">
        <v>10525</v>
      </c>
      <c r="B6396" t="s">
        <v>2379</v>
      </c>
      <c r="C6396" t="s">
        <v>50</v>
      </c>
      <c r="D6396" s="1">
        <v>45758</v>
      </c>
      <c r="E6396" t="s">
        <v>4133</v>
      </c>
      <c r="F6396" t="s">
        <v>4125</v>
      </c>
    </row>
    <row r="6397" spans="1:6">
      <c r="A6397" t="s">
        <v>10526</v>
      </c>
      <c r="B6397" t="s">
        <v>2380</v>
      </c>
      <c r="C6397" t="s">
        <v>75</v>
      </c>
      <c r="D6397" s="1">
        <v>45727</v>
      </c>
      <c r="E6397" t="s">
        <v>4127</v>
      </c>
      <c r="F6397" t="s">
        <v>4137</v>
      </c>
    </row>
    <row r="6398" spans="1:6">
      <c r="A6398" t="s">
        <v>10527</v>
      </c>
      <c r="B6398" t="s">
        <v>2380</v>
      </c>
      <c r="C6398" t="s">
        <v>75</v>
      </c>
      <c r="D6398" s="1">
        <v>45743</v>
      </c>
      <c r="E6398" t="s">
        <v>4135</v>
      </c>
      <c r="F6398" t="s">
        <v>4139</v>
      </c>
    </row>
    <row r="6399" spans="1:6">
      <c r="A6399" t="s">
        <v>10528</v>
      </c>
      <c r="B6399" t="s">
        <v>2380</v>
      </c>
      <c r="C6399" t="s">
        <v>75</v>
      </c>
      <c r="D6399" s="1">
        <v>45749</v>
      </c>
      <c r="E6399" t="s">
        <v>4135</v>
      </c>
      <c r="F6399" t="s">
        <v>4139</v>
      </c>
    </row>
    <row r="6400" spans="1:6">
      <c r="A6400" t="s">
        <v>10529</v>
      </c>
      <c r="B6400" t="s">
        <v>2380</v>
      </c>
      <c r="C6400" t="s">
        <v>75</v>
      </c>
      <c r="D6400" s="1">
        <v>45791</v>
      </c>
      <c r="E6400" t="s">
        <v>4135</v>
      </c>
      <c r="F6400" t="s">
        <v>4137</v>
      </c>
    </row>
    <row r="6401" spans="1:6">
      <c r="A6401" t="s">
        <v>10530</v>
      </c>
      <c r="B6401" t="s">
        <v>2380</v>
      </c>
      <c r="C6401" t="s">
        <v>75</v>
      </c>
      <c r="D6401" s="1">
        <v>45749</v>
      </c>
      <c r="E6401" t="s">
        <v>4135</v>
      </c>
      <c r="F6401" t="s">
        <v>4139</v>
      </c>
    </row>
    <row r="6402" spans="1:6">
      <c r="A6402" t="s">
        <v>10531</v>
      </c>
      <c r="B6402" t="s">
        <v>2381</v>
      </c>
      <c r="C6402" t="s">
        <v>36</v>
      </c>
      <c r="D6402" s="1">
        <v>45874</v>
      </c>
      <c r="E6402" t="s">
        <v>4127</v>
      </c>
      <c r="F6402" t="s">
        <v>4137</v>
      </c>
    </row>
    <row r="6403" spans="1:6">
      <c r="A6403" t="s">
        <v>10532</v>
      </c>
      <c r="B6403" t="s">
        <v>2381</v>
      </c>
      <c r="C6403" t="s">
        <v>36</v>
      </c>
      <c r="D6403" s="1">
        <v>45876</v>
      </c>
      <c r="E6403" t="s">
        <v>4133</v>
      </c>
      <c r="F6403" t="s">
        <v>4137</v>
      </c>
    </row>
    <row r="6404" spans="1:6">
      <c r="A6404" t="s">
        <v>10533</v>
      </c>
      <c r="B6404" t="s">
        <v>2382</v>
      </c>
      <c r="C6404" t="s">
        <v>16</v>
      </c>
      <c r="D6404" s="1">
        <v>45893</v>
      </c>
      <c r="E6404" t="s">
        <v>4135</v>
      </c>
      <c r="F6404" t="s">
        <v>4137</v>
      </c>
    </row>
    <row r="6405" spans="1:6">
      <c r="A6405" t="s">
        <v>10534</v>
      </c>
      <c r="B6405" t="s">
        <v>2382</v>
      </c>
      <c r="C6405" t="s">
        <v>16</v>
      </c>
      <c r="D6405" s="1">
        <v>45930</v>
      </c>
      <c r="E6405" t="s">
        <v>4124</v>
      </c>
      <c r="F6405" t="s">
        <v>4125</v>
      </c>
    </row>
    <row r="6406" spans="1:6">
      <c r="A6406" t="s">
        <v>10535</v>
      </c>
      <c r="B6406" t="s">
        <v>2382</v>
      </c>
      <c r="C6406" t="s">
        <v>16</v>
      </c>
      <c r="D6406" s="1">
        <v>45893</v>
      </c>
      <c r="E6406" t="s">
        <v>4135</v>
      </c>
      <c r="F6406" t="s">
        <v>4137</v>
      </c>
    </row>
    <row r="6407" spans="1:6">
      <c r="A6407" t="s">
        <v>10536</v>
      </c>
      <c r="B6407" t="s">
        <v>2383</v>
      </c>
      <c r="C6407" t="s">
        <v>46</v>
      </c>
      <c r="D6407" s="1">
        <v>45688</v>
      </c>
      <c r="E6407" t="s">
        <v>4129</v>
      </c>
      <c r="F6407" t="s">
        <v>4139</v>
      </c>
    </row>
    <row r="6408" spans="1:6">
      <c r="A6408" t="s">
        <v>10537</v>
      </c>
      <c r="B6408" t="s">
        <v>2383</v>
      </c>
      <c r="C6408" t="s">
        <v>46</v>
      </c>
      <c r="D6408" s="1">
        <v>45681</v>
      </c>
      <c r="E6408" t="s">
        <v>4124</v>
      </c>
      <c r="F6408" t="s">
        <v>4139</v>
      </c>
    </row>
    <row r="6409" spans="1:6">
      <c r="A6409" t="s">
        <v>10538</v>
      </c>
      <c r="B6409" t="s">
        <v>2384</v>
      </c>
      <c r="C6409" t="s">
        <v>75</v>
      </c>
      <c r="D6409" s="1">
        <v>45711</v>
      </c>
      <c r="E6409" t="s">
        <v>4135</v>
      </c>
      <c r="F6409" t="s">
        <v>4125</v>
      </c>
    </row>
    <row r="6410" spans="1:6">
      <c r="A6410" t="s">
        <v>10539</v>
      </c>
      <c r="B6410" t="s">
        <v>2384</v>
      </c>
      <c r="C6410" t="s">
        <v>75</v>
      </c>
      <c r="D6410" s="1">
        <v>45707</v>
      </c>
      <c r="E6410" t="s">
        <v>4135</v>
      </c>
      <c r="F6410" t="s">
        <v>4139</v>
      </c>
    </row>
    <row r="6411" spans="1:6">
      <c r="A6411" t="s">
        <v>10540</v>
      </c>
      <c r="B6411" t="s">
        <v>2384</v>
      </c>
      <c r="C6411" t="s">
        <v>75</v>
      </c>
      <c r="D6411" s="1">
        <v>45711</v>
      </c>
      <c r="E6411" t="s">
        <v>4127</v>
      </c>
      <c r="F6411" t="s">
        <v>4125</v>
      </c>
    </row>
    <row r="6412" spans="1:6">
      <c r="A6412" t="s">
        <v>10541</v>
      </c>
      <c r="B6412" t="s">
        <v>2385</v>
      </c>
      <c r="C6412" t="s">
        <v>56</v>
      </c>
      <c r="D6412" s="1">
        <v>46019</v>
      </c>
      <c r="E6412" t="s">
        <v>4129</v>
      </c>
      <c r="F6412" t="s">
        <v>4137</v>
      </c>
    </row>
    <row r="6413" spans="1:6">
      <c r="A6413" t="s">
        <v>10542</v>
      </c>
      <c r="B6413" t="s">
        <v>2385</v>
      </c>
      <c r="C6413" t="s">
        <v>56</v>
      </c>
      <c r="D6413" s="1">
        <v>46017</v>
      </c>
      <c r="E6413" t="s">
        <v>4135</v>
      </c>
      <c r="F6413" t="s">
        <v>4139</v>
      </c>
    </row>
    <row r="6414" spans="1:6">
      <c r="A6414" t="s">
        <v>10543</v>
      </c>
      <c r="B6414" t="s">
        <v>2386</v>
      </c>
      <c r="C6414" t="s">
        <v>75</v>
      </c>
      <c r="D6414" s="1">
        <v>45694</v>
      </c>
      <c r="E6414" t="s">
        <v>4127</v>
      </c>
      <c r="F6414" t="s">
        <v>4125</v>
      </c>
    </row>
    <row r="6415" spans="1:6">
      <c r="A6415" t="s">
        <v>10544</v>
      </c>
      <c r="B6415" t="s">
        <v>2386</v>
      </c>
      <c r="C6415" t="s">
        <v>75</v>
      </c>
      <c r="D6415" s="1">
        <v>45677</v>
      </c>
      <c r="E6415" t="s">
        <v>4129</v>
      </c>
      <c r="F6415" t="s">
        <v>4139</v>
      </c>
    </row>
    <row r="6416" spans="1:6">
      <c r="A6416" t="s">
        <v>10545</v>
      </c>
      <c r="B6416" t="s">
        <v>2386</v>
      </c>
      <c r="C6416" t="s">
        <v>75</v>
      </c>
      <c r="D6416" s="1">
        <v>45678</v>
      </c>
      <c r="E6416" t="s">
        <v>4133</v>
      </c>
      <c r="F6416" t="s">
        <v>4137</v>
      </c>
    </row>
    <row r="6417" spans="1:6">
      <c r="A6417" t="s">
        <v>10546</v>
      </c>
      <c r="B6417" t="s">
        <v>2386</v>
      </c>
      <c r="C6417" t="s">
        <v>75</v>
      </c>
      <c r="D6417" s="1">
        <v>45676</v>
      </c>
      <c r="E6417" t="s">
        <v>4133</v>
      </c>
      <c r="F6417" t="s">
        <v>4137</v>
      </c>
    </row>
    <row r="6418" spans="1:6">
      <c r="A6418" t="s">
        <v>10547</v>
      </c>
      <c r="B6418" t="s">
        <v>2387</v>
      </c>
      <c r="C6418" t="s">
        <v>63</v>
      </c>
      <c r="D6418" s="1">
        <v>45934</v>
      </c>
      <c r="E6418" t="s">
        <v>4124</v>
      </c>
      <c r="F6418" t="s">
        <v>4137</v>
      </c>
    </row>
    <row r="6419" spans="1:6">
      <c r="A6419" t="s">
        <v>10548</v>
      </c>
      <c r="B6419" t="s">
        <v>2387</v>
      </c>
      <c r="C6419" t="s">
        <v>63</v>
      </c>
      <c r="D6419" s="1">
        <v>45962</v>
      </c>
      <c r="E6419" t="s">
        <v>4135</v>
      </c>
      <c r="F6419" t="s">
        <v>4139</v>
      </c>
    </row>
    <row r="6420" spans="1:6">
      <c r="A6420" t="s">
        <v>10549</v>
      </c>
      <c r="B6420" t="s">
        <v>2387</v>
      </c>
      <c r="C6420" t="s">
        <v>63</v>
      </c>
      <c r="D6420" s="1">
        <v>45942</v>
      </c>
      <c r="E6420" t="s">
        <v>4135</v>
      </c>
      <c r="F6420" t="s">
        <v>4139</v>
      </c>
    </row>
    <row r="6421" spans="1:6">
      <c r="A6421" t="s">
        <v>10550</v>
      </c>
      <c r="B6421" t="s">
        <v>2388</v>
      </c>
      <c r="C6421" t="s">
        <v>32</v>
      </c>
      <c r="D6421" s="1">
        <v>46022</v>
      </c>
      <c r="E6421" t="s">
        <v>4129</v>
      </c>
      <c r="F6421" t="s">
        <v>4137</v>
      </c>
    </row>
    <row r="6422" spans="1:6">
      <c r="A6422" t="s">
        <v>10551</v>
      </c>
      <c r="B6422" t="s">
        <v>2388</v>
      </c>
      <c r="C6422" t="s">
        <v>32</v>
      </c>
      <c r="D6422" s="1">
        <v>46020</v>
      </c>
      <c r="E6422" t="s">
        <v>4124</v>
      </c>
      <c r="F6422" t="s">
        <v>4137</v>
      </c>
    </row>
    <row r="6423" spans="1:6">
      <c r="A6423" t="s">
        <v>10552</v>
      </c>
      <c r="B6423" t="s">
        <v>2389</v>
      </c>
      <c r="C6423" t="s">
        <v>36</v>
      </c>
      <c r="D6423" s="1">
        <v>45675</v>
      </c>
      <c r="E6423" t="s">
        <v>4133</v>
      </c>
      <c r="F6423" t="s">
        <v>4139</v>
      </c>
    </row>
    <row r="6424" spans="1:6">
      <c r="A6424" t="s">
        <v>10553</v>
      </c>
      <c r="B6424" t="s">
        <v>2389</v>
      </c>
      <c r="C6424" t="s">
        <v>36</v>
      </c>
      <c r="D6424" s="1">
        <v>45684</v>
      </c>
      <c r="E6424" t="s">
        <v>4129</v>
      </c>
      <c r="F6424" t="s">
        <v>4139</v>
      </c>
    </row>
    <row r="6425" spans="1:6">
      <c r="A6425" t="s">
        <v>10554</v>
      </c>
      <c r="B6425" t="s">
        <v>2389</v>
      </c>
      <c r="C6425" t="s">
        <v>36</v>
      </c>
      <c r="D6425" s="1">
        <v>45691</v>
      </c>
      <c r="E6425" t="s">
        <v>4135</v>
      </c>
      <c r="F6425" t="s">
        <v>4139</v>
      </c>
    </row>
    <row r="6426" spans="1:6">
      <c r="A6426" t="s">
        <v>10555</v>
      </c>
      <c r="B6426" t="s">
        <v>2389</v>
      </c>
      <c r="C6426" t="s">
        <v>36</v>
      </c>
      <c r="D6426" s="1">
        <v>45694</v>
      </c>
      <c r="E6426" t="s">
        <v>4129</v>
      </c>
      <c r="F6426" t="s">
        <v>4125</v>
      </c>
    </row>
    <row r="6427" spans="1:6">
      <c r="A6427" t="s">
        <v>10556</v>
      </c>
      <c r="B6427" t="s">
        <v>2389</v>
      </c>
      <c r="C6427" t="s">
        <v>36</v>
      </c>
      <c r="D6427" s="1">
        <v>45689</v>
      </c>
      <c r="E6427" t="s">
        <v>4133</v>
      </c>
      <c r="F6427" t="s">
        <v>4137</v>
      </c>
    </row>
    <row r="6428" spans="1:6">
      <c r="A6428" t="s">
        <v>10557</v>
      </c>
      <c r="B6428" t="s">
        <v>2390</v>
      </c>
      <c r="C6428" t="s">
        <v>16</v>
      </c>
      <c r="D6428" s="1">
        <v>45897</v>
      </c>
      <c r="E6428" t="s">
        <v>4129</v>
      </c>
      <c r="F6428" t="s">
        <v>4139</v>
      </c>
    </row>
    <row r="6429" spans="1:6">
      <c r="A6429" t="s">
        <v>10558</v>
      </c>
      <c r="B6429" t="s">
        <v>2390</v>
      </c>
      <c r="C6429" t="s">
        <v>16</v>
      </c>
      <c r="D6429" s="1">
        <v>45915</v>
      </c>
      <c r="E6429" t="s">
        <v>4135</v>
      </c>
      <c r="F6429" t="s">
        <v>4125</v>
      </c>
    </row>
    <row r="6430" spans="1:6">
      <c r="A6430" t="s">
        <v>10559</v>
      </c>
      <c r="B6430" t="s">
        <v>2391</v>
      </c>
      <c r="C6430" t="s">
        <v>168</v>
      </c>
      <c r="D6430" s="1">
        <v>45685</v>
      </c>
      <c r="E6430" t="s">
        <v>4129</v>
      </c>
      <c r="F6430" t="s">
        <v>4125</v>
      </c>
    </row>
    <row r="6431" spans="1:6">
      <c r="A6431" t="s">
        <v>10560</v>
      </c>
      <c r="B6431" t="s">
        <v>2391</v>
      </c>
      <c r="C6431" t="s">
        <v>168</v>
      </c>
      <c r="D6431" s="1">
        <v>45679</v>
      </c>
      <c r="E6431" t="s">
        <v>4135</v>
      </c>
      <c r="F6431" t="s">
        <v>4125</v>
      </c>
    </row>
    <row r="6432" spans="1:6">
      <c r="A6432" t="s">
        <v>10561</v>
      </c>
      <c r="B6432" t="s">
        <v>2392</v>
      </c>
      <c r="C6432" t="s">
        <v>22</v>
      </c>
      <c r="D6432" s="1">
        <v>46005</v>
      </c>
      <c r="E6432" t="s">
        <v>4127</v>
      </c>
      <c r="F6432" t="s">
        <v>4139</v>
      </c>
    </row>
    <row r="6433" spans="1:6">
      <c r="A6433" t="s">
        <v>10562</v>
      </c>
      <c r="B6433" t="s">
        <v>2392</v>
      </c>
      <c r="C6433" t="s">
        <v>22</v>
      </c>
      <c r="D6433" s="1">
        <v>45983</v>
      </c>
      <c r="E6433" t="s">
        <v>4127</v>
      </c>
      <c r="F6433" t="s">
        <v>4125</v>
      </c>
    </row>
    <row r="6434" spans="1:6">
      <c r="A6434" t="s">
        <v>10563</v>
      </c>
      <c r="B6434" t="s">
        <v>2392</v>
      </c>
      <c r="C6434" t="s">
        <v>22</v>
      </c>
      <c r="D6434" s="1">
        <v>46004</v>
      </c>
      <c r="E6434" t="s">
        <v>4127</v>
      </c>
      <c r="F6434" t="s">
        <v>4137</v>
      </c>
    </row>
    <row r="6435" spans="1:6">
      <c r="A6435" t="s">
        <v>10564</v>
      </c>
      <c r="B6435" t="s">
        <v>2392</v>
      </c>
      <c r="C6435" t="s">
        <v>22</v>
      </c>
      <c r="D6435" s="1">
        <v>46011</v>
      </c>
      <c r="E6435" t="s">
        <v>4135</v>
      </c>
      <c r="F6435" t="s">
        <v>4125</v>
      </c>
    </row>
    <row r="6436" spans="1:6">
      <c r="A6436" t="s">
        <v>10565</v>
      </c>
      <c r="B6436" t="s">
        <v>2393</v>
      </c>
      <c r="C6436" t="s">
        <v>75</v>
      </c>
      <c r="D6436" s="1">
        <v>45896</v>
      </c>
      <c r="E6436" t="s">
        <v>4135</v>
      </c>
      <c r="F6436" t="s">
        <v>4139</v>
      </c>
    </row>
    <row r="6437" spans="1:6">
      <c r="A6437" t="s">
        <v>10566</v>
      </c>
      <c r="B6437" t="s">
        <v>2393</v>
      </c>
      <c r="C6437" t="s">
        <v>75</v>
      </c>
      <c r="D6437" s="1">
        <v>45906</v>
      </c>
      <c r="E6437" t="s">
        <v>4129</v>
      </c>
      <c r="F6437" t="s">
        <v>4125</v>
      </c>
    </row>
    <row r="6438" spans="1:6">
      <c r="A6438" t="s">
        <v>10567</v>
      </c>
      <c r="B6438" t="s">
        <v>2393</v>
      </c>
      <c r="C6438" t="s">
        <v>75</v>
      </c>
      <c r="D6438" s="1">
        <v>45887</v>
      </c>
      <c r="E6438" t="s">
        <v>4124</v>
      </c>
      <c r="F6438" t="s">
        <v>4139</v>
      </c>
    </row>
    <row r="6439" spans="1:6">
      <c r="A6439" t="s">
        <v>10568</v>
      </c>
      <c r="B6439" t="s">
        <v>2393</v>
      </c>
      <c r="C6439" t="s">
        <v>75</v>
      </c>
      <c r="D6439" s="1">
        <v>45869</v>
      </c>
      <c r="E6439" t="s">
        <v>4124</v>
      </c>
      <c r="F6439" t="s">
        <v>4139</v>
      </c>
    </row>
    <row r="6440" spans="1:6">
      <c r="A6440" t="s">
        <v>10569</v>
      </c>
      <c r="B6440" t="s">
        <v>2394</v>
      </c>
      <c r="C6440" t="s">
        <v>126</v>
      </c>
      <c r="D6440" s="1">
        <v>45884</v>
      </c>
      <c r="E6440" t="s">
        <v>4133</v>
      </c>
      <c r="F6440" t="s">
        <v>4125</v>
      </c>
    </row>
    <row r="6441" spans="1:6">
      <c r="A6441" t="s">
        <v>10570</v>
      </c>
      <c r="B6441" t="s">
        <v>2394</v>
      </c>
      <c r="C6441" t="s">
        <v>126</v>
      </c>
      <c r="D6441" s="1">
        <v>45871</v>
      </c>
      <c r="E6441" t="s">
        <v>4133</v>
      </c>
      <c r="F6441" t="s">
        <v>4125</v>
      </c>
    </row>
    <row r="6442" spans="1:6">
      <c r="A6442" t="s">
        <v>10571</v>
      </c>
      <c r="B6442" t="s">
        <v>2394</v>
      </c>
      <c r="C6442" t="s">
        <v>126</v>
      </c>
      <c r="D6442" s="1">
        <v>45875</v>
      </c>
      <c r="E6442" t="s">
        <v>4124</v>
      </c>
      <c r="F6442" t="s">
        <v>4139</v>
      </c>
    </row>
    <row r="6443" spans="1:6">
      <c r="A6443" t="s">
        <v>10572</v>
      </c>
      <c r="B6443" t="s">
        <v>2394</v>
      </c>
      <c r="C6443" t="s">
        <v>126</v>
      </c>
      <c r="D6443" s="1">
        <v>45886</v>
      </c>
      <c r="E6443" t="s">
        <v>4133</v>
      </c>
      <c r="F6443" t="s">
        <v>4125</v>
      </c>
    </row>
    <row r="6444" spans="1:6">
      <c r="A6444" t="s">
        <v>10573</v>
      </c>
      <c r="B6444" t="s">
        <v>2394</v>
      </c>
      <c r="C6444" t="s">
        <v>126</v>
      </c>
      <c r="D6444" s="1">
        <v>45876</v>
      </c>
      <c r="E6444" t="s">
        <v>4129</v>
      </c>
      <c r="F6444" t="s">
        <v>4139</v>
      </c>
    </row>
    <row r="6445" spans="1:6">
      <c r="A6445" t="s">
        <v>10574</v>
      </c>
      <c r="B6445" t="s">
        <v>2395</v>
      </c>
      <c r="C6445" t="s">
        <v>53</v>
      </c>
      <c r="D6445" s="1">
        <v>46000</v>
      </c>
      <c r="E6445" t="s">
        <v>4133</v>
      </c>
      <c r="F6445" t="s">
        <v>4137</v>
      </c>
    </row>
    <row r="6446" spans="1:6">
      <c r="A6446" t="s">
        <v>10575</v>
      </c>
      <c r="B6446" t="s">
        <v>2395</v>
      </c>
      <c r="C6446" t="s">
        <v>53</v>
      </c>
      <c r="D6446" s="1">
        <v>46005</v>
      </c>
      <c r="E6446" t="s">
        <v>4129</v>
      </c>
      <c r="F6446" t="s">
        <v>4137</v>
      </c>
    </row>
    <row r="6447" spans="1:6">
      <c r="A6447" t="s">
        <v>10576</v>
      </c>
      <c r="B6447" t="s">
        <v>2395</v>
      </c>
      <c r="C6447" t="s">
        <v>53</v>
      </c>
      <c r="D6447" s="1">
        <v>45999</v>
      </c>
      <c r="E6447" t="s">
        <v>4124</v>
      </c>
      <c r="F6447" t="s">
        <v>4137</v>
      </c>
    </row>
    <row r="6448" spans="1:6">
      <c r="A6448" t="s">
        <v>10577</v>
      </c>
      <c r="B6448" t="s">
        <v>2396</v>
      </c>
      <c r="C6448" t="s">
        <v>53</v>
      </c>
      <c r="D6448" s="1">
        <v>45842</v>
      </c>
      <c r="E6448" t="s">
        <v>4124</v>
      </c>
      <c r="F6448" t="s">
        <v>4125</v>
      </c>
    </row>
    <row r="6449" spans="1:6">
      <c r="A6449" t="s">
        <v>10578</v>
      </c>
      <c r="B6449" t="s">
        <v>2396</v>
      </c>
      <c r="C6449" t="s">
        <v>53</v>
      </c>
      <c r="D6449" s="1">
        <v>45851</v>
      </c>
      <c r="E6449" t="s">
        <v>4127</v>
      </c>
      <c r="F6449" t="s">
        <v>4137</v>
      </c>
    </row>
    <row r="6450" spans="1:6">
      <c r="A6450" t="s">
        <v>10579</v>
      </c>
      <c r="B6450" t="s">
        <v>2397</v>
      </c>
      <c r="C6450" t="s">
        <v>32</v>
      </c>
      <c r="D6450" s="1">
        <v>45780</v>
      </c>
      <c r="E6450" t="s">
        <v>4133</v>
      </c>
      <c r="F6450" t="s">
        <v>4137</v>
      </c>
    </row>
    <row r="6451" spans="1:6">
      <c r="A6451" t="s">
        <v>10580</v>
      </c>
      <c r="B6451" t="s">
        <v>2397</v>
      </c>
      <c r="C6451" t="s">
        <v>32</v>
      </c>
      <c r="D6451" s="1">
        <v>45776</v>
      </c>
      <c r="E6451" t="s">
        <v>4135</v>
      </c>
      <c r="F6451" t="s">
        <v>4137</v>
      </c>
    </row>
    <row r="6452" spans="1:6">
      <c r="A6452" t="s">
        <v>10581</v>
      </c>
      <c r="B6452" t="s">
        <v>2397</v>
      </c>
      <c r="C6452" t="s">
        <v>32</v>
      </c>
      <c r="D6452" s="1">
        <v>45812</v>
      </c>
      <c r="E6452" t="s">
        <v>4135</v>
      </c>
      <c r="F6452" t="s">
        <v>4125</v>
      </c>
    </row>
    <row r="6453" spans="1:6">
      <c r="A6453" t="s">
        <v>10582</v>
      </c>
      <c r="B6453" t="s">
        <v>2398</v>
      </c>
      <c r="C6453" t="s">
        <v>36</v>
      </c>
      <c r="D6453" s="1">
        <v>45847</v>
      </c>
      <c r="E6453" t="s">
        <v>4133</v>
      </c>
      <c r="F6453" t="s">
        <v>4137</v>
      </c>
    </row>
    <row r="6454" spans="1:6">
      <c r="A6454" t="s">
        <v>10583</v>
      </c>
      <c r="B6454" t="s">
        <v>2398</v>
      </c>
      <c r="C6454" t="s">
        <v>36</v>
      </c>
      <c r="D6454" s="1">
        <v>45861</v>
      </c>
      <c r="E6454" t="s">
        <v>4127</v>
      </c>
      <c r="F6454" t="s">
        <v>4125</v>
      </c>
    </row>
    <row r="6455" spans="1:6">
      <c r="A6455" t="s">
        <v>10584</v>
      </c>
      <c r="B6455" t="s">
        <v>2398</v>
      </c>
      <c r="C6455" t="s">
        <v>36</v>
      </c>
      <c r="D6455" s="1">
        <v>45869</v>
      </c>
      <c r="E6455" t="s">
        <v>4124</v>
      </c>
      <c r="F6455" t="s">
        <v>4125</v>
      </c>
    </row>
    <row r="6456" spans="1:6">
      <c r="A6456" t="s">
        <v>10585</v>
      </c>
      <c r="B6456" t="s">
        <v>2398</v>
      </c>
      <c r="C6456" t="s">
        <v>36</v>
      </c>
      <c r="D6456" s="1">
        <v>45862</v>
      </c>
      <c r="E6456" t="s">
        <v>4135</v>
      </c>
      <c r="F6456" t="s">
        <v>4137</v>
      </c>
    </row>
    <row r="6457" spans="1:6">
      <c r="A6457" t="s">
        <v>10586</v>
      </c>
      <c r="B6457" t="s">
        <v>2398</v>
      </c>
      <c r="C6457" t="s">
        <v>36</v>
      </c>
      <c r="D6457" s="1">
        <v>45871</v>
      </c>
      <c r="E6457" t="s">
        <v>4133</v>
      </c>
      <c r="F6457" t="s">
        <v>4125</v>
      </c>
    </row>
    <row r="6458" spans="1:6">
      <c r="A6458" t="s">
        <v>10587</v>
      </c>
      <c r="B6458" t="s">
        <v>2399</v>
      </c>
      <c r="C6458" t="s">
        <v>53</v>
      </c>
      <c r="D6458" s="1">
        <v>45946</v>
      </c>
      <c r="E6458" t="s">
        <v>4135</v>
      </c>
      <c r="F6458" t="s">
        <v>4137</v>
      </c>
    </row>
    <row r="6459" spans="1:6">
      <c r="A6459" t="s">
        <v>10588</v>
      </c>
      <c r="B6459" t="s">
        <v>2399</v>
      </c>
      <c r="C6459" t="s">
        <v>53</v>
      </c>
      <c r="D6459" s="1">
        <v>45947</v>
      </c>
      <c r="E6459" t="s">
        <v>4129</v>
      </c>
      <c r="F6459" t="s">
        <v>4125</v>
      </c>
    </row>
    <row r="6460" spans="1:6">
      <c r="A6460" t="s">
        <v>10589</v>
      </c>
      <c r="B6460" t="s">
        <v>2399</v>
      </c>
      <c r="C6460" t="s">
        <v>53</v>
      </c>
      <c r="D6460" s="1">
        <v>45929</v>
      </c>
      <c r="E6460" t="s">
        <v>4129</v>
      </c>
      <c r="F6460" t="s">
        <v>4137</v>
      </c>
    </row>
    <row r="6461" spans="1:6">
      <c r="A6461" t="s">
        <v>10590</v>
      </c>
      <c r="B6461" t="s">
        <v>2399</v>
      </c>
      <c r="C6461" t="s">
        <v>53</v>
      </c>
      <c r="D6461" s="1">
        <v>45921</v>
      </c>
      <c r="E6461" t="s">
        <v>4129</v>
      </c>
      <c r="F6461" t="s">
        <v>4139</v>
      </c>
    </row>
    <row r="6462" spans="1:6">
      <c r="A6462" t="s">
        <v>10591</v>
      </c>
      <c r="B6462" t="s">
        <v>2399</v>
      </c>
      <c r="C6462" t="s">
        <v>53</v>
      </c>
      <c r="D6462" s="1">
        <v>45931</v>
      </c>
      <c r="E6462" t="s">
        <v>4124</v>
      </c>
      <c r="F6462" t="s">
        <v>4125</v>
      </c>
    </row>
    <row r="6463" spans="1:6">
      <c r="A6463" t="s">
        <v>10592</v>
      </c>
      <c r="B6463" t="s">
        <v>2400</v>
      </c>
      <c r="C6463" t="s">
        <v>32</v>
      </c>
      <c r="D6463" s="1">
        <v>45743</v>
      </c>
      <c r="E6463" t="s">
        <v>4124</v>
      </c>
      <c r="F6463" t="s">
        <v>4137</v>
      </c>
    </row>
    <row r="6464" spans="1:6">
      <c r="A6464" t="s">
        <v>10593</v>
      </c>
      <c r="B6464" t="s">
        <v>2400</v>
      </c>
      <c r="C6464" t="s">
        <v>32</v>
      </c>
      <c r="D6464" s="1">
        <v>45734</v>
      </c>
      <c r="E6464" t="s">
        <v>4129</v>
      </c>
      <c r="F6464" t="s">
        <v>4139</v>
      </c>
    </row>
    <row r="6465" spans="1:6">
      <c r="A6465" t="s">
        <v>10594</v>
      </c>
      <c r="B6465" t="s">
        <v>2401</v>
      </c>
      <c r="C6465" t="s">
        <v>22</v>
      </c>
      <c r="D6465" s="1">
        <v>45745</v>
      </c>
      <c r="E6465" t="s">
        <v>4133</v>
      </c>
      <c r="F6465" t="s">
        <v>4139</v>
      </c>
    </row>
    <row r="6466" spans="1:6">
      <c r="A6466" t="s">
        <v>10595</v>
      </c>
      <c r="B6466" t="s">
        <v>2401</v>
      </c>
      <c r="C6466" t="s">
        <v>22</v>
      </c>
      <c r="D6466" s="1">
        <v>45724</v>
      </c>
      <c r="E6466" t="s">
        <v>4135</v>
      </c>
      <c r="F6466" t="s">
        <v>4125</v>
      </c>
    </row>
    <row r="6467" spans="1:6">
      <c r="A6467" t="s">
        <v>10596</v>
      </c>
      <c r="B6467" t="s">
        <v>2401</v>
      </c>
      <c r="C6467" t="s">
        <v>22</v>
      </c>
      <c r="D6467" s="1">
        <v>45776</v>
      </c>
      <c r="E6467" t="s">
        <v>4129</v>
      </c>
      <c r="F6467" t="s">
        <v>4139</v>
      </c>
    </row>
    <row r="6468" spans="1:6">
      <c r="A6468" t="s">
        <v>10597</v>
      </c>
      <c r="B6468" t="s">
        <v>2401</v>
      </c>
      <c r="C6468" t="s">
        <v>22</v>
      </c>
      <c r="D6468" s="1">
        <v>45720</v>
      </c>
      <c r="E6468" t="s">
        <v>4127</v>
      </c>
      <c r="F6468" t="s">
        <v>4125</v>
      </c>
    </row>
    <row r="6469" spans="1:6">
      <c r="A6469" t="s">
        <v>10598</v>
      </c>
      <c r="B6469" t="s">
        <v>2402</v>
      </c>
      <c r="C6469" t="s">
        <v>126</v>
      </c>
      <c r="D6469" s="1">
        <v>45963</v>
      </c>
      <c r="E6469" t="s">
        <v>4135</v>
      </c>
      <c r="F6469" t="s">
        <v>4137</v>
      </c>
    </row>
    <row r="6470" spans="1:6">
      <c r="A6470" t="s">
        <v>10599</v>
      </c>
      <c r="B6470" t="s">
        <v>2402</v>
      </c>
      <c r="C6470" t="s">
        <v>126</v>
      </c>
      <c r="D6470" s="1">
        <v>45942</v>
      </c>
      <c r="E6470" t="s">
        <v>4133</v>
      </c>
      <c r="F6470" t="s">
        <v>4139</v>
      </c>
    </row>
    <row r="6471" spans="1:6">
      <c r="A6471" t="s">
        <v>10600</v>
      </c>
      <c r="B6471" t="s">
        <v>2402</v>
      </c>
      <c r="C6471" t="s">
        <v>126</v>
      </c>
      <c r="D6471" s="1">
        <v>45956</v>
      </c>
      <c r="E6471" t="s">
        <v>4129</v>
      </c>
      <c r="F6471" t="s">
        <v>4137</v>
      </c>
    </row>
    <row r="6472" spans="1:6">
      <c r="A6472" t="s">
        <v>10601</v>
      </c>
      <c r="B6472" t="s">
        <v>2402</v>
      </c>
      <c r="C6472" t="s">
        <v>126</v>
      </c>
      <c r="D6472" s="1">
        <v>45953</v>
      </c>
      <c r="E6472" t="s">
        <v>4124</v>
      </c>
      <c r="F6472" t="s">
        <v>4125</v>
      </c>
    </row>
    <row r="6473" spans="1:6">
      <c r="A6473" t="s">
        <v>10602</v>
      </c>
      <c r="B6473" t="s">
        <v>2403</v>
      </c>
      <c r="C6473" t="s">
        <v>168</v>
      </c>
      <c r="D6473" s="1">
        <v>45958</v>
      </c>
      <c r="E6473" t="s">
        <v>4124</v>
      </c>
      <c r="F6473" t="s">
        <v>4139</v>
      </c>
    </row>
    <row r="6474" spans="1:6">
      <c r="A6474" t="s">
        <v>10603</v>
      </c>
      <c r="B6474" t="s">
        <v>2403</v>
      </c>
      <c r="C6474" t="s">
        <v>168</v>
      </c>
      <c r="D6474" s="1">
        <v>46016</v>
      </c>
      <c r="E6474" t="s">
        <v>4135</v>
      </c>
      <c r="F6474" t="s">
        <v>4139</v>
      </c>
    </row>
    <row r="6475" spans="1:6">
      <c r="A6475" t="s">
        <v>10604</v>
      </c>
      <c r="B6475" t="s">
        <v>2403</v>
      </c>
      <c r="C6475" t="s">
        <v>168</v>
      </c>
      <c r="D6475" s="1">
        <v>45960</v>
      </c>
      <c r="E6475" t="s">
        <v>4129</v>
      </c>
      <c r="F6475" t="s">
        <v>4139</v>
      </c>
    </row>
    <row r="6476" spans="1:6">
      <c r="A6476" t="s">
        <v>10605</v>
      </c>
      <c r="B6476" t="s">
        <v>2403</v>
      </c>
      <c r="C6476" t="s">
        <v>168</v>
      </c>
      <c r="D6476" s="1">
        <v>45953</v>
      </c>
      <c r="E6476" t="s">
        <v>4124</v>
      </c>
      <c r="F6476" t="s">
        <v>4125</v>
      </c>
    </row>
    <row r="6477" spans="1:6">
      <c r="A6477" t="s">
        <v>10606</v>
      </c>
      <c r="B6477" t="s">
        <v>2404</v>
      </c>
      <c r="C6477" t="s">
        <v>22</v>
      </c>
      <c r="D6477" s="1">
        <v>45834</v>
      </c>
      <c r="E6477" t="s">
        <v>4133</v>
      </c>
      <c r="F6477" t="s">
        <v>4137</v>
      </c>
    </row>
    <row r="6478" spans="1:6">
      <c r="A6478" t="s">
        <v>10607</v>
      </c>
      <c r="B6478" t="s">
        <v>2404</v>
      </c>
      <c r="C6478" t="s">
        <v>22</v>
      </c>
      <c r="D6478" s="1">
        <v>45834</v>
      </c>
      <c r="E6478" t="s">
        <v>4124</v>
      </c>
      <c r="F6478" t="s">
        <v>4125</v>
      </c>
    </row>
    <row r="6479" spans="1:6">
      <c r="A6479" t="s">
        <v>10608</v>
      </c>
      <c r="B6479" t="s">
        <v>2404</v>
      </c>
      <c r="C6479" t="s">
        <v>22</v>
      </c>
      <c r="D6479" s="1">
        <v>45836</v>
      </c>
      <c r="E6479" t="s">
        <v>4124</v>
      </c>
      <c r="F6479" t="s">
        <v>4125</v>
      </c>
    </row>
    <row r="6480" spans="1:6">
      <c r="A6480" t="s">
        <v>10609</v>
      </c>
      <c r="B6480" t="s">
        <v>2404</v>
      </c>
      <c r="C6480" t="s">
        <v>22</v>
      </c>
      <c r="D6480" s="1">
        <v>45830</v>
      </c>
      <c r="E6480" t="s">
        <v>4124</v>
      </c>
      <c r="F6480" t="s">
        <v>4137</v>
      </c>
    </row>
    <row r="6481" spans="1:6">
      <c r="A6481" t="s">
        <v>10610</v>
      </c>
      <c r="B6481" t="s">
        <v>2404</v>
      </c>
      <c r="C6481" t="s">
        <v>22</v>
      </c>
      <c r="D6481" s="1">
        <v>45832</v>
      </c>
      <c r="E6481" t="s">
        <v>4133</v>
      </c>
      <c r="F6481" t="s">
        <v>4139</v>
      </c>
    </row>
    <row r="6482" spans="1:6">
      <c r="A6482" t="s">
        <v>10611</v>
      </c>
      <c r="B6482" t="s">
        <v>2405</v>
      </c>
      <c r="C6482" t="s">
        <v>78</v>
      </c>
      <c r="D6482" s="1">
        <v>45843</v>
      </c>
      <c r="E6482" t="s">
        <v>4127</v>
      </c>
      <c r="F6482" t="s">
        <v>4139</v>
      </c>
    </row>
    <row r="6483" spans="1:6">
      <c r="A6483" t="s">
        <v>10612</v>
      </c>
      <c r="B6483" t="s">
        <v>2405</v>
      </c>
      <c r="C6483" t="s">
        <v>78</v>
      </c>
      <c r="D6483" s="1">
        <v>45821</v>
      </c>
      <c r="E6483" t="s">
        <v>4124</v>
      </c>
      <c r="F6483" t="s">
        <v>4139</v>
      </c>
    </row>
    <row r="6484" spans="1:6">
      <c r="A6484" t="s">
        <v>10613</v>
      </c>
      <c r="B6484" t="s">
        <v>2405</v>
      </c>
      <c r="C6484" t="s">
        <v>78</v>
      </c>
      <c r="D6484" s="1">
        <v>45815</v>
      </c>
      <c r="E6484" t="s">
        <v>4129</v>
      </c>
      <c r="F6484" t="s">
        <v>4137</v>
      </c>
    </row>
    <row r="6485" spans="1:6">
      <c r="A6485" t="s">
        <v>10614</v>
      </c>
      <c r="B6485" t="s">
        <v>2405</v>
      </c>
      <c r="C6485" t="s">
        <v>78</v>
      </c>
      <c r="D6485" s="1">
        <v>45844</v>
      </c>
      <c r="E6485" t="s">
        <v>4133</v>
      </c>
      <c r="F6485" t="s">
        <v>4125</v>
      </c>
    </row>
    <row r="6486" spans="1:6">
      <c r="A6486" t="s">
        <v>10615</v>
      </c>
      <c r="B6486" t="s">
        <v>2406</v>
      </c>
      <c r="C6486" t="s">
        <v>22</v>
      </c>
      <c r="D6486" s="1">
        <v>45972</v>
      </c>
      <c r="E6486" t="s">
        <v>4135</v>
      </c>
      <c r="F6486" t="s">
        <v>4125</v>
      </c>
    </row>
    <row r="6487" spans="1:6">
      <c r="A6487" t="s">
        <v>10616</v>
      </c>
      <c r="B6487" t="s">
        <v>2406</v>
      </c>
      <c r="C6487" t="s">
        <v>22</v>
      </c>
      <c r="D6487" s="1">
        <v>45966</v>
      </c>
      <c r="E6487" t="s">
        <v>4124</v>
      </c>
      <c r="F6487" t="s">
        <v>4125</v>
      </c>
    </row>
    <row r="6488" spans="1:6">
      <c r="A6488" t="s">
        <v>10617</v>
      </c>
      <c r="B6488" t="s">
        <v>2406</v>
      </c>
      <c r="C6488" t="s">
        <v>22</v>
      </c>
      <c r="D6488" s="1">
        <v>45984</v>
      </c>
      <c r="E6488" t="s">
        <v>4124</v>
      </c>
      <c r="F6488" t="s">
        <v>4139</v>
      </c>
    </row>
    <row r="6489" spans="1:6">
      <c r="A6489" t="s">
        <v>10618</v>
      </c>
      <c r="B6489" t="s">
        <v>2406</v>
      </c>
      <c r="C6489" t="s">
        <v>22</v>
      </c>
      <c r="D6489" s="1">
        <v>46011</v>
      </c>
      <c r="E6489" t="s">
        <v>4129</v>
      </c>
      <c r="F6489" t="s">
        <v>4125</v>
      </c>
    </row>
    <row r="6490" spans="1:6">
      <c r="A6490" t="s">
        <v>10619</v>
      </c>
      <c r="B6490" t="s">
        <v>2407</v>
      </c>
      <c r="C6490" t="s">
        <v>46</v>
      </c>
      <c r="D6490" s="1">
        <v>45865</v>
      </c>
      <c r="E6490" t="s">
        <v>4133</v>
      </c>
      <c r="F6490" t="s">
        <v>4139</v>
      </c>
    </row>
    <row r="6491" spans="1:6">
      <c r="A6491" t="s">
        <v>10620</v>
      </c>
      <c r="B6491" t="s">
        <v>2407</v>
      </c>
      <c r="C6491" t="s">
        <v>46</v>
      </c>
      <c r="D6491" s="1">
        <v>45881</v>
      </c>
      <c r="E6491" t="s">
        <v>4135</v>
      </c>
      <c r="F6491" t="s">
        <v>4137</v>
      </c>
    </row>
    <row r="6492" spans="1:6">
      <c r="A6492" t="s">
        <v>10621</v>
      </c>
      <c r="B6492" t="s">
        <v>2408</v>
      </c>
      <c r="C6492" t="s">
        <v>56</v>
      </c>
      <c r="D6492" s="1">
        <v>45900</v>
      </c>
      <c r="E6492" t="s">
        <v>4133</v>
      </c>
      <c r="F6492" t="s">
        <v>4125</v>
      </c>
    </row>
    <row r="6493" spans="1:6">
      <c r="A6493" t="s">
        <v>10622</v>
      </c>
      <c r="B6493" t="s">
        <v>2408</v>
      </c>
      <c r="C6493" t="s">
        <v>56</v>
      </c>
      <c r="D6493" s="1">
        <v>45904</v>
      </c>
      <c r="E6493" t="s">
        <v>4129</v>
      </c>
      <c r="F6493" t="s">
        <v>4125</v>
      </c>
    </row>
    <row r="6494" spans="1:6">
      <c r="A6494" t="s">
        <v>10623</v>
      </c>
      <c r="B6494" t="s">
        <v>2409</v>
      </c>
      <c r="C6494" t="s">
        <v>50</v>
      </c>
      <c r="D6494" s="1">
        <v>45880</v>
      </c>
      <c r="E6494" t="s">
        <v>4135</v>
      </c>
      <c r="F6494" t="s">
        <v>4125</v>
      </c>
    </row>
    <row r="6495" spans="1:6">
      <c r="A6495" t="s">
        <v>10624</v>
      </c>
      <c r="B6495" t="s">
        <v>2409</v>
      </c>
      <c r="C6495" t="s">
        <v>50</v>
      </c>
      <c r="D6495" s="1">
        <v>45879</v>
      </c>
      <c r="E6495" t="s">
        <v>4129</v>
      </c>
      <c r="F6495" t="s">
        <v>4125</v>
      </c>
    </row>
    <row r="6496" spans="1:6">
      <c r="A6496" t="s">
        <v>10625</v>
      </c>
      <c r="B6496" t="s">
        <v>2409</v>
      </c>
      <c r="C6496" t="s">
        <v>50</v>
      </c>
      <c r="D6496" s="1">
        <v>45872</v>
      </c>
      <c r="E6496" t="s">
        <v>4133</v>
      </c>
      <c r="F6496" t="s">
        <v>4139</v>
      </c>
    </row>
    <row r="6497" spans="1:6">
      <c r="A6497" t="s">
        <v>10626</v>
      </c>
      <c r="B6497" t="s">
        <v>2409</v>
      </c>
      <c r="C6497" t="s">
        <v>50</v>
      </c>
      <c r="D6497" s="1">
        <v>45880</v>
      </c>
      <c r="E6497" t="s">
        <v>4124</v>
      </c>
      <c r="F6497" t="s">
        <v>4139</v>
      </c>
    </row>
    <row r="6498" spans="1:6">
      <c r="A6498" t="s">
        <v>10627</v>
      </c>
      <c r="B6498" t="s">
        <v>2409</v>
      </c>
      <c r="C6498" t="s">
        <v>50</v>
      </c>
      <c r="D6498" s="1">
        <v>45876</v>
      </c>
      <c r="E6498" t="s">
        <v>4127</v>
      </c>
      <c r="F6498" t="s">
        <v>4137</v>
      </c>
    </row>
    <row r="6499" spans="1:6">
      <c r="A6499" t="s">
        <v>10628</v>
      </c>
      <c r="B6499" t="s">
        <v>2410</v>
      </c>
      <c r="C6499" t="s">
        <v>53</v>
      </c>
      <c r="D6499" s="1">
        <v>46006</v>
      </c>
      <c r="E6499" t="s">
        <v>4127</v>
      </c>
      <c r="F6499" t="s">
        <v>4137</v>
      </c>
    </row>
    <row r="6500" spans="1:6">
      <c r="A6500" t="s">
        <v>10629</v>
      </c>
      <c r="B6500" t="s">
        <v>2410</v>
      </c>
      <c r="C6500" t="s">
        <v>53</v>
      </c>
      <c r="D6500" s="1">
        <v>46005</v>
      </c>
      <c r="E6500" t="s">
        <v>4124</v>
      </c>
      <c r="F6500" t="s">
        <v>4139</v>
      </c>
    </row>
    <row r="6501" spans="1:6">
      <c r="A6501" t="s">
        <v>10630</v>
      </c>
      <c r="B6501" t="s">
        <v>2410</v>
      </c>
      <c r="C6501" t="s">
        <v>53</v>
      </c>
      <c r="D6501" s="1">
        <v>45987</v>
      </c>
      <c r="E6501" t="s">
        <v>4135</v>
      </c>
      <c r="F6501" t="s">
        <v>4139</v>
      </c>
    </row>
    <row r="6502" spans="1:6">
      <c r="A6502" t="s">
        <v>10631</v>
      </c>
      <c r="B6502" t="s">
        <v>2411</v>
      </c>
      <c r="C6502" t="s">
        <v>91</v>
      </c>
      <c r="D6502" s="1">
        <v>46022</v>
      </c>
      <c r="E6502" t="s">
        <v>4133</v>
      </c>
      <c r="F6502" t="s">
        <v>4137</v>
      </c>
    </row>
    <row r="6503" spans="1:6">
      <c r="A6503" t="s">
        <v>10632</v>
      </c>
      <c r="B6503" t="s">
        <v>2411</v>
      </c>
      <c r="C6503" t="s">
        <v>91</v>
      </c>
      <c r="D6503" s="1">
        <v>46021</v>
      </c>
      <c r="E6503" t="s">
        <v>4124</v>
      </c>
      <c r="F6503" t="s">
        <v>4139</v>
      </c>
    </row>
    <row r="6504" spans="1:6">
      <c r="A6504" t="s">
        <v>10633</v>
      </c>
      <c r="B6504" t="s">
        <v>2411</v>
      </c>
      <c r="C6504" t="s">
        <v>91</v>
      </c>
      <c r="D6504" s="1">
        <v>46022</v>
      </c>
      <c r="E6504" t="s">
        <v>4135</v>
      </c>
      <c r="F6504" t="s">
        <v>4137</v>
      </c>
    </row>
    <row r="6505" spans="1:6">
      <c r="A6505" t="s">
        <v>10634</v>
      </c>
      <c r="B6505" t="s">
        <v>2412</v>
      </c>
      <c r="C6505" t="s">
        <v>70</v>
      </c>
      <c r="D6505" s="1">
        <v>45980</v>
      </c>
      <c r="E6505" t="s">
        <v>4135</v>
      </c>
      <c r="F6505" t="s">
        <v>4125</v>
      </c>
    </row>
    <row r="6506" spans="1:6">
      <c r="A6506" t="s">
        <v>10635</v>
      </c>
      <c r="B6506" t="s">
        <v>2412</v>
      </c>
      <c r="C6506" t="s">
        <v>70</v>
      </c>
      <c r="D6506" s="1">
        <v>46010</v>
      </c>
      <c r="E6506" t="s">
        <v>4133</v>
      </c>
      <c r="F6506" t="s">
        <v>4139</v>
      </c>
    </row>
    <row r="6507" spans="1:6">
      <c r="A6507" t="s">
        <v>10636</v>
      </c>
      <c r="B6507" t="s">
        <v>2412</v>
      </c>
      <c r="C6507" t="s">
        <v>70</v>
      </c>
      <c r="D6507" s="1">
        <v>46005</v>
      </c>
      <c r="E6507" t="s">
        <v>4129</v>
      </c>
      <c r="F6507" t="s">
        <v>4137</v>
      </c>
    </row>
    <row r="6508" spans="1:6">
      <c r="A6508" t="s">
        <v>10637</v>
      </c>
      <c r="B6508" t="s">
        <v>2412</v>
      </c>
      <c r="C6508" t="s">
        <v>70</v>
      </c>
      <c r="D6508" s="1">
        <v>45983</v>
      </c>
      <c r="E6508" t="s">
        <v>4124</v>
      </c>
      <c r="F6508" t="s">
        <v>4139</v>
      </c>
    </row>
    <row r="6509" spans="1:6">
      <c r="A6509" t="s">
        <v>10638</v>
      </c>
      <c r="B6509" t="s">
        <v>2412</v>
      </c>
      <c r="C6509" t="s">
        <v>70</v>
      </c>
      <c r="D6509" s="1">
        <v>45998</v>
      </c>
      <c r="E6509" t="s">
        <v>4135</v>
      </c>
      <c r="F6509" t="s">
        <v>4139</v>
      </c>
    </row>
    <row r="6510" spans="1:6">
      <c r="A6510" t="s">
        <v>10639</v>
      </c>
      <c r="B6510" t="s">
        <v>2413</v>
      </c>
      <c r="C6510" t="s">
        <v>53</v>
      </c>
      <c r="D6510" s="1">
        <v>45758</v>
      </c>
      <c r="E6510" t="s">
        <v>4124</v>
      </c>
      <c r="F6510" t="s">
        <v>4139</v>
      </c>
    </row>
    <row r="6511" spans="1:6">
      <c r="A6511" t="s">
        <v>10640</v>
      </c>
      <c r="B6511" t="s">
        <v>2413</v>
      </c>
      <c r="C6511" t="s">
        <v>53</v>
      </c>
      <c r="D6511" s="1">
        <v>45760</v>
      </c>
      <c r="E6511" t="s">
        <v>4129</v>
      </c>
      <c r="F6511" t="s">
        <v>4139</v>
      </c>
    </row>
    <row r="6512" spans="1:6">
      <c r="A6512" t="s">
        <v>10641</v>
      </c>
      <c r="B6512" t="s">
        <v>2413</v>
      </c>
      <c r="C6512" t="s">
        <v>53</v>
      </c>
      <c r="D6512" s="1">
        <v>45776</v>
      </c>
      <c r="E6512" t="s">
        <v>4129</v>
      </c>
      <c r="F6512" t="s">
        <v>4137</v>
      </c>
    </row>
    <row r="6513" spans="1:6">
      <c r="A6513" t="s">
        <v>10642</v>
      </c>
      <c r="B6513" t="s">
        <v>2413</v>
      </c>
      <c r="C6513" t="s">
        <v>53</v>
      </c>
      <c r="D6513" s="1">
        <v>45761</v>
      </c>
      <c r="E6513" t="s">
        <v>4127</v>
      </c>
      <c r="F6513" t="s">
        <v>4125</v>
      </c>
    </row>
    <row r="6514" spans="1:6">
      <c r="A6514" t="s">
        <v>10643</v>
      </c>
      <c r="B6514" t="s">
        <v>2413</v>
      </c>
      <c r="C6514" t="s">
        <v>53</v>
      </c>
      <c r="D6514" s="1">
        <v>45774</v>
      </c>
      <c r="E6514" t="s">
        <v>4133</v>
      </c>
      <c r="F6514" t="s">
        <v>4125</v>
      </c>
    </row>
    <row r="6515" spans="1:6">
      <c r="A6515" t="s">
        <v>10644</v>
      </c>
      <c r="B6515" t="s">
        <v>2414</v>
      </c>
      <c r="C6515" t="s">
        <v>16</v>
      </c>
      <c r="D6515" s="1">
        <v>45728</v>
      </c>
      <c r="E6515" t="s">
        <v>4129</v>
      </c>
      <c r="F6515" t="s">
        <v>4137</v>
      </c>
    </row>
    <row r="6516" spans="1:6">
      <c r="A6516" t="s">
        <v>10645</v>
      </c>
      <c r="B6516" t="s">
        <v>2414</v>
      </c>
      <c r="C6516" t="s">
        <v>16</v>
      </c>
      <c r="D6516" s="1">
        <v>45724</v>
      </c>
      <c r="E6516" t="s">
        <v>4127</v>
      </c>
      <c r="F6516" t="s">
        <v>4137</v>
      </c>
    </row>
    <row r="6517" spans="1:6">
      <c r="A6517" t="s">
        <v>10646</v>
      </c>
      <c r="B6517" t="s">
        <v>2415</v>
      </c>
      <c r="C6517" t="s">
        <v>56</v>
      </c>
      <c r="D6517" s="1">
        <v>45789</v>
      </c>
      <c r="E6517" t="s">
        <v>4133</v>
      </c>
      <c r="F6517" t="s">
        <v>4125</v>
      </c>
    </row>
    <row r="6518" spans="1:6">
      <c r="A6518" t="s">
        <v>10647</v>
      </c>
      <c r="B6518" t="s">
        <v>2415</v>
      </c>
      <c r="C6518" t="s">
        <v>56</v>
      </c>
      <c r="D6518" s="1">
        <v>45759</v>
      </c>
      <c r="E6518" t="s">
        <v>4135</v>
      </c>
      <c r="F6518" t="s">
        <v>4125</v>
      </c>
    </row>
    <row r="6519" spans="1:6">
      <c r="A6519" t="s">
        <v>10648</v>
      </c>
      <c r="B6519" t="s">
        <v>2415</v>
      </c>
      <c r="C6519" t="s">
        <v>56</v>
      </c>
      <c r="D6519" s="1">
        <v>45755</v>
      </c>
      <c r="E6519" t="s">
        <v>4129</v>
      </c>
      <c r="F6519" t="s">
        <v>4139</v>
      </c>
    </row>
    <row r="6520" spans="1:6">
      <c r="A6520" t="s">
        <v>10649</v>
      </c>
      <c r="B6520" t="s">
        <v>2416</v>
      </c>
      <c r="C6520" t="s">
        <v>63</v>
      </c>
      <c r="D6520" s="1">
        <v>45726</v>
      </c>
      <c r="E6520" t="s">
        <v>4133</v>
      </c>
      <c r="F6520" t="s">
        <v>4137</v>
      </c>
    </row>
    <row r="6521" spans="1:6">
      <c r="A6521" t="s">
        <v>10650</v>
      </c>
      <c r="B6521" t="s">
        <v>2416</v>
      </c>
      <c r="C6521" t="s">
        <v>63</v>
      </c>
      <c r="D6521" s="1">
        <v>45717</v>
      </c>
      <c r="E6521" t="s">
        <v>4133</v>
      </c>
      <c r="F6521" t="s">
        <v>4139</v>
      </c>
    </row>
    <row r="6522" spans="1:6">
      <c r="A6522" t="s">
        <v>10651</v>
      </c>
      <c r="B6522" t="s">
        <v>2417</v>
      </c>
      <c r="C6522" t="s">
        <v>152</v>
      </c>
      <c r="D6522" s="1">
        <v>46015</v>
      </c>
      <c r="E6522" t="s">
        <v>4124</v>
      </c>
      <c r="F6522" t="s">
        <v>4137</v>
      </c>
    </row>
    <row r="6523" spans="1:6">
      <c r="A6523" t="s">
        <v>10652</v>
      </c>
      <c r="B6523" t="s">
        <v>2417</v>
      </c>
      <c r="C6523" t="s">
        <v>152</v>
      </c>
      <c r="D6523" s="1">
        <v>46015</v>
      </c>
      <c r="E6523" t="s">
        <v>4133</v>
      </c>
      <c r="F6523" t="s">
        <v>4139</v>
      </c>
    </row>
    <row r="6524" spans="1:6">
      <c r="A6524" t="s">
        <v>10653</v>
      </c>
      <c r="B6524" t="s">
        <v>2417</v>
      </c>
      <c r="C6524" t="s">
        <v>152</v>
      </c>
      <c r="D6524" s="1">
        <v>46015</v>
      </c>
      <c r="E6524" t="s">
        <v>4133</v>
      </c>
      <c r="F6524" t="s">
        <v>4139</v>
      </c>
    </row>
    <row r="6525" spans="1:6">
      <c r="A6525" t="s">
        <v>10654</v>
      </c>
      <c r="B6525" t="s">
        <v>2417</v>
      </c>
      <c r="C6525" t="s">
        <v>152</v>
      </c>
      <c r="D6525" s="1">
        <v>46020</v>
      </c>
      <c r="E6525" t="s">
        <v>4127</v>
      </c>
      <c r="F6525" t="s">
        <v>4139</v>
      </c>
    </row>
    <row r="6526" spans="1:6">
      <c r="A6526" t="s">
        <v>10655</v>
      </c>
      <c r="B6526" t="s">
        <v>2418</v>
      </c>
      <c r="C6526" t="s">
        <v>63</v>
      </c>
      <c r="D6526" s="1">
        <v>45956</v>
      </c>
      <c r="E6526" t="s">
        <v>4127</v>
      </c>
      <c r="F6526" t="s">
        <v>4125</v>
      </c>
    </row>
    <row r="6527" spans="1:6">
      <c r="A6527" t="s">
        <v>10656</v>
      </c>
      <c r="B6527" t="s">
        <v>2418</v>
      </c>
      <c r="C6527" t="s">
        <v>63</v>
      </c>
      <c r="D6527" s="1">
        <v>45921</v>
      </c>
      <c r="E6527" t="s">
        <v>4129</v>
      </c>
      <c r="F6527" t="s">
        <v>4139</v>
      </c>
    </row>
    <row r="6528" spans="1:6">
      <c r="A6528" t="s">
        <v>10657</v>
      </c>
      <c r="B6528" t="s">
        <v>2418</v>
      </c>
      <c r="C6528" t="s">
        <v>63</v>
      </c>
      <c r="D6528" s="1">
        <v>45946</v>
      </c>
      <c r="E6528" t="s">
        <v>4135</v>
      </c>
      <c r="F6528" t="s">
        <v>4125</v>
      </c>
    </row>
    <row r="6529" spans="1:6">
      <c r="A6529" t="s">
        <v>10658</v>
      </c>
      <c r="B6529" t="s">
        <v>2418</v>
      </c>
      <c r="C6529" t="s">
        <v>63</v>
      </c>
      <c r="D6529" s="1">
        <v>45924</v>
      </c>
      <c r="E6529" t="s">
        <v>4135</v>
      </c>
      <c r="F6529" t="s">
        <v>4125</v>
      </c>
    </row>
    <row r="6530" spans="1:6">
      <c r="A6530" t="s">
        <v>10659</v>
      </c>
      <c r="B6530" t="s">
        <v>2419</v>
      </c>
      <c r="C6530" t="s">
        <v>40</v>
      </c>
      <c r="D6530" s="1">
        <v>45980</v>
      </c>
      <c r="E6530" t="s">
        <v>4135</v>
      </c>
      <c r="F6530" t="s">
        <v>4125</v>
      </c>
    </row>
    <row r="6531" spans="1:6">
      <c r="A6531" t="s">
        <v>10660</v>
      </c>
      <c r="B6531" t="s">
        <v>2419</v>
      </c>
      <c r="C6531" t="s">
        <v>40</v>
      </c>
      <c r="D6531" s="1">
        <v>45975</v>
      </c>
      <c r="E6531" t="s">
        <v>4129</v>
      </c>
      <c r="F6531" t="s">
        <v>4125</v>
      </c>
    </row>
    <row r="6532" spans="1:6">
      <c r="A6532" t="s">
        <v>10661</v>
      </c>
      <c r="B6532" t="s">
        <v>2419</v>
      </c>
      <c r="C6532" t="s">
        <v>40</v>
      </c>
      <c r="D6532" s="1">
        <v>45969</v>
      </c>
      <c r="E6532" t="s">
        <v>4133</v>
      </c>
      <c r="F6532" t="s">
        <v>4139</v>
      </c>
    </row>
    <row r="6533" spans="1:6">
      <c r="A6533" t="s">
        <v>10662</v>
      </c>
      <c r="B6533" t="s">
        <v>2419</v>
      </c>
      <c r="C6533" t="s">
        <v>40</v>
      </c>
      <c r="D6533" s="1">
        <v>45980</v>
      </c>
      <c r="E6533" t="s">
        <v>4133</v>
      </c>
      <c r="F6533" t="s">
        <v>4125</v>
      </c>
    </row>
    <row r="6534" spans="1:6">
      <c r="A6534" t="s">
        <v>10663</v>
      </c>
      <c r="B6534" t="s">
        <v>2420</v>
      </c>
      <c r="C6534" t="s">
        <v>126</v>
      </c>
      <c r="D6534" s="1">
        <v>45711</v>
      </c>
      <c r="E6534" t="s">
        <v>4135</v>
      </c>
      <c r="F6534" t="s">
        <v>4139</v>
      </c>
    </row>
    <row r="6535" spans="1:6">
      <c r="A6535" t="s">
        <v>10664</v>
      </c>
      <c r="B6535" t="s">
        <v>2420</v>
      </c>
      <c r="C6535" t="s">
        <v>126</v>
      </c>
      <c r="D6535" s="1">
        <v>45742</v>
      </c>
      <c r="E6535" t="s">
        <v>4124</v>
      </c>
      <c r="F6535" t="s">
        <v>4139</v>
      </c>
    </row>
    <row r="6536" spans="1:6">
      <c r="A6536" t="s">
        <v>10665</v>
      </c>
      <c r="B6536" t="s">
        <v>2420</v>
      </c>
      <c r="C6536" t="s">
        <v>126</v>
      </c>
      <c r="D6536" s="1">
        <v>45760</v>
      </c>
      <c r="E6536" t="s">
        <v>4124</v>
      </c>
      <c r="F6536" t="s">
        <v>4139</v>
      </c>
    </row>
    <row r="6537" spans="1:6">
      <c r="A6537" t="s">
        <v>10666</v>
      </c>
      <c r="B6537" t="s">
        <v>2420</v>
      </c>
      <c r="C6537" t="s">
        <v>126</v>
      </c>
      <c r="D6537" s="1">
        <v>45741</v>
      </c>
      <c r="E6537" t="s">
        <v>4135</v>
      </c>
      <c r="F6537" t="s">
        <v>4139</v>
      </c>
    </row>
    <row r="6538" spans="1:6">
      <c r="A6538" t="s">
        <v>10667</v>
      </c>
      <c r="B6538" t="s">
        <v>2421</v>
      </c>
      <c r="C6538" t="s">
        <v>75</v>
      </c>
      <c r="D6538" s="1">
        <v>45847</v>
      </c>
      <c r="E6538" t="s">
        <v>4124</v>
      </c>
      <c r="F6538" t="s">
        <v>4139</v>
      </c>
    </row>
    <row r="6539" spans="1:6">
      <c r="A6539" t="s">
        <v>10668</v>
      </c>
      <c r="B6539" t="s">
        <v>2421</v>
      </c>
      <c r="C6539" t="s">
        <v>75</v>
      </c>
      <c r="D6539" s="1">
        <v>45826</v>
      </c>
      <c r="E6539" t="s">
        <v>4135</v>
      </c>
      <c r="F6539" t="s">
        <v>4125</v>
      </c>
    </row>
    <row r="6540" spans="1:6">
      <c r="A6540" t="s">
        <v>10669</v>
      </c>
      <c r="B6540" t="s">
        <v>2421</v>
      </c>
      <c r="C6540" t="s">
        <v>75</v>
      </c>
      <c r="D6540" s="1">
        <v>45812</v>
      </c>
      <c r="E6540" t="s">
        <v>4129</v>
      </c>
      <c r="F6540" t="s">
        <v>4125</v>
      </c>
    </row>
    <row r="6541" spans="1:6">
      <c r="A6541" t="s">
        <v>10670</v>
      </c>
      <c r="B6541" t="s">
        <v>2421</v>
      </c>
      <c r="C6541" t="s">
        <v>75</v>
      </c>
      <c r="D6541" s="1">
        <v>45850</v>
      </c>
      <c r="E6541" t="s">
        <v>4124</v>
      </c>
      <c r="F6541" t="s">
        <v>4125</v>
      </c>
    </row>
    <row r="6542" spans="1:6">
      <c r="A6542" t="s">
        <v>10671</v>
      </c>
      <c r="B6542" t="s">
        <v>2421</v>
      </c>
      <c r="C6542" t="s">
        <v>75</v>
      </c>
      <c r="D6542" s="1">
        <v>45837</v>
      </c>
      <c r="E6542" t="s">
        <v>4124</v>
      </c>
      <c r="F6542" t="s">
        <v>4137</v>
      </c>
    </row>
    <row r="6543" spans="1:6">
      <c r="A6543" t="s">
        <v>10672</v>
      </c>
      <c r="B6543" t="s">
        <v>2422</v>
      </c>
      <c r="C6543" t="s">
        <v>59</v>
      </c>
      <c r="D6543" s="1">
        <v>45916</v>
      </c>
      <c r="E6543" t="s">
        <v>4133</v>
      </c>
      <c r="F6543" t="s">
        <v>4139</v>
      </c>
    </row>
    <row r="6544" spans="1:6">
      <c r="A6544" t="s">
        <v>10673</v>
      </c>
      <c r="B6544" t="s">
        <v>2422</v>
      </c>
      <c r="C6544" t="s">
        <v>59</v>
      </c>
      <c r="D6544" s="1">
        <v>45914</v>
      </c>
      <c r="E6544" t="s">
        <v>4135</v>
      </c>
      <c r="F6544" t="s">
        <v>4125</v>
      </c>
    </row>
    <row r="6545" spans="1:6">
      <c r="A6545" t="s">
        <v>10674</v>
      </c>
      <c r="B6545" t="s">
        <v>2422</v>
      </c>
      <c r="C6545" t="s">
        <v>59</v>
      </c>
      <c r="D6545" s="1">
        <v>45908</v>
      </c>
      <c r="E6545" t="s">
        <v>4127</v>
      </c>
      <c r="F6545" t="s">
        <v>4139</v>
      </c>
    </row>
    <row r="6546" spans="1:6">
      <c r="A6546" t="s">
        <v>10675</v>
      </c>
      <c r="B6546" t="s">
        <v>2423</v>
      </c>
      <c r="C6546" t="s">
        <v>50</v>
      </c>
      <c r="D6546" s="1">
        <v>45918</v>
      </c>
      <c r="E6546" t="s">
        <v>4135</v>
      </c>
      <c r="F6546" t="s">
        <v>4137</v>
      </c>
    </row>
    <row r="6547" spans="1:6">
      <c r="A6547" t="s">
        <v>10676</v>
      </c>
      <c r="B6547" t="s">
        <v>2423</v>
      </c>
      <c r="C6547" t="s">
        <v>50</v>
      </c>
      <c r="D6547" s="1">
        <v>45921</v>
      </c>
      <c r="E6547" t="s">
        <v>4127</v>
      </c>
      <c r="F6547" t="s">
        <v>4139</v>
      </c>
    </row>
    <row r="6548" spans="1:6">
      <c r="A6548" t="s">
        <v>10677</v>
      </c>
      <c r="B6548" t="s">
        <v>2423</v>
      </c>
      <c r="C6548" t="s">
        <v>50</v>
      </c>
      <c r="D6548" s="1">
        <v>45923</v>
      </c>
      <c r="E6548" t="s">
        <v>4129</v>
      </c>
      <c r="F6548" t="s">
        <v>4125</v>
      </c>
    </row>
    <row r="6549" spans="1:6">
      <c r="A6549" t="s">
        <v>10678</v>
      </c>
      <c r="B6549" t="s">
        <v>2423</v>
      </c>
      <c r="C6549" t="s">
        <v>50</v>
      </c>
      <c r="D6549" s="1">
        <v>45931</v>
      </c>
      <c r="E6549" t="s">
        <v>4135</v>
      </c>
      <c r="F6549" t="s">
        <v>4125</v>
      </c>
    </row>
    <row r="6550" spans="1:6">
      <c r="A6550" t="s">
        <v>10679</v>
      </c>
      <c r="B6550" t="s">
        <v>2424</v>
      </c>
      <c r="C6550" t="s">
        <v>36</v>
      </c>
      <c r="D6550" s="1">
        <v>46021</v>
      </c>
      <c r="E6550" t="s">
        <v>4129</v>
      </c>
      <c r="F6550" t="s">
        <v>4139</v>
      </c>
    </row>
    <row r="6551" spans="1:6">
      <c r="A6551" t="s">
        <v>10680</v>
      </c>
      <c r="B6551" t="s">
        <v>2424</v>
      </c>
      <c r="C6551" t="s">
        <v>36</v>
      </c>
      <c r="D6551" s="1">
        <v>46021</v>
      </c>
      <c r="E6551" t="s">
        <v>4124</v>
      </c>
      <c r="F6551" t="s">
        <v>4125</v>
      </c>
    </row>
    <row r="6552" spans="1:6">
      <c r="A6552" t="s">
        <v>10681</v>
      </c>
      <c r="B6552" t="s">
        <v>2424</v>
      </c>
      <c r="C6552" t="s">
        <v>36</v>
      </c>
      <c r="D6552" s="1">
        <v>46021</v>
      </c>
      <c r="E6552" t="s">
        <v>4135</v>
      </c>
      <c r="F6552" t="s">
        <v>4137</v>
      </c>
    </row>
    <row r="6553" spans="1:6">
      <c r="A6553" t="s">
        <v>10682</v>
      </c>
      <c r="B6553" t="s">
        <v>2425</v>
      </c>
      <c r="C6553" t="s">
        <v>32</v>
      </c>
      <c r="D6553" s="1">
        <v>45929</v>
      </c>
      <c r="E6553" t="s">
        <v>4135</v>
      </c>
      <c r="F6553" t="s">
        <v>4139</v>
      </c>
    </row>
    <row r="6554" spans="1:6">
      <c r="A6554" t="s">
        <v>10683</v>
      </c>
      <c r="B6554" t="s">
        <v>2425</v>
      </c>
      <c r="C6554" t="s">
        <v>32</v>
      </c>
      <c r="D6554" s="1">
        <v>45930</v>
      </c>
      <c r="E6554" t="s">
        <v>4129</v>
      </c>
      <c r="F6554" t="s">
        <v>4125</v>
      </c>
    </row>
    <row r="6555" spans="1:6">
      <c r="A6555" t="s">
        <v>10684</v>
      </c>
      <c r="B6555" t="s">
        <v>2425</v>
      </c>
      <c r="C6555" t="s">
        <v>32</v>
      </c>
      <c r="D6555" s="1">
        <v>45927</v>
      </c>
      <c r="E6555" t="s">
        <v>4129</v>
      </c>
      <c r="F6555" t="s">
        <v>4139</v>
      </c>
    </row>
    <row r="6556" spans="1:6">
      <c r="A6556" t="s">
        <v>10685</v>
      </c>
      <c r="B6556" t="s">
        <v>2425</v>
      </c>
      <c r="C6556" t="s">
        <v>32</v>
      </c>
      <c r="D6556" s="1">
        <v>45923</v>
      </c>
      <c r="E6556" t="s">
        <v>4133</v>
      </c>
      <c r="F6556" t="s">
        <v>4125</v>
      </c>
    </row>
    <row r="6557" spans="1:6">
      <c r="A6557" t="s">
        <v>10686</v>
      </c>
      <c r="B6557" t="s">
        <v>2426</v>
      </c>
      <c r="C6557" t="s">
        <v>63</v>
      </c>
      <c r="D6557" s="1">
        <v>45975</v>
      </c>
      <c r="E6557" t="s">
        <v>4133</v>
      </c>
      <c r="F6557" t="s">
        <v>4137</v>
      </c>
    </row>
    <row r="6558" spans="1:6">
      <c r="A6558" t="s">
        <v>10687</v>
      </c>
      <c r="B6558" t="s">
        <v>2426</v>
      </c>
      <c r="C6558" t="s">
        <v>63</v>
      </c>
      <c r="D6558" s="1">
        <v>45961</v>
      </c>
      <c r="E6558" t="s">
        <v>4124</v>
      </c>
      <c r="F6558" t="s">
        <v>4125</v>
      </c>
    </row>
    <row r="6559" spans="1:6">
      <c r="A6559" t="s">
        <v>10688</v>
      </c>
      <c r="B6559" t="s">
        <v>2426</v>
      </c>
      <c r="C6559" t="s">
        <v>63</v>
      </c>
      <c r="D6559" s="1">
        <v>45961</v>
      </c>
      <c r="E6559" t="s">
        <v>4124</v>
      </c>
      <c r="F6559" t="s">
        <v>4137</v>
      </c>
    </row>
    <row r="6560" spans="1:6">
      <c r="A6560" t="s">
        <v>10689</v>
      </c>
      <c r="B6560" t="s">
        <v>2426</v>
      </c>
      <c r="C6560" t="s">
        <v>63</v>
      </c>
      <c r="D6560" s="1">
        <v>45972</v>
      </c>
      <c r="E6560" t="s">
        <v>4133</v>
      </c>
      <c r="F6560" t="s">
        <v>4125</v>
      </c>
    </row>
    <row r="6561" spans="1:6">
      <c r="A6561" t="s">
        <v>10690</v>
      </c>
      <c r="B6561" t="s">
        <v>2427</v>
      </c>
      <c r="C6561" t="s">
        <v>40</v>
      </c>
      <c r="D6561" s="1">
        <v>45991</v>
      </c>
      <c r="E6561" t="s">
        <v>4124</v>
      </c>
      <c r="F6561" t="s">
        <v>4137</v>
      </c>
    </row>
    <row r="6562" spans="1:6">
      <c r="A6562" t="s">
        <v>10691</v>
      </c>
      <c r="B6562" t="s">
        <v>2427</v>
      </c>
      <c r="C6562" t="s">
        <v>40</v>
      </c>
      <c r="D6562" s="1">
        <v>46011</v>
      </c>
      <c r="E6562" t="s">
        <v>4124</v>
      </c>
      <c r="F6562" t="s">
        <v>4125</v>
      </c>
    </row>
    <row r="6563" spans="1:6">
      <c r="A6563" t="s">
        <v>10692</v>
      </c>
      <c r="B6563" t="s">
        <v>2427</v>
      </c>
      <c r="C6563" t="s">
        <v>40</v>
      </c>
      <c r="D6563" s="1">
        <v>46000</v>
      </c>
      <c r="E6563" t="s">
        <v>4135</v>
      </c>
      <c r="F6563" t="s">
        <v>4139</v>
      </c>
    </row>
    <row r="6564" spans="1:6">
      <c r="A6564" t="s">
        <v>10693</v>
      </c>
      <c r="B6564" t="s">
        <v>2428</v>
      </c>
      <c r="C6564" t="s">
        <v>70</v>
      </c>
      <c r="D6564" s="1">
        <v>45871</v>
      </c>
      <c r="E6564" t="s">
        <v>4127</v>
      </c>
      <c r="F6564" t="s">
        <v>4137</v>
      </c>
    </row>
    <row r="6565" spans="1:6">
      <c r="A6565" t="s">
        <v>10694</v>
      </c>
      <c r="B6565" t="s">
        <v>2428</v>
      </c>
      <c r="C6565" t="s">
        <v>70</v>
      </c>
      <c r="D6565" s="1">
        <v>45871</v>
      </c>
      <c r="E6565" t="s">
        <v>4135</v>
      </c>
      <c r="F6565" t="s">
        <v>4139</v>
      </c>
    </row>
    <row r="6566" spans="1:6">
      <c r="A6566" t="s">
        <v>10695</v>
      </c>
      <c r="B6566" t="s">
        <v>2428</v>
      </c>
      <c r="C6566" t="s">
        <v>70</v>
      </c>
      <c r="D6566" s="1">
        <v>45847</v>
      </c>
      <c r="E6566" t="s">
        <v>4129</v>
      </c>
      <c r="F6566" t="s">
        <v>4137</v>
      </c>
    </row>
    <row r="6567" spans="1:6">
      <c r="A6567" t="s">
        <v>10696</v>
      </c>
      <c r="B6567" t="s">
        <v>2428</v>
      </c>
      <c r="C6567" t="s">
        <v>70</v>
      </c>
      <c r="D6567" s="1">
        <v>45845</v>
      </c>
      <c r="E6567" t="s">
        <v>4133</v>
      </c>
      <c r="F6567" t="s">
        <v>4139</v>
      </c>
    </row>
    <row r="6568" spans="1:6">
      <c r="A6568" t="s">
        <v>10697</v>
      </c>
      <c r="B6568" t="s">
        <v>2429</v>
      </c>
      <c r="C6568" t="s">
        <v>46</v>
      </c>
      <c r="D6568" s="1">
        <v>45832</v>
      </c>
      <c r="E6568" t="s">
        <v>4133</v>
      </c>
      <c r="F6568" t="s">
        <v>4139</v>
      </c>
    </row>
    <row r="6569" spans="1:6">
      <c r="A6569" t="s">
        <v>10698</v>
      </c>
      <c r="B6569" t="s">
        <v>2429</v>
      </c>
      <c r="C6569" t="s">
        <v>46</v>
      </c>
      <c r="D6569" s="1">
        <v>45863</v>
      </c>
      <c r="E6569" t="s">
        <v>4124</v>
      </c>
      <c r="F6569" t="s">
        <v>4137</v>
      </c>
    </row>
    <row r="6570" spans="1:6">
      <c r="A6570" t="s">
        <v>10699</v>
      </c>
      <c r="B6570" t="s">
        <v>2429</v>
      </c>
      <c r="C6570" t="s">
        <v>46</v>
      </c>
      <c r="D6570" s="1">
        <v>45844</v>
      </c>
      <c r="E6570" t="s">
        <v>4127</v>
      </c>
      <c r="F6570" t="s">
        <v>4139</v>
      </c>
    </row>
    <row r="6571" spans="1:6">
      <c r="A6571" t="s">
        <v>10700</v>
      </c>
      <c r="B6571" t="s">
        <v>2429</v>
      </c>
      <c r="C6571" t="s">
        <v>46</v>
      </c>
      <c r="D6571" s="1">
        <v>45868</v>
      </c>
      <c r="E6571" t="s">
        <v>4135</v>
      </c>
      <c r="F6571" t="s">
        <v>4137</v>
      </c>
    </row>
    <row r="6572" spans="1:6">
      <c r="A6572" t="s">
        <v>10701</v>
      </c>
      <c r="B6572" t="s">
        <v>2430</v>
      </c>
      <c r="C6572" t="s">
        <v>91</v>
      </c>
      <c r="D6572" s="1">
        <v>45982</v>
      </c>
      <c r="E6572" t="s">
        <v>4124</v>
      </c>
      <c r="F6572" t="s">
        <v>4139</v>
      </c>
    </row>
    <row r="6573" spans="1:6">
      <c r="A6573" t="s">
        <v>10702</v>
      </c>
      <c r="B6573" t="s">
        <v>2430</v>
      </c>
      <c r="C6573" t="s">
        <v>91</v>
      </c>
      <c r="D6573" s="1">
        <v>45976</v>
      </c>
      <c r="E6573" t="s">
        <v>4135</v>
      </c>
      <c r="F6573" t="s">
        <v>4137</v>
      </c>
    </row>
    <row r="6574" spans="1:6">
      <c r="A6574" t="s">
        <v>10703</v>
      </c>
      <c r="B6574" t="s">
        <v>2430</v>
      </c>
      <c r="C6574" t="s">
        <v>91</v>
      </c>
      <c r="D6574" s="1">
        <v>45975</v>
      </c>
      <c r="E6574" t="s">
        <v>4124</v>
      </c>
      <c r="F6574" t="s">
        <v>4125</v>
      </c>
    </row>
    <row r="6575" spans="1:6">
      <c r="A6575" t="s">
        <v>10704</v>
      </c>
      <c r="B6575" t="s">
        <v>2430</v>
      </c>
      <c r="C6575" t="s">
        <v>91</v>
      </c>
      <c r="D6575" s="1">
        <v>45998</v>
      </c>
      <c r="E6575" t="s">
        <v>4129</v>
      </c>
      <c r="F6575" t="s">
        <v>4137</v>
      </c>
    </row>
    <row r="6576" spans="1:6">
      <c r="A6576" t="s">
        <v>10705</v>
      </c>
      <c r="B6576" t="s">
        <v>2430</v>
      </c>
      <c r="C6576" t="s">
        <v>91</v>
      </c>
      <c r="D6576" s="1">
        <v>45969</v>
      </c>
      <c r="E6576" t="s">
        <v>4135</v>
      </c>
      <c r="F6576" t="s">
        <v>4125</v>
      </c>
    </row>
    <row r="6577" spans="1:6">
      <c r="A6577" t="s">
        <v>10706</v>
      </c>
      <c r="B6577" t="s">
        <v>2431</v>
      </c>
      <c r="C6577" t="s">
        <v>63</v>
      </c>
      <c r="D6577" s="1">
        <v>45724</v>
      </c>
      <c r="E6577" t="s">
        <v>4124</v>
      </c>
      <c r="F6577" t="s">
        <v>4125</v>
      </c>
    </row>
    <row r="6578" spans="1:6">
      <c r="A6578" t="s">
        <v>10707</v>
      </c>
      <c r="B6578" t="s">
        <v>2431</v>
      </c>
      <c r="C6578" t="s">
        <v>63</v>
      </c>
      <c r="D6578" s="1">
        <v>45725</v>
      </c>
      <c r="E6578" t="s">
        <v>4135</v>
      </c>
      <c r="F6578" t="s">
        <v>4139</v>
      </c>
    </row>
    <row r="6579" spans="1:6">
      <c r="A6579" t="s">
        <v>10708</v>
      </c>
      <c r="B6579" t="s">
        <v>2431</v>
      </c>
      <c r="C6579" t="s">
        <v>63</v>
      </c>
      <c r="D6579" s="1">
        <v>45717</v>
      </c>
      <c r="E6579" t="s">
        <v>4135</v>
      </c>
      <c r="F6579" t="s">
        <v>4137</v>
      </c>
    </row>
    <row r="6580" spans="1:6">
      <c r="A6580" t="s">
        <v>10709</v>
      </c>
      <c r="B6580" t="s">
        <v>2431</v>
      </c>
      <c r="C6580" t="s">
        <v>63</v>
      </c>
      <c r="D6580" s="1">
        <v>45725</v>
      </c>
      <c r="E6580" t="s">
        <v>4129</v>
      </c>
      <c r="F6580" t="s">
        <v>4137</v>
      </c>
    </row>
    <row r="6581" spans="1:6">
      <c r="A6581" t="s">
        <v>10710</v>
      </c>
      <c r="B6581" t="s">
        <v>2432</v>
      </c>
      <c r="C6581" t="s">
        <v>75</v>
      </c>
      <c r="D6581" s="1">
        <v>45762</v>
      </c>
      <c r="E6581" t="s">
        <v>4129</v>
      </c>
      <c r="F6581" t="s">
        <v>4137</v>
      </c>
    </row>
    <row r="6582" spans="1:6">
      <c r="A6582" t="s">
        <v>10711</v>
      </c>
      <c r="B6582" t="s">
        <v>2432</v>
      </c>
      <c r="C6582" t="s">
        <v>75</v>
      </c>
      <c r="D6582" s="1">
        <v>45714</v>
      </c>
      <c r="E6582" t="s">
        <v>4135</v>
      </c>
      <c r="F6582" t="s">
        <v>4139</v>
      </c>
    </row>
    <row r="6583" spans="1:6">
      <c r="A6583" t="s">
        <v>10712</v>
      </c>
      <c r="B6583" t="s">
        <v>2433</v>
      </c>
      <c r="C6583" t="s">
        <v>91</v>
      </c>
      <c r="D6583" s="1">
        <v>45958</v>
      </c>
      <c r="E6583" t="s">
        <v>4124</v>
      </c>
      <c r="F6583" t="s">
        <v>4137</v>
      </c>
    </row>
    <row r="6584" spans="1:6">
      <c r="A6584" t="s">
        <v>10713</v>
      </c>
      <c r="B6584" t="s">
        <v>2433</v>
      </c>
      <c r="C6584" t="s">
        <v>91</v>
      </c>
      <c r="D6584" s="1">
        <v>45963</v>
      </c>
      <c r="E6584" t="s">
        <v>4127</v>
      </c>
      <c r="F6584" t="s">
        <v>4125</v>
      </c>
    </row>
    <row r="6585" spans="1:6">
      <c r="A6585" t="s">
        <v>10714</v>
      </c>
      <c r="B6585" t="s">
        <v>2434</v>
      </c>
      <c r="C6585" t="s">
        <v>46</v>
      </c>
      <c r="D6585" s="1">
        <v>45683</v>
      </c>
      <c r="E6585" t="s">
        <v>4129</v>
      </c>
      <c r="F6585" t="s">
        <v>4139</v>
      </c>
    </row>
    <row r="6586" spans="1:6">
      <c r="A6586" t="s">
        <v>10715</v>
      </c>
      <c r="B6586" t="s">
        <v>2434</v>
      </c>
      <c r="C6586" t="s">
        <v>46</v>
      </c>
      <c r="D6586" s="1">
        <v>45737</v>
      </c>
      <c r="E6586" t="s">
        <v>4133</v>
      </c>
      <c r="F6586" t="s">
        <v>4139</v>
      </c>
    </row>
    <row r="6587" spans="1:6">
      <c r="A6587" t="s">
        <v>10716</v>
      </c>
      <c r="B6587" t="s">
        <v>2434</v>
      </c>
      <c r="C6587" t="s">
        <v>46</v>
      </c>
      <c r="D6587" s="1">
        <v>45746</v>
      </c>
      <c r="E6587" t="s">
        <v>4127</v>
      </c>
      <c r="F6587" t="s">
        <v>4137</v>
      </c>
    </row>
    <row r="6588" spans="1:6">
      <c r="A6588" t="s">
        <v>10717</v>
      </c>
      <c r="B6588" t="s">
        <v>2434</v>
      </c>
      <c r="C6588" t="s">
        <v>46</v>
      </c>
      <c r="D6588" s="1">
        <v>45688</v>
      </c>
      <c r="E6588" t="s">
        <v>4124</v>
      </c>
      <c r="F6588" t="s">
        <v>4125</v>
      </c>
    </row>
    <row r="6589" spans="1:6">
      <c r="A6589" t="s">
        <v>10718</v>
      </c>
      <c r="B6589" t="s">
        <v>2435</v>
      </c>
      <c r="C6589" t="s">
        <v>63</v>
      </c>
      <c r="D6589" s="1">
        <v>45886</v>
      </c>
      <c r="E6589" t="s">
        <v>4135</v>
      </c>
      <c r="F6589" t="s">
        <v>4125</v>
      </c>
    </row>
    <row r="6590" spans="1:6">
      <c r="A6590" t="s">
        <v>10719</v>
      </c>
      <c r="B6590" t="s">
        <v>2435</v>
      </c>
      <c r="C6590" t="s">
        <v>63</v>
      </c>
      <c r="D6590" s="1">
        <v>45894</v>
      </c>
      <c r="E6590" t="s">
        <v>4133</v>
      </c>
      <c r="F6590" t="s">
        <v>4137</v>
      </c>
    </row>
    <row r="6591" spans="1:6">
      <c r="A6591" t="s">
        <v>10720</v>
      </c>
      <c r="B6591" t="s">
        <v>2435</v>
      </c>
      <c r="C6591" t="s">
        <v>63</v>
      </c>
      <c r="D6591" s="1">
        <v>45898</v>
      </c>
      <c r="E6591" t="s">
        <v>4127</v>
      </c>
      <c r="F6591" t="s">
        <v>4125</v>
      </c>
    </row>
    <row r="6592" spans="1:6">
      <c r="A6592" t="s">
        <v>10721</v>
      </c>
      <c r="B6592" t="s">
        <v>2435</v>
      </c>
      <c r="C6592" t="s">
        <v>63</v>
      </c>
      <c r="D6592" s="1">
        <v>45917</v>
      </c>
      <c r="E6592" t="s">
        <v>4127</v>
      </c>
      <c r="F6592" t="s">
        <v>4139</v>
      </c>
    </row>
    <row r="6593" spans="1:6">
      <c r="A6593" t="s">
        <v>10722</v>
      </c>
      <c r="B6593" t="s">
        <v>2435</v>
      </c>
      <c r="C6593" t="s">
        <v>63</v>
      </c>
      <c r="D6593" s="1">
        <v>45899</v>
      </c>
      <c r="E6593" t="s">
        <v>4127</v>
      </c>
      <c r="F6593" t="s">
        <v>4137</v>
      </c>
    </row>
    <row r="6594" spans="1:6">
      <c r="A6594" t="s">
        <v>10723</v>
      </c>
      <c r="B6594" t="s">
        <v>2436</v>
      </c>
      <c r="C6594" t="s">
        <v>53</v>
      </c>
      <c r="D6594" s="1">
        <v>45868</v>
      </c>
      <c r="E6594" t="s">
        <v>4127</v>
      </c>
      <c r="F6594" t="s">
        <v>4139</v>
      </c>
    </row>
    <row r="6595" spans="1:6">
      <c r="A6595" t="s">
        <v>10724</v>
      </c>
      <c r="B6595" t="s">
        <v>2436</v>
      </c>
      <c r="C6595" t="s">
        <v>53</v>
      </c>
      <c r="D6595" s="1">
        <v>45871</v>
      </c>
      <c r="E6595" t="s">
        <v>4133</v>
      </c>
      <c r="F6595" t="s">
        <v>4139</v>
      </c>
    </row>
    <row r="6596" spans="1:6">
      <c r="A6596" t="s">
        <v>10725</v>
      </c>
      <c r="B6596" t="s">
        <v>2437</v>
      </c>
      <c r="C6596" t="s">
        <v>40</v>
      </c>
      <c r="D6596" s="1">
        <v>45910</v>
      </c>
      <c r="E6596" t="s">
        <v>4127</v>
      </c>
      <c r="F6596" t="s">
        <v>4137</v>
      </c>
    </row>
    <row r="6597" spans="1:6">
      <c r="A6597" t="s">
        <v>10726</v>
      </c>
      <c r="B6597" t="s">
        <v>2437</v>
      </c>
      <c r="C6597" t="s">
        <v>40</v>
      </c>
      <c r="D6597" s="1">
        <v>45915</v>
      </c>
      <c r="E6597" t="s">
        <v>4124</v>
      </c>
      <c r="F6597" t="s">
        <v>4139</v>
      </c>
    </row>
    <row r="6598" spans="1:6">
      <c r="A6598" t="s">
        <v>10727</v>
      </c>
      <c r="B6598" t="s">
        <v>2437</v>
      </c>
      <c r="C6598" t="s">
        <v>40</v>
      </c>
      <c r="D6598" s="1">
        <v>45912</v>
      </c>
      <c r="E6598" t="s">
        <v>4133</v>
      </c>
      <c r="F6598" t="s">
        <v>4137</v>
      </c>
    </row>
    <row r="6599" spans="1:6">
      <c r="A6599" t="s">
        <v>10728</v>
      </c>
      <c r="B6599" t="s">
        <v>2438</v>
      </c>
      <c r="C6599" t="s">
        <v>63</v>
      </c>
      <c r="D6599" s="1">
        <v>45996</v>
      </c>
      <c r="E6599" t="s">
        <v>4124</v>
      </c>
      <c r="F6599" t="s">
        <v>4137</v>
      </c>
    </row>
    <row r="6600" spans="1:6">
      <c r="A6600" t="s">
        <v>10729</v>
      </c>
      <c r="B6600" t="s">
        <v>2438</v>
      </c>
      <c r="C6600" t="s">
        <v>63</v>
      </c>
      <c r="D6600" s="1">
        <v>46012</v>
      </c>
      <c r="E6600" t="s">
        <v>4124</v>
      </c>
      <c r="F6600" t="s">
        <v>4137</v>
      </c>
    </row>
    <row r="6601" spans="1:6">
      <c r="A6601" t="s">
        <v>10730</v>
      </c>
      <c r="B6601" t="s">
        <v>2438</v>
      </c>
      <c r="C6601" t="s">
        <v>63</v>
      </c>
      <c r="D6601" s="1">
        <v>46020</v>
      </c>
      <c r="E6601" t="s">
        <v>4133</v>
      </c>
      <c r="F6601" t="s">
        <v>4139</v>
      </c>
    </row>
    <row r="6602" spans="1:6">
      <c r="A6602" t="s">
        <v>10731</v>
      </c>
      <c r="B6602" t="s">
        <v>2438</v>
      </c>
      <c r="C6602" t="s">
        <v>63</v>
      </c>
      <c r="D6602" s="1">
        <v>45997</v>
      </c>
      <c r="E6602" t="s">
        <v>4124</v>
      </c>
      <c r="F6602" t="s">
        <v>4137</v>
      </c>
    </row>
    <row r="6603" spans="1:6">
      <c r="A6603" t="s">
        <v>10732</v>
      </c>
      <c r="B6603" t="s">
        <v>2438</v>
      </c>
      <c r="C6603" t="s">
        <v>63</v>
      </c>
      <c r="D6603" s="1">
        <v>46007</v>
      </c>
      <c r="E6603" t="s">
        <v>4133</v>
      </c>
      <c r="F6603" t="s">
        <v>4139</v>
      </c>
    </row>
    <row r="6604" spans="1:6">
      <c r="A6604" t="s">
        <v>10733</v>
      </c>
      <c r="B6604" t="s">
        <v>2439</v>
      </c>
      <c r="C6604" t="s">
        <v>63</v>
      </c>
      <c r="D6604" s="1">
        <v>45937</v>
      </c>
      <c r="E6604" t="s">
        <v>4127</v>
      </c>
      <c r="F6604" t="s">
        <v>4125</v>
      </c>
    </row>
    <row r="6605" spans="1:6">
      <c r="A6605" t="s">
        <v>10734</v>
      </c>
      <c r="B6605" t="s">
        <v>2439</v>
      </c>
      <c r="C6605" t="s">
        <v>63</v>
      </c>
      <c r="D6605" s="1">
        <v>45992</v>
      </c>
      <c r="E6605" t="s">
        <v>4135</v>
      </c>
      <c r="F6605" t="s">
        <v>4139</v>
      </c>
    </row>
    <row r="6606" spans="1:6">
      <c r="A6606" t="s">
        <v>10735</v>
      </c>
      <c r="B6606" t="s">
        <v>2439</v>
      </c>
      <c r="C6606" t="s">
        <v>63</v>
      </c>
      <c r="D6606" s="1">
        <v>45967</v>
      </c>
      <c r="E6606" t="s">
        <v>4127</v>
      </c>
      <c r="F6606" t="s">
        <v>4139</v>
      </c>
    </row>
    <row r="6607" spans="1:6">
      <c r="A6607" t="s">
        <v>10736</v>
      </c>
      <c r="B6607" t="s">
        <v>2440</v>
      </c>
      <c r="C6607" t="s">
        <v>40</v>
      </c>
      <c r="D6607" s="1">
        <v>45839</v>
      </c>
      <c r="E6607" t="s">
        <v>4129</v>
      </c>
      <c r="F6607" t="s">
        <v>4125</v>
      </c>
    </row>
    <row r="6608" spans="1:6">
      <c r="A6608" t="s">
        <v>10737</v>
      </c>
      <c r="B6608" t="s">
        <v>2440</v>
      </c>
      <c r="C6608" t="s">
        <v>40</v>
      </c>
      <c r="D6608" s="1">
        <v>45889</v>
      </c>
      <c r="E6608" t="s">
        <v>4133</v>
      </c>
      <c r="F6608" t="s">
        <v>4137</v>
      </c>
    </row>
    <row r="6609" spans="1:6">
      <c r="A6609" t="s">
        <v>10738</v>
      </c>
      <c r="B6609" t="s">
        <v>2440</v>
      </c>
      <c r="C6609" t="s">
        <v>40</v>
      </c>
      <c r="D6609" s="1">
        <v>45869</v>
      </c>
      <c r="E6609" t="s">
        <v>4124</v>
      </c>
      <c r="F6609" t="s">
        <v>4137</v>
      </c>
    </row>
    <row r="6610" spans="1:6">
      <c r="A6610" t="s">
        <v>10739</v>
      </c>
      <c r="B6610" t="s">
        <v>2440</v>
      </c>
      <c r="C6610" t="s">
        <v>40</v>
      </c>
      <c r="D6610" s="1">
        <v>45878</v>
      </c>
      <c r="E6610" t="s">
        <v>4133</v>
      </c>
      <c r="F6610" t="s">
        <v>4139</v>
      </c>
    </row>
    <row r="6611" spans="1:6">
      <c r="A6611" t="s">
        <v>10740</v>
      </c>
      <c r="B6611" t="s">
        <v>2441</v>
      </c>
      <c r="C6611" t="s">
        <v>53</v>
      </c>
      <c r="D6611" s="1">
        <v>45870</v>
      </c>
      <c r="E6611" t="s">
        <v>4127</v>
      </c>
      <c r="F6611" t="s">
        <v>4139</v>
      </c>
    </row>
    <row r="6612" spans="1:6">
      <c r="A6612" t="s">
        <v>10741</v>
      </c>
      <c r="B6612" t="s">
        <v>2441</v>
      </c>
      <c r="C6612" t="s">
        <v>53</v>
      </c>
      <c r="D6612" s="1">
        <v>45878</v>
      </c>
      <c r="E6612" t="s">
        <v>4124</v>
      </c>
      <c r="F6612" t="s">
        <v>4125</v>
      </c>
    </row>
    <row r="6613" spans="1:6">
      <c r="A6613" t="s">
        <v>10742</v>
      </c>
      <c r="B6613" t="s">
        <v>2442</v>
      </c>
      <c r="C6613" t="s">
        <v>16</v>
      </c>
      <c r="D6613" s="1">
        <v>45810</v>
      </c>
      <c r="E6613" t="s">
        <v>4129</v>
      </c>
      <c r="F6613" t="s">
        <v>4137</v>
      </c>
    </row>
    <row r="6614" spans="1:6">
      <c r="A6614" t="s">
        <v>10743</v>
      </c>
      <c r="B6614" t="s">
        <v>2442</v>
      </c>
      <c r="C6614" t="s">
        <v>16</v>
      </c>
      <c r="D6614" s="1">
        <v>45832</v>
      </c>
      <c r="E6614" t="s">
        <v>4133</v>
      </c>
      <c r="F6614" t="s">
        <v>4137</v>
      </c>
    </row>
    <row r="6615" spans="1:6">
      <c r="A6615" t="s">
        <v>10744</v>
      </c>
      <c r="B6615" t="s">
        <v>2442</v>
      </c>
      <c r="C6615" t="s">
        <v>16</v>
      </c>
      <c r="D6615" s="1">
        <v>45829</v>
      </c>
      <c r="E6615" t="s">
        <v>4129</v>
      </c>
      <c r="F6615" t="s">
        <v>4137</v>
      </c>
    </row>
    <row r="6616" spans="1:6">
      <c r="A6616" t="s">
        <v>10745</v>
      </c>
      <c r="B6616" t="s">
        <v>2442</v>
      </c>
      <c r="C6616" t="s">
        <v>16</v>
      </c>
      <c r="D6616" s="1">
        <v>45853</v>
      </c>
      <c r="E6616" t="s">
        <v>4124</v>
      </c>
      <c r="F6616" t="s">
        <v>4139</v>
      </c>
    </row>
    <row r="6617" spans="1:6">
      <c r="A6617" t="s">
        <v>10746</v>
      </c>
      <c r="B6617" t="s">
        <v>2442</v>
      </c>
      <c r="C6617" t="s">
        <v>16</v>
      </c>
      <c r="D6617" s="1">
        <v>45817</v>
      </c>
      <c r="E6617" t="s">
        <v>4133</v>
      </c>
      <c r="F6617" t="s">
        <v>4125</v>
      </c>
    </row>
    <row r="6618" spans="1:6">
      <c r="A6618" t="s">
        <v>10747</v>
      </c>
      <c r="B6618" t="s">
        <v>2443</v>
      </c>
      <c r="C6618" t="s">
        <v>53</v>
      </c>
      <c r="D6618" s="1">
        <v>45884</v>
      </c>
      <c r="E6618" t="s">
        <v>4127</v>
      </c>
      <c r="F6618" t="s">
        <v>4125</v>
      </c>
    </row>
    <row r="6619" spans="1:6">
      <c r="A6619" t="s">
        <v>10748</v>
      </c>
      <c r="B6619" t="s">
        <v>2443</v>
      </c>
      <c r="C6619" t="s">
        <v>53</v>
      </c>
      <c r="D6619" s="1">
        <v>45882</v>
      </c>
      <c r="E6619" t="s">
        <v>4135</v>
      </c>
      <c r="F6619" t="s">
        <v>4125</v>
      </c>
    </row>
    <row r="6620" spans="1:6">
      <c r="A6620" t="s">
        <v>10749</v>
      </c>
      <c r="B6620" t="s">
        <v>2443</v>
      </c>
      <c r="C6620" t="s">
        <v>53</v>
      </c>
      <c r="D6620" s="1">
        <v>45879</v>
      </c>
      <c r="E6620" t="s">
        <v>4127</v>
      </c>
      <c r="F6620" t="s">
        <v>4137</v>
      </c>
    </row>
    <row r="6621" spans="1:6">
      <c r="A6621" t="s">
        <v>10750</v>
      </c>
      <c r="B6621" t="s">
        <v>2443</v>
      </c>
      <c r="C6621" t="s">
        <v>53</v>
      </c>
      <c r="D6621" s="1">
        <v>45843</v>
      </c>
      <c r="E6621" t="s">
        <v>4124</v>
      </c>
      <c r="F6621" t="s">
        <v>4125</v>
      </c>
    </row>
    <row r="6622" spans="1:6">
      <c r="A6622" t="s">
        <v>10751</v>
      </c>
      <c r="B6622" t="s">
        <v>2444</v>
      </c>
      <c r="C6622" t="s">
        <v>36</v>
      </c>
      <c r="D6622" s="1">
        <v>45895</v>
      </c>
      <c r="E6622" t="s">
        <v>4133</v>
      </c>
      <c r="F6622" t="s">
        <v>4137</v>
      </c>
    </row>
    <row r="6623" spans="1:6">
      <c r="A6623" t="s">
        <v>10752</v>
      </c>
      <c r="B6623" t="s">
        <v>2444</v>
      </c>
      <c r="C6623" t="s">
        <v>36</v>
      </c>
      <c r="D6623" s="1">
        <v>45908</v>
      </c>
      <c r="E6623" t="s">
        <v>4133</v>
      </c>
      <c r="F6623" t="s">
        <v>4137</v>
      </c>
    </row>
    <row r="6624" spans="1:6">
      <c r="A6624" t="s">
        <v>10753</v>
      </c>
      <c r="B6624" t="s">
        <v>2445</v>
      </c>
      <c r="C6624" t="s">
        <v>91</v>
      </c>
      <c r="D6624" s="1">
        <v>45914</v>
      </c>
      <c r="E6624" t="s">
        <v>4124</v>
      </c>
      <c r="F6624" t="s">
        <v>4137</v>
      </c>
    </row>
    <row r="6625" spans="1:6">
      <c r="A6625" t="s">
        <v>10754</v>
      </c>
      <c r="B6625" t="s">
        <v>2445</v>
      </c>
      <c r="C6625" t="s">
        <v>91</v>
      </c>
      <c r="D6625" s="1">
        <v>45926</v>
      </c>
      <c r="E6625" t="s">
        <v>4129</v>
      </c>
      <c r="F6625" t="s">
        <v>4125</v>
      </c>
    </row>
    <row r="6626" spans="1:6">
      <c r="A6626" t="s">
        <v>10755</v>
      </c>
      <c r="B6626" t="s">
        <v>2445</v>
      </c>
      <c r="C6626" t="s">
        <v>91</v>
      </c>
      <c r="D6626" s="1">
        <v>45911</v>
      </c>
      <c r="E6626" t="s">
        <v>4127</v>
      </c>
      <c r="F6626" t="s">
        <v>4139</v>
      </c>
    </row>
    <row r="6627" spans="1:6">
      <c r="A6627" t="s">
        <v>10756</v>
      </c>
      <c r="B6627" t="s">
        <v>2445</v>
      </c>
      <c r="C6627" t="s">
        <v>91</v>
      </c>
      <c r="D6627" s="1">
        <v>45911</v>
      </c>
      <c r="E6627" t="s">
        <v>4127</v>
      </c>
      <c r="F6627" t="s">
        <v>4125</v>
      </c>
    </row>
    <row r="6628" spans="1:6">
      <c r="A6628" t="s">
        <v>10757</v>
      </c>
      <c r="B6628" t="s">
        <v>2445</v>
      </c>
      <c r="C6628" t="s">
        <v>91</v>
      </c>
      <c r="D6628" s="1">
        <v>45924</v>
      </c>
      <c r="E6628" t="s">
        <v>4124</v>
      </c>
      <c r="F6628" t="s">
        <v>4137</v>
      </c>
    </row>
    <row r="6629" spans="1:6">
      <c r="A6629" t="s">
        <v>10758</v>
      </c>
      <c r="B6629" t="s">
        <v>2446</v>
      </c>
      <c r="C6629" t="s">
        <v>36</v>
      </c>
      <c r="D6629" s="1">
        <v>45815</v>
      </c>
      <c r="E6629" t="s">
        <v>4124</v>
      </c>
      <c r="F6629" t="s">
        <v>4139</v>
      </c>
    </row>
    <row r="6630" spans="1:6">
      <c r="A6630" t="s">
        <v>10759</v>
      </c>
      <c r="B6630" t="s">
        <v>2446</v>
      </c>
      <c r="C6630" t="s">
        <v>36</v>
      </c>
      <c r="D6630" s="1">
        <v>45811</v>
      </c>
      <c r="E6630" t="s">
        <v>4127</v>
      </c>
      <c r="F6630" t="s">
        <v>4125</v>
      </c>
    </row>
    <row r="6631" spans="1:6">
      <c r="A6631" t="s">
        <v>10760</v>
      </c>
      <c r="B6631" t="s">
        <v>2446</v>
      </c>
      <c r="C6631" t="s">
        <v>36</v>
      </c>
      <c r="D6631" s="1">
        <v>45806</v>
      </c>
      <c r="E6631" t="s">
        <v>4124</v>
      </c>
      <c r="F6631" t="s">
        <v>4137</v>
      </c>
    </row>
    <row r="6632" spans="1:6">
      <c r="A6632" t="s">
        <v>10761</v>
      </c>
      <c r="B6632" t="s">
        <v>2446</v>
      </c>
      <c r="C6632" t="s">
        <v>36</v>
      </c>
      <c r="D6632" s="1">
        <v>45791</v>
      </c>
      <c r="E6632" t="s">
        <v>4133</v>
      </c>
      <c r="F6632" t="s">
        <v>4139</v>
      </c>
    </row>
    <row r="6633" spans="1:6">
      <c r="A6633" t="s">
        <v>10762</v>
      </c>
      <c r="B6633" t="s">
        <v>2447</v>
      </c>
      <c r="C6633" t="s">
        <v>59</v>
      </c>
      <c r="D6633" s="1">
        <v>45899</v>
      </c>
      <c r="E6633" t="s">
        <v>4127</v>
      </c>
      <c r="F6633" t="s">
        <v>4125</v>
      </c>
    </row>
    <row r="6634" spans="1:6">
      <c r="A6634" t="s">
        <v>10763</v>
      </c>
      <c r="B6634" t="s">
        <v>2447</v>
      </c>
      <c r="C6634" t="s">
        <v>59</v>
      </c>
      <c r="D6634" s="1">
        <v>45914</v>
      </c>
      <c r="E6634" t="s">
        <v>4135</v>
      </c>
      <c r="F6634" t="s">
        <v>4139</v>
      </c>
    </row>
    <row r="6635" spans="1:6">
      <c r="A6635" t="s">
        <v>10764</v>
      </c>
      <c r="B6635" t="s">
        <v>2447</v>
      </c>
      <c r="C6635" t="s">
        <v>59</v>
      </c>
      <c r="D6635" s="1">
        <v>45925</v>
      </c>
      <c r="E6635" t="s">
        <v>4135</v>
      </c>
      <c r="F6635" t="s">
        <v>4139</v>
      </c>
    </row>
    <row r="6636" spans="1:6">
      <c r="A6636" t="s">
        <v>10765</v>
      </c>
      <c r="B6636" t="s">
        <v>2447</v>
      </c>
      <c r="C6636" t="s">
        <v>59</v>
      </c>
      <c r="D6636" s="1">
        <v>45915</v>
      </c>
      <c r="E6636" t="s">
        <v>4124</v>
      </c>
      <c r="F6636" t="s">
        <v>4125</v>
      </c>
    </row>
    <row r="6637" spans="1:6">
      <c r="A6637" t="s">
        <v>10766</v>
      </c>
      <c r="B6637" t="s">
        <v>2447</v>
      </c>
      <c r="C6637" t="s">
        <v>59</v>
      </c>
      <c r="D6637" s="1">
        <v>45923</v>
      </c>
      <c r="E6637" t="s">
        <v>4129</v>
      </c>
      <c r="F6637" t="s">
        <v>4125</v>
      </c>
    </row>
    <row r="6638" spans="1:6">
      <c r="A6638" t="s">
        <v>10767</v>
      </c>
      <c r="B6638" t="s">
        <v>2448</v>
      </c>
      <c r="C6638" t="s">
        <v>91</v>
      </c>
      <c r="D6638" s="1">
        <v>45973</v>
      </c>
      <c r="E6638" t="s">
        <v>4133</v>
      </c>
      <c r="F6638" t="s">
        <v>4137</v>
      </c>
    </row>
    <row r="6639" spans="1:6">
      <c r="A6639" t="s">
        <v>10768</v>
      </c>
      <c r="B6639" t="s">
        <v>2448</v>
      </c>
      <c r="C6639" t="s">
        <v>91</v>
      </c>
      <c r="D6639" s="1">
        <v>45972</v>
      </c>
      <c r="E6639" t="s">
        <v>4129</v>
      </c>
      <c r="F6639" t="s">
        <v>4125</v>
      </c>
    </row>
    <row r="6640" spans="1:6">
      <c r="A6640" t="s">
        <v>10769</v>
      </c>
      <c r="B6640" t="s">
        <v>2448</v>
      </c>
      <c r="C6640" t="s">
        <v>91</v>
      </c>
      <c r="D6640" s="1">
        <v>45979</v>
      </c>
      <c r="E6640" t="s">
        <v>4129</v>
      </c>
      <c r="F6640" t="s">
        <v>4125</v>
      </c>
    </row>
    <row r="6641" spans="1:6">
      <c r="A6641" t="s">
        <v>10770</v>
      </c>
      <c r="B6641" t="s">
        <v>2449</v>
      </c>
      <c r="C6641" t="s">
        <v>16</v>
      </c>
      <c r="D6641" s="1">
        <v>45891</v>
      </c>
      <c r="E6641" t="s">
        <v>4129</v>
      </c>
      <c r="F6641" t="s">
        <v>4139</v>
      </c>
    </row>
    <row r="6642" spans="1:6">
      <c r="A6642" t="s">
        <v>10771</v>
      </c>
      <c r="B6642" t="s">
        <v>2449</v>
      </c>
      <c r="C6642" t="s">
        <v>16</v>
      </c>
      <c r="D6642" s="1">
        <v>45867</v>
      </c>
      <c r="E6642" t="s">
        <v>4135</v>
      </c>
      <c r="F6642" t="s">
        <v>4139</v>
      </c>
    </row>
    <row r="6643" spans="1:6">
      <c r="A6643" t="s">
        <v>10772</v>
      </c>
      <c r="B6643" t="s">
        <v>2449</v>
      </c>
      <c r="C6643" t="s">
        <v>16</v>
      </c>
      <c r="D6643" s="1">
        <v>45866</v>
      </c>
      <c r="E6643" t="s">
        <v>4129</v>
      </c>
      <c r="F6643" t="s">
        <v>4137</v>
      </c>
    </row>
    <row r="6644" spans="1:6">
      <c r="A6644" t="s">
        <v>10773</v>
      </c>
      <c r="B6644" t="s">
        <v>2449</v>
      </c>
      <c r="C6644" t="s">
        <v>16</v>
      </c>
      <c r="D6644" s="1">
        <v>45888</v>
      </c>
      <c r="E6644" t="s">
        <v>4127</v>
      </c>
      <c r="F6644" t="s">
        <v>4139</v>
      </c>
    </row>
    <row r="6645" spans="1:6">
      <c r="A6645" t="s">
        <v>10774</v>
      </c>
      <c r="B6645" t="s">
        <v>2450</v>
      </c>
      <c r="C6645" t="s">
        <v>27</v>
      </c>
      <c r="D6645" s="1">
        <v>45822</v>
      </c>
      <c r="E6645" t="s">
        <v>4127</v>
      </c>
      <c r="F6645" t="s">
        <v>4125</v>
      </c>
    </row>
    <row r="6646" spans="1:6">
      <c r="A6646" t="s">
        <v>10775</v>
      </c>
      <c r="B6646" t="s">
        <v>2450</v>
      </c>
      <c r="C6646" t="s">
        <v>27</v>
      </c>
      <c r="D6646" s="1">
        <v>45798</v>
      </c>
      <c r="E6646" t="s">
        <v>4124</v>
      </c>
      <c r="F6646" t="s">
        <v>4139</v>
      </c>
    </row>
    <row r="6647" spans="1:6">
      <c r="A6647" t="s">
        <v>10776</v>
      </c>
      <c r="B6647" t="s">
        <v>2450</v>
      </c>
      <c r="C6647" t="s">
        <v>27</v>
      </c>
      <c r="D6647" s="1">
        <v>45794</v>
      </c>
      <c r="E6647" t="s">
        <v>4135</v>
      </c>
      <c r="F6647" t="s">
        <v>4137</v>
      </c>
    </row>
    <row r="6648" spans="1:6">
      <c r="A6648" t="s">
        <v>10777</v>
      </c>
      <c r="B6648" t="s">
        <v>2451</v>
      </c>
      <c r="C6648" t="s">
        <v>91</v>
      </c>
      <c r="D6648" s="1">
        <v>45785</v>
      </c>
      <c r="E6648" t="s">
        <v>4127</v>
      </c>
      <c r="F6648" t="s">
        <v>4139</v>
      </c>
    </row>
    <row r="6649" spans="1:6">
      <c r="A6649" t="s">
        <v>10778</v>
      </c>
      <c r="B6649" t="s">
        <v>2451</v>
      </c>
      <c r="C6649" t="s">
        <v>91</v>
      </c>
      <c r="D6649" s="1">
        <v>45771</v>
      </c>
      <c r="E6649" t="s">
        <v>4135</v>
      </c>
      <c r="F6649" t="s">
        <v>4137</v>
      </c>
    </row>
    <row r="6650" spans="1:6">
      <c r="A6650" t="s">
        <v>10779</v>
      </c>
      <c r="B6650" t="s">
        <v>2452</v>
      </c>
      <c r="C6650" t="s">
        <v>126</v>
      </c>
      <c r="D6650" s="1">
        <v>45800</v>
      </c>
      <c r="E6650" t="s">
        <v>4133</v>
      </c>
      <c r="F6650" t="s">
        <v>4125</v>
      </c>
    </row>
    <row r="6651" spans="1:6">
      <c r="A6651" t="s">
        <v>10780</v>
      </c>
      <c r="B6651" t="s">
        <v>2452</v>
      </c>
      <c r="C6651" t="s">
        <v>126</v>
      </c>
      <c r="D6651" s="1">
        <v>45771</v>
      </c>
      <c r="E6651" t="s">
        <v>4133</v>
      </c>
      <c r="F6651" t="s">
        <v>4137</v>
      </c>
    </row>
    <row r="6652" spans="1:6">
      <c r="A6652" t="s">
        <v>10781</v>
      </c>
      <c r="B6652" t="s">
        <v>2453</v>
      </c>
      <c r="C6652" t="s">
        <v>53</v>
      </c>
      <c r="D6652" s="1">
        <v>45806</v>
      </c>
      <c r="E6652" t="s">
        <v>4133</v>
      </c>
      <c r="F6652" t="s">
        <v>4125</v>
      </c>
    </row>
    <row r="6653" spans="1:6">
      <c r="A6653" t="s">
        <v>10782</v>
      </c>
      <c r="B6653" t="s">
        <v>2453</v>
      </c>
      <c r="C6653" t="s">
        <v>53</v>
      </c>
      <c r="D6653" s="1">
        <v>45823</v>
      </c>
      <c r="E6653" t="s">
        <v>4127</v>
      </c>
      <c r="F6653" t="s">
        <v>4139</v>
      </c>
    </row>
    <row r="6654" spans="1:6">
      <c r="A6654" t="s">
        <v>10783</v>
      </c>
      <c r="B6654" t="s">
        <v>2453</v>
      </c>
      <c r="C6654" t="s">
        <v>53</v>
      </c>
      <c r="D6654" s="1">
        <v>45838</v>
      </c>
      <c r="E6654" t="s">
        <v>4124</v>
      </c>
      <c r="F6654" t="s">
        <v>4125</v>
      </c>
    </row>
    <row r="6655" spans="1:6">
      <c r="A6655" t="s">
        <v>10784</v>
      </c>
      <c r="B6655" t="s">
        <v>2454</v>
      </c>
      <c r="C6655" t="s">
        <v>152</v>
      </c>
      <c r="D6655" s="1">
        <v>45763</v>
      </c>
      <c r="E6655" t="s">
        <v>4127</v>
      </c>
      <c r="F6655" t="s">
        <v>4125</v>
      </c>
    </row>
    <row r="6656" spans="1:6">
      <c r="A6656" t="s">
        <v>10785</v>
      </c>
      <c r="B6656" t="s">
        <v>2454</v>
      </c>
      <c r="C6656" t="s">
        <v>152</v>
      </c>
      <c r="D6656" s="1">
        <v>45784</v>
      </c>
      <c r="E6656" t="s">
        <v>4129</v>
      </c>
      <c r="F6656" t="s">
        <v>4125</v>
      </c>
    </row>
    <row r="6657" spans="1:6">
      <c r="A6657" t="s">
        <v>10786</v>
      </c>
      <c r="B6657" t="s">
        <v>2454</v>
      </c>
      <c r="C6657" t="s">
        <v>152</v>
      </c>
      <c r="D6657" s="1">
        <v>45782</v>
      </c>
      <c r="E6657" t="s">
        <v>4129</v>
      </c>
      <c r="F6657" t="s">
        <v>4137</v>
      </c>
    </row>
    <row r="6658" spans="1:6">
      <c r="A6658" t="s">
        <v>10787</v>
      </c>
      <c r="B6658" t="s">
        <v>2454</v>
      </c>
      <c r="C6658" t="s">
        <v>152</v>
      </c>
      <c r="D6658" s="1">
        <v>45768</v>
      </c>
      <c r="E6658" t="s">
        <v>4135</v>
      </c>
      <c r="F6658" t="s">
        <v>4137</v>
      </c>
    </row>
    <row r="6659" spans="1:6">
      <c r="A6659" t="s">
        <v>10788</v>
      </c>
      <c r="B6659" t="s">
        <v>2454</v>
      </c>
      <c r="C6659" t="s">
        <v>152</v>
      </c>
      <c r="D6659" s="1">
        <v>45782</v>
      </c>
      <c r="E6659" t="s">
        <v>4133</v>
      </c>
      <c r="F6659" t="s">
        <v>4125</v>
      </c>
    </row>
    <row r="6660" spans="1:6">
      <c r="A6660" t="s">
        <v>10789</v>
      </c>
      <c r="B6660" t="s">
        <v>2455</v>
      </c>
      <c r="C6660" t="s">
        <v>91</v>
      </c>
      <c r="D6660" s="1">
        <v>45811</v>
      </c>
      <c r="E6660" t="s">
        <v>4129</v>
      </c>
      <c r="F6660" t="s">
        <v>4137</v>
      </c>
    </row>
    <row r="6661" spans="1:6">
      <c r="A6661" t="s">
        <v>10790</v>
      </c>
      <c r="B6661" t="s">
        <v>2455</v>
      </c>
      <c r="C6661" t="s">
        <v>91</v>
      </c>
      <c r="D6661" s="1">
        <v>45768</v>
      </c>
      <c r="E6661" t="s">
        <v>4129</v>
      </c>
      <c r="F6661" t="s">
        <v>4139</v>
      </c>
    </row>
    <row r="6662" spans="1:6">
      <c r="A6662" t="s">
        <v>10791</v>
      </c>
      <c r="B6662" t="s">
        <v>2455</v>
      </c>
      <c r="C6662" t="s">
        <v>91</v>
      </c>
      <c r="D6662" s="1">
        <v>45782</v>
      </c>
      <c r="E6662" t="s">
        <v>4129</v>
      </c>
      <c r="F6662" t="s">
        <v>4125</v>
      </c>
    </row>
    <row r="6663" spans="1:6">
      <c r="A6663" t="s">
        <v>10792</v>
      </c>
      <c r="B6663" t="s">
        <v>2456</v>
      </c>
      <c r="C6663" t="s">
        <v>91</v>
      </c>
      <c r="D6663" s="1">
        <v>45688</v>
      </c>
      <c r="E6663" t="s">
        <v>4127</v>
      </c>
      <c r="F6663" t="s">
        <v>4125</v>
      </c>
    </row>
    <row r="6664" spans="1:6">
      <c r="A6664" t="s">
        <v>10793</v>
      </c>
      <c r="B6664" t="s">
        <v>2456</v>
      </c>
      <c r="C6664" t="s">
        <v>91</v>
      </c>
      <c r="D6664" s="1">
        <v>45677</v>
      </c>
      <c r="E6664" t="s">
        <v>4135</v>
      </c>
      <c r="F6664" t="s">
        <v>4125</v>
      </c>
    </row>
    <row r="6665" spans="1:6">
      <c r="A6665" t="s">
        <v>10794</v>
      </c>
      <c r="B6665" t="s">
        <v>2456</v>
      </c>
      <c r="C6665" t="s">
        <v>91</v>
      </c>
      <c r="D6665" s="1">
        <v>45695</v>
      </c>
      <c r="E6665" t="s">
        <v>4135</v>
      </c>
      <c r="F6665" t="s">
        <v>4125</v>
      </c>
    </row>
    <row r="6666" spans="1:6">
      <c r="A6666" t="s">
        <v>10795</v>
      </c>
      <c r="B6666" t="s">
        <v>2456</v>
      </c>
      <c r="C6666" t="s">
        <v>91</v>
      </c>
      <c r="D6666" s="1">
        <v>45675</v>
      </c>
      <c r="E6666" t="s">
        <v>4127</v>
      </c>
      <c r="F6666" t="s">
        <v>4139</v>
      </c>
    </row>
    <row r="6667" spans="1:6">
      <c r="A6667" t="s">
        <v>10796</v>
      </c>
      <c r="B6667" t="s">
        <v>2457</v>
      </c>
      <c r="C6667" t="s">
        <v>40</v>
      </c>
      <c r="D6667" s="1">
        <v>45727</v>
      </c>
      <c r="E6667" t="s">
        <v>4127</v>
      </c>
      <c r="F6667" t="s">
        <v>4137</v>
      </c>
    </row>
    <row r="6668" spans="1:6">
      <c r="A6668" t="s">
        <v>10797</v>
      </c>
      <c r="B6668" t="s">
        <v>2457</v>
      </c>
      <c r="C6668" t="s">
        <v>40</v>
      </c>
      <c r="D6668" s="1">
        <v>45697</v>
      </c>
      <c r="E6668" t="s">
        <v>4127</v>
      </c>
      <c r="F6668" t="s">
        <v>4139</v>
      </c>
    </row>
    <row r="6669" spans="1:6">
      <c r="A6669" t="s">
        <v>10798</v>
      </c>
      <c r="B6669" t="s">
        <v>2457</v>
      </c>
      <c r="C6669" t="s">
        <v>40</v>
      </c>
      <c r="D6669" s="1">
        <v>45716</v>
      </c>
      <c r="E6669" t="s">
        <v>4124</v>
      </c>
      <c r="F6669" t="s">
        <v>4137</v>
      </c>
    </row>
    <row r="6670" spans="1:6">
      <c r="A6670" t="s">
        <v>10799</v>
      </c>
      <c r="B6670" t="s">
        <v>2458</v>
      </c>
      <c r="C6670" t="s">
        <v>152</v>
      </c>
      <c r="D6670" s="1">
        <v>45806</v>
      </c>
      <c r="E6670" t="s">
        <v>4127</v>
      </c>
      <c r="F6670" t="s">
        <v>4137</v>
      </c>
    </row>
    <row r="6671" spans="1:6">
      <c r="A6671" t="s">
        <v>10800</v>
      </c>
      <c r="B6671" t="s">
        <v>2458</v>
      </c>
      <c r="C6671" t="s">
        <v>152</v>
      </c>
      <c r="D6671" s="1">
        <v>45822</v>
      </c>
      <c r="E6671" t="s">
        <v>4133</v>
      </c>
      <c r="F6671" t="s">
        <v>4139</v>
      </c>
    </row>
    <row r="6672" spans="1:6">
      <c r="A6672" t="s">
        <v>10801</v>
      </c>
      <c r="B6672" t="s">
        <v>2458</v>
      </c>
      <c r="C6672" t="s">
        <v>152</v>
      </c>
      <c r="D6672" s="1">
        <v>45831</v>
      </c>
      <c r="E6672" t="s">
        <v>4133</v>
      </c>
      <c r="F6672" t="s">
        <v>4137</v>
      </c>
    </row>
    <row r="6673" spans="1:6">
      <c r="A6673" t="s">
        <v>10802</v>
      </c>
      <c r="B6673" t="s">
        <v>2459</v>
      </c>
      <c r="C6673" t="s">
        <v>56</v>
      </c>
      <c r="D6673" s="1">
        <v>45753</v>
      </c>
      <c r="E6673" t="s">
        <v>4124</v>
      </c>
      <c r="F6673" t="s">
        <v>4137</v>
      </c>
    </row>
    <row r="6674" spans="1:6">
      <c r="A6674" t="s">
        <v>10803</v>
      </c>
      <c r="B6674" t="s">
        <v>2459</v>
      </c>
      <c r="C6674" t="s">
        <v>56</v>
      </c>
      <c r="D6674" s="1">
        <v>45802</v>
      </c>
      <c r="E6674" t="s">
        <v>4135</v>
      </c>
      <c r="F6674" t="s">
        <v>4125</v>
      </c>
    </row>
    <row r="6675" spans="1:6">
      <c r="A6675" t="s">
        <v>10804</v>
      </c>
      <c r="B6675" t="s">
        <v>2459</v>
      </c>
      <c r="C6675" t="s">
        <v>56</v>
      </c>
      <c r="D6675" s="1">
        <v>45772</v>
      </c>
      <c r="E6675" t="s">
        <v>4127</v>
      </c>
      <c r="F6675" t="s">
        <v>4125</v>
      </c>
    </row>
    <row r="6676" spans="1:6">
      <c r="A6676" t="s">
        <v>10805</v>
      </c>
      <c r="B6676" t="s">
        <v>2459</v>
      </c>
      <c r="C6676" t="s">
        <v>56</v>
      </c>
      <c r="D6676" s="1">
        <v>45775</v>
      </c>
      <c r="E6676" t="s">
        <v>4133</v>
      </c>
      <c r="F6676" t="s">
        <v>4125</v>
      </c>
    </row>
    <row r="6677" spans="1:6">
      <c r="A6677" t="s">
        <v>10806</v>
      </c>
      <c r="B6677" t="s">
        <v>2460</v>
      </c>
      <c r="C6677" t="s">
        <v>53</v>
      </c>
      <c r="D6677" s="1">
        <v>45685</v>
      </c>
      <c r="E6677" t="s">
        <v>4127</v>
      </c>
      <c r="F6677" t="s">
        <v>4125</v>
      </c>
    </row>
    <row r="6678" spans="1:6">
      <c r="A6678" t="s">
        <v>10807</v>
      </c>
      <c r="B6678" t="s">
        <v>2460</v>
      </c>
      <c r="C6678" t="s">
        <v>53</v>
      </c>
      <c r="D6678" s="1">
        <v>45681</v>
      </c>
      <c r="E6678" t="s">
        <v>4129</v>
      </c>
      <c r="F6678" t="s">
        <v>4137</v>
      </c>
    </row>
    <row r="6679" spans="1:6">
      <c r="A6679" t="s">
        <v>10808</v>
      </c>
      <c r="B6679" t="s">
        <v>2460</v>
      </c>
      <c r="C6679" t="s">
        <v>53</v>
      </c>
      <c r="D6679" s="1">
        <v>45671</v>
      </c>
      <c r="E6679" t="s">
        <v>4133</v>
      </c>
      <c r="F6679" t="s">
        <v>4137</v>
      </c>
    </row>
    <row r="6680" spans="1:6">
      <c r="A6680" t="s">
        <v>10809</v>
      </c>
      <c r="B6680" t="s">
        <v>2460</v>
      </c>
      <c r="C6680" t="s">
        <v>53</v>
      </c>
      <c r="D6680" s="1">
        <v>45672</v>
      </c>
      <c r="E6680" t="s">
        <v>4129</v>
      </c>
      <c r="F6680" t="s">
        <v>4125</v>
      </c>
    </row>
    <row r="6681" spans="1:6">
      <c r="A6681" t="s">
        <v>10810</v>
      </c>
      <c r="B6681" t="s">
        <v>2461</v>
      </c>
      <c r="C6681" t="s">
        <v>78</v>
      </c>
      <c r="D6681" s="1">
        <v>45989</v>
      </c>
      <c r="E6681" t="s">
        <v>4127</v>
      </c>
      <c r="F6681" t="s">
        <v>4125</v>
      </c>
    </row>
    <row r="6682" spans="1:6">
      <c r="A6682" t="s">
        <v>10811</v>
      </c>
      <c r="B6682" t="s">
        <v>2461</v>
      </c>
      <c r="C6682" t="s">
        <v>78</v>
      </c>
      <c r="D6682" s="1">
        <v>45987</v>
      </c>
      <c r="E6682" t="s">
        <v>4124</v>
      </c>
      <c r="F6682" t="s">
        <v>4137</v>
      </c>
    </row>
    <row r="6683" spans="1:6">
      <c r="A6683" t="s">
        <v>10812</v>
      </c>
      <c r="B6683" t="s">
        <v>2461</v>
      </c>
      <c r="C6683" t="s">
        <v>78</v>
      </c>
      <c r="D6683" s="1">
        <v>45993</v>
      </c>
      <c r="E6683" t="s">
        <v>4133</v>
      </c>
      <c r="F6683" t="s">
        <v>4125</v>
      </c>
    </row>
    <row r="6684" spans="1:6">
      <c r="A6684" t="s">
        <v>10813</v>
      </c>
      <c r="B6684" t="s">
        <v>2461</v>
      </c>
      <c r="C6684" t="s">
        <v>78</v>
      </c>
      <c r="D6684" s="1">
        <v>46006</v>
      </c>
      <c r="E6684" t="s">
        <v>4133</v>
      </c>
      <c r="F6684" t="s">
        <v>4139</v>
      </c>
    </row>
    <row r="6685" spans="1:6">
      <c r="A6685" t="s">
        <v>10814</v>
      </c>
      <c r="B6685" t="s">
        <v>2461</v>
      </c>
      <c r="C6685" t="s">
        <v>78</v>
      </c>
      <c r="D6685" s="1">
        <v>45989</v>
      </c>
      <c r="E6685" t="s">
        <v>4127</v>
      </c>
      <c r="F6685" t="s">
        <v>4139</v>
      </c>
    </row>
    <row r="6686" spans="1:6">
      <c r="A6686" t="s">
        <v>10815</v>
      </c>
      <c r="B6686" t="s">
        <v>2462</v>
      </c>
      <c r="C6686" t="s">
        <v>50</v>
      </c>
      <c r="D6686" s="1">
        <v>45829</v>
      </c>
      <c r="E6686" t="s">
        <v>4124</v>
      </c>
      <c r="F6686" t="s">
        <v>4125</v>
      </c>
    </row>
    <row r="6687" spans="1:6">
      <c r="A6687" t="s">
        <v>10816</v>
      </c>
      <c r="B6687" t="s">
        <v>2462</v>
      </c>
      <c r="C6687" t="s">
        <v>50</v>
      </c>
      <c r="D6687" s="1">
        <v>45883</v>
      </c>
      <c r="E6687" t="s">
        <v>4127</v>
      </c>
      <c r="F6687" t="s">
        <v>4139</v>
      </c>
    </row>
    <row r="6688" spans="1:6">
      <c r="A6688" t="s">
        <v>10817</v>
      </c>
      <c r="B6688" t="s">
        <v>2462</v>
      </c>
      <c r="C6688" t="s">
        <v>50</v>
      </c>
      <c r="D6688" s="1">
        <v>45841</v>
      </c>
      <c r="E6688" t="s">
        <v>4124</v>
      </c>
      <c r="F6688" t="s">
        <v>4139</v>
      </c>
    </row>
    <row r="6689" spans="1:6">
      <c r="A6689" t="s">
        <v>10818</v>
      </c>
      <c r="B6689" t="s">
        <v>2462</v>
      </c>
      <c r="C6689" t="s">
        <v>50</v>
      </c>
      <c r="D6689" s="1">
        <v>45873</v>
      </c>
      <c r="E6689" t="s">
        <v>4129</v>
      </c>
      <c r="F6689" t="s">
        <v>4137</v>
      </c>
    </row>
    <row r="6690" spans="1:6">
      <c r="A6690" t="s">
        <v>10819</v>
      </c>
      <c r="B6690" t="s">
        <v>2463</v>
      </c>
      <c r="C6690" t="s">
        <v>152</v>
      </c>
      <c r="D6690" s="1">
        <v>45876</v>
      </c>
      <c r="E6690" t="s">
        <v>4129</v>
      </c>
      <c r="F6690" t="s">
        <v>4139</v>
      </c>
    </row>
    <row r="6691" spans="1:6">
      <c r="A6691" t="s">
        <v>10820</v>
      </c>
      <c r="B6691" t="s">
        <v>2463</v>
      </c>
      <c r="C6691" t="s">
        <v>152</v>
      </c>
      <c r="D6691" s="1">
        <v>45841</v>
      </c>
      <c r="E6691" t="s">
        <v>4124</v>
      </c>
      <c r="F6691" t="s">
        <v>4125</v>
      </c>
    </row>
    <row r="6692" spans="1:6">
      <c r="A6692" t="s">
        <v>10821</v>
      </c>
      <c r="B6692" t="s">
        <v>2463</v>
      </c>
      <c r="C6692" t="s">
        <v>152</v>
      </c>
      <c r="D6692" s="1">
        <v>45842</v>
      </c>
      <c r="E6692" t="s">
        <v>4133</v>
      </c>
      <c r="F6692" t="s">
        <v>4137</v>
      </c>
    </row>
    <row r="6693" spans="1:6">
      <c r="A6693" t="s">
        <v>10822</v>
      </c>
      <c r="B6693" t="s">
        <v>2463</v>
      </c>
      <c r="C6693" t="s">
        <v>152</v>
      </c>
      <c r="D6693" s="1">
        <v>45875</v>
      </c>
      <c r="E6693" t="s">
        <v>4127</v>
      </c>
      <c r="F6693" t="s">
        <v>4125</v>
      </c>
    </row>
    <row r="6694" spans="1:6">
      <c r="A6694" t="s">
        <v>10823</v>
      </c>
      <c r="B6694" t="s">
        <v>2463</v>
      </c>
      <c r="C6694" t="s">
        <v>152</v>
      </c>
      <c r="D6694" s="1">
        <v>45876</v>
      </c>
      <c r="E6694" t="s">
        <v>4135</v>
      </c>
      <c r="F6694" t="s">
        <v>4137</v>
      </c>
    </row>
    <row r="6695" spans="1:6">
      <c r="A6695" t="s">
        <v>10824</v>
      </c>
      <c r="B6695" t="s">
        <v>2464</v>
      </c>
      <c r="C6695" t="s">
        <v>63</v>
      </c>
      <c r="D6695" s="1">
        <v>45794</v>
      </c>
      <c r="E6695" t="s">
        <v>4135</v>
      </c>
      <c r="F6695" t="s">
        <v>4137</v>
      </c>
    </row>
    <row r="6696" spans="1:6">
      <c r="A6696" t="s">
        <v>10825</v>
      </c>
      <c r="B6696" t="s">
        <v>2464</v>
      </c>
      <c r="C6696" t="s">
        <v>63</v>
      </c>
      <c r="D6696" s="1">
        <v>45796</v>
      </c>
      <c r="E6696" t="s">
        <v>4135</v>
      </c>
      <c r="F6696" t="s">
        <v>4137</v>
      </c>
    </row>
    <row r="6697" spans="1:6">
      <c r="A6697" t="s">
        <v>10826</v>
      </c>
      <c r="B6697" t="s">
        <v>2464</v>
      </c>
      <c r="C6697" t="s">
        <v>63</v>
      </c>
      <c r="D6697" s="1">
        <v>45787</v>
      </c>
      <c r="E6697" t="s">
        <v>4133</v>
      </c>
      <c r="F6697" t="s">
        <v>4137</v>
      </c>
    </row>
    <row r="6698" spans="1:6">
      <c r="A6698" t="s">
        <v>10827</v>
      </c>
      <c r="B6698" t="s">
        <v>2465</v>
      </c>
      <c r="C6698" t="s">
        <v>70</v>
      </c>
      <c r="D6698" s="1">
        <v>46000</v>
      </c>
      <c r="E6698" t="s">
        <v>4133</v>
      </c>
      <c r="F6698" t="s">
        <v>4139</v>
      </c>
    </row>
    <row r="6699" spans="1:6">
      <c r="A6699" t="s">
        <v>10828</v>
      </c>
      <c r="B6699" t="s">
        <v>2465</v>
      </c>
      <c r="C6699" t="s">
        <v>70</v>
      </c>
      <c r="D6699" s="1">
        <v>46007</v>
      </c>
      <c r="E6699" t="s">
        <v>4124</v>
      </c>
      <c r="F6699" t="s">
        <v>4139</v>
      </c>
    </row>
    <row r="6700" spans="1:6">
      <c r="A6700" t="s">
        <v>10829</v>
      </c>
      <c r="B6700" t="s">
        <v>2465</v>
      </c>
      <c r="C6700" t="s">
        <v>70</v>
      </c>
      <c r="D6700" s="1">
        <v>46007</v>
      </c>
      <c r="E6700" t="s">
        <v>4133</v>
      </c>
      <c r="F6700" t="s">
        <v>4139</v>
      </c>
    </row>
    <row r="6701" spans="1:6">
      <c r="A6701" t="s">
        <v>10830</v>
      </c>
      <c r="B6701" t="s">
        <v>2465</v>
      </c>
      <c r="C6701" t="s">
        <v>70</v>
      </c>
      <c r="D6701" s="1">
        <v>45999</v>
      </c>
      <c r="E6701" t="s">
        <v>4127</v>
      </c>
      <c r="F6701" t="s">
        <v>4139</v>
      </c>
    </row>
    <row r="6702" spans="1:6">
      <c r="A6702" t="s">
        <v>10831</v>
      </c>
      <c r="B6702" t="s">
        <v>2466</v>
      </c>
      <c r="C6702" t="s">
        <v>168</v>
      </c>
      <c r="D6702" s="1">
        <v>45935</v>
      </c>
      <c r="E6702" t="s">
        <v>4129</v>
      </c>
      <c r="F6702" t="s">
        <v>4125</v>
      </c>
    </row>
    <row r="6703" spans="1:6">
      <c r="A6703" t="s">
        <v>10832</v>
      </c>
      <c r="B6703" t="s">
        <v>2466</v>
      </c>
      <c r="C6703" t="s">
        <v>168</v>
      </c>
      <c r="D6703" s="1">
        <v>45934</v>
      </c>
      <c r="E6703" t="s">
        <v>4124</v>
      </c>
      <c r="F6703" t="s">
        <v>4137</v>
      </c>
    </row>
    <row r="6704" spans="1:6">
      <c r="A6704" t="s">
        <v>10833</v>
      </c>
      <c r="B6704" t="s">
        <v>2466</v>
      </c>
      <c r="C6704" t="s">
        <v>168</v>
      </c>
      <c r="D6704" s="1">
        <v>45945</v>
      </c>
      <c r="E6704" t="s">
        <v>4124</v>
      </c>
      <c r="F6704" t="s">
        <v>4137</v>
      </c>
    </row>
    <row r="6705" spans="1:6">
      <c r="A6705" t="s">
        <v>10834</v>
      </c>
      <c r="B6705" t="s">
        <v>2466</v>
      </c>
      <c r="C6705" t="s">
        <v>168</v>
      </c>
      <c r="D6705" s="1">
        <v>45935</v>
      </c>
      <c r="E6705" t="s">
        <v>4135</v>
      </c>
      <c r="F6705" t="s">
        <v>4125</v>
      </c>
    </row>
    <row r="6706" spans="1:6">
      <c r="A6706" t="s">
        <v>10835</v>
      </c>
      <c r="B6706" t="s">
        <v>2467</v>
      </c>
      <c r="C6706" t="s">
        <v>91</v>
      </c>
      <c r="D6706" s="1">
        <v>45802</v>
      </c>
      <c r="E6706" t="s">
        <v>4135</v>
      </c>
      <c r="F6706" t="s">
        <v>4125</v>
      </c>
    </row>
    <row r="6707" spans="1:6">
      <c r="A6707" t="s">
        <v>10836</v>
      </c>
      <c r="B6707" t="s">
        <v>2467</v>
      </c>
      <c r="C6707" t="s">
        <v>91</v>
      </c>
      <c r="D6707" s="1">
        <v>45795</v>
      </c>
      <c r="E6707" t="s">
        <v>4129</v>
      </c>
      <c r="F6707" t="s">
        <v>4139</v>
      </c>
    </row>
    <row r="6708" spans="1:6">
      <c r="A6708" t="s">
        <v>10837</v>
      </c>
      <c r="B6708" t="s">
        <v>2467</v>
      </c>
      <c r="C6708" t="s">
        <v>91</v>
      </c>
      <c r="D6708" s="1">
        <v>45774</v>
      </c>
      <c r="E6708" t="s">
        <v>4127</v>
      </c>
      <c r="F6708" t="s">
        <v>4139</v>
      </c>
    </row>
    <row r="6709" spans="1:6">
      <c r="A6709" t="s">
        <v>10838</v>
      </c>
      <c r="B6709" t="s">
        <v>2467</v>
      </c>
      <c r="C6709" t="s">
        <v>91</v>
      </c>
      <c r="D6709" s="1">
        <v>45771</v>
      </c>
      <c r="E6709" t="s">
        <v>4133</v>
      </c>
      <c r="F6709" t="s">
        <v>4139</v>
      </c>
    </row>
    <row r="6710" spans="1:6">
      <c r="A6710" t="s">
        <v>10839</v>
      </c>
      <c r="B6710" t="s">
        <v>2467</v>
      </c>
      <c r="C6710" t="s">
        <v>91</v>
      </c>
      <c r="D6710" s="1">
        <v>45793</v>
      </c>
      <c r="E6710" t="s">
        <v>4133</v>
      </c>
      <c r="F6710" t="s">
        <v>4137</v>
      </c>
    </row>
    <row r="6711" spans="1:6">
      <c r="A6711" t="s">
        <v>10840</v>
      </c>
      <c r="B6711" t="s">
        <v>2468</v>
      </c>
      <c r="C6711" t="s">
        <v>27</v>
      </c>
      <c r="D6711" s="1">
        <v>45802</v>
      </c>
      <c r="E6711" t="s">
        <v>4124</v>
      </c>
      <c r="F6711" t="s">
        <v>4139</v>
      </c>
    </row>
    <row r="6712" spans="1:6">
      <c r="A6712" t="s">
        <v>10841</v>
      </c>
      <c r="B6712" t="s">
        <v>2468</v>
      </c>
      <c r="C6712" t="s">
        <v>27</v>
      </c>
      <c r="D6712" s="1">
        <v>45812</v>
      </c>
      <c r="E6712" t="s">
        <v>4127</v>
      </c>
      <c r="F6712" t="s">
        <v>4137</v>
      </c>
    </row>
    <row r="6713" spans="1:6">
      <c r="A6713" t="s">
        <v>10842</v>
      </c>
      <c r="B6713" t="s">
        <v>2468</v>
      </c>
      <c r="C6713" t="s">
        <v>27</v>
      </c>
      <c r="D6713" s="1">
        <v>45804</v>
      </c>
      <c r="E6713" t="s">
        <v>4133</v>
      </c>
      <c r="F6713" t="s">
        <v>4139</v>
      </c>
    </row>
    <row r="6714" spans="1:6">
      <c r="A6714" t="s">
        <v>10843</v>
      </c>
      <c r="B6714" t="s">
        <v>2468</v>
      </c>
      <c r="C6714" t="s">
        <v>27</v>
      </c>
      <c r="D6714" s="1">
        <v>45811</v>
      </c>
      <c r="E6714" t="s">
        <v>4135</v>
      </c>
      <c r="F6714" t="s">
        <v>4139</v>
      </c>
    </row>
    <row r="6715" spans="1:6">
      <c r="A6715" t="s">
        <v>10844</v>
      </c>
      <c r="B6715" t="s">
        <v>2469</v>
      </c>
      <c r="C6715" t="s">
        <v>56</v>
      </c>
      <c r="D6715" s="1">
        <v>45817</v>
      </c>
      <c r="E6715" t="s">
        <v>4129</v>
      </c>
      <c r="F6715" t="s">
        <v>4139</v>
      </c>
    </row>
    <row r="6716" spans="1:6">
      <c r="A6716" t="s">
        <v>10845</v>
      </c>
      <c r="B6716" t="s">
        <v>2469</v>
      </c>
      <c r="C6716" t="s">
        <v>56</v>
      </c>
      <c r="D6716" s="1">
        <v>45786</v>
      </c>
      <c r="E6716" t="s">
        <v>4124</v>
      </c>
      <c r="F6716" t="s">
        <v>4137</v>
      </c>
    </row>
    <row r="6717" spans="1:6">
      <c r="A6717" t="s">
        <v>10846</v>
      </c>
      <c r="B6717" t="s">
        <v>2470</v>
      </c>
      <c r="C6717" t="s">
        <v>53</v>
      </c>
      <c r="D6717" s="1">
        <v>45727</v>
      </c>
      <c r="E6717" t="s">
        <v>4135</v>
      </c>
      <c r="F6717" t="s">
        <v>4125</v>
      </c>
    </row>
    <row r="6718" spans="1:6">
      <c r="A6718" t="s">
        <v>10847</v>
      </c>
      <c r="B6718" t="s">
        <v>2470</v>
      </c>
      <c r="C6718" t="s">
        <v>53</v>
      </c>
      <c r="D6718" s="1">
        <v>45753</v>
      </c>
      <c r="E6718" t="s">
        <v>4127</v>
      </c>
      <c r="F6718" t="s">
        <v>4125</v>
      </c>
    </row>
    <row r="6719" spans="1:6">
      <c r="A6719" t="s">
        <v>10848</v>
      </c>
      <c r="B6719" t="s">
        <v>2470</v>
      </c>
      <c r="C6719" t="s">
        <v>53</v>
      </c>
      <c r="D6719" s="1">
        <v>45725</v>
      </c>
      <c r="E6719" t="s">
        <v>4129</v>
      </c>
      <c r="F6719" t="s">
        <v>4139</v>
      </c>
    </row>
    <row r="6720" spans="1:6">
      <c r="A6720" t="s">
        <v>10849</v>
      </c>
      <c r="B6720" t="s">
        <v>2470</v>
      </c>
      <c r="C6720" t="s">
        <v>53</v>
      </c>
      <c r="D6720" s="1">
        <v>45750</v>
      </c>
      <c r="E6720" t="s">
        <v>4129</v>
      </c>
      <c r="F6720" t="s">
        <v>4125</v>
      </c>
    </row>
    <row r="6721" spans="1:6">
      <c r="A6721" t="s">
        <v>10850</v>
      </c>
      <c r="B6721" t="s">
        <v>2471</v>
      </c>
      <c r="C6721" t="s">
        <v>50</v>
      </c>
      <c r="D6721" s="1">
        <v>45712</v>
      </c>
      <c r="E6721" t="s">
        <v>4133</v>
      </c>
      <c r="F6721" t="s">
        <v>4125</v>
      </c>
    </row>
    <row r="6722" spans="1:6">
      <c r="A6722" t="s">
        <v>10851</v>
      </c>
      <c r="B6722" t="s">
        <v>2471</v>
      </c>
      <c r="C6722" t="s">
        <v>50</v>
      </c>
      <c r="D6722" s="1">
        <v>45706</v>
      </c>
      <c r="E6722" t="s">
        <v>4127</v>
      </c>
      <c r="F6722" t="s">
        <v>4137</v>
      </c>
    </row>
    <row r="6723" spans="1:6">
      <c r="A6723" t="s">
        <v>10852</v>
      </c>
      <c r="B6723" t="s">
        <v>2471</v>
      </c>
      <c r="C6723" t="s">
        <v>50</v>
      </c>
      <c r="D6723" s="1">
        <v>45693</v>
      </c>
      <c r="E6723" t="s">
        <v>4135</v>
      </c>
      <c r="F6723" t="s">
        <v>4125</v>
      </c>
    </row>
    <row r="6724" spans="1:6">
      <c r="A6724" t="s">
        <v>10853</v>
      </c>
      <c r="B6724" t="s">
        <v>2472</v>
      </c>
      <c r="C6724" t="s">
        <v>91</v>
      </c>
      <c r="D6724" s="1">
        <v>45958</v>
      </c>
      <c r="E6724" t="s">
        <v>4129</v>
      </c>
      <c r="F6724" t="s">
        <v>4125</v>
      </c>
    </row>
    <row r="6725" spans="1:6">
      <c r="A6725" t="s">
        <v>10854</v>
      </c>
      <c r="B6725" t="s">
        <v>2472</v>
      </c>
      <c r="C6725" t="s">
        <v>91</v>
      </c>
      <c r="D6725" s="1">
        <v>45960</v>
      </c>
      <c r="E6725" t="s">
        <v>4124</v>
      </c>
      <c r="F6725" t="s">
        <v>4137</v>
      </c>
    </row>
    <row r="6726" spans="1:6">
      <c r="A6726" t="s">
        <v>10855</v>
      </c>
      <c r="B6726" t="s">
        <v>2472</v>
      </c>
      <c r="C6726" t="s">
        <v>91</v>
      </c>
      <c r="D6726" s="1">
        <v>45950</v>
      </c>
      <c r="E6726" t="s">
        <v>4124</v>
      </c>
      <c r="F6726" t="s">
        <v>4137</v>
      </c>
    </row>
    <row r="6727" spans="1:6">
      <c r="A6727" t="s">
        <v>10856</v>
      </c>
      <c r="B6727" t="s">
        <v>2472</v>
      </c>
      <c r="C6727" t="s">
        <v>91</v>
      </c>
      <c r="D6727" s="1">
        <v>45956</v>
      </c>
      <c r="E6727" t="s">
        <v>4129</v>
      </c>
      <c r="F6727" t="s">
        <v>4139</v>
      </c>
    </row>
    <row r="6728" spans="1:6">
      <c r="A6728" t="s">
        <v>10857</v>
      </c>
      <c r="B6728" t="s">
        <v>2473</v>
      </c>
      <c r="C6728" t="s">
        <v>78</v>
      </c>
      <c r="D6728" s="1">
        <v>45665</v>
      </c>
      <c r="E6728" t="s">
        <v>4129</v>
      </c>
      <c r="F6728" t="s">
        <v>4137</v>
      </c>
    </row>
    <row r="6729" spans="1:6">
      <c r="A6729" t="s">
        <v>10858</v>
      </c>
      <c r="B6729" t="s">
        <v>2473</v>
      </c>
      <c r="C6729" t="s">
        <v>78</v>
      </c>
      <c r="D6729" s="1">
        <v>45673</v>
      </c>
      <c r="E6729" t="s">
        <v>4124</v>
      </c>
      <c r="F6729" t="s">
        <v>4137</v>
      </c>
    </row>
    <row r="6730" spans="1:6">
      <c r="A6730" t="s">
        <v>10859</v>
      </c>
      <c r="B6730" t="s">
        <v>2473</v>
      </c>
      <c r="C6730" t="s">
        <v>78</v>
      </c>
      <c r="D6730" s="1">
        <v>45666</v>
      </c>
      <c r="E6730" t="s">
        <v>4135</v>
      </c>
      <c r="F6730" t="s">
        <v>4125</v>
      </c>
    </row>
    <row r="6731" spans="1:6">
      <c r="A6731" t="s">
        <v>10860</v>
      </c>
      <c r="B6731" t="s">
        <v>2473</v>
      </c>
      <c r="C6731" t="s">
        <v>78</v>
      </c>
      <c r="D6731" s="1">
        <v>45700</v>
      </c>
      <c r="E6731" t="s">
        <v>4133</v>
      </c>
      <c r="F6731" t="s">
        <v>4139</v>
      </c>
    </row>
    <row r="6732" spans="1:6">
      <c r="A6732" t="s">
        <v>10861</v>
      </c>
      <c r="B6732" t="s">
        <v>2473</v>
      </c>
      <c r="C6732" t="s">
        <v>78</v>
      </c>
      <c r="D6732" s="1">
        <v>45668</v>
      </c>
      <c r="E6732" t="s">
        <v>4133</v>
      </c>
      <c r="F6732" t="s">
        <v>4137</v>
      </c>
    </row>
    <row r="6733" spans="1:6">
      <c r="A6733" t="s">
        <v>10862</v>
      </c>
      <c r="B6733" t="s">
        <v>2474</v>
      </c>
      <c r="C6733" t="s">
        <v>50</v>
      </c>
      <c r="D6733" s="1">
        <v>45874</v>
      </c>
      <c r="E6733" t="s">
        <v>4129</v>
      </c>
      <c r="F6733" t="s">
        <v>4137</v>
      </c>
    </row>
    <row r="6734" spans="1:6">
      <c r="A6734" t="s">
        <v>10863</v>
      </c>
      <c r="B6734" t="s">
        <v>2474</v>
      </c>
      <c r="C6734" t="s">
        <v>50</v>
      </c>
      <c r="D6734" s="1">
        <v>45910</v>
      </c>
      <c r="E6734" t="s">
        <v>4133</v>
      </c>
      <c r="F6734" t="s">
        <v>4137</v>
      </c>
    </row>
    <row r="6735" spans="1:6">
      <c r="A6735" t="s">
        <v>10864</v>
      </c>
      <c r="B6735" t="s">
        <v>2474</v>
      </c>
      <c r="C6735" t="s">
        <v>50</v>
      </c>
      <c r="D6735" s="1">
        <v>45895</v>
      </c>
      <c r="E6735" t="s">
        <v>4133</v>
      </c>
      <c r="F6735" t="s">
        <v>4137</v>
      </c>
    </row>
    <row r="6736" spans="1:6">
      <c r="A6736" t="s">
        <v>10865</v>
      </c>
      <c r="B6736" t="s">
        <v>2474</v>
      </c>
      <c r="C6736" t="s">
        <v>50</v>
      </c>
      <c r="D6736" s="1">
        <v>45913</v>
      </c>
      <c r="E6736" t="s">
        <v>4124</v>
      </c>
      <c r="F6736" t="s">
        <v>4139</v>
      </c>
    </row>
    <row r="6737" spans="1:6">
      <c r="A6737" t="s">
        <v>10866</v>
      </c>
      <c r="B6737" t="s">
        <v>2475</v>
      </c>
      <c r="C6737" t="s">
        <v>36</v>
      </c>
      <c r="D6737" s="1">
        <v>45890</v>
      </c>
      <c r="E6737" t="s">
        <v>4133</v>
      </c>
      <c r="F6737" t="s">
        <v>4125</v>
      </c>
    </row>
    <row r="6738" spans="1:6">
      <c r="A6738" t="s">
        <v>10867</v>
      </c>
      <c r="B6738" t="s">
        <v>2475</v>
      </c>
      <c r="C6738" t="s">
        <v>36</v>
      </c>
      <c r="D6738" s="1">
        <v>45876</v>
      </c>
      <c r="E6738" t="s">
        <v>4127</v>
      </c>
      <c r="F6738" t="s">
        <v>4125</v>
      </c>
    </row>
    <row r="6739" spans="1:6">
      <c r="A6739" t="s">
        <v>10868</v>
      </c>
      <c r="B6739" t="s">
        <v>2475</v>
      </c>
      <c r="C6739" t="s">
        <v>36</v>
      </c>
      <c r="D6739" s="1">
        <v>45877</v>
      </c>
      <c r="E6739" t="s">
        <v>4133</v>
      </c>
      <c r="F6739" t="s">
        <v>4137</v>
      </c>
    </row>
    <row r="6740" spans="1:6">
      <c r="A6740" t="s">
        <v>10869</v>
      </c>
      <c r="B6740" t="s">
        <v>2475</v>
      </c>
      <c r="C6740" t="s">
        <v>36</v>
      </c>
      <c r="D6740" s="1">
        <v>45919</v>
      </c>
      <c r="E6740" t="s">
        <v>4135</v>
      </c>
      <c r="F6740" t="s">
        <v>4125</v>
      </c>
    </row>
    <row r="6741" spans="1:6">
      <c r="A6741" t="s">
        <v>10870</v>
      </c>
      <c r="B6741" t="s">
        <v>2475</v>
      </c>
      <c r="C6741" t="s">
        <v>36</v>
      </c>
      <c r="D6741" s="1">
        <v>45904</v>
      </c>
      <c r="E6741" t="s">
        <v>4127</v>
      </c>
      <c r="F6741" t="s">
        <v>4125</v>
      </c>
    </row>
    <row r="6742" spans="1:6">
      <c r="A6742" t="s">
        <v>10871</v>
      </c>
      <c r="B6742" t="s">
        <v>2476</v>
      </c>
      <c r="C6742" t="s">
        <v>152</v>
      </c>
      <c r="D6742" s="1">
        <v>45888</v>
      </c>
      <c r="E6742" t="s">
        <v>4129</v>
      </c>
      <c r="F6742" t="s">
        <v>4137</v>
      </c>
    </row>
    <row r="6743" spans="1:6">
      <c r="A6743" t="s">
        <v>10872</v>
      </c>
      <c r="B6743" t="s">
        <v>2476</v>
      </c>
      <c r="C6743" t="s">
        <v>152</v>
      </c>
      <c r="D6743" s="1">
        <v>45876</v>
      </c>
      <c r="E6743" t="s">
        <v>4124</v>
      </c>
      <c r="F6743" t="s">
        <v>4125</v>
      </c>
    </row>
    <row r="6744" spans="1:6">
      <c r="A6744" t="s">
        <v>10873</v>
      </c>
      <c r="B6744" t="s">
        <v>2476</v>
      </c>
      <c r="C6744" t="s">
        <v>152</v>
      </c>
      <c r="D6744" s="1">
        <v>45911</v>
      </c>
      <c r="E6744" t="s">
        <v>4124</v>
      </c>
      <c r="F6744" t="s">
        <v>4137</v>
      </c>
    </row>
    <row r="6745" spans="1:6">
      <c r="A6745" t="s">
        <v>10874</v>
      </c>
      <c r="B6745" t="s">
        <v>2476</v>
      </c>
      <c r="C6745" t="s">
        <v>152</v>
      </c>
      <c r="D6745" s="1">
        <v>45867</v>
      </c>
      <c r="E6745" t="s">
        <v>4124</v>
      </c>
      <c r="F6745" t="s">
        <v>4125</v>
      </c>
    </row>
    <row r="6746" spans="1:6">
      <c r="A6746" t="s">
        <v>10875</v>
      </c>
      <c r="B6746" t="s">
        <v>2477</v>
      </c>
      <c r="C6746" t="s">
        <v>63</v>
      </c>
      <c r="D6746" s="1">
        <v>46016</v>
      </c>
      <c r="E6746" t="s">
        <v>4127</v>
      </c>
      <c r="F6746" t="s">
        <v>4125</v>
      </c>
    </row>
    <row r="6747" spans="1:6">
      <c r="A6747" t="s">
        <v>10876</v>
      </c>
      <c r="B6747" t="s">
        <v>2477</v>
      </c>
      <c r="C6747" t="s">
        <v>63</v>
      </c>
      <c r="D6747" s="1">
        <v>46004</v>
      </c>
      <c r="E6747" t="s">
        <v>4133</v>
      </c>
      <c r="F6747" t="s">
        <v>4139</v>
      </c>
    </row>
    <row r="6748" spans="1:6">
      <c r="A6748" t="s">
        <v>10877</v>
      </c>
      <c r="B6748" t="s">
        <v>2477</v>
      </c>
      <c r="C6748" t="s">
        <v>63</v>
      </c>
      <c r="D6748" s="1">
        <v>46014</v>
      </c>
      <c r="E6748" t="s">
        <v>4124</v>
      </c>
      <c r="F6748" t="s">
        <v>4137</v>
      </c>
    </row>
    <row r="6749" spans="1:6">
      <c r="A6749" t="s">
        <v>10878</v>
      </c>
      <c r="B6749" t="s">
        <v>2477</v>
      </c>
      <c r="C6749" t="s">
        <v>63</v>
      </c>
      <c r="D6749" s="1">
        <v>46022</v>
      </c>
      <c r="E6749" t="s">
        <v>4135</v>
      </c>
      <c r="F6749" t="s">
        <v>4137</v>
      </c>
    </row>
    <row r="6750" spans="1:6">
      <c r="A6750" t="s">
        <v>10879</v>
      </c>
      <c r="B6750" t="s">
        <v>2478</v>
      </c>
      <c r="C6750" t="s">
        <v>50</v>
      </c>
      <c r="D6750" s="1">
        <v>45947</v>
      </c>
      <c r="E6750" t="s">
        <v>4133</v>
      </c>
      <c r="F6750" t="s">
        <v>4139</v>
      </c>
    </row>
    <row r="6751" spans="1:6">
      <c r="A6751" t="s">
        <v>10880</v>
      </c>
      <c r="B6751" t="s">
        <v>2478</v>
      </c>
      <c r="C6751" t="s">
        <v>50</v>
      </c>
      <c r="D6751" s="1">
        <v>45907</v>
      </c>
      <c r="E6751" t="s">
        <v>4127</v>
      </c>
      <c r="F6751" t="s">
        <v>4125</v>
      </c>
    </row>
    <row r="6752" spans="1:6">
      <c r="A6752" t="s">
        <v>10881</v>
      </c>
      <c r="B6752" t="s">
        <v>2478</v>
      </c>
      <c r="C6752" t="s">
        <v>50</v>
      </c>
      <c r="D6752" s="1">
        <v>45914</v>
      </c>
      <c r="E6752" t="s">
        <v>4133</v>
      </c>
      <c r="F6752" t="s">
        <v>4137</v>
      </c>
    </row>
    <row r="6753" spans="1:6">
      <c r="A6753" t="s">
        <v>10882</v>
      </c>
      <c r="B6753" t="s">
        <v>2478</v>
      </c>
      <c r="C6753" t="s">
        <v>50</v>
      </c>
      <c r="D6753" s="1">
        <v>45921</v>
      </c>
      <c r="E6753" t="s">
        <v>4127</v>
      </c>
      <c r="F6753" t="s">
        <v>4125</v>
      </c>
    </row>
    <row r="6754" spans="1:6">
      <c r="A6754" t="s">
        <v>10883</v>
      </c>
      <c r="B6754" t="s">
        <v>2478</v>
      </c>
      <c r="C6754" t="s">
        <v>50</v>
      </c>
      <c r="D6754" s="1">
        <v>45963</v>
      </c>
      <c r="E6754" t="s">
        <v>4129</v>
      </c>
      <c r="F6754" t="s">
        <v>4139</v>
      </c>
    </row>
    <row r="6755" spans="1:6">
      <c r="A6755" t="s">
        <v>10884</v>
      </c>
      <c r="B6755" t="s">
        <v>2479</v>
      </c>
      <c r="C6755" t="s">
        <v>78</v>
      </c>
      <c r="D6755" s="1">
        <v>45922</v>
      </c>
      <c r="E6755" t="s">
        <v>4129</v>
      </c>
      <c r="F6755" t="s">
        <v>4139</v>
      </c>
    </row>
    <row r="6756" spans="1:6">
      <c r="A6756" t="s">
        <v>10885</v>
      </c>
      <c r="B6756" t="s">
        <v>2479</v>
      </c>
      <c r="C6756" t="s">
        <v>78</v>
      </c>
      <c r="D6756" s="1">
        <v>45906</v>
      </c>
      <c r="E6756" t="s">
        <v>4127</v>
      </c>
      <c r="F6756" t="s">
        <v>4139</v>
      </c>
    </row>
    <row r="6757" spans="1:6">
      <c r="A6757" t="s">
        <v>10886</v>
      </c>
      <c r="B6757" t="s">
        <v>2479</v>
      </c>
      <c r="C6757" t="s">
        <v>78</v>
      </c>
      <c r="D6757" s="1">
        <v>45914</v>
      </c>
      <c r="E6757" t="s">
        <v>4124</v>
      </c>
      <c r="F6757" t="s">
        <v>4137</v>
      </c>
    </row>
    <row r="6758" spans="1:6">
      <c r="A6758" t="s">
        <v>10887</v>
      </c>
      <c r="B6758" t="s">
        <v>2479</v>
      </c>
      <c r="C6758" t="s">
        <v>78</v>
      </c>
      <c r="D6758" s="1">
        <v>45907</v>
      </c>
      <c r="E6758" t="s">
        <v>4129</v>
      </c>
      <c r="F6758" t="s">
        <v>4139</v>
      </c>
    </row>
    <row r="6759" spans="1:6">
      <c r="A6759" t="s">
        <v>10888</v>
      </c>
      <c r="B6759" t="s">
        <v>2479</v>
      </c>
      <c r="C6759" t="s">
        <v>78</v>
      </c>
      <c r="D6759" s="1">
        <v>45909</v>
      </c>
      <c r="E6759" t="s">
        <v>4129</v>
      </c>
      <c r="F6759" t="s">
        <v>4139</v>
      </c>
    </row>
    <row r="6760" spans="1:6">
      <c r="A6760" t="s">
        <v>10889</v>
      </c>
      <c r="B6760" t="s">
        <v>2480</v>
      </c>
      <c r="C6760" t="s">
        <v>75</v>
      </c>
      <c r="D6760" s="1">
        <v>46003</v>
      </c>
      <c r="E6760" t="s">
        <v>4135</v>
      </c>
      <c r="F6760" t="s">
        <v>4137</v>
      </c>
    </row>
    <row r="6761" spans="1:6">
      <c r="A6761" t="s">
        <v>10890</v>
      </c>
      <c r="B6761" t="s">
        <v>2480</v>
      </c>
      <c r="C6761" t="s">
        <v>75</v>
      </c>
      <c r="D6761" s="1">
        <v>46012</v>
      </c>
      <c r="E6761" t="s">
        <v>4124</v>
      </c>
      <c r="F6761" t="s">
        <v>4139</v>
      </c>
    </row>
    <row r="6762" spans="1:6">
      <c r="A6762" t="s">
        <v>10891</v>
      </c>
      <c r="B6762" t="s">
        <v>2480</v>
      </c>
      <c r="C6762" t="s">
        <v>75</v>
      </c>
      <c r="D6762" s="1">
        <v>46002</v>
      </c>
      <c r="E6762" t="s">
        <v>4135</v>
      </c>
      <c r="F6762" t="s">
        <v>4139</v>
      </c>
    </row>
    <row r="6763" spans="1:6">
      <c r="A6763" t="s">
        <v>10892</v>
      </c>
      <c r="B6763" t="s">
        <v>2480</v>
      </c>
      <c r="C6763" t="s">
        <v>75</v>
      </c>
      <c r="D6763" s="1">
        <v>46000</v>
      </c>
      <c r="E6763" t="s">
        <v>4133</v>
      </c>
      <c r="F6763" t="s">
        <v>4125</v>
      </c>
    </row>
    <row r="6764" spans="1:6">
      <c r="A6764" t="s">
        <v>10893</v>
      </c>
      <c r="B6764" t="s">
        <v>2480</v>
      </c>
      <c r="C6764" t="s">
        <v>75</v>
      </c>
      <c r="D6764" s="1">
        <v>46010</v>
      </c>
      <c r="E6764" t="s">
        <v>4124</v>
      </c>
      <c r="F6764" t="s">
        <v>4125</v>
      </c>
    </row>
    <row r="6765" spans="1:6">
      <c r="A6765" t="s">
        <v>10894</v>
      </c>
      <c r="B6765" t="s">
        <v>2481</v>
      </c>
      <c r="C6765" t="s">
        <v>16</v>
      </c>
      <c r="D6765" s="1">
        <v>45982</v>
      </c>
      <c r="E6765" t="s">
        <v>4124</v>
      </c>
      <c r="F6765" t="s">
        <v>4139</v>
      </c>
    </row>
    <row r="6766" spans="1:6">
      <c r="A6766" t="s">
        <v>10895</v>
      </c>
      <c r="B6766" t="s">
        <v>2481</v>
      </c>
      <c r="C6766" t="s">
        <v>16</v>
      </c>
      <c r="D6766" s="1">
        <v>45958</v>
      </c>
      <c r="E6766" t="s">
        <v>4129</v>
      </c>
      <c r="F6766" t="s">
        <v>4125</v>
      </c>
    </row>
    <row r="6767" spans="1:6">
      <c r="A6767" t="s">
        <v>10896</v>
      </c>
      <c r="B6767" t="s">
        <v>2481</v>
      </c>
      <c r="C6767" t="s">
        <v>16</v>
      </c>
      <c r="D6767" s="1">
        <v>45958</v>
      </c>
      <c r="E6767" t="s">
        <v>4127</v>
      </c>
      <c r="F6767" t="s">
        <v>4137</v>
      </c>
    </row>
    <row r="6768" spans="1:6">
      <c r="A6768" t="s">
        <v>10897</v>
      </c>
      <c r="B6768" t="s">
        <v>2481</v>
      </c>
      <c r="C6768" t="s">
        <v>16</v>
      </c>
      <c r="D6768" s="1">
        <v>45992</v>
      </c>
      <c r="E6768" t="s">
        <v>4135</v>
      </c>
      <c r="F6768" t="s">
        <v>4137</v>
      </c>
    </row>
    <row r="6769" spans="1:6">
      <c r="A6769" t="s">
        <v>10898</v>
      </c>
      <c r="B6769" t="s">
        <v>2482</v>
      </c>
      <c r="C6769" t="s">
        <v>27</v>
      </c>
      <c r="D6769" s="1">
        <v>46021</v>
      </c>
      <c r="E6769" t="s">
        <v>4127</v>
      </c>
      <c r="F6769" t="s">
        <v>4125</v>
      </c>
    </row>
    <row r="6770" spans="1:6">
      <c r="A6770" t="s">
        <v>10899</v>
      </c>
      <c r="B6770" t="s">
        <v>2482</v>
      </c>
      <c r="C6770" t="s">
        <v>27</v>
      </c>
      <c r="D6770" s="1">
        <v>46018</v>
      </c>
      <c r="E6770" t="s">
        <v>4135</v>
      </c>
      <c r="F6770" t="s">
        <v>4125</v>
      </c>
    </row>
    <row r="6771" spans="1:6">
      <c r="A6771" t="s">
        <v>10900</v>
      </c>
      <c r="B6771" t="s">
        <v>2482</v>
      </c>
      <c r="C6771" t="s">
        <v>27</v>
      </c>
      <c r="D6771" s="1">
        <v>46020</v>
      </c>
      <c r="E6771" t="s">
        <v>4124</v>
      </c>
      <c r="F6771" t="s">
        <v>4125</v>
      </c>
    </row>
    <row r="6772" spans="1:6">
      <c r="A6772" t="s">
        <v>10901</v>
      </c>
      <c r="B6772" t="s">
        <v>2483</v>
      </c>
      <c r="C6772" t="s">
        <v>40</v>
      </c>
      <c r="D6772" s="1">
        <v>45975</v>
      </c>
      <c r="E6772" t="s">
        <v>4124</v>
      </c>
      <c r="F6772" t="s">
        <v>4139</v>
      </c>
    </row>
    <row r="6773" spans="1:6">
      <c r="A6773" t="s">
        <v>10902</v>
      </c>
      <c r="B6773" t="s">
        <v>2483</v>
      </c>
      <c r="C6773" t="s">
        <v>40</v>
      </c>
      <c r="D6773" s="1">
        <v>45974</v>
      </c>
      <c r="E6773" t="s">
        <v>4124</v>
      </c>
      <c r="F6773" t="s">
        <v>4137</v>
      </c>
    </row>
    <row r="6774" spans="1:6">
      <c r="A6774" t="s">
        <v>10903</v>
      </c>
      <c r="B6774" t="s">
        <v>2483</v>
      </c>
      <c r="C6774" t="s">
        <v>40</v>
      </c>
      <c r="D6774" s="1">
        <v>45997</v>
      </c>
      <c r="E6774" t="s">
        <v>4133</v>
      </c>
      <c r="F6774" t="s">
        <v>4137</v>
      </c>
    </row>
    <row r="6775" spans="1:6">
      <c r="A6775" t="s">
        <v>10904</v>
      </c>
      <c r="B6775" t="s">
        <v>2483</v>
      </c>
      <c r="C6775" t="s">
        <v>40</v>
      </c>
      <c r="D6775" s="1">
        <v>45988</v>
      </c>
      <c r="E6775" t="s">
        <v>4135</v>
      </c>
      <c r="F6775" t="s">
        <v>4137</v>
      </c>
    </row>
    <row r="6776" spans="1:6">
      <c r="A6776" t="s">
        <v>10905</v>
      </c>
      <c r="B6776" t="s">
        <v>2483</v>
      </c>
      <c r="C6776" t="s">
        <v>40</v>
      </c>
      <c r="D6776" s="1">
        <v>45975</v>
      </c>
      <c r="E6776" t="s">
        <v>4133</v>
      </c>
      <c r="F6776" t="s">
        <v>4137</v>
      </c>
    </row>
    <row r="6777" spans="1:6">
      <c r="A6777" t="s">
        <v>10906</v>
      </c>
      <c r="B6777" t="s">
        <v>2484</v>
      </c>
      <c r="C6777" t="s">
        <v>27</v>
      </c>
      <c r="D6777" s="1">
        <v>45998</v>
      </c>
      <c r="E6777" t="s">
        <v>4124</v>
      </c>
      <c r="F6777" t="s">
        <v>4139</v>
      </c>
    </row>
    <row r="6778" spans="1:6">
      <c r="A6778" t="s">
        <v>10907</v>
      </c>
      <c r="B6778" t="s">
        <v>2484</v>
      </c>
      <c r="C6778" t="s">
        <v>27</v>
      </c>
      <c r="D6778" s="1">
        <v>46012</v>
      </c>
      <c r="E6778" t="s">
        <v>4124</v>
      </c>
      <c r="F6778" t="s">
        <v>4137</v>
      </c>
    </row>
    <row r="6779" spans="1:6">
      <c r="A6779" t="s">
        <v>10908</v>
      </c>
      <c r="B6779" t="s">
        <v>2484</v>
      </c>
      <c r="C6779" t="s">
        <v>27</v>
      </c>
      <c r="D6779" s="1">
        <v>46001</v>
      </c>
      <c r="E6779" t="s">
        <v>4133</v>
      </c>
      <c r="F6779" t="s">
        <v>4137</v>
      </c>
    </row>
    <row r="6780" spans="1:6">
      <c r="A6780" t="s">
        <v>10909</v>
      </c>
      <c r="B6780" t="s">
        <v>2484</v>
      </c>
      <c r="C6780" t="s">
        <v>27</v>
      </c>
      <c r="D6780" s="1">
        <v>46011</v>
      </c>
      <c r="E6780" t="s">
        <v>4124</v>
      </c>
      <c r="F6780" t="s">
        <v>4137</v>
      </c>
    </row>
    <row r="6781" spans="1:6">
      <c r="A6781" t="s">
        <v>10910</v>
      </c>
      <c r="B6781" t="s">
        <v>2484</v>
      </c>
      <c r="C6781" t="s">
        <v>27</v>
      </c>
      <c r="D6781" s="1">
        <v>46022</v>
      </c>
      <c r="E6781" t="s">
        <v>4133</v>
      </c>
      <c r="F6781" t="s">
        <v>4125</v>
      </c>
    </row>
    <row r="6782" spans="1:6">
      <c r="A6782" t="s">
        <v>10911</v>
      </c>
      <c r="B6782" t="s">
        <v>2485</v>
      </c>
      <c r="C6782" t="s">
        <v>40</v>
      </c>
      <c r="D6782" s="1">
        <v>45923</v>
      </c>
      <c r="E6782" t="s">
        <v>4133</v>
      </c>
      <c r="F6782" t="s">
        <v>4137</v>
      </c>
    </row>
    <row r="6783" spans="1:6">
      <c r="A6783" t="s">
        <v>10912</v>
      </c>
      <c r="B6783" t="s">
        <v>2485</v>
      </c>
      <c r="C6783" t="s">
        <v>40</v>
      </c>
      <c r="D6783" s="1">
        <v>45919</v>
      </c>
      <c r="E6783" t="s">
        <v>4124</v>
      </c>
      <c r="F6783" t="s">
        <v>4125</v>
      </c>
    </row>
    <row r="6784" spans="1:6">
      <c r="A6784" t="s">
        <v>10913</v>
      </c>
      <c r="B6784" t="s">
        <v>2485</v>
      </c>
      <c r="C6784" t="s">
        <v>40</v>
      </c>
      <c r="D6784" s="1">
        <v>45925</v>
      </c>
      <c r="E6784" t="s">
        <v>4135</v>
      </c>
      <c r="F6784" t="s">
        <v>4125</v>
      </c>
    </row>
    <row r="6785" spans="1:6">
      <c r="A6785" t="s">
        <v>10914</v>
      </c>
      <c r="B6785" t="s">
        <v>2485</v>
      </c>
      <c r="C6785" t="s">
        <v>40</v>
      </c>
      <c r="D6785" s="1">
        <v>45916</v>
      </c>
      <c r="E6785" t="s">
        <v>4127</v>
      </c>
      <c r="F6785" t="s">
        <v>4139</v>
      </c>
    </row>
    <row r="6786" spans="1:6">
      <c r="A6786" t="s">
        <v>10915</v>
      </c>
      <c r="B6786" t="s">
        <v>2485</v>
      </c>
      <c r="C6786" t="s">
        <v>40</v>
      </c>
      <c r="D6786" s="1">
        <v>45933</v>
      </c>
      <c r="E6786" t="s">
        <v>4129</v>
      </c>
      <c r="F6786" t="s">
        <v>4125</v>
      </c>
    </row>
    <row r="6787" spans="1:6">
      <c r="A6787" t="s">
        <v>10916</v>
      </c>
      <c r="B6787" t="s">
        <v>2486</v>
      </c>
      <c r="C6787" t="s">
        <v>36</v>
      </c>
      <c r="D6787" s="1">
        <v>45792</v>
      </c>
      <c r="E6787" t="s">
        <v>4129</v>
      </c>
      <c r="F6787" t="s">
        <v>4125</v>
      </c>
    </row>
    <row r="6788" spans="1:6">
      <c r="A6788" t="s">
        <v>10917</v>
      </c>
      <c r="B6788" t="s">
        <v>2486</v>
      </c>
      <c r="C6788" t="s">
        <v>36</v>
      </c>
      <c r="D6788" s="1">
        <v>45831</v>
      </c>
      <c r="E6788" t="s">
        <v>4135</v>
      </c>
      <c r="F6788" t="s">
        <v>4139</v>
      </c>
    </row>
    <row r="6789" spans="1:6">
      <c r="A6789" t="s">
        <v>10918</v>
      </c>
      <c r="B6789" t="s">
        <v>2486</v>
      </c>
      <c r="C6789" t="s">
        <v>36</v>
      </c>
      <c r="D6789" s="1">
        <v>45804</v>
      </c>
      <c r="E6789" t="s">
        <v>4129</v>
      </c>
      <c r="F6789" t="s">
        <v>4139</v>
      </c>
    </row>
    <row r="6790" spans="1:6">
      <c r="A6790" t="s">
        <v>10919</v>
      </c>
      <c r="B6790" t="s">
        <v>2487</v>
      </c>
      <c r="C6790" t="s">
        <v>70</v>
      </c>
      <c r="D6790" s="1">
        <v>45790</v>
      </c>
      <c r="E6790" t="s">
        <v>4127</v>
      </c>
      <c r="F6790" t="s">
        <v>4137</v>
      </c>
    </row>
    <row r="6791" spans="1:6">
      <c r="A6791" t="s">
        <v>10920</v>
      </c>
      <c r="B6791" t="s">
        <v>2487</v>
      </c>
      <c r="C6791" t="s">
        <v>70</v>
      </c>
      <c r="D6791" s="1">
        <v>45780</v>
      </c>
      <c r="E6791" t="s">
        <v>4124</v>
      </c>
      <c r="F6791" t="s">
        <v>4139</v>
      </c>
    </row>
    <row r="6792" spans="1:6">
      <c r="A6792" t="s">
        <v>10921</v>
      </c>
      <c r="B6792" t="s">
        <v>2487</v>
      </c>
      <c r="C6792" t="s">
        <v>70</v>
      </c>
      <c r="D6792" s="1">
        <v>45777</v>
      </c>
      <c r="E6792" t="s">
        <v>4127</v>
      </c>
      <c r="F6792" t="s">
        <v>4139</v>
      </c>
    </row>
    <row r="6793" spans="1:6">
      <c r="A6793" t="s">
        <v>10922</v>
      </c>
      <c r="B6793" t="s">
        <v>2487</v>
      </c>
      <c r="C6793" t="s">
        <v>70</v>
      </c>
      <c r="D6793" s="1">
        <v>45789</v>
      </c>
      <c r="E6793" t="s">
        <v>4124</v>
      </c>
      <c r="F6793" t="s">
        <v>4125</v>
      </c>
    </row>
    <row r="6794" spans="1:6">
      <c r="A6794" t="s">
        <v>10923</v>
      </c>
      <c r="B6794" t="s">
        <v>2489</v>
      </c>
      <c r="C6794" t="s">
        <v>59</v>
      </c>
      <c r="D6794" s="1">
        <v>45718</v>
      </c>
      <c r="E6794" t="s">
        <v>4133</v>
      </c>
      <c r="F6794" t="s">
        <v>4137</v>
      </c>
    </row>
    <row r="6795" spans="1:6">
      <c r="A6795" t="s">
        <v>10924</v>
      </c>
      <c r="B6795" t="s">
        <v>2489</v>
      </c>
      <c r="C6795" t="s">
        <v>59</v>
      </c>
      <c r="D6795" s="1">
        <v>45704</v>
      </c>
      <c r="E6795" t="s">
        <v>4127</v>
      </c>
      <c r="F6795" t="s">
        <v>4137</v>
      </c>
    </row>
    <row r="6796" spans="1:6">
      <c r="A6796" t="s">
        <v>10925</v>
      </c>
      <c r="B6796" t="s">
        <v>2490</v>
      </c>
      <c r="C6796" t="s">
        <v>36</v>
      </c>
      <c r="D6796" s="1">
        <v>45958</v>
      </c>
      <c r="E6796" t="s">
        <v>4124</v>
      </c>
      <c r="F6796" t="s">
        <v>4137</v>
      </c>
    </row>
    <row r="6797" spans="1:6">
      <c r="A6797" t="s">
        <v>10926</v>
      </c>
      <c r="B6797" t="s">
        <v>2490</v>
      </c>
      <c r="C6797" t="s">
        <v>36</v>
      </c>
      <c r="D6797" s="1">
        <v>45970</v>
      </c>
      <c r="E6797" t="s">
        <v>4124</v>
      </c>
      <c r="F6797" t="s">
        <v>4139</v>
      </c>
    </row>
    <row r="6798" spans="1:6">
      <c r="A6798" t="s">
        <v>10927</v>
      </c>
      <c r="B6798" t="s">
        <v>2490</v>
      </c>
      <c r="C6798" t="s">
        <v>36</v>
      </c>
      <c r="D6798" s="1">
        <v>45954</v>
      </c>
      <c r="E6798" t="s">
        <v>4135</v>
      </c>
      <c r="F6798" t="s">
        <v>4139</v>
      </c>
    </row>
    <row r="6799" spans="1:6">
      <c r="A6799" t="s">
        <v>10928</v>
      </c>
      <c r="B6799" t="s">
        <v>2490</v>
      </c>
      <c r="C6799" t="s">
        <v>36</v>
      </c>
      <c r="D6799" s="1">
        <v>45973</v>
      </c>
      <c r="E6799" t="s">
        <v>4127</v>
      </c>
      <c r="F6799" t="s">
        <v>4125</v>
      </c>
    </row>
    <row r="6800" spans="1:6">
      <c r="A6800" t="s">
        <v>10929</v>
      </c>
      <c r="B6800" t="s">
        <v>2490</v>
      </c>
      <c r="C6800" t="s">
        <v>36</v>
      </c>
      <c r="D6800" s="1">
        <v>45926</v>
      </c>
      <c r="E6800" t="s">
        <v>4129</v>
      </c>
      <c r="F6800" t="s">
        <v>4137</v>
      </c>
    </row>
    <row r="6801" spans="1:6">
      <c r="A6801" t="s">
        <v>10930</v>
      </c>
      <c r="B6801" t="s">
        <v>2491</v>
      </c>
      <c r="C6801" t="s">
        <v>152</v>
      </c>
      <c r="D6801" s="1">
        <v>45789</v>
      </c>
      <c r="E6801" t="s">
        <v>4129</v>
      </c>
      <c r="F6801" t="s">
        <v>4125</v>
      </c>
    </row>
    <row r="6802" spans="1:6">
      <c r="A6802" t="s">
        <v>10931</v>
      </c>
      <c r="B6802" t="s">
        <v>2491</v>
      </c>
      <c r="C6802" t="s">
        <v>152</v>
      </c>
      <c r="D6802" s="1">
        <v>45783</v>
      </c>
      <c r="E6802" t="s">
        <v>4135</v>
      </c>
      <c r="F6802" t="s">
        <v>4137</v>
      </c>
    </row>
    <row r="6803" spans="1:6">
      <c r="A6803" t="s">
        <v>10932</v>
      </c>
      <c r="B6803" t="s">
        <v>2491</v>
      </c>
      <c r="C6803" t="s">
        <v>152</v>
      </c>
      <c r="D6803" s="1">
        <v>45775</v>
      </c>
      <c r="E6803" t="s">
        <v>4127</v>
      </c>
      <c r="F6803" t="s">
        <v>4125</v>
      </c>
    </row>
    <row r="6804" spans="1:6">
      <c r="A6804" t="s">
        <v>10933</v>
      </c>
      <c r="B6804" t="s">
        <v>2492</v>
      </c>
      <c r="C6804" t="s">
        <v>78</v>
      </c>
      <c r="D6804" s="1">
        <v>45736</v>
      </c>
      <c r="E6804" t="s">
        <v>4129</v>
      </c>
      <c r="F6804" t="s">
        <v>4137</v>
      </c>
    </row>
    <row r="6805" spans="1:6">
      <c r="A6805" t="s">
        <v>10934</v>
      </c>
      <c r="B6805" t="s">
        <v>2492</v>
      </c>
      <c r="C6805" t="s">
        <v>78</v>
      </c>
      <c r="D6805" s="1">
        <v>45689</v>
      </c>
      <c r="E6805" t="s">
        <v>4129</v>
      </c>
      <c r="F6805" t="s">
        <v>4137</v>
      </c>
    </row>
    <row r="6806" spans="1:6">
      <c r="A6806" t="s">
        <v>10935</v>
      </c>
      <c r="B6806" t="s">
        <v>2492</v>
      </c>
      <c r="C6806" t="s">
        <v>78</v>
      </c>
      <c r="D6806" s="1">
        <v>45695</v>
      </c>
      <c r="E6806" t="s">
        <v>4133</v>
      </c>
      <c r="F6806" t="s">
        <v>4139</v>
      </c>
    </row>
    <row r="6807" spans="1:6">
      <c r="A6807" t="s">
        <v>10936</v>
      </c>
      <c r="B6807" t="s">
        <v>2493</v>
      </c>
      <c r="C6807" t="s">
        <v>78</v>
      </c>
      <c r="D6807" s="1">
        <v>45865</v>
      </c>
      <c r="E6807" t="s">
        <v>4133</v>
      </c>
      <c r="F6807" t="s">
        <v>4137</v>
      </c>
    </row>
    <row r="6808" spans="1:6">
      <c r="A6808" t="s">
        <v>10937</v>
      </c>
      <c r="B6808" t="s">
        <v>2493</v>
      </c>
      <c r="C6808" t="s">
        <v>78</v>
      </c>
      <c r="D6808" s="1">
        <v>45829</v>
      </c>
      <c r="E6808" t="s">
        <v>4133</v>
      </c>
      <c r="F6808" t="s">
        <v>4139</v>
      </c>
    </row>
    <row r="6809" spans="1:6">
      <c r="A6809" t="s">
        <v>10938</v>
      </c>
      <c r="B6809" t="s">
        <v>2493</v>
      </c>
      <c r="C6809" t="s">
        <v>78</v>
      </c>
      <c r="D6809" s="1">
        <v>45819</v>
      </c>
      <c r="E6809" t="s">
        <v>4129</v>
      </c>
      <c r="F6809" t="s">
        <v>4125</v>
      </c>
    </row>
    <row r="6810" spans="1:6">
      <c r="A6810" t="s">
        <v>10939</v>
      </c>
      <c r="B6810" t="s">
        <v>2494</v>
      </c>
      <c r="C6810" t="s">
        <v>75</v>
      </c>
      <c r="D6810" s="1">
        <v>45793</v>
      </c>
      <c r="E6810" t="s">
        <v>4127</v>
      </c>
      <c r="F6810" t="s">
        <v>4137</v>
      </c>
    </row>
    <row r="6811" spans="1:6">
      <c r="A6811" t="s">
        <v>10940</v>
      </c>
      <c r="B6811" t="s">
        <v>2494</v>
      </c>
      <c r="C6811" t="s">
        <v>75</v>
      </c>
      <c r="D6811" s="1">
        <v>45797</v>
      </c>
      <c r="E6811" t="s">
        <v>4129</v>
      </c>
      <c r="F6811" t="s">
        <v>4137</v>
      </c>
    </row>
    <row r="6812" spans="1:6">
      <c r="A6812" t="s">
        <v>10941</v>
      </c>
      <c r="B6812" t="s">
        <v>2495</v>
      </c>
      <c r="C6812" t="s">
        <v>36</v>
      </c>
      <c r="D6812" s="1">
        <v>45825</v>
      </c>
      <c r="E6812" t="s">
        <v>4127</v>
      </c>
      <c r="F6812" t="s">
        <v>4139</v>
      </c>
    </row>
    <row r="6813" spans="1:6">
      <c r="A6813" t="s">
        <v>10942</v>
      </c>
      <c r="B6813" t="s">
        <v>2495</v>
      </c>
      <c r="C6813" t="s">
        <v>36</v>
      </c>
      <c r="D6813" s="1">
        <v>45847</v>
      </c>
      <c r="E6813" t="s">
        <v>4129</v>
      </c>
      <c r="F6813" t="s">
        <v>4137</v>
      </c>
    </row>
    <row r="6814" spans="1:6">
      <c r="A6814" t="s">
        <v>10943</v>
      </c>
      <c r="B6814" t="s">
        <v>2495</v>
      </c>
      <c r="C6814" t="s">
        <v>36</v>
      </c>
      <c r="D6814" s="1">
        <v>45837</v>
      </c>
      <c r="E6814" t="s">
        <v>4127</v>
      </c>
      <c r="F6814" t="s">
        <v>4137</v>
      </c>
    </row>
    <row r="6815" spans="1:6">
      <c r="A6815" t="s">
        <v>10944</v>
      </c>
      <c r="B6815" t="s">
        <v>2495</v>
      </c>
      <c r="C6815" t="s">
        <v>36</v>
      </c>
      <c r="D6815" s="1">
        <v>45854</v>
      </c>
      <c r="E6815" t="s">
        <v>4135</v>
      </c>
      <c r="F6815" t="s">
        <v>4137</v>
      </c>
    </row>
    <row r="6816" spans="1:6">
      <c r="A6816" t="s">
        <v>10945</v>
      </c>
      <c r="B6816" t="s">
        <v>2496</v>
      </c>
      <c r="C6816" t="s">
        <v>63</v>
      </c>
      <c r="D6816" s="1">
        <v>45981</v>
      </c>
      <c r="E6816" t="s">
        <v>4124</v>
      </c>
      <c r="F6816" t="s">
        <v>4137</v>
      </c>
    </row>
    <row r="6817" spans="1:6">
      <c r="A6817" t="s">
        <v>10946</v>
      </c>
      <c r="B6817" t="s">
        <v>2496</v>
      </c>
      <c r="C6817" t="s">
        <v>63</v>
      </c>
      <c r="D6817" s="1">
        <v>45992</v>
      </c>
      <c r="E6817" t="s">
        <v>4135</v>
      </c>
      <c r="F6817" t="s">
        <v>4125</v>
      </c>
    </row>
    <row r="6818" spans="1:6">
      <c r="A6818" t="s">
        <v>10947</v>
      </c>
      <c r="B6818" t="s">
        <v>2496</v>
      </c>
      <c r="C6818" t="s">
        <v>63</v>
      </c>
      <c r="D6818" s="1">
        <v>45963</v>
      </c>
      <c r="E6818" t="s">
        <v>4129</v>
      </c>
      <c r="F6818" t="s">
        <v>4125</v>
      </c>
    </row>
    <row r="6819" spans="1:6">
      <c r="A6819" t="s">
        <v>10948</v>
      </c>
      <c r="B6819" t="s">
        <v>2496</v>
      </c>
      <c r="C6819" t="s">
        <v>63</v>
      </c>
      <c r="D6819" s="1">
        <v>45982</v>
      </c>
      <c r="E6819" t="s">
        <v>4129</v>
      </c>
      <c r="F6819" t="s">
        <v>4137</v>
      </c>
    </row>
    <row r="6820" spans="1:6">
      <c r="A6820" t="s">
        <v>10949</v>
      </c>
      <c r="B6820" t="s">
        <v>2497</v>
      </c>
      <c r="C6820" t="s">
        <v>46</v>
      </c>
      <c r="D6820" s="1">
        <v>45919</v>
      </c>
      <c r="E6820" t="s">
        <v>4124</v>
      </c>
      <c r="F6820" t="s">
        <v>4139</v>
      </c>
    </row>
    <row r="6821" spans="1:6">
      <c r="A6821" t="s">
        <v>10950</v>
      </c>
      <c r="B6821" t="s">
        <v>2497</v>
      </c>
      <c r="C6821" t="s">
        <v>46</v>
      </c>
      <c r="D6821" s="1">
        <v>45903</v>
      </c>
      <c r="E6821" t="s">
        <v>4124</v>
      </c>
      <c r="F6821" t="s">
        <v>4125</v>
      </c>
    </row>
    <row r="6822" spans="1:6">
      <c r="A6822" t="s">
        <v>10951</v>
      </c>
      <c r="B6822" t="s">
        <v>2498</v>
      </c>
      <c r="C6822" t="s">
        <v>36</v>
      </c>
      <c r="D6822" s="1">
        <v>45877</v>
      </c>
      <c r="E6822" t="s">
        <v>4124</v>
      </c>
      <c r="F6822" t="s">
        <v>4125</v>
      </c>
    </row>
    <row r="6823" spans="1:6">
      <c r="A6823" t="s">
        <v>10952</v>
      </c>
      <c r="B6823" t="s">
        <v>2498</v>
      </c>
      <c r="C6823" t="s">
        <v>36</v>
      </c>
      <c r="D6823" s="1">
        <v>45900</v>
      </c>
      <c r="E6823" t="s">
        <v>4127</v>
      </c>
      <c r="F6823" t="s">
        <v>4139</v>
      </c>
    </row>
    <row r="6824" spans="1:6">
      <c r="A6824" t="s">
        <v>10953</v>
      </c>
      <c r="B6824" t="s">
        <v>2498</v>
      </c>
      <c r="C6824" t="s">
        <v>36</v>
      </c>
      <c r="D6824" s="1">
        <v>45888</v>
      </c>
      <c r="E6824" t="s">
        <v>4129</v>
      </c>
      <c r="F6824" t="s">
        <v>4137</v>
      </c>
    </row>
    <row r="6825" spans="1:6">
      <c r="A6825" t="s">
        <v>10954</v>
      </c>
      <c r="B6825" t="s">
        <v>2498</v>
      </c>
      <c r="C6825" t="s">
        <v>36</v>
      </c>
      <c r="D6825" s="1">
        <v>45879</v>
      </c>
      <c r="E6825" t="s">
        <v>4124</v>
      </c>
      <c r="F6825" t="s">
        <v>4137</v>
      </c>
    </row>
    <row r="6826" spans="1:6">
      <c r="A6826" t="s">
        <v>10955</v>
      </c>
      <c r="B6826" t="s">
        <v>2499</v>
      </c>
      <c r="C6826" t="s">
        <v>119</v>
      </c>
      <c r="D6826" s="1">
        <v>45687</v>
      </c>
      <c r="E6826" t="s">
        <v>4135</v>
      </c>
      <c r="F6826" t="s">
        <v>4139</v>
      </c>
    </row>
    <row r="6827" spans="1:6">
      <c r="A6827" t="s">
        <v>10956</v>
      </c>
      <c r="B6827" t="s">
        <v>2499</v>
      </c>
      <c r="C6827" t="s">
        <v>119</v>
      </c>
      <c r="D6827" s="1">
        <v>45685</v>
      </c>
      <c r="E6827" t="s">
        <v>4129</v>
      </c>
      <c r="F6827" t="s">
        <v>4125</v>
      </c>
    </row>
    <row r="6828" spans="1:6">
      <c r="A6828" t="s">
        <v>10957</v>
      </c>
      <c r="B6828" t="s">
        <v>2500</v>
      </c>
      <c r="C6828" t="s">
        <v>27</v>
      </c>
      <c r="D6828" s="1">
        <v>45745</v>
      </c>
      <c r="E6828" t="s">
        <v>4124</v>
      </c>
      <c r="F6828" t="s">
        <v>4139</v>
      </c>
    </row>
    <row r="6829" spans="1:6">
      <c r="A6829" t="s">
        <v>10958</v>
      </c>
      <c r="B6829" t="s">
        <v>2500</v>
      </c>
      <c r="C6829" t="s">
        <v>27</v>
      </c>
      <c r="D6829" s="1">
        <v>45775</v>
      </c>
      <c r="E6829" t="s">
        <v>4127</v>
      </c>
      <c r="F6829" t="s">
        <v>4125</v>
      </c>
    </row>
    <row r="6830" spans="1:6">
      <c r="A6830" t="s">
        <v>10959</v>
      </c>
      <c r="B6830" t="s">
        <v>2500</v>
      </c>
      <c r="C6830" t="s">
        <v>27</v>
      </c>
      <c r="D6830" s="1">
        <v>45740</v>
      </c>
      <c r="E6830" t="s">
        <v>4124</v>
      </c>
      <c r="F6830" t="s">
        <v>4125</v>
      </c>
    </row>
    <row r="6831" spans="1:6">
      <c r="A6831" t="s">
        <v>10960</v>
      </c>
      <c r="B6831" t="s">
        <v>2500</v>
      </c>
      <c r="C6831" t="s">
        <v>27</v>
      </c>
      <c r="D6831" s="1">
        <v>45734</v>
      </c>
      <c r="E6831" t="s">
        <v>4135</v>
      </c>
      <c r="F6831" t="s">
        <v>4139</v>
      </c>
    </row>
    <row r="6832" spans="1:6">
      <c r="A6832" t="s">
        <v>10961</v>
      </c>
      <c r="B6832" t="s">
        <v>2501</v>
      </c>
      <c r="C6832" t="s">
        <v>16</v>
      </c>
      <c r="D6832" s="1">
        <v>45893</v>
      </c>
      <c r="E6832" t="s">
        <v>4135</v>
      </c>
      <c r="F6832" t="s">
        <v>4125</v>
      </c>
    </row>
    <row r="6833" spans="1:6">
      <c r="A6833" t="s">
        <v>10962</v>
      </c>
      <c r="B6833" t="s">
        <v>2501</v>
      </c>
      <c r="C6833" t="s">
        <v>16</v>
      </c>
      <c r="D6833" s="1">
        <v>45883</v>
      </c>
      <c r="E6833" t="s">
        <v>4124</v>
      </c>
      <c r="F6833" t="s">
        <v>4139</v>
      </c>
    </row>
    <row r="6834" spans="1:6">
      <c r="A6834" t="s">
        <v>10963</v>
      </c>
      <c r="B6834" t="s">
        <v>2501</v>
      </c>
      <c r="C6834" t="s">
        <v>16</v>
      </c>
      <c r="D6834" s="1">
        <v>45895</v>
      </c>
      <c r="E6834" t="s">
        <v>4135</v>
      </c>
      <c r="F6834" t="s">
        <v>4125</v>
      </c>
    </row>
    <row r="6835" spans="1:6">
      <c r="A6835" t="s">
        <v>10964</v>
      </c>
      <c r="B6835" t="s">
        <v>2502</v>
      </c>
      <c r="C6835" t="s">
        <v>40</v>
      </c>
      <c r="D6835" s="1">
        <v>45700</v>
      </c>
      <c r="E6835" t="s">
        <v>4135</v>
      </c>
      <c r="F6835" t="s">
        <v>4139</v>
      </c>
    </row>
    <row r="6836" spans="1:6">
      <c r="A6836" t="s">
        <v>10965</v>
      </c>
      <c r="B6836" t="s">
        <v>2502</v>
      </c>
      <c r="C6836" t="s">
        <v>40</v>
      </c>
      <c r="D6836" s="1">
        <v>45683</v>
      </c>
      <c r="E6836" t="s">
        <v>4127</v>
      </c>
      <c r="F6836" t="s">
        <v>4125</v>
      </c>
    </row>
    <row r="6837" spans="1:6">
      <c r="A6837" t="s">
        <v>10966</v>
      </c>
      <c r="B6837" t="s">
        <v>2503</v>
      </c>
      <c r="C6837" t="s">
        <v>91</v>
      </c>
      <c r="D6837" s="1">
        <v>45715</v>
      </c>
      <c r="E6837" t="s">
        <v>4133</v>
      </c>
      <c r="F6837" t="s">
        <v>4125</v>
      </c>
    </row>
    <row r="6838" spans="1:6">
      <c r="A6838" t="s">
        <v>10967</v>
      </c>
      <c r="B6838" t="s">
        <v>2503</v>
      </c>
      <c r="C6838" t="s">
        <v>91</v>
      </c>
      <c r="D6838" s="1">
        <v>45723</v>
      </c>
      <c r="E6838" t="s">
        <v>4129</v>
      </c>
      <c r="F6838" t="s">
        <v>4125</v>
      </c>
    </row>
    <row r="6839" spans="1:6">
      <c r="A6839" t="s">
        <v>10968</v>
      </c>
      <c r="B6839" t="s">
        <v>2503</v>
      </c>
      <c r="C6839" t="s">
        <v>91</v>
      </c>
      <c r="D6839" s="1">
        <v>45733</v>
      </c>
      <c r="E6839" t="s">
        <v>4124</v>
      </c>
      <c r="F6839" t="s">
        <v>4139</v>
      </c>
    </row>
    <row r="6840" spans="1:6">
      <c r="A6840" t="s">
        <v>10969</v>
      </c>
      <c r="B6840" t="s">
        <v>2504</v>
      </c>
      <c r="C6840" t="s">
        <v>16</v>
      </c>
      <c r="D6840" s="1">
        <v>45690</v>
      </c>
      <c r="E6840" t="s">
        <v>4133</v>
      </c>
      <c r="F6840" t="s">
        <v>4125</v>
      </c>
    </row>
    <row r="6841" spans="1:6">
      <c r="A6841" t="s">
        <v>10970</v>
      </c>
      <c r="B6841" t="s">
        <v>2504</v>
      </c>
      <c r="C6841" t="s">
        <v>16</v>
      </c>
      <c r="D6841" s="1">
        <v>45671</v>
      </c>
      <c r="E6841" t="s">
        <v>4135</v>
      </c>
      <c r="F6841" t="s">
        <v>4125</v>
      </c>
    </row>
    <row r="6842" spans="1:6">
      <c r="A6842" t="s">
        <v>10971</v>
      </c>
      <c r="B6842" t="s">
        <v>2504</v>
      </c>
      <c r="C6842" t="s">
        <v>16</v>
      </c>
      <c r="D6842" s="1">
        <v>45681</v>
      </c>
      <c r="E6842" t="s">
        <v>4135</v>
      </c>
      <c r="F6842" t="s">
        <v>4139</v>
      </c>
    </row>
    <row r="6843" spans="1:6">
      <c r="A6843" t="s">
        <v>10972</v>
      </c>
      <c r="B6843" t="s">
        <v>2504</v>
      </c>
      <c r="C6843" t="s">
        <v>16</v>
      </c>
      <c r="D6843" s="1">
        <v>45691</v>
      </c>
      <c r="E6843" t="s">
        <v>4124</v>
      </c>
      <c r="F6843" t="s">
        <v>4125</v>
      </c>
    </row>
    <row r="6844" spans="1:6">
      <c r="A6844" t="s">
        <v>10973</v>
      </c>
      <c r="B6844" t="s">
        <v>2504</v>
      </c>
      <c r="C6844" t="s">
        <v>16</v>
      </c>
      <c r="D6844" s="1">
        <v>45674</v>
      </c>
      <c r="E6844" t="s">
        <v>4124</v>
      </c>
      <c r="F6844" t="s">
        <v>4137</v>
      </c>
    </row>
    <row r="6845" spans="1:6">
      <c r="A6845" t="s">
        <v>10974</v>
      </c>
      <c r="B6845" t="s">
        <v>2505</v>
      </c>
      <c r="C6845" t="s">
        <v>40</v>
      </c>
      <c r="D6845" s="1">
        <v>45926</v>
      </c>
      <c r="E6845" t="s">
        <v>4127</v>
      </c>
      <c r="F6845" t="s">
        <v>4137</v>
      </c>
    </row>
    <row r="6846" spans="1:6">
      <c r="A6846" t="s">
        <v>10975</v>
      </c>
      <c r="B6846" t="s">
        <v>2505</v>
      </c>
      <c r="C6846" t="s">
        <v>40</v>
      </c>
      <c r="D6846" s="1">
        <v>45896</v>
      </c>
      <c r="E6846" t="s">
        <v>4127</v>
      </c>
      <c r="F6846" t="s">
        <v>4137</v>
      </c>
    </row>
    <row r="6847" spans="1:6">
      <c r="A6847" t="s">
        <v>10976</v>
      </c>
      <c r="B6847" t="s">
        <v>2505</v>
      </c>
      <c r="C6847" t="s">
        <v>40</v>
      </c>
      <c r="D6847" s="1">
        <v>45895</v>
      </c>
      <c r="E6847" t="s">
        <v>4135</v>
      </c>
      <c r="F6847" t="s">
        <v>4137</v>
      </c>
    </row>
    <row r="6848" spans="1:6">
      <c r="A6848" t="s">
        <v>10977</v>
      </c>
      <c r="B6848" t="s">
        <v>2506</v>
      </c>
      <c r="C6848" t="s">
        <v>70</v>
      </c>
      <c r="D6848" s="1">
        <v>45842</v>
      </c>
      <c r="E6848" t="s">
        <v>4124</v>
      </c>
      <c r="F6848" t="s">
        <v>4125</v>
      </c>
    </row>
    <row r="6849" spans="1:6">
      <c r="A6849" t="s">
        <v>10978</v>
      </c>
      <c r="B6849" t="s">
        <v>2506</v>
      </c>
      <c r="C6849" t="s">
        <v>70</v>
      </c>
      <c r="D6849" s="1">
        <v>45834</v>
      </c>
      <c r="E6849" t="s">
        <v>4135</v>
      </c>
      <c r="F6849" t="s">
        <v>4139</v>
      </c>
    </row>
    <row r="6850" spans="1:6">
      <c r="A6850" t="s">
        <v>10979</v>
      </c>
      <c r="B6850" t="s">
        <v>2506</v>
      </c>
      <c r="C6850" t="s">
        <v>70</v>
      </c>
      <c r="D6850" s="1">
        <v>45853</v>
      </c>
      <c r="E6850" t="s">
        <v>4133</v>
      </c>
      <c r="F6850" t="s">
        <v>4125</v>
      </c>
    </row>
    <row r="6851" spans="1:6">
      <c r="A6851" t="s">
        <v>10980</v>
      </c>
      <c r="B6851" t="s">
        <v>2506</v>
      </c>
      <c r="C6851" t="s">
        <v>70</v>
      </c>
      <c r="D6851" s="1">
        <v>45837</v>
      </c>
      <c r="E6851" t="s">
        <v>4135</v>
      </c>
      <c r="F6851" t="s">
        <v>4137</v>
      </c>
    </row>
    <row r="6852" spans="1:6">
      <c r="A6852" t="s">
        <v>10981</v>
      </c>
      <c r="B6852" t="s">
        <v>2507</v>
      </c>
      <c r="C6852" t="s">
        <v>126</v>
      </c>
      <c r="D6852" s="1">
        <v>45958</v>
      </c>
      <c r="E6852" t="s">
        <v>4124</v>
      </c>
      <c r="F6852" t="s">
        <v>4137</v>
      </c>
    </row>
    <row r="6853" spans="1:6">
      <c r="A6853" t="s">
        <v>10982</v>
      </c>
      <c r="B6853" t="s">
        <v>2507</v>
      </c>
      <c r="C6853" t="s">
        <v>126</v>
      </c>
      <c r="D6853" s="1">
        <v>45955</v>
      </c>
      <c r="E6853" t="s">
        <v>4135</v>
      </c>
      <c r="F6853" t="s">
        <v>4125</v>
      </c>
    </row>
    <row r="6854" spans="1:6">
      <c r="A6854" t="s">
        <v>10983</v>
      </c>
      <c r="B6854" t="s">
        <v>2507</v>
      </c>
      <c r="C6854" t="s">
        <v>126</v>
      </c>
      <c r="D6854" s="1">
        <v>45975</v>
      </c>
      <c r="E6854" t="s">
        <v>4129</v>
      </c>
      <c r="F6854" t="s">
        <v>4139</v>
      </c>
    </row>
    <row r="6855" spans="1:6">
      <c r="A6855" t="s">
        <v>10984</v>
      </c>
      <c r="B6855" t="s">
        <v>2508</v>
      </c>
      <c r="C6855" t="s">
        <v>63</v>
      </c>
      <c r="D6855" s="1">
        <v>45995</v>
      </c>
      <c r="E6855" t="s">
        <v>4127</v>
      </c>
      <c r="F6855" t="s">
        <v>4125</v>
      </c>
    </row>
    <row r="6856" spans="1:6">
      <c r="A6856" t="s">
        <v>10985</v>
      </c>
      <c r="B6856" t="s">
        <v>2508</v>
      </c>
      <c r="C6856" t="s">
        <v>63</v>
      </c>
      <c r="D6856" s="1">
        <v>45982</v>
      </c>
      <c r="E6856" t="s">
        <v>4129</v>
      </c>
      <c r="F6856" t="s">
        <v>4125</v>
      </c>
    </row>
    <row r="6857" spans="1:6">
      <c r="A6857" t="s">
        <v>10986</v>
      </c>
      <c r="B6857" t="s">
        <v>2508</v>
      </c>
      <c r="C6857" t="s">
        <v>63</v>
      </c>
      <c r="D6857" s="1">
        <v>45990</v>
      </c>
      <c r="E6857" t="s">
        <v>4127</v>
      </c>
      <c r="F6857" t="s">
        <v>4137</v>
      </c>
    </row>
    <row r="6858" spans="1:6">
      <c r="A6858" t="s">
        <v>10987</v>
      </c>
      <c r="B6858" t="s">
        <v>2509</v>
      </c>
      <c r="C6858" t="s">
        <v>152</v>
      </c>
      <c r="D6858" s="1">
        <v>45762</v>
      </c>
      <c r="E6858" t="s">
        <v>4127</v>
      </c>
      <c r="F6858" t="s">
        <v>4125</v>
      </c>
    </row>
    <row r="6859" spans="1:6">
      <c r="A6859" t="s">
        <v>10988</v>
      </c>
      <c r="B6859" t="s">
        <v>2509</v>
      </c>
      <c r="C6859" t="s">
        <v>152</v>
      </c>
      <c r="D6859" s="1">
        <v>45752</v>
      </c>
      <c r="E6859" t="s">
        <v>4133</v>
      </c>
      <c r="F6859" t="s">
        <v>4139</v>
      </c>
    </row>
    <row r="6860" spans="1:6">
      <c r="A6860" t="s">
        <v>10989</v>
      </c>
      <c r="B6860" t="s">
        <v>2510</v>
      </c>
      <c r="C6860" t="s">
        <v>91</v>
      </c>
      <c r="D6860" s="1">
        <v>45765</v>
      </c>
      <c r="E6860" t="s">
        <v>4129</v>
      </c>
      <c r="F6860" t="s">
        <v>4137</v>
      </c>
    </row>
    <row r="6861" spans="1:6">
      <c r="A6861" t="s">
        <v>10990</v>
      </c>
      <c r="B6861" t="s">
        <v>2510</v>
      </c>
      <c r="C6861" t="s">
        <v>91</v>
      </c>
      <c r="D6861" s="1">
        <v>45760</v>
      </c>
      <c r="E6861" t="s">
        <v>4127</v>
      </c>
      <c r="F6861" t="s">
        <v>4139</v>
      </c>
    </row>
    <row r="6862" spans="1:6">
      <c r="A6862" t="s">
        <v>10991</v>
      </c>
      <c r="B6862" t="s">
        <v>2510</v>
      </c>
      <c r="C6862" t="s">
        <v>91</v>
      </c>
      <c r="D6862" s="1">
        <v>45765</v>
      </c>
      <c r="E6862" t="s">
        <v>4133</v>
      </c>
      <c r="F6862" t="s">
        <v>4125</v>
      </c>
    </row>
    <row r="6863" spans="1:6">
      <c r="A6863" t="s">
        <v>10992</v>
      </c>
      <c r="B6863" t="s">
        <v>2511</v>
      </c>
      <c r="C6863" t="s">
        <v>75</v>
      </c>
      <c r="D6863" s="1">
        <v>45762</v>
      </c>
      <c r="E6863" t="s">
        <v>4124</v>
      </c>
      <c r="F6863" t="s">
        <v>4125</v>
      </c>
    </row>
    <row r="6864" spans="1:6">
      <c r="A6864" t="s">
        <v>10993</v>
      </c>
      <c r="B6864" t="s">
        <v>2511</v>
      </c>
      <c r="C6864" t="s">
        <v>75</v>
      </c>
      <c r="D6864" s="1">
        <v>45748</v>
      </c>
      <c r="E6864" t="s">
        <v>4129</v>
      </c>
      <c r="F6864" t="s">
        <v>4137</v>
      </c>
    </row>
    <row r="6865" spans="1:6">
      <c r="A6865" t="s">
        <v>10994</v>
      </c>
      <c r="B6865" t="s">
        <v>2511</v>
      </c>
      <c r="C6865" t="s">
        <v>75</v>
      </c>
      <c r="D6865" s="1">
        <v>45782</v>
      </c>
      <c r="E6865" t="s">
        <v>4124</v>
      </c>
      <c r="F6865" t="s">
        <v>4139</v>
      </c>
    </row>
    <row r="6866" spans="1:6">
      <c r="A6866" t="s">
        <v>10995</v>
      </c>
      <c r="B6866" t="s">
        <v>2511</v>
      </c>
      <c r="C6866" t="s">
        <v>75</v>
      </c>
      <c r="D6866" s="1">
        <v>45749</v>
      </c>
      <c r="E6866" t="s">
        <v>4129</v>
      </c>
      <c r="F6866" t="s">
        <v>4139</v>
      </c>
    </row>
    <row r="6867" spans="1:6">
      <c r="A6867" t="s">
        <v>10996</v>
      </c>
      <c r="B6867" t="s">
        <v>2512</v>
      </c>
      <c r="C6867" t="s">
        <v>16</v>
      </c>
      <c r="D6867" s="1">
        <v>45772</v>
      </c>
      <c r="E6867" t="s">
        <v>4135</v>
      </c>
      <c r="F6867" t="s">
        <v>4137</v>
      </c>
    </row>
    <row r="6868" spans="1:6">
      <c r="A6868" t="s">
        <v>10997</v>
      </c>
      <c r="B6868" t="s">
        <v>2512</v>
      </c>
      <c r="C6868" t="s">
        <v>16</v>
      </c>
      <c r="D6868" s="1">
        <v>45777</v>
      </c>
      <c r="E6868" t="s">
        <v>4124</v>
      </c>
      <c r="F6868" t="s">
        <v>4125</v>
      </c>
    </row>
    <row r="6869" spans="1:6">
      <c r="A6869" t="s">
        <v>10998</v>
      </c>
      <c r="B6869" t="s">
        <v>2512</v>
      </c>
      <c r="C6869" t="s">
        <v>16</v>
      </c>
      <c r="D6869" s="1">
        <v>45776</v>
      </c>
      <c r="E6869" t="s">
        <v>4124</v>
      </c>
      <c r="F6869" t="s">
        <v>4137</v>
      </c>
    </row>
    <row r="6870" spans="1:6">
      <c r="A6870" t="s">
        <v>10999</v>
      </c>
      <c r="B6870" t="s">
        <v>2512</v>
      </c>
      <c r="C6870" t="s">
        <v>16</v>
      </c>
      <c r="D6870" s="1">
        <v>45773</v>
      </c>
      <c r="E6870" t="s">
        <v>4124</v>
      </c>
      <c r="F6870" t="s">
        <v>4137</v>
      </c>
    </row>
    <row r="6871" spans="1:6">
      <c r="A6871" t="s">
        <v>11000</v>
      </c>
      <c r="B6871" t="s">
        <v>2512</v>
      </c>
      <c r="C6871" t="s">
        <v>16</v>
      </c>
      <c r="D6871" s="1">
        <v>45777</v>
      </c>
      <c r="E6871" t="s">
        <v>4124</v>
      </c>
      <c r="F6871" t="s">
        <v>4139</v>
      </c>
    </row>
    <row r="6872" spans="1:6">
      <c r="A6872" t="s">
        <v>11001</v>
      </c>
      <c r="B6872" t="s">
        <v>2513</v>
      </c>
      <c r="C6872" t="s">
        <v>63</v>
      </c>
      <c r="D6872" s="1">
        <v>46019</v>
      </c>
      <c r="E6872" t="s">
        <v>4124</v>
      </c>
      <c r="F6872" t="s">
        <v>4125</v>
      </c>
    </row>
    <row r="6873" spans="1:6">
      <c r="A6873" t="s">
        <v>11002</v>
      </c>
      <c r="B6873" t="s">
        <v>2513</v>
      </c>
      <c r="C6873" t="s">
        <v>63</v>
      </c>
      <c r="D6873" s="1">
        <v>46000</v>
      </c>
      <c r="E6873" t="s">
        <v>4135</v>
      </c>
      <c r="F6873" t="s">
        <v>4139</v>
      </c>
    </row>
    <row r="6874" spans="1:6">
      <c r="A6874" t="s">
        <v>11003</v>
      </c>
      <c r="B6874" t="s">
        <v>2513</v>
      </c>
      <c r="C6874" t="s">
        <v>63</v>
      </c>
      <c r="D6874" s="1">
        <v>46016</v>
      </c>
      <c r="E6874" t="s">
        <v>4127</v>
      </c>
      <c r="F6874" t="s">
        <v>4137</v>
      </c>
    </row>
    <row r="6875" spans="1:6">
      <c r="A6875" t="s">
        <v>11004</v>
      </c>
      <c r="B6875" t="s">
        <v>2513</v>
      </c>
      <c r="C6875" t="s">
        <v>63</v>
      </c>
      <c r="D6875" s="1">
        <v>46005</v>
      </c>
      <c r="E6875" t="s">
        <v>4124</v>
      </c>
      <c r="F6875" t="s">
        <v>4125</v>
      </c>
    </row>
    <row r="6876" spans="1:6">
      <c r="A6876" t="s">
        <v>11005</v>
      </c>
      <c r="B6876" t="s">
        <v>2514</v>
      </c>
      <c r="C6876" t="s">
        <v>16</v>
      </c>
      <c r="D6876" s="1">
        <v>45822</v>
      </c>
      <c r="E6876" t="s">
        <v>4127</v>
      </c>
      <c r="F6876" t="s">
        <v>4139</v>
      </c>
    </row>
    <row r="6877" spans="1:6">
      <c r="A6877" t="s">
        <v>11006</v>
      </c>
      <c r="B6877" t="s">
        <v>2514</v>
      </c>
      <c r="C6877" t="s">
        <v>16</v>
      </c>
      <c r="D6877" s="1">
        <v>45841</v>
      </c>
      <c r="E6877" t="s">
        <v>4127</v>
      </c>
      <c r="F6877" t="s">
        <v>4139</v>
      </c>
    </row>
    <row r="6878" spans="1:6">
      <c r="A6878" t="s">
        <v>11007</v>
      </c>
      <c r="B6878" t="s">
        <v>2514</v>
      </c>
      <c r="C6878" t="s">
        <v>16</v>
      </c>
      <c r="D6878" s="1">
        <v>45840</v>
      </c>
      <c r="E6878" t="s">
        <v>4124</v>
      </c>
      <c r="F6878" t="s">
        <v>4125</v>
      </c>
    </row>
    <row r="6879" spans="1:6">
      <c r="A6879" t="s">
        <v>11008</v>
      </c>
      <c r="B6879" t="s">
        <v>2514</v>
      </c>
      <c r="C6879" t="s">
        <v>16</v>
      </c>
      <c r="D6879" s="1">
        <v>45833</v>
      </c>
      <c r="E6879" t="s">
        <v>4127</v>
      </c>
      <c r="F6879" t="s">
        <v>4125</v>
      </c>
    </row>
    <row r="6880" spans="1:6">
      <c r="A6880" t="s">
        <v>11009</v>
      </c>
      <c r="B6880" t="s">
        <v>2514</v>
      </c>
      <c r="C6880" t="s">
        <v>16</v>
      </c>
      <c r="D6880" s="1">
        <v>45832</v>
      </c>
      <c r="E6880" t="s">
        <v>4129</v>
      </c>
      <c r="F6880" t="s">
        <v>4137</v>
      </c>
    </row>
    <row r="6881" spans="1:6">
      <c r="A6881" t="s">
        <v>11010</v>
      </c>
      <c r="B6881" t="s">
        <v>2515</v>
      </c>
      <c r="C6881" t="s">
        <v>53</v>
      </c>
      <c r="D6881" s="1">
        <v>45690</v>
      </c>
      <c r="E6881" t="s">
        <v>4129</v>
      </c>
      <c r="F6881" t="s">
        <v>4137</v>
      </c>
    </row>
    <row r="6882" spans="1:6">
      <c r="A6882" t="s">
        <v>11011</v>
      </c>
      <c r="B6882" t="s">
        <v>2515</v>
      </c>
      <c r="C6882" t="s">
        <v>53</v>
      </c>
      <c r="D6882" s="1">
        <v>45696</v>
      </c>
      <c r="E6882" t="s">
        <v>4129</v>
      </c>
      <c r="F6882" t="s">
        <v>4137</v>
      </c>
    </row>
    <row r="6883" spans="1:6">
      <c r="A6883" t="s">
        <v>11012</v>
      </c>
      <c r="B6883" t="s">
        <v>2515</v>
      </c>
      <c r="C6883" t="s">
        <v>53</v>
      </c>
      <c r="D6883" s="1">
        <v>45687</v>
      </c>
      <c r="E6883" t="s">
        <v>4133</v>
      </c>
      <c r="F6883" t="s">
        <v>4139</v>
      </c>
    </row>
    <row r="6884" spans="1:6">
      <c r="A6884" t="s">
        <v>11013</v>
      </c>
      <c r="B6884" t="s">
        <v>2516</v>
      </c>
      <c r="C6884" t="s">
        <v>78</v>
      </c>
      <c r="D6884" s="1">
        <v>45735</v>
      </c>
      <c r="E6884" t="s">
        <v>4124</v>
      </c>
      <c r="F6884" t="s">
        <v>4125</v>
      </c>
    </row>
    <row r="6885" spans="1:6">
      <c r="A6885" t="s">
        <v>11014</v>
      </c>
      <c r="B6885" t="s">
        <v>2516</v>
      </c>
      <c r="C6885" t="s">
        <v>78</v>
      </c>
      <c r="D6885" s="1">
        <v>45731</v>
      </c>
      <c r="E6885" t="s">
        <v>4135</v>
      </c>
      <c r="F6885" t="s">
        <v>4137</v>
      </c>
    </row>
    <row r="6886" spans="1:6">
      <c r="A6886" t="s">
        <v>11015</v>
      </c>
      <c r="B6886" t="s">
        <v>2516</v>
      </c>
      <c r="C6886" t="s">
        <v>78</v>
      </c>
      <c r="D6886" s="1">
        <v>45748</v>
      </c>
      <c r="E6886" t="s">
        <v>4124</v>
      </c>
      <c r="F6886" t="s">
        <v>4139</v>
      </c>
    </row>
    <row r="6887" spans="1:6">
      <c r="A6887" t="s">
        <v>11016</v>
      </c>
      <c r="B6887" t="s">
        <v>2516</v>
      </c>
      <c r="C6887" t="s">
        <v>78</v>
      </c>
      <c r="D6887" s="1">
        <v>45740</v>
      </c>
      <c r="E6887" t="s">
        <v>4133</v>
      </c>
      <c r="F6887" t="s">
        <v>4137</v>
      </c>
    </row>
    <row r="6888" spans="1:6">
      <c r="A6888" t="s">
        <v>11017</v>
      </c>
      <c r="B6888" t="s">
        <v>2517</v>
      </c>
      <c r="C6888" t="s">
        <v>91</v>
      </c>
      <c r="D6888" s="1">
        <v>45829</v>
      </c>
      <c r="E6888" t="s">
        <v>4135</v>
      </c>
      <c r="F6888" t="s">
        <v>4139</v>
      </c>
    </row>
    <row r="6889" spans="1:6">
      <c r="A6889" t="s">
        <v>11018</v>
      </c>
      <c r="B6889" t="s">
        <v>2517</v>
      </c>
      <c r="C6889" t="s">
        <v>91</v>
      </c>
      <c r="D6889" s="1">
        <v>45785</v>
      </c>
      <c r="E6889" t="s">
        <v>4133</v>
      </c>
      <c r="F6889" t="s">
        <v>4139</v>
      </c>
    </row>
    <row r="6890" spans="1:6">
      <c r="A6890" t="s">
        <v>11019</v>
      </c>
      <c r="B6890" t="s">
        <v>2517</v>
      </c>
      <c r="C6890" t="s">
        <v>91</v>
      </c>
      <c r="D6890" s="1">
        <v>45792</v>
      </c>
      <c r="E6890" t="s">
        <v>4127</v>
      </c>
      <c r="F6890" t="s">
        <v>4125</v>
      </c>
    </row>
    <row r="6891" spans="1:6">
      <c r="A6891" t="s">
        <v>11020</v>
      </c>
      <c r="B6891" t="s">
        <v>2518</v>
      </c>
      <c r="C6891" t="s">
        <v>16</v>
      </c>
      <c r="D6891" s="1">
        <v>46003</v>
      </c>
      <c r="E6891" t="s">
        <v>4127</v>
      </c>
      <c r="F6891" t="s">
        <v>4125</v>
      </c>
    </row>
    <row r="6892" spans="1:6">
      <c r="A6892" t="s">
        <v>11021</v>
      </c>
      <c r="B6892" t="s">
        <v>2518</v>
      </c>
      <c r="C6892" t="s">
        <v>16</v>
      </c>
      <c r="D6892" s="1">
        <v>46013</v>
      </c>
      <c r="E6892" t="s">
        <v>4135</v>
      </c>
      <c r="F6892" t="s">
        <v>4125</v>
      </c>
    </row>
    <row r="6893" spans="1:6">
      <c r="A6893" t="s">
        <v>11022</v>
      </c>
      <c r="B6893" t="s">
        <v>2519</v>
      </c>
      <c r="C6893" t="s">
        <v>22</v>
      </c>
      <c r="D6893" s="1">
        <v>45947</v>
      </c>
      <c r="E6893" t="s">
        <v>4135</v>
      </c>
      <c r="F6893" t="s">
        <v>4125</v>
      </c>
    </row>
    <row r="6894" spans="1:6">
      <c r="A6894" t="s">
        <v>11023</v>
      </c>
      <c r="B6894" t="s">
        <v>2519</v>
      </c>
      <c r="C6894" t="s">
        <v>22</v>
      </c>
      <c r="D6894" s="1">
        <v>45916</v>
      </c>
      <c r="E6894" t="s">
        <v>4124</v>
      </c>
      <c r="F6894" t="s">
        <v>4137</v>
      </c>
    </row>
    <row r="6895" spans="1:6">
      <c r="A6895" t="s">
        <v>11024</v>
      </c>
      <c r="B6895" t="s">
        <v>2519</v>
      </c>
      <c r="C6895" t="s">
        <v>22</v>
      </c>
      <c r="D6895" s="1">
        <v>45937</v>
      </c>
      <c r="E6895" t="s">
        <v>4129</v>
      </c>
      <c r="F6895" t="s">
        <v>4139</v>
      </c>
    </row>
    <row r="6896" spans="1:6">
      <c r="A6896" t="s">
        <v>11025</v>
      </c>
      <c r="B6896" t="s">
        <v>2519</v>
      </c>
      <c r="C6896" t="s">
        <v>22</v>
      </c>
      <c r="D6896" s="1">
        <v>45885</v>
      </c>
      <c r="E6896" t="s">
        <v>4124</v>
      </c>
      <c r="F6896" t="s">
        <v>4125</v>
      </c>
    </row>
    <row r="6897" spans="1:6">
      <c r="A6897" t="s">
        <v>11026</v>
      </c>
      <c r="B6897" t="s">
        <v>2519</v>
      </c>
      <c r="C6897" t="s">
        <v>22</v>
      </c>
      <c r="D6897" s="1">
        <v>45898</v>
      </c>
      <c r="E6897" t="s">
        <v>4127</v>
      </c>
      <c r="F6897" t="s">
        <v>4137</v>
      </c>
    </row>
    <row r="6898" spans="1:6">
      <c r="A6898" t="s">
        <v>11027</v>
      </c>
      <c r="B6898" t="s">
        <v>2520</v>
      </c>
      <c r="C6898" t="s">
        <v>36</v>
      </c>
      <c r="D6898" s="1">
        <v>45877</v>
      </c>
      <c r="E6898" t="s">
        <v>4129</v>
      </c>
      <c r="F6898" t="s">
        <v>4137</v>
      </c>
    </row>
    <row r="6899" spans="1:6">
      <c r="A6899" t="s">
        <v>11028</v>
      </c>
      <c r="B6899" t="s">
        <v>2520</v>
      </c>
      <c r="C6899" t="s">
        <v>36</v>
      </c>
      <c r="D6899" s="1">
        <v>45915</v>
      </c>
      <c r="E6899" t="s">
        <v>4135</v>
      </c>
      <c r="F6899" t="s">
        <v>4125</v>
      </c>
    </row>
    <row r="6900" spans="1:6">
      <c r="A6900" t="s">
        <v>11029</v>
      </c>
      <c r="B6900" t="s">
        <v>2520</v>
      </c>
      <c r="C6900" t="s">
        <v>36</v>
      </c>
      <c r="D6900" s="1">
        <v>45896</v>
      </c>
      <c r="E6900" t="s">
        <v>4133</v>
      </c>
      <c r="F6900" t="s">
        <v>4125</v>
      </c>
    </row>
    <row r="6901" spans="1:6">
      <c r="A6901" t="s">
        <v>11030</v>
      </c>
      <c r="B6901" t="s">
        <v>2520</v>
      </c>
      <c r="C6901" t="s">
        <v>36</v>
      </c>
      <c r="D6901" s="1">
        <v>45892</v>
      </c>
      <c r="E6901" t="s">
        <v>4127</v>
      </c>
      <c r="F6901" t="s">
        <v>4125</v>
      </c>
    </row>
    <row r="6902" spans="1:6">
      <c r="A6902" t="s">
        <v>11031</v>
      </c>
      <c r="B6902" t="s">
        <v>2521</v>
      </c>
      <c r="C6902" t="s">
        <v>36</v>
      </c>
      <c r="D6902" s="1">
        <v>45752</v>
      </c>
      <c r="E6902" t="s">
        <v>4124</v>
      </c>
      <c r="F6902" t="s">
        <v>4125</v>
      </c>
    </row>
    <row r="6903" spans="1:6">
      <c r="A6903" t="s">
        <v>11032</v>
      </c>
      <c r="B6903" t="s">
        <v>2521</v>
      </c>
      <c r="C6903" t="s">
        <v>36</v>
      </c>
      <c r="D6903" s="1">
        <v>45768</v>
      </c>
      <c r="E6903" t="s">
        <v>4135</v>
      </c>
      <c r="F6903" t="s">
        <v>4137</v>
      </c>
    </row>
    <row r="6904" spans="1:6">
      <c r="A6904" t="s">
        <v>11033</v>
      </c>
      <c r="B6904" t="s">
        <v>2521</v>
      </c>
      <c r="C6904" t="s">
        <v>36</v>
      </c>
      <c r="D6904" s="1">
        <v>45749</v>
      </c>
      <c r="E6904" t="s">
        <v>4127</v>
      </c>
      <c r="F6904" t="s">
        <v>4125</v>
      </c>
    </row>
    <row r="6905" spans="1:6">
      <c r="A6905" t="s">
        <v>11034</v>
      </c>
      <c r="B6905" t="s">
        <v>2522</v>
      </c>
      <c r="C6905" t="s">
        <v>56</v>
      </c>
      <c r="D6905" s="1">
        <v>45980</v>
      </c>
      <c r="E6905" t="s">
        <v>4135</v>
      </c>
      <c r="F6905" t="s">
        <v>4137</v>
      </c>
    </row>
    <row r="6906" spans="1:6">
      <c r="A6906" t="s">
        <v>11035</v>
      </c>
      <c r="B6906" t="s">
        <v>2522</v>
      </c>
      <c r="C6906" t="s">
        <v>56</v>
      </c>
      <c r="D6906" s="1">
        <v>46008</v>
      </c>
      <c r="E6906" t="s">
        <v>4127</v>
      </c>
      <c r="F6906" t="s">
        <v>4137</v>
      </c>
    </row>
    <row r="6907" spans="1:6">
      <c r="A6907" t="s">
        <v>11036</v>
      </c>
      <c r="B6907" t="s">
        <v>2522</v>
      </c>
      <c r="C6907" t="s">
        <v>56</v>
      </c>
      <c r="D6907" s="1">
        <v>45994</v>
      </c>
      <c r="E6907" t="s">
        <v>4124</v>
      </c>
      <c r="F6907" t="s">
        <v>4139</v>
      </c>
    </row>
    <row r="6908" spans="1:6">
      <c r="A6908" t="s">
        <v>11037</v>
      </c>
      <c r="B6908" t="s">
        <v>2523</v>
      </c>
      <c r="C6908" t="s">
        <v>70</v>
      </c>
      <c r="D6908" s="1">
        <v>45820</v>
      </c>
      <c r="E6908" t="s">
        <v>4129</v>
      </c>
      <c r="F6908" t="s">
        <v>4125</v>
      </c>
    </row>
    <row r="6909" spans="1:6">
      <c r="A6909" t="s">
        <v>11038</v>
      </c>
      <c r="B6909" t="s">
        <v>2523</v>
      </c>
      <c r="C6909" t="s">
        <v>70</v>
      </c>
      <c r="D6909" s="1">
        <v>45834</v>
      </c>
      <c r="E6909" t="s">
        <v>4129</v>
      </c>
      <c r="F6909" t="s">
        <v>4125</v>
      </c>
    </row>
    <row r="6910" spans="1:6">
      <c r="A6910" t="s">
        <v>11039</v>
      </c>
      <c r="B6910" t="s">
        <v>2523</v>
      </c>
      <c r="C6910" t="s">
        <v>70</v>
      </c>
      <c r="D6910" s="1">
        <v>45843</v>
      </c>
      <c r="E6910" t="s">
        <v>4124</v>
      </c>
      <c r="F6910" t="s">
        <v>4125</v>
      </c>
    </row>
    <row r="6911" spans="1:6">
      <c r="A6911" t="s">
        <v>11040</v>
      </c>
      <c r="B6911" t="s">
        <v>2523</v>
      </c>
      <c r="C6911" t="s">
        <v>70</v>
      </c>
      <c r="D6911" s="1">
        <v>45820</v>
      </c>
      <c r="E6911" t="s">
        <v>4127</v>
      </c>
      <c r="F6911" t="s">
        <v>4137</v>
      </c>
    </row>
    <row r="6912" spans="1:6">
      <c r="A6912" t="s">
        <v>11041</v>
      </c>
      <c r="B6912" t="s">
        <v>2523</v>
      </c>
      <c r="C6912" t="s">
        <v>70</v>
      </c>
      <c r="D6912" s="1">
        <v>45848</v>
      </c>
      <c r="E6912" t="s">
        <v>4127</v>
      </c>
      <c r="F6912" t="s">
        <v>4139</v>
      </c>
    </row>
    <row r="6913" spans="1:6">
      <c r="A6913" t="s">
        <v>11042</v>
      </c>
      <c r="B6913" t="s">
        <v>2524</v>
      </c>
      <c r="C6913" t="s">
        <v>50</v>
      </c>
      <c r="D6913" s="1">
        <v>45856</v>
      </c>
      <c r="E6913" t="s">
        <v>4127</v>
      </c>
      <c r="F6913" t="s">
        <v>4137</v>
      </c>
    </row>
    <row r="6914" spans="1:6">
      <c r="A6914" t="s">
        <v>11043</v>
      </c>
      <c r="B6914" t="s">
        <v>2524</v>
      </c>
      <c r="C6914" t="s">
        <v>50</v>
      </c>
      <c r="D6914" s="1">
        <v>45845</v>
      </c>
      <c r="E6914" t="s">
        <v>4129</v>
      </c>
      <c r="F6914" t="s">
        <v>4125</v>
      </c>
    </row>
    <row r="6915" spans="1:6">
      <c r="A6915" t="s">
        <v>11044</v>
      </c>
      <c r="B6915" t="s">
        <v>2525</v>
      </c>
      <c r="C6915" t="s">
        <v>75</v>
      </c>
      <c r="D6915" s="1">
        <v>45743</v>
      </c>
      <c r="E6915" t="s">
        <v>4124</v>
      </c>
      <c r="F6915" t="s">
        <v>4137</v>
      </c>
    </row>
    <row r="6916" spans="1:6">
      <c r="A6916" t="s">
        <v>11045</v>
      </c>
      <c r="B6916" t="s">
        <v>2525</v>
      </c>
      <c r="C6916" t="s">
        <v>75</v>
      </c>
      <c r="D6916" s="1">
        <v>45783</v>
      </c>
      <c r="E6916" t="s">
        <v>4133</v>
      </c>
      <c r="F6916" t="s">
        <v>4139</v>
      </c>
    </row>
    <row r="6917" spans="1:6">
      <c r="A6917" t="s">
        <v>11046</v>
      </c>
      <c r="B6917" t="s">
        <v>2525</v>
      </c>
      <c r="C6917" t="s">
        <v>75</v>
      </c>
      <c r="D6917" s="1">
        <v>45735</v>
      </c>
      <c r="E6917" t="s">
        <v>4124</v>
      </c>
      <c r="F6917" t="s">
        <v>4137</v>
      </c>
    </row>
    <row r="6918" spans="1:6">
      <c r="A6918" t="s">
        <v>11047</v>
      </c>
      <c r="B6918" t="s">
        <v>2527</v>
      </c>
      <c r="C6918" t="s">
        <v>63</v>
      </c>
      <c r="D6918" s="1">
        <v>45952</v>
      </c>
      <c r="E6918" t="s">
        <v>4135</v>
      </c>
      <c r="F6918" t="s">
        <v>4139</v>
      </c>
    </row>
    <row r="6919" spans="1:6">
      <c r="A6919" t="s">
        <v>11048</v>
      </c>
      <c r="B6919" t="s">
        <v>2527</v>
      </c>
      <c r="C6919" t="s">
        <v>63</v>
      </c>
      <c r="D6919" s="1">
        <v>45956</v>
      </c>
      <c r="E6919" t="s">
        <v>4127</v>
      </c>
      <c r="F6919" t="s">
        <v>4139</v>
      </c>
    </row>
    <row r="6920" spans="1:6">
      <c r="A6920" t="s">
        <v>11049</v>
      </c>
      <c r="B6920" t="s">
        <v>2528</v>
      </c>
      <c r="C6920" t="s">
        <v>78</v>
      </c>
      <c r="D6920" s="1">
        <v>45833</v>
      </c>
      <c r="E6920" t="s">
        <v>4124</v>
      </c>
      <c r="F6920" t="s">
        <v>4125</v>
      </c>
    </row>
    <row r="6921" spans="1:6">
      <c r="A6921" t="s">
        <v>11050</v>
      </c>
      <c r="B6921" t="s">
        <v>2528</v>
      </c>
      <c r="C6921" t="s">
        <v>78</v>
      </c>
      <c r="D6921" s="1">
        <v>45829</v>
      </c>
      <c r="E6921" t="s">
        <v>4135</v>
      </c>
      <c r="F6921" t="s">
        <v>4125</v>
      </c>
    </row>
    <row r="6922" spans="1:6">
      <c r="A6922" t="s">
        <v>11051</v>
      </c>
      <c r="B6922" t="s">
        <v>2528</v>
      </c>
      <c r="C6922" t="s">
        <v>78</v>
      </c>
      <c r="D6922" s="1">
        <v>45785</v>
      </c>
      <c r="E6922" t="s">
        <v>4127</v>
      </c>
      <c r="F6922" t="s">
        <v>4139</v>
      </c>
    </row>
    <row r="6923" spans="1:6">
      <c r="A6923" t="s">
        <v>11052</v>
      </c>
      <c r="B6923" t="s">
        <v>2529</v>
      </c>
      <c r="C6923" t="s">
        <v>126</v>
      </c>
      <c r="D6923" s="1">
        <v>45705</v>
      </c>
      <c r="E6923" t="s">
        <v>4135</v>
      </c>
      <c r="F6923" t="s">
        <v>4139</v>
      </c>
    </row>
    <row r="6924" spans="1:6">
      <c r="A6924" t="s">
        <v>11053</v>
      </c>
      <c r="B6924" t="s">
        <v>2529</v>
      </c>
      <c r="C6924" t="s">
        <v>126</v>
      </c>
      <c r="D6924" s="1">
        <v>45699</v>
      </c>
      <c r="E6924" t="s">
        <v>4135</v>
      </c>
      <c r="F6924" t="s">
        <v>4125</v>
      </c>
    </row>
    <row r="6925" spans="1:6">
      <c r="A6925" t="s">
        <v>11054</v>
      </c>
      <c r="B6925" t="s">
        <v>2529</v>
      </c>
      <c r="C6925" t="s">
        <v>126</v>
      </c>
      <c r="D6925" s="1">
        <v>45703</v>
      </c>
      <c r="E6925" t="s">
        <v>4129</v>
      </c>
      <c r="F6925" t="s">
        <v>4139</v>
      </c>
    </row>
    <row r="6926" spans="1:6">
      <c r="A6926" t="s">
        <v>11055</v>
      </c>
      <c r="B6926" t="s">
        <v>2529</v>
      </c>
      <c r="C6926" t="s">
        <v>126</v>
      </c>
      <c r="D6926" s="1">
        <v>45701</v>
      </c>
      <c r="E6926" t="s">
        <v>4133</v>
      </c>
      <c r="F6926" t="s">
        <v>4125</v>
      </c>
    </row>
    <row r="6927" spans="1:6">
      <c r="A6927" t="s">
        <v>11056</v>
      </c>
      <c r="B6927" t="s">
        <v>2529</v>
      </c>
      <c r="C6927" t="s">
        <v>126</v>
      </c>
      <c r="D6927" s="1">
        <v>45710</v>
      </c>
      <c r="E6927" t="s">
        <v>4124</v>
      </c>
      <c r="F6927" t="s">
        <v>4137</v>
      </c>
    </row>
    <row r="6928" spans="1:6">
      <c r="A6928" t="s">
        <v>11057</v>
      </c>
      <c r="B6928" t="s">
        <v>2530</v>
      </c>
      <c r="C6928" t="s">
        <v>22</v>
      </c>
      <c r="D6928" s="1">
        <v>45959</v>
      </c>
      <c r="E6928" t="s">
        <v>4124</v>
      </c>
      <c r="F6928" t="s">
        <v>4137</v>
      </c>
    </row>
    <row r="6929" spans="1:6">
      <c r="A6929" t="s">
        <v>11058</v>
      </c>
      <c r="B6929" t="s">
        <v>2530</v>
      </c>
      <c r="C6929" t="s">
        <v>22</v>
      </c>
      <c r="D6929" s="1">
        <v>45955</v>
      </c>
      <c r="E6929" t="s">
        <v>4135</v>
      </c>
      <c r="F6929" t="s">
        <v>4137</v>
      </c>
    </row>
    <row r="6930" spans="1:6">
      <c r="A6930" t="s">
        <v>11059</v>
      </c>
      <c r="B6930" t="s">
        <v>2531</v>
      </c>
      <c r="C6930" t="s">
        <v>56</v>
      </c>
      <c r="D6930" s="1">
        <v>45784</v>
      </c>
      <c r="E6930" t="s">
        <v>4127</v>
      </c>
      <c r="F6930" t="s">
        <v>4137</v>
      </c>
    </row>
    <row r="6931" spans="1:6">
      <c r="A6931" t="s">
        <v>11060</v>
      </c>
      <c r="B6931" t="s">
        <v>2531</v>
      </c>
      <c r="C6931" t="s">
        <v>56</v>
      </c>
      <c r="D6931" s="1">
        <v>45811</v>
      </c>
      <c r="E6931" t="s">
        <v>4127</v>
      </c>
      <c r="F6931" t="s">
        <v>4137</v>
      </c>
    </row>
    <row r="6932" spans="1:6">
      <c r="A6932" t="s">
        <v>11061</v>
      </c>
      <c r="B6932" t="s">
        <v>2531</v>
      </c>
      <c r="C6932" t="s">
        <v>56</v>
      </c>
      <c r="D6932" s="1">
        <v>45787</v>
      </c>
      <c r="E6932" t="s">
        <v>4133</v>
      </c>
      <c r="F6932" t="s">
        <v>4137</v>
      </c>
    </row>
    <row r="6933" spans="1:6">
      <c r="A6933" t="s">
        <v>11062</v>
      </c>
      <c r="B6933" t="s">
        <v>2531</v>
      </c>
      <c r="C6933" t="s">
        <v>56</v>
      </c>
      <c r="D6933" s="1">
        <v>45783</v>
      </c>
      <c r="E6933" t="s">
        <v>4129</v>
      </c>
      <c r="F6933" t="s">
        <v>4137</v>
      </c>
    </row>
    <row r="6934" spans="1:6">
      <c r="A6934" t="s">
        <v>11063</v>
      </c>
      <c r="B6934" t="s">
        <v>2532</v>
      </c>
      <c r="C6934" t="s">
        <v>59</v>
      </c>
      <c r="D6934" s="1">
        <v>45751</v>
      </c>
      <c r="E6934" t="s">
        <v>4129</v>
      </c>
      <c r="F6934" t="s">
        <v>4139</v>
      </c>
    </row>
    <row r="6935" spans="1:6">
      <c r="A6935" t="s">
        <v>11064</v>
      </c>
      <c r="B6935" t="s">
        <v>2532</v>
      </c>
      <c r="C6935" t="s">
        <v>59</v>
      </c>
      <c r="D6935" s="1">
        <v>45757</v>
      </c>
      <c r="E6935" t="s">
        <v>4129</v>
      </c>
      <c r="F6935" t="s">
        <v>4125</v>
      </c>
    </row>
    <row r="6936" spans="1:6">
      <c r="A6936" t="s">
        <v>11065</v>
      </c>
      <c r="B6936" t="s">
        <v>2532</v>
      </c>
      <c r="C6936" t="s">
        <v>59</v>
      </c>
      <c r="D6936" s="1">
        <v>45736</v>
      </c>
      <c r="E6936" t="s">
        <v>4127</v>
      </c>
      <c r="F6936" t="s">
        <v>4125</v>
      </c>
    </row>
    <row r="6937" spans="1:6">
      <c r="A6937" t="s">
        <v>11066</v>
      </c>
      <c r="B6937" t="s">
        <v>2533</v>
      </c>
      <c r="C6937" t="s">
        <v>53</v>
      </c>
      <c r="D6937" s="1">
        <v>45760</v>
      </c>
      <c r="E6937" t="s">
        <v>4129</v>
      </c>
      <c r="F6937" t="s">
        <v>4125</v>
      </c>
    </row>
    <row r="6938" spans="1:6">
      <c r="A6938" t="s">
        <v>11067</v>
      </c>
      <c r="B6938" t="s">
        <v>2533</v>
      </c>
      <c r="C6938" t="s">
        <v>53</v>
      </c>
      <c r="D6938" s="1">
        <v>45755</v>
      </c>
      <c r="E6938" t="s">
        <v>4135</v>
      </c>
      <c r="F6938" t="s">
        <v>4137</v>
      </c>
    </row>
    <row r="6939" spans="1:6">
      <c r="A6939" t="s">
        <v>11068</v>
      </c>
      <c r="B6939" t="s">
        <v>2534</v>
      </c>
      <c r="C6939" t="s">
        <v>56</v>
      </c>
      <c r="D6939" s="1">
        <v>45800</v>
      </c>
      <c r="E6939" t="s">
        <v>4135</v>
      </c>
      <c r="F6939" t="s">
        <v>4125</v>
      </c>
    </row>
    <row r="6940" spans="1:6">
      <c r="A6940" t="s">
        <v>11069</v>
      </c>
      <c r="B6940" t="s">
        <v>2534</v>
      </c>
      <c r="C6940" t="s">
        <v>56</v>
      </c>
      <c r="D6940" s="1">
        <v>45779</v>
      </c>
      <c r="E6940" t="s">
        <v>4135</v>
      </c>
      <c r="F6940" t="s">
        <v>4139</v>
      </c>
    </row>
    <row r="6941" spans="1:6">
      <c r="A6941" t="s">
        <v>11070</v>
      </c>
      <c r="B6941" t="s">
        <v>2534</v>
      </c>
      <c r="C6941" t="s">
        <v>56</v>
      </c>
      <c r="D6941" s="1">
        <v>45791</v>
      </c>
      <c r="E6941" t="s">
        <v>4133</v>
      </c>
      <c r="F6941" t="s">
        <v>4139</v>
      </c>
    </row>
    <row r="6942" spans="1:6">
      <c r="A6942" t="s">
        <v>11071</v>
      </c>
      <c r="B6942" t="s">
        <v>2535</v>
      </c>
      <c r="C6942" t="s">
        <v>56</v>
      </c>
      <c r="D6942" s="1">
        <v>45856</v>
      </c>
      <c r="E6942" t="s">
        <v>4133</v>
      </c>
      <c r="F6942" t="s">
        <v>4139</v>
      </c>
    </row>
    <row r="6943" spans="1:6">
      <c r="A6943" t="s">
        <v>11072</v>
      </c>
      <c r="B6943" t="s">
        <v>2535</v>
      </c>
      <c r="C6943" t="s">
        <v>56</v>
      </c>
      <c r="D6943" s="1">
        <v>45858</v>
      </c>
      <c r="E6943" t="s">
        <v>4133</v>
      </c>
      <c r="F6943" t="s">
        <v>4137</v>
      </c>
    </row>
    <row r="6944" spans="1:6">
      <c r="A6944" t="s">
        <v>11073</v>
      </c>
      <c r="B6944" t="s">
        <v>2535</v>
      </c>
      <c r="C6944" t="s">
        <v>56</v>
      </c>
      <c r="D6944" s="1">
        <v>45849</v>
      </c>
      <c r="E6944" t="s">
        <v>4129</v>
      </c>
      <c r="F6944" t="s">
        <v>4139</v>
      </c>
    </row>
    <row r="6945" spans="1:6">
      <c r="A6945" t="s">
        <v>11074</v>
      </c>
      <c r="B6945" t="s">
        <v>2535</v>
      </c>
      <c r="C6945" t="s">
        <v>56</v>
      </c>
      <c r="D6945" s="1">
        <v>45838</v>
      </c>
      <c r="E6945" t="s">
        <v>4124</v>
      </c>
      <c r="F6945" t="s">
        <v>4137</v>
      </c>
    </row>
    <row r="6946" spans="1:6">
      <c r="A6946" t="s">
        <v>11075</v>
      </c>
      <c r="B6946" t="s">
        <v>2535</v>
      </c>
      <c r="C6946" t="s">
        <v>56</v>
      </c>
      <c r="D6946" s="1">
        <v>45860</v>
      </c>
      <c r="E6946" t="s">
        <v>4129</v>
      </c>
      <c r="F6946" t="s">
        <v>4137</v>
      </c>
    </row>
    <row r="6947" spans="1:6">
      <c r="A6947" t="s">
        <v>11076</v>
      </c>
      <c r="B6947" t="s">
        <v>2536</v>
      </c>
      <c r="C6947" t="s">
        <v>119</v>
      </c>
      <c r="D6947" s="1">
        <v>45666</v>
      </c>
      <c r="E6947" t="s">
        <v>4124</v>
      </c>
      <c r="F6947" t="s">
        <v>4137</v>
      </c>
    </row>
    <row r="6948" spans="1:6">
      <c r="A6948" t="s">
        <v>11077</v>
      </c>
      <c r="B6948" t="s">
        <v>2536</v>
      </c>
      <c r="C6948" t="s">
        <v>119</v>
      </c>
      <c r="D6948" s="1">
        <v>45668</v>
      </c>
      <c r="E6948" t="s">
        <v>4133</v>
      </c>
      <c r="F6948" t="s">
        <v>4139</v>
      </c>
    </row>
    <row r="6949" spans="1:6">
      <c r="A6949" t="s">
        <v>11078</v>
      </c>
      <c r="B6949" t="s">
        <v>2536</v>
      </c>
      <c r="C6949" t="s">
        <v>119</v>
      </c>
      <c r="D6949" s="1">
        <v>45666</v>
      </c>
      <c r="E6949" t="s">
        <v>4133</v>
      </c>
      <c r="F6949" t="s">
        <v>4125</v>
      </c>
    </row>
    <row r="6950" spans="1:6">
      <c r="A6950" t="s">
        <v>11079</v>
      </c>
      <c r="B6950" t="s">
        <v>2536</v>
      </c>
      <c r="C6950" t="s">
        <v>119</v>
      </c>
      <c r="D6950" s="1">
        <v>45679</v>
      </c>
      <c r="E6950" t="s">
        <v>4127</v>
      </c>
      <c r="F6950" t="s">
        <v>4139</v>
      </c>
    </row>
    <row r="6951" spans="1:6">
      <c r="A6951" t="s">
        <v>11080</v>
      </c>
      <c r="B6951" t="s">
        <v>2537</v>
      </c>
      <c r="C6951" t="s">
        <v>91</v>
      </c>
      <c r="D6951" s="1">
        <v>45773</v>
      </c>
      <c r="E6951" t="s">
        <v>4129</v>
      </c>
      <c r="F6951" t="s">
        <v>4137</v>
      </c>
    </row>
    <row r="6952" spans="1:6">
      <c r="A6952" t="s">
        <v>11081</v>
      </c>
      <c r="B6952" t="s">
        <v>2537</v>
      </c>
      <c r="C6952" t="s">
        <v>91</v>
      </c>
      <c r="D6952" s="1">
        <v>45765</v>
      </c>
      <c r="E6952" t="s">
        <v>4133</v>
      </c>
      <c r="F6952" t="s">
        <v>4125</v>
      </c>
    </row>
    <row r="6953" spans="1:6">
      <c r="A6953" t="s">
        <v>11082</v>
      </c>
      <c r="B6953" t="s">
        <v>2538</v>
      </c>
      <c r="C6953" t="s">
        <v>36</v>
      </c>
      <c r="D6953" s="1">
        <v>45827</v>
      </c>
      <c r="E6953" t="s">
        <v>4124</v>
      </c>
      <c r="F6953" t="s">
        <v>4137</v>
      </c>
    </row>
    <row r="6954" spans="1:6">
      <c r="A6954" t="s">
        <v>11083</v>
      </c>
      <c r="B6954" t="s">
        <v>2538</v>
      </c>
      <c r="C6954" t="s">
        <v>36</v>
      </c>
      <c r="D6954" s="1">
        <v>45830</v>
      </c>
      <c r="E6954" t="s">
        <v>4133</v>
      </c>
      <c r="F6954" t="s">
        <v>4139</v>
      </c>
    </row>
    <row r="6955" spans="1:6">
      <c r="A6955" t="s">
        <v>11084</v>
      </c>
      <c r="B6955" t="s">
        <v>2538</v>
      </c>
      <c r="C6955" t="s">
        <v>36</v>
      </c>
      <c r="D6955" s="1">
        <v>45830</v>
      </c>
      <c r="E6955" t="s">
        <v>4129</v>
      </c>
      <c r="F6955" t="s">
        <v>4137</v>
      </c>
    </row>
    <row r="6956" spans="1:6">
      <c r="A6956" t="s">
        <v>11085</v>
      </c>
      <c r="B6956" t="s">
        <v>2539</v>
      </c>
      <c r="C6956" t="s">
        <v>56</v>
      </c>
      <c r="D6956" s="1">
        <v>45915</v>
      </c>
      <c r="E6956" t="s">
        <v>4127</v>
      </c>
      <c r="F6956" t="s">
        <v>4125</v>
      </c>
    </row>
    <row r="6957" spans="1:6">
      <c r="A6957" t="s">
        <v>11086</v>
      </c>
      <c r="B6957" t="s">
        <v>2539</v>
      </c>
      <c r="C6957" t="s">
        <v>56</v>
      </c>
      <c r="D6957" s="1">
        <v>45913</v>
      </c>
      <c r="E6957" t="s">
        <v>4133</v>
      </c>
      <c r="F6957" t="s">
        <v>4137</v>
      </c>
    </row>
    <row r="6958" spans="1:6">
      <c r="A6958" t="s">
        <v>11087</v>
      </c>
      <c r="B6958" t="s">
        <v>2539</v>
      </c>
      <c r="C6958" t="s">
        <v>56</v>
      </c>
      <c r="D6958" s="1">
        <v>45912</v>
      </c>
      <c r="E6958" t="s">
        <v>4127</v>
      </c>
      <c r="F6958" t="s">
        <v>4137</v>
      </c>
    </row>
    <row r="6959" spans="1:6">
      <c r="A6959" t="s">
        <v>11088</v>
      </c>
      <c r="B6959" t="s">
        <v>2539</v>
      </c>
      <c r="C6959" t="s">
        <v>56</v>
      </c>
      <c r="D6959" s="1">
        <v>45909</v>
      </c>
      <c r="E6959" t="s">
        <v>4133</v>
      </c>
      <c r="F6959" t="s">
        <v>4137</v>
      </c>
    </row>
    <row r="6960" spans="1:6">
      <c r="A6960" t="s">
        <v>11089</v>
      </c>
      <c r="B6960" t="s">
        <v>2539</v>
      </c>
      <c r="C6960" t="s">
        <v>56</v>
      </c>
      <c r="D6960" s="1">
        <v>45911</v>
      </c>
      <c r="E6960" t="s">
        <v>4124</v>
      </c>
      <c r="F6960" t="s">
        <v>4139</v>
      </c>
    </row>
    <row r="6961" spans="1:6">
      <c r="A6961" t="s">
        <v>11090</v>
      </c>
      <c r="B6961" t="s">
        <v>2540</v>
      </c>
      <c r="C6961" t="s">
        <v>119</v>
      </c>
      <c r="D6961" s="1">
        <v>45906</v>
      </c>
      <c r="E6961" t="s">
        <v>4129</v>
      </c>
      <c r="F6961" t="s">
        <v>4139</v>
      </c>
    </row>
    <row r="6962" spans="1:6">
      <c r="A6962" t="s">
        <v>11091</v>
      </c>
      <c r="B6962" t="s">
        <v>2540</v>
      </c>
      <c r="C6962" t="s">
        <v>119</v>
      </c>
      <c r="D6962" s="1">
        <v>45888</v>
      </c>
      <c r="E6962" t="s">
        <v>4133</v>
      </c>
      <c r="F6962" t="s">
        <v>4137</v>
      </c>
    </row>
    <row r="6963" spans="1:6">
      <c r="A6963" t="s">
        <v>11092</v>
      </c>
      <c r="B6963" t="s">
        <v>2541</v>
      </c>
      <c r="C6963" t="s">
        <v>126</v>
      </c>
      <c r="D6963" s="1">
        <v>45724</v>
      </c>
      <c r="E6963" t="s">
        <v>4133</v>
      </c>
      <c r="F6963" t="s">
        <v>4139</v>
      </c>
    </row>
    <row r="6964" spans="1:6">
      <c r="A6964" t="s">
        <v>11093</v>
      </c>
      <c r="B6964" t="s">
        <v>2541</v>
      </c>
      <c r="C6964" t="s">
        <v>126</v>
      </c>
      <c r="D6964" s="1">
        <v>45729</v>
      </c>
      <c r="E6964" t="s">
        <v>4129</v>
      </c>
      <c r="F6964" t="s">
        <v>4139</v>
      </c>
    </row>
    <row r="6965" spans="1:6">
      <c r="A6965" t="s">
        <v>11094</v>
      </c>
      <c r="B6965" t="s">
        <v>2541</v>
      </c>
      <c r="C6965" t="s">
        <v>126</v>
      </c>
      <c r="D6965" s="1">
        <v>45713</v>
      </c>
      <c r="E6965" t="s">
        <v>4133</v>
      </c>
      <c r="F6965" t="s">
        <v>4139</v>
      </c>
    </row>
    <row r="6966" spans="1:6">
      <c r="A6966" t="s">
        <v>11095</v>
      </c>
      <c r="B6966" t="s">
        <v>2541</v>
      </c>
      <c r="C6966" t="s">
        <v>126</v>
      </c>
      <c r="D6966" s="1">
        <v>45709</v>
      </c>
      <c r="E6966" t="s">
        <v>4133</v>
      </c>
      <c r="F6966" t="s">
        <v>4137</v>
      </c>
    </row>
    <row r="6967" spans="1:6">
      <c r="A6967" t="s">
        <v>11096</v>
      </c>
      <c r="B6967" t="s">
        <v>2541</v>
      </c>
      <c r="C6967" t="s">
        <v>126</v>
      </c>
      <c r="D6967" s="1">
        <v>45710</v>
      </c>
      <c r="E6967" t="s">
        <v>4133</v>
      </c>
      <c r="F6967" t="s">
        <v>4139</v>
      </c>
    </row>
    <row r="6968" spans="1:6">
      <c r="A6968" t="s">
        <v>11097</v>
      </c>
      <c r="B6968" t="s">
        <v>2542</v>
      </c>
      <c r="C6968" t="s">
        <v>16</v>
      </c>
      <c r="D6968" s="1">
        <v>45918</v>
      </c>
      <c r="E6968" t="s">
        <v>4127</v>
      </c>
      <c r="F6968" t="s">
        <v>4137</v>
      </c>
    </row>
    <row r="6969" spans="1:6">
      <c r="A6969" t="s">
        <v>11098</v>
      </c>
      <c r="B6969" t="s">
        <v>2542</v>
      </c>
      <c r="C6969" t="s">
        <v>16</v>
      </c>
      <c r="D6969" s="1">
        <v>45919</v>
      </c>
      <c r="E6969" t="s">
        <v>4124</v>
      </c>
      <c r="F6969" t="s">
        <v>4125</v>
      </c>
    </row>
    <row r="6970" spans="1:6">
      <c r="A6970" t="s">
        <v>11099</v>
      </c>
      <c r="B6970" t="s">
        <v>2542</v>
      </c>
      <c r="C6970" t="s">
        <v>16</v>
      </c>
      <c r="D6970" s="1">
        <v>45918</v>
      </c>
      <c r="E6970" t="s">
        <v>4124</v>
      </c>
      <c r="F6970" t="s">
        <v>4139</v>
      </c>
    </row>
    <row r="6971" spans="1:6">
      <c r="A6971" t="s">
        <v>11100</v>
      </c>
      <c r="B6971" t="s">
        <v>2542</v>
      </c>
      <c r="C6971" t="s">
        <v>16</v>
      </c>
      <c r="D6971" s="1">
        <v>45903</v>
      </c>
      <c r="E6971" t="s">
        <v>4135</v>
      </c>
      <c r="F6971" t="s">
        <v>4137</v>
      </c>
    </row>
    <row r="6972" spans="1:6">
      <c r="A6972" t="s">
        <v>11101</v>
      </c>
      <c r="B6972" t="s">
        <v>2543</v>
      </c>
      <c r="C6972" t="s">
        <v>22</v>
      </c>
      <c r="D6972" s="1">
        <v>46013</v>
      </c>
      <c r="E6972" t="s">
        <v>4129</v>
      </c>
      <c r="F6972" t="s">
        <v>4139</v>
      </c>
    </row>
    <row r="6973" spans="1:6">
      <c r="A6973" t="s">
        <v>11102</v>
      </c>
      <c r="B6973" t="s">
        <v>2543</v>
      </c>
      <c r="C6973" t="s">
        <v>22</v>
      </c>
      <c r="D6973" s="1">
        <v>46014</v>
      </c>
      <c r="E6973" t="s">
        <v>4133</v>
      </c>
      <c r="F6973" t="s">
        <v>4139</v>
      </c>
    </row>
    <row r="6974" spans="1:6">
      <c r="A6974" t="s">
        <v>11103</v>
      </c>
      <c r="B6974" t="s">
        <v>2543</v>
      </c>
      <c r="C6974" t="s">
        <v>22</v>
      </c>
      <c r="D6974" s="1">
        <v>45999</v>
      </c>
      <c r="E6974" t="s">
        <v>4127</v>
      </c>
      <c r="F6974" t="s">
        <v>4137</v>
      </c>
    </row>
    <row r="6975" spans="1:6">
      <c r="A6975" t="s">
        <v>11104</v>
      </c>
      <c r="B6975" t="s">
        <v>2544</v>
      </c>
      <c r="C6975" t="s">
        <v>59</v>
      </c>
      <c r="D6975" s="1">
        <v>46017</v>
      </c>
      <c r="E6975" t="s">
        <v>4129</v>
      </c>
      <c r="F6975" t="s">
        <v>4137</v>
      </c>
    </row>
    <row r="6976" spans="1:6">
      <c r="A6976" t="s">
        <v>11105</v>
      </c>
      <c r="B6976" t="s">
        <v>2544</v>
      </c>
      <c r="C6976" t="s">
        <v>59</v>
      </c>
      <c r="D6976" s="1">
        <v>46013</v>
      </c>
      <c r="E6976" t="s">
        <v>4133</v>
      </c>
      <c r="F6976" t="s">
        <v>4137</v>
      </c>
    </row>
    <row r="6977" spans="1:6">
      <c r="A6977" t="s">
        <v>11106</v>
      </c>
      <c r="B6977" t="s">
        <v>2544</v>
      </c>
      <c r="C6977" t="s">
        <v>59</v>
      </c>
      <c r="D6977" s="1">
        <v>46013</v>
      </c>
      <c r="E6977" t="s">
        <v>4129</v>
      </c>
      <c r="F6977" t="s">
        <v>4139</v>
      </c>
    </row>
    <row r="6978" spans="1:6">
      <c r="A6978" t="s">
        <v>11107</v>
      </c>
      <c r="B6978" t="s">
        <v>2545</v>
      </c>
      <c r="C6978" t="s">
        <v>32</v>
      </c>
      <c r="D6978" s="1">
        <v>45878</v>
      </c>
      <c r="E6978" t="s">
        <v>4135</v>
      </c>
      <c r="F6978" t="s">
        <v>4125</v>
      </c>
    </row>
    <row r="6979" spans="1:6">
      <c r="A6979" t="s">
        <v>11108</v>
      </c>
      <c r="B6979" t="s">
        <v>2545</v>
      </c>
      <c r="C6979" t="s">
        <v>32</v>
      </c>
      <c r="D6979" s="1">
        <v>45874</v>
      </c>
      <c r="E6979" t="s">
        <v>4127</v>
      </c>
      <c r="F6979" t="s">
        <v>4125</v>
      </c>
    </row>
    <row r="6980" spans="1:6">
      <c r="A6980" t="s">
        <v>11109</v>
      </c>
      <c r="B6980" t="s">
        <v>2545</v>
      </c>
      <c r="C6980" t="s">
        <v>32</v>
      </c>
      <c r="D6980" s="1">
        <v>45885</v>
      </c>
      <c r="E6980" t="s">
        <v>4135</v>
      </c>
      <c r="F6980" t="s">
        <v>4137</v>
      </c>
    </row>
    <row r="6981" spans="1:6">
      <c r="A6981" t="s">
        <v>11110</v>
      </c>
      <c r="B6981" t="s">
        <v>2546</v>
      </c>
      <c r="C6981" t="s">
        <v>78</v>
      </c>
      <c r="D6981" s="1">
        <v>45903</v>
      </c>
      <c r="E6981" t="s">
        <v>4129</v>
      </c>
      <c r="F6981" t="s">
        <v>4125</v>
      </c>
    </row>
    <row r="6982" spans="1:6">
      <c r="A6982" t="s">
        <v>11111</v>
      </c>
      <c r="B6982" t="s">
        <v>2546</v>
      </c>
      <c r="C6982" t="s">
        <v>78</v>
      </c>
      <c r="D6982" s="1">
        <v>45905</v>
      </c>
      <c r="E6982" t="s">
        <v>4135</v>
      </c>
      <c r="F6982" t="s">
        <v>4125</v>
      </c>
    </row>
    <row r="6983" spans="1:6">
      <c r="A6983" t="s">
        <v>11112</v>
      </c>
      <c r="B6983" t="s">
        <v>2546</v>
      </c>
      <c r="C6983" t="s">
        <v>78</v>
      </c>
      <c r="D6983" s="1">
        <v>45891</v>
      </c>
      <c r="E6983" t="s">
        <v>4129</v>
      </c>
      <c r="F6983" t="s">
        <v>4125</v>
      </c>
    </row>
    <row r="6984" spans="1:6">
      <c r="A6984" t="s">
        <v>11113</v>
      </c>
      <c r="B6984" t="s">
        <v>2546</v>
      </c>
      <c r="C6984" t="s">
        <v>78</v>
      </c>
      <c r="D6984" s="1">
        <v>45900</v>
      </c>
      <c r="E6984" t="s">
        <v>4124</v>
      </c>
      <c r="F6984" t="s">
        <v>4139</v>
      </c>
    </row>
    <row r="6985" spans="1:6">
      <c r="A6985" t="s">
        <v>11114</v>
      </c>
      <c r="B6985" t="s">
        <v>2547</v>
      </c>
      <c r="C6985" t="s">
        <v>50</v>
      </c>
      <c r="D6985" s="1">
        <v>45956</v>
      </c>
      <c r="E6985" t="s">
        <v>4124</v>
      </c>
      <c r="F6985" t="s">
        <v>4125</v>
      </c>
    </row>
    <row r="6986" spans="1:6">
      <c r="A6986" t="s">
        <v>11115</v>
      </c>
      <c r="B6986" t="s">
        <v>2547</v>
      </c>
      <c r="C6986" t="s">
        <v>50</v>
      </c>
      <c r="D6986" s="1">
        <v>45915</v>
      </c>
      <c r="E6986" t="s">
        <v>4135</v>
      </c>
      <c r="F6986" t="s">
        <v>4125</v>
      </c>
    </row>
    <row r="6987" spans="1:6">
      <c r="A6987" t="s">
        <v>11116</v>
      </c>
      <c r="B6987" t="s">
        <v>2547</v>
      </c>
      <c r="C6987" t="s">
        <v>50</v>
      </c>
      <c r="D6987" s="1">
        <v>45945</v>
      </c>
      <c r="E6987" t="s">
        <v>4133</v>
      </c>
      <c r="F6987" t="s">
        <v>4125</v>
      </c>
    </row>
    <row r="6988" spans="1:6">
      <c r="A6988" t="s">
        <v>11117</v>
      </c>
      <c r="B6988" t="s">
        <v>2548</v>
      </c>
      <c r="C6988" t="s">
        <v>63</v>
      </c>
      <c r="D6988" s="1">
        <v>45881</v>
      </c>
      <c r="E6988" t="s">
        <v>4127</v>
      </c>
      <c r="F6988" t="s">
        <v>4139</v>
      </c>
    </row>
    <row r="6989" spans="1:6">
      <c r="A6989" t="s">
        <v>11118</v>
      </c>
      <c r="B6989" t="s">
        <v>2548</v>
      </c>
      <c r="C6989" t="s">
        <v>63</v>
      </c>
      <c r="D6989" s="1">
        <v>45892</v>
      </c>
      <c r="E6989" t="s">
        <v>4135</v>
      </c>
      <c r="F6989" t="s">
        <v>4125</v>
      </c>
    </row>
    <row r="6990" spans="1:6">
      <c r="A6990" t="s">
        <v>11119</v>
      </c>
      <c r="B6990" t="s">
        <v>2548</v>
      </c>
      <c r="C6990" t="s">
        <v>63</v>
      </c>
      <c r="D6990" s="1">
        <v>45877</v>
      </c>
      <c r="E6990" t="s">
        <v>4127</v>
      </c>
      <c r="F6990" t="s">
        <v>4125</v>
      </c>
    </row>
    <row r="6991" spans="1:6">
      <c r="A6991" t="s">
        <v>11120</v>
      </c>
      <c r="B6991" t="s">
        <v>2548</v>
      </c>
      <c r="C6991" t="s">
        <v>63</v>
      </c>
      <c r="D6991" s="1">
        <v>45888</v>
      </c>
      <c r="E6991" t="s">
        <v>4127</v>
      </c>
      <c r="F6991" t="s">
        <v>4139</v>
      </c>
    </row>
    <row r="6992" spans="1:6">
      <c r="A6992" t="s">
        <v>11121</v>
      </c>
      <c r="B6992" t="s">
        <v>2549</v>
      </c>
      <c r="C6992" t="s">
        <v>63</v>
      </c>
      <c r="D6992" s="1">
        <v>45757</v>
      </c>
      <c r="E6992" t="s">
        <v>4135</v>
      </c>
      <c r="F6992" t="s">
        <v>4137</v>
      </c>
    </row>
    <row r="6993" spans="1:6">
      <c r="A6993" t="s">
        <v>11122</v>
      </c>
      <c r="B6993" t="s">
        <v>2549</v>
      </c>
      <c r="C6993" t="s">
        <v>63</v>
      </c>
      <c r="D6993" s="1">
        <v>45725</v>
      </c>
      <c r="E6993" t="s">
        <v>4135</v>
      </c>
      <c r="F6993" t="s">
        <v>4137</v>
      </c>
    </row>
    <row r="6994" spans="1:6">
      <c r="A6994" t="s">
        <v>11123</v>
      </c>
      <c r="B6994" t="s">
        <v>2549</v>
      </c>
      <c r="C6994" t="s">
        <v>63</v>
      </c>
      <c r="D6994" s="1">
        <v>45697</v>
      </c>
      <c r="E6994" t="s">
        <v>4124</v>
      </c>
      <c r="F6994" t="s">
        <v>4125</v>
      </c>
    </row>
    <row r="6995" spans="1:6">
      <c r="A6995" t="s">
        <v>11124</v>
      </c>
      <c r="B6995" t="s">
        <v>2550</v>
      </c>
      <c r="C6995" t="s">
        <v>27</v>
      </c>
      <c r="D6995" s="1">
        <v>45873</v>
      </c>
      <c r="E6995" t="s">
        <v>4127</v>
      </c>
      <c r="F6995" t="s">
        <v>4137</v>
      </c>
    </row>
    <row r="6996" spans="1:6">
      <c r="A6996" t="s">
        <v>11125</v>
      </c>
      <c r="B6996" t="s">
        <v>2550</v>
      </c>
      <c r="C6996" t="s">
        <v>27</v>
      </c>
      <c r="D6996" s="1">
        <v>45880</v>
      </c>
      <c r="E6996" t="s">
        <v>4127</v>
      </c>
      <c r="F6996" t="s">
        <v>4125</v>
      </c>
    </row>
    <row r="6997" spans="1:6">
      <c r="A6997" t="s">
        <v>11126</v>
      </c>
      <c r="B6997" t="s">
        <v>2550</v>
      </c>
      <c r="C6997" t="s">
        <v>27</v>
      </c>
      <c r="D6997" s="1">
        <v>45889</v>
      </c>
      <c r="E6997" t="s">
        <v>4135</v>
      </c>
      <c r="F6997" t="s">
        <v>4137</v>
      </c>
    </row>
    <row r="6998" spans="1:6">
      <c r="A6998" t="s">
        <v>11127</v>
      </c>
      <c r="B6998" t="s">
        <v>2551</v>
      </c>
      <c r="C6998" t="s">
        <v>78</v>
      </c>
      <c r="D6998" s="1">
        <v>45937</v>
      </c>
      <c r="E6998" t="s">
        <v>4127</v>
      </c>
      <c r="F6998" t="s">
        <v>4137</v>
      </c>
    </row>
    <row r="6999" spans="1:6">
      <c r="A6999" t="s">
        <v>11128</v>
      </c>
      <c r="B6999" t="s">
        <v>2551</v>
      </c>
      <c r="C6999" t="s">
        <v>78</v>
      </c>
      <c r="D6999" s="1">
        <v>45939</v>
      </c>
      <c r="E6999" t="s">
        <v>4127</v>
      </c>
      <c r="F6999" t="s">
        <v>4125</v>
      </c>
    </row>
    <row r="7000" spans="1:6">
      <c r="A7000" t="s">
        <v>11129</v>
      </c>
      <c r="B7000" t="s">
        <v>2552</v>
      </c>
      <c r="C7000" t="s">
        <v>152</v>
      </c>
      <c r="D7000" s="1">
        <v>45791</v>
      </c>
      <c r="E7000" t="s">
        <v>4127</v>
      </c>
      <c r="F7000" t="s">
        <v>4137</v>
      </c>
    </row>
    <row r="7001" spans="1:6">
      <c r="A7001" t="s">
        <v>11130</v>
      </c>
      <c r="B7001" t="s">
        <v>2552</v>
      </c>
      <c r="C7001" t="s">
        <v>152</v>
      </c>
      <c r="D7001" s="1">
        <v>45798</v>
      </c>
      <c r="E7001" t="s">
        <v>4127</v>
      </c>
      <c r="F7001" t="s">
        <v>4137</v>
      </c>
    </row>
    <row r="7002" spans="1:6">
      <c r="A7002" t="s">
        <v>11131</v>
      </c>
      <c r="B7002" t="s">
        <v>2553</v>
      </c>
      <c r="C7002" t="s">
        <v>59</v>
      </c>
      <c r="D7002" s="1">
        <v>45995</v>
      </c>
      <c r="E7002" t="s">
        <v>4124</v>
      </c>
      <c r="F7002" t="s">
        <v>4139</v>
      </c>
    </row>
    <row r="7003" spans="1:6">
      <c r="A7003" t="s">
        <v>11132</v>
      </c>
      <c r="B7003" t="s">
        <v>2553</v>
      </c>
      <c r="C7003" t="s">
        <v>59</v>
      </c>
      <c r="D7003" s="1">
        <v>46002</v>
      </c>
      <c r="E7003" t="s">
        <v>4133</v>
      </c>
      <c r="F7003" t="s">
        <v>4137</v>
      </c>
    </row>
    <row r="7004" spans="1:6">
      <c r="A7004" t="s">
        <v>11133</v>
      </c>
      <c r="B7004" t="s">
        <v>2553</v>
      </c>
      <c r="C7004" t="s">
        <v>59</v>
      </c>
      <c r="D7004" s="1">
        <v>45988</v>
      </c>
      <c r="E7004" t="s">
        <v>4135</v>
      </c>
      <c r="F7004" t="s">
        <v>4125</v>
      </c>
    </row>
    <row r="7005" spans="1:6">
      <c r="A7005" t="s">
        <v>11134</v>
      </c>
      <c r="B7005" t="s">
        <v>2554</v>
      </c>
      <c r="C7005" t="s">
        <v>32</v>
      </c>
      <c r="D7005" s="1">
        <v>45819</v>
      </c>
      <c r="E7005" t="s">
        <v>4129</v>
      </c>
      <c r="F7005" t="s">
        <v>4125</v>
      </c>
    </row>
    <row r="7006" spans="1:6">
      <c r="A7006" t="s">
        <v>11135</v>
      </c>
      <c r="B7006" t="s">
        <v>2554</v>
      </c>
      <c r="C7006" t="s">
        <v>32</v>
      </c>
      <c r="D7006" s="1">
        <v>45861</v>
      </c>
      <c r="E7006" t="s">
        <v>4124</v>
      </c>
      <c r="F7006" t="s">
        <v>4139</v>
      </c>
    </row>
    <row r="7007" spans="1:6">
      <c r="A7007" t="s">
        <v>11136</v>
      </c>
      <c r="B7007" t="s">
        <v>2554</v>
      </c>
      <c r="C7007" t="s">
        <v>32</v>
      </c>
      <c r="D7007" s="1">
        <v>45829</v>
      </c>
      <c r="E7007" t="s">
        <v>4124</v>
      </c>
      <c r="F7007" t="s">
        <v>4125</v>
      </c>
    </row>
    <row r="7008" spans="1:6">
      <c r="A7008" t="s">
        <v>11137</v>
      </c>
      <c r="B7008" t="s">
        <v>2554</v>
      </c>
      <c r="C7008" t="s">
        <v>32</v>
      </c>
      <c r="D7008" s="1">
        <v>45823</v>
      </c>
      <c r="E7008" t="s">
        <v>4127</v>
      </c>
      <c r="F7008" t="s">
        <v>4139</v>
      </c>
    </row>
    <row r="7009" spans="1:6">
      <c r="A7009" t="s">
        <v>11138</v>
      </c>
      <c r="B7009" t="s">
        <v>2555</v>
      </c>
      <c r="C7009" t="s">
        <v>50</v>
      </c>
      <c r="D7009" s="1">
        <v>45982</v>
      </c>
      <c r="E7009" t="s">
        <v>4133</v>
      </c>
      <c r="F7009" t="s">
        <v>4139</v>
      </c>
    </row>
    <row r="7010" spans="1:6">
      <c r="A7010" t="s">
        <v>11139</v>
      </c>
      <c r="B7010" t="s">
        <v>2555</v>
      </c>
      <c r="C7010" t="s">
        <v>50</v>
      </c>
      <c r="D7010" s="1">
        <v>45957</v>
      </c>
      <c r="E7010" t="s">
        <v>4127</v>
      </c>
      <c r="F7010" t="s">
        <v>4139</v>
      </c>
    </row>
    <row r="7011" spans="1:6">
      <c r="A7011" t="s">
        <v>11140</v>
      </c>
      <c r="B7011" t="s">
        <v>2555</v>
      </c>
      <c r="C7011" t="s">
        <v>50</v>
      </c>
      <c r="D7011" s="1">
        <v>45944</v>
      </c>
      <c r="E7011" t="s">
        <v>4127</v>
      </c>
      <c r="F7011" t="s">
        <v>4125</v>
      </c>
    </row>
    <row r="7012" spans="1:6">
      <c r="A7012" t="s">
        <v>11141</v>
      </c>
      <c r="B7012" t="s">
        <v>2556</v>
      </c>
      <c r="C7012" t="s">
        <v>126</v>
      </c>
      <c r="D7012" s="1">
        <v>45871</v>
      </c>
      <c r="E7012" t="s">
        <v>4135</v>
      </c>
      <c r="F7012" t="s">
        <v>4137</v>
      </c>
    </row>
    <row r="7013" spans="1:6">
      <c r="A7013" t="s">
        <v>11142</v>
      </c>
      <c r="B7013" t="s">
        <v>2556</v>
      </c>
      <c r="C7013" t="s">
        <v>126</v>
      </c>
      <c r="D7013" s="1">
        <v>45841</v>
      </c>
      <c r="E7013" t="s">
        <v>4135</v>
      </c>
      <c r="F7013" t="s">
        <v>4139</v>
      </c>
    </row>
    <row r="7014" spans="1:6">
      <c r="A7014" t="s">
        <v>11143</v>
      </c>
      <c r="B7014" t="s">
        <v>2556</v>
      </c>
      <c r="C7014" t="s">
        <v>126</v>
      </c>
      <c r="D7014" s="1">
        <v>45803</v>
      </c>
      <c r="E7014" t="s">
        <v>4129</v>
      </c>
      <c r="F7014" t="s">
        <v>4139</v>
      </c>
    </row>
    <row r="7015" spans="1:6">
      <c r="A7015" t="s">
        <v>11144</v>
      </c>
      <c r="B7015" t="s">
        <v>2556</v>
      </c>
      <c r="C7015" t="s">
        <v>126</v>
      </c>
      <c r="D7015" s="1">
        <v>45817</v>
      </c>
      <c r="E7015" t="s">
        <v>4127</v>
      </c>
      <c r="F7015" t="s">
        <v>4137</v>
      </c>
    </row>
    <row r="7016" spans="1:6">
      <c r="A7016" t="s">
        <v>11145</v>
      </c>
      <c r="B7016" t="s">
        <v>2556</v>
      </c>
      <c r="C7016" t="s">
        <v>126</v>
      </c>
      <c r="D7016" s="1">
        <v>45838</v>
      </c>
      <c r="E7016" t="s">
        <v>4135</v>
      </c>
      <c r="F7016" t="s">
        <v>4125</v>
      </c>
    </row>
    <row r="7017" spans="1:6">
      <c r="A7017" t="s">
        <v>11146</v>
      </c>
      <c r="B7017" t="s">
        <v>2557</v>
      </c>
      <c r="C7017" t="s">
        <v>22</v>
      </c>
      <c r="D7017" s="1">
        <v>45750</v>
      </c>
      <c r="E7017" t="s">
        <v>4124</v>
      </c>
      <c r="F7017" t="s">
        <v>4125</v>
      </c>
    </row>
    <row r="7018" spans="1:6">
      <c r="A7018" t="s">
        <v>11147</v>
      </c>
      <c r="B7018" t="s">
        <v>2557</v>
      </c>
      <c r="C7018" t="s">
        <v>22</v>
      </c>
      <c r="D7018" s="1">
        <v>45755</v>
      </c>
      <c r="E7018" t="s">
        <v>4129</v>
      </c>
      <c r="F7018" t="s">
        <v>4137</v>
      </c>
    </row>
    <row r="7019" spans="1:6">
      <c r="A7019" t="s">
        <v>11148</v>
      </c>
      <c r="B7019" t="s">
        <v>2558</v>
      </c>
      <c r="C7019" t="s">
        <v>53</v>
      </c>
      <c r="D7019" s="1">
        <v>45928</v>
      </c>
      <c r="E7019" t="s">
        <v>4133</v>
      </c>
      <c r="F7019" t="s">
        <v>4139</v>
      </c>
    </row>
    <row r="7020" spans="1:6">
      <c r="A7020" t="s">
        <v>11149</v>
      </c>
      <c r="B7020" t="s">
        <v>2558</v>
      </c>
      <c r="C7020" t="s">
        <v>53</v>
      </c>
      <c r="D7020" s="1">
        <v>45859</v>
      </c>
      <c r="E7020" t="s">
        <v>4129</v>
      </c>
      <c r="F7020" t="s">
        <v>4137</v>
      </c>
    </row>
    <row r="7021" spans="1:6">
      <c r="A7021" t="s">
        <v>11150</v>
      </c>
      <c r="B7021" t="s">
        <v>2558</v>
      </c>
      <c r="C7021" t="s">
        <v>53</v>
      </c>
      <c r="D7021" s="1">
        <v>45927</v>
      </c>
      <c r="E7021" t="s">
        <v>4133</v>
      </c>
      <c r="F7021" t="s">
        <v>4137</v>
      </c>
    </row>
    <row r="7022" spans="1:6">
      <c r="A7022" t="s">
        <v>11151</v>
      </c>
      <c r="B7022" t="s">
        <v>2558</v>
      </c>
      <c r="C7022" t="s">
        <v>53</v>
      </c>
      <c r="D7022" s="1">
        <v>45894</v>
      </c>
      <c r="E7022" t="s">
        <v>4133</v>
      </c>
      <c r="F7022" t="s">
        <v>4137</v>
      </c>
    </row>
    <row r="7023" spans="1:6">
      <c r="A7023" t="s">
        <v>11152</v>
      </c>
      <c r="B7023" t="s">
        <v>2559</v>
      </c>
      <c r="C7023" t="s">
        <v>36</v>
      </c>
      <c r="D7023" s="1">
        <v>45700</v>
      </c>
      <c r="E7023" t="s">
        <v>4135</v>
      </c>
      <c r="F7023" t="s">
        <v>4125</v>
      </c>
    </row>
    <row r="7024" spans="1:6">
      <c r="A7024" t="s">
        <v>11153</v>
      </c>
      <c r="B7024" t="s">
        <v>2559</v>
      </c>
      <c r="C7024" t="s">
        <v>36</v>
      </c>
      <c r="D7024" s="1">
        <v>45703</v>
      </c>
      <c r="E7024" t="s">
        <v>4133</v>
      </c>
      <c r="F7024" t="s">
        <v>4137</v>
      </c>
    </row>
    <row r="7025" spans="1:6">
      <c r="A7025" t="s">
        <v>11154</v>
      </c>
      <c r="B7025" t="s">
        <v>2559</v>
      </c>
      <c r="C7025" t="s">
        <v>36</v>
      </c>
      <c r="D7025" s="1">
        <v>45700</v>
      </c>
      <c r="E7025" t="s">
        <v>4133</v>
      </c>
      <c r="F7025" t="s">
        <v>4137</v>
      </c>
    </row>
    <row r="7026" spans="1:6">
      <c r="A7026" t="s">
        <v>11155</v>
      </c>
      <c r="B7026" t="s">
        <v>2559</v>
      </c>
      <c r="C7026" t="s">
        <v>36</v>
      </c>
      <c r="D7026" s="1">
        <v>45700</v>
      </c>
      <c r="E7026" t="s">
        <v>4135</v>
      </c>
      <c r="F7026" t="s">
        <v>4137</v>
      </c>
    </row>
    <row r="7027" spans="1:6">
      <c r="A7027" t="s">
        <v>11156</v>
      </c>
      <c r="B7027" t="s">
        <v>2560</v>
      </c>
      <c r="C7027" t="s">
        <v>119</v>
      </c>
      <c r="D7027" s="1">
        <v>46005</v>
      </c>
      <c r="E7027" t="s">
        <v>4124</v>
      </c>
      <c r="F7027" t="s">
        <v>4139</v>
      </c>
    </row>
    <row r="7028" spans="1:6">
      <c r="A7028" t="s">
        <v>11157</v>
      </c>
      <c r="B7028" t="s">
        <v>2560</v>
      </c>
      <c r="C7028" t="s">
        <v>119</v>
      </c>
      <c r="D7028" s="1">
        <v>45968</v>
      </c>
      <c r="E7028" t="s">
        <v>4129</v>
      </c>
      <c r="F7028" t="s">
        <v>4125</v>
      </c>
    </row>
    <row r="7029" spans="1:6">
      <c r="A7029" t="s">
        <v>11158</v>
      </c>
      <c r="B7029" t="s">
        <v>2561</v>
      </c>
      <c r="C7029" t="s">
        <v>91</v>
      </c>
      <c r="D7029" s="1">
        <v>45686</v>
      </c>
      <c r="E7029" t="s">
        <v>4133</v>
      </c>
      <c r="F7029" t="s">
        <v>4139</v>
      </c>
    </row>
    <row r="7030" spans="1:6">
      <c r="A7030" t="s">
        <v>11159</v>
      </c>
      <c r="B7030" t="s">
        <v>2561</v>
      </c>
      <c r="C7030" t="s">
        <v>91</v>
      </c>
      <c r="D7030" s="1">
        <v>45717</v>
      </c>
      <c r="E7030" t="s">
        <v>4133</v>
      </c>
      <c r="F7030" t="s">
        <v>4137</v>
      </c>
    </row>
    <row r="7031" spans="1:6">
      <c r="A7031" t="s">
        <v>11160</v>
      </c>
      <c r="B7031" t="s">
        <v>2561</v>
      </c>
      <c r="C7031" t="s">
        <v>91</v>
      </c>
      <c r="D7031" s="1">
        <v>45681</v>
      </c>
      <c r="E7031" t="s">
        <v>4127</v>
      </c>
      <c r="F7031" t="s">
        <v>4137</v>
      </c>
    </row>
    <row r="7032" spans="1:6">
      <c r="A7032" t="s">
        <v>11161</v>
      </c>
      <c r="B7032" t="s">
        <v>2561</v>
      </c>
      <c r="C7032" t="s">
        <v>91</v>
      </c>
      <c r="D7032" s="1">
        <v>45684</v>
      </c>
      <c r="E7032" t="s">
        <v>4127</v>
      </c>
      <c r="F7032" t="s">
        <v>4137</v>
      </c>
    </row>
    <row r="7033" spans="1:6">
      <c r="A7033" t="s">
        <v>11162</v>
      </c>
      <c r="B7033" t="s">
        <v>2562</v>
      </c>
      <c r="C7033" t="s">
        <v>22</v>
      </c>
      <c r="D7033" s="1">
        <v>45794</v>
      </c>
      <c r="E7033" t="s">
        <v>4127</v>
      </c>
      <c r="F7033" t="s">
        <v>4125</v>
      </c>
    </row>
    <row r="7034" spans="1:6">
      <c r="A7034" t="s">
        <v>11163</v>
      </c>
      <c r="B7034" t="s">
        <v>2562</v>
      </c>
      <c r="C7034" t="s">
        <v>22</v>
      </c>
      <c r="D7034" s="1">
        <v>45783</v>
      </c>
      <c r="E7034" t="s">
        <v>4135</v>
      </c>
      <c r="F7034" t="s">
        <v>4125</v>
      </c>
    </row>
    <row r="7035" spans="1:6">
      <c r="A7035" t="s">
        <v>11164</v>
      </c>
      <c r="B7035" t="s">
        <v>2563</v>
      </c>
      <c r="C7035" t="s">
        <v>119</v>
      </c>
      <c r="D7035" s="1">
        <v>46020</v>
      </c>
      <c r="E7035" t="s">
        <v>4124</v>
      </c>
      <c r="F7035" t="s">
        <v>4125</v>
      </c>
    </row>
    <row r="7036" spans="1:6">
      <c r="A7036" t="s">
        <v>11165</v>
      </c>
      <c r="B7036" t="s">
        <v>2563</v>
      </c>
      <c r="C7036" t="s">
        <v>119</v>
      </c>
      <c r="D7036" s="1">
        <v>46022</v>
      </c>
      <c r="E7036" t="s">
        <v>4129</v>
      </c>
      <c r="F7036" t="s">
        <v>4139</v>
      </c>
    </row>
    <row r="7037" spans="1:6">
      <c r="A7037" t="s">
        <v>11166</v>
      </c>
      <c r="B7037" t="s">
        <v>2563</v>
      </c>
      <c r="C7037" t="s">
        <v>119</v>
      </c>
      <c r="D7037" s="1">
        <v>46022</v>
      </c>
      <c r="E7037" t="s">
        <v>4135</v>
      </c>
      <c r="F7037" t="s">
        <v>4139</v>
      </c>
    </row>
    <row r="7038" spans="1:6">
      <c r="A7038" t="s">
        <v>11167</v>
      </c>
      <c r="B7038" t="s">
        <v>2563</v>
      </c>
      <c r="C7038" t="s">
        <v>119</v>
      </c>
      <c r="D7038" s="1">
        <v>46021</v>
      </c>
      <c r="E7038" t="s">
        <v>4127</v>
      </c>
      <c r="F7038" t="s">
        <v>4137</v>
      </c>
    </row>
    <row r="7039" spans="1:6">
      <c r="A7039" t="s">
        <v>11168</v>
      </c>
      <c r="B7039" t="s">
        <v>2563</v>
      </c>
      <c r="C7039" t="s">
        <v>119</v>
      </c>
      <c r="D7039" s="1">
        <v>46021</v>
      </c>
      <c r="E7039" t="s">
        <v>4129</v>
      </c>
      <c r="F7039" t="s">
        <v>4137</v>
      </c>
    </row>
    <row r="7040" spans="1:6">
      <c r="A7040" t="s">
        <v>11169</v>
      </c>
      <c r="B7040" t="s">
        <v>2564</v>
      </c>
      <c r="C7040" t="s">
        <v>56</v>
      </c>
      <c r="D7040" s="1">
        <v>45787</v>
      </c>
      <c r="E7040" t="s">
        <v>4129</v>
      </c>
      <c r="F7040" t="s">
        <v>4139</v>
      </c>
    </row>
    <row r="7041" spans="1:6">
      <c r="A7041" t="s">
        <v>11170</v>
      </c>
      <c r="B7041" t="s">
        <v>2564</v>
      </c>
      <c r="C7041" t="s">
        <v>56</v>
      </c>
      <c r="D7041" s="1">
        <v>45802</v>
      </c>
      <c r="E7041" t="s">
        <v>4127</v>
      </c>
      <c r="F7041" t="s">
        <v>4125</v>
      </c>
    </row>
    <row r="7042" spans="1:6">
      <c r="A7042" t="s">
        <v>11171</v>
      </c>
      <c r="B7042" t="s">
        <v>2565</v>
      </c>
      <c r="C7042" t="s">
        <v>53</v>
      </c>
      <c r="D7042" s="1">
        <v>45841</v>
      </c>
      <c r="E7042" t="s">
        <v>4124</v>
      </c>
      <c r="F7042" t="s">
        <v>4125</v>
      </c>
    </row>
    <row r="7043" spans="1:6">
      <c r="A7043" t="s">
        <v>11172</v>
      </c>
      <c r="B7043" t="s">
        <v>2565</v>
      </c>
      <c r="C7043" t="s">
        <v>53</v>
      </c>
      <c r="D7043" s="1">
        <v>45821</v>
      </c>
      <c r="E7043" t="s">
        <v>4135</v>
      </c>
      <c r="F7043" t="s">
        <v>4125</v>
      </c>
    </row>
    <row r="7044" spans="1:6">
      <c r="A7044" t="s">
        <v>11173</v>
      </c>
      <c r="B7044" t="s">
        <v>2565</v>
      </c>
      <c r="C7044" t="s">
        <v>53</v>
      </c>
      <c r="D7044" s="1">
        <v>45842</v>
      </c>
      <c r="E7044" t="s">
        <v>4129</v>
      </c>
      <c r="F7044" t="s">
        <v>4125</v>
      </c>
    </row>
    <row r="7045" spans="1:6">
      <c r="A7045" t="s">
        <v>11174</v>
      </c>
      <c r="B7045" t="s">
        <v>2566</v>
      </c>
      <c r="C7045" t="s">
        <v>22</v>
      </c>
      <c r="D7045" s="1">
        <v>45876</v>
      </c>
      <c r="E7045" t="s">
        <v>4124</v>
      </c>
      <c r="F7045" t="s">
        <v>4137</v>
      </c>
    </row>
    <row r="7046" spans="1:6">
      <c r="A7046" t="s">
        <v>11175</v>
      </c>
      <c r="B7046" t="s">
        <v>2566</v>
      </c>
      <c r="C7046" t="s">
        <v>22</v>
      </c>
      <c r="D7046" s="1">
        <v>45929</v>
      </c>
      <c r="E7046" t="s">
        <v>4133</v>
      </c>
      <c r="F7046" t="s">
        <v>4139</v>
      </c>
    </row>
    <row r="7047" spans="1:6">
      <c r="A7047" t="s">
        <v>11176</v>
      </c>
      <c r="B7047" t="s">
        <v>2566</v>
      </c>
      <c r="C7047" t="s">
        <v>22</v>
      </c>
      <c r="D7047" s="1">
        <v>45880</v>
      </c>
      <c r="E7047" t="s">
        <v>4133</v>
      </c>
      <c r="F7047" t="s">
        <v>4139</v>
      </c>
    </row>
    <row r="7048" spans="1:6">
      <c r="A7048" t="s">
        <v>11177</v>
      </c>
      <c r="B7048" t="s">
        <v>2566</v>
      </c>
      <c r="C7048" t="s">
        <v>22</v>
      </c>
      <c r="D7048" s="1">
        <v>45907</v>
      </c>
      <c r="E7048" t="s">
        <v>4127</v>
      </c>
      <c r="F7048" t="s">
        <v>4139</v>
      </c>
    </row>
    <row r="7049" spans="1:6">
      <c r="A7049" t="s">
        <v>11178</v>
      </c>
      <c r="B7049" t="s">
        <v>2566</v>
      </c>
      <c r="C7049" t="s">
        <v>22</v>
      </c>
      <c r="D7049" s="1">
        <v>45899</v>
      </c>
      <c r="E7049" t="s">
        <v>4135</v>
      </c>
      <c r="F7049" t="s">
        <v>4125</v>
      </c>
    </row>
    <row r="7050" spans="1:6">
      <c r="A7050" t="s">
        <v>11179</v>
      </c>
      <c r="B7050" t="s">
        <v>2567</v>
      </c>
      <c r="C7050" t="s">
        <v>16</v>
      </c>
      <c r="D7050" s="1">
        <v>46004</v>
      </c>
      <c r="E7050" t="s">
        <v>4129</v>
      </c>
      <c r="F7050" t="s">
        <v>4137</v>
      </c>
    </row>
    <row r="7051" spans="1:6">
      <c r="A7051" t="s">
        <v>11180</v>
      </c>
      <c r="B7051" t="s">
        <v>2567</v>
      </c>
      <c r="C7051" t="s">
        <v>16</v>
      </c>
      <c r="D7051" s="1">
        <v>45994</v>
      </c>
      <c r="E7051" t="s">
        <v>4129</v>
      </c>
      <c r="F7051" t="s">
        <v>4137</v>
      </c>
    </row>
    <row r="7052" spans="1:6">
      <c r="A7052" t="s">
        <v>11181</v>
      </c>
      <c r="B7052" t="s">
        <v>2567</v>
      </c>
      <c r="C7052" t="s">
        <v>16</v>
      </c>
      <c r="D7052" s="1">
        <v>46012</v>
      </c>
      <c r="E7052" t="s">
        <v>4135</v>
      </c>
      <c r="F7052" t="s">
        <v>4137</v>
      </c>
    </row>
    <row r="7053" spans="1:6">
      <c r="A7053" t="s">
        <v>11182</v>
      </c>
      <c r="B7053" t="s">
        <v>2567</v>
      </c>
      <c r="C7053" t="s">
        <v>16</v>
      </c>
      <c r="D7053" s="1">
        <v>46005</v>
      </c>
      <c r="E7053" t="s">
        <v>4127</v>
      </c>
      <c r="F7053" t="s">
        <v>4139</v>
      </c>
    </row>
    <row r="7054" spans="1:6">
      <c r="A7054" t="s">
        <v>11183</v>
      </c>
      <c r="B7054" t="s">
        <v>2568</v>
      </c>
      <c r="C7054" t="s">
        <v>40</v>
      </c>
      <c r="D7054" s="1">
        <v>46012</v>
      </c>
      <c r="E7054" t="s">
        <v>4127</v>
      </c>
      <c r="F7054" t="s">
        <v>4137</v>
      </c>
    </row>
    <row r="7055" spans="1:6">
      <c r="A7055" t="s">
        <v>11184</v>
      </c>
      <c r="B7055" t="s">
        <v>2568</v>
      </c>
      <c r="C7055" t="s">
        <v>40</v>
      </c>
      <c r="D7055" s="1">
        <v>46015</v>
      </c>
      <c r="E7055" t="s">
        <v>4135</v>
      </c>
      <c r="F7055" t="s">
        <v>4137</v>
      </c>
    </row>
    <row r="7056" spans="1:6">
      <c r="A7056" t="s">
        <v>11185</v>
      </c>
      <c r="B7056" t="s">
        <v>2568</v>
      </c>
      <c r="C7056" t="s">
        <v>40</v>
      </c>
      <c r="D7056" s="1">
        <v>46002</v>
      </c>
      <c r="E7056" t="s">
        <v>4129</v>
      </c>
      <c r="F7056" t="s">
        <v>4125</v>
      </c>
    </row>
    <row r="7057" spans="1:6">
      <c r="A7057" t="s">
        <v>11186</v>
      </c>
      <c r="B7057" t="s">
        <v>2568</v>
      </c>
      <c r="C7057" t="s">
        <v>40</v>
      </c>
      <c r="D7057" s="1">
        <v>46008</v>
      </c>
      <c r="E7057" t="s">
        <v>4135</v>
      </c>
      <c r="F7057" t="s">
        <v>4137</v>
      </c>
    </row>
    <row r="7058" spans="1:6">
      <c r="A7058" t="s">
        <v>11187</v>
      </c>
      <c r="B7058" t="s">
        <v>2568</v>
      </c>
      <c r="C7058" t="s">
        <v>40</v>
      </c>
      <c r="D7058" s="1">
        <v>45990</v>
      </c>
      <c r="E7058" t="s">
        <v>4135</v>
      </c>
      <c r="F7058" t="s">
        <v>4139</v>
      </c>
    </row>
    <row r="7059" spans="1:6">
      <c r="A7059" t="s">
        <v>11188</v>
      </c>
      <c r="B7059" t="s">
        <v>2569</v>
      </c>
      <c r="C7059" t="s">
        <v>119</v>
      </c>
      <c r="D7059" s="1">
        <v>45826</v>
      </c>
      <c r="E7059" t="s">
        <v>4124</v>
      </c>
      <c r="F7059" t="s">
        <v>4125</v>
      </c>
    </row>
    <row r="7060" spans="1:6">
      <c r="A7060" t="s">
        <v>11189</v>
      </c>
      <c r="B7060" t="s">
        <v>2569</v>
      </c>
      <c r="C7060" t="s">
        <v>119</v>
      </c>
      <c r="D7060" s="1">
        <v>45887</v>
      </c>
      <c r="E7060" t="s">
        <v>4135</v>
      </c>
      <c r="F7060" t="s">
        <v>4125</v>
      </c>
    </row>
    <row r="7061" spans="1:6">
      <c r="A7061" t="s">
        <v>11190</v>
      </c>
      <c r="B7061" t="s">
        <v>2569</v>
      </c>
      <c r="C7061" t="s">
        <v>119</v>
      </c>
      <c r="D7061" s="1">
        <v>45841</v>
      </c>
      <c r="E7061" t="s">
        <v>4129</v>
      </c>
      <c r="F7061" t="s">
        <v>4125</v>
      </c>
    </row>
    <row r="7062" spans="1:6">
      <c r="A7062" t="s">
        <v>11191</v>
      </c>
      <c r="B7062" t="s">
        <v>2570</v>
      </c>
      <c r="C7062" t="s">
        <v>40</v>
      </c>
      <c r="D7062" s="1">
        <v>45743</v>
      </c>
      <c r="E7062" t="s">
        <v>4135</v>
      </c>
      <c r="F7062" t="s">
        <v>4125</v>
      </c>
    </row>
    <row r="7063" spans="1:6">
      <c r="A7063" t="s">
        <v>11192</v>
      </c>
      <c r="B7063" t="s">
        <v>2570</v>
      </c>
      <c r="C7063" t="s">
        <v>40</v>
      </c>
      <c r="D7063" s="1">
        <v>45773</v>
      </c>
      <c r="E7063" t="s">
        <v>4127</v>
      </c>
      <c r="F7063" t="s">
        <v>4137</v>
      </c>
    </row>
    <row r="7064" spans="1:6">
      <c r="A7064" t="s">
        <v>11193</v>
      </c>
      <c r="B7064" t="s">
        <v>2570</v>
      </c>
      <c r="C7064" t="s">
        <v>40</v>
      </c>
      <c r="D7064" s="1">
        <v>45742</v>
      </c>
      <c r="E7064" t="s">
        <v>4124</v>
      </c>
      <c r="F7064" t="s">
        <v>4139</v>
      </c>
    </row>
    <row r="7065" spans="1:6">
      <c r="A7065" t="s">
        <v>11194</v>
      </c>
      <c r="B7065" t="s">
        <v>2571</v>
      </c>
      <c r="C7065" t="s">
        <v>152</v>
      </c>
      <c r="D7065" s="1">
        <v>45713</v>
      </c>
      <c r="E7065" t="s">
        <v>4124</v>
      </c>
      <c r="F7065" t="s">
        <v>4137</v>
      </c>
    </row>
    <row r="7066" spans="1:6">
      <c r="A7066" t="s">
        <v>11195</v>
      </c>
      <c r="B7066" t="s">
        <v>2571</v>
      </c>
      <c r="C7066" t="s">
        <v>152</v>
      </c>
      <c r="D7066" s="1">
        <v>45710</v>
      </c>
      <c r="E7066" t="s">
        <v>4129</v>
      </c>
      <c r="F7066" t="s">
        <v>4137</v>
      </c>
    </row>
    <row r="7067" spans="1:6">
      <c r="A7067" t="s">
        <v>11196</v>
      </c>
      <c r="B7067" t="s">
        <v>2571</v>
      </c>
      <c r="C7067" t="s">
        <v>152</v>
      </c>
      <c r="D7067" s="1">
        <v>45705</v>
      </c>
      <c r="E7067" t="s">
        <v>4135</v>
      </c>
      <c r="F7067" t="s">
        <v>4125</v>
      </c>
    </row>
    <row r="7068" spans="1:6">
      <c r="A7068" t="s">
        <v>11197</v>
      </c>
      <c r="B7068" t="s">
        <v>2571</v>
      </c>
      <c r="C7068" t="s">
        <v>152</v>
      </c>
      <c r="D7068" s="1">
        <v>45718</v>
      </c>
      <c r="E7068" t="s">
        <v>4124</v>
      </c>
      <c r="F7068" t="s">
        <v>4125</v>
      </c>
    </row>
    <row r="7069" spans="1:6">
      <c r="A7069" t="s">
        <v>11198</v>
      </c>
      <c r="B7069" t="s">
        <v>2571</v>
      </c>
      <c r="C7069" t="s">
        <v>152</v>
      </c>
      <c r="D7069" s="1">
        <v>45710</v>
      </c>
      <c r="E7069" t="s">
        <v>4127</v>
      </c>
      <c r="F7069" t="s">
        <v>4139</v>
      </c>
    </row>
    <row r="7070" spans="1:6">
      <c r="A7070" t="s">
        <v>11199</v>
      </c>
      <c r="B7070" t="s">
        <v>2572</v>
      </c>
      <c r="C7070" t="s">
        <v>32</v>
      </c>
      <c r="D7070" s="1">
        <v>45726</v>
      </c>
      <c r="E7070" t="s">
        <v>4127</v>
      </c>
      <c r="F7070" t="s">
        <v>4139</v>
      </c>
    </row>
    <row r="7071" spans="1:6">
      <c r="A7071" t="s">
        <v>11200</v>
      </c>
      <c r="B7071" t="s">
        <v>2572</v>
      </c>
      <c r="C7071" t="s">
        <v>32</v>
      </c>
      <c r="D7071" s="1">
        <v>45695</v>
      </c>
      <c r="E7071" t="s">
        <v>4124</v>
      </c>
      <c r="F7071" t="s">
        <v>4139</v>
      </c>
    </row>
    <row r="7072" spans="1:6">
      <c r="A7072" t="s">
        <v>11201</v>
      </c>
      <c r="B7072" t="s">
        <v>2573</v>
      </c>
      <c r="C7072" t="s">
        <v>22</v>
      </c>
      <c r="D7072" s="1">
        <v>45754</v>
      </c>
      <c r="E7072" t="s">
        <v>4135</v>
      </c>
      <c r="F7072" t="s">
        <v>4125</v>
      </c>
    </row>
    <row r="7073" spans="1:6">
      <c r="A7073" t="s">
        <v>11202</v>
      </c>
      <c r="B7073" t="s">
        <v>2573</v>
      </c>
      <c r="C7073" t="s">
        <v>22</v>
      </c>
      <c r="D7073" s="1">
        <v>45719</v>
      </c>
      <c r="E7073" t="s">
        <v>4124</v>
      </c>
      <c r="F7073" t="s">
        <v>4137</v>
      </c>
    </row>
    <row r="7074" spans="1:6">
      <c r="A7074" t="s">
        <v>11203</v>
      </c>
      <c r="B7074" t="s">
        <v>2573</v>
      </c>
      <c r="C7074" t="s">
        <v>22</v>
      </c>
      <c r="D7074" s="1">
        <v>45774</v>
      </c>
      <c r="E7074" t="s">
        <v>4135</v>
      </c>
      <c r="F7074" t="s">
        <v>4125</v>
      </c>
    </row>
    <row r="7075" spans="1:6">
      <c r="A7075" t="s">
        <v>11204</v>
      </c>
      <c r="B7075" t="s">
        <v>2574</v>
      </c>
      <c r="C7075" t="s">
        <v>119</v>
      </c>
      <c r="D7075" s="1">
        <v>45685</v>
      </c>
      <c r="E7075" t="s">
        <v>4135</v>
      </c>
      <c r="F7075" t="s">
        <v>4139</v>
      </c>
    </row>
    <row r="7076" spans="1:6">
      <c r="A7076" t="s">
        <v>11205</v>
      </c>
      <c r="B7076" t="s">
        <v>2574</v>
      </c>
      <c r="C7076" t="s">
        <v>119</v>
      </c>
      <c r="D7076" s="1">
        <v>45708</v>
      </c>
      <c r="E7076" t="s">
        <v>4133</v>
      </c>
      <c r="F7076" t="s">
        <v>4125</v>
      </c>
    </row>
    <row r="7077" spans="1:6">
      <c r="A7077" t="s">
        <v>11206</v>
      </c>
      <c r="B7077" t="s">
        <v>2574</v>
      </c>
      <c r="C7077" t="s">
        <v>119</v>
      </c>
      <c r="D7077" s="1">
        <v>45726</v>
      </c>
      <c r="E7077" t="s">
        <v>4127</v>
      </c>
      <c r="F7077" t="s">
        <v>4137</v>
      </c>
    </row>
    <row r="7078" spans="1:6">
      <c r="A7078" t="s">
        <v>11207</v>
      </c>
      <c r="B7078" t="s">
        <v>2574</v>
      </c>
      <c r="C7078" t="s">
        <v>119</v>
      </c>
      <c r="D7078" s="1">
        <v>45690</v>
      </c>
      <c r="E7078" t="s">
        <v>4129</v>
      </c>
      <c r="F7078" t="s">
        <v>4125</v>
      </c>
    </row>
    <row r="7079" spans="1:6">
      <c r="A7079" t="s">
        <v>11208</v>
      </c>
      <c r="B7079" t="s">
        <v>2574</v>
      </c>
      <c r="C7079" t="s">
        <v>119</v>
      </c>
      <c r="D7079" s="1">
        <v>45717</v>
      </c>
      <c r="E7079" t="s">
        <v>4135</v>
      </c>
      <c r="F7079" t="s">
        <v>4137</v>
      </c>
    </row>
    <row r="7080" spans="1:6">
      <c r="A7080" t="s">
        <v>11209</v>
      </c>
      <c r="B7080" t="s">
        <v>2575</v>
      </c>
      <c r="C7080" t="s">
        <v>27</v>
      </c>
      <c r="D7080" s="1">
        <v>46005</v>
      </c>
      <c r="E7080" t="s">
        <v>4129</v>
      </c>
      <c r="F7080" t="s">
        <v>4125</v>
      </c>
    </row>
    <row r="7081" spans="1:6">
      <c r="A7081" t="s">
        <v>11210</v>
      </c>
      <c r="B7081" t="s">
        <v>2575</v>
      </c>
      <c r="C7081" t="s">
        <v>27</v>
      </c>
      <c r="D7081" s="1">
        <v>45998</v>
      </c>
      <c r="E7081" t="s">
        <v>4135</v>
      </c>
      <c r="F7081" t="s">
        <v>4125</v>
      </c>
    </row>
    <row r="7082" spans="1:6">
      <c r="A7082" t="s">
        <v>11211</v>
      </c>
      <c r="B7082" t="s">
        <v>2575</v>
      </c>
      <c r="C7082" t="s">
        <v>27</v>
      </c>
      <c r="D7082" s="1">
        <v>45999</v>
      </c>
      <c r="E7082" t="s">
        <v>4133</v>
      </c>
      <c r="F7082" t="s">
        <v>4125</v>
      </c>
    </row>
    <row r="7083" spans="1:6">
      <c r="A7083" t="s">
        <v>11212</v>
      </c>
      <c r="B7083" t="s">
        <v>2576</v>
      </c>
      <c r="C7083" t="s">
        <v>32</v>
      </c>
      <c r="D7083" s="1">
        <v>45927</v>
      </c>
      <c r="E7083" t="s">
        <v>4124</v>
      </c>
      <c r="F7083" t="s">
        <v>4137</v>
      </c>
    </row>
    <row r="7084" spans="1:6">
      <c r="A7084" t="s">
        <v>11213</v>
      </c>
      <c r="B7084" t="s">
        <v>2576</v>
      </c>
      <c r="C7084" t="s">
        <v>32</v>
      </c>
      <c r="D7084" s="1">
        <v>45914</v>
      </c>
      <c r="E7084" t="s">
        <v>4127</v>
      </c>
      <c r="F7084" t="s">
        <v>4137</v>
      </c>
    </row>
    <row r="7085" spans="1:6">
      <c r="A7085" t="s">
        <v>11214</v>
      </c>
      <c r="B7085" t="s">
        <v>2576</v>
      </c>
      <c r="C7085" t="s">
        <v>32</v>
      </c>
      <c r="D7085" s="1">
        <v>45911</v>
      </c>
      <c r="E7085" t="s">
        <v>4129</v>
      </c>
      <c r="F7085" t="s">
        <v>4139</v>
      </c>
    </row>
    <row r="7086" spans="1:6">
      <c r="A7086" t="s">
        <v>11215</v>
      </c>
      <c r="B7086" t="s">
        <v>2576</v>
      </c>
      <c r="C7086" t="s">
        <v>32</v>
      </c>
      <c r="D7086" s="1">
        <v>45895</v>
      </c>
      <c r="E7086" t="s">
        <v>4127</v>
      </c>
      <c r="F7086" t="s">
        <v>4125</v>
      </c>
    </row>
    <row r="7087" spans="1:6">
      <c r="A7087" t="s">
        <v>11216</v>
      </c>
      <c r="B7087" t="s">
        <v>2577</v>
      </c>
      <c r="C7087" t="s">
        <v>91</v>
      </c>
      <c r="D7087" s="1">
        <v>46020</v>
      </c>
      <c r="E7087" t="s">
        <v>4129</v>
      </c>
      <c r="F7087" t="s">
        <v>4139</v>
      </c>
    </row>
    <row r="7088" spans="1:6">
      <c r="A7088" t="s">
        <v>11217</v>
      </c>
      <c r="B7088" t="s">
        <v>2577</v>
      </c>
      <c r="C7088" t="s">
        <v>91</v>
      </c>
      <c r="D7088" s="1">
        <v>46019</v>
      </c>
      <c r="E7088" t="s">
        <v>4127</v>
      </c>
      <c r="F7088" t="s">
        <v>4139</v>
      </c>
    </row>
    <row r="7089" spans="1:6">
      <c r="A7089" t="s">
        <v>11218</v>
      </c>
      <c r="B7089" t="s">
        <v>2577</v>
      </c>
      <c r="C7089" t="s">
        <v>91</v>
      </c>
      <c r="D7089" s="1">
        <v>46017</v>
      </c>
      <c r="E7089" t="s">
        <v>4133</v>
      </c>
      <c r="F7089" t="s">
        <v>4125</v>
      </c>
    </row>
    <row r="7090" spans="1:6">
      <c r="A7090" t="s">
        <v>11219</v>
      </c>
      <c r="B7090" t="s">
        <v>2578</v>
      </c>
      <c r="C7090" t="s">
        <v>78</v>
      </c>
      <c r="D7090" s="1">
        <v>45776</v>
      </c>
      <c r="E7090" t="s">
        <v>4127</v>
      </c>
      <c r="F7090" t="s">
        <v>4125</v>
      </c>
    </row>
    <row r="7091" spans="1:6">
      <c r="A7091" t="s">
        <v>11220</v>
      </c>
      <c r="B7091" t="s">
        <v>2578</v>
      </c>
      <c r="C7091" t="s">
        <v>78</v>
      </c>
      <c r="D7091" s="1">
        <v>45757</v>
      </c>
      <c r="E7091" t="s">
        <v>4124</v>
      </c>
      <c r="F7091" t="s">
        <v>4139</v>
      </c>
    </row>
    <row r="7092" spans="1:6">
      <c r="A7092" t="s">
        <v>11221</v>
      </c>
      <c r="B7092" t="s">
        <v>2578</v>
      </c>
      <c r="C7092" t="s">
        <v>78</v>
      </c>
      <c r="D7092" s="1">
        <v>45765</v>
      </c>
      <c r="E7092" t="s">
        <v>4124</v>
      </c>
      <c r="F7092" t="s">
        <v>4137</v>
      </c>
    </row>
    <row r="7093" spans="1:6">
      <c r="A7093" t="s">
        <v>11222</v>
      </c>
      <c r="B7093" t="s">
        <v>2578</v>
      </c>
      <c r="C7093" t="s">
        <v>78</v>
      </c>
      <c r="D7093" s="1">
        <v>45757</v>
      </c>
      <c r="E7093" t="s">
        <v>4124</v>
      </c>
      <c r="F7093" t="s">
        <v>4139</v>
      </c>
    </row>
    <row r="7094" spans="1:6">
      <c r="A7094" t="s">
        <v>11223</v>
      </c>
      <c r="B7094" t="s">
        <v>2579</v>
      </c>
      <c r="C7094" t="s">
        <v>53</v>
      </c>
      <c r="D7094" s="1">
        <v>45868</v>
      </c>
      <c r="E7094" t="s">
        <v>4135</v>
      </c>
      <c r="F7094" t="s">
        <v>4139</v>
      </c>
    </row>
    <row r="7095" spans="1:6">
      <c r="A7095" t="s">
        <v>11224</v>
      </c>
      <c r="B7095" t="s">
        <v>2579</v>
      </c>
      <c r="C7095" t="s">
        <v>53</v>
      </c>
      <c r="D7095" s="1">
        <v>45868</v>
      </c>
      <c r="E7095" t="s">
        <v>4127</v>
      </c>
      <c r="F7095" t="s">
        <v>4125</v>
      </c>
    </row>
    <row r="7096" spans="1:6">
      <c r="A7096" t="s">
        <v>11225</v>
      </c>
      <c r="B7096" t="s">
        <v>2579</v>
      </c>
      <c r="C7096" t="s">
        <v>53</v>
      </c>
      <c r="D7096" s="1">
        <v>45862</v>
      </c>
      <c r="E7096" t="s">
        <v>4127</v>
      </c>
      <c r="F7096" t="s">
        <v>4125</v>
      </c>
    </row>
    <row r="7097" spans="1:6">
      <c r="A7097" t="s">
        <v>11226</v>
      </c>
      <c r="B7097" t="s">
        <v>2579</v>
      </c>
      <c r="C7097" t="s">
        <v>53</v>
      </c>
      <c r="D7097" s="1">
        <v>45859</v>
      </c>
      <c r="E7097" t="s">
        <v>4124</v>
      </c>
      <c r="F7097" t="s">
        <v>4125</v>
      </c>
    </row>
    <row r="7098" spans="1:6">
      <c r="A7098" t="s">
        <v>11227</v>
      </c>
      <c r="B7098" t="s">
        <v>2579</v>
      </c>
      <c r="C7098" t="s">
        <v>53</v>
      </c>
      <c r="D7098" s="1">
        <v>45873</v>
      </c>
      <c r="E7098" t="s">
        <v>4124</v>
      </c>
      <c r="F7098" t="s">
        <v>4139</v>
      </c>
    </row>
    <row r="7099" spans="1:6">
      <c r="A7099" t="s">
        <v>11228</v>
      </c>
      <c r="B7099" t="s">
        <v>2580</v>
      </c>
      <c r="C7099" t="s">
        <v>56</v>
      </c>
      <c r="D7099" s="1">
        <v>45823</v>
      </c>
      <c r="E7099" t="s">
        <v>4133</v>
      </c>
      <c r="F7099" t="s">
        <v>4139</v>
      </c>
    </row>
    <row r="7100" spans="1:6">
      <c r="A7100" t="s">
        <v>11229</v>
      </c>
      <c r="B7100" t="s">
        <v>2580</v>
      </c>
      <c r="C7100" t="s">
        <v>56</v>
      </c>
      <c r="D7100" s="1">
        <v>45831</v>
      </c>
      <c r="E7100" t="s">
        <v>4127</v>
      </c>
      <c r="F7100" t="s">
        <v>4125</v>
      </c>
    </row>
    <row r="7101" spans="1:6">
      <c r="A7101" t="s">
        <v>11230</v>
      </c>
      <c r="B7101" t="s">
        <v>2580</v>
      </c>
      <c r="C7101" t="s">
        <v>56</v>
      </c>
      <c r="D7101" s="1">
        <v>45881</v>
      </c>
      <c r="E7101" t="s">
        <v>4135</v>
      </c>
      <c r="F7101" t="s">
        <v>4137</v>
      </c>
    </row>
    <row r="7102" spans="1:6">
      <c r="A7102" t="s">
        <v>11231</v>
      </c>
      <c r="B7102" t="s">
        <v>2580</v>
      </c>
      <c r="C7102" t="s">
        <v>56</v>
      </c>
      <c r="D7102" s="1">
        <v>45861</v>
      </c>
      <c r="E7102" t="s">
        <v>4133</v>
      </c>
      <c r="F7102" t="s">
        <v>4139</v>
      </c>
    </row>
    <row r="7103" spans="1:6">
      <c r="A7103" t="s">
        <v>11232</v>
      </c>
      <c r="B7103" t="s">
        <v>2581</v>
      </c>
      <c r="C7103" t="s">
        <v>75</v>
      </c>
      <c r="D7103" s="1">
        <v>45942</v>
      </c>
      <c r="E7103" t="s">
        <v>4124</v>
      </c>
      <c r="F7103" t="s">
        <v>4125</v>
      </c>
    </row>
    <row r="7104" spans="1:6">
      <c r="A7104" t="s">
        <v>11233</v>
      </c>
      <c r="B7104" t="s">
        <v>2581</v>
      </c>
      <c r="C7104" t="s">
        <v>75</v>
      </c>
      <c r="D7104" s="1">
        <v>45974</v>
      </c>
      <c r="E7104" t="s">
        <v>4129</v>
      </c>
      <c r="F7104" t="s">
        <v>4125</v>
      </c>
    </row>
    <row r="7105" spans="1:6">
      <c r="A7105" t="s">
        <v>11234</v>
      </c>
      <c r="B7105" t="s">
        <v>2581</v>
      </c>
      <c r="C7105" t="s">
        <v>75</v>
      </c>
      <c r="D7105" s="1">
        <v>45940</v>
      </c>
      <c r="E7105" t="s">
        <v>4129</v>
      </c>
      <c r="F7105" t="s">
        <v>4137</v>
      </c>
    </row>
    <row r="7106" spans="1:6">
      <c r="A7106" t="s">
        <v>11235</v>
      </c>
      <c r="B7106" t="s">
        <v>2581</v>
      </c>
      <c r="C7106" t="s">
        <v>75</v>
      </c>
      <c r="D7106" s="1">
        <v>45972</v>
      </c>
      <c r="E7106" t="s">
        <v>4124</v>
      </c>
      <c r="F7106" t="s">
        <v>4125</v>
      </c>
    </row>
    <row r="7107" spans="1:6">
      <c r="A7107" t="s">
        <v>11236</v>
      </c>
      <c r="B7107" t="s">
        <v>2582</v>
      </c>
      <c r="C7107" t="s">
        <v>22</v>
      </c>
      <c r="D7107" s="1">
        <v>45794</v>
      </c>
      <c r="E7107" t="s">
        <v>4133</v>
      </c>
      <c r="F7107" t="s">
        <v>4137</v>
      </c>
    </row>
    <row r="7108" spans="1:6">
      <c r="A7108" t="s">
        <v>11237</v>
      </c>
      <c r="B7108" t="s">
        <v>2582</v>
      </c>
      <c r="C7108" t="s">
        <v>22</v>
      </c>
      <c r="D7108" s="1">
        <v>45791</v>
      </c>
      <c r="E7108" t="s">
        <v>4127</v>
      </c>
      <c r="F7108" t="s">
        <v>4139</v>
      </c>
    </row>
    <row r="7109" spans="1:6">
      <c r="A7109" t="s">
        <v>11238</v>
      </c>
      <c r="B7109" t="s">
        <v>2583</v>
      </c>
      <c r="C7109" t="s">
        <v>63</v>
      </c>
      <c r="D7109" s="1">
        <v>45882</v>
      </c>
      <c r="E7109" t="s">
        <v>4129</v>
      </c>
      <c r="F7109" t="s">
        <v>4137</v>
      </c>
    </row>
    <row r="7110" spans="1:6">
      <c r="A7110" t="s">
        <v>11239</v>
      </c>
      <c r="B7110" t="s">
        <v>2583</v>
      </c>
      <c r="C7110" t="s">
        <v>63</v>
      </c>
      <c r="D7110" s="1">
        <v>45898</v>
      </c>
      <c r="E7110" t="s">
        <v>4124</v>
      </c>
      <c r="F7110" t="s">
        <v>4125</v>
      </c>
    </row>
    <row r="7111" spans="1:6">
      <c r="A7111" t="s">
        <v>11240</v>
      </c>
      <c r="B7111" t="s">
        <v>2584</v>
      </c>
      <c r="C7111" t="s">
        <v>46</v>
      </c>
      <c r="D7111" s="1">
        <v>45748</v>
      </c>
      <c r="E7111" t="s">
        <v>4124</v>
      </c>
      <c r="F7111" t="s">
        <v>4139</v>
      </c>
    </row>
    <row r="7112" spans="1:6">
      <c r="A7112" t="s">
        <v>11241</v>
      </c>
      <c r="B7112" t="s">
        <v>2584</v>
      </c>
      <c r="C7112" t="s">
        <v>46</v>
      </c>
      <c r="D7112" s="1">
        <v>45762</v>
      </c>
      <c r="E7112" t="s">
        <v>4127</v>
      </c>
      <c r="F7112" t="s">
        <v>4139</v>
      </c>
    </row>
    <row r="7113" spans="1:6">
      <c r="A7113" t="s">
        <v>11242</v>
      </c>
      <c r="B7113" t="s">
        <v>2584</v>
      </c>
      <c r="C7113" t="s">
        <v>46</v>
      </c>
      <c r="D7113" s="1">
        <v>45729</v>
      </c>
      <c r="E7113" t="s">
        <v>4129</v>
      </c>
      <c r="F7113" t="s">
        <v>4125</v>
      </c>
    </row>
    <row r="7114" spans="1:6">
      <c r="A7114" t="s">
        <v>11243</v>
      </c>
      <c r="B7114" t="s">
        <v>2585</v>
      </c>
      <c r="C7114" t="s">
        <v>91</v>
      </c>
      <c r="D7114" s="1">
        <v>46021</v>
      </c>
      <c r="E7114" t="s">
        <v>4124</v>
      </c>
      <c r="F7114" t="s">
        <v>4139</v>
      </c>
    </row>
    <row r="7115" spans="1:6">
      <c r="A7115" t="s">
        <v>11244</v>
      </c>
      <c r="B7115" t="s">
        <v>2585</v>
      </c>
      <c r="C7115" t="s">
        <v>91</v>
      </c>
      <c r="D7115" s="1">
        <v>46020</v>
      </c>
      <c r="E7115" t="s">
        <v>4135</v>
      </c>
      <c r="F7115" t="s">
        <v>4139</v>
      </c>
    </row>
    <row r="7116" spans="1:6">
      <c r="A7116" t="s">
        <v>11245</v>
      </c>
      <c r="B7116" t="s">
        <v>2585</v>
      </c>
      <c r="C7116" t="s">
        <v>91</v>
      </c>
      <c r="D7116" s="1">
        <v>46012</v>
      </c>
      <c r="E7116" t="s">
        <v>4133</v>
      </c>
      <c r="F7116" t="s">
        <v>4139</v>
      </c>
    </row>
    <row r="7117" spans="1:6">
      <c r="A7117" t="s">
        <v>11246</v>
      </c>
      <c r="B7117" t="s">
        <v>2585</v>
      </c>
      <c r="C7117" t="s">
        <v>91</v>
      </c>
      <c r="D7117" s="1">
        <v>46020</v>
      </c>
      <c r="E7117" t="s">
        <v>4127</v>
      </c>
      <c r="F7117" t="s">
        <v>4139</v>
      </c>
    </row>
    <row r="7118" spans="1:6">
      <c r="A7118" t="s">
        <v>11247</v>
      </c>
      <c r="B7118" t="s">
        <v>2586</v>
      </c>
      <c r="C7118" t="s">
        <v>50</v>
      </c>
      <c r="D7118" s="1">
        <v>45984</v>
      </c>
      <c r="E7118" t="s">
        <v>4135</v>
      </c>
      <c r="F7118" t="s">
        <v>4137</v>
      </c>
    </row>
    <row r="7119" spans="1:6">
      <c r="A7119" t="s">
        <v>11248</v>
      </c>
      <c r="B7119" t="s">
        <v>2586</v>
      </c>
      <c r="C7119" t="s">
        <v>50</v>
      </c>
      <c r="D7119" s="1">
        <v>45985</v>
      </c>
      <c r="E7119" t="s">
        <v>4127</v>
      </c>
      <c r="F7119" t="s">
        <v>4125</v>
      </c>
    </row>
    <row r="7120" spans="1:6">
      <c r="A7120" t="s">
        <v>11249</v>
      </c>
      <c r="B7120" t="s">
        <v>2586</v>
      </c>
      <c r="C7120" t="s">
        <v>50</v>
      </c>
      <c r="D7120" s="1">
        <v>45979</v>
      </c>
      <c r="E7120" t="s">
        <v>4129</v>
      </c>
      <c r="F7120" t="s">
        <v>4125</v>
      </c>
    </row>
    <row r="7121" spans="1:6">
      <c r="A7121" t="s">
        <v>11250</v>
      </c>
      <c r="B7121" t="s">
        <v>2586</v>
      </c>
      <c r="C7121" t="s">
        <v>50</v>
      </c>
      <c r="D7121" s="1">
        <v>45980</v>
      </c>
      <c r="E7121" t="s">
        <v>4135</v>
      </c>
      <c r="F7121" t="s">
        <v>4125</v>
      </c>
    </row>
    <row r="7122" spans="1:6">
      <c r="A7122" t="s">
        <v>11251</v>
      </c>
      <c r="B7122" t="s">
        <v>2586</v>
      </c>
      <c r="C7122" t="s">
        <v>50</v>
      </c>
      <c r="D7122" s="1">
        <v>45986</v>
      </c>
      <c r="E7122" t="s">
        <v>4124</v>
      </c>
      <c r="F7122" t="s">
        <v>4125</v>
      </c>
    </row>
    <row r="7123" spans="1:6">
      <c r="A7123" t="s">
        <v>11252</v>
      </c>
      <c r="B7123" t="s">
        <v>2587</v>
      </c>
      <c r="C7123" t="s">
        <v>16</v>
      </c>
      <c r="D7123" s="1">
        <v>45709</v>
      </c>
      <c r="E7123" t="s">
        <v>4124</v>
      </c>
      <c r="F7123" t="s">
        <v>4139</v>
      </c>
    </row>
    <row r="7124" spans="1:6">
      <c r="A7124" t="s">
        <v>11253</v>
      </c>
      <c r="B7124" t="s">
        <v>2587</v>
      </c>
      <c r="C7124" t="s">
        <v>16</v>
      </c>
      <c r="D7124" s="1">
        <v>45715</v>
      </c>
      <c r="E7124" t="s">
        <v>4127</v>
      </c>
      <c r="F7124" t="s">
        <v>4137</v>
      </c>
    </row>
    <row r="7125" spans="1:6">
      <c r="A7125" t="s">
        <v>11254</v>
      </c>
      <c r="B7125" t="s">
        <v>2587</v>
      </c>
      <c r="C7125" t="s">
        <v>16</v>
      </c>
      <c r="D7125" s="1">
        <v>45717</v>
      </c>
      <c r="E7125" t="s">
        <v>4124</v>
      </c>
      <c r="F7125" t="s">
        <v>4125</v>
      </c>
    </row>
    <row r="7126" spans="1:6">
      <c r="A7126" t="s">
        <v>11255</v>
      </c>
      <c r="B7126" t="s">
        <v>2587</v>
      </c>
      <c r="C7126" t="s">
        <v>16</v>
      </c>
      <c r="D7126" s="1">
        <v>45710</v>
      </c>
      <c r="E7126" t="s">
        <v>4133</v>
      </c>
      <c r="F7126" t="s">
        <v>4137</v>
      </c>
    </row>
    <row r="7127" spans="1:6">
      <c r="A7127" t="s">
        <v>11256</v>
      </c>
      <c r="B7127" t="s">
        <v>2588</v>
      </c>
      <c r="C7127" t="s">
        <v>63</v>
      </c>
      <c r="D7127" s="1">
        <v>45844</v>
      </c>
      <c r="E7127" t="s">
        <v>4124</v>
      </c>
      <c r="F7127" t="s">
        <v>4125</v>
      </c>
    </row>
    <row r="7128" spans="1:6">
      <c r="A7128" t="s">
        <v>11257</v>
      </c>
      <c r="B7128" t="s">
        <v>2588</v>
      </c>
      <c r="C7128" t="s">
        <v>63</v>
      </c>
      <c r="D7128" s="1">
        <v>45813</v>
      </c>
      <c r="E7128" t="s">
        <v>4127</v>
      </c>
      <c r="F7128" t="s">
        <v>4125</v>
      </c>
    </row>
    <row r="7129" spans="1:6">
      <c r="A7129" t="s">
        <v>11258</v>
      </c>
      <c r="B7129" t="s">
        <v>2588</v>
      </c>
      <c r="C7129" t="s">
        <v>63</v>
      </c>
      <c r="D7129" s="1">
        <v>45859</v>
      </c>
      <c r="E7129" t="s">
        <v>4127</v>
      </c>
      <c r="F7129" t="s">
        <v>4139</v>
      </c>
    </row>
    <row r="7130" spans="1:6">
      <c r="A7130" t="s">
        <v>11259</v>
      </c>
      <c r="B7130" t="s">
        <v>2588</v>
      </c>
      <c r="C7130" t="s">
        <v>63</v>
      </c>
      <c r="D7130" s="1">
        <v>45864</v>
      </c>
      <c r="E7130" t="s">
        <v>4133</v>
      </c>
      <c r="F7130" t="s">
        <v>4139</v>
      </c>
    </row>
    <row r="7131" spans="1:6">
      <c r="A7131" t="s">
        <v>11260</v>
      </c>
      <c r="B7131" t="s">
        <v>2588</v>
      </c>
      <c r="C7131" t="s">
        <v>63</v>
      </c>
      <c r="D7131" s="1">
        <v>45840</v>
      </c>
      <c r="E7131" t="s">
        <v>4135</v>
      </c>
      <c r="F7131" t="s">
        <v>4125</v>
      </c>
    </row>
    <row r="7132" spans="1:6">
      <c r="A7132" t="s">
        <v>11261</v>
      </c>
      <c r="B7132" t="s">
        <v>2589</v>
      </c>
      <c r="C7132" t="s">
        <v>75</v>
      </c>
      <c r="D7132" s="1">
        <v>45778</v>
      </c>
      <c r="E7132" t="s">
        <v>4129</v>
      </c>
      <c r="F7132" t="s">
        <v>4137</v>
      </c>
    </row>
    <row r="7133" spans="1:6">
      <c r="A7133" t="s">
        <v>11262</v>
      </c>
      <c r="B7133" t="s">
        <v>2589</v>
      </c>
      <c r="C7133" t="s">
        <v>75</v>
      </c>
      <c r="D7133" s="1">
        <v>45757</v>
      </c>
      <c r="E7133" t="s">
        <v>4129</v>
      </c>
      <c r="F7133" t="s">
        <v>4139</v>
      </c>
    </row>
    <row r="7134" spans="1:6">
      <c r="A7134" t="s">
        <v>11263</v>
      </c>
      <c r="B7134" t="s">
        <v>2589</v>
      </c>
      <c r="C7134" t="s">
        <v>75</v>
      </c>
      <c r="D7134" s="1">
        <v>45758</v>
      </c>
      <c r="E7134" t="s">
        <v>4135</v>
      </c>
      <c r="F7134" t="s">
        <v>4125</v>
      </c>
    </row>
    <row r="7135" spans="1:6">
      <c r="A7135" t="s">
        <v>11264</v>
      </c>
      <c r="B7135" t="s">
        <v>2589</v>
      </c>
      <c r="C7135" t="s">
        <v>75</v>
      </c>
      <c r="D7135" s="1">
        <v>45798</v>
      </c>
      <c r="E7135" t="s">
        <v>4124</v>
      </c>
      <c r="F7135" t="s">
        <v>4125</v>
      </c>
    </row>
    <row r="7136" spans="1:6">
      <c r="A7136" t="s">
        <v>11265</v>
      </c>
      <c r="B7136" t="s">
        <v>2590</v>
      </c>
      <c r="C7136" t="s">
        <v>16</v>
      </c>
      <c r="D7136" s="1">
        <v>45979</v>
      </c>
      <c r="E7136" t="s">
        <v>4129</v>
      </c>
      <c r="F7136" t="s">
        <v>4125</v>
      </c>
    </row>
    <row r="7137" spans="1:6">
      <c r="A7137" t="s">
        <v>11266</v>
      </c>
      <c r="B7137" t="s">
        <v>2590</v>
      </c>
      <c r="C7137" t="s">
        <v>16</v>
      </c>
      <c r="D7137" s="1">
        <v>45981</v>
      </c>
      <c r="E7137" t="s">
        <v>4124</v>
      </c>
      <c r="F7137" t="s">
        <v>4125</v>
      </c>
    </row>
    <row r="7138" spans="1:6">
      <c r="A7138" t="s">
        <v>11267</v>
      </c>
      <c r="B7138" t="s">
        <v>2590</v>
      </c>
      <c r="C7138" t="s">
        <v>16</v>
      </c>
      <c r="D7138" s="1">
        <v>45955</v>
      </c>
      <c r="E7138" t="s">
        <v>4133</v>
      </c>
      <c r="F7138" t="s">
        <v>4125</v>
      </c>
    </row>
    <row r="7139" spans="1:6">
      <c r="A7139" t="s">
        <v>11268</v>
      </c>
      <c r="B7139" t="s">
        <v>2590</v>
      </c>
      <c r="C7139" t="s">
        <v>16</v>
      </c>
      <c r="D7139" s="1">
        <v>45970</v>
      </c>
      <c r="E7139" t="s">
        <v>4135</v>
      </c>
      <c r="F7139" t="s">
        <v>4139</v>
      </c>
    </row>
    <row r="7140" spans="1:6">
      <c r="A7140" t="s">
        <v>11269</v>
      </c>
      <c r="B7140" t="s">
        <v>2590</v>
      </c>
      <c r="C7140" t="s">
        <v>16</v>
      </c>
      <c r="D7140" s="1">
        <v>45965</v>
      </c>
      <c r="E7140" t="s">
        <v>4135</v>
      </c>
      <c r="F7140" t="s">
        <v>4137</v>
      </c>
    </row>
    <row r="7141" spans="1:6">
      <c r="A7141" t="s">
        <v>11270</v>
      </c>
      <c r="B7141" t="s">
        <v>2591</v>
      </c>
      <c r="C7141" t="s">
        <v>40</v>
      </c>
      <c r="D7141" s="1">
        <v>46021</v>
      </c>
      <c r="E7141" t="s">
        <v>4127</v>
      </c>
      <c r="F7141" t="s">
        <v>4139</v>
      </c>
    </row>
    <row r="7142" spans="1:6">
      <c r="A7142" t="s">
        <v>11271</v>
      </c>
      <c r="B7142" t="s">
        <v>2591</v>
      </c>
      <c r="C7142" t="s">
        <v>40</v>
      </c>
      <c r="D7142" s="1">
        <v>46020</v>
      </c>
      <c r="E7142" t="s">
        <v>4133</v>
      </c>
      <c r="F7142" t="s">
        <v>4139</v>
      </c>
    </row>
    <row r="7143" spans="1:6">
      <c r="A7143" t="s">
        <v>11272</v>
      </c>
      <c r="B7143" t="s">
        <v>2592</v>
      </c>
      <c r="C7143" t="s">
        <v>40</v>
      </c>
      <c r="D7143" s="1">
        <v>45866</v>
      </c>
      <c r="E7143" t="s">
        <v>4129</v>
      </c>
      <c r="F7143" t="s">
        <v>4125</v>
      </c>
    </row>
    <row r="7144" spans="1:6">
      <c r="A7144" t="s">
        <v>11273</v>
      </c>
      <c r="B7144" t="s">
        <v>2592</v>
      </c>
      <c r="C7144" t="s">
        <v>40</v>
      </c>
      <c r="D7144" s="1">
        <v>45871</v>
      </c>
      <c r="E7144" t="s">
        <v>4135</v>
      </c>
      <c r="F7144" t="s">
        <v>4137</v>
      </c>
    </row>
    <row r="7145" spans="1:6">
      <c r="A7145" t="s">
        <v>11274</v>
      </c>
      <c r="B7145" t="s">
        <v>2593</v>
      </c>
      <c r="C7145" t="s">
        <v>27</v>
      </c>
      <c r="D7145" s="1">
        <v>45937</v>
      </c>
      <c r="E7145" t="s">
        <v>4135</v>
      </c>
      <c r="F7145" t="s">
        <v>4139</v>
      </c>
    </row>
    <row r="7146" spans="1:6">
      <c r="A7146" t="s">
        <v>11275</v>
      </c>
      <c r="B7146" t="s">
        <v>2593</v>
      </c>
      <c r="C7146" t="s">
        <v>27</v>
      </c>
      <c r="D7146" s="1">
        <v>45952</v>
      </c>
      <c r="E7146" t="s">
        <v>4135</v>
      </c>
      <c r="F7146" t="s">
        <v>4137</v>
      </c>
    </row>
    <row r="7147" spans="1:6">
      <c r="A7147" t="s">
        <v>11276</v>
      </c>
      <c r="B7147" t="s">
        <v>2593</v>
      </c>
      <c r="C7147" t="s">
        <v>27</v>
      </c>
      <c r="D7147" s="1">
        <v>45952</v>
      </c>
      <c r="E7147" t="s">
        <v>4124</v>
      </c>
      <c r="F7147" t="s">
        <v>4139</v>
      </c>
    </row>
    <row r="7148" spans="1:6">
      <c r="A7148" t="s">
        <v>11277</v>
      </c>
      <c r="B7148" t="s">
        <v>2594</v>
      </c>
      <c r="C7148" t="s">
        <v>16</v>
      </c>
      <c r="D7148" s="1">
        <v>45960</v>
      </c>
      <c r="E7148" t="s">
        <v>4133</v>
      </c>
      <c r="F7148" t="s">
        <v>4139</v>
      </c>
    </row>
    <row r="7149" spans="1:6">
      <c r="A7149" t="s">
        <v>11278</v>
      </c>
      <c r="B7149" t="s">
        <v>2594</v>
      </c>
      <c r="C7149" t="s">
        <v>16</v>
      </c>
      <c r="D7149" s="1">
        <v>45960</v>
      </c>
      <c r="E7149" t="s">
        <v>4127</v>
      </c>
      <c r="F7149" t="s">
        <v>4139</v>
      </c>
    </row>
    <row r="7150" spans="1:6">
      <c r="A7150" t="s">
        <v>11279</v>
      </c>
      <c r="B7150" t="s">
        <v>2594</v>
      </c>
      <c r="C7150" t="s">
        <v>16</v>
      </c>
      <c r="D7150" s="1">
        <v>45962</v>
      </c>
      <c r="E7150" t="s">
        <v>4133</v>
      </c>
      <c r="F7150" t="s">
        <v>4139</v>
      </c>
    </row>
    <row r="7151" spans="1:6">
      <c r="A7151" t="s">
        <v>11280</v>
      </c>
      <c r="B7151" t="s">
        <v>2594</v>
      </c>
      <c r="C7151" t="s">
        <v>16</v>
      </c>
      <c r="D7151" s="1">
        <v>45963</v>
      </c>
      <c r="E7151" t="s">
        <v>4135</v>
      </c>
      <c r="F7151" t="s">
        <v>4137</v>
      </c>
    </row>
    <row r="7152" spans="1:6">
      <c r="A7152" t="s">
        <v>11281</v>
      </c>
      <c r="B7152" t="s">
        <v>2595</v>
      </c>
      <c r="C7152" t="s">
        <v>78</v>
      </c>
      <c r="D7152" s="1">
        <v>45749</v>
      </c>
      <c r="E7152" t="s">
        <v>4127</v>
      </c>
      <c r="F7152" t="s">
        <v>4139</v>
      </c>
    </row>
    <row r="7153" spans="1:6">
      <c r="A7153" t="s">
        <v>11282</v>
      </c>
      <c r="B7153" t="s">
        <v>2595</v>
      </c>
      <c r="C7153" t="s">
        <v>78</v>
      </c>
      <c r="D7153" s="1">
        <v>45752</v>
      </c>
      <c r="E7153" t="s">
        <v>4127</v>
      </c>
      <c r="F7153" t="s">
        <v>4137</v>
      </c>
    </row>
    <row r="7154" spans="1:6">
      <c r="A7154" t="s">
        <v>11283</v>
      </c>
      <c r="B7154" t="s">
        <v>2595</v>
      </c>
      <c r="C7154" t="s">
        <v>78</v>
      </c>
      <c r="D7154" s="1">
        <v>45733</v>
      </c>
      <c r="E7154" t="s">
        <v>4133</v>
      </c>
      <c r="F7154" t="s">
        <v>4125</v>
      </c>
    </row>
    <row r="7155" spans="1:6">
      <c r="A7155" t="s">
        <v>11284</v>
      </c>
      <c r="B7155" t="s">
        <v>2595</v>
      </c>
      <c r="C7155" t="s">
        <v>78</v>
      </c>
      <c r="D7155" s="1">
        <v>45788</v>
      </c>
      <c r="E7155" t="s">
        <v>4135</v>
      </c>
      <c r="F7155" t="s">
        <v>4139</v>
      </c>
    </row>
    <row r="7156" spans="1:6">
      <c r="A7156" t="s">
        <v>11285</v>
      </c>
      <c r="B7156" t="s">
        <v>2595</v>
      </c>
      <c r="C7156" t="s">
        <v>78</v>
      </c>
      <c r="D7156" s="1">
        <v>45754</v>
      </c>
      <c r="E7156" t="s">
        <v>4129</v>
      </c>
      <c r="F7156" t="s">
        <v>4139</v>
      </c>
    </row>
    <row r="7157" spans="1:6">
      <c r="A7157" t="s">
        <v>11286</v>
      </c>
      <c r="B7157" t="s">
        <v>2596</v>
      </c>
      <c r="C7157" t="s">
        <v>63</v>
      </c>
      <c r="D7157" s="1">
        <v>45871</v>
      </c>
      <c r="E7157" t="s">
        <v>4133</v>
      </c>
      <c r="F7157" t="s">
        <v>4139</v>
      </c>
    </row>
    <row r="7158" spans="1:6">
      <c r="A7158" t="s">
        <v>11287</v>
      </c>
      <c r="B7158" t="s">
        <v>2596</v>
      </c>
      <c r="C7158" t="s">
        <v>63</v>
      </c>
      <c r="D7158" s="1">
        <v>45867</v>
      </c>
      <c r="E7158" t="s">
        <v>4135</v>
      </c>
      <c r="F7158" t="s">
        <v>4125</v>
      </c>
    </row>
    <row r="7159" spans="1:6">
      <c r="A7159" t="s">
        <v>11288</v>
      </c>
      <c r="B7159" t="s">
        <v>2597</v>
      </c>
      <c r="C7159" t="s">
        <v>36</v>
      </c>
      <c r="D7159" s="1">
        <v>45912</v>
      </c>
      <c r="E7159" t="s">
        <v>4135</v>
      </c>
      <c r="F7159" t="s">
        <v>4137</v>
      </c>
    </row>
    <row r="7160" spans="1:6">
      <c r="A7160" t="s">
        <v>11289</v>
      </c>
      <c r="B7160" t="s">
        <v>2597</v>
      </c>
      <c r="C7160" t="s">
        <v>36</v>
      </c>
      <c r="D7160" s="1">
        <v>45916</v>
      </c>
      <c r="E7160" t="s">
        <v>4129</v>
      </c>
      <c r="F7160" t="s">
        <v>4137</v>
      </c>
    </row>
    <row r="7161" spans="1:6">
      <c r="A7161" t="s">
        <v>11290</v>
      </c>
      <c r="B7161" t="s">
        <v>2597</v>
      </c>
      <c r="C7161" t="s">
        <v>36</v>
      </c>
      <c r="D7161" s="1">
        <v>45913</v>
      </c>
      <c r="E7161" t="s">
        <v>4135</v>
      </c>
      <c r="F7161" t="s">
        <v>4125</v>
      </c>
    </row>
    <row r="7162" spans="1:6">
      <c r="A7162" t="s">
        <v>11291</v>
      </c>
      <c r="B7162" t="s">
        <v>2597</v>
      </c>
      <c r="C7162" t="s">
        <v>36</v>
      </c>
      <c r="D7162" s="1">
        <v>45907</v>
      </c>
      <c r="E7162" t="s">
        <v>4135</v>
      </c>
      <c r="F7162" t="s">
        <v>4139</v>
      </c>
    </row>
    <row r="7163" spans="1:6">
      <c r="A7163" t="s">
        <v>11292</v>
      </c>
      <c r="B7163" t="s">
        <v>2597</v>
      </c>
      <c r="C7163" t="s">
        <v>36</v>
      </c>
      <c r="D7163" s="1">
        <v>45912</v>
      </c>
      <c r="E7163" t="s">
        <v>4127</v>
      </c>
      <c r="F7163" t="s">
        <v>4125</v>
      </c>
    </row>
    <row r="7164" spans="1:6">
      <c r="A7164" t="s">
        <v>11293</v>
      </c>
      <c r="B7164" t="s">
        <v>2598</v>
      </c>
      <c r="C7164" t="s">
        <v>152</v>
      </c>
      <c r="D7164" s="1">
        <v>45666</v>
      </c>
      <c r="E7164" t="s">
        <v>4135</v>
      </c>
      <c r="F7164" t="s">
        <v>4137</v>
      </c>
    </row>
    <row r="7165" spans="1:6">
      <c r="A7165" t="s">
        <v>11294</v>
      </c>
      <c r="B7165" t="s">
        <v>2598</v>
      </c>
      <c r="C7165" t="s">
        <v>152</v>
      </c>
      <c r="D7165" s="1">
        <v>45709</v>
      </c>
      <c r="E7165" t="s">
        <v>4135</v>
      </c>
      <c r="F7165" t="s">
        <v>4137</v>
      </c>
    </row>
    <row r="7166" spans="1:6">
      <c r="A7166" t="s">
        <v>11295</v>
      </c>
      <c r="B7166" t="s">
        <v>2598</v>
      </c>
      <c r="C7166" t="s">
        <v>152</v>
      </c>
      <c r="D7166" s="1">
        <v>45688</v>
      </c>
      <c r="E7166" t="s">
        <v>4133</v>
      </c>
      <c r="F7166" t="s">
        <v>4125</v>
      </c>
    </row>
    <row r="7167" spans="1:6">
      <c r="A7167" t="s">
        <v>11296</v>
      </c>
      <c r="B7167" t="s">
        <v>2598</v>
      </c>
      <c r="C7167" t="s">
        <v>152</v>
      </c>
      <c r="D7167" s="1">
        <v>45688</v>
      </c>
      <c r="E7167" t="s">
        <v>4135</v>
      </c>
      <c r="F7167" t="s">
        <v>4125</v>
      </c>
    </row>
    <row r="7168" spans="1:6">
      <c r="A7168" t="s">
        <v>11297</v>
      </c>
      <c r="B7168" t="s">
        <v>2599</v>
      </c>
      <c r="C7168" t="s">
        <v>16</v>
      </c>
      <c r="D7168" s="1">
        <v>45765</v>
      </c>
      <c r="E7168" t="s">
        <v>4133</v>
      </c>
      <c r="F7168" t="s">
        <v>4125</v>
      </c>
    </row>
    <row r="7169" spans="1:6">
      <c r="A7169" t="s">
        <v>11298</v>
      </c>
      <c r="B7169" t="s">
        <v>2599</v>
      </c>
      <c r="C7169" t="s">
        <v>16</v>
      </c>
      <c r="D7169" s="1">
        <v>45753</v>
      </c>
      <c r="E7169" t="s">
        <v>4133</v>
      </c>
      <c r="F7169" t="s">
        <v>4137</v>
      </c>
    </row>
    <row r="7170" spans="1:6">
      <c r="A7170" t="s">
        <v>11299</v>
      </c>
      <c r="B7170" t="s">
        <v>2600</v>
      </c>
      <c r="C7170" t="s">
        <v>36</v>
      </c>
      <c r="D7170" s="1">
        <v>45951</v>
      </c>
      <c r="E7170" t="s">
        <v>4129</v>
      </c>
      <c r="F7170" t="s">
        <v>4137</v>
      </c>
    </row>
    <row r="7171" spans="1:6">
      <c r="A7171" t="s">
        <v>11300</v>
      </c>
      <c r="B7171" t="s">
        <v>2600</v>
      </c>
      <c r="C7171" t="s">
        <v>36</v>
      </c>
      <c r="D7171" s="1">
        <v>45944</v>
      </c>
      <c r="E7171" t="s">
        <v>4129</v>
      </c>
      <c r="F7171" t="s">
        <v>4137</v>
      </c>
    </row>
    <row r="7172" spans="1:6">
      <c r="A7172" t="s">
        <v>11301</v>
      </c>
      <c r="B7172" t="s">
        <v>2600</v>
      </c>
      <c r="C7172" t="s">
        <v>36</v>
      </c>
      <c r="D7172" s="1">
        <v>45947</v>
      </c>
      <c r="E7172" t="s">
        <v>4129</v>
      </c>
      <c r="F7172" t="s">
        <v>4125</v>
      </c>
    </row>
    <row r="7173" spans="1:6">
      <c r="A7173" t="s">
        <v>11302</v>
      </c>
      <c r="B7173" t="s">
        <v>2601</v>
      </c>
      <c r="C7173" t="s">
        <v>50</v>
      </c>
      <c r="D7173" s="1">
        <v>45758</v>
      </c>
      <c r="E7173" t="s">
        <v>4124</v>
      </c>
      <c r="F7173" t="s">
        <v>4137</v>
      </c>
    </row>
    <row r="7174" spans="1:6">
      <c r="A7174" t="s">
        <v>11303</v>
      </c>
      <c r="B7174" t="s">
        <v>2601</v>
      </c>
      <c r="C7174" t="s">
        <v>50</v>
      </c>
      <c r="D7174" s="1">
        <v>45752</v>
      </c>
      <c r="E7174" t="s">
        <v>4129</v>
      </c>
      <c r="F7174" t="s">
        <v>4139</v>
      </c>
    </row>
    <row r="7175" spans="1:6">
      <c r="A7175" t="s">
        <v>11304</v>
      </c>
      <c r="B7175" t="s">
        <v>2601</v>
      </c>
      <c r="C7175" t="s">
        <v>50</v>
      </c>
      <c r="D7175" s="1">
        <v>45751</v>
      </c>
      <c r="E7175" t="s">
        <v>4124</v>
      </c>
      <c r="F7175" t="s">
        <v>4125</v>
      </c>
    </row>
    <row r="7176" spans="1:6">
      <c r="A7176" t="s">
        <v>11305</v>
      </c>
      <c r="B7176" t="s">
        <v>2601</v>
      </c>
      <c r="C7176" t="s">
        <v>50</v>
      </c>
      <c r="D7176" s="1">
        <v>45746</v>
      </c>
      <c r="E7176" t="s">
        <v>4124</v>
      </c>
      <c r="F7176" t="s">
        <v>4137</v>
      </c>
    </row>
    <row r="7177" spans="1:6">
      <c r="A7177" t="s">
        <v>11306</v>
      </c>
      <c r="B7177" t="s">
        <v>2601</v>
      </c>
      <c r="C7177" t="s">
        <v>50</v>
      </c>
      <c r="D7177" s="1">
        <v>45758</v>
      </c>
      <c r="E7177" t="s">
        <v>4124</v>
      </c>
      <c r="F7177" t="s">
        <v>4137</v>
      </c>
    </row>
    <row r="7178" spans="1:6">
      <c r="A7178" t="s">
        <v>11307</v>
      </c>
      <c r="B7178" t="s">
        <v>2602</v>
      </c>
      <c r="C7178" t="s">
        <v>75</v>
      </c>
      <c r="D7178" s="1">
        <v>45782</v>
      </c>
      <c r="E7178" t="s">
        <v>4135</v>
      </c>
      <c r="F7178" t="s">
        <v>4125</v>
      </c>
    </row>
    <row r="7179" spans="1:6">
      <c r="A7179" t="s">
        <v>11308</v>
      </c>
      <c r="B7179" t="s">
        <v>2602</v>
      </c>
      <c r="C7179" t="s">
        <v>75</v>
      </c>
      <c r="D7179" s="1">
        <v>45745</v>
      </c>
      <c r="E7179" t="s">
        <v>4129</v>
      </c>
      <c r="F7179" t="s">
        <v>4137</v>
      </c>
    </row>
    <row r="7180" spans="1:6">
      <c r="A7180" t="s">
        <v>11309</v>
      </c>
      <c r="B7180" t="s">
        <v>2603</v>
      </c>
      <c r="C7180" t="s">
        <v>126</v>
      </c>
      <c r="D7180" s="1">
        <v>46013</v>
      </c>
      <c r="E7180" t="s">
        <v>4133</v>
      </c>
      <c r="F7180" t="s">
        <v>4125</v>
      </c>
    </row>
    <row r="7181" spans="1:6">
      <c r="A7181" t="s">
        <v>11310</v>
      </c>
      <c r="B7181" t="s">
        <v>2603</v>
      </c>
      <c r="C7181" t="s">
        <v>126</v>
      </c>
      <c r="D7181" s="1">
        <v>46008</v>
      </c>
      <c r="E7181" t="s">
        <v>4129</v>
      </c>
      <c r="F7181" t="s">
        <v>4125</v>
      </c>
    </row>
    <row r="7182" spans="1:6">
      <c r="A7182" t="s">
        <v>11311</v>
      </c>
      <c r="B7182" t="s">
        <v>2603</v>
      </c>
      <c r="C7182" t="s">
        <v>126</v>
      </c>
      <c r="D7182" s="1">
        <v>46014</v>
      </c>
      <c r="E7182" t="s">
        <v>4127</v>
      </c>
      <c r="F7182" t="s">
        <v>4125</v>
      </c>
    </row>
    <row r="7183" spans="1:6">
      <c r="A7183" t="s">
        <v>11312</v>
      </c>
      <c r="B7183" t="s">
        <v>2603</v>
      </c>
      <c r="C7183" t="s">
        <v>126</v>
      </c>
      <c r="D7183" s="1">
        <v>46011</v>
      </c>
      <c r="E7183" t="s">
        <v>4133</v>
      </c>
      <c r="F7183" t="s">
        <v>4125</v>
      </c>
    </row>
    <row r="7184" spans="1:6">
      <c r="A7184" t="s">
        <v>11313</v>
      </c>
      <c r="B7184" t="s">
        <v>2603</v>
      </c>
      <c r="C7184" t="s">
        <v>126</v>
      </c>
      <c r="D7184" s="1">
        <v>46002</v>
      </c>
      <c r="E7184" t="s">
        <v>4129</v>
      </c>
      <c r="F7184" t="s">
        <v>4139</v>
      </c>
    </row>
    <row r="7185" spans="1:6">
      <c r="A7185" t="s">
        <v>11314</v>
      </c>
      <c r="B7185" t="s">
        <v>2604</v>
      </c>
      <c r="C7185" t="s">
        <v>56</v>
      </c>
      <c r="D7185" s="1">
        <v>45859</v>
      </c>
      <c r="E7185" t="s">
        <v>4124</v>
      </c>
      <c r="F7185" t="s">
        <v>4139</v>
      </c>
    </row>
    <row r="7186" spans="1:6">
      <c r="A7186" t="s">
        <v>11315</v>
      </c>
      <c r="B7186" t="s">
        <v>2604</v>
      </c>
      <c r="C7186" t="s">
        <v>56</v>
      </c>
      <c r="D7186" s="1">
        <v>45849</v>
      </c>
      <c r="E7186" t="s">
        <v>4129</v>
      </c>
      <c r="F7186" t="s">
        <v>4137</v>
      </c>
    </row>
    <row r="7187" spans="1:6">
      <c r="A7187" t="s">
        <v>11316</v>
      </c>
      <c r="B7187" t="s">
        <v>2604</v>
      </c>
      <c r="C7187" t="s">
        <v>56</v>
      </c>
      <c r="D7187" s="1">
        <v>45846</v>
      </c>
      <c r="E7187" t="s">
        <v>4135</v>
      </c>
      <c r="F7187" t="s">
        <v>4125</v>
      </c>
    </row>
    <row r="7188" spans="1:6">
      <c r="A7188" t="s">
        <v>11317</v>
      </c>
      <c r="B7188" t="s">
        <v>2604</v>
      </c>
      <c r="C7188" t="s">
        <v>56</v>
      </c>
      <c r="D7188" s="1">
        <v>45893</v>
      </c>
      <c r="E7188" t="s">
        <v>4133</v>
      </c>
      <c r="F7188" t="s">
        <v>4137</v>
      </c>
    </row>
    <row r="7189" spans="1:6">
      <c r="A7189" t="s">
        <v>11318</v>
      </c>
      <c r="B7189" t="s">
        <v>2605</v>
      </c>
      <c r="C7189" t="s">
        <v>119</v>
      </c>
      <c r="D7189" s="1">
        <v>45884</v>
      </c>
      <c r="E7189" t="s">
        <v>4124</v>
      </c>
      <c r="F7189" t="s">
        <v>4139</v>
      </c>
    </row>
    <row r="7190" spans="1:6">
      <c r="A7190" t="s">
        <v>11319</v>
      </c>
      <c r="B7190" t="s">
        <v>2605</v>
      </c>
      <c r="C7190" t="s">
        <v>119</v>
      </c>
      <c r="D7190" s="1">
        <v>45825</v>
      </c>
      <c r="E7190" t="s">
        <v>4135</v>
      </c>
      <c r="F7190" t="s">
        <v>4139</v>
      </c>
    </row>
    <row r="7191" spans="1:6">
      <c r="A7191" t="s">
        <v>11320</v>
      </c>
      <c r="B7191" t="s">
        <v>2606</v>
      </c>
      <c r="C7191" t="s">
        <v>126</v>
      </c>
      <c r="D7191" s="1">
        <v>45951</v>
      </c>
      <c r="E7191" t="s">
        <v>4124</v>
      </c>
      <c r="F7191" t="s">
        <v>4137</v>
      </c>
    </row>
    <row r="7192" spans="1:6">
      <c r="A7192" t="s">
        <v>11321</v>
      </c>
      <c r="B7192" t="s">
        <v>2606</v>
      </c>
      <c r="C7192" t="s">
        <v>126</v>
      </c>
      <c r="D7192" s="1">
        <v>45946</v>
      </c>
      <c r="E7192" t="s">
        <v>4124</v>
      </c>
      <c r="F7192" t="s">
        <v>4139</v>
      </c>
    </row>
    <row r="7193" spans="1:6">
      <c r="A7193" t="s">
        <v>11322</v>
      </c>
      <c r="B7193" t="s">
        <v>2606</v>
      </c>
      <c r="C7193" t="s">
        <v>126</v>
      </c>
      <c r="D7193" s="1">
        <v>45939</v>
      </c>
      <c r="E7193" t="s">
        <v>4135</v>
      </c>
      <c r="F7193" t="s">
        <v>4125</v>
      </c>
    </row>
    <row r="7194" spans="1:6">
      <c r="A7194" t="s">
        <v>11323</v>
      </c>
      <c r="B7194" t="s">
        <v>2606</v>
      </c>
      <c r="C7194" t="s">
        <v>126</v>
      </c>
      <c r="D7194" s="1">
        <v>45953</v>
      </c>
      <c r="E7194" t="s">
        <v>4135</v>
      </c>
      <c r="F7194" t="s">
        <v>4137</v>
      </c>
    </row>
    <row r="7195" spans="1:6">
      <c r="A7195" t="s">
        <v>11324</v>
      </c>
      <c r="B7195" t="s">
        <v>2606</v>
      </c>
      <c r="C7195" t="s">
        <v>126</v>
      </c>
      <c r="D7195" s="1">
        <v>45947</v>
      </c>
      <c r="E7195" t="s">
        <v>4129</v>
      </c>
      <c r="F7195" t="s">
        <v>4139</v>
      </c>
    </row>
    <row r="7196" spans="1:6">
      <c r="A7196" t="s">
        <v>11325</v>
      </c>
      <c r="B7196" t="s">
        <v>2607</v>
      </c>
      <c r="C7196" t="s">
        <v>40</v>
      </c>
      <c r="D7196" s="1">
        <v>45914</v>
      </c>
      <c r="E7196" t="s">
        <v>4124</v>
      </c>
      <c r="F7196" t="s">
        <v>4137</v>
      </c>
    </row>
    <row r="7197" spans="1:6">
      <c r="A7197" t="s">
        <v>11326</v>
      </c>
      <c r="B7197" t="s">
        <v>2607</v>
      </c>
      <c r="C7197" t="s">
        <v>40</v>
      </c>
      <c r="D7197" s="1">
        <v>45897</v>
      </c>
      <c r="E7197" t="s">
        <v>4129</v>
      </c>
      <c r="F7197" t="s">
        <v>4137</v>
      </c>
    </row>
    <row r="7198" spans="1:6">
      <c r="A7198" t="s">
        <v>11327</v>
      </c>
      <c r="B7198" t="s">
        <v>2607</v>
      </c>
      <c r="C7198" t="s">
        <v>40</v>
      </c>
      <c r="D7198" s="1">
        <v>45935</v>
      </c>
      <c r="E7198" t="s">
        <v>4124</v>
      </c>
      <c r="F7198" t="s">
        <v>4139</v>
      </c>
    </row>
    <row r="7199" spans="1:6">
      <c r="A7199" t="s">
        <v>11328</v>
      </c>
      <c r="B7199" t="s">
        <v>2607</v>
      </c>
      <c r="C7199" t="s">
        <v>40</v>
      </c>
      <c r="D7199" s="1">
        <v>45913</v>
      </c>
      <c r="E7199" t="s">
        <v>4127</v>
      </c>
      <c r="F7199" t="s">
        <v>4137</v>
      </c>
    </row>
    <row r="7200" spans="1:6">
      <c r="A7200" t="s">
        <v>11329</v>
      </c>
      <c r="B7200" t="s">
        <v>2607</v>
      </c>
      <c r="C7200" t="s">
        <v>40</v>
      </c>
      <c r="D7200" s="1">
        <v>45930</v>
      </c>
      <c r="E7200" t="s">
        <v>4135</v>
      </c>
      <c r="F7200" t="s">
        <v>4125</v>
      </c>
    </row>
    <row r="7201" spans="1:6">
      <c r="A7201" t="s">
        <v>11330</v>
      </c>
      <c r="B7201" t="s">
        <v>2608</v>
      </c>
      <c r="C7201" t="s">
        <v>32</v>
      </c>
      <c r="D7201" s="1">
        <v>45789</v>
      </c>
      <c r="E7201" t="s">
        <v>4133</v>
      </c>
      <c r="F7201" t="s">
        <v>4137</v>
      </c>
    </row>
    <row r="7202" spans="1:6">
      <c r="A7202" t="s">
        <v>11331</v>
      </c>
      <c r="B7202" t="s">
        <v>2608</v>
      </c>
      <c r="C7202" t="s">
        <v>32</v>
      </c>
      <c r="D7202" s="1">
        <v>45792</v>
      </c>
      <c r="E7202" t="s">
        <v>4129</v>
      </c>
      <c r="F7202" t="s">
        <v>4139</v>
      </c>
    </row>
    <row r="7203" spans="1:6">
      <c r="A7203" t="s">
        <v>11332</v>
      </c>
      <c r="B7203" t="s">
        <v>2608</v>
      </c>
      <c r="C7203" t="s">
        <v>32</v>
      </c>
      <c r="D7203" s="1">
        <v>45786</v>
      </c>
      <c r="E7203" t="s">
        <v>4135</v>
      </c>
      <c r="F7203" t="s">
        <v>4137</v>
      </c>
    </row>
    <row r="7204" spans="1:6">
      <c r="A7204" t="s">
        <v>11333</v>
      </c>
      <c r="B7204" t="s">
        <v>2608</v>
      </c>
      <c r="C7204" t="s">
        <v>32</v>
      </c>
      <c r="D7204" s="1">
        <v>45789</v>
      </c>
      <c r="E7204" t="s">
        <v>4133</v>
      </c>
      <c r="F7204" t="s">
        <v>4139</v>
      </c>
    </row>
    <row r="7205" spans="1:6">
      <c r="A7205" t="s">
        <v>11334</v>
      </c>
      <c r="B7205" t="s">
        <v>2608</v>
      </c>
      <c r="C7205" t="s">
        <v>32</v>
      </c>
      <c r="D7205" s="1">
        <v>45788</v>
      </c>
      <c r="E7205" t="s">
        <v>4124</v>
      </c>
      <c r="F7205" t="s">
        <v>4137</v>
      </c>
    </row>
    <row r="7206" spans="1:6">
      <c r="A7206" t="s">
        <v>11335</v>
      </c>
      <c r="B7206" t="s">
        <v>2609</v>
      </c>
      <c r="C7206" t="s">
        <v>40</v>
      </c>
      <c r="D7206" s="1">
        <v>45915</v>
      </c>
      <c r="E7206" t="s">
        <v>4133</v>
      </c>
      <c r="F7206" t="s">
        <v>4139</v>
      </c>
    </row>
    <row r="7207" spans="1:6">
      <c r="A7207" t="s">
        <v>11336</v>
      </c>
      <c r="B7207" t="s">
        <v>2609</v>
      </c>
      <c r="C7207" t="s">
        <v>40</v>
      </c>
      <c r="D7207" s="1">
        <v>45923</v>
      </c>
      <c r="E7207" t="s">
        <v>4127</v>
      </c>
      <c r="F7207" t="s">
        <v>4137</v>
      </c>
    </row>
    <row r="7208" spans="1:6">
      <c r="A7208" t="s">
        <v>11337</v>
      </c>
      <c r="B7208" t="s">
        <v>2610</v>
      </c>
      <c r="C7208" t="s">
        <v>119</v>
      </c>
      <c r="D7208" s="1">
        <v>45897</v>
      </c>
      <c r="E7208" t="s">
        <v>4124</v>
      </c>
      <c r="F7208" t="s">
        <v>4139</v>
      </c>
    </row>
    <row r="7209" spans="1:6">
      <c r="A7209" t="s">
        <v>11338</v>
      </c>
      <c r="B7209" t="s">
        <v>2610</v>
      </c>
      <c r="C7209" t="s">
        <v>119</v>
      </c>
      <c r="D7209" s="1">
        <v>45905</v>
      </c>
      <c r="E7209" t="s">
        <v>4129</v>
      </c>
      <c r="F7209" t="s">
        <v>4137</v>
      </c>
    </row>
    <row r="7210" spans="1:6">
      <c r="A7210" t="s">
        <v>11339</v>
      </c>
      <c r="B7210" t="s">
        <v>2611</v>
      </c>
      <c r="C7210" t="s">
        <v>59</v>
      </c>
      <c r="D7210" s="1">
        <v>46021</v>
      </c>
      <c r="E7210" t="s">
        <v>4129</v>
      </c>
      <c r="F7210" t="s">
        <v>4125</v>
      </c>
    </row>
    <row r="7211" spans="1:6">
      <c r="A7211" t="s">
        <v>11340</v>
      </c>
      <c r="B7211" t="s">
        <v>2611</v>
      </c>
      <c r="C7211" t="s">
        <v>59</v>
      </c>
      <c r="D7211" s="1">
        <v>46021</v>
      </c>
      <c r="E7211" t="s">
        <v>4129</v>
      </c>
      <c r="F7211" t="s">
        <v>4125</v>
      </c>
    </row>
    <row r="7212" spans="1:6">
      <c r="A7212" t="s">
        <v>11341</v>
      </c>
      <c r="B7212" t="s">
        <v>2611</v>
      </c>
      <c r="C7212" t="s">
        <v>59</v>
      </c>
      <c r="D7212" s="1">
        <v>46022</v>
      </c>
      <c r="E7212" t="s">
        <v>4133</v>
      </c>
      <c r="F7212" t="s">
        <v>4139</v>
      </c>
    </row>
    <row r="7213" spans="1:6">
      <c r="A7213" t="s">
        <v>11342</v>
      </c>
      <c r="B7213" t="s">
        <v>2611</v>
      </c>
      <c r="C7213" t="s">
        <v>59</v>
      </c>
      <c r="D7213" s="1">
        <v>46021</v>
      </c>
      <c r="E7213" t="s">
        <v>4129</v>
      </c>
      <c r="F7213" t="s">
        <v>4125</v>
      </c>
    </row>
    <row r="7214" spans="1:6">
      <c r="A7214" t="s">
        <v>11343</v>
      </c>
      <c r="B7214" t="s">
        <v>2611</v>
      </c>
      <c r="C7214" t="s">
        <v>59</v>
      </c>
      <c r="D7214" s="1">
        <v>46022</v>
      </c>
      <c r="E7214" t="s">
        <v>4129</v>
      </c>
      <c r="F7214" t="s">
        <v>4137</v>
      </c>
    </row>
    <row r="7215" spans="1:6">
      <c r="A7215" t="s">
        <v>11344</v>
      </c>
      <c r="B7215" t="s">
        <v>2612</v>
      </c>
      <c r="C7215" t="s">
        <v>56</v>
      </c>
      <c r="D7215" s="1">
        <v>45786</v>
      </c>
      <c r="E7215" t="s">
        <v>4135</v>
      </c>
      <c r="F7215" t="s">
        <v>4137</v>
      </c>
    </row>
    <row r="7216" spans="1:6">
      <c r="A7216" t="s">
        <v>11345</v>
      </c>
      <c r="B7216" t="s">
        <v>2612</v>
      </c>
      <c r="C7216" t="s">
        <v>56</v>
      </c>
      <c r="D7216" s="1">
        <v>45774</v>
      </c>
      <c r="E7216" t="s">
        <v>4133</v>
      </c>
      <c r="F7216" t="s">
        <v>4139</v>
      </c>
    </row>
    <row r="7217" spans="1:6">
      <c r="A7217" t="s">
        <v>11346</v>
      </c>
      <c r="B7217" t="s">
        <v>2612</v>
      </c>
      <c r="C7217" t="s">
        <v>56</v>
      </c>
      <c r="D7217" s="1">
        <v>45772</v>
      </c>
      <c r="E7217" t="s">
        <v>4135</v>
      </c>
      <c r="F7217" t="s">
        <v>4137</v>
      </c>
    </row>
    <row r="7218" spans="1:6">
      <c r="A7218" t="s">
        <v>11347</v>
      </c>
      <c r="B7218" t="s">
        <v>2613</v>
      </c>
      <c r="C7218" t="s">
        <v>46</v>
      </c>
      <c r="D7218" s="1">
        <v>46010</v>
      </c>
      <c r="E7218" t="s">
        <v>4129</v>
      </c>
      <c r="F7218" t="s">
        <v>4125</v>
      </c>
    </row>
    <row r="7219" spans="1:6">
      <c r="A7219" t="s">
        <v>11348</v>
      </c>
      <c r="B7219" t="s">
        <v>2613</v>
      </c>
      <c r="C7219" t="s">
        <v>46</v>
      </c>
      <c r="D7219" s="1">
        <v>45957</v>
      </c>
      <c r="E7219" t="s">
        <v>4135</v>
      </c>
      <c r="F7219" t="s">
        <v>4139</v>
      </c>
    </row>
    <row r="7220" spans="1:6">
      <c r="A7220" t="s">
        <v>11349</v>
      </c>
      <c r="B7220" t="s">
        <v>2613</v>
      </c>
      <c r="C7220" t="s">
        <v>46</v>
      </c>
      <c r="D7220" s="1">
        <v>45984</v>
      </c>
      <c r="E7220" t="s">
        <v>4129</v>
      </c>
      <c r="F7220" t="s">
        <v>4125</v>
      </c>
    </row>
    <row r="7221" spans="1:6">
      <c r="A7221" t="s">
        <v>11350</v>
      </c>
      <c r="B7221" t="s">
        <v>2613</v>
      </c>
      <c r="C7221" t="s">
        <v>46</v>
      </c>
      <c r="D7221" s="1">
        <v>46010</v>
      </c>
      <c r="E7221" t="s">
        <v>4124</v>
      </c>
      <c r="F7221" t="s">
        <v>4137</v>
      </c>
    </row>
    <row r="7222" spans="1:6">
      <c r="A7222" t="s">
        <v>11351</v>
      </c>
      <c r="B7222" t="s">
        <v>2614</v>
      </c>
      <c r="C7222" t="s">
        <v>27</v>
      </c>
      <c r="D7222" s="1">
        <v>46005</v>
      </c>
      <c r="E7222" t="s">
        <v>4127</v>
      </c>
      <c r="F7222" t="s">
        <v>4139</v>
      </c>
    </row>
    <row r="7223" spans="1:6">
      <c r="A7223" t="s">
        <v>11352</v>
      </c>
      <c r="B7223" t="s">
        <v>2614</v>
      </c>
      <c r="C7223" t="s">
        <v>27</v>
      </c>
      <c r="D7223" s="1">
        <v>46001</v>
      </c>
      <c r="E7223" t="s">
        <v>4135</v>
      </c>
      <c r="F7223" t="s">
        <v>4125</v>
      </c>
    </row>
    <row r="7224" spans="1:6">
      <c r="A7224" t="s">
        <v>11353</v>
      </c>
      <c r="B7224" t="s">
        <v>2614</v>
      </c>
      <c r="C7224" t="s">
        <v>27</v>
      </c>
      <c r="D7224" s="1">
        <v>46000</v>
      </c>
      <c r="E7224" t="s">
        <v>4124</v>
      </c>
      <c r="F7224" t="s">
        <v>4125</v>
      </c>
    </row>
    <row r="7225" spans="1:6">
      <c r="A7225" t="s">
        <v>11354</v>
      </c>
      <c r="B7225" t="s">
        <v>2615</v>
      </c>
      <c r="C7225" t="s">
        <v>36</v>
      </c>
      <c r="D7225" s="1">
        <v>45830</v>
      </c>
      <c r="E7225" t="s">
        <v>4135</v>
      </c>
      <c r="F7225" t="s">
        <v>4139</v>
      </c>
    </row>
    <row r="7226" spans="1:6">
      <c r="A7226" t="s">
        <v>11355</v>
      </c>
      <c r="B7226" t="s">
        <v>2615</v>
      </c>
      <c r="C7226" t="s">
        <v>36</v>
      </c>
      <c r="D7226" s="1">
        <v>45817</v>
      </c>
      <c r="E7226" t="s">
        <v>4129</v>
      </c>
      <c r="F7226" t="s">
        <v>4125</v>
      </c>
    </row>
    <row r="7227" spans="1:6">
      <c r="A7227" t="s">
        <v>11356</v>
      </c>
      <c r="B7227" t="s">
        <v>2615</v>
      </c>
      <c r="C7227" t="s">
        <v>36</v>
      </c>
      <c r="D7227" s="1">
        <v>45832</v>
      </c>
      <c r="E7227" t="s">
        <v>4133</v>
      </c>
      <c r="F7227" t="s">
        <v>4139</v>
      </c>
    </row>
    <row r="7228" spans="1:6">
      <c r="A7228" t="s">
        <v>11357</v>
      </c>
      <c r="B7228" t="s">
        <v>2616</v>
      </c>
      <c r="C7228" t="s">
        <v>78</v>
      </c>
      <c r="D7228" s="1">
        <v>45920</v>
      </c>
      <c r="E7228" t="s">
        <v>4129</v>
      </c>
      <c r="F7228" t="s">
        <v>4137</v>
      </c>
    </row>
    <row r="7229" spans="1:6">
      <c r="A7229" t="s">
        <v>11358</v>
      </c>
      <c r="B7229" t="s">
        <v>2616</v>
      </c>
      <c r="C7229" t="s">
        <v>78</v>
      </c>
      <c r="D7229" s="1">
        <v>45920</v>
      </c>
      <c r="E7229" t="s">
        <v>4135</v>
      </c>
      <c r="F7229" t="s">
        <v>4139</v>
      </c>
    </row>
    <row r="7230" spans="1:6">
      <c r="A7230" t="s">
        <v>11359</v>
      </c>
      <c r="B7230" t="s">
        <v>2616</v>
      </c>
      <c r="C7230" t="s">
        <v>78</v>
      </c>
      <c r="D7230" s="1">
        <v>45920</v>
      </c>
      <c r="E7230" t="s">
        <v>4133</v>
      </c>
      <c r="F7230" t="s">
        <v>4137</v>
      </c>
    </row>
    <row r="7231" spans="1:6">
      <c r="A7231" t="s">
        <v>11360</v>
      </c>
      <c r="B7231" t="s">
        <v>2616</v>
      </c>
      <c r="C7231" t="s">
        <v>78</v>
      </c>
      <c r="D7231" s="1">
        <v>45925</v>
      </c>
      <c r="E7231" t="s">
        <v>4133</v>
      </c>
      <c r="F7231" t="s">
        <v>4137</v>
      </c>
    </row>
    <row r="7232" spans="1:6">
      <c r="A7232" t="s">
        <v>11361</v>
      </c>
      <c r="B7232" t="s">
        <v>2617</v>
      </c>
      <c r="C7232" t="s">
        <v>59</v>
      </c>
      <c r="D7232" s="1">
        <v>45896</v>
      </c>
      <c r="E7232" t="s">
        <v>4135</v>
      </c>
      <c r="F7232" t="s">
        <v>4125</v>
      </c>
    </row>
    <row r="7233" spans="1:6">
      <c r="A7233" t="s">
        <v>11362</v>
      </c>
      <c r="B7233" t="s">
        <v>2617</v>
      </c>
      <c r="C7233" t="s">
        <v>59</v>
      </c>
      <c r="D7233" s="1">
        <v>45945</v>
      </c>
      <c r="E7233" t="s">
        <v>4127</v>
      </c>
      <c r="F7233" t="s">
        <v>4137</v>
      </c>
    </row>
    <row r="7234" spans="1:6">
      <c r="A7234" t="s">
        <v>11363</v>
      </c>
      <c r="B7234" t="s">
        <v>2617</v>
      </c>
      <c r="C7234" t="s">
        <v>59</v>
      </c>
      <c r="D7234" s="1">
        <v>45923</v>
      </c>
      <c r="E7234" t="s">
        <v>4133</v>
      </c>
      <c r="F7234" t="s">
        <v>4137</v>
      </c>
    </row>
    <row r="7235" spans="1:6">
      <c r="A7235" t="s">
        <v>11364</v>
      </c>
      <c r="B7235" t="s">
        <v>2618</v>
      </c>
      <c r="C7235" t="s">
        <v>168</v>
      </c>
      <c r="D7235" s="1">
        <v>45786</v>
      </c>
      <c r="E7235" t="s">
        <v>4129</v>
      </c>
      <c r="F7235" t="s">
        <v>4137</v>
      </c>
    </row>
    <row r="7236" spans="1:6">
      <c r="A7236" t="s">
        <v>11365</v>
      </c>
      <c r="B7236" t="s">
        <v>2618</v>
      </c>
      <c r="C7236" t="s">
        <v>168</v>
      </c>
      <c r="D7236" s="1">
        <v>45780</v>
      </c>
      <c r="E7236" t="s">
        <v>4129</v>
      </c>
      <c r="F7236" t="s">
        <v>4125</v>
      </c>
    </row>
    <row r="7237" spans="1:6">
      <c r="A7237" t="s">
        <v>11366</v>
      </c>
      <c r="B7237" t="s">
        <v>2618</v>
      </c>
      <c r="C7237" t="s">
        <v>168</v>
      </c>
      <c r="D7237" s="1">
        <v>45781</v>
      </c>
      <c r="E7237" t="s">
        <v>4127</v>
      </c>
      <c r="F7237" t="s">
        <v>4125</v>
      </c>
    </row>
    <row r="7238" spans="1:6">
      <c r="A7238" t="s">
        <v>11367</v>
      </c>
      <c r="B7238" t="s">
        <v>2618</v>
      </c>
      <c r="C7238" t="s">
        <v>168</v>
      </c>
      <c r="D7238" s="1">
        <v>45786</v>
      </c>
      <c r="E7238" t="s">
        <v>4135</v>
      </c>
      <c r="F7238" t="s">
        <v>4137</v>
      </c>
    </row>
    <row r="7239" spans="1:6">
      <c r="A7239" t="s">
        <v>11368</v>
      </c>
      <c r="B7239" t="s">
        <v>2618</v>
      </c>
      <c r="C7239" t="s">
        <v>168</v>
      </c>
      <c r="D7239" s="1">
        <v>45784</v>
      </c>
      <c r="E7239" t="s">
        <v>4127</v>
      </c>
      <c r="F7239" t="s">
        <v>4137</v>
      </c>
    </row>
    <row r="7240" spans="1:6">
      <c r="A7240" t="s">
        <v>11369</v>
      </c>
      <c r="B7240" t="s">
        <v>2619</v>
      </c>
      <c r="C7240" t="s">
        <v>22</v>
      </c>
      <c r="D7240" s="1">
        <v>45822</v>
      </c>
      <c r="E7240" t="s">
        <v>4135</v>
      </c>
      <c r="F7240" t="s">
        <v>4137</v>
      </c>
    </row>
    <row r="7241" spans="1:6">
      <c r="A7241" t="s">
        <v>11370</v>
      </c>
      <c r="B7241" t="s">
        <v>2619</v>
      </c>
      <c r="C7241" t="s">
        <v>22</v>
      </c>
      <c r="D7241" s="1">
        <v>45824</v>
      </c>
      <c r="E7241" t="s">
        <v>4135</v>
      </c>
      <c r="F7241" t="s">
        <v>4137</v>
      </c>
    </row>
    <row r="7242" spans="1:6">
      <c r="A7242" t="s">
        <v>11371</v>
      </c>
      <c r="B7242" t="s">
        <v>2619</v>
      </c>
      <c r="C7242" t="s">
        <v>22</v>
      </c>
      <c r="D7242" s="1">
        <v>45830</v>
      </c>
      <c r="E7242" t="s">
        <v>4127</v>
      </c>
      <c r="F7242" t="s">
        <v>4137</v>
      </c>
    </row>
    <row r="7243" spans="1:6">
      <c r="A7243" t="s">
        <v>11372</v>
      </c>
      <c r="B7243" t="s">
        <v>2619</v>
      </c>
      <c r="C7243" t="s">
        <v>22</v>
      </c>
      <c r="D7243" s="1">
        <v>45845</v>
      </c>
      <c r="E7243" t="s">
        <v>4129</v>
      </c>
      <c r="F7243" t="s">
        <v>4125</v>
      </c>
    </row>
    <row r="7244" spans="1:6">
      <c r="A7244" t="s">
        <v>11373</v>
      </c>
      <c r="B7244" t="s">
        <v>2620</v>
      </c>
      <c r="C7244" t="s">
        <v>78</v>
      </c>
      <c r="D7244" s="1">
        <v>45885</v>
      </c>
      <c r="E7244" t="s">
        <v>4133</v>
      </c>
      <c r="F7244" t="s">
        <v>4139</v>
      </c>
    </row>
    <row r="7245" spans="1:6">
      <c r="A7245" t="s">
        <v>11374</v>
      </c>
      <c r="B7245" t="s">
        <v>2620</v>
      </c>
      <c r="C7245" t="s">
        <v>78</v>
      </c>
      <c r="D7245" s="1">
        <v>45912</v>
      </c>
      <c r="E7245" t="s">
        <v>4124</v>
      </c>
      <c r="F7245" t="s">
        <v>4137</v>
      </c>
    </row>
    <row r="7246" spans="1:6">
      <c r="A7246" t="s">
        <v>11375</v>
      </c>
      <c r="B7246" t="s">
        <v>2620</v>
      </c>
      <c r="C7246" t="s">
        <v>78</v>
      </c>
      <c r="D7246" s="1">
        <v>45903</v>
      </c>
      <c r="E7246" t="s">
        <v>4135</v>
      </c>
      <c r="F7246" t="s">
        <v>4125</v>
      </c>
    </row>
    <row r="7247" spans="1:6">
      <c r="A7247" t="s">
        <v>11376</v>
      </c>
      <c r="B7247" t="s">
        <v>2620</v>
      </c>
      <c r="C7247" t="s">
        <v>78</v>
      </c>
      <c r="D7247" s="1">
        <v>45916</v>
      </c>
      <c r="E7247" t="s">
        <v>4133</v>
      </c>
      <c r="F7247" t="s">
        <v>4137</v>
      </c>
    </row>
    <row r="7248" spans="1:6">
      <c r="A7248" t="s">
        <v>11377</v>
      </c>
      <c r="B7248" t="s">
        <v>2621</v>
      </c>
      <c r="C7248" t="s">
        <v>40</v>
      </c>
      <c r="D7248" s="1">
        <v>45882</v>
      </c>
      <c r="E7248" t="s">
        <v>4129</v>
      </c>
      <c r="F7248" t="s">
        <v>4139</v>
      </c>
    </row>
    <row r="7249" spans="1:6">
      <c r="A7249" t="s">
        <v>11378</v>
      </c>
      <c r="B7249" t="s">
        <v>2621</v>
      </c>
      <c r="C7249" t="s">
        <v>40</v>
      </c>
      <c r="D7249" s="1">
        <v>45881</v>
      </c>
      <c r="E7249" t="s">
        <v>4135</v>
      </c>
      <c r="F7249" t="s">
        <v>4139</v>
      </c>
    </row>
    <row r="7250" spans="1:6">
      <c r="A7250" t="s">
        <v>11379</v>
      </c>
      <c r="B7250" t="s">
        <v>2622</v>
      </c>
      <c r="C7250" t="s">
        <v>78</v>
      </c>
      <c r="D7250" s="1">
        <v>45790</v>
      </c>
      <c r="E7250" t="s">
        <v>4135</v>
      </c>
      <c r="F7250" t="s">
        <v>4125</v>
      </c>
    </row>
    <row r="7251" spans="1:6">
      <c r="A7251" t="s">
        <v>11380</v>
      </c>
      <c r="B7251" t="s">
        <v>2622</v>
      </c>
      <c r="C7251" t="s">
        <v>78</v>
      </c>
      <c r="D7251" s="1">
        <v>45794</v>
      </c>
      <c r="E7251" t="s">
        <v>4127</v>
      </c>
      <c r="F7251" t="s">
        <v>4137</v>
      </c>
    </row>
    <row r="7252" spans="1:6">
      <c r="A7252" t="s">
        <v>11381</v>
      </c>
      <c r="B7252" t="s">
        <v>2622</v>
      </c>
      <c r="C7252" t="s">
        <v>78</v>
      </c>
      <c r="D7252" s="1">
        <v>45793</v>
      </c>
      <c r="E7252" t="s">
        <v>4135</v>
      </c>
      <c r="F7252" t="s">
        <v>4139</v>
      </c>
    </row>
    <row r="7253" spans="1:6">
      <c r="A7253" t="s">
        <v>11382</v>
      </c>
      <c r="B7253" t="s">
        <v>2622</v>
      </c>
      <c r="C7253" t="s">
        <v>78</v>
      </c>
      <c r="D7253" s="1">
        <v>45802</v>
      </c>
      <c r="E7253" t="s">
        <v>4129</v>
      </c>
      <c r="F7253" t="s">
        <v>4125</v>
      </c>
    </row>
    <row r="7254" spans="1:6">
      <c r="A7254" t="s">
        <v>11383</v>
      </c>
      <c r="B7254" t="s">
        <v>2622</v>
      </c>
      <c r="C7254" t="s">
        <v>78</v>
      </c>
      <c r="D7254" s="1">
        <v>45792</v>
      </c>
      <c r="E7254" t="s">
        <v>4135</v>
      </c>
      <c r="F7254" t="s">
        <v>4137</v>
      </c>
    </row>
    <row r="7255" spans="1:6">
      <c r="A7255" t="s">
        <v>11384</v>
      </c>
      <c r="B7255" t="s">
        <v>2623</v>
      </c>
      <c r="C7255" t="s">
        <v>168</v>
      </c>
      <c r="D7255" s="1">
        <v>45843</v>
      </c>
      <c r="E7255" t="s">
        <v>4124</v>
      </c>
      <c r="F7255" t="s">
        <v>4125</v>
      </c>
    </row>
    <row r="7256" spans="1:6">
      <c r="A7256" t="s">
        <v>11385</v>
      </c>
      <c r="B7256" t="s">
        <v>2623</v>
      </c>
      <c r="C7256" t="s">
        <v>168</v>
      </c>
      <c r="D7256" s="1">
        <v>45817</v>
      </c>
      <c r="E7256" t="s">
        <v>4124</v>
      </c>
      <c r="F7256" t="s">
        <v>4139</v>
      </c>
    </row>
    <row r="7257" spans="1:6">
      <c r="A7257" t="s">
        <v>11386</v>
      </c>
      <c r="B7257" t="s">
        <v>2623</v>
      </c>
      <c r="C7257" t="s">
        <v>168</v>
      </c>
      <c r="D7257" s="1">
        <v>45800</v>
      </c>
      <c r="E7257" t="s">
        <v>4135</v>
      </c>
      <c r="F7257" t="s">
        <v>4139</v>
      </c>
    </row>
    <row r="7258" spans="1:6">
      <c r="A7258" t="s">
        <v>11387</v>
      </c>
      <c r="B7258" t="s">
        <v>2623</v>
      </c>
      <c r="C7258" t="s">
        <v>168</v>
      </c>
      <c r="D7258" s="1">
        <v>45834</v>
      </c>
      <c r="E7258" t="s">
        <v>4135</v>
      </c>
      <c r="F7258" t="s">
        <v>4137</v>
      </c>
    </row>
    <row r="7259" spans="1:6">
      <c r="A7259" t="s">
        <v>11388</v>
      </c>
      <c r="B7259" t="s">
        <v>2624</v>
      </c>
      <c r="C7259" t="s">
        <v>70</v>
      </c>
      <c r="D7259" s="1">
        <v>46021</v>
      </c>
      <c r="E7259" t="s">
        <v>4127</v>
      </c>
      <c r="F7259" t="s">
        <v>4137</v>
      </c>
    </row>
    <row r="7260" spans="1:6">
      <c r="A7260" t="s">
        <v>11389</v>
      </c>
      <c r="B7260" t="s">
        <v>2624</v>
      </c>
      <c r="C7260" t="s">
        <v>70</v>
      </c>
      <c r="D7260" s="1">
        <v>46011</v>
      </c>
      <c r="E7260" t="s">
        <v>4135</v>
      </c>
      <c r="F7260" t="s">
        <v>4139</v>
      </c>
    </row>
    <row r="7261" spans="1:6">
      <c r="A7261" t="s">
        <v>11390</v>
      </c>
      <c r="B7261" t="s">
        <v>2624</v>
      </c>
      <c r="C7261" t="s">
        <v>70</v>
      </c>
      <c r="D7261" s="1">
        <v>46018</v>
      </c>
      <c r="E7261" t="s">
        <v>4124</v>
      </c>
      <c r="F7261" t="s">
        <v>4139</v>
      </c>
    </row>
    <row r="7262" spans="1:6">
      <c r="A7262" t="s">
        <v>11391</v>
      </c>
      <c r="B7262" t="s">
        <v>2624</v>
      </c>
      <c r="C7262" t="s">
        <v>70</v>
      </c>
      <c r="D7262" s="1">
        <v>46004</v>
      </c>
      <c r="E7262" t="s">
        <v>4129</v>
      </c>
      <c r="F7262" t="s">
        <v>4137</v>
      </c>
    </row>
    <row r="7263" spans="1:6">
      <c r="A7263" t="s">
        <v>11392</v>
      </c>
      <c r="B7263" t="s">
        <v>2624</v>
      </c>
      <c r="C7263" t="s">
        <v>70</v>
      </c>
      <c r="D7263" s="1">
        <v>46018</v>
      </c>
      <c r="E7263" t="s">
        <v>4127</v>
      </c>
      <c r="F7263" t="s">
        <v>4137</v>
      </c>
    </row>
    <row r="7264" spans="1:6">
      <c r="A7264" t="s">
        <v>11393</v>
      </c>
      <c r="B7264" t="s">
        <v>2625</v>
      </c>
      <c r="C7264" t="s">
        <v>168</v>
      </c>
      <c r="D7264" s="1">
        <v>45880</v>
      </c>
      <c r="E7264" t="s">
        <v>4135</v>
      </c>
      <c r="F7264" t="s">
        <v>4125</v>
      </c>
    </row>
    <row r="7265" spans="1:6">
      <c r="A7265" t="s">
        <v>11394</v>
      </c>
      <c r="B7265" t="s">
        <v>2625</v>
      </c>
      <c r="C7265" t="s">
        <v>168</v>
      </c>
      <c r="D7265" s="1">
        <v>45897</v>
      </c>
      <c r="E7265" t="s">
        <v>4135</v>
      </c>
      <c r="F7265" t="s">
        <v>4125</v>
      </c>
    </row>
    <row r="7266" spans="1:6">
      <c r="A7266" t="s">
        <v>11395</v>
      </c>
      <c r="B7266" t="s">
        <v>2625</v>
      </c>
      <c r="C7266" t="s">
        <v>168</v>
      </c>
      <c r="D7266" s="1">
        <v>45869</v>
      </c>
      <c r="E7266" t="s">
        <v>4124</v>
      </c>
      <c r="F7266" t="s">
        <v>4139</v>
      </c>
    </row>
    <row r="7267" spans="1:6">
      <c r="A7267" t="s">
        <v>11396</v>
      </c>
      <c r="B7267" t="s">
        <v>2625</v>
      </c>
      <c r="C7267" t="s">
        <v>168</v>
      </c>
      <c r="D7267" s="1">
        <v>45913</v>
      </c>
      <c r="E7267" t="s">
        <v>4135</v>
      </c>
      <c r="F7267" t="s">
        <v>4125</v>
      </c>
    </row>
    <row r="7268" spans="1:6">
      <c r="A7268" t="s">
        <v>11397</v>
      </c>
      <c r="B7268" t="s">
        <v>2626</v>
      </c>
      <c r="C7268" t="s">
        <v>46</v>
      </c>
      <c r="D7268" s="1">
        <v>45934</v>
      </c>
      <c r="E7268" t="s">
        <v>4129</v>
      </c>
      <c r="F7268" t="s">
        <v>4125</v>
      </c>
    </row>
    <row r="7269" spans="1:6">
      <c r="A7269" t="s">
        <v>11398</v>
      </c>
      <c r="B7269" t="s">
        <v>2626</v>
      </c>
      <c r="C7269" t="s">
        <v>46</v>
      </c>
      <c r="D7269" s="1">
        <v>45929</v>
      </c>
      <c r="E7269" t="s">
        <v>4133</v>
      </c>
      <c r="F7269" t="s">
        <v>4137</v>
      </c>
    </row>
    <row r="7270" spans="1:6">
      <c r="A7270" t="s">
        <v>11399</v>
      </c>
      <c r="B7270" t="s">
        <v>2626</v>
      </c>
      <c r="C7270" t="s">
        <v>46</v>
      </c>
      <c r="D7270" s="1">
        <v>45963</v>
      </c>
      <c r="E7270" t="s">
        <v>4133</v>
      </c>
      <c r="F7270" t="s">
        <v>4139</v>
      </c>
    </row>
    <row r="7271" spans="1:6">
      <c r="A7271" t="s">
        <v>11400</v>
      </c>
      <c r="B7271" t="s">
        <v>2627</v>
      </c>
      <c r="C7271" t="s">
        <v>152</v>
      </c>
      <c r="D7271" s="1">
        <v>45893</v>
      </c>
      <c r="E7271" t="s">
        <v>4135</v>
      </c>
      <c r="F7271" t="s">
        <v>4137</v>
      </c>
    </row>
    <row r="7272" spans="1:6">
      <c r="A7272" t="s">
        <v>11401</v>
      </c>
      <c r="B7272" t="s">
        <v>2627</v>
      </c>
      <c r="C7272" t="s">
        <v>152</v>
      </c>
      <c r="D7272" s="1">
        <v>45882</v>
      </c>
      <c r="E7272" t="s">
        <v>4129</v>
      </c>
      <c r="F7272" t="s">
        <v>4139</v>
      </c>
    </row>
    <row r="7273" spans="1:6">
      <c r="A7273" t="s">
        <v>11402</v>
      </c>
      <c r="B7273" t="s">
        <v>2627</v>
      </c>
      <c r="C7273" t="s">
        <v>152</v>
      </c>
      <c r="D7273" s="1">
        <v>45882</v>
      </c>
      <c r="E7273" t="s">
        <v>4124</v>
      </c>
      <c r="F7273" t="s">
        <v>4125</v>
      </c>
    </row>
    <row r="7274" spans="1:6">
      <c r="A7274" t="s">
        <v>11403</v>
      </c>
      <c r="B7274" t="s">
        <v>2627</v>
      </c>
      <c r="C7274" t="s">
        <v>152</v>
      </c>
      <c r="D7274" s="1">
        <v>45887</v>
      </c>
      <c r="E7274" t="s">
        <v>4127</v>
      </c>
      <c r="F7274" t="s">
        <v>4137</v>
      </c>
    </row>
    <row r="7275" spans="1:6">
      <c r="A7275" t="s">
        <v>11404</v>
      </c>
      <c r="B7275" t="s">
        <v>2627</v>
      </c>
      <c r="C7275" t="s">
        <v>152</v>
      </c>
      <c r="D7275" s="1">
        <v>45869</v>
      </c>
      <c r="E7275" t="s">
        <v>4124</v>
      </c>
      <c r="F7275" t="s">
        <v>4125</v>
      </c>
    </row>
    <row r="7276" spans="1:6">
      <c r="A7276" t="s">
        <v>11405</v>
      </c>
      <c r="B7276" t="s">
        <v>2629</v>
      </c>
      <c r="C7276" t="s">
        <v>36</v>
      </c>
      <c r="D7276" s="1">
        <v>45997</v>
      </c>
      <c r="E7276" t="s">
        <v>4129</v>
      </c>
      <c r="F7276" t="s">
        <v>4137</v>
      </c>
    </row>
    <row r="7277" spans="1:6">
      <c r="A7277" t="s">
        <v>11406</v>
      </c>
      <c r="B7277" t="s">
        <v>2629</v>
      </c>
      <c r="C7277" t="s">
        <v>36</v>
      </c>
      <c r="D7277" s="1">
        <v>46021</v>
      </c>
      <c r="E7277" t="s">
        <v>4129</v>
      </c>
      <c r="F7277" t="s">
        <v>4137</v>
      </c>
    </row>
    <row r="7278" spans="1:6">
      <c r="A7278" t="s">
        <v>11407</v>
      </c>
      <c r="B7278" t="s">
        <v>2629</v>
      </c>
      <c r="C7278" t="s">
        <v>36</v>
      </c>
      <c r="D7278" s="1">
        <v>46004</v>
      </c>
      <c r="E7278" t="s">
        <v>4127</v>
      </c>
      <c r="F7278" t="s">
        <v>4125</v>
      </c>
    </row>
    <row r="7279" spans="1:6">
      <c r="A7279" t="s">
        <v>11408</v>
      </c>
      <c r="B7279" t="s">
        <v>2629</v>
      </c>
      <c r="C7279" t="s">
        <v>36</v>
      </c>
      <c r="D7279" s="1">
        <v>45998</v>
      </c>
      <c r="E7279" t="s">
        <v>4127</v>
      </c>
      <c r="F7279" t="s">
        <v>4137</v>
      </c>
    </row>
    <row r="7280" spans="1:6">
      <c r="A7280" t="s">
        <v>11409</v>
      </c>
      <c r="B7280" t="s">
        <v>2629</v>
      </c>
      <c r="C7280" t="s">
        <v>36</v>
      </c>
      <c r="D7280" s="1">
        <v>46004</v>
      </c>
      <c r="E7280" t="s">
        <v>4133</v>
      </c>
      <c r="F7280" t="s">
        <v>4125</v>
      </c>
    </row>
    <row r="7281" spans="1:6">
      <c r="A7281" t="s">
        <v>11410</v>
      </c>
      <c r="B7281" t="s">
        <v>2630</v>
      </c>
      <c r="C7281" t="s">
        <v>63</v>
      </c>
      <c r="D7281" s="1">
        <v>45813</v>
      </c>
      <c r="E7281" t="s">
        <v>4129</v>
      </c>
      <c r="F7281" t="s">
        <v>4125</v>
      </c>
    </row>
    <row r="7282" spans="1:6">
      <c r="A7282" t="s">
        <v>11411</v>
      </c>
      <c r="B7282" t="s">
        <v>2630</v>
      </c>
      <c r="C7282" t="s">
        <v>63</v>
      </c>
      <c r="D7282" s="1">
        <v>45784</v>
      </c>
      <c r="E7282" t="s">
        <v>4124</v>
      </c>
      <c r="F7282" t="s">
        <v>4137</v>
      </c>
    </row>
    <row r="7283" spans="1:6">
      <c r="A7283" t="s">
        <v>11412</v>
      </c>
      <c r="B7283" t="s">
        <v>2630</v>
      </c>
      <c r="C7283" t="s">
        <v>63</v>
      </c>
      <c r="D7283" s="1">
        <v>45774</v>
      </c>
      <c r="E7283" t="s">
        <v>4124</v>
      </c>
      <c r="F7283" t="s">
        <v>4139</v>
      </c>
    </row>
    <row r="7284" spans="1:6">
      <c r="A7284" t="s">
        <v>11413</v>
      </c>
      <c r="B7284" t="s">
        <v>2631</v>
      </c>
      <c r="C7284" t="s">
        <v>75</v>
      </c>
      <c r="D7284" s="1">
        <v>45842</v>
      </c>
      <c r="E7284" t="s">
        <v>4135</v>
      </c>
      <c r="F7284" t="s">
        <v>4125</v>
      </c>
    </row>
    <row r="7285" spans="1:6">
      <c r="A7285" t="s">
        <v>11414</v>
      </c>
      <c r="B7285" t="s">
        <v>2631</v>
      </c>
      <c r="C7285" t="s">
        <v>75</v>
      </c>
      <c r="D7285" s="1">
        <v>45832</v>
      </c>
      <c r="E7285" t="s">
        <v>4135</v>
      </c>
      <c r="F7285" t="s">
        <v>4125</v>
      </c>
    </row>
    <row r="7286" spans="1:6">
      <c r="A7286" t="s">
        <v>11415</v>
      </c>
      <c r="B7286" t="s">
        <v>2632</v>
      </c>
      <c r="C7286" t="s">
        <v>126</v>
      </c>
      <c r="D7286" s="1">
        <v>45814</v>
      </c>
      <c r="E7286" t="s">
        <v>4124</v>
      </c>
      <c r="F7286" t="s">
        <v>4137</v>
      </c>
    </row>
    <row r="7287" spans="1:6">
      <c r="A7287" t="s">
        <v>11416</v>
      </c>
      <c r="B7287" t="s">
        <v>2632</v>
      </c>
      <c r="C7287" t="s">
        <v>126</v>
      </c>
      <c r="D7287" s="1">
        <v>45800</v>
      </c>
      <c r="E7287" t="s">
        <v>4133</v>
      </c>
      <c r="F7287" t="s">
        <v>4125</v>
      </c>
    </row>
    <row r="7288" spans="1:6">
      <c r="A7288" t="s">
        <v>11417</v>
      </c>
      <c r="B7288" t="s">
        <v>2632</v>
      </c>
      <c r="C7288" t="s">
        <v>126</v>
      </c>
      <c r="D7288" s="1">
        <v>45769</v>
      </c>
      <c r="E7288" t="s">
        <v>4124</v>
      </c>
      <c r="F7288" t="s">
        <v>4139</v>
      </c>
    </row>
    <row r="7289" spans="1:6">
      <c r="A7289" t="s">
        <v>11418</v>
      </c>
      <c r="B7289" t="s">
        <v>2632</v>
      </c>
      <c r="C7289" t="s">
        <v>126</v>
      </c>
      <c r="D7289" s="1">
        <v>45780</v>
      </c>
      <c r="E7289" t="s">
        <v>4135</v>
      </c>
      <c r="F7289" t="s">
        <v>4125</v>
      </c>
    </row>
    <row r="7290" spans="1:6">
      <c r="A7290" t="s">
        <v>11419</v>
      </c>
      <c r="B7290" t="s">
        <v>2633</v>
      </c>
      <c r="C7290" t="s">
        <v>70</v>
      </c>
      <c r="D7290" s="1">
        <v>45694</v>
      </c>
      <c r="E7290" t="s">
        <v>4135</v>
      </c>
      <c r="F7290" t="s">
        <v>4125</v>
      </c>
    </row>
    <row r="7291" spans="1:6">
      <c r="A7291" t="s">
        <v>11420</v>
      </c>
      <c r="B7291" t="s">
        <v>2633</v>
      </c>
      <c r="C7291" t="s">
        <v>70</v>
      </c>
      <c r="D7291" s="1">
        <v>45697</v>
      </c>
      <c r="E7291" t="s">
        <v>4127</v>
      </c>
      <c r="F7291" t="s">
        <v>4137</v>
      </c>
    </row>
    <row r="7292" spans="1:6">
      <c r="A7292" t="s">
        <v>11421</v>
      </c>
      <c r="B7292" t="s">
        <v>2633</v>
      </c>
      <c r="C7292" t="s">
        <v>70</v>
      </c>
      <c r="D7292" s="1">
        <v>45698</v>
      </c>
      <c r="E7292" t="s">
        <v>4133</v>
      </c>
      <c r="F7292" t="s">
        <v>4137</v>
      </c>
    </row>
    <row r="7293" spans="1:6">
      <c r="A7293" t="s">
        <v>11422</v>
      </c>
      <c r="B7293" t="s">
        <v>2633</v>
      </c>
      <c r="C7293" t="s">
        <v>70</v>
      </c>
      <c r="D7293" s="1">
        <v>45689</v>
      </c>
      <c r="E7293" t="s">
        <v>4129</v>
      </c>
      <c r="F7293" t="s">
        <v>4125</v>
      </c>
    </row>
    <row r="7294" spans="1:6">
      <c r="A7294" t="s">
        <v>11423</v>
      </c>
      <c r="B7294" t="s">
        <v>2633</v>
      </c>
      <c r="C7294" t="s">
        <v>70</v>
      </c>
      <c r="D7294" s="1">
        <v>45699</v>
      </c>
      <c r="E7294" t="s">
        <v>4124</v>
      </c>
      <c r="F7294" t="s">
        <v>4125</v>
      </c>
    </row>
    <row r="7295" spans="1:6">
      <c r="A7295" t="s">
        <v>11424</v>
      </c>
      <c r="B7295" t="s">
        <v>2634</v>
      </c>
      <c r="C7295" t="s">
        <v>126</v>
      </c>
      <c r="D7295" s="1">
        <v>45774</v>
      </c>
      <c r="E7295" t="s">
        <v>4124</v>
      </c>
      <c r="F7295" t="s">
        <v>4139</v>
      </c>
    </row>
    <row r="7296" spans="1:6">
      <c r="A7296" t="s">
        <v>11425</v>
      </c>
      <c r="B7296" t="s">
        <v>2634</v>
      </c>
      <c r="C7296" t="s">
        <v>126</v>
      </c>
      <c r="D7296" s="1">
        <v>45743</v>
      </c>
      <c r="E7296" t="s">
        <v>4124</v>
      </c>
      <c r="F7296" t="s">
        <v>4125</v>
      </c>
    </row>
    <row r="7297" spans="1:6">
      <c r="A7297" t="s">
        <v>11426</v>
      </c>
      <c r="B7297" t="s">
        <v>2634</v>
      </c>
      <c r="C7297" t="s">
        <v>126</v>
      </c>
      <c r="D7297" s="1">
        <v>45790</v>
      </c>
      <c r="E7297" t="s">
        <v>4124</v>
      </c>
      <c r="F7297" t="s">
        <v>4125</v>
      </c>
    </row>
    <row r="7298" spans="1:6">
      <c r="A7298" t="s">
        <v>11427</v>
      </c>
      <c r="B7298" t="s">
        <v>2634</v>
      </c>
      <c r="C7298" t="s">
        <v>126</v>
      </c>
      <c r="D7298" s="1">
        <v>45743</v>
      </c>
      <c r="E7298" t="s">
        <v>4133</v>
      </c>
      <c r="F7298" t="s">
        <v>4139</v>
      </c>
    </row>
    <row r="7299" spans="1:6">
      <c r="A7299" t="s">
        <v>11428</v>
      </c>
      <c r="B7299" t="s">
        <v>2635</v>
      </c>
      <c r="C7299" t="s">
        <v>53</v>
      </c>
      <c r="D7299" s="1">
        <v>45812</v>
      </c>
      <c r="E7299" t="s">
        <v>4129</v>
      </c>
      <c r="F7299" t="s">
        <v>4125</v>
      </c>
    </row>
    <row r="7300" spans="1:6">
      <c r="A7300" t="s">
        <v>11429</v>
      </c>
      <c r="B7300" t="s">
        <v>2635</v>
      </c>
      <c r="C7300" t="s">
        <v>53</v>
      </c>
      <c r="D7300" s="1">
        <v>45818</v>
      </c>
      <c r="E7300" t="s">
        <v>4133</v>
      </c>
      <c r="F7300" t="s">
        <v>4125</v>
      </c>
    </row>
    <row r="7301" spans="1:6">
      <c r="A7301" t="s">
        <v>11430</v>
      </c>
      <c r="B7301" t="s">
        <v>2635</v>
      </c>
      <c r="C7301" t="s">
        <v>53</v>
      </c>
      <c r="D7301" s="1">
        <v>45815</v>
      </c>
      <c r="E7301" t="s">
        <v>4135</v>
      </c>
      <c r="F7301" t="s">
        <v>4137</v>
      </c>
    </row>
    <row r="7302" spans="1:6">
      <c r="A7302" t="s">
        <v>11431</v>
      </c>
      <c r="B7302" t="s">
        <v>2635</v>
      </c>
      <c r="C7302" t="s">
        <v>53</v>
      </c>
      <c r="D7302" s="1">
        <v>45813</v>
      </c>
      <c r="E7302" t="s">
        <v>4133</v>
      </c>
      <c r="F7302" t="s">
        <v>4139</v>
      </c>
    </row>
    <row r="7303" spans="1:6">
      <c r="A7303" t="s">
        <v>11432</v>
      </c>
      <c r="B7303" t="s">
        <v>2636</v>
      </c>
      <c r="C7303" t="s">
        <v>32</v>
      </c>
      <c r="D7303" s="1">
        <v>45959</v>
      </c>
      <c r="E7303" t="s">
        <v>4133</v>
      </c>
      <c r="F7303" t="s">
        <v>4139</v>
      </c>
    </row>
    <row r="7304" spans="1:6">
      <c r="A7304" t="s">
        <v>11433</v>
      </c>
      <c r="B7304" t="s">
        <v>2636</v>
      </c>
      <c r="C7304" t="s">
        <v>32</v>
      </c>
      <c r="D7304" s="1">
        <v>45980</v>
      </c>
      <c r="E7304" t="s">
        <v>4127</v>
      </c>
      <c r="F7304" t="s">
        <v>4139</v>
      </c>
    </row>
    <row r="7305" spans="1:6">
      <c r="A7305" t="s">
        <v>11434</v>
      </c>
      <c r="B7305" t="s">
        <v>2636</v>
      </c>
      <c r="C7305" t="s">
        <v>32</v>
      </c>
      <c r="D7305" s="1">
        <v>45950</v>
      </c>
      <c r="E7305" t="s">
        <v>4129</v>
      </c>
      <c r="F7305" t="s">
        <v>4125</v>
      </c>
    </row>
    <row r="7306" spans="1:6">
      <c r="A7306" t="s">
        <v>11435</v>
      </c>
      <c r="B7306" t="s">
        <v>2636</v>
      </c>
      <c r="C7306" t="s">
        <v>32</v>
      </c>
      <c r="D7306" s="1">
        <v>45949</v>
      </c>
      <c r="E7306" t="s">
        <v>4127</v>
      </c>
      <c r="F7306" t="s">
        <v>4137</v>
      </c>
    </row>
    <row r="7307" spans="1:6">
      <c r="A7307" t="s">
        <v>11436</v>
      </c>
      <c r="B7307" t="s">
        <v>2636</v>
      </c>
      <c r="C7307" t="s">
        <v>32</v>
      </c>
      <c r="D7307" s="1">
        <v>45984</v>
      </c>
      <c r="E7307" t="s">
        <v>4127</v>
      </c>
      <c r="F7307" t="s">
        <v>4139</v>
      </c>
    </row>
    <row r="7308" spans="1:6">
      <c r="A7308" t="s">
        <v>11437</v>
      </c>
      <c r="B7308" t="s">
        <v>2637</v>
      </c>
      <c r="C7308" t="s">
        <v>70</v>
      </c>
      <c r="D7308" s="1">
        <v>45996</v>
      </c>
      <c r="E7308" t="s">
        <v>4135</v>
      </c>
      <c r="F7308" t="s">
        <v>4125</v>
      </c>
    </row>
    <row r="7309" spans="1:6">
      <c r="A7309" t="s">
        <v>11438</v>
      </c>
      <c r="B7309" t="s">
        <v>2637</v>
      </c>
      <c r="C7309" t="s">
        <v>70</v>
      </c>
      <c r="D7309" s="1">
        <v>45987</v>
      </c>
      <c r="E7309" t="s">
        <v>4127</v>
      </c>
      <c r="F7309" t="s">
        <v>4125</v>
      </c>
    </row>
    <row r="7310" spans="1:6">
      <c r="A7310" t="s">
        <v>11439</v>
      </c>
      <c r="B7310" t="s">
        <v>2638</v>
      </c>
      <c r="C7310" t="s">
        <v>27</v>
      </c>
      <c r="D7310" s="1">
        <v>45881</v>
      </c>
      <c r="E7310" t="s">
        <v>4133</v>
      </c>
      <c r="F7310" t="s">
        <v>4137</v>
      </c>
    </row>
    <row r="7311" spans="1:6">
      <c r="A7311" t="s">
        <v>11440</v>
      </c>
      <c r="B7311" t="s">
        <v>2638</v>
      </c>
      <c r="C7311" t="s">
        <v>27</v>
      </c>
      <c r="D7311" s="1">
        <v>45877</v>
      </c>
      <c r="E7311" t="s">
        <v>4127</v>
      </c>
      <c r="F7311" t="s">
        <v>4137</v>
      </c>
    </row>
    <row r="7312" spans="1:6">
      <c r="A7312" t="s">
        <v>11441</v>
      </c>
      <c r="B7312" t="s">
        <v>2638</v>
      </c>
      <c r="C7312" t="s">
        <v>27</v>
      </c>
      <c r="D7312" s="1">
        <v>45893</v>
      </c>
      <c r="E7312" t="s">
        <v>4127</v>
      </c>
      <c r="F7312" t="s">
        <v>4137</v>
      </c>
    </row>
    <row r="7313" spans="1:6">
      <c r="A7313" t="s">
        <v>11442</v>
      </c>
      <c r="B7313" t="s">
        <v>2639</v>
      </c>
      <c r="C7313" t="s">
        <v>70</v>
      </c>
      <c r="D7313" s="1">
        <v>45768</v>
      </c>
      <c r="E7313" t="s">
        <v>4129</v>
      </c>
      <c r="F7313" t="s">
        <v>4125</v>
      </c>
    </row>
    <row r="7314" spans="1:6">
      <c r="A7314" t="s">
        <v>11443</v>
      </c>
      <c r="B7314" t="s">
        <v>2639</v>
      </c>
      <c r="C7314" t="s">
        <v>70</v>
      </c>
      <c r="D7314" s="1">
        <v>45815</v>
      </c>
      <c r="E7314" t="s">
        <v>4133</v>
      </c>
      <c r="F7314" t="s">
        <v>4137</v>
      </c>
    </row>
    <row r="7315" spans="1:6">
      <c r="A7315" t="s">
        <v>11444</v>
      </c>
      <c r="B7315" t="s">
        <v>2640</v>
      </c>
      <c r="C7315" t="s">
        <v>75</v>
      </c>
      <c r="D7315" s="1">
        <v>45689</v>
      </c>
      <c r="E7315" t="s">
        <v>4135</v>
      </c>
      <c r="F7315" t="s">
        <v>4137</v>
      </c>
    </row>
    <row r="7316" spans="1:6">
      <c r="A7316" t="s">
        <v>11445</v>
      </c>
      <c r="B7316" t="s">
        <v>2640</v>
      </c>
      <c r="C7316" t="s">
        <v>75</v>
      </c>
      <c r="D7316" s="1">
        <v>45720</v>
      </c>
      <c r="E7316" t="s">
        <v>4124</v>
      </c>
      <c r="F7316" t="s">
        <v>4139</v>
      </c>
    </row>
    <row r="7317" spans="1:6">
      <c r="A7317" t="s">
        <v>11446</v>
      </c>
      <c r="B7317" t="s">
        <v>2641</v>
      </c>
      <c r="C7317" t="s">
        <v>16</v>
      </c>
      <c r="D7317" s="1">
        <v>45702</v>
      </c>
      <c r="E7317" t="s">
        <v>4133</v>
      </c>
      <c r="F7317" t="s">
        <v>4139</v>
      </c>
    </row>
    <row r="7318" spans="1:6">
      <c r="A7318" t="s">
        <v>11447</v>
      </c>
      <c r="B7318" t="s">
        <v>2641</v>
      </c>
      <c r="C7318" t="s">
        <v>16</v>
      </c>
      <c r="D7318" s="1">
        <v>45697</v>
      </c>
      <c r="E7318" t="s">
        <v>4127</v>
      </c>
      <c r="F7318" t="s">
        <v>4139</v>
      </c>
    </row>
    <row r="7319" spans="1:6">
      <c r="A7319" t="s">
        <v>11448</v>
      </c>
      <c r="B7319" t="s">
        <v>2641</v>
      </c>
      <c r="C7319" t="s">
        <v>16</v>
      </c>
      <c r="D7319" s="1">
        <v>45697</v>
      </c>
      <c r="E7319" t="s">
        <v>4124</v>
      </c>
      <c r="F7319" t="s">
        <v>4137</v>
      </c>
    </row>
    <row r="7320" spans="1:6">
      <c r="A7320" t="s">
        <v>11449</v>
      </c>
      <c r="B7320" t="s">
        <v>2641</v>
      </c>
      <c r="C7320" t="s">
        <v>16</v>
      </c>
      <c r="D7320" s="1">
        <v>45712</v>
      </c>
      <c r="E7320" t="s">
        <v>4135</v>
      </c>
      <c r="F7320" t="s">
        <v>4139</v>
      </c>
    </row>
    <row r="7321" spans="1:6">
      <c r="A7321" t="s">
        <v>11450</v>
      </c>
      <c r="B7321" t="s">
        <v>2642</v>
      </c>
      <c r="C7321" t="s">
        <v>63</v>
      </c>
      <c r="D7321" s="1">
        <v>45815</v>
      </c>
      <c r="E7321" t="s">
        <v>4129</v>
      </c>
      <c r="F7321" t="s">
        <v>4125</v>
      </c>
    </row>
    <row r="7322" spans="1:6">
      <c r="A7322" t="s">
        <v>11451</v>
      </c>
      <c r="B7322" t="s">
        <v>2642</v>
      </c>
      <c r="C7322" t="s">
        <v>63</v>
      </c>
      <c r="D7322" s="1">
        <v>45819</v>
      </c>
      <c r="E7322" t="s">
        <v>4135</v>
      </c>
      <c r="F7322" t="s">
        <v>4125</v>
      </c>
    </row>
    <row r="7323" spans="1:6">
      <c r="A7323" t="s">
        <v>11452</v>
      </c>
      <c r="B7323" t="s">
        <v>2642</v>
      </c>
      <c r="C7323" t="s">
        <v>63</v>
      </c>
      <c r="D7323" s="1">
        <v>45837</v>
      </c>
      <c r="E7323" t="s">
        <v>4127</v>
      </c>
      <c r="F7323" t="s">
        <v>4125</v>
      </c>
    </row>
    <row r="7324" spans="1:6">
      <c r="A7324" t="s">
        <v>11453</v>
      </c>
      <c r="B7324" t="s">
        <v>2642</v>
      </c>
      <c r="C7324" t="s">
        <v>63</v>
      </c>
      <c r="D7324" s="1">
        <v>45835</v>
      </c>
      <c r="E7324" t="s">
        <v>4133</v>
      </c>
      <c r="F7324" t="s">
        <v>4139</v>
      </c>
    </row>
    <row r="7325" spans="1:6">
      <c r="A7325" t="s">
        <v>11454</v>
      </c>
      <c r="B7325" t="s">
        <v>2643</v>
      </c>
      <c r="C7325" t="s">
        <v>119</v>
      </c>
      <c r="D7325" s="1">
        <v>45886</v>
      </c>
      <c r="E7325" t="s">
        <v>4133</v>
      </c>
      <c r="F7325" t="s">
        <v>4125</v>
      </c>
    </row>
    <row r="7326" spans="1:6">
      <c r="A7326" t="s">
        <v>11455</v>
      </c>
      <c r="B7326" t="s">
        <v>2643</v>
      </c>
      <c r="C7326" t="s">
        <v>119</v>
      </c>
      <c r="D7326" s="1">
        <v>45878</v>
      </c>
      <c r="E7326" t="s">
        <v>4133</v>
      </c>
      <c r="F7326" t="s">
        <v>4137</v>
      </c>
    </row>
    <row r="7327" spans="1:6">
      <c r="A7327" t="s">
        <v>11456</v>
      </c>
      <c r="B7327" t="s">
        <v>2643</v>
      </c>
      <c r="C7327" t="s">
        <v>119</v>
      </c>
      <c r="D7327" s="1">
        <v>45869</v>
      </c>
      <c r="E7327" t="s">
        <v>4127</v>
      </c>
      <c r="F7327" t="s">
        <v>4125</v>
      </c>
    </row>
    <row r="7328" spans="1:6">
      <c r="A7328" t="s">
        <v>11457</v>
      </c>
      <c r="B7328" t="s">
        <v>2644</v>
      </c>
      <c r="C7328" t="s">
        <v>70</v>
      </c>
      <c r="D7328" s="1">
        <v>45860</v>
      </c>
      <c r="E7328" t="s">
        <v>4135</v>
      </c>
      <c r="F7328" t="s">
        <v>4139</v>
      </c>
    </row>
    <row r="7329" spans="1:6">
      <c r="A7329" t="s">
        <v>11458</v>
      </c>
      <c r="B7329" t="s">
        <v>2644</v>
      </c>
      <c r="C7329" t="s">
        <v>70</v>
      </c>
      <c r="D7329" s="1">
        <v>45832</v>
      </c>
      <c r="E7329" t="s">
        <v>4129</v>
      </c>
      <c r="F7329" t="s">
        <v>4139</v>
      </c>
    </row>
    <row r="7330" spans="1:6">
      <c r="A7330" t="s">
        <v>11459</v>
      </c>
      <c r="B7330" t="s">
        <v>2644</v>
      </c>
      <c r="C7330" t="s">
        <v>70</v>
      </c>
      <c r="D7330" s="1">
        <v>45859</v>
      </c>
      <c r="E7330" t="s">
        <v>4127</v>
      </c>
      <c r="F7330" t="s">
        <v>4137</v>
      </c>
    </row>
    <row r="7331" spans="1:6">
      <c r="A7331" t="s">
        <v>11460</v>
      </c>
      <c r="B7331" t="s">
        <v>2644</v>
      </c>
      <c r="C7331" t="s">
        <v>70</v>
      </c>
      <c r="D7331" s="1">
        <v>45845</v>
      </c>
      <c r="E7331" t="s">
        <v>4124</v>
      </c>
      <c r="F7331" t="s">
        <v>4125</v>
      </c>
    </row>
    <row r="7332" spans="1:6">
      <c r="A7332" t="s">
        <v>11461</v>
      </c>
      <c r="B7332" t="s">
        <v>2644</v>
      </c>
      <c r="C7332" t="s">
        <v>70</v>
      </c>
      <c r="D7332" s="1">
        <v>45873</v>
      </c>
      <c r="E7332" t="s">
        <v>4135</v>
      </c>
      <c r="F7332" t="s">
        <v>4125</v>
      </c>
    </row>
    <row r="7333" spans="1:6">
      <c r="A7333" t="s">
        <v>11462</v>
      </c>
      <c r="B7333" t="s">
        <v>2645</v>
      </c>
      <c r="C7333" t="s">
        <v>70</v>
      </c>
      <c r="D7333" s="1">
        <v>45921</v>
      </c>
      <c r="E7333" t="s">
        <v>4124</v>
      </c>
      <c r="F7333" t="s">
        <v>4125</v>
      </c>
    </row>
    <row r="7334" spans="1:6">
      <c r="A7334" t="s">
        <v>11463</v>
      </c>
      <c r="B7334" t="s">
        <v>2645</v>
      </c>
      <c r="C7334" t="s">
        <v>70</v>
      </c>
      <c r="D7334" s="1">
        <v>45931</v>
      </c>
      <c r="E7334" t="s">
        <v>4127</v>
      </c>
      <c r="F7334" t="s">
        <v>4125</v>
      </c>
    </row>
    <row r="7335" spans="1:6">
      <c r="A7335" t="s">
        <v>11464</v>
      </c>
      <c r="B7335" t="s">
        <v>2645</v>
      </c>
      <c r="C7335" t="s">
        <v>70</v>
      </c>
      <c r="D7335" s="1">
        <v>45924</v>
      </c>
      <c r="E7335" t="s">
        <v>4127</v>
      </c>
      <c r="F7335" t="s">
        <v>4125</v>
      </c>
    </row>
    <row r="7336" spans="1:6">
      <c r="A7336" t="s">
        <v>11465</v>
      </c>
      <c r="B7336" t="s">
        <v>2645</v>
      </c>
      <c r="C7336" t="s">
        <v>70</v>
      </c>
      <c r="D7336" s="1">
        <v>45930</v>
      </c>
      <c r="E7336" t="s">
        <v>4135</v>
      </c>
      <c r="F7336" t="s">
        <v>4137</v>
      </c>
    </row>
    <row r="7337" spans="1:6">
      <c r="A7337" t="s">
        <v>11466</v>
      </c>
      <c r="B7337" t="s">
        <v>2646</v>
      </c>
      <c r="C7337" t="s">
        <v>50</v>
      </c>
      <c r="D7337" s="1">
        <v>45851</v>
      </c>
      <c r="E7337" t="s">
        <v>4127</v>
      </c>
      <c r="F7337" t="s">
        <v>4137</v>
      </c>
    </row>
    <row r="7338" spans="1:6">
      <c r="A7338" t="s">
        <v>11467</v>
      </c>
      <c r="B7338" t="s">
        <v>2646</v>
      </c>
      <c r="C7338" t="s">
        <v>50</v>
      </c>
      <c r="D7338" s="1">
        <v>45855</v>
      </c>
      <c r="E7338" t="s">
        <v>4133</v>
      </c>
      <c r="F7338" t="s">
        <v>4139</v>
      </c>
    </row>
    <row r="7339" spans="1:6">
      <c r="A7339" t="s">
        <v>11468</v>
      </c>
      <c r="B7339" t="s">
        <v>2646</v>
      </c>
      <c r="C7339" t="s">
        <v>50</v>
      </c>
      <c r="D7339" s="1">
        <v>45851</v>
      </c>
      <c r="E7339" t="s">
        <v>4129</v>
      </c>
      <c r="F7339" t="s">
        <v>4139</v>
      </c>
    </row>
    <row r="7340" spans="1:6">
      <c r="A7340" t="s">
        <v>11469</v>
      </c>
      <c r="B7340" t="s">
        <v>2646</v>
      </c>
      <c r="C7340" t="s">
        <v>50</v>
      </c>
      <c r="D7340" s="1">
        <v>45851</v>
      </c>
      <c r="E7340" t="s">
        <v>4135</v>
      </c>
      <c r="F7340" t="s">
        <v>4137</v>
      </c>
    </row>
    <row r="7341" spans="1:6">
      <c r="A7341" t="s">
        <v>11470</v>
      </c>
      <c r="B7341" t="s">
        <v>2646</v>
      </c>
      <c r="C7341" t="s">
        <v>50</v>
      </c>
      <c r="D7341" s="1">
        <v>45854</v>
      </c>
      <c r="E7341" t="s">
        <v>4129</v>
      </c>
      <c r="F7341" t="s">
        <v>4125</v>
      </c>
    </row>
    <row r="7342" spans="1:6">
      <c r="A7342" t="s">
        <v>11471</v>
      </c>
      <c r="B7342" t="s">
        <v>2647</v>
      </c>
      <c r="C7342" t="s">
        <v>126</v>
      </c>
      <c r="D7342" s="1">
        <v>45977</v>
      </c>
      <c r="E7342" t="s">
        <v>4133</v>
      </c>
      <c r="F7342" t="s">
        <v>4137</v>
      </c>
    </row>
    <row r="7343" spans="1:6">
      <c r="A7343" t="s">
        <v>11472</v>
      </c>
      <c r="B7343" t="s">
        <v>2647</v>
      </c>
      <c r="C7343" t="s">
        <v>126</v>
      </c>
      <c r="D7343" s="1">
        <v>45933</v>
      </c>
      <c r="E7343" t="s">
        <v>4135</v>
      </c>
      <c r="F7343" t="s">
        <v>4137</v>
      </c>
    </row>
    <row r="7344" spans="1:6">
      <c r="A7344" t="s">
        <v>11473</v>
      </c>
      <c r="B7344" t="s">
        <v>2647</v>
      </c>
      <c r="C7344" t="s">
        <v>126</v>
      </c>
      <c r="D7344" s="1">
        <v>46008</v>
      </c>
      <c r="E7344" t="s">
        <v>4127</v>
      </c>
      <c r="F7344" t="s">
        <v>4137</v>
      </c>
    </row>
    <row r="7345" spans="1:6">
      <c r="A7345" t="s">
        <v>11474</v>
      </c>
      <c r="B7345" t="s">
        <v>2648</v>
      </c>
      <c r="C7345" t="s">
        <v>152</v>
      </c>
      <c r="D7345" s="1">
        <v>45738</v>
      </c>
      <c r="E7345" t="s">
        <v>4133</v>
      </c>
      <c r="F7345" t="s">
        <v>4137</v>
      </c>
    </row>
    <row r="7346" spans="1:6">
      <c r="A7346" t="s">
        <v>11475</v>
      </c>
      <c r="B7346" t="s">
        <v>2648</v>
      </c>
      <c r="C7346" t="s">
        <v>152</v>
      </c>
      <c r="D7346" s="1">
        <v>45737</v>
      </c>
      <c r="E7346" t="s">
        <v>4124</v>
      </c>
      <c r="F7346" t="s">
        <v>4137</v>
      </c>
    </row>
    <row r="7347" spans="1:6">
      <c r="A7347" t="s">
        <v>11476</v>
      </c>
      <c r="B7347" t="s">
        <v>2649</v>
      </c>
      <c r="C7347" t="s">
        <v>22</v>
      </c>
      <c r="D7347" s="1">
        <v>45881</v>
      </c>
      <c r="E7347" t="s">
        <v>4124</v>
      </c>
      <c r="F7347" t="s">
        <v>4137</v>
      </c>
    </row>
    <row r="7348" spans="1:6">
      <c r="A7348" t="s">
        <v>11477</v>
      </c>
      <c r="B7348" t="s">
        <v>2649</v>
      </c>
      <c r="C7348" t="s">
        <v>22</v>
      </c>
      <c r="D7348" s="1">
        <v>45839</v>
      </c>
      <c r="E7348" t="s">
        <v>4129</v>
      </c>
      <c r="F7348" t="s">
        <v>4125</v>
      </c>
    </row>
    <row r="7349" spans="1:6">
      <c r="A7349" t="s">
        <v>11478</v>
      </c>
      <c r="B7349" t="s">
        <v>2649</v>
      </c>
      <c r="C7349" t="s">
        <v>22</v>
      </c>
      <c r="D7349" s="1">
        <v>45848</v>
      </c>
      <c r="E7349" t="s">
        <v>4129</v>
      </c>
      <c r="F7349" t="s">
        <v>4139</v>
      </c>
    </row>
    <row r="7350" spans="1:6">
      <c r="A7350" t="s">
        <v>11479</v>
      </c>
      <c r="B7350" t="s">
        <v>2650</v>
      </c>
      <c r="C7350" t="s">
        <v>56</v>
      </c>
      <c r="D7350" s="1">
        <v>45853</v>
      </c>
      <c r="E7350" t="s">
        <v>4135</v>
      </c>
      <c r="F7350" t="s">
        <v>4125</v>
      </c>
    </row>
    <row r="7351" spans="1:6">
      <c r="A7351" t="s">
        <v>11480</v>
      </c>
      <c r="B7351" t="s">
        <v>2650</v>
      </c>
      <c r="C7351" t="s">
        <v>56</v>
      </c>
      <c r="D7351" s="1">
        <v>45892</v>
      </c>
      <c r="E7351" t="s">
        <v>4129</v>
      </c>
      <c r="F7351" t="s">
        <v>4137</v>
      </c>
    </row>
    <row r="7352" spans="1:6">
      <c r="A7352" t="s">
        <v>11481</v>
      </c>
      <c r="B7352" t="s">
        <v>2650</v>
      </c>
      <c r="C7352" t="s">
        <v>56</v>
      </c>
      <c r="D7352" s="1">
        <v>45856</v>
      </c>
      <c r="E7352" t="s">
        <v>4127</v>
      </c>
      <c r="F7352" t="s">
        <v>4125</v>
      </c>
    </row>
    <row r="7353" spans="1:6">
      <c r="A7353" t="s">
        <v>11482</v>
      </c>
      <c r="B7353" t="s">
        <v>2650</v>
      </c>
      <c r="C7353" t="s">
        <v>56</v>
      </c>
      <c r="D7353" s="1">
        <v>45842</v>
      </c>
      <c r="E7353" t="s">
        <v>4133</v>
      </c>
      <c r="F7353" t="s">
        <v>4139</v>
      </c>
    </row>
    <row r="7354" spans="1:6">
      <c r="A7354" t="s">
        <v>11483</v>
      </c>
      <c r="B7354" t="s">
        <v>2651</v>
      </c>
      <c r="C7354" t="s">
        <v>50</v>
      </c>
      <c r="D7354" s="1">
        <v>45920</v>
      </c>
      <c r="E7354" t="s">
        <v>4124</v>
      </c>
      <c r="F7354" t="s">
        <v>4137</v>
      </c>
    </row>
    <row r="7355" spans="1:6">
      <c r="A7355" t="s">
        <v>11484</v>
      </c>
      <c r="B7355" t="s">
        <v>2651</v>
      </c>
      <c r="C7355" t="s">
        <v>50</v>
      </c>
      <c r="D7355" s="1">
        <v>45910</v>
      </c>
      <c r="E7355" t="s">
        <v>4127</v>
      </c>
      <c r="F7355" t="s">
        <v>4125</v>
      </c>
    </row>
    <row r="7356" spans="1:6">
      <c r="A7356" t="s">
        <v>11485</v>
      </c>
      <c r="B7356" t="s">
        <v>2651</v>
      </c>
      <c r="C7356" t="s">
        <v>50</v>
      </c>
      <c r="D7356" s="1">
        <v>45947</v>
      </c>
      <c r="E7356" t="s">
        <v>4133</v>
      </c>
      <c r="F7356" t="s">
        <v>4125</v>
      </c>
    </row>
    <row r="7357" spans="1:6">
      <c r="A7357" t="s">
        <v>11486</v>
      </c>
      <c r="B7357" t="s">
        <v>2651</v>
      </c>
      <c r="C7357" t="s">
        <v>50</v>
      </c>
      <c r="D7357" s="1">
        <v>45934</v>
      </c>
      <c r="E7357" t="s">
        <v>4124</v>
      </c>
      <c r="F7357" t="s">
        <v>4125</v>
      </c>
    </row>
    <row r="7358" spans="1:6">
      <c r="A7358" t="s">
        <v>11487</v>
      </c>
      <c r="B7358" t="s">
        <v>2651</v>
      </c>
      <c r="C7358" t="s">
        <v>50</v>
      </c>
      <c r="D7358" s="1">
        <v>45912</v>
      </c>
      <c r="E7358" t="s">
        <v>4129</v>
      </c>
      <c r="F7358" t="s">
        <v>4137</v>
      </c>
    </row>
    <row r="7359" spans="1:6">
      <c r="A7359" t="s">
        <v>11488</v>
      </c>
      <c r="B7359" t="s">
        <v>2652</v>
      </c>
      <c r="C7359" t="s">
        <v>16</v>
      </c>
      <c r="D7359" s="1">
        <v>45977</v>
      </c>
      <c r="E7359" t="s">
        <v>4127</v>
      </c>
      <c r="F7359" t="s">
        <v>4139</v>
      </c>
    </row>
    <row r="7360" spans="1:6">
      <c r="A7360" t="s">
        <v>11489</v>
      </c>
      <c r="B7360" t="s">
        <v>2652</v>
      </c>
      <c r="C7360" t="s">
        <v>16</v>
      </c>
      <c r="D7360" s="1">
        <v>45995</v>
      </c>
      <c r="E7360" t="s">
        <v>4124</v>
      </c>
      <c r="F7360" t="s">
        <v>4139</v>
      </c>
    </row>
    <row r="7361" spans="1:6">
      <c r="A7361" t="s">
        <v>11490</v>
      </c>
      <c r="B7361" t="s">
        <v>2653</v>
      </c>
      <c r="C7361" t="s">
        <v>56</v>
      </c>
      <c r="D7361" s="1">
        <v>45966</v>
      </c>
      <c r="E7361" t="s">
        <v>4124</v>
      </c>
      <c r="F7361" t="s">
        <v>4137</v>
      </c>
    </row>
    <row r="7362" spans="1:6">
      <c r="A7362" t="s">
        <v>11491</v>
      </c>
      <c r="B7362" t="s">
        <v>2653</v>
      </c>
      <c r="C7362" t="s">
        <v>56</v>
      </c>
      <c r="D7362" s="1">
        <v>45961</v>
      </c>
      <c r="E7362" t="s">
        <v>4129</v>
      </c>
      <c r="F7362" t="s">
        <v>4125</v>
      </c>
    </row>
    <row r="7363" spans="1:6">
      <c r="A7363" t="s">
        <v>11492</v>
      </c>
      <c r="B7363" t="s">
        <v>2654</v>
      </c>
      <c r="C7363" t="s">
        <v>27</v>
      </c>
      <c r="D7363" s="1">
        <v>45925</v>
      </c>
      <c r="E7363" t="s">
        <v>4133</v>
      </c>
      <c r="F7363" t="s">
        <v>4125</v>
      </c>
    </row>
    <row r="7364" spans="1:6">
      <c r="A7364" t="s">
        <v>11493</v>
      </c>
      <c r="B7364" t="s">
        <v>2654</v>
      </c>
      <c r="C7364" t="s">
        <v>27</v>
      </c>
      <c r="D7364" s="1">
        <v>45923</v>
      </c>
      <c r="E7364" t="s">
        <v>4124</v>
      </c>
      <c r="F7364" t="s">
        <v>4125</v>
      </c>
    </row>
    <row r="7365" spans="1:6">
      <c r="A7365" t="s">
        <v>11494</v>
      </c>
      <c r="B7365" t="s">
        <v>2654</v>
      </c>
      <c r="C7365" t="s">
        <v>27</v>
      </c>
      <c r="D7365" s="1">
        <v>45918</v>
      </c>
      <c r="E7365" t="s">
        <v>4133</v>
      </c>
      <c r="F7365" t="s">
        <v>4137</v>
      </c>
    </row>
    <row r="7366" spans="1:6">
      <c r="A7366" t="s">
        <v>11495</v>
      </c>
      <c r="B7366" t="s">
        <v>2654</v>
      </c>
      <c r="C7366" t="s">
        <v>27</v>
      </c>
      <c r="D7366" s="1">
        <v>45910</v>
      </c>
      <c r="E7366" t="s">
        <v>4129</v>
      </c>
      <c r="F7366" t="s">
        <v>4137</v>
      </c>
    </row>
    <row r="7367" spans="1:6">
      <c r="A7367" t="s">
        <v>11496</v>
      </c>
      <c r="B7367" t="s">
        <v>2654</v>
      </c>
      <c r="C7367" t="s">
        <v>27</v>
      </c>
      <c r="D7367" s="1">
        <v>45905</v>
      </c>
      <c r="E7367" t="s">
        <v>4135</v>
      </c>
      <c r="F7367" t="s">
        <v>4137</v>
      </c>
    </row>
    <row r="7368" spans="1:6">
      <c r="A7368" t="s">
        <v>11497</v>
      </c>
      <c r="B7368" t="s">
        <v>2655</v>
      </c>
      <c r="C7368" t="s">
        <v>53</v>
      </c>
      <c r="D7368" s="1">
        <v>45732</v>
      </c>
      <c r="E7368" t="s">
        <v>4135</v>
      </c>
      <c r="F7368" t="s">
        <v>4137</v>
      </c>
    </row>
    <row r="7369" spans="1:6">
      <c r="A7369" t="s">
        <v>11498</v>
      </c>
      <c r="B7369" t="s">
        <v>2655</v>
      </c>
      <c r="C7369" t="s">
        <v>53</v>
      </c>
      <c r="D7369" s="1">
        <v>45759</v>
      </c>
      <c r="E7369" t="s">
        <v>4124</v>
      </c>
      <c r="F7369" t="s">
        <v>4125</v>
      </c>
    </row>
    <row r="7370" spans="1:6">
      <c r="A7370" t="s">
        <v>11499</v>
      </c>
      <c r="B7370" t="s">
        <v>2655</v>
      </c>
      <c r="C7370" t="s">
        <v>53</v>
      </c>
      <c r="D7370" s="1">
        <v>45738</v>
      </c>
      <c r="E7370" t="s">
        <v>4129</v>
      </c>
      <c r="F7370" t="s">
        <v>4139</v>
      </c>
    </row>
    <row r="7371" spans="1:6">
      <c r="A7371" t="s">
        <v>11500</v>
      </c>
      <c r="B7371" t="s">
        <v>2655</v>
      </c>
      <c r="C7371" t="s">
        <v>53</v>
      </c>
      <c r="D7371" s="1">
        <v>45788</v>
      </c>
      <c r="E7371" t="s">
        <v>4135</v>
      </c>
      <c r="F7371" t="s">
        <v>4125</v>
      </c>
    </row>
    <row r="7372" spans="1:6">
      <c r="A7372" t="s">
        <v>11501</v>
      </c>
      <c r="B7372" t="s">
        <v>2655</v>
      </c>
      <c r="C7372" t="s">
        <v>53</v>
      </c>
      <c r="D7372" s="1">
        <v>45733</v>
      </c>
      <c r="E7372" t="s">
        <v>4135</v>
      </c>
      <c r="F7372" t="s">
        <v>4137</v>
      </c>
    </row>
    <row r="7373" spans="1:6">
      <c r="A7373" t="s">
        <v>11502</v>
      </c>
      <c r="B7373" t="s">
        <v>2657</v>
      </c>
      <c r="C7373" t="s">
        <v>63</v>
      </c>
      <c r="D7373" s="1">
        <v>46011</v>
      </c>
      <c r="E7373" t="s">
        <v>4133</v>
      </c>
      <c r="F7373" t="s">
        <v>4125</v>
      </c>
    </row>
    <row r="7374" spans="1:6">
      <c r="A7374" t="s">
        <v>11503</v>
      </c>
      <c r="B7374" t="s">
        <v>2657</v>
      </c>
      <c r="C7374" t="s">
        <v>63</v>
      </c>
      <c r="D7374" s="1">
        <v>46019</v>
      </c>
      <c r="E7374" t="s">
        <v>4127</v>
      </c>
      <c r="F7374" t="s">
        <v>4139</v>
      </c>
    </row>
    <row r="7375" spans="1:6">
      <c r="A7375" t="s">
        <v>11504</v>
      </c>
      <c r="B7375" t="s">
        <v>2658</v>
      </c>
      <c r="C7375" t="s">
        <v>40</v>
      </c>
      <c r="D7375" s="1">
        <v>46005</v>
      </c>
      <c r="E7375" t="s">
        <v>4127</v>
      </c>
      <c r="F7375" t="s">
        <v>4139</v>
      </c>
    </row>
    <row r="7376" spans="1:6">
      <c r="A7376" t="s">
        <v>11505</v>
      </c>
      <c r="B7376" t="s">
        <v>2658</v>
      </c>
      <c r="C7376" t="s">
        <v>40</v>
      </c>
      <c r="D7376" s="1">
        <v>46018</v>
      </c>
      <c r="E7376" t="s">
        <v>4124</v>
      </c>
      <c r="F7376" t="s">
        <v>4139</v>
      </c>
    </row>
    <row r="7377" spans="1:6">
      <c r="A7377" t="s">
        <v>11506</v>
      </c>
      <c r="B7377" t="s">
        <v>2658</v>
      </c>
      <c r="C7377" t="s">
        <v>40</v>
      </c>
      <c r="D7377" s="1">
        <v>46007</v>
      </c>
      <c r="E7377" t="s">
        <v>4129</v>
      </c>
      <c r="F7377" t="s">
        <v>4137</v>
      </c>
    </row>
    <row r="7378" spans="1:6">
      <c r="A7378" t="s">
        <v>11507</v>
      </c>
      <c r="B7378" t="s">
        <v>2659</v>
      </c>
      <c r="C7378" t="s">
        <v>22</v>
      </c>
      <c r="D7378" s="1">
        <v>45927</v>
      </c>
      <c r="E7378" t="s">
        <v>4133</v>
      </c>
      <c r="F7378" t="s">
        <v>4137</v>
      </c>
    </row>
    <row r="7379" spans="1:6">
      <c r="A7379" t="s">
        <v>11508</v>
      </c>
      <c r="B7379" t="s">
        <v>2659</v>
      </c>
      <c r="C7379" t="s">
        <v>22</v>
      </c>
      <c r="D7379" s="1">
        <v>45919</v>
      </c>
      <c r="E7379" t="s">
        <v>4133</v>
      </c>
      <c r="F7379" t="s">
        <v>4139</v>
      </c>
    </row>
    <row r="7380" spans="1:6">
      <c r="A7380" t="s">
        <v>11509</v>
      </c>
      <c r="B7380" t="s">
        <v>2659</v>
      </c>
      <c r="C7380" t="s">
        <v>22</v>
      </c>
      <c r="D7380" s="1">
        <v>45911</v>
      </c>
      <c r="E7380" t="s">
        <v>4127</v>
      </c>
      <c r="F7380" t="s">
        <v>4139</v>
      </c>
    </row>
    <row r="7381" spans="1:6">
      <c r="A7381" t="s">
        <v>11510</v>
      </c>
      <c r="B7381" t="s">
        <v>2659</v>
      </c>
      <c r="C7381" t="s">
        <v>22</v>
      </c>
      <c r="D7381" s="1">
        <v>45924</v>
      </c>
      <c r="E7381" t="s">
        <v>4127</v>
      </c>
      <c r="F7381" t="s">
        <v>4137</v>
      </c>
    </row>
    <row r="7382" spans="1:6">
      <c r="A7382" t="s">
        <v>11511</v>
      </c>
      <c r="B7382" t="s">
        <v>2660</v>
      </c>
      <c r="C7382" t="s">
        <v>78</v>
      </c>
      <c r="D7382" s="1">
        <v>45730</v>
      </c>
      <c r="E7382" t="s">
        <v>4129</v>
      </c>
      <c r="F7382" t="s">
        <v>4137</v>
      </c>
    </row>
    <row r="7383" spans="1:6">
      <c r="A7383" t="s">
        <v>11512</v>
      </c>
      <c r="B7383" t="s">
        <v>2660</v>
      </c>
      <c r="C7383" t="s">
        <v>78</v>
      </c>
      <c r="D7383" s="1">
        <v>45753</v>
      </c>
      <c r="E7383" t="s">
        <v>4135</v>
      </c>
      <c r="F7383" t="s">
        <v>4139</v>
      </c>
    </row>
    <row r="7384" spans="1:6">
      <c r="A7384" t="s">
        <v>11513</v>
      </c>
      <c r="B7384" t="s">
        <v>2660</v>
      </c>
      <c r="C7384" t="s">
        <v>78</v>
      </c>
      <c r="D7384" s="1">
        <v>45766</v>
      </c>
      <c r="E7384" t="s">
        <v>4129</v>
      </c>
      <c r="F7384" t="s">
        <v>4125</v>
      </c>
    </row>
    <row r="7385" spans="1:6">
      <c r="A7385" t="s">
        <v>11514</v>
      </c>
      <c r="B7385" t="s">
        <v>2660</v>
      </c>
      <c r="C7385" t="s">
        <v>78</v>
      </c>
      <c r="D7385" s="1">
        <v>45762</v>
      </c>
      <c r="E7385" t="s">
        <v>4127</v>
      </c>
      <c r="F7385" t="s">
        <v>4125</v>
      </c>
    </row>
    <row r="7386" spans="1:6">
      <c r="A7386" t="s">
        <v>11515</v>
      </c>
      <c r="B7386" t="s">
        <v>2660</v>
      </c>
      <c r="C7386" t="s">
        <v>78</v>
      </c>
      <c r="D7386" s="1">
        <v>45770</v>
      </c>
      <c r="E7386" t="s">
        <v>4127</v>
      </c>
      <c r="F7386" t="s">
        <v>4139</v>
      </c>
    </row>
    <row r="7387" spans="1:6">
      <c r="A7387" t="s">
        <v>11516</v>
      </c>
      <c r="B7387" t="s">
        <v>2661</v>
      </c>
      <c r="C7387" t="s">
        <v>16</v>
      </c>
      <c r="D7387" s="1">
        <v>45804</v>
      </c>
      <c r="E7387" t="s">
        <v>4129</v>
      </c>
      <c r="F7387" t="s">
        <v>4137</v>
      </c>
    </row>
    <row r="7388" spans="1:6">
      <c r="A7388" t="s">
        <v>11517</v>
      </c>
      <c r="B7388" t="s">
        <v>2661</v>
      </c>
      <c r="C7388" t="s">
        <v>16</v>
      </c>
      <c r="D7388" s="1">
        <v>45814</v>
      </c>
      <c r="E7388" t="s">
        <v>4124</v>
      </c>
      <c r="F7388" t="s">
        <v>4137</v>
      </c>
    </row>
    <row r="7389" spans="1:6">
      <c r="A7389" t="s">
        <v>11518</v>
      </c>
      <c r="B7389" t="s">
        <v>2661</v>
      </c>
      <c r="C7389" t="s">
        <v>16</v>
      </c>
      <c r="D7389" s="1">
        <v>45831</v>
      </c>
      <c r="E7389" t="s">
        <v>4127</v>
      </c>
      <c r="F7389" t="s">
        <v>4137</v>
      </c>
    </row>
    <row r="7390" spans="1:6">
      <c r="A7390" t="s">
        <v>11519</v>
      </c>
      <c r="B7390" t="s">
        <v>2661</v>
      </c>
      <c r="C7390" t="s">
        <v>16</v>
      </c>
      <c r="D7390" s="1">
        <v>45836</v>
      </c>
      <c r="E7390" t="s">
        <v>4129</v>
      </c>
      <c r="F7390" t="s">
        <v>4137</v>
      </c>
    </row>
    <row r="7391" spans="1:6">
      <c r="A7391" t="s">
        <v>11520</v>
      </c>
      <c r="B7391" t="s">
        <v>2662</v>
      </c>
      <c r="C7391" t="s">
        <v>168</v>
      </c>
      <c r="D7391" s="1">
        <v>46010</v>
      </c>
      <c r="E7391" t="s">
        <v>4129</v>
      </c>
      <c r="F7391" t="s">
        <v>4139</v>
      </c>
    </row>
    <row r="7392" spans="1:6">
      <c r="A7392" t="s">
        <v>11521</v>
      </c>
      <c r="B7392" t="s">
        <v>2662</v>
      </c>
      <c r="C7392" t="s">
        <v>168</v>
      </c>
      <c r="D7392" s="1">
        <v>46012</v>
      </c>
      <c r="E7392" t="s">
        <v>4124</v>
      </c>
      <c r="F7392" t="s">
        <v>4137</v>
      </c>
    </row>
    <row r="7393" spans="1:6">
      <c r="A7393" t="s">
        <v>11522</v>
      </c>
      <c r="B7393" t="s">
        <v>2662</v>
      </c>
      <c r="C7393" t="s">
        <v>168</v>
      </c>
      <c r="D7393" s="1">
        <v>46002</v>
      </c>
      <c r="E7393" t="s">
        <v>4129</v>
      </c>
      <c r="F7393" t="s">
        <v>4137</v>
      </c>
    </row>
    <row r="7394" spans="1:6">
      <c r="A7394" t="s">
        <v>11523</v>
      </c>
      <c r="B7394" t="s">
        <v>2663</v>
      </c>
      <c r="C7394" t="s">
        <v>32</v>
      </c>
      <c r="D7394" s="1">
        <v>45667</v>
      </c>
      <c r="E7394" t="s">
        <v>4133</v>
      </c>
      <c r="F7394" t="s">
        <v>4139</v>
      </c>
    </row>
    <row r="7395" spans="1:6">
      <c r="A7395" t="s">
        <v>11524</v>
      </c>
      <c r="B7395" t="s">
        <v>2663</v>
      </c>
      <c r="C7395" t="s">
        <v>32</v>
      </c>
      <c r="D7395" s="1">
        <v>45670</v>
      </c>
      <c r="E7395" t="s">
        <v>4124</v>
      </c>
      <c r="F7395" t="s">
        <v>4139</v>
      </c>
    </row>
    <row r="7396" spans="1:6">
      <c r="A7396" t="s">
        <v>11525</v>
      </c>
      <c r="B7396" t="s">
        <v>2664</v>
      </c>
      <c r="C7396" t="s">
        <v>70</v>
      </c>
      <c r="D7396" s="1">
        <v>45769</v>
      </c>
      <c r="E7396" t="s">
        <v>4124</v>
      </c>
      <c r="F7396" t="s">
        <v>4139</v>
      </c>
    </row>
    <row r="7397" spans="1:6">
      <c r="A7397" t="s">
        <v>11526</v>
      </c>
      <c r="B7397" t="s">
        <v>2664</v>
      </c>
      <c r="C7397" t="s">
        <v>70</v>
      </c>
      <c r="D7397" s="1">
        <v>45788</v>
      </c>
      <c r="E7397" t="s">
        <v>4133</v>
      </c>
      <c r="F7397" t="s">
        <v>4139</v>
      </c>
    </row>
    <row r="7398" spans="1:6">
      <c r="A7398" t="s">
        <v>11527</v>
      </c>
      <c r="B7398" t="s">
        <v>2664</v>
      </c>
      <c r="C7398" t="s">
        <v>70</v>
      </c>
      <c r="D7398" s="1">
        <v>45816</v>
      </c>
      <c r="E7398" t="s">
        <v>4124</v>
      </c>
      <c r="F7398" t="s">
        <v>4125</v>
      </c>
    </row>
    <row r="7399" spans="1:6">
      <c r="A7399" t="s">
        <v>11528</v>
      </c>
      <c r="B7399" t="s">
        <v>2664</v>
      </c>
      <c r="C7399" t="s">
        <v>70</v>
      </c>
      <c r="D7399" s="1">
        <v>45805</v>
      </c>
      <c r="E7399" t="s">
        <v>4124</v>
      </c>
      <c r="F7399" t="s">
        <v>4139</v>
      </c>
    </row>
    <row r="7400" spans="1:6">
      <c r="A7400" t="s">
        <v>11529</v>
      </c>
      <c r="B7400" t="s">
        <v>2665</v>
      </c>
      <c r="C7400" t="s">
        <v>168</v>
      </c>
      <c r="D7400" s="1">
        <v>45868</v>
      </c>
      <c r="E7400" t="s">
        <v>4127</v>
      </c>
      <c r="F7400" t="s">
        <v>4139</v>
      </c>
    </row>
    <row r="7401" spans="1:6">
      <c r="A7401" t="s">
        <v>11530</v>
      </c>
      <c r="B7401" t="s">
        <v>2665</v>
      </c>
      <c r="C7401" t="s">
        <v>168</v>
      </c>
      <c r="D7401" s="1">
        <v>45856</v>
      </c>
      <c r="E7401" t="s">
        <v>4129</v>
      </c>
      <c r="F7401" t="s">
        <v>4125</v>
      </c>
    </row>
    <row r="7402" spans="1:6">
      <c r="A7402" t="s">
        <v>11531</v>
      </c>
      <c r="B7402" t="s">
        <v>2666</v>
      </c>
      <c r="C7402" t="s">
        <v>59</v>
      </c>
      <c r="D7402" s="1">
        <v>45901</v>
      </c>
      <c r="E7402" t="s">
        <v>4133</v>
      </c>
      <c r="F7402" t="s">
        <v>4137</v>
      </c>
    </row>
    <row r="7403" spans="1:6">
      <c r="A7403" t="s">
        <v>11532</v>
      </c>
      <c r="B7403" t="s">
        <v>2666</v>
      </c>
      <c r="C7403" t="s">
        <v>59</v>
      </c>
      <c r="D7403" s="1">
        <v>45914</v>
      </c>
      <c r="E7403" t="s">
        <v>4135</v>
      </c>
      <c r="F7403" t="s">
        <v>4125</v>
      </c>
    </row>
    <row r="7404" spans="1:6">
      <c r="A7404" t="s">
        <v>11533</v>
      </c>
      <c r="B7404" t="s">
        <v>2666</v>
      </c>
      <c r="C7404" t="s">
        <v>59</v>
      </c>
      <c r="D7404" s="1">
        <v>45896</v>
      </c>
      <c r="E7404" t="s">
        <v>4127</v>
      </c>
      <c r="F7404" t="s">
        <v>4125</v>
      </c>
    </row>
    <row r="7405" spans="1:6">
      <c r="A7405" t="s">
        <v>11534</v>
      </c>
      <c r="B7405" t="s">
        <v>2666</v>
      </c>
      <c r="C7405" t="s">
        <v>59</v>
      </c>
      <c r="D7405" s="1">
        <v>45903</v>
      </c>
      <c r="E7405" t="s">
        <v>4124</v>
      </c>
      <c r="F7405" t="s">
        <v>4137</v>
      </c>
    </row>
    <row r="7406" spans="1:6">
      <c r="A7406" t="s">
        <v>11535</v>
      </c>
      <c r="B7406" t="s">
        <v>2667</v>
      </c>
      <c r="C7406" t="s">
        <v>126</v>
      </c>
      <c r="D7406" s="1">
        <v>45856</v>
      </c>
      <c r="E7406" t="s">
        <v>4129</v>
      </c>
      <c r="F7406" t="s">
        <v>4139</v>
      </c>
    </row>
    <row r="7407" spans="1:6">
      <c r="A7407" t="s">
        <v>11536</v>
      </c>
      <c r="B7407" t="s">
        <v>2667</v>
      </c>
      <c r="C7407" t="s">
        <v>126</v>
      </c>
      <c r="D7407" s="1">
        <v>45854</v>
      </c>
      <c r="E7407" t="s">
        <v>4133</v>
      </c>
      <c r="F7407" t="s">
        <v>4137</v>
      </c>
    </row>
    <row r="7408" spans="1:6">
      <c r="A7408" t="s">
        <v>11537</v>
      </c>
      <c r="B7408" t="s">
        <v>2667</v>
      </c>
      <c r="C7408" t="s">
        <v>126</v>
      </c>
      <c r="D7408" s="1">
        <v>45851</v>
      </c>
      <c r="E7408" t="s">
        <v>4133</v>
      </c>
      <c r="F7408" t="s">
        <v>4125</v>
      </c>
    </row>
    <row r="7409" spans="1:6">
      <c r="A7409" t="s">
        <v>11538</v>
      </c>
      <c r="B7409" t="s">
        <v>2668</v>
      </c>
      <c r="C7409" t="s">
        <v>22</v>
      </c>
      <c r="D7409" s="1">
        <v>45693</v>
      </c>
      <c r="E7409" t="s">
        <v>4135</v>
      </c>
      <c r="F7409" t="s">
        <v>4125</v>
      </c>
    </row>
    <row r="7410" spans="1:6">
      <c r="A7410" t="s">
        <v>11539</v>
      </c>
      <c r="B7410" t="s">
        <v>2668</v>
      </c>
      <c r="C7410" t="s">
        <v>22</v>
      </c>
      <c r="D7410" s="1">
        <v>45691</v>
      </c>
      <c r="E7410" t="s">
        <v>4124</v>
      </c>
      <c r="F7410" t="s">
        <v>4137</v>
      </c>
    </row>
    <row r="7411" spans="1:6">
      <c r="A7411" t="s">
        <v>11540</v>
      </c>
      <c r="B7411" t="s">
        <v>2669</v>
      </c>
      <c r="C7411" t="s">
        <v>59</v>
      </c>
      <c r="D7411" s="1">
        <v>45825</v>
      </c>
      <c r="E7411" t="s">
        <v>4133</v>
      </c>
      <c r="F7411" t="s">
        <v>4125</v>
      </c>
    </row>
    <row r="7412" spans="1:6">
      <c r="A7412" t="s">
        <v>11541</v>
      </c>
      <c r="B7412" t="s">
        <v>2669</v>
      </c>
      <c r="C7412" t="s">
        <v>59</v>
      </c>
      <c r="D7412" s="1">
        <v>45829</v>
      </c>
      <c r="E7412" t="s">
        <v>4129</v>
      </c>
      <c r="F7412" t="s">
        <v>4137</v>
      </c>
    </row>
    <row r="7413" spans="1:6">
      <c r="A7413" t="s">
        <v>11542</v>
      </c>
      <c r="B7413" t="s">
        <v>2669</v>
      </c>
      <c r="C7413" t="s">
        <v>59</v>
      </c>
      <c r="D7413" s="1">
        <v>45826</v>
      </c>
      <c r="E7413" t="s">
        <v>4127</v>
      </c>
      <c r="F7413" t="s">
        <v>4139</v>
      </c>
    </row>
    <row r="7414" spans="1:6">
      <c r="A7414" t="s">
        <v>11543</v>
      </c>
      <c r="B7414" t="s">
        <v>2669</v>
      </c>
      <c r="C7414" t="s">
        <v>59</v>
      </c>
      <c r="D7414" s="1">
        <v>45825</v>
      </c>
      <c r="E7414" t="s">
        <v>4129</v>
      </c>
      <c r="F7414" t="s">
        <v>4125</v>
      </c>
    </row>
    <row r="7415" spans="1:6">
      <c r="A7415" t="s">
        <v>11544</v>
      </c>
      <c r="B7415" t="s">
        <v>2670</v>
      </c>
      <c r="C7415" t="s">
        <v>32</v>
      </c>
      <c r="D7415" s="1">
        <v>45960</v>
      </c>
      <c r="E7415" t="s">
        <v>4124</v>
      </c>
      <c r="F7415" t="s">
        <v>4139</v>
      </c>
    </row>
    <row r="7416" spans="1:6">
      <c r="A7416" t="s">
        <v>11545</v>
      </c>
      <c r="B7416" t="s">
        <v>2670</v>
      </c>
      <c r="C7416" t="s">
        <v>32</v>
      </c>
      <c r="D7416" s="1">
        <v>45950</v>
      </c>
      <c r="E7416" t="s">
        <v>4133</v>
      </c>
      <c r="F7416" t="s">
        <v>4139</v>
      </c>
    </row>
    <row r="7417" spans="1:6">
      <c r="A7417" t="s">
        <v>11546</v>
      </c>
      <c r="B7417" t="s">
        <v>2671</v>
      </c>
      <c r="C7417" t="s">
        <v>63</v>
      </c>
      <c r="D7417" s="1">
        <v>46005</v>
      </c>
      <c r="E7417" t="s">
        <v>4133</v>
      </c>
      <c r="F7417" t="s">
        <v>4137</v>
      </c>
    </row>
    <row r="7418" spans="1:6">
      <c r="A7418" t="s">
        <v>11547</v>
      </c>
      <c r="B7418" t="s">
        <v>2671</v>
      </c>
      <c r="C7418" t="s">
        <v>63</v>
      </c>
      <c r="D7418" s="1">
        <v>45995</v>
      </c>
      <c r="E7418" t="s">
        <v>4133</v>
      </c>
      <c r="F7418" t="s">
        <v>4137</v>
      </c>
    </row>
    <row r="7419" spans="1:6">
      <c r="A7419" t="s">
        <v>11548</v>
      </c>
      <c r="B7419" t="s">
        <v>2671</v>
      </c>
      <c r="C7419" t="s">
        <v>63</v>
      </c>
      <c r="D7419" s="1">
        <v>45992</v>
      </c>
      <c r="E7419" t="s">
        <v>4127</v>
      </c>
      <c r="F7419" t="s">
        <v>4125</v>
      </c>
    </row>
    <row r="7420" spans="1:6">
      <c r="A7420" t="s">
        <v>11549</v>
      </c>
      <c r="B7420" t="s">
        <v>2672</v>
      </c>
      <c r="C7420" t="s">
        <v>27</v>
      </c>
      <c r="D7420" s="1">
        <v>45861</v>
      </c>
      <c r="E7420" t="s">
        <v>4124</v>
      </c>
      <c r="F7420" t="s">
        <v>4137</v>
      </c>
    </row>
    <row r="7421" spans="1:6">
      <c r="A7421" t="s">
        <v>11550</v>
      </c>
      <c r="B7421" t="s">
        <v>2672</v>
      </c>
      <c r="C7421" t="s">
        <v>27</v>
      </c>
      <c r="D7421" s="1">
        <v>45853</v>
      </c>
      <c r="E7421" t="s">
        <v>4133</v>
      </c>
      <c r="F7421" t="s">
        <v>4139</v>
      </c>
    </row>
    <row r="7422" spans="1:6">
      <c r="A7422" t="s">
        <v>11551</v>
      </c>
      <c r="B7422" t="s">
        <v>2672</v>
      </c>
      <c r="C7422" t="s">
        <v>27</v>
      </c>
      <c r="D7422" s="1">
        <v>45868</v>
      </c>
      <c r="E7422" t="s">
        <v>4135</v>
      </c>
      <c r="F7422" t="s">
        <v>4137</v>
      </c>
    </row>
    <row r="7423" spans="1:6">
      <c r="A7423" t="s">
        <v>11552</v>
      </c>
      <c r="B7423" t="s">
        <v>2672</v>
      </c>
      <c r="C7423" t="s">
        <v>27</v>
      </c>
      <c r="D7423" s="1">
        <v>45865</v>
      </c>
      <c r="E7423" t="s">
        <v>4129</v>
      </c>
      <c r="F7423" t="s">
        <v>4125</v>
      </c>
    </row>
    <row r="7424" spans="1:6">
      <c r="A7424" t="s">
        <v>11553</v>
      </c>
      <c r="B7424" t="s">
        <v>2672</v>
      </c>
      <c r="C7424" t="s">
        <v>27</v>
      </c>
      <c r="D7424" s="1">
        <v>45870</v>
      </c>
      <c r="E7424" t="s">
        <v>4129</v>
      </c>
      <c r="F7424" t="s">
        <v>4125</v>
      </c>
    </row>
    <row r="7425" spans="1:6">
      <c r="A7425" t="s">
        <v>11554</v>
      </c>
      <c r="B7425" t="s">
        <v>2673</v>
      </c>
      <c r="C7425" t="s">
        <v>126</v>
      </c>
      <c r="D7425" s="1">
        <v>45823</v>
      </c>
      <c r="E7425" t="s">
        <v>4133</v>
      </c>
      <c r="F7425" t="s">
        <v>4137</v>
      </c>
    </row>
    <row r="7426" spans="1:6">
      <c r="A7426" t="s">
        <v>11555</v>
      </c>
      <c r="B7426" t="s">
        <v>2673</v>
      </c>
      <c r="C7426" t="s">
        <v>126</v>
      </c>
      <c r="D7426" s="1">
        <v>45902</v>
      </c>
      <c r="E7426" t="s">
        <v>4135</v>
      </c>
      <c r="F7426" t="s">
        <v>4137</v>
      </c>
    </row>
    <row r="7427" spans="1:6">
      <c r="A7427" t="s">
        <v>11556</v>
      </c>
      <c r="B7427" t="s">
        <v>2673</v>
      </c>
      <c r="C7427" t="s">
        <v>126</v>
      </c>
      <c r="D7427" s="1">
        <v>45864</v>
      </c>
      <c r="E7427" t="s">
        <v>4133</v>
      </c>
      <c r="F7427" t="s">
        <v>4137</v>
      </c>
    </row>
    <row r="7428" spans="1:6">
      <c r="A7428" t="s">
        <v>11557</v>
      </c>
      <c r="B7428" t="s">
        <v>2673</v>
      </c>
      <c r="C7428" t="s">
        <v>126</v>
      </c>
      <c r="D7428" s="1">
        <v>45831</v>
      </c>
      <c r="E7428" t="s">
        <v>4124</v>
      </c>
      <c r="F7428" t="s">
        <v>4125</v>
      </c>
    </row>
    <row r="7429" spans="1:6">
      <c r="A7429" t="s">
        <v>11558</v>
      </c>
      <c r="B7429" t="s">
        <v>2673</v>
      </c>
      <c r="C7429" t="s">
        <v>126</v>
      </c>
      <c r="D7429" s="1">
        <v>45877</v>
      </c>
      <c r="E7429" t="s">
        <v>4127</v>
      </c>
      <c r="F7429" t="s">
        <v>4139</v>
      </c>
    </row>
    <row r="7430" spans="1:6">
      <c r="A7430" t="s">
        <v>11559</v>
      </c>
      <c r="B7430" t="s">
        <v>2674</v>
      </c>
      <c r="C7430" t="s">
        <v>168</v>
      </c>
      <c r="D7430" s="1">
        <v>45912</v>
      </c>
      <c r="E7430" t="s">
        <v>4124</v>
      </c>
      <c r="F7430" t="s">
        <v>4139</v>
      </c>
    </row>
    <row r="7431" spans="1:6">
      <c r="A7431" t="s">
        <v>11560</v>
      </c>
      <c r="B7431" t="s">
        <v>2674</v>
      </c>
      <c r="C7431" t="s">
        <v>168</v>
      </c>
      <c r="D7431" s="1">
        <v>45918</v>
      </c>
      <c r="E7431" t="s">
        <v>4127</v>
      </c>
      <c r="F7431" t="s">
        <v>4137</v>
      </c>
    </row>
    <row r="7432" spans="1:6">
      <c r="A7432" t="s">
        <v>11561</v>
      </c>
      <c r="B7432" t="s">
        <v>2675</v>
      </c>
      <c r="C7432" t="s">
        <v>27</v>
      </c>
      <c r="D7432" s="1">
        <v>46008</v>
      </c>
      <c r="E7432" t="s">
        <v>4124</v>
      </c>
      <c r="F7432" t="s">
        <v>4139</v>
      </c>
    </row>
    <row r="7433" spans="1:6">
      <c r="A7433" t="s">
        <v>11562</v>
      </c>
      <c r="B7433" t="s">
        <v>2675</v>
      </c>
      <c r="C7433" t="s">
        <v>27</v>
      </c>
      <c r="D7433" s="1">
        <v>46012</v>
      </c>
      <c r="E7433" t="s">
        <v>4127</v>
      </c>
      <c r="F7433" t="s">
        <v>4125</v>
      </c>
    </row>
    <row r="7434" spans="1:6">
      <c r="A7434" t="s">
        <v>11563</v>
      </c>
      <c r="B7434" t="s">
        <v>2675</v>
      </c>
      <c r="C7434" t="s">
        <v>27</v>
      </c>
      <c r="D7434" s="1">
        <v>46012</v>
      </c>
      <c r="E7434" t="s">
        <v>4133</v>
      </c>
      <c r="F7434" t="s">
        <v>4137</v>
      </c>
    </row>
    <row r="7435" spans="1:6">
      <c r="A7435" t="s">
        <v>11564</v>
      </c>
      <c r="B7435" t="s">
        <v>2676</v>
      </c>
      <c r="C7435" t="s">
        <v>22</v>
      </c>
      <c r="D7435" s="1">
        <v>45852</v>
      </c>
      <c r="E7435" t="s">
        <v>4129</v>
      </c>
      <c r="F7435" t="s">
        <v>4139</v>
      </c>
    </row>
    <row r="7436" spans="1:6">
      <c r="A7436" t="s">
        <v>11565</v>
      </c>
      <c r="B7436" t="s">
        <v>2676</v>
      </c>
      <c r="C7436" t="s">
        <v>22</v>
      </c>
      <c r="D7436" s="1">
        <v>45829</v>
      </c>
      <c r="E7436" t="s">
        <v>4133</v>
      </c>
      <c r="F7436" t="s">
        <v>4137</v>
      </c>
    </row>
    <row r="7437" spans="1:6">
      <c r="A7437" t="s">
        <v>11566</v>
      </c>
      <c r="B7437" t="s">
        <v>2677</v>
      </c>
      <c r="C7437" t="s">
        <v>27</v>
      </c>
      <c r="D7437" s="1">
        <v>45774</v>
      </c>
      <c r="E7437" t="s">
        <v>4124</v>
      </c>
      <c r="F7437" t="s">
        <v>4137</v>
      </c>
    </row>
    <row r="7438" spans="1:6">
      <c r="A7438" t="s">
        <v>11567</v>
      </c>
      <c r="B7438" t="s">
        <v>2677</v>
      </c>
      <c r="C7438" t="s">
        <v>27</v>
      </c>
      <c r="D7438" s="1">
        <v>45758</v>
      </c>
      <c r="E7438" t="s">
        <v>4135</v>
      </c>
      <c r="F7438" t="s">
        <v>4137</v>
      </c>
    </row>
    <row r="7439" spans="1:6">
      <c r="A7439" t="s">
        <v>11568</v>
      </c>
      <c r="B7439" t="s">
        <v>2677</v>
      </c>
      <c r="C7439" t="s">
        <v>27</v>
      </c>
      <c r="D7439" s="1">
        <v>45757</v>
      </c>
      <c r="E7439" t="s">
        <v>4124</v>
      </c>
      <c r="F7439" t="s">
        <v>4125</v>
      </c>
    </row>
    <row r="7440" spans="1:6">
      <c r="A7440" t="s">
        <v>11569</v>
      </c>
      <c r="B7440" t="s">
        <v>2677</v>
      </c>
      <c r="C7440" t="s">
        <v>27</v>
      </c>
      <c r="D7440" s="1">
        <v>45774</v>
      </c>
      <c r="E7440" t="s">
        <v>4133</v>
      </c>
      <c r="F7440" t="s">
        <v>4125</v>
      </c>
    </row>
    <row r="7441" spans="1:6">
      <c r="A7441" t="s">
        <v>11570</v>
      </c>
      <c r="B7441" t="s">
        <v>2678</v>
      </c>
      <c r="C7441" t="s">
        <v>70</v>
      </c>
      <c r="D7441" s="1">
        <v>45892</v>
      </c>
      <c r="E7441" t="s">
        <v>4133</v>
      </c>
      <c r="F7441" t="s">
        <v>4137</v>
      </c>
    </row>
    <row r="7442" spans="1:6">
      <c r="A7442" t="s">
        <v>11571</v>
      </c>
      <c r="B7442" t="s">
        <v>2678</v>
      </c>
      <c r="C7442" t="s">
        <v>70</v>
      </c>
      <c r="D7442" s="1">
        <v>45825</v>
      </c>
      <c r="E7442" t="s">
        <v>4135</v>
      </c>
      <c r="F7442" t="s">
        <v>4139</v>
      </c>
    </row>
    <row r="7443" spans="1:6">
      <c r="A7443" t="s">
        <v>11572</v>
      </c>
      <c r="B7443" t="s">
        <v>2679</v>
      </c>
      <c r="C7443" t="s">
        <v>53</v>
      </c>
      <c r="D7443" s="1">
        <v>45860</v>
      </c>
      <c r="E7443" t="s">
        <v>4127</v>
      </c>
      <c r="F7443" t="s">
        <v>4125</v>
      </c>
    </row>
    <row r="7444" spans="1:6">
      <c r="A7444" t="s">
        <v>11573</v>
      </c>
      <c r="B7444" t="s">
        <v>2679</v>
      </c>
      <c r="C7444" t="s">
        <v>53</v>
      </c>
      <c r="D7444" s="1">
        <v>45898</v>
      </c>
      <c r="E7444" t="s">
        <v>4124</v>
      </c>
      <c r="F7444" t="s">
        <v>4125</v>
      </c>
    </row>
    <row r="7445" spans="1:6">
      <c r="A7445" t="s">
        <v>11574</v>
      </c>
      <c r="B7445" t="s">
        <v>2679</v>
      </c>
      <c r="C7445" t="s">
        <v>53</v>
      </c>
      <c r="D7445" s="1">
        <v>45907</v>
      </c>
      <c r="E7445" t="s">
        <v>4133</v>
      </c>
      <c r="F7445" t="s">
        <v>4125</v>
      </c>
    </row>
    <row r="7446" spans="1:6">
      <c r="A7446" t="s">
        <v>11575</v>
      </c>
      <c r="B7446" t="s">
        <v>2679</v>
      </c>
      <c r="C7446" t="s">
        <v>53</v>
      </c>
      <c r="D7446" s="1">
        <v>45855</v>
      </c>
      <c r="E7446" t="s">
        <v>4133</v>
      </c>
      <c r="F7446" t="s">
        <v>4139</v>
      </c>
    </row>
    <row r="7447" spans="1:6">
      <c r="A7447" t="s">
        <v>11576</v>
      </c>
      <c r="B7447" t="s">
        <v>2679</v>
      </c>
      <c r="C7447" t="s">
        <v>53</v>
      </c>
      <c r="D7447" s="1">
        <v>45840</v>
      </c>
      <c r="E7447" t="s">
        <v>4133</v>
      </c>
      <c r="F7447" t="s">
        <v>4137</v>
      </c>
    </row>
    <row r="7448" spans="1:6">
      <c r="A7448" t="s">
        <v>11577</v>
      </c>
      <c r="B7448" t="s">
        <v>2680</v>
      </c>
      <c r="C7448" t="s">
        <v>63</v>
      </c>
      <c r="D7448" s="1">
        <v>45826</v>
      </c>
      <c r="E7448" t="s">
        <v>4127</v>
      </c>
      <c r="F7448" t="s">
        <v>4139</v>
      </c>
    </row>
    <row r="7449" spans="1:6">
      <c r="A7449" t="s">
        <v>11578</v>
      </c>
      <c r="B7449" t="s">
        <v>2680</v>
      </c>
      <c r="C7449" t="s">
        <v>63</v>
      </c>
      <c r="D7449" s="1">
        <v>45829</v>
      </c>
      <c r="E7449" t="s">
        <v>4133</v>
      </c>
      <c r="F7449" t="s">
        <v>4139</v>
      </c>
    </row>
    <row r="7450" spans="1:6">
      <c r="A7450" t="s">
        <v>11579</v>
      </c>
      <c r="B7450" t="s">
        <v>2680</v>
      </c>
      <c r="C7450" t="s">
        <v>63</v>
      </c>
      <c r="D7450" s="1">
        <v>45835</v>
      </c>
      <c r="E7450" t="s">
        <v>4127</v>
      </c>
      <c r="F7450" t="s">
        <v>4125</v>
      </c>
    </row>
    <row r="7451" spans="1:6">
      <c r="A7451" t="s">
        <v>11580</v>
      </c>
      <c r="B7451" t="s">
        <v>2680</v>
      </c>
      <c r="C7451" t="s">
        <v>63</v>
      </c>
      <c r="D7451" s="1">
        <v>45829</v>
      </c>
      <c r="E7451" t="s">
        <v>4135</v>
      </c>
      <c r="F7451" t="s">
        <v>4137</v>
      </c>
    </row>
    <row r="7452" spans="1:6">
      <c r="A7452" t="s">
        <v>11581</v>
      </c>
      <c r="B7452" t="s">
        <v>2680</v>
      </c>
      <c r="C7452" t="s">
        <v>63</v>
      </c>
      <c r="D7452" s="1">
        <v>45837</v>
      </c>
      <c r="E7452" t="s">
        <v>4135</v>
      </c>
      <c r="F7452" t="s">
        <v>4139</v>
      </c>
    </row>
    <row r="7453" spans="1:6">
      <c r="A7453" t="s">
        <v>11582</v>
      </c>
      <c r="B7453" t="s">
        <v>2681</v>
      </c>
      <c r="C7453" t="s">
        <v>63</v>
      </c>
      <c r="D7453" s="1">
        <v>45942</v>
      </c>
      <c r="E7453" t="s">
        <v>4133</v>
      </c>
      <c r="F7453" t="s">
        <v>4125</v>
      </c>
    </row>
    <row r="7454" spans="1:6">
      <c r="A7454" t="s">
        <v>11583</v>
      </c>
      <c r="B7454" t="s">
        <v>2681</v>
      </c>
      <c r="C7454" t="s">
        <v>63</v>
      </c>
      <c r="D7454" s="1">
        <v>45927</v>
      </c>
      <c r="E7454" t="s">
        <v>4133</v>
      </c>
      <c r="F7454" t="s">
        <v>4139</v>
      </c>
    </row>
    <row r="7455" spans="1:6">
      <c r="A7455" t="s">
        <v>11584</v>
      </c>
      <c r="B7455" t="s">
        <v>2681</v>
      </c>
      <c r="C7455" t="s">
        <v>63</v>
      </c>
      <c r="D7455" s="1">
        <v>45932</v>
      </c>
      <c r="E7455" t="s">
        <v>4133</v>
      </c>
      <c r="F7455" t="s">
        <v>4125</v>
      </c>
    </row>
    <row r="7456" spans="1:6">
      <c r="A7456" t="s">
        <v>11585</v>
      </c>
      <c r="B7456" t="s">
        <v>2682</v>
      </c>
      <c r="C7456" t="s">
        <v>32</v>
      </c>
      <c r="D7456" s="1">
        <v>45878</v>
      </c>
      <c r="E7456" t="s">
        <v>4129</v>
      </c>
      <c r="F7456" t="s">
        <v>4125</v>
      </c>
    </row>
    <row r="7457" spans="1:6">
      <c r="A7457" t="s">
        <v>11586</v>
      </c>
      <c r="B7457" t="s">
        <v>2682</v>
      </c>
      <c r="C7457" t="s">
        <v>32</v>
      </c>
      <c r="D7457" s="1">
        <v>45853</v>
      </c>
      <c r="E7457" t="s">
        <v>4135</v>
      </c>
      <c r="F7457" t="s">
        <v>4139</v>
      </c>
    </row>
    <row r="7458" spans="1:6">
      <c r="A7458" t="s">
        <v>11587</v>
      </c>
      <c r="B7458" t="s">
        <v>2682</v>
      </c>
      <c r="C7458" t="s">
        <v>32</v>
      </c>
      <c r="D7458" s="1">
        <v>45865</v>
      </c>
      <c r="E7458" t="s">
        <v>4129</v>
      </c>
      <c r="F7458" t="s">
        <v>4125</v>
      </c>
    </row>
    <row r="7459" spans="1:6">
      <c r="A7459" t="s">
        <v>11588</v>
      </c>
      <c r="B7459" t="s">
        <v>2682</v>
      </c>
      <c r="C7459" t="s">
        <v>32</v>
      </c>
      <c r="D7459" s="1">
        <v>45869</v>
      </c>
      <c r="E7459" t="s">
        <v>4133</v>
      </c>
      <c r="F7459" t="s">
        <v>4137</v>
      </c>
    </row>
    <row r="7460" spans="1:6">
      <c r="A7460" t="s">
        <v>11589</v>
      </c>
      <c r="B7460" t="s">
        <v>2683</v>
      </c>
      <c r="C7460" t="s">
        <v>119</v>
      </c>
      <c r="D7460" s="1">
        <v>46004</v>
      </c>
      <c r="E7460" t="s">
        <v>4129</v>
      </c>
      <c r="F7460" t="s">
        <v>4137</v>
      </c>
    </row>
    <row r="7461" spans="1:6">
      <c r="A7461" t="s">
        <v>11590</v>
      </c>
      <c r="B7461" t="s">
        <v>2683</v>
      </c>
      <c r="C7461" t="s">
        <v>119</v>
      </c>
      <c r="D7461" s="1">
        <v>46007</v>
      </c>
      <c r="E7461" t="s">
        <v>4129</v>
      </c>
      <c r="F7461" t="s">
        <v>4137</v>
      </c>
    </row>
    <row r="7462" spans="1:6">
      <c r="A7462" t="s">
        <v>11591</v>
      </c>
      <c r="B7462" t="s">
        <v>2683</v>
      </c>
      <c r="C7462" t="s">
        <v>119</v>
      </c>
      <c r="D7462" s="1">
        <v>46009</v>
      </c>
      <c r="E7462" t="s">
        <v>4135</v>
      </c>
      <c r="F7462" t="s">
        <v>4139</v>
      </c>
    </row>
    <row r="7463" spans="1:6">
      <c r="A7463" t="s">
        <v>11592</v>
      </c>
      <c r="B7463" t="s">
        <v>2683</v>
      </c>
      <c r="C7463" t="s">
        <v>119</v>
      </c>
      <c r="D7463" s="1">
        <v>46010</v>
      </c>
      <c r="E7463" t="s">
        <v>4133</v>
      </c>
      <c r="F7463" t="s">
        <v>4137</v>
      </c>
    </row>
    <row r="7464" spans="1:6">
      <c r="A7464" t="s">
        <v>11593</v>
      </c>
      <c r="B7464" t="s">
        <v>2684</v>
      </c>
      <c r="C7464" t="s">
        <v>50</v>
      </c>
      <c r="D7464" s="1">
        <v>45919</v>
      </c>
      <c r="E7464" t="s">
        <v>4124</v>
      </c>
      <c r="F7464" t="s">
        <v>4137</v>
      </c>
    </row>
    <row r="7465" spans="1:6">
      <c r="A7465" t="s">
        <v>11594</v>
      </c>
      <c r="B7465" t="s">
        <v>2684</v>
      </c>
      <c r="C7465" t="s">
        <v>50</v>
      </c>
      <c r="D7465" s="1">
        <v>45918</v>
      </c>
      <c r="E7465" t="s">
        <v>4129</v>
      </c>
      <c r="F7465" t="s">
        <v>4137</v>
      </c>
    </row>
    <row r="7466" spans="1:6">
      <c r="A7466" t="s">
        <v>11595</v>
      </c>
      <c r="B7466" t="s">
        <v>2684</v>
      </c>
      <c r="C7466" t="s">
        <v>50</v>
      </c>
      <c r="D7466" s="1">
        <v>45911</v>
      </c>
      <c r="E7466" t="s">
        <v>4129</v>
      </c>
      <c r="F7466" t="s">
        <v>4125</v>
      </c>
    </row>
    <row r="7467" spans="1:6">
      <c r="A7467" t="s">
        <v>11596</v>
      </c>
      <c r="B7467" t="s">
        <v>2684</v>
      </c>
      <c r="C7467" t="s">
        <v>50</v>
      </c>
      <c r="D7467" s="1">
        <v>45908</v>
      </c>
      <c r="E7467" t="s">
        <v>4127</v>
      </c>
      <c r="F7467" t="s">
        <v>4125</v>
      </c>
    </row>
    <row r="7468" spans="1:6">
      <c r="A7468" t="s">
        <v>11597</v>
      </c>
      <c r="B7468" t="s">
        <v>2685</v>
      </c>
      <c r="C7468" t="s">
        <v>75</v>
      </c>
      <c r="D7468" s="1">
        <v>45827</v>
      </c>
      <c r="E7468" t="s">
        <v>4127</v>
      </c>
      <c r="F7468" t="s">
        <v>4139</v>
      </c>
    </row>
    <row r="7469" spans="1:6">
      <c r="A7469" t="s">
        <v>11598</v>
      </c>
      <c r="B7469" t="s">
        <v>2685</v>
      </c>
      <c r="C7469" t="s">
        <v>75</v>
      </c>
      <c r="D7469" s="1">
        <v>45827</v>
      </c>
      <c r="E7469" t="s">
        <v>4124</v>
      </c>
      <c r="F7469" t="s">
        <v>4125</v>
      </c>
    </row>
    <row r="7470" spans="1:6">
      <c r="A7470" t="s">
        <v>11599</v>
      </c>
      <c r="B7470" t="s">
        <v>2685</v>
      </c>
      <c r="C7470" t="s">
        <v>75</v>
      </c>
      <c r="D7470" s="1">
        <v>45825</v>
      </c>
      <c r="E7470" t="s">
        <v>4127</v>
      </c>
      <c r="F7470" t="s">
        <v>4125</v>
      </c>
    </row>
    <row r="7471" spans="1:6">
      <c r="A7471" t="s">
        <v>11600</v>
      </c>
      <c r="B7471" t="s">
        <v>2685</v>
      </c>
      <c r="C7471" t="s">
        <v>75</v>
      </c>
      <c r="D7471" s="1">
        <v>45825</v>
      </c>
      <c r="E7471" t="s">
        <v>4129</v>
      </c>
      <c r="F7471" t="s">
        <v>4139</v>
      </c>
    </row>
    <row r="7472" spans="1:6">
      <c r="A7472" t="s">
        <v>11601</v>
      </c>
      <c r="B7472" t="s">
        <v>2686</v>
      </c>
      <c r="C7472" t="s">
        <v>46</v>
      </c>
      <c r="D7472" s="1">
        <v>45921</v>
      </c>
      <c r="E7472" t="s">
        <v>4129</v>
      </c>
      <c r="F7472" t="s">
        <v>4137</v>
      </c>
    </row>
    <row r="7473" spans="1:6">
      <c r="A7473" t="s">
        <v>11602</v>
      </c>
      <c r="B7473" t="s">
        <v>2686</v>
      </c>
      <c r="C7473" t="s">
        <v>46</v>
      </c>
      <c r="D7473" s="1">
        <v>45930</v>
      </c>
      <c r="E7473" t="s">
        <v>4135</v>
      </c>
      <c r="F7473" t="s">
        <v>4137</v>
      </c>
    </row>
    <row r="7474" spans="1:6">
      <c r="A7474" t="s">
        <v>11603</v>
      </c>
      <c r="B7474" t="s">
        <v>2686</v>
      </c>
      <c r="C7474" t="s">
        <v>46</v>
      </c>
      <c r="D7474" s="1">
        <v>45906</v>
      </c>
      <c r="E7474" t="s">
        <v>4135</v>
      </c>
      <c r="F7474" t="s">
        <v>4139</v>
      </c>
    </row>
    <row r="7475" spans="1:6">
      <c r="A7475" t="s">
        <v>11604</v>
      </c>
      <c r="B7475" t="s">
        <v>2686</v>
      </c>
      <c r="C7475" t="s">
        <v>46</v>
      </c>
      <c r="D7475" s="1">
        <v>45894</v>
      </c>
      <c r="E7475" t="s">
        <v>4124</v>
      </c>
      <c r="F7475" t="s">
        <v>4125</v>
      </c>
    </row>
    <row r="7476" spans="1:6">
      <c r="A7476" t="s">
        <v>11605</v>
      </c>
      <c r="B7476" t="s">
        <v>2687</v>
      </c>
      <c r="C7476" t="s">
        <v>75</v>
      </c>
      <c r="D7476" s="1">
        <v>45919</v>
      </c>
      <c r="E7476" t="s">
        <v>4124</v>
      </c>
      <c r="F7476" t="s">
        <v>4125</v>
      </c>
    </row>
    <row r="7477" spans="1:6">
      <c r="A7477" t="s">
        <v>11606</v>
      </c>
      <c r="B7477" t="s">
        <v>2687</v>
      </c>
      <c r="C7477" t="s">
        <v>75</v>
      </c>
      <c r="D7477" s="1">
        <v>45900</v>
      </c>
      <c r="E7477" t="s">
        <v>4135</v>
      </c>
      <c r="F7477" t="s">
        <v>4139</v>
      </c>
    </row>
    <row r="7478" spans="1:6">
      <c r="A7478" t="s">
        <v>11607</v>
      </c>
      <c r="B7478" t="s">
        <v>2687</v>
      </c>
      <c r="C7478" t="s">
        <v>75</v>
      </c>
      <c r="D7478" s="1">
        <v>45930</v>
      </c>
      <c r="E7478" t="s">
        <v>4133</v>
      </c>
      <c r="F7478" t="s">
        <v>4139</v>
      </c>
    </row>
    <row r="7479" spans="1:6">
      <c r="A7479" t="s">
        <v>11608</v>
      </c>
      <c r="B7479" t="s">
        <v>2687</v>
      </c>
      <c r="C7479" t="s">
        <v>75</v>
      </c>
      <c r="D7479" s="1">
        <v>45927</v>
      </c>
      <c r="E7479" t="s">
        <v>4124</v>
      </c>
      <c r="F7479" t="s">
        <v>4139</v>
      </c>
    </row>
    <row r="7480" spans="1:6">
      <c r="A7480" t="s">
        <v>11609</v>
      </c>
      <c r="B7480" t="s">
        <v>2688</v>
      </c>
      <c r="C7480" t="s">
        <v>36</v>
      </c>
      <c r="D7480" s="1">
        <v>45741</v>
      </c>
      <c r="E7480" t="s">
        <v>4124</v>
      </c>
      <c r="F7480" t="s">
        <v>4139</v>
      </c>
    </row>
    <row r="7481" spans="1:6">
      <c r="A7481" t="s">
        <v>11610</v>
      </c>
      <c r="B7481" t="s">
        <v>2688</v>
      </c>
      <c r="C7481" t="s">
        <v>36</v>
      </c>
      <c r="D7481" s="1">
        <v>45773</v>
      </c>
      <c r="E7481" t="s">
        <v>4127</v>
      </c>
      <c r="F7481" t="s">
        <v>4125</v>
      </c>
    </row>
    <row r="7482" spans="1:6">
      <c r="A7482" t="s">
        <v>11611</v>
      </c>
      <c r="B7482" t="s">
        <v>2688</v>
      </c>
      <c r="C7482" t="s">
        <v>36</v>
      </c>
      <c r="D7482" s="1">
        <v>45737</v>
      </c>
      <c r="E7482" t="s">
        <v>4127</v>
      </c>
      <c r="F7482" t="s">
        <v>4139</v>
      </c>
    </row>
    <row r="7483" spans="1:6">
      <c r="A7483" t="s">
        <v>11612</v>
      </c>
      <c r="B7483" t="s">
        <v>2688</v>
      </c>
      <c r="C7483" t="s">
        <v>36</v>
      </c>
      <c r="D7483" s="1">
        <v>45777</v>
      </c>
      <c r="E7483" t="s">
        <v>4127</v>
      </c>
      <c r="F7483" t="s">
        <v>4125</v>
      </c>
    </row>
    <row r="7484" spans="1:6">
      <c r="A7484" t="s">
        <v>11613</v>
      </c>
      <c r="B7484" t="s">
        <v>2689</v>
      </c>
      <c r="C7484" t="s">
        <v>53</v>
      </c>
      <c r="D7484" s="1">
        <v>45700</v>
      </c>
      <c r="E7484" t="s">
        <v>4129</v>
      </c>
      <c r="F7484" t="s">
        <v>4125</v>
      </c>
    </row>
    <row r="7485" spans="1:6">
      <c r="A7485" t="s">
        <v>11614</v>
      </c>
      <c r="B7485" t="s">
        <v>2689</v>
      </c>
      <c r="C7485" t="s">
        <v>53</v>
      </c>
      <c r="D7485" s="1">
        <v>45674</v>
      </c>
      <c r="E7485" t="s">
        <v>4124</v>
      </c>
      <c r="F7485" t="s">
        <v>4137</v>
      </c>
    </row>
    <row r="7486" spans="1:6">
      <c r="A7486" t="s">
        <v>11615</v>
      </c>
      <c r="B7486" t="s">
        <v>2689</v>
      </c>
      <c r="C7486" t="s">
        <v>53</v>
      </c>
      <c r="D7486" s="1">
        <v>45693</v>
      </c>
      <c r="E7486" t="s">
        <v>4124</v>
      </c>
      <c r="F7486" t="s">
        <v>4125</v>
      </c>
    </row>
    <row r="7487" spans="1:6">
      <c r="A7487" t="s">
        <v>11616</v>
      </c>
      <c r="B7487" t="s">
        <v>2689</v>
      </c>
      <c r="C7487" t="s">
        <v>53</v>
      </c>
      <c r="D7487" s="1">
        <v>45681</v>
      </c>
      <c r="E7487" t="s">
        <v>4124</v>
      </c>
      <c r="F7487" t="s">
        <v>4137</v>
      </c>
    </row>
    <row r="7488" spans="1:6">
      <c r="A7488" t="s">
        <v>11617</v>
      </c>
      <c r="B7488" t="s">
        <v>2689</v>
      </c>
      <c r="C7488" t="s">
        <v>53</v>
      </c>
      <c r="D7488" s="1">
        <v>45693</v>
      </c>
      <c r="E7488" t="s">
        <v>4135</v>
      </c>
      <c r="F7488" t="s">
        <v>4139</v>
      </c>
    </row>
    <row r="7489" spans="1:6">
      <c r="A7489" t="s">
        <v>11618</v>
      </c>
      <c r="B7489" t="s">
        <v>2690</v>
      </c>
      <c r="C7489" t="s">
        <v>53</v>
      </c>
      <c r="D7489" s="1">
        <v>46003</v>
      </c>
      <c r="E7489" t="s">
        <v>4124</v>
      </c>
      <c r="F7489" t="s">
        <v>4125</v>
      </c>
    </row>
    <row r="7490" spans="1:6">
      <c r="A7490" t="s">
        <v>11619</v>
      </c>
      <c r="B7490" t="s">
        <v>2690</v>
      </c>
      <c r="C7490" t="s">
        <v>53</v>
      </c>
      <c r="D7490" s="1">
        <v>46001</v>
      </c>
      <c r="E7490" t="s">
        <v>4124</v>
      </c>
      <c r="F7490" t="s">
        <v>4139</v>
      </c>
    </row>
    <row r="7491" spans="1:6">
      <c r="A7491" t="s">
        <v>11620</v>
      </c>
      <c r="B7491" t="s">
        <v>2690</v>
      </c>
      <c r="C7491" t="s">
        <v>53</v>
      </c>
      <c r="D7491" s="1">
        <v>46021</v>
      </c>
      <c r="E7491" t="s">
        <v>4133</v>
      </c>
      <c r="F7491" t="s">
        <v>4125</v>
      </c>
    </row>
    <row r="7492" spans="1:6">
      <c r="A7492" t="s">
        <v>11621</v>
      </c>
      <c r="B7492" t="s">
        <v>2690</v>
      </c>
      <c r="C7492" t="s">
        <v>53</v>
      </c>
      <c r="D7492" s="1">
        <v>46013</v>
      </c>
      <c r="E7492" t="s">
        <v>4124</v>
      </c>
      <c r="F7492" t="s">
        <v>4137</v>
      </c>
    </row>
    <row r="7493" spans="1:6">
      <c r="A7493" t="s">
        <v>11622</v>
      </c>
      <c r="B7493" t="s">
        <v>2691</v>
      </c>
      <c r="C7493" t="s">
        <v>56</v>
      </c>
      <c r="D7493" s="1">
        <v>45849</v>
      </c>
      <c r="E7493" t="s">
        <v>4129</v>
      </c>
      <c r="F7493" t="s">
        <v>4139</v>
      </c>
    </row>
    <row r="7494" spans="1:6">
      <c r="A7494" t="s">
        <v>11623</v>
      </c>
      <c r="B7494" t="s">
        <v>2691</v>
      </c>
      <c r="C7494" t="s">
        <v>56</v>
      </c>
      <c r="D7494" s="1">
        <v>45843</v>
      </c>
      <c r="E7494" t="s">
        <v>4127</v>
      </c>
      <c r="F7494" t="s">
        <v>4139</v>
      </c>
    </row>
    <row r="7495" spans="1:6">
      <c r="A7495" t="s">
        <v>11624</v>
      </c>
      <c r="B7495" t="s">
        <v>2691</v>
      </c>
      <c r="C7495" t="s">
        <v>56</v>
      </c>
      <c r="D7495" s="1">
        <v>45858</v>
      </c>
      <c r="E7495" t="s">
        <v>4124</v>
      </c>
      <c r="F7495" t="s">
        <v>4137</v>
      </c>
    </row>
    <row r="7496" spans="1:6">
      <c r="A7496" t="s">
        <v>11625</v>
      </c>
      <c r="B7496" t="s">
        <v>2692</v>
      </c>
      <c r="C7496" t="s">
        <v>36</v>
      </c>
      <c r="D7496" s="1">
        <v>45935</v>
      </c>
      <c r="E7496" t="s">
        <v>4135</v>
      </c>
      <c r="F7496" t="s">
        <v>4139</v>
      </c>
    </row>
    <row r="7497" spans="1:6">
      <c r="A7497" t="s">
        <v>11626</v>
      </c>
      <c r="B7497" t="s">
        <v>2692</v>
      </c>
      <c r="C7497" t="s">
        <v>36</v>
      </c>
      <c r="D7497" s="1">
        <v>45903</v>
      </c>
      <c r="E7497" t="s">
        <v>4127</v>
      </c>
      <c r="F7497" t="s">
        <v>4125</v>
      </c>
    </row>
    <row r="7498" spans="1:6">
      <c r="A7498" t="s">
        <v>11627</v>
      </c>
      <c r="B7498" t="s">
        <v>2693</v>
      </c>
      <c r="C7498" t="s">
        <v>46</v>
      </c>
      <c r="D7498" s="1">
        <v>45793</v>
      </c>
      <c r="E7498" t="s">
        <v>4135</v>
      </c>
      <c r="F7498" t="s">
        <v>4139</v>
      </c>
    </row>
    <row r="7499" spans="1:6">
      <c r="A7499" t="s">
        <v>11628</v>
      </c>
      <c r="B7499" t="s">
        <v>2693</v>
      </c>
      <c r="C7499" t="s">
        <v>46</v>
      </c>
      <c r="D7499" s="1">
        <v>45792</v>
      </c>
      <c r="E7499" t="s">
        <v>4124</v>
      </c>
      <c r="F7499" t="s">
        <v>4137</v>
      </c>
    </row>
    <row r="7500" spans="1:6">
      <c r="A7500" t="s">
        <v>11629</v>
      </c>
      <c r="B7500" t="s">
        <v>2693</v>
      </c>
      <c r="C7500" t="s">
        <v>46</v>
      </c>
      <c r="D7500" s="1">
        <v>45789</v>
      </c>
      <c r="E7500" t="s">
        <v>4127</v>
      </c>
      <c r="F7500" t="s">
        <v>4125</v>
      </c>
    </row>
    <row r="7501" spans="1:6">
      <c r="A7501" t="s">
        <v>11630</v>
      </c>
      <c r="B7501" t="s">
        <v>2693</v>
      </c>
      <c r="C7501" t="s">
        <v>46</v>
      </c>
      <c r="D7501" s="1">
        <v>45793</v>
      </c>
      <c r="E7501" t="s">
        <v>4124</v>
      </c>
      <c r="F7501" t="s">
        <v>4137</v>
      </c>
    </row>
    <row r="7502" spans="1:6">
      <c r="A7502" t="s">
        <v>11631</v>
      </c>
      <c r="B7502" t="s">
        <v>2693</v>
      </c>
      <c r="C7502" t="s">
        <v>46</v>
      </c>
      <c r="D7502" s="1">
        <v>45777</v>
      </c>
      <c r="E7502" t="s">
        <v>4124</v>
      </c>
      <c r="F7502" t="s">
        <v>4125</v>
      </c>
    </row>
    <row r="7503" spans="1:6">
      <c r="A7503" t="s">
        <v>11632</v>
      </c>
      <c r="B7503" t="s">
        <v>2694</v>
      </c>
      <c r="C7503" t="s">
        <v>126</v>
      </c>
      <c r="D7503" s="1">
        <v>46011</v>
      </c>
      <c r="E7503" t="s">
        <v>4127</v>
      </c>
      <c r="F7503" t="s">
        <v>4137</v>
      </c>
    </row>
    <row r="7504" spans="1:6">
      <c r="A7504" t="s">
        <v>11633</v>
      </c>
      <c r="B7504" t="s">
        <v>2694</v>
      </c>
      <c r="C7504" t="s">
        <v>126</v>
      </c>
      <c r="D7504" s="1">
        <v>46020</v>
      </c>
      <c r="E7504" t="s">
        <v>4133</v>
      </c>
      <c r="F7504" t="s">
        <v>4137</v>
      </c>
    </row>
    <row r="7505" spans="1:6">
      <c r="A7505" t="s">
        <v>11634</v>
      </c>
      <c r="B7505" t="s">
        <v>2695</v>
      </c>
      <c r="C7505" t="s">
        <v>59</v>
      </c>
      <c r="D7505" s="1">
        <v>45974</v>
      </c>
      <c r="E7505" t="s">
        <v>4124</v>
      </c>
      <c r="F7505" t="s">
        <v>4125</v>
      </c>
    </row>
    <row r="7506" spans="1:6">
      <c r="A7506" t="s">
        <v>11635</v>
      </c>
      <c r="B7506" t="s">
        <v>2695</v>
      </c>
      <c r="C7506" t="s">
        <v>59</v>
      </c>
      <c r="D7506" s="1">
        <v>46019</v>
      </c>
      <c r="E7506" t="s">
        <v>4133</v>
      </c>
      <c r="F7506" t="s">
        <v>4139</v>
      </c>
    </row>
    <row r="7507" spans="1:6">
      <c r="A7507" t="s">
        <v>11636</v>
      </c>
      <c r="B7507" t="s">
        <v>2695</v>
      </c>
      <c r="C7507" t="s">
        <v>59</v>
      </c>
      <c r="D7507" s="1">
        <v>46016</v>
      </c>
      <c r="E7507" t="s">
        <v>4129</v>
      </c>
      <c r="F7507" t="s">
        <v>4137</v>
      </c>
    </row>
    <row r="7508" spans="1:6">
      <c r="A7508" t="s">
        <v>11637</v>
      </c>
      <c r="B7508" t="s">
        <v>2695</v>
      </c>
      <c r="C7508" t="s">
        <v>59</v>
      </c>
      <c r="D7508" s="1">
        <v>46000</v>
      </c>
      <c r="E7508" t="s">
        <v>4127</v>
      </c>
      <c r="F7508" t="s">
        <v>4125</v>
      </c>
    </row>
    <row r="7509" spans="1:6">
      <c r="A7509" t="s">
        <v>11638</v>
      </c>
      <c r="B7509" t="s">
        <v>2695</v>
      </c>
      <c r="C7509" t="s">
        <v>59</v>
      </c>
      <c r="D7509" s="1">
        <v>45981</v>
      </c>
      <c r="E7509" t="s">
        <v>4129</v>
      </c>
      <c r="F7509" t="s">
        <v>4139</v>
      </c>
    </row>
    <row r="7510" spans="1:6">
      <c r="A7510" t="s">
        <v>11639</v>
      </c>
      <c r="B7510" t="s">
        <v>2696</v>
      </c>
      <c r="C7510" t="s">
        <v>27</v>
      </c>
      <c r="D7510" s="1">
        <v>46022</v>
      </c>
      <c r="E7510" t="s">
        <v>4129</v>
      </c>
      <c r="F7510" t="s">
        <v>4137</v>
      </c>
    </row>
    <row r="7511" spans="1:6">
      <c r="A7511" t="s">
        <v>11640</v>
      </c>
      <c r="B7511" t="s">
        <v>2696</v>
      </c>
      <c r="C7511" t="s">
        <v>27</v>
      </c>
      <c r="D7511" s="1">
        <v>46022</v>
      </c>
      <c r="E7511" t="s">
        <v>4135</v>
      </c>
      <c r="F7511" t="s">
        <v>4137</v>
      </c>
    </row>
    <row r="7512" spans="1:6">
      <c r="A7512" t="s">
        <v>11641</v>
      </c>
      <c r="B7512" t="s">
        <v>2697</v>
      </c>
      <c r="C7512" t="s">
        <v>32</v>
      </c>
      <c r="D7512" s="1">
        <v>45759</v>
      </c>
      <c r="E7512" t="s">
        <v>4124</v>
      </c>
      <c r="F7512" t="s">
        <v>4125</v>
      </c>
    </row>
    <row r="7513" spans="1:6">
      <c r="A7513" t="s">
        <v>11642</v>
      </c>
      <c r="B7513" t="s">
        <v>2697</v>
      </c>
      <c r="C7513" t="s">
        <v>32</v>
      </c>
      <c r="D7513" s="1">
        <v>45733</v>
      </c>
      <c r="E7513" t="s">
        <v>4124</v>
      </c>
      <c r="F7513" t="s">
        <v>4125</v>
      </c>
    </row>
    <row r="7514" spans="1:6">
      <c r="A7514" t="s">
        <v>11643</v>
      </c>
      <c r="B7514" t="s">
        <v>2697</v>
      </c>
      <c r="C7514" t="s">
        <v>32</v>
      </c>
      <c r="D7514" s="1">
        <v>45737</v>
      </c>
      <c r="E7514" t="s">
        <v>4135</v>
      </c>
      <c r="F7514" t="s">
        <v>4139</v>
      </c>
    </row>
    <row r="7515" spans="1:6">
      <c r="A7515" t="s">
        <v>11644</v>
      </c>
      <c r="B7515" t="s">
        <v>2697</v>
      </c>
      <c r="C7515" t="s">
        <v>32</v>
      </c>
      <c r="D7515" s="1">
        <v>45730</v>
      </c>
      <c r="E7515" t="s">
        <v>4129</v>
      </c>
      <c r="F7515" t="s">
        <v>4125</v>
      </c>
    </row>
    <row r="7516" spans="1:6">
      <c r="A7516" t="s">
        <v>11645</v>
      </c>
      <c r="B7516" t="s">
        <v>2698</v>
      </c>
      <c r="C7516" t="s">
        <v>46</v>
      </c>
      <c r="D7516" s="1">
        <v>45711</v>
      </c>
      <c r="E7516" t="s">
        <v>4133</v>
      </c>
      <c r="F7516" t="s">
        <v>4137</v>
      </c>
    </row>
    <row r="7517" spans="1:6">
      <c r="A7517" t="s">
        <v>11646</v>
      </c>
      <c r="B7517" t="s">
        <v>2698</v>
      </c>
      <c r="C7517" t="s">
        <v>46</v>
      </c>
      <c r="D7517" s="1">
        <v>45684</v>
      </c>
      <c r="E7517" t="s">
        <v>4127</v>
      </c>
      <c r="F7517" t="s">
        <v>4139</v>
      </c>
    </row>
    <row r="7518" spans="1:6">
      <c r="A7518" t="s">
        <v>11647</v>
      </c>
      <c r="B7518" t="s">
        <v>2698</v>
      </c>
      <c r="C7518" t="s">
        <v>46</v>
      </c>
      <c r="D7518" s="1">
        <v>45693</v>
      </c>
      <c r="E7518" t="s">
        <v>4124</v>
      </c>
      <c r="F7518" t="s">
        <v>4137</v>
      </c>
    </row>
    <row r="7519" spans="1:6">
      <c r="A7519" t="s">
        <v>11648</v>
      </c>
      <c r="B7519" t="s">
        <v>2698</v>
      </c>
      <c r="C7519" t="s">
        <v>46</v>
      </c>
      <c r="D7519" s="1">
        <v>45710</v>
      </c>
      <c r="E7519" t="s">
        <v>4127</v>
      </c>
      <c r="F7519" t="s">
        <v>4139</v>
      </c>
    </row>
    <row r="7520" spans="1:6">
      <c r="A7520" t="s">
        <v>11649</v>
      </c>
      <c r="B7520" t="s">
        <v>2698</v>
      </c>
      <c r="C7520" t="s">
        <v>46</v>
      </c>
      <c r="D7520" s="1">
        <v>45689</v>
      </c>
      <c r="E7520" t="s">
        <v>4129</v>
      </c>
      <c r="F7520" t="s">
        <v>4139</v>
      </c>
    </row>
    <row r="7521" spans="1:6">
      <c r="A7521" t="s">
        <v>11650</v>
      </c>
      <c r="B7521" t="s">
        <v>2700</v>
      </c>
      <c r="C7521" t="s">
        <v>36</v>
      </c>
      <c r="D7521" s="1">
        <v>45890</v>
      </c>
      <c r="E7521" t="s">
        <v>4129</v>
      </c>
      <c r="F7521" t="s">
        <v>4125</v>
      </c>
    </row>
    <row r="7522" spans="1:6">
      <c r="A7522" t="s">
        <v>11651</v>
      </c>
      <c r="B7522" t="s">
        <v>2700</v>
      </c>
      <c r="C7522" t="s">
        <v>36</v>
      </c>
      <c r="D7522" s="1">
        <v>45892</v>
      </c>
      <c r="E7522" t="s">
        <v>4135</v>
      </c>
      <c r="F7522" t="s">
        <v>4137</v>
      </c>
    </row>
    <row r="7523" spans="1:6">
      <c r="A7523" t="s">
        <v>11652</v>
      </c>
      <c r="B7523" t="s">
        <v>2700</v>
      </c>
      <c r="C7523" t="s">
        <v>36</v>
      </c>
      <c r="D7523" s="1">
        <v>45887</v>
      </c>
      <c r="E7523" t="s">
        <v>4135</v>
      </c>
      <c r="F7523" t="s">
        <v>4137</v>
      </c>
    </row>
    <row r="7524" spans="1:6">
      <c r="A7524" t="s">
        <v>11653</v>
      </c>
      <c r="B7524" t="s">
        <v>2700</v>
      </c>
      <c r="C7524" t="s">
        <v>36</v>
      </c>
      <c r="D7524" s="1">
        <v>45889</v>
      </c>
      <c r="E7524" t="s">
        <v>4129</v>
      </c>
      <c r="F7524" t="s">
        <v>4137</v>
      </c>
    </row>
    <row r="7525" spans="1:6">
      <c r="A7525" t="s">
        <v>11654</v>
      </c>
      <c r="B7525" t="s">
        <v>2701</v>
      </c>
      <c r="C7525" t="s">
        <v>168</v>
      </c>
      <c r="D7525" s="1">
        <v>46004</v>
      </c>
      <c r="E7525" t="s">
        <v>4133</v>
      </c>
      <c r="F7525" t="s">
        <v>4125</v>
      </c>
    </row>
    <row r="7526" spans="1:6">
      <c r="A7526" t="s">
        <v>11655</v>
      </c>
      <c r="B7526" t="s">
        <v>2701</v>
      </c>
      <c r="C7526" t="s">
        <v>168</v>
      </c>
      <c r="D7526" s="1">
        <v>46004</v>
      </c>
      <c r="E7526" t="s">
        <v>4135</v>
      </c>
      <c r="F7526" t="s">
        <v>4125</v>
      </c>
    </row>
    <row r="7527" spans="1:6">
      <c r="A7527" t="s">
        <v>11656</v>
      </c>
      <c r="B7527" t="s">
        <v>2702</v>
      </c>
      <c r="C7527" t="s">
        <v>78</v>
      </c>
      <c r="D7527" s="1">
        <v>46022</v>
      </c>
      <c r="E7527" t="s">
        <v>4124</v>
      </c>
      <c r="F7527" t="s">
        <v>4137</v>
      </c>
    </row>
    <row r="7528" spans="1:6">
      <c r="A7528" t="s">
        <v>11657</v>
      </c>
      <c r="B7528" t="s">
        <v>2702</v>
      </c>
      <c r="C7528" t="s">
        <v>78</v>
      </c>
      <c r="D7528" s="1">
        <v>46003</v>
      </c>
      <c r="E7528" t="s">
        <v>4124</v>
      </c>
      <c r="F7528" t="s">
        <v>4125</v>
      </c>
    </row>
    <row r="7529" spans="1:6">
      <c r="A7529" t="s">
        <v>11658</v>
      </c>
      <c r="B7529" t="s">
        <v>2702</v>
      </c>
      <c r="C7529" t="s">
        <v>78</v>
      </c>
      <c r="D7529" s="1">
        <v>46007</v>
      </c>
      <c r="E7529" t="s">
        <v>4124</v>
      </c>
      <c r="F7529" t="s">
        <v>4137</v>
      </c>
    </row>
    <row r="7530" spans="1:6">
      <c r="A7530" t="s">
        <v>11659</v>
      </c>
      <c r="B7530" t="s">
        <v>2703</v>
      </c>
      <c r="C7530" t="s">
        <v>78</v>
      </c>
      <c r="D7530" s="1">
        <v>45869</v>
      </c>
      <c r="E7530" t="s">
        <v>4133</v>
      </c>
      <c r="F7530" t="s">
        <v>4139</v>
      </c>
    </row>
    <row r="7531" spans="1:6">
      <c r="A7531" t="s">
        <v>11660</v>
      </c>
      <c r="B7531" t="s">
        <v>2703</v>
      </c>
      <c r="C7531" t="s">
        <v>78</v>
      </c>
      <c r="D7531" s="1">
        <v>45875</v>
      </c>
      <c r="E7531" t="s">
        <v>4129</v>
      </c>
      <c r="F7531" t="s">
        <v>4137</v>
      </c>
    </row>
    <row r="7532" spans="1:6">
      <c r="A7532" t="s">
        <v>11661</v>
      </c>
      <c r="B7532" t="s">
        <v>2704</v>
      </c>
      <c r="C7532" t="s">
        <v>16</v>
      </c>
      <c r="D7532" s="1">
        <v>45662</v>
      </c>
      <c r="E7532" t="s">
        <v>4124</v>
      </c>
      <c r="F7532" t="s">
        <v>4137</v>
      </c>
    </row>
    <row r="7533" spans="1:6">
      <c r="A7533" t="s">
        <v>11662</v>
      </c>
      <c r="B7533" t="s">
        <v>2704</v>
      </c>
      <c r="C7533" t="s">
        <v>16</v>
      </c>
      <c r="D7533" s="1">
        <v>45708</v>
      </c>
      <c r="E7533" t="s">
        <v>4124</v>
      </c>
      <c r="F7533" t="s">
        <v>4125</v>
      </c>
    </row>
    <row r="7534" spans="1:6">
      <c r="A7534" t="s">
        <v>11663</v>
      </c>
      <c r="B7534" t="s">
        <v>2705</v>
      </c>
      <c r="C7534" t="s">
        <v>59</v>
      </c>
      <c r="D7534" s="1">
        <v>46009</v>
      </c>
      <c r="E7534" t="s">
        <v>4135</v>
      </c>
      <c r="F7534" t="s">
        <v>4137</v>
      </c>
    </row>
    <row r="7535" spans="1:6">
      <c r="A7535" t="s">
        <v>11664</v>
      </c>
      <c r="B7535" t="s">
        <v>2705</v>
      </c>
      <c r="C7535" t="s">
        <v>59</v>
      </c>
      <c r="D7535" s="1">
        <v>46012</v>
      </c>
      <c r="E7535" t="s">
        <v>4124</v>
      </c>
      <c r="F7535" t="s">
        <v>4125</v>
      </c>
    </row>
    <row r="7536" spans="1:6">
      <c r="A7536" t="s">
        <v>11665</v>
      </c>
      <c r="B7536" t="s">
        <v>2705</v>
      </c>
      <c r="C7536" t="s">
        <v>59</v>
      </c>
      <c r="D7536" s="1">
        <v>46021</v>
      </c>
      <c r="E7536" t="s">
        <v>4135</v>
      </c>
      <c r="F7536" t="s">
        <v>4125</v>
      </c>
    </row>
    <row r="7537" spans="1:6">
      <c r="A7537" t="s">
        <v>11666</v>
      </c>
      <c r="B7537" t="s">
        <v>2706</v>
      </c>
      <c r="C7537" t="s">
        <v>78</v>
      </c>
      <c r="D7537" s="1">
        <v>45856</v>
      </c>
      <c r="E7537" t="s">
        <v>4129</v>
      </c>
      <c r="F7537" t="s">
        <v>4137</v>
      </c>
    </row>
    <row r="7538" spans="1:6">
      <c r="A7538" t="s">
        <v>11667</v>
      </c>
      <c r="B7538" t="s">
        <v>2706</v>
      </c>
      <c r="C7538" t="s">
        <v>78</v>
      </c>
      <c r="D7538" s="1">
        <v>45882</v>
      </c>
      <c r="E7538" t="s">
        <v>4124</v>
      </c>
      <c r="F7538" t="s">
        <v>4137</v>
      </c>
    </row>
    <row r="7539" spans="1:6">
      <c r="A7539" t="s">
        <v>11668</v>
      </c>
      <c r="B7539" t="s">
        <v>2706</v>
      </c>
      <c r="C7539" t="s">
        <v>78</v>
      </c>
      <c r="D7539" s="1">
        <v>45849</v>
      </c>
      <c r="E7539" t="s">
        <v>4127</v>
      </c>
      <c r="F7539" t="s">
        <v>4125</v>
      </c>
    </row>
    <row r="7540" spans="1:6">
      <c r="A7540" t="s">
        <v>11669</v>
      </c>
      <c r="B7540" t="s">
        <v>2706</v>
      </c>
      <c r="C7540" t="s">
        <v>78</v>
      </c>
      <c r="D7540" s="1">
        <v>45836</v>
      </c>
      <c r="E7540" t="s">
        <v>4124</v>
      </c>
      <c r="F7540" t="s">
        <v>4125</v>
      </c>
    </row>
    <row r="7541" spans="1:6">
      <c r="A7541" t="s">
        <v>11670</v>
      </c>
      <c r="B7541" t="s">
        <v>2707</v>
      </c>
      <c r="C7541" t="s">
        <v>46</v>
      </c>
      <c r="D7541" s="1">
        <v>46022</v>
      </c>
      <c r="E7541" t="s">
        <v>4124</v>
      </c>
      <c r="F7541" t="s">
        <v>4137</v>
      </c>
    </row>
    <row r="7542" spans="1:6">
      <c r="A7542" t="s">
        <v>11671</v>
      </c>
      <c r="B7542" t="s">
        <v>2707</v>
      </c>
      <c r="C7542" t="s">
        <v>46</v>
      </c>
      <c r="D7542" s="1">
        <v>46019</v>
      </c>
      <c r="E7542" t="s">
        <v>4124</v>
      </c>
      <c r="F7542" t="s">
        <v>4125</v>
      </c>
    </row>
    <row r="7543" spans="1:6">
      <c r="A7543" t="s">
        <v>11672</v>
      </c>
      <c r="B7543" t="s">
        <v>2707</v>
      </c>
      <c r="C7543" t="s">
        <v>46</v>
      </c>
      <c r="D7543" s="1">
        <v>46017</v>
      </c>
      <c r="E7543" t="s">
        <v>4133</v>
      </c>
      <c r="F7543" t="s">
        <v>4139</v>
      </c>
    </row>
    <row r="7544" spans="1:6">
      <c r="A7544" t="s">
        <v>11673</v>
      </c>
      <c r="B7544" t="s">
        <v>2707</v>
      </c>
      <c r="C7544" t="s">
        <v>46</v>
      </c>
      <c r="D7544" s="1">
        <v>46017</v>
      </c>
      <c r="E7544" t="s">
        <v>4124</v>
      </c>
      <c r="F7544" t="s">
        <v>4139</v>
      </c>
    </row>
    <row r="7545" spans="1:6">
      <c r="A7545" t="s">
        <v>11674</v>
      </c>
      <c r="B7545" t="s">
        <v>2707</v>
      </c>
      <c r="C7545" t="s">
        <v>46</v>
      </c>
      <c r="D7545" s="1">
        <v>46004</v>
      </c>
      <c r="E7545" t="s">
        <v>4129</v>
      </c>
      <c r="F7545" t="s">
        <v>4125</v>
      </c>
    </row>
    <row r="7546" spans="1:6">
      <c r="A7546" t="s">
        <v>11675</v>
      </c>
      <c r="B7546" t="s">
        <v>2708</v>
      </c>
      <c r="C7546" t="s">
        <v>78</v>
      </c>
      <c r="D7546" s="1">
        <v>46021</v>
      </c>
      <c r="E7546" t="s">
        <v>4124</v>
      </c>
      <c r="F7546" t="s">
        <v>4137</v>
      </c>
    </row>
    <row r="7547" spans="1:6">
      <c r="A7547" t="s">
        <v>11676</v>
      </c>
      <c r="B7547" t="s">
        <v>2708</v>
      </c>
      <c r="C7547" t="s">
        <v>78</v>
      </c>
      <c r="D7547" s="1">
        <v>46006</v>
      </c>
      <c r="E7547" t="s">
        <v>4127</v>
      </c>
      <c r="F7547" t="s">
        <v>4137</v>
      </c>
    </row>
    <row r="7548" spans="1:6">
      <c r="A7548" t="s">
        <v>11677</v>
      </c>
      <c r="B7548" t="s">
        <v>2708</v>
      </c>
      <c r="C7548" t="s">
        <v>78</v>
      </c>
      <c r="D7548" s="1">
        <v>46001</v>
      </c>
      <c r="E7548" t="s">
        <v>4129</v>
      </c>
      <c r="F7548" t="s">
        <v>4139</v>
      </c>
    </row>
    <row r="7549" spans="1:6">
      <c r="A7549" t="s">
        <v>11678</v>
      </c>
      <c r="B7549" t="s">
        <v>2709</v>
      </c>
      <c r="C7549" t="s">
        <v>27</v>
      </c>
      <c r="D7549" s="1">
        <v>45983</v>
      </c>
      <c r="E7549" t="s">
        <v>4124</v>
      </c>
      <c r="F7549" t="s">
        <v>4139</v>
      </c>
    </row>
    <row r="7550" spans="1:6">
      <c r="A7550" t="s">
        <v>11679</v>
      </c>
      <c r="B7550" t="s">
        <v>2709</v>
      </c>
      <c r="C7550" t="s">
        <v>27</v>
      </c>
      <c r="D7550" s="1">
        <v>46004</v>
      </c>
      <c r="E7550" t="s">
        <v>4135</v>
      </c>
      <c r="F7550" t="s">
        <v>4125</v>
      </c>
    </row>
    <row r="7551" spans="1:6">
      <c r="A7551" t="s">
        <v>11680</v>
      </c>
      <c r="B7551" t="s">
        <v>2710</v>
      </c>
      <c r="C7551" t="s">
        <v>70</v>
      </c>
      <c r="D7551" s="1">
        <v>45896</v>
      </c>
      <c r="E7551" t="s">
        <v>4133</v>
      </c>
      <c r="F7551" t="s">
        <v>4137</v>
      </c>
    </row>
    <row r="7552" spans="1:6">
      <c r="A7552" t="s">
        <v>11681</v>
      </c>
      <c r="B7552" t="s">
        <v>2710</v>
      </c>
      <c r="C7552" t="s">
        <v>70</v>
      </c>
      <c r="D7552" s="1">
        <v>45894</v>
      </c>
      <c r="E7552" t="s">
        <v>4129</v>
      </c>
      <c r="F7552" t="s">
        <v>4139</v>
      </c>
    </row>
    <row r="7553" spans="1:6">
      <c r="A7553" t="s">
        <v>11682</v>
      </c>
      <c r="B7553" t="s">
        <v>2710</v>
      </c>
      <c r="C7553" t="s">
        <v>70</v>
      </c>
      <c r="D7553" s="1">
        <v>45846</v>
      </c>
      <c r="E7553" t="s">
        <v>4135</v>
      </c>
      <c r="F7553" t="s">
        <v>4125</v>
      </c>
    </row>
    <row r="7554" spans="1:6">
      <c r="A7554" t="s">
        <v>11683</v>
      </c>
      <c r="B7554" t="s">
        <v>2710</v>
      </c>
      <c r="C7554" t="s">
        <v>70</v>
      </c>
      <c r="D7554" s="1">
        <v>45882</v>
      </c>
      <c r="E7554" t="s">
        <v>4127</v>
      </c>
      <c r="F7554" t="s">
        <v>4139</v>
      </c>
    </row>
    <row r="7555" spans="1:6">
      <c r="A7555" t="s">
        <v>11684</v>
      </c>
      <c r="B7555" t="s">
        <v>2710</v>
      </c>
      <c r="C7555" t="s">
        <v>70</v>
      </c>
      <c r="D7555" s="1">
        <v>45896</v>
      </c>
      <c r="E7555" t="s">
        <v>4124</v>
      </c>
      <c r="F7555" t="s">
        <v>4125</v>
      </c>
    </row>
    <row r="7556" spans="1:6">
      <c r="A7556" t="s">
        <v>11685</v>
      </c>
      <c r="B7556" t="s">
        <v>2711</v>
      </c>
      <c r="C7556" t="s">
        <v>126</v>
      </c>
      <c r="D7556" s="1">
        <v>45981</v>
      </c>
      <c r="E7556" t="s">
        <v>4124</v>
      </c>
      <c r="F7556" t="s">
        <v>4137</v>
      </c>
    </row>
    <row r="7557" spans="1:6">
      <c r="A7557" t="s">
        <v>11686</v>
      </c>
      <c r="B7557" t="s">
        <v>2711</v>
      </c>
      <c r="C7557" t="s">
        <v>126</v>
      </c>
      <c r="D7557" s="1">
        <v>45989</v>
      </c>
      <c r="E7557" t="s">
        <v>4133</v>
      </c>
      <c r="F7557" t="s">
        <v>4137</v>
      </c>
    </row>
    <row r="7558" spans="1:6">
      <c r="A7558" t="s">
        <v>11687</v>
      </c>
      <c r="B7558" t="s">
        <v>2711</v>
      </c>
      <c r="C7558" t="s">
        <v>126</v>
      </c>
      <c r="D7558" s="1">
        <v>45978</v>
      </c>
      <c r="E7558" t="s">
        <v>4127</v>
      </c>
      <c r="F7558" t="s">
        <v>4125</v>
      </c>
    </row>
    <row r="7559" spans="1:6">
      <c r="A7559" t="s">
        <v>11688</v>
      </c>
      <c r="B7559" t="s">
        <v>2711</v>
      </c>
      <c r="C7559" t="s">
        <v>126</v>
      </c>
      <c r="D7559" s="1">
        <v>45985</v>
      </c>
      <c r="E7559" t="s">
        <v>4129</v>
      </c>
      <c r="F7559" t="s">
        <v>4125</v>
      </c>
    </row>
    <row r="7560" spans="1:6">
      <c r="A7560" t="s">
        <v>11689</v>
      </c>
      <c r="B7560" t="s">
        <v>2711</v>
      </c>
      <c r="C7560" t="s">
        <v>126</v>
      </c>
      <c r="D7560" s="1">
        <v>45991</v>
      </c>
      <c r="E7560" t="s">
        <v>4133</v>
      </c>
      <c r="F7560" t="s">
        <v>4137</v>
      </c>
    </row>
    <row r="7561" spans="1:6">
      <c r="A7561" t="s">
        <v>11690</v>
      </c>
      <c r="B7561" t="s">
        <v>2712</v>
      </c>
      <c r="C7561" t="s">
        <v>50</v>
      </c>
      <c r="D7561" s="1">
        <v>46019</v>
      </c>
      <c r="E7561" t="s">
        <v>4124</v>
      </c>
      <c r="F7561" t="s">
        <v>4139</v>
      </c>
    </row>
    <row r="7562" spans="1:6">
      <c r="A7562" t="s">
        <v>11691</v>
      </c>
      <c r="B7562" t="s">
        <v>2712</v>
      </c>
      <c r="C7562" t="s">
        <v>50</v>
      </c>
      <c r="D7562" s="1">
        <v>45970</v>
      </c>
      <c r="E7562" t="s">
        <v>4135</v>
      </c>
      <c r="F7562" t="s">
        <v>4125</v>
      </c>
    </row>
    <row r="7563" spans="1:6">
      <c r="A7563" t="s">
        <v>11692</v>
      </c>
      <c r="B7563" t="s">
        <v>2712</v>
      </c>
      <c r="C7563" t="s">
        <v>50</v>
      </c>
      <c r="D7563" s="1">
        <v>45982</v>
      </c>
      <c r="E7563" t="s">
        <v>4135</v>
      </c>
      <c r="F7563" t="s">
        <v>4125</v>
      </c>
    </row>
    <row r="7564" spans="1:6">
      <c r="A7564" t="s">
        <v>11693</v>
      </c>
      <c r="B7564" t="s">
        <v>2713</v>
      </c>
      <c r="C7564" t="s">
        <v>126</v>
      </c>
      <c r="D7564" s="1">
        <v>45743</v>
      </c>
      <c r="E7564" t="s">
        <v>4133</v>
      </c>
      <c r="F7564" t="s">
        <v>4139</v>
      </c>
    </row>
    <row r="7565" spans="1:6">
      <c r="A7565" t="s">
        <v>11694</v>
      </c>
      <c r="B7565" t="s">
        <v>2713</v>
      </c>
      <c r="C7565" t="s">
        <v>126</v>
      </c>
      <c r="D7565" s="1">
        <v>45778</v>
      </c>
      <c r="E7565" t="s">
        <v>4129</v>
      </c>
      <c r="F7565" t="s">
        <v>4125</v>
      </c>
    </row>
    <row r="7566" spans="1:6">
      <c r="A7566" t="s">
        <v>11695</v>
      </c>
      <c r="B7566" t="s">
        <v>2714</v>
      </c>
      <c r="C7566" t="s">
        <v>152</v>
      </c>
      <c r="D7566" s="1">
        <v>45915</v>
      </c>
      <c r="E7566" t="s">
        <v>4129</v>
      </c>
      <c r="F7566" t="s">
        <v>4137</v>
      </c>
    </row>
    <row r="7567" spans="1:6">
      <c r="A7567" t="s">
        <v>11696</v>
      </c>
      <c r="B7567" t="s">
        <v>2714</v>
      </c>
      <c r="C7567" t="s">
        <v>152</v>
      </c>
      <c r="D7567" s="1">
        <v>45926</v>
      </c>
      <c r="E7567" t="s">
        <v>4133</v>
      </c>
      <c r="F7567" t="s">
        <v>4137</v>
      </c>
    </row>
    <row r="7568" spans="1:6">
      <c r="A7568" t="s">
        <v>11697</v>
      </c>
      <c r="B7568" t="s">
        <v>2714</v>
      </c>
      <c r="C7568" t="s">
        <v>152</v>
      </c>
      <c r="D7568" s="1">
        <v>45926</v>
      </c>
      <c r="E7568" t="s">
        <v>4127</v>
      </c>
      <c r="F7568" t="s">
        <v>4137</v>
      </c>
    </row>
    <row r="7569" spans="1:6">
      <c r="A7569" t="s">
        <v>11698</v>
      </c>
      <c r="B7569" t="s">
        <v>2714</v>
      </c>
      <c r="C7569" t="s">
        <v>152</v>
      </c>
      <c r="D7569" s="1">
        <v>45930</v>
      </c>
      <c r="E7569" t="s">
        <v>4129</v>
      </c>
      <c r="F7569" t="s">
        <v>4139</v>
      </c>
    </row>
    <row r="7570" spans="1:6">
      <c r="A7570" t="s">
        <v>11699</v>
      </c>
      <c r="B7570" t="s">
        <v>2715</v>
      </c>
      <c r="C7570" t="s">
        <v>40</v>
      </c>
      <c r="D7570" s="1">
        <v>45898</v>
      </c>
      <c r="E7570" t="s">
        <v>4135</v>
      </c>
      <c r="F7570" t="s">
        <v>4139</v>
      </c>
    </row>
    <row r="7571" spans="1:6">
      <c r="A7571" t="s">
        <v>11700</v>
      </c>
      <c r="B7571" t="s">
        <v>2715</v>
      </c>
      <c r="C7571" t="s">
        <v>40</v>
      </c>
      <c r="D7571" s="1">
        <v>45862</v>
      </c>
      <c r="E7571" t="s">
        <v>4135</v>
      </c>
      <c r="F7571" t="s">
        <v>4125</v>
      </c>
    </row>
    <row r="7572" spans="1:6">
      <c r="A7572" t="s">
        <v>11701</v>
      </c>
      <c r="B7572" t="s">
        <v>2716</v>
      </c>
      <c r="C7572" t="s">
        <v>168</v>
      </c>
      <c r="D7572" s="1">
        <v>45975</v>
      </c>
      <c r="E7572" t="s">
        <v>4127</v>
      </c>
      <c r="F7572" t="s">
        <v>4125</v>
      </c>
    </row>
    <row r="7573" spans="1:6">
      <c r="A7573" t="s">
        <v>11702</v>
      </c>
      <c r="B7573" t="s">
        <v>2716</v>
      </c>
      <c r="C7573" t="s">
        <v>168</v>
      </c>
      <c r="D7573" s="1">
        <v>45981</v>
      </c>
      <c r="E7573" t="s">
        <v>4127</v>
      </c>
      <c r="F7573" t="s">
        <v>4125</v>
      </c>
    </row>
    <row r="7574" spans="1:6">
      <c r="A7574" t="s">
        <v>11703</v>
      </c>
      <c r="B7574" t="s">
        <v>2716</v>
      </c>
      <c r="C7574" t="s">
        <v>168</v>
      </c>
      <c r="D7574" s="1">
        <v>45995</v>
      </c>
      <c r="E7574" t="s">
        <v>4127</v>
      </c>
      <c r="F7574" t="s">
        <v>4137</v>
      </c>
    </row>
    <row r="7575" spans="1:6">
      <c r="A7575" t="s">
        <v>11704</v>
      </c>
      <c r="B7575" t="s">
        <v>2716</v>
      </c>
      <c r="C7575" t="s">
        <v>168</v>
      </c>
      <c r="D7575" s="1">
        <v>45979</v>
      </c>
      <c r="E7575" t="s">
        <v>4124</v>
      </c>
      <c r="F7575" t="s">
        <v>4125</v>
      </c>
    </row>
    <row r="7576" spans="1:6">
      <c r="A7576" t="s">
        <v>11705</v>
      </c>
      <c r="B7576" t="s">
        <v>2716</v>
      </c>
      <c r="C7576" t="s">
        <v>168</v>
      </c>
      <c r="D7576" s="1">
        <v>45988</v>
      </c>
      <c r="E7576" t="s">
        <v>4124</v>
      </c>
      <c r="F7576" t="s">
        <v>4137</v>
      </c>
    </row>
    <row r="7577" spans="1:6">
      <c r="A7577" t="s">
        <v>11706</v>
      </c>
      <c r="B7577" t="s">
        <v>2717</v>
      </c>
      <c r="C7577" t="s">
        <v>152</v>
      </c>
      <c r="D7577" s="1">
        <v>45825</v>
      </c>
      <c r="E7577" t="s">
        <v>4129</v>
      </c>
      <c r="F7577" t="s">
        <v>4137</v>
      </c>
    </row>
    <row r="7578" spans="1:6">
      <c r="A7578" t="s">
        <v>11707</v>
      </c>
      <c r="B7578" t="s">
        <v>2717</v>
      </c>
      <c r="C7578" t="s">
        <v>152</v>
      </c>
      <c r="D7578" s="1">
        <v>45845</v>
      </c>
      <c r="E7578" t="s">
        <v>4133</v>
      </c>
      <c r="F7578" t="s">
        <v>4125</v>
      </c>
    </row>
    <row r="7579" spans="1:6">
      <c r="A7579" t="s">
        <v>11708</v>
      </c>
      <c r="B7579" t="s">
        <v>2718</v>
      </c>
      <c r="C7579" t="s">
        <v>56</v>
      </c>
      <c r="D7579" s="1">
        <v>45944</v>
      </c>
      <c r="E7579" t="s">
        <v>4133</v>
      </c>
      <c r="F7579" t="s">
        <v>4137</v>
      </c>
    </row>
    <row r="7580" spans="1:6">
      <c r="A7580" t="s">
        <v>11709</v>
      </c>
      <c r="B7580" t="s">
        <v>2718</v>
      </c>
      <c r="C7580" t="s">
        <v>56</v>
      </c>
      <c r="D7580" s="1">
        <v>45936</v>
      </c>
      <c r="E7580" t="s">
        <v>4133</v>
      </c>
      <c r="F7580" t="s">
        <v>4139</v>
      </c>
    </row>
    <row r="7581" spans="1:6">
      <c r="A7581" t="s">
        <v>11710</v>
      </c>
      <c r="B7581" t="s">
        <v>2719</v>
      </c>
      <c r="C7581" t="s">
        <v>63</v>
      </c>
      <c r="D7581" s="1">
        <v>46021</v>
      </c>
      <c r="E7581" t="s">
        <v>4124</v>
      </c>
      <c r="F7581" t="s">
        <v>4139</v>
      </c>
    </row>
    <row r="7582" spans="1:6">
      <c r="A7582" t="s">
        <v>11711</v>
      </c>
      <c r="B7582" t="s">
        <v>2719</v>
      </c>
      <c r="C7582" t="s">
        <v>63</v>
      </c>
      <c r="D7582" s="1">
        <v>46012</v>
      </c>
      <c r="E7582" t="s">
        <v>4124</v>
      </c>
      <c r="F7582" t="s">
        <v>4125</v>
      </c>
    </row>
    <row r="7583" spans="1:6">
      <c r="A7583" t="s">
        <v>11712</v>
      </c>
      <c r="B7583" t="s">
        <v>2719</v>
      </c>
      <c r="C7583" t="s">
        <v>63</v>
      </c>
      <c r="D7583" s="1">
        <v>46019</v>
      </c>
      <c r="E7583" t="s">
        <v>4124</v>
      </c>
      <c r="F7583" t="s">
        <v>4139</v>
      </c>
    </row>
    <row r="7584" spans="1:6">
      <c r="A7584" t="s">
        <v>11713</v>
      </c>
      <c r="B7584" t="s">
        <v>2719</v>
      </c>
      <c r="C7584" t="s">
        <v>63</v>
      </c>
      <c r="D7584" s="1">
        <v>46018</v>
      </c>
      <c r="E7584" t="s">
        <v>4127</v>
      </c>
      <c r="F7584" t="s">
        <v>4137</v>
      </c>
    </row>
    <row r="7585" spans="1:6">
      <c r="A7585" t="s">
        <v>11714</v>
      </c>
      <c r="B7585" t="s">
        <v>2720</v>
      </c>
      <c r="C7585" t="s">
        <v>75</v>
      </c>
      <c r="D7585" s="1">
        <v>45795</v>
      </c>
      <c r="E7585" t="s">
        <v>4124</v>
      </c>
      <c r="F7585" t="s">
        <v>4125</v>
      </c>
    </row>
    <row r="7586" spans="1:6">
      <c r="A7586" t="s">
        <v>11715</v>
      </c>
      <c r="B7586" t="s">
        <v>2720</v>
      </c>
      <c r="C7586" t="s">
        <v>75</v>
      </c>
      <c r="D7586" s="1">
        <v>45788</v>
      </c>
      <c r="E7586" t="s">
        <v>4135</v>
      </c>
      <c r="F7586" t="s">
        <v>4125</v>
      </c>
    </row>
    <row r="7587" spans="1:6">
      <c r="A7587" t="s">
        <v>11716</v>
      </c>
      <c r="B7587" t="s">
        <v>2720</v>
      </c>
      <c r="C7587" t="s">
        <v>75</v>
      </c>
      <c r="D7587" s="1">
        <v>45825</v>
      </c>
      <c r="E7587" t="s">
        <v>4135</v>
      </c>
      <c r="F7587" t="s">
        <v>4125</v>
      </c>
    </row>
    <row r="7588" spans="1:6">
      <c r="A7588" t="s">
        <v>11717</v>
      </c>
      <c r="B7588" t="s">
        <v>2721</v>
      </c>
      <c r="C7588" t="s">
        <v>53</v>
      </c>
      <c r="D7588" s="1">
        <v>45849</v>
      </c>
      <c r="E7588" t="s">
        <v>4127</v>
      </c>
      <c r="F7588" t="s">
        <v>4137</v>
      </c>
    </row>
    <row r="7589" spans="1:6">
      <c r="A7589" t="s">
        <v>11718</v>
      </c>
      <c r="B7589" t="s">
        <v>2721</v>
      </c>
      <c r="C7589" t="s">
        <v>53</v>
      </c>
      <c r="D7589" s="1">
        <v>45837</v>
      </c>
      <c r="E7589" t="s">
        <v>4127</v>
      </c>
      <c r="F7589" t="s">
        <v>4139</v>
      </c>
    </row>
    <row r="7590" spans="1:6">
      <c r="A7590" t="s">
        <v>11719</v>
      </c>
      <c r="B7590" t="s">
        <v>2721</v>
      </c>
      <c r="C7590" t="s">
        <v>53</v>
      </c>
      <c r="D7590" s="1">
        <v>45841</v>
      </c>
      <c r="E7590" t="s">
        <v>4129</v>
      </c>
      <c r="F7590" t="s">
        <v>4137</v>
      </c>
    </row>
    <row r="7591" spans="1:6">
      <c r="A7591" t="s">
        <v>11720</v>
      </c>
      <c r="B7591" t="s">
        <v>2721</v>
      </c>
      <c r="C7591" t="s">
        <v>53</v>
      </c>
      <c r="D7591" s="1">
        <v>45834</v>
      </c>
      <c r="E7591" t="s">
        <v>4127</v>
      </c>
      <c r="F7591" t="s">
        <v>4125</v>
      </c>
    </row>
    <row r="7592" spans="1:6">
      <c r="A7592" t="s">
        <v>11721</v>
      </c>
      <c r="B7592" t="s">
        <v>2721</v>
      </c>
      <c r="C7592" t="s">
        <v>53</v>
      </c>
      <c r="D7592" s="1">
        <v>45834</v>
      </c>
      <c r="E7592" t="s">
        <v>4127</v>
      </c>
      <c r="F7592" t="s">
        <v>4137</v>
      </c>
    </row>
    <row r="7593" spans="1:6">
      <c r="A7593" t="s">
        <v>11722</v>
      </c>
      <c r="B7593" t="s">
        <v>2722</v>
      </c>
      <c r="C7593" t="s">
        <v>53</v>
      </c>
      <c r="D7593" s="1">
        <v>45999</v>
      </c>
      <c r="E7593" t="s">
        <v>4129</v>
      </c>
      <c r="F7593" t="s">
        <v>4137</v>
      </c>
    </row>
    <row r="7594" spans="1:6">
      <c r="A7594" t="s">
        <v>11723</v>
      </c>
      <c r="B7594" t="s">
        <v>2722</v>
      </c>
      <c r="C7594" t="s">
        <v>53</v>
      </c>
      <c r="D7594" s="1">
        <v>46005</v>
      </c>
      <c r="E7594" t="s">
        <v>4135</v>
      </c>
      <c r="F7594" t="s">
        <v>4137</v>
      </c>
    </row>
    <row r="7595" spans="1:6">
      <c r="A7595" t="s">
        <v>11724</v>
      </c>
      <c r="B7595" t="s">
        <v>2722</v>
      </c>
      <c r="C7595" t="s">
        <v>53</v>
      </c>
      <c r="D7595" s="1">
        <v>46001</v>
      </c>
      <c r="E7595" t="s">
        <v>4133</v>
      </c>
      <c r="F7595" t="s">
        <v>4125</v>
      </c>
    </row>
    <row r="7596" spans="1:6">
      <c r="A7596" t="s">
        <v>11725</v>
      </c>
      <c r="B7596" t="s">
        <v>2722</v>
      </c>
      <c r="C7596" t="s">
        <v>53</v>
      </c>
      <c r="D7596" s="1">
        <v>46011</v>
      </c>
      <c r="E7596" t="s">
        <v>4127</v>
      </c>
      <c r="F7596" t="s">
        <v>4125</v>
      </c>
    </row>
    <row r="7597" spans="1:6">
      <c r="A7597" t="s">
        <v>11726</v>
      </c>
      <c r="B7597" t="s">
        <v>2723</v>
      </c>
      <c r="C7597" t="s">
        <v>56</v>
      </c>
      <c r="D7597" s="1">
        <v>45718</v>
      </c>
      <c r="E7597" t="s">
        <v>4129</v>
      </c>
      <c r="F7597" t="s">
        <v>4137</v>
      </c>
    </row>
    <row r="7598" spans="1:6">
      <c r="A7598" t="s">
        <v>11727</v>
      </c>
      <c r="B7598" t="s">
        <v>2723</v>
      </c>
      <c r="C7598" t="s">
        <v>56</v>
      </c>
      <c r="D7598" s="1">
        <v>45746</v>
      </c>
      <c r="E7598" t="s">
        <v>4129</v>
      </c>
      <c r="F7598" t="s">
        <v>4125</v>
      </c>
    </row>
    <row r="7599" spans="1:6">
      <c r="A7599" t="s">
        <v>11728</v>
      </c>
      <c r="B7599" t="s">
        <v>2723</v>
      </c>
      <c r="C7599" t="s">
        <v>56</v>
      </c>
      <c r="D7599" s="1">
        <v>45727</v>
      </c>
      <c r="E7599" t="s">
        <v>4129</v>
      </c>
      <c r="F7599" t="s">
        <v>4137</v>
      </c>
    </row>
    <row r="7600" spans="1:6">
      <c r="A7600" t="s">
        <v>11729</v>
      </c>
      <c r="B7600" t="s">
        <v>2723</v>
      </c>
      <c r="C7600" t="s">
        <v>56</v>
      </c>
      <c r="D7600" s="1">
        <v>45724</v>
      </c>
      <c r="E7600" t="s">
        <v>4129</v>
      </c>
      <c r="F7600" t="s">
        <v>4125</v>
      </c>
    </row>
    <row r="7601" spans="1:6">
      <c r="A7601" t="s">
        <v>11730</v>
      </c>
      <c r="B7601" t="s">
        <v>2724</v>
      </c>
      <c r="C7601" t="s">
        <v>91</v>
      </c>
      <c r="D7601" s="1">
        <v>46001</v>
      </c>
      <c r="E7601" t="s">
        <v>4127</v>
      </c>
      <c r="F7601" t="s">
        <v>4125</v>
      </c>
    </row>
    <row r="7602" spans="1:6">
      <c r="A7602" t="s">
        <v>11731</v>
      </c>
      <c r="B7602" t="s">
        <v>2724</v>
      </c>
      <c r="C7602" t="s">
        <v>91</v>
      </c>
      <c r="D7602" s="1">
        <v>46012</v>
      </c>
      <c r="E7602" t="s">
        <v>4124</v>
      </c>
      <c r="F7602" t="s">
        <v>4139</v>
      </c>
    </row>
    <row r="7603" spans="1:6">
      <c r="A7603" t="s">
        <v>11732</v>
      </c>
      <c r="B7603" t="s">
        <v>2724</v>
      </c>
      <c r="C7603" t="s">
        <v>91</v>
      </c>
      <c r="D7603" s="1">
        <v>46022</v>
      </c>
      <c r="E7603" t="s">
        <v>4124</v>
      </c>
      <c r="F7603" t="s">
        <v>4139</v>
      </c>
    </row>
    <row r="7604" spans="1:6">
      <c r="A7604" t="s">
        <v>11733</v>
      </c>
      <c r="B7604" t="s">
        <v>2724</v>
      </c>
      <c r="C7604" t="s">
        <v>91</v>
      </c>
      <c r="D7604" s="1">
        <v>46020</v>
      </c>
      <c r="E7604" t="s">
        <v>4129</v>
      </c>
      <c r="F7604" t="s">
        <v>4137</v>
      </c>
    </row>
    <row r="7605" spans="1:6">
      <c r="A7605" t="s">
        <v>11734</v>
      </c>
      <c r="B7605" t="s">
        <v>2725</v>
      </c>
      <c r="C7605" t="s">
        <v>36</v>
      </c>
      <c r="D7605" s="1">
        <v>45804</v>
      </c>
      <c r="E7605" t="s">
        <v>4135</v>
      </c>
      <c r="F7605" t="s">
        <v>4125</v>
      </c>
    </row>
    <row r="7606" spans="1:6">
      <c r="A7606" t="s">
        <v>11735</v>
      </c>
      <c r="B7606" t="s">
        <v>2725</v>
      </c>
      <c r="C7606" t="s">
        <v>36</v>
      </c>
      <c r="D7606" s="1">
        <v>45821</v>
      </c>
      <c r="E7606" t="s">
        <v>4129</v>
      </c>
      <c r="F7606" t="s">
        <v>4137</v>
      </c>
    </row>
    <row r="7607" spans="1:6">
      <c r="A7607" t="s">
        <v>11736</v>
      </c>
      <c r="B7607" t="s">
        <v>2726</v>
      </c>
      <c r="C7607" t="s">
        <v>36</v>
      </c>
      <c r="D7607" s="1">
        <v>45706</v>
      </c>
      <c r="E7607" t="s">
        <v>4124</v>
      </c>
      <c r="F7607" t="s">
        <v>4125</v>
      </c>
    </row>
    <row r="7608" spans="1:6">
      <c r="A7608" t="s">
        <v>11737</v>
      </c>
      <c r="B7608" t="s">
        <v>2726</v>
      </c>
      <c r="C7608" t="s">
        <v>36</v>
      </c>
      <c r="D7608" s="1">
        <v>45712</v>
      </c>
      <c r="E7608" t="s">
        <v>4135</v>
      </c>
      <c r="F7608" t="s">
        <v>4139</v>
      </c>
    </row>
    <row r="7609" spans="1:6">
      <c r="A7609" t="s">
        <v>11738</v>
      </c>
      <c r="B7609" t="s">
        <v>2726</v>
      </c>
      <c r="C7609" t="s">
        <v>36</v>
      </c>
      <c r="D7609" s="1">
        <v>45700</v>
      </c>
      <c r="E7609" t="s">
        <v>4129</v>
      </c>
      <c r="F7609" t="s">
        <v>4139</v>
      </c>
    </row>
    <row r="7610" spans="1:6">
      <c r="A7610" t="s">
        <v>11739</v>
      </c>
      <c r="B7610" t="s">
        <v>2726</v>
      </c>
      <c r="C7610" t="s">
        <v>36</v>
      </c>
      <c r="D7610" s="1">
        <v>45695</v>
      </c>
      <c r="E7610" t="s">
        <v>4133</v>
      </c>
      <c r="F7610" t="s">
        <v>4137</v>
      </c>
    </row>
    <row r="7611" spans="1:6">
      <c r="A7611" t="s">
        <v>11740</v>
      </c>
      <c r="B7611" t="s">
        <v>2727</v>
      </c>
      <c r="C7611" t="s">
        <v>91</v>
      </c>
      <c r="D7611" s="1">
        <v>45813</v>
      </c>
      <c r="E7611" t="s">
        <v>4133</v>
      </c>
      <c r="F7611" t="s">
        <v>4137</v>
      </c>
    </row>
    <row r="7612" spans="1:6">
      <c r="A7612" t="s">
        <v>11741</v>
      </c>
      <c r="B7612" t="s">
        <v>2727</v>
      </c>
      <c r="C7612" t="s">
        <v>91</v>
      </c>
      <c r="D7612" s="1">
        <v>45822</v>
      </c>
      <c r="E7612" t="s">
        <v>4133</v>
      </c>
      <c r="F7612" t="s">
        <v>4125</v>
      </c>
    </row>
    <row r="7613" spans="1:6">
      <c r="A7613" t="s">
        <v>11742</v>
      </c>
      <c r="B7613" t="s">
        <v>2727</v>
      </c>
      <c r="C7613" t="s">
        <v>91</v>
      </c>
      <c r="D7613" s="1">
        <v>45811</v>
      </c>
      <c r="E7613" t="s">
        <v>4127</v>
      </c>
      <c r="F7613" t="s">
        <v>4137</v>
      </c>
    </row>
    <row r="7614" spans="1:6">
      <c r="A7614" t="s">
        <v>11743</v>
      </c>
      <c r="B7614" t="s">
        <v>2727</v>
      </c>
      <c r="C7614" t="s">
        <v>91</v>
      </c>
      <c r="D7614" s="1">
        <v>45809</v>
      </c>
      <c r="E7614" t="s">
        <v>4127</v>
      </c>
      <c r="F7614" t="s">
        <v>4137</v>
      </c>
    </row>
    <row r="7615" spans="1:6">
      <c r="A7615" t="s">
        <v>11744</v>
      </c>
      <c r="B7615" t="s">
        <v>2728</v>
      </c>
      <c r="C7615" t="s">
        <v>59</v>
      </c>
      <c r="D7615" s="1">
        <v>45736</v>
      </c>
      <c r="E7615" t="s">
        <v>4127</v>
      </c>
      <c r="F7615" t="s">
        <v>4139</v>
      </c>
    </row>
    <row r="7616" spans="1:6">
      <c r="A7616" t="s">
        <v>11745</v>
      </c>
      <c r="B7616" t="s">
        <v>2728</v>
      </c>
      <c r="C7616" t="s">
        <v>59</v>
      </c>
      <c r="D7616" s="1">
        <v>45722</v>
      </c>
      <c r="E7616" t="s">
        <v>4127</v>
      </c>
      <c r="F7616" t="s">
        <v>4139</v>
      </c>
    </row>
    <row r="7617" spans="1:6">
      <c r="A7617" t="s">
        <v>11746</v>
      </c>
      <c r="B7617" t="s">
        <v>2729</v>
      </c>
      <c r="C7617" t="s">
        <v>91</v>
      </c>
      <c r="D7617" s="1">
        <v>45981</v>
      </c>
      <c r="E7617" t="s">
        <v>4129</v>
      </c>
      <c r="F7617" t="s">
        <v>4139</v>
      </c>
    </row>
    <row r="7618" spans="1:6">
      <c r="A7618" t="s">
        <v>11747</v>
      </c>
      <c r="B7618" t="s">
        <v>2729</v>
      </c>
      <c r="C7618" t="s">
        <v>91</v>
      </c>
      <c r="D7618" s="1">
        <v>46017</v>
      </c>
      <c r="E7618" t="s">
        <v>4133</v>
      </c>
      <c r="F7618" t="s">
        <v>4125</v>
      </c>
    </row>
    <row r="7619" spans="1:6">
      <c r="A7619" t="s">
        <v>11748</v>
      </c>
      <c r="B7619" t="s">
        <v>2729</v>
      </c>
      <c r="C7619" t="s">
        <v>91</v>
      </c>
      <c r="D7619" s="1">
        <v>45996</v>
      </c>
      <c r="E7619" t="s">
        <v>4133</v>
      </c>
      <c r="F7619" t="s">
        <v>4125</v>
      </c>
    </row>
    <row r="7620" spans="1:6">
      <c r="A7620" t="s">
        <v>11749</v>
      </c>
      <c r="B7620" t="s">
        <v>2729</v>
      </c>
      <c r="C7620" t="s">
        <v>91</v>
      </c>
      <c r="D7620" s="1">
        <v>46002</v>
      </c>
      <c r="E7620" t="s">
        <v>4129</v>
      </c>
      <c r="F7620" t="s">
        <v>4137</v>
      </c>
    </row>
    <row r="7621" spans="1:6">
      <c r="A7621" t="s">
        <v>11750</v>
      </c>
      <c r="B7621" t="s">
        <v>2729</v>
      </c>
      <c r="C7621" t="s">
        <v>91</v>
      </c>
      <c r="D7621" s="1">
        <v>46011</v>
      </c>
      <c r="E7621" t="s">
        <v>4127</v>
      </c>
      <c r="F7621" t="s">
        <v>4125</v>
      </c>
    </row>
    <row r="7622" spans="1:6">
      <c r="A7622" t="s">
        <v>11751</v>
      </c>
      <c r="B7622" t="s">
        <v>2730</v>
      </c>
      <c r="C7622" t="s">
        <v>119</v>
      </c>
      <c r="D7622" s="1">
        <v>45738</v>
      </c>
      <c r="E7622" t="s">
        <v>4129</v>
      </c>
      <c r="F7622" t="s">
        <v>4137</v>
      </c>
    </row>
    <row r="7623" spans="1:6">
      <c r="A7623" t="s">
        <v>11752</v>
      </c>
      <c r="B7623" t="s">
        <v>2730</v>
      </c>
      <c r="C7623" t="s">
        <v>119</v>
      </c>
      <c r="D7623" s="1">
        <v>45790</v>
      </c>
      <c r="E7623" t="s">
        <v>4135</v>
      </c>
      <c r="F7623" t="s">
        <v>4125</v>
      </c>
    </row>
    <row r="7624" spans="1:6">
      <c r="A7624" t="s">
        <v>11753</v>
      </c>
      <c r="B7624" t="s">
        <v>2730</v>
      </c>
      <c r="C7624" t="s">
        <v>119</v>
      </c>
      <c r="D7624" s="1">
        <v>45797</v>
      </c>
      <c r="E7624" t="s">
        <v>4135</v>
      </c>
      <c r="F7624" t="s">
        <v>4137</v>
      </c>
    </row>
    <row r="7625" spans="1:6">
      <c r="A7625" t="s">
        <v>11754</v>
      </c>
      <c r="B7625" t="s">
        <v>2731</v>
      </c>
      <c r="C7625" t="s">
        <v>59</v>
      </c>
      <c r="D7625" s="1">
        <v>45678</v>
      </c>
      <c r="E7625" t="s">
        <v>4127</v>
      </c>
      <c r="F7625" t="s">
        <v>4137</v>
      </c>
    </row>
    <row r="7626" spans="1:6">
      <c r="A7626" t="s">
        <v>11755</v>
      </c>
      <c r="B7626" t="s">
        <v>2731</v>
      </c>
      <c r="C7626" t="s">
        <v>59</v>
      </c>
      <c r="D7626" s="1">
        <v>45717</v>
      </c>
      <c r="E7626" t="s">
        <v>4133</v>
      </c>
      <c r="F7626" t="s">
        <v>4137</v>
      </c>
    </row>
    <row r="7627" spans="1:6">
      <c r="A7627" t="s">
        <v>11756</v>
      </c>
      <c r="B7627" t="s">
        <v>2732</v>
      </c>
      <c r="C7627" t="s">
        <v>119</v>
      </c>
      <c r="D7627" s="1">
        <v>45940</v>
      </c>
      <c r="E7627" t="s">
        <v>4135</v>
      </c>
      <c r="F7627" t="s">
        <v>4125</v>
      </c>
    </row>
    <row r="7628" spans="1:6">
      <c r="A7628" t="s">
        <v>11757</v>
      </c>
      <c r="B7628" t="s">
        <v>2732</v>
      </c>
      <c r="C7628" t="s">
        <v>119</v>
      </c>
      <c r="D7628" s="1">
        <v>45885</v>
      </c>
      <c r="E7628" t="s">
        <v>4135</v>
      </c>
      <c r="F7628" t="s">
        <v>4137</v>
      </c>
    </row>
    <row r="7629" spans="1:6">
      <c r="A7629" t="s">
        <v>11758</v>
      </c>
      <c r="B7629" t="s">
        <v>2732</v>
      </c>
      <c r="C7629" t="s">
        <v>119</v>
      </c>
      <c r="D7629" s="1">
        <v>45907</v>
      </c>
      <c r="E7629" t="s">
        <v>4135</v>
      </c>
      <c r="F7629" t="s">
        <v>4137</v>
      </c>
    </row>
    <row r="7630" spans="1:6">
      <c r="A7630" t="s">
        <v>11759</v>
      </c>
      <c r="B7630" t="s">
        <v>2732</v>
      </c>
      <c r="C7630" t="s">
        <v>119</v>
      </c>
      <c r="D7630" s="1">
        <v>45928</v>
      </c>
      <c r="E7630" t="s">
        <v>4135</v>
      </c>
      <c r="F7630" t="s">
        <v>4137</v>
      </c>
    </row>
    <row r="7631" spans="1:6">
      <c r="A7631" t="s">
        <v>11760</v>
      </c>
      <c r="B7631" t="s">
        <v>2732</v>
      </c>
      <c r="C7631" t="s">
        <v>119</v>
      </c>
      <c r="D7631" s="1">
        <v>45899</v>
      </c>
      <c r="E7631" t="s">
        <v>4124</v>
      </c>
      <c r="F7631" t="s">
        <v>4139</v>
      </c>
    </row>
    <row r="7632" spans="1:6">
      <c r="A7632" t="s">
        <v>11761</v>
      </c>
      <c r="B7632" t="s">
        <v>2733</v>
      </c>
      <c r="C7632" t="s">
        <v>63</v>
      </c>
      <c r="D7632" s="1">
        <v>45841</v>
      </c>
      <c r="E7632" t="s">
        <v>4127</v>
      </c>
      <c r="F7632" t="s">
        <v>4139</v>
      </c>
    </row>
    <row r="7633" spans="1:6">
      <c r="A7633" t="s">
        <v>11762</v>
      </c>
      <c r="B7633" t="s">
        <v>2733</v>
      </c>
      <c r="C7633" t="s">
        <v>63</v>
      </c>
      <c r="D7633" s="1">
        <v>45850</v>
      </c>
      <c r="E7633" t="s">
        <v>4129</v>
      </c>
      <c r="F7633" t="s">
        <v>4125</v>
      </c>
    </row>
    <row r="7634" spans="1:6">
      <c r="A7634" t="s">
        <v>11763</v>
      </c>
      <c r="B7634" t="s">
        <v>2733</v>
      </c>
      <c r="C7634" t="s">
        <v>63</v>
      </c>
      <c r="D7634" s="1">
        <v>45863</v>
      </c>
      <c r="E7634" t="s">
        <v>4124</v>
      </c>
      <c r="F7634" t="s">
        <v>4139</v>
      </c>
    </row>
    <row r="7635" spans="1:6">
      <c r="A7635" t="s">
        <v>11764</v>
      </c>
      <c r="B7635" t="s">
        <v>2733</v>
      </c>
      <c r="C7635" t="s">
        <v>63</v>
      </c>
      <c r="D7635" s="1">
        <v>45830</v>
      </c>
      <c r="E7635" t="s">
        <v>4127</v>
      </c>
      <c r="F7635" t="s">
        <v>4125</v>
      </c>
    </row>
    <row r="7636" spans="1:6">
      <c r="A7636" t="s">
        <v>11765</v>
      </c>
      <c r="B7636" t="s">
        <v>2733</v>
      </c>
      <c r="C7636" t="s">
        <v>63</v>
      </c>
      <c r="D7636" s="1">
        <v>45818</v>
      </c>
      <c r="E7636" t="s">
        <v>4129</v>
      </c>
      <c r="F7636" t="s">
        <v>4125</v>
      </c>
    </row>
    <row r="7637" spans="1:6">
      <c r="A7637" t="s">
        <v>11766</v>
      </c>
      <c r="B7637" t="s">
        <v>2734</v>
      </c>
      <c r="C7637" t="s">
        <v>70</v>
      </c>
      <c r="D7637" s="1">
        <v>45961</v>
      </c>
      <c r="E7637" t="s">
        <v>4129</v>
      </c>
      <c r="F7637" t="s">
        <v>4139</v>
      </c>
    </row>
    <row r="7638" spans="1:6">
      <c r="A7638" t="s">
        <v>11767</v>
      </c>
      <c r="B7638" t="s">
        <v>2734</v>
      </c>
      <c r="C7638" t="s">
        <v>70</v>
      </c>
      <c r="D7638" s="1">
        <v>45940</v>
      </c>
      <c r="E7638" t="s">
        <v>4135</v>
      </c>
      <c r="F7638" t="s">
        <v>4125</v>
      </c>
    </row>
    <row r="7639" spans="1:6">
      <c r="A7639" t="s">
        <v>11768</v>
      </c>
      <c r="B7639" t="s">
        <v>2734</v>
      </c>
      <c r="C7639" t="s">
        <v>70</v>
      </c>
      <c r="D7639" s="1">
        <v>45942</v>
      </c>
      <c r="E7639" t="s">
        <v>4127</v>
      </c>
      <c r="F7639" t="s">
        <v>4125</v>
      </c>
    </row>
    <row r="7640" spans="1:6">
      <c r="A7640" t="s">
        <v>11769</v>
      </c>
      <c r="B7640" t="s">
        <v>2735</v>
      </c>
      <c r="C7640" t="s">
        <v>168</v>
      </c>
      <c r="D7640" s="1">
        <v>45932</v>
      </c>
      <c r="E7640" t="s">
        <v>4135</v>
      </c>
      <c r="F7640" t="s">
        <v>4139</v>
      </c>
    </row>
    <row r="7641" spans="1:6">
      <c r="A7641" t="s">
        <v>11770</v>
      </c>
      <c r="B7641" t="s">
        <v>2735</v>
      </c>
      <c r="C7641" t="s">
        <v>168</v>
      </c>
      <c r="D7641" s="1">
        <v>45907</v>
      </c>
      <c r="E7641" t="s">
        <v>4129</v>
      </c>
      <c r="F7641" t="s">
        <v>4137</v>
      </c>
    </row>
    <row r="7642" spans="1:6">
      <c r="A7642" t="s">
        <v>11771</v>
      </c>
      <c r="B7642" t="s">
        <v>2736</v>
      </c>
      <c r="C7642" t="s">
        <v>46</v>
      </c>
      <c r="D7642" s="1">
        <v>45724</v>
      </c>
      <c r="E7642" t="s">
        <v>4135</v>
      </c>
      <c r="F7642" t="s">
        <v>4137</v>
      </c>
    </row>
    <row r="7643" spans="1:6">
      <c r="A7643" t="s">
        <v>11772</v>
      </c>
      <c r="B7643" t="s">
        <v>2736</v>
      </c>
      <c r="C7643" t="s">
        <v>46</v>
      </c>
      <c r="D7643" s="1">
        <v>45756</v>
      </c>
      <c r="E7643" t="s">
        <v>4127</v>
      </c>
      <c r="F7643" t="s">
        <v>4139</v>
      </c>
    </row>
    <row r="7644" spans="1:6">
      <c r="A7644" t="s">
        <v>11773</v>
      </c>
      <c r="B7644" t="s">
        <v>2736</v>
      </c>
      <c r="C7644" t="s">
        <v>46</v>
      </c>
      <c r="D7644" s="1">
        <v>45751</v>
      </c>
      <c r="E7644" t="s">
        <v>4129</v>
      </c>
      <c r="F7644" t="s">
        <v>4125</v>
      </c>
    </row>
    <row r="7645" spans="1:6">
      <c r="A7645" t="s">
        <v>11774</v>
      </c>
      <c r="B7645" t="s">
        <v>2736</v>
      </c>
      <c r="C7645" t="s">
        <v>46</v>
      </c>
      <c r="D7645" s="1">
        <v>45732</v>
      </c>
      <c r="E7645" t="s">
        <v>4133</v>
      </c>
      <c r="F7645" t="s">
        <v>4137</v>
      </c>
    </row>
    <row r="7646" spans="1:6">
      <c r="A7646" t="s">
        <v>11775</v>
      </c>
      <c r="B7646" t="s">
        <v>2736</v>
      </c>
      <c r="C7646" t="s">
        <v>46</v>
      </c>
      <c r="D7646" s="1">
        <v>45769</v>
      </c>
      <c r="E7646" t="s">
        <v>4129</v>
      </c>
      <c r="F7646" t="s">
        <v>4139</v>
      </c>
    </row>
    <row r="7647" spans="1:6">
      <c r="A7647" t="s">
        <v>11776</v>
      </c>
      <c r="B7647" t="s">
        <v>2738</v>
      </c>
      <c r="C7647" t="s">
        <v>126</v>
      </c>
      <c r="D7647" s="1">
        <v>45933</v>
      </c>
      <c r="E7647" t="s">
        <v>4127</v>
      </c>
      <c r="F7647" t="s">
        <v>4125</v>
      </c>
    </row>
    <row r="7648" spans="1:6">
      <c r="A7648" t="s">
        <v>11777</v>
      </c>
      <c r="B7648" t="s">
        <v>2738</v>
      </c>
      <c r="C7648" t="s">
        <v>126</v>
      </c>
      <c r="D7648" s="1">
        <v>45913</v>
      </c>
      <c r="E7648" t="s">
        <v>4133</v>
      </c>
      <c r="F7648" t="s">
        <v>4137</v>
      </c>
    </row>
    <row r="7649" spans="1:6">
      <c r="A7649" t="s">
        <v>11778</v>
      </c>
      <c r="B7649" t="s">
        <v>2739</v>
      </c>
      <c r="C7649" t="s">
        <v>56</v>
      </c>
      <c r="D7649" s="1">
        <v>45772</v>
      </c>
      <c r="E7649" t="s">
        <v>4135</v>
      </c>
      <c r="F7649" t="s">
        <v>4125</v>
      </c>
    </row>
    <row r="7650" spans="1:6">
      <c r="A7650" t="s">
        <v>11779</v>
      </c>
      <c r="B7650" t="s">
        <v>2739</v>
      </c>
      <c r="C7650" t="s">
        <v>56</v>
      </c>
      <c r="D7650" s="1">
        <v>45787</v>
      </c>
      <c r="E7650" t="s">
        <v>4124</v>
      </c>
      <c r="F7650" t="s">
        <v>4137</v>
      </c>
    </row>
    <row r="7651" spans="1:6">
      <c r="A7651" t="s">
        <v>11780</v>
      </c>
      <c r="B7651" t="s">
        <v>2739</v>
      </c>
      <c r="C7651" t="s">
        <v>56</v>
      </c>
      <c r="D7651" s="1">
        <v>45804</v>
      </c>
      <c r="E7651" t="s">
        <v>4124</v>
      </c>
      <c r="F7651" t="s">
        <v>4139</v>
      </c>
    </row>
    <row r="7652" spans="1:6">
      <c r="A7652" t="s">
        <v>11781</v>
      </c>
      <c r="B7652" t="s">
        <v>2739</v>
      </c>
      <c r="C7652" t="s">
        <v>56</v>
      </c>
      <c r="D7652" s="1">
        <v>45821</v>
      </c>
      <c r="E7652" t="s">
        <v>4124</v>
      </c>
      <c r="F7652" t="s">
        <v>4137</v>
      </c>
    </row>
    <row r="7653" spans="1:6">
      <c r="A7653" t="s">
        <v>11782</v>
      </c>
      <c r="B7653" t="s">
        <v>2739</v>
      </c>
      <c r="C7653" t="s">
        <v>56</v>
      </c>
      <c r="D7653" s="1">
        <v>45792</v>
      </c>
      <c r="E7653" t="s">
        <v>4127</v>
      </c>
      <c r="F7653" t="s">
        <v>4137</v>
      </c>
    </row>
    <row r="7654" spans="1:6">
      <c r="A7654" t="s">
        <v>11783</v>
      </c>
      <c r="B7654" t="s">
        <v>2740</v>
      </c>
      <c r="C7654" t="s">
        <v>22</v>
      </c>
      <c r="D7654" s="1">
        <v>45812</v>
      </c>
      <c r="E7654" t="s">
        <v>4135</v>
      </c>
      <c r="F7654" t="s">
        <v>4137</v>
      </c>
    </row>
    <row r="7655" spans="1:6">
      <c r="A7655" t="s">
        <v>11784</v>
      </c>
      <c r="B7655" t="s">
        <v>2740</v>
      </c>
      <c r="C7655" t="s">
        <v>22</v>
      </c>
      <c r="D7655" s="1">
        <v>45782</v>
      </c>
      <c r="E7655" t="s">
        <v>4127</v>
      </c>
      <c r="F7655" t="s">
        <v>4139</v>
      </c>
    </row>
    <row r="7656" spans="1:6">
      <c r="A7656" t="s">
        <v>11785</v>
      </c>
      <c r="B7656" t="s">
        <v>2740</v>
      </c>
      <c r="C7656" t="s">
        <v>22</v>
      </c>
      <c r="D7656" s="1">
        <v>45793</v>
      </c>
      <c r="E7656" t="s">
        <v>4127</v>
      </c>
      <c r="F7656" t="s">
        <v>4125</v>
      </c>
    </row>
    <row r="7657" spans="1:6">
      <c r="A7657" t="s">
        <v>11786</v>
      </c>
      <c r="B7657" t="s">
        <v>2740</v>
      </c>
      <c r="C7657" t="s">
        <v>22</v>
      </c>
      <c r="D7657" s="1">
        <v>45829</v>
      </c>
      <c r="E7657" t="s">
        <v>4129</v>
      </c>
      <c r="F7657" t="s">
        <v>4125</v>
      </c>
    </row>
    <row r="7658" spans="1:6">
      <c r="A7658" t="s">
        <v>11787</v>
      </c>
      <c r="B7658" t="s">
        <v>2740</v>
      </c>
      <c r="C7658" t="s">
        <v>22</v>
      </c>
      <c r="D7658" s="1">
        <v>45821</v>
      </c>
      <c r="E7658" t="s">
        <v>4129</v>
      </c>
      <c r="F7658" t="s">
        <v>4125</v>
      </c>
    </row>
    <row r="7659" spans="1:6">
      <c r="A7659" t="s">
        <v>11788</v>
      </c>
      <c r="B7659" t="s">
        <v>2741</v>
      </c>
      <c r="C7659" t="s">
        <v>56</v>
      </c>
      <c r="D7659" s="1">
        <v>45883</v>
      </c>
      <c r="E7659" t="s">
        <v>4129</v>
      </c>
      <c r="F7659" t="s">
        <v>4137</v>
      </c>
    </row>
    <row r="7660" spans="1:6">
      <c r="A7660" t="s">
        <v>11789</v>
      </c>
      <c r="B7660" t="s">
        <v>2741</v>
      </c>
      <c r="C7660" t="s">
        <v>56</v>
      </c>
      <c r="D7660" s="1">
        <v>45867</v>
      </c>
      <c r="E7660" t="s">
        <v>4124</v>
      </c>
      <c r="F7660" t="s">
        <v>4125</v>
      </c>
    </row>
    <row r="7661" spans="1:6">
      <c r="A7661" t="s">
        <v>11790</v>
      </c>
      <c r="B7661" t="s">
        <v>2741</v>
      </c>
      <c r="C7661" t="s">
        <v>56</v>
      </c>
      <c r="D7661" s="1">
        <v>45840</v>
      </c>
      <c r="E7661" t="s">
        <v>4133</v>
      </c>
      <c r="F7661" t="s">
        <v>4125</v>
      </c>
    </row>
    <row r="7662" spans="1:6">
      <c r="A7662" t="s">
        <v>11791</v>
      </c>
      <c r="B7662" t="s">
        <v>2741</v>
      </c>
      <c r="C7662" t="s">
        <v>56</v>
      </c>
      <c r="D7662" s="1">
        <v>45823</v>
      </c>
      <c r="E7662" t="s">
        <v>4135</v>
      </c>
      <c r="F7662" t="s">
        <v>4137</v>
      </c>
    </row>
    <row r="7663" spans="1:6">
      <c r="A7663" t="s">
        <v>11792</v>
      </c>
      <c r="B7663" t="s">
        <v>2742</v>
      </c>
      <c r="C7663" t="s">
        <v>70</v>
      </c>
      <c r="D7663" s="1">
        <v>45810</v>
      </c>
      <c r="E7663" t="s">
        <v>4124</v>
      </c>
      <c r="F7663" t="s">
        <v>4139</v>
      </c>
    </row>
    <row r="7664" spans="1:6">
      <c r="A7664" t="s">
        <v>11793</v>
      </c>
      <c r="B7664" t="s">
        <v>2742</v>
      </c>
      <c r="C7664" t="s">
        <v>70</v>
      </c>
      <c r="D7664" s="1">
        <v>45812</v>
      </c>
      <c r="E7664" t="s">
        <v>4133</v>
      </c>
      <c r="F7664" t="s">
        <v>4137</v>
      </c>
    </row>
    <row r="7665" spans="1:6">
      <c r="A7665" t="s">
        <v>11794</v>
      </c>
      <c r="B7665" t="s">
        <v>2743</v>
      </c>
      <c r="C7665" t="s">
        <v>46</v>
      </c>
      <c r="D7665" s="1">
        <v>45743</v>
      </c>
      <c r="E7665" t="s">
        <v>4127</v>
      </c>
      <c r="F7665" t="s">
        <v>4139</v>
      </c>
    </row>
    <row r="7666" spans="1:6">
      <c r="A7666" t="s">
        <v>11795</v>
      </c>
      <c r="B7666" t="s">
        <v>2743</v>
      </c>
      <c r="C7666" t="s">
        <v>46</v>
      </c>
      <c r="D7666" s="1">
        <v>45747</v>
      </c>
      <c r="E7666" t="s">
        <v>4127</v>
      </c>
      <c r="F7666" t="s">
        <v>4137</v>
      </c>
    </row>
    <row r="7667" spans="1:6">
      <c r="A7667" t="s">
        <v>11796</v>
      </c>
      <c r="B7667" t="s">
        <v>2743</v>
      </c>
      <c r="C7667" t="s">
        <v>46</v>
      </c>
      <c r="D7667" s="1">
        <v>45744</v>
      </c>
      <c r="E7667" t="s">
        <v>4127</v>
      </c>
      <c r="F7667" t="s">
        <v>4139</v>
      </c>
    </row>
    <row r="7668" spans="1:6">
      <c r="A7668" t="s">
        <v>11797</v>
      </c>
      <c r="B7668" t="s">
        <v>2744</v>
      </c>
      <c r="C7668" t="s">
        <v>16</v>
      </c>
      <c r="D7668" s="1">
        <v>45829</v>
      </c>
      <c r="E7668" t="s">
        <v>4124</v>
      </c>
      <c r="F7668" t="s">
        <v>4125</v>
      </c>
    </row>
    <row r="7669" spans="1:6">
      <c r="A7669" t="s">
        <v>11798</v>
      </c>
      <c r="B7669" t="s">
        <v>2744</v>
      </c>
      <c r="C7669" t="s">
        <v>16</v>
      </c>
      <c r="D7669" s="1">
        <v>45838</v>
      </c>
      <c r="E7669" t="s">
        <v>4133</v>
      </c>
      <c r="F7669" t="s">
        <v>4125</v>
      </c>
    </row>
    <row r="7670" spans="1:6">
      <c r="A7670" t="s">
        <v>11799</v>
      </c>
      <c r="B7670" t="s">
        <v>2744</v>
      </c>
      <c r="C7670" t="s">
        <v>16</v>
      </c>
      <c r="D7670" s="1">
        <v>45835</v>
      </c>
      <c r="E7670" t="s">
        <v>4127</v>
      </c>
      <c r="F7670" t="s">
        <v>4125</v>
      </c>
    </row>
    <row r="7671" spans="1:6">
      <c r="A7671" t="s">
        <v>11800</v>
      </c>
      <c r="B7671" t="s">
        <v>2744</v>
      </c>
      <c r="C7671" t="s">
        <v>16</v>
      </c>
      <c r="D7671" s="1">
        <v>45833</v>
      </c>
      <c r="E7671" t="s">
        <v>4129</v>
      </c>
      <c r="F7671" t="s">
        <v>4139</v>
      </c>
    </row>
    <row r="7672" spans="1:6">
      <c r="A7672" t="s">
        <v>11801</v>
      </c>
      <c r="B7672" t="s">
        <v>2744</v>
      </c>
      <c r="C7672" t="s">
        <v>16</v>
      </c>
      <c r="D7672" s="1">
        <v>45834</v>
      </c>
      <c r="E7672" t="s">
        <v>4124</v>
      </c>
      <c r="F7672" t="s">
        <v>4125</v>
      </c>
    </row>
    <row r="7673" spans="1:6">
      <c r="A7673" t="s">
        <v>11802</v>
      </c>
      <c r="B7673" t="s">
        <v>2745</v>
      </c>
      <c r="C7673" t="s">
        <v>50</v>
      </c>
      <c r="D7673" s="1">
        <v>45696</v>
      </c>
      <c r="E7673" t="s">
        <v>4124</v>
      </c>
      <c r="F7673" t="s">
        <v>4139</v>
      </c>
    </row>
    <row r="7674" spans="1:6">
      <c r="A7674" t="s">
        <v>11803</v>
      </c>
      <c r="B7674" t="s">
        <v>2745</v>
      </c>
      <c r="C7674" t="s">
        <v>50</v>
      </c>
      <c r="D7674" s="1">
        <v>45688</v>
      </c>
      <c r="E7674" t="s">
        <v>4127</v>
      </c>
      <c r="F7674" t="s">
        <v>4137</v>
      </c>
    </row>
    <row r="7675" spans="1:6">
      <c r="A7675" t="s">
        <v>11804</v>
      </c>
      <c r="B7675" t="s">
        <v>2745</v>
      </c>
      <c r="C7675" t="s">
        <v>50</v>
      </c>
      <c r="D7675" s="1">
        <v>45698</v>
      </c>
      <c r="E7675" t="s">
        <v>4129</v>
      </c>
      <c r="F7675" t="s">
        <v>4125</v>
      </c>
    </row>
    <row r="7676" spans="1:6">
      <c r="A7676" t="s">
        <v>11805</v>
      </c>
      <c r="B7676" t="s">
        <v>2745</v>
      </c>
      <c r="C7676" t="s">
        <v>50</v>
      </c>
      <c r="D7676" s="1">
        <v>45684</v>
      </c>
      <c r="E7676" t="s">
        <v>4124</v>
      </c>
      <c r="F7676" t="s">
        <v>4139</v>
      </c>
    </row>
    <row r="7677" spans="1:6">
      <c r="A7677" t="s">
        <v>11806</v>
      </c>
      <c r="B7677" t="s">
        <v>2745</v>
      </c>
      <c r="C7677" t="s">
        <v>50</v>
      </c>
      <c r="D7677" s="1">
        <v>45711</v>
      </c>
      <c r="E7677" t="s">
        <v>4135</v>
      </c>
      <c r="F7677" t="s">
        <v>4139</v>
      </c>
    </row>
    <row r="7678" spans="1:6">
      <c r="A7678" t="s">
        <v>11807</v>
      </c>
      <c r="B7678" t="s">
        <v>2746</v>
      </c>
      <c r="C7678" t="s">
        <v>40</v>
      </c>
      <c r="D7678" s="1">
        <v>46002</v>
      </c>
      <c r="E7678" t="s">
        <v>4129</v>
      </c>
      <c r="F7678" t="s">
        <v>4139</v>
      </c>
    </row>
    <row r="7679" spans="1:6">
      <c r="A7679" t="s">
        <v>11808</v>
      </c>
      <c r="B7679" t="s">
        <v>2746</v>
      </c>
      <c r="C7679" t="s">
        <v>40</v>
      </c>
      <c r="D7679" s="1">
        <v>45989</v>
      </c>
      <c r="E7679" t="s">
        <v>4133</v>
      </c>
      <c r="F7679" t="s">
        <v>4137</v>
      </c>
    </row>
    <row r="7680" spans="1:6">
      <c r="A7680" t="s">
        <v>11809</v>
      </c>
      <c r="B7680" t="s">
        <v>2746</v>
      </c>
      <c r="C7680" t="s">
        <v>40</v>
      </c>
      <c r="D7680" s="1">
        <v>46009</v>
      </c>
      <c r="E7680" t="s">
        <v>4135</v>
      </c>
      <c r="F7680" t="s">
        <v>4125</v>
      </c>
    </row>
    <row r="7681" spans="1:6">
      <c r="A7681" t="s">
        <v>11810</v>
      </c>
      <c r="B7681" t="s">
        <v>2746</v>
      </c>
      <c r="C7681" t="s">
        <v>40</v>
      </c>
      <c r="D7681" s="1">
        <v>46022</v>
      </c>
      <c r="E7681" t="s">
        <v>4133</v>
      </c>
      <c r="F7681" t="s">
        <v>4137</v>
      </c>
    </row>
    <row r="7682" spans="1:6">
      <c r="A7682" t="s">
        <v>11811</v>
      </c>
      <c r="B7682" t="s">
        <v>2746</v>
      </c>
      <c r="C7682" t="s">
        <v>40</v>
      </c>
      <c r="D7682" s="1">
        <v>46022</v>
      </c>
      <c r="E7682" t="s">
        <v>4129</v>
      </c>
      <c r="F7682" t="s">
        <v>4125</v>
      </c>
    </row>
    <row r="7683" spans="1:6">
      <c r="A7683" t="s">
        <v>11812</v>
      </c>
      <c r="B7683" t="s">
        <v>2747</v>
      </c>
      <c r="C7683" t="s">
        <v>126</v>
      </c>
      <c r="D7683" s="1">
        <v>45819</v>
      </c>
      <c r="E7683" t="s">
        <v>4129</v>
      </c>
      <c r="F7683" t="s">
        <v>4125</v>
      </c>
    </row>
    <row r="7684" spans="1:6">
      <c r="A7684" t="s">
        <v>11813</v>
      </c>
      <c r="B7684" t="s">
        <v>2747</v>
      </c>
      <c r="C7684" t="s">
        <v>126</v>
      </c>
      <c r="D7684" s="1">
        <v>45827</v>
      </c>
      <c r="E7684" t="s">
        <v>4124</v>
      </c>
      <c r="F7684" t="s">
        <v>4139</v>
      </c>
    </row>
    <row r="7685" spans="1:6">
      <c r="A7685" t="s">
        <v>11814</v>
      </c>
      <c r="B7685" t="s">
        <v>2747</v>
      </c>
      <c r="C7685" t="s">
        <v>126</v>
      </c>
      <c r="D7685" s="1">
        <v>45820</v>
      </c>
      <c r="E7685" t="s">
        <v>4124</v>
      </c>
      <c r="F7685" t="s">
        <v>4139</v>
      </c>
    </row>
    <row r="7686" spans="1:6">
      <c r="A7686" t="s">
        <v>11815</v>
      </c>
      <c r="B7686" t="s">
        <v>2747</v>
      </c>
      <c r="C7686" t="s">
        <v>126</v>
      </c>
      <c r="D7686" s="1">
        <v>45827</v>
      </c>
      <c r="E7686" t="s">
        <v>4133</v>
      </c>
      <c r="F7686" t="s">
        <v>4137</v>
      </c>
    </row>
    <row r="7687" spans="1:6">
      <c r="A7687" t="s">
        <v>11816</v>
      </c>
      <c r="B7687" t="s">
        <v>2747</v>
      </c>
      <c r="C7687" t="s">
        <v>126</v>
      </c>
      <c r="D7687" s="1">
        <v>45825</v>
      </c>
      <c r="E7687" t="s">
        <v>4129</v>
      </c>
      <c r="F7687" t="s">
        <v>4125</v>
      </c>
    </row>
    <row r="7688" spans="1:6">
      <c r="A7688" t="s">
        <v>11817</v>
      </c>
      <c r="B7688" t="s">
        <v>2748</v>
      </c>
      <c r="C7688" t="s">
        <v>53</v>
      </c>
      <c r="D7688" s="1">
        <v>45845</v>
      </c>
      <c r="E7688" t="s">
        <v>4133</v>
      </c>
      <c r="F7688" t="s">
        <v>4137</v>
      </c>
    </row>
    <row r="7689" spans="1:6">
      <c r="A7689" t="s">
        <v>11818</v>
      </c>
      <c r="B7689" t="s">
        <v>2748</v>
      </c>
      <c r="C7689" t="s">
        <v>53</v>
      </c>
      <c r="D7689" s="1">
        <v>45781</v>
      </c>
      <c r="E7689" t="s">
        <v>4133</v>
      </c>
      <c r="F7689" t="s">
        <v>4137</v>
      </c>
    </row>
    <row r="7690" spans="1:6">
      <c r="A7690" t="s">
        <v>11819</v>
      </c>
      <c r="B7690" t="s">
        <v>2748</v>
      </c>
      <c r="C7690" t="s">
        <v>53</v>
      </c>
      <c r="D7690" s="1">
        <v>45807</v>
      </c>
      <c r="E7690" t="s">
        <v>4127</v>
      </c>
      <c r="F7690" t="s">
        <v>4137</v>
      </c>
    </row>
    <row r="7691" spans="1:6">
      <c r="A7691" t="s">
        <v>11820</v>
      </c>
      <c r="B7691" t="s">
        <v>2749</v>
      </c>
      <c r="C7691" t="s">
        <v>22</v>
      </c>
      <c r="D7691" s="1">
        <v>45742</v>
      </c>
      <c r="E7691" t="s">
        <v>4135</v>
      </c>
      <c r="F7691" t="s">
        <v>4137</v>
      </c>
    </row>
    <row r="7692" spans="1:6">
      <c r="A7692" t="s">
        <v>11821</v>
      </c>
      <c r="B7692" t="s">
        <v>2749</v>
      </c>
      <c r="C7692" t="s">
        <v>22</v>
      </c>
      <c r="D7692" s="1">
        <v>45761</v>
      </c>
      <c r="E7692" t="s">
        <v>4129</v>
      </c>
      <c r="F7692" t="s">
        <v>4125</v>
      </c>
    </row>
    <row r="7693" spans="1:6">
      <c r="A7693" t="s">
        <v>11822</v>
      </c>
      <c r="B7693" t="s">
        <v>2749</v>
      </c>
      <c r="C7693" t="s">
        <v>22</v>
      </c>
      <c r="D7693" s="1">
        <v>45764</v>
      </c>
      <c r="E7693" t="s">
        <v>4124</v>
      </c>
      <c r="F7693" t="s">
        <v>4139</v>
      </c>
    </row>
    <row r="7694" spans="1:6">
      <c r="A7694" t="s">
        <v>11823</v>
      </c>
      <c r="B7694" t="s">
        <v>2749</v>
      </c>
      <c r="C7694" t="s">
        <v>22</v>
      </c>
      <c r="D7694" s="1">
        <v>45746</v>
      </c>
      <c r="E7694" t="s">
        <v>4129</v>
      </c>
      <c r="F7694" t="s">
        <v>4137</v>
      </c>
    </row>
    <row r="7695" spans="1:6">
      <c r="A7695" t="s">
        <v>11824</v>
      </c>
      <c r="B7695" t="s">
        <v>2749</v>
      </c>
      <c r="C7695" t="s">
        <v>22</v>
      </c>
      <c r="D7695" s="1">
        <v>45767</v>
      </c>
      <c r="E7695" t="s">
        <v>4129</v>
      </c>
      <c r="F7695" t="s">
        <v>4137</v>
      </c>
    </row>
    <row r="7696" spans="1:6">
      <c r="A7696" t="s">
        <v>11825</v>
      </c>
      <c r="B7696" t="s">
        <v>2750</v>
      </c>
      <c r="C7696" t="s">
        <v>152</v>
      </c>
      <c r="D7696" s="1">
        <v>45706</v>
      </c>
      <c r="E7696" t="s">
        <v>4135</v>
      </c>
      <c r="F7696" t="s">
        <v>4139</v>
      </c>
    </row>
    <row r="7697" spans="1:6">
      <c r="A7697" t="s">
        <v>11826</v>
      </c>
      <c r="B7697" t="s">
        <v>2750</v>
      </c>
      <c r="C7697" t="s">
        <v>152</v>
      </c>
      <c r="D7697" s="1">
        <v>45720</v>
      </c>
      <c r="E7697" t="s">
        <v>4124</v>
      </c>
      <c r="F7697" t="s">
        <v>4139</v>
      </c>
    </row>
    <row r="7698" spans="1:6">
      <c r="A7698" t="s">
        <v>11827</v>
      </c>
      <c r="B7698" t="s">
        <v>2750</v>
      </c>
      <c r="C7698" t="s">
        <v>152</v>
      </c>
      <c r="D7698" s="1">
        <v>45731</v>
      </c>
      <c r="E7698" t="s">
        <v>4133</v>
      </c>
      <c r="F7698" t="s">
        <v>4137</v>
      </c>
    </row>
    <row r="7699" spans="1:6">
      <c r="A7699" t="s">
        <v>11828</v>
      </c>
      <c r="B7699" t="s">
        <v>2750</v>
      </c>
      <c r="C7699" t="s">
        <v>152</v>
      </c>
      <c r="D7699" s="1">
        <v>45699</v>
      </c>
      <c r="E7699" t="s">
        <v>4124</v>
      </c>
      <c r="F7699" t="s">
        <v>4139</v>
      </c>
    </row>
    <row r="7700" spans="1:6">
      <c r="A7700" t="s">
        <v>11829</v>
      </c>
      <c r="B7700" t="s">
        <v>2750</v>
      </c>
      <c r="C7700" t="s">
        <v>152</v>
      </c>
      <c r="D7700" s="1">
        <v>45710</v>
      </c>
      <c r="E7700" t="s">
        <v>4127</v>
      </c>
      <c r="F7700" t="s">
        <v>4137</v>
      </c>
    </row>
    <row r="7701" spans="1:6">
      <c r="A7701" t="s">
        <v>11830</v>
      </c>
      <c r="B7701" t="s">
        <v>2751</v>
      </c>
      <c r="C7701" t="s">
        <v>16</v>
      </c>
      <c r="D7701" s="1">
        <v>45692</v>
      </c>
      <c r="E7701" t="s">
        <v>4127</v>
      </c>
      <c r="F7701" t="s">
        <v>4137</v>
      </c>
    </row>
    <row r="7702" spans="1:6">
      <c r="A7702" t="s">
        <v>11831</v>
      </c>
      <c r="B7702" t="s">
        <v>2751</v>
      </c>
      <c r="C7702" t="s">
        <v>16</v>
      </c>
      <c r="D7702" s="1">
        <v>45708</v>
      </c>
      <c r="E7702" t="s">
        <v>4135</v>
      </c>
      <c r="F7702" t="s">
        <v>4125</v>
      </c>
    </row>
    <row r="7703" spans="1:6">
      <c r="A7703" t="s">
        <v>11832</v>
      </c>
      <c r="B7703" t="s">
        <v>2751</v>
      </c>
      <c r="C7703" t="s">
        <v>16</v>
      </c>
      <c r="D7703" s="1">
        <v>45702</v>
      </c>
      <c r="E7703" t="s">
        <v>4129</v>
      </c>
      <c r="F7703" t="s">
        <v>4137</v>
      </c>
    </row>
    <row r="7704" spans="1:6">
      <c r="A7704" t="s">
        <v>11833</v>
      </c>
      <c r="B7704" t="s">
        <v>2751</v>
      </c>
      <c r="C7704" t="s">
        <v>16</v>
      </c>
      <c r="D7704" s="1">
        <v>45699</v>
      </c>
      <c r="E7704" t="s">
        <v>4127</v>
      </c>
      <c r="F7704" t="s">
        <v>4139</v>
      </c>
    </row>
    <row r="7705" spans="1:6">
      <c r="A7705" t="s">
        <v>11834</v>
      </c>
      <c r="B7705" t="s">
        <v>2751</v>
      </c>
      <c r="C7705" t="s">
        <v>16</v>
      </c>
      <c r="D7705" s="1">
        <v>45712</v>
      </c>
      <c r="E7705" t="s">
        <v>4133</v>
      </c>
      <c r="F7705" t="s">
        <v>4139</v>
      </c>
    </row>
    <row r="7706" spans="1:6">
      <c r="A7706" t="s">
        <v>11835</v>
      </c>
      <c r="B7706" t="s">
        <v>2752</v>
      </c>
      <c r="C7706" t="s">
        <v>22</v>
      </c>
      <c r="D7706" s="1">
        <v>45945</v>
      </c>
      <c r="E7706" t="s">
        <v>4129</v>
      </c>
      <c r="F7706" t="s">
        <v>4139</v>
      </c>
    </row>
    <row r="7707" spans="1:6">
      <c r="A7707" t="s">
        <v>11836</v>
      </c>
      <c r="B7707" t="s">
        <v>2752</v>
      </c>
      <c r="C7707" t="s">
        <v>22</v>
      </c>
      <c r="D7707" s="1">
        <v>46013</v>
      </c>
      <c r="E7707" t="s">
        <v>4135</v>
      </c>
      <c r="F7707" t="s">
        <v>4137</v>
      </c>
    </row>
    <row r="7708" spans="1:6">
      <c r="A7708" t="s">
        <v>11837</v>
      </c>
      <c r="B7708" t="s">
        <v>2752</v>
      </c>
      <c r="C7708" t="s">
        <v>22</v>
      </c>
      <c r="D7708" s="1">
        <v>45974</v>
      </c>
      <c r="E7708" t="s">
        <v>4129</v>
      </c>
      <c r="F7708" t="s">
        <v>4137</v>
      </c>
    </row>
    <row r="7709" spans="1:6">
      <c r="A7709" t="s">
        <v>11838</v>
      </c>
      <c r="B7709" t="s">
        <v>2753</v>
      </c>
      <c r="C7709" t="s">
        <v>75</v>
      </c>
      <c r="D7709" s="1">
        <v>45832</v>
      </c>
      <c r="E7709" t="s">
        <v>4127</v>
      </c>
      <c r="F7709" t="s">
        <v>4137</v>
      </c>
    </row>
    <row r="7710" spans="1:6">
      <c r="A7710" t="s">
        <v>11839</v>
      </c>
      <c r="B7710" t="s">
        <v>2753</v>
      </c>
      <c r="C7710" t="s">
        <v>75</v>
      </c>
      <c r="D7710" s="1">
        <v>45850</v>
      </c>
      <c r="E7710" t="s">
        <v>4127</v>
      </c>
      <c r="F7710" t="s">
        <v>4139</v>
      </c>
    </row>
    <row r="7711" spans="1:6">
      <c r="A7711" t="s">
        <v>11840</v>
      </c>
      <c r="B7711" t="s">
        <v>2753</v>
      </c>
      <c r="C7711" t="s">
        <v>75</v>
      </c>
      <c r="D7711" s="1">
        <v>45838</v>
      </c>
      <c r="E7711" t="s">
        <v>4124</v>
      </c>
      <c r="F7711" t="s">
        <v>4125</v>
      </c>
    </row>
    <row r="7712" spans="1:6">
      <c r="A7712" t="s">
        <v>11841</v>
      </c>
      <c r="B7712" t="s">
        <v>2753</v>
      </c>
      <c r="C7712" t="s">
        <v>75</v>
      </c>
      <c r="D7712" s="1">
        <v>45832</v>
      </c>
      <c r="E7712" t="s">
        <v>4135</v>
      </c>
      <c r="F7712" t="s">
        <v>4137</v>
      </c>
    </row>
    <row r="7713" spans="1:6">
      <c r="A7713" t="s">
        <v>11842</v>
      </c>
      <c r="B7713" t="s">
        <v>2754</v>
      </c>
      <c r="C7713" t="s">
        <v>75</v>
      </c>
      <c r="D7713" s="1">
        <v>45870</v>
      </c>
      <c r="E7713" t="s">
        <v>4135</v>
      </c>
      <c r="F7713" t="s">
        <v>4139</v>
      </c>
    </row>
    <row r="7714" spans="1:6">
      <c r="A7714" t="s">
        <v>11843</v>
      </c>
      <c r="B7714" t="s">
        <v>2754</v>
      </c>
      <c r="C7714" t="s">
        <v>75</v>
      </c>
      <c r="D7714" s="1">
        <v>45837</v>
      </c>
      <c r="E7714" t="s">
        <v>4129</v>
      </c>
      <c r="F7714" t="s">
        <v>4137</v>
      </c>
    </row>
    <row r="7715" spans="1:6">
      <c r="A7715" t="s">
        <v>11844</v>
      </c>
      <c r="B7715" t="s">
        <v>2754</v>
      </c>
      <c r="C7715" t="s">
        <v>75</v>
      </c>
      <c r="D7715" s="1">
        <v>45831</v>
      </c>
      <c r="E7715" t="s">
        <v>4127</v>
      </c>
      <c r="F7715" t="s">
        <v>4137</v>
      </c>
    </row>
    <row r="7716" spans="1:6">
      <c r="A7716" t="s">
        <v>11845</v>
      </c>
      <c r="B7716" t="s">
        <v>2754</v>
      </c>
      <c r="C7716" t="s">
        <v>75</v>
      </c>
      <c r="D7716" s="1">
        <v>45828</v>
      </c>
      <c r="E7716" t="s">
        <v>4133</v>
      </c>
      <c r="F7716" t="s">
        <v>4125</v>
      </c>
    </row>
    <row r="7717" spans="1:6">
      <c r="A7717" t="s">
        <v>11846</v>
      </c>
      <c r="B7717" t="s">
        <v>2754</v>
      </c>
      <c r="C7717" t="s">
        <v>75</v>
      </c>
      <c r="D7717" s="1">
        <v>45866</v>
      </c>
      <c r="E7717" t="s">
        <v>4127</v>
      </c>
      <c r="F7717" t="s">
        <v>4137</v>
      </c>
    </row>
    <row r="7718" spans="1:6">
      <c r="A7718" t="s">
        <v>11847</v>
      </c>
      <c r="B7718" t="s">
        <v>2755</v>
      </c>
      <c r="C7718" t="s">
        <v>16</v>
      </c>
      <c r="D7718" s="1">
        <v>45762</v>
      </c>
      <c r="E7718" t="s">
        <v>4127</v>
      </c>
      <c r="F7718" t="s">
        <v>4125</v>
      </c>
    </row>
    <row r="7719" spans="1:6">
      <c r="A7719" t="s">
        <v>11848</v>
      </c>
      <c r="B7719" t="s">
        <v>2755</v>
      </c>
      <c r="C7719" t="s">
        <v>16</v>
      </c>
      <c r="D7719" s="1">
        <v>45763</v>
      </c>
      <c r="E7719" t="s">
        <v>4135</v>
      </c>
      <c r="F7719" t="s">
        <v>4125</v>
      </c>
    </row>
    <row r="7720" spans="1:6">
      <c r="A7720" t="s">
        <v>11849</v>
      </c>
      <c r="B7720" t="s">
        <v>2756</v>
      </c>
      <c r="C7720" t="s">
        <v>126</v>
      </c>
      <c r="D7720" s="1">
        <v>45943</v>
      </c>
      <c r="E7720" t="s">
        <v>4135</v>
      </c>
      <c r="F7720" t="s">
        <v>4125</v>
      </c>
    </row>
    <row r="7721" spans="1:6">
      <c r="A7721" t="s">
        <v>11850</v>
      </c>
      <c r="B7721" t="s">
        <v>2756</v>
      </c>
      <c r="C7721" t="s">
        <v>126</v>
      </c>
      <c r="D7721" s="1">
        <v>45938</v>
      </c>
      <c r="E7721" t="s">
        <v>4135</v>
      </c>
      <c r="F7721" t="s">
        <v>4137</v>
      </c>
    </row>
    <row r="7722" spans="1:6">
      <c r="A7722" t="s">
        <v>11851</v>
      </c>
      <c r="B7722" t="s">
        <v>2757</v>
      </c>
      <c r="C7722" t="s">
        <v>75</v>
      </c>
      <c r="D7722" s="1">
        <v>45739</v>
      </c>
      <c r="E7722" t="s">
        <v>4124</v>
      </c>
      <c r="F7722" t="s">
        <v>4137</v>
      </c>
    </row>
    <row r="7723" spans="1:6">
      <c r="A7723" t="s">
        <v>11852</v>
      </c>
      <c r="B7723" t="s">
        <v>2757</v>
      </c>
      <c r="C7723" t="s">
        <v>75</v>
      </c>
      <c r="D7723" s="1">
        <v>45758</v>
      </c>
      <c r="E7723" t="s">
        <v>4124</v>
      </c>
      <c r="F7723" t="s">
        <v>4137</v>
      </c>
    </row>
    <row r="7724" spans="1:6">
      <c r="A7724" t="s">
        <v>11853</v>
      </c>
      <c r="B7724" t="s">
        <v>2757</v>
      </c>
      <c r="C7724" t="s">
        <v>75</v>
      </c>
      <c r="D7724" s="1">
        <v>45744</v>
      </c>
      <c r="E7724" t="s">
        <v>4124</v>
      </c>
      <c r="F7724" t="s">
        <v>4125</v>
      </c>
    </row>
    <row r="7725" spans="1:6">
      <c r="A7725" t="s">
        <v>11854</v>
      </c>
      <c r="B7725" t="s">
        <v>2757</v>
      </c>
      <c r="C7725" t="s">
        <v>75</v>
      </c>
      <c r="D7725" s="1">
        <v>45745</v>
      </c>
      <c r="E7725" t="s">
        <v>4129</v>
      </c>
      <c r="F7725" t="s">
        <v>4125</v>
      </c>
    </row>
    <row r="7726" spans="1:6">
      <c r="A7726" t="s">
        <v>11855</v>
      </c>
      <c r="B7726" t="s">
        <v>2757</v>
      </c>
      <c r="C7726" t="s">
        <v>75</v>
      </c>
      <c r="D7726" s="1">
        <v>45762</v>
      </c>
      <c r="E7726" t="s">
        <v>4133</v>
      </c>
      <c r="F7726" t="s">
        <v>4125</v>
      </c>
    </row>
    <row r="7727" spans="1:6">
      <c r="A7727" t="s">
        <v>11856</v>
      </c>
      <c r="B7727" t="s">
        <v>2758</v>
      </c>
      <c r="C7727" t="s">
        <v>22</v>
      </c>
      <c r="D7727" s="1">
        <v>45967</v>
      </c>
      <c r="E7727" t="s">
        <v>4129</v>
      </c>
      <c r="F7727" t="s">
        <v>4125</v>
      </c>
    </row>
    <row r="7728" spans="1:6">
      <c r="A7728" t="s">
        <v>11857</v>
      </c>
      <c r="B7728" t="s">
        <v>2758</v>
      </c>
      <c r="C7728" t="s">
        <v>22</v>
      </c>
      <c r="D7728" s="1">
        <v>45957</v>
      </c>
      <c r="E7728" t="s">
        <v>4133</v>
      </c>
      <c r="F7728" t="s">
        <v>4139</v>
      </c>
    </row>
    <row r="7729" spans="1:6">
      <c r="A7729" t="s">
        <v>11858</v>
      </c>
      <c r="B7729" t="s">
        <v>2758</v>
      </c>
      <c r="C7729" t="s">
        <v>22</v>
      </c>
      <c r="D7729" s="1">
        <v>45986</v>
      </c>
      <c r="E7729" t="s">
        <v>4124</v>
      </c>
      <c r="F7729" t="s">
        <v>4137</v>
      </c>
    </row>
    <row r="7730" spans="1:6">
      <c r="A7730" t="s">
        <v>11859</v>
      </c>
      <c r="B7730" t="s">
        <v>2758</v>
      </c>
      <c r="C7730" t="s">
        <v>22</v>
      </c>
      <c r="D7730" s="1">
        <v>45996</v>
      </c>
      <c r="E7730" t="s">
        <v>4135</v>
      </c>
      <c r="F7730" t="s">
        <v>4125</v>
      </c>
    </row>
    <row r="7731" spans="1:6">
      <c r="A7731" t="s">
        <v>11860</v>
      </c>
      <c r="B7731" t="s">
        <v>2759</v>
      </c>
      <c r="C7731" t="s">
        <v>36</v>
      </c>
      <c r="D7731" s="1">
        <v>45999</v>
      </c>
      <c r="E7731" t="s">
        <v>4124</v>
      </c>
      <c r="F7731" t="s">
        <v>4137</v>
      </c>
    </row>
    <row r="7732" spans="1:6">
      <c r="A7732" t="s">
        <v>11861</v>
      </c>
      <c r="B7732" t="s">
        <v>2759</v>
      </c>
      <c r="C7732" t="s">
        <v>36</v>
      </c>
      <c r="D7732" s="1">
        <v>45998</v>
      </c>
      <c r="E7732" t="s">
        <v>4129</v>
      </c>
      <c r="F7732" t="s">
        <v>4139</v>
      </c>
    </row>
    <row r="7733" spans="1:6">
      <c r="A7733" t="s">
        <v>11862</v>
      </c>
      <c r="B7733" t="s">
        <v>2759</v>
      </c>
      <c r="C7733" t="s">
        <v>36</v>
      </c>
      <c r="D7733" s="1">
        <v>45939</v>
      </c>
      <c r="E7733" t="s">
        <v>4133</v>
      </c>
      <c r="F7733" t="s">
        <v>4139</v>
      </c>
    </row>
    <row r="7734" spans="1:6">
      <c r="A7734" t="s">
        <v>11863</v>
      </c>
      <c r="B7734" t="s">
        <v>2759</v>
      </c>
      <c r="C7734" t="s">
        <v>36</v>
      </c>
      <c r="D7734" s="1">
        <v>45925</v>
      </c>
      <c r="E7734" t="s">
        <v>4124</v>
      </c>
      <c r="F7734" t="s">
        <v>4139</v>
      </c>
    </row>
    <row r="7735" spans="1:6">
      <c r="A7735" t="s">
        <v>11864</v>
      </c>
      <c r="B7735" t="s">
        <v>2759</v>
      </c>
      <c r="C7735" t="s">
        <v>36</v>
      </c>
      <c r="D7735" s="1">
        <v>45942</v>
      </c>
      <c r="E7735" t="s">
        <v>4133</v>
      </c>
      <c r="F7735" t="s">
        <v>4137</v>
      </c>
    </row>
    <row r="7736" spans="1:6">
      <c r="A7736" t="s">
        <v>11865</v>
      </c>
      <c r="B7736" t="s">
        <v>2760</v>
      </c>
      <c r="C7736" t="s">
        <v>27</v>
      </c>
      <c r="D7736" s="1">
        <v>45835</v>
      </c>
      <c r="E7736" t="s">
        <v>4133</v>
      </c>
      <c r="F7736" t="s">
        <v>4125</v>
      </c>
    </row>
    <row r="7737" spans="1:6">
      <c r="A7737" t="s">
        <v>11866</v>
      </c>
      <c r="B7737" t="s">
        <v>2760</v>
      </c>
      <c r="C7737" t="s">
        <v>27</v>
      </c>
      <c r="D7737" s="1">
        <v>45837</v>
      </c>
      <c r="E7737" t="s">
        <v>4133</v>
      </c>
      <c r="F7737" t="s">
        <v>4125</v>
      </c>
    </row>
    <row r="7738" spans="1:6">
      <c r="A7738" t="s">
        <v>11867</v>
      </c>
      <c r="B7738" t="s">
        <v>2760</v>
      </c>
      <c r="C7738" t="s">
        <v>27</v>
      </c>
      <c r="D7738" s="1">
        <v>45832</v>
      </c>
      <c r="E7738" t="s">
        <v>4133</v>
      </c>
      <c r="F7738" t="s">
        <v>4137</v>
      </c>
    </row>
    <row r="7739" spans="1:6">
      <c r="A7739" t="s">
        <v>11868</v>
      </c>
      <c r="B7739" t="s">
        <v>2761</v>
      </c>
      <c r="C7739" t="s">
        <v>119</v>
      </c>
      <c r="D7739" s="1">
        <v>45718</v>
      </c>
      <c r="E7739" t="s">
        <v>4129</v>
      </c>
      <c r="F7739" t="s">
        <v>4139</v>
      </c>
    </row>
    <row r="7740" spans="1:6">
      <c r="A7740" t="s">
        <v>11869</v>
      </c>
      <c r="B7740" t="s">
        <v>2761</v>
      </c>
      <c r="C7740" t="s">
        <v>119</v>
      </c>
      <c r="D7740" s="1">
        <v>45695</v>
      </c>
      <c r="E7740" t="s">
        <v>4129</v>
      </c>
      <c r="F7740" t="s">
        <v>4125</v>
      </c>
    </row>
    <row r="7741" spans="1:6">
      <c r="A7741" t="s">
        <v>11870</v>
      </c>
      <c r="B7741" t="s">
        <v>2762</v>
      </c>
      <c r="C7741" t="s">
        <v>16</v>
      </c>
      <c r="D7741" s="1">
        <v>45780</v>
      </c>
      <c r="E7741" t="s">
        <v>4124</v>
      </c>
      <c r="F7741" t="s">
        <v>4139</v>
      </c>
    </row>
    <row r="7742" spans="1:6">
      <c r="A7742" t="s">
        <v>11871</v>
      </c>
      <c r="B7742" t="s">
        <v>2762</v>
      </c>
      <c r="C7742" t="s">
        <v>16</v>
      </c>
      <c r="D7742" s="1">
        <v>45773</v>
      </c>
      <c r="E7742" t="s">
        <v>4133</v>
      </c>
      <c r="F7742" t="s">
        <v>4137</v>
      </c>
    </row>
    <row r="7743" spans="1:6">
      <c r="A7743" t="s">
        <v>11872</v>
      </c>
      <c r="B7743" t="s">
        <v>2763</v>
      </c>
      <c r="C7743" t="s">
        <v>46</v>
      </c>
      <c r="D7743" s="1">
        <v>46009</v>
      </c>
      <c r="E7743" t="s">
        <v>4124</v>
      </c>
      <c r="F7743" t="s">
        <v>4137</v>
      </c>
    </row>
    <row r="7744" spans="1:6">
      <c r="A7744" t="s">
        <v>11873</v>
      </c>
      <c r="B7744" t="s">
        <v>2763</v>
      </c>
      <c r="C7744" t="s">
        <v>46</v>
      </c>
      <c r="D7744" s="1">
        <v>46003</v>
      </c>
      <c r="E7744" t="s">
        <v>4127</v>
      </c>
      <c r="F7744" t="s">
        <v>4137</v>
      </c>
    </row>
    <row r="7745" spans="1:6">
      <c r="A7745" t="s">
        <v>11874</v>
      </c>
      <c r="B7745" t="s">
        <v>2763</v>
      </c>
      <c r="C7745" t="s">
        <v>46</v>
      </c>
      <c r="D7745" s="1">
        <v>46003</v>
      </c>
      <c r="E7745" t="s">
        <v>4135</v>
      </c>
      <c r="F7745" t="s">
        <v>4137</v>
      </c>
    </row>
    <row r="7746" spans="1:6">
      <c r="A7746" t="s">
        <v>11875</v>
      </c>
      <c r="B7746" t="s">
        <v>2764</v>
      </c>
      <c r="C7746" t="s">
        <v>126</v>
      </c>
      <c r="D7746" s="1">
        <v>45774</v>
      </c>
      <c r="E7746" t="s">
        <v>4133</v>
      </c>
      <c r="F7746" t="s">
        <v>4125</v>
      </c>
    </row>
    <row r="7747" spans="1:6">
      <c r="A7747" t="s">
        <v>11876</v>
      </c>
      <c r="B7747" t="s">
        <v>2764</v>
      </c>
      <c r="C7747" t="s">
        <v>126</v>
      </c>
      <c r="D7747" s="1">
        <v>45801</v>
      </c>
      <c r="E7747" t="s">
        <v>4135</v>
      </c>
      <c r="F7747" t="s">
        <v>4137</v>
      </c>
    </row>
    <row r="7748" spans="1:6">
      <c r="A7748" t="s">
        <v>11877</v>
      </c>
      <c r="B7748" t="s">
        <v>2764</v>
      </c>
      <c r="C7748" t="s">
        <v>126</v>
      </c>
      <c r="D7748" s="1">
        <v>45743</v>
      </c>
      <c r="E7748" t="s">
        <v>4135</v>
      </c>
      <c r="F7748" t="s">
        <v>4137</v>
      </c>
    </row>
    <row r="7749" spans="1:6">
      <c r="A7749" t="s">
        <v>11878</v>
      </c>
      <c r="B7749" t="s">
        <v>2765</v>
      </c>
      <c r="C7749" t="s">
        <v>78</v>
      </c>
      <c r="D7749" s="1">
        <v>45730</v>
      </c>
      <c r="E7749" t="s">
        <v>4129</v>
      </c>
      <c r="F7749" t="s">
        <v>4137</v>
      </c>
    </row>
    <row r="7750" spans="1:6">
      <c r="A7750" t="s">
        <v>11879</v>
      </c>
      <c r="B7750" t="s">
        <v>2765</v>
      </c>
      <c r="C7750" t="s">
        <v>78</v>
      </c>
      <c r="D7750" s="1">
        <v>45732</v>
      </c>
      <c r="E7750" t="s">
        <v>4133</v>
      </c>
      <c r="F7750" t="s">
        <v>4137</v>
      </c>
    </row>
    <row r="7751" spans="1:6">
      <c r="A7751" t="s">
        <v>11880</v>
      </c>
      <c r="B7751" t="s">
        <v>2765</v>
      </c>
      <c r="C7751" t="s">
        <v>78</v>
      </c>
      <c r="D7751" s="1">
        <v>45699</v>
      </c>
      <c r="E7751" t="s">
        <v>4129</v>
      </c>
      <c r="F7751" t="s">
        <v>4125</v>
      </c>
    </row>
    <row r="7752" spans="1:6">
      <c r="A7752" t="s">
        <v>11881</v>
      </c>
      <c r="B7752" t="s">
        <v>2765</v>
      </c>
      <c r="C7752" t="s">
        <v>78</v>
      </c>
      <c r="D7752" s="1">
        <v>45695</v>
      </c>
      <c r="E7752" t="s">
        <v>4133</v>
      </c>
      <c r="F7752" t="s">
        <v>4125</v>
      </c>
    </row>
    <row r="7753" spans="1:6">
      <c r="A7753" t="s">
        <v>11882</v>
      </c>
      <c r="B7753" t="s">
        <v>2765</v>
      </c>
      <c r="C7753" t="s">
        <v>78</v>
      </c>
      <c r="D7753" s="1">
        <v>45730</v>
      </c>
      <c r="E7753" t="s">
        <v>4124</v>
      </c>
      <c r="F7753" t="s">
        <v>4125</v>
      </c>
    </row>
    <row r="7754" spans="1:6">
      <c r="A7754" t="s">
        <v>11883</v>
      </c>
      <c r="B7754" t="s">
        <v>2766</v>
      </c>
      <c r="C7754" t="s">
        <v>22</v>
      </c>
      <c r="D7754" s="1">
        <v>45977</v>
      </c>
      <c r="E7754" t="s">
        <v>4124</v>
      </c>
      <c r="F7754" t="s">
        <v>4125</v>
      </c>
    </row>
    <row r="7755" spans="1:6">
      <c r="A7755" t="s">
        <v>11884</v>
      </c>
      <c r="B7755" t="s">
        <v>2766</v>
      </c>
      <c r="C7755" t="s">
        <v>22</v>
      </c>
      <c r="D7755" s="1">
        <v>45980</v>
      </c>
      <c r="E7755" t="s">
        <v>4135</v>
      </c>
      <c r="F7755" t="s">
        <v>4139</v>
      </c>
    </row>
    <row r="7756" spans="1:6">
      <c r="A7756" t="s">
        <v>11885</v>
      </c>
      <c r="B7756" t="s">
        <v>2767</v>
      </c>
      <c r="C7756" t="s">
        <v>22</v>
      </c>
      <c r="D7756" s="1">
        <v>45785</v>
      </c>
      <c r="E7756" t="s">
        <v>4129</v>
      </c>
      <c r="F7756" t="s">
        <v>4139</v>
      </c>
    </row>
    <row r="7757" spans="1:6">
      <c r="A7757" t="s">
        <v>11886</v>
      </c>
      <c r="B7757" t="s">
        <v>2767</v>
      </c>
      <c r="C7757" t="s">
        <v>22</v>
      </c>
      <c r="D7757" s="1">
        <v>45785</v>
      </c>
      <c r="E7757" t="s">
        <v>4129</v>
      </c>
      <c r="F7757" t="s">
        <v>4139</v>
      </c>
    </row>
    <row r="7758" spans="1:6">
      <c r="A7758" t="s">
        <v>11887</v>
      </c>
      <c r="B7758" t="s">
        <v>2767</v>
      </c>
      <c r="C7758" t="s">
        <v>22</v>
      </c>
      <c r="D7758" s="1">
        <v>45782</v>
      </c>
      <c r="E7758" t="s">
        <v>4133</v>
      </c>
      <c r="F7758" t="s">
        <v>4139</v>
      </c>
    </row>
    <row r="7759" spans="1:6">
      <c r="A7759" t="s">
        <v>11888</v>
      </c>
      <c r="B7759" t="s">
        <v>2767</v>
      </c>
      <c r="C7759" t="s">
        <v>22</v>
      </c>
      <c r="D7759" s="1">
        <v>45794</v>
      </c>
      <c r="E7759" t="s">
        <v>4124</v>
      </c>
      <c r="F7759" t="s">
        <v>4139</v>
      </c>
    </row>
    <row r="7760" spans="1:6">
      <c r="A7760" t="s">
        <v>11889</v>
      </c>
      <c r="B7760" t="s">
        <v>2768</v>
      </c>
      <c r="C7760" t="s">
        <v>22</v>
      </c>
      <c r="D7760" s="1">
        <v>45665</v>
      </c>
      <c r="E7760" t="s">
        <v>4135</v>
      </c>
      <c r="F7760" t="s">
        <v>4139</v>
      </c>
    </row>
    <row r="7761" spans="1:6">
      <c r="A7761" t="s">
        <v>11890</v>
      </c>
      <c r="B7761" t="s">
        <v>2768</v>
      </c>
      <c r="C7761" t="s">
        <v>22</v>
      </c>
      <c r="D7761" s="1">
        <v>45690</v>
      </c>
      <c r="E7761" t="s">
        <v>4135</v>
      </c>
      <c r="F7761" t="s">
        <v>4125</v>
      </c>
    </row>
    <row r="7762" spans="1:6">
      <c r="A7762" t="s">
        <v>11891</v>
      </c>
      <c r="B7762" t="s">
        <v>2768</v>
      </c>
      <c r="C7762" t="s">
        <v>22</v>
      </c>
      <c r="D7762" s="1">
        <v>45668</v>
      </c>
      <c r="E7762" t="s">
        <v>4127</v>
      </c>
      <c r="F7762" t="s">
        <v>4139</v>
      </c>
    </row>
    <row r="7763" spans="1:6">
      <c r="A7763" t="s">
        <v>11892</v>
      </c>
      <c r="B7763" t="s">
        <v>2769</v>
      </c>
      <c r="C7763" t="s">
        <v>126</v>
      </c>
      <c r="D7763" s="1">
        <v>45760</v>
      </c>
      <c r="E7763" t="s">
        <v>4127</v>
      </c>
      <c r="F7763" t="s">
        <v>4125</v>
      </c>
    </row>
    <row r="7764" spans="1:6">
      <c r="A7764" t="s">
        <v>11893</v>
      </c>
      <c r="B7764" t="s">
        <v>2769</v>
      </c>
      <c r="C7764" t="s">
        <v>126</v>
      </c>
      <c r="D7764" s="1">
        <v>45777</v>
      </c>
      <c r="E7764" t="s">
        <v>4129</v>
      </c>
      <c r="F7764" t="s">
        <v>4125</v>
      </c>
    </row>
    <row r="7765" spans="1:6">
      <c r="A7765" t="s">
        <v>11894</v>
      </c>
      <c r="B7765" t="s">
        <v>2770</v>
      </c>
      <c r="C7765" t="s">
        <v>22</v>
      </c>
      <c r="D7765" s="1">
        <v>45857</v>
      </c>
      <c r="E7765" t="s">
        <v>4129</v>
      </c>
      <c r="F7765" t="s">
        <v>4137</v>
      </c>
    </row>
    <row r="7766" spans="1:6">
      <c r="A7766" t="s">
        <v>11895</v>
      </c>
      <c r="B7766" t="s">
        <v>2770</v>
      </c>
      <c r="C7766" t="s">
        <v>22</v>
      </c>
      <c r="D7766" s="1">
        <v>45860</v>
      </c>
      <c r="E7766" t="s">
        <v>4129</v>
      </c>
      <c r="F7766" t="s">
        <v>4139</v>
      </c>
    </row>
    <row r="7767" spans="1:6">
      <c r="A7767" t="s">
        <v>11896</v>
      </c>
      <c r="B7767" t="s">
        <v>2770</v>
      </c>
      <c r="C7767" t="s">
        <v>22</v>
      </c>
      <c r="D7767" s="1">
        <v>45847</v>
      </c>
      <c r="E7767" t="s">
        <v>4124</v>
      </c>
      <c r="F7767" t="s">
        <v>4125</v>
      </c>
    </row>
    <row r="7768" spans="1:6">
      <c r="A7768" t="s">
        <v>11897</v>
      </c>
      <c r="B7768" t="s">
        <v>2770</v>
      </c>
      <c r="C7768" t="s">
        <v>22</v>
      </c>
      <c r="D7768" s="1">
        <v>45851</v>
      </c>
      <c r="E7768" t="s">
        <v>4127</v>
      </c>
      <c r="F7768" t="s">
        <v>4137</v>
      </c>
    </row>
    <row r="7769" spans="1:6">
      <c r="A7769" t="s">
        <v>11898</v>
      </c>
      <c r="B7769" t="s">
        <v>2771</v>
      </c>
      <c r="C7769" t="s">
        <v>22</v>
      </c>
      <c r="D7769" s="1">
        <v>45965</v>
      </c>
      <c r="E7769" t="s">
        <v>4127</v>
      </c>
      <c r="F7769" t="s">
        <v>4137</v>
      </c>
    </row>
    <row r="7770" spans="1:6">
      <c r="A7770" t="s">
        <v>11899</v>
      </c>
      <c r="B7770" t="s">
        <v>2771</v>
      </c>
      <c r="C7770" t="s">
        <v>22</v>
      </c>
      <c r="D7770" s="1">
        <v>45998</v>
      </c>
      <c r="E7770" t="s">
        <v>4135</v>
      </c>
      <c r="F7770" t="s">
        <v>4125</v>
      </c>
    </row>
    <row r="7771" spans="1:6">
      <c r="A7771" t="s">
        <v>11900</v>
      </c>
      <c r="B7771" t="s">
        <v>2771</v>
      </c>
      <c r="C7771" t="s">
        <v>22</v>
      </c>
      <c r="D7771" s="1">
        <v>45995</v>
      </c>
      <c r="E7771" t="s">
        <v>4127</v>
      </c>
      <c r="F7771" t="s">
        <v>4139</v>
      </c>
    </row>
    <row r="7772" spans="1:6">
      <c r="A7772" t="s">
        <v>11901</v>
      </c>
      <c r="B7772" t="s">
        <v>2771</v>
      </c>
      <c r="C7772" t="s">
        <v>22</v>
      </c>
      <c r="D7772" s="1">
        <v>45964</v>
      </c>
      <c r="E7772" t="s">
        <v>4124</v>
      </c>
      <c r="F7772" t="s">
        <v>4125</v>
      </c>
    </row>
    <row r="7773" spans="1:6">
      <c r="A7773" t="s">
        <v>11902</v>
      </c>
      <c r="B7773" t="s">
        <v>2772</v>
      </c>
      <c r="C7773" t="s">
        <v>56</v>
      </c>
      <c r="D7773" s="1">
        <v>45959</v>
      </c>
      <c r="E7773" t="s">
        <v>4135</v>
      </c>
      <c r="F7773" t="s">
        <v>4137</v>
      </c>
    </row>
    <row r="7774" spans="1:6">
      <c r="A7774" t="s">
        <v>11903</v>
      </c>
      <c r="B7774" t="s">
        <v>2772</v>
      </c>
      <c r="C7774" t="s">
        <v>56</v>
      </c>
      <c r="D7774" s="1">
        <v>45955</v>
      </c>
      <c r="E7774" t="s">
        <v>4127</v>
      </c>
      <c r="F7774" t="s">
        <v>4139</v>
      </c>
    </row>
    <row r="7775" spans="1:6">
      <c r="A7775" t="s">
        <v>11904</v>
      </c>
      <c r="B7775" t="s">
        <v>2773</v>
      </c>
      <c r="C7775" t="s">
        <v>46</v>
      </c>
      <c r="D7775" s="1">
        <v>45859</v>
      </c>
      <c r="E7775" t="s">
        <v>4127</v>
      </c>
      <c r="F7775" t="s">
        <v>4137</v>
      </c>
    </row>
    <row r="7776" spans="1:6">
      <c r="A7776" t="s">
        <v>11905</v>
      </c>
      <c r="B7776" t="s">
        <v>2773</v>
      </c>
      <c r="C7776" t="s">
        <v>46</v>
      </c>
      <c r="D7776" s="1">
        <v>45852</v>
      </c>
      <c r="E7776" t="s">
        <v>4133</v>
      </c>
      <c r="F7776" t="s">
        <v>4125</v>
      </c>
    </row>
    <row r="7777" spans="1:6">
      <c r="A7777" t="s">
        <v>11906</v>
      </c>
      <c r="B7777" t="s">
        <v>2774</v>
      </c>
      <c r="C7777" t="s">
        <v>126</v>
      </c>
      <c r="D7777" s="1">
        <v>45868</v>
      </c>
      <c r="E7777" t="s">
        <v>4129</v>
      </c>
      <c r="F7777" t="s">
        <v>4139</v>
      </c>
    </row>
    <row r="7778" spans="1:6">
      <c r="A7778" t="s">
        <v>11907</v>
      </c>
      <c r="B7778" t="s">
        <v>2774</v>
      </c>
      <c r="C7778" t="s">
        <v>126</v>
      </c>
      <c r="D7778" s="1">
        <v>45829</v>
      </c>
      <c r="E7778" t="s">
        <v>4124</v>
      </c>
      <c r="F7778" t="s">
        <v>4125</v>
      </c>
    </row>
    <row r="7779" spans="1:6">
      <c r="A7779" t="s">
        <v>11908</v>
      </c>
      <c r="B7779" t="s">
        <v>2775</v>
      </c>
      <c r="C7779" t="s">
        <v>22</v>
      </c>
      <c r="D7779" s="1">
        <v>45880</v>
      </c>
      <c r="E7779" t="s">
        <v>4133</v>
      </c>
      <c r="F7779" t="s">
        <v>4125</v>
      </c>
    </row>
    <row r="7780" spans="1:6">
      <c r="A7780" t="s">
        <v>11909</v>
      </c>
      <c r="B7780" t="s">
        <v>2775</v>
      </c>
      <c r="C7780" t="s">
        <v>22</v>
      </c>
      <c r="D7780" s="1">
        <v>45871</v>
      </c>
      <c r="E7780" t="s">
        <v>4135</v>
      </c>
      <c r="F7780" t="s">
        <v>4139</v>
      </c>
    </row>
    <row r="7781" spans="1:6">
      <c r="A7781" t="s">
        <v>11910</v>
      </c>
      <c r="B7781" t="s">
        <v>2776</v>
      </c>
      <c r="C7781" t="s">
        <v>32</v>
      </c>
      <c r="D7781" s="1">
        <v>45709</v>
      </c>
      <c r="E7781" t="s">
        <v>4133</v>
      </c>
      <c r="F7781" t="s">
        <v>4137</v>
      </c>
    </row>
    <row r="7782" spans="1:6">
      <c r="A7782" t="s">
        <v>11911</v>
      </c>
      <c r="B7782" t="s">
        <v>2776</v>
      </c>
      <c r="C7782" t="s">
        <v>32</v>
      </c>
      <c r="D7782" s="1">
        <v>45704</v>
      </c>
      <c r="E7782" t="s">
        <v>4129</v>
      </c>
      <c r="F7782" t="s">
        <v>4125</v>
      </c>
    </row>
    <row r="7783" spans="1:6">
      <c r="A7783" t="s">
        <v>11912</v>
      </c>
      <c r="B7783" t="s">
        <v>2776</v>
      </c>
      <c r="C7783" t="s">
        <v>32</v>
      </c>
      <c r="D7783" s="1">
        <v>45721</v>
      </c>
      <c r="E7783" t="s">
        <v>4129</v>
      </c>
      <c r="F7783" t="s">
        <v>4137</v>
      </c>
    </row>
    <row r="7784" spans="1:6">
      <c r="A7784" t="s">
        <v>11913</v>
      </c>
      <c r="B7784" t="s">
        <v>2776</v>
      </c>
      <c r="C7784" t="s">
        <v>32</v>
      </c>
      <c r="D7784" s="1">
        <v>45701</v>
      </c>
      <c r="E7784" t="s">
        <v>4129</v>
      </c>
      <c r="F7784" t="s">
        <v>4139</v>
      </c>
    </row>
    <row r="7785" spans="1:6">
      <c r="A7785" t="s">
        <v>11914</v>
      </c>
      <c r="B7785" t="s">
        <v>2776</v>
      </c>
      <c r="C7785" t="s">
        <v>32</v>
      </c>
      <c r="D7785" s="1">
        <v>45720</v>
      </c>
      <c r="E7785" t="s">
        <v>4133</v>
      </c>
      <c r="F7785" t="s">
        <v>4139</v>
      </c>
    </row>
    <row r="7786" spans="1:6">
      <c r="A7786" t="s">
        <v>11915</v>
      </c>
      <c r="B7786" t="s">
        <v>2777</v>
      </c>
      <c r="C7786" t="s">
        <v>32</v>
      </c>
      <c r="D7786" s="1">
        <v>45906</v>
      </c>
      <c r="E7786" t="s">
        <v>4129</v>
      </c>
      <c r="F7786" t="s">
        <v>4137</v>
      </c>
    </row>
    <row r="7787" spans="1:6">
      <c r="A7787" t="s">
        <v>11916</v>
      </c>
      <c r="B7787" t="s">
        <v>2777</v>
      </c>
      <c r="C7787" t="s">
        <v>32</v>
      </c>
      <c r="D7787" s="1">
        <v>45888</v>
      </c>
      <c r="E7787" t="s">
        <v>4124</v>
      </c>
      <c r="F7787" t="s">
        <v>4137</v>
      </c>
    </row>
    <row r="7788" spans="1:6">
      <c r="A7788" t="s">
        <v>11917</v>
      </c>
      <c r="B7788" t="s">
        <v>2777</v>
      </c>
      <c r="C7788" t="s">
        <v>32</v>
      </c>
      <c r="D7788" s="1">
        <v>45898</v>
      </c>
      <c r="E7788" t="s">
        <v>4127</v>
      </c>
      <c r="F7788" t="s">
        <v>4139</v>
      </c>
    </row>
    <row r="7789" spans="1:6">
      <c r="A7789" t="s">
        <v>11918</v>
      </c>
      <c r="B7789" t="s">
        <v>2778</v>
      </c>
      <c r="C7789" t="s">
        <v>75</v>
      </c>
      <c r="D7789" s="1">
        <v>45994</v>
      </c>
      <c r="E7789" t="s">
        <v>4133</v>
      </c>
      <c r="F7789" t="s">
        <v>4137</v>
      </c>
    </row>
    <row r="7790" spans="1:6">
      <c r="A7790" t="s">
        <v>11919</v>
      </c>
      <c r="B7790" t="s">
        <v>2778</v>
      </c>
      <c r="C7790" t="s">
        <v>75</v>
      </c>
      <c r="D7790" s="1">
        <v>46004</v>
      </c>
      <c r="E7790" t="s">
        <v>4127</v>
      </c>
      <c r="F7790" t="s">
        <v>4125</v>
      </c>
    </row>
    <row r="7791" spans="1:6">
      <c r="A7791" t="s">
        <v>11920</v>
      </c>
      <c r="B7791" t="s">
        <v>2778</v>
      </c>
      <c r="C7791" t="s">
        <v>75</v>
      </c>
      <c r="D7791" s="1">
        <v>46004</v>
      </c>
      <c r="E7791" t="s">
        <v>4133</v>
      </c>
      <c r="F7791" t="s">
        <v>4139</v>
      </c>
    </row>
    <row r="7792" spans="1:6">
      <c r="A7792" t="s">
        <v>11921</v>
      </c>
      <c r="B7792" t="s">
        <v>2778</v>
      </c>
      <c r="C7792" t="s">
        <v>75</v>
      </c>
      <c r="D7792" s="1">
        <v>46000</v>
      </c>
      <c r="E7792" t="s">
        <v>4129</v>
      </c>
      <c r="F7792" t="s">
        <v>4139</v>
      </c>
    </row>
    <row r="7793" spans="1:6">
      <c r="A7793" t="s">
        <v>11922</v>
      </c>
      <c r="B7793" t="s">
        <v>2778</v>
      </c>
      <c r="C7793" t="s">
        <v>75</v>
      </c>
      <c r="D7793" s="1">
        <v>45997</v>
      </c>
      <c r="E7793" t="s">
        <v>4127</v>
      </c>
      <c r="F7793" t="s">
        <v>4137</v>
      </c>
    </row>
    <row r="7794" spans="1:6">
      <c r="A7794" t="s">
        <v>11923</v>
      </c>
      <c r="B7794" t="s">
        <v>2779</v>
      </c>
      <c r="C7794" t="s">
        <v>16</v>
      </c>
      <c r="D7794" s="1">
        <v>45742</v>
      </c>
      <c r="E7794" t="s">
        <v>4135</v>
      </c>
      <c r="F7794" t="s">
        <v>4139</v>
      </c>
    </row>
    <row r="7795" spans="1:6">
      <c r="A7795" t="s">
        <v>11924</v>
      </c>
      <c r="B7795" t="s">
        <v>2779</v>
      </c>
      <c r="C7795" t="s">
        <v>16</v>
      </c>
      <c r="D7795" s="1">
        <v>45715</v>
      </c>
      <c r="E7795" t="s">
        <v>4124</v>
      </c>
      <c r="F7795" t="s">
        <v>4125</v>
      </c>
    </row>
    <row r="7796" spans="1:6">
      <c r="A7796" t="s">
        <v>11925</v>
      </c>
      <c r="B7796" t="s">
        <v>2779</v>
      </c>
      <c r="C7796" t="s">
        <v>16</v>
      </c>
      <c r="D7796" s="1">
        <v>45778</v>
      </c>
      <c r="E7796" t="s">
        <v>4129</v>
      </c>
      <c r="F7796" t="s">
        <v>4137</v>
      </c>
    </row>
    <row r="7797" spans="1:6">
      <c r="A7797" t="s">
        <v>11926</v>
      </c>
      <c r="B7797" t="s">
        <v>2779</v>
      </c>
      <c r="C7797" t="s">
        <v>16</v>
      </c>
      <c r="D7797" s="1">
        <v>45743</v>
      </c>
      <c r="E7797" t="s">
        <v>4135</v>
      </c>
      <c r="F7797" t="s">
        <v>4137</v>
      </c>
    </row>
    <row r="7798" spans="1:6">
      <c r="A7798" t="s">
        <v>11927</v>
      </c>
      <c r="B7798" t="s">
        <v>2779</v>
      </c>
      <c r="C7798" t="s">
        <v>16</v>
      </c>
      <c r="D7798" s="1">
        <v>45714</v>
      </c>
      <c r="E7798" t="s">
        <v>4127</v>
      </c>
      <c r="F7798" t="s">
        <v>4125</v>
      </c>
    </row>
    <row r="7799" spans="1:6">
      <c r="A7799" t="s">
        <v>11928</v>
      </c>
      <c r="B7799" t="s">
        <v>2780</v>
      </c>
      <c r="C7799" t="s">
        <v>56</v>
      </c>
      <c r="D7799" s="1">
        <v>46018</v>
      </c>
      <c r="E7799" t="s">
        <v>4124</v>
      </c>
      <c r="F7799" t="s">
        <v>4139</v>
      </c>
    </row>
    <row r="7800" spans="1:6">
      <c r="A7800" t="s">
        <v>11929</v>
      </c>
      <c r="B7800" t="s">
        <v>2780</v>
      </c>
      <c r="C7800" t="s">
        <v>56</v>
      </c>
      <c r="D7800" s="1">
        <v>46020</v>
      </c>
      <c r="E7800" t="s">
        <v>4133</v>
      </c>
      <c r="F7800" t="s">
        <v>4139</v>
      </c>
    </row>
    <row r="7801" spans="1:6">
      <c r="A7801" t="s">
        <v>11930</v>
      </c>
      <c r="B7801" t="s">
        <v>2780</v>
      </c>
      <c r="C7801" t="s">
        <v>56</v>
      </c>
      <c r="D7801" s="1">
        <v>46018</v>
      </c>
      <c r="E7801" t="s">
        <v>4127</v>
      </c>
      <c r="F7801" t="s">
        <v>4139</v>
      </c>
    </row>
    <row r="7802" spans="1:6">
      <c r="A7802" t="s">
        <v>11931</v>
      </c>
      <c r="B7802" t="s">
        <v>2781</v>
      </c>
      <c r="C7802" t="s">
        <v>46</v>
      </c>
      <c r="D7802" s="1">
        <v>45794</v>
      </c>
      <c r="E7802" t="s">
        <v>4135</v>
      </c>
      <c r="F7802" t="s">
        <v>4139</v>
      </c>
    </row>
    <row r="7803" spans="1:6">
      <c r="A7803" t="s">
        <v>11932</v>
      </c>
      <c r="B7803" t="s">
        <v>2781</v>
      </c>
      <c r="C7803" t="s">
        <v>46</v>
      </c>
      <c r="D7803" s="1">
        <v>45764</v>
      </c>
      <c r="E7803" t="s">
        <v>4124</v>
      </c>
      <c r="F7803" t="s">
        <v>4139</v>
      </c>
    </row>
    <row r="7804" spans="1:6">
      <c r="A7804" t="s">
        <v>11933</v>
      </c>
      <c r="B7804" t="s">
        <v>2781</v>
      </c>
      <c r="C7804" t="s">
        <v>46</v>
      </c>
      <c r="D7804" s="1">
        <v>45798</v>
      </c>
      <c r="E7804" t="s">
        <v>4127</v>
      </c>
      <c r="F7804" t="s">
        <v>4139</v>
      </c>
    </row>
    <row r="7805" spans="1:6">
      <c r="A7805" t="s">
        <v>11934</v>
      </c>
      <c r="B7805" t="s">
        <v>2781</v>
      </c>
      <c r="C7805" t="s">
        <v>46</v>
      </c>
      <c r="D7805" s="1">
        <v>45738</v>
      </c>
      <c r="E7805" t="s">
        <v>4124</v>
      </c>
      <c r="F7805" t="s">
        <v>4137</v>
      </c>
    </row>
    <row r="7806" spans="1:6">
      <c r="A7806" t="s">
        <v>11935</v>
      </c>
      <c r="B7806" t="s">
        <v>2781</v>
      </c>
      <c r="C7806" t="s">
        <v>46</v>
      </c>
      <c r="D7806" s="1">
        <v>45779</v>
      </c>
      <c r="E7806" t="s">
        <v>4127</v>
      </c>
      <c r="F7806" t="s">
        <v>4137</v>
      </c>
    </row>
    <row r="7807" spans="1:6">
      <c r="A7807" t="s">
        <v>11936</v>
      </c>
      <c r="B7807" t="s">
        <v>2782</v>
      </c>
      <c r="C7807" t="s">
        <v>119</v>
      </c>
      <c r="D7807" s="1">
        <v>45845</v>
      </c>
      <c r="E7807" t="s">
        <v>4124</v>
      </c>
      <c r="F7807" t="s">
        <v>4139</v>
      </c>
    </row>
    <row r="7808" spans="1:6">
      <c r="A7808" t="s">
        <v>11937</v>
      </c>
      <c r="B7808" t="s">
        <v>2782</v>
      </c>
      <c r="C7808" t="s">
        <v>119</v>
      </c>
      <c r="D7808" s="1">
        <v>45845</v>
      </c>
      <c r="E7808" t="s">
        <v>4133</v>
      </c>
      <c r="F7808" t="s">
        <v>4137</v>
      </c>
    </row>
    <row r="7809" spans="1:6">
      <c r="A7809" t="s">
        <v>11938</v>
      </c>
      <c r="B7809" t="s">
        <v>2783</v>
      </c>
      <c r="C7809" t="s">
        <v>27</v>
      </c>
      <c r="D7809" s="1">
        <v>45737</v>
      </c>
      <c r="E7809" t="s">
        <v>4129</v>
      </c>
      <c r="F7809" t="s">
        <v>4125</v>
      </c>
    </row>
    <row r="7810" spans="1:6">
      <c r="A7810" t="s">
        <v>11939</v>
      </c>
      <c r="B7810" t="s">
        <v>2783</v>
      </c>
      <c r="C7810" t="s">
        <v>27</v>
      </c>
      <c r="D7810" s="1">
        <v>45736</v>
      </c>
      <c r="E7810" t="s">
        <v>4133</v>
      </c>
      <c r="F7810" t="s">
        <v>4137</v>
      </c>
    </row>
    <row r="7811" spans="1:6">
      <c r="A7811" t="s">
        <v>11940</v>
      </c>
      <c r="B7811" t="s">
        <v>2784</v>
      </c>
      <c r="C7811" t="s">
        <v>126</v>
      </c>
      <c r="D7811" s="1">
        <v>45824</v>
      </c>
      <c r="E7811" t="s">
        <v>4129</v>
      </c>
      <c r="F7811" t="s">
        <v>4139</v>
      </c>
    </row>
    <row r="7812" spans="1:6">
      <c r="A7812" t="s">
        <v>11941</v>
      </c>
      <c r="B7812" t="s">
        <v>2784</v>
      </c>
      <c r="C7812" t="s">
        <v>126</v>
      </c>
      <c r="D7812" s="1">
        <v>45862</v>
      </c>
      <c r="E7812" t="s">
        <v>4127</v>
      </c>
      <c r="F7812" t="s">
        <v>4137</v>
      </c>
    </row>
    <row r="7813" spans="1:6">
      <c r="A7813" t="s">
        <v>11942</v>
      </c>
      <c r="B7813" t="s">
        <v>2785</v>
      </c>
      <c r="C7813" t="s">
        <v>59</v>
      </c>
      <c r="D7813" s="1">
        <v>45740</v>
      </c>
      <c r="E7813" t="s">
        <v>4127</v>
      </c>
      <c r="F7813" t="s">
        <v>4139</v>
      </c>
    </row>
    <row r="7814" spans="1:6">
      <c r="A7814" t="s">
        <v>11943</v>
      </c>
      <c r="B7814" t="s">
        <v>2785</v>
      </c>
      <c r="C7814" t="s">
        <v>59</v>
      </c>
      <c r="D7814" s="1">
        <v>45721</v>
      </c>
      <c r="E7814" t="s">
        <v>4135</v>
      </c>
      <c r="F7814" t="s">
        <v>4137</v>
      </c>
    </row>
    <row r="7815" spans="1:6">
      <c r="A7815" t="s">
        <v>11944</v>
      </c>
      <c r="B7815" t="s">
        <v>2786</v>
      </c>
      <c r="C7815" t="s">
        <v>70</v>
      </c>
      <c r="D7815" s="1">
        <v>45738</v>
      </c>
      <c r="E7815" t="s">
        <v>4127</v>
      </c>
      <c r="F7815" t="s">
        <v>4125</v>
      </c>
    </row>
    <row r="7816" spans="1:6">
      <c r="A7816" t="s">
        <v>11945</v>
      </c>
      <c r="B7816" t="s">
        <v>2786</v>
      </c>
      <c r="C7816" t="s">
        <v>70</v>
      </c>
      <c r="D7816" s="1">
        <v>45738</v>
      </c>
      <c r="E7816" t="s">
        <v>4135</v>
      </c>
      <c r="F7816" t="s">
        <v>4139</v>
      </c>
    </row>
    <row r="7817" spans="1:6">
      <c r="A7817" t="s">
        <v>11946</v>
      </c>
      <c r="B7817" t="s">
        <v>2786</v>
      </c>
      <c r="C7817" t="s">
        <v>70</v>
      </c>
      <c r="D7817" s="1">
        <v>45727</v>
      </c>
      <c r="E7817" t="s">
        <v>4124</v>
      </c>
      <c r="F7817" t="s">
        <v>4137</v>
      </c>
    </row>
    <row r="7818" spans="1:6">
      <c r="A7818" t="s">
        <v>11947</v>
      </c>
      <c r="B7818" t="s">
        <v>2786</v>
      </c>
      <c r="C7818" t="s">
        <v>70</v>
      </c>
      <c r="D7818" s="1">
        <v>45736</v>
      </c>
      <c r="E7818" t="s">
        <v>4133</v>
      </c>
      <c r="F7818" t="s">
        <v>4139</v>
      </c>
    </row>
    <row r="7819" spans="1:6">
      <c r="A7819" t="s">
        <v>11948</v>
      </c>
      <c r="B7819" t="s">
        <v>2786</v>
      </c>
      <c r="C7819" t="s">
        <v>70</v>
      </c>
      <c r="D7819" s="1">
        <v>45774</v>
      </c>
      <c r="E7819" t="s">
        <v>4129</v>
      </c>
      <c r="F7819" t="s">
        <v>4137</v>
      </c>
    </row>
    <row r="7820" spans="1:6">
      <c r="A7820" t="s">
        <v>11949</v>
      </c>
      <c r="B7820" t="s">
        <v>2787</v>
      </c>
      <c r="C7820" t="s">
        <v>75</v>
      </c>
      <c r="D7820" s="1">
        <v>45953</v>
      </c>
      <c r="E7820" t="s">
        <v>4127</v>
      </c>
      <c r="F7820" t="s">
        <v>4125</v>
      </c>
    </row>
    <row r="7821" spans="1:6">
      <c r="A7821" t="s">
        <v>11950</v>
      </c>
      <c r="B7821" t="s">
        <v>2787</v>
      </c>
      <c r="C7821" t="s">
        <v>75</v>
      </c>
      <c r="D7821" s="1">
        <v>45977</v>
      </c>
      <c r="E7821" t="s">
        <v>4124</v>
      </c>
      <c r="F7821" t="s">
        <v>4137</v>
      </c>
    </row>
    <row r="7822" spans="1:6">
      <c r="A7822" t="s">
        <v>11951</v>
      </c>
      <c r="B7822" t="s">
        <v>2787</v>
      </c>
      <c r="C7822" t="s">
        <v>75</v>
      </c>
      <c r="D7822" s="1">
        <v>45941</v>
      </c>
      <c r="E7822" t="s">
        <v>4133</v>
      </c>
      <c r="F7822" t="s">
        <v>4137</v>
      </c>
    </row>
    <row r="7823" spans="1:6">
      <c r="A7823" t="s">
        <v>11952</v>
      </c>
      <c r="B7823" t="s">
        <v>2788</v>
      </c>
      <c r="C7823" t="s">
        <v>91</v>
      </c>
      <c r="D7823" s="1">
        <v>45824</v>
      </c>
      <c r="E7823" t="s">
        <v>4124</v>
      </c>
      <c r="F7823" t="s">
        <v>4139</v>
      </c>
    </row>
    <row r="7824" spans="1:6">
      <c r="A7824" t="s">
        <v>11953</v>
      </c>
      <c r="B7824" t="s">
        <v>2788</v>
      </c>
      <c r="C7824" t="s">
        <v>91</v>
      </c>
      <c r="D7824" s="1">
        <v>45844</v>
      </c>
      <c r="E7824" t="s">
        <v>4127</v>
      </c>
      <c r="F7824" t="s">
        <v>4139</v>
      </c>
    </row>
    <row r="7825" spans="1:6">
      <c r="A7825" t="s">
        <v>11954</v>
      </c>
      <c r="B7825" t="s">
        <v>2788</v>
      </c>
      <c r="C7825" t="s">
        <v>91</v>
      </c>
      <c r="D7825" s="1">
        <v>45830</v>
      </c>
      <c r="E7825" t="s">
        <v>4135</v>
      </c>
      <c r="F7825" t="s">
        <v>4137</v>
      </c>
    </row>
    <row r="7826" spans="1:6">
      <c r="A7826" t="s">
        <v>11955</v>
      </c>
      <c r="B7826" t="s">
        <v>2788</v>
      </c>
      <c r="C7826" t="s">
        <v>91</v>
      </c>
      <c r="D7826" s="1">
        <v>45830</v>
      </c>
      <c r="E7826" t="s">
        <v>4135</v>
      </c>
      <c r="F7826" t="s">
        <v>4125</v>
      </c>
    </row>
    <row r="7827" spans="1:6">
      <c r="A7827" t="s">
        <v>11956</v>
      </c>
      <c r="B7827" t="s">
        <v>2789</v>
      </c>
      <c r="C7827" t="s">
        <v>36</v>
      </c>
      <c r="D7827" s="1">
        <v>45786</v>
      </c>
      <c r="E7827" t="s">
        <v>4124</v>
      </c>
      <c r="F7827" t="s">
        <v>4125</v>
      </c>
    </row>
    <row r="7828" spans="1:6">
      <c r="A7828" t="s">
        <v>11957</v>
      </c>
      <c r="B7828" t="s">
        <v>2789</v>
      </c>
      <c r="C7828" t="s">
        <v>36</v>
      </c>
      <c r="D7828" s="1">
        <v>45787</v>
      </c>
      <c r="E7828" t="s">
        <v>4133</v>
      </c>
      <c r="F7828" t="s">
        <v>4139</v>
      </c>
    </row>
    <row r="7829" spans="1:6">
      <c r="A7829" t="s">
        <v>11958</v>
      </c>
      <c r="B7829" t="s">
        <v>2789</v>
      </c>
      <c r="C7829" t="s">
        <v>36</v>
      </c>
      <c r="D7829" s="1">
        <v>45789</v>
      </c>
      <c r="E7829" t="s">
        <v>4129</v>
      </c>
      <c r="F7829" t="s">
        <v>4139</v>
      </c>
    </row>
    <row r="7830" spans="1:6">
      <c r="A7830" t="s">
        <v>11959</v>
      </c>
      <c r="B7830" t="s">
        <v>2789</v>
      </c>
      <c r="C7830" t="s">
        <v>36</v>
      </c>
      <c r="D7830" s="1">
        <v>45781</v>
      </c>
      <c r="E7830" t="s">
        <v>4127</v>
      </c>
      <c r="F7830" t="s">
        <v>4139</v>
      </c>
    </row>
    <row r="7831" spans="1:6">
      <c r="A7831" t="s">
        <v>11960</v>
      </c>
      <c r="B7831" t="s">
        <v>2789</v>
      </c>
      <c r="C7831" t="s">
        <v>36</v>
      </c>
      <c r="D7831" s="1">
        <v>45786</v>
      </c>
      <c r="E7831" t="s">
        <v>4127</v>
      </c>
      <c r="F7831" t="s">
        <v>4125</v>
      </c>
    </row>
    <row r="7832" spans="1:6">
      <c r="A7832" t="s">
        <v>11961</v>
      </c>
      <c r="B7832" t="s">
        <v>2790</v>
      </c>
      <c r="C7832" t="s">
        <v>16</v>
      </c>
      <c r="D7832" s="1">
        <v>45940</v>
      </c>
      <c r="E7832" t="s">
        <v>4129</v>
      </c>
      <c r="F7832" t="s">
        <v>4137</v>
      </c>
    </row>
    <row r="7833" spans="1:6">
      <c r="A7833" t="s">
        <v>11962</v>
      </c>
      <c r="B7833" t="s">
        <v>2790</v>
      </c>
      <c r="C7833" t="s">
        <v>16</v>
      </c>
      <c r="D7833" s="1">
        <v>45915</v>
      </c>
      <c r="E7833" t="s">
        <v>4133</v>
      </c>
      <c r="F7833" t="s">
        <v>4125</v>
      </c>
    </row>
    <row r="7834" spans="1:6">
      <c r="A7834" t="s">
        <v>11963</v>
      </c>
      <c r="B7834" t="s">
        <v>2790</v>
      </c>
      <c r="C7834" t="s">
        <v>16</v>
      </c>
      <c r="D7834" s="1">
        <v>45940</v>
      </c>
      <c r="E7834" t="s">
        <v>4129</v>
      </c>
      <c r="F7834" t="s">
        <v>4137</v>
      </c>
    </row>
    <row r="7835" spans="1:6">
      <c r="A7835" t="s">
        <v>11964</v>
      </c>
      <c r="B7835" t="s">
        <v>2791</v>
      </c>
      <c r="C7835" t="s">
        <v>78</v>
      </c>
      <c r="D7835" s="1">
        <v>45757</v>
      </c>
      <c r="E7835" t="s">
        <v>4133</v>
      </c>
      <c r="F7835" t="s">
        <v>4139</v>
      </c>
    </row>
    <row r="7836" spans="1:6">
      <c r="A7836" t="s">
        <v>11965</v>
      </c>
      <c r="B7836" t="s">
        <v>2791</v>
      </c>
      <c r="C7836" t="s">
        <v>78</v>
      </c>
      <c r="D7836" s="1">
        <v>45711</v>
      </c>
      <c r="E7836" t="s">
        <v>4129</v>
      </c>
      <c r="F7836" t="s">
        <v>4137</v>
      </c>
    </row>
    <row r="7837" spans="1:6">
      <c r="A7837" t="s">
        <v>11966</v>
      </c>
      <c r="B7837" t="s">
        <v>2791</v>
      </c>
      <c r="C7837" t="s">
        <v>78</v>
      </c>
      <c r="D7837" s="1">
        <v>45747</v>
      </c>
      <c r="E7837" t="s">
        <v>4129</v>
      </c>
      <c r="F7837" t="s">
        <v>4125</v>
      </c>
    </row>
    <row r="7838" spans="1:6">
      <c r="A7838" t="s">
        <v>11967</v>
      </c>
      <c r="B7838" t="s">
        <v>2792</v>
      </c>
      <c r="C7838" t="s">
        <v>152</v>
      </c>
      <c r="D7838" s="1">
        <v>46009</v>
      </c>
      <c r="E7838" t="s">
        <v>4133</v>
      </c>
      <c r="F7838" t="s">
        <v>4125</v>
      </c>
    </row>
    <row r="7839" spans="1:6">
      <c r="A7839" t="s">
        <v>11968</v>
      </c>
      <c r="B7839" t="s">
        <v>2792</v>
      </c>
      <c r="C7839" t="s">
        <v>152</v>
      </c>
      <c r="D7839" s="1">
        <v>46009</v>
      </c>
      <c r="E7839" t="s">
        <v>4124</v>
      </c>
      <c r="F7839" t="s">
        <v>4125</v>
      </c>
    </row>
    <row r="7840" spans="1:6">
      <c r="A7840" t="s">
        <v>11969</v>
      </c>
      <c r="B7840" t="s">
        <v>2792</v>
      </c>
      <c r="C7840" t="s">
        <v>152</v>
      </c>
      <c r="D7840" s="1">
        <v>45996</v>
      </c>
      <c r="E7840" t="s">
        <v>4129</v>
      </c>
      <c r="F7840" t="s">
        <v>4139</v>
      </c>
    </row>
    <row r="7841" spans="1:6">
      <c r="A7841" t="s">
        <v>11970</v>
      </c>
      <c r="B7841" t="s">
        <v>2792</v>
      </c>
      <c r="C7841" t="s">
        <v>152</v>
      </c>
      <c r="D7841" s="1">
        <v>46020</v>
      </c>
      <c r="E7841" t="s">
        <v>4127</v>
      </c>
      <c r="F7841" t="s">
        <v>4137</v>
      </c>
    </row>
    <row r="7842" spans="1:6">
      <c r="A7842" t="s">
        <v>11971</v>
      </c>
      <c r="B7842" t="s">
        <v>2793</v>
      </c>
      <c r="C7842" t="s">
        <v>32</v>
      </c>
      <c r="D7842" s="1">
        <v>45888</v>
      </c>
      <c r="E7842" t="s">
        <v>4133</v>
      </c>
      <c r="F7842" t="s">
        <v>4139</v>
      </c>
    </row>
    <row r="7843" spans="1:6">
      <c r="A7843" t="s">
        <v>11972</v>
      </c>
      <c r="B7843" t="s">
        <v>2793</v>
      </c>
      <c r="C7843" t="s">
        <v>32</v>
      </c>
      <c r="D7843" s="1">
        <v>45899</v>
      </c>
      <c r="E7843" t="s">
        <v>4127</v>
      </c>
      <c r="F7843" t="s">
        <v>4137</v>
      </c>
    </row>
    <row r="7844" spans="1:6">
      <c r="A7844" t="s">
        <v>11973</v>
      </c>
      <c r="B7844" t="s">
        <v>2794</v>
      </c>
      <c r="C7844" t="s">
        <v>32</v>
      </c>
      <c r="D7844" s="1">
        <v>45759</v>
      </c>
      <c r="E7844" t="s">
        <v>4133</v>
      </c>
      <c r="F7844" t="s">
        <v>4139</v>
      </c>
    </row>
    <row r="7845" spans="1:6">
      <c r="A7845" t="s">
        <v>11974</v>
      </c>
      <c r="B7845" t="s">
        <v>2794</v>
      </c>
      <c r="C7845" t="s">
        <v>32</v>
      </c>
      <c r="D7845" s="1">
        <v>45763</v>
      </c>
      <c r="E7845" t="s">
        <v>4124</v>
      </c>
      <c r="F7845" t="s">
        <v>4125</v>
      </c>
    </row>
    <row r="7846" spans="1:6">
      <c r="A7846" t="s">
        <v>11975</v>
      </c>
      <c r="B7846" t="s">
        <v>2794</v>
      </c>
      <c r="C7846" t="s">
        <v>32</v>
      </c>
      <c r="D7846" s="1">
        <v>45790</v>
      </c>
      <c r="E7846" t="s">
        <v>4129</v>
      </c>
      <c r="F7846" t="s">
        <v>4139</v>
      </c>
    </row>
    <row r="7847" spans="1:6">
      <c r="A7847" t="s">
        <v>11976</v>
      </c>
      <c r="B7847" t="s">
        <v>2795</v>
      </c>
      <c r="C7847" t="s">
        <v>78</v>
      </c>
      <c r="D7847" s="1">
        <v>45755</v>
      </c>
      <c r="E7847" t="s">
        <v>4135</v>
      </c>
      <c r="F7847" t="s">
        <v>4137</v>
      </c>
    </row>
    <row r="7848" spans="1:6">
      <c r="A7848" t="s">
        <v>11977</v>
      </c>
      <c r="B7848" t="s">
        <v>2795</v>
      </c>
      <c r="C7848" t="s">
        <v>78</v>
      </c>
      <c r="D7848" s="1">
        <v>45740</v>
      </c>
      <c r="E7848" t="s">
        <v>4135</v>
      </c>
      <c r="F7848" t="s">
        <v>4125</v>
      </c>
    </row>
    <row r="7849" spans="1:6">
      <c r="A7849" t="s">
        <v>11978</v>
      </c>
      <c r="B7849" t="s">
        <v>2795</v>
      </c>
      <c r="C7849" t="s">
        <v>78</v>
      </c>
      <c r="D7849" s="1">
        <v>45751</v>
      </c>
      <c r="E7849" t="s">
        <v>4124</v>
      </c>
      <c r="F7849" t="s">
        <v>4139</v>
      </c>
    </row>
    <row r="7850" spans="1:6">
      <c r="A7850" t="s">
        <v>11979</v>
      </c>
      <c r="B7850" t="s">
        <v>2795</v>
      </c>
      <c r="C7850" t="s">
        <v>78</v>
      </c>
      <c r="D7850" s="1">
        <v>45753</v>
      </c>
      <c r="E7850" t="s">
        <v>4135</v>
      </c>
      <c r="F7850" t="s">
        <v>4125</v>
      </c>
    </row>
    <row r="7851" spans="1:6">
      <c r="A7851" t="s">
        <v>11980</v>
      </c>
      <c r="B7851" t="s">
        <v>2795</v>
      </c>
      <c r="C7851" t="s">
        <v>78</v>
      </c>
      <c r="D7851" s="1">
        <v>45754</v>
      </c>
      <c r="E7851" t="s">
        <v>4133</v>
      </c>
      <c r="F7851" t="s">
        <v>4137</v>
      </c>
    </row>
    <row r="7852" spans="1:6">
      <c r="A7852" t="s">
        <v>11981</v>
      </c>
      <c r="B7852" t="s">
        <v>2796</v>
      </c>
      <c r="C7852" t="s">
        <v>91</v>
      </c>
      <c r="D7852" s="1">
        <v>45776</v>
      </c>
      <c r="E7852" t="s">
        <v>4124</v>
      </c>
      <c r="F7852" t="s">
        <v>4137</v>
      </c>
    </row>
    <row r="7853" spans="1:6">
      <c r="A7853" t="s">
        <v>11982</v>
      </c>
      <c r="B7853" t="s">
        <v>2796</v>
      </c>
      <c r="C7853" t="s">
        <v>91</v>
      </c>
      <c r="D7853" s="1">
        <v>45770</v>
      </c>
      <c r="E7853" t="s">
        <v>4133</v>
      </c>
      <c r="F7853" t="s">
        <v>4125</v>
      </c>
    </row>
    <row r="7854" spans="1:6">
      <c r="A7854" t="s">
        <v>11983</v>
      </c>
      <c r="B7854" t="s">
        <v>2796</v>
      </c>
      <c r="C7854" t="s">
        <v>91</v>
      </c>
      <c r="D7854" s="1">
        <v>45786</v>
      </c>
      <c r="E7854" t="s">
        <v>4135</v>
      </c>
      <c r="F7854" t="s">
        <v>4139</v>
      </c>
    </row>
    <row r="7855" spans="1:6">
      <c r="A7855" t="s">
        <v>11984</v>
      </c>
      <c r="B7855" t="s">
        <v>2796</v>
      </c>
      <c r="C7855" t="s">
        <v>91</v>
      </c>
      <c r="D7855" s="1">
        <v>45779</v>
      </c>
      <c r="E7855" t="s">
        <v>4135</v>
      </c>
      <c r="F7855" t="s">
        <v>4139</v>
      </c>
    </row>
    <row r="7856" spans="1:6">
      <c r="A7856" t="s">
        <v>11985</v>
      </c>
      <c r="B7856" t="s">
        <v>2796</v>
      </c>
      <c r="C7856" t="s">
        <v>91</v>
      </c>
      <c r="D7856" s="1">
        <v>45803</v>
      </c>
      <c r="E7856" t="s">
        <v>4129</v>
      </c>
      <c r="F7856" t="s">
        <v>4139</v>
      </c>
    </row>
    <row r="7857" spans="1:6">
      <c r="A7857" t="s">
        <v>11986</v>
      </c>
      <c r="B7857" t="s">
        <v>2797</v>
      </c>
      <c r="C7857" t="s">
        <v>40</v>
      </c>
      <c r="D7857" s="1">
        <v>45721</v>
      </c>
      <c r="E7857" t="s">
        <v>4127</v>
      </c>
      <c r="F7857" t="s">
        <v>4125</v>
      </c>
    </row>
    <row r="7858" spans="1:6">
      <c r="A7858" t="s">
        <v>11987</v>
      </c>
      <c r="B7858" t="s">
        <v>2797</v>
      </c>
      <c r="C7858" t="s">
        <v>40</v>
      </c>
      <c r="D7858" s="1">
        <v>45732</v>
      </c>
      <c r="E7858" t="s">
        <v>4127</v>
      </c>
      <c r="F7858" t="s">
        <v>4139</v>
      </c>
    </row>
    <row r="7859" spans="1:6">
      <c r="A7859" t="s">
        <v>11988</v>
      </c>
      <c r="B7859" t="s">
        <v>2797</v>
      </c>
      <c r="C7859" t="s">
        <v>40</v>
      </c>
      <c r="D7859" s="1">
        <v>45715</v>
      </c>
      <c r="E7859" t="s">
        <v>4129</v>
      </c>
      <c r="F7859" t="s">
        <v>4137</v>
      </c>
    </row>
    <row r="7860" spans="1:6">
      <c r="A7860" t="s">
        <v>11989</v>
      </c>
      <c r="B7860" t="s">
        <v>2797</v>
      </c>
      <c r="C7860" t="s">
        <v>40</v>
      </c>
      <c r="D7860" s="1">
        <v>45760</v>
      </c>
      <c r="E7860" t="s">
        <v>4129</v>
      </c>
      <c r="F7860" t="s">
        <v>4137</v>
      </c>
    </row>
    <row r="7861" spans="1:6">
      <c r="A7861" t="s">
        <v>11990</v>
      </c>
      <c r="B7861" t="s">
        <v>2798</v>
      </c>
      <c r="C7861" t="s">
        <v>63</v>
      </c>
      <c r="D7861" s="1">
        <v>45786</v>
      </c>
      <c r="E7861" t="s">
        <v>4135</v>
      </c>
      <c r="F7861" t="s">
        <v>4139</v>
      </c>
    </row>
    <row r="7862" spans="1:6">
      <c r="A7862" t="s">
        <v>11991</v>
      </c>
      <c r="B7862" t="s">
        <v>2798</v>
      </c>
      <c r="C7862" t="s">
        <v>63</v>
      </c>
      <c r="D7862" s="1">
        <v>45788</v>
      </c>
      <c r="E7862" t="s">
        <v>4133</v>
      </c>
      <c r="F7862" t="s">
        <v>4137</v>
      </c>
    </row>
    <row r="7863" spans="1:6">
      <c r="A7863" t="s">
        <v>11992</v>
      </c>
      <c r="B7863" t="s">
        <v>2798</v>
      </c>
      <c r="C7863" t="s">
        <v>63</v>
      </c>
      <c r="D7863" s="1">
        <v>45802</v>
      </c>
      <c r="E7863" t="s">
        <v>4133</v>
      </c>
      <c r="F7863" t="s">
        <v>4139</v>
      </c>
    </row>
    <row r="7864" spans="1:6">
      <c r="A7864" t="s">
        <v>11993</v>
      </c>
      <c r="B7864" t="s">
        <v>2798</v>
      </c>
      <c r="C7864" t="s">
        <v>63</v>
      </c>
      <c r="D7864" s="1">
        <v>45790</v>
      </c>
      <c r="E7864" t="s">
        <v>4135</v>
      </c>
      <c r="F7864" t="s">
        <v>4139</v>
      </c>
    </row>
    <row r="7865" spans="1:6">
      <c r="A7865" t="s">
        <v>11994</v>
      </c>
      <c r="B7865" t="s">
        <v>2799</v>
      </c>
      <c r="C7865" t="s">
        <v>70</v>
      </c>
      <c r="D7865" s="1">
        <v>45725</v>
      </c>
      <c r="E7865" t="s">
        <v>4127</v>
      </c>
      <c r="F7865" t="s">
        <v>4139</v>
      </c>
    </row>
    <row r="7866" spans="1:6">
      <c r="A7866" t="s">
        <v>11995</v>
      </c>
      <c r="B7866" t="s">
        <v>2799</v>
      </c>
      <c r="C7866" t="s">
        <v>70</v>
      </c>
      <c r="D7866" s="1">
        <v>45721</v>
      </c>
      <c r="E7866" t="s">
        <v>4133</v>
      </c>
      <c r="F7866" t="s">
        <v>4139</v>
      </c>
    </row>
    <row r="7867" spans="1:6">
      <c r="A7867" t="s">
        <v>11996</v>
      </c>
      <c r="B7867" t="s">
        <v>2800</v>
      </c>
      <c r="C7867" t="s">
        <v>32</v>
      </c>
      <c r="D7867" s="1">
        <v>45970</v>
      </c>
      <c r="E7867" t="s">
        <v>4135</v>
      </c>
      <c r="F7867" t="s">
        <v>4139</v>
      </c>
    </row>
    <row r="7868" spans="1:6">
      <c r="A7868" t="s">
        <v>11997</v>
      </c>
      <c r="B7868" t="s">
        <v>2800</v>
      </c>
      <c r="C7868" t="s">
        <v>32</v>
      </c>
      <c r="D7868" s="1">
        <v>45982</v>
      </c>
      <c r="E7868" t="s">
        <v>4135</v>
      </c>
      <c r="F7868" t="s">
        <v>4139</v>
      </c>
    </row>
    <row r="7869" spans="1:6">
      <c r="A7869" t="s">
        <v>11998</v>
      </c>
      <c r="B7869" t="s">
        <v>2800</v>
      </c>
      <c r="C7869" t="s">
        <v>32</v>
      </c>
      <c r="D7869" s="1">
        <v>46014</v>
      </c>
      <c r="E7869" t="s">
        <v>4135</v>
      </c>
      <c r="F7869" t="s">
        <v>4125</v>
      </c>
    </row>
    <row r="7870" spans="1:6">
      <c r="A7870" t="s">
        <v>11999</v>
      </c>
      <c r="B7870" t="s">
        <v>2801</v>
      </c>
      <c r="C7870" t="s">
        <v>59</v>
      </c>
      <c r="D7870" s="1">
        <v>45749</v>
      </c>
      <c r="E7870" t="s">
        <v>4133</v>
      </c>
      <c r="F7870" t="s">
        <v>4125</v>
      </c>
    </row>
    <row r="7871" spans="1:6">
      <c r="A7871" t="s">
        <v>12000</v>
      </c>
      <c r="B7871" t="s">
        <v>2801</v>
      </c>
      <c r="C7871" t="s">
        <v>59</v>
      </c>
      <c r="D7871" s="1">
        <v>45733</v>
      </c>
      <c r="E7871" t="s">
        <v>4129</v>
      </c>
      <c r="F7871" t="s">
        <v>4137</v>
      </c>
    </row>
    <row r="7872" spans="1:6">
      <c r="A7872" t="s">
        <v>12001</v>
      </c>
      <c r="B7872" t="s">
        <v>2801</v>
      </c>
      <c r="C7872" t="s">
        <v>59</v>
      </c>
      <c r="D7872" s="1">
        <v>45754</v>
      </c>
      <c r="E7872" t="s">
        <v>4135</v>
      </c>
      <c r="F7872" t="s">
        <v>4137</v>
      </c>
    </row>
    <row r="7873" spans="1:6">
      <c r="A7873" t="s">
        <v>12002</v>
      </c>
      <c r="B7873" t="s">
        <v>2802</v>
      </c>
      <c r="C7873" t="s">
        <v>70</v>
      </c>
      <c r="D7873" s="1">
        <v>45785</v>
      </c>
      <c r="E7873" t="s">
        <v>4133</v>
      </c>
      <c r="F7873" t="s">
        <v>4125</v>
      </c>
    </row>
    <row r="7874" spans="1:6">
      <c r="A7874" t="s">
        <v>12003</v>
      </c>
      <c r="B7874" t="s">
        <v>2802</v>
      </c>
      <c r="C7874" t="s">
        <v>70</v>
      </c>
      <c r="D7874" s="1">
        <v>45773</v>
      </c>
      <c r="E7874" t="s">
        <v>4129</v>
      </c>
      <c r="F7874" t="s">
        <v>4125</v>
      </c>
    </row>
    <row r="7875" spans="1:6">
      <c r="A7875" t="s">
        <v>12004</v>
      </c>
      <c r="B7875" t="s">
        <v>2802</v>
      </c>
      <c r="C7875" t="s">
        <v>70</v>
      </c>
      <c r="D7875" s="1">
        <v>45779</v>
      </c>
      <c r="E7875" t="s">
        <v>4124</v>
      </c>
      <c r="F7875" t="s">
        <v>4139</v>
      </c>
    </row>
    <row r="7876" spans="1:6">
      <c r="A7876" t="s">
        <v>12005</v>
      </c>
      <c r="B7876" t="s">
        <v>2803</v>
      </c>
      <c r="C7876" t="s">
        <v>50</v>
      </c>
      <c r="D7876" s="1">
        <v>45776</v>
      </c>
      <c r="E7876" t="s">
        <v>4135</v>
      </c>
      <c r="F7876" t="s">
        <v>4137</v>
      </c>
    </row>
    <row r="7877" spans="1:6">
      <c r="A7877" t="s">
        <v>12006</v>
      </c>
      <c r="B7877" t="s">
        <v>2803</v>
      </c>
      <c r="C7877" t="s">
        <v>50</v>
      </c>
      <c r="D7877" s="1">
        <v>45811</v>
      </c>
      <c r="E7877" t="s">
        <v>4124</v>
      </c>
      <c r="F7877" t="s">
        <v>4125</v>
      </c>
    </row>
    <row r="7878" spans="1:6">
      <c r="A7878" t="s">
        <v>12007</v>
      </c>
      <c r="B7878" t="s">
        <v>2803</v>
      </c>
      <c r="C7878" t="s">
        <v>50</v>
      </c>
      <c r="D7878" s="1">
        <v>45805</v>
      </c>
      <c r="E7878" t="s">
        <v>4129</v>
      </c>
      <c r="F7878" t="s">
        <v>4139</v>
      </c>
    </row>
    <row r="7879" spans="1:6">
      <c r="A7879" t="s">
        <v>12008</v>
      </c>
      <c r="B7879" t="s">
        <v>2804</v>
      </c>
      <c r="C7879" t="s">
        <v>126</v>
      </c>
      <c r="D7879" s="1">
        <v>45905</v>
      </c>
      <c r="E7879" t="s">
        <v>4127</v>
      </c>
      <c r="F7879" t="s">
        <v>4137</v>
      </c>
    </row>
    <row r="7880" spans="1:6">
      <c r="A7880" t="s">
        <v>12009</v>
      </c>
      <c r="B7880" t="s">
        <v>2804</v>
      </c>
      <c r="C7880" t="s">
        <v>126</v>
      </c>
      <c r="D7880" s="1">
        <v>45905</v>
      </c>
      <c r="E7880" t="s">
        <v>4133</v>
      </c>
      <c r="F7880" t="s">
        <v>4137</v>
      </c>
    </row>
    <row r="7881" spans="1:6">
      <c r="A7881" t="s">
        <v>12010</v>
      </c>
      <c r="B7881" t="s">
        <v>2804</v>
      </c>
      <c r="C7881" t="s">
        <v>126</v>
      </c>
      <c r="D7881" s="1">
        <v>45917</v>
      </c>
      <c r="E7881" t="s">
        <v>4133</v>
      </c>
      <c r="F7881" t="s">
        <v>4139</v>
      </c>
    </row>
    <row r="7882" spans="1:6">
      <c r="A7882" t="s">
        <v>12011</v>
      </c>
      <c r="B7882" t="s">
        <v>2805</v>
      </c>
      <c r="C7882" t="s">
        <v>91</v>
      </c>
      <c r="D7882" s="1">
        <v>45837</v>
      </c>
      <c r="E7882" t="s">
        <v>4129</v>
      </c>
      <c r="F7882" t="s">
        <v>4139</v>
      </c>
    </row>
    <row r="7883" spans="1:6">
      <c r="A7883" t="s">
        <v>12012</v>
      </c>
      <c r="B7883" t="s">
        <v>2805</v>
      </c>
      <c r="C7883" t="s">
        <v>91</v>
      </c>
      <c r="D7883" s="1">
        <v>45893</v>
      </c>
      <c r="E7883" t="s">
        <v>4135</v>
      </c>
      <c r="F7883" t="s">
        <v>4125</v>
      </c>
    </row>
    <row r="7884" spans="1:6">
      <c r="A7884" t="s">
        <v>12013</v>
      </c>
      <c r="B7884" t="s">
        <v>2806</v>
      </c>
      <c r="C7884" t="s">
        <v>78</v>
      </c>
      <c r="D7884" s="1">
        <v>45929</v>
      </c>
      <c r="E7884" t="s">
        <v>4129</v>
      </c>
      <c r="F7884" t="s">
        <v>4125</v>
      </c>
    </row>
    <row r="7885" spans="1:6">
      <c r="A7885" t="s">
        <v>12014</v>
      </c>
      <c r="B7885" t="s">
        <v>2806</v>
      </c>
      <c r="C7885" t="s">
        <v>78</v>
      </c>
      <c r="D7885" s="1">
        <v>45934</v>
      </c>
      <c r="E7885" t="s">
        <v>4135</v>
      </c>
      <c r="F7885" t="s">
        <v>4137</v>
      </c>
    </row>
    <row r="7886" spans="1:6">
      <c r="A7886" t="s">
        <v>12015</v>
      </c>
      <c r="B7886" t="s">
        <v>2806</v>
      </c>
      <c r="C7886" t="s">
        <v>78</v>
      </c>
      <c r="D7886" s="1">
        <v>45930</v>
      </c>
      <c r="E7886" t="s">
        <v>4124</v>
      </c>
      <c r="F7886" t="s">
        <v>4125</v>
      </c>
    </row>
    <row r="7887" spans="1:6">
      <c r="A7887" t="s">
        <v>12016</v>
      </c>
      <c r="B7887" t="s">
        <v>2806</v>
      </c>
      <c r="C7887" t="s">
        <v>78</v>
      </c>
      <c r="D7887" s="1">
        <v>45927</v>
      </c>
      <c r="E7887" t="s">
        <v>4135</v>
      </c>
      <c r="F7887" t="s">
        <v>4137</v>
      </c>
    </row>
    <row r="7888" spans="1:6">
      <c r="A7888" t="s">
        <v>12017</v>
      </c>
      <c r="B7888" t="s">
        <v>2806</v>
      </c>
      <c r="C7888" t="s">
        <v>78</v>
      </c>
      <c r="D7888" s="1">
        <v>45923</v>
      </c>
      <c r="E7888" t="s">
        <v>4127</v>
      </c>
      <c r="F7888" t="s">
        <v>4137</v>
      </c>
    </row>
    <row r="7889" spans="1:6">
      <c r="A7889" t="s">
        <v>12018</v>
      </c>
      <c r="B7889" t="s">
        <v>2807</v>
      </c>
      <c r="C7889" t="s">
        <v>27</v>
      </c>
      <c r="D7889" s="1">
        <v>45846</v>
      </c>
      <c r="E7889" t="s">
        <v>4124</v>
      </c>
      <c r="F7889" t="s">
        <v>4137</v>
      </c>
    </row>
    <row r="7890" spans="1:6">
      <c r="A7890" t="s">
        <v>12019</v>
      </c>
      <c r="B7890" t="s">
        <v>2807</v>
      </c>
      <c r="C7890" t="s">
        <v>27</v>
      </c>
      <c r="D7890" s="1">
        <v>45853</v>
      </c>
      <c r="E7890" t="s">
        <v>4133</v>
      </c>
      <c r="F7890" t="s">
        <v>4125</v>
      </c>
    </row>
    <row r="7891" spans="1:6">
      <c r="A7891" t="s">
        <v>12020</v>
      </c>
      <c r="B7891" t="s">
        <v>2808</v>
      </c>
      <c r="C7891" t="s">
        <v>59</v>
      </c>
      <c r="D7891" s="1">
        <v>45772</v>
      </c>
      <c r="E7891" t="s">
        <v>4133</v>
      </c>
      <c r="F7891" t="s">
        <v>4125</v>
      </c>
    </row>
    <row r="7892" spans="1:6">
      <c r="A7892" t="s">
        <v>12021</v>
      </c>
      <c r="B7892" t="s">
        <v>2808</v>
      </c>
      <c r="C7892" t="s">
        <v>59</v>
      </c>
      <c r="D7892" s="1">
        <v>45788</v>
      </c>
      <c r="E7892" t="s">
        <v>4127</v>
      </c>
      <c r="F7892" t="s">
        <v>4125</v>
      </c>
    </row>
    <row r="7893" spans="1:6">
      <c r="A7893" t="s">
        <v>12022</v>
      </c>
      <c r="B7893" t="s">
        <v>2808</v>
      </c>
      <c r="C7893" t="s">
        <v>59</v>
      </c>
      <c r="D7893" s="1">
        <v>45781</v>
      </c>
      <c r="E7893" t="s">
        <v>4133</v>
      </c>
      <c r="F7893" t="s">
        <v>4125</v>
      </c>
    </row>
    <row r="7894" spans="1:6">
      <c r="A7894" t="s">
        <v>12023</v>
      </c>
      <c r="B7894" t="s">
        <v>2808</v>
      </c>
      <c r="C7894" t="s">
        <v>59</v>
      </c>
      <c r="D7894" s="1">
        <v>45782</v>
      </c>
      <c r="E7894" t="s">
        <v>4124</v>
      </c>
      <c r="F7894" t="s">
        <v>4139</v>
      </c>
    </row>
    <row r="7895" spans="1:6">
      <c r="A7895" t="s">
        <v>12024</v>
      </c>
      <c r="B7895" t="s">
        <v>2808</v>
      </c>
      <c r="C7895" t="s">
        <v>59</v>
      </c>
      <c r="D7895" s="1">
        <v>45774</v>
      </c>
      <c r="E7895" t="s">
        <v>4135</v>
      </c>
      <c r="F7895" t="s">
        <v>4137</v>
      </c>
    </row>
    <row r="7896" spans="1:6">
      <c r="A7896" t="s">
        <v>12025</v>
      </c>
      <c r="B7896" t="s">
        <v>2809</v>
      </c>
      <c r="C7896" t="s">
        <v>78</v>
      </c>
      <c r="D7896" s="1">
        <v>45907</v>
      </c>
      <c r="E7896" t="s">
        <v>4124</v>
      </c>
      <c r="F7896" t="s">
        <v>4139</v>
      </c>
    </row>
    <row r="7897" spans="1:6">
      <c r="A7897" t="s">
        <v>12026</v>
      </c>
      <c r="B7897" t="s">
        <v>2809</v>
      </c>
      <c r="C7897" t="s">
        <v>78</v>
      </c>
      <c r="D7897" s="1">
        <v>45911</v>
      </c>
      <c r="E7897" t="s">
        <v>4133</v>
      </c>
      <c r="F7897" t="s">
        <v>4139</v>
      </c>
    </row>
    <row r="7898" spans="1:6">
      <c r="A7898" t="s">
        <v>12027</v>
      </c>
      <c r="B7898" t="s">
        <v>2809</v>
      </c>
      <c r="C7898" t="s">
        <v>78</v>
      </c>
      <c r="D7898" s="1">
        <v>45916</v>
      </c>
      <c r="E7898" t="s">
        <v>4127</v>
      </c>
      <c r="F7898" t="s">
        <v>4125</v>
      </c>
    </row>
    <row r="7899" spans="1:6">
      <c r="A7899" t="s">
        <v>12028</v>
      </c>
      <c r="B7899" t="s">
        <v>2810</v>
      </c>
      <c r="C7899" t="s">
        <v>59</v>
      </c>
      <c r="D7899" s="1">
        <v>45739</v>
      </c>
      <c r="E7899" t="s">
        <v>4127</v>
      </c>
      <c r="F7899" t="s">
        <v>4137</v>
      </c>
    </row>
    <row r="7900" spans="1:6">
      <c r="A7900" t="s">
        <v>12029</v>
      </c>
      <c r="B7900" t="s">
        <v>2810</v>
      </c>
      <c r="C7900" t="s">
        <v>59</v>
      </c>
      <c r="D7900" s="1">
        <v>45766</v>
      </c>
      <c r="E7900" t="s">
        <v>4127</v>
      </c>
      <c r="F7900" t="s">
        <v>4137</v>
      </c>
    </row>
    <row r="7901" spans="1:6">
      <c r="A7901" t="s">
        <v>12030</v>
      </c>
      <c r="B7901" t="s">
        <v>2810</v>
      </c>
      <c r="C7901" t="s">
        <v>59</v>
      </c>
      <c r="D7901" s="1">
        <v>45746</v>
      </c>
      <c r="E7901" t="s">
        <v>4135</v>
      </c>
      <c r="F7901" t="s">
        <v>4137</v>
      </c>
    </row>
    <row r="7902" spans="1:6">
      <c r="A7902" t="s">
        <v>12031</v>
      </c>
      <c r="B7902" t="s">
        <v>2810</v>
      </c>
      <c r="C7902" t="s">
        <v>59</v>
      </c>
      <c r="D7902" s="1">
        <v>45787</v>
      </c>
      <c r="E7902" t="s">
        <v>4127</v>
      </c>
      <c r="F7902" t="s">
        <v>4139</v>
      </c>
    </row>
    <row r="7903" spans="1:6">
      <c r="A7903" t="s">
        <v>12032</v>
      </c>
      <c r="B7903" t="s">
        <v>2811</v>
      </c>
      <c r="C7903" t="s">
        <v>91</v>
      </c>
      <c r="D7903" s="1">
        <v>45805</v>
      </c>
      <c r="E7903" t="s">
        <v>4133</v>
      </c>
      <c r="F7903" t="s">
        <v>4139</v>
      </c>
    </row>
    <row r="7904" spans="1:6">
      <c r="A7904" t="s">
        <v>12033</v>
      </c>
      <c r="B7904" t="s">
        <v>2811</v>
      </c>
      <c r="C7904" t="s">
        <v>91</v>
      </c>
      <c r="D7904" s="1">
        <v>45729</v>
      </c>
      <c r="E7904" t="s">
        <v>4124</v>
      </c>
      <c r="F7904" t="s">
        <v>4139</v>
      </c>
    </row>
    <row r="7905" spans="1:6">
      <c r="A7905" t="s">
        <v>12034</v>
      </c>
      <c r="B7905" t="s">
        <v>2811</v>
      </c>
      <c r="C7905" t="s">
        <v>91</v>
      </c>
      <c r="D7905" s="1">
        <v>45730</v>
      </c>
      <c r="E7905" t="s">
        <v>4129</v>
      </c>
      <c r="F7905" t="s">
        <v>4137</v>
      </c>
    </row>
    <row r="7906" spans="1:6">
      <c r="A7906" t="s">
        <v>12035</v>
      </c>
      <c r="B7906" t="s">
        <v>2811</v>
      </c>
      <c r="C7906" t="s">
        <v>91</v>
      </c>
      <c r="D7906" s="1">
        <v>45787</v>
      </c>
      <c r="E7906" t="s">
        <v>4129</v>
      </c>
      <c r="F7906" t="s">
        <v>4125</v>
      </c>
    </row>
    <row r="7907" spans="1:6">
      <c r="A7907" t="s">
        <v>12036</v>
      </c>
      <c r="B7907" t="s">
        <v>2811</v>
      </c>
      <c r="C7907" t="s">
        <v>91</v>
      </c>
      <c r="D7907" s="1">
        <v>45803</v>
      </c>
      <c r="E7907" t="s">
        <v>4133</v>
      </c>
      <c r="F7907" t="s">
        <v>4139</v>
      </c>
    </row>
    <row r="7908" spans="1:6">
      <c r="A7908" t="s">
        <v>12037</v>
      </c>
      <c r="B7908" t="s">
        <v>2812</v>
      </c>
      <c r="C7908" t="s">
        <v>16</v>
      </c>
      <c r="D7908" s="1">
        <v>45698</v>
      </c>
      <c r="E7908" t="s">
        <v>4127</v>
      </c>
      <c r="F7908" t="s">
        <v>4137</v>
      </c>
    </row>
    <row r="7909" spans="1:6">
      <c r="A7909" t="s">
        <v>12038</v>
      </c>
      <c r="B7909" t="s">
        <v>2812</v>
      </c>
      <c r="C7909" t="s">
        <v>16</v>
      </c>
      <c r="D7909" s="1">
        <v>45704</v>
      </c>
      <c r="E7909" t="s">
        <v>4124</v>
      </c>
      <c r="F7909" t="s">
        <v>4125</v>
      </c>
    </row>
    <row r="7910" spans="1:6">
      <c r="A7910" t="s">
        <v>12039</v>
      </c>
      <c r="B7910" t="s">
        <v>2812</v>
      </c>
      <c r="C7910" t="s">
        <v>16</v>
      </c>
      <c r="D7910" s="1">
        <v>45731</v>
      </c>
      <c r="E7910" t="s">
        <v>4133</v>
      </c>
      <c r="F7910" t="s">
        <v>4125</v>
      </c>
    </row>
    <row r="7911" spans="1:6">
      <c r="A7911" t="s">
        <v>12040</v>
      </c>
      <c r="B7911" t="s">
        <v>2812</v>
      </c>
      <c r="C7911" t="s">
        <v>16</v>
      </c>
      <c r="D7911" s="1">
        <v>45720</v>
      </c>
      <c r="E7911" t="s">
        <v>4127</v>
      </c>
      <c r="F7911" t="s">
        <v>4137</v>
      </c>
    </row>
    <row r="7912" spans="1:6">
      <c r="A7912" t="s">
        <v>12041</v>
      </c>
      <c r="B7912" t="s">
        <v>2813</v>
      </c>
      <c r="C7912" t="s">
        <v>16</v>
      </c>
      <c r="D7912" s="1">
        <v>45821</v>
      </c>
      <c r="E7912" t="s">
        <v>4127</v>
      </c>
      <c r="F7912" t="s">
        <v>4139</v>
      </c>
    </row>
    <row r="7913" spans="1:6">
      <c r="A7913" t="s">
        <v>12042</v>
      </c>
      <c r="B7913" t="s">
        <v>2813</v>
      </c>
      <c r="C7913" t="s">
        <v>16</v>
      </c>
      <c r="D7913" s="1">
        <v>45827</v>
      </c>
      <c r="E7913" t="s">
        <v>4135</v>
      </c>
      <c r="F7913" t="s">
        <v>4139</v>
      </c>
    </row>
    <row r="7914" spans="1:6">
      <c r="A7914" t="s">
        <v>12043</v>
      </c>
      <c r="B7914" t="s">
        <v>2813</v>
      </c>
      <c r="C7914" t="s">
        <v>16</v>
      </c>
      <c r="D7914" s="1">
        <v>45798</v>
      </c>
      <c r="E7914" t="s">
        <v>4124</v>
      </c>
      <c r="F7914" t="s">
        <v>4125</v>
      </c>
    </row>
    <row r="7915" spans="1:6">
      <c r="A7915" t="s">
        <v>12044</v>
      </c>
      <c r="B7915" t="s">
        <v>2813</v>
      </c>
      <c r="C7915" t="s">
        <v>16</v>
      </c>
      <c r="D7915" s="1">
        <v>45822</v>
      </c>
      <c r="E7915" t="s">
        <v>4127</v>
      </c>
      <c r="F7915" t="s">
        <v>4125</v>
      </c>
    </row>
    <row r="7916" spans="1:6">
      <c r="A7916" t="s">
        <v>12045</v>
      </c>
      <c r="B7916" t="s">
        <v>2813</v>
      </c>
      <c r="C7916" t="s">
        <v>16</v>
      </c>
      <c r="D7916" s="1">
        <v>45838</v>
      </c>
      <c r="E7916" t="s">
        <v>4129</v>
      </c>
      <c r="F7916" t="s">
        <v>4125</v>
      </c>
    </row>
    <row r="7917" spans="1:6">
      <c r="A7917" t="s">
        <v>12046</v>
      </c>
      <c r="B7917" t="s">
        <v>2814</v>
      </c>
      <c r="C7917" t="s">
        <v>46</v>
      </c>
      <c r="D7917" s="1">
        <v>45728</v>
      </c>
      <c r="E7917" t="s">
        <v>4133</v>
      </c>
      <c r="F7917" t="s">
        <v>4137</v>
      </c>
    </row>
    <row r="7918" spans="1:6">
      <c r="A7918" t="s">
        <v>12047</v>
      </c>
      <c r="B7918" t="s">
        <v>2814</v>
      </c>
      <c r="C7918" t="s">
        <v>46</v>
      </c>
      <c r="D7918" s="1">
        <v>45724</v>
      </c>
      <c r="E7918" t="s">
        <v>4133</v>
      </c>
      <c r="F7918" t="s">
        <v>4125</v>
      </c>
    </row>
    <row r="7919" spans="1:6">
      <c r="A7919" t="s">
        <v>12048</v>
      </c>
      <c r="B7919" t="s">
        <v>2814</v>
      </c>
      <c r="C7919" t="s">
        <v>46</v>
      </c>
      <c r="D7919" s="1">
        <v>45698</v>
      </c>
      <c r="E7919" t="s">
        <v>4127</v>
      </c>
      <c r="F7919" t="s">
        <v>4137</v>
      </c>
    </row>
    <row r="7920" spans="1:6">
      <c r="A7920" t="s">
        <v>12049</v>
      </c>
      <c r="B7920" t="s">
        <v>2814</v>
      </c>
      <c r="C7920" t="s">
        <v>46</v>
      </c>
      <c r="D7920" s="1">
        <v>45721</v>
      </c>
      <c r="E7920" t="s">
        <v>4127</v>
      </c>
      <c r="F7920" t="s">
        <v>4137</v>
      </c>
    </row>
    <row r="7921" spans="1:6">
      <c r="A7921" t="s">
        <v>12050</v>
      </c>
      <c r="B7921" t="s">
        <v>2815</v>
      </c>
      <c r="C7921" t="s">
        <v>27</v>
      </c>
      <c r="D7921" s="1">
        <v>45699</v>
      </c>
      <c r="E7921" t="s">
        <v>4127</v>
      </c>
      <c r="F7921" t="s">
        <v>4137</v>
      </c>
    </row>
    <row r="7922" spans="1:6">
      <c r="A7922" t="s">
        <v>12051</v>
      </c>
      <c r="B7922" t="s">
        <v>2815</v>
      </c>
      <c r="C7922" t="s">
        <v>27</v>
      </c>
      <c r="D7922" s="1">
        <v>45722</v>
      </c>
      <c r="E7922" t="s">
        <v>4124</v>
      </c>
      <c r="F7922" t="s">
        <v>4137</v>
      </c>
    </row>
    <row r="7923" spans="1:6">
      <c r="A7923" t="s">
        <v>12052</v>
      </c>
      <c r="B7923" t="s">
        <v>2815</v>
      </c>
      <c r="C7923" t="s">
        <v>27</v>
      </c>
      <c r="D7923" s="1">
        <v>45716</v>
      </c>
      <c r="E7923" t="s">
        <v>4135</v>
      </c>
      <c r="F7923" t="s">
        <v>4137</v>
      </c>
    </row>
    <row r="7924" spans="1:6">
      <c r="A7924" t="s">
        <v>12053</v>
      </c>
      <c r="B7924" t="s">
        <v>2815</v>
      </c>
      <c r="C7924" t="s">
        <v>27</v>
      </c>
      <c r="D7924" s="1">
        <v>45717</v>
      </c>
      <c r="E7924" t="s">
        <v>4124</v>
      </c>
      <c r="F7924" t="s">
        <v>4137</v>
      </c>
    </row>
    <row r="7925" spans="1:6">
      <c r="A7925" t="s">
        <v>12054</v>
      </c>
      <c r="B7925" t="s">
        <v>2815</v>
      </c>
      <c r="C7925" t="s">
        <v>27</v>
      </c>
      <c r="D7925" s="1">
        <v>45693</v>
      </c>
      <c r="E7925" t="s">
        <v>4127</v>
      </c>
      <c r="F7925" t="s">
        <v>4137</v>
      </c>
    </row>
    <row r="7926" spans="1:6">
      <c r="A7926" t="s">
        <v>12055</v>
      </c>
      <c r="B7926" t="s">
        <v>2816</v>
      </c>
      <c r="C7926" t="s">
        <v>50</v>
      </c>
      <c r="D7926" s="1">
        <v>45982</v>
      </c>
      <c r="E7926" t="s">
        <v>4133</v>
      </c>
      <c r="F7926" t="s">
        <v>4139</v>
      </c>
    </row>
    <row r="7927" spans="1:6">
      <c r="A7927" t="s">
        <v>12056</v>
      </c>
      <c r="B7927" t="s">
        <v>2816</v>
      </c>
      <c r="C7927" t="s">
        <v>50</v>
      </c>
      <c r="D7927" s="1">
        <v>45967</v>
      </c>
      <c r="E7927" t="s">
        <v>4129</v>
      </c>
      <c r="F7927" t="s">
        <v>4139</v>
      </c>
    </row>
    <row r="7928" spans="1:6">
      <c r="A7928" t="s">
        <v>12057</v>
      </c>
      <c r="B7928" t="s">
        <v>2816</v>
      </c>
      <c r="C7928" t="s">
        <v>50</v>
      </c>
      <c r="D7928" s="1">
        <v>45985</v>
      </c>
      <c r="E7928" t="s">
        <v>4129</v>
      </c>
      <c r="F7928" t="s">
        <v>4137</v>
      </c>
    </row>
    <row r="7929" spans="1:6">
      <c r="A7929" t="s">
        <v>12058</v>
      </c>
      <c r="B7929" t="s">
        <v>2816</v>
      </c>
      <c r="C7929" t="s">
        <v>50</v>
      </c>
      <c r="D7929" s="1">
        <v>45960</v>
      </c>
      <c r="E7929" t="s">
        <v>4133</v>
      </c>
      <c r="F7929" t="s">
        <v>4125</v>
      </c>
    </row>
    <row r="7930" spans="1:6">
      <c r="A7930" t="s">
        <v>12059</v>
      </c>
      <c r="B7930" t="s">
        <v>2816</v>
      </c>
      <c r="C7930" t="s">
        <v>50</v>
      </c>
      <c r="D7930" s="1">
        <v>45962</v>
      </c>
      <c r="E7930" t="s">
        <v>4135</v>
      </c>
      <c r="F7930" t="s">
        <v>4125</v>
      </c>
    </row>
    <row r="7931" spans="1:6">
      <c r="A7931" t="s">
        <v>12060</v>
      </c>
      <c r="B7931" t="s">
        <v>2817</v>
      </c>
      <c r="C7931" t="s">
        <v>59</v>
      </c>
      <c r="D7931" s="1">
        <v>45874</v>
      </c>
      <c r="E7931" t="s">
        <v>4127</v>
      </c>
      <c r="F7931" t="s">
        <v>4125</v>
      </c>
    </row>
    <row r="7932" spans="1:6">
      <c r="A7932" t="s">
        <v>12061</v>
      </c>
      <c r="B7932" t="s">
        <v>2817</v>
      </c>
      <c r="C7932" t="s">
        <v>59</v>
      </c>
      <c r="D7932" s="1">
        <v>45839</v>
      </c>
      <c r="E7932" t="s">
        <v>4127</v>
      </c>
      <c r="F7932" t="s">
        <v>4139</v>
      </c>
    </row>
    <row r="7933" spans="1:6">
      <c r="A7933" t="s">
        <v>12062</v>
      </c>
      <c r="B7933" t="s">
        <v>2817</v>
      </c>
      <c r="C7933" t="s">
        <v>59</v>
      </c>
      <c r="D7933" s="1">
        <v>45844</v>
      </c>
      <c r="E7933" t="s">
        <v>4127</v>
      </c>
      <c r="F7933" t="s">
        <v>4139</v>
      </c>
    </row>
    <row r="7934" spans="1:6">
      <c r="A7934" t="s">
        <v>12063</v>
      </c>
      <c r="B7934" t="s">
        <v>2817</v>
      </c>
      <c r="C7934" t="s">
        <v>59</v>
      </c>
      <c r="D7934" s="1">
        <v>45866</v>
      </c>
      <c r="E7934" t="s">
        <v>4133</v>
      </c>
      <c r="F7934" t="s">
        <v>4137</v>
      </c>
    </row>
    <row r="7935" spans="1:6">
      <c r="A7935" t="s">
        <v>12064</v>
      </c>
      <c r="B7935" t="s">
        <v>2818</v>
      </c>
      <c r="C7935" t="s">
        <v>59</v>
      </c>
      <c r="D7935" s="1">
        <v>46019</v>
      </c>
      <c r="E7935" t="s">
        <v>4135</v>
      </c>
      <c r="F7935" t="s">
        <v>4139</v>
      </c>
    </row>
    <row r="7936" spans="1:6">
      <c r="A7936" t="s">
        <v>12065</v>
      </c>
      <c r="B7936" t="s">
        <v>2818</v>
      </c>
      <c r="C7936" t="s">
        <v>59</v>
      </c>
      <c r="D7936" s="1">
        <v>46019</v>
      </c>
      <c r="E7936" t="s">
        <v>4135</v>
      </c>
      <c r="F7936" t="s">
        <v>4139</v>
      </c>
    </row>
    <row r="7937" spans="1:6">
      <c r="A7937" t="s">
        <v>12066</v>
      </c>
      <c r="B7937" t="s">
        <v>2819</v>
      </c>
      <c r="C7937" t="s">
        <v>36</v>
      </c>
      <c r="D7937" s="1">
        <v>45931</v>
      </c>
      <c r="E7937" t="s">
        <v>4127</v>
      </c>
      <c r="F7937" t="s">
        <v>4137</v>
      </c>
    </row>
    <row r="7938" spans="1:6">
      <c r="A7938" t="s">
        <v>12067</v>
      </c>
      <c r="B7938" t="s">
        <v>2819</v>
      </c>
      <c r="C7938" t="s">
        <v>36</v>
      </c>
      <c r="D7938" s="1">
        <v>45916</v>
      </c>
      <c r="E7938" t="s">
        <v>4124</v>
      </c>
      <c r="F7938" t="s">
        <v>4125</v>
      </c>
    </row>
    <row r="7939" spans="1:6">
      <c r="A7939" t="s">
        <v>12068</v>
      </c>
      <c r="B7939" t="s">
        <v>2819</v>
      </c>
      <c r="C7939" t="s">
        <v>36</v>
      </c>
      <c r="D7939" s="1">
        <v>45925</v>
      </c>
      <c r="E7939" t="s">
        <v>4127</v>
      </c>
      <c r="F7939" t="s">
        <v>4137</v>
      </c>
    </row>
    <row r="7940" spans="1:6">
      <c r="A7940" t="s">
        <v>12069</v>
      </c>
      <c r="B7940" t="s">
        <v>2819</v>
      </c>
      <c r="C7940" t="s">
        <v>36</v>
      </c>
      <c r="D7940" s="1">
        <v>45947</v>
      </c>
      <c r="E7940" t="s">
        <v>4129</v>
      </c>
      <c r="F7940" t="s">
        <v>4125</v>
      </c>
    </row>
    <row r="7941" spans="1:6">
      <c r="A7941" t="s">
        <v>12070</v>
      </c>
      <c r="B7941" t="s">
        <v>2819</v>
      </c>
      <c r="C7941" t="s">
        <v>36</v>
      </c>
      <c r="D7941" s="1">
        <v>45947</v>
      </c>
      <c r="E7941" t="s">
        <v>4135</v>
      </c>
      <c r="F7941" t="s">
        <v>4137</v>
      </c>
    </row>
    <row r="7942" spans="1:6">
      <c r="A7942" t="s">
        <v>12071</v>
      </c>
      <c r="B7942" t="s">
        <v>2820</v>
      </c>
      <c r="C7942" t="s">
        <v>27</v>
      </c>
      <c r="D7942" s="1">
        <v>46012</v>
      </c>
      <c r="E7942" t="s">
        <v>4135</v>
      </c>
      <c r="F7942" t="s">
        <v>4137</v>
      </c>
    </row>
    <row r="7943" spans="1:6">
      <c r="A7943" t="s">
        <v>12072</v>
      </c>
      <c r="B7943" t="s">
        <v>2820</v>
      </c>
      <c r="C7943" t="s">
        <v>27</v>
      </c>
      <c r="D7943" s="1">
        <v>46021</v>
      </c>
      <c r="E7943" t="s">
        <v>4127</v>
      </c>
      <c r="F7943" t="s">
        <v>4137</v>
      </c>
    </row>
    <row r="7944" spans="1:6">
      <c r="A7944" t="s">
        <v>12073</v>
      </c>
      <c r="B7944" t="s">
        <v>2820</v>
      </c>
      <c r="C7944" t="s">
        <v>27</v>
      </c>
      <c r="D7944" s="1">
        <v>46020</v>
      </c>
      <c r="E7944" t="s">
        <v>4129</v>
      </c>
      <c r="F7944" t="s">
        <v>4125</v>
      </c>
    </row>
    <row r="7945" spans="1:6">
      <c r="A7945" t="s">
        <v>12074</v>
      </c>
      <c r="B7945" t="s">
        <v>2821</v>
      </c>
      <c r="C7945" t="s">
        <v>36</v>
      </c>
      <c r="D7945" s="1">
        <v>45824</v>
      </c>
      <c r="E7945" t="s">
        <v>4129</v>
      </c>
      <c r="F7945" t="s">
        <v>4125</v>
      </c>
    </row>
    <row r="7946" spans="1:6">
      <c r="A7946" t="s">
        <v>12075</v>
      </c>
      <c r="B7946" t="s">
        <v>2821</v>
      </c>
      <c r="C7946" t="s">
        <v>36</v>
      </c>
      <c r="D7946" s="1">
        <v>45833</v>
      </c>
      <c r="E7946" t="s">
        <v>4124</v>
      </c>
      <c r="F7946" t="s">
        <v>4137</v>
      </c>
    </row>
    <row r="7947" spans="1:6">
      <c r="A7947" t="s">
        <v>12076</v>
      </c>
      <c r="B7947" t="s">
        <v>2822</v>
      </c>
      <c r="C7947" t="s">
        <v>152</v>
      </c>
      <c r="D7947" s="1">
        <v>45926</v>
      </c>
      <c r="E7947" t="s">
        <v>4135</v>
      </c>
      <c r="F7947" t="s">
        <v>4137</v>
      </c>
    </row>
    <row r="7948" spans="1:6">
      <c r="A7948" t="s">
        <v>12077</v>
      </c>
      <c r="B7948" t="s">
        <v>2822</v>
      </c>
      <c r="C7948" t="s">
        <v>152</v>
      </c>
      <c r="D7948" s="1">
        <v>45915</v>
      </c>
      <c r="E7948" t="s">
        <v>4124</v>
      </c>
      <c r="F7948" t="s">
        <v>4137</v>
      </c>
    </row>
    <row r="7949" spans="1:6">
      <c r="A7949" t="s">
        <v>12078</v>
      </c>
      <c r="B7949" t="s">
        <v>2823</v>
      </c>
      <c r="C7949" t="s">
        <v>50</v>
      </c>
      <c r="D7949" s="1">
        <v>45933</v>
      </c>
      <c r="E7949" t="s">
        <v>4135</v>
      </c>
      <c r="F7949" t="s">
        <v>4137</v>
      </c>
    </row>
    <row r="7950" spans="1:6">
      <c r="A7950" t="s">
        <v>12079</v>
      </c>
      <c r="B7950" t="s">
        <v>2823</v>
      </c>
      <c r="C7950" t="s">
        <v>50</v>
      </c>
      <c r="D7950" s="1">
        <v>45912</v>
      </c>
      <c r="E7950" t="s">
        <v>4129</v>
      </c>
      <c r="F7950" t="s">
        <v>4139</v>
      </c>
    </row>
    <row r="7951" spans="1:6">
      <c r="A7951" t="s">
        <v>12080</v>
      </c>
      <c r="B7951" t="s">
        <v>2823</v>
      </c>
      <c r="C7951" t="s">
        <v>50</v>
      </c>
      <c r="D7951" s="1">
        <v>45956</v>
      </c>
      <c r="E7951" t="s">
        <v>4133</v>
      </c>
      <c r="F7951" t="s">
        <v>4137</v>
      </c>
    </row>
    <row r="7952" spans="1:6">
      <c r="A7952" t="s">
        <v>12081</v>
      </c>
      <c r="B7952" t="s">
        <v>2824</v>
      </c>
      <c r="C7952" t="s">
        <v>56</v>
      </c>
      <c r="D7952" s="1">
        <v>45934</v>
      </c>
      <c r="E7952" t="s">
        <v>4133</v>
      </c>
      <c r="F7952" t="s">
        <v>4125</v>
      </c>
    </row>
    <row r="7953" spans="1:6">
      <c r="A7953" t="s">
        <v>12082</v>
      </c>
      <c r="B7953" t="s">
        <v>2824</v>
      </c>
      <c r="C7953" t="s">
        <v>56</v>
      </c>
      <c r="D7953" s="1">
        <v>45925</v>
      </c>
      <c r="E7953" t="s">
        <v>4133</v>
      </c>
      <c r="F7953" t="s">
        <v>4125</v>
      </c>
    </row>
    <row r="7954" spans="1:6">
      <c r="A7954" t="s">
        <v>12083</v>
      </c>
      <c r="B7954" t="s">
        <v>2824</v>
      </c>
      <c r="C7954" t="s">
        <v>56</v>
      </c>
      <c r="D7954" s="1">
        <v>45893</v>
      </c>
      <c r="E7954" t="s">
        <v>4129</v>
      </c>
      <c r="F7954" t="s">
        <v>4139</v>
      </c>
    </row>
    <row r="7955" spans="1:6">
      <c r="A7955" t="s">
        <v>12084</v>
      </c>
      <c r="B7955" t="s">
        <v>2824</v>
      </c>
      <c r="C7955" t="s">
        <v>56</v>
      </c>
      <c r="D7955" s="1">
        <v>45943</v>
      </c>
      <c r="E7955" t="s">
        <v>4127</v>
      </c>
      <c r="F7955" t="s">
        <v>4139</v>
      </c>
    </row>
    <row r="7956" spans="1:6">
      <c r="A7956" t="s">
        <v>12085</v>
      </c>
      <c r="B7956" t="s">
        <v>2824</v>
      </c>
      <c r="C7956" t="s">
        <v>56</v>
      </c>
      <c r="D7956" s="1">
        <v>45910</v>
      </c>
      <c r="E7956" t="s">
        <v>4127</v>
      </c>
      <c r="F7956" t="s">
        <v>4139</v>
      </c>
    </row>
    <row r="7957" spans="1:6">
      <c r="A7957" t="s">
        <v>12086</v>
      </c>
      <c r="B7957" t="s">
        <v>2825</v>
      </c>
      <c r="C7957" t="s">
        <v>119</v>
      </c>
      <c r="D7957" s="1">
        <v>45791</v>
      </c>
      <c r="E7957" t="s">
        <v>4124</v>
      </c>
      <c r="F7957" t="s">
        <v>4137</v>
      </c>
    </row>
    <row r="7958" spans="1:6">
      <c r="A7958" t="s">
        <v>12087</v>
      </c>
      <c r="B7958" t="s">
        <v>2825</v>
      </c>
      <c r="C7958" t="s">
        <v>119</v>
      </c>
      <c r="D7958" s="1">
        <v>45801</v>
      </c>
      <c r="E7958" t="s">
        <v>4133</v>
      </c>
      <c r="F7958" t="s">
        <v>4139</v>
      </c>
    </row>
    <row r="7959" spans="1:6">
      <c r="A7959" t="s">
        <v>12088</v>
      </c>
      <c r="B7959" t="s">
        <v>2825</v>
      </c>
      <c r="C7959" t="s">
        <v>119</v>
      </c>
      <c r="D7959" s="1">
        <v>45805</v>
      </c>
      <c r="E7959" t="s">
        <v>4127</v>
      </c>
      <c r="F7959" t="s">
        <v>4125</v>
      </c>
    </row>
    <row r="7960" spans="1:6">
      <c r="A7960" t="s">
        <v>12089</v>
      </c>
      <c r="B7960" t="s">
        <v>2825</v>
      </c>
      <c r="C7960" t="s">
        <v>119</v>
      </c>
      <c r="D7960" s="1">
        <v>45792</v>
      </c>
      <c r="E7960" t="s">
        <v>4135</v>
      </c>
      <c r="F7960" t="s">
        <v>4125</v>
      </c>
    </row>
    <row r="7961" spans="1:6">
      <c r="A7961" t="s">
        <v>12090</v>
      </c>
      <c r="B7961" t="s">
        <v>2826</v>
      </c>
      <c r="C7961" t="s">
        <v>36</v>
      </c>
      <c r="D7961" s="1">
        <v>45913</v>
      </c>
      <c r="E7961" t="s">
        <v>4127</v>
      </c>
      <c r="F7961" t="s">
        <v>4139</v>
      </c>
    </row>
    <row r="7962" spans="1:6">
      <c r="A7962" t="s">
        <v>12091</v>
      </c>
      <c r="B7962" t="s">
        <v>2826</v>
      </c>
      <c r="C7962" t="s">
        <v>36</v>
      </c>
      <c r="D7962" s="1">
        <v>45928</v>
      </c>
      <c r="E7962" t="s">
        <v>4124</v>
      </c>
      <c r="F7962" t="s">
        <v>4137</v>
      </c>
    </row>
    <row r="7963" spans="1:6">
      <c r="A7963" t="s">
        <v>12092</v>
      </c>
      <c r="B7963" t="s">
        <v>2826</v>
      </c>
      <c r="C7963" t="s">
        <v>36</v>
      </c>
      <c r="D7963" s="1">
        <v>45909</v>
      </c>
      <c r="E7963" t="s">
        <v>4135</v>
      </c>
      <c r="F7963" t="s">
        <v>4137</v>
      </c>
    </row>
    <row r="7964" spans="1:6">
      <c r="A7964" t="s">
        <v>12093</v>
      </c>
      <c r="B7964" t="s">
        <v>2826</v>
      </c>
      <c r="C7964" t="s">
        <v>36</v>
      </c>
      <c r="D7964" s="1">
        <v>45907</v>
      </c>
      <c r="E7964" t="s">
        <v>4133</v>
      </c>
      <c r="F7964" t="s">
        <v>4137</v>
      </c>
    </row>
    <row r="7965" spans="1:6">
      <c r="A7965" t="s">
        <v>12094</v>
      </c>
      <c r="B7965" t="s">
        <v>2826</v>
      </c>
      <c r="C7965" t="s">
        <v>36</v>
      </c>
      <c r="D7965" s="1">
        <v>45929</v>
      </c>
      <c r="E7965" t="s">
        <v>4127</v>
      </c>
      <c r="F7965" t="s">
        <v>4137</v>
      </c>
    </row>
    <row r="7966" spans="1:6">
      <c r="A7966" t="s">
        <v>12095</v>
      </c>
      <c r="B7966" t="s">
        <v>2827</v>
      </c>
      <c r="C7966" t="s">
        <v>70</v>
      </c>
      <c r="D7966" s="1">
        <v>46008</v>
      </c>
      <c r="E7966" t="s">
        <v>4124</v>
      </c>
      <c r="F7966" t="s">
        <v>4125</v>
      </c>
    </row>
    <row r="7967" spans="1:6">
      <c r="A7967" t="s">
        <v>12096</v>
      </c>
      <c r="B7967" t="s">
        <v>2827</v>
      </c>
      <c r="C7967" t="s">
        <v>70</v>
      </c>
      <c r="D7967" s="1">
        <v>45998</v>
      </c>
      <c r="E7967" t="s">
        <v>4124</v>
      </c>
      <c r="F7967" t="s">
        <v>4137</v>
      </c>
    </row>
    <row r="7968" spans="1:6">
      <c r="A7968" t="s">
        <v>12097</v>
      </c>
      <c r="B7968" t="s">
        <v>2827</v>
      </c>
      <c r="C7968" t="s">
        <v>70</v>
      </c>
      <c r="D7968" s="1">
        <v>46002</v>
      </c>
      <c r="E7968" t="s">
        <v>4129</v>
      </c>
      <c r="F7968" t="s">
        <v>4137</v>
      </c>
    </row>
    <row r="7969" spans="1:6">
      <c r="A7969" t="s">
        <v>12098</v>
      </c>
      <c r="B7969" t="s">
        <v>2828</v>
      </c>
      <c r="C7969" t="s">
        <v>16</v>
      </c>
      <c r="D7969" s="1">
        <v>46022</v>
      </c>
      <c r="E7969" t="s">
        <v>4127</v>
      </c>
      <c r="F7969" t="s">
        <v>4139</v>
      </c>
    </row>
    <row r="7970" spans="1:6">
      <c r="A7970" t="s">
        <v>12099</v>
      </c>
      <c r="B7970" t="s">
        <v>2828</v>
      </c>
      <c r="C7970" t="s">
        <v>16</v>
      </c>
      <c r="D7970" s="1">
        <v>46021</v>
      </c>
      <c r="E7970" t="s">
        <v>4127</v>
      </c>
      <c r="F7970" t="s">
        <v>4139</v>
      </c>
    </row>
    <row r="7971" spans="1:6">
      <c r="A7971" t="s">
        <v>12100</v>
      </c>
      <c r="B7971" t="s">
        <v>2828</v>
      </c>
      <c r="C7971" t="s">
        <v>16</v>
      </c>
      <c r="D7971" s="1">
        <v>46022</v>
      </c>
      <c r="E7971" t="s">
        <v>4135</v>
      </c>
      <c r="F7971" t="s">
        <v>4139</v>
      </c>
    </row>
    <row r="7972" spans="1:6">
      <c r="A7972" t="s">
        <v>12101</v>
      </c>
      <c r="B7972" t="s">
        <v>2829</v>
      </c>
      <c r="C7972" t="s">
        <v>126</v>
      </c>
      <c r="D7972" s="1">
        <v>45947</v>
      </c>
      <c r="E7972" t="s">
        <v>4129</v>
      </c>
      <c r="F7972" t="s">
        <v>4137</v>
      </c>
    </row>
    <row r="7973" spans="1:6">
      <c r="A7973" t="s">
        <v>12102</v>
      </c>
      <c r="B7973" t="s">
        <v>2829</v>
      </c>
      <c r="C7973" t="s">
        <v>126</v>
      </c>
      <c r="D7973" s="1">
        <v>45962</v>
      </c>
      <c r="E7973" t="s">
        <v>4129</v>
      </c>
      <c r="F7973" t="s">
        <v>4137</v>
      </c>
    </row>
    <row r="7974" spans="1:6">
      <c r="A7974" t="s">
        <v>12103</v>
      </c>
      <c r="B7974" t="s">
        <v>2829</v>
      </c>
      <c r="C7974" t="s">
        <v>126</v>
      </c>
      <c r="D7974" s="1">
        <v>45905</v>
      </c>
      <c r="E7974" t="s">
        <v>4129</v>
      </c>
      <c r="F7974" t="s">
        <v>4125</v>
      </c>
    </row>
    <row r="7975" spans="1:6">
      <c r="A7975" t="s">
        <v>12104</v>
      </c>
      <c r="B7975" t="s">
        <v>2829</v>
      </c>
      <c r="C7975" t="s">
        <v>126</v>
      </c>
      <c r="D7975" s="1">
        <v>45932</v>
      </c>
      <c r="E7975" t="s">
        <v>4135</v>
      </c>
      <c r="F7975" t="s">
        <v>4125</v>
      </c>
    </row>
    <row r="7976" spans="1:6">
      <c r="A7976" t="s">
        <v>12105</v>
      </c>
      <c r="B7976" t="s">
        <v>2829</v>
      </c>
      <c r="C7976" t="s">
        <v>126</v>
      </c>
      <c r="D7976" s="1">
        <v>45952</v>
      </c>
      <c r="E7976" t="s">
        <v>4124</v>
      </c>
      <c r="F7976" t="s">
        <v>4139</v>
      </c>
    </row>
    <row r="7977" spans="1:6">
      <c r="A7977" t="s">
        <v>12106</v>
      </c>
      <c r="B7977" t="s">
        <v>2830</v>
      </c>
      <c r="C7977" t="s">
        <v>36</v>
      </c>
      <c r="D7977" s="1">
        <v>45990</v>
      </c>
      <c r="E7977" t="s">
        <v>4129</v>
      </c>
      <c r="F7977" t="s">
        <v>4137</v>
      </c>
    </row>
    <row r="7978" spans="1:6">
      <c r="A7978" t="s">
        <v>12107</v>
      </c>
      <c r="B7978" t="s">
        <v>2830</v>
      </c>
      <c r="C7978" t="s">
        <v>36</v>
      </c>
      <c r="D7978" s="1">
        <v>45976</v>
      </c>
      <c r="E7978" t="s">
        <v>4127</v>
      </c>
      <c r="F7978" t="s">
        <v>4139</v>
      </c>
    </row>
    <row r="7979" spans="1:6">
      <c r="A7979" t="s">
        <v>12108</v>
      </c>
      <c r="B7979" t="s">
        <v>2830</v>
      </c>
      <c r="C7979" t="s">
        <v>36</v>
      </c>
      <c r="D7979" s="1">
        <v>45971</v>
      </c>
      <c r="E7979" t="s">
        <v>4124</v>
      </c>
      <c r="F7979" t="s">
        <v>4125</v>
      </c>
    </row>
    <row r="7980" spans="1:6">
      <c r="A7980" t="s">
        <v>12109</v>
      </c>
      <c r="B7980" t="s">
        <v>2831</v>
      </c>
      <c r="C7980" t="s">
        <v>46</v>
      </c>
      <c r="D7980" s="1">
        <v>45941</v>
      </c>
      <c r="E7980" t="s">
        <v>4133</v>
      </c>
      <c r="F7980" t="s">
        <v>4137</v>
      </c>
    </row>
    <row r="7981" spans="1:6">
      <c r="A7981" t="s">
        <v>12110</v>
      </c>
      <c r="B7981" t="s">
        <v>2831</v>
      </c>
      <c r="C7981" t="s">
        <v>46</v>
      </c>
      <c r="D7981" s="1">
        <v>45915</v>
      </c>
      <c r="E7981" t="s">
        <v>4129</v>
      </c>
      <c r="F7981" t="s">
        <v>4139</v>
      </c>
    </row>
    <row r="7982" spans="1:6">
      <c r="A7982" t="s">
        <v>12111</v>
      </c>
      <c r="B7982" t="s">
        <v>2831</v>
      </c>
      <c r="C7982" t="s">
        <v>46</v>
      </c>
      <c r="D7982" s="1">
        <v>45893</v>
      </c>
      <c r="E7982" t="s">
        <v>4124</v>
      </c>
      <c r="F7982" t="s">
        <v>4139</v>
      </c>
    </row>
    <row r="7983" spans="1:6">
      <c r="A7983" t="s">
        <v>12112</v>
      </c>
      <c r="B7983" t="s">
        <v>2831</v>
      </c>
      <c r="C7983" t="s">
        <v>46</v>
      </c>
      <c r="D7983" s="1">
        <v>45933</v>
      </c>
      <c r="E7983" t="s">
        <v>4129</v>
      </c>
      <c r="F7983" t="s">
        <v>4137</v>
      </c>
    </row>
    <row r="7984" spans="1:6">
      <c r="A7984" t="s">
        <v>12113</v>
      </c>
      <c r="B7984" t="s">
        <v>2832</v>
      </c>
      <c r="C7984" t="s">
        <v>32</v>
      </c>
      <c r="D7984" s="1">
        <v>45765</v>
      </c>
      <c r="E7984" t="s">
        <v>4133</v>
      </c>
      <c r="F7984" t="s">
        <v>4137</v>
      </c>
    </row>
    <row r="7985" spans="1:6">
      <c r="A7985" t="s">
        <v>12114</v>
      </c>
      <c r="B7985" t="s">
        <v>2832</v>
      </c>
      <c r="C7985" t="s">
        <v>32</v>
      </c>
      <c r="D7985" s="1">
        <v>45759</v>
      </c>
      <c r="E7985" t="s">
        <v>4129</v>
      </c>
      <c r="F7985" t="s">
        <v>4137</v>
      </c>
    </row>
    <row r="7986" spans="1:6">
      <c r="A7986" t="s">
        <v>12115</v>
      </c>
      <c r="B7986" t="s">
        <v>2832</v>
      </c>
      <c r="C7986" t="s">
        <v>32</v>
      </c>
      <c r="D7986" s="1">
        <v>45762</v>
      </c>
      <c r="E7986" t="s">
        <v>4133</v>
      </c>
      <c r="F7986" t="s">
        <v>4137</v>
      </c>
    </row>
    <row r="7987" spans="1:6">
      <c r="A7987" t="s">
        <v>12116</v>
      </c>
      <c r="B7987" t="s">
        <v>2832</v>
      </c>
      <c r="C7987" t="s">
        <v>32</v>
      </c>
      <c r="D7987" s="1">
        <v>45765</v>
      </c>
      <c r="E7987" t="s">
        <v>4129</v>
      </c>
      <c r="F7987" t="s">
        <v>4139</v>
      </c>
    </row>
    <row r="7988" spans="1:6">
      <c r="A7988" t="s">
        <v>12117</v>
      </c>
      <c r="B7988" t="s">
        <v>2832</v>
      </c>
      <c r="C7988" t="s">
        <v>32</v>
      </c>
      <c r="D7988" s="1">
        <v>45752</v>
      </c>
      <c r="E7988" t="s">
        <v>4133</v>
      </c>
      <c r="F7988" t="s">
        <v>4137</v>
      </c>
    </row>
    <row r="7989" spans="1:6">
      <c r="A7989" t="s">
        <v>12118</v>
      </c>
      <c r="B7989" t="s">
        <v>2833</v>
      </c>
      <c r="C7989" t="s">
        <v>70</v>
      </c>
      <c r="D7989" s="1">
        <v>45939</v>
      </c>
      <c r="E7989" t="s">
        <v>4124</v>
      </c>
      <c r="F7989" t="s">
        <v>4137</v>
      </c>
    </row>
    <row r="7990" spans="1:6">
      <c r="A7990" t="s">
        <v>12119</v>
      </c>
      <c r="B7990" t="s">
        <v>2833</v>
      </c>
      <c r="C7990" t="s">
        <v>70</v>
      </c>
      <c r="D7990" s="1">
        <v>45940</v>
      </c>
      <c r="E7990" t="s">
        <v>4135</v>
      </c>
      <c r="F7990" t="s">
        <v>4137</v>
      </c>
    </row>
    <row r="7991" spans="1:6">
      <c r="A7991" t="s">
        <v>12120</v>
      </c>
      <c r="B7991" t="s">
        <v>2833</v>
      </c>
      <c r="C7991" t="s">
        <v>70</v>
      </c>
      <c r="D7991" s="1">
        <v>45937</v>
      </c>
      <c r="E7991" t="s">
        <v>4127</v>
      </c>
      <c r="F7991" t="s">
        <v>4125</v>
      </c>
    </row>
    <row r="7992" spans="1:6">
      <c r="A7992" t="s">
        <v>12121</v>
      </c>
      <c r="B7992" t="s">
        <v>2834</v>
      </c>
      <c r="C7992" t="s">
        <v>56</v>
      </c>
      <c r="D7992" s="1">
        <v>45700</v>
      </c>
      <c r="E7992" t="s">
        <v>4135</v>
      </c>
      <c r="F7992" t="s">
        <v>4125</v>
      </c>
    </row>
    <row r="7993" spans="1:6">
      <c r="A7993" t="s">
        <v>12122</v>
      </c>
      <c r="B7993" t="s">
        <v>2834</v>
      </c>
      <c r="C7993" t="s">
        <v>56</v>
      </c>
      <c r="D7993" s="1">
        <v>45713</v>
      </c>
      <c r="E7993" t="s">
        <v>4127</v>
      </c>
      <c r="F7993" t="s">
        <v>4137</v>
      </c>
    </row>
    <row r="7994" spans="1:6">
      <c r="A7994" t="s">
        <v>12123</v>
      </c>
      <c r="B7994" t="s">
        <v>2835</v>
      </c>
      <c r="C7994" t="s">
        <v>27</v>
      </c>
      <c r="D7994" s="1">
        <v>45792</v>
      </c>
      <c r="E7994" t="s">
        <v>4124</v>
      </c>
      <c r="F7994" t="s">
        <v>4137</v>
      </c>
    </row>
    <row r="7995" spans="1:6">
      <c r="A7995" t="s">
        <v>12124</v>
      </c>
      <c r="B7995" t="s">
        <v>2835</v>
      </c>
      <c r="C7995" t="s">
        <v>27</v>
      </c>
      <c r="D7995" s="1">
        <v>45802</v>
      </c>
      <c r="E7995" t="s">
        <v>4127</v>
      </c>
      <c r="F7995" t="s">
        <v>4139</v>
      </c>
    </row>
    <row r="7996" spans="1:6">
      <c r="A7996" t="s">
        <v>12125</v>
      </c>
      <c r="B7996" t="s">
        <v>2836</v>
      </c>
      <c r="C7996" t="s">
        <v>75</v>
      </c>
      <c r="D7996" s="1">
        <v>45699</v>
      </c>
      <c r="E7996" t="s">
        <v>4124</v>
      </c>
      <c r="F7996" t="s">
        <v>4125</v>
      </c>
    </row>
    <row r="7997" spans="1:6">
      <c r="A7997" t="s">
        <v>12126</v>
      </c>
      <c r="B7997" t="s">
        <v>2836</v>
      </c>
      <c r="C7997" t="s">
        <v>75</v>
      </c>
      <c r="D7997" s="1">
        <v>45688</v>
      </c>
      <c r="E7997" t="s">
        <v>4135</v>
      </c>
      <c r="F7997" t="s">
        <v>4139</v>
      </c>
    </row>
    <row r="7998" spans="1:6">
      <c r="A7998" t="s">
        <v>12127</v>
      </c>
      <c r="B7998" t="s">
        <v>2836</v>
      </c>
      <c r="C7998" t="s">
        <v>75</v>
      </c>
      <c r="D7998" s="1">
        <v>45708</v>
      </c>
      <c r="E7998" t="s">
        <v>4127</v>
      </c>
      <c r="F7998" t="s">
        <v>4139</v>
      </c>
    </row>
    <row r="7999" spans="1:6">
      <c r="A7999" t="s">
        <v>12128</v>
      </c>
      <c r="B7999" t="s">
        <v>2836</v>
      </c>
      <c r="C7999" t="s">
        <v>75</v>
      </c>
      <c r="D7999" s="1">
        <v>45707</v>
      </c>
      <c r="E7999" t="s">
        <v>4135</v>
      </c>
      <c r="F7999" t="s">
        <v>4125</v>
      </c>
    </row>
    <row r="8000" spans="1:6">
      <c r="A8000" t="s">
        <v>12129</v>
      </c>
      <c r="B8000" t="s">
        <v>2836</v>
      </c>
      <c r="C8000" t="s">
        <v>75</v>
      </c>
      <c r="D8000" s="1">
        <v>45702</v>
      </c>
      <c r="E8000" t="s">
        <v>4127</v>
      </c>
      <c r="F8000" t="s">
        <v>4125</v>
      </c>
    </row>
    <row r="8001" spans="1:6">
      <c r="A8001" t="s">
        <v>12130</v>
      </c>
      <c r="B8001" t="s">
        <v>2837</v>
      </c>
      <c r="C8001" t="s">
        <v>78</v>
      </c>
      <c r="D8001" s="1">
        <v>45969</v>
      </c>
      <c r="E8001" t="s">
        <v>4129</v>
      </c>
      <c r="F8001" t="s">
        <v>4125</v>
      </c>
    </row>
    <row r="8002" spans="1:6">
      <c r="A8002" t="s">
        <v>12131</v>
      </c>
      <c r="B8002" t="s">
        <v>2837</v>
      </c>
      <c r="C8002" t="s">
        <v>78</v>
      </c>
      <c r="D8002" s="1">
        <v>45978</v>
      </c>
      <c r="E8002" t="s">
        <v>4127</v>
      </c>
      <c r="F8002" t="s">
        <v>4139</v>
      </c>
    </row>
    <row r="8003" spans="1:6">
      <c r="A8003" t="s">
        <v>12132</v>
      </c>
      <c r="B8003" t="s">
        <v>2837</v>
      </c>
      <c r="C8003" t="s">
        <v>78</v>
      </c>
      <c r="D8003" s="1">
        <v>45976</v>
      </c>
      <c r="E8003" t="s">
        <v>4135</v>
      </c>
      <c r="F8003" t="s">
        <v>4139</v>
      </c>
    </row>
    <row r="8004" spans="1:6">
      <c r="A8004" t="s">
        <v>12133</v>
      </c>
      <c r="B8004" t="s">
        <v>2837</v>
      </c>
      <c r="C8004" t="s">
        <v>78</v>
      </c>
      <c r="D8004" s="1">
        <v>45981</v>
      </c>
      <c r="E8004" t="s">
        <v>4135</v>
      </c>
      <c r="F8004" t="s">
        <v>4137</v>
      </c>
    </row>
    <row r="8005" spans="1:6">
      <c r="A8005" t="s">
        <v>12134</v>
      </c>
      <c r="B8005" t="s">
        <v>2838</v>
      </c>
      <c r="C8005" t="s">
        <v>27</v>
      </c>
      <c r="D8005" s="1">
        <v>45901</v>
      </c>
      <c r="E8005" t="s">
        <v>4135</v>
      </c>
      <c r="F8005" t="s">
        <v>4139</v>
      </c>
    </row>
    <row r="8006" spans="1:6">
      <c r="A8006" t="s">
        <v>12135</v>
      </c>
      <c r="B8006" t="s">
        <v>2838</v>
      </c>
      <c r="C8006" t="s">
        <v>27</v>
      </c>
      <c r="D8006" s="1">
        <v>45903</v>
      </c>
      <c r="E8006" t="s">
        <v>4124</v>
      </c>
      <c r="F8006" t="s">
        <v>4125</v>
      </c>
    </row>
    <row r="8007" spans="1:6">
      <c r="A8007" t="s">
        <v>12136</v>
      </c>
      <c r="B8007" t="s">
        <v>2838</v>
      </c>
      <c r="C8007" t="s">
        <v>27</v>
      </c>
      <c r="D8007" s="1">
        <v>45894</v>
      </c>
      <c r="E8007" t="s">
        <v>4127</v>
      </c>
      <c r="F8007" t="s">
        <v>4125</v>
      </c>
    </row>
    <row r="8008" spans="1:6">
      <c r="A8008" t="s">
        <v>12137</v>
      </c>
      <c r="B8008" t="s">
        <v>2838</v>
      </c>
      <c r="C8008" t="s">
        <v>27</v>
      </c>
      <c r="D8008" s="1">
        <v>45899</v>
      </c>
      <c r="E8008" t="s">
        <v>4129</v>
      </c>
      <c r="F8008" t="s">
        <v>4139</v>
      </c>
    </row>
    <row r="8009" spans="1:6">
      <c r="A8009" t="s">
        <v>12138</v>
      </c>
      <c r="B8009" t="s">
        <v>2839</v>
      </c>
      <c r="C8009" t="s">
        <v>168</v>
      </c>
      <c r="D8009" s="1">
        <v>45870</v>
      </c>
      <c r="E8009" t="s">
        <v>4135</v>
      </c>
      <c r="F8009" t="s">
        <v>4125</v>
      </c>
    </row>
    <row r="8010" spans="1:6">
      <c r="A8010" t="s">
        <v>12139</v>
      </c>
      <c r="B8010" t="s">
        <v>2839</v>
      </c>
      <c r="C8010" t="s">
        <v>168</v>
      </c>
      <c r="D8010" s="1">
        <v>45915</v>
      </c>
      <c r="E8010" t="s">
        <v>4124</v>
      </c>
      <c r="F8010" t="s">
        <v>4139</v>
      </c>
    </row>
    <row r="8011" spans="1:6">
      <c r="A8011" t="s">
        <v>12140</v>
      </c>
      <c r="B8011" t="s">
        <v>2839</v>
      </c>
      <c r="C8011" t="s">
        <v>168</v>
      </c>
      <c r="D8011" s="1">
        <v>45924</v>
      </c>
      <c r="E8011" t="s">
        <v>4124</v>
      </c>
      <c r="F8011" t="s">
        <v>4137</v>
      </c>
    </row>
    <row r="8012" spans="1:6">
      <c r="A8012" t="s">
        <v>12141</v>
      </c>
      <c r="B8012" t="s">
        <v>2839</v>
      </c>
      <c r="C8012" t="s">
        <v>168</v>
      </c>
      <c r="D8012" s="1">
        <v>45892</v>
      </c>
      <c r="E8012" t="s">
        <v>4124</v>
      </c>
      <c r="F8012" t="s">
        <v>4125</v>
      </c>
    </row>
    <row r="8013" spans="1:6">
      <c r="A8013" t="s">
        <v>12142</v>
      </c>
      <c r="B8013" t="s">
        <v>2840</v>
      </c>
      <c r="C8013" t="s">
        <v>27</v>
      </c>
      <c r="D8013" s="1">
        <v>45724</v>
      </c>
      <c r="E8013" t="s">
        <v>4135</v>
      </c>
      <c r="F8013" t="s">
        <v>4125</v>
      </c>
    </row>
    <row r="8014" spans="1:6">
      <c r="A8014" t="s">
        <v>12143</v>
      </c>
      <c r="B8014" t="s">
        <v>2840</v>
      </c>
      <c r="C8014" t="s">
        <v>27</v>
      </c>
      <c r="D8014" s="1">
        <v>45720</v>
      </c>
      <c r="E8014" t="s">
        <v>4133</v>
      </c>
      <c r="F8014" t="s">
        <v>4125</v>
      </c>
    </row>
    <row r="8015" spans="1:6">
      <c r="A8015" t="s">
        <v>12144</v>
      </c>
      <c r="B8015" t="s">
        <v>2840</v>
      </c>
      <c r="C8015" t="s">
        <v>27</v>
      </c>
      <c r="D8015" s="1">
        <v>45724</v>
      </c>
      <c r="E8015" t="s">
        <v>4124</v>
      </c>
      <c r="F8015" t="s">
        <v>4139</v>
      </c>
    </row>
    <row r="8016" spans="1:6">
      <c r="A8016" t="s">
        <v>12145</v>
      </c>
      <c r="B8016" t="s">
        <v>2840</v>
      </c>
      <c r="C8016" t="s">
        <v>27</v>
      </c>
      <c r="D8016" s="1">
        <v>45693</v>
      </c>
      <c r="E8016" t="s">
        <v>4129</v>
      </c>
      <c r="F8016" t="s">
        <v>4139</v>
      </c>
    </row>
    <row r="8017" spans="1:6">
      <c r="A8017" t="s">
        <v>12146</v>
      </c>
      <c r="B8017" t="s">
        <v>2840</v>
      </c>
      <c r="C8017" t="s">
        <v>27</v>
      </c>
      <c r="D8017" s="1">
        <v>45702</v>
      </c>
      <c r="E8017" t="s">
        <v>4133</v>
      </c>
      <c r="F8017" t="s">
        <v>4137</v>
      </c>
    </row>
    <row r="8018" spans="1:6">
      <c r="A8018" t="s">
        <v>12147</v>
      </c>
      <c r="B8018" t="s">
        <v>2841</v>
      </c>
      <c r="C8018" t="s">
        <v>53</v>
      </c>
      <c r="D8018" s="1">
        <v>46022</v>
      </c>
      <c r="E8018" t="s">
        <v>4127</v>
      </c>
      <c r="F8018" t="s">
        <v>4139</v>
      </c>
    </row>
    <row r="8019" spans="1:6">
      <c r="A8019" t="s">
        <v>12148</v>
      </c>
      <c r="B8019" t="s">
        <v>2841</v>
      </c>
      <c r="C8019" t="s">
        <v>53</v>
      </c>
      <c r="D8019" s="1">
        <v>46019</v>
      </c>
      <c r="E8019" t="s">
        <v>4124</v>
      </c>
      <c r="F8019" t="s">
        <v>4139</v>
      </c>
    </row>
    <row r="8020" spans="1:6">
      <c r="A8020" t="s">
        <v>12149</v>
      </c>
      <c r="B8020" t="s">
        <v>2841</v>
      </c>
      <c r="C8020" t="s">
        <v>53</v>
      </c>
      <c r="D8020" s="1">
        <v>46019</v>
      </c>
      <c r="E8020" t="s">
        <v>4124</v>
      </c>
      <c r="F8020" t="s">
        <v>4137</v>
      </c>
    </row>
    <row r="8021" spans="1:6">
      <c r="A8021" t="s">
        <v>12150</v>
      </c>
      <c r="B8021" t="s">
        <v>2842</v>
      </c>
      <c r="C8021" t="s">
        <v>53</v>
      </c>
      <c r="D8021" s="1">
        <v>45830</v>
      </c>
      <c r="E8021" t="s">
        <v>4135</v>
      </c>
      <c r="F8021" t="s">
        <v>4139</v>
      </c>
    </row>
    <row r="8022" spans="1:6">
      <c r="A8022" t="s">
        <v>12151</v>
      </c>
      <c r="B8022" t="s">
        <v>2842</v>
      </c>
      <c r="C8022" t="s">
        <v>53</v>
      </c>
      <c r="D8022" s="1">
        <v>45812</v>
      </c>
      <c r="E8022" t="s">
        <v>4133</v>
      </c>
      <c r="F8022" t="s">
        <v>4139</v>
      </c>
    </row>
    <row r="8023" spans="1:6">
      <c r="A8023" t="s">
        <v>12152</v>
      </c>
      <c r="B8023" t="s">
        <v>2842</v>
      </c>
      <c r="C8023" t="s">
        <v>53</v>
      </c>
      <c r="D8023" s="1">
        <v>45827</v>
      </c>
      <c r="E8023" t="s">
        <v>4129</v>
      </c>
      <c r="F8023" t="s">
        <v>4137</v>
      </c>
    </row>
    <row r="8024" spans="1:6">
      <c r="A8024" t="s">
        <v>12153</v>
      </c>
      <c r="B8024" t="s">
        <v>2843</v>
      </c>
      <c r="C8024" t="s">
        <v>59</v>
      </c>
      <c r="D8024" s="1">
        <v>45775</v>
      </c>
      <c r="E8024" t="s">
        <v>4124</v>
      </c>
      <c r="F8024" t="s">
        <v>4137</v>
      </c>
    </row>
    <row r="8025" spans="1:6">
      <c r="A8025" t="s">
        <v>12154</v>
      </c>
      <c r="B8025" t="s">
        <v>2843</v>
      </c>
      <c r="C8025" t="s">
        <v>59</v>
      </c>
      <c r="D8025" s="1">
        <v>45791</v>
      </c>
      <c r="E8025" t="s">
        <v>4135</v>
      </c>
      <c r="F8025" t="s">
        <v>4139</v>
      </c>
    </row>
    <row r="8026" spans="1:6">
      <c r="A8026" t="s">
        <v>12155</v>
      </c>
      <c r="B8026" t="s">
        <v>2844</v>
      </c>
      <c r="C8026" t="s">
        <v>152</v>
      </c>
      <c r="D8026" s="1">
        <v>45926</v>
      </c>
      <c r="E8026" t="s">
        <v>4135</v>
      </c>
      <c r="F8026" t="s">
        <v>4137</v>
      </c>
    </row>
    <row r="8027" spans="1:6">
      <c r="A8027" t="s">
        <v>12156</v>
      </c>
      <c r="B8027" t="s">
        <v>2844</v>
      </c>
      <c r="C8027" t="s">
        <v>152</v>
      </c>
      <c r="D8027" s="1">
        <v>45897</v>
      </c>
      <c r="E8027" t="s">
        <v>4135</v>
      </c>
      <c r="F8027" t="s">
        <v>4125</v>
      </c>
    </row>
    <row r="8028" spans="1:6">
      <c r="A8028" t="s">
        <v>12157</v>
      </c>
      <c r="B8028" t="s">
        <v>2845</v>
      </c>
      <c r="C8028" t="s">
        <v>27</v>
      </c>
      <c r="D8028" s="1">
        <v>45702</v>
      </c>
      <c r="E8028" t="s">
        <v>4133</v>
      </c>
      <c r="F8028" t="s">
        <v>4125</v>
      </c>
    </row>
    <row r="8029" spans="1:6">
      <c r="A8029" t="s">
        <v>12158</v>
      </c>
      <c r="B8029" t="s">
        <v>2845</v>
      </c>
      <c r="C8029" t="s">
        <v>27</v>
      </c>
      <c r="D8029" s="1">
        <v>45702</v>
      </c>
      <c r="E8029" t="s">
        <v>4135</v>
      </c>
      <c r="F8029" t="s">
        <v>4125</v>
      </c>
    </row>
    <row r="8030" spans="1:6">
      <c r="A8030" t="s">
        <v>12159</v>
      </c>
      <c r="B8030" t="s">
        <v>2845</v>
      </c>
      <c r="C8030" t="s">
        <v>27</v>
      </c>
      <c r="D8030" s="1">
        <v>45704</v>
      </c>
      <c r="E8030" t="s">
        <v>4133</v>
      </c>
      <c r="F8030" t="s">
        <v>4139</v>
      </c>
    </row>
    <row r="8031" spans="1:6">
      <c r="A8031" t="s">
        <v>12160</v>
      </c>
      <c r="B8031" t="s">
        <v>2845</v>
      </c>
      <c r="C8031" t="s">
        <v>27</v>
      </c>
      <c r="D8031" s="1">
        <v>45706</v>
      </c>
      <c r="E8031" t="s">
        <v>4133</v>
      </c>
      <c r="F8031" t="s">
        <v>4139</v>
      </c>
    </row>
    <row r="8032" spans="1:6">
      <c r="A8032" t="s">
        <v>12161</v>
      </c>
      <c r="B8032" t="s">
        <v>2845</v>
      </c>
      <c r="C8032" t="s">
        <v>27</v>
      </c>
      <c r="D8032" s="1">
        <v>45706</v>
      </c>
      <c r="E8032" t="s">
        <v>4127</v>
      </c>
      <c r="F8032" t="s">
        <v>4137</v>
      </c>
    </row>
    <row r="8033" spans="1:6">
      <c r="A8033" t="s">
        <v>12162</v>
      </c>
      <c r="B8033" t="s">
        <v>2846</v>
      </c>
      <c r="C8033" t="s">
        <v>119</v>
      </c>
      <c r="D8033" s="1">
        <v>45879</v>
      </c>
      <c r="E8033" t="s">
        <v>4127</v>
      </c>
      <c r="F8033" t="s">
        <v>4125</v>
      </c>
    </row>
    <row r="8034" spans="1:6">
      <c r="A8034" t="s">
        <v>12163</v>
      </c>
      <c r="B8034" t="s">
        <v>2846</v>
      </c>
      <c r="C8034" t="s">
        <v>119</v>
      </c>
      <c r="D8034" s="1">
        <v>45887</v>
      </c>
      <c r="E8034" t="s">
        <v>4133</v>
      </c>
      <c r="F8034" t="s">
        <v>4137</v>
      </c>
    </row>
    <row r="8035" spans="1:6">
      <c r="A8035" t="s">
        <v>12164</v>
      </c>
      <c r="B8035" t="s">
        <v>2846</v>
      </c>
      <c r="C8035" t="s">
        <v>119</v>
      </c>
      <c r="D8035" s="1">
        <v>45889</v>
      </c>
      <c r="E8035" t="s">
        <v>4124</v>
      </c>
      <c r="F8035" t="s">
        <v>4139</v>
      </c>
    </row>
    <row r="8036" spans="1:6">
      <c r="A8036" t="s">
        <v>12165</v>
      </c>
      <c r="B8036" t="s">
        <v>2846</v>
      </c>
      <c r="C8036" t="s">
        <v>119</v>
      </c>
      <c r="D8036" s="1">
        <v>45877</v>
      </c>
      <c r="E8036" t="s">
        <v>4129</v>
      </c>
      <c r="F8036" t="s">
        <v>4125</v>
      </c>
    </row>
    <row r="8037" spans="1:6">
      <c r="A8037" t="s">
        <v>12166</v>
      </c>
      <c r="B8037" t="s">
        <v>2847</v>
      </c>
      <c r="C8037" t="s">
        <v>70</v>
      </c>
      <c r="D8037" s="1">
        <v>45823</v>
      </c>
      <c r="E8037" t="s">
        <v>4129</v>
      </c>
      <c r="F8037" t="s">
        <v>4125</v>
      </c>
    </row>
    <row r="8038" spans="1:6">
      <c r="A8038" t="s">
        <v>12167</v>
      </c>
      <c r="B8038" t="s">
        <v>2847</v>
      </c>
      <c r="C8038" t="s">
        <v>70</v>
      </c>
      <c r="D8038" s="1">
        <v>45826</v>
      </c>
      <c r="E8038" t="s">
        <v>4133</v>
      </c>
      <c r="F8038" t="s">
        <v>4139</v>
      </c>
    </row>
    <row r="8039" spans="1:6">
      <c r="A8039" t="s">
        <v>12168</v>
      </c>
      <c r="B8039" t="s">
        <v>2848</v>
      </c>
      <c r="C8039" t="s">
        <v>119</v>
      </c>
      <c r="D8039" s="1">
        <v>45758</v>
      </c>
      <c r="E8039" t="s">
        <v>4127</v>
      </c>
      <c r="F8039" t="s">
        <v>4137</v>
      </c>
    </row>
    <row r="8040" spans="1:6">
      <c r="A8040" t="s">
        <v>12169</v>
      </c>
      <c r="B8040" t="s">
        <v>2848</v>
      </c>
      <c r="C8040" t="s">
        <v>119</v>
      </c>
      <c r="D8040" s="1">
        <v>45787</v>
      </c>
      <c r="E8040" t="s">
        <v>4127</v>
      </c>
      <c r="F8040" t="s">
        <v>4137</v>
      </c>
    </row>
    <row r="8041" spans="1:6">
      <c r="A8041" t="s">
        <v>12170</v>
      </c>
      <c r="B8041" t="s">
        <v>2848</v>
      </c>
      <c r="C8041" t="s">
        <v>119</v>
      </c>
      <c r="D8041" s="1">
        <v>45764</v>
      </c>
      <c r="E8041" t="s">
        <v>4127</v>
      </c>
      <c r="F8041" t="s">
        <v>4137</v>
      </c>
    </row>
    <row r="8042" spans="1:6">
      <c r="A8042" t="s">
        <v>12171</v>
      </c>
      <c r="B8042" t="s">
        <v>2848</v>
      </c>
      <c r="C8042" t="s">
        <v>119</v>
      </c>
      <c r="D8042" s="1">
        <v>45777</v>
      </c>
      <c r="E8042" t="s">
        <v>4133</v>
      </c>
      <c r="F8042" t="s">
        <v>4137</v>
      </c>
    </row>
    <row r="8043" spans="1:6">
      <c r="A8043" t="s">
        <v>12172</v>
      </c>
      <c r="B8043" t="s">
        <v>2848</v>
      </c>
      <c r="C8043" t="s">
        <v>119</v>
      </c>
      <c r="D8043" s="1">
        <v>45765</v>
      </c>
      <c r="E8043" t="s">
        <v>4135</v>
      </c>
      <c r="F8043" t="s">
        <v>4137</v>
      </c>
    </row>
    <row r="8044" spans="1:6">
      <c r="A8044" t="s">
        <v>12173</v>
      </c>
      <c r="B8044" t="s">
        <v>2849</v>
      </c>
      <c r="C8044" t="s">
        <v>27</v>
      </c>
      <c r="D8044" s="1">
        <v>45872</v>
      </c>
      <c r="E8044" t="s">
        <v>4133</v>
      </c>
      <c r="F8044" t="s">
        <v>4125</v>
      </c>
    </row>
    <row r="8045" spans="1:6">
      <c r="A8045" t="s">
        <v>12174</v>
      </c>
      <c r="B8045" t="s">
        <v>2849</v>
      </c>
      <c r="C8045" t="s">
        <v>27</v>
      </c>
      <c r="D8045" s="1">
        <v>45889</v>
      </c>
      <c r="E8045" t="s">
        <v>4135</v>
      </c>
      <c r="F8045" t="s">
        <v>4137</v>
      </c>
    </row>
    <row r="8046" spans="1:6">
      <c r="A8046" t="s">
        <v>12175</v>
      </c>
      <c r="B8046" t="s">
        <v>2849</v>
      </c>
      <c r="C8046" t="s">
        <v>27</v>
      </c>
      <c r="D8046" s="1">
        <v>45887</v>
      </c>
      <c r="E8046" t="s">
        <v>4133</v>
      </c>
      <c r="F8046" t="s">
        <v>4139</v>
      </c>
    </row>
    <row r="8047" spans="1:6">
      <c r="A8047" t="s">
        <v>12176</v>
      </c>
      <c r="B8047" t="s">
        <v>2849</v>
      </c>
      <c r="C8047" t="s">
        <v>27</v>
      </c>
      <c r="D8047" s="1">
        <v>45875</v>
      </c>
      <c r="E8047" t="s">
        <v>4129</v>
      </c>
      <c r="F8047" t="s">
        <v>4125</v>
      </c>
    </row>
    <row r="8048" spans="1:6">
      <c r="A8048" t="s">
        <v>12177</v>
      </c>
      <c r="B8048" t="s">
        <v>2850</v>
      </c>
      <c r="C8048" t="s">
        <v>59</v>
      </c>
      <c r="D8048" s="1">
        <v>45748</v>
      </c>
      <c r="E8048" t="s">
        <v>4133</v>
      </c>
      <c r="F8048" t="s">
        <v>4125</v>
      </c>
    </row>
    <row r="8049" spans="1:6">
      <c r="A8049" t="s">
        <v>12178</v>
      </c>
      <c r="B8049" t="s">
        <v>2850</v>
      </c>
      <c r="C8049" t="s">
        <v>59</v>
      </c>
      <c r="D8049" s="1">
        <v>45707</v>
      </c>
      <c r="E8049" t="s">
        <v>4124</v>
      </c>
      <c r="F8049" t="s">
        <v>4137</v>
      </c>
    </row>
    <row r="8050" spans="1:6">
      <c r="A8050" t="s">
        <v>12179</v>
      </c>
      <c r="B8050" t="s">
        <v>2850</v>
      </c>
      <c r="C8050" t="s">
        <v>59</v>
      </c>
      <c r="D8050" s="1">
        <v>45756</v>
      </c>
      <c r="E8050" t="s">
        <v>4124</v>
      </c>
      <c r="F8050" t="s">
        <v>4137</v>
      </c>
    </row>
    <row r="8051" spans="1:6">
      <c r="A8051" t="s">
        <v>12180</v>
      </c>
      <c r="B8051" t="s">
        <v>2850</v>
      </c>
      <c r="C8051" t="s">
        <v>59</v>
      </c>
      <c r="D8051" s="1">
        <v>45691</v>
      </c>
      <c r="E8051" t="s">
        <v>4127</v>
      </c>
      <c r="F8051" t="s">
        <v>4137</v>
      </c>
    </row>
    <row r="8052" spans="1:6">
      <c r="A8052" t="s">
        <v>12181</v>
      </c>
      <c r="B8052" t="s">
        <v>2851</v>
      </c>
      <c r="C8052" t="s">
        <v>27</v>
      </c>
      <c r="D8052" s="1">
        <v>45836</v>
      </c>
      <c r="E8052" t="s">
        <v>4124</v>
      </c>
      <c r="F8052" t="s">
        <v>4125</v>
      </c>
    </row>
    <row r="8053" spans="1:6">
      <c r="A8053" t="s">
        <v>12182</v>
      </c>
      <c r="B8053" t="s">
        <v>2851</v>
      </c>
      <c r="C8053" t="s">
        <v>27</v>
      </c>
      <c r="D8053" s="1">
        <v>45812</v>
      </c>
      <c r="E8053" t="s">
        <v>4129</v>
      </c>
      <c r="F8053" t="s">
        <v>4125</v>
      </c>
    </row>
    <row r="8054" spans="1:6">
      <c r="A8054" t="s">
        <v>12183</v>
      </c>
      <c r="B8054" t="s">
        <v>2851</v>
      </c>
      <c r="C8054" t="s">
        <v>27</v>
      </c>
      <c r="D8054" s="1">
        <v>45814</v>
      </c>
      <c r="E8054" t="s">
        <v>4127</v>
      </c>
      <c r="F8054" t="s">
        <v>4139</v>
      </c>
    </row>
    <row r="8055" spans="1:6">
      <c r="A8055" t="s">
        <v>12184</v>
      </c>
      <c r="B8055" t="s">
        <v>2852</v>
      </c>
      <c r="C8055" t="s">
        <v>53</v>
      </c>
      <c r="D8055" s="1">
        <v>45830</v>
      </c>
      <c r="E8055" t="s">
        <v>4133</v>
      </c>
      <c r="F8055" t="s">
        <v>4137</v>
      </c>
    </row>
    <row r="8056" spans="1:6">
      <c r="A8056" t="s">
        <v>12185</v>
      </c>
      <c r="B8056" t="s">
        <v>2852</v>
      </c>
      <c r="C8056" t="s">
        <v>53</v>
      </c>
      <c r="D8056" s="1">
        <v>45792</v>
      </c>
      <c r="E8056" t="s">
        <v>4127</v>
      </c>
      <c r="F8056" t="s">
        <v>4139</v>
      </c>
    </row>
    <row r="8057" spans="1:6">
      <c r="A8057" t="s">
        <v>12186</v>
      </c>
      <c r="B8057" t="s">
        <v>2852</v>
      </c>
      <c r="C8057" t="s">
        <v>53</v>
      </c>
      <c r="D8057" s="1">
        <v>45826</v>
      </c>
      <c r="E8057" t="s">
        <v>4129</v>
      </c>
      <c r="F8057" t="s">
        <v>4125</v>
      </c>
    </row>
    <row r="8058" spans="1:6">
      <c r="A8058" t="s">
        <v>12187</v>
      </c>
      <c r="B8058" t="s">
        <v>2852</v>
      </c>
      <c r="C8058" t="s">
        <v>53</v>
      </c>
      <c r="D8058" s="1">
        <v>45838</v>
      </c>
      <c r="E8058" t="s">
        <v>4133</v>
      </c>
      <c r="F8058" t="s">
        <v>4137</v>
      </c>
    </row>
    <row r="8059" spans="1:6">
      <c r="A8059" t="s">
        <v>12188</v>
      </c>
      <c r="B8059" t="s">
        <v>2853</v>
      </c>
      <c r="C8059" t="s">
        <v>22</v>
      </c>
      <c r="D8059" s="1">
        <v>45861</v>
      </c>
      <c r="E8059" t="s">
        <v>4135</v>
      </c>
      <c r="F8059" t="s">
        <v>4137</v>
      </c>
    </row>
    <row r="8060" spans="1:6">
      <c r="A8060" t="s">
        <v>12189</v>
      </c>
      <c r="B8060" t="s">
        <v>2853</v>
      </c>
      <c r="C8060" t="s">
        <v>22</v>
      </c>
      <c r="D8060" s="1">
        <v>45864</v>
      </c>
      <c r="E8060" t="s">
        <v>4129</v>
      </c>
      <c r="F8060" t="s">
        <v>4137</v>
      </c>
    </row>
    <row r="8061" spans="1:6">
      <c r="A8061" t="s">
        <v>12190</v>
      </c>
      <c r="B8061" t="s">
        <v>2854</v>
      </c>
      <c r="C8061" t="s">
        <v>126</v>
      </c>
      <c r="D8061" s="1">
        <v>45983</v>
      </c>
      <c r="E8061" t="s">
        <v>4127</v>
      </c>
      <c r="F8061" t="s">
        <v>4139</v>
      </c>
    </row>
    <row r="8062" spans="1:6">
      <c r="A8062" t="s">
        <v>12191</v>
      </c>
      <c r="B8062" t="s">
        <v>2854</v>
      </c>
      <c r="C8062" t="s">
        <v>126</v>
      </c>
      <c r="D8062" s="1">
        <v>46018</v>
      </c>
      <c r="E8062" t="s">
        <v>4124</v>
      </c>
      <c r="F8062" t="s">
        <v>4139</v>
      </c>
    </row>
    <row r="8063" spans="1:6">
      <c r="A8063" t="s">
        <v>12192</v>
      </c>
      <c r="B8063" t="s">
        <v>2855</v>
      </c>
      <c r="C8063" t="s">
        <v>53</v>
      </c>
      <c r="D8063" s="1">
        <v>45911</v>
      </c>
      <c r="E8063" t="s">
        <v>4124</v>
      </c>
      <c r="F8063" t="s">
        <v>4137</v>
      </c>
    </row>
    <row r="8064" spans="1:6">
      <c r="A8064" t="s">
        <v>12193</v>
      </c>
      <c r="B8064" t="s">
        <v>2855</v>
      </c>
      <c r="C8064" t="s">
        <v>53</v>
      </c>
      <c r="D8064" s="1">
        <v>45928</v>
      </c>
      <c r="E8064" t="s">
        <v>4127</v>
      </c>
      <c r="F8064" t="s">
        <v>4139</v>
      </c>
    </row>
    <row r="8065" spans="1:6">
      <c r="A8065" t="s">
        <v>12194</v>
      </c>
      <c r="B8065" t="s">
        <v>2856</v>
      </c>
      <c r="C8065" t="s">
        <v>16</v>
      </c>
      <c r="D8065" s="1">
        <v>45856</v>
      </c>
      <c r="E8065" t="s">
        <v>4124</v>
      </c>
      <c r="F8065" t="s">
        <v>4137</v>
      </c>
    </row>
    <row r="8066" spans="1:6">
      <c r="A8066" t="s">
        <v>12195</v>
      </c>
      <c r="B8066" t="s">
        <v>2856</v>
      </c>
      <c r="C8066" t="s">
        <v>16</v>
      </c>
      <c r="D8066" s="1">
        <v>45847</v>
      </c>
      <c r="E8066" t="s">
        <v>4133</v>
      </c>
      <c r="F8066" t="s">
        <v>4125</v>
      </c>
    </row>
    <row r="8067" spans="1:6">
      <c r="A8067" t="s">
        <v>12196</v>
      </c>
      <c r="B8067" t="s">
        <v>2857</v>
      </c>
      <c r="C8067" t="s">
        <v>126</v>
      </c>
      <c r="D8067" s="1">
        <v>45941</v>
      </c>
      <c r="E8067" t="s">
        <v>4129</v>
      </c>
      <c r="F8067" t="s">
        <v>4139</v>
      </c>
    </row>
    <row r="8068" spans="1:6">
      <c r="A8068" t="s">
        <v>12197</v>
      </c>
      <c r="B8068" t="s">
        <v>2857</v>
      </c>
      <c r="C8068" t="s">
        <v>126</v>
      </c>
      <c r="D8068" s="1">
        <v>45948</v>
      </c>
      <c r="E8068" t="s">
        <v>4127</v>
      </c>
      <c r="F8068" t="s">
        <v>4139</v>
      </c>
    </row>
    <row r="8069" spans="1:6">
      <c r="A8069" t="s">
        <v>12198</v>
      </c>
      <c r="B8069" t="s">
        <v>2857</v>
      </c>
      <c r="C8069" t="s">
        <v>126</v>
      </c>
      <c r="D8069" s="1">
        <v>45969</v>
      </c>
      <c r="E8069" t="s">
        <v>4135</v>
      </c>
      <c r="F8069" t="s">
        <v>4125</v>
      </c>
    </row>
    <row r="8070" spans="1:6">
      <c r="A8070" t="s">
        <v>12199</v>
      </c>
      <c r="B8070" t="s">
        <v>2859</v>
      </c>
      <c r="C8070" t="s">
        <v>36</v>
      </c>
      <c r="D8070" s="1">
        <v>45941</v>
      </c>
      <c r="E8070" t="s">
        <v>4133</v>
      </c>
      <c r="F8070" t="s">
        <v>4137</v>
      </c>
    </row>
    <row r="8071" spans="1:6">
      <c r="A8071" t="s">
        <v>12200</v>
      </c>
      <c r="B8071" t="s">
        <v>2859</v>
      </c>
      <c r="C8071" t="s">
        <v>36</v>
      </c>
      <c r="D8071" s="1">
        <v>45968</v>
      </c>
      <c r="E8071" t="s">
        <v>4129</v>
      </c>
      <c r="F8071" t="s">
        <v>4137</v>
      </c>
    </row>
    <row r="8072" spans="1:6">
      <c r="A8072" t="s">
        <v>12201</v>
      </c>
      <c r="B8072" t="s">
        <v>2860</v>
      </c>
      <c r="C8072" t="s">
        <v>59</v>
      </c>
      <c r="D8072" s="1">
        <v>45990</v>
      </c>
      <c r="E8072" t="s">
        <v>4135</v>
      </c>
      <c r="F8072" t="s">
        <v>4137</v>
      </c>
    </row>
    <row r="8073" spans="1:6">
      <c r="A8073" t="s">
        <v>12202</v>
      </c>
      <c r="B8073" t="s">
        <v>2860</v>
      </c>
      <c r="C8073" t="s">
        <v>59</v>
      </c>
      <c r="D8073" s="1">
        <v>46004</v>
      </c>
      <c r="E8073" t="s">
        <v>4135</v>
      </c>
      <c r="F8073" t="s">
        <v>4139</v>
      </c>
    </row>
    <row r="8074" spans="1:6">
      <c r="A8074" t="s">
        <v>12203</v>
      </c>
      <c r="B8074" t="s">
        <v>2861</v>
      </c>
      <c r="C8074" t="s">
        <v>36</v>
      </c>
      <c r="D8074" s="1">
        <v>45711</v>
      </c>
      <c r="E8074" t="s">
        <v>4133</v>
      </c>
      <c r="F8074" t="s">
        <v>4137</v>
      </c>
    </row>
    <row r="8075" spans="1:6">
      <c r="A8075" t="s">
        <v>12204</v>
      </c>
      <c r="B8075" t="s">
        <v>2861</v>
      </c>
      <c r="C8075" t="s">
        <v>36</v>
      </c>
      <c r="D8075" s="1">
        <v>45728</v>
      </c>
      <c r="E8075" t="s">
        <v>4133</v>
      </c>
      <c r="F8075" t="s">
        <v>4125</v>
      </c>
    </row>
    <row r="8076" spans="1:6">
      <c r="A8076" t="s">
        <v>12205</v>
      </c>
      <c r="B8076" t="s">
        <v>2861</v>
      </c>
      <c r="C8076" t="s">
        <v>36</v>
      </c>
      <c r="D8076" s="1">
        <v>45757</v>
      </c>
      <c r="E8076" t="s">
        <v>4135</v>
      </c>
      <c r="F8076" t="s">
        <v>4137</v>
      </c>
    </row>
    <row r="8077" spans="1:6">
      <c r="A8077" t="s">
        <v>12206</v>
      </c>
      <c r="B8077" t="s">
        <v>2861</v>
      </c>
      <c r="C8077" t="s">
        <v>36</v>
      </c>
      <c r="D8077" s="1">
        <v>45714</v>
      </c>
      <c r="E8077" t="s">
        <v>4135</v>
      </c>
      <c r="F8077" t="s">
        <v>4137</v>
      </c>
    </row>
    <row r="8078" spans="1:6">
      <c r="A8078" t="s">
        <v>12207</v>
      </c>
      <c r="B8078" t="s">
        <v>2861</v>
      </c>
      <c r="C8078" t="s">
        <v>36</v>
      </c>
      <c r="D8078" s="1">
        <v>45750</v>
      </c>
      <c r="E8078" t="s">
        <v>4129</v>
      </c>
      <c r="F8078" t="s">
        <v>4137</v>
      </c>
    </row>
    <row r="8079" spans="1:6">
      <c r="A8079" t="s">
        <v>12208</v>
      </c>
      <c r="B8079" t="s">
        <v>2862</v>
      </c>
      <c r="C8079" t="s">
        <v>46</v>
      </c>
      <c r="D8079" s="1">
        <v>45839</v>
      </c>
      <c r="E8079" t="s">
        <v>4129</v>
      </c>
      <c r="F8079" t="s">
        <v>4137</v>
      </c>
    </row>
    <row r="8080" spans="1:6">
      <c r="A8080" t="s">
        <v>12209</v>
      </c>
      <c r="B8080" t="s">
        <v>2862</v>
      </c>
      <c r="C8080" t="s">
        <v>46</v>
      </c>
      <c r="D8080" s="1">
        <v>45864</v>
      </c>
      <c r="E8080" t="s">
        <v>4129</v>
      </c>
      <c r="F8080" t="s">
        <v>4137</v>
      </c>
    </row>
    <row r="8081" spans="1:6">
      <c r="A8081" t="s">
        <v>12210</v>
      </c>
      <c r="B8081" t="s">
        <v>2862</v>
      </c>
      <c r="C8081" t="s">
        <v>46</v>
      </c>
      <c r="D8081" s="1">
        <v>45844</v>
      </c>
      <c r="E8081" t="s">
        <v>4124</v>
      </c>
      <c r="F8081" t="s">
        <v>4139</v>
      </c>
    </row>
    <row r="8082" spans="1:6">
      <c r="A8082" t="s">
        <v>12211</v>
      </c>
      <c r="B8082" t="s">
        <v>2862</v>
      </c>
      <c r="C8082" t="s">
        <v>46</v>
      </c>
      <c r="D8082" s="1">
        <v>45836</v>
      </c>
      <c r="E8082" t="s">
        <v>4127</v>
      </c>
      <c r="F8082" t="s">
        <v>4139</v>
      </c>
    </row>
    <row r="8083" spans="1:6">
      <c r="A8083" t="s">
        <v>12212</v>
      </c>
      <c r="B8083" t="s">
        <v>2862</v>
      </c>
      <c r="C8083" t="s">
        <v>46</v>
      </c>
      <c r="D8083" s="1">
        <v>45868</v>
      </c>
      <c r="E8083" t="s">
        <v>4129</v>
      </c>
      <c r="F8083" t="s">
        <v>4137</v>
      </c>
    </row>
    <row r="8084" spans="1:6">
      <c r="A8084" t="s">
        <v>12213</v>
      </c>
      <c r="B8084" t="s">
        <v>2863</v>
      </c>
      <c r="C8084" t="s">
        <v>27</v>
      </c>
      <c r="D8084" s="1">
        <v>45998</v>
      </c>
      <c r="E8084" t="s">
        <v>4129</v>
      </c>
      <c r="F8084" t="s">
        <v>4137</v>
      </c>
    </row>
    <row r="8085" spans="1:6">
      <c r="A8085" t="s">
        <v>12214</v>
      </c>
      <c r="B8085" t="s">
        <v>2863</v>
      </c>
      <c r="C8085" t="s">
        <v>27</v>
      </c>
      <c r="D8085" s="1">
        <v>45975</v>
      </c>
      <c r="E8085" t="s">
        <v>4129</v>
      </c>
      <c r="F8085" t="s">
        <v>4137</v>
      </c>
    </row>
    <row r="8086" spans="1:6">
      <c r="A8086" t="s">
        <v>12215</v>
      </c>
      <c r="B8086" t="s">
        <v>2864</v>
      </c>
      <c r="C8086" t="s">
        <v>168</v>
      </c>
      <c r="D8086" s="1">
        <v>45997</v>
      </c>
      <c r="E8086" t="s">
        <v>4133</v>
      </c>
      <c r="F8086" t="s">
        <v>4139</v>
      </c>
    </row>
    <row r="8087" spans="1:6">
      <c r="A8087" t="s">
        <v>12216</v>
      </c>
      <c r="B8087" t="s">
        <v>2864</v>
      </c>
      <c r="C8087" t="s">
        <v>168</v>
      </c>
      <c r="D8087" s="1">
        <v>45990</v>
      </c>
      <c r="E8087" t="s">
        <v>4124</v>
      </c>
      <c r="F8087" t="s">
        <v>4137</v>
      </c>
    </row>
    <row r="8088" spans="1:6">
      <c r="A8088" t="s">
        <v>12217</v>
      </c>
      <c r="B8088" t="s">
        <v>2864</v>
      </c>
      <c r="C8088" t="s">
        <v>168</v>
      </c>
      <c r="D8088" s="1">
        <v>46010</v>
      </c>
      <c r="E8088" t="s">
        <v>4129</v>
      </c>
      <c r="F8088" t="s">
        <v>4137</v>
      </c>
    </row>
    <row r="8089" spans="1:6">
      <c r="A8089" t="s">
        <v>12218</v>
      </c>
      <c r="B8089" t="s">
        <v>2864</v>
      </c>
      <c r="C8089" t="s">
        <v>168</v>
      </c>
      <c r="D8089" s="1">
        <v>46022</v>
      </c>
      <c r="E8089" t="s">
        <v>4127</v>
      </c>
      <c r="F8089" t="s">
        <v>4139</v>
      </c>
    </row>
    <row r="8090" spans="1:6">
      <c r="A8090" t="s">
        <v>12219</v>
      </c>
      <c r="B8090" t="s">
        <v>2865</v>
      </c>
      <c r="C8090" t="s">
        <v>50</v>
      </c>
      <c r="D8090" s="1">
        <v>45781</v>
      </c>
      <c r="E8090" t="s">
        <v>4124</v>
      </c>
      <c r="F8090" t="s">
        <v>4139</v>
      </c>
    </row>
    <row r="8091" spans="1:6">
      <c r="A8091" t="s">
        <v>12220</v>
      </c>
      <c r="B8091" t="s">
        <v>2865</v>
      </c>
      <c r="C8091" t="s">
        <v>50</v>
      </c>
      <c r="D8091" s="1">
        <v>45783</v>
      </c>
      <c r="E8091" t="s">
        <v>4133</v>
      </c>
      <c r="F8091" t="s">
        <v>4137</v>
      </c>
    </row>
    <row r="8092" spans="1:6">
      <c r="A8092" t="s">
        <v>12221</v>
      </c>
      <c r="B8092" t="s">
        <v>2865</v>
      </c>
      <c r="C8092" t="s">
        <v>50</v>
      </c>
      <c r="D8092" s="1">
        <v>45780</v>
      </c>
      <c r="E8092" t="s">
        <v>4129</v>
      </c>
      <c r="F8092" t="s">
        <v>4125</v>
      </c>
    </row>
    <row r="8093" spans="1:6">
      <c r="A8093" t="s">
        <v>12222</v>
      </c>
      <c r="B8093" t="s">
        <v>2866</v>
      </c>
      <c r="C8093" t="s">
        <v>16</v>
      </c>
      <c r="D8093" s="1">
        <v>46012</v>
      </c>
      <c r="E8093" t="s">
        <v>4135</v>
      </c>
      <c r="F8093" t="s">
        <v>4139</v>
      </c>
    </row>
    <row r="8094" spans="1:6">
      <c r="A8094" t="s">
        <v>12223</v>
      </c>
      <c r="B8094" t="s">
        <v>2866</v>
      </c>
      <c r="C8094" t="s">
        <v>16</v>
      </c>
      <c r="D8094" s="1">
        <v>45993</v>
      </c>
      <c r="E8094" t="s">
        <v>4124</v>
      </c>
      <c r="F8094" t="s">
        <v>4139</v>
      </c>
    </row>
    <row r="8095" spans="1:6">
      <c r="A8095" t="s">
        <v>12224</v>
      </c>
      <c r="B8095" t="s">
        <v>2866</v>
      </c>
      <c r="C8095" t="s">
        <v>16</v>
      </c>
      <c r="D8095" s="1">
        <v>45985</v>
      </c>
      <c r="E8095" t="s">
        <v>4124</v>
      </c>
      <c r="F8095" t="s">
        <v>4125</v>
      </c>
    </row>
    <row r="8096" spans="1:6">
      <c r="A8096" t="s">
        <v>12225</v>
      </c>
      <c r="B8096" t="s">
        <v>2866</v>
      </c>
      <c r="C8096" t="s">
        <v>16</v>
      </c>
      <c r="D8096" s="1">
        <v>46010</v>
      </c>
      <c r="E8096" t="s">
        <v>4129</v>
      </c>
      <c r="F8096" t="s">
        <v>4139</v>
      </c>
    </row>
    <row r="8097" spans="1:6">
      <c r="A8097" t="s">
        <v>12226</v>
      </c>
      <c r="B8097" t="s">
        <v>2867</v>
      </c>
      <c r="C8097" t="s">
        <v>22</v>
      </c>
      <c r="D8097" s="1">
        <v>45812</v>
      </c>
      <c r="E8097" t="s">
        <v>4124</v>
      </c>
      <c r="F8097" t="s">
        <v>4137</v>
      </c>
    </row>
    <row r="8098" spans="1:6">
      <c r="A8098" t="s">
        <v>12227</v>
      </c>
      <c r="B8098" t="s">
        <v>2867</v>
      </c>
      <c r="C8098" t="s">
        <v>22</v>
      </c>
      <c r="D8098" s="1">
        <v>45811</v>
      </c>
      <c r="E8098" t="s">
        <v>4124</v>
      </c>
      <c r="F8098" t="s">
        <v>4139</v>
      </c>
    </row>
    <row r="8099" spans="1:6">
      <c r="A8099" t="s">
        <v>12228</v>
      </c>
      <c r="B8099" t="s">
        <v>2868</v>
      </c>
      <c r="C8099" t="s">
        <v>63</v>
      </c>
      <c r="D8099" s="1">
        <v>45674</v>
      </c>
      <c r="E8099" t="s">
        <v>4135</v>
      </c>
      <c r="F8099" t="s">
        <v>4125</v>
      </c>
    </row>
    <row r="8100" spans="1:6">
      <c r="A8100" t="s">
        <v>12229</v>
      </c>
      <c r="B8100" t="s">
        <v>2868</v>
      </c>
      <c r="C8100" t="s">
        <v>63</v>
      </c>
      <c r="D8100" s="1">
        <v>45668</v>
      </c>
      <c r="E8100" t="s">
        <v>4133</v>
      </c>
      <c r="F8100" t="s">
        <v>4137</v>
      </c>
    </row>
    <row r="8101" spans="1:6">
      <c r="A8101" t="s">
        <v>12230</v>
      </c>
      <c r="B8101" t="s">
        <v>2868</v>
      </c>
      <c r="C8101" t="s">
        <v>63</v>
      </c>
      <c r="D8101" s="1">
        <v>45663</v>
      </c>
      <c r="E8101" t="s">
        <v>4127</v>
      </c>
      <c r="F8101" t="s">
        <v>4137</v>
      </c>
    </row>
    <row r="8102" spans="1:6">
      <c r="A8102" t="s">
        <v>12231</v>
      </c>
      <c r="B8102" t="s">
        <v>2869</v>
      </c>
      <c r="C8102" t="s">
        <v>70</v>
      </c>
      <c r="D8102" s="1">
        <v>45861</v>
      </c>
      <c r="E8102" t="s">
        <v>4135</v>
      </c>
      <c r="F8102" t="s">
        <v>4137</v>
      </c>
    </row>
    <row r="8103" spans="1:6">
      <c r="A8103" t="s">
        <v>12232</v>
      </c>
      <c r="B8103" t="s">
        <v>2869</v>
      </c>
      <c r="C8103" t="s">
        <v>70</v>
      </c>
      <c r="D8103" s="1">
        <v>45867</v>
      </c>
      <c r="E8103" t="s">
        <v>4127</v>
      </c>
      <c r="F8103" t="s">
        <v>4137</v>
      </c>
    </row>
    <row r="8104" spans="1:6">
      <c r="A8104" t="s">
        <v>12233</v>
      </c>
      <c r="B8104" t="s">
        <v>2870</v>
      </c>
      <c r="C8104" t="s">
        <v>36</v>
      </c>
      <c r="D8104" s="1">
        <v>45974</v>
      </c>
      <c r="E8104" t="s">
        <v>4127</v>
      </c>
      <c r="F8104" t="s">
        <v>4139</v>
      </c>
    </row>
    <row r="8105" spans="1:6">
      <c r="A8105" t="s">
        <v>12234</v>
      </c>
      <c r="B8105" t="s">
        <v>2870</v>
      </c>
      <c r="C8105" t="s">
        <v>36</v>
      </c>
      <c r="D8105" s="1">
        <v>45973</v>
      </c>
      <c r="E8105" t="s">
        <v>4133</v>
      </c>
      <c r="F8105" t="s">
        <v>4137</v>
      </c>
    </row>
    <row r="8106" spans="1:6">
      <c r="A8106" t="s">
        <v>12235</v>
      </c>
      <c r="B8106" t="s">
        <v>2871</v>
      </c>
      <c r="C8106" t="s">
        <v>16</v>
      </c>
      <c r="D8106" s="1">
        <v>45715</v>
      </c>
      <c r="E8106" t="s">
        <v>4133</v>
      </c>
      <c r="F8106" t="s">
        <v>4137</v>
      </c>
    </row>
    <row r="8107" spans="1:6">
      <c r="A8107" t="s">
        <v>12236</v>
      </c>
      <c r="B8107" t="s">
        <v>2871</v>
      </c>
      <c r="C8107" t="s">
        <v>16</v>
      </c>
      <c r="D8107" s="1">
        <v>45716</v>
      </c>
      <c r="E8107" t="s">
        <v>4129</v>
      </c>
      <c r="F8107" t="s">
        <v>4125</v>
      </c>
    </row>
    <row r="8108" spans="1:6">
      <c r="A8108" t="s">
        <v>12237</v>
      </c>
      <c r="B8108" t="s">
        <v>2871</v>
      </c>
      <c r="C8108" t="s">
        <v>16</v>
      </c>
      <c r="D8108" s="1">
        <v>45713</v>
      </c>
      <c r="E8108" t="s">
        <v>4135</v>
      </c>
      <c r="F8108" t="s">
        <v>4139</v>
      </c>
    </row>
    <row r="8109" spans="1:6">
      <c r="A8109" t="s">
        <v>12238</v>
      </c>
      <c r="B8109" t="s">
        <v>2871</v>
      </c>
      <c r="C8109" t="s">
        <v>16</v>
      </c>
      <c r="D8109" s="1">
        <v>45717</v>
      </c>
      <c r="E8109" t="s">
        <v>4124</v>
      </c>
      <c r="F8109" t="s">
        <v>4125</v>
      </c>
    </row>
    <row r="8110" spans="1:6">
      <c r="A8110" t="s">
        <v>12239</v>
      </c>
      <c r="B8110" t="s">
        <v>2872</v>
      </c>
      <c r="C8110" t="s">
        <v>59</v>
      </c>
      <c r="D8110" s="1">
        <v>45970</v>
      </c>
      <c r="E8110" t="s">
        <v>4133</v>
      </c>
      <c r="F8110" t="s">
        <v>4125</v>
      </c>
    </row>
    <row r="8111" spans="1:6">
      <c r="A8111" t="s">
        <v>12240</v>
      </c>
      <c r="B8111" t="s">
        <v>2872</v>
      </c>
      <c r="C8111" t="s">
        <v>59</v>
      </c>
      <c r="D8111" s="1">
        <v>45964</v>
      </c>
      <c r="E8111" t="s">
        <v>4127</v>
      </c>
      <c r="F8111" t="s">
        <v>4139</v>
      </c>
    </row>
    <row r="8112" spans="1:6">
      <c r="A8112" t="s">
        <v>12241</v>
      </c>
      <c r="B8112" t="s">
        <v>2872</v>
      </c>
      <c r="C8112" t="s">
        <v>59</v>
      </c>
      <c r="D8112" s="1">
        <v>45971</v>
      </c>
      <c r="E8112" t="s">
        <v>4129</v>
      </c>
      <c r="F8112" t="s">
        <v>4139</v>
      </c>
    </row>
    <row r="8113" spans="1:6">
      <c r="A8113" t="s">
        <v>12242</v>
      </c>
      <c r="B8113" t="s">
        <v>2872</v>
      </c>
      <c r="C8113" t="s">
        <v>59</v>
      </c>
      <c r="D8113" s="1">
        <v>45993</v>
      </c>
      <c r="E8113" t="s">
        <v>4133</v>
      </c>
      <c r="F8113" t="s">
        <v>4137</v>
      </c>
    </row>
    <row r="8114" spans="1:6">
      <c r="A8114" t="s">
        <v>12243</v>
      </c>
      <c r="B8114" t="s">
        <v>2872</v>
      </c>
      <c r="C8114" t="s">
        <v>59</v>
      </c>
      <c r="D8114" s="1">
        <v>45997</v>
      </c>
      <c r="E8114" t="s">
        <v>4135</v>
      </c>
      <c r="F8114" t="s">
        <v>4137</v>
      </c>
    </row>
    <row r="8115" spans="1:6">
      <c r="A8115" t="s">
        <v>12244</v>
      </c>
      <c r="B8115" t="s">
        <v>2873</v>
      </c>
      <c r="C8115" t="s">
        <v>59</v>
      </c>
      <c r="D8115" s="1">
        <v>45718</v>
      </c>
      <c r="E8115" t="s">
        <v>4133</v>
      </c>
      <c r="F8115" t="s">
        <v>4139</v>
      </c>
    </row>
    <row r="8116" spans="1:6">
      <c r="A8116" t="s">
        <v>12245</v>
      </c>
      <c r="B8116" t="s">
        <v>2873</v>
      </c>
      <c r="C8116" t="s">
        <v>59</v>
      </c>
      <c r="D8116" s="1">
        <v>45719</v>
      </c>
      <c r="E8116" t="s">
        <v>4127</v>
      </c>
      <c r="F8116" t="s">
        <v>4125</v>
      </c>
    </row>
    <row r="8117" spans="1:6">
      <c r="A8117" t="s">
        <v>12246</v>
      </c>
      <c r="B8117" t="s">
        <v>2873</v>
      </c>
      <c r="C8117" t="s">
        <v>59</v>
      </c>
      <c r="D8117" s="1">
        <v>45701</v>
      </c>
      <c r="E8117" t="s">
        <v>4129</v>
      </c>
      <c r="F8117" t="s">
        <v>4139</v>
      </c>
    </row>
    <row r="8118" spans="1:6">
      <c r="A8118" t="s">
        <v>12247</v>
      </c>
      <c r="B8118" t="s">
        <v>2873</v>
      </c>
      <c r="C8118" t="s">
        <v>59</v>
      </c>
      <c r="D8118" s="1">
        <v>45712</v>
      </c>
      <c r="E8118" t="s">
        <v>4124</v>
      </c>
      <c r="F8118" t="s">
        <v>4125</v>
      </c>
    </row>
    <row r="8119" spans="1:6">
      <c r="A8119" t="s">
        <v>12248</v>
      </c>
      <c r="B8119" t="s">
        <v>2874</v>
      </c>
      <c r="C8119" t="s">
        <v>59</v>
      </c>
      <c r="D8119" s="1">
        <v>45867</v>
      </c>
      <c r="E8119" t="s">
        <v>4127</v>
      </c>
      <c r="F8119" t="s">
        <v>4125</v>
      </c>
    </row>
    <row r="8120" spans="1:6">
      <c r="A8120" t="s">
        <v>12249</v>
      </c>
      <c r="B8120" t="s">
        <v>2874</v>
      </c>
      <c r="C8120" t="s">
        <v>59</v>
      </c>
      <c r="D8120" s="1">
        <v>45848</v>
      </c>
      <c r="E8120" t="s">
        <v>4127</v>
      </c>
      <c r="F8120" t="s">
        <v>4137</v>
      </c>
    </row>
    <row r="8121" spans="1:6">
      <c r="A8121" t="s">
        <v>12250</v>
      </c>
      <c r="B8121" t="s">
        <v>2874</v>
      </c>
      <c r="C8121" t="s">
        <v>59</v>
      </c>
      <c r="D8121" s="1">
        <v>45870</v>
      </c>
      <c r="E8121" t="s">
        <v>4124</v>
      </c>
      <c r="F8121" t="s">
        <v>4125</v>
      </c>
    </row>
    <row r="8122" spans="1:6">
      <c r="A8122" t="s">
        <v>12251</v>
      </c>
      <c r="B8122" t="s">
        <v>2874</v>
      </c>
      <c r="C8122" t="s">
        <v>59</v>
      </c>
      <c r="D8122" s="1">
        <v>45858</v>
      </c>
      <c r="E8122" t="s">
        <v>4133</v>
      </c>
      <c r="F8122" t="s">
        <v>4137</v>
      </c>
    </row>
    <row r="8123" spans="1:6">
      <c r="A8123" t="s">
        <v>12252</v>
      </c>
      <c r="B8123" t="s">
        <v>2875</v>
      </c>
      <c r="C8123" t="s">
        <v>119</v>
      </c>
      <c r="D8123" s="1">
        <v>45860</v>
      </c>
      <c r="E8123" t="s">
        <v>4129</v>
      </c>
      <c r="F8123" t="s">
        <v>4125</v>
      </c>
    </row>
    <row r="8124" spans="1:6">
      <c r="A8124" t="s">
        <v>12253</v>
      </c>
      <c r="B8124" t="s">
        <v>2875</v>
      </c>
      <c r="C8124" t="s">
        <v>119</v>
      </c>
      <c r="D8124" s="1">
        <v>45851</v>
      </c>
      <c r="E8124" t="s">
        <v>4124</v>
      </c>
      <c r="F8124" t="s">
        <v>4139</v>
      </c>
    </row>
    <row r="8125" spans="1:6">
      <c r="A8125" t="s">
        <v>12254</v>
      </c>
      <c r="B8125" t="s">
        <v>2875</v>
      </c>
      <c r="C8125" t="s">
        <v>119</v>
      </c>
      <c r="D8125" s="1">
        <v>45836</v>
      </c>
      <c r="E8125" t="s">
        <v>4133</v>
      </c>
      <c r="F8125" t="s">
        <v>4139</v>
      </c>
    </row>
    <row r="8126" spans="1:6">
      <c r="A8126" t="s">
        <v>12255</v>
      </c>
      <c r="B8126" t="s">
        <v>2875</v>
      </c>
      <c r="C8126" t="s">
        <v>119</v>
      </c>
      <c r="D8126" s="1">
        <v>45833</v>
      </c>
      <c r="E8126" t="s">
        <v>4133</v>
      </c>
      <c r="F8126" t="s">
        <v>4137</v>
      </c>
    </row>
    <row r="8127" spans="1:6">
      <c r="A8127" t="s">
        <v>12256</v>
      </c>
      <c r="B8127" t="s">
        <v>2875</v>
      </c>
      <c r="C8127" t="s">
        <v>119</v>
      </c>
      <c r="D8127" s="1">
        <v>45830</v>
      </c>
      <c r="E8127" t="s">
        <v>4135</v>
      </c>
      <c r="F8127" t="s">
        <v>4139</v>
      </c>
    </row>
    <row r="8128" spans="1:6">
      <c r="A8128" t="s">
        <v>12257</v>
      </c>
      <c r="B8128" t="s">
        <v>2876</v>
      </c>
      <c r="C8128" t="s">
        <v>50</v>
      </c>
      <c r="D8128" s="1">
        <v>45946</v>
      </c>
      <c r="E8128" t="s">
        <v>4133</v>
      </c>
      <c r="F8128" t="s">
        <v>4125</v>
      </c>
    </row>
    <row r="8129" spans="1:6">
      <c r="A8129" t="s">
        <v>12258</v>
      </c>
      <c r="B8129" t="s">
        <v>2876</v>
      </c>
      <c r="C8129" t="s">
        <v>50</v>
      </c>
      <c r="D8129" s="1">
        <v>45935</v>
      </c>
      <c r="E8129" t="s">
        <v>4124</v>
      </c>
      <c r="F8129" t="s">
        <v>4139</v>
      </c>
    </row>
    <row r="8130" spans="1:6">
      <c r="A8130" t="s">
        <v>12259</v>
      </c>
      <c r="B8130" t="s">
        <v>2876</v>
      </c>
      <c r="C8130" t="s">
        <v>50</v>
      </c>
      <c r="D8130" s="1">
        <v>45942</v>
      </c>
      <c r="E8130" t="s">
        <v>4133</v>
      </c>
      <c r="F8130" t="s">
        <v>4139</v>
      </c>
    </row>
    <row r="8131" spans="1:6">
      <c r="A8131" t="s">
        <v>12260</v>
      </c>
      <c r="B8131" t="s">
        <v>2877</v>
      </c>
      <c r="C8131" t="s">
        <v>168</v>
      </c>
      <c r="D8131" s="1">
        <v>45939</v>
      </c>
      <c r="E8131" t="s">
        <v>4124</v>
      </c>
      <c r="F8131" t="s">
        <v>4125</v>
      </c>
    </row>
    <row r="8132" spans="1:6">
      <c r="A8132" t="s">
        <v>12261</v>
      </c>
      <c r="B8132" t="s">
        <v>2877</v>
      </c>
      <c r="C8132" t="s">
        <v>168</v>
      </c>
      <c r="D8132" s="1">
        <v>45946</v>
      </c>
      <c r="E8132" t="s">
        <v>4124</v>
      </c>
      <c r="F8132" t="s">
        <v>4139</v>
      </c>
    </row>
    <row r="8133" spans="1:6">
      <c r="A8133" t="s">
        <v>12262</v>
      </c>
      <c r="B8133" t="s">
        <v>2877</v>
      </c>
      <c r="C8133" t="s">
        <v>168</v>
      </c>
      <c r="D8133" s="1">
        <v>45984</v>
      </c>
      <c r="E8133" t="s">
        <v>4135</v>
      </c>
      <c r="F8133" t="s">
        <v>4137</v>
      </c>
    </row>
    <row r="8134" spans="1:6">
      <c r="A8134" t="s">
        <v>12263</v>
      </c>
      <c r="B8134" t="s">
        <v>2877</v>
      </c>
      <c r="C8134" t="s">
        <v>168</v>
      </c>
      <c r="D8134" s="1">
        <v>45957</v>
      </c>
      <c r="E8134" t="s">
        <v>4124</v>
      </c>
      <c r="F8134" t="s">
        <v>4125</v>
      </c>
    </row>
    <row r="8135" spans="1:6">
      <c r="A8135" t="s">
        <v>12264</v>
      </c>
      <c r="B8135" t="s">
        <v>2877</v>
      </c>
      <c r="C8135" t="s">
        <v>168</v>
      </c>
      <c r="D8135" s="1">
        <v>45969</v>
      </c>
      <c r="E8135" t="s">
        <v>4129</v>
      </c>
      <c r="F8135" t="s">
        <v>4137</v>
      </c>
    </row>
    <row r="8136" spans="1:6">
      <c r="A8136" t="s">
        <v>12265</v>
      </c>
      <c r="B8136" t="s">
        <v>2878</v>
      </c>
      <c r="C8136" t="s">
        <v>126</v>
      </c>
      <c r="D8136" s="1">
        <v>45904</v>
      </c>
      <c r="E8136" t="s">
        <v>4129</v>
      </c>
      <c r="F8136" t="s">
        <v>4139</v>
      </c>
    </row>
    <row r="8137" spans="1:6">
      <c r="A8137" t="s">
        <v>12266</v>
      </c>
      <c r="B8137" t="s">
        <v>2878</v>
      </c>
      <c r="C8137" t="s">
        <v>126</v>
      </c>
      <c r="D8137" s="1">
        <v>45881</v>
      </c>
      <c r="E8137" t="s">
        <v>4135</v>
      </c>
      <c r="F8137" t="s">
        <v>4139</v>
      </c>
    </row>
    <row r="8138" spans="1:6">
      <c r="A8138" t="s">
        <v>12267</v>
      </c>
      <c r="B8138" t="s">
        <v>2879</v>
      </c>
      <c r="C8138" t="s">
        <v>70</v>
      </c>
      <c r="D8138" s="1">
        <v>45711</v>
      </c>
      <c r="E8138" t="s">
        <v>4124</v>
      </c>
      <c r="F8138" t="s">
        <v>4137</v>
      </c>
    </row>
    <row r="8139" spans="1:6">
      <c r="A8139" t="s">
        <v>12268</v>
      </c>
      <c r="B8139" t="s">
        <v>2879</v>
      </c>
      <c r="C8139" t="s">
        <v>70</v>
      </c>
      <c r="D8139" s="1">
        <v>45717</v>
      </c>
      <c r="E8139" t="s">
        <v>4129</v>
      </c>
      <c r="F8139" t="s">
        <v>4125</v>
      </c>
    </row>
    <row r="8140" spans="1:6">
      <c r="A8140" t="s">
        <v>12269</v>
      </c>
      <c r="B8140" t="s">
        <v>2879</v>
      </c>
      <c r="C8140" t="s">
        <v>70</v>
      </c>
      <c r="D8140" s="1">
        <v>45755</v>
      </c>
      <c r="E8140" t="s">
        <v>4135</v>
      </c>
      <c r="F8140" t="s">
        <v>4139</v>
      </c>
    </row>
    <row r="8141" spans="1:6">
      <c r="A8141" t="s">
        <v>12270</v>
      </c>
      <c r="B8141" t="s">
        <v>2879</v>
      </c>
      <c r="C8141" t="s">
        <v>70</v>
      </c>
      <c r="D8141" s="1">
        <v>45705</v>
      </c>
      <c r="E8141" t="s">
        <v>4129</v>
      </c>
      <c r="F8141" t="s">
        <v>4125</v>
      </c>
    </row>
    <row r="8142" spans="1:6">
      <c r="A8142" t="s">
        <v>12271</v>
      </c>
      <c r="B8142" t="s">
        <v>2879</v>
      </c>
      <c r="C8142" t="s">
        <v>70</v>
      </c>
      <c r="D8142" s="1">
        <v>45785</v>
      </c>
      <c r="E8142" t="s">
        <v>4124</v>
      </c>
      <c r="F8142" t="s">
        <v>4139</v>
      </c>
    </row>
    <row r="8143" spans="1:6">
      <c r="A8143" t="s">
        <v>12272</v>
      </c>
      <c r="B8143" t="s">
        <v>2880</v>
      </c>
      <c r="C8143" t="s">
        <v>119</v>
      </c>
      <c r="D8143" s="1">
        <v>46009</v>
      </c>
      <c r="E8143" t="s">
        <v>4124</v>
      </c>
      <c r="F8143" t="s">
        <v>4137</v>
      </c>
    </row>
    <row r="8144" spans="1:6">
      <c r="A8144" t="s">
        <v>12273</v>
      </c>
      <c r="B8144" t="s">
        <v>2880</v>
      </c>
      <c r="C8144" t="s">
        <v>119</v>
      </c>
      <c r="D8144" s="1">
        <v>46022</v>
      </c>
      <c r="E8144" t="s">
        <v>4129</v>
      </c>
      <c r="F8144" t="s">
        <v>4125</v>
      </c>
    </row>
    <row r="8145" spans="1:6">
      <c r="A8145" t="s">
        <v>12274</v>
      </c>
      <c r="B8145" t="s">
        <v>2881</v>
      </c>
      <c r="C8145" t="s">
        <v>46</v>
      </c>
      <c r="D8145" s="1">
        <v>45745</v>
      </c>
      <c r="E8145" t="s">
        <v>4127</v>
      </c>
      <c r="F8145" t="s">
        <v>4125</v>
      </c>
    </row>
    <row r="8146" spans="1:6">
      <c r="A8146" t="s">
        <v>12275</v>
      </c>
      <c r="B8146" t="s">
        <v>2881</v>
      </c>
      <c r="C8146" t="s">
        <v>46</v>
      </c>
      <c r="D8146" s="1">
        <v>45739</v>
      </c>
      <c r="E8146" t="s">
        <v>4124</v>
      </c>
      <c r="F8146" t="s">
        <v>4125</v>
      </c>
    </row>
    <row r="8147" spans="1:6">
      <c r="A8147" t="s">
        <v>12276</v>
      </c>
      <c r="B8147" t="s">
        <v>2881</v>
      </c>
      <c r="C8147" t="s">
        <v>46</v>
      </c>
      <c r="D8147" s="1">
        <v>45751</v>
      </c>
      <c r="E8147" t="s">
        <v>4133</v>
      </c>
      <c r="F8147" t="s">
        <v>4125</v>
      </c>
    </row>
    <row r="8148" spans="1:6">
      <c r="A8148" t="s">
        <v>12277</v>
      </c>
      <c r="B8148" t="s">
        <v>2881</v>
      </c>
      <c r="C8148" t="s">
        <v>46</v>
      </c>
      <c r="D8148" s="1">
        <v>45746</v>
      </c>
      <c r="E8148" t="s">
        <v>4129</v>
      </c>
      <c r="F8148" t="s">
        <v>4139</v>
      </c>
    </row>
    <row r="8149" spans="1:6">
      <c r="A8149" t="s">
        <v>12278</v>
      </c>
      <c r="B8149" t="s">
        <v>2882</v>
      </c>
      <c r="C8149" t="s">
        <v>16</v>
      </c>
      <c r="D8149" s="1">
        <v>45724</v>
      </c>
      <c r="E8149" t="s">
        <v>4133</v>
      </c>
      <c r="F8149" t="s">
        <v>4125</v>
      </c>
    </row>
    <row r="8150" spans="1:6">
      <c r="A8150" t="s">
        <v>12279</v>
      </c>
      <c r="B8150" t="s">
        <v>2882</v>
      </c>
      <c r="C8150" t="s">
        <v>16</v>
      </c>
      <c r="D8150" s="1">
        <v>45716</v>
      </c>
      <c r="E8150" t="s">
        <v>4129</v>
      </c>
      <c r="F8150" t="s">
        <v>4139</v>
      </c>
    </row>
    <row r="8151" spans="1:6">
      <c r="A8151" t="s">
        <v>12280</v>
      </c>
      <c r="B8151" t="s">
        <v>2882</v>
      </c>
      <c r="C8151" t="s">
        <v>16</v>
      </c>
      <c r="D8151" s="1">
        <v>45742</v>
      </c>
      <c r="E8151" t="s">
        <v>4129</v>
      </c>
      <c r="F8151" t="s">
        <v>4125</v>
      </c>
    </row>
    <row r="8152" spans="1:6">
      <c r="A8152" t="s">
        <v>12281</v>
      </c>
      <c r="B8152" t="s">
        <v>2883</v>
      </c>
      <c r="C8152" t="s">
        <v>63</v>
      </c>
      <c r="D8152" s="1">
        <v>45852</v>
      </c>
      <c r="E8152" t="s">
        <v>4129</v>
      </c>
      <c r="F8152" t="s">
        <v>4139</v>
      </c>
    </row>
    <row r="8153" spans="1:6">
      <c r="A8153" t="s">
        <v>12282</v>
      </c>
      <c r="B8153" t="s">
        <v>2883</v>
      </c>
      <c r="C8153" t="s">
        <v>63</v>
      </c>
      <c r="D8153" s="1">
        <v>45847</v>
      </c>
      <c r="E8153" t="s">
        <v>4127</v>
      </c>
      <c r="F8153" t="s">
        <v>4137</v>
      </c>
    </row>
    <row r="8154" spans="1:6">
      <c r="A8154" t="s">
        <v>12283</v>
      </c>
      <c r="B8154" t="s">
        <v>2884</v>
      </c>
      <c r="C8154" t="s">
        <v>119</v>
      </c>
      <c r="D8154" s="1">
        <v>45863</v>
      </c>
      <c r="E8154" t="s">
        <v>4135</v>
      </c>
      <c r="F8154" t="s">
        <v>4139</v>
      </c>
    </row>
    <row r="8155" spans="1:6">
      <c r="A8155" t="s">
        <v>12284</v>
      </c>
      <c r="B8155" t="s">
        <v>2884</v>
      </c>
      <c r="C8155" t="s">
        <v>119</v>
      </c>
      <c r="D8155" s="1">
        <v>45915</v>
      </c>
      <c r="E8155" t="s">
        <v>4133</v>
      </c>
      <c r="F8155" t="s">
        <v>4137</v>
      </c>
    </row>
    <row r="8156" spans="1:6">
      <c r="A8156" t="s">
        <v>12285</v>
      </c>
      <c r="B8156" t="s">
        <v>2884</v>
      </c>
      <c r="C8156" t="s">
        <v>119</v>
      </c>
      <c r="D8156" s="1">
        <v>45905</v>
      </c>
      <c r="E8156" t="s">
        <v>4124</v>
      </c>
      <c r="F8156" t="s">
        <v>4137</v>
      </c>
    </row>
    <row r="8157" spans="1:6">
      <c r="A8157" t="s">
        <v>12286</v>
      </c>
      <c r="B8157" t="s">
        <v>2885</v>
      </c>
      <c r="C8157" t="s">
        <v>119</v>
      </c>
      <c r="D8157" s="1">
        <v>45997</v>
      </c>
      <c r="E8157" t="s">
        <v>4135</v>
      </c>
      <c r="F8157" t="s">
        <v>4137</v>
      </c>
    </row>
    <row r="8158" spans="1:6">
      <c r="A8158" t="s">
        <v>12287</v>
      </c>
      <c r="B8158" t="s">
        <v>2885</v>
      </c>
      <c r="C8158" t="s">
        <v>119</v>
      </c>
      <c r="D8158" s="1">
        <v>45986</v>
      </c>
      <c r="E8158" t="s">
        <v>4135</v>
      </c>
      <c r="F8158" t="s">
        <v>4125</v>
      </c>
    </row>
    <row r="8159" spans="1:6">
      <c r="A8159" t="s">
        <v>12288</v>
      </c>
      <c r="B8159" t="s">
        <v>2886</v>
      </c>
      <c r="C8159" t="s">
        <v>75</v>
      </c>
      <c r="D8159" s="1">
        <v>45900</v>
      </c>
      <c r="E8159" t="s">
        <v>4133</v>
      </c>
      <c r="F8159" t="s">
        <v>4137</v>
      </c>
    </row>
    <row r="8160" spans="1:6">
      <c r="A8160" t="s">
        <v>12289</v>
      </c>
      <c r="B8160" t="s">
        <v>2886</v>
      </c>
      <c r="C8160" t="s">
        <v>75</v>
      </c>
      <c r="D8160" s="1">
        <v>45932</v>
      </c>
      <c r="E8160" t="s">
        <v>4127</v>
      </c>
      <c r="F8160" t="s">
        <v>4137</v>
      </c>
    </row>
    <row r="8161" spans="1:6">
      <c r="A8161" t="s">
        <v>12290</v>
      </c>
      <c r="B8161" t="s">
        <v>2887</v>
      </c>
      <c r="C8161" t="s">
        <v>27</v>
      </c>
      <c r="D8161" s="1">
        <v>45839</v>
      </c>
      <c r="E8161" t="s">
        <v>4127</v>
      </c>
      <c r="F8161" t="s">
        <v>4137</v>
      </c>
    </row>
    <row r="8162" spans="1:6">
      <c r="A8162" t="s">
        <v>12291</v>
      </c>
      <c r="B8162" t="s">
        <v>2887</v>
      </c>
      <c r="C8162" t="s">
        <v>27</v>
      </c>
      <c r="D8162" s="1">
        <v>45795</v>
      </c>
      <c r="E8162" t="s">
        <v>4127</v>
      </c>
      <c r="F8162" t="s">
        <v>4137</v>
      </c>
    </row>
    <row r="8163" spans="1:6">
      <c r="A8163" t="s">
        <v>12292</v>
      </c>
      <c r="B8163" t="s">
        <v>2888</v>
      </c>
      <c r="C8163" t="s">
        <v>91</v>
      </c>
      <c r="D8163" s="1">
        <v>45794</v>
      </c>
      <c r="E8163" t="s">
        <v>4133</v>
      </c>
      <c r="F8163" t="s">
        <v>4137</v>
      </c>
    </row>
    <row r="8164" spans="1:6">
      <c r="A8164" t="s">
        <v>12293</v>
      </c>
      <c r="B8164" t="s">
        <v>2888</v>
      </c>
      <c r="C8164" t="s">
        <v>91</v>
      </c>
      <c r="D8164" s="1">
        <v>45807</v>
      </c>
      <c r="E8164" t="s">
        <v>4129</v>
      </c>
      <c r="F8164" t="s">
        <v>4137</v>
      </c>
    </row>
    <row r="8165" spans="1:6">
      <c r="A8165" t="s">
        <v>12294</v>
      </c>
      <c r="B8165" t="s">
        <v>2888</v>
      </c>
      <c r="C8165" t="s">
        <v>91</v>
      </c>
      <c r="D8165" s="1">
        <v>45800</v>
      </c>
      <c r="E8165" t="s">
        <v>4124</v>
      </c>
      <c r="F8165" t="s">
        <v>4139</v>
      </c>
    </row>
    <row r="8166" spans="1:6">
      <c r="A8166" t="s">
        <v>12295</v>
      </c>
      <c r="B8166" t="s">
        <v>2888</v>
      </c>
      <c r="C8166" t="s">
        <v>91</v>
      </c>
      <c r="D8166" s="1">
        <v>45788</v>
      </c>
      <c r="E8166" t="s">
        <v>4129</v>
      </c>
      <c r="F8166" t="s">
        <v>4137</v>
      </c>
    </row>
    <row r="8167" spans="1:6">
      <c r="A8167" t="s">
        <v>12296</v>
      </c>
      <c r="B8167" t="s">
        <v>2888</v>
      </c>
      <c r="C8167" t="s">
        <v>91</v>
      </c>
      <c r="D8167" s="1">
        <v>45787</v>
      </c>
      <c r="E8167" t="s">
        <v>4124</v>
      </c>
      <c r="F8167" t="s">
        <v>4125</v>
      </c>
    </row>
    <row r="8168" spans="1:6">
      <c r="A8168" t="s">
        <v>12297</v>
      </c>
      <c r="B8168" t="s">
        <v>2889</v>
      </c>
      <c r="C8168" t="s">
        <v>32</v>
      </c>
      <c r="D8168" s="1">
        <v>45800</v>
      </c>
      <c r="E8168" t="s">
        <v>4124</v>
      </c>
      <c r="F8168" t="s">
        <v>4139</v>
      </c>
    </row>
    <row r="8169" spans="1:6">
      <c r="A8169" t="s">
        <v>12298</v>
      </c>
      <c r="B8169" t="s">
        <v>2889</v>
      </c>
      <c r="C8169" t="s">
        <v>32</v>
      </c>
      <c r="D8169" s="1">
        <v>45790</v>
      </c>
      <c r="E8169" t="s">
        <v>4129</v>
      </c>
      <c r="F8169" t="s">
        <v>4125</v>
      </c>
    </row>
    <row r="8170" spans="1:6">
      <c r="A8170" t="s">
        <v>12299</v>
      </c>
      <c r="B8170" t="s">
        <v>2889</v>
      </c>
      <c r="C8170" t="s">
        <v>32</v>
      </c>
      <c r="D8170" s="1">
        <v>45802</v>
      </c>
      <c r="E8170" t="s">
        <v>4129</v>
      </c>
      <c r="F8170" t="s">
        <v>4125</v>
      </c>
    </row>
    <row r="8171" spans="1:6">
      <c r="A8171" t="s">
        <v>12300</v>
      </c>
      <c r="B8171" t="s">
        <v>2889</v>
      </c>
      <c r="C8171" t="s">
        <v>32</v>
      </c>
      <c r="D8171" s="1">
        <v>45797</v>
      </c>
      <c r="E8171" t="s">
        <v>4124</v>
      </c>
      <c r="F8171" t="s">
        <v>4137</v>
      </c>
    </row>
    <row r="8172" spans="1:6">
      <c r="A8172" t="s">
        <v>12301</v>
      </c>
      <c r="B8172" t="s">
        <v>2890</v>
      </c>
      <c r="C8172" t="s">
        <v>91</v>
      </c>
      <c r="D8172" s="1">
        <v>45858</v>
      </c>
      <c r="E8172" t="s">
        <v>4124</v>
      </c>
      <c r="F8172" t="s">
        <v>4139</v>
      </c>
    </row>
    <row r="8173" spans="1:6">
      <c r="A8173" t="s">
        <v>12302</v>
      </c>
      <c r="B8173" t="s">
        <v>2890</v>
      </c>
      <c r="C8173" t="s">
        <v>91</v>
      </c>
      <c r="D8173" s="1">
        <v>45872</v>
      </c>
      <c r="E8173" t="s">
        <v>4135</v>
      </c>
      <c r="F8173" t="s">
        <v>4125</v>
      </c>
    </row>
    <row r="8174" spans="1:6">
      <c r="A8174" t="s">
        <v>12303</v>
      </c>
      <c r="B8174" t="s">
        <v>2890</v>
      </c>
      <c r="C8174" t="s">
        <v>91</v>
      </c>
      <c r="D8174" s="1">
        <v>45871</v>
      </c>
      <c r="E8174" t="s">
        <v>4133</v>
      </c>
      <c r="F8174" t="s">
        <v>4137</v>
      </c>
    </row>
    <row r="8175" spans="1:6">
      <c r="A8175" t="s">
        <v>12304</v>
      </c>
      <c r="B8175" t="s">
        <v>2890</v>
      </c>
      <c r="C8175" t="s">
        <v>91</v>
      </c>
      <c r="D8175" s="1">
        <v>45843</v>
      </c>
      <c r="E8175" t="s">
        <v>4135</v>
      </c>
      <c r="F8175" t="s">
        <v>4125</v>
      </c>
    </row>
    <row r="8176" spans="1:6">
      <c r="A8176" t="s">
        <v>12305</v>
      </c>
      <c r="B8176" t="s">
        <v>2890</v>
      </c>
      <c r="C8176" t="s">
        <v>91</v>
      </c>
      <c r="D8176" s="1">
        <v>45859</v>
      </c>
      <c r="E8176" t="s">
        <v>4124</v>
      </c>
      <c r="F8176" t="s">
        <v>4125</v>
      </c>
    </row>
    <row r="8177" spans="1:6">
      <c r="A8177" t="s">
        <v>12306</v>
      </c>
      <c r="B8177" t="s">
        <v>2891</v>
      </c>
      <c r="C8177" t="s">
        <v>59</v>
      </c>
      <c r="D8177" s="1">
        <v>46013</v>
      </c>
      <c r="E8177" t="s">
        <v>4135</v>
      </c>
      <c r="F8177" t="s">
        <v>4125</v>
      </c>
    </row>
    <row r="8178" spans="1:6">
      <c r="A8178" t="s">
        <v>12307</v>
      </c>
      <c r="B8178" t="s">
        <v>2891</v>
      </c>
      <c r="C8178" t="s">
        <v>59</v>
      </c>
      <c r="D8178" s="1">
        <v>46012</v>
      </c>
      <c r="E8178" t="s">
        <v>4129</v>
      </c>
      <c r="F8178" t="s">
        <v>4125</v>
      </c>
    </row>
    <row r="8179" spans="1:6">
      <c r="A8179" t="s">
        <v>12308</v>
      </c>
      <c r="B8179" t="s">
        <v>2891</v>
      </c>
      <c r="C8179" t="s">
        <v>59</v>
      </c>
      <c r="D8179" s="1">
        <v>46005</v>
      </c>
      <c r="E8179" t="s">
        <v>4135</v>
      </c>
      <c r="F8179" t="s">
        <v>4125</v>
      </c>
    </row>
    <row r="8180" spans="1:6">
      <c r="A8180" t="s">
        <v>12309</v>
      </c>
      <c r="B8180" t="s">
        <v>2892</v>
      </c>
      <c r="C8180" t="s">
        <v>119</v>
      </c>
      <c r="D8180" s="1">
        <v>46019</v>
      </c>
      <c r="E8180" t="s">
        <v>4127</v>
      </c>
      <c r="F8180" t="s">
        <v>4137</v>
      </c>
    </row>
    <row r="8181" spans="1:6">
      <c r="A8181" t="s">
        <v>12310</v>
      </c>
      <c r="B8181" t="s">
        <v>2892</v>
      </c>
      <c r="C8181" t="s">
        <v>119</v>
      </c>
      <c r="D8181" s="1">
        <v>46019</v>
      </c>
      <c r="E8181" t="s">
        <v>4129</v>
      </c>
      <c r="F8181" t="s">
        <v>4125</v>
      </c>
    </row>
    <row r="8182" spans="1:6">
      <c r="A8182" t="s">
        <v>12311</v>
      </c>
      <c r="B8182" t="s">
        <v>2892</v>
      </c>
      <c r="C8182" t="s">
        <v>119</v>
      </c>
      <c r="D8182" s="1">
        <v>46012</v>
      </c>
      <c r="E8182" t="s">
        <v>4135</v>
      </c>
      <c r="F8182" t="s">
        <v>4125</v>
      </c>
    </row>
    <row r="8183" spans="1:6">
      <c r="A8183" t="s">
        <v>12312</v>
      </c>
      <c r="B8183" t="s">
        <v>2892</v>
      </c>
      <c r="C8183" t="s">
        <v>119</v>
      </c>
      <c r="D8183" s="1">
        <v>46012</v>
      </c>
      <c r="E8183" t="s">
        <v>4124</v>
      </c>
      <c r="F8183" t="s">
        <v>4139</v>
      </c>
    </row>
    <row r="8184" spans="1:6">
      <c r="A8184" t="s">
        <v>12313</v>
      </c>
      <c r="B8184" t="s">
        <v>2893</v>
      </c>
      <c r="C8184" t="s">
        <v>152</v>
      </c>
      <c r="D8184" s="1">
        <v>45904</v>
      </c>
      <c r="E8184" t="s">
        <v>4133</v>
      </c>
      <c r="F8184" t="s">
        <v>4125</v>
      </c>
    </row>
    <row r="8185" spans="1:6">
      <c r="A8185" t="s">
        <v>12314</v>
      </c>
      <c r="B8185" t="s">
        <v>2893</v>
      </c>
      <c r="C8185" t="s">
        <v>152</v>
      </c>
      <c r="D8185" s="1">
        <v>45882</v>
      </c>
      <c r="E8185" t="s">
        <v>4129</v>
      </c>
      <c r="F8185" t="s">
        <v>4139</v>
      </c>
    </row>
    <row r="8186" spans="1:6">
      <c r="A8186" t="s">
        <v>12315</v>
      </c>
      <c r="B8186" t="s">
        <v>2893</v>
      </c>
      <c r="C8186" t="s">
        <v>152</v>
      </c>
      <c r="D8186" s="1">
        <v>45889</v>
      </c>
      <c r="E8186" t="s">
        <v>4135</v>
      </c>
      <c r="F8186" t="s">
        <v>4137</v>
      </c>
    </row>
    <row r="8187" spans="1:6">
      <c r="A8187" t="s">
        <v>12316</v>
      </c>
      <c r="B8187" t="s">
        <v>2893</v>
      </c>
      <c r="C8187" t="s">
        <v>152</v>
      </c>
      <c r="D8187" s="1">
        <v>45877</v>
      </c>
      <c r="E8187" t="s">
        <v>4127</v>
      </c>
      <c r="F8187" t="s">
        <v>4139</v>
      </c>
    </row>
    <row r="8188" spans="1:6">
      <c r="A8188" t="s">
        <v>12317</v>
      </c>
      <c r="B8188" t="s">
        <v>2893</v>
      </c>
      <c r="C8188" t="s">
        <v>152</v>
      </c>
      <c r="D8188" s="1">
        <v>45904</v>
      </c>
      <c r="E8188" t="s">
        <v>4124</v>
      </c>
      <c r="F8188" t="s">
        <v>4139</v>
      </c>
    </row>
    <row r="8189" spans="1:6">
      <c r="A8189" t="s">
        <v>12318</v>
      </c>
      <c r="B8189" t="s">
        <v>2894</v>
      </c>
      <c r="C8189" t="s">
        <v>53</v>
      </c>
      <c r="D8189" s="1">
        <v>45738</v>
      </c>
      <c r="E8189" t="s">
        <v>4127</v>
      </c>
      <c r="F8189" t="s">
        <v>4125</v>
      </c>
    </row>
    <row r="8190" spans="1:6">
      <c r="A8190" t="s">
        <v>12319</v>
      </c>
      <c r="B8190" t="s">
        <v>2894</v>
      </c>
      <c r="C8190" t="s">
        <v>53</v>
      </c>
      <c r="D8190" s="1">
        <v>45784</v>
      </c>
      <c r="E8190" t="s">
        <v>4133</v>
      </c>
      <c r="F8190" t="s">
        <v>4125</v>
      </c>
    </row>
    <row r="8191" spans="1:6">
      <c r="A8191" t="s">
        <v>12320</v>
      </c>
      <c r="B8191" t="s">
        <v>2894</v>
      </c>
      <c r="C8191" t="s">
        <v>53</v>
      </c>
      <c r="D8191" s="1">
        <v>45792</v>
      </c>
      <c r="E8191" t="s">
        <v>4133</v>
      </c>
      <c r="F8191" t="s">
        <v>4139</v>
      </c>
    </row>
    <row r="8192" spans="1:6">
      <c r="A8192" t="s">
        <v>12321</v>
      </c>
      <c r="B8192" t="s">
        <v>2894</v>
      </c>
      <c r="C8192" t="s">
        <v>53</v>
      </c>
      <c r="D8192" s="1">
        <v>45737</v>
      </c>
      <c r="E8192" t="s">
        <v>4129</v>
      </c>
      <c r="F8192" t="s">
        <v>4139</v>
      </c>
    </row>
    <row r="8193" spans="1:6">
      <c r="A8193" t="s">
        <v>12322</v>
      </c>
      <c r="B8193" t="s">
        <v>2894</v>
      </c>
      <c r="C8193" t="s">
        <v>53</v>
      </c>
      <c r="D8193" s="1">
        <v>45761</v>
      </c>
      <c r="E8193" t="s">
        <v>4124</v>
      </c>
      <c r="F8193" t="s">
        <v>4137</v>
      </c>
    </row>
    <row r="8194" spans="1:6">
      <c r="A8194" t="s">
        <v>12323</v>
      </c>
      <c r="B8194" t="s">
        <v>2895</v>
      </c>
      <c r="C8194" t="s">
        <v>119</v>
      </c>
      <c r="D8194" s="1">
        <v>45853</v>
      </c>
      <c r="E8194" t="s">
        <v>4129</v>
      </c>
      <c r="F8194" t="s">
        <v>4137</v>
      </c>
    </row>
    <row r="8195" spans="1:6">
      <c r="A8195" t="s">
        <v>12324</v>
      </c>
      <c r="B8195" t="s">
        <v>2895</v>
      </c>
      <c r="C8195" t="s">
        <v>119</v>
      </c>
      <c r="D8195" s="1">
        <v>45848</v>
      </c>
      <c r="E8195" t="s">
        <v>4135</v>
      </c>
      <c r="F8195" t="s">
        <v>4125</v>
      </c>
    </row>
    <row r="8196" spans="1:6">
      <c r="A8196" t="s">
        <v>12325</v>
      </c>
      <c r="B8196" t="s">
        <v>2896</v>
      </c>
      <c r="C8196" t="s">
        <v>91</v>
      </c>
      <c r="D8196" s="1">
        <v>45994</v>
      </c>
      <c r="E8196" t="s">
        <v>4133</v>
      </c>
      <c r="F8196" t="s">
        <v>4137</v>
      </c>
    </row>
    <row r="8197" spans="1:6">
      <c r="A8197" t="s">
        <v>12326</v>
      </c>
      <c r="B8197" t="s">
        <v>2896</v>
      </c>
      <c r="C8197" t="s">
        <v>91</v>
      </c>
      <c r="D8197" s="1">
        <v>45994</v>
      </c>
      <c r="E8197" t="s">
        <v>4135</v>
      </c>
      <c r="F8197" t="s">
        <v>4139</v>
      </c>
    </row>
    <row r="8198" spans="1:6">
      <c r="A8198" t="s">
        <v>12327</v>
      </c>
      <c r="B8198" t="s">
        <v>2896</v>
      </c>
      <c r="C8198" t="s">
        <v>91</v>
      </c>
      <c r="D8198" s="1">
        <v>45997</v>
      </c>
      <c r="E8198" t="s">
        <v>4124</v>
      </c>
      <c r="F8198" t="s">
        <v>4137</v>
      </c>
    </row>
    <row r="8199" spans="1:6">
      <c r="A8199" t="s">
        <v>12328</v>
      </c>
      <c r="B8199" t="s">
        <v>2896</v>
      </c>
      <c r="C8199" t="s">
        <v>91</v>
      </c>
      <c r="D8199" s="1">
        <v>45997</v>
      </c>
      <c r="E8199" t="s">
        <v>4129</v>
      </c>
      <c r="F8199" t="s">
        <v>4139</v>
      </c>
    </row>
    <row r="8200" spans="1:6">
      <c r="A8200" t="s">
        <v>12329</v>
      </c>
      <c r="B8200" t="s">
        <v>2896</v>
      </c>
      <c r="C8200" t="s">
        <v>91</v>
      </c>
      <c r="D8200" s="1">
        <v>45991</v>
      </c>
      <c r="E8200" t="s">
        <v>4124</v>
      </c>
      <c r="F8200" t="s">
        <v>4139</v>
      </c>
    </row>
    <row r="8201" spans="1:6">
      <c r="A8201" t="s">
        <v>12330</v>
      </c>
      <c r="B8201" t="s">
        <v>2897</v>
      </c>
      <c r="C8201" t="s">
        <v>22</v>
      </c>
      <c r="D8201" s="1">
        <v>45709</v>
      </c>
      <c r="E8201" t="s">
        <v>4127</v>
      </c>
      <c r="F8201" t="s">
        <v>4139</v>
      </c>
    </row>
    <row r="8202" spans="1:6">
      <c r="A8202" t="s">
        <v>12331</v>
      </c>
      <c r="B8202" t="s">
        <v>2897</v>
      </c>
      <c r="C8202" t="s">
        <v>22</v>
      </c>
      <c r="D8202" s="1">
        <v>45693</v>
      </c>
      <c r="E8202" t="s">
        <v>4124</v>
      </c>
      <c r="F8202" t="s">
        <v>4137</v>
      </c>
    </row>
    <row r="8203" spans="1:6">
      <c r="A8203" t="s">
        <v>12332</v>
      </c>
      <c r="B8203" t="s">
        <v>2898</v>
      </c>
      <c r="C8203" t="s">
        <v>59</v>
      </c>
      <c r="D8203" s="1">
        <v>45894</v>
      </c>
      <c r="E8203" t="s">
        <v>4135</v>
      </c>
      <c r="F8203" t="s">
        <v>4137</v>
      </c>
    </row>
    <row r="8204" spans="1:6">
      <c r="A8204" t="s">
        <v>12333</v>
      </c>
      <c r="B8204" t="s">
        <v>2898</v>
      </c>
      <c r="C8204" t="s">
        <v>59</v>
      </c>
      <c r="D8204" s="1">
        <v>45895</v>
      </c>
      <c r="E8204" t="s">
        <v>4133</v>
      </c>
      <c r="F8204" t="s">
        <v>4137</v>
      </c>
    </row>
    <row r="8205" spans="1:6">
      <c r="A8205" t="s">
        <v>12334</v>
      </c>
      <c r="B8205" t="s">
        <v>2898</v>
      </c>
      <c r="C8205" t="s">
        <v>59</v>
      </c>
      <c r="D8205" s="1">
        <v>45885</v>
      </c>
      <c r="E8205" t="s">
        <v>4127</v>
      </c>
      <c r="F8205" t="s">
        <v>4137</v>
      </c>
    </row>
    <row r="8206" spans="1:6">
      <c r="A8206" t="s">
        <v>12335</v>
      </c>
      <c r="B8206" t="s">
        <v>2898</v>
      </c>
      <c r="C8206" t="s">
        <v>59</v>
      </c>
      <c r="D8206" s="1">
        <v>45904</v>
      </c>
      <c r="E8206" t="s">
        <v>4127</v>
      </c>
      <c r="F8206" t="s">
        <v>4139</v>
      </c>
    </row>
    <row r="8207" spans="1:6">
      <c r="A8207" t="s">
        <v>12336</v>
      </c>
      <c r="B8207" t="s">
        <v>2898</v>
      </c>
      <c r="C8207" t="s">
        <v>59</v>
      </c>
      <c r="D8207" s="1">
        <v>45878</v>
      </c>
      <c r="E8207" t="s">
        <v>4124</v>
      </c>
      <c r="F8207" t="s">
        <v>4139</v>
      </c>
    </row>
    <row r="8208" spans="1:6">
      <c r="A8208" t="s">
        <v>12337</v>
      </c>
      <c r="B8208" t="s">
        <v>2899</v>
      </c>
      <c r="C8208" t="s">
        <v>16</v>
      </c>
      <c r="D8208" s="1">
        <v>46018</v>
      </c>
      <c r="E8208" t="s">
        <v>4129</v>
      </c>
      <c r="F8208" t="s">
        <v>4125</v>
      </c>
    </row>
    <row r="8209" spans="1:6">
      <c r="A8209" t="s">
        <v>12338</v>
      </c>
      <c r="B8209" t="s">
        <v>2899</v>
      </c>
      <c r="C8209" t="s">
        <v>16</v>
      </c>
      <c r="D8209" s="1">
        <v>46020</v>
      </c>
      <c r="E8209" t="s">
        <v>4124</v>
      </c>
      <c r="F8209" t="s">
        <v>4137</v>
      </c>
    </row>
    <row r="8210" spans="1:6">
      <c r="A8210" t="s">
        <v>12339</v>
      </c>
      <c r="B8210" t="s">
        <v>2899</v>
      </c>
      <c r="C8210" t="s">
        <v>16</v>
      </c>
      <c r="D8210" s="1">
        <v>46020</v>
      </c>
      <c r="E8210" t="s">
        <v>4135</v>
      </c>
      <c r="F8210" t="s">
        <v>4139</v>
      </c>
    </row>
    <row r="8211" spans="1:6">
      <c r="A8211" t="s">
        <v>12340</v>
      </c>
      <c r="B8211" t="s">
        <v>2899</v>
      </c>
      <c r="C8211" t="s">
        <v>16</v>
      </c>
      <c r="D8211" s="1">
        <v>46018</v>
      </c>
      <c r="E8211" t="s">
        <v>4133</v>
      </c>
      <c r="F8211" t="s">
        <v>4125</v>
      </c>
    </row>
    <row r="8212" spans="1:6">
      <c r="A8212" t="s">
        <v>12341</v>
      </c>
      <c r="B8212" t="s">
        <v>2900</v>
      </c>
      <c r="C8212" t="s">
        <v>168</v>
      </c>
      <c r="D8212" s="1">
        <v>45952</v>
      </c>
      <c r="E8212" t="s">
        <v>4135</v>
      </c>
      <c r="F8212" t="s">
        <v>4139</v>
      </c>
    </row>
    <row r="8213" spans="1:6">
      <c r="A8213" t="s">
        <v>12342</v>
      </c>
      <c r="B8213" t="s">
        <v>2900</v>
      </c>
      <c r="C8213" t="s">
        <v>168</v>
      </c>
      <c r="D8213" s="1">
        <v>45950</v>
      </c>
      <c r="E8213" t="s">
        <v>4135</v>
      </c>
      <c r="F8213" t="s">
        <v>4125</v>
      </c>
    </row>
    <row r="8214" spans="1:6">
      <c r="A8214" t="s">
        <v>12343</v>
      </c>
      <c r="B8214" t="s">
        <v>2900</v>
      </c>
      <c r="C8214" t="s">
        <v>168</v>
      </c>
      <c r="D8214" s="1">
        <v>45933</v>
      </c>
      <c r="E8214" t="s">
        <v>4129</v>
      </c>
      <c r="F8214" t="s">
        <v>4137</v>
      </c>
    </row>
    <row r="8215" spans="1:6">
      <c r="A8215" t="s">
        <v>12344</v>
      </c>
      <c r="B8215" t="s">
        <v>2900</v>
      </c>
      <c r="C8215" t="s">
        <v>168</v>
      </c>
      <c r="D8215" s="1">
        <v>45943</v>
      </c>
      <c r="E8215" t="s">
        <v>4127</v>
      </c>
      <c r="F8215" t="s">
        <v>4137</v>
      </c>
    </row>
    <row r="8216" spans="1:6">
      <c r="A8216" t="s">
        <v>12345</v>
      </c>
      <c r="B8216" t="s">
        <v>2901</v>
      </c>
      <c r="C8216" t="s">
        <v>126</v>
      </c>
      <c r="D8216" s="1">
        <v>45790</v>
      </c>
      <c r="E8216" t="s">
        <v>4124</v>
      </c>
      <c r="F8216" t="s">
        <v>4137</v>
      </c>
    </row>
    <row r="8217" spans="1:6">
      <c r="A8217" t="s">
        <v>12346</v>
      </c>
      <c r="B8217" t="s">
        <v>2901</v>
      </c>
      <c r="C8217" t="s">
        <v>126</v>
      </c>
      <c r="D8217" s="1">
        <v>45796</v>
      </c>
      <c r="E8217" t="s">
        <v>4127</v>
      </c>
      <c r="F8217" t="s">
        <v>4125</v>
      </c>
    </row>
    <row r="8218" spans="1:6">
      <c r="A8218" t="s">
        <v>12347</v>
      </c>
      <c r="B8218" t="s">
        <v>2901</v>
      </c>
      <c r="C8218" t="s">
        <v>126</v>
      </c>
      <c r="D8218" s="1">
        <v>45775</v>
      </c>
      <c r="E8218" t="s">
        <v>4127</v>
      </c>
      <c r="F8218" t="s">
        <v>4137</v>
      </c>
    </row>
    <row r="8219" spans="1:6">
      <c r="A8219" t="s">
        <v>12348</v>
      </c>
      <c r="B8219" t="s">
        <v>2901</v>
      </c>
      <c r="C8219" t="s">
        <v>126</v>
      </c>
      <c r="D8219" s="1">
        <v>45788</v>
      </c>
      <c r="E8219" t="s">
        <v>4135</v>
      </c>
      <c r="F8219" t="s">
        <v>4137</v>
      </c>
    </row>
    <row r="8220" spans="1:6">
      <c r="A8220" t="s">
        <v>12349</v>
      </c>
      <c r="B8220" t="s">
        <v>2901</v>
      </c>
      <c r="C8220" t="s">
        <v>126</v>
      </c>
      <c r="D8220" s="1">
        <v>45794</v>
      </c>
      <c r="E8220" t="s">
        <v>4124</v>
      </c>
      <c r="F8220" t="s">
        <v>4125</v>
      </c>
    </row>
    <row r="8221" spans="1:6">
      <c r="A8221" t="s">
        <v>12350</v>
      </c>
      <c r="B8221" t="s">
        <v>2902</v>
      </c>
      <c r="C8221" t="s">
        <v>32</v>
      </c>
      <c r="D8221" s="1">
        <v>45786</v>
      </c>
      <c r="E8221" t="s">
        <v>4124</v>
      </c>
      <c r="F8221" t="s">
        <v>4125</v>
      </c>
    </row>
    <row r="8222" spans="1:6">
      <c r="A8222" t="s">
        <v>12351</v>
      </c>
      <c r="B8222" t="s">
        <v>2902</v>
      </c>
      <c r="C8222" t="s">
        <v>32</v>
      </c>
      <c r="D8222" s="1">
        <v>45743</v>
      </c>
      <c r="E8222" t="s">
        <v>4133</v>
      </c>
      <c r="F8222" t="s">
        <v>4139</v>
      </c>
    </row>
    <row r="8223" spans="1:6">
      <c r="A8223" t="s">
        <v>12352</v>
      </c>
      <c r="B8223" t="s">
        <v>2903</v>
      </c>
      <c r="C8223" t="s">
        <v>22</v>
      </c>
      <c r="D8223" s="1">
        <v>45946</v>
      </c>
      <c r="E8223" t="s">
        <v>4124</v>
      </c>
      <c r="F8223" t="s">
        <v>4125</v>
      </c>
    </row>
    <row r="8224" spans="1:6">
      <c r="A8224" t="s">
        <v>12353</v>
      </c>
      <c r="B8224" t="s">
        <v>2903</v>
      </c>
      <c r="C8224" t="s">
        <v>22</v>
      </c>
      <c r="D8224" s="1">
        <v>45952</v>
      </c>
      <c r="E8224" t="s">
        <v>4135</v>
      </c>
      <c r="F8224" t="s">
        <v>4139</v>
      </c>
    </row>
    <row r="8225" spans="1:6">
      <c r="A8225" t="s">
        <v>12354</v>
      </c>
      <c r="B8225" t="s">
        <v>2903</v>
      </c>
      <c r="C8225" t="s">
        <v>22</v>
      </c>
      <c r="D8225" s="1">
        <v>45948</v>
      </c>
      <c r="E8225" t="s">
        <v>4129</v>
      </c>
      <c r="F8225" t="s">
        <v>4139</v>
      </c>
    </row>
    <row r="8226" spans="1:6">
      <c r="A8226" t="s">
        <v>12355</v>
      </c>
      <c r="B8226" t="s">
        <v>2904</v>
      </c>
      <c r="C8226" t="s">
        <v>56</v>
      </c>
      <c r="D8226" s="1">
        <v>45836</v>
      </c>
      <c r="E8226" t="s">
        <v>4127</v>
      </c>
      <c r="F8226" t="s">
        <v>4125</v>
      </c>
    </row>
    <row r="8227" spans="1:6">
      <c r="A8227" t="s">
        <v>12356</v>
      </c>
      <c r="B8227" t="s">
        <v>2904</v>
      </c>
      <c r="C8227" t="s">
        <v>56</v>
      </c>
      <c r="D8227" s="1">
        <v>45882</v>
      </c>
      <c r="E8227" t="s">
        <v>4124</v>
      </c>
      <c r="F8227" t="s">
        <v>4125</v>
      </c>
    </row>
    <row r="8228" spans="1:6">
      <c r="A8228" t="s">
        <v>12357</v>
      </c>
      <c r="B8228" t="s">
        <v>2905</v>
      </c>
      <c r="C8228" t="s">
        <v>27</v>
      </c>
      <c r="D8228" s="1">
        <v>45891</v>
      </c>
      <c r="E8228" t="s">
        <v>4127</v>
      </c>
      <c r="F8228" t="s">
        <v>4139</v>
      </c>
    </row>
    <row r="8229" spans="1:6">
      <c r="A8229" t="s">
        <v>12358</v>
      </c>
      <c r="B8229" t="s">
        <v>2905</v>
      </c>
      <c r="C8229" t="s">
        <v>27</v>
      </c>
      <c r="D8229" s="1">
        <v>45861</v>
      </c>
      <c r="E8229" t="s">
        <v>4135</v>
      </c>
      <c r="F8229" t="s">
        <v>4137</v>
      </c>
    </row>
    <row r="8230" spans="1:6">
      <c r="A8230" t="s">
        <v>12359</v>
      </c>
      <c r="B8230" t="s">
        <v>2905</v>
      </c>
      <c r="C8230" t="s">
        <v>27</v>
      </c>
      <c r="D8230" s="1">
        <v>45869</v>
      </c>
      <c r="E8230" t="s">
        <v>4127</v>
      </c>
      <c r="F8230" t="s">
        <v>4137</v>
      </c>
    </row>
    <row r="8231" spans="1:6">
      <c r="A8231" t="s">
        <v>12360</v>
      </c>
      <c r="B8231" t="s">
        <v>2905</v>
      </c>
      <c r="C8231" t="s">
        <v>27</v>
      </c>
      <c r="D8231" s="1">
        <v>45850</v>
      </c>
      <c r="E8231" t="s">
        <v>4124</v>
      </c>
      <c r="F8231" t="s">
        <v>4125</v>
      </c>
    </row>
    <row r="8232" spans="1:6">
      <c r="A8232" t="s">
        <v>12361</v>
      </c>
      <c r="B8232" t="s">
        <v>2906</v>
      </c>
      <c r="C8232" t="s">
        <v>46</v>
      </c>
      <c r="D8232" s="1">
        <v>45885</v>
      </c>
      <c r="E8232" t="s">
        <v>4127</v>
      </c>
      <c r="F8232" t="s">
        <v>4137</v>
      </c>
    </row>
    <row r="8233" spans="1:6">
      <c r="A8233" t="s">
        <v>12362</v>
      </c>
      <c r="B8233" t="s">
        <v>2906</v>
      </c>
      <c r="C8233" t="s">
        <v>46</v>
      </c>
      <c r="D8233" s="1">
        <v>45904</v>
      </c>
      <c r="E8233" t="s">
        <v>4127</v>
      </c>
      <c r="F8233" t="s">
        <v>4137</v>
      </c>
    </row>
    <row r="8234" spans="1:6">
      <c r="A8234" t="s">
        <v>12363</v>
      </c>
      <c r="B8234" t="s">
        <v>2906</v>
      </c>
      <c r="C8234" t="s">
        <v>46</v>
      </c>
      <c r="D8234" s="1">
        <v>45871</v>
      </c>
      <c r="E8234" t="s">
        <v>4124</v>
      </c>
      <c r="F8234" t="s">
        <v>4139</v>
      </c>
    </row>
    <row r="8235" spans="1:6">
      <c r="A8235" t="s">
        <v>12364</v>
      </c>
      <c r="B8235" t="s">
        <v>2906</v>
      </c>
      <c r="C8235" t="s">
        <v>46</v>
      </c>
      <c r="D8235" s="1">
        <v>45877</v>
      </c>
      <c r="E8235" t="s">
        <v>4135</v>
      </c>
      <c r="F8235" t="s">
        <v>4125</v>
      </c>
    </row>
    <row r="8236" spans="1:6">
      <c r="A8236" t="s">
        <v>12365</v>
      </c>
      <c r="B8236" t="s">
        <v>2907</v>
      </c>
      <c r="C8236" t="s">
        <v>46</v>
      </c>
      <c r="D8236" s="1">
        <v>45710</v>
      </c>
      <c r="E8236" t="s">
        <v>4127</v>
      </c>
      <c r="F8236" t="s">
        <v>4137</v>
      </c>
    </row>
    <row r="8237" spans="1:6">
      <c r="A8237" t="s">
        <v>12366</v>
      </c>
      <c r="B8237" t="s">
        <v>2907</v>
      </c>
      <c r="C8237" t="s">
        <v>46</v>
      </c>
      <c r="D8237" s="1">
        <v>45729</v>
      </c>
      <c r="E8237" t="s">
        <v>4129</v>
      </c>
      <c r="F8237" t="s">
        <v>4125</v>
      </c>
    </row>
    <row r="8238" spans="1:6">
      <c r="A8238" t="s">
        <v>12367</v>
      </c>
      <c r="B8238" t="s">
        <v>2907</v>
      </c>
      <c r="C8238" t="s">
        <v>46</v>
      </c>
      <c r="D8238" s="1">
        <v>45707</v>
      </c>
      <c r="E8238" t="s">
        <v>4124</v>
      </c>
      <c r="F8238" t="s">
        <v>4125</v>
      </c>
    </row>
    <row r="8239" spans="1:6">
      <c r="A8239" t="s">
        <v>12368</v>
      </c>
      <c r="B8239" t="s">
        <v>2907</v>
      </c>
      <c r="C8239" t="s">
        <v>46</v>
      </c>
      <c r="D8239" s="1">
        <v>45723</v>
      </c>
      <c r="E8239" t="s">
        <v>4133</v>
      </c>
      <c r="F8239" t="s">
        <v>4137</v>
      </c>
    </row>
    <row r="8240" spans="1:6">
      <c r="A8240" t="s">
        <v>12369</v>
      </c>
      <c r="B8240" t="s">
        <v>2908</v>
      </c>
      <c r="C8240" t="s">
        <v>53</v>
      </c>
      <c r="D8240" s="1">
        <v>45927</v>
      </c>
      <c r="E8240" t="s">
        <v>4135</v>
      </c>
      <c r="F8240" t="s">
        <v>4139</v>
      </c>
    </row>
    <row r="8241" spans="1:6">
      <c r="A8241" t="s">
        <v>12370</v>
      </c>
      <c r="B8241" t="s">
        <v>2908</v>
      </c>
      <c r="C8241" t="s">
        <v>53</v>
      </c>
      <c r="D8241" s="1">
        <v>45913</v>
      </c>
      <c r="E8241" t="s">
        <v>4124</v>
      </c>
      <c r="F8241" t="s">
        <v>4139</v>
      </c>
    </row>
    <row r="8242" spans="1:6">
      <c r="A8242" t="s">
        <v>12371</v>
      </c>
      <c r="B8242" t="s">
        <v>2908</v>
      </c>
      <c r="C8242" t="s">
        <v>53</v>
      </c>
      <c r="D8242" s="1">
        <v>45901</v>
      </c>
      <c r="E8242" t="s">
        <v>4135</v>
      </c>
      <c r="F8242" t="s">
        <v>4139</v>
      </c>
    </row>
    <row r="8243" spans="1:6">
      <c r="A8243" t="s">
        <v>12372</v>
      </c>
      <c r="B8243" t="s">
        <v>2908</v>
      </c>
      <c r="C8243" t="s">
        <v>53</v>
      </c>
      <c r="D8243" s="1">
        <v>45912</v>
      </c>
      <c r="E8243" t="s">
        <v>4127</v>
      </c>
      <c r="F8243" t="s">
        <v>4137</v>
      </c>
    </row>
    <row r="8244" spans="1:6">
      <c r="A8244" t="s">
        <v>12373</v>
      </c>
      <c r="B8244" t="s">
        <v>2908</v>
      </c>
      <c r="C8244" t="s">
        <v>53</v>
      </c>
      <c r="D8244" s="1">
        <v>45894</v>
      </c>
      <c r="E8244" t="s">
        <v>4133</v>
      </c>
      <c r="F8244" t="s">
        <v>4137</v>
      </c>
    </row>
    <row r="8245" spans="1:6">
      <c r="A8245" t="s">
        <v>12374</v>
      </c>
      <c r="B8245" t="s">
        <v>2909</v>
      </c>
      <c r="C8245" t="s">
        <v>70</v>
      </c>
      <c r="D8245" s="1">
        <v>45795</v>
      </c>
      <c r="E8245" t="s">
        <v>4127</v>
      </c>
      <c r="F8245" t="s">
        <v>4139</v>
      </c>
    </row>
    <row r="8246" spans="1:6">
      <c r="A8246" t="s">
        <v>12375</v>
      </c>
      <c r="B8246" t="s">
        <v>2909</v>
      </c>
      <c r="C8246" t="s">
        <v>70</v>
      </c>
      <c r="D8246" s="1">
        <v>45799</v>
      </c>
      <c r="E8246" t="s">
        <v>4135</v>
      </c>
      <c r="F8246" t="s">
        <v>4125</v>
      </c>
    </row>
    <row r="8247" spans="1:6">
      <c r="A8247" t="s">
        <v>12376</v>
      </c>
      <c r="B8247" t="s">
        <v>2909</v>
      </c>
      <c r="C8247" t="s">
        <v>70</v>
      </c>
      <c r="D8247" s="1">
        <v>45797</v>
      </c>
      <c r="E8247" t="s">
        <v>4129</v>
      </c>
      <c r="F8247" t="s">
        <v>4137</v>
      </c>
    </row>
    <row r="8248" spans="1:6">
      <c r="A8248" t="s">
        <v>12377</v>
      </c>
      <c r="B8248" t="s">
        <v>2909</v>
      </c>
      <c r="C8248" t="s">
        <v>70</v>
      </c>
      <c r="D8248" s="1">
        <v>45791</v>
      </c>
      <c r="E8248" t="s">
        <v>4124</v>
      </c>
      <c r="F8248" t="s">
        <v>4125</v>
      </c>
    </row>
    <row r="8249" spans="1:6">
      <c r="A8249" t="s">
        <v>12378</v>
      </c>
      <c r="B8249" t="s">
        <v>2909</v>
      </c>
      <c r="C8249" t="s">
        <v>70</v>
      </c>
      <c r="D8249" s="1">
        <v>45800</v>
      </c>
      <c r="E8249" t="s">
        <v>4133</v>
      </c>
      <c r="F8249" t="s">
        <v>4125</v>
      </c>
    </row>
    <row r="8250" spans="1:6">
      <c r="A8250" t="s">
        <v>12379</v>
      </c>
      <c r="B8250" t="s">
        <v>2910</v>
      </c>
      <c r="C8250" t="s">
        <v>91</v>
      </c>
      <c r="D8250" s="1">
        <v>45867</v>
      </c>
      <c r="E8250" t="s">
        <v>4135</v>
      </c>
      <c r="F8250" t="s">
        <v>4125</v>
      </c>
    </row>
    <row r="8251" spans="1:6">
      <c r="A8251" t="s">
        <v>12380</v>
      </c>
      <c r="B8251" t="s">
        <v>2910</v>
      </c>
      <c r="C8251" t="s">
        <v>91</v>
      </c>
      <c r="D8251" s="1">
        <v>45816</v>
      </c>
      <c r="E8251" t="s">
        <v>4124</v>
      </c>
      <c r="F8251" t="s">
        <v>4139</v>
      </c>
    </row>
    <row r="8252" spans="1:6">
      <c r="A8252" t="s">
        <v>12381</v>
      </c>
      <c r="B8252" t="s">
        <v>2910</v>
      </c>
      <c r="C8252" t="s">
        <v>91</v>
      </c>
      <c r="D8252" s="1">
        <v>45872</v>
      </c>
      <c r="E8252" t="s">
        <v>4133</v>
      </c>
      <c r="F8252" t="s">
        <v>4139</v>
      </c>
    </row>
    <row r="8253" spans="1:6">
      <c r="A8253" t="s">
        <v>12382</v>
      </c>
      <c r="B8253" t="s">
        <v>2910</v>
      </c>
      <c r="C8253" t="s">
        <v>91</v>
      </c>
      <c r="D8253" s="1">
        <v>45848</v>
      </c>
      <c r="E8253" t="s">
        <v>4127</v>
      </c>
      <c r="F8253" t="s">
        <v>4139</v>
      </c>
    </row>
    <row r="8254" spans="1:6">
      <c r="A8254" t="s">
        <v>12383</v>
      </c>
      <c r="B8254" t="s">
        <v>2910</v>
      </c>
      <c r="C8254" t="s">
        <v>91</v>
      </c>
      <c r="D8254" s="1">
        <v>45835</v>
      </c>
      <c r="E8254" t="s">
        <v>4129</v>
      </c>
      <c r="F8254" t="s">
        <v>4125</v>
      </c>
    </row>
    <row r="8255" spans="1:6">
      <c r="A8255" t="s">
        <v>12384</v>
      </c>
      <c r="B8255" t="s">
        <v>2911</v>
      </c>
      <c r="C8255" t="s">
        <v>78</v>
      </c>
      <c r="D8255" s="1">
        <v>45946</v>
      </c>
      <c r="E8255" t="s">
        <v>4135</v>
      </c>
      <c r="F8255" t="s">
        <v>4139</v>
      </c>
    </row>
    <row r="8256" spans="1:6">
      <c r="A8256" t="s">
        <v>12385</v>
      </c>
      <c r="B8256" t="s">
        <v>2911</v>
      </c>
      <c r="C8256" t="s">
        <v>78</v>
      </c>
      <c r="D8256" s="1">
        <v>45930</v>
      </c>
      <c r="E8256" t="s">
        <v>4133</v>
      </c>
      <c r="F8256" t="s">
        <v>4125</v>
      </c>
    </row>
    <row r="8257" spans="1:6">
      <c r="A8257" t="s">
        <v>12386</v>
      </c>
      <c r="B8257" t="s">
        <v>2911</v>
      </c>
      <c r="C8257" t="s">
        <v>78</v>
      </c>
      <c r="D8257" s="1">
        <v>45961</v>
      </c>
      <c r="E8257" t="s">
        <v>4129</v>
      </c>
      <c r="F8257" t="s">
        <v>4139</v>
      </c>
    </row>
    <row r="8258" spans="1:6">
      <c r="A8258" t="s">
        <v>12387</v>
      </c>
      <c r="B8258" t="s">
        <v>2911</v>
      </c>
      <c r="C8258" t="s">
        <v>78</v>
      </c>
      <c r="D8258" s="1">
        <v>45913</v>
      </c>
      <c r="E8258" t="s">
        <v>4135</v>
      </c>
      <c r="F8258" t="s">
        <v>4125</v>
      </c>
    </row>
    <row r="8259" spans="1:6">
      <c r="A8259" t="s">
        <v>12388</v>
      </c>
      <c r="B8259" t="s">
        <v>2912</v>
      </c>
      <c r="C8259" t="s">
        <v>91</v>
      </c>
      <c r="D8259" s="1">
        <v>45900</v>
      </c>
      <c r="E8259" t="s">
        <v>4133</v>
      </c>
      <c r="F8259" t="s">
        <v>4139</v>
      </c>
    </row>
    <row r="8260" spans="1:6">
      <c r="A8260" t="s">
        <v>12389</v>
      </c>
      <c r="B8260" t="s">
        <v>2912</v>
      </c>
      <c r="C8260" t="s">
        <v>91</v>
      </c>
      <c r="D8260" s="1">
        <v>45868</v>
      </c>
      <c r="E8260" t="s">
        <v>4133</v>
      </c>
      <c r="F8260" t="s">
        <v>4139</v>
      </c>
    </row>
    <row r="8261" spans="1:6">
      <c r="A8261" t="s">
        <v>12390</v>
      </c>
      <c r="B8261" t="s">
        <v>2912</v>
      </c>
      <c r="C8261" t="s">
        <v>91</v>
      </c>
      <c r="D8261" s="1">
        <v>45859</v>
      </c>
      <c r="E8261" t="s">
        <v>4135</v>
      </c>
      <c r="F8261" t="s">
        <v>4137</v>
      </c>
    </row>
    <row r="8262" spans="1:6">
      <c r="A8262" t="s">
        <v>12391</v>
      </c>
      <c r="B8262" t="s">
        <v>2912</v>
      </c>
      <c r="C8262" t="s">
        <v>91</v>
      </c>
      <c r="D8262" s="1">
        <v>45921</v>
      </c>
      <c r="E8262" t="s">
        <v>4124</v>
      </c>
      <c r="F8262" t="s">
        <v>4137</v>
      </c>
    </row>
    <row r="8263" spans="1:6">
      <c r="A8263" t="s">
        <v>12392</v>
      </c>
      <c r="B8263" t="s">
        <v>2912</v>
      </c>
      <c r="C8263" t="s">
        <v>91</v>
      </c>
      <c r="D8263" s="1">
        <v>45938</v>
      </c>
      <c r="E8263" t="s">
        <v>4129</v>
      </c>
      <c r="F8263" t="s">
        <v>4125</v>
      </c>
    </row>
    <row r="8264" spans="1:6">
      <c r="A8264" t="s">
        <v>12393</v>
      </c>
      <c r="B8264" t="s">
        <v>2913</v>
      </c>
      <c r="C8264" t="s">
        <v>36</v>
      </c>
      <c r="D8264" s="1">
        <v>45718</v>
      </c>
      <c r="E8264" t="s">
        <v>4133</v>
      </c>
      <c r="F8264" t="s">
        <v>4125</v>
      </c>
    </row>
    <row r="8265" spans="1:6">
      <c r="A8265" t="s">
        <v>12394</v>
      </c>
      <c r="B8265" t="s">
        <v>2913</v>
      </c>
      <c r="C8265" t="s">
        <v>36</v>
      </c>
      <c r="D8265" s="1">
        <v>45736</v>
      </c>
      <c r="E8265" t="s">
        <v>4124</v>
      </c>
      <c r="F8265" t="s">
        <v>4139</v>
      </c>
    </row>
    <row r="8266" spans="1:6">
      <c r="A8266" t="s">
        <v>12395</v>
      </c>
      <c r="B8266" t="s">
        <v>2913</v>
      </c>
      <c r="C8266" t="s">
        <v>36</v>
      </c>
      <c r="D8266" s="1">
        <v>45692</v>
      </c>
      <c r="E8266" t="s">
        <v>4129</v>
      </c>
      <c r="F8266" t="s">
        <v>4125</v>
      </c>
    </row>
    <row r="8267" spans="1:6">
      <c r="A8267" t="s">
        <v>12396</v>
      </c>
      <c r="B8267" t="s">
        <v>2914</v>
      </c>
      <c r="C8267" t="s">
        <v>75</v>
      </c>
      <c r="D8267" s="1">
        <v>45951</v>
      </c>
      <c r="E8267" t="s">
        <v>4129</v>
      </c>
      <c r="F8267" t="s">
        <v>4125</v>
      </c>
    </row>
    <row r="8268" spans="1:6">
      <c r="A8268" t="s">
        <v>12397</v>
      </c>
      <c r="B8268" t="s">
        <v>2914</v>
      </c>
      <c r="C8268" t="s">
        <v>75</v>
      </c>
      <c r="D8268" s="1">
        <v>45921</v>
      </c>
      <c r="E8268" t="s">
        <v>4124</v>
      </c>
      <c r="F8268" t="s">
        <v>4137</v>
      </c>
    </row>
    <row r="8269" spans="1:6">
      <c r="A8269" t="s">
        <v>12398</v>
      </c>
      <c r="B8269" t="s">
        <v>2914</v>
      </c>
      <c r="C8269" t="s">
        <v>75</v>
      </c>
      <c r="D8269" s="1">
        <v>45954</v>
      </c>
      <c r="E8269" t="s">
        <v>4124</v>
      </c>
      <c r="F8269" t="s">
        <v>4139</v>
      </c>
    </row>
    <row r="8270" spans="1:6">
      <c r="A8270" t="s">
        <v>12399</v>
      </c>
      <c r="B8270" t="s">
        <v>2914</v>
      </c>
      <c r="C8270" t="s">
        <v>75</v>
      </c>
      <c r="D8270" s="1">
        <v>45922</v>
      </c>
      <c r="E8270" t="s">
        <v>4124</v>
      </c>
      <c r="F8270" t="s">
        <v>4125</v>
      </c>
    </row>
    <row r="8271" spans="1:6">
      <c r="A8271" t="s">
        <v>12400</v>
      </c>
      <c r="B8271" t="s">
        <v>2914</v>
      </c>
      <c r="C8271" t="s">
        <v>75</v>
      </c>
      <c r="D8271" s="1">
        <v>45954</v>
      </c>
      <c r="E8271" t="s">
        <v>4129</v>
      </c>
      <c r="F8271" t="s">
        <v>4137</v>
      </c>
    </row>
    <row r="8272" spans="1:6">
      <c r="A8272" t="s">
        <v>12401</v>
      </c>
      <c r="B8272" t="s">
        <v>2915</v>
      </c>
      <c r="C8272" t="s">
        <v>53</v>
      </c>
      <c r="D8272" s="1">
        <v>45705</v>
      </c>
      <c r="E8272" t="s">
        <v>4133</v>
      </c>
      <c r="F8272" t="s">
        <v>4137</v>
      </c>
    </row>
    <row r="8273" spans="1:6">
      <c r="A8273" t="s">
        <v>12402</v>
      </c>
      <c r="B8273" t="s">
        <v>2915</v>
      </c>
      <c r="C8273" t="s">
        <v>53</v>
      </c>
      <c r="D8273" s="1">
        <v>45717</v>
      </c>
      <c r="E8273" t="s">
        <v>4124</v>
      </c>
      <c r="F8273" t="s">
        <v>4125</v>
      </c>
    </row>
    <row r="8274" spans="1:6">
      <c r="A8274" t="s">
        <v>12403</v>
      </c>
      <c r="B8274" t="s">
        <v>2915</v>
      </c>
      <c r="C8274" t="s">
        <v>53</v>
      </c>
      <c r="D8274" s="1">
        <v>45709</v>
      </c>
      <c r="E8274" t="s">
        <v>4133</v>
      </c>
      <c r="F8274" t="s">
        <v>4137</v>
      </c>
    </row>
    <row r="8275" spans="1:6">
      <c r="A8275" t="s">
        <v>12404</v>
      </c>
      <c r="B8275" t="s">
        <v>2915</v>
      </c>
      <c r="C8275" t="s">
        <v>53</v>
      </c>
      <c r="D8275" s="1">
        <v>45738</v>
      </c>
      <c r="E8275" t="s">
        <v>4127</v>
      </c>
      <c r="F8275" t="s">
        <v>4137</v>
      </c>
    </row>
    <row r="8276" spans="1:6">
      <c r="A8276" t="s">
        <v>12405</v>
      </c>
      <c r="B8276" t="s">
        <v>2915</v>
      </c>
      <c r="C8276" t="s">
        <v>53</v>
      </c>
      <c r="D8276" s="1">
        <v>45738</v>
      </c>
      <c r="E8276" t="s">
        <v>4129</v>
      </c>
      <c r="F8276" t="s">
        <v>4137</v>
      </c>
    </row>
    <row r="8277" spans="1:6">
      <c r="A8277" t="s">
        <v>12406</v>
      </c>
      <c r="B8277" t="s">
        <v>2916</v>
      </c>
      <c r="C8277" t="s">
        <v>63</v>
      </c>
      <c r="D8277" s="1">
        <v>46021</v>
      </c>
      <c r="E8277" t="s">
        <v>4135</v>
      </c>
      <c r="F8277" t="s">
        <v>4125</v>
      </c>
    </row>
    <row r="8278" spans="1:6">
      <c r="A8278" t="s">
        <v>12407</v>
      </c>
      <c r="B8278" t="s">
        <v>2916</v>
      </c>
      <c r="C8278" t="s">
        <v>63</v>
      </c>
      <c r="D8278" s="1">
        <v>46021</v>
      </c>
      <c r="E8278" t="s">
        <v>4133</v>
      </c>
      <c r="F8278" t="s">
        <v>4125</v>
      </c>
    </row>
    <row r="8279" spans="1:6">
      <c r="A8279" t="s">
        <v>12408</v>
      </c>
      <c r="B8279" t="s">
        <v>2916</v>
      </c>
      <c r="C8279" t="s">
        <v>63</v>
      </c>
      <c r="D8279" s="1">
        <v>46020</v>
      </c>
      <c r="E8279" t="s">
        <v>4124</v>
      </c>
      <c r="F8279" t="s">
        <v>4137</v>
      </c>
    </row>
    <row r="8280" spans="1:6">
      <c r="A8280" t="s">
        <v>12409</v>
      </c>
      <c r="B8280" t="s">
        <v>2917</v>
      </c>
      <c r="C8280" t="s">
        <v>70</v>
      </c>
      <c r="D8280" s="1">
        <v>45842</v>
      </c>
      <c r="E8280" t="s">
        <v>4127</v>
      </c>
      <c r="F8280" t="s">
        <v>4125</v>
      </c>
    </row>
    <row r="8281" spans="1:6">
      <c r="A8281" t="s">
        <v>12410</v>
      </c>
      <c r="B8281" t="s">
        <v>2917</v>
      </c>
      <c r="C8281" t="s">
        <v>70</v>
      </c>
      <c r="D8281" s="1">
        <v>45846</v>
      </c>
      <c r="E8281" t="s">
        <v>4129</v>
      </c>
      <c r="F8281" t="s">
        <v>4139</v>
      </c>
    </row>
    <row r="8282" spans="1:6">
      <c r="A8282" t="s">
        <v>12411</v>
      </c>
      <c r="B8282" t="s">
        <v>2917</v>
      </c>
      <c r="C8282" t="s">
        <v>70</v>
      </c>
      <c r="D8282" s="1">
        <v>45861</v>
      </c>
      <c r="E8282" t="s">
        <v>4133</v>
      </c>
      <c r="F8282" t="s">
        <v>4125</v>
      </c>
    </row>
    <row r="8283" spans="1:6">
      <c r="A8283" t="s">
        <v>12412</v>
      </c>
      <c r="B8283" t="s">
        <v>2917</v>
      </c>
      <c r="C8283" t="s">
        <v>70</v>
      </c>
      <c r="D8283" s="1">
        <v>45846</v>
      </c>
      <c r="E8283" t="s">
        <v>4133</v>
      </c>
      <c r="F8283" t="s">
        <v>4139</v>
      </c>
    </row>
    <row r="8284" spans="1:6">
      <c r="A8284" t="s">
        <v>12413</v>
      </c>
      <c r="B8284" t="s">
        <v>2917</v>
      </c>
      <c r="C8284" t="s">
        <v>70</v>
      </c>
      <c r="D8284" s="1">
        <v>45844</v>
      </c>
      <c r="E8284" t="s">
        <v>4129</v>
      </c>
      <c r="F8284" t="s">
        <v>4137</v>
      </c>
    </row>
    <row r="8285" spans="1:6">
      <c r="A8285" t="s">
        <v>12414</v>
      </c>
      <c r="B8285" t="s">
        <v>2918</v>
      </c>
      <c r="C8285" t="s">
        <v>70</v>
      </c>
      <c r="D8285" s="1">
        <v>45904</v>
      </c>
      <c r="E8285" t="s">
        <v>4129</v>
      </c>
      <c r="F8285" t="s">
        <v>4137</v>
      </c>
    </row>
    <row r="8286" spans="1:6">
      <c r="A8286" t="s">
        <v>12415</v>
      </c>
      <c r="B8286" t="s">
        <v>2918</v>
      </c>
      <c r="C8286" t="s">
        <v>70</v>
      </c>
      <c r="D8286" s="1">
        <v>45914</v>
      </c>
      <c r="E8286" t="s">
        <v>4124</v>
      </c>
      <c r="F8286" t="s">
        <v>4125</v>
      </c>
    </row>
    <row r="8287" spans="1:6">
      <c r="A8287" t="s">
        <v>12416</v>
      </c>
      <c r="B8287" t="s">
        <v>2918</v>
      </c>
      <c r="C8287" t="s">
        <v>70</v>
      </c>
      <c r="D8287" s="1">
        <v>45914</v>
      </c>
      <c r="E8287" t="s">
        <v>4133</v>
      </c>
      <c r="F8287" t="s">
        <v>4139</v>
      </c>
    </row>
    <row r="8288" spans="1:6">
      <c r="A8288" t="s">
        <v>12417</v>
      </c>
      <c r="B8288" t="s">
        <v>2918</v>
      </c>
      <c r="C8288" t="s">
        <v>70</v>
      </c>
      <c r="D8288" s="1">
        <v>45912</v>
      </c>
      <c r="E8288" t="s">
        <v>4133</v>
      </c>
      <c r="F8288" t="s">
        <v>4125</v>
      </c>
    </row>
    <row r="8289" spans="1:6">
      <c r="A8289" t="s">
        <v>12418</v>
      </c>
      <c r="B8289" t="s">
        <v>2918</v>
      </c>
      <c r="C8289" t="s">
        <v>70</v>
      </c>
      <c r="D8289" s="1">
        <v>45910</v>
      </c>
      <c r="E8289" t="s">
        <v>4135</v>
      </c>
      <c r="F8289" t="s">
        <v>4137</v>
      </c>
    </row>
    <row r="8290" spans="1:6">
      <c r="A8290" t="s">
        <v>12419</v>
      </c>
      <c r="B8290" t="s">
        <v>2919</v>
      </c>
      <c r="C8290" t="s">
        <v>46</v>
      </c>
      <c r="D8290" s="1">
        <v>45775</v>
      </c>
      <c r="E8290" t="s">
        <v>4124</v>
      </c>
      <c r="F8290" t="s">
        <v>4125</v>
      </c>
    </row>
    <row r="8291" spans="1:6">
      <c r="A8291" t="s">
        <v>12420</v>
      </c>
      <c r="B8291" t="s">
        <v>2919</v>
      </c>
      <c r="C8291" t="s">
        <v>46</v>
      </c>
      <c r="D8291" s="1">
        <v>45806</v>
      </c>
      <c r="E8291" t="s">
        <v>4124</v>
      </c>
      <c r="F8291" t="s">
        <v>4137</v>
      </c>
    </row>
    <row r="8292" spans="1:6">
      <c r="A8292" t="s">
        <v>12421</v>
      </c>
      <c r="B8292" t="s">
        <v>2919</v>
      </c>
      <c r="C8292" t="s">
        <v>46</v>
      </c>
      <c r="D8292" s="1">
        <v>45799</v>
      </c>
      <c r="E8292" t="s">
        <v>4124</v>
      </c>
      <c r="F8292" t="s">
        <v>4139</v>
      </c>
    </row>
    <row r="8293" spans="1:6">
      <c r="A8293" t="s">
        <v>12422</v>
      </c>
      <c r="B8293" t="s">
        <v>2919</v>
      </c>
      <c r="C8293" t="s">
        <v>46</v>
      </c>
      <c r="D8293" s="1">
        <v>45798</v>
      </c>
      <c r="E8293" t="s">
        <v>4135</v>
      </c>
      <c r="F8293" t="s">
        <v>4125</v>
      </c>
    </row>
    <row r="8294" spans="1:6">
      <c r="A8294" t="s">
        <v>12423</v>
      </c>
      <c r="B8294" t="s">
        <v>2919</v>
      </c>
      <c r="C8294" t="s">
        <v>46</v>
      </c>
      <c r="D8294" s="1">
        <v>45793</v>
      </c>
      <c r="E8294" t="s">
        <v>4124</v>
      </c>
      <c r="F8294" t="s">
        <v>4137</v>
      </c>
    </row>
    <row r="8295" spans="1:6">
      <c r="A8295" t="s">
        <v>12424</v>
      </c>
      <c r="B8295" t="s">
        <v>2920</v>
      </c>
      <c r="C8295" t="s">
        <v>53</v>
      </c>
      <c r="D8295" s="1">
        <v>45703</v>
      </c>
      <c r="E8295" t="s">
        <v>4135</v>
      </c>
      <c r="F8295" t="s">
        <v>4139</v>
      </c>
    </row>
    <row r="8296" spans="1:6">
      <c r="A8296" t="s">
        <v>12425</v>
      </c>
      <c r="B8296" t="s">
        <v>2920</v>
      </c>
      <c r="C8296" t="s">
        <v>53</v>
      </c>
      <c r="D8296" s="1">
        <v>45727</v>
      </c>
      <c r="E8296" t="s">
        <v>4127</v>
      </c>
      <c r="F8296" t="s">
        <v>4137</v>
      </c>
    </row>
    <row r="8297" spans="1:6">
      <c r="A8297" t="s">
        <v>12426</v>
      </c>
      <c r="B8297" t="s">
        <v>2920</v>
      </c>
      <c r="C8297" t="s">
        <v>53</v>
      </c>
      <c r="D8297" s="1">
        <v>45736</v>
      </c>
      <c r="E8297" t="s">
        <v>4135</v>
      </c>
      <c r="F8297" t="s">
        <v>4139</v>
      </c>
    </row>
    <row r="8298" spans="1:6">
      <c r="A8298" t="s">
        <v>12427</v>
      </c>
      <c r="B8298" t="s">
        <v>2921</v>
      </c>
      <c r="C8298" t="s">
        <v>59</v>
      </c>
      <c r="D8298" s="1">
        <v>46012</v>
      </c>
      <c r="E8298" t="s">
        <v>4135</v>
      </c>
      <c r="F8298" t="s">
        <v>4139</v>
      </c>
    </row>
    <row r="8299" spans="1:6">
      <c r="A8299" t="s">
        <v>12428</v>
      </c>
      <c r="B8299" t="s">
        <v>2921</v>
      </c>
      <c r="C8299" t="s">
        <v>59</v>
      </c>
      <c r="D8299" s="1">
        <v>46003</v>
      </c>
      <c r="E8299" t="s">
        <v>4135</v>
      </c>
      <c r="F8299" t="s">
        <v>4137</v>
      </c>
    </row>
    <row r="8300" spans="1:6">
      <c r="A8300" t="s">
        <v>12429</v>
      </c>
      <c r="B8300" t="s">
        <v>2921</v>
      </c>
      <c r="C8300" t="s">
        <v>59</v>
      </c>
      <c r="D8300" s="1">
        <v>45993</v>
      </c>
      <c r="E8300" t="s">
        <v>4129</v>
      </c>
      <c r="F8300" t="s">
        <v>4125</v>
      </c>
    </row>
    <row r="8301" spans="1:6">
      <c r="A8301" t="s">
        <v>12430</v>
      </c>
      <c r="B8301" t="s">
        <v>2922</v>
      </c>
      <c r="C8301" t="s">
        <v>63</v>
      </c>
      <c r="D8301" s="1">
        <v>45700</v>
      </c>
      <c r="E8301" t="s">
        <v>4127</v>
      </c>
      <c r="F8301" t="s">
        <v>4139</v>
      </c>
    </row>
    <row r="8302" spans="1:6">
      <c r="A8302" t="s">
        <v>12431</v>
      </c>
      <c r="B8302" t="s">
        <v>2922</v>
      </c>
      <c r="C8302" t="s">
        <v>63</v>
      </c>
      <c r="D8302" s="1">
        <v>45723</v>
      </c>
      <c r="E8302" t="s">
        <v>4133</v>
      </c>
      <c r="F8302" t="s">
        <v>4139</v>
      </c>
    </row>
    <row r="8303" spans="1:6">
      <c r="A8303" t="s">
        <v>12432</v>
      </c>
      <c r="B8303" t="s">
        <v>2922</v>
      </c>
      <c r="C8303" t="s">
        <v>63</v>
      </c>
      <c r="D8303" s="1">
        <v>45720</v>
      </c>
      <c r="E8303" t="s">
        <v>4124</v>
      </c>
      <c r="F8303" t="s">
        <v>4139</v>
      </c>
    </row>
    <row r="8304" spans="1:6">
      <c r="A8304" t="s">
        <v>12433</v>
      </c>
      <c r="B8304" t="s">
        <v>2922</v>
      </c>
      <c r="C8304" t="s">
        <v>63</v>
      </c>
      <c r="D8304" s="1">
        <v>45718</v>
      </c>
      <c r="E8304" t="s">
        <v>4129</v>
      </c>
      <c r="F8304" t="s">
        <v>4139</v>
      </c>
    </row>
    <row r="8305" spans="1:6">
      <c r="A8305" t="s">
        <v>12434</v>
      </c>
      <c r="B8305" t="s">
        <v>2922</v>
      </c>
      <c r="C8305" t="s">
        <v>63</v>
      </c>
      <c r="D8305" s="1">
        <v>45707</v>
      </c>
      <c r="E8305" t="s">
        <v>4124</v>
      </c>
      <c r="F8305" t="s">
        <v>4137</v>
      </c>
    </row>
    <row r="8306" spans="1:6">
      <c r="A8306" t="s">
        <v>12435</v>
      </c>
      <c r="B8306" t="s">
        <v>2923</v>
      </c>
      <c r="C8306" t="s">
        <v>56</v>
      </c>
      <c r="D8306" s="1">
        <v>45707</v>
      </c>
      <c r="E8306" t="s">
        <v>4124</v>
      </c>
      <c r="F8306" t="s">
        <v>4125</v>
      </c>
    </row>
    <row r="8307" spans="1:6">
      <c r="A8307" t="s">
        <v>12436</v>
      </c>
      <c r="B8307" t="s">
        <v>2923</v>
      </c>
      <c r="C8307" t="s">
        <v>56</v>
      </c>
      <c r="D8307" s="1">
        <v>45694</v>
      </c>
      <c r="E8307" t="s">
        <v>4133</v>
      </c>
      <c r="F8307" t="s">
        <v>4125</v>
      </c>
    </row>
    <row r="8308" spans="1:6">
      <c r="A8308" t="s">
        <v>12437</v>
      </c>
      <c r="B8308" t="s">
        <v>2923</v>
      </c>
      <c r="C8308" t="s">
        <v>56</v>
      </c>
      <c r="D8308" s="1">
        <v>45706</v>
      </c>
      <c r="E8308" t="s">
        <v>4127</v>
      </c>
      <c r="F8308" t="s">
        <v>4137</v>
      </c>
    </row>
    <row r="8309" spans="1:6">
      <c r="A8309" t="s">
        <v>12438</v>
      </c>
      <c r="B8309" t="s">
        <v>2923</v>
      </c>
      <c r="C8309" t="s">
        <v>56</v>
      </c>
      <c r="D8309" s="1">
        <v>45702</v>
      </c>
      <c r="E8309" t="s">
        <v>4133</v>
      </c>
      <c r="F8309" t="s">
        <v>4125</v>
      </c>
    </row>
    <row r="8310" spans="1:6">
      <c r="A8310" t="s">
        <v>12439</v>
      </c>
      <c r="B8310" t="s">
        <v>2923</v>
      </c>
      <c r="C8310" t="s">
        <v>56</v>
      </c>
      <c r="D8310" s="1">
        <v>45707</v>
      </c>
      <c r="E8310" t="s">
        <v>4124</v>
      </c>
      <c r="F8310" t="s">
        <v>4125</v>
      </c>
    </row>
    <row r="8311" spans="1:6">
      <c r="A8311" t="s">
        <v>12440</v>
      </c>
      <c r="B8311" t="s">
        <v>2924</v>
      </c>
      <c r="C8311" t="s">
        <v>59</v>
      </c>
      <c r="D8311" s="1">
        <v>45805</v>
      </c>
      <c r="E8311" t="s">
        <v>4124</v>
      </c>
      <c r="F8311" t="s">
        <v>4137</v>
      </c>
    </row>
    <row r="8312" spans="1:6">
      <c r="A8312" t="s">
        <v>12441</v>
      </c>
      <c r="B8312" t="s">
        <v>2924</v>
      </c>
      <c r="C8312" t="s">
        <v>59</v>
      </c>
      <c r="D8312" s="1">
        <v>45800</v>
      </c>
      <c r="E8312" t="s">
        <v>4127</v>
      </c>
      <c r="F8312" t="s">
        <v>4139</v>
      </c>
    </row>
    <row r="8313" spans="1:6">
      <c r="A8313" t="s">
        <v>12442</v>
      </c>
      <c r="B8313" t="s">
        <v>2924</v>
      </c>
      <c r="C8313" t="s">
        <v>59</v>
      </c>
      <c r="D8313" s="1">
        <v>45810</v>
      </c>
      <c r="E8313" t="s">
        <v>4127</v>
      </c>
      <c r="F8313" t="s">
        <v>4125</v>
      </c>
    </row>
    <row r="8314" spans="1:6">
      <c r="A8314" t="s">
        <v>12443</v>
      </c>
      <c r="B8314" t="s">
        <v>2924</v>
      </c>
      <c r="C8314" t="s">
        <v>59</v>
      </c>
      <c r="D8314" s="1">
        <v>45808</v>
      </c>
      <c r="E8314" t="s">
        <v>4129</v>
      </c>
      <c r="F8314" t="s">
        <v>4125</v>
      </c>
    </row>
    <row r="8315" spans="1:6">
      <c r="A8315" t="s">
        <v>12444</v>
      </c>
      <c r="B8315" t="s">
        <v>2924</v>
      </c>
      <c r="C8315" t="s">
        <v>59</v>
      </c>
      <c r="D8315" s="1">
        <v>45808</v>
      </c>
      <c r="E8315" t="s">
        <v>4129</v>
      </c>
      <c r="F8315" t="s">
        <v>4125</v>
      </c>
    </row>
    <row r="8316" spans="1:6">
      <c r="A8316" t="s">
        <v>12445</v>
      </c>
      <c r="B8316" t="s">
        <v>2925</v>
      </c>
      <c r="C8316" t="s">
        <v>32</v>
      </c>
      <c r="D8316" s="1">
        <v>45789</v>
      </c>
      <c r="E8316" t="s">
        <v>4127</v>
      </c>
      <c r="F8316" t="s">
        <v>4137</v>
      </c>
    </row>
    <row r="8317" spans="1:6">
      <c r="A8317" t="s">
        <v>12446</v>
      </c>
      <c r="B8317" t="s">
        <v>2925</v>
      </c>
      <c r="C8317" t="s">
        <v>32</v>
      </c>
      <c r="D8317" s="1">
        <v>45802</v>
      </c>
      <c r="E8317" t="s">
        <v>4127</v>
      </c>
      <c r="F8317" t="s">
        <v>4125</v>
      </c>
    </row>
    <row r="8318" spans="1:6">
      <c r="A8318" t="s">
        <v>12447</v>
      </c>
      <c r="B8318" t="s">
        <v>2925</v>
      </c>
      <c r="C8318" t="s">
        <v>32</v>
      </c>
      <c r="D8318" s="1">
        <v>45798</v>
      </c>
      <c r="E8318" t="s">
        <v>4133</v>
      </c>
      <c r="F8318" t="s">
        <v>4139</v>
      </c>
    </row>
    <row r="8319" spans="1:6">
      <c r="A8319" t="s">
        <v>12448</v>
      </c>
      <c r="B8319" t="s">
        <v>2925</v>
      </c>
      <c r="C8319" t="s">
        <v>32</v>
      </c>
      <c r="D8319" s="1">
        <v>45812</v>
      </c>
      <c r="E8319" t="s">
        <v>4135</v>
      </c>
      <c r="F8319" t="s">
        <v>4139</v>
      </c>
    </row>
    <row r="8320" spans="1:6">
      <c r="A8320" t="s">
        <v>12449</v>
      </c>
      <c r="B8320" t="s">
        <v>2925</v>
      </c>
      <c r="C8320" t="s">
        <v>32</v>
      </c>
      <c r="D8320" s="1">
        <v>45799</v>
      </c>
      <c r="E8320" t="s">
        <v>4124</v>
      </c>
      <c r="F8320" t="s">
        <v>4139</v>
      </c>
    </row>
    <row r="8321" spans="1:6">
      <c r="A8321" t="s">
        <v>12450</v>
      </c>
      <c r="B8321" t="s">
        <v>2926</v>
      </c>
      <c r="C8321" t="s">
        <v>53</v>
      </c>
      <c r="D8321" s="1">
        <v>45692</v>
      </c>
      <c r="E8321" t="s">
        <v>4129</v>
      </c>
      <c r="F8321" t="s">
        <v>4139</v>
      </c>
    </row>
    <row r="8322" spans="1:6">
      <c r="A8322" t="s">
        <v>12451</v>
      </c>
      <c r="B8322" t="s">
        <v>2926</v>
      </c>
      <c r="C8322" t="s">
        <v>53</v>
      </c>
      <c r="D8322" s="1">
        <v>45725</v>
      </c>
      <c r="E8322" t="s">
        <v>4135</v>
      </c>
      <c r="F8322" t="s">
        <v>4137</v>
      </c>
    </row>
    <row r="8323" spans="1:6">
      <c r="A8323" t="s">
        <v>12452</v>
      </c>
      <c r="B8323" t="s">
        <v>2926</v>
      </c>
      <c r="C8323" t="s">
        <v>53</v>
      </c>
      <c r="D8323" s="1">
        <v>45739</v>
      </c>
      <c r="E8323" t="s">
        <v>4124</v>
      </c>
      <c r="F8323" t="s">
        <v>4137</v>
      </c>
    </row>
    <row r="8324" spans="1:6">
      <c r="A8324" t="s">
        <v>12453</v>
      </c>
      <c r="B8324" t="s">
        <v>2926</v>
      </c>
      <c r="C8324" t="s">
        <v>53</v>
      </c>
      <c r="D8324" s="1">
        <v>45729</v>
      </c>
      <c r="E8324" t="s">
        <v>4133</v>
      </c>
      <c r="F8324" t="s">
        <v>4125</v>
      </c>
    </row>
    <row r="8325" spans="1:6">
      <c r="A8325" t="s">
        <v>12454</v>
      </c>
      <c r="B8325" t="s">
        <v>2927</v>
      </c>
      <c r="C8325" t="s">
        <v>70</v>
      </c>
      <c r="D8325" s="1">
        <v>45883</v>
      </c>
      <c r="E8325" t="s">
        <v>4133</v>
      </c>
      <c r="F8325" t="s">
        <v>4137</v>
      </c>
    </row>
    <row r="8326" spans="1:6">
      <c r="A8326" t="s">
        <v>12455</v>
      </c>
      <c r="B8326" t="s">
        <v>2927</v>
      </c>
      <c r="C8326" t="s">
        <v>70</v>
      </c>
      <c r="D8326" s="1">
        <v>45887</v>
      </c>
      <c r="E8326" t="s">
        <v>4129</v>
      </c>
      <c r="F8326" t="s">
        <v>4137</v>
      </c>
    </row>
    <row r="8327" spans="1:6">
      <c r="A8327" t="s">
        <v>12456</v>
      </c>
      <c r="B8327" t="s">
        <v>2927</v>
      </c>
      <c r="C8327" t="s">
        <v>70</v>
      </c>
      <c r="D8327" s="1">
        <v>45883</v>
      </c>
      <c r="E8327" t="s">
        <v>4135</v>
      </c>
      <c r="F8327" t="s">
        <v>4137</v>
      </c>
    </row>
    <row r="8328" spans="1:6">
      <c r="A8328" t="s">
        <v>12457</v>
      </c>
      <c r="B8328" t="s">
        <v>2928</v>
      </c>
      <c r="C8328" t="s">
        <v>78</v>
      </c>
      <c r="D8328" s="1">
        <v>45748</v>
      </c>
      <c r="E8328" t="s">
        <v>4124</v>
      </c>
      <c r="F8328" t="s">
        <v>4125</v>
      </c>
    </row>
    <row r="8329" spans="1:6">
      <c r="A8329" t="s">
        <v>12458</v>
      </c>
      <c r="B8329" t="s">
        <v>2928</v>
      </c>
      <c r="C8329" t="s">
        <v>78</v>
      </c>
      <c r="D8329" s="1">
        <v>45720</v>
      </c>
      <c r="E8329" t="s">
        <v>4133</v>
      </c>
      <c r="F8329" t="s">
        <v>4137</v>
      </c>
    </row>
    <row r="8330" spans="1:6">
      <c r="A8330" t="s">
        <v>12459</v>
      </c>
      <c r="B8330" t="s">
        <v>2929</v>
      </c>
      <c r="C8330" t="s">
        <v>63</v>
      </c>
      <c r="D8330" s="1">
        <v>45704</v>
      </c>
      <c r="E8330" t="s">
        <v>4129</v>
      </c>
      <c r="F8330" t="s">
        <v>4139</v>
      </c>
    </row>
    <row r="8331" spans="1:6">
      <c r="A8331" t="s">
        <v>12460</v>
      </c>
      <c r="B8331" t="s">
        <v>2929</v>
      </c>
      <c r="C8331" t="s">
        <v>63</v>
      </c>
      <c r="D8331" s="1">
        <v>45703</v>
      </c>
      <c r="E8331" t="s">
        <v>4133</v>
      </c>
      <c r="F8331" t="s">
        <v>4125</v>
      </c>
    </row>
    <row r="8332" spans="1:6">
      <c r="A8332" t="s">
        <v>12461</v>
      </c>
      <c r="B8332" t="s">
        <v>2930</v>
      </c>
      <c r="C8332" t="s">
        <v>50</v>
      </c>
      <c r="D8332" s="1">
        <v>45808</v>
      </c>
      <c r="E8332" t="s">
        <v>4124</v>
      </c>
      <c r="F8332" t="s">
        <v>4125</v>
      </c>
    </row>
    <row r="8333" spans="1:6">
      <c r="A8333" t="s">
        <v>12462</v>
      </c>
      <c r="B8333" t="s">
        <v>2930</v>
      </c>
      <c r="C8333" t="s">
        <v>50</v>
      </c>
      <c r="D8333" s="1">
        <v>45794</v>
      </c>
      <c r="E8333" t="s">
        <v>4133</v>
      </c>
      <c r="F8333" t="s">
        <v>4125</v>
      </c>
    </row>
    <row r="8334" spans="1:6">
      <c r="A8334" t="s">
        <v>12463</v>
      </c>
      <c r="B8334" t="s">
        <v>2931</v>
      </c>
      <c r="C8334" t="s">
        <v>70</v>
      </c>
      <c r="D8334" s="1">
        <v>46012</v>
      </c>
      <c r="E8334" t="s">
        <v>4124</v>
      </c>
      <c r="F8334" t="s">
        <v>4125</v>
      </c>
    </row>
    <row r="8335" spans="1:6">
      <c r="A8335" t="s">
        <v>12464</v>
      </c>
      <c r="B8335" t="s">
        <v>2931</v>
      </c>
      <c r="C8335" t="s">
        <v>70</v>
      </c>
      <c r="D8335" s="1">
        <v>46009</v>
      </c>
      <c r="E8335" t="s">
        <v>4133</v>
      </c>
      <c r="F8335" t="s">
        <v>4139</v>
      </c>
    </row>
    <row r="8336" spans="1:6">
      <c r="A8336" t="s">
        <v>12465</v>
      </c>
      <c r="B8336" t="s">
        <v>2932</v>
      </c>
      <c r="C8336" t="s">
        <v>78</v>
      </c>
      <c r="D8336" s="1">
        <v>45974</v>
      </c>
      <c r="E8336" t="s">
        <v>4129</v>
      </c>
      <c r="F8336" t="s">
        <v>4125</v>
      </c>
    </row>
    <row r="8337" spans="1:6">
      <c r="A8337" t="s">
        <v>12466</v>
      </c>
      <c r="B8337" t="s">
        <v>2932</v>
      </c>
      <c r="C8337" t="s">
        <v>78</v>
      </c>
      <c r="D8337" s="1">
        <v>45974</v>
      </c>
      <c r="E8337" t="s">
        <v>4129</v>
      </c>
      <c r="F8337" t="s">
        <v>4139</v>
      </c>
    </row>
    <row r="8338" spans="1:6">
      <c r="A8338" t="s">
        <v>12467</v>
      </c>
      <c r="B8338" t="s">
        <v>2933</v>
      </c>
      <c r="C8338" t="s">
        <v>53</v>
      </c>
      <c r="D8338" s="1">
        <v>45824</v>
      </c>
      <c r="E8338" t="s">
        <v>4133</v>
      </c>
      <c r="F8338" t="s">
        <v>4139</v>
      </c>
    </row>
    <row r="8339" spans="1:6">
      <c r="A8339" t="s">
        <v>12468</v>
      </c>
      <c r="B8339" t="s">
        <v>2933</v>
      </c>
      <c r="C8339" t="s">
        <v>53</v>
      </c>
      <c r="D8339" s="1">
        <v>45817</v>
      </c>
      <c r="E8339" t="s">
        <v>4133</v>
      </c>
      <c r="F8339" t="s">
        <v>4139</v>
      </c>
    </row>
    <row r="8340" spans="1:6">
      <c r="A8340" t="s">
        <v>12469</v>
      </c>
      <c r="B8340" t="s">
        <v>2933</v>
      </c>
      <c r="C8340" t="s">
        <v>53</v>
      </c>
      <c r="D8340" s="1">
        <v>45798</v>
      </c>
      <c r="E8340" t="s">
        <v>4127</v>
      </c>
      <c r="F8340" t="s">
        <v>4139</v>
      </c>
    </row>
    <row r="8341" spans="1:6">
      <c r="A8341" t="s">
        <v>12470</v>
      </c>
      <c r="B8341" t="s">
        <v>2934</v>
      </c>
      <c r="C8341" t="s">
        <v>22</v>
      </c>
      <c r="D8341" s="1">
        <v>45744</v>
      </c>
      <c r="E8341" t="s">
        <v>4129</v>
      </c>
      <c r="F8341" t="s">
        <v>4137</v>
      </c>
    </row>
    <row r="8342" spans="1:6">
      <c r="A8342" t="s">
        <v>12471</v>
      </c>
      <c r="B8342" t="s">
        <v>2934</v>
      </c>
      <c r="C8342" t="s">
        <v>22</v>
      </c>
      <c r="D8342" s="1">
        <v>45786</v>
      </c>
      <c r="E8342" t="s">
        <v>4124</v>
      </c>
      <c r="F8342" t="s">
        <v>4137</v>
      </c>
    </row>
    <row r="8343" spans="1:6">
      <c r="A8343" t="s">
        <v>12472</v>
      </c>
      <c r="B8343" t="s">
        <v>2934</v>
      </c>
      <c r="C8343" t="s">
        <v>22</v>
      </c>
      <c r="D8343" s="1">
        <v>45738</v>
      </c>
      <c r="E8343" t="s">
        <v>4133</v>
      </c>
      <c r="F8343" t="s">
        <v>4125</v>
      </c>
    </row>
    <row r="8344" spans="1:6">
      <c r="A8344" t="s">
        <v>12473</v>
      </c>
      <c r="B8344" t="s">
        <v>2935</v>
      </c>
      <c r="C8344" t="s">
        <v>152</v>
      </c>
      <c r="D8344" s="1">
        <v>45917</v>
      </c>
      <c r="E8344" t="s">
        <v>4135</v>
      </c>
      <c r="F8344" t="s">
        <v>4137</v>
      </c>
    </row>
    <row r="8345" spans="1:6">
      <c r="A8345" t="s">
        <v>12474</v>
      </c>
      <c r="B8345" t="s">
        <v>2935</v>
      </c>
      <c r="C8345" t="s">
        <v>152</v>
      </c>
      <c r="D8345" s="1">
        <v>45924</v>
      </c>
      <c r="E8345" t="s">
        <v>4135</v>
      </c>
      <c r="F8345" t="s">
        <v>4137</v>
      </c>
    </row>
    <row r="8346" spans="1:6">
      <c r="A8346" t="s">
        <v>12475</v>
      </c>
      <c r="B8346" t="s">
        <v>2936</v>
      </c>
      <c r="C8346" t="s">
        <v>78</v>
      </c>
      <c r="D8346" s="1">
        <v>45753</v>
      </c>
      <c r="E8346" t="s">
        <v>4124</v>
      </c>
      <c r="F8346" t="s">
        <v>4125</v>
      </c>
    </row>
    <row r="8347" spans="1:6">
      <c r="A8347" t="s">
        <v>12476</v>
      </c>
      <c r="B8347" t="s">
        <v>2936</v>
      </c>
      <c r="C8347" t="s">
        <v>78</v>
      </c>
      <c r="D8347" s="1">
        <v>45754</v>
      </c>
      <c r="E8347" t="s">
        <v>4135</v>
      </c>
      <c r="F8347" t="s">
        <v>4125</v>
      </c>
    </row>
    <row r="8348" spans="1:6">
      <c r="A8348" t="s">
        <v>12477</v>
      </c>
      <c r="B8348" t="s">
        <v>2936</v>
      </c>
      <c r="C8348" t="s">
        <v>78</v>
      </c>
      <c r="D8348" s="1">
        <v>45778</v>
      </c>
      <c r="E8348" t="s">
        <v>4127</v>
      </c>
      <c r="F8348" t="s">
        <v>4137</v>
      </c>
    </row>
    <row r="8349" spans="1:6">
      <c r="A8349" t="s">
        <v>12478</v>
      </c>
      <c r="B8349" t="s">
        <v>2936</v>
      </c>
      <c r="C8349" t="s">
        <v>78</v>
      </c>
      <c r="D8349" s="1">
        <v>45757</v>
      </c>
      <c r="E8349" t="s">
        <v>4127</v>
      </c>
      <c r="F8349" t="s">
        <v>4137</v>
      </c>
    </row>
    <row r="8350" spans="1:6">
      <c r="A8350" t="s">
        <v>12479</v>
      </c>
      <c r="B8350" t="s">
        <v>2937</v>
      </c>
      <c r="C8350" t="s">
        <v>70</v>
      </c>
      <c r="D8350" s="1">
        <v>45787</v>
      </c>
      <c r="E8350" t="s">
        <v>4129</v>
      </c>
      <c r="F8350" t="s">
        <v>4137</v>
      </c>
    </row>
    <row r="8351" spans="1:6">
      <c r="A8351" t="s">
        <v>12480</v>
      </c>
      <c r="B8351" t="s">
        <v>2937</v>
      </c>
      <c r="C8351" t="s">
        <v>70</v>
      </c>
      <c r="D8351" s="1">
        <v>45782</v>
      </c>
      <c r="E8351" t="s">
        <v>4127</v>
      </c>
      <c r="F8351" t="s">
        <v>4139</v>
      </c>
    </row>
    <row r="8352" spans="1:6">
      <c r="A8352" t="s">
        <v>12481</v>
      </c>
      <c r="B8352" t="s">
        <v>2937</v>
      </c>
      <c r="C8352" t="s">
        <v>70</v>
      </c>
      <c r="D8352" s="1">
        <v>45784</v>
      </c>
      <c r="E8352" t="s">
        <v>4129</v>
      </c>
      <c r="F8352" t="s">
        <v>4125</v>
      </c>
    </row>
    <row r="8353" spans="1:6">
      <c r="A8353" t="s">
        <v>12482</v>
      </c>
      <c r="B8353" t="s">
        <v>2937</v>
      </c>
      <c r="C8353" t="s">
        <v>70</v>
      </c>
      <c r="D8353" s="1">
        <v>45786</v>
      </c>
      <c r="E8353" t="s">
        <v>4127</v>
      </c>
      <c r="F8353" t="s">
        <v>4139</v>
      </c>
    </row>
    <row r="8354" spans="1:6">
      <c r="A8354" t="s">
        <v>12483</v>
      </c>
      <c r="B8354" t="s">
        <v>2937</v>
      </c>
      <c r="C8354" t="s">
        <v>70</v>
      </c>
      <c r="D8354" s="1">
        <v>45783</v>
      </c>
      <c r="E8354" t="s">
        <v>4135</v>
      </c>
      <c r="F8354" t="s">
        <v>4137</v>
      </c>
    </row>
    <row r="8355" spans="1:6">
      <c r="A8355" t="s">
        <v>12484</v>
      </c>
      <c r="B8355" t="s">
        <v>2938</v>
      </c>
      <c r="C8355" t="s">
        <v>50</v>
      </c>
      <c r="D8355" s="1">
        <v>45777</v>
      </c>
      <c r="E8355" t="s">
        <v>4135</v>
      </c>
      <c r="F8355" t="s">
        <v>4139</v>
      </c>
    </row>
    <row r="8356" spans="1:6">
      <c r="A8356" t="s">
        <v>12485</v>
      </c>
      <c r="B8356" t="s">
        <v>2938</v>
      </c>
      <c r="C8356" t="s">
        <v>50</v>
      </c>
      <c r="D8356" s="1">
        <v>45785</v>
      </c>
      <c r="E8356" t="s">
        <v>4135</v>
      </c>
      <c r="F8356" t="s">
        <v>4137</v>
      </c>
    </row>
    <row r="8357" spans="1:6">
      <c r="A8357" t="s">
        <v>12486</v>
      </c>
      <c r="B8357" t="s">
        <v>2938</v>
      </c>
      <c r="C8357" t="s">
        <v>50</v>
      </c>
      <c r="D8357" s="1">
        <v>45777</v>
      </c>
      <c r="E8357" t="s">
        <v>4133</v>
      </c>
      <c r="F8357" t="s">
        <v>4125</v>
      </c>
    </row>
    <row r="8358" spans="1:6">
      <c r="A8358" t="s">
        <v>12487</v>
      </c>
      <c r="B8358" t="s">
        <v>2938</v>
      </c>
      <c r="C8358" t="s">
        <v>50</v>
      </c>
      <c r="D8358" s="1">
        <v>45781</v>
      </c>
      <c r="E8358" t="s">
        <v>4129</v>
      </c>
      <c r="F8358" t="s">
        <v>4137</v>
      </c>
    </row>
    <row r="8359" spans="1:6">
      <c r="A8359" t="s">
        <v>12488</v>
      </c>
      <c r="B8359" t="s">
        <v>2939</v>
      </c>
      <c r="C8359" t="s">
        <v>32</v>
      </c>
      <c r="D8359" s="1">
        <v>45964</v>
      </c>
      <c r="E8359" t="s">
        <v>4135</v>
      </c>
      <c r="F8359" t="s">
        <v>4137</v>
      </c>
    </row>
    <row r="8360" spans="1:6">
      <c r="A8360" t="s">
        <v>12489</v>
      </c>
      <c r="B8360" t="s">
        <v>2939</v>
      </c>
      <c r="C8360" t="s">
        <v>32</v>
      </c>
      <c r="D8360" s="1">
        <v>45953</v>
      </c>
      <c r="E8360" t="s">
        <v>4133</v>
      </c>
      <c r="F8360" t="s">
        <v>4137</v>
      </c>
    </row>
    <row r="8361" spans="1:6">
      <c r="A8361" t="s">
        <v>12490</v>
      </c>
      <c r="B8361" t="s">
        <v>2939</v>
      </c>
      <c r="C8361" t="s">
        <v>32</v>
      </c>
      <c r="D8361" s="1">
        <v>45997</v>
      </c>
      <c r="E8361" t="s">
        <v>4127</v>
      </c>
      <c r="F8361" t="s">
        <v>4125</v>
      </c>
    </row>
    <row r="8362" spans="1:6">
      <c r="A8362" t="s">
        <v>12491</v>
      </c>
      <c r="B8362" t="s">
        <v>2939</v>
      </c>
      <c r="C8362" t="s">
        <v>32</v>
      </c>
      <c r="D8362" s="1">
        <v>45972</v>
      </c>
      <c r="E8362" t="s">
        <v>4127</v>
      </c>
      <c r="F8362" t="s">
        <v>4125</v>
      </c>
    </row>
    <row r="8363" spans="1:6">
      <c r="A8363" t="s">
        <v>12492</v>
      </c>
      <c r="B8363" t="s">
        <v>2939</v>
      </c>
      <c r="C8363" t="s">
        <v>32</v>
      </c>
      <c r="D8363" s="1">
        <v>45985</v>
      </c>
      <c r="E8363" t="s">
        <v>4133</v>
      </c>
      <c r="F8363" t="s">
        <v>4137</v>
      </c>
    </row>
    <row r="8364" spans="1:6">
      <c r="A8364" t="s">
        <v>12493</v>
      </c>
      <c r="B8364" t="s">
        <v>2940</v>
      </c>
      <c r="C8364" t="s">
        <v>168</v>
      </c>
      <c r="D8364" s="1">
        <v>45973</v>
      </c>
      <c r="E8364" t="s">
        <v>4127</v>
      </c>
      <c r="F8364" t="s">
        <v>4125</v>
      </c>
    </row>
    <row r="8365" spans="1:6">
      <c r="A8365" t="s">
        <v>12494</v>
      </c>
      <c r="B8365" t="s">
        <v>2940</v>
      </c>
      <c r="C8365" t="s">
        <v>168</v>
      </c>
      <c r="D8365" s="1">
        <v>45976</v>
      </c>
      <c r="E8365" t="s">
        <v>4129</v>
      </c>
      <c r="F8365" t="s">
        <v>4137</v>
      </c>
    </row>
    <row r="8366" spans="1:6">
      <c r="A8366" t="s">
        <v>12495</v>
      </c>
      <c r="B8366" t="s">
        <v>2940</v>
      </c>
      <c r="C8366" t="s">
        <v>168</v>
      </c>
      <c r="D8366" s="1">
        <v>45982</v>
      </c>
      <c r="E8366" t="s">
        <v>4135</v>
      </c>
      <c r="F8366" t="s">
        <v>4125</v>
      </c>
    </row>
    <row r="8367" spans="1:6">
      <c r="A8367" t="s">
        <v>12496</v>
      </c>
      <c r="B8367" t="s">
        <v>2940</v>
      </c>
      <c r="C8367" t="s">
        <v>168</v>
      </c>
      <c r="D8367" s="1">
        <v>45974</v>
      </c>
      <c r="E8367" t="s">
        <v>4124</v>
      </c>
      <c r="F8367" t="s">
        <v>4139</v>
      </c>
    </row>
    <row r="8368" spans="1:6">
      <c r="A8368" t="s">
        <v>12497</v>
      </c>
      <c r="B8368" t="s">
        <v>2940</v>
      </c>
      <c r="C8368" t="s">
        <v>168</v>
      </c>
      <c r="D8368" s="1">
        <v>45983</v>
      </c>
      <c r="E8368" t="s">
        <v>4124</v>
      </c>
      <c r="F8368" t="s">
        <v>4139</v>
      </c>
    </row>
    <row r="8369" spans="1:6">
      <c r="A8369" t="s">
        <v>12498</v>
      </c>
      <c r="B8369" t="s">
        <v>2941</v>
      </c>
      <c r="C8369" t="s">
        <v>152</v>
      </c>
      <c r="D8369" s="1">
        <v>45939</v>
      </c>
      <c r="E8369" t="s">
        <v>4129</v>
      </c>
      <c r="F8369" t="s">
        <v>4139</v>
      </c>
    </row>
    <row r="8370" spans="1:6">
      <c r="A8370" t="s">
        <v>12499</v>
      </c>
      <c r="B8370" t="s">
        <v>2941</v>
      </c>
      <c r="C8370" t="s">
        <v>152</v>
      </c>
      <c r="D8370" s="1">
        <v>45925</v>
      </c>
      <c r="E8370" t="s">
        <v>4124</v>
      </c>
      <c r="F8370" t="s">
        <v>4139</v>
      </c>
    </row>
    <row r="8371" spans="1:6">
      <c r="A8371" t="s">
        <v>12500</v>
      </c>
      <c r="B8371" t="s">
        <v>2941</v>
      </c>
      <c r="C8371" t="s">
        <v>152</v>
      </c>
      <c r="D8371" s="1">
        <v>45929</v>
      </c>
      <c r="E8371" t="s">
        <v>4133</v>
      </c>
      <c r="F8371" t="s">
        <v>4137</v>
      </c>
    </row>
    <row r="8372" spans="1:6">
      <c r="A8372" t="s">
        <v>12501</v>
      </c>
      <c r="B8372" t="s">
        <v>2941</v>
      </c>
      <c r="C8372" t="s">
        <v>152</v>
      </c>
      <c r="D8372" s="1">
        <v>45946</v>
      </c>
      <c r="E8372" t="s">
        <v>4127</v>
      </c>
      <c r="F8372" t="s">
        <v>4139</v>
      </c>
    </row>
    <row r="8373" spans="1:6">
      <c r="A8373" t="s">
        <v>12502</v>
      </c>
      <c r="B8373" t="s">
        <v>2942</v>
      </c>
      <c r="C8373" t="s">
        <v>40</v>
      </c>
      <c r="D8373" s="1">
        <v>45795</v>
      </c>
      <c r="E8373" t="s">
        <v>4124</v>
      </c>
      <c r="F8373" t="s">
        <v>4137</v>
      </c>
    </row>
    <row r="8374" spans="1:6">
      <c r="A8374" t="s">
        <v>12503</v>
      </c>
      <c r="B8374" t="s">
        <v>2942</v>
      </c>
      <c r="C8374" t="s">
        <v>40</v>
      </c>
      <c r="D8374" s="1">
        <v>45802</v>
      </c>
      <c r="E8374" t="s">
        <v>4124</v>
      </c>
      <c r="F8374" t="s">
        <v>4125</v>
      </c>
    </row>
    <row r="8375" spans="1:6">
      <c r="A8375" t="s">
        <v>12504</v>
      </c>
      <c r="B8375" t="s">
        <v>2943</v>
      </c>
      <c r="C8375" t="s">
        <v>22</v>
      </c>
      <c r="D8375" s="1">
        <v>45776</v>
      </c>
      <c r="E8375" t="s">
        <v>4135</v>
      </c>
      <c r="F8375" t="s">
        <v>4125</v>
      </c>
    </row>
    <row r="8376" spans="1:6">
      <c r="A8376" t="s">
        <v>12505</v>
      </c>
      <c r="B8376" t="s">
        <v>2943</v>
      </c>
      <c r="C8376" t="s">
        <v>22</v>
      </c>
      <c r="D8376" s="1">
        <v>45771</v>
      </c>
      <c r="E8376" t="s">
        <v>4129</v>
      </c>
      <c r="F8376" t="s">
        <v>4125</v>
      </c>
    </row>
    <row r="8377" spans="1:6">
      <c r="A8377" t="s">
        <v>12506</v>
      </c>
      <c r="B8377" t="s">
        <v>2944</v>
      </c>
      <c r="C8377" t="s">
        <v>46</v>
      </c>
      <c r="D8377" s="1">
        <v>45760</v>
      </c>
      <c r="E8377" t="s">
        <v>4124</v>
      </c>
      <c r="F8377" t="s">
        <v>4137</v>
      </c>
    </row>
    <row r="8378" spans="1:6">
      <c r="A8378" t="s">
        <v>12507</v>
      </c>
      <c r="B8378" t="s">
        <v>2944</v>
      </c>
      <c r="C8378" t="s">
        <v>46</v>
      </c>
      <c r="D8378" s="1">
        <v>45765</v>
      </c>
      <c r="E8378" t="s">
        <v>4127</v>
      </c>
      <c r="F8378" t="s">
        <v>4137</v>
      </c>
    </row>
    <row r="8379" spans="1:6">
      <c r="A8379" t="s">
        <v>12508</v>
      </c>
      <c r="B8379" t="s">
        <v>2944</v>
      </c>
      <c r="C8379" t="s">
        <v>46</v>
      </c>
      <c r="D8379" s="1">
        <v>45755</v>
      </c>
      <c r="E8379" t="s">
        <v>4135</v>
      </c>
      <c r="F8379" t="s">
        <v>4125</v>
      </c>
    </row>
    <row r="8380" spans="1:6">
      <c r="A8380" t="s">
        <v>12509</v>
      </c>
      <c r="B8380" t="s">
        <v>2944</v>
      </c>
      <c r="C8380" t="s">
        <v>46</v>
      </c>
      <c r="D8380" s="1">
        <v>45768</v>
      </c>
      <c r="E8380" t="s">
        <v>4124</v>
      </c>
      <c r="F8380" t="s">
        <v>4139</v>
      </c>
    </row>
    <row r="8381" spans="1:6">
      <c r="A8381" t="s">
        <v>12510</v>
      </c>
      <c r="B8381" t="s">
        <v>2945</v>
      </c>
      <c r="C8381" t="s">
        <v>168</v>
      </c>
      <c r="D8381" s="1">
        <v>45688</v>
      </c>
      <c r="E8381" t="s">
        <v>4133</v>
      </c>
      <c r="F8381" t="s">
        <v>4139</v>
      </c>
    </row>
    <row r="8382" spans="1:6">
      <c r="A8382" t="s">
        <v>12511</v>
      </c>
      <c r="B8382" t="s">
        <v>2945</v>
      </c>
      <c r="C8382" t="s">
        <v>168</v>
      </c>
      <c r="D8382" s="1">
        <v>45697</v>
      </c>
      <c r="E8382" t="s">
        <v>4133</v>
      </c>
      <c r="F8382" t="s">
        <v>4137</v>
      </c>
    </row>
    <row r="8383" spans="1:6">
      <c r="A8383" t="s">
        <v>12512</v>
      </c>
      <c r="B8383" t="s">
        <v>2945</v>
      </c>
      <c r="C8383" t="s">
        <v>168</v>
      </c>
      <c r="D8383" s="1">
        <v>45668</v>
      </c>
      <c r="E8383" t="s">
        <v>4129</v>
      </c>
      <c r="F8383" t="s">
        <v>4125</v>
      </c>
    </row>
    <row r="8384" spans="1:6">
      <c r="A8384" t="s">
        <v>12513</v>
      </c>
      <c r="B8384" t="s">
        <v>2946</v>
      </c>
      <c r="C8384" t="s">
        <v>70</v>
      </c>
      <c r="D8384" s="1">
        <v>45881</v>
      </c>
      <c r="E8384" t="s">
        <v>4124</v>
      </c>
      <c r="F8384" t="s">
        <v>4125</v>
      </c>
    </row>
    <row r="8385" spans="1:6">
      <c r="A8385" t="s">
        <v>12514</v>
      </c>
      <c r="B8385" t="s">
        <v>2946</v>
      </c>
      <c r="C8385" t="s">
        <v>70</v>
      </c>
      <c r="D8385" s="1">
        <v>45891</v>
      </c>
      <c r="E8385" t="s">
        <v>4129</v>
      </c>
      <c r="F8385" t="s">
        <v>4125</v>
      </c>
    </row>
    <row r="8386" spans="1:6">
      <c r="A8386" t="s">
        <v>12515</v>
      </c>
      <c r="B8386" t="s">
        <v>2947</v>
      </c>
      <c r="C8386" t="s">
        <v>126</v>
      </c>
      <c r="D8386" s="1">
        <v>45756</v>
      </c>
      <c r="E8386" t="s">
        <v>4129</v>
      </c>
      <c r="F8386" t="s">
        <v>4137</v>
      </c>
    </row>
    <row r="8387" spans="1:6">
      <c r="A8387" t="s">
        <v>12516</v>
      </c>
      <c r="B8387" t="s">
        <v>2947</v>
      </c>
      <c r="C8387" t="s">
        <v>126</v>
      </c>
      <c r="D8387" s="1">
        <v>45757</v>
      </c>
      <c r="E8387" t="s">
        <v>4133</v>
      </c>
      <c r="F8387" t="s">
        <v>4139</v>
      </c>
    </row>
    <row r="8388" spans="1:6">
      <c r="A8388" t="s">
        <v>12517</v>
      </c>
      <c r="B8388" t="s">
        <v>2947</v>
      </c>
      <c r="C8388" t="s">
        <v>126</v>
      </c>
      <c r="D8388" s="1">
        <v>45725</v>
      </c>
      <c r="E8388" t="s">
        <v>4124</v>
      </c>
      <c r="F8388" t="s">
        <v>4125</v>
      </c>
    </row>
    <row r="8389" spans="1:6">
      <c r="A8389" t="s">
        <v>12518</v>
      </c>
      <c r="B8389" t="s">
        <v>2948</v>
      </c>
      <c r="C8389" t="s">
        <v>27</v>
      </c>
      <c r="D8389" s="1">
        <v>45881</v>
      </c>
      <c r="E8389" t="s">
        <v>4127</v>
      </c>
      <c r="F8389" t="s">
        <v>4139</v>
      </c>
    </row>
    <row r="8390" spans="1:6">
      <c r="A8390" t="s">
        <v>12519</v>
      </c>
      <c r="B8390" t="s">
        <v>2948</v>
      </c>
      <c r="C8390" t="s">
        <v>27</v>
      </c>
      <c r="D8390" s="1">
        <v>45850</v>
      </c>
      <c r="E8390" t="s">
        <v>4135</v>
      </c>
      <c r="F8390" t="s">
        <v>4137</v>
      </c>
    </row>
    <row r="8391" spans="1:6">
      <c r="A8391" t="s">
        <v>12520</v>
      </c>
      <c r="B8391" t="s">
        <v>2948</v>
      </c>
      <c r="C8391" t="s">
        <v>27</v>
      </c>
      <c r="D8391" s="1">
        <v>45852</v>
      </c>
      <c r="E8391" t="s">
        <v>4129</v>
      </c>
      <c r="F8391" t="s">
        <v>4125</v>
      </c>
    </row>
    <row r="8392" spans="1:6">
      <c r="A8392" t="s">
        <v>12521</v>
      </c>
      <c r="B8392" t="s">
        <v>2948</v>
      </c>
      <c r="C8392" t="s">
        <v>27</v>
      </c>
      <c r="D8392" s="1">
        <v>45876</v>
      </c>
      <c r="E8392" t="s">
        <v>4129</v>
      </c>
      <c r="F8392" t="s">
        <v>4125</v>
      </c>
    </row>
    <row r="8393" spans="1:6">
      <c r="A8393" t="s">
        <v>12522</v>
      </c>
      <c r="B8393" t="s">
        <v>2948</v>
      </c>
      <c r="C8393" t="s">
        <v>27</v>
      </c>
      <c r="D8393" s="1">
        <v>45885</v>
      </c>
      <c r="E8393" t="s">
        <v>4133</v>
      </c>
      <c r="F8393" t="s">
        <v>4125</v>
      </c>
    </row>
    <row r="8394" spans="1:6">
      <c r="A8394" t="s">
        <v>12523</v>
      </c>
      <c r="B8394" t="s">
        <v>2949</v>
      </c>
      <c r="C8394" t="s">
        <v>56</v>
      </c>
      <c r="D8394" s="1">
        <v>45930</v>
      </c>
      <c r="E8394" t="s">
        <v>4133</v>
      </c>
      <c r="F8394" t="s">
        <v>4137</v>
      </c>
    </row>
    <row r="8395" spans="1:6">
      <c r="A8395" t="s">
        <v>12524</v>
      </c>
      <c r="B8395" t="s">
        <v>2949</v>
      </c>
      <c r="C8395" t="s">
        <v>56</v>
      </c>
      <c r="D8395" s="1">
        <v>45932</v>
      </c>
      <c r="E8395" t="s">
        <v>4135</v>
      </c>
      <c r="F8395" t="s">
        <v>4139</v>
      </c>
    </row>
    <row r="8396" spans="1:6">
      <c r="A8396" t="s">
        <v>12525</v>
      </c>
      <c r="B8396" t="s">
        <v>2950</v>
      </c>
      <c r="C8396" t="s">
        <v>27</v>
      </c>
      <c r="D8396" s="1">
        <v>45799</v>
      </c>
      <c r="E8396" t="s">
        <v>4127</v>
      </c>
      <c r="F8396" t="s">
        <v>4139</v>
      </c>
    </row>
    <row r="8397" spans="1:6">
      <c r="A8397" t="s">
        <v>12526</v>
      </c>
      <c r="B8397" t="s">
        <v>2950</v>
      </c>
      <c r="C8397" t="s">
        <v>27</v>
      </c>
      <c r="D8397" s="1">
        <v>45834</v>
      </c>
      <c r="E8397" t="s">
        <v>4124</v>
      </c>
      <c r="F8397" t="s">
        <v>4139</v>
      </c>
    </row>
    <row r="8398" spans="1:6">
      <c r="A8398" t="s">
        <v>12527</v>
      </c>
      <c r="B8398" t="s">
        <v>2950</v>
      </c>
      <c r="C8398" t="s">
        <v>27</v>
      </c>
      <c r="D8398" s="1">
        <v>45832</v>
      </c>
      <c r="E8398" t="s">
        <v>4133</v>
      </c>
      <c r="F8398" t="s">
        <v>4139</v>
      </c>
    </row>
    <row r="8399" spans="1:6">
      <c r="A8399" t="s">
        <v>12528</v>
      </c>
      <c r="B8399" t="s">
        <v>2950</v>
      </c>
      <c r="C8399" t="s">
        <v>27</v>
      </c>
      <c r="D8399" s="1">
        <v>45794</v>
      </c>
      <c r="E8399" t="s">
        <v>4124</v>
      </c>
      <c r="F8399" t="s">
        <v>4125</v>
      </c>
    </row>
    <row r="8400" spans="1:6">
      <c r="A8400" t="s">
        <v>12529</v>
      </c>
      <c r="B8400" t="s">
        <v>2951</v>
      </c>
      <c r="C8400" t="s">
        <v>32</v>
      </c>
      <c r="D8400" s="1">
        <v>45909</v>
      </c>
      <c r="E8400" t="s">
        <v>4135</v>
      </c>
      <c r="F8400" t="s">
        <v>4125</v>
      </c>
    </row>
    <row r="8401" spans="1:6">
      <c r="A8401" t="s">
        <v>12530</v>
      </c>
      <c r="B8401" t="s">
        <v>2951</v>
      </c>
      <c r="C8401" t="s">
        <v>32</v>
      </c>
      <c r="D8401" s="1">
        <v>45909</v>
      </c>
      <c r="E8401" t="s">
        <v>4135</v>
      </c>
      <c r="F8401" t="s">
        <v>4139</v>
      </c>
    </row>
    <row r="8402" spans="1:6">
      <c r="A8402" t="s">
        <v>12531</v>
      </c>
      <c r="B8402" t="s">
        <v>2952</v>
      </c>
      <c r="C8402" t="s">
        <v>36</v>
      </c>
      <c r="D8402" s="1">
        <v>45956</v>
      </c>
      <c r="E8402" t="s">
        <v>4129</v>
      </c>
      <c r="F8402" t="s">
        <v>4139</v>
      </c>
    </row>
    <row r="8403" spans="1:6">
      <c r="A8403" t="s">
        <v>12532</v>
      </c>
      <c r="B8403" t="s">
        <v>2952</v>
      </c>
      <c r="C8403" t="s">
        <v>36</v>
      </c>
      <c r="D8403" s="1">
        <v>45984</v>
      </c>
      <c r="E8403" t="s">
        <v>4133</v>
      </c>
      <c r="F8403" t="s">
        <v>4139</v>
      </c>
    </row>
    <row r="8404" spans="1:6">
      <c r="A8404" t="s">
        <v>12533</v>
      </c>
      <c r="B8404" t="s">
        <v>2952</v>
      </c>
      <c r="C8404" t="s">
        <v>36</v>
      </c>
      <c r="D8404" s="1">
        <v>45982</v>
      </c>
      <c r="E8404" t="s">
        <v>4124</v>
      </c>
      <c r="F8404" t="s">
        <v>4137</v>
      </c>
    </row>
    <row r="8405" spans="1:6">
      <c r="A8405" t="s">
        <v>12534</v>
      </c>
      <c r="B8405" t="s">
        <v>2953</v>
      </c>
      <c r="C8405" t="s">
        <v>50</v>
      </c>
      <c r="D8405" s="1">
        <v>45732</v>
      </c>
      <c r="E8405" t="s">
        <v>4127</v>
      </c>
      <c r="F8405" t="s">
        <v>4137</v>
      </c>
    </row>
    <row r="8406" spans="1:6">
      <c r="A8406" t="s">
        <v>12535</v>
      </c>
      <c r="B8406" t="s">
        <v>2953</v>
      </c>
      <c r="C8406" t="s">
        <v>50</v>
      </c>
      <c r="D8406" s="1">
        <v>45704</v>
      </c>
      <c r="E8406" t="s">
        <v>4135</v>
      </c>
      <c r="F8406" t="s">
        <v>4139</v>
      </c>
    </row>
    <row r="8407" spans="1:6">
      <c r="A8407" t="s">
        <v>12536</v>
      </c>
      <c r="B8407" t="s">
        <v>2953</v>
      </c>
      <c r="C8407" t="s">
        <v>50</v>
      </c>
      <c r="D8407" s="1">
        <v>45712</v>
      </c>
      <c r="E8407" t="s">
        <v>4135</v>
      </c>
      <c r="F8407" t="s">
        <v>4139</v>
      </c>
    </row>
    <row r="8408" spans="1:6">
      <c r="A8408" t="s">
        <v>12537</v>
      </c>
      <c r="B8408" t="s">
        <v>2953</v>
      </c>
      <c r="C8408" t="s">
        <v>50</v>
      </c>
      <c r="D8408" s="1">
        <v>45712</v>
      </c>
      <c r="E8408" t="s">
        <v>4133</v>
      </c>
      <c r="F8408" t="s">
        <v>4137</v>
      </c>
    </row>
    <row r="8409" spans="1:6">
      <c r="A8409" t="s">
        <v>12538</v>
      </c>
      <c r="B8409" t="s">
        <v>2954</v>
      </c>
      <c r="C8409" t="s">
        <v>36</v>
      </c>
      <c r="D8409" s="1">
        <v>45671</v>
      </c>
      <c r="E8409" t="s">
        <v>4129</v>
      </c>
      <c r="F8409" t="s">
        <v>4137</v>
      </c>
    </row>
    <row r="8410" spans="1:6">
      <c r="A8410" t="s">
        <v>12539</v>
      </c>
      <c r="B8410" t="s">
        <v>2954</v>
      </c>
      <c r="C8410" t="s">
        <v>36</v>
      </c>
      <c r="D8410" s="1">
        <v>45676</v>
      </c>
      <c r="E8410" t="s">
        <v>4133</v>
      </c>
      <c r="F8410" t="s">
        <v>4137</v>
      </c>
    </row>
    <row r="8411" spans="1:6">
      <c r="A8411" t="s">
        <v>12540</v>
      </c>
      <c r="B8411" t="s">
        <v>2955</v>
      </c>
      <c r="C8411" t="s">
        <v>16</v>
      </c>
      <c r="D8411" s="1">
        <v>45717</v>
      </c>
      <c r="E8411" t="s">
        <v>4129</v>
      </c>
      <c r="F8411" t="s">
        <v>4137</v>
      </c>
    </row>
    <row r="8412" spans="1:6">
      <c r="A8412" t="s">
        <v>12541</v>
      </c>
      <c r="B8412" t="s">
        <v>2955</v>
      </c>
      <c r="C8412" t="s">
        <v>16</v>
      </c>
      <c r="D8412" s="1">
        <v>45724</v>
      </c>
      <c r="E8412" t="s">
        <v>4133</v>
      </c>
      <c r="F8412" t="s">
        <v>4139</v>
      </c>
    </row>
    <row r="8413" spans="1:6">
      <c r="A8413" t="s">
        <v>12542</v>
      </c>
      <c r="B8413" t="s">
        <v>2956</v>
      </c>
      <c r="C8413" t="s">
        <v>22</v>
      </c>
      <c r="D8413" s="1">
        <v>45970</v>
      </c>
      <c r="E8413" t="s">
        <v>4135</v>
      </c>
      <c r="F8413" t="s">
        <v>4125</v>
      </c>
    </row>
    <row r="8414" spans="1:6">
      <c r="A8414" t="s">
        <v>12543</v>
      </c>
      <c r="B8414" t="s">
        <v>2956</v>
      </c>
      <c r="C8414" t="s">
        <v>22</v>
      </c>
      <c r="D8414" s="1">
        <v>45986</v>
      </c>
      <c r="E8414" t="s">
        <v>4133</v>
      </c>
      <c r="F8414" t="s">
        <v>4139</v>
      </c>
    </row>
    <row r="8415" spans="1:6">
      <c r="A8415" t="s">
        <v>12544</v>
      </c>
      <c r="B8415" t="s">
        <v>2956</v>
      </c>
      <c r="C8415" t="s">
        <v>22</v>
      </c>
      <c r="D8415" s="1">
        <v>45972</v>
      </c>
      <c r="E8415" t="s">
        <v>4124</v>
      </c>
      <c r="F8415" t="s">
        <v>4139</v>
      </c>
    </row>
    <row r="8416" spans="1:6">
      <c r="A8416" t="s">
        <v>12545</v>
      </c>
      <c r="B8416" t="s">
        <v>2957</v>
      </c>
      <c r="C8416" t="s">
        <v>56</v>
      </c>
      <c r="D8416" s="1">
        <v>46000</v>
      </c>
      <c r="E8416" t="s">
        <v>4124</v>
      </c>
      <c r="F8416" t="s">
        <v>4125</v>
      </c>
    </row>
    <row r="8417" spans="1:6">
      <c r="A8417" t="s">
        <v>12546</v>
      </c>
      <c r="B8417" t="s">
        <v>2957</v>
      </c>
      <c r="C8417" t="s">
        <v>56</v>
      </c>
      <c r="D8417" s="1">
        <v>46004</v>
      </c>
      <c r="E8417" t="s">
        <v>4133</v>
      </c>
      <c r="F8417" t="s">
        <v>4125</v>
      </c>
    </row>
    <row r="8418" spans="1:6">
      <c r="A8418" t="s">
        <v>12547</v>
      </c>
      <c r="B8418" t="s">
        <v>2958</v>
      </c>
      <c r="C8418" t="s">
        <v>27</v>
      </c>
      <c r="D8418" s="1">
        <v>45896</v>
      </c>
      <c r="E8418" t="s">
        <v>4124</v>
      </c>
      <c r="F8418" t="s">
        <v>4125</v>
      </c>
    </row>
    <row r="8419" spans="1:6">
      <c r="A8419" t="s">
        <v>12548</v>
      </c>
      <c r="B8419" t="s">
        <v>2958</v>
      </c>
      <c r="C8419" t="s">
        <v>27</v>
      </c>
      <c r="D8419" s="1">
        <v>45922</v>
      </c>
      <c r="E8419" t="s">
        <v>4127</v>
      </c>
      <c r="F8419" t="s">
        <v>4139</v>
      </c>
    </row>
    <row r="8420" spans="1:6">
      <c r="A8420" t="s">
        <v>12549</v>
      </c>
      <c r="B8420" t="s">
        <v>2959</v>
      </c>
      <c r="C8420" t="s">
        <v>91</v>
      </c>
      <c r="D8420" s="1">
        <v>45675</v>
      </c>
      <c r="E8420" t="s">
        <v>4133</v>
      </c>
      <c r="F8420" t="s">
        <v>4137</v>
      </c>
    </row>
    <row r="8421" spans="1:6">
      <c r="A8421" t="s">
        <v>12550</v>
      </c>
      <c r="B8421" t="s">
        <v>2959</v>
      </c>
      <c r="C8421" t="s">
        <v>91</v>
      </c>
      <c r="D8421" s="1">
        <v>45724</v>
      </c>
      <c r="E8421" t="s">
        <v>4129</v>
      </c>
      <c r="F8421" t="s">
        <v>4137</v>
      </c>
    </row>
    <row r="8422" spans="1:6">
      <c r="A8422" t="s">
        <v>12551</v>
      </c>
      <c r="B8422" t="s">
        <v>2959</v>
      </c>
      <c r="C8422" t="s">
        <v>91</v>
      </c>
      <c r="D8422" s="1">
        <v>45695</v>
      </c>
      <c r="E8422" t="s">
        <v>4133</v>
      </c>
      <c r="F8422" t="s">
        <v>4137</v>
      </c>
    </row>
    <row r="8423" spans="1:6">
      <c r="A8423" t="s">
        <v>12552</v>
      </c>
      <c r="B8423" t="s">
        <v>2959</v>
      </c>
      <c r="C8423" t="s">
        <v>91</v>
      </c>
      <c r="D8423" s="1">
        <v>45686</v>
      </c>
      <c r="E8423" t="s">
        <v>4133</v>
      </c>
      <c r="F8423" t="s">
        <v>4137</v>
      </c>
    </row>
    <row r="8424" spans="1:6">
      <c r="A8424" t="s">
        <v>12553</v>
      </c>
      <c r="B8424" t="s">
        <v>2960</v>
      </c>
      <c r="C8424" t="s">
        <v>91</v>
      </c>
      <c r="D8424" s="1">
        <v>45715</v>
      </c>
      <c r="E8424" t="s">
        <v>4133</v>
      </c>
      <c r="F8424" t="s">
        <v>4125</v>
      </c>
    </row>
    <row r="8425" spans="1:6">
      <c r="A8425" t="s">
        <v>12554</v>
      </c>
      <c r="B8425" t="s">
        <v>2960</v>
      </c>
      <c r="C8425" t="s">
        <v>91</v>
      </c>
      <c r="D8425" s="1">
        <v>45713</v>
      </c>
      <c r="E8425" t="s">
        <v>4127</v>
      </c>
      <c r="F8425" t="s">
        <v>4139</v>
      </c>
    </row>
    <row r="8426" spans="1:6">
      <c r="A8426" t="s">
        <v>12555</v>
      </c>
      <c r="B8426" t="s">
        <v>2960</v>
      </c>
      <c r="C8426" t="s">
        <v>91</v>
      </c>
      <c r="D8426" s="1">
        <v>45724</v>
      </c>
      <c r="E8426" t="s">
        <v>4127</v>
      </c>
      <c r="F8426" t="s">
        <v>4139</v>
      </c>
    </row>
    <row r="8427" spans="1:6">
      <c r="A8427" t="s">
        <v>12556</v>
      </c>
      <c r="B8427" t="s">
        <v>2960</v>
      </c>
      <c r="C8427" t="s">
        <v>91</v>
      </c>
      <c r="D8427" s="1">
        <v>45729</v>
      </c>
      <c r="E8427" t="s">
        <v>4135</v>
      </c>
      <c r="F8427" t="s">
        <v>4137</v>
      </c>
    </row>
    <row r="8428" spans="1:6">
      <c r="A8428" t="s">
        <v>12557</v>
      </c>
      <c r="B8428" t="s">
        <v>2960</v>
      </c>
      <c r="C8428" t="s">
        <v>91</v>
      </c>
      <c r="D8428" s="1">
        <v>45727</v>
      </c>
      <c r="E8428" t="s">
        <v>4124</v>
      </c>
      <c r="F8428" t="s">
        <v>4137</v>
      </c>
    </row>
    <row r="8429" spans="1:6">
      <c r="A8429" t="s">
        <v>12558</v>
      </c>
      <c r="B8429" t="s">
        <v>2961</v>
      </c>
      <c r="C8429" t="s">
        <v>78</v>
      </c>
      <c r="D8429" s="1">
        <v>45963</v>
      </c>
      <c r="E8429" t="s">
        <v>4135</v>
      </c>
      <c r="F8429" t="s">
        <v>4139</v>
      </c>
    </row>
    <row r="8430" spans="1:6">
      <c r="A8430" t="s">
        <v>12559</v>
      </c>
      <c r="B8430" t="s">
        <v>2961</v>
      </c>
      <c r="C8430" t="s">
        <v>78</v>
      </c>
      <c r="D8430" s="1">
        <v>45984</v>
      </c>
      <c r="E8430" t="s">
        <v>4133</v>
      </c>
      <c r="F8430" t="s">
        <v>4125</v>
      </c>
    </row>
    <row r="8431" spans="1:6">
      <c r="A8431" t="s">
        <v>12560</v>
      </c>
      <c r="B8431" t="s">
        <v>2961</v>
      </c>
      <c r="C8431" t="s">
        <v>78</v>
      </c>
      <c r="D8431" s="1">
        <v>45966</v>
      </c>
      <c r="E8431" t="s">
        <v>4129</v>
      </c>
      <c r="F8431" t="s">
        <v>4139</v>
      </c>
    </row>
    <row r="8432" spans="1:6">
      <c r="A8432" t="s">
        <v>12561</v>
      </c>
      <c r="B8432" t="s">
        <v>2961</v>
      </c>
      <c r="C8432" t="s">
        <v>78</v>
      </c>
      <c r="D8432" s="1">
        <v>45990</v>
      </c>
      <c r="E8432" t="s">
        <v>4133</v>
      </c>
      <c r="F8432" t="s">
        <v>4139</v>
      </c>
    </row>
    <row r="8433" spans="1:6">
      <c r="A8433" t="s">
        <v>12562</v>
      </c>
      <c r="B8433" t="s">
        <v>2961</v>
      </c>
      <c r="C8433" t="s">
        <v>78</v>
      </c>
      <c r="D8433" s="1">
        <v>45996</v>
      </c>
      <c r="E8433" t="s">
        <v>4129</v>
      </c>
      <c r="F8433" t="s">
        <v>4137</v>
      </c>
    </row>
    <row r="8434" spans="1:6">
      <c r="A8434" t="s">
        <v>12563</v>
      </c>
      <c r="B8434" t="s">
        <v>2962</v>
      </c>
      <c r="C8434" t="s">
        <v>168</v>
      </c>
      <c r="D8434" s="1">
        <v>46014</v>
      </c>
      <c r="E8434" t="s">
        <v>4133</v>
      </c>
      <c r="F8434" t="s">
        <v>4137</v>
      </c>
    </row>
    <row r="8435" spans="1:6">
      <c r="A8435" t="s">
        <v>12564</v>
      </c>
      <c r="B8435" t="s">
        <v>2962</v>
      </c>
      <c r="C8435" t="s">
        <v>168</v>
      </c>
      <c r="D8435" s="1">
        <v>46019</v>
      </c>
      <c r="E8435" t="s">
        <v>4127</v>
      </c>
      <c r="F8435" t="s">
        <v>4139</v>
      </c>
    </row>
    <row r="8436" spans="1:6">
      <c r="A8436" t="s">
        <v>12565</v>
      </c>
      <c r="B8436" t="s">
        <v>2962</v>
      </c>
      <c r="C8436" t="s">
        <v>168</v>
      </c>
      <c r="D8436" s="1">
        <v>46007</v>
      </c>
      <c r="E8436" t="s">
        <v>4135</v>
      </c>
      <c r="F8436" t="s">
        <v>4125</v>
      </c>
    </row>
    <row r="8437" spans="1:6">
      <c r="A8437" t="s">
        <v>12566</v>
      </c>
      <c r="B8437" t="s">
        <v>2962</v>
      </c>
      <c r="C8437" t="s">
        <v>168</v>
      </c>
      <c r="D8437" s="1">
        <v>46015</v>
      </c>
      <c r="E8437" t="s">
        <v>4127</v>
      </c>
      <c r="F8437" t="s">
        <v>4137</v>
      </c>
    </row>
    <row r="8438" spans="1:6">
      <c r="A8438" t="s">
        <v>12567</v>
      </c>
      <c r="B8438" t="s">
        <v>2962</v>
      </c>
      <c r="C8438" t="s">
        <v>168</v>
      </c>
      <c r="D8438" s="1">
        <v>46016</v>
      </c>
      <c r="E8438" t="s">
        <v>4124</v>
      </c>
      <c r="F8438" t="s">
        <v>4125</v>
      </c>
    </row>
    <row r="8439" spans="1:6">
      <c r="A8439" t="s">
        <v>12568</v>
      </c>
      <c r="B8439" t="s">
        <v>2963</v>
      </c>
      <c r="C8439" t="s">
        <v>168</v>
      </c>
      <c r="D8439" s="1">
        <v>45693</v>
      </c>
      <c r="E8439" t="s">
        <v>4133</v>
      </c>
      <c r="F8439" t="s">
        <v>4139</v>
      </c>
    </row>
    <row r="8440" spans="1:6">
      <c r="A8440" t="s">
        <v>12569</v>
      </c>
      <c r="B8440" t="s">
        <v>2963</v>
      </c>
      <c r="C8440" t="s">
        <v>168</v>
      </c>
      <c r="D8440" s="1">
        <v>45700</v>
      </c>
      <c r="E8440" t="s">
        <v>4127</v>
      </c>
      <c r="F8440" t="s">
        <v>4139</v>
      </c>
    </row>
    <row r="8441" spans="1:6">
      <c r="A8441" t="s">
        <v>12570</v>
      </c>
      <c r="B8441" t="s">
        <v>2963</v>
      </c>
      <c r="C8441" t="s">
        <v>168</v>
      </c>
      <c r="D8441" s="1">
        <v>45707</v>
      </c>
      <c r="E8441" t="s">
        <v>4129</v>
      </c>
      <c r="F8441" t="s">
        <v>4125</v>
      </c>
    </row>
    <row r="8442" spans="1:6">
      <c r="A8442" t="s">
        <v>12571</v>
      </c>
      <c r="B8442" t="s">
        <v>2964</v>
      </c>
      <c r="C8442" t="s">
        <v>27</v>
      </c>
      <c r="D8442" s="1">
        <v>45908</v>
      </c>
      <c r="E8442" t="s">
        <v>4133</v>
      </c>
      <c r="F8442" t="s">
        <v>4125</v>
      </c>
    </row>
    <row r="8443" spans="1:6">
      <c r="A8443" t="s">
        <v>12572</v>
      </c>
      <c r="B8443" t="s">
        <v>2964</v>
      </c>
      <c r="C8443" t="s">
        <v>27</v>
      </c>
      <c r="D8443" s="1">
        <v>45939</v>
      </c>
      <c r="E8443" t="s">
        <v>4135</v>
      </c>
      <c r="F8443" t="s">
        <v>4137</v>
      </c>
    </row>
    <row r="8444" spans="1:6">
      <c r="A8444" t="s">
        <v>12573</v>
      </c>
      <c r="B8444" t="s">
        <v>2964</v>
      </c>
      <c r="C8444" t="s">
        <v>27</v>
      </c>
      <c r="D8444" s="1">
        <v>45924</v>
      </c>
      <c r="E8444" t="s">
        <v>4124</v>
      </c>
      <c r="F8444" t="s">
        <v>4125</v>
      </c>
    </row>
    <row r="8445" spans="1:6">
      <c r="A8445" t="s">
        <v>12574</v>
      </c>
      <c r="B8445" t="s">
        <v>2964</v>
      </c>
      <c r="C8445" t="s">
        <v>27</v>
      </c>
      <c r="D8445" s="1">
        <v>45910</v>
      </c>
      <c r="E8445" t="s">
        <v>4133</v>
      </c>
      <c r="F8445" t="s">
        <v>4137</v>
      </c>
    </row>
    <row r="8446" spans="1:6">
      <c r="A8446" t="s">
        <v>12575</v>
      </c>
      <c r="B8446" t="s">
        <v>2964</v>
      </c>
      <c r="C8446" t="s">
        <v>27</v>
      </c>
      <c r="D8446" s="1">
        <v>45916</v>
      </c>
      <c r="E8446" t="s">
        <v>4133</v>
      </c>
      <c r="F8446" t="s">
        <v>4137</v>
      </c>
    </row>
    <row r="8447" spans="1:6">
      <c r="A8447" t="s">
        <v>12576</v>
      </c>
      <c r="B8447" t="s">
        <v>2965</v>
      </c>
      <c r="C8447" t="s">
        <v>126</v>
      </c>
      <c r="D8447" s="1">
        <v>46015</v>
      </c>
      <c r="E8447" t="s">
        <v>4129</v>
      </c>
      <c r="F8447" t="s">
        <v>4125</v>
      </c>
    </row>
    <row r="8448" spans="1:6">
      <c r="A8448" t="s">
        <v>12577</v>
      </c>
      <c r="B8448" t="s">
        <v>2965</v>
      </c>
      <c r="C8448" t="s">
        <v>126</v>
      </c>
      <c r="D8448" s="1">
        <v>46022</v>
      </c>
      <c r="E8448" t="s">
        <v>4129</v>
      </c>
      <c r="F8448" t="s">
        <v>4125</v>
      </c>
    </row>
    <row r="8449" spans="1:6">
      <c r="A8449" t="s">
        <v>12578</v>
      </c>
      <c r="B8449" t="s">
        <v>2965</v>
      </c>
      <c r="C8449" t="s">
        <v>126</v>
      </c>
      <c r="D8449" s="1">
        <v>46017</v>
      </c>
      <c r="E8449" t="s">
        <v>4135</v>
      </c>
      <c r="F8449" t="s">
        <v>4139</v>
      </c>
    </row>
    <row r="8450" spans="1:6">
      <c r="A8450" t="s">
        <v>12579</v>
      </c>
      <c r="B8450" t="s">
        <v>2965</v>
      </c>
      <c r="C8450" t="s">
        <v>126</v>
      </c>
      <c r="D8450" s="1">
        <v>46006</v>
      </c>
      <c r="E8450" t="s">
        <v>4133</v>
      </c>
      <c r="F8450" t="s">
        <v>4137</v>
      </c>
    </row>
    <row r="8451" spans="1:6">
      <c r="A8451" t="s">
        <v>12580</v>
      </c>
      <c r="B8451" t="s">
        <v>2966</v>
      </c>
      <c r="C8451" t="s">
        <v>59</v>
      </c>
      <c r="D8451" s="1">
        <v>45730</v>
      </c>
      <c r="E8451" t="s">
        <v>4124</v>
      </c>
      <c r="F8451" t="s">
        <v>4137</v>
      </c>
    </row>
    <row r="8452" spans="1:6">
      <c r="A8452" t="s">
        <v>12581</v>
      </c>
      <c r="B8452" t="s">
        <v>2966</v>
      </c>
      <c r="C8452" t="s">
        <v>59</v>
      </c>
      <c r="D8452" s="1">
        <v>45704</v>
      </c>
      <c r="E8452" t="s">
        <v>4127</v>
      </c>
      <c r="F8452" t="s">
        <v>4137</v>
      </c>
    </row>
    <row r="8453" spans="1:6">
      <c r="A8453" t="s">
        <v>12582</v>
      </c>
      <c r="B8453" t="s">
        <v>2966</v>
      </c>
      <c r="C8453" t="s">
        <v>59</v>
      </c>
      <c r="D8453" s="1">
        <v>45708</v>
      </c>
      <c r="E8453" t="s">
        <v>4124</v>
      </c>
      <c r="F8453" t="s">
        <v>4139</v>
      </c>
    </row>
    <row r="8454" spans="1:6">
      <c r="A8454" t="s">
        <v>12583</v>
      </c>
      <c r="B8454" t="s">
        <v>2966</v>
      </c>
      <c r="C8454" t="s">
        <v>59</v>
      </c>
      <c r="D8454" s="1">
        <v>45727</v>
      </c>
      <c r="E8454" t="s">
        <v>4127</v>
      </c>
      <c r="F8454" t="s">
        <v>4137</v>
      </c>
    </row>
    <row r="8455" spans="1:6">
      <c r="A8455" t="s">
        <v>12584</v>
      </c>
      <c r="B8455" t="s">
        <v>2967</v>
      </c>
      <c r="C8455" t="s">
        <v>16</v>
      </c>
      <c r="D8455" s="1">
        <v>45884</v>
      </c>
      <c r="E8455" t="s">
        <v>4129</v>
      </c>
      <c r="F8455" t="s">
        <v>4139</v>
      </c>
    </row>
    <row r="8456" spans="1:6">
      <c r="A8456" t="s">
        <v>12585</v>
      </c>
      <c r="B8456" t="s">
        <v>2967</v>
      </c>
      <c r="C8456" t="s">
        <v>16</v>
      </c>
      <c r="D8456" s="1">
        <v>45871</v>
      </c>
      <c r="E8456" t="s">
        <v>4129</v>
      </c>
      <c r="F8456" t="s">
        <v>4137</v>
      </c>
    </row>
    <row r="8457" spans="1:6">
      <c r="A8457" t="s">
        <v>12586</v>
      </c>
      <c r="B8457" t="s">
        <v>2967</v>
      </c>
      <c r="C8457" t="s">
        <v>16</v>
      </c>
      <c r="D8457" s="1">
        <v>45863</v>
      </c>
      <c r="E8457" t="s">
        <v>4124</v>
      </c>
      <c r="F8457" t="s">
        <v>4139</v>
      </c>
    </row>
    <row r="8458" spans="1:6">
      <c r="A8458" t="s">
        <v>12587</v>
      </c>
      <c r="B8458" t="s">
        <v>2968</v>
      </c>
      <c r="C8458" t="s">
        <v>59</v>
      </c>
      <c r="D8458" s="1">
        <v>45840</v>
      </c>
      <c r="E8458" t="s">
        <v>4133</v>
      </c>
      <c r="F8458" t="s">
        <v>4139</v>
      </c>
    </row>
    <row r="8459" spans="1:6">
      <c r="A8459" t="s">
        <v>12588</v>
      </c>
      <c r="B8459" t="s">
        <v>2968</v>
      </c>
      <c r="C8459" t="s">
        <v>59</v>
      </c>
      <c r="D8459" s="1">
        <v>45791</v>
      </c>
      <c r="E8459" t="s">
        <v>4129</v>
      </c>
      <c r="F8459" t="s">
        <v>4125</v>
      </c>
    </row>
    <row r="8460" spans="1:6">
      <c r="A8460" t="s">
        <v>12589</v>
      </c>
      <c r="B8460" t="s">
        <v>2968</v>
      </c>
      <c r="C8460" t="s">
        <v>59</v>
      </c>
      <c r="D8460" s="1">
        <v>45808</v>
      </c>
      <c r="E8460" t="s">
        <v>4127</v>
      </c>
      <c r="F8460" t="s">
        <v>4137</v>
      </c>
    </row>
    <row r="8461" spans="1:6">
      <c r="A8461" t="s">
        <v>12590</v>
      </c>
      <c r="B8461" t="s">
        <v>2969</v>
      </c>
      <c r="C8461" t="s">
        <v>56</v>
      </c>
      <c r="D8461" s="1">
        <v>45770</v>
      </c>
      <c r="E8461" t="s">
        <v>4135</v>
      </c>
      <c r="F8461" t="s">
        <v>4137</v>
      </c>
    </row>
    <row r="8462" spans="1:6">
      <c r="A8462" t="s">
        <v>12591</v>
      </c>
      <c r="B8462" t="s">
        <v>2969</v>
      </c>
      <c r="C8462" t="s">
        <v>56</v>
      </c>
      <c r="D8462" s="1">
        <v>45717</v>
      </c>
      <c r="E8462" t="s">
        <v>4124</v>
      </c>
      <c r="F8462" t="s">
        <v>4137</v>
      </c>
    </row>
    <row r="8463" spans="1:6">
      <c r="A8463" t="s">
        <v>12592</v>
      </c>
      <c r="B8463" t="s">
        <v>2969</v>
      </c>
      <c r="C8463" t="s">
        <v>56</v>
      </c>
      <c r="D8463" s="1">
        <v>45724</v>
      </c>
      <c r="E8463" t="s">
        <v>4124</v>
      </c>
      <c r="F8463" t="s">
        <v>4139</v>
      </c>
    </row>
    <row r="8464" spans="1:6">
      <c r="A8464" t="s">
        <v>12593</v>
      </c>
      <c r="B8464" t="s">
        <v>2970</v>
      </c>
      <c r="C8464" t="s">
        <v>53</v>
      </c>
      <c r="D8464" s="1">
        <v>45749</v>
      </c>
      <c r="E8464" t="s">
        <v>4127</v>
      </c>
      <c r="F8464" t="s">
        <v>4125</v>
      </c>
    </row>
    <row r="8465" spans="1:6">
      <c r="A8465" t="s">
        <v>12594</v>
      </c>
      <c r="B8465" t="s">
        <v>2970</v>
      </c>
      <c r="C8465" t="s">
        <v>53</v>
      </c>
      <c r="D8465" s="1">
        <v>45745</v>
      </c>
      <c r="E8465" t="s">
        <v>4124</v>
      </c>
      <c r="F8465" t="s">
        <v>4137</v>
      </c>
    </row>
    <row r="8466" spans="1:6">
      <c r="A8466" t="s">
        <v>12595</v>
      </c>
      <c r="B8466" t="s">
        <v>2971</v>
      </c>
      <c r="C8466" t="s">
        <v>56</v>
      </c>
      <c r="D8466" s="1">
        <v>45689</v>
      </c>
      <c r="E8466" t="s">
        <v>4133</v>
      </c>
      <c r="F8466" t="s">
        <v>4139</v>
      </c>
    </row>
    <row r="8467" spans="1:6">
      <c r="A8467" t="s">
        <v>12596</v>
      </c>
      <c r="B8467" t="s">
        <v>2971</v>
      </c>
      <c r="C8467" t="s">
        <v>56</v>
      </c>
      <c r="D8467" s="1">
        <v>45696</v>
      </c>
      <c r="E8467" t="s">
        <v>4135</v>
      </c>
      <c r="F8467" t="s">
        <v>4137</v>
      </c>
    </row>
    <row r="8468" spans="1:6">
      <c r="A8468" t="s">
        <v>12597</v>
      </c>
      <c r="B8468" t="s">
        <v>2971</v>
      </c>
      <c r="C8468" t="s">
        <v>56</v>
      </c>
      <c r="D8468" s="1">
        <v>45711</v>
      </c>
      <c r="E8468" t="s">
        <v>4133</v>
      </c>
      <c r="F8468" t="s">
        <v>4137</v>
      </c>
    </row>
    <row r="8469" spans="1:6">
      <c r="A8469" t="s">
        <v>12598</v>
      </c>
      <c r="B8469" t="s">
        <v>2971</v>
      </c>
      <c r="C8469" t="s">
        <v>56</v>
      </c>
      <c r="D8469" s="1">
        <v>45721</v>
      </c>
      <c r="E8469" t="s">
        <v>4129</v>
      </c>
      <c r="F8469" t="s">
        <v>4137</v>
      </c>
    </row>
    <row r="8470" spans="1:6">
      <c r="A8470" t="s">
        <v>12599</v>
      </c>
      <c r="B8470" t="s">
        <v>2972</v>
      </c>
      <c r="C8470" t="s">
        <v>56</v>
      </c>
      <c r="D8470" s="1">
        <v>45719</v>
      </c>
      <c r="E8470" t="s">
        <v>4129</v>
      </c>
      <c r="F8470" t="s">
        <v>4139</v>
      </c>
    </row>
    <row r="8471" spans="1:6">
      <c r="A8471" t="s">
        <v>12600</v>
      </c>
      <c r="B8471" t="s">
        <v>2972</v>
      </c>
      <c r="C8471" t="s">
        <v>56</v>
      </c>
      <c r="D8471" s="1">
        <v>45790</v>
      </c>
      <c r="E8471" t="s">
        <v>4124</v>
      </c>
      <c r="F8471" t="s">
        <v>4125</v>
      </c>
    </row>
    <row r="8472" spans="1:6">
      <c r="A8472" t="s">
        <v>12601</v>
      </c>
      <c r="B8472" t="s">
        <v>2973</v>
      </c>
      <c r="C8472" t="s">
        <v>22</v>
      </c>
      <c r="D8472" s="1">
        <v>45724</v>
      </c>
      <c r="E8472" t="s">
        <v>4124</v>
      </c>
      <c r="F8472" t="s">
        <v>4137</v>
      </c>
    </row>
    <row r="8473" spans="1:6">
      <c r="A8473" t="s">
        <v>12602</v>
      </c>
      <c r="B8473" t="s">
        <v>2973</v>
      </c>
      <c r="C8473" t="s">
        <v>22</v>
      </c>
      <c r="D8473" s="1">
        <v>45719</v>
      </c>
      <c r="E8473" t="s">
        <v>4127</v>
      </c>
      <c r="F8473" t="s">
        <v>4137</v>
      </c>
    </row>
    <row r="8474" spans="1:6">
      <c r="A8474" t="s">
        <v>12603</v>
      </c>
      <c r="B8474" t="s">
        <v>2973</v>
      </c>
      <c r="C8474" t="s">
        <v>22</v>
      </c>
      <c r="D8474" s="1">
        <v>45721</v>
      </c>
      <c r="E8474" t="s">
        <v>4127</v>
      </c>
      <c r="F8474" t="s">
        <v>4137</v>
      </c>
    </row>
    <row r="8475" spans="1:6">
      <c r="A8475" t="s">
        <v>12604</v>
      </c>
      <c r="B8475" t="s">
        <v>2973</v>
      </c>
      <c r="C8475" t="s">
        <v>22</v>
      </c>
      <c r="D8475" s="1">
        <v>45715</v>
      </c>
      <c r="E8475" t="s">
        <v>4127</v>
      </c>
      <c r="F8475" t="s">
        <v>4139</v>
      </c>
    </row>
    <row r="8476" spans="1:6">
      <c r="A8476" t="s">
        <v>12605</v>
      </c>
      <c r="B8476" t="s">
        <v>2974</v>
      </c>
      <c r="C8476" t="s">
        <v>16</v>
      </c>
      <c r="D8476" s="1">
        <v>45687</v>
      </c>
      <c r="E8476" t="s">
        <v>4129</v>
      </c>
      <c r="F8476" t="s">
        <v>4125</v>
      </c>
    </row>
    <row r="8477" spans="1:6">
      <c r="A8477" t="s">
        <v>12606</v>
      </c>
      <c r="B8477" t="s">
        <v>2974</v>
      </c>
      <c r="C8477" t="s">
        <v>16</v>
      </c>
      <c r="D8477" s="1">
        <v>45692</v>
      </c>
      <c r="E8477" t="s">
        <v>4129</v>
      </c>
      <c r="F8477" t="s">
        <v>4137</v>
      </c>
    </row>
    <row r="8478" spans="1:6">
      <c r="A8478" t="s">
        <v>12607</v>
      </c>
      <c r="B8478" t="s">
        <v>2974</v>
      </c>
      <c r="C8478" t="s">
        <v>16</v>
      </c>
      <c r="D8478" s="1">
        <v>45690</v>
      </c>
      <c r="E8478" t="s">
        <v>4133</v>
      </c>
      <c r="F8478" t="s">
        <v>4139</v>
      </c>
    </row>
    <row r="8479" spans="1:6">
      <c r="A8479" t="s">
        <v>12608</v>
      </c>
      <c r="B8479" t="s">
        <v>2974</v>
      </c>
      <c r="C8479" t="s">
        <v>16</v>
      </c>
      <c r="D8479" s="1">
        <v>45703</v>
      </c>
      <c r="E8479" t="s">
        <v>4127</v>
      </c>
      <c r="F8479" t="s">
        <v>4125</v>
      </c>
    </row>
    <row r="8480" spans="1:6">
      <c r="A8480" t="s">
        <v>12609</v>
      </c>
      <c r="B8480" t="s">
        <v>2974</v>
      </c>
      <c r="C8480" t="s">
        <v>16</v>
      </c>
      <c r="D8480" s="1">
        <v>45697</v>
      </c>
      <c r="E8480" t="s">
        <v>4133</v>
      </c>
      <c r="F8480" t="s">
        <v>4137</v>
      </c>
    </row>
    <row r="8481" spans="1:6">
      <c r="A8481" t="s">
        <v>12610</v>
      </c>
      <c r="B8481" t="s">
        <v>2975</v>
      </c>
      <c r="C8481" t="s">
        <v>78</v>
      </c>
      <c r="D8481" s="1">
        <v>45833</v>
      </c>
      <c r="E8481" t="s">
        <v>4129</v>
      </c>
      <c r="F8481" t="s">
        <v>4139</v>
      </c>
    </row>
    <row r="8482" spans="1:6">
      <c r="A8482" t="s">
        <v>12611</v>
      </c>
      <c r="B8482" t="s">
        <v>2975</v>
      </c>
      <c r="C8482" t="s">
        <v>78</v>
      </c>
      <c r="D8482" s="1">
        <v>45840</v>
      </c>
      <c r="E8482" t="s">
        <v>4133</v>
      </c>
      <c r="F8482" t="s">
        <v>4125</v>
      </c>
    </row>
    <row r="8483" spans="1:6">
      <c r="A8483" t="s">
        <v>12612</v>
      </c>
      <c r="B8483" t="s">
        <v>2975</v>
      </c>
      <c r="C8483" t="s">
        <v>78</v>
      </c>
      <c r="D8483" s="1">
        <v>45848</v>
      </c>
      <c r="E8483" t="s">
        <v>4129</v>
      </c>
      <c r="F8483" t="s">
        <v>4139</v>
      </c>
    </row>
    <row r="8484" spans="1:6">
      <c r="A8484" t="s">
        <v>12613</v>
      </c>
      <c r="B8484" t="s">
        <v>2975</v>
      </c>
      <c r="C8484" t="s">
        <v>78</v>
      </c>
      <c r="D8484" s="1">
        <v>45847</v>
      </c>
      <c r="E8484" t="s">
        <v>4127</v>
      </c>
      <c r="F8484" t="s">
        <v>4139</v>
      </c>
    </row>
    <row r="8485" spans="1:6">
      <c r="A8485" t="s">
        <v>12614</v>
      </c>
      <c r="B8485" t="s">
        <v>2975</v>
      </c>
      <c r="C8485" t="s">
        <v>78</v>
      </c>
      <c r="D8485" s="1">
        <v>45839</v>
      </c>
      <c r="E8485" t="s">
        <v>4135</v>
      </c>
      <c r="F8485" t="s">
        <v>4125</v>
      </c>
    </row>
    <row r="8486" spans="1:6">
      <c r="A8486" t="s">
        <v>12615</v>
      </c>
      <c r="B8486" t="s">
        <v>2976</v>
      </c>
      <c r="C8486" t="s">
        <v>16</v>
      </c>
      <c r="D8486" s="1">
        <v>45808</v>
      </c>
      <c r="E8486" t="s">
        <v>4133</v>
      </c>
      <c r="F8486" t="s">
        <v>4139</v>
      </c>
    </row>
    <row r="8487" spans="1:6">
      <c r="A8487" t="s">
        <v>12616</v>
      </c>
      <c r="B8487" t="s">
        <v>2976</v>
      </c>
      <c r="C8487" t="s">
        <v>16</v>
      </c>
      <c r="D8487" s="1">
        <v>45792</v>
      </c>
      <c r="E8487" t="s">
        <v>4129</v>
      </c>
      <c r="F8487" t="s">
        <v>4137</v>
      </c>
    </row>
    <row r="8488" spans="1:6">
      <c r="A8488" t="s">
        <v>12617</v>
      </c>
      <c r="B8488" t="s">
        <v>2976</v>
      </c>
      <c r="C8488" t="s">
        <v>16</v>
      </c>
      <c r="D8488" s="1">
        <v>45758</v>
      </c>
      <c r="E8488" t="s">
        <v>4133</v>
      </c>
      <c r="F8488" t="s">
        <v>4125</v>
      </c>
    </row>
    <row r="8489" spans="1:6">
      <c r="A8489" t="s">
        <v>12618</v>
      </c>
      <c r="B8489" t="s">
        <v>2977</v>
      </c>
      <c r="C8489" t="s">
        <v>32</v>
      </c>
      <c r="D8489" s="1">
        <v>45937</v>
      </c>
      <c r="E8489" t="s">
        <v>4133</v>
      </c>
      <c r="F8489" t="s">
        <v>4137</v>
      </c>
    </row>
    <row r="8490" spans="1:6">
      <c r="A8490" t="s">
        <v>12619</v>
      </c>
      <c r="B8490" t="s">
        <v>2977</v>
      </c>
      <c r="C8490" t="s">
        <v>32</v>
      </c>
      <c r="D8490" s="1">
        <v>45907</v>
      </c>
      <c r="E8490" t="s">
        <v>4129</v>
      </c>
      <c r="F8490" t="s">
        <v>4137</v>
      </c>
    </row>
    <row r="8491" spans="1:6">
      <c r="A8491" t="s">
        <v>12620</v>
      </c>
      <c r="B8491" t="s">
        <v>2978</v>
      </c>
      <c r="C8491" t="s">
        <v>40</v>
      </c>
      <c r="D8491" s="1">
        <v>45943</v>
      </c>
      <c r="E8491" t="s">
        <v>4133</v>
      </c>
      <c r="F8491" t="s">
        <v>4137</v>
      </c>
    </row>
    <row r="8492" spans="1:6">
      <c r="A8492" t="s">
        <v>12621</v>
      </c>
      <c r="B8492" t="s">
        <v>2978</v>
      </c>
      <c r="C8492" t="s">
        <v>40</v>
      </c>
      <c r="D8492" s="1">
        <v>45921</v>
      </c>
      <c r="E8492" t="s">
        <v>4129</v>
      </c>
      <c r="F8492" t="s">
        <v>4137</v>
      </c>
    </row>
    <row r="8493" spans="1:6">
      <c r="A8493" t="s">
        <v>12622</v>
      </c>
      <c r="B8493" t="s">
        <v>2978</v>
      </c>
      <c r="C8493" t="s">
        <v>40</v>
      </c>
      <c r="D8493" s="1">
        <v>45933</v>
      </c>
      <c r="E8493" t="s">
        <v>4124</v>
      </c>
      <c r="F8493" t="s">
        <v>4139</v>
      </c>
    </row>
    <row r="8494" spans="1:6">
      <c r="A8494" t="s">
        <v>12623</v>
      </c>
      <c r="B8494" t="s">
        <v>2978</v>
      </c>
      <c r="C8494" t="s">
        <v>40</v>
      </c>
      <c r="D8494" s="1">
        <v>45941</v>
      </c>
      <c r="E8494" t="s">
        <v>4127</v>
      </c>
      <c r="F8494" t="s">
        <v>4139</v>
      </c>
    </row>
    <row r="8495" spans="1:6">
      <c r="A8495" t="s">
        <v>12624</v>
      </c>
      <c r="B8495" t="s">
        <v>2978</v>
      </c>
      <c r="C8495" t="s">
        <v>40</v>
      </c>
      <c r="D8495" s="1">
        <v>45913</v>
      </c>
      <c r="E8495" t="s">
        <v>4127</v>
      </c>
      <c r="F8495" t="s">
        <v>4125</v>
      </c>
    </row>
    <row r="8496" spans="1:6">
      <c r="A8496" t="s">
        <v>12625</v>
      </c>
      <c r="B8496" t="s">
        <v>2979</v>
      </c>
      <c r="C8496" t="s">
        <v>22</v>
      </c>
      <c r="D8496" s="1">
        <v>45922</v>
      </c>
      <c r="E8496" t="s">
        <v>4124</v>
      </c>
      <c r="F8496" t="s">
        <v>4139</v>
      </c>
    </row>
    <row r="8497" spans="1:6">
      <c r="A8497" t="s">
        <v>12626</v>
      </c>
      <c r="B8497" t="s">
        <v>2979</v>
      </c>
      <c r="C8497" t="s">
        <v>22</v>
      </c>
      <c r="D8497" s="1">
        <v>45921</v>
      </c>
      <c r="E8497" t="s">
        <v>4124</v>
      </c>
      <c r="F8497" t="s">
        <v>4139</v>
      </c>
    </row>
    <row r="8498" spans="1:6">
      <c r="A8498" t="s">
        <v>12627</v>
      </c>
      <c r="B8498" t="s">
        <v>2979</v>
      </c>
      <c r="C8498" t="s">
        <v>22</v>
      </c>
      <c r="D8498" s="1">
        <v>45921</v>
      </c>
      <c r="E8498" t="s">
        <v>4127</v>
      </c>
      <c r="F8498" t="s">
        <v>4139</v>
      </c>
    </row>
    <row r="8499" spans="1:6">
      <c r="A8499" t="s">
        <v>12628</v>
      </c>
      <c r="B8499" t="s">
        <v>2979</v>
      </c>
      <c r="C8499" t="s">
        <v>22</v>
      </c>
      <c r="D8499" s="1">
        <v>45942</v>
      </c>
      <c r="E8499" t="s">
        <v>4133</v>
      </c>
      <c r="F8499" t="s">
        <v>4139</v>
      </c>
    </row>
    <row r="8500" spans="1:6">
      <c r="A8500" t="s">
        <v>12629</v>
      </c>
      <c r="B8500" t="s">
        <v>2979</v>
      </c>
      <c r="C8500" t="s">
        <v>22</v>
      </c>
      <c r="D8500" s="1">
        <v>45954</v>
      </c>
      <c r="E8500" t="s">
        <v>4129</v>
      </c>
      <c r="F8500" t="s">
        <v>4139</v>
      </c>
    </row>
    <row r="8501" spans="1:6">
      <c r="A8501" t="s">
        <v>12630</v>
      </c>
      <c r="B8501" t="s">
        <v>2980</v>
      </c>
      <c r="C8501" t="s">
        <v>53</v>
      </c>
      <c r="D8501" s="1">
        <v>45837</v>
      </c>
      <c r="E8501" t="s">
        <v>4133</v>
      </c>
      <c r="F8501" t="s">
        <v>4137</v>
      </c>
    </row>
    <row r="8502" spans="1:6">
      <c r="A8502" t="s">
        <v>12631</v>
      </c>
      <c r="B8502" t="s">
        <v>2980</v>
      </c>
      <c r="C8502" t="s">
        <v>53</v>
      </c>
      <c r="D8502" s="1">
        <v>45850</v>
      </c>
      <c r="E8502" t="s">
        <v>4129</v>
      </c>
      <c r="F8502" t="s">
        <v>4125</v>
      </c>
    </row>
    <row r="8503" spans="1:6">
      <c r="A8503" t="s">
        <v>12632</v>
      </c>
      <c r="B8503" t="s">
        <v>2980</v>
      </c>
      <c r="C8503" t="s">
        <v>53</v>
      </c>
      <c r="D8503" s="1">
        <v>45839</v>
      </c>
      <c r="E8503" t="s">
        <v>4135</v>
      </c>
      <c r="F8503" t="s">
        <v>4125</v>
      </c>
    </row>
    <row r="8504" spans="1:6">
      <c r="A8504" t="s">
        <v>12633</v>
      </c>
      <c r="B8504" t="s">
        <v>2980</v>
      </c>
      <c r="C8504" t="s">
        <v>53</v>
      </c>
      <c r="D8504" s="1">
        <v>45857</v>
      </c>
      <c r="E8504" t="s">
        <v>4124</v>
      </c>
      <c r="F8504" t="s">
        <v>4137</v>
      </c>
    </row>
    <row r="8505" spans="1:6">
      <c r="A8505" t="s">
        <v>12634</v>
      </c>
      <c r="B8505" t="s">
        <v>2981</v>
      </c>
      <c r="C8505" t="s">
        <v>56</v>
      </c>
      <c r="D8505" s="1">
        <v>45731</v>
      </c>
      <c r="E8505" t="s">
        <v>4133</v>
      </c>
      <c r="F8505" t="s">
        <v>4139</v>
      </c>
    </row>
    <row r="8506" spans="1:6">
      <c r="A8506" t="s">
        <v>12635</v>
      </c>
      <c r="B8506" t="s">
        <v>2981</v>
      </c>
      <c r="C8506" t="s">
        <v>56</v>
      </c>
      <c r="D8506" s="1">
        <v>45744</v>
      </c>
      <c r="E8506" t="s">
        <v>4127</v>
      </c>
      <c r="F8506" t="s">
        <v>4139</v>
      </c>
    </row>
    <row r="8507" spans="1:6">
      <c r="A8507" t="s">
        <v>12636</v>
      </c>
      <c r="B8507" t="s">
        <v>2982</v>
      </c>
      <c r="C8507" t="s">
        <v>59</v>
      </c>
      <c r="D8507" s="1">
        <v>45785</v>
      </c>
      <c r="E8507" t="s">
        <v>4129</v>
      </c>
      <c r="F8507" t="s">
        <v>4137</v>
      </c>
    </row>
    <row r="8508" spans="1:6">
      <c r="A8508" t="s">
        <v>12637</v>
      </c>
      <c r="B8508" t="s">
        <v>2982</v>
      </c>
      <c r="C8508" t="s">
        <v>59</v>
      </c>
      <c r="D8508" s="1">
        <v>45793</v>
      </c>
      <c r="E8508" t="s">
        <v>4127</v>
      </c>
      <c r="F8508" t="s">
        <v>4139</v>
      </c>
    </row>
    <row r="8509" spans="1:6">
      <c r="A8509" t="s">
        <v>12638</v>
      </c>
      <c r="B8509" t="s">
        <v>2982</v>
      </c>
      <c r="C8509" t="s">
        <v>59</v>
      </c>
      <c r="D8509" s="1">
        <v>45793</v>
      </c>
      <c r="E8509" t="s">
        <v>4127</v>
      </c>
      <c r="F8509" t="s">
        <v>4125</v>
      </c>
    </row>
    <row r="8510" spans="1:6">
      <c r="A8510" t="s">
        <v>12639</v>
      </c>
      <c r="B8510" t="s">
        <v>2983</v>
      </c>
      <c r="C8510" t="s">
        <v>27</v>
      </c>
      <c r="D8510" s="1">
        <v>45895</v>
      </c>
      <c r="E8510" t="s">
        <v>4124</v>
      </c>
      <c r="F8510" t="s">
        <v>4139</v>
      </c>
    </row>
    <row r="8511" spans="1:6">
      <c r="A8511" t="s">
        <v>12640</v>
      </c>
      <c r="B8511" t="s">
        <v>2983</v>
      </c>
      <c r="C8511" t="s">
        <v>27</v>
      </c>
      <c r="D8511" s="1">
        <v>45881</v>
      </c>
      <c r="E8511" t="s">
        <v>4124</v>
      </c>
      <c r="F8511" t="s">
        <v>4139</v>
      </c>
    </row>
    <row r="8512" spans="1:6">
      <c r="A8512" t="s">
        <v>12641</v>
      </c>
      <c r="B8512" t="s">
        <v>2983</v>
      </c>
      <c r="C8512" t="s">
        <v>27</v>
      </c>
      <c r="D8512" s="1">
        <v>45889</v>
      </c>
      <c r="E8512" t="s">
        <v>4124</v>
      </c>
      <c r="F8512" t="s">
        <v>4125</v>
      </c>
    </row>
    <row r="8513" spans="1:6">
      <c r="A8513" t="s">
        <v>12642</v>
      </c>
      <c r="B8513" t="s">
        <v>2983</v>
      </c>
      <c r="C8513" t="s">
        <v>27</v>
      </c>
      <c r="D8513" s="1">
        <v>45896</v>
      </c>
      <c r="E8513" t="s">
        <v>4135</v>
      </c>
      <c r="F8513" t="s">
        <v>4125</v>
      </c>
    </row>
    <row r="8514" spans="1:6">
      <c r="A8514" t="s">
        <v>12643</v>
      </c>
      <c r="B8514" t="s">
        <v>2984</v>
      </c>
      <c r="C8514" t="s">
        <v>53</v>
      </c>
      <c r="D8514" s="1">
        <v>45813</v>
      </c>
      <c r="E8514" t="s">
        <v>4133</v>
      </c>
      <c r="F8514" t="s">
        <v>4125</v>
      </c>
    </row>
    <row r="8515" spans="1:6">
      <c r="A8515" t="s">
        <v>12644</v>
      </c>
      <c r="B8515" t="s">
        <v>2984</v>
      </c>
      <c r="C8515" t="s">
        <v>53</v>
      </c>
      <c r="D8515" s="1">
        <v>45807</v>
      </c>
      <c r="E8515" t="s">
        <v>4124</v>
      </c>
      <c r="F8515" t="s">
        <v>4125</v>
      </c>
    </row>
    <row r="8516" spans="1:6">
      <c r="A8516" t="s">
        <v>12645</v>
      </c>
      <c r="B8516" t="s">
        <v>2984</v>
      </c>
      <c r="C8516" t="s">
        <v>53</v>
      </c>
      <c r="D8516" s="1">
        <v>45835</v>
      </c>
      <c r="E8516" t="s">
        <v>4127</v>
      </c>
      <c r="F8516" t="s">
        <v>4125</v>
      </c>
    </row>
    <row r="8517" spans="1:6">
      <c r="A8517" t="s">
        <v>12646</v>
      </c>
      <c r="B8517" t="s">
        <v>2984</v>
      </c>
      <c r="C8517" t="s">
        <v>53</v>
      </c>
      <c r="D8517" s="1">
        <v>45812</v>
      </c>
      <c r="E8517" t="s">
        <v>4124</v>
      </c>
      <c r="F8517" t="s">
        <v>4137</v>
      </c>
    </row>
    <row r="8518" spans="1:6">
      <c r="A8518" t="s">
        <v>12647</v>
      </c>
      <c r="B8518" t="s">
        <v>2984</v>
      </c>
      <c r="C8518" t="s">
        <v>53</v>
      </c>
      <c r="D8518" s="1">
        <v>45815</v>
      </c>
      <c r="E8518" t="s">
        <v>4124</v>
      </c>
      <c r="F8518" t="s">
        <v>4125</v>
      </c>
    </row>
    <row r="8519" spans="1:6">
      <c r="A8519" t="s">
        <v>12648</v>
      </c>
      <c r="B8519" t="s">
        <v>2985</v>
      </c>
      <c r="C8519" t="s">
        <v>46</v>
      </c>
      <c r="D8519" s="1">
        <v>45942</v>
      </c>
      <c r="E8519" t="s">
        <v>4133</v>
      </c>
      <c r="F8519" t="s">
        <v>4137</v>
      </c>
    </row>
    <row r="8520" spans="1:6">
      <c r="A8520" t="s">
        <v>12649</v>
      </c>
      <c r="B8520" t="s">
        <v>2985</v>
      </c>
      <c r="C8520" t="s">
        <v>46</v>
      </c>
      <c r="D8520" s="1">
        <v>46007</v>
      </c>
      <c r="E8520" t="s">
        <v>4127</v>
      </c>
      <c r="F8520" t="s">
        <v>4137</v>
      </c>
    </row>
    <row r="8521" spans="1:6">
      <c r="A8521" t="s">
        <v>12650</v>
      </c>
      <c r="B8521" t="s">
        <v>2985</v>
      </c>
      <c r="C8521" t="s">
        <v>46</v>
      </c>
      <c r="D8521" s="1">
        <v>46001</v>
      </c>
      <c r="E8521" t="s">
        <v>4133</v>
      </c>
      <c r="F8521" t="s">
        <v>4137</v>
      </c>
    </row>
    <row r="8522" spans="1:6">
      <c r="A8522" t="s">
        <v>12651</v>
      </c>
      <c r="B8522" t="s">
        <v>2986</v>
      </c>
      <c r="C8522" t="s">
        <v>27</v>
      </c>
      <c r="D8522" s="1">
        <v>45927</v>
      </c>
      <c r="E8522" t="s">
        <v>4124</v>
      </c>
      <c r="F8522" t="s">
        <v>4125</v>
      </c>
    </row>
    <row r="8523" spans="1:6">
      <c r="A8523" t="s">
        <v>12652</v>
      </c>
      <c r="B8523" t="s">
        <v>2986</v>
      </c>
      <c r="C8523" t="s">
        <v>27</v>
      </c>
      <c r="D8523" s="1">
        <v>45925</v>
      </c>
      <c r="E8523" t="s">
        <v>4129</v>
      </c>
      <c r="F8523" t="s">
        <v>4125</v>
      </c>
    </row>
    <row r="8524" spans="1:6">
      <c r="A8524" t="s">
        <v>12653</v>
      </c>
      <c r="B8524" t="s">
        <v>2986</v>
      </c>
      <c r="C8524" t="s">
        <v>27</v>
      </c>
      <c r="D8524" s="1">
        <v>45935</v>
      </c>
      <c r="E8524" t="s">
        <v>4135</v>
      </c>
      <c r="F8524" t="s">
        <v>4137</v>
      </c>
    </row>
    <row r="8525" spans="1:6">
      <c r="A8525" t="s">
        <v>12654</v>
      </c>
      <c r="B8525" t="s">
        <v>2986</v>
      </c>
      <c r="C8525" t="s">
        <v>27</v>
      </c>
      <c r="D8525" s="1">
        <v>45924</v>
      </c>
      <c r="E8525" t="s">
        <v>4124</v>
      </c>
      <c r="F8525" t="s">
        <v>4139</v>
      </c>
    </row>
    <row r="8526" spans="1:6">
      <c r="A8526" t="s">
        <v>12655</v>
      </c>
      <c r="B8526" t="s">
        <v>2987</v>
      </c>
      <c r="C8526" t="s">
        <v>22</v>
      </c>
      <c r="D8526" s="1">
        <v>45685</v>
      </c>
      <c r="E8526" t="s">
        <v>4127</v>
      </c>
      <c r="F8526" t="s">
        <v>4125</v>
      </c>
    </row>
    <row r="8527" spans="1:6">
      <c r="A8527" t="s">
        <v>12656</v>
      </c>
      <c r="B8527" t="s">
        <v>2987</v>
      </c>
      <c r="C8527" t="s">
        <v>22</v>
      </c>
      <c r="D8527" s="1">
        <v>45699</v>
      </c>
      <c r="E8527" t="s">
        <v>4133</v>
      </c>
      <c r="F8527" t="s">
        <v>4125</v>
      </c>
    </row>
    <row r="8528" spans="1:6">
      <c r="A8528" t="s">
        <v>12657</v>
      </c>
      <c r="B8528" t="s">
        <v>2987</v>
      </c>
      <c r="C8528" t="s">
        <v>22</v>
      </c>
      <c r="D8528" s="1">
        <v>45685</v>
      </c>
      <c r="E8528" t="s">
        <v>4135</v>
      </c>
      <c r="F8528" t="s">
        <v>4137</v>
      </c>
    </row>
    <row r="8529" spans="1:6">
      <c r="A8529" t="s">
        <v>12658</v>
      </c>
      <c r="B8529" t="s">
        <v>2988</v>
      </c>
      <c r="C8529" t="s">
        <v>126</v>
      </c>
      <c r="D8529" s="1">
        <v>45988</v>
      </c>
      <c r="E8529" t="s">
        <v>4133</v>
      </c>
      <c r="F8529" t="s">
        <v>4125</v>
      </c>
    </row>
    <row r="8530" spans="1:6">
      <c r="A8530" t="s">
        <v>12659</v>
      </c>
      <c r="B8530" t="s">
        <v>2988</v>
      </c>
      <c r="C8530" t="s">
        <v>126</v>
      </c>
      <c r="D8530" s="1">
        <v>45988</v>
      </c>
      <c r="E8530" t="s">
        <v>4127</v>
      </c>
      <c r="F8530" t="s">
        <v>4125</v>
      </c>
    </row>
    <row r="8531" spans="1:6">
      <c r="A8531" t="s">
        <v>12660</v>
      </c>
      <c r="B8531" t="s">
        <v>2989</v>
      </c>
      <c r="C8531" t="s">
        <v>46</v>
      </c>
      <c r="D8531" s="1">
        <v>45875</v>
      </c>
      <c r="E8531" t="s">
        <v>4129</v>
      </c>
      <c r="F8531" t="s">
        <v>4125</v>
      </c>
    </row>
    <row r="8532" spans="1:6">
      <c r="A8532" t="s">
        <v>12661</v>
      </c>
      <c r="B8532" t="s">
        <v>2989</v>
      </c>
      <c r="C8532" t="s">
        <v>46</v>
      </c>
      <c r="D8532" s="1">
        <v>45889</v>
      </c>
      <c r="E8532" t="s">
        <v>4129</v>
      </c>
      <c r="F8532" t="s">
        <v>4139</v>
      </c>
    </row>
    <row r="8533" spans="1:6">
      <c r="A8533" t="s">
        <v>12662</v>
      </c>
      <c r="B8533" t="s">
        <v>2989</v>
      </c>
      <c r="C8533" t="s">
        <v>46</v>
      </c>
      <c r="D8533" s="1">
        <v>45876</v>
      </c>
      <c r="E8533" t="s">
        <v>4135</v>
      </c>
      <c r="F8533" t="s">
        <v>4125</v>
      </c>
    </row>
    <row r="8534" spans="1:6">
      <c r="A8534" t="s">
        <v>12663</v>
      </c>
      <c r="B8534" t="s">
        <v>2989</v>
      </c>
      <c r="C8534" t="s">
        <v>46</v>
      </c>
      <c r="D8534" s="1">
        <v>45893</v>
      </c>
      <c r="E8534" t="s">
        <v>4135</v>
      </c>
      <c r="F8534" t="s">
        <v>4125</v>
      </c>
    </row>
    <row r="8535" spans="1:6">
      <c r="A8535" t="s">
        <v>12664</v>
      </c>
      <c r="B8535" t="s">
        <v>2989</v>
      </c>
      <c r="C8535" t="s">
        <v>46</v>
      </c>
      <c r="D8535" s="1">
        <v>45873</v>
      </c>
      <c r="E8535" t="s">
        <v>4124</v>
      </c>
      <c r="F8535" t="s">
        <v>4125</v>
      </c>
    </row>
    <row r="8536" spans="1:6">
      <c r="A8536" t="s">
        <v>12665</v>
      </c>
      <c r="B8536" t="s">
        <v>2990</v>
      </c>
      <c r="C8536" t="s">
        <v>53</v>
      </c>
      <c r="D8536" s="1">
        <v>45987</v>
      </c>
      <c r="E8536" t="s">
        <v>4129</v>
      </c>
      <c r="F8536" t="s">
        <v>4125</v>
      </c>
    </row>
    <row r="8537" spans="1:6">
      <c r="A8537" t="s">
        <v>12666</v>
      </c>
      <c r="B8537" t="s">
        <v>2990</v>
      </c>
      <c r="C8537" t="s">
        <v>53</v>
      </c>
      <c r="D8537" s="1">
        <v>45958</v>
      </c>
      <c r="E8537" t="s">
        <v>4133</v>
      </c>
      <c r="F8537" t="s">
        <v>4139</v>
      </c>
    </row>
    <row r="8538" spans="1:6">
      <c r="A8538" t="s">
        <v>12667</v>
      </c>
      <c r="B8538" t="s">
        <v>2990</v>
      </c>
      <c r="C8538" t="s">
        <v>53</v>
      </c>
      <c r="D8538" s="1">
        <v>45948</v>
      </c>
      <c r="E8538" t="s">
        <v>4135</v>
      </c>
      <c r="F8538" t="s">
        <v>4137</v>
      </c>
    </row>
    <row r="8539" spans="1:6">
      <c r="A8539" t="s">
        <v>12668</v>
      </c>
      <c r="B8539" t="s">
        <v>2990</v>
      </c>
      <c r="C8539" t="s">
        <v>53</v>
      </c>
      <c r="D8539" s="1">
        <v>45974</v>
      </c>
      <c r="E8539" t="s">
        <v>4133</v>
      </c>
      <c r="F8539" t="s">
        <v>4137</v>
      </c>
    </row>
    <row r="8540" spans="1:6">
      <c r="A8540" t="s">
        <v>12669</v>
      </c>
      <c r="B8540" t="s">
        <v>2991</v>
      </c>
      <c r="C8540" t="s">
        <v>168</v>
      </c>
      <c r="D8540" s="1">
        <v>45787</v>
      </c>
      <c r="E8540" t="s">
        <v>4129</v>
      </c>
      <c r="F8540" t="s">
        <v>4137</v>
      </c>
    </row>
    <row r="8541" spans="1:6">
      <c r="A8541" t="s">
        <v>12670</v>
      </c>
      <c r="B8541" t="s">
        <v>2991</v>
      </c>
      <c r="C8541" t="s">
        <v>168</v>
      </c>
      <c r="D8541" s="1">
        <v>45792</v>
      </c>
      <c r="E8541" t="s">
        <v>4129</v>
      </c>
      <c r="F8541" t="s">
        <v>4139</v>
      </c>
    </row>
    <row r="8542" spans="1:6">
      <c r="A8542" t="s">
        <v>12671</v>
      </c>
      <c r="B8542" t="s">
        <v>2992</v>
      </c>
      <c r="C8542" t="s">
        <v>32</v>
      </c>
      <c r="D8542" s="1">
        <v>46022</v>
      </c>
      <c r="E8542" t="s">
        <v>4133</v>
      </c>
      <c r="F8542" t="s">
        <v>4139</v>
      </c>
    </row>
    <row r="8543" spans="1:6">
      <c r="A8543" t="s">
        <v>12672</v>
      </c>
      <c r="B8543" t="s">
        <v>2992</v>
      </c>
      <c r="C8543" t="s">
        <v>32</v>
      </c>
      <c r="D8543" s="1">
        <v>46020</v>
      </c>
      <c r="E8543" t="s">
        <v>4133</v>
      </c>
      <c r="F8543" t="s">
        <v>4137</v>
      </c>
    </row>
    <row r="8544" spans="1:6">
      <c r="A8544" t="s">
        <v>12673</v>
      </c>
      <c r="B8544" t="s">
        <v>2992</v>
      </c>
      <c r="C8544" t="s">
        <v>32</v>
      </c>
      <c r="D8544" s="1">
        <v>46018</v>
      </c>
      <c r="E8544" t="s">
        <v>4129</v>
      </c>
      <c r="F8544" t="s">
        <v>4139</v>
      </c>
    </row>
    <row r="8545" spans="1:6">
      <c r="A8545" t="s">
        <v>12674</v>
      </c>
      <c r="B8545" t="s">
        <v>2992</v>
      </c>
      <c r="C8545" t="s">
        <v>32</v>
      </c>
      <c r="D8545" s="1">
        <v>46013</v>
      </c>
      <c r="E8545" t="s">
        <v>4129</v>
      </c>
      <c r="F8545" t="s">
        <v>4125</v>
      </c>
    </row>
    <row r="8546" spans="1:6">
      <c r="A8546" t="s">
        <v>12675</v>
      </c>
      <c r="B8546" t="s">
        <v>2993</v>
      </c>
      <c r="C8546" t="s">
        <v>22</v>
      </c>
      <c r="D8546" s="1">
        <v>46019</v>
      </c>
      <c r="E8546" t="s">
        <v>4129</v>
      </c>
      <c r="F8546" t="s">
        <v>4139</v>
      </c>
    </row>
    <row r="8547" spans="1:6">
      <c r="A8547" t="s">
        <v>12676</v>
      </c>
      <c r="B8547" t="s">
        <v>2993</v>
      </c>
      <c r="C8547" t="s">
        <v>22</v>
      </c>
      <c r="D8547" s="1">
        <v>46020</v>
      </c>
      <c r="E8547" t="s">
        <v>4135</v>
      </c>
      <c r="F8547" t="s">
        <v>4137</v>
      </c>
    </row>
    <row r="8548" spans="1:6">
      <c r="A8548" t="s">
        <v>12677</v>
      </c>
      <c r="B8548" t="s">
        <v>2994</v>
      </c>
      <c r="C8548" t="s">
        <v>46</v>
      </c>
      <c r="D8548" s="1">
        <v>45835</v>
      </c>
      <c r="E8548" t="s">
        <v>4129</v>
      </c>
      <c r="F8548" t="s">
        <v>4125</v>
      </c>
    </row>
    <row r="8549" spans="1:6">
      <c r="A8549" t="s">
        <v>12678</v>
      </c>
      <c r="B8549" t="s">
        <v>2994</v>
      </c>
      <c r="C8549" t="s">
        <v>46</v>
      </c>
      <c r="D8549" s="1">
        <v>45807</v>
      </c>
      <c r="E8549" t="s">
        <v>4135</v>
      </c>
      <c r="F8549" t="s">
        <v>4139</v>
      </c>
    </row>
    <row r="8550" spans="1:6">
      <c r="A8550" t="s">
        <v>12679</v>
      </c>
      <c r="B8550" t="s">
        <v>2994</v>
      </c>
      <c r="C8550" t="s">
        <v>46</v>
      </c>
      <c r="D8550" s="1">
        <v>45800</v>
      </c>
      <c r="E8550" t="s">
        <v>4124</v>
      </c>
      <c r="F8550" t="s">
        <v>4139</v>
      </c>
    </row>
    <row r="8551" spans="1:6">
      <c r="A8551" t="s">
        <v>12680</v>
      </c>
      <c r="B8551" t="s">
        <v>2994</v>
      </c>
      <c r="C8551" t="s">
        <v>46</v>
      </c>
      <c r="D8551" s="1">
        <v>45838</v>
      </c>
      <c r="E8551" t="s">
        <v>4127</v>
      </c>
      <c r="F8551" t="s">
        <v>4125</v>
      </c>
    </row>
    <row r="8552" spans="1:6">
      <c r="A8552" t="s">
        <v>12681</v>
      </c>
      <c r="B8552" t="s">
        <v>2994</v>
      </c>
      <c r="C8552" t="s">
        <v>46</v>
      </c>
      <c r="D8552" s="1">
        <v>45824</v>
      </c>
      <c r="E8552" t="s">
        <v>4133</v>
      </c>
      <c r="F8552" t="s">
        <v>4125</v>
      </c>
    </row>
    <row r="8553" spans="1:6">
      <c r="A8553" t="s">
        <v>12682</v>
      </c>
      <c r="B8553" t="s">
        <v>2995</v>
      </c>
      <c r="C8553" t="s">
        <v>59</v>
      </c>
      <c r="D8553" s="1">
        <v>46019</v>
      </c>
      <c r="E8553" t="s">
        <v>4133</v>
      </c>
      <c r="F8553" t="s">
        <v>4139</v>
      </c>
    </row>
    <row r="8554" spans="1:6">
      <c r="A8554" t="s">
        <v>12683</v>
      </c>
      <c r="B8554" t="s">
        <v>2995</v>
      </c>
      <c r="C8554" t="s">
        <v>59</v>
      </c>
      <c r="D8554" s="1">
        <v>46020</v>
      </c>
      <c r="E8554" t="s">
        <v>4127</v>
      </c>
      <c r="F8554" t="s">
        <v>4137</v>
      </c>
    </row>
    <row r="8555" spans="1:6">
      <c r="A8555" t="s">
        <v>12684</v>
      </c>
      <c r="B8555" t="s">
        <v>2995</v>
      </c>
      <c r="C8555" t="s">
        <v>59</v>
      </c>
      <c r="D8555" s="1">
        <v>46017</v>
      </c>
      <c r="E8555" t="s">
        <v>4133</v>
      </c>
      <c r="F8555" t="s">
        <v>4139</v>
      </c>
    </row>
    <row r="8556" spans="1:6">
      <c r="A8556" t="s">
        <v>12685</v>
      </c>
      <c r="B8556" t="s">
        <v>2995</v>
      </c>
      <c r="C8556" t="s">
        <v>59</v>
      </c>
      <c r="D8556" s="1">
        <v>46010</v>
      </c>
      <c r="E8556" t="s">
        <v>4133</v>
      </c>
      <c r="F8556" t="s">
        <v>4139</v>
      </c>
    </row>
    <row r="8557" spans="1:6">
      <c r="A8557" t="s">
        <v>12686</v>
      </c>
      <c r="B8557" t="s">
        <v>2995</v>
      </c>
      <c r="C8557" t="s">
        <v>59</v>
      </c>
      <c r="D8557" s="1">
        <v>46019</v>
      </c>
      <c r="E8557" t="s">
        <v>4133</v>
      </c>
      <c r="F8557" t="s">
        <v>4137</v>
      </c>
    </row>
    <row r="8558" spans="1:6">
      <c r="A8558" t="s">
        <v>12687</v>
      </c>
      <c r="B8558" t="s">
        <v>2996</v>
      </c>
      <c r="C8558" t="s">
        <v>70</v>
      </c>
      <c r="D8558" s="1">
        <v>45809</v>
      </c>
      <c r="E8558" t="s">
        <v>4124</v>
      </c>
      <c r="F8558" t="s">
        <v>4137</v>
      </c>
    </row>
    <row r="8559" spans="1:6">
      <c r="A8559" t="s">
        <v>12688</v>
      </c>
      <c r="B8559" t="s">
        <v>2996</v>
      </c>
      <c r="C8559" t="s">
        <v>70</v>
      </c>
      <c r="D8559" s="1">
        <v>45803</v>
      </c>
      <c r="E8559" t="s">
        <v>4127</v>
      </c>
      <c r="F8559" t="s">
        <v>4137</v>
      </c>
    </row>
    <row r="8560" spans="1:6">
      <c r="A8560" t="s">
        <v>12689</v>
      </c>
      <c r="B8560" t="s">
        <v>2996</v>
      </c>
      <c r="C8560" t="s">
        <v>70</v>
      </c>
      <c r="D8560" s="1">
        <v>45762</v>
      </c>
      <c r="E8560" t="s">
        <v>4135</v>
      </c>
      <c r="F8560" t="s">
        <v>4137</v>
      </c>
    </row>
    <row r="8561" spans="1:6">
      <c r="A8561" t="s">
        <v>12690</v>
      </c>
      <c r="B8561" t="s">
        <v>2996</v>
      </c>
      <c r="C8561" t="s">
        <v>70</v>
      </c>
      <c r="D8561" s="1">
        <v>45808</v>
      </c>
      <c r="E8561" t="s">
        <v>4129</v>
      </c>
      <c r="F8561" t="s">
        <v>4137</v>
      </c>
    </row>
    <row r="8562" spans="1:6">
      <c r="A8562" t="s">
        <v>12691</v>
      </c>
      <c r="B8562" t="s">
        <v>2997</v>
      </c>
      <c r="C8562" t="s">
        <v>32</v>
      </c>
      <c r="D8562" s="1">
        <v>45793</v>
      </c>
      <c r="E8562" t="s">
        <v>4124</v>
      </c>
      <c r="F8562" t="s">
        <v>4139</v>
      </c>
    </row>
    <row r="8563" spans="1:6">
      <c r="A8563" t="s">
        <v>12692</v>
      </c>
      <c r="B8563" t="s">
        <v>2997</v>
      </c>
      <c r="C8563" t="s">
        <v>32</v>
      </c>
      <c r="D8563" s="1">
        <v>45790</v>
      </c>
      <c r="E8563" t="s">
        <v>4127</v>
      </c>
      <c r="F8563" t="s">
        <v>4125</v>
      </c>
    </row>
    <row r="8564" spans="1:6">
      <c r="A8564" t="s">
        <v>12693</v>
      </c>
      <c r="B8564" t="s">
        <v>2998</v>
      </c>
      <c r="C8564" t="s">
        <v>168</v>
      </c>
      <c r="D8564" s="1">
        <v>45875</v>
      </c>
      <c r="E8564" t="s">
        <v>4124</v>
      </c>
      <c r="F8564" t="s">
        <v>4125</v>
      </c>
    </row>
    <row r="8565" spans="1:6">
      <c r="A8565" t="s">
        <v>12694</v>
      </c>
      <c r="B8565" t="s">
        <v>2998</v>
      </c>
      <c r="C8565" t="s">
        <v>168</v>
      </c>
      <c r="D8565" s="1">
        <v>45936</v>
      </c>
      <c r="E8565" t="s">
        <v>4127</v>
      </c>
      <c r="F8565" t="s">
        <v>4125</v>
      </c>
    </row>
    <row r="8566" spans="1:6">
      <c r="A8566" t="s">
        <v>12695</v>
      </c>
      <c r="B8566" t="s">
        <v>2998</v>
      </c>
      <c r="C8566" t="s">
        <v>168</v>
      </c>
      <c r="D8566" s="1">
        <v>45894</v>
      </c>
      <c r="E8566" t="s">
        <v>4124</v>
      </c>
      <c r="F8566" t="s">
        <v>4137</v>
      </c>
    </row>
    <row r="8567" spans="1:6">
      <c r="A8567" t="s">
        <v>12696</v>
      </c>
      <c r="B8567" t="s">
        <v>2998</v>
      </c>
      <c r="C8567" t="s">
        <v>168</v>
      </c>
      <c r="D8567" s="1">
        <v>45897</v>
      </c>
      <c r="E8567" t="s">
        <v>4135</v>
      </c>
      <c r="F8567" t="s">
        <v>4137</v>
      </c>
    </row>
    <row r="8568" spans="1:6">
      <c r="A8568" t="s">
        <v>12697</v>
      </c>
      <c r="B8568" t="s">
        <v>2999</v>
      </c>
      <c r="C8568" t="s">
        <v>59</v>
      </c>
      <c r="D8568" s="1">
        <v>45762</v>
      </c>
      <c r="E8568" t="s">
        <v>4124</v>
      </c>
      <c r="F8568" t="s">
        <v>4137</v>
      </c>
    </row>
    <row r="8569" spans="1:6">
      <c r="A8569" t="s">
        <v>12698</v>
      </c>
      <c r="B8569" t="s">
        <v>2999</v>
      </c>
      <c r="C8569" t="s">
        <v>59</v>
      </c>
      <c r="D8569" s="1">
        <v>45764</v>
      </c>
      <c r="E8569" t="s">
        <v>4129</v>
      </c>
      <c r="F8569" t="s">
        <v>4137</v>
      </c>
    </row>
    <row r="8570" spans="1:6">
      <c r="A8570" t="s">
        <v>12699</v>
      </c>
      <c r="B8570" t="s">
        <v>2999</v>
      </c>
      <c r="C8570" t="s">
        <v>59</v>
      </c>
      <c r="D8570" s="1">
        <v>45718</v>
      </c>
      <c r="E8570" t="s">
        <v>4129</v>
      </c>
      <c r="F8570" t="s">
        <v>4137</v>
      </c>
    </row>
    <row r="8571" spans="1:6">
      <c r="A8571" t="s">
        <v>12700</v>
      </c>
      <c r="B8571" t="s">
        <v>2999</v>
      </c>
      <c r="C8571" t="s">
        <v>59</v>
      </c>
      <c r="D8571" s="1">
        <v>45744</v>
      </c>
      <c r="E8571" t="s">
        <v>4129</v>
      </c>
      <c r="F8571" t="s">
        <v>4139</v>
      </c>
    </row>
    <row r="8572" spans="1:6">
      <c r="A8572" t="s">
        <v>12701</v>
      </c>
      <c r="B8572" t="s">
        <v>3000</v>
      </c>
      <c r="C8572" t="s">
        <v>56</v>
      </c>
      <c r="D8572" s="1">
        <v>46011</v>
      </c>
      <c r="E8572" t="s">
        <v>4135</v>
      </c>
      <c r="F8572" t="s">
        <v>4125</v>
      </c>
    </row>
    <row r="8573" spans="1:6">
      <c r="A8573" t="s">
        <v>12702</v>
      </c>
      <c r="B8573" t="s">
        <v>3000</v>
      </c>
      <c r="C8573" t="s">
        <v>56</v>
      </c>
      <c r="D8573" s="1">
        <v>46018</v>
      </c>
      <c r="E8573" t="s">
        <v>4133</v>
      </c>
      <c r="F8573" t="s">
        <v>4137</v>
      </c>
    </row>
    <row r="8574" spans="1:6">
      <c r="A8574" t="s">
        <v>12703</v>
      </c>
      <c r="B8574" t="s">
        <v>3000</v>
      </c>
      <c r="C8574" t="s">
        <v>56</v>
      </c>
      <c r="D8574" s="1">
        <v>46010</v>
      </c>
      <c r="E8574" t="s">
        <v>4127</v>
      </c>
      <c r="F8574" t="s">
        <v>4137</v>
      </c>
    </row>
    <row r="8575" spans="1:6">
      <c r="A8575" t="s">
        <v>12704</v>
      </c>
      <c r="B8575" t="s">
        <v>3000</v>
      </c>
      <c r="C8575" t="s">
        <v>56</v>
      </c>
      <c r="D8575" s="1">
        <v>46016</v>
      </c>
      <c r="E8575" t="s">
        <v>4133</v>
      </c>
      <c r="F8575" t="s">
        <v>4139</v>
      </c>
    </row>
    <row r="8576" spans="1:6">
      <c r="A8576" t="s">
        <v>12705</v>
      </c>
      <c r="B8576" t="s">
        <v>3001</v>
      </c>
      <c r="C8576" t="s">
        <v>22</v>
      </c>
      <c r="D8576" s="1">
        <v>46003</v>
      </c>
      <c r="E8576" t="s">
        <v>4129</v>
      </c>
      <c r="F8576" t="s">
        <v>4125</v>
      </c>
    </row>
    <row r="8577" spans="1:6">
      <c r="A8577" t="s">
        <v>12706</v>
      </c>
      <c r="B8577" t="s">
        <v>3001</v>
      </c>
      <c r="C8577" t="s">
        <v>22</v>
      </c>
      <c r="D8577" s="1">
        <v>45987</v>
      </c>
      <c r="E8577" t="s">
        <v>4124</v>
      </c>
      <c r="F8577" t="s">
        <v>4139</v>
      </c>
    </row>
    <row r="8578" spans="1:6">
      <c r="A8578" t="s">
        <v>12707</v>
      </c>
      <c r="B8578" t="s">
        <v>3001</v>
      </c>
      <c r="C8578" t="s">
        <v>22</v>
      </c>
      <c r="D8578" s="1">
        <v>45985</v>
      </c>
      <c r="E8578" t="s">
        <v>4135</v>
      </c>
      <c r="F8578" t="s">
        <v>4137</v>
      </c>
    </row>
    <row r="8579" spans="1:6">
      <c r="A8579" t="s">
        <v>12708</v>
      </c>
      <c r="B8579" t="s">
        <v>3001</v>
      </c>
      <c r="C8579" t="s">
        <v>22</v>
      </c>
      <c r="D8579" s="1">
        <v>45998</v>
      </c>
      <c r="E8579" t="s">
        <v>4135</v>
      </c>
      <c r="F8579" t="s">
        <v>4139</v>
      </c>
    </row>
    <row r="8580" spans="1:6">
      <c r="A8580" t="s">
        <v>12709</v>
      </c>
      <c r="B8580" t="s">
        <v>3002</v>
      </c>
      <c r="C8580" t="s">
        <v>46</v>
      </c>
      <c r="D8580" s="1">
        <v>45804</v>
      </c>
      <c r="E8580" t="s">
        <v>4133</v>
      </c>
      <c r="F8580" t="s">
        <v>4125</v>
      </c>
    </row>
    <row r="8581" spans="1:6">
      <c r="A8581" t="s">
        <v>12710</v>
      </c>
      <c r="B8581" t="s">
        <v>3002</v>
      </c>
      <c r="C8581" t="s">
        <v>46</v>
      </c>
      <c r="D8581" s="1">
        <v>45792</v>
      </c>
      <c r="E8581" t="s">
        <v>4124</v>
      </c>
      <c r="F8581" t="s">
        <v>4125</v>
      </c>
    </row>
    <row r="8582" spans="1:6">
      <c r="A8582" t="s">
        <v>12711</v>
      </c>
      <c r="B8582" t="s">
        <v>3002</v>
      </c>
      <c r="C8582" t="s">
        <v>46</v>
      </c>
      <c r="D8582" s="1">
        <v>45842</v>
      </c>
      <c r="E8582" t="s">
        <v>4133</v>
      </c>
      <c r="F8582" t="s">
        <v>4125</v>
      </c>
    </row>
    <row r="8583" spans="1:6">
      <c r="A8583" t="s">
        <v>12712</v>
      </c>
      <c r="B8583" t="s">
        <v>3002</v>
      </c>
      <c r="C8583" t="s">
        <v>46</v>
      </c>
      <c r="D8583" s="1">
        <v>45820</v>
      </c>
      <c r="E8583" t="s">
        <v>4127</v>
      </c>
      <c r="F8583" t="s">
        <v>4137</v>
      </c>
    </row>
    <row r="8584" spans="1:6">
      <c r="A8584" t="s">
        <v>12713</v>
      </c>
      <c r="B8584" t="s">
        <v>3002</v>
      </c>
      <c r="C8584" t="s">
        <v>46</v>
      </c>
      <c r="D8584" s="1">
        <v>45787</v>
      </c>
      <c r="E8584" t="s">
        <v>4133</v>
      </c>
      <c r="F8584" t="s">
        <v>4125</v>
      </c>
    </row>
    <row r="8585" spans="1:6">
      <c r="A8585" t="s">
        <v>12714</v>
      </c>
      <c r="B8585" t="s">
        <v>3003</v>
      </c>
      <c r="C8585" t="s">
        <v>56</v>
      </c>
      <c r="D8585" s="1">
        <v>45962</v>
      </c>
      <c r="E8585" t="s">
        <v>4135</v>
      </c>
      <c r="F8585" t="s">
        <v>4139</v>
      </c>
    </row>
    <row r="8586" spans="1:6">
      <c r="A8586" t="s">
        <v>12715</v>
      </c>
      <c r="B8586" t="s">
        <v>3003</v>
      </c>
      <c r="C8586" t="s">
        <v>56</v>
      </c>
      <c r="D8586" s="1">
        <v>45965</v>
      </c>
      <c r="E8586" t="s">
        <v>4133</v>
      </c>
      <c r="F8586" t="s">
        <v>4139</v>
      </c>
    </row>
    <row r="8587" spans="1:6">
      <c r="A8587" t="s">
        <v>12716</v>
      </c>
      <c r="B8587" t="s">
        <v>3003</v>
      </c>
      <c r="C8587" t="s">
        <v>56</v>
      </c>
      <c r="D8587" s="1">
        <v>45968</v>
      </c>
      <c r="E8587" t="s">
        <v>4127</v>
      </c>
      <c r="F8587" t="s">
        <v>4125</v>
      </c>
    </row>
    <row r="8588" spans="1:6">
      <c r="A8588" t="s">
        <v>12717</v>
      </c>
      <c r="B8588" t="s">
        <v>3004</v>
      </c>
      <c r="C8588" t="s">
        <v>40</v>
      </c>
      <c r="D8588" s="1">
        <v>45699</v>
      </c>
      <c r="E8588" t="s">
        <v>4124</v>
      </c>
      <c r="F8588" t="s">
        <v>4137</v>
      </c>
    </row>
    <row r="8589" spans="1:6">
      <c r="A8589" t="s">
        <v>12718</v>
      </c>
      <c r="B8589" t="s">
        <v>3004</v>
      </c>
      <c r="C8589" t="s">
        <v>40</v>
      </c>
      <c r="D8589" s="1">
        <v>45712</v>
      </c>
      <c r="E8589" t="s">
        <v>4124</v>
      </c>
      <c r="F8589" t="s">
        <v>4139</v>
      </c>
    </row>
    <row r="8590" spans="1:6">
      <c r="A8590" t="s">
        <v>12719</v>
      </c>
      <c r="B8590" t="s">
        <v>3004</v>
      </c>
      <c r="C8590" t="s">
        <v>40</v>
      </c>
      <c r="D8590" s="1">
        <v>45719</v>
      </c>
      <c r="E8590" t="s">
        <v>4135</v>
      </c>
      <c r="F8590" t="s">
        <v>4125</v>
      </c>
    </row>
    <row r="8591" spans="1:6">
      <c r="A8591" t="s">
        <v>12720</v>
      </c>
      <c r="B8591" t="s">
        <v>3004</v>
      </c>
      <c r="C8591" t="s">
        <v>40</v>
      </c>
      <c r="D8591" s="1">
        <v>45683</v>
      </c>
      <c r="E8591" t="s">
        <v>4133</v>
      </c>
      <c r="F8591" t="s">
        <v>4125</v>
      </c>
    </row>
    <row r="8592" spans="1:6">
      <c r="A8592" t="s">
        <v>12721</v>
      </c>
      <c r="B8592" t="s">
        <v>3005</v>
      </c>
      <c r="C8592" t="s">
        <v>32</v>
      </c>
      <c r="D8592" s="1">
        <v>46007</v>
      </c>
      <c r="E8592" t="s">
        <v>4135</v>
      </c>
      <c r="F8592" t="s">
        <v>4125</v>
      </c>
    </row>
    <row r="8593" spans="1:6">
      <c r="A8593" t="s">
        <v>12722</v>
      </c>
      <c r="B8593" t="s">
        <v>3005</v>
      </c>
      <c r="C8593" t="s">
        <v>32</v>
      </c>
      <c r="D8593" s="1">
        <v>46004</v>
      </c>
      <c r="E8593" t="s">
        <v>4133</v>
      </c>
      <c r="F8593" t="s">
        <v>4139</v>
      </c>
    </row>
    <row r="8594" spans="1:6">
      <c r="A8594" t="s">
        <v>12723</v>
      </c>
      <c r="B8594" t="s">
        <v>3005</v>
      </c>
      <c r="C8594" t="s">
        <v>32</v>
      </c>
      <c r="D8594" s="1">
        <v>46006</v>
      </c>
      <c r="E8594" t="s">
        <v>4133</v>
      </c>
      <c r="F8594" t="s">
        <v>4139</v>
      </c>
    </row>
    <row r="8595" spans="1:6">
      <c r="A8595" t="s">
        <v>12724</v>
      </c>
      <c r="B8595" t="s">
        <v>3005</v>
      </c>
      <c r="C8595" t="s">
        <v>32</v>
      </c>
      <c r="D8595" s="1">
        <v>46006</v>
      </c>
      <c r="E8595" t="s">
        <v>4124</v>
      </c>
      <c r="F8595" t="s">
        <v>4139</v>
      </c>
    </row>
    <row r="8596" spans="1:6">
      <c r="A8596" t="s">
        <v>12725</v>
      </c>
      <c r="B8596" t="s">
        <v>3006</v>
      </c>
      <c r="C8596" t="s">
        <v>70</v>
      </c>
      <c r="D8596" s="1">
        <v>46000</v>
      </c>
      <c r="E8596" t="s">
        <v>4127</v>
      </c>
      <c r="F8596" t="s">
        <v>4137</v>
      </c>
    </row>
    <row r="8597" spans="1:6">
      <c r="A8597" t="s">
        <v>12726</v>
      </c>
      <c r="B8597" t="s">
        <v>3006</v>
      </c>
      <c r="C8597" t="s">
        <v>70</v>
      </c>
      <c r="D8597" s="1">
        <v>46006</v>
      </c>
      <c r="E8597" t="s">
        <v>4124</v>
      </c>
      <c r="F8597" t="s">
        <v>4125</v>
      </c>
    </row>
    <row r="8598" spans="1:6">
      <c r="A8598" t="s">
        <v>12727</v>
      </c>
      <c r="B8598" t="s">
        <v>3007</v>
      </c>
      <c r="C8598" t="s">
        <v>56</v>
      </c>
      <c r="D8598" s="1">
        <v>45725</v>
      </c>
      <c r="E8598" t="s">
        <v>4124</v>
      </c>
      <c r="F8598" t="s">
        <v>4137</v>
      </c>
    </row>
    <row r="8599" spans="1:6">
      <c r="A8599" t="s">
        <v>12728</v>
      </c>
      <c r="B8599" t="s">
        <v>3007</v>
      </c>
      <c r="C8599" t="s">
        <v>56</v>
      </c>
      <c r="D8599" s="1">
        <v>45727</v>
      </c>
      <c r="E8599" t="s">
        <v>4127</v>
      </c>
      <c r="F8599" t="s">
        <v>4137</v>
      </c>
    </row>
    <row r="8600" spans="1:6">
      <c r="A8600" t="s">
        <v>12729</v>
      </c>
      <c r="B8600" t="s">
        <v>3007</v>
      </c>
      <c r="C8600" t="s">
        <v>56</v>
      </c>
      <c r="D8600" s="1">
        <v>45705</v>
      </c>
      <c r="E8600" t="s">
        <v>4124</v>
      </c>
      <c r="F8600" t="s">
        <v>4125</v>
      </c>
    </row>
    <row r="8601" spans="1:6">
      <c r="A8601" t="s">
        <v>12730</v>
      </c>
      <c r="B8601" t="s">
        <v>3007</v>
      </c>
      <c r="C8601" t="s">
        <v>56</v>
      </c>
      <c r="D8601" s="1">
        <v>45716</v>
      </c>
      <c r="E8601" t="s">
        <v>4127</v>
      </c>
      <c r="F8601" t="s">
        <v>4139</v>
      </c>
    </row>
    <row r="8602" spans="1:6">
      <c r="A8602" t="s">
        <v>12731</v>
      </c>
      <c r="B8602" t="s">
        <v>3007</v>
      </c>
      <c r="C8602" t="s">
        <v>56</v>
      </c>
      <c r="D8602" s="1">
        <v>45730</v>
      </c>
      <c r="E8602" t="s">
        <v>4133</v>
      </c>
      <c r="F8602" t="s">
        <v>4137</v>
      </c>
    </row>
    <row r="8603" spans="1:6">
      <c r="A8603" t="s">
        <v>12732</v>
      </c>
      <c r="B8603" t="s">
        <v>3008</v>
      </c>
      <c r="C8603" t="s">
        <v>63</v>
      </c>
      <c r="D8603" s="1">
        <v>45961</v>
      </c>
      <c r="E8603" t="s">
        <v>4133</v>
      </c>
      <c r="F8603" t="s">
        <v>4125</v>
      </c>
    </row>
    <row r="8604" spans="1:6">
      <c r="A8604" t="s">
        <v>12733</v>
      </c>
      <c r="B8604" t="s">
        <v>3008</v>
      </c>
      <c r="C8604" t="s">
        <v>63</v>
      </c>
      <c r="D8604" s="1">
        <v>45982</v>
      </c>
      <c r="E8604" t="s">
        <v>4133</v>
      </c>
      <c r="F8604" t="s">
        <v>4125</v>
      </c>
    </row>
    <row r="8605" spans="1:6">
      <c r="A8605" t="s">
        <v>12734</v>
      </c>
      <c r="B8605" t="s">
        <v>3008</v>
      </c>
      <c r="C8605" t="s">
        <v>63</v>
      </c>
      <c r="D8605" s="1">
        <v>45966</v>
      </c>
      <c r="E8605" t="s">
        <v>4127</v>
      </c>
      <c r="F8605" t="s">
        <v>4125</v>
      </c>
    </row>
    <row r="8606" spans="1:6">
      <c r="A8606" t="s">
        <v>12735</v>
      </c>
      <c r="B8606" t="s">
        <v>3008</v>
      </c>
      <c r="C8606" t="s">
        <v>63</v>
      </c>
      <c r="D8606" s="1">
        <v>45972</v>
      </c>
      <c r="E8606" t="s">
        <v>4133</v>
      </c>
      <c r="F8606" t="s">
        <v>4137</v>
      </c>
    </row>
    <row r="8607" spans="1:6">
      <c r="A8607" t="s">
        <v>12736</v>
      </c>
      <c r="B8607" t="s">
        <v>3008</v>
      </c>
      <c r="C8607" t="s">
        <v>63</v>
      </c>
      <c r="D8607" s="1">
        <v>45943</v>
      </c>
      <c r="E8607" t="s">
        <v>4127</v>
      </c>
      <c r="F8607" t="s">
        <v>4125</v>
      </c>
    </row>
    <row r="8608" spans="1:6">
      <c r="A8608" t="s">
        <v>12737</v>
      </c>
      <c r="B8608" t="s">
        <v>3009</v>
      </c>
      <c r="C8608" t="s">
        <v>59</v>
      </c>
      <c r="D8608" s="1">
        <v>45789</v>
      </c>
      <c r="E8608" t="s">
        <v>4124</v>
      </c>
      <c r="F8608" t="s">
        <v>4139</v>
      </c>
    </row>
    <row r="8609" spans="1:6">
      <c r="A8609" t="s">
        <v>12738</v>
      </c>
      <c r="B8609" t="s">
        <v>3009</v>
      </c>
      <c r="C8609" t="s">
        <v>59</v>
      </c>
      <c r="D8609" s="1">
        <v>45844</v>
      </c>
      <c r="E8609" t="s">
        <v>4135</v>
      </c>
      <c r="F8609" t="s">
        <v>4137</v>
      </c>
    </row>
    <row r="8610" spans="1:6">
      <c r="A8610" t="s">
        <v>12739</v>
      </c>
      <c r="B8610" t="s">
        <v>3010</v>
      </c>
      <c r="C8610" t="s">
        <v>126</v>
      </c>
      <c r="D8610" s="1">
        <v>45746</v>
      </c>
      <c r="E8610" t="s">
        <v>4135</v>
      </c>
      <c r="F8610" t="s">
        <v>4139</v>
      </c>
    </row>
    <row r="8611" spans="1:6">
      <c r="A8611" t="s">
        <v>12740</v>
      </c>
      <c r="B8611" t="s">
        <v>3010</v>
      </c>
      <c r="C8611" t="s">
        <v>126</v>
      </c>
      <c r="D8611" s="1">
        <v>45763</v>
      </c>
      <c r="E8611" t="s">
        <v>4127</v>
      </c>
      <c r="F8611" t="s">
        <v>4125</v>
      </c>
    </row>
    <row r="8612" spans="1:6">
      <c r="A8612" t="s">
        <v>12741</v>
      </c>
      <c r="B8612" t="s">
        <v>3010</v>
      </c>
      <c r="C8612" t="s">
        <v>126</v>
      </c>
      <c r="D8612" s="1">
        <v>45779</v>
      </c>
      <c r="E8612" t="s">
        <v>4127</v>
      </c>
      <c r="F8612" t="s">
        <v>4137</v>
      </c>
    </row>
    <row r="8613" spans="1:6">
      <c r="A8613" t="s">
        <v>12742</v>
      </c>
      <c r="B8613" t="s">
        <v>3011</v>
      </c>
      <c r="C8613" t="s">
        <v>50</v>
      </c>
      <c r="D8613" s="1">
        <v>45735</v>
      </c>
      <c r="E8613" t="s">
        <v>4135</v>
      </c>
      <c r="F8613" t="s">
        <v>4139</v>
      </c>
    </row>
    <row r="8614" spans="1:6">
      <c r="A8614" t="s">
        <v>12743</v>
      </c>
      <c r="B8614" t="s">
        <v>3011</v>
      </c>
      <c r="C8614" t="s">
        <v>50</v>
      </c>
      <c r="D8614" s="1">
        <v>45680</v>
      </c>
      <c r="E8614" t="s">
        <v>4124</v>
      </c>
      <c r="F8614" t="s">
        <v>4125</v>
      </c>
    </row>
    <row r="8615" spans="1:6">
      <c r="A8615" t="s">
        <v>12744</v>
      </c>
      <c r="B8615" t="s">
        <v>3011</v>
      </c>
      <c r="C8615" t="s">
        <v>50</v>
      </c>
      <c r="D8615" s="1">
        <v>45699</v>
      </c>
      <c r="E8615" t="s">
        <v>4124</v>
      </c>
      <c r="F8615" t="s">
        <v>4137</v>
      </c>
    </row>
    <row r="8616" spans="1:6">
      <c r="A8616" t="s">
        <v>12745</v>
      </c>
      <c r="B8616" t="s">
        <v>3011</v>
      </c>
      <c r="C8616" t="s">
        <v>50</v>
      </c>
      <c r="D8616" s="1">
        <v>45730</v>
      </c>
      <c r="E8616" t="s">
        <v>4129</v>
      </c>
      <c r="F8616" t="s">
        <v>4139</v>
      </c>
    </row>
    <row r="8617" spans="1:6">
      <c r="A8617" t="s">
        <v>12746</v>
      </c>
      <c r="B8617" t="s">
        <v>3011</v>
      </c>
      <c r="C8617" t="s">
        <v>50</v>
      </c>
      <c r="D8617" s="1">
        <v>45729</v>
      </c>
      <c r="E8617" t="s">
        <v>4133</v>
      </c>
      <c r="F8617" t="s">
        <v>4125</v>
      </c>
    </row>
    <row r="8618" spans="1:6">
      <c r="A8618" t="s">
        <v>12747</v>
      </c>
      <c r="B8618" t="s">
        <v>3012</v>
      </c>
      <c r="C8618" t="s">
        <v>46</v>
      </c>
      <c r="D8618" s="1">
        <v>45708</v>
      </c>
      <c r="E8618" t="s">
        <v>4124</v>
      </c>
      <c r="F8618" t="s">
        <v>4125</v>
      </c>
    </row>
    <row r="8619" spans="1:6">
      <c r="A8619" t="s">
        <v>12748</v>
      </c>
      <c r="B8619" t="s">
        <v>3012</v>
      </c>
      <c r="C8619" t="s">
        <v>46</v>
      </c>
      <c r="D8619" s="1">
        <v>45707</v>
      </c>
      <c r="E8619" t="s">
        <v>4129</v>
      </c>
      <c r="F8619" t="s">
        <v>4125</v>
      </c>
    </row>
    <row r="8620" spans="1:6">
      <c r="A8620" t="s">
        <v>12749</v>
      </c>
      <c r="B8620" t="s">
        <v>3012</v>
      </c>
      <c r="C8620" t="s">
        <v>46</v>
      </c>
      <c r="D8620" s="1">
        <v>45696</v>
      </c>
      <c r="E8620" t="s">
        <v>4135</v>
      </c>
      <c r="F8620" t="s">
        <v>4125</v>
      </c>
    </row>
    <row r="8621" spans="1:6">
      <c r="A8621" t="s">
        <v>12750</v>
      </c>
      <c r="B8621" t="s">
        <v>3012</v>
      </c>
      <c r="C8621" t="s">
        <v>46</v>
      </c>
      <c r="D8621" s="1">
        <v>45692</v>
      </c>
      <c r="E8621" t="s">
        <v>4127</v>
      </c>
      <c r="F8621" t="s">
        <v>4125</v>
      </c>
    </row>
    <row r="8622" spans="1:6">
      <c r="A8622" t="s">
        <v>12751</v>
      </c>
      <c r="B8622" t="s">
        <v>3012</v>
      </c>
      <c r="C8622" t="s">
        <v>46</v>
      </c>
      <c r="D8622" s="1">
        <v>45708</v>
      </c>
      <c r="E8622" t="s">
        <v>4124</v>
      </c>
      <c r="F8622" t="s">
        <v>4139</v>
      </c>
    </row>
    <row r="8623" spans="1:6">
      <c r="A8623" t="s">
        <v>12752</v>
      </c>
      <c r="B8623" t="s">
        <v>3013</v>
      </c>
      <c r="C8623" t="s">
        <v>56</v>
      </c>
      <c r="D8623" s="1">
        <v>45911</v>
      </c>
      <c r="E8623" t="s">
        <v>4127</v>
      </c>
      <c r="F8623" t="s">
        <v>4137</v>
      </c>
    </row>
    <row r="8624" spans="1:6">
      <c r="A8624" t="s">
        <v>12753</v>
      </c>
      <c r="B8624" t="s">
        <v>3013</v>
      </c>
      <c r="C8624" t="s">
        <v>56</v>
      </c>
      <c r="D8624" s="1">
        <v>45889</v>
      </c>
      <c r="E8624" t="s">
        <v>4133</v>
      </c>
      <c r="F8624" t="s">
        <v>4139</v>
      </c>
    </row>
    <row r="8625" spans="1:6">
      <c r="A8625" t="s">
        <v>12754</v>
      </c>
      <c r="B8625" t="s">
        <v>3014</v>
      </c>
      <c r="C8625" t="s">
        <v>50</v>
      </c>
      <c r="D8625" s="1">
        <v>46019</v>
      </c>
      <c r="E8625" t="s">
        <v>4124</v>
      </c>
      <c r="F8625" t="s">
        <v>4137</v>
      </c>
    </row>
    <row r="8626" spans="1:6">
      <c r="A8626" t="s">
        <v>12755</v>
      </c>
      <c r="B8626" t="s">
        <v>3014</v>
      </c>
      <c r="C8626" t="s">
        <v>50</v>
      </c>
      <c r="D8626" s="1">
        <v>46019</v>
      </c>
      <c r="E8626" t="s">
        <v>4127</v>
      </c>
      <c r="F8626" t="s">
        <v>4139</v>
      </c>
    </row>
    <row r="8627" spans="1:6">
      <c r="A8627" t="s">
        <v>12756</v>
      </c>
      <c r="B8627" t="s">
        <v>3014</v>
      </c>
      <c r="C8627" t="s">
        <v>50</v>
      </c>
      <c r="D8627" s="1">
        <v>46013</v>
      </c>
      <c r="E8627" t="s">
        <v>4124</v>
      </c>
      <c r="F8627" t="s">
        <v>4137</v>
      </c>
    </row>
    <row r="8628" spans="1:6">
      <c r="A8628" t="s">
        <v>12757</v>
      </c>
      <c r="B8628" t="s">
        <v>3014</v>
      </c>
      <c r="C8628" t="s">
        <v>50</v>
      </c>
      <c r="D8628" s="1">
        <v>46017</v>
      </c>
      <c r="E8628" t="s">
        <v>4127</v>
      </c>
      <c r="F8628" t="s">
        <v>4125</v>
      </c>
    </row>
    <row r="8629" spans="1:6">
      <c r="A8629" t="s">
        <v>12758</v>
      </c>
      <c r="B8629" t="s">
        <v>3014</v>
      </c>
      <c r="C8629" t="s">
        <v>50</v>
      </c>
      <c r="D8629" s="1">
        <v>46018</v>
      </c>
      <c r="E8629" t="s">
        <v>4124</v>
      </c>
      <c r="F8629" t="s">
        <v>4125</v>
      </c>
    </row>
    <row r="8630" spans="1:6">
      <c r="A8630" t="s">
        <v>12759</v>
      </c>
      <c r="B8630" t="s">
        <v>3015</v>
      </c>
      <c r="C8630" t="s">
        <v>32</v>
      </c>
      <c r="D8630" s="1">
        <v>46002</v>
      </c>
      <c r="E8630" t="s">
        <v>4133</v>
      </c>
      <c r="F8630" t="s">
        <v>4137</v>
      </c>
    </row>
    <row r="8631" spans="1:6">
      <c r="A8631" t="s">
        <v>12760</v>
      </c>
      <c r="B8631" t="s">
        <v>3015</v>
      </c>
      <c r="C8631" t="s">
        <v>32</v>
      </c>
      <c r="D8631" s="1">
        <v>45973</v>
      </c>
      <c r="E8631" t="s">
        <v>4129</v>
      </c>
      <c r="F8631" t="s">
        <v>4125</v>
      </c>
    </row>
    <row r="8632" spans="1:6">
      <c r="A8632" t="s">
        <v>12761</v>
      </c>
      <c r="B8632" t="s">
        <v>3015</v>
      </c>
      <c r="C8632" t="s">
        <v>32</v>
      </c>
      <c r="D8632" s="1">
        <v>45981</v>
      </c>
      <c r="E8632" t="s">
        <v>4127</v>
      </c>
      <c r="F8632" t="s">
        <v>4125</v>
      </c>
    </row>
    <row r="8633" spans="1:6">
      <c r="A8633" t="s">
        <v>12762</v>
      </c>
      <c r="B8633" t="s">
        <v>3016</v>
      </c>
      <c r="C8633" t="s">
        <v>119</v>
      </c>
      <c r="D8633" s="1">
        <v>45833</v>
      </c>
      <c r="E8633" t="s">
        <v>4133</v>
      </c>
      <c r="F8633" t="s">
        <v>4137</v>
      </c>
    </row>
    <row r="8634" spans="1:6">
      <c r="A8634" t="s">
        <v>12763</v>
      </c>
      <c r="B8634" t="s">
        <v>3016</v>
      </c>
      <c r="C8634" t="s">
        <v>119</v>
      </c>
      <c r="D8634" s="1">
        <v>45812</v>
      </c>
      <c r="E8634" t="s">
        <v>4127</v>
      </c>
      <c r="F8634" t="s">
        <v>4137</v>
      </c>
    </row>
    <row r="8635" spans="1:6">
      <c r="A8635" t="s">
        <v>12764</v>
      </c>
      <c r="B8635" t="s">
        <v>3016</v>
      </c>
      <c r="C8635" t="s">
        <v>119</v>
      </c>
      <c r="D8635" s="1">
        <v>45821</v>
      </c>
      <c r="E8635" t="s">
        <v>4127</v>
      </c>
      <c r="F8635" t="s">
        <v>4125</v>
      </c>
    </row>
    <row r="8636" spans="1:6">
      <c r="A8636" t="s">
        <v>12765</v>
      </c>
      <c r="B8636" t="s">
        <v>3017</v>
      </c>
      <c r="C8636" t="s">
        <v>63</v>
      </c>
      <c r="D8636" s="1">
        <v>45938</v>
      </c>
      <c r="E8636" t="s">
        <v>4124</v>
      </c>
      <c r="F8636" t="s">
        <v>4137</v>
      </c>
    </row>
    <row r="8637" spans="1:6">
      <c r="A8637" t="s">
        <v>12766</v>
      </c>
      <c r="B8637" t="s">
        <v>3017</v>
      </c>
      <c r="C8637" t="s">
        <v>63</v>
      </c>
      <c r="D8637" s="1">
        <v>45875</v>
      </c>
      <c r="E8637" t="s">
        <v>4124</v>
      </c>
      <c r="F8637" t="s">
        <v>4137</v>
      </c>
    </row>
    <row r="8638" spans="1:6">
      <c r="A8638" t="s">
        <v>12767</v>
      </c>
      <c r="B8638" t="s">
        <v>3017</v>
      </c>
      <c r="C8638" t="s">
        <v>63</v>
      </c>
      <c r="D8638" s="1">
        <v>45879</v>
      </c>
      <c r="E8638" t="s">
        <v>4129</v>
      </c>
      <c r="F8638" t="s">
        <v>4139</v>
      </c>
    </row>
    <row r="8639" spans="1:6">
      <c r="A8639" t="s">
        <v>12768</v>
      </c>
      <c r="B8639" t="s">
        <v>3018</v>
      </c>
      <c r="C8639" t="s">
        <v>91</v>
      </c>
      <c r="D8639" s="1">
        <v>45867</v>
      </c>
      <c r="E8639" t="s">
        <v>4127</v>
      </c>
      <c r="F8639" t="s">
        <v>4137</v>
      </c>
    </row>
    <row r="8640" spans="1:6">
      <c r="A8640" t="s">
        <v>12769</v>
      </c>
      <c r="B8640" t="s">
        <v>3018</v>
      </c>
      <c r="C8640" t="s">
        <v>91</v>
      </c>
      <c r="D8640" s="1">
        <v>45886</v>
      </c>
      <c r="E8640" t="s">
        <v>4129</v>
      </c>
      <c r="F8640" t="s">
        <v>4125</v>
      </c>
    </row>
    <row r="8641" spans="1:6">
      <c r="A8641" t="s">
        <v>12770</v>
      </c>
      <c r="B8641" t="s">
        <v>3019</v>
      </c>
      <c r="C8641" t="s">
        <v>70</v>
      </c>
      <c r="D8641" s="1">
        <v>45990</v>
      </c>
      <c r="E8641" t="s">
        <v>4124</v>
      </c>
      <c r="F8641" t="s">
        <v>4137</v>
      </c>
    </row>
    <row r="8642" spans="1:6">
      <c r="A8642" t="s">
        <v>12771</v>
      </c>
      <c r="B8642" t="s">
        <v>3019</v>
      </c>
      <c r="C8642" t="s">
        <v>70</v>
      </c>
      <c r="D8642" s="1">
        <v>45945</v>
      </c>
      <c r="E8642" t="s">
        <v>4133</v>
      </c>
      <c r="F8642" t="s">
        <v>4139</v>
      </c>
    </row>
    <row r="8643" spans="1:6">
      <c r="A8643" t="s">
        <v>12772</v>
      </c>
      <c r="B8643" t="s">
        <v>3020</v>
      </c>
      <c r="C8643" t="s">
        <v>50</v>
      </c>
      <c r="D8643" s="1">
        <v>45846</v>
      </c>
      <c r="E8643" t="s">
        <v>4124</v>
      </c>
      <c r="F8643" t="s">
        <v>4125</v>
      </c>
    </row>
    <row r="8644" spans="1:6">
      <c r="A8644" t="s">
        <v>12773</v>
      </c>
      <c r="B8644" t="s">
        <v>3020</v>
      </c>
      <c r="C8644" t="s">
        <v>50</v>
      </c>
      <c r="D8644" s="1">
        <v>45806</v>
      </c>
      <c r="E8644" t="s">
        <v>4124</v>
      </c>
      <c r="F8644" t="s">
        <v>4139</v>
      </c>
    </row>
    <row r="8645" spans="1:6">
      <c r="A8645" t="s">
        <v>12774</v>
      </c>
      <c r="B8645" t="s">
        <v>3020</v>
      </c>
      <c r="C8645" t="s">
        <v>50</v>
      </c>
      <c r="D8645" s="1">
        <v>45779</v>
      </c>
      <c r="E8645" t="s">
        <v>4124</v>
      </c>
      <c r="F8645" t="s">
        <v>4137</v>
      </c>
    </row>
    <row r="8646" spans="1:6">
      <c r="A8646" t="s">
        <v>12775</v>
      </c>
      <c r="B8646" t="s">
        <v>3020</v>
      </c>
      <c r="C8646" t="s">
        <v>50</v>
      </c>
      <c r="D8646" s="1">
        <v>45776</v>
      </c>
      <c r="E8646" t="s">
        <v>4129</v>
      </c>
      <c r="F8646" t="s">
        <v>4137</v>
      </c>
    </row>
    <row r="8647" spans="1:6">
      <c r="A8647" t="s">
        <v>12776</v>
      </c>
      <c r="B8647" t="s">
        <v>3020</v>
      </c>
      <c r="C8647" t="s">
        <v>50</v>
      </c>
      <c r="D8647" s="1">
        <v>45791</v>
      </c>
      <c r="E8647" t="s">
        <v>4124</v>
      </c>
      <c r="F8647" t="s">
        <v>4137</v>
      </c>
    </row>
    <row r="8648" spans="1:6">
      <c r="A8648" t="s">
        <v>12777</v>
      </c>
      <c r="B8648" t="s">
        <v>3021</v>
      </c>
      <c r="C8648" t="s">
        <v>119</v>
      </c>
      <c r="D8648" s="1">
        <v>45902</v>
      </c>
      <c r="E8648" t="s">
        <v>4133</v>
      </c>
      <c r="F8648" t="s">
        <v>4139</v>
      </c>
    </row>
    <row r="8649" spans="1:6">
      <c r="A8649" t="s">
        <v>12778</v>
      </c>
      <c r="B8649" t="s">
        <v>3021</v>
      </c>
      <c r="C8649" t="s">
        <v>119</v>
      </c>
      <c r="D8649" s="1">
        <v>45868</v>
      </c>
      <c r="E8649" t="s">
        <v>4135</v>
      </c>
      <c r="F8649" t="s">
        <v>4139</v>
      </c>
    </row>
    <row r="8650" spans="1:6">
      <c r="A8650" t="s">
        <v>12779</v>
      </c>
      <c r="B8650" t="s">
        <v>3021</v>
      </c>
      <c r="C8650" t="s">
        <v>119</v>
      </c>
      <c r="D8650" s="1">
        <v>45894</v>
      </c>
      <c r="E8650" t="s">
        <v>4135</v>
      </c>
      <c r="F8650" t="s">
        <v>4137</v>
      </c>
    </row>
    <row r="8651" spans="1:6">
      <c r="A8651" t="s">
        <v>12780</v>
      </c>
      <c r="B8651" t="s">
        <v>3022</v>
      </c>
      <c r="C8651" t="s">
        <v>50</v>
      </c>
      <c r="D8651" s="1">
        <v>45908</v>
      </c>
      <c r="E8651" t="s">
        <v>4129</v>
      </c>
      <c r="F8651" t="s">
        <v>4137</v>
      </c>
    </row>
    <row r="8652" spans="1:6">
      <c r="A8652" t="s">
        <v>12781</v>
      </c>
      <c r="B8652" t="s">
        <v>3022</v>
      </c>
      <c r="C8652" t="s">
        <v>50</v>
      </c>
      <c r="D8652" s="1">
        <v>45930</v>
      </c>
      <c r="E8652" t="s">
        <v>4133</v>
      </c>
      <c r="F8652" t="s">
        <v>4137</v>
      </c>
    </row>
    <row r="8653" spans="1:6">
      <c r="A8653" t="s">
        <v>12782</v>
      </c>
      <c r="B8653" t="s">
        <v>3022</v>
      </c>
      <c r="C8653" t="s">
        <v>50</v>
      </c>
      <c r="D8653" s="1">
        <v>45901</v>
      </c>
      <c r="E8653" t="s">
        <v>4124</v>
      </c>
      <c r="F8653" t="s">
        <v>4137</v>
      </c>
    </row>
    <row r="8654" spans="1:6">
      <c r="A8654" t="s">
        <v>12783</v>
      </c>
      <c r="B8654" t="s">
        <v>3022</v>
      </c>
      <c r="C8654" t="s">
        <v>50</v>
      </c>
      <c r="D8654" s="1">
        <v>45907</v>
      </c>
      <c r="E8654" t="s">
        <v>4135</v>
      </c>
      <c r="F8654" t="s">
        <v>4137</v>
      </c>
    </row>
    <row r="8655" spans="1:6">
      <c r="A8655" t="s">
        <v>12784</v>
      </c>
      <c r="B8655" t="s">
        <v>3023</v>
      </c>
      <c r="C8655" t="s">
        <v>152</v>
      </c>
      <c r="D8655" s="1">
        <v>45822</v>
      </c>
      <c r="E8655" t="s">
        <v>4133</v>
      </c>
      <c r="F8655" t="s">
        <v>4139</v>
      </c>
    </row>
    <row r="8656" spans="1:6">
      <c r="A8656" t="s">
        <v>12785</v>
      </c>
      <c r="B8656" t="s">
        <v>3023</v>
      </c>
      <c r="C8656" t="s">
        <v>152</v>
      </c>
      <c r="D8656" s="1">
        <v>45810</v>
      </c>
      <c r="E8656" t="s">
        <v>4129</v>
      </c>
      <c r="F8656" t="s">
        <v>4125</v>
      </c>
    </row>
    <row r="8657" spans="1:6">
      <c r="A8657" t="s">
        <v>12786</v>
      </c>
      <c r="B8657" t="s">
        <v>3024</v>
      </c>
      <c r="C8657" t="s">
        <v>63</v>
      </c>
      <c r="D8657" s="1">
        <v>45747</v>
      </c>
      <c r="E8657" t="s">
        <v>4127</v>
      </c>
      <c r="F8657" t="s">
        <v>4139</v>
      </c>
    </row>
    <row r="8658" spans="1:6">
      <c r="A8658" t="s">
        <v>12787</v>
      </c>
      <c r="B8658" t="s">
        <v>3024</v>
      </c>
      <c r="C8658" t="s">
        <v>63</v>
      </c>
      <c r="D8658" s="1">
        <v>45745</v>
      </c>
      <c r="E8658" t="s">
        <v>4127</v>
      </c>
      <c r="F8658" t="s">
        <v>4137</v>
      </c>
    </row>
    <row r="8659" spans="1:6">
      <c r="A8659" t="s">
        <v>12788</v>
      </c>
      <c r="B8659" t="s">
        <v>3024</v>
      </c>
      <c r="C8659" t="s">
        <v>63</v>
      </c>
      <c r="D8659" s="1">
        <v>45749</v>
      </c>
      <c r="E8659" t="s">
        <v>4124</v>
      </c>
      <c r="F8659" t="s">
        <v>4125</v>
      </c>
    </row>
    <row r="8660" spans="1:6">
      <c r="A8660" t="s">
        <v>12789</v>
      </c>
      <c r="B8660" t="s">
        <v>3025</v>
      </c>
      <c r="C8660" t="s">
        <v>46</v>
      </c>
      <c r="D8660" s="1">
        <v>45717</v>
      </c>
      <c r="E8660" t="s">
        <v>4135</v>
      </c>
      <c r="F8660" t="s">
        <v>4137</v>
      </c>
    </row>
    <row r="8661" spans="1:6">
      <c r="A8661" t="s">
        <v>12790</v>
      </c>
      <c r="B8661" t="s">
        <v>3025</v>
      </c>
      <c r="C8661" t="s">
        <v>46</v>
      </c>
      <c r="D8661" s="1">
        <v>45678</v>
      </c>
      <c r="E8661" t="s">
        <v>4127</v>
      </c>
      <c r="F8661" t="s">
        <v>4139</v>
      </c>
    </row>
    <row r="8662" spans="1:6">
      <c r="A8662" t="s">
        <v>12791</v>
      </c>
      <c r="B8662" t="s">
        <v>3026</v>
      </c>
      <c r="C8662" t="s">
        <v>32</v>
      </c>
      <c r="D8662" s="1">
        <v>45830</v>
      </c>
      <c r="E8662" t="s">
        <v>4135</v>
      </c>
      <c r="F8662" t="s">
        <v>4137</v>
      </c>
    </row>
    <row r="8663" spans="1:6">
      <c r="A8663" t="s">
        <v>12792</v>
      </c>
      <c r="B8663" t="s">
        <v>3026</v>
      </c>
      <c r="C8663" t="s">
        <v>32</v>
      </c>
      <c r="D8663" s="1">
        <v>45853</v>
      </c>
      <c r="E8663" t="s">
        <v>4129</v>
      </c>
      <c r="F8663" t="s">
        <v>4125</v>
      </c>
    </row>
    <row r="8664" spans="1:6">
      <c r="A8664" t="s">
        <v>12793</v>
      </c>
      <c r="B8664" t="s">
        <v>3026</v>
      </c>
      <c r="C8664" t="s">
        <v>32</v>
      </c>
      <c r="D8664" s="1">
        <v>45837</v>
      </c>
      <c r="E8664" t="s">
        <v>4135</v>
      </c>
      <c r="F8664" t="s">
        <v>4139</v>
      </c>
    </row>
    <row r="8665" spans="1:6">
      <c r="A8665" t="s">
        <v>12794</v>
      </c>
      <c r="B8665" t="s">
        <v>3026</v>
      </c>
      <c r="C8665" t="s">
        <v>32</v>
      </c>
      <c r="D8665" s="1">
        <v>45840</v>
      </c>
      <c r="E8665" t="s">
        <v>4127</v>
      </c>
      <c r="F8665" t="s">
        <v>4137</v>
      </c>
    </row>
    <row r="8666" spans="1:6">
      <c r="A8666" t="s">
        <v>12795</v>
      </c>
      <c r="B8666" t="s">
        <v>3026</v>
      </c>
      <c r="C8666" t="s">
        <v>32</v>
      </c>
      <c r="D8666" s="1">
        <v>45864</v>
      </c>
      <c r="E8666" t="s">
        <v>4127</v>
      </c>
      <c r="F8666" t="s">
        <v>4139</v>
      </c>
    </row>
    <row r="8667" spans="1:6">
      <c r="A8667" t="s">
        <v>12796</v>
      </c>
      <c r="B8667" t="s">
        <v>3027</v>
      </c>
      <c r="C8667" t="s">
        <v>56</v>
      </c>
      <c r="D8667" s="1">
        <v>45821</v>
      </c>
      <c r="E8667" t="s">
        <v>4135</v>
      </c>
      <c r="F8667" t="s">
        <v>4125</v>
      </c>
    </row>
    <row r="8668" spans="1:6">
      <c r="A8668" t="s">
        <v>12797</v>
      </c>
      <c r="B8668" t="s">
        <v>3027</v>
      </c>
      <c r="C8668" t="s">
        <v>56</v>
      </c>
      <c r="D8668" s="1">
        <v>45840</v>
      </c>
      <c r="E8668" t="s">
        <v>4127</v>
      </c>
      <c r="F8668" t="s">
        <v>4139</v>
      </c>
    </row>
    <row r="8669" spans="1:6">
      <c r="A8669" t="s">
        <v>12798</v>
      </c>
      <c r="B8669" t="s">
        <v>3028</v>
      </c>
      <c r="C8669" t="s">
        <v>16</v>
      </c>
      <c r="D8669" s="1">
        <v>45698</v>
      </c>
      <c r="E8669" t="s">
        <v>4135</v>
      </c>
      <c r="F8669" t="s">
        <v>4125</v>
      </c>
    </row>
    <row r="8670" spans="1:6">
      <c r="A8670" t="s">
        <v>12799</v>
      </c>
      <c r="B8670" t="s">
        <v>3028</v>
      </c>
      <c r="C8670" t="s">
        <v>16</v>
      </c>
      <c r="D8670" s="1">
        <v>45704</v>
      </c>
      <c r="E8670" t="s">
        <v>4127</v>
      </c>
      <c r="F8670" t="s">
        <v>4139</v>
      </c>
    </row>
    <row r="8671" spans="1:6">
      <c r="A8671" t="s">
        <v>12800</v>
      </c>
      <c r="B8671" t="s">
        <v>3028</v>
      </c>
      <c r="C8671" t="s">
        <v>16</v>
      </c>
      <c r="D8671" s="1">
        <v>45697</v>
      </c>
      <c r="E8671" t="s">
        <v>4127</v>
      </c>
      <c r="F8671" t="s">
        <v>4125</v>
      </c>
    </row>
    <row r="8672" spans="1:6">
      <c r="A8672" t="s">
        <v>12801</v>
      </c>
      <c r="B8672" t="s">
        <v>3028</v>
      </c>
      <c r="C8672" t="s">
        <v>16</v>
      </c>
      <c r="D8672" s="1">
        <v>45704</v>
      </c>
      <c r="E8672" t="s">
        <v>4127</v>
      </c>
      <c r="F8672" t="s">
        <v>4125</v>
      </c>
    </row>
    <row r="8673" spans="1:6">
      <c r="A8673" t="s">
        <v>12802</v>
      </c>
      <c r="B8673" t="s">
        <v>3028</v>
      </c>
      <c r="C8673" t="s">
        <v>16</v>
      </c>
      <c r="D8673" s="1">
        <v>45702</v>
      </c>
      <c r="E8673" t="s">
        <v>4127</v>
      </c>
      <c r="F8673" t="s">
        <v>4137</v>
      </c>
    </row>
    <row r="8674" spans="1:6">
      <c r="A8674" t="s">
        <v>12803</v>
      </c>
      <c r="B8674" t="s">
        <v>3029</v>
      </c>
      <c r="C8674" t="s">
        <v>78</v>
      </c>
      <c r="D8674" s="1">
        <v>46016</v>
      </c>
      <c r="E8674" t="s">
        <v>4135</v>
      </c>
      <c r="F8674" t="s">
        <v>4137</v>
      </c>
    </row>
    <row r="8675" spans="1:6">
      <c r="A8675" t="s">
        <v>12804</v>
      </c>
      <c r="B8675" t="s">
        <v>3029</v>
      </c>
      <c r="C8675" t="s">
        <v>78</v>
      </c>
      <c r="D8675" s="1">
        <v>46003</v>
      </c>
      <c r="E8675" t="s">
        <v>4127</v>
      </c>
      <c r="F8675" t="s">
        <v>4125</v>
      </c>
    </row>
    <row r="8676" spans="1:6">
      <c r="A8676" t="s">
        <v>12805</v>
      </c>
      <c r="B8676" t="s">
        <v>3029</v>
      </c>
      <c r="C8676" t="s">
        <v>78</v>
      </c>
      <c r="D8676" s="1">
        <v>45996</v>
      </c>
      <c r="E8676" t="s">
        <v>4133</v>
      </c>
      <c r="F8676" t="s">
        <v>4125</v>
      </c>
    </row>
    <row r="8677" spans="1:6">
      <c r="A8677" t="s">
        <v>12806</v>
      </c>
      <c r="B8677" t="s">
        <v>3029</v>
      </c>
      <c r="C8677" t="s">
        <v>78</v>
      </c>
      <c r="D8677" s="1">
        <v>46021</v>
      </c>
      <c r="E8677" t="s">
        <v>4129</v>
      </c>
      <c r="F8677" t="s">
        <v>4125</v>
      </c>
    </row>
    <row r="8678" spans="1:6">
      <c r="A8678" t="s">
        <v>12807</v>
      </c>
      <c r="B8678" t="s">
        <v>3029</v>
      </c>
      <c r="C8678" t="s">
        <v>78</v>
      </c>
      <c r="D8678" s="1">
        <v>46000</v>
      </c>
      <c r="E8678" t="s">
        <v>4129</v>
      </c>
      <c r="F8678" t="s">
        <v>4125</v>
      </c>
    </row>
    <row r="8679" spans="1:6">
      <c r="A8679" t="s">
        <v>12808</v>
      </c>
      <c r="B8679" t="s">
        <v>3030</v>
      </c>
      <c r="C8679" t="s">
        <v>168</v>
      </c>
      <c r="D8679" s="1">
        <v>45836</v>
      </c>
      <c r="E8679" t="s">
        <v>4129</v>
      </c>
      <c r="F8679" t="s">
        <v>4125</v>
      </c>
    </row>
    <row r="8680" spans="1:6">
      <c r="A8680" t="s">
        <v>12809</v>
      </c>
      <c r="B8680" t="s">
        <v>3030</v>
      </c>
      <c r="C8680" t="s">
        <v>168</v>
      </c>
      <c r="D8680" s="1">
        <v>45855</v>
      </c>
      <c r="E8680" t="s">
        <v>4133</v>
      </c>
      <c r="F8680" t="s">
        <v>4137</v>
      </c>
    </row>
    <row r="8681" spans="1:6">
      <c r="A8681" t="s">
        <v>12810</v>
      </c>
      <c r="B8681" t="s">
        <v>3030</v>
      </c>
      <c r="C8681" t="s">
        <v>168</v>
      </c>
      <c r="D8681" s="1">
        <v>45872</v>
      </c>
      <c r="E8681" t="s">
        <v>4129</v>
      </c>
      <c r="F8681" t="s">
        <v>4139</v>
      </c>
    </row>
    <row r="8682" spans="1:6">
      <c r="A8682" t="s">
        <v>12811</v>
      </c>
      <c r="B8682" t="s">
        <v>3030</v>
      </c>
      <c r="C8682" t="s">
        <v>168</v>
      </c>
      <c r="D8682" s="1">
        <v>45876</v>
      </c>
      <c r="E8682" t="s">
        <v>4135</v>
      </c>
      <c r="F8682" t="s">
        <v>4125</v>
      </c>
    </row>
    <row r="8683" spans="1:6">
      <c r="A8683" t="s">
        <v>12812</v>
      </c>
      <c r="B8683" t="s">
        <v>3030</v>
      </c>
      <c r="C8683" t="s">
        <v>168</v>
      </c>
      <c r="D8683" s="1">
        <v>45846</v>
      </c>
      <c r="E8683" t="s">
        <v>4124</v>
      </c>
      <c r="F8683" t="s">
        <v>4137</v>
      </c>
    </row>
    <row r="8684" spans="1:6">
      <c r="A8684" t="s">
        <v>12813</v>
      </c>
      <c r="B8684" t="s">
        <v>3031</v>
      </c>
      <c r="C8684" t="s">
        <v>75</v>
      </c>
      <c r="D8684" s="1">
        <v>45791</v>
      </c>
      <c r="E8684" t="s">
        <v>4127</v>
      </c>
      <c r="F8684" t="s">
        <v>4125</v>
      </c>
    </row>
    <row r="8685" spans="1:6">
      <c r="A8685" t="s">
        <v>12814</v>
      </c>
      <c r="B8685" t="s">
        <v>3031</v>
      </c>
      <c r="C8685" t="s">
        <v>75</v>
      </c>
      <c r="D8685" s="1">
        <v>45806</v>
      </c>
      <c r="E8685" t="s">
        <v>4127</v>
      </c>
      <c r="F8685" t="s">
        <v>4139</v>
      </c>
    </row>
    <row r="8686" spans="1:6">
      <c r="A8686" t="s">
        <v>12815</v>
      </c>
      <c r="B8686" t="s">
        <v>3031</v>
      </c>
      <c r="C8686" t="s">
        <v>75</v>
      </c>
      <c r="D8686" s="1">
        <v>45833</v>
      </c>
      <c r="E8686" t="s">
        <v>4127</v>
      </c>
      <c r="F8686" t="s">
        <v>4137</v>
      </c>
    </row>
    <row r="8687" spans="1:6">
      <c r="A8687" t="s">
        <v>12816</v>
      </c>
      <c r="B8687" t="s">
        <v>3031</v>
      </c>
      <c r="C8687" t="s">
        <v>75</v>
      </c>
      <c r="D8687" s="1">
        <v>45842</v>
      </c>
      <c r="E8687" t="s">
        <v>4127</v>
      </c>
      <c r="F8687" t="s">
        <v>4139</v>
      </c>
    </row>
    <row r="8688" spans="1:6">
      <c r="A8688" t="s">
        <v>12817</v>
      </c>
      <c r="B8688" t="s">
        <v>3032</v>
      </c>
      <c r="C8688" t="s">
        <v>32</v>
      </c>
      <c r="D8688" s="1">
        <v>45986</v>
      </c>
      <c r="E8688" t="s">
        <v>4124</v>
      </c>
      <c r="F8688" t="s">
        <v>4139</v>
      </c>
    </row>
    <row r="8689" spans="1:6">
      <c r="A8689" t="s">
        <v>12818</v>
      </c>
      <c r="B8689" t="s">
        <v>3032</v>
      </c>
      <c r="C8689" t="s">
        <v>32</v>
      </c>
      <c r="D8689" s="1">
        <v>45994</v>
      </c>
      <c r="E8689" t="s">
        <v>4135</v>
      </c>
      <c r="F8689" t="s">
        <v>4139</v>
      </c>
    </row>
    <row r="8690" spans="1:6">
      <c r="A8690" t="s">
        <v>12819</v>
      </c>
      <c r="B8690" t="s">
        <v>3032</v>
      </c>
      <c r="C8690" t="s">
        <v>32</v>
      </c>
      <c r="D8690" s="1">
        <v>45987</v>
      </c>
      <c r="E8690" t="s">
        <v>4133</v>
      </c>
      <c r="F8690" t="s">
        <v>4137</v>
      </c>
    </row>
    <row r="8691" spans="1:6">
      <c r="A8691" t="s">
        <v>12820</v>
      </c>
      <c r="B8691" t="s">
        <v>3032</v>
      </c>
      <c r="C8691" t="s">
        <v>32</v>
      </c>
      <c r="D8691" s="1">
        <v>46007</v>
      </c>
      <c r="E8691" t="s">
        <v>4127</v>
      </c>
      <c r="F8691" t="s">
        <v>4137</v>
      </c>
    </row>
    <row r="8692" spans="1:6">
      <c r="A8692" t="s">
        <v>12821</v>
      </c>
      <c r="B8692" t="s">
        <v>3032</v>
      </c>
      <c r="C8692" t="s">
        <v>32</v>
      </c>
      <c r="D8692" s="1">
        <v>45992</v>
      </c>
      <c r="E8692" t="s">
        <v>4135</v>
      </c>
      <c r="F8692" t="s">
        <v>4125</v>
      </c>
    </row>
    <row r="8693" spans="1:6">
      <c r="A8693" t="s">
        <v>12822</v>
      </c>
      <c r="B8693" t="s">
        <v>3033</v>
      </c>
      <c r="C8693" t="s">
        <v>152</v>
      </c>
      <c r="D8693" s="1">
        <v>45769</v>
      </c>
      <c r="E8693" t="s">
        <v>4135</v>
      </c>
      <c r="F8693" t="s">
        <v>4139</v>
      </c>
    </row>
    <row r="8694" spans="1:6">
      <c r="A8694" t="s">
        <v>12823</v>
      </c>
      <c r="B8694" t="s">
        <v>3033</v>
      </c>
      <c r="C8694" t="s">
        <v>152</v>
      </c>
      <c r="D8694" s="1">
        <v>45759</v>
      </c>
      <c r="E8694" t="s">
        <v>4127</v>
      </c>
      <c r="F8694" t="s">
        <v>4139</v>
      </c>
    </row>
    <row r="8695" spans="1:6">
      <c r="A8695" t="s">
        <v>12824</v>
      </c>
      <c r="B8695" t="s">
        <v>3033</v>
      </c>
      <c r="C8695" t="s">
        <v>152</v>
      </c>
      <c r="D8695" s="1">
        <v>45753</v>
      </c>
      <c r="E8695" t="s">
        <v>4129</v>
      </c>
      <c r="F8695" t="s">
        <v>4137</v>
      </c>
    </row>
    <row r="8696" spans="1:6">
      <c r="A8696" t="s">
        <v>12825</v>
      </c>
      <c r="B8696" t="s">
        <v>3034</v>
      </c>
      <c r="C8696" t="s">
        <v>91</v>
      </c>
      <c r="D8696" s="1">
        <v>46010</v>
      </c>
      <c r="E8696" t="s">
        <v>4129</v>
      </c>
      <c r="F8696" t="s">
        <v>4139</v>
      </c>
    </row>
    <row r="8697" spans="1:6">
      <c r="A8697" t="s">
        <v>12826</v>
      </c>
      <c r="B8697" t="s">
        <v>3034</v>
      </c>
      <c r="C8697" t="s">
        <v>91</v>
      </c>
      <c r="D8697" s="1">
        <v>46014</v>
      </c>
      <c r="E8697" t="s">
        <v>4135</v>
      </c>
      <c r="F8697" t="s">
        <v>4139</v>
      </c>
    </row>
    <row r="8698" spans="1:6">
      <c r="A8698" t="s">
        <v>12827</v>
      </c>
      <c r="B8698" t="s">
        <v>3034</v>
      </c>
      <c r="C8698" t="s">
        <v>91</v>
      </c>
      <c r="D8698" s="1">
        <v>46013</v>
      </c>
      <c r="E8698" t="s">
        <v>4127</v>
      </c>
      <c r="F8698" t="s">
        <v>4125</v>
      </c>
    </row>
    <row r="8699" spans="1:6">
      <c r="A8699" t="s">
        <v>12828</v>
      </c>
      <c r="B8699" t="s">
        <v>3035</v>
      </c>
      <c r="C8699" t="s">
        <v>40</v>
      </c>
      <c r="D8699" s="1">
        <v>45902</v>
      </c>
      <c r="E8699" t="s">
        <v>4127</v>
      </c>
      <c r="F8699" t="s">
        <v>4125</v>
      </c>
    </row>
    <row r="8700" spans="1:6">
      <c r="A8700" t="s">
        <v>12829</v>
      </c>
      <c r="B8700" t="s">
        <v>3035</v>
      </c>
      <c r="C8700" t="s">
        <v>40</v>
      </c>
      <c r="D8700" s="1">
        <v>45909</v>
      </c>
      <c r="E8700" t="s">
        <v>4129</v>
      </c>
      <c r="F8700" t="s">
        <v>4125</v>
      </c>
    </row>
    <row r="8701" spans="1:6">
      <c r="A8701" t="s">
        <v>12830</v>
      </c>
      <c r="B8701" t="s">
        <v>3035</v>
      </c>
      <c r="C8701" t="s">
        <v>40</v>
      </c>
      <c r="D8701" s="1">
        <v>45881</v>
      </c>
      <c r="E8701" t="s">
        <v>4135</v>
      </c>
      <c r="F8701" t="s">
        <v>4125</v>
      </c>
    </row>
    <row r="8702" spans="1:6">
      <c r="A8702" t="s">
        <v>12831</v>
      </c>
      <c r="B8702" t="s">
        <v>3035</v>
      </c>
      <c r="C8702" t="s">
        <v>40</v>
      </c>
      <c r="D8702" s="1">
        <v>45884</v>
      </c>
      <c r="E8702" t="s">
        <v>4129</v>
      </c>
      <c r="F8702" t="s">
        <v>4125</v>
      </c>
    </row>
    <row r="8703" spans="1:6">
      <c r="A8703" t="s">
        <v>12832</v>
      </c>
      <c r="B8703" t="s">
        <v>3036</v>
      </c>
      <c r="C8703" t="s">
        <v>75</v>
      </c>
      <c r="D8703" s="1">
        <v>45729</v>
      </c>
      <c r="E8703" t="s">
        <v>4124</v>
      </c>
      <c r="F8703" t="s">
        <v>4125</v>
      </c>
    </row>
    <row r="8704" spans="1:6">
      <c r="A8704" t="s">
        <v>12833</v>
      </c>
      <c r="B8704" t="s">
        <v>3036</v>
      </c>
      <c r="C8704" t="s">
        <v>75</v>
      </c>
      <c r="D8704" s="1">
        <v>45705</v>
      </c>
      <c r="E8704" t="s">
        <v>4129</v>
      </c>
      <c r="F8704" t="s">
        <v>4139</v>
      </c>
    </row>
    <row r="8705" spans="1:6">
      <c r="A8705" t="s">
        <v>12834</v>
      </c>
      <c r="B8705" t="s">
        <v>3036</v>
      </c>
      <c r="C8705" t="s">
        <v>75</v>
      </c>
      <c r="D8705" s="1">
        <v>45737</v>
      </c>
      <c r="E8705" t="s">
        <v>4129</v>
      </c>
      <c r="F8705" t="s">
        <v>4137</v>
      </c>
    </row>
    <row r="8706" spans="1:6">
      <c r="A8706" t="s">
        <v>12835</v>
      </c>
      <c r="B8706" t="s">
        <v>3036</v>
      </c>
      <c r="C8706" t="s">
        <v>75</v>
      </c>
      <c r="D8706" s="1">
        <v>45724</v>
      </c>
      <c r="E8706" t="s">
        <v>4135</v>
      </c>
      <c r="F8706" t="s">
        <v>4125</v>
      </c>
    </row>
    <row r="8707" spans="1:6">
      <c r="A8707" t="s">
        <v>12836</v>
      </c>
      <c r="B8707" t="s">
        <v>3036</v>
      </c>
      <c r="C8707" t="s">
        <v>75</v>
      </c>
      <c r="D8707" s="1">
        <v>45726</v>
      </c>
      <c r="E8707" t="s">
        <v>4135</v>
      </c>
      <c r="F8707" t="s">
        <v>4125</v>
      </c>
    </row>
    <row r="8708" spans="1:6">
      <c r="A8708" t="s">
        <v>12837</v>
      </c>
      <c r="B8708" t="s">
        <v>3037</v>
      </c>
      <c r="C8708" t="s">
        <v>126</v>
      </c>
      <c r="D8708" s="1">
        <v>45676</v>
      </c>
      <c r="E8708" t="s">
        <v>4133</v>
      </c>
      <c r="F8708" t="s">
        <v>4137</v>
      </c>
    </row>
    <row r="8709" spans="1:6">
      <c r="A8709" t="s">
        <v>12838</v>
      </c>
      <c r="B8709" t="s">
        <v>3037</v>
      </c>
      <c r="C8709" t="s">
        <v>126</v>
      </c>
      <c r="D8709" s="1">
        <v>45673</v>
      </c>
      <c r="E8709" t="s">
        <v>4127</v>
      </c>
      <c r="F8709" t="s">
        <v>4137</v>
      </c>
    </row>
    <row r="8710" spans="1:6">
      <c r="A8710" t="s">
        <v>12839</v>
      </c>
      <c r="B8710" t="s">
        <v>3037</v>
      </c>
      <c r="C8710" t="s">
        <v>126</v>
      </c>
      <c r="D8710" s="1">
        <v>45669</v>
      </c>
      <c r="E8710" t="s">
        <v>4127</v>
      </c>
      <c r="F8710" t="s">
        <v>4125</v>
      </c>
    </row>
    <row r="8711" spans="1:6">
      <c r="A8711" t="s">
        <v>12840</v>
      </c>
      <c r="B8711" t="s">
        <v>3037</v>
      </c>
      <c r="C8711" t="s">
        <v>126</v>
      </c>
      <c r="D8711" s="1">
        <v>45676</v>
      </c>
      <c r="E8711" t="s">
        <v>4124</v>
      </c>
      <c r="F8711" t="s">
        <v>4139</v>
      </c>
    </row>
    <row r="8712" spans="1:6">
      <c r="A8712" t="s">
        <v>12841</v>
      </c>
      <c r="B8712" t="s">
        <v>3038</v>
      </c>
      <c r="C8712" t="s">
        <v>78</v>
      </c>
      <c r="D8712" s="1">
        <v>45929</v>
      </c>
      <c r="E8712" t="s">
        <v>4133</v>
      </c>
      <c r="F8712" t="s">
        <v>4125</v>
      </c>
    </row>
    <row r="8713" spans="1:6">
      <c r="A8713" t="s">
        <v>12842</v>
      </c>
      <c r="B8713" t="s">
        <v>3038</v>
      </c>
      <c r="C8713" t="s">
        <v>78</v>
      </c>
      <c r="D8713" s="1">
        <v>45957</v>
      </c>
      <c r="E8713" t="s">
        <v>4133</v>
      </c>
      <c r="F8713" t="s">
        <v>4125</v>
      </c>
    </row>
    <row r="8714" spans="1:6">
      <c r="A8714" t="s">
        <v>12843</v>
      </c>
      <c r="B8714" t="s">
        <v>3038</v>
      </c>
      <c r="C8714" t="s">
        <v>78</v>
      </c>
      <c r="D8714" s="1">
        <v>45903</v>
      </c>
      <c r="E8714" t="s">
        <v>4133</v>
      </c>
      <c r="F8714" t="s">
        <v>4137</v>
      </c>
    </row>
    <row r="8715" spans="1:6">
      <c r="A8715" t="s">
        <v>12844</v>
      </c>
      <c r="B8715" t="s">
        <v>3038</v>
      </c>
      <c r="C8715" t="s">
        <v>78</v>
      </c>
      <c r="D8715" s="1">
        <v>45930</v>
      </c>
      <c r="E8715" t="s">
        <v>4135</v>
      </c>
      <c r="F8715" t="s">
        <v>4139</v>
      </c>
    </row>
    <row r="8716" spans="1:6">
      <c r="A8716" t="s">
        <v>12845</v>
      </c>
      <c r="B8716" t="s">
        <v>3038</v>
      </c>
      <c r="C8716" t="s">
        <v>78</v>
      </c>
      <c r="D8716" s="1">
        <v>45919</v>
      </c>
      <c r="E8716" t="s">
        <v>4124</v>
      </c>
      <c r="F8716" t="s">
        <v>4125</v>
      </c>
    </row>
    <row r="8717" spans="1:6">
      <c r="A8717" t="s">
        <v>12846</v>
      </c>
      <c r="B8717" t="s">
        <v>3039</v>
      </c>
      <c r="C8717" t="s">
        <v>32</v>
      </c>
      <c r="D8717" s="1">
        <v>45812</v>
      </c>
      <c r="E8717" t="s">
        <v>4135</v>
      </c>
      <c r="F8717" t="s">
        <v>4125</v>
      </c>
    </row>
    <row r="8718" spans="1:6">
      <c r="A8718" t="s">
        <v>12847</v>
      </c>
      <c r="B8718" t="s">
        <v>3039</v>
      </c>
      <c r="C8718" t="s">
        <v>32</v>
      </c>
      <c r="D8718" s="1">
        <v>45807</v>
      </c>
      <c r="E8718" t="s">
        <v>4133</v>
      </c>
      <c r="F8718" t="s">
        <v>4139</v>
      </c>
    </row>
    <row r="8719" spans="1:6">
      <c r="A8719" t="s">
        <v>12848</v>
      </c>
      <c r="B8719" t="s">
        <v>3039</v>
      </c>
      <c r="C8719" t="s">
        <v>32</v>
      </c>
      <c r="D8719" s="1">
        <v>45809</v>
      </c>
      <c r="E8719" t="s">
        <v>4127</v>
      </c>
      <c r="F8719" t="s">
        <v>4137</v>
      </c>
    </row>
    <row r="8720" spans="1:6">
      <c r="A8720" t="s">
        <v>12849</v>
      </c>
      <c r="B8720" t="s">
        <v>3039</v>
      </c>
      <c r="C8720" t="s">
        <v>32</v>
      </c>
      <c r="D8720" s="1">
        <v>45805</v>
      </c>
      <c r="E8720" t="s">
        <v>4124</v>
      </c>
      <c r="F8720" t="s">
        <v>4139</v>
      </c>
    </row>
    <row r="8721" spans="1:6">
      <c r="A8721" t="s">
        <v>12850</v>
      </c>
      <c r="B8721" t="s">
        <v>3039</v>
      </c>
      <c r="C8721" t="s">
        <v>32</v>
      </c>
      <c r="D8721" s="1">
        <v>45806</v>
      </c>
      <c r="E8721" t="s">
        <v>4129</v>
      </c>
      <c r="F8721" t="s">
        <v>4137</v>
      </c>
    </row>
    <row r="8722" spans="1:6">
      <c r="A8722" t="s">
        <v>12851</v>
      </c>
      <c r="B8722" t="s">
        <v>3040</v>
      </c>
      <c r="C8722" t="s">
        <v>119</v>
      </c>
      <c r="D8722" s="1">
        <v>46017</v>
      </c>
      <c r="E8722" t="s">
        <v>4135</v>
      </c>
      <c r="F8722" t="s">
        <v>4125</v>
      </c>
    </row>
    <row r="8723" spans="1:6">
      <c r="A8723" t="s">
        <v>12852</v>
      </c>
      <c r="B8723" t="s">
        <v>3040</v>
      </c>
      <c r="C8723" t="s">
        <v>119</v>
      </c>
      <c r="D8723" s="1">
        <v>46004</v>
      </c>
      <c r="E8723" t="s">
        <v>4124</v>
      </c>
      <c r="F8723" t="s">
        <v>4125</v>
      </c>
    </row>
    <row r="8724" spans="1:6">
      <c r="A8724" t="s">
        <v>12853</v>
      </c>
      <c r="B8724" t="s">
        <v>3040</v>
      </c>
      <c r="C8724" t="s">
        <v>119</v>
      </c>
      <c r="D8724" s="1">
        <v>46010</v>
      </c>
      <c r="E8724" t="s">
        <v>4135</v>
      </c>
      <c r="F8724" t="s">
        <v>4137</v>
      </c>
    </row>
    <row r="8725" spans="1:6">
      <c r="A8725" t="s">
        <v>12854</v>
      </c>
      <c r="B8725" t="s">
        <v>3040</v>
      </c>
      <c r="C8725" t="s">
        <v>119</v>
      </c>
      <c r="D8725" s="1">
        <v>46004</v>
      </c>
      <c r="E8725" t="s">
        <v>4124</v>
      </c>
      <c r="F8725" t="s">
        <v>4137</v>
      </c>
    </row>
    <row r="8726" spans="1:6">
      <c r="A8726" t="s">
        <v>12855</v>
      </c>
      <c r="B8726" t="s">
        <v>3040</v>
      </c>
      <c r="C8726" t="s">
        <v>119</v>
      </c>
      <c r="D8726" s="1">
        <v>46015</v>
      </c>
      <c r="E8726" t="s">
        <v>4127</v>
      </c>
      <c r="F8726" t="s">
        <v>4137</v>
      </c>
    </row>
    <row r="8727" spans="1:6">
      <c r="A8727" t="s">
        <v>12856</v>
      </c>
      <c r="B8727" t="s">
        <v>3041</v>
      </c>
      <c r="C8727" t="s">
        <v>59</v>
      </c>
      <c r="D8727" s="1">
        <v>46018</v>
      </c>
      <c r="E8727" t="s">
        <v>4135</v>
      </c>
      <c r="F8727" t="s">
        <v>4125</v>
      </c>
    </row>
    <row r="8728" spans="1:6">
      <c r="A8728" t="s">
        <v>12857</v>
      </c>
      <c r="B8728" t="s">
        <v>3041</v>
      </c>
      <c r="C8728" t="s">
        <v>59</v>
      </c>
      <c r="D8728" s="1">
        <v>46013</v>
      </c>
      <c r="E8728" t="s">
        <v>4129</v>
      </c>
      <c r="F8728" t="s">
        <v>4139</v>
      </c>
    </row>
    <row r="8729" spans="1:6">
      <c r="A8729" t="s">
        <v>12858</v>
      </c>
      <c r="B8729" t="s">
        <v>3041</v>
      </c>
      <c r="C8729" t="s">
        <v>59</v>
      </c>
      <c r="D8729" s="1">
        <v>46014</v>
      </c>
      <c r="E8729" t="s">
        <v>4135</v>
      </c>
      <c r="F8729" t="s">
        <v>4139</v>
      </c>
    </row>
    <row r="8730" spans="1:6">
      <c r="A8730" t="s">
        <v>12859</v>
      </c>
      <c r="B8730" t="s">
        <v>3041</v>
      </c>
      <c r="C8730" t="s">
        <v>59</v>
      </c>
      <c r="D8730" s="1">
        <v>46013</v>
      </c>
      <c r="E8730" t="s">
        <v>4133</v>
      </c>
      <c r="F8730" t="s">
        <v>4125</v>
      </c>
    </row>
    <row r="8731" spans="1:6">
      <c r="A8731" t="s">
        <v>12860</v>
      </c>
      <c r="B8731" t="s">
        <v>3041</v>
      </c>
      <c r="C8731" t="s">
        <v>59</v>
      </c>
      <c r="D8731" s="1">
        <v>46019</v>
      </c>
      <c r="E8731" t="s">
        <v>4133</v>
      </c>
      <c r="F8731" t="s">
        <v>4125</v>
      </c>
    </row>
    <row r="8732" spans="1:6">
      <c r="A8732" t="s">
        <v>12861</v>
      </c>
      <c r="B8732" t="s">
        <v>3042</v>
      </c>
      <c r="C8732" t="s">
        <v>168</v>
      </c>
      <c r="D8732" s="1">
        <v>45758</v>
      </c>
      <c r="E8732" t="s">
        <v>4133</v>
      </c>
      <c r="F8732" t="s">
        <v>4125</v>
      </c>
    </row>
    <row r="8733" spans="1:6">
      <c r="A8733" t="s">
        <v>12862</v>
      </c>
      <c r="B8733" t="s">
        <v>3042</v>
      </c>
      <c r="C8733" t="s">
        <v>168</v>
      </c>
      <c r="D8733" s="1">
        <v>45761</v>
      </c>
      <c r="E8733" t="s">
        <v>4124</v>
      </c>
      <c r="F8733" t="s">
        <v>4125</v>
      </c>
    </row>
    <row r="8734" spans="1:6">
      <c r="A8734" t="s">
        <v>12863</v>
      </c>
      <c r="B8734" t="s">
        <v>3042</v>
      </c>
      <c r="C8734" t="s">
        <v>168</v>
      </c>
      <c r="D8734" s="1">
        <v>45771</v>
      </c>
      <c r="E8734" t="s">
        <v>4127</v>
      </c>
      <c r="F8734" t="s">
        <v>4139</v>
      </c>
    </row>
    <row r="8735" spans="1:6">
      <c r="A8735" t="s">
        <v>12864</v>
      </c>
      <c r="B8735" t="s">
        <v>3042</v>
      </c>
      <c r="C8735" t="s">
        <v>168</v>
      </c>
      <c r="D8735" s="1">
        <v>45750</v>
      </c>
      <c r="E8735" t="s">
        <v>4129</v>
      </c>
      <c r="F8735" t="s">
        <v>4137</v>
      </c>
    </row>
    <row r="8736" spans="1:6">
      <c r="A8736" t="s">
        <v>12865</v>
      </c>
      <c r="B8736" t="s">
        <v>3042</v>
      </c>
      <c r="C8736" t="s">
        <v>168</v>
      </c>
      <c r="D8736" s="1">
        <v>45749</v>
      </c>
      <c r="E8736" t="s">
        <v>4127</v>
      </c>
      <c r="F8736" t="s">
        <v>4139</v>
      </c>
    </row>
    <row r="8737" spans="1:6">
      <c r="A8737" t="s">
        <v>12866</v>
      </c>
      <c r="B8737" t="s">
        <v>3043</v>
      </c>
      <c r="C8737" t="s">
        <v>75</v>
      </c>
      <c r="D8737" s="1">
        <v>45715</v>
      </c>
      <c r="E8737" t="s">
        <v>4124</v>
      </c>
      <c r="F8737" t="s">
        <v>4139</v>
      </c>
    </row>
    <row r="8738" spans="1:6">
      <c r="A8738" t="s">
        <v>12867</v>
      </c>
      <c r="B8738" t="s">
        <v>3043</v>
      </c>
      <c r="C8738" t="s">
        <v>75</v>
      </c>
      <c r="D8738" s="1">
        <v>45708</v>
      </c>
      <c r="E8738" t="s">
        <v>4124</v>
      </c>
      <c r="F8738" t="s">
        <v>4139</v>
      </c>
    </row>
    <row r="8739" spans="1:6">
      <c r="A8739" t="s">
        <v>12868</v>
      </c>
      <c r="B8739" t="s">
        <v>3043</v>
      </c>
      <c r="C8739" t="s">
        <v>75</v>
      </c>
      <c r="D8739" s="1">
        <v>45719</v>
      </c>
      <c r="E8739" t="s">
        <v>4133</v>
      </c>
      <c r="F8739" t="s">
        <v>4137</v>
      </c>
    </row>
    <row r="8740" spans="1:6">
      <c r="A8740" t="s">
        <v>12869</v>
      </c>
      <c r="B8740" t="s">
        <v>3043</v>
      </c>
      <c r="C8740" t="s">
        <v>75</v>
      </c>
      <c r="D8740" s="1">
        <v>45721</v>
      </c>
      <c r="E8740" t="s">
        <v>4135</v>
      </c>
      <c r="F8740" t="s">
        <v>4137</v>
      </c>
    </row>
    <row r="8741" spans="1:6">
      <c r="A8741" t="s">
        <v>12870</v>
      </c>
      <c r="B8741" t="s">
        <v>3044</v>
      </c>
      <c r="C8741" t="s">
        <v>63</v>
      </c>
      <c r="D8741" s="1">
        <v>45931</v>
      </c>
      <c r="E8741" t="s">
        <v>4133</v>
      </c>
      <c r="F8741" t="s">
        <v>4137</v>
      </c>
    </row>
    <row r="8742" spans="1:6">
      <c r="A8742" t="s">
        <v>12871</v>
      </c>
      <c r="B8742" t="s">
        <v>3044</v>
      </c>
      <c r="C8742" t="s">
        <v>63</v>
      </c>
      <c r="D8742" s="1">
        <v>45935</v>
      </c>
      <c r="E8742" t="s">
        <v>4129</v>
      </c>
      <c r="F8742" t="s">
        <v>4139</v>
      </c>
    </row>
    <row r="8743" spans="1:6">
      <c r="A8743" t="s">
        <v>12872</v>
      </c>
      <c r="B8743" t="s">
        <v>3045</v>
      </c>
      <c r="C8743" t="s">
        <v>152</v>
      </c>
      <c r="D8743" s="1">
        <v>45943</v>
      </c>
      <c r="E8743" t="s">
        <v>4124</v>
      </c>
      <c r="F8743" t="s">
        <v>4137</v>
      </c>
    </row>
    <row r="8744" spans="1:6">
      <c r="A8744" t="s">
        <v>12873</v>
      </c>
      <c r="B8744" t="s">
        <v>3045</v>
      </c>
      <c r="C8744" t="s">
        <v>152</v>
      </c>
      <c r="D8744" s="1">
        <v>45958</v>
      </c>
      <c r="E8744" t="s">
        <v>4124</v>
      </c>
      <c r="F8744" t="s">
        <v>4125</v>
      </c>
    </row>
    <row r="8745" spans="1:6">
      <c r="A8745" t="s">
        <v>12874</v>
      </c>
      <c r="B8745" t="s">
        <v>3046</v>
      </c>
      <c r="C8745" t="s">
        <v>40</v>
      </c>
      <c r="D8745" s="1">
        <v>45941</v>
      </c>
      <c r="E8745" t="s">
        <v>4124</v>
      </c>
      <c r="F8745" t="s">
        <v>4125</v>
      </c>
    </row>
    <row r="8746" spans="1:6">
      <c r="A8746" t="s">
        <v>12875</v>
      </c>
      <c r="B8746" t="s">
        <v>3046</v>
      </c>
      <c r="C8746" t="s">
        <v>40</v>
      </c>
      <c r="D8746" s="1">
        <v>45930</v>
      </c>
      <c r="E8746" t="s">
        <v>4129</v>
      </c>
      <c r="F8746" t="s">
        <v>4125</v>
      </c>
    </row>
    <row r="8747" spans="1:6">
      <c r="A8747" t="s">
        <v>12876</v>
      </c>
      <c r="B8747" t="s">
        <v>3046</v>
      </c>
      <c r="C8747" t="s">
        <v>40</v>
      </c>
      <c r="D8747" s="1">
        <v>45925</v>
      </c>
      <c r="E8747" t="s">
        <v>4124</v>
      </c>
      <c r="F8747" t="s">
        <v>4125</v>
      </c>
    </row>
    <row r="8748" spans="1:6">
      <c r="A8748" t="s">
        <v>12877</v>
      </c>
      <c r="B8748" t="s">
        <v>3047</v>
      </c>
      <c r="C8748" t="s">
        <v>119</v>
      </c>
      <c r="D8748" s="1">
        <v>45994</v>
      </c>
      <c r="E8748" t="s">
        <v>4135</v>
      </c>
      <c r="F8748" t="s">
        <v>4139</v>
      </c>
    </row>
    <row r="8749" spans="1:6">
      <c r="A8749" t="s">
        <v>12878</v>
      </c>
      <c r="B8749" t="s">
        <v>3047</v>
      </c>
      <c r="C8749" t="s">
        <v>119</v>
      </c>
      <c r="D8749" s="1">
        <v>45976</v>
      </c>
      <c r="E8749" t="s">
        <v>4129</v>
      </c>
      <c r="F8749" t="s">
        <v>4139</v>
      </c>
    </row>
    <row r="8750" spans="1:6">
      <c r="A8750" t="s">
        <v>12879</v>
      </c>
      <c r="B8750" t="s">
        <v>3047</v>
      </c>
      <c r="C8750" t="s">
        <v>119</v>
      </c>
      <c r="D8750" s="1">
        <v>45992</v>
      </c>
      <c r="E8750" t="s">
        <v>4127</v>
      </c>
      <c r="F8750" t="s">
        <v>4139</v>
      </c>
    </row>
    <row r="8751" spans="1:6">
      <c r="A8751" t="s">
        <v>12880</v>
      </c>
      <c r="B8751" t="s">
        <v>3047</v>
      </c>
      <c r="C8751" t="s">
        <v>119</v>
      </c>
      <c r="D8751" s="1">
        <v>45986</v>
      </c>
      <c r="E8751" t="s">
        <v>4127</v>
      </c>
      <c r="F8751" t="s">
        <v>4139</v>
      </c>
    </row>
    <row r="8752" spans="1:6">
      <c r="A8752" t="s">
        <v>12881</v>
      </c>
      <c r="B8752" t="s">
        <v>3047</v>
      </c>
      <c r="C8752" t="s">
        <v>119</v>
      </c>
      <c r="D8752" s="1">
        <v>45975</v>
      </c>
      <c r="E8752" t="s">
        <v>4127</v>
      </c>
      <c r="F8752" t="s">
        <v>4125</v>
      </c>
    </row>
    <row r="8753" spans="1:6">
      <c r="A8753" t="s">
        <v>12882</v>
      </c>
      <c r="B8753" t="s">
        <v>3048</v>
      </c>
      <c r="C8753" t="s">
        <v>126</v>
      </c>
      <c r="D8753" s="1">
        <v>45678</v>
      </c>
      <c r="E8753" t="s">
        <v>4127</v>
      </c>
      <c r="F8753" t="s">
        <v>4137</v>
      </c>
    </row>
    <row r="8754" spans="1:6">
      <c r="A8754" t="s">
        <v>12883</v>
      </c>
      <c r="B8754" t="s">
        <v>3048</v>
      </c>
      <c r="C8754" t="s">
        <v>126</v>
      </c>
      <c r="D8754" s="1">
        <v>45675</v>
      </c>
      <c r="E8754" t="s">
        <v>4124</v>
      </c>
      <c r="F8754" t="s">
        <v>4137</v>
      </c>
    </row>
    <row r="8755" spans="1:6">
      <c r="A8755" t="s">
        <v>12884</v>
      </c>
      <c r="B8755" t="s">
        <v>3048</v>
      </c>
      <c r="C8755" t="s">
        <v>126</v>
      </c>
      <c r="D8755" s="1">
        <v>45674</v>
      </c>
      <c r="E8755" t="s">
        <v>4129</v>
      </c>
      <c r="F8755" t="s">
        <v>4137</v>
      </c>
    </row>
    <row r="8756" spans="1:6">
      <c r="A8756" t="s">
        <v>12885</v>
      </c>
      <c r="B8756" t="s">
        <v>3048</v>
      </c>
      <c r="C8756" t="s">
        <v>126</v>
      </c>
      <c r="D8756" s="1">
        <v>45675</v>
      </c>
      <c r="E8756" t="s">
        <v>4133</v>
      </c>
      <c r="F8756" t="s">
        <v>4137</v>
      </c>
    </row>
    <row r="8757" spans="1:6">
      <c r="A8757" t="s">
        <v>12886</v>
      </c>
      <c r="B8757" t="s">
        <v>3048</v>
      </c>
      <c r="C8757" t="s">
        <v>126</v>
      </c>
      <c r="D8757" s="1">
        <v>45674</v>
      </c>
      <c r="E8757" t="s">
        <v>4129</v>
      </c>
      <c r="F8757" t="s">
        <v>4139</v>
      </c>
    </row>
    <row r="8758" spans="1:6">
      <c r="A8758" t="s">
        <v>12887</v>
      </c>
      <c r="B8758" t="s">
        <v>3049</v>
      </c>
      <c r="C8758" t="s">
        <v>46</v>
      </c>
      <c r="D8758" s="1">
        <v>45915</v>
      </c>
      <c r="E8758" t="s">
        <v>4135</v>
      </c>
      <c r="F8758" t="s">
        <v>4139</v>
      </c>
    </row>
    <row r="8759" spans="1:6">
      <c r="A8759" t="s">
        <v>12888</v>
      </c>
      <c r="B8759" t="s">
        <v>3049</v>
      </c>
      <c r="C8759" t="s">
        <v>46</v>
      </c>
      <c r="D8759" s="1">
        <v>45914</v>
      </c>
      <c r="E8759" t="s">
        <v>4135</v>
      </c>
      <c r="F8759" t="s">
        <v>4137</v>
      </c>
    </row>
    <row r="8760" spans="1:6">
      <c r="A8760" t="s">
        <v>12889</v>
      </c>
      <c r="B8760" t="s">
        <v>3049</v>
      </c>
      <c r="C8760" t="s">
        <v>46</v>
      </c>
      <c r="D8760" s="1">
        <v>45906</v>
      </c>
      <c r="E8760" t="s">
        <v>4135</v>
      </c>
      <c r="F8760" t="s">
        <v>4139</v>
      </c>
    </row>
    <row r="8761" spans="1:6">
      <c r="A8761" t="s">
        <v>12890</v>
      </c>
      <c r="B8761" t="s">
        <v>3049</v>
      </c>
      <c r="C8761" t="s">
        <v>46</v>
      </c>
      <c r="D8761" s="1">
        <v>45916</v>
      </c>
      <c r="E8761" t="s">
        <v>4133</v>
      </c>
      <c r="F8761" t="s">
        <v>4125</v>
      </c>
    </row>
    <row r="8762" spans="1:6">
      <c r="A8762" t="s">
        <v>12891</v>
      </c>
      <c r="B8762" t="s">
        <v>3050</v>
      </c>
      <c r="C8762" t="s">
        <v>63</v>
      </c>
      <c r="D8762" s="1">
        <v>45985</v>
      </c>
      <c r="E8762" t="s">
        <v>4135</v>
      </c>
      <c r="F8762" t="s">
        <v>4137</v>
      </c>
    </row>
    <row r="8763" spans="1:6">
      <c r="A8763" t="s">
        <v>12892</v>
      </c>
      <c r="B8763" t="s">
        <v>3050</v>
      </c>
      <c r="C8763" t="s">
        <v>63</v>
      </c>
      <c r="D8763" s="1">
        <v>45992</v>
      </c>
      <c r="E8763" t="s">
        <v>4133</v>
      </c>
      <c r="F8763" t="s">
        <v>4137</v>
      </c>
    </row>
    <row r="8764" spans="1:6">
      <c r="A8764" t="s">
        <v>12893</v>
      </c>
      <c r="B8764" t="s">
        <v>3051</v>
      </c>
      <c r="C8764" t="s">
        <v>168</v>
      </c>
      <c r="D8764" s="1">
        <v>45696</v>
      </c>
      <c r="E8764" t="s">
        <v>4124</v>
      </c>
      <c r="F8764" t="s">
        <v>4139</v>
      </c>
    </row>
    <row r="8765" spans="1:6">
      <c r="A8765" t="s">
        <v>12894</v>
      </c>
      <c r="B8765" t="s">
        <v>3051</v>
      </c>
      <c r="C8765" t="s">
        <v>168</v>
      </c>
      <c r="D8765" s="1">
        <v>45732</v>
      </c>
      <c r="E8765" t="s">
        <v>4124</v>
      </c>
      <c r="F8765" t="s">
        <v>4125</v>
      </c>
    </row>
    <row r="8766" spans="1:6">
      <c r="A8766" t="s">
        <v>12895</v>
      </c>
      <c r="B8766" t="s">
        <v>3052</v>
      </c>
      <c r="C8766" t="s">
        <v>50</v>
      </c>
      <c r="D8766" s="1">
        <v>45945</v>
      </c>
      <c r="E8766" t="s">
        <v>4133</v>
      </c>
      <c r="F8766" t="s">
        <v>4137</v>
      </c>
    </row>
    <row r="8767" spans="1:6">
      <c r="A8767" t="s">
        <v>12896</v>
      </c>
      <c r="B8767" t="s">
        <v>3052</v>
      </c>
      <c r="C8767" t="s">
        <v>50</v>
      </c>
      <c r="D8767" s="1">
        <v>45948</v>
      </c>
      <c r="E8767" t="s">
        <v>4124</v>
      </c>
      <c r="F8767" t="s">
        <v>4137</v>
      </c>
    </row>
    <row r="8768" spans="1:6">
      <c r="A8768" t="s">
        <v>12897</v>
      </c>
      <c r="B8768" t="s">
        <v>3052</v>
      </c>
      <c r="C8768" t="s">
        <v>50</v>
      </c>
      <c r="D8768" s="1">
        <v>45954</v>
      </c>
      <c r="E8768" t="s">
        <v>4124</v>
      </c>
      <c r="F8768" t="s">
        <v>4139</v>
      </c>
    </row>
    <row r="8769" spans="1:6">
      <c r="A8769" t="s">
        <v>12898</v>
      </c>
      <c r="B8769" t="s">
        <v>3052</v>
      </c>
      <c r="C8769" t="s">
        <v>50</v>
      </c>
      <c r="D8769" s="1">
        <v>45938</v>
      </c>
      <c r="E8769" t="s">
        <v>4133</v>
      </c>
      <c r="F8769" t="s">
        <v>4137</v>
      </c>
    </row>
    <row r="8770" spans="1:6">
      <c r="A8770" t="s">
        <v>12899</v>
      </c>
      <c r="B8770" t="s">
        <v>3053</v>
      </c>
      <c r="C8770" t="s">
        <v>36</v>
      </c>
      <c r="D8770" s="1">
        <v>45961</v>
      </c>
      <c r="E8770" t="s">
        <v>4135</v>
      </c>
      <c r="F8770" t="s">
        <v>4137</v>
      </c>
    </row>
    <row r="8771" spans="1:6">
      <c r="A8771" t="s">
        <v>12900</v>
      </c>
      <c r="B8771" t="s">
        <v>3053</v>
      </c>
      <c r="C8771" t="s">
        <v>36</v>
      </c>
      <c r="D8771" s="1">
        <v>45986</v>
      </c>
      <c r="E8771" t="s">
        <v>4129</v>
      </c>
      <c r="F8771" t="s">
        <v>4137</v>
      </c>
    </row>
    <row r="8772" spans="1:6">
      <c r="A8772" t="s">
        <v>12901</v>
      </c>
      <c r="B8772" t="s">
        <v>3053</v>
      </c>
      <c r="C8772" t="s">
        <v>36</v>
      </c>
      <c r="D8772" s="1">
        <v>45958</v>
      </c>
      <c r="E8772" t="s">
        <v>4129</v>
      </c>
      <c r="F8772" t="s">
        <v>4125</v>
      </c>
    </row>
    <row r="8773" spans="1:6">
      <c r="A8773" t="s">
        <v>12902</v>
      </c>
      <c r="B8773" t="s">
        <v>3053</v>
      </c>
      <c r="C8773" t="s">
        <v>36</v>
      </c>
      <c r="D8773" s="1">
        <v>45952</v>
      </c>
      <c r="E8773" t="s">
        <v>4135</v>
      </c>
      <c r="F8773" t="s">
        <v>4125</v>
      </c>
    </row>
    <row r="8774" spans="1:6">
      <c r="A8774" t="s">
        <v>12903</v>
      </c>
      <c r="B8774" t="s">
        <v>3054</v>
      </c>
      <c r="C8774" t="s">
        <v>78</v>
      </c>
      <c r="D8774" s="1">
        <v>45861</v>
      </c>
      <c r="E8774" t="s">
        <v>4129</v>
      </c>
      <c r="F8774" t="s">
        <v>4137</v>
      </c>
    </row>
    <row r="8775" spans="1:6">
      <c r="A8775" t="s">
        <v>12904</v>
      </c>
      <c r="B8775" t="s">
        <v>3054</v>
      </c>
      <c r="C8775" t="s">
        <v>78</v>
      </c>
      <c r="D8775" s="1">
        <v>45844</v>
      </c>
      <c r="E8775" t="s">
        <v>4124</v>
      </c>
      <c r="F8775" t="s">
        <v>4125</v>
      </c>
    </row>
    <row r="8776" spans="1:6">
      <c r="A8776" t="s">
        <v>12905</v>
      </c>
      <c r="B8776" t="s">
        <v>3054</v>
      </c>
      <c r="C8776" t="s">
        <v>78</v>
      </c>
      <c r="D8776" s="1">
        <v>45882</v>
      </c>
      <c r="E8776" t="s">
        <v>4133</v>
      </c>
      <c r="F8776" t="s">
        <v>4139</v>
      </c>
    </row>
    <row r="8777" spans="1:6">
      <c r="A8777" t="s">
        <v>12906</v>
      </c>
      <c r="B8777" t="s">
        <v>3054</v>
      </c>
      <c r="C8777" t="s">
        <v>78</v>
      </c>
      <c r="D8777" s="1">
        <v>45853</v>
      </c>
      <c r="E8777" t="s">
        <v>4135</v>
      </c>
      <c r="F8777" t="s">
        <v>4125</v>
      </c>
    </row>
    <row r="8778" spans="1:6">
      <c r="A8778" t="s">
        <v>12907</v>
      </c>
      <c r="B8778" t="s">
        <v>3054</v>
      </c>
      <c r="C8778" t="s">
        <v>78</v>
      </c>
      <c r="D8778" s="1">
        <v>45894</v>
      </c>
      <c r="E8778" t="s">
        <v>4133</v>
      </c>
      <c r="F8778" t="s">
        <v>4139</v>
      </c>
    </row>
    <row r="8779" spans="1:6">
      <c r="A8779" t="s">
        <v>12908</v>
      </c>
      <c r="B8779" t="s">
        <v>3055</v>
      </c>
      <c r="C8779" t="s">
        <v>27</v>
      </c>
      <c r="D8779" s="1">
        <v>45983</v>
      </c>
      <c r="E8779" t="s">
        <v>4135</v>
      </c>
      <c r="F8779" t="s">
        <v>4139</v>
      </c>
    </row>
    <row r="8780" spans="1:6">
      <c r="A8780" t="s">
        <v>12909</v>
      </c>
      <c r="B8780" t="s">
        <v>3055</v>
      </c>
      <c r="C8780" t="s">
        <v>27</v>
      </c>
      <c r="D8780" s="1">
        <v>45975</v>
      </c>
      <c r="E8780" t="s">
        <v>4133</v>
      </c>
      <c r="F8780" t="s">
        <v>4125</v>
      </c>
    </row>
    <row r="8781" spans="1:6">
      <c r="A8781" t="s">
        <v>12910</v>
      </c>
      <c r="B8781" t="s">
        <v>3055</v>
      </c>
      <c r="C8781" t="s">
        <v>27</v>
      </c>
      <c r="D8781" s="1">
        <v>45976</v>
      </c>
      <c r="E8781" t="s">
        <v>4124</v>
      </c>
      <c r="F8781" t="s">
        <v>4137</v>
      </c>
    </row>
    <row r="8782" spans="1:6">
      <c r="A8782" t="s">
        <v>12911</v>
      </c>
      <c r="B8782" t="s">
        <v>3055</v>
      </c>
      <c r="C8782" t="s">
        <v>27</v>
      </c>
      <c r="D8782" s="1">
        <v>45974</v>
      </c>
      <c r="E8782" t="s">
        <v>4127</v>
      </c>
      <c r="F8782" t="s">
        <v>4125</v>
      </c>
    </row>
    <row r="8783" spans="1:6">
      <c r="A8783" t="s">
        <v>12912</v>
      </c>
      <c r="B8783" t="s">
        <v>3055</v>
      </c>
      <c r="C8783" t="s">
        <v>27</v>
      </c>
      <c r="D8783" s="1">
        <v>45981</v>
      </c>
      <c r="E8783" t="s">
        <v>4124</v>
      </c>
      <c r="F8783" t="s">
        <v>4139</v>
      </c>
    </row>
    <row r="8784" spans="1:6">
      <c r="A8784" t="s">
        <v>12913</v>
      </c>
      <c r="B8784" t="s">
        <v>3056</v>
      </c>
      <c r="C8784" t="s">
        <v>91</v>
      </c>
      <c r="D8784" s="1">
        <v>45989</v>
      </c>
      <c r="E8784" t="s">
        <v>4124</v>
      </c>
      <c r="F8784" t="s">
        <v>4139</v>
      </c>
    </row>
    <row r="8785" spans="1:6">
      <c r="A8785" t="s">
        <v>12914</v>
      </c>
      <c r="B8785" t="s">
        <v>3056</v>
      </c>
      <c r="C8785" t="s">
        <v>91</v>
      </c>
      <c r="D8785" s="1">
        <v>46021</v>
      </c>
      <c r="E8785" t="s">
        <v>4133</v>
      </c>
      <c r="F8785" t="s">
        <v>4137</v>
      </c>
    </row>
    <row r="8786" spans="1:6">
      <c r="A8786" t="s">
        <v>12915</v>
      </c>
      <c r="B8786" t="s">
        <v>3056</v>
      </c>
      <c r="C8786" t="s">
        <v>91</v>
      </c>
      <c r="D8786" s="1">
        <v>45995</v>
      </c>
      <c r="E8786" t="s">
        <v>4129</v>
      </c>
      <c r="F8786" t="s">
        <v>4125</v>
      </c>
    </row>
    <row r="8787" spans="1:6">
      <c r="A8787" t="s">
        <v>12916</v>
      </c>
      <c r="B8787" t="s">
        <v>3056</v>
      </c>
      <c r="C8787" t="s">
        <v>91</v>
      </c>
      <c r="D8787" s="1">
        <v>46016</v>
      </c>
      <c r="E8787" t="s">
        <v>4133</v>
      </c>
      <c r="F8787" t="s">
        <v>4137</v>
      </c>
    </row>
    <row r="8788" spans="1:6">
      <c r="A8788" t="s">
        <v>12917</v>
      </c>
      <c r="B8788" t="s">
        <v>3057</v>
      </c>
      <c r="C8788" t="s">
        <v>22</v>
      </c>
      <c r="D8788" s="1">
        <v>45866</v>
      </c>
      <c r="E8788" t="s">
        <v>4129</v>
      </c>
      <c r="F8788" t="s">
        <v>4139</v>
      </c>
    </row>
    <row r="8789" spans="1:6">
      <c r="A8789" t="s">
        <v>12918</v>
      </c>
      <c r="B8789" t="s">
        <v>3057</v>
      </c>
      <c r="C8789" t="s">
        <v>22</v>
      </c>
      <c r="D8789" s="1">
        <v>45877</v>
      </c>
      <c r="E8789" t="s">
        <v>4135</v>
      </c>
      <c r="F8789" t="s">
        <v>4137</v>
      </c>
    </row>
    <row r="8790" spans="1:6">
      <c r="A8790" t="s">
        <v>12919</v>
      </c>
      <c r="B8790" t="s">
        <v>3057</v>
      </c>
      <c r="C8790" t="s">
        <v>22</v>
      </c>
      <c r="D8790" s="1">
        <v>45874</v>
      </c>
      <c r="E8790" t="s">
        <v>4124</v>
      </c>
      <c r="F8790" t="s">
        <v>4139</v>
      </c>
    </row>
    <row r="8791" spans="1:6">
      <c r="A8791" t="s">
        <v>12920</v>
      </c>
      <c r="B8791" t="s">
        <v>3057</v>
      </c>
      <c r="C8791" t="s">
        <v>22</v>
      </c>
      <c r="D8791" s="1">
        <v>45881</v>
      </c>
      <c r="E8791" t="s">
        <v>4124</v>
      </c>
      <c r="F8791" t="s">
        <v>4125</v>
      </c>
    </row>
    <row r="8792" spans="1:6">
      <c r="A8792" t="s">
        <v>12921</v>
      </c>
      <c r="B8792" t="s">
        <v>3058</v>
      </c>
      <c r="C8792" t="s">
        <v>63</v>
      </c>
      <c r="D8792" s="1">
        <v>45919</v>
      </c>
      <c r="E8792" t="s">
        <v>4124</v>
      </c>
      <c r="F8792" t="s">
        <v>4137</v>
      </c>
    </row>
    <row r="8793" spans="1:6">
      <c r="A8793" t="s">
        <v>12922</v>
      </c>
      <c r="B8793" t="s">
        <v>3058</v>
      </c>
      <c r="C8793" t="s">
        <v>63</v>
      </c>
      <c r="D8793" s="1">
        <v>45937</v>
      </c>
      <c r="E8793" t="s">
        <v>4135</v>
      </c>
      <c r="F8793" t="s">
        <v>4139</v>
      </c>
    </row>
    <row r="8794" spans="1:6">
      <c r="A8794" t="s">
        <v>12923</v>
      </c>
      <c r="B8794" t="s">
        <v>3058</v>
      </c>
      <c r="C8794" t="s">
        <v>63</v>
      </c>
      <c r="D8794" s="1">
        <v>45947</v>
      </c>
      <c r="E8794" t="s">
        <v>4124</v>
      </c>
      <c r="F8794" t="s">
        <v>4125</v>
      </c>
    </row>
    <row r="8795" spans="1:6">
      <c r="A8795" t="s">
        <v>12924</v>
      </c>
      <c r="B8795" t="s">
        <v>3058</v>
      </c>
      <c r="C8795" t="s">
        <v>63</v>
      </c>
      <c r="D8795" s="1">
        <v>45931</v>
      </c>
      <c r="E8795" t="s">
        <v>4135</v>
      </c>
      <c r="F8795" t="s">
        <v>4139</v>
      </c>
    </row>
    <row r="8796" spans="1:6">
      <c r="A8796" t="s">
        <v>12925</v>
      </c>
      <c r="B8796" t="s">
        <v>3059</v>
      </c>
      <c r="C8796" t="s">
        <v>40</v>
      </c>
      <c r="D8796" s="1">
        <v>45951</v>
      </c>
      <c r="E8796" t="s">
        <v>4129</v>
      </c>
      <c r="F8796" t="s">
        <v>4137</v>
      </c>
    </row>
    <row r="8797" spans="1:6">
      <c r="A8797" t="s">
        <v>12926</v>
      </c>
      <c r="B8797" t="s">
        <v>3059</v>
      </c>
      <c r="C8797" t="s">
        <v>40</v>
      </c>
      <c r="D8797" s="1">
        <v>45916</v>
      </c>
      <c r="E8797" t="s">
        <v>4129</v>
      </c>
      <c r="F8797" t="s">
        <v>4125</v>
      </c>
    </row>
    <row r="8798" spans="1:6">
      <c r="A8798" t="s">
        <v>12927</v>
      </c>
      <c r="B8798" t="s">
        <v>3059</v>
      </c>
      <c r="C8798" t="s">
        <v>40</v>
      </c>
      <c r="D8798" s="1">
        <v>45994</v>
      </c>
      <c r="E8798" t="s">
        <v>4135</v>
      </c>
      <c r="F8798" t="s">
        <v>4125</v>
      </c>
    </row>
    <row r="8799" spans="1:6">
      <c r="A8799" t="s">
        <v>12928</v>
      </c>
      <c r="B8799" t="s">
        <v>3060</v>
      </c>
      <c r="C8799" t="s">
        <v>70</v>
      </c>
      <c r="D8799" s="1">
        <v>45940</v>
      </c>
      <c r="E8799" t="s">
        <v>4135</v>
      </c>
      <c r="F8799" t="s">
        <v>4137</v>
      </c>
    </row>
    <row r="8800" spans="1:6">
      <c r="A8800" t="s">
        <v>12929</v>
      </c>
      <c r="B8800" t="s">
        <v>3060</v>
      </c>
      <c r="C8800" t="s">
        <v>70</v>
      </c>
      <c r="D8800" s="1">
        <v>45890</v>
      </c>
      <c r="E8800" t="s">
        <v>4124</v>
      </c>
      <c r="F8800" t="s">
        <v>4137</v>
      </c>
    </row>
    <row r="8801" spans="1:6">
      <c r="A8801" t="s">
        <v>12930</v>
      </c>
      <c r="B8801" t="s">
        <v>3060</v>
      </c>
      <c r="C8801" t="s">
        <v>70</v>
      </c>
      <c r="D8801" s="1">
        <v>45899</v>
      </c>
      <c r="E8801" t="s">
        <v>4135</v>
      </c>
      <c r="F8801" t="s">
        <v>4139</v>
      </c>
    </row>
    <row r="8802" spans="1:6">
      <c r="A8802" t="s">
        <v>12931</v>
      </c>
      <c r="B8802" t="s">
        <v>3060</v>
      </c>
      <c r="C8802" t="s">
        <v>70</v>
      </c>
      <c r="D8802" s="1">
        <v>45896</v>
      </c>
      <c r="E8802" t="s">
        <v>4127</v>
      </c>
      <c r="F8802" t="s">
        <v>4125</v>
      </c>
    </row>
    <row r="8803" spans="1:6">
      <c r="A8803" t="s">
        <v>12932</v>
      </c>
      <c r="B8803" t="s">
        <v>3061</v>
      </c>
      <c r="C8803" t="s">
        <v>63</v>
      </c>
      <c r="D8803" s="1">
        <v>45935</v>
      </c>
      <c r="E8803" t="s">
        <v>4124</v>
      </c>
      <c r="F8803" t="s">
        <v>4125</v>
      </c>
    </row>
    <row r="8804" spans="1:6">
      <c r="A8804" t="s">
        <v>12933</v>
      </c>
      <c r="B8804" t="s">
        <v>3061</v>
      </c>
      <c r="C8804" t="s">
        <v>63</v>
      </c>
      <c r="D8804" s="1">
        <v>45912</v>
      </c>
      <c r="E8804" t="s">
        <v>4127</v>
      </c>
      <c r="F8804" t="s">
        <v>4137</v>
      </c>
    </row>
    <row r="8805" spans="1:6">
      <c r="A8805" t="s">
        <v>12934</v>
      </c>
      <c r="B8805" t="s">
        <v>3062</v>
      </c>
      <c r="C8805" t="s">
        <v>168</v>
      </c>
      <c r="D8805" s="1">
        <v>45776</v>
      </c>
      <c r="E8805" t="s">
        <v>4129</v>
      </c>
      <c r="F8805" t="s">
        <v>4139</v>
      </c>
    </row>
    <row r="8806" spans="1:6">
      <c r="A8806" t="s">
        <v>12935</v>
      </c>
      <c r="B8806" t="s">
        <v>3062</v>
      </c>
      <c r="C8806" t="s">
        <v>168</v>
      </c>
      <c r="D8806" s="1">
        <v>45732</v>
      </c>
      <c r="E8806" t="s">
        <v>4124</v>
      </c>
      <c r="F8806" t="s">
        <v>4137</v>
      </c>
    </row>
    <row r="8807" spans="1:6">
      <c r="A8807" t="s">
        <v>12936</v>
      </c>
      <c r="B8807" t="s">
        <v>3063</v>
      </c>
      <c r="C8807" t="s">
        <v>27</v>
      </c>
      <c r="D8807" s="1">
        <v>45784</v>
      </c>
      <c r="E8807" t="s">
        <v>4127</v>
      </c>
      <c r="F8807" t="s">
        <v>4139</v>
      </c>
    </row>
    <row r="8808" spans="1:6">
      <c r="A8808" t="s">
        <v>12937</v>
      </c>
      <c r="B8808" t="s">
        <v>3063</v>
      </c>
      <c r="C8808" t="s">
        <v>27</v>
      </c>
      <c r="D8808" s="1">
        <v>45804</v>
      </c>
      <c r="E8808" t="s">
        <v>4133</v>
      </c>
      <c r="F8808" t="s">
        <v>4137</v>
      </c>
    </row>
    <row r="8809" spans="1:6">
      <c r="A8809" t="s">
        <v>12938</v>
      </c>
      <c r="B8809" t="s">
        <v>3063</v>
      </c>
      <c r="C8809" t="s">
        <v>27</v>
      </c>
      <c r="D8809" s="1">
        <v>45809</v>
      </c>
      <c r="E8809" t="s">
        <v>4124</v>
      </c>
      <c r="F8809" t="s">
        <v>4137</v>
      </c>
    </row>
    <row r="8810" spans="1:6">
      <c r="A8810" t="s">
        <v>12939</v>
      </c>
      <c r="B8810" t="s">
        <v>3063</v>
      </c>
      <c r="C8810" t="s">
        <v>27</v>
      </c>
      <c r="D8810" s="1">
        <v>45805</v>
      </c>
      <c r="E8810" t="s">
        <v>4127</v>
      </c>
      <c r="F8810" t="s">
        <v>4125</v>
      </c>
    </row>
    <row r="8811" spans="1:6">
      <c r="A8811" t="s">
        <v>12940</v>
      </c>
      <c r="B8811" t="s">
        <v>3063</v>
      </c>
      <c r="C8811" t="s">
        <v>27</v>
      </c>
      <c r="D8811" s="1">
        <v>45800</v>
      </c>
      <c r="E8811" t="s">
        <v>4133</v>
      </c>
      <c r="F8811" t="s">
        <v>4137</v>
      </c>
    </row>
    <row r="8812" spans="1:6">
      <c r="A8812" t="s">
        <v>12941</v>
      </c>
      <c r="B8812" t="s">
        <v>3064</v>
      </c>
      <c r="C8812" t="s">
        <v>91</v>
      </c>
      <c r="D8812" s="1">
        <v>45960</v>
      </c>
      <c r="E8812" t="s">
        <v>4124</v>
      </c>
      <c r="F8812" t="s">
        <v>4139</v>
      </c>
    </row>
    <row r="8813" spans="1:6">
      <c r="A8813" t="s">
        <v>12942</v>
      </c>
      <c r="B8813" t="s">
        <v>3064</v>
      </c>
      <c r="C8813" t="s">
        <v>91</v>
      </c>
      <c r="D8813" s="1">
        <v>45962</v>
      </c>
      <c r="E8813" t="s">
        <v>4129</v>
      </c>
      <c r="F8813" t="s">
        <v>4139</v>
      </c>
    </row>
    <row r="8814" spans="1:6">
      <c r="A8814" t="s">
        <v>12943</v>
      </c>
      <c r="B8814" t="s">
        <v>3064</v>
      </c>
      <c r="C8814" t="s">
        <v>91</v>
      </c>
      <c r="D8814" s="1">
        <v>45943</v>
      </c>
      <c r="E8814" t="s">
        <v>4127</v>
      </c>
      <c r="F8814" t="s">
        <v>4125</v>
      </c>
    </row>
    <row r="8815" spans="1:6">
      <c r="A8815" t="s">
        <v>12944</v>
      </c>
      <c r="B8815" t="s">
        <v>3065</v>
      </c>
      <c r="C8815" t="s">
        <v>126</v>
      </c>
      <c r="D8815" s="1">
        <v>46001</v>
      </c>
      <c r="E8815" t="s">
        <v>4129</v>
      </c>
      <c r="F8815" t="s">
        <v>4139</v>
      </c>
    </row>
    <row r="8816" spans="1:6">
      <c r="A8816" t="s">
        <v>12945</v>
      </c>
      <c r="B8816" t="s">
        <v>3065</v>
      </c>
      <c r="C8816" t="s">
        <v>126</v>
      </c>
      <c r="D8816" s="1">
        <v>45996</v>
      </c>
      <c r="E8816" t="s">
        <v>4133</v>
      </c>
      <c r="F8816" t="s">
        <v>4125</v>
      </c>
    </row>
    <row r="8817" spans="1:6">
      <c r="A8817" t="s">
        <v>12946</v>
      </c>
      <c r="B8817" t="s">
        <v>3065</v>
      </c>
      <c r="C8817" t="s">
        <v>126</v>
      </c>
      <c r="D8817" s="1">
        <v>45990</v>
      </c>
      <c r="E8817" t="s">
        <v>4127</v>
      </c>
      <c r="F8817" t="s">
        <v>4139</v>
      </c>
    </row>
    <row r="8818" spans="1:6">
      <c r="A8818" t="s">
        <v>12947</v>
      </c>
      <c r="B8818" t="s">
        <v>3065</v>
      </c>
      <c r="C8818" t="s">
        <v>126</v>
      </c>
      <c r="D8818" s="1">
        <v>45993</v>
      </c>
      <c r="E8818" t="s">
        <v>4133</v>
      </c>
      <c r="F8818" t="s">
        <v>4137</v>
      </c>
    </row>
    <row r="8819" spans="1:6">
      <c r="A8819" t="s">
        <v>12948</v>
      </c>
      <c r="B8819" t="s">
        <v>3066</v>
      </c>
      <c r="C8819" t="s">
        <v>152</v>
      </c>
      <c r="D8819" s="1">
        <v>45835</v>
      </c>
      <c r="E8819" t="s">
        <v>4124</v>
      </c>
      <c r="F8819" t="s">
        <v>4139</v>
      </c>
    </row>
    <row r="8820" spans="1:6">
      <c r="A8820" t="s">
        <v>12949</v>
      </c>
      <c r="B8820" t="s">
        <v>3066</v>
      </c>
      <c r="C8820" t="s">
        <v>152</v>
      </c>
      <c r="D8820" s="1">
        <v>45853</v>
      </c>
      <c r="E8820" t="s">
        <v>4133</v>
      </c>
      <c r="F8820" t="s">
        <v>4125</v>
      </c>
    </row>
    <row r="8821" spans="1:6">
      <c r="A8821" t="s">
        <v>12950</v>
      </c>
      <c r="B8821" t="s">
        <v>3067</v>
      </c>
      <c r="C8821" t="s">
        <v>56</v>
      </c>
      <c r="D8821" s="1">
        <v>45997</v>
      </c>
      <c r="E8821" t="s">
        <v>4135</v>
      </c>
      <c r="F8821" t="s">
        <v>4137</v>
      </c>
    </row>
    <row r="8822" spans="1:6">
      <c r="A8822" t="s">
        <v>12951</v>
      </c>
      <c r="B8822" t="s">
        <v>3067</v>
      </c>
      <c r="C8822" t="s">
        <v>56</v>
      </c>
      <c r="D8822" s="1">
        <v>46021</v>
      </c>
      <c r="E8822" t="s">
        <v>4133</v>
      </c>
      <c r="F8822" t="s">
        <v>4139</v>
      </c>
    </row>
    <row r="8823" spans="1:6">
      <c r="A8823" t="s">
        <v>12952</v>
      </c>
      <c r="B8823" t="s">
        <v>3068</v>
      </c>
      <c r="C8823" t="s">
        <v>32</v>
      </c>
      <c r="D8823" s="1">
        <v>46015</v>
      </c>
      <c r="E8823" t="s">
        <v>4129</v>
      </c>
      <c r="F8823" t="s">
        <v>4139</v>
      </c>
    </row>
    <row r="8824" spans="1:6">
      <c r="A8824" t="s">
        <v>12953</v>
      </c>
      <c r="B8824" t="s">
        <v>3068</v>
      </c>
      <c r="C8824" t="s">
        <v>32</v>
      </c>
      <c r="D8824" s="1">
        <v>46022</v>
      </c>
      <c r="E8824" t="s">
        <v>4127</v>
      </c>
      <c r="F8824" t="s">
        <v>4137</v>
      </c>
    </row>
    <row r="8825" spans="1:6">
      <c r="A8825" t="s">
        <v>12954</v>
      </c>
      <c r="B8825" t="s">
        <v>3068</v>
      </c>
      <c r="C8825" t="s">
        <v>32</v>
      </c>
      <c r="D8825" s="1">
        <v>46022</v>
      </c>
      <c r="E8825" t="s">
        <v>4129</v>
      </c>
      <c r="F8825" t="s">
        <v>4137</v>
      </c>
    </row>
    <row r="8826" spans="1:6">
      <c r="A8826" t="s">
        <v>12955</v>
      </c>
      <c r="B8826" t="s">
        <v>3069</v>
      </c>
      <c r="C8826" t="s">
        <v>70</v>
      </c>
      <c r="D8826" s="1">
        <v>46021</v>
      </c>
      <c r="E8826" t="s">
        <v>4124</v>
      </c>
      <c r="F8826" t="s">
        <v>4137</v>
      </c>
    </row>
    <row r="8827" spans="1:6">
      <c r="A8827" t="s">
        <v>12956</v>
      </c>
      <c r="B8827" t="s">
        <v>3069</v>
      </c>
      <c r="C8827" t="s">
        <v>70</v>
      </c>
      <c r="D8827" s="1">
        <v>46020</v>
      </c>
      <c r="E8827" t="s">
        <v>4133</v>
      </c>
      <c r="F8827" t="s">
        <v>4125</v>
      </c>
    </row>
    <row r="8828" spans="1:6">
      <c r="A8828" t="s">
        <v>12957</v>
      </c>
      <c r="B8828" t="s">
        <v>3070</v>
      </c>
      <c r="C8828" t="s">
        <v>40</v>
      </c>
      <c r="D8828" s="1">
        <v>45946</v>
      </c>
      <c r="E8828" t="s">
        <v>4127</v>
      </c>
      <c r="F8828" t="s">
        <v>4139</v>
      </c>
    </row>
    <row r="8829" spans="1:6">
      <c r="A8829" t="s">
        <v>12958</v>
      </c>
      <c r="B8829" t="s">
        <v>3070</v>
      </c>
      <c r="C8829" t="s">
        <v>40</v>
      </c>
      <c r="D8829" s="1">
        <v>45948</v>
      </c>
      <c r="E8829" t="s">
        <v>4127</v>
      </c>
      <c r="F8829" t="s">
        <v>4125</v>
      </c>
    </row>
    <row r="8830" spans="1:6">
      <c r="A8830" t="s">
        <v>12959</v>
      </c>
      <c r="B8830" t="s">
        <v>3070</v>
      </c>
      <c r="C8830" t="s">
        <v>40</v>
      </c>
      <c r="D8830" s="1">
        <v>45949</v>
      </c>
      <c r="E8830" t="s">
        <v>4135</v>
      </c>
      <c r="F8830" t="s">
        <v>4125</v>
      </c>
    </row>
    <row r="8831" spans="1:6">
      <c r="A8831" t="s">
        <v>12960</v>
      </c>
      <c r="B8831" t="s">
        <v>3070</v>
      </c>
      <c r="C8831" t="s">
        <v>40</v>
      </c>
      <c r="D8831" s="1">
        <v>45942</v>
      </c>
      <c r="E8831" t="s">
        <v>4135</v>
      </c>
      <c r="F8831" t="s">
        <v>4139</v>
      </c>
    </row>
    <row r="8832" spans="1:6">
      <c r="A8832" t="s">
        <v>12961</v>
      </c>
      <c r="B8832" t="s">
        <v>3070</v>
      </c>
      <c r="C8832" t="s">
        <v>40</v>
      </c>
      <c r="D8832" s="1">
        <v>45950</v>
      </c>
      <c r="E8832" t="s">
        <v>4124</v>
      </c>
      <c r="F8832" t="s">
        <v>4137</v>
      </c>
    </row>
    <row r="8833" spans="1:6">
      <c r="A8833" t="s">
        <v>12962</v>
      </c>
      <c r="B8833" t="s">
        <v>3071</v>
      </c>
      <c r="C8833" t="s">
        <v>32</v>
      </c>
      <c r="D8833" s="1">
        <v>45747</v>
      </c>
      <c r="E8833" t="s">
        <v>4129</v>
      </c>
      <c r="F8833" t="s">
        <v>4125</v>
      </c>
    </row>
    <row r="8834" spans="1:6">
      <c r="A8834" t="s">
        <v>12963</v>
      </c>
      <c r="B8834" t="s">
        <v>3071</v>
      </c>
      <c r="C8834" t="s">
        <v>32</v>
      </c>
      <c r="D8834" s="1">
        <v>45681</v>
      </c>
      <c r="E8834" t="s">
        <v>4133</v>
      </c>
      <c r="F8834" t="s">
        <v>4125</v>
      </c>
    </row>
    <row r="8835" spans="1:6">
      <c r="A8835" t="s">
        <v>12964</v>
      </c>
      <c r="B8835" t="s">
        <v>3072</v>
      </c>
      <c r="C8835" t="s">
        <v>53</v>
      </c>
      <c r="D8835" s="1">
        <v>45848</v>
      </c>
      <c r="E8835" t="s">
        <v>4135</v>
      </c>
      <c r="F8835" t="s">
        <v>4139</v>
      </c>
    </row>
    <row r="8836" spans="1:6">
      <c r="A8836" t="s">
        <v>12965</v>
      </c>
      <c r="B8836" t="s">
        <v>3072</v>
      </c>
      <c r="C8836" t="s">
        <v>53</v>
      </c>
      <c r="D8836" s="1">
        <v>45852</v>
      </c>
      <c r="E8836" t="s">
        <v>4133</v>
      </c>
      <c r="F8836" t="s">
        <v>4137</v>
      </c>
    </row>
    <row r="8837" spans="1:6">
      <c r="A8837" t="s">
        <v>12966</v>
      </c>
      <c r="B8837" t="s">
        <v>3072</v>
      </c>
      <c r="C8837" t="s">
        <v>53</v>
      </c>
      <c r="D8837" s="1">
        <v>45837</v>
      </c>
      <c r="E8837" t="s">
        <v>4133</v>
      </c>
      <c r="F8837" t="s">
        <v>4125</v>
      </c>
    </row>
    <row r="8838" spans="1:6">
      <c r="A8838" t="s">
        <v>12967</v>
      </c>
      <c r="B8838" t="s">
        <v>3072</v>
      </c>
      <c r="C8838" t="s">
        <v>53</v>
      </c>
      <c r="D8838" s="1">
        <v>45836</v>
      </c>
      <c r="E8838" t="s">
        <v>4124</v>
      </c>
      <c r="F8838" t="s">
        <v>4125</v>
      </c>
    </row>
    <row r="8839" spans="1:6">
      <c r="A8839" t="s">
        <v>12968</v>
      </c>
      <c r="B8839" t="s">
        <v>3072</v>
      </c>
      <c r="C8839" t="s">
        <v>53</v>
      </c>
      <c r="D8839" s="1">
        <v>45849</v>
      </c>
      <c r="E8839" t="s">
        <v>4135</v>
      </c>
      <c r="F8839" t="s">
        <v>4139</v>
      </c>
    </row>
    <row r="8840" spans="1:6">
      <c r="A8840" t="s">
        <v>12969</v>
      </c>
      <c r="B8840" t="s">
        <v>3073</v>
      </c>
      <c r="C8840" t="s">
        <v>50</v>
      </c>
      <c r="D8840" s="1">
        <v>45919</v>
      </c>
      <c r="E8840" t="s">
        <v>4133</v>
      </c>
      <c r="F8840" t="s">
        <v>4125</v>
      </c>
    </row>
    <row r="8841" spans="1:6">
      <c r="A8841" t="s">
        <v>12970</v>
      </c>
      <c r="B8841" t="s">
        <v>3073</v>
      </c>
      <c r="C8841" t="s">
        <v>50</v>
      </c>
      <c r="D8841" s="1">
        <v>45932</v>
      </c>
      <c r="E8841" t="s">
        <v>4133</v>
      </c>
      <c r="F8841" t="s">
        <v>4137</v>
      </c>
    </row>
    <row r="8842" spans="1:6">
      <c r="A8842" t="s">
        <v>12971</v>
      </c>
      <c r="B8842" t="s">
        <v>3074</v>
      </c>
      <c r="C8842" t="s">
        <v>75</v>
      </c>
      <c r="D8842" s="1">
        <v>45896</v>
      </c>
      <c r="E8842" t="s">
        <v>4127</v>
      </c>
      <c r="F8842" t="s">
        <v>4125</v>
      </c>
    </row>
    <row r="8843" spans="1:6">
      <c r="A8843" t="s">
        <v>12972</v>
      </c>
      <c r="B8843" t="s">
        <v>3074</v>
      </c>
      <c r="C8843" t="s">
        <v>75</v>
      </c>
      <c r="D8843" s="1">
        <v>45914</v>
      </c>
      <c r="E8843" t="s">
        <v>4135</v>
      </c>
      <c r="F8843" t="s">
        <v>4137</v>
      </c>
    </row>
    <row r="8844" spans="1:6">
      <c r="A8844" t="s">
        <v>12973</v>
      </c>
      <c r="B8844" t="s">
        <v>3074</v>
      </c>
      <c r="C8844" t="s">
        <v>75</v>
      </c>
      <c r="D8844" s="1">
        <v>45908</v>
      </c>
      <c r="E8844" t="s">
        <v>4135</v>
      </c>
      <c r="F8844" t="s">
        <v>4125</v>
      </c>
    </row>
    <row r="8845" spans="1:6">
      <c r="A8845" t="s">
        <v>12974</v>
      </c>
      <c r="B8845" t="s">
        <v>3074</v>
      </c>
      <c r="C8845" t="s">
        <v>75</v>
      </c>
      <c r="D8845" s="1">
        <v>45918</v>
      </c>
      <c r="E8845" t="s">
        <v>4124</v>
      </c>
      <c r="F8845" t="s">
        <v>4139</v>
      </c>
    </row>
    <row r="8846" spans="1:6">
      <c r="A8846" t="s">
        <v>12975</v>
      </c>
      <c r="B8846" t="s">
        <v>3074</v>
      </c>
      <c r="C8846" t="s">
        <v>75</v>
      </c>
      <c r="D8846" s="1">
        <v>45907</v>
      </c>
      <c r="E8846" t="s">
        <v>4129</v>
      </c>
      <c r="F8846" t="s">
        <v>4125</v>
      </c>
    </row>
    <row r="8847" spans="1:6">
      <c r="A8847" t="s">
        <v>12976</v>
      </c>
      <c r="B8847" t="s">
        <v>3075</v>
      </c>
      <c r="C8847" t="s">
        <v>36</v>
      </c>
      <c r="D8847" s="1">
        <v>45997</v>
      </c>
      <c r="E8847" t="s">
        <v>4135</v>
      </c>
      <c r="F8847" t="s">
        <v>4139</v>
      </c>
    </row>
    <row r="8848" spans="1:6">
      <c r="A8848" t="s">
        <v>12977</v>
      </c>
      <c r="B8848" t="s">
        <v>3075</v>
      </c>
      <c r="C8848" t="s">
        <v>36</v>
      </c>
      <c r="D8848" s="1">
        <v>46011</v>
      </c>
      <c r="E8848" t="s">
        <v>4127</v>
      </c>
      <c r="F8848" t="s">
        <v>4125</v>
      </c>
    </row>
    <row r="8849" spans="1:6">
      <c r="A8849" t="s">
        <v>12978</v>
      </c>
      <c r="B8849" t="s">
        <v>3076</v>
      </c>
      <c r="C8849" t="s">
        <v>36</v>
      </c>
      <c r="D8849" s="1">
        <v>45761</v>
      </c>
      <c r="E8849" t="s">
        <v>4133</v>
      </c>
      <c r="F8849" t="s">
        <v>4125</v>
      </c>
    </row>
    <row r="8850" spans="1:6">
      <c r="A8850" t="s">
        <v>12979</v>
      </c>
      <c r="B8850" t="s">
        <v>3076</v>
      </c>
      <c r="C8850" t="s">
        <v>36</v>
      </c>
      <c r="D8850" s="1">
        <v>45735</v>
      </c>
      <c r="E8850" t="s">
        <v>4127</v>
      </c>
      <c r="F8850" t="s">
        <v>4137</v>
      </c>
    </row>
    <row r="8851" spans="1:6">
      <c r="A8851" t="s">
        <v>12980</v>
      </c>
      <c r="B8851" t="s">
        <v>3077</v>
      </c>
      <c r="C8851" t="s">
        <v>22</v>
      </c>
      <c r="D8851" s="1">
        <v>45868</v>
      </c>
      <c r="E8851" t="s">
        <v>4129</v>
      </c>
      <c r="F8851" t="s">
        <v>4125</v>
      </c>
    </row>
    <row r="8852" spans="1:6">
      <c r="A8852" t="s">
        <v>12981</v>
      </c>
      <c r="B8852" t="s">
        <v>3077</v>
      </c>
      <c r="C8852" t="s">
        <v>22</v>
      </c>
      <c r="D8852" s="1">
        <v>45866</v>
      </c>
      <c r="E8852" t="s">
        <v>4133</v>
      </c>
      <c r="F8852" t="s">
        <v>4125</v>
      </c>
    </row>
    <row r="8853" spans="1:6">
      <c r="A8853" t="s">
        <v>12982</v>
      </c>
      <c r="B8853" t="s">
        <v>3077</v>
      </c>
      <c r="C8853" t="s">
        <v>22</v>
      </c>
      <c r="D8853" s="1">
        <v>45871</v>
      </c>
      <c r="E8853" t="s">
        <v>4129</v>
      </c>
      <c r="F8853" t="s">
        <v>4137</v>
      </c>
    </row>
    <row r="8854" spans="1:6">
      <c r="A8854" t="s">
        <v>12983</v>
      </c>
      <c r="B8854" t="s">
        <v>3077</v>
      </c>
      <c r="C8854" t="s">
        <v>22</v>
      </c>
      <c r="D8854" s="1">
        <v>45847</v>
      </c>
      <c r="E8854" t="s">
        <v>4124</v>
      </c>
      <c r="F8854" t="s">
        <v>4137</v>
      </c>
    </row>
    <row r="8855" spans="1:6">
      <c r="A8855" t="s">
        <v>12984</v>
      </c>
      <c r="B8855" t="s">
        <v>3078</v>
      </c>
      <c r="C8855" t="s">
        <v>75</v>
      </c>
      <c r="D8855" s="1">
        <v>46012</v>
      </c>
      <c r="E8855" t="s">
        <v>4127</v>
      </c>
      <c r="F8855" t="s">
        <v>4125</v>
      </c>
    </row>
    <row r="8856" spans="1:6">
      <c r="A8856" t="s">
        <v>12985</v>
      </c>
      <c r="B8856" t="s">
        <v>3078</v>
      </c>
      <c r="C8856" t="s">
        <v>75</v>
      </c>
      <c r="D8856" s="1">
        <v>45996</v>
      </c>
      <c r="E8856" t="s">
        <v>4133</v>
      </c>
      <c r="F8856" t="s">
        <v>4125</v>
      </c>
    </row>
    <row r="8857" spans="1:6">
      <c r="A8857" t="s">
        <v>12986</v>
      </c>
      <c r="B8857" t="s">
        <v>3078</v>
      </c>
      <c r="C8857" t="s">
        <v>75</v>
      </c>
      <c r="D8857" s="1">
        <v>45998</v>
      </c>
      <c r="E8857" t="s">
        <v>4124</v>
      </c>
      <c r="F8857" t="s">
        <v>4125</v>
      </c>
    </row>
    <row r="8858" spans="1:6">
      <c r="A8858" t="s">
        <v>12987</v>
      </c>
      <c r="B8858" t="s">
        <v>3078</v>
      </c>
      <c r="C8858" t="s">
        <v>75</v>
      </c>
      <c r="D8858" s="1">
        <v>46001</v>
      </c>
      <c r="E8858" t="s">
        <v>4129</v>
      </c>
      <c r="F8858" t="s">
        <v>4137</v>
      </c>
    </row>
    <row r="8859" spans="1:6">
      <c r="A8859" t="s">
        <v>12988</v>
      </c>
      <c r="B8859" t="s">
        <v>3079</v>
      </c>
      <c r="C8859" t="s">
        <v>40</v>
      </c>
      <c r="D8859" s="1">
        <v>45958</v>
      </c>
      <c r="E8859" t="s">
        <v>4135</v>
      </c>
      <c r="F8859" t="s">
        <v>4125</v>
      </c>
    </row>
    <row r="8860" spans="1:6">
      <c r="A8860" t="s">
        <v>12989</v>
      </c>
      <c r="B8860" t="s">
        <v>3079</v>
      </c>
      <c r="C8860" t="s">
        <v>40</v>
      </c>
      <c r="D8860" s="1">
        <v>45965</v>
      </c>
      <c r="E8860" t="s">
        <v>4124</v>
      </c>
      <c r="F8860" t="s">
        <v>4137</v>
      </c>
    </row>
    <row r="8861" spans="1:6">
      <c r="A8861" t="s">
        <v>12990</v>
      </c>
      <c r="B8861" t="s">
        <v>3079</v>
      </c>
      <c r="C8861" t="s">
        <v>40</v>
      </c>
      <c r="D8861" s="1">
        <v>45966</v>
      </c>
      <c r="E8861" t="s">
        <v>4133</v>
      </c>
      <c r="F8861" t="s">
        <v>4137</v>
      </c>
    </row>
    <row r="8862" spans="1:6">
      <c r="A8862" t="s">
        <v>12991</v>
      </c>
      <c r="B8862" t="s">
        <v>3080</v>
      </c>
      <c r="C8862" t="s">
        <v>46</v>
      </c>
      <c r="D8862" s="1">
        <v>45690</v>
      </c>
      <c r="E8862" t="s">
        <v>4135</v>
      </c>
      <c r="F8862" t="s">
        <v>4125</v>
      </c>
    </row>
    <row r="8863" spans="1:6">
      <c r="A8863" t="s">
        <v>12992</v>
      </c>
      <c r="B8863" t="s">
        <v>3080</v>
      </c>
      <c r="C8863" t="s">
        <v>46</v>
      </c>
      <c r="D8863" s="1">
        <v>45691</v>
      </c>
      <c r="E8863" t="s">
        <v>4124</v>
      </c>
      <c r="F8863" t="s">
        <v>4137</v>
      </c>
    </row>
    <row r="8864" spans="1:6">
      <c r="A8864" t="s">
        <v>12993</v>
      </c>
      <c r="B8864" t="s">
        <v>3080</v>
      </c>
      <c r="C8864" t="s">
        <v>46</v>
      </c>
      <c r="D8864" s="1">
        <v>45688</v>
      </c>
      <c r="E8864" t="s">
        <v>4129</v>
      </c>
      <c r="F8864" t="s">
        <v>4139</v>
      </c>
    </row>
    <row r="8865" spans="1:6">
      <c r="A8865" t="s">
        <v>12994</v>
      </c>
      <c r="B8865" t="s">
        <v>3080</v>
      </c>
      <c r="C8865" t="s">
        <v>46</v>
      </c>
      <c r="D8865" s="1">
        <v>45691</v>
      </c>
      <c r="E8865" t="s">
        <v>4127</v>
      </c>
      <c r="F8865" t="s">
        <v>4125</v>
      </c>
    </row>
    <row r="8866" spans="1:6">
      <c r="A8866" t="s">
        <v>12995</v>
      </c>
      <c r="B8866" t="s">
        <v>3080</v>
      </c>
      <c r="C8866" t="s">
        <v>46</v>
      </c>
      <c r="D8866" s="1">
        <v>45691</v>
      </c>
      <c r="E8866" t="s">
        <v>4124</v>
      </c>
      <c r="F8866" t="s">
        <v>4125</v>
      </c>
    </row>
    <row r="8867" spans="1:6">
      <c r="A8867" t="s">
        <v>12996</v>
      </c>
      <c r="B8867" t="s">
        <v>3081</v>
      </c>
      <c r="C8867" t="s">
        <v>50</v>
      </c>
      <c r="D8867" s="1">
        <v>45811</v>
      </c>
      <c r="E8867" t="s">
        <v>4135</v>
      </c>
      <c r="F8867" t="s">
        <v>4137</v>
      </c>
    </row>
    <row r="8868" spans="1:6">
      <c r="A8868" t="s">
        <v>12997</v>
      </c>
      <c r="B8868" t="s">
        <v>3081</v>
      </c>
      <c r="C8868" t="s">
        <v>50</v>
      </c>
      <c r="D8868" s="1">
        <v>45814</v>
      </c>
      <c r="E8868" t="s">
        <v>4127</v>
      </c>
      <c r="F8868" t="s">
        <v>4125</v>
      </c>
    </row>
    <row r="8869" spans="1:6">
      <c r="A8869" t="s">
        <v>12998</v>
      </c>
      <c r="B8869" t="s">
        <v>3082</v>
      </c>
      <c r="C8869" t="s">
        <v>56</v>
      </c>
      <c r="D8869" s="1">
        <v>46010</v>
      </c>
      <c r="E8869" t="s">
        <v>4133</v>
      </c>
      <c r="F8869" t="s">
        <v>4125</v>
      </c>
    </row>
    <row r="8870" spans="1:6">
      <c r="A8870" t="s">
        <v>12999</v>
      </c>
      <c r="B8870" t="s">
        <v>3082</v>
      </c>
      <c r="C8870" t="s">
        <v>56</v>
      </c>
      <c r="D8870" s="1">
        <v>45990</v>
      </c>
      <c r="E8870" t="s">
        <v>4124</v>
      </c>
      <c r="F8870" t="s">
        <v>4125</v>
      </c>
    </row>
    <row r="8871" spans="1:6">
      <c r="A8871" t="s">
        <v>13000</v>
      </c>
      <c r="B8871" t="s">
        <v>3082</v>
      </c>
      <c r="C8871" t="s">
        <v>56</v>
      </c>
      <c r="D8871" s="1">
        <v>46016</v>
      </c>
      <c r="E8871" t="s">
        <v>4135</v>
      </c>
      <c r="F8871" t="s">
        <v>4137</v>
      </c>
    </row>
    <row r="8872" spans="1:6">
      <c r="A8872" t="s">
        <v>13001</v>
      </c>
      <c r="B8872" t="s">
        <v>3083</v>
      </c>
      <c r="C8872" t="s">
        <v>59</v>
      </c>
      <c r="D8872" s="1">
        <v>45714</v>
      </c>
      <c r="E8872" t="s">
        <v>4127</v>
      </c>
      <c r="F8872" t="s">
        <v>4137</v>
      </c>
    </row>
    <row r="8873" spans="1:6">
      <c r="A8873" t="s">
        <v>13002</v>
      </c>
      <c r="B8873" t="s">
        <v>3083</v>
      </c>
      <c r="C8873" t="s">
        <v>59</v>
      </c>
      <c r="D8873" s="1">
        <v>45707</v>
      </c>
      <c r="E8873" t="s">
        <v>4135</v>
      </c>
      <c r="F8873" t="s">
        <v>4139</v>
      </c>
    </row>
    <row r="8874" spans="1:6">
      <c r="A8874" t="s">
        <v>13003</v>
      </c>
      <c r="B8874" t="s">
        <v>3083</v>
      </c>
      <c r="C8874" t="s">
        <v>59</v>
      </c>
      <c r="D8874" s="1">
        <v>45726</v>
      </c>
      <c r="E8874" t="s">
        <v>4129</v>
      </c>
      <c r="F8874" t="s">
        <v>4139</v>
      </c>
    </row>
    <row r="8875" spans="1:6">
      <c r="A8875" t="s">
        <v>13004</v>
      </c>
      <c r="B8875" t="s">
        <v>3083</v>
      </c>
      <c r="C8875" t="s">
        <v>59</v>
      </c>
      <c r="D8875" s="1">
        <v>45704</v>
      </c>
      <c r="E8875" t="s">
        <v>4124</v>
      </c>
      <c r="F8875" t="s">
        <v>4139</v>
      </c>
    </row>
    <row r="8876" spans="1:6">
      <c r="A8876" t="s">
        <v>13005</v>
      </c>
      <c r="B8876" t="s">
        <v>3083</v>
      </c>
      <c r="C8876" t="s">
        <v>59</v>
      </c>
      <c r="D8876" s="1">
        <v>45725</v>
      </c>
      <c r="E8876" t="s">
        <v>4129</v>
      </c>
      <c r="F8876" t="s">
        <v>4125</v>
      </c>
    </row>
    <row r="8877" spans="1:6">
      <c r="A8877" t="s">
        <v>13006</v>
      </c>
      <c r="B8877" t="s">
        <v>3084</v>
      </c>
      <c r="C8877" t="s">
        <v>70</v>
      </c>
      <c r="D8877" s="1">
        <v>46005</v>
      </c>
      <c r="E8877" t="s">
        <v>4129</v>
      </c>
      <c r="F8877" t="s">
        <v>4139</v>
      </c>
    </row>
    <row r="8878" spans="1:6">
      <c r="A8878" t="s">
        <v>13007</v>
      </c>
      <c r="B8878" t="s">
        <v>3084</v>
      </c>
      <c r="C8878" t="s">
        <v>70</v>
      </c>
      <c r="D8878" s="1">
        <v>46011</v>
      </c>
      <c r="E8878" t="s">
        <v>4135</v>
      </c>
      <c r="F8878" t="s">
        <v>4139</v>
      </c>
    </row>
    <row r="8879" spans="1:6">
      <c r="A8879" t="s">
        <v>13008</v>
      </c>
      <c r="B8879" t="s">
        <v>3084</v>
      </c>
      <c r="C8879" t="s">
        <v>70</v>
      </c>
      <c r="D8879" s="1">
        <v>46007</v>
      </c>
      <c r="E8879" t="s">
        <v>4135</v>
      </c>
      <c r="F8879" t="s">
        <v>4139</v>
      </c>
    </row>
    <row r="8880" spans="1:6">
      <c r="A8880" t="s">
        <v>13009</v>
      </c>
      <c r="B8880" t="s">
        <v>3084</v>
      </c>
      <c r="C8880" t="s">
        <v>70</v>
      </c>
      <c r="D8880" s="1">
        <v>46003</v>
      </c>
      <c r="E8880" t="s">
        <v>4127</v>
      </c>
      <c r="F8880" t="s">
        <v>4125</v>
      </c>
    </row>
    <row r="8881" spans="1:6">
      <c r="A8881" t="s">
        <v>13010</v>
      </c>
      <c r="B8881" t="s">
        <v>3085</v>
      </c>
      <c r="C8881" t="s">
        <v>22</v>
      </c>
      <c r="D8881" s="1">
        <v>45807</v>
      </c>
      <c r="E8881" t="s">
        <v>4124</v>
      </c>
      <c r="F8881" t="s">
        <v>4137</v>
      </c>
    </row>
    <row r="8882" spans="1:6">
      <c r="A8882" t="s">
        <v>13011</v>
      </c>
      <c r="B8882" t="s">
        <v>3085</v>
      </c>
      <c r="C8882" t="s">
        <v>22</v>
      </c>
      <c r="D8882" s="1">
        <v>45831</v>
      </c>
      <c r="E8882" t="s">
        <v>4127</v>
      </c>
      <c r="F8882" t="s">
        <v>4137</v>
      </c>
    </row>
    <row r="8883" spans="1:6">
      <c r="A8883" t="s">
        <v>13012</v>
      </c>
      <c r="B8883" t="s">
        <v>3085</v>
      </c>
      <c r="C8883" t="s">
        <v>22</v>
      </c>
      <c r="D8883" s="1">
        <v>45793</v>
      </c>
      <c r="E8883" t="s">
        <v>4127</v>
      </c>
      <c r="F8883" t="s">
        <v>4125</v>
      </c>
    </row>
    <row r="8884" spans="1:6">
      <c r="A8884" t="s">
        <v>13013</v>
      </c>
      <c r="B8884" t="s">
        <v>3085</v>
      </c>
      <c r="C8884" t="s">
        <v>22</v>
      </c>
      <c r="D8884" s="1">
        <v>45811</v>
      </c>
      <c r="E8884" t="s">
        <v>4129</v>
      </c>
      <c r="F8884" t="s">
        <v>4137</v>
      </c>
    </row>
    <row r="8885" spans="1:6">
      <c r="A8885" t="s">
        <v>13014</v>
      </c>
      <c r="B8885" t="s">
        <v>3085</v>
      </c>
      <c r="C8885" t="s">
        <v>22</v>
      </c>
      <c r="D8885" s="1">
        <v>45845</v>
      </c>
      <c r="E8885" t="s">
        <v>4124</v>
      </c>
      <c r="F8885" t="s">
        <v>4125</v>
      </c>
    </row>
    <row r="8886" spans="1:6">
      <c r="A8886" t="s">
        <v>13015</v>
      </c>
      <c r="B8886" t="s">
        <v>3086</v>
      </c>
      <c r="C8886" t="s">
        <v>22</v>
      </c>
      <c r="D8886" s="1">
        <v>45893</v>
      </c>
      <c r="E8886" t="s">
        <v>4129</v>
      </c>
      <c r="F8886" t="s">
        <v>4137</v>
      </c>
    </row>
    <row r="8887" spans="1:6">
      <c r="A8887" t="s">
        <v>13016</v>
      </c>
      <c r="B8887" t="s">
        <v>3086</v>
      </c>
      <c r="C8887" t="s">
        <v>22</v>
      </c>
      <c r="D8887" s="1">
        <v>45868</v>
      </c>
      <c r="E8887" t="s">
        <v>4135</v>
      </c>
      <c r="F8887" t="s">
        <v>4139</v>
      </c>
    </row>
    <row r="8888" spans="1:6">
      <c r="A8888" t="s">
        <v>13017</v>
      </c>
      <c r="B8888" t="s">
        <v>3086</v>
      </c>
      <c r="C8888" t="s">
        <v>22</v>
      </c>
      <c r="D8888" s="1">
        <v>45860</v>
      </c>
      <c r="E8888" t="s">
        <v>4133</v>
      </c>
      <c r="F8888" t="s">
        <v>4139</v>
      </c>
    </row>
    <row r="8889" spans="1:6">
      <c r="A8889" t="s">
        <v>13018</v>
      </c>
      <c r="B8889" t="s">
        <v>3086</v>
      </c>
      <c r="C8889" t="s">
        <v>22</v>
      </c>
      <c r="D8889" s="1">
        <v>45897</v>
      </c>
      <c r="E8889" t="s">
        <v>4127</v>
      </c>
      <c r="F8889" t="s">
        <v>4137</v>
      </c>
    </row>
    <row r="8890" spans="1:6">
      <c r="A8890" t="s">
        <v>13019</v>
      </c>
      <c r="B8890" t="s">
        <v>3086</v>
      </c>
      <c r="C8890" t="s">
        <v>22</v>
      </c>
      <c r="D8890" s="1">
        <v>45905</v>
      </c>
      <c r="E8890" t="s">
        <v>4127</v>
      </c>
      <c r="F8890" t="s">
        <v>4137</v>
      </c>
    </row>
    <row r="8891" spans="1:6">
      <c r="A8891" t="s">
        <v>13020</v>
      </c>
      <c r="B8891" t="s">
        <v>3087</v>
      </c>
      <c r="C8891" t="s">
        <v>78</v>
      </c>
      <c r="D8891" s="1">
        <v>45840</v>
      </c>
      <c r="E8891" t="s">
        <v>4124</v>
      </c>
      <c r="F8891" t="s">
        <v>4139</v>
      </c>
    </row>
    <row r="8892" spans="1:6">
      <c r="A8892" t="s">
        <v>13021</v>
      </c>
      <c r="B8892" t="s">
        <v>3087</v>
      </c>
      <c r="C8892" t="s">
        <v>78</v>
      </c>
      <c r="D8892" s="1">
        <v>45840</v>
      </c>
      <c r="E8892" t="s">
        <v>4133</v>
      </c>
      <c r="F8892" t="s">
        <v>4125</v>
      </c>
    </row>
    <row r="8893" spans="1:6">
      <c r="A8893" t="s">
        <v>13022</v>
      </c>
      <c r="B8893" t="s">
        <v>3087</v>
      </c>
      <c r="C8893" t="s">
        <v>78</v>
      </c>
      <c r="D8893" s="1">
        <v>45843</v>
      </c>
      <c r="E8893" t="s">
        <v>4127</v>
      </c>
      <c r="F8893" t="s">
        <v>4139</v>
      </c>
    </row>
    <row r="8894" spans="1:6">
      <c r="A8894" t="s">
        <v>13023</v>
      </c>
      <c r="B8894" t="s">
        <v>3087</v>
      </c>
      <c r="C8894" t="s">
        <v>78</v>
      </c>
      <c r="D8894" s="1">
        <v>45846</v>
      </c>
      <c r="E8894" t="s">
        <v>4124</v>
      </c>
      <c r="F8894" t="s">
        <v>4139</v>
      </c>
    </row>
    <row r="8895" spans="1:6">
      <c r="A8895" t="s">
        <v>13024</v>
      </c>
      <c r="B8895" t="s">
        <v>3088</v>
      </c>
      <c r="C8895" t="s">
        <v>36</v>
      </c>
      <c r="D8895" s="1">
        <v>45719</v>
      </c>
      <c r="E8895" t="s">
        <v>4133</v>
      </c>
      <c r="F8895" t="s">
        <v>4139</v>
      </c>
    </row>
    <row r="8896" spans="1:6">
      <c r="A8896" t="s">
        <v>13025</v>
      </c>
      <c r="B8896" t="s">
        <v>3088</v>
      </c>
      <c r="C8896" t="s">
        <v>36</v>
      </c>
      <c r="D8896" s="1">
        <v>45712</v>
      </c>
      <c r="E8896" t="s">
        <v>4124</v>
      </c>
      <c r="F8896" t="s">
        <v>4137</v>
      </c>
    </row>
    <row r="8897" spans="1:6">
      <c r="A8897" t="s">
        <v>13026</v>
      </c>
      <c r="B8897" t="s">
        <v>3088</v>
      </c>
      <c r="C8897" t="s">
        <v>36</v>
      </c>
      <c r="D8897" s="1">
        <v>45719</v>
      </c>
      <c r="E8897" t="s">
        <v>4129</v>
      </c>
      <c r="F8897" t="s">
        <v>4137</v>
      </c>
    </row>
    <row r="8898" spans="1:6">
      <c r="A8898" t="s">
        <v>13027</v>
      </c>
      <c r="B8898" t="s">
        <v>3088</v>
      </c>
      <c r="C8898" t="s">
        <v>36</v>
      </c>
      <c r="D8898" s="1">
        <v>45698</v>
      </c>
      <c r="E8898" t="s">
        <v>4129</v>
      </c>
      <c r="F8898" t="s">
        <v>4137</v>
      </c>
    </row>
    <row r="8899" spans="1:6">
      <c r="A8899" t="s">
        <v>13028</v>
      </c>
      <c r="B8899" t="s">
        <v>3088</v>
      </c>
      <c r="C8899" t="s">
        <v>36</v>
      </c>
      <c r="D8899" s="1">
        <v>45688</v>
      </c>
      <c r="E8899" t="s">
        <v>4135</v>
      </c>
      <c r="F8899" t="s">
        <v>4125</v>
      </c>
    </row>
    <row r="8900" spans="1:6">
      <c r="A8900" t="s">
        <v>13029</v>
      </c>
      <c r="B8900" t="s">
        <v>3089</v>
      </c>
      <c r="C8900" t="s">
        <v>168</v>
      </c>
      <c r="D8900" s="1">
        <v>45807</v>
      </c>
      <c r="E8900" t="s">
        <v>4133</v>
      </c>
      <c r="F8900" t="s">
        <v>4139</v>
      </c>
    </row>
    <row r="8901" spans="1:6">
      <c r="A8901" t="s">
        <v>13030</v>
      </c>
      <c r="B8901" t="s">
        <v>3089</v>
      </c>
      <c r="C8901" t="s">
        <v>168</v>
      </c>
      <c r="D8901" s="1">
        <v>45800</v>
      </c>
      <c r="E8901" t="s">
        <v>4133</v>
      </c>
      <c r="F8901" t="s">
        <v>4139</v>
      </c>
    </row>
    <row r="8902" spans="1:6">
      <c r="A8902" t="s">
        <v>13031</v>
      </c>
      <c r="B8902" t="s">
        <v>3089</v>
      </c>
      <c r="C8902" t="s">
        <v>168</v>
      </c>
      <c r="D8902" s="1">
        <v>45806</v>
      </c>
      <c r="E8902" t="s">
        <v>4124</v>
      </c>
      <c r="F8902" t="s">
        <v>4137</v>
      </c>
    </row>
    <row r="8903" spans="1:6">
      <c r="A8903" t="s">
        <v>13032</v>
      </c>
      <c r="B8903" t="s">
        <v>3089</v>
      </c>
      <c r="C8903" t="s">
        <v>168</v>
      </c>
      <c r="D8903" s="1">
        <v>45806</v>
      </c>
      <c r="E8903" t="s">
        <v>4124</v>
      </c>
      <c r="F8903" t="s">
        <v>4137</v>
      </c>
    </row>
    <row r="8904" spans="1:6">
      <c r="A8904" t="s">
        <v>13033</v>
      </c>
      <c r="B8904" t="s">
        <v>3089</v>
      </c>
      <c r="C8904" t="s">
        <v>168</v>
      </c>
      <c r="D8904" s="1">
        <v>45810</v>
      </c>
      <c r="E8904" t="s">
        <v>4135</v>
      </c>
      <c r="F8904" t="s">
        <v>4137</v>
      </c>
    </row>
    <row r="8905" spans="1:6">
      <c r="A8905" t="s">
        <v>13034</v>
      </c>
      <c r="B8905" t="s">
        <v>3090</v>
      </c>
      <c r="C8905" t="s">
        <v>56</v>
      </c>
      <c r="D8905" s="1">
        <v>45983</v>
      </c>
      <c r="E8905" t="s">
        <v>4127</v>
      </c>
      <c r="F8905" t="s">
        <v>4139</v>
      </c>
    </row>
    <row r="8906" spans="1:6">
      <c r="A8906" t="s">
        <v>13035</v>
      </c>
      <c r="B8906" t="s">
        <v>3090</v>
      </c>
      <c r="C8906" t="s">
        <v>56</v>
      </c>
      <c r="D8906" s="1">
        <v>46020</v>
      </c>
      <c r="E8906" t="s">
        <v>4124</v>
      </c>
      <c r="F8906" t="s">
        <v>4125</v>
      </c>
    </row>
    <row r="8907" spans="1:6">
      <c r="A8907" t="s">
        <v>13036</v>
      </c>
      <c r="B8907" t="s">
        <v>3090</v>
      </c>
      <c r="C8907" t="s">
        <v>56</v>
      </c>
      <c r="D8907" s="1">
        <v>45994</v>
      </c>
      <c r="E8907" t="s">
        <v>4124</v>
      </c>
      <c r="F8907" t="s">
        <v>4137</v>
      </c>
    </row>
    <row r="8908" spans="1:6">
      <c r="A8908" t="s">
        <v>13037</v>
      </c>
      <c r="B8908" t="s">
        <v>3090</v>
      </c>
      <c r="C8908" t="s">
        <v>56</v>
      </c>
      <c r="D8908" s="1">
        <v>46015</v>
      </c>
      <c r="E8908" t="s">
        <v>4135</v>
      </c>
      <c r="F8908" t="s">
        <v>4125</v>
      </c>
    </row>
    <row r="8909" spans="1:6">
      <c r="A8909" t="s">
        <v>13038</v>
      </c>
      <c r="B8909" t="s">
        <v>3090</v>
      </c>
      <c r="C8909" t="s">
        <v>56</v>
      </c>
      <c r="D8909" s="1">
        <v>45996</v>
      </c>
      <c r="E8909" t="s">
        <v>4124</v>
      </c>
      <c r="F8909" t="s">
        <v>4137</v>
      </c>
    </row>
    <row r="8910" spans="1:6">
      <c r="A8910" t="s">
        <v>13039</v>
      </c>
      <c r="B8910" t="s">
        <v>3091</v>
      </c>
      <c r="C8910" t="s">
        <v>56</v>
      </c>
      <c r="D8910" s="1">
        <v>46017</v>
      </c>
      <c r="E8910" t="s">
        <v>4124</v>
      </c>
      <c r="F8910" t="s">
        <v>4137</v>
      </c>
    </row>
    <row r="8911" spans="1:6">
      <c r="A8911" t="s">
        <v>13040</v>
      </c>
      <c r="B8911" t="s">
        <v>3091</v>
      </c>
      <c r="C8911" t="s">
        <v>56</v>
      </c>
      <c r="D8911" s="1">
        <v>45995</v>
      </c>
      <c r="E8911" t="s">
        <v>4127</v>
      </c>
      <c r="F8911" t="s">
        <v>4125</v>
      </c>
    </row>
    <row r="8912" spans="1:6">
      <c r="A8912" t="s">
        <v>13041</v>
      </c>
      <c r="B8912" t="s">
        <v>3092</v>
      </c>
      <c r="C8912" t="s">
        <v>119</v>
      </c>
      <c r="D8912" s="1">
        <v>45860</v>
      </c>
      <c r="E8912" t="s">
        <v>4129</v>
      </c>
      <c r="F8912" t="s">
        <v>4125</v>
      </c>
    </row>
    <row r="8913" spans="1:6">
      <c r="A8913" t="s">
        <v>13042</v>
      </c>
      <c r="B8913" t="s">
        <v>3092</v>
      </c>
      <c r="C8913" t="s">
        <v>119</v>
      </c>
      <c r="D8913" s="1">
        <v>45809</v>
      </c>
      <c r="E8913" t="s">
        <v>4133</v>
      </c>
      <c r="F8913" t="s">
        <v>4137</v>
      </c>
    </row>
    <row r="8914" spans="1:6">
      <c r="A8914" t="s">
        <v>13043</v>
      </c>
      <c r="B8914" t="s">
        <v>3092</v>
      </c>
      <c r="C8914" t="s">
        <v>119</v>
      </c>
      <c r="D8914" s="1">
        <v>45819</v>
      </c>
      <c r="E8914" t="s">
        <v>4133</v>
      </c>
      <c r="F8914" t="s">
        <v>4139</v>
      </c>
    </row>
    <row r="8915" spans="1:6">
      <c r="A8915" t="s">
        <v>13044</v>
      </c>
      <c r="B8915" t="s">
        <v>3092</v>
      </c>
      <c r="C8915" t="s">
        <v>119</v>
      </c>
      <c r="D8915" s="1">
        <v>45833</v>
      </c>
      <c r="E8915" t="s">
        <v>4133</v>
      </c>
      <c r="F8915" t="s">
        <v>4137</v>
      </c>
    </row>
    <row r="8916" spans="1:6">
      <c r="A8916" t="s">
        <v>13045</v>
      </c>
      <c r="B8916" t="s">
        <v>3092</v>
      </c>
      <c r="C8916" t="s">
        <v>119</v>
      </c>
      <c r="D8916" s="1">
        <v>45827</v>
      </c>
      <c r="E8916" t="s">
        <v>4124</v>
      </c>
      <c r="F8916" t="s">
        <v>4137</v>
      </c>
    </row>
    <row r="8917" spans="1:6">
      <c r="A8917" t="s">
        <v>13046</v>
      </c>
      <c r="B8917" t="s">
        <v>3093</v>
      </c>
      <c r="C8917" t="s">
        <v>63</v>
      </c>
      <c r="D8917" s="1">
        <v>45835</v>
      </c>
      <c r="E8917" t="s">
        <v>4129</v>
      </c>
      <c r="F8917" t="s">
        <v>4139</v>
      </c>
    </row>
    <row r="8918" spans="1:6">
      <c r="A8918" t="s">
        <v>13047</v>
      </c>
      <c r="B8918" t="s">
        <v>3093</v>
      </c>
      <c r="C8918" t="s">
        <v>63</v>
      </c>
      <c r="D8918" s="1">
        <v>45852</v>
      </c>
      <c r="E8918" t="s">
        <v>4135</v>
      </c>
      <c r="F8918" t="s">
        <v>4137</v>
      </c>
    </row>
    <row r="8919" spans="1:6">
      <c r="A8919" t="s">
        <v>13048</v>
      </c>
      <c r="B8919" t="s">
        <v>3093</v>
      </c>
      <c r="C8919" t="s">
        <v>63</v>
      </c>
      <c r="D8919" s="1">
        <v>45845</v>
      </c>
      <c r="E8919" t="s">
        <v>4133</v>
      </c>
      <c r="F8919" t="s">
        <v>4139</v>
      </c>
    </row>
    <row r="8920" spans="1:6">
      <c r="A8920" t="s">
        <v>13049</v>
      </c>
      <c r="B8920" t="s">
        <v>3093</v>
      </c>
      <c r="C8920" t="s">
        <v>63</v>
      </c>
      <c r="D8920" s="1">
        <v>45814</v>
      </c>
      <c r="E8920" t="s">
        <v>4124</v>
      </c>
      <c r="F8920" t="s">
        <v>4125</v>
      </c>
    </row>
    <row r="8921" spans="1:6">
      <c r="A8921" t="s">
        <v>13050</v>
      </c>
      <c r="B8921" t="s">
        <v>3094</v>
      </c>
      <c r="C8921" t="s">
        <v>126</v>
      </c>
      <c r="D8921" s="1">
        <v>45723</v>
      </c>
      <c r="E8921" t="s">
        <v>4135</v>
      </c>
      <c r="F8921" t="s">
        <v>4125</v>
      </c>
    </row>
    <row r="8922" spans="1:6">
      <c r="A8922" t="s">
        <v>13051</v>
      </c>
      <c r="B8922" t="s">
        <v>3094</v>
      </c>
      <c r="C8922" t="s">
        <v>126</v>
      </c>
      <c r="D8922" s="1">
        <v>45729</v>
      </c>
      <c r="E8922" t="s">
        <v>4127</v>
      </c>
      <c r="F8922" t="s">
        <v>4125</v>
      </c>
    </row>
    <row r="8923" spans="1:6">
      <c r="A8923" t="s">
        <v>13052</v>
      </c>
      <c r="B8923" t="s">
        <v>3095</v>
      </c>
      <c r="C8923" t="s">
        <v>126</v>
      </c>
      <c r="D8923" s="1">
        <v>45788</v>
      </c>
      <c r="E8923" t="s">
        <v>4124</v>
      </c>
      <c r="F8923" t="s">
        <v>4139</v>
      </c>
    </row>
    <row r="8924" spans="1:6">
      <c r="A8924" t="s">
        <v>13053</v>
      </c>
      <c r="B8924" t="s">
        <v>3095</v>
      </c>
      <c r="C8924" t="s">
        <v>126</v>
      </c>
      <c r="D8924" s="1">
        <v>45761</v>
      </c>
      <c r="E8924" t="s">
        <v>4124</v>
      </c>
      <c r="F8924" t="s">
        <v>4139</v>
      </c>
    </row>
    <row r="8925" spans="1:6">
      <c r="A8925" t="s">
        <v>13054</v>
      </c>
      <c r="B8925" t="s">
        <v>3095</v>
      </c>
      <c r="C8925" t="s">
        <v>126</v>
      </c>
      <c r="D8925" s="1">
        <v>45807</v>
      </c>
      <c r="E8925" t="s">
        <v>4127</v>
      </c>
      <c r="F8925" t="s">
        <v>4139</v>
      </c>
    </row>
    <row r="8926" spans="1:6">
      <c r="A8926" t="s">
        <v>13055</v>
      </c>
      <c r="B8926" t="s">
        <v>3095</v>
      </c>
      <c r="C8926" t="s">
        <v>126</v>
      </c>
      <c r="D8926" s="1">
        <v>45790</v>
      </c>
      <c r="E8926" t="s">
        <v>4133</v>
      </c>
      <c r="F8926" t="s">
        <v>4137</v>
      </c>
    </row>
    <row r="8927" spans="1:6">
      <c r="A8927" t="s">
        <v>13056</v>
      </c>
      <c r="B8927" t="s">
        <v>3096</v>
      </c>
      <c r="C8927" t="s">
        <v>50</v>
      </c>
      <c r="D8927" s="1">
        <v>45927</v>
      </c>
      <c r="E8927" t="s">
        <v>4127</v>
      </c>
      <c r="F8927" t="s">
        <v>4125</v>
      </c>
    </row>
    <row r="8928" spans="1:6">
      <c r="A8928" t="s">
        <v>13057</v>
      </c>
      <c r="B8928" t="s">
        <v>3096</v>
      </c>
      <c r="C8928" t="s">
        <v>50</v>
      </c>
      <c r="D8928" s="1">
        <v>45872</v>
      </c>
      <c r="E8928" t="s">
        <v>4135</v>
      </c>
      <c r="F8928" t="s">
        <v>4125</v>
      </c>
    </row>
    <row r="8929" spans="1:6">
      <c r="A8929" t="s">
        <v>13058</v>
      </c>
      <c r="B8929" t="s">
        <v>3097</v>
      </c>
      <c r="C8929" t="s">
        <v>46</v>
      </c>
      <c r="D8929" s="1">
        <v>45878</v>
      </c>
      <c r="E8929" t="s">
        <v>4135</v>
      </c>
      <c r="F8929" t="s">
        <v>4137</v>
      </c>
    </row>
    <row r="8930" spans="1:6">
      <c r="A8930" t="s">
        <v>13059</v>
      </c>
      <c r="B8930" t="s">
        <v>3097</v>
      </c>
      <c r="C8930" t="s">
        <v>46</v>
      </c>
      <c r="D8930" s="1">
        <v>45905</v>
      </c>
      <c r="E8930" t="s">
        <v>4133</v>
      </c>
      <c r="F8930" t="s">
        <v>4139</v>
      </c>
    </row>
    <row r="8931" spans="1:6">
      <c r="A8931" t="s">
        <v>13060</v>
      </c>
      <c r="B8931" t="s">
        <v>3097</v>
      </c>
      <c r="C8931" t="s">
        <v>46</v>
      </c>
      <c r="D8931" s="1">
        <v>45900</v>
      </c>
      <c r="E8931" t="s">
        <v>4135</v>
      </c>
      <c r="F8931" t="s">
        <v>4139</v>
      </c>
    </row>
    <row r="8932" spans="1:6">
      <c r="A8932" t="s">
        <v>13061</v>
      </c>
      <c r="B8932" t="s">
        <v>3097</v>
      </c>
      <c r="C8932" t="s">
        <v>46</v>
      </c>
      <c r="D8932" s="1">
        <v>45898</v>
      </c>
      <c r="E8932" t="s">
        <v>4124</v>
      </c>
      <c r="F8932" t="s">
        <v>4137</v>
      </c>
    </row>
    <row r="8933" spans="1:6">
      <c r="A8933" t="s">
        <v>13062</v>
      </c>
      <c r="B8933" t="s">
        <v>3098</v>
      </c>
      <c r="C8933" t="s">
        <v>32</v>
      </c>
      <c r="D8933" s="1">
        <v>45993</v>
      </c>
      <c r="E8933" t="s">
        <v>4133</v>
      </c>
      <c r="F8933" t="s">
        <v>4137</v>
      </c>
    </row>
    <row r="8934" spans="1:6">
      <c r="A8934" t="s">
        <v>13063</v>
      </c>
      <c r="B8934" t="s">
        <v>3098</v>
      </c>
      <c r="C8934" t="s">
        <v>32</v>
      </c>
      <c r="D8934" s="1">
        <v>45989</v>
      </c>
      <c r="E8934" t="s">
        <v>4127</v>
      </c>
      <c r="F8934" t="s">
        <v>4125</v>
      </c>
    </row>
    <row r="8935" spans="1:6">
      <c r="A8935" t="s">
        <v>13064</v>
      </c>
      <c r="B8935" t="s">
        <v>3098</v>
      </c>
      <c r="C8935" t="s">
        <v>32</v>
      </c>
      <c r="D8935" s="1">
        <v>45998</v>
      </c>
      <c r="E8935" t="s">
        <v>4127</v>
      </c>
      <c r="F8935" t="s">
        <v>4139</v>
      </c>
    </row>
    <row r="8936" spans="1:6">
      <c r="A8936" t="s">
        <v>13065</v>
      </c>
      <c r="B8936" t="s">
        <v>3098</v>
      </c>
      <c r="C8936" t="s">
        <v>32</v>
      </c>
      <c r="D8936" s="1">
        <v>46014</v>
      </c>
      <c r="E8936" t="s">
        <v>4135</v>
      </c>
      <c r="F8936" t="s">
        <v>4125</v>
      </c>
    </row>
    <row r="8937" spans="1:6">
      <c r="A8937" t="s">
        <v>13066</v>
      </c>
      <c r="B8937" t="s">
        <v>3099</v>
      </c>
      <c r="C8937" t="s">
        <v>22</v>
      </c>
      <c r="D8937" s="1">
        <v>45920</v>
      </c>
      <c r="E8937" t="s">
        <v>4135</v>
      </c>
      <c r="F8937" t="s">
        <v>4125</v>
      </c>
    </row>
    <row r="8938" spans="1:6">
      <c r="A8938" t="s">
        <v>13067</v>
      </c>
      <c r="B8938" t="s">
        <v>3099</v>
      </c>
      <c r="C8938" t="s">
        <v>22</v>
      </c>
      <c r="D8938" s="1">
        <v>45932</v>
      </c>
      <c r="E8938" t="s">
        <v>4127</v>
      </c>
      <c r="F8938" t="s">
        <v>4137</v>
      </c>
    </row>
    <row r="8939" spans="1:6">
      <c r="A8939" t="s">
        <v>13068</v>
      </c>
      <c r="B8939" t="s">
        <v>3099</v>
      </c>
      <c r="C8939" t="s">
        <v>22</v>
      </c>
      <c r="D8939" s="1">
        <v>45947</v>
      </c>
      <c r="E8939" t="s">
        <v>4135</v>
      </c>
      <c r="F8939" t="s">
        <v>4139</v>
      </c>
    </row>
    <row r="8940" spans="1:6">
      <c r="A8940" t="s">
        <v>13069</v>
      </c>
      <c r="B8940" t="s">
        <v>3099</v>
      </c>
      <c r="C8940" t="s">
        <v>22</v>
      </c>
      <c r="D8940" s="1">
        <v>45933</v>
      </c>
      <c r="E8940" t="s">
        <v>4133</v>
      </c>
      <c r="F8940" t="s">
        <v>4137</v>
      </c>
    </row>
    <row r="8941" spans="1:6">
      <c r="A8941" t="s">
        <v>13070</v>
      </c>
      <c r="B8941" t="s">
        <v>3099</v>
      </c>
      <c r="C8941" t="s">
        <v>22</v>
      </c>
      <c r="D8941" s="1">
        <v>45940</v>
      </c>
      <c r="E8941" t="s">
        <v>4135</v>
      </c>
      <c r="F8941" t="s">
        <v>4139</v>
      </c>
    </row>
    <row r="8942" spans="1:6">
      <c r="A8942" t="s">
        <v>13071</v>
      </c>
      <c r="B8942" t="s">
        <v>3100</v>
      </c>
      <c r="C8942" t="s">
        <v>27</v>
      </c>
      <c r="D8942" s="1">
        <v>45800</v>
      </c>
      <c r="E8942" t="s">
        <v>4129</v>
      </c>
      <c r="F8942" t="s">
        <v>4125</v>
      </c>
    </row>
    <row r="8943" spans="1:6">
      <c r="A8943" t="s">
        <v>13072</v>
      </c>
      <c r="B8943" t="s">
        <v>3100</v>
      </c>
      <c r="C8943" t="s">
        <v>27</v>
      </c>
      <c r="D8943" s="1">
        <v>45734</v>
      </c>
      <c r="E8943" t="s">
        <v>4124</v>
      </c>
      <c r="F8943" t="s">
        <v>4137</v>
      </c>
    </row>
    <row r="8944" spans="1:6">
      <c r="A8944" t="s">
        <v>13073</v>
      </c>
      <c r="B8944" t="s">
        <v>3100</v>
      </c>
      <c r="C8944" t="s">
        <v>27</v>
      </c>
      <c r="D8944" s="1">
        <v>45798</v>
      </c>
      <c r="E8944" t="s">
        <v>4135</v>
      </c>
      <c r="F8944" t="s">
        <v>4139</v>
      </c>
    </row>
    <row r="8945" spans="1:6">
      <c r="A8945" t="s">
        <v>13074</v>
      </c>
      <c r="B8945" t="s">
        <v>3100</v>
      </c>
      <c r="C8945" t="s">
        <v>27</v>
      </c>
      <c r="D8945" s="1">
        <v>45751</v>
      </c>
      <c r="E8945" t="s">
        <v>4133</v>
      </c>
      <c r="F8945" t="s">
        <v>4125</v>
      </c>
    </row>
    <row r="8946" spans="1:6">
      <c r="A8946" t="s">
        <v>13075</v>
      </c>
      <c r="B8946" t="s">
        <v>3101</v>
      </c>
      <c r="C8946" t="s">
        <v>91</v>
      </c>
      <c r="D8946" s="1">
        <v>45887</v>
      </c>
      <c r="E8946" t="s">
        <v>4129</v>
      </c>
      <c r="F8946" t="s">
        <v>4137</v>
      </c>
    </row>
    <row r="8947" spans="1:6">
      <c r="A8947" t="s">
        <v>13076</v>
      </c>
      <c r="B8947" t="s">
        <v>3101</v>
      </c>
      <c r="C8947" t="s">
        <v>91</v>
      </c>
      <c r="D8947" s="1">
        <v>45907</v>
      </c>
      <c r="E8947" t="s">
        <v>4133</v>
      </c>
      <c r="F8947" t="s">
        <v>4125</v>
      </c>
    </row>
    <row r="8948" spans="1:6">
      <c r="A8948" t="s">
        <v>13077</v>
      </c>
      <c r="B8948" t="s">
        <v>3101</v>
      </c>
      <c r="C8948" t="s">
        <v>91</v>
      </c>
      <c r="D8948" s="1">
        <v>45881</v>
      </c>
      <c r="E8948" t="s">
        <v>4129</v>
      </c>
      <c r="F8948" t="s">
        <v>4137</v>
      </c>
    </row>
    <row r="8949" spans="1:6">
      <c r="A8949" t="s">
        <v>13078</v>
      </c>
      <c r="B8949" t="s">
        <v>3101</v>
      </c>
      <c r="C8949" t="s">
        <v>91</v>
      </c>
      <c r="D8949" s="1">
        <v>45885</v>
      </c>
      <c r="E8949" t="s">
        <v>4129</v>
      </c>
      <c r="F8949" t="s">
        <v>4125</v>
      </c>
    </row>
    <row r="8950" spans="1:6">
      <c r="A8950" t="s">
        <v>13079</v>
      </c>
      <c r="B8950" t="s">
        <v>3101</v>
      </c>
      <c r="C8950" t="s">
        <v>91</v>
      </c>
      <c r="D8950" s="1">
        <v>45900</v>
      </c>
      <c r="E8950" t="s">
        <v>4127</v>
      </c>
      <c r="F8950" t="s">
        <v>4125</v>
      </c>
    </row>
    <row r="8951" spans="1:6">
      <c r="A8951" t="s">
        <v>13080</v>
      </c>
      <c r="B8951" t="s">
        <v>3103</v>
      </c>
      <c r="C8951" t="s">
        <v>63</v>
      </c>
      <c r="D8951" s="1">
        <v>45977</v>
      </c>
      <c r="E8951" t="s">
        <v>4133</v>
      </c>
      <c r="F8951" t="s">
        <v>4137</v>
      </c>
    </row>
    <row r="8952" spans="1:6">
      <c r="A8952" t="s">
        <v>13081</v>
      </c>
      <c r="B8952" t="s">
        <v>3103</v>
      </c>
      <c r="C8952" t="s">
        <v>63</v>
      </c>
      <c r="D8952" s="1">
        <v>45983</v>
      </c>
      <c r="E8952" t="s">
        <v>4135</v>
      </c>
      <c r="F8952" t="s">
        <v>4137</v>
      </c>
    </row>
    <row r="8953" spans="1:6">
      <c r="A8953" t="s">
        <v>13082</v>
      </c>
      <c r="B8953" t="s">
        <v>3103</v>
      </c>
      <c r="C8953" t="s">
        <v>63</v>
      </c>
      <c r="D8953" s="1">
        <v>45984</v>
      </c>
      <c r="E8953" t="s">
        <v>4124</v>
      </c>
      <c r="F8953" t="s">
        <v>4139</v>
      </c>
    </row>
    <row r="8954" spans="1:6">
      <c r="A8954" t="s">
        <v>13083</v>
      </c>
      <c r="B8954" t="s">
        <v>3104</v>
      </c>
      <c r="C8954" t="s">
        <v>40</v>
      </c>
      <c r="D8954" s="1">
        <v>45703</v>
      </c>
      <c r="E8954" t="s">
        <v>4133</v>
      </c>
      <c r="F8954" t="s">
        <v>4137</v>
      </c>
    </row>
    <row r="8955" spans="1:6">
      <c r="A8955" t="s">
        <v>13084</v>
      </c>
      <c r="B8955" t="s">
        <v>3104</v>
      </c>
      <c r="C8955" t="s">
        <v>40</v>
      </c>
      <c r="D8955" s="1">
        <v>45715</v>
      </c>
      <c r="E8955" t="s">
        <v>4124</v>
      </c>
      <c r="F8955" t="s">
        <v>4137</v>
      </c>
    </row>
    <row r="8956" spans="1:6">
      <c r="A8956" t="s">
        <v>13085</v>
      </c>
      <c r="B8956" t="s">
        <v>3104</v>
      </c>
      <c r="C8956" t="s">
        <v>40</v>
      </c>
      <c r="D8956" s="1">
        <v>45704</v>
      </c>
      <c r="E8956" t="s">
        <v>4129</v>
      </c>
      <c r="F8956" t="s">
        <v>4125</v>
      </c>
    </row>
    <row r="8957" spans="1:6">
      <c r="A8957" t="s">
        <v>13086</v>
      </c>
      <c r="B8957" t="s">
        <v>3104</v>
      </c>
      <c r="C8957" t="s">
        <v>40</v>
      </c>
      <c r="D8957" s="1">
        <v>45667</v>
      </c>
      <c r="E8957" t="s">
        <v>4124</v>
      </c>
      <c r="F8957" t="s">
        <v>4137</v>
      </c>
    </row>
    <row r="8958" spans="1:6">
      <c r="A8958" t="s">
        <v>13087</v>
      </c>
      <c r="B8958" t="s">
        <v>3104</v>
      </c>
      <c r="C8958" t="s">
        <v>40</v>
      </c>
      <c r="D8958" s="1">
        <v>45713</v>
      </c>
      <c r="E8958" t="s">
        <v>4129</v>
      </c>
      <c r="F8958" t="s">
        <v>4137</v>
      </c>
    </row>
    <row r="8959" spans="1:6">
      <c r="A8959" t="s">
        <v>13088</v>
      </c>
      <c r="B8959" t="s">
        <v>3105</v>
      </c>
      <c r="C8959" t="s">
        <v>168</v>
      </c>
      <c r="D8959" s="1">
        <v>45742</v>
      </c>
      <c r="E8959" t="s">
        <v>4133</v>
      </c>
      <c r="F8959" t="s">
        <v>4137</v>
      </c>
    </row>
    <row r="8960" spans="1:6">
      <c r="A8960" t="s">
        <v>13089</v>
      </c>
      <c r="B8960" t="s">
        <v>3105</v>
      </c>
      <c r="C8960" t="s">
        <v>168</v>
      </c>
      <c r="D8960" s="1">
        <v>45756</v>
      </c>
      <c r="E8960" t="s">
        <v>4133</v>
      </c>
      <c r="F8960" t="s">
        <v>4125</v>
      </c>
    </row>
    <row r="8961" spans="1:6">
      <c r="A8961" t="s">
        <v>13090</v>
      </c>
      <c r="B8961" t="s">
        <v>3105</v>
      </c>
      <c r="C8961" t="s">
        <v>168</v>
      </c>
      <c r="D8961" s="1">
        <v>45747</v>
      </c>
      <c r="E8961" t="s">
        <v>4133</v>
      </c>
      <c r="F8961" t="s">
        <v>4137</v>
      </c>
    </row>
    <row r="8962" spans="1:6">
      <c r="A8962" t="s">
        <v>13091</v>
      </c>
      <c r="B8962" t="s">
        <v>3106</v>
      </c>
      <c r="C8962" t="s">
        <v>22</v>
      </c>
      <c r="D8962" s="1">
        <v>45714</v>
      </c>
      <c r="E8962" t="s">
        <v>4127</v>
      </c>
      <c r="F8962" t="s">
        <v>4125</v>
      </c>
    </row>
    <row r="8963" spans="1:6">
      <c r="A8963" t="s">
        <v>13092</v>
      </c>
      <c r="B8963" t="s">
        <v>3106</v>
      </c>
      <c r="C8963" t="s">
        <v>22</v>
      </c>
      <c r="D8963" s="1">
        <v>45718</v>
      </c>
      <c r="E8963" t="s">
        <v>4133</v>
      </c>
      <c r="F8963" t="s">
        <v>4139</v>
      </c>
    </row>
    <row r="8964" spans="1:6">
      <c r="A8964" t="s">
        <v>13093</v>
      </c>
      <c r="B8964" t="s">
        <v>3107</v>
      </c>
      <c r="C8964" t="s">
        <v>53</v>
      </c>
      <c r="D8964" s="1">
        <v>45743</v>
      </c>
      <c r="E8964" t="s">
        <v>4133</v>
      </c>
      <c r="F8964" t="s">
        <v>4125</v>
      </c>
    </row>
    <row r="8965" spans="1:6">
      <c r="A8965" t="s">
        <v>13094</v>
      </c>
      <c r="B8965" t="s">
        <v>3107</v>
      </c>
      <c r="C8965" t="s">
        <v>53</v>
      </c>
      <c r="D8965" s="1">
        <v>45734</v>
      </c>
      <c r="E8965" t="s">
        <v>4127</v>
      </c>
      <c r="F8965" t="s">
        <v>4137</v>
      </c>
    </row>
    <row r="8966" spans="1:6">
      <c r="A8966" t="s">
        <v>13095</v>
      </c>
      <c r="B8966" t="s">
        <v>3108</v>
      </c>
      <c r="C8966" t="s">
        <v>126</v>
      </c>
      <c r="D8966" s="1">
        <v>45798</v>
      </c>
      <c r="E8966" t="s">
        <v>4135</v>
      </c>
      <c r="F8966" t="s">
        <v>4125</v>
      </c>
    </row>
    <row r="8967" spans="1:6">
      <c r="A8967" t="s">
        <v>13096</v>
      </c>
      <c r="B8967" t="s">
        <v>3108</v>
      </c>
      <c r="C8967" t="s">
        <v>126</v>
      </c>
      <c r="D8967" s="1">
        <v>45792</v>
      </c>
      <c r="E8967" t="s">
        <v>4133</v>
      </c>
      <c r="F8967" t="s">
        <v>4139</v>
      </c>
    </row>
    <row r="8968" spans="1:6">
      <c r="A8968" t="s">
        <v>13097</v>
      </c>
      <c r="B8968" t="s">
        <v>3108</v>
      </c>
      <c r="C8968" t="s">
        <v>126</v>
      </c>
      <c r="D8968" s="1">
        <v>45794</v>
      </c>
      <c r="E8968" t="s">
        <v>4135</v>
      </c>
      <c r="F8968" t="s">
        <v>4139</v>
      </c>
    </row>
    <row r="8969" spans="1:6">
      <c r="A8969" t="s">
        <v>13098</v>
      </c>
      <c r="B8969" t="s">
        <v>3109</v>
      </c>
      <c r="C8969" t="s">
        <v>63</v>
      </c>
      <c r="D8969" s="1">
        <v>45763</v>
      </c>
      <c r="E8969" t="s">
        <v>4133</v>
      </c>
      <c r="F8969" t="s">
        <v>4125</v>
      </c>
    </row>
    <row r="8970" spans="1:6">
      <c r="A8970" t="s">
        <v>13099</v>
      </c>
      <c r="B8970" t="s">
        <v>3109</v>
      </c>
      <c r="C8970" t="s">
        <v>63</v>
      </c>
      <c r="D8970" s="1">
        <v>45752</v>
      </c>
      <c r="E8970" t="s">
        <v>4127</v>
      </c>
      <c r="F8970" t="s">
        <v>4139</v>
      </c>
    </row>
    <row r="8971" spans="1:6">
      <c r="A8971" t="s">
        <v>13100</v>
      </c>
      <c r="B8971" t="s">
        <v>3109</v>
      </c>
      <c r="C8971" t="s">
        <v>63</v>
      </c>
      <c r="D8971" s="1">
        <v>45769</v>
      </c>
      <c r="E8971" t="s">
        <v>4135</v>
      </c>
      <c r="F8971" t="s">
        <v>4125</v>
      </c>
    </row>
    <row r="8972" spans="1:6">
      <c r="A8972" t="s">
        <v>13101</v>
      </c>
      <c r="B8972" t="s">
        <v>3109</v>
      </c>
      <c r="C8972" t="s">
        <v>63</v>
      </c>
      <c r="D8972" s="1">
        <v>45755</v>
      </c>
      <c r="E8972" t="s">
        <v>4124</v>
      </c>
      <c r="F8972" t="s">
        <v>4139</v>
      </c>
    </row>
    <row r="8973" spans="1:6">
      <c r="A8973" t="s">
        <v>13102</v>
      </c>
      <c r="B8973" t="s">
        <v>3109</v>
      </c>
      <c r="C8973" t="s">
        <v>63</v>
      </c>
      <c r="D8973" s="1">
        <v>45765</v>
      </c>
      <c r="E8973" t="s">
        <v>4124</v>
      </c>
      <c r="F8973" t="s">
        <v>4137</v>
      </c>
    </row>
    <row r="8974" spans="1:6">
      <c r="A8974" t="s">
        <v>13103</v>
      </c>
      <c r="B8974" t="s">
        <v>3110</v>
      </c>
      <c r="C8974" t="s">
        <v>16</v>
      </c>
      <c r="D8974" s="1">
        <v>46022</v>
      </c>
      <c r="E8974" t="s">
        <v>4129</v>
      </c>
      <c r="F8974" t="s">
        <v>4137</v>
      </c>
    </row>
    <row r="8975" spans="1:6">
      <c r="A8975" t="s">
        <v>13104</v>
      </c>
      <c r="B8975" t="s">
        <v>3110</v>
      </c>
      <c r="C8975" t="s">
        <v>16</v>
      </c>
      <c r="D8975" s="1">
        <v>46021</v>
      </c>
      <c r="E8975" t="s">
        <v>4129</v>
      </c>
      <c r="F8975" t="s">
        <v>4137</v>
      </c>
    </row>
    <row r="8976" spans="1:6">
      <c r="A8976" t="s">
        <v>13105</v>
      </c>
      <c r="B8976" t="s">
        <v>3111</v>
      </c>
      <c r="C8976" t="s">
        <v>70</v>
      </c>
      <c r="D8976" s="1">
        <v>45823</v>
      </c>
      <c r="E8976" t="s">
        <v>4135</v>
      </c>
      <c r="F8976" t="s">
        <v>4139</v>
      </c>
    </row>
    <row r="8977" spans="1:6">
      <c r="A8977" t="s">
        <v>13106</v>
      </c>
      <c r="B8977" t="s">
        <v>3111</v>
      </c>
      <c r="C8977" t="s">
        <v>70</v>
      </c>
      <c r="D8977" s="1">
        <v>45822</v>
      </c>
      <c r="E8977" t="s">
        <v>4133</v>
      </c>
      <c r="F8977" t="s">
        <v>4139</v>
      </c>
    </row>
    <row r="8978" spans="1:6">
      <c r="A8978" t="s">
        <v>13107</v>
      </c>
      <c r="B8978" t="s">
        <v>3112</v>
      </c>
      <c r="C8978" t="s">
        <v>70</v>
      </c>
      <c r="D8978" s="1">
        <v>45834</v>
      </c>
      <c r="E8978" t="s">
        <v>4129</v>
      </c>
      <c r="F8978" t="s">
        <v>4139</v>
      </c>
    </row>
    <row r="8979" spans="1:6">
      <c r="A8979" t="s">
        <v>13108</v>
      </c>
      <c r="B8979" t="s">
        <v>3112</v>
      </c>
      <c r="C8979" t="s">
        <v>70</v>
      </c>
      <c r="D8979" s="1">
        <v>45838</v>
      </c>
      <c r="E8979" t="s">
        <v>4127</v>
      </c>
      <c r="F8979" t="s">
        <v>4125</v>
      </c>
    </row>
    <row r="8980" spans="1:6">
      <c r="A8980" t="s">
        <v>13109</v>
      </c>
      <c r="B8980" t="s">
        <v>3112</v>
      </c>
      <c r="C8980" t="s">
        <v>70</v>
      </c>
      <c r="D8980" s="1">
        <v>45850</v>
      </c>
      <c r="E8980" t="s">
        <v>4129</v>
      </c>
      <c r="F8980" t="s">
        <v>4125</v>
      </c>
    </row>
    <row r="8981" spans="1:6">
      <c r="A8981" t="s">
        <v>13110</v>
      </c>
      <c r="B8981" t="s">
        <v>3112</v>
      </c>
      <c r="C8981" t="s">
        <v>70</v>
      </c>
      <c r="D8981" s="1">
        <v>45844</v>
      </c>
      <c r="E8981" t="s">
        <v>4124</v>
      </c>
      <c r="F8981" t="s">
        <v>4137</v>
      </c>
    </row>
    <row r="8982" spans="1:6">
      <c r="A8982" t="s">
        <v>13111</v>
      </c>
      <c r="B8982" t="s">
        <v>3112</v>
      </c>
      <c r="C8982" t="s">
        <v>70</v>
      </c>
      <c r="D8982" s="1">
        <v>45835</v>
      </c>
      <c r="E8982" t="s">
        <v>4129</v>
      </c>
      <c r="F8982" t="s">
        <v>4125</v>
      </c>
    </row>
    <row r="8983" spans="1:6">
      <c r="A8983" t="s">
        <v>13112</v>
      </c>
      <c r="B8983" t="s">
        <v>3113</v>
      </c>
      <c r="C8983" t="s">
        <v>152</v>
      </c>
      <c r="D8983" s="1">
        <v>45776</v>
      </c>
      <c r="E8983" t="s">
        <v>4135</v>
      </c>
      <c r="F8983" t="s">
        <v>4139</v>
      </c>
    </row>
    <row r="8984" spans="1:6">
      <c r="A8984" t="s">
        <v>13113</v>
      </c>
      <c r="B8984" t="s">
        <v>3113</v>
      </c>
      <c r="C8984" t="s">
        <v>152</v>
      </c>
      <c r="D8984" s="1">
        <v>45762</v>
      </c>
      <c r="E8984" t="s">
        <v>4135</v>
      </c>
      <c r="F8984" t="s">
        <v>4125</v>
      </c>
    </row>
    <row r="8985" spans="1:6">
      <c r="A8985" t="s">
        <v>13114</v>
      </c>
      <c r="B8985" t="s">
        <v>3113</v>
      </c>
      <c r="C8985" t="s">
        <v>152</v>
      </c>
      <c r="D8985" s="1">
        <v>45764</v>
      </c>
      <c r="E8985" t="s">
        <v>4135</v>
      </c>
      <c r="F8985" t="s">
        <v>4125</v>
      </c>
    </row>
    <row r="8986" spans="1:6">
      <c r="A8986" t="s">
        <v>13115</v>
      </c>
      <c r="B8986" t="s">
        <v>3114</v>
      </c>
      <c r="C8986" t="s">
        <v>126</v>
      </c>
      <c r="D8986" s="1">
        <v>45952</v>
      </c>
      <c r="E8986" t="s">
        <v>4133</v>
      </c>
      <c r="F8986" t="s">
        <v>4137</v>
      </c>
    </row>
    <row r="8987" spans="1:6">
      <c r="A8987" t="s">
        <v>13116</v>
      </c>
      <c r="B8987" t="s">
        <v>3114</v>
      </c>
      <c r="C8987" t="s">
        <v>126</v>
      </c>
      <c r="D8987" s="1">
        <v>45923</v>
      </c>
      <c r="E8987" t="s">
        <v>4124</v>
      </c>
      <c r="F8987" t="s">
        <v>4125</v>
      </c>
    </row>
    <row r="8988" spans="1:6">
      <c r="A8988" t="s">
        <v>13117</v>
      </c>
      <c r="B8988" t="s">
        <v>3114</v>
      </c>
      <c r="C8988" t="s">
        <v>126</v>
      </c>
      <c r="D8988" s="1">
        <v>45915</v>
      </c>
      <c r="E8988" t="s">
        <v>4129</v>
      </c>
      <c r="F8988" t="s">
        <v>4125</v>
      </c>
    </row>
    <row r="8989" spans="1:6">
      <c r="A8989" t="s">
        <v>13118</v>
      </c>
      <c r="B8989" t="s">
        <v>3114</v>
      </c>
      <c r="C8989" t="s">
        <v>126</v>
      </c>
      <c r="D8989" s="1">
        <v>45932</v>
      </c>
      <c r="E8989" t="s">
        <v>4133</v>
      </c>
      <c r="F8989" t="s">
        <v>4125</v>
      </c>
    </row>
    <row r="8990" spans="1:6">
      <c r="A8990" t="s">
        <v>13119</v>
      </c>
      <c r="B8990" t="s">
        <v>3115</v>
      </c>
      <c r="C8990" t="s">
        <v>91</v>
      </c>
      <c r="D8990" s="1">
        <v>45827</v>
      </c>
      <c r="E8990" t="s">
        <v>4127</v>
      </c>
      <c r="F8990" t="s">
        <v>4137</v>
      </c>
    </row>
    <row r="8991" spans="1:6">
      <c r="A8991" t="s">
        <v>13120</v>
      </c>
      <c r="B8991" t="s">
        <v>3115</v>
      </c>
      <c r="C8991" t="s">
        <v>91</v>
      </c>
      <c r="D8991" s="1">
        <v>45839</v>
      </c>
      <c r="E8991" t="s">
        <v>4133</v>
      </c>
      <c r="F8991" t="s">
        <v>4125</v>
      </c>
    </row>
    <row r="8992" spans="1:6">
      <c r="A8992" t="s">
        <v>13121</v>
      </c>
      <c r="B8992" t="s">
        <v>3115</v>
      </c>
      <c r="C8992" t="s">
        <v>91</v>
      </c>
      <c r="D8992" s="1">
        <v>45853</v>
      </c>
      <c r="E8992" t="s">
        <v>4129</v>
      </c>
      <c r="F8992" t="s">
        <v>4139</v>
      </c>
    </row>
    <row r="8993" spans="1:6">
      <c r="A8993" t="s">
        <v>13122</v>
      </c>
      <c r="B8993" t="s">
        <v>3116</v>
      </c>
      <c r="C8993" t="s">
        <v>78</v>
      </c>
      <c r="D8993" s="1">
        <v>46018</v>
      </c>
      <c r="E8993" t="s">
        <v>4124</v>
      </c>
      <c r="F8993" t="s">
        <v>4137</v>
      </c>
    </row>
    <row r="8994" spans="1:6">
      <c r="A8994" t="s">
        <v>13123</v>
      </c>
      <c r="B8994" t="s">
        <v>3116</v>
      </c>
      <c r="C8994" t="s">
        <v>78</v>
      </c>
      <c r="D8994" s="1">
        <v>46016</v>
      </c>
      <c r="E8994" t="s">
        <v>4127</v>
      </c>
      <c r="F8994" t="s">
        <v>4139</v>
      </c>
    </row>
    <row r="8995" spans="1:6">
      <c r="A8995" t="s">
        <v>13124</v>
      </c>
      <c r="B8995" t="s">
        <v>3116</v>
      </c>
      <c r="C8995" t="s">
        <v>78</v>
      </c>
      <c r="D8995" s="1">
        <v>46020</v>
      </c>
      <c r="E8995" t="s">
        <v>4129</v>
      </c>
      <c r="F8995" t="s">
        <v>4125</v>
      </c>
    </row>
    <row r="8996" spans="1:6">
      <c r="A8996" t="s">
        <v>13125</v>
      </c>
      <c r="B8996" t="s">
        <v>3117</v>
      </c>
      <c r="C8996" t="s">
        <v>126</v>
      </c>
      <c r="D8996" s="1">
        <v>45968</v>
      </c>
      <c r="E8996" t="s">
        <v>4135</v>
      </c>
      <c r="F8996" t="s">
        <v>4139</v>
      </c>
    </row>
    <row r="8997" spans="1:6">
      <c r="A8997" t="s">
        <v>13126</v>
      </c>
      <c r="B8997" t="s">
        <v>3117</v>
      </c>
      <c r="C8997" t="s">
        <v>126</v>
      </c>
      <c r="D8997" s="1">
        <v>45999</v>
      </c>
      <c r="E8997" t="s">
        <v>4127</v>
      </c>
      <c r="F8997" t="s">
        <v>4137</v>
      </c>
    </row>
    <row r="8998" spans="1:6">
      <c r="A8998" t="s">
        <v>13127</v>
      </c>
      <c r="B8998" t="s">
        <v>3118</v>
      </c>
      <c r="C8998" t="s">
        <v>91</v>
      </c>
      <c r="D8998" s="1">
        <v>45978</v>
      </c>
      <c r="E8998" t="s">
        <v>4135</v>
      </c>
      <c r="F8998" t="s">
        <v>4125</v>
      </c>
    </row>
    <row r="8999" spans="1:6">
      <c r="A8999" t="s">
        <v>13128</v>
      </c>
      <c r="B8999" t="s">
        <v>3118</v>
      </c>
      <c r="C8999" t="s">
        <v>91</v>
      </c>
      <c r="D8999" s="1">
        <v>45974</v>
      </c>
      <c r="E8999" t="s">
        <v>4133</v>
      </c>
      <c r="F8999" t="s">
        <v>4139</v>
      </c>
    </row>
    <row r="9000" spans="1:6">
      <c r="A9000" t="s">
        <v>13129</v>
      </c>
      <c r="B9000" t="s">
        <v>3118</v>
      </c>
      <c r="C9000" t="s">
        <v>91</v>
      </c>
      <c r="D9000" s="1">
        <v>46011</v>
      </c>
      <c r="E9000" t="s">
        <v>4133</v>
      </c>
      <c r="F9000" t="s">
        <v>4125</v>
      </c>
    </row>
    <row r="9001" spans="1:6">
      <c r="A9001" t="s">
        <v>13130</v>
      </c>
      <c r="B9001" t="s">
        <v>3119</v>
      </c>
      <c r="C9001" t="s">
        <v>56</v>
      </c>
      <c r="D9001" s="1">
        <v>45910</v>
      </c>
      <c r="E9001" t="s">
        <v>4127</v>
      </c>
      <c r="F9001" t="s">
        <v>4139</v>
      </c>
    </row>
    <row r="9002" spans="1:6">
      <c r="A9002" t="s">
        <v>13131</v>
      </c>
      <c r="B9002" t="s">
        <v>3119</v>
      </c>
      <c r="C9002" t="s">
        <v>56</v>
      </c>
      <c r="D9002" s="1">
        <v>45920</v>
      </c>
      <c r="E9002" t="s">
        <v>4133</v>
      </c>
      <c r="F9002" t="s">
        <v>4137</v>
      </c>
    </row>
    <row r="9003" spans="1:6">
      <c r="A9003" t="s">
        <v>13132</v>
      </c>
      <c r="B9003" t="s">
        <v>3119</v>
      </c>
      <c r="C9003" t="s">
        <v>56</v>
      </c>
      <c r="D9003" s="1">
        <v>45916</v>
      </c>
      <c r="E9003" t="s">
        <v>4135</v>
      </c>
      <c r="F9003" t="s">
        <v>4125</v>
      </c>
    </row>
    <row r="9004" spans="1:6">
      <c r="A9004" t="s">
        <v>13133</v>
      </c>
      <c r="B9004" t="s">
        <v>3119</v>
      </c>
      <c r="C9004" t="s">
        <v>56</v>
      </c>
      <c r="D9004" s="1">
        <v>45904</v>
      </c>
      <c r="E9004" t="s">
        <v>4124</v>
      </c>
      <c r="F9004" t="s">
        <v>4137</v>
      </c>
    </row>
    <row r="9005" spans="1:6">
      <c r="A9005" t="s">
        <v>13134</v>
      </c>
      <c r="B9005" t="s">
        <v>3120</v>
      </c>
      <c r="C9005" t="s">
        <v>36</v>
      </c>
      <c r="D9005" s="1">
        <v>45954</v>
      </c>
      <c r="E9005" t="s">
        <v>4127</v>
      </c>
      <c r="F9005" t="s">
        <v>4125</v>
      </c>
    </row>
    <row r="9006" spans="1:6">
      <c r="A9006" t="s">
        <v>13135</v>
      </c>
      <c r="B9006" t="s">
        <v>3120</v>
      </c>
      <c r="C9006" t="s">
        <v>36</v>
      </c>
      <c r="D9006" s="1">
        <v>45971</v>
      </c>
      <c r="E9006" t="s">
        <v>4127</v>
      </c>
      <c r="F9006" t="s">
        <v>4125</v>
      </c>
    </row>
    <row r="9007" spans="1:6">
      <c r="A9007" t="s">
        <v>13136</v>
      </c>
      <c r="B9007" t="s">
        <v>3120</v>
      </c>
      <c r="C9007" t="s">
        <v>36</v>
      </c>
      <c r="D9007" s="1">
        <v>45953</v>
      </c>
      <c r="E9007" t="s">
        <v>4133</v>
      </c>
      <c r="F9007" t="s">
        <v>4125</v>
      </c>
    </row>
    <row r="9008" spans="1:6">
      <c r="A9008" t="s">
        <v>13137</v>
      </c>
      <c r="B9008" t="s">
        <v>3120</v>
      </c>
      <c r="C9008" t="s">
        <v>36</v>
      </c>
      <c r="D9008" s="1">
        <v>45971</v>
      </c>
      <c r="E9008" t="s">
        <v>4133</v>
      </c>
      <c r="F9008" t="s">
        <v>4137</v>
      </c>
    </row>
    <row r="9009" spans="1:6">
      <c r="A9009" t="s">
        <v>13138</v>
      </c>
      <c r="B9009" t="s">
        <v>3121</v>
      </c>
      <c r="C9009" t="s">
        <v>22</v>
      </c>
      <c r="D9009" s="1">
        <v>45765</v>
      </c>
      <c r="E9009" t="s">
        <v>4133</v>
      </c>
      <c r="F9009" t="s">
        <v>4125</v>
      </c>
    </row>
    <row r="9010" spans="1:6">
      <c r="A9010" t="s">
        <v>13139</v>
      </c>
      <c r="B9010" t="s">
        <v>3121</v>
      </c>
      <c r="C9010" t="s">
        <v>22</v>
      </c>
      <c r="D9010" s="1">
        <v>45757</v>
      </c>
      <c r="E9010" t="s">
        <v>4133</v>
      </c>
      <c r="F9010" t="s">
        <v>4125</v>
      </c>
    </row>
    <row r="9011" spans="1:6">
      <c r="A9011" t="s">
        <v>13140</v>
      </c>
      <c r="B9011" t="s">
        <v>3121</v>
      </c>
      <c r="C9011" t="s">
        <v>22</v>
      </c>
      <c r="D9011" s="1">
        <v>45759</v>
      </c>
      <c r="E9011" t="s">
        <v>4129</v>
      </c>
      <c r="F9011" t="s">
        <v>4137</v>
      </c>
    </row>
    <row r="9012" spans="1:6">
      <c r="A9012" t="s">
        <v>13141</v>
      </c>
      <c r="B9012" t="s">
        <v>3121</v>
      </c>
      <c r="C9012" t="s">
        <v>22</v>
      </c>
      <c r="D9012" s="1">
        <v>45758</v>
      </c>
      <c r="E9012" t="s">
        <v>4124</v>
      </c>
      <c r="F9012" t="s">
        <v>4139</v>
      </c>
    </row>
    <row r="9013" spans="1:6">
      <c r="A9013" t="s">
        <v>13142</v>
      </c>
      <c r="B9013" t="s">
        <v>3121</v>
      </c>
      <c r="C9013" t="s">
        <v>22</v>
      </c>
      <c r="D9013" s="1">
        <v>45756</v>
      </c>
      <c r="E9013" t="s">
        <v>4135</v>
      </c>
      <c r="F9013" t="s">
        <v>4137</v>
      </c>
    </row>
    <row r="9014" spans="1:6">
      <c r="A9014" t="s">
        <v>13143</v>
      </c>
      <c r="B9014" t="s">
        <v>3122</v>
      </c>
      <c r="C9014" t="s">
        <v>78</v>
      </c>
      <c r="D9014" s="1">
        <v>45825</v>
      </c>
      <c r="E9014" t="s">
        <v>4127</v>
      </c>
      <c r="F9014" t="s">
        <v>4125</v>
      </c>
    </row>
    <row r="9015" spans="1:6">
      <c r="A9015" t="s">
        <v>13144</v>
      </c>
      <c r="B9015" t="s">
        <v>3122</v>
      </c>
      <c r="C9015" t="s">
        <v>78</v>
      </c>
      <c r="D9015" s="1">
        <v>45851</v>
      </c>
      <c r="E9015" t="s">
        <v>4135</v>
      </c>
      <c r="F9015" t="s">
        <v>4139</v>
      </c>
    </row>
    <row r="9016" spans="1:6">
      <c r="A9016" t="s">
        <v>13145</v>
      </c>
      <c r="B9016" t="s">
        <v>3122</v>
      </c>
      <c r="C9016" t="s">
        <v>78</v>
      </c>
      <c r="D9016" s="1">
        <v>45831</v>
      </c>
      <c r="E9016" t="s">
        <v>4133</v>
      </c>
      <c r="F9016" t="s">
        <v>4137</v>
      </c>
    </row>
    <row r="9017" spans="1:6">
      <c r="A9017" t="s">
        <v>13146</v>
      </c>
      <c r="B9017" t="s">
        <v>3122</v>
      </c>
      <c r="C9017" t="s">
        <v>78</v>
      </c>
      <c r="D9017" s="1">
        <v>45819</v>
      </c>
      <c r="E9017" t="s">
        <v>4127</v>
      </c>
      <c r="F9017" t="s">
        <v>4139</v>
      </c>
    </row>
    <row r="9018" spans="1:6">
      <c r="A9018" t="s">
        <v>13147</v>
      </c>
      <c r="B9018" t="s">
        <v>3122</v>
      </c>
      <c r="C9018" t="s">
        <v>78</v>
      </c>
      <c r="D9018" s="1">
        <v>45849</v>
      </c>
      <c r="E9018" t="s">
        <v>4135</v>
      </c>
      <c r="F9018" t="s">
        <v>4137</v>
      </c>
    </row>
    <row r="9019" spans="1:6">
      <c r="A9019" t="s">
        <v>13148</v>
      </c>
      <c r="B9019" t="s">
        <v>3123</v>
      </c>
      <c r="C9019" t="s">
        <v>75</v>
      </c>
      <c r="D9019" s="1">
        <v>46022</v>
      </c>
      <c r="E9019" t="s">
        <v>4129</v>
      </c>
      <c r="F9019" t="s">
        <v>4139</v>
      </c>
    </row>
    <row r="9020" spans="1:6">
      <c r="A9020" t="s">
        <v>13149</v>
      </c>
      <c r="B9020" t="s">
        <v>3123</v>
      </c>
      <c r="C9020" t="s">
        <v>75</v>
      </c>
      <c r="D9020" s="1">
        <v>46022</v>
      </c>
      <c r="E9020" t="s">
        <v>4129</v>
      </c>
      <c r="F9020" t="s">
        <v>4125</v>
      </c>
    </row>
    <row r="9021" spans="1:6">
      <c r="A9021" t="s">
        <v>13150</v>
      </c>
      <c r="B9021" t="s">
        <v>3123</v>
      </c>
      <c r="C9021" t="s">
        <v>75</v>
      </c>
      <c r="D9021" s="1">
        <v>46022</v>
      </c>
      <c r="E9021" t="s">
        <v>4135</v>
      </c>
      <c r="F9021" t="s">
        <v>4125</v>
      </c>
    </row>
    <row r="9022" spans="1:6">
      <c r="A9022" t="s">
        <v>13151</v>
      </c>
      <c r="B9022" t="s">
        <v>3123</v>
      </c>
      <c r="C9022" t="s">
        <v>75</v>
      </c>
      <c r="D9022" s="1">
        <v>46022</v>
      </c>
      <c r="E9022" t="s">
        <v>4135</v>
      </c>
      <c r="F9022" t="s">
        <v>4139</v>
      </c>
    </row>
    <row r="9023" spans="1:6">
      <c r="A9023" t="s">
        <v>13152</v>
      </c>
      <c r="B9023" t="s">
        <v>3124</v>
      </c>
      <c r="C9023" t="s">
        <v>36</v>
      </c>
      <c r="D9023" s="1">
        <v>45827</v>
      </c>
      <c r="E9023" t="s">
        <v>4124</v>
      </c>
      <c r="F9023" t="s">
        <v>4137</v>
      </c>
    </row>
    <row r="9024" spans="1:6">
      <c r="A9024" t="s">
        <v>13153</v>
      </c>
      <c r="B9024" t="s">
        <v>3124</v>
      </c>
      <c r="C9024" t="s">
        <v>36</v>
      </c>
      <c r="D9024" s="1">
        <v>45817</v>
      </c>
      <c r="E9024" t="s">
        <v>4135</v>
      </c>
      <c r="F9024" t="s">
        <v>4125</v>
      </c>
    </row>
    <row r="9025" spans="1:6">
      <c r="A9025" t="s">
        <v>13154</v>
      </c>
      <c r="B9025" t="s">
        <v>3124</v>
      </c>
      <c r="C9025" t="s">
        <v>36</v>
      </c>
      <c r="D9025" s="1">
        <v>45825</v>
      </c>
      <c r="E9025" t="s">
        <v>4135</v>
      </c>
      <c r="F9025" t="s">
        <v>4139</v>
      </c>
    </row>
    <row r="9026" spans="1:6">
      <c r="A9026" t="s">
        <v>13155</v>
      </c>
      <c r="B9026" t="s">
        <v>3124</v>
      </c>
      <c r="C9026" t="s">
        <v>36</v>
      </c>
      <c r="D9026" s="1">
        <v>45828</v>
      </c>
      <c r="E9026" t="s">
        <v>4133</v>
      </c>
      <c r="F9026" t="s">
        <v>4137</v>
      </c>
    </row>
    <row r="9027" spans="1:6">
      <c r="A9027" t="s">
        <v>13156</v>
      </c>
      <c r="B9027" t="s">
        <v>3124</v>
      </c>
      <c r="C9027" t="s">
        <v>36</v>
      </c>
      <c r="D9027" s="1">
        <v>45832</v>
      </c>
      <c r="E9027" t="s">
        <v>4133</v>
      </c>
      <c r="F9027" t="s">
        <v>4125</v>
      </c>
    </row>
    <row r="9028" spans="1:6">
      <c r="A9028" t="s">
        <v>13157</v>
      </c>
      <c r="B9028" t="s">
        <v>3125</v>
      </c>
      <c r="C9028" t="s">
        <v>27</v>
      </c>
      <c r="D9028" s="1">
        <v>45701</v>
      </c>
      <c r="E9028" t="s">
        <v>4129</v>
      </c>
      <c r="F9028" t="s">
        <v>4125</v>
      </c>
    </row>
    <row r="9029" spans="1:6">
      <c r="A9029" t="s">
        <v>13158</v>
      </c>
      <c r="B9029" t="s">
        <v>3125</v>
      </c>
      <c r="C9029" t="s">
        <v>27</v>
      </c>
      <c r="D9029" s="1">
        <v>45695</v>
      </c>
      <c r="E9029" t="s">
        <v>4135</v>
      </c>
      <c r="F9029" t="s">
        <v>4139</v>
      </c>
    </row>
    <row r="9030" spans="1:6">
      <c r="A9030" t="s">
        <v>13159</v>
      </c>
      <c r="B9030" t="s">
        <v>3125</v>
      </c>
      <c r="C9030" t="s">
        <v>27</v>
      </c>
      <c r="D9030" s="1">
        <v>45683</v>
      </c>
      <c r="E9030" t="s">
        <v>4129</v>
      </c>
      <c r="F9030" t="s">
        <v>4137</v>
      </c>
    </row>
    <row r="9031" spans="1:6">
      <c r="A9031" t="s">
        <v>13160</v>
      </c>
      <c r="B9031" t="s">
        <v>3125</v>
      </c>
      <c r="C9031" t="s">
        <v>27</v>
      </c>
      <c r="D9031" s="1">
        <v>45695</v>
      </c>
      <c r="E9031" t="s">
        <v>4129</v>
      </c>
      <c r="F9031" t="s">
        <v>4125</v>
      </c>
    </row>
    <row r="9032" spans="1:6">
      <c r="A9032" t="s">
        <v>13161</v>
      </c>
      <c r="B9032" t="s">
        <v>3126</v>
      </c>
      <c r="C9032" t="s">
        <v>152</v>
      </c>
      <c r="D9032" s="1">
        <v>45800</v>
      </c>
      <c r="E9032" t="s">
        <v>4127</v>
      </c>
      <c r="F9032" t="s">
        <v>4125</v>
      </c>
    </row>
    <row r="9033" spans="1:6">
      <c r="A9033" t="s">
        <v>13162</v>
      </c>
      <c r="B9033" t="s">
        <v>3126</v>
      </c>
      <c r="C9033" t="s">
        <v>152</v>
      </c>
      <c r="D9033" s="1">
        <v>45791</v>
      </c>
      <c r="E9033" t="s">
        <v>4133</v>
      </c>
      <c r="F9033" t="s">
        <v>4137</v>
      </c>
    </row>
    <row r="9034" spans="1:6">
      <c r="A9034" t="s">
        <v>13163</v>
      </c>
      <c r="B9034" t="s">
        <v>3127</v>
      </c>
      <c r="C9034" t="s">
        <v>168</v>
      </c>
      <c r="D9034" s="1">
        <v>45670</v>
      </c>
      <c r="E9034" t="s">
        <v>4133</v>
      </c>
      <c r="F9034" t="s">
        <v>4137</v>
      </c>
    </row>
    <row r="9035" spans="1:6">
      <c r="A9035" t="s">
        <v>13164</v>
      </c>
      <c r="B9035" t="s">
        <v>3127</v>
      </c>
      <c r="C9035" t="s">
        <v>168</v>
      </c>
      <c r="D9035" s="1">
        <v>45668</v>
      </c>
      <c r="E9035" t="s">
        <v>4127</v>
      </c>
      <c r="F9035" t="s">
        <v>4125</v>
      </c>
    </row>
    <row r="9036" spans="1:6">
      <c r="A9036" t="s">
        <v>13165</v>
      </c>
      <c r="B9036" t="s">
        <v>3127</v>
      </c>
      <c r="C9036" t="s">
        <v>168</v>
      </c>
      <c r="D9036" s="1">
        <v>45679</v>
      </c>
      <c r="E9036" t="s">
        <v>4133</v>
      </c>
      <c r="F9036" t="s">
        <v>4139</v>
      </c>
    </row>
    <row r="9037" spans="1:6">
      <c r="A9037" t="s">
        <v>13166</v>
      </c>
      <c r="B9037" t="s">
        <v>3128</v>
      </c>
      <c r="C9037" t="s">
        <v>152</v>
      </c>
      <c r="D9037" s="1">
        <v>45664</v>
      </c>
      <c r="E9037" t="s">
        <v>4124</v>
      </c>
      <c r="F9037" t="s">
        <v>4137</v>
      </c>
    </row>
    <row r="9038" spans="1:6">
      <c r="A9038" t="s">
        <v>13167</v>
      </c>
      <c r="B9038" t="s">
        <v>3128</v>
      </c>
      <c r="C9038" t="s">
        <v>152</v>
      </c>
      <c r="D9038" s="1">
        <v>45662</v>
      </c>
      <c r="E9038" t="s">
        <v>4124</v>
      </c>
      <c r="F9038" t="s">
        <v>4137</v>
      </c>
    </row>
    <row r="9039" spans="1:6">
      <c r="A9039" t="s">
        <v>13168</v>
      </c>
      <c r="B9039" t="s">
        <v>3128</v>
      </c>
      <c r="C9039" t="s">
        <v>152</v>
      </c>
      <c r="D9039" s="1">
        <v>45713</v>
      </c>
      <c r="E9039" t="s">
        <v>4127</v>
      </c>
      <c r="F9039" t="s">
        <v>4125</v>
      </c>
    </row>
    <row r="9040" spans="1:6">
      <c r="A9040" t="s">
        <v>13169</v>
      </c>
      <c r="B9040" t="s">
        <v>3128</v>
      </c>
      <c r="C9040" t="s">
        <v>152</v>
      </c>
      <c r="D9040" s="1">
        <v>45669</v>
      </c>
      <c r="E9040" t="s">
        <v>4127</v>
      </c>
      <c r="F9040" t="s">
        <v>4139</v>
      </c>
    </row>
    <row r="9041" spans="1:6">
      <c r="A9041" t="s">
        <v>13170</v>
      </c>
      <c r="B9041" t="s">
        <v>3129</v>
      </c>
      <c r="C9041" t="s">
        <v>75</v>
      </c>
      <c r="D9041" s="1">
        <v>45851</v>
      </c>
      <c r="E9041" t="s">
        <v>4135</v>
      </c>
      <c r="F9041" t="s">
        <v>4137</v>
      </c>
    </row>
    <row r="9042" spans="1:6">
      <c r="A9042" t="s">
        <v>13171</v>
      </c>
      <c r="B9042" t="s">
        <v>3129</v>
      </c>
      <c r="C9042" t="s">
        <v>75</v>
      </c>
      <c r="D9042" s="1">
        <v>45864</v>
      </c>
      <c r="E9042" t="s">
        <v>4133</v>
      </c>
      <c r="F9042" t="s">
        <v>4125</v>
      </c>
    </row>
    <row r="9043" spans="1:6">
      <c r="A9043" t="s">
        <v>13172</v>
      </c>
      <c r="B9043" t="s">
        <v>3130</v>
      </c>
      <c r="C9043" t="s">
        <v>40</v>
      </c>
      <c r="D9043" s="1">
        <v>45788</v>
      </c>
      <c r="E9043" t="s">
        <v>4135</v>
      </c>
      <c r="F9043" t="s">
        <v>4125</v>
      </c>
    </row>
    <row r="9044" spans="1:6">
      <c r="A9044" t="s">
        <v>13173</v>
      </c>
      <c r="B9044" t="s">
        <v>3130</v>
      </c>
      <c r="C9044" t="s">
        <v>40</v>
      </c>
      <c r="D9044" s="1">
        <v>45790</v>
      </c>
      <c r="E9044" t="s">
        <v>4133</v>
      </c>
      <c r="F9044" t="s">
        <v>4137</v>
      </c>
    </row>
    <row r="9045" spans="1:6">
      <c r="A9045" t="s">
        <v>13174</v>
      </c>
      <c r="B9045" t="s">
        <v>3131</v>
      </c>
      <c r="C9045" t="s">
        <v>119</v>
      </c>
      <c r="D9045" s="1">
        <v>45756</v>
      </c>
      <c r="E9045" t="s">
        <v>4127</v>
      </c>
      <c r="F9045" t="s">
        <v>4125</v>
      </c>
    </row>
    <row r="9046" spans="1:6">
      <c r="A9046" t="s">
        <v>13175</v>
      </c>
      <c r="B9046" t="s">
        <v>3131</v>
      </c>
      <c r="C9046" t="s">
        <v>119</v>
      </c>
      <c r="D9046" s="1">
        <v>45763</v>
      </c>
      <c r="E9046" t="s">
        <v>4135</v>
      </c>
      <c r="F9046" t="s">
        <v>4137</v>
      </c>
    </row>
    <row r="9047" spans="1:6">
      <c r="A9047" t="s">
        <v>13176</v>
      </c>
      <c r="B9047" t="s">
        <v>3131</v>
      </c>
      <c r="C9047" t="s">
        <v>119</v>
      </c>
      <c r="D9047" s="1">
        <v>45761</v>
      </c>
      <c r="E9047" t="s">
        <v>4135</v>
      </c>
      <c r="F9047" t="s">
        <v>4139</v>
      </c>
    </row>
    <row r="9048" spans="1:6">
      <c r="A9048" t="s">
        <v>13177</v>
      </c>
      <c r="B9048" t="s">
        <v>3131</v>
      </c>
      <c r="C9048" t="s">
        <v>119</v>
      </c>
      <c r="D9048" s="1">
        <v>45767</v>
      </c>
      <c r="E9048" t="s">
        <v>4133</v>
      </c>
      <c r="F9048" t="s">
        <v>4137</v>
      </c>
    </row>
    <row r="9049" spans="1:6">
      <c r="A9049" t="s">
        <v>13178</v>
      </c>
      <c r="B9049" t="s">
        <v>3132</v>
      </c>
      <c r="C9049" t="s">
        <v>27</v>
      </c>
      <c r="D9049" s="1">
        <v>45794</v>
      </c>
      <c r="E9049" t="s">
        <v>4135</v>
      </c>
      <c r="F9049" t="s">
        <v>4137</v>
      </c>
    </row>
    <row r="9050" spans="1:6">
      <c r="A9050" t="s">
        <v>13179</v>
      </c>
      <c r="B9050" t="s">
        <v>3132</v>
      </c>
      <c r="C9050" t="s">
        <v>27</v>
      </c>
      <c r="D9050" s="1">
        <v>45755</v>
      </c>
      <c r="E9050" t="s">
        <v>4129</v>
      </c>
      <c r="F9050" t="s">
        <v>4125</v>
      </c>
    </row>
    <row r="9051" spans="1:6">
      <c r="A9051" t="s">
        <v>13180</v>
      </c>
      <c r="B9051" t="s">
        <v>3132</v>
      </c>
      <c r="C9051" t="s">
        <v>27</v>
      </c>
      <c r="D9051" s="1">
        <v>45808</v>
      </c>
      <c r="E9051" t="s">
        <v>4133</v>
      </c>
      <c r="F9051" t="s">
        <v>4125</v>
      </c>
    </row>
    <row r="9052" spans="1:6">
      <c r="A9052" t="s">
        <v>13181</v>
      </c>
      <c r="B9052" t="s">
        <v>3132</v>
      </c>
      <c r="C9052" t="s">
        <v>27</v>
      </c>
      <c r="D9052" s="1">
        <v>45807</v>
      </c>
      <c r="E9052" t="s">
        <v>4129</v>
      </c>
      <c r="F9052" t="s">
        <v>4139</v>
      </c>
    </row>
    <row r="9053" spans="1:6">
      <c r="A9053" t="s">
        <v>13182</v>
      </c>
      <c r="B9053" t="s">
        <v>3133</v>
      </c>
      <c r="C9053" t="s">
        <v>168</v>
      </c>
      <c r="D9053" s="1">
        <v>45867</v>
      </c>
      <c r="E9053" t="s">
        <v>4127</v>
      </c>
      <c r="F9053" t="s">
        <v>4139</v>
      </c>
    </row>
    <row r="9054" spans="1:6">
      <c r="A9054" t="s">
        <v>13183</v>
      </c>
      <c r="B9054" t="s">
        <v>3133</v>
      </c>
      <c r="C9054" t="s">
        <v>168</v>
      </c>
      <c r="D9054" s="1">
        <v>45866</v>
      </c>
      <c r="E9054" t="s">
        <v>4129</v>
      </c>
      <c r="F9054" t="s">
        <v>4125</v>
      </c>
    </row>
    <row r="9055" spans="1:6">
      <c r="A9055" t="s">
        <v>13184</v>
      </c>
      <c r="B9055" t="s">
        <v>3134</v>
      </c>
      <c r="C9055" t="s">
        <v>27</v>
      </c>
      <c r="D9055" s="1">
        <v>45799</v>
      </c>
      <c r="E9055" t="s">
        <v>4127</v>
      </c>
      <c r="F9055" t="s">
        <v>4125</v>
      </c>
    </row>
    <row r="9056" spans="1:6">
      <c r="A9056" t="s">
        <v>13185</v>
      </c>
      <c r="B9056" t="s">
        <v>3134</v>
      </c>
      <c r="C9056" t="s">
        <v>27</v>
      </c>
      <c r="D9056" s="1">
        <v>45751</v>
      </c>
      <c r="E9056" t="s">
        <v>4127</v>
      </c>
      <c r="F9056" t="s">
        <v>4125</v>
      </c>
    </row>
    <row r="9057" spans="1:6">
      <c r="A9057" t="s">
        <v>13186</v>
      </c>
      <c r="B9057" t="s">
        <v>3134</v>
      </c>
      <c r="C9057" t="s">
        <v>27</v>
      </c>
      <c r="D9057" s="1">
        <v>45774</v>
      </c>
      <c r="E9057" t="s">
        <v>4129</v>
      </c>
      <c r="F9057" t="s">
        <v>4139</v>
      </c>
    </row>
    <row r="9058" spans="1:6">
      <c r="A9058" t="s">
        <v>13187</v>
      </c>
      <c r="B9058" t="s">
        <v>3135</v>
      </c>
      <c r="C9058" t="s">
        <v>152</v>
      </c>
      <c r="D9058" s="1">
        <v>45999</v>
      </c>
      <c r="E9058" t="s">
        <v>4135</v>
      </c>
      <c r="F9058" t="s">
        <v>4137</v>
      </c>
    </row>
    <row r="9059" spans="1:6">
      <c r="A9059" t="s">
        <v>13188</v>
      </c>
      <c r="B9059" t="s">
        <v>3135</v>
      </c>
      <c r="C9059" t="s">
        <v>152</v>
      </c>
      <c r="D9059" s="1">
        <v>45998</v>
      </c>
      <c r="E9059" t="s">
        <v>4129</v>
      </c>
      <c r="F9059" t="s">
        <v>4125</v>
      </c>
    </row>
    <row r="9060" spans="1:6">
      <c r="A9060" t="s">
        <v>13189</v>
      </c>
      <c r="B9060" t="s">
        <v>3135</v>
      </c>
      <c r="C9060" t="s">
        <v>152</v>
      </c>
      <c r="D9060" s="1">
        <v>46010</v>
      </c>
      <c r="E9060" t="s">
        <v>4129</v>
      </c>
      <c r="F9060" t="s">
        <v>4137</v>
      </c>
    </row>
    <row r="9061" spans="1:6">
      <c r="A9061" t="s">
        <v>13190</v>
      </c>
      <c r="B9061" t="s">
        <v>3135</v>
      </c>
      <c r="C9061" t="s">
        <v>152</v>
      </c>
      <c r="D9061" s="1">
        <v>46010</v>
      </c>
      <c r="E9061" t="s">
        <v>4127</v>
      </c>
      <c r="F9061" t="s">
        <v>4125</v>
      </c>
    </row>
    <row r="9062" spans="1:6">
      <c r="A9062" t="s">
        <v>13191</v>
      </c>
      <c r="B9062" t="s">
        <v>3135</v>
      </c>
      <c r="C9062" t="s">
        <v>152</v>
      </c>
      <c r="D9062" s="1">
        <v>45987</v>
      </c>
      <c r="E9062" t="s">
        <v>4133</v>
      </c>
      <c r="F9062" t="s">
        <v>4139</v>
      </c>
    </row>
    <row r="9063" spans="1:6">
      <c r="A9063" t="s">
        <v>13192</v>
      </c>
      <c r="B9063" t="s">
        <v>3136</v>
      </c>
      <c r="C9063" t="s">
        <v>75</v>
      </c>
      <c r="D9063" s="1">
        <v>45970</v>
      </c>
      <c r="E9063" t="s">
        <v>4124</v>
      </c>
      <c r="F9063" t="s">
        <v>4137</v>
      </c>
    </row>
    <row r="9064" spans="1:6">
      <c r="A9064" t="s">
        <v>13193</v>
      </c>
      <c r="B9064" t="s">
        <v>3136</v>
      </c>
      <c r="C9064" t="s">
        <v>75</v>
      </c>
      <c r="D9064" s="1">
        <v>45962</v>
      </c>
      <c r="E9064" t="s">
        <v>4124</v>
      </c>
      <c r="F9064" t="s">
        <v>4125</v>
      </c>
    </row>
    <row r="9065" spans="1:6">
      <c r="A9065" t="s">
        <v>13194</v>
      </c>
      <c r="B9065" t="s">
        <v>3137</v>
      </c>
      <c r="C9065" t="s">
        <v>59</v>
      </c>
      <c r="D9065" s="1">
        <v>45899</v>
      </c>
      <c r="E9065" t="s">
        <v>4133</v>
      </c>
      <c r="F9065" t="s">
        <v>4125</v>
      </c>
    </row>
    <row r="9066" spans="1:6">
      <c r="A9066" t="s">
        <v>13195</v>
      </c>
      <c r="B9066" t="s">
        <v>3137</v>
      </c>
      <c r="C9066" t="s">
        <v>59</v>
      </c>
      <c r="D9066" s="1">
        <v>45898</v>
      </c>
      <c r="E9066" t="s">
        <v>4127</v>
      </c>
      <c r="F9066" t="s">
        <v>4139</v>
      </c>
    </row>
    <row r="9067" spans="1:6">
      <c r="A9067" t="s">
        <v>13196</v>
      </c>
      <c r="B9067" t="s">
        <v>3137</v>
      </c>
      <c r="C9067" t="s">
        <v>59</v>
      </c>
      <c r="D9067" s="1">
        <v>45898</v>
      </c>
      <c r="E9067" t="s">
        <v>4135</v>
      </c>
      <c r="F9067" t="s">
        <v>4125</v>
      </c>
    </row>
    <row r="9068" spans="1:6">
      <c r="A9068" t="s">
        <v>13197</v>
      </c>
      <c r="B9068" t="s">
        <v>3138</v>
      </c>
      <c r="C9068" t="s">
        <v>16</v>
      </c>
      <c r="D9068" s="1">
        <v>45891</v>
      </c>
      <c r="E9068" t="s">
        <v>4124</v>
      </c>
      <c r="F9068" t="s">
        <v>4125</v>
      </c>
    </row>
    <row r="9069" spans="1:6">
      <c r="A9069" t="s">
        <v>13198</v>
      </c>
      <c r="B9069" t="s">
        <v>3138</v>
      </c>
      <c r="C9069" t="s">
        <v>16</v>
      </c>
      <c r="D9069" s="1">
        <v>45892</v>
      </c>
      <c r="E9069" t="s">
        <v>4133</v>
      </c>
      <c r="F9069" t="s">
        <v>4139</v>
      </c>
    </row>
    <row r="9070" spans="1:6">
      <c r="A9070" t="s">
        <v>13199</v>
      </c>
      <c r="B9070" t="s">
        <v>3138</v>
      </c>
      <c r="C9070" t="s">
        <v>16</v>
      </c>
      <c r="D9070" s="1">
        <v>45897</v>
      </c>
      <c r="E9070" t="s">
        <v>4135</v>
      </c>
      <c r="F9070" t="s">
        <v>4125</v>
      </c>
    </row>
    <row r="9071" spans="1:6">
      <c r="A9071" t="s">
        <v>13200</v>
      </c>
      <c r="B9071" t="s">
        <v>3138</v>
      </c>
      <c r="C9071" t="s">
        <v>16</v>
      </c>
      <c r="D9071" s="1">
        <v>45902</v>
      </c>
      <c r="E9071" t="s">
        <v>4127</v>
      </c>
      <c r="F9071" t="s">
        <v>4125</v>
      </c>
    </row>
    <row r="9072" spans="1:6">
      <c r="A9072" t="s">
        <v>13201</v>
      </c>
      <c r="B9072" t="s">
        <v>3138</v>
      </c>
      <c r="C9072" t="s">
        <v>16</v>
      </c>
      <c r="D9072" s="1">
        <v>45891</v>
      </c>
      <c r="E9072" t="s">
        <v>4135</v>
      </c>
      <c r="F9072" t="s">
        <v>4137</v>
      </c>
    </row>
    <row r="9073" spans="1:6">
      <c r="A9073" t="s">
        <v>13202</v>
      </c>
      <c r="B9073" t="s">
        <v>3139</v>
      </c>
      <c r="C9073" t="s">
        <v>46</v>
      </c>
      <c r="D9073" s="1">
        <v>46007</v>
      </c>
      <c r="E9073" t="s">
        <v>4129</v>
      </c>
      <c r="F9073" t="s">
        <v>4137</v>
      </c>
    </row>
    <row r="9074" spans="1:6">
      <c r="A9074" t="s">
        <v>13203</v>
      </c>
      <c r="B9074" t="s">
        <v>3139</v>
      </c>
      <c r="C9074" t="s">
        <v>46</v>
      </c>
      <c r="D9074" s="1">
        <v>46007</v>
      </c>
      <c r="E9074" t="s">
        <v>4135</v>
      </c>
      <c r="F9074" t="s">
        <v>4125</v>
      </c>
    </row>
    <row r="9075" spans="1:6">
      <c r="A9075" t="s">
        <v>13204</v>
      </c>
      <c r="B9075" t="s">
        <v>3140</v>
      </c>
      <c r="C9075" t="s">
        <v>63</v>
      </c>
      <c r="D9075" s="1">
        <v>45817</v>
      </c>
      <c r="E9075" t="s">
        <v>4124</v>
      </c>
      <c r="F9075" t="s">
        <v>4139</v>
      </c>
    </row>
    <row r="9076" spans="1:6">
      <c r="A9076" t="s">
        <v>13205</v>
      </c>
      <c r="B9076" t="s">
        <v>3140</v>
      </c>
      <c r="C9076" t="s">
        <v>63</v>
      </c>
      <c r="D9076" s="1">
        <v>45776</v>
      </c>
      <c r="E9076" t="s">
        <v>4135</v>
      </c>
      <c r="F9076" t="s">
        <v>4125</v>
      </c>
    </row>
    <row r="9077" spans="1:6">
      <c r="A9077" t="s">
        <v>13206</v>
      </c>
      <c r="B9077" t="s">
        <v>3141</v>
      </c>
      <c r="C9077" t="s">
        <v>91</v>
      </c>
      <c r="D9077" s="1">
        <v>45681</v>
      </c>
      <c r="E9077" t="s">
        <v>4129</v>
      </c>
      <c r="F9077" t="s">
        <v>4125</v>
      </c>
    </row>
    <row r="9078" spans="1:6">
      <c r="A9078" t="s">
        <v>13207</v>
      </c>
      <c r="B9078" t="s">
        <v>3141</v>
      </c>
      <c r="C9078" t="s">
        <v>91</v>
      </c>
      <c r="D9078" s="1">
        <v>45681</v>
      </c>
      <c r="E9078" t="s">
        <v>4133</v>
      </c>
      <c r="F9078" t="s">
        <v>4137</v>
      </c>
    </row>
    <row r="9079" spans="1:6">
      <c r="A9079" t="s">
        <v>13208</v>
      </c>
      <c r="B9079" t="s">
        <v>3141</v>
      </c>
      <c r="C9079" t="s">
        <v>91</v>
      </c>
      <c r="D9079" s="1">
        <v>45733</v>
      </c>
      <c r="E9079" t="s">
        <v>4133</v>
      </c>
      <c r="F9079" t="s">
        <v>4125</v>
      </c>
    </row>
    <row r="9080" spans="1:6">
      <c r="A9080" t="s">
        <v>13209</v>
      </c>
      <c r="B9080" t="s">
        <v>3141</v>
      </c>
      <c r="C9080" t="s">
        <v>91</v>
      </c>
      <c r="D9080" s="1">
        <v>45718</v>
      </c>
      <c r="E9080" t="s">
        <v>4133</v>
      </c>
      <c r="F9080" t="s">
        <v>4125</v>
      </c>
    </row>
    <row r="9081" spans="1:6">
      <c r="A9081" t="s">
        <v>13210</v>
      </c>
      <c r="B9081" t="s">
        <v>3142</v>
      </c>
      <c r="C9081" t="s">
        <v>36</v>
      </c>
      <c r="D9081" s="1">
        <v>46001</v>
      </c>
      <c r="E9081" t="s">
        <v>4124</v>
      </c>
      <c r="F9081" t="s">
        <v>4137</v>
      </c>
    </row>
    <row r="9082" spans="1:6">
      <c r="A9082" t="s">
        <v>13211</v>
      </c>
      <c r="B9082" t="s">
        <v>3142</v>
      </c>
      <c r="C9082" t="s">
        <v>36</v>
      </c>
      <c r="D9082" s="1">
        <v>45997</v>
      </c>
      <c r="E9082" t="s">
        <v>4133</v>
      </c>
      <c r="F9082" t="s">
        <v>4125</v>
      </c>
    </row>
    <row r="9083" spans="1:6">
      <c r="A9083" t="s">
        <v>13212</v>
      </c>
      <c r="B9083" t="s">
        <v>3142</v>
      </c>
      <c r="C9083" t="s">
        <v>36</v>
      </c>
      <c r="D9083" s="1">
        <v>46014</v>
      </c>
      <c r="E9083" t="s">
        <v>4127</v>
      </c>
      <c r="F9083" t="s">
        <v>4139</v>
      </c>
    </row>
    <row r="9084" spans="1:6">
      <c r="A9084" t="s">
        <v>13213</v>
      </c>
      <c r="B9084" t="s">
        <v>3142</v>
      </c>
      <c r="C9084" t="s">
        <v>36</v>
      </c>
      <c r="D9084" s="1">
        <v>45986</v>
      </c>
      <c r="E9084" t="s">
        <v>4127</v>
      </c>
      <c r="F9084" t="s">
        <v>4139</v>
      </c>
    </row>
    <row r="9085" spans="1:6">
      <c r="A9085" t="s">
        <v>13214</v>
      </c>
      <c r="B9085" t="s">
        <v>3143</v>
      </c>
      <c r="C9085" t="s">
        <v>32</v>
      </c>
      <c r="D9085" s="1">
        <v>45684</v>
      </c>
      <c r="E9085" t="s">
        <v>4129</v>
      </c>
      <c r="F9085" t="s">
        <v>4139</v>
      </c>
    </row>
    <row r="9086" spans="1:6">
      <c r="A9086" t="s">
        <v>13215</v>
      </c>
      <c r="B9086" t="s">
        <v>3143</v>
      </c>
      <c r="C9086" t="s">
        <v>32</v>
      </c>
      <c r="D9086" s="1">
        <v>45706</v>
      </c>
      <c r="E9086" t="s">
        <v>4129</v>
      </c>
      <c r="F9086" t="s">
        <v>4139</v>
      </c>
    </row>
    <row r="9087" spans="1:6">
      <c r="A9087" t="s">
        <v>13216</v>
      </c>
      <c r="B9087" t="s">
        <v>3143</v>
      </c>
      <c r="C9087" t="s">
        <v>32</v>
      </c>
      <c r="D9087" s="1">
        <v>45705</v>
      </c>
      <c r="E9087" t="s">
        <v>4127</v>
      </c>
      <c r="F9087" t="s">
        <v>4125</v>
      </c>
    </row>
    <row r="9088" spans="1:6">
      <c r="A9088" t="s">
        <v>13217</v>
      </c>
      <c r="B9088" t="s">
        <v>3143</v>
      </c>
      <c r="C9088" t="s">
        <v>32</v>
      </c>
      <c r="D9088" s="1">
        <v>45710</v>
      </c>
      <c r="E9088" t="s">
        <v>4129</v>
      </c>
      <c r="F9088" t="s">
        <v>4139</v>
      </c>
    </row>
    <row r="9089" spans="1:6">
      <c r="A9089" t="s">
        <v>13218</v>
      </c>
      <c r="B9089" t="s">
        <v>3143</v>
      </c>
      <c r="C9089" t="s">
        <v>32</v>
      </c>
      <c r="D9089" s="1">
        <v>45695</v>
      </c>
      <c r="E9089" t="s">
        <v>4124</v>
      </c>
      <c r="F9089" t="s">
        <v>4125</v>
      </c>
    </row>
    <row r="9090" spans="1:6">
      <c r="A9090" t="s">
        <v>13219</v>
      </c>
      <c r="B9090" t="s">
        <v>3144</v>
      </c>
      <c r="C9090" t="s">
        <v>70</v>
      </c>
      <c r="D9090" s="1">
        <v>45782</v>
      </c>
      <c r="E9090" t="s">
        <v>4124</v>
      </c>
      <c r="F9090" t="s">
        <v>4137</v>
      </c>
    </row>
    <row r="9091" spans="1:6">
      <c r="A9091" t="s">
        <v>13220</v>
      </c>
      <c r="B9091" t="s">
        <v>3144</v>
      </c>
      <c r="C9091" t="s">
        <v>70</v>
      </c>
      <c r="D9091" s="1">
        <v>45793</v>
      </c>
      <c r="E9091" t="s">
        <v>4127</v>
      </c>
      <c r="F9091" t="s">
        <v>4137</v>
      </c>
    </row>
    <row r="9092" spans="1:6">
      <c r="A9092" t="s">
        <v>13221</v>
      </c>
      <c r="B9092" t="s">
        <v>3145</v>
      </c>
      <c r="C9092" t="s">
        <v>46</v>
      </c>
      <c r="D9092" s="1">
        <v>45857</v>
      </c>
      <c r="E9092" t="s">
        <v>4127</v>
      </c>
      <c r="F9092" t="s">
        <v>4125</v>
      </c>
    </row>
    <row r="9093" spans="1:6">
      <c r="A9093" t="s">
        <v>13222</v>
      </c>
      <c r="B9093" t="s">
        <v>3145</v>
      </c>
      <c r="C9093" t="s">
        <v>46</v>
      </c>
      <c r="D9093" s="1">
        <v>45816</v>
      </c>
      <c r="E9093" t="s">
        <v>4135</v>
      </c>
      <c r="F9093" t="s">
        <v>4125</v>
      </c>
    </row>
    <row r="9094" spans="1:6">
      <c r="A9094" t="s">
        <v>13223</v>
      </c>
      <c r="B9094" t="s">
        <v>3145</v>
      </c>
      <c r="C9094" t="s">
        <v>46</v>
      </c>
      <c r="D9094" s="1">
        <v>45841</v>
      </c>
      <c r="E9094" t="s">
        <v>4133</v>
      </c>
      <c r="F9094" t="s">
        <v>4125</v>
      </c>
    </row>
    <row r="9095" spans="1:6">
      <c r="A9095" t="s">
        <v>13224</v>
      </c>
      <c r="B9095" t="s">
        <v>3145</v>
      </c>
      <c r="C9095" t="s">
        <v>46</v>
      </c>
      <c r="D9095" s="1">
        <v>45868</v>
      </c>
      <c r="E9095" t="s">
        <v>4135</v>
      </c>
      <c r="F9095" t="s">
        <v>4125</v>
      </c>
    </row>
    <row r="9096" spans="1:6">
      <c r="A9096" t="s">
        <v>13225</v>
      </c>
      <c r="B9096" t="s">
        <v>3146</v>
      </c>
      <c r="C9096" t="s">
        <v>126</v>
      </c>
      <c r="D9096" s="1">
        <v>46010</v>
      </c>
      <c r="E9096" t="s">
        <v>4127</v>
      </c>
      <c r="F9096" t="s">
        <v>4137</v>
      </c>
    </row>
    <row r="9097" spans="1:6">
      <c r="A9097" t="s">
        <v>13226</v>
      </c>
      <c r="B9097" t="s">
        <v>3146</v>
      </c>
      <c r="C9097" t="s">
        <v>126</v>
      </c>
      <c r="D9097" s="1">
        <v>45986</v>
      </c>
      <c r="E9097" t="s">
        <v>4127</v>
      </c>
      <c r="F9097" t="s">
        <v>4139</v>
      </c>
    </row>
    <row r="9098" spans="1:6">
      <c r="A9098" t="s">
        <v>13227</v>
      </c>
      <c r="B9098" t="s">
        <v>3146</v>
      </c>
      <c r="C9098" t="s">
        <v>126</v>
      </c>
      <c r="D9098" s="1">
        <v>46005</v>
      </c>
      <c r="E9098" t="s">
        <v>4127</v>
      </c>
      <c r="F9098" t="s">
        <v>4139</v>
      </c>
    </row>
    <row r="9099" spans="1:6">
      <c r="A9099" t="s">
        <v>13228</v>
      </c>
      <c r="B9099" t="s">
        <v>3146</v>
      </c>
      <c r="C9099" t="s">
        <v>126</v>
      </c>
      <c r="D9099" s="1">
        <v>46012</v>
      </c>
      <c r="E9099" t="s">
        <v>4127</v>
      </c>
      <c r="F9099" t="s">
        <v>4139</v>
      </c>
    </row>
    <row r="9100" spans="1:6">
      <c r="A9100" t="s">
        <v>13229</v>
      </c>
      <c r="B9100" t="s">
        <v>3146</v>
      </c>
      <c r="C9100" t="s">
        <v>126</v>
      </c>
      <c r="D9100" s="1">
        <v>45972</v>
      </c>
      <c r="E9100" t="s">
        <v>4124</v>
      </c>
      <c r="F9100" t="s">
        <v>4137</v>
      </c>
    </row>
    <row r="9101" spans="1:6">
      <c r="A9101" t="s">
        <v>13230</v>
      </c>
      <c r="B9101" t="s">
        <v>3147</v>
      </c>
      <c r="C9101" t="s">
        <v>78</v>
      </c>
      <c r="D9101" s="1">
        <v>45912</v>
      </c>
      <c r="E9101" t="s">
        <v>4135</v>
      </c>
      <c r="F9101" t="s">
        <v>4137</v>
      </c>
    </row>
    <row r="9102" spans="1:6">
      <c r="A9102" t="s">
        <v>13231</v>
      </c>
      <c r="B9102" t="s">
        <v>3147</v>
      </c>
      <c r="C9102" t="s">
        <v>78</v>
      </c>
      <c r="D9102" s="1">
        <v>45929</v>
      </c>
      <c r="E9102" t="s">
        <v>4133</v>
      </c>
      <c r="F9102" t="s">
        <v>4139</v>
      </c>
    </row>
    <row r="9103" spans="1:6">
      <c r="A9103" t="s">
        <v>13232</v>
      </c>
      <c r="B9103" t="s">
        <v>3148</v>
      </c>
      <c r="C9103" t="s">
        <v>168</v>
      </c>
      <c r="D9103" s="1">
        <v>45983</v>
      </c>
      <c r="E9103" t="s">
        <v>4124</v>
      </c>
      <c r="F9103" t="s">
        <v>4139</v>
      </c>
    </row>
    <row r="9104" spans="1:6">
      <c r="A9104" t="s">
        <v>13233</v>
      </c>
      <c r="B9104" t="s">
        <v>3148</v>
      </c>
      <c r="C9104" t="s">
        <v>168</v>
      </c>
      <c r="D9104" s="1">
        <v>45982</v>
      </c>
      <c r="E9104" t="s">
        <v>4129</v>
      </c>
      <c r="F9104" t="s">
        <v>4137</v>
      </c>
    </row>
    <row r="9105" spans="1:6">
      <c r="A9105" t="s">
        <v>13234</v>
      </c>
      <c r="B9105" t="s">
        <v>3148</v>
      </c>
      <c r="C9105" t="s">
        <v>168</v>
      </c>
      <c r="D9105" s="1">
        <v>45987</v>
      </c>
      <c r="E9105" t="s">
        <v>4124</v>
      </c>
      <c r="F9105" t="s">
        <v>4125</v>
      </c>
    </row>
    <row r="9106" spans="1:6">
      <c r="A9106" t="s">
        <v>13235</v>
      </c>
      <c r="B9106" t="s">
        <v>3148</v>
      </c>
      <c r="C9106" t="s">
        <v>168</v>
      </c>
      <c r="D9106" s="1">
        <v>45987</v>
      </c>
      <c r="E9106" t="s">
        <v>4133</v>
      </c>
      <c r="F9106" t="s">
        <v>4137</v>
      </c>
    </row>
    <row r="9107" spans="1:6">
      <c r="A9107" t="s">
        <v>13236</v>
      </c>
      <c r="B9107" t="s">
        <v>3149</v>
      </c>
      <c r="C9107" t="s">
        <v>119</v>
      </c>
      <c r="D9107" s="1">
        <v>45684</v>
      </c>
      <c r="E9107" t="s">
        <v>4135</v>
      </c>
      <c r="F9107" t="s">
        <v>4125</v>
      </c>
    </row>
    <row r="9108" spans="1:6">
      <c r="A9108" t="s">
        <v>13237</v>
      </c>
      <c r="B9108" t="s">
        <v>3149</v>
      </c>
      <c r="C9108" t="s">
        <v>119</v>
      </c>
      <c r="D9108" s="1">
        <v>45685</v>
      </c>
      <c r="E9108" t="s">
        <v>4124</v>
      </c>
      <c r="F9108" t="s">
        <v>4125</v>
      </c>
    </row>
    <row r="9109" spans="1:6">
      <c r="A9109" t="s">
        <v>13238</v>
      </c>
      <c r="B9109" t="s">
        <v>3150</v>
      </c>
      <c r="C9109" t="s">
        <v>126</v>
      </c>
      <c r="D9109" s="1">
        <v>45765</v>
      </c>
      <c r="E9109" t="s">
        <v>4127</v>
      </c>
      <c r="F9109" t="s">
        <v>4125</v>
      </c>
    </row>
    <row r="9110" spans="1:6">
      <c r="A9110" t="s">
        <v>13239</v>
      </c>
      <c r="B9110" t="s">
        <v>3150</v>
      </c>
      <c r="C9110" t="s">
        <v>126</v>
      </c>
      <c r="D9110" s="1">
        <v>45726</v>
      </c>
      <c r="E9110" t="s">
        <v>4135</v>
      </c>
      <c r="F9110" t="s">
        <v>4125</v>
      </c>
    </row>
    <row r="9111" spans="1:6">
      <c r="A9111" t="s">
        <v>13240</v>
      </c>
      <c r="B9111" t="s">
        <v>3151</v>
      </c>
      <c r="C9111" t="s">
        <v>168</v>
      </c>
      <c r="D9111" s="1">
        <v>45949</v>
      </c>
      <c r="E9111" t="s">
        <v>4129</v>
      </c>
      <c r="F9111" t="s">
        <v>4125</v>
      </c>
    </row>
    <row r="9112" spans="1:6">
      <c r="A9112" t="s">
        <v>13241</v>
      </c>
      <c r="B9112" t="s">
        <v>3151</v>
      </c>
      <c r="C9112" t="s">
        <v>168</v>
      </c>
      <c r="D9112" s="1">
        <v>45976</v>
      </c>
      <c r="E9112" t="s">
        <v>4124</v>
      </c>
      <c r="F9112" t="s">
        <v>4137</v>
      </c>
    </row>
    <row r="9113" spans="1:6">
      <c r="A9113" t="s">
        <v>13242</v>
      </c>
      <c r="B9113" t="s">
        <v>3151</v>
      </c>
      <c r="C9113" t="s">
        <v>168</v>
      </c>
      <c r="D9113" s="1">
        <v>45980</v>
      </c>
      <c r="E9113" t="s">
        <v>4129</v>
      </c>
      <c r="F9113" t="s">
        <v>4125</v>
      </c>
    </row>
    <row r="9114" spans="1:6">
      <c r="A9114" t="s">
        <v>13243</v>
      </c>
      <c r="B9114" t="s">
        <v>3151</v>
      </c>
      <c r="C9114" t="s">
        <v>168</v>
      </c>
      <c r="D9114" s="1">
        <v>45982</v>
      </c>
      <c r="E9114" t="s">
        <v>4135</v>
      </c>
      <c r="F9114" t="s">
        <v>4139</v>
      </c>
    </row>
    <row r="9115" spans="1:6">
      <c r="A9115" t="s">
        <v>13244</v>
      </c>
      <c r="B9115" t="s">
        <v>3152</v>
      </c>
      <c r="C9115" t="s">
        <v>22</v>
      </c>
      <c r="D9115" s="1">
        <v>45867</v>
      </c>
      <c r="E9115" t="s">
        <v>4127</v>
      </c>
      <c r="F9115" t="s">
        <v>4125</v>
      </c>
    </row>
    <row r="9116" spans="1:6">
      <c r="A9116" t="s">
        <v>13245</v>
      </c>
      <c r="B9116" t="s">
        <v>3152</v>
      </c>
      <c r="C9116" t="s">
        <v>22</v>
      </c>
      <c r="D9116" s="1">
        <v>45854</v>
      </c>
      <c r="E9116" t="s">
        <v>4124</v>
      </c>
      <c r="F9116" t="s">
        <v>4139</v>
      </c>
    </row>
    <row r="9117" spans="1:6">
      <c r="A9117" t="s">
        <v>13246</v>
      </c>
      <c r="B9117" t="s">
        <v>3152</v>
      </c>
      <c r="C9117" t="s">
        <v>22</v>
      </c>
      <c r="D9117" s="1">
        <v>45879</v>
      </c>
      <c r="E9117" t="s">
        <v>4127</v>
      </c>
      <c r="F9117" t="s">
        <v>4137</v>
      </c>
    </row>
    <row r="9118" spans="1:6">
      <c r="A9118" t="s">
        <v>13247</v>
      </c>
      <c r="B9118" t="s">
        <v>3153</v>
      </c>
      <c r="C9118" t="s">
        <v>78</v>
      </c>
      <c r="D9118" s="1">
        <v>46016</v>
      </c>
      <c r="E9118" t="s">
        <v>4127</v>
      </c>
      <c r="F9118" t="s">
        <v>4137</v>
      </c>
    </row>
    <row r="9119" spans="1:6">
      <c r="A9119" t="s">
        <v>13248</v>
      </c>
      <c r="B9119" t="s">
        <v>3153</v>
      </c>
      <c r="C9119" t="s">
        <v>78</v>
      </c>
      <c r="D9119" s="1">
        <v>46010</v>
      </c>
      <c r="E9119" t="s">
        <v>4135</v>
      </c>
      <c r="F9119" t="s">
        <v>4125</v>
      </c>
    </row>
    <row r="9120" spans="1:6">
      <c r="A9120" t="s">
        <v>13249</v>
      </c>
      <c r="B9120" t="s">
        <v>3154</v>
      </c>
      <c r="C9120" t="s">
        <v>152</v>
      </c>
      <c r="D9120" s="1">
        <v>45885</v>
      </c>
      <c r="E9120" t="s">
        <v>4133</v>
      </c>
      <c r="F9120" t="s">
        <v>4139</v>
      </c>
    </row>
    <row r="9121" spans="1:6">
      <c r="A9121" t="s">
        <v>13250</v>
      </c>
      <c r="B9121" t="s">
        <v>3154</v>
      </c>
      <c r="C9121" t="s">
        <v>152</v>
      </c>
      <c r="D9121" s="1">
        <v>45902</v>
      </c>
      <c r="E9121" t="s">
        <v>4129</v>
      </c>
      <c r="F9121" t="s">
        <v>4139</v>
      </c>
    </row>
    <row r="9122" spans="1:6">
      <c r="A9122" t="s">
        <v>13251</v>
      </c>
      <c r="B9122" t="s">
        <v>3154</v>
      </c>
      <c r="C9122" t="s">
        <v>152</v>
      </c>
      <c r="D9122" s="1">
        <v>45915</v>
      </c>
      <c r="E9122" t="s">
        <v>4129</v>
      </c>
      <c r="F9122" t="s">
        <v>4137</v>
      </c>
    </row>
    <row r="9123" spans="1:6">
      <c r="A9123" t="s">
        <v>13252</v>
      </c>
      <c r="B9123" t="s">
        <v>3155</v>
      </c>
      <c r="C9123" t="s">
        <v>16</v>
      </c>
      <c r="D9123" s="1">
        <v>45877</v>
      </c>
      <c r="E9123" t="s">
        <v>4124</v>
      </c>
      <c r="F9123" t="s">
        <v>4125</v>
      </c>
    </row>
    <row r="9124" spans="1:6">
      <c r="A9124" t="s">
        <v>13253</v>
      </c>
      <c r="B9124" t="s">
        <v>3155</v>
      </c>
      <c r="C9124" t="s">
        <v>16</v>
      </c>
      <c r="D9124" s="1">
        <v>45862</v>
      </c>
      <c r="E9124" t="s">
        <v>4129</v>
      </c>
      <c r="F9124" t="s">
        <v>4125</v>
      </c>
    </row>
    <row r="9125" spans="1:6">
      <c r="A9125" t="s">
        <v>13254</v>
      </c>
      <c r="B9125" t="s">
        <v>3155</v>
      </c>
      <c r="C9125" t="s">
        <v>16</v>
      </c>
      <c r="D9125" s="1">
        <v>45875</v>
      </c>
      <c r="E9125" t="s">
        <v>4133</v>
      </c>
      <c r="F9125" t="s">
        <v>4139</v>
      </c>
    </row>
    <row r="9126" spans="1:6">
      <c r="A9126" t="s">
        <v>13255</v>
      </c>
      <c r="B9126" t="s">
        <v>3155</v>
      </c>
      <c r="C9126" t="s">
        <v>16</v>
      </c>
      <c r="D9126" s="1">
        <v>45862</v>
      </c>
      <c r="E9126" t="s">
        <v>4124</v>
      </c>
      <c r="F9126" t="s">
        <v>4137</v>
      </c>
    </row>
    <row r="9127" spans="1:6">
      <c r="A9127" t="s">
        <v>13256</v>
      </c>
      <c r="B9127" t="s">
        <v>3155</v>
      </c>
      <c r="C9127" t="s">
        <v>16</v>
      </c>
      <c r="D9127" s="1">
        <v>45872</v>
      </c>
      <c r="E9127" t="s">
        <v>4129</v>
      </c>
      <c r="F9127" t="s">
        <v>4125</v>
      </c>
    </row>
    <row r="9128" spans="1:6">
      <c r="A9128" t="s">
        <v>13257</v>
      </c>
      <c r="B9128" t="s">
        <v>3156</v>
      </c>
      <c r="C9128" t="s">
        <v>126</v>
      </c>
      <c r="D9128" s="1">
        <v>46021</v>
      </c>
      <c r="E9128" t="s">
        <v>4127</v>
      </c>
      <c r="F9128" t="s">
        <v>4125</v>
      </c>
    </row>
    <row r="9129" spans="1:6">
      <c r="A9129" t="s">
        <v>13258</v>
      </c>
      <c r="B9129" t="s">
        <v>3156</v>
      </c>
      <c r="C9129" t="s">
        <v>126</v>
      </c>
      <c r="D9129" s="1">
        <v>46019</v>
      </c>
      <c r="E9129" t="s">
        <v>4127</v>
      </c>
      <c r="F9129" t="s">
        <v>4125</v>
      </c>
    </row>
    <row r="9130" spans="1:6">
      <c r="A9130" t="s">
        <v>13259</v>
      </c>
      <c r="B9130" t="s">
        <v>3156</v>
      </c>
      <c r="C9130" t="s">
        <v>126</v>
      </c>
      <c r="D9130" s="1">
        <v>46021</v>
      </c>
      <c r="E9130" t="s">
        <v>4127</v>
      </c>
      <c r="F9130" t="s">
        <v>4139</v>
      </c>
    </row>
    <row r="9131" spans="1:6">
      <c r="A9131" t="s">
        <v>13260</v>
      </c>
      <c r="B9131" t="s">
        <v>3157</v>
      </c>
      <c r="C9131" t="s">
        <v>50</v>
      </c>
      <c r="D9131" s="1">
        <v>46005</v>
      </c>
      <c r="E9131" t="s">
        <v>4133</v>
      </c>
      <c r="F9131" t="s">
        <v>4137</v>
      </c>
    </row>
    <row r="9132" spans="1:6">
      <c r="A9132" t="s">
        <v>13261</v>
      </c>
      <c r="B9132" t="s">
        <v>3157</v>
      </c>
      <c r="C9132" t="s">
        <v>50</v>
      </c>
      <c r="D9132" s="1">
        <v>45976</v>
      </c>
      <c r="E9132" t="s">
        <v>4129</v>
      </c>
      <c r="F9132" t="s">
        <v>4125</v>
      </c>
    </row>
    <row r="9133" spans="1:6">
      <c r="A9133" t="s">
        <v>13262</v>
      </c>
      <c r="B9133" t="s">
        <v>3158</v>
      </c>
      <c r="C9133" t="s">
        <v>126</v>
      </c>
      <c r="D9133" s="1">
        <v>46009</v>
      </c>
      <c r="E9133" t="s">
        <v>4135</v>
      </c>
      <c r="F9133" t="s">
        <v>4139</v>
      </c>
    </row>
    <row r="9134" spans="1:6">
      <c r="A9134" t="s">
        <v>13263</v>
      </c>
      <c r="B9134" t="s">
        <v>3158</v>
      </c>
      <c r="C9134" t="s">
        <v>126</v>
      </c>
      <c r="D9134" s="1">
        <v>45997</v>
      </c>
      <c r="E9134" t="s">
        <v>4133</v>
      </c>
      <c r="F9134" t="s">
        <v>4137</v>
      </c>
    </row>
    <row r="9135" spans="1:6">
      <c r="A9135" t="s">
        <v>13264</v>
      </c>
      <c r="B9135" t="s">
        <v>3158</v>
      </c>
      <c r="C9135" t="s">
        <v>126</v>
      </c>
      <c r="D9135" s="1">
        <v>46005</v>
      </c>
      <c r="E9135" t="s">
        <v>4133</v>
      </c>
      <c r="F9135" t="s">
        <v>4125</v>
      </c>
    </row>
    <row r="9136" spans="1:6">
      <c r="A9136" t="s">
        <v>13265</v>
      </c>
      <c r="B9136" t="s">
        <v>3158</v>
      </c>
      <c r="C9136" t="s">
        <v>126</v>
      </c>
      <c r="D9136" s="1">
        <v>45969</v>
      </c>
      <c r="E9136" t="s">
        <v>4127</v>
      </c>
      <c r="F9136" t="s">
        <v>4125</v>
      </c>
    </row>
    <row r="9137" spans="1:6">
      <c r="A9137" t="s">
        <v>13266</v>
      </c>
      <c r="B9137" t="s">
        <v>3159</v>
      </c>
      <c r="C9137" t="s">
        <v>32</v>
      </c>
      <c r="D9137" s="1">
        <v>45925</v>
      </c>
      <c r="E9137" t="s">
        <v>4127</v>
      </c>
      <c r="F9137" t="s">
        <v>4137</v>
      </c>
    </row>
    <row r="9138" spans="1:6">
      <c r="A9138" t="s">
        <v>13267</v>
      </c>
      <c r="B9138" t="s">
        <v>3159</v>
      </c>
      <c r="C9138" t="s">
        <v>32</v>
      </c>
      <c r="D9138" s="1">
        <v>45923</v>
      </c>
      <c r="E9138" t="s">
        <v>4135</v>
      </c>
      <c r="F9138" t="s">
        <v>4125</v>
      </c>
    </row>
    <row r="9139" spans="1:6">
      <c r="A9139" t="s">
        <v>13268</v>
      </c>
      <c r="B9139" t="s">
        <v>3159</v>
      </c>
      <c r="C9139" t="s">
        <v>32</v>
      </c>
      <c r="D9139" s="1">
        <v>45930</v>
      </c>
      <c r="E9139" t="s">
        <v>4135</v>
      </c>
      <c r="F9139" t="s">
        <v>4125</v>
      </c>
    </row>
    <row r="9140" spans="1:6">
      <c r="A9140" t="s">
        <v>13269</v>
      </c>
      <c r="B9140" t="s">
        <v>3160</v>
      </c>
      <c r="C9140" t="s">
        <v>91</v>
      </c>
      <c r="D9140" s="1">
        <v>45852</v>
      </c>
      <c r="E9140" t="s">
        <v>4129</v>
      </c>
      <c r="F9140" t="s">
        <v>4139</v>
      </c>
    </row>
    <row r="9141" spans="1:6">
      <c r="A9141" t="s">
        <v>13270</v>
      </c>
      <c r="B9141" t="s">
        <v>3160</v>
      </c>
      <c r="C9141" t="s">
        <v>91</v>
      </c>
      <c r="D9141" s="1">
        <v>45844</v>
      </c>
      <c r="E9141" t="s">
        <v>4124</v>
      </c>
      <c r="F9141" t="s">
        <v>4125</v>
      </c>
    </row>
    <row r="9142" spans="1:6">
      <c r="A9142" t="s">
        <v>13271</v>
      </c>
      <c r="B9142" t="s">
        <v>3160</v>
      </c>
      <c r="C9142" t="s">
        <v>91</v>
      </c>
      <c r="D9142" s="1">
        <v>45844</v>
      </c>
      <c r="E9142" t="s">
        <v>4135</v>
      </c>
      <c r="F9142" t="s">
        <v>4137</v>
      </c>
    </row>
    <row r="9143" spans="1:6">
      <c r="A9143" t="s">
        <v>13272</v>
      </c>
      <c r="B9143" t="s">
        <v>3160</v>
      </c>
      <c r="C9143" t="s">
        <v>91</v>
      </c>
      <c r="D9143" s="1">
        <v>45835</v>
      </c>
      <c r="E9143" t="s">
        <v>4124</v>
      </c>
      <c r="F9143" t="s">
        <v>4137</v>
      </c>
    </row>
    <row r="9144" spans="1:6">
      <c r="A9144" t="s">
        <v>13273</v>
      </c>
      <c r="B9144" t="s">
        <v>3160</v>
      </c>
      <c r="C9144" t="s">
        <v>91</v>
      </c>
      <c r="D9144" s="1">
        <v>45842</v>
      </c>
      <c r="E9144" t="s">
        <v>4129</v>
      </c>
      <c r="F9144" t="s">
        <v>4139</v>
      </c>
    </row>
    <row r="9145" spans="1:6">
      <c r="A9145" t="s">
        <v>13274</v>
      </c>
      <c r="B9145" t="s">
        <v>3161</v>
      </c>
      <c r="C9145" t="s">
        <v>50</v>
      </c>
      <c r="D9145" s="1">
        <v>45847</v>
      </c>
      <c r="E9145" t="s">
        <v>4127</v>
      </c>
      <c r="F9145" t="s">
        <v>4137</v>
      </c>
    </row>
    <row r="9146" spans="1:6">
      <c r="A9146" t="s">
        <v>13275</v>
      </c>
      <c r="B9146" t="s">
        <v>3161</v>
      </c>
      <c r="C9146" t="s">
        <v>50</v>
      </c>
      <c r="D9146" s="1">
        <v>45840</v>
      </c>
      <c r="E9146" t="s">
        <v>4133</v>
      </c>
      <c r="F9146" t="s">
        <v>4137</v>
      </c>
    </row>
    <row r="9147" spans="1:6">
      <c r="A9147" t="s">
        <v>13276</v>
      </c>
      <c r="B9147" t="s">
        <v>3161</v>
      </c>
      <c r="C9147" t="s">
        <v>50</v>
      </c>
      <c r="D9147" s="1">
        <v>45843</v>
      </c>
      <c r="E9147" t="s">
        <v>4127</v>
      </c>
      <c r="F9147" t="s">
        <v>4137</v>
      </c>
    </row>
    <row r="9148" spans="1:6">
      <c r="A9148" t="s">
        <v>13277</v>
      </c>
      <c r="B9148" t="s">
        <v>3161</v>
      </c>
      <c r="C9148" t="s">
        <v>50</v>
      </c>
      <c r="D9148" s="1">
        <v>45852</v>
      </c>
      <c r="E9148" t="s">
        <v>4124</v>
      </c>
      <c r="F9148" t="s">
        <v>4125</v>
      </c>
    </row>
    <row r="9149" spans="1:6">
      <c r="A9149" t="s">
        <v>13278</v>
      </c>
      <c r="B9149" t="s">
        <v>3161</v>
      </c>
      <c r="C9149" t="s">
        <v>50</v>
      </c>
      <c r="D9149" s="1">
        <v>45840</v>
      </c>
      <c r="E9149" t="s">
        <v>4135</v>
      </c>
      <c r="F9149" t="s">
        <v>4137</v>
      </c>
    </row>
    <row r="9150" spans="1:6">
      <c r="A9150" t="s">
        <v>13279</v>
      </c>
      <c r="B9150" t="s">
        <v>3162</v>
      </c>
      <c r="C9150" t="s">
        <v>78</v>
      </c>
      <c r="D9150" s="1">
        <v>45777</v>
      </c>
      <c r="E9150" t="s">
        <v>4133</v>
      </c>
      <c r="F9150" t="s">
        <v>4137</v>
      </c>
    </row>
    <row r="9151" spans="1:6">
      <c r="A9151" t="s">
        <v>13280</v>
      </c>
      <c r="B9151" t="s">
        <v>3162</v>
      </c>
      <c r="C9151" t="s">
        <v>78</v>
      </c>
      <c r="D9151" s="1">
        <v>45771</v>
      </c>
      <c r="E9151" t="s">
        <v>4124</v>
      </c>
      <c r="F9151" t="s">
        <v>4125</v>
      </c>
    </row>
    <row r="9152" spans="1:6">
      <c r="A9152" t="s">
        <v>13281</v>
      </c>
      <c r="B9152" t="s">
        <v>3162</v>
      </c>
      <c r="C9152" t="s">
        <v>78</v>
      </c>
      <c r="D9152" s="1">
        <v>45776</v>
      </c>
      <c r="E9152" t="s">
        <v>4135</v>
      </c>
      <c r="F9152" t="s">
        <v>4125</v>
      </c>
    </row>
    <row r="9153" spans="1:6">
      <c r="A9153" t="s">
        <v>13282</v>
      </c>
      <c r="B9153" t="s">
        <v>3162</v>
      </c>
      <c r="C9153" t="s">
        <v>78</v>
      </c>
      <c r="D9153" s="1">
        <v>45779</v>
      </c>
      <c r="E9153" t="s">
        <v>4124</v>
      </c>
      <c r="F9153" t="s">
        <v>4137</v>
      </c>
    </row>
    <row r="9154" spans="1:6">
      <c r="A9154" t="s">
        <v>13283</v>
      </c>
      <c r="B9154" t="s">
        <v>3162</v>
      </c>
      <c r="C9154" t="s">
        <v>78</v>
      </c>
      <c r="D9154" s="1">
        <v>45771</v>
      </c>
      <c r="E9154" t="s">
        <v>4127</v>
      </c>
      <c r="F9154" t="s">
        <v>4125</v>
      </c>
    </row>
    <row r="9155" spans="1:6">
      <c r="A9155" t="s">
        <v>13284</v>
      </c>
      <c r="B9155" t="s">
        <v>3163</v>
      </c>
      <c r="C9155" t="s">
        <v>78</v>
      </c>
      <c r="D9155" s="1">
        <v>46019</v>
      </c>
      <c r="E9155" t="s">
        <v>4129</v>
      </c>
      <c r="F9155" t="s">
        <v>4139</v>
      </c>
    </row>
    <row r="9156" spans="1:6">
      <c r="A9156" t="s">
        <v>13285</v>
      </c>
      <c r="B9156" t="s">
        <v>3163</v>
      </c>
      <c r="C9156" t="s">
        <v>78</v>
      </c>
      <c r="D9156" s="1">
        <v>46021</v>
      </c>
      <c r="E9156" t="s">
        <v>4124</v>
      </c>
      <c r="F9156" t="s">
        <v>4125</v>
      </c>
    </row>
    <row r="9157" spans="1:6">
      <c r="A9157" t="s">
        <v>13286</v>
      </c>
      <c r="B9157" t="s">
        <v>3164</v>
      </c>
      <c r="C9157" t="s">
        <v>22</v>
      </c>
      <c r="D9157" s="1">
        <v>45905</v>
      </c>
      <c r="E9157" t="s">
        <v>4124</v>
      </c>
      <c r="F9157" t="s">
        <v>4125</v>
      </c>
    </row>
    <row r="9158" spans="1:6">
      <c r="A9158" t="s">
        <v>13287</v>
      </c>
      <c r="B9158" t="s">
        <v>3164</v>
      </c>
      <c r="C9158" t="s">
        <v>22</v>
      </c>
      <c r="D9158" s="1">
        <v>45916</v>
      </c>
      <c r="E9158" t="s">
        <v>4133</v>
      </c>
      <c r="F9158" t="s">
        <v>4125</v>
      </c>
    </row>
    <row r="9159" spans="1:6">
      <c r="A9159" t="s">
        <v>13288</v>
      </c>
      <c r="B9159" t="s">
        <v>3165</v>
      </c>
      <c r="C9159" t="s">
        <v>46</v>
      </c>
      <c r="D9159" s="1">
        <v>45730</v>
      </c>
      <c r="E9159" t="s">
        <v>4129</v>
      </c>
      <c r="F9159" t="s">
        <v>4125</v>
      </c>
    </row>
    <row r="9160" spans="1:6">
      <c r="A9160" t="s">
        <v>13289</v>
      </c>
      <c r="B9160" t="s">
        <v>3165</v>
      </c>
      <c r="C9160" t="s">
        <v>46</v>
      </c>
      <c r="D9160" s="1">
        <v>45742</v>
      </c>
      <c r="E9160" t="s">
        <v>4135</v>
      </c>
      <c r="F9160" t="s">
        <v>4137</v>
      </c>
    </row>
    <row r="9161" spans="1:6">
      <c r="A9161" t="s">
        <v>13290</v>
      </c>
      <c r="B9161" t="s">
        <v>3165</v>
      </c>
      <c r="C9161" t="s">
        <v>46</v>
      </c>
      <c r="D9161" s="1">
        <v>45754</v>
      </c>
      <c r="E9161" t="s">
        <v>4135</v>
      </c>
      <c r="F9161" t="s">
        <v>4125</v>
      </c>
    </row>
    <row r="9162" spans="1:6">
      <c r="A9162" t="s">
        <v>13291</v>
      </c>
      <c r="B9162" t="s">
        <v>3166</v>
      </c>
      <c r="C9162" t="s">
        <v>59</v>
      </c>
      <c r="D9162" s="1">
        <v>45932</v>
      </c>
      <c r="E9162" t="s">
        <v>4133</v>
      </c>
      <c r="F9162" t="s">
        <v>4137</v>
      </c>
    </row>
    <row r="9163" spans="1:6">
      <c r="A9163" t="s">
        <v>13292</v>
      </c>
      <c r="B9163" t="s">
        <v>3166</v>
      </c>
      <c r="C9163" t="s">
        <v>59</v>
      </c>
      <c r="D9163" s="1">
        <v>45924</v>
      </c>
      <c r="E9163" t="s">
        <v>4133</v>
      </c>
      <c r="F9163" t="s">
        <v>4139</v>
      </c>
    </row>
    <row r="9164" spans="1:6">
      <c r="A9164" t="s">
        <v>13293</v>
      </c>
      <c r="B9164" t="s">
        <v>3166</v>
      </c>
      <c r="C9164" t="s">
        <v>59</v>
      </c>
      <c r="D9164" s="1">
        <v>45930</v>
      </c>
      <c r="E9164" t="s">
        <v>4127</v>
      </c>
      <c r="F9164" t="s">
        <v>4125</v>
      </c>
    </row>
    <row r="9165" spans="1:6">
      <c r="A9165" t="s">
        <v>13294</v>
      </c>
      <c r="B9165" t="s">
        <v>3166</v>
      </c>
      <c r="C9165" t="s">
        <v>59</v>
      </c>
      <c r="D9165" s="1">
        <v>45902</v>
      </c>
      <c r="E9165" t="s">
        <v>4135</v>
      </c>
      <c r="F9165" t="s">
        <v>4125</v>
      </c>
    </row>
    <row r="9166" spans="1:6">
      <c r="A9166" t="s">
        <v>13295</v>
      </c>
      <c r="B9166" t="s">
        <v>3167</v>
      </c>
      <c r="C9166" t="s">
        <v>32</v>
      </c>
      <c r="D9166" s="1">
        <v>45870</v>
      </c>
      <c r="E9166" t="s">
        <v>4127</v>
      </c>
      <c r="F9166" t="s">
        <v>4137</v>
      </c>
    </row>
    <row r="9167" spans="1:6">
      <c r="A9167" t="s">
        <v>13296</v>
      </c>
      <c r="B9167" t="s">
        <v>3167</v>
      </c>
      <c r="C9167" t="s">
        <v>32</v>
      </c>
      <c r="D9167" s="1">
        <v>45851</v>
      </c>
      <c r="E9167" t="s">
        <v>4124</v>
      </c>
      <c r="F9167" t="s">
        <v>4137</v>
      </c>
    </row>
    <row r="9168" spans="1:6">
      <c r="A9168" t="s">
        <v>13297</v>
      </c>
      <c r="B9168" t="s">
        <v>3167</v>
      </c>
      <c r="C9168" t="s">
        <v>32</v>
      </c>
      <c r="D9168" s="1">
        <v>45888</v>
      </c>
      <c r="E9168" t="s">
        <v>4127</v>
      </c>
      <c r="F9168" t="s">
        <v>4137</v>
      </c>
    </row>
    <row r="9169" spans="1:6">
      <c r="A9169" t="s">
        <v>13298</v>
      </c>
      <c r="B9169" t="s">
        <v>3167</v>
      </c>
      <c r="C9169" t="s">
        <v>32</v>
      </c>
      <c r="D9169" s="1">
        <v>45883</v>
      </c>
      <c r="E9169" t="s">
        <v>4127</v>
      </c>
      <c r="F9169" t="s">
        <v>4139</v>
      </c>
    </row>
    <row r="9170" spans="1:6">
      <c r="A9170" t="s">
        <v>13299</v>
      </c>
      <c r="B9170" t="s">
        <v>3167</v>
      </c>
      <c r="C9170" t="s">
        <v>32</v>
      </c>
      <c r="D9170" s="1">
        <v>45854</v>
      </c>
      <c r="E9170" t="s">
        <v>4127</v>
      </c>
      <c r="F9170" t="s">
        <v>4125</v>
      </c>
    </row>
    <row r="9171" spans="1:6">
      <c r="A9171" t="s">
        <v>13300</v>
      </c>
      <c r="B9171" t="s">
        <v>3168</v>
      </c>
      <c r="C9171" t="s">
        <v>50</v>
      </c>
      <c r="D9171" s="1">
        <v>45826</v>
      </c>
      <c r="E9171" t="s">
        <v>4127</v>
      </c>
      <c r="F9171" t="s">
        <v>4125</v>
      </c>
    </row>
    <row r="9172" spans="1:6">
      <c r="A9172" t="s">
        <v>13301</v>
      </c>
      <c r="B9172" t="s">
        <v>3168</v>
      </c>
      <c r="C9172" t="s">
        <v>50</v>
      </c>
      <c r="D9172" s="1">
        <v>45794</v>
      </c>
      <c r="E9172" t="s">
        <v>4135</v>
      </c>
      <c r="F9172" t="s">
        <v>4125</v>
      </c>
    </row>
    <row r="9173" spans="1:6">
      <c r="A9173" t="s">
        <v>13302</v>
      </c>
      <c r="B9173" t="s">
        <v>3168</v>
      </c>
      <c r="C9173" t="s">
        <v>50</v>
      </c>
      <c r="D9173" s="1">
        <v>45787</v>
      </c>
      <c r="E9173" t="s">
        <v>4129</v>
      </c>
      <c r="F9173" t="s">
        <v>4137</v>
      </c>
    </row>
    <row r="9174" spans="1:6">
      <c r="A9174" t="s">
        <v>13303</v>
      </c>
      <c r="B9174" t="s">
        <v>3168</v>
      </c>
      <c r="C9174" t="s">
        <v>50</v>
      </c>
      <c r="D9174" s="1">
        <v>45812</v>
      </c>
      <c r="E9174" t="s">
        <v>4133</v>
      </c>
      <c r="F9174" t="s">
        <v>4137</v>
      </c>
    </row>
    <row r="9175" spans="1:6">
      <c r="A9175" t="s">
        <v>13304</v>
      </c>
      <c r="B9175" t="s">
        <v>3168</v>
      </c>
      <c r="C9175" t="s">
        <v>50</v>
      </c>
      <c r="D9175" s="1">
        <v>45800</v>
      </c>
      <c r="E9175" t="s">
        <v>4127</v>
      </c>
      <c r="F9175" t="s">
        <v>4137</v>
      </c>
    </row>
    <row r="9176" spans="1:6">
      <c r="A9176" t="s">
        <v>13305</v>
      </c>
      <c r="B9176" t="s">
        <v>3169</v>
      </c>
      <c r="C9176" t="s">
        <v>152</v>
      </c>
      <c r="D9176" s="1">
        <v>45940</v>
      </c>
      <c r="E9176" t="s">
        <v>4129</v>
      </c>
      <c r="F9176" t="s">
        <v>4139</v>
      </c>
    </row>
    <row r="9177" spans="1:6">
      <c r="A9177" t="s">
        <v>13306</v>
      </c>
      <c r="B9177" t="s">
        <v>3169</v>
      </c>
      <c r="C9177" t="s">
        <v>152</v>
      </c>
      <c r="D9177" s="1">
        <v>45944</v>
      </c>
      <c r="E9177" t="s">
        <v>4133</v>
      </c>
      <c r="F9177" t="s">
        <v>4137</v>
      </c>
    </row>
    <row r="9178" spans="1:6">
      <c r="A9178" t="s">
        <v>13307</v>
      </c>
      <c r="B9178" t="s">
        <v>3169</v>
      </c>
      <c r="C9178" t="s">
        <v>152</v>
      </c>
      <c r="D9178" s="1">
        <v>45931</v>
      </c>
      <c r="E9178" t="s">
        <v>4129</v>
      </c>
      <c r="F9178" t="s">
        <v>4125</v>
      </c>
    </row>
    <row r="9179" spans="1:6">
      <c r="A9179" t="s">
        <v>13308</v>
      </c>
      <c r="B9179" t="s">
        <v>3169</v>
      </c>
      <c r="C9179" t="s">
        <v>152</v>
      </c>
      <c r="D9179" s="1">
        <v>45937</v>
      </c>
      <c r="E9179" t="s">
        <v>4135</v>
      </c>
      <c r="F9179" t="s">
        <v>4125</v>
      </c>
    </row>
    <row r="9180" spans="1:6">
      <c r="A9180" t="s">
        <v>13309</v>
      </c>
      <c r="B9180" t="s">
        <v>3169</v>
      </c>
      <c r="C9180" t="s">
        <v>152</v>
      </c>
      <c r="D9180" s="1">
        <v>45944</v>
      </c>
      <c r="E9180" t="s">
        <v>4133</v>
      </c>
      <c r="F9180" t="s">
        <v>4137</v>
      </c>
    </row>
    <row r="9181" spans="1:6">
      <c r="A9181" t="s">
        <v>13310</v>
      </c>
      <c r="B9181" t="s">
        <v>3170</v>
      </c>
      <c r="C9181" t="s">
        <v>63</v>
      </c>
      <c r="D9181" s="1">
        <v>45792</v>
      </c>
      <c r="E9181" t="s">
        <v>4129</v>
      </c>
      <c r="F9181" t="s">
        <v>4137</v>
      </c>
    </row>
    <row r="9182" spans="1:6">
      <c r="A9182" t="s">
        <v>13311</v>
      </c>
      <c r="B9182" t="s">
        <v>3170</v>
      </c>
      <c r="C9182" t="s">
        <v>63</v>
      </c>
      <c r="D9182" s="1">
        <v>45796</v>
      </c>
      <c r="E9182" t="s">
        <v>4127</v>
      </c>
      <c r="F9182" t="s">
        <v>4139</v>
      </c>
    </row>
    <row r="9183" spans="1:6">
      <c r="A9183" t="s">
        <v>13312</v>
      </c>
      <c r="B9183" t="s">
        <v>3170</v>
      </c>
      <c r="C9183" t="s">
        <v>63</v>
      </c>
      <c r="D9183" s="1">
        <v>45794</v>
      </c>
      <c r="E9183" t="s">
        <v>4133</v>
      </c>
      <c r="F9183" t="s">
        <v>4139</v>
      </c>
    </row>
    <row r="9184" spans="1:6">
      <c r="A9184" t="s">
        <v>13313</v>
      </c>
      <c r="B9184" t="s">
        <v>3170</v>
      </c>
      <c r="C9184" t="s">
        <v>63</v>
      </c>
      <c r="D9184" s="1">
        <v>45816</v>
      </c>
      <c r="E9184" t="s">
        <v>4127</v>
      </c>
      <c r="F9184" t="s">
        <v>4125</v>
      </c>
    </row>
    <row r="9185" spans="1:6">
      <c r="A9185" t="s">
        <v>13314</v>
      </c>
      <c r="B9185" t="s">
        <v>3170</v>
      </c>
      <c r="C9185" t="s">
        <v>63</v>
      </c>
      <c r="D9185" s="1">
        <v>45777</v>
      </c>
      <c r="E9185" t="s">
        <v>4127</v>
      </c>
      <c r="F9185" t="s">
        <v>4125</v>
      </c>
    </row>
    <row r="9186" spans="1:6">
      <c r="A9186" t="s">
        <v>13315</v>
      </c>
      <c r="B9186" t="s">
        <v>3171</v>
      </c>
      <c r="C9186" t="s">
        <v>56</v>
      </c>
      <c r="D9186" s="1">
        <v>45887</v>
      </c>
      <c r="E9186" t="s">
        <v>4135</v>
      </c>
      <c r="F9186" t="s">
        <v>4137</v>
      </c>
    </row>
    <row r="9187" spans="1:6">
      <c r="A9187" t="s">
        <v>13316</v>
      </c>
      <c r="B9187" t="s">
        <v>3171</v>
      </c>
      <c r="C9187" t="s">
        <v>56</v>
      </c>
      <c r="D9187" s="1">
        <v>45876</v>
      </c>
      <c r="E9187" t="s">
        <v>4127</v>
      </c>
      <c r="F9187" t="s">
        <v>4137</v>
      </c>
    </row>
    <row r="9188" spans="1:6">
      <c r="A9188" t="s">
        <v>13317</v>
      </c>
      <c r="B9188" t="s">
        <v>3171</v>
      </c>
      <c r="C9188" t="s">
        <v>56</v>
      </c>
      <c r="D9188" s="1">
        <v>45914</v>
      </c>
      <c r="E9188" t="s">
        <v>4133</v>
      </c>
      <c r="F9188" t="s">
        <v>4139</v>
      </c>
    </row>
    <row r="9189" spans="1:6">
      <c r="A9189" t="s">
        <v>13318</v>
      </c>
      <c r="B9189" t="s">
        <v>3172</v>
      </c>
      <c r="C9189" t="s">
        <v>50</v>
      </c>
      <c r="D9189" s="1">
        <v>45942</v>
      </c>
      <c r="E9189" t="s">
        <v>4135</v>
      </c>
      <c r="F9189" t="s">
        <v>4139</v>
      </c>
    </row>
    <row r="9190" spans="1:6">
      <c r="A9190" t="s">
        <v>13319</v>
      </c>
      <c r="B9190" t="s">
        <v>3172</v>
      </c>
      <c r="C9190" t="s">
        <v>50</v>
      </c>
      <c r="D9190" s="1">
        <v>45953</v>
      </c>
      <c r="E9190" t="s">
        <v>4135</v>
      </c>
      <c r="F9190" t="s">
        <v>4137</v>
      </c>
    </row>
    <row r="9191" spans="1:6">
      <c r="A9191" t="s">
        <v>13320</v>
      </c>
      <c r="B9191" t="s">
        <v>3173</v>
      </c>
      <c r="C9191" t="s">
        <v>70</v>
      </c>
      <c r="D9191" s="1">
        <v>45787</v>
      </c>
      <c r="E9191" t="s">
        <v>4129</v>
      </c>
      <c r="F9191" t="s">
        <v>4125</v>
      </c>
    </row>
    <row r="9192" spans="1:6">
      <c r="A9192" t="s">
        <v>13321</v>
      </c>
      <c r="B9192" t="s">
        <v>3173</v>
      </c>
      <c r="C9192" t="s">
        <v>70</v>
      </c>
      <c r="D9192" s="1">
        <v>45793</v>
      </c>
      <c r="E9192" t="s">
        <v>4124</v>
      </c>
      <c r="F9192" t="s">
        <v>4137</v>
      </c>
    </row>
    <row r="9193" spans="1:6">
      <c r="A9193" t="s">
        <v>13322</v>
      </c>
      <c r="B9193" t="s">
        <v>3173</v>
      </c>
      <c r="C9193" t="s">
        <v>70</v>
      </c>
      <c r="D9193" s="1">
        <v>45831</v>
      </c>
      <c r="E9193" t="s">
        <v>4133</v>
      </c>
      <c r="F9193" t="s">
        <v>4137</v>
      </c>
    </row>
    <row r="9194" spans="1:6">
      <c r="A9194" t="s">
        <v>13323</v>
      </c>
      <c r="B9194" t="s">
        <v>3174</v>
      </c>
      <c r="C9194" t="s">
        <v>59</v>
      </c>
      <c r="D9194" s="1">
        <v>45985</v>
      </c>
      <c r="E9194" t="s">
        <v>4133</v>
      </c>
      <c r="F9194" t="s">
        <v>4125</v>
      </c>
    </row>
    <row r="9195" spans="1:6">
      <c r="A9195" t="s">
        <v>13324</v>
      </c>
      <c r="B9195" t="s">
        <v>3174</v>
      </c>
      <c r="C9195" t="s">
        <v>59</v>
      </c>
      <c r="D9195" s="1">
        <v>45982</v>
      </c>
      <c r="E9195" t="s">
        <v>4135</v>
      </c>
      <c r="F9195" t="s">
        <v>4137</v>
      </c>
    </row>
    <row r="9196" spans="1:6">
      <c r="A9196" t="s">
        <v>13325</v>
      </c>
      <c r="B9196" t="s">
        <v>3174</v>
      </c>
      <c r="C9196" t="s">
        <v>59</v>
      </c>
      <c r="D9196" s="1">
        <v>46003</v>
      </c>
      <c r="E9196" t="s">
        <v>4129</v>
      </c>
      <c r="F9196" t="s">
        <v>4125</v>
      </c>
    </row>
    <row r="9197" spans="1:6">
      <c r="A9197" t="s">
        <v>13326</v>
      </c>
      <c r="B9197" t="s">
        <v>3174</v>
      </c>
      <c r="C9197" t="s">
        <v>59</v>
      </c>
      <c r="D9197" s="1">
        <v>46014</v>
      </c>
      <c r="E9197" t="s">
        <v>4135</v>
      </c>
      <c r="F9197" t="s">
        <v>4139</v>
      </c>
    </row>
    <row r="9198" spans="1:6">
      <c r="A9198" t="s">
        <v>13327</v>
      </c>
      <c r="B9198" t="s">
        <v>3174</v>
      </c>
      <c r="C9198" t="s">
        <v>59</v>
      </c>
      <c r="D9198" s="1">
        <v>45990</v>
      </c>
      <c r="E9198" t="s">
        <v>4124</v>
      </c>
      <c r="F9198" t="s">
        <v>4137</v>
      </c>
    </row>
    <row r="9199" spans="1:6">
      <c r="A9199" t="s">
        <v>13328</v>
      </c>
      <c r="B9199" t="s">
        <v>3175</v>
      </c>
      <c r="C9199" t="s">
        <v>22</v>
      </c>
      <c r="D9199" s="1">
        <v>45917</v>
      </c>
      <c r="E9199" t="s">
        <v>4129</v>
      </c>
      <c r="F9199" t="s">
        <v>4125</v>
      </c>
    </row>
    <row r="9200" spans="1:6">
      <c r="A9200" t="s">
        <v>13329</v>
      </c>
      <c r="B9200" t="s">
        <v>3175</v>
      </c>
      <c r="C9200" t="s">
        <v>22</v>
      </c>
      <c r="D9200" s="1">
        <v>45928</v>
      </c>
      <c r="E9200" t="s">
        <v>4124</v>
      </c>
      <c r="F9200" t="s">
        <v>4125</v>
      </c>
    </row>
    <row r="9201" spans="1:6">
      <c r="A9201" t="s">
        <v>13330</v>
      </c>
      <c r="B9201" t="s">
        <v>3176</v>
      </c>
      <c r="C9201" t="s">
        <v>36</v>
      </c>
      <c r="D9201" s="1">
        <v>45932</v>
      </c>
      <c r="E9201" t="s">
        <v>4129</v>
      </c>
      <c r="F9201" t="s">
        <v>4139</v>
      </c>
    </row>
    <row r="9202" spans="1:6">
      <c r="A9202" t="s">
        <v>13331</v>
      </c>
      <c r="B9202" t="s">
        <v>3176</v>
      </c>
      <c r="C9202" t="s">
        <v>36</v>
      </c>
      <c r="D9202" s="1">
        <v>45941</v>
      </c>
      <c r="E9202" t="s">
        <v>4133</v>
      </c>
      <c r="F9202" t="s">
        <v>4139</v>
      </c>
    </row>
    <row r="9203" spans="1:6">
      <c r="A9203" t="s">
        <v>13332</v>
      </c>
      <c r="B9203" t="s">
        <v>3177</v>
      </c>
      <c r="C9203" t="s">
        <v>75</v>
      </c>
      <c r="D9203" s="1">
        <v>45797</v>
      </c>
      <c r="E9203" t="s">
        <v>4127</v>
      </c>
      <c r="F9203" t="s">
        <v>4125</v>
      </c>
    </row>
    <row r="9204" spans="1:6">
      <c r="A9204" t="s">
        <v>13333</v>
      </c>
      <c r="B9204" t="s">
        <v>3177</v>
      </c>
      <c r="C9204" t="s">
        <v>75</v>
      </c>
      <c r="D9204" s="1">
        <v>45791</v>
      </c>
      <c r="E9204" t="s">
        <v>4135</v>
      </c>
      <c r="F9204" t="s">
        <v>4139</v>
      </c>
    </row>
    <row r="9205" spans="1:6">
      <c r="A9205" t="s">
        <v>13334</v>
      </c>
      <c r="B9205" t="s">
        <v>3178</v>
      </c>
      <c r="C9205" t="s">
        <v>50</v>
      </c>
      <c r="D9205" s="1">
        <v>45841</v>
      </c>
      <c r="E9205" t="s">
        <v>4124</v>
      </c>
      <c r="F9205" t="s">
        <v>4137</v>
      </c>
    </row>
    <row r="9206" spans="1:6">
      <c r="A9206" t="s">
        <v>13335</v>
      </c>
      <c r="B9206" t="s">
        <v>3178</v>
      </c>
      <c r="C9206" t="s">
        <v>50</v>
      </c>
      <c r="D9206" s="1">
        <v>45841</v>
      </c>
      <c r="E9206" t="s">
        <v>4129</v>
      </c>
      <c r="F9206" t="s">
        <v>4139</v>
      </c>
    </row>
    <row r="9207" spans="1:6">
      <c r="A9207" t="s">
        <v>13336</v>
      </c>
      <c r="B9207" t="s">
        <v>3179</v>
      </c>
      <c r="C9207" t="s">
        <v>168</v>
      </c>
      <c r="D9207" s="1">
        <v>45719</v>
      </c>
      <c r="E9207" t="s">
        <v>4124</v>
      </c>
      <c r="F9207" t="s">
        <v>4137</v>
      </c>
    </row>
    <row r="9208" spans="1:6">
      <c r="A9208" t="s">
        <v>13337</v>
      </c>
      <c r="B9208" t="s">
        <v>3179</v>
      </c>
      <c r="C9208" t="s">
        <v>168</v>
      </c>
      <c r="D9208" s="1">
        <v>45717</v>
      </c>
      <c r="E9208" t="s">
        <v>4127</v>
      </c>
      <c r="F9208" t="s">
        <v>4137</v>
      </c>
    </row>
    <row r="9209" spans="1:6">
      <c r="A9209" t="s">
        <v>13338</v>
      </c>
      <c r="B9209" t="s">
        <v>3179</v>
      </c>
      <c r="C9209" t="s">
        <v>168</v>
      </c>
      <c r="D9209" s="1">
        <v>45707</v>
      </c>
      <c r="E9209" t="s">
        <v>4135</v>
      </c>
      <c r="F9209" t="s">
        <v>4137</v>
      </c>
    </row>
    <row r="9210" spans="1:6">
      <c r="A9210" t="s">
        <v>13339</v>
      </c>
      <c r="B9210" t="s">
        <v>3180</v>
      </c>
      <c r="C9210" t="s">
        <v>75</v>
      </c>
      <c r="D9210" s="1">
        <v>45713</v>
      </c>
      <c r="E9210" t="s">
        <v>4129</v>
      </c>
      <c r="F9210" t="s">
        <v>4139</v>
      </c>
    </row>
    <row r="9211" spans="1:6">
      <c r="A9211" t="s">
        <v>13340</v>
      </c>
      <c r="B9211" t="s">
        <v>3180</v>
      </c>
      <c r="C9211" t="s">
        <v>75</v>
      </c>
      <c r="D9211" s="1">
        <v>45712</v>
      </c>
      <c r="E9211" t="s">
        <v>4129</v>
      </c>
      <c r="F9211" t="s">
        <v>4125</v>
      </c>
    </row>
    <row r="9212" spans="1:6">
      <c r="A9212" t="s">
        <v>13341</v>
      </c>
      <c r="B9212" t="s">
        <v>3180</v>
      </c>
      <c r="C9212" t="s">
        <v>75</v>
      </c>
      <c r="D9212" s="1">
        <v>45724</v>
      </c>
      <c r="E9212" t="s">
        <v>4129</v>
      </c>
      <c r="F9212" t="s">
        <v>4137</v>
      </c>
    </row>
    <row r="9213" spans="1:6">
      <c r="A9213" t="s">
        <v>13342</v>
      </c>
      <c r="B9213" t="s">
        <v>3180</v>
      </c>
      <c r="C9213" t="s">
        <v>75</v>
      </c>
      <c r="D9213" s="1">
        <v>45730</v>
      </c>
      <c r="E9213" t="s">
        <v>4129</v>
      </c>
      <c r="F9213" t="s">
        <v>4137</v>
      </c>
    </row>
    <row r="9214" spans="1:6">
      <c r="A9214" t="s">
        <v>13343</v>
      </c>
      <c r="B9214" t="s">
        <v>3180</v>
      </c>
      <c r="C9214" t="s">
        <v>75</v>
      </c>
      <c r="D9214" s="1">
        <v>45718</v>
      </c>
      <c r="E9214" t="s">
        <v>4133</v>
      </c>
      <c r="F9214" t="s">
        <v>4139</v>
      </c>
    </row>
    <row r="9215" spans="1:6">
      <c r="A9215" t="s">
        <v>13344</v>
      </c>
      <c r="B9215" t="s">
        <v>3181</v>
      </c>
      <c r="C9215" t="s">
        <v>36</v>
      </c>
      <c r="D9215" s="1">
        <v>45666</v>
      </c>
      <c r="E9215" t="s">
        <v>4127</v>
      </c>
      <c r="F9215" t="s">
        <v>4139</v>
      </c>
    </row>
    <row r="9216" spans="1:6">
      <c r="A9216" t="s">
        <v>13345</v>
      </c>
      <c r="B9216" t="s">
        <v>3181</v>
      </c>
      <c r="C9216" t="s">
        <v>36</v>
      </c>
      <c r="D9216" s="1">
        <v>45700</v>
      </c>
      <c r="E9216" t="s">
        <v>4127</v>
      </c>
      <c r="F9216" t="s">
        <v>4137</v>
      </c>
    </row>
    <row r="9217" spans="1:6">
      <c r="A9217" t="s">
        <v>13346</v>
      </c>
      <c r="B9217" t="s">
        <v>3182</v>
      </c>
      <c r="C9217" t="s">
        <v>32</v>
      </c>
      <c r="D9217" s="1">
        <v>45937</v>
      </c>
      <c r="E9217" t="s">
        <v>4127</v>
      </c>
      <c r="F9217" t="s">
        <v>4125</v>
      </c>
    </row>
    <row r="9218" spans="1:6">
      <c r="A9218" t="s">
        <v>13347</v>
      </c>
      <c r="B9218" t="s">
        <v>3182</v>
      </c>
      <c r="C9218" t="s">
        <v>32</v>
      </c>
      <c r="D9218" s="1">
        <v>45938</v>
      </c>
      <c r="E9218" t="s">
        <v>4129</v>
      </c>
      <c r="F9218" t="s">
        <v>4125</v>
      </c>
    </row>
    <row r="9219" spans="1:6">
      <c r="A9219" t="s">
        <v>13348</v>
      </c>
      <c r="B9219" t="s">
        <v>3182</v>
      </c>
      <c r="C9219" t="s">
        <v>32</v>
      </c>
      <c r="D9219" s="1">
        <v>45913</v>
      </c>
      <c r="E9219" t="s">
        <v>4133</v>
      </c>
      <c r="F9219" t="s">
        <v>4125</v>
      </c>
    </row>
    <row r="9220" spans="1:6">
      <c r="A9220" t="s">
        <v>13349</v>
      </c>
      <c r="B9220" t="s">
        <v>3182</v>
      </c>
      <c r="C9220" t="s">
        <v>32</v>
      </c>
      <c r="D9220" s="1">
        <v>45950</v>
      </c>
      <c r="E9220" t="s">
        <v>4135</v>
      </c>
      <c r="F9220" t="s">
        <v>4139</v>
      </c>
    </row>
    <row r="9221" spans="1:6">
      <c r="A9221" t="s">
        <v>13350</v>
      </c>
      <c r="B9221" t="s">
        <v>3182</v>
      </c>
      <c r="C9221" t="s">
        <v>32</v>
      </c>
      <c r="D9221" s="1">
        <v>45951</v>
      </c>
      <c r="E9221" t="s">
        <v>4124</v>
      </c>
      <c r="F9221" t="s">
        <v>4139</v>
      </c>
    </row>
    <row r="9222" spans="1:6">
      <c r="A9222" t="s">
        <v>13351</v>
      </c>
      <c r="B9222" t="s">
        <v>3183</v>
      </c>
      <c r="C9222" t="s">
        <v>27</v>
      </c>
      <c r="D9222" s="1">
        <v>45860</v>
      </c>
      <c r="E9222" t="s">
        <v>4129</v>
      </c>
      <c r="F9222" t="s">
        <v>4139</v>
      </c>
    </row>
    <row r="9223" spans="1:6">
      <c r="A9223" t="s">
        <v>13352</v>
      </c>
      <c r="B9223" t="s">
        <v>3183</v>
      </c>
      <c r="C9223" t="s">
        <v>27</v>
      </c>
      <c r="D9223" s="1">
        <v>45852</v>
      </c>
      <c r="E9223" t="s">
        <v>4133</v>
      </c>
      <c r="F9223" t="s">
        <v>4125</v>
      </c>
    </row>
    <row r="9224" spans="1:6">
      <c r="A9224" t="s">
        <v>13353</v>
      </c>
      <c r="B9224" t="s">
        <v>3183</v>
      </c>
      <c r="C9224" t="s">
        <v>27</v>
      </c>
      <c r="D9224" s="1">
        <v>45853</v>
      </c>
      <c r="E9224" t="s">
        <v>4127</v>
      </c>
      <c r="F9224" t="s">
        <v>4137</v>
      </c>
    </row>
    <row r="9225" spans="1:6">
      <c r="A9225" t="s">
        <v>13354</v>
      </c>
      <c r="B9225" t="s">
        <v>3184</v>
      </c>
      <c r="C9225" t="s">
        <v>40</v>
      </c>
      <c r="D9225" s="1">
        <v>45747</v>
      </c>
      <c r="E9225" t="s">
        <v>4124</v>
      </c>
      <c r="F9225" t="s">
        <v>4139</v>
      </c>
    </row>
    <row r="9226" spans="1:6">
      <c r="A9226" t="s">
        <v>13355</v>
      </c>
      <c r="B9226" t="s">
        <v>3184</v>
      </c>
      <c r="C9226" t="s">
        <v>40</v>
      </c>
      <c r="D9226" s="1">
        <v>45698</v>
      </c>
      <c r="E9226" t="s">
        <v>4133</v>
      </c>
      <c r="F9226" t="s">
        <v>4139</v>
      </c>
    </row>
    <row r="9227" spans="1:6">
      <c r="A9227" t="s">
        <v>13356</v>
      </c>
      <c r="B9227" t="s">
        <v>3184</v>
      </c>
      <c r="C9227" t="s">
        <v>40</v>
      </c>
      <c r="D9227" s="1">
        <v>45685</v>
      </c>
      <c r="E9227" t="s">
        <v>4135</v>
      </c>
      <c r="F9227" t="s">
        <v>4125</v>
      </c>
    </row>
    <row r="9228" spans="1:6">
      <c r="A9228" t="s">
        <v>13357</v>
      </c>
      <c r="B9228" t="s">
        <v>3185</v>
      </c>
      <c r="C9228" t="s">
        <v>63</v>
      </c>
      <c r="D9228" s="1">
        <v>45972</v>
      </c>
      <c r="E9228" t="s">
        <v>4127</v>
      </c>
      <c r="F9228" t="s">
        <v>4125</v>
      </c>
    </row>
    <row r="9229" spans="1:6">
      <c r="A9229" t="s">
        <v>13358</v>
      </c>
      <c r="B9229" t="s">
        <v>3185</v>
      </c>
      <c r="C9229" t="s">
        <v>63</v>
      </c>
      <c r="D9229" s="1">
        <v>45994</v>
      </c>
      <c r="E9229" t="s">
        <v>4127</v>
      </c>
      <c r="F9229" t="s">
        <v>4137</v>
      </c>
    </row>
    <row r="9230" spans="1:6">
      <c r="A9230" t="s">
        <v>13359</v>
      </c>
      <c r="B9230" t="s">
        <v>3185</v>
      </c>
      <c r="C9230" t="s">
        <v>63</v>
      </c>
      <c r="D9230" s="1">
        <v>45999</v>
      </c>
      <c r="E9230" t="s">
        <v>4133</v>
      </c>
      <c r="F9230" t="s">
        <v>4137</v>
      </c>
    </row>
    <row r="9231" spans="1:6">
      <c r="A9231" t="s">
        <v>13360</v>
      </c>
      <c r="B9231" t="s">
        <v>3185</v>
      </c>
      <c r="C9231" t="s">
        <v>63</v>
      </c>
      <c r="D9231" s="1">
        <v>46007</v>
      </c>
      <c r="E9231" t="s">
        <v>4133</v>
      </c>
      <c r="F9231" t="s">
        <v>4125</v>
      </c>
    </row>
    <row r="9232" spans="1:6">
      <c r="A9232" t="s">
        <v>13361</v>
      </c>
      <c r="B9232" t="s">
        <v>3186</v>
      </c>
      <c r="C9232" t="s">
        <v>50</v>
      </c>
      <c r="D9232" s="1">
        <v>45685</v>
      </c>
      <c r="E9232" t="s">
        <v>4127</v>
      </c>
      <c r="F9232" t="s">
        <v>4137</v>
      </c>
    </row>
    <row r="9233" spans="1:6">
      <c r="A9233" t="s">
        <v>13362</v>
      </c>
      <c r="B9233" t="s">
        <v>3186</v>
      </c>
      <c r="C9233" t="s">
        <v>50</v>
      </c>
      <c r="D9233" s="1">
        <v>45683</v>
      </c>
      <c r="E9233" t="s">
        <v>4133</v>
      </c>
      <c r="F9233" t="s">
        <v>4139</v>
      </c>
    </row>
    <row r="9234" spans="1:6">
      <c r="A9234" t="s">
        <v>13363</v>
      </c>
      <c r="B9234" t="s">
        <v>3186</v>
      </c>
      <c r="C9234" t="s">
        <v>50</v>
      </c>
      <c r="D9234" s="1">
        <v>45686</v>
      </c>
      <c r="E9234" t="s">
        <v>4135</v>
      </c>
      <c r="F9234" t="s">
        <v>4139</v>
      </c>
    </row>
    <row r="9235" spans="1:6">
      <c r="A9235" t="s">
        <v>13364</v>
      </c>
      <c r="B9235" t="s">
        <v>3186</v>
      </c>
      <c r="C9235" t="s">
        <v>50</v>
      </c>
      <c r="D9235" s="1">
        <v>45679</v>
      </c>
      <c r="E9235" t="s">
        <v>4135</v>
      </c>
      <c r="F9235" t="s">
        <v>4139</v>
      </c>
    </row>
    <row r="9236" spans="1:6">
      <c r="A9236" t="s">
        <v>13365</v>
      </c>
      <c r="B9236" t="s">
        <v>3187</v>
      </c>
      <c r="C9236" t="s">
        <v>91</v>
      </c>
      <c r="D9236" s="1">
        <v>45918</v>
      </c>
      <c r="E9236" t="s">
        <v>4129</v>
      </c>
      <c r="F9236" t="s">
        <v>4137</v>
      </c>
    </row>
    <row r="9237" spans="1:6">
      <c r="A9237" t="s">
        <v>13366</v>
      </c>
      <c r="B9237" t="s">
        <v>3187</v>
      </c>
      <c r="C9237" t="s">
        <v>91</v>
      </c>
      <c r="D9237" s="1">
        <v>45929</v>
      </c>
      <c r="E9237" t="s">
        <v>4129</v>
      </c>
      <c r="F9237" t="s">
        <v>4139</v>
      </c>
    </row>
    <row r="9238" spans="1:6">
      <c r="A9238" t="s">
        <v>13367</v>
      </c>
      <c r="B9238" t="s">
        <v>3187</v>
      </c>
      <c r="C9238" t="s">
        <v>91</v>
      </c>
      <c r="D9238" s="1">
        <v>45928</v>
      </c>
      <c r="E9238" t="s">
        <v>4133</v>
      </c>
      <c r="F9238" t="s">
        <v>4125</v>
      </c>
    </row>
    <row r="9239" spans="1:6">
      <c r="A9239" t="s">
        <v>13368</v>
      </c>
      <c r="B9239" t="s">
        <v>3187</v>
      </c>
      <c r="C9239" t="s">
        <v>91</v>
      </c>
      <c r="D9239" s="1">
        <v>45925</v>
      </c>
      <c r="E9239" t="s">
        <v>4129</v>
      </c>
      <c r="F9239" t="s">
        <v>4125</v>
      </c>
    </row>
    <row r="9240" spans="1:6">
      <c r="A9240" t="s">
        <v>13369</v>
      </c>
      <c r="B9240" t="s">
        <v>3188</v>
      </c>
      <c r="C9240" t="s">
        <v>119</v>
      </c>
      <c r="D9240" s="1">
        <v>45856</v>
      </c>
      <c r="E9240" t="s">
        <v>4133</v>
      </c>
      <c r="F9240" t="s">
        <v>4137</v>
      </c>
    </row>
    <row r="9241" spans="1:6">
      <c r="A9241" t="s">
        <v>13370</v>
      </c>
      <c r="B9241" t="s">
        <v>3188</v>
      </c>
      <c r="C9241" t="s">
        <v>119</v>
      </c>
      <c r="D9241" s="1">
        <v>45862</v>
      </c>
      <c r="E9241" t="s">
        <v>4124</v>
      </c>
      <c r="F9241" t="s">
        <v>4137</v>
      </c>
    </row>
    <row r="9242" spans="1:6">
      <c r="A9242" t="s">
        <v>13371</v>
      </c>
      <c r="B9242" t="s">
        <v>3188</v>
      </c>
      <c r="C9242" t="s">
        <v>119</v>
      </c>
      <c r="D9242" s="1">
        <v>45863</v>
      </c>
      <c r="E9242" t="s">
        <v>4129</v>
      </c>
      <c r="F9242" t="s">
        <v>4139</v>
      </c>
    </row>
    <row r="9243" spans="1:6">
      <c r="A9243" t="s">
        <v>13372</v>
      </c>
      <c r="B9243" t="s">
        <v>3188</v>
      </c>
      <c r="C9243" t="s">
        <v>119</v>
      </c>
      <c r="D9243" s="1">
        <v>45852</v>
      </c>
      <c r="E9243" t="s">
        <v>4127</v>
      </c>
      <c r="F9243" t="s">
        <v>4125</v>
      </c>
    </row>
    <row r="9244" spans="1:6">
      <c r="A9244" t="s">
        <v>13373</v>
      </c>
      <c r="B9244" t="s">
        <v>3188</v>
      </c>
      <c r="C9244" t="s">
        <v>119</v>
      </c>
      <c r="D9244" s="1">
        <v>45856</v>
      </c>
      <c r="E9244" t="s">
        <v>4129</v>
      </c>
      <c r="F9244" t="s">
        <v>4125</v>
      </c>
    </row>
    <row r="9245" spans="1:6">
      <c r="A9245" t="s">
        <v>13374</v>
      </c>
      <c r="B9245" t="s">
        <v>3189</v>
      </c>
      <c r="C9245" t="s">
        <v>70</v>
      </c>
      <c r="D9245" s="1">
        <v>45951</v>
      </c>
      <c r="E9245" t="s">
        <v>4127</v>
      </c>
      <c r="F9245" t="s">
        <v>4125</v>
      </c>
    </row>
    <row r="9246" spans="1:6">
      <c r="A9246" t="s">
        <v>13375</v>
      </c>
      <c r="B9246" t="s">
        <v>3189</v>
      </c>
      <c r="C9246" t="s">
        <v>70</v>
      </c>
      <c r="D9246" s="1">
        <v>45955</v>
      </c>
      <c r="E9246" t="s">
        <v>4124</v>
      </c>
      <c r="F9246" t="s">
        <v>4139</v>
      </c>
    </row>
    <row r="9247" spans="1:6">
      <c r="A9247" t="s">
        <v>13376</v>
      </c>
      <c r="B9247" t="s">
        <v>3190</v>
      </c>
      <c r="C9247" t="s">
        <v>152</v>
      </c>
      <c r="D9247" s="1">
        <v>45768</v>
      </c>
      <c r="E9247" t="s">
        <v>4133</v>
      </c>
      <c r="F9247" t="s">
        <v>4125</v>
      </c>
    </row>
    <row r="9248" spans="1:6">
      <c r="A9248" t="s">
        <v>13377</v>
      </c>
      <c r="B9248" t="s">
        <v>3190</v>
      </c>
      <c r="C9248" t="s">
        <v>152</v>
      </c>
      <c r="D9248" s="1">
        <v>45791</v>
      </c>
      <c r="E9248" t="s">
        <v>4133</v>
      </c>
      <c r="F9248" t="s">
        <v>4139</v>
      </c>
    </row>
    <row r="9249" spans="1:6">
      <c r="A9249" t="s">
        <v>13378</v>
      </c>
      <c r="B9249" t="s">
        <v>3190</v>
      </c>
      <c r="C9249" t="s">
        <v>152</v>
      </c>
      <c r="D9249" s="1">
        <v>45788</v>
      </c>
      <c r="E9249" t="s">
        <v>4135</v>
      </c>
      <c r="F9249" t="s">
        <v>4137</v>
      </c>
    </row>
    <row r="9250" spans="1:6">
      <c r="A9250" t="s">
        <v>13379</v>
      </c>
      <c r="B9250" t="s">
        <v>3191</v>
      </c>
      <c r="C9250" t="s">
        <v>70</v>
      </c>
      <c r="D9250" s="1">
        <v>45892</v>
      </c>
      <c r="E9250" t="s">
        <v>4127</v>
      </c>
      <c r="F9250" t="s">
        <v>4125</v>
      </c>
    </row>
    <row r="9251" spans="1:6">
      <c r="A9251" t="s">
        <v>13380</v>
      </c>
      <c r="B9251" t="s">
        <v>3191</v>
      </c>
      <c r="C9251" t="s">
        <v>70</v>
      </c>
      <c r="D9251" s="1">
        <v>45872</v>
      </c>
      <c r="E9251" t="s">
        <v>4133</v>
      </c>
      <c r="F9251" t="s">
        <v>4137</v>
      </c>
    </row>
    <row r="9252" spans="1:6">
      <c r="A9252" t="s">
        <v>13381</v>
      </c>
      <c r="B9252" t="s">
        <v>3192</v>
      </c>
      <c r="C9252" t="s">
        <v>56</v>
      </c>
      <c r="D9252" s="1">
        <v>46021</v>
      </c>
      <c r="E9252" t="s">
        <v>4127</v>
      </c>
      <c r="F9252" t="s">
        <v>4139</v>
      </c>
    </row>
    <row r="9253" spans="1:6">
      <c r="A9253" t="s">
        <v>13382</v>
      </c>
      <c r="B9253" t="s">
        <v>3192</v>
      </c>
      <c r="C9253" t="s">
        <v>56</v>
      </c>
      <c r="D9253" s="1">
        <v>46022</v>
      </c>
      <c r="E9253" t="s">
        <v>4127</v>
      </c>
      <c r="F9253" t="s">
        <v>4125</v>
      </c>
    </row>
    <row r="9254" spans="1:6">
      <c r="A9254" t="s">
        <v>13383</v>
      </c>
      <c r="B9254" t="s">
        <v>3192</v>
      </c>
      <c r="C9254" t="s">
        <v>56</v>
      </c>
      <c r="D9254" s="1">
        <v>46019</v>
      </c>
      <c r="E9254" t="s">
        <v>4127</v>
      </c>
      <c r="F9254" t="s">
        <v>4139</v>
      </c>
    </row>
    <row r="9255" spans="1:6">
      <c r="A9255" t="s">
        <v>13384</v>
      </c>
      <c r="B9255" t="s">
        <v>3193</v>
      </c>
      <c r="C9255" t="s">
        <v>119</v>
      </c>
      <c r="D9255" s="1">
        <v>45812</v>
      </c>
      <c r="E9255" t="s">
        <v>4124</v>
      </c>
      <c r="F9255" t="s">
        <v>4137</v>
      </c>
    </row>
    <row r="9256" spans="1:6">
      <c r="A9256" t="s">
        <v>13385</v>
      </c>
      <c r="B9256" t="s">
        <v>3193</v>
      </c>
      <c r="C9256" t="s">
        <v>119</v>
      </c>
      <c r="D9256" s="1">
        <v>45818</v>
      </c>
      <c r="E9256" t="s">
        <v>4133</v>
      </c>
      <c r="F9256" t="s">
        <v>4125</v>
      </c>
    </row>
    <row r="9257" spans="1:6">
      <c r="A9257" t="s">
        <v>13386</v>
      </c>
      <c r="B9257" t="s">
        <v>3194</v>
      </c>
      <c r="C9257" t="s">
        <v>91</v>
      </c>
      <c r="D9257" s="1">
        <v>45770</v>
      </c>
      <c r="E9257" t="s">
        <v>4135</v>
      </c>
      <c r="F9257" t="s">
        <v>4125</v>
      </c>
    </row>
    <row r="9258" spans="1:6">
      <c r="A9258" t="s">
        <v>13387</v>
      </c>
      <c r="B9258" t="s">
        <v>3194</v>
      </c>
      <c r="C9258" t="s">
        <v>91</v>
      </c>
      <c r="D9258" s="1">
        <v>45770</v>
      </c>
      <c r="E9258" t="s">
        <v>4135</v>
      </c>
      <c r="F9258" t="s">
        <v>4125</v>
      </c>
    </row>
    <row r="9259" spans="1:6">
      <c r="A9259" t="s">
        <v>13388</v>
      </c>
      <c r="B9259" t="s">
        <v>3195</v>
      </c>
      <c r="C9259" t="s">
        <v>50</v>
      </c>
      <c r="D9259" s="1">
        <v>46020</v>
      </c>
      <c r="E9259" t="s">
        <v>4135</v>
      </c>
      <c r="F9259" t="s">
        <v>4125</v>
      </c>
    </row>
    <row r="9260" spans="1:6">
      <c r="A9260" t="s">
        <v>13389</v>
      </c>
      <c r="B9260" t="s">
        <v>3195</v>
      </c>
      <c r="C9260" t="s">
        <v>50</v>
      </c>
      <c r="D9260" s="1">
        <v>46021</v>
      </c>
      <c r="E9260" t="s">
        <v>4133</v>
      </c>
      <c r="F9260" t="s">
        <v>4139</v>
      </c>
    </row>
    <row r="9261" spans="1:6">
      <c r="A9261" t="s">
        <v>13390</v>
      </c>
      <c r="B9261" t="s">
        <v>3195</v>
      </c>
      <c r="C9261" t="s">
        <v>50</v>
      </c>
      <c r="D9261" s="1">
        <v>46019</v>
      </c>
      <c r="E9261" t="s">
        <v>4133</v>
      </c>
      <c r="F9261" t="s">
        <v>4139</v>
      </c>
    </row>
    <row r="9262" spans="1:6">
      <c r="A9262" t="s">
        <v>13391</v>
      </c>
      <c r="B9262" t="s">
        <v>3195</v>
      </c>
      <c r="C9262" t="s">
        <v>50</v>
      </c>
      <c r="D9262" s="1">
        <v>46018</v>
      </c>
      <c r="E9262" t="s">
        <v>4124</v>
      </c>
      <c r="F9262" t="s">
        <v>4139</v>
      </c>
    </row>
    <row r="9263" spans="1:6">
      <c r="A9263" t="s">
        <v>13392</v>
      </c>
      <c r="B9263" t="s">
        <v>3195</v>
      </c>
      <c r="C9263" t="s">
        <v>50</v>
      </c>
      <c r="D9263" s="1">
        <v>46006</v>
      </c>
      <c r="E9263" t="s">
        <v>4135</v>
      </c>
      <c r="F9263" t="s">
        <v>4139</v>
      </c>
    </row>
    <row r="9264" spans="1:6">
      <c r="A9264" t="s">
        <v>13393</v>
      </c>
      <c r="B9264" t="s">
        <v>3196</v>
      </c>
      <c r="C9264" t="s">
        <v>50</v>
      </c>
      <c r="D9264" s="1">
        <v>45883</v>
      </c>
      <c r="E9264" t="s">
        <v>4129</v>
      </c>
      <c r="F9264" t="s">
        <v>4137</v>
      </c>
    </row>
    <row r="9265" spans="1:6">
      <c r="A9265" t="s">
        <v>13394</v>
      </c>
      <c r="B9265" t="s">
        <v>3196</v>
      </c>
      <c r="C9265" t="s">
        <v>50</v>
      </c>
      <c r="D9265" s="1">
        <v>45902</v>
      </c>
      <c r="E9265" t="s">
        <v>4133</v>
      </c>
      <c r="F9265" t="s">
        <v>4139</v>
      </c>
    </row>
    <row r="9266" spans="1:6">
      <c r="A9266" t="s">
        <v>13395</v>
      </c>
      <c r="B9266" t="s">
        <v>3196</v>
      </c>
      <c r="C9266" t="s">
        <v>50</v>
      </c>
      <c r="D9266" s="1">
        <v>45883</v>
      </c>
      <c r="E9266" t="s">
        <v>4133</v>
      </c>
      <c r="F9266" t="s">
        <v>4125</v>
      </c>
    </row>
    <row r="9267" spans="1:6">
      <c r="A9267" t="s">
        <v>13396</v>
      </c>
      <c r="B9267" t="s">
        <v>3196</v>
      </c>
      <c r="C9267" t="s">
        <v>50</v>
      </c>
      <c r="D9267" s="1">
        <v>45904</v>
      </c>
      <c r="E9267" t="s">
        <v>4127</v>
      </c>
      <c r="F9267" t="s">
        <v>4125</v>
      </c>
    </row>
    <row r="9268" spans="1:6">
      <c r="A9268" t="s">
        <v>13397</v>
      </c>
      <c r="B9268" t="s">
        <v>3196</v>
      </c>
      <c r="C9268" t="s">
        <v>50</v>
      </c>
      <c r="D9268" s="1">
        <v>45908</v>
      </c>
      <c r="E9268" t="s">
        <v>4133</v>
      </c>
      <c r="F9268" t="s">
        <v>4137</v>
      </c>
    </row>
    <row r="9269" spans="1:6">
      <c r="A9269" t="s">
        <v>13398</v>
      </c>
      <c r="B9269" t="s">
        <v>3197</v>
      </c>
      <c r="C9269" t="s">
        <v>70</v>
      </c>
      <c r="D9269" s="1">
        <v>45696</v>
      </c>
      <c r="E9269" t="s">
        <v>4127</v>
      </c>
      <c r="F9269" t="s">
        <v>4125</v>
      </c>
    </row>
    <row r="9270" spans="1:6">
      <c r="A9270" t="s">
        <v>13399</v>
      </c>
      <c r="B9270" t="s">
        <v>3197</v>
      </c>
      <c r="C9270" t="s">
        <v>70</v>
      </c>
      <c r="D9270" s="1">
        <v>45716</v>
      </c>
      <c r="E9270" t="s">
        <v>4127</v>
      </c>
      <c r="F9270" t="s">
        <v>4125</v>
      </c>
    </row>
    <row r="9271" spans="1:6">
      <c r="A9271" t="s">
        <v>13400</v>
      </c>
      <c r="B9271" t="s">
        <v>3198</v>
      </c>
      <c r="C9271" t="s">
        <v>126</v>
      </c>
      <c r="D9271" s="1">
        <v>46017</v>
      </c>
      <c r="E9271" t="s">
        <v>4135</v>
      </c>
      <c r="F9271" t="s">
        <v>4137</v>
      </c>
    </row>
    <row r="9272" spans="1:6">
      <c r="A9272" t="s">
        <v>13401</v>
      </c>
      <c r="B9272" t="s">
        <v>3198</v>
      </c>
      <c r="C9272" t="s">
        <v>126</v>
      </c>
      <c r="D9272" s="1">
        <v>46017</v>
      </c>
      <c r="E9272" t="s">
        <v>4135</v>
      </c>
      <c r="F9272" t="s">
        <v>4125</v>
      </c>
    </row>
    <row r="9273" spans="1:6">
      <c r="A9273" t="s">
        <v>13402</v>
      </c>
      <c r="B9273" t="s">
        <v>3198</v>
      </c>
      <c r="C9273" t="s">
        <v>126</v>
      </c>
      <c r="D9273" s="1">
        <v>46019</v>
      </c>
      <c r="E9273" t="s">
        <v>4135</v>
      </c>
      <c r="F9273" t="s">
        <v>4137</v>
      </c>
    </row>
    <row r="9274" spans="1:6">
      <c r="A9274" t="s">
        <v>13403</v>
      </c>
      <c r="B9274" t="s">
        <v>3198</v>
      </c>
      <c r="C9274" t="s">
        <v>126</v>
      </c>
      <c r="D9274" s="1">
        <v>46018</v>
      </c>
      <c r="E9274" t="s">
        <v>4124</v>
      </c>
      <c r="F9274" t="s">
        <v>4139</v>
      </c>
    </row>
    <row r="9275" spans="1:6">
      <c r="A9275" t="s">
        <v>13404</v>
      </c>
      <c r="B9275" t="s">
        <v>3199</v>
      </c>
      <c r="C9275" t="s">
        <v>46</v>
      </c>
      <c r="D9275" s="1">
        <v>45815</v>
      </c>
      <c r="E9275" t="s">
        <v>4135</v>
      </c>
      <c r="F9275" t="s">
        <v>4125</v>
      </c>
    </row>
    <row r="9276" spans="1:6">
      <c r="A9276" t="s">
        <v>13405</v>
      </c>
      <c r="B9276" t="s">
        <v>3199</v>
      </c>
      <c r="C9276" t="s">
        <v>46</v>
      </c>
      <c r="D9276" s="1">
        <v>45753</v>
      </c>
      <c r="E9276" t="s">
        <v>4133</v>
      </c>
      <c r="F9276" t="s">
        <v>4137</v>
      </c>
    </row>
    <row r="9277" spans="1:6">
      <c r="A9277" t="s">
        <v>13406</v>
      </c>
      <c r="B9277" t="s">
        <v>3200</v>
      </c>
      <c r="C9277" t="s">
        <v>40</v>
      </c>
      <c r="D9277" s="1">
        <v>45723</v>
      </c>
      <c r="E9277" t="s">
        <v>4127</v>
      </c>
      <c r="F9277" t="s">
        <v>4125</v>
      </c>
    </row>
    <row r="9278" spans="1:6">
      <c r="A9278" t="s">
        <v>13407</v>
      </c>
      <c r="B9278" t="s">
        <v>3200</v>
      </c>
      <c r="C9278" t="s">
        <v>40</v>
      </c>
      <c r="D9278" s="1">
        <v>45715</v>
      </c>
      <c r="E9278" t="s">
        <v>4129</v>
      </c>
      <c r="F9278" t="s">
        <v>4137</v>
      </c>
    </row>
    <row r="9279" spans="1:6">
      <c r="A9279" t="s">
        <v>13408</v>
      </c>
      <c r="B9279" t="s">
        <v>3200</v>
      </c>
      <c r="C9279" t="s">
        <v>40</v>
      </c>
      <c r="D9279" s="1">
        <v>45760</v>
      </c>
      <c r="E9279" t="s">
        <v>4127</v>
      </c>
      <c r="F9279" t="s">
        <v>4139</v>
      </c>
    </row>
    <row r="9280" spans="1:6">
      <c r="A9280" t="s">
        <v>13409</v>
      </c>
      <c r="B9280" t="s">
        <v>3201</v>
      </c>
      <c r="C9280" t="s">
        <v>36</v>
      </c>
      <c r="D9280" s="1">
        <v>45741</v>
      </c>
      <c r="E9280" t="s">
        <v>4133</v>
      </c>
      <c r="F9280" t="s">
        <v>4139</v>
      </c>
    </row>
    <row r="9281" spans="1:6">
      <c r="A9281" t="s">
        <v>13410</v>
      </c>
      <c r="B9281" t="s">
        <v>3201</v>
      </c>
      <c r="C9281" t="s">
        <v>36</v>
      </c>
      <c r="D9281" s="1">
        <v>45701</v>
      </c>
      <c r="E9281" t="s">
        <v>4133</v>
      </c>
      <c r="F9281" t="s">
        <v>4139</v>
      </c>
    </row>
    <row r="9282" spans="1:6">
      <c r="A9282" t="s">
        <v>13411</v>
      </c>
      <c r="B9282" t="s">
        <v>3202</v>
      </c>
      <c r="C9282" t="s">
        <v>126</v>
      </c>
      <c r="D9282" s="1">
        <v>46019</v>
      </c>
      <c r="E9282" t="s">
        <v>4124</v>
      </c>
      <c r="F9282" t="s">
        <v>4125</v>
      </c>
    </row>
    <row r="9283" spans="1:6">
      <c r="A9283" t="s">
        <v>13412</v>
      </c>
      <c r="B9283" t="s">
        <v>3202</v>
      </c>
      <c r="C9283" t="s">
        <v>126</v>
      </c>
      <c r="D9283" s="1">
        <v>46021</v>
      </c>
      <c r="E9283" t="s">
        <v>4135</v>
      </c>
      <c r="F9283" t="s">
        <v>4139</v>
      </c>
    </row>
    <row r="9284" spans="1:6">
      <c r="A9284" t="s">
        <v>13413</v>
      </c>
      <c r="B9284" t="s">
        <v>3202</v>
      </c>
      <c r="C9284" t="s">
        <v>126</v>
      </c>
      <c r="D9284" s="1">
        <v>46017</v>
      </c>
      <c r="E9284" t="s">
        <v>4129</v>
      </c>
      <c r="F9284" t="s">
        <v>4125</v>
      </c>
    </row>
    <row r="9285" spans="1:6">
      <c r="A9285" t="s">
        <v>13414</v>
      </c>
      <c r="B9285" t="s">
        <v>3202</v>
      </c>
      <c r="C9285" t="s">
        <v>126</v>
      </c>
      <c r="D9285" s="1">
        <v>46017</v>
      </c>
      <c r="E9285" t="s">
        <v>4124</v>
      </c>
      <c r="F9285" t="s">
        <v>4125</v>
      </c>
    </row>
    <row r="9286" spans="1:6">
      <c r="A9286" t="s">
        <v>13415</v>
      </c>
      <c r="B9286" t="s">
        <v>3203</v>
      </c>
      <c r="C9286" t="s">
        <v>91</v>
      </c>
      <c r="D9286" s="1">
        <v>45797</v>
      </c>
      <c r="E9286" t="s">
        <v>4129</v>
      </c>
      <c r="F9286" t="s">
        <v>4125</v>
      </c>
    </row>
    <row r="9287" spans="1:6">
      <c r="A9287" t="s">
        <v>13416</v>
      </c>
      <c r="B9287" t="s">
        <v>3203</v>
      </c>
      <c r="C9287" t="s">
        <v>91</v>
      </c>
      <c r="D9287" s="1">
        <v>45784</v>
      </c>
      <c r="E9287" t="s">
        <v>4127</v>
      </c>
      <c r="F9287" t="s">
        <v>4139</v>
      </c>
    </row>
    <row r="9288" spans="1:6">
      <c r="A9288" t="s">
        <v>13417</v>
      </c>
      <c r="B9288" t="s">
        <v>3203</v>
      </c>
      <c r="C9288" t="s">
        <v>91</v>
      </c>
      <c r="D9288" s="1">
        <v>45813</v>
      </c>
      <c r="E9288" t="s">
        <v>4129</v>
      </c>
      <c r="F9288" t="s">
        <v>4125</v>
      </c>
    </row>
    <row r="9289" spans="1:6">
      <c r="A9289" t="s">
        <v>13418</v>
      </c>
      <c r="B9289" t="s">
        <v>3203</v>
      </c>
      <c r="C9289" t="s">
        <v>91</v>
      </c>
      <c r="D9289" s="1">
        <v>45781</v>
      </c>
      <c r="E9289" t="s">
        <v>4127</v>
      </c>
      <c r="F9289" t="s">
        <v>4125</v>
      </c>
    </row>
    <row r="9290" spans="1:6">
      <c r="A9290" t="s">
        <v>13419</v>
      </c>
      <c r="B9290" t="s">
        <v>3203</v>
      </c>
      <c r="C9290" t="s">
        <v>91</v>
      </c>
      <c r="D9290" s="1">
        <v>45820</v>
      </c>
      <c r="E9290" t="s">
        <v>4127</v>
      </c>
      <c r="F9290" t="s">
        <v>4139</v>
      </c>
    </row>
    <row r="9291" spans="1:6">
      <c r="A9291" t="s">
        <v>13420</v>
      </c>
      <c r="B9291" t="s">
        <v>3204</v>
      </c>
      <c r="C9291" t="s">
        <v>91</v>
      </c>
      <c r="D9291" s="1">
        <v>45750</v>
      </c>
      <c r="E9291" t="s">
        <v>4124</v>
      </c>
      <c r="F9291" t="s">
        <v>4137</v>
      </c>
    </row>
    <row r="9292" spans="1:6">
      <c r="A9292" t="s">
        <v>13421</v>
      </c>
      <c r="B9292" t="s">
        <v>3204</v>
      </c>
      <c r="C9292" t="s">
        <v>91</v>
      </c>
      <c r="D9292" s="1">
        <v>45745</v>
      </c>
      <c r="E9292" t="s">
        <v>4133</v>
      </c>
      <c r="F9292" t="s">
        <v>4139</v>
      </c>
    </row>
    <row r="9293" spans="1:6">
      <c r="A9293" t="s">
        <v>13422</v>
      </c>
      <c r="B9293" t="s">
        <v>3204</v>
      </c>
      <c r="C9293" t="s">
        <v>91</v>
      </c>
      <c r="D9293" s="1">
        <v>45755</v>
      </c>
      <c r="E9293" t="s">
        <v>4135</v>
      </c>
      <c r="F9293" t="s">
        <v>4137</v>
      </c>
    </row>
    <row r="9294" spans="1:6">
      <c r="A9294" t="s">
        <v>13423</v>
      </c>
      <c r="B9294" t="s">
        <v>3205</v>
      </c>
      <c r="C9294" t="s">
        <v>46</v>
      </c>
      <c r="D9294" s="1">
        <v>45869</v>
      </c>
      <c r="E9294" t="s">
        <v>4133</v>
      </c>
      <c r="F9294" t="s">
        <v>4125</v>
      </c>
    </row>
    <row r="9295" spans="1:6">
      <c r="A9295" t="s">
        <v>13424</v>
      </c>
      <c r="B9295" t="s">
        <v>3205</v>
      </c>
      <c r="C9295" t="s">
        <v>46</v>
      </c>
      <c r="D9295" s="1">
        <v>45867</v>
      </c>
      <c r="E9295" t="s">
        <v>4129</v>
      </c>
      <c r="F9295" t="s">
        <v>4137</v>
      </c>
    </row>
    <row r="9296" spans="1:6">
      <c r="A9296" t="s">
        <v>13425</v>
      </c>
      <c r="B9296" t="s">
        <v>3205</v>
      </c>
      <c r="C9296" t="s">
        <v>46</v>
      </c>
      <c r="D9296" s="1">
        <v>45893</v>
      </c>
      <c r="E9296" t="s">
        <v>4127</v>
      </c>
      <c r="F9296" t="s">
        <v>4139</v>
      </c>
    </row>
    <row r="9297" spans="1:6">
      <c r="A9297" t="s">
        <v>13426</v>
      </c>
      <c r="B9297" t="s">
        <v>3205</v>
      </c>
      <c r="C9297" t="s">
        <v>46</v>
      </c>
      <c r="D9297" s="1">
        <v>45887</v>
      </c>
      <c r="E9297" t="s">
        <v>4124</v>
      </c>
      <c r="F9297" t="s">
        <v>4137</v>
      </c>
    </row>
    <row r="9298" spans="1:6">
      <c r="A9298" t="s">
        <v>13427</v>
      </c>
      <c r="B9298" t="s">
        <v>3206</v>
      </c>
      <c r="C9298" t="s">
        <v>152</v>
      </c>
      <c r="D9298" s="1">
        <v>45762</v>
      </c>
      <c r="E9298" t="s">
        <v>4129</v>
      </c>
      <c r="F9298" t="s">
        <v>4137</v>
      </c>
    </row>
    <row r="9299" spans="1:6">
      <c r="A9299" t="s">
        <v>13428</v>
      </c>
      <c r="B9299" t="s">
        <v>3206</v>
      </c>
      <c r="C9299" t="s">
        <v>152</v>
      </c>
      <c r="D9299" s="1">
        <v>45750</v>
      </c>
      <c r="E9299" t="s">
        <v>4129</v>
      </c>
      <c r="F9299" t="s">
        <v>4125</v>
      </c>
    </row>
    <row r="9300" spans="1:6">
      <c r="A9300" t="s">
        <v>13429</v>
      </c>
      <c r="B9300" t="s">
        <v>3206</v>
      </c>
      <c r="C9300" t="s">
        <v>152</v>
      </c>
      <c r="D9300" s="1">
        <v>45736</v>
      </c>
      <c r="E9300" t="s">
        <v>4135</v>
      </c>
      <c r="F9300" t="s">
        <v>4139</v>
      </c>
    </row>
    <row r="9301" spans="1:6">
      <c r="A9301" t="s">
        <v>13430</v>
      </c>
      <c r="B9301" t="s">
        <v>3207</v>
      </c>
      <c r="C9301" t="s">
        <v>56</v>
      </c>
      <c r="D9301" s="1">
        <v>45729</v>
      </c>
      <c r="E9301" t="s">
        <v>4135</v>
      </c>
      <c r="F9301" t="s">
        <v>4139</v>
      </c>
    </row>
    <row r="9302" spans="1:6">
      <c r="A9302" t="s">
        <v>13431</v>
      </c>
      <c r="B9302" t="s">
        <v>3207</v>
      </c>
      <c r="C9302" t="s">
        <v>56</v>
      </c>
      <c r="D9302" s="1">
        <v>45735</v>
      </c>
      <c r="E9302" t="s">
        <v>4127</v>
      </c>
      <c r="F9302" t="s">
        <v>4137</v>
      </c>
    </row>
    <row r="9303" spans="1:6">
      <c r="A9303" t="s">
        <v>13432</v>
      </c>
      <c r="B9303" t="s">
        <v>3207</v>
      </c>
      <c r="C9303" t="s">
        <v>56</v>
      </c>
      <c r="D9303" s="1">
        <v>45710</v>
      </c>
      <c r="E9303" t="s">
        <v>4135</v>
      </c>
      <c r="F9303" t="s">
        <v>4139</v>
      </c>
    </row>
    <row r="9304" spans="1:6">
      <c r="A9304" t="s">
        <v>13433</v>
      </c>
      <c r="B9304" t="s">
        <v>3208</v>
      </c>
      <c r="C9304" t="s">
        <v>22</v>
      </c>
      <c r="D9304" s="1">
        <v>45732</v>
      </c>
      <c r="E9304" t="s">
        <v>4135</v>
      </c>
      <c r="F9304" t="s">
        <v>4139</v>
      </c>
    </row>
    <row r="9305" spans="1:6">
      <c r="A9305" t="s">
        <v>13434</v>
      </c>
      <c r="B9305" t="s">
        <v>3208</v>
      </c>
      <c r="C9305" t="s">
        <v>22</v>
      </c>
      <c r="D9305" s="1">
        <v>45728</v>
      </c>
      <c r="E9305" t="s">
        <v>4133</v>
      </c>
      <c r="F9305" t="s">
        <v>4139</v>
      </c>
    </row>
    <row r="9306" spans="1:6">
      <c r="A9306" t="s">
        <v>13435</v>
      </c>
      <c r="B9306" t="s">
        <v>3208</v>
      </c>
      <c r="C9306" t="s">
        <v>22</v>
      </c>
      <c r="D9306" s="1">
        <v>45741</v>
      </c>
      <c r="E9306" t="s">
        <v>4133</v>
      </c>
      <c r="F9306" t="s">
        <v>4137</v>
      </c>
    </row>
    <row r="9307" spans="1:6">
      <c r="A9307" t="s">
        <v>13436</v>
      </c>
      <c r="B9307" t="s">
        <v>3208</v>
      </c>
      <c r="C9307" t="s">
        <v>22</v>
      </c>
      <c r="D9307" s="1">
        <v>45755</v>
      </c>
      <c r="E9307" t="s">
        <v>4127</v>
      </c>
      <c r="F9307" t="s">
        <v>4137</v>
      </c>
    </row>
    <row r="9308" spans="1:6">
      <c r="A9308" t="s">
        <v>13437</v>
      </c>
      <c r="B9308" t="s">
        <v>3209</v>
      </c>
      <c r="C9308" t="s">
        <v>16</v>
      </c>
      <c r="D9308" s="1">
        <v>45802</v>
      </c>
      <c r="E9308" t="s">
        <v>4124</v>
      </c>
      <c r="F9308" t="s">
        <v>4137</v>
      </c>
    </row>
    <row r="9309" spans="1:6">
      <c r="A9309" t="s">
        <v>13438</v>
      </c>
      <c r="B9309" t="s">
        <v>3209</v>
      </c>
      <c r="C9309" t="s">
        <v>16</v>
      </c>
      <c r="D9309" s="1">
        <v>45788</v>
      </c>
      <c r="E9309" t="s">
        <v>4135</v>
      </c>
      <c r="F9309" t="s">
        <v>4137</v>
      </c>
    </row>
    <row r="9310" spans="1:6">
      <c r="A9310" t="s">
        <v>13439</v>
      </c>
      <c r="B9310" t="s">
        <v>3209</v>
      </c>
      <c r="C9310" t="s">
        <v>16</v>
      </c>
      <c r="D9310" s="1">
        <v>45791</v>
      </c>
      <c r="E9310" t="s">
        <v>4127</v>
      </c>
      <c r="F9310" t="s">
        <v>4125</v>
      </c>
    </row>
    <row r="9311" spans="1:6">
      <c r="A9311" t="s">
        <v>13440</v>
      </c>
      <c r="B9311" t="s">
        <v>3210</v>
      </c>
      <c r="C9311" t="s">
        <v>50</v>
      </c>
      <c r="D9311" s="1">
        <v>46016</v>
      </c>
      <c r="E9311" t="s">
        <v>4129</v>
      </c>
      <c r="F9311" t="s">
        <v>4137</v>
      </c>
    </row>
    <row r="9312" spans="1:6">
      <c r="A9312" t="s">
        <v>13441</v>
      </c>
      <c r="B9312" t="s">
        <v>3210</v>
      </c>
      <c r="C9312" t="s">
        <v>50</v>
      </c>
      <c r="D9312" s="1">
        <v>46010</v>
      </c>
      <c r="E9312" t="s">
        <v>4133</v>
      </c>
      <c r="F9312" t="s">
        <v>4139</v>
      </c>
    </row>
    <row r="9313" spans="1:6">
      <c r="A9313" t="s">
        <v>13442</v>
      </c>
      <c r="B9313" t="s">
        <v>3210</v>
      </c>
      <c r="C9313" t="s">
        <v>50</v>
      </c>
      <c r="D9313" s="1">
        <v>46004</v>
      </c>
      <c r="E9313" t="s">
        <v>4127</v>
      </c>
      <c r="F9313" t="s">
        <v>4139</v>
      </c>
    </row>
    <row r="9314" spans="1:6">
      <c r="A9314" t="s">
        <v>13443</v>
      </c>
      <c r="B9314" t="s">
        <v>3210</v>
      </c>
      <c r="C9314" t="s">
        <v>50</v>
      </c>
      <c r="D9314" s="1">
        <v>46019</v>
      </c>
      <c r="E9314" t="s">
        <v>4124</v>
      </c>
      <c r="F9314" t="s">
        <v>4137</v>
      </c>
    </row>
    <row r="9315" spans="1:6">
      <c r="A9315" t="s">
        <v>13444</v>
      </c>
      <c r="B9315" t="s">
        <v>3211</v>
      </c>
      <c r="C9315" t="s">
        <v>22</v>
      </c>
      <c r="D9315" s="1">
        <v>45953</v>
      </c>
      <c r="E9315" t="s">
        <v>4133</v>
      </c>
      <c r="F9315" t="s">
        <v>4139</v>
      </c>
    </row>
    <row r="9316" spans="1:6">
      <c r="A9316" t="s">
        <v>13445</v>
      </c>
      <c r="B9316" t="s">
        <v>3211</v>
      </c>
      <c r="C9316" t="s">
        <v>22</v>
      </c>
      <c r="D9316" s="1">
        <v>45945</v>
      </c>
      <c r="E9316" t="s">
        <v>4133</v>
      </c>
      <c r="F9316" t="s">
        <v>4139</v>
      </c>
    </row>
    <row r="9317" spans="1:6">
      <c r="A9317" t="s">
        <v>13446</v>
      </c>
      <c r="B9317" t="s">
        <v>3211</v>
      </c>
      <c r="C9317" t="s">
        <v>22</v>
      </c>
      <c r="D9317" s="1">
        <v>45925</v>
      </c>
      <c r="E9317" t="s">
        <v>4124</v>
      </c>
      <c r="F9317" t="s">
        <v>4137</v>
      </c>
    </row>
    <row r="9318" spans="1:6">
      <c r="A9318" t="s">
        <v>13447</v>
      </c>
      <c r="B9318" t="s">
        <v>3211</v>
      </c>
      <c r="C9318" t="s">
        <v>22</v>
      </c>
      <c r="D9318" s="1">
        <v>45895</v>
      </c>
      <c r="E9318" t="s">
        <v>4127</v>
      </c>
      <c r="F9318" t="s">
        <v>4125</v>
      </c>
    </row>
    <row r="9319" spans="1:6">
      <c r="A9319" t="s">
        <v>13448</v>
      </c>
      <c r="B9319" t="s">
        <v>3211</v>
      </c>
      <c r="C9319" t="s">
        <v>22</v>
      </c>
      <c r="D9319" s="1">
        <v>45912</v>
      </c>
      <c r="E9319" t="s">
        <v>4135</v>
      </c>
      <c r="F9319" t="s">
        <v>4139</v>
      </c>
    </row>
    <row r="9320" spans="1:6">
      <c r="A9320" t="s">
        <v>13449</v>
      </c>
      <c r="B9320" t="s">
        <v>3212</v>
      </c>
      <c r="C9320" t="s">
        <v>75</v>
      </c>
      <c r="D9320" s="1">
        <v>45908</v>
      </c>
      <c r="E9320" t="s">
        <v>4135</v>
      </c>
      <c r="F9320" t="s">
        <v>4125</v>
      </c>
    </row>
    <row r="9321" spans="1:6">
      <c r="A9321" t="s">
        <v>13450</v>
      </c>
      <c r="B9321" t="s">
        <v>3212</v>
      </c>
      <c r="C9321" t="s">
        <v>75</v>
      </c>
      <c r="D9321" s="1">
        <v>45907</v>
      </c>
      <c r="E9321" t="s">
        <v>4135</v>
      </c>
      <c r="F9321" t="s">
        <v>4125</v>
      </c>
    </row>
    <row r="9322" spans="1:6">
      <c r="A9322" t="s">
        <v>13451</v>
      </c>
      <c r="B9322" t="s">
        <v>3212</v>
      </c>
      <c r="C9322" t="s">
        <v>75</v>
      </c>
      <c r="D9322" s="1">
        <v>45906</v>
      </c>
      <c r="E9322" t="s">
        <v>4127</v>
      </c>
      <c r="F9322" t="s">
        <v>4139</v>
      </c>
    </row>
    <row r="9323" spans="1:6">
      <c r="A9323" t="s">
        <v>13452</v>
      </c>
      <c r="B9323" t="s">
        <v>3212</v>
      </c>
      <c r="C9323" t="s">
        <v>75</v>
      </c>
      <c r="D9323" s="1">
        <v>45908</v>
      </c>
      <c r="E9323" t="s">
        <v>4133</v>
      </c>
      <c r="F9323" t="s">
        <v>4137</v>
      </c>
    </row>
    <row r="9324" spans="1:6">
      <c r="A9324" t="s">
        <v>13453</v>
      </c>
      <c r="B9324" t="s">
        <v>3213</v>
      </c>
      <c r="C9324" t="s">
        <v>22</v>
      </c>
      <c r="D9324" s="1">
        <v>45870</v>
      </c>
      <c r="E9324" t="s">
        <v>4124</v>
      </c>
      <c r="F9324" t="s">
        <v>4139</v>
      </c>
    </row>
    <row r="9325" spans="1:6">
      <c r="A9325" t="s">
        <v>13454</v>
      </c>
      <c r="B9325" t="s">
        <v>3213</v>
      </c>
      <c r="C9325" t="s">
        <v>22</v>
      </c>
      <c r="D9325" s="1">
        <v>45879</v>
      </c>
      <c r="E9325" t="s">
        <v>4129</v>
      </c>
      <c r="F9325" t="s">
        <v>4125</v>
      </c>
    </row>
    <row r="9326" spans="1:6">
      <c r="A9326" t="s">
        <v>13455</v>
      </c>
      <c r="B9326" t="s">
        <v>3213</v>
      </c>
      <c r="C9326" t="s">
        <v>22</v>
      </c>
      <c r="D9326" s="1">
        <v>45907</v>
      </c>
      <c r="E9326" t="s">
        <v>4133</v>
      </c>
      <c r="F9326" t="s">
        <v>4139</v>
      </c>
    </row>
    <row r="9327" spans="1:6">
      <c r="A9327" t="s">
        <v>13456</v>
      </c>
      <c r="B9327" t="s">
        <v>3213</v>
      </c>
      <c r="C9327" t="s">
        <v>22</v>
      </c>
      <c r="D9327" s="1">
        <v>45880</v>
      </c>
      <c r="E9327" t="s">
        <v>4127</v>
      </c>
      <c r="F9327" t="s">
        <v>4137</v>
      </c>
    </row>
    <row r="9328" spans="1:6">
      <c r="A9328" t="s">
        <v>13457</v>
      </c>
      <c r="B9328" t="s">
        <v>3213</v>
      </c>
      <c r="C9328" t="s">
        <v>22</v>
      </c>
      <c r="D9328" s="1">
        <v>45923</v>
      </c>
      <c r="E9328" t="s">
        <v>4135</v>
      </c>
      <c r="F9328" t="s">
        <v>4139</v>
      </c>
    </row>
    <row r="9329" spans="1:6">
      <c r="A9329" t="s">
        <v>13458</v>
      </c>
      <c r="B9329" t="s">
        <v>3214</v>
      </c>
      <c r="C9329" t="s">
        <v>75</v>
      </c>
      <c r="D9329" s="1">
        <v>45936</v>
      </c>
      <c r="E9329" t="s">
        <v>4127</v>
      </c>
      <c r="F9329" t="s">
        <v>4139</v>
      </c>
    </row>
    <row r="9330" spans="1:6">
      <c r="A9330" t="s">
        <v>13459</v>
      </c>
      <c r="B9330" t="s">
        <v>3214</v>
      </c>
      <c r="C9330" t="s">
        <v>75</v>
      </c>
      <c r="D9330" s="1">
        <v>45924</v>
      </c>
      <c r="E9330" t="s">
        <v>4124</v>
      </c>
      <c r="F9330" t="s">
        <v>4139</v>
      </c>
    </row>
    <row r="9331" spans="1:6">
      <c r="A9331" t="s">
        <v>13460</v>
      </c>
      <c r="B9331" t="s">
        <v>3214</v>
      </c>
      <c r="C9331" t="s">
        <v>75</v>
      </c>
      <c r="D9331" s="1">
        <v>45957</v>
      </c>
      <c r="E9331" t="s">
        <v>4127</v>
      </c>
      <c r="F9331" t="s">
        <v>4137</v>
      </c>
    </row>
    <row r="9332" spans="1:6">
      <c r="A9332" t="s">
        <v>13461</v>
      </c>
      <c r="B9332" t="s">
        <v>3215</v>
      </c>
      <c r="C9332" t="s">
        <v>63</v>
      </c>
      <c r="D9332" s="1">
        <v>45874</v>
      </c>
      <c r="E9332" t="s">
        <v>4124</v>
      </c>
      <c r="F9332" t="s">
        <v>4137</v>
      </c>
    </row>
    <row r="9333" spans="1:6">
      <c r="A9333" t="s">
        <v>13462</v>
      </c>
      <c r="B9333" t="s">
        <v>3215</v>
      </c>
      <c r="C9333" t="s">
        <v>63</v>
      </c>
      <c r="D9333" s="1">
        <v>45807</v>
      </c>
      <c r="E9333" t="s">
        <v>4129</v>
      </c>
      <c r="F9333" t="s">
        <v>4125</v>
      </c>
    </row>
    <row r="9334" spans="1:6">
      <c r="A9334" t="s">
        <v>13463</v>
      </c>
      <c r="B9334" t="s">
        <v>3215</v>
      </c>
      <c r="C9334" t="s">
        <v>63</v>
      </c>
      <c r="D9334" s="1">
        <v>45806</v>
      </c>
      <c r="E9334" t="s">
        <v>4127</v>
      </c>
      <c r="F9334" t="s">
        <v>4125</v>
      </c>
    </row>
    <row r="9335" spans="1:6">
      <c r="A9335" t="s">
        <v>13464</v>
      </c>
      <c r="B9335" t="s">
        <v>3215</v>
      </c>
      <c r="C9335" t="s">
        <v>63</v>
      </c>
      <c r="D9335" s="1">
        <v>45862</v>
      </c>
      <c r="E9335" t="s">
        <v>4133</v>
      </c>
      <c r="F9335" t="s">
        <v>4139</v>
      </c>
    </row>
    <row r="9336" spans="1:6">
      <c r="A9336" t="s">
        <v>13465</v>
      </c>
      <c r="B9336" t="s">
        <v>3215</v>
      </c>
      <c r="C9336" t="s">
        <v>63</v>
      </c>
      <c r="D9336" s="1">
        <v>45867</v>
      </c>
      <c r="E9336" t="s">
        <v>4129</v>
      </c>
      <c r="F9336" t="s">
        <v>4137</v>
      </c>
    </row>
    <row r="9337" spans="1:6">
      <c r="A9337" t="s">
        <v>13466</v>
      </c>
      <c r="B9337" t="s">
        <v>3216</v>
      </c>
      <c r="C9337" t="s">
        <v>91</v>
      </c>
      <c r="D9337" s="1">
        <v>45718</v>
      </c>
      <c r="E9337" t="s">
        <v>4127</v>
      </c>
      <c r="F9337" t="s">
        <v>4139</v>
      </c>
    </row>
    <row r="9338" spans="1:6">
      <c r="A9338" t="s">
        <v>13467</v>
      </c>
      <c r="B9338" t="s">
        <v>3216</v>
      </c>
      <c r="C9338" t="s">
        <v>91</v>
      </c>
      <c r="D9338" s="1">
        <v>45739</v>
      </c>
      <c r="E9338" t="s">
        <v>4129</v>
      </c>
      <c r="F9338" t="s">
        <v>4139</v>
      </c>
    </row>
    <row r="9339" spans="1:6">
      <c r="A9339" t="s">
        <v>13468</v>
      </c>
      <c r="B9339" t="s">
        <v>3216</v>
      </c>
      <c r="C9339" t="s">
        <v>91</v>
      </c>
      <c r="D9339" s="1">
        <v>45734</v>
      </c>
      <c r="E9339" t="s">
        <v>4124</v>
      </c>
      <c r="F9339" t="s">
        <v>4137</v>
      </c>
    </row>
    <row r="9340" spans="1:6">
      <c r="A9340" t="s">
        <v>13469</v>
      </c>
      <c r="B9340" t="s">
        <v>3217</v>
      </c>
      <c r="C9340" t="s">
        <v>91</v>
      </c>
      <c r="D9340" s="1">
        <v>45842</v>
      </c>
      <c r="E9340" t="s">
        <v>4133</v>
      </c>
      <c r="F9340" t="s">
        <v>4125</v>
      </c>
    </row>
    <row r="9341" spans="1:6">
      <c r="A9341" t="s">
        <v>13470</v>
      </c>
      <c r="B9341" t="s">
        <v>3217</v>
      </c>
      <c r="C9341" t="s">
        <v>91</v>
      </c>
      <c r="D9341" s="1">
        <v>45826</v>
      </c>
      <c r="E9341" t="s">
        <v>4124</v>
      </c>
      <c r="F9341" t="s">
        <v>4125</v>
      </c>
    </row>
    <row r="9342" spans="1:6">
      <c r="A9342" t="s">
        <v>13471</v>
      </c>
      <c r="B9342" t="s">
        <v>3218</v>
      </c>
      <c r="C9342" t="s">
        <v>75</v>
      </c>
      <c r="D9342" s="1">
        <v>45875</v>
      </c>
      <c r="E9342" t="s">
        <v>4127</v>
      </c>
      <c r="F9342" t="s">
        <v>4137</v>
      </c>
    </row>
    <row r="9343" spans="1:6">
      <c r="A9343" t="s">
        <v>13472</v>
      </c>
      <c r="B9343" t="s">
        <v>3218</v>
      </c>
      <c r="C9343" t="s">
        <v>75</v>
      </c>
      <c r="D9343" s="1">
        <v>45825</v>
      </c>
      <c r="E9343" t="s">
        <v>4124</v>
      </c>
      <c r="F9343" t="s">
        <v>4139</v>
      </c>
    </row>
    <row r="9344" spans="1:6">
      <c r="A9344" t="s">
        <v>13473</v>
      </c>
      <c r="B9344" t="s">
        <v>3218</v>
      </c>
      <c r="C9344" t="s">
        <v>75</v>
      </c>
      <c r="D9344" s="1">
        <v>45840</v>
      </c>
      <c r="E9344" t="s">
        <v>4133</v>
      </c>
      <c r="F9344" t="s">
        <v>4125</v>
      </c>
    </row>
    <row r="9345" spans="1:6">
      <c r="A9345" t="s">
        <v>13474</v>
      </c>
      <c r="B9345" t="s">
        <v>3218</v>
      </c>
      <c r="C9345" t="s">
        <v>75</v>
      </c>
      <c r="D9345" s="1">
        <v>45875</v>
      </c>
      <c r="E9345" t="s">
        <v>4129</v>
      </c>
      <c r="F9345" t="s">
        <v>4139</v>
      </c>
    </row>
    <row r="9346" spans="1:6">
      <c r="A9346" t="s">
        <v>13475</v>
      </c>
      <c r="B9346" t="s">
        <v>3218</v>
      </c>
      <c r="C9346" t="s">
        <v>75</v>
      </c>
      <c r="D9346" s="1">
        <v>45849</v>
      </c>
      <c r="E9346" t="s">
        <v>4124</v>
      </c>
      <c r="F9346" t="s">
        <v>4137</v>
      </c>
    </row>
    <row r="9347" spans="1:6">
      <c r="A9347" t="s">
        <v>13476</v>
      </c>
      <c r="B9347" t="s">
        <v>3219</v>
      </c>
      <c r="C9347" t="s">
        <v>53</v>
      </c>
      <c r="D9347" s="1">
        <v>45807</v>
      </c>
      <c r="E9347" t="s">
        <v>4133</v>
      </c>
      <c r="F9347" t="s">
        <v>4125</v>
      </c>
    </row>
    <row r="9348" spans="1:6">
      <c r="A9348" t="s">
        <v>13477</v>
      </c>
      <c r="B9348" t="s">
        <v>3219</v>
      </c>
      <c r="C9348" t="s">
        <v>53</v>
      </c>
      <c r="D9348" s="1">
        <v>45796</v>
      </c>
      <c r="E9348" t="s">
        <v>4129</v>
      </c>
      <c r="F9348" t="s">
        <v>4125</v>
      </c>
    </row>
    <row r="9349" spans="1:6">
      <c r="A9349" t="s">
        <v>13478</v>
      </c>
      <c r="B9349" t="s">
        <v>3219</v>
      </c>
      <c r="C9349" t="s">
        <v>53</v>
      </c>
      <c r="D9349" s="1">
        <v>45770</v>
      </c>
      <c r="E9349" t="s">
        <v>4124</v>
      </c>
      <c r="F9349" t="s">
        <v>4137</v>
      </c>
    </row>
    <row r="9350" spans="1:6">
      <c r="A9350" t="s">
        <v>13479</v>
      </c>
      <c r="B9350" t="s">
        <v>3219</v>
      </c>
      <c r="C9350" t="s">
        <v>53</v>
      </c>
      <c r="D9350" s="1">
        <v>45808</v>
      </c>
      <c r="E9350" t="s">
        <v>4133</v>
      </c>
      <c r="F9350" t="s">
        <v>4137</v>
      </c>
    </row>
    <row r="9351" spans="1:6">
      <c r="A9351" t="s">
        <v>13480</v>
      </c>
      <c r="B9351" t="s">
        <v>3219</v>
      </c>
      <c r="C9351" t="s">
        <v>53</v>
      </c>
      <c r="D9351" s="1">
        <v>45807</v>
      </c>
      <c r="E9351" t="s">
        <v>4127</v>
      </c>
      <c r="F9351" t="s">
        <v>4137</v>
      </c>
    </row>
    <row r="9352" spans="1:6">
      <c r="A9352" t="s">
        <v>13481</v>
      </c>
      <c r="B9352" t="s">
        <v>3220</v>
      </c>
      <c r="C9352" t="s">
        <v>27</v>
      </c>
      <c r="D9352" s="1">
        <v>45698</v>
      </c>
      <c r="E9352" t="s">
        <v>4135</v>
      </c>
      <c r="F9352" t="s">
        <v>4137</v>
      </c>
    </row>
    <row r="9353" spans="1:6">
      <c r="A9353" t="s">
        <v>13482</v>
      </c>
      <c r="B9353" t="s">
        <v>3220</v>
      </c>
      <c r="C9353" t="s">
        <v>27</v>
      </c>
      <c r="D9353" s="1">
        <v>45679</v>
      </c>
      <c r="E9353" t="s">
        <v>4133</v>
      </c>
      <c r="F9353" t="s">
        <v>4125</v>
      </c>
    </row>
    <row r="9354" spans="1:6">
      <c r="A9354" t="s">
        <v>13483</v>
      </c>
      <c r="B9354" t="s">
        <v>3220</v>
      </c>
      <c r="C9354" t="s">
        <v>27</v>
      </c>
      <c r="D9354" s="1">
        <v>45679</v>
      </c>
      <c r="E9354" t="s">
        <v>4129</v>
      </c>
      <c r="F9354" t="s">
        <v>4125</v>
      </c>
    </row>
    <row r="9355" spans="1:6">
      <c r="A9355" t="s">
        <v>13484</v>
      </c>
      <c r="B9355" t="s">
        <v>3221</v>
      </c>
      <c r="C9355" t="s">
        <v>59</v>
      </c>
      <c r="D9355" s="1">
        <v>45907</v>
      </c>
      <c r="E9355" t="s">
        <v>4133</v>
      </c>
      <c r="F9355" t="s">
        <v>4137</v>
      </c>
    </row>
    <row r="9356" spans="1:6">
      <c r="A9356" t="s">
        <v>13485</v>
      </c>
      <c r="B9356" t="s">
        <v>3221</v>
      </c>
      <c r="C9356" t="s">
        <v>59</v>
      </c>
      <c r="D9356" s="1">
        <v>45917</v>
      </c>
      <c r="E9356" t="s">
        <v>4127</v>
      </c>
      <c r="F9356" t="s">
        <v>4125</v>
      </c>
    </row>
    <row r="9357" spans="1:6">
      <c r="A9357" t="s">
        <v>13486</v>
      </c>
      <c r="B9357" t="s">
        <v>3221</v>
      </c>
      <c r="C9357" t="s">
        <v>59</v>
      </c>
      <c r="D9357" s="1">
        <v>45921</v>
      </c>
      <c r="E9357" t="s">
        <v>4127</v>
      </c>
      <c r="F9357" t="s">
        <v>4137</v>
      </c>
    </row>
    <row r="9358" spans="1:6">
      <c r="A9358" t="s">
        <v>13487</v>
      </c>
      <c r="B9358" t="s">
        <v>3222</v>
      </c>
      <c r="C9358" t="s">
        <v>32</v>
      </c>
      <c r="D9358" s="1">
        <v>45847</v>
      </c>
      <c r="E9358" t="s">
        <v>4135</v>
      </c>
      <c r="F9358" t="s">
        <v>4139</v>
      </c>
    </row>
    <row r="9359" spans="1:6">
      <c r="A9359" t="s">
        <v>13488</v>
      </c>
      <c r="B9359" t="s">
        <v>3222</v>
      </c>
      <c r="C9359" t="s">
        <v>32</v>
      </c>
      <c r="D9359" s="1">
        <v>45816</v>
      </c>
      <c r="E9359" t="s">
        <v>4135</v>
      </c>
      <c r="F9359" t="s">
        <v>4139</v>
      </c>
    </row>
    <row r="9360" spans="1:6">
      <c r="A9360" t="s">
        <v>13489</v>
      </c>
      <c r="B9360" t="s">
        <v>3222</v>
      </c>
      <c r="C9360" t="s">
        <v>32</v>
      </c>
      <c r="D9360" s="1">
        <v>45818</v>
      </c>
      <c r="E9360" t="s">
        <v>4127</v>
      </c>
      <c r="F9360" t="s">
        <v>4139</v>
      </c>
    </row>
    <row r="9361" spans="1:6">
      <c r="A9361" t="s">
        <v>13490</v>
      </c>
      <c r="B9361" t="s">
        <v>3223</v>
      </c>
      <c r="C9361" t="s">
        <v>16</v>
      </c>
      <c r="D9361" s="1">
        <v>45963</v>
      </c>
      <c r="E9361" t="s">
        <v>4127</v>
      </c>
      <c r="F9361" t="s">
        <v>4125</v>
      </c>
    </row>
    <row r="9362" spans="1:6">
      <c r="A9362" t="s">
        <v>13491</v>
      </c>
      <c r="B9362" t="s">
        <v>3223</v>
      </c>
      <c r="C9362" t="s">
        <v>16</v>
      </c>
      <c r="D9362" s="1">
        <v>46009</v>
      </c>
      <c r="E9362" t="s">
        <v>4124</v>
      </c>
      <c r="F9362" t="s">
        <v>4139</v>
      </c>
    </row>
    <row r="9363" spans="1:6">
      <c r="A9363" t="s">
        <v>13492</v>
      </c>
      <c r="B9363" t="s">
        <v>3224</v>
      </c>
      <c r="C9363" t="s">
        <v>36</v>
      </c>
      <c r="D9363" s="1">
        <v>45823</v>
      </c>
      <c r="E9363" t="s">
        <v>4129</v>
      </c>
      <c r="F9363" t="s">
        <v>4137</v>
      </c>
    </row>
    <row r="9364" spans="1:6">
      <c r="A9364" t="s">
        <v>13493</v>
      </c>
      <c r="B9364" t="s">
        <v>3224</v>
      </c>
      <c r="C9364" t="s">
        <v>36</v>
      </c>
      <c r="D9364" s="1">
        <v>45800</v>
      </c>
      <c r="E9364" t="s">
        <v>4129</v>
      </c>
      <c r="F9364" t="s">
        <v>4139</v>
      </c>
    </row>
    <row r="9365" spans="1:6">
      <c r="A9365" t="s">
        <v>13494</v>
      </c>
      <c r="B9365" t="s">
        <v>3225</v>
      </c>
      <c r="C9365" t="s">
        <v>46</v>
      </c>
      <c r="D9365" s="1">
        <v>45907</v>
      </c>
      <c r="E9365" t="s">
        <v>4133</v>
      </c>
      <c r="F9365" t="s">
        <v>4125</v>
      </c>
    </row>
    <row r="9366" spans="1:6">
      <c r="A9366" t="s">
        <v>13495</v>
      </c>
      <c r="B9366" t="s">
        <v>3225</v>
      </c>
      <c r="C9366" t="s">
        <v>46</v>
      </c>
      <c r="D9366" s="1">
        <v>45895</v>
      </c>
      <c r="E9366" t="s">
        <v>4127</v>
      </c>
      <c r="F9366" t="s">
        <v>4125</v>
      </c>
    </row>
    <row r="9367" spans="1:6">
      <c r="A9367" t="s">
        <v>13496</v>
      </c>
      <c r="B9367" t="s">
        <v>3225</v>
      </c>
      <c r="C9367" t="s">
        <v>46</v>
      </c>
      <c r="D9367" s="1">
        <v>45882</v>
      </c>
      <c r="E9367" t="s">
        <v>4127</v>
      </c>
      <c r="F9367" t="s">
        <v>4137</v>
      </c>
    </row>
    <row r="9368" spans="1:6">
      <c r="A9368" t="s">
        <v>13497</v>
      </c>
      <c r="B9368" t="s">
        <v>3225</v>
      </c>
      <c r="C9368" t="s">
        <v>46</v>
      </c>
      <c r="D9368" s="1">
        <v>45891</v>
      </c>
      <c r="E9368" t="s">
        <v>4127</v>
      </c>
      <c r="F9368" t="s">
        <v>4139</v>
      </c>
    </row>
    <row r="9369" spans="1:6">
      <c r="A9369" t="s">
        <v>13498</v>
      </c>
      <c r="B9369" t="s">
        <v>3225</v>
      </c>
      <c r="C9369" t="s">
        <v>46</v>
      </c>
      <c r="D9369" s="1">
        <v>45862</v>
      </c>
      <c r="E9369" t="s">
        <v>4124</v>
      </c>
      <c r="F9369" t="s">
        <v>4137</v>
      </c>
    </row>
    <row r="9370" spans="1:6">
      <c r="A9370" t="s">
        <v>13499</v>
      </c>
      <c r="B9370" t="s">
        <v>3226</v>
      </c>
      <c r="C9370" t="s">
        <v>46</v>
      </c>
      <c r="D9370" s="1">
        <v>45717</v>
      </c>
      <c r="E9370" t="s">
        <v>4124</v>
      </c>
      <c r="F9370" t="s">
        <v>4125</v>
      </c>
    </row>
    <row r="9371" spans="1:6">
      <c r="A9371" t="s">
        <v>13500</v>
      </c>
      <c r="B9371" t="s">
        <v>3226</v>
      </c>
      <c r="C9371" t="s">
        <v>46</v>
      </c>
      <c r="D9371" s="1">
        <v>45710</v>
      </c>
      <c r="E9371" t="s">
        <v>4127</v>
      </c>
      <c r="F9371" t="s">
        <v>4139</v>
      </c>
    </row>
    <row r="9372" spans="1:6">
      <c r="A9372" t="s">
        <v>13501</v>
      </c>
      <c r="B9372" t="s">
        <v>3226</v>
      </c>
      <c r="C9372" t="s">
        <v>46</v>
      </c>
      <c r="D9372" s="1">
        <v>45716</v>
      </c>
      <c r="E9372" t="s">
        <v>4135</v>
      </c>
      <c r="F9372" t="s">
        <v>4139</v>
      </c>
    </row>
    <row r="9373" spans="1:6">
      <c r="A9373" t="s">
        <v>13502</v>
      </c>
      <c r="B9373" t="s">
        <v>3226</v>
      </c>
      <c r="C9373" t="s">
        <v>46</v>
      </c>
      <c r="D9373" s="1">
        <v>45712</v>
      </c>
      <c r="E9373" t="s">
        <v>4133</v>
      </c>
      <c r="F9373" t="s">
        <v>4137</v>
      </c>
    </row>
    <row r="9374" spans="1:6">
      <c r="A9374" t="s">
        <v>13503</v>
      </c>
      <c r="B9374" t="s">
        <v>3226</v>
      </c>
      <c r="C9374" t="s">
        <v>46</v>
      </c>
      <c r="D9374" s="1">
        <v>45711</v>
      </c>
      <c r="E9374" t="s">
        <v>4124</v>
      </c>
      <c r="F9374" t="s">
        <v>4137</v>
      </c>
    </row>
    <row r="9375" spans="1:6">
      <c r="A9375" t="s">
        <v>13504</v>
      </c>
      <c r="B9375" t="s">
        <v>3227</v>
      </c>
      <c r="C9375" t="s">
        <v>59</v>
      </c>
      <c r="D9375" s="1">
        <v>45911</v>
      </c>
      <c r="E9375" t="s">
        <v>4135</v>
      </c>
      <c r="F9375" t="s">
        <v>4139</v>
      </c>
    </row>
    <row r="9376" spans="1:6">
      <c r="A9376" t="s">
        <v>13505</v>
      </c>
      <c r="B9376" t="s">
        <v>3227</v>
      </c>
      <c r="C9376" t="s">
        <v>59</v>
      </c>
      <c r="D9376" s="1">
        <v>45908</v>
      </c>
      <c r="E9376" t="s">
        <v>4135</v>
      </c>
      <c r="F9376" t="s">
        <v>4137</v>
      </c>
    </row>
    <row r="9377" spans="1:6">
      <c r="A9377" t="s">
        <v>13506</v>
      </c>
      <c r="B9377" t="s">
        <v>3227</v>
      </c>
      <c r="C9377" t="s">
        <v>59</v>
      </c>
      <c r="D9377" s="1">
        <v>45928</v>
      </c>
      <c r="E9377" t="s">
        <v>4135</v>
      </c>
      <c r="F9377" t="s">
        <v>4139</v>
      </c>
    </row>
    <row r="9378" spans="1:6">
      <c r="A9378" t="s">
        <v>13507</v>
      </c>
      <c r="B9378" t="s">
        <v>3227</v>
      </c>
      <c r="C9378" t="s">
        <v>59</v>
      </c>
      <c r="D9378" s="1">
        <v>45901</v>
      </c>
      <c r="E9378" t="s">
        <v>4124</v>
      </c>
      <c r="F9378" t="s">
        <v>4139</v>
      </c>
    </row>
    <row r="9379" spans="1:6">
      <c r="A9379" t="s">
        <v>13508</v>
      </c>
      <c r="B9379" t="s">
        <v>3227</v>
      </c>
      <c r="C9379" t="s">
        <v>59</v>
      </c>
      <c r="D9379" s="1">
        <v>45928</v>
      </c>
      <c r="E9379" t="s">
        <v>4127</v>
      </c>
      <c r="F9379" t="s">
        <v>4139</v>
      </c>
    </row>
    <row r="9380" spans="1:6">
      <c r="A9380" t="s">
        <v>13509</v>
      </c>
      <c r="B9380" t="s">
        <v>3228</v>
      </c>
      <c r="C9380" t="s">
        <v>46</v>
      </c>
      <c r="D9380" s="1">
        <v>45907</v>
      </c>
      <c r="E9380" t="s">
        <v>4129</v>
      </c>
      <c r="F9380" t="s">
        <v>4139</v>
      </c>
    </row>
    <row r="9381" spans="1:6">
      <c r="A9381" t="s">
        <v>13510</v>
      </c>
      <c r="B9381" t="s">
        <v>3228</v>
      </c>
      <c r="C9381" t="s">
        <v>46</v>
      </c>
      <c r="D9381" s="1">
        <v>45914</v>
      </c>
      <c r="E9381" t="s">
        <v>4124</v>
      </c>
      <c r="F9381" t="s">
        <v>4137</v>
      </c>
    </row>
    <row r="9382" spans="1:6">
      <c r="A9382" t="s">
        <v>13511</v>
      </c>
      <c r="B9382" t="s">
        <v>3228</v>
      </c>
      <c r="C9382" t="s">
        <v>46</v>
      </c>
      <c r="D9382" s="1">
        <v>45900</v>
      </c>
      <c r="E9382" t="s">
        <v>4135</v>
      </c>
      <c r="F9382" t="s">
        <v>4125</v>
      </c>
    </row>
    <row r="9383" spans="1:6">
      <c r="A9383" t="s">
        <v>13512</v>
      </c>
      <c r="B9383" t="s">
        <v>3228</v>
      </c>
      <c r="C9383" t="s">
        <v>46</v>
      </c>
      <c r="D9383" s="1">
        <v>45914</v>
      </c>
      <c r="E9383" t="s">
        <v>4124</v>
      </c>
      <c r="F9383" t="s">
        <v>4139</v>
      </c>
    </row>
    <row r="9384" spans="1:6">
      <c r="A9384" t="s">
        <v>13513</v>
      </c>
      <c r="B9384" t="s">
        <v>3229</v>
      </c>
      <c r="C9384" t="s">
        <v>36</v>
      </c>
      <c r="D9384" s="1">
        <v>46012</v>
      </c>
      <c r="E9384" t="s">
        <v>4133</v>
      </c>
      <c r="F9384" t="s">
        <v>4139</v>
      </c>
    </row>
    <row r="9385" spans="1:6">
      <c r="A9385" t="s">
        <v>13514</v>
      </c>
      <c r="B9385" t="s">
        <v>3229</v>
      </c>
      <c r="C9385" t="s">
        <v>36</v>
      </c>
      <c r="D9385" s="1">
        <v>46011</v>
      </c>
      <c r="E9385" t="s">
        <v>4127</v>
      </c>
      <c r="F9385" t="s">
        <v>4139</v>
      </c>
    </row>
    <row r="9386" spans="1:6">
      <c r="A9386" t="s">
        <v>13515</v>
      </c>
      <c r="B9386" t="s">
        <v>3230</v>
      </c>
      <c r="C9386" t="s">
        <v>126</v>
      </c>
      <c r="D9386" s="1">
        <v>45785</v>
      </c>
      <c r="E9386" t="s">
        <v>4133</v>
      </c>
      <c r="F9386" t="s">
        <v>4137</v>
      </c>
    </row>
    <row r="9387" spans="1:6">
      <c r="A9387" t="s">
        <v>13516</v>
      </c>
      <c r="B9387" t="s">
        <v>3230</v>
      </c>
      <c r="C9387" t="s">
        <v>126</v>
      </c>
      <c r="D9387" s="1">
        <v>45782</v>
      </c>
      <c r="E9387" t="s">
        <v>4129</v>
      </c>
      <c r="F9387" t="s">
        <v>4139</v>
      </c>
    </row>
    <row r="9388" spans="1:6">
      <c r="A9388" t="s">
        <v>13517</v>
      </c>
      <c r="B9388" t="s">
        <v>3230</v>
      </c>
      <c r="C9388" t="s">
        <v>126</v>
      </c>
      <c r="D9388" s="1">
        <v>45789</v>
      </c>
      <c r="E9388" t="s">
        <v>4135</v>
      </c>
      <c r="F9388" t="s">
        <v>4125</v>
      </c>
    </row>
    <row r="9389" spans="1:6">
      <c r="A9389" t="s">
        <v>13518</v>
      </c>
      <c r="B9389" t="s">
        <v>3230</v>
      </c>
      <c r="C9389" t="s">
        <v>126</v>
      </c>
      <c r="D9389" s="1">
        <v>45775</v>
      </c>
      <c r="E9389" t="s">
        <v>4127</v>
      </c>
      <c r="F9389" t="s">
        <v>4137</v>
      </c>
    </row>
    <row r="9390" spans="1:6">
      <c r="A9390" t="s">
        <v>13519</v>
      </c>
      <c r="B9390" t="s">
        <v>3230</v>
      </c>
      <c r="C9390" t="s">
        <v>126</v>
      </c>
      <c r="D9390" s="1">
        <v>45799</v>
      </c>
      <c r="E9390" t="s">
        <v>4129</v>
      </c>
      <c r="F9390" t="s">
        <v>4137</v>
      </c>
    </row>
    <row r="9391" spans="1:6">
      <c r="A9391" t="s">
        <v>13520</v>
      </c>
      <c r="B9391" t="s">
        <v>3231</v>
      </c>
      <c r="C9391" t="s">
        <v>32</v>
      </c>
      <c r="D9391" s="1">
        <v>45686</v>
      </c>
      <c r="E9391" t="s">
        <v>4127</v>
      </c>
      <c r="F9391" t="s">
        <v>4125</v>
      </c>
    </row>
    <row r="9392" spans="1:6">
      <c r="A9392" t="s">
        <v>13521</v>
      </c>
      <c r="B9392" t="s">
        <v>3231</v>
      </c>
      <c r="C9392" t="s">
        <v>32</v>
      </c>
      <c r="D9392" s="1">
        <v>45684</v>
      </c>
      <c r="E9392" t="s">
        <v>4135</v>
      </c>
      <c r="F9392" t="s">
        <v>4137</v>
      </c>
    </row>
    <row r="9393" spans="1:6">
      <c r="A9393" t="s">
        <v>13522</v>
      </c>
      <c r="B9393" t="s">
        <v>3231</v>
      </c>
      <c r="C9393" t="s">
        <v>32</v>
      </c>
      <c r="D9393" s="1">
        <v>45693</v>
      </c>
      <c r="E9393" t="s">
        <v>4135</v>
      </c>
      <c r="F9393" t="s">
        <v>4139</v>
      </c>
    </row>
    <row r="9394" spans="1:6">
      <c r="A9394" t="s">
        <v>13523</v>
      </c>
      <c r="B9394" t="s">
        <v>3231</v>
      </c>
      <c r="C9394" t="s">
        <v>32</v>
      </c>
      <c r="D9394" s="1">
        <v>45696</v>
      </c>
      <c r="E9394" t="s">
        <v>4129</v>
      </c>
      <c r="F9394" t="s">
        <v>4125</v>
      </c>
    </row>
    <row r="9395" spans="1:6">
      <c r="A9395" t="s">
        <v>13524</v>
      </c>
      <c r="B9395" t="s">
        <v>3231</v>
      </c>
      <c r="C9395" t="s">
        <v>32</v>
      </c>
      <c r="D9395" s="1">
        <v>45690</v>
      </c>
      <c r="E9395" t="s">
        <v>4133</v>
      </c>
      <c r="F9395" t="s">
        <v>4139</v>
      </c>
    </row>
    <row r="9396" spans="1:6">
      <c r="A9396" t="s">
        <v>13525</v>
      </c>
      <c r="B9396" t="s">
        <v>3232</v>
      </c>
      <c r="C9396" t="s">
        <v>32</v>
      </c>
      <c r="D9396" s="1">
        <v>45703</v>
      </c>
      <c r="E9396" t="s">
        <v>4135</v>
      </c>
      <c r="F9396" t="s">
        <v>4125</v>
      </c>
    </row>
    <row r="9397" spans="1:6">
      <c r="A9397" t="s">
        <v>13526</v>
      </c>
      <c r="B9397" t="s">
        <v>3232</v>
      </c>
      <c r="C9397" t="s">
        <v>32</v>
      </c>
      <c r="D9397" s="1">
        <v>45751</v>
      </c>
      <c r="E9397" t="s">
        <v>4127</v>
      </c>
      <c r="F9397" t="s">
        <v>4137</v>
      </c>
    </row>
    <row r="9398" spans="1:6">
      <c r="A9398" t="s">
        <v>13527</v>
      </c>
      <c r="B9398" t="s">
        <v>3233</v>
      </c>
      <c r="C9398" t="s">
        <v>50</v>
      </c>
      <c r="D9398" s="1">
        <v>45690</v>
      </c>
      <c r="E9398" t="s">
        <v>4129</v>
      </c>
      <c r="F9398" t="s">
        <v>4125</v>
      </c>
    </row>
    <row r="9399" spans="1:6">
      <c r="A9399" t="s">
        <v>13528</v>
      </c>
      <c r="B9399" t="s">
        <v>3233</v>
      </c>
      <c r="C9399" t="s">
        <v>50</v>
      </c>
      <c r="D9399" s="1">
        <v>45706</v>
      </c>
      <c r="E9399" t="s">
        <v>4124</v>
      </c>
      <c r="F9399" t="s">
        <v>4139</v>
      </c>
    </row>
    <row r="9400" spans="1:6">
      <c r="A9400" t="s">
        <v>13529</v>
      </c>
      <c r="B9400" t="s">
        <v>3234</v>
      </c>
      <c r="C9400" t="s">
        <v>78</v>
      </c>
      <c r="D9400" s="1">
        <v>45843</v>
      </c>
      <c r="E9400" t="s">
        <v>4127</v>
      </c>
      <c r="F9400" t="s">
        <v>4137</v>
      </c>
    </row>
    <row r="9401" spans="1:6">
      <c r="A9401" t="s">
        <v>13530</v>
      </c>
      <c r="B9401" t="s">
        <v>3234</v>
      </c>
      <c r="C9401" t="s">
        <v>78</v>
      </c>
      <c r="D9401" s="1">
        <v>45847</v>
      </c>
      <c r="E9401" t="s">
        <v>4124</v>
      </c>
      <c r="F9401" t="s">
        <v>4139</v>
      </c>
    </row>
    <row r="9402" spans="1:6">
      <c r="A9402" t="s">
        <v>13531</v>
      </c>
      <c r="B9402" t="s">
        <v>3234</v>
      </c>
      <c r="C9402" t="s">
        <v>78</v>
      </c>
      <c r="D9402" s="1">
        <v>45831</v>
      </c>
      <c r="E9402" t="s">
        <v>4129</v>
      </c>
      <c r="F9402" t="s">
        <v>4137</v>
      </c>
    </row>
    <row r="9403" spans="1:6">
      <c r="A9403" t="s">
        <v>13532</v>
      </c>
      <c r="B9403" t="s">
        <v>3234</v>
      </c>
      <c r="C9403" t="s">
        <v>78</v>
      </c>
      <c r="D9403" s="1">
        <v>45849</v>
      </c>
      <c r="E9403" t="s">
        <v>4133</v>
      </c>
      <c r="F9403" t="s">
        <v>4139</v>
      </c>
    </row>
    <row r="9404" spans="1:6">
      <c r="A9404" t="s">
        <v>13533</v>
      </c>
      <c r="B9404" t="s">
        <v>3234</v>
      </c>
      <c r="C9404" t="s">
        <v>78</v>
      </c>
      <c r="D9404" s="1">
        <v>45840</v>
      </c>
      <c r="E9404" t="s">
        <v>4129</v>
      </c>
      <c r="F9404" t="s">
        <v>4139</v>
      </c>
    </row>
    <row r="9405" spans="1:6">
      <c r="A9405" t="s">
        <v>13534</v>
      </c>
      <c r="B9405" t="s">
        <v>3235</v>
      </c>
      <c r="C9405" t="s">
        <v>91</v>
      </c>
      <c r="D9405" s="1">
        <v>45883</v>
      </c>
      <c r="E9405" t="s">
        <v>4133</v>
      </c>
      <c r="F9405" t="s">
        <v>4139</v>
      </c>
    </row>
    <row r="9406" spans="1:6">
      <c r="A9406" t="s">
        <v>13535</v>
      </c>
      <c r="B9406" t="s">
        <v>3235</v>
      </c>
      <c r="C9406" t="s">
        <v>91</v>
      </c>
      <c r="D9406" s="1">
        <v>45885</v>
      </c>
      <c r="E9406" t="s">
        <v>4124</v>
      </c>
      <c r="F9406" t="s">
        <v>4125</v>
      </c>
    </row>
    <row r="9407" spans="1:6">
      <c r="A9407" t="s">
        <v>13536</v>
      </c>
      <c r="B9407" t="s">
        <v>3236</v>
      </c>
      <c r="C9407" t="s">
        <v>78</v>
      </c>
      <c r="D9407" s="1">
        <v>45839</v>
      </c>
      <c r="E9407" t="s">
        <v>4135</v>
      </c>
      <c r="F9407" t="s">
        <v>4139</v>
      </c>
    </row>
    <row r="9408" spans="1:6">
      <c r="A9408" t="s">
        <v>13537</v>
      </c>
      <c r="B9408" t="s">
        <v>3236</v>
      </c>
      <c r="C9408" t="s">
        <v>78</v>
      </c>
      <c r="D9408" s="1">
        <v>45863</v>
      </c>
      <c r="E9408" t="s">
        <v>4129</v>
      </c>
      <c r="F9408" t="s">
        <v>4139</v>
      </c>
    </row>
    <row r="9409" spans="1:6">
      <c r="A9409" t="s">
        <v>13538</v>
      </c>
      <c r="B9409" t="s">
        <v>3236</v>
      </c>
      <c r="C9409" t="s">
        <v>78</v>
      </c>
      <c r="D9409" s="1">
        <v>45846</v>
      </c>
      <c r="E9409" t="s">
        <v>4135</v>
      </c>
      <c r="F9409" t="s">
        <v>4125</v>
      </c>
    </row>
    <row r="9410" spans="1:6">
      <c r="A9410" t="s">
        <v>13539</v>
      </c>
      <c r="B9410" t="s">
        <v>3236</v>
      </c>
      <c r="C9410" t="s">
        <v>78</v>
      </c>
      <c r="D9410" s="1">
        <v>45843</v>
      </c>
      <c r="E9410" t="s">
        <v>4133</v>
      </c>
      <c r="F9410" t="s">
        <v>4125</v>
      </c>
    </row>
    <row r="9411" spans="1:6">
      <c r="A9411" t="s">
        <v>13540</v>
      </c>
      <c r="B9411" t="s">
        <v>3237</v>
      </c>
      <c r="C9411" t="s">
        <v>59</v>
      </c>
      <c r="D9411" s="1">
        <v>45899</v>
      </c>
      <c r="E9411" t="s">
        <v>4127</v>
      </c>
      <c r="F9411" t="s">
        <v>4137</v>
      </c>
    </row>
    <row r="9412" spans="1:6">
      <c r="A9412" t="s">
        <v>13541</v>
      </c>
      <c r="B9412" t="s">
        <v>3237</v>
      </c>
      <c r="C9412" t="s">
        <v>59</v>
      </c>
      <c r="D9412" s="1">
        <v>45910</v>
      </c>
      <c r="E9412" t="s">
        <v>4129</v>
      </c>
      <c r="F9412" t="s">
        <v>4125</v>
      </c>
    </row>
    <row r="9413" spans="1:6">
      <c r="A9413" t="s">
        <v>13542</v>
      </c>
      <c r="B9413" t="s">
        <v>3237</v>
      </c>
      <c r="C9413" t="s">
        <v>59</v>
      </c>
      <c r="D9413" s="1">
        <v>45912</v>
      </c>
      <c r="E9413" t="s">
        <v>4135</v>
      </c>
      <c r="F9413" t="s">
        <v>4137</v>
      </c>
    </row>
    <row r="9414" spans="1:6">
      <c r="A9414" t="s">
        <v>13543</v>
      </c>
      <c r="B9414" t="s">
        <v>3238</v>
      </c>
      <c r="C9414" t="s">
        <v>22</v>
      </c>
      <c r="D9414" s="1">
        <v>45989</v>
      </c>
      <c r="E9414" t="s">
        <v>4135</v>
      </c>
      <c r="F9414" t="s">
        <v>4137</v>
      </c>
    </row>
    <row r="9415" spans="1:6">
      <c r="A9415" t="s">
        <v>13544</v>
      </c>
      <c r="B9415" t="s">
        <v>3238</v>
      </c>
      <c r="C9415" t="s">
        <v>22</v>
      </c>
      <c r="D9415" s="1">
        <v>45964</v>
      </c>
      <c r="E9415" t="s">
        <v>4127</v>
      </c>
      <c r="F9415" t="s">
        <v>4125</v>
      </c>
    </row>
    <row r="9416" spans="1:6">
      <c r="A9416" t="s">
        <v>13545</v>
      </c>
      <c r="B9416" t="s">
        <v>3238</v>
      </c>
      <c r="C9416" t="s">
        <v>22</v>
      </c>
      <c r="D9416" s="1">
        <v>45993</v>
      </c>
      <c r="E9416" t="s">
        <v>4135</v>
      </c>
      <c r="F9416" t="s">
        <v>4137</v>
      </c>
    </row>
    <row r="9417" spans="1:6">
      <c r="A9417" t="s">
        <v>13546</v>
      </c>
      <c r="B9417" t="s">
        <v>3238</v>
      </c>
      <c r="C9417" t="s">
        <v>22</v>
      </c>
      <c r="D9417" s="1">
        <v>45983</v>
      </c>
      <c r="E9417" t="s">
        <v>4129</v>
      </c>
      <c r="F9417" t="s">
        <v>4137</v>
      </c>
    </row>
    <row r="9418" spans="1:6">
      <c r="A9418" t="s">
        <v>13547</v>
      </c>
      <c r="B9418" t="s">
        <v>3238</v>
      </c>
      <c r="C9418" t="s">
        <v>22</v>
      </c>
      <c r="D9418" s="1">
        <v>45981</v>
      </c>
      <c r="E9418" t="s">
        <v>4129</v>
      </c>
      <c r="F9418" t="s">
        <v>4139</v>
      </c>
    </row>
    <row r="9419" spans="1:6">
      <c r="A9419" t="s">
        <v>13548</v>
      </c>
      <c r="B9419" t="s">
        <v>3239</v>
      </c>
      <c r="C9419" t="s">
        <v>22</v>
      </c>
      <c r="D9419" s="1">
        <v>45968</v>
      </c>
      <c r="E9419" t="s">
        <v>4124</v>
      </c>
      <c r="F9419" t="s">
        <v>4137</v>
      </c>
    </row>
    <row r="9420" spans="1:6">
      <c r="A9420" t="s">
        <v>13549</v>
      </c>
      <c r="B9420" t="s">
        <v>3239</v>
      </c>
      <c r="C9420" t="s">
        <v>22</v>
      </c>
      <c r="D9420" s="1">
        <v>45959</v>
      </c>
      <c r="E9420" t="s">
        <v>4129</v>
      </c>
      <c r="F9420" t="s">
        <v>4139</v>
      </c>
    </row>
    <row r="9421" spans="1:6">
      <c r="A9421" t="s">
        <v>13550</v>
      </c>
      <c r="B9421" t="s">
        <v>3239</v>
      </c>
      <c r="C9421" t="s">
        <v>22</v>
      </c>
      <c r="D9421" s="1">
        <v>46003</v>
      </c>
      <c r="E9421" t="s">
        <v>4124</v>
      </c>
      <c r="F9421" t="s">
        <v>4125</v>
      </c>
    </row>
    <row r="9422" spans="1:6">
      <c r="A9422" t="s">
        <v>13551</v>
      </c>
      <c r="B9422" t="s">
        <v>3240</v>
      </c>
      <c r="C9422" t="s">
        <v>40</v>
      </c>
      <c r="D9422" s="1">
        <v>45912</v>
      </c>
      <c r="E9422" t="s">
        <v>4133</v>
      </c>
      <c r="F9422" t="s">
        <v>4137</v>
      </c>
    </row>
    <row r="9423" spans="1:6">
      <c r="A9423" t="s">
        <v>13552</v>
      </c>
      <c r="B9423" t="s">
        <v>3240</v>
      </c>
      <c r="C9423" t="s">
        <v>40</v>
      </c>
      <c r="D9423" s="1">
        <v>45902</v>
      </c>
      <c r="E9423" t="s">
        <v>4133</v>
      </c>
      <c r="F9423" t="s">
        <v>4139</v>
      </c>
    </row>
    <row r="9424" spans="1:6">
      <c r="A9424" t="s">
        <v>13553</v>
      </c>
      <c r="B9424" t="s">
        <v>3240</v>
      </c>
      <c r="C9424" t="s">
        <v>40</v>
      </c>
      <c r="D9424" s="1">
        <v>45923</v>
      </c>
      <c r="E9424" t="s">
        <v>4124</v>
      </c>
      <c r="F9424" t="s">
        <v>4137</v>
      </c>
    </row>
    <row r="9425" spans="1:6">
      <c r="A9425" t="s">
        <v>13554</v>
      </c>
      <c r="B9425" t="s">
        <v>3241</v>
      </c>
      <c r="C9425" t="s">
        <v>36</v>
      </c>
      <c r="D9425" s="1">
        <v>45957</v>
      </c>
      <c r="E9425" t="s">
        <v>4135</v>
      </c>
      <c r="F9425" t="s">
        <v>4137</v>
      </c>
    </row>
    <row r="9426" spans="1:6">
      <c r="A9426" t="s">
        <v>13555</v>
      </c>
      <c r="B9426" t="s">
        <v>3241</v>
      </c>
      <c r="C9426" t="s">
        <v>36</v>
      </c>
      <c r="D9426" s="1">
        <v>45975</v>
      </c>
      <c r="E9426" t="s">
        <v>4124</v>
      </c>
      <c r="F9426" t="s">
        <v>4125</v>
      </c>
    </row>
    <row r="9427" spans="1:6">
      <c r="A9427" t="s">
        <v>13556</v>
      </c>
      <c r="B9427" t="s">
        <v>3241</v>
      </c>
      <c r="C9427" t="s">
        <v>36</v>
      </c>
      <c r="D9427" s="1">
        <v>45977</v>
      </c>
      <c r="E9427" t="s">
        <v>4135</v>
      </c>
      <c r="F9427" t="s">
        <v>4125</v>
      </c>
    </row>
    <row r="9428" spans="1:6">
      <c r="A9428" t="s">
        <v>13557</v>
      </c>
      <c r="B9428" t="s">
        <v>3241</v>
      </c>
      <c r="C9428" t="s">
        <v>36</v>
      </c>
      <c r="D9428" s="1">
        <v>45956</v>
      </c>
      <c r="E9428" t="s">
        <v>4135</v>
      </c>
      <c r="F9428" t="s">
        <v>4137</v>
      </c>
    </row>
    <row r="9429" spans="1:6">
      <c r="A9429" t="s">
        <v>13558</v>
      </c>
      <c r="B9429" t="s">
        <v>3242</v>
      </c>
      <c r="C9429" t="s">
        <v>119</v>
      </c>
      <c r="D9429" s="1">
        <v>45806</v>
      </c>
      <c r="E9429" t="s">
        <v>4127</v>
      </c>
      <c r="F9429" t="s">
        <v>4125</v>
      </c>
    </row>
    <row r="9430" spans="1:6">
      <c r="A9430" t="s">
        <v>13559</v>
      </c>
      <c r="B9430" t="s">
        <v>3242</v>
      </c>
      <c r="C9430" t="s">
        <v>119</v>
      </c>
      <c r="D9430" s="1">
        <v>45799</v>
      </c>
      <c r="E9430" t="s">
        <v>4133</v>
      </c>
      <c r="F9430" t="s">
        <v>4125</v>
      </c>
    </row>
    <row r="9431" spans="1:6">
      <c r="A9431" t="s">
        <v>13560</v>
      </c>
      <c r="B9431" t="s">
        <v>3243</v>
      </c>
      <c r="C9431" t="s">
        <v>59</v>
      </c>
      <c r="D9431" s="1">
        <v>45700</v>
      </c>
      <c r="E9431" t="s">
        <v>4133</v>
      </c>
      <c r="F9431" t="s">
        <v>4125</v>
      </c>
    </row>
    <row r="9432" spans="1:6">
      <c r="A9432" t="s">
        <v>13561</v>
      </c>
      <c r="B9432" t="s">
        <v>3243</v>
      </c>
      <c r="C9432" t="s">
        <v>59</v>
      </c>
      <c r="D9432" s="1">
        <v>45699</v>
      </c>
      <c r="E9432" t="s">
        <v>4135</v>
      </c>
      <c r="F9432" t="s">
        <v>4137</v>
      </c>
    </row>
    <row r="9433" spans="1:6">
      <c r="A9433" t="s">
        <v>13562</v>
      </c>
      <c r="B9433" t="s">
        <v>3244</v>
      </c>
      <c r="C9433" t="s">
        <v>32</v>
      </c>
      <c r="D9433" s="1">
        <v>45756</v>
      </c>
      <c r="E9433" t="s">
        <v>4129</v>
      </c>
      <c r="F9433" t="s">
        <v>4137</v>
      </c>
    </row>
    <row r="9434" spans="1:6">
      <c r="A9434" t="s">
        <v>13563</v>
      </c>
      <c r="B9434" t="s">
        <v>3244</v>
      </c>
      <c r="C9434" t="s">
        <v>32</v>
      </c>
      <c r="D9434" s="1">
        <v>45741</v>
      </c>
      <c r="E9434" t="s">
        <v>4124</v>
      </c>
      <c r="F9434" t="s">
        <v>4137</v>
      </c>
    </row>
    <row r="9435" spans="1:6">
      <c r="A9435" t="s">
        <v>13564</v>
      </c>
      <c r="B9435" t="s">
        <v>3244</v>
      </c>
      <c r="C9435" t="s">
        <v>32</v>
      </c>
      <c r="D9435" s="1">
        <v>45747</v>
      </c>
      <c r="E9435" t="s">
        <v>4135</v>
      </c>
      <c r="F9435" t="s">
        <v>4125</v>
      </c>
    </row>
    <row r="9436" spans="1:6">
      <c r="A9436" t="s">
        <v>13565</v>
      </c>
      <c r="B9436" t="s">
        <v>3244</v>
      </c>
      <c r="C9436" t="s">
        <v>32</v>
      </c>
      <c r="D9436" s="1">
        <v>45778</v>
      </c>
      <c r="E9436" t="s">
        <v>4124</v>
      </c>
      <c r="F9436" t="s">
        <v>4139</v>
      </c>
    </row>
    <row r="9437" spans="1:6">
      <c r="A9437" t="s">
        <v>13566</v>
      </c>
      <c r="B9437" t="s">
        <v>3244</v>
      </c>
      <c r="C9437" t="s">
        <v>32</v>
      </c>
      <c r="D9437" s="1">
        <v>45744</v>
      </c>
      <c r="E9437" t="s">
        <v>4135</v>
      </c>
      <c r="F9437" t="s">
        <v>4139</v>
      </c>
    </row>
    <row r="9438" spans="1:6">
      <c r="A9438" t="s">
        <v>13567</v>
      </c>
      <c r="B9438" t="s">
        <v>3245</v>
      </c>
      <c r="C9438" t="s">
        <v>152</v>
      </c>
      <c r="D9438" s="1">
        <v>45788</v>
      </c>
      <c r="E9438" t="s">
        <v>4124</v>
      </c>
      <c r="F9438" t="s">
        <v>4137</v>
      </c>
    </row>
    <row r="9439" spans="1:6">
      <c r="A9439" t="s">
        <v>13568</v>
      </c>
      <c r="B9439" t="s">
        <v>3245</v>
      </c>
      <c r="C9439" t="s">
        <v>152</v>
      </c>
      <c r="D9439" s="1">
        <v>45784</v>
      </c>
      <c r="E9439" t="s">
        <v>4133</v>
      </c>
      <c r="F9439" t="s">
        <v>4139</v>
      </c>
    </row>
    <row r="9440" spans="1:6">
      <c r="A9440" t="s">
        <v>13569</v>
      </c>
      <c r="B9440" t="s">
        <v>3245</v>
      </c>
      <c r="C9440" t="s">
        <v>152</v>
      </c>
      <c r="D9440" s="1">
        <v>45790</v>
      </c>
      <c r="E9440" t="s">
        <v>4124</v>
      </c>
      <c r="F9440" t="s">
        <v>4137</v>
      </c>
    </row>
    <row r="9441" spans="1:6">
      <c r="A9441" t="s">
        <v>13570</v>
      </c>
      <c r="B9441" t="s">
        <v>3246</v>
      </c>
      <c r="C9441" t="s">
        <v>53</v>
      </c>
      <c r="D9441" s="1">
        <v>45888</v>
      </c>
      <c r="E9441" t="s">
        <v>4135</v>
      </c>
      <c r="F9441" t="s">
        <v>4125</v>
      </c>
    </row>
    <row r="9442" spans="1:6">
      <c r="A9442" t="s">
        <v>13571</v>
      </c>
      <c r="B9442" t="s">
        <v>3246</v>
      </c>
      <c r="C9442" t="s">
        <v>53</v>
      </c>
      <c r="D9442" s="1">
        <v>45901</v>
      </c>
      <c r="E9442" t="s">
        <v>4124</v>
      </c>
      <c r="F9442" t="s">
        <v>4125</v>
      </c>
    </row>
    <row r="9443" spans="1:6">
      <c r="A9443" t="s">
        <v>13572</v>
      </c>
      <c r="B9443" t="s">
        <v>3247</v>
      </c>
      <c r="C9443" t="s">
        <v>91</v>
      </c>
      <c r="D9443" s="1">
        <v>45910</v>
      </c>
      <c r="E9443" t="s">
        <v>4133</v>
      </c>
      <c r="F9443" t="s">
        <v>4125</v>
      </c>
    </row>
    <row r="9444" spans="1:6">
      <c r="A9444" t="s">
        <v>13573</v>
      </c>
      <c r="B9444" t="s">
        <v>3247</v>
      </c>
      <c r="C9444" t="s">
        <v>91</v>
      </c>
      <c r="D9444" s="1">
        <v>45897</v>
      </c>
      <c r="E9444" t="s">
        <v>4129</v>
      </c>
      <c r="F9444" t="s">
        <v>4139</v>
      </c>
    </row>
    <row r="9445" spans="1:6">
      <c r="A9445" t="s">
        <v>13574</v>
      </c>
      <c r="B9445" t="s">
        <v>3247</v>
      </c>
      <c r="C9445" t="s">
        <v>91</v>
      </c>
      <c r="D9445" s="1">
        <v>45901</v>
      </c>
      <c r="E9445" t="s">
        <v>4135</v>
      </c>
      <c r="F9445" t="s">
        <v>4125</v>
      </c>
    </row>
    <row r="9446" spans="1:6">
      <c r="A9446" t="s">
        <v>13575</v>
      </c>
      <c r="B9446" t="s">
        <v>3247</v>
      </c>
      <c r="C9446" t="s">
        <v>91</v>
      </c>
      <c r="D9446" s="1">
        <v>45895</v>
      </c>
      <c r="E9446" t="s">
        <v>4124</v>
      </c>
      <c r="F9446" t="s">
        <v>4139</v>
      </c>
    </row>
    <row r="9447" spans="1:6">
      <c r="A9447" t="s">
        <v>13576</v>
      </c>
      <c r="B9447" t="s">
        <v>3248</v>
      </c>
      <c r="C9447" t="s">
        <v>119</v>
      </c>
      <c r="D9447" s="1">
        <v>45719</v>
      </c>
      <c r="E9447" t="s">
        <v>4124</v>
      </c>
      <c r="F9447" t="s">
        <v>4139</v>
      </c>
    </row>
    <row r="9448" spans="1:6">
      <c r="A9448" t="s">
        <v>13577</v>
      </c>
      <c r="B9448" t="s">
        <v>3248</v>
      </c>
      <c r="C9448" t="s">
        <v>119</v>
      </c>
      <c r="D9448" s="1">
        <v>45731</v>
      </c>
      <c r="E9448" t="s">
        <v>4129</v>
      </c>
      <c r="F9448" t="s">
        <v>4125</v>
      </c>
    </row>
    <row r="9449" spans="1:6">
      <c r="A9449" t="s">
        <v>13578</v>
      </c>
      <c r="B9449" t="s">
        <v>3248</v>
      </c>
      <c r="C9449" t="s">
        <v>119</v>
      </c>
      <c r="D9449" s="1">
        <v>45734</v>
      </c>
      <c r="E9449" t="s">
        <v>4127</v>
      </c>
      <c r="F9449" t="s">
        <v>4139</v>
      </c>
    </row>
    <row r="9450" spans="1:6">
      <c r="A9450" t="s">
        <v>13579</v>
      </c>
      <c r="B9450" t="s">
        <v>3248</v>
      </c>
      <c r="C9450" t="s">
        <v>119</v>
      </c>
      <c r="D9450" s="1">
        <v>45730</v>
      </c>
      <c r="E9450" t="s">
        <v>4124</v>
      </c>
      <c r="F9450" t="s">
        <v>4125</v>
      </c>
    </row>
    <row r="9451" spans="1:6">
      <c r="A9451" t="s">
        <v>13580</v>
      </c>
      <c r="B9451" t="s">
        <v>3249</v>
      </c>
      <c r="C9451" t="s">
        <v>16</v>
      </c>
      <c r="D9451" s="1">
        <v>45890</v>
      </c>
      <c r="E9451" t="s">
        <v>4133</v>
      </c>
      <c r="F9451" t="s">
        <v>4125</v>
      </c>
    </row>
    <row r="9452" spans="1:6">
      <c r="A9452" t="s">
        <v>13581</v>
      </c>
      <c r="B9452" t="s">
        <v>3249</v>
      </c>
      <c r="C9452" t="s">
        <v>16</v>
      </c>
      <c r="D9452" s="1">
        <v>45862</v>
      </c>
      <c r="E9452" t="s">
        <v>4135</v>
      </c>
      <c r="F9452" t="s">
        <v>4139</v>
      </c>
    </row>
    <row r="9453" spans="1:6">
      <c r="A9453" t="s">
        <v>13582</v>
      </c>
      <c r="B9453" t="s">
        <v>3249</v>
      </c>
      <c r="C9453" t="s">
        <v>16</v>
      </c>
      <c r="D9453" s="1">
        <v>45887</v>
      </c>
      <c r="E9453" t="s">
        <v>4127</v>
      </c>
      <c r="F9453" t="s">
        <v>4137</v>
      </c>
    </row>
    <row r="9454" spans="1:6">
      <c r="A9454" t="s">
        <v>13583</v>
      </c>
      <c r="B9454" t="s">
        <v>3249</v>
      </c>
      <c r="C9454" t="s">
        <v>16</v>
      </c>
      <c r="D9454" s="1">
        <v>45912</v>
      </c>
      <c r="E9454" t="s">
        <v>4129</v>
      </c>
      <c r="F9454" t="s">
        <v>4137</v>
      </c>
    </row>
    <row r="9455" spans="1:6">
      <c r="A9455" t="s">
        <v>13584</v>
      </c>
      <c r="B9455" t="s">
        <v>3249</v>
      </c>
      <c r="C9455" t="s">
        <v>16</v>
      </c>
      <c r="D9455" s="1">
        <v>45852</v>
      </c>
      <c r="E9455" t="s">
        <v>4127</v>
      </c>
      <c r="F9455" t="s">
        <v>4139</v>
      </c>
    </row>
    <row r="9456" spans="1:6">
      <c r="A9456" t="s">
        <v>13585</v>
      </c>
      <c r="B9456" t="s">
        <v>3250</v>
      </c>
      <c r="C9456" t="s">
        <v>27</v>
      </c>
      <c r="D9456" s="1">
        <v>45804</v>
      </c>
      <c r="E9456" t="s">
        <v>4124</v>
      </c>
      <c r="F9456" t="s">
        <v>4139</v>
      </c>
    </row>
    <row r="9457" spans="1:6">
      <c r="A9457" t="s">
        <v>13586</v>
      </c>
      <c r="B9457" t="s">
        <v>3250</v>
      </c>
      <c r="C9457" t="s">
        <v>27</v>
      </c>
      <c r="D9457" s="1">
        <v>45802</v>
      </c>
      <c r="E9457" t="s">
        <v>4124</v>
      </c>
      <c r="F9457" t="s">
        <v>4137</v>
      </c>
    </row>
    <row r="9458" spans="1:6">
      <c r="A9458" t="s">
        <v>13587</v>
      </c>
      <c r="B9458" t="s">
        <v>3250</v>
      </c>
      <c r="C9458" t="s">
        <v>27</v>
      </c>
      <c r="D9458" s="1">
        <v>45825</v>
      </c>
      <c r="E9458" t="s">
        <v>4127</v>
      </c>
      <c r="F9458" t="s">
        <v>4125</v>
      </c>
    </row>
    <row r="9459" spans="1:6">
      <c r="A9459" t="s">
        <v>13588</v>
      </c>
      <c r="B9459" t="s">
        <v>3250</v>
      </c>
      <c r="C9459" t="s">
        <v>27</v>
      </c>
      <c r="D9459" s="1">
        <v>45812</v>
      </c>
      <c r="E9459" t="s">
        <v>4135</v>
      </c>
      <c r="F9459" t="s">
        <v>4139</v>
      </c>
    </row>
    <row r="9460" spans="1:6">
      <c r="A9460" t="s">
        <v>13589</v>
      </c>
      <c r="B9460" t="s">
        <v>3250</v>
      </c>
      <c r="C9460" t="s">
        <v>27</v>
      </c>
      <c r="D9460" s="1">
        <v>45804</v>
      </c>
      <c r="E9460" t="s">
        <v>4133</v>
      </c>
      <c r="F9460" t="s">
        <v>4139</v>
      </c>
    </row>
    <row r="9461" spans="1:6">
      <c r="A9461" t="s">
        <v>13590</v>
      </c>
      <c r="B9461" t="s">
        <v>3251</v>
      </c>
      <c r="C9461" t="s">
        <v>126</v>
      </c>
      <c r="D9461" s="1">
        <v>46002</v>
      </c>
      <c r="E9461" t="s">
        <v>4127</v>
      </c>
      <c r="F9461" t="s">
        <v>4137</v>
      </c>
    </row>
    <row r="9462" spans="1:6">
      <c r="A9462" t="s">
        <v>13591</v>
      </c>
      <c r="B9462" t="s">
        <v>3251</v>
      </c>
      <c r="C9462" t="s">
        <v>126</v>
      </c>
      <c r="D9462" s="1">
        <v>46001</v>
      </c>
      <c r="E9462" t="s">
        <v>4133</v>
      </c>
      <c r="F9462" t="s">
        <v>4137</v>
      </c>
    </row>
    <row r="9463" spans="1:6">
      <c r="A9463" t="s">
        <v>13592</v>
      </c>
      <c r="B9463" t="s">
        <v>3252</v>
      </c>
      <c r="C9463" t="s">
        <v>53</v>
      </c>
      <c r="D9463" s="1">
        <v>46012</v>
      </c>
      <c r="E9463" t="s">
        <v>4135</v>
      </c>
      <c r="F9463" t="s">
        <v>4139</v>
      </c>
    </row>
    <row r="9464" spans="1:6">
      <c r="A9464" t="s">
        <v>13593</v>
      </c>
      <c r="B9464" t="s">
        <v>3252</v>
      </c>
      <c r="C9464" t="s">
        <v>53</v>
      </c>
      <c r="D9464" s="1">
        <v>46001</v>
      </c>
      <c r="E9464" t="s">
        <v>4124</v>
      </c>
      <c r="F9464" t="s">
        <v>4139</v>
      </c>
    </row>
    <row r="9465" spans="1:6">
      <c r="A9465" t="s">
        <v>13594</v>
      </c>
      <c r="B9465" t="s">
        <v>3253</v>
      </c>
      <c r="C9465" t="s">
        <v>40</v>
      </c>
      <c r="D9465" s="1">
        <v>45807</v>
      </c>
      <c r="E9465" t="s">
        <v>4127</v>
      </c>
      <c r="F9465" t="s">
        <v>4139</v>
      </c>
    </row>
    <row r="9466" spans="1:6">
      <c r="A9466" t="s">
        <v>13595</v>
      </c>
      <c r="B9466" t="s">
        <v>3253</v>
      </c>
      <c r="C9466" t="s">
        <v>40</v>
      </c>
      <c r="D9466" s="1">
        <v>45768</v>
      </c>
      <c r="E9466" t="s">
        <v>4124</v>
      </c>
      <c r="F9466" t="s">
        <v>4139</v>
      </c>
    </row>
    <row r="9467" spans="1:6">
      <c r="A9467" t="s">
        <v>13596</v>
      </c>
      <c r="B9467" t="s">
        <v>3253</v>
      </c>
      <c r="C9467" t="s">
        <v>40</v>
      </c>
      <c r="D9467" s="1">
        <v>45802</v>
      </c>
      <c r="E9467" t="s">
        <v>4133</v>
      </c>
      <c r="F9467" t="s">
        <v>4137</v>
      </c>
    </row>
    <row r="9468" spans="1:6">
      <c r="A9468" t="s">
        <v>13597</v>
      </c>
      <c r="B9468" t="s">
        <v>3254</v>
      </c>
      <c r="C9468" t="s">
        <v>91</v>
      </c>
      <c r="D9468" s="1">
        <v>45801</v>
      </c>
      <c r="E9468" t="s">
        <v>4127</v>
      </c>
      <c r="F9468" t="s">
        <v>4139</v>
      </c>
    </row>
    <row r="9469" spans="1:6">
      <c r="A9469" t="s">
        <v>13598</v>
      </c>
      <c r="B9469" t="s">
        <v>3254</v>
      </c>
      <c r="C9469" t="s">
        <v>91</v>
      </c>
      <c r="D9469" s="1">
        <v>45806</v>
      </c>
      <c r="E9469" t="s">
        <v>4124</v>
      </c>
      <c r="F9469" t="s">
        <v>4125</v>
      </c>
    </row>
    <row r="9470" spans="1:6">
      <c r="A9470" t="s">
        <v>13599</v>
      </c>
      <c r="B9470" t="s">
        <v>3254</v>
      </c>
      <c r="C9470" t="s">
        <v>91</v>
      </c>
      <c r="D9470" s="1">
        <v>45795</v>
      </c>
      <c r="E9470" t="s">
        <v>4135</v>
      </c>
      <c r="F9470" t="s">
        <v>4139</v>
      </c>
    </row>
    <row r="9471" spans="1:6">
      <c r="A9471" t="s">
        <v>13600</v>
      </c>
      <c r="B9471" t="s">
        <v>3255</v>
      </c>
      <c r="C9471" t="s">
        <v>78</v>
      </c>
      <c r="D9471" s="1">
        <v>46014</v>
      </c>
      <c r="E9471" t="s">
        <v>4127</v>
      </c>
      <c r="F9471" t="s">
        <v>4137</v>
      </c>
    </row>
    <row r="9472" spans="1:6">
      <c r="A9472" t="s">
        <v>13601</v>
      </c>
      <c r="B9472" t="s">
        <v>3255</v>
      </c>
      <c r="C9472" t="s">
        <v>78</v>
      </c>
      <c r="D9472" s="1">
        <v>46007</v>
      </c>
      <c r="E9472" t="s">
        <v>4133</v>
      </c>
      <c r="F9472" t="s">
        <v>4125</v>
      </c>
    </row>
    <row r="9473" spans="1:6">
      <c r="A9473" t="s">
        <v>13602</v>
      </c>
      <c r="B9473" t="s">
        <v>3255</v>
      </c>
      <c r="C9473" t="s">
        <v>78</v>
      </c>
      <c r="D9473" s="1">
        <v>46020</v>
      </c>
      <c r="E9473" t="s">
        <v>4124</v>
      </c>
      <c r="F9473" t="s">
        <v>4125</v>
      </c>
    </row>
    <row r="9474" spans="1:6">
      <c r="A9474" t="s">
        <v>13603</v>
      </c>
      <c r="B9474" t="s">
        <v>3256</v>
      </c>
      <c r="C9474" t="s">
        <v>70</v>
      </c>
      <c r="D9474" s="1">
        <v>45971</v>
      </c>
      <c r="E9474" t="s">
        <v>4133</v>
      </c>
      <c r="F9474" t="s">
        <v>4137</v>
      </c>
    </row>
    <row r="9475" spans="1:6">
      <c r="A9475" t="s">
        <v>13604</v>
      </c>
      <c r="B9475" t="s">
        <v>3256</v>
      </c>
      <c r="C9475" t="s">
        <v>70</v>
      </c>
      <c r="D9475" s="1">
        <v>45987</v>
      </c>
      <c r="E9475" t="s">
        <v>4135</v>
      </c>
      <c r="F9475" t="s">
        <v>4125</v>
      </c>
    </row>
    <row r="9476" spans="1:6">
      <c r="A9476" t="s">
        <v>13605</v>
      </c>
      <c r="B9476" t="s">
        <v>3256</v>
      </c>
      <c r="C9476" t="s">
        <v>70</v>
      </c>
      <c r="D9476" s="1">
        <v>45999</v>
      </c>
      <c r="E9476" t="s">
        <v>4127</v>
      </c>
      <c r="F9476" t="s">
        <v>4139</v>
      </c>
    </row>
    <row r="9477" spans="1:6">
      <c r="A9477" t="s">
        <v>13606</v>
      </c>
      <c r="B9477" t="s">
        <v>3256</v>
      </c>
      <c r="C9477" t="s">
        <v>70</v>
      </c>
      <c r="D9477" s="1">
        <v>45971</v>
      </c>
      <c r="E9477" t="s">
        <v>4135</v>
      </c>
      <c r="F9477" t="s">
        <v>4125</v>
      </c>
    </row>
    <row r="9478" spans="1:6">
      <c r="A9478" t="s">
        <v>13607</v>
      </c>
      <c r="B9478" t="s">
        <v>3257</v>
      </c>
      <c r="C9478" t="s">
        <v>53</v>
      </c>
      <c r="D9478" s="1">
        <v>45772</v>
      </c>
      <c r="E9478" t="s">
        <v>4127</v>
      </c>
      <c r="F9478" t="s">
        <v>4137</v>
      </c>
    </row>
    <row r="9479" spans="1:6">
      <c r="A9479" t="s">
        <v>13608</v>
      </c>
      <c r="B9479" t="s">
        <v>3257</v>
      </c>
      <c r="C9479" t="s">
        <v>53</v>
      </c>
      <c r="D9479" s="1">
        <v>45787</v>
      </c>
      <c r="E9479" t="s">
        <v>4135</v>
      </c>
      <c r="F9479" t="s">
        <v>4137</v>
      </c>
    </row>
    <row r="9480" spans="1:6">
      <c r="A9480" t="s">
        <v>13609</v>
      </c>
      <c r="B9480" t="s">
        <v>3257</v>
      </c>
      <c r="C9480" t="s">
        <v>53</v>
      </c>
      <c r="D9480" s="1">
        <v>45815</v>
      </c>
      <c r="E9480" t="s">
        <v>4133</v>
      </c>
      <c r="F9480" t="s">
        <v>4137</v>
      </c>
    </row>
    <row r="9481" spans="1:6">
      <c r="A9481" t="s">
        <v>13610</v>
      </c>
      <c r="B9481" t="s">
        <v>3257</v>
      </c>
      <c r="C9481" t="s">
        <v>53</v>
      </c>
      <c r="D9481" s="1">
        <v>45814</v>
      </c>
      <c r="E9481" t="s">
        <v>4135</v>
      </c>
      <c r="F9481" t="s">
        <v>4137</v>
      </c>
    </row>
    <row r="9482" spans="1:6">
      <c r="A9482" t="s">
        <v>13611</v>
      </c>
      <c r="B9482" t="s">
        <v>3257</v>
      </c>
      <c r="C9482" t="s">
        <v>53</v>
      </c>
      <c r="D9482" s="1">
        <v>45802</v>
      </c>
      <c r="E9482" t="s">
        <v>4133</v>
      </c>
      <c r="F9482" t="s">
        <v>4139</v>
      </c>
    </row>
    <row r="9483" spans="1:6">
      <c r="A9483" t="s">
        <v>13612</v>
      </c>
      <c r="B9483" t="s">
        <v>3258</v>
      </c>
      <c r="C9483" t="s">
        <v>91</v>
      </c>
      <c r="D9483" s="1">
        <v>45918</v>
      </c>
      <c r="E9483" t="s">
        <v>4124</v>
      </c>
      <c r="F9483" t="s">
        <v>4125</v>
      </c>
    </row>
    <row r="9484" spans="1:6">
      <c r="A9484" t="s">
        <v>13613</v>
      </c>
      <c r="B9484" t="s">
        <v>3258</v>
      </c>
      <c r="C9484" t="s">
        <v>91</v>
      </c>
      <c r="D9484" s="1">
        <v>45981</v>
      </c>
      <c r="E9484" t="s">
        <v>4127</v>
      </c>
      <c r="F9484" t="s">
        <v>4139</v>
      </c>
    </row>
    <row r="9485" spans="1:6">
      <c r="A9485" t="s">
        <v>13614</v>
      </c>
      <c r="B9485" t="s">
        <v>3258</v>
      </c>
      <c r="C9485" t="s">
        <v>91</v>
      </c>
      <c r="D9485" s="1">
        <v>45989</v>
      </c>
      <c r="E9485" t="s">
        <v>4124</v>
      </c>
      <c r="F9485" t="s">
        <v>4125</v>
      </c>
    </row>
    <row r="9486" spans="1:6">
      <c r="A9486" t="s">
        <v>13615</v>
      </c>
      <c r="B9486" t="s">
        <v>3259</v>
      </c>
      <c r="C9486" t="s">
        <v>75</v>
      </c>
      <c r="D9486" s="1">
        <v>45967</v>
      </c>
      <c r="E9486" t="s">
        <v>4129</v>
      </c>
      <c r="F9486" t="s">
        <v>4139</v>
      </c>
    </row>
    <row r="9487" spans="1:6">
      <c r="A9487" t="s">
        <v>13616</v>
      </c>
      <c r="B9487" t="s">
        <v>3259</v>
      </c>
      <c r="C9487" t="s">
        <v>75</v>
      </c>
      <c r="D9487" s="1">
        <v>45964</v>
      </c>
      <c r="E9487" t="s">
        <v>4129</v>
      </c>
      <c r="F9487" t="s">
        <v>4139</v>
      </c>
    </row>
    <row r="9488" spans="1:6">
      <c r="A9488" t="s">
        <v>13617</v>
      </c>
      <c r="B9488" t="s">
        <v>3259</v>
      </c>
      <c r="C9488" t="s">
        <v>75</v>
      </c>
      <c r="D9488" s="1">
        <v>45982</v>
      </c>
      <c r="E9488" t="s">
        <v>4124</v>
      </c>
      <c r="F9488" t="s">
        <v>4137</v>
      </c>
    </row>
    <row r="9489" spans="1:6">
      <c r="A9489" t="s">
        <v>13618</v>
      </c>
      <c r="B9489" t="s">
        <v>3259</v>
      </c>
      <c r="C9489" t="s">
        <v>75</v>
      </c>
      <c r="D9489" s="1">
        <v>45979</v>
      </c>
      <c r="E9489" t="s">
        <v>4124</v>
      </c>
      <c r="F9489" t="s">
        <v>4137</v>
      </c>
    </row>
    <row r="9490" spans="1:6">
      <c r="A9490" t="s">
        <v>13619</v>
      </c>
      <c r="B9490" t="s">
        <v>3259</v>
      </c>
      <c r="C9490" t="s">
        <v>75</v>
      </c>
      <c r="D9490" s="1">
        <v>45985</v>
      </c>
      <c r="E9490" t="s">
        <v>4129</v>
      </c>
      <c r="F9490" t="s">
        <v>4137</v>
      </c>
    </row>
    <row r="9491" spans="1:6">
      <c r="A9491" t="s">
        <v>13620</v>
      </c>
      <c r="B9491" t="s">
        <v>3260</v>
      </c>
      <c r="C9491" t="s">
        <v>59</v>
      </c>
      <c r="D9491" s="1">
        <v>45797</v>
      </c>
      <c r="E9491" t="s">
        <v>4133</v>
      </c>
      <c r="F9491" t="s">
        <v>4137</v>
      </c>
    </row>
    <row r="9492" spans="1:6">
      <c r="A9492" t="s">
        <v>13621</v>
      </c>
      <c r="B9492" t="s">
        <v>3260</v>
      </c>
      <c r="C9492" t="s">
        <v>59</v>
      </c>
      <c r="D9492" s="1">
        <v>45800</v>
      </c>
      <c r="E9492" t="s">
        <v>4127</v>
      </c>
      <c r="F9492" t="s">
        <v>4139</v>
      </c>
    </row>
    <row r="9493" spans="1:6">
      <c r="A9493" t="s">
        <v>13622</v>
      </c>
      <c r="B9493" t="s">
        <v>3260</v>
      </c>
      <c r="C9493" t="s">
        <v>59</v>
      </c>
      <c r="D9493" s="1">
        <v>45798</v>
      </c>
      <c r="E9493" t="s">
        <v>4124</v>
      </c>
      <c r="F9493" t="s">
        <v>4139</v>
      </c>
    </row>
    <row r="9494" spans="1:6">
      <c r="A9494" t="s">
        <v>13623</v>
      </c>
      <c r="B9494" t="s">
        <v>3260</v>
      </c>
      <c r="C9494" t="s">
        <v>59</v>
      </c>
      <c r="D9494" s="1">
        <v>45803</v>
      </c>
      <c r="E9494" t="s">
        <v>4133</v>
      </c>
      <c r="F9494" t="s">
        <v>4137</v>
      </c>
    </row>
    <row r="9495" spans="1:6">
      <c r="A9495" t="s">
        <v>13624</v>
      </c>
      <c r="B9495" t="s">
        <v>3261</v>
      </c>
      <c r="C9495" t="s">
        <v>119</v>
      </c>
      <c r="D9495" s="1">
        <v>45840</v>
      </c>
      <c r="E9495" t="s">
        <v>4127</v>
      </c>
      <c r="F9495" t="s">
        <v>4137</v>
      </c>
    </row>
    <row r="9496" spans="1:6">
      <c r="A9496" t="s">
        <v>13625</v>
      </c>
      <c r="B9496" t="s">
        <v>3261</v>
      </c>
      <c r="C9496" t="s">
        <v>119</v>
      </c>
      <c r="D9496" s="1">
        <v>45853</v>
      </c>
      <c r="E9496" t="s">
        <v>4124</v>
      </c>
      <c r="F9496" t="s">
        <v>4125</v>
      </c>
    </row>
    <row r="9497" spans="1:6">
      <c r="A9497" t="s">
        <v>13626</v>
      </c>
      <c r="B9497" t="s">
        <v>3261</v>
      </c>
      <c r="C9497" t="s">
        <v>119</v>
      </c>
      <c r="D9497" s="1">
        <v>45877</v>
      </c>
      <c r="E9497" t="s">
        <v>4133</v>
      </c>
      <c r="F9497" t="s">
        <v>4125</v>
      </c>
    </row>
    <row r="9498" spans="1:6">
      <c r="A9498" t="s">
        <v>13627</v>
      </c>
      <c r="B9498" t="s">
        <v>3261</v>
      </c>
      <c r="C9498" t="s">
        <v>119</v>
      </c>
      <c r="D9498" s="1">
        <v>45834</v>
      </c>
      <c r="E9498" t="s">
        <v>4133</v>
      </c>
      <c r="F9498" t="s">
        <v>4137</v>
      </c>
    </row>
    <row r="9499" spans="1:6">
      <c r="A9499" t="s">
        <v>13628</v>
      </c>
      <c r="B9499" t="s">
        <v>3261</v>
      </c>
      <c r="C9499" t="s">
        <v>119</v>
      </c>
      <c r="D9499" s="1">
        <v>45813</v>
      </c>
      <c r="E9499" t="s">
        <v>4127</v>
      </c>
      <c r="F9499" t="s">
        <v>4125</v>
      </c>
    </row>
    <row r="9500" spans="1:6">
      <c r="A9500" t="s">
        <v>13629</v>
      </c>
      <c r="B9500" t="s">
        <v>3262</v>
      </c>
      <c r="C9500" t="s">
        <v>56</v>
      </c>
      <c r="D9500" s="1">
        <v>45870</v>
      </c>
      <c r="E9500" t="s">
        <v>4129</v>
      </c>
      <c r="F9500" t="s">
        <v>4139</v>
      </c>
    </row>
    <row r="9501" spans="1:6">
      <c r="A9501" t="s">
        <v>13630</v>
      </c>
      <c r="B9501" t="s">
        <v>3262</v>
      </c>
      <c r="C9501" t="s">
        <v>56</v>
      </c>
      <c r="D9501" s="1">
        <v>45850</v>
      </c>
      <c r="E9501" t="s">
        <v>4133</v>
      </c>
      <c r="F9501" t="s">
        <v>4139</v>
      </c>
    </row>
    <row r="9502" spans="1:6">
      <c r="A9502" t="s">
        <v>13631</v>
      </c>
      <c r="B9502" t="s">
        <v>3262</v>
      </c>
      <c r="C9502" t="s">
        <v>56</v>
      </c>
      <c r="D9502" s="1">
        <v>45847</v>
      </c>
      <c r="E9502" t="s">
        <v>4129</v>
      </c>
      <c r="F9502" t="s">
        <v>4125</v>
      </c>
    </row>
    <row r="9503" spans="1:6">
      <c r="A9503" t="s">
        <v>13632</v>
      </c>
      <c r="B9503" t="s">
        <v>3263</v>
      </c>
      <c r="C9503" t="s">
        <v>63</v>
      </c>
      <c r="D9503" s="1">
        <v>45806</v>
      </c>
      <c r="E9503" t="s">
        <v>4124</v>
      </c>
      <c r="F9503" t="s">
        <v>4137</v>
      </c>
    </row>
    <row r="9504" spans="1:6">
      <c r="A9504" t="s">
        <v>13633</v>
      </c>
      <c r="B9504" t="s">
        <v>3263</v>
      </c>
      <c r="C9504" t="s">
        <v>63</v>
      </c>
      <c r="D9504" s="1">
        <v>45794</v>
      </c>
      <c r="E9504" t="s">
        <v>4135</v>
      </c>
      <c r="F9504" t="s">
        <v>4125</v>
      </c>
    </row>
    <row r="9505" spans="1:6">
      <c r="A9505" t="s">
        <v>13634</v>
      </c>
      <c r="B9505" t="s">
        <v>3264</v>
      </c>
      <c r="C9505" t="s">
        <v>22</v>
      </c>
      <c r="D9505" s="1">
        <v>46019</v>
      </c>
      <c r="E9505" t="s">
        <v>4124</v>
      </c>
      <c r="F9505" t="s">
        <v>4125</v>
      </c>
    </row>
    <row r="9506" spans="1:6">
      <c r="A9506" t="s">
        <v>13635</v>
      </c>
      <c r="B9506" t="s">
        <v>3264</v>
      </c>
      <c r="C9506" t="s">
        <v>22</v>
      </c>
      <c r="D9506" s="1">
        <v>46021</v>
      </c>
      <c r="E9506" t="s">
        <v>4135</v>
      </c>
      <c r="F9506" t="s">
        <v>4137</v>
      </c>
    </row>
    <row r="9507" spans="1:6">
      <c r="A9507" t="s">
        <v>13636</v>
      </c>
      <c r="B9507" t="s">
        <v>3264</v>
      </c>
      <c r="C9507" t="s">
        <v>22</v>
      </c>
      <c r="D9507" s="1">
        <v>46021</v>
      </c>
      <c r="E9507" t="s">
        <v>4135</v>
      </c>
      <c r="F9507" t="s">
        <v>4125</v>
      </c>
    </row>
    <row r="9508" spans="1:6">
      <c r="A9508" t="s">
        <v>13637</v>
      </c>
      <c r="B9508" t="s">
        <v>3264</v>
      </c>
      <c r="C9508" t="s">
        <v>22</v>
      </c>
      <c r="D9508" s="1">
        <v>46021</v>
      </c>
      <c r="E9508" t="s">
        <v>4133</v>
      </c>
      <c r="F9508" t="s">
        <v>4139</v>
      </c>
    </row>
    <row r="9509" spans="1:6">
      <c r="A9509" t="s">
        <v>13638</v>
      </c>
      <c r="B9509" t="s">
        <v>3265</v>
      </c>
      <c r="C9509" t="s">
        <v>22</v>
      </c>
      <c r="D9509" s="1">
        <v>45885</v>
      </c>
      <c r="E9509" t="s">
        <v>4127</v>
      </c>
      <c r="F9509" t="s">
        <v>4137</v>
      </c>
    </row>
    <row r="9510" spans="1:6">
      <c r="A9510" t="s">
        <v>13639</v>
      </c>
      <c r="B9510" t="s">
        <v>3265</v>
      </c>
      <c r="C9510" t="s">
        <v>22</v>
      </c>
      <c r="D9510" s="1">
        <v>45850</v>
      </c>
      <c r="E9510" t="s">
        <v>4124</v>
      </c>
      <c r="F9510" t="s">
        <v>4125</v>
      </c>
    </row>
    <row r="9511" spans="1:6">
      <c r="A9511" t="s">
        <v>13640</v>
      </c>
      <c r="B9511" t="s">
        <v>3265</v>
      </c>
      <c r="C9511" t="s">
        <v>22</v>
      </c>
      <c r="D9511" s="1">
        <v>45883</v>
      </c>
      <c r="E9511" t="s">
        <v>4129</v>
      </c>
      <c r="F9511" t="s">
        <v>4125</v>
      </c>
    </row>
    <row r="9512" spans="1:6">
      <c r="A9512" t="s">
        <v>13641</v>
      </c>
      <c r="B9512" t="s">
        <v>3266</v>
      </c>
      <c r="C9512" t="s">
        <v>78</v>
      </c>
      <c r="D9512" s="1">
        <v>46001</v>
      </c>
      <c r="E9512" t="s">
        <v>4127</v>
      </c>
      <c r="F9512" t="s">
        <v>4137</v>
      </c>
    </row>
    <row r="9513" spans="1:6">
      <c r="A9513" t="s">
        <v>13642</v>
      </c>
      <c r="B9513" t="s">
        <v>3266</v>
      </c>
      <c r="C9513" t="s">
        <v>78</v>
      </c>
      <c r="D9513" s="1">
        <v>46012</v>
      </c>
      <c r="E9513" t="s">
        <v>4127</v>
      </c>
      <c r="F9513" t="s">
        <v>4139</v>
      </c>
    </row>
    <row r="9514" spans="1:6">
      <c r="A9514" t="s">
        <v>13643</v>
      </c>
      <c r="B9514" t="s">
        <v>3266</v>
      </c>
      <c r="C9514" t="s">
        <v>78</v>
      </c>
      <c r="D9514" s="1">
        <v>45996</v>
      </c>
      <c r="E9514" t="s">
        <v>4129</v>
      </c>
      <c r="F9514" t="s">
        <v>4139</v>
      </c>
    </row>
    <row r="9515" spans="1:6">
      <c r="A9515" t="s">
        <v>13644</v>
      </c>
      <c r="B9515" t="s">
        <v>3267</v>
      </c>
      <c r="C9515" t="s">
        <v>40</v>
      </c>
      <c r="D9515" s="1">
        <v>45815</v>
      </c>
      <c r="E9515" t="s">
        <v>4127</v>
      </c>
      <c r="F9515" t="s">
        <v>4137</v>
      </c>
    </row>
    <row r="9516" spans="1:6">
      <c r="A9516" t="s">
        <v>13645</v>
      </c>
      <c r="B9516" t="s">
        <v>3267</v>
      </c>
      <c r="C9516" t="s">
        <v>40</v>
      </c>
      <c r="D9516" s="1">
        <v>45774</v>
      </c>
      <c r="E9516" t="s">
        <v>4129</v>
      </c>
      <c r="F9516" t="s">
        <v>4137</v>
      </c>
    </row>
    <row r="9517" spans="1:6">
      <c r="A9517" t="s">
        <v>13646</v>
      </c>
      <c r="B9517" t="s">
        <v>3268</v>
      </c>
      <c r="C9517" t="s">
        <v>78</v>
      </c>
      <c r="D9517" s="1">
        <v>45856</v>
      </c>
      <c r="E9517" t="s">
        <v>4133</v>
      </c>
      <c r="F9517" t="s">
        <v>4137</v>
      </c>
    </row>
    <row r="9518" spans="1:6">
      <c r="A9518" t="s">
        <v>13647</v>
      </c>
      <c r="B9518" t="s">
        <v>3268</v>
      </c>
      <c r="C9518" t="s">
        <v>78</v>
      </c>
      <c r="D9518" s="1">
        <v>45837</v>
      </c>
      <c r="E9518" t="s">
        <v>4124</v>
      </c>
      <c r="F9518" t="s">
        <v>4125</v>
      </c>
    </row>
    <row r="9519" spans="1:6">
      <c r="A9519" t="s">
        <v>13648</v>
      </c>
      <c r="B9519" t="s">
        <v>3269</v>
      </c>
      <c r="C9519" t="s">
        <v>53</v>
      </c>
      <c r="D9519" s="1">
        <v>45816</v>
      </c>
      <c r="E9519" t="s">
        <v>4129</v>
      </c>
      <c r="F9519" t="s">
        <v>4125</v>
      </c>
    </row>
    <row r="9520" spans="1:6">
      <c r="A9520" t="s">
        <v>13649</v>
      </c>
      <c r="B9520" t="s">
        <v>3269</v>
      </c>
      <c r="C9520" t="s">
        <v>53</v>
      </c>
      <c r="D9520" s="1">
        <v>45822</v>
      </c>
      <c r="E9520" t="s">
        <v>4127</v>
      </c>
      <c r="F9520" t="s">
        <v>4139</v>
      </c>
    </row>
    <row r="9521" spans="1:6">
      <c r="A9521" t="s">
        <v>13650</v>
      </c>
      <c r="B9521" t="s">
        <v>3269</v>
      </c>
      <c r="C9521" t="s">
        <v>53</v>
      </c>
      <c r="D9521" s="1">
        <v>45760</v>
      </c>
      <c r="E9521" t="s">
        <v>4129</v>
      </c>
      <c r="F9521" t="s">
        <v>4139</v>
      </c>
    </row>
    <row r="9522" spans="1:6">
      <c r="A9522" t="s">
        <v>13651</v>
      </c>
      <c r="B9522" t="s">
        <v>3269</v>
      </c>
      <c r="C9522" t="s">
        <v>53</v>
      </c>
      <c r="D9522" s="1">
        <v>45810</v>
      </c>
      <c r="E9522" t="s">
        <v>4127</v>
      </c>
      <c r="F9522" t="s">
        <v>4139</v>
      </c>
    </row>
    <row r="9523" spans="1:6">
      <c r="A9523" t="s">
        <v>13652</v>
      </c>
      <c r="B9523" t="s">
        <v>3269</v>
      </c>
      <c r="C9523" t="s">
        <v>53</v>
      </c>
      <c r="D9523" s="1">
        <v>45796</v>
      </c>
      <c r="E9523" t="s">
        <v>4133</v>
      </c>
      <c r="F9523" t="s">
        <v>4137</v>
      </c>
    </row>
    <row r="9524" spans="1:6">
      <c r="A9524" t="s">
        <v>13653</v>
      </c>
      <c r="B9524" t="s">
        <v>3270</v>
      </c>
      <c r="C9524" t="s">
        <v>152</v>
      </c>
      <c r="D9524" s="1">
        <v>45866</v>
      </c>
      <c r="E9524" t="s">
        <v>4129</v>
      </c>
      <c r="F9524" t="s">
        <v>4139</v>
      </c>
    </row>
    <row r="9525" spans="1:6">
      <c r="A9525" t="s">
        <v>13654</v>
      </c>
      <c r="B9525" t="s">
        <v>3270</v>
      </c>
      <c r="C9525" t="s">
        <v>152</v>
      </c>
      <c r="D9525" s="1">
        <v>45875</v>
      </c>
      <c r="E9525" t="s">
        <v>4135</v>
      </c>
      <c r="F9525" t="s">
        <v>4139</v>
      </c>
    </row>
    <row r="9526" spans="1:6">
      <c r="A9526" t="s">
        <v>13655</v>
      </c>
      <c r="B9526" t="s">
        <v>3270</v>
      </c>
      <c r="C9526" t="s">
        <v>152</v>
      </c>
      <c r="D9526" s="1">
        <v>45866</v>
      </c>
      <c r="E9526" t="s">
        <v>4129</v>
      </c>
      <c r="F9526" t="s">
        <v>4139</v>
      </c>
    </row>
    <row r="9527" spans="1:6">
      <c r="A9527" t="s">
        <v>13656</v>
      </c>
      <c r="B9527" t="s">
        <v>3270</v>
      </c>
      <c r="C9527" t="s">
        <v>152</v>
      </c>
      <c r="D9527" s="1">
        <v>45871</v>
      </c>
      <c r="E9527" t="s">
        <v>4133</v>
      </c>
      <c r="F9527" t="s">
        <v>4125</v>
      </c>
    </row>
    <row r="9528" spans="1:6">
      <c r="A9528" t="s">
        <v>13657</v>
      </c>
      <c r="B9528" t="s">
        <v>3270</v>
      </c>
      <c r="C9528" t="s">
        <v>152</v>
      </c>
      <c r="D9528" s="1">
        <v>45869</v>
      </c>
      <c r="E9528" t="s">
        <v>4129</v>
      </c>
      <c r="F9528" t="s">
        <v>4139</v>
      </c>
    </row>
    <row r="9529" spans="1:6">
      <c r="A9529" t="s">
        <v>13658</v>
      </c>
      <c r="B9529" t="s">
        <v>3271</v>
      </c>
      <c r="C9529" t="s">
        <v>63</v>
      </c>
      <c r="D9529" s="1">
        <v>46020</v>
      </c>
      <c r="E9529" t="s">
        <v>4124</v>
      </c>
      <c r="F9529" t="s">
        <v>4139</v>
      </c>
    </row>
    <row r="9530" spans="1:6">
      <c r="A9530" t="s">
        <v>13659</v>
      </c>
      <c r="B9530" t="s">
        <v>3271</v>
      </c>
      <c r="C9530" t="s">
        <v>63</v>
      </c>
      <c r="D9530" s="1">
        <v>46019</v>
      </c>
      <c r="E9530" t="s">
        <v>4129</v>
      </c>
      <c r="F9530" t="s">
        <v>4139</v>
      </c>
    </row>
    <row r="9531" spans="1:6">
      <c r="A9531" t="s">
        <v>13660</v>
      </c>
      <c r="B9531" t="s">
        <v>3271</v>
      </c>
      <c r="C9531" t="s">
        <v>63</v>
      </c>
      <c r="D9531" s="1">
        <v>46021</v>
      </c>
      <c r="E9531" t="s">
        <v>4127</v>
      </c>
      <c r="F9531" t="s">
        <v>4137</v>
      </c>
    </row>
    <row r="9532" spans="1:6">
      <c r="A9532" t="s">
        <v>13661</v>
      </c>
      <c r="B9532" t="s">
        <v>3271</v>
      </c>
      <c r="C9532" t="s">
        <v>63</v>
      </c>
      <c r="D9532" s="1">
        <v>46015</v>
      </c>
      <c r="E9532" t="s">
        <v>4135</v>
      </c>
      <c r="F9532" t="s">
        <v>4139</v>
      </c>
    </row>
    <row r="9533" spans="1:6">
      <c r="A9533" t="s">
        <v>13662</v>
      </c>
      <c r="B9533" t="s">
        <v>3272</v>
      </c>
      <c r="C9533" t="s">
        <v>75</v>
      </c>
      <c r="D9533" s="1">
        <v>46017</v>
      </c>
      <c r="E9533" t="s">
        <v>4127</v>
      </c>
      <c r="F9533" t="s">
        <v>4137</v>
      </c>
    </row>
    <row r="9534" spans="1:6">
      <c r="A9534" t="s">
        <v>13663</v>
      </c>
      <c r="B9534" t="s">
        <v>3272</v>
      </c>
      <c r="C9534" t="s">
        <v>75</v>
      </c>
      <c r="D9534" s="1">
        <v>46021</v>
      </c>
      <c r="E9534" t="s">
        <v>4127</v>
      </c>
      <c r="F9534" t="s">
        <v>4137</v>
      </c>
    </row>
    <row r="9535" spans="1:6">
      <c r="A9535" t="s">
        <v>13664</v>
      </c>
      <c r="B9535" t="s">
        <v>3272</v>
      </c>
      <c r="C9535" t="s">
        <v>75</v>
      </c>
      <c r="D9535" s="1">
        <v>46015</v>
      </c>
      <c r="E9535" t="s">
        <v>4124</v>
      </c>
      <c r="F9535" t="s">
        <v>4139</v>
      </c>
    </row>
    <row r="9536" spans="1:6">
      <c r="A9536" t="s">
        <v>13665</v>
      </c>
      <c r="B9536" t="s">
        <v>3272</v>
      </c>
      <c r="C9536" t="s">
        <v>75</v>
      </c>
      <c r="D9536" s="1">
        <v>46016</v>
      </c>
      <c r="E9536" t="s">
        <v>4135</v>
      </c>
      <c r="F9536" t="s">
        <v>4139</v>
      </c>
    </row>
    <row r="9537" spans="1:6">
      <c r="A9537" t="s">
        <v>13666</v>
      </c>
      <c r="B9537" t="s">
        <v>3272</v>
      </c>
      <c r="C9537" t="s">
        <v>75</v>
      </c>
      <c r="D9537" s="1">
        <v>46021</v>
      </c>
      <c r="E9537" t="s">
        <v>4129</v>
      </c>
      <c r="F9537" t="s">
        <v>4137</v>
      </c>
    </row>
    <row r="9538" spans="1:6">
      <c r="A9538" t="s">
        <v>13667</v>
      </c>
      <c r="B9538" t="s">
        <v>3273</v>
      </c>
      <c r="C9538" t="s">
        <v>36</v>
      </c>
      <c r="D9538" s="1">
        <v>45841</v>
      </c>
      <c r="E9538" t="s">
        <v>4135</v>
      </c>
      <c r="F9538" t="s">
        <v>4137</v>
      </c>
    </row>
    <row r="9539" spans="1:6">
      <c r="A9539" t="s">
        <v>13668</v>
      </c>
      <c r="B9539" t="s">
        <v>3273</v>
      </c>
      <c r="C9539" t="s">
        <v>36</v>
      </c>
      <c r="D9539" s="1">
        <v>45834</v>
      </c>
      <c r="E9539" t="s">
        <v>4135</v>
      </c>
      <c r="F9539" t="s">
        <v>4139</v>
      </c>
    </row>
    <row r="9540" spans="1:6">
      <c r="A9540" t="s">
        <v>13669</v>
      </c>
      <c r="B9540" t="s">
        <v>3274</v>
      </c>
      <c r="C9540" t="s">
        <v>53</v>
      </c>
      <c r="D9540" s="1">
        <v>45901</v>
      </c>
      <c r="E9540" t="s">
        <v>4135</v>
      </c>
      <c r="F9540" t="s">
        <v>4137</v>
      </c>
    </row>
    <row r="9541" spans="1:6">
      <c r="A9541" t="s">
        <v>13670</v>
      </c>
      <c r="B9541" t="s">
        <v>3274</v>
      </c>
      <c r="C9541" t="s">
        <v>53</v>
      </c>
      <c r="D9541" s="1">
        <v>45872</v>
      </c>
      <c r="E9541" t="s">
        <v>4124</v>
      </c>
      <c r="F9541" t="s">
        <v>4125</v>
      </c>
    </row>
    <row r="9542" spans="1:6">
      <c r="A9542" t="s">
        <v>13671</v>
      </c>
      <c r="B9542" t="s">
        <v>3274</v>
      </c>
      <c r="C9542" t="s">
        <v>53</v>
      </c>
      <c r="D9542" s="1">
        <v>45895</v>
      </c>
      <c r="E9542" t="s">
        <v>4135</v>
      </c>
      <c r="F9542" t="s">
        <v>4139</v>
      </c>
    </row>
    <row r="9543" spans="1:6">
      <c r="A9543" t="s">
        <v>13672</v>
      </c>
      <c r="B9543" t="s">
        <v>3274</v>
      </c>
      <c r="C9543" t="s">
        <v>53</v>
      </c>
      <c r="D9543" s="1">
        <v>45883</v>
      </c>
      <c r="E9543" t="s">
        <v>4135</v>
      </c>
      <c r="F9543" t="s">
        <v>4125</v>
      </c>
    </row>
    <row r="9544" spans="1:6">
      <c r="A9544" t="s">
        <v>13673</v>
      </c>
      <c r="B9544" t="s">
        <v>3275</v>
      </c>
      <c r="C9544" t="s">
        <v>59</v>
      </c>
      <c r="D9544" s="1">
        <v>45735</v>
      </c>
      <c r="E9544" t="s">
        <v>4133</v>
      </c>
      <c r="F9544" t="s">
        <v>4137</v>
      </c>
    </row>
    <row r="9545" spans="1:6">
      <c r="A9545" t="s">
        <v>13674</v>
      </c>
      <c r="B9545" t="s">
        <v>3275</v>
      </c>
      <c r="C9545" t="s">
        <v>59</v>
      </c>
      <c r="D9545" s="1">
        <v>45735</v>
      </c>
      <c r="E9545" t="s">
        <v>4135</v>
      </c>
      <c r="F9545" t="s">
        <v>4125</v>
      </c>
    </row>
    <row r="9546" spans="1:6">
      <c r="A9546" t="s">
        <v>13675</v>
      </c>
      <c r="B9546" t="s">
        <v>3275</v>
      </c>
      <c r="C9546" t="s">
        <v>59</v>
      </c>
      <c r="D9546" s="1">
        <v>45719</v>
      </c>
      <c r="E9546" t="s">
        <v>4135</v>
      </c>
      <c r="F9546" t="s">
        <v>4139</v>
      </c>
    </row>
    <row r="9547" spans="1:6">
      <c r="A9547" t="s">
        <v>13676</v>
      </c>
      <c r="B9547" t="s">
        <v>3275</v>
      </c>
      <c r="C9547" t="s">
        <v>59</v>
      </c>
      <c r="D9547" s="1">
        <v>45730</v>
      </c>
      <c r="E9547" t="s">
        <v>4124</v>
      </c>
      <c r="F9547" t="s">
        <v>4137</v>
      </c>
    </row>
    <row r="9548" spans="1:6">
      <c r="A9548" t="s">
        <v>13677</v>
      </c>
      <c r="B9548" t="s">
        <v>3275</v>
      </c>
      <c r="C9548" t="s">
        <v>59</v>
      </c>
      <c r="D9548" s="1">
        <v>45734</v>
      </c>
      <c r="E9548" t="s">
        <v>4129</v>
      </c>
      <c r="F9548" t="s">
        <v>4139</v>
      </c>
    </row>
    <row r="9549" spans="1:6">
      <c r="A9549" t="s">
        <v>13678</v>
      </c>
      <c r="B9549" t="s">
        <v>3276</v>
      </c>
      <c r="C9549" t="s">
        <v>27</v>
      </c>
      <c r="D9549" s="1">
        <v>45945</v>
      </c>
      <c r="E9549" t="s">
        <v>4124</v>
      </c>
      <c r="F9549" t="s">
        <v>4139</v>
      </c>
    </row>
    <row r="9550" spans="1:6">
      <c r="A9550" t="s">
        <v>13679</v>
      </c>
      <c r="B9550" t="s">
        <v>3276</v>
      </c>
      <c r="C9550" t="s">
        <v>27</v>
      </c>
      <c r="D9550" s="1">
        <v>45948</v>
      </c>
      <c r="E9550" t="s">
        <v>4135</v>
      </c>
      <c r="F9550" t="s">
        <v>4125</v>
      </c>
    </row>
    <row r="9551" spans="1:6">
      <c r="A9551" t="s">
        <v>13680</v>
      </c>
      <c r="B9551" t="s">
        <v>3276</v>
      </c>
      <c r="C9551" t="s">
        <v>27</v>
      </c>
      <c r="D9551" s="1">
        <v>45948</v>
      </c>
      <c r="E9551" t="s">
        <v>4127</v>
      </c>
      <c r="F9551" t="s">
        <v>4137</v>
      </c>
    </row>
    <row r="9552" spans="1:6">
      <c r="A9552" t="s">
        <v>13681</v>
      </c>
      <c r="B9552" t="s">
        <v>3276</v>
      </c>
      <c r="C9552" t="s">
        <v>27</v>
      </c>
      <c r="D9552" s="1">
        <v>45945</v>
      </c>
      <c r="E9552" t="s">
        <v>4127</v>
      </c>
      <c r="F9552" t="s">
        <v>4139</v>
      </c>
    </row>
    <row r="9553" spans="1:6">
      <c r="A9553" t="s">
        <v>13682</v>
      </c>
      <c r="B9553" t="s">
        <v>3276</v>
      </c>
      <c r="C9553" t="s">
        <v>27</v>
      </c>
      <c r="D9553" s="1">
        <v>45948</v>
      </c>
      <c r="E9553" t="s">
        <v>4127</v>
      </c>
      <c r="F9553" t="s">
        <v>4137</v>
      </c>
    </row>
    <row r="9554" spans="1:6">
      <c r="A9554" t="s">
        <v>13683</v>
      </c>
      <c r="B9554" t="s">
        <v>3277</v>
      </c>
      <c r="C9554" t="s">
        <v>46</v>
      </c>
      <c r="D9554" s="1">
        <v>45708</v>
      </c>
      <c r="E9554" t="s">
        <v>4129</v>
      </c>
      <c r="F9554" t="s">
        <v>4125</v>
      </c>
    </row>
    <row r="9555" spans="1:6">
      <c r="A9555" t="s">
        <v>13684</v>
      </c>
      <c r="B9555" t="s">
        <v>3277</v>
      </c>
      <c r="C9555" t="s">
        <v>46</v>
      </c>
      <c r="D9555" s="1">
        <v>45718</v>
      </c>
      <c r="E9555" t="s">
        <v>4135</v>
      </c>
      <c r="F9555" t="s">
        <v>4137</v>
      </c>
    </row>
    <row r="9556" spans="1:6">
      <c r="A9556" t="s">
        <v>13685</v>
      </c>
      <c r="B9556" t="s">
        <v>3277</v>
      </c>
      <c r="C9556" t="s">
        <v>46</v>
      </c>
      <c r="D9556" s="1">
        <v>45694</v>
      </c>
      <c r="E9556" t="s">
        <v>4135</v>
      </c>
      <c r="F9556" t="s">
        <v>4139</v>
      </c>
    </row>
    <row r="9557" spans="1:6">
      <c r="A9557" t="s">
        <v>13686</v>
      </c>
      <c r="B9557" t="s">
        <v>3277</v>
      </c>
      <c r="C9557" t="s">
        <v>46</v>
      </c>
      <c r="D9557" s="1">
        <v>45709</v>
      </c>
      <c r="E9557" t="s">
        <v>4129</v>
      </c>
      <c r="F9557" t="s">
        <v>4139</v>
      </c>
    </row>
    <row r="9558" spans="1:6">
      <c r="A9558" t="s">
        <v>13687</v>
      </c>
      <c r="B9558" t="s">
        <v>3277</v>
      </c>
      <c r="C9558" t="s">
        <v>46</v>
      </c>
      <c r="D9558" s="1">
        <v>45696</v>
      </c>
      <c r="E9558" t="s">
        <v>4135</v>
      </c>
      <c r="F9558" t="s">
        <v>4139</v>
      </c>
    </row>
    <row r="9559" spans="1:6">
      <c r="A9559" t="s">
        <v>13688</v>
      </c>
      <c r="B9559" t="s">
        <v>3278</v>
      </c>
      <c r="C9559" t="s">
        <v>16</v>
      </c>
      <c r="D9559" s="1">
        <v>46017</v>
      </c>
      <c r="E9559" t="s">
        <v>4135</v>
      </c>
      <c r="F9559" t="s">
        <v>4125</v>
      </c>
    </row>
    <row r="9560" spans="1:6">
      <c r="A9560" t="s">
        <v>13689</v>
      </c>
      <c r="B9560" t="s">
        <v>3278</v>
      </c>
      <c r="C9560" t="s">
        <v>16</v>
      </c>
      <c r="D9560" s="1">
        <v>46019</v>
      </c>
      <c r="E9560" t="s">
        <v>4127</v>
      </c>
      <c r="F9560" t="s">
        <v>4137</v>
      </c>
    </row>
    <row r="9561" spans="1:6">
      <c r="A9561" t="s">
        <v>13690</v>
      </c>
      <c r="B9561" t="s">
        <v>3279</v>
      </c>
      <c r="C9561" t="s">
        <v>36</v>
      </c>
      <c r="D9561" s="1">
        <v>45997</v>
      </c>
      <c r="E9561" t="s">
        <v>4124</v>
      </c>
      <c r="F9561" t="s">
        <v>4139</v>
      </c>
    </row>
    <row r="9562" spans="1:6">
      <c r="A9562" t="s">
        <v>13691</v>
      </c>
      <c r="B9562" t="s">
        <v>3279</v>
      </c>
      <c r="C9562" t="s">
        <v>36</v>
      </c>
      <c r="D9562" s="1">
        <v>45987</v>
      </c>
      <c r="E9562" t="s">
        <v>4135</v>
      </c>
      <c r="F9562" t="s">
        <v>4125</v>
      </c>
    </row>
    <row r="9563" spans="1:6">
      <c r="A9563" t="s">
        <v>13692</v>
      </c>
      <c r="B9563" t="s">
        <v>3280</v>
      </c>
      <c r="C9563" t="s">
        <v>36</v>
      </c>
      <c r="D9563" s="1">
        <v>45857</v>
      </c>
      <c r="E9563" t="s">
        <v>4124</v>
      </c>
      <c r="F9563" t="s">
        <v>4137</v>
      </c>
    </row>
    <row r="9564" spans="1:6">
      <c r="A9564" t="s">
        <v>13693</v>
      </c>
      <c r="B9564" t="s">
        <v>3280</v>
      </c>
      <c r="C9564" t="s">
        <v>36</v>
      </c>
      <c r="D9564" s="1">
        <v>45854</v>
      </c>
      <c r="E9564" t="s">
        <v>4129</v>
      </c>
      <c r="F9564" t="s">
        <v>4125</v>
      </c>
    </row>
    <row r="9565" spans="1:6">
      <c r="A9565" t="s">
        <v>13694</v>
      </c>
      <c r="B9565" t="s">
        <v>3280</v>
      </c>
      <c r="C9565" t="s">
        <v>36</v>
      </c>
      <c r="D9565" s="1">
        <v>45831</v>
      </c>
      <c r="E9565" t="s">
        <v>4135</v>
      </c>
      <c r="F9565" t="s">
        <v>4125</v>
      </c>
    </row>
    <row r="9566" spans="1:6">
      <c r="A9566" t="s">
        <v>13695</v>
      </c>
      <c r="B9566" t="s">
        <v>3280</v>
      </c>
      <c r="C9566" t="s">
        <v>36</v>
      </c>
      <c r="D9566" s="1">
        <v>45844</v>
      </c>
      <c r="E9566" t="s">
        <v>4129</v>
      </c>
      <c r="F9566" t="s">
        <v>4137</v>
      </c>
    </row>
    <row r="9567" spans="1:6">
      <c r="A9567" t="s">
        <v>13696</v>
      </c>
      <c r="B9567" t="s">
        <v>3281</v>
      </c>
      <c r="C9567" t="s">
        <v>126</v>
      </c>
      <c r="D9567" s="1">
        <v>45688</v>
      </c>
      <c r="E9567" t="s">
        <v>4127</v>
      </c>
      <c r="F9567" t="s">
        <v>4137</v>
      </c>
    </row>
    <row r="9568" spans="1:6">
      <c r="A9568" t="s">
        <v>13697</v>
      </c>
      <c r="B9568" t="s">
        <v>3281</v>
      </c>
      <c r="C9568" t="s">
        <v>126</v>
      </c>
      <c r="D9568" s="1">
        <v>45690</v>
      </c>
      <c r="E9568" t="s">
        <v>4135</v>
      </c>
      <c r="F9568" t="s">
        <v>4139</v>
      </c>
    </row>
    <row r="9569" spans="1:6">
      <c r="A9569" t="s">
        <v>13698</v>
      </c>
      <c r="B9569" t="s">
        <v>3281</v>
      </c>
      <c r="C9569" t="s">
        <v>126</v>
      </c>
      <c r="D9569" s="1">
        <v>45685</v>
      </c>
      <c r="E9569" t="s">
        <v>4127</v>
      </c>
      <c r="F9569" t="s">
        <v>4139</v>
      </c>
    </row>
    <row r="9570" spans="1:6">
      <c r="A9570" t="s">
        <v>13699</v>
      </c>
      <c r="B9570" t="s">
        <v>3281</v>
      </c>
      <c r="C9570" t="s">
        <v>126</v>
      </c>
      <c r="D9570" s="1">
        <v>45682</v>
      </c>
      <c r="E9570" t="s">
        <v>4133</v>
      </c>
      <c r="F9570" t="s">
        <v>4125</v>
      </c>
    </row>
    <row r="9571" spans="1:6">
      <c r="A9571" t="s">
        <v>13700</v>
      </c>
      <c r="B9571" t="s">
        <v>3282</v>
      </c>
      <c r="C9571" t="s">
        <v>63</v>
      </c>
      <c r="D9571" s="1">
        <v>45925</v>
      </c>
      <c r="E9571" t="s">
        <v>4127</v>
      </c>
      <c r="F9571" t="s">
        <v>4125</v>
      </c>
    </row>
    <row r="9572" spans="1:6">
      <c r="A9572" t="s">
        <v>13701</v>
      </c>
      <c r="B9572" t="s">
        <v>3282</v>
      </c>
      <c r="C9572" t="s">
        <v>63</v>
      </c>
      <c r="D9572" s="1">
        <v>45899</v>
      </c>
      <c r="E9572" t="s">
        <v>4135</v>
      </c>
      <c r="F9572" t="s">
        <v>4137</v>
      </c>
    </row>
    <row r="9573" spans="1:6">
      <c r="A9573" t="s">
        <v>13702</v>
      </c>
      <c r="B9573" t="s">
        <v>3282</v>
      </c>
      <c r="C9573" t="s">
        <v>63</v>
      </c>
      <c r="D9573" s="1">
        <v>45912</v>
      </c>
      <c r="E9573" t="s">
        <v>4129</v>
      </c>
      <c r="F9573" t="s">
        <v>4125</v>
      </c>
    </row>
    <row r="9574" spans="1:6">
      <c r="A9574" t="s">
        <v>13703</v>
      </c>
      <c r="B9574" t="s">
        <v>3282</v>
      </c>
      <c r="C9574" t="s">
        <v>63</v>
      </c>
      <c r="D9574" s="1">
        <v>45911</v>
      </c>
      <c r="E9574" t="s">
        <v>4129</v>
      </c>
      <c r="F9574" t="s">
        <v>4139</v>
      </c>
    </row>
    <row r="9575" spans="1:6">
      <c r="A9575" t="s">
        <v>13704</v>
      </c>
      <c r="B9575" t="s">
        <v>3282</v>
      </c>
      <c r="C9575" t="s">
        <v>63</v>
      </c>
      <c r="D9575" s="1">
        <v>45897</v>
      </c>
      <c r="E9575" t="s">
        <v>4135</v>
      </c>
      <c r="F9575" t="s">
        <v>4139</v>
      </c>
    </row>
    <row r="9576" spans="1:6">
      <c r="A9576" t="s">
        <v>13705</v>
      </c>
      <c r="B9576" t="s">
        <v>3283</v>
      </c>
      <c r="C9576" t="s">
        <v>91</v>
      </c>
      <c r="D9576" s="1">
        <v>45741</v>
      </c>
      <c r="E9576" t="s">
        <v>4135</v>
      </c>
      <c r="F9576" t="s">
        <v>4125</v>
      </c>
    </row>
    <row r="9577" spans="1:6">
      <c r="A9577" t="s">
        <v>13706</v>
      </c>
      <c r="B9577" t="s">
        <v>3283</v>
      </c>
      <c r="C9577" t="s">
        <v>91</v>
      </c>
      <c r="D9577" s="1">
        <v>45733</v>
      </c>
      <c r="E9577" t="s">
        <v>4124</v>
      </c>
      <c r="F9577" t="s">
        <v>4137</v>
      </c>
    </row>
    <row r="9578" spans="1:6">
      <c r="A9578" t="s">
        <v>13707</v>
      </c>
      <c r="B9578" t="s">
        <v>3283</v>
      </c>
      <c r="C9578" t="s">
        <v>91</v>
      </c>
      <c r="D9578" s="1">
        <v>45734</v>
      </c>
      <c r="E9578" t="s">
        <v>4133</v>
      </c>
      <c r="F9578" t="s">
        <v>4139</v>
      </c>
    </row>
    <row r="9579" spans="1:6">
      <c r="A9579" t="s">
        <v>13708</v>
      </c>
      <c r="B9579" t="s">
        <v>3284</v>
      </c>
      <c r="C9579" t="s">
        <v>32</v>
      </c>
      <c r="D9579" s="1">
        <v>45709</v>
      </c>
      <c r="E9579" t="s">
        <v>4135</v>
      </c>
      <c r="F9579" t="s">
        <v>4137</v>
      </c>
    </row>
    <row r="9580" spans="1:6">
      <c r="A9580" t="s">
        <v>13709</v>
      </c>
      <c r="B9580" t="s">
        <v>3284</v>
      </c>
      <c r="C9580" t="s">
        <v>32</v>
      </c>
      <c r="D9580" s="1">
        <v>45699</v>
      </c>
      <c r="E9580" t="s">
        <v>4124</v>
      </c>
      <c r="F9580" t="s">
        <v>4137</v>
      </c>
    </row>
    <row r="9581" spans="1:6">
      <c r="A9581" t="s">
        <v>13710</v>
      </c>
      <c r="B9581" t="s">
        <v>3285</v>
      </c>
      <c r="C9581" t="s">
        <v>56</v>
      </c>
      <c r="D9581" s="1">
        <v>45979</v>
      </c>
      <c r="E9581" t="s">
        <v>4135</v>
      </c>
      <c r="F9581" t="s">
        <v>4139</v>
      </c>
    </row>
    <row r="9582" spans="1:6">
      <c r="A9582" t="s">
        <v>13711</v>
      </c>
      <c r="B9582" t="s">
        <v>3285</v>
      </c>
      <c r="C9582" t="s">
        <v>56</v>
      </c>
      <c r="D9582" s="1">
        <v>45985</v>
      </c>
      <c r="E9582" t="s">
        <v>4127</v>
      </c>
      <c r="F9582" t="s">
        <v>4125</v>
      </c>
    </row>
    <row r="9583" spans="1:6">
      <c r="A9583" t="s">
        <v>13712</v>
      </c>
      <c r="B9583" t="s">
        <v>3285</v>
      </c>
      <c r="C9583" t="s">
        <v>56</v>
      </c>
      <c r="D9583" s="1">
        <v>45998</v>
      </c>
      <c r="E9583" t="s">
        <v>4127</v>
      </c>
      <c r="F9583" t="s">
        <v>4125</v>
      </c>
    </row>
    <row r="9584" spans="1:6">
      <c r="A9584" t="s">
        <v>13713</v>
      </c>
      <c r="B9584" t="s">
        <v>3286</v>
      </c>
      <c r="C9584" t="s">
        <v>56</v>
      </c>
      <c r="D9584" s="1">
        <v>45884</v>
      </c>
      <c r="E9584" t="s">
        <v>4127</v>
      </c>
      <c r="F9584" t="s">
        <v>4125</v>
      </c>
    </row>
    <row r="9585" spans="1:6">
      <c r="A9585" t="s">
        <v>13714</v>
      </c>
      <c r="B9585" t="s">
        <v>3286</v>
      </c>
      <c r="C9585" t="s">
        <v>56</v>
      </c>
      <c r="D9585" s="1">
        <v>45848</v>
      </c>
      <c r="E9585" t="s">
        <v>4129</v>
      </c>
      <c r="F9585" t="s">
        <v>4125</v>
      </c>
    </row>
    <row r="9586" spans="1:6">
      <c r="A9586" t="s">
        <v>13715</v>
      </c>
      <c r="B9586" t="s">
        <v>3286</v>
      </c>
      <c r="C9586" t="s">
        <v>56</v>
      </c>
      <c r="D9586" s="1">
        <v>45882</v>
      </c>
      <c r="E9586" t="s">
        <v>4127</v>
      </c>
      <c r="F9586" t="s">
        <v>4137</v>
      </c>
    </row>
    <row r="9587" spans="1:6">
      <c r="A9587" t="s">
        <v>13716</v>
      </c>
      <c r="B9587" t="s">
        <v>3287</v>
      </c>
      <c r="C9587" t="s">
        <v>32</v>
      </c>
      <c r="D9587" s="1">
        <v>45888</v>
      </c>
      <c r="E9587" t="s">
        <v>4124</v>
      </c>
      <c r="F9587" t="s">
        <v>4137</v>
      </c>
    </row>
    <row r="9588" spans="1:6">
      <c r="A9588" t="s">
        <v>13717</v>
      </c>
      <c r="B9588" t="s">
        <v>3287</v>
      </c>
      <c r="C9588" t="s">
        <v>32</v>
      </c>
      <c r="D9588" s="1">
        <v>45889</v>
      </c>
      <c r="E9588" t="s">
        <v>4129</v>
      </c>
      <c r="F9588" t="s">
        <v>4137</v>
      </c>
    </row>
    <row r="9589" spans="1:6">
      <c r="A9589" t="s">
        <v>13718</v>
      </c>
      <c r="B9589" t="s">
        <v>3287</v>
      </c>
      <c r="C9589" t="s">
        <v>32</v>
      </c>
      <c r="D9589" s="1">
        <v>45883</v>
      </c>
      <c r="E9589" t="s">
        <v>4124</v>
      </c>
      <c r="F9589" t="s">
        <v>4137</v>
      </c>
    </row>
    <row r="9590" spans="1:6">
      <c r="A9590" t="s">
        <v>13719</v>
      </c>
      <c r="B9590" t="s">
        <v>3288</v>
      </c>
      <c r="C9590" t="s">
        <v>91</v>
      </c>
      <c r="D9590" s="1">
        <v>46014</v>
      </c>
      <c r="E9590" t="s">
        <v>4124</v>
      </c>
      <c r="F9590" t="s">
        <v>4137</v>
      </c>
    </row>
    <row r="9591" spans="1:6">
      <c r="A9591" t="s">
        <v>13720</v>
      </c>
      <c r="B9591" t="s">
        <v>3288</v>
      </c>
      <c r="C9591" t="s">
        <v>91</v>
      </c>
      <c r="D9591" s="1">
        <v>45998</v>
      </c>
      <c r="E9591" t="s">
        <v>4124</v>
      </c>
      <c r="F9591" t="s">
        <v>4137</v>
      </c>
    </row>
    <row r="9592" spans="1:6">
      <c r="A9592" t="s">
        <v>13721</v>
      </c>
      <c r="B9592" t="s">
        <v>3289</v>
      </c>
      <c r="C9592" t="s">
        <v>119</v>
      </c>
      <c r="D9592" s="1">
        <v>45889</v>
      </c>
      <c r="E9592" t="s">
        <v>4129</v>
      </c>
      <c r="F9592" t="s">
        <v>4139</v>
      </c>
    </row>
    <row r="9593" spans="1:6">
      <c r="A9593" t="s">
        <v>13722</v>
      </c>
      <c r="B9593" t="s">
        <v>3289</v>
      </c>
      <c r="C9593" t="s">
        <v>119</v>
      </c>
      <c r="D9593" s="1">
        <v>45890</v>
      </c>
      <c r="E9593" t="s">
        <v>4124</v>
      </c>
      <c r="F9593" t="s">
        <v>4125</v>
      </c>
    </row>
    <row r="9594" spans="1:6">
      <c r="A9594" t="s">
        <v>13723</v>
      </c>
      <c r="B9594" t="s">
        <v>3290</v>
      </c>
      <c r="C9594" t="s">
        <v>16</v>
      </c>
      <c r="D9594" s="1">
        <v>45792</v>
      </c>
      <c r="E9594" t="s">
        <v>4127</v>
      </c>
      <c r="F9594" t="s">
        <v>4125</v>
      </c>
    </row>
    <row r="9595" spans="1:6">
      <c r="A9595" t="s">
        <v>13724</v>
      </c>
      <c r="B9595" t="s">
        <v>3290</v>
      </c>
      <c r="C9595" t="s">
        <v>16</v>
      </c>
      <c r="D9595" s="1">
        <v>45767</v>
      </c>
      <c r="E9595" t="s">
        <v>4124</v>
      </c>
      <c r="F9595" t="s">
        <v>4139</v>
      </c>
    </row>
    <row r="9596" spans="1:6">
      <c r="A9596" t="s">
        <v>13725</v>
      </c>
      <c r="B9596" t="s">
        <v>3291</v>
      </c>
      <c r="C9596" t="s">
        <v>22</v>
      </c>
      <c r="D9596" s="1">
        <v>45783</v>
      </c>
      <c r="E9596" t="s">
        <v>4135</v>
      </c>
      <c r="F9596" t="s">
        <v>4137</v>
      </c>
    </row>
    <row r="9597" spans="1:6">
      <c r="A9597" t="s">
        <v>13726</v>
      </c>
      <c r="B9597" t="s">
        <v>3291</v>
      </c>
      <c r="C9597" t="s">
        <v>22</v>
      </c>
      <c r="D9597" s="1">
        <v>45780</v>
      </c>
      <c r="E9597" t="s">
        <v>4133</v>
      </c>
      <c r="F9597" t="s">
        <v>4125</v>
      </c>
    </row>
    <row r="9598" spans="1:6">
      <c r="A9598" t="s">
        <v>13727</v>
      </c>
      <c r="B9598" t="s">
        <v>3292</v>
      </c>
      <c r="C9598" t="s">
        <v>70</v>
      </c>
      <c r="D9598" s="1">
        <v>46002</v>
      </c>
      <c r="E9598" t="s">
        <v>4133</v>
      </c>
      <c r="F9598" t="s">
        <v>4139</v>
      </c>
    </row>
    <row r="9599" spans="1:6">
      <c r="A9599" t="s">
        <v>13728</v>
      </c>
      <c r="B9599" t="s">
        <v>3292</v>
      </c>
      <c r="C9599" t="s">
        <v>70</v>
      </c>
      <c r="D9599" s="1">
        <v>46003</v>
      </c>
      <c r="E9599" t="s">
        <v>4127</v>
      </c>
      <c r="F9599" t="s">
        <v>4137</v>
      </c>
    </row>
    <row r="9600" spans="1:6">
      <c r="A9600" t="s">
        <v>13729</v>
      </c>
      <c r="B9600" t="s">
        <v>3292</v>
      </c>
      <c r="C9600" t="s">
        <v>70</v>
      </c>
      <c r="D9600" s="1">
        <v>46007</v>
      </c>
      <c r="E9600" t="s">
        <v>4124</v>
      </c>
      <c r="F9600" t="s">
        <v>4139</v>
      </c>
    </row>
    <row r="9601" spans="1:6">
      <c r="A9601" t="s">
        <v>13730</v>
      </c>
      <c r="B9601" t="s">
        <v>3293</v>
      </c>
      <c r="C9601" t="s">
        <v>22</v>
      </c>
      <c r="D9601" s="1">
        <v>45800</v>
      </c>
      <c r="E9601" t="s">
        <v>4124</v>
      </c>
      <c r="F9601" t="s">
        <v>4125</v>
      </c>
    </row>
    <row r="9602" spans="1:6">
      <c r="A9602" t="s">
        <v>13731</v>
      </c>
      <c r="B9602" t="s">
        <v>3293</v>
      </c>
      <c r="C9602" t="s">
        <v>22</v>
      </c>
      <c r="D9602" s="1">
        <v>45784</v>
      </c>
      <c r="E9602" t="s">
        <v>4127</v>
      </c>
      <c r="F9602" t="s">
        <v>4125</v>
      </c>
    </row>
    <row r="9603" spans="1:6">
      <c r="A9603" t="s">
        <v>13732</v>
      </c>
      <c r="B9603" t="s">
        <v>3293</v>
      </c>
      <c r="C9603" t="s">
        <v>22</v>
      </c>
      <c r="D9603" s="1">
        <v>45785</v>
      </c>
      <c r="E9603" t="s">
        <v>4135</v>
      </c>
      <c r="F9603" t="s">
        <v>4125</v>
      </c>
    </row>
    <row r="9604" spans="1:6">
      <c r="A9604" t="s">
        <v>13733</v>
      </c>
      <c r="B9604" t="s">
        <v>3293</v>
      </c>
      <c r="C9604" t="s">
        <v>22</v>
      </c>
      <c r="D9604" s="1">
        <v>45801</v>
      </c>
      <c r="E9604" t="s">
        <v>4127</v>
      </c>
      <c r="F9604" t="s">
        <v>4137</v>
      </c>
    </row>
    <row r="9605" spans="1:6">
      <c r="A9605" t="s">
        <v>13734</v>
      </c>
      <c r="B9605" t="s">
        <v>3294</v>
      </c>
      <c r="C9605" t="s">
        <v>56</v>
      </c>
      <c r="D9605" s="1">
        <v>45854</v>
      </c>
      <c r="E9605" t="s">
        <v>4129</v>
      </c>
      <c r="F9605" t="s">
        <v>4125</v>
      </c>
    </row>
    <row r="9606" spans="1:6">
      <c r="A9606" t="s">
        <v>13735</v>
      </c>
      <c r="B9606" t="s">
        <v>3294</v>
      </c>
      <c r="C9606" t="s">
        <v>56</v>
      </c>
      <c r="D9606" s="1">
        <v>45789</v>
      </c>
      <c r="E9606" t="s">
        <v>4124</v>
      </c>
      <c r="F9606" t="s">
        <v>4125</v>
      </c>
    </row>
    <row r="9607" spans="1:6">
      <c r="A9607" t="s">
        <v>13736</v>
      </c>
      <c r="B9607" t="s">
        <v>3294</v>
      </c>
      <c r="C9607" t="s">
        <v>56</v>
      </c>
      <c r="D9607" s="1">
        <v>45825</v>
      </c>
      <c r="E9607" t="s">
        <v>4135</v>
      </c>
      <c r="F9607" t="s">
        <v>4137</v>
      </c>
    </row>
    <row r="9608" spans="1:6">
      <c r="A9608" t="s">
        <v>13737</v>
      </c>
      <c r="B9608" t="s">
        <v>3294</v>
      </c>
      <c r="C9608" t="s">
        <v>56</v>
      </c>
      <c r="D9608" s="1">
        <v>45857</v>
      </c>
      <c r="E9608" t="s">
        <v>4127</v>
      </c>
      <c r="F9608" t="s">
        <v>4139</v>
      </c>
    </row>
    <row r="9609" spans="1:6">
      <c r="A9609" t="s">
        <v>13738</v>
      </c>
      <c r="B9609" t="s">
        <v>3295</v>
      </c>
      <c r="C9609" t="s">
        <v>22</v>
      </c>
      <c r="D9609" s="1">
        <v>46006</v>
      </c>
      <c r="E9609" t="s">
        <v>4127</v>
      </c>
      <c r="F9609" t="s">
        <v>4125</v>
      </c>
    </row>
    <row r="9610" spans="1:6">
      <c r="A9610" t="s">
        <v>13739</v>
      </c>
      <c r="B9610" t="s">
        <v>3295</v>
      </c>
      <c r="C9610" t="s">
        <v>22</v>
      </c>
      <c r="D9610" s="1">
        <v>46005</v>
      </c>
      <c r="E9610" t="s">
        <v>4135</v>
      </c>
      <c r="F9610" t="s">
        <v>4139</v>
      </c>
    </row>
    <row r="9611" spans="1:6">
      <c r="A9611" t="s">
        <v>13740</v>
      </c>
      <c r="B9611" t="s">
        <v>3296</v>
      </c>
      <c r="C9611" t="s">
        <v>16</v>
      </c>
      <c r="D9611" s="1">
        <v>45968</v>
      </c>
      <c r="E9611" t="s">
        <v>4127</v>
      </c>
      <c r="F9611" t="s">
        <v>4125</v>
      </c>
    </row>
    <row r="9612" spans="1:6">
      <c r="A9612" t="s">
        <v>13741</v>
      </c>
      <c r="B9612" t="s">
        <v>3296</v>
      </c>
      <c r="C9612" t="s">
        <v>16</v>
      </c>
      <c r="D9612" s="1">
        <v>45988</v>
      </c>
      <c r="E9612" t="s">
        <v>4129</v>
      </c>
      <c r="F9612" t="s">
        <v>4137</v>
      </c>
    </row>
    <row r="9613" spans="1:6">
      <c r="A9613" t="s">
        <v>13742</v>
      </c>
      <c r="B9613" t="s">
        <v>3296</v>
      </c>
      <c r="C9613" t="s">
        <v>16</v>
      </c>
      <c r="D9613" s="1">
        <v>45974</v>
      </c>
      <c r="E9613" t="s">
        <v>4129</v>
      </c>
      <c r="F9613" t="s">
        <v>4125</v>
      </c>
    </row>
    <row r="9614" spans="1:6">
      <c r="A9614" t="s">
        <v>13743</v>
      </c>
      <c r="B9614" t="s">
        <v>3296</v>
      </c>
      <c r="C9614" t="s">
        <v>16</v>
      </c>
      <c r="D9614" s="1">
        <v>45996</v>
      </c>
      <c r="E9614" t="s">
        <v>4127</v>
      </c>
      <c r="F9614" t="s">
        <v>4139</v>
      </c>
    </row>
    <row r="9615" spans="1:6">
      <c r="A9615" t="s">
        <v>13744</v>
      </c>
      <c r="B9615" t="s">
        <v>3297</v>
      </c>
      <c r="C9615" t="s">
        <v>91</v>
      </c>
      <c r="D9615" s="1">
        <v>46011</v>
      </c>
      <c r="E9615" t="s">
        <v>4127</v>
      </c>
      <c r="F9615" t="s">
        <v>4139</v>
      </c>
    </row>
    <row r="9616" spans="1:6">
      <c r="A9616" t="s">
        <v>13745</v>
      </c>
      <c r="B9616" t="s">
        <v>3297</v>
      </c>
      <c r="C9616" t="s">
        <v>91</v>
      </c>
      <c r="D9616" s="1">
        <v>45978</v>
      </c>
      <c r="E9616" t="s">
        <v>4133</v>
      </c>
      <c r="F9616" t="s">
        <v>4125</v>
      </c>
    </row>
    <row r="9617" spans="1:6">
      <c r="A9617" t="s">
        <v>13746</v>
      </c>
      <c r="B9617" t="s">
        <v>3297</v>
      </c>
      <c r="C9617" t="s">
        <v>91</v>
      </c>
      <c r="D9617" s="1">
        <v>45992</v>
      </c>
      <c r="E9617" t="s">
        <v>4135</v>
      </c>
      <c r="F9617" t="s">
        <v>4139</v>
      </c>
    </row>
    <row r="9618" spans="1:6">
      <c r="A9618" t="s">
        <v>13747</v>
      </c>
      <c r="B9618" t="s">
        <v>3297</v>
      </c>
      <c r="C9618" t="s">
        <v>91</v>
      </c>
      <c r="D9618" s="1">
        <v>46016</v>
      </c>
      <c r="E9618" t="s">
        <v>4129</v>
      </c>
      <c r="F9618" t="s">
        <v>4137</v>
      </c>
    </row>
    <row r="9619" spans="1:6">
      <c r="A9619" t="s">
        <v>13748</v>
      </c>
      <c r="B9619" t="s">
        <v>3298</v>
      </c>
      <c r="C9619" t="s">
        <v>50</v>
      </c>
      <c r="D9619" s="1">
        <v>45764</v>
      </c>
      <c r="E9619" t="s">
        <v>4127</v>
      </c>
      <c r="F9619" t="s">
        <v>4137</v>
      </c>
    </row>
    <row r="9620" spans="1:6">
      <c r="A9620" t="s">
        <v>13749</v>
      </c>
      <c r="B9620" t="s">
        <v>3298</v>
      </c>
      <c r="C9620" t="s">
        <v>50</v>
      </c>
      <c r="D9620" s="1">
        <v>45755</v>
      </c>
      <c r="E9620" t="s">
        <v>4127</v>
      </c>
      <c r="F9620" t="s">
        <v>4137</v>
      </c>
    </row>
    <row r="9621" spans="1:6">
      <c r="A9621" t="s">
        <v>13750</v>
      </c>
      <c r="B9621" t="s">
        <v>3298</v>
      </c>
      <c r="C9621" t="s">
        <v>50</v>
      </c>
      <c r="D9621" s="1">
        <v>45760</v>
      </c>
      <c r="E9621" t="s">
        <v>4127</v>
      </c>
      <c r="F9621" t="s">
        <v>4139</v>
      </c>
    </row>
    <row r="9622" spans="1:6">
      <c r="A9622" t="s">
        <v>13751</v>
      </c>
      <c r="B9622" t="s">
        <v>3298</v>
      </c>
      <c r="C9622" t="s">
        <v>50</v>
      </c>
      <c r="D9622" s="1">
        <v>45791</v>
      </c>
      <c r="E9622" t="s">
        <v>4133</v>
      </c>
      <c r="F9622" t="s">
        <v>4125</v>
      </c>
    </row>
    <row r="9623" spans="1:6">
      <c r="A9623" t="s">
        <v>13752</v>
      </c>
      <c r="B9623" t="s">
        <v>3298</v>
      </c>
      <c r="C9623" t="s">
        <v>50</v>
      </c>
      <c r="D9623" s="1">
        <v>45766</v>
      </c>
      <c r="E9623" t="s">
        <v>4124</v>
      </c>
      <c r="F9623" t="s">
        <v>4137</v>
      </c>
    </row>
    <row r="9624" spans="1:6">
      <c r="A9624" t="s">
        <v>13753</v>
      </c>
      <c r="B9624" t="s">
        <v>3299</v>
      </c>
      <c r="C9624" t="s">
        <v>36</v>
      </c>
      <c r="D9624" s="1">
        <v>45670</v>
      </c>
      <c r="E9624" t="s">
        <v>4124</v>
      </c>
      <c r="F9624" t="s">
        <v>4125</v>
      </c>
    </row>
    <row r="9625" spans="1:6">
      <c r="A9625" t="s">
        <v>13754</v>
      </c>
      <c r="B9625" t="s">
        <v>3299</v>
      </c>
      <c r="C9625" t="s">
        <v>36</v>
      </c>
      <c r="D9625" s="1">
        <v>45694</v>
      </c>
      <c r="E9625" t="s">
        <v>4133</v>
      </c>
      <c r="F9625" t="s">
        <v>4139</v>
      </c>
    </row>
    <row r="9626" spans="1:6">
      <c r="A9626" t="s">
        <v>13755</v>
      </c>
      <c r="B9626" t="s">
        <v>3299</v>
      </c>
      <c r="C9626" t="s">
        <v>36</v>
      </c>
      <c r="D9626" s="1">
        <v>45705</v>
      </c>
      <c r="E9626" t="s">
        <v>4133</v>
      </c>
      <c r="F9626" t="s">
        <v>4139</v>
      </c>
    </row>
    <row r="9627" spans="1:6">
      <c r="A9627" t="s">
        <v>13756</v>
      </c>
      <c r="B9627" t="s">
        <v>3299</v>
      </c>
      <c r="C9627" t="s">
        <v>36</v>
      </c>
      <c r="D9627" s="1">
        <v>45692</v>
      </c>
      <c r="E9627" t="s">
        <v>4129</v>
      </c>
      <c r="F9627" t="s">
        <v>4139</v>
      </c>
    </row>
    <row r="9628" spans="1:6">
      <c r="A9628" t="s">
        <v>13757</v>
      </c>
      <c r="B9628" t="s">
        <v>3299</v>
      </c>
      <c r="C9628" t="s">
        <v>36</v>
      </c>
      <c r="D9628" s="1">
        <v>45707</v>
      </c>
      <c r="E9628" t="s">
        <v>4129</v>
      </c>
      <c r="F9628" t="s">
        <v>4137</v>
      </c>
    </row>
    <row r="9629" spans="1:6">
      <c r="A9629" t="s">
        <v>13758</v>
      </c>
      <c r="B9629" t="s">
        <v>3300</v>
      </c>
      <c r="C9629" t="s">
        <v>119</v>
      </c>
      <c r="D9629" s="1">
        <v>45848</v>
      </c>
      <c r="E9629" t="s">
        <v>4124</v>
      </c>
      <c r="F9629" t="s">
        <v>4125</v>
      </c>
    </row>
    <row r="9630" spans="1:6">
      <c r="A9630" t="s">
        <v>13759</v>
      </c>
      <c r="B9630" t="s">
        <v>3300</v>
      </c>
      <c r="C9630" t="s">
        <v>119</v>
      </c>
      <c r="D9630" s="1">
        <v>45870</v>
      </c>
      <c r="E9630" t="s">
        <v>4133</v>
      </c>
      <c r="F9630" t="s">
        <v>4137</v>
      </c>
    </row>
    <row r="9631" spans="1:6">
      <c r="A9631" t="s">
        <v>13760</v>
      </c>
      <c r="B9631" t="s">
        <v>3300</v>
      </c>
      <c r="C9631" t="s">
        <v>119</v>
      </c>
      <c r="D9631" s="1">
        <v>45856</v>
      </c>
      <c r="E9631" t="s">
        <v>4129</v>
      </c>
      <c r="F9631" t="s">
        <v>4125</v>
      </c>
    </row>
    <row r="9632" spans="1:6">
      <c r="A9632" t="s">
        <v>13761</v>
      </c>
      <c r="B9632" t="s">
        <v>3301</v>
      </c>
      <c r="C9632" t="s">
        <v>50</v>
      </c>
      <c r="D9632" s="1">
        <v>45672</v>
      </c>
      <c r="E9632" t="s">
        <v>4133</v>
      </c>
      <c r="F9632" t="s">
        <v>4139</v>
      </c>
    </row>
    <row r="9633" spans="1:6">
      <c r="A9633" t="s">
        <v>13762</v>
      </c>
      <c r="B9633" t="s">
        <v>3301</v>
      </c>
      <c r="C9633" t="s">
        <v>50</v>
      </c>
      <c r="D9633" s="1">
        <v>45675</v>
      </c>
      <c r="E9633" t="s">
        <v>4127</v>
      </c>
      <c r="F9633" t="s">
        <v>4139</v>
      </c>
    </row>
    <row r="9634" spans="1:6">
      <c r="A9634" t="s">
        <v>13763</v>
      </c>
      <c r="B9634" t="s">
        <v>3302</v>
      </c>
      <c r="C9634" t="s">
        <v>46</v>
      </c>
      <c r="D9634" s="1">
        <v>45998</v>
      </c>
      <c r="E9634" t="s">
        <v>4124</v>
      </c>
      <c r="F9634" t="s">
        <v>4139</v>
      </c>
    </row>
    <row r="9635" spans="1:6">
      <c r="A9635" t="s">
        <v>13764</v>
      </c>
      <c r="B9635" t="s">
        <v>3302</v>
      </c>
      <c r="C9635" t="s">
        <v>46</v>
      </c>
      <c r="D9635" s="1">
        <v>45993</v>
      </c>
      <c r="E9635" t="s">
        <v>4129</v>
      </c>
      <c r="F9635" t="s">
        <v>4137</v>
      </c>
    </row>
    <row r="9636" spans="1:6">
      <c r="A9636" t="s">
        <v>13765</v>
      </c>
      <c r="B9636" t="s">
        <v>3303</v>
      </c>
      <c r="C9636" t="s">
        <v>119</v>
      </c>
      <c r="D9636" s="1">
        <v>45871</v>
      </c>
      <c r="E9636" t="s">
        <v>4129</v>
      </c>
      <c r="F9636" t="s">
        <v>4125</v>
      </c>
    </row>
    <row r="9637" spans="1:6">
      <c r="A9637" t="s">
        <v>13766</v>
      </c>
      <c r="B9637" t="s">
        <v>3303</v>
      </c>
      <c r="C9637" t="s">
        <v>119</v>
      </c>
      <c r="D9637" s="1">
        <v>45881</v>
      </c>
      <c r="E9637" t="s">
        <v>4127</v>
      </c>
      <c r="F9637" t="s">
        <v>4125</v>
      </c>
    </row>
    <row r="9638" spans="1:6">
      <c r="A9638" t="s">
        <v>13767</v>
      </c>
      <c r="B9638" t="s">
        <v>3303</v>
      </c>
      <c r="C9638" t="s">
        <v>119</v>
      </c>
      <c r="D9638" s="1">
        <v>45879</v>
      </c>
      <c r="E9638" t="s">
        <v>4133</v>
      </c>
      <c r="F9638" t="s">
        <v>4139</v>
      </c>
    </row>
    <row r="9639" spans="1:6">
      <c r="A9639" t="s">
        <v>13768</v>
      </c>
      <c r="B9639" t="s">
        <v>3303</v>
      </c>
      <c r="C9639" t="s">
        <v>119</v>
      </c>
      <c r="D9639" s="1">
        <v>45881</v>
      </c>
      <c r="E9639" t="s">
        <v>4129</v>
      </c>
      <c r="F9639" t="s">
        <v>4125</v>
      </c>
    </row>
    <row r="9640" spans="1:6">
      <c r="A9640" t="s">
        <v>13769</v>
      </c>
      <c r="B9640" t="s">
        <v>3304</v>
      </c>
      <c r="C9640" t="s">
        <v>56</v>
      </c>
      <c r="D9640" s="1">
        <v>45915</v>
      </c>
      <c r="E9640" t="s">
        <v>4135</v>
      </c>
      <c r="F9640" t="s">
        <v>4139</v>
      </c>
    </row>
    <row r="9641" spans="1:6">
      <c r="A9641" t="s">
        <v>13770</v>
      </c>
      <c r="B9641" t="s">
        <v>3304</v>
      </c>
      <c r="C9641" t="s">
        <v>56</v>
      </c>
      <c r="D9641" s="1">
        <v>45927</v>
      </c>
      <c r="E9641" t="s">
        <v>4129</v>
      </c>
      <c r="F9641" t="s">
        <v>4137</v>
      </c>
    </row>
    <row r="9642" spans="1:6">
      <c r="A9642" t="s">
        <v>13771</v>
      </c>
      <c r="B9642" t="s">
        <v>3305</v>
      </c>
      <c r="C9642" t="s">
        <v>78</v>
      </c>
      <c r="D9642" s="1">
        <v>45804</v>
      </c>
      <c r="E9642" t="s">
        <v>4124</v>
      </c>
      <c r="F9642" t="s">
        <v>4139</v>
      </c>
    </row>
    <row r="9643" spans="1:6">
      <c r="A9643" t="s">
        <v>13772</v>
      </c>
      <c r="B9643" t="s">
        <v>3305</v>
      </c>
      <c r="C9643" t="s">
        <v>78</v>
      </c>
      <c r="D9643" s="1">
        <v>45793</v>
      </c>
      <c r="E9643" t="s">
        <v>4133</v>
      </c>
      <c r="F9643" t="s">
        <v>4139</v>
      </c>
    </row>
    <row r="9644" spans="1:6">
      <c r="A9644" t="s">
        <v>13773</v>
      </c>
      <c r="B9644" t="s">
        <v>3306</v>
      </c>
      <c r="C9644" t="s">
        <v>59</v>
      </c>
      <c r="D9644" s="1">
        <v>45978</v>
      </c>
      <c r="E9644" t="s">
        <v>4135</v>
      </c>
      <c r="F9644" t="s">
        <v>4139</v>
      </c>
    </row>
    <row r="9645" spans="1:6">
      <c r="A9645" t="s">
        <v>13774</v>
      </c>
      <c r="B9645" t="s">
        <v>3306</v>
      </c>
      <c r="C9645" t="s">
        <v>59</v>
      </c>
      <c r="D9645" s="1">
        <v>45969</v>
      </c>
      <c r="E9645" t="s">
        <v>4129</v>
      </c>
      <c r="F9645" t="s">
        <v>4139</v>
      </c>
    </row>
    <row r="9646" spans="1:6">
      <c r="A9646" t="s">
        <v>13775</v>
      </c>
      <c r="B9646" t="s">
        <v>3307</v>
      </c>
      <c r="C9646" t="s">
        <v>16</v>
      </c>
      <c r="D9646" s="1">
        <v>45828</v>
      </c>
      <c r="E9646" t="s">
        <v>4127</v>
      </c>
      <c r="F9646" t="s">
        <v>4125</v>
      </c>
    </row>
    <row r="9647" spans="1:6">
      <c r="A9647" t="s">
        <v>13776</v>
      </c>
      <c r="B9647" t="s">
        <v>3307</v>
      </c>
      <c r="C9647" t="s">
        <v>16</v>
      </c>
      <c r="D9647" s="1">
        <v>45824</v>
      </c>
      <c r="E9647" t="s">
        <v>4124</v>
      </c>
      <c r="F9647" t="s">
        <v>4139</v>
      </c>
    </row>
    <row r="9648" spans="1:6">
      <c r="A9648" t="s">
        <v>13777</v>
      </c>
      <c r="B9648" t="s">
        <v>3308</v>
      </c>
      <c r="C9648" t="s">
        <v>40</v>
      </c>
      <c r="D9648" s="1">
        <v>45762</v>
      </c>
      <c r="E9648" t="s">
        <v>4127</v>
      </c>
      <c r="F9648" t="s">
        <v>4139</v>
      </c>
    </row>
    <row r="9649" spans="1:6">
      <c r="A9649" t="s">
        <v>13778</v>
      </c>
      <c r="B9649" t="s">
        <v>3308</v>
      </c>
      <c r="C9649" t="s">
        <v>40</v>
      </c>
      <c r="D9649" s="1">
        <v>45738</v>
      </c>
      <c r="E9649" t="s">
        <v>4127</v>
      </c>
      <c r="F9649" t="s">
        <v>4139</v>
      </c>
    </row>
    <row r="9650" spans="1:6">
      <c r="A9650" t="s">
        <v>13779</v>
      </c>
      <c r="B9650" t="s">
        <v>3308</v>
      </c>
      <c r="C9650" t="s">
        <v>40</v>
      </c>
      <c r="D9650" s="1">
        <v>45761</v>
      </c>
      <c r="E9650" t="s">
        <v>4133</v>
      </c>
      <c r="F9650" t="s">
        <v>4125</v>
      </c>
    </row>
    <row r="9651" spans="1:6">
      <c r="A9651" t="s">
        <v>13780</v>
      </c>
      <c r="B9651" t="s">
        <v>3309</v>
      </c>
      <c r="C9651" t="s">
        <v>168</v>
      </c>
      <c r="D9651" s="1">
        <v>45994</v>
      </c>
      <c r="E9651" t="s">
        <v>4133</v>
      </c>
      <c r="F9651" t="s">
        <v>4139</v>
      </c>
    </row>
    <row r="9652" spans="1:6">
      <c r="A9652" t="s">
        <v>13781</v>
      </c>
      <c r="B9652" t="s">
        <v>3309</v>
      </c>
      <c r="C9652" t="s">
        <v>168</v>
      </c>
      <c r="D9652" s="1">
        <v>45981</v>
      </c>
      <c r="E9652" t="s">
        <v>4127</v>
      </c>
      <c r="F9652" t="s">
        <v>4125</v>
      </c>
    </row>
    <row r="9653" spans="1:6">
      <c r="A9653" t="s">
        <v>13782</v>
      </c>
      <c r="B9653" t="s">
        <v>3309</v>
      </c>
      <c r="C9653" t="s">
        <v>168</v>
      </c>
      <c r="D9653" s="1">
        <v>46008</v>
      </c>
      <c r="E9653" t="s">
        <v>4129</v>
      </c>
      <c r="F9653" t="s">
        <v>4139</v>
      </c>
    </row>
    <row r="9654" spans="1:6">
      <c r="A9654" t="s">
        <v>13783</v>
      </c>
      <c r="B9654" t="s">
        <v>3310</v>
      </c>
      <c r="C9654" t="s">
        <v>53</v>
      </c>
      <c r="D9654" s="1">
        <v>45938</v>
      </c>
      <c r="E9654" t="s">
        <v>4129</v>
      </c>
      <c r="F9654" t="s">
        <v>4139</v>
      </c>
    </row>
    <row r="9655" spans="1:6">
      <c r="A9655" t="s">
        <v>13784</v>
      </c>
      <c r="B9655" t="s">
        <v>3310</v>
      </c>
      <c r="C9655" t="s">
        <v>53</v>
      </c>
      <c r="D9655" s="1">
        <v>45922</v>
      </c>
      <c r="E9655" t="s">
        <v>4133</v>
      </c>
      <c r="F9655" t="s">
        <v>4139</v>
      </c>
    </row>
    <row r="9656" spans="1:6">
      <c r="A9656" t="s">
        <v>13785</v>
      </c>
      <c r="B9656" t="s">
        <v>3310</v>
      </c>
      <c r="C9656" t="s">
        <v>53</v>
      </c>
      <c r="D9656" s="1">
        <v>45933</v>
      </c>
      <c r="E9656" t="s">
        <v>4135</v>
      </c>
      <c r="F9656" t="s">
        <v>4125</v>
      </c>
    </row>
    <row r="9657" spans="1:6">
      <c r="A9657" t="s">
        <v>13786</v>
      </c>
      <c r="B9657" t="s">
        <v>3311</v>
      </c>
      <c r="C9657" t="s">
        <v>32</v>
      </c>
      <c r="D9657" s="1">
        <v>45978</v>
      </c>
      <c r="E9657" t="s">
        <v>4124</v>
      </c>
      <c r="F9657" t="s">
        <v>4137</v>
      </c>
    </row>
    <row r="9658" spans="1:6">
      <c r="A9658" t="s">
        <v>13787</v>
      </c>
      <c r="B9658" t="s">
        <v>3311</v>
      </c>
      <c r="C9658" t="s">
        <v>32</v>
      </c>
      <c r="D9658" s="1">
        <v>45973</v>
      </c>
      <c r="E9658" t="s">
        <v>4133</v>
      </c>
      <c r="F9658" t="s">
        <v>4137</v>
      </c>
    </row>
    <row r="9659" spans="1:6">
      <c r="A9659" t="s">
        <v>13788</v>
      </c>
      <c r="B9659" t="s">
        <v>3312</v>
      </c>
      <c r="C9659" t="s">
        <v>119</v>
      </c>
      <c r="D9659" s="1">
        <v>45741</v>
      </c>
      <c r="E9659" t="s">
        <v>4127</v>
      </c>
      <c r="F9659" t="s">
        <v>4125</v>
      </c>
    </row>
    <row r="9660" spans="1:6">
      <c r="A9660" t="s">
        <v>13789</v>
      </c>
      <c r="B9660" t="s">
        <v>3312</v>
      </c>
      <c r="C9660" t="s">
        <v>119</v>
      </c>
      <c r="D9660" s="1">
        <v>45748</v>
      </c>
      <c r="E9660" t="s">
        <v>4127</v>
      </c>
      <c r="F9660" t="s">
        <v>4125</v>
      </c>
    </row>
    <row r="9661" spans="1:6">
      <c r="A9661" t="s">
        <v>13790</v>
      </c>
      <c r="B9661" t="s">
        <v>3312</v>
      </c>
      <c r="C9661" t="s">
        <v>119</v>
      </c>
      <c r="D9661" s="1">
        <v>45734</v>
      </c>
      <c r="E9661" t="s">
        <v>4124</v>
      </c>
      <c r="F9661" t="s">
        <v>4139</v>
      </c>
    </row>
    <row r="9662" spans="1:6">
      <c r="A9662" t="s">
        <v>13791</v>
      </c>
      <c r="B9662" t="s">
        <v>3312</v>
      </c>
      <c r="C9662" t="s">
        <v>119</v>
      </c>
      <c r="D9662" s="1">
        <v>45746</v>
      </c>
      <c r="E9662" t="s">
        <v>4135</v>
      </c>
      <c r="F9662" t="s">
        <v>4139</v>
      </c>
    </row>
    <row r="9663" spans="1:6">
      <c r="A9663" t="s">
        <v>13792</v>
      </c>
      <c r="B9663" t="s">
        <v>3312</v>
      </c>
      <c r="C9663" t="s">
        <v>119</v>
      </c>
      <c r="D9663" s="1">
        <v>45750</v>
      </c>
      <c r="E9663" t="s">
        <v>4135</v>
      </c>
      <c r="F9663" t="s">
        <v>4125</v>
      </c>
    </row>
    <row r="9664" spans="1:6">
      <c r="A9664" t="s">
        <v>13793</v>
      </c>
      <c r="B9664" t="s">
        <v>3313</v>
      </c>
      <c r="C9664" t="s">
        <v>53</v>
      </c>
      <c r="D9664" s="1">
        <v>45748</v>
      </c>
      <c r="E9664" t="s">
        <v>4135</v>
      </c>
      <c r="F9664" t="s">
        <v>4125</v>
      </c>
    </row>
    <row r="9665" spans="1:6">
      <c r="A9665" t="s">
        <v>13794</v>
      </c>
      <c r="B9665" t="s">
        <v>3313</v>
      </c>
      <c r="C9665" t="s">
        <v>53</v>
      </c>
      <c r="D9665" s="1">
        <v>45716</v>
      </c>
      <c r="E9665" t="s">
        <v>4129</v>
      </c>
      <c r="F9665" t="s">
        <v>4137</v>
      </c>
    </row>
    <row r="9666" spans="1:6">
      <c r="A9666" t="s">
        <v>13795</v>
      </c>
      <c r="B9666" t="s">
        <v>3314</v>
      </c>
      <c r="C9666" t="s">
        <v>119</v>
      </c>
      <c r="D9666" s="1">
        <v>45826</v>
      </c>
      <c r="E9666" t="s">
        <v>4124</v>
      </c>
      <c r="F9666" t="s">
        <v>4139</v>
      </c>
    </row>
    <row r="9667" spans="1:6">
      <c r="A9667" t="s">
        <v>13796</v>
      </c>
      <c r="B9667" t="s">
        <v>3314</v>
      </c>
      <c r="C9667" t="s">
        <v>119</v>
      </c>
      <c r="D9667" s="1">
        <v>45796</v>
      </c>
      <c r="E9667" t="s">
        <v>4127</v>
      </c>
      <c r="F9667" t="s">
        <v>4137</v>
      </c>
    </row>
    <row r="9668" spans="1:6">
      <c r="A9668" t="s">
        <v>13797</v>
      </c>
      <c r="B9668" t="s">
        <v>3314</v>
      </c>
      <c r="C9668" t="s">
        <v>119</v>
      </c>
      <c r="D9668" s="1">
        <v>45821</v>
      </c>
      <c r="E9668" t="s">
        <v>4127</v>
      </c>
      <c r="F9668" t="s">
        <v>4139</v>
      </c>
    </row>
    <row r="9669" spans="1:6">
      <c r="A9669" t="s">
        <v>13798</v>
      </c>
      <c r="B9669" t="s">
        <v>3314</v>
      </c>
      <c r="C9669" t="s">
        <v>119</v>
      </c>
      <c r="D9669" s="1">
        <v>45802</v>
      </c>
      <c r="E9669" t="s">
        <v>4124</v>
      </c>
      <c r="F9669" t="s">
        <v>4137</v>
      </c>
    </row>
    <row r="9670" spans="1:6">
      <c r="A9670" t="s">
        <v>13799</v>
      </c>
      <c r="B9670" t="s">
        <v>3315</v>
      </c>
      <c r="C9670" t="s">
        <v>56</v>
      </c>
      <c r="D9670" s="1">
        <v>45805</v>
      </c>
      <c r="E9670" t="s">
        <v>4127</v>
      </c>
      <c r="F9670" t="s">
        <v>4137</v>
      </c>
    </row>
    <row r="9671" spans="1:6">
      <c r="A9671" t="s">
        <v>13800</v>
      </c>
      <c r="B9671" t="s">
        <v>3315</v>
      </c>
      <c r="C9671" t="s">
        <v>56</v>
      </c>
      <c r="D9671" s="1">
        <v>45812</v>
      </c>
      <c r="E9671" t="s">
        <v>4124</v>
      </c>
      <c r="F9671" t="s">
        <v>4137</v>
      </c>
    </row>
    <row r="9672" spans="1:6">
      <c r="A9672" t="s">
        <v>13801</v>
      </c>
      <c r="B9672" t="s">
        <v>3315</v>
      </c>
      <c r="C9672" t="s">
        <v>56</v>
      </c>
      <c r="D9672" s="1">
        <v>45822</v>
      </c>
      <c r="E9672" t="s">
        <v>4133</v>
      </c>
      <c r="F9672" t="s">
        <v>4137</v>
      </c>
    </row>
    <row r="9673" spans="1:6">
      <c r="A9673" t="s">
        <v>13802</v>
      </c>
      <c r="B9673" t="s">
        <v>3315</v>
      </c>
      <c r="C9673" t="s">
        <v>56</v>
      </c>
      <c r="D9673" s="1">
        <v>45809</v>
      </c>
      <c r="E9673" t="s">
        <v>4135</v>
      </c>
      <c r="F9673" t="s">
        <v>4137</v>
      </c>
    </row>
    <row r="9674" spans="1:6">
      <c r="A9674" t="s">
        <v>13803</v>
      </c>
      <c r="B9674" t="s">
        <v>3316</v>
      </c>
      <c r="C9674" t="s">
        <v>50</v>
      </c>
      <c r="D9674" s="1">
        <v>45976</v>
      </c>
      <c r="E9674" t="s">
        <v>4133</v>
      </c>
      <c r="F9674" t="s">
        <v>4137</v>
      </c>
    </row>
    <row r="9675" spans="1:6">
      <c r="A9675" t="s">
        <v>13804</v>
      </c>
      <c r="B9675" t="s">
        <v>3316</v>
      </c>
      <c r="C9675" t="s">
        <v>50</v>
      </c>
      <c r="D9675" s="1">
        <v>45934</v>
      </c>
      <c r="E9675" t="s">
        <v>4133</v>
      </c>
      <c r="F9675" t="s">
        <v>4137</v>
      </c>
    </row>
    <row r="9676" spans="1:6">
      <c r="A9676" t="s">
        <v>13805</v>
      </c>
      <c r="B9676" t="s">
        <v>3316</v>
      </c>
      <c r="C9676" t="s">
        <v>50</v>
      </c>
      <c r="D9676" s="1">
        <v>45954</v>
      </c>
      <c r="E9676" t="s">
        <v>4127</v>
      </c>
      <c r="F9676" t="s">
        <v>4139</v>
      </c>
    </row>
    <row r="9677" spans="1:6">
      <c r="A9677" t="s">
        <v>13806</v>
      </c>
      <c r="B9677" t="s">
        <v>3317</v>
      </c>
      <c r="C9677" t="s">
        <v>119</v>
      </c>
      <c r="D9677" s="1">
        <v>45724</v>
      </c>
      <c r="E9677" t="s">
        <v>4129</v>
      </c>
      <c r="F9677" t="s">
        <v>4139</v>
      </c>
    </row>
    <row r="9678" spans="1:6">
      <c r="A9678" t="s">
        <v>13807</v>
      </c>
      <c r="B9678" t="s">
        <v>3317</v>
      </c>
      <c r="C9678" t="s">
        <v>119</v>
      </c>
      <c r="D9678" s="1">
        <v>45747</v>
      </c>
      <c r="E9678" t="s">
        <v>4135</v>
      </c>
      <c r="F9678" t="s">
        <v>4137</v>
      </c>
    </row>
    <row r="9679" spans="1:6">
      <c r="A9679" t="s">
        <v>13808</v>
      </c>
      <c r="B9679" t="s">
        <v>3317</v>
      </c>
      <c r="C9679" t="s">
        <v>119</v>
      </c>
      <c r="D9679" s="1">
        <v>45739</v>
      </c>
      <c r="E9679" t="s">
        <v>4124</v>
      </c>
      <c r="F9679" t="s">
        <v>4139</v>
      </c>
    </row>
    <row r="9680" spans="1:6">
      <c r="A9680" t="s">
        <v>13809</v>
      </c>
      <c r="B9680" t="s">
        <v>3317</v>
      </c>
      <c r="C9680" t="s">
        <v>119</v>
      </c>
      <c r="D9680" s="1">
        <v>45755</v>
      </c>
      <c r="E9680" t="s">
        <v>4124</v>
      </c>
      <c r="F9680" t="s">
        <v>4125</v>
      </c>
    </row>
    <row r="9681" spans="1:6">
      <c r="A9681" t="s">
        <v>13810</v>
      </c>
      <c r="B9681" t="s">
        <v>3318</v>
      </c>
      <c r="C9681" t="s">
        <v>16</v>
      </c>
      <c r="D9681" s="1">
        <v>45751</v>
      </c>
      <c r="E9681" t="s">
        <v>4135</v>
      </c>
      <c r="F9681" t="s">
        <v>4137</v>
      </c>
    </row>
    <row r="9682" spans="1:6">
      <c r="A9682" t="s">
        <v>13811</v>
      </c>
      <c r="B9682" t="s">
        <v>3318</v>
      </c>
      <c r="C9682" t="s">
        <v>16</v>
      </c>
      <c r="D9682" s="1">
        <v>45738</v>
      </c>
      <c r="E9682" t="s">
        <v>4135</v>
      </c>
      <c r="F9682" t="s">
        <v>4137</v>
      </c>
    </row>
    <row r="9683" spans="1:6">
      <c r="A9683" t="s">
        <v>13812</v>
      </c>
      <c r="B9683" t="s">
        <v>3318</v>
      </c>
      <c r="C9683" t="s">
        <v>16</v>
      </c>
      <c r="D9683" s="1">
        <v>45750</v>
      </c>
      <c r="E9683" t="s">
        <v>4135</v>
      </c>
      <c r="F9683" t="s">
        <v>4139</v>
      </c>
    </row>
    <row r="9684" spans="1:6">
      <c r="A9684" t="s">
        <v>13813</v>
      </c>
      <c r="B9684" t="s">
        <v>3319</v>
      </c>
      <c r="C9684" t="s">
        <v>126</v>
      </c>
      <c r="D9684" s="1">
        <v>45681</v>
      </c>
      <c r="E9684" t="s">
        <v>4133</v>
      </c>
      <c r="F9684" t="s">
        <v>4137</v>
      </c>
    </row>
    <row r="9685" spans="1:6">
      <c r="A9685" t="s">
        <v>13814</v>
      </c>
      <c r="B9685" t="s">
        <v>3319</v>
      </c>
      <c r="C9685" t="s">
        <v>126</v>
      </c>
      <c r="D9685" s="1">
        <v>45687</v>
      </c>
      <c r="E9685" t="s">
        <v>4135</v>
      </c>
      <c r="F9685" t="s">
        <v>4139</v>
      </c>
    </row>
    <row r="9686" spans="1:6">
      <c r="A9686" t="s">
        <v>13815</v>
      </c>
      <c r="B9686" t="s">
        <v>3319</v>
      </c>
      <c r="C9686" t="s">
        <v>126</v>
      </c>
      <c r="D9686" s="1">
        <v>45695</v>
      </c>
      <c r="E9686" t="s">
        <v>4124</v>
      </c>
      <c r="F9686" t="s">
        <v>4139</v>
      </c>
    </row>
    <row r="9687" spans="1:6">
      <c r="A9687" t="s">
        <v>13816</v>
      </c>
      <c r="B9687" t="s">
        <v>3319</v>
      </c>
      <c r="C9687" t="s">
        <v>126</v>
      </c>
      <c r="D9687" s="1">
        <v>45687</v>
      </c>
      <c r="E9687" t="s">
        <v>4127</v>
      </c>
      <c r="F9687" t="s">
        <v>4139</v>
      </c>
    </row>
    <row r="9688" spans="1:6">
      <c r="A9688" t="s">
        <v>13817</v>
      </c>
      <c r="B9688" t="s">
        <v>3319</v>
      </c>
      <c r="C9688" t="s">
        <v>126</v>
      </c>
      <c r="D9688" s="1">
        <v>45683</v>
      </c>
      <c r="E9688" t="s">
        <v>4133</v>
      </c>
      <c r="F9688" t="s">
        <v>4125</v>
      </c>
    </row>
    <row r="9689" spans="1:6">
      <c r="A9689" t="s">
        <v>13818</v>
      </c>
      <c r="B9689" t="s">
        <v>3320</v>
      </c>
      <c r="C9689" t="s">
        <v>126</v>
      </c>
      <c r="D9689" s="1">
        <v>45995</v>
      </c>
      <c r="E9689" t="s">
        <v>4133</v>
      </c>
      <c r="F9689" t="s">
        <v>4125</v>
      </c>
    </row>
    <row r="9690" spans="1:6">
      <c r="A9690" t="s">
        <v>13819</v>
      </c>
      <c r="B9690" t="s">
        <v>3320</v>
      </c>
      <c r="C9690" t="s">
        <v>126</v>
      </c>
      <c r="D9690" s="1">
        <v>46002</v>
      </c>
      <c r="E9690" t="s">
        <v>4127</v>
      </c>
      <c r="F9690" t="s">
        <v>4139</v>
      </c>
    </row>
    <row r="9691" spans="1:6">
      <c r="A9691" t="s">
        <v>13820</v>
      </c>
      <c r="B9691" t="s">
        <v>3320</v>
      </c>
      <c r="C9691" t="s">
        <v>126</v>
      </c>
      <c r="D9691" s="1">
        <v>45988</v>
      </c>
      <c r="E9691" t="s">
        <v>4129</v>
      </c>
      <c r="F9691" t="s">
        <v>4125</v>
      </c>
    </row>
    <row r="9692" spans="1:6">
      <c r="A9692" t="s">
        <v>13821</v>
      </c>
      <c r="B9692" t="s">
        <v>3321</v>
      </c>
      <c r="C9692" t="s">
        <v>50</v>
      </c>
      <c r="D9692" s="1">
        <v>46021</v>
      </c>
      <c r="E9692" t="s">
        <v>4135</v>
      </c>
      <c r="F9692" t="s">
        <v>4125</v>
      </c>
    </row>
    <row r="9693" spans="1:6">
      <c r="A9693" t="s">
        <v>13822</v>
      </c>
      <c r="B9693" t="s">
        <v>3321</v>
      </c>
      <c r="C9693" t="s">
        <v>50</v>
      </c>
      <c r="D9693" s="1">
        <v>46019</v>
      </c>
      <c r="E9693" t="s">
        <v>4124</v>
      </c>
      <c r="F9693" t="s">
        <v>4125</v>
      </c>
    </row>
    <row r="9694" spans="1:6">
      <c r="A9694" t="s">
        <v>13823</v>
      </c>
      <c r="B9694" t="s">
        <v>3323</v>
      </c>
      <c r="C9694" t="s">
        <v>152</v>
      </c>
      <c r="D9694" s="1">
        <v>45732</v>
      </c>
      <c r="E9694" t="s">
        <v>4127</v>
      </c>
      <c r="F9694" t="s">
        <v>4139</v>
      </c>
    </row>
    <row r="9695" spans="1:6">
      <c r="A9695" t="s">
        <v>13824</v>
      </c>
      <c r="B9695" t="s">
        <v>3323</v>
      </c>
      <c r="C9695" t="s">
        <v>152</v>
      </c>
      <c r="D9695" s="1">
        <v>45731</v>
      </c>
      <c r="E9695" t="s">
        <v>4135</v>
      </c>
      <c r="F9695" t="s">
        <v>4139</v>
      </c>
    </row>
    <row r="9696" spans="1:6">
      <c r="A9696" t="s">
        <v>13825</v>
      </c>
      <c r="B9696" t="s">
        <v>3323</v>
      </c>
      <c r="C9696" t="s">
        <v>152</v>
      </c>
      <c r="D9696" s="1">
        <v>45731</v>
      </c>
      <c r="E9696" t="s">
        <v>4129</v>
      </c>
      <c r="F9696" t="s">
        <v>4125</v>
      </c>
    </row>
    <row r="9697" spans="1:6">
      <c r="A9697" t="s">
        <v>13826</v>
      </c>
      <c r="B9697" t="s">
        <v>3324</v>
      </c>
      <c r="C9697" t="s">
        <v>27</v>
      </c>
      <c r="D9697" s="1">
        <v>45965</v>
      </c>
      <c r="E9697" t="s">
        <v>4127</v>
      </c>
      <c r="F9697" t="s">
        <v>4139</v>
      </c>
    </row>
    <row r="9698" spans="1:6">
      <c r="A9698" t="s">
        <v>13827</v>
      </c>
      <c r="B9698" t="s">
        <v>3324</v>
      </c>
      <c r="C9698" t="s">
        <v>27</v>
      </c>
      <c r="D9698" s="1">
        <v>45963</v>
      </c>
      <c r="E9698" t="s">
        <v>4133</v>
      </c>
      <c r="F9698" t="s">
        <v>4125</v>
      </c>
    </row>
    <row r="9699" spans="1:6">
      <c r="A9699" t="s">
        <v>13828</v>
      </c>
      <c r="B9699" t="s">
        <v>3324</v>
      </c>
      <c r="C9699" t="s">
        <v>27</v>
      </c>
      <c r="D9699" s="1">
        <v>45964</v>
      </c>
      <c r="E9699" t="s">
        <v>4124</v>
      </c>
      <c r="F9699" t="s">
        <v>4139</v>
      </c>
    </row>
    <row r="9700" spans="1:6">
      <c r="A9700" t="s">
        <v>13829</v>
      </c>
      <c r="B9700" t="s">
        <v>3324</v>
      </c>
      <c r="C9700" t="s">
        <v>27</v>
      </c>
      <c r="D9700" s="1">
        <v>45964</v>
      </c>
      <c r="E9700" t="s">
        <v>4124</v>
      </c>
      <c r="F9700" t="s">
        <v>4139</v>
      </c>
    </row>
    <row r="9701" spans="1:6">
      <c r="A9701" t="s">
        <v>13830</v>
      </c>
      <c r="B9701" t="s">
        <v>3325</v>
      </c>
      <c r="C9701" t="s">
        <v>40</v>
      </c>
      <c r="D9701" s="1">
        <v>46019</v>
      </c>
      <c r="E9701" t="s">
        <v>4129</v>
      </c>
      <c r="F9701" t="s">
        <v>4139</v>
      </c>
    </row>
    <row r="9702" spans="1:6">
      <c r="A9702" t="s">
        <v>13831</v>
      </c>
      <c r="B9702" t="s">
        <v>3325</v>
      </c>
      <c r="C9702" t="s">
        <v>40</v>
      </c>
      <c r="D9702" s="1">
        <v>45990</v>
      </c>
      <c r="E9702" t="s">
        <v>4124</v>
      </c>
      <c r="F9702" t="s">
        <v>4139</v>
      </c>
    </row>
    <row r="9703" spans="1:6">
      <c r="A9703" t="s">
        <v>13832</v>
      </c>
      <c r="B9703" t="s">
        <v>3325</v>
      </c>
      <c r="C9703" t="s">
        <v>40</v>
      </c>
      <c r="D9703" s="1">
        <v>45997</v>
      </c>
      <c r="E9703" t="s">
        <v>4133</v>
      </c>
      <c r="F9703" t="s">
        <v>4139</v>
      </c>
    </row>
    <row r="9704" spans="1:6">
      <c r="A9704" t="s">
        <v>13833</v>
      </c>
      <c r="B9704" t="s">
        <v>3325</v>
      </c>
      <c r="C9704" t="s">
        <v>40</v>
      </c>
      <c r="D9704" s="1">
        <v>46012</v>
      </c>
      <c r="E9704" t="s">
        <v>4124</v>
      </c>
      <c r="F9704" t="s">
        <v>4125</v>
      </c>
    </row>
    <row r="9705" spans="1:6">
      <c r="A9705" t="s">
        <v>13834</v>
      </c>
      <c r="B9705" t="s">
        <v>3326</v>
      </c>
      <c r="C9705" t="s">
        <v>56</v>
      </c>
      <c r="D9705" s="1">
        <v>45895</v>
      </c>
      <c r="E9705" t="s">
        <v>4135</v>
      </c>
      <c r="F9705" t="s">
        <v>4137</v>
      </c>
    </row>
    <row r="9706" spans="1:6">
      <c r="A9706" t="s">
        <v>13835</v>
      </c>
      <c r="B9706" t="s">
        <v>3326</v>
      </c>
      <c r="C9706" t="s">
        <v>56</v>
      </c>
      <c r="D9706" s="1">
        <v>45884</v>
      </c>
      <c r="E9706" t="s">
        <v>4127</v>
      </c>
      <c r="F9706" t="s">
        <v>4137</v>
      </c>
    </row>
    <row r="9707" spans="1:6">
      <c r="A9707" t="s">
        <v>13836</v>
      </c>
      <c r="B9707" t="s">
        <v>3327</v>
      </c>
      <c r="C9707" t="s">
        <v>40</v>
      </c>
      <c r="D9707" s="1">
        <v>45766</v>
      </c>
      <c r="E9707" t="s">
        <v>4129</v>
      </c>
      <c r="F9707" t="s">
        <v>4139</v>
      </c>
    </row>
    <row r="9708" spans="1:6">
      <c r="A9708" t="s">
        <v>13837</v>
      </c>
      <c r="B9708" t="s">
        <v>3327</v>
      </c>
      <c r="C9708" t="s">
        <v>40</v>
      </c>
      <c r="D9708" s="1">
        <v>45758</v>
      </c>
      <c r="E9708" t="s">
        <v>4133</v>
      </c>
      <c r="F9708" t="s">
        <v>4125</v>
      </c>
    </row>
    <row r="9709" spans="1:6">
      <c r="A9709" t="s">
        <v>13838</v>
      </c>
      <c r="B9709" t="s">
        <v>3327</v>
      </c>
      <c r="C9709" t="s">
        <v>40</v>
      </c>
      <c r="D9709" s="1">
        <v>45807</v>
      </c>
      <c r="E9709" t="s">
        <v>4124</v>
      </c>
      <c r="F9709" t="s">
        <v>4125</v>
      </c>
    </row>
    <row r="9710" spans="1:6">
      <c r="A9710" t="s">
        <v>13839</v>
      </c>
      <c r="B9710" t="s">
        <v>3327</v>
      </c>
      <c r="C9710" t="s">
        <v>40</v>
      </c>
      <c r="D9710" s="1">
        <v>45793</v>
      </c>
      <c r="E9710" t="s">
        <v>4133</v>
      </c>
      <c r="F9710" t="s">
        <v>4137</v>
      </c>
    </row>
    <row r="9711" spans="1:6">
      <c r="A9711" t="s">
        <v>13840</v>
      </c>
      <c r="B9711" t="s">
        <v>3328</v>
      </c>
      <c r="C9711" t="s">
        <v>46</v>
      </c>
      <c r="D9711" s="1">
        <v>45712</v>
      </c>
      <c r="E9711" t="s">
        <v>4135</v>
      </c>
      <c r="F9711" t="s">
        <v>4137</v>
      </c>
    </row>
    <row r="9712" spans="1:6">
      <c r="A9712" t="s">
        <v>13841</v>
      </c>
      <c r="B9712" t="s">
        <v>3328</v>
      </c>
      <c r="C9712" t="s">
        <v>46</v>
      </c>
      <c r="D9712" s="1">
        <v>45719</v>
      </c>
      <c r="E9712" t="s">
        <v>4124</v>
      </c>
      <c r="F9712" t="s">
        <v>4139</v>
      </c>
    </row>
    <row r="9713" spans="1:6">
      <c r="A9713" t="s">
        <v>13842</v>
      </c>
      <c r="B9713" t="s">
        <v>3328</v>
      </c>
      <c r="C9713" t="s">
        <v>46</v>
      </c>
      <c r="D9713" s="1">
        <v>45713</v>
      </c>
      <c r="E9713" t="s">
        <v>4135</v>
      </c>
      <c r="F9713" t="s">
        <v>4139</v>
      </c>
    </row>
    <row r="9714" spans="1:6">
      <c r="A9714" t="s">
        <v>13843</v>
      </c>
      <c r="B9714" t="s">
        <v>3328</v>
      </c>
      <c r="C9714" t="s">
        <v>46</v>
      </c>
      <c r="D9714" s="1">
        <v>45713</v>
      </c>
      <c r="E9714" t="s">
        <v>4124</v>
      </c>
      <c r="F9714" t="s">
        <v>4139</v>
      </c>
    </row>
    <row r="9715" spans="1:6">
      <c r="A9715" t="s">
        <v>13844</v>
      </c>
      <c r="B9715" t="s">
        <v>3329</v>
      </c>
      <c r="C9715" t="s">
        <v>40</v>
      </c>
      <c r="D9715" s="1">
        <v>45713</v>
      </c>
      <c r="E9715" t="s">
        <v>4127</v>
      </c>
      <c r="F9715" t="s">
        <v>4137</v>
      </c>
    </row>
    <row r="9716" spans="1:6">
      <c r="A9716" t="s">
        <v>13845</v>
      </c>
      <c r="B9716" t="s">
        <v>3329</v>
      </c>
      <c r="C9716" t="s">
        <v>40</v>
      </c>
      <c r="D9716" s="1">
        <v>45709</v>
      </c>
      <c r="E9716" t="s">
        <v>4135</v>
      </c>
      <c r="F9716" t="s">
        <v>4125</v>
      </c>
    </row>
    <row r="9717" spans="1:6">
      <c r="A9717" t="s">
        <v>13846</v>
      </c>
      <c r="B9717" t="s">
        <v>3329</v>
      </c>
      <c r="C9717" t="s">
        <v>40</v>
      </c>
      <c r="D9717" s="1">
        <v>45712</v>
      </c>
      <c r="E9717" t="s">
        <v>4135</v>
      </c>
      <c r="F9717" t="s">
        <v>4125</v>
      </c>
    </row>
    <row r="9718" spans="1:6">
      <c r="A9718" t="s">
        <v>13847</v>
      </c>
      <c r="B9718" t="s">
        <v>3329</v>
      </c>
      <c r="C9718" t="s">
        <v>40</v>
      </c>
      <c r="D9718" s="1">
        <v>45709</v>
      </c>
      <c r="E9718" t="s">
        <v>4124</v>
      </c>
      <c r="F9718" t="s">
        <v>4125</v>
      </c>
    </row>
    <row r="9719" spans="1:6">
      <c r="A9719" t="s">
        <v>13848</v>
      </c>
      <c r="B9719" t="s">
        <v>3329</v>
      </c>
      <c r="C9719" t="s">
        <v>40</v>
      </c>
      <c r="D9719" s="1">
        <v>45706</v>
      </c>
      <c r="E9719" t="s">
        <v>4129</v>
      </c>
      <c r="F9719" t="s">
        <v>4137</v>
      </c>
    </row>
    <row r="9720" spans="1:6">
      <c r="A9720" t="s">
        <v>13849</v>
      </c>
      <c r="B9720" t="s">
        <v>3330</v>
      </c>
      <c r="C9720" t="s">
        <v>50</v>
      </c>
      <c r="D9720" s="1">
        <v>45700</v>
      </c>
      <c r="E9720" t="s">
        <v>4129</v>
      </c>
      <c r="F9720" t="s">
        <v>4139</v>
      </c>
    </row>
    <row r="9721" spans="1:6">
      <c r="A9721" t="s">
        <v>13850</v>
      </c>
      <c r="B9721" t="s">
        <v>3330</v>
      </c>
      <c r="C9721" t="s">
        <v>50</v>
      </c>
      <c r="D9721" s="1">
        <v>45708</v>
      </c>
      <c r="E9721" t="s">
        <v>4124</v>
      </c>
      <c r="F9721" t="s">
        <v>4139</v>
      </c>
    </row>
    <row r="9722" spans="1:6">
      <c r="A9722" t="s">
        <v>13851</v>
      </c>
      <c r="B9722" t="s">
        <v>3330</v>
      </c>
      <c r="C9722" t="s">
        <v>50</v>
      </c>
      <c r="D9722" s="1">
        <v>45726</v>
      </c>
      <c r="E9722" t="s">
        <v>4135</v>
      </c>
      <c r="F9722" t="s">
        <v>4137</v>
      </c>
    </row>
    <row r="9723" spans="1:6">
      <c r="A9723" t="s">
        <v>13852</v>
      </c>
      <c r="B9723" t="s">
        <v>3331</v>
      </c>
      <c r="C9723" t="s">
        <v>46</v>
      </c>
      <c r="D9723" s="1">
        <v>45777</v>
      </c>
      <c r="E9723" t="s">
        <v>4135</v>
      </c>
      <c r="F9723" t="s">
        <v>4139</v>
      </c>
    </row>
    <row r="9724" spans="1:6">
      <c r="A9724" t="s">
        <v>13853</v>
      </c>
      <c r="B9724" t="s">
        <v>3331</v>
      </c>
      <c r="C9724" t="s">
        <v>46</v>
      </c>
      <c r="D9724" s="1">
        <v>45785</v>
      </c>
      <c r="E9724" t="s">
        <v>4133</v>
      </c>
      <c r="F9724" t="s">
        <v>4137</v>
      </c>
    </row>
    <row r="9725" spans="1:6">
      <c r="A9725" t="s">
        <v>13854</v>
      </c>
      <c r="B9725" t="s">
        <v>3331</v>
      </c>
      <c r="C9725" t="s">
        <v>46</v>
      </c>
      <c r="D9725" s="1">
        <v>45733</v>
      </c>
      <c r="E9725" t="s">
        <v>4124</v>
      </c>
      <c r="F9725" t="s">
        <v>4137</v>
      </c>
    </row>
    <row r="9726" spans="1:6">
      <c r="A9726" t="s">
        <v>13855</v>
      </c>
      <c r="B9726" t="s">
        <v>3332</v>
      </c>
      <c r="C9726" t="s">
        <v>56</v>
      </c>
      <c r="D9726" s="1">
        <v>45774</v>
      </c>
      <c r="E9726" t="s">
        <v>4124</v>
      </c>
      <c r="F9726" t="s">
        <v>4137</v>
      </c>
    </row>
    <row r="9727" spans="1:6">
      <c r="A9727" t="s">
        <v>13856</v>
      </c>
      <c r="B9727" t="s">
        <v>3332</v>
      </c>
      <c r="C9727" t="s">
        <v>56</v>
      </c>
      <c r="D9727" s="1">
        <v>45773</v>
      </c>
      <c r="E9727" t="s">
        <v>4127</v>
      </c>
      <c r="F9727" t="s">
        <v>4137</v>
      </c>
    </row>
    <row r="9728" spans="1:6">
      <c r="A9728" t="s">
        <v>13857</v>
      </c>
      <c r="B9728" t="s">
        <v>3332</v>
      </c>
      <c r="C9728" t="s">
        <v>56</v>
      </c>
      <c r="D9728" s="1">
        <v>45759</v>
      </c>
      <c r="E9728" t="s">
        <v>4135</v>
      </c>
      <c r="F9728" t="s">
        <v>4139</v>
      </c>
    </row>
    <row r="9729" spans="1:6">
      <c r="A9729" t="s">
        <v>13858</v>
      </c>
      <c r="B9729" t="s">
        <v>3332</v>
      </c>
      <c r="C9729" t="s">
        <v>56</v>
      </c>
      <c r="D9729" s="1">
        <v>45760</v>
      </c>
      <c r="E9729" t="s">
        <v>4129</v>
      </c>
      <c r="F9729" t="s">
        <v>4139</v>
      </c>
    </row>
    <row r="9730" spans="1:6">
      <c r="A9730" t="s">
        <v>13859</v>
      </c>
      <c r="B9730" t="s">
        <v>3333</v>
      </c>
      <c r="C9730" t="s">
        <v>91</v>
      </c>
      <c r="D9730" s="1">
        <v>45967</v>
      </c>
      <c r="E9730" t="s">
        <v>4127</v>
      </c>
      <c r="F9730" t="s">
        <v>4139</v>
      </c>
    </row>
    <row r="9731" spans="1:6">
      <c r="A9731" t="s">
        <v>13860</v>
      </c>
      <c r="B9731" t="s">
        <v>3333</v>
      </c>
      <c r="C9731" t="s">
        <v>91</v>
      </c>
      <c r="D9731" s="1">
        <v>45975</v>
      </c>
      <c r="E9731" t="s">
        <v>4135</v>
      </c>
      <c r="F9731" t="s">
        <v>4137</v>
      </c>
    </row>
    <row r="9732" spans="1:6">
      <c r="A9732" t="s">
        <v>13861</v>
      </c>
      <c r="B9732" t="s">
        <v>3333</v>
      </c>
      <c r="C9732" t="s">
        <v>91</v>
      </c>
      <c r="D9732" s="1">
        <v>45964</v>
      </c>
      <c r="E9732" t="s">
        <v>4127</v>
      </c>
      <c r="F9732" t="s">
        <v>4137</v>
      </c>
    </row>
    <row r="9733" spans="1:6">
      <c r="A9733" t="s">
        <v>13862</v>
      </c>
      <c r="B9733" t="s">
        <v>3334</v>
      </c>
      <c r="C9733" t="s">
        <v>59</v>
      </c>
      <c r="D9733" s="1">
        <v>45778</v>
      </c>
      <c r="E9733" t="s">
        <v>4129</v>
      </c>
      <c r="F9733" t="s">
        <v>4139</v>
      </c>
    </row>
    <row r="9734" spans="1:6">
      <c r="A9734" t="s">
        <v>13863</v>
      </c>
      <c r="B9734" t="s">
        <v>3334</v>
      </c>
      <c r="C9734" t="s">
        <v>59</v>
      </c>
      <c r="D9734" s="1">
        <v>45757</v>
      </c>
      <c r="E9734" t="s">
        <v>4127</v>
      </c>
      <c r="F9734" t="s">
        <v>4137</v>
      </c>
    </row>
    <row r="9735" spans="1:6">
      <c r="A9735" t="s">
        <v>13864</v>
      </c>
      <c r="B9735" t="s">
        <v>3334</v>
      </c>
      <c r="C9735" t="s">
        <v>59</v>
      </c>
      <c r="D9735" s="1">
        <v>45743</v>
      </c>
      <c r="E9735" t="s">
        <v>4135</v>
      </c>
      <c r="F9735" t="s">
        <v>4137</v>
      </c>
    </row>
    <row r="9736" spans="1:6">
      <c r="A9736" t="s">
        <v>13865</v>
      </c>
      <c r="B9736" t="s">
        <v>3334</v>
      </c>
      <c r="C9736" t="s">
        <v>59</v>
      </c>
      <c r="D9736" s="1">
        <v>45743</v>
      </c>
      <c r="E9736" t="s">
        <v>4133</v>
      </c>
      <c r="F9736" t="s">
        <v>4137</v>
      </c>
    </row>
    <row r="9737" spans="1:6">
      <c r="A9737" t="s">
        <v>13866</v>
      </c>
      <c r="B9737" t="s">
        <v>3335</v>
      </c>
      <c r="C9737" t="s">
        <v>40</v>
      </c>
      <c r="D9737" s="1">
        <v>45762</v>
      </c>
      <c r="E9737" t="s">
        <v>4124</v>
      </c>
      <c r="F9737" t="s">
        <v>4139</v>
      </c>
    </row>
    <row r="9738" spans="1:6">
      <c r="A9738" t="s">
        <v>13867</v>
      </c>
      <c r="B9738" t="s">
        <v>3335</v>
      </c>
      <c r="C9738" t="s">
        <v>40</v>
      </c>
      <c r="D9738" s="1">
        <v>45812</v>
      </c>
      <c r="E9738" t="s">
        <v>4124</v>
      </c>
      <c r="F9738" t="s">
        <v>4139</v>
      </c>
    </row>
    <row r="9739" spans="1:6">
      <c r="A9739" t="s">
        <v>13868</v>
      </c>
      <c r="B9739" t="s">
        <v>3335</v>
      </c>
      <c r="C9739" t="s">
        <v>40</v>
      </c>
      <c r="D9739" s="1">
        <v>45815</v>
      </c>
      <c r="E9739" t="s">
        <v>4135</v>
      </c>
      <c r="F9739" t="s">
        <v>4137</v>
      </c>
    </row>
    <row r="9740" spans="1:6">
      <c r="A9740" t="s">
        <v>13869</v>
      </c>
      <c r="B9740" t="s">
        <v>3335</v>
      </c>
      <c r="C9740" t="s">
        <v>40</v>
      </c>
      <c r="D9740" s="1">
        <v>45798</v>
      </c>
      <c r="E9740" t="s">
        <v>4129</v>
      </c>
      <c r="F9740" t="s">
        <v>4137</v>
      </c>
    </row>
    <row r="9741" spans="1:6">
      <c r="A9741" t="s">
        <v>13870</v>
      </c>
      <c r="B9741" t="s">
        <v>3336</v>
      </c>
      <c r="C9741" t="s">
        <v>46</v>
      </c>
      <c r="D9741" s="1">
        <v>45718</v>
      </c>
      <c r="E9741" t="s">
        <v>4133</v>
      </c>
      <c r="F9741" t="s">
        <v>4139</v>
      </c>
    </row>
    <row r="9742" spans="1:6">
      <c r="A9742" t="s">
        <v>13871</v>
      </c>
      <c r="B9742" t="s">
        <v>3336</v>
      </c>
      <c r="C9742" t="s">
        <v>46</v>
      </c>
      <c r="D9742" s="1">
        <v>45733</v>
      </c>
      <c r="E9742" t="s">
        <v>4127</v>
      </c>
      <c r="F9742" t="s">
        <v>4137</v>
      </c>
    </row>
    <row r="9743" spans="1:6">
      <c r="A9743" t="s">
        <v>13872</v>
      </c>
      <c r="B9743" t="s">
        <v>3336</v>
      </c>
      <c r="C9743" t="s">
        <v>46</v>
      </c>
      <c r="D9743" s="1">
        <v>45718</v>
      </c>
      <c r="E9743" t="s">
        <v>4127</v>
      </c>
      <c r="F9743" t="s">
        <v>4139</v>
      </c>
    </row>
    <row r="9744" spans="1:6">
      <c r="A9744" t="s">
        <v>13873</v>
      </c>
      <c r="B9744" t="s">
        <v>3336</v>
      </c>
      <c r="C9744" t="s">
        <v>46</v>
      </c>
      <c r="D9744" s="1">
        <v>45715</v>
      </c>
      <c r="E9744" t="s">
        <v>4127</v>
      </c>
      <c r="F9744" t="s">
        <v>4139</v>
      </c>
    </row>
    <row r="9745" spans="1:6">
      <c r="A9745" t="s">
        <v>13874</v>
      </c>
      <c r="B9745" t="s">
        <v>3337</v>
      </c>
      <c r="C9745" t="s">
        <v>91</v>
      </c>
      <c r="D9745" s="1">
        <v>45832</v>
      </c>
      <c r="E9745" t="s">
        <v>4135</v>
      </c>
      <c r="F9745" t="s">
        <v>4137</v>
      </c>
    </row>
    <row r="9746" spans="1:6">
      <c r="A9746" t="s">
        <v>13875</v>
      </c>
      <c r="B9746" t="s">
        <v>3337</v>
      </c>
      <c r="C9746" t="s">
        <v>91</v>
      </c>
      <c r="D9746" s="1">
        <v>45814</v>
      </c>
      <c r="E9746" t="s">
        <v>4127</v>
      </c>
      <c r="F9746" t="s">
        <v>4125</v>
      </c>
    </row>
    <row r="9747" spans="1:6">
      <c r="A9747" t="s">
        <v>13876</v>
      </c>
      <c r="B9747" t="s">
        <v>3338</v>
      </c>
      <c r="C9747" t="s">
        <v>32</v>
      </c>
      <c r="D9747" s="1">
        <v>45824</v>
      </c>
      <c r="E9747" t="s">
        <v>4135</v>
      </c>
      <c r="F9747" t="s">
        <v>4137</v>
      </c>
    </row>
    <row r="9748" spans="1:6">
      <c r="A9748" t="s">
        <v>13877</v>
      </c>
      <c r="B9748" t="s">
        <v>3338</v>
      </c>
      <c r="C9748" t="s">
        <v>32</v>
      </c>
      <c r="D9748" s="1">
        <v>45828</v>
      </c>
      <c r="E9748" t="s">
        <v>4135</v>
      </c>
      <c r="F9748" t="s">
        <v>4125</v>
      </c>
    </row>
    <row r="9749" spans="1:6">
      <c r="A9749" t="s">
        <v>13878</v>
      </c>
      <c r="B9749" t="s">
        <v>3338</v>
      </c>
      <c r="C9749" t="s">
        <v>32</v>
      </c>
      <c r="D9749" s="1">
        <v>45865</v>
      </c>
      <c r="E9749" t="s">
        <v>4133</v>
      </c>
      <c r="F9749" t="s">
        <v>4125</v>
      </c>
    </row>
    <row r="9750" spans="1:6">
      <c r="A9750" t="s">
        <v>13879</v>
      </c>
      <c r="B9750" t="s">
        <v>3338</v>
      </c>
      <c r="C9750" t="s">
        <v>32</v>
      </c>
      <c r="D9750" s="1">
        <v>45829</v>
      </c>
      <c r="E9750" t="s">
        <v>4135</v>
      </c>
      <c r="F9750" t="s">
        <v>4137</v>
      </c>
    </row>
    <row r="9751" spans="1:6">
      <c r="A9751" t="s">
        <v>13880</v>
      </c>
      <c r="B9751" t="s">
        <v>3338</v>
      </c>
      <c r="C9751" t="s">
        <v>32</v>
      </c>
      <c r="D9751" s="1">
        <v>45858</v>
      </c>
      <c r="E9751" t="s">
        <v>4135</v>
      </c>
      <c r="F9751" t="s">
        <v>4137</v>
      </c>
    </row>
    <row r="9752" spans="1:6">
      <c r="A9752" t="s">
        <v>13881</v>
      </c>
      <c r="B9752" t="s">
        <v>3339</v>
      </c>
      <c r="C9752" t="s">
        <v>56</v>
      </c>
      <c r="D9752" s="1">
        <v>45849</v>
      </c>
      <c r="E9752" t="s">
        <v>4135</v>
      </c>
      <c r="F9752" t="s">
        <v>4137</v>
      </c>
    </row>
    <row r="9753" spans="1:6">
      <c r="A9753" t="s">
        <v>13882</v>
      </c>
      <c r="B9753" t="s">
        <v>3339</v>
      </c>
      <c r="C9753" t="s">
        <v>56</v>
      </c>
      <c r="D9753" s="1">
        <v>45817</v>
      </c>
      <c r="E9753" t="s">
        <v>4133</v>
      </c>
      <c r="F9753" t="s">
        <v>4125</v>
      </c>
    </row>
    <row r="9754" spans="1:6">
      <c r="A9754" t="s">
        <v>13883</v>
      </c>
      <c r="B9754" t="s">
        <v>3339</v>
      </c>
      <c r="C9754" t="s">
        <v>56</v>
      </c>
      <c r="D9754" s="1">
        <v>45801</v>
      </c>
      <c r="E9754" t="s">
        <v>4127</v>
      </c>
      <c r="F9754" t="s">
        <v>4125</v>
      </c>
    </row>
    <row r="9755" spans="1:6">
      <c r="A9755" t="s">
        <v>13884</v>
      </c>
      <c r="B9755" t="s">
        <v>3339</v>
      </c>
      <c r="C9755" t="s">
        <v>56</v>
      </c>
      <c r="D9755" s="1">
        <v>45788</v>
      </c>
      <c r="E9755" t="s">
        <v>4129</v>
      </c>
      <c r="F9755" t="s">
        <v>4137</v>
      </c>
    </row>
    <row r="9756" spans="1:6">
      <c r="A9756" t="s">
        <v>13885</v>
      </c>
      <c r="B9756" t="s">
        <v>3339</v>
      </c>
      <c r="C9756" t="s">
        <v>56</v>
      </c>
      <c r="D9756" s="1">
        <v>45844</v>
      </c>
      <c r="E9756" t="s">
        <v>4129</v>
      </c>
      <c r="F9756" t="s">
        <v>4125</v>
      </c>
    </row>
    <row r="9757" spans="1:6">
      <c r="A9757" t="s">
        <v>13886</v>
      </c>
      <c r="B9757" t="s">
        <v>3340</v>
      </c>
      <c r="C9757" t="s">
        <v>152</v>
      </c>
      <c r="D9757" s="1">
        <v>45910</v>
      </c>
      <c r="E9757" t="s">
        <v>4133</v>
      </c>
      <c r="F9757" t="s">
        <v>4125</v>
      </c>
    </row>
    <row r="9758" spans="1:6">
      <c r="A9758" t="s">
        <v>13887</v>
      </c>
      <c r="B9758" t="s">
        <v>3340</v>
      </c>
      <c r="C9758" t="s">
        <v>152</v>
      </c>
      <c r="D9758" s="1">
        <v>45931</v>
      </c>
      <c r="E9758" t="s">
        <v>4129</v>
      </c>
      <c r="F9758" t="s">
        <v>4125</v>
      </c>
    </row>
    <row r="9759" spans="1:6">
      <c r="A9759" t="s">
        <v>13888</v>
      </c>
      <c r="B9759" t="s">
        <v>3340</v>
      </c>
      <c r="C9759" t="s">
        <v>152</v>
      </c>
      <c r="D9759" s="1">
        <v>45924</v>
      </c>
      <c r="E9759" t="s">
        <v>4135</v>
      </c>
      <c r="F9759" t="s">
        <v>4137</v>
      </c>
    </row>
    <row r="9760" spans="1:6">
      <c r="A9760" t="s">
        <v>13889</v>
      </c>
      <c r="B9760" t="s">
        <v>3340</v>
      </c>
      <c r="C9760" t="s">
        <v>152</v>
      </c>
      <c r="D9760" s="1">
        <v>45892</v>
      </c>
      <c r="E9760" t="s">
        <v>4135</v>
      </c>
      <c r="F9760" t="s">
        <v>4139</v>
      </c>
    </row>
    <row r="9761" spans="1:6">
      <c r="A9761" t="s">
        <v>13890</v>
      </c>
      <c r="B9761" t="s">
        <v>3340</v>
      </c>
      <c r="C9761" t="s">
        <v>152</v>
      </c>
      <c r="D9761" s="1">
        <v>45905</v>
      </c>
      <c r="E9761" t="s">
        <v>4133</v>
      </c>
      <c r="F9761" t="s">
        <v>4139</v>
      </c>
    </row>
    <row r="9762" spans="1:6">
      <c r="A9762" t="s">
        <v>13891</v>
      </c>
      <c r="B9762" t="s">
        <v>3341</v>
      </c>
      <c r="C9762" t="s">
        <v>78</v>
      </c>
      <c r="D9762" s="1">
        <v>45980</v>
      </c>
      <c r="E9762" t="s">
        <v>4129</v>
      </c>
      <c r="F9762" t="s">
        <v>4137</v>
      </c>
    </row>
    <row r="9763" spans="1:6">
      <c r="A9763" t="s">
        <v>13892</v>
      </c>
      <c r="B9763" t="s">
        <v>3341</v>
      </c>
      <c r="C9763" t="s">
        <v>78</v>
      </c>
      <c r="D9763" s="1">
        <v>45998</v>
      </c>
      <c r="E9763" t="s">
        <v>4124</v>
      </c>
      <c r="F9763" t="s">
        <v>4139</v>
      </c>
    </row>
    <row r="9764" spans="1:6">
      <c r="A9764" t="s">
        <v>13893</v>
      </c>
      <c r="B9764" t="s">
        <v>3341</v>
      </c>
      <c r="C9764" t="s">
        <v>78</v>
      </c>
      <c r="D9764" s="1">
        <v>45999</v>
      </c>
      <c r="E9764" t="s">
        <v>4135</v>
      </c>
      <c r="F9764" t="s">
        <v>4139</v>
      </c>
    </row>
    <row r="9765" spans="1:6">
      <c r="A9765" t="s">
        <v>13894</v>
      </c>
      <c r="B9765" t="s">
        <v>3341</v>
      </c>
      <c r="C9765" t="s">
        <v>78</v>
      </c>
      <c r="D9765" s="1">
        <v>45978</v>
      </c>
      <c r="E9765" t="s">
        <v>4129</v>
      </c>
      <c r="F9765" t="s">
        <v>4125</v>
      </c>
    </row>
    <row r="9766" spans="1:6">
      <c r="A9766" t="s">
        <v>13895</v>
      </c>
      <c r="B9766" t="s">
        <v>3342</v>
      </c>
      <c r="C9766" t="s">
        <v>27</v>
      </c>
      <c r="D9766" s="1">
        <v>45772</v>
      </c>
      <c r="E9766" t="s">
        <v>4129</v>
      </c>
      <c r="F9766" t="s">
        <v>4137</v>
      </c>
    </row>
    <row r="9767" spans="1:6">
      <c r="A9767" t="s">
        <v>13896</v>
      </c>
      <c r="B9767" t="s">
        <v>3342</v>
      </c>
      <c r="C9767" t="s">
        <v>27</v>
      </c>
      <c r="D9767" s="1">
        <v>45773</v>
      </c>
      <c r="E9767" t="s">
        <v>4129</v>
      </c>
      <c r="F9767" t="s">
        <v>4125</v>
      </c>
    </row>
    <row r="9768" spans="1:6">
      <c r="A9768" t="s">
        <v>13897</v>
      </c>
      <c r="B9768" t="s">
        <v>3342</v>
      </c>
      <c r="C9768" t="s">
        <v>27</v>
      </c>
      <c r="D9768" s="1">
        <v>45775</v>
      </c>
      <c r="E9768" t="s">
        <v>4133</v>
      </c>
      <c r="F9768" t="s">
        <v>4125</v>
      </c>
    </row>
    <row r="9769" spans="1:6">
      <c r="A9769" t="s">
        <v>13898</v>
      </c>
      <c r="B9769" t="s">
        <v>3342</v>
      </c>
      <c r="C9769" t="s">
        <v>27</v>
      </c>
      <c r="D9769" s="1">
        <v>45771</v>
      </c>
      <c r="E9769" t="s">
        <v>4135</v>
      </c>
      <c r="F9769" t="s">
        <v>4137</v>
      </c>
    </row>
    <row r="9770" spans="1:6">
      <c r="A9770" t="s">
        <v>13899</v>
      </c>
      <c r="B9770" t="s">
        <v>3343</v>
      </c>
      <c r="C9770" t="s">
        <v>50</v>
      </c>
      <c r="D9770" s="1">
        <v>45670</v>
      </c>
      <c r="E9770" t="s">
        <v>4124</v>
      </c>
      <c r="F9770" t="s">
        <v>4139</v>
      </c>
    </row>
    <row r="9771" spans="1:6">
      <c r="A9771" t="s">
        <v>13900</v>
      </c>
      <c r="B9771" t="s">
        <v>3343</v>
      </c>
      <c r="C9771" t="s">
        <v>50</v>
      </c>
      <c r="D9771" s="1">
        <v>45677</v>
      </c>
      <c r="E9771" t="s">
        <v>4133</v>
      </c>
      <c r="F9771" t="s">
        <v>4139</v>
      </c>
    </row>
    <row r="9772" spans="1:6">
      <c r="A9772" t="s">
        <v>13901</v>
      </c>
      <c r="B9772" t="s">
        <v>3344</v>
      </c>
      <c r="C9772" t="s">
        <v>22</v>
      </c>
      <c r="D9772" s="1">
        <v>45689</v>
      </c>
      <c r="E9772" t="s">
        <v>4124</v>
      </c>
      <c r="F9772" t="s">
        <v>4137</v>
      </c>
    </row>
    <row r="9773" spans="1:6">
      <c r="A9773" t="s">
        <v>13902</v>
      </c>
      <c r="B9773" t="s">
        <v>3344</v>
      </c>
      <c r="C9773" t="s">
        <v>22</v>
      </c>
      <c r="D9773" s="1">
        <v>45679</v>
      </c>
      <c r="E9773" t="s">
        <v>4124</v>
      </c>
      <c r="F9773" t="s">
        <v>4139</v>
      </c>
    </row>
    <row r="9774" spans="1:6">
      <c r="A9774" t="s">
        <v>13903</v>
      </c>
      <c r="B9774" t="s">
        <v>3345</v>
      </c>
      <c r="C9774" t="s">
        <v>53</v>
      </c>
      <c r="D9774" s="1">
        <v>45880</v>
      </c>
      <c r="E9774" t="s">
        <v>4124</v>
      </c>
      <c r="F9774" t="s">
        <v>4139</v>
      </c>
    </row>
    <row r="9775" spans="1:6">
      <c r="A9775" t="s">
        <v>13904</v>
      </c>
      <c r="B9775" t="s">
        <v>3345</v>
      </c>
      <c r="C9775" t="s">
        <v>53</v>
      </c>
      <c r="D9775" s="1">
        <v>45873</v>
      </c>
      <c r="E9775" t="s">
        <v>4133</v>
      </c>
      <c r="F9775" t="s">
        <v>4139</v>
      </c>
    </row>
    <row r="9776" spans="1:6">
      <c r="A9776" t="s">
        <v>13905</v>
      </c>
      <c r="B9776" t="s">
        <v>3345</v>
      </c>
      <c r="C9776" t="s">
        <v>53</v>
      </c>
      <c r="D9776" s="1">
        <v>45883</v>
      </c>
      <c r="E9776" t="s">
        <v>4129</v>
      </c>
      <c r="F9776" t="s">
        <v>4125</v>
      </c>
    </row>
    <row r="9777" spans="1:6">
      <c r="A9777" t="s">
        <v>13906</v>
      </c>
      <c r="B9777" t="s">
        <v>3345</v>
      </c>
      <c r="C9777" t="s">
        <v>53</v>
      </c>
      <c r="D9777" s="1">
        <v>45885</v>
      </c>
      <c r="E9777" t="s">
        <v>4124</v>
      </c>
      <c r="F9777" t="s">
        <v>4137</v>
      </c>
    </row>
    <row r="9778" spans="1:6">
      <c r="A9778" t="s">
        <v>13907</v>
      </c>
      <c r="B9778" t="s">
        <v>3345</v>
      </c>
      <c r="C9778" t="s">
        <v>53</v>
      </c>
      <c r="D9778" s="1">
        <v>45872</v>
      </c>
      <c r="E9778" t="s">
        <v>4133</v>
      </c>
      <c r="F9778" t="s">
        <v>4125</v>
      </c>
    </row>
    <row r="9779" spans="1:6">
      <c r="A9779" t="s">
        <v>13908</v>
      </c>
      <c r="B9779" t="s">
        <v>3346</v>
      </c>
      <c r="C9779" t="s">
        <v>70</v>
      </c>
      <c r="D9779" s="1">
        <v>45702</v>
      </c>
      <c r="E9779" t="s">
        <v>4133</v>
      </c>
      <c r="F9779" t="s">
        <v>4139</v>
      </c>
    </row>
    <row r="9780" spans="1:6">
      <c r="A9780" t="s">
        <v>13909</v>
      </c>
      <c r="B9780" t="s">
        <v>3346</v>
      </c>
      <c r="C9780" t="s">
        <v>70</v>
      </c>
      <c r="D9780" s="1">
        <v>45706</v>
      </c>
      <c r="E9780" t="s">
        <v>4127</v>
      </c>
      <c r="F9780" t="s">
        <v>4139</v>
      </c>
    </row>
    <row r="9781" spans="1:6">
      <c r="A9781" t="s">
        <v>13910</v>
      </c>
      <c r="B9781" t="s">
        <v>3347</v>
      </c>
      <c r="C9781" t="s">
        <v>53</v>
      </c>
      <c r="D9781" s="1">
        <v>45662</v>
      </c>
      <c r="E9781" t="s">
        <v>4135</v>
      </c>
      <c r="F9781" t="s">
        <v>4125</v>
      </c>
    </row>
    <row r="9782" spans="1:6">
      <c r="A9782" t="s">
        <v>13911</v>
      </c>
      <c r="B9782" t="s">
        <v>3347</v>
      </c>
      <c r="C9782" t="s">
        <v>53</v>
      </c>
      <c r="D9782" s="1">
        <v>45667</v>
      </c>
      <c r="E9782" t="s">
        <v>4129</v>
      </c>
      <c r="F9782" t="s">
        <v>4139</v>
      </c>
    </row>
    <row r="9783" spans="1:6">
      <c r="A9783" t="s">
        <v>13912</v>
      </c>
      <c r="B9783" t="s">
        <v>3347</v>
      </c>
      <c r="C9783" t="s">
        <v>53</v>
      </c>
      <c r="D9783" s="1">
        <v>45670</v>
      </c>
      <c r="E9783" t="s">
        <v>4133</v>
      </c>
      <c r="F9783" t="s">
        <v>4137</v>
      </c>
    </row>
    <row r="9784" spans="1:6">
      <c r="A9784" t="s">
        <v>13913</v>
      </c>
      <c r="B9784" t="s">
        <v>3348</v>
      </c>
      <c r="C9784" t="s">
        <v>46</v>
      </c>
      <c r="D9784" s="1">
        <v>45728</v>
      </c>
      <c r="E9784" t="s">
        <v>4129</v>
      </c>
      <c r="F9784" t="s">
        <v>4139</v>
      </c>
    </row>
    <row r="9785" spans="1:6">
      <c r="A9785" t="s">
        <v>13914</v>
      </c>
      <c r="B9785" t="s">
        <v>3348</v>
      </c>
      <c r="C9785" t="s">
        <v>46</v>
      </c>
      <c r="D9785" s="1">
        <v>45720</v>
      </c>
      <c r="E9785" t="s">
        <v>4124</v>
      </c>
      <c r="F9785" t="s">
        <v>4137</v>
      </c>
    </row>
    <row r="9786" spans="1:6">
      <c r="A9786" t="s">
        <v>13915</v>
      </c>
      <c r="B9786" t="s">
        <v>3348</v>
      </c>
      <c r="C9786" t="s">
        <v>46</v>
      </c>
      <c r="D9786" s="1">
        <v>45733</v>
      </c>
      <c r="E9786" t="s">
        <v>4129</v>
      </c>
      <c r="F9786" t="s">
        <v>4125</v>
      </c>
    </row>
    <row r="9787" spans="1:6">
      <c r="A9787" t="s">
        <v>13916</v>
      </c>
      <c r="B9787" t="s">
        <v>3349</v>
      </c>
      <c r="C9787" t="s">
        <v>27</v>
      </c>
      <c r="D9787" s="1">
        <v>45680</v>
      </c>
      <c r="E9787" t="s">
        <v>4124</v>
      </c>
      <c r="F9787" t="s">
        <v>4139</v>
      </c>
    </row>
    <row r="9788" spans="1:6">
      <c r="A9788" t="s">
        <v>13917</v>
      </c>
      <c r="B9788" t="s">
        <v>3349</v>
      </c>
      <c r="C9788" t="s">
        <v>27</v>
      </c>
      <c r="D9788" s="1">
        <v>45683</v>
      </c>
      <c r="E9788" t="s">
        <v>4129</v>
      </c>
      <c r="F9788" t="s">
        <v>4139</v>
      </c>
    </row>
    <row r="9789" spans="1:6">
      <c r="A9789" t="s">
        <v>13918</v>
      </c>
      <c r="B9789" t="s">
        <v>3350</v>
      </c>
      <c r="C9789" t="s">
        <v>91</v>
      </c>
      <c r="D9789" s="1">
        <v>45722</v>
      </c>
      <c r="E9789" t="s">
        <v>4124</v>
      </c>
      <c r="F9789" t="s">
        <v>4137</v>
      </c>
    </row>
    <row r="9790" spans="1:6">
      <c r="A9790" t="s">
        <v>13919</v>
      </c>
      <c r="B9790" t="s">
        <v>3350</v>
      </c>
      <c r="C9790" t="s">
        <v>91</v>
      </c>
      <c r="D9790" s="1">
        <v>45724</v>
      </c>
      <c r="E9790" t="s">
        <v>4133</v>
      </c>
      <c r="F9790" t="s">
        <v>4139</v>
      </c>
    </row>
    <row r="9791" spans="1:6">
      <c r="A9791" t="s">
        <v>13920</v>
      </c>
      <c r="B9791" t="s">
        <v>3350</v>
      </c>
      <c r="C9791" t="s">
        <v>91</v>
      </c>
      <c r="D9791" s="1">
        <v>45746</v>
      </c>
      <c r="E9791" t="s">
        <v>4133</v>
      </c>
      <c r="F9791" t="s">
        <v>4139</v>
      </c>
    </row>
    <row r="9792" spans="1:6">
      <c r="A9792" t="s">
        <v>13921</v>
      </c>
      <c r="B9792" t="s">
        <v>3350</v>
      </c>
      <c r="C9792" t="s">
        <v>91</v>
      </c>
      <c r="D9792" s="1">
        <v>45735</v>
      </c>
      <c r="E9792" t="s">
        <v>4127</v>
      </c>
      <c r="F9792" t="s">
        <v>4137</v>
      </c>
    </row>
    <row r="9793" spans="1:6">
      <c r="A9793" t="s">
        <v>13922</v>
      </c>
      <c r="B9793" t="s">
        <v>3350</v>
      </c>
      <c r="C9793" t="s">
        <v>91</v>
      </c>
      <c r="D9793" s="1">
        <v>45753</v>
      </c>
      <c r="E9793" t="s">
        <v>4124</v>
      </c>
      <c r="F9793" t="s">
        <v>4137</v>
      </c>
    </row>
    <row r="9794" spans="1:6">
      <c r="A9794" t="s">
        <v>13923</v>
      </c>
      <c r="B9794" t="s">
        <v>3351</v>
      </c>
      <c r="C9794" t="s">
        <v>168</v>
      </c>
      <c r="D9794" s="1">
        <v>46021</v>
      </c>
      <c r="E9794" t="s">
        <v>4129</v>
      </c>
      <c r="F9794" t="s">
        <v>4139</v>
      </c>
    </row>
    <row r="9795" spans="1:6">
      <c r="A9795" t="s">
        <v>13924</v>
      </c>
      <c r="B9795" t="s">
        <v>3351</v>
      </c>
      <c r="C9795" t="s">
        <v>168</v>
      </c>
      <c r="D9795" s="1">
        <v>46021</v>
      </c>
      <c r="E9795" t="s">
        <v>4124</v>
      </c>
      <c r="F9795" t="s">
        <v>4137</v>
      </c>
    </row>
    <row r="9796" spans="1:6">
      <c r="A9796" t="s">
        <v>13925</v>
      </c>
      <c r="B9796" t="s">
        <v>3351</v>
      </c>
      <c r="C9796" t="s">
        <v>168</v>
      </c>
      <c r="D9796" s="1">
        <v>46021</v>
      </c>
      <c r="E9796" t="s">
        <v>4133</v>
      </c>
      <c r="F9796" t="s">
        <v>4139</v>
      </c>
    </row>
    <row r="9797" spans="1:6">
      <c r="A9797" t="s">
        <v>13926</v>
      </c>
      <c r="B9797" t="s">
        <v>3351</v>
      </c>
      <c r="C9797" t="s">
        <v>168</v>
      </c>
      <c r="D9797" s="1">
        <v>46021</v>
      </c>
      <c r="E9797" t="s">
        <v>4135</v>
      </c>
      <c r="F9797" t="s">
        <v>4137</v>
      </c>
    </row>
    <row r="9798" spans="1:6">
      <c r="A9798" t="s">
        <v>13927</v>
      </c>
      <c r="B9798" t="s">
        <v>3352</v>
      </c>
      <c r="C9798" t="s">
        <v>22</v>
      </c>
      <c r="D9798" s="1">
        <v>45808</v>
      </c>
      <c r="E9798" t="s">
        <v>4127</v>
      </c>
      <c r="F9798" t="s">
        <v>4137</v>
      </c>
    </row>
    <row r="9799" spans="1:6">
      <c r="A9799" t="s">
        <v>13928</v>
      </c>
      <c r="B9799" t="s">
        <v>3352</v>
      </c>
      <c r="C9799" t="s">
        <v>22</v>
      </c>
      <c r="D9799" s="1">
        <v>45800</v>
      </c>
      <c r="E9799" t="s">
        <v>4124</v>
      </c>
      <c r="F9799" t="s">
        <v>4137</v>
      </c>
    </row>
    <row r="9800" spans="1:6">
      <c r="A9800" t="s">
        <v>13929</v>
      </c>
      <c r="B9800" t="s">
        <v>3352</v>
      </c>
      <c r="C9800" t="s">
        <v>22</v>
      </c>
      <c r="D9800" s="1">
        <v>45775</v>
      </c>
      <c r="E9800" t="s">
        <v>4135</v>
      </c>
      <c r="F9800" t="s">
        <v>4139</v>
      </c>
    </row>
    <row r="9801" spans="1:6">
      <c r="A9801" t="s">
        <v>13930</v>
      </c>
      <c r="B9801" t="s">
        <v>3352</v>
      </c>
      <c r="C9801" t="s">
        <v>22</v>
      </c>
      <c r="D9801" s="1">
        <v>45768</v>
      </c>
      <c r="E9801" t="s">
        <v>4135</v>
      </c>
      <c r="F9801" t="s">
        <v>4139</v>
      </c>
    </row>
    <row r="9802" spans="1:6">
      <c r="A9802" t="s">
        <v>13931</v>
      </c>
      <c r="B9802" t="s">
        <v>3352</v>
      </c>
      <c r="C9802" t="s">
        <v>22</v>
      </c>
      <c r="D9802" s="1">
        <v>45793</v>
      </c>
      <c r="E9802" t="s">
        <v>4133</v>
      </c>
      <c r="F9802" t="s">
        <v>4125</v>
      </c>
    </row>
    <row r="9803" spans="1:6">
      <c r="A9803" t="s">
        <v>13932</v>
      </c>
      <c r="B9803" t="s">
        <v>3353</v>
      </c>
      <c r="C9803" t="s">
        <v>78</v>
      </c>
      <c r="D9803" s="1">
        <v>45700</v>
      </c>
      <c r="E9803" t="s">
        <v>4127</v>
      </c>
      <c r="F9803" t="s">
        <v>4125</v>
      </c>
    </row>
    <row r="9804" spans="1:6">
      <c r="A9804" t="s">
        <v>13933</v>
      </c>
      <c r="B9804" t="s">
        <v>3353</v>
      </c>
      <c r="C9804" t="s">
        <v>78</v>
      </c>
      <c r="D9804" s="1">
        <v>45686</v>
      </c>
      <c r="E9804" t="s">
        <v>4135</v>
      </c>
      <c r="F9804" t="s">
        <v>4125</v>
      </c>
    </row>
    <row r="9805" spans="1:6">
      <c r="A9805" t="s">
        <v>13934</v>
      </c>
      <c r="B9805" t="s">
        <v>3353</v>
      </c>
      <c r="C9805" t="s">
        <v>78</v>
      </c>
      <c r="D9805" s="1">
        <v>45727</v>
      </c>
      <c r="E9805" t="s">
        <v>4129</v>
      </c>
      <c r="F9805" t="s">
        <v>4139</v>
      </c>
    </row>
    <row r="9806" spans="1:6">
      <c r="A9806" t="s">
        <v>13935</v>
      </c>
      <c r="B9806" t="s">
        <v>3353</v>
      </c>
      <c r="C9806" t="s">
        <v>78</v>
      </c>
      <c r="D9806" s="1">
        <v>45728</v>
      </c>
      <c r="E9806" t="s">
        <v>4135</v>
      </c>
      <c r="F9806" t="s">
        <v>4125</v>
      </c>
    </row>
    <row r="9807" spans="1:6">
      <c r="A9807" t="s">
        <v>13936</v>
      </c>
      <c r="B9807" t="s">
        <v>3353</v>
      </c>
      <c r="C9807" t="s">
        <v>78</v>
      </c>
      <c r="D9807" s="1">
        <v>45672</v>
      </c>
      <c r="E9807" t="s">
        <v>4133</v>
      </c>
      <c r="F9807" t="s">
        <v>4137</v>
      </c>
    </row>
    <row r="9808" spans="1:6">
      <c r="A9808" t="s">
        <v>13937</v>
      </c>
      <c r="B9808" t="s">
        <v>3354</v>
      </c>
      <c r="C9808" t="s">
        <v>126</v>
      </c>
      <c r="D9808" s="1">
        <v>45710</v>
      </c>
      <c r="E9808" t="s">
        <v>4124</v>
      </c>
      <c r="F9808" t="s">
        <v>4139</v>
      </c>
    </row>
    <row r="9809" spans="1:6">
      <c r="A9809" t="s">
        <v>13938</v>
      </c>
      <c r="B9809" t="s">
        <v>3354</v>
      </c>
      <c r="C9809" t="s">
        <v>126</v>
      </c>
      <c r="D9809" s="1">
        <v>45714</v>
      </c>
      <c r="E9809" t="s">
        <v>4135</v>
      </c>
      <c r="F9809" t="s">
        <v>4125</v>
      </c>
    </row>
    <row r="9810" spans="1:6">
      <c r="A9810" t="s">
        <v>13939</v>
      </c>
      <c r="B9810" t="s">
        <v>3354</v>
      </c>
      <c r="C9810" t="s">
        <v>126</v>
      </c>
      <c r="D9810" s="1">
        <v>45712</v>
      </c>
      <c r="E9810" t="s">
        <v>4124</v>
      </c>
      <c r="F9810" t="s">
        <v>4125</v>
      </c>
    </row>
    <row r="9811" spans="1:6">
      <c r="A9811" t="s">
        <v>13940</v>
      </c>
      <c r="B9811" t="s">
        <v>3355</v>
      </c>
      <c r="C9811" t="s">
        <v>56</v>
      </c>
      <c r="D9811" s="1">
        <v>45697</v>
      </c>
      <c r="E9811" t="s">
        <v>4129</v>
      </c>
      <c r="F9811" t="s">
        <v>4137</v>
      </c>
    </row>
    <row r="9812" spans="1:6">
      <c r="A9812" t="s">
        <v>13941</v>
      </c>
      <c r="B9812" t="s">
        <v>3355</v>
      </c>
      <c r="C9812" t="s">
        <v>56</v>
      </c>
      <c r="D9812" s="1">
        <v>45697</v>
      </c>
      <c r="E9812" t="s">
        <v>4127</v>
      </c>
      <c r="F9812" t="s">
        <v>4125</v>
      </c>
    </row>
    <row r="9813" spans="1:6">
      <c r="A9813" t="s">
        <v>13942</v>
      </c>
      <c r="B9813" t="s">
        <v>3355</v>
      </c>
      <c r="C9813" t="s">
        <v>56</v>
      </c>
      <c r="D9813" s="1">
        <v>45701</v>
      </c>
      <c r="E9813" t="s">
        <v>4127</v>
      </c>
      <c r="F9813" t="s">
        <v>4125</v>
      </c>
    </row>
    <row r="9814" spans="1:6">
      <c r="A9814" t="s">
        <v>13943</v>
      </c>
      <c r="B9814" t="s">
        <v>3355</v>
      </c>
      <c r="C9814" t="s">
        <v>56</v>
      </c>
      <c r="D9814" s="1">
        <v>45697</v>
      </c>
      <c r="E9814" t="s">
        <v>4124</v>
      </c>
      <c r="F9814" t="s">
        <v>4137</v>
      </c>
    </row>
    <row r="9815" spans="1:6">
      <c r="A9815" t="s">
        <v>13944</v>
      </c>
      <c r="B9815" t="s">
        <v>3355</v>
      </c>
      <c r="C9815" t="s">
        <v>56</v>
      </c>
      <c r="D9815" s="1">
        <v>45700</v>
      </c>
      <c r="E9815" t="s">
        <v>4124</v>
      </c>
      <c r="F9815" t="s">
        <v>4125</v>
      </c>
    </row>
    <row r="9816" spans="1:6">
      <c r="A9816" t="s">
        <v>13945</v>
      </c>
      <c r="B9816" t="s">
        <v>3356</v>
      </c>
      <c r="C9816" t="s">
        <v>168</v>
      </c>
      <c r="D9816" s="1">
        <v>46012</v>
      </c>
      <c r="E9816" t="s">
        <v>4124</v>
      </c>
      <c r="F9816" t="s">
        <v>4125</v>
      </c>
    </row>
    <row r="9817" spans="1:6">
      <c r="A9817" t="s">
        <v>13946</v>
      </c>
      <c r="B9817" t="s">
        <v>3356</v>
      </c>
      <c r="C9817" t="s">
        <v>168</v>
      </c>
      <c r="D9817" s="1">
        <v>46021</v>
      </c>
      <c r="E9817" t="s">
        <v>4129</v>
      </c>
      <c r="F9817" t="s">
        <v>4139</v>
      </c>
    </row>
    <row r="9818" spans="1:6">
      <c r="A9818" t="s">
        <v>13947</v>
      </c>
      <c r="B9818" t="s">
        <v>3356</v>
      </c>
      <c r="C9818" t="s">
        <v>168</v>
      </c>
      <c r="D9818" s="1">
        <v>46020</v>
      </c>
      <c r="E9818" t="s">
        <v>4135</v>
      </c>
      <c r="F9818" t="s">
        <v>4125</v>
      </c>
    </row>
    <row r="9819" spans="1:6">
      <c r="A9819" t="s">
        <v>13948</v>
      </c>
      <c r="B9819" t="s">
        <v>3356</v>
      </c>
      <c r="C9819" t="s">
        <v>168</v>
      </c>
      <c r="D9819" s="1">
        <v>46017</v>
      </c>
      <c r="E9819" t="s">
        <v>4135</v>
      </c>
      <c r="F9819" t="s">
        <v>4139</v>
      </c>
    </row>
    <row r="9820" spans="1:6">
      <c r="A9820" t="s">
        <v>13949</v>
      </c>
      <c r="B9820" t="s">
        <v>3357</v>
      </c>
      <c r="C9820" t="s">
        <v>22</v>
      </c>
      <c r="D9820" s="1">
        <v>45870</v>
      </c>
      <c r="E9820" t="s">
        <v>4129</v>
      </c>
      <c r="F9820" t="s">
        <v>4137</v>
      </c>
    </row>
    <row r="9821" spans="1:6">
      <c r="A9821" t="s">
        <v>13950</v>
      </c>
      <c r="B9821" t="s">
        <v>3357</v>
      </c>
      <c r="C9821" t="s">
        <v>22</v>
      </c>
      <c r="D9821" s="1">
        <v>45878</v>
      </c>
      <c r="E9821" t="s">
        <v>4127</v>
      </c>
      <c r="F9821" t="s">
        <v>4137</v>
      </c>
    </row>
    <row r="9822" spans="1:6">
      <c r="A9822" t="s">
        <v>13951</v>
      </c>
      <c r="B9822" t="s">
        <v>3357</v>
      </c>
      <c r="C9822" t="s">
        <v>22</v>
      </c>
      <c r="D9822" s="1">
        <v>45891</v>
      </c>
      <c r="E9822" t="s">
        <v>4127</v>
      </c>
      <c r="F9822" t="s">
        <v>4125</v>
      </c>
    </row>
    <row r="9823" spans="1:6">
      <c r="A9823" t="s">
        <v>13952</v>
      </c>
      <c r="B9823" t="s">
        <v>3357</v>
      </c>
      <c r="C9823" t="s">
        <v>22</v>
      </c>
      <c r="D9823" s="1">
        <v>45854</v>
      </c>
      <c r="E9823" t="s">
        <v>4135</v>
      </c>
      <c r="F9823" t="s">
        <v>4125</v>
      </c>
    </row>
    <row r="9824" spans="1:6">
      <c r="A9824" t="s">
        <v>13953</v>
      </c>
      <c r="B9824" t="s">
        <v>3357</v>
      </c>
      <c r="C9824" t="s">
        <v>22</v>
      </c>
      <c r="D9824" s="1">
        <v>45852</v>
      </c>
      <c r="E9824" t="s">
        <v>4133</v>
      </c>
      <c r="F9824" t="s">
        <v>4139</v>
      </c>
    </row>
    <row r="9825" spans="1:6">
      <c r="A9825" t="s">
        <v>13954</v>
      </c>
      <c r="B9825" t="s">
        <v>3358</v>
      </c>
      <c r="C9825" t="s">
        <v>91</v>
      </c>
      <c r="D9825" s="1">
        <v>45790</v>
      </c>
      <c r="E9825" t="s">
        <v>4135</v>
      </c>
      <c r="F9825" t="s">
        <v>4139</v>
      </c>
    </row>
    <row r="9826" spans="1:6">
      <c r="A9826" t="s">
        <v>13955</v>
      </c>
      <c r="B9826" t="s">
        <v>3358</v>
      </c>
      <c r="C9826" t="s">
        <v>91</v>
      </c>
      <c r="D9826" s="1">
        <v>45796</v>
      </c>
      <c r="E9826" t="s">
        <v>4127</v>
      </c>
      <c r="F9826" t="s">
        <v>4125</v>
      </c>
    </row>
    <row r="9827" spans="1:6">
      <c r="A9827" t="s">
        <v>13956</v>
      </c>
      <c r="B9827" t="s">
        <v>3358</v>
      </c>
      <c r="C9827" t="s">
        <v>91</v>
      </c>
      <c r="D9827" s="1">
        <v>45792</v>
      </c>
      <c r="E9827" t="s">
        <v>4135</v>
      </c>
      <c r="F9827" t="s">
        <v>4137</v>
      </c>
    </row>
    <row r="9828" spans="1:6">
      <c r="A9828" t="s">
        <v>13957</v>
      </c>
      <c r="B9828" t="s">
        <v>3359</v>
      </c>
      <c r="C9828" t="s">
        <v>63</v>
      </c>
      <c r="D9828" s="1">
        <v>45787</v>
      </c>
      <c r="E9828" t="s">
        <v>4127</v>
      </c>
      <c r="F9828" t="s">
        <v>4125</v>
      </c>
    </row>
    <row r="9829" spans="1:6">
      <c r="A9829" t="s">
        <v>13958</v>
      </c>
      <c r="B9829" t="s">
        <v>3359</v>
      </c>
      <c r="C9829" t="s">
        <v>63</v>
      </c>
      <c r="D9829" s="1">
        <v>45759</v>
      </c>
      <c r="E9829" t="s">
        <v>4133</v>
      </c>
      <c r="F9829" t="s">
        <v>4139</v>
      </c>
    </row>
    <row r="9830" spans="1:6">
      <c r="A9830" t="s">
        <v>13959</v>
      </c>
      <c r="B9830" t="s">
        <v>3359</v>
      </c>
      <c r="C9830" t="s">
        <v>63</v>
      </c>
      <c r="D9830" s="1">
        <v>45810</v>
      </c>
      <c r="E9830" t="s">
        <v>4133</v>
      </c>
      <c r="F9830" t="s">
        <v>4139</v>
      </c>
    </row>
    <row r="9831" spans="1:6">
      <c r="A9831" t="s">
        <v>13960</v>
      </c>
      <c r="B9831" t="s">
        <v>3359</v>
      </c>
      <c r="C9831" t="s">
        <v>63</v>
      </c>
      <c r="D9831" s="1">
        <v>45765</v>
      </c>
      <c r="E9831" t="s">
        <v>4135</v>
      </c>
      <c r="F9831" t="s">
        <v>4125</v>
      </c>
    </row>
    <row r="9832" spans="1:6">
      <c r="A9832" t="s">
        <v>13961</v>
      </c>
      <c r="B9832" t="s">
        <v>3359</v>
      </c>
      <c r="C9832" t="s">
        <v>63</v>
      </c>
      <c r="D9832" s="1">
        <v>45799</v>
      </c>
      <c r="E9832" t="s">
        <v>4124</v>
      </c>
      <c r="F9832" t="s">
        <v>4139</v>
      </c>
    </row>
    <row r="9833" spans="1:6">
      <c r="A9833" t="s">
        <v>13962</v>
      </c>
      <c r="B9833" t="s">
        <v>3360</v>
      </c>
      <c r="C9833" t="s">
        <v>70</v>
      </c>
      <c r="D9833" s="1">
        <v>45855</v>
      </c>
      <c r="E9833" t="s">
        <v>4127</v>
      </c>
      <c r="F9833" t="s">
        <v>4125</v>
      </c>
    </row>
    <row r="9834" spans="1:6">
      <c r="A9834" t="s">
        <v>13963</v>
      </c>
      <c r="B9834" t="s">
        <v>3360</v>
      </c>
      <c r="C9834" t="s">
        <v>70</v>
      </c>
      <c r="D9834" s="1">
        <v>45912</v>
      </c>
      <c r="E9834" t="s">
        <v>4133</v>
      </c>
      <c r="F9834" t="s">
        <v>4125</v>
      </c>
    </row>
    <row r="9835" spans="1:6">
      <c r="A9835" t="s">
        <v>13964</v>
      </c>
      <c r="B9835" t="s">
        <v>3361</v>
      </c>
      <c r="C9835" t="s">
        <v>78</v>
      </c>
      <c r="D9835" s="1">
        <v>45762</v>
      </c>
      <c r="E9835" t="s">
        <v>4124</v>
      </c>
      <c r="F9835" t="s">
        <v>4125</v>
      </c>
    </row>
    <row r="9836" spans="1:6">
      <c r="A9836" t="s">
        <v>13965</v>
      </c>
      <c r="B9836" t="s">
        <v>3361</v>
      </c>
      <c r="C9836" t="s">
        <v>78</v>
      </c>
      <c r="D9836" s="1">
        <v>45744</v>
      </c>
      <c r="E9836" t="s">
        <v>4127</v>
      </c>
      <c r="F9836" t="s">
        <v>4139</v>
      </c>
    </row>
    <row r="9837" spans="1:6">
      <c r="A9837" t="s">
        <v>13966</v>
      </c>
      <c r="B9837" t="s">
        <v>3361</v>
      </c>
      <c r="C9837" t="s">
        <v>78</v>
      </c>
      <c r="D9837" s="1">
        <v>45766</v>
      </c>
      <c r="E9837" t="s">
        <v>4133</v>
      </c>
      <c r="F9837" t="s">
        <v>4137</v>
      </c>
    </row>
    <row r="9838" spans="1:6">
      <c r="A9838" t="s">
        <v>13967</v>
      </c>
      <c r="B9838" t="s">
        <v>3361</v>
      </c>
      <c r="C9838" t="s">
        <v>78</v>
      </c>
      <c r="D9838" s="1">
        <v>45718</v>
      </c>
      <c r="E9838" t="s">
        <v>4129</v>
      </c>
      <c r="F9838" t="s">
        <v>4137</v>
      </c>
    </row>
    <row r="9839" spans="1:6">
      <c r="A9839" t="s">
        <v>13968</v>
      </c>
      <c r="B9839" t="s">
        <v>3362</v>
      </c>
      <c r="C9839" t="s">
        <v>16</v>
      </c>
      <c r="D9839" s="1">
        <v>45673</v>
      </c>
      <c r="E9839" t="s">
        <v>4129</v>
      </c>
      <c r="F9839" t="s">
        <v>4125</v>
      </c>
    </row>
    <row r="9840" spans="1:6">
      <c r="A9840" t="s">
        <v>13969</v>
      </c>
      <c r="B9840" t="s">
        <v>3362</v>
      </c>
      <c r="C9840" t="s">
        <v>16</v>
      </c>
      <c r="D9840" s="1">
        <v>45680</v>
      </c>
      <c r="E9840" t="s">
        <v>4133</v>
      </c>
      <c r="F9840" t="s">
        <v>4139</v>
      </c>
    </row>
    <row r="9841" spans="1:6">
      <c r="A9841" t="s">
        <v>13970</v>
      </c>
      <c r="B9841" t="s">
        <v>3363</v>
      </c>
      <c r="C9841" t="s">
        <v>91</v>
      </c>
      <c r="D9841" s="1">
        <v>45810</v>
      </c>
      <c r="E9841" t="s">
        <v>4133</v>
      </c>
      <c r="F9841" t="s">
        <v>4125</v>
      </c>
    </row>
    <row r="9842" spans="1:6">
      <c r="A9842" t="s">
        <v>13971</v>
      </c>
      <c r="B9842" t="s">
        <v>3363</v>
      </c>
      <c r="C9842" t="s">
        <v>91</v>
      </c>
      <c r="D9842" s="1">
        <v>45814</v>
      </c>
      <c r="E9842" t="s">
        <v>4127</v>
      </c>
      <c r="F9842" t="s">
        <v>4137</v>
      </c>
    </row>
    <row r="9843" spans="1:6">
      <c r="A9843" t="s">
        <v>13972</v>
      </c>
      <c r="B9843" t="s">
        <v>3363</v>
      </c>
      <c r="C9843" t="s">
        <v>91</v>
      </c>
      <c r="D9843" s="1">
        <v>45817</v>
      </c>
      <c r="E9843" t="s">
        <v>4127</v>
      </c>
      <c r="F9843" t="s">
        <v>4139</v>
      </c>
    </row>
    <row r="9844" spans="1:6">
      <c r="A9844" t="s">
        <v>13973</v>
      </c>
      <c r="B9844" t="s">
        <v>3364</v>
      </c>
      <c r="C9844" t="s">
        <v>32</v>
      </c>
      <c r="D9844" s="1">
        <v>45981</v>
      </c>
      <c r="E9844" t="s">
        <v>4124</v>
      </c>
      <c r="F9844" t="s">
        <v>4137</v>
      </c>
    </row>
    <row r="9845" spans="1:6">
      <c r="A9845" t="s">
        <v>13974</v>
      </c>
      <c r="B9845" t="s">
        <v>3364</v>
      </c>
      <c r="C9845" t="s">
        <v>32</v>
      </c>
      <c r="D9845" s="1">
        <v>45985</v>
      </c>
      <c r="E9845" t="s">
        <v>4135</v>
      </c>
      <c r="F9845" t="s">
        <v>4125</v>
      </c>
    </row>
    <row r="9846" spans="1:6">
      <c r="A9846" t="s">
        <v>13975</v>
      </c>
      <c r="B9846" t="s">
        <v>3364</v>
      </c>
      <c r="C9846" t="s">
        <v>32</v>
      </c>
      <c r="D9846" s="1">
        <v>45980</v>
      </c>
      <c r="E9846" t="s">
        <v>4133</v>
      </c>
      <c r="F9846" t="s">
        <v>4137</v>
      </c>
    </row>
    <row r="9847" spans="1:6">
      <c r="A9847" t="s">
        <v>13976</v>
      </c>
      <c r="B9847" t="s">
        <v>3365</v>
      </c>
      <c r="C9847" t="s">
        <v>53</v>
      </c>
      <c r="D9847" s="1">
        <v>45905</v>
      </c>
      <c r="E9847" t="s">
        <v>4127</v>
      </c>
      <c r="F9847" t="s">
        <v>4139</v>
      </c>
    </row>
    <row r="9848" spans="1:6">
      <c r="A9848" t="s">
        <v>13977</v>
      </c>
      <c r="B9848" t="s">
        <v>3365</v>
      </c>
      <c r="C9848" t="s">
        <v>53</v>
      </c>
      <c r="D9848" s="1">
        <v>45947</v>
      </c>
      <c r="E9848" t="s">
        <v>4127</v>
      </c>
      <c r="F9848" t="s">
        <v>4139</v>
      </c>
    </row>
    <row r="9849" spans="1:6">
      <c r="A9849" t="s">
        <v>13978</v>
      </c>
      <c r="B9849" t="s">
        <v>3365</v>
      </c>
      <c r="C9849" t="s">
        <v>53</v>
      </c>
      <c r="D9849" s="1">
        <v>45967</v>
      </c>
      <c r="E9849" t="s">
        <v>4135</v>
      </c>
      <c r="F9849" t="s">
        <v>4139</v>
      </c>
    </row>
    <row r="9850" spans="1:6">
      <c r="A9850" t="s">
        <v>13979</v>
      </c>
      <c r="B9850" t="s">
        <v>3365</v>
      </c>
      <c r="C9850" t="s">
        <v>53</v>
      </c>
      <c r="D9850" s="1">
        <v>45940</v>
      </c>
      <c r="E9850" t="s">
        <v>4127</v>
      </c>
      <c r="F9850" t="s">
        <v>4125</v>
      </c>
    </row>
    <row r="9851" spans="1:6">
      <c r="A9851" t="s">
        <v>13980</v>
      </c>
      <c r="B9851" t="s">
        <v>3366</v>
      </c>
      <c r="C9851" t="s">
        <v>152</v>
      </c>
      <c r="D9851" s="1">
        <v>45767</v>
      </c>
      <c r="E9851" t="s">
        <v>4129</v>
      </c>
      <c r="F9851" t="s">
        <v>4125</v>
      </c>
    </row>
    <row r="9852" spans="1:6">
      <c r="A9852" t="s">
        <v>13981</v>
      </c>
      <c r="B9852" t="s">
        <v>3366</v>
      </c>
      <c r="C9852" t="s">
        <v>152</v>
      </c>
      <c r="D9852" s="1">
        <v>45779</v>
      </c>
      <c r="E9852" t="s">
        <v>4127</v>
      </c>
      <c r="F9852" t="s">
        <v>4139</v>
      </c>
    </row>
    <row r="9853" spans="1:6">
      <c r="A9853" t="s">
        <v>13982</v>
      </c>
      <c r="B9853" t="s">
        <v>3366</v>
      </c>
      <c r="C9853" t="s">
        <v>152</v>
      </c>
      <c r="D9853" s="1">
        <v>45781</v>
      </c>
      <c r="E9853" t="s">
        <v>4129</v>
      </c>
      <c r="F9853" t="s">
        <v>4137</v>
      </c>
    </row>
    <row r="9854" spans="1:6">
      <c r="A9854" t="s">
        <v>13983</v>
      </c>
      <c r="B9854" t="s">
        <v>3366</v>
      </c>
      <c r="C9854" t="s">
        <v>152</v>
      </c>
      <c r="D9854" s="1">
        <v>45789</v>
      </c>
      <c r="E9854" t="s">
        <v>4127</v>
      </c>
      <c r="F9854" t="s">
        <v>4139</v>
      </c>
    </row>
    <row r="9855" spans="1:6">
      <c r="A9855" t="s">
        <v>13984</v>
      </c>
      <c r="B9855" t="s">
        <v>3367</v>
      </c>
      <c r="C9855" t="s">
        <v>40</v>
      </c>
      <c r="D9855" s="1">
        <v>45928</v>
      </c>
      <c r="E9855" t="s">
        <v>4127</v>
      </c>
      <c r="F9855" t="s">
        <v>4137</v>
      </c>
    </row>
    <row r="9856" spans="1:6">
      <c r="A9856" t="s">
        <v>13985</v>
      </c>
      <c r="B9856" t="s">
        <v>3367</v>
      </c>
      <c r="C9856" t="s">
        <v>40</v>
      </c>
      <c r="D9856" s="1">
        <v>45927</v>
      </c>
      <c r="E9856" t="s">
        <v>4124</v>
      </c>
      <c r="F9856" t="s">
        <v>4125</v>
      </c>
    </row>
    <row r="9857" spans="1:6">
      <c r="A9857" t="s">
        <v>13986</v>
      </c>
      <c r="B9857" t="s">
        <v>3367</v>
      </c>
      <c r="C9857" t="s">
        <v>40</v>
      </c>
      <c r="D9857" s="1">
        <v>45925</v>
      </c>
      <c r="E9857" t="s">
        <v>4129</v>
      </c>
      <c r="F9857" t="s">
        <v>4125</v>
      </c>
    </row>
    <row r="9858" spans="1:6">
      <c r="A9858" t="s">
        <v>13987</v>
      </c>
      <c r="B9858" t="s">
        <v>3368</v>
      </c>
      <c r="C9858" t="s">
        <v>16</v>
      </c>
      <c r="D9858" s="1">
        <v>45833</v>
      </c>
      <c r="E9858" t="s">
        <v>4133</v>
      </c>
      <c r="F9858" t="s">
        <v>4139</v>
      </c>
    </row>
    <row r="9859" spans="1:6">
      <c r="A9859" t="s">
        <v>13988</v>
      </c>
      <c r="B9859" t="s">
        <v>3368</v>
      </c>
      <c r="C9859" t="s">
        <v>16</v>
      </c>
      <c r="D9859" s="1">
        <v>45851</v>
      </c>
      <c r="E9859" t="s">
        <v>4129</v>
      </c>
      <c r="F9859" t="s">
        <v>4125</v>
      </c>
    </row>
    <row r="9860" spans="1:6">
      <c r="A9860" t="s">
        <v>13989</v>
      </c>
      <c r="B9860" t="s">
        <v>3369</v>
      </c>
      <c r="C9860" t="s">
        <v>27</v>
      </c>
      <c r="D9860" s="1">
        <v>45946</v>
      </c>
      <c r="E9860" t="s">
        <v>4127</v>
      </c>
      <c r="F9860" t="s">
        <v>4137</v>
      </c>
    </row>
    <row r="9861" spans="1:6">
      <c r="A9861" t="s">
        <v>13990</v>
      </c>
      <c r="B9861" t="s">
        <v>3369</v>
      </c>
      <c r="C9861" t="s">
        <v>27</v>
      </c>
      <c r="D9861" s="1">
        <v>45945</v>
      </c>
      <c r="E9861" t="s">
        <v>4129</v>
      </c>
      <c r="F9861" t="s">
        <v>4125</v>
      </c>
    </row>
    <row r="9862" spans="1:6">
      <c r="A9862" t="s">
        <v>13991</v>
      </c>
      <c r="B9862" t="s">
        <v>3370</v>
      </c>
      <c r="C9862" t="s">
        <v>78</v>
      </c>
      <c r="D9862" s="1">
        <v>45880</v>
      </c>
      <c r="E9862" t="s">
        <v>4135</v>
      </c>
      <c r="F9862" t="s">
        <v>4125</v>
      </c>
    </row>
    <row r="9863" spans="1:6">
      <c r="A9863" t="s">
        <v>13992</v>
      </c>
      <c r="B9863" t="s">
        <v>3370</v>
      </c>
      <c r="C9863" t="s">
        <v>78</v>
      </c>
      <c r="D9863" s="1">
        <v>45900</v>
      </c>
      <c r="E9863" t="s">
        <v>4127</v>
      </c>
      <c r="F9863" t="s">
        <v>4139</v>
      </c>
    </row>
    <row r="9864" spans="1:6">
      <c r="A9864" t="s">
        <v>13993</v>
      </c>
      <c r="B9864" t="s">
        <v>3371</v>
      </c>
      <c r="C9864" t="s">
        <v>126</v>
      </c>
      <c r="D9864" s="1">
        <v>46007</v>
      </c>
      <c r="E9864" t="s">
        <v>4135</v>
      </c>
      <c r="F9864" t="s">
        <v>4137</v>
      </c>
    </row>
    <row r="9865" spans="1:6">
      <c r="A9865" t="s">
        <v>13994</v>
      </c>
      <c r="B9865" t="s">
        <v>3371</v>
      </c>
      <c r="C9865" t="s">
        <v>126</v>
      </c>
      <c r="D9865" s="1">
        <v>46008</v>
      </c>
      <c r="E9865" t="s">
        <v>4129</v>
      </c>
      <c r="F9865" t="s">
        <v>4125</v>
      </c>
    </row>
    <row r="9866" spans="1:6">
      <c r="A9866" t="s">
        <v>13995</v>
      </c>
      <c r="B9866" t="s">
        <v>3371</v>
      </c>
      <c r="C9866" t="s">
        <v>126</v>
      </c>
      <c r="D9866" s="1">
        <v>46016</v>
      </c>
      <c r="E9866" t="s">
        <v>4133</v>
      </c>
      <c r="F9866" t="s">
        <v>4139</v>
      </c>
    </row>
    <row r="9867" spans="1:6">
      <c r="A9867" t="s">
        <v>13996</v>
      </c>
      <c r="B9867" t="s">
        <v>3372</v>
      </c>
      <c r="C9867" t="s">
        <v>70</v>
      </c>
      <c r="D9867" s="1">
        <v>45703</v>
      </c>
      <c r="E9867" t="s">
        <v>4135</v>
      </c>
      <c r="F9867" t="s">
        <v>4137</v>
      </c>
    </row>
    <row r="9868" spans="1:6">
      <c r="A9868" t="s">
        <v>13997</v>
      </c>
      <c r="B9868" t="s">
        <v>3372</v>
      </c>
      <c r="C9868" t="s">
        <v>70</v>
      </c>
      <c r="D9868" s="1">
        <v>45708</v>
      </c>
      <c r="E9868" t="s">
        <v>4135</v>
      </c>
      <c r="F9868" t="s">
        <v>4139</v>
      </c>
    </row>
    <row r="9869" spans="1:6">
      <c r="A9869" t="s">
        <v>13998</v>
      </c>
      <c r="B9869" t="s">
        <v>3372</v>
      </c>
      <c r="C9869" t="s">
        <v>70</v>
      </c>
      <c r="D9869" s="1">
        <v>45700</v>
      </c>
      <c r="E9869" t="s">
        <v>4133</v>
      </c>
      <c r="F9869" t="s">
        <v>4137</v>
      </c>
    </row>
    <row r="9870" spans="1:6">
      <c r="A9870" t="s">
        <v>13999</v>
      </c>
      <c r="B9870" t="s">
        <v>3373</v>
      </c>
      <c r="C9870" t="s">
        <v>152</v>
      </c>
      <c r="D9870" s="1">
        <v>45825</v>
      </c>
      <c r="E9870" t="s">
        <v>4135</v>
      </c>
      <c r="F9870" t="s">
        <v>4137</v>
      </c>
    </row>
    <row r="9871" spans="1:6">
      <c r="A9871" t="s">
        <v>14000</v>
      </c>
      <c r="B9871" t="s">
        <v>3373</v>
      </c>
      <c r="C9871" t="s">
        <v>152</v>
      </c>
      <c r="D9871" s="1">
        <v>45844</v>
      </c>
      <c r="E9871" t="s">
        <v>4127</v>
      </c>
      <c r="F9871" t="s">
        <v>4125</v>
      </c>
    </row>
    <row r="9872" spans="1:6">
      <c r="A9872" t="s">
        <v>14001</v>
      </c>
      <c r="B9872" t="s">
        <v>3373</v>
      </c>
      <c r="C9872" t="s">
        <v>152</v>
      </c>
      <c r="D9872" s="1">
        <v>45882</v>
      </c>
      <c r="E9872" t="s">
        <v>4129</v>
      </c>
      <c r="F9872" t="s">
        <v>4139</v>
      </c>
    </row>
    <row r="9873" spans="1:6">
      <c r="A9873" t="s">
        <v>14002</v>
      </c>
      <c r="B9873" t="s">
        <v>3373</v>
      </c>
      <c r="C9873" t="s">
        <v>152</v>
      </c>
      <c r="D9873" s="1">
        <v>45824</v>
      </c>
      <c r="E9873" t="s">
        <v>4127</v>
      </c>
      <c r="F9873" t="s">
        <v>4137</v>
      </c>
    </row>
    <row r="9874" spans="1:6">
      <c r="A9874" t="s">
        <v>14003</v>
      </c>
      <c r="B9874" t="s">
        <v>3373</v>
      </c>
      <c r="C9874" t="s">
        <v>152</v>
      </c>
      <c r="D9874" s="1">
        <v>45885</v>
      </c>
      <c r="E9874" t="s">
        <v>4135</v>
      </c>
      <c r="F9874" t="s">
        <v>4137</v>
      </c>
    </row>
    <row r="9875" spans="1:6">
      <c r="A9875" t="s">
        <v>14004</v>
      </c>
      <c r="B9875" t="s">
        <v>3374</v>
      </c>
      <c r="C9875" t="s">
        <v>22</v>
      </c>
      <c r="D9875" s="1">
        <v>45776</v>
      </c>
      <c r="E9875" t="s">
        <v>4133</v>
      </c>
      <c r="F9875" t="s">
        <v>4125</v>
      </c>
    </row>
    <row r="9876" spans="1:6">
      <c r="A9876" t="s">
        <v>14005</v>
      </c>
      <c r="B9876" t="s">
        <v>3374</v>
      </c>
      <c r="C9876" t="s">
        <v>22</v>
      </c>
      <c r="D9876" s="1">
        <v>45805</v>
      </c>
      <c r="E9876" t="s">
        <v>4129</v>
      </c>
      <c r="F9876" t="s">
        <v>4139</v>
      </c>
    </row>
    <row r="9877" spans="1:6">
      <c r="A9877" t="s">
        <v>14006</v>
      </c>
      <c r="B9877" t="s">
        <v>3375</v>
      </c>
      <c r="C9877" t="s">
        <v>22</v>
      </c>
      <c r="D9877" s="1">
        <v>46011</v>
      </c>
      <c r="E9877" t="s">
        <v>4127</v>
      </c>
      <c r="F9877" t="s">
        <v>4139</v>
      </c>
    </row>
    <row r="9878" spans="1:6">
      <c r="A9878" t="s">
        <v>14007</v>
      </c>
      <c r="B9878" t="s">
        <v>3375</v>
      </c>
      <c r="C9878" t="s">
        <v>22</v>
      </c>
      <c r="D9878" s="1">
        <v>46006</v>
      </c>
      <c r="E9878" t="s">
        <v>4135</v>
      </c>
      <c r="F9878" t="s">
        <v>4137</v>
      </c>
    </row>
    <row r="9879" spans="1:6">
      <c r="A9879" t="s">
        <v>14008</v>
      </c>
      <c r="B9879" t="s">
        <v>3375</v>
      </c>
      <c r="C9879" t="s">
        <v>22</v>
      </c>
      <c r="D9879" s="1">
        <v>46017</v>
      </c>
      <c r="E9879" t="s">
        <v>4124</v>
      </c>
      <c r="F9879" t="s">
        <v>4139</v>
      </c>
    </row>
    <row r="9880" spans="1:6">
      <c r="A9880" t="s">
        <v>14009</v>
      </c>
      <c r="B9880" t="s">
        <v>3375</v>
      </c>
      <c r="C9880" t="s">
        <v>22</v>
      </c>
      <c r="D9880" s="1">
        <v>45997</v>
      </c>
      <c r="E9880" t="s">
        <v>4129</v>
      </c>
      <c r="F9880" t="s">
        <v>4137</v>
      </c>
    </row>
    <row r="9881" spans="1:6">
      <c r="A9881" t="s">
        <v>14010</v>
      </c>
      <c r="B9881" t="s">
        <v>3375</v>
      </c>
      <c r="C9881" t="s">
        <v>22</v>
      </c>
      <c r="D9881" s="1">
        <v>46019</v>
      </c>
      <c r="E9881" t="s">
        <v>4127</v>
      </c>
      <c r="F9881" t="s">
        <v>4139</v>
      </c>
    </row>
    <row r="9882" spans="1:6">
      <c r="A9882" t="s">
        <v>14011</v>
      </c>
      <c r="B9882" t="s">
        <v>3376</v>
      </c>
      <c r="C9882" t="s">
        <v>59</v>
      </c>
      <c r="D9882" s="1">
        <v>45991</v>
      </c>
      <c r="E9882" t="s">
        <v>4127</v>
      </c>
      <c r="F9882" t="s">
        <v>4137</v>
      </c>
    </row>
    <row r="9883" spans="1:6">
      <c r="A9883" t="s">
        <v>14012</v>
      </c>
      <c r="B9883" t="s">
        <v>3376</v>
      </c>
      <c r="C9883" t="s">
        <v>59</v>
      </c>
      <c r="D9883" s="1">
        <v>45975</v>
      </c>
      <c r="E9883" t="s">
        <v>4124</v>
      </c>
      <c r="F9883" t="s">
        <v>4137</v>
      </c>
    </row>
    <row r="9884" spans="1:6">
      <c r="A9884" t="s">
        <v>14013</v>
      </c>
      <c r="B9884" t="s">
        <v>3376</v>
      </c>
      <c r="C9884" t="s">
        <v>59</v>
      </c>
      <c r="D9884" s="1">
        <v>45991</v>
      </c>
      <c r="E9884" t="s">
        <v>4135</v>
      </c>
      <c r="F9884" t="s">
        <v>4139</v>
      </c>
    </row>
    <row r="9885" spans="1:6">
      <c r="A9885" t="s">
        <v>14014</v>
      </c>
      <c r="B9885" t="s">
        <v>3376</v>
      </c>
      <c r="C9885" t="s">
        <v>59</v>
      </c>
      <c r="D9885" s="1">
        <v>45976</v>
      </c>
      <c r="E9885" t="s">
        <v>4133</v>
      </c>
      <c r="F9885" t="s">
        <v>4139</v>
      </c>
    </row>
    <row r="9886" spans="1:6">
      <c r="A9886" t="s">
        <v>14015</v>
      </c>
      <c r="B9886" t="s">
        <v>3377</v>
      </c>
      <c r="C9886" t="s">
        <v>50</v>
      </c>
      <c r="D9886" s="1">
        <v>45828</v>
      </c>
      <c r="E9886" t="s">
        <v>4133</v>
      </c>
      <c r="F9886" t="s">
        <v>4137</v>
      </c>
    </row>
    <row r="9887" spans="1:6">
      <c r="A9887" t="s">
        <v>14016</v>
      </c>
      <c r="B9887" t="s">
        <v>3377</v>
      </c>
      <c r="C9887" t="s">
        <v>50</v>
      </c>
      <c r="D9887" s="1">
        <v>45830</v>
      </c>
      <c r="E9887" t="s">
        <v>4133</v>
      </c>
      <c r="F9887" t="s">
        <v>4125</v>
      </c>
    </row>
    <row r="9888" spans="1:6">
      <c r="A9888" t="s">
        <v>14017</v>
      </c>
      <c r="B9888" t="s">
        <v>3378</v>
      </c>
      <c r="C9888" t="s">
        <v>75</v>
      </c>
      <c r="D9888" s="1">
        <v>45753</v>
      </c>
      <c r="E9888" t="s">
        <v>4129</v>
      </c>
      <c r="F9888" t="s">
        <v>4125</v>
      </c>
    </row>
    <row r="9889" spans="1:6">
      <c r="A9889" t="s">
        <v>14018</v>
      </c>
      <c r="B9889" t="s">
        <v>3378</v>
      </c>
      <c r="C9889" t="s">
        <v>75</v>
      </c>
      <c r="D9889" s="1">
        <v>45749</v>
      </c>
      <c r="E9889" t="s">
        <v>4124</v>
      </c>
      <c r="F9889" t="s">
        <v>4137</v>
      </c>
    </row>
    <row r="9890" spans="1:6">
      <c r="A9890" t="s">
        <v>14019</v>
      </c>
      <c r="B9890" t="s">
        <v>3378</v>
      </c>
      <c r="C9890" t="s">
        <v>75</v>
      </c>
      <c r="D9890" s="1">
        <v>45769</v>
      </c>
      <c r="E9890" t="s">
        <v>4133</v>
      </c>
      <c r="F9890" t="s">
        <v>4139</v>
      </c>
    </row>
    <row r="9891" spans="1:6">
      <c r="A9891" t="s">
        <v>14020</v>
      </c>
      <c r="B9891" t="s">
        <v>3379</v>
      </c>
      <c r="C9891" t="s">
        <v>59</v>
      </c>
      <c r="D9891" s="1">
        <v>45822</v>
      </c>
      <c r="E9891" t="s">
        <v>4127</v>
      </c>
      <c r="F9891" t="s">
        <v>4137</v>
      </c>
    </row>
    <row r="9892" spans="1:6">
      <c r="A9892" t="s">
        <v>14021</v>
      </c>
      <c r="B9892" t="s">
        <v>3379</v>
      </c>
      <c r="C9892" t="s">
        <v>59</v>
      </c>
      <c r="D9892" s="1">
        <v>45806</v>
      </c>
      <c r="E9892" t="s">
        <v>4133</v>
      </c>
      <c r="F9892" t="s">
        <v>4139</v>
      </c>
    </row>
    <row r="9893" spans="1:6">
      <c r="A9893" t="s">
        <v>14022</v>
      </c>
      <c r="B9893" t="s">
        <v>3379</v>
      </c>
      <c r="C9893" t="s">
        <v>59</v>
      </c>
      <c r="D9893" s="1">
        <v>45840</v>
      </c>
      <c r="E9893" t="s">
        <v>4127</v>
      </c>
      <c r="F9893" t="s">
        <v>4137</v>
      </c>
    </row>
    <row r="9894" spans="1:6">
      <c r="A9894" t="s">
        <v>14023</v>
      </c>
      <c r="B9894" t="s">
        <v>3379</v>
      </c>
      <c r="C9894" t="s">
        <v>59</v>
      </c>
      <c r="D9894" s="1">
        <v>45838</v>
      </c>
      <c r="E9894" t="s">
        <v>4124</v>
      </c>
      <c r="F9894" t="s">
        <v>4137</v>
      </c>
    </row>
    <row r="9895" spans="1:6">
      <c r="A9895" t="s">
        <v>14024</v>
      </c>
      <c r="B9895" t="s">
        <v>3380</v>
      </c>
      <c r="C9895" t="s">
        <v>27</v>
      </c>
      <c r="D9895" s="1">
        <v>46014</v>
      </c>
      <c r="E9895" t="s">
        <v>4135</v>
      </c>
      <c r="F9895" t="s">
        <v>4139</v>
      </c>
    </row>
    <row r="9896" spans="1:6">
      <c r="A9896" t="s">
        <v>14025</v>
      </c>
      <c r="B9896" t="s">
        <v>3380</v>
      </c>
      <c r="C9896" t="s">
        <v>27</v>
      </c>
      <c r="D9896" s="1">
        <v>46000</v>
      </c>
      <c r="E9896" t="s">
        <v>4127</v>
      </c>
      <c r="F9896" t="s">
        <v>4139</v>
      </c>
    </row>
    <row r="9897" spans="1:6">
      <c r="A9897" t="s">
        <v>14026</v>
      </c>
      <c r="B9897" t="s">
        <v>3381</v>
      </c>
      <c r="C9897" t="s">
        <v>22</v>
      </c>
      <c r="D9897" s="1">
        <v>45765</v>
      </c>
      <c r="E9897" t="s">
        <v>4124</v>
      </c>
      <c r="F9897" t="s">
        <v>4139</v>
      </c>
    </row>
    <row r="9898" spans="1:6">
      <c r="A9898" t="s">
        <v>14027</v>
      </c>
      <c r="B9898" t="s">
        <v>3381</v>
      </c>
      <c r="C9898" t="s">
        <v>22</v>
      </c>
      <c r="D9898" s="1">
        <v>45781</v>
      </c>
      <c r="E9898" t="s">
        <v>4127</v>
      </c>
      <c r="F9898" t="s">
        <v>4139</v>
      </c>
    </row>
    <row r="9899" spans="1:6">
      <c r="A9899" t="s">
        <v>14028</v>
      </c>
      <c r="B9899" t="s">
        <v>3381</v>
      </c>
      <c r="C9899" t="s">
        <v>22</v>
      </c>
      <c r="D9899" s="1">
        <v>45816</v>
      </c>
      <c r="E9899" t="s">
        <v>4124</v>
      </c>
      <c r="F9899" t="s">
        <v>4137</v>
      </c>
    </row>
    <row r="9900" spans="1:6">
      <c r="A9900" t="s">
        <v>14029</v>
      </c>
      <c r="B9900" t="s">
        <v>3381</v>
      </c>
      <c r="C9900" t="s">
        <v>22</v>
      </c>
      <c r="D9900" s="1">
        <v>45812</v>
      </c>
      <c r="E9900" t="s">
        <v>4133</v>
      </c>
      <c r="F9900" t="s">
        <v>4137</v>
      </c>
    </row>
    <row r="9901" spans="1:6">
      <c r="A9901" t="s">
        <v>14030</v>
      </c>
      <c r="B9901" t="s">
        <v>3381</v>
      </c>
      <c r="C9901" t="s">
        <v>22</v>
      </c>
      <c r="D9901" s="1">
        <v>45803</v>
      </c>
      <c r="E9901" t="s">
        <v>4133</v>
      </c>
      <c r="F9901" t="s">
        <v>4125</v>
      </c>
    </row>
    <row r="9902" spans="1:6">
      <c r="A9902" t="s">
        <v>14031</v>
      </c>
      <c r="B9902" t="s">
        <v>3382</v>
      </c>
      <c r="C9902" t="s">
        <v>78</v>
      </c>
      <c r="D9902" s="1">
        <v>45881</v>
      </c>
      <c r="E9902" t="s">
        <v>4135</v>
      </c>
      <c r="F9902" t="s">
        <v>4139</v>
      </c>
    </row>
    <row r="9903" spans="1:6">
      <c r="A9903" t="s">
        <v>14032</v>
      </c>
      <c r="B9903" t="s">
        <v>3382</v>
      </c>
      <c r="C9903" t="s">
        <v>78</v>
      </c>
      <c r="D9903" s="1">
        <v>45882</v>
      </c>
      <c r="E9903" t="s">
        <v>4127</v>
      </c>
      <c r="F9903" t="s">
        <v>4137</v>
      </c>
    </row>
    <row r="9904" spans="1:6">
      <c r="A9904" t="s">
        <v>14033</v>
      </c>
      <c r="B9904" t="s">
        <v>3382</v>
      </c>
      <c r="C9904" t="s">
        <v>78</v>
      </c>
      <c r="D9904" s="1">
        <v>45880</v>
      </c>
      <c r="E9904" t="s">
        <v>4133</v>
      </c>
      <c r="F9904" t="s">
        <v>4125</v>
      </c>
    </row>
    <row r="9905" spans="1:6">
      <c r="A9905" t="s">
        <v>14034</v>
      </c>
      <c r="B9905" t="s">
        <v>3382</v>
      </c>
      <c r="C9905" t="s">
        <v>78</v>
      </c>
      <c r="D9905" s="1">
        <v>45887</v>
      </c>
      <c r="E9905" t="s">
        <v>4127</v>
      </c>
      <c r="F9905" t="s">
        <v>4139</v>
      </c>
    </row>
    <row r="9906" spans="1:6">
      <c r="A9906" t="s">
        <v>14035</v>
      </c>
      <c r="B9906" t="s">
        <v>3383</v>
      </c>
      <c r="C9906" t="s">
        <v>16</v>
      </c>
      <c r="D9906" s="1">
        <v>45697</v>
      </c>
      <c r="E9906" t="s">
        <v>4135</v>
      </c>
      <c r="F9906" t="s">
        <v>4137</v>
      </c>
    </row>
    <row r="9907" spans="1:6">
      <c r="A9907" t="s">
        <v>14036</v>
      </c>
      <c r="B9907" t="s">
        <v>3383</v>
      </c>
      <c r="C9907" t="s">
        <v>16</v>
      </c>
      <c r="D9907" s="1">
        <v>45702</v>
      </c>
      <c r="E9907" t="s">
        <v>4124</v>
      </c>
      <c r="F9907" t="s">
        <v>4139</v>
      </c>
    </row>
    <row r="9908" spans="1:6">
      <c r="A9908" t="s">
        <v>14037</v>
      </c>
      <c r="B9908" t="s">
        <v>3383</v>
      </c>
      <c r="C9908" t="s">
        <v>16</v>
      </c>
      <c r="D9908" s="1">
        <v>45665</v>
      </c>
      <c r="E9908" t="s">
        <v>4133</v>
      </c>
      <c r="F9908" t="s">
        <v>4139</v>
      </c>
    </row>
    <row r="9909" spans="1:6">
      <c r="A9909" t="s">
        <v>14038</v>
      </c>
      <c r="B9909" t="s">
        <v>3383</v>
      </c>
      <c r="C9909" t="s">
        <v>16</v>
      </c>
      <c r="D9909" s="1">
        <v>45700</v>
      </c>
      <c r="E9909" t="s">
        <v>4135</v>
      </c>
      <c r="F9909" t="s">
        <v>4139</v>
      </c>
    </row>
    <row r="9910" spans="1:6">
      <c r="A9910" t="s">
        <v>14039</v>
      </c>
      <c r="B9910" t="s">
        <v>3384</v>
      </c>
      <c r="C9910" t="s">
        <v>36</v>
      </c>
      <c r="D9910" s="1">
        <v>45721</v>
      </c>
      <c r="E9910" t="s">
        <v>4124</v>
      </c>
      <c r="F9910" t="s">
        <v>4139</v>
      </c>
    </row>
    <row r="9911" spans="1:6">
      <c r="A9911" t="s">
        <v>14040</v>
      </c>
      <c r="B9911" t="s">
        <v>3384</v>
      </c>
      <c r="C9911" t="s">
        <v>36</v>
      </c>
      <c r="D9911" s="1">
        <v>45718</v>
      </c>
      <c r="E9911" t="s">
        <v>4129</v>
      </c>
      <c r="F9911" t="s">
        <v>4125</v>
      </c>
    </row>
    <row r="9912" spans="1:6">
      <c r="A9912" t="s">
        <v>14041</v>
      </c>
      <c r="B9912" t="s">
        <v>3384</v>
      </c>
      <c r="C9912" t="s">
        <v>36</v>
      </c>
      <c r="D9912" s="1">
        <v>45726</v>
      </c>
      <c r="E9912" t="s">
        <v>4129</v>
      </c>
      <c r="F9912" t="s">
        <v>4139</v>
      </c>
    </row>
    <row r="9913" spans="1:6">
      <c r="A9913" t="s">
        <v>14042</v>
      </c>
      <c r="B9913" t="s">
        <v>3385</v>
      </c>
      <c r="C9913" t="s">
        <v>50</v>
      </c>
      <c r="D9913" s="1">
        <v>45905</v>
      </c>
      <c r="E9913" t="s">
        <v>4129</v>
      </c>
      <c r="F9913" t="s">
        <v>4139</v>
      </c>
    </row>
    <row r="9914" spans="1:6">
      <c r="A9914" t="s">
        <v>14043</v>
      </c>
      <c r="B9914" t="s">
        <v>3385</v>
      </c>
      <c r="C9914" t="s">
        <v>50</v>
      </c>
      <c r="D9914" s="1">
        <v>45916</v>
      </c>
      <c r="E9914" t="s">
        <v>4127</v>
      </c>
      <c r="F9914" t="s">
        <v>4137</v>
      </c>
    </row>
    <row r="9915" spans="1:6">
      <c r="A9915" t="s">
        <v>14044</v>
      </c>
      <c r="B9915" t="s">
        <v>3386</v>
      </c>
      <c r="C9915" t="s">
        <v>53</v>
      </c>
      <c r="D9915" s="1">
        <v>45762</v>
      </c>
      <c r="E9915" t="s">
        <v>4135</v>
      </c>
      <c r="F9915" t="s">
        <v>4137</v>
      </c>
    </row>
    <row r="9916" spans="1:6">
      <c r="A9916" t="s">
        <v>14045</v>
      </c>
      <c r="B9916" t="s">
        <v>3386</v>
      </c>
      <c r="C9916" t="s">
        <v>53</v>
      </c>
      <c r="D9916" s="1">
        <v>45721</v>
      </c>
      <c r="E9916" t="s">
        <v>4127</v>
      </c>
      <c r="F9916" t="s">
        <v>4139</v>
      </c>
    </row>
    <row r="9917" spans="1:6">
      <c r="A9917" t="s">
        <v>14046</v>
      </c>
      <c r="B9917" t="s">
        <v>3386</v>
      </c>
      <c r="C9917" t="s">
        <v>53</v>
      </c>
      <c r="D9917" s="1">
        <v>45776</v>
      </c>
      <c r="E9917" t="s">
        <v>4129</v>
      </c>
      <c r="F9917" t="s">
        <v>4139</v>
      </c>
    </row>
    <row r="9918" spans="1:6">
      <c r="A9918" t="s">
        <v>14047</v>
      </c>
      <c r="B9918" t="s">
        <v>3387</v>
      </c>
      <c r="C9918" t="s">
        <v>53</v>
      </c>
      <c r="D9918" s="1">
        <v>45868</v>
      </c>
      <c r="E9918" t="s">
        <v>4135</v>
      </c>
      <c r="F9918" t="s">
        <v>4139</v>
      </c>
    </row>
    <row r="9919" spans="1:6">
      <c r="A9919" t="s">
        <v>14048</v>
      </c>
      <c r="B9919" t="s">
        <v>3387</v>
      </c>
      <c r="C9919" t="s">
        <v>53</v>
      </c>
      <c r="D9919" s="1">
        <v>45903</v>
      </c>
      <c r="E9919" t="s">
        <v>4124</v>
      </c>
      <c r="F9919" t="s">
        <v>4137</v>
      </c>
    </row>
    <row r="9920" spans="1:6">
      <c r="A9920" t="s">
        <v>14049</v>
      </c>
      <c r="B9920" t="s">
        <v>3387</v>
      </c>
      <c r="C9920" t="s">
        <v>53</v>
      </c>
      <c r="D9920" s="1">
        <v>45900</v>
      </c>
      <c r="E9920" t="s">
        <v>4135</v>
      </c>
      <c r="F9920" t="s">
        <v>4139</v>
      </c>
    </row>
    <row r="9921" spans="1:6">
      <c r="A9921" t="s">
        <v>14050</v>
      </c>
      <c r="B9921" t="s">
        <v>3388</v>
      </c>
      <c r="C9921" t="s">
        <v>78</v>
      </c>
      <c r="D9921" s="1">
        <v>45968</v>
      </c>
      <c r="E9921" t="s">
        <v>4124</v>
      </c>
      <c r="F9921" t="s">
        <v>4137</v>
      </c>
    </row>
    <row r="9922" spans="1:6">
      <c r="A9922" t="s">
        <v>14051</v>
      </c>
      <c r="B9922" t="s">
        <v>3388</v>
      </c>
      <c r="C9922" t="s">
        <v>78</v>
      </c>
      <c r="D9922" s="1">
        <v>45950</v>
      </c>
      <c r="E9922" t="s">
        <v>4127</v>
      </c>
      <c r="F9922" t="s">
        <v>4139</v>
      </c>
    </row>
    <row r="9923" spans="1:6">
      <c r="A9923" t="s">
        <v>14052</v>
      </c>
      <c r="B9923" t="s">
        <v>3388</v>
      </c>
      <c r="C9923" t="s">
        <v>78</v>
      </c>
      <c r="D9923" s="1">
        <v>45913</v>
      </c>
      <c r="E9923" t="s">
        <v>4129</v>
      </c>
      <c r="F9923" t="s">
        <v>4139</v>
      </c>
    </row>
    <row r="9924" spans="1:6">
      <c r="A9924" t="s">
        <v>14053</v>
      </c>
      <c r="B9924" t="s">
        <v>3389</v>
      </c>
      <c r="C9924" t="s">
        <v>32</v>
      </c>
      <c r="D9924" s="1">
        <v>45983</v>
      </c>
      <c r="E9924" t="s">
        <v>4124</v>
      </c>
      <c r="F9924" t="s">
        <v>4139</v>
      </c>
    </row>
    <row r="9925" spans="1:6">
      <c r="A9925" t="s">
        <v>14054</v>
      </c>
      <c r="B9925" t="s">
        <v>3389</v>
      </c>
      <c r="C9925" t="s">
        <v>32</v>
      </c>
      <c r="D9925" s="1">
        <v>45988</v>
      </c>
      <c r="E9925" t="s">
        <v>4127</v>
      </c>
      <c r="F9925" t="s">
        <v>4125</v>
      </c>
    </row>
    <row r="9926" spans="1:6">
      <c r="A9926" t="s">
        <v>14055</v>
      </c>
      <c r="B9926" t="s">
        <v>3389</v>
      </c>
      <c r="C9926" t="s">
        <v>32</v>
      </c>
      <c r="D9926" s="1">
        <v>45984</v>
      </c>
      <c r="E9926" t="s">
        <v>4124</v>
      </c>
      <c r="F9926" t="s">
        <v>4139</v>
      </c>
    </row>
    <row r="9927" spans="1:6">
      <c r="A9927" t="s">
        <v>14056</v>
      </c>
      <c r="B9927" t="s">
        <v>3389</v>
      </c>
      <c r="C9927" t="s">
        <v>32</v>
      </c>
      <c r="D9927" s="1">
        <v>45995</v>
      </c>
      <c r="E9927" t="s">
        <v>4133</v>
      </c>
      <c r="F9927" t="s">
        <v>4125</v>
      </c>
    </row>
    <row r="9928" spans="1:6">
      <c r="A9928" t="s">
        <v>14057</v>
      </c>
      <c r="B9928" t="s">
        <v>3389</v>
      </c>
      <c r="C9928" t="s">
        <v>32</v>
      </c>
      <c r="D9928" s="1">
        <v>45984</v>
      </c>
      <c r="E9928" t="s">
        <v>4127</v>
      </c>
      <c r="F9928" t="s">
        <v>4139</v>
      </c>
    </row>
    <row r="9929" spans="1:6">
      <c r="A9929" t="s">
        <v>14058</v>
      </c>
      <c r="B9929" t="s">
        <v>3390</v>
      </c>
      <c r="C9929" t="s">
        <v>27</v>
      </c>
      <c r="D9929" s="1">
        <v>45808</v>
      </c>
      <c r="E9929" t="s">
        <v>4129</v>
      </c>
      <c r="F9929" t="s">
        <v>4137</v>
      </c>
    </row>
    <row r="9930" spans="1:6">
      <c r="A9930" t="s">
        <v>14059</v>
      </c>
      <c r="B9930" t="s">
        <v>3390</v>
      </c>
      <c r="C9930" t="s">
        <v>27</v>
      </c>
      <c r="D9930" s="1">
        <v>45774</v>
      </c>
      <c r="E9930" t="s">
        <v>4124</v>
      </c>
      <c r="F9930" t="s">
        <v>4137</v>
      </c>
    </row>
    <row r="9931" spans="1:6">
      <c r="A9931" t="s">
        <v>14060</v>
      </c>
      <c r="B9931" t="s">
        <v>3390</v>
      </c>
      <c r="C9931" t="s">
        <v>27</v>
      </c>
      <c r="D9931" s="1">
        <v>45795</v>
      </c>
      <c r="E9931" t="s">
        <v>4127</v>
      </c>
      <c r="F9931" t="s">
        <v>4137</v>
      </c>
    </row>
    <row r="9932" spans="1:6">
      <c r="A9932" t="s">
        <v>14061</v>
      </c>
      <c r="B9932" t="s">
        <v>3390</v>
      </c>
      <c r="C9932" t="s">
        <v>27</v>
      </c>
      <c r="D9932" s="1">
        <v>45798</v>
      </c>
      <c r="E9932" t="s">
        <v>4127</v>
      </c>
      <c r="F9932" t="s">
        <v>4137</v>
      </c>
    </row>
    <row r="9933" spans="1:6">
      <c r="A9933" t="s">
        <v>14062</v>
      </c>
      <c r="B9933" t="s">
        <v>3390</v>
      </c>
      <c r="C9933" t="s">
        <v>27</v>
      </c>
      <c r="D9933" s="1">
        <v>45799</v>
      </c>
      <c r="E9933" t="s">
        <v>4127</v>
      </c>
      <c r="F9933" t="s">
        <v>4125</v>
      </c>
    </row>
    <row r="9934" spans="1:6">
      <c r="A9934" t="s">
        <v>14063</v>
      </c>
      <c r="B9934" t="s">
        <v>3391</v>
      </c>
      <c r="C9934" t="s">
        <v>119</v>
      </c>
      <c r="D9934" s="1">
        <v>45949</v>
      </c>
      <c r="E9934" t="s">
        <v>4129</v>
      </c>
      <c r="F9934" t="s">
        <v>4125</v>
      </c>
    </row>
    <row r="9935" spans="1:6">
      <c r="A9935" t="s">
        <v>14064</v>
      </c>
      <c r="B9935" t="s">
        <v>3391</v>
      </c>
      <c r="C9935" t="s">
        <v>119</v>
      </c>
      <c r="D9935" s="1">
        <v>45970</v>
      </c>
      <c r="E9935" t="s">
        <v>4124</v>
      </c>
      <c r="F9935" t="s">
        <v>4137</v>
      </c>
    </row>
    <row r="9936" spans="1:6">
      <c r="A9936" t="s">
        <v>14065</v>
      </c>
      <c r="B9936" t="s">
        <v>3391</v>
      </c>
      <c r="C9936" t="s">
        <v>119</v>
      </c>
      <c r="D9936" s="1">
        <v>45913</v>
      </c>
      <c r="E9936" t="s">
        <v>4127</v>
      </c>
      <c r="F9936" t="s">
        <v>4139</v>
      </c>
    </row>
    <row r="9937" spans="1:6">
      <c r="A9937" t="s">
        <v>14066</v>
      </c>
      <c r="B9937" t="s">
        <v>3391</v>
      </c>
      <c r="C9937" t="s">
        <v>119</v>
      </c>
      <c r="D9937" s="1">
        <v>45935</v>
      </c>
      <c r="E9937" t="s">
        <v>4133</v>
      </c>
      <c r="F9937" t="s">
        <v>4137</v>
      </c>
    </row>
    <row r="9938" spans="1:6">
      <c r="A9938" t="s">
        <v>14067</v>
      </c>
      <c r="B9938" t="s">
        <v>3392</v>
      </c>
      <c r="C9938" t="s">
        <v>152</v>
      </c>
      <c r="D9938" s="1">
        <v>46009</v>
      </c>
      <c r="E9938" t="s">
        <v>4135</v>
      </c>
      <c r="F9938" t="s">
        <v>4125</v>
      </c>
    </row>
    <row r="9939" spans="1:6">
      <c r="A9939" t="s">
        <v>14068</v>
      </c>
      <c r="B9939" t="s">
        <v>3392</v>
      </c>
      <c r="C9939" t="s">
        <v>152</v>
      </c>
      <c r="D9939" s="1">
        <v>46005</v>
      </c>
      <c r="E9939" t="s">
        <v>4127</v>
      </c>
      <c r="F9939" t="s">
        <v>4137</v>
      </c>
    </row>
    <row r="9940" spans="1:6">
      <c r="A9940" t="s">
        <v>14069</v>
      </c>
      <c r="B9940" t="s">
        <v>3392</v>
      </c>
      <c r="C9940" t="s">
        <v>152</v>
      </c>
      <c r="D9940" s="1">
        <v>46005</v>
      </c>
      <c r="E9940" t="s">
        <v>4124</v>
      </c>
      <c r="F9940" t="s">
        <v>4139</v>
      </c>
    </row>
    <row r="9941" spans="1:6">
      <c r="A9941" t="s">
        <v>14070</v>
      </c>
      <c r="B9941" t="s">
        <v>3392</v>
      </c>
      <c r="C9941" t="s">
        <v>152</v>
      </c>
      <c r="D9941" s="1">
        <v>46001</v>
      </c>
      <c r="E9941" t="s">
        <v>4127</v>
      </c>
      <c r="F9941" t="s">
        <v>4139</v>
      </c>
    </row>
    <row r="9942" spans="1:6">
      <c r="A9942" t="s">
        <v>14071</v>
      </c>
      <c r="B9942" t="s">
        <v>3392</v>
      </c>
      <c r="C9942" t="s">
        <v>152</v>
      </c>
      <c r="D9942" s="1">
        <v>46000</v>
      </c>
      <c r="E9942" t="s">
        <v>4127</v>
      </c>
      <c r="F9942" t="s">
        <v>4125</v>
      </c>
    </row>
    <row r="9943" spans="1:6">
      <c r="A9943" t="s">
        <v>14072</v>
      </c>
      <c r="B9943" t="s">
        <v>3393</v>
      </c>
      <c r="C9943" t="s">
        <v>50</v>
      </c>
      <c r="D9943" s="1">
        <v>46019</v>
      </c>
      <c r="E9943" t="s">
        <v>4124</v>
      </c>
      <c r="F9943" t="s">
        <v>4139</v>
      </c>
    </row>
    <row r="9944" spans="1:6">
      <c r="A9944" t="s">
        <v>14073</v>
      </c>
      <c r="B9944" t="s">
        <v>3393</v>
      </c>
      <c r="C9944" t="s">
        <v>50</v>
      </c>
      <c r="D9944" s="1">
        <v>46021</v>
      </c>
      <c r="E9944" t="s">
        <v>4124</v>
      </c>
      <c r="F9944" t="s">
        <v>4137</v>
      </c>
    </row>
    <row r="9945" spans="1:6">
      <c r="A9945" t="s">
        <v>14074</v>
      </c>
      <c r="B9945" t="s">
        <v>3393</v>
      </c>
      <c r="C9945" t="s">
        <v>50</v>
      </c>
      <c r="D9945" s="1">
        <v>46019</v>
      </c>
      <c r="E9945" t="s">
        <v>4124</v>
      </c>
      <c r="F9945" t="s">
        <v>4139</v>
      </c>
    </row>
    <row r="9946" spans="1:6">
      <c r="A9946" t="s">
        <v>14075</v>
      </c>
      <c r="B9946" t="s">
        <v>3393</v>
      </c>
      <c r="C9946" t="s">
        <v>50</v>
      </c>
      <c r="D9946" s="1">
        <v>46014</v>
      </c>
      <c r="E9946" t="s">
        <v>4124</v>
      </c>
      <c r="F9946" t="s">
        <v>4137</v>
      </c>
    </row>
    <row r="9947" spans="1:6">
      <c r="A9947" t="s">
        <v>14076</v>
      </c>
      <c r="B9947" t="s">
        <v>3393</v>
      </c>
      <c r="C9947" t="s">
        <v>50</v>
      </c>
      <c r="D9947" s="1">
        <v>46014</v>
      </c>
      <c r="E9947" t="s">
        <v>4135</v>
      </c>
      <c r="F9947" t="s">
        <v>4125</v>
      </c>
    </row>
    <row r="9948" spans="1:6">
      <c r="A9948" t="s">
        <v>14077</v>
      </c>
      <c r="B9948" t="s">
        <v>3394</v>
      </c>
      <c r="C9948" t="s">
        <v>36</v>
      </c>
      <c r="D9948" s="1">
        <v>45887</v>
      </c>
      <c r="E9948" t="s">
        <v>4129</v>
      </c>
      <c r="F9948" t="s">
        <v>4137</v>
      </c>
    </row>
    <row r="9949" spans="1:6">
      <c r="A9949" t="s">
        <v>14078</v>
      </c>
      <c r="B9949" t="s">
        <v>3394</v>
      </c>
      <c r="C9949" t="s">
        <v>36</v>
      </c>
      <c r="D9949" s="1">
        <v>45908</v>
      </c>
      <c r="E9949" t="s">
        <v>4129</v>
      </c>
      <c r="F9949" t="s">
        <v>4137</v>
      </c>
    </row>
    <row r="9950" spans="1:6">
      <c r="A9950" t="s">
        <v>14079</v>
      </c>
      <c r="B9950" t="s">
        <v>3395</v>
      </c>
      <c r="C9950" t="s">
        <v>27</v>
      </c>
      <c r="D9950" s="1">
        <v>45933</v>
      </c>
      <c r="E9950" t="s">
        <v>4135</v>
      </c>
      <c r="F9950" t="s">
        <v>4137</v>
      </c>
    </row>
    <row r="9951" spans="1:6">
      <c r="A9951" t="s">
        <v>14080</v>
      </c>
      <c r="B9951" t="s">
        <v>3395</v>
      </c>
      <c r="C9951" t="s">
        <v>27</v>
      </c>
      <c r="D9951" s="1">
        <v>45935</v>
      </c>
      <c r="E9951" t="s">
        <v>4129</v>
      </c>
      <c r="F9951" t="s">
        <v>4139</v>
      </c>
    </row>
    <row r="9952" spans="1:6">
      <c r="A9952" t="s">
        <v>14081</v>
      </c>
      <c r="B9952" t="s">
        <v>3396</v>
      </c>
      <c r="C9952" t="s">
        <v>70</v>
      </c>
      <c r="D9952" s="1">
        <v>45919</v>
      </c>
      <c r="E9952" t="s">
        <v>4124</v>
      </c>
      <c r="F9952" t="s">
        <v>4137</v>
      </c>
    </row>
    <row r="9953" spans="1:6">
      <c r="A9953" t="s">
        <v>14082</v>
      </c>
      <c r="B9953" t="s">
        <v>3396</v>
      </c>
      <c r="C9953" t="s">
        <v>70</v>
      </c>
      <c r="D9953" s="1">
        <v>45915</v>
      </c>
      <c r="E9953" t="s">
        <v>4124</v>
      </c>
      <c r="F9953" t="s">
        <v>4125</v>
      </c>
    </row>
    <row r="9954" spans="1:6">
      <c r="A9954" t="s">
        <v>14083</v>
      </c>
      <c r="B9954" t="s">
        <v>3397</v>
      </c>
      <c r="C9954" t="s">
        <v>50</v>
      </c>
      <c r="D9954" s="1">
        <v>45838</v>
      </c>
      <c r="E9954" t="s">
        <v>4129</v>
      </c>
      <c r="F9954" t="s">
        <v>4125</v>
      </c>
    </row>
    <row r="9955" spans="1:6">
      <c r="A9955" t="s">
        <v>14084</v>
      </c>
      <c r="B9955" t="s">
        <v>3397</v>
      </c>
      <c r="C9955" t="s">
        <v>50</v>
      </c>
      <c r="D9955" s="1">
        <v>45856</v>
      </c>
      <c r="E9955" t="s">
        <v>4129</v>
      </c>
      <c r="F9955" t="s">
        <v>4125</v>
      </c>
    </row>
    <row r="9956" spans="1:6">
      <c r="A9956" t="s">
        <v>14085</v>
      </c>
      <c r="B9956" t="s">
        <v>3397</v>
      </c>
      <c r="C9956" t="s">
        <v>50</v>
      </c>
      <c r="D9956" s="1">
        <v>45839</v>
      </c>
      <c r="E9956" t="s">
        <v>4124</v>
      </c>
      <c r="F9956" t="s">
        <v>4125</v>
      </c>
    </row>
    <row r="9957" spans="1:6">
      <c r="A9957" t="s">
        <v>14086</v>
      </c>
      <c r="B9957" t="s">
        <v>3397</v>
      </c>
      <c r="C9957" t="s">
        <v>50</v>
      </c>
      <c r="D9957" s="1">
        <v>45855</v>
      </c>
      <c r="E9957" t="s">
        <v>4133</v>
      </c>
      <c r="F9957" t="s">
        <v>4139</v>
      </c>
    </row>
    <row r="9958" spans="1:6">
      <c r="A9958" t="s">
        <v>14087</v>
      </c>
      <c r="B9958" t="s">
        <v>3398</v>
      </c>
      <c r="C9958" t="s">
        <v>53</v>
      </c>
      <c r="D9958" s="1">
        <v>45940</v>
      </c>
      <c r="E9958" t="s">
        <v>4129</v>
      </c>
      <c r="F9958" t="s">
        <v>4125</v>
      </c>
    </row>
    <row r="9959" spans="1:6">
      <c r="A9959" t="s">
        <v>14088</v>
      </c>
      <c r="B9959" t="s">
        <v>3398</v>
      </c>
      <c r="C9959" t="s">
        <v>53</v>
      </c>
      <c r="D9959" s="1">
        <v>45914</v>
      </c>
      <c r="E9959" t="s">
        <v>4135</v>
      </c>
      <c r="F9959" t="s">
        <v>4125</v>
      </c>
    </row>
    <row r="9960" spans="1:6">
      <c r="A9960" t="s">
        <v>14089</v>
      </c>
      <c r="B9960" t="s">
        <v>3399</v>
      </c>
      <c r="C9960" t="s">
        <v>91</v>
      </c>
      <c r="D9960" s="1">
        <v>45740</v>
      </c>
      <c r="E9960" t="s">
        <v>4124</v>
      </c>
      <c r="F9960" t="s">
        <v>4125</v>
      </c>
    </row>
    <row r="9961" spans="1:6">
      <c r="A9961" t="s">
        <v>14090</v>
      </c>
      <c r="B9961" t="s">
        <v>3399</v>
      </c>
      <c r="C9961" t="s">
        <v>91</v>
      </c>
      <c r="D9961" s="1">
        <v>45740</v>
      </c>
      <c r="E9961" t="s">
        <v>4127</v>
      </c>
      <c r="F9961" t="s">
        <v>4139</v>
      </c>
    </row>
    <row r="9962" spans="1:6">
      <c r="A9962" t="s">
        <v>14091</v>
      </c>
      <c r="B9962" t="s">
        <v>3399</v>
      </c>
      <c r="C9962" t="s">
        <v>91</v>
      </c>
      <c r="D9962" s="1">
        <v>45708</v>
      </c>
      <c r="E9962" t="s">
        <v>4133</v>
      </c>
      <c r="F9962" t="s">
        <v>4139</v>
      </c>
    </row>
    <row r="9963" spans="1:6">
      <c r="A9963" t="s">
        <v>14092</v>
      </c>
      <c r="B9963" t="s">
        <v>3399</v>
      </c>
      <c r="C9963" t="s">
        <v>91</v>
      </c>
      <c r="D9963" s="1">
        <v>45718</v>
      </c>
      <c r="E9963" t="s">
        <v>4124</v>
      </c>
      <c r="F9963" t="s">
        <v>4137</v>
      </c>
    </row>
    <row r="9964" spans="1:6">
      <c r="A9964" t="s">
        <v>14093</v>
      </c>
      <c r="B9964" t="s">
        <v>3399</v>
      </c>
      <c r="C9964" t="s">
        <v>91</v>
      </c>
      <c r="D9964" s="1">
        <v>45710</v>
      </c>
      <c r="E9964" t="s">
        <v>4135</v>
      </c>
      <c r="F9964" t="s">
        <v>4139</v>
      </c>
    </row>
    <row r="9965" spans="1:6">
      <c r="A9965" t="s">
        <v>14094</v>
      </c>
      <c r="B9965" t="s">
        <v>3400</v>
      </c>
      <c r="C9965" t="s">
        <v>78</v>
      </c>
      <c r="D9965" s="1">
        <v>45814</v>
      </c>
      <c r="E9965" t="s">
        <v>4133</v>
      </c>
      <c r="F9965" t="s">
        <v>4139</v>
      </c>
    </row>
    <row r="9966" spans="1:6">
      <c r="A9966" t="s">
        <v>14095</v>
      </c>
      <c r="B9966" t="s">
        <v>3400</v>
      </c>
      <c r="C9966" t="s">
        <v>78</v>
      </c>
      <c r="D9966" s="1">
        <v>45804</v>
      </c>
      <c r="E9966" t="s">
        <v>4127</v>
      </c>
      <c r="F9966" t="s">
        <v>4139</v>
      </c>
    </row>
    <row r="9967" spans="1:6">
      <c r="A9967" t="s">
        <v>14096</v>
      </c>
      <c r="B9967" t="s">
        <v>3400</v>
      </c>
      <c r="C9967" t="s">
        <v>78</v>
      </c>
      <c r="D9967" s="1">
        <v>45827</v>
      </c>
      <c r="E9967" t="s">
        <v>4127</v>
      </c>
      <c r="F9967" t="s">
        <v>4125</v>
      </c>
    </row>
    <row r="9968" spans="1:6">
      <c r="A9968" t="s">
        <v>14097</v>
      </c>
      <c r="B9968" t="s">
        <v>3400</v>
      </c>
      <c r="C9968" t="s">
        <v>78</v>
      </c>
      <c r="D9968" s="1">
        <v>45814</v>
      </c>
      <c r="E9968" t="s">
        <v>4124</v>
      </c>
      <c r="F9968" t="s">
        <v>4137</v>
      </c>
    </row>
    <row r="9969" spans="1:6">
      <c r="A9969" t="s">
        <v>14098</v>
      </c>
      <c r="B9969" t="s">
        <v>3400</v>
      </c>
      <c r="C9969" t="s">
        <v>78</v>
      </c>
      <c r="D9969" s="1">
        <v>45794</v>
      </c>
      <c r="E9969" t="s">
        <v>4135</v>
      </c>
      <c r="F9969" t="s">
        <v>4125</v>
      </c>
    </row>
    <row r="9970" spans="1:6">
      <c r="A9970" t="s">
        <v>14099</v>
      </c>
      <c r="B9970" t="s">
        <v>3401</v>
      </c>
      <c r="C9970" t="s">
        <v>59</v>
      </c>
      <c r="D9970" s="1">
        <v>46010</v>
      </c>
      <c r="E9970" t="s">
        <v>4127</v>
      </c>
      <c r="F9970" t="s">
        <v>4137</v>
      </c>
    </row>
    <row r="9971" spans="1:6">
      <c r="A9971" t="s">
        <v>14100</v>
      </c>
      <c r="B9971" t="s">
        <v>3401</v>
      </c>
      <c r="C9971" t="s">
        <v>59</v>
      </c>
      <c r="D9971" s="1">
        <v>46013</v>
      </c>
      <c r="E9971" t="s">
        <v>4129</v>
      </c>
      <c r="F9971" t="s">
        <v>4137</v>
      </c>
    </row>
    <row r="9972" spans="1:6">
      <c r="A9972" t="s">
        <v>14101</v>
      </c>
      <c r="B9972" t="s">
        <v>3401</v>
      </c>
      <c r="C9972" t="s">
        <v>59</v>
      </c>
      <c r="D9972" s="1">
        <v>46018</v>
      </c>
      <c r="E9972" t="s">
        <v>4124</v>
      </c>
      <c r="F9972" t="s">
        <v>4137</v>
      </c>
    </row>
    <row r="9973" spans="1:6">
      <c r="A9973" t="s">
        <v>14102</v>
      </c>
      <c r="B9973" t="s">
        <v>3401</v>
      </c>
      <c r="C9973" t="s">
        <v>59</v>
      </c>
      <c r="D9973" s="1">
        <v>46011</v>
      </c>
      <c r="E9973" t="s">
        <v>4135</v>
      </c>
      <c r="F9973" t="s">
        <v>4125</v>
      </c>
    </row>
    <row r="9974" spans="1:6">
      <c r="A9974" t="s">
        <v>14103</v>
      </c>
      <c r="B9974" t="s">
        <v>3401</v>
      </c>
      <c r="C9974" t="s">
        <v>59</v>
      </c>
      <c r="D9974" s="1">
        <v>46019</v>
      </c>
      <c r="E9974" t="s">
        <v>4124</v>
      </c>
      <c r="F9974" t="s">
        <v>4137</v>
      </c>
    </row>
    <row r="9975" spans="1:6">
      <c r="A9975" t="s">
        <v>14104</v>
      </c>
      <c r="B9975" t="s">
        <v>3402</v>
      </c>
      <c r="C9975" t="s">
        <v>126</v>
      </c>
      <c r="D9975" s="1">
        <v>45720</v>
      </c>
      <c r="E9975" t="s">
        <v>4127</v>
      </c>
      <c r="F9975" t="s">
        <v>4125</v>
      </c>
    </row>
    <row r="9976" spans="1:6">
      <c r="A9976" t="s">
        <v>14105</v>
      </c>
      <c r="B9976" t="s">
        <v>3402</v>
      </c>
      <c r="C9976" t="s">
        <v>126</v>
      </c>
      <c r="D9976" s="1">
        <v>45730</v>
      </c>
      <c r="E9976" t="s">
        <v>4133</v>
      </c>
      <c r="F9976" t="s">
        <v>4137</v>
      </c>
    </row>
    <row r="9977" spans="1:6">
      <c r="A9977" t="s">
        <v>14106</v>
      </c>
      <c r="B9977" t="s">
        <v>3402</v>
      </c>
      <c r="C9977" t="s">
        <v>126</v>
      </c>
      <c r="D9977" s="1">
        <v>45728</v>
      </c>
      <c r="E9977" t="s">
        <v>4129</v>
      </c>
      <c r="F9977" t="s">
        <v>4125</v>
      </c>
    </row>
    <row r="9978" spans="1:6">
      <c r="A9978" t="s">
        <v>14107</v>
      </c>
      <c r="B9978" t="s">
        <v>3402</v>
      </c>
      <c r="C9978" t="s">
        <v>126</v>
      </c>
      <c r="D9978" s="1">
        <v>45728</v>
      </c>
      <c r="E9978" t="s">
        <v>4127</v>
      </c>
      <c r="F9978" t="s">
        <v>4125</v>
      </c>
    </row>
    <row r="9979" spans="1:6">
      <c r="A9979" t="s">
        <v>14108</v>
      </c>
      <c r="B9979" t="s">
        <v>3402</v>
      </c>
      <c r="C9979" t="s">
        <v>126</v>
      </c>
      <c r="D9979" s="1">
        <v>45739</v>
      </c>
      <c r="E9979" t="s">
        <v>4135</v>
      </c>
      <c r="F9979" t="s">
        <v>4139</v>
      </c>
    </row>
    <row r="9980" spans="1:6">
      <c r="A9980" t="s">
        <v>14109</v>
      </c>
      <c r="B9980" t="s">
        <v>3403</v>
      </c>
      <c r="C9980" t="s">
        <v>27</v>
      </c>
      <c r="D9980" s="1">
        <v>45946</v>
      </c>
      <c r="E9980" t="s">
        <v>4127</v>
      </c>
      <c r="F9980" t="s">
        <v>4139</v>
      </c>
    </row>
    <row r="9981" spans="1:6">
      <c r="A9981" t="s">
        <v>14110</v>
      </c>
      <c r="B9981" t="s">
        <v>3403</v>
      </c>
      <c r="C9981" t="s">
        <v>27</v>
      </c>
      <c r="D9981" s="1">
        <v>45981</v>
      </c>
      <c r="E9981" t="s">
        <v>4133</v>
      </c>
      <c r="F9981" t="s">
        <v>4139</v>
      </c>
    </row>
    <row r="9982" spans="1:6">
      <c r="A9982" t="s">
        <v>14111</v>
      </c>
      <c r="B9982" t="s">
        <v>3404</v>
      </c>
      <c r="C9982" t="s">
        <v>91</v>
      </c>
      <c r="D9982" s="1">
        <v>45789</v>
      </c>
      <c r="E9982" t="s">
        <v>4135</v>
      </c>
      <c r="F9982" t="s">
        <v>4137</v>
      </c>
    </row>
    <row r="9983" spans="1:6">
      <c r="A9983" t="s">
        <v>14112</v>
      </c>
      <c r="B9983" t="s">
        <v>3404</v>
      </c>
      <c r="C9983" t="s">
        <v>91</v>
      </c>
      <c r="D9983" s="1">
        <v>45759</v>
      </c>
      <c r="E9983" t="s">
        <v>4127</v>
      </c>
      <c r="F9983" t="s">
        <v>4125</v>
      </c>
    </row>
    <row r="9984" spans="1:6">
      <c r="A9984" t="s">
        <v>14113</v>
      </c>
      <c r="B9984" t="s">
        <v>3404</v>
      </c>
      <c r="C9984" t="s">
        <v>91</v>
      </c>
      <c r="D9984" s="1">
        <v>45807</v>
      </c>
      <c r="E9984" t="s">
        <v>4133</v>
      </c>
      <c r="F9984" t="s">
        <v>4125</v>
      </c>
    </row>
    <row r="9985" spans="1:6">
      <c r="A9985" t="s">
        <v>14114</v>
      </c>
      <c r="B9985" t="s">
        <v>3405</v>
      </c>
      <c r="C9985" t="s">
        <v>36</v>
      </c>
      <c r="D9985" s="1">
        <v>45763</v>
      </c>
      <c r="E9985" t="s">
        <v>4133</v>
      </c>
      <c r="F9985" t="s">
        <v>4139</v>
      </c>
    </row>
    <row r="9986" spans="1:6">
      <c r="A9986" t="s">
        <v>14115</v>
      </c>
      <c r="B9986" t="s">
        <v>3405</v>
      </c>
      <c r="C9986" t="s">
        <v>36</v>
      </c>
      <c r="D9986" s="1">
        <v>45754</v>
      </c>
      <c r="E9986" t="s">
        <v>4124</v>
      </c>
      <c r="F9986" t="s">
        <v>4139</v>
      </c>
    </row>
    <row r="9987" spans="1:6">
      <c r="A9987" t="s">
        <v>14116</v>
      </c>
      <c r="B9987" t="s">
        <v>3405</v>
      </c>
      <c r="C9987" t="s">
        <v>36</v>
      </c>
      <c r="D9987" s="1">
        <v>45804</v>
      </c>
      <c r="E9987" t="s">
        <v>4127</v>
      </c>
      <c r="F9987" t="s">
        <v>4125</v>
      </c>
    </row>
    <row r="9988" spans="1:6">
      <c r="A9988" t="s">
        <v>14117</v>
      </c>
      <c r="B9988" t="s">
        <v>3406</v>
      </c>
      <c r="C9988" t="s">
        <v>46</v>
      </c>
      <c r="D9988" s="1">
        <v>46022</v>
      </c>
      <c r="E9988" t="s">
        <v>4129</v>
      </c>
      <c r="F9988" t="s">
        <v>4137</v>
      </c>
    </row>
    <row r="9989" spans="1:6">
      <c r="A9989" t="s">
        <v>14118</v>
      </c>
      <c r="B9989" t="s">
        <v>3406</v>
      </c>
      <c r="C9989" t="s">
        <v>46</v>
      </c>
      <c r="D9989" s="1">
        <v>46020</v>
      </c>
      <c r="E9989" t="s">
        <v>4133</v>
      </c>
      <c r="F9989" t="s">
        <v>4139</v>
      </c>
    </row>
    <row r="9990" spans="1:6">
      <c r="A9990" t="s">
        <v>14119</v>
      </c>
      <c r="B9990" t="s">
        <v>3406</v>
      </c>
      <c r="C9990" t="s">
        <v>46</v>
      </c>
      <c r="D9990" s="1">
        <v>46020</v>
      </c>
      <c r="E9990" t="s">
        <v>4127</v>
      </c>
      <c r="F9990" t="s">
        <v>4125</v>
      </c>
    </row>
    <row r="9991" spans="1:6">
      <c r="A9991" t="s">
        <v>14120</v>
      </c>
      <c r="B9991" t="s">
        <v>3406</v>
      </c>
      <c r="C9991" t="s">
        <v>46</v>
      </c>
      <c r="D9991" s="1">
        <v>46020</v>
      </c>
      <c r="E9991" t="s">
        <v>4127</v>
      </c>
      <c r="F9991" t="s">
        <v>4125</v>
      </c>
    </row>
    <row r="9992" spans="1:6">
      <c r="A9992" t="s">
        <v>14121</v>
      </c>
      <c r="B9992" t="s">
        <v>3406</v>
      </c>
      <c r="C9992" t="s">
        <v>46</v>
      </c>
      <c r="D9992" s="1">
        <v>46021</v>
      </c>
      <c r="E9992" t="s">
        <v>4133</v>
      </c>
      <c r="F9992" t="s">
        <v>4125</v>
      </c>
    </row>
    <row r="9993" spans="1:6">
      <c r="A9993" t="s">
        <v>14122</v>
      </c>
      <c r="B9993" t="s">
        <v>3407</v>
      </c>
      <c r="C9993" t="s">
        <v>16</v>
      </c>
      <c r="D9993" s="1">
        <v>45735</v>
      </c>
      <c r="E9993" t="s">
        <v>4133</v>
      </c>
      <c r="F9993" t="s">
        <v>4137</v>
      </c>
    </row>
    <row r="9994" spans="1:6">
      <c r="A9994" t="s">
        <v>14123</v>
      </c>
      <c r="B9994" t="s">
        <v>3407</v>
      </c>
      <c r="C9994" t="s">
        <v>16</v>
      </c>
      <c r="D9994" s="1">
        <v>45725</v>
      </c>
      <c r="E9994" t="s">
        <v>4129</v>
      </c>
      <c r="F9994" t="s">
        <v>4125</v>
      </c>
    </row>
    <row r="9995" spans="1:6">
      <c r="A9995" t="s">
        <v>14124</v>
      </c>
      <c r="B9995" t="s">
        <v>3407</v>
      </c>
      <c r="C9995" t="s">
        <v>16</v>
      </c>
      <c r="D9995" s="1">
        <v>45732</v>
      </c>
      <c r="E9995" t="s">
        <v>4129</v>
      </c>
      <c r="F9995" t="s">
        <v>4137</v>
      </c>
    </row>
    <row r="9996" spans="1:6">
      <c r="A9996" t="s">
        <v>14125</v>
      </c>
      <c r="B9996" t="s">
        <v>3407</v>
      </c>
      <c r="C9996" t="s">
        <v>16</v>
      </c>
      <c r="D9996" s="1">
        <v>45715</v>
      </c>
      <c r="E9996" t="s">
        <v>4135</v>
      </c>
      <c r="F9996" t="s">
        <v>4137</v>
      </c>
    </row>
    <row r="9997" spans="1:6">
      <c r="A9997" t="s">
        <v>14126</v>
      </c>
      <c r="B9997" t="s">
        <v>3408</v>
      </c>
      <c r="C9997" t="s">
        <v>22</v>
      </c>
      <c r="D9997" s="1">
        <v>45905</v>
      </c>
      <c r="E9997" t="s">
        <v>4124</v>
      </c>
      <c r="F9997" t="s">
        <v>4137</v>
      </c>
    </row>
    <row r="9998" spans="1:6">
      <c r="A9998" t="s">
        <v>14127</v>
      </c>
      <c r="B9998" t="s">
        <v>3408</v>
      </c>
      <c r="C9998" t="s">
        <v>22</v>
      </c>
      <c r="D9998" s="1">
        <v>45955</v>
      </c>
      <c r="E9998" t="s">
        <v>4133</v>
      </c>
      <c r="F9998" t="s">
        <v>4125</v>
      </c>
    </row>
    <row r="9999" spans="1:6">
      <c r="A9999" t="s">
        <v>14128</v>
      </c>
      <c r="B9999" t="s">
        <v>3408</v>
      </c>
      <c r="C9999" t="s">
        <v>22</v>
      </c>
      <c r="D9999" s="1">
        <v>45956</v>
      </c>
      <c r="E9999" t="s">
        <v>4133</v>
      </c>
      <c r="F9999" t="s">
        <v>4139</v>
      </c>
    </row>
    <row r="10000" spans="1:6">
      <c r="A10000" t="s">
        <v>14129</v>
      </c>
      <c r="B10000" t="s">
        <v>3409</v>
      </c>
      <c r="C10000" t="s">
        <v>22</v>
      </c>
      <c r="D10000" s="1">
        <v>45967</v>
      </c>
      <c r="E10000" t="s">
        <v>4129</v>
      </c>
      <c r="F10000" t="s">
        <v>4137</v>
      </c>
    </row>
    <row r="10001" spans="1:6">
      <c r="A10001" t="s">
        <v>14130</v>
      </c>
      <c r="B10001" t="s">
        <v>3409</v>
      </c>
      <c r="C10001" t="s">
        <v>22</v>
      </c>
      <c r="D10001" s="1">
        <v>45959</v>
      </c>
      <c r="E10001" t="s">
        <v>4133</v>
      </c>
      <c r="F10001" t="s">
        <v>4125</v>
      </c>
    </row>
    <row r="10002" spans="1:6">
      <c r="A10002" t="s">
        <v>14131</v>
      </c>
      <c r="B10002" t="s">
        <v>3409</v>
      </c>
      <c r="C10002" t="s">
        <v>22</v>
      </c>
      <c r="D10002" s="1">
        <v>45953</v>
      </c>
      <c r="E10002" t="s">
        <v>4135</v>
      </c>
      <c r="F10002" t="s">
        <v>4125</v>
      </c>
    </row>
    <row r="10003" spans="1:6">
      <c r="A10003" t="s">
        <v>14132</v>
      </c>
      <c r="B10003" t="s">
        <v>3410</v>
      </c>
      <c r="C10003" t="s">
        <v>56</v>
      </c>
      <c r="D10003" s="1">
        <v>46022</v>
      </c>
      <c r="E10003" t="s">
        <v>4133</v>
      </c>
      <c r="F10003" t="s">
        <v>4125</v>
      </c>
    </row>
    <row r="10004" spans="1:6">
      <c r="A10004" t="s">
        <v>14133</v>
      </c>
      <c r="B10004" t="s">
        <v>3410</v>
      </c>
      <c r="C10004" t="s">
        <v>56</v>
      </c>
      <c r="D10004" s="1">
        <v>46018</v>
      </c>
      <c r="E10004" t="s">
        <v>4124</v>
      </c>
      <c r="F10004" t="s">
        <v>4125</v>
      </c>
    </row>
    <row r="10005" spans="1:6">
      <c r="A10005" t="s">
        <v>14134</v>
      </c>
      <c r="B10005" t="s">
        <v>3410</v>
      </c>
      <c r="C10005" t="s">
        <v>56</v>
      </c>
      <c r="D10005" s="1">
        <v>46003</v>
      </c>
      <c r="E10005" t="s">
        <v>4129</v>
      </c>
      <c r="F10005" t="s">
        <v>4125</v>
      </c>
    </row>
    <row r="10006" spans="1:6">
      <c r="A10006" t="s">
        <v>14135</v>
      </c>
      <c r="B10006" t="s">
        <v>3410</v>
      </c>
      <c r="C10006" t="s">
        <v>56</v>
      </c>
      <c r="D10006" s="1">
        <v>46016</v>
      </c>
      <c r="E10006" t="s">
        <v>4124</v>
      </c>
      <c r="F10006" t="s">
        <v>4125</v>
      </c>
    </row>
    <row r="10007" spans="1:6">
      <c r="A10007" t="s">
        <v>14136</v>
      </c>
      <c r="B10007" t="s">
        <v>3411</v>
      </c>
      <c r="C10007" t="s">
        <v>126</v>
      </c>
      <c r="D10007" s="1">
        <v>46021</v>
      </c>
      <c r="E10007" t="s">
        <v>4129</v>
      </c>
      <c r="F10007" t="s">
        <v>4137</v>
      </c>
    </row>
    <row r="10008" spans="1:6">
      <c r="A10008" t="s">
        <v>14137</v>
      </c>
      <c r="B10008" t="s">
        <v>3411</v>
      </c>
      <c r="C10008" t="s">
        <v>126</v>
      </c>
      <c r="D10008" s="1">
        <v>46015</v>
      </c>
      <c r="E10008" t="s">
        <v>4135</v>
      </c>
      <c r="F10008" t="s">
        <v>4137</v>
      </c>
    </row>
    <row r="10009" spans="1:6">
      <c r="A10009" t="s">
        <v>14138</v>
      </c>
      <c r="B10009" t="s">
        <v>3411</v>
      </c>
      <c r="C10009" t="s">
        <v>126</v>
      </c>
      <c r="D10009" s="1">
        <v>46020</v>
      </c>
      <c r="E10009" t="s">
        <v>4127</v>
      </c>
      <c r="F10009" t="s">
        <v>4125</v>
      </c>
    </row>
    <row r="10010" spans="1:6">
      <c r="A10010" t="s">
        <v>14139</v>
      </c>
      <c r="B10010" t="s">
        <v>3411</v>
      </c>
      <c r="C10010" t="s">
        <v>126</v>
      </c>
      <c r="D10010" s="1">
        <v>46022</v>
      </c>
      <c r="E10010" t="s">
        <v>4129</v>
      </c>
      <c r="F10010" t="s">
        <v>4137</v>
      </c>
    </row>
    <row r="10011" spans="1:6">
      <c r="A10011" t="s">
        <v>14140</v>
      </c>
      <c r="B10011" t="s">
        <v>3411</v>
      </c>
      <c r="C10011" t="s">
        <v>126</v>
      </c>
      <c r="D10011" s="1">
        <v>46019</v>
      </c>
      <c r="E10011" t="s">
        <v>4127</v>
      </c>
      <c r="F10011" t="s">
        <v>4137</v>
      </c>
    </row>
    <row r="10012" spans="1:6">
      <c r="A10012" t="s">
        <v>14141</v>
      </c>
      <c r="B10012" t="s">
        <v>3412</v>
      </c>
      <c r="C10012" t="s">
        <v>36</v>
      </c>
      <c r="D10012" s="1">
        <v>45850</v>
      </c>
      <c r="E10012" t="s">
        <v>4133</v>
      </c>
      <c r="F10012" t="s">
        <v>4125</v>
      </c>
    </row>
    <row r="10013" spans="1:6">
      <c r="A10013" t="s">
        <v>14142</v>
      </c>
      <c r="B10013" t="s">
        <v>3412</v>
      </c>
      <c r="C10013" t="s">
        <v>36</v>
      </c>
      <c r="D10013" s="1">
        <v>45838</v>
      </c>
      <c r="E10013" t="s">
        <v>4135</v>
      </c>
      <c r="F10013" t="s">
        <v>4139</v>
      </c>
    </row>
    <row r="10014" spans="1:6">
      <c r="A10014" t="s">
        <v>14143</v>
      </c>
      <c r="B10014" t="s">
        <v>3412</v>
      </c>
      <c r="C10014" t="s">
        <v>36</v>
      </c>
      <c r="D10014" s="1">
        <v>45843</v>
      </c>
      <c r="E10014" t="s">
        <v>4135</v>
      </c>
      <c r="F10014" t="s">
        <v>4137</v>
      </c>
    </row>
    <row r="10015" spans="1:6">
      <c r="A10015" t="s">
        <v>14144</v>
      </c>
      <c r="B10015" t="s">
        <v>3412</v>
      </c>
      <c r="C10015" t="s">
        <v>36</v>
      </c>
      <c r="D10015" s="1">
        <v>45882</v>
      </c>
      <c r="E10015" t="s">
        <v>4127</v>
      </c>
      <c r="F10015" t="s">
        <v>4139</v>
      </c>
    </row>
    <row r="10016" spans="1:6">
      <c r="A10016" t="s">
        <v>14145</v>
      </c>
      <c r="B10016" t="s">
        <v>3413</v>
      </c>
      <c r="C10016" t="s">
        <v>168</v>
      </c>
      <c r="D10016" s="1">
        <v>45761</v>
      </c>
      <c r="E10016" t="s">
        <v>4127</v>
      </c>
      <c r="F10016" t="s">
        <v>4125</v>
      </c>
    </row>
    <row r="10017" spans="1:6">
      <c r="A10017" t="s">
        <v>14146</v>
      </c>
      <c r="B10017" t="s">
        <v>3413</v>
      </c>
      <c r="C10017" t="s">
        <v>168</v>
      </c>
      <c r="D10017" s="1">
        <v>45782</v>
      </c>
      <c r="E10017" t="s">
        <v>4124</v>
      </c>
      <c r="F10017" t="s">
        <v>4139</v>
      </c>
    </row>
    <row r="10018" spans="1:6">
      <c r="A10018" t="s">
        <v>14147</v>
      </c>
      <c r="B10018" t="s">
        <v>3413</v>
      </c>
      <c r="C10018" t="s">
        <v>168</v>
      </c>
      <c r="D10018" s="1">
        <v>45747</v>
      </c>
      <c r="E10018" t="s">
        <v>4127</v>
      </c>
      <c r="F10018" t="s">
        <v>4125</v>
      </c>
    </row>
    <row r="10019" spans="1:6">
      <c r="A10019" t="s">
        <v>14148</v>
      </c>
      <c r="B10019" t="s">
        <v>3413</v>
      </c>
      <c r="C10019" t="s">
        <v>168</v>
      </c>
      <c r="D10019" s="1">
        <v>45750</v>
      </c>
      <c r="E10019" t="s">
        <v>4124</v>
      </c>
      <c r="F10019" t="s">
        <v>4137</v>
      </c>
    </row>
    <row r="10020" spans="1:6">
      <c r="A10020" t="s">
        <v>14149</v>
      </c>
      <c r="B10020" t="s">
        <v>3414</v>
      </c>
      <c r="C10020" t="s">
        <v>152</v>
      </c>
      <c r="D10020" s="1">
        <v>45916</v>
      </c>
      <c r="E10020" t="s">
        <v>4133</v>
      </c>
      <c r="F10020" t="s">
        <v>4139</v>
      </c>
    </row>
    <row r="10021" spans="1:6">
      <c r="A10021" t="s">
        <v>14150</v>
      </c>
      <c r="B10021" t="s">
        <v>3414</v>
      </c>
      <c r="C10021" t="s">
        <v>152</v>
      </c>
      <c r="D10021" s="1">
        <v>45909</v>
      </c>
      <c r="E10021" t="s">
        <v>4135</v>
      </c>
      <c r="F10021" t="s">
        <v>4137</v>
      </c>
    </row>
    <row r="10022" spans="1:6">
      <c r="A10022" t="s">
        <v>14151</v>
      </c>
      <c r="B10022" t="s">
        <v>3415</v>
      </c>
      <c r="C10022" t="s">
        <v>63</v>
      </c>
      <c r="D10022" s="1">
        <v>46019</v>
      </c>
      <c r="E10022" t="s">
        <v>4129</v>
      </c>
      <c r="F10022" t="s">
        <v>4139</v>
      </c>
    </row>
    <row r="10023" spans="1:6">
      <c r="A10023" t="s">
        <v>14152</v>
      </c>
      <c r="B10023" t="s">
        <v>3415</v>
      </c>
      <c r="C10023" t="s">
        <v>63</v>
      </c>
      <c r="D10023" s="1">
        <v>46011</v>
      </c>
      <c r="E10023" t="s">
        <v>4129</v>
      </c>
      <c r="F10023" t="s">
        <v>4139</v>
      </c>
    </row>
    <row r="10024" spans="1:6">
      <c r="A10024" t="s">
        <v>14153</v>
      </c>
      <c r="B10024" t="s">
        <v>3415</v>
      </c>
      <c r="C10024" t="s">
        <v>63</v>
      </c>
      <c r="D10024" s="1">
        <v>46011</v>
      </c>
      <c r="E10024" t="s">
        <v>4129</v>
      </c>
      <c r="F10024" t="s">
        <v>4139</v>
      </c>
    </row>
    <row r="10025" spans="1:6">
      <c r="A10025" t="s">
        <v>14154</v>
      </c>
      <c r="B10025" t="s">
        <v>3415</v>
      </c>
      <c r="C10025" t="s">
        <v>63</v>
      </c>
      <c r="D10025" s="1">
        <v>46010</v>
      </c>
      <c r="E10025" t="s">
        <v>4129</v>
      </c>
      <c r="F10025" t="s">
        <v>4137</v>
      </c>
    </row>
    <row r="10026" spans="1:6">
      <c r="A10026" t="s">
        <v>14155</v>
      </c>
      <c r="B10026" t="s">
        <v>3415</v>
      </c>
      <c r="C10026" t="s">
        <v>63</v>
      </c>
      <c r="D10026" s="1">
        <v>46017</v>
      </c>
      <c r="E10026" t="s">
        <v>4129</v>
      </c>
      <c r="F10026" t="s">
        <v>4125</v>
      </c>
    </row>
    <row r="10027" spans="1:6">
      <c r="A10027" t="s">
        <v>14156</v>
      </c>
      <c r="B10027" t="s">
        <v>3416</v>
      </c>
      <c r="C10027" t="s">
        <v>32</v>
      </c>
      <c r="D10027" s="1">
        <v>45996</v>
      </c>
      <c r="E10027" t="s">
        <v>4124</v>
      </c>
      <c r="F10027" t="s">
        <v>4125</v>
      </c>
    </row>
    <row r="10028" spans="1:6">
      <c r="A10028" t="s">
        <v>14157</v>
      </c>
      <c r="B10028" t="s">
        <v>3416</v>
      </c>
      <c r="C10028" t="s">
        <v>32</v>
      </c>
      <c r="D10028" s="1">
        <v>45938</v>
      </c>
      <c r="E10028" t="s">
        <v>4124</v>
      </c>
      <c r="F10028" t="s">
        <v>4137</v>
      </c>
    </row>
    <row r="10029" spans="1:6">
      <c r="A10029" t="s">
        <v>14158</v>
      </c>
      <c r="B10029" t="s">
        <v>3416</v>
      </c>
      <c r="C10029" t="s">
        <v>32</v>
      </c>
      <c r="D10029" s="1">
        <v>45948</v>
      </c>
      <c r="E10029" t="s">
        <v>4135</v>
      </c>
      <c r="F10029" t="s">
        <v>4139</v>
      </c>
    </row>
    <row r="10030" spans="1:6">
      <c r="A10030" t="s">
        <v>14159</v>
      </c>
      <c r="B10030" t="s">
        <v>3417</v>
      </c>
      <c r="C10030" t="s">
        <v>59</v>
      </c>
      <c r="D10030" s="1">
        <v>46006</v>
      </c>
      <c r="E10030" t="s">
        <v>4135</v>
      </c>
      <c r="F10030" t="s">
        <v>4139</v>
      </c>
    </row>
    <row r="10031" spans="1:6">
      <c r="A10031" t="s">
        <v>14160</v>
      </c>
      <c r="B10031" t="s">
        <v>3417</v>
      </c>
      <c r="C10031" t="s">
        <v>59</v>
      </c>
      <c r="D10031" s="1">
        <v>46020</v>
      </c>
      <c r="E10031" t="s">
        <v>4129</v>
      </c>
      <c r="F10031" t="s">
        <v>4125</v>
      </c>
    </row>
    <row r="10032" spans="1:6">
      <c r="A10032" t="s">
        <v>14161</v>
      </c>
      <c r="B10032" t="s">
        <v>3417</v>
      </c>
      <c r="C10032" t="s">
        <v>59</v>
      </c>
      <c r="D10032" s="1">
        <v>45984</v>
      </c>
      <c r="E10032" t="s">
        <v>4124</v>
      </c>
      <c r="F10032" t="s">
        <v>4125</v>
      </c>
    </row>
    <row r="10033" spans="1:6">
      <c r="A10033" t="s">
        <v>14162</v>
      </c>
      <c r="B10033" t="s">
        <v>3418</v>
      </c>
      <c r="C10033" t="s">
        <v>22</v>
      </c>
      <c r="D10033" s="1">
        <v>45702</v>
      </c>
      <c r="E10033" t="s">
        <v>4135</v>
      </c>
      <c r="F10033" t="s">
        <v>4125</v>
      </c>
    </row>
    <row r="10034" spans="1:6">
      <c r="A10034" t="s">
        <v>14163</v>
      </c>
      <c r="B10034" t="s">
        <v>3418</v>
      </c>
      <c r="C10034" t="s">
        <v>22</v>
      </c>
      <c r="D10034" s="1">
        <v>45682</v>
      </c>
      <c r="E10034" t="s">
        <v>4124</v>
      </c>
      <c r="F10034" t="s">
        <v>4125</v>
      </c>
    </row>
    <row r="10035" spans="1:6">
      <c r="A10035" t="s">
        <v>14164</v>
      </c>
      <c r="B10035" t="s">
        <v>3418</v>
      </c>
      <c r="C10035" t="s">
        <v>22</v>
      </c>
      <c r="D10035" s="1">
        <v>45700</v>
      </c>
      <c r="E10035" t="s">
        <v>4135</v>
      </c>
      <c r="F10035" t="s">
        <v>4125</v>
      </c>
    </row>
    <row r="10036" spans="1:6">
      <c r="A10036" t="s">
        <v>14165</v>
      </c>
      <c r="B10036" t="s">
        <v>3418</v>
      </c>
      <c r="C10036" t="s">
        <v>22</v>
      </c>
      <c r="D10036" s="1">
        <v>45678</v>
      </c>
      <c r="E10036" t="s">
        <v>4133</v>
      </c>
      <c r="F10036" t="s">
        <v>4137</v>
      </c>
    </row>
    <row r="10037" spans="1:6">
      <c r="A10037" t="s">
        <v>14166</v>
      </c>
      <c r="B10037" t="s">
        <v>3418</v>
      </c>
      <c r="C10037" t="s">
        <v>22</v>
      </c>
      <c r="D10037" s="1">
        <v>45698</v>
      </c>
      <c r="E10037" t="s">
        <v>4124</v>
      </c>
      <c r="F10037" t="s">
        <v>4137</v>
      </c>
    </row>
    <row r="10038" spans="1:6">
      <c r="A10038" t="s">
        <v>14167</v>
      </c>
      <c r="B10038" t="s">
        <v>3419</v>
      </c>
      <c r="C10038" t="s">
        <v>56</v>
      </c>
      <c r="D10038" s="1">
        <v>45871</v>
      </c>
      <c r="E10038" t="s">
        <v>4127</v>
      </c>
      <c r="F10038" t="s">
        <v>4125</v>
      </c>
    </row>
    <row r="10039" spans="1:6">
      <c r="A10039" t="s">
        <v>14168</v>
      </c>
      <c r="B10039" t="s">
        <v>3419</v>
      </c>
      <c r="C10039" t="s">
        <v>56</v>
      </c>
      <c r="D10039" s="1">
        <v>45905</v>
      </c>
      <c r="E10039" t="s">
        <v>4124</v>
      </c>
      <c r="F10039" t="s">
        <v>4137</v>
      </c>
    </row>
    <row r="10040" spans="1:6">
      <c r="A10040" t="s">
        <v>14169</v>
      </c>
      <c r="B10040" t="s">
        <v>3420</v>
      </c>
      <c r="C10040" t="s">
        <v>63</v>
      </c>
      <c r="D10040" s="1">
        <v>45982</v>
      </c>
      <c r="E10040" t="s">
        <v>4127</v>
      </c>
      <c r="F10040" t="s">
        <v>4139</v>
      </c>
    </row>
    <row r="10041" spans="1:6">
      <c r="A10041" t="s">
        <v>14170</v>
      </c>
      <c r="B10041" t="s">
        <v>3420</v>
      </c>
      <c r="C10041" t="s">
        <v>63</v>
      </c>
      <c r="D10041" s="1">
        <v>45978</v>
      </c>
      <c r="E10041" t="s">
        <v>4135</v>
      </c>
      <c r="F10041" t="s">
        <v>4137</v>
      </c>
    </row>
    <row r="10042" spans="1:6">
      <c r="A10042" t="s">
        <v>14171</v>
      </c>
      <c r="B10042" t="s">
        <v>3420</v>
      </c>
      <c r="C10042" t="s">
        <v>63</v>
      </c>
      <c r="D10042" s="1">
        <v>45959</v>
      </c>
      <c r="E10042" t="s">
        <v>4124</v>
      </c>
      <c r="F10042" t="s">
        <v>4139</v>
      </c>
    </row>
    <row r="10043" spans="1:6">
      <c r="A10043" t="s">
        <v>14172</v>
      </c>
      <c r="B10043" t="s">
        <v>3421</v>
      </c>
      <c r="C10043" t="s">
        <v>75</v>
      </c>
      <c r="D10043" s="1">
        <v>45825</v>
      </c>
      <c r="E10043" t="s">
        <v>4133</v>
      </c>
      <c r="F10043" t="s">
        <v>4125</v>
      </c>
    </row>
    <row r="10044" spans="1:6">
      <c r="A10044" t="s">
        <v>14173</v>
      </c>
      <c r="B10044" t="s">
        <v>3421</v>
      </c>
      <c r="C10044" t="s">
        <v>75</v>
      </c>
      <c r="D10044" s="1">
        <v>45849</v>
      </c>
      <c r="E10044" t="s">
        <v>4127</v>
      </c>
      <c r="F10044" t="s">
        <v>4125</v>
      </c>
    </row>
    <row r="10045" spans="1:6">
      <c r="A10045" t="s">
        <v>14174</v>
      </c>
      <c r="B10045" t="s">
        <v>3421</v>
      </c>
      <c r="C10045" t="s">
        <v>75</v>
      </c>
      <c r="D10045" s="1">
        <v>45795</v>
      </c>
      <c r="E10045" t="s">
        <v>4129</v>
      </c>
      <c r="F10045" t="s">
        <v>4125</v>
      </c>
    </row>
    <row r="10046" spans="1:6">
      <c r="A10046" t="s">
        <v>14175</v>
      </c>
      <c r="B10046" t="s">
        <v>3421</v>
      </c>
      <c r="C10046" t="s">
        <v>75</v>
      </c>
      <c r="D10046" s="1">
        <v>45833</v>
      </c>
      <c r="E10046" t="s">
        <v>4124</v>
      </c>
      <c r="F10046" t="s">
        <v>4139</v>
      </c>
    </row>
    <row r="10047" spans="1:6">
      <c r="A10047" t="s">
        <v>14176</v>
      </c>
      <c r="B10047" t="s">
        <v>3421</v>
      </c>
      <c r="C10047" t="s">
        <v>75</v>
      </c>
      <c r="D10047" s="1">
        <v>45808</v>
      </c>
      <c r="E10047" t="s">
        <v>4135</v>
      </c>
      <c r="F10047" t="s">
        <v>4125</v>
      </c>
    </row>
    <row r="10048" spans="1:6">
      <c r="A10048" t="s">
        <v>14177</v>
      </c>
      <c r="B10048" t="s">
        <v>3422</v>
      </c>
      <c r="C10048" t="s">
        <v>59</v>
      </c>
      <c r="D10048" s="1">
        <v>45805</v>
      </c>
      <c r="E10048" t="s">
        <v>4129</v>
      </c>
      <c r="F10048" t="s">
        <v>4125</v>
      </c>
    </row>
    <row r="10049" spans="1:6">
      <c r="A10049" t="s">
        <v>14178</v>
      </c>
      <c r="B10049" t="s">
        <v>3422</v>
      </c>
      <c r="C10049" t="s">
        <v>59</v>
      </c>
      <c r="D10049" s="1">
        <v>45823</v>
      </c>
      <c r="E10049" t="s">
        <v>4124</v>
      </c>
      <c r="F10049" t="s">
        <v>4139</v>
      </c>
    </row>
    <row r="10050" spans="1:6">
      <c r="A10050" t="s">
        <v>14179</v>
      </c>
      <c r="B10050" t="s">
        <v>3422</v>
      </c>
      <c r="C10050" t="s">
        <v>59</v>
      </c>
      <c r="D10050" s="1">
        <v>45829</v>
      </c>
      <c r="E10050" t="s">
        <v>4129</v>
      </c>
      <c r="F10050" t="s">
        <v>4137</v>
      </c>
    </row>
    <row r="10051" spans="1:6">
      <c r="A10051" t="s">
        <v>14180</v>
      </c>
      <c r="B10051" t="s">
        <v>3422</v>
      </c>
      <c r="C10051" t="s">
        <v>59</v>
      </c>
      <c r="D10051" s="1">
        <v>45783</v>
      </c>
      <c r="E10051" t="s">
        <v>4133</v>
      </c>
      <c r="F10051" t="s">
        <v>4137</v>
      </c>
    </row>
    <row r="10052" spans="1:6">
      <c r="A10052" t="s">
        <v>14181</v>
      </c>
      <c r="B10052" t="s">
        <v>3422</v>
      </c>
      <c r="C10052" t="s">
        <v>59</v>
      </c>
      <c r="D10052" s="1">
        <v>45796</v>
      </c>
      <c r="E10052" t="s">
        <v>4129</v>
      </c>
      <c r="F10052" t="s">
        <v>4125</v>
      </c>
    </row>
    <row r="10053" spans="1:6">
      <c r="A10053" t="s">
        <v>14182</v>
      </c>
      <c r="B10053" t="s">
        <v>3423</v>
      </c>
      <c r="C10053" t="s">
        <v>75</v>
      </c>
      <c r="D10053" s="1">
        <v>45945</v>
      </c>
      <c r="E10053" t="s">
        <v>4129</v>
      </c>
      <c r="F10053" t="s">
        <v>4139</v>
      </c>
    </row>
    <row r="10054" spans="1:6">
      <c r="A10054" t="s">
        <v>14183</v>
      </c>
      <c r="B10054" t="s">
        <v>3423</v>
      </c>
      <c r="C10054" t="s">
        <v>75</v>
      </c>
      <c r="D10054" s="1">
        <v>45968</v>
      </c>
      <c r="E10054" t="s">
        <v>4127</v>
      </c>
      <c r="F10054" t="s">
        <v>4125</v>
      </c>
    </row>
    <row r="10055" spans="1:6">
      <c r="A10055" t="s">
        <v>14184</v>
      </c>
      <c r="B10055" t="s">
        <v>3423</v>
      </c>
      <c r="C10055" t="s">
        <v>75</v>
      </c>
      <c r="D10055" s="1">
        <v>45969</v>
      </c>
      <c r="E10055" t="s">
        <v>4127</v>
      </c>
      <c r="F10055" t="s">
        <v>4125</v>
      </c>
    </row>
    <row r="10056" spans="1:6">
      <c r="A10056" t="s">
        <v>14185</v>
      </c>
      <c r="B10056" t="s">
        <v>3423</v>
      </c>
      <c r="C10056" t="s">
        <v>75</v>
      </c>
      <c r="D10056" s="1">
        <v>45919</v>
      </c>
      <c r="E10056" t="s">
        <v>4127</v>
      </c>
      <c r="F10056" t="s">
        <v>4139</v>
      </c>
    </row>
    <row r="10057" spans="1:6">
      <c r="A10057" t="s">
        <v>14186</v>
      </c>
      <c r="B10057" t="s">
        <v>3423</v>
      </c>
      <c r="C10057" t="s">
        <v>75</v>
      </c>
      <c r="D10057" s="1">
        <v>45935</v>
      </c>
      <c r="E10057" t="s">
        <v>4129</v>
      </c>
      <c r="F10057" t="s">
        <v>4139</v>
      </c>
    </row>
    <row r="10058" spans="1:6">
      <c r="A10058" t="s">
        <v>14187</v>
      </c>
      <c r="B10058" t="s">
        <v>3424</v>
      </c>
      <c r="C10058" t="s">
        <v>32</v>
      </c>
      <c r="D10058" s="1">
        <v>45808</v>
      </c>
      <c r="E10058" t="s">
        <v>4127</v>
      </c>
      <c r="F10058" t="s">
        <v>4139</v>
      </c>
    </row>
    <row r="10059" spans="1:6">
      <c r="A10059" t="s">
        <v>14188</v>
      </c>
      <c r="B10059" t="s">
        <v>3424</v>
      </c>
      <c r="C10059" t="s">
        <v>32</v>
      </c>
      <c r="D10059" s="1">
        <v>45820</v>
      </c>
      <c r="E10059" t="s">
        <v>4127</v>
      </c>
      <c r="F10059" t="s">
        <v>4125</v>
      </c>
    </row>
    <row r="10060" spans="1:6">
      <c r="A10060" t="s">
        <v>14189</v>
      </c>
      <c r="B10060" t="s">
        <v>3424</v>
      </c>
      <c r="C10060" t="s">
        <v>32</v>
      </c>
      <c r="D10060" s="1">
        <v>45844</v>
      </c>
      <c r="E10060" t="s">
        <v>4124</v>
      </c>
      <c r="F10060" t="s">
        <v>4139</v>
      </c>
    </row>
    <row r="10061" spans="1:6">
      <c r="A10061" t="s">
        <v>14190</v>
      </c>
      <c r="B10061" t="s">
        <v>3425</v>
      </c>
      <c r="C10061" t="s">
        <v>22</v>
      </c>
      <c r="D10061" s="1">
        <v>45933</v>
      </c>
      <c r="E10061" t="s">
        <v>4135</v>
      </c>
      <c r="F10061" t="s">
        <v>4125</v>
      </c>
    </row>
    <row r="10062" spans="1:6">
      <c r="A10062" t="s">
        <v>14191</v>
      </c>
      <c r="B10062" t="s">
        <v>3425</v>
      </c>
      <c r="C10062" t="s">
        <v>22</v>
      </c>
      <c r="D10062" s="1">
        <v>45967</v>
      </c>
      <c r="E10062" t="s">
        <v>4127</v>
      </c>
      <c r="F10062" t="s">
        <v>4137</v>
      </c>
    </row>
    <row r="10063" spans="1:6">
      <c r="A10063" t="s">
        <v>14192</v>
      </c>
      <c r="B10063" t="s">
        <v>3425</v>
      </c>
      <c r="C10063" t="s">
        <v>22</v>
      </c>
      <c r="D10063" s="1">
        <v>45923</v>
      </c>
      <c r="E10063" t="s">
        <v>4127</v>
      </c>
      <c r="F10063" t="s">
        <v>4139</v>
      </c>
    </row>
    <row r="10064" spans="1:6">
      <c r="A10064" t="s">
        <v>14193</v>
      </c>
      <c r="B10064" t="s">
        <v>3426</v>
      </c>
      <c r="C10064" t="s">
        <v>70</v>
      </c>
      <c r="D10064" s="1">
        <v>45752</v>
      </c>
      <c r="E10064" t="s">
        <v>4124</v>
      </c>
      <c r="F10064" t="s">
        <v>4125</v>
      </c>
    </row>
    <row r="10065" spans="1:6">
      <c r="A10065" t="s">
        <v>14194</v>
      </c>
      <c r="B10065" t="s">
        <v>3426</v>
      </c>
      <c r="C10065" t="s">
        <v>70</v>
      </c>
      <c r="D10065" s="1">
        <v>45746</v>
      </c>
      <c r="E10065" t="s">
        <v>4129</v>
      </c>
      <c r="F10065" t="s">
        <v>4139</v>
      </c>
    </row>
    <row r="10066" spans="1:6">
      <c r="A10066" t="s">
        <v>14195</v>
      </c>
      <c r="B10066" t="s">
        <v>3426</v>
      </c>
      <c r="C10066" t="s">
        <v>70</v>
      </c>
      <c r="D10066" s="1">
        <v>45750</v>
      </c>
      <c r="E10066" t="s">
        <v>4133</v>
      </c>
      <c r="F10066" t="s">
        <v>4137</v>
      </c>
    </row>
    <row r="10067" spans="1:6">
      <c r="A10067" t="s">
        <v>14196</v>
      </c>
      <c r="B10067" t="s">
        <v>3426</v>
      </c>
      <c r="C10067" t="s">
        <v>70</v>
      </c>
      <c r="D10067" s="1">
        <v>45736</v>
      </c>
      <c r="E10067" t="s">
        <v>4127</v>
      </c>
      <c r="F10067" t="s">
        <v>4137</v>
      </c>
    </row>
    <row r="10068" spans="1:6">
      <c r="A10068" t="s">
        <v>14197</v>
      </c>
      <c r="B10068" t="s">
        <v>3426</v>
      </c>
      <c r="C10068" t="s">
        <v>70</v>
      </c>
      <c r="D10068" s="1">
        <v>45740</v>
      </c>
      <c r="E10068" t="s">
        <v>4129</v>
      </c>
      <c r="F10068" t="s">
        <v>4137</v>
      </c>
    </row>
    <row r="10069" spans="1:6">
      <c r="A10069" t="s">
        <v>14198</v>
      </c>
      <c r="B10069" t="s">
        <v>3427</v>
      </c>
      <c r="C10069" t="s">
        <v>70</v>
      </c>
      <c r="D10069" s="1">
        <v>45760</v>
      </c>
      <c r="E10069" t="s">
        <v>4133</v>
      </c>
      <c r="F10069" t="s">
        <v>4139</v>
      </c>
    </row>
    <row r="10070" spans="1:6">
      <c r="A10070" t="s">
        <v>14199</v>
      </c>
      <c r="B10070" t="s">
        <v>3427</v>
      </c>
      <c r="C10070" t="s">
        <v>70</v>
      </c>
      <c r="D10070" s="1">
        <v>45720</v>
      </c>
      <c r="E10070" t="s">
        <v>4124</v>
      </c>
      <c r="F10070" t="s">
        <v>4125</v>
      </c>
    </row>
    <row r="10071" spans="1:6">
      <c r="A10071" t="s">
        <v>14200</v>
      </c>
      <c r="B10071" t="s">
        <v>3427</v>
      </c>
      <c r="C10071" t="s">
        <v>70</v>
      </c>
      <c r="D10071" s="1">
        <v>45727</v>
      </c>
      <c r="E10071" t="s">
        <v>4127</v>
      </c>
      <c r="F10071" t="s">
        <v>4137</v>
      </c>
    </row>
    <row r="10072" spans="1:6">
      <c r="A10072" t="s">
        <v>14201</v>
      </c>
      <c r="B10072" t="s">
        <v>3427</v>
      </c>
      <c r="C10072" t="s">
        <v>70</v>
      </c>
      <c r="D10072" s="1">
        <v>45784</v>
      </c>
      <c r="E10072" t="s">
        <v>4127</v>
      </c>
      <c r="F10072" t="s">
        <v>4125</v>
      </c>
    </row>
    <row r="10073" spans="1:6">
      <c r="A10073" t="s">
        <v>14202</v>
      </c>
      <c r="B10073" t="s">
        <v>3427</v>
      </c>
      <c r="C10073" t="s">
        <v>70</v>
      </c>
      <c r="D10073" s="1">
        <v>45745</v>
      </c>
      <c r="E10073" t="s">
        <v>4129</v>
      </c>
      <c r="F10073" t="s">
        <v>4125</v>
      </c>
    </row>
    <row r="10074" spans="1:6">
      <c r="A10074" t="s">
        <v>14203</v>
      </c>
      <c r="B10074" t="s">
        <v>3428</v>
      </c>
      <c r="C10074" t="s">
        <v>16</v>
      </c>
      <c r="D10074" s="1">
        <v>45797</v>
      </c>
      <c r="E10074" t="s">
        <v>4133</v>
      </c>
      <c r="F10074" t="s">
        <v>4137</v>
      </c>
    </row>
    <row r="10075" spans="1:6">
      <c r="A10075" t="s">
        <v>14204</v>
      </c>
      <c r="B10075" t="s">
        <v>3428</v>
      </c>
      <c r="C10075" t="s">
        <v>16</v>
      </c>
      <c r="D10075" s="1">
        <v>45836</v>
      </c>
      <c r="E10075" t="s">
        <v>4129</v>
      </c>
      <c r="F10075" t="s">
        <v>4125</v>
      </c>
    </row>
    <row r="10076" spans="1:6">
      <c r="A10076" t="s">
        <v>14205</v>
      </c>
      <c r="B10076" t="s">
        <v>3428</v>
      </c>
      <c r="C10076" t="s">
        <v>16</v>
      </c>
      <c r="D10076" s="1">
        <v>45808</v>
      </c>
      <c r="E10076" t="s">
        <v>4127</v>
      </c>
      <c r="F10076" t="s">
        <v>4139</v>
      </c>
    </row>
    <row r="10077" spans="1:6">
      <c r="A10077" t="s">
        <v>14206</v>
      </c>
      <c r="B10077" t="s">
        <v>3429</v>
      </c>
      <c r="C10077" t="s">
        <v>119</v>
      </c>
      <c r="D10077" s="1">
        <v>45959</v>
      </c>
      <c r="E10077" t="s">
        <v>4129</v>
      </c>
      <c r="F10077" t="s">
        <v>4139</v>
      </c>
    </row>
    <row r="10078" spans="1:6">
      <c r="A10078" t="s">
        <v>14207</v>
      </c>
      <c r="B10078" t="s">
        <v>3429</v>
      </c>
      <c r="C10078" t="s">
        <v>119</v>
      </c>
      <c r="D10078" s="1">
        <v>45962</v>
      </c>
      <c r="E10078" t="s">
        <v>4124</v>
      </c>
      <c r="F10078" t="s">
        <v>4125</v>
      </c>
    </row>
    <row r="10079" spans="1:6">
      <c r="A10079" t="s">
        <v>14208</v>
      </c>
      <c r="B10079" t="s">
        <v>3430</v>
      </c>
      <c r="C10079" t="s">
        <v>53</v>
      </c>
      <c r="D10079" s="1">
        <v>45957</v>
      </c>
      <c r="E10079" t="s">
        <v>4124</v>
      </c>
      <c r="F10079" t="s">
        <v>4139</v>
      </c>
    </row>
    <row r="10080" spans="1:6">
      <c r="A10080" t="s">
        <v>14209</v>
      </c>
      <c r="B10080" t="s">
        <v>3430</v>
      </c>
      <c r="C10080" t="s">
        <v>53</v>
      </c>
      <c r="D10080" s="1">
        <v>45930</v>
      </c>
      <c r="E10080" t="s">
        <v>4133</v>
      </c>
      <c r="F10080" t="s">
        <v>4125</v>
      </c>
    </row>
    <row r="10081" spans="1:6">
      <c r="A10081" t="s">
        <v>14210</v>
      </c>
      <c r="B10081" t="s">
        <v>3431</v>
      </c>
      <c r="C10081" t="s">
        <v>75</v>
      </c>
      <c r="D10081" s="1">
        <v>45952</v>
      </c>
      <c r="E10081" t="s">
        <v>4135</v>
      </c>
      <c r="F10081" t="s">
        <v>4139</v>
      </c>
    </row>
    <row r="10082" spans="1:6">
      <c r="A10082" t="s">
        <v>14211</v>
      </c>
      <c r="B10082" t="s">
        <v>3431</v>
      </c>
      <c r="C10082" t="s">
        <v>75</v>
      </c>
      <c r="D10082" s="1">
        <v>45966</v>
      </c>
      <c r="E10082" t="s">
        <v>4124</v>
      </c>
      <c r="F10082" t="s">
        <v>4125</v>
      </c>
    </row>
    <row r="10083" spans="1:6">
      <c r="A10083" t="s">
        <v>14212</v>
      </c>
      <c r="B10083" t="s">
        <v>3432</v>
      </c>
      <c r="C10083" t="s">
        <v>168</v>
      </c>
      <c r="D10083" s="1">
        <v>45937</v>
      </c>
      <c r="E10083" t="s">
        <v>4129</v>
      </c>
      <c r="F10083" t="s">
        <v>4125</v>
      </c>
    </row>
    <row r="10084" spans="1:6">
      <c r="A10084" t="s">
        <v>14213</v>
      </c>
      <c r="B10084" t="s">
        <v>3432</v>
      </c>
      <c r="C10084" t="s">
        <v>168</v>
      </c>
      <c r="D10084" s="1">
        <v>45944</v>
      </c>
      <c r="E10084" t="s">
        <v>4133</v>
      </c>
      <c r="F10084" t="s">
        <v>4125</v>
      </c>
    </row>
    <row r="10085" spans="1:6">
      <c r="A10085" t="s">
        <v>14214</v>
      </c>
      <c r="B10085" t="s">
        <v>3432</v>
      </c>
      <c r="C10085" t="s">
        <v>168</v>
      </c>
      <c r="D10085" s="1">
        <v>45940</v>
      </c>
      <c r="E10085" t="s">
        <v>4129</v>
      </c>
      <c r="F10085" t="s">
        <v>4137</v>
      </c>
    </row>
    <row r="10086" spans="1:6">
      <c r="A10086" t="s">
        <v>14215</v>
      </c>
      <c r="B10086" t="s">
        <v>3432</v>
      </c>
      <c r="C10086" t="s">
        <v>168</v>
      </c>
      <c r="D10086" s="1">
        <v>45932</v>
      </c>
      <c r="E10086" t="s">
        <v>4127</v>
      </c>
      <c r="F10086" t="s">
        <v>4139</v>
      </c>
    </row>
    <row r="10087" spans="1:6">
      <c r="A10087" t="s">
        <v>14216</v>
      </c>
      <c r="B10087" t="s">
        <v>3432</v>
      </c>
      <c r="C10087" t="s">
        <v>168</v>
      </c>
      <c r="D10087" s="1">
        <v>45933</v>
      </c>
      <c r="E10087" t="s">
        <v>4129</v>
      </c>
      <c r="F10087" t="s">
        <v>4137</v>
      </c>
    </row>
    <row r="10088" spans="1:6">
      <c r="A10088" t="s">
        <v>14217</v>
      </c>
      <c r="B10088" t="s">
        <v>3433</v>
      </c>
      <c r="C10088" t="s">
        <v>59</v>
      </c>
      <c r="D10088" s="1">
        <v>45687</v>
      </c>
      <c r="E10088" t="s">
        <v>4127</v>
      </c>
      <c r="F10088" t="s">
        <v>4125</v>
      </c>
    </row>
    <row r="10089" spans="1:6">
      <c r="A10089" t="s">
        <v>14218</v>
      </c>
      <c r="B10089" t="s">
        <v>3433</v>
      </c>
      <c r="C10089" t="s">
        <v>59</v>
      </c>
      <c r="D10089" s="1">
        <v>45706</v>
      </c>
      <c r="E10089" t="s">
        <v>4129</v>
      </c>
      <c r="F10089" t="s">
        <v>4125</v>
      </c>
    </row>
    <row r="10090" spans="1:6">
      <c r="A10090" t="s">
        <v>14219</v>
      </c>
      <c r="B10090" t="s">
        <v>3433</v>
      </c>
      <c r="C10090" t="s">
        <v>59</v>
      </c>
      <c r="D10090" s="1">
        <v>45710</v>
      </c>
      <c r="E10090" t="s">
        <v>4127</v>
      </c>
      <c r="F10090" t="s">
        <v>4137</v>
      </c>
    </row>
    <row r="10091" spans="1:6">
      <c r="A10091" t="s">
        <v>14220</v>
      </c>
      <c r="B10091" t="s">
        <v>3433</v>
      </c>
      <c r="C10091" t="s">
        <v>59</v>
      </c>
      <c r="D10091" s="1">
        <v>45688</v>
      </c>
      <c r="E10091" t="s">
        <v>4129</v>
      </c>
      <c r="F10091" t="s">
        <v>4137</v>
      </c>
    </row>
    <row r="10092" spans="1:6">
      <c r="A10092" t="s">
        <v>14221</v>
      </c>
      <c r="B10092" t="s">
        <v>3433</v>
      </c>
      <c r="C10092" t="s">
        <v>59</v>
      </c>
      <c r="D10092" s="1">
        <v>45701</v>
      </c>
      <c r="E10092" t="s">
        <v>4133</v>
      </c>
      <c r="F10092" t="s">
        <v>4125</v>
      </c>
    </row>
    <row r="10093" spans="1:6">
      <c r="A10093" t="s">
        <v>14222</v>
      </c>
      <c r="B10093" t="s">
        <v>3434</v>
      </c>
      <c r="C10093" t="s">
        <v>50</v>
      </c>
      <c r="D10093" s="1">
        <v>45920</v>
      </c>
      <c r="E10093" t="s">
        <v>4127</v>
      </c>
      <c r="F10093" t="s">
        <v>4137</v>
      </c>
    </row>
    <row r="10094" spans="1:6">
      <c r="A10094" t="s">
        <v>14223</v>
      </c>
      <c r="B10094" t="s">
        <v>3434</v>
      </c>
      <c r="C10094" t="s">
        <v>50</v>
      </c>
      <c r="D10094" s="1">
        <v>45909</v>
      </c>
      <c r="E10094" t="s">
        <v>4124</v>
      </c>
      <c r="F10094" t="s">
        <v>4137</v>
      </c>
    </row>
    <row r="10095" spans="1:6">
      <c r="A10095" t="s">
        <v>14224</v>
      </c>
      <c r="B10095" t="s">
        <v>3435</v>
      </c>
      <c r="C10095" t="s">
        <v>27</v>
      </c>
      <c r="D10095" s="1">
        <v>45830</v>
      </c>
      <c r="E10095" t="s">
        <v>4129</v>
      </c>
      <c r="F10095" t="s">
        <v>4125</v>
      </c>
    </row>
    <row r="10096" spans="1:6">
      <c r="A10096" t="s">
        <v>14225</v>
      </c>
      <c r="B10096" t="s">
        <v>3435</v>
      </c>
      <c r="C10096" t="s">
        <v>27</v>
      </c>
      <c r="D10096" s="1">
        <v>45839</v>
      </c>
      <c r="E10096" t="s">
        <v>4127</v>
      </c>
      <c r="F10096" t="s">
        <v>4125</v>
      </c>
    </row>
    <row r="10097" spans="1:6">
      <c r="A10097" t="s">
        <v>14226</v>
      </c>
      <c r="B10097" t="s">
        <v>3435</v>
      </c>
      <c r="C10097" t="s">
        <v>27</v>
      </c>
      <c r="D10097" s="1">
        <v>45842</v>
      </c>
      <c r="E10097" t="s">
        <v>4133</v>
      </c>
      <c r="F10097" t="s">
        <v>4137</v>
      </c>
    </row>
    <row r="10098" spans="1:6">
      <c r="A10098" t="s">
        <v>14227</v>
      </c>
      <c r="B10098" t="s">
        <v>3435</v>
      </c>
      <c r="C10098" t="s">
        <v>27</v>
      </c>
      <c r="D10098" s="1">
        <v>45830</v>
      </c>
      <c r="E10098" t="s">
        <v>4133</v>
      </c>
      <c r="F10098" t="s">
        <v>4139</v>
      </c>
    </row>
    <row r="10099" spans="1:6">
      <c r="A10099" t="s">
        <v>14228</v>
      </c>
      <c r="B10099" t="s">
        <v>3435</v>
      </c>
      <c r="C10099" t="s">
        <v>27</v>
      </c>
      <c r="D10099" s="1">
        <v>45856</v>
      </c>
      <c r="E10099" t="s">
        <v>4135</v>
      </c>
      <c r="F10099" t="s">
        <v>4137</v>
      </c>
    </row>
    <row r="10100" spans="1:6">
      <c r="A10100" t="s">
        <v>14229</v>
      </c>
      <c r="B10100" t="s">
        <v>3436</v>
      </c>
      <c r="C10100" t="s">
        <v>59</v>
      </c>
      <c r="D10100" s="1">
        <v>46001</v>
      </c>
      <c r="E10100" t="s">
        <v>4129</v>
      </c>
      <c r="F10100" t="s">
        <v>4139</v>
      </c>
    </row>
    <row r="10101" spans="1:6">
      <c r="A10101" t="s">
        <v>14230</v>
      </c>
      <c r="B10101" t="s">
        <v>3436</v>
      </c>
      <c r="C10101" t="s">
        <v>59</v>
      </c>
      <c r="D10101" s="1">
        <v>46011</v>
      </c>
      <c r="E10101" t="s">
        <v>4127</v>
      </c>
      <c r="F10101" t="s">
        <v>4125</v>
      </c>
    </row>
    <row r="10102" spans="1:6">
      <c r="A10102" t="s">
        <v>14231</v>
      </c>
      <c r="B10102" t="s">
        <v>3437</v>
      </c>
      <c r="C10102" t="s">
        <v>22</v>
      </c>
      <c r="D10102" s="1">
        <v>45951</v>
      </c>
      <c r="E10102" t="s">
        <v>4133</v>
      </c>
      <c r="F10102" t="s">
        <v>4125</v>
      </c>
    </row>
    <row r="10103" spans="1:6">
      <c r="A10103" t="s">
        <v>14232</v>
      </c>
      <c r="B10103" t="s">
        <v>3437</v>
      </c>
      <c r="C10103" t="s">
        <v>22</v>
      </c>
      <c r="D10103" s="1">
        <v>45916</v>
      </c>
      <c r="E10103" t="s">
        <v>4124</v>
      </c>
      <c r="F10103" t="s">
        <v>4137</v>
      </c>
    </row>
    <row r="10104" spans="1:6">
      <c r="A10104" t="s">
        <v>14233</v>
      </c>
      <c r="B10104" t="s">
        <v>3437</v>
      </c>
      <c r="C10104" t="s">
        <v>22</v>
      </c>
      <c r="D10104" s="1">
        <v>45905</v>
      </c>
      <c r="E10104" t="s">
        <v>4124</v>
      </c>
      <c r="F10104" t="s">
        <v>4139</v>
      </c>
    </row>
    <row r="10105" spans="1:6">
      <c r="A10105" t="s">
        <v>14234</v>
      </c>
      <c r="B10105" t="s">
        <v>3438</v>
      </c>
      <c r="C10105" t="s">
        <v>63</v>
      </c>
      <c r="D10105" s="1">
        <v>45680</v>
      </c>
      <c r="E10105" t="s">
        <v>4135</v>
      </c>
      <c r="F10105" t="s">
        <v>4137</v>
      </c>
    </row>
    <row r="10106" spans="1:6">
      <c r="A10106" t="s">
        <v>14235</v>
      </c>
      <c r="B10106" t="s">
        <v>3438</v>
      </c>
      <c r="C10106" t="s">
        <v>63</v>
      </c>
      <c r="D10106" s="1">
        <v>45706</v>
      </c>
      <c r="E10106" t="s">
        <v>4127</v>
      </c>
      <c r="F10106" t="s">
        <v>4137</v>
      </c>
    </row>
    <row r="10107" spans="1:6">
      <c r="A10107" t="s">
        <v>14236</v>
      </c>
      <c r="B10107" t="s">
        <v>3439</v>
      </c>
      <c r="C10107" t="s">
        <v>75</v>
      </c>
      <c r="D10107" s="1">
        <v>45794</v>
      </c>
      <c r="E10107" t="s">
        <v>4124</v>
      </c>
      <c r="F10107" t="s">
        <v>4125</v>
      </c>
    </row>
    <row r="10108" spans="1:6">
      <c r="A10108" t="s">
        <v>14237</v>
      </c>
      <c r="B10108" t="s">
        <v>3439</v>
      </c>
      <c r="C10108" t="s">
        <v>75</v>
      </c>
      <c r="D10108" s="1">
        <v>45812</v>
      </c>
      <c r="E10108" t="s">
        <v>4135</v>
      </c>
      <c r="F10108" t="s">
        <v>4139</v>
      </c>
    </row>
    <row r="10109" spans="1:6">
      <c r="A10109" t="s">
        <v>14238</v>
      </c>
      <c r="B10109" t="s">
        <v>3440</v>
      </c>
      <c r="C10109" t="s">
        <v>78</v>
      </c>
      <c r="D10109" s="1">
        <v>45984</v>
      </c>
      <c r="E10109" t="s">
        <v>4127</v>
      </c>
      <c r="F10109" t="s">
        <v>4137</v>
      </c>
    </row>
    <row r="10110" spans="1:6">
      <c r="A10110" t="s">
        <v>14239</v>
      </c>
      <c r="B10110" t="s">
        <v>3440</v>
      </c>
      <c r="C10110" t="s">
        <v>78</v>
      </c>
      <c r="D10110" s="1">
        <v>45986</v>
      </c>
      <c r="E10110" t="s">
        <v>4135</v>
      </c>
      <c r="F10110" t="s">
        <v>4137</v>
      </c>
    </row>
    <row r="10111" spans="1:6">
      <c r="A10111" t="s">
        <v>14240</v>
      </c>
      <c r="B10111" t="s">
        <v>3440</v>
      </c>
      <c r="C10111" t="s">
        <v>78</v>
      </c>
      <c r="D10111" s="1">
        <v>45998</v>
      </c>
      <c r="E10111" t="s">
        <v>4133</v>
      </c>
      <c r="F10111" t="s">
        <v>4139</v>
      </c>
    </row>
    <row r="10112" spans="1:6">
      <c r="A10112" t="s">
        <v>14241</v>
      </c>
      <c r="B10112" t="s">
        <v>3441</v>
      </c>
      <c r="C10112" t="s">
        <v>126</v>
      </c>
      <c r="D10112" s="1">
        <v>45771</v>
      </c>
      <c r="E10112" t="s">
        <v>4127</v>
      </c>
      <c r="F10112" t="s">
        <v>4137</v>
      </c>
    </row>
    <row r="10113" spans="1:6">
      <c r="A10113" t="s">
        <v>14242</v>
      </c>
      <c r="B10113" t="s">
        <v>3441</v>
      </c>
      <c r="C10113" t="s">
        <v>126</v>
      </c>
      <c r="D10113" s="1">
        <v>45788</v>
      </c>
      <c r="E10113" t="s">
        <v>4129</v>
      </c>
      <c r="F10113" t="s">
        <v>4137</v>
      </c>
    </row>
    <row r="10114" spans="1:6">
      <c r="A10114" t="s">
        <v>14243</v>
      </c>
      <c r="B10114" t="s">
        <v>3441</v>
      </c>
      <c r="C10114" t="s">
        <v>126</v>
      </c>
      <c r="D10114" s="1">
        <v>45771</v>
      </c>
      <c r="E10114" t="s">
        <v>4129</v>
      </c>
      <c r="F10114" t="s">
        <v>4139</v>
      </c>
    </row>
    <row r="10115" spans="1:6">
      <c r="A10115" t="s">
        <v>14244</v>
      </c>
      <c r="B10115" t="s">
        <v>3441</v>
      </c>
      <c r="C10115" t="s">
        <v>126</v>
      </c>
      <c r="D10115" s="1">
        <v>45781</v>
      </c>
      <c r="E10115" t="s">
        <v>4127</v>
      </c>
      <c r="F10115" t="s">
        <v>4125</v>
      </c>
    </row>
    <row r="10116" spans="1:6">
      <c r="A10116" t="s">
        <v>14245</v>
      </c>
      <c r="B10116" t="s">
        <v>3442</v>
      </c>
      <c r="C10116" t="s">
        <v>27</v>
      </c>
      <c r="D10116" s="1">
        <v>45902</v>
      </c>
      <c r="E10116" t="s">
        <v>4127</v>
      </c>
      <c r="F10116" t="s">
        <v>4139</v>
      </c>
    </row>
    <row r="10117" spans="1:6">
      <c r="A10117" t="s">
        <v>14246</v>
      </c>
      <c r="B10117" t="s">
        <v>3442</v>
      </c>
      <c r="C10117" t="s">
        <v>27</v>
      </c>
      <c r="D10117" s="1">
        <v>45853</v>
      </c>
      <c r="E10117" t="s">
        <v>4127</v>
      </c>
      <c r="F10117" t="s">
        <v>4137</v>
      </c>
    </row>
    <row r="10118" spans="1:6">
      <c r="A10118" t="s">
        <v>14247</v>
      </c>
      <c r="B10118" t="s">
        <v>3442</v>
      </c>
      <c r="C10118" t="s">
        <v>27</v>
      </c>
      <c r="D10118" s="1">
        <v>45870</v>
      </c>
      <c r="E10118" t="s">
        <v>4129</v>
      </c>
      <c r="F10118" t="s">
        <v>4125</v>
      </c>
    </row>
    <row r="10119" spans="1:6">
      <c r="A10119" t="s">
        <v>14248</v>
      </c>
      <c r="B10119" t="s">
        <v>3442</v>
      </c>
      <c r="C10119" t="s">
        <v>27</v>
      </c>
      <c r="D10119" s="1">
        <v>45884</v>
      </c>
      <c r="E10119" t="s">
        <v>4124</v>
      </c>
      <c r="F10119" t="s">
        <v>4125</v>
      </c>
    </row>
    <row r="10120" spans="1:6">
      <c r="A10120" t="s">
        <v>14249</v>
      </c>
      <c r="B10120" t="s">
        <v>3443</v>
      </c>
      <c r="C10120" t="s">
        <v>70</v>
      </c>
      <c r="D10120" s="1">
        <v>45926</v>
      </c>
      <c r="E10120" t="s">
        <v>4133</v>
      </c>
      <c r="F10120" t="s">
        <v>4137</v>
      </c>
    </row>
    <row r="10121" spans="1:6">
      <c r="A10121" t="s">
        <v>14250</v>
      </c>
      <c r="B10121" t="s">
        <v>3443</v>
      </c>
      <c r="C10121" t="s">
        <v>70</v>
      </c>
      <c r="D10121" s="1">
        <v>45921</v>
      </c>
      <c r="E10121" t="s">
        <v>4124</v>
      </c>
      <c r="F10121" t="s">
        <v>4137</v>
      </c>
    </row>
    <row r="10122" spans="1:6">
      <c r="A10122" t="s">
        <v>14251</v>
      </c>
      <c r="B10122" t="s">
        <v>3444</v>
      </c>
      <c r="C10122" t="s">
        <v>63</v>
      </c>
      <c r="D10122" s="1">
        <v>45878</v>
      </c>
      <c r="E10122" t="s">
        <v>4124</v>
      </c>
      <c r="F10122" t="s">
        <v>4139</v>
      </c>
    </row>
    <row r="10123" spans="1:6">
      <c r="A10123" t="s">
        <v>14252</v>
      </c>
      <c r="B10123" t="s">
        <v>3444</v>
      </c>
      <c r="C10123" t="s">
        <v>63</v>
      </c>
      <c r="D10123" s="1">
        <v>45882</v>
      </c>
      <c r="E10123" t="s">
        <v>4124</v>
      </c>
      <c r="F10123" t="s">
        <v>4137</v>
      </c>
    </row>
    <row r="10124" spans="1:6">
      <c r="A10124" t="s">
        <v>14253</v>
      </c>
      <c r="B10124" t="s">
        <v>3444</v>
      </c>
      <c r="C10124" t="s">
        <v>63</v>
      </c>
      <c r="D10124" s="1">
        <v>45878</v>
      </c>
      <c r="E10124" t="s">
        <v>4127</v>
      </c>
      <c r="F10124" t="s">
        <v>4137</v>
      </c>
    </row>
    <row r="10125" spans="1:6">
      <c r="A10125" t="s">
        <v>14254</v>
      </c>
      <c r="B10125" t="s">
        <v>3444</v>
      </c>
      <c r="C10125" t="s">
        <v>63</v>
      </c>
      <c r="D10125" s="1">
        <v>45874</v>
      </c>
      <c r="E10125" t="s">
        <v>4135</v>
      </c>
      <c r="F10125" t="s">
        <v>4125</v>
      </c>
    </row>
    <row r="10126" spans="1:6">
      <c r="A10126" t="s">
        <v>14255</v>
      </c>
      <c r="B10126" t="s">
        <v>3444</v>
      </c>
      <c r="C10126" t="s">
        <v>63</v>
      </c>
      <c r="D10126" s="1">
        <v>45883</v>
      </c>
      <c r="E10126" t="s">
        <v>4135</v>
      </c>
      <c r="F10126" t="s">
        <v>4137</v>
      </c>
    </row>
    <row r="10127" spans="1:6">
      <c r="A10127" t="s">
        <v>14256</v>
      </c>
      <c r="B10127" t="s">
        <v>3445</v>
      </c>
      <c r="C10127" t="s">
        <v>36</v>
      </c>
      <c r="D10127" s="1">
        <v>45896</v>
      </c>
      <c r="E10127" t="s">
        <v>4127</v>
      </c>
      <c r="F10127" t="s">
        <v>4139</v>
      </c>
    </row>
    <row r="10128" spans="1:6">
      <c r="A10128" t="s">
        <v>14257</v>
      </c>
      <c r="B10128" t="s">
        <v>3445</v>
      </c>
      <c r="C10128" t="s">
        <v>36</v>
      </c>
      <c r="D10128" s="1">
        <v>45893</v>
      </c>
      <c r="E10128" t="s">
        <v>4129</v>
      </c>
      <c r="F10128" t="s">
        <v>4139</v>
      </c>
    </row>
    <row r="10129" spans="1:6">
      <c r="A10129" t="s">
        <v>14258</v>
      </c>
      <c r="B10129" t="s">
        <v>3445</v>
      </c>
      <c r="C10129" t="s">
        <v>36</v>
      </c>
      <c r="D10129" s="1">
        <v>45906</v>
      </c>
      <c r="E10129" t="s">
        <v>4135</v>
      </c>
      <c r="F10129" t="s">
        <v>4139</v>
      </c>
    </row>
    <row r="10130" spans="1:6">
      <c r="A10130" t="s">
        <v>14259</v>
      </c>
      <c r="B10130" t="s">
        <v>3446</v>
      </c>
      <c r="C10130" t="s">
        <v>152</v>
      </c>
      <c r="D10130" s="1">
        <v>45958</v>
      </c>
      <c r="E10130" t="s">
        <v>4124</v>
      </c>
      <c r="F10130" t="s">
        <v>4139</v>
      </c>
    </row>
    <row r="10131" spans="1:6">
      <c r="A10131" t="s">
        <v>14260</v>
      </c>
      <c r="B10131" t="s">
        <v>3446</v>
      </c>
      <c r="C10131" t="s">
        <v>152</v>
      </c>
      <c r="D10131" s="1">
        <v>45989</v>
      </c>
      <c r="E10131" t="s">
        <v>4129</v>
      </c>
      <c r="F10131" t="s">
        <v>4139</v>
      </c>
    </row>
    <row r="10132" spans="1:6">
      <c r="A10132" t="s">
        <v>14261</v>
      </c>
      <c r="B10132" t="s">
        <v>3447</v>
      </c>
      <c r="C10132" t="s">
        <v>16</v>
      </c>
      <c r="D10132" s="1">
        <v>45938</v>
      </c>
      <c r="E10132" t="s">
        <v>4135</v>
      </c>
      <c r="F10132" t="s">
        <v>4139</v>
      </c>
    </row>
    <row r="10133" spans="1:6">
      <c r="A10133" t="s">
        <v>14262</v>
      </c>
      <c r="B10133" t="s">
        <v>3447</v>
      </c>
      <c r="C10133" t="s">
        <v>16</v>
      </c>
      <c r="D10133" s="1">
        <v>45976</v>
      </c>
      <c r="E10133" t="s">
        <v>4135</v>
      </c>
      <c r="F10133" t="s">
        <v>4137</v>
      </c>
    </row>
    <row r="10134" spans="1:6">
      <c r="A10134" t="s">
        <v>14263</v>
      </c>
      <c r="B10134" t="s">
        <v>3447</v>
      </c>
      <c r="C10134" t="s">
        <v>16</v>
      </c>
      <c r="D10134" s="1">
        <v>45960</v>
      </c>
      <c r="E10134" t="s">
        <v>4133</v>
      </c>
      <c r="F10134" t="s">
        <v>4139</v>
      </c>
    </row>
    <row r="10135" spans="1:6">
      <c r="A10135" t="s">
        <v>14264</v>
      </c>
      <c r="B10135" t="s">
        <v>3447</v>
      </c>
      <c r="C10135" t="s">
        <v>16</v>
      </c>
      <c r="D10135" s="1">
        <v>45961</v>
      </c>
      <c r="E10135" t="s">
        <v>4133</v>
      </c>
      <c r="F10135" t="s">
        <v>4139</v>
      </c>
    </row>
    <row r="10136" spans="1:6">
      <c r="A10136" t="s">
        <v>14265</v>
      </c>
      <c r="B10136" t="s">
        <v>3448</v>
      </c>
      <c r="C10136" t="s">
        <v>40</v>
      </c>
      <c r="D10136" s="1">
        <v>45911</v>
      </c>
      <c r="E10136" t="s">
        <v>4135</v>
      </c>
      <c r="F10136" t="s">
        <v>4139</v>
      </c>
    </row>
    <row r="10137" spans="1:6">
      <c r="A10137" t="s">
        <v>14266</v>
      </c>
      <c r="B10137" t="s">
        <v>3448</v>
      </c>
      <c r="C10137" t="s">
        <v>40</v>
      </c>
      <c r="D10137" s="1">
        <v>45940</v>
      </c>
      <c r="E10137" t="s">
        <v>4133</v>
      </c>
      <c r="F10137" t="s">
        <v>4137</v>
      </c>
    </row>
    <row r="10138" spans="1:6">
      <c r="A10138" t="s">
        <v>14267</v>
      </c>
      <c r="B10138" t="s">
        <v>3448</v>
      </c>
      <c r="C10138" t="s">
        <v>40</v>
      </c>
      <c r="D10138" s="1">
        <v>45925</v>
      </c>
      <c r="E10138" t="s">
        <v>4133</v>
      </c>
      <c r="F10138" t="s">
        <v>4125</v>
      </c>
    </row>
    <row r="10139" spans="1:6">
      <c r="A10139" t="s">
        <v>14268</v>
      </c>
      <c r="B10139" t="s">
        <v>3448</v>
      </c>
      <c r="C10139" t="s">
        <v>40</v>
      </c>
      <c r="D10139" s="1">
        <v>45945</v>
      </c>
      <c r="E10139" t="s">
        <v>4124</v>
      </c>
      <c r="F10139" t="s">
        <v>4125</v>
      </c>
    </row>
    <row r="10140" spans="1:6">
      <c r="A10140" t="s">
        <v>14269</v>
      </c>
      <c r="B10140" t="s">
        <v>3448</v>
      </c>
      <c r="C10140" t="s">
        <v>40</v>
      </c>
      <c r="D10140" s="1">
        <v>45911</v>
      </c>
      <c r="E10140" t="s">
        <v>4135</v>
      </c>
      <c r="F10140" t="s">
        <v>4137</v>
      </c>
    </row>
    <row r="10141" spans="1:6">
      <c r="A10141" t="s">
        <v>14270</v>
      </c>
      <c r="B10141" t="s">
        <v>3449</v>
      </c>
      <c r="C10141" t="s">
        <v>40</v>
      </c>
      <c r="D10141" s="1">
        <v>46021</v>
      </c>
      <c r="E10141" t="s">
        <v>4124</v>
      </c>
      <c r="F10141" t="s">
        <v>4137</v>
      </c>
    </row>
    <row r="10142" spans="1:6">
      <c r="A10142" t="s">
        <v>14271</v>
      </c>
      <c r="B10142" t="s">
        <v>3449</v>
      </c>
      <c r="C10142" t="s">
        <v>40</v>
      </c>
      <c r="D10142" s="1">
        <v>45999</v>
      </c>
      <c r="E10142" t="s">
        <v>4129</v>
      </c>
      <c r="F10142" t="s">
        <v>4137</v>
      </c>
    </row>
    <row r="10143" spans="1:6">
      <c r="A10143" t="s">
        <v>14272</v>
      </c>
      <c r="B10143" t="s">
        <v>3449</v>
      </c>
      <c r="C10143" t="s">
        <v>40</v>
      </c>
      <c r="D10143" s="1">
        <v>46008</v>
      </c>
      <c r="E10143" t="s">
        <v>4124</v>
      </c>
      <c r="F10143" t="s">
        <v>4137</v>
      </c>
    </row>
    <row r="10144" spans="1:6">
      <c r="A10144" t="s">
        <v>14273</v>
      </c>
      <c r="B10144" t="s">
        <v>3449</v>
      </c>
      <c r="C10144" t="s">
        <v>40</v>
      </c>
      <c r="D10144" s="1">
        <v>45999</v>
      </c>
      <c r="E10144" t="s">
        <v>4124</v>
      </c>
      <c r="F10144" t="s">
        <v>4139</v>
      </c>
    </row>
    <row r="10145" spans="1:6">
      <c r="A10145" t="s">
        <v>14274</v>
      </c>
      <c r="B10145" t="s">
        <v>3450</v>
      </c>
      <c r="C10145" t="s">
        <v>126</v>
      </c>
      <c r="D10145" s="1">
        <v>45967</v>
      </c>
      <c r="E10145" t="s">
        <v>4129</v>
      </c>
      <c r="F10145" t="s">
        <v>4125</v>
      </c>
    </row>
    <row r="10146" spans="1:6">
      <c r="A10146" t="s">
        <v>14275</v>
      </c>
      <c r="B10146" t="s">
        <v>3450</v>
      </c>
      <c r="C10146" t="s">
        <v>126</v>
      </c>
      <c r="D10146" s="1">
        <v>45953</v>
      </c>
      <c r="E10146" t="s">
        <v>4124</v>
      </c>
      <c r="F10146" t="s">
        <v>4139</v>
      </c>
    </row>
    <row r="10147" spans="1:6">
      <c r="A10147" t="s">
        <v>14276</v>
      </c>
      <c r="B10147" t="s">
        <v>3450</v>
      </c>
      <c r="C10147" t="s">
        <v>126</v>
      </c>
      <c r="D10147" s="1">
        <v>45968</v>
      </c>
      <c r="E10147" t="s">
        <v>4135</v>
      </c>
      <c r="F10147" t="s">
        <v>4125</v>
      </c>
    </row>
    <row r="10148" spans="1:6">
      <c r="A10148" t="s">
        <v>14277</v>
      </c>
      <c r="B10148" t="s">
        <v>3450</v>
      </c>
      <c r="C10148" t="s">
        <v>126</v>
      </c>
      <c r="D10148" s="1">
        <v>45961</v>
      </c>
      <c r="E10148" t="s">
        <v>4127</v>
      </c>
      <c r="F10148" t="s">
        <v>4139</v>
      </c>
    </row>
    <row r="10149" spans="1:6">
      <c r="A10149" t="s">
        <v>14278</v>
      </c>
      <c r="B10149" t="s">
        <v>3450</v>
      </c>
      <c r="C10149" t="s">
        <v>126</v>
      </c>
      <c r="D10149" s="1">
        <v>45962</v>
      </c>
      <c r="E10149" t="s">
        <v>4133</v>
      </c>
      <c r="F10149" t="s">
        <v>4139</v>
      </c>
    </row>
    <row r="10150" spans="1:6">
      <c r="A10150" t="s">
        <v>14279</v>
      </c>
      <c r="B10150" t="s">
        <v>3451</v>
      </c>
      <c r="C10150" t="s">
        <v>119</v>
      </c>
      <c r="D10150" s="1">
        <v>45825</v>
      </c>
      <c r="E10150" t="s">
        <v>4127</v>
      </c>
      <c r="F10150" t="s">
        <v>4139</v>
      </c>
    </row>
    <row r="10151" spans="1:6">
      <c r="A10151" t="s">
        <v>14280</v>
      </c>
      <c r="B10151" t="s">
        <v>3451</v>
      </c>
      <c r="C10151" t="s">
        <v>119</v>
      </c>
      <c r="D10151" s="1">
        <v>45851</v>
      </c>
      <c r="E10151" t="s">
        <v>4124</v>
      </c>
      <c r="F10151" t="s">
        <v>4139</v>
      </c>
    </row>
    <row r="10152" spans="1:6">
      <c r="A10152" t="s">
        <v>14281</v>
      </c>
      <c r="B10152" t="s">
        <v>3451</v>
      </c>
      <c r="C10152" t="s">
        <v>119</v>
      </c>
      <c r="D10152" s="1">
        <v>45838</v>
      </c>
      <c r="E10152" t="s">
        <v>4129</v>
      </c>
      <c r="F10152" t="s">
        <v>4137</v>
      </c>
    </row>
    <row r="10153" spans="1:6">
      <c r="A10153" t="s">
        <v>14282</v>
      </c>
      <c r="B10153" t="s">
        <v>3451</v>
      </c>
      <c r="C10153" t="s">
        <v>119</v>
      </c>
      <c r="D10153" s="1">
        <v>45819</v>
      </c>
      <c r="E10153" t="s">
        <v>4133</v>
      </c>
      <c r="F10153" t="s">
        <v>4137</v>
      </c>
    </row>
    <row r="10154" spans="1:6">
      <c r="A10154" t="s">
        <v>14283</v>
      </c>
      <c r="B10154" t="s">
        <v>3452</v>
      </c>
      <c r="C10154" t="s">
        <v>59</v>
      </c>
      <c r="D10154" s="1">
        <v>45701</v>
      </c>
      <c r="E10154" t="s">
        <v>4127</v>
      </c>
      <c r="F10154" t="s">
        <v>4139</v>
      </c>
    </row>
    <row r="10155" spans="1:6">
      <c r="A10155" t="s">
        <v>14284</v>
      </c>
      <c r="B10155" t="s">
        <v>3452</v>
      </c>
      <c r="C10155" t="s">
        <v>59</v>
      </c>
      <c r="D10155" s="1">
        <v>45697</v>
      </c>
      <c r="E10155" t="s">
        <v>4124</v>
      </c>
      <c r="F10155" t="s">
        <v>4125</v>
      </c>
    </row>
    <row r="10156" spans="1:6">
      <c r="A10156" t="s">
        <v>14285</v>
      </c>
      <c r="B10156" t="s">
        <v>3452</v>
      </c>
      <c r="C10156" t="s">
        <v>59</v>
      </c>
      <c r="D10156" s="1">
        <v>45704</v>
      </c>
      <c r="E10156" t="s">
        <v>4135</v>
      </c>
      <c r="F10156" t="s">
        <v>4139</v>
      </c>
    </row>
    <row r="10157" spans="1:6">
      <c r="A10157" t="s">
        <v>14286</v>
      </c>
      <c r="B10157" t="s">
        <v>3452</v>
      </c>
      <c r="C10157" t="s">
        <v>59</v>
      </c>
      <c r="D10157" s="1">
        <v>45688</v>
      </c>
      <c r="E10157" t="s">
        <v>4127</v>
      </c>
      <c r="F10157" t="s">
        <v>4137</v>
      </c>
    </row>
    <row r="10158" spans="1:6">
      <c r="A10158" t="s">
        <v>14287</v>
      </c>
      <c r="B10158" t="s">
        <v>3453</v>
      </c>
      <c r="C10158" t="s">
        <v>91</v>
      </c>
      <c r="D10158" s="1">
        <v>45895</v>
      </c>
      <c r="E10158" t="s">
        <v>4135</v>
      </c>
      <c r="F10158" t="s">
        <v>4139</v>
      </c>
    </row>
    <row r="10159" spans="1:6">
      <c r="A10159" t="s">
        <v>14288</v>
      </c>
      <c r="B10159" t="s">
        <v>3453</v>
      </c>
      <c r="C10159" t="s">
        <v>91</v>
      </c>
      <c r="D10159" s="1">
        <v>45895</v>
      </c>
      <c r="E10159" t="s">
        <v>4124</v>
      </c>
      <c r="F10159" t="s">
        <v>4125</v>
      </c>
    </row>
    <row r="10160" spans="1:6">
      <c r="A10160" t="s">
        <v>14289</v>
      </c>
      <c r="B10160" t="s">
        <v>3453</v>
      </c>
      <c r="C10160" t="s">
        <v>91</v>
      </c>
      <c r="D10160" s="1">
        <v>45888</v>
      </c>
      <c r="E10160" t="s">
        <v>4133</v>
      </c>
      <c r="F10160" t="s">
        <v>4125</v>
      </c>
    </row>
    <row r="10161" spans="1:6">
      <c r="A10161" t="s">
        <v>14290</v>
      </c>
      <c r="B10161" t="s">
        <v>3453</v>
      </c>
      <c r="C10161" t="s">
        <v>91</v>
      </c>
      <c r="D10161" s="1">
        <v>45899</v>
      </c>
      <c r="E10161" t="s">
        <v>4133</v>
      </c>
      <c r="F10161" t="s">
        <v>4139</v>
      </c>
    </row>
    <row r="10162" spans="1:6">
      <c r="A10162" t="s">
        <v>14291</v>
      </c>
      <c r="B10162" t="s">
        <v>3454</v>
      </c>
      <c r="C10162" t="s">
        <v>32</v>
      </c>
      <c r="D10162" s="1">
        <v>45918</v>
      </c>
      <c r="E10162" t="s">
        <v>4127</v>
      </c>
      <c r="F10162" t="s">
        <v>4137</v>
      </c>
    </row>
    <row r="10163" spans="1:6">
      <c r="A10163" t="s">
        <v>14292</v>
      </c>
      <c r="B10163" t="s">
        <v>3454</v>
      </c>
      <c r="C10163" t="s">
        <v>32</v>
      </c>
      <c r="D10163" s="1">
        <v>45918</v>
      </c>
      <c r="E10163" t="s">
        <v>4127</v>
      </c>
      <c r="F10163" t="s">
        <v>4125</v>
      </c>
    </row>
    <row r="10164" spans="1:6">
      <c r="A10164" t="s">
        <v>14293</v>
      </c>
      <c r="B10164" t="s">
        <v>3454</v>
      </c>
      <c r="C10164" t="s">
        <v>32</v>
      </c>
      <c r="D10164" s="1">
        <v>45922</v>
      </c>
      <c r="E10164" t="s">
        <v>4133</v>
      </c>
      <c r="F10164" t="s">
        <v>4137</v>
      </c>
    </row>
    <row r="10165" spans="1:6">
      <c r="A10165" t="s">
        <v>14294</v>
      </c>
      <c r="B10165" t="s">
        <v>3454</v>
      </c>
      <c r="C10165" t="s">
        <v>32</v>
      </c>
      <c r="D10165" s="1">
        <v>45922</v>
      </c>
      <c r="E10165" t="s">
        <v>4127</v>
      </c>
      <c r="F10165" t="s">
        <v>4125</v>
      </c>
    </row>
    <row r="10166" spans="1:6">
      <c r="A10166" t="s">
        <v>14295</v>
      </c>
      <c r="B10166" t="s">
        <v>3454</v>
      </c>
      <c r="C10166" t="s">
        <v>32</v>
      </c>
      <c r="D10166" s="1">
        <v>45920</v>
      </c>
      <c r="E10166" t="s">
        <v>4129</v>
      </c>
      <c r="F10166" t="s">
        <v>4137</v>
      </c>
    </row>
    <row r="10167" spans="1:6">
      <c r="A10167" t="s">
        <v>14296</v>
      </c>
      <c r="B10167" t="s">
        <v>3455</v>
      </c>
      <c r="C10167" t="s">
        <v>22</v>
      </c>
      <c r="D10167" s="1">
        <v>45948</v>
      </c>
      <c r="E10167" t="s">
        <v>4129</v>
      </c>
      <c r="F10167" t="s">
        <v>4139</v>
      </c>
    </row>
    <row r="10168" spans="1:6">
      <c r="A10168" t="s">
        <v>14297</v>
      </c>
      <c r="B10168" t="s">
        <v>3455</v>
      </c>
      <c r="C10168" t="s">
        <v>22</v>
      </c>
      <c r="D10168" s="1">
        <v>45971</v>
      </c>
      <c r="E10168" t="s">
        <v>4135</v>
      </c>
      <c r="F10168" t="s">
        <v>4125</v>
      </c>
    </row>
    <row r="10169" spans="1:6">
      <c r="A10169" t="s">
        <v>14298</v>
      </c>
      <c r="B10169" t="s">
        <v>3455</v>
      </c>
      <c r="C10169" t="s">
        <v>22</v>
      </c>
      <c r="D10169" s="1">
        <v>46005</v>
      </c>
      <c r="E10169" t="s">
        <v>4133</v>
      </c>
      <c r="F10169" t="s">
        <v>4137</v>
      </c>
    </row>
    <row r="10170" spans="1:6">
      <c r="A10170" t="s">
        <v>14299</v>
      </c>
      <c r="B10170" t="s">
        <v>3455</v>
      </c>
      <c r="C10170" t="s">
        <v>22</v>
      </c>
      <c r="D10170" s="1">
        <v>45978</v>
      </c>
      <c r="E10170" t="s">
        <v>4129</v>
      </c>
      <c r="F10170" t="s">
        <v>4139</v>
      </c>
    </row>
    <row r="10171" spans="1:6">
      <c r="A10171" t="s">
        <v>14300</v>
      </c>
      <c r="B10171" t="s">
        <v>3455</v>
      </c>
      <c r="C10171" t="s">
        <v>22</v>
      </c>
      <c r="D10171" s="1">
        <v>45998</v>
      </c>
      <c r="E10171" t="s">
        <v>4135</v>
      </c>
      <c r="F10171" t="s">
        <v>4139</v>
      </c>
    </row>
    <row r="10172" spans="1:6">
      <c r="A10172" t="s">
        <v>14301</v>
      </c>
      <c r="B10172" t="s">
        <v>3456</v>
      </c>
      <c r="C10172" t="s">
        <v>50</v>
      </c>
      <c r="D10172" s="1">
        <v>45972</v>
      </c>
      <c r="E10172" t="s">
        <v>4133</v>
      </c>
      <c r="F10172" t="s">
        <v>4139</v>
      </c>
    </row>
    <row r="10173" spans="1:6">
      <c r="A10173" t="s">
        <v>14302</v>
      </c>
      <c r="B10173" t="s">
        <v>3456</v>
      </c>
      <c r="C10173" t="s">
        <v>50</v>
      </c>
      <c r="D10173" s="1">
        <v>45967</v>
      </c>
      <c r="E10173" t="s">
        <v>4133</v>
      </c>
      <c r="F10173" t="s">
        <v>4137</v>
      </c>
    </row>
    <row r="10174" spans="1:6">
      <c r="A10174" t="s">
        <v>14303</v>
      </c>
      <c r="B10174" t="s">
        <v>3456</v>
      </c>
      <c r="C10174" t="s">
        <v>50</v>
      </c>
      <c r="D10174" s="1">
        <v>45967</v>
      </c>
      <c r="E10174" t="s">
        <v>4127</v>
      </c>
      <c r="F10174" t="s">
        <v>4137</v>
      </c>
    </row>
    <row r="10175" spans="1:6">
      <c r="A10175" t="s">
        <v>14304</v>
      </c>
      <c r="B10175" t="s">
        <v>3456</v>
      </c>
      <c r="C10175" t="s">
        <v>50</v>
      </c>
      <c r="D10175" s="1">
        <v>45968</v>
      </c>
      <c r="E10175" t="s">
        <v>4129</v>
      </c>
      <c r="F10175" t="s">
        <v>4125</v>
      </c>
    </row>
    <row r="10176" spans="1:6">
      <c r="A10176" t="s">
        <v>14305</v>
      </c>
      <c r="B10176" t="s">
        <v>3457</v>
      </c>
      <c r="C10176" t="s">
        <v>53</v>
      </c>
      <c r="D10176" s="1">
        <v>45935</v>
      </c>
      <c r="E10176" t="s">
        <v>4135</v>
      </c>
      <c r="F10176" t="s">
        <v>4137</v>
      </c>
    </row>
    <row r="10177" spans="1:6">
      <c r="A10177" t="s">
        <v>14306</v>
      </c>
      <c r="B10177" t="s">
        <v>3457</v>
      </c>
      <c r="C10177" t="s">
        <v>53</v>
      </c>
      <c r="D10177" s="1">
        <v>45931</v>
      </c>
      <c r="E10177" t="s">
        <v>4135</v>
      </c>
      <c r="F10177" t="s">
        <v>4139</v>
      </c>
    </row>
    <row r="10178" spans="1:6">
      <c r="A10178" t="s">
        <v>14307</v>
      </c>
      <c r="B10178" t="s">
        <v>3457</v>
      </c>
      <c r="C10178" t="s">
        <v>53</v>
      </c>
      <c r="D10178" s="1">
        <v>45951</v>
      </c>
      <c r="E10178" t="s">
        <v>4135</v>
      </c>
      <c r="F10178" t="s">
        <v>4137</v>
      </c>
    </row>
    <row r="10179" spans="1:6">
      <c r="A10179" t="s">
        <v>14308</v>
      </c>
      <c r="B10179" t="s">
        <v>3457</v>
      </c>
      <c r="C10179" t="s">
        <v>53</v>
      </c>
      <c r="D10179" s="1">
        <v>45940</v>
      </c>
      <c r="E10179" t="s">
        <v>4133</v>
      </c>
      <c r="F10179" t="s">
        <v>4137</v>
      </c>
    </row>
    <row r="10180" spans="1:6">
      <c r="A10180" t="s">
        <v>14309</v>
      </c>
      <c r="B10180" t="s">
        <v>3457</v>
      </c>
      <c r="C10180" t="s">
        <v>53</v>
      </c>
      <c r="D10180" s="1">
        <v>45933</v>
      </c>
      <c r="E10180" t="s">
        <v>4135</v>
      </c>
      <c r="F10180" t="s">
        <v>4125</v>
      </c>
    </row>
    <row r="10181" spans="1:6">
      <c r="A10181" t="s">
        <v>14310</v>
      </c>
      <c r="B10181" t="s">
        <v>3458</v>
      </c>
      <c r="C10181" t="s">
        <v>40</v>
      </c>
      <c r="D10181" s="1">
        <v>45975</v>
      </c>
      <c r="E10181" t="s">
        <v>4135</v>
      </c>
      <c r="F10181" t="s">
        <v>4137</v>
      </c>
    </row>
    <row r="10182" spans="1:6">
      <c r="A10182" t="s">
        <v>14311</v>
      </c>
      <c r="B10182" t="s">
        <v>3458</v>
      </c>
      <c r="C10182" t="s">
        <v>40</v>
      </c>
      <c r="D10182" s="1">
        <v>46003</v>
      </c>
      <c r="E10182" t="s">
        <v>4127</v>
      </c>
      <c r="F10182" t="s">
        <v>4125</v>
      </c>
    </row>
    <row r="10183" spans="1:6">
      <c r="A10183" t="s">
        <v>14312</v>
      </c>
      <c r="B10183" t="s">
        <v>3458</v>
      </c>
      <c r="C10183" t="s">
        <v>40</v>
      </c>
      <c r="D10183" s="1">
        <v>45983</v>
      </c>
      <c r="E10183" t="s">
        <v>4133</v>
      </c>
      <c r="F10183" t="s">
        <v>4137</v>
      </c>
    </row>
    <row r="10184" spans="1:6">
      <c r="A10184" t="s">
        <v>14313</v>
      </c>
      <c r="B10184" t="s">
        <v>3458</v>
      </c>
      <c r="C10184" t="s">
        <v>40</v>
      </c>
      <c r="D10184" s="1">
        <v>45983</v>
      </c>
      <c r="E10184" t="s">
        <v>4129</v>
      </c>
      <c r="F10184" t="s">
        <v>4137</v>
      </c>
    </row>
    <row r="10185" spans="1:6">
      <c r="A10185" t="s">
        <v>14314</v>
      </c>
      <c r="B10185" t="s">
        <v>3459</v>
      </c>
      <c r="C10185" t="s">
        <v>152</v>
      </c>
      <c r="D10185" s="1">
        <v>45856</v>
      </c>
      <c r="E10185" t="s">
        <v>4124</v>
      </c>
      <c r="F10185" t="s">
        <v>4139</v>
      </c>
    </row>
    <row r="10186" spans="1:6">
      <c r="A10186" t="s">
        <v>14315</v>
      </c>
      <c r="B10186" t="s">
        <v>3459</v>
      </c>
      <c r="C10186" t="s">
        <v>152</v>
      </c>
      <c r="D10186" s="1">
        <v>45887</v>
      </c>
      <c r="E10186" t="s">
        <v>4124</v>
      </c>
      <c r="F10186" t="s">
        <v>4139</v>
      </c>
    </row>
    <row r="10187" spans="1:6">
      <c r="A10187" t="s">
        <v>14316</v>
      </c>
      <c r="B10187" t="s">
        <v>3459</v>
      </c>
      <c r="C10187" t="s">
        <v>152</v>
      </c>
      <c r="D10187" s="1">
        <v>45892</v>
      </c>
      <c r="E10187" t="s">
        <v>4133</v>
      </c>
      <c r="F10187" t="s">
        <v>4125</v>
      </c>
    </row>
    <row r="10188" spans="1:6">
      <c r="A10188" t="s">
        <v>14317</v>
      </c>
      <c r="B10188" t="s">
        <v>3459</v>
      </c>
      <c r="C10188" t="s">
        <v>152</v>
      </c>
      <c r="D10188" s="1">
        <v>45882</v>
      </c>
      <c r="E10188" t="s">
        <v>4129</v>
      </c>
      <c r="F10188" t="s">
        <v>4125</v>
      </c>
    </row>
    <row r="10189" spans="1:6">
      <c r="A10189" t="s">
        <v>14318</v>
      </c>
      <c r="B10189" t="s">
        <v>3460</v>
      </c>
      <c r="C10189" t="s">
        <v>32</v>
      </c>
      <c r="D10189" s="1">
        <v>45812</v>
      </c>
      <c r="E10189" t="s">
        <v>4127</v>
      </c>
      <c r="F10189" t="s">
        <v>4139</v>
      </c>
    </row>
    <row r="10190" spans="1:6">
      <c r="A10190" t="s">
        <v>14319</v>
      </c>
      <c r="B10190" t="s">
        <v>3460</v>
      </c>
      <c r="C10190" t="s">
        <v>32</v>
      </c>
      <c r="D10190" s="1">
        <v>45792</v>
      </c>
      <c r="E10190" t="s">
        <v>4129</v>
      </c>
      <c r="F10190" t="s">
        <v>4125</v>
      </c>
    </row>
    <row r="10191" spans="1:6">
      <c r="A10191" t="s">
        <v>14320</v>
      </c>
      <c r="B10191" t="s">
        <v>3461</v>
      </c>
      <c r="C10191" t="s">
        <v>78</v>
      </c>
      <c r="D10191" s="1">
        <v>45907</v>
      </c>
      <c r="E10191" t="s">
        <v>4133</v>
      </c>
      <c r="F10191" t="s">
        <v>4139</v>
      </c>
    </row>
    <row r="10192" spans="1:6">
      <c r="A10192" t="s">
        <v>14321</v>
      </c>
      <c r="B10192" t="s">
        <v>3461</v>
      </c>
      <c r="C10192" t="s">
        <v>78</v>
      </c>
      <c r="D10192" s="1">
        <v>45906</v>
      </c>
      <c r="E10192" t="s">
        <v>4135</v>
      </c>
      <c r="F10192" t="s">
        <v>4125</v>
      </c>
    </row>
    <row r="10193" spans="1:6">
      <c r="A10193" t="s">
        <v>14322</v>
      </c>
      <c r="B10193" t="s">
        <v>3461</v>
      </c>
      <c r="C10193" t="s">
        <v>78</v>
      </c>
      <c r="D10193" s="1">
        <v>45921</v>
      </c>
      <c r="E10193" t="s">
        <v>4129</v>
      </c>
      <c r="F10193" t="s">
        <v>4125</v>
      </c>
    </row>
    <row r="10194" spans="1:6">
      <c r="A10194" t="s">
        <v>14323</v>
      </c>
      <c r="B10194" t="s">
        <v>3462</v>
      </c>
      <c r="C10194" t="s">
        <v>78</v>
      </c>
      <c r="D10194" s="1">
        <v>45960</v>
      </c>
      <c r="E10194" t="s">
        <v>4127</v>
      </c>
      <c r="F10194" t="s">
        <v>4137</v>
      </c>
    </row>
    <row r="10195" spans="1:6">
      <c r="A10195" t="s">
        <v>14324</v>
      </c>
      <c r="B10195" t="s">
        <v>3462</v>
      </c>
      <c r="C10195" t="s">
        <v>78</v>
      </c>
      <c r="D10195" s="1">
        <v>45959</v>
      </c>
      <c r="E10195" t="s">
        <v>4129</v>
      </c>
      <c r="F10195" t="s">
        <v>4139</v>
      </c>
    </row>
    <row r="10196" spans="1:6">
      <c r="A10196" t="s">
        <v>14325</v>
      </c>
      <c r="B10196" t="s">
        <v>3462</v>
      </c>
      <c r="C10196" t="s">
        <v>78</v>
      </c>
      <c r="D10196" s="1">
        <v>45933</v>
      </c>
      <c r="E10196" t="s">
        <v>4127</v>
      </c>
      <c r="F10196" t="s">
        <v>4139</v>
      </c>
    </row>
    <row r="10197" spans="1:6">
      <c r="A10197" t="s">
        <v>14326</v>
      </c>
      <c r="B10197" t="s">
        <v>3462</v>
      </c>
      <c r="C10197" t="s">
        <v>78</v>
      </c>
      <c r="D10197" s="1">
        <v>45965</v>
      </c>
      <c r="E10197" t="s">
        <v>4124</v>
      </c>
      <c r="F10197" t="s">
        <v>4137</v>
      </c>
    </row>
    <row r="10198" spans="1:6">
      <c r="A10198" t="s">
        <v>14327</v>
      </c>
      <c r="B10198" t="s">
        <v>3463</v>
      </c>
      <c r="C10198" t="s">
        <v>91</v>
      </c>
      <c r="D10198" s="1">
        <v>45761</v>
      </c>
      <c r="E10198" t="s">
        <v>4135</v>
      </c>
      <c r="F10198" t="s">
        <v>4125</v>
      </c>
    </row>
    <row r="10199" spans="1:6">
      <c r="A10199" t="s">
        <v>14328</v>
      </c>
      <c r="B10199" t="s">
        <v>3463</v>
      </c>
      <c r="C10199" t="s">
        <v>91</v>
      </c>
      <c r="D10199" s="1">
        <v>45790</v>
      </c>
      <c r="E10199" t="s">
        <v>4124</v>
      </c>
      <c r="F10199" t="s">
        <v>4139</v>
      </c>
    </row>
    <row r="10200" spans="1:6">
      <c r="A10200" t="s">
        <v>14329</v>
      </c>
      <c r="B10200" t="s">
        <v>3463</v>
      </c>
      <c r="C10200" t="s">
        <v>91</v>
      </c>
      <c r="D10200" s="1">
        <v>45772</v>
      </c>
      <c r="E10200" t="s">
        <v>4124</v>
      </c>
      <c r="F10200" t="s">
        <v>4137</v>
      </c>
    </row>
    <row r="10201" spans="1:6">
      <c r="A10201" t="s">
        <v>14330</v>
      </c>
      <c r="B10201" t="s">
        <v>3463</v>
      </c>
      <c r="C10201" t="s">
        <v>91</v>
      </c>
      <c r="D10201" s="1">
        <v>45800</v>
      </c>
      <c r="E10201" t="s">
        <v>4124</v>
      </c>
      <c r="F10201" t="s">
        <v>4137</v>
      </c>
    </row>
    <row r="10202" spans="1:6">
      <c r="A10202" t="s">
        <v>14331</v>
      </c>
      <c r="B10202" t="s">
        <v>3464</v>
      </c>
      <c r="C10202" t="s">
        <v>27</v>
      </c>
      <c r="D10202" s="1">
        <v>45768</v>
      </c>
      <c r="E10202" t="s">
        <v>4135</v>
      </c>
      <c r="F10202" t="s">
        <v>4125</v>
      </c>
    </row>
    <row r="10203" spans="1:6">
      <c r="A10203" t="s">
        <v>14332</v>
      </c>
      <c r="B10203" t="s">
        <v>3464</v>
      </c>
      <c r="C10203" t="s">
        <v>27</v>
      </c>
      <c r="D10203" s="1">
        <v>45772</v>
      </c>
      <c r="E10203" t="s">
        <v>4127</v>
      </c>
      <c r="F10203" t="s">
        <v>4139</v>
      </c>
    </row>
    <row r="10204" spans="1:6">
      <c r="A10204" t="s">
        <v>14333</v>
      </c>
      <c r="B10204" t="s">
        <v>3465</v>
      </c>
      <c r="C10204" t="s">
        <v>16</v>
      </c>
      <c r="D10204" s="1">
        <v>45792</v>
      </c>
      <c r="E10204" t="s">
        <v>4127</v>
      </c>
      <c r="F10204" t="s">
        <v>4137</v>
      </c>
    </row>
    <row r="10205" spans="1:6">
      <c r="A10205" t="s">
        <v>14334</v>
      </c>
      <c r="B10205" t="s">
        <v>3465</v>
      </c>
      <c r="C10205" t="s">
        <v>16</v>
      </c>
      <c r="D10205" s="1">
        <v>45767</v>
      </c>
      <c r="E10205" t="s">
        <v>4129</v>
      </c>
      <c r="F10205" t="s">
        <v>4125</v>
      </c>
    </row>
    <row r="10206" spans="1:6">
      <c r="A10206" t="s">
        <v>14335</v>
      </c>
      <c r="B10206" t="s">
        <v>3465</v>
      </c>
      <c r="C10206" t="s">
        <v>16</v>
      </c>
      <c r="D10206" s="1">
        <v>45782</v>
      </c>
      <c r="E10206" t="s">
        <v>4135</v>
      </c>
      <c r="F10206" t="s">
        <v>4125</v>
      </c>
    </row>
    <row r="10207" spans="1:6">
      <c r="A10207" t="s">
        <v>14336</v>
      </c>
      <c r="B10207" t="s">
        <v>3465</v>
      </c>
      <c r="C10207" t="s">
        <v>16</v>
      </c>
      <c r="D10207" s="1">
        <v>45776</v>
      </c>
      <c r="E10207" t="s">
        <v>4129</v>
      </c>
      <c r="F10207" t="s">
        <v>4139</v>
      </c>
    </row>
    <row r="10208" spans="1:6">
      <c r="A10208" t="s">
        <v>14337</v>
      </c>
      <c r="B10208" t="s">
        <v>3466</v>
      </c>
      <c r="C10208" t="s">
        <v>126</v>
      </c>
      <c r="D10208" s="1">
        <v>45858</v>
      </c>
      <c r="E10208" t="s">
        <v>4127</v>
      </c>
      <c r="F10208" t="s">
        <v>4139</v>
      </c>
    </row>
    <row r="10209" spans="1:6">
      <c r="A10209" t="s">
        <v>14338</v>
      </c>
      <c r="B10209" t="s">
        <v>3466</v>
      </c>
      <c r="C10209" t="s">
        <v>126</v>
      </c>
      <c r="D10209" s="1">
        <v>45847</v>
      </c>
      <c r="E10209" t="s">
        <v>4127</v>
      </c>
      <c r="F10209" t="s">
        <v>4139</v>
      </c>
    </row>
    <row r="10210" spans="1:6">
      <c r="A10210" t="s">
        <v>14339</v>
      </c>
      <c r="B10210" t="s">
        <v>3466</v>
      </c>
      <c r="C10210" t="s">
        <v>126</v>
      </c>
      <c r="D10210" s="1">
        <v>45874</v>
      </c>
      <c r="E10210" t="s">
        <v>4135</v>
      </c>
      <c r="F10210" t="s">
        <v>4125</v>
      </c>
    </row>
    <row r="10211" spans="1:6">
      <c r="A10211" t="s">
        <v>14340</v>
      </c>
      <c r="B10211" t="s">
        <v>3466</v>
      </c>
      <c r="C10211" t="s">
        <v>126</v>
      </c>
      <c r="D10211" s="1">
        <v>45861</v>
      </c>
      <c r="E10211" t="s">
        <v>4124</v>
      </c>
      <c r="F10211" t="s">
        <v>4137</v>
      </c>
    </row>
    <row r="10212" spans="1:6">
      <c r="A10212" t="s">
        <v>14341</v>
      </c>
      <c r="B10212" t="s">
        <v>3467</v>
      </c>
      <c r="C10212" t="s">
        <v>59</v>
      </c>
      <c r="D10212" s="1">
        <v>45990</v>
      </c>
      <c r="E10212" t="s">
        <v>4127</v>
      </c>
      <c r="F10212" t="s">
        <v>4137</v>
      </c>
    </row>
    <row r="10213" spans="1:6">
      <c r="A10213" t="s">
        <v>14342</v>
      </c>
      <c r="B10213" t="s">
        <v>3467</v>
      </c>
      <c r="C10213" t="s">
        <v>59</v>
      </c>
      <c r="D10213" s="1">
        <v>45943</v>
      </c>
      <c r="E10213" t="s">
        <v>4133</v>
      </c>
      <c r="F10213" t="s">
        <v>4125</v>
      </c>
    </row>
    <row r="10214" spans="1:6">
      <c r="A10214" t="s">
        <v>14343</v>
      </c>
      <c r="B10214" t="s">
        <v>3467</v>
      </c>
      <c r="C10214" t="s">
        <v>59</v>
      </c>
      <c r="D10214" s="1">
        <v>45935</v>
      </c>
      <c r="E10214" t="s">
        <v>4133</v>
      </c>
      <c r="F10214" t="s">
        <v>4139</v>
      </c>
    </row>
    <row r="10215" spans="1:6">
      <c r="A10215" t="s">
        <v>14344</v>
      </c>
      <c r="B10215" t="s">
        <v>3467</v>
      </c>
      <c r="C10215" t="s">
        <v>59</v>
      </c>
      <c r="D10215" s="1">
        <v>45957</v>
      </c>
      <c r="E10215" t="s">
        <v>4133</v>
      </c>
      <c r="F10215" t="s">
        <v>4139</v>
      </c>
    </row>
    <row r="10216" spans="1:6">
      <c r="A10216" t="s">
        <v>14345</v>
      </c>
      <c r="B10216" t="s">
        <v>3468</v>
      </c>
      <c r="C10216" t="s">
        <v>75</v>
      </c>
      <c r="D10216" s="1">
        <v>45773</v>
      </c>
      <c r="E10216" t="s">
        <v>4135</v>
      </c>
      <c r="F10216" t="s">
        <v>4139</v>
      </c>
    </row>
    <row r="10217" spans="1:6">
      <c r="A10217" t="s">
        <v>14346</v>
      </c>
      <c r="B10217" t="s">
        <v>3468</v>
      </c>
      <c r="C10217" t="s">
        <v>75</v>
      </c>
      <c r="D10217" s="1">
        <v>45800</v>
      </c>
      <c r="E10217" t="s">
        <v>4127</v>
      </c>
      <c r="F10217" t="s">
        <v>4137</v>
      </c>
    </row>
    <row r="10218" spans="1:6">
      <c r="A10218" t="s">
        <v>14347</v>
      </c>
      <c r="B10218" t="s">
        <v>3468</v>
      </c>
      <c r="C10218" t="s">
        <v>75</v>
      </c>
      <c r="D10218" s="1">
        <v>45771</v>
      </c>
      <c r="E10218" t="s">
        <v>4127</v>
      </c>
      <c r="F10218" t="s">
        <v>4139</v>
      </c>
    </row>
    <row r="10219" spans="1:6">
      <c r="A10219" t="s">
        <v>14348</v>
      </c>
      <c r="B10219" t="s">
        <v>3469</v>
      </c>
      <c r="C10219" t="s">
        <v>32</v>
      </c>
      <c r="D10219" s="1">
        <v>45788</v>
      </c>
      <c r="E10219" t="s">
        <v>4124</v>
      </c>
      <c r="F10219" t="s">
        <v>4139</v>
      </c>
    </row>
    <row r="10220" spans="1:6">
      <c r="A10220" t="s">
        <v>14349</v>
      </c>
      <c r="B10220" t="s">
        <v>3469</v>
      </c>
      <c r="C10220" t="s">
        <v>32</v>
      </c>
      <c r="D10220" s="1">
        <v>45797</v>
      </c>
      <c r="E10220" t="s">
        <v>4133</v>
      </c>
      <c r="F10220" t="s">
        <v>4137</v>
      </c>
    </row>
    <row r="10221" spans="1:6">
      <c r="A10221" t="s">
        <v>14350</v>
      </c>
      <c r="B10221" t="s">
        <v>3469</v>
      </c>
      <c r="C10221" t="s">
        <v>32</v>
      </c>
      <c r="D10221" s="1">
        <v>45796</v>
      </c>
      <c r="E10221" t="s">
        <v>4133</v>
      </c>
      <c r="F10221" t="s">
        <v>4125</v>
      </c>
    </row>
    <row r="10222" spans="1:6">
      <c r="A10222" t="s">
        <v>14351</v>
      </c>
      <c r="B10222" t="s">
        <v>3469</v>
      </c>
      <c r="C10222" t="s">
        <v>32</v>
      </c>
      <c r="D10222" s="1">
        <v>45801</v>
      </c>
      <c r="E10222" t="s">
        <v>4124</v>
      </c>
      <c r="F10222" t="s">
        <v>4125</v>
      </c>
    </row>
    <row r="10223" spans="1:6">
      <c r="A10223" t="s">
        <v>14352</v>
      </c>
      <c r="B10223" t="s">
        <v>3470</v>
      </c>
      <c r="C10223" t="s">
        <v>59</v>
      </c>
      <c r="D10223" s="1">
        <v>45942</v>
      </c>
      <c r="E10223" t="s">
        <v>4135</v>
      </c>
      <c r="F10223" t="s">
        <v>4137</v>
      </c>
    </row>
    <row r="10224" spans="1:6">
      <c r="A10224" t="s">
        <v>14353</v>
      </c>
      <c r="B10224" t="s">
        <v>3470</v>
      </c>
      <c r="C10224" t="s">
        <v>59</v>
      </c>
      <c r="D10224" s="1">
        <v>45947</v>
      </c>
      <c r="E10224" t="s">
        <v>4127</v>
      </c>
      <c r="F10224" t="s">
        <v>4139</v>
      </c>
    </row>
    <row r="10225" spans="1:6">
      <c r="A10225" t="s">
        <v>14354</v>
      </c>
      <c r="B10225" t="s">
        <v>3472</v>
      </c>
      <c r="C10225" t="s">
        <v>36</v>
      </c>
      <c r="D10225" s="1">
        <v>45767</v>
      </c>
      <c r="E10225" t="s">
        <v>4124</v>
      </c>
      <c r="F10225" t="s">
        <v>4125</v>
      </c>
    </row>
    <row r="10226" spans="1:6">
      <c r="A10226" t="s">
        <v>14355</v>
      </c>
      <c r="B10226" t="s">
        <v>3472</v>
      </c>
      <c r="C10226" t="s">
        <v>36</v>
      </c>
      <c r="D10226" s="1">
        <v>45791</v>
      </c>
      <c r="E10226" t="s">
        <v>4135</v>
      </c>
      <c r="F10226" t="s">
        <v>4139</v>
      </c>
    </row>
    <row r="10227" spans="1:6">
      <c r="A10227" t="s">
        <v>14356</v>
      </c>
      <c r="B10227" t="s">
        <v>3472</v>
      </c>
      <c r="C10227" t="s">
        <v>36</v>
      </c>
      <c r="D10227" s="1">
        <v>45757</v>
      </c>
      <c r="E10227" t="s">
        <v>4127</v>
      </c>
      <c r="F10227" t="s">
        <v>4137</v>
      </c>
    </row>
    <row r="10228" spans="1:6">
      <c r="A10228" t="s">
        <v>14357</v>
      </c>
      <c r="B10228" t="s">
        <v>3473</v>
      </c>
      <c r="C10228" t="s">
        <v>36</v>
      </c>
      <c r="D10228" s="1">
        <v>45827</v>
      </c>
      <c r="E10228" t="s">
        <v>4135</v>
      </c>
      <c r="F10228" t="s">
        <v>4137</v>
      </c>
    </row>
    <row r="10229" spans="1:6">
      <c r="A10229" t="s">
        <v>14358</v>
      </c>
      <c r="B10229" t="s">
        <v>3473</v>
      </c>
      <c r="C10229" t="s">
        <v>36</v>
      </c>
      <c r="D10229" s="1">
        <v>45855</v>
      </c>
      <c r="E10229" t="s">
        <v>4124</v>
      </c>
      <c r="F10229" t="s">
        <v>4137</v>
      </c>
    </row>
    <row r="10230" spans="1:6">
      <c r="A10230" t="s">
        <v>14359</v>
      </c>
      <c r="B10230" t="s">
        <v>3473</v>
      </c>
      <c r="C10230" t="s">
        <v>36</v>
      </c>
      <c r="D10230" s="1">
        <v>45804</v>
      </c>
      <c r="E10230" t="s">
        <v>4124</v>
      </c>
      <c r="F10230" t="s">
        <v>4139</v>
      </c>
    </row>
    <row r="10231" spans="1:6">
      <c r="A10231" t="s">
        <v>14360</v>
      </c>
      <c r="B10231" t="s">
        <v>3473</v>
      </c>
      <c r="C10231" t="s">
        <v>36</v>
      </c>
      <c r="D10231" s="1">
        <v>45807</v>
      </c>
      <c r="E10231" t="s">
        <v>4135</v>
      </c>
      <c r="F10231" t="s">
        <v>4137</v>
      </c>
    </row>
    <row r="10232" spans="1:6">
      <c r="A10232" t="s">
        <v>14361</v>
      </c>
      <c r="B10232" t="s">
        <v>3474</v>
      </c>
      <c r="C10232" t="s">
        <v>53</v>
      </c>
      <c r="D10232" s="1">
        <v>46009</v>
      </c>
      <c r="E10232" t="s">
        <v>4133</v>
      </c>
      <c r="F10232" t="s">
        <v>4137</v>
      </c>
    </row>
    <row r="10233" spans="1:6">
      <c r="A10233" t="s">
        <v>14362</v>
      </c>
      <c r="B10233" t="s">
        <v>3474</v>
      </c>
      <c r="C10233" t="s">
        <v>53</v>
      </c>
      <c r="D10233" s="1">
        <v>46012</v>
      </c>
      <c r="E10233" t="s">
        <v>4124</v>
      </c>
      <c r="F10233" t="s">
        <v>4137</v>
      </c>
    </row>
    <row r="10234" spans="1:6">
      <c r="A10234" t="s">
        <v>14363</v>
      </c>
      <c r="B10234" t="s">
        <v>3475</v>
      </c>
      <c r="C10234" t="s">
        <v>59</v>
      </c>
      <c r="D10234" s="1">
        <v>46021</v>
      </c>
      <c r="E10234" t="s">
        <v>4127</v>
      </c>
      <c r="F10234" t="s">
        <v>4125</v>
      </c>
    </row>
    <row r="10235" spans="1:6">
      <c r="A10235" t="s">
        <v>14364</v>
      </c>
      <c r="B10235" t="s">
        <v>3475</v>
      </c>
      <c r="C10235" t="s">
        <v>59</v>
      </c>
      <c r="D10235" s="1">
        <v>46007</v>
      </c>
      <c r="E10235" t="s">
        <v>4127</v>
      </c>
      <c r="F10235" t="s">
        <v>4137</v>
      </c>
    </row>
    <row r="10236" spans="1:6">
      <c r="A10236" t="s">
        <v>14365</v>
      </c>
      <c r="B10236" t="s">
        <v>3476</v>
      </c>
      <c r="C10236" t="s">
        <v>168</v>
      </c>
      <c r="D10236" s="1">
        <v>46000</v>
      </c>
      <c r="E10236" t="s">
        <v>4127</v>
      </c>
      <c r="F10236" t="s">
        <v>4139</v>
      </c>
    </row>
    <row r="10237" spans="1:6">
      <c r="A10237" t="s">
        <v>14366</v>
      </c>
      <c r="B10237" t="s">
        <v>3476</v>
      </c>
      <c r="C10237" t="s">
        <v>168</v>
      </c>
      <c r="D10237" s="1">
        <v>46002</v>
      </c>
      <c r="E10237" t="s">
        <v>4127</v>
      </c>
      <c r="F10237" t="s">
        <v>4125</v>
      </c>
    </row>
    <row r="10238" spans="1:6">
      <c r="A10238" t="s">
        <v>14367</v>
      </c>
      <c r="B10238" t="s">
        <v>3477</v>
      </c>
      <c r="C10238" t="s">
        <v>78</v>
      </c>
      <c r="D10238" s="1">
        <v>45897</v>
      </c>
      <c r="E10238" t="s">
        <v>4129</v>
      </c>
      <c r="F10238" t="s">
        <v>4125</v>
      </c>
    </row>
    <row r="10239" spans="1:6">
      <c r="A10239" t="s">
        <v>14368</v>
      </c>
      <c r="B10239" t="s">
        <v>3477</v>
      </c>
      <c r="C10239" t="s">
        <v>78</v>
      </c>
      <c r="D10239" s="1">
        <v>45914</v>
      </c>
      <c r="E10239" t="s">
        <v>4124</v>
      </c>
      <c r="F10239" t="s">
        <v>4137</v>
      </c>
    </row>
    <row r="10240" spans="1:6">
      <c r="A10240" t="s">
        <v>14369</v>
      </c>
      <c r="B10240" t="s">
        <v>3478</v>
      </c>
      <c r="C10240" t="s">
        <v>50</v>
      </c>
      <c r="D10240" s="1">
        <v>45856</v>
      </c>
      <c r="E10240" t="s">
        <v>4133</v>
      </c>
      <c r="F10240" t="s">
        <v>4139</v>
      </c>
    </row>
    <row r="10241" spans="1:6">
      <c r="A10241" t="s">
        <v>14370</v>
      </c>
      <c r="B10241" t="s">
        <v>3478</v>
      </c>
      <c r="C10241" t="s">
        <v>50</v>
      </c>
      <c r="D10241" s="1">
        <v>45871</v>
      </c>
      <c r="E10241" t="s">
        <v>4127</v>
      </c>
      <c r="F10241" t="s">
        <v>4139</v>
      </c>
    </row>
    <row r="10242" spans="1:6">
      <c r="A10242" t="s">
        <v>14371</v>
      </c>
      <c r="B10242" t="s">
        <v>3478</v>
      </c>
      <c r="C10242" t="s">
        <v>50</v>
      </c>
      <c r="D10242" s="1">
        <v>45865</v>
      </c>
      <c r="E10242" t="s">
        <v>4129</v>
      </c>
      <c r="F10242" t="s">
        <v>4137</v>
      </c>
    </row>
    <row r="10243" spans="1:6">
      <c r="A10243" t="s">
        <v>14372</v>
      </c>
      <c r="B10243" t="s">
        <v>3478</v>
      </c>
      <c r="C10243" t="s">
        <v>50</v>
      </c>
      <c r="D10243" s="1">
        <v>45875</v>
      </c>
      <c r="E10243" t="s">
        <v>4135</v>
      </c>
      <c r="F10243" t="s">
        <v>4125</v>
      </c>
    </row>
    <row r="10244" spans="1:6">
      <c r="A10244" t="s">
        <v>14373</v>
      </c>
      <c r="B10244" t="s">
        <v>3478</v>
      </c>
      <c r="C10244" t="s">
        <v>50</v>
      </c>
      <c r="D10244" s="1">
        <v>45871</v>
      </c>
      <c r="E10244" t="s">
        <v>4127</v>
      </c>
      <c r="F10244" t="s">
        <v>4125</v>
      </c>
    </row>
    <row r="10245" spans="1:6">
      <c r="A10245" t="s">
        <v>14374</v>
      </c>
      <c r="B10245" t="s">
        <v>3479</v>
      </c>
      <c r="C10245" t="s">
        <v>126</v>
      </c>
      <c r="D10245" s="1">
        <v>45711</v>
      </c>
      <c r="E10245" t="s">
        <v>4133</v>
      </c>
      <c r="F10245" t="s">
        <v>4125</v>
      </c>
    </row>
    <row r="10246" spans="1:6">
      <c r="A10246" t="s">
        <v>14375</v>
      </c>
      <c r="B10246" t="s">
        <v>3479</v>
      </c>
      <c r="C10246" t="s">
        <v>126</v>
      </c>
      <c r="D10246" s="1">
        <v>45747</v>
      </c>
      <c r="E10246" t="s">
        <v>4135</v>
      </c>
      <c r="F10246" t="s">
        <v>4137</v>
      </c>
    </row>
    <row r="10247" spans="1:6">
      <c r="A10247" t="s">
        <v>14376</v>
      </c>
      <c r="B10247" t="s">
        <v>3480</v>
      </c>
      <c r="C10247" t="s">
        <v>22</v>
      </c>
      <c r="D10247" s="1">
        <v>45703</v>
      </c>
      <c r="E10247" t="s">
        <v>4127</v>
      </c>
      <c r="F10247" t="s">
        <v>4125</v>
      </c>
    </row>
    <row r="10248" spans="1:6">
      <c r="A10248" t="s">
        <v>14377</v>
      </c>
      <c r="B10248" t="s">
        <v>3480</v>
      </c>
      <c r="C10248" t="s">
        <v>22</v>
      </c>
      <c r="D10248" s="1">
        <v>45717</v>
      </c>
      <c r="E10248" t="s">
        <v>4135</v>
      </c>
      <c r="F10248" t="s">
        <v>4137</v>
      </c>
    </row>
    <row r="10249" spans="1:6">
      <c r="A10249" t="s">
        <v>14378</v>
      </c>
      <c r="B10249" t="s">
        <v>3480</v>
      </c>
      <c r="C10249" t="s">
        <v>22</v>
      </c>
      <c r="D10249" s="1">
        <v>45699</v>
      </c>
      <c r="E10249" t="s">
        <v>4135</v>
      </c>
      <c r="F10249" t="s">
        <v>4139</v>
      </c>
    </row>
    <row r="10250" spans="1:6">
      <c r="A10250" t="s">
        <v>14379</v>
      </c>
      <c r="B10250" t="s">
        <v>3480</v>
      </c>
      <c r="C10250" t="s">
        <v>22</v>
      </c>
      <c r="D10250" s="1">
        <v>45712</v>
      </c>
      <c r="E10250" t="s">
        <v>4129</v>
      </c>
      <c r="F10250" t="s">
        <v>4137</v>
      </c>
    </row>
    <row r="10251" spans="1:6">
      <c r="A10251" t="s">
        <v>14380</v>
      </c>
      <c r="B10251" t="s">
        <v>3480</v>
      </c>
      <c r="C10251" t="s">
        <v>22</v>
      </c>
      <c r="D10251" s="1">
        <v>45721</v>
      </c>
      <c r="E10251" t="s">
        <v>4135</v>
      </c>
      <c r="F10251" t="s">
        <v>4125</v>
      </c>
    </row>
    <row r="10252" spans="1:6">
      <c r="A10252" t="s">
        <v>14381</v>
      </c>
      <c r="B10252" t="s">
        <v>3481</v>
      </c>
      <c r="C10252" t="s">
        <v>152</v>
      </c>
      <c r="D10252" s="1">
        <v>46022</v>
      </c>
      <c r="E10252" t="s">
        <v>4133</v>
      </c>
      <c r="F10252" t="s">
        <v>4125</v>
      </c>
    </row>
    <row r="10253" spans="1:6">
      <c r="A10253" t="s">
        <v>14382</v>
      </c>
      <c r="B10253" t="s">
        <v>3481</v>
      </c>
      <c r="C10253" t="s">
        <v>152</v>
      </c>
      <c r="D10253" s="1">
        <v>46022</v>
      </c>
      <c r="E10253" t="s">
        <v>4133</v>
      </c>
      <c r="F10253" t="s">
        <v>4125</v>
      </c>
    </row>
    <row r="10254" spans="1:6">
      <c r="A10254" t="s">
        <v>14383</v>
      </c>
      <c r="B10254" t="s">
        <v>3481</v>
      </c>
      <c r="C10254" t="s">
        <v>152</v>
      </c>
      <c r="D10254" s="1">
        <v>46020</v>
      </c>
      <c r="E10254" t="s">
        <v>4127</v>
      </c>
      <c r="F10254" t="s">
        <v>4139</v>
      </c>
    </row>
    <row r="10255" spans="1:6">
      <c r="A10255" t="s">
        <v>14384</v>
      </c>
      <c r="B10255" t="s">
        <v>3482</v>
      </c>
      <c r="C10255" t="s">
        <v>119</v>
      </c>
      <c r="D10255" s="1">
        <v>45968</v>
      </c>
      <c r="E10255" t="s">
        <v>4133</v>
      </c>
      <c r="F10255" t="s">
        <v>4125</v>
      </c>
    </row>
    <row r="10256" spans="1:6">
      <c r="A10256" t="s">
        <v>14385</v>
      </c>
      <c r="B10256" t="s">
        <v>3482</v>
      </c>
      <c r="C10256" t="s">
        <v>119</v>
      </c>
      <c r="D10256" s="1">
        <v>45968</v>
      </c>
      <c r="E10256" t="s">
        <v>4133</v>
      </c>
      <c r="F10256" t="s">
        <v>4125</v>
      </c>
    </row>
    <row r="10257" spans="1:6">
      <c r="A10257" t="s">
        <v>14386</v>
      </c>
      <c r="B10257" t="s">
        <v>3483</v>
      </c>
      <c r="C10257" t="s">
        <v>126</v>
      </c>
      <c r="D10257" s="1">
        <v>46016</v>
      </c>
      <c r="E10257" t="s">
        <v>4127</v>
      </c>
      <c r="F10257" t="s">
        <v>4139</v>
      </c>
    </row>
    <row r="10258" spans="1:6">
      <c r="A10258" t="s">
        <v>14387</v>
      </c>
      <c r="B10258" t="s">
        <v>3483</v>
      </c>
      <c r="C10258" t="s">
        <v>126</v>
      </c>
      <c r="D10258" s="1">
        <v>46008</v>
      </c>
      <c r="E10258" t="s">
        <v>4135</v>
      </c>
      <c r="F10258" t="s">
        <v>4137</v>
      </c>
    </row>
    <row r="10259" spans="1:6">
      <c r="A10259" t="s">
        <v>14388</v>
      </c>
      <c r="B10259" t="s">
        <v>3483</v>
      </c>
      <c r="C10259" t="s">
        <v>126</v>
      </c>
      <c r="D10259" s="1">
        <v>46012</v>
      </c>
      <c r="E10259" t="s">
        <v>4124</v>
      </c>
      <c r="F10259" t="s">
        <v>4139</v>
      </c>
    </row>
    <row r="10260" spans="1:6">
      <c r="A10260" t="s">
        <v>14389</v>
      </c>
      <c r="B10260" t="s">
        <v>3484</v>
      </c>
      <c r="C10260" t="s">
        <v>40</v>
      </c>
      <c r="D10260" s="1">
        <v>46019</v>
      </c>
      <c r="E10260" t="s">
        <v>4124</v>
      </c>
      <c r="F10260" t="s">
        <v>4139</v>
      </c>
    </row>
    <row r="10261" spans="1:6">
      <c r="A10261" t="s">
        <v>14390</v>
      </c>
      <c r="B10261" t="s">
        <v>3484</v>
      </c>
      <c r="C10261" t="s">
        <v>40</v>
      </c>
      <c r="D10261" s="1">
        <v>46014</v>
      </c>
      <c r="E10261" t="s">
        <v>4135</v>
      </c>
      <c r="F10261" t="s">
        <v>4137</v>
      </c>
    </row>
    <row r="10262" spans="1:6">
      <c r="A10262" t="s">
        <v>14391</v>
      </c>
      <c r="B10262" t="s">
        <v>3484</v>
      </c>
      <c r="C10262" t="s">
        <v>40</v>
      </c>
      <c r="D10262" s="1">
        <v>46010</v>
      </c>
      <c r="E10262" t="s">
        <v>4129</v>
      </c>
      <c r="F10262" t="s">
        <v>4139</v>
      </c>
    </row>
    <row r="10263" spans="1:6">
      <c r="A10263" t="s">
        <v>14392</v>
      </c>
      <c r="B10263" t="s">
        <v>3485</v>
      </c>
      <c r="C10263" t="s">
        <v>16</v>
      </c>
      <c r="D10263" s="1">
        <v>45755</v>
      </c>
      <c r="E10263" t="s">
        <v>4129</v>
      </c>
      <c r="F10263" t="s">
        <v>4139</v>
      </c>
    </row>
    <row r="10264" spans="1:6">
      <c r="A10264" t="s">
        <v>14393</v>
      </c>
      <c r="B10264" t="s">
        <v>3485</v>
      </c>
      <c r="C10264" t="s">
        <v>16</v>
      </c>
      <c r="D10264" s="1">
        <v>45729</v>
      </c>
      <c r="E10264" t="s">
        <v>4129</v>
      </c>
      <c r="F10264" t="s">
        <v>4139</v>
      </c>
    </row>
    <row r="10265" spans="1:6">
      <c r="A10265" t="s">
        <v>14394</v>
      </c>
      <c r="B10265" t="s">
        <v>3485</v>
      </c>
      <c r="C10265" t="s">
        <v>16</v>
      </c>
      <c r="D10265" s="1">
        <v>45763</v>
      </c>
      <c r="E10265" t="s">
        <v>4129</v>
      </c>
      <c r="F10265" t="s">
        <v>4139</v>
      </c>
    </row>
    <row r="10266" spans="1:6">
      <c r="A10266" t="s">
        <v>14395</v>
      </c>
      <c r="B10266" t="s">
        <v>3485</v>
      </c>
      <c r="C10266" t="s">
        <v>16</v>
      </c>
      <c r="D10266" s="1">
        <v>45738</v>
      </c>
      <c r="E10266" t="s">
        <v>4135</v>
      </c>
      <c r="F10266" t="s">
        <v>4137</v>
      </c>
    </row>
    <row r="10267" spans="1:6">
      <c r="A10267" t="s">
        <v>14396</v>
      </c>
      <c r="B10267" t="s">
        <v>3485</v>
      </c>
      <c r="C10267" t="s">
        <v>16</v>
      </c>
      <c r="D10267" s="1">
        <v>45752</v>
      </c>
      <c r="E10267" t="s">
        <v>4124</v>
      </c>
      <c r="F10267" t="s">
        <v>4139</v>
      </c>
    </row>
    <row r="10268" spans="1:6">
      <c r="A10268" t="s">
        <v>14397</v>
      </c>
      <c r="B10268" t="s">
        <v>3486</v>
      </c>
      <c r="C10268" t="s">
        <v>78</v>
      </c>
      <c r="D10268" s="1">
        <v>45933</v>
      </c>
      <c r="E10268" t="s">
        <v>4129</v>
      </c>
      <c r="F10268" t="s">
        <v>4137</v>
      </c>
    </row>
    <row r="10269" spans="1:6">
      <c r="A10269" t="s">
        <v>14398</v>
      </c>
      <c r="B10269" t="s">
        <v>3486</v>
      </c>
      <c r="C10269" t="s">
        <v>78</v>
      </c>
      <c r="D10269" s="1">
        <v>45963</v>
      </c>
      <c r="E10269" t="s">
        <v>4127</v>
      </c>
      <c r="F10269" t="s">
        <v>4139</v>
      </c>
    </row>
    <row r="10270" spans="1:6">
      <c r="A10270" t="s">
        <v>14399</v>
      </c>
      <c r="B10270" t="s">
        <v>3486</v>
      </c>
      <c r="C10270" t="s">
        <v>78</v>
      </c>
      <c r="D10270" s="1">
        <v>45972</v>
      </c>
      <c r="E10270" t="s">
        <v>4129</v>
      </c>
      <c r="F10270" t="s">
        <v>4139</v>
      </c>
    </row>
    <row r="10271" spans="1:6">
      <c r="A10271" t="s">
        <v>14400</v>
      </c>
      <c r="B10271" t="s">
        <v>3486</v>
      </c>
      <c r="C10271" t="s">
        <v>78</v>
      </c>
      <c r="D10271" s="1">
        <v>45941</v>
      </c>
      <c r="E10271" t="s">
        <v>4124</v>
      </c>
      <c r="F10271" t="s">
        <v>4137</v>
      </c>
    </row>
    <row r="10272" spans="1:6">
      <c r="A10272" t="s">
        <v>14401</v>
      </c>
      <c r="B10272" t="s">
        <v>3486</v>
      </c>
      <c r="C10272" t="s">
        <v>78</v>
      </c>
      <c r="D10272" s="1">
        <v>45959</v>
      </c>
      <c r="E10272" t="s">
        <v>4135</v>
      </c>
      <c r="F10272" t="s">
        <v>4139</v>
      </c>
    </row>
    <row r="10273" spans="1:6">
      <c r="A10273" t="s">
        <v>14402</v>
      </c>
      <c r="B10273" t="s">
        <v>3487</v>
      </c>
      <c r="C10273" t="s">
        <v>75</v>
      </c>
      <c r="D10273" s="1">
        <v>46018</v>
      </c>
      <c r="E10273" t="s">
        <v>4124</v>
      </c>
      <c r="F10273" t="s">
        <v>4139</v>
      </c>
    </row>
    <row r="10274" spans="1:6">
      <c r="A10274" t="s">
        <v>14403</v>
      </c>
      <c r="B10274" t="s">
        <v>3487</v>
      </c>
      <c r="C10274" t="s">
        <v>75</v>
      </c>
      <c r="D10274" s="1">
        <v>46010</v>
      </c>
      <c r="E10274" t="s">
        <v>4135</v>
      </c>
      <c r="F10274" t="s">
        <v>4137</v>
      </c>
    </row>
    <row r="10275" spans="1:6">
      <c r="A10275" t="s">
        <v>14404</v>
      </c>
      <c r="B10275" t="s">
        <v>3488</v>
      </c>
      <c r="C10275" t="s">
        <v>16</v>
      </c>
      <c r="D10275" s="1">
        <v>45941</v>
      </c>
      <c r="E10275" t="s">
        <v>4133</v>
      </c>
      <c r="F10275" t="s">
        <v>4137</v>
      </c>
    </row>
    <row r="10276" spans="1:6">
      <c r="A10276" t="s">
        <v>14405</v>
      </c>
      <c r="B10276" t="s">
        <v>3488</v>
      </c>
      <c r="C10276" t="s">
        <v>16</v>
      </c>
      <c r="D10276" s="1">
        <v>45953</v>
      </c>
      <c r="E10276" t="s">
        <v>4135</v>
      </c>
      <c r="F10276" t="s">
        <v>4139</v>
      </c>
    </row>
    <row r="10277" spans="1:6">
      <c r="A10277" t="s">
        <v>14406</v>
      </c>
      <c r="B10277" t="s">
        <v>3488</v>
      </c>
      <c r="C10277" t="s">
        <v>16</v>
      </c>
      <c r="D10277" s="1">
        <v>45940</v>
      </c>
      <c r="E10277" t="s">
        <v>4133</v>
      </c>
      <c r="F10277" t="s">
        <v>4139</v>
      </c>
    </row>
    <row r="10278" spans="1:6">
      <c r="A10278" t="s">
        <v>14407</v>
      </c>
      <c r="B10278" t="s">
        <v>3489</v>
      </c>
      <c r="C10278" t="s">
        <v>40</v>
      </c>
      <c r="D10278" s="1">
        <v>45912</v>
      </c>
      <c r="E10278" t="s">
        <v>4135</v>
      </c>
      <c r="F10278" t="s">
        <v>4139</v>
      </c>
    </row>
    <row r="10279" spans="1:6">
      <c r="A10279" t="s">
        <v>14408</v>
      </c>
      <c r="B10279" t="s">
        <v>3489</v>
      </c>
      <c r="C10279" t="s">
        <v>40</v>
      </c>
      <c r="D10279" s="1">
        <v>45912</v>
      </c>
      <c r="E10279" t="s">
        <v>4133</v>
      </c>
      <c r="F10279" t="s">
        <v>4137</v>
      </c>
    </row>
    <row r="10280" spans="1:6">
      <c r="A10280" t="s">
        <v>14409</v>
      </c>
      <c r="B10280" t="s">
        <v>3489</v>
      </c>
      <c r="C10280" t="s">
        <v>40</v>
      </c>
      <c r="D10280" s="1">
        <v>45858</v>
      </c>
      <c r="E10280" t="s">
        <v>4129</v>
      </c>
      <c r="F10280" t="s">
        <v>4137</v>
      </c>
    </row>
    <row r="10281" spans="1:6">
      <c r="A10281" t="s">
        <v>14410</v>
      </c>
      <c r="B10281" t="s">
        <v>3490</v>
      </c>
      <c r="C10281" t="s">
        <v>56</v>
      </c>
      <c r="D10281" s="1">
        <v>45818</v>
      </c>
      <c r="E10281" t="s">
        <v>4133</v>
      </c>
      <c r="F10281" t="s">
        <v>4137</v>
      </c>
    </row>
    <row r="10282" spans="1:6">
      <c r="A10282" t="s">
        <v>14411</v>
      </c>
      <c r="B10282" t="s">
        <v>3490</v>
      </c>
      <c r="C10282" t="s">
        <v>56</v>
      </c>
      <c r="D10282" s="1">
        <v>45825</v>
      </c>
      <c r="E10282" t="s">
        <v>4135</v>
      </c>
      <c r="F10282" t="s">
        <v>4139</v>
      </c>
    </row>
    <row r="10283" spans="1:6">
      <c r="A10283" t="s">
        <v>14412</v>
      </c>
      <c r="B10283" t="s">
        <v>3490</v>
      </c>
      <c r="C10283" t="s">
        <v>56</v>
      </c>
      <c r="D10283" s="1">
        <v>45843</v>
      </c>
      <c r="E10283" t="s">
        <v>4129</v>
      </c>
      <c r="F10283" t="s">
        <v>4139</v>
      </c>
    </row>
    <row r="10284" spans="1:6">
      <c r="A10284" t="s">
        <v>14413</v>
      </c>
      <c r="B10284" t="s">
        <v>3490</v>
      </c>
      <c r="C10284" t="s">
        <v>56</v>
      </c>
      <c r="D10284" s="1">
        <v>45819</v>
      </c>
      <c r="E10284" t="s">
        <v>4127</v>
      </c>
      <c r="F10284" t="s">
        <v>4125</v>
      </c>
    </row>
    <row r="10285" spans="1:6">
      <c r="A10285" t="s">
        <v>14414</v>
      </c>
      <c r="B10285" t="s">
        <v>3490</v>
      </c>
      <c r="C10285" t="s">
        <v>56</v>
      </c>
      <c r="D10285" s="1">
        <v>45842</v>
      </c>
      <c r="E10285" t="s">
        <v>4133</v>
      </c>
      <c r="F10285" t="s">
        <v>4139</v>
      </c>
    </row>
    <row r="10286" spans="1:6">
      <c r="A10286" t="s">
        <v>14415</v>
      </c>
      <c r="B10286" t="s">
        <v>3491</v>
      </c>
      <c r="C10286" t="s">
        <v>32</v>
      </c>
      <c r="D10286" s="1">
        <v>46010</v>
      </c>
      <c r="E10286" t="s">
        <v>4127</v>
      </c>
      <c r="F10286" t="s">
        <v>4137</v>
      </c>
    </row>
    <row r="10287" spans="1:6">
      <c r="A10287" t="s">
        <v>14416</v>
      </c>
      <c r="B10287" t="s">
        <v>3491</v>
      </c>
      <c r="C10287" t="s">
        <v>32</v>
      </c>
      <c r="D10287" s="1">
        <v>45997</v>
      </c>
      <c r="E10287" t="s">
        <v>4127</v>
      </c>
      <c r="F10287" t="s">
        <v>4139</v>
      </c>
    </row>
    <row r="10288" spans="1:6">
      <c r="A10288" t="s">
        <v>14417</v>
      </c>
      <c r="B10288" t="s">
        <v>3491</v>
      </c>
      <c r="C10288" t="s">
        <v>32</v>
      </c>
      <c r="D10288" s="1">
        <v>46004</v>
      </c>
      <c r="E10288" t="s">
        <v>4127</v>
      </c>
      <c r="F10288" t="s">
        <v>4139</v>
      </c>
    </row>
    <row r="10289" spans="1:6">
      <c r="A10289" t="s">
        <v>14418</v>
      </c>
      <c r="B10289" t="s">
        <v>3492</v>
      </c>
      <c r="C10289" t="s">
        <v>75</v>
      </c>
      <c r="D10289" s="1">
        <v>45811</v>
      </c>
      <c r="E10289" t="s">
        <v>4129</v>
      </c>
      <c r="F10289" t="s">
        <v>4137</v>
      </c>
    </row>
    <row r="10290" spans="1:6">
      <c r="A10290" t="s">
        <v>14419</v>
      </c>
      <c r="B10290" t="s">
        <v>3492</v>
      </c>
      <c r="C10290" t="s">
        <v>75</v>
      </c>
      <c r="D10290" s="1">
        <v>45814</v>
      </c>
      <c r="E10290" t="s">
        <v>4129</v>
      </c>
      <c r="F10290" t="s">
        <v>4125</v>
      </c>
    </row>
    <row r="10291" spans="1:6">
      <c r="A10291" t="s">
        <v>14420</v>
      </c>
      <c r="B10291" t="s">
        <v>3492</v>
      </c>
      <c r="C10291" t="s">
        <v>75</v>
      </c>
      <c r="D10291" s="1">
        <v>45779</v>
      </c>
      <c r="E10291" t="s">
        <v>4127</v>
      </c>
      <c r="F10291" t="s">
        <v>4125</v>
      </c>
    </row>
    <row r="10292" spans="1:6">
      <c r="A10292" t="s">
        <v>14421</v>
      </c>
      <c r="B10292" t="s">
        <v>3493</v>
      </c>
      <c r="C10292" t="s">
        <v>40</v>
      </c>
      <c r="D10292" s="1">
        <v>45959</v>
      </c>
      <c r="E10292" t="s">
        <v>4124</v>
      </c>
      <c r="F10292" t="s">
        <v>4139</v>
      </c>
    </row>
    <row r="10293" spans="1:6">
      <c r="A10293" t="s">
        <v>14422</v>
      </c>
      <c r="B10293" t="s">
        <v>3493</v>
      </c>
      <c r="C10293" t="s">
        <v>40</v>
      </c>
      <c r="D10293" s="1">
        <v>45931</v>
      </c>
      <c r="E10293" t="s">
        <v>4127</v>
      </c>
      <c r="F10293" t="s">
        <v>4139</v>
      </c>
    </row>
    <row r="10294" spans="1:6">
      <c r="A10294" t="s">
        <v>14423</v>
      </c>
      <c r="B10294" t="s">
        <v>3494</v>
      </c>
      <c r="C10294" t="s">
        <v>40</v>
      </c>
      <c r="D10294" s="1">
        <v>45712</v>
      </c>
      <c r="E10294" t="s">
        <v>4127</v>
      </c>
      <c r="F10294" t="s">
        <v>4137</v>
      </c>
    </row>
    <row r="10295" spans="1:6">
      <c r="A10295" t="s">
        <v>14424</v>
      </c>
      <c r="B10295" t="s">
        <v>3494</v>
      </c>
      <c r="C10295" t="s">
        <v>40</v>
      </c>
      <c r="D10295" s="1">
        <v>45719</v>
      </c>
      <c r="E10295" t="s">
        <v>4135</v>
      </c>
      <c r="F10295" t="s">
        <v>4139</v>
      </c>
    </row>
    <row r="10296" spans="1:6">
      <c r="A10296" t="s">
        <v>14425</v>
      </c>
      <c r="B10296" t="s">
        <v>3494</v>
      </c>
      <c r="C10296" t="s">
        <v>40</v>
      </c>
      <c r="D10296" s="1">
        <v>45717</v>
      </c>
      <c r="E10296" t="s">
        <v>4127</v>
      </c>
      <c r="F10296" t="s">
        <v>4139</v>
      </c>
    </row>
    <row r="10297" spans="1:6">
      <c r="A10297" t="s">
        <v>14426</v>
      </c>
      <c r="B10297" t="s">
        <v>3495</v>
      </c>
      <c r="C10297" t="s">
        <v>78</v>
      </c>
      <c r="D10297" s="1">
        <v>45730</v>
      </c>
      <c r="E10297" t="s">
        <v>4127</v>
      </c>
      <c r="F10297" t="s">
        <v>4139</v>
      </c>
    </row>
    <row r="10298" spans="1:6">
      <c r="A10298" t="s">
        <v>14427</v>
      </c>
      <c r="B10298" t="s">
        <v>3495</v>
      </c>
      <c r="C10298" t="s">
        <v>78</v>
      </c>
      <c r="D10298" s="1">
        <v>45736</v>
      </c>
      <c r="E10298" t="s">
        <v>4129</v>
      </c>
      <c r="F10298" t="s">
        <v>4125</v>
      </c>
    </row>
    <row r="10299" spans="1:6">
      <c r="A10299" t="s">
        <v>14428</v>
      </c>
      <c r="B10299" t="s">
        <v>3496</v>
      </c>
      <c r="C10299" t="s">
        <v>22</v>
      </c>
      <c r="D10299" s="1">
        <v>45831</v>
      </c>
      <c r="E10299" t="s">
        <v>4127</v>
      </c>
      <c r="F10299" t="s">
        <v>4137</v>
      </c>
    </row>
    <row r="10300" spans="1:6">
      <c r="A10300" t="s">
        <v>14429</v>
      </c>
      <c r="B10300" t="s">
        <v>3496</v>
      </c>
      <c r="C10300" t="s">
        <v>22</v>
      </c>
      <c r="D10300" s="1">
        <v>45816</v>
      </c>
      <c r="E10300" t="s">
        <v>4124</v>
      </c>
      <c r="F10300" t="s">
        <v>4137</v>
      </c>
    </row>
    <row r="10301" spans="1:6">
      <c r="A10301" t="s">
        <v>14430</v>
      </c>
      <c r="B10301" t="s">
        <v>3496</v>
      </c>
      <c r="C10301" t="s">
        <v>22</v>
      </c>
      <c r="D10301" s="1">
        <v>45823</v>
      </c>
      <c r="E10301" t="s">
        <v>4129</v>
      </c>
      <c r="F10301" t="s">
        <v>4125</v>
      </c>
    </row>
    <row r="10302" spans="1:6">
      <c r="A10302" t="s">
        <v>14431</v>
      </c>
      <c r="B10302" t="s">
        <v>3496</v>
      </c>
      <c r="C10302" t="s">
        <v>22</v>
      </c>
      <c r="D10302" s="1">
        <v>45834</v>
      </c>
      <c r="E10302" t="s">
        <v>4124</v>
      </c>
      <c r="F10302" t="s">
        <v>4125</v>
      </c>
    </row>
    <row r="10303" spans="1:6">
      <c r="A10303" t="s">
        <v>14432</v>
      </c>
      <c r="B10303" t="s">
        <v>3497</v>
      </c>
      <c r="C10303" t="s">
        <v>32</v>
      </c>
      <c r="D10303" s="1">
        <v>45995</v>
      </c>
      <c r="E10303" t="s">
        <v>4133</v>
      </c>
      <c r="F10303" t="s">
        <v>4125</v>
      </c>
    </row>
    <row r="10304" spans="1:6">
      <c r="A10304" t="s">
        <v>14433</v>
      </c>
      <c r="B10304" t="s">
        <v>3497</v>
      </c>
      <c r="C10304" t="s">
        <v>32</v>
      </c>
      <c r="D10304" s="1">
        <v>46002</v>
      </c>
      <c r="E10304" t="s">
        <v>4135</v>
      </c>
      <c r="F10304" t="s">
        <v>4139</v>
      </c>
    </row>
    <row r="10305" spans="1:6">
      <c r="A10305" t="s">
        <v>14434</v>
      </c>
      <c r="B10305" t="s">
        <v>3497</v>
      </c>
      <c r="C10305" t="s">
        <v>32</v>
      </c>
      <c r="D10305" s="1">
        <v>45999</v>
      </c>
      <c r="E10305" t="s">
        <v>4124</v>
      </c>
      <c r="F10305" t="s">
        <v>4125</v>
      </c>
    </row>
    <row r="10306" spans="1:6">
      <c r="A10306" t="s">
        <v>14435</v>
      </c>
      <c r="B10306" t="s">
        <v>3498</v>
      </c>
      <c r="C10306" t="s">
        <v>56</v>
      </c>
      <c r="D10306" s="1">
        <v>45742</v>
      </c>
      <c r="E10306" t="s">
        <v>4129</v>
      </c>
      <c r="F10306" t="s">
        <v>4125</v>
      </c>
    </row>
    <row r="10307" spans="1:6">
      <c r="A10307" t="s">
        <v>14436</v>
      </c>
      <c r="B10307" t="s">
        <v>3498</v>
      </c>
      <c r="C10307" t="s">
        <v>56</v>
      </c>
      <c r="D10307" s="1">
        <v>45776</v>
      </c>
      <c r="E10307" t="s">
        <v>4133</v>
      </c>
      <c r="F10307" t="s">
        <v>4137</v>
      </c>
    </row>
    <row r="10308" spans="1:6">
      <c r="A10308" t="s">
        <v>14437</v>
      </c>
      <c r="B10308" t="s">
        <v>3498</v>
      </c>
      <c r="C10308" t="s">
        <v>56</v>
      </c>
      <c r="D10308" s="1">
        <v>45763</v>
      </c>
      <c r="E10308" t="s">
        <v>4129</v>
      </c>
      <c r="F10308" t="s">
        <v>4139</v>
      </c>
    </row>
    <row r="10309" spans="1:6">
      <c r="A10309" t="s">
        <v>14438</v>
      </c>
      <c r="B10309" t="s">
        <v>3498</v>
      </c>
      <c r="C10309" t="s">
        <v>56</v>
      </c>
      <c r="D10309" s="1">
        <v>45772</v>
      </c>
      <c r="E10309" t="s">
        <v>4133</v>
      </c>
      <c r="F10309" t="s">
        <v>4137</v>
      </c>
    </row>
    <row r="10310" spans="1:6">
      <c r="A10310" t="s">
        <v>14439</v>
      </c>
      <c r="B10310" t="s">
        <v>3498</v>
      </c>
      <c r="C10310" t="s">
        <v>56</v>
      </c>
      <c r="D10310" s="1">
        <v>45785</v>
      </c>
      <c r="E10310" t="s">
        <v>4127</v>
      </c>
      <c r="F10310" t="s">
        <v>4137</v>
      </c>
    </row>
    <row r="10311" spans="1:6">
      <c r="A10311" t="s">
        <v>14440</v>
      </c>
      <c r="B10311" t="s">
        <v>3499</v>
      </c>
      <c r="C10311" t="s">
        <v>22</v>
      </c>
      <c r="D10311" s="1">
        <v>45729</v>
      </c>
      <c r="E10311" t="s">
        <v>4133</v>
      </c>
      <c r="F10311" t="s">
        <v>4137</v>
      </c>
    </row>
    <row r="10312" spans="1:6">
      <c r="A10312" t="s">
        <v>14441</v>
      </c>
      <c r="B10312" t="s">
        <v>3499</v>
      </c>
      <c r="C10312" t="s">
        <v>22</v>
      </c>
      <c r="D10312" s="1">
        <v>45744</v>
      </c>
      <c r="E10312" t="s">
        <v>4135</v>
      </c>
      <c r="F10312" t="s">
        <v>4139</v>
      </c>
    </row>
    <row r="10313" spans="1:6">
      <c r="A10313" t="s">
        <v>14442</v>
      </c>
      <c r="B10313" t="s">
        <v>3499</v>
      </c>
      <c r="C10313" t="s">
        <v>22</v>
      </c>
      <c r="D10313" s="1">
        <v>45743</v>
      </c>
      <c r="E10313" t="s">
        <v>4124</v>
      </c>
      <c r="F10313" t="s">
        <v>4125</v>
      </c>
    </row>
    <row r="10314" spans="1:6">
      <c r="A10314" t="s">
        <v>14443</v>
      </c>
      <c r="B10314" t="s">
        <v>3500</v>
      </c>
      <c r="C10314" t="s">
        <v>36</v>
      </c>
      <c r="D10314" s="1">
        <v>45696</v>
      </c>
      <c r="E10314" t="s">
        <v>4127</v>
      </c>
      <c r="F10314" t="s">
        <v>4125</v>
      </c>
    </row>
    <row r="10315" spans="1:6">
      <c r="A10315" t="s">
        <v>14444</v>
      </c>
      <c r="B10315" t="s">
        <v>3500</v>
      </c>
      <c r="C10315" t="s">
        <v>36</v>
      </c>
      <c r="D10315" s="1">
        <v>45699</v>
      </c>
      <c r="E10315" t="s">
        <v>4129</v>
      </c>
      <c r="F10315" t="s">
        <v>4139</v>
      </c>
    </row>
    <row r="10316" spans="1:6">
      <c r="A10316" t="s">
        <v>14445</v>
      </c>
      <c r="B10316" t="s">
        <v>3500</v>
      </c>
      <c r="C10316" t="s">
        <v>36</v>
      </c>
      <c r="D10316" s="1">
        <v>45699</v>
      </c>
      <c r="E10316" t="s">
        <v>4127</v>
      </c>
      <c r="F10316" t="s">
        <v>4137</v>
      </c>
    </row>
    <row r="10317" spans="1:6">
      <c r="A10317" t="s">
        <v>14446</v>
      </c>
      <c r="B10317" t="s">
        <v>3500</v>
      </c>
      <c r="C10317" t="s">
        <v>36</v>
      </c>
      <c r="D10317" s="1">
        <v>45710</v>
      </c>
      <c r="E10317" t="s">
        <v>4129</v>
      </c>
      <c r="F10317" t="s">
        <v>4139</v>
      </c>
    </row>
    <row r="10318" spans="1:6">
      <c r="A10318" t="s">
        <v>14447</v>
      </c>
      <c r="B10318" t="s">
        <v>3500</v>
      </c>
      <c r="C10318" t="s">
        <v>36</v>
      </c>
      <c r="D10318" s="1">
        <v>45711</v>
      </c>
      <c r="E10318" t="s">
        <v>4129</v>
      </c>
      <c r="F10318" t="s">
        <v>4137</v>
      </c>
    </row>
    <row r="10319" spans="1:6">
      <c r="A10319" t="s">
        <v>14448</v>
      </c>
      <c r="B10319" t="s">
        <v>3501</v>
      </c>
      <c r="C10319" t="s">
        <v>59</v>
      </c>
      <c r="D10319" s="1">
        <v>45950</v>
      </c>
      <c r="E10319" t="s">
        <v>4135</v>
      </c>
      <c r="F10319" t="s">
        <v>4139</v>
      </c>
    </row>
    <row r="10320" spans="1:6">
      <c r="A10320" t="s">
        <v>14449</v>
      </c>
      <c r="B10320" t="s">
        <v>3501</v>
      </c>
      <c r="C10320" t="s">
        <v>59</v>
      </c>
      <c r="D10320" s="1">
        <v>45951</v>
      </c>
      <c r="E10320" t="s">
        <v>4124</v>
      </c>
      <c r="F10320" t="s">
        <v>4139</v>
      </c>
    </row>
    <row r="10321" spans="1:6">
      <c r="A10321" t="s">
        <v>14450</v>
      </c>
      <c r="B10321" t="s">
        <v>3502</v>
      </c>
      <c r="C10321" t="s">
        <v>78</v>
      </c>
      <c r="D10321" s="1">
        <v>45814</v>
      </c>
      <c r="E10321" t="s">
        <v>4135</v>
      </c>
      <c r="F10321" t="s">
        <v>4139</v>
      </c>
    </row>
    <row r="10322" spans="1:6">
      <c r="A10322" t="s">
        <v>14451</v>
      </c>
      <c r="B10322" t="s">
        <v>3502</v>
      </c>
      <c r="C10322" t="s">
        <v>78</v>
      </c>
      <c r="D10322" s="1">
        <v>45806</v>
      </c>
      <c r="E10322" t="s">
        <v>4135</v>
      </c>
      <c r="F10322" t="s">
        <v>4139</v>
      </c>
    </row>
    <row r="10323" spans="1:6">
      <c r="A10323" t="s">
        <v>14452</v>
      </c>
      <c r="B10323" t="s">
        <v>3502</v>
      </c>
      <c r="C10323" t="s">
        <v>78</v>
      </c>
      <c r="D10323" s="1">
        <v>45789</v>
      </c>
      <c r="E10323" t="s">
        <v>4133</v>
      </c>
      <c r="F10323" t="s">
        <v>4139</v>
      </c>
    </row>
    <row r="10324" spans="1:6">
      <c r="A10324" t="s">
        <v>14453</v>
      </c>
      <c r="B10324" t="s">
        <v>3503</v>
      </c>
      <c r="C10324" t="s">
        <v>63</v>
      </c>
      <c r="D10324" s="1">
        <v>45747</v>
      </c>
      <c r="E10324" t="s">
        <v>4133</v>
      </c>
      <c r="F10324" t="s">
        <v>4139</v>
      </c>
    </row>
    <row r="10325" spans="1:6">
      <c r="A10325" t="s">
        <v>14454</v>
      </c>
      <c r="B10325" t="s">
        <v>3503</v>
      </c>
      <c r="C10325" t="s">
        <v>63</v>
      </c>
      <c r="D10325" s="1">
        <v>45814</v>
      </c>
      <c r="E10325" t="s">
        <v>4129</v>
      </c>
      <c r="F10325" t="s">
        <v>4125</v>
      </c>
    </row>
    <row r="10326" spans="1:6">
      <c r="A10326" t="s">
        <v>14455</v>
      </c>
      <c r="B10326" t="s">
        <v>3504</v>
      </c>
      <c r="C10326" t="s">
        <v>59</v>
      </c>
      <c r="D10326" s="1">
        <v>45831</v>
      </c>
      <c r="E10326" t="s">
        <v>4124</v>
      </c>
      <c r="F10326" t="s">
        <v>4125</v>
      </c>
    </row>
    <row r="10327" spans="1:6">
      <c r="A10327" t="s">
        <v>14456</v>
      </c>
      <c r="B10327" t="s">
        <v>3504</v>
      </c>
      <c r="C10327" t="s">
        <v>59</v>
      </c>
      <c r="D10327" s="1">
        <v>45802</v>
      </c>
      <c r="E10327" t="s">
        <v>4135</v>
      </c>
      <c r="F10327" t="s">
        <v>4137</v>
      </c>
    </row>
    <row r="10328" spans="1:6">
      <c r="A10328" t="s">
        <v>14457</v>
      </c>
      <c r="B10328" t="s">
        <v>3504</v>
      </c>
      <c r="C10328" t="s">
        <v>59</v>
      </c>
      <c r="D10328" s="1">
        <v>45782</v>
      </c>
      <c r="E10328" t="s">
        <v>4129</v>
      </c>
      <c r="F10328" t="s">
        <v>4125</v>
      </c>
    </row>
    <row r="10329" spans="1:6">
      <c r="A10329" t="s">
        <v>14458</v>
      </c>
      <c r="B10329" t="s">
        <v>3504</v>
      </c>
      <c r="C10329" t="s">
        <v>59</v>
      </c>
      <c r="D10329" s="1">
        <v>45819</v>
      </c>
      <c r="E10329" t="s">
        <v>4135</v>
      </c>
      <c r="F10329" t="s">
        <v>4139</v>
      </c>
    </row>
    <row r="10330" spans="1:6">
      <c r="A10330" t="s">
        <v>14459</v>
      </c>
      <c r="B10330" t="s">
        <v>3504</v>
      </c>
      <c r="C10330" t="s">
        <v>59</v>
      </c>
      <c r="D10330" s="1">
        <v>45831</v>
      </c>
      <c r="E10330" t="s">
        <v>4124</v>
      </c>
      <c r="F10330" t="s">
        <v>4137</v>
      </c>
    </row>
    <row r="10331" spans="1:6">
      <c r="A10331" t="s">
        <v>14460</v>
      </c>
      <c r="B10331" t="s">
        <v>3505</v>
      </c>
      <c r="C10331" t="s">
        <v>16</v>
      </c>
      <c r="D10331" s="1">
        <v>46012</v>
      </c>
      <c r="E10331" t="s">
        <v>4133</v>
      </c>
      <c r="F10331" t="s">
        <v>4137</v>
      </c>
    </row>
    <row r="10332" spans="1:6">
      <c r="A10332" t="s">
        <v>14461</v>
      </c>
      <c r="B10332" t="s">
        <v>3505</v>
      </c>
      <c r="C10332" t="s">
        <v>16</v>
      </c>
      <c r="D10332" s="1">
        <v>46011</v>
      </c>
      <c r="E10332" t="s">
        <v>4133</v>
      </c>
      <c r="F10332" t="s">
        <v>4137</v>
      </c>
    </row>
    <row r="10333" spans="1:6">
      <c r="A10333" t="s">
        <v>14462</v>
      </c>
      <c r="B10333" t="s">
        <v>3505</v>
      </c>
      <c r="C10333" t="s">
        <v>16</v>
      </c>
      <c r="D10333" s="1">
        <v>46017</v>
      </c>
      <c r="E10333" t="s">
        <v>4133</v>
      </c>
      <c r="F10333" t="s">
        <v>4137</v>
      </c>
    </row>
    <row r="10334" spans="1:6">
      <c r="A10334" t="s">
        <v>14463</v>
      </c>
      <c r="B10334" t="s">
        <v>3505</v>
      </c>
      <c r="C10334" t="s">
        <v>16</v>
      </c>
      <c r="D10334" s="1">
        <v>46019</v>
      </c>
      <c r="E10334" t="s">
        <v>4129</v>
      </c>
      <c r="F10334" t="s">
        <v>4125</v>
      </c>
    </row>
    <row r="10335" spans="1:6">
      <c r="A10335" t="s">
        <v>14464</v>
      </c>
      <c r="B10335" t="s">
        <v>3506</v>
      </c>
      <c r="C10335" t="s">
        <v>63</v>
      </c>
      <c r="D10335" s="1">
        <v>46015</v>
      </c>
      <c r="E10335" t="s">
        <v>4129</v>
      </c>
      <c r="F10335" t="s">
        <v>4139</v>
      </c>
    </row>
    <row r="10336" spans="1:6">
      <c r="A10336" t="s">
        <v>14465</v>
      </c>
      <c r="B10336" t="s">
        <v>3506</v>
      </c>
      <c r="C10336" t="s">
        <v>63</v>
      </c>
      <c r="D10336" s="1">
        <v>45982</v>
      </c>
      <c r="E10336" t="s">
        <v>4135</v>
      </c>
      <c r="F10336" t="s">
        <v>4139</v>
      </c>
    </row>
    <row r="10337" spans="1:6">
      <c r="A10337" t="s">
        <v>14466</v>
      </c>
      <c r="B10337" t="s">
        <v>3506</v>
      </c>
      <c r="C10337" t="s">
        <v>63</v>
      </c>
      <c r="D10337" s="1">
        <v>45978</v>
      </c>
      <c r="E10337" t="s">
        <v>4129</v>
      </c>
      <c r="F10337" t="s">
        <v>4137</v>
      </c>
    </row>
    <row r="10338" spans="1:6">
      <c r="A10338" t="s">
        <v>14467</v>
      </c>
      <c r="B10338" t="s">
        <v>3507</v>
      </c>
      <c r="C10338" t="s">
        <v>78</v>
      </c>
      <c r="D10338" s="1">
        <v>46001</v>
      </c>
      <c r="E10338" t="s">
        <v>4124</v>
      </c>
      <c r="F10338" t="s">
        <v>4125</v>
      </c>
    </row>
    <row r="10339" spans="1:6">
      <c r="A10339" t="s">
        <v>14468</v>
      </c>
      <c r="B10339" t="s">
        <v>3507</v>
      </c>
      <c r="C10339" t="s">
        <v>78</v>
      </c>
      <c r="D10339" s="1">
        <v>45983</v>
      </c>
      <c r="E10339" t="s">
        <v>4135</v>
      </c>
      <c r="F10339" t="s">
        <v>4139</v>
      </c>
    </row>
    <row r="10340" spans="1:6">
      <c r="A10340" t="s">
        <v>14469</v>
      </c>
      <c r="B10340" t="s">
        <v>3508</v>
      </c>
      <c r="C10340" t="s">
        <v>152</v>
      </c>
      <c r="D10340" s="1">
        <v>45676</v>
      </c>
      <c r="E10340" t="s">
        <v>4135</v>
      </c>
      <c r="F10340" t="s">
        <v>4139</v>
      </c>
    </row>
    <row r="10341" spans="1:6">
      <c r="A10341" t="s">
        <v>14470</v>
      </c>
      <c r="B10341" t="s">
        <v>3508</v>
      </c>
      <c r="C10341" t="s">
        <v>152</v>
      </c>
      <c r="D10341" s="1">
        <v>45686</v>
      </c>
      <c r="E10341" t="s">
        <v>4133</v>
      </c>
      <c r="F10341" t="s">
        <v>4125</v>
      </c>
    </row>
    <row r="10342" spans="1:6">
      <c r="A10342" t="s">
        <v>14471</v>
      </c>
      <c r="B10342" t="s">
        <v>3508</v>
      </c>
      <c r="C10342" t="s">
        <v>152</v>
      </c>
      <c r="D10342" s="1">
        <v>45668</v>
      </c>
      <c r="E10342" t="s">
        <v>4129</v>
      </c>
      <c r="F10342" t="s">
        <v>4125</v>
      </c>
    </row>
    <row r="10343" spans="1:6">
      <c r="A10343" t="s">
        <v>14472</v>
      </c>
      <c r="B10343" t="s">
        <v>3508</v>
      </c>
      <c r="C10343" t="s">
        <v>152</v>
      </c>
      <c r="D10343" s="1">
        <v>45699</v>
      </c>
      <c r="E10343" t="s">
        <v>4133</v>
      </c>
      <c r="F10343" t="s">
        <v>4139</v>
      </c>
    </row>
    <row r="10344" spans="1:6">
      <c r="A10344" t="s">
        <v>14473</v>
      </c>
      <c r="B10344" t="s">
        <v>3509</v>
      </c>
      <c r="C10344" t="s">
        <v>16</v>
      </c>
      <c r="D10344" s="1">
        <v>46011</v>
      </c>
      <c r="E10344" t="s">
        <v>4124</v>
      </c>
      <c r="F10344" t="s">
        <v>4139</v>
      </c>
    </row>
    <row r="10345" spans="1:6">
      <c r="A10345" t="s">
        <v>14474</v>
      </c>
      <c r="B10345" t="s">
        <v>3509</v>
      </c>
      <c r="C10345" t="s">
        <v>16</v>
      </c>
      <c r="D10345" s="1">
        <v>45998</v>
      </c>
      <c r="E10345" t="s">
        <v>4133</v>
      </c>
      <c r="F10345" t="s">
        <v>4125</v>
      </c>
    </row>
    <row r="10346" spans="1:6">
      <c r="A10346" t="s">
        <v>14475</v>
      </c>
      <c r="B10346" t="s">
        <v>3509</v>
      </c>
      <c r="C10346" t="s">
        <v>16</v>
      </c>
      <c r="D10346" s="1">
        <v>46006</v>
      </c>
      <c r="E10346" t="s">
        <v>4127</v>
      </c>
      <c r="F10346" t="s">
        <v>4139</v>
      </c>
    </row>
    <row r="10347" spans="1:6">
      <c r="A10347" t="s">
        <v>14476</v>
      </c>
      <c r="B10347" t="s">
        <v>3510</v>
      </c>
      <c r="C10347" t="s">
        <v>32</v>
      </c>
      <c r="D10347" s="1">
        <v>45817</v>
      </c>
      <c r="E10347" t="s">
        <v>4124</v>
      </c>
      <c r="F10347" t="s">
        <v>4125</v>
      </c>
    </row>
    <row r="10348" spans="1:6">
      <c r="A10348" t="s">
        <v>14477</v>
      </c>
      <c r="B10348" t="s">
        <v>3510</v>
      </c>
      <c r="C10348" t="s">
        <v>32</v>
      </c>
      <c r="D10348" s="1">
        <v>45814</v>
      </c>
      <c r="E10348" t="s">
        <v>4133</v>
      </c>
      <c r="F10348" t="s">
        <v>4139</v>
      </c>
    </row>
    <row r="10349" spans="1:6">
      <c r="A10349" t="s">
        <v>14478</v>
      </c>
      <c r="B10349" t="s">
        <v>3511</v>
      </c>
      <c r="C10349" t="s">
        <v>32</v>
      </c>
      <c r="D10349" s="1">
        <v>45747</v>
      </c>
      <c r="E10349" t="s">
        <v>4127</v>
      </c>
      <c r="F10349" t="s">
        <v>4125</v>
      </c>
    </row>
    <row r="10350" spans="1:6">
      <c r="A10350" t="s">
        <v>14479</v>
      </c>
      <c r="B10350" t="s">
        <v>3511</v>
      </c>
      <c r="C10350" t="s">
        <v>32</v>
      </c>
      <c r="D10350" s="1">
        <v>45752</v>
      </c>
      <c r="E10350" t="s">
        <v>4129</v>
      </c>
      <c r="F10350" t="s">
        <v>4137</v>
      </c>
    </row>
    <row r="10351" spans="1:6">
      <c r="A10351" t="s">
        <v>14480</v>
      </c>
      <c r="B10351" t="s">
        <v>3511</v>
      </c>
      <c r="C10351" t="s">
        <v>32</v>
      </c>
      <c r="D10351" s="1">
        <v>45744</v>
      </c>
      <c r="E10351" t="s">
        <v>4124</v>
      </c>
      <c r="F10351" t="s">
        <v>4139</v>
      </c>
    </row>
    <row r="10352" spans="1:6">
      <c r="A10352" t="s">
        <v>14481</v>
      </c>
      <c r="B10352" t="s">
        <v>3511</v>
      </c>
      <c r="C10352" t="s">
        <v>32</v>
      </c>
      <c r="D10352" s="1">
        <v>45759</v>
      </c>
      <c r="E10352" t="s">
        <v>4124</v>
      </c>
      <c r="F10352" t="s">
        <v>4125</v>
      </c>
    </row>
    <row r="10353" spans="1:6">
      <c r="A10353" t="s">
        <v>14482</v>
      </c>
      <c r="B10353" t="s">
        <v>3512</v>
      </c>
      <c r="C10353" t="s">
        <v>32</v>
      </c>
      <c r="D10353" s="1">
        <v>45808</v>
      </c>
      <c r="E10353" t="s">
        <v>4135</v>
      </c>
      <c r="F10353" t="s">
        <v>4139</v>
      </c>
    </row>
    <row r="10354" spans="1:6">
      <c r="A10354" t="s">
        <v>14483</v>
      </c>
      <c r="B10354" t="s">
        <v>3512</v>
      </c>
      <c r="C10354" t="s">
        <v>32</v>
      </c>
      <c r="D10354" s="1">
        <v>45841</v>
      </c>
      <c r="E10354" t="s">
        <v>4133</v>
      </c>
      <c r="F10354" t="s">
        <v>4139</v>
      </c>
    </row>
    <row r="10355" spans="1:6">
      <c r="A10355" t="s">
        <v>14484</v>
      </c>
      <c r="B10355" t="s">
        <v>3512</v>
      </c>
      <c r="C10355" t="s">
        <v>32</v>
      </c>
      <c r="D10355" s="1">
        <v>45805</v>
      </c>
      <c r="E10355" t="s">
        <v>4135</v>
      </c>
      <c r="F10355" t="s">
        <v>4125</v>
      </c>
    </row>
    <row r="10356" spans="1:6">
      <c r="A10356" t="s">
        <v>14485</v>
      </c>
      <c r="B10356" t="s">
        <v>3512</v>
      </c>
      <c r="C10356" t="s">
        <v>32</v>
      </c>
      <c r="D10356" s="1">
        <v>45843</v>
      </c>
      <c r="E10356" t="s">
        <v>4133</v>
      </c>
      <c r="F10356" t="s">
        <v>4137</v>
      </c>
    </row>
    <row r="10357" spans="1:6">
      <c r="A10357" t="s">
        <v>14486</v>
      </c>
      <c r="B10357" t="s">
        <v>3512</v>
      </c>
      <c r="C10357" t="s">
        <v>32</v>
      </c>
      <c r="D10357" s="1">
        <v>45835</v>
      </c>
      <c r="E10357" t="s">
        <v>4127</v>
      </c>
      <c r="F10357" t="s">
        <v>4125</v>
      </c>
    </row>
    <row r="10358" spans="1:6">
      <c r="A10358" t="s">
        <v>14487</v>
      </c>
      <c r="B10358" t="s">
        <v>3513</v>
      </c>
      <c r="C10358" t="s">
        <v>63</v>
      </c>
      <c r="D10358" s="1">
        <v>45850</v>
      </c>
      <c r="E10358" t="s">
        <v>4135</v>
      </c>
      <c r="F10358" t="s">
        <v>4125</v>
      </c>
    </row>
    <row r="10359" spans="1:6">
      <c r="A10359" t="s">
        <v>14488</v>
      </c>
      <c r="B10359" t="s">
        <v>3513</v>
      </c>
      <c r="C10359" t="s">
        <v>63</v>
      </c>
      <c r="D10359" s="1">
        <v>45857</v>
      </c>
      <c r="E10359" t="s">
        <v>4135</v>
      </c>
      <c r="F10359" t="s">
        <v>4137</v>
      </c>
    </row>
    <row r="10360" spans="1:6">
      <c r="A10360" t="s">
        <v>14489</v>
      </c>
      <c r="B10360" t="s">
        <v>3514</v>
      </c>
      <c r="C10360" t="s">
        <v>22</v>
      </c>
      <c r="D10360" s="1">
        <v>45986</v>
      </c>
      <c r="E10360" t="s">
        <v>4133</v>
      </c>
      <c r="F10360" t="s">
        <v>4139</v>
      </c>
    </row>
    <row r="10361" spans="1:6">
      <c r="A10361" t="s">
        <v>14490</v>
      </c>
      <c r="B10361" t="s">
        <v>3514</v>
      </c>
      <c r="C10361" t="s">
        <v>22</v>
      </c>
      <c r="D10361" s="1">
        <v>45949</v>
      </c>
      <c r="E10361" t="s">
        <v>4127</v>
      </c>
      <c r="F10361" t="s">
        <v>4137</v>
      </c>
    </row>
    <row r="10362" spans="1:6">
      <c r="A10362" t="s">
        <v>14491</v>
      </c>
      <c r="B10362" t="s">
        <v>3515</v>
      </c>
      <c r="C10362" t="s">
        <v>36</v>
      </c>
      <c r="D10362" s="1">
        <v>45936</v>
      </c>
      <c r="E10362" t="s">
        <v>4129</v>
      </c>
      <c r="F10362" t="s">
        <v>4125</v>
      </c>
    </row>
    <row r="10363" spans="1:6">
      <c r="A10363" t="s">
        <v>14492</v>
      </c>
      <c r="B10363" t="s">
        <v>3515</v>
      </c>
      <c r="C10363" t="s">
        <v>36</v>
      </c>
      <c r="D10363" s="1">
        <v>45922</v>
      </c>
      <c r="E10363" t="s">
        <v>4124</v>
      </c>
      <c r="F10363" t="s">
        <v>4125</v>
      </c>
    </row>
    <row r="10364" spans="1:6">
      <c r="A10364" t="s">
        <v>14493</v>
      </c>
      <c r="B10364" t="s">
        <v>3516</v>
      </c>
      <c r="C10364" t="s">
        <v>50</v>
      </c>
      <c r="D10364" s="1">
        <v>45967</v>
      </c>
      <c r="E10364" t="s">
        <v>4129</v>
      </c>
      <c r="F10364" t="s">
        <v>4139</v>
      </c>
    </row>
    <row r="10365" spans="1:6">
      <c r="A10365" t="s">
        <v>14494</v>
      </c>
      <c r="B10365" t="s">
        <v>3516</v>
      </c>
      <c r="C10365" t="s">
        <v>50</v>
      </c>
      <c r="D10365" s="1">
        <v>45981</v>
      </c>
      <c r="E10365" t="s">
        <v>4124</v>
      </c>
      <c r="F10365" t="s">
        <v>4125</v>
      </c>
    </row>
    <row r="10366" spans="1:6">
      <c r="A10366" t="s">
        <v>14495</v>
      </c>
      <c r="B10366" t="s">
        <v>3517</v>
      </c>
      <c r="C10366" t="s">
        <v>70</v>
      </c>
      <c r="D10366" s="1">
        <v>45844</v>
      </c>
      <c r="E10366" t="s">
        <v>4133</v>
      </c>
      <c r="F10366" t="s">
        <v>4139</v>
      </c>
    </row>
    <row r="10367" spans="1:6">
      <c r="A10367" t="s">
        <v>14496</v>
      </c>
      <c r="B10367" t="s">
        <v>3517</v>
      </c>
      <c r="C10367" t="s">
        <v>70</v>
      </c>
      <c r="D10367" s="1">
        <v>45844</v>
      </c>
      <c r="E10367" t="s">
        <v>4135</v>
      </c>
      <c r="F10367" t="s">
        <v>4139</v>
      </c>
    </row>
    <row r="10368" spans="1:6">
      <c r="A10368" t="s">
        <v>14497</v>
      </c>
      <c r="B10368" t="s">
        <v>3518</v>
      </c>
      <c r="C10368" t="s">
        <v>70</v>
      </c>
      <c r="D10368" s="1">
        <v>46017</v>
      </c>
      <c r="E10368" t="s">
        <v>4133</v>
      </c>
      <c r="F10368" t="s">
        <v>4137</v>
      </c>
    </row>
    <row r="10369" spans="1:6">
      <c r="A10369" t="s">
        <v>14498</v>
      </c>
      <c r="B10369" t="s">
        <v>3518</v>
      </c>
      <c r="C10369" t="s">
        <v>70</v>
      </c>
      <c r="D10369" s="1">
        <v>46018</v>
      </c>
      <c r="E10369" t="s">
        <v>4127</v>
      </c>
      <c r="F10369" t="s">
        <v>4137</v>
      </c>
    </row>
    <row r="10370" spans="1:6">
      <c r="A10370" t="s">
        <v>14499</v>
      </c>
      <c r="B10370" t="s">
        <v>3518</v>
      </c>
      <c r="C10370" t="s">
        <v>70</v>
      </c>
      <c r="D10370" s="1">
        <v>46021</v>
      </c>
      <c r="E10370" t="s">
        <v>4129</v>
      </c>
      <c r="F10370" t="s">
        <v>4125</v>
      </c>
    </row>
    <row r="10371" spans="1:6">
      <c r="A10371" t="s">
        <v>14500</v>
      </c>
      <c r="B10371" t="s">
        <v>3518</v>
      </c>
      <c r="C10371" t="s">
        <v>70</v>
      </c>
      <c r="D10371" s="1">
        <v>46018</v>
      </c>
      <c r="E10371" t="s">
        <v>4135</v>
      </c>
      <c r="F10371" t="s">
        <v>4137</v>
      </c>
    </row>
    <row r="10372" spans="1:6">
      <c r="A10372" t="s">
        <v>14501</v>
      </c>
      <c r="B10372" t="s">
        <v>3519</v>
      </c>
      <c r="C10372" t="s">
        <v>78</v>
      </c>
      <c r="D10372" s="1">
        <v>45814</v>
      </c>
      <c r="E10372" t="s">
        <v>4127</v>
      </c>
      <c r="F10372" t="s">
        <v>4137</v>
      </c>
    </row>
    <row r="10373" spans="1:6">
      <c r="A10373" t="s">
        <v>14502</v>
      </c>
      <c r="B10373" t="s">
        <v>3519</v>
      </c>
      <c r="C10373" t="s">
        <v>78</v>
      </c>
      <c r="D10373" s="1">
        <v>45811</v>
      </c>
      <c r="E10373" t="s">
        <v>4133</v>
      </c>
      <c r="F10373" t="s">
        <v>4137</v>
      </c>
    </row>
    <row r="10374" spans="1:6">
      <c r="A10374" t="s">
        <v>14503</v>
      </c>
      <c r="B10374" t="s">
        <v>3519</v>
      </c>
      <c r="C10374" t="s">
        <v>78</v>
      </c>
      <c r="D10374" s="1">
        <v>45812</v>
      </c>
      <c r="E10374" t="s">
        <v>4129</v>
      </c>
      <c r="F10374" t="s">
        <v>4137</v>
      </c>
    </row>
    <row r="10375" spans="1:6">
      <c r="A10375" t="s">
        <v>14504</v>
      </c>
      <c r="B10375" t="s">
        <v>3520</v>
      </c>
      <c r="C10375" t="s">
        <v>70</v>
      </c>
      <c r="D10375" s="1">
        <v>45789</v>
      </c>
      <c r="E10375" t="s">
        <v>4133</v>
      </c>
      <c r="F10375" t="s">
        <v>4137</v>
      </c>
    </row>
    <row r="10376" spans="1:6">
      <c r="A10376" t="s">
        <v>14505</v>
      </c>
      <c r="B10376" t="s">
        <v>3520</v>
      </c>
      <c r="C10376" t="s">
        <v>70</v>
      </c>
      <c r="D10376" s="1">
        <v>45765</v>
      </c>
      <c r="E10376" t="s">
        <v>4124</v>
      </c>
      <c r="F10376" t="s">
        <v>4125</v>
      </c>
    </row>
    <row r="10377" spans="1:6">
      <c r="A10377" t="s">
        <v>14506</v>
      </c>
      <c r="B10377" t="s">
        <v>3521</v>
      </c>
      <c r="C10377" t="s">
        <v>63</v>
      </c>
      <c r="D10377" s="1">
        <v>45803</v>
      </c>
      <c r="E10377" t="s">
        <v>4129</v>
      </c>
      <c r="F10377" t="s">
        <v>4137</v>
      </c>
    </row>
    <row r="10378" spans="1:6">
      <c r="A10378" t="s">
        <v>14507</v>
      </c>
      <c r="B10378" t="s">
        <v>3521</v>
      </c>
      <c r="C10378" t="s">
        <v>63</v>
      </c>
      <c r="D10378" s="1">
        <v>45828</v>
      </c>
      <c r="E10378" t="s">
        <v>4133</v>
      </c>
      <c r="F10378" t="s">
        <v>4125</v>
      </c>
    </row>
    <row r="10379" spans="1:6">
      <c r="A10379" t="s">
        <v>14508</v>
      </c>
      <c r="B10379" t="s">
        <v>3521</v>
      </c>
      <c r="C10379" t="s">
        <v>63</v>
      </c>
      <c r="D10379" s="1">
        <v>45801</v>
      </c>
      <c r="E10379" t="s">
        <v>4129</v>
      </c>
      <c r="F10379" t="s">
        <v>4137</v>
      </c>
    </row>
    <row r="10380" spans="1:6">
      <c r="A10380" t="s">
        <v>14509</v>
      </c>
      <c r="B10380" t="s">
        <v>3521</v>
      </c>
      <c r="C10380" t="s">
        <v>63</v>
      </c>
      <c r="D10380" s="1">
        <v>45831</v>
      </c>
      <c r="E10380" t="s">
        <v>4124</v>
      </c>
      <c r="F10380" t="s">
        <v>4125</v>
      </c>
    </row>
    <row r="10381" spans="1:6">
      <c r="A10381" t="s">
        <v>14510</v>
      </c>
      <c r="B10381" t="s">
        <v>3521</v>
      </c>
      <c r="C10381" t="s">
        <v>63</v>
      </c>
      <c r="D10381" s="1">
        <v>45803</v>
      </c>
      <c r="E10381" t="s">
        <v>4135</v>
      </c>
      <c r="F10381" t="s">
        <v>4137</v>
      </c>
    </row>
    <row r="10382" spans="1:6">
      <c r="A10382" t="s">
        <v>14511</v>
      </c>
      <c r="B10382" t="s">
        <v>3522</v>
      </c>
      <c r="C10382" t="s">
        <v>70</v>
      </c>
      <c r="D10382" s="1">
        <v>45850</v>
      </c>
      <c r="E10382" t="s">
        <v>4135</v>
      </c>
      <c r="F10382" t="s">
        <v>4125</v>
      </c>
    </row>
    <row r="10383" spans="1:6">
      <c r="A10383" t="s">
        <v>14512</v>
      </c>
      <c r="B10383" t="s">
        <v>3522</v>
      </c>
      <c r="C10383" t="s">
        <v>70</v>
      </c>
      <c r="D10383" s="1">
        <v>45838</v>
      </c>
      <c r="E10383" t="s">
        <v>4135</v>
      </c>
      <c r="F10383" t="s">
        <v>4125</v>
      </c>
    </row>
    <row r="10384" spans="1:6">
      <c r="A10384" t="s">
        <v>14513</v>
      </c>
      <c r="B10384" t="s">
        <v>3523</v>
      </c>
      <c r="C10384" t="s">
        <v>168</v>
      </c>
      <c r="D10384" s="1">
        <v>45685</v>
      </c>
      <c r="E10384" t="s">
        <v>4124</v>
      </c>
      <c r="F10384" t="s">
        <v>4125</v>
      </c>
    </row>
    <row r="10385" spans="1:6">
      <c r="A10385" t="s">
        <v>14514</v>
      </c>
      <c r="B10385" t="s">
        <v>3523</v>
      </c>
      <c r="C10385" t="s">
        <v>168</v>
      </c>
      <c r="D10385" s="1">
        <v>45691</v>
      </c>
      <c r="E10385" t="s">
        <v>4135</v>
      </c>
      <c r="F10385" t="s">
        <v>4139</v>
      </c>
    </row>
    <row r="10386" spans="1:6">
      <c r="A10386" t="s">
        <v>14515</v>
      </c>
      <c r="B10386" t="s">
        <v>3523</v>
      </c>
      <c r="C10386" t="s">
        <v>168</v>
      </c>
      <c r="D10386" s="1">
        <v>45750</v>
      </c>
      <c r="E10386" t="s">
        <v>4133</v>
      </c>
      <c r="F10386" t="s">
        <v>4139</v>
      </c>
    </row>
    <row r="10387" spans="1:6">
      <c r="A10387" t="s">
        <v>14516</v>
      </c>
      <c r="B10387" t="s">
        <v>3523</v>
      </c>
      <c r="C10387" t="s">
        <v>168</v>
      </c>
      <c r="D10387" s="1">
        <v>45727</v>
      </c>
      <c r="E10387" t="s">
        <v>4133</v>
      </c>
      <c r="F10387" t="s">
        <v>4125</v>
      </c>
    </row>
    <row r="10388" spans="1:6">
      <c r="A10388" t="s">
        <v>14517</v>
      </c>
      <c r="B10388" t="s">
        <v>3524</v>
      </c>
      <c r="C10388" t="s">
        <v>22</v>
      </c>
      <c r="D10388" s="1">
        <v>45962</v>
      </c>
      <c r="E10388" t="s">
        <v>4129</v>
      </c>
      <c r="F10388" t="s">
        <v>4139</v>
      </c>
    </row>
    <row r="10389" spans="1:6">
      <c r="A10389" t="s">
        <v>14518</v>
      </c>
      <c r="B10389" t="s">
        <v>3524</v>
      </c>
      <c r="C10389" t="s">
        <v>22</v>
      </c>
      <c r="D10389" s="1">
        <v>45949</v>
      </c>
      <c r="E10389" t="s">
        <v>4129</v>
      </c>
      <c r="F10389" t="s">
        <v>4137</v>
      </c>
    </row>
    <row r="10390" spans="1:6">
      <c r="A10390" t="s">
        <v>14519</v>
      </c>
      <c r="B10390" t="s">
        <v>3524</v>
      </c>
      <c r="C10390" t="s">
        <v>22</v>
      </c>
      <c r="D10390" s="1">
        <v>45930</v>
      </c>
      <c r="E10390" t="s">
        <v>4127</v>
      </c>
      <c r="F10390" t="s">
        <v>4137</v>
      </c>
    </row>
    <row r="10391" spans="1:6">
      <c r="A10391" t="s">
        <v>14520</v>
      </c>
      <c r="B10391" t="s">
        <v>3524</v>
      </c>
      <c r="C10391" t="s">
        <v>22</v>
      </c>
      <c r="D10391" s="1">
        <v>45929</v>
      </c>
      <c r="E10391" t="s">
        <v>4127</v>
      </c>
      <c r="F10391" t="s">
        <v>4125</v>
      </c>
    </row>
    <row r="10392" spans="1:6">
      <c r="A10392" t="s">
        <v>14521</v>
      </c>
      <c r="B10392" t="s">
        <v>3525</v>
      </c>
      <c r="C10392" t="s">
        <v>75</v>
      </c>
      <c r="D10392" s="1">
        <v>45891</v>
      </c>
      <c r="E10392" t="s">
        <v>4124</v>
      </c>
      <c r="F10392" t="s">
        <v>4137</v>
      </c>
    </row>
    <row r="10393" spans="1:6">
      <c r="A10393" t="s">
        <v>14522</v>
      </c>
      <c r="B10393" t="s">
        <v>3525</v>
      </c>
      <c r="C10393" t="s">
        <v>75</v>
      </c>
      <c r="D10393" s="1">
        <v>45897</v>
      </c>
      <c r="E10393" t="s">
        <v>4124</v>
      </c>
      <c r="F10393" t="s">
        <v>4139</v>
      </c>
    </row>
    <row r="10394" spans="1:6">
      <c r="A10394" t="s">
        <v>14523</v>
      </c>
      <c r="B10394" t="s">
        <v>3525</v>
      </c>
      <c r="C10394" t="s">
        <v>75</v>
      </c>
      <c r="D10394" s="1">
        <v>45892</v>
      </c>
      <c r="E10394" t="s">
        <v>4124</v>
      </c>
      <c r="F10394" t="s">
        <v>4139</v>
      </c>
    </row>
    <row r="10395" spans="1:6">
      <c r="A10395" t="s">
        <v>14524</v>
      </c>
      <c r="B10395" t="s">
        <v>3525</v>
      </c>
      <c r="C10395" t="s">
        <v>75</v>
      </c>
      <c r="D10395" s="1">
        <v>45876</v>
      </c>
      <c r="E10395" t="s">
        <v>4133</v>
      </c>
      <c r="F10395" t="s">
        <v>4139</v>
      </c>
    </row>
    <row r="10396" spans="1:6">
      <c r="A10396" t="s">
        <v>14525</v>
      </c>
      <c r="B10396" t="s">
        <v>3525</v>
      </c>
      <c r="C10396" t="s">
        <v>75</v>
      </c>
      <c r="D10396" s="1">
        <v>45873</v>
      </c>
      <c r="E10396" t="s">
        <v>4124</v>
      </c>
      <c r="F10396" t="s">
        <v>4139</v>
      </c>
    </row>
    <row r="10397" spans="1:6">
      <c r="A10397" t="s">
        <v>14526</v>
      </c>
      <c r="B10397" t="s">
        <v>3526</v>
      </c>
      <c r="C10397" t="s">
        <v>27</v>
      </c>
      <c r="D10397" s="1">
        <v>46019</v>
      </c>
      <c r="E10397" t="s">
        <v>4129</v>
      </c>
      <c r="F10397" t="s">
        <v>4139</v>
      </c>
    </row>
    <row r="10398" spans="1:6">
      <c r="A10398" t="s">
        <v>14527</v>
      </c>
      <c r="B10398" t="s">
        <v>3526</v>
      </c>
      <c r="C10398" t="s">
        <v>27</v>
      </c>
      <c r="D10398" s="1">
        <v>46018</v>
      </c>
      <c r="E10398" t="s">
        <v>4135</v>
      </c>
      <c r="F10398" t="s">
        <v>4137</v>
      </c>
    </row>
    <row r="10399" spans="1:6">
      <c r="A10399" t="s">
        <v>14528</v>
      </c>
      <c r="B10399" t="s">
        <v>3526</v>
      </c>
      <c r="C10399" t="s">
        <v>27</v>
      </c>
      <c r="D10399" s="1">
        <v>46017</v>
      </c>
      <c r="E10399" t="s">
        <v>4135</v>
      </c>
      <c r="F10399" t="s">
        <v>4137</v>
      </c>
    </row>
    <row r="10400" spans="1:6">
      <c r="A10400" t="s">
        <v>14529</v>
      </c>
      <c r="B10400" t="s">
        <v>3526</v>
      </c>
      <c r="C10400" t="s">
        <v>27</v>
      </c>
      <c r="D10400" s="1">
        <v>46019</v>
      </c>
      <c r="E10400" t="s">
        <v>4124</v>
      </c>
      <c r="F10400" t="s">
        <v>4139</v>
      </c>
    </row>
    <row r="10401" spans="1:6">
      <c r="A10401" t="s">
        <v>14530</v>
      </c>
      <c r="B10401" t="s">
        <v>3526</v>
      </c>
      <c r="C10401" t="s">
        <v>27</v>
      </c>
      <c r="D10401" s="1">
        <v>46017</v>
      </c>
      <c r="E10401" t="s">
        <v>4133</v>
      </c>
      <c r="F10401" t="s">
        <v>4125</v>
      </c>
    </row>
    <row r="10402" spans="1:6">
      <c r="A10402" t="s">
        <v>14531</v>
      </c>
      <c r="B10402" t="s">
        <v>3527</v>
      </c>
      <c r="C10402" t="s">
        <v>168</v>
      </c>
      <c r="D10402" s="1">
        <v>45843</v>
      </c>
      <c r="E10402" t="s">
        <v>4129</v>
      </c>
      <c r="F10402" t="s">
        <v>4137</v>
      </c>
    </row>
    <row r="10403" spans="1:6">
      <c r="A10403" t="s">
        <v>14532</v>
      </c>
      <c r="B10403" t="s">
        <v>3527</v>
      </c>
      <c r="C10403" t="s">
        <v>168</v>
      </c>
      <c r="D10403" s="1">
        <v>45916</v>
      </c>
      <c r="E10403" t="s">
        <v>4129</v>
      </c>
      <c r="F10403" t="s">
        <v>4125</v>
      </c>
    </row>
    <row r="10404" spans="1:6">
      <c r="A10404" t="s">
        <v>14533</v>
      </c>
      <c r="B10404" t="s">
        <v>3527</v>
      </c>
      <c r="C10404" t="s">
        <v>168</v>
      </c>
      <c r="D10404" s="1">
        <v>45859</v>
      </c>
      <c r="E10404" t="s">
        <v>4133</v>
      </c>
      <c r="F10404" t="s">
        <v>4137</v>
      </c>
    </row>
    <row r="10405" spans="1:6">
      <c r="A10405" t="s">
        <v>14534</v>
      </c>
      <c r="B10405" t="s">
        <v>3527</v>
      </c>
      <c r="C10405" t="s">
        <v>168</v>
      </c>
      <c r="D10405" s="1">
        <v>45861</v>
      </c>
      <c r="E10405" t="s">
        <v>4127</v>
      </c>
      <c r="F10405" t="s">
        <v>4139</v>
      </c>
    </row>
    <row r="10406" spans="1:6">
      <c r="A10406" t="s">
        <v>14535</v>
      </c>
      <c r="B10406" t="s">
        <v>3527</v>
      </c>
      <c r="C10406" t="s">
        <v>168</v>
      </c>
      <c r="D10406" s="1">
        <v>45855</v>
      </c>
      <c r="E10406" t="s">
        <v>4129</v>
      </c>
      <c r="F10406" t="s">
        <v>4125</v>
      </c>
    </row>
    <row r="10407" spans="1:6">
      <c r="A10407" t="s">
        <v>14536</v>
      </c>
      <c r="B10407" t="s">
        <v>3528</v>
      </c>
      <c r="C10407" t="s">
        <v>22</v>
      </c>
      <c r="D10407" s="1">
        <v>45952</v>
      </c>
      <c r="E10407" t="s">
        <v>4129</v>
      </c>
      <c r="F10407" t="s">
        <v>4125</v>
      </c>
    </row>
    <row r="10408" spans="1:6">
      <c r="A10408" t="s">
        <v>14537</v>
      </c>
      <c r="B10408" t="s">
        <v>3528</v>
      </c>
      <c r="C10408" t="s">
        <v>22</v>
      </c>
      <c r="D10408" s="1">
        <v>45940</v>
      </c>
      <c r="E10408" t="s">
        <v>4133</v>
      </c>
      <c r="F10408" t="s">
        <v>4125</v>
      </c>
    </row>
    <row r="10409" spans="1:6">
      <c r="A10409" t="s">
        <v>14538</v>
      </c>
      <c r="B10409" t="s">
        <v>3528</v>
      </c>
      <c r="C10409" t="s">
        <v>22</v>
      </c>
      <c r="D10409" s="1">
        <v>45934</v>
      </c>
      <c r="E10409" t="s">
        <v>4127</v>
      </c>
      <c r="F10409" t="s">
        <v>4139</v>
      </c>
    </row>
    <row r="10410" spans="1:6">
      <c r="A10410" t="s">
        <v>14539</v>
      </c>
      <c r="B10410" t="s">
        <v>3529</v>
      </c>
      <c r="C10410" t="s">
        <v>59</v>
      </c>
      <c r="D10410" s="1">
        <v>45875</v>
      </c>
      <c r="E10410" t="s">
        <v>4127</v>
      </c>
      <c r="F10410" t="s">
        <v>4137</v>
      </c>
    </row>
    <row r="10411" spans="1:6">
      <c r="A10411" t="s">
        <v>14540</v>
      </c>
      <c r="B10411" t="s">
        <v>3529</v>
      </c>
      <c r="C10411" t="s">
        <v>59</v>
      </c>
      <c r="D10411" s="1">
        <v>45894</v>
      </c>
      <c r="E10411" t="s">
        <v>4133</v>
      </c>
      <c r="F10411" t="s">
        <v>4139</v>
      </c>
    </row>
    <row r="10412" spans="1:6">
      <c r="A10412" t="s">
        <v>14541</v>
      </c>
      <c r="B10412" t="s">
        <v>3529</v>
      </c>
      <c r="C10412" t="s">
        <v>59</v>
      </c>
      <c r="D10412" s="1">
        <v>45895</v>
      </c>
      <c r="E10412" t="s">
        <v>4124</v>
      </c>
      <c r="F10412" t="s">
        <v>4125</v>
      </c>
    </row>
    <row r="10413" spans="1:6">
      <c r="A10413" t="s">
        <v>14542</v>
      </c>
      <c r="B10413" t="s">
        <v>3529</v>
      </c>
      <c r="C10413" t="s">
        <v>59</v>
      </c>
      <c r="D10413" s="1">
        <v>45904</v>
      </c>
      <c r="E10413" t="s">
        <v>4133</v>
      </c>
      <c r="F10413" t="s">
        <v>4125</v>
      </c>
    </row>
    <row r="10414" spans="1:6">
      <c r="A10414" t="s">
        <v>14543</v>
      </c>
      <c r="B10414" t="s">
        <v>3530</v>
      </c>
      <c r="C10414" t="s">
        <v>27</v>
      </c>
      <c r="D10414" s="1">
        <v>45976</v>
      </c>
      <c r="E10414" t="s">
        <v>4135</v>
      </c>
      <c r="F10414" t="s">
        <v>4137</v>
      </c>
    </row>
    <row r="10415" spans="1:6">
      <c r="A10415" t="s">
        <v>14544</v>
      </c>
      <c r="B10415" t="s">
        <v>3530</v>
      </c>
      <c r="C10415" t="s">
        <v>27</v>
      </c>
      <c r="D10415" s="1">
        <v>45979</v>
      </c>
      <c r="E10415" t="s">
        <v>4133</v>
      </c>
      <c r="F10415" t="s">
        <v>4125</v>
      </c>
    </row>
    <row r="10416" spans="1:6">
      <c r="A10416" t="s">
        <v>14545</v>
      </c>
      <c r="B10416" t="s">
        <v>3530</v>
      </c>
      <c r="C10416" t="s">
        <v>27</v>
      </c>
      <c r="D10416" s="1">
        <v>45982</v>
      </c>
      <c r="E10416" t="s">
        <v>4129</v>
      </c>
      <c r="F10416" t="s">
        <v>4139</v>
      </c>
    </row>
    <row r="10417" spans="1:6">
      <c r="A10417" t="s">
        <v>14546</v>
      </c>
      <c r="B10417" t="s">
        <v>3530</v>
      </c>
      <c r="C10417" t="s">
        <v>27</v>
      </c>
      <c r="D10417" s="1">
        <v>45978</v>
      </c>
      <c r="E10417" t="s">
        <v>4135</v>
      </c>
      <c r="F10417" t="s">
        <v>4125</v>
      </c>
    </row>
    <row r="10418" spans="1:6">
      <c r="A10418" t="s">
        <v>14547</v>
      </c>
      <c r="B10418" t="s">
        <v>3531</v>
      </c>
      <c r="C10418" t="s">
        <v>56</v>
      </c>
      <c r="D10418" s="1">
        <v>45947</v>
      </c>
      <c r="E10418" t="s">
        <v>4135</v>
      </c>
      <c r="F10418" t="s">
        <v>4137</v>
      </c>
    </row>
    <row r="10419" spans="1:6">
      <c r="A10419" t="s">
        <v>14548</v>
      </c>
      <c r="B10419" t="s">
        <v>3531</v>
      </c>
      <c r="C10419" t="s">
        <v>56</v>
      </c>
      <c r="D10419" s="1">
        <v>45948</v>
      </c>
      <c r="E10419" t="s">
        <v>4124</v>
      </c>
      <c r="F10419" t="s">
        <v>4139</v>
      </c>
    </row>
    <row r="10420" spans="1:6">
      <c r="A10420" t="s">
        <v>14549</v>
      </c>
      <c r="B10420" t="s">
        <v>3532</v>
      </c>
      <c r="C10420" t="s">
        <v>36</v>
      </c>
      <c r="D10420" s="1">
        <v>45859</v>
      </c>
      <c r="E10420" t="s">
        <v>4133</v>
      </c>
      <c r="F10420" t="s">
        <v>4137</v>
      </c>
    </row>
    <row r="10421" spans="1:6">
      <c r="A10421" t="s">
        <v>14550</v>
      </c>
      <c r="B10421" t="s">
        <v>3532</v>
      </c>
      <c r="C10421" t="s">
        <v>36</v>
      </c>
      <c r="D10421" s="1">
        <v>45874</v>
      </c>
      <c r="E10421" t="s">
        <v>4127</v>
      </c>
      <c r="F10421" t="s">
        <v>4125</v>
      </c>
    </row>
    <row r="10422" spans="1:6">
      <c r="A10422" t="s">
        <v>14551</v>
      </c>
      <c r="B10422" t="s">
        <v>3532</v>
      </c>
      <c r="C10422" t="s">
        <v>36</v>
      </c>
      <c r="D10422" s="1">
        <v>45854</v>
      </c>
      <c r="E10422" t="s">
        <v>4129</v>
      </c>
      <c r="F10422" t="s">
        <v>4137</v>
      </c>
    </row>
    <row r="10423" spans="1:6">
      <c r="A10423" t="s">
        <v>14552</v>
      </c>
      <c r="B10423" t="s">
        <v>3532</v>
      </c>
      <c r="C10423" t="s">
        <v>36</v>
      </c>
      <c r="D10423" s="1">
        <v>45879</v>
      </c>
      <c r="E10423" t="s">
        <v>4129</v>
      </c>
      <c r="F10423" t="s">
        <v>4125</v>
      </c>
    </row>
    <row r="10424" spans="1:6">
      <c r="A10424" t="s">
        <v>14553</v>
      </c>
      <c r="B10424" t="s">
        <v>3532</v>
      </c>
      <c r="C10424" t="s">
        <v>36</v>
      </c>
      <c r="D10424" s="1">
        <v>45866</v>
      </c>
      <c r="E10424" t="s">
        <v>4133</v>
      </c>
      <c r="F10424" t="s">
        <v>4125</v>
      </c>
    </row>
    <row r="10425" spans="1:6">
      <c r="A10425" t="s">
        <v>14554</v>
      </c>
      <c r="B10425" t="s">
        <v>3533</v>
      </c>
      <c r="C10425" t="s">
        <v>70</v>
      </c>
      <c r="D10425" s="1">
        <v>46016</v>
      </c>
      <c r="E10425" t="s">
        <v>4133</v>
      </c>
      <c r="F10425" t="s">
        <v>4125</v>
      </c>
    </row>
    <row r="10426" spans="1:6">
      <c r="A10426" t="s">
        <v>14555</v>
      </c>
      <c r="B10426" t="s">
        <v>3533</v>
      </c>
      <c r="C10426" t="s">
        <v>70</v>
      </c>
      <c r="D10426" s="1">
        <v>46018</v>
      </c>
      <c r="E10426" t="s">
        <v>4127</v>
      </c>
      <c r="F10426" t="s">
        <v>4137</v>
      </c>
    </row>
    <row r="10427" spans="1:6">
      <c r="A10427" t="s">
        <v>14556</v>
      </c>
      <c r="B10427" t="s">
        <v>3534</v>
      </c>
      <c r="C10427" t="s">
        <v>36</v>
      </c>
      <c r="D10427" s="1">
        <v>45807</v>
      </c>
      <c r="E10427" t="s">
        <v>4129</v>
      </c>
      <c r="F10427" t="s">
        <v>4125</v>
      </c>
    </row>
    <row r="10428" spans="1:6">
      <c r="A10428" t="s">
        <v>14557</v>
      </c>
      <c r="B10428" t="s">
        <v>3534</v>
      </c>
      <c r="C10428" t="s">
        <v>36</v>
      </c>
      <c r="D10428" s="1">
        <v>45788</v>
      </c>
      <c r="E10428" t="s">
        <v>4133</v>
      </c>
      <c r="F10428" t="s">
        <v>4139</v>
      </c>
    </row>
    <row r="10429" spans="1:6">
      <c r="A10429" t="s">
        <v>14558</v>
      </c>
      <c r="B10429" t="s">
        <v>3534</v>
      </c>
      <c r="C10429" t="s">
        <v>36</v>
      </c>
      <c r="D10429" s="1">
        <v>45769</v>
      </c>
      <c r="E10429" t="s">
        <v>4129</v>
      </c>
      <c r="F10429" t="s">
        <v>4139</v>
      </c>
    </row>
    <row r="10430" spans="1:6">
      <c r="A10430" t="s">
        <v>14559</v>
      </c>
      <c r="B10430" t="s">
        <v>3534</v>
      </c>
      <c r="C10430" t="s">
        <v>36</v>
      </c>
      <c r="D10430" s="1">
        <v>45814</v>
      </c>
      <c r="E10430" t="s">
        <v>4135</v>
      </c>
      <c r="F10430" t="s">
        <v>4125</v>
      </c>
    </row>
    <row r="10431" spans="1:6">
      <c r="A10431" t="s">
        <v>14560</v>
      </c>
      <c r="B10431" t="s">
        <v>3534</v>
      </c>
      <c r="C10431" t="s">
        <v>36</v>
      </c>
      <c r="D10431" s="1">
        <v>45800</v>
      </c>
      <c r="E10431" t="s">
        <v>4133</v>
      </c>
      <c r="F10431" t="s">
        <v>4137</v>
      </c>
    </row>
    <row r="10432" spans="1:6">
      <c r="A10432" t="s">
        <v>14561</v>
      </c>
      <c r="B10432" t="s">
        <v>3535</v>
      </c>
      <c r="C10432" t="s">
        <v>27</v>
      </c>
      <c r="D10432" s="1">
        <v>45813</v>
      </c>
      <c r="E10432" t="s">
        <v>4129</v>
      </c>
      <c r="F10432" t="s">
        <v>4125</v>
      </c>
    </row>
    <row r="10433" spans="1:6">
      <c r="A10433" t="s">
        <v>14562</v>
      </c>
      <c r="B10433" t="s">
        <v>3535</v>
      </c>
      <c r="C10433" t="s">
        <v>27</v>
      </c>
      <c r="D10433" s="1">
        <v>45812</v>
      </c>
      <c r="E10433" t="s">
        <v>4129</v>
      </c>
      <c r="F10433" t="s">
        <v>4125</v>
      </c>
    </row>
    <row r="10434" spans="1:6">
      <c r="A10434" t="s">
        <v>14563</v>
      </c>
      <c r="B10434" t="s">
        <v>3535</v>
      </c>
      <c r="C10434" t="s">
        <v>27</v>
      </c>
      <c r="D10434" s="1">
        <v>45811</v>
      </c>
      <c r="E10434" t="s">
        <v>4127</v>
      </c>
      <c r="F10434" t="s">
        <v>4139</v>
      </c>
    </row>
    <row r="10435" spans="1:6">
      <c r="A10435" t="s">
        <v>14564</v>
      </c>
      <c r="B10435" t="s">
        <v>3535</v>
      </c>
      <c r="C10435" t="s">
        <v>27</v>
      </c>
      <c r="D10435" s="1">
        <v>45814</v>
      </c>
      <c r="E10435" t="s">
        <v>4124</v>
      </c>
      <c r="F10435" t="s">
        <v>4139</v>
      </c>
    </row>
    <row r="10436" spans="1:6">
      <c r="A10436" t="s">
        <v>14565</v>
      </c>
      <c r="B10436" t="s">
        <v>3536</v>
      </c>
      <c r="C10436" t="s">
        <v>56</v>
      </c>
      <c r="D10436" s="1">
        <v>45891</v>
      </c>
      <c r="E10436" t="s">
        <v>4124</v>
      </c>
      <c r="F10436" t="s">
        <v>4139</v>
      </c>
    </row>
    <row r="10437" spans="1:6">
      <c r="A10437" t="s">
        <v>14566</v>
      </c>
      <c r="B10437" t="s">
        <v>3536</v>
      </c>
      <c r="C10437" t="s">
        <v>56</v>
      </c>
      <c r="D10437" s="1">
        <v>45895</v>
      </c>
      <c r="E10437" t="s">
        <v>4133</v>
      </c>
      <c r="F10437" t="s">
        <v>4125</v>
      </c>
    </row>
    <row r="10438" spans="1:6">
      <c r="A10438" t="s">
        <v>14567</v>
      </c>
      <c r="B10438" t="s">
        <v>3536</v>
      </c>
      <c r="C10438" t="s">
        <v>56</v>
      </c>
      <c r="D10438" s="1">
        <v>45881</v>
      </c>
      <c r="E10438" t="s">
        <v>4135</v>
      </c>
      <c r="F10438" t="s">
        <v>4137</v>
      </c>
    </row>
    <row r="10439" spans="1:6">
      <c r="A10439" t="s">
        <v>14568</v>
      </c>
      <c r="B10439" t="s">
        <v>3536</v>
      </c>
      <c r="C10439" t="s">
        <v>56</v>
      </c>
      <c r="D10439" s="1">
        <v>45901</v>
      </c>
      <c r="E10439" t="s">
        <v>4127</v>
      </c>
      <c r="F10439" t="s">
        <v>4137</v>
      </c>
    </row>
    <row r="10440" spans="1:6">
      <c r="A10440" t="s">
        <v>14569</v>
      </c>
      <c r="B10440" t="s">
        <v>3536</v>
      </c>
      <c r="C10440" t="s">
        <v>56</v>
      </c>
      <c r="D10440" s="1">
        <v>45906</v>
      </c>
      <c r="E10440" t="s">
        <v>4129</v>
      </c>
      <c r="F10440" t="s">
        <v>4137</v>
      </c>
    </row>
    <row r="10441" spans="1:6">
      <c r="A10441" t="s">
        <v>14570</v>
      </c>
      <c r="B10441" t="s">
        <v>3537</v>
      </c>
      <c r="C10441" t="s">
        <v>78</v>
      </c>
      <c r="D10441" s="1">
        <v>45698</v>
      </c>
      <c r="E10441" t="s">
        <v>4124</v>
      </c>
      <c r="F10441" t="s">
        <v>4139</v>
      </c>
    </row>
    <row r="10442" spans="1:6">
      <c r="A10442" t="s">
        <v>14571</v>
      </c>
      <c r="B10442" t="s">
        <v>3537</v>
      </c>
      <c r="C10442" t="s">
        <v>78</v>
      </c>
      <c r="D10442" s="1">
        <v>45697</v>
      </c>
      <c r="E10442" t="s">
        <v>4124</v>
      </c>
      <c r="F10442" t="s">
        <v>4125</v>
      </c>
    </row>
    <row r="10443" spans="1:6">
      <c r="A10443" t="s">
        <v>14572</v>
      </c>
      <c r="B10443" t="s">
        <v>3537</v>
      </c>
      <c r="C10443" t="s">
        <v>78</v>
      </c>
      <c r="D10443" s="1">
        <v>45700</v>
      </c>
      <c r="E10443" t="s">
        <v>4135</v>
      </c>
      <c r="F10443" t="s">
        <v>4139</v>
      </c>
    </row>
    <row r="10444" spans="1:6">
      <c r="A10444" t="s">
        <v>14573</v>
      </c>
      <c r="B10444" t="s">
        <v>3537</v>
      </c>
      <c r="C10444" t="s">
        <v>78</v>
      </c>
      <c r="D10444" s="1">
        <v>45702</v>
      </c>
      <c r="E10444" t="s">
        <v>4124</v>
      </c>
      <c r="F10444" t="s">
        <v>4125</v>
      </c>
    </row>
    <row r="10445" spans="1:6">
      <c r="A10445" t="s">
        <v>14574</v>
      </c>
      <c r="B10445" t="s">
        <v>3537</v>
      </c>
      <c r="C10445" t="s">
        <v>78</v>
      </c>
      <c r="D10445" s="1">
        <v>45690</v>
      </c>
      <c r="E10445" t="s">
        <v>4129</v>
      </c>
      <c r="F10445" t="s">
        <v>4125</v>
      </c>
    </row>
    <row r="10446" spans="1:6">
      <c r="A10446" t="s">
        <v>14575</v>
      </c>
      <c r="B10446" t="s">
        <v>3538</v>
      </c>
      <c r="C10446" t="s">
        <v>63</v>
      </c>
      <c r="D10446" s="1">
        <v>45974</v>
      </c>
      <c r="E10446" t="s">
        <v>4124</v>
      </c>
      <c r="F10446" t="s">
        <v>4139</v>
      </c>
    </row>
    <row r="10447" spans="1:6">
      <c r="A10447" t="s">
        <v>14576</v>
      </c>
      <c r="B10447" t="s">
        <v>3538</v>
      </c>
      <c r="C10447" t="s">
        <v>63</v>
      </c>
      <c r="D10447" s="1">
        <v>46008</v>
      </c>
      <c r="E10447" t="s">
        <v>4129</v>
      </c>
      <c r="F10447" t="s">
        <v>4137</v>
      </c>
    </row>
    <row r="10448" spans="1:6">
      <c r="A10448" t="s">
        <v>14577</v>
      </c>
      <c r="B10448" t="s">
        <v>3538</v>
      </c>
      <c r="C10448" t="s">
        <v>63</v>
      </c>
      <c r="D10448" s="1">
        <v>45977</v>
      </c>
      <c r="E10448" t="s">
        <v>4133</v>
      </c>
      <c r="F10448" t="s">
        <v>4139</v>
      </c>
    </row>
    <row r="10449" spans="1:6">
      <c r="A10449" t="s">
        <v>14578</v>
      </c>
      <c r="B10449" t="s">
        <v>3538</v>
      </c>
      <c r="C10449" t="s">
        <v>63</v>
      </c>
      <c r="D10449" s="1">
        <v>45983</v>
      </c>
      <c r="E10449" t="s">
        <v>4127</v>
      </c>
      <c r="F10449" t="s">
        <v>4137</v>
      </c>
    </row>
    <row r="10450" spans="1:6">
      <c r="A10450" t="s">
        <v>14579</v>
      </c>
      <c r="B10450" t="s">
        <v>3538</v>
      </c>
      <c r="C10450" t="s">
        <v>63</v>
      </c>
      <c r="D10450" s="1">
        <v>46016</v>
      </c>
      <c r="E10450" t="s">
        <v>4135</v>
      </c>
      <c r="F10450" t="s">
        <v>4137</v>
      </c>
    </row>
    <row r="10451" spans="1:6">
      <c r="A10451" t="s">
        <v>14580</v>
      </c>
      <c r="B10451" t="s">
        <v>3539</v>
      </c>
      <c r="C10451" t="s">
        <v>32</v>
      </c>
      <c r="D10451" s="1">
        <v>45784</v>
      </c>
      <c r="E10451" t="s">
        <v>4129</v>
      </c>
      <c r="F10451" t="s">
        <v>4125</v>
      </c>
    </row>
    <row r="10452" spans="1:6">
      <c r="A10452" t="s">
        <v>14581</v>
      </c>
      <c r="B10452" t="s">
        <v>3539</v>
      </c>
      <c r="C10452" t="s">
        <v>32</v>
      </c>
      <c r="D10452" s="1">
        <v>45769</v>
      </c>
      <c r="E10452" t="s">
        <v>4127</v>
      </c>
      <c r="F10452" t="s">
        <v>4139</v>
      </c>
    </row>
    <row r="10453" spans="1:6">
      <c r="A10453" t="s">
        <v>14582</v>
      </c>
      <c r="B10453" t="s">
        <v>3539</v>
      </c>
      <c r="C10453" t="s">
        <v>32</v>
      </c>
      <c r="D10453" s="1">
        <v>45729</v>
      </c>
      <c r="E10453" t="s">
        <v>4133</v>
      </c>
      <c r="F10453" t="s">
        <v>4137</v>
      </c>
    </row>
    <row r="10454" spans="1:6">
      <c r="A10454" t="s">
        <v>14583</v>
      </c>
      <c r="B10454" t="s">
        <v>3539</v>
      </c>
      <c r="C10454" t="s">
        <v>32</v>
      </c>
      <c r="D10454" s="1">
        <v>45764</v>
      </c>
      <c r="E10454" t="s">
        <v>4127</v>
      </c>
      <c r="F10454" t="s">
        <v>4139</v>
      </c>
    </row>
    <row r="10455" spans="1:6">
      <c r="A10455" t="s">
        <v>14584</v>
      </c>
      <c r="B10455" t="s">
        <v>3540</v>
      </c>
      <c r="C10455" t="s">
        <v>59</v>
      </c>
      <c r="D10455" s="1">
        <v>46019</v>
      </c>
      <c r="E10455" t="s">
        <v>4135</v>
      </c>
      <c r="F10455" t="s">
        <v>4139</v>
      </c>
    </row>
    <row r="10456" spans="1:6">
      <c r="A10456" t="s">
        <v>14585</v>
      </c>
      <c r="B10456" t="s">
        <v>3540</v>
      </c>
      <c r="C10456" t="s">
        <v>59</v>
      </c>
      <c r="D10456" s="1">
        <v>46006</v>
      </c>
      <c r="E10456" t="s">
        <v>4135</v>
      </c>
      <c r="F10456" t="s">
        <v>4139</v>
      </c>
    </row>
    <row r="10457" spans="1:6">
      <c r="A10457" t="s">
        <v>14586</v>
      </c>
      <c r="B10457" t="s">
        <v>3540</v>
      </c>
      <c r="C10457" t="s">
        <v>59</v>
      </c>
      <c r="D10457" s="1">
        <v>46020</v>
      </c>
      <c r="E10457" t="s">
        <v>4127</v>
      </c>
      <c r="F10457" t="s">
        <v>4125</v>
      </c>
    </row>
    <row r="10458" spans="1:6">
      <c r="A10458" t="s">
        <v>14587</v>
      </c>
      <c r="B10458" t="s">
        <v>3540</v>
      </c>
      <c r="C10458" t="s">
        <v>59</v>
      </c>
      <c r="D10458" s="1">
        <v>46011</v>
      </c>
      <c r="E10458" t="s">
        <v>4129</v>
      </c>
      <c r="F10458" t="s">
        <v>4139</v>
      </c>
    </row>
    <row r="10459" spans="1:6">
      <c r="A10459" t="s">
        <v>14588</v>
      </c>
      <c r="B10459" t="s">
        <v>3541</v>
      </c>
      <c r="C10459" t="s">
        <v>70</v>
      </c>
      <c r="D10459" s="1">
        <v>45822</v>
      </c>
      <c r="E10459" t="s">
        <v>4124</v>
      </c>
      <c r="F10459" t="s">
        <v>4139</v>
      </c>
    </row>
    <row r="10460" spans="1:6">
      <c r="A10460" t="s">
        <v>14589</v>
      </c>
      <c r="B10460" t="s">
        <v>3541</v>
      </c>
      <c r="C10460" t="s">
        <v>70</v>
      </c>
      <c r="D10460" s="1">
        <v>45822</v>
      </c>
      <c r="E10460" t="s">
        <v>4135</v>
      </c>
      <c r="F10460" t="s">
        <v>4139</v>
      </c>
    </row>
    <row r="10461" spans="1:6">
      <c r="A10461" t="s">
        <v>14590</v>
      </c>
      <c r="B10461" t="s">
        <v>3541</v>
      </c>
      <c r="C10461" t="s">
        <v>70</v>
      </c>
      <c r="D10461" s="1">
        <v>45826</v>
      </c>
      <c r="E10461" t="s">
        <v>4129</v>
      </c>
      <c r="F10461" t="s">
        <v>4125</v>
      </c>
    </row>
    <row r="10462" spans="1:6">
      <c r="A10462" t="s">
        <v>14591</v>
      </c>
      <c r="B10462" t="s">
        <v>3541</v>
      </c>
      <c r="C10462" t="s">
        <v>70</v>
      </c>
      <c r="D10462" s="1">
        <v>45825</v>
      </c>
      <c r="E10462" t="s">
        <v>4135</v>
      </c>
      <c r="F10462" t="s">
        <v>4139</v>
      </c>
    </row>
    <row r="10463" spans="1:6">
      <c r="A10463" t="s">
        <v>14592</v>
      </c>
      <c r="B10463" t="s">
        <v>3541</v>
      </c>
      <c r="C10463" t="s">
        <v>70</v>
      </c>
      <c r="D10463" s="1">
        <v>45832</v>
      </c>
      <c r="E10463" t="s">
        <v>4124</v>
      </c>
      <c r="F10463" t="s">
        <v>4137</v>
      </c>
    </row>
    <row r="10464" spans="1:6">
      <c r="A10464" t="s">
        <v>14593</v>
      </c>
      <c r="B10464" t="s">
        <v>3542</v>
      </c>
      <c r="C10464" t="s">
        <v>36</v>
      </c>
      <c r="D10464" s="1">
        <v>45926</v>
      </c>
      <c r="E10464" t="s">
        <v>4133</v>
      </c>
      <c r="F10464" t="s">
        <v>4137</v>
      </c>
    </row>
    <row r="10465" spans="1:6">
      <c r="A10465" t="s">
        <v>14594</v>
      </c>
      <c r="B10465" t="s">
        <v>3542</v>
      </c>
      <c r="C10465" t="s">
        <v>36</v>
      </c>
      <c r="D10465" s="1">
        <v>45941</v>
      </c>
      <c r="E10465" t="s">
        <v>4127</v>
      </c>
      <c r="F10465" t="s">
        <v>4139</v>
      </c>
    </row>
    <row r="10466" spans="1:6">
      <c r="A10466" t="s">
        <v>14595</v>
      </c>
      <c r="B10466" t="s">
        <v>3542</v>
      </c>
      <c r="C10466" t="s">
        <v>36</v>
      </c>
      <c r="D10466" s="1">
        <v>45935</v>
      </c>
      <c r="E10466" t="s">
        <v>4129</v>
      </c>
      <c r="F10466" t="s">
        <v>4125</v>
      </c>
    </row>
    <row r="10467" spans="1:6">
      <c r="A10467" t="s">
        <v>14596</v>
      </c>
      <c r="B10467" t="s">
        <v>3543</v>
      </c>
      <c r="C10467" t="s">
        <v>27</v>
      </c>
      <c r="D10467" s="1">
        <v>45963</v>
      </c>
      <c r="E10467" t="s">
        <v>4129</v>
      </c>
      <c r="F10467" t="s">
        <v>4137</v>
      </c>
    </row>
    <row r="10468" spans="1:6">
      <c r="A10468" t="s">
        <v>14597</v>
      </c>
      <c r="B10468" t="s">
        <v>3543</v>
      </c>
      <c r="C10468" t="s">
        <v>27</v>
      </c>
      <c r="D10468" s="1">
        <v>45957</v>
      </c>
      <c r="E10468" t="s">
        <v>4127</v>
      </c>
      <c r="F10468" t="s">
        <v>4137</v>
      </c>
    </row>
    <row r="10469" spans="1:6">
      <c r="A10469" t="s">
        <v>14598</v>
      </c>
      <c r="B10469" t="s">
        <v>3543</v>
      </c>
      <c r="C10469" t="s">
        <v>27</v>
      </c>
      <c r="D10469" s="1">
        <v>45918</v>
      </c>
      <c r="E10469" t="s">
        <v>4129</v>
      </c>
      <c r="F10469" t="s">
        <v>4139</v>
      </c>
    </row>
    <row r="10470" spans="1:6">
      <c r="A10470" t="s">
        <v>14599</v>
      </c>
      <c r="B10470" t="s">
        <v>3543</v>
      </c>
      <c r="C10470" t="s">
        <v>27</v>
      </c>
      <c r="D10470" s="1">
        <v>45942</v>
      </c>
      <c r="E10470" t="s">
        <v>4135</v>
      </c>
      <c r="F10470" t="s">
        <v>4137</v>
      </c>
    </row>
    <row r="10471" spans="1:6">
      <c r="A10471" t="s">
        <v>14600</v>
      </c>
      <c r="B10471" t="s">
        <v>3544</v>
      </c>
      <c r="C10471" t="s">
        <v>152</v>
      </c>
      <c r="D10471" s="1">
        <v>45866</v>
      </c>
      <c r="E10471" t="s">
        <v>4135</v>
      </c>
      <c r="F10471" t="s">
        <v>4139</v>
      </c>
    </row>
    <row r="10472" spans="1:6">
      <c r="A10472" t="s">
        <v>14601</v>
      </c>
      <c r="B10472" t="s">
        <v>3544</v>
      </c>
      <c r="C10472" t="s">
        <v>152</v>
      </c>
      <c r="D10472" s="1">
        <v>45876</v>
      </c>
      <c r="E10472" t="s">
        <v>4129</v>
      </c>
      <c r="F10472" t="s">
        <v>4137</v>
      </c>
    </row>
    <row r="10473" spans="1:6">
      <c r="A10473" t="s">
        <v>14602</v>
      </c>
      <c r="B10473" t="s">
        <v>3544</v>
      </c>
      <c r="C10473" t="s">
        <v>152</v>
      </c>
      <c r="D10473" s="1">
        <v>45861</v>
      </c>
      <c r="E10473" t="s">
        <v>4127</v>
      </c>
      <c r="F10473" t="s">
        <v>4139</v>
      </c>
    </row>
    <row r="10474" spans="1:6">
      <c r="A10474" t="s">
        <v>14603</v>
      </c>
      <c r="B10474" t="s">
        <v>3544</v>
      </c>
      <c r="C10474" t="s">
        <v>152</v>
      </c>
      <c r="D10474" s="1">
        <v>45857</v>
      </c>
      <c r="E10474" t="s">
        <v>4129</v>
      </c>
      <c r="F10474" t="s">
        <v>4137</v>
      </c>
    </row>
    <row r="10475" spans="1:6">
      <c r="A10475" t="s">
        <v>14604</v>
      </c>
      <c r="B10475" t="s">
        <v>3544</v>
      </c>
      <c r="C10475" t="s">
        <v>152</v>
      </c>
      <c r="D10475" s="1">
        <v>45870</v>
      </c>
      <c r="E10475" t="s">
        <v>4129</v>
      </c>
      <c r="F10475" t="s">
        <v>4137</v>
      </c>
    </row>
    <row r="10476" spans="1:6">
      <c r="A10476" t="s">
        <v>14605</v>
      </c>
      <c r="B10476" t="s">
        <v>3545</v>
      </c>
      <c r="C10476" t="s">
        <v>46</v>
      </c>
      <c r="D10476" s="1">
        <v>45850</v>
      </c>
      <c r="E10476" t="s">
        <v>4135</v>
      </c>
      <c r="F10476" t="s">
        <v>4125</v>
      </c>
    </row>
    <row r="10477" spans="1:6">
      <c r="A10477" t="s">
        <v>14606</v>
      </c>
      <c r="B10477" t="s">
        <v>3545</v>
      </c>
      <c r="C10477" t="s">
        <v>46</v>
      </c>
      <c r="D10477" s="1">
        <v>45855</v>
      </c>
      <c r="E10477" t="s">
        <v>4133</v>
      </c>
      <c r="F10477" t="s">
        <v>4139</v>
      </c>
    </row>
    <row r="10478" spans="1:6">
      <c r="A10478" t="s">
        <v>14607</v>
      </c>
      <c r="B10478" t="s">
        <v>3545</v>
      </c>
      <c r="C10478" t="s">
        <v>46</v>
      </c>
      <c r="D10478" s="1">
        <v>45822</v>
      </c>
      <c r="E10478" t="s">
        <v>4133</v>
      </c>
      <c r="F10478" t="s">
        <v>4125</v>
      </c>
    </row>
    <row r="10479" spans="1:6">
      <c r="A10479" t="s">
        <v>14608</v>
      </c>
      <c r="B10479" t="s">
        <v>3545</v>
      </c>
      <c r="C10479" t="s">
        <v>46</v>
      </c>
      <c r="D10479" s="1">
        <v>45866</v>
      </c>
      <c r="E10479" t="s">
        <v>4124</v>
      </c>
      <c r="F10479" t="s">
        <v>4139</v>
      </c>
    </row>
    <row r="10480" spans="1:6">
      <c r="A10480" t="s">
        <v>14609</v>
      </c>
      <c r="B10480" t="s">
        <v>3545</v>
      </c>
      <c r="C10480" t="s">
        <v>46</v>
      </c>
      <c r="D10480" s="1">
        <v>45861</v>
      </c>
      <c r="E10480" t="s">
        <v>4124</v>
      </c>
      <c r="F10480" t="s">
        <v>4125</v>
      </c>
    </row>
    <row r="10481" spans="1:6">
      <c r="A10481" t="s">
        <v>14610</v>
      </c>
      <c r="B10481" t="s">
        <v>3546</v>
      </c>
      <c r="C10481" t="s">
        <v>27</v>
      </c>
      <c r="D10481" s="1">
        <v>45868</v>
      </c>
      <c r="E10481" t="s">
        <v>4127</v>
      </c>
      <c r="F10481" t="s">
        <v>4125</v>
      </c>
    </row>
    <row r="10482" spans="1:6">
      <c r="A10482" t="s">
        <v>14611</v>
      </c>
      <c r="B10482" t="s">
        <v>3546</v>
      </c>
      <c r="C10482" t="s">
        <v>27</v>
      </c>
      <c r="D10482" s="1">
        <v>45870</v>
      </c>
      <c r="E10482" t="s">
        <v>4127</v>
      </c>
      <c r="F10482" t="s">
        <v>4137</v>
      </c>
    </row>
    <row r="10483" spans="1:6">
      <c r="A10483" t="s">
        <v>14612</v>
      </c>
      <c r="B10483" t="s">
        <v>3546</v>
      </c>
      <c r="C10483" t="s">
        <v>27</v>
      </c>
      <c r="D10483" s="1">
        <v>45935</v>
      </c>
      <c r="E10483" t="s">
        <v>4127</v>
      </c>
      <c r="F10483" t="s">
        <v>4137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8665-EB58-47E8-A9E1-B0B92CFAC931}">
  <dimension ref="A1:E21"/>
  <sheetViews>
    <sheetView workbookViewId="0">
      <selection activeCell="K11" sqref="K11"/>
    </sheetView>
  </sheetViews>
  <sheetFormatPr defaultRowHeight="15.05"/>
  <cols>
    <col min="1" max="1" width="8.33203125" bestFit="1" customWidth="1"/>
    <col min="2" max="2" width="11.33203125" bestFit="1" customWidth="1"/>
    <col min="3" max="3" width="8.21875" bestFit="1" customWidth="1"/>
    <col min="4" max="4" width="10.21875" bestFit="1" customWidth="1"/>
    <col min="5" max="5" width="17.44140625" bestFit="1" customWidth="1"/>
  </cols>
  <sheetData>
    <row r="1" spans="1:5">
      <c r="A1" t="s">
        <v>3</v>
      </c>
      <c r="B1" t="s">
        <v>4092</v>
      </c>
      <c r="C1" t="s">
        <v>3550</v>
      </c>
      <c r="D1" t="s">
        <v>4093</v>
      </c>
      <c r="E1" t="s">
        <v>4094</v>
      </c>
    </row>
    <row r="2" spans="1:5">
      <c r="A2" t="s">
        <v>46</v>
      </c>
      <c r="B2" t="s">
        <v>4095</v>
      </c>
      <c r="C2" t="s">
        <v>3555</v>
      </c>
      <c r="D2" t="s">
        <v>4096</v>
      </c>
      <c r="E2">
        <v>12000000</v>
      </c>
    </row>
    <row r="3" spans="1:5">
      <c r="A3" t="s">
        <v>126</v>
      </c>
      <c r="B3" t="s">
        <v>4097</v>
      </c>
      <c r="C3" t="s">
        <v>3555</v>
      </c>
      <c r="D3" t="s">
        <v>4096</v>
      </c>
      <c r="E3">
        <v>15000000</v>
      </c>
    </row>
    <row r="4" spans="1:5">
      <c r="A4" t="s">
        <v>91</v>
      </c>
      <c r="B4" t="s">
        <v>4098</v>
      </c>
      <c r="C4" t="s">
        <v>3555</v>
      </c>
      <c r="D4" t="s">
        <v>4096</v>
      </c>
      <c r="E4">
        <v>18000000</v>
      </c>
    </row>
    <row r="5" spans="1:5">
      <c r="A5" t="s">
        <v>32</v>
      </c>
      <c r="B5" t="s">
        <v>4099</v>
      </c>
      <c r="C5" t="s">
        <v>3555</v>
      </c>
      <c r="D5" t="s">
        <v>4096</v>
      </c>
      <c r="E5">
        <v>18000000</v>
      </c>
    </row>
    <row r="6" spans="1:5">
      <c r="A6" t="s">
        <v>63</v>
      </c>
      <c r="B6" t="s">
        <v>4100</v>
      </c>
      <c r="C6" t="s">
        <v>3555</v>
      </c>
      <c r="D6" t="s">
        <v>4096</v>
      </c>
      <c r="E6">
        <v>12000000</v>
      </c>
    </row>
    <row r="7" spans="1:5">
      <c r="A7" t="s">
        <v>27</v>
      </c>
      <c r="B7" t="s">
        <v>4101</v>
      </c>
      <c r="C7" t="s">
        <v>3559</v>
      </c>
      <c r="D7" t="s">
        <v>4102</v>
      </c>
      <c r="E7">
        <v>21000000</v>
      </c>
    </row>
    <row r="8" spans="1:5">
      <c r="A8" t="s">
        <v>75</v>
      </c>
      <c r="B8" t="s">
        <v>4103</v>
      </c>
      <c r="C8" t="s">
        <v>3559</v>
      </c>
      <c r="D8" t="s">
        <v>4102</v>
      </c>
      <c r="E8">
        <v>21000000</v>
      </c>
    </row>
    <row r="9" spans="1:5">
      <c r="A9" t="s">
        <v>16</v>
      </c>
      <c r="B9" t="s">
        <v>4104</v>
      </c>
      <c r="C9" t="s">
        <v>3559</v>
      </c>
      <c r="D9" t="s">
        <v>4102</v>
      </c>
      <c r="E9">
        <v>18000000</v>
      </c>
    </row>
    <row r="10" spans="1:5">
      <c r="A10" t="s">
        <v>36</v>
      </c>
      <c r="B10" t="s">
        <v>4105</v>
      </c>
      <c r="C10" t="s">
        <v>3559</v>
      </c>
      <c r="D10" t="s">
        <v>4102</v>
      </c>
      <c r="E10">
        <v>12000000</v>
      </c>
    </row>
    <row r="11" spans="1:5">
      <c r="A11" t="s">
        <v>119</v>
      </c>
      <c r="B11" t="s">
        <v>4106</v>
      </c>
      <c r="C11" t="s">
        <v>3559</v>
      </c>
      <c r="D11" t="s">
        <v>4102</v>
      </c>
      <c r="E11">
        <v>15000000</v>
      </c>
    </row>
    <row r="12" spans="1:5">
      <c r="A12" t="s">
        <v>70</v>
      </c>
      <c r="B12" t="s">
        <v>4107</v>
      </c>
      <c r="C12" t="s">
        <v>3573</v>
      </c>
      <c r="D12" t="s">
        <v>4108</v>
      </c>
      <c r="E12">
        <v>12000000</v>
      </c>
    </row>
    <row r="13" spans="1:5">
      <c r="A13" t="s">
        <v>78</v>
      </c>
      <c r="B13" t="s">
        <v>4109</v>
      </c>
      <c r="C13" t="s">
        <v>3573</v>
      </c>
      <c r="D13" t="s">
        <v>4108</v>
      </c>
      <c r="E13">
        <v>21000000</v>
      </c>
    </row>
    <row r="14" spans="1:5">
      <c r="A14" t="s">
        <v>40</v>
      </c>
      <c r="B14" t="s">
        <v>4110</v>
      </c>
      <c r="C14" t="s">
        <v>3573</v>
      </c>
      <c r="D14" t="s">
        <v>4108</v>
      </c>
      <c r="E14">
        <v>18000000</v>
      </c>
    </row>
    <row r="15" spans="1:5">
      <c r="A15" t="s">
        <v>22</v>
      </c>
      <c r="B15" t="s">
        <v>4111</v>
      </c>
      <c r="C15" t="s">
        <v>3573</v>
      </c>
      <c r="D15" t="s">
        <v>4108</v>
      </c>
      <c r="E15">
        <v>18000000</v>
      </c>
    </row>
    <row r="16" spans="1:5">
      <c r="A16" t="s">
        <v>50</v>
      </c>
      <c r="B16" t="s">
        <v>4112</v>
      </c>
      <c r="C16" t="s">
        <v>3573</v>
      </c>
      <c r="D16" t="s">
        <v>4108</v>
      </c>
      <c r="E16">
        <v>18000000</v>
      </c>
    </row>
    <row r="17" spans="1:5">
      <c r="A17" t="s">
        <v>53</v>
      </c>
      <c r="B17" t="s">
        <v>4113</v>
      </c>
      <c r="C17" t="s">
        <v>3568</v>
      </c>
      <c r="D17" t="s">
        <v>4114</v>
      </c>
      <c r="E17">
        <v>15000000</v>
      </c>
    </row>
    <row r="18" spans="1:5">
      <c r="A18" t="s">
        <v>168</v>
      </c>
      <c r="B18" t="s">
        <v>4115</v>
      </c>
      <c r="C18" t="s">
        <v>3568</v>
      </c>
      <c r="D18" t="s">
        <v>4114</v>
      </c>
      <c r="E18">
        <v>15000000</v>
      </c>
    </row>
    <row r="19" spans="1:5">
      <c r="A19" t="s">
        <v>152</v>
      </c>
      <c r="B19" t="s">
        <v>4116</v>
      </c>
      <c r="C19" t="s">
        <v>3568</v>
      </c>
      <c r="D19" t="s">
        <v>4114</v>
      </c>
      <c r="E19">
        <v>21000000</v>
      </c>
    </row>
    <row r="20" spans="1:5">
      <c r="A20" t="s">
        <v>59</v>
      </c>
      <c r="B20" t="s">
        <v>4117</v>
      </c>
      <c r="C20" t="s">
        <v>3568</v>
      </c>
      <c r="D20" t="s">
        <v>4114</v>
      </c>
      <c r="E20">
        <v>12000000</v>
      </c>
    </row>
    <row r="21" spans="1:5">
      <c r="A21" t="s">
        <v>56</v>
      </c>
      <c r="B21" t="s">
        <v>4118</v>
      </c>
      <c r="C21" t="s">
        <v>3568</v>
      </c>
      <c r="D21" t="s">
        <v>4114</v>
      </c>
      <c r="E21">
        <v>12000000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61E41-E72E-48E6-B83F-0FC4E170F885}">
  <dimension ref="A1:D7"/>
  <sheetViews>
    <sheetView workbookViewId="0">
      <selection sqref="A1:D7"/>
    </sheetView>
  </sheetViews>
  <sheetFormatPr defaultRowHeight="15.05"/>
  <cols>
    <col min="1" max="1" width="12.109375" bestFit="1" customWidth="1"/>
    <col min="2" max="2" width="16.77734375" bestFit="1" customWidth="1"/>
    <col min="3" max="3" width="10.21875" bestFit="1" customWidth="1"/>
    <col min="4" max="4" width="20.44140625" bestFit="1" customWidth="1"/>
  </cols>
  <sheetData>
    <row r="1" spans="1:4">
      <c r="A1" t="s">
        <v>2</v>
      </c>
      <c r="B1" t="s">
        <v>4078</v>
      </c>
      <c r="C1" t="s">
        <v>4079</v>
      </c>
      <c r="D1" t="s">
        <v>4080</v>
      </c>
    </row>
    <row r="2" spans="1:4">
      <c r="A2" t="s">
        <v>62</v>
      </c>
      <c r="B2" t="s">
        <v>4081</v>
      </c>
      <c r="C2" t="s">
        <v>4082</v>
      </c>
      <c r="D2">
        <v>120000</v>
      </c>
    </row>
    <row r="3" spans="1:4">
      <c r="A3" t="s">
        <v>15</v>
      </c>
      <c r="B3" t="s">
        <v>4083</v>
      </c>
      <c r="C3" t="s">
        <v>4082</v>
      </c>
      <c r="D3">
        <v>420000</v>
      </c>
    </row>
    <row r="4" spans="1:4">
      <c r="A4" t="s">
        <v>21</v>
      </c>
      <c r="B4" t="s">
        <v>4084</v>
      </c>
      <c r="C4" t="s">
        <v>4085</v>
      </c>
      <c r="D4">
        <v>240000</v>
      </c>
    </row>
    <row r="5" spans="1:4">
      <c r="A5" t="s">
        <v>81</v>
      </c>
      <c r="B5" t="s">
        <v>4086</v>
      </c>
      <c r="C5" t="s">
        <v>4087</v>
      </c>
      <c r="D5">
        <v>300000</v>
      </c>
    </row>
    <row r="6" spans="1:4">
      <c r="A6" t="s">
        <v>39</v>
      </c>
      <c r="B6" t="s">
        <v>4088</v>
      </c>
      <c r="C6" t="s">
        <v>4089</v>
      </c>
      <c r="D6">
        <v>180000</v>
      </c>
    </row>
    <row r="7" spans="1:4">
      <c r="A7" t="s">
        <v>26</v>
      </c>
      <c r="B7" t="s">
        <v>4090</v>
      </c>
      <c r="C7" t="s">
        <v>4091</v>
      </c>
      <c r="D7">
        <v>360000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FF41-3CA8-4436-8469-65FEEE89E6FD}">
  <dimension ref="A1:F501"/>
  <sheetViews>
    <sheetView workbookViewId="0">
      <selection activeCell="K8" sqref="K8"/>
    </sheetView>
  </sheetViews>
  <sheetFormatPr defaultRowHeight="15.05"/>
  <cols>
    <col min="1" max="1" width="13.44140625" bestFit="1" customWidth="1"/>
    <col min="2" max="2" width="16.5546875" bestFit="1" customWidth="1"/>
    <col min="3" max="3" width="12.5546875" bestFit="1" customWidth="1"/>
    <col min="4" max="4" width="10.21875" bestFit="1" customWidth="1"/>
    <col min="5" max="5" width="8.21875" bestFit="1" customWidth="1"/>
    <col min="6" max="6" width="12" bestFit="1" customWidth="1"/>
    <col min="7" max="7" width="10.88671875" bestFit="1" customWidth="1"/>
    <col min="8" max="8" width="14.5546875" bestFit="1" customWidth="1"/>
    <col min="9" max="9" width="12.5546875" bestFit="1" customWidth="1"/>
    <col min="10" max="11" width="10.5546875" bestFit="1" customWidth="1"/>
    <col min="12" max="12" width="12" bestFit="1" customWidth="1"/>
  </cols>
  <sheetData>
    <row r="1" spans="1:6">
      <c r="A1" t="s">
        <v>1</v>
      </c>
      <c r="B1" t="s">
        <v>3547</v>
      </c>
      <c r="C1" t="s">
        <v>3548</v>
      </c>
      <c r="D1" t="s">
        <v>3549</v>
      </c>
      <c r="E1" t="s">
        <v>3550</v>
      </c>
      <c r="F1" t="s">
        <v>3551</v>
      </c>
    </row>
    <row r="2" spans="1:6">
      <c r="A2" t="s">
        <v>371</v>
      </c>
      <c r="B2" t="s">
        <v>3552</v>
      </c>
      <c r="C2" t="s">
        <v>3553</v>
      </c>
      <c r="D2" t="s">
        <v>3554</v>
      </c>
      <c r="E2" t="s">
        <v>3555</v>
      </c>
      <c r="F2" t="s">
        <v>3556</v>
      </c>
    </row>
    <row r="3" spans="1:6">
      <c r="A3" t="s">
        <v>147</v>
      </c>
      <c r="B3" t="s">
        <v>3557</v>
      </c>
      <c r="C3" t="s">
        <v>3558</v>
      </c>
      <c r="D3" t="s">
        <v>3554</v>
      </c>
      <c r="E3" t="s">
        <v>3559</v>
      </c>
      <c r="F3" t="s">
        <v>3560</v>
      </c>
    </row>
    <row r="4" spans="1:6">
      <c r="A4" t="s">
        <v>426</v>
      </c>
      <c r="B4" t="s">
        <v>3561</v>
      </c>
      <c r="C4" t="s">
        <v>3562</v>
      </c>
      <c r="D4" t="s">
        <v>3563</v>
      </c>
      <c r="E4" t="s">
        <v>3555</v>
      </c>
      <c r="F4" t="s">
        <v>3556</v>
      </c>
    </row>
    <row r="5" spans="1:6">
      <c r="A5" t="s">
        <v>95</v>
      </c>
      <c r="B5" t="s">
        <v>3564</v>
      </c>
      <c r="C5" t="s">
        <v>3558</v>
      </c>
      <c r="D5" t="s">
        <v>3563</v>
      </c>
      <c r="E5" t="s">
        <v>3555</v>
      </c>
      <c r="F5" t="s">
        <v>3565</v>
      </c>
    </row>
    <row r="6" spans="1:6">
      <c r="A6" t="s">
        <v>154</v>
      </c>
      <c r="B6" t="s">
        <v>3566</v>
      </c>
      <c r="C6" t="s">
        <v>3562</v>
      </c>
      <c r="D6" t="s">
        <v>3563</v>
      </c>
      <c r="E6" t="s">
        <v>3555</v>
      </c>
      <c r="F6" t="s">
        <v>3565</v>
      </c>
    </row>
    <row r="7" spans="1:6">
      <c r="A7" t="s">
        <v>298</v>
      </c>
      <c r="B7" t="s">
        <v>3567</v>
      </c>
      <c r="C7" t="s">
        <v>3558</v>
      </c>
      <c r="D7" t="s">
        <v>3563</v>
      </c>
      <c r="E7" t="s">
        <v>3568</v>
      </c>
      <c r="F7" t="s">
        <v>3569</v>
      </c>
    </row>
    <row r="8" spans="1:6">
      <c r="A8" t="s">
        <v>1000</v>
      </c>
      <c r="B8" t="s">
        <v>3570</v>
      </c>
      <c r="C8" t="s">
        <v>3558</v>
      </c>
      <c r="D8" t="s">
        <v>3554</v>
      </c>
      <c r="E8" t="s">
        <v>3555</v>
      </c>
      <c r="F8" t="s">
        <v>3571</v>
      </c>
    </row>
    <row r="9" spans="1:6">
      <c r="A9" t="s">
        <v>2488</v>
      </c>
      <c r="B9" t="s">
        <v>3572</v>
      </c>
      <c r="C9" t="s">
        <v>3558</v>
      </c>
      <c r="D9" t="s">
        <v>3563</v>
      </c>
      <c r="E9" t="s">
        <v>3573</v>
      </c>
      <c r="F9" t="s">
        <v>3574</v>
      </c>
    </row>
    <row r="10" spans="1:6">
      <c r="A10" t="s">
        <v>954</v>
      </c>
      <c r="B10" t="s">
        <v>3575</v>
      </c>
      <c r="C10" t="s">
        <v>3553</v>
      </c>
      <c r="D10" t="s">
        <v>3563</v>
      </c>
      <c r="E10" t="s">
        <v>3555</v>
      </c>
      <c r="F10" t="s">
        <v>3571</v>
      </c>
    </row>
    <row r="11" spans="1:6">
      <c r="A11" t="s">
        <v>743</v>
      </c>
      <c r="B11" t="s">
        <v>3576</v>
      </c>
      <c r="C11" t="s">
        <v>3562</v>
      </c>
      <c r="D11" t="s">
        <v>3563</v>
      </c>
      <c r="E11" t="s">
        <v>3573</v>
      </c>
      <c r="F11" t="s">
        <v>3577</v>
      </c>
    </row>
    <row r="12" spans="1:6">
      <c r="A12" t="s">
        <v>575</v>
      </c>
      <c r="B12" t="s">
        <v>3578</v>
      </c>
      <c r="C12" t="s">
        <v>3562</v>
      </c>
      <c r="D12" t="s">
        <v>3563</v>
      </c>
      <c r="E12" t="s">
        <v>3568</v>
      </c>
      <c r="F12" t="s">
        <v>3569</v>
      </c>
    </row>
    <row r="13" spans="1:6">
      <c r="A13" t="s">
        <v>1135</v>
      </c>
      <c r="B13" t="s">
        <v>3579</v>
      </c>
      <c r="C13" t="s">
        <v>3562</v>
      </c>
      <c r="D13" t="s">
        <v>3563</v>
      </c>
      <c r="E13" t="s">
        <v>3555</v>
      </c>
      <c r="F13" t="s">
        <v>3565</v>
      </c>
    </row>
    <row r="14" spans="1:6">
      <c r="A14" t="s">
        <v>864</v>
      </c>
      <c r="B14" t="s">
        <v>3580</v>
      </c>
      <c r="C14" t="s">
        <v>3562</v>
      </c>
      <c r="D14" t="s">
        <v>3563</v>
      </c>
      <c r="E14" t="s">
        <v>3573</v>
      </c>
      <c r="F14" t="s">
        <v>3577</v>
      </c>
    </row>
    <row r="15" spans="1:6">
      <c r="A15" t="s">
        <v>572</v>
      </c>
      <c r="B15" t="s">
        <v>3581</v>
      </c>
      <c r="C15" t="s">
        <v>3582</v>
      </c>
      <c r="D15" t="s">
        <v>3563</v>
      </c>
      <c r="E15" t="s">
        <v>3555</v>
      </c>
      <c r="F15" t="s">
        <v>3571</v>
      </c>
    </row>
    <row r="16" spans="1:6">
      <c r="A16" t="s">
        <v>601</v>
      </c>
      <c r="B16" t="s">
        <v>3583</v>
      </c>
      <c r="C16" t="s">
        <v>3558</v>
      </c>
      <c r="D16" t="s">
        <v>3584</v>
      </c>
      <c r="E16" t="s">
        <v>3555</v>
      </c>
      <c r="F16" t="s">
        <v>3571</v>
      </c>
    </row>
    <row r="17" spans="1:6">
      <c r="A17" t="s">
        <v>185</v>
      </c>
      <c r="B17" t="s">
        <v>3585</v>
      </c>
      <c r="C17" t="s">
        <v>3586</v>
      </c>
      <c r="D17" t="s">
        <v>3554</v>
      </c>
      <c r="E17" t="s">
        <v>3573</v>
      </c>
      <c r="F17" t="s">
        <v>3574</v>
      </c>
    </row>
    <row r="18" spans="1:6">
      <c r="A18" t="s">
        <v>606</v>
      </c>
      <c r="B18" t="s">
        <v>3587</v>
      </c>
      <c r="C18" t="s">
        <v>3588</v>
      </c>
      <c r="D18" t="s">
        <v>3563</v>
      </c>
      <c r="E18" t="s">
        <v>3559</v>
      </c>
      <c r="F18" t="s">
        <v>3560</v>
      </c>
    </row>
    <row r="19" spans="1:6">
      <c r="A19" t="s">
        <v>716</v>
      </c>
      <c r="B19" t="s">
        <v>3589</v>
      </c>
      <c r="C19" t="s">
        <v>3582</v>
      </c>
      <c r="D19" t="s">
        <v>3584</v>
      </c>
      <c r="E19" t="s">
        <v>3573</v>
      </c>
      <c r="F19" t="s">
        <v>3590</v>
      </c>
    </row>
    <row r="20" spans="1:6">
      <c r="A20" t="s">
        <v>1896</v>
      </c>
      <c r="B20" t="s">
        <v>3591</v>
      </c>
      <c r="C20" t="s">
        <v>3562</v>
      </c>
      <c r="D20" t="s">
        <v>3554</v>
      </c>
      <c r="E20" t="s">
        <v>3555</v>
      </c>
      <c r="F20" t="s">
        <v>3565</v>
      </c>
    </row>
    <row r="21" spans="1:6">
      <c r="A21" t="s">
        <v>14</v>
      </c>
      <c r="B21" t="s">
        <v>3592</v>
      </c>
      <c r="C21" t="s">
        <v>3558</v>
      </c>
      <c r="D21" t="s">
        <v>3563</v>
      </c>
      <c r="E21" t="s">
        <v>3559</v>
      </c>
      <c r="F21" t="s">
        <v>3593</v>
      </c>
    </row>
    <row r="22" spans="1:6">
      <c r="A22" t="s">
        <v>755</v>
      </c>
      <c r="B22" t="s">
        <v>3594</v>
      </c>
      <c r="C22" t="s">
        <v>3582</v>
      </c>
      <c r="D22" t="s">
        <v>3563</v>
      </c>
      <c r="E22" t="s">
        <v>3559</v>
      </c>
      <c r="F22" t="s">
        <v>3595</v>
      </c>
    </row>
    <row r="23" spans="1:6">
      <c r="A23" t="s">
        <v>215</v>
      </c>
      <c r="B23" t="s">
        <v>3596</v>
      </c>
      <c r="C23" t="s">
        <v>3553</v>
      </c>
      <c r="D23" t="s">
        <v>3554</v>
      </c>
      <c r="E23" t="s">
        <v>3559</v>
      </c>
      <c r="F23" t="s">
        <v>3593</v>
      </c>
    </row>
    <row r="24" spans="1:6">
      <c r="A24" t="s">
        <v>487</v>
      </c>
      <c r="B24" t="s">
        <v>3597</v>
      </c>
      <c r="C24" t="s">
        <v>3553</v>
      </c>
      <c r="D24" t="s">
        <v>3563</v>
      </c>
      <c r="E24" t="s">
        <v>3573</v>
      </c>
      <c r="F24" t="s">
        <v>3590</v>
      </c>
    </row>
    <row r="25" spans="1:6">
      <c r="A25" t="s">
        <v>581</v>
      </c>
      <c r="B25" t="s">
        <v>3598</v>
      </c>
      <c r="C25" t="s">
        <v>3558</v>
      </c>
      <c r="D25" t="s">
        <v>3554</v>
      </c>
      <c r="E25" t="s">
        <v>3573</v>
      </c>
      <c r="F25" t="s">
        <v>3574</v>
      </c>
    </row>
    <row r="26" spans="1:6">
      <c r="A26" t="s">
        <v>93</v>
      </c>
      <c r="B26" t="s">
        <v>3599</v>
      </c>
      <c r="C26" t="s">
        <v>3558</v>
      </c>
      <c r="D26" t="s">
        <v>3563</v>
      </c>
      <c r="E26" t="s">
        <v>3568</v>
      </c>
      <c r="F26" t="s">
        <v>3600</v>
      </c>
    </row>
    <row r="27" spans="1:6">
      <c r="A27" t="s">
        <v>1370</v>
      </c>
      <c r="B27" t="s">
        <v>3601</v>
      </c>
      <c r="C27" t="s">
        <v>3582</v>
      </c>
      <c r="D27" t="s">
        <v>3554</v>
      </c>
      <c r="E27" t="s">
        <v>3573</v>
      </c>
      <c r="F27" t="s">
        <v>3590</v>
      </c>
    </row>
    <row r="28" spans="1:6">
      <c r="A28" t="s">
        <v>1209</v>
      </c>
      <c r="B28" t="s">
        <v>3602</v>
      </c>
      <c r="C28" t="s">
        <v>3588</v>
      </c>
      <c r="D28" t="s">
        <v>3563</v>
      </c>
      <c r="E28" t="s">
        <v>3568</v>
      </c>
      <c r="F28" t="s">
        <v>3600</v>
      </c>
    </row>
    <row r="29" spans="1:6">
      <c r="A29" t="s">
        <v>327</v>
      </c>
      <c r="B29" t="s">
        <v>3603</v>
      </c>
      <c r="C29" t="s">
        <v>3553</v>
      </c>
      <c r="D29" t="s">
        <v>3554</v>
      </c>
      <c r="E29" t="s">
        <v>3568</v>
      </c>
      <c r="F29" t="s">
        <v>3600</v>
      </c>
    </row>
    <row r="30" spans="1:6">
      <c r="A30" t="s">
        <v>1349</v>
      </c>
      <c r="B30" t="s">
        <v>3604</v>
      </c>
      <c r="C30" t="s">
        <v>3582</v>
      </c>
      <c r="D30" t="s">
        <v>3563</v>
      </c>
      <c r="E30" t="s">
        <v>3559</v>
      </c>
      <c r="F30" t="s">
        <v>3560</v>
      </c>
    </row>
    <row r="31" spans="1:6">
      <c r="A31" t="s">
        <v>65</v>
      </c>
      <c r="B31" t="s">
        <v>3605</v>
      </c>
      <c r="C31" t="s">
        <v>3562</v>
      </c>
      <c r="D31" t="s">
        <v>3563</v>
      </c>
      <c r="E31" t="s">
        <v>3568</v>
      </c>
      <c r="F31" t="s">
        <v>3569</v>
      </c>
    </row>
    <row r="32" spans="1:6">
      <c r="A32" t="s">
        <v>1109</v>
      </c>
      <c r="B32" t="s">
        <v>3606</v>
      </c>
      <c r="C32" t="s">
        <v>3562</v>
      </c>
      <c r="D32" t="s">
        <v>3563</v>
      </c>
      <c r="E32" t="s">
        <v>3568</v>
      </c>
      <c r="F32" t="s">
        <v>3607</v>
      </c>
    </row>
    <row r="33" spans="1:6">
      <c r="A33" t="s">
        <v>211</v>
      </c>
      <c r="B33" t="s">
        <v>3608</v>
      </c>
      <c r="C33" t="s">
        <v>3582</v>
      </c>
      <c r="D33" t="s">
        <v>3554</v>
      </c>
      <c r="E33" t="s">
        <v>3555</v>
      </c>
      <c r="F33" t="s">
        <v>3565</v>
      </c>
    </row>
    <row r="34" spans="1:6">
      <c r="A34" t="s">
        <v>339</v>
      </c>
      <c r="B34" t="s">
        <v>3609</v>
      </c>
      <c r="C34" t="s">
        <v>3582</v>
      </c>
      <c r="D34" t="s">
        <v>3563</v>
      </c>
      <c r="E34" t="s">
        <v>3573</v>
      </c>
      <c r="F34" t="s">
        <v>3574</v>
      </c>
    </row>
    <row r="35" spans="1:6">
      <c r="A35" t="s">
        <v>677</v>
      </c>
      <c r="B35" t="s">
        <v>3610</v>
      </c>
      <c r="C35" t="s">
        <v>3558</v>
      </c>
      <c r="D35" t="s">
        <v>3563</v>
      </c>
      <c r="E35" t="s">
        <v>3568</v>
      </c>
      <c r="F35" t="s">
        <v>3607</v>
      </c>
    </row>
    <row r="36" spans="1:6">
      <c r="A36" t="s">
        <v>493</v>
      </c>
      <c r="B36" t="s">
        <v>3611</v>
      </c>
      <c r="C36" t="s">
        <v>3562</v>
      </c>
      <c r="D36" t="s">
        <v>3554</v>
      </c>
      <c r="E36" t="s">
        <v>3573</v>
      </c>
      <c r="F36" t="s">
        <v>3590</v>
      </c>
    </row>
    <row r="37" spans="1:6">
      <c r="A37" t="s">
        <v>1876</v>
      </c>
      <c r="B37" t="s">
        <v>3612</v>
      </c>
      <c r="C37" t="s">
        <v>3582</v>
      </c>
      <c r="D37" t="s">
        <v>3563</v>
      </c>
      <c r="E37" t="s">
        <v>3555</v>
      </c>
      <c r="F37" t="s">
        <v>3565</v>
      </c>
    </row>
    <row r="38" spans="1:6">
      <c r="A38" t="s">
        <v>763</v>
      </c>
      <c r="B38" t="s">
        <v>3613</v>
      </c>
      <c r="C38" t="s">
        <v>3558</v>
      </c>
      <c r="D38" t="s">
        <v>3563</v>
      </c>
      <c r="E38" t="s">
        <v>3559</v>
      </c>
      <c r="F38" t="s">
        <v>3595</v>
      </c>
    </row>
    <row r="39" spans="1:6">
      <c r="A39" t="s">
        <v>204</v>
      </c>
      <c r="B39" t="s">
        <v>3614</v>
      </c>
      <c r="C39" t="s">
        <v>3562</v>
      </c>
      <c r="D39" t="s">
        <v>3563</v>
      </c>
      <c r="E39" t="s">
        <v>3555</v>
      </c>
      <c r="F39" t="s">
        <v>3556</v>
      </c>
    </row>
    <row r="40" spans="1:6">
      <c r="A40" t="s">
        <v>789</v>
      </c>
      <c r="B40" t="s">
        <v>3615</v>
      </c>
      <c r="C40" t="s">
        <v>3588</v>
      </c>
      <c r="D40" t="s">
        <v>3584</v>
      </c>
      <c r="E40" t="s">
        <v>3555</v>
      </c>
      <c r="F40" t="s">
        <v>3571</v>
      </c>
    </row>
    <row r="41" spans="1:6">
      <c r="A41" t="s">
        <v>801</v>
      </c>
      <c r="B41" t="s">
        <v>3616</v>
      </c>
      <c r="C41" t="s">
        <v>3553</v>
      </c>
      <c r="D41" t="s">
        <v>3563</v>
      </c>
      <c r="E41" t="s">
        <v>3559</v>
      </c>
      <c r="F41" t="s">
        <v>3560</v>
      </c>
    </row>
    <row r="42" spans="1:6">
      <c r="A42" t="s">
        <v>680</v>
      </c>
      <c r="B42" t="s">
        <v>3617</v>
      </c>
      <c r="C42" t="s">
        <v>3553</v>
      </c>
      <c r="D42" t="s">
        <v>3554</v>
      </c>
      <c r="E42" t="s">
        <v>3555</v>
      </c>
      <c r="F42" t="s">
        <v>3556</v>
      </c>
    </row>
    <row r="43" spans="1:6">
      <c r="A43" t="s">
        <v>1441</v>
      </c>
      <c r="B43" t="s">
        <v>3618</v>
      </c>
      <c r="C43" t="s">
        <v>3558</v>
      </c>
      <c r="D43" t="s">
        <v>3554</v>
      </c>
      <c r="E43" t="s">
        <v>3559</v>
      </c>
      <c r="F43" t="s">
        <v>3560</v>
      </c>
    </row>
    <row r="44" spans="1:6">
      <c r="A44" t="s">
        <v>757</v>
      </c>
      <c r="B44" t="s">
        <v>3619</v>
      </c>
      <c r="C44" t="s">
        <v>3588</v>
      </c>
      <c r="D44" t="s">
        <v>3554</v>
      </c>
      <c r="E44" t="s">
        <v>3559</v>
      </c>
      <c r="F44" t="s">
        <v>3560</v>
      </c>
    </row>
    <row r="45" spans="1:6">
      <c r="A45" t="s">
        <v>633</v>
      </c>
      <c r="B45" t="s">
        <v>3620</v>
      </c>
      <c r="C45" t="s">
        <v>3558</v>
      </c>
      <c r="D45" t="s">
        <v>3584</v>
      </c>
      <c r="E45" t="s">
        <v>3568</v>
      </c>
      <c r="F45" t="s">
        <v>3607</v>
      </c>
    </row>
    <row r="46" spans="1:6">
      <c r="A46" t="s">
        <v>158</v>
      </c>
      <c r="B46" t="s">
        <v>3621</v>
      </c>
      <c r="C46" t="s">
        <v>3582</v>
      </c>
      <c r="D46" t="s">
        <v>3563</v>
      </c>
      <c r="E46" t="s">
        <v>3559</v>
      </c>
      <c r="F46" t="s">
        <v>3560</v>
      </c>
    </row>
    <row r="47" spans="1:6">
      <c r="A47" t="s">
        <v>234</v>
      </c>
      <c r="B47" t="s">
        <v>3622</v>
      </c>
      <c r="C47" t="s">
        <v>3586</v>
      </c>
      <c r="D47" t="s">
        <v>3584</v>
      </c>
      <c r="E47" t="s">
        <v>3573</v>
      </c>
      <c r="F47" t="s">
        <v>3574</v>
      </c>
    </row>
    <row r="48" spans="1:6">
      <c r="A48" t="s">
        <v>1105</v>
      </c>
      <c r="B48" t="s">
        <v>3623</v>
      </c>
      <c r="C48" t="s">
        <v>3558</v>
      </c>
      <c r="D48" t="s">
        <v>3563</v>
      </c>
      <c r="E48" t="s">
        <v>3555</v>
      </c>
      <c r="F48" t="s">
        <v>3571</v>
      </c>
    </row>
    <row r="49" spans="1:6">
      <c r="A49" t="s">
        <v>836</v>
      </c>
      <c r="B49" t="s">
        <v>3624</v>
      </c>
      <c r="C49" t="s">
        <v>3562</v>
      </c>
      <c r="D49" t="s">
        <v>3554</v>
      </c>
      <c r="E49" t="s">
        <v>3555</v>
      </c>
      <c r="F49" t="s">
        <v>3565</v>
      </c>
    </row>
    <row r="50" spans="1:6">
      <c r="A50" t="s">
        <v>1598</v>
      </c>
      <c r="B50" t="s">
        <v>3625</v>
      </c>
      <c r="C50" t="s">
        <v>3553</v>
      </c>
      <c r="D50" t="s">
        <v>3563</v>
      </c>
      <c r="E50" t="s">
        <v>3559</v>
      </c>
      <c r="F50" t="s">
        <v>3560</v>
      </c>
    </row>
    <row r="51" spans="1:6">
      <c r="A51" t="s">
        <v>861</v>
      </c>
      <c r="B51" t="s">
        <v>3626</v>
      </c>
      <c r="C51" t="s">
        <v>3558</v>
      </c>
      <c r="D51" t="s">
        <v>3563</v>
      </c>
      <c r="E51" t="s">
        <v>3555</v>
      </c>
      <c r="F51" t="s">
        <v>3556</v>
      </c>
    </row>
    <row r="52" spans="1:6">
      <c r="A52" t="s">
        <v>1211</v>
      </c>
      <c r="B52" t="s">
        <v>3627</v>
      </c>
      <c r="C52" t="s">
        <v>3553</v>
      </c>
      <c r="D52" t="s">
        <v>3554</v>
      </c>
      <c r="E52" t="s">
        <v>3573</v>
      </c>
      <c r="F52" t="s">
        <v>3574</v>
      </c>
    </row>
    <row r="53" spans="1:6">
      <c r="A53" t="s">
        <v>367</v>
      </c>
      <c r="B53" t="s">
        <v>3628</v>
      </c>
      <c r="C53" t="s">
        <v>3558</v>
      </c>
      <c r="D53" t="s">
        <v>3554</v>
      </c>
      <c r="E53" t="s">
        <v>3568</v>
      </c>
      <c r="F53" t="s">
        <v>3607</v>
      </c>
    </row>
    <row r="54" spans="1:6">
      <c r="A54" t="s">
        <v>241</v>
      </c>
      <c r="B54" t="s">
        <v>3629</v>
      </c>
      <c r="C54" t="s">
        <v>3558</v>
      </c>
      <c r="D54" t="s">
        <v>3554</v>
      </c>
      <c r="E54" t="s">
        <v>3568</v>
      </c>
      <c r="F54" t="s">
        <v>3569</v>
      </c>
    </row>
    <row r="55" spans="1:6">
      <c r="A55" t="s">
        <v>460</v>
      </c>
      <c r="B55" t="s">
        <v>3630</v>
      </c>
      <c r="C55" t="s">
        <v>3553</v>
      </c>
      <c r="D55" t="s">
        <v>3563</v>
      </c>
      <c r="E55" t="s">
        <v>3559</v>
      </c>
      <c r="F55" t="s">
        <v>3593</v>
      </c>
    </row>
    <row r="56" spans="1:6">
      <c r="A56" t="s">
        <v>112</v>
      </c>
      <c r="B56" t="s">
        <v>3631</v>
      </c>
      <c r="C56" t="s">
        <v>3586</v>
      </c>
      <c r="D56" t="s">
        <v>3563</v>
      </c>
      <c r="E56" t="s">
        <v>3573</v>
      </c>
      <c r="F56" t="s">
        <v>3590</v>
      </c>
    </row>
    <row r="57" spans="1:6">
      <c r="A57" t="s">
        <v>933</v>
      </c>
      <c r="B57" t="s">
        <v>3632</v>
      </c>
      <c r="C57" t="s">
        <v>3582</v>
      </c>
      <c r="D57" t="s">
        <v>3554</v>
      </c>
      <c r="E57" t="s">
        <v>3555</v>
      </c>
      <c r="F57" t="s">
        <v>3565</v>
      </c>
    </row>
    <row r="58" spans="1:6">
      <c r="A58" t="s">
        <v>745</v>
      </c>
      <c r="B58" t="s">
        <v>3633</v>
      </c>
      <c r="C58" t="s">
        <v>3553</v>
      </c>
      <c r="D58" t="s">
        <v>3563</v>
      </c>
      <c r="E58" t="s">
        <v>3555</v>
      </c>
      <c r="F58" t="s">
        <v>3571</v>
      </c>
    </row>
    <row r="59" spans="1:6">
      <c r="A59" t="s">
        <v>61</v>
      </c>
      <c r="B59" t="s">
        <v>3634</v>
      </c>
      <c r="C59" t="s">
        <v>3558</v>
      </c>
      <c r="D59" t="s">
        <v>3563</v>
      </c>
      <c r="E59" t="s">
        <v>3555</v>
      </c>
      <c r="F59" t="s">
        <v>3565</v>
      </c>
    </row>
    <row r="60" spans="1:6">
      <c r="A60" t="s">
        <v>842</v>
      </c>
      <c r="B60" t="s">
        <v>3635</v>
      </c>
      <c r="C60" t="s">
        <v>3558</v>
      </c>
      <c r="D60" t="s">
        <v>3563</v>
      </c>
      <c r="E60" t="s">
        <v>3568</v>
      </c>
      <c r="F60" t="s">
        <v>3569</v>
      </c>
    </row>
    <row r="61" spans="1:6">
      <c r="A61" t="s">
        <v>479</v>
      </c>
      <c r="B61" t="s">
        <v>3636</v>
      </c>
      <c r="C61" t="s">
        <v>3558</v>
      </c>
      <c r="D61" t="s">
        <v>3584</v>
      </c>
      <c r="E61" t="s">
        <v>3568</v>
      </c>
      <c r="F61" t="s">
        <v>3600</v>
      </c>
    </row>
    <row r="62" spans="1:6">
      <c r="A62" t="s">
        <v>653</v>
      </c>
      <c r="B62" t="s">
        <v>3637</v>
      </c>
      <c r="C62" t="s">
        <v>3562</v>
      </c>
      <c r="D62" t="s">
        <v>3563</v>
      </c>
      <c r="E62" t="s">
        <v>3568</v>
      </c>
      <c r="F62" t="s">
        <v>3607</v>
      </c>
    </row>
    <row r="63" spans="1:6">
      <c r="A63" t="s">
        <v>325</v>
      </c>
      <c r="B63" t="s">
        <v>3638</v>
      </c>
      <c r="C63" t="s">
        <v>3553</v>
      </c>
      <c r="D63" t="s">
        <v>3584</v>
      </c>
      <c r="E63" t="s">
        <v>3555</v>
      </c>
      <c r="F63" t="s">
        <v>3556</v>
      </c>
    </row>
    <row r="64" spans="1:6">
      <c r="A64" t="s">
        <v>1390</v>
      </c>
      <c r="B64" t="s">
        <v>3639</v>
      </c>
      <c r="C64" t="s">
        <v>3586</v>
      </c>
      <c r="D64" t="s">
        <v>3563</v>
      </c>
      <c r="E64" t="s">
        <v>3559</v>
      </c>
      <c r="F64" t="s">
        <v>3595</v>
      </c>
    </row>
    <row r="65" spans="1:6">
      <c r="A65" t="s">
        <v>520</v>
      </c>
      <c r="B65" t="s">
        <v>3640</v>
      </c>
      <c r="C65" t="s">
        <v>3553</v>
      </c>
      <c r="D65" t="s">
        <v>3563</v>
      </c>
      <c r="E65" t="s">
        <v>3568</v>
      </c>
      <c r="F65" t="s">
        <v>3600</v>
      </c>
    </row>
    <row r="66" spans="1:6">
      <c r="A66" t="s">
        <v>341</v>
      </c>
      <c r="B66" t="s">
        <v>3641</v>
      </c>
      <c r="C66" t="s">
        <v>3588</v>
      </c>
      <c r="D66" t="s">
        <v>3584</v>
      </c>
      <c r="E66" t="s">
        <v>3568</v>
      </c>
      <c r="F66" t="s">
        <v>3569</v>
      </c>
    </row>
    <row r="67" spans="1:6">
      <c r="A67" t="s">
        <v>727</v>
      </c>
      <c r="B67" t="s">
        <v>3642</v>
      </c>
      <c r="C67" t="s">
        <v>3586</v>
      </c>
      <c r="D67" t="s">
        <v>3554</v>
      </c>
      <c r="E67" t="s">
        <v>3573</v>
      </c>
      <c r="F67" t="s">
        <v>3590</v>
      </c>
    </row>
    <row r="68" spans="1:6">
      <c r="A68" t="s">
        <v>431</v>
      </c>
      <c r="B68" t="s">
        <v>3643</v>
      </c>
      <c r="C68" t="s">
        <v>3558</v>
      </c>
      <c r="D68" t="s">
        <v>3563</v>
      </c>
      <c r="E68" t="s">
        <v>3568</v>
      </c>
      <c r="F68" t="s">
        <v>3600</v>
      </c>
    </row>
    <row r="69" spans="1:6">
      <c r="A69" t="s">
        <v>162</v>
      </c>
      <c r="B69" t="s">
        <v>3644</v>
      </c>
      <c r="C69" t="s">
        <v>3562</v>
      </c>
      <c r="D69" t="s">
        <v>3554</v>
      </c>
      <c r="E69" t="s">
        <v>3555</v>
      </c>
      <c r="F69" t="s">
        <v>3556</v>
      </c>
    </row>
    <row r="70" spans="1:6">
      <c r="A70" t="s">
        <v>266</v>
      </c>
      <c r="B70" t="s">
        <v>3645</v>
      </c>
      <c r="C70" t="s">
        <v>3553</v>
      </c>
      <c r="D70" t="s">
        <v>3563</v>
      </c>
      <c r="E70" t="s">
        <v>3573</v>
      </c>
      <c r="F70" t="s">
        <v>3574</v>
      </c>
    </row>
    <row r="71" spans="1:6">
      <c r="A71" t="s">
        <v>420</v>
      </c>
      <c r="B71" t="s">
        <v>3646</v>
      </c>
      <c r="C71" t="s">
        <v>3553</v>
      </c>
      <c r="D71" t="s">
        <v>3584</v>
      </c>
      <c r="E71" t="s">
        <v>3559</v>
      </c>
      <c r="F71" t="s">
        <v>3595</v>
      </c>
    </row>
    <row r="72" spans="1:6">
      <c r="A72" t="s">
        <v>156</v>
      </c>
      <c r="B72" t="s">
        <v>3647</v>
      </c>
      <c r="C72" t="s">
        <v>3553</v>
      </c>
      <c r="D72" t="s">
        <v>3554</v>
      </c>
      <c r="E72" t="s">
        <v>3559</v>
      </c>
      <c r="F72" t="s">
        <v>3560</v>
      </c>
    </row>
    <row r="73" spans="1:6">
      <c r="A73" t="s">
        <v>143</v>
      </c>
      <c r="B73" t="s">
        <v>3648</v>
      </c>
      <c r="C73" t="s">
        <v>3586</v>
      </c>
      <c r="D73" t="s">
        <v>3563</v>
      </c>
      <c r="E73" t="s">
        <v>3559</v>
      </c>
      <c r="F73" t="s">
        <v>3560</v>
      </c>
    </row>
    <row r="74" spans="1:6">
      <c r="A74" t="s">
        <v>471</v>
      </c>
      <c r="B74" t="s">
        <v>3649</v>
      </c>
      <c r="C74" t="s">
        <v>3562</v>
      </c>
      <c r="D74" t="s">
        <v>3554</v>
      </c>
      <c r="E74" t="s">
        <v>3559</v>
      </c>
      <c r="F74" t="s">
        <v>3560</v>
      </c>
    </row>
    <row r="75" spans="1:6">
      <c r="A75" t="s">
        <v>80</v>
      </c>
      <c r="B75" t="s">
        <v>3650</v>
      </c>
      <c r="C75" t="s">
        <v>3586</v>
      </c>
      <c r="D75" t="s">
        <v>3554</v>
      </c>
      <c r="E75" t="s">
        <v>3555</v>
      </c>
      <c r="F75" t="s">
        <v>3565</v>
      </c>
    </row>
    <row r="76" spans="1:6">
      <c r="A76" t="s">
        <v>145</v>
      </c>
      <c r="B76" t="s">
        <v>3651</v>
      </c>
      <c r="C76" t="s">
        <v>3588</v>
      </c>
      <c r="D76" t="s">
        <v>3563</v>
      </c>
      <c r="E76" t="s">
        <v>3573</v>
      </c>
      <c r="F76" t="s">
        <v>3590</v>
      </c>
    </row>
    <row r="77" spans="1:6">
      <c r="A77" t="s">
        <v>1461</v>
      </c>
      <c r="B77" t="s">
        <v>3652</v>
      </c>
      <c r="C77" t="s">
        <v>3558</v>
      </c>
      <c r="D77" t="s">
        <v>3563</v>
      </c>
      <c r="E77" t="s">
        <v>3573</v>
      </c>
      <c r="F77" t="s">
        <v>3577</v>
      </c>
    </row>
    <row r="78" spans="1:6">
      <c r="A78" t="s">
        <v>97</v>
      </c>
      <c r="B78" t="s">
        <v>3653</v>
      </c>
      <c r="C78" t="s">
        <v>3586</v>
      </c>
      <c r="D78" t="s">
        <v>3563</v>
      </c>
      <c r="E78" t="s">
        <v>3573</v>
      </c>
      <c r="F78" t="s">
        <v>3577</v>
      </c>
    </row>
    <row r="79" spans="1:6">
      <c r="A79" t="s">
        <v>453</v>
      </c>
      <c r="B79" t="s">
        <v>3654</v>
      </c>
      <c r="C79" t="s">
        <v>3586</v>
      </c>
      <c r="D79" t="s">
        <v>3554</v>
      </c>
      <c r="E79" t="s">
        <v>3555</v>
      </c>
      <c r="F79" t="s">
        <v>3565</v>
      </c>
    </row>
    <row r="80" spans="1:6">
      <c r="A80" t="s">
        <v>90</v>
      </c>
      <c r="B80" t="s">
        <v>3655</v>
      </c>
      <c r="C80" t="s">
        <v>3553</v>
      </c>
      <c r="D80" t="s">
        <v>3554</v>
      </c>
      <c r="E80" t="s">
        <v>3555</v>
      </c>
      <c r="F80" t="s">
        <v>3565</v>
      </c>
    </row>
    <row r="81" spans="1:6">
      <c r="A81" t="s">
        <v>360</v>
      </c>
      <c r="B81" t="s">
        <v>3656</v>
      </c>
      <c r="C81" t="s">
        <v>3558</v>
      </c>
      <c r="D81" t="s">
        <v>3584</v>
      </c>
      <c r="E81" t="s">
        <v>3573</v>
      </c>
      <c r="F81" t="s">
        <v>3577</v>
      </c>
    </row>
    <row r="82" spans="1:6">
      <c r="A82" t="s">
        <v>206</v>
      </c>
      <c r="B82" t="s">
        <v>3657</v>
      </c>
      <c r="C82" t="s">
        <v>3588</v>
      </c>
      <c r="D82" t="s">
        <v>3563</v>
      </c>
      <c r="E82" t="s">
        <v>3559</v>
      </c>
      <c r="F82" t="s">
        <v>3593</v>
      </c>
    </row>
    <row r="83" spans="1:6">
      <c r="A83" t="s">
        <v>437</v>
      </c>
      <c r="B83" t="s">
        <v>3658</v>
      </c>
      <c r="C83" t="s">
        <v>3562</v>
      </c>
      <c r="D83" t="s">
        <v>3584</v>
      </c>
      <c r="E83" t="s">
        <v>3573</v>
      </c>
      <c r="F83" t="s">
        <v>3590</v>
      </c>
    </row>
    <row r="84" spans="1:6">
      <c r="A84" t="s">
        <v>249</v>
      </c>
      <c r="B84" t="s">
        <v>3659</v>
      </c>
      <c r="C84" t="s">
        <v>3582</v>
      </c>
      <c r="D84" t="s">
        <v>3554</v>
      </c>
      <c r="E84" t="s">
        <v>3555</v>
      </c>
      <c r="F84" t="s">
        <v>3571</v>
      </c>
    </row>
    <row r="85" spans="1:6">
      <c r="A85" t="s">
        <v>2060</v>
      </c>
      <c r="B85" t="s">
        <v>3660</v>
      </c>
      <c r="C85" t="s">
        <v>3558</v>
      </c>
      <c r="D85" t="s">
        <v>3563</v>
      </c>
      <c r="E85" t="s">
        <v>3555</v>
      </c>
      <c r="F85" t="s">
        <v>3556</v>
      </c>
    </row>
    <row r="86" spans="1:6">
      <c r="A86" t="s">
        <v>669</v>
      </c>
      <c r="B86" t="s">
        <v>3661</v>
      </c>
      <c r="C86" t="s">
        <v>3588</v>
      </c>
      <c r="D86" t="s">
        <v>3563</v>
      </c>
      <c r="E86" t="s">
        <v>3559</v>
      </c>
      <c r="F86" t="s">
        <v>3595</v>
      </c>
    </row>
    <row r="87" spans="1:6">
      <c r="A87" t="s">
        <v>135</v>
      </c>
      <c r="B87" t="s">
        <v>3662</v>
      </c>
      <c r="C87" t="s">
        <v>3558</v>
      </c>
      <c r="D87" t="s">
        <v>3554</v>
      </c>
      <c r="E87" t="s">
        <v>3573</v>
      </c>
      <c r="F87" t="s">
        <v>3574</v>
      </c>
    </row>
    <row r="88" spans="1:6">
      <c r="A88" t="s">
        <v>693</v>
      </c>
      <c r="B88" t="s">
        <v>3663</v>
      </c>
      <c r="C88" t="s">
        <v>3588</v>
      </c>
      <c r="D88" t="s">
        <v>3584</v>
      </c>
      <c r="E88" t="s">
        <v>3568</v>
      </c>
      <c r="F88" t="s">
        <v>3600</v>
      </c>
    </row>
    <row r="89" spans="1:6">
      <c r="A89" t="s">
        <v>844</v>
      </c>
      <c r="B89" t="s">
        <v>3664</v>
      </c>
      <c r="C89" t="s">
        <v>3582</v>
      </c>
      <c r="D89" t="s">
        <v>3563</v>
      </c>
      <c r="E89" t="s">
        <v>3555</v>
      </c>
      <c r="F89" t="s">
        <v>3571</v>
      </c>
    </row>
    <row r="90" spans="1:6">
      <c r="A90" t="s">
        <v>225</v>
      </c>
      <c r="B90" t="s">
        <v>3665</v>
      </c>
      <c r="C90" t="s">
        <v>3553</v>
      </c>
      <c r="D90" t="s">
        <v>3563</v>
      </c>
      <c r="E90" t="s">
        <v>3555</v>
      </c>
      <c r="F90" t="s">
        <v>3556</v>
      </c>
    </row>
    <row r="91" spans="1:6">
      <c r="A91" t="s">
        <v>626</v>
      </c>
      <c r="B91" t="s">
        <v>3666</v>
      </c>
      <c r="C91" t="s">
        <v>3558</v>
      </c>
      <c r="D91" t="s">
        <v>3554</v>
      </c>
      <c r="E91" t="s">
        <v>3573</v>
      </c>
      <c r="F91" t="s">
        <v>3590</v>
      </c>
    </row>
    <row r="92" spans="1:6">
      <c r="A92" t="s">
        <v>227</v>
      </c>
      <c r="B92" t="s">
        <v>3667</v>
      </c>
      <c r="C92" t="s">
        <v>3562</v>
      </c>
      <c r="D92" t="s">
        <v>3563</v>
      </c>
      <c r="E92" t="s">
        <v>3568</v>
      </c>
      <c r="F92" t="s">
        <v>3600</v>
      </c>
    </row>
    <row r="93" spans="1:6">
      <c r="A93" t="s">
        <v>406</v>
      </c>
      <c r="B93" t="s">
        <v>3668</v>
      </c>
      <c r="C93" t="s">
        <v>3562</v>
      </c>
      <c r="D93" t="s">
        <v>3563</v>
      </c>
      <c r="E93" t="s">
        <v>3559</v>
      </c>
      <c r="F93" t="s">
        <v>3593</v>
      </c>
    </row>
    <row r="94" spans="1:6">
      <c r="A94" t="s">
        <v>1167</v>
      </c>
      <c r="B94" t="s">
        <v>3669</v>
      </c>
      <c r="C94" t="s">
        <v>3586</v>
      </c>
      <c r="D94" t="s">
        <v>3563</v>
      </c>
      <c r="E94" t="s">
        <v>3559</v>
      </c>
      <c r="F94" t="s">
        <v>3593</v>
      </c>
    </row>
    <row r="95" spans="1:6">
      <c r="A95" t="s">
        <v>1341</v>
      </c>
      <c r="B95" t="s">
        <v>3670</v>
      </c>
      <c r="C95" t="s">
        <v>3553</v>
      </c>
      <c r="D95" t="s">
        <v>3584</v>
      </c>
      <c r="E95" t="s">
        <v>3573</v>
      </c>
      <c r="F95" t="s">
        <v>3577</v>
      </c>
    </row>
    <row r="96" spans="1:6">
      <c r="A96" t="s">
        <v>753</v>
      </c>
      <c r="B96" t="s">
        <v>3671</v>
      </c>
      <c r="C96" t="s">
        <v>3582</v>
      </c>
      <c r="D96" t="s">
        <v>3563</v>
      </c>
      <c r="E96" t="s">
        <v>3559</v>
      </c>
      <c r="F96" t="s">
        <v>3560</v>
      </c>
    </row>
    <row r="97" spans="1:6">
      <c r="A97" t="s">
        <v>389</v>
      </c>
      <c r="B97" t="s">
        <v>3672</v>
      </c>
      <c r="C97" t="s">
        <v>3562</v>
      </c>
      <c r="D97" t="s">
        <v>3554</v>
      </c>
      <c r="E97" t="s">
        <v>3568</v>
      </c>
      <c r="F97" t="s">
        <v>3600</v>
      </c>
    </row>
    <row r="98" spans="1:6">
      <c r="A98" t="s">
        <v>613</v>
      </c>
      <c r="B98" t="s">
        <v>3673</v>
      </c>
      <c r="C98" t="s">
        <v>3558</v>
      </c>
      <c r="D98" t="s">
        <v>3584</v>
      </c>
      <c r="E98" t="s">
        <v>3559</v>
      </c>
      <c r="F98" t="s">
        <v>3595</v>
      </c>
    </row>
    <row r="99" spans="1:6">
      <c r="A99" t="s">
        <v>1287</v>
      </c>
      <c r="B99" t="s">
        <v>3674</v>
      </c>
      <c r="C99" t="s">
        <v>3582</v>
      </c>
      <c r="D99" t="s">
        <v>3584</v>
      </c>
      <c r="E99" t="s">
        <v>3559</v>
      </c>
      <c r="F99" t="s">
        <v>3593</v>
      </c>
    </row>
    <row r="100" spans="1:6">
      <c r="A100" t="s">
        <v>351</v>
      </c>
      <c r="B100" t="s">
        <v>3675</v>
      </c>
      <c r="C100" t="s">
        <v>3588</v>
      </c>
      <c r="D100" t="s">
        <v>3563</v>
      </c>
      <c r="E100" t="s">
        <v>3559</v>
      </c>
      <c r="F100" t="s">
        <v>3560</v>
      </c>
    </row>
    <row r="101" spans="1:6">
      <c r="A101" t="s">
        <v>318</v>
      </c>
      <c r="B101" t="s">
        <v>3676</v>
      </c>
      <c r="C101" t="s">
        <v>3586</v>
      </c>
      <c r="D101" t="s">
        <v>3584</v>
      </c>
      <c r="E101" t="s">
        <v>3555</v>
      </c>
      <c r="F101" t="s">
        <v>3571</v>
      </c>
    </row>
    <row r="102" spans="1:6">
      <c r="A102" t="s">
        <v>333</v>
      </c>
      <c r="B102" t="s">
        <v>3677</v>
      </c>
      <c r="C102" t="s">
        <v>3558</v>
      </c>
      <c r="D102" t="s">
        <v>3554</v>
      </c>
      <c r="E102" t="s">
        <v>3559</v>
      </c>
      <c r="F102" t="s">
        <v>3593</v>
      </c>
    </row>
    <row r="103" spans="1:6">
      <c r="A103" t="s">
        <v>644</v>
      </c>
      <c r="B103" t="s">
        <v>3678</v>
      </c>
      <c r="C103" t="s">
        <v>3588</v>
      </c>
      <c r="D103" t="s">
        <v>3554</v>
      </c>
      <c r="E103" t="s">
        <v>3573</v>
      </c>
      <c r="F103" t="s">
        <v>3577</v>
      </c>
    </row>
    <row r="104" spans="1:6">
      <c r="A104" t="s">
        <v>320</v>
      </c>
      <c r="B104" t="s">
        <v>3679</v>
      </c>
      <c r="C104" t="s">
        <v>3553</v>
      </c>
      <c r="D104" t="s">
        <v>3554</v>
      </c>
      <c r="E104" t="s">
        <v>3559</v>
      </c>
      <c r="F104" t="s">
        <v>3593</v>
      </c>
    </row>
    <row r="105" spans="1:6">
      <c r="A105" t="s">
        <v>468</v>
      </c>
      <c r="B105" t="s">
        <v>3680</v>
      </c>
      <c r="C105" t="s">
        <v>3588</v>
      </c>
      <c r="D105" t="s">
        <v>3584</v>
      </c>
      <c r="E105" t="s">
        <v>3573</v>
      </c>
      <c r="F105" t="s">
        <v>3574</v>
      </c>
    </row>
    <row r="106" spans="1:6">
      <c r="A106" t="s">
        <v>723</v>
      </c>
      <c r="B106" t="s">
        <v>3681</v>
      </c>
      <c r="C106" t="s">
        <v>3582</v>
      </c>
      <c r="D106" t="s">
        <v>3554</v>
      </c>
      <c r="E106" t="s">
        <v>3573</v>
      </c>
      <c r="F106" t="s">
        <v>3590</v>
      </c>
    </row>
    <row r="107" spans="1:6">
      <c r="A107" t="s">
        <v>517</v>
      </c>
      <c r="B107" t="s">
        <v>3682</v>
      </c>
      <c r="C107" t="s">
        <v>3553</v>
      </c>
      <c r="D107" t="s">
        <v>3563</v>
      </c>
      <c r="E107" t="s">
        <v>3573</v>
      </c>
      <c r="F107" t="s">
        <v>3574</v>
      </c>
    </row>
    <row r="108" spans="1:6">
      <c r="A108" t="s">
        <v>353</v>
      </c>
      <c r="B108" t="s">
        <v>3683</v>
      </c>
      <c r="C108" t="s">
        <v>3562</v>
      </c>
      <c r="D108" t="s">
        <v>3584</v>
      </c>
      <c r="E108" t="s">
        <v>3559</v>
      </c>
      <c r="F108" t="s">
        <v>3593</v>
      </c>
    </row>
    <row r="109" spans="1:6">
      <c r="A109" t="s">
        <v>116</v>
      </c>
      <c r="B109" t="s">
        <v>3684</v>
      </c>
      <c r="C109" t="s">
        <v>3553</v>
      </c>
      <c r="D109" t="s">
        <v>3554</v>
      </c>
      <c r="E109" t="s">
        <v>3555</v>
      </c>
      <c r="F109" t="s">
        <v>3571</v>
      </c>
    </row>
    <row r="110" spans="1:6">
      <c r="A110" t="s">
        <v>443</v>
      </c>
      <c r="B110" t="s">
        <v>3685</v>
      </c>
      <c r="C110" t="s">
        <v>3586</v>
      </c>
      <c r="D110" t="s">
        <v>3554</v>
      </c>
      <c r="E110" t="s">
        <v>3573</v>
      </c>
      <c r="F110" t="s">
        <v>3590</v>
      </c>
    </row>
    <row r="111" spans="1:6">
      <c r="A111" t="s">
        <v>1255</v>
      </c>
      <c r="B111" t="s">
        <v>3686</v>
      </c>
      <c r="C111" t="s">
        <v>3586</v>
      </c>
      <c r="D111" t="s">
        <v>3584</v>
      </c>
      <c r="E111" t="s">
        <v>3555</v>
      </c>
      <c r="F111" t="s">
        <v>3556</v>
      </c>
    </row>
    <row r="112" spans="1:6">
      <c r="A112" t="s">
        <v>335</v>
      </c>
      <c r="B112" t="s">
        <v>3687</v>
      </c>
      <c r="C112" t="s">
        <v>3553</v>
      </c>
      <c r="D112" t="s">
        <v>3554</v>
      </c>
      <c r="E112" t="s">
        <v>3573</v>
      </c>
      <c r="F112" t="s">
        <v>3577</v>
      </c>
    </row>
    <row r="113" spans="1:6">
      <c r="A113" t="s">
        <v>74</v>
      </c>
      <c r="B113" t="s">
        <v>3688</v>
      </c>
      <c r="C113" t="s">
        <v>3588</v>
      </c>
      <c r="D113" t="s">
        <v>3563</v>
      </c>
      <c r="E113" t="s">
        <v>3559</v>
      </c>
      <c r="F113" t="s">
        <v>3560</v>
      </c>
    </row>
    <row r="114" spans="1:6">
      <c r="A114" t="s">
        <v>1033</v>
      </c>
      <c r="B114" t="s">
        <v>3689</v>
      </c>
      <c r="C114" t="s">
        <v>3562</v>
      </c>
      <c r="D114" t="s">
        <v>3563</v>
      </c>
      <c r="E114" t="s">
        <v>3573</v>
      </c>
      <c r="F114" t="s">
        <v>3577</v>
      </c>
    </row>
    <row r="115" spans="1:6">
      <c r="A115" t="s">
        <v>2156</v>
      </c>
      <c r="B115" t="s">
        <v>3690</v>
      </c>
      <c r="C115" t="s">
        <v>3562</v>
      </c>
      <c r="D115" t="s">
        <v>3563</v>
      </c>
      <c r="E115" t="s">
        <v>3573</v>
      </c>
      <c r="F115" t="s">
        <v>3574</v>
      </c>
    </row>
    <row r="116" spans="1:6">
      <c r="A116" t="s">
        <v>69</v>
      </c>
      <c r="B116" t="s">
        <v>3691</v>
      </c>
      <c r="C116" t="s">
        <v>3586</v>
      </c>
      <c r="D116" t="s">
        <v>3554</v>
      </c>
      <c r="E116" t="s">
        <v>3573</v>
      </c>
      <c r="F116" t="s">
        <v>3590</v>
      </c>
    </row>
    <row r="117" spans="1:6">
      <c r="A117" t="s">
        <v>466</v>
      </c>
      <c r="B117" t="s">
        <v>3692</v>
      </c>
      <c r="C117" t="s">
        <v>3558</v>
      </c>
      <c r="D117" t="s">
        <v>3563</v>
      </c>
      <c r="E117" t="s">
        <v>3559</v>
      </c>
      <c r="F117" t="s">
        <v>3593</v>
      </c>
    </row>
    <row r="118" spans="1:6">
      <c r="A118" t="s">
        <v>2526</v>
      </c>
      <c r="B118" t="s">
        <v>3693</v>
      </c>
      <c r="C118" t="s">
        <v>3562</v>
      </c>
      <c r="D118" t="s">
        <v>3554</v>
      </c>
      <c r="E118" t="s">
        <v>3559</v>
      </c>
      <c r="F118" t="s">
        <v>3593</v>
      </c>
    </row>
    <row r="119" spans="1:6">
      <c r="A119" t="s">
        <v>907</v>
      </c>
      <c r="B119" t="s">
        <v>3694</v>
      </c>
      <c r="C119" t="s">
        <v>3588</v>
      </c>
      <c r="D119" t="s">
        <v>3563</v>
      </c>
      <c r="E119" t="s">
        <v>3555</v>
      </c>
      <c r="F119" t="s">
        <v>3571</v>
      </c>
    </row>
    <row r="120" spans="1:6">
      <c r="A120" t="s">
        <v>300</v>
      </c>
      <c r="B120" t="s">
        <v>3695</v>
      </c>
      <c r="C120" t="s">
        <v>3586</v>
      </c>
      <c r="D120" t="s">
        <v>3563</v>
      </c>
      <c r="E120" t="s">
        <v>3573</v>
      </c>
      <c r="F120" t="s">
        <v>3590</v>
      </c>
    </row>
    <row r="121" spans="1:6">
      <c r="A121" t="s">
        <v>1639</v>
      </c>
      <c r="B121" t="s">
        <v>3696</v>
      </c>
      <c r="C121" t="s">
        <v>3562</v>
      </c>
      <c r="D121" t="s">
        <v>3563</v>
      </c>
      <c r="E121" t="s">
        <v>3559</v>
      </c>
      <c r="F121" t="s">
        <v>3560</v>
      </c>
    </row>
    <row r="122" spans="1:6">
      <c r="A122" t="s">
        <v>1194</v>
      </c>
      <c r="B122" t="s">
        <v>3697</v>
      </c>
      <c r="C122" t="s">
        <v>3582</v>
      </c>
      <c r="D122" t="s">
        <v>3563</v>
      </c>
      <c r="E122" t="s">
        <v>3559</v>
      </c>
      <c r="F122" t="s">
        <v>3560</v>
      </c>
    </row>
    <row r="123" spans="1:6">
      <c r="A123" t="s">
        <v>739</v>
      </c>
      <c r="B123" t="s">
        <v>3698</v>
      </c>
      <c r="C123" t="s">
        <v>3553</v>
      </c>
      <c r="D123" t="s">
        <v>3554</v>
      </c>
      <c r="E123" t="s">
        <v>3573</v>
      </c>
      <c r="F123" t="s">
        <v>3577</v>
      </c>
    </row>
    <row r="124" spans="1:6">
      <c r="A124" t="s">
        <v>133</v>
      </c>
      <c r="B124" t="s">
        <v>3699</v>
      </c>
      <c r="C124" t="s">
        <v>3558</v>
      </c>
      <c r="D124" t="s">
        <v>3554</v>
      </c>
      <c r="E124" t="s">
        <v>3573</v>
      </c>
      <c r="F124" t="s">
        <v>3577</v>
      </c>
    </row>
    <row r="125" spans="1:6">
      <c r="A125" t="s">
        <v>2025</v>
      </c>
      <c r="B125" t="s">
        <v>3700</v>
      </c>
      <c r="C125" t="s">
        <v>3553</v>
      </c>
      <c r="D125" t="s">
        <v>3563</v>
      </c>
      <c r="E125" t="s">
        <v>3555</v>
      </c>
      <c r="F125" t="s">
        <v>3571</v>
      </c>
    </row>
    <row r="126" spans="1:6">
      <c r="A126" t="s">
        <v>1884</v>
      </c>
      <c r="B126" t="s">
        <v>3701</v>
      </c>
      <c r="C126" t="s">
        <v>3586</v>
      </c>
      <c r="D126" t="s">
        <v>3563</v>
      </c>
      <c r="E126" t="s">
        <v>3555</v>
      </c>
      <c r="F126" t="s">
        <v>3565</v>
      </c>
    </row>
    <row r="127" spans="1:6">
      <c r="A127" t="s">
        <v>191</v>
      </c>
      <c r="B127" t="s">
        <v>3702</v>
      </c>
      <c r="C127" t="s">
        <v>3582</v>
      </c>
      <c r="D127" t="s">
        <v>3554</v>
      </c>
      <c r="E127" t="s">
        <v>3559</v>
      </c>
      <c r="F127" t="s">
        <v>3593</v>
      </c>
    </row>
    <row r="128" spans="1:6">
      <c r="A128" t="s">
        <v>2656</v>
      </c>
      <c r="B128" t="s">
        <v>3703</v>
      </c>
      <c r="C128" t="s">
        <v>3558</v>
      </c>
      <c r="D128" t="s">
        <v>3563</v>
      </c>
      <c r="E128" t="s">
        <v>3568</v>
      </c>
      <c r="F128" t="s">
        <v>3607</v>
      </c>
    </row>
    <row r="129" spans="1:6">
      <c r="A129" t="s">
        <v>935</v>
      </c>
      <c r="B129" t="s">
        <v>3704</v>
      </c>
      <c r="C129" t="s">
        <v>3553</v>
      </c>
      <c r="D129" t="s">
        <v>3554</v>
      </c>
      <c r="E129" t="s">
        <v>3555</v>
      </c>
      <c r="F129" t="s">
        <v>3556</v>
      </c>
    </row>
    <row r="130" spans="1:6">
      <c r="A130" t="s">
        <v>940</v>
      </c>
      <c r="B130" t="s">
        <v>3705</v>
      </c>
      <c r="C130" t="s">
        <v>3582</v>
      </c>
      <c r="D130" t="s">
        <v>3554</v>
      </c>
      <c r="E130" t="s">
        <v>3559</v>
      </c>
      <c r="F130" t="s">
        <v>3595</v>
      </c>
    </row>
    <row r="131" spans="1:6">
      <c r="A131" t="s">
        <v>823</v>
      </c>
      <c r="B131" t="s">
        <v>3706</v>
      </c>
      <c r="C131" t="s">
        <v>3553</v>
      </c>
      <c r="D131" t="s">
        <v>3563</v>
      </c>
      <c r="E131" t="s">
        <v>3559</v>
      </c>
      <c r="F131" t="s">
        <v>3593</v>
      </c>
    </row>
    <row r="132" spans="1:6">
      <c r="A132" t="s">
        <v>1386</v>
      </c>
      <c r="B132" t="s">
        <v>3707</v>
      </c>
      <c r="C132" t="s">
        <v>3586</v>
      </c>
      <c r="D132" t="s">
        <v>3554</v>
      </c>
      <c r="E132" t="s">
        <v>3573</v>
      </c>
      <c r="F132" t="s">
        <v>3590</v>
      </c>
    </row>
    <row r="133" spans="1:6">
      <c r="A133" t="s">
        <v>759</v>
      </c>
      <c r="B133" t="s">
        <v>3708</v>
      </c>
      <c r="C133" t="s">
        <v>3562</v>
      </c>
      <c r="D133" t="s">
        <v>3563</v>
      </c>
      <c r="E133" t="s">
        <v>3568</v>
      </c>
      <c r="F133" t="s">
        <v>3600</v>
      </c>
    </row>
    <row r="134" spans="1:6">
      <c r="A134" t="s">
        <v>1080</v>
      </c>
      <c r="B134" t="s">
        <v>3709</v>
      </c>
      <c r="C134" t="s">
        <v>3586</v>
      </c>
      <c r="D134" t="s">
        <v>3563</v>
      </c>
      <c r="E134" t="s">
        <v>3568</v>
      </c>
      <c r="F134" t="s">
        <v>3600</v>
      </c>
    </row>
    <row r="135" spans="1:6">
      <c r="A135" t="s">
        <v>567</v>
      </c>
      <c r="B135" t="s">
        <v>3710</v>
      </c>
      <c r="C135" t="s">
        <v>3562</v>
      </c>
      <c r="D135" t="s">
        <v>3563</v>
      </c>
      <c r="E135" t="s">
        <v>3573</v>
      </c>
      <c r="F135" t="s">
        <v>3577</v>
      </c>
    </row>
    <row r="136" spans="1:6">
      <c r="A136" t="s">
        <v>1686</v>
      </c>
      <c r="B136" t="s">
        <v>3711</v>
      </c>
      <c r="C136" t="s">
        <v>3586</v>
      </c>
      <c r="D136" t="s">
        <v>3563</v>
      </c>
      <c r="E136" t="s">
        <v>3573</v>
      </c>
      <c r="F136" t="s">
        <v>3574</v>
      </c>
    </row>
    <row r="137" spans="1:6">
      <c r="A137" t="s">
        <v>1571</v>
      </c>
      <c r="B137" t="s">
        <v>3712</v>
      </c>
      <c r="C137" t="s">
        <v>3588</v>
      </c>
      <c r="D137" t="s">
        <v>3563</v>
      </c>
      <c r="E137" t="s">
        <v>3559</v>
      </c>
      <c r="F137" t="s">
        <v>3560</v>
      </c>
    </row>
    <row r="138" spans="1:6">
      <c r="A138" t="s">
        <v>396</v>
      </c>
      <c r="B138" t="s">
        <v>3713</v>
      </c>
      <c r="C138" t="s">
        <v>3558</v>
      </c>
      <c r="D138" t="s">
        <v>3563</v>
      </c>
      <c r="E138" t="s">
        <v>3555</v>
      </c>
      <c r="F138" t="s">
        <v>3571</v>
      </c>
    </row>
    <row r="139" spans="1:6">
      <c r="A139" t="s">
        <v>110</v>
      </c>
      <c r="B139" t="s">
        <v>3714</v>
      </c>
      <c r="C139" t="s">
        <v>3582</v>
      </c>
      <c r="D139" t="s">
        <v>3563</v>
      </c>
      <c r="E139" t="s">
        <v>3559</v>
      </c>
      <c r="F139" t="s">
        <v>3593</v>
      </c>
    </row>
    <row r="140" spans="1:6">
      <c r="A140" t="s">
        <v>834</v>
      </c>
      <c r="B140" t="s">
        <v>3715</v>
      </c>
      <c r="C140" t="s">
        <v>3588</v>
      </c>
      <c r="D140" t="s">
        <v>3554</v>
      </c>
      <c r="E140" t="s">
        <v>3568</v>
      </c>
      <c r="F140" t="s">
        <v>3569</v>
      </c>
    </row>
    <row r="141" spans="1:6">
      <c r="A141" t="s">
        <v>181</v>
      </c>
      <c r="B141" t="s">
        <v>3716</v>
      </c>
      <c r="C141" t="s">
        <v>3558</v>
      </c>
      <c r="D141" t="s">
        <v>3554</v>
      </c>
      <c r="E141" t="s">
        <v>3555</v>
      </c>
      <c r="F141" t="s">
        <v>3571</v>
      </c>
    </row>
    <row r="142" spans="1:6">
      <c r="A142" t="s">
        <v>1916</v>
      </c>
      <c r="B142" t="s">
        <v>3717</v>
      </c>
      <c r="C142" t="s">
        <v>3562</v>
      </c>
      <c r="D142" t="s">
        <v>3563</v>
      </c>
      <c r="E142" t="s">
        <v>3555</v>
      </c>
      <c r="F142" t="s">
        <v>3556</v>
      </c>
    </row>
    <row r="143" spans="1:6">
      <c r="A143" t="s">
        <v>920</v>
      </c>
      <c r="B143" t="s">
        <v>3718</v>
      </c>
      <c r="C143" t="s">
        <v>3588</v>
      </c>
      <c r="D143" t="s">
        <v>3554</v>
      </c>
      <c r="E143" t="s">
        <v>3573</v>
      </c>
      <c r="F143" t="s">
        <v>3574</v>
      </c>
    </row>
    <row r="144" spans="1:6">
      <c r="A144" t="s">
        <v>1280</v>
      </c>
      <c r="B144" t="s">
        <v>3719</v>
      </c>
      <c r="C144" t="s">
        <v>3586</v>
      </c>
      <c r="D144" t="s">
        <v>3563</v>
      </c>
      <c r="E144" t="s">
        <v>3559</v>
      </c>
      <c r="F144" t="s">
        <v>3593</v>
      </c>
    </row>
    <row r="145" spans="1:6">
      <c r="A145" t="s">
        <v>483</v>
      </c>
      <c r="B145" t="s">
        <v>3720</v>
      </c>
      <c r="C145" t="s">
        <v>3553</v>
      </c>
      <c r="D145" t="s">
        <v>3563</v>
      </c>
      <c r="E145" t="s">
        <v>3568</v>
      </c>
      <c r="F145" t="s">
        <v>3607</v>
      </c>
    </row>
    <row r="146" spans="1:6">
      <c r="A146" t="s">
        <v>1475</v>
      </c>
      <c r="B146" t="s">
        <v>3721</v>
      </c>
      <c r="C146" t="s">
        <v>3582</v>
      </c>
      <c r="D146" t="s">
        <v>3563</v>
      </c>
      <c r="E146" t="s">
        <v>3568</v>
      </c>
      <c r="F146" t="s">
        <v>3569</v>
      </c>
    </row>
    <row r="147" spans="1:6">
      <c r="A147" t="s">
        <v>410</v>
      </c>
      <c r="B147" t="s">
        <v>3722</v>
      </c>
      <c r="C147" t="s">
        <v>3562</v>
      </c>
      <c r="D147" t="s">
        <v>3554</v>
      </c>
      <c r="E147" t="s">
        <v>3559</v>
      </c>
      <c r="F147" t="s">
        <v>3593</v>
      </c>
    </row>
    <row r="148" spans="1:6">
      <c r="A148" t="s">
        <v>769</v>
      </c>
      <c r="B148" t="s">
        <v>3723</v>
      </c>
      <c r="C148" t="s">
        <v>3553</v>
      </c>
      <c r="D148" t="s">
        <v>3554</v>
      </c>
      <c r="E148" t="s">
        <v>3555</v>
      </c>
      <c r="F148" t="s">
        <v>3556</v>
      </c>
    </row>
    <row r="149" spans="1:6">
      <c r="A149" t="s">
        <v>414</v>
      </c>
      <c r="B149" t="s">
        <v>3724</v>
      </c>
      <c r="C149" t="s">
        <v>3558</v>
      </c>
      <c r="D149" t="s">
        <v>3563</v>
      </c>
      <c r="E149" t="s">
        <v>3568</v>
      </c>
      <c r="F149" t="s">
        <v>3569</v>
      </c>
    </row>
    <row r="150" spans="1:6">
      <c r="A150" t="s">
        <v>578</v>
      </c>
      <c r="B150" t="s">
        <v>3725</v>
      </c>
      <c r="C150" t="s">
        <v>3558</v>
      </c>
      <c r="D150" t="s">
        <v>3563</v>
      </c>
      <c r="E150" t="s">
        <v>3573</v>
      </c>
      <c r="F150" t="s">
        <v>3574</v>
      </c>
    </row>
    <row r="151" spans="1:6">
      <c r="A151" t="s">
        <v>114</v>
      </c>
      <c r="B151" t="s">
        <v>3726</v>
      </c>
      <c r="C151" t="s">
        <v>3588</v>
      </c>
      <c r="D151" t="s">
        <v>3554</v>
      </c>
      <c r="E151" t="s">
        <v>3568</v>
      </c>
      <c r="F151" t="s">
        <v>3569</v>
      </c>
    </row>
    <row r="152" spans="1:6">
      <c r="A152" t="s">
        <v>1289</v>
      </c>
      <c r="B152" t="s">
        <v>3727</v>
      </c>
      <c r="C152" t="s">
        <v>3553</v>
      </c>
      <c r="D152" t="s">
        <v>3563</v>
      </c>
      <c r="E152" t="s">
        <v>3573</v>
      </c>
      <c r="F152" t="s">
        <v>3590</v>
      </c>
    </row>
    <row r="153" spans="1:6">
      <c r="A153" t="s">
        <v>997</v>
      </c>
      <c r="B153" t="s">
        <v>3728</v>
      </c>
      <c r="C153" t="s">
        <v>3588</v>
      </c>
      <c r="D153" t="s">
        <v>3563</v>
      </c>
      <c r="E153" t="s">
        <v>3555</v>
      </c>
      <c r="F153" t="s">
        <v>3556</v>
      </c>
    </row>
    <row r="154" spans="1:6">
      <c r="A154" t="s">
        <v>1511</v>
      </c>
      <c r="B154" t="s">
        <v>3729</v>
      </c>
      <c r="C154" t="s">
        <v>3553</v>
      </c>
      <c r="D154" t="s">
        <v>3584</v>
      </c>
      <c r="E154" t="s">
        <v>3555</v>
      </c>
      <c r="F154" t="s">
        <v>3556</v>
      </c>
    </row>
    <row r="155" spans="1:6">
      <c r="A155" t="s">
        <v>1559</v>
      </c>
      <c r="B155" t="s">
        <v>3730</v>
      </c>
      <c r="C155" t="s">
        <v>3562</v>
      </c>
      <c r="D155" t="s">
        <v>3563</v>
      </c>
      <c r="E155" t="s">
        <v>3555</v>
      </c>
      <c r="F155" t="s">
        <v>3556</v>
      </c>
    </row>
    <row r="156" spans="1:6">
      <c r="A156" t="s">
        <v>55</v>
      </c>
      <c r="B156" t="s">
        <v>3731</v>
      </c>
      <c r="C156" t="s">
        <v>3582</v>
      </c>
      <c r="D156" t="s">
        <v>3563</v>
      </c>
      <c r="E156" t="s">
        <v>3568</v>
      </c>
      <c r="F156" t="s">
        <v>3600</v>
      </c>
    </row>
    <row r="157" spans="1:6">
      <c r="A157" t="s">
        <v>509</v>
      </c>
      <c r="B157" t="s">
        <v>3732</v>
      </c>
      <c r="C157" t="s">
        <v>3582</v>
      </c>
      <c r="D157" t="s">
        <v>3563</v>
      </c>
      <c r="E157" t="s">
        <v>3568</v>
      </c>
      <c r="F157" t="s">
        <v>3569</v>
      </c>
    </row>
    <row r="158" spans="1:6">
      <c r="A158" t="s">
        <v>1568</v>
      </c>
      <c r="B158" t="s">
        <v>3733</v>
      </c>
      <c r="C158" t="s">
        <v>3562</v>
      </c>
      <c r="D158" t="s">
        <v>3554</v>
      </c>
      <c r="E158" t="s">
        <v>3559</v>
      </c>
      <c r="F158" t="s">
        <v>3560</v>
      </c>
    </row>
    <row r="159" spans="1:6">
      <c r="A159" t="s">
        <v>183</v>
      </c>
      <c r="B159" t="s">
        <v>3734</v>
      </c>
      <c r="C159" t="s">
        <v>3558</v>
      </c>
      <c r="D159" t="s">
        <v>3584</v>
      </c>
      <c r="E159" t="s">
        <v>3555</v>
      </c>
      <c r="F159" t="s">
        <v>3556</v>
      </c>
    </row>
    <row r="160" spans="1:6">
      <c r="A160" t="s">
        <v>196</v>
      </c>
      <c r="B160" t="s">
        <v>3735</v>
      </c>
      <c r="C160" t="s">
        <v>3588</v>
      </c>
      <c r="D160" t="s">
        <v>3554</v>
      </c>
      <c r="E160" t="s">
        <v>3555</v>
      </c>
      <c r="F160" t="s">
        <v>3571</v>
      </c>
    </row>
    <row r="161" spans="1:6">
      <c r="A161" t="s">
        <v>1983</v>
      </c>
      <c r="B161" t="s">
        <v>3736</v>
      </c>
      <c r="C161" t="s">
        <v>3582</v>
      </c>
      <c r="D161" t="s">
        <v>3563</v>
      </c>
      <c r="E161" t="s">
        <v>3568</v>
      </c>
      <c r="F161" t="s">
        <v>3607</v>
      </c>
    </row>
    <row r="162" spans="1:6">
      <c r="A162" t="s">
        <v>131</v>
      </c>
      <c r="B162" t="s">
        <v>3737</v>
      </c>
      <c r="C162" t="s">
        <v>3553</v>
      </c>
      <c r="D162" t="s">
        <v>3554</v>
      </c>
      <c r="E162" t="s">
        <v>3559</v>
      </c>
      <c r="F162" t="s">
        <v>3593</v>
      </c>
    </row>
    <row r="163" spans="1:6">
      <c r="A163" t="s">
        <v>905</v>
      </c>
      <c r="B163" t="s">
        <v>3738</v>
      </c>
      <c r="C163" t="s">
        <v>3562</v>
      </c>
      <c r="D163" t="s">
        <v>3554</v>
      </c>
      <c r="E163" t="s">
        <v>3555</v>
      </c>
      <c r="F163" t="s">
        <v>3571</v>
      </c>
    </row>
    <row r="164" spans="1:6">
      <c r="A164" t="s">
        <v>505</v>
      </c>
      <c r="B164" t="s">
        <v>3739</v>
      </c>
      <c r="C164" t="s">
        <v>3582</v>
      </c>
      <c r="D164" t="s">
        <v>3563</v>
      </c>
      <c r="E164" t="s">
        <v>3568</v>
      </c>
      <c r="F164" t="s">
        <v>3607</v>
      </c>
    </row>
    <row r="165" spans="1:6">
      <c r="A165" t="s">
        <v>174</v>
      </c>
      <c r="B165" t="s">
        <v>3740</v>
      </c>
      <c r="C165" t="s">
        <v>3553</v>
      </c>
      <c r="D165" t="s">
        <v>3554</v>
      </c>
      <c r="E165" t="s">
        <v>3573</v>
      </c>
      <c r="F165" t="s">
        <v>3574</v>
      </c>
    </row>
    <row r="166" spans="1:6">
      <c r="A166" t="s">
        <v>1318</v>
      </c>
      <c r="B166" t="s">
        <v>3741</v>
      </c>
      <c r="C166" t="s">
        <v>3586</v>
      </c>
      <c r="D166" t="s">
        <v>3584</v>
      </c>
      <c r="E166" t="s">
        <v>3555</v>
      </c>
      <c r="F166" t="s">
        <v>3565</v>
      </c>
    </row>
    <row r="167" spans="1:6">
      <c r="A167" t="s">
        <v>1821</v>
      </c>
      <c r="B167" t="s">
        <v>3742</v>
      </c>
      <c r="C167" t="s">
        <v>3582</v>
      </c>
      <c r="D167" t="s">
        <v>3563</v>
      </c>
      <c r="E167" t="s">
        <v>3568</v>
      </c>
      <c r="F167" t="s">
        <v>3600</v>
      </c>
    </row>
    <row r="168" spans="1:6">
      <c r="A168" t="s">
        <v>439</v>
      </c>
      <c r="B168" t="s">
        <v>3743</v>
      </c>
      <c r="C168" t="s">
        <v>3562</v>
      </c>
      <c r="D168" t="s">
        <v>3554</v>
      </c>
      <c r="E168" t="s">
        <v>3573</v>
      </c>
      <c r="F168" t="s">
        <v>3590</v>
      </c>
    </row>
    <row r="169" spans="1:6">
      <c r="A169" t="s">
        <v>553</v>
      </c>
      <c r="B169" t="s">
        <v>3744</v>
      </c>
      <c r="C169" t="s">
        <v>3586</v>
      </c>
      <c r="D169" t="s">
        <v>3563</v>
      </c>
      <c r="E169" t="s">
        <v>3568</v>
      </c>
      <c r="F169" t="s">
        <v>3607</v>
      </c>
    </row>
    <row r="170" spans="1:6">
      <c r="A170" t="s">
        <v>1615</v>
      </c>
      <c r="B170" t="s">
        <v>3745</v>
      </c>
      <c r="C170" t="s">
        <v>3588</v>
      </c>
      <c r="D170" t="s">
        <v>3584</v>
      </c>
      <c r="E170" t="s">
        <v>3573</v>
      </c>
      <c r="F170" t="s">
        <v>3577</v>
      </c>
    </row>
    <row r="171" spans="1:6">
      <c r="A171" t="s">
        <v>279</v>
      </c>
      <c r="B171" t="s">
        <v>3746</v>
      </c>
      <c r="C171" t="s">
        <v>3586</v>
      </c>
      <c r="D171" t="s">
        <v>3563</v>
      </c>
      <c r="E171" t="s">
        <v>3573</v>
      </c>
      <c r="F171" t="s">
        <v>3574</v>
      </c>
    </row>
    <row r="172" spans="1:6">
      <c r="A172" t="s">
        <v>773</v>
      </c>
      <c r="B172" t="s">
        <v>3747</v>
      </c>
      <c r="C172" t="s">
        <v>3588</v>
      </c>
      <c r="D172" t="s">
        <v>3563</v>
      </c>
      <c r="E172" t="s">
        <v>3568</v>
      </c>
      <c r="F172" t="s">
        <v>3569</v>
      </c>
    </row>
    <row r="173" spans="1:6">
      <c r="A173" t="s">
        <v>1127</v>
      </c>
      <c r="B173" t="s">
        <v>3748</v>
      </c>
      <c r="C173" t="s">
        <v>3586</v>
      </c>
      <c r="D173" t="s">
        <v>3563</v>
      </c>
      <c r="E173" t="s">
        <v>3559</v>
      </c>
      <c r="F173" t="s">
        <v>3593</v>
      </c>
    </row>
    <row r="174" spans="1:6">
      <c r="A174" t="s">
        <v>1517</v>
      </c>
      <c r="B174" t="s">
        <v>3749</v>
      </c>
      <c r="C174" t="s">
        <v>3588</v>
      </c>
      <c r="D174" t="s">
        <v>3584</v>
      </c>
      <c r="E174" t="s">
        <v>3573</v>
      </c>
      <c r="F174" t="s">
        <v>3590</v>
      </c>
    </row>
    <row r="175" spans="1:6">
      <c r="A175" t="s">
        <v>611</v>
      </c>
      <c r="B175" t="s">
        <v>3750</v>
      </c>
      <c r="C175" t="s">
        <v>3562</v>
      </c>
      <c r="D175" t="s">
        <v>3563</v>
      </c>
      <c r="E175" t="s">
        <v>3573</v>
      </c>
      <c r="F175" t="s">
        <v>3577</v>
      </c>
    </row>
    <row r="176" spans="1:6">
      <c r="A176" t="s">
        <v>914</v>
      </c>
      <c r="B176" t="s">
        <v>3751</v>
      </c>
      <c r="C176" t="s">
        <v>3558</v>
      </c>
      <c r="D176" t="s">
        <v>3554</v>
      </c>
      <c r="E176" t="s">
        <v>3555</v>
      </c>
      <c r="F176" t="s">
        <v>3571</v>
      </c>
    </row>
    <row r="177" spans="1:6">
      <c r="A177" t="s">
        <v>1526</v>
      </c>
      <c r="B177" t="s">
        <v>3752</v>
      </c>
      <c r="C177" t="s">
        <v>3582</v>
      </c>
      <c r="D177" t="s">
        <v>3563</v>
      </c>
      <c r="E177" t="s">
        <v>3559</v>
      </c>
      <c r="F177" t="s">
        <v>3560</v>
      </c>
    </row>
    <row r="178" spans="1:6">
      <c r="A178" t="s">
        <v>1283</v>
      </c>
      <c r="B178" t="s">
        <v>3753</v>
      </c>
      <c r="C178" t="s">
        <v>3586</v>
      </c>
      <c r="D178" t="s">
        <v>3554</v>
      </c>
      <c r="E178" t="s">
        <v>3568</v>
      </c>
      <c r="F178" t="s">
        <v>3600</v>
      </c>
    </row>
    <row r="179" spans="1:6">
      <c r="A179" t="s">
        <v>3322</v>
      </c>
      <c r="B179" t="s">
        <v>3754</v>
      </c>
      <c r="C179" t="s">
        <v>3558</v>
      </c>
      <c r="D179" t="s">
        <v>3563</v>
      </c>
      <c r="E179" t="s">
        <v>3573</v>
      </c>
      <c r="F179" t="s">
        <v>3577</v>
      </c>
    </row>
    <row r="180" spans="1:6">
      <c r="A180" t="s">
        <v>381</v>
      </c>
      <c r="B180" t="s">
        <v>3755</v>
      </c>
      <c r="C180" t="s">
        <v>3582</v>
      </c>
      <c r="D180" t="s">
        <v>3554</v>
      </c>
      <c r="E180" t="s">
        <v>3573</v>
      </c>
      <c r="F180" t="s">
        <v>3574</v>
      </c>
    </row>
    <row r="181" spans="1:6">
      <c r="A181" t="s">
        <v>884</v>
      </c>
      <c r="B181" t="s">
        <v>3756</v>
      </c>
      <c r="C181" t="s">
        <v>3586</v>
      </c>
      <c r="D181" t="s">
        <v>3584</v>
      </c>
      <c r="E181" t="s">
        <v>3573</v>
      </c>
      <c r="F181" t="s">
        <v>3590</v>
      </c>
    </row>
    <row r="182" spans="1:6">
      <c r="A182" t="s">
        <v>499</v>
      </c>
      <c r="B182" t="s">
        <v>3757</v>
      </c>
      <c r="C182" t="s">
        <v>3588</v>
      </c>
      <c r="D182" t="s">
        <v>3554</v>
      </c>
      <c r="E182" t="s">
        <v>3573</v>
      </c>
      <c r="F182" t="s">
        <v>3574</v>
      </c>
    </row>
    <row r="183" spans="1:6">
      <c r="A183" t="s">
        <v>729</v>
      </c>
      <c r="B183" t="s">
        <v>3758</v>
      </c>
      <c r="C183" t="s">
        <v>3588</v>
      </c>
      <c r="D183" t="s">
        <v>3563</v>
      </c>
      <c r="E183" t="s">
        <v>3573</v>
      </c>
      <c r="F183" t="s">
        <v>3590</v>
      </c>
    </row>
    <row r="184" spans="1:6">
      <c r="A184" t="s">
        <v>356</v>
      </c>
      <c r="B184" t="s">
        <v>3759</v>
      </c>
      <c r="C184" t="s">
        <v>3588</v>
      </c>
      <c r="D184" t="s">
        <v>3563</v>
      </c>
      <c r="E184" t="s">
        <v>3559</v>
      </c>
      <c r="F184" t="s">
        <v>3560</v>
      </c>
    </row>
    <row r="185" spans="1:6">
      <c r="A185" t="s">
        <v>273</v>
      </c>
      <c r="B185" t="s">
        <v>3760</v>
      </c>
      <c r="C185" t="s">
        <v>3558</v>
      </c>
      <c r="D185" t="s">
        <v>3563</v>
      </c>
      <c r="E185" t="s">
        <v>3559</v>
      </c>
      <c r="F185" t="s">
        <v>3593</v>
      </c>
    </row>
    <row r="186" spans="1:6">
      <c r="A186" t="s">
        <v>1400</v>
      </c>
      <c r="B186" t="s">
        <v>3761</v>
      </c>
      <c r="C186" t="s">
        <v>3582</v>
      </c>
      <c r="D186" t="s">
        <v>3554</v>
      </c>
      <c r="E186" t="s">
        <v>3573</v>
      </c>
      <c r="F186" t="s">
        <v>3590</v>
      </c>
    </row>
    <row r="187" spans="1:6">
      <c r="A187" t="s">
        <v>775</v>
      </c>
      <c r="B187" t="s">
        <v>3762</v>
      </c>
      <c r="C187" t="s">
        <v>3553</v>
      </c>
      <c r="D187" t="s">
        <v>3554</v>
      </c>
      <c r="E187" t="s">
        <v>3573</v>
      </c>
      <c r="F187" t="s">
        <v>3574</v>
      </c>
    </row>
    <row r="188" spans="1:6">
      <c r="A188" t="s">
        <v>477</v>
      </c>
      <c r="B188" t="s">
        <v>3763</v>
      </c>
      <c r="C188" t="s">
        <v>3588</v>
      </c>
      <c r="D188" t="s">
        <v>3563</v>
      </c>
      <c r="E188" t="s">
        <v>3559</v>
      </c>
      <c r="F188" t="s">
        <v>3595</v>
      </c>
    </row>
    <row r="189" spans="1:6">
      <c r="A189" t="s">
        <v>1303</v>
      </c>
      <c r="B189" t="s">
        <v>3764</v>
      </c>
      <c r="C189" t="s">
        <v>3588</v>
      </c>
      <c r="D189" t="s">
        <v>3563</v>
      </c>
      <c r="E189" t="s">
        <v>3559</v>
      </c>
      <c r="F189" t="s">
        <v>3595</v>
      </c>
    </row>
    <row r="190" spans="1:6">
      <c r="A190" t="s">
        <v>651</v>
      </c>
      <c r="B190" t="s">
        <v>3765</v>
      </c>
      <c r="C190" t="s">
        <v>3582</v>
      </c>
      <c r="D190" t="s">
        <v>3584</v>
      </c>
      <c r="E190" t="s">
        <v>3573</v>
      </c>
      <c r="F190" t="s">
        <v>3590</v>
      </c>
    </row>
    <row r="191" spans="1:6">
      <c r="A191" t="s">
        <v>501</v>
      </c>
      <c r="B191" t="s">
        <v>3766</v>
      </c>
      <c r="C191" t="s">
        <v>3553</v>
      </c>
      <c r="D191" t="s">
        <v>3584</v>
      </c>
      <c r="E191" t="s">
        <v>3568</v>
      </c>
      <c r="F191" t="s">
        <v>3607</v>
      </c>
    </row>
    <row r="192" spans="1:6">
      <c r="A192" t="s">
        <v>187</v>
      </c>
      <c r="B192" t="s">
        <v>3767</v>
      </c>
      <c r="C192" t="s">
        <v>3586</v>
      </c>
      <c r="D192" t="s">
        <v>3563</v>
      </c>
      <c r="E192" t="s">
        <v>3573</v>
      </c>
      <c r="F192" t="s">
        <v>3574</v>
      </c>
    </row>
    <row r="193" spans="1:6">
      <c r="A193" t="s">
        <v>964</v>
      </c>
      <c r="B193" t="s">
        <v>3768</v>
      </c>
      <c r="C193" t="s">
        <v>3553</v>
      </c>
      <c r="D193" t="s">
        <v>3563</v>
      </c>
      <c r="E193" t="s">
        <v>3559</v>
      </c>
      <c r="F193" t="s">
        <v>3593</v>
      </c>
    </row>
    <row r="194" spans="1:6">
      <c r="A194" t="s">
        <v>481</v>
      </c>
      <c r="B194" t="s">
        <v>3769</v>
      </c>
      <c r="C194" t="s">
        <v>3553</v>
      </c>
      <c r="D194" t="s">
        <v>3563</v>
      </c>
      <c r="E194" t="s">
        <v>3555</v>
      </c>
      <c r="F194" t="s">
        <v>3556</v>
      </c>
    </row>
    <row r="195" spans="1:6">
      <c r="A195" t="s">
        <v>276</v>
      </c>
      <c r="B195" t="s">
        <v>3770</v>
      </c>
      <c r="C195" t="s">
        <v>3558</v>
      </c>
      <c r="D195" t="s">
        <v>3563</v>
      </c>
      <c r="E195" t="s">
        <v>3555</v>
      </c>
      <c r="F195" t="s">
        <v>3565</v>
      </c>
    </row>
    <row r="196" spans="1:6">
      <c r="A196" t="s">
        <v>456</v>
      </c>
      <c r="B196" t="s">
        <v>3771</v>
      </c>
      <c r="C196" t="s">
        <v>3553</v>
      </c>
      <c r="D196" t="s">
        <v>3584</v>
      </c>
      <c r="E196" t="s">
        <v>3573</v>
      </c>
      <c r="F196" t="s">
        <v>3577</v>
      </c>
    </row>
    <row r="197" spans="1:6">
      <c r="A197" t="s">
        <v>565</v>
      </c>
      <c r="B197" t="s">
        <v>3772</v>
      </c>
      <c r="C197" t="s">
        <v>3562</v>
      </c>
      <c r="D197" t="s">
        <v>3554</v>
      </c>
      <c r="E197" t="s">
        <v>3568</v>
      </c>
      <c r="F197" t="s">
        <v>3607</v>
      </c>
    </row>
    <row r="198" spans="1:6">
      <c r="A198" t="s">
        <v>1753</v>
      </c>
      <c r="B198" t="s">
        <v>3773</v>
      </c>
      <c r="C198" t="s">
        <v>3562</v>
      </c>
      <c r="D198" t="s">
        <v>3563</v>
      </c>
      <c r="E198" t="s">
        <v>3559</v>
      </c>
      <c r="F198" t="s">
        <v>3593</v>
      </c>
    </row>
    <row r="199" spans="1:6">
      <c r="A199" t="s">
        <v>1382</v>
      </c>
      <c r="B199" t="s">
        <v>3774</v>
      </c>
      <c r="C199" t="s">
        <v>3562</v>
      </c>
      <c r="D199" t="s">
        <v>3584</v>
      </c>
      <c r="E199" t="s">
        <v>3573</v>
      </c>
      <c r="F199" t="s">
        <v>3574</v>
      </c>
    </row>
    <row r="200" spans="1:6">
      <c r="A200" t="s">
        <v>232</v>
      </c>
      <c r="B200" t="s">
        <v>3775</v>
      </c>
      <c r="C200" t="s">
        <v>3562</v>
      </c>
      <c r="D200" t="s">
        <v>3584</v>
      </c>
      <c r="E200" t="s">
        <v>3555</v>
      </c>
      <c r="F200" t="s">
        <v>3556</v>
      </c>
    </row>
    <row r="201" spans="1:6">
      <c r="A201" t="s">
        <v>106</v>
      </c>
      <c r="B201" t="s">
        <v>3776</v>
      </c>
      <c r="C201" t="s">
        <v>3582</v>
      </c>
      <c r="D201" t="s">
        <v>3563</v>
      </c>
      <c r="E201" t="s">
        <v>3559</v>
      </c>
      <c r="F201" t="s">
        <v>3560</v>
      </c>
    </row>
    <row r="202" spans="1:6">
      <c r="A202" t="s">
        <v>630</v>
      </c>
      <c r="B202" t="s">
        <v>3777</v>
      </c>
      <c r="C202" t="s">
        <v>3558</v>
      </c>
      <c r="D202" t="s">
        <v>3563</v>
      </c>
      <c r="E202" t="s">
        <v>3555</v>
      </c>
      <c r="F202" t="s">
        <v>3565</v>
      </c>
    </row>
    <row r="203" spans="1:6">
      <c r="A203" t="s">
        <v>557</v>
      </c>
      <c r="B203" t="s">
        <v>3778</v>
      </c>
      <c r="C203" t="s">
        <v>3558</v>
      </c>
      <c r="D203" t="s">
        <v>3563</v>
      </c>
      <c r="E203" t="s">
        <v>3555</v>
      </c>
      <c r="F203" t="s">
        <v>3571</v>
      </c>
    </row>
    <row r="204" spans="1:6">
      <c r="A204" t="s">
        <v>151</v>
      </c>
      <c r="B204" t="s">
        <v>3779</v>
      </c>
      <c r="C204" t="s">
        <v>3588</v>
      </c>
      <c r="D204" t="s">
        <v>3563</v>
      </c>
      <c r="E204" t="s">
        <v>3568</v>
      </c>
      <c r="F204" t="s">
        <v>3569</v>
      </c>
    </row>
    <row r="205" spans="1:6">
      <c r="A205" t="s">
        <v>686</v>
      </c>
      <c r="B205" t="s">
        <v>3780</v>
      </c>
      <c r="C205" t="s">
        <v>3582</v>
      </c>
      <c r="D205" t="s">
        <v>3584</v>
      </c>
      <c r="E205" t="s">
        <v>3573</v>
      </c>
      <c r="F205" t="s">
        <v>3577</v>
      </c>
    </row>
    <row r="206" spans="1:6">
      <c r="A206" t="s">
        <v>379</v>
      </c>
      <c r="B206" t="s">
        <v>3781</v>
      </c>
      <c r="C206" t="s">
        <v>3588</v>
      </c>
      <c r="D206" t="s">
        <v>3554</v>
      </c>
      <c r="E206" t="s">
        <v>3559</v>
      </c>
      <c r="F206" t="s">
        <v>3560</v>
      </c>
    </row>
    <row r="207" spans="1:6">
      <c r="A207" t="s">
        <v>1361</v>
      </c>
      <c r="B207" t="s">
        <v>3782</v>
      </c>
      <c r="C207" t="s">
        <v>3586</v>
      </c>
      <c r="D207" t="s">
        <v>3563</v>
      </c>
      <c r="E207" t="s">
        <v>3559</v>
      </c>
      <c r="F207" t="s">
        <v>3595</v>
      </c>
    </row>
    <row r="208" spans="1:6">
      <c r="A208" t="s">
        <v>1536</v>
      </c>
      <c r="B208" t="s">
        <v>3783</v>
      </c>
      <c r="C208" t="s">
        <v>3588</v>
      </c>
      <c r="D208" t="s">
        <v>3554</v>
      </c>
      <c r="E208" t="s">
        <v>3559</v>
      </c>
      <c r="F208" t="s">
        <v>3595</v>
      </c>
    </row>
    <row r="209" spans="1:6">
      <c r="A209" t="s">
        <v>99</v>
      </c>
      <c r="B209" t="s">
        <v>3784</v>
      </c>
      <c r="C209" t="s">
        <v>3558</v>
      </c>
      <c r="D209" t="s">
        <v>3554</v>
      </c>
      <c r="E209" t="s">
        <v>3555</v>
      </c>
      <c r="F209" t="s">
        <v>3565</v>
      </c>
    </row>
    <row r="210" spans="1:6">
      <c r="A210" t="s">
        <v>1359</v>
      </c>
      <c r="B210" t="s">
        <v>3785</v>
      </c>
      <c r="C210" t="s">
        <v>3586</v>
      </c>
      <c r="D210" t="s">
        <v>3563</v>
      </c>
      <c r="E210" t="s">
        <v>3573</v>
      </c>
      <c r="F210" t="s">
        <v>3590</v>
      </c>
    </row>
    <row r="211" spans="1:6">
      <c r="A211" t="s">
        <v>312</v>
      </c>
      <c r="B211" t="s">
        <v>3786</v>
      </c>
      <c r="C211" t="s">
        <v>3582</v>
      </c>
      <c r="D211" t="s">
        <v>3563</v>
      </c>
      <c r="E211" t="s">
        <v>3573</v>
      </c>
      <c r="F211" t="s">
        <v>3574</v>
      </c>
    </row>
    <row r="212" spans="1:6">
      <c r="A212" t="s">
        <v>1528</v>
      </c>
      <c r="B212" t="s">
        <v>3787</v>
      </c>
      <c r="C212" t="s">
        <v>3586</v>
      </c>
      <c r="D212" t="s">
        <v>3563</v>
      </c>
      <c r="E212" t="s">
        <v>3568</v>
      </c>
      <c r="F212" t="s">
        <v>3600</v>
      </c>
    </row>
    <row r="213" spans="1:6">
      <c r="A213" t="s">
        <v>179</v>
      </c>
      <c r="B213" t="s">
        <v>3788</v>
      </c>
      <c r="C213" t="s">
        <v>3582</v>
      </c>
      <c r="D213" t="s">
        <v>3563</v>
      </c>
      <c r="E213" t="s">
        <v>3568</v>
      </c>
      <c r="F213" t="s">
        <v>3569</v>
      </c>
    </row>
    <row r="214" spans="1:6">
      <c r="A214" t="s">
        <v>1534</v>
      </c>
      <c r="B214" t="s">
        <v>3789</v>
      </c>
      <c r="C214" t="s">
        <v>3553</v>
      </c>
      <c r="D214" t="s">
        <v>3563</v>
      </c>
      <c r="E214" t="s">
        <v>3555</v>
      </c>
      <c r="F214" t="s">
        <v>3565</v>
      </c>
    </row>
    <row r="215" spans="1:6">
      <c r="A215" t="s">
        <v>656</v>
      </c>
      <c r="B215" t="s">
        <v>3790</v>
      </c>
      <c r="C215" t="s">
        <v>3582</v>
      </c>
      <c r="D215" t="s">
        <v>3554</v>
      </c>
      <c r="E215" t="s">
        <v>3555</v>
      </c>
      <c r="F215" t="s">
        <v>3565</v>
      </c>
    </row>
    <row r="216" spans="1:6">
      <c r="A216" t="s">
        <v>72</v>
      </c>
      <c r="B216" t="s">
        <v>3791</v>
      </c>
      <c r="C216" t="s">
        <v>3558</v>
      </c>
      <c r="D216" t="s">
        <v>3563</v>
      </c>
      <c r="E216" t="s">
        <v>3555</v>
      </c>
      <c r="F216" t="s">
        <v>3565</v>
      </c>
    </row>
    <row r="217" spans="1:6">
      <c r="A217" t="s">
        <v>876</v>
      </c>
      <c r="B217" t="s">
        <v>3792</v>
      </c>
      <c r="C217" t="s">
        <v>3588</v>
      </c>
      <c r="D217" t="s">
        <v>3563</v>
      </c>
      <c r="E217" t="s">
        <v>3568</v>
      </c>
      <c r="F217" t="s">
        <v>3607</v>
      </c>
    </row>
    <row r="218" spans="1:6">
      <c r="A218" t="s">
        <v>547</v>
      </c>
      <c r="B218" t="s">
        <v>3793</v>
      </c>
      <c r="C218" t="s">
        <v>3582</v>
      </c>
      <c r="D218" t="s">
        <v>3554</v>
      </c>
      <c r="E218" t="s">
        <v>3568</v>
      </c>
      <c r="F218" t="s">
        <v>3600</v>
      </c>
    </row>
    <row r="219" spans="1:6">
      <c r="A219" t="s">
        <v>446</v>
      </c>
      <c r="B219" t="s">
        <v>3794</v>
      </c>
      <c r="C219" t="s">
        <v>3588</v>
      </c>
      <c r="D219" t="s">
        <v>3563</v>
      </c>
      <c r="E219" t="s">
        <v>3568</v>
      </c>
      <c r="F219" t="s">
        <v>3569</v>
      </c>
    </row>
    <row r="220" spans="1:6">
      <c r="A220" t="s">
        <v>918</v>
      </c>
      <c r="B220" t="s">
        <v>3795</v>
      </c>
      <c r="C220" t="s">
        <v>3558</v>
      </c>
      <c r="D220" t="s">
        <v>3563</v>
      </c>
      <c r="E220" t="s">
        <v>3555</v>
      </c>
      <c r="F220" t="s">
        <v>3565</v>
      </c>
    </row>
    <row r="221" spans="1:6">
      <c r="A221" t="s">
        <v>129</v>
      </c>
      <c r="B221" t="s">
        <v>3796</v>
      </c>
      <c r="C221" t="s">
        <v>3588</v>
      </c>
      <c r="D221" t="s">
        <v>3554</v>
      </c>
      <c r="E221" t="s">
        <v>3568</v>
      </c>
      <c r="F221" t="s">
        <v>3569</v>
      </c>
    </row>
    <row r="222" spans="1:6">
      <c r="A222" t="s">
        <v>529</v>
      </c>
      <c r="B222" t="s">
        <v>3797</v>
      </c>
      <c r="C222" t="s">
        <v>3586</v>
      </c>
      <c r="D222" t="s">
        <v>3563</v>
      </c>
      <c r="E222" t="s">
        <v>3555</v>
      </c>
      <c r="F222" t="s">
        <v>3571</v>
      </c>
    </row>
    <row r="223" spans="1:6">
      <c r="A223" t="s">
        <v>2094</v>
      </c>
      <c r="B223" t="s">
        <v>3798</v>
      </c>
      <c r="C223" t="s">
        <v>3553</v>
      </c>
      <c r="D223" t="s">
        <v>3584</v>
      </c>
      <c r="E223" t="s">
        <v>3573</v>
      </c>
      <c r="F223" t="s">
        <v>3574</v>
      </c>
    </row>
    <row r="224" spans="1:6">
      <c r="A224" t="s">
        <v>1184</v>
      </c>
      <c r="B224" t="s">
        <v>3799</v>
      </c>
      <c r="C224" t="s">
        <v>3582</v>
      </c>
      <c r="D224" t="s">
        <v>3584</v>
      </c>
      <c r="E224" t="s">
        <v>3555</v>
      </c>
      <c r="F224" t="s">
        <v>3571</v>
      </c>
    </row>
    <row r="225" spans="1:6">
      <c r="A225" t="s">
        <v>1060</v>
      </c>
      <c r="B225" t="s">
        <v>3800</v>
      </c>
      <c r="C225" t="s">
        <v>3553</v>
      </c>
      <c r="D225" t="s">
        <v>3563</v>
      </c>
      <c r="E225" t="s">
        <v>3568</v>
      </c>
      <c r="F225" t="s">
        <v>3569</v>
      </c>
    </row>
    <row r="226" spans="1:6">
      <c r="A226" t="s">
        <v>202</v>
      </c>
      <c r="B226" t="s">
        <v>3801</v>
      </c>
      <c r="C226" t="s">
        <v>3582</v>
      </c>
      <c r="D226" t="s">
        <v>3563</v>
      </c>
      <c r="E226" t="s">
        <v>3568</v>
      </c>
      <c r="F226" t="s">
        <v>3600</v>
      </c>
    </row>
    <row r="227" spans="1:6">
      <c r="A227" t="s">
        <v>141</v>
      </c>
      <c r="B227" t="s">
        <v>3802</v>
      </c>
      <c r="C227" t="s">
        <v>3588</v>
      </c>
      <c r="D227" t="s">
        <v>3554</v>
      </c>
      <c r="E227" t="s">
        <v>3559</v>
      </c>
      <c r="F227" t="s">
        <v>3593</v>
      </c>
    </row>
    <row r="228" spans="1:6">
      <c r="A228" t="s">
        <v>369</v>
      </c>
      <c r="B228" t="s">
        <v>3803</v>
      </c>
      <c r="C228" t="s">
        <v>3582</v>
      </c>
      <c r="D228" t="s">
        <v>3563</v>
      </c>
      <c r="E228" t="s">
        <v>3568</v>
      </c>
      <c r="F228" t="s">
        <v>3600</v>
      </c>
    </row>
    <row r="229" spans="1:6">
      <c r="A229" t="s">
        <v>886</v>
      </c>
      <c r="B229" t="s">
        <v>3804</v>
      </c>
      <c r="C229" t="s">
        <v>3582</v>
      </c>
      <c r="D229" t="s">
        <v>3563</v>
      </c>
      <c r="E229" t="s">
        <v>3559</v>
      </c>
      <c r="F229" t="s">
        <v>3560</v>
      </c>
    </row>
    <row r="230" spans="1:6">
      <c r="A230" t="s">
        <v>761</v>
      </c>
      <c r="B230" t="s">
        <v>3805</v>
      </c>
      <c r="C230" t="s">
        <v>3562</v>
      </c>
      <c r="D230" t="s">
        <v>3563</v>
      </c>
      <c r="E230" t="s">
        <v>3555</v>
      </c>
      <c r="F230" t="s">
        <v>3556</v>
      </c>
    </row>
    <row r="231" spans="1:6">
      <c r="A231" t="s">
        <v>2737</v>
      </c>
      <c r="B231" t="s">
        <v>3806</v>
      </c>
      <c r="C231" t="s">
        <v>3586</v>
      </c>
      <c r="D231" t="s">
        <v>3584</v>
      </c>
      <c r="E231" t="s">
        <v>3555</v>
      </c>
      <c r="F231" t="s">
        <v>3565</v>
      </c>
    </row>
    <row r="232" spans="1:6">
      <c r="A232" t="s">
        <v>871</v>
      </c>
      <c r="B232" t="s">
        <v>3807</v>
      </c>
      <c r="C232" t="s">
        <v>3586</v>
      </c>
      <c r="D232" t="s">
        <v>3584</v>
      </c>
      <c r="E232" t="s">
        <v>3559</v>
      </c>
      <c r="F232" t="s">
        <v>3593</v>
      </c>
    </row>
    <row r="233" spans="1:6">
      <c r="A233" t="s">
        <v>828</v>
      </c>
      <c r="B233" t="s">
        <v>3808</v>
      </c>
      <c r="C233" t="s">
        <v>3586</v>
      </c>
      <c r="D233" t="s">
        <v>3554</v>
      </c>
      <c r="E233" t="s">
        <v>3573</v>
      </c>
      <c r="F233" t="s">
        <v>3574</v>
      </c>
    </row>
    <row r="234" spans="1:6">
      <c r="A234" t="s">
        <v>660</v>
      </c>
      <c r="B234" t="s">
        <v>3809</v>
      </c>
      <c r="C234" t="s">
        <v>3586</v>
      </c>
      <c r="D234" t="s">
        <v>3554</v>
      </c>
      <c r="E234" t="s">
        <v>3559</v>
      </c>
      <c r="F234" t="s">
        <v>3593</v>
      </c>
    </row>
    <row r="235" spans="1:6">
      <c r="A235" t="s">
        <v>1133</v>
      </c>
      <c r="B235" t="s">
        <v>3810</v>
      </c>
      <c r="C235" t="s">
        <v>3562</v>
      </c>
      <c r="D235" t="s">
        <v>3554</v>
      </c>
      <c r="E235" t="s">
        <v>3559</v>
      </c>
      <c r="F235" t="s">
        <v>3595</v>
      </c>
    </row>
    <row r="236" spans="1:6">
      <c r="A236" t="s">
        <v>1601</v>
      </c>
      <c r="B236" t="s">
        <v>3811</v>
      </c>
      <c r="C236" t="s">
        <v>3588</v>
      </c>
      <c r="D236" t="s">
        <v>3554</v>
      </c>
      <c r="E236" t="s">
        <v>3555</v>
      </c>
      <c r="F236" t="s">
        <v>3571</v>
      </c>
    </row>
    <row r="237" spans="1:6">
      <c r="A237" t="s">
        <v>1817</v>
      </c>
      <c r="B237" t="s">
        <v>3812</v>
      </c>
      <c r="C237" t="s">
        <v>3562</v>
      </c>
      <c r="D237" t="s">
        <v>3563</v>
      </c>
      <c r="E237" t="s">
        <v>3573</v>
      </c>
      <c r="F237" t="s">
        <v>3577</v>
      </c>
    </row>
    <row r="238" spans="1:6">
      <c r="A238" t="s">
        <v>294</v>
      </c>
      <c r="B238" t="s">
        <v>3813</v>
      </c>
      <c r="C238" t="s">
        <v>3582</v>
      </c>
      <c r="D238" t="s">
        <v>3563</v>
      </c>
      <c r="E238" t="s">
        <v>3573</v>
      </c>
      <c r="F238" t="s">
        <v>3590</v>
      </c>
    </row>
    <row r="239" spans="1:6">
      <c r="A239" t="s">
        <v>1203</v>
      </c>
      <c r="B239" t="s">
        <v>3814</v>
      </c>
      <c r="C239" t="s">
        <v>3558</v>
      </c>
      <c r="D239" t="s">
        <v>3563</v>
      </c>
      <c r="E239" t="s">
        <v>3568</v>
      </c>
      <c r="F239" t="s">
        <v>3569</v>
      </c>
    </row>
    <row r="240" spans="1:6">
      <c r="A240" t="s">
        <v>795</v>
      </c>
      <c r="B240" t="s">
        <v>3815</v>
      </c>
      <c r="C240" t="s">
        <v>3588</v>
      </c>
      <c r="D240" t="s">
        <v>3554</v>
      </c>
      <c r="E240" t="s">
        <v>3573</v>
      </c>
      <c r="F240" t="s">
        <v>3590</v>
      </c>
    </row>
    <row r="241" spans="1:6">
      <c r="A241" t="s">
        <v>1742</v>
      </c>
      <c r="B241" t="s">
        <v>3816</v>
      </c>
      <c r="C241" t="s">
        <v>3586</v>
      </c>
      <c r="D241" t="s">
        <v>3584</v>
      </c>
      <c r="E241" t="s">
        <v>3568</v>
      </c>
      <c r="F241" t="s">
        <v>3600</v>
      </c>
    </row>
    <row r="242" spans="1:6">
      <c r="A242" t="s">
        <v>994</v>
      </c>
      <c r="B242" t="s">
        <v>3817</v>
      </c>
      <c r="C242" t="s">
        <v>3562</v>
      </c>
      <c r="D242" t="s">
        <v>3563</v>
      </c>
      <c r="E242" t="s">
        <v>3559</v>
      </c>
      <c r="F242" t="s">
        <v>3593</v>
      </c>
    </row>
    <row r="243" spans="1:6">
      <c r="A243" t="s">
        <v>316</v>
      </c>
      <c r="B243" t="s">
        <v>3818</v>
      </c>
      <c r="C243" t="s">
        <v>3588</v>
      </c>
      <c r="D243" t="s">
        <v>3554</v>
      </c>
      <c r="E243" t="s">
        <v>3555</v>
      </c>
      <c r="F243" t="s">
        <v>3565</v>
      </c>
    </row>
    <row r="244" spans="1:6">
      <c r="A244" t="s">
        <v>1707</v>
      </c>
      <c r="B244" t="s">
        <v>3819</v>
      </c>
      <c r="C244" t="s">
        <v>3586</v>
      </c>
      <c r="D244" t="s">
        <v>3584</v>
      </c>
      <c r="E244" t="s">
        <v>3568</v>
      </c>
      <c r="F244" t="s">
        <v>3607</v>
      </c>
    </row>
    <row r="245" spans="1:6">
      <c r="A245" t="s">
        <v>221</v>
      </c>
      <c r="B245" t="s">
        <v>3820</v>
      </c>
      <c r="C245" t="s">
        <v>3586</v>
      </c>
      <c r="D245" t="s">
        <v>3584</v>
      </c>
      <c r="E245" t="s">
        <v>3559</v>
      </c>
      <c r="F245" t="s">
        <v>3595</v>
      </c>
    </row>
    <row r="246" spans="1:6">
      <c r="A246" t="s">
        <v>880</v>
      </c>
      <c r="B246" t="s">
        <v>3821</v>
      </c>
      <c r="C246" t="s">
        <v>3553</v>
      </c>
      <c r="D246" t="s">
        <v>3584</v>
      </c>
      <c r="E246" t="s">
        <v>3573</v>
      </c>
      <c r="F246" t="s">
        <v>3574</v>
      </c>
    </row>
    <row r="247" spans="1:6">
      <c r="A247" t="s">
        <v>435</v>
      </c>
      <c r="B247" t="s">
        <v>3822</v>
      </c>
      <c r="C247" t="s">
        <v>3562</v>
      </c>
      <c r="D247" t="s">
        <v>3584</v>
      </c>
      <c r="E247" t="s">
        <v>3555</v>
      </c>
      <c r="F247" t="s">
        <v>3556</v>
      </c>
    </row>
    <row r="248" spans="1:6">
      <c r="A248" t="s">
        <v>609</v>
      </c>
      <c r="B248" t="s">
        <v>3823</v>
      </c>
      <c r="C248" t="s">
        <v>3586</v>
      </c>
      <c r="D248" t="s">
        <v>3584</v>
      </c>
      <c r="E248" t="s">
        <v>3559</v>
      </c>
      <c r="F248" t="s">
        <v>3595</v>
      </c>
    </row>
    <row r="249" spans="1:6">
      <c r="A249" t="s">
        <v>1074</v>
      </c>
      <c r="B249" t="s">
        <v>3824</v>
      </c>
      <c r="C249" t="s">
        <v>3586</v>
      </c>
      <c r="D249" t="s">
        <v>3554</v>
      </c>
      <c r="E249" t="s">
        <v>3555</v>
      </c>
      <c r="F249" t="s">
        <v>3571</v>
      </c>
    </row>
    <row r="250" spans="1:6">
      <c r="A250" t="s">
        <v>542</v>
      </c>
      <c r="B250" t="s">
        <v>3825</v>
      </c>
      <c r="C250" t="s">
        <v>3562</v>
      </c>
      <c r="D250" t="s">
        <v>3554</v>
      </c>
      <c r="E250" t="s">
        <v>3573</v>
      </c>
      <c r="F250" t="s">
        <v>3590</v>
      </c>
    </row>
    <row r="251" spans="1:6">
      <c r="A251" t="s">
        <v>374</v>
      </c>
      <c r="B251" t="s">
        <v>3826</v>
      </c>
      <c r="C251" t="s">
        <v>3588</v>
      </c>
      <c r="D251" t="s">
        <v>3584</v>
      </c>
      <c r="E251" t="s">
        <v>3555</v>
      </c>
      <c r="F251" t="s">
        <v>3565</v>
      </c>
    </row>
    <row r="252" spans="1:6">
      <c r="A252" t="s">
        <v>485</v>
      </c>
      <c r="B252" t="s">
        <v>3827</v>
      </c>
      <c r="C252" t="s">
        <v>3588</v>
      </c>
      <c r="D252" t="s">
        <v>3554</v>
      </c>
      <c r="E252" t="s">
        <v>3568</v>
      </c>
      <c r="F252" t="s">
        <v>3569</v>
      </c>
    </row>
    <row r="253" spans="1:6">
      <c r="A253" t="s">
        <v>3102</v>
      </c>
      <c r="B253" t="s">
        <v>3828</v>
      </c>
      <c r="C253" t="s">
        <v>3562</v>
      </c>
      <c r="D253" t="s">
        <v>3563</v>
      </c>
      <c r="E253" t="s">
        <v>3555</v>
      </c>
      <c r="F253" t="s">
        <v>3565</v>
      </c>
    </row>
    <row r="254" spans="1:6">
      <c r="A254" t="s">
        <v>49</v>
      </c>
      <c r="B254" t="s">
        <v>3829</v>
      </c>
      <c r="C254" t="s">
        <v>3558</v>
      </c>
      <c r="D254" t="s">
        <v>3554</v>
      </c>
      <c r="E254" t="s">
        <v>3573</v>
      </c>
      <c r="F254" t="s">
        <v>3574</v>
      </c>
    </row>
    <row r="255" spans="1:6">
      <c r="A255" t="s">
        <v>561</v>
      </c>
      <c r="B255" t="s">
        <v>3830</v>
      </c>
      <c r="C255" t="s">
        <v>3582</v>
      </c>
      <c r="D255" t="s">
        <v>3554</v>
      </c>
      <c r="E255" t="s">
        <v>3555</v>
      </c>
      <c r="F255" t="s">
        <v>3556</v>
      </c>
    </row>
    <row r="256" spans="1:6">
      <c r="A256" t="s">
        <v>2019</v>
      </c>
      <c r="B256" t="s">
        <v>3831</v>
      </c>
      <c r="C256" t="s">
        <v>3558</v>
      </c>
      <c r="D256" t="s">
        <v>3554</v>
      </c>
      <c r="E256" t="s">
        <v>3568</v>
      </c>
      <c r="F256" t="s">
        <v>3600</v>
      </c>
    </row>
    <row r="257" spans="1:6">
      <c r="A257" t="s">
        <v>1173</v>
      </c>
      <c r="B257" t="s">
        <v>3832</v>
      </c>
      <c r="C257" t="s">
        <v>3588</v>
      </c>
      <c r="D257" t="s">
        <v>3554</v>
      </c>
      <c r="E257" t="s">
        <v>3555</v>
      </c>
      <c r="F257" t="s">
        <v>3571</v>
      </c>
    </row>
    <row r="258" spans="1:6">
      <c r="A258" t="s">
        <v>544</v>
      </c>
      <c r="B258" t="s">
        <v>3833</v>
      </c>
      <c r="C258" t="s">
        <v>3588</v>
      </c>
      <c r="D258" t="s">
        <v>3563</v>
      </c>
      <c r="E258" t="s">
        <v>3573</v>
      </c>
      <c r="F258" t="s">
        <v>3577</v>
      </c>
    </row>
    <row r="259" spans="1:6">
      <c r="A259" t="s">
        <v>193</v>
      </c>
      <c r="B259" t="s">
        <v>3834</v>
      </c>
      <c r="C259" t="s">
        <v>3562</v>
      </c>
      <c r="D259" t="s">
        <v>3554</v>
      </c>
      <c r="E259" t="s">
        <v>3568</v>
      </c>
      <c r="F259" t="s">
        <v>3600</v>
      </c>
    </row>
    <row r="260" spans="1:6">
      <c r="A260" t="s">
        <v>268</v>
      </c>
      <c r="B260" t="s">
        <v>3835</v>
      </c>
      <c r="C260" t="s">
        <v>3558</v>
      </c>
      <c r="D260" t="s">
        <v>3563</v>
      </c>
      <c r="E260" t="s">
        <v>3559</v>
      </c>
      <c r="F260" t="s">
        <v>3593</v>
      </c>
    </row>
    <row r="261" spans="1:6">
      <c r="A261" t="s">
        <v>164</v>
      </c>
      <c r="B261" t="s">
        <v>3836</v>
      </c>
      <c r="C261" t="s">
        <v>3586</v>
      </c>
      <c r="D261" t="s">
        <v>3584</v>
      </c>
      <c r="E261" t="s">
        <v>3559</v>
      </c>
      <c r="F261" t="s">
        <v>3595</v>
      </c>
    </row>
    <row r="262" spans="1:6">
      <c r="A262" t="s">
        <v>172</v>
      </c>
      <c r="B262" t="s">
        <v>3837</v>
      </c>
      <c r="C262" t="s">
        <v>3586</v>
      </c>
      <c r="D262" t="s">
        <v>3554</v>
      </c>
      <c r="E262" t="s">
        <v>3559</v>
      </c>
      <c r="F262" t="s">
        <v>3593</v>
      </c>
    </row>
    <row r="263" spans="1:6">
      <c r="A263" t="s">
        <v>1117</v>
      </c>
      <c r="B263" t="s">
        <v>3838</v>
      </c>
      <c r="C263" t="s">
        <v>3582</v>
      </c>
      <c r="D263" t="s">
        <v>3563</v>
      </c>
      <c r="E263" t="s">
        <v>3573</v>
      </c>
      <c r="F263" t="s">
        <v>3574</v>
      </c>
    </row>
    <row r="264" spans="1:6">
      <c r="A264" t="s">
        <v>792</v>
      </c>
      <c r="B264" t="s">
        <v>3839</v>
      </c>
      <c r="C264" t="s">
        <v>3582</v>
      </c>
      <c r="D264" t="s">
        <v>3554</v>
      </c>
      <c r="E264" t="s">
        <v>3573</v>
      </c>
      <c r="F264" t="s">
        <v>3577</v>
      </c>
    </row>
    <row r="265" spans="1:6">
      <c r="A265" t="s">
        <v>52</v>
      </c>
      <c r="B265" t="s">
        <v>3840</v>
      </c>
      <c r="C265" t="s">
        <v>3588</v>
      </c>
      <c r="D265" t="s">
        <v>3584</v>
      </c>
      <c r="E265" t="s">
        <v>3568</v>
      </c>
      <c r="F265" t="s">
        <v>3569</v>
      </c>
    </row>
    <row r="266" spans="1:6">
      <c r="A266" t="s">
        <v>306</v>
      </c>
      <c r="B266" t="s">
        <v>3841</v>
      </c>
      <c r="C266" t="s">
        <v>3582</v>
      </c>
      <c r="D266" t="s">
        <v>3563</v>
      </c>
      <c r="E266" t="s">
        <v>3568</v>
      </c>
      <c r="F266" t="s">
        <v>3569</v>
      </c>
    </row>
    <row r="267" spans="1:6">
      <c r="A267" t="s">
        <v>1070</v>
      </c>
      <c r="B267" t="s">
        <v>3842</v>
      </c>
      <c r="C267" t="s">
        <v>3586</v>
      </c>
      <c r="D267" t="s">
        <v>3584</v>
      </c>
      <c r="E267" t="s">
        <v>3559</v>
      </c>
      <c r="F267" t="s">
        <v>3595</v>
      </c>
    </row>
    <row r="268" spans="1:6">
      <c r="A268" t="s">
        <v>698</v>
      </c>
      <c r="B268" t="s">
        <v>3843</v>
      </c>
      <c r="C268" t="s">
        <v>3586</v>
      </c>
      <c r="D268" t="s">
        <v>3554</v>
      </c>
      <c r="E268" t="s">
        <v>3559</v>
      </c>
      <c r="F268" t="s">
        <v>3560</v>
      </c>
    </row>
    <row r="269" spans="1:6">
      <c r="A269" t="s">
        <v>1141</v>
      </c>
      <c r="B269" t="s">
        <v>3844</v>
      </c>
      <c r="C269" t="s">
        <v>3582</v>
      </c>
      <c r="D269" t="s">
        <v>3563</v>
      </c>
      <c r="E269" t="s">
        <v>3573</v>
      </c>
      <c r="F269" t="s">
        <v>3590</v>
      </c>
    </row>
    <row r="270" spans="1:6">
      <c r="A270" t="s">
        <v>343</v>
      </c>
      <c r="B270" t="s">
        <v>3845</v>
      </c>
      <c r="C270" t="s">
        <v>3588</v>
      </c>
      <c r="D270" t="s">
        <v>3563</v>
      </c>
      <c r="E270" t="s">
        <v>3568</v>
      </c>
      <c r="F270" t="s">
        <v>3607</v>
      </c>
    </row>
    <row r="271" spans="1:6">
      <c r="A271" t="s">
        <v>1869</v>
      </c>
      <c r="B271" t="s">
        <v>3846</v>
      </c>
      <c r="C271" t="s">
        <v>3562</v>
      </c>
      <c r="D271" t="s">
        <v>3554</v>
      </c>
      <c r="E271" t="s">
        <v>3555</v>
      </c>
      <c r="F271" t="s">
        <v>3571</v>
      </c>
    </row>
    <row r="272" spans="1:6">
      <c r="A272" t="s">
        <v>1308</v>
      </c>
      <c r="B272" t="s">
        <v>3847</v>
      </c>
      <c r="C272" t="s">
        <v>3562</v>
      </c>
      <c r="D272" t="s">
        <v>3554</v>
      </c>
      <c r="E272" t="s">
        <v>3559</v>
      </c>
      <c r="F272" t="s">
        <v>3595</v>
      </c>
    </row>
    <row r="273" spans="1:6">
      <c r="A273" t="s">
        <v>1094</v>
      </c>
      <c r="B273" t="s">
        <v>3848</v>
      </c>
      <c r="C273" t="s">
        <v>3562</v>
      </c>
      <c r="D273" t="s">
        <v>3563</v>
      </c>
      <c r="E273" t="s">
        <v>3559</v>
      </c>
      <c r="F273" t="s">
        <v>3560</v>
      </c>
    </row>
    <row r="274" spans="1:6">
      <c r="A274" t="s">
        <v>394</v>
      </c>
      <c r="B274" t="s">
        <v>3849</v>
      </c>
      <c r="C274" t="s">
        <v>3582</v>
      </c>
      <c r="D274" t="s">
        <v>3563</v>
      </c>
      <c r="E274" t="s">
        <v>3559</v>
      </c>
      <c r="F274" t="s">
        <v>3560</v>
      </c>
    </row>
    <row r="275" spans="1:6">
      <c r="A275" t="s">
        <v>45</v>
      </c>
      <c r="B275" t="s">
        <v>3850</v>
      </c>
      <c r="C275" t="s">
        <v>3588</v>
      </c>
      <c r="D275" t="s">
        <v>3554</v>
      </c>
      <c r="E275" t="s">
        <v>3555</v>
      </c>
      <c r="F275" t="s">
        <v>3556</v>
      </c>
    </row>
    <row r="276" spans="1:6">
      <c r="A276" t="s">
        <v>84</v>
      </c>
      <c r="B276" t="s">
        <v>3851</v>
      </c>
      <c r="C276" t="s">
        <v>3582</v>
      </c>
      <c r="D276" t="s">
        <v>3563</v>
      </c>
      <c r="E276" t="s">
        <v>3573</v>
      </c>
      <c r="F276" t="s">
        <v>3574</v>
      </c>
    </row>
    <row r="277" spans="1:6">
      <c r="A277" t="s">
        <v>139</v>
      </c>
      <c r="B277" t="s">
        <v>3852</v>
      </c>
      <c r="C277" t="s">
        <v>3582</v>
      </c>
      <c r="D277" t="s">
        <v>3563</v>
      </c>
      <c r="E277" t="s">
        <v>3573</v>
      </c>
      <c r="F277" t="s">
        <v>3577</v>
      </c>
    </row>
    <row r="278" spans="1:6">
      <c r="A278" t="s">
        <v>310</v>
      </c>
      <c r="B278" t="s">
        <v>3853</v>
      </c>
      <c r="C278" t="s">
        <v>3562</v>
      </c>
      <c r="D278" t="s">
        <v>3584</v>
      </c>
      <c r="E278" t="s">
        <v>3559</v>
      </c>
      <c r="F278" t="s">
        <v>3593</v>
      </c>
    </row>
    <row r="279" spans="1:6">
      <c r="A279" t="s">
        <v>392</v>
      </c>
      <c r="B279" t="s">
        <v>3854</v>
      </c>
      <c r="C279" t="s">
        <v>3558</v>
      </c>
      <c r="D279" t="s">
        <v>3563</v>
      </c>
      <c r="E279" t="s">
        <v>3573</v>
      </c>
      <c r="F279" t="s">
        <v>3574</v>
      </c>
    </row>
    <row r="280" spans="1:6">
      <c r="A280" t="s">
        <v>767</v>
      </c>
      <c r="B280" t="s">
        <v>3855</v>
      </c>
      <c r="C280" t="s">
        <v>3582</v>
      </c>
      <c r="D280" t="s">
        <v>3584</v>
      </c>
      <c r="E280" t="s">
        <v>3573</v>
      </c>
      <c r="F280" t="s">
        <v>3577</v>
      </c>
    </row>
    <row r="281" spans="1:6">
      <c r="A281" t="s">
        <v>385</v>
      </c>
      <c r="B281" t="s">
        <v>3856</v>
      </c>
      <c r="C281" t="s">
        <v>3553</v>
      </c>
      <c r="D281" t="s">
        <v>3563</v>
      </c>
      <c r="E281" t="s">
        <v>3568</v>
      </c>
      <c r="F281" t="s">
        <v>3600</v>
      </c>
    </row>
    <row r="282" spans="1:6">
      <c r="A282" t="s">
        <v>1874</v>
      </c>
      <c r="B282" t="s">
        <v>3857</v>
      </c>
      <c r="C282" t="s">
        <v>3562</v>
      </c>
      <c r="D282" t="s">
        <v>3563</v>
      </c>
      <c r="E282" t="s">
        <v>3568</v>
      </c>
      <c r="F282" t="s">
        <v>3569</v>
      </c>
    </row>
    <row r="283" spans="1:6">
      <c r="A283" t="s">
        <v>259</v>
      </c>
      <c r="B283" t="s">
        <v>3858</v>
      </c>
      <c r="C283" t="s">
        <v>3588</v>
      </c>
      <c r="D283" t="s">
        <v>3554</v>
      </c>
      <c r="E283" t="s">
        <v>3555</v>
      </c>
      <c r="F283" t="s">
        <v>3571</v>
      </c>
    </row>
    <row r="284" spans="1:6">
      <c r="A284" t="s">
        <v>2171</v>
      </c>
      <c r="B284" t="s">
        <v>3859</v>
      </c>
      <c r="C284" t="s">
        <v>3582</v>
      </c>
      <c r="D284" t="s">
        <v>3554</v>
      </c>
      <c r="E284" t="s">
        <v>3573</v>
      </c>
      <c r="F284" t="s">
        <v>3574</v>
      </c>
    </row>
    <row r="285" spans="1:6">
      <c r="A285" t="s">
        <v>892</v>
      </c>
      <c r="B285" t="s">
        <v>3860</v>
      </c>
      <c r="C285" t="s">
        <v>3582</v>
      </c>
      <c r="D285" t="s">
        <v>3584</v>
      </c>
      <c r="E285" t="s">
        <v>3568</v>
      </c>
      <c r="F285" t="s">
        <v>3600</v>
      </c>
    </row>
    <row r="286" spans="1:6">
      <c r="A286" t="s">
        <v>108</v>
      </c>
      <c r="B286" t="s">
        <v>3861</v>
      </c>
      <c r="C286" t="s">
        <v>3586</v>
      </c>
      <c r="D286" t="s">
        <v>3563</v>
      </c>
      <c r="E286" t="s">
        <v>3559</v>
      </c>
      <c r="F286" t="s">
        <v>3560</v>
      </c>
    </row>
    <row r="287" spans="1:6">
      <c r="A287" t="s">
        <v>77</v>
      </c>
      <c r="B287" t="s">
        <v>3862</v>
      </c>
      <c r="C287" t="s">
        <v>3562</v>
      </c>
      <c r="D287" t="s">
        <v>3563</v>
      </c>
      <c r="E287" t="s">
        <v>3573</v>
      </c>
      <c r="F287" t="s">
        <v>3577</v>
      </c>
    </row>
    <row r="288" spans="1:6">
      <c r="A288" t="s">
        <v>1159</v>
      </c>
      <c r="B288" t="s">
        <v>3863</v>
      </c>
      <c r="C288" t="s">
        <v>3582</v>
      </c>
      <c r="D288" t="s">
        <v>3563</v>
      </c>
      <c r="E288" t="s">
        <v>3568</v>
      </c>
      <c r="F288" t="s">
        <v>3569</v>
      </c>
    </row>
    <row r="289" spans="1:6">
      <c r="A289" t="s">
        <v>31</v>
      </c>
      <c r="B289" t="s">
        <v>3864</v>
      </c>
      <c r="C289" t="s">
        <v>3558</v>
      </c>
      <c r="D289" t="s">
        <v>3563</v>
      </c>
      <c r="E289" t="s">
        <v>3555</v>
      </c>
      <c r="F289" t="s">
        <v>3556</v>
      </c>
    </row>
    <row r="290" spans="1:6">
      <c r="A290" t="s">
        <v>20</v>
      </c>
      <c r="B290" t="s">
        <v>3865</v>
      </c>
      <c r="C290" t="s">
        <v>3586</v>
      </c>
      <c r="D290" t="s">
        <v>3563</v>
      </c>
      <c r="E290" t="s">
        <v>3573</v>
      </c>
      <c r="F290" t="s">
        <v>3577</v>
      </c>
    </row>
    <row r="291" spans="1:6">
      <c r="A291" t="s">
        <v>292</v>
      </c>
      <c r="B291" t="s">
        <v>3866</v>
      </c>
      <c r="C291" t="s">
        <v>3586</v>
      </c>
      <c r="D291" t="s">
        <v>3563</v>
      </c>
      <c r="E291" t="s">
        <v>3559</v>
      </c>
      <c r="F291" t="s">
        <v>3560</v>
      </c>
    </row>
    <row r="292" spans="1:6">
      <c r="A292" t="s">
        <v>1453</v>
      </c>
      <c r="B292" t="s">
        <v>3867</v>
      </c>
      <c r="C292" t="s">
        <v>3562</v>
      </c>
      <c r="D292" t="s">
        <v>3554</v>
      </c>
      <c r="E292" t="s">
        <v>3568</v>
      </c>
      <c r="F292" t="s">
        <v>3600</v>
      </c>
    </row>
    <row r="293" spans="1:6">
      <c r="A293" t="s">
        <v>1481</v>
      </c>
      <c r="B293" t="s">
        <v>3868</v>
      </c>
      <c r="C293" t="s">
        <v>3582</v>
      </c>
      <c r="D293" t="s">
        <v>3563</v>
      </c>
      <c r="E293" t="s">
        <v>3568</v>
      </c>
      <c r="F293" t="s">
        <v>3569</v>
      </c>
    </row>
    <row r="294" spans="1:6">
      <c r="A294" t="s">
        <v>364</v>
      </c>
      <c r="B294" t="s">
        <v>3869</v>
      </c>
      <c r="C294" t="s">
        <v>3588</v>
      </c>
      <c r="D294" t="s">
        <v>3563</v>
      </c>
      <c r="E294" t="s">
        <v>3568</v>
      </c>
      <c r="F294" t="s">
        <v>3569</v>
      </c>
    </row>
    <row r="295" spans="1:6">
      <c r="A295" t="s">
        <v>25</v>
      </c>
      <c r="B295" t="s">
        <v>3870</v>
      </c>
      <c r="C295" t="s">
        <v>3586</v>
      </c>
      <c r="D295" t="s">
        <v>3563</v>
      </c>
      <c r="E295" t="s">
        <v>3559</v>
      </c>
      <c r="F295" t="s">
        <v>3595</v>
      </c>
    </row>
    <row r="296" spans="1:6">
      <c r="A296" t="s">
        <v>1019</v>
      </c>
      <c r="B296" t="s">
        <v>3871</v>
      </c>
      <c r="C296" t="s">
        <v>3553</v>
      </c>
      <c r="D296" t="s">
        <v>3584</v>
      </c>
      <c r="E296" t="s">
        <v>3573</v>
      </c>
      <c r="F296" t="s">
        <v>3574</v>
      </c>
    </row>
    <row r="297" spans="1:6">
      <c r="A297" t="s">
        <v>1220</v>
      </c>
      <c r="B297" t="s">
        <v>3872</v>
      </c>
      <c r="C297" t="s">
        <v>3553</v>
      </c>
      <c r="D297" t="s">
        <v>3563</v>
      </c>
      <c r="E297" t="s">
        <v>3573</v>
      </c>
      <c r="F297" t="s">
        <v>3577</v>
      </c>
    </row>
    <row r="298" spans="1:6">
      <c r="A298" t="s">
        <v>497</v>
      </c>
      <c r="B298" t="s">
        <v>3873</v>
      </c>
      <c r="C298" t="s">
        <v>3586</v>
      </c>
      <c r="D298" t="s">
        <v>3563</v>
      </c>
      <c r="E298" t="s">
        <v>3555</v>
      </c>
      <c r="F298" t="s">
        <v>3556</v>
      </c>
    </row>
    <row r="299" spans="1:6">
      <c r="A299" t="s">
        <v>123</v>
      </c>
      <c r="B299" t="s">
        <v>3874</v>
      </c>
      <c r="C299" t="s">
        <v>3553</v>
      </c>
      <c r="D299" t="s">
        <v>3554</v>
      </c>
      <c r="E299" t="s">
        <v>3555</v>
      </c>
      <c r="F299" t="s">
        <v>3556</v>
      </c>
    </row>
    <row r="300" spans="1:6">
      <c r="A300" t="s">
        <v>118</v>
      </c>
      <c r="B300" t="s">
        <v>3875</v>
      </c>
      <c r="C300" t="s">
        <v>3562</v>
      </c>
      <c r="D300" t="s">
        <v>3563</v>
      </c>
      <c r="E300" t="s">
        <v>3559</v>
      </c>
      <c r="F300" t="s">
        <v>3560</v>
      </c>
    </row>
    <row r="301" spans="1:6">
      <c r="A301" t="s">
        <v>696</v>
      </c>
      <c r="B301" t="s">
        <v>3876</v>
      </c>
      <c r="C301" t="s">
        <v>3562</v>
      </c>
      <c r="D301" t="s">
        <v>3563</v>
      </c>
      <c r="E301" t="s">
        <v>3559</v>
      </c>
      <c r="F301" t="s">
        <v>3595</v>
      </c>
    </row>
    <row r="302" spans="1:6">
      <c r="A302" t="s">
        <v>1201</v>
      </c>
      <c r="B302" t="s">
        <v>3877</v>
      </c>
      <c r="C302" t="s">
        <v>3558</v>
      </c>
      <c r="D302" t="s">
        <v>3554</v>
      </c>
      <c r="E302" t="s">
        <v>3573</v>
      </c>
      <c r="F302" t="s">
        <v>3590</v>
      </c>
    </row>
    <row r="303" spans="1:6">
      <c r="A303" t="s">
        <v>983</v>
      </c>
      <c r="B303" t="s">
        <v>3878</v>
      </c>
      <c r="C303" t="s">
        <v>3588</v>
      </c>
      <c r="D303" t="s">
        <v>3584</v>
      </c>
      <c r="E303" t="s">
        <v>3555</v>
      </c>
      <c r="F303" t="s">
        <v>3556</v>
      </c>
    </row>
    <row r="304" spans="1:6">
      <c r="A304" t="s">
        <v>304</v>
      </c>
      <c r="B304" t="s">
        <v>3879</v>
      </c>
      <c r="C304" t="s">
        <v>3562</v>
      </c>
      <c r="D304" t="s">
        <v>3563</v>
      </c>
      <c r="E304" t="s">
        <v>3559</v>
      </c>
      <c r="F304" t="s">
        <v>3595</v>
      </c>
    </row>
    <row r="305" spans="1:6">
      <c r="A305" t="s">
        <v>1483</v>
      </c>
      <c r="B305" t="s">
        <v>3880</v>
      </c>
      <c r="C305" t="s">
        <v>3582</v>
      </c>
      <c r="D305" t="s">
        <v>3584</v>
      </c>
      <c r="E305" t="s">
        <v>3555</v>
      </c>
      <c r="F305" t="s">
        <v>3556</v>
      </c>
    </row>
    <row r="306" spans="1:6">
      <c r="A306" t="s">
        <v>524</v>
      </c>
      <c r="B306" t="s">
        <v>3881</v>
      </c>
      <c r="C306" t="s">
        <v>3588</v>
      </c>
      <c r="D306" t="s">
        <v>3554</v>
      </c>
      <c r="E306" t="s">
        <v>3555</v>
      </c>
      <c r="F306" t="s">
        <v>3556</v>
      </c>
    </row>
    <row r="307" spans="1:6">
      <c r="A307" t="s">
        <v>308</v>
      </c>
      <c r="B307" t="s">
        <v>3882</v>
      </c>
      <c r="C307" t="s">
        <v>3553</v>
      </c>
      <c r="D307" t="s">
        <v>3563</v>
      </c>
      <c r="E307" t="s">
        <v>3573</v>
      </c>
      <c r="F307" t="s">
        <v>3577</v>
      </c>
    </row>
    <row r="308" spans="1:6">
      <c r="A308" t="s">
        <v>1162</v>
      </c>
      <c r="B308" t="s">
        <v>3883</v>
      </c>
      <c r="C308" t="s">
        <v>3582</v>
      </c>
      <c r="D308" t="s">
        <v>3563</v>
      </c>
      <c r="E308" t="s">
        <v>3559</v>
      </c>
      <c r="F308" t="s">
        <v>3595</v>
      </c>
    </row>
    <row r="309" spans="1:6">
      <c r="A309" t="s">
        <v>262</v>
      </c>
      <c r="B309" t="s">
        <v>3884</v>
      </c>
      <c r="C309" t="s">
        <v>3586</v>
      </c>
      <c r="D309" t="s">
        <v>3563</v>
      </c>
      <c r="E309" t="s">
        <v>3555</v>
      </c>
      <c r="F309" t="s">
        <v>3571</v>
      </c>
    </row>
    <row r="310" spans="1:6">
      <c r="A310" t="s">
        <v>992</v>
      </c>
      <c r="B310" t="s">
        <v>3885</v>
      </c>
      <c r="C310" t="s">
        <v>3586</v>
      </c>
      <c r="D310" t="s">
        <v>3554</v>
      </c>
      <c r="E310" t="s">
        <v>3555</v>
      </c>
      <c r="F310" t="s">
        <v>3565</v>
      </c>
    </row>
    <row r="311" spans="1:6">
      <c r="A311" t="s">
        <v>664</v>
      </c>
      <c r="B311" t="s">
        <v>3886</v>
      </c>
      <c r="C311" t="s">
        <v>3582</v>
      </c>
      <c r="D311" t="s">
        <v>3554</v>
      </c>
      <c r="E311" t="s">
        <v>3555</v>
      </c>
      <c r="F311" t="s">
        <v>3565</v>
      </c>
    </row>
    <row r="312" spans="1:6">
      <c r="A312" t="s">
        <v>703</v>
      </c>
      <c r="B312" t="s">
        <v>3887</v>
      </c>
      <c r="C312" t="s">
        <v>3586</v>
      </c>
      <c r="D312" t="s">
        <v>3554</v>
      </c>
      <c r="E312" t="s">
        <v>3573</v>
      </c>
      <c r="F312" t="s">
        <v>3577</v>
      </c>
    </row>
    <row r="313" spans="1:6">
      <c r="A313" t="s">
        <v>3888</v>
      </c>
      <c r="B313" t="s">
        <v>3889</v>
      </c>
      <c r="C313" t="s">
        <v>3586</v>
      </c>
      <c r="D313" t="s">
        <v>3554</v>
      </c>
      <c r="E313" t="s">
        <v>3555</v>
      </c>
      <c r="F313" t="s">
        <v>3571</v>
      </c>
    </row>
    <row r="314" spans="1:6">
      <c r="A314" t="s">
        <v>264</v>
      </c>
      <c r="B314" t="s">
        <v>3890</v>
      </c>
      <c r="C314" t="s">
        <v>3586</v>
      </c>
      <c r="D314" t="s">
        <v>3554</v>
      </c>
      <c r="E314" t="s">
        <v>3555</v>
      </c>
      <c r="F314" t="s">
        <v>3571</v>
      </c>
    </row>
    <row r="315" spans="1:6">
      <c r="A315" t="s">
        <v>1644</v>
      </c>
      <c r="B315" t="s">
        <v>3891</v>
      </c>
      <c r="C315" t="s">
        <v>3553</v>
      </c>
      <c r="D315" t="s">
        <v>3563</v>
      </c>
      <c r="E315" t="s">
        <v>3555</v>
      </c>
      <c r="F315" t="s">
        <v>3556</v>
      </c>
    </row>
    <row r="316" spans="1:6">
      <c r="A316" t="s">
        <v>1366</v>
      </c>
      <c r="B316" t="s">
        <v>3892</v>
      </c>
      <c r="C316" t="s">
        <v>3558</v>
      </c>
      <c r="D316" t="s">
        <v>3563</v>
      </c>
      <c r="E316" t="s">
        <v>3555</v>
      </c>
      <c r="F316" t="s">
        <v>3565</v>
      </c>
    </row>
    <row r="317" spans="1:6">
      <c r="A317" t="s">
        <v>894</v>
      </c>
      <c r="B317" t="s">
        <v>3893</v>
      </c>
      <c r="C317" t="s">
        <v>3586</v>
      </c>
      <c r="D317" t="s">
        <v>3584</v>
      </c>
      <c r="E317" t="s">
        <v>3573</v>
      </c>
      <c r="F317" t="s">
        <v>3590</v>
      </c>
    </row>
    <row r="318" spans="1:6">
      <c r="A318" t="s">
        <v>559</v>
      </c>
      <c r="B318" t="s">
        <v>3894</v>
      </c>
      <c r="C318" t="s">
        <v>3586</v>
      </c>
      <c r="D318" t="s">
        <v>3554</v>
      </c>
      <c r="E318" t="s">
        <v>3573</v>
      </c>
      <c r="F318" t="s">
        <v>3574</v>
      </c>
    </row>
    <row r="319" spans="1:6">
      <c r="A319" t="s">
        <v>2330</v>
      </c>
      <c r="B319" t="s">
        <v>3895</v>
      </c>
      <c r="C319" t="s">
        <v>3582</v>
      </c>
      <c r="D319" t="s">
        <v>3563</v>
      </c>
      <c r="E319" t="s">
        <v>3555</v>
      </c>
      <c r="F319" t="s">
        <v>3565</v>
      </c>
    </row>
    <row r="320" spans="1:6">
      <c r="A320" t="s">
        <v>247</v>
      </c>
      <c r="B320" t="s">
        <v>3896</v>
      </c>
      <c r="C320" t="s">
        <v>3586</v>
      </c>
      <c r="D320" t="s">
        <v>3563</v>
      </c>
      <c r="E320" t="s">
        <v>3559</v>
      </c>
      <c r="F320" t="s">
        <v>3595</v>
      </c>
    </row>
    <row r="321" spans="1:6">
      <c r="A321" t="s">
        <v>1169</v>
      </c>
      <c r="B321" t="s">
        <v>3897</v>
      </c>
      <c r="C321" t="s">
        <v>3588</v>
      </c>
      <c r="D321" t="s">
        <v>3554</v>
      </c>
      <c r="E321" t="s">
        <v>3568</v>
      </c>
      <c r="F321" t="s">
        <v>3569</v>
      </c>
    </row>
    <row r="322" spans="1:6">
      <c r="A322" t="s">
        <v>539</v>
      </c>
      <c r="B322" t="s">
        <v>3898</v>
      </c>
      <c r="C322" t="s">
        <v>3582</v>
      </c>
      <c r="D322" t="s">
        <v>3563</v>
      </c>
      <c r="E322" t="s">
        <v>3568</v>
      </c>
      <c r="F322" t="s">
        <v>3569</v>
      </c>
    </row>
    <row r="323" spans="1:6">
      <c r="A323" t="s">
        <v>526</v>
      </c>
      <c r="B323" t="s">
        <v>3899</v>
      </c>
      <c r="C323" t="s">
        <v>3582</v>
      </c>
      <c r="D323" t="s">
        <v>3563</v>
      </c>
      <c r="E323" t="s">
        <v>3573</v>
      </c>
      <c r="F323" t="s">
        <v>3577</v>
      </c>
    </row>
    <row r="324" spans="1:6">
      <c r="A324" t="s">
        <v>282</v>
      </c>
      <c r="B324" t="s">
        <v>3900</v>
      </c>
      <c r="C324" t="s">
        <v>3553</v>
      </c>
      <c r="D324" t="s">
        <v>3563</v>
      </c>
      <c r="E324" t="s">
        <v>3568</v>
      </c>
      <c r="F324" t="s">
        <v>3600</v>
      </c>
    </row>
    <row r="325" spans="1:6">
      <c r="A325" t="s">
        <v>296</v>
      </c>
      <c r="B325" t="s">
        <v>3901</v>
      </c>
      <c r="C325" t="s">
        <v>3586</v>
      </c>
      <c r="D325" t="s">
        <v>3563</v>
      </c>
      <c r="E325" t="s">
        <v>3555</v>
      </c>
      <c r="F325" t="s">
        <v>3565</v>
      </c>
    </row>
    <row r="326" spans="1:6">
      <c r="A326" t="s">
        <v>238</v>
      </c>
      <c r="B326" t="s">
        <v>3902</v>
      </c>
      <c r="C326" t="s">
        <v>3558</v>
      </c>
      <c r="D326" t="s">
        <v>3554</v>
      </c>
      <c r="E326" t="s">
        <v>3573</v>
      </c>
      <c r="F326" t="s">
        <v>3590</v>
      </c>
    </row>
    <row r="327" spans="1:6">
      <c r="A327" t="s">
        <v>177</v>
      </c>
      <c r="B327" t="s">
        <v>3903</v>
      </c>
      <c r="C327" t="s">
        <v>3582</v>
      </c>
      <c r="D327" t="s">
        <v>3563</v>
      </c>
      <c r="E327" t="s">
        <v>3573</v>
      </c>
      <c r="F327" t="s">
        <v>3574</v>
      </c>
    </row>
    <row r="328" spans="1:6">
      <c r="A328" t="s">
        <v>348</v>
      </c>
      <c r="B328" t="s">
        <v>3904</v>
      </c>
      <c r="C328" t="s">
        <v>3582</v>
      </c>
      <c r="D328" t="s">
        <v>3563</v>
      </c>
      <c r="E328" t="s">
        <v>3568</v>
      </c>
      <c r="F328" t="s">
        <v>3569</v>
      </c>
    </row>
    <row r="329" spans="1:6">
      <c r="A329" t="s">
        <v>549</v>
      </c>
      <c r="B329" t="s">
        <v>3905</v>
      </c>
      <c r="C329" t="s">
        <v>3588</v>
      </c>
      <c r="D329" t="s">
        <v>3563</v>
      </c>
      <c r="E329" t="s">
        <v>3573</v>
      </c>
      <c r="F329" t="s">
        <v>3590</v>
      </c>
    </row>
    <row r="330" spans="1:6">
      <c r="A330" t="s">
        <v>1076</v>
      </c>
      <c r="B330" t="s">
        <v>3906</v>
      </c>
      <c r="C330" t="s">
        <v>3558</v>
      </c>
      <c r="D330" t="s">
        <v>3554</v>
      </c>
      <c r="E330" t="s">
        <v>3559</v>
      </c>
      <c r="F330" t="s">
        <v>3595</v>
      </c>
    </row>
    <row r="331" spans="1:6">
      <c r="A331" t="s">
        <v>1237</v>
      </c>
      <c r="B331" t="s">
        <v>3907</v>
      </c>
      <c r="C331" t="s">
        <v>3588</v>
      </c>
      <c r="D331" t="s">
        <v>3554</v>
      </c>
      <c r="E331" t="s">
        <v>3555</v>
      </c>
      <c r="F331" t="s">
        <v>3571</v>
      </c>
    </row>
    <row r="332" spans="1:6">
      <c r="A332" t="s">
        <v>2699</v>
      </c>
      <c r="B332" t="s">
        <v>3908</v>
      </c>
      <c r="C332" t="s">
        <v>3588</v>
      </c>
      <c r="D332" t="s">
        <v>3554</v>
      </c>
      <c r="E332" t="s">
        <v>3555</v>
      </c>
      <c r="F332" t="s">
        <v>3571</v>
      </c>
    </row>
    <row r="333" spans="1:6">
      <c r="A333" t="s">
        <v>121</v>
      </c>
      <c r="B333" t="s">
        <v>3909</v>
      </c>
      <c r="C333" t="s">
        <v>3562</v>
      </c>
      <c r="D333" t="s">
        <v>3584</v>
      </c>
      <c r="E333" t="s">
        <v>3555</v>
      </c>
      <c r="F333" t="s">
        <v>3565</v>
      </c>
    </row>
    <row r="334" spans="1:6">
      <c r="A334" t="s">
        <v>404</v>
      </c>
      <c r="B334" t="s">
        <v>3910</v>
      </c>
      <c r="C334" t="s">
        <v>3553</v>
      </c>
      <c r="D334" t="s">
        <v>3563</v>
      </c>
      <c r="E334" t="s">
        <v>3573</v>
      </c>
      <c r="F334" t="s">
        <v>3590</v>
      </c>
    </row>
    <row r="335" spans="1:6">
      <c r="A335" t="s">
        <v>948</v>
      </c>
      <c r="B335" t="s">
        <v>3911</v>
      </c>
      <c r="C335" t="s">
        <v>3588</v>
      </c>
      <c r="D335" t="s">
        <v>3563</v>
      </c>
      <c r="E335" t="s">
        <v>3573</v>
      </c>
      <c r="F335" t="s">
        <v>3577</v>
      </c>
    </row>
    <row r="336" spans="1:6">
      <c r="A336" t="s">
        <v>137</v>
      </c>
      <c r="B336" t="s">
        <v>3912</v>
      </c>
      <c r="C336" t="s">
        <v>3562</v>
      </c>
      <c r="D336" t="s">
        <v>3554</v>
      </c>
      <c r="E336" t="s">
        <v>3559</v>
      </c>
      <c r="F336" t="s">
        <v>3595</v>
      </c>
    </row>
    <row r="337" spans="1:6">
      <c r="A337" t="s">
        <v>458</v>
      </c>
      <c r="B337" t="s">
        <v>3913</v>
      </c>
      <c r="C337" t="s">
        <v>3582</v>
      </c>
      <c r="D337" t="s">
        <v>3554</v>
      </c>
      <c r="E337" t="s">
        <v>3559</v>
      </c>
      <c r="F337" t="s">
        <v>3595</v>
      </c>
    </row>
    <row r="338" spans="1:6">
      <c r="A338" t="s">
        <v>451</v>
      </c>
      <c r="B338" t="s">
        <v>3914</v>
      </c>
      <c r="C338" t="s">
        <v>3582</v>
      </c>
      <c r="D338" t="s">
        <v>3554</v>
      </c>
      <c r="E338" t="s">
        <v>3555</v>
      </c>
      <c r="F338" t="s">
        <v>3571</v>
      </c>
    </row>
    <row r="339" spans="1:6">
      <c r="A339" t="s">
        <v>814</v>
      </c>
      <c r="B339" t="s">
        <v>3915</v>
      </c>
      <c r="C339" t="s">
        <v>3586</v>
      </c>
      <c r="D339" t="s">
        <v>3563</v>
      </c>
      <c r="E339" t="s">
        <v>3568</v>
      </c>
      <c r="F339" t="s">
        <v>3569</v>
      </c>
    </row>
    <row r="340" spans="1:6">
      <c r="A340" t="s">
        <v>853</v>
      </c>
      <c r="B340" t="s">
        <v>3916</v>
      </c>
      <c r="C340" t="s">
        <v>3582</v>
      </c>
      <c r="D340" t="s">
        <v>3563</v>
      </c>
      <c r="E340" t="s">
        <v>3573</v>
      </c>
      <c r="F340" t="s">
        <v>3590</v>
      </c>
    </row>
    <row r="341" spans="1:6">
      <c r="A341" t="s">
        <v>966</v>
      </c>
      <c r="B341" t="s">
        <v>3917</v>
      </c>
      <c r="C341" t="s">
        <v>3553</v>
      </c>
      <c r="D341" t="s">
        <v>3563</v>
      </c>
      <c r="E341" t="s">
        <v>3555</v>
      </c>
      <c r="F341" t="s">
        <v>3565</v>
      </c>
    </row>
    <row r="342" spans="1:6">
      <c r="A342" t="s">
        <v>851</v>
      </c>
      <c r="B342" t="s">
        <v>3918</v>
      </c>
      <c r="C342" t="s">
        <v>3582</v>
      </c>
      <c r="D342" t="s">
        <v>3563</v>
      </c>
      <c r="E342" t="s">
        <v>3555</v>
      </c>
      <c r="F342" t="s">
        <v>3571</v>
      </c>
    </row>
    <row r="343" spans="1:6">
      <c r="A343" t="s">
        <v>1092</v>
      </c>
      <c r="B343" t="s">
        <v>3919</v>
      </c>
      <c r="C343" t="s">
        <v>3586</v>
      </c>
      <c r="D343" t="s">
        <v>3554</v>
      </c>
      <c r="E343" t="s">
        <v>3568</v>
      </c>
      <c r="F343" t="s">
        <v>3569</v>
      </c>
    </row>
    <row r="344" spans="1:6">
      <c r="A344" t="s">
        <v>489</v>
      </c>
      <c r="B344" t="s">
        <v>3920</v>
      </c>
      <c r="C344" t="s">
        <v>3558</v>
      </c>
      <c r="D344" t="s">
        <v>3554</v>
      </c>
      <c r="E344" t="s">
        <v>3573</v>
      </c>
      <c r="F344" t="s">
        <v>3577</v>
      </c>
    </row>
    <row r="345" spans="1:6">
      <c r="A345" t="s">
        <v>672</v>
      </c>
      <c r="B345" t="s">
        <v>3921</v>
      </c>
      <c r="C345" t="s">
        <v>3586</v>
      </c>
      <c r="D345" t="s">
        <v>3563</v>
      </c>
      <c r="E345" t="s">
        <v>3573</v>
      </c>
      <c r="F345" t="s">
        <v>3590</v>
      </c>
    </row>
    <row r="346" spans="1:6">
      <c r="A346" t="s">
        <v>628</v>
      </c>
      <c r="B346" t="s">
        <v>3922</v>
      </c>
      <c r="C346" t="s">
        <v>3562</v>
      </c>
      <c r="D346" t="s">
        <v>3554</v>
      </c>
      <c r="E346" t="s">
        <v>3568</v>
      </c>
      <c r="F346" t="s">
        <v>3600</v>
      </c>
    </row>
    <row r="347" spans="1:6">
      <c r="A347" t="s">
        <v>329</v>
      </c>
      <c r="B347" t="s">
        <v>3923</v>
      </c>
      <c r="C347" t="s">
        <v>3586</v>
      </c>
      <c r="D347" t="s">
        <v>3584</v>
      </c>
      <c r="E347" t="s">
        <v>3559</v>
      </c>
      <c r="F347" t="s">
        <v>3595</v>
      </c>
    </row>
    <row r="348" spans="1:6">
      <c r="A348" t="s">
        <v>287</v>
      </c>
      <c r="B348" t="s">
        <v>3924</v>
      </c>
      <c r="C348" t="s">
        <v>3558</v>
      </c>
      <c r="D348" t="s">
        <v>3563</v>
      </c>
      <c r="E348" t="s">
        <v>3555</v>
      </c>
      <c r="F348" t="s">
        <v>3556</v>
      </c>
    </row>
    <row r="349" spans="1:6">
      <c r="A349" t="s">
        <v>1445</v>
      </c>
      <c r="B349" t="s">
        <v>3925</v>
      </c>
      <c r="C349" t="s">
        <v>3588</v>
      </c>
      <c r="D349" t="s">
        <v>3563</v>
      </c>
      <c r="E349" t="s">
        <v>3559</v>
      </c>
      <c r="F349" t="s">
        <v>3595</v>
      </c>
    </row>
    <row r="350" spans="1:6">
      <c r="A350" t="s">
        <v>1235</v>
      </c>
      <c r="B350" t="s">
        <v>3926</v>
      </c>
      <c r="C350" t="s">
        <v>3586</v>
      </c>
      <c r="D350" t="s">
        <v>3554</v>
      </c>
      <c r="E350" t="s">
        <v>3555</v>
      </c>
      <c r="F350" t="s">
        <v>3556</v>
      </c>
    </row>
    <row r="351" spans="1:6">
      <c r="A351" t="s">
        <v>1368</v>
      </c>
      <c r="B351" t="s">
        <v>3927</v>
      </c>
      <c r="C351" t="s">
        <v>3586</v>
      </c>
      <c r="D351" t="s">
        <v>3554</v>
      </c>
      <c r="E351" t="s">
        <v>3559</v>
      </c>
      <c r="F351" t="s">
        <v>3595</v>
      </c>
    </row>
    <row r="352" spans="1:6">
      <c r="A352" t="s">
        <v>1843</v>
      </c>
      <c r="B352" t="s">
        <v>3928</v>
      </c>
      <c r="C352" t="s">
        <v>3553</v>
      </c>
      <c r="D352" t="s">
        <v>3563</v>
      </c>
      <c r="E352" t="s">
        <v>3573</v>
      </c>
      <c r="F352" t="s">
        <v>3590</v>
      </c>
    </row>
    <row r="353" spans="1:6">
      <c r="A353" t="s">
        <v>969</v>
      </c>
      <c r="B353" t="s">
        <v>3929</v>
      </c>
      <c r="C353" t="s">
        <v>3586</v>
      </c>
      <c r="D353" t="s">
        <v>3563</v>
      </c>
      <c r="E353" t="s">
        <v>3555</v>
      </c>
      <c r="F353" t="s">
        <v>3556</v>
      </c>
    </row>
    <row r="354" spans="1:6">
      <c r="A354" t="s">
        <v>345</v>
      </c>
      <c r="B354" t="s">
        <v>3930</v>
      </c>
      <c r="C354" t="s">
        <v>3562</v>
      </c>
      <c r="D354" t="s">
        <v>3563</v>
      </c>
      <c r="E354" t="s">
        <v>3573</v>
      </c>
      <c r="F354" t="s">
        <v>3574</v>
      </c>
    </row>
    <row r="355" spans="1:6">
      <c r="A355" t="s">
        <v>245</v>
      </c>
      <c r="B355" t="s">
        <v>3931</v>
      </c>
      <c r="C355" t="s">
        <v>3588</v>
      </c>
      <c r="D355" t="s">
        <v>3563</v>
      </c>
      <c r="E355" t="s">
        <v>3568</v>
      </c>
      <c r="F355" t="s">
        <v>3600</v>
      </c>
    </row>
    <row r="356" spans="1:6">
      <c r="A356" t="s">
        <v>1398</v>
      </c>
      <c r="B356" t="s">
        <v>3932</v>
      </c>
      <c r="C356" t="s">
        <v>3558</v>
      </c>
      <c r="D356" t="s">
        <v>3554</v>
      </c>
      <c r="E356" t="s">
        <v>3573</v>
      </c>
      <c r="F356" t="s">
        <v>3590</v>
      </c>
    </row>
    <row r="357" spans="1:6">
      <c r="A357" t="s">
        <v>980</v>
      </c>
      <c r="B357" t="s">
        <v>3933</v>
      </c>
      <c r="C357" t="s">
        <v>3582</v>
      </c>
      <c r="D357" t="s">
        <v>3584</v>
      </c>
      <c r="E357" t="s">
        <v>3568</v>
      </c>
      <c r="F357" t="s">
        <v>3600</v>
      </c>
    </row>
    <row r="358" spans="1:6">
      <c r="A358" t="s">
        <v>1065</v>
      </c>
      <c r="B358" t="s">
        <v>3934</v>
      </c>
      <c r="C358" t="s">
        <v>3553</v>
      </c>
      <c r="D358" t="s">
        <v>3563</v>
      </c>
      <c r="E358" t="s">
        <v>3568</v>
      </c>
      <c r="F358" t="s">
        <v>3607</v>
      </c>
    </row>
    <row r="359" spans="1:6">
      <c r="A359" t="s">
        <v>491</v>
      </c>
      <c r="B359" t="s">
        <v>3935</v>
      </c>
      <c r="C359" t="s">
        <v>3562</v>
      </c>
      <c r="D359" t="s">
        <v>3563</v>
      </c>
      <c r="E359" t="s">
        <v>3568</v>
      </c>
      <c r="F359" t="s">
        <v>3569</v>
      </c>
    </row>
    <row r="360" spans="1:6">
      <c r="A360" t="s">
        <v>741</v>
      </c>
      <c r="B360" t="s">
        <v>3936</v>
      </c>
      <c r="C360" t="s">
        <v>3558</v>
      </c>
      <c r="D360" t="s">
        <v>3563</v>
      </c>
      <c r="E360" t="s">
        <v>3573</v>
      </c>
      <c r="F360" t="s">
        <v>3577</v>
      </c>
    </row>
    <row r="361" spans="1:6">
      <c r="A361" t="s">
        <v>878</v>
      </c>
      <c r="B361" t="s">
        <v>3937</v>
      </c>
      <c r="C361" t="s">
        <v>3562</v>
      </c>
      <c r="D361" t="s">
        <v>3554</v>
      </c>
      <c r="E361" t="s">
        <v>3555</v>
      </c>
      <c r="F361" t="s">
        <v>3565</v>
      </c>
    </row>
    <row r="362" spans="1:6">
      <c r="A362" t="s">
        <v>35</v>
      </c>
      <c r="B362" t="s">
        <v>3938</v>
      </c>
      <c r="C362" t="s">
        <v>3588</v>
      </c>
      <c r="D362" t="s">
        <v>3563</v>
      </c>
      <c r="E362" t="s">
        <v>3559</v>
      </c>
      <c r="F362" t="s">
        <v>3560</v>
      </c>
    </row>
    <row r="363" spans="1:6">
      <c r="A363" t="s">
        <v>1595</v>
      </c>
      <c r="B363" t="s">
        <v>3939</v>
      </c>
      <c r="C363" t="s">
        <v>3558</v>
      </c>
      <c r="D363" t="s">
        <v>3563</v>
      </c>
      <c r="E363" t="s">
        <v>3559</v>
      </c>
      <c r="F363" t="s">
        <v>3593</v>
      </c>
    </row>
    <row r="364" spans="1:6">
      <c r="A364" t="s">
        <v>1152</v>
      </c>
      <c r="B364" t="s">
        <v>3940</v>
      </c>
      <c r="C364" t="s">
        <v>3558</v>
      </c>
      <c r="D364" t="s">
        <v>3554</v>
      </c>
      <c r="E364" t="s">
        <v>3559</v>
      </c>
      <c r="F364" t="s">
        <v>3560</v>
      </c>
    </row>
    <row r="365" spans="1:6">
      <c r="A365" t="s">
        <v>1035</v>
      </c>
      <c r="B365" t="s">
        <v>3941</v>
      </c>
      <c r="C365" t="s">
        <v>3558</v>
      </c>
      <c r="D365" t="s">
        <v>3584</v>
      </c>
      <c r="E365" t="s">
        <v>3555</v>
      </c>
      <c r="F365" t="s">
        <v>3565</v>
      </c>
    </row>
    <row r="366" spans="1:6">
      <c r="A366" t="s">
        <v>857</v>
      </c>
      <c r="B366" t="s">
        <v>3942</v>
      </c>
      <c r="C366" t="s">
        <v>3586</v>
      </c>
      <c r="D366" t="s">
        <v>3554</v>
      </c>
      <c r="E366" t="s">
        <v>3568</v>
      </c>
      <c r="F366" t="s">
        <v>3607</v>
      </c>
    </row>
    <row r="367" spans="1:6">
      <c r="A367" t="s">
        <v>555</v>
      </c>
      <c r="B367" t="s">
        <v>3943</v>
      </c>
      <c r="C367" t="s">
        <v>3582</v>
      </c>
      <c r="D367" t="s">
        <v>3584</v>
      </c>
      <c r="E367" t="s">
        <v>3568</v>
      </c>
      <c r="F367" t="s">
        <v>3607</v>
      </c>
    </row>
    <row r="368" spans="1:6">
      <c r="A368" t="s">
        <v>826</v>
      </c>
      <c r="B368" t="s">
        <v>3944</v>
      </c>
      <c r="C368" t="s">
        <v>3582</v>
      </c>
      <c r="D368" t="s">
        <v>3563</v>
      </c>
      <c r="E368" t="s">
        <v>3573</v>
      </c>
      <c r="F368" t="s">
        <v>3574</v>
      </c>
    </row>
    <row r="369" spans="1:6">
      <c r="A369" t="s">
        <v>1716</v>
      </c>
      <c r="B369" t="s">
        <v>3945</v>
      </c>
      <c r="C369" t="s">
        <v>3586</v>
      </c>
      <c r="D369" t="s">
        <v>3563</v>
      </c>
      <c r="E369" t="s">
        <v>3555</v>
      </c>
      <c r="F369" t="s">
        <v>3571</v>
      </c>
    </row>
    <row r="370" spans="1:6">
      <c r="A370" t="s">
        <v>706</v>
      </c>
      <c r="B370" t="s">
        <v>3946</v>
      </c>
      <c r="C370" t="s">
        <v>3562</v>
      </c>
      <c r="D370" t="s">
        <v>3563</v>
      </c>
      <c r="E370" t="s">
        <v>3573</v>
      </c>
      <c r="F370" t="s">
        <v>3590</v>
      </c>
    </row>
    <row r="371" spans="1:6">
      <c r="A371" t="s">
        <v>402</v>
      </c>
      <c r="B371" t="s">
        <v>3947</v>
      </c>
      <c r="C371" t="s">
        <v>3588</v>
      </c>
      <c r="D371" t="s">
        <v>3563</v>
      </c>
      <c r="E371" t="s">
        <v>3555</v>
      </c>
      <c r="F371" t="s">
        <v>3556</v>
      </c>
    </row>
    <row r="372" spans="1:6">
      <c r="A372" t="s">
        <v>1250</v>
      </c>
      <c r="B372" t="s">
        <v>3948</v>
      </c>
      <c r="C372" t="s">
        <v>3588</v>
      </c>
      <c r="D372" t="s">
        <v>3554</v>
      </c>
      <c r="E372" t="s">
        <v>3555</v>
      </c>
      <c r="F372" t="s">
        <v>3556</v>
      </c>
    </row>
    <row r="373" spans="1:6">
      <c r="A373" t="s">
        <v>2858</v>
      </c>
      <c r="B373" t="s">
        <v>3949</v>
      </c>
      <c r="C373" t="s">
        <v>3562</v>
      </c>
      <c r="D373" t="s">
        <v>3554</v>
      </c>
      <c r="E373" t="s">
        <v>3555</v>
      </c>
      <c r="F373" t="s">
        <v>3571</v>
      </c>
    </row>
    <row r="374" spans="1:6">
      <c r="A374" t="s">
        <v>713</v>
      </c>
      <c r="B374" t="s">
        <v>3950</v>
      </c>
      <c r="C374" t="s">
        <v>3562</v>
      </c>
      <c r="D374" t="s">
        <v>3554</v>
      </c>
      <c r="E374" t="s">
        <v>3568</v>
      </c>
      <c r="F374" t="s">
        <v>3607</v>
      </c>
    </row>
    <row r="375" spans="1:6">
      <c r="A375" t="s">
        <v>223</v>
      </c>
      <c r="B375" t="s">
        <v>3951</v>
      </c>
      <c r="C375" t="s">
        <v>3586</v>
      </c>
      <c r="D375" t="s">
        <v>3584</v>
      </c>
      <c r="E375" t="s">
        <v>3555</v>
      </c>
      <c r="F375" t="s">
        <v>3565</v>
      </c>
    </row>
    <row r="376" spans="1:6">
      <c r="A376" t="s">
        <v>448</v>
      </c>
      <c r="B376" t="s">
        <v>3952</v>
      </c>
      <c r="C376" t="s">
        <v>3588</v>
      </c>
      <c r="D376" t="s">
        <v>3554</v>
      </c>
      <c r="E376" t="s">
        <v>3559</v>
      </c>
      <c r="F376" t="s">
        <v>3560</v>
      </c>
    </row>
    <row r="377" spans="1:6">
      <c r="A377" t="s">
        <v>243</v>
      </c>
      <c r="B377" t="s">
        <v>3953</v>
      </c>
      <c r="C377" t="s">
        <v>3553</v>
      </c>
      <c r="D377" t="s">
        <v>3563</v>
      </c>
      <c r="E377" t="s">
        <v>3559</v>
      </c>
      <c r="F377" t="s">
        <v>3593</v>
      </c>
    </row>
    <row r="378" spans="1:6">
      <c r="A378" t="s">
        <v>952</v>
      </c>
      <c r="B378" t="s">
        <v>3954</v>
      </c>
      <c r="C378" t="s">
        <v>3562</v>
      </c>
      <c r="D378" t="s">
        <v>3554</v>
      </c>
      <c r="E378" t="s">
        <v>3555</v>
      </c>
      <c r="F378" t="s">
        <v>3556</v>
      </c>
    </row>
    <row r="379" spans="1:6">
      <c r="A379" t="s">
        <v>270</v>
      </c>
      <c r="B379" t="s">
        <v>3955</v>
      </c>
      <c r="C379" t="s">
        <v>3582</v>
      </c>
      <c r="D379" t="s">
        <v>3563</v>
      </c>
      <c r="E379" t="s">
        <v>3559</v>
      </c>
      <c r="F379" t="s">
        <v>3593</v>
      </c>
    </row>
    <row r="380" spans="1:6">
      <c r="A380" t="s">
        <v>1661</v>
      </c>
      <c r="B380" t="s">
        <v>3956</v>
      </c>
      <c r="C380" t="s">
        <v>3588</v>
      </c>
      <c r="D380" t="s">
        <v>3563</v>
      </c>
      <c r="E380" t="s">
        <v>3559</v>
      </c>
      <c r="F380" t="s">
        <v>3593</v>
      </c>
    </row>
    <row r="381" spans="1:6">
      <c r="A381" t="s">
        <v>167</v>
      </c>
      <c r="B381" t="s">
        <v>3957</v>
      </c>
      <c r="C381" t="s">
        <v>3586</v>
      </c>
      <c r="D381" t="s">
        <v>3554</v>
      </c>
      <c r="E381" t="s">
        <v>3568</v>
      </c>
      <c r="F381" t="s">
        <v>3607</v>
      </c>
    </row>
    <row r="382" spans="1:6">
      <c r="A382" t="s">
        <v>737</v>
      </c>
      <c r="B382" t="s">
        <v>3958</v>
      </c>
      <c r="C382" t="s">
        <v>3582</v>
      </c>
      <c r="D382" t="s">
        <v>3554</v>
      </c>
      <c r="E382" t="s">
        <v>3555</v>
      </c>
      <c r="F382" t="s">
        <v>3556</v>
      </c>
    </row>
    <row r="383" spans="1:6">
      <c r="A383" t="s">
        <v>102</v>
      </c>
      <c r="B383" t="s">
        <v>3959</v>
      </c>
      <c r="C383" t="s">
        <v>3553</v>
      </c>
      <c r="D383" t="s">
        <v>3554</v>
      </c>
      <c r="E383" t="s">
        <v>3573</v>
      </c>
      <c r="F383" t="s">
        <v>3574</v>
      </c>
    </row>
    <row r="384" spans="1:6">
      <c r="A384" t="s">
        <v>376</v>
      </c>
      <c r="B384" t="s">
        <v>3960</v>
      </c>
      <c r="C384" t="s">
        <v>3588</v>
      </c>
      <c r="D384" t="s">
        <v>3554</v>
      </c>
      <c r="E384" t="s">
        <v>3573</v>
      </c>
      <c r="F384" t="s">
        <v>3590</v>
      </c>
    </row>
    <row r="385" spans="1:6">
      <c r="A385" t="s">
        <v>1147</v>
      </c>
      <c r="B385" t="s">
        <v>3961</v>
      </c>
      <c r="C385" t="s">
        <v>3588</v>
      </c>
      <c r="D385" t="s">
        <v>3563</v>
      </c>
      <c r="E385" t="s">
        <v>3559</v>
      </c>
      <c r="F385" t="s">
        <v>3560</v>
      </c>
    </row>
    <row r="386" spans="1:6">
      <c r="A386" t="s">
        <v>1603</v>
      </c>
      <c r="B386" t="s">
        <v>3962</v>
      </c>
      <c r="C386" t="s">
        <v>3588</v>
      </c>
      <c r="D386" t="s">
        <v>3563</v>
      </c>
      <c r="E386" t="s">
        <v>3559</v>
      </c>
      <c r="F386" t="s">
        <v>3560</v>
      </c>
    </row>
    <row r="387" spans="1:6">
      <c r="A387" t="s">
        <v>331</v>
      </c>
      <c r="B387" t="s">
        <v>3963</v>
      </c>
      <c r="C387" t="s">
        <v>3558</v>
      </c>
      <c r="D387" t="s">
        <v>3554</v>
      </c>
      <c r="E387" t="s">
        <v>3568</v>
      </c>
      <c r="F387" t="s">
        <v>3600</v>
      </c>
    </row>
    <row r="388" spans="1:6">
      <c r="A388" t="s">
        <v>639</v>
      </c>
      <c r="B388" t="s">
        <v>3964</v>
      </c>
      <c r="C388" t="s">
        <v>3562</v>
      </c>
      <c r="D388" t="s">
        <v>3563</v>
      </c>
      <c r="E388" t="s">
        <v>3573</v>
      </c>
      <c r="F388" t="s">
        <v>3574</v>
      </c>
    </row>
    <row r="389" spans="1:6">
      <c r="A389" t="s">
        <v>912</v>
      </c>
      <c r="B389" t="s">
        <v>3965</v>
      </c>
      <c r="C389" t="s">
        <v>3582</v>
      </c>
      <c r="D389" t="s">
        <v>3554</v>
      </c>
      <c r="E389" t="s">
        <v>3559</v>
      </c>
      <c r="F389" t="s">
        <v>3560</v>
      </c>
    </row>
    <row r="390" spans="1:6">
      <c r="A390" t="s">
        <v>412</v>
      </c>
      <c r="B390" t="s">
        <v>3966</v>
      </c>
      <c r="C390" t="s">
        <v>3582</v>
      </c>
      <c r="D390" t="s">
        <v>3554</v>
      </c>
      <c r="E390" t="s">
        <v>3555</v>
      </c>
      <c r="F390" t="s">
        <v>3565</v>
      </c>
    </row>
    <row r="391" spans="1:6">
      <c r="A391" t="s">
        <v>1824</v>
      </c>
      <c r="B391" t="s">
        <v>3967</v>
      </c>
      <c r="C391" t="s">
        <v>3553</v>
      </c>
      <c r="D391" t="s">
        <v>3563</v>
      </c>
      <c r="E391" t="s">
        <v>3573</v>
      </c>
      <c r="F391" t="s">
        <v>3577</v>
      </c>
    </row>
    <row r="392" spans="1:6">
      <c r="A392" t="s">
        <v>149</v>
      </c>
      <c r="B392" t="s">
        <v>3968</v>
      </c>
      <c r="C392" t="s">
        <v>3588</v>
      </c>
      <c r="D392" t="s">
        <v>3584</v>
      </c>
      <c r="E392" t="s">
        <v>3559</v>
      </c>
      <c r="F392" t="s">
        <v>3593</v>
      </c>
    </row>
    <row r="393" spans="1:6">
      <c r="A393" t="s">
        <v>1683</v>
      </c>
      <c r="B393" t="s">
        <v>3969</v>
      </c>
      <c r="C393" t="s">
        <v>3558</v>
      </c>
      <c r="D393" t="s">
        <v>3584</v>
      </c>
      <c r="E393" t="s">
        <v>3559</v>
      </c>
      <c r="F393" t="s">
        <v>3595</v>
      </c>
    </row>
    <row r="394" spans="1:6">
      <c r="A394" t="s">
        <v>418</v>
      </c>
      <c r="B394" t="s">
        <v>3970</v>
      </c>
      <c r="C394" t="s">
        <v>3588</v>
      </c>
      <c r="D394" t="s">
        <v>3554</v>
      </c>
      <c r="E394" t="s">
        <v>3555</v>
      </c>
      <c r="F394" t="s">
        <v>3556</v>
      </c>
    </row>
    <row r="395" spans="1:6">
      <c r="A395" t="s">
        <v>1500</v>
      </c>
      <c r="B395" t="s">
        <v>3971</v>
      </c>
      <c r="C395" t="s">
        <v>3582</v>
      </c>
      <c r="D395" t="s">
        <v>3563</v>
      </c>
      <c r="E395" t="s">
        <v>3555</v>
      </c>
      <c r="F395" t="s">
        <v>3565</v>
      </c>
    </row>
    <row r="396" spans="1:6">
      <c r="A396" t="s">
        <v>42</v>
      </c>
      <c r="B396" t="s">
        <v>3972</v>
      </c>
      <c r="C396" t="s">
        <v>3562</v>
      </c>
      <c r="D396" t="s">
        <v>3563</v>
      </c>
      <c r="E396" t="s">
        <v>3559</v>
      </c>
      <c r="F396" t="s">
        <v>3595</v>
      </c>
    </row>
    <row r="397" spans="1:6">
      <c r="A397" t="s">
        <v>944</v>
      </c>
      <c r="B397" t="s">
        <v>3973</v>
      </c>
      <c r="C397" t="s">
        <v>3582</v>
      </c>
      <c r="D397" t="s">
        <v>3554</v>
      </c>
      <c r="E397" t="s">
        <v>3559</v>
      </c>
      <c r="F397" t="s">
        <v>3595</v>
      </c>
    </row>
    <row r="398" spans="1:6">
      <c r="A398" t="s">
        <v>1015</v>
      </c>
      <c r="B398" t="s">
        <v>3974</v>
      </c>
      <c r="C398" t="s">
        <v>3553</v>
      </c>
      <c r="D398" t="s">
        <v>3563</v>
      </c>
      <c r="E398" t="s">
        <v>3568</v>
      </c>
      <c r="F398" t="s">
        <v>3607</v>
      </c>
    </row>
    <row r="399" spans="1:6">
      <c r="A399" t="s">
        <v>1929</v>
      </c>
      <c r="B399" t="s">
        <v>3975</v>
      </c>
      <c r="C399" t="s">
        <v>3586</v>
      </c>
      <c r="D399" t="s">
        <v>3554</v>
      </c>
      <c r="E399" t="s">
        <v>3559</v>
      </c>
      <c r="F399" t="s">
        <v>3560</v>
      </c>
    </row>
    <row r="400" spans="1:6">
      <c r="A400" t="s">
        <v>160</v>
      </c>
      <c r="B400" t="s">
        <v>3976</v>
      </c>
      <c r="C400" t="s">
        <v>3558</v>
      </c>
      <c r="D400" t="s">
        <v>3554</v>
      </c>
      <c r="E400" t="s">
        <v>3568</v>
      </c>
      <c r="F400" t="s">
        <v>3569</v>
      </c>
    </row>
    <row r="401" spans="1:6">
      <c r="A401" t="s">
        <v>219</v>
      </c>
      <c r="B401" t="s">
        <v>3977</v>
      </c>
      <c r="C401" t="s">
        <v>3558</v>
      </c>
      <c r="D401" t="s">
        <v>3563</v>
      </c>
      <c r="E401" t="s">
        <v>3568</v>
      </c>
      <c r="F401" t="s">
        <v>3607</v>
      </c>
    </row>
    <row r="402" spans="1:6">
      <c r="A402" t="s">
        <v>779</v>
      </c>
      <c r="B402" t="s">
        <v>3978</v>
      </c>
      <c r="C402" t="s">
        <v>3586</v>
      </c>
      <c r="D402" t="s">
        <v>3554</v>
      </c>
      <c r="E402" t="s">
        <v>3568</v>
      </c>
      <c r="F402" t="s">
        <v>3569</v>
      </c>
    </row>
    <row r="403" spans="1:6">
      <c r="A403" t="s">
        <v>1834</v>
      </c>
      <c r="B403" t="s">
        <v>3979</v>
      </c>
      <c r="C403" t="s">
        <v>3558</v>
      </c>
      <c r="D403" t="s">
        <v>3554</v>
      </c>
      <c r="E403" t="s">
        <v>3568</v>
      </c>
      <c r="F403" t="s">
        <v>3607</v>
      </c>
    </row>
    <row r="404" spans="1:6">
      <c r="A404" t="s">
        <v>1408</v>
      </c>
      <c r="B404" t="s">
        <v>3980</v>
      </c>
      <c r="C404" t="s">
        <v>3588</v>
      </c>
      <c r="D404" t="s">
        <v>3563</v>
      </c>
      <c r="E404" t="s">
        <v>3559</v>
      </c>
      <c r="F404" t="s">
        <v>3593</v>
      </c>
    </row>
    <row r="405" spans="1:6">
      <c r="A405" t="s">
        <v>1634</v>
      </c>
      <c r="B405" t="s">
        <v>3981</v>
      </c>
      <c r="C405" t="s">
        <v>3562</v>
      </c>
      <c r="D405" t="s">
        <v>3584</v>
      </c>
      <c r="E405" t="s">
        <v>3573</v>
      </c>
      <c r="F405" t="s">
        <v>3590</v>
      </c>
    </row>
    <row r="406" spans="1:6">
      <c r="A406" t="s">
        <v>1164</v>
      </c>
      <c r="B406" t="s">
        <v>3982</v>
      </c>
      <c r="C406" t="s">
        <v>3588</v>
      </c>
      <c r="D406" t="s">
        <v>3563</v>
      </c>
      <c r="E406" t="s">
        <v>3555</v>
      </c>
      <c r="F406" t="s">
        <v>3556</v>
      </c>
    </row>
    <row r="407" spans="1:6">
      <c r="A407" t="s">
        <v>929</v>
      </c>
      <c r="B407" t="s">
        <v>3983</v>
      </c>
      <c r="C407" t="s">
        <v>3586</v>
      </c>
      <c r="D407" t="s">
        <v>3584</v>
      </c>
      <c r="E407" t="s">
        <v>3573</v>
      </c>
      <c r="F407" t="s">
        <v>3577</v>
      </c>
    </row>
    <row r="408" spans="1:6">
      <c r="A408" t="s">
        <v>1268</v>
      </c>
      <c r="B408" t="s">
        <v>3984</v>
      </c>
      <c r="C408" t="s">
        <v>3553</v>
      </c>
      <c r="D408" t="s">
        <v>3584</v>
      </c>
      <c r="E408" t="s">
        <v>3568</v>
      </c>
      <c r="F408" t="s">
        <v>3600</v>
      </c>
    </row>
    <row r="409" spans="1:6">
      <c r="A409" t="s">
        <v>816</v>
      </c>
      <c r="B409" t="s">
        <v>3985</v>
      </c>
      <c r="C409" t="s">
        <v>3588</v>
      </c>
      <c r="D409" t="s">
        <v>3584</v>
      </c>
      <c r="E409" t="s">
        <v>3568</v>
      </c>
      <c r="F409" t="s">
        <v>3569</v>
      </c>
    </row>
    <row r="410" spans="1:6">
      <c r="A410" t="s">
        <v>1620</v>
      </c>
      <c r="B410" t="s">
        <v>3986</v>
      </c>
      <c r="C410" t="s">
        <v>3586</v>
      </c>
      <c r="D410" t="s">
        <v>3554</v>
      </c>
      <c r="E410" t="s">
        <v>3555</v>
      </c>
      <c r="F410" t="s">
        <v>3556</v>
      </c>
    </row>
    <row r="411" spans="1:6">
      <c r="A411" t="s">
        <v>1415</v>
      </c>
      <c r="B411" t="s">
        <v>3987</v>
      </c>
      <c r="C411" t="s">
        <v>3553</v>
      </c>
      <c r="D411" t="s">
        <v>3563</v>
      </c>
      <c r="E411" t="s">
        <v>3568</v>
      </c>
      <c r="F411" t="s">
        <v>3600</v>
      </c>
    </row>
    <row r="412" spans="1:6">
      <c r="A412" t="s">
        <v>2067</v>
      </c>
      <c r="B412" t="s">
        <v>3988</v>
      </c>
      <c r="C412" t="s">
        <v>3553</v>
      </c>
      <c r="D412" t="s">
        <v>3554</v>
      </c>
      <c r="E412" t="s">
        <v>3573</v>
      </c>
      <c r="F412" t="s">
        <v>3590</v>
      </c>
    </row>
    <row r="413" spans="1:6">
      <c r="A413" t="s">
        <v>88</v>
      </c>
      <c r="B413" t="s">
        <v>3989</v>
      </c>
      <c r="C413" t="s">
        <v>3558</v>
      </c>
      <c r="D413" t="s">
        <v>3563</v>
      </c>
      <c r="E413" t="s">
        <v>3573</v>
      </c>
      <c r="F413" t="s">
        <v>3574</v>
      </c>
    </row>
    <row r="414" spans="1:6">
      <c r="A414" t="s">
        <v>973</v>
      </c>
      <c r="B414" t="s">
        <v>3990</v>
      </c>
      <c r="C414" t="s">
        <v>3582</v>
      </c>
      <c r="D414" t="s">
        <v>3554</v>
      </c>
      <c r="E414" t="s">
        <v>3568</v>
      </c>
      <c r="F414" t="s">
        <v>3607</v>
      </c>
    </row>
    <row r="415" spans="1:6">
      <c r="A415" t="s">
        <v>170</v>
      </c>
      <c r="B415" t="s">
        <v>3991</v>
      </c>
      <c r="C415" t="s">
        <v>3586</v>
      </c>
      <c r="D415" t="s">
        <v>3554</v>
      </c>
      <c r="E415" t="s">
        <v>3568</v>
      </c>
      <c r="F415" t="s">
        <v>3600</v>
      </c>
    </row>
    <row r="416" spans="1:6">
      <c r="A416" t="s">
        <v>1496</v>
      </c>
      <c r="B416" t="s">
        <v>3992</v>
      </c>
      <c r="C416" t="s">
        <v>3588</v>
      </c>
      <c r="D416" t="s">
        <v>3563</v>
      </c>
      <c r="E416" t="s">
        <v>3555</v>
      </c>
      <c r="F416" t="s">
        <v>3556</v>
      </c>
    </row>
    <row r="417" spans="1:6">
      <c r="A417" t="s">
        <v>2325</v>
      </c>
      <c r="B417" t="s">
        <v>3993</v>
      </c>
      <c r="C417" t="s">
        <v>3553</v>
      </c>
      <c r="D417" t="s">
        <v>3554</v>
      </c>
      <c r="E417" t="s">
        <v>3568</v>
      </c>
      <c r="F417" t="s">
        <v>3600</v>
      </c>
    </row>
    <row r="418" spans="1:6">
      <c r="A418" t="s">
        <v>433</v>
      </c>
      <c r="B418" t="s">
        <v>3994</v>
      </c>
      <c r="C418" t="s">
        <v>3553</v>
      </c>
      <c r="D418" t="s">
        <v>3563</v>
      </c>
      <c r="E418" t="s">
        <v>3573</v>
      </c>
      <c r="F418" t="s">
        <v>3574</v>
      </c>
    </row>
    <row r="419" spans="1:6">
      <c r="A419" t="s">
        <v>710</v>
      </c>
      <c r="B419" t="s">
        <v>3995</v>
      </c>
      <c r="C419" t="s">
        <v>3553</v>
      </c>
      <c r="D419" t="s">
        <v>3563</v>
      </c>
      <c r="E419" t="s">
        <v>3568</v>
      </c>
      <c r="F419" t="s">
        <v>3569</v>
      </c>
    </row>
    <row r="420" spans="1:6">
      <c r="A420" t="s">
        <v>749</v>
      </c>
      <c r="B420" t="s">
        <v>3996</v>
      </c>
      <c r="C420" t="s">
        <v>3582</v>
      </c>
      <c r="D420" t="s">
        <v>3554</v>
      </c>
      <c r="E420" t="s">
        <v>3555</v>
      </c>
      <c r="F420" t="s">
        <v>3556</v>
      </c>
    </row>
    <row r="421" spans="1:6">
      <c r="A421" t="s">
        <v>809</v>
      </c>
      <c r="B421" t="s">
        <v>3997</v>
      </c>
      <c r="C421" t="s">
        <v>3588</v>
      </c>
      <c r="D421" t="s">
        <v>3563</v>
      </c>
      <c r="E421" t="s">
        <v>3559</v>
      </c>
      <c r="F421" t="s">
        <v>3560</v>
      </c>
    </row>
    <row r="422" spans="1:6">
      <c r="A422" t="s">
        <v>189</v>
      </c>
      <c r="B422" t="s">
        <v>3998</v>
      </c>
      <c r="C422" t="s">
        <v>3558</v>
      </c>
      <c r="D422" t="s">
        <v>3554</v>
      </c>
      <c r="E422" t="s">
        <v>3573</v>
      </c>
      <c r="F422" t="s">
        <v>3577</v>
      </c>
    </row>
    <row r="423" spans="1:6">
      <c r="A423" t="s">
        <v>666</v>
      </c>
      <c r="B423" t="s">
        <v>3999</v>
      </c>
      <c r="C423" t="s">
        <v>3562</v>
      </c>
      <c r="D423" t="s">
        <v>3584</v>
      </c>
      <c r="E423" t="s">
        <v>3555</v>
      </c>
      <c r="F423" t="s">
        <v>3556</v>
      </c>
    </row>
    <row r="424" spans="1:6">
      <c r="A424" t="s">
        <v>2270</v>
      </c>
      <c r="B424" t="s">
        <v>4000</v>
      </c>
      <c r="C424" t="s">
        <v>3586</v>
      </c>
      <c r="D424" t="s">
        <v>3584</v>
      </c>
      <c r="E424" t="s">
        <v>3555</v>
      </c>
      <c r="F424" t="s">
        <v>3556</v>
      </c>
    </row>
    <row r="425" spans="1:6">
      <c r="A425" t="s">
        <v>592</v>
      </c>
      <c r="B425" t="s">
        <v>4001</v>
      </c>
      <c r="C425" t="s">
        <v>3588</v>
      </c>
      <c r="D425" t="s">
        <v>3563</v>
      </c>
      <c r="E425" t="s">
        <v>3568</v>
      </c>
      <c r="F425" t="s">
        <v>3600</v>
      </c>
    </row>
    <row r="426" spans="1:6">
      <c r="A426" t="s">
        <v>900</v>
      </c>
      <c r="B426" t="s">
        <v>4002</v>
      </c>
      <c r="C426" t="s">
        <v>3553</v>
      </c>
      <c r="D426" t="s">
        <v>3563</v>
      </c>
      <c r="E426" t="s">
        <v>3573</v>
      </c>
      <c r="F426" t="s">
        <v>3590</v>
      </c>
    </row>
    <row r="427" spans="1:6">
      <c r="A427" t="s">
        <v>125</v>
      </c>
      <c r="B427" t="s">
        <v>4003</v>
      </c>
      <c r="C427" t="s">
        <v>3562</v>
      </c>
      <c r="D427" t="s">
        <v>3554</v>
      </c>
      <c r="E427" t="s">
        <v>3555</v>
      </c>
      <c r="F427" t="s">
        <v>3571</v>
      </c>
    </row>
    <row r="428" spans="1:6">
      <c r="A428" t="s">
        <v>1546</v>
      </c>
      <c r="B428" t="s">
        <v>4004</v>
      </c>
      <c r="C428" t="s">
        <v>3553</v>
      </c>
      <c r="D428" t="s">
        <v>3563</v>
      </c>
      <c r="E428" t="s">
        <v>3559</v>
      </c>
      <c r="F428" t="s">
        <v>3593</v>
      </c>
    </row>
    <row r="429" spans="1:6">
      <c r="A429" t="s">
        <v>289</v>
      </c>
      <c r="B429" t="s">
        <v>4005</v>
      </c>
      <c r="C429" t="s">
        <v>3582</v>
      </c>
      <c r="D429" t="s">
        <v>3563</v>
      </c>
      <c r="E429" t="s">
        <v>3559</v>
      </c>
      <c r="F429" t="s">
        <v>3560</v>
      </c>
    </row>
    <row r="430" spans="1:6">
      <c r="A430" t="s">
        <v>1027</v>
      </c>
      <c r="B430" t="s">
        <v>4006</v>
      </c>
      <c r="C430" t="s">
        <v>3582</v>
      </c>
      <c r="D430" t="s">
        <v>3563</v>
      </c>
      <c r="E430" t="s">
        <v>3568</v>
      </c>
      <c r="F430" t="s">
        <v>3600</v>
      </c>
    </row>
    <row r="431" spans="1:6">
      <c r="A431" t="s">
        <v>257</v>
      </c>
      <c r="B431" t="s">
        <v>4007</v>
      </c>
      <c r="C431" t="s">
        <v>3582</v>
      </c>
      <c r="D431" t="s">
        <v>3554</v>
      </c>
      <c r="E431" t="s">
        <v>3555</v>
      </c>
      <c r="F431" t="s">
        <v>3571</v>
      </c>
    </row>
    <row r="432" spans="1:6">
      <c r="A432" t="s">
        <v>782</v>
      </c>
      <c r="B432" t="s">
        <v>4008</v>
      </c>
      <c r="C432" t="s">
        <v>3588</v>
      </c>
      <c r="D432" t="s">
        <v>3563</v>
      </c>
      <c r="E432" t="s">
        <v>3555</v>
      </c>
      <c r="F432" t="s">
        <v>3556</v>
      </c>
    </row>
    <row r="433" spans="1:6">
      <c r="A433" t="s">
        <v>1878</v>
      </c>
      <c r="B433" t="s">
        <v>4009</v>
      </c>
      <c r="C433" t="s">
        <v>3588</v>
      </c>
      <c r="D433" t="s">
        <v>3584</v>
      </c>
      <c r="E433" t="s">
        <v>3555</v>
      </c>
      <c r="F433" t="s">
        <v>3565</v>
      </c>
    </row>
    <row r="434" spans="1:6">
      <c r="A434" t="s">
        <v>896</v>
      </c>
      <c r="B434" t="s">
        <v>4010</v>
      </c>
      <c r="C434" t="s">
        <v>3562</v>
      </c>
      <c r="D434" t="s">
        <v>3563</v>
      </c>
      <c r="E434" t="s">
        <v>3568</v>
      </c>
      <c r="F434" t="s">
        <v>3600</v>
      </c>
    </row>
    <row r="435" spans="1:6">
      <c r="A435" t="s">
        <v>570</v>
      </c>
      <c r="B435" t="s">
        <v>4011</v>
      </c>
      <c r="C435" t="s">
        <v>3588</v>
      </c>
      <c r="D435" t="s">
        <v>3563</v>
      </c>
      <c r="E435" t="s">
        <v>3559</v>
      </c>
      <c r="F435" t="s">
        <v>3595</v>
      </c>
    </row>
    <row r="436" spans="1:6">
      <c r="A436" t="s">
        <v>416</v>
      </c>
      <c r="B436" t="s">
        <v>4012</v>
      </c>
      <c r="C436" t="s">
        <v>3588</v>
      </c>
      <c r="D436" t="s">
        <v>3563</v>
      </c>
      <c r="E436" t="s">
        <v>3573</v>
      </c>
      <c r="F436" t="s">
        <v>3574</v>
      </c>
    </row>
    <row r="437" spans="1:6">
      <c r="A437" t="s">
        <v>1277</v>
      </c>
      <c r="B437" t="s">
        <v>4013</v>
      </c>
      <c r="C437" t="s">
        <v>3586</v>
      </c>
      <c r="D437" t="s">
        <v>3554</v>
      </c>
      <c r="E437" t="s">
        <v>3568</v>
      </c>
      <c r="F437" t="s">
        <v>3569</v>
      </c>
    </row>
    <row r="438" spans="1:6">
      <c r="A438" t="s">
        <v>398</v>
      </c>
      <c r="B438" t="s">
        <v>4014</v>
      </c>
      <c r="C438" t="s">
        <v>3558</v>
      </c>
      <c r="D438" t="s">
        <v>3563</v>
      </c>
      <c r="E438" t="s">
        <v>3573</v>
      </c>
      <c r="F438" t="s">
        <v>3574</v>
      </c>
    </row>
    <row r="439" spans="1:6">
      <c r="A439" t="s">
        <v>2207</v>
      </c>
      <c r="B439" t="s">
        <v>4015</v>
      </c>
      <c r="C439" t="s">
        <v>3562</v>
      </c>
      <c r="D439" t="s">
        <v>3563</v>
      </c>
      <c r="E439" t="s">
        <v>3573</v>
      </c>
      <c r="F439" t="s">
        <v>3577</v>
      </c>
    </row>
    <row r="440" spans="1:6">
      <c r="A440" t="s">
        <v>217</v>
      </c>
      <c r="B440" t="s">
        <v>4016</v>
      </c>
      <c r="C440" t="s">
        <v>3553</v>
      </c>
      <c r="D440" t="s">
        <v>3563</v>
      </c>
      <c r="E440" t="s">
        <v>3568</v>
      </c>
      <c r="F440" t="s">
        <v>3600</v>
      </c>
    </row>
    <row r="441" spans="1:6">
      <c r="A441" t="s">
        <v>423</v>
      </c>
      <c r="B441" t="s">
        <v>4017</v>
      </c>
      <c r="C441" t="s">
        <v>3588</v>
      </c>
      <c r="D441" t="s">
        <v>3563</v>
      </c>
      <c r="E441" t="s">
        <v>3573</v>
      </c>
      <c r="F441" t="s">
        <v>3574</v>
      </c>
    </row>
    <row r="442" spans="1:6">
      <c r="A442" t="s">
        <v>198</v>
      </c>
      <c r="B442" t="s">
        <v>4018</v>
      </c>
      <c r="C442" t="s">
        <v>3588</v>
      </c>
      <c r="D442" t="s">
        <v>3563</v>
      </c>
      <c r="E442" t="s">
        <v>3573</v>
      </c>
      <c r="F442" t="s">
        <v>3590</v>
      </c>
    </row>
    <row r="443" spans="1:6">
      <c r="A443" t="s">
        <v>3471</v>
      </c>
      <c r="B443" t="s">
        <v>4019</v>
      </c>
      <c r="C443" t="s">
        <v>3558</v>
      </c>
      <c r="D443" t="s">
        <v>3554</v>
      </c>
      <c r="E443" t="s">
        <v>3568</v>
      </c>
      <c r="F443" t="s">
        <v>3569</v>
      </c>
    </row>
    <row r="444" spans="1:6">
      <c r="A444" t="s">
        <v>990</v>
      </c>
      <c r="B444" t="s">
        <v>4020</v>
      </c>
      <c r="C444" t="s">
        <v>3553</v>
      </c>
      <c r="D444" t="s">
        <v>3554</v>
      </c>
      <c r="E444" t="s">
        <v>3568</v>
      </c>
      <c r="F444" t="s">
        <v>3569</v>
      </c>
    </row>
    <row r="445" spans="1:6">
      <c r="A445" t="s">
        <v>551</v>
      </c>
      <c r="B445" t="s">
        <v>4021</v>
      </c>
      <c r="C445" t="s">
        <v>3588</v>
      </c>
      <c r="D445" t="s">
        <v>3554</v>
      </c>
      <c r="E445" t="s">
        <v>3568</v>
      </c>
      <c r="F445" t="s">
        <v>3600</v>
      </c>
    </row>
    <row r="446" spans="1:6">
      <c r="A446" t="s">
        <v>236</v>
      </c>
      <c r="B446" t="s">
        <v>4022</v>
      </c>
      <c r="C446" t="s">
        <v>3582</v>
      </c>
      <c r="D446" t="s">
        <v>3554</v>
      </c>
      <c r="E446" t="s">
        <v>3555</v>
      </c>
      <c r="F446" t="s">
        <v>3571</v>
      </c>
    </row>
    <row r="447" spans="1:6">
      <c r="A447" t="s">
        <v>700</v>
      </c>
      <c r="B447" t="s">
        <v>4023</v>
      </c>
      <c r="C447" t="s">
        <v>3553</v>
      </c>
      <c r="D447" t="s">
        <v>3563</v>
      </c>
      <c r="E447" t="s">
        <v>3559</v>
      </c>
      <c r="F447" t="s">
        <v>3560</v>
      </c>
    </row>
    <row r="448" spans="1:6">
      <c r="A448" t="s">
        <v>683</v>
      </c>
      <c r="B448" t="s">
        <v>4024</v>
      </c>
      <c r="C448" t="s">
        <v>3553</v>
      </c>
      <c r="D448" t="s">
        <v>3563</v>
      </c>
      <c r="E448" t="s">
        <v>3568</v>
      </c>
      <c r="F448" t="s">
        <v>3600</v>
      </c>
    </row>
    <row r="449" spans="1:6">
      <c r="A449" t="s">
        <v>594</v>
      </c>
      <c r="B449" t="s">
        <v>4025</v>
      </c>
      <c r="C449" t="s">
        <v>3588</v>
      </c>
      <c r="D449" t="s">
        <v>3563</v>
      </c>
      <c r="E449" t="s">
        <v>3573</v>
      </c>
      <c r="F449" t="s">
        <v>3590</v>
      </c>
    </row>
    <row r="450" spans="1:6">
      <c r="A450" t="s">
        <v>909</v>
      </c>
      <c r="B450" t="s">
        <v>4026</v>
      </c>
      <c r="C450" t="s">
        <v>3562</v>
      </c>
      <c r="D450" t="s">
        <v>3563</v>
      </c>
      <c r="E450" t="s">
        <v>3555</v>
      </c>
      <c r="F450" t="s">
        <v>3571</v>
      </c>
    </row>
    <row r="451" spans="1:6">
      <c r="A451" t="s">
        <v>1024</v>
      </c>
      <c r="B451" t="s">
        <v>4027</v>
      </c>
      <c r="C451" t="s">
        <v>3588</v>
      </c>
      <c r="D451" t="s">
        <v>3563</v>
      </c>
      <c r="E451" t="s">
        <v>3573</v>
      </c>
      <c r="F451" t="s">
        <v>3577</v>
      </c>
    </row>
    <row r="452" spans="1:6">
      <c r="A452" t="s">
        <v>636</v>
      </c>
      <c r="B452" t="s">
        <v>4028</v>
      </c>
      <c r="C452" t="s">
        <v>3562</v>
      </c>
      <c r="D452" t="s">
        <v>3563</v>
      </c>
      <c r="E452" t="s">
        <v>3559</v>
      </c>
      <c r="F452" t="s">
        <v>3593</v>
      </c>
    </row>
    <row r="453" spans="1:6">
      <c r="A453" t="s">
        <v>213</v>
      </c>
      <c r="B453" t="s">
        <v>4029</v>
      </c>
      <c r="C453" t="s">
        <v>3558</v>
      </c>
      <c r="D453" t="s">
        <v>3584</v>
      </c>
      <c r="E453" t="s">
        <v>3573</v>
      </c>
      <c r="F453" t="s">
        <v>3577</v>
      </c>
    </row>
    <row r="454" spans="1:6">
      <c r="A454" t="s">
        <v>821</v>
      </c>
      <c r="B454" t="s">
        <v>4030</v>
      </c>
      <c r="C454" t="s">
        <v>3586</v>
      </c>
      <c r="D454" t="s">
        <v>3554</v>
      </c>
      <c r="E454" t="s">
        <v>3559</v>
      </c>
      <c r="F454" t="s">
        <v>3560</v>
      </c>
    </row>
    <row r="455" spans="1:6">
      <c r="A455" t="s">
        <v>253</v>
      </c>
      <c r="B455" t="s">
        <v>4031</v>
      </c>
      <c r="C455" t="s">
        <v>3588</v>
      </c>
      <c r="D455" t="s">
        <v>3554</v>
      </c>
      <c r="E455" t="s">
        <v>3555</v>
      </c>
      <c r="F455" t="s">
        <v>3565</v>
      </c>
    </row>
    <row r="456" spans="1:6">
      <c r="A456" t="s">
        <v>255</v>
      </c>
      <c r="B456" t="s">
        <v>4032</v>
      </c>
      <c r="C456" t="s">
        <v>3558</v>
      </c>
      <c r="D456" t="s">
        <v>3584</v>
      </c>
      <c r="E456" t="s">
        <v>3568</v>
      </c>
      <c r="F456" t="s">
        <v>3569</v>
      </c>
    </row>
    <row r="457" spans="1:6">
      <c r="A457" t="s">
        <v>2628</v>
      </c>
      <c r="B457" t="s">
        <v>4033</v>
      </c>
      <c r="C457" t="s">
        <v>3558</v>
      </c>
      <c r="D457" t="s">
        <v>3563</v>
      </c>
      <c r="E457" t="s">
        <v>3568</v>
      </c>
      <c r="F457" t="s">
        <v>3600</v>
      </c>
    </row>
    <row r="458" spans="1:6">
      <c r="A458" t="s">
        <v>428</v>
      </c>
      <c r="B458" t="s">
        <v>4034</v>
      </c>
      <c r="C458" t="s">
        <v>3558</v>
      </c>
      <c r="D458" t="s">
        <v>3584</v>
      </c>
      <c r="E458" t="s">
        <v>3568</v>
      </c>
      <c r="F458" t="s">
        <v>3569</v>
      </c>
    </row>
    <row r="459" spans="1:6">
      <c r="A459" t="s">
        <v>587</v>
      </c>
      <c r="B459" t="s">
        <v>4035</v>
      </c>
      <c r="C459" t="s">
        <v>3582</v>
      </c>
      <c r="D459" t="s">
        <v>3584</v>
      </c>
      <c r="E459" t="s">
        <v>3555</v>
      </c>
      <c r="F459" t="s">
        <v>3571</v>
      </c>
    </row>
    <row r="460" spans="1:6">
      <c r="A460" t="s">
        <v>209</v>
      </c>
      <c r="B460" t="s">
        <v>4036</v>
      </c>
      <c r="C460" t="s">
        <v>3582</v>
      </c>
      <c r="D460" t="s">
        <v>3563</v>
      </c>
      <c r="E460" t="s">
        <v>3573</v>
      </c>
      <c r="F460" t="s">
        <v>3590</v>
      </c>
    </row>
    <row r="461" spans="1:6">
      <c r="A461" t="s">
        <v>786</v>
      </c>
      <c r="B461" t="s">
        <v>4037</v>
      </c>
      <c r="C461" t="s">
        <v>3588</v>
      </c>
      <c r="D461" t="s">
        <v>3584</v>
      </c>
      <c r="E461" t="s">
        <v>3573</v>
      </c>
      <c r="F461" t="s">
        <v>3590</v>
      </c>
    </row>
    <row r="462" spans="1:6">
      <c r="A462" t="s">
        <v>358</v>
      </c>
      <c r="B462" t="s">
        <v>4038</v>
      </c>
      <c r="C462" t="s">
        <v>3588</v>
      </c>
      <c r="D462" t="s">
        <v>3554</v>
      </c>
      <c r="E462" t="s">
        <v>3559</v>
      </c>
      <c r="F462" t="s">
        <v>3595</v>
      </c>
    </row>
    <row r="463" spans="1:6">
      <c r="A463" t="s">
        <v>533</v>
      </c>
      <c r="B463" t="s">
        <v>4039</v>
      </c>
      <c r="C463" t="s">
        <v>3558</v>
      </c>
      <c r="D463" t="s">
        <v>3563</v>
      </c>
      <c r="E463" t="s">
        <v>3559</v>
      </c>
      <c r="F463" t="s">
        <v>3593</v>
      </c>
    </row>
    <row r="464" spans="1:6">
      <c r="A464" t="s">
        <v>811</v>
      </c>
      <c r="B464" t="s">
        <v>4040</v>
      </c>
      <c r="C464" t="s">
        <v>3588</v>
      </c>
      <c r="D464" t="s">
        <v>3554</v>
      </c>
      <c r="E464" t="s">
        <v>3555</v>
      </c>
      <c r="F464" t="s">
        <v>3571</v>
      </c>
    </row>
    <row r="465" spans="1:6">
      <c r="A465" t="s">
        <v>1100</v>
      </c>
      <c r="B465" t="s">
        <v>4041</v>
      </c>
      <c r="C465" t="s">
        <v>3562</v>
      </c>
      <c r="D465" t="s">
        <v>3563</v>
      </c>
      <c r="E465" t="s">
        <v>3568</v>
      </c>
      <c r="F465" t="s">
        <v>3600</v>
      </c>
    </row>
    <row r="466" spans="1:6">
      <c r="A466" t="s">
        <v>859</v>
      </c>
      <c r="B466" t="s">
        <v>4042</v>
      </c>
      <c r="C466" t="s">
        <v>3588</v>
      </c>
      <c r="D466" t="s">
        <v>3563</v>
      </c>
      <c r="E466" t="s">
        <v>3555</v>
      </c>
      <c r="F466" t="s">
        <v>3565</v>
      </c>
    </row>
    <row r="467" spans="1:6">
      <c r="A467" t="s">
        <v>589</v>
      </c>
      <c r="B467" t="s">
        <v>4043</v>
      </c>
      <c r="C467" t="s">
        <v>3562</v>
      </c>
      <c r="D467" t="s">
        <v>3563</v>
      </c>
      <c r="E467" t="s">
        <v>3568</v>
      </c>
      <c r="F467" t="s">
        <v>3569</v>
      </c>
    </row>
    <row r="468" spans="1:6">
      <c r="A468" t="s">
        <v>888</v>
      </c>
      <c r="B468" t="s">
        <v>4044</v>
      </c>
      <c r="C468" t="s">
        <v>3558</v>
      </c>
      <c r="D468" t="s">
        <v>3584</v>
      </c>
      <c r="E468" t="s">
        <v>3555</v>
      </c>
      <c r="F468" t="s">
        <v>3565</v>
      </c>
    </row>
    <row r="469" spans="1:6">
      <c r="A469" t="s">
        <v>1003</v>
      </c>
      <c r="B469" t="s">
        <v>4045</v>
      </c>
      <c r="C469" t="s">
        <v>3586</v>
      </c>
      <c r="D469" t="s">
        <v>3563</v>
      </c>
      <c r="E469" t="s">
        <v>3555</v>
      </c>
      <c r="F469" t="s">
        <v>3565</v>
      </c>
    </row>
    <row r="470" spans="1:6">
      <c r="A470" t="s">
        <v>1679</v>
      </c>
      <c r="B470" t="s">
        <v>4046</v>
      </c>
      <c r="C470" t="s">
        <v>3558</v>
      </c>
      <c r="D470" t="s">
        <v>3584</v>
      </c>
      <c r="E470" t="s">
        <v>3573</v>
      </c>
      <c r="F470" t="s">
        <v>3590</v>
      </c>
    </row>
    <row r="471" spans="1:6">
      <c r="A471" t="s">
        <v>1403</v>
      </c>
      <c r="B471" t="s">
        <v>4047</v>
      </c>
      <c r="C471" t="s">
        <v>3558</v>
      </c>
      <c r="D471" t="s">
        <v>3563</v>
      </c>
      <c r="E471" t="s">
        <v>3559</v>
      </c>
      <c r="F471" t="s">
        <v>3595</v>
      </c>
    </row>
    <row r="472" spans="1:6">
      <c r="A472" t="s">
        <v>830</v>
      </c>
      <c r="B472" t="s">
        <v>4048</v>
      </c>
      <c r="C472" t="s">
        <v>3562</v>
      </c>
      <c r="D472" t="s">
        <v>3563</v>
      </c>
      <c r="E472" t="s">
        <v>3555</v>
      </c>
      <c r="F472" t="s">
        <v>3556</v>
      </c>
    </row>
    <row r="473" spans="1:6">
      <c r="A473" t="s">
        <v>1130</v>
      </c>
      <c r="B473" t="s">
        <v>4049</v>
      </c>
      <c r="C473" t="s">
        <v>3588</v>
      </c>
      <c r="D473" t="s">
        <v>3584</v>
      </c>
      <c r="E473" t="s">
        <v>3559</v>
      </c>
      <c r="F473" t="s">
        <v>3595</v>
      </c>
    </row>
    <row r="474" spans="1:6">
      <c r="A474" t="s">
        <v>961</v>
      </c>
      <c r="B474" t="s">
        <v>4050</v>
      </c>
      <c r="C474" t="s">
        <v>3562</v>
      </c>
      <c r="D474" t="s">
        <v>3584</v>
      </c>
      <c r="E474" t="s">
        <v>3573</v>
      </c>
      <c r="F474" t="s">
        <v>3577</v>
      </c>
    </row>
    <row r="475" spans="1:6">
      <c r="A475" t="s">
        <v>2017</v>
      </c>
      <c r="B475" t="s">
        <v>4051</v>
      </c>
      <c r="C475" t="s">
        <v>3558</v>
      </c>
      <c r="D475" t="s">
        <v>3554</v>
      </c>
      <c r="E475" t="s">
        <v>3573</v>
      </c>
      <c r="F475" t="s">
        <v>3590</v>
      </c>
    </row>
    <row r="476" spans="1:6">
      <c r="A476" t="s">
        <v>383</v>
      </c>
      <c r="B476" t="s">
        <v>4052</v>
      </c>
      <c r="C476" t="s">
        <v>3558</v>
      </c>
      <c r="D476" t="s">
        <v>3554</v>
      </c>
      <c r="E476" t="s">
        <v>3573</v>
      </c>
      <c r="F476" t="s">
        <v>3590</v>
      </c>
    </row>
    <row r="477" spans="1:6">
      <c r="A477" t="s">
        <v>285</v>
      </c>
      <c r="B477" t="s">
        <v>4053</v>
      </c>
      <c r="C477" t="s">
        <v>3562</v>
      </c>
      <c r="D477" t="s">
        <v>3554</v>
      </c>
      <c r="E477" t="s">
        <v>3555</v>
      </c>
      <c r="F477" t="s">
        <v>3565</v>
      </c>
    </row>
    <row r="478" spans="1:6">
      <c r="A478" t="s">
        <v>902</v>
      </c>
      <c r="B478" t="s">
        <v>4054</v>
      </c>
      <c r="C478" t="s">
        <v>3558</v>
      </c>
      <c r="D478" t="s">
        <v>3554</v>
      </c>
      <c r="E478" t="s">
        <v>3559</v>
      </c>
      <c r="F478" t="s">
        <v>3560</v>
      </c>
    </row>
    <row r="479" spans="1:6">
      <c r="A479" t="s">
        <v>38</v>
      </c>
      <c r="B479" t="s">
        <v>4055</v>
      </c>
      <c r="C479" t="s">
        <v>3562</v>
      </c>
      <c r="D479" t="s">
        <v>3563</v>
      </c>
      <c r="E479" t="s">
        <v>3573</v>
      </c>
      <c r="F479" t="s">
        <v>3577</v>
      </c>
    </row>
    <row r="480" spans="1:6">
      <c r="A480" t="s">
        <v>67</v>
      </c>
      <c r="B480" t="s">
        <v>4056</v>
      </c>
      <c r="C480" t="s">
        <v>3553</v>
      </c>
      <c r="D480" t="s">
        <v>3584</v>
      </c>
      <c r="E480" t="s">
        <v>3555</v>
      </c>
      <c r="F480" t="s">
        <v>3565</v>
      </c>
    </row>
    <row r="481" spans="1:6">
      <c r="A481" t="s">
        <v>86</v>
      </c>
      <c r="B481" t="s">
        <v>4057</v>
      </c>
      <c r="C481" t="s">
        <v>3582</v>
      </c>
      <c r="D481" t="s">
        <v>3563</v>
      </c>
      <c r="E481" t="s">
        <v>3573</v>
      </c>
      <c r="F481" t="s">
        <v>3590</v>
      </c>
    </row>
    <row r="482" spans="1:6">
      <c r="A482" t="s">
        <v>1405</v>
      </c>
      <c r="B482" t="s">
        <v>4058</v>
      </c>
      <c r="C482" t="s">
        <v>3562</v>
      </c>
      <c r="D482" t="s">
        <v>3554</v>
      </c>
      <c r="E482" t="s">
        <v>3568</v>
      </c>
      <c r="F482" t="s">
        <v>3569</v>
      </c>
    </row>
    <row r="483" spans="1:6">
      <c r="A483" t="s">
        <v>104</v>
      </c>
      <c r="B483" t="s">
        <v>4059</v>
      </c>
      <c r="C483" t="s">
        <v>3582</v>
      </c>
      <c r="D483" t="s">
        <v>3584</v>
      </c>
      <c r="E483" t="s">
        <v>3573</v>
      </c>
      <c r="F483" t="s">
        <v>3574</v>
      </c>
    </row>
    <row r="484" spans="1:6">
      <c r="A484" t="s">
        <v>803</v>
      </c>
      <c r="B484" t="s">
        <v>4060</v>
      </c>
      <c r="C484" t="s">
        <v>3582</v>
      </c>
      <c r="D484" t="s">
        <v>3563</v>
      </c>
      <c r="E484" t="s">
        <v>3559</v>
      </c>
      <c r="F484" t="s">
        <v>3593</v>
      </c>
    </row>
    <row r="485" spans="1:6">
      <c r="A485" t="s">
        <v>387</v>
      </c>
      <c r="B485" t="s">
        <v>4061</v>
      </c>
      <c r="C485" t="s">
        <v>3582</v>
      </c>
      <c r="D485" t="s">
        <v>3563</v>
      </c>
      <c r="E485" t="s">
        <v>3555</v>
      </c>
      <c r="F485" t="s">
        <v>3571</v>
      </c>
    </row>
    <row r="486" spans="1:6">
      <c r="A486" t="s">
        <v>1051</v>
      </c>
      <c r="B486" t="s">
        <v>4062</v>
      </c>
      <c r="C486" t="s">
        <v>3586</v>
      </c>
      <c r="D486" t="s">
        <v>3563</v>
      </c>
      <c r="E486" t="s">
        <v>3568</v>
      </c>
      <c r="F486" t="s">
        <v>3569</v>
      </c>
    </row>
    <row r="487" spans="1:6">
      <c r="A487" t="s">
        <v>1062</v>
      </c>
      <c r="B487" t="s">
        <v>4063</v>
      </c>
      <c r="C487" t="s">
        <v>3588</v>
      </c>
      <c r="D487" t="s">
        <v>3584</v>
      </c>
      <c r="E487" t="s">
        <v>3559</v>
      </c>
      <c r="F487" t="s">
        <v>3593</v>
      </c>
    </row>
    <row r="488" spans="1:6">
      <c r="A488" t="s">
        <v>959</v>
      </c>
      <c r="B488" t="s">
        <v>4064</v>
      </c>
      <c r="C488" t="s">
        <v>3586</v>
      </c>
      <c r="D488" t="s">
        <v>3563</v>
      </c>
      <c r="E488" t="s">
        <v>3573</v>
      </c>
      <c r="F488" t="s">
        <v>3574</v>
      </c>
    </row>
    <row r="489" spans="1:6">
      <c r="A489" t="s">
        <v>798</v>
      </c>
      <c r="B489" t="s">
        <v>4065</v>
      </c>
      <c r="C489" t="s">
        <v>3588</v>
      </c>
      <c r="D489" t="s">
        <v>3563</v>
      </c>
      <c r="E489" t="s">
        <v>3555</v>
      </c>
      <c r="F489" t="s">
        <v>3556</v>
      </c>
    </row>
    <row r="490" spans="1:6">
      <c r="A490" t="s">
        <v>819</v>
      </c>
      <c r="B490" t="s">
        <v>4066</v>
      </c>
      <c r="C490" t="s">
        <v>3586</v>
      </c>
      <c r="D490" t="s">
        <v>3563</v>
      </c>
      <c r="E490" t="s">
        <v>3573</v>
      </c>
      <c r="F490" t="s">
        <v>3577</v>
      </c>
    </row>
    <row r="491" spans="1:6">
      <c r="A491" t="s">
        <v>662</v>
      </c>
      <c r="B491" t="s">
        <v>4067</v>
      </c>
      <c r="C491" t="s">
        <v>3588</v>
      </c>
      <c r="D491" t="s">
        <v>3584</v>
      </c>
      <c r="E491" t="s">
        <v>3555</v>
      </c>
      <c r="F491" t="s">
        <v>3565</v>
      </c>
    </row>
    <row r="492" spans="1:6">
      <c r="A492" t="s">
        <v>58</v>
      </c>
      <c r="B492" t="s">
        <v>4068</v>
      </c>
      <c r="C492" t="s">
        <v>3558</v>
      </c>
      <c r="D492" t="s">
        <v>3584</v>
      </c>
      <c r="E492" t="s">
        <v>3568</v>
      </c>
      <c r="F492" t="s">
        <v>3600</v>
      </c>
    </row>
    <row r="493" spans="1:6">
      <c r="A493" t="s">
        <v>1043</v>
      </c>
      <c r="B493" t="s">
        <v>4069</v>
      </c>
      <c r="C493" t="s">
        <v>3562</v>
      </c>
      <c r="D493" t="s">
        <v>3554</v>
      </c>
      <c r="E493" t="s">
        <v>3573</v>
      </c>
      <c r="F493" t="s">
        <v>3577</v>
      </c>
    </row>
    <row r="494" spans="1:6">
      <c r="A494" t="s">
        <v>619</v>
      </c>
      <c r="B494" t="s">
        <v>4070</v>
      </c>
      <c r="C494" t="s">
        <v>3586</v>
      </c>
      <c r="D494" t="s">
        <v>3584</v>
      </c>
      <c r="E494" t="s">
        <v>3559</v>
      </c>
      <c r="F494" t="s">
        <v>3593</v>
      </c>
    </row>
    <row r="495" spans="1:6">
      <c r="A495" t="s">
        <v>1311</v>
      </c>
      <c r="B495" t="s">
        <v>4071</v>
      </c>
      <c r="C495" t="s">
        <v>3588</v>
      </c>
      <c r="D495" t="s">
        <v>3563</v>
      </c>
      <c r="E495" t="s">
        <v>3568</v>
      </c>
      <c r="F495" t="s">
        <v>3600</v>
      </c>
    </row>
    <row r="496" spans="1:6">
      <c r="A496" t="s">
        <v>1420</v>
      </c>
      <c r="B496" t="s">
        <v>4072</v>
      </c>
      <c r="C496" t="s">
        <v>3562</v>
      </c>
      <c r="D496" t="s">
        <v>3563</v>
      </c>
      <c r="E496" t="s">
        <v>3568</v>
      </c>
      <c r="F496" t="s">
        <v>3600</v>
      </c>
    </row>
    <row r="497" spans="1:6">
      <c r="A497" t="s">
        <v>362</v>
      </c>
      <c r="B497" t="s">
        <v>4073</v>
      </c>
      <c r="C497" t="s">
        <v>3562</v>
      </c>
      <c r="D497" t="s">
        <v>3563</v>
      </c>
      <c r="E497" t="s">
        <v>3559</v>
      </c>
      <c r="F497" t="s">
        <v>3595</v>
      </c>
    </row>
    <row r="498" spans="1:6">
      <c r="A498" t="s">
        <v>535</v>
      </c>
      <c r="B498" t="s">
        <v>4074</v>
      </c>
      <c r="C498" t="s">
        <v>3586</v>
      </c>
      <c r="D498" t="s">
        <v>3554</v>
      </c>
      <c r="E498" t="s">
        <v>3573</v>
      </c>
      <c r="F498" t="s">
        <v>3590</v>
      </c>
    </row>
    <row r="499" spans="1:6">
      <c r="A499" t="s">
        <v>623</v>
      </c>
      <c r="B499" t="s">
        <v>4075</v>
      </c>
      <c r="C499" t="s">
        <v>3588</v>
      </c>
      <c r="D499" t="s">
        <v>3554</v>
      </c>
      <c r="E499" t="s">
        <v>3568</v>
      </c>
      <c r="F499" t="s">
        <v>3600</v>
      </c>
    </row>
    <row r="500" spans="1:6">
      <c r="A500" t="s">
        <v>1760</v>
      </c>
      <c r="B500" t="s">
        <v>4076</v>
      </c>
      <c r="C500" t="s">
        <v>3558</v>
      </c>
      <c r="D500" t="s">
        <v>3584</v>
      </c>
      <c r="E500" t="s">
        <v>3568</v>
      </c>
      <c r="F500" t="s">
        <v>3607</v>
      </c>
    </row>
    <row r="501" spans="1:6">
      <c r="A501" t="s">
        <v>1039</v>
      </c>
      <c r="B501" t="s">
        <v>4077</v>
      </c>
      <c r="C501" t="s">
        <v>3586</v>
      </c>
      <c r="D501" t="s">
        <v>3563</v>
      </c>
      <c r="E501" t="s">
        <v>3573</v>
      </c>
      <c r="F501" t="s">
        <v>3574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7745-78F8-44D3-A63B-03E70B61D0B0}">
  <dimension ref="A1:B8"/>
  <sheetViews>
    <sheetView workbookViewId="0">
      <selection activeCell="B4" sqref="B4"/>
    </sheetView>
  </sheetViews>
  <sheetFormatPr defaultRowHeight="15.05"/>
  <cols>
    <col min="1" max="1" width="12.33203125" bestFit="1" customWidth="1"/>
    <col min="2" max="2" width="19.109375" bestFit="1" customWidth="1"/>
  </cols>
  <sheetData>
    <row r="1" spans="1:2">
      <c r="A1" s="8" t="s">
        <v>7</v>
      </c>
      <c r="B1" t="s">
        <v>28</v>
      </c>
    </row>
    <row r="3" spans="1:2">
      <c r="A3" s="8" t="s">
        <v>14630</v>
      </c>
      <c r="B3" t="s">
        <v>14632</v>
      </c>
    </row>
    <row r="4" spans="1:2">
      <c r="A4" s="9" t="s">
        <v>3555</v>
      </c>
      <c r="B4" s="11">
        <v>91335000</v>
      </c>
    </row>
    <row r="5" spans="1:2">
      <c r="A5" s="9" t="s">
        <v>3573</v>
      </c>
      <c r="B5" s="11">
        <v>88860000</v>
      </c>
    </row>
    <row r="6" spans="1:2">
      <c r="A6" s="9" t="s">
        <v>3559</v>
      </c>
      <c r="B6" s="11">
        <v>85695000</v>
      </c>
    </row>
    <row r="7" spans="1:2">
      <c r="A7" s="9" t="s">
        <v>3568</v>
      </c>
      <c r="B7" s="11">
        <v>77607000</v>
      </c>
    </row>
    <row r="8" spans="1:2">
      <c r="A8" s="9" t="s">
        <v>14631</v>
      </c>
      <c r="B8" s="11">
        <v>343497000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B754-923A-45E9-99FF-A6841500ABAF}">
  <dimension ref="A3:I9"/>
  <sheetViews>
    <sheetView workbookViewId="0">
      <selection activeCell="L7" sqref="L7"/>
    </sheetView>
  </sheetViews>
  <sheetFormatPr defaultRowHeight="15.05"/>
  <cols>
    <col min="1" max="1" width="20.44140625" bestFit="1" customWidth="1"/>
    <col min="2" max="2" width="15.44140625" bestFit="1" customWidth="1"/>
    <col min="3" max="3" width="5.44140625" bestFit="1" customWidth="1"/>
    <col min="4" max="4" width="4.6640625" bestFit="1" customWidth="1"/>
    <col min="5" max="5" width="10.5546875" bestFit="1" customWidth="1"/>
  </cols>
  <sheetData>
    <row r="3" spans="1:9">
      <c r="A3" s="8" t="s">
        <v>14634</v>
      </c>
      <c r="B3" s="8" t="s">
        <v>14633</v>
      </c>
    </row>
    <row r="4" spans="1:9">
      <c r="A4" s="8" t="s">
        <v>14630</v>
      </c>
      <c r="B4" t="s">
        <v>17</v>
      </c>
      <c r="C4" t="s">
        <v>43</v>
      </c>
      <c r="D4" t="s">
        <v>28</v>
      </c>
      <c r="E4" t="s">
        <v>14631</v>
      </c>
      <c r="F4" s="5" t="s">
        <v>14622</v>
      </c>
      <c r="H4" t="s">
        <v>14642</v>
      </c>
      <c r="I4" t="s">
        <v>14622</v>
      </c>
    </row>
    <row r="5" spans="1:9">
      <c r="A5" s="9" t="s">
        <v>3568</v>
      </c>
      <c r="B5" s="35">
        <v>247</v>
      </c>
      <c r="C5" s="35">
        <v>248</v>
      </c>
      <c r="D5" s="35">
        <v>195</v>
      </c>
      <c r="E5" s="35">
        <v>690</v>
      </c>
      <c r="F5" s="3">
        <f>IFERROR(D5/(B5+D5),0)</f>
        <v>0.44117647058823528</v>
      </c>
      <c r="H5" t="s">
        <v>14643</v>
      </c>
      <c r="I5" s="13">
        <f>F5</f>
        <v>0.44117647058823528</v>
      </c>
    </row>
    <row r="6" spans="1:9">
      <c r="A6" s="9" t="s">
        <v>3559</v>
      </c>
      <c r="B6" s="35">
        <v>247</v>
      </c>
      <c r="C6" s="35">
        <v>256</v>
      </c>
      <c r="D6" s="35">
        <v>229</v>
      </c>
      <c r="E6" s="35">
        <v>732</v>
      </c>
      <c r="F6" s="3">
        <f>IFERROR(D6/(B6+D6),0)</f>
        <v>0.48109243697478993</v>
      </c>
      <c r="H6" t="s">
        <v>3559</v>
      </c>
      <c r="I6" s="13">
        <f>F6</f>
        <v>0.48109243697478993</v>
      </c>
    </row>
    <row r="7" spans="1:9">
      <c r="A7" s="9" t="s">
        <v>3555</v>
      </c>
      <c r="B7" s="35">
        <v>277</v>
      </c>
      <c r="C7" s="35">
        <v>256</v>
      </c>
      <c r="D7" s="35">
        <v>249</v>
      </c>
      <c r="E7" s="35">
        <v>782</v>
      </c>
      <c r="F7" s="3">
        <f>IFERROR(D7/(B7+D7),0)</f>
        <v>0.47338403041825095</v>
      </c>
      <c r="H7" t="s">
        <v>3555</v>
      </c>
      <c r="I7" s="13">
        <f>F7</f>
        <v>0.47338403041825095</v>
      </c>
    </row>
    <row r="8" spans="1:9">
      <c r="A8" s="9" t="s">
        <v>3573</v>
      </c>
      <c r="B8" s="35">
        <v>296</v>
      </c>
      <c r="C8" s="35">
        <v>266</v>
      </c>
      <c r="D8" s="35">
        <v>234</v>
      </c>
      <c r="E8" s="35">
        <v>796</v>
      </c>
      <c r="F8" s="3">
        <f>IFERROR(D8/(B8+D8),0)</f>
        <v>0.44150943396226416</v>
      </c>
      <c r="H8" t="s">
        <v>3573</v>
      </c>
      <c r="I8" s="13">
        <f>F8</f>
        <v>0.44150943396226416</v>
      </c>
    </row>
    <row r="9" spans="1:9">
      <c r="A9" s="9" t="s">
        <v>14631</v>
      </c>
      <c r="B9" s="35">
        <v>1067</v>
      </c>
      <c r="C9" s="35">
        <v>1026</v>
      </c>
      <c r="D9" s="35">
        <v>907</v>
      </c>
      <c r="E9" s="35">
        <v>3000</v>
      </c>
      <c r="F9" s="12">
        <f>IFERROR(D9/(B9+D9),0)</f>
        <v>0.45947315096251268</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EB58-50D0-4614-A9F4-67E263FDAB5B}">
  <dimension ref="A1:B10"/>
  <sheetViews>
    <sheetView workbookViewId="0">
      <selection activeCell="B5" sqref="B5"/>
    </sheetView>
  </sheetViews>
  <sheetFormatPr defaultRowHeight="15.05"/>
  <cols>
    <col min="1" max="1" width="16.77734375" bestFit="1" customWidth="1"/>
    <col min="2" max="2" width="19.109375" bestFit="1" customWidth="1"/>
  </cols>
  <sheetData>
    <row r="1" spans="1:2">
      <c r="A1" s="8" t="s">
        <v>7</v>
      </c>
      <c r="B1" t="s">
        <v>28</v>
      </c>
    </row>
    <row r="3" spans="1:2">
      <c r="A3" s="8" t="s">
        <v>14630</v>
      </c>
      <c r="B3" t="s">
        <v>14632</v>
      </c>
    </row>
    <row r="4" spans="1:2">
      <c r="A4" s="9" t="s">
        <v>4090</v>
      </c>
      <c r="B4" s="10">
        <v>82062000</v>
      </c>
    </row>
    <row r="5" spans="1:2">
      <c r="A5" s="9" t="s">
        <v>4083</v>
      </c>
      <c r="B5" s="10">
        <v>73185000</v>
      </c>
    </row>
    <row r="6" spans="1:2">
      <c r="A6" s="9" t="s">
        <v>4086</v>
      </c>
      <c r="B6" s="10">
        <v>65775000</v>
      </c>
    </row>
    <row r="7" spans="1:2">
      <c r="A7" s="9" t="s">
        <v>4084</v>
      </c>
      <c r="B7" s="10">
        <v>53448000</v>
      </c>
    </row>
    <row r="8" spans="1:2">
      <c r="A8" s="9" t="s">
        <v>4088</v>
      </c>
      <c r="B8" s="10">
        <v>41985000</v>
      </c>
    </row>
    <row r="9" spans="1:2">
      <c r="A9" s="9" t="s">
        <v>4081</v>
      </c>
      <c r="B9" s="10">
        <v>27042000</v>
      </c>
    </row>
    <row r="10" spans="1:2">
      <c r="A10" s="9" t="s">
        <v>14631</v>
      </c>
      <c r="B10" s="10">
        <v>343497000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0F55B-A667-4C59-A0D1-D969737DCE03}">
  <dimension ref="A3:I11"/>
  <sheetViews>
    <sheetView workbookViewId="0">
      <selection activeCell="N7" sqref="N7"/>
    </sheetView>
  </sheetViews>
  <sheetFormatPr defaultRowHeight="15.05"/>
  <cols>
    <col min="1" max="1" width="20.44140625" bestFit="1" customWidth="1"/>
    <col min="2" max="2" width="15.44140625" bestFit="1" customWidth="1"/>
    <col min="3" max="3" width="5.44140625" bestFit="1" customWidth="1"/>
    <col min="4" max="4" width="4.6640625" bestFit="1" customWidth="1"/>
    <col min="5" max="5" width="10.5546875" bestFit="1" customWidth="1"/>
    <col min="8" max="8" width="15.77734375" customWidth="1"/>
  </cols>
  <sheetData>
    <row r="3" spans="1:9">
      <c r="A3" s="8" t="s">
        <v>14634</v>
      </c>
      <c r="B3" s="8" t="s">
        <v>14633</v>
      </c>
    </row>
    <row r="4" spans="1:9">
      <c r="A4" s="8" t="s">
        <v>14630</v>
      </c>
      <c r="B4" t="s">
        <v>17</v>
      </c>
      <c r="C4" t="s">
        <v>43</v>
      </c>
      <c r="D4" t="s">
        <v>28</v>
      </c>
      <c r="E4" t="s">
        <v>14631</v>
      </c>
      <c r="F4" t="s">
        <v>14622</v>
      </c>
      <c r="H4" t="s">
        <v>14644</v>
      </c>
      <c r="I4" t="s">
        <v>14622</v>
      </c>
    </row>
    <row r="5" spans="1:9">
      <c r="A5" s="9" t="s">
        <v>4086</v>
      </c>
      <c r="B5" s="35">
        <v>201</v>
      </c>
      <c r="C5" s="35">
        <v>163</v>
      </c>
      <c r="D5" s="35">
        <v>153</v>
      </c>
      <c r="E5" s="35">
        <v>517</v>
      </c>
      <c r="F5" s="3">
        <f>IFERROR(D5/(B5+D5),0)</f>
        <v>0.43220338983050849</v>
      </c>
      <c r="H5" s="9" t="s">
        <v>4086</v>
      </c>
      <c r="I5" s="3">
        <f>IFERROR(D5/(B5+D5),0)</f>
        <v>0.43220338983050849</v>
      </c>
    </row>
    <row r="6" spans="1:9">
      <c r="A6" s="9" t="s">
        <v>4083</v>
      </c>
      <c r="B6" s="35">
        <v>170</v>
      </c>
      <c r="C6" s="35">
        <v>168</v>
      </c>
      <c r="D6" s="35">
        <v>129</v>
      </c>
      <c r="E6" s="35">
        <v>467</v>
      </c>
      <c r="F6" s="3">
        <f t="shared" ref="F6:F11" si="0">IFERROR(D6/(B6+D6),0)</f>
        <v>0.43143812709030099</v>
      </c>
      <c r="H6" s="9" t="s">
        <v>4083</v>
      </c>
      <c r="I6" s="3">
        <f t="shared" ref="I6:I10" si="1">IFERROR(D6/(B6+D6),0)</f>
        <v>0.43143812709030099</v>
      </c>
    </row>
    <row r="7" spans="1:9">
      <c r="A7" s="9" t="s">
        <v>4081</v>
      </c>
      <c r="B7" s="35">
        <v>194</v>
      </c>
      <c r="C7" s="35">
        <v>171</v>
      </c>
      <c r="D7" s="35">
        <v>157</v>
      </c>
      <c r="E7" s="35">
        <v>522</v>
      </c>
      <c r="F7" s="3">
        <f t="shared" si="0"/>
        <v>0.44729344729344728</v>
      </c>
      <c r="H7" s="9" t="s">
        <v>4081</v>
      </c>
      <c r="I7" s="3">
        <f t="shared" si="1"/>
        <v>0.44729344729344728</v>
      </c>
    </row>
    <row r="8" spans="1:9">
      <c r="A8" s="9" t="s">
        <v>4090</v>
      </c>
      <c r="B8" s="35">
        <v>181</v>
      </c>
      <c r="C8" s="35">
        <v>168</v>
      </c>
      <c r="D8" s="35">
        <v>166</v>
      </c>
      <c r="E8" s="35">
        <v>515</v>
      </c>
      <c r="F8" s="3">
        <f t="shared" si="0"/>
        <v>0.47838616714697407</v>
      </c>
      <c r="H8" s="9" t="s">
        <v>4090</v>
      </c>
      <c r="I8" s="3">
        <f t="shared" si="1"/>
        <v>0.47838616714697407</v>
      </c>
    </row>
    <row r="9" spans="1:9">
      <c r="A9" s="9" t="s">
        <v>4088</v>
      </c>
      <c r="B9" s="35">
        <v>152</v>
      </c>
      <c r="C9" s="35">
        <v>186</v>
      </c>
      <c r="D9" s="35">
        <v>154</v>
      </c>
      <c r="E9" s="35">
        <v>492</v>
      </c>
      <c r="F9" s="3">
        <f t="shared" si="0"/>
        <v>0.50326797385620914</v>
      </c>
      <c r="H9" s="9" t="s">
        <v>4088</v>
      </c>
      <c r="I9" s="3">
        <f t="shared" si="1"/>
        <v>0.50326797385620914</v>
      </c>
    </row>
    <row r="10" spans="1:9">
      <c r="A10" s="9" t="s">
        <v>4084</v>
      </c>
      <c r="B10" s="35">
        <v>169</v>
      </c>
      <c r="C10" s="35">
        <v>170</v>
      </c>
      <c r="D10" s="35">
        <v>148</v>
      </c>
      <c r="E10" s="35">
        <v>487</v>
      </c>
      <c r="F10" s="3">
        <f t="shared" si="0"/>
        <v>0.46687697160883279</v>
      </c>
      <c r="H10" s="9" t="s">
        <v>4084</v>
      </c>
      <c r="I10" s="3">
        <f t="shared" si="1"/>
        <v>0.46687697160883279</v>
      </c>
    </row>
    <row r="11" spans="1:9">
      <c r="A11" s="9" t="s">
        <v>14631</v>
      </c>
      <c r="B11" s="35">
        <v>1067</v>
      </c>
      <c r="C11" s="35">
        <v>1026</v>
      </c>
      <c r="D11" s="35">
        <v>907</v>
      </c>
      <c r="E11" s="35">
        <v>3000</v>
      </c>
      <c r="F11" s="3">
        <f t="shared" si="0"/>
        <v>0.45947315096251268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8FA36-FAD3-4F83-8D37-8629617E009A}">
  <dimension ref="A1:F24"/>
  <sheetViews>
    <sheetView workbookViewId="0">
      <selection activeCell="E24" sqref="E24"/>
    </sheetView>
  </sheetViews>
  <sheetFormatPr defaultRowHeight="15.05"/>
  <cols>
    <col min="1" max="1" width="12.33203125" bestFit="1" customWidth="1"/>
    <col min="2" max="2" width="19.109375" bestFit="1" customWidth="1"/>
    <col min="3" max="3" width="20.44140625" bestFit="1" customWidth="1"/>
    <col min="4" max="4" width="12.6640625" customWidth="1"/>
    <col min="5" max="5" width="18.6640625" customWidth="1"/>
    <col min="6" max="6" width="17.109375" customWidth="1"/>
  </cols>
  <sheetData>
    <row r="1" spans="1:6">
      <c r="A1" s="8" t="s">
        <v>7</v>
      </c>
      <c r="B1" t="s">
        <v>28</v>
      </c>
    </row>
    <row r="3" spans="1:6">
      <c r="A3" s="8" t="s">
        <v>14630</v>
      </c>
      <c r="B3" t="s">
        <v>14632</v>
      </c>
      <c r="D3" t="s">
        <v>14635</v>
      </c>
      <c r="E3" t="s">
        <v>14636</v>
      </c>
      <c r="F3" t="s">
        <v>14637</v>
      </c>
    </row>
    <row r="4" spans="1:6">
      <c r="A4" s="9" t="s">
        <v>4100</v>
      </c>
      <c r="B4" s="11">
        <v>22146000</v>
      </c>
      <c r="D4">
        <f>_xlfn.XLOOKUP(A4,tblSalesReps[rep_name],tblSalesReps[annual_target_inr],"Missing")</f>
        <v>12000000</v>
      </c>
      <c r="E4" s="3">
        <f>IFERROR(B4/D4,0)</f>
        <v>1.8454999999999999</v>
      </c>
      <c r="F4" t="str">
        <f>IF(E4&gt;=1.2,"Outstanding",IF(E4&gt;=1,"Achieved",IF(E4&gt;=0.8,"Near Target","Below Target")))</f>
        <v>Outstanding</v>
      </c>
    </row>
    <row r="5" spans="1:6">
      <c r="A5" s="9" t="s">
        <v>4112</v>
      </c>
      <c r="B5" s="11">
        <v>22086000</v>
      </c>
      <c r="D5">
        <f>_xlfn.XLOOKUP(A5,tblSalesReps[rep_name],tblSalesReps[annual_target_inr],"Missing")</f>
        <v>18000000</v>
      </c>
      <c r="E5" s="3">
        <f t="shared" ref="E5:E23" si="0">IFERROR(B5/D5,0)</f>
        <v>1.2270000000000001</v>
      </c>
      <c r="F5" t="str">
        <f t="shared" ref="F5:F23" si="1">IF(E5&gt;=1.2,"Outstanding",IF(E5&gt;=1,"Achieved",IF(E5&gt;=0.8,"Near Target","Below Target")))</f>
        <v>Outstanding</v>
      </c>
    </row>
    <row r="6" spans="1:6">
      <c r="A6" s="9" t="s">
        <v>4118</v>
      </c>
      <c r="B6" s="11">
        <v>21186000</v>
      </c>
      <c r="D6">
        <f>_xlfn.XLOOKUP(A6,tblSalesReps[rep_name],tblSalesReps[annual_target_inr],"Missing")</f>
        <v>12000000</v>
      </c>
      <c r="E6" s="3">
        <f t="shared" si="0"/>
        <v>1.7655000000000001</v>
      </c>
      <c r="F6" t="str">
        <f t="shared" si="1"/>
        <v>Outstanding</v>
      </c>
    </row>
    <row r="7" spans="1:6">
      <c r="A7" s="9" t="s">
        <v>4105</v>
      </c>
      <c r="B7" s="11">
        <v>20025000</v>
      </c>
      <c r="D7">
        <f>_xlfn.XLOOKUP(A7,tblSalesReps[rep_name],tblSalesReps[annual_target_inr],"Missing")</f>
        <v>12000000</v>
      </c>
      <c r="E7" s="3">
        <f t="shared" si="0"/>
        <v>1.66875</v>
      </c>
      <c r="F7" t="str">
        <f t="shared" si="1"/>
        <v>Outstanding</v>
      </c>
    </row>
    <row r="8" spans="1:6">
      <c r="A8" s="9" t="s">
        <v>4099</v>
      </c>
      <c r="B8" s="11">
        <v>19542000</v>
      </c>
      <c r="D8">
        <f>_xlfn.XLOOKUP(A8,tblSalesReps[rep_name],tblSalesReps[annual_target_inr],"Missing")</f>
        <v>18000000</v>
      </c>
      <c r="E8" s="3">
        <f t="shared" si="0"/>
        <v>1.0856666666666666</v>
      </c>
      <c r="F8" t="str">
        <f t="shared" si="1"/>
        <v>Achieved</v>
      </c>
    </row>
    <row r="9" spans="1:6">
      <c r="A9" s="9" t="s">
        <v>4098</v>
      </c>
      <c r="B9" s="11">
        <v>19299000</v>
      </c>
      <c r="D9">
        <f>_xlfn.XLOOKUP(A9,tblSalesReps[rep_name],tblSalesReps[annual_target_inr],"Missing")</f>
        <v>18000000</v>
      </c>
      <c r="E9" s="3">
        <f t="shared" si="0"/>
        <v>1.0721666666666667</v>
      </c>
      <c r="F9" t="str">
        <f t="shared" si="1"/>
        <v>Achieved</v>
      </c>
    </row>
    <row r="10" spans="1:6">
      <c r="A10" s="9" t="s">
        <v>4111</v>
      </c>
      <c r="B10" s="11">
        <v>19131000</v>
      </c>
      <c r="D10">
        <f>_xlfn.XLOOKUP(A10,tblSalesReps[rep_name],tblSalesReps[annual_target_inr],"Missing")</f>
        <v>18000000</v>
      </c>
      <c r="E10" s="3">
        <f t="shared" si="0"/>
        <v>1.0628333333333333</v>
      </c>
      <c r="F10" t="str">
        <f t="shared" si="1"/>
        <v>Achieved</v>
      </c>
    </row>
    <row r="11" spans="1:6">
      <c r="A11" s="9" t="s">
        <v>4101</v>
      </c>
      <c r="B11" s="11">
        <v>18090000</v>
      </c>
      <c r="D11">
        <f>_xlfn.XLOOKUP(A11,tblSalesReps[rep_name],tblSalesReps[annual_target_inr],"Missing")</f>
        <v>21000000</v>
      </c>
      <c r="E11" s="3">
        <f t="shared" si="0"/>
        <v>0.86142857142857143</v>
      </c>
      <c r="F11" t="str">
        <f t="shared" si="1"/>
        <v>Near Target</v>
      </c>
    </row>
    <row r="12" spans="1:6">
      <c r="A12" s="9" t="s">
        <v>4109</v>
      </c>
      <c r="B12" s="11">
        <v>17625000</v>
      </c>
      <c r="D12">
        <f>_xlfn.XLOOKUP(A12,tblSalesReps[rep_name],tblSalesReps[annual_target_inr],"Missing")</f>
        <v>21000000</v>
      </c>
      <c r="E12" s="3">
        <f t="shared" si="0"/>
        <v>0.8392857142857143</v>
      </c>
      <c r="F12" t="str">
        <f t="shared" si="1"/>
        <v>Near Target</v>
      </c>
    </row>
    <row r="13" spans="1:6">
      <c r="A13" s="9" t="s">
        <v>4106</v>
      </c>
      <c r="B13" s="11">
        <v>16440000</v>
      </c>
      <c r="D13">
        <f>_xlfn.XLOOKUP(A13,tblSalesReps[rep_name],tblSalesReps[annual_target_inr],"Missing")</f>
        <v>15000000</v>
      </c>
      <c r="E13" s="3">
        <f t="shared" si="0"/>
        <v>1.0960000000000001</v>
      </c>
      <c r="F13" t="str">
        <f t="shared" si="1"/>
        <v>Achieved</v>
      </c>
    </row>
    <row r="14" spans="1:6">
      <c r="A14" s="9" t="s">
        <v>4097</v>
      </c>
      <c r="B14" s="11">
        <v>16398000</v>
      </c>
      <c r="D14">
        <f>_xlfn.XLOOKUP(A14,tblSalesReps[rep_name],tblSalesReps[annual_target_inr],"Missing")</f>
        <v>15000000</v>
      </c>
      <c r="E14" s="3">
        <f t="shared" si="0"/>
        <v>1.0931999999999999</v>
      </c>
      <c r="F14" t="str">
        <f t="shared" si="1"/>
        <v>Achieved</v>
      </c>
    </row>
    <row r="15" spans="1:6">
      <c r="A15" s="9" t="s">
        <v>4117</v>
      </c>
      <c r="B15" s="11">
        <v>16212000</v>
      </c>
      <c r="D15">
        <f>_xlfn.XLOOKUP(A15,tblSalesReps[rep_name],tblSalesReps[annual_target_inr],"Missing")</f>
        <v>12000000</v>
      </c>
      <c r="E15" s="3">
        <f t="shared" si="0"/>
        <v>1.351</v>
      </c>
      <c r="F15" t="str">
        <f t="shared" si="1"/>
        <v>Outstanding</v>
      </c>
    </row>
    <row r="16" spans="1:6">
      <c r="A16" s="9" t="s">
        <v>4110</v>
      </c>
      <c r="B16" s="11">
        <v>16188000</v>
      </c>
      <c r="D16">
        <f>_xlfn.XLOOKUP(A16,tblSalesReps[rep_name],tblSalesReps[annual_target_inr],"Missing")</f>
        <v>18000000</v>
      </c>
      <c r="E16" s="3">
        <f t="shared" si="0"/>
        <v>0.89933333333333332</v>
      </c>
      <c r="F16" t="str">
        <f t="shared" si="1"/>
        <v>Near Target</v>
      </c>
    </row>
    <row r="17" spans="1:6">
      <c r="A17" s="9" t="s">
        <v>4104</v>
      </c>
      <c r="B17" s="11">
        <v>15804000</v>
      </c>
      <c r="D17">
        <f>_xlfn.XLOOKUP(A17,tblSalesReps[rep_name],tblSalesReps[annual_target_inr],"Missing")</f>
        <v>18000000</v>
      </c>
      <c r="E17" s="3">
        <f t="shared" si="0"/>
        <v>0.878</v>
      </c>
      <c r="F17" t="str">
        <f t="shared" si="1"/>
        <v>Near Target</v>
      </c>
    </row>
    <row r="18" spans="1:6">
      <c r="A18" s="9" t="s">
        <v>4103</v>
      </c>
      <c r="B18" s="11">
        <v>15336000</v>
      </c>
      <c r="D18">
        <f>_xlfn.XLOOKUP(A18,tblSalesReps[rep_name],tblSalesReps[annual_target_inr],"Missing")</f>
        <v>21000000</v>
      </c>
      <c r="E18" s="3">
        <f t="shared" si="0"/>
        <v>0.73028571428571432</v>
      </c>
      <c r="F18" t="str">
        <f t="shared" si="1"/>
        <v>Below Target</v>
      </c>
    </row>
    <row r="19" spans="1:6">
      <c r="A19" s="9" t="s">
        <v>4113</v>
      </c>
      <c r="B19" s="11">
        <v>14070000</v>
      </c>
      <c r="D19">
        <f>_xlfn.XLOOKUP(A19,tblSalesReps[rep_name],tblSalesReps[annual_target_inr],"Missing")</f>
        <v>15000000</v>
      </c>
      <c r="E19" s="3">
        <f t="shared" si="0"/>
        <v>0.93799999999999994</v>
      </c>
      <c r="F19" t="str">
        <f t="shared" si="1"/>
        <v>Near Target</v>
      </c>
    </row>
    <row r="20" spans="1:6">
      <c r="A20" s="9" t="s">
        <v>4095</v>
      </c>
      <c r="B20" s="11">
        <v>13950000</v>
      </c>
      <c r="D20">
        <f>_xlfn.XLOOKUP(A20,tblSalesReps[rep_name],tblSalesReps[annual_target_inr],"Missing")</f>
        <v>12000000</v>
      </c>
      <c r="E20" s="3">
        <f t="shared" si="0"/>
        <v>1.1625000000000001</v>
      </c>
      <c r="F20" t="str">
        <f t="shared" si="1"/>
        <v>Achieved</v>
      </c>
    </row>
    <row r="21" spans="1:6">
      <c r="A21" s="9" t="s">
        <v>4107</v>
      </c>
      <c r="B21" s="11">
        <v>13830000</v>
      </c>
      <c r="D21">
        <f>_xlfn.XLOOKUP(A21,tblSalesReps[rep_name],tblSalesReps[annual_target_inr],"Missing")</f>
        <v>12000000</v>
      </c>
      <c r="E21" s="3">
        <f t="shared" si="0"/>
        <v>1.1525000000000001</v>
      </c>
      <c r="F21" t="str">
        <f t="shared" si="1"/>
        <v>Achieved</v>
      </c>
    </row>
    <row r="22" spans="1:6">
      <c r="A22" s="9" t="s">
        <v>4115</v>
      </c>
      <c r="B22" s="11">
        <v>13143000</v>
      </c>
      <c r="D22">
        <f>_xlfn.XLOOKUP(A22,tblSalesReps[rep_name],tblSalesReps[annual_target_inr],"Missing")</f>
        <v>15000000</v>
      </c>
      <c r="E22" s="3">
        <f t="shared" si="0"/>
        <v>0.87619999999999998</v>
      </c>
      <c r="F22" t="str">
        <f t="shared" si="1"/>
        <v>Near Target</v>
      </c>
    </row>
    <row r="23" spans="1:6">
      <c r="A23" s="9" t="s">
        <v>4116</v>
      </c>
      <c r="B23" s="11">
        <v>12996000</v>
      </c>
      <c r="D23">
        <f>_xlfn.XLOOKUP(A23,tblSalesReps[rep_name],tblSalesReps[annual_target_inr],"Missing")</f>
        <v>21000000</v>
      </c>
      <c r="E23" s="3">
        <f t="shared" si="0"/>
        <v>0.61885714285714288</v>
      </c>
      <c r="F23" t="str">
        <f t="shared" si="1"/>
        <v>Below Target</v>
      </c>
    </row>
    <row r="24" spans="1:6">
      <c r="A24" s="9" t="s">
        <v>14631</v>
      </c>
      <c r="B24" s="11">
        <v>343497000</v>
      </c>
      <c r="D24">
        <f>SUM(D4:INDEX(D:D,MATCH("Grand Total",A:A,0)-1))</f>
        <v>324000000</v>
      </c>
      <c r="E24" s="3">
        <f>IFERROR(INDEX(B:B,MATCH("Grand Total",A:A,0))/D24,0)</f>
        <v>1.060175925925926</v>
      </c>
    </row>
  </sheetData>
  <conditionalFormatting sqref="F4">
    <cfRule type="dataBar" priority="1">
      <dataBar>
        <cfvo type="min"/>
        <cfvo type="max"/>
        <color rgb="FF638EC6"/>
      </dataBar>
      <extLst>
        <ext xmlns:x14="http://schemas.microsoft.com/office/spreadsheetml/2009/9/main" uri="{B025F937-C7B1-47D3-B67F-A62EFF666E3E}">
          <x14:id>{5ED310DF-B95E-4D94-B554-1EBCF462BA46}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ED310DF-B95E-4D94-B554-1EBCF462BA46}">
            <x14:dataBar minLength="0" maxLength="100" border="1" negativeBarBorderColorSameAsPositive="0">
              <x14:cfvo type="autoMin"/>
              <x14:cfvo type="autoMax"/>
              <x14:borderColor rgb="FF638EC6"/>
              <x14:negativeFillColor rgb="FFFF0000"/>
              <x14:negativeBorderColor rgb="FFFF0000"/>
              <x14:axisColor rgb="FF000000"/>
            </x14:dataBar>
          </x14:cfRule>
          <xm:sqref>F4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156C-A47F-4FF7-BB40-78FFD63CF420}">
  <dimension ref="A1:E21"/>
  <sheetViews>
    <sheetView workbookViewId="0">
      <selection activeCell="E1" sqref="E1"/>
    </sheetView>
  </sheetViews>
  <sheetFormatPr defaultRowHeight="15.05"/>
  <cols>
    <col min="1" max="1" width="18.5546875" customWidth="1"/>
    <col min="2" max="2" width="18.77734375" customWidth="1"/>
    <col min="4" max="4" width="17.6640625" customWidth="1"/>
    <col min="5" max="5" width="18.77734375" style="3" customWidth="1"/>
  </cols>
  <sheetData>
    <row r="1" spans="1:5">
      <c r="A1" t="s">
        <v>14645</v>
      </c>
      <c r="B1" t="s">
        <v>14636</v>
      </c>
      <c r="D1" t="s">
        <v>14645</v>
      </c>
      <c r="E1" s="3" t="s">
        <v>14636</v>
      </c>
    </row>
    <row r="2" spans="1:5">
      <c r="A2" t="str">
        <f>SalesRep_Performance!A4</f>
        <v>Sales Rep 05</v>
      </c>
      <c r="B2" s="13">
        <f>SalesRep_Performance!E4</f>
        <v>1.8454999999999999</v>
      </c>
      <c r="D2" t="str" cm="1">
        <f t="array" ref="D2:E21">_xlfn._xlws.FILTER(A2:B21,(A2:A21&lt;&gt;"")*(A2:A21&lt;&gt;"Grand Total")*(A2:A21&lt;&gt;0))</f>
        <v>Sales Rep 05</v>
      </c>
      <c r="E2" s="3">
        <v>1.8454999999999999</v>
      </c>
    </row>
    <row r="3" spans="1:5">
      <c r="A3" t="str">
        <f>SalesRep_Performance!A5</f>
        <v>Sales Rep 15</v>
      </c>
      <c r="B3" s="13">
        <f>SalesRep_Performance!E5</f>
        <v>1.2270000000000001</v>
      </c>
      <c r="D3" t="str">
        <v>Sales Rep 15</v>
      </c>
      <c r="E3" s="3">
        <v>1.2270000000000001</v>
      </c>
    </row>
    <row r="4" spans="1:5">
      <c r="A4" t="str">
        <f>SalesRep_Performance!A6</f>
        <v>Sales Rep 20</v>
      </c>
      <c r="B4" s="13">
        <f>SalesRep_Performance!E6</f>
        <v>1.7655000000000001</v>
      </c>
      <c r="D4" t="str">
        <v>Sales Rep 20</v>
      </c>
      <c r="E4" s="3">
        <v>1.7655000000000001</v>
      </c>
    </row>
    <row r="5" spans="1:5">
      <c r="A5" t="str">
        <f>SalesRep_Performance!A7</f>
        <v>Sales Rep 09</v>
      </c>
      <c r="B5" s="13">
        <f>SalesRep_Performance!E7</f>
        <v>1.66875</v>
      </c>
      <c r="D5" t="str">
        <v>Sales Rep 09</v>
      </c>
      <c r="E5" s="3">
        <v>1.66875</v>
      </c>
    </row>
    <row r="6" spans="1:5">
      <c r="A6" t="str">
        <f>SalesRep_Performance!A8</f>
        <v>Sales Rep 04</v>
      </c>
      <c r="B6" s="13">
        <f>SalesRep_Performance!E8</f>
        <v>1.0856666666666666</v>
      </c>
      <c r="D6" t="str">
        <v>Sales Rep 04</v>
      </c>
      <c r="E6" s="3">
        <v>1.0856666666666666</v>
      </c>
    </row>
    <row r="7" spans="1:5">
      <c r="A7" t="str">
        <f>SalesRep_Performance!A9</f>
        <v>Sales Rep 03</v>
      </c>
      <c r="B7" s="13">
        <f>SalesRep_Performance!E9</f>
        <v>1.0721666666666667</v>
      </c>
      <c r="D7" t="str">
        <v>Sales Rep 03</v>
      </c>
      <c r="E7" s="3">
        <v>1.0721666666666667</v>
      </c>
    </row>
    <row r="8" spans="1:5">
      <c r="A8" t="str">
        <f>IF(OR(SalesRep_Performance!A10="",SalesRep_Performance!A10=0,SalesRep_Performance!A10="Grand Total"),"",SalesRep_Performance!A10)</f>
        <v>Sales Rep 14</v>
      </c>
      <c r="B8" s="13">
        <f>IF(A8="","",SalesRep_Performance!E10)</f>
        <v>1.0628333333333333</v>
      </c>
      <c r="D8" t="str">
        <v>Sales Rep 14</v>
      </c>
      <c r="E8" s="3">
        <v>1.0628333333333333</v>
      </c>
    </row>
    <row r="9" spans="1:5">
      <c r="A9" t="str">
        <f>IF(OR(SalesRep_Performance!A11="",SalesRep_Performance!A11=0,SalesRep_Performance!A11="Grand Total"),"",SalesRep_Performance!A11)</f>
        <v>Sales Rep 06</v>
      </c>
      <c r="B9" s="13">
        <f>IF(A9="","",SalesRep_Performance!E11)</f>
        <v>0.86142857142857143</v>
      </c>
      <c r="D9" t="str">
        <v>Sales Rep 06</v>
      </c>
      <c r="E9" s="3">
        <v>0.86142857142857143</v>
      </c>
    </row>
    <row r="10" spans="1:5">
      <c r="A10" t="str">
        <f>IF(OR(SalesRep_Performance!A12="",SalesRep_Performance!A12=0,SalesRep_Performance!A12="Grand Total"),"",SalesRep_Performance!A12)</f>
        <v>Sales Rep 12</v>
      </c>
      <c r="B10" s="13">
        <f>IF(A10="","",SalesRep_Performance!E12)</f>
        <v>0.8392857142857143</v>
      </c>
      <c r="D10" t="str">
        <v>Sales Rep 12</v>
      </c>
      <c r="E10" s="3">
        <v>0.8392857142857143</v>
      </c>
    </row>
    <row r="11" spans="1:5">
      <c r="A11" t="str">
        <f>IF(OR(SalesRep_Performance!A13="",SalesRep_Performance!A13=0,SalesRep_Performance!A13="Grand Total"),"",SalesRep_Performance!A13)</f>
        <v>Sales Rep 10</v>
      </c>
      <c r="B11" s="13">
        <f>IF(A11="","",SalesRep_Performance!E13)</f>
        <v>1.0960000000000001</v>
      </c>
      <c r="D11" t="str">
        <v>Sales Rep 10</v>
      </c>
      <c r="E11" s="3">
        <v>1.0960000000000001</v>
      </c>
    </row>
    <row r="12" spans="1:5">
      <c r="A12" t="str">
        <f>IF(OR(SalesRep_Performance!A14="",SalesRep_Performance!A14=0,SalesRep_Performance!A14="Grand Total"),"",SalesRep_Performance!A14)</f>
        <v>Sales Rep 02</v>
      </c>
      <c r="B12" s="13">
        <f>IF(A12="","",SalesRep_Performance!E14)</f>
        <v>1.0931999999999999</v>
      </c>
      <c r="D12" t="str">
        <v>Sales Rep 02</v>
      </c>
      <c r="E12" s="3">
        <v>1.0931999999999999</v>
      </c>
    </row>
    <row r="13" spans="1:5">
      <c r="A13" t="str">
        <f>IF(OR(SalesRep_Performance!A15="",SalesRep_Performance!A15=0,SalesRep_Performance!A15="Grand Total"),"",SalesRep_Performance!A15)</f>
        <v>Sales Rep 19</v>
      </c>
      <c r="B13" s="13">
        <f>IF(A13="","",SalesRep_Performance!E15)</f>
        <v>1.351</v>
      </c>
      <c r="D13" t="str">
        <v>Sales Rep 19</v>
      </c>
      <c r="E13" s="3">
        <v>1.351</v>
      </c>
    </row>
    <row r="14" spans="1:5">
      <c r="A14" t="str">
        <f>IF(OR(SalesRep_Performance!A16="",SalesRep_Performance!A16=0,SalesRep_Performance!A16="Grand Total"),"",SalesRep_Performance!A16)</f>
        <v>Sales Rep 13</v>
      </c>
      <c r="B14" s="13">
        <f>IF(A14="","",SalesRep_Performance!E16)</f>
        <v>0.89933333333333332</v>
      </c>
      <c r="D14" t="str">
        <v>Sales Rep 13</v>
      </c>
      <c r="E14" s="3">
        <v>0.89933333333333332</v>
      </c>
    </row>
    <row r="15" spans="1:5">
      <c r="A15" t="str">
        <f>IF(OR(SalesRep_Performance!A17="",SalesRep_Performance!A17=0,SalesRep_Performance!A17="Grand Total"),"",SalesRep_Performance!A17)</f>
        <v>Sales Rep 08</v>
      </c>
      <c r="B15" s="13">
        <f>IF(A15="","",SalesRep_Performance!E17)</f>
        <v>0.878</v>
      </c>
      <c r="D15" t="str">
        <v>Sales Rep 08</v>
      </c>
      <c r="E15" s="3">
        <v>0.878</v>
      </c>
    </row>
    <row r="16" spans="1:5">
      <c r="A16" t="str">
        <f>IF(OR(SalesRep_Performance!A18="",SalesRep_Performance!A18=0,SalesRep_Performance!A18="Grand Total"),"",SalesRep_Performance!A18)</f>
        <v>Sales Rep 07</v>
      </c>
      <c r="B16" s="13">
        <f>IF(A16="","",SalesRep_Performance!E18)</f>
        <v>0.73028571428571432</v>
      </c>
      <c r="D16" t="str">
        <v>Sales Rep 07</v>
      </c>
      <c r="E16" s="3">
        <v>0.73028571428571432</v>
      </c>
    </row>
    <row r="17" spans="1:5">
      <c r="A17" t="str">
        <f>IF(OR(SalesRep_Performance!A19="",SalesRep_Performance!A19=0,SalesRep_Performance!A19="Grand Total"),"",SalesRep_Performance!A19)</f>
        <v>Sales Rep 16</v>
      </c>
      <c r="B17" s="13">
        <f>IF(A17="","",SalesRep_Performance!E19)</f>
        <v>0.93799999999999994</v>
      </c>
      <c r="D17" t="str">
        <v>Sales Rep 16</v>
      </c>
      <c r="E17" s="3">
        <v>0.93799999999999994</v>
      </c>
    </row>
    <row r="18" spans="1:5">
      <c r="A18" t="str">
        <f>IF(OR(SalesRep_Performance!A20="",SalesRep_Performance!A20=0,SalesRep_Performance!A20="Grand Total"),"",SalesRep_Performance!A20)</f>
        <v>Sales Rep 01</v>
      </c>
      <c r="B18" s="13">
        <f>IF(A18="","",SalesRep_Performance!E20)</f>
        <v>1.1625000000000001</v>
      </c>
      <c r="D18" t="str">
        <v>Sales Rep 01</v>
      </c>
      <c r="E18" s="3">
        <v>1.1625000000000001</v>
      </c>
    </row>
    <row r="19" spans="1:5">
      <c r="A19" t="str">
        <f>IF(OR(SalesRep_Performance!A21="",SalesRep_Performance!A21=0,SalesRep_Performance!A21="Grand Total"),"",SalesRep_Performance!A21)</f>
        <v>Sales Rep 11</v>
      </c>
      <c r="B19" s="13">
        <f>IF(A19="","",SalesRep_Performance!E21)</f>
        <v>1.1525000000000001</v>
      </c>
      <c r="D19" t="str">
        <v>Sales Rep 11</v>
      </c>
      <c r="E19" s="3">
        <v>1.1525000000000001</v>
      </c>
    </row>
    <row r="20" spans="1:5">
      <c r="A20" t="str">
        <f>IF(OR(SalesRep_Performance!A22="",SalesRep_Performance!A22=0,SalesRep_Performance!A22="Grand Total"),"",SalesRep_Performance!A22)</f>
        <v>Sales Rep 17</v>
      </c>
      <c r="B20" s="13">
        <f>IF(A20="","",SalesRep_Performance!E22)</f>
        <v>0.87619999999999998</v>
      </c>
      <c r="D20" t="str">
        <v>Sales Rep 17</v>
      </c>
      <c r="E20" s="3">
        <v>0.87619999999999998</v>
      </c>
    </row>
    <row r="21" spans="1:5">
      <c r="A21" t="str">
        <f>IF(OR(SalesRep_Performance!A23="",SalesRep_Performance!A23=0,SalesRep_Performance!A23="Grand Total"),"",SalesRep_Performance!A23)</f>
        <v>Sales Rep 18</v>
      </c>
      <c r="B21" s="13">
        <f>IF(A21="","",SalesRep_Performance!E23)</f>
        <v>0.61885714285714288</v>
      </c>
      <c r="D21" t="str">
        <v>Sales Rep 18</v>
      </c>
      <c r="E21" s="3">
        <v>0.61885714285714288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DF39-1C2A-4491-A5A1-327489DB547A}">
  <dimension ref="A1:X28"/>
  <sheetViews>
    <sheetView showGridLines="0" tabSelected="1" zoomScale="60" zoomScaleNormal="60" workbookViewId="0">
      <selection activeCell="AK104" sqref="AK104"/>
    </sheetView>
  </sheetViews>
  <sheetFormatPr defaultRowHeight="15.05"/>
  <cols>
    <col min="1" max="1" width="8.88671875" customWidth="1"/>
    <col min="9" max="9" width="12.6640625" customWidth="1"/>
    <col min="10" max="10" width="17.44140625" bestFit="1" customWidth="1"/>
    <col min="17" max="17" width="8.88671875" customWidth="1"/>
    <col min="24" max="24" width="20.33203125" hidden="1" customWidth="1"/>
  </cols>
  <sheetData>
    <row r="1" spans="1:24" ht="35.1" customHeight="1">
      <c r="A1" s="27" t="s">
        <v>14638</v>
      </c>
      <c r="B1" s="27"/>
      <c r="C1" s="27"/>
      <c r="D1" s="27"/>
      <c r="E1" s="27"/>
      <c r="F1" s="27"/>
      <c r="G1" s="27"/>
      <c r="H1" s="27"/>
      <c r="I1" s="27"/>
      <c r="J1" s="27"/>
      <c r="K1" s="27"/>
      <c r="L1" s="27"/>
      <c r="M1" s="27"/>
      <c r="N1" s="27"/>
      <c r="O1" s="27"/>
    </row>
    <row r="2" spans="1:24" ht="20.05" customHeight="1">
      <c r="A2" s="28" t="s">
        <v>14639</v>
      </c>
      <c r="B2" s="28"/>
      <c r="C2" s="28"/>
      <c r="D2" s="28"/>
      <c r="E2" s="28"/>
      <c r="F2" s="28"/>
      <c r="G2" s="28"/>
      <c r="H2" s="28"/>
      <c r="I2" s="28"/>
      <c r="J2" s="28"/>
      <c r="K2" s="28"/>
      <c r="L2" s="28"/>
      <c r="M2" s="28"/>
      <c r="N2" s="28"/>
      <c r="O2" s="28"/>
    </row>
    <row r="4" spans="1:24" ht="28.05" customHeight="1">
      <c r="A4" s="29" t="s">
        <v>14618</v>
      </c>
      <c r="B4" s="30"/>
      <c r="C4" s="31"/>
      <c r="D4" s="29" t="s">
        <v>14619</v>
      </c>
      <c r="E4" s="30"/>
      <c r="F4" s="31"/>
      <c r="G4" s="29" t="s">
        <v>14647</v>
      </c>
      <c r="H4" s="30"/>
      <c r="I4" s="31"/>
      <c r="J4" s="29" t="s">
        <v>14640</v>
      </c>
      <c r="K4" s="31"/>
      <c r="L4" s="15"/>
      <c r="M4" s="14" t="s">
        <v>14641</v>
      </c>
      <c r="N4" s="14"/>
      <c r="O4" s="16"/>
    </row>
    <row r="5" spans="1:24" s="6" customFormat="1" ht="35.1" customHeight="1">
      <c r="A5" s="32">
        <f>IFERROR(GETPIVOTDATA("Count of opportunity_id",Region_Opportunity_Count!$A$3),0)</f>
        <v>3000</v>
      </c>
      <c r="B5" s="33"/>
      <c r="C5" s="34"/>
      <c r="D5" s="32">
        <f>IFERROR(GETPIVOTDATA("Count of opportunity_id",Region_Won_Count!$A$3),0)</f>
        <v>907</v>
      </c>
      <c r="E5" s="33"/>
      <c r="F5" s="34"/>
      <c r="G5" s="24">
        <f>IFERROR(D5/GETPIVOTDATA("Count of opportunity_id",Region_Closed_Count!$A$3),0)</f>
        <v>0.45947315096251268</v>
      </c>
      <c r="H5" s="25"/>
      <c r="I5" s="26"/>
      <c r="J5" s="22">
        <f>IFERROR(INDEX(SalesRep_Performance!B:B,MATCH("Grand Total",SalesRep_Performance!A:A,0)),0)</f>
        <v>343497000</v>
      </c>
      <c r="K5" s="23"/>
      <c r="L5" s="24">
        <f>SalesRep_Performance!E24</f>
        <v>1.060175925925926</v>
      </c>
      <c r="M5" s="25"/>
      <c r="N5" s="25"/>
      <c r="O5" s="26"/>
    </row>
    <row r="15" spans="1:24">
      <c r="Q15" s="18" t="s">
        <v>14648</v>
      </c>
      <c r="R15" s="21"/>
      <c r="S15" s="18"/>
      <c r="T15" s="18"/>
      <c r="X15" t="str">
        <f>IFERROR(INDEX(Regional_Analysis!$A$4:$A$7,MATCH(MAX(Regional_Analysis!$B$4:$B$7),Regional_Analysis!$B$4:$B$7,0)),"")</f>
        <v>South</v>
      </c>
    </row>
    <row r="16" spans="1:24">
      <c r="X16">
        <f>IFERROR(MAX(Regional_Analysis!$B$4:$B$7),0)</f>
        <v>91335000</v>
      </c>
    </row>
    <row r="17" spans="17:24">
      <c r="Q17" s="18" t="s">
        <v>14649</v>
      </c>
      <c r="R17" s="18"/>
      <c r="X17" t="str">
        <f>IF(X15="","No data",X15&amp;" — ₹"&amp;TEXT(X16/1000000,"0.0")&amp;"M")</f>
        <v>South — ₹91.3M</v>
      </c>
    </row>
    <row r="18" spans="17:24">
      <c r="Q18" s="19" t="str">
        <f>X17</f>
        <v>South — ₹91.3M</v>
      </c>
      <c r="R18" s="19"/>
    </row>
    <row r="19" spans="17:24">
      <c r="X19" t="str">
        <f>IFERROR(INDEX(Product_Analysis!$A$4:$A$9,MATCH(MAX(Product_Analysis!$B$4:$B$9),Product_Analysis!$B$4:$B$9,0)),"")</f>
        <v>Security Suite</v>
      </c>
    </row>
    <row r="20" spans="17:24">
      <c r="Q20" s="18" t="s">
        <v>14650</v>
      </c>
      <c r="R20" s="18"/>
      <c r="X20">
        <f>IFERROR(MAX(Product_Analysis!$B$4:$B$9),0)</f>
        <v>82062000</v>
      </c>
    </row>
    <row r="21" spans="17:24">
      <c r="Q21" s="19" t="str">
        <f>X21</f>
        <v>Security Suite — ₹82.1M</v>
      </c>
      <c r="R21" s="19"/>
      <c r="S21" s="19"/>
      <c r="X21" t="str">
        <f>IF(X19="","No data",X19&amp;" — ₹"&amp;TEXT(X20/1000000,"0.0")&amp;"M")</f>
        <v>Security Suite — ₹82.1M</v>
      </c>
    </row>
    <row r="23" spans="17:24">
      <c r="Q23" s="18" t="s">
        <v>14647</v>
      </c>
      <c r="R23" s="18"/>
      <c r="S23" s="18"/>
    </row>
    <row r="24" spans="17:24">
      <c r="Q24" s="20">
        <f>G5</f>
        <v>0.45947315096251268</v>
      </c>
    </row>
    <row r="26" spans="17:24">
      <c r="Q26" s="18" t="s">
        <v>14641</v>
      </c>
      <c r="R26" s="18"/>
    </row>
    <row r="27" spans="17:24">
      <c r="Q27" s="20">
        <f>L5</f>
        <v>1.060175925925926</v>
      </c>
    </row>
    <row r="28" spans="17:24">
      <c r="Q28" s="17"/>
    </row>
  </sheetData>
  <mergeCells count="11">
    <mergeCell ref="J5:K5"/>
    <mergeCell ref="L5:O5"/>
    <mergeCell ref="A1:O1"/>
    <mergeCell ref="A2:O2"/>
    <mergeCell ref="A4:C4"/>
    <mergeCell ref="A5:C5"/>
    <mergeCell ref="D4:F4"/>
    <mergeCell ref="D5:F5"/>
    <mergeCell ref="G4:I4"/>
    <mergeCell ref="G5:I5"/>
    <mergeCell ref="J4:K4"/>
  </mergeCells>
  <phoneticPr fontId="6"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0E1B-B869-43B1-9396-7ABA4E50D1C7}">
  <dimension ref="A3:F25"/>
  <sheetViews>
    <sheetView workbookViewId="0">
      <selection activeCell="J16" sqref="J16"/>
    </sheetView>
  </sheetViews>
  <sheetFormatPr defaultRowHeight="15.05"/>
  <cols>
    <col min="1" max="1" width="20.44140625" bestFit="1" customWidth="1"/>
    <col min="2" max="2" width="15.44140625" bestFit="1" customWidth="1"/>
    <col min="3" max="3" width="5.44140625" bestFit="1" customWidth="1"/>
    <col min="4" max="4" width="4.6640625" bestFit="1" customWidth="1"/>
    <col min="5" max="5" width="10.5546875" bestFit="1" customWidth="1"/>
  </cols>
  <sheetData>
    <row r="3" spans="1:6">
      <c r="A3" s="8" t="s">
        <v>14634</v>
      </c>
      <c r="B3" s="8" t="s">
        <v>14633</v>
      </c>
    </row>
    <row r="4" spans="1:6">
      <c r="A4" s="8" t="s">
        <v>14630</v>
      </c>
      <c r="B4" t="s">
        <v>17</v>
      </c>
      <c r="C4" t="s">
        <v>43</v>
      </c>
      <c r="D4" t="s">
        <v>28</v>
      </c>
      <c r="E4" t="s">
        <v>14631</v>
      </c>
      <c r="F4" t="s">
        <v>14622</v>
      </c>
    </row>
    <row r="5" spans="1:6">
      <c r="A5" s="9" t="s">
        <v>4095</v>
      </c>
      <c r="B5" s="35">
        <v>62</v>
      </c>
      <c r="C5" s="35">
        <v>52</v>
      </c>
      <c r="D5" s="35">
        <v>44</v>
      </c>
      <c r="E5" s="35">
        <v>158</v>
      </c>
      <c r="F5" s="3">
        <f>IFERROR(D5/(B5+D5),0)</f>
        <v>0.41509433962264153</v>
      </c>
    </row>
    <row r="6" spans="1:6">
      <c r="A6" s="9" t="s">
        <v>4097</v>
      </c>
      <c r="B6" s="35">
        <v>61</v>
      </c>
      <c r="C6" s="35">
        <v>56</v>
      </c>
      <c r="D6" s="35">
        <v>44</v>
      </c>
      <c r="E6" s="35">
        <v>161</v>
      </c>
      <c r="F6" s="3">
        <f t="shared" ref="F6:F25" si="0">IFERROR(D6/(B6+D6),0)</f>
        <v>0.41904761904761906</v>
      </c>
    </row>
    <row r="7" spans="1:6">
      <c r="A7" s="9" t="s">
        <v>4098</v>
      </c>
      <c r="B7" s="35">
        <v>57</v>
      </c>
      <c r="C7" s="35">
        <v>48</v>
      </c>
      <c r="D7" s="35">
        <v>53</v>
      </c>
      <c r="E7" s="35">
        <v>158</v>
      </c>
      <c r="F7" s="3">
        <f t="shared" si="0"/>
        <v>0.48181818181818181</v>
      </c>
    </row>
    <row r="8" spans="1:6">
      <c r="A8" s="9" t="s">
        <v>4099</v>
      </c>
      <c r="B8" s="35">
        <v>47</v>
      </c>
      <c r="C8" s="35">
        <v>54</v>
      </c>
      <c r="D8" s="35">
        <v>53</v>
      </c>
      <c r="E8" s="35">
        <v>154</v>
      </c>
      <c r="F8" s="3">
        <f t="shared" si="0"/>
        <v>0.53</v>
      </c>
    </row>
    <row r="9" spans="1:6">
      <c r="A9" s="9" t="s">
        <v>4100</v>
      </c>
      <c r="B9" s="35">
        <v>50</v>
      </c>
      <c r="C9" s="35">
        <v>46</v>
      </c>
      <c r="D9" s="35">
        <v>55</v>
      </c>
      <c r="E9" s="35">
        <v>151</v>
      </c>
      <c r="F9" s="3">
        <f t="shared" si="0"/>
        <v>0.52380952380952384</v>
      </c>
    </row>
    <row r="10" spans="1:6">
      <c r="A10" s="9" t="s">
        <v>4101</v>
      </c>
      <c r="B10" s="35">
        <v>53</v>
      </c>
      <c r="C10" s="35">
        <v>59</v>
      </c>
      <c r="D10" s="35">
        <v>48</v>
      </c>
      <c r="E10" s="35">
        <v>160</v>
      </c>
      <c r="F10" s="3">
        <f t="shared" si="0"/>
        <v>0.47524752475247523</v>
      </c>
    </row>
    <row r="11" spans="1:6">
      <c r="A11" s="9" t="s">
        <v>4103</v>
      </c>
      <c r="B11" s="35">
        <v>44</v>
      </c>
      <c r="C11" s="35">
        <v>52</v>
      </c>
      <c r="D11" s="35">
        <v>50</v>
      </c>
      <c r="E11" s="35">
        <v>146</v>
      </c>
      <c r="F11" s="3">
        <f t="shared" si="0"/>
        <v>0.53191489361702127</v>
      </c>
    </row>
    <row r="12" spans="1:6">
      <c r="A12" s="9" t="s">
        <v>4104</v>
      </c>
      <c r="B12" s="35">
        <v>57</v>
      </c>
      <c r="C12" s="35">
        <v>43</v>
      </c>
      <c r="D12" s="35">
        <v>41</v>
      </c>
      <c r="E12" s="35">
        <v>141</v>
      </c>
      <c r="F12" s="3">
        <f t="shared" si="0"/>
        <v>0.41836734693877553</v>
      </c>
    </row>
    <row r="13" spans="1:6">
      <c r="A13" s="9" t="s">
        <v>4105</v>
      </c>
      <c r="B13" s="35">
        <v>55</v>
      </c>
      <c r="C13" s="35">
        <v>56</v>
      </c>
      <c r="D13" s="35">
        <v>46</v>
      </c>
      <c r="E13" s="35">
        <v>157</v>
      </c>
      <c r="F13" s="3">
        <f t="shared" si="0"/>
        <v>0.45544554455445546</v>
      </c>
    </row>
    <row r="14" spans="1:6">
      <c r="A14" s="9" t="s">
        <v>4106</v>
      </c>
      <c r="B14" s="35">
        <v>38</v>
      </c>
      <c r="C14" s="35">
        <v>46</v>
      </c>
      <c r="D14" s="35">
        <v>44</v>
      </c>
      <c r="E14" s="35">
        <v>128</v>
      </c>
      <c r="F14" s="3">
        <f t="shared" si="0"/>
        <v>0.53658536585365857</v>
      </c>
    </row>
    <row r="15" spans="1:6">
      <c r="A15" s="9" t="s">
        <v>4107</v>
      </c>
      <c r="B15" s="35">
        <v>74</v>
      </c>
      <c r="C15" s="35">
        <v>52</v>
      </c>
      <c r="D15" s="35">
        <v>41</v>
      </c>
      <c r="E15" s="35">
        <v>167</v>
      </c>
      <c r="F15" s="3">
        <f t="shared" si="0"/>
        <v>0.35652173913043478</v>
      </c>
    </row>
    <row r="16" spans="1:6">
      <c r="A16" s="9" t="s">
        <v>4109</v>
      </c>
      <c r="B16" s="35">
        <v>55</v>
      </c>
      <c r="C16" s="35">
        <v>63</v>
      </c>
      <c r="D16" s="35">
        <v>45</v>
      </c>
      <c r="E16" s="35">
        <v>163</v>
      </c>
      <c r="F16" s="3">
        <f t="shared" si="0"/>
        <v>0.45</v>
      </c>
    </row>
    <row r="17" spans="1:6">
      <c r="A17" s="9" t="s">
        <v>4110</v>
      </c>
      <c r="B17" s="35">
        <v>47</v>
      </c>
      <c r="C17" s="35">
        <v>53</v>
      </c>
      <c r="D17" s="35">
        <v>40</v>
      </c>
      <c r="E17" s="35">
        <v>140</v>
      </c>
      <c r="F17" s="3">
        <f t="shared" si="0"/>
        <v>0.45977011494252873</v>
      </c>
    </row>
    <row r="18" spans="1:6">
      <c r="A18" s="9" t="s">
        <v>4111</v>
      </c>
      <c r="B18" s="35">
        <v>68</v>
      </c>
      <c r="C18" s="35">
        <v>49</v>
      </c>
      <c r="D18" s="35">
        <v>53</v>
      </c>
      <c r="E18" s="35">
        <v>170</v>
      </c>
      <c r="F18" s="3">
        <f t="shared" si="0"/>
        <v>0.43801652892561982</v>
      </c>
    </row>
    <row r="19" spans="1:6">
      <c r="A19" s="9" t="s">
        <v>4112</v>
      </c>
      <c r="B19" s="35">
        <v>52</v>
      </c>
      <c r="C19" s="35">
        <v>49</v>
      </c>
      <c r="D19" s="35">
        <v>55</v>
      </c>
      <c r="E19" s="35">
        <v>156</v>
      </c>
      <c r="F19" s="3">
        <f t="shared" si="0"/>
        <v>0.51401869158878499</v>
      </c>
    </row>
    <row r="20" spans="1:6">
      <c r="A20" s="9" t="s">
        <v>4113</v>
      </c>
      <c r="B20" s="35">
        <v>52</v>
      </c>
      <c r="C20" s="35">
        <v>47</v>
      </c>
      <c r="D20" s="35">
        <v>37</v>
      </c>
      <c r="E20" s="35">
        <v>136</v>
      </c>
      <c r="F20" s="3">
        <f t="shared" si="0"/>
        <v>0.4157303370786517</v>
      </c>
    </row>
    <row r="21" spans="1:6">
      <c r="A21" s="9" t="s">
        <v>4115</v>
      </c>
      <c r="B21" s="35">
        <v>44</v>
      </c>
      <c r="C21" s="35">
        <v>51</v>
      </c>
      <c r="D21" s="35">
        <v>33</v>
      </c>
      <c r="E21" s="35">
        <v>128</v>
      </c>
      <c r="F21" s="3">
        <f t="shared" si="0"/>
        <v>0.42857142857142855</v>
      </c>
    </row>
    <row r="22" spans="1:6">
      <c r="A22" s="9" t="s">
        <v>4116</v>
      </c>
      <c r="B22" s="35">
        <v>48</v>
      </c>
      <c r="C22" s="35">
        <v>41</v>
      </c>
      <c r="D22" s="35">
        <v>34</v>
      </c>
      <c r="E22" s="35">
        <v>123</v>
      </c>
      <c r="F22" s="3">
        <f t="shared" si="0"/>
        <v>0.41463414634146339</v>
      </c>
    </row>
    <row r="23" spans="1:6">
      <c r="A23" s="9" t="s">
        <v>4117</v>
      </c>
      <c r="B23" s="35">
        <v>56</v>
      </c>
      <c r="C23" s="35">
        <v>55</v>
      </c>
      <c r="D23" s="35">
        <v>38</v>
      </c>
      <c r="E23" s="35">
        <v>149</v>
      </c>
      <c r="F23" s="3">
        <f t="shared" si="0"/>
        <v>0.40425531914893614</v>
      </c>
    </row>
    <row r="24" spans="1:6">
      <c r="A24" s="9" t="s">
        <v>4118</v>
      </c>
      <c r="B24" s="35">
        <v>47</v>
      </c>
      <c r="C24" s="35">
        <v>54</v>
      </c>
      <c r="D24" s="35">
        <v>53</v>
      </c>
      <c r="E24" s="35">
        <v>154</v>
      </c>
      <c r="F24" s="3">
        <f t="shared" si="0"/>
        <v>0.53</v>
      </c>
    </row>
    <row r="25" spans="1:6">
      <c r="A25" s="9" t="s">
        <v>14631</v>
      </c>
      <c r="B25" s="35">
        <v>1067</v>
      </c>
      <c r="C25" s="35">
        <v>1026</v>
      </c>
      <c r="D25" s="35">
        <v>907</v>
      </c>
      <c r="E25" s="35">
        <v>3000</v>
      </c>
      <c r="F25" s="3">
        <f t="shared" si="0"/>
        <v>0.45947315096251268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ACBA-44F2-4B4F-9448-21E2BAD99949}">
  <dimension ref="A3:B8"/>
  <sheetViews>
    <sheetView workbookViewId="0">
      <selection activeCell="A3" sqref="A3"/>
    </sheetView>
  </sheetViews>
  <sheetFormatPr defaultRowHeight="15.05"/>
  <cols>
    <col min="1" max="1" width="12.33203125" bestFit="1" customWidth="1"/>
    <col min="2" max="2" width="20.44140625" bestFit="1" customWidth="1"/>
  </cols>
  <sheetData>
    <row r="3" spans="1:2">
      <c r="A3" s="8" t="s">
        <v>14630</v>
      </c>
      <c r="B3" t="s">
        <v>14634</v>
      </c>
    </row>
    <row r="4" spans="1:2">
      <c r="A4" s="9" t="s">
        <v>3568</v>
      </c>
      <c r="B4" s="35">
        <v>690</v>
      </c>
    </row>
    <row r="5" spans="1:2">
      <c r="A5" s="9" t="s">
        <v>3559</v>
      </c>
      <c r="B5" s="35">
        <v>732</v>
      </c>
    </row>
    <row r="6" spans="1:2">
      <c r="A6" s="9" t="s">
        <v>3555</v>
      </c>
      <c r="B6" s="35">
        <v>782</v>
      </c>
    </row>
    <row r="7" spans="1:2">
      <c r="A7" s="9" t="s">
        <v>3573</v>
      </c>
      <c r="B7" s="35">
        <v>796</v>
      </c>
    </row>
    <row r="8" spans="1:2">
      <c r="A8" s="9" t="s">
        <v>14631</v>
      </c>
      <c r="B8" s="35">
        <v>3000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246B8-EF21-448A-BA39-9435C82C30F6}">
  <dimension ref="A1:B8"/>
  <sheetViews>
    <sheetView workbookViewId="0">
      <selection activeCell="B5" sqref="B5"/>
    </sheetView>
  </sheetViews>
  <sheetFormatPr defaultRowHeight="15.05"/>
  <cols>
    <col min="1" max="1" width="12.33203125" bestFit="1" customWidth="1"/>
    <col min="2" max="2" width="20.44140625" bestFit="1" customWidth="1"/>
  </cols>
  <sheetData>
    <row r="1" spans="1:2">
      <c r="A1" s="8" t="s">
        <v>7</v>
      </c>
      <c r="B1" t="s">
        <v>28</v>
      </c>
    </row>
    <row r="3" spans="1:2">
      <c r="A3" s="8" t="s">
        <v>14630</v>
      </c>
      <c r="B3" t="s">
        <v>14634</v>
      </c>
    </row>
    <row r="4" spans="1:2">
      <c r="A4" s="9" t="s">
        <v>3568</v>
      </c>
      <c r="B4" s="35">
        <v>195</v>
      </c>
    </row>
    <row r="5" spans="1:2">
      <c r="A5" s="9" t="s">
        <v>3559</v>
      </c>
      <c r="B5" s="35">
        <v>229</v>
      </c>
    </row>
    <row r="6" spans="1:2">
      <c r="A6" s="9" t="s">
        <v>3555</v>
      </c>
      <c r="B6" s="35">
        <v>249</v>
      </c>
    </row>
    <row r="7" spans="1:2">
      <c r="A7" s="9" t="s">
        <v>3573</v>
      </c>
      <c r="B7" s="35">
        <v>234</v>
      </c>
    </row>
    <row r="8" spans="1:2">
      <c r="A8" s="9" t="s">
        <v>14631</v>
      </c>
      <c r="B8" s="35">
        <v>907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B1A9-9903-4539-A593-401BCEB33175}">
  <dimension ref="A1:B8"/>
  <sheetViews>
    <sheetView workbookViewId="0">
      <selection activeCell="A4" sqref="A4"/>
      <pivotSelection pane="bottomRight" showHeader="1" activeRow="4" click="1" r:id="rId1">
        <pivotArea dataOnly="0" labelOnly="1" fieldPosition="0">
          <references count="1">
            <reference field="17" count="0"/>
          </references>
        </pivotArea>
      </pivotSelection>
    </sheetView>
  </sheetViews>
  <sheetFormatPr defaultRowHeight="15.05"/>
  <cols>
    <col min="1" max="1" width="12.33203125" bestFit="1" customWidth="1"/>
    <col min="2" max="2" width="20.44140625" bestFit="1" customWidth="1"/>
  </cols>
  <sheetData>
    <row r="1" spans="1:2">
      <c r="A1" s="8" t="s">
        <v>7</v>
      </c>
      <c r="B1" t="s">
        <v>14646</v>
      </c>
    </row>
    <row r="3" spans="1:2">
      <c r="A3" s="8" t="s">
        <v>14630</v>
      </c>
      <c r="B3" t="s">
        <v>14634</v>
      </c>
    </row>
    <row r="4" spans="1:2">
      <c r="A4" s="9" t="s">
        <v>3568</v>
      </c>
      <c r="B4" s="35">
        <v>442</v>
      </c>
    </row>
    <row r="5" spans="1:2">
      <c r="A5" s="9" t="s">
        <v>3559</v>
      </c>
      <c r="B5" s="35">
        <v>476</v>
      </c>
    </row>
    <row r="6" spans="1:2">
      <c r="A6" s="9" t="s">
        <v>3555</v>
      </c>
      <c r="B6" s="35">
        <v>526</v>
      </c>
    </row>
    <row r="7" spans="1:2">
      <c r="A7" s="9" t="s">
        <v>3573</v>
      </c>
      <c r="B7" s="35">
        <v>530</v>
      </c>
    </row>
    <row r="8" spans="1:2">
      <c r="A8" s="9" t="s">
        <v>14631</v>
      </c>
      <c r="B8" s="35">
        <v>1974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BC1E-8501-4400-AE99-B8BF3C74D242}">
  <dimension ref="A1:R3001"/>
  <sheetViews>
    <sheetView topLeftCell="A2" workbookViewId="0">
      <selection activeCell="G8" sqref="G8"/>
    </sheetView>
  </sheetViews>
  <sheetFormatPr defaultRowHeight="15.05"/>
  <cols>
    <col min="1" max="1" width="15.33203125" bestFit="1" customWidth="1"/>
    <col min="2" max="2" width="13.44140625" bestFit="1" customWidth="1"/>
    <col min="3" max="3" width="12.109375" bestFit="1" customWidth="1"/>
    <col min="4" max="4" width="8.33203125" bestFit="1" customWidth="1"/>
    <col min="5" max="5" width="14.109375" bestFit="1" customWidth="1"/>
    <col min="6" max="6" width="20.88671875" bestFit="1" customWidth="1"/>
    <col min="7" max="7" width="18.21875" bestFit="1" customWidth="1"/>
    <col min="8" max="8" width="7.5546875" bestFit="1" customWidth="1"/>
    <col min="9" max="9" width="7.21875" bestFit="1" customWidth="1"/>
    <col min="10" max="10" width="13.88671875" bestFit="1" customWidth="1"/>
    <col min="11" max="11" width="15" bestFit="1" customWidth="1"/>
    <col min="12" max="12" width="16" bestFit="1" customWidth="1"/>
    <col min="13" max="13" width="12.5546875" bestFit="1" customWidth="1"/>
    <col min="14" max="14" width="17.21875" customWidth="1"/>
    <col min="15" max="15" width="15.109375" customWidth="1"/>
    <col min="16" max="16" width="16.88671875" customWidth="1"/>
    <col min="17" max="17" width="16.5546875" customWidth="1"/>
    <col min="18" max="18" width="17.109375" customWidth="1"/>
  </cols>
  <sheetData>
    <row r="1" spans="1:18">
      <c r="A1" t="s">
        <v>0</v>
      </c>
      <c r="B1" t="s">
        <v>1</v>
      </c>
      <c r="C1" t="s">
        <v>2</v>
      </c>
      <c r="D1" t="s">
        <v>3</v>
      </c>
      <c r="E1" t="s">
        <v>4</v>
      </c>
      <c r="F1" t="s">
        <v>5</v>
      </c>
      <c r="G1" t="s">
        <v>6</v>
      </c>
      <c r="H1" t="s">
        <v>7</v>
      </c>
      <c r="I1" t="s">
        <v>8</v>
      </c>
      <c r="J1" t="s">
        <v>9</v>
      </c>
      <c r="K1" t="s">
        <v>10</v>
      </c>
      <c r="L1" t="s">
        <v>11</v>
      </c>
      <c r="M1" t="s">
        <v>12</v>
      </c>
      <c r="N1" t="s">
        <v>14613</v>
      </c>
      <c r="O1" t="s">
        <v>14614</v>
      </c>
      <c r="P1" t="s">
        <v>14615</v>
      </c>
      <c r="Q1" t="s">
        <v>14616</v>
      </c>
      <c r="R1" t="s">
        <v>14617</v>
      </c>
    </row>
    <row r="2" spans="1:18">
      <c r="A2" t="s">
        <v>13</v>
      </c>
      <c r="B2" t="s">
        <v>14</v>
      </c>
      <c r="C2" t="s">
        <v>15</v>
      </c>
      <c r="D2" t="s">
        <v>16</v>
      </c>
      <c r="E2" s="1">
        <v>45900</v>
      </c>
      <c r="F2" s="1">
        <v>45926</v>
      </c>
      <c r="G2" s="1">
        <v>45926</v>
      </c>
      <c r="H2" t="s">
        <v>17</v>
      </c>
      <c r="I2">
        <v>3</v>
      </c>
      <c r="J2">
        <v>20</v>
      </c>
      <c r="K2">
        <v>1008000</v>
      </c>
      <c r="L2">
        <v>0</v>
      </c>
      <c r="M2" t="s">
        <v>18</v>
      </c>
      <c r="N2" t="str">
        <f>_xlfn.XLOOKUP(B2,tblCustomers[customer_id],tblCustomers[region],"Missing")</f>
        <v>North</v>
      </c>
      <c r="O2" t="str">
        <f>_xlfn.XLOOKUP(C2,tblProducts[product_id],tblProducts[product_name],"Missing")</f>
        <v>CRM Enterprise</v>
      </c>
      <c r="P2" t="str">
        <f>_xlfn.XLOOKUP(C2,tblProducts[product_id],tblProducts[category],"Missing")</f>
        <v>CRM</v>
      </c>
      <c r="Q2" t="str">
        <f>_xlfn.XLOOKUP(D2,tblSalesReps[rep_id],tblSalesReps[rep_name],"Missing")</f>
        <v>Sales Rep 08</v>
      </c>
      <c r="R2" t="str">
        <f>_xlfn.XLOOKUP(D2,tblSalesReps[rep_id],tblSalesReps[region],"Missing")</f>
        <v>North</v>
      </c>
    </row>
    <row r="3" spans="1:18">
      <c r="A3" t="s">
        <v>19</v>
      </c>
      <c r="B3" t="s">
        <v>20</v>
      </c>
      <c r="C3" t="s">
        <v>21</v>
      </c>
      <c r="D3" t="s">
        <v>22</v>
      </c>
      <c r="E3" s="1">
        <v>45666</v>
      </c>
      <c r="F3" s="1">
        <v>45687</v>
      </c>
      <c r="G3" s="1">
        <v>45687</v>
      </c>
      <c r="H3" t="s">
        <v>17</v>
      </c>
      <c r="I3">
        <v>2</v>
      </c>
      <c r="J3">
        <v>20</v>
      </c>
      <c r="K3">
        <v>384000</v>
      </c>
      <c r="L3">
        <v>0</v>
      </c>
      <c r="M3" t="s">
        <v>23</v>
      </c>
      <c r="N3" t="str">
        <f>_xlfn.XLOOKUP(B3,tblCustomers[customer_id],tblCustomers[region],"Missing")</f>
        <v>West</v>
      </c>
      <c r="O3" t="str">
        <f>_xlfn.XLOOKUP(C3,tblProducts[product_id],tblProducts[product_name],"Missing")</f>
        <v>Workflow Automate</v>
      </c>
      <c r="P3" t="str">
        <f>_xlfn.XLOOKUP(C3,tblProducts[product_id],tblProducts[category],"Missing")</f>
        <v>Automation</v>
      </c>
      <c r="Q3" t="str">
        <f>_xlfn.XLOOKUP(D3,tblSalesReps[rep_id],tblSalesReps[rep_name],"Missing")</f>
        <v>Sales Rep 14</v>
      </c>
      <c r="R3" t="str">
        <f>_xlfn.XLOOKUP(D3,tblSalesReps[rep_id],tblSalesReps[region],"Missing")</f>
        <v>West</v>
      </c>
    </row>
    <row r="4" spans="1:18">
      <c r="A4" t="s">
        <v>24</v>
      </c>
      <c r="B4" t="s">
        <v>25</v>
      </c>
      <c r="C4" t="s">
        <v>26</v>
      </c>
      <c r="D4" t="s">
        <v>27</v>
      </c>
      <c r="E4" s="1">
        <v>45755</v>
      </c>
      <c r="F4" s="1">
        <v>45802</v>
      </c>
      <c r="G4" s="1">
        <v>45802</v>
      </c>
      <c r="H4" t="s">
        <v>28</v>
      </c>
      <c r="I4">
        <v>2</v>
      </c>
      <c r="J4">
        <v>5</v>
      </c>
      <c r="K4">
        <v>684000</v>
      </c>
      <c r="L4">
        <v>100</v>
      </c>
      <c r="M4" t="s">
        <v>29</v>
      </c>
      <c r="N4" t="str">
        <f>_xlfn.XLOOKUP(B4,tblCustomers[customer_id],tblCustomers[region],"Missing")</f>
        <v>North</v>
      </c>
      <c r="O4" t="str">
        <f>_xlfn.XLOOKUP(C4,tblProducts[product_id],tblProducts[product_name],"Missing")</f>
        <v>Security Suite</v>
      </c>
      <c r="P4" t="str">
        <f>_xlfn.XLOOKUP(C4,tblProducts[product_id],tblProducts[category],"Missing")</f>
        <v>Security</v>
      </c>
      <c r="Q4" t="str">
        <f>_xlfn.XLOOKUP(D4,tblSalesReps[rep_id],tblSalesReps[rep_name],"Missing")</f>
        <v>Sales Rep 06</v>
      </c>
      <c r="R4" t="str">
        <f>_xlfn.XLOOKUP(D4,tblSalesReps[rep_id],tblSalesReps[region],"Missing")</f>
        <v>North</v>
      </c>
    </row>
    <row r="5" spans="1:18">
      <c r="A5" t="s">
        <v>30</v>
      </c>
      <c r="B5" t="s">
        <v>31</v>
      </c>
      <c r="C5" t="s">
        <v>21</v>
      </c>
      <c r="D5" t="s">
        <v>32</v>
      </c>
      <c r="E5" s="1">
        <v>45927</v>
      </c>
      <c r="F5" s="1">
        <v>45956</v>
      </c>
      <c r="G5" s="1">
        <v>45956</v>
      </c>
      <c r="H5" t="s">
        <v>17</v>
      </c>
      <c r="I5">
        <v>2</v>
      </c>
      <c r="J5">
        <v>20</v>
      </c>
      <c r="K5">
        <v>384000</v>
      </c>
      <c r="L5">
        <v>0</v>
      </c>
      <c r="M5" t="s">
        <v>33</v>
      </c>
      <c r="N5" t="str">
        <f>_xlfn.XLOOKUP(B5,tblCustomers[customer_id],tblCustomers[region],"Missing")</f>
        <v>South</v>
      </c>
      <c r="O5" t="str">
        <f>_xlfn.XLOOKUP(C5,tblProducts[product_id],tblProducts[product_name],"Missing")</f>
        <v>Workflow Automate</v>
      </c>
      <c r="P5" t="str">
        <f>_xlfn.XLOOKUP(C5,tblProducts[product_id],tblProducts[category],"Missing")</f>
        <v>Automation</v>
      </c>
      <c r="Q5" t="str">
        <f>_xlfn.XLOOKUP(D5,tblSalesReps[rep_id],tblSalesReps[rep_name],"Missing")</f>
        <v>Sales Rep 04</v>
      </c>
      <c r="R5" t="str">
        <f>_xlfn.XLOOKUP(D5,tblSalesReps[rep_id],tblSalesReps[region],"Missing")</f>
        <v>South</v>
      </c>
    </row>
    <row r="6" spans="1:18">
      <c r="A6" t="s">
        <v>34</v>
      </c>
      <c r="B6" t="s">
        <v>35</v>
      </c>
      <c r="C6" t="s">
        <v>15</v>
      </c>
      <c r="D6" t="s">
        <v>36</v>
      </c>
      <c r="E6" s="1">
        <v>45820</v>
      </c>
      <c r="F6" s="1">
        <v>45898</v>
      </c>
      <c r="G6" s="1">
        <v>45898</v>
      </c>
      <c r="H6" t="s">
        <v>17</v>
      </c>
      <c r="I6">
        <v>1</v>
      </c>
      <c r="J6">
        <v>10</v>
      </c>
      <c r="K6">
        <v>378000</v>
      </c>
      <c r="L6">
        <v>0</v>
      </c>
      <c r="M6" t="s">
        <v>33</v>
      </c>
      <c r="N6" t="str">
        <f>_xlfn.XLOOKUP(B6,tblCustomers[customer_id],tblCustomers[region],"Missing")</f>
        <v>North</v>
      </c>
      <c r="O6" t="str">
        <f>_xlfn.XLOOKUP(C6,tblProducts[product_id],tblProducts[product_name],"Missing")</f>
        <v>CRM Enterprise</v>
      </c>
      <c r="P6" t="str">
        <f>_xlfn.XLOOKUP(C6,tblProducts[product_id],tblProducts[category],"Missing")</f>
        <v>CRM</v>
      </c>
      <c r="Q6" t="str">
        <f>_xlfn.XLOOKUP(D6,tblSalesReps[rep_id],tblSalesReps[rep_name],"Missing")</f>
        <v>Sales Rep 09</v>
      </c>
      <c r="R6" t="str">
        <f>_xlfn.XLOOKUP(D6,tblSalesReps[rep_id],tblSalesReps[region],"Missing")</f>
        <v>North</v>
      </c>
    </row>
    <row r="7" spans="1:18">
      <c r="A7" t="s">
        <v>37</v>
      </c>
      <c r="B7" t="s">
        <v>38</v>
      </c>
      <c r="C7" t="s">
        <v>39</v>
      </c>
      <c r="D7" t="s">
        <v>40</v>
      </c>
      <c r="E7" s="1">
        <v>45728</v>
      </c>
      <c r="F7" s="1">
        <v>45810</v>
      </c>
      <c r="G7" s="1">
        <v>45810</v>
      </c>
      <c r="H7" t="s">
        <v>28</v>
      </c>
      <c r="I7">
        <v>1</v>
      </c>
      <c r="J7">
        <v>5</v>
      </c>
      <c r="K7">
        <v>171000</v>
      </c>
      <c r="L7">
        <v>100</v>
      </c>
      <c r="M7" t="s">
        <v>29</v>
      </c>
      <c r="N7" t="str">
        <f>_xlfn.XLOOKUP(B7,tblCustomers[customer_id],tblCustomers[region],"Missing")</f>
        <v>West</v>
      </c>
      <c r="O7" t="str">
        <f>_xlfn.XLOOKUP(C7,tblProducts[product_id],tblProducts[product_name],"Missing")</f>
        <v>Support Desk</v>
      </c>
      <c r="P7" t="str">
        <f>_xlfn.XLOOKUP(C7,tblProducts[product_id],tblProducts[category],"Missing")</f>
        <v>Service</v>
      </c>
      <c r="Q7" t="str">
        <f>_xlfn.XLOOKUP(D7,tblSalesReps[rep_id],tblSalesReps[rep_name],"Missing")</f>
        <v>Sales Rep 13</v>
      </c>
      <c r="R7" t="str">
        <f>_xlfn.XLOOKUP(D7,tblSalesReps[rep_id],tblSalesReps[region],"Missing")</f>
        <v>West</v>
      </c>
    </row>
    <row r="8" spans="1:18">
      <c r="A8" t="s">
        <v>41</v>
      </c>
      <c r="B8" t="s">
        <v>42</v>
      </c>
      <c r="C8" t="s">
        <v>15</v>
      </c>
      <c r="D8" t="s">
        <v>27</v>
      </c>
      <c r="E8" s="1">
        <v>45939</v>
      </c>
      <c r="F8" s="1">
        <v>45966</v>
      </c>
      <c r="G8" s="1"/>
      <c r="H8" t="s">
        <v>43</v>
      </c>
      <c r="I8">
        <v>2</v>
      </c>
      <c r="J8">
        <v>15</v>
      </c>
      <c r="K8">
        <v>714000</v>
      </c>
      <c r="L8">
        <v>80</v>
      </c>
      <c r="M8" t="s">
        <v>29</v>
      </c>
      <c r="N8" t="str">
        <f>_xlfn.XLOOKUP(B8,tblCustomers[customer_id],tblCustomers[region],"Missing")</f>
        <v>North</v>
      </c>
      <c r="O8" t="str">
        <f>_xlfn.XLOOKUP(C8,tblProducts[product_id],tblProducts[product_name],"Missing")</f>
        <v>CRM Enterprise</v>
      </c>
      <c r="P8" t="str">
        <f>_xlfn.XLOOKUP(C8,tblProducts[product_id],tblProducts[category],"Missing")</f>
        <v>CRM</v>
      </c>
      <c r="Q8" t="str">
        <f>_xlfn.XLOOKUP(D8,tblSalesReps[rep_id],tblSalesReps[rep_name],"Missing")</f>
        <v>Sales Rep 06</v>
      </c>
      <c r="R8" t="str">
        <f>_xlfn.XLOOKUP(D8,tblSalesReps[rep_id],tblSalesReps[region],"Missing")</f>
        <v>North</v>
      </c>
    </row>
    <row r="9" spans="1:18">
      <c r="A9" t="s">
        <v>44</v>
      </c>
      <c r="B9" t="s">
        <v>45</v>
      </c>
      <c r="C9" t="s">
        <v>26</v>
      </c>
      <c r="D9" t="s">
        <v>46</v>
      </c>
      <c r="E9" s="1">
        <v>45747</v>
      </c>
      <c r="F9" s="1">
        <v>45776</v>
      </c>
      <c r="G9" s="1">
        <v>45776</v>
      </c>
      <c r="H9" t="s">
        <v>17</v>
      </c>
      <c r="I9">
        <v>1</v>
      </c>
      <c r="J9">
        <v>15</v>
      </c>
      <c r="K9">
        <v>306000</v>
      </c>
      <c r="L9">
        <v>0</v>
      </c>
      <c r="M9" t="s">
        <v>47</v>
      </c>
      <c r="N9" t="str">
        <f>_xlfn.XLOOKUP(B9,tblCustomers[customer_id],tblCustomers[region],"Missing")</f>
        <v>South</v>
      </c>
      <c r="O9" t="str">
        <f>_xlfn.XLOOKUP(C9,tblProducts[product_id],tblProducts[product_name],"Missing")</f>
        <v>Security Suite</v>
      </c>
      <c r="P9" t="str">
        <f>_xlfn.XLOOKUP(C9,tblProducts[product_id],tblProducts[category],"Missing")</f>
        <v>Security</v>
      </c>
      <c r="Q9" t="str">
        <f>_xlfn.XLOOKUP(D9,tblSalesReps[rep_id],tblSalesReps[rep_name],"Missing")</f>
        <v>Sales Rep 01</v>
      </c>
      <c r="R9" t="str">
        <f>_xlfn.XLOOKUP(D9,tblSalesReps[rep_id],tblSalesReps[region],"Missing")</f>
        <v>South</v>
      </c>
    </row>
    <row r="10" spans="1:18">
      <c r="A10" t="s">
        <v>48</v>
      </c>
      <c r="B10" t="s">
        <v>49</v>
      </c>
      <c r="C10" t="s">
        <v>15</v>
      </c>
      <c r="D10" t="s">
        <v>50</v>
      </c>
      <c r="E10" s="1">
        <v>45897</v>
      </c>
      <c r="F10" s="1">
        <v>45918</v>
      </c>
      <c r="G10" s="1">
        <v>45918</v>
      </c>
      <c r="H10" t="s">
        <v>28</v>
      </c>
      <c r="I10">
        <v>1</v>
      </c>
      <c r="J10">
        <v>5</v>
      </c>
      <c r="K10">
        <v>399000</v>
      </c>
      <c r="L10">
        <v>100</v>
      </c>
      <c r="M10" t="s">
        <v>29</v>
      </c>
      <c r="N10" t="str">
        <f>_xlfn.XLOOKUP(B10,tblCustomers[customer_id],tblCustomers[region],"Missing")</f>
        <v>West</v>
      </c>
      <c r="O10" t="str">
        <f>_xlfn.XLOOKUP(C10,tblProducts[product_id],tblProducts[product_name],"Missing")</f>
        <v>CRM Enterprise</v>
      </c>
      <c r="P10" t="str">
        <f>_xlfn.XLOOKUP(C10,tblProducts[product_id],tblProducts[category],"Missing")</f>
        <v>CRM</v>
      </c>
      <c r="Q10" t="str">
        <f>_xlfn.XLOOKUP(D10,tblSalesReps[rep_id],tblSalesReps[rep_name],"Missing")</f>
        <v>Sales Rep 15</v>
      </c>
      <c r="R10" t="str">
        <f>_xlfn.XLOOKUP(D10,tblSalesReps[rep_id],tblSalesReps[region],"Missing")</f>
        <v>West</v>
      </c>
    </row>
    <row r="11" spans="1:18">
      <c r="A11" t="s">
        <v>51</v>
      </c>
      <c r="B11" t="s">
        <v>52</v>
      </c>
      <c r="C11" t="s">
        <v>21</v>
      </c>
      <c r="D11" t="s">
        <v>53</v>
      </c>
      <c r="E11" s="1">
        <v>45863</v>
      </c>
      <c r="F11" s="1">
        <v>45893</v>
      </c>
      <c r="G11" s="1">
        <v>45893</v>
      </c>
      <c r="H11" t="s">
        <v>17</v>
      </c>
      <c r="I11">
        <v>1</v>
      </c>
      <c r="J11">
        <v>15</v>
      </c>
      <c r="K11">
        <v>204000</v>
      </c>
      <c r="L11">
        <v>0</v>
      </c>
      <c r="M11" t="s">
        <v>47</v>
      </c>
      <c r="N11" t="str">
        <f>_xlfn.XLOOKUP(B11,tblCustomers[customer_id],tblCustomers[region],"Missing")</f>
        <v>East</v>
      </c>
      <c r="O11" t="str">
        <f>_xlfn.XLOOKUP(C11,tblProducts[product_id],tblProducts[product_name],"Missing")</f>
        <v>Workflow Automate</v>
      </c>
      <c r="P11" t="str">
        <f>_xlfn.XLOOKUP(C11,tblProducts[product_id],tblProducts[category],"Missing")</f>
        <v>Automation</v>
      </c>
      <c r="Q11" t="str">
        <f>_xlfn.XLOOKUP(D11,tblSalesReps[rep_id],tblSalesReps[rep_name],"Missing")</f>
        <v>Sales Rep 16</v>
      </c>
      <c r="R11" t="str">
        <f>_xlfn.XLOOKUP(D11,tblSalesReps[rep_id],tblSalesReps[region],"Missing")</f>
        <v>East</v>
      </c>
    </row>
    <row r="12" spans="1:18">
      <c r="A12" t="s">
        <v>54</v>
      </c>
      <c r="B12" t="s">
        <v>55</v>
      </c>
      <c r="C12" t="s">
        <v>39</v>
      </c>
      <c r="D12" t="s">
        <v>56</v>
      </c>
      <c r="E12" s="1">
        <v>45663</v>
      </c>
      <c r="F12" s="1">
        <v>45716</v>
      </c>
      <c r="G12" s="1">
        <v>45716</v>
      </c>
      <c r="H12" t="s">
        <v>28</v>
      </c>
      <c r="I12">
        <v>1</v>
      </c>
      <c r="J12">
        <v>0</v>
      </c>
      <c r="K12">
        <v>180000</v>
      </c>
      <c r="L12">
        <v>100</v>
      </c>
      <c r="M12" t="s">
        <v>29</v>
      </c>
      <c r="N12" t="str">
        <f>_xlfn.XLOOKUP(B12,tblCustomers[customer_id],tblCustomers[region],"Missing")</f>
        <v>East</v>
      </c>
      <c r="O12" t="str">
        <f>_xlfn.XLOOKUP(C12,tblProducts[product_id],tblProducts[product_name],"Missing")</f>
        <v>Support Desk</v>
      </c>
      <c r="P12" t="str">
        <f>_xlfn.XLOOKUP(C12,tblProducts[product_id],tblProducts[category],"Missing")</f>
        <v>Service</v>
      </c>
      <c r="Q12" t="str">
        <f>_xlfn.XLOOKUP(D12,tblSalesReps[rep_id],tblSalesReps[rep_name],"Missing")</f>
        <v>Sales Rep 20</v>
      </c>
      <c r="R12" t="str">
        <f>_xlfn.XLOOKUP(D12,tblSalesReps[rep_id],tblSalesReps[region],"Missing")</f>
        <v>East</v>
      </c>
    </row>
    <row r="13" spans="1:18">
      <c r="A13" t="s">
        <v>57</v>
      </c>
      <c r="B13" t="s">
        <v>58</v>
      </c>
      <c r="C13" t="s">
        <v>15</v>
      </c>
      <c r="D13" t="s">
        <v>59</v>
      </c>
      <c r="E13" s="1">
        <v>45736</v>
      </c>
      <c r="F13" s="1">
        <v>45820</v>
      </c>
      <c r="G13" s="1">
        <v>45820</v>
      </c>
      <c r="H13" t="s">
        <v>17</v>
      </c>
      <c r="I13">
        <v>1</v>
      </c>
      <c r="J13">
        <v>15</v>
      </c>
      <c r="K13">
        <v>357000</v>
      </c>
      <c r="L13">
        <v>0</v>
      </c>
      <c r="M13" t="s">
        <v>33</v>
      </c>
      <c r="N13" t="str">
        <f>_xlfn.XLOOKUP(B13,tblCustomers[customer_id],tblCustomers[region],"Missing")</f>
        <v>East</v>
      </c>
      <c r="O13" t="str">
        <f>_xlfn.XLOOKUP(C13,tblProducts[product_id],tblProducts[product_name],"Missing")</f>
        <v>CRM Enterprise</v>
      </c>
      <c r="P13" t="str">
        <f>_xlfn.XLOOKUP(C13,tblProducts[product_id],tblProducts[category],"Missing")</f>
        <v>CRM</v>
      </c>
      <c r="Q13" t="str">
        <f>_xlfn.XLOOKUP(D13,tblSalesReps[rep_id],tblSalesReps[rep_name],"Missing")</f>
        <v>Sales Rep 19</v>
      </c>
      <c r="R13" t="str">
        <f>_xlfn.XLOOKUP(D13,tblSalesReps[rep_id],tblSalesReps[region],"Missing")</f>
        <v>East</v>
      </c>
    </row>
    <row r="14" spans="1:18">
      <c r="A14" t="s">
        <v>60</v>
      </c>
      <c r="B14" t="s">
        <v>61</v>
      </c>
      <c r="C14" t="s">
        <v>62</v>
      </c>
      <c r="D14" t="s">
        <v>63</v>
      </c>
      <c r="E14" s="1">
        <v>45916</v>
      </c>
      <c r="F14" s="1">
        <v>45991</v>
      </c>
      <c r="G14" s="1">
        <v>45991</v>
      </c>
      <c r="H14" t="s">
        <v>28</v>
      </c>
      <c r="I14">
        <v>1</v>
      </c>
      <c r="J14">
        <v>5</v>
      </c>
      <c r="K14">
        <v>114000</v>
      </c>
      <c r="L14">
        <v>100</v>
      </c>
      <c r="M14" t="s">
        <v>29</v>
      </c>
      <c r="N14" t="str">
        <f>_xlfn.XLOOKUP(B14,tblCustomers[customer_id],tblCustomers[region],"Missing")</f>
        <v>South</v>
      </c>
      <c r="O14" t="str">
        <f>_xlfn.XLOOKUP(C14,tblProducts[product_id],tblProducts[product_name],"Missing")</f>
        <v>CRM Essentials</v>
      </c>
      <c r="P14" t="str">
        <f>_xlfn.XLOOKUP(C14,tblProducts[product_id],tblProducts[category],"Missing")</f>
        <v>CRM</v>
      </c>
      <c r="Q14" t="str">
        <f>_xlfn.XLOOKUP(D14,tblSalesReps[rep_id],tblSalesReps[rep_name],"Missing")</f>
        <v>Sales Rep 05</v>
      </c>
      <c r="R14" t="str">
        <f>_xlfn.XLOOKUP(D14,tblSalesReps[rep_id],tblSalesReps[region],"Missing")</f>
        <v>South</v>
      </c>
    </row>
    <row r="15" spans="1:18">
      <c r="A15" t="s">
        <v>64</v>
      </c>
      <c r="B15" t="s">
        <v>65</v>
      </c>
      <c r="C15" t="s">
        <v>39</v>
      </c>
      <c r="D15" t="s">
        <v>59</v>
      </c>
      <c r="E15" s="1">
        <v>46002</v>
      </c>
      <c r="F15" s="1">
        <v>46011</v>
      </c>
      <c r="G15" s="1"/>
      <c r="H15" t="s">
        <v>43</v>
      </c>
      <c r="I15">
        <v>2</v>
      </c>
      <c r="J15">
        <v>10</v>
      </c>
      <c r="K15">
        <v>324000</v>
      </c>
      <c r="L15">
        <v>20</v>
      </c>
      <c r="M15" t="s">
        <v>29</v>
      </c>
      <c r="N15" t="str">
        <f>_xlfn.XLOOKUP(B15,tblCustomers[customer_id],tblCustomers[region],"Missing")</f>
        <v>East</v>
      </c>
      <c r="O15" t="str">
        <f>_xlfn.XLOOKUP(C15,tblProducts[product_id],tblProducts[product_name],"Missing")</f>
        <v>Support Desk</v>
      </c>
      <c r="P15" t="str">
        <f>_xlfn.XLOOKUP(C15,tblProducts[product_id],tblProducts[category],"Missing")</f>
        <v>Service</v>
      </c>
      <c r="Q15" t="str">
        <f>_xlfn.XLOOKUP(D15,tblSalesReps[rep_id],tblSalesReps[rep_name],"Missing")</f>
        <v>Sales Rep 19</v>
      </c>
      <c r="R15" t="str">
        <f>_xlfn.XLOOKUP(D15,tblSalesReps[rep_id],tblSalesReps[region],"Missing")</f>
        <v>East</v>
      </c>
    </row>
    <row r="16" spans="1:18">
      <c r="A16" t="s">
        <v>66</v>
      </c>
      <c r="B16" t="s">
        <v>67</v>
      </c>
      <c r="C16" t="s">
        <v>62</v>
      </c>
      <c r="D16" t="s">
        <v>32</v>
      </c>
      <c r="E16" s="1">
        <v>45674</v>
      </c>
      <c r="F16" s="1">
        <v>45704</v>
      </c>
      <c r="G16" s="1">
        <v>45704</v>
      </c>
      <c r="H16" t="s">
        <v>28</v>
      </c>
      <c r="I16">
        <v>1</v>
      </c>
      <c r="J16">
        <v>15</v>
      </c>
      <c r="K16">
        <v>102000</v>
      </c>
      <c r="L16">
        <v>100</v>
      </c>
      <c r="M16" t="s">
        <v>29</v>
      </c>
      <c r="N16" t="str">
        <f>_xlfn.XLOOKUP(B16,tblCustomers[customer_id],tblCustomers[region],"Missing")</f>
        <v>South</v>
      </c>
      <c r="O16" t="str">
        <f>_xlfn.XLOOKUP(C16,tblProducts[product_id],tblProducts[product_name],"Missing")</f>
        <v>CRM Essentials</v>
      </c>
      <c r="P16" t="str">
        <f>_xlfn.XLOOKUP(C16,tblProducts[product_id],tblProducts[category],"Missing")</f>
        <v>CRM</v>
      </c>
      <c r="Q16" t="str">
        <f>_xlfn.XLOOKUP(D16,tblSalesReps[rep_id],tblSalesReps[rep_name],"Missing")</f>
        <v>Sales Rep 04</v>
      </c>
      <c r="R16" t="str">
        <f>_xlfn.XLOOKUP(D16,tblSalesReps[rep_id],tblSalesReps[region],"Missing")</f>
        <v>South</v>
      </c>
    </row>
    <row r="17" spans="1:18">
      <c r="A17" t="s">
        <v>68</v>
      </c>
      <c r="B17" t="s">
        <v>69</v>
      </c>
      <c r="C17" t="s">
        <v>62</v>
      </c>
      <c r="D17" t="s">
        <v>70</v>
      </c>
      <c r="E17" s="1">
        <v>45810</v>
      </c>
      <c r="F17" s="1">
        <v>45886</v>
      </c>
      <c r="G17" s="1">
        <v>45886</v>
      </c>
      <c r="H17" t="s">
        <v>17</v>
      </c>
      <c r="I17">
        <v>2</v>
      </c>
      <c r="J17">
        <v>20</v>
      </c>
      <c r="K17">
        <v>192000</v>
      </c>
      <c r="L17">
        <v>0</v>
      </c>
      <c r="M17" t="s">
        <v>47</v>
      </c>
      <c r="N17" t="str">
        <f>_xlfn.XLOOKUP(B17,tblCustomers[customer_id],tblCustomers[region],"Missing")</f>
        <v>West</v>
      </c>
      <c r="O17" t="str">
        <f>_xlfn.XLOOKUP(C17,tblProducts[product_id],tblProducts[product_name],"Missing")</f>
        <v>CRM Essentials</v>
      </c>
      <c r="P17" t="str">
        <f>_xlfn.XLOOKUP(C17,tblProducts[product_id],tblProducts[category],"Missing")</f>
        <v>CRM</v>
      </c>
      <c r="Q17" t="str">
        <f>_xlfn.XLOOKUP(D17,tblSalesReps[rep_id],tblSalesReps[rep_name],"Missing")</f>
        <v>Sales Rep 11</v>
      </c>
      <c r="R17" t="str">
        <f>_xlfn.XLOOKUP(D17,tblSalesReps[rep_id],tblSalesReps[region],"Missing")</f>
        <v>West</v>
      </c>
    </row>
    <row r="18" spans="1:18">
      <c r="A18" t="s">
        <v>71</v>
      </c>
      <c r="B18" t="s">
        <v>72</v>
      </c>
      <c r="C18" t="s">
        <v>39</v>
      </c>
      <c r="D18" t="s">
        <v>46</v>
      </c>
      <c r="E18" s="1">
        <v>45781</v>
      </c>
      <c r="F18" s="1">
        <v>45800</v>
      </c>
      <c r="G18" s="1">
        <v>45800</v>
      </c>
      <c r="H18" t="s">
        <v>28</v>
      </c>
      <c r="I18">
        <v>3</v>
      </c>
      <c r="J18">
        <v>0</v>
      </c>
      <c r="K18">
        <v>540000</v>
      </c>
      <c r="L18">
        <v>100</v>
      </c>
      <c r="M18" t="s">
        <v>29</v>
      </c>
      <c r="N18" t="str">
        <f>_xlfn.XLOOKUP(B18,tblCustomers[customer_id],tblCustomers[region],"Missing")</f>
        <v>South</v>
      </c>
      <c r="O18" t="str">
        <f>_xlfn.XLOOKUP(C18,tblProducts[product_id],tblProducts[product_name],"Missing")</f>
        <v>Support Desk</v>
      </c>
      <c r="P18" t="str">
        <f>_xlfn.XLOOKUP(C18,tblProducts[product_id],tblProducts[category],"Missing")</f>
        <v>Service</v>
      </c>
      <c r="Q18" t="str">
        <f>_xlfn.XLOOKUP(D18,tblSalesReps[rep_id],tblSalesReps[rep_name],"Missing")</f>
        <v>Sales Rep 01</v>
      </c>
      <c r="R18" t="str">
        <f>_xlfn.XLOOKUP(D18,tblSalesReps[rep_id],tblSalesReps[region],"Missing")</f>
        <v>South</v>
      </c>
    </row>
    <row r="19" spans="1:18">
      <c r="A19" t="s">
        <v>73</v>
      </c>
      <c r="B19" t="s">
        <v>74</v>
      </c>
      <c r="C19" t="s">
        <v>62</v>
      </c>
      <c r="D19" t="s">
        <v>75</v>
      </c>
      <c r="E19" s="1">
        <v>45915</v>
      </c>
      <c r="F19" s="1">
        <v>45951</v>
      </c>
      <c r="G19" s="1"/>
      <c r="H19" t="s">
        <v>43</v>
      </c>
      <c r="I19">
        <v>3</v>
      </c>
      <c r="J19">
        <v>10</v>
      </c>
      <c r="K19">
        <v>324000</v>
      </c>
      <c r="L19">
        <v>60</v>
      </c>
      <c r="M19" t="s">
        <v>29</v>
      </c>
      <c r="N19" t="str">
        <f>_xlfn.XLOOKUP(B19,tblCustomers[customer_id],tblCustomers[region],"Missing")</f>
        <v>North</v>
      </c>
      <c r="O19" t="str">
        <f>_xlfn.XLOOKUP(C19,tblProducts[product_id],tblProducts[product_name],"Missing")</f>
        <v>CRM Essentials</v>
      </c>
      <c r="P19" t="str">
        <f>_xlfn.XLOOKUP(C19,tblProducts[product_id],tblProducts[category],"Missing")</f>
        <v>CRM</v>
      </c>
      <c r="Q19" t="str">
        <f>_xlfn.XLOOKUP(D19,tblSalesReps[rep_id],tblSalesReps[rep_name],"Missing")</f>
        <v>Sales Rep 07</v>
      </c>
      <c r="R19" t="str">
        <f>_xlfn.XLOOKUP(D19,tblSalesReps[rep_id],tblSalesReps[region],"Missing")</f>
        <v>North</v>
      </c>
    </row>
    <row r="20" spans="1:18">
      <c r="A20" t="s">
        <v>76</v>
      </c>
      <c r="B20" t="s">
        <v>77</v>
      </c>
      <c r="C20" t="s">
        <v>39</v>
      </c>
      <c r="D20" t="s">
        <v>78</v>
      </c>
      <c r="E20" s="1">
        <v>45978</v>
      </c>
      <c r="F20" s="1">
        <v>46056</v>
      </c>
      <c r="G20" s="1"/>
      <c r="H20" t="s">
        <v>43</v>
      </c>
      <c r="I20">
        <v>2</v>
      </c>
      <c r="J20">
        <v>0</v>
      </c>
      <c r="K20">
        <v>360000</v>
      </c>
      <c r="L20">
        <v>60</v>
      </c>
      <c r="M20" t="s">
        <v>29</v>
      </c>
      <c r="N20" t="str">
        <f>_xlfn.XLOOKUP(B20,tblCustomers[customer_id],tblCustomers[region],"Missing")</f>
        <v>West</v>
      </c>
      <c r="O20" t="str">
        <f>_xlfn.XLOOKUP(C20,tblProducts[product_id],tblProducts[product_name],"Missing")</f>
        <v>Support Desk</v>
      </c>
      <c r="P20" t="str">
        <f>_xlfn.XLOOKUP(C20,tblProducts[product_id],tblProducts[category],"Missing")</f>
        <v>Service</v>
      </c>
      <c r="Q20" t="str">
        <f>_xlfn.XLOOKUP(D20,tblSalesReps[rep_id],tblSalesReps[rep_name],"Missing")</f>
        <v>Sales Rep 12</v>
      </c>
      <c r="R20" t="str">
        <f>_xlfn.XLOOKUP(D20,tblSalesReps[rep_id],tblSalesReps[region],"Missing")</f>
        <v>West</v>
      </c>
    </row>
    <row r="21" spans="1:18">
      <c r="A21" t="s">
        <v>79</v>
      </c>
      <c r="B21" t="s">
        <v>80</v>
      </c>
      <c r="C21" t="s">
        <v>81</v>
      </c>
      <c r="D21" t="s">
        <v>46</v>
      </c>
      <c r="E21" s="1">
        <v>45945</v>
      </c>
      <c r="F21" s="1">
        <v>46005</v>
      </c>
      <c r="G21" s="1">
        <v>46005</v>
      </c>
      <c r="H21" t="s">
        <v>17</v>
      </c>
      <c r="I21">
        <v>3</v>
      </c>
      <c r="J21">
        <v>20</v>
      </c>
      <c r="K21">
        <v>720000</v>
      </c>
      <c r="L21">
        <v>0</v>
      </c>
      <c r="M21" t="s">
        <v>82</v>
      </c>
      <c r="N21" t="str">
        <f>_xlfn.XLOOKUP(B21,tblCustomers[customer_id],tblCustomers[region],"Missing")</f>
        <v>South</v>
      </c>
      <c r="O21" t="str">
        <f>_xlfn.XLOOKUP(C21,tblProducts[product_id],tblProducts[product_name],"Missing")</f>
        <v>Analytics Cloud</v>
      </c>
      <c r="P21" t="str">
        <f>_xlfn.XLOOKUP(C21,tblProducts[product_id],tblProducts[category],"Missing")</f>
        <v>Analytics</v>
      </c>
      <c r="Q21" t="str">
        <f>_xlfn.XLOOKUP(D21,tblSalesReps[rep_id],tblSalesReps[rep_name],"Missing")</f>
        <v>Sales Rep 01</v>
      </c>
      <c r="R21" t="str">
        <f>_xlfn.XLOOKUP(D21,tblSalesReps[rep_id],tblSalesReps[region],"Missing")</f>
        <v>South</v>
      </c>
    </row>
    <row r="22" spans="1:18">
      <c r="A22" t="s">
        <v>83</v>
      </c>
      <c r="B22" t="s">
        <v>84</v>
      </c>
      <c r="C22" t="s">
        <v>26</v>
      </c>
      <c r="D22" t="s">
        <v>78</v>
      </c>
      <c r="E22" s="1">
        <v>45684</v>
      </c>
      <c r="F22" s="1">
        <v>45768</v>
      </c>
      <c r="G22" s="1">
        <v>45768</v>
      </c>
      <c r="H22" t="s">
        <v>28</v>
      </c>
      <c r="I22">
        <v>3</v>
      </c>
      <c r="J22">
        <v>0</v>
      </c>
      <c r="K22">
        <v>1080000</v>
      </c>
      <c r="L22">
        <v>100</v>
      </c>
      <c r="M22" t="s">
        <v>29</v>
      </c>
      <c r="N22" t="str">
        <f>_xlfn.XLOOKUP(B22,tblCustomers[customer_id],tblCustomers[region],"Missing")</f>
        <v>West</v>
      </c>
      <c r="O22" t="str">
        <f>_xlfn.XLOOKUP(C22,tblProducts[product_id],tblProducts[product_name],"Missing")</f>
        <v>Security Suite</v>
      </c>
      <c r="P22" t="str">
        <f>_xlfn.XLOOKUP(C22,tblProducts[product_id],tblProducts[category],"Missing")</f>
        <v>Security</v>
      </c>
      <c r="Q22" t="str">
        <f>_xlfn.XLOOKUP(D22,tblSalesReps[rep_id],tblSalesReps[rep_name],"Missing")</f>
        <v>Sales Rep 12</v>
      </c>
      <c r="R22" t="str">
        <f>_xlfn.XLOOKUP(D22,tblSalesReps[rep_id],tblSalesReps[region],"Missing")</f>
        <v>West</v>
      </c>
    </row>
    <row r="23" spans="1:18">
      <c r="A23" t="s">
        <v>85</v>
      </c>
      <c r="B23" t="s">
        <v>86</v>
      </c>
      <c r="C23" t="s">
        <v>15</v>
      </c>
      <c r="D23" t="s">
        <v>70</v>
      </c>
      <c r="E23" s="1">
        <v>45903</v>
      </c>
      <c r="F23" s="1">
        <v>45987</v>
      </c>
      <c r="G23" s="1"/>
      <c r="H23" t="s">
        <v>43</v>
      </c>
      <c r="I23">
        <v>1</v>
      </c>
      <c r="J23">
        <v>15</v>
      </c>
      <c r="K23">
        <v>357000</v>
      </c>
      <c r="L23">
        <v>40</v>
      </c>
      <c r="M23" t="s">
        <v>29</v>
      </c>
      <c r="N23" t="str">
        <f>_xlfn.XLOOKUP(B23,tblCustomers[customer_id],tblCustomers[region],"Missing")</f>
        <v>West</v>
      </c>
      <c r="O23" t="str">
        <f>_xlfn.XLOOKUP(C23,tblProducts[product_id],tblProducts[product_name],"Missing")</f>
        <v>CRM Enterprise</v>
      </c>
      <c r="P23" t="str">
        <f>_xlfn.XLOOKUP(C23,tblProducts[product_id],tblProducts[category],"Missing")</f>
        <v>CRM</v>
      </c>
      <c r="Q23" t="str">
        <f>_xlfn.XLOOKUP(D23,tblSalesReps[rep_id],tblSalesReps[rep_name],"Missing")</f>
        <v>Sales Rep 11</v>
      </c>
      <c r="R23" t="str">
        <f>_xlfn.XLOOKUP(D23,tblSalesReps[rep_id],tblSalesReps[region],"Missing")</f>
        <v>West</v>
      </c>
    </row>
    <row r="24" spans="1:18">
      <c r="A24" t="s">
        <v>87</v>
      </c>
      <c r="B24" t="s">
        <v>88</v>
      </c>
      <c r="C24" t="s">
        <v>26</v>
      </c>
      <c r="D24" t="s">
        <v>22</v>
      </c>
      <c r="E24" s="1">
        <v>45821</v>
      </c>
      <c r="F24" s="1">
        <v>45875</v>
      </c>
      <c r="G24" s="1"/>
      <c r="H24" t="s">
        <v>43</v>
      </c>
      <c r="I24">
        <v>1</v>
      </c>
      <c r="J24">
        <v>15</v>
      </c>
      <c r="K24">
        <v>306000</v>
      </c>
      <c r="L24">
        <v>20</v>
      </c>
      <c r="M24" t="s">
        <v>29</v>
      </c>
      <c r="N24" t="str">
        <f>_xlfn.XLOOKUP(B24,tblCustomers[customer_id],tblCustomers[region],"Missing")</f>
        <v>West</v>
      </c>
      <c r="O24" t="str">
        <f>_xlfn.XLOOKUP(C24,tblProducts[product_id],tblProducts[product_name],"Missing")</f>
        <v>Security Suite</v>
      </c>
      <c r="P24" t="str">
        <f>_xlfn.XLOOKUP(C24,tblProducts[product_id],tblProducts[category],"Missing")</f>
        <v>Security</v>
      </c>
      <c r="Q24" t="str">
        <f>_xlfn.XLOOKUP(D24,tblSalesReps[rep_id],tblSalesReps[rep_name],"Missing")</f>
        <v>Sales Rep 14</v>
      </c>
      <c r="R24" t="str">
        <f>_xlfn.XLOOKUP(D24,tblSalesReps[rep_id],tblSalesReps[region],"Missing")</f>
        <v>West</v>
      </c>
    </row>
    <row r="25" spans="1:18">
      <c r="A25" t="s">
        <v>89</v>
      </c>
      <c r="B25" t="s">
        <v>90</v>
      </c>
      <c r="C25" t="s">
        <v>15</v>
      </c>
      <c r="D25" t="s">
        <v>91</v>
      </c>
      <c r="E25" s="1">
        <v>45775</v>
      </c>
      <c r="F25" s="1">
        <v>45813</v>
      </c>
      <c r="G25" s="1">
        <v>45813</v>
      </c>
      <c r="H25" t="s">
        <v>17</v>
      </c>
      <c r="I25">
        <v>2</v>
      </c>
      <c r="J25">
        <v>20</v>
      </c>
      <c r="K25">
        <v>672000</v>
      </c>
      <c r="L25">
        <v>0</v>
      </c>
      <c r="M25" t="s">
        <v>18</v>
      </c>
      <c r="N25" t="str">
        <f>_xlfn.XLOOKUP(B25,tblCustomers[customer_id],tblCustomers[region],"Missing")</f>
        <v>South</v>
      </c>
      <c r="O25" t="str">
        <f>_xlfn.XLOOKUP(C25,tblProducts[product_id],tblProducts[product_name],"Missing")</f>
        <v>CRM Enterprise</v>
      </c>
      <c r="P25" t="str">
        <f>_xlfn.XLOOKUP(C25,tblProducts[product_id],tblProducts[category],"Missing")</f>
        <v>CRM</v>
      </c>
      <c r="Q25" t="str">
        <f>_xlfn.XLOOKUP(D25,tblSalesReps[rep_id],tblSalesReps[rep_name],"Missing")</f>
        <v>Sales Rep 03</v>
      </c>
      <c r="R25" t="str">
        <f>_xlfn.XLOOKUP(D25,tblSalesReps[rep_id],tblSalesReps[region],"Missing")</f>
        <v>South</v>
      </c>
    </row>
    <row r="26" spans="1:18">
      <c r="A26" t="s">
        <v>92</v>
      </c>
      <c r="B26" t="s">
        <v>93</v>
      </c>
      <c r="C26" t="s">
        <v>62</v>
      </c>
      <c r="D26" t="s">
        <v>59</v>
      </c>
      <c r="E26" s="1">
        <v>45728</v>
      </c>
      <c r="F26" s="1">
        <v>45764</v>
      </c>
      <c r="G26" s="1"/>
      <c r="H26" t="s">
        <v>43</v>
      </c>
      <c r="I26">
        <v>1</v>
      </c>
      <c r="J26">
        <v>5</v>
      </c>
      <c r="K26">
        <v>114000</v>
      </c>
      <c r="L26">
        <v>20</v>
      </c>
      <c r="M26" t="s">
        <v>29</v>
      </c>
      <c r="N26" t="str">
        <f>_xlfn.XLOOKUP(B26,tblCustomers[customer_id],tblCustomers[region],"Missing")</f>
        <v>East</v>
      </c>
      <c r="O26" t="str">
        <f>_xlfn.XLOOKUP(C26,tblProducts[product_id],tblProducts[product_name],"Missing")</f>
        <v>CRM Essentials</v>
      </c>
      <c r="P26" t="str">
        <f>_xlfn.XLOOKUP(C26,tblProducts[product_id],tblProducts[category],"Missing")</f>
        <v>CRM</v>
      </c>
      <c r="Q26" t="str">
        <f>_xlfn.XLOOKUP(D26,tblSalesReps[rep_id],tblSalesReps[rep_name],"Missing")</f>
        <v>Sales Rep 19</v>
      </c>
      <c r="R26" t="str">
        <f>_xlfn.XLOOKUP(D26,tblSalesReps[rep_id],tblSalesReps[region],"Missing")</f>
        <v>East</v>
      </c>
    </row>
    <row r="27" spans="1:18">
      <c r="A27" t="s">
        <v>94</v>
      </c>
      <c r="B27" t="s">
        <v>95</v>
      </c>
      <c r="C27" t="s">
        <v>39</v>
      </c>
      <c r="D27" t="s">
        <v>63</v>
      </c>
      <c r="E27" s="1">
        <v>45868</v>
      </c>
      <c r="F27" s="1">
        <v>45942</v>
      </c>
      <c r="G27" s="1">
        <v>45942</v>
      </c>
      <c r="H27" t="s">
        <v>28</v>
      </c>
      <c r="I27">
        <v>1</v>
      </c>
      <c r="J27">
        <v>20</v>
      </c>
      <c r="K27">
        <v>144000</v>
      </c>
      <c r="L27">
        <v>100</v>
      </c>
      <c r="M27" t="s">
        <v>29</v>
      </c>
      <c r="N27" t="str">
        <f>_xlfn.XLOOKUP(B27,tblCustomers[customer_id],tblCustomers[region],"Missing")</f>
        <v>South</v>
      </c>
      <c r="O27" t="str">
        <f>_xlfn.XLOOKUP(C27,tblProducts[product_id],tblProducts[product_name],"Missing")</f>
        <v>Support Desk</v>
      </c>
      <c r="P27" t="str">
        <f>_xlfn.XLOOKUP(C27,tblProducts[product_id],tblProducts[category],"Missing")</f>
        <v>Service</v>
      </c>
      <c r="Q27" t="str">
        <f>_xlfn.XLOOKUP(D27,tblSalesReps[rep_id],tblSalesReps[rep_name],"Missing")</f>
        <v>Sales Rep 05</v>
      </c>
      <c r="R27" t="str">
        <f>_xlfn.XLOOKUP(D27,tblSalesReps[rep_id],tblSalesReps[region],"Missing")</f>
        <v>South</v>
      </c>
    </row>
    <row r="28" spans="1:18">
      <c r="A28" t="s">
        <v>96</v>
      </c>
      <c r="B28" t="s">
        <v>97</v>
      </c>
      <c r="C28" t="s">
        <v>15</v>
      </c>
      <c r="D28" t="s">
        <v>78</v>
      </c>
      <c r="E28" s="1">
        <v>45975</v>
      </c>
      <c r="F28" s="1">
        <v>46027</v>
      </c>
      <c r="G28" s="1"/>
      <c r="H28" t="s">
        <v>43</v>
      </c>
      <c r="I28">
        <v>1</v>
      </c>
      <c r="J28">
        <v>15</v>
      </c>
      <c r="K28">
        <v>357000</v>
      </c>
      <c r="L28">
        <v>20</v>
      </c>
      <c r="M28" t="s">
        <v>29</v>
      </c>
      <c r="N28" t="str">
        <f>_xlfn.XLOOKUP(B28,tblCustomers[customer_id],tblCustomers[region],"Missing")</f>
        <v>West</v>
      </c>
      <c r="O28" t="str">
        <f>_xlfn.XLOOKUP(C28,tblProducts[product_id],tblProducts[product_name],"Missing")</f>
        <v>CRM Enterprise</v>
      </c>
      <c r="P28" t="str">
        <f>_xlfn.XLOOKUP(C28,tblProducts[product_id],tblProducts[category],"Missing")</f>
        <v>CRM</v>
      </c>
      <c r="Q28" t="str">
        <f>_xlfn.XLOOKUP(D28,tblSalesReps[rep_id],tblSalesReps[rep_name],"Missing")</f>
        <v>Sales Rep 12</v>
      </c>
      <c r="R28" t="str">
        <f>_xlfn.XLOOKUP(D28,tblSalesReps[rep_id],tblSalesReps[region],"Missing")</f>
        <v>West</v>
      </c>
    </row>
    <row r="29" spans="1:18">
      <c r="A29" t="s">
        <v>98</v>
      </c>
      <c r="B29" t="s">
        <v>99</v>
      </c>
      <c r="C29" t="s">
        <v>81</v>
      </c>
      <c r="D29" t="s">
        <v>32</v>
      </c>
      <c r="E29" s="1">
        <v>45940</v>
      </c>
      <c r="F29" s="1">
        <v>45948</v>
      </c>
      <c r="G29" s="1">
        <v>45948</v>
      </c>
      <c r="H29" t="s">
        <v>17</v>
      </c>
      <c r="I29">
        <v>1</v>
      </c>
      <c r="J29">
        <v>0</v>
      </c>
      <c r="K29">
        <v>300000</v>
      </c>
      <c r="L29">
        <v>0</v>
      </c>
      <c r="M29" t="s">
        <v>82</v>
      </c>
      <c r="N29" t="str">
        <f>_xlfn.XLOOKUP(B29,tblCustomers[customer_id],tblCustomers[region],"Missing")</f>
        <v>South</v>
      </c>
      <c r="O29" t="str">
        <f>_xlfn.XLOOKUP(C29,tblProducts[product_id],tblProducts[product_name],"Missing")</f>
        <v>Analytics Cloud</v>
      </c>
      <c r="P29" t="str">
        <f>_xlfn.XLOOKUP(C29,tblProducts[product_id],tblProducts[category],"Missing")</f>
        <v>Analytics</v>
      </c>
      <c r="Q29" t="str">
        <f>_xlfn.XLOOKUP(D29,tblSalesReps[rep_id],tblSalesReps[rep_name],"Missing")</f>
        <v>Sales Rep 04</v>
      </c>
      <c r="R29" t="str">
        <f>_xlfn.XLOOKUP(D29,tblSalesReps[rep_id],tblSalesReps[region],"Missing")</f>
        <v>South</v>
      </c>
    </row>
    <row r="30" spans="1:18">
      <c r="A30" t="s">
        <v>100</v>
      </c>
      <c r="B30" t="s">
        <v>20</v>
      </c>
      <c r="C30" t="s">
        <v>26</v>
      </c>
      <c r="D30" t="s">
        <v>70</v>
      </c>
      <c r="E30" s="1">
        <v>45749</v>
      </c>
      <c r="F30" s="1">
        <v>45796</v>
      </c>
      <c r="G30" s="1"/>
      <c r="H30" t="s">
        <v>43</v>
      </c>
      <c r="I30">
        <v>1</v>
      </c>
      <c r="J30">
        <v>5</v>
      </c>
      <c r="K30">
        <v>342000</v>
      </c>
      <c r="L30">
        <v>40</v>
      </c>
      <c r="M30" t="s">
        <v>29</v>
      </c>
      <c r="N30" t="str">
        <f>_xlfn.XLOOKUP(B30,tblCustomers[customer_id],tblCustomers[region],"Missing")</f>
        <v>West</v>
      </c>
      <c r="O30" t="str">
        <f>_xlfn.XLOOKUP(C30,tblProducts[product_id],tblProducts[product_name],"Missing")</f>
        <v>Security Suite</v>
      </c>
      <c r="P30" t="str">
        <f>_xlfn.XLOOKUP(C30,tblProducts[product_id],tblProducts[category],"Missing")</f>
        <v>Security</v>
      </c>
      <c r="Q30" t="str">
        <f>_xlfn.XLOOKUP(D30,tblSalesReps[rep_id],tblSalesReps[rep_name],"Missing")</f>
        <v>Sales Rep 11</v>
      </c>
      <c r="R30" t="str">
        <f>_xlfn.XLOOKUP(D30,tblSalesReps[rep_id],tblSalesReps[region],"Missing")</f>
        <v>West</v>
      </c>
    </row>
    <row r="31" spans="1:18">
      <c r="A31" t="s">
        <v>101</v>
      </c>
      <c r="B31" t="s">
        <v>102</v>
      </c>
      <c r="C31" t="s">
        <v>21</v>
      </c>
      <c r="D31" t="s">
        <v>70</v>
      </c>
      <c r="E31" s="1">
        <v>45708</v>
      </c>
      <c r="F31" s="1">
        <v>45724</v>
      </c>
      <c r="G31" s="1">
        <v>45724</v>
      </c>
      <c r="H31" t="s">
        <v>17</v>
      </c>
      <c r="I31">
        <v>1</v>
      </c>
      <c r="J31">
        <v>20</v>
      </c>
      <c r="K31">
        <v>192000</v>
      </c>
      <c r="L31">
        <v>0</v>
      </c>
      <c r="M31" t="s">
        <v>18</v>
      </c>
      <c r="N31" t="str">
        <f>_xlfn.XLOOKUP(B31,tblCustomers[customer_id],tblCustomers[region],"Missing")</f>
        <v>West</v>
      </c>
      <c r="O31" t="str">
        <f>_xlfn.XLOOKUP(C31,tblProducts[product_id],tblProducts[product_name],"Missing")</f>
        <v>Workflow Automate</v>
      </c>
      <c r="P31" t="str">
        <f>_xlfn.XLOOKUP(C31,tblProducts[product_id],tblProducts[category],"Missing")</f>
        <v>Automation</v>
      </c>
      <c r="Q31" t="str">
        <f>_xlfn.XLOOKUP(D31,tblSalesReps[rep_id],tblSalesReps[rep_name],"Missing")</f>
        <v>Sales Rep 11</v>
      </c>
      <c r="R31" t="str">
        <f>_xlfn.XLOOKUP(D31,tblSalesReps[rep_id],tblSalesReps[region],"Missing")</f>
        <v>West</v>
      </c>
    </row>
    <row r="32" spans="1:18">
      <c r="A32" t="s">
        <v>103</v>
      </c>
      <c r="B32" t="s">
        <v>104</v>
      </c>
      <c r="C32" t="s">
        <v>81</v>
      </c>
      <c r="D32" t="s">
        <v>22</v>
      </c>
      <c r="E32" s="1">
        <v>45753</v>
      </c>
      <c r="F32" s="1">
        <v>45808</v>
      </c>
      <c r="G32" s="1">
        <v>45808</v>
      </c>
      <c r="H32" t="s">
        <v>17</v>
      </c>
      <c r="I32">
        <v>1</v>
      </c>
      <c r="J32">
        <v>20</v>
      </c>
      <c r="K32">
        <v>240000</v>
      </c>
      <c r="L32">
        <v>0</v>
      </c>
      <c r="M32" t="s">
        <v>47</v>
      </c>
      <c r="N32" t="str">
        <f>_xlfn.XLOOKUP(B32,tblCustomers[customer_id],tblCustomers[region],"Missing")</f>
        <v>West</v>
      </c>
      <c r="O32" t="str">
        <f>_xlfn.XLOOKUP(C32,tblProducts[product_id],tblProducts[product_name],"Missing")</f>
        <v>Analytics Cloud</v>
      </c>
      <c r="P32" t="str">
        <f>_xlfn.XLOOKUP(C32,tblProducts[product_id],tblProducts[category],"Missing")</f>
        <v>Analytics</v>
      </c>
      <c r="Q32" t="str">
        <f>_xlfn.XLOOKUP(D32,tblSalesReps[rep_id],tblSalesReps[rep_name],"Missing")</f>
        <v>Sales Rep 14</v>
      </c>
      <c r="R32" t="str">
        <f>_xlfn.XLOOKUP(D32,tblSalesReps[rep_id],tblSalesReps[region],"Missing")</f>
        <v>West</v>
      </c>
    </row>
    <row r="33" spans="1:18">
      <c r="A33" t="s">
        <v>105</v>
      </c>
      <c r="B33" t="s">
        <v>106</v>
      </c>
      <c r="C33" t="s">
        <v>21</v>
      </c>
      <c r="D33" t="s">
        <v>16</v>
      </c>
      <c r="E33" s="1">
        <v>45712</v>
      </c>
      <c r="F33" s="1">
        <v>45758</v>
      </c>
      <c r="G33" s="1">
        <v>45758</v>
      </c>
      <c r="H33" t="s">
        <v>28</v>
      </c>
      <c r="I33">
        <v>2</v>
      </c>
      <c r="J33">
        <v>10</v>
      </c>
      <c r="K33">
        <v>432000</v>
      </c>
      <c r="L33">
        <v>100</v>
      </c>
      <c r="M33" t="s">
        <v>29</v>
      </c>
      <c r="N33" t="str">
        <f>_xlfn.XLOOKUP(B33,tblCustomers[customer_id],tblCustomers[region],"Missing")</f>
        <v>North</v>
      </c>
      <c r="O33" t="str">
        <f>_xlfn.XLOOKUP(C33,tblProducts[product_id],tblProducts[product_name],"Missing")</f>
        <v>Workflow Automate</v>
      </c>
      <c r="P33" t="str">
        <f>_xlfn.XLOOKUP(C33,tblProducts[product_id],tblProducts[category],"Missing")</f>
        <v>Automation</v>
      </c>
      <c r="Q33" t="str">
        <f>_xlfn.XLOOKUP(D33,tblSalesReps[rep_id],tblSalesReps[rep_name],"Missing")</f>
        <v>Sales Rep 08</v>
      </c>
      <c r="R33" t="str">
        <f>_xlfn.XLOOKUP(D33,tblSalesReps[rep_id],tblSalesReps[region],"Missing")</f>
        <v>North</v>
      </c>
    </row>
    <row r="34" spans="1:18">
      <c r="A34" t="s">
        <v>107</v>
      </c>
      <c r="B34" t="s">
        <v>108</v>
      </c>
      <c r="C34" t="s">
        <v>39</v>
      </c>
      <c r="D34" t="s">
        <v>36</v>
      </c>
      <c r="E34" s="1">
        <v>45710</v>
      </c>
      <c r="F34" s="1">
        <v>45762</v>
      </c>
      <c r="G34" s="1">
        <v>45762</v>
      </c>
      <c r="H34" t="s">
        <v>28</v>
      </c>
      <c r="I34">
        <v>3</v>
      </c>
      <c r="J34">
        <v>0</v>
      </c>
      <c r="K34">
        <v>540000</v>
      </c>
      <c r="L34">
        <v>100</v>
      </c>
      <c r="M34" t="s">
        <v>29</v>
      </c>
      <c r="N34" t="str">
        <f>_xlfn.XLOOKUP(B34,tblCustomers[customer_id],tblCustomers[region],"Missing")</f>
        <v>North</v>
      </c>
      <c r="O34" t="str">
        <f>_xlfn.XLOOKUP(C34,tblProducts[product_id],tblProducts[product_name],"Missing")</f>
        <v>Support Desk</v>
      </c>
      <c r="P34" t="str">
        <f>_xlfn.XLOOKUP(C34,tblProducts[product_id],tblProducts[category],"Missing")</f>
        <v>Service</v>
      </c>
      <c r="Q34" t="str">
        <f>_xlfn.XLOOKUP(D34,tblSalesReps[rep_id],tblSalesReps[rep_name],"Missing")</f>
        <v>Sales Rep 09</v>
      </c>
      <c r="R34" t="str">
        <f>_xlfn.XLOOKUP(D34,tblSalesReps[rep_id],tblSalesReps[region],"Missing")</f>
        <v>North</v>
      </c>
    </row>
    <row r="35" spans="1:18">
      <c r="A35" t="s">
        <v>109</v>
      </c>
      <c r="B35" t="s">
        <v>110</v>
      </c>
      <c r="C35" t="s">
        <v>21</v>
      </c>
      <c r="D35" t="s">
        <v>16</v>
      </c>
      <c r="E35" s="1">
        <v>45910</v>
      </c>
      <c r="F35" s="1">
        <v>45938</v>
      </c>
      <c r="G35" s="1">
        <v>45938</v>
      </c>
      <c r="H35" t="s">
        <v>28</v>
      </c>
      <c r="I35">
        <v>2</v>
      </c>
      <c r="J35">
        <v>10</v>
      </c>
      <c r="K35">
        <v>432000</v>
      </c>
      <c r="L35">
        <v>100</v>
      </c>
      <c r="M35" t="s">
        <v>29</v>
      </c>
      <c r="N35" t="str">
        <f>_xlfn.XLOOKUP(B35,tblCustomers[customer_id],tblCustomers[region],"Missing")</f>
        <v>North</v>
      </c>
      <c r="O35" t="str">
        <f>_xlfn.XLOOKUP(C35,tblProducts[product_id],tblProducts[product_name],"Missing")</f>
        <v>Workflow Automate</v>
      </c>
      <c r="P35" t="str">
        <f>_xlfn.XLOOKUP(C35,tblProducts[product_id],tblProducts[category],"Missing")</f>
        <v>Automation</v>
      </c>
      <c r="Q35" t="str">
        <f>_xlfn.XLOOKUP(D35,tblSalesReps[rep_id],tblSalesReps[rep_name],"Missing")</f>
        <v>Sales Rep 08</v>
      </c>
      <c r="R35" t="str">
        <f>_xlfn.XLOOKUP(D35,tblSalesReps[rep_id],tblSalesReps[region],"Missing")</f>
        <v>North</v>
      </c>
    </row>
    <row r="36" spans="1:18">
      <c r="A36" t="s">
        <v>111</v>
      </c>
      <c r="B36" t="s">
        <v>112</v>
      </c>
      <c r="C36" t="s">
        <v>15</v>
      </c>
      <c r="D36" t="s">
        <v>40</v>
      </c>
      <c r="E36" s="1">
        <v>45661</v>
      </c>
      <c r="F36" s="1">
        <v>45710</v>
      </c>
      <c r="G36" s="1"/>
      <c r="H36" t="s">
        <v>43</v>
      </c>
      <c r="I36">
        <v>3</v>
      </c>
      <c r="J36">
        <v>15</v>
      </c>
      <c r="K36">
        <v>1071000</v>
      </c>
      <c r="L36">
        <v>60</v>
      </c>
      <c r="M36" t="s">
        <v>29</v>
      </c>
      <c r="N36" t="str">
        <f>_xlfn.XLOOKUP(B36,tblCustomers[customer_id],tblCustomers[region],"Missing")</f>
        <v>West</v>
      </c>
      <c r="O36" t="str">
        <f>_xlfn.XLOOKUP(C36,tblProducts[product_id],tblProducts[product_name],"Missing")</f>
        <v>CRM Enterprise</v>
      </c>
      <c r="P36" t="str">
        <f>_xlfn.XLOOKUP(C36,tblProducts[product_id],tblProducts[category],"Missing")</f>
        <v>CRM</v>
      </c>
      <c r="Q36" t="str">
        <f>_xlfn.XLOOKUP(D36,tblSalesReps[rep_id],tblSalesReps[rep_name],"Missing")</f>
        <v>Sales Rep 13</v>
      </c>
      <c r="R36" t="str">
        <f>_xlfn.XLOOKUP(D36,tblSalesReps[rep_id],tblSalesReps[region],"Missing")</f>
        <v>West</v>
      </c>
    </row>
    <row r="37" spans="1:18">
      <c r="A37" t="s">
        <v>113</v>
      </c>
      <c r="B37" t="s">
        <v>114</v>
      </c>
      <c r="C37" t="s">
        <v>26</v>
      </c>
      <c r="D37" t="s">
        <v>59</v>
      </c>
      <c r="E37" s="1">
        <v>45952</v>
      </c>
      <c r="F37" s="1">
        <v>46000</v>
      </c>
      <c r="G37" s="1"/>
      <c r="H37" t="s">
        <v>43</v>
      </c>
      <c r="I37">
        <v>2</v>
      </c>
      <c r="J37">
        <v>10</v>
      </c>
      <c r="K37">
        <v>648000</v>
      </c>
      <c r="L37">
        <v>80</v>
      </c>
      <c r="M37" t="s">
        <v>29</v>
      </c>
      <c r="N37" t="str">
        <f>_xlfn.XLOOKUP(B37,tblCustomers[customer_id],tblCustomers[region],"Missing")</f>
        <v>East</v>
      </c>
      <c r="O37" t="str">
        <f>_xlfn.XLOOKUP(C37,tblProducts[product_id],tblProducts[product_name],"Missing")</f>
        <v>Security Suite</v>
      </c>
      <c r="P37" t="str">
        <f>_xlfn.XLOOKUP(C37,tblProducts[product_id],tblProducts[category],"Missing")</f>
        <v>Security</v>
      </c>
      <c r="Q37" t="str">
        <f>_xlfn.XLOOKUP(D37,tblSalesReps[rep_id],tblSalesReps[rep_name],"Missing")</f>
        <v>Sales Rep 19</v>
      </c>
      <c r="R37" t="str">
        <f>_xlfn.XLOOKUP(D37,tblSalesReps[rep_id],tblSalesReps[region],"Missing")</f>
        <v>East</v>
      </c>
    </row>
    <row r="38" spans="1:18">
      <c r="A38" t="s">
        <v>115</v>
      </c>
      <c r="B38" t="s">
        <v>116</v>
      </c>
      <c r="C38" t="s">
        <v>81</v>
      </c>
      <c r="D38" t="s">
        <v>91</v>
      </c>
      <c r="E38" s="1">
        <v>46012</v>
      </c>
      <c r="F38" s="1">
        <v>46071</v>
      </c>
      <c r="G38" s="1"/>
      <c r="H38" t="s">
        <v>43</v>
      </c>
      <c r="I38">
        <v>2</v>
      </c>
      <c r="J38">
        <v>5</v>
      </c>
      <c r="K38">
        <v>570000</v>
      </c>
      <c r="L38">
        <v>60</v>
      </c>
      <c r="M38" t="s">
        <v>29</v>
      </c>
      <c r="N38" t="str">
        <f>_xlfn.XLOOKUP(B38,tblCustomers[customer_id],tblCustomers[region],"Missing")</f>
        <v>South</v>
      </c>
      <c r="O38" t="str">
        <f>_xlfn.XLOOKUP(C38,tblProducts[product_id],tblProducts[product_name],"Missing")</f>
        <v>Analytics Cloud</v>
      </c>
      <c r="P38" t="str">
        <f>_xlfn.XLOOKUP(C38,tblProducts[product_id],tblProducts[category],"Missing")</f>
        <v>Analytics</v>
      </c>
      <c r="Q38" t="str">
        <f>_xlfn.XLOOKUP(D38,tblSalesReps[rep_id],tblSalesReps[rep_name],"Missing")</f>
        <v>Sales Rep 03</v>
      </c>
      <c r="R38" t="str">
        <f>_xlfn.XLOOKUP(D38,tblSalesReps[rep_id],tblSalesReps[region],"Missing")</f>
        <v>South</v>
      </c>
    </row>
    <row r="39" spans="1:18">
      <c r="A39" t="s">
        <v>117</v>
      </c>
      <c r="B39" t="s">
        <v>118</v>
      </c>
      <c r="C39" t="s">
        <v>81</v>
      </c>
      <c r="D39" t="s">
        <v>119</v>
      </c>
      <c r="E39" s="1">
        <v>45917</v>
      </c>
      <c r="F39" s="1">
        <v>45977</v>
      </c>
      <c r="G39" s="1"/>
      <c r="H39" t="s">
        <v>43</v>
      </c>
      <c r="I39">
        <v>3</v>
      </c>
      <c r="J39">
        <v>0</v>
      </c>
      <c r="K39">
        <v>900000</v>
      </c>
      <c r="L39">
        <v>60</v>
      </c>
      <c r="M39" t="s">
        <v>29</v>
      </c>
      <c r="N39" t="str">
        <f>_xlfn.XLOOKUP(B39,tblCustomers[customer_id],tblCustomers[region],"Missing")</f>
        <v>North</v>
      </c>
      <c r="O39" t="str">
        <f>_xlfn.XLOOKUP(C39,tblProducts[product_id],tblProducts[product_name],"Missing")</f>
        <v>Analytics Cloud</v>
      </c>
      <c r="P39" t="str">
        <f>_xlfn.XLOOKUP(C39,tblProducts[product_id],tblProducts[category],"Missing")</f>
        <v>Analytics</v>
      </c>
      <c r="Q39" t="str">
        <f>_xlfn.XLOOKUP(D39,tblSalesReps[rep_id],tblSalesReps[rep_name],"Missing")</f>
        <v>Sales Rep 10</v>
      </c>
      <c r="R39" t="str">
        <f>_xlfn.XLOOKUP(D39,tblSalesReps[rep_id],tblSalesReps[region],"Missing")</f>
        <v>North</v>
      </c>
    </row>
    <row r="40" spans="1:18">
      <c r="A40" t="s">
        <v>120</v>
      </c>
      <c r="B40" t="s">
        <v>121</v>
      </c>
      <c r="C40" t="s">
        <v>39</v>
      </c>
      <c r="D40" t="s">
        <v>46</v>
      </c>
      <c r="E40" s="1">
        <v>45946</v>
      </c>
      <c r="F40" s="1">
        <v>46004</v>
      </c>
      <c r="G40" s="1"/>
      <c r="H40" t="s">
        <v>43</v>
      </c>
      <c r="I40">
        <v>1</v>
      </c>
      <c r="J40">
        <v>15</v>
      </c>
      <c r="K40">
        <v>153000</v>
      </c>
      <c r="L40">
        <v>20</v>
      </c>
      <c r="M40" t="s">
        <v>29</v>
      </c>
      <c r="N40" t="str">
        <f>_xlfn.XLOOKUP(B40,tblCustomers[customer_id],tblCustomers[region],"Missing")</f>
        <v>South</v>
      </c>
      <c r="O40" t="str">
        <f>_xlfn.XLOOKUP(C40,tblProducts[product_id],tblProducts[product_name],"Missing")</f>
        <v>Support Desk</v>
      </c>
      <c r="P40" t="str">
        <f>_xlfn.XLOOKUP(C40,tblProducts[product_id],tblProducts[category],"Missing")</f>
        <v>Service</v>
      </c>
      <c r="Q40" t="str">
        <f>_xlfn.XLOOKUP(D40,tblSalesReps[rep_id],tblSalesReps[rep_name],"Missing")</f>
        <v>Sales Rep 01</v>
      </c>
      <c r="R40" t="str">
        <f>_xlfn.XLOOKUP(D40,tblSalesReps[rep_id],tblSalesReps[region],"Missing")</f>
        <v>South</v>
      </c>
    </row>
    <row r="41" spans="1:18">
      <c r="A41" t="s">
        <v>122</v>
      </c>
      <c r="B41" t="s">
        <v>123</v>
      </c>
      <c r="C41" t="s">
        <v>26</v>
      </c>
      <c r="D41" t="s">
        <v>63</v>
      </c>
      <c r="E41" s="1">
        <v>45771</v>
      </c>
      <c r="F41" s="1">
        <v>45828</v>
      </c>
      <c r="G41" s="1">
        <v>45828</v>
      </c>
      <c r="H41" t="s">
        <v>17</v>
      </c>
      <c r="I41">
        <v>2</v>
      </c>
      <c r="J41">
        <v>20</v>
      </c>
      <c r="K41">
        <v>576000</v>
      </c>
      <c r="L41">
        <v>0</v>
      </c>
      <c r="M41" t="s">
        <v>18</v>
      </c>
      <c r="N41" t="str">
        <f>_xlfn.XLOOKUP(B41,tblCustomers[customer_id],tblCustomers[region],"Missing")</f>
        <v>South</v>
      </c>
      <c r="O41" t="str">
        <f>_xlfn.XLOOKUP(C41,tblProducts[product_id],tblProducts[product_name],"Missing")</f>
        <v>Security Suite</v>
      </c>
      <c r="P41" t="str">
        <f>_xlfn.XLOOKUP(C41,tblProducts[product_id],tblProducts[category],"Missing")</f>
        <v>Security</v>
      </c>
      <c r="Q41" t="str">
        <f>_xlfn.XLOOKUP(D41,tblSalesReps[rep_id],tblSalesReps[rep_name],"Missing")</f>
        <v>Sales Rep 05</v>
      </c>
      <c r="R41" t="str">
        <f>_xlfn.XLOOKUP(D41,tblSalesReps[rep_id],tblSalesReps[region],"Missing")</f>
        <v>South</v>
      </c>
    </row>
    <row r="42" spans="1:18">
      <c r="A42" t="s">
        <v>124</v>
      </c>
      <c r="B42" t="s">
        <v>125</v>
      </c>
      <c r="C42" t="s">
        <v>26</v>
      </c>
      <c r="D42" t="s">
        <v>126</v>
      </c>
      <c r="E42" s="1">
        <v>45836</v>
      </c>
      <c r="F42" s="1">
        <v>45901</v>
      </c>
      <c r="G42" s="1">
        <v>45901</v>
      </c>
      <c r="H42" t="s">
        <v>28</v>
      </c>
      <c r="I42">
        <v>1</v>
      </c>
      <c r="J42">
        <v>20</v>
      </c>
      <c r="K42">
        <v>288000</v>
      </c>
      <c r="L42">
        <v>100</v>
      </c>
      <c r="M42" t="s">
        <v>29</v>
      </c>
      <c r="N42" t="str">
        <f>_xlfn.XLOOKUP(B42,tblCustomers[customer_id],tblCustomers[region],"Missing")</f>
        <v>South</v>
      </c>
      <c r="O42" t="str">
        <f>_xlfn.XLOOKUP(C42,tblProducts[product_id],tblProducts[product_name],"Missing")</f>
        <v>Security Suite</v>
      </c>
      <c r="P42" t="str">
        <f>_xlfn.XLOOKUP(C42,tblProducts[product_id],tblProducts[category],"Missing")</f>
        <v>Security</v>
      </c>
      <c r="Q42" t="str">
        <f>_xlfn.XLOOKUP(D42,tblSalesReps[rep_id],tblSalesReps[rep_name],"Missing")</f>
        <v>Sales Rep 02</v>
      </c>
      <c r="R42" t="str">
        <f>_xlfn.XLOOKUP(D42,tblSalesReps[rep_id],tblSalesReps[region],"Missing")</f>
        <v>South</v>
      </c>
    </row>
    <row r="43" spans="1:18">
      <c r="A43" t="s">
        <v>127</v>
      </c>
      <c r="B43" t="s">
        <v>121</v>
      </c>
      <c r="C43" t="s">
        <v>62</v>
      </c>
      <c r="D43" t="s">
        <v>126</v>
      </c>
      <c r="E43" s="1">
        <v>45782</v>
      </c>
      <c r="F43" s="1">
        <v>45859</v>
      </c>
      <c r="G43" s="1">
        <v>45859</v>
      </c>
      <c r="H43" t="s">
        <v>17</v>
      </c>
      <c r="I43">
        <v>1</v>
      </c>
      <c r="J43">
        <v>10</v>
      </c>
      <c r="K43">
        <v>108000</v>
      </c>
      <c r="L43">
        <v>0</v>
      </c>
      <c r="M43" t="s">
        <v>82</v>
      </c>
      <c r="N43" t="str">
        <f>_xlfn.XLOOKUP(B43,tblCustomers[customer_id],tblCustomers[region],"Missing")</f>
        <v>South</v>
      </c>
      <c r="O43" t="str">
        <f>_xlfn.XLOOKUP(C43,tblProducts[product_id],tblProducts[product_name],"Missing")</f>
        <v>CRM Essentials</v>
      </c>
      <c r="P43" t="str">
        <f>_xlfn.XLOOKUP(C43,tblProducts[product_id],tblProducts[category],"Missing")</f>
        <v>CRM</v>
      </c>
      <c r="Q43" t="str">
        <f>_xlfn.XLOOKUP(D43,tblSalesReps[rep_id],tblSalesReps[rep_name],"Missing")</f>
        <v>Sales Rep 02</v>
      </c>
      <c r="R43" t="str">
        <f>_xlfn.XLOOKUP(D43,tblSalesReps[rep_id],tblSalesReps[region],"Missing")</f>
        <v>South</v>
      </c>
    </row>
    <row r="44" spans="1:18">
      <c r="A44" t="s">
        <v>128</v>
      </c>
      <c r="B44" t="s">
        <v>129</v>
      </c>
      <c r="C44" t="s">
        <v>81</v>
      </c>
      <c r="D44" t="s">
        <v>53</v>
      </c>
      <c r="E44" s="1">
        <v>46018</v>
      </c>
      <c r="F44" s="1">
        <v>46060</v>
      </c>
      <c r="G44" s="1"/>
      <c r="H44" t="s">
        <v>43</v>
      </c>
      <c r="I44">
        <v>1</v>
      </c>
      <c r="J44">
        <v>20</v>
      </c>
      <c r="K44">
        <v>240000</v>
      </c>
      <c r="L44">
        <v>20</v>
      </c>
      <c r="M44" t="s">
        <v>29</v>
      </c>
      <c r="N44" t="str">
        <f>_xlfn.XLOOKUP(B44,tblCustomers[customer_id],tblCustomers[region],"Missing")</f>
        <v>East</v>
      </c>
      <c r="O44" t="str">
        <f>_xlfn.XLOOKUP(C44,tblProducts[product_id],tblProducts[product_name],"Missing")</f>
        <v>Analytics Cloud</v>
      </c>
      <c r="P44" t="str">
        <f>_xlfn.XLOOKUP(C44,tblProducts[product_id],tblProducts[category],"Missing")</f>
        <v>Analytics</v>
      </c>
      <c r="Q44" t="str">
        <f>_xlfn.XLOOKUP(D44,tblSalesReps[rep_id],tblSalesReps[rep_name],"Missing")</f>
        <v>Sales Rep 16</v>
      </c>
      <c r="R44" t="str">
        <f>_xlfn.XLOOKUP(D44,tblSalesReps[rep_id],tblSalesReps[region],"Missing")</f>
        <v>East</v>
      </c>
    </row>
    <row r="45" spans="1:18">
      <c r="A45" t="s">
        <v>130</v>
      </c>
      <c r="B45" t="s">
        <v>131</v>
      </c>
      <c r="C45" t="s">
        <v>39</v>
      </c>
      <c r="D45" t="s">
        <v>36</v>
      </c>
      <c r="E45" s="1">
        <v>45970</v>
      </c>
      <c r="F45" s="1">
        <v>45991</v>
      </c>
      <c r="G45" s="1">
        <v>45991</v>
      </c>
      <c r="H45" t="s">
        <v>17</v>
      </c>
      <c r="I45">
        <v>1</v>
      </c>
      <c r="J45">
        <v>10</v>
      </c>
      <c r="K45">
        <v>162000</v>
      </c>
      <c r="L45">
        <v>0</v>
      </c>
      <c r="M45" t="s">
        <v>33</v>
      </c>
      <c r="N45" t="str">
        <f>_xlfn.XLOOKUP(B45,tblCustomers[customer_id],tblCustomers[region],"Missing")</f>
        <v>North</v>
      </c>
      <c r="O45" t="str">
        <f>_xlfn.XLOOKUP(C45,tblProducts[product_id],tblProducts[product_name],"Missing")</f>
        <v>Support Desk</v>
      </c>
      <c r="P45" t="str">
        <f>_xlfn.XLOOKUP(C45,tblProducts[product_id],tblProducts[category],"Missing")</f>
        <v>Service</v>
      </c>
      <c r="Q45" t="str">
        <f>_xlfn.XLOOKUP(D45,tblSalesReps[rep_id],tblSalesReps[rep_name],"Missing")</f>
        <v>Sales Rep 09</v>
      </c>
      <c r="R45" t="str">
        <f>_xlfn.XLOOKUP(D45,tblSalesReps[rep_id],tblSalesReps[region],"Missing")</f>
        <v>North</v>
      </c>
    </row>
    <row r="46" spans="1:18">
      <c r="A46" t="s">
        <v>132</v>
      </c>
      <c r="B46" t="s">
        <v>133</v>
      </c>
      <c r="C46" t="s">
        <v>21</v>
      </c>
      <c r="D46" t="s">
        <v>70</v>
      </c>
      <c r="E46" s="1">
        <v>45751</v>
      </c>
      <c r="F46" s="1">
        <v>45776</v>
      </c>
      <c r="G46" s="1">
        <v>45776</v>
      </c>
      <c r="H46" t="s">
        <v>17</v>
      </c>
      <c r="I46">
        <v>3</v>
      </c>
      <c r="J46">
        <v>15</v>
      </c>
      <c r="K46">
        <v>612000</v>
      </c>
      <c r="L46">
        <v>0</v>
      </c>
      <c r="M46" t="s">
        <v>33</v>
      </c>
      <c r="N46" t="str">
        <f>_xlfn.XLOOKUP(B46,tblCustomers[customer_id],tblCustomers[region],"Missing")</f>
        <v>West</v>
      </c>
      <c r="O46" t="str">
        <f>_xlfn.XLOOKUP(C46,tblProducts[product_id],tblProducts[product_name],"Missing")</f>
        <v>Workflow Automate</v>
      </c>
      <c r="P46" t="str">
        <f>_xlfn.XLOOKUP(C46,tblProducts[product_id],tblProducts[category],"Missing")</f>
        <v>Automation</v>
      </c>
      <c r="Q46" t="str">
        <f>_xlfn.XLOOKUP(D46,tblSalesReps[rep_id],tblSalesReps[rep_name],"Missing")</f>
        <v>Sales Rep 11</v>
      </c>
      <c r="R46" t="str">
        <f>_xlfn.XLOOKUP(D46,tblSalesReps[rep_id],tblSalesReps[region],"Missing")</f>
        <v>West</v>
      </c>
    </row>
    <row r="47" spans="1:18">
      <c r="A47" t="s">
        <v>134</v>
      </c>
      <c r="B47" t="s">
        <v>135</v>
      </c>
      <c r="C47" t="s">
        <v>81</v>
      </c>
      <c r="D47" t="s">
        <v>40</v>
      </c>
      <c r="E47" s="1">
        <v>45729</v>
      </c>
      <c r="F47" s="1">
        <v>45793</v>
      </c>
      <c r="G47" s="1">
        <v>45793</v>
      </c>
      <c r="H47" t="s">
        <v>28</v>
      </c>
      <c r="I47">
        <v>3</v>
      </c>
      <c r="J47">
        <v>0</v>
      </c>
      <c r="K47">
        <v>900000</v>
      </c>
      <c r="L47">
        <v>100</v>
      </c>
      <c r="M47" t="s">
        <v>29</v>
      </c>
      <c r="N47" t="str">
        <f>_xlfn.XLOOKUP(B47,tblCustomers[customer_id],tblCustomers[region],"Missing")</f>
        <v>West</v>
      </c>
      <c r="O47" t="str">
        <f>_xlfn.XLOOKUP(C47,tblProducts[product_id],tblProducts[product_name],"Missing")</f>
        <v>Analytics Cloud</v>
      </c>
      <c r="P47" t="str">
        <f>_xlfn.XLOOKUP(C47,tblProducts[product_id],tblProducts[category],"Missing")</f>
        <v>Analytics</v>
      </c>
      <c r="Q47" t="str">
        <f>_xlfn.XLOOKUP(D47,tblSalesReps[rep_id],tblSalesReps[rep_name],"Missing")</f>
        <v>Sales Rep 13</v>
      </c>
      <c r="R47" t="str">
        <f>_xlfn.XLOOKUP(D47,tblSalesReps[rep_id],tblSalesReps[region],"Missing")</f>
        <v>West</v>
      </c>
    </row>
    <row r="48" spans="1:18">
      <c r="A48" t="s">
        <v>136</v>
      </c>
      <c r="B48" t="s">
        <v>137</v>
      </c>
      <c r="C48" t="s">
        <v>81</v>
      </c>
      <c r="D48" t="s">
        <v>36</v>
      </c>
      <c r="E48" s="1">
        <v>46008</v>
      </c>
      <c r="F48" s="1">
        <v>46071</v>
      </c>
      <c r="G48" s="1"/>
      <c r="H48" t="s">
        <v>43</v>
      </c>
      <c r="I48">
        <v>2</v>
      </c>
      <c r="J48">
        <v>5</v>
      </c>
      <c r="K48">
        <v>570000</v>
      </c>
      <c r="L48">
        <v>20</v>
      </c>
      <c r="M48" t="s">
        <v>29</v>
      </c>
      <c r="N48" t="str">
        <f>_xlfn.XLOOKUP(B48,tblCustomers[customer_id],tblCustomers[region],"Missing")</f>
        <v>North</v>
      </c>
      <c r="O48" t="str">
        <f>_xlfn.XLOOKUP(C48,tblProducts[product_id],tblProducts[product_name],"Missing")</f>
        <v>Analytics Cloud</v>
      </c>
      <c r="P48" t="str">
        <f>_xlfn.XLOOKUP(C48,tblProducts[product_id],tblProducts[category],"Missing")</f>
        <v>Analytics</v>
      </c>
      <c r="Q48" t="str">
        <f>_xlfn.XLOOKUP(D48,tblSalesReps[rep_id],tblSalesReps[rep_name],"Missing")</f>
        <v>Sales Rep 09</v>
      </c>
      <c r="R48" t="str">
        <f>_xlfn.XLOOKUP(D48,tblSalesReps[rep_id],tblSalesReps[region],"Missing")</f>
        <v>North</v>
      </c>
    </row>
    <row r="49" spans="1:18">
      <c r="A49" t="s">
        <v>138</v>
      </c>
      <c r="B49" t="s">
        <v>139</v>
      </c>
      <c r="C49" t="s">
        <v>21</v>
      </c>
      <c r="D49" t="s">
        <v>78</v>
      </c>
      <c r="E49" s="1">
        <v>45892</v>
      </c>
      <c r="F49" s="1">
        <v>45962</v>
      </c>
      <c r="G49" s="1">
        <v>45962</v>
      </c>
      <c r="H49" t="s">
        <v>17</v>
      </c>
      <c r="I49">
        <v>3</v>
      </c>
      <c r="J49">
        <v>20</v>
      </c>
      <c r="K49">
        <v>576000</v>
      </c>
      <c r="L49">
        <v>0</v>
      </c>
      <c r="M49" t="s">
        <v>33</v>
      </c>
      <c r="N49" t="str">
        <f>_xlfn.XLOOKUP(B49,tblCustomers[customer_id],tblCustomers[region],"Missing")</f>
        <v>West</v>
      </c>
      <c r="O49" t="str">
        <f>_xlfn.XLOOKUP(C49,tblProducts[product_id],tblProducts[product_name],"Missing")</f>
        <v>Workflow Automate</v>
      </c>
      <c r="P49" t="str">
        <f>_xlfn.XLOOKUP(C49,tblProducts[product_id],tblProducts[category],"Missing")</f>
        <v>Automation</v>
      </c>
      <c r="Q49" t="str">
        <f>_xlfn.XLOOKUP(D49,tblSalesReps[rep_id],tblSalesReps[rep_name],"Missing")</f>
        <v>Sales Rep 12</v>
      </c>
      <c r="R49" t="str">
        <f>_xlfn.XLOOKUP(D49,tblSalesReps[rep_id],tblSalesReps[region],"Missing")</f>
        <v>West</v>
      </c>
    </row>
    <row r="50" spans="1:18">
      <c r="A50" t="s">
        <v>140</v>
      </c>
      <c r="B50" t="s">
        <v>141</v>
      </c>
      <c r="C50" t="s">
        <v>39</v>
      </c>
      <c r="D50" t="s">
        <v>75</v>
      </c>
      <c r="E50" s="1">
        <v>45875</v>
      </c>
      <c r="F50" s="1">
        <v>45913</v>
      </c>
      <c r="G50" s="1">
        <v>45913</v>
      </c>
      <c r="H50" t="s">
        <v>28</v>
      </c>
      <c r="I50">
        <v>1</v>
      </c>
      <c r="J50">
        <v>0</v>
      </c>
      <c r="K50">
        <v>180000</v>
      </c>
      <c r="L50">
        <v>100</v>
      </c>
      <c r="M50" t="s">
        <v>29</v>
      </c>
      <c r="N50" t="str">
        <f>_xlfn.XLOOKUP(B50,tblCustomers[customer_id],tblCustomers[region],"Missing")</f>
        <v>North</v>
      </c>
      <c r="O50" t="str">
        <f>_xlfn.XLOOKUP(C50,tblProducts[product_id],tblProducts[product_name],"Missing")</f>
        <v>Support Desk</v>
      </c>
      <c r="P50" t="str">
        <f>_xlfn.XLOOKUP(C50,tblProducts[product_id],tblProducts[category],"Missing")</f>
        <v>Service</v>
      </c>
      <c r="Q50" t="str">
        <f>_xlfn.XLOOKUP(D50,tblSalesReps[rep_id],tblSalesReps[rep_name],"Missing")</f>
        <v>Sales Rep 07</v>
      </c>
      <c r="R50" t="str">
        <f>_xlfn.XLOOKUP(D50,tblSalesReps[rep_id],tblSalesReps[region],"Missing")</f>
        <v>North</v>
      </c>
    </row>
    <row r="51" spans="1:18">
      <c r="A51" t="s">
        <v>142</v>
      </c>
      <c r="B51" t="s">
        <v>143</v>
      </c>
      <c r="C51" t="s">
        <v>15</v>
      </c>
      <c r="D51" t="s">
        <v>75</v>
      </c>
      <c r="E51" s="1">
        <v>45688</v>
      </c>
      <c r="F51" s="1">
        <v>45763</v>
      </c>
      <c r="G51" s="1">
        <v>45763</v>
      </c>
      <c r="H51" t="s">
        <v>17</v>
      </c>
      <c r="I51">
        <v>1</v>
      </c>
      <c r="J51">
        <v>20</v>
      </c>
      <c r="K51">
        <v>336000</v>
      </c>
      <c r="L51">
        <v>0</v>
      </c>
      <c r="M51" t="s">
        <v>18</v>
      </c>
      <c r="N51" t="str">
        <f>_xlfn.XLOOKUP(B51,tblCustomers[customer_id],tblCustomers[region],"Missing")</f>
        <v>North</v>
      </c>
      <c r="O51" t="str">
        <f>_xlfn.XLOOKUP(C51,tblProducts[product_id],tblProducts[product_name],"Missing")</f>
        <v>CRM Enterprise</v>
      </c>
      <c r="P51" t="str">
        <f>_xlfn.XLOOKUP(C51,tblProducts[product_id],tblProducts[category],"Missing")</f>
        <v>CRM</v>
      </c>
      <c r="Q51" t="str">
        <f>_xlfn.XLOOKUP(D51,tblSalesReps[rep_id],tblSalesReps[rep_name],"Missing")</f>
        <v>Sales Rep 07</v>
      </c>
      <c r="R51" t="str">
        <f>_xlfn.XLOOKUP(D51,tblSalesReps[rep_id],tblSalesReps[region],"Missing")</f>
        <v>North</v>
      </c>
    </row>
    <row r="52" spans="1:18">
      <c r="A52" t="s">
        <v>144</v>
      </c>
      <c r="B52" t="s">
        <v>145</v>
      </c>
      <c r="C52" t="s">
        <v>26</v>
      </c>
      <c r="D52" t="s">
        <v>40</v>
      </c>
      <c r="E52" s="1">
        <v>45784</v>
      </c>
      <c r="F52" s="1">
        <v>45841</v>
      </c>
      <c r="G52" s="1"/>
      <c r="H52" t="s">
        <v>43</v>
      </c>
      <c r="I52">
        <v>2</v>
      </c>
      <c r="J52">
        <v>5</v>
      </c>
      <c r="K52">
        <v>684000</v>
      </c>
      <c r="L52">
        <v>60</v>
      </c>
      <c r="M52" t="s">
        <v>29</v>
      </c>
      <c r="N52" t="str">
        <f>_xlfn.XLOOKUP(B52,tblCustomers[customer_id],tblCustomers[region],"Missing")</f>
        <v>West</v>
      </c>
      <c r="O52" t="str">
        <f>_xlfn.XLOOKUP(C52,tblProducts[product_id],tblProducts[product_name],"Missing")</f>
        <v>Security Suite</v>
      </c>
      <c r="P52" t="str">
        <f>_xlfn.XLOOKUP(C52,tblProducts[product_id],tblProducts[category],"Missing")</f>
        <v>Security</v>
      </c>
      <c r="Q52" t="str">
        <f>_xlfn.XLOOKUP(D52,tblSalesReps[rep_id],tblSalesReps[rep_name],"Missing")</f>
        <v>Sales Rep 13</v>
      </c>
      <c r="R52" t="str">
        <f>_xlfn.XLOOKUP(D52,tblSalesReps[rep_id],tblSalesReps[region],"Missing")</f>
        <v>West</v>
      </c>
    </row>
    <row r="53" spans="1:18">
      <c r="A53" t="s">
        <v>146</v>
      </c>
      <c r="B53" t="s">
        <v>147</v>
      </c>
      <c r="C53" t="s">
        <v>26</v>
      </c>
      <c r="D53" t="s">
        <v>27</v>
      </c>
      <c r="E53" s="1">
        <v>45892</v>
      </c>
      <c r="F53" s="1">
        <v>45944</v>
      </c>
      <c r="G53" s="1">
        <v>45944</v>
      </c>
      <c r="H53" t="s">
        <v>17</v>
      </c>
      <c r="I53">
        <v>1</v>
      </c>
      <c r="J53">
        <v>20</v>
      </c>
      <c r="K53">
        <v>288000</v>
      </c>
      <c r="L53">
        <v>0</v>
      </c>
      <c r="M53" t="s">
        <v>47</v>
      </c>
      <c r="N53" t="str">
        <f>_xlfn.XLOOKUP(B53,tblCustomers[customer_id],tblCustomers[region],"Missing")</f>
        <v>North</v>
      </c>
      <c r="O53" t="str">
        <f>_xlfn.XLOOKUP(C53,tblProducts[product_id],tblProducts[product_name],"Missing")</f>
        <v>Security Suite</v>
      </c>
      <c r="P53" t="str">
        <f>_xlfn.XLOOKUP(C53,tblProducts[product_id],tblProducts[category],"Missing")</f>
        <v>Security</v>
      </c>
      <c r="Q53" t="str">
        <f>_xlfn.XLOOKUP(D53,tblSalesReps[rep_id],tblSalesReps[rep_name],"Missing")</f>
        <v>Sales Rep 06</v>
      </c>
      <c r="R53" t="str">
        <f>_xlfn.XLOOKUP(D53,tblSalesReps[rep_id],tblSalesReps[region],"Missing")</f>
        <v>North</v>
      </c>
    </row>
    <row r="54" spans="1:18">
      <c r="A54" t="s">
        <v>148</v>
      </c>
      <c r="B54" t="s">
        <v>149</v>
      </c>
      <c r="C54" t="s">
        <v>62</v>
      </c>
      <c r="D54" t="s">
        <v>27</v>
      </c>
      <c r="E54" s="1">
        <v>45708</v>
      </c>
      <c r="F54" s="1">
        <v>45773</v>
      </c>
      <c r="G54" s="1">
        <v>45773</v>
      </c>
      <c r="H54" t="s">
        <v>17</v>
      </c>
      <c r="I54">
        <v>1</v>
      </c>
      <c r="J54">
        <v>0</v>
      </c>
      <c r="K54">
        <v>120000</v>
      </c>
      <c r="L54">
        <v>0</v>
      </c>
      <c r="M54" t="s">
        <v>82</v>
      </c>
      <c r="N54" t="str">
        <f>_xlfn.XLOOKUP(B54,tblCustomers[customer_id],tblCustomers[region],"Missing")</f>
        <v>North</v>
      </c>
      <c r="O54" t="str">
        <f>_xlfn.XLOOKUP(C54,tblProducts[product_id],tblProducts[product_name],"Missing")</f>
        <v>CRM Essentials</v>
      </c>
      <c r="P54" t="str">
        <f>_xlfn.XLOOKUP(C54,tblProducts[product_id],tblProducts[category],"Missing")</f>
        <v>CRM</v>
      </c>
      <c r="Q54" t="str">
        <f>_xlfn.XLOOKUP(D54,tblSalesReps[rep_id],tblSalesReps[rep_name],"Missing")</f>
        <v>Sales Rep 06</v>
      </c>
      <c r="R54" t="str">
        <f>_xlfn.XLOOKUP(D54,tblSalesReps[rep_id],tblSalesReps[region],"Missing")</f>
        <v>North</v>
      </c>
    </row>
    <row r="55" spans="1:18">
      <c r="A55" t="s">
        <v>150</v>
      </c>
      <c r="B55" t="s">
        <v>151</v>
      </c>
      <c r="C55" t="s">
        <v>26</v>
      </c>
      <c r="D55" t="s">
        <v>152</v>
      </c>
      <c r="E55" s="1">
        <v>46016</v>
      </c>
      <c r="F55" s="1">
        <v>46077</v>
      </c>
      <c r="G55" s="1"/>
      <c r="H55" t="s">
        <v>43</v>
      </c>
      <c r="I55">
        <v>1</v>
      </c>
      <c r="J55">
        <v>0</v>
      </c>
      <c r="K55">
        <v>360000</v>
      </c>
      <c r="L55">
        <v>20</v>
      </c>
      <c r="M55" t="s">
        <v>29</v>
      </c>
      <c r="N55" t="str">
        <f>_xlfn.XLOOKUP(B55,tblCustomers[customer_id],tblCustomers[region],"Missing")</f>
        <v>East</v>
      </c>
      <c r="O55" t="str">
        <f>_xlfn.XLOOKUP(C55,tblProducts[product_id],tblProducts[product_name],"Missing")</f>
        <v>Security Suite</v>
      </c>
      <c r="P55" t="str">
        <f>_xlfn.XLOOKUP(C55,tblProducts[product_id],tblProducts[category],"Missing")</f>
        <v>Security</v>
      </c>
      <c r="Q55" t="str">
        <f>_xlfn.XLOOKUP(D55,tblSalesReps[rep_id],tblSalesReps[rep_name],"Missing")</f>
        <v>Sales Rep 18</v>
      </c>
      <c r="R55" t="str">
        <f>_xlfn.XLOOKUP(D55,tblSalesReps[rep_id],tblSalesReps[region],"Missing")</f>
        <v>East</v>
      </c>
    </row>
    <row r="56" spans="1:18">
      <c r="A56" t="s">
        <v>153</v>
      </c>
      <c r="B56" t="s">
        <v>154</v>
      </c>
      <c r="C56" t="s">
        <v>26</v>
      </c>
      <c r="D56" t="s">
        <v>91</v>
      </c>
      <c r="E56" s="1">
        <v>45719</v>
      </c>
      <c r="F56" s="1">
        <v>45780</v>
      </c>
      <c r="G56" s="1"/>
      <c r="H56" t="s">
        <v>43</v>
      </c>
      <c r="I56">
        <v>1</v>
      </c>
      <c r="J56">
        <v>15</v>
      </c>
      <c r="K56">
        <v>306000</v>
      </c>
      <c r="L56">
        <v>20</v>
      </c>
      <c r="M56" t="s">
        <v>29</v>
      </c>
      <c r="N56" t="str">
        <f>_xlfn.XLOOKUP(B56,tblCustomers[customer_id],tblCustomers[region],"Missing")</f>
        <v>South</v>
      </c>
      <c r="O56" t="str">
        <f>_xlfn.XLOOKUP(C56,tblProducts[product_id],tblProducts[product_name],"Missing")</f>
        <v>Security Suite</v>
      </c>
      <c r="P56" t="str">
        <f>_xlfn.XLOOKUP(C56,tblProducts[product_id],tblProducts[category],"Missing")</f>
        <v>Security</v>
      </c>
      <c r="Q56" t="str">
        <f>_xlfn.XLOOKUP(D56,tblSalesReps[rep_id],tblSalesReps[rep_name],"Missing")</f>
        <v>Sales Rep 03</v>
      </c>
      <c r="R56" t="str">
        <f>_xlfn.XLOOKUP(D56,tblSalesReps[rep_id],tblSalesReps[region],"Missing")</f>
        <v>South</v>
      </c>
    </row>
    <row r="57" spans="1:18">
      <c r="A57" t="s">
        <v>155</v>
      </c>
      <c r="B57" t="s">
        <v>156</v>
      </c>
      <c r="C57" t="s">
        <v>81</v>
      </c>
      <c r="D57" t="s">
        <v>75</v>
      </c>
      <c r="E57" s="1">
        <v>45986</v>
      </c>
      <c r="F57" s="1">
        <v>46011</v>
      </c>
      <c r="G57" s="1"/>
      <c r="H57" t="s">
        <v>43</v>
      </c>
      <c r="I57">
        <v>1</v>
      </c>
      <c r="J57">
        <v>20</v>
      </c>
      <c r="K57">
        <v>240000</v>
      </c>
      <c r="L57">
        <v>20</v>
      </c>
      <c r="M57" t="s">
        <v>29</v>
      </c>
      <c r="N57" t="str">
        <f>_xlfn.XLOOKUP(B57,tblCustomers[customer_id],tblCustomers[region],"Missing")</f>
        <v>North</v>
      </c>
      <c r="O57" t="str">
        <f>_xlfn.XLOOKUP(C57,tblProducts[product_id],tblProducts[product_name],"Missing")</f>
        <v>Analytics Cloud</v>
      </c>
      <c r="P57" t="str">
        <f>_xlfn.XLOOKUP(C57,tblProducts[product_id],tblProducts[category],"Missing")</f>
        <v>Analytics</v>
      </c>
      <c r="Q57" t="str">
        <f>_xlfn.XLOOKUP(D57,tblSalesReps[rep_id],tblSalesReps[rep_name],"Missing")</f>
        <v>Sales Rep 07</v>
      </c>
      <c r="R57" t="str">
        <f>_xlfn.XLOOKUP(D57,tblSalesReps[rep_id],tblSalesReps[region],"Missing")</f>
        <v>North</v>
      </c>
    </row>
    <row r="58" spans="1:18">
      <c r="A58" t="s">
        <v>157</v>
      </c>
      <c r="B58" t="s">
        <v>158</v>
      </c>
      <c r="C58" t="s">
        <v>62</v>
      </c>
      <c r="D58" t="s">
        <v>75</v>
      </c>
      <c r="E58" s="1">
        <v>45721</v>
      </c>
      <c r="F58" s="1">
        <v>45777</v>
      </c>
      <c r="G58" s="1">
        <v>45777</v>
      </c>
      <c r="H58" t="s">
        <v>17</v>
      </c>
      <c r="I58">
        <v>1</v>
      </c>
      <c r="J58">
        <v>15</v>
      </c>
      <c r="K58">
        <v>102000</v>
      </c>
      <c r="L58">
        <v>0</v>
      </c>
      <c r="M58" t="s">
        <v>47</v>
      </c>
      <c r="N58" t="str">
        <f>_xlfn.XLOOKUP(B58,tblCustomers[customer_id],tblCustomers[region],"Missing")</f>
        <v>North</v>
      </c>
      <c r="O58" t="str">
        <f>_xlfn.XLOOKUP(C58,tblProducts[product_id],tblProducts[product_name],"Missing")</f>
        <v>CRM Essentials</v>
      </c>
      <c r="P58" t="str">
        <f>_xlfn.XLOOKUP(C58,tblProducts[product_id],tblProducts[category],"Missing")</f>
        <v>CRM</v>
      </c>
      <c r="Q58" t="str">
        <f>_xlfn.XLOOKUP(D58,tblSalesReps[rep_id],tblSalesReps[rep_name],"Missing")</f>
        <v>Sales Rep 07</v>
      </c>
      <c r="R58" t="str">
        <f>_xlfn.XLOOKUP(D58,tblSalesReps[rep_id],tblSalesReps[region],"Missing")</f>
        <v>North</v>
      </c>
    </row>
    <row r="59" spans="1:18">
      <c r="A59" t="s">
        <v>159</v>
      </c>
      <c r="B59" t="s">
        <v>160</v>
      </c>
      <c r="C59" t="s">
        <v>26</v>
      </c>
      <c r="D59" t="s">
        <v>53</v>
      </c>
      <c r="E59" s="1">
        <v>45995</v>
      </c>
      <c r="F59" s="1">
        <v>46028</v>
      </c>
      <c r="G59" s="1"/>
      <c r="H59" t="s">
        <v>43</v>
      </c>
      <c r="I59">
        <v>3</v>
      </c>
      <c r="J59">
        <v>20</v>
      </c>
      <c r="K59">
        <v>864000</v>
      </c>
      <c r="L59">
        <v>40</v>
      </c>
      <c r="M59" t="s">
        <v>29</v>
      </c>
      <c r="N59" t="str">
        <f>_xlfn.XLOOKUP(B59,tblCustomers[customer_id],tblCustomers[region],"Missing")</f>
        <v>East</v>
      </c>
      <c r="O59" t="str">
        <f>_xlfn.XLOOKUP(C59,tblProducts[product_id],tblProducts[product_name],"Missing")</f>
        <v>Security Suite</v>
      </c>
      <c r="P59" t="str">
        <f>_xlfn.XLOOKUP(C59,tblProducts[product_id],tblProducts[category],"Missing")</f>
        <v>Security</v>
      </c>
      <c r="Q59" t="str">
        <f>_xlfn.XLOOKUP(D59,tblSalesReps[rep_id],tblSalesReps[rep_name],"Missing")</f>
        <v>Sales Rep 16</v>
      </c>
      <c r="R59" t="str">
        <f>_xlfn.XLOOKUP(D59,tblSalesReps[rep_id],tblSalesReps[region],"Missing")</f>
        <v>East</v>
      </c>
    </row>
    <row r="60" spans="1:18">
      <c r="A60" t="s">
        <v>161</v>
      </c>
      <c r="B60" t="s">
        <v>162</v>
      </c>
      <c r="C60" t="s">
        <v>81</v>
      </c>
      <c r="D60" t="s">
        <v>63</v>
      </c>
      <c r="E60" s="1">
        <v>45873</v>
      </c>
      <c r="F60" s="1">
        <v>45902</v>
      </c>
      <c r="G60" s="1">
        <v>45902</v>
      </c>
      <c r="H60" t="s">
        <v>17</v>
      </c>
      <c r="I60">
        <v>2</v>
      </c>
      <c r="J60">
        <v>0</v>
      </c>
      <c r="K60">
        <v>600000</v>
      </c>
      <c r="L60">
        <v>0</v>
      </c>
      <c r="M60" t="s">
        <v>33</v>
      </c>
      <c r="N60" t="str">
        <f>_xlfn.XLOOKUP(B60,tblCustomers[customer_id],tblCustomers[region],"Missing")</f>
        <v>South</v>
      </c>
      <c r="O60" t="str">
        <f>_xlfn.XLOOKUP(C60,tblProducts[product_id],tblProducts[product_name],"Missing")</f>
        <v>Analytics Cloud</v>
      </c>
      <c r="P60" t="str">
        <f>_xlfn.XLOOKUP(C60,tblProducts[product_id],tblProducts[category],"Missing")</f>
        <v>Analytics</v>
      </c>
      <c r="Q60" t="str">
        <f>_xlfn.XLOOKUP(D60,tblSalesReps[rep_id],tblSalesReps[rep_name],"Missing")</f>
        <v>Sales Rep 05</v>
      </c>
      <c r="R60" t="str">
        <f>_xlfn.XLOOKUP(D60,tblSalesReps[rep_id],tblSalesReps[region],"Missing")</f>
        <v>South</v>
      </c>
    </row>
    <row r="61" spans="1:18">
      <c r="A61" t="s">
        <v>163</v>
      </c>
      <c r="B61" t="s">
        <v>164</v>
      </c>
      <c r="C61" t="s">
        <v>21</v>
      </c>
      <c r="D61" t="s">
        <v>119</v>
      </c>
      <c r="E61" s="1">
        <v>45870</v>
      </c>
      <c r="F61" s="1">
        <v>45928</v>
      </c>
      <c r="G61" s="1">
        <v>45928</v>
      </c>
      <c r="H61" t="s">
        <v>17</v>
      </c>
      <c r="I61">
        <v>1</v>
      </c>
      <c r="J61">
        <v>20</v>
      </c>
      <c r="K61">
        <v>192000</v>
      </c>
      <c r="L61">
        <v>0</v>
      </c>
      <c r="M61" t="s">
        <v>18</v>
      </c>
      <c r="N61" t="str">
        <f>_xlfn.XLOOKUP(B61,tblCustomers[customer_id],tblCustomers[region],"Missing")</f>
        <v>North</v>
      </c>
      <c r="O61" t="str">
        <f>_xlfn.XLOOKUP(C61,tblProducts[product_id],tblProducts[product_name],"Missing")</f>
        <v>Workflow Automate</v>
      </c>
      <c r="P61" t="str">
        <f>_xlfn.XLOOKUP(C61,tblProducts[product_id],tblProducts[category],"Missing")</f>
        <v>Automation</v>
      </c>
      <c r="Q61" t="str">
        <f>_xlfn.XLOOKUP(D61,tblSalesReps[rep_id],tblSalesReps[rep_name],"Missing")</f>
        <v>Sales Rep 10</v>
      </c>
      <c r="R61" t="str">
        <f>_xlfn.XLOOKUP(D61,tblSalesReps[rep_id],tblSalesReps[region],"Missing")</f>
        <v>North</v>
      </c>
    </row>
    <row r="62" spans="1:18">
      <c r="A62" t="s">
        <v>165</v>
      </c>
      <c r="B62" t="s">
        <v>84</v>
      </c>
      <c r="C62" t="s">
        <v>21</v>
      </c>
      <c r="D62" t="s">
        <v>22</v>
      </c>
      <c r="E62" s="1">
        <v>45958</v>
      </c>
      <c r="F62" s="1">
        <v>45973</v>
      </c>
      <c r="G62" s="1">
        <v>45973</v>
      </c>
      <c r="H62" t="s">
        <v>17</v>
      </c>
      <c r="I62">
        <v>1</v>
      </c>
      <c r="J62">
        <v>15</v>
      </c>
      <c r="K62">
        <v>204000</v>
      </c>
      <c r="L62">
        <v>0</v>
      </c>
      <c r="M62" t="s">
        <v>23</v>
      </c>
      <c r="N62" t="str">
        <f>_xlfn.XLOOKUP(B62,tblCustomers[customer_id],tblCustomers[region],"Missing")</f>
        <v>West</v>
      </c>
      <c r="O62" t="str">
        <f>_xlfn.XLOOKUP(C62,tblProducts[product_id],tblProducts[product_name],"Missing")</f>
        <v>Workflow Automate</v>
      </c>
      <c r="P62" t="str">
        <f>_xlfn.XLOOKUP(C62,tblProducts[product_id],tblProducts[category],"Missing")</f>
        <v>Automation</v>
      </c>
      <c r="Q62" t="str">
        <f>_xlfn.XLOOKUP(D62,tblSalesReps[rep_id],tblSalesReps[rep_name],"Missing")</f>
        <v>Sales Rep 14</v>
      </c>
      <c r="R62" t="str">
        <f>_xlfn.XLOOKUP(D62,tblSalesReps[rep_id],tblSalesReps[region],"Missing")</f>
        <v>West</v>
      </c>
    </row>
    <row r="63" spans="1:18">
      <c r="A63" t="s">
        <v>166</v>
      </c>
      <c r="B63" t="s">
        <v>167</v>
      </c>
      <c r="C63" t="s">
        <v>26</v>
      </c>
      <c r="D63" t="s">
        <v>168</v>
      </c>
      <c r="E63" s="1">
        <v>45719</v>
      </c>
      <c r="F63" s="1">
        <v>45743</v>
      </c>
      <c r="G63" s="1">
        <v>45743</v>
      </c>
      <c r="H63" t="s">
        <v>28</v>
      </c>
      <c r="I63">
        <v>1</v>
      </c>
      <c r="J63">
        <v>5</v>
      </c>
      <c r="K63">
        <v>342000</v>
      </c>
      <c r="L63">
        <v>100</v>
      </c>
      <c r="M63" t="s">
        <v>29</v>
      </c>
      <c r="N63" t="str">
        <f>_xlfn.XLOOKUP(B63,tblCustomers[customer_id],tblCustomers[region],"Missing")</f>
        <v>East</v>
      </c>
      <c r="O63" t="str">
        <f>_xlfn.XLOOKUP(C63,tblProducts[product_id],tblProducts[product_name],"Missing")</f>
        <v>Security Suite</v>
      </c>
      <c r="P63" t="str">
        <f>_xlfn.XLOOKUP(C63,tblProducts[product_id],tblProducts[category],"Missing")</f>
        <v>Security</v>
      </c>
      <c r="Q63" t="str">
        <f>_xlfn.XLOOKUP(D63,tblSalesReps[rep_id],tblSalesReps[rep_name],"Missing")</f>
        <v>Sales Rep 17</v>
      </c>
      <c r="R63" t="str">
        <f>_xlfn.XLOOKUP(D63,tblSalesReps[rep_id],tblSalesReps[region],"Missing")</f>
        <v>East</v>
      </c>
    </row>
    <row r="64" spans="1:18">
      <c r="A64" t="s">
        <v>169</v>
      </c>
      <c r="B64" t="s">
        <v>170</v>
      </c>
      <c r="C64" t="s">
        <v>81</v>
      </c>
      <c r="D64" t="s">
        <v>152</v>
      </c>
      <c r="E64" s="1">
        <v>45926</v>
      </c>
      <c r="F64" s="1">
        <v>46006</v>
      </c>
      <c r="G64" s="1">
        <v>46006</v>
      </c>
      <c r="H64" t="s">
        <v>28</v>
      </c>
      <c r="I64">
        <v>1</v>
      </c>
      <c r="J64">
        <v>15</v>
      </c>
      <c r="K64">
        <v>255000</v>
      </c>
      <c r="L64">
        <v>100</v>
      </c>
      <c r="M64" t="s">
        <v>29</v>
      </c>
      <c r="N64" t="str">
        <f>_xlfn.XLOOKUP(B64,tblCustomers[customer_id],tblCustomers[region],"Missing")</f>
        <v>East</v>
      </c>
      <c r="O64" t="str">
        <f>_xlfn.XLOOKUP(C64,tblProducts[product_id],tblProducts[product_name],"Missing")</f>
        <v>Analytics Cloud</v>
      </c>
      <c r="P64" t="str">
        <f>_xlfn.XLOOKUP(C64,tblProducts[product_id],tblProducts[category],"Missing")</f>
        <v>Analytics</v>
      </c>
      <c r="Q64" t="str">
        <f>_xlfn.XLOOKUP(D64,tblSalesReps[rep_id],tblSalesReps[rep_name],"Missing")</f>
        <v>Sales Rep 18</v>
      </c>
      <c r="R64" t="str">
        <f>_xlfn.XLOOKUP(D64,tblSalesReps[rep_id],tblSalesReps[region],"Missing")</f>
        <v>East</v>
      </c>
    </row>
    <row r="65" spans="1:18">
      <c r="A65" t="s">
        <v>171</v>
      </c>
      <c r="B65" t="s">
        <v>172</v>
      </c>
      <c r="C65" t="s">
        <v>62</v>
      </c>
      <c r="D65" t="s">
        <v>27</v>
      </c>
      <c r="E65" s="1">
        <v>45664</v>
      </c>
      <c r="F65" s="1">
        <v>45731</v>
      </c>
      <c r="G65" s="1">
        <v>45731</v>
      </c>
      <c r="H65" t="s">
        <v>28</v>
      </c>
      <c r="I65">
        <v>1</v>
      </c>
      <c r="J65">
        <v>15</v>
      </c>
      <c r="K65">
        <v>102000</v>
      </c>
      <c r="L65">
        <v>100</v>
      </c>
      <c r="M65" t="s">
        <v>29</v>
      </c>
      <c r="N65" t="str">
        <f>_xlfn.XLOOKUP(B65,tblCustomers[customer_id],tblCustomers[region],"Missing")</f>
        <v>North</v>
      </c>
      <c r="O65" t="str">
        <f>_xlfn.XLOOKUP(C65,tblProducts[product_id],tblProducts[product_name],"Missing")</f>
        <v>CRM Essentials</v>
      </c>
      <c r="P65" t="str">
        <f>_xlfn.XLOOKUP(C65,tblProducts[product_id],tblProducts[category],"Missing")</f>
        <v>CRM</v>
      </c>
      <c r="Q65" t="str">
        <f>_xlfn.XLOOKUP(D65,tblSalesReps[rep_id],tblSalesReps[rep_name],"Missing")</f>
        <v>Sales Rep 06</v>
      </c>
      <c r="R65" t="str">
        <f>_xlfn.XLOOKUP(D65,tblSalesReps[rep_id],tblSalesReps[region],"Missing")</f>
        <v>North</v>
      </c>
    </row>
    <row r="66" spans="1:18">
      <c r="A66" t="s">
        <v>173</v>
      </c>
      <c r="B66" t="s">
        <v>174</v>
      </c>
      <c r="C66" t="s">
        <v>21</v>
      </c>
      <c r="D66" t="s">
        <v>70</v>
      </c>
      <c r="E66" s="1">
        <v>45950</v>
      </c>
      <c r="F66" s="1">
        <v>46021</v>
      </c>
      <c r="G66" s="1">
        <v>46021</v>
      </c>
      <c r="H66" t="s">
        <v>17</v>
      </c>
      <c r="I66">
        <v>1</v>
      </c>
      <c r="J66">
        <v>5</v>
      </c>
      <c r="K66">
        <v>228000</v>
      </c>
      <c r="L66">
        <v>0</v>
      </c>
      <c r="M66" t="s">
        <v>33</v>
      </c>
      <c r="N66" t="str">
        <f>_xlfn.XLOOKUP(B66,tblCustomers[customer_id],tblCustomers[region],"Missing")</f>
        <v>West</v>
      </c>
      <c r="O66" t="str">
        <f>_xlfn.XLOOKUP(C66,tblProducts[product_id],tblProducts[product_name],"Missing")</f>
        <v>Workflow Automate</v>
      </c>
      <c r="P66" t="str">
        <f>_xlfn.XLOOKUP(C66,tblProducts[product_id],tblProducts[category],"Missing")</f>
        <v>Automation</v>
      </c>
      <c r="Q66" t="str">
        <f>_xlfn.XLOOKUP(D66,tblSalesReps[rep_id],tblSalesReps[rep_name],"Missing")</f>
        <v>Sales Rep 11</v>
      </c>
      <c r="R66" t="str">
        <f>_xlfn.XLOOKUP(D66,tblSalesReps[rep_id],tblSalesReps[region],"Missing")</f>
        <v>West</v>
      </c>
    </row>
    <row r="67" spans="1:18">
      <c r="A67" t="s">
        <v>175</v>
      </c>
      <c r="B67" t="s">
        <v>158</v>
      </c>
      <c r="C67" t="s">
        <v>39</v>
      </c>
      <c r="D67" t="s">
        <v>36</v>
      </c>
      <c r="E67" s="1">
        <v>45662</v>
      </c>
      <c r="F67" s="1">
        <v>45706</v>
      </c>
      <c r="G67" s="1">
        <v>45706</v>
      </c>
      <c r="H67" t="s">
        <v>17</v>
      </c>
      <c r="I67">
        <v>3</v>
      </c>
      <c r="J67">
        <v>10</v>
      </c>
      <c r="K67">
        <v>486000</v>
      </c>
      <c r="L67">
        <v>0</v>
      </c>
      <c r="M67" t="s">
        <v>82</v>
      </c>
      <c r="N67" t="str">
        <f>_xlfn.XLOOKUP(B67,tblCustomers[customer_id],tblCustomers[region],"Missing")</f>
        <v>North</v>
      </c>
      <c r="O67" t="str">
        <f>_xlfn.XLOOKUP(C67,tblProducts[product_id],tblProducts[product_name],"Missing")</f>
        <v>Support Desk</v>
      </c>
      <c r="P67" t="str">
        <f>_xlfn.XLOOKUP(C67,tblProducts[product_id],tblProducts[category],"Missing")</f>
        <v>Service</v>
      </c>
      <c r="Q67" t="str">
        <f>_xlfn.XLOOKUP(D67,tblSalesReps[rep_id],tblSalesReps[rep_name],"Missing")</f>
        <v>Sales Rep 09</v>
      </c>
      <c r="R67" t="str">
        <f>_xlfn.XLOOKUP(D67,tblSalesReps[rep_id],tblSalesReps[region],"Missing")</f>
        <v>North</v>
      </c>
    </row>
    <row r="68" spans="1:18">
      <c r="A68" t="s">
        <v>176</v>
      </c>
      <c r="B68" t="s">
        <v>177</v>
      </c>
      <c r="C68" t="s">
        <v>26</v>
      </c>
      <c r="D68" t="s">
        <v>70</v>
      </c>
      <c r="E68" s="1">
        <v>45829</v>
      </c>
      <c r="F68" s="1">
        <v>45884</v>
      </c>
      <c r="G68" s="1">
        <v>45884</v>
      </c>
      <c r="H68" t="s">
        <v>28</v>
      </c>
      <c r="I68">
        <v>1</v>
      </c>
      <c r="J68">
        <v>0</v>
      </c>
      <c r="K68">
        <v>360000</v>
      </c>
      <c r="L68">
        <v>100</v>
      </c>
      <c r="M68" t="s">
        <v>29</v>
      </c>
      <c r="N68" t="str">
        <f>_xlfn.XLOOKUP(B68,tblCustomers[customer_id],tblCustomers[region],"Missing")</f>
        <v>West</v>
      </c>
      <c r="O68" t="str">
        <f>_xlfn.XLOOKUP(C68,tblProducts[product_id],tblProducts[product_name],"Missing")</f>
        <v>Security Suite</v>
      </c>
      <c r="P68" t="str">
        <f>_xlfn.XLOOKUP(C68,tblProducts[product_id],tblProducts[category],"Missing")</f>
        <v>Security</v>
      </c>
      <c r="Q68" t="str">
        <f>_xlfn.XLOOKUP(D68,tblSalesReps[rep_id],tblSalesReps[rep_name],"Missing")</f>
        <v>Sales Rep 11</v>
      </c>
      <c r="R68" t="str">
        <f>_xlfn.XLOOKUP(D68,tblSalesReps[rep_id],tblSalesReps[region],"Missing")</f>
        <v>West</v>
      </c>
    </row>
    <row r="69" spans="1:18">
      <c r="A69" t="s">
        <v>178</v>
      </c>
      <c r="B69" t="s">
        <v>179</v>
      </c>
      <c r="C69" t="s">
        <v>26</v>
      </c>
      <c r="D69" t="s">
        <v>152</v>
      </c>
      <c r="E69" s="1">
        <v>45892</v>
      </c>
      <c r="F69" s="1">
        <v>45909</v>
      </c>
      <c r="G69" s="1"/>
      <c r="H69" t="s">
        <v>43</v>
      </c>
      <c r="I69">
        <v>3</v>
      </c>
      <c r="J69">
        <v>0</v>
      </c>
      <c r="K69">
        <v>1080000</v>
      </c>
      <c r="L69">
        <v>40</v>
      </c>
      <c r="M69" t="s">
        <v>29</v>
      </c>
      <c r="N69" t="str">
        <f>_xlfn.XLOOKUP(B69,tblCustomers[customer_id],tblCustomers[region],"Missing")</f>
        <v>East</v>
      </c>
      <c r="O69" t="str">
        <f>_xlfn.XLOOKUP(C69,tblProducts[product_id],tblProducts[product_name],"Missing")</f>
        <v>Security Suite</v>
      </c>
      <c r="P69" t="str">
        <f>_xlfn.XLOOKUP(C69,tblProducts[product_id],tblProducts[category],"Missing")</f>
        <v>Security</v>
      </c>
      <c r="Q69" t="str">
        <f>_xlfn.XLOOKUP(D69,tblSalesReps[rep_id],tblSalesReps[rep_name],"Missing")</f>
        <v>Sales Rep 18</v>
      </c>
      <c r="R69" t="str">
        <f>_xlfn.XLOOKUP(D69,tblSalesReps[rep_id],tblSalesReps[region],"Missing")</f>
        <v>East</v>
      </c>
    </row>
    <row r="70" spans="1:18">
      <c r="A70" t="s">
        <v>180</v>
      </c>
      <c r="B70" t="s">
        <v>181</v>
      </c>
      <c r="C70" t="s">
        <v>15</v>
      </c>
      <c r="D70" t="s">
        <v>46</v>
      </c>
      <c r="E70" s="1">
        <v>45761</v>
      </c>
      <c r="F70" s="1">
        <v>45842</v>
      </c>
      <c r="G70" s="1">
        <v>45842</v>
      </c>
      <c r="H70" t="s">
        <v>28</v>
      </c>
      <c r="I70">
        <v>1</v>
      </c>
      <c r="J70">
        <v>5</v>
      </c>
      <c r="K70">
        <v>399000</v>
      </c>
      <c r="L70">
        <v>100</v>
      </c>
      <c r="M70" t="s">
        <v>29</v>
      </c>
      <c r="N70" t="str">
        <f>_xlfn.XLOOKUP(B70,tblCustomers[customer_id],tblCustomers[region],"Missing")</f>
        <v>South</v>
      </c>
      <c r="O70" t="str">
        <f>_xlfn.XLOOKUP(C70,tblProducts[product_id],tblProducts[product_name],"Missing")</f>
        <v>CRM Enterprise</v>
      </c>
      <c r="P70" t="str">
        <f>_xlfn.XLOOKUP(C70,tblProducts[product_id],tblProducts[category],"Missing")</f>
        <v>CRM</v>
      </c>
      <c r="Q70" t="str">
        <f>_xlfn.XLOOKUP(D70,tblSalesReps[rep_id],tblSalesReps[rep_name],"Missing")</f>
        <v>Sales Rep 01</v>
      </c>
      <c r="R70" t="str">
        <f>_xlfn.XLOOKUP(D70,tblSalesReps[rep_id],tblSalesReps[region],"Missing")</f>
        <v>South</v>
      </c>
    </row>
    <row r="71" spans="1:18">
      <c r="A71" t="s">
        <v>182</v>
      </c>
      <c r="B71" t="s">
        <v>183</v>
      </c>
      <c r="C71" t="s">
        <v>81</v>
      </c>
      <c r="D71" t="s">
        <v>91</v>
      </c>
      <c r="E71" s="1">
        <v>45719</v>
      </c>
      <c r="F71" s="1">
        <v>45764</v>
      </c>
      <c r="G71" s="1">
        <v>45764</v>
      </c>
      <c r="H71" t="s">
        <v>28</v>
      </c>
      <c r="I71">
        <v>3</v>
      </c>
      <c r="J71">
        <v>0</v>
      </c>
      <c r="K71">
        <v>900000</v>
      </c>
      <c r="L71">
        <v>100</v>
      </c>
      <c r="M71" t="s">
        <v>29</v>
      </c>
      <c r="N71" t="str">
        <f>_xlfn.XLOOKUP(B71,tblCustomers[customer_id],tblCustomers[region],"Missing")</f>
        <v>South</v>
      </c>
      <c r="O71" t="str">
        <f>_xlfn.XLOOKUP(C71,tblProducts[product_id],tblProducts[product_name],"Missing")</f>
        <v>Analytics Cloud</v>
      </c>
      <c r="P71" t="str">
        <f>_xlfn.XLOOKUP(C71,tblProducts[product_id],tblProducts[category],"Missing")</f>
        <v>Analytics</v>
      </c>
      <c r="Q71" t="str">
        <f>_xlfn.XLOOKUP(D71,tblSalesReps[rep_id],tblSalesReps[rep_name],"Missing")</f>
        <v>Sales Rep 03</v>
      </c>
      <c r="R71" t="str">
        <f>_xlfn.XLOOKUP(D71,tblSalesReps[rep_id],tblSalesReps[region],"Missing")</f>
        <v>South</v>
      </c>
    </row>
    <row r="72" spans="1:18">
      <c r="A72" t="s">
        <v>184</v>
      </c>
      <c r="B72" t="s">
        <v>185</v>
      </c>
      <c r="C72" t="s">
        <v>81</v>
      </c>
      <c r="D72" t="s">
        <v>22</v>
      </c>
      <c r="E72" s="1">
        <v>45942</v>
      </c>
      <c r="F72" s="1">
        <v>45980</v>
      </c>
      <c r="G72" s="1">
        <v>45980</v>
      </c>
      <c r="H72" t="s">
        <v>17</v>
      </c>
      <c r="I72">
        <v>1</v>
      </c>
      <c r="J72">
        <v>15</v>
      </c>
      <c r="K72">
        <v>255000</v>
      </c>
      <c r="L72">
        <v>0</v>
      </c>
      <c r="M72" t="s">
        <v>47</v>
      </c>
      <c r="N72" t="str">
        <f>_xlfn.XLOOKUP(B72,tblCustomers[customer_id],tblCustomers[region],"Missing")</f>
        <v>West</v>
      </c>
      <c r="O72" t="str">
        <f>_xlfn.XLOOKUP(C72,tblProducts[product_id],tblProducts[product_name],"Missing")</f>
        <v>Analytics Cloud</v>
      </c>
      <c r="P72" t="str">
        <f>_xlfn.XLOOKUP(C72,tblProducts[product_id],tblProducts[category],"Missing")</f>
        <v>Analytics</v>
      </c>
      <c r="Q72" t="str">
        <f>_xlfn.XLOOKUP(D72,tblSalesReps[rep_id],tblSalesReps[rep_name],"Missing")</f>
        <v>Sales Rep 14</v>
      </c>
      <c r="R72" t="str">
        <f>_xlfn.XLOOKUP(D72,tblSalesReps[rep_id],tblSalesReps[region],"Missing")</f>
        <v>West</v>
      </c>
    </row>
    <row r="73" spans="1:18">
      <c r="A73" t="s">
        <v>186</v>
      </c>
      <c r="B73" t="s">
        <v>187</v>
      </c>
      <c r="C73" t="s">
        <v>26</v>
      </c>
      <c r="D73" t="s">
        <v>70</v>
      </c>
      <c r="E73" s="1">
        <v>45956</v>
      </c>
      <c r="F73" s="1">
        <v>45972</v>
      </c>
      <c r="G73" s="1">
        <v>45972</v>
      </c>
      <c r="H73" t="s">
        <v>17</v>
      </c>
      <c r="I73">
        <v>1</v>
      </c>
      <c r="J73">
        <v>0</v>
      </c>
      <c r="K73">
        <v>360000</v>
      </c>
      <c r="L73">
        <v>0</v>
      </c>
      <c r="M73" t="s">
        <v>82</v>
      </c>
      <c r="N73" t="str">
        <f>_xlfn.XLOOKUP(B73,tblCustomers[customer_id],tblCustomers[region],"Missing")</f>
        <v>West</v>
      </c>
      <c r="O73" t="str">
        <f>_xlfn.XLOOKUP(C73,tblProducts[product_id],tblProducts[product_name],"Missing")</f>
        <v>Security Suite</v>
      </c>
      <c r="P73" t="str">
        <f>_xlfn.XLOOKUP(C73,tblProducts[product_id],tblProducts[category],"Missing")</f>
        <v>Security</v>
      </c>
      <c r="Q73" t="str">
        <f>_xlfn.XLOOKUP(D73,tblSalesReps[rep_id],tblSalesReps[rep_name],"Missing")</f>
        <v>Sales Rep 11</v>
      </c>
      <c r="R73" t="str">
        <f>_xlfn.XLOOKUP(D73,tblSalesReps[rep_id],tblSalesReps[region],"Missing")</f>
        <v>West</v>
      </c>
    </row>
    <row r="74" spans="1:18">
      <c r="A74" t="s">
        <v>188</v>
      </c>
      <c r="B74" t="s">
        <v>189</v>
      </c>
      <c r="C74" t="s">
        <v>26</v>
      </c>
      <c r="D74" t="s">
        <v>22</v>
      </c>
      <c r="E74" s="1">
        <v>45912</v>
      </c>
      <c r="F74" s="1">
        <v>45973</v>
      </c>
      <c r="G74" s="1">
        <v>45973</v>
      </c>
      <c r="H74" t="s">
        <v>28</v>
      </c>
      <c r="I74">
        <v>1</v>
      </c>
      <c r="J74">
        <v>10</v>
      </c>
      <c r="K74">
        <v>324000</v>
      </c>
      <c r="L74">
        <v>100</v>
      </c>
      <c r="M74" t="s">
        <v>29</v>
      </c>
      <c r="N74" t="str">
        <f>_xlfn.XLOOKUP(B74,tblCustomers[customer_id],tblCustomers[region],"Missing")</f>
        <v>West</v>
      </c>
      <c r="O74" t="str">
        <f>_xlfn.XLOOKUP(C74,tblProducts[product_id],tblProducts[product_name],"Missing")</f>
        <v>Security Suite</v>
      </c>
      <c r="P74" t="str">
        <f>_xlfn.XLOOKUP(C74,tblProducts[product_id],tblProducts[category],"Missing")</f>
        <v>Security</v>
      </c>
      <c r="Q74" t="str">
        <f>_xlfn.XLOOKUP(D74,tblSalesReps[rep_id],tblSalesReps[rep_name],"Missing")</f>
        <v>Sales Rep 14</v>
      </c>
      <c r="R74" t="str">
        <f>_xlfn.XLOOKUP(D74,tblSalesReps[rep_id],tblSalesReps[region],"Missing")</f>
        <v>West</v>
      </c>
    </row>
    <row r="75" spans="1:18">
      <c r="A75" t="s">
        <v>190</v>
      </c>
      <c r="B75" t="s">
        <v>191</v>
      </c>
      <c r="C75" t="s">
        <v>26</v>
      </c>
      <c r="D75" t="s">
        <v>16</v>
      </c>
      <c r="E75" s="1">
        <v>45913</v>
      </c>
      <c r="F75" s="1">
        <v>45990</v>
      </c>
      <c r="G75" s="1">
        <v>45990</v>
      </c>
      <c r="H75" t="s">
        <v>17</v>
      </c>
      <c r="I75">
        <v>2</v>
      </c>
      <c r="J75">
        <v>0</v>
      </c>
      <c r="K75">
        <v>720000</v>
      </c>
      <c r="L75">
        <v>0</v>
      </c>
      <c r="M75" t="s">
        <v>18</v>
      </c>
      <c r="N75" t="str">
        <f>_xlfn.XLOOKUP(B75,tblCustomers[customer_id],tblCustomers[region],"Missing")</f>
        <v>North</v>
      </c>
      <c r="O75" t="str">
        <f>_xlfn.XLOOKUP(C75,tblProducts[product_id],tblProducts[product_name],"Missing")</f>
        <v>Security Suite</v>
      </c>
      <c r="P75" t="str">
        <f>_xlfn.XLOOKUP(C75,tblProducts[product_id],tblProducts[category],"Missing")</f>
        <v>Security</v>
      </c>
      <c r="Q75" t="str">
        <f>_xlfn.XLOOKUP(D75,tblSalesReps[rep_id],tblSalesReps[rep_name],"Missing")</f>
        <v>Sales Rep 08</v>
      </c>
      <c r="R75" t="str">
        <f>_xlfn.XLOOKUP(D75,tblSalesReps[rep_id],tblSalesReps[region],"Missing")</f>
        <v>North</v>
      </c>
    </row>
    <row r="76" spans="1:18">
      <c r="A76" t="s">
        <v>192</v>
      </c>
      <c r="B76" t="s">
        <v>193</v>
      </c>
      <c r="C76" t="s">
        <v>21</v>
      </c>
      <c r="D76" t="s">
        <v>59</v>
      </c>
      <c r="E76" s="1">
        <v>45796</v>
      </c>
      <c r="F76" s="1">
        <v>45843</v>
      </c>
      <c r="G76" s="1">
        <v>45843</v>
      </c>
      <c r="H76" t="s">
        <v>28</v>
      </c>
      <c r="I76">
        <v>3</v>
      </c>
      <c r="J76">
        <v>5</v>
      </c>
      <c r="K76">
        <v>684000</v>
      </c>
      <c r="L76">
        <v>100</v>
      </c>
      <c r="M76" t="s">
        <v>29</v>
      </c>
      <c r="N76" t="str">
        <f>_xlfn.XLOOKUP(B76,tblCustomers[customer_id],tblCustomers[region],"Missing")</f>
        <v>East</v>
      </c>
      <c r="O76" t="str">
        <f>_xlfn.XLOOKUP(C76,tblProducts[product_id],tblProducts[product_name],"Missing")</f>
        <v>Workflow Automate</v>
      </c>
      <c r="P76" t="str">
        <f>_xlfn.XLOOKUP(C76,tblProducts[product_id],tblProducts[category],"Missing")</f>
        <v>Automation</v>
      </c>
      <c r="Q76" t="str">
        <f>_xlfn.XLOOKUP(D76,tblSalesReps[rep_id],tblSalesReps[rep_name],"Missing")</f>
        <v>Sales Rep 19</v>
      </c>
      <c r="R76" t="str">
        <f>_xlfn.XLOOKUP(D76,tblSalesReps[rep_id],tblSalesReps[region],"Missing")</f>
        <v>East</v>
      </c>
    </row>
    <row r="77" spans="1:18">
      <c r="A77" t="s">
        <v>194</v>
      </c>
      <c r="B77" t="s">
        <v>45</v>
      </c>
      <c r="C77" t="s">
        <v>26</v>
      </c>
      <c r="D77" t="s">
        <v>46</v>
      </c>
      <c r="E77" s="1">
        <v>45770</v>
      </c>
      <c r="F77" s="1">
        <v>45826</v>
      </c>
      <c r="G77" s="1">
        <v>45826</v>
      </c>
      <c r="H77" t="s">
        <v>17</v>
      </c>
      <c r="I77">
        <v>1</v>
      </c>
      <c r="J77">
        <v>5</v>
      </c>
      <c r="K77">
        <v>342000</v>
      </c>
      <c r="L77">
        <v>0</v>
      </c>
      <c r="M77" t="s">
        <v>47</v>
      </c>
      <c r="N77" t="str">
        <f>_xlfn.XLOOKUP(B77,tblCustomers[customer_id],tblCustomers[region],"Missing")</f>
        <v>South</v>
      </c>
      <c r="O77" t="str">
        <f>_xlfn.XLOOKUP(C77,tblProducts[product_id],tblProducts[product_name],"Missing")</f>
        <v>Security Suite</v>
      </c>
      <c r="P77" t="str">
        <f>_xlfn.XLOOKUP(C77,tblProducts[product_id],tblProducts[category],"Missing")</f>
        <v>Security</v>
      </c>
      <c r="Q77" t="str">
        <f>_xlfn.XLOOKUP(D77,tblSalesReps[rep_id],tblSalesReps[rep_name],"Missing")</f>
        <v>Sales Rep 01</v>
      </c>
      <c r="R77" t="str">
        <f>_xlfn.XLOOKUP(D77,tblSalesReps[rep_id],tblSalesReps[region],"Missing")</f>
        <v>South</v>
      </c>
    </row>
    <row r="78" spans="1:18">
      <c r="A78" t="s">
        <v>195</v>
      </c>
      <c r="B78" t="s">
        <v>196</v>
      </c>
      <c r="C78" t="s">
        <v>15</v>
      </c>
      <c r="D78" t="s">
        <v>32</v>
      </c>
      <c r="E78" s="1">
        <v>45677</v>
      </c>
      <c r="F78" s="1">
        <v>45713</v>
      </c>
      <c r="G78" s="1">
        <v>45713</v>
      </c>
      <c r="H78" t="s">
        <v>28</v>
      </c>
      <c r="I78">
        <v>3</v>
      </c>
      <c r="J78">
        <v>5</v>
      </c>
      <c r="K78">
        <v>1197000</v>
      </c>
      <c r="L78">
        <v>100</v>
      </c>
      <c r="M78" t="s">
        <v>29</v>
      </c>
      <c r="N78" t="str">
        <f>_xlfn.XLOOKUP(B78,tblCustomers[customer_id],tblCustomers[region],"Missing")</f>
        <v>South</v>
      </c>
      <c r="O78" t="str">
        <f>_xlfn.XLOOKUP(C78,tblProducts[product_id],tblProducts[product_name],"Missing")</f>
        <v>CRM Enterprise</v>
      </c>
      <c r="P78" t="str">
        <f>_xlfn.XLOOKUP(C78,tblProducts[product_id],tblProducts[category],"Missing")</f>
        <v>CRM</v>
      </c>
      <c r="Q78" t="str">
        <f>_xlfn.XLOOKUP(D78,tblSalesReps[rep_id],tblSalesReps[rep_name],"Missing")</f>
        <v>Sales Rep 04</v>
      </c>
      <c r="R78" t="str">
        <f>_xlfn.XLOOKUP(D78,tblSalesReps[rep_id],tblSalesReps[region],"Missing")</f>
        <v>South</v>
      </c>
    </row>
    <row r="79" spans="1:18">
      <c r="A79" t="s">
        <v>197</v>
      </c>
      <c r="B79" t="s">
        <v>198</v>
      </c>
      <c r="C79" t="s">
        <v>21</v>
      </c>
      <c r="D79" t="s">
        <v>70</v>
      </c>
      <c r="E79" s="1">
        <v>45849</v>
      </c>
      <c r="F79" s="1">
        <v>45906</v>
      </c>
      <c r="G79" s="1">
        <v>45906</v>
      </c>
      <c r="H79" t="s">
        <v>17</v>
      </c>
      <c r="I79">
        <v>3</v>
      </c>
      <c r="J79">
        <v>0</v>
      </c>
      <c r="K79">
        <v>720000</v>
      </c>
      <c r="L79">
        <v>0</v>
      </c>
      <c r="M79" t="s">
        <v>18</v>
      </c>
      <c r="N79" t="str">
        <f>_xlfn.XLOOKUP(B79,tblCustomers[customer_id],tblCustomers[region],"Missing")</f>
        <v>West</v>
      </c>
      <c r="O79" t="str">
        <f>_xlfn.XLOOKUP(C79,tblProducts[product_id],tblProducts[product_name],"Missing")</f>
        <v>Workflow Automate</v>
      </c>
      <c r="P79" t="str">
        <f>_xlfn.XLOOKUP(C79,tblProducts[product_id],tblProducts[category],"Missing")</f>
        <v>Automation</v>
      </c>
      <c r="Q79" t="str">
        <f>_xlfn.XLOOKUP(D79,tblSalesReps[rep_id],tblSalesReps[rep_name],"Missing")</f>
        <v>Sales Rep 11</v>
      </c>
      <c r="R79" t="str">
        <f>_xlfn.XLOOKUP(D79,tblSalesReps[rep_id],tblSalesReps[region],"Missing")</f>
        <v>West</v>
      </c>
    </row>
    <row r="80" spans="1:18">
      <c r="A80" t="s">
        <v>199</v>
      </c>
      <c r="B80" t="s">
        <v>69</v>
      </c>
      <c r="C80" t="s">
        <v>26</v>
      </c>
      <c r="D80" t="s">
        <v>50</v>
      </c>
      <c r="E80" s="1">
        <v>45747</v>
      </c>
      <c r="F80" s="1">
        <v>45791</v>
      </c>
      <c r="G80" s="1">
        <v>45791</v>
      </c>
      <c r="H80" t="s">
        <v>17</v>
      </c>
      <c r="I80">
        <v>1</v>
      </c>
      <c r="J80">
        <v>5</v>
      </c>
      <c r="K80">
        <v>342000</v>
      </c>
      <c r="L80">
        <v>0</v>
      </c>
      <c r="M80" t="s">
        <v>33</v>
      </c>
      <c r="N80" t="str">
        <f>_xlfn.XLOOKUP(B80,tblCustomers[customer_id],tblCustomers[region],"Missing")</f>
        <v>West</v>
      </c>
      <c r="O80" t="str">
        <f>_xlfn.XLOOKUP(C80,tblProducts[product_id],tblProducts[product_name],"Missing")</f>
        <v>Security Suite</v>
      </c>
      <c r="P80" t="str">
        <f>_xlfn.XLOOKUP(C80,tblProducts[product_id],tblProducts[category],"Missing")</f>
        <v>Security</v>
      </c>
      <c r="Q80" t="str">
        <f>_xlfn.XLOOKUP(D80,tblSalesReps[rep_id],tblSalesReps[rep_name],"Missing")</f>
        <v>Sales Rep 15</v>
      </c>
      <c r="R80" t="str">
        <f>_xlfn.XLOOKUP(D80,tblSalesReps[rep_id],tblSalesReps[region],"Missing")</f>
        <v>West</v>
      </c>
    </row>
    <row r="81" spans="1:18">
      <c r="A81" t="s">
        <v>200</v>
      </c>
      <c r="B81" t="s">
        <v>174</v>
      </c>
      <c r="C81" t="s">
        <v>15</v>
      </c>
      <c r="D81" t="s">
        <v>70</v>
      </c>
      <c r="E81" s="1">
        <v>46020</v>
      </c>
      <c r="F81" s="1">
        <v>46069</v>
      </c>
      <c r="G81" s="1"/>
      <c r="H81" t="s">
        <v>43</v>
      </c>
      <c r="I81">
        <v>2</v>
      </c>
      <c r="J81">
        <v>0</v>
      </c>
      <c r="K81">
        <v>840000</v>
      </c>
      <c r="L81">
        <v>60</v>
      </c>
      <c r="M81" t="s">
        <v>29</v>
      </c>
      <c r="N81" t="str">
        <f>_xlfn.XLOOKUP(B81,tblCustomers[customer_id],tblCustomers[region],"Missing")</f>
        <v>West</v>
      </c>
      <c r="O81" t="str">
        <f>_xlfn.XLOOKUP(C81,tblProducts[product_id],tblProducts[product_name],"Missing")</f>
        <v>CRM Enterprise</v>
      </c>
      <c r="P81" t="str">
        <f>_xlfn.XLOOKUP(C81,tblProducts[product_id],tblProducts[category],"Missing")</f>
        <v>CRM</v>
      </c>
      <c r="Q81" t="str">
        <f>_xlfn.XLOOKUP(D81,tblSalesReps[rep_id],tblSalesReps[rep_name],"Missing")</f>
        <v>Sales Rep 11</v>
      </c>
      <c r="R81" t="str">
        <f>_xlfn.XLOOKUP(D81,tblSalesReps[rep_id],tblSalesReps[region],"Missing")</f>
        <v>West</v>
      </c>
    </row>
    <row r="82" spans="1:18">
      <c r="A82" t="s">
        <v>201</v>
      </c>
      <c r="B82" t="s">
        <v>202</v>
      </c>
      <c r="C82" t="s">
        <v>26</v>
      </c>
      <c r="D82" t="s">
        <v>59</v>
      </c>
      <c r="E82" s="1">
        <v>45743</v>
      </c>
      <c r="F82" s="1">
        <v>45813</v>
      </c>
      <c r="G82" s="1"/>
      <c r="H82" t="s">
        <v>43</v>
      </c>
      <c r="I82">
        <v>2</v>
      </c>
      <c r="J82">
        <v>10</v>
      </c>
      <c r="K82">
        <v>648000</v>
      </c>
      <c r="L82">
        <v>80</v>
      </c>
      <c r="M82" t="s">
        <v>29</v>
      </c>
      <c r="N82" t="str">
        <f>_xlfn.XLOOKUP(B82,tblCustomers[customer_id],tblCustomers[region],"Missing")</f>
        <v>East</v>
      </c>
      <c r="O82" t="str">
        <f>_xlfn.XLOOKUP(C82,tblProducts[product_id],tblProducts[product_name],"Missing")</f>
        <v>Security Suite</v>
      </c>
      <c r="P82" t="str">
        <f>_xlfn.XLOOKUP(C82,tblProducts[product_id],tblProducts[category],"Missing")</f>
        <v>Security</v>
      </c>
      <c r="Q82" t="str">
        <f>_xlfn.XLOOKUP(D82,tblSalesReps[rep_id],tblSalesReps[rep_name],"Missing")</f>
        <v>Sales Rep 19</v>
      </c>
      <c r="R82" t="str">
        <f>_xlfn.XLOOKUP(D82,tblSalesReps[rep_id],tblSalesReps[region],"Missing")</f>
        <v>East</v>
      </c>
    </row>
    <row r="83" spans="1:18">
      <c r="A83" t="s">
        <v>203</v>
      </c>
      <c r="B83" t="s">
        <v>204</v>
      </c>
      <c r="C83" t="s">
        <v>62</v>
      </c>
      <c r="D83" t="s">
        <v>91</v>
      </c>
      <c r="E83" s="1">
        <v>45668</v>
      </c>
      <c r="F83" s="1">
        <v>45688</v>
      </c>
      <c r="G83" s="1">
        <v>45688</v>
      </c>
      <c r="H83" t="s">
        <v>28</v>
      </c>
      <c r="I83">
        <v>1</v>
      </c>
      <c r="J83">
        <v>10</v>
      </c>
      <c r="K83">
        <v>108000</v>
      </c>
      <c r="L83">
        <v>100</v>
      </c>
      <c r="M83" t="s">
        <v>29</v>
      </c>
      <c r="N83" t="str">
        <f>_xlfn.XLOOKUP(B83,tblCustomers[customer_id],tblCustomers[region],"Missing")</f>
        <v>South</v>
      </c>
      <c r="O83" t="str">
        <f>_xlfn.XLOOKUP(C83,tblProducts[product_id],tblProducts[product_name],"Missing")</f>
        <v>CRM Essentials</v>
      </c>
      <c r="P83" t="str">
        <f>_xlfn.XLOOKUP(C83,tblProducts[product_id],tblProducts[category],"Missing")</f>
        <v>CRM</v>
      </c>
      <c r="Q83" t="str">
        <f>_xlfn.XLOOKUP(D83,tblSalesReps[rep_id],tblSalesReps[rep_name],"Missing")</f>
        <v>Sales Rep 03</v>
      </c>
      <c r="R83" t="str">
        <f>_xlfn.XLOOKUP(D83,tblSalesReps[rep_id],tblSalesReps[region],"Missing")</f>
        <v>South</v>
      </c>
    </row>
    <row r="84" spans="1:18">
      <c r="A84" t="s">
        <v>205</v>
      </c>
      <c r="B84" t="s">
        <v>206</v>
      </c>
      <c r="C84" t="s">
        <v>62</v>
      </c>
      <c r="D84" t="s">
        <v>27</v>
      </c>
      <c r="E84" s="1">
        <v>45827</v>
      </c>
      <c r="F84" s="1">
        <v>45858</v>
      </c>
      <c r="G84" s="1">
        <v>45858</v>
      </c>
      <c r="H84" t="s">
        <v>28</v>
      </c>
      <c r="I84">
        <v>2</v>
      </c>
      <c r="J84">
        <v>20</v>
      </c>
      <c r="K84">
        <v>192000</v>
      </c>
      <c r="L84">
        <v>100</v>
      </c>
      <c r="M84" t="s">
        <v>29</v>
      </c>
      <c r="N84" t="str">
        <f>_xlfn.XLOOKUP(B84,tblCustomers[customer_id],tblCustomers[region],"Missing")</f>
        <v>North</v>
      </c>
      <c r="O84" t="str">
        <f>_xlfn.XLOOKUP(C84,tblProducts[product_id],tblProducts[product_name],"Missing")</f>
        <v>CRM Essentials</v>
      </c>
      <c r="P84" t="str">
        <f>_xlfn.XLOOKUP(C84,tblProducts[product_id],tblProducts[category],"Missing")</f>
        <v>CRM</v>
      </c>
      <c r="Q84" t="str">
        <f>_xlfn.XLOOKUP(D84,tblSalesReps[rep_id],tblSalesReps[rep_name],"Missing")</f>
        <v>Sales Rep 06</v>
      </c>
      <c r="R84" t="str">
        <f>_xlfn.XLOOKUP(D84,tblSalesReps[rep_id],tblSalesReps[region],"Missing")</f>
        <v>North</v>
      </c>
    </row>
    <row r="85" spans="1:18">
      <c r="A85" t="s">
        <v>207</v>
      </c>
      <c r="B85" t="s">
        <v>158</v>
      </c>
      <c r="C85" t="s">
        <v>21</v>
      </c>
      <c r="D85" t="s">
        <v>119</v>
      </c>
      <c r="E85" s="1">
        <v>45903</v>
      </c>
      <c r="F85" s="1">
        <v>45913</v>
      </c>
      <c r="G85" s="1">
        <v>45913</v>
      </c>
      <c r="H85" t="s">
        <v>28</v>
      </c>
      <c r="I85">
        <v>1</v>
      </c>
      <c r="J85">
        <v>5</v>
      </c>
      <c r="K85">
        <v>228000</v>
      </c>
      <c r="L85">
        <v>100</v>
      </c>
      <c r="M85" t="s">
        <v>29</v>
      </c>
      <c r="N85" t="str">
        <f>_xlfn.XLOOKUP(B85,tblCustomers[customer_id],tblCustomers[region],"Missing")</f>
        <v>North</v>
      </c>
      <c r="O85" t="str">
        <f>_xlfn.XLOOKUP(C85,tblProducts[product_id],tblProducts[product_name],"Missing")</f>
        <v>Workflow Automate</v>
      </c>
      <c r="P85" t="str">
        <f>_xlfn.XLOOKUP(C85,tblProducts[product_id],tblProducts[category],"Missing")</f>
        <v>Automation</v>
      </c>
      <c r="Q85" t="str">
        <f>_xlfn.XLOOKUP(D85,tblSalesReps[rep_id],tblSalesReps[rep_name],"Missing")</f>
        <v>Sales Rep 10</v>
      </c>
      <c r="R85" t="str">
        <f>_xlfn.XLOOKUP(D85,tblSalesReps[rep_id],tblSalesReps[region],"Missing")</f>
        <v>North</v>
      </c>
    </row>
    <row r="86" spans="1:18">
      <c r="A86" t="s">
        <v>208</v>
      </c>
      <c r="B86" t="s">
        <v>209</v>
      </c>
      <c r="C86" t="s">
        <v>26</v>
      </c>
      <c r="D86" t="s">
        <v>40</v>
      </c>
      <c r="E86" s="1">
        <v>45704</v>
      </c>
      <c r="F86" s="1">
        <v>45760</v>
      </c>
      <c r="G86" s="1">
        <v>45760</v>
      </c>
      <c r="H86" t="s">
        <v>17</v>
      </c>
      <c r="I86">
        <v>1</v>
      </c>
      <c r="J86">
        <v>10</v>
      </c>
      <c r="K86">
        <v>324000</v>
      </c>
      <c r="L86">
        <v>0</v>
      </c>
      <c r="M86" t="s">
        <v>18</v>
      </c>
      <c r="N86" t="str">
        <f>_xlfn.XLOOKUP(B86,tblCustomers[customer_id],tblCustomers[region],"Missing")</f>
        <v>West</v>
      </c>
      <c r="O86" t="str">
        <f>_xlfn.XLOOKUP(C86,tblProducts[product_id],tblProducts[product_name],"Missing")</f>
        <v>Security Suite</v>
      </c>
      <c r="P86" t="str">
        <f>_xlfn.XLOOKUP(C86,tblProducts[product_id],tblProducts[category],"Missing")</f>
        <v>Security</v>
      </c>
      <c r="Q86" t="str">
        <f>_xlfn.XLOOKUP(D86,tblSalesReps[rep_id],tblSalesReps[rep_name],"Missing")</f>
        <v>Sales Rep 13</v>
      </c>
      <c r="R86" t="str">
        <f>_xlfn.XLOOKUP(D86,tblSalesReps[rep_id],tblSalesReps[region],"Missing")</f>
        <v>West</v>
      </c>
    </row>
    <row r="87" spans="1:18">
      <c r="A87" t="s">
        <v>210</v>
      </c>
      <c r="B87" t="s">
        <v>211</v>
      </c>
      <c r="C87" t="s">
        <v>15</v>
      </c>
      <c r="D87" t="s">
        <v>46</v>
      </c>
      <c r="E87" s="1">
        <v>45701</v>
      </c>
      <c r="F87" s="1">
        <v>45777</v>
      </c>
      <c r="G87" s="1">
        <v>45777</v>
      </c>
      <c r="H87" t="s">
        <v>17</v>
      </c>
      <c r="I87">
        <v>2</v>
      </c>
      <c r="J87">
        <v>20</v>
      </c>
      <c r="K87">
        <v>672000</v>
      </c>
      <c r="L87">
        <v>0</v>
      </c>
      <c r="M87" t="s">
        <v>33</v>
      </c>
      <c r="N87" t="str">
        <f>_xlfn.XLOOKUP(B87,tblCustomers[customer_id],tblCustomers[region],"Missing")</f>
        <v>South</v>
      </c>
      <c r="O87" t="str">
        <f>_xlfn.XLOOKUP(C87,tblProducts[product_id],tblProducts[product_name],"Missing")</f>
        <v>CRM Enterprise</v>
      </c>
      <c r="P87" t="str">
        <f>_xlfn.XLOOKUP(C87,tblProducts[product_id],tblProducts[category],"Missing")</f>
        <v>CRM</v>
      </c>
      <c r="Q87" t="str">
        <f>_xlfn.XLOOKUP(D87,tblSalesReps[rep_id],tblSalesReps[rep_name],"Missing")</f>
        <v>Sales Rep 01</v>
      </c>
      <c r="R87" t="str">
        <f>_xlfn.XLOOKUP(D87,tblSalesReps[rep_id],tblSalesReps[region],"Missing")</f>
        <v>South</v>
      </c>
    </row>
    <row r="88" spans="1:18">
      <c r="A88" t="s">
        <v>212</v>
      </c>
      <c r="B88" t="s">
        <v>213</v>
      </c>
      <c r="C88" t="s">
        <v>15</v>
      </c>
      <c r="D88" t="s">
        <v>22</v>
      </c>
      <c r="E88" s="1">
        <v>45811</v>
      </c>
      <c r="F88" s="1">
        <v>45822</v>
      </c>
      <c r="G88" s="1">
        <v>45822</v>
      </c>
      <c r="H88" t="s">
        <v>28</v>
      </c>
      <c r="I88">
        <v>3</v>
      </c>
      <c r="J88">
        <v>20</v>
      </c>
      <c r="K88">
        <v>1008000</v>
      </c>
      <c r="L88">
        <v>100</v>
      </c>
      <c r="M88" t="s">
        <v>29</v>
      </c>
      <c r="N88" t="str">
        <f>_xlfn.XLOOKUP(B88,tblCustomers[customer_id],tblCustomers[region],"Missing")</f>
        <v>West</v>
      </c>
      <c r="O88" t="str">
        <f>_xlfn.XLOOKUP(C88,tblProducts[product_id],tblProducts[product_name],"Missing")</f>
        <v>CRM Enterprise</v>
      </c>
      <c r="P88" t="str">
        <f>_xlfn.XLOOKUP(C88,tblProducts[product_id],tblProducts[category],"Missing")</f>
        <v>CRM</v>
      </c>
      <c r="Q88" t="str">
        <f>_xlfn.XLOOKUP(D88,tblSalesReps[rep_id],tblSalesReps[rep_name],"Missing")</f>
        <v>Sales Rep 14</v>
      </c>
      <c r="R88" t="str">
        <f>_xlfn.XLOOKUP(D88,tblSalesReps[rep_id],tblSalesReps[region],"Missing")</f>
        <v>West</v>
      </c>
    </row>
    <row r="89" spans="1:18">
      <c r="A89" t="s">
        <v>214</v>
      </c>
      <c r="B89" t="s">
        <v>215</v>
      </c>
      <c r="C89" t="s">
        <v>81</v>
      </c>
      <c r="D89" t="s">
        <v>27</v>
      </c>
      <c r="E89" s="1">
        <v>46007</v>
      </c>
      <c r="F89" s="1">
        <v>46032</v>
      </c>
      <c r="G89" s="1"/>
      <c r="H89" t="s">
        <v>43</v>
      </c>
      <c r="I89">
        <v>3</v>
      </c>
      <c r="J89">
        <v>10</v>
      </c>
      <c r="K89">
        <v>810000</v>
      </c>
      <c r="L89">
        <v>60</v>
      </c>
      <c r="M89" t="s">
        <v>29</v>
      </c>
      <c r="N89" t="str">
        <f>_xlfn.XLOOKUP(B89,tblCustomers[customer_id],tblCustomers[region],"Missing")</f>
        <v>North</v>
      </c>
      <c r="O89" t="str">
        <f>_xlfn.XLOOKUP(C89,tblProducts[product_id],tblProducts[product_name],"Missing")</f>
        <v>Analytics Cloud</v>
      </c>
      <c r="P89" t="str">
        <f>_xlfn.XLOOKUP(C89,tblProducts[product_id],tblProducts[category],"Missing")</f>
        <v>Analytics</v>
      </c>
      <c r="Q89" t="str">
        <f>_xlfn.XLOOKUP(D89,tblSalesReps[rep_id],tblSalesReps[rep_name],"Missing")</f>
        <v>Sales Rep 06</v>
      </c>
      <c r="R89" t="str">
        <f>_xlfn.XLOOKUP(D89,tblSalesReps[rep_id],tblSalesReps[region],"Missing")</f>
        <v>North</v>
      </c>
    </row>
    <row r="90" spans="1:18">
      <c r="A90" t="s">
        <v>216</v>
      </c>
      <c r="B90" t="s">
        <v>217</v>
      </c>
      <c r="C90" t="s">
        <v>21</v>
      </c>
      <c r="D90" t="s">
        <v>56</v>
      </c>
      <c r="E90" s="1">
        <v>45892</v>
      </c>
      <c r="F90" s="1">
        <v>45900</v>
      </c>
      <c r="G90" s="1"/>
      <c r="H90" t="s">
        <v>43</v>
      </c>
      <c r="I90">
        <v>3</v>
      </c>
      <c r="J90">
        <v>20</v>
      </c>
      <c r="K90">
        <v>576000</v>
      </c>
      <c r="L90">
        <v>80</v>
      </c>
      <c r="M90" t="s">
        <v>29</v>
      </c>
      <c r="N90" t="str">
        <f>_xlfn.XLOOKUP(B90,tblCustomers[customer_id],tblCustomers[region],"Missing")</f>
        <v>East</v>
      </c>
      <c r="O90" t="str">
        <f>_xlfn.XLOOKUP(C90,tblProducts[product_id],tblProducts[product_name],"Missing")</f>
        <v>Workflow Automate</v>
      </c>
      <c r="P90" t="str">
        <f>_xlfn.XLOOKUP(C90,tblProducts[product_id],tblProducts[category],"Missing")</f>
        <v>Automation</v>
      </c>
      <c r="Q90" t="str">
        <f>_xlfn.XLOOKUP(D90,tblSalesReps[rep_id],tblSalesReps[rep_name],"Missing")</f>
        <v>Sales Rep 20</v>
      </c>
      <c r="R90" t="str">
        <f>_xlfn.XLOOKUP(D90,tblSalesReps[rep_id],tblSalesReps[region],"Missing")</f>
        <v>East</v>
      </c>
    </row>
    <row r="91" spans="1:18">
      <c r="A91" t="s">
        <v>218</v>
      </c>
      <c r="B91" t="s">
        <v>219</v>
      </c>
      <c r="C91" t="s">
        <v>62</v>
      </c>
      <c r="D91" t="s">
        <v>152</v>
      </c>
      <c r="E91" s="1">
        <v>45932</v>
      </c>
      <c r="F91" s="1">
        <v>45991</v>
      </c>
      <c r="G91" s="1"/>
      <c r="H91" t="s">
        <v>43</v>
      </c>
      <c r="I91">
        <v>1</v>
      </c>
      <c r="J91">
        <v>15</v>
      </c>
      <c r="K91">
        <v>102000</v>
      </c>
      <c r="L91">
        <v>80</v>
      </c>
      <c r="M91" t="s">
        <v>29</v>
      </c>
      <c r="N91" t="str">
        <f>_xlfn.XLOOKUP(B91,tblCustomers[customer_id],tblCustomers[region],"Missing")</f>
        <v>East</v>
      </c>
      <c r="O91" t="str">
        <f>_xlfn.XLOOKUP(C91,tblProducts[product_id],tblProducts[product_name],"Missing")</f>
        <v>CRM Essentials</v>
      </c>
      <c r="P91" t="str">
        <f>_xlfn.XLOOKUP(C91,tblProducts[product_id],tblProducts[category],"Missing")</f>
        <v>CRM</v>
      </c>
      <c r="Q91" t="str">
        <f>_xlfn.XLOOKUP(D91,tblSalesReps[rep_id],tblSalesReps[rep_name],"Missing")</f>
        <v>Sales Rep 18</v>
      </c>
      <c r="R91" t="str">
        <f>_xlfn.XLOOKUP(D91,tblSalesReps[rep_id],tblSalesReps[region],"Missing")</f>
        <v>East</v>
      </c>
    </row>
    <row r="92" spans="1:18">
      <c r="A92" t="s">
        <v>220</v>
      </c>
      <c r="B92" t="s">
        <v>221</v>
      </c>
      <c r="C92" t="s">
        <v>21</v>
      </c>
      <c r="D92" t="s">
        <v>16</v>
      </c>
      <c r="E92" s="1">
        <v>45668</v>
      </c>
      <c r="F92" s="1">
        <v>45713</v>
      </c>
      <c r="G92" s="1">
        <v>45713</v>
      </c>
      <c r="H92" t="s">
        <v>28</v>
      </c>
      <c r="I92">
        <v>1</v>
      </c>
      <c r="J92">
        <v>10</v>
      </c>
      <c r="K92">
        <v>216000</v>
      </c>
      <c r="L92">
        <v>100</v>
      </c>
      <c r="M92" t="s">
        <v>29</v>
      </c>
      <c r="N92" t="str">
        <f>_xlfn.XLOOKUP(B92,tblCustomers[customer_id],tblCustomers[region],"Missing")</f>
        <v>North</v>
      </c>
      <c r="O92" t="str">
        <f>_xlfn.XLOOKUP(C92,tblProducts[product_id],tblProducts[product_name],"Missing")</f>
        <v>Workflow Automate</v>
      </c>
      <c r="P92" t="str">
        <f>_xlfn.XLOOKUP(C92,tblProducts[product_id],tblProducts[category],"Missing")</f>
        <v>Automation</v>
      </c>
      <c r="Q92" t="str">
        <f>_xlfn.XLOOKUP(D92,tblSalesReps[rep_id],tblSalesReps[rep_name],"Missing")</f>
        <v>Sales Rep 08</v>
      </c>
      <c r="R92" t="str">
        <f>_xlfn.XLOOKUP(D92,tblSalesReps[rep_id],tblSalesReps[region],"Missing")</f>
        <v>North</v>
      </c>
    </row>
    <row r="93" spans="1:18">
      <c r="A93" t="s">
        <v>222</v>
      </c>
      <c r="B93" t="s">
        <v>223</v>
      </c>
      <c r="C93" t="s">
        <v>81</v>
      </c>
      <c r="D93" t="s">
        <v>63</v>
      </c>
      <c r="E93" s="1">
        <v>45988</v>
      </c>
      <c r="F93" s="1">
        <v>46051</v>
      </c>
      <c r="G93" s="1"/>
      <c r="H93" t="s">
        <v>43</v>
      </c>
      <c r="I93">
        <v>1</v>
      </c>
      <c r="J93">
        <v>15</v>
      </c>
      <c r="K93">
        <v>255000</v>
      </c>
      <c r="L93">
        <v>80</v>
      </c>
      <c r="M93" t="s">
        <v>29</v>
      </c>
      <c r="N93" t="str">
        <f>_xlfn.XLOOKUP(B93,tblCustomers[customer_id],tblCustomers[region],"Missing")</f>
        <v>South</v>
      </c>
      <c r="O93" t="str">
        <f>_xlfn.XLOOKUP(C93,tblProducts[product_id],tblProducts[product_name],"Missing")</f>
        <v>Analytics Cloud</v>
      </c>
      <c r="P93" t="str">
        <f>_xlfn.XLOOKUP(C93,tblProducts[product_id],tblProducts[category],"Missing")</f>
        <v>Analytics</v>
      </c>
      <c r="Q93" t="str">
        <f>_xlfn.XLOOKUP(D93,tblSalesReps[rep_id],tblSalesReps[rep_name],"Missing")</f>
        <v>Sales Rep 05</v>
      </c>
      <c r="R93" t="str">
        <f>_xlfn.XLOOKUP(D93,tblSalesReps[rep_id],tblSalesReps[region],"Missing")</f>
        <v>South</v>
      </c>
    </row>
    <row r="94" spans="1:18">
      <c r="A94" t="s">
        <v>224</v>
      </c>
      <c r="B94" t="s">
        <v>225</v>
      </c>
      <c r="C94" t="s">
        <v>15</v>
      </c>
      <c r="D94" t="s">
        <v>126</v>
      </c>
      <c r="E94" s="1">
        <v>45687</v>
      </c>
      <c r="F94" s="1">
        <v>45752</v>
      </c>
      <c r="G94" s="1">
        <v>45752</v>
      </c>
      <c r="H94" t="s">
        <v>28</v>
      </c>
      <c r="I94">
        <v>1</v>
      </c>
      <c r="J94">
        <v>10</v>
      </c>
      <c r="K94">
        <v>378000</v>
      </c>
      <c r="L94">
        <v>100</v>
      </c>
      <c r="M94" t="s">
        <v>29</v>
      </c>
      <c r="N94" t="str">
        <f>_xlfn.XLOOKUP(B94,tblCustomers[customer_id],tblCustomers[region],"Missing")</f>
        <v>South</v>
      </c>
      <c r="O94" t="str">
        <f>_xlfn.XLOOKUP(C94,tblProducts[product_id],tblProducts[product_name],"Missing")</f>
        <v>CRM Enterprise</v>
      </c>
      <c r="P94" t="str">
        <f>_xlfn.XLOOKUP(C94,tblProducts[product_id],tblProducts[category],"Missing")</f>
        <v>CRM</v>
      </c>
      <c r="Q94" t="str">
        <f>_xlfn.XLOOKUP(D94,tblSalesReps[rep_id],tblSalesReps[rep_name],"Missing")</f>
        <v>Sales Rep 02</v>
      </c>
      <c r="R94" t="str">
        <f>_xlfn.XLOOKUP(D94,tblSalesReps[rep_id],tblSalesReps[region],"Missing")</f>
        <v>South</v>
      </c>
    </row>
    <row r="95" spans="1:18">
      <c r="A95" t="s">
        <v>226</v>
      </c>
      <c r="B95" t="s">
        <v>227</v>
      </c>
      <c r="C95" t="s">
        <v>81</v>
      </c>
      <c r="D95" t="s">
        <v>56</v>
      </c>
      <c r="E95" s="1">
        <v>45940</v>
      </c>
      <c r="F95" s="1">
        <v>45967</v>
      </c>
      <c r="G95" s="1">
        <v>45967</v>
      </c>
      <c r="H95" t="s">
        <v>28</v>
      </c>
      <c r="I95">
        <v>1</v>
      </c>
      <c r="J95">
        <v>0</v>
      </c>
      <c r="K95">
        <v>300000</v>
      </c>
      <c r="L95">
        <v>100</v>
      </c>
      <c r="M95" t="s">
        <v>29</v>
      </c>
      <c r="N95" t="str">
        <f>_xlfn.XLOOKUP(B95,tblCustomers[customer_id],tblCustomers[region],"Missing")</f>
        <v>East</v>
      </c>
      <c r="O95" t="str">
        <f>_xlfn.XLOOKUP(C95,tblProducts[product_id],tblProducts[product_name],"Missing")</f>
        <v>Analytics Cloud</v>
      </c>
      <c r="P95" t="str">
        <f>_xlfn.XLOOKUP(C95,tblProducts[product_id],tblProducts[category],"Missing")</f>
        <v>Analytics</v>
      </c>
      <c r="Q95" t="str">
        <f>_xlfn.XLOOKUP(D95,tblSalesReps[rep_id],tblSalesReps[rep_name],"Missing")</f>
        <v>Sales Rep 20</v>
      </c>
      <c r="R95" t="str">
        <f>_xlfn.XLOOKUP(D95,tblSalesReps[rep_id],tblSalesReps[region],"Missing")</f>
        <v>East</v>
      </c>
    </row>
    <row r="96" spans="1:18">
      <c r="A96" t="s">
        <v>228</v>
      </c>
      <c r="B96" t="s">
        <v>217</v>
      </c>
      <c r="C96" t="s">
        <v>15</v>
      </c>
      <c r="D96" t="s">
        <v>168</v>
      </c>
      <c r="E96" s="1">
        <v>46004</v>
      </c>
      <c r="F96" s="1">
        <v>46063</v>
      </c>
      <c r="G96" s="1"/>
      <c r="H96" t="s">
        <v>43</v>
      </c>
      <c r="I96">
        <v>3</v>
      </c>
      <c r="J96">
        <v>0</v>
      </c>
      <c r="K96">
        <v>1260000</v>
      </c>
      <c r="L96">
        <v>20</v>
      </c>
      <c r="M96" t="s">
        <v>29</v>
      </c>
      <c r="N96" t="str">
        <f>_xlfn.XLOOKUP(B96,tblCustomers[customer_id],tblCustomers[region],"Missing")</f>
        <v>East</v>
      </c>
      <c r="O96" t="str">
        <f>_xlfn.XLOOKUP(C96,tblProducts[product_id],tblProducts[product_name],"Missing")</f>
        <v>CRM Enterprise</v>
      </c>
      <c r="P96" t="str">
        <f>_xlfn.XLOOKUP(C96,tblProducts[product_id],tblProducts[category],"Missing")</f>
        <v>CRM</v>
      </c>
      <c r="Q96" t="str">
        <f>_xlfn.XLOOKUP(D96,tblSalesReps[rep_id],tblSalesReps[rep_name],"Missing")</f>
        <v>Sales Rep 17</v>
      </c>
      <c r="R96" t="str">
        <f>_xlfn.XLOOKUP(D96,tblSalesReps[rep_id],tblSalesReps[region],"Missing")</f>
        <v>East</v>
      </c>
    </row>
    <row r="97" spans="1:18">
      <c r="A97" t="s">
        <v>229</v>
      </c>
      <c r="B97" t="s">
        <v>55</v>
      </c>
      <c r="C97" t="s">
        <v>26</v>
      </c>
      <c r="D97" t="s">
        <v>56</v>
      </c>
      <c r="E97" s="1">
        <v>45977</v>
      </c>
      <c r="F97" s="1">
        <v>45997</v>
      </c>
      <c r="G97" s="1">
        <v>45997</v>
      </c>
      <c r="H97" t="s">
        <v>17</v>
      </c>
      <c r="I97">
        <v>1</v>
      </c>
      <c r="J97">
        <v>20</v>
      </c>
      <c r="K97">
        <v>288000</v>
      </c>
      <c r="L97">
        <v>0</v>
      </c>
      <c r="M97" t="s">
        <v>33</v>
      </c>
      <c r="N97" t="str">
        <f>_xlfn.XLOOKUP(B97,tblCustomers[customer_id],tblCustomers[region],"Missing")</f>
        <v>East</v>
      </c>
      <c r="O97" t="str">
        <f>_xlfn.XLOOKUP(C97,tblProducts[product_id],tblProducts[product_name],"Missing")</f>
        <v>Security Suite</v>
      </c>
      <c r="P97" t="str">
        <f>_xlfn.XLOOKUP(C97,tblProducts[product_id],tblProducts[category],"Missing")</f>
        <v>Security</v>
      </c>
      <c r="Q97" t="str">
        <f>_xlfn.XLOOKUP(D97,tblSalesReps[rep_id],tblSalesReps[rep_name],"Missing")</f>
        <v>Sales Rep 20</v>
      </c>
      <c r="R97" t="str">
        <f>_xlfn.XLOOKUP(D97,tblSalesReps[rep_id],tblSalesReps[region],"Missing")</f>
        <v>East</v>
      </c>
    </row>
    <row r="98" spans="1:18">
      <c r="A98" t="s">
        <v>230</v>
      </c>
      <c r="B98" t="s">
        <v>97</v>
      </c>
      <c r="C98" t="s">
        <v>39</v>
      </c>
      <c r="D98" t="s">
        <v>78</v>
      </c>
      <c r="E98" s="1">
        <v>45687</v>
      </c>
      <c r="F98" s="1">
        <v>45770</v>
      </c>
      <c r="G98" s="1"/>
      <c r="H98" t="s">
        <v>43</v>
      </c>
      <c r="I98">
        <v>2</v>
      </c>
      <c r="J98">
        <v>10</v>
      </c>
      <c r="K98">
        <v>324000</v>
      </c>
      <c r="L98">
        <v>40</v>
      </c>
      <c r="M98" t="s">
        <v>29</v>
      </c>
      <c r="N98" t="str">
        <f>_xlfn.XLOOKUP(B98,tblCustomers[customer_id],tblCustomers[region],"Missing")</f>
        <v>West</v>
      </c>
      <c r="O98" t="str">
        <f>_xlfn.XLOOKUP(C98,tblProducts[product_id],tblProducts[product_name],"Missing")</f>
        <v>Support Desk</v>
      </c>
      <c r="P98" t="str">
        <f>_xlfn.XLOOKUP(C98,tblProducts[product_id],tblProducts[category],"Missing")</f>
        <v>Service</v>
      </c>
      <c r="Q98" t="str">
        <f>_xlfn.XLOOKUP(D98,tblSalesReps[rep_id],tblSalesReps[rep_name],"Missing")</f>
        <v>Sales Rep 12</v>
      </c>
      <c r="R98" t="str">
        <f>_xlfn.XLOOKUP(D98,tblSalesReps[rep_id],tblSalesReps[region],"Missing")</f>
        <v>West</v>
      </c>
    </row>
    <row r="99" spans="1:18">
      <c r="A99" t="s">
        <v>231</v>
      </c>
      <c r="B99" t="s">
        <v>232</v>
      </c>
      <c r="C99" t="s">
        <v>26</v>
      </c>
      <c r="D99" t="s">
        <v>46</v>
      </c>
      <c r="E99" s="1">
        <v>45956</v>
      </c>
      <c r="F99" s="1">
        <v>46036</v>
      </c>
      <c r="G99" s="1"/>
      <c r="H99" t="s">
        <v>43</v>
      </c>
      <c r="I99">
        <v>1</v>
      </c>
      <c r="J99">
        <v>10</v>
      </c>
      <c r="K99">
        <v>324000</v>
      </c>
      <c r="L99">
        <v>40</v>
      </c>
      <c r="M99" t="s">
        <v>29</v>
      </c>
      <c r="N99" t="str">
        <f>_xlfn.XLOOKUP(B99,tblCustomers[customer_id],tblCustomers[region],"Missing")</f>
        <v>South</v>
      </c>
      <c r="O99" t="str">
        <f>_xlfn.XLOOKUP(C99,tblProducts[product_id],tblProducts[product_name],"Missing")</f>
        <v>Security Suite</v>
      </c>
      <c r="P99" t="str">
        <f>_xlfn.XLOOKUP(C99,tblProducts[product_id],tblProducts[category],"Missing")</f>
        <v>Security</v>
      </c>
      <c r="Q99" t="str">
        <f>_xlfn.XLOOKUP(D99,tblSalesReps[rep_id],tblSalesReps[rep_name],"Missing")</f>
        <v>Sales Rep 01</v>
      </c>
      <c r="R99" t="str">
        <f>_xlfn.XLOOKUP(D99,tblSalesReps[rep_id],tblSalesReps[region],"Missing")</f>
        <v>South</v>
      </c>
    </row>
    <row r="100" spans="1:18">
      <c r="A100" t="s">
        <v>233</v>
      </c>
      <c r="B100" t="s">
        <v>234</v>
      </c>
      <c r="C100" t="s">
        <v>15</v>
      </c>
      <c r="D100" t="s">
        <v>40</v>
      </c>
      <c r="E100" s="1">
        <v>45772</v>
      </c>
      <c r="F100" s="1">
        <v>45818</v>
      </c>
      <c r="G100" s="1">
        <v>45818</v>
      </c>
      <c r="H100" t="s">
        <v>17</v>
      </c>
      <c r="I100">
        <v>2</v>
      </c>
      <c r="J100">
        <v>10</v>
      </c>
      <c r="K100">
        <v>756000</v>
      </c>
      <c r="L100">
        <v>0</v>
      </c>
      <c r="M100" t="s">
        <v>18</v>
      </c>
      <c r="N100" t="str">
        <f>_xlfn.XLOOKUP(B100,tblCustomers[customer_id],tblCustomers[region],"Missing")</f>
        <v>West</v>
      </c>
      <c r="O100" t="str">
        <f>_xlfn.XLOOKUP(C100,tblProducts[product_id],tblProducts[product_name],"Missing")</f>
        <v>CRM Enterprise</v>
      </c>
      <c r="P100" t="str">
        <f>_xlfn.XLOOKUP(C100,tblProducts[product_id],tblProducts[category],"Missing")</f>
        <v>CRM</v>
      </c>
      <c r="Q100" t="str">
        <f>_xlfn.XLOOKUP(D100,tblSalesReps[rep_id],tblSalesReps[rep_name],"Missing")</f>
        <v>Sales Rep 13</v>
      </c>
      <c r="R100" t="str">
        <f>_xlfn.XLOOKUP(D100,tblSalesReps[rep_id],tblSalesReps[region],"Missing")</f>
        <v>West</v>
      </c>
    </row>
    <row r="101" spans="1:18">
      <c r="A101" t="s">
        <v>235</v>
      </c>
      <c r="B101" t="s">
        <v>236</v>
      </c>
      <c r="C101" t="s">
        <v>26</v>
      </c>
      <c r="D101" t="s">
        <v>32</v>
      </c>
      <c r="E101" s="1">
        <v>45929</v>
      </c>
      <c r="F101" s="1">
        <v>45942</v>
      </c>
      <c r="G101" s="1">
        <v>45942</v>
      </c>
      <c r="H101" t="s">
        <v>28</v>
      </c>
      <c r="I101">
        <v>1</v>
      </c>
      <c r="J101">
        <v>5</v>
      </c>
      <c r="K101">
        <v>342000</v>
      </c>
      <c r="L101">
        <v>100</v>
      </c>
      <c r="M101" t="s">
        <v>29</v>
      </c>
      <c r="N101" t="str">
        <f>_xlfn.XLOOKUP(B101,tblCustomers[customer_id],tblCustomers[region],"Missing")</f>
        <v>South</v>
      </c>
      <c r="O101" t="str">
        <f>_xlfn.XLOOKUP(C101,tblProducts[product_id],tblProducts[product_name],"Missing")</f>
        <v>Security Suite</v>
      </c>
      <c r="P101" t="str">
        <f>_xlfn.XLOOKUP(C101,tblProducts[product_id],tblProducts[category],"Missing")</f>
        <v>Security</v>
      </c>
      <c r="Q101" t="str">
        <f>_xlfn.XLOOKUP(D101,tblSalesReps[rep_id],tblSalesReps[rep_name],"Missing")</f>
        <v>Sales Rep 04</v>
      </c>
      <c r="R101" t="str">
        <f>_xlfn.XLOOKUP(D101,tblSalesReps[rep_id],tblSalesReps[region],"Missing")</f>
        <v>South</v>
      </c>
    </row>
    <row r="102" spans="1:18">
      <c r="A102" t="s">
        <v>237</v>
      </c>
      <c r="B102" t="s">
        <v>238</v>
      </c>
      <c r="C102" t="s">
        <v>62</v>
      </c>
      <c r="D102" t="s">
        <v>70</v>
      </c>
      <c r="E102" s="1">
        <v>45889</v>
      </c>
      <c r="F102" s="1">
        <v>45917</v>
      </c>
      <c r="G102" s="1">
        <v>45917</v>
      </c>
      <c r="H102" t="s">
        <v>28</v>
      </c>
      <c r="I102">
        <v>3</v>
      </c>
      <c r="J102">
        <v>5</v>
      </c>
      <c r="K102">
        <v>342000</v>
      </c>
      <c r="L102">
        <v>100</v>
      </c>
      <c r="M102" t="s">
        <v>29</v>
      </c>
      <c r="N102" t="str">
        <f>_xlfn.XLOOKUP(B102,tblCustomers[customer_id],tblCustomers[region],"Missing")</f>
        <v>West</v>
      </c>
      <c r="O102" t="str">
        <f>_xlfn.XLOOKUP(C102,tblProducts[product_id],tblProducts[product_name],"Missing")</f>
        <v>CRM Essentials</v>
      </c>
      <c r="P102" t="str">
        <f>_xlfn.XLOOKUP(C102,tblProducts[product_id],tblProducts[category],"Missing")</f>
        <v>CRM</v>
      </c>
      <c r="Q102" t="str">
        <f>_xlfn.XLOOKUP(D102,tblSalesReps[rep_id],tblSalesReps[rep_name],"Missing")</f>
        <v>Sales Rep 11</v>
      </c>
      <c r="R102" t="str">
        <f>_xlfn.XLOOKUP(D102,tblSalesReps[rep_id],tblSalesReps[region],"Missing")</f>
        <v>West</v>
      </c>
    </row>
    <row r="103" spans="1:18">
      <c r="A103" t="s">
        <v>239</v>
      </c>
      <c r="B103" t="s">
        <v>129</v>
      </c>
      <c r="C103" t="s">
        <v>81</v>
      </c>
      <c r="D103" t="s">
        <v>59</v>
      </c>
      <c r="E103" s="1">
        <v>45660</v>
      </c>
      <c r="F103" s="1">
        <v>45692</v>
      </c>
      <c r="G103" s="1">
        <v>45692</v>
      </c>
      <c r="H103" t="s">
        <v>28</v>
      </c>
      <c r="I103">
        <v>1</v>
      </c>
      <c r="J103">
        <v>0</v>
      </c>
      <c r="K103">
        <v>300000</v>
      </c>
      <c r="L103">
        <v>100</v>
      </c>
      <c r="M103" t="s">
        <v>29</v>
      </c>
      <c r="N103" t="str">
        <f>_xlfn.XLOOKUP(B103,tblCustomers[customer_id],tblCustomers[region],"Missing")</f>
        <v>East</v>
      </c>
      <c r="O103" t="str">
        <f>_xlfn.XLOOKUP(C103,tblProducts[product_id],tblProducts[product_name],"Missing")</f>
        <v>Analytics Cloud</v>
      </c>
      <c r="P103" t="str">
        <f>_xlfn.XLOOKUP(C103,tblProducts[product_id],tblProducts[category],"Missing")</f>
        <v>Analytics</v>
      </c>
      <c r="Q103" t="str">
        <f>_xlfn.XLOOKUP(D103,tblSalesReps[rep_id],tblSalesReps[rep_name],"Missing")</f>
        <v>Sales Rep 19</v>
      </c>
      <c r="R103" t="str">
        <f>_xlfn.XLOOKUP(D103,tblSalesReps[rep_id],tblSalesReps[region],"Missing")</f>
        <v>East</v>
      </c>
    </row>
    <row r="104" spans="1:18">
      <c r="A104" t="s">
        <v>240</v>
      </c>
      <c r="B104" t="s">
        <v>241</v>
      </c>
      <c r="C104" t="s">
        <v>81</v>
      </c>
      <c r="D104" t="s">
        <v>56</v>
      </c>
      <c r="E104" s="1">
        <v>45959</v>
      </c>
      <c r="F104" s="1">
        <v>45974</v>
      </c>
      <c r="G104" s="1">
        <v>45974</v>
      </c>
      <c r="H104" t="s">
        <v>28</v>
      </c>
      <c r="I104">
        <v>1</v>
      </c>
      <c r="J104">
        <v>10</v>
      </c>
      <c r="K104">
        <v>270000</v>
      </c>
      <c r="L104">
        <v>100</v>
      </c>
      <c r="M104" t="s">
        <v>29</v>
      </c>
      <c r="N104" t="str">
        <f>_xlfn.XLOOKUP(B104,tblCustomers[customer_id],tblCustomers[region],"Missing")</f>
        <v>East</v>
      </c>
      <c r="O104" t="str">
        <f>_xlfn.XLOOKUP(C104,tblProducts[product_id],tblProducts[product_name],"Missing")</f>
        <v>Analytics Cloud</v>
      </c>
      <c r="P104" t="str">
        <f>_xlfn.XLOOKUP(C104,tblProducts[product_id],tblProducts[category],"Missing")</f>
        <v>Analytics</v>
      </c>
      <c r="Q104" t="str">
        <f>_xlfn.XLOOKUP(D104,tblSalesReps[rep_id],tblSalesReps[rep_name],"Missing")</f>
        <v>Sales Rep 20</v>
      </c>
      <c r="R104" t="str">
        <f>_xlfn.XLOOKUP(D104,tblSalesReps[rep_id],tblSalesReps[region],"Missing")</f>
        <v>East</v>
      </c>
    </row>
    <row r="105" spans="1:18">
      <c r="A105" t="s">
        <v>242</v>
      </c>
      <c r="B105" t="s">
        <v>243</v>
      </c>
      <c r="C105" t="s">
        <v>62</v>
      </c>
      <c r="D105" t="s">
        <v>119</v>
      </c>
      <c r="E105" s="1">
        <v>45916</v>
      </c>
      <c r="F105" s="1">
        <v>45969</v>
      </c>
      <c r="G105" s="1">
        <v>45969</v>
      </c>
      <c r="H105" t="s">
        <v>28</v>
      </c>
      <c r="I105">
        <v>1</v>
      </c>
      <c r="J105">
        <v>15</v>
      </c>
      <c r="K105">
        <v>102000</v>
      </c>
      <c r="L105">
        <v>100</v>
      </c>
      <c r="M105" t="s">
        <v>29</v>
      </c>
      <c r="N105" t="str">
        <f>_xlfn.XLOOKUP(B105,tblCustomers[customer_id],tblCustomers[region],"Missing")</f>
        <v>North</v>
      </c>
      <c r="O105" t="str">
        <f>_xlfn.XLOOKUP(C105,tblProducts[product_id],tblProducts[product_name],"Missing")</f>
        <v>CRM Essentials</v>
      </c>
      <c r="P105" t="str">
        <f>_xlfn.XLOOKUP(C105,tblProducts[product_id],tblProducts[category],"Missing")</f>
        <v>CRM</v>
      </c>
      <c r="Q105" t="str">
        <f>_xlfn.XLOOKUP(D105,tblSalesReps[rep_id],tblSalesReps[rep_name],"Missing")</f>
        <v>Sales Rep 10</v>
      </c>
      <c r="R105" t="str">
        <f>_xlfn.XLOOKUP(D105,tblSalesReps[rep_id],tblSalesReps[region],"Missing")</f>
        <v>North</v>
      </c>
    </row>
    <row r="106" spans="1:18">
      <c r="A106" t="s">
        <v>244</v>
      </c>
      <c r="B106" t="s">
        <v>245</v>
      </c>
      <c r="C106" t="s">
        <v>62</v>
      </c>
      <c r="D106" t="s">
        <v>59</v>
      </c>
      <c r="E106" s="1">
        <v>45885</v>
      </c>
      <c r="F106" s="1">
        <v>45962</v>
      </c>
      <c r="G106" s="1">
        <v>45962</v>
      </c>
      <c r="H106" t="s">
        <v>17</v>
      </c>
      <c r="I106">
        <v>1</v>
      </c>
      <c r="J106">
        <v>15</v>
      </c>
      <c r="K106">
        <v>102000</v>
      </c>
      <c r="L106">
        <v>0</v>
      </c>
      <c r="M106" t="s">
        <v>47</v>
      </c>
      <c r="N106" t="str">
        <f>_xlfn.XLOOKUP(B106,tblCustomers[customer_id],tblCustomers[region],"Missing")</f>
        <v>East</v>
      </c>
      <c r="O106" t="str">
        <f>_xlfn.XLOOKUP(C106,tblProducts[product_id],tblProducts[product_name],"Missing")</f>
        <v>CRM Essentials</v>
      </c>
      <c r="P106" t="str">
        <f>_xlfn.XLOOKUP(C106,tblProducts[product_id],tblProducts[category],"Missing")</f>
        <v>CRM</v>
      </c>
      <c r="Q106" t="str">
        <f>_xlfn.XLOOKUP(D106,tblSalesReps[rep_id],tblSalesReps[rep_name],"Missing")</f>
        <v>Sales Rep 19</v>
      </c>
      <c r="R106" t="str">
        <f>_xlfn.XLOOKUP(D106,tblSalesReps[rep_id],tblSalesReps[region],"Missing")</f>
        <v>East</v>
      </c>
    </row>
    <row r="107" spans="1:18">
      <c r="A107" t="s">
        <v>246</v>
      </c>
      <c r="B107" t="s">
        <v>247</v>
      </c>
      <c r="C107" t="s">
        <v>39</v>
      </c>
      <c r="D107" t="s">
        <v>75</v>
      </c>
      <c r="E107" s="1">
        <v>45872</v>
      </c>
      <c r="F107" s="1">
        <v>45892</v>
      </c>
      <c r="G107" s="1"/>
      <c r="H107" t="s">
        <v>43</v>
      </c>
      <c r="I107">
        <v>3</v>
      </c>
      <c r="J107">
        <v>20</v>
      </c>
      <c r="K107">
        <v>432000</v>
      </c>
      <c r="L107">
        <v>20</v>
      </c>
      <c r="M107" t="s">
        <v>29</v>
      </c>
      <c r="N107" t="str">
        <f>_xlfn.XLOOKUP(B107,tblCustomers[customer_id],tblCustomers[region],"Missing")</f>
        <v>North</v>
      </c>
      <c r="O107" t="str">
        <f>_xlfn.XLOOKUP(C107,tblProducts[product_id],tblProducts[product_name],"Missing")</f>
        <v>Support Desk</v>
      </c>
      <c r="P107" t="str">
        <f>_xlfn.XLOOKUP(C107,tblProducts[product_id],tblProducts[category],"Missing")</f>
        <v>Service</v>
      </c>
      <c r="Q107" t="str">
        <f>_xlfn.XLOOKUP(D107,tblSalesReps[rep_id],tblSalesReps[rep_name],"Missing")</f>
        <v>Sales Rep 07</v>
      </c>
      <c r="R107" t="str">
        <f>_xlfn.XLOOKUP(D107,tblSalesReps[rep_id],tblSalesReps[region],"Missing")</f>
        <v>North</v>
      </c>
    </row>
    <row r="108" spans="1:18">
      <c r="A108" t="s">
        <v>248</v>
      </c>
      <c r="B108" t="s">
        <v>249</v>
      </c>
      <c r="C108" t="s">
        <v>62</v>
      </c>
      <c r="D108" t="s">
        <v>63</v>
      </c>
      <c r="E108" s="1">
        <v>45912</v>
      </c>
      <c r="F108" s="1">
        <v>45980</v>
      </c>
      <c r="G108" s="1"/>
      <c r="H108" t="s">
        <v>43</v>
      </c>
      <c r="I108">
        <v>1</v>
      </c>
      <c r="J108">
        <v>5</v>
      </c>
      <c r="K108">
        <v>114000</v>
      </c>
      <c r="L108">
        <v>20</v>
      </c>
      <c r="M108" t="s">
        <v>29</v>
      </c>
      <c r="N108" t="str">
        <f>_xlfn.XLOOKUP(B108,tblCustomers[customer_id],tblCustomers[region],"Missing")</f>
        <v>South</v>
      </c>
      <c r="O108" t="str">
        <f>_xlfn.XLOOKUP(C108,tblProducts[product_id],tblProducts[product_name],"Missing")</f>
        <v>CRM Essentials</v>
      </c>
      <c r="P108" t="str">
        <f>_xlfn.XLOOKUP(C108,tblProducts[product_id],tblProducts[category],"Missing")</f>
        <v>CRM</v>
      </c>
      <c r="Q108" t="str">
        <f>_xlfn.XLOOKUP(D108,tblSalesReps[rep_id],tblSalesReps[rep_name],"Missing")</f>
        <v>Sales Rep 05</v>
      </c>
      <c r="R108" t="str">
        <f>_xlfn.XLOOKUP(D108,tblSalesReps[rep_id],tblSalesReps[region],"Missing")</f>
        <v>South</v>
      </c>
    </row>
    <row r="109" spans="1:18">
      <c r="A109" t="s">
        <v>250</v>
      </c>
      <c r="B109" t="s">
        <v>219</v>
      </c>
      <c r="C109" t="s">
        <v>39</v>
      </c>
      <c r="D109" t="s">
        <v>53</v>
      </c>
      <c r="E109" s="1">
        <v>45709</v>
      </c>
      <c r="F109" s="1">
        <v>45745</v>
      </c>
      <c r="G109" s="1"/>
      <c r="H109" t="s">
        <v>43</v>
      </c>
      <c r="I109">
        <v>2</v>
      </c>
      <c r="J109">
        <v>10</v>
      </c>
      <c r="K109">
        <v>324000</v>
      </c>
      <c r="L109">
        <v>60</v>
      </c>
      <c r="M109" t="s">
        <v>29</v>
      </c>
      <c r="N109" t="str">
        <f>_xlfn.XLOOKUP(B109,tblCustomers[customer_id],tblCustomers[region],"Missing")</f>
        <v>East</v>
      </c>
      <c r="O109" t="str">
        <f>_xlfn.XLOOKUP(C109,tblProducts[product_id],tblProducts[product_name],"Missing")</f>
        <v>Support Desk</v>
      </c>
      <c r="P109" t="str">
        <f>_xlfn.XLOOKUP(C109,tblProducts[product_id],tblProducts[category],"Missing")</f>
        <v>Service</v>
      </c>
      <c r="Q109" t="str">
        <f>_xlfn.XLOOKUP(D109,tblSalesReps[rep_id],tblSalesReps[rep_name],"Missing")</f>
        <v>Sales Rep 16</v>
      </c>
      <c r="R109" t="str">
        <f>_xlfn.XLOOKUP(D109,tblSalesReps[rep_id],tblSalesReps[region],"Missing")</f>
        <v>East</v>
      </c>
    </row>
    <row r="110" spans="1:18">
      <c r="A110" t="s">
        <v>251</v>
      </c>
      <c r="B110" t="s">
        <v>121</v>
      </c>
      <c r="C110" t="s">
        <v>15</v>
      </c>
      <c r="D110" t="s">
        <v>91</v>
      </c>
      <c r="E110" s="1">
        <v>45841</v>
      </c>
      <c r="F110" s="1">
        <v>45882</v>
      </c>
      <c r="G110" s="1"/>
      <c r="H110" t="s">
        <v>43</v>
      </c>
      <c r="I110">
        <v>1</v>
      </c>
      <c r="J110">
        <v>10</v>
      </c>
      <c r="K110">
        <v>378000</v>
      </c>
      <c r="L110">
        <v>60</v>
      </c>
      <c r="M110" t="s">
        <v>29</v>
      </c>
      <c r="N110" t="str">
        <f>_xlfn.XLOOKUP(B110,tblCustomers[customer_id],tblCustomers[region],"Missing")</f>
        <v>South</v>
      </c>
      <c r="O110" t="str">
        <f>_xlfn.XLOOKUP(C110,tblProducts[product_id],tblProducts[product_name],"Missing")</f>
        <v>CRM Enterprise</v>
      </c>
      <c r="P110" t="str">
        <f>_xlfn.XLOOKUP(C110,tblProducts[product_id],tblProducts[category],"Missing")</f>
        <v>CRM</v>
      </c>
      <c r="Q110" t="str">
        <f>_xlfn.XLOOKUP(D110,tblSalesReps[rep_id],tblSalesReps[rep_name],"Missing")</f>
        <v>Sales Rep 03</v>
      </c>
      <c r="R110" t="str">
        <f>_xlfn.XLOOKUP(D110,tblSalesReps[rep_id],tblSalesReps[region],"Missing")</f>
        <v>South</v>
      </c>
    </row>
    <row r="111" spans="1:18">
      <c r="A111" t="s">
        <v>252</v>
      </c>
      <c r="B111" t="s">
        <v>253</v>
      </c>
      <c r="C111" t="s">
        <v>15</v>
      </c>
      <c r="D111" t="s">
        <v>46</v>
      </c>
      <c r="E111" s="1">
        <v>45725</v>
      </c>
      <c r="F111" s="1">
        <v>45739</v>
      </c>
      <c r="G111" s="1">
        <v>45739</v>
      </c>
      <c r="H111" t="s">
        <v>17</v>
      </c>
      <c r="I111">
        <v>1</v>
      </c>
      <c r="J111">
        <v>0</v>
      </c>
      <c r="K111">
        <v>420000</v>
      </c>
      <c r="L111">
        <v>0</v>
      </c>
      <c r="M111" t="s">
        <v>33</v>
      </c>
      <c r="N111" t="str">
        <f>_xlfn.XLOOKUP(B111,tblCustomers[customer_id],tblCustomers[region],"Missing")</f>
        <v>South</v>
      </c>
      <c r="O111" t="str">
        <f>_xlfn.XLOOKUP(C111,tblProducts[product_id],tblProducts[product_name],"Missing")</f>
        <v>CRM Enterprise</v>
      </c>
      <c r="P111" t="str">
        <f>_xlfn.XLOOKUP(C111,tblProducts[product_id],tblProducts[category],"Missing")</f>
        <v>CRM</v>
      </c>
      <c r="Q111" t="str">
        <f>_xlfn.XLOOKUP(D111,tblSalesReps[rep_id],tblSalesReps[rep_name],"Missing")</f>
        <v>Sales Rep 01</v>
      </c>
      <c r="R111" t="str">
        <f>_xlfn.XLOOKUP(D111,tblSalesReps[rep_id],tblSalesReps[region],"Missing")</f>
        <v>South</v>
      </c>
    </row>
    <row r="112" spans="1:18">
      <c r="A112" t="s">
        <v>254</v>
      </c>
      <c r="B112" t="s">
        <v>255</v>
      </c>
      <c r="C112" t="s">
        <v>81</v>
      </c>
      <c r="D112" t="s">
        <v>59</v>
      </c>
      <c r="E112" s="1">
        <v>45681</v>
      </c>
      <c r="F112" s="1">
        <v>45728</v>
      </c>
      <c r="G112" s="1">
        <v>45728</v>
      </c>
      <c r="H112" t="s">
        <v>28</v>
      </c>
      <c r="I112">
        <v>1</v>
      </c>
      <c r="J112">
        <v>20</v>
      </c>
      <c r="K112">
        <v>240000</v>
      </c>
      <c r="L112">
        <v>100</v>
      </c>
      <c r="M112" t="s">
        <v>29</v>
      </c>
      <c r="N112" t="str">
        <f>_xlfn.XLOOKUP(B112,tblCustomers[customer_id],tblCustomers[region],"Missing")</f>
        <v>East</v>
      </c>
      <c r="O112" t="str">
        <f>_xlfn.XLOOKUP(C112,tblProducts[product_id],tblProducts[product_name],"Missing")</f>
        <v>Analytics Cloud</v>
      </c>
      <c r="P112" t="str">
        <f>_xlfn.XLOOKUP(C112,tblProducts[product_id],tblProducts[category],"Missing")</f>
        <v>Analytics</v>
      </c>
      <c r="Q112" t="str">
        <f>_xlfn.XLOOKUP(D112,tblSalesReps[rep_id],tblSalesReps[rep_name],"Missing")</f>
        <v>Sales Rep 19</v>
      </c>
      <c r="R112" t="str">
        <f>_xlfn.XLOOKUP(D112,tblSalesReps[rep_id],tblSalesReps[region],"Missing")</f>
        <v>East</v>
      </c>
    </row>
    <row r="113" spans="1:18">
      <c r="A113" t="s">
        <v>256</v>
      </c>
      <c r="B113" t="s">
        <v>257</v>
      </c>
      <c r="C113" t="s">
        <v>39</v>
      </c>
      <c r="D113" t="s">
        <v>63</v>
      </c>
      <c r="E113" s="1">
        <v>45685</v>
      </c>
      <c r="F113" s="1">
        <v>45712</v>
      </c>
      <c r="G113" s="1">
        <v>45712</v>
      </c>
      <c r="H113" t="s">
        <v>28</v>
      </c>
      <c r="I113">
        <v>3</v>
      </c>
      <c r="J113">
        <v>15</v>
      </c>
      <c r="K113">
        <v>459000</v>
      </c>
      <c r="L113">
        <v>100</v>
      </c>
      <c r="M113" t="s">
        <v>29</v>
      </c>
      <c r="N113" t="str">
        <f>_xlfn.XLOOKUP(B113,tblCustomers[customer_id],tblCustomers[region],"Missing")</f>
        <v>South</v>
      </c>
      <c r="O113" t="str">
        <f>_xlfn.XLOOKUP(C113,tblProducts[product_id],tblProducts[product_name],"Missing")</f>
        <v>Support Desk</v>
      </c>
      <c r="P113" t="str">
        <f>_xlfn.XLOOKUP(C113,tblProducts[product_id],tblProducts[category],"Missing")</f>
        <v>Service</v>
      </c>
      <c r="Q113" t="str">
        <f>_xlfn.XLOOKUP(D113,tblSalesReps[rep_id],tblSalesReps[rep_name],"Missing")</f>
        <v>Sales Rep 05</v>
      </c>
      <c r="R113" t="str">
        <f>_xlfn.XLOOKUP(D113,tblSalesReps[rep_id],tblSalesReps[region],"Missing")</f>
        <v>South</v>
      </c>
    </row>
    <row r="114" spans="1:18">
      <c r="A114" t="s">
        <v>258</v>
      </c>
      <c r="B114" t="s">
        <v>259</v>
      </c>
      <c r="C114" t="s">
        <v>26</v>
      </c>
      <c r="D114" t="s">
        <v>32</v>
      </c>
      <c r="E114" s="1">
        <v>45864</v>
      </c>
      <c r="F114" s="1">
        <v>45881</v>
      </c>
      <c r="G114" s="1"/>
      <c r="H114" t="s">
        <v>43</v>
      </c>
      <c r="I114">
        <v>2</v>
      </c>
      <c r="J114">
        <v>15</v>
      </c>
      <c r="K114">
        <v>612000</v>
      </c>
      <c r="L114">
        <v>80</v>
      </c>
      <c r="M114" t="s">
        <v>29</v>
      </c>
      <c r="N114" t="str">
        <f>_xlfn.XLOOKUP(B114,tblCustomers[customer_id],tblCustomers[region],"Missing")</f>
        <v>South</v>
      </c>
      <c r="O114" t="str">
        <f>_xlfn.XLOOKUP(C114,tblProducts[product_id],tblProducts[product_name],"Missing")</f>
        <v>Security Suite</v>
      </c>
      <c r="P114" t="str">
        <f>_xlfn.XLOOKUP(C114,tblProducts[product_id],tblProducts[category],"Missing")</f>
        <v>Security</v>
      </c>
      <c r="Q114" t="str">
        <f>_xlfn.XLOOKUP(D114,tblSalesReps[rep_id],tblSalesReps[rep_name],"Missing")</f>
        <v>Sales Rep 04</v>
      </c>
      <c r="R114" t="str">
        <f>_xlfn.XLOOKUP(D114,tblSalesReps[rep_id],tblSalesReps[region],"Missing")</f>
        <v>South</v>
      </c>
    </row>
    <row r="115" spans="1:18">
      <c r="A115" t="s">
        <v>260</v>
      </c>
      <c r="B115" t="s">
        <v>137</v>
      </c>
      <c r="C115" t="s">
        <v>62</v>
      </c>
      <c r="D115" t="s">
        <v>27</v>
      </c>
      <c r="E115" s="1">
        <v>45864</v>
      </c>
      <c r="F115" s="1">
        <v>45942</v>
      </c>
      <c r="G115" s="1">
        <v>45942</v>
      </c>
      <c r="H115" t="s">
        <v>17</v>
      </c>
      <c r="I115">
        <v>3</v>
      </c>
      <c r="J115">
        <v>0</v>
      </c>
      <c r="K115">
        <v>360000</v>
      </c>
      <c r="L115">
        <v>0</v>
      </c>
      <c r="M115" t="s">
        <v>33</v>
      </c>
      <c r="N115" t="str">
        <f>_xlfn.XLOOKUP(B115,tblCustomers[customer_id],tblCustomers[region],"Missing")</f>
        <v>North</v>
      </c>
      <c r="O115" t="str">
        <f>_xlfn.XLOOKUP(C115,tblProducts[product_id],tblProducts[product_name],"Missing")</f>
        <v>CRM Essentials</v>
      </c>
      <c r="P115" t="str">
        <f>_xlfn.XLOOKUP(C115,tblProducts[product_id],tblProducts[category],"Missing")</f>
        <v>CRM</v>
      </c>
      <c r="Q115" t="str">
        <f>_xlfn.XLOOKUP(D115,tblSalesReps[rep_id],tblSalesReps[rep_name],"Missing")</f>
        <v>Sales Rep 06</v>
      </c>
      <c r="R115" t="str">
        <f>_xlfn.XLOOKUP(D115,tblSalesReps[rep_id],tblSalesReps[region],"Missing")</f>
        <v>North</v>
      </c>
    </row>
    <row r="116" spans="1:18">
      <c r="A116" t="s">
        <v>261</v>
      </c>
      <c r="B116" t="s">
        <v>262</v>
      </c>
      <c r="C116" t="s">
        <v>81</v>
      </c>
      <c r="D116" t="s">
        <v>91</v>
      </c>
      <c r="E116" s="1">
        <v>45889</v>
      </c>
      <c r="F116" s="1">
        <v>45924</v>
      </c>
      <c r="G116" s="1">
        <v>45924</v>
      </c>
      <c r="H116" t="s">
        <v>28</v>
      </c>
      <c r="I116">
        <v>1</v>
      </c>
      <c r="J116">
        <v>10</v>
      </c>
      <c r="K116">
        <v>270000</v>
      </c>
      <c r="L116">
        <v>100</v>
      </c>
      <c r="M116" t="s">
        <v>29</v>
      </c>
      <c r="N116" t="str">
        <f>_xlfn.XLOOKUP(B116,tblCustomers[customer_id],tblCustomers[region],"Missing")</f>
        <v>South</v>
      </c>
      <c r="O116" t="str">
        <f>_xlfn.XLOOKUP(C116,tblProducts[product_id],tblProducts[product_name],"Missing")</f>
        <v>Analytics Cloud</v>
      </c>
      <c r="P116" t="str">
        <f>_xlfn.XLOOKUP(C116,tblProducts[product_id],tblProducts[category],"Missing")</f>
        <v>Analytics</v>
      </c>
      <c r="Q116" t="str">
        <f>_xlfn.XLOOKUP(D116,tblSalesReps[rep_id],tblSalesReps[rep_name],"Missing")</f>
        <v>Sales Rep 03</v>
      </c>
      <c r="R116" t="str">
        <f>_xlfn.XLOOKUP(D116,tblSalesReps[rep_id],tblSalesReps[region],"Missing")</f>
        <v>South</v>
      </c>
    </row>
    <row r="117" spans="1:18">
      <c r="A117" t="s">
        <v>263</v>
      </c>
      <c r="B117" t="s">
        <v>264</v>
      </c>
      <c r="C117" t="s">
        <v>15</v>
      </c>
      <c r="D117" t="s">
        <v>126</v>
      </c>
      <c r="E117" s="1">
        <v>45719</v>
      </c>
      <c r="F117" s="1">
        <v>45776</v>
      </c>
      <c r="G117" s="1"/>
      <c r="H117" t="s">
        <v>43</v>
      </c>
      <c r="I117">
        <v>1</v>
      </c>
      <c r="J117">
        <v>15</v>
      </c>
      <c r="K117">
        <v>357000</v>
      </c>
      <c r="L117">
        <v>40</v>
      </c>
      <c r="M117" t="s">
        <v>29</v>
      </c>
      <c r="N117" t="str">
        <f>_xlfn.XLOOKUP(B117,tblCustomers[customer_id],tblCustomers[region],"Missing")</f>
        <v>South</v>
      </c>
      <c r="O117" t="str">
        <f>_xlfn.XLOOKUP(C117,tblProducts[product_id],tblProducts[product_name],"Missing")</f>
        <v>CRM Enterprise</v>
      </c>
      <c r="P117" t="str">
        <f>_xlfn.XLOOKUP(C117,tblProducts[product_id],tblProducts[category],"Missing")</f>
        <v>CRM</v>
      </c>
      <c r="Q117" t="str">
        <f>_xlfn.XLOOKUP(D117,tblSalesReps[rep_id],tblSalesReps[rep_name],"Missing")</f>
        <v>Sales Rep 02</v>
      </c>
      <c r="R117" t="str">
        <f>_xlfn.XLOOKUP(D117,tblSalesReps[rep_id],tblSalesReps[region],"Missing")</f>
        <v>South</v>
      </c>
    </row>
    <row r="118" spans="1:18">
      <c r="A118" t="s">
        <v>265</v>
      </c>
      <c r="B118" t="s">
        <v>266</v>
      </c>
      <c r="C118" t="s">
        <v>81</v>
      </c>
      <c r="D118" t="s">
        <v>70</v>
      </c>
      <c r="E118" s="1">
        <v>45929</v>
      </c>
      <c r="F118" s="1">
        <v>46006</v>
      </c>
      <c r="G118" s="1">
        <v>46006</v>
      </c>
      <c r="H118" t="s">
        <v>17</v>
      </c>
      <c r="I118">
        <v>2</v>
      </c>
      <c r="J118">
        <v>20</v>
      </c>
      <c r="K118">
        <v>480000</v>
      </c>
      <c r="L118">
        <v>0</v>
      </c>
      <c r="M118" t="s">
        <v>33</v>
      </c>
      <c r="N118" t="str">
        <f>_xlfn.XLOOKUP(B118,tblCustomers[customer_id],tblCustomers[region],"Missing")</f>
        <v>West</v>
      </c>
      <c r="O118" t="str">
        <f>_xlfn.XLOOKUP(C118,tblProducts[product_id],tblProducts[product_name],"Missing")</f>
        <v>Analytics Cloud</v>
      </c>
      <c r="P118" t="str">
        <f>_xlfn.XLOOKUP(C118,tblProducts[product_id],tblProducts[category],"Missing")</f>
        <v>Analytics</v>
      </c>
      <c r="Q118" t="str">
        <f>_xlfn.XLOOKUP(D118,tblSalesReps[rep_id],tblSalesReps[rep_name],"Missing")</f>
        <v>Sales Rep 11</v>
      </c>
      <c r="R118" t="str">
        <f>_xlfn.XLOOKUP(D118,tblSalesReps[rep_id],tblSalesReps[region],"Missing")</f>
        <v>West</v>
      </c>
    </row>
    <row r="119" spans="1:18">
      <c r="A119" t="s">
        <v>267</v>
      </c>
      <c r="B119" t="s">
        <v>268</v>
      </c>
      <c r="C119" t="s">
        <v>81</v>
      </c>
      <c r="D119" t="s">
        <v>36</v>
      </c>
      <c r="E119" s="1">
        <v>45969</v>
      </c>
      <c r="F119" s="1">
        <v>46007</v>
      </c>
      <c r="G119" s="1"/>
      <c r="H119" t="s">
        <v>43</v>
      </c>
      <c r="I119">
        <v>1</v>
      </c>
      <c r="J119">
        <v>15</v>
      </c>
      <c r="K119">
        <v>255000</v>
      </c>
      <c r="L119">
        <v>60</v>
      </c>
      <c r="M119" t="s">
        <v>29</v>
      </c>
      <c r="N119" t="str">
        <f>_xlfn.XLOOKUP(B119,tblCustomers[customer_id],tblCustomers[region],"Missing")</f>
        <v>North</v>
      </c>
      <c r="O119" t="str">
        <f>_xlfn.XLOOKUP(C119,tblProducts[product_id],tblProducts[product_name],"Missing")</f>
        <v>Analytics Cloud</v>
      </c>
      <c r="P119" t="str">
        <f>_xlfn.XLOOKUP(C119,tblProducts[product_id],tblProducts[category],"Missing")</f>
        <v>Analytics</v>
      </c>
      <c r="Q119" t="str">
        <f>_xlfn.XLOOKUP(D119,tblSalesReps[rep_id],tblSalesReps[rep_name],"Missing")</f>
        <v>Sales Rep 09</v>
      </c>
      <c r="R119" t="str">
        <f>_xlfn.XLOOKUP(D119,tblSalesReps[rep_id],tblSalesReps[region],"Missing")</f>
        <v>North</v>
      </c>
    </row>
    <row r="120" spans="1:18">
      <c r="A120" t="s">
        <v>269</v>
      </c>
      <c r="B120" t="s">
        <v>270</v>
      </c>
      <c r="C120" t="s">
        <v>39</v>
      </c>
      <c r="D120" t="s">
        <v>75</v>
      </c>
      <c r="E120" s="1">
        <v>45760</v>
      </c>
      <c r="F120" s="1">
        <v>45804</v>
      </c>
      <c r="G120" s="1">
        <v>45804</v>
      </c>
      <c r="H120" t="s">
        <v>28</v>
      </c>
      <c r="I120">
        <v>1</v>
      </c>
      <c r="J120">
        <v>5</v>
      </c>
      <c r="K120">
        <v>171000</v>
      </c>
      <c r="L120">
        <v>100</v>
      </c>
      <c r="M120" t="s">
        <v>29</v>
      </c>
      <c r="N120" t="str">
        <f>_xlfn.XLOOKUP(B120,tblCustomers[customer_id],tblCustomers[region],"Missing")</f>
        <v>North</v>
      </c>
      <c r="O120" t="str">
        <f>_xlfn.XLOOKUP(C120,tblProducts[product_id],tblProducts[product_name],"Missing")</f>
        <v>Support Desk</v>
      </c>
      <c r="P120" t="str">
        <f>_xlfn.XLOOKUP(C120,tblProducts[product_id],tblProducts[category],"Missing")</f>
        <v>Service</v>
      </c>
      <c r="Q120" t="str">
        <f>_xlfn.XLOOKUP(D120,tblSalesReps[rep_id],tblSalesReps[rep_name],"Missing")</f>
        <v>Sales Rep 07</v>
      </c>
      <c r="R120" t="str">
        <f>_xlfn.XLOOKUP(D120,tblSalesReps[rep_id],tblSalesReps[region],"Missing")</f>
        <v>North</v>
      </c>
    </row>
    <row r="121" spans="1:18">
      <c r="A121" t="s">
        <v>271</v>
      </c>
      <c r="B121" t="s">
        <v>170</v>
      </c>
      <c r="C121" t="s">
        <v>62</v>
      </c>
      <c r="D121" t="s">
        <v>56</v>
      </c>
      <c r="E121" s="1">
        <v>45712</v>
      </c>
      <c r="F121" s="1">
        <v>45737</v>
      </c>
      <c r="G121" s="1">
        <v>45737</v>
      </c>
      <c r="H121" t="s">
        <v>28</v>
      </c>
      <c r="I121">
        <v>1</v>
      </c>
      <c r="J121">
        <v>0</v>
      </c>
      <c r="K121">
        <v>120000</v>
      </c>
      <c r="L121">
        <v>100</v>
      </c>
      <c r="M121" t="s">
        <v>29</v>
      </c>
      <c r="N121" t="str">
        <f>_xlfn.XLOOKUP(B121,tblCustomers[customer_id],tblCustomers[region],"Missing")</f>
        <v>East</v>
      </c>
      <c r="O121" t="str">
        <f>_xlfn.XLOOKUP(C121,tblProducts[product_id],tblProducts[product_name],"Missing")</f>
        <v>CRM Essentials</v>
      </c>
      <c r="P121" t="str">
        <f>_xlfn.XLOOKUP(C121,tblProducts[product_id],tblProducts[category],"Missing")</f>
        <v>CRM</v>
      </c>
      <c r="Q121" t="str">
        <f>_xlfn.XLOOKUP(D121,tblSalesReps[rep_id],tblSalesReps[rep_name],"Missing")</f>
        <v>Sales Rep 20</v>
      </c>
      <c r="R121" t="str">
        <f>_xlfn.XLOOKUP(D121,tblSalesReps[rep_id],tblSalesReps[region],"Missing")</f>
        <v>East</v>
      </c>
    </row>
    <row r="122" spans="1:18">
      <c r="A122" t="s">
        <v>272</v>
      </c>
      <c r="B122" t="s">
        <v>273</v>
      </c>
      <c r="C122" t="s">
        <v>81</v>
      </c>
      <c r="D122" t="s">
        <v>27</v>
      </c>
      <c r="E122" s="1">
        <v>45973</v>
      </c>
      <c r="F122" s="1">
        <v>46051</v>
      </c>
      <c r="G122" s="1"/>
      <c r="H122" t="s">
        <v>43</v>
      </c>
      <c r="I122">
        <v>1</v>
      </c>
      <c r="J122">
        <v>20</v>
      </c>
      <c r="K122">
        <v>240000</v>
      </c>
      <c r="L122">
        <v>80</v>
      </c>
      <c r="M122" t="s">
        <v>29</v>
      </c>
      <c r="N122" t="str">
        <f>_xlfn.XLOOKUP(B122,tblCustomers[customer_id],tblCustomers[region],"Missing")</f>
        <v>North</v>
      </c>
      <c r="O122" t="str">
        <f>_xlfn.XLOOKUP(C122,tblProducts[product_id],tblProducts[product_name],"Missing")</f>
        <v>Analytics Cloud</v>
      </c>
      <c r="P122" t="str">
        <f>_xlfn.XLOOKUP(C122,tblProducts[product_id],tblProducts[category],"Missing")</f>
        <v>Analytics</v>
      </c>
      <c r="Q122" t="str">
        <f>_xlfn.XLOOKUP(D122,tblSalesReps[rep_id],tblSalesReps[rep_name],"Missing")</f>
        <v>Sales Rep 06</v>
      </c>
      <c r="R122" t="str">
        <f>_xlfn.XLOOKUP(D122,tblSalesReps[rep_id],tblSalesReps[region],"Missing")</f>
        <v>North</v>
      </c>
    </row>
    <row r="123" spans="1:18">
      <c r="A123" t="s">
        <v>274</v>
      </c>
      <c r="B123" t="s">
        <v>131</v>
      </c>
      <c r="C123" t="s">
        <v>39</v>
      </c>
      <c r="D123" t="s">
        <v>27</v>
      </c>
      <c r="E123" s="1">
        <v>45664</v>
      </c>
      <c r="F123" s="1">
        <v>45696</v>
      </c>
      <c r="G123" s="1">
        <v>45696</v>
      </c>
      <c r="H123" t="s">
        <v>17</v>
      </c>
      <c r="I123">
        <v>3</v>
      </c>
      <c r="J123">
        <v>15</v>
      </c>
      <c r="K123">
        <v>459000</v>
      </c>
      <c r="L123">
        <v>0</v>
      </c>
      <c r="M123" t="s">
        <v>18</v>
      </c>
      <c r="N123" t="str">
        <f>_xlfn.XLOOKUP(B123,tblCustomers[customer_id],tblCustomers[region],"Missing")</f>
        <v>North</v>
      </c>
      <c r="O123" t="str">
        <f>_xlfn.XLOOKUP(C123,tblProducts[product_id],tblProducts[product_name],"Missing")</f>
        <v>Support Desk</v>
      </c>
      <c r="P123" t="str">
        <f>_xlfn.XLOOKUP(C123,tblProducts[product_id],tblProducts[category],"Missing")</f>
        <v>Service</v>
      </c>
      <c r="Q123" t="str">
        <f>_xlfn.XLOOKUP(D123,tblSalesReps[rep_id],tblSalesReps[rep_name],"Missing")</f>
        <v>Sales Rep 06</v>
      </c>
      <c r="R123" t="str">
        <f>_xlfn.XLOOKUP(D123,tblSalesReps[rep_id],tblSalesReps[region],"Missing")</f>
        <v>North</v>
      </c>
    </row>
    <row r="124" spans="1:18">
      <c r="A124" t="s">
        <v>275</v>
      </c>
      <c r="B124" t="s">
        <v>276</v>
      </c>
      <c r="C124" t="s">
        <v>62</v>
      </c>
      <c r="D124" t="s">
        <v>32</v>
      </c>
      <c r="E124" s="1">
        <v>45800</v>
      </c>
      <c r="F124" s="1">
        <v>45823</v>
      </c>
      <c r="G124" s="1">
        <v>45823</v>
      </c>
      <c r="H124" t="s">
        <v>17</v>
      </c>
      <c r="I124">
        <v>1</v>
      </c>
      <c r="J124">
        <v>20</v>
      </c>
      <c r="K124">
        <v>96000</v>
      </c>
      <c r="L124">
        <v>0</v>
      </c>
      <c r="M124" t="s">
        <v>23</v>
      </c>
      <c r="N124" t="str">
        <f>_xlfn.XLOOKUP(B124,tblCustomers[customer_id],tblCustomers[region],"Missing")</f>
        <v>South</v>
      </c>
      <c r="O124" t="str">
        <f>_xlfn.XLOOKUP(C124,tblProducts[product_id],tblProducts[product_name],"Missing")</f>
        <v>CRM Essentials</v>
      </c>
      <c r="P124" t="str">
        <f>_xlfn.XLOOKUP(C124,tblProducts[product_id],tblProducts[category],"Missing")</f>
        <v>CRM</v>
      </c>
      <c r="Q124" t="str">
        <f>_xlfn.XLOOKUP(D124,tblSalesReps[rep_id],tblSalesReps[rep_name],"Missing")</f>
        <v>Sales Rep 04</v>
      </c>
      <c r="R124" t="str">
        <f>_xlfn.XLOOKUP(D124,tblSalesReps[rep_id],tblSalesReps[region],"Missing")</f>
        <v>South</v>
      </c>
    </row>
    <row r="125" spans="1:18">
      <c r="A125" t="s">
        <v>277</v>
      </c>
      <c r="B125" t="s">
        <v>259</v>
      </c>
      <c r="C125" t="s">
        <v>21</v>
      </c>
      <c r="D125" t="s">
        <v>46</v>
      </c>
      <c r="E125" s="1">
        <v>46020</v>
      </c>
      <c r="F125" s="1">
        <v>46055</v>
      </c>
      <c r="G125" s="1"/>
      <c r="H125" t="s">
        <v>43</v>
      </c>
      <c r="I125">
        <v>1</v>
      </c>
      <c r="J125">
        <v>20</v>
      </c>
      <c r="K125">
        <v>192000</v>
      </c>
      <c r="L125">
        <v>20</v>
      </c>
      <c r="M125" t="s">
        <v>29</v>
      </c>
      <c r="N125" t="str">
        <f>_xlfn.XLOOKUP(B125,tblCustomers[customer_id],tblCustomers[region],"Missing")</f>
        <v>South</v>
      </c>
      <c r="O125" t="str">
        <f>_xlfn.XLOOKUP(C125,tblProducts[product_id],tblProducts[product_name],"Missing")</f>
        <v>Workflow Automate</v>
      </c>
      <c r="P125" t="str">
        <f>_xlfn.XLOOKUP(C125,tblProducts[product_id],tblProducts[category],"Missing")</f>
        <v>Automation</v>
      </c>
      <c r="Q125" t="str">
        <f>_xlfn.XLOOKUP(D125,tblSalesReps[rep_id],tblSalesReps[rep_name],"Missing")</f>
        <v>Sales Rep 01</v>
      </c>
      <c r="R125" t="str">
        <f>_xlfn.XLOOKUP(D125,tblSalesReps[rep_id],tblSalesReps[region],"Missing")</f>
        <v>South</v>
      </c>
    </row>
    <row r="126" spans="1:18">
      <c r="A126" t="s">
        <v>278</v>
      </c>
      <c r="B126" t="s">
        <v>279</v>
      </c>
      <c r="C126" t="s">
        <v>21</v>
      </c>
      <c r="D126" t="s">
        <v>40</v>
      </c>
      <c r="E126" s="1">
        <v>45808</v>
      </c>
      <c r="F126" s="1">
        <v>45882</v>
      </c>
      <c r="G126" s="1">
        <v>45882</v>
      </c>
      <c r="H126" t="s">
        <v>28</v>
      </c>
      <c r="I126">
        <v>2</v>
      </c>
      <c r="J126">
        <v>20</v>
      </c>
      <c r="K126">
        <v>384000</v>
      </c>
      <c r="L126">
        <v>100</v>
      </c>
      <c r="M126" t="s">
        <v>29</v>
      </c>
      <c r="N126" t="str">
        <f>_xlfn.XLOOKUP(B126,tblCustomers[customer_id],tblCustomers[region],"Missing")</f>
        <v>West</v>
      </c>
      <c r="O126" t="str">
        <f>_xlfn.XLOOKUP(C126,tblProducts[product_id],tblProducts[product_name],"Missing")</f>
        <v>Workflow Automate</v>
      </c>
      <c r="P126" t="str">
        <f>_xlfn.XLOOKUP(C126,tblProducts[product_id],tblProducts[category],"Missing")</f>
        <v>Automation</v>
      </c>
      <c r="Q126" t="str">
        <f>_xlfn.XLOOKUP(D126,tblSalesReps[rep_id],tblSalesReps[rep_name],"Missing")</f>
        <v>Sales Rep 13</v>
      </c>
      <c r="R126" t="str">
        <f>_xlfn.XLOOKUP(D126,tblSalesReps[rep_id],tblSalesReps[region],"Missing")</f>
        <v>West</v>
      </c>
    </row>
    <row r="127" spans="1:18">
      <c r="A127" t="s">
        <v>280</v>
      </c>
      <c r="B127" t="s">
        <v>253</v>
      </c>
      <c r="C127" t="s">
        <v>21</v>
      </c>
      <c r="D127" t="s">
        <v>32</v>
      </c>
      <c r="E127" s="1">
        <v>45716</v>
      </c>
      <c r="F127" s="1">
        <v>45792</v>
      </c>
      <c r="G127" s="1">
        <v>45792</v>
      </c>
      <c r="H127" t="s">
        <v>17</v>
      </c>
      <c r="I127">
        <v>1</v>
      </c>
      <c r="J127">
        <v>0</v>
      </c>
      <c r="K127">
        <v>240000</v>
      </c>
      <c r="L127">
        <v>0</v>
      </c>
      <c r="M127" t="s">
        <v>33</v>
      </c>
      <c r="N127" t="str">
        <f>_xlfn.XLOOKUP(B127,tblCustomers[customer_id],tblCustomers[region],"Missing")</f>
        <v>South</v>
      </c>
      <c r="O127" t="str">
        <f>_xlfn.XLOOKUP(C127,tblProducts[product_id],tblProducts[product_name],"Missing")</f>
        <v>Workflow Automate</v>
      </c>
      <c r="P127" t="str">
        <f>_xlfn.XLOOKUP(C127,tblProducts[product_id],tblProducts[category],"Missing")</f>
        <v>Automation</v>
      </c>
      <c r="Q127" t="str">
        <f>_xlfn.XLOOKUP(D127,tblSalesReps[rep_id],tblSalesReps[rep_name],"Missing")</f>
        <v>Sales Rep 04</v>
      </c>
      <c r="R127" t="str">
        <f>_xlfn.XLOOKUP(D127,tblSalesReps[rep_id],tblSalesReps[region],"Missing")</f>
        <v>South</v>
      </c>
    </row>
    <row r="128" spans="1:18">
      <c r="A128" t="s">
        <v>281</v>
      </c>
      <c r="B128" t="s">
        <v>282</v>
      </c>
      <c r="C128" t="s">
        <v>15</v>
      </c>
      <c r="D128" t="s">
        <v>59</v>
      </c>
      <c r="E128" s="1">
        <v>45711</v>
      </c>
      <c r="F128" s="1">
        <v>45773</v>
      </c>
      <c r="G128" s="1">
        <v>45773</v>
      </c>
      <c r="H128" t="s">
        <v>28</v>
      </c>
      <c r="I128">
        <v>1</v>
      </c>
      <c r="J128">
        <v>5</v>
      </c>
      <c r="K128">
        <v>399000</v>
      </c>
      <c r="L128">
        <v>100</v>
      </c>
      <c r="M128" t="s">
        <v>29</v>
      </c>
      <c r="N128" t="str">
        <f>_xlfn.XLOOKUP(B128,tblCustomers[customer_id],tblCustomers[region],"Missing")</f>
        <v>East</v>
      </c>
      <c r="O128" t="str">
        <f>_xlfn.XLOOKUP(C128,tblProducts[product_id],tblProducts[product_name],"Missing")</f>
        <v>CRM Enterprise</v>
      </c>
      <c r="P128" t="str">
        <f>_xlfn.XLOOKUP(C128,tblProducts[product_id],tblProducts[category],"Missing")</f>
        <v>CRM</v>
      </c>
      <c r="Q128" t="str">
        <f>_xlfn.XLOOKUP(D128,tblSalesReps[rep_id],tblSalesReps[rep_name],"Missing")</f>
        <v>Sales Rep 19</v>
      </c>
      <c r="R128" t="str">
        <f>_xlfn.XLOOKUP(D128,tblSalesReps[rep_id],tblSalesReps[region],"Missing")</f>
        <v>East</v>
      </c>
    </row>
    <row r="129" spans="1:18">
      <c r="A129" t="s">
        <v>283</v>
      </c>
      <c r="B129" t="s">
        <v>232</v>
      </c>
      <c r="C129" t="s">
        <v>81</v>
      </c>
      <c r="D129" t="s">
        <v>32</v>
      </c>
      <c r="E129" s="1">
        <v>45879</v>
      </c>
      <c r="F129" s="1">
        <v>45935</v>
      </c>
      <c r="G129" s="1">
        <v>45935</v>
      </c>
      <c r="H129" t="s">
        <v>28</v>
      </c>
      <c r="I129">
        <v>1</v>
      </c>
      <c r="J129">
        <v>20</v>
      </c>
      <c r="K129">
        <v>240000</v>
      </c>
      <c r="L129">
        <v>100</v>
      </c>
      <c r="M129" t="s">
        <v>29</v>
      </c>
      <c r="N129" t="str">
        <f>_xlfn.XLOOKUP(B129,tblCustomers[customer_id],tblCustomers[region],"Missing")</f>
        <v>South</v>
      </c>
      <c r="O129" t="str">
        <f>_xlfn.XLOOKUP(C129,tblProducts[product_id],tblProducts[product_name],"Missing")</f>
        <v>Analytics Cloud</v>
      </c>
      <c r="P129" t="str">
        <f>_xlfn.XLOOKUP(C129,tblProducts[product_id],tblProducts[category],"Missing")</f>
        <v>Analytics</v>
      </c>
      <c r="Q129" t="str">
        <f>_xlfn.XLOOKUP(D129,tblSalesReps[rep_id],tblSalesReps[rep_name],"Missing")</f>
        <v>Sales Rep 04</v>
      </c>
      <c r="R129" t="str">
        <f>_xlfn.XLOOKUP(D129,tblSalesReps[rep_id],tblSalesReps[region],"Missing")</f>
        <v>South</v>
      </c>
    </row>
    <row r="130" spans="1:18">
      <c r="A130" t="s">
        <v>284</v>
      </c>
      <c r="B130" t="s">
        <v>285</v>
      </c>
      <c r="C130" t="s">
        <v>39</v>
      </c>
      <c r="D130" t="s">
        <v>46</v>
      </c>
      <c r="E130" s="1">
        <v>45806</v>
      </c>
      <c r="F130" s="1">
        <v>45851</v>
      </c>
      <c r="G130" s="1"/>
      <c r="H130" t="s">
        <v>43</v>
      </c>
      <c r="I130">
        <v>3</v>
      </c>
      <c r="J130">
        <v>0</v>
      </c>
      <c r="K130">
        <v>540000</v>
      </c>
      <c r="L130">
        <v>60</v>
      </c>
      <c r="M130" t="s">
        <v>29</v>
      </c>
      <c r="N130" t="str">
        <f>_xlfn.XLOOKUP(B130,tblCustomers[customer_id],tblCustomers[region],"Missing")</f>
        <v>South</v>
      </c>
      <c r="O130" t="str">
        <f>_xlfn.XLOOKUP(C130,tblProducts[product_id],tblProducts[product_name],"Missing")</f>
        <v>Support Desk</v>
      </c>
      <c r="P130" t="str">
        <f>_xlfn.XLOOKUP(C130,tblProducts[product_id],tblProducts[category],"Missing")</f>
        <v>Service</v>
      </c>
      <c r="Q130" t="str">
        <f>_xlfn.XLOOKUP(D130,tblSalesReps[rep_id],tblSalesReps[rep_name],"Missing")</f>
        <v>Sales Rep 01</v>
      </c>
      <c r="R130" t="str">
        <f>_xlfn.XLOOKUP(D130,tblSalesReps[rep_id],tblSalesReps[region],"Missing")</f>
        <v>South</v>
      </c>
    </row>
    <row r="131" spans="1:18">
      <c r="A131" t="s">
        <v>286</v>
      </c>
      <c r="B131" t="s">
        <v>287</v>
      </c>
      <c r="C131" t="s">
        <v>26</v>
      </c>
      <c r="D131" t="s">
        <v>91</v>
      </c>
      <c r="E131" s="1">
        <v>45663</v>
      </c>
      <c r="F131" s="1">
        <v>45741</v>
      </c>
      <c r="G131" s="1">
        <v>45741</v>
      </c>
      <c r="H131" t="s">
        <v>17</v>
      </c>
      <c r="I131">
        <v>1</v>
      </c>
      <c r="J131">
        <v>0</v>
      </c>
      <c r="K131">
        <v>360000</v>
      </c>
      <c r="L131">
        <v>0</v>
      </c>
      <c r="M131" t="s">
        <v>23</v>
      </c>
      <c r="N131" t="str">
        <f>_xlfn.XLOOKUP(B131,tblCustomers[customer_id],tblCustomers[region],"Missing")</f>
        <v>South</v>
      </c>
      <c r="O131" t="str">
        <f>_xlfn.XLOOKUP(C131,tblProducts[product_id],tblProducts[product_name],"Missing")</f>
        <v>Security Suite</v>
      </c>
      <c r="P131" t="str">
        <f>_xlfn.XLOOKUP(C131,tblProducts[product_id],tblProducts[category],"Missing")</f>
        <v>Security</v>
      </c>
      <c r="Q131" t="str">
        <f>_xlfn.XLOOKUP(D131,tblSalesReps[rep_id],tblSalesReps[rep_name],"Missing")</f>
        <v>Sales Rep 03</v>
      </c>
      <c r="R131" t="str">
        <f>_xlfn.XLOOKUP(D131,tblSalesReps[rep_id],tblSalesReps[region],"Missing")</f>
        <v>South</v>
      </c>
    </row>
    <row r="132" spans="1:18">
      <c r="A132" t="s">
        <v>288</v>
      </c>
      <c r="B132" t="s">
        <v>289</v>
      </c>
      <c r="C132" t="s">
        <v>21</v>
      </c>
      <c r="D132" t="s">
        <v>75</v>
      </c>
      <c r="E132" s="1">
        <v>45716</v>
      </c>
      <c r="F132" s="1">
        <v>45795</v>
      </c>
      <c r="G132" s="1">
        <v>45795</v>
      </c>
      <c r="H132" t="s">
        <v>28</v>
      </c>
      <c r="I132">
        <v>1</v>
      </c>
      <c r="J132">
        <v>20</v>
      </c>
      <c r="K132">
        <v>192000</v>
      </c>
      <c r="L132">
        <v>100</v>
      </c>
      <c r="M132" t="s">
        <v>29</v>
      </c>
      <c r="N132" t="str">
        <f>_xlfn.XLOOKUP(B132,tblCustomers[customer_id],tblCustomers[region],"Missing")</f>
        <v>North</v>
      </c>
      <c r="O132" t="str">
        <f>_xlfn.XLOOKUP(C132,tblProducts[product_id],tblProducts[product_name],"Missing")</f>
        <v>Workflow Automate</v>
      </c>
      <c r="P132" t="str">
        <f>_xlfn.XLOOKUP(C132,tblProducts[product_id],tblProducts[category],"Missing")</f>
        <v>Automation</v>
      </c>
      <c r="Q132" t="str">
        <f>_xlfn.XLOOKUP(D132,tblSalesReps[rep_id],tblSalesReps[rep_name],"Missing")</f>
        <v>Sales Rep 07</v>
      </c>
      <c r="R132" t="str">
        <f>_xlfn.XLOOKUP(D132,tblSalesReps[rep_id],tblSalesReps[region],"Missing")</f>
        <v>North</v>
      </c>
    </row>
    <row r="133" spans="1:18">
      <c r="A133" t="s">
        <v>290</v>
      </c>
      <c r="B133" t="s">
        <v>123</v>
      </c>
      <c r="C133" t="s">
        <v>81</v>
      </c>
      <c r="D133" t="s">
        <v>91</v>
      </c>
      <c r="E133" s="1">
        <v>45840</v>
      </c>
      <c r="F133" s="1">
        <v>45877</v>
      </c>
      <c r="G133" s="1">
        <v>45877</v>
      </c>
      <c r="H133" t="s">
        <v>28</v>
      </c>
      <c r="I133">
        <v>1</v>
      </c>
      <c r="J133">
        <v>10</v>
      </c>
      <c r="K133">
        <v>270000</v>
      </c>
      <c r="L133">
        <v>100</v>
      </c>
      <c r="M133" t="s">
        <v>29</v>
      </c>
      <c r="N133" t="str">
        <f>_xlfn.XLOOKUP(B133,tblCustomers[customer_id],tblCustomers[region],"Missing")</f>
        <v>South</v>
      </c>
      <c r="O133" t="str">
        <f>_xlfn.XLOOKUP(C133,tblProducts[product_id],tblProducts[product_name],"Missing")</f>
        <v>Analytics Cloud</v>
      </c>
      <c r="P133" t="str">
        <f>_xlfn.XLOOKUP(C133,tblProducts[product_id],tblProducts[category],"Missing")</f>
        <v>Analytics</v>
      </c>
      <c r="Q133" t="str">
        <f>_xlfn.XLOOKUP(D133,tblSalesReps[rep_id],tblSalesReps[rep_name],"Missing")</f>
        <v>Sales Rep 03</v>
      </c>
      <c r="R133" t="str">
        <f>_xlfn.XLOOKUP(D133,tblSalesReps[rep_id],tblSalesReps[region],"Missing")</f>
        <v>South</v>
      </c>
    </row>
    <row r="134" spans="1:18">
      <c r="A134" t="s">
        <v>291</v>
      </c>
      <c r="B134" t="s">
        <v>292</v>
      </c>
      <c r="C134" t="s">
        <v>39</v>
      </c>
      <c r="D134" t="s">
        <v>16</v>
      </c>
      <c r="E134" s="1">
        <v>45819</v>
      </c>
      <c r="F134" s="1">
        <v>45847</v>
      </c>
      <c r="G134" s="1"/>
      <c r="H134" t="s">
        <v>43</v>
      </c>
      <c r="I134">
        <v>1</v>
      </c>
      <c r="J134">
        <v>10</v>
      </c>
      <c r="K134">
        <v>162000</v>
      </c>
      <c r="L134">
        <v>40</v>
      </c>
      <c r="M134" t="s">
        <v>29</v>
      </c>
      <c r="N134" t="str">
        <f>_xlfn.XLOOKUP(B134,tblCustomers[customer_id],tblCustomers[region],"Missing")</f>
        <v>North</v>
      </c>
      <c r="O134" t="str">
        <f>_xlfn.XLOOKUP(C134,tblProducts[product_id],tblProducts[product_name],"Missing")</f>
        <v>Support Desk</v>
      </c>
      <c r="P134" t="str">
        <f>_xlfn.XLOOKUP(C134,tblProducts[product_id],tblProducts[category],"Missing")</f>
        <v>Service</v>
      </c>
      <c r="Q134" t="str">
        <f>_xlfn.XLOOKUP(D134,tblSalesReps[rep_id],tblSalesReps[rep_name],"Missing")</f>
        <v>Sales Rep 08</v>
      </c>
      <c r="R134" t="str">
        <f>_xlfn.XLOOKUP(D134,tblSalesReps[rep_id],tblSalesReps[region],"Missing")</f>
        <v>North</v>
      </c>
    </row>
    <row r="135" spans="1:18">
      <c r="A135" t="s">
        <v>293</v>
      </c>
      <c r="B135" t="s">
        <v>294</v>
      </c>
      <c r="C135" t="s">
        <v>81</v>
      </c>
      <c r="D135" t="s">
        <v>40</v>
      </c>
      <c r="E135" s="1">
        <v>45814</v>
      </c>
      <c r="F135" s="1">
        <v>45834</v>
      </c>
      <c r="G135" s="1">
        <v>45834</v>
      </c>
      <c r="H135" t="s">
        <v>17</v>
      </c>
      <c r="I135">
        <v>1</v>
      </c>
      <c r="J135">
        <v>20</v>
      </c>
      <c r="K135">
        <v>240000</v>
      </c>
      <c r="L135">
        <v>0</v>
      </c>
      <c r="M135" t="s">
        <v>18</v>
      </c>
      <c r="N135" t="str">
        <f>_xlfn.XLOOKUP(B135,tblCustomers[customer_id],tblCustomers[region],"Missing")</f>
        <v>West</v>
      </c>
      <c r="O135" t="str">
        <f>_xlfn.XLOOKUP(C135,tblProducts[product_id],tblProducts[product_name],"Missing")</f>
        <v>Analytics Cloud</v>
      </c>
      <c r="P135" t="str">
        <f>_xlfn.XLOOKUP(C135,tblProducts[product_id],tblProducts[category],"Missing")</f>
        <v>Analytics</v>
      </c>
      <c r="Q135" t="str">
        <f>_xlfn.XLOOKUP(D135,tblSalesReps[rep_id],tblSalesReps[rep_name],"Missing")</f>
        <v>Sales Rep 13</v>
      </c>
      <c r="R135" t="str">
        <f>_xlfn.XLOOKUP(D135,tblSalesReps[rep_id],tblSalesReps[region],"Missing")</f>
        <v>West</v>
      </c>
    </row>
    <row r="136" spans="1:18">
      <c r="A136" t="s">
        <v>295</v>
      </c>
      <c r="B136" t="s">
        <v>296</v>
      </c>
      <c r="C136" t="s">
        <v>62</v>
      </c>
      <c r="D136" t="s">
        <v>63</v>
      </c>
      <c r="E136" s="1">
        <v>45954</v>
      </c>
      <c r="F136" s="1">
        <v>46036</v>
      </c>
      <c r="G136" s="1"/>
      <c r="H136" t="s">
        <v>43</v>
      </c>
      <c r="I136">
        <v>1</v>
      </c>
      <c r="J136">
        <v>0</v>
      </c>
      <c r="K136">
        <v>120000</v>
      </c>
      <c r="L136">
        <v>60</v>
      </c>
      <c r="M136" t="s">
        <v>29</v>
      </c>
      <c r="N136" t="str">
        <f>_xlfn.XLOOKUP(B136,tblCustomers[customer_id],tblCustomers[region],"Missing")</f>
        <v>South</v>
      </c>
      <c r="O136" t="str">
        <f>_xlfn.XLOOKUP(C136,tblProducts[product_id],tblProducts[product_name],"Missing")</f>
        <v>CRM Essentials</v>
      </c>
      <c r="P136" t="str">
        <f>_xlfn.XLOOKUP(C136,tblProducts[product_id],tblProducts[category],"Missing")</f>
        <v>CRM</v>
      </c>
      <c r="Q136" t="str">
        <f>_xlfn.XLOOKUP(D136,tblSalesReps[rep_id],tblSalesReps[rep_name],"Missing")</f>
        <v>Sales Rep 05</v>
      </c>
      <c r="R136" t="str">
        <f>_xlfn.XLOOKUP(D136,tblSalesReps[rep_id],tblSalesReps[region],"Missing")</f>
        <v>South</v>
      </c>
    </row>
    <row r="137" spans="1:18">
      <c r="A137" t="s">
        <v>297</v>
      </c>
      <c r="B137" t="s">
        <v>298</v>
      </c>
      <c r="C137" t="s">
        <v>26</v>
      </c>
      <c r="D137" t="s">
        <v>168</v>
      </c>
      <c r="E137" s="1">
        <v>45972</v>
      </c>
      <c r="F137" s="1">
        <v>46044</v>
      </c>
      <c r="G137" s="1"/>
      <c r="H137" t="s">
        <v>43</v>
      </c>
      <c r="I137">
        <v>1</v>
      </c>
      <c r="J137">
        <v>15</v>
      </c>
      <c r="K137">
        <v>306000</v>
      </c>
      <c r="L137">
        <v>40</v>
      </c>
      <c r="M137" t="s">
        <v>29</v>
      </c>
      <c r="N137" t="str">
        <f>_xlfn.XLOOKUP(B137,tblCustomers[customer_id],tblCustomers[region],"Missing")</f>
        <v>East</v>
      </c>
      <c r="O137" t="str">
        <f>_xlfn.XLOOKUP(C137,tblProducts[product_id],tblProducts[product_name],"Missing")</f>
        <v>Security Suite</v>
      </c>
      <c r="P137" t="str">
        <f>_xlfn.XLOOKUP(C137,tblProducts[product_id],tblProducts[category],"Missing")</f>
        <v>Security</v>
      </c>
      <c r="Q137" t="str">
        <f>_xlfn.XLOOKUP(D137,tblSalesReps[rep_id],tblSalesReps[rep_name],"Missing")</f>
        <v>Sales Rep 17</v>
      </c>
      <c r="R137" t="str">
        <f>_xlfn.XLOOKUP(D137,tblSalesReps[rep_id],tblSalesReps[region],"Missing")</f>
        <v>East</v>
      </c>
    </row>
    <row r="138" spans="1:18">
      <c r="A138" t="s">
        <v>299</v>
      </c>
      <c r="B138" t="s">
        <v>300</v>
      </c>
      <c r="C138" t="s">
        <v>62</v>
      </c>
      <c r="D138" t="s">
        <v>40</v>
      </c>
      <c r="E138" s="1">
        <v>45847</v>
      </c>
      <c r="F138" s="1">
        <v>45880</v>
      </c>
      <c r="G138" s="1">
        <v>45880</v>
      </c>
      <c r="H138" t="s">
        <v>28</v>
      </c>
      <c r="I138">
        <v>3</v>
      </c>
      <c r="J138">
        <v>10</v>
      </c>
      <c r="K138">
        <v>324000</v>
      </c>
      <c r="L138">
        <v>100</v>
      </c>
      <c r="M138" t="s">
        <v>29</v>
      </c>
      <c r="N138" t="str">
        <f>_xlfn.XLOOKUP(B138,tblCustomers[customer_id],tblCustomers[region],"Missing")</f>
        <v>West</v>
      </c>
      <c r="O138" t="str">
        <f>_xlfn.XLOOKUP(C138,tblProducts[product_id],tblProducts[product_name],"Missing")</f>
        <v>CRM Essentials</v>
      </c>
      <c r="P138" t="str">
        <f>_xlfn.XLOOKUP(C138,tblProducts[product_id],tblProducts[category],"Missing")</f>
        <v>CRM</v>
      </c>
      <c r="Q138" t="str">
        <f>_xlfn.XLOOKUP(D138,tblSalesReps[rep_id],tblSalesReps[rep_name],"Missing")</f>
        <v>Sales Rep 13</v>
      </c>
      <c r="R138" t="str">
        <f>_xlfn.XLOOKUP(D138,tblSalesReps[rep_id],tblSalesReps[region],"Missing")</f>
        <v>West</v>
      </c>
    </row>
    <row r="139" spans="1:18">
      <c r="A139" t="s">
        <v>301</v>
      </c>
      <c r="B139" t="s">
        <v>276</v>
      </c>
      <c r="C139" t="s">
        <v>21</v>
      </c>
      <c r="D139" t="s">
        <v>63</v>
      </c>
      <c r="E139" s="1">
        <v>45992</v>
      </c>
      <c r="F139" s="1">
        <v>46008</v>
      </c>
      <c r="G139" s="1"/>
      <c r="H139" t="s">
        <v>43</v>
      </c>
      <c r="I139">
        <v>3</v>
      </c>
      <c r="J139">
        <v>10</v>
      </c>
      <c r="K139">
        <v>648000</v>
      </c>
      <c r="L139">
        <v>80</v>
      </c>
      <c r="M139" t="s">
        <v>29</v>
      </c>
      <c r="N139" t="str">
        <f>_xlfn.XLOOKUP(B139,tblCustomers[customer_id],tblCustomers[region],"Missing")</f>
        <v>South</v>
      </c>
      <c r="O139" t="str">
        <f>_xlfn.XLOOKUP(C139,tblProducts[product_id],tblProducts[product_name],"Missing")</f>
        <v>Workflow Automate</v>
      </c>
      <c r="P139" t="str">
        <f>_xlfn.XLOOKUP(C139,tblProducts[product_id],tblProducts[category],"Missing")</f>
        <v>Automation</v>
      </c>
      <c r="Q139" t="str">
        <f>_xlfn.XLOOKUP(D139,tblSalesReps[rep_id],tblSalesReps[rep_name],"Missing")</f>
        <v>Sales Rep 05</v>
      </c>
      <c r="R139" t="str">
        <f>_xlfn.XLOOKUP(D139,tblSalesReps[rep_id],tblSalesReps[region],"Missing")</f>
        <v>South</v>
      </c>
    </row>
    <row r="140" spans="1:18">
      <c r="A140" t="s">
        <v>302</v>
      </c>
      <c r="B140" t="s">
        <v>141</v>
      </c>
      <c r="C140" t="s">
        <v>15</v>
      </c>
      <c r="D140" t="s">
        <v>75</v>
      </c>
      <c r="E140" s="1">
        <v>45697</v>
      </c>
      <c r="F140" s="1">
        <v>45739</v>
      </c>
      <c r="G140" s="1">
        <v>45739</v>
      </c>
      <c r="H140" t="s">
        <v>17</v>
      </c>
      <c r="I140">
        <v>1</v>
      </c>
      <c r="J140">
        <v>5</v>
      </c>
      <c r="K140">
        <v>399000</v>
      </c>
      <c r="L140">
        <v>0</v>
      </c>
      <c r="M140" t="s">
        <v>47</v>
      </c>
      <c r="N140" t="str">
        <f>_xlfn.XLOOKUP(B140,tblCustomers[customer_id],tblCustomers[region],"Missing")</f>
        <v>North</v>
      </c>
      <c r="O140" t="str">
        <f>_xlfn.XLOOKUP(C140,tblProducts[product_id],tblProducts[product_name],"Missing")</f>
        <v>CRM Enterprise</v>
      </c>
      <c r="P140" t="str">
        <f>_xlfn.XLOOKUP(C140,tblProducts[product_id],tblProducts[category],"Missing")</f>
        <v>CRM</v>
      </c>
      <c r="Q140" t="str">
        <f>_xlfn.XLOOKUP(D140,tblSalesReps[rep_id],tblSalesReps[rep_name],"Missing")</f>
        <v>Sales Rep 07</v>
      </c>
      <c r="R140" t="str">
        <f>_xlfn.XLOOKUP(D140,tblSalesReps[rep_id],tblSalesReps[region],"Missing")</f>
        <v>North</v>
      </c>
    </row>
    <row r="141" spans="1:18">
      <c r="A141" t="s">
        <v>303</v>
      </c>
      <c r="B141" t="s">
        <v>304</v>
      </c>
      <c r="C141" t="s">
        <v>15</v>
      </c>
      <c r="D141" t="s">
        <v>36</v>
      </c>
      <c r="E141" s="1">
        <v>45669</v>
      </c>
      <c r="F141" s="1">
        <v>45692</v>
      </c>
      <c r="G141" s="1">
        <v>45692</v>
      </c>
      <c r="H141" t="s">
        <v>28</v>
      </c>
      <c r="I141">
        <v>3</v>
      </c>
      <c r="J141">
        <v>20</v>
      </c>
      <c r="K141">
        <v>1008000</v>
      </c>
      <c r="L141">
        <v>100</v>
      </c>
      <c r="M141" t="s">
        <v>29</v>
      </c>
      <c r="N141" t="str">
        <f>_xlfn.XLOOKUP(B141,tblCustomers[customer_id],tblCustomers[region],"Missing")</f>
        <v>North</v>
      </c>
      <c r="O141" t="str">
        <f>_xlfn.XLOOKUP(C141,tblProducts[product_id],tblProducts[product_name],"Missing")</f>
        <v>CRM Enterprise</v>
      </c>
      <c r="P141" t="str">
        <f>_xlfn.XLOOKUP(C141,tblProducts[product_id],tblProducts[category],"Missing")</f>
        <v>CRM</v>
      </c>
      <c r="Q141" t="str">
        <f>_xlfn.XLOOKUP(D141,tblSalesReps[rep_id],tblSalesReps[rep_name],"Missing")</f>
        <v>Sales Rep 09</v>
      </c>
      <c r="R141" t="str">
        <f>_xlfn.XLOOKUP(D141,tblSalesReps[rep_id],tblSalesReps[region],"Missing")</f>
        <v>North</v>
      </c>
    </row>
    <row r="142" spans="1:18">
      <c r="A142" t="s">
        <v>305</v>
      </c>
      <c r="B142" t="s">
        <v>306</v>
      </c>
      <c r="C142" t="s">
        <v>81</v>
      </c>
      <c r="D142" t="s">
        <v>56</v>
      </c>
      <c r="E142" s="1">
        <v>45946</v>
      </c>
      <c r="F142" s="1">
        <v>45989</v>
      </c>
      <c r="G142" s="1">
        <v>45989</v>
      </c>
      <c r="H142" t="s">
        <v>17</v>
      </c>
      <c r="I142">
        <v>1</v>
      </c>
      <c r="J142">
        <v>5</v>
      </c>
      <c r="K142">
        <v>285000</v>
      </c>
      <c r="L142">
        <v>0</v>
      </c>
      <c r="M142" t="s">
        <v>33</v>
      </c>
      <c r="N142" t="str">
        <f>_xlfn.XLOOKUP(B142,tblCustomers[customer_id],tblCustomers[region],"Missing")</f>
        <v>East</v>
      </c>
      <c r="O142" t="str">
        <f>_xlfn.XLOOKUP(C142,tblProducts[product_id],tblProducts[product_name],"Missing")</f>
        <v>Analytics Cloud</v>
      </c>
      <c r="P142" t="str">
        <f>_xlfn.XLOOKUP(C142,tblProducts[product_id],tblProducts[category],"Missing")</f>
        <v>Analytics</v>
      </c>
      <c r="Q142" t="str">
        <f>_xlfn.XLOOKUP(D142,tblSalesReps[rep_id],tblSalesReps[rep_name],"Missing")</f>
        <v>Sales Rep 20</v>
      </c>
      <c r="R142" t="str">
        <f>_xlfn.XLOOKUP(D142,tblSalesReps[rep_id],tblSalesReps[region],"Missing")</f>
        <v>East</v>
      </c>
    </row>
    <row r="143" spans="1:18">
      <c r="A143" t="s">
        <v>307</v>
      </c>
      <c r="B143" t="s">
        <v>308</v>
      </c>
      <c r="C143" t="s">
        <v>39</v>
      </c>
      <c r="D143" t="s">
        <v>70</v>
      </c>
      <c r="E143" s="1">
        <v>45775</v>
      </c>
      <c r="F143" s="1">
        <v>45798</v>
      </c>
      <c r="G143" s="1">
        <v>45798</v>
      </c>
      <c r="H143" t="s">
        <v>17</v>
      </c>
      <c r="I143">
        <v>1</v>
      </c>
      <c r="J143">
        <v>0</v>
      </c>
      <c r="K143">
        <v>180000</v>
      </c>
      <c r="L143">
        <v>0</v>
      </c>
      <c r="M143" t="s">
        <v>33</v>
      </c>
      <c r="N143" t="str">
        <f>_xlfn.XLOOKUP(B143,tblCustomers[customer_id],tblCustomers[region],"Missing")</f>
        <v>West</v>
      </c>
      <c r="O143" t="str">
        <f>_xlfn.XLOOKUP(C143,tblProducts[product_id],tblProducts[product_name],"Missing")</f>
        <v>Support Desk</v>
      </c>
      <c r="P143" t="str">
        <f>_xlfn.XLOOKUP(C143,tblProducts[product_id],tblProducts[category],"Missing")</f>
        <v>Service</v>
      </c>
      <c r="Q143" t="str">
        <f>_xlfn.XLOOKUP(D143,tblSalesReps[rep_id],tblSalesReps[rep_name],"Missing")</f>
        <v>Sales Rep 11</v>
      </c>
      <c r="R143" t="str">
        <f>_xlfn.XLOOKUP(D143,tblSalesReps[rep_id],tblSalesReps[region],"Missing")</f>
        <v>West</v>
      </c>
    </row>
    <row r="144" spans="1:18">
      <c r="A144" t="s">
        <v>309</v>
      </c>
      <c r="B144" t="s">
        <v>310</v>
      </c>
      <c r="C144" t="s">
        <v>62</v>
      </c>
      <c r="D144" t="s">
        <v>36</v>
      </c>
      <c r="E144" s="1">
        <v>45925</v>
      </c>
      <c r="F144" s="1">
        <v>45937</v>
      </c>
      <c r="G144" s="1">
        <v>45937</v>
      </c>
      <c r="H144" t="s">
        <v>17</v>
      </c>
      <c r="I144">
        <v>3</v>
      </c>
      <c r="J144">
        <v>15</v>
      </c>
      <c r="K144">
        <v>306000</v>
      </c>
      <c r="L144">
        <v>0</v>
      </c>
      <c r="M144" t="s">
        <v>82</v>
      </c>
      <c r="N144" t="str">
        <f>_xlfn.XLOOKUP(B144,tblCustomers[customer_id],tblCustomers[region],"Missing")</f>
        <v>North</v>
      </c>
      <c r="O144" t="str">
        <f>_xlfn.XLOOKUP(C144,tblProducts[product_id],tblProducts[product_name],"Missing")</f>
        <v>CRM Essentials</v>
      </c>
      <c r="P144" t="str">
        <f>_xlfn.XLOOKUP(C144,tblProducts[product_id],tblProducts[category],"Missing")</f>
        <v>CRM</v>
      </c>
      <c r="Q144" t="str">
        <f>_xlfn.XLOOKUP(D144,tblSalesReps[rep_id],tblSalesReps[rep_name],"Missing")</f>
        <v>Sales Rep 09</v>
      </c>
      <c r="R144" t="str">
        <f>_xlfn.XLOOKUP(D144,tblSalesReps[rep_id],tblSalesReps[region],"Missing")</f>
        <v>North</v>
      </c>
    </row>
    <row r="145" spans="1:18">
      <c r="A145" t="s">
        <v>311</v>
      </c>
      <c r="B145" t="s">
        <v>312</v>
      </c>
      <c r="C145" t="s">
        <v>21</v>
      </c>
      <c r="D145" t="s">
        <v>78</v>
      </c>
      <c r="E145" s="1">
        <v>45660</v>
      </c>
      <c r="F145" s="1">
        <v>45667</v>
      </c>
      <c r="G145" s="1">
        <v>45667</v>
      </c>
      <c r="H145" t="s">
        <v>17</v>
      </c>
      <c r="I145">
        <v>3</v>
      </c>
      <c r="J145">
        <v>20</v>
      </c>
      <c r="K145">
        <v>576000</v>
      </c>
      <c r="L145">
        <v>0</v>
      </c>
      <c r="M145" t="s">
        <v>33</v>
      </c>
      <c r="N145" t="str">
        <f>_xlfn.XLOOKUP(B145,tblCustomers[customer_id],tblCustomers[region],"Missing")</f>
        <v>West</v>
      </c>
      <c r="O145" t="str">
        <f>_xlfn.XLOOKUP(C145,tblProducts[product_id],tblProducts[product_name],"Missing")</f>
        <v>Workflow Automate</v>
      </c>
      <c r="P145" t="str">
        <f>_xlfn.XLOOKUP(C145,tblProducts[product_id],tblProducts[category],"Missing")</f>
        <v>Automation</v>
      </c>
      <c r="Q145" t="str">
        <f>_xlfn.XLOOKUP(D145,tblSalesReps[rep_id],tblSalesReps[rep_name],"Missing")</f>
        <v>Sales Rep 12</v>
      </c>
      <c r="R145" t="str">
        <f>_xlfn.XLOOKUP(D145,tblSalesReps[rep_id],tblSalesReps[region],"Missing")</f>
        <v>West</v>
      </c>
    </row>
    <row r="146" spans="1:18">
      <c r="A146" t="s">
        <v>313</v>
      </c>
      <c r="B146" t="s">
        <v>112</v>
      </c>
      <c r="C146" t="s">
        <v>15</v>
      </c>
      <c r="D146" t="s">
        <v>22</v>
      </c>
      <c r="E146" s="1">
        <v>45991</v>
      </c>
      <c r="F146" s="1">
        <v>46031</v>
      </c>
      <c r="G146" s="1"/>
      <c r="H146" t="s">
        <v>43</v>
      </c>
      <c r="I146">
        <v>3</v>
      </c>
      <c r="J146">
        <v>15</v>
      </c>
      <c r="K146">
        <v>1071000</v>
      </c>
      <c r="L146">
        <v>60</v>
      </c>
      <c r="M146" t="s">
        <v>29</v>
      </c>
      <c r="N146" t="str">
        <f>_xlfn.XLOOKUP(B146,tblCustomers[customer_id],tblCustomers[region],"Missing")</f>
        <v>West</v>
      </c>
      <c r="O146" t="str">
        <f>_xlfn.XLOOKUP(C146,tblProducts[product_id],tblProducts[product_name],"Missing")</f>
        <v>CRM Enterprise</v>
      </c>
      <c r="P146" t="str">
        <f>_xlfn.XLOOKUP(C146,tblProducts[product_id],tblProducts[category],"Missing")</f>
        <v>CRM</v>
      </c>
      <c r="Q146" t="str">
        <f>_xlfn.XLOOKUP(D146,tblSalesReps[rep_id],tblSalesReps[rep_name],"Missing")</f>
        <v>Sales Rep 14</v>
      </c>
      <c r="R146" t="str">
        <f>_xlfn.XLOOKUP(D146,tblSalesReps[rep_id],tblSalesReps[region],"Missing")</f>
        <v>West</v>
      </c>
    </row>
    <row r="147" spans="1:18">
      <c r="A147" t="s">
        <v>314</v>
      </c>
      <c r="B147" t="s">
        <v>156</v>
      </c>
      <c r="C147" t="s">
        <v>26</v>
      </c>
      <c r="D147" t="s">
        <v>27</v>
      </c>
      <c r="E147" s="1">
        <v>45775</v>
      </c>
      <c r="F147" s="1">
        <v>45802</v>
      </c>
      <c r="G147" s="1">
        <v>45802</v>
      </c>
      <c r="H147" t="s">
        <v>17</v>
      </c>
      <c r="I147">
        <v>1</v>
      </c>
      <c r="J147">
        <v>5</v>
      </c>
      <c r="K147">
        <v>342000</v>
      </c>
      <c r="L147">
        <v>0</v>
      </c>
      <c r="M147" t="s">
        <v>18</v>
      </c>
      <c r="N147" t="str">
        <f>_xlfn.XLOOKUP(B147,tblCustomers[customer_id],tblCustomers[region],"Missing")</f>
        <v>North</v>
      </c>
      <c r="O147" t="str">
        <f>_xlfn.XLOOKUP(C147,tblProducts[product_id],tblProducts[product_name],"Missing")</f>
        <v>Security Suite</v>
      </c>
      <c r="P147" t="str">
        <f>_xlfn.XLOOKUP(C147,tblProducts[product_id],tblProducts[category],"Missing")</f>
        <v>Security</v>
      </c>
      <c r="Q147" t="str">
        <f>_xlfn.XLOOKUP(D147,tblSalesReps[rep_id],tblSalesReps[rep_name],"Missing")</f>
        <v>Sales Rep 06</v>
      </c>
      <c r="R147" t="str">
        <f>_xlfn.XLOOKUP(D147,tblSalesReps[rep_id],tblSalesReps[region],"Missing")</f>
        <v>North</v>
      </c>
    </row>
    <row r="148" spans="1:18">
      <c r="A148" t="s">
        <v>315</v>
      </c>
      <c r="B148" t="s">
        <v>316</v>
      </c>
      <c r="C148" t="s">
        <v>39</v>
      </c>
      <c r="D148" t="s">
        <v>32</v>
      </c>
      <c r="E148" s="1">
        <v>45703</v>
      </c>
      <c r="F148" s="1">
        <v>45738</v>
      </c>
      <c r="G148" s="1">
        <v>45738</v>
      </c>
      <c r="H148" t="s">
        <v>28</v>
      </c>
      <c r="I148">
        <v>1</v>
      </c>
      <c r="J148">
        <v>0</v>
      </c>
      <c r="K148">
        <v>180000</v>
      </c>
      <c r="L148">
        <v>100</v>
      </c>
      <c r="M148" t="s">
        <v>29</v>
      </c>
      <c r="N148" t="str">
        <f>_xlfn.XLOOKUP(B148,tblCustomers[customer_id],tblCustomers[region],"Missing")</f>
        <v>South</v>
      </c>
      <c r="O148" t="str">
        <f>_xlfn.XLOOKUP(C148,tblProducts[product_id],tblProducts[product_name],"Missing")</f>
        <v>Support Desk</v>
      </c>
      <c r="P148" t="str">
        <f>_xlfn.XLOOKUP(C148,tblProducts[product_id],tblProducts[category],"Missing")</f>
        <v>Service</v>
      </c>
      <c r="Q148" t="str">
        <f>_xlfn.XLOOKUP(D148,tblSalesReps[rep_id],tblSalesReps[rep_name],"Missing")</f>
        <v>Sales Rep 04</v>
      </c>
      <c r="R148" t="str">
        <f>_xlfn.XLOOKUP(D148,tblSalesReps[rep_id],tblSalesReps[region],"Missing")</f>
        <v>South</v>
      </c>
    </row>
    <row r="149" spans="1:18">
      <c r="A149" t="s">
        <v>317</v>
      </c>
      <c r="B149" t="s">
        <v>318</v>
      </c>
      <c r="C149" t="s">
        <v>62</v>
      </c>
      <c r="D149" t="s">
        <v>63</v>
      </c>
      <c r="E149" s="1">
        <v>45919</v>
      </c>
      <c r="F149" s="1">
        <v>45955</v>
      </c>
      <c r="G149" s="1">
        <v>45955</v>
      </c>
      <c r="H149" t="s">
        <v>17</v>
      </c>
      <c r="I149">
        <v>3</v>
      </c>
      <c r="J149">
        <v>5</v>
      </c>
      <c r="K149">
        <v>342000</v>
      </c>
      <c r="L149">
        <v>0</v>
      </c>
      <c r="M149" t="s">
        <v>18</v>
      </c>
      <c r="N149" t="str">
        <f>_xlfn.XLOOKUP(B149,tblCustomers[customer_id],tblCustomers[region],"Missing")</f>
        <v>South</v>
      </c>
      <c r="O149" t="str">
        <f>_xlfn.XLOOKUP(C149,tblProducts[product_id],tblProducts[product_name],"Missing")</f>
        <v>CRM Essentials</v>
      </c>
      <c r="P149" t="str">
        <f>_xlfn.XLOOKUP(C149,tblProducts[product_id],tblProducts[category],"Missing")</f>
        <v>CRM</v>
      </c>
      <c r="Q149" t="str">
        <f>_xlfn.XLOOKUP(D149,tblSalesReps[rep_id],tblSalesReps[rep_name],"Missing")</f>
        <v>Sales Rep 05</v>
      </c>
      <c r="R149" t="str">
        <f>_xlfn.XLOOKUP(D149,tblSalesReps[rep_id],tblSalesReps[region],"Missing")</f>
        <v>South</v>
      </c>
    </row>
    <row r="150" spans="1:18">
      <c r="A150" t="s">
        <v>319</v>
      </c>
      <c r="B150" t="s">
        <v>320</v>
      </c>
      <c r="C150" t="s">
        <v>39</v>
      </c>
      <c r="D150" t="s">
        <v>27</v>
      </c>
      <c r="E150" s="1">
        <v>46018</v>
      </c>
      <c r="F150" s="1">
        <v>46036</v>
      </c>
      <c r="G150" s="1"/>
      <c r="H150" t="s">
        <v>43</v>
      </c>
      <c r="I150">
        <v>3</v>
      </c>
      <c r="J150">
        <v>10</v>
      </c>
      <c r="K150">
        <v>486000</v>
      </c>
      <c r="L150">
        <v>60</v>
      </c>
      <c r="M150" t="s">
        <v>29</v>
      </c>
      <c r="N150" t="str">
        <f>_xlfn.XLOOKUP(B150,tblCustomers[customer_id],tblCustomers[region],"Missing")</f>
        <v>North</v>
      </c>
      <c r="O150" t="str">
        <f>_xlfn.XLOOKUP(C150,tblProducts[product_id],tblProducts[product_name],"Missing")</f>
        <v>Support Desk</v>
      </c>
      <c r="P150" t="str">
        <f>_xlfn.XLOOKUP(C150,tblProducts[product_id],tblProducts[category],"Missing")</f>
        <v>Service</v>
      </c>
      <c r="Q150" t="str">
        <f>_xlfn.XLOOKUP(D150,tblSalesReps[rep_id],tblSalesReps[rep_name],"Missing")</f>
        <v>Sales Rep 06</v>
      </c>
      <c r="R150" t="str">
        <f>_xlfn.XLOOKUP(D150,tblSalesReps[rep_id],tblSalesReps[region],"Missing")</f>
        <v>North</v>
      </c>
    </row>
    <row r="151" spans="1:18">
      <c r="A151" t="s">
        <v>321</v>
      </c>
      <c r="B151" t="s">
        <v>112</v>
      </c>
      <c r="C151" t="s">
        <v>39</v>
      </c>
      <c r="D151" t="s">
        <v>70</v>
      </c>
      <c r="E151" s="1">
        <v>45915</v>
      </c>
      <c r="F151" s="1">
        <v>45936</v>
      </c>
      <c r="G151" s="1">
        <v>45936</v>
      </c>
      <c r="H151" t="s">
        <v>28</v>
      </c>
      <c r="I151">
        <v>3</v>
      </c>
      <c r="J151">
        <v>10</v>
      </c>
      <c r="K151">
        <v>486000</v>
      </c>
      <c r="L151">
        <v>100</v>
      </c>
      <c r="M151" t="s">
        <v>29</v>
      </c>
      <c r="N151" t="str">
        <f>_xlfn.XLOOKUP(B151,tblCustomers[customer_id],tblCustomers[region],"Missing")</f>
        <v>West</v>
      </c>
      <c r="O151" t="str">
        <f>_xlfn.XLOOKUP(C151,tblProducts[product_id],tblProducts[product_name],"Missing")</f>
        <v>Support Desk</v>
      </c>
      <c r="P151" t="str">
        <f>_xlfn.XLOOKUP(C151,tblProducts[product_id],tblProducts[category],"Missing")</f>
        <v>Service</v>
      </c>
      <c r="Q151" t="str">
        <f>_xlfn.XLOOKUP(D151,tblSalesReps[rep_id],tblSalesReps[rep_name],"Missing")</f>
        <v>Sales Rep 11</v>
      </c>
      <c r="R151" t="str">
        <f>_xlfn.XLOOKUP(D151,tblSalesReps[rep_id],tblSalesReps[region],"Missing")</f>
        <v>West</v>
      </c>
    </row>
    <row r="152" spans="1:18">
      <c r="A152" t="s">
        <v>322</v>
      </c>
      <c r="B152" t="s">
        <v>238</v>
      </c>
      <c r="C152" t="s">
        <v>15</v>
      </c>
      <c r="D152" t="s">
        <v>78</v>
      </c>
      <c r="E152" s="1">
        <v>45819</v>
      </c>
      <c r="F152" s="1">
        <v>45871</v>
      </c>
      <c r="G152" s="1">
        <v>45871</v>
      </c>
      <c r="H152" t="s">
        <v>17</v>
      </c>
      <c r="I152">
        <v>3</v>
      </c>
      <c r="J152">
        <v>20</v>
      </c>
      <c r="K152">
        <v>1008000</v>
      </c>
      <c r="L152">
        <v>0</v>
      </c>
      <c r="M152" t="s">
        <v>18</v>
      </c>
      <c r="N152" t="str">
        <f>_xlfn.XLOOKUP(B152,tblCustomers[customer_id],tblCustomers[region],"Missing")</f>
        <v>West</v>
      </c>
      <c r="O152" t="str">
        <f>_xlfn.XLOOKUP(C152,tblProducts[product_id],tblProducts[product_name],"Missing")</f>
        <v>CRM Enterprise</v>
      </c>
      <c r="P152" t="str">
        <f>_xlfn.XLOOKUP(C152,tblProducts[product_id],tblProducts[category],"Missing")</f>
        <v>CRM</v>
      </c>
      <c r="Q152" t="str">
        <f>_xlfn.XLOOKUP(D152,tblSalesReps[rep_id],tblSalesReps[rep_name],"Missing")</f>
        <v>Sales Rep 12</v>
      </c>
      <c r="R152" t="str">
        <f>_xlfn.XLOOKUP(D152,tblSalesReps[rep_id],tblSalesReps[region],"Missing")</f>
        <v>West</v>
      </c>
    </row>
    <row r="153" spans="1:18">
      <c r="A153" t="s">
        <v>323</v>
      </c>
      <c r="B153" t="s">
        <v>131</v>
      </c>
      <c r="C153" t="s">
        <v>21</v>
      </c>
      <c r="D153" t="s">
        <v>75</v>
      </c>
      <c r="E153" s="1">
        <v>45951</v>
      </c>
      <c r="F153" s="1">
        <v>45982</v>
      </c>
      <c r="G153" s="1">
        <v>45982</v>
      </c>
      <c r="H153" t="s">
        <v>28</v>
      </c>
      <c r="I153">
        <v>2</v>
      </c>
      <c r="J153">
        <v>5</v>
      </c>
      <c r="K153">
        <v>456000</v>
      </c>
      <c r="L153">
        <v>100</v>
      </c>
      <c r="M153" t="s">
        <v>29</v>
      </c>
      <c r="N153" t="str">
        <f>_xlfn.XLOOKUP(B153,tblCustomers[customer_id],tblCustomers[region],"Missing")</f>
        <v>North</v>
      </c>
      <c r="O153" t="str">
        <f>_xlfn.XLOOKUP(C153,tblProducts[product_id],tblProducts[product_name],"Missing")</f>
        <v>Workflow Automate</v>
      </c>
      <c r="P153" t="str">
        <f>_xlfn.XLOOKUP(C153,tblProducts[product_id],tblProducts[category],"Missing")</f>
        <v>Automation</v>
      </c>
      <c r="Q153" t="str">
        <f>_xlfn.XLOOKUP(D153,tblSalesReps[rep_id],tblSalesReps[rep_name],"Missing")</f>
        <v>Sales Rep 07</v>
      </c>
      <c r="R153" t="str">
        <f>_xlfn.XLOOKUP(D153,tblSalesReps[rep_id],tblSalesReps[region],"Missing")</f>
        <v>North</v>
      </c>
    </row>
    <row r="154" spans="1:18">
      <c r="A154" t="s">
        <v>324</v>
      </c>
      <c r="B154" t="s">
        <v>325</v>
      </c>
      <c r="C154" t="s">
        <v>62</v>
      </c>
      <c r="D154" t="s">
        <v>32</v>
      </c>
      <c r="E154" s="1">
        <v>45972</v>
      </c>
      <c r="F154" s="1">
        <v>46048</v>
      </c>
      <c r="G154" s="1"/>
      <c r="H154" t="s">
        <v>43</v>
      </c>
      <c r="I154">
        <v>1</v>
      </c>
      <c r="J154">
        <v>15</v>
      </c>
      <c r="K154">
        <v>102000</v>
      </c>
      <c r="L154">
        <v>60</v>
      </c>
      <c r="M154" t="s">
        <v>29</v>
      </c>
      <c r="N154" t="str">
        <f>_xlfn.XLOOKUP(B154,tblCustomers[customer_id],tblCustomers[region],"Missing")</f>
        <v>South</v>
      </c>
      <c r="O154" t="str">
        <f>_xlfn.XLOOKUP(C154,tblProducts[product_id],tblProducts[product_name],"Missing")</f>
        <v>CRM Essentials</v>
      </c>
      <c r="P154" t="str">
        <f>_xlfn.XLOOKUP(C154,tblProducts[product_id],tblProducts[category],"Missing")</f>
        <v>CRM</v>
      </c>
      <c r="Q154" t="str">
        <f>_xlfn.XLOOKUP(D154,tblSalesReps[rep_id],tblSalesReps[rep_name],"Missing")</f>
        <v>Sales Rep 04</v>
      </c>
      <c r="R154" t="str">
        <f>_xlfn.XLOOKUP(D154,tblSalesReps[rep_id],tblSalesReps[region],"Missing")</f>
        <v>South</v>
      </c>
    </row>
    <row r="155" spans="1:18">
      <c r="A155" t="s">
        <v>326</v>
      </c>
      <c r="B155" t="s">
        <v>327</v>
      </c>
      <c r="C155" t="s">
        <v>39</v>
      </c>
      <c r="D155" t="s">
        <v>59</v>
      </c>
      <c r="E155" s="1">
        <v>45902</v>
      </c>
      <c r="F155" s="1">
        <v>45913</v>
      </c>
      <c r="G155" s="1"/>
      <c r="H155" t="s">
        <v>43</v>
      </c>
      <c r="I155">
        <v>3</v>
      </c>
      <c r="J155">
        <v>10</v>
      </c>
      <c r="K155">
        <v>486000</v>
      </c>
      <c r="L155">
        <v>80</v>
      </c>
      <c r="M155" t="s">
        <v>29</v>
      </c>
      <c r="N155" t="str">
        <f>_xlfn.XLOOKUP(B155,tblCustomers[customer_id],tblCustomers[region],"Missing")</f>
        <v>East</v>
      </c>
      <c r="O155" t="str">
        <f>_xlfn.XLOOKUP(C155,tblProducts[product_id],tblProducts[product_name],"Missing")</f>
        <v>Support Desk</v>
      </c>
      <c r="P155" t="str">
        <f>_xlfn.XLOOKUP(C155,tblProducts[product_id],tblProducts[category],"Missing")</f>
        <v>Service</v>
      </c>
      <c r="Q155" t="str">
        <f>_xlfn.XLOOKUP(D155,tblSalesReps[rep_id],tblSalesReps[rep_name],"Missing")</f>
        <v>Sales Rep 19</v>
      </c>
      <c r="R155" t="str">
        <f>_xlfn.XLOOKUP(D155,tblSalesReps[rep_id],tblSalesReps[region],"Missing")</f>
        <v>East</v>
      </c>
    </row>
    <row r="156" spans="1:18">
      <c r="A156" t="s">
        <v>328</v>
      </c>
      <c r="B156" t="s">
        <v>329</v>
      </c>
      <c r="C156" t="s">
        <v>15</v>
      </c>
      <c r="D156" t="s">
        <v>36</v>
      </c>
      <c r="E156" s="1">
        <v>45955</v>
      </c>
      <c r="F156" s="1">
        <v>46008</v>
      </c>
      <c r="G156" s="1">
        <v>46008</v>
      </c>
      <c r="H156" t="s">
        <v>28</v>
      </c>
      <c r="I156">
        <v>3</v>
      </c>
      <c r="J156">
        <v>10</v>
      </c>
      <c r="K156">
        <v>1134000</v>
      </c>
      <c r="L156">
        <v>100</v>
      </c>
      <c r="M156" t="s">
        <v>29</v>
      </c>
      <c r="N156" t="str">
        <f>_xlfn.XLOOKUP(B156,tblCustomers[customer_id],tblCustomers[region],"Missing")</f>
        <v>North</v>
      </c>
      <c r="O156" t="str">
        <f>_xlfn.XLOOKUP(C156,tblProducts[product_id],tblProducts[product_name],"Missing")</f>
        <v>CRM Enterprise</v>
      </c>
      <c r="P156" t="str">
        <f>_xlfn.XLOOKUP(C156,tblProducts[product_id],tblProducts[category],"Missing")</f>
        <v>CRM</v>
      </c>
      <c r="Q156" t="str">
        <f>_xlfn.XLOOKUP(D156,tblSalesReps[rep_id],tblSalesReps[rep_name],"Missing")</f>
        <v>Sales Rep 09</v>
      </c>
      <c r="R156" t="str">
        <f>_xlfn.XLOOKUP(D156,tblSalesReps[rep_id],tblSalesReps[region],"Missing")</f>
        <v>North</v>
      </c>
    </row>
    <row r="157" spans="1:18">
      <c r="A157" t="s">
        <v>330</v>
      </c>
      <c r="B157" t="s">
        <v>331</v>
      </c>
      <c r="C157" t="s">
        <v>21</v>
      </c>
      <c r="D157" t="s">
        <v>152</v>
      </c>
      <c r="E157" s="1">
        <v>45863</v>
      </c>
      <c r="F157" s="1">
        <v>45893</v>
      </c>
      <c r="G157" s="1">
        <v>45893</v>
      </c>
      <c r="H157" t="s">
        <v>28</v>
      </c>
      <c r="I157">
        <v>3</v>
      </c>
      <c r="J157">
        <v>5</v>
      </c>
      <c r="K157">
        <v>684000</v>
      </c>
      <c r="L157">
        <v>100</v>
      </c>
      <c r="M157" t="s">
        <v>29</v>
      </c>
      <c r="N157" t="str">
        <f>_xlfn.XLOOKUP(B157,tblCustomers[customer_id],tblCustomers[region],"Missing")</f>
        <v>East</v>
      </c>
      <c r="O157" t="str">
        <f>_xlfn.XLOOKUP(C157,tblProducts[product_id],tblProducts[product_name],"Missing")</f>
        <v>Workflow Automate</v>
      </c>
      <c r="P157" t="str">
        <f>_xlfn.XLOOKUP(C157,tblProducts[product_id],tblProducts[category],"Missing")</f>
        <v>Automation</v>
      </c>
      <c r="Q157" t="str">
        <f>_xlfn.XLOOKUP(D157,tblSalesReps[rep_id],tblSalesReps[rep_name],"Missing")</f>
        <v>Sales Rep 18</v>
      </c>
      <c r="R157" t="str">
        <f>_xlfn.XLOOKUP(D157,tblSalesReps[rep_id],tblSalesReps[region],"Missing")</f>
        <v>East</v>
      </c>
    </row>
    <row r="158" spans="1:18">
      <c r="A158" t="s">
        <v>332</v>
      </c>
      <c r="B158" t="s">
        <v>333</v>
      </c>
      <c r="C158" t="s">
        <v>15</v>
      </c>
      <c r="D158" t="s">
        <v>75</v>
      </c>
      <c r="E158" s="1">
        <v>45900</v>
      </c>
      <c r="F158" s="1">
        <v>45929</v>
      </c>
      <c r="G158" s="1"/>
      <c r="H158" t="s">
        <v>43</v>
      </c>
      <c r="I158">
        <v>2</v>
      </c>
      <c r="J158">
        <v>15</v>
      </c>
      <c r="K158">
        <v>714000</v>
      </c>
      <c r="L158">
        <v>40</v>
      </c>
      <c r="M158" t="s">
        <v>29</v>
      </c>
      <c r="N158" t="str">
        <f>_xlfn.XLOOKUP(B158,tblCustomers[customer_id],tblCustomers[region],"Missing")</f>
        <v>North</v>
      </c>
      <c r="O158" t="str">
        <f>_xlfn.XLOOKUP(C158,tblProducts[product_id],tblProducts[product_name],"Missing")</f>
        <v>CRM Enterprise</v>
      </c>
      <c r="P158" t="str">
        <f>_xlfn.XLOOKUP(C158,tblProducts[product_id],tblProducts[category],"Missing")</f>
        <v>CRM</v>
      </c>
      <c r="Q158" t="str">
        <f>_xlfn.XLOOKUP(D158,tblSalesReps[rep_id],tblSalesReps[rep_name],"Missing")</f>
        <v>Sales Rep 07</v>
      </c>
      <c r="R158" t="str">
        <f>_xlfn.XLOOKUP(D158,tblSalesReps[rep_id],tblSalesReps[region],"Missing")</f>
        <v>North</v>
      </c>
    </row>
    <row r="159" spans="1:18">
      <c r="A159" t="s">
        <v>334</v>
      </c>
      <c r="B159" t="s">
        <v>335</v>
      </c>
      <c r="C159" t="s">
        <v>21</v>
      </c>
      <c r="D159" t="s">
        <v>22</v>
      </c>
      <c r="E159" s="1">
        <v>45980</v>
      </c>
      <c r="F159" s="1">
        <v>46029</v>
      </c>
      <c r="G159" s="1"/>
      <c r="H159" t="s">
        <v>43</v>
      </c>
      <c r="I159">
        <v>1</v>
      </c>
      <c r="J159">
        <v>10</v>
      </c>
      <c r="K159">
        <v>216000</v>
      </c>
      <c r="L159">
        <v>60</v>
      </c>
      <c r="M159" t="s">
        <v>29</v>
      </c>
      <c r="N159" t="str">
        <f>_xlfn.XLOOKUP(B159,tblCustomers[customer_id],tblCustomers[region],"Missing")</f>
        <v>West</v>
      </c>
      <c r="O159" t="str">
        <f>_xlfn.XLOOKUP(C159,tblProducts[product_id],tblProducts[product_name],"Missing")</f>
        <v>Workflow Automate</v>
      </c>
      <c r="P159" t="str">
        <f>_xlfn.XLOOKUP(C159,tblProducts[product_id],tblProducts[category],"Missing")</f>
        <v>Automation</v>
      </c>
      <c r="Q159" t="str">
        <f>_xlfn.XLOOKUP(D159,tblSalesReps[rep_id],tblSalesReps[rep_name],"Missing")</f>
        <v>Sales Rep 14</v>
      </c>
      <c r="R159" t="str">
        <f>_xlfn.XLOOKUP(D159,tblSalesReps[rep_id],tblSalesReps[region],"Missing")</f>
        <v>West</v>
      </c>
    </row>
    <row r="160" spans="1:18">
      <c r="A160" t="s">
        <v>336</v>
      </c>
      <c r="B160" t="s">
        <v>219</v>
      </c>
      <c r="C160" t="s">
        <v>21</v>
      </c>
      <c r="D160" t="s">
        <v>152</v>
      </c>
      <c r="E160" s="1">
        <v>45824</v>
      </c>
      <c r="F160" s="1">
        <v>45893</v>
      </c>
      <c r="G160" s="1">
        <v>45893</v>
      </c>
      <c r="H160" t="s">
        <v>17</v>
      </c>
      <c r="I160">
        <v>2</v>
      </c>
      <c r="J160">
        <v>0</v>
      </c>
      <c r="K160">
        <v>480000</v>
      </c>
      <c r="L160">
        <v>0</v>
      </c>
      <c r="M160" t="s">
        <v>33</v>
      </c>
      <c r="N160" t="str">
        <f>_xlfn.XLOOKUP(B160,tblCustomers[customer_id],tblCustomers[region],"Missing")</f>
        <v>East</v>
      </c>
      <c r="O160" t="str">
        <f>_xlfn.XLOOKUP(C160,tblProducts[product_id],tblProducts[product_name],"Missing")</f>
        <v>Workflow Automate</v>
      </c>
      <c r="P160" t="str">
        <f>_xlfn.XLOOKUP(C160,tblProducts[product_id],tblProducts[category],"Missing")</f>
        <v>Automation</v>
      </c>
      <c r="Q160" t="str">
        <f>_xlfn.XLOOKUP(D160,tblSalesReps[rep_id],tblSalesReps[rep_name],"Missing")</f>
        <v>Sales Rep 18</v>
      </c>
      <c r="R160" t="str">
        <f>_xlfn.XLOOKUP(D160,tblSalesReps[rep_id],tblSalesReps[region],"Missing")</f>
        <v>East</v>
      </c>
    </row>
    <row r="161" spans="1:18">
      <c r="A161" t="s">
        <v>337</v>
      </c>
      <c r="B161" t="s">
        <v>131</v>
      </c>
      <c r="C161" t="s">
        <v>21</v>
      </c>
      <c r="D161" t="s">
        <v>16</v>
      </c>
      <c r="E161" s="1">
        <v>46021</v>
      </c>
      <c r="F161" s="1">
        <v>46078</v>
      </c>
      <c r="G161" s="1"/>
      <c r="H161" t="s">
        <v>43</v>
      </c>
      <c r="I161">
        <v>1</v>
      </c>
      <c r="J161">
        <v>15</v>
      </c>
      <c r="K161">
        <v>204000</v>
      </c>
      <c r="L161">
        <v>60</v>
      </c>
      <c r="M161" t="s">
        <v>29</v>
      </c>
      <c r="N161" t="str">
        <f>_xlfn.XLOOKUP(B161,tblCustomers[customer_id],tblCustomers[region],"Missing")</f>
        <v>North</v>
      </c>
      <c r="O161" t="str">
        <f>_xlfn.XLOOKUP(C161,tblProducts[product_id],tblProducts[product_name],"Missing")</f>
        <v>Workflow Automate</v>
      </c>
      <c r="P161" t="str">
        <f>_xlfn.XLOOKUP(C161,tblProducts[product_id],tblProducts[category],"Missing")</f>
        <v>Automation</v>
      </c>
      <c r="Q161" t="str">
        <f>_xlfn.XLOOKUP(D161,tblSalesReps[rep_id],tblSalesReps[rep_name],"Missing")</f>
        <v>Sales Rep 08</v>
      </c>
      <c r="R161" t="str">
        <f>_xlfn.XLOOKUP(D161,tblSalesReps[rep_id],tblSalesReps[region],"Missing")</f>
        <v>North</v>
      </c>
    </row>
    <row r="162" spans="1:18">
      <c r="A162" t="s">
        <v>338</v>
      </c>
      <c r="B162" t="s">
        <v>339</v>
      </c>
      <c r="C162" t="s">
        <v>81</v>
      </c>
      <c r="D162" t="s">
        <v>50</v>
      </c>
      <c r="E162" s="1">
        <v>45685</v>
      </c>
      <c r="F162" s="1">
        <v>45742</v>
      </c>
      <c r="G162" s="1">
        <v>45742</v>
      </c>
      <c r="H162" t="s">
        <v>28</v>
      </c>
      <c r="I162">
        <v>3</v>
      </c>
      <c r="J162">
        <v>0</v>
      </c>
      <c r="K162">
        <v>900000</v>
      </c>
      <c r="L162">
        <v>100</v>
      </c>
      <c r="M162" t="s">
        <v>29</v>
      </c>
      <c r="N162" t="str">
        <f>_xlfn.XLOOKUP(B162,tblCustomers[customer_id],tblCustomers[region],"Missing")</f>
        <v>West</v>
      </c>
      <c r="O162" t="str">
        <f>_xlfn.XLOOKUP(C162,tblProducts[product_id],tblProducts[product_name],"Missing")</f>
        <v>Analytics Cloud</v>
      </c>
      <c r="P162" t="str">
        <f>_xlfn.XLOOKUP(C162,tblProducts[product_id],tblProducts[category],"Missing")</f>
        <v>Analytics</v>
      </c>
      <c r="Q162" t="str">
        <f>_xlfn.XLOOKUP(D162,tblSalesReps[rep_id],tblSalesReps[rep_name],"Missing")</f>
        <v>Sales Rep 15</v>
      </c>
      <c r="R162" t="str">
        <f>_xlfn.XLOOKUP(D162,tblSalesReps[rep_id],tblSalesReps[region],"Missing")</f>
        <v>West</v>
      </c>
    </row>
    <row r="163" spans="1:18">
      <c r="A163" t="s">
        <v>340</v>
      </c>
      <c r="B163" t="s">
        <v>341</v>
      </c>
      <c r="C163" t="s">
        <v>15</v>
      </c>
      <c r="D163" t="s">
        <v>56</v>
      </c>
      <c r="E163" s="1">
        <v>45745</v>
      </c>
      <c r="F163" s="1">
        <v>45797</v>
      </c>
      <c r="G163" s="1">
        <v>45797</v>
      </c>
      <c r="H163" t="s">
        <v>28</v>
      </c>
      <c r="I163">
        <v>1</v>
      </c>
      <c r="J163">
        <v>15</v>
      </c>
      <c r="K163">
        <v>357000</v>
      </c>
      <c r="L163">
        <v>100</v>
      </c>
      <c r="M163" t="s">
        <v>29</v>
      </c>
      <c r="N163" t="str">
        <f>_xlfn.XLOOKUP(B163,tblCustomers[customer_id],tblCustomers[region],"Missing")</f>
        <v>East</v>
      </c>
      <c r="O163" t="str">
        <f>_xlfn.XLOOKUP(C163,tblProducts[product_id],tblProducts[product_name],"Missing")</f>
        <v>CRM Enterprise</v>
      </c>
      <c r="P163" t="str">
        <f>_xlfn.XLOOKUP(C163,tblProducts[product_id],tblProducts[category],"Missing")</f>
        <v>CRM</v>
      </c>
      <c r="Q163" t="str">
        <f>_xlfn.XLOOKUP(D163,tblSalesReps[rep_id],tblSalesReps[rep_name],"Missing")</f>
        <v>Sales Rep 20</v>
      </c>
      <c r="R163" t="str">
        <f>_xlfn.XLOOKUP(D163,tblSalesReps[rep_id],tblSalesReps[region],"Missing")</f>
        <v>East</v>
      </c>
    </row>
    <row r="164" spans="1:18">
      <c r="A164" t="s">
        <v>342</v>
      </c>
      <c r="B164" t="s">
        <v>343</v>
      </c>
      <c r="C164" t="s">
        <v>26</v>
      </c>
      <c r="D164" t="s">
        <v>56</v>
      </c>
      <c r="E164" s="1">
        <v>45816</v>
      </c>
      <c r="F164" s="1">
        <v>45884</v>
      </c>
      <c r="G164" s="1"/>
      <c r="H164" t="s">
        <v>43</v>
      </c>
      <c r="I164">
        <v>3</v>
      </c>
      <c r="J164">
        <v>5</v>
      </c>
      <c r="K164">
        <v>1026000</v>
      </c>
      <c r="L164">
        <v>20</v>
      </c>
      <c r="M164" t="s">
        <v>29</v>
      </c>
      <c r="N164" t="str">
        <f>_xlfn.XLOOKUP(B164,tblCustomers[customer_id],tblCustomers[region],"Missing")</f>
        <v>East</v>
      </c>
      <c r="O164" t="str">
        <f>_xlfn.XLOOKUP(C164,tblProducts[product_id],tblProducts[product_name],"Missing")</f>
        <v>Security Suite</v>
      </c>
      <c r="P164" t="str">
        <f>_xlfn.XLOOKUP(C164,tblProducts[product_id],tblProducts[category],"Missing")</f>
        <v>Security</v>
      </c>
      <c r="Q164" t="str">
        <f>_xlfn.XLOOKUP(D164,tblSalesReps[rep_id],tblSalesReps[rep_name],"Missing")</f>
        <v>Sales Rep 20</v>
      </c>
      <c r="R164" t="str">
        <f>_xlfn.XLOOKUP(D164,tblSalesReps[rep_id],tblSalesReps[region],"Missing")</f>
        <v>East</v>
      </c>
    </row>
    <row r="165" spans="1:18">
      <c r="A165" t="s">
        <v>344</v>
      </c>
      <c r="B165" t="s">
        <v>345</v>
      </c>
      <c r="C165" t="s">
        <v>81</v>
      </c>
      <c r="D165" t="s">
        <v>22</v>
      </c>
      <c r="E165" s="1">
        <v>45811</v>
      </c>
      <c r="F165" s="1">
        <v>45873</v>
      </c>
      <c r="G165" s="1">
        <v>45873</v>
      </c>
      <c r="H165" t="s">
        <v>28</v>
      </c>
      <c r="I165">
        <v>1</v>
      </c>
      <c r="J165">
        <v>20</v>
      </c>
      <c r="K165">
        <v>240000</v>
      </c>
      <c r="L165">
        <v>100</v>
      </c>
      <c r="M165" t="s">
        <v>29</v>
      </c>
      <c r="N165" t="str">
        <f>_xlfn.XLOOKUP(B165,tblCustomers[customer_id],tblCustomers[region],"Missing")</f>
        <v>West</v>
      </c>
      <c r="O165" t="str">
        <f>_xlfn.XLOOKUP(C165,tblProducts[product_id],tblProducts[product_name],"Missing")</f>
        <v>Analytics Cloud</v>
      </c>
      <c r="P165" t="str">
        <f>_xlfn.XLOOKUP(C165,tblProducts[product_id],tblProducts[category],"Missing")</f>
        <v>Analytics</v>
      </c>
      <c r="Q165" t="str">
        <f>_xlfn.XLOOKUP(D165,tblSalesReps[rep_id],tblSalesReps[rep_name],"Missing")</f>
        <v>Sales Rep 14</v>
      </c>
      <c r="R165" t="str">
        <f>_xlfn.XLOOKUP(D165,tblSalesReps[rep_id],tblSalesReps[region],"Missing")</f>
        <v>West</v>
      </c>
    </row>
    <row r="166" spans="1:18">
      <c r="A166" t="s">
        <v>346</v>
      </c>
      <c r="B166" t="s">
        <v>151</v>
      </c>
      <c r="C166" t="s">
        <v>15</v>
      </c>
      <c r="D166" t="s">
        <v>168</v>
      </c>
      <c r="E166" s="1">
        <v>45988</v>
      </c>
      <c r="F166" s="1">
        <v>46043</v>
      </c>
      <c r="G166" s="1"/>
      <c r="H166" t="s">
        <v>43</v>
      </c>
      <c r="I166">
        <v>1</v>
      </c>
      <c r="J166">
        <v>10</v>
      </c>
      <c r="K166">
        <v>378000</v>
      </c>
      <c r="L166">
        <v>20</v>
      </c>
      <c r="M166" t="s">
        <v>29</v>
      </c>
      <c r="N166" t="str">
        <f>_xlfn.XLOOKUP(B166,tblCustomers[customer_id],tblCustomers[region],"Missing")</f>
        <v>East</v>
      </c>
      <c r="O166" t="str">
        <f>_xlfn.XLOOKUP(C166,tblProducts[product_id],tblProducts[product_name],"Missing")</f>
        <v>CRM Enterprise</v>
      </c>
      <c r="P166" t="str">
        <f>_xlfn.XLOOKUP(C166,tblProducts[product_id],tblProducts[category],"Missing")</f>
        <v>CRM</v>
      </c>
      <c r="Q166" t="str">
        <f>_xlfn.XLOOKUP(D166,tblSalesReps[rep_id],tblSalesReps[rep_name],"Missing")</f>
        <v>Sales Rep 17</v>
      </c>
      <c r="R166" t="str">
        <f>_xlfn.XLOOKUP(D166,tblSalesReps[rep_id],tblSalesReps[region],"Missing")</f>
        <v>East</v>
      </c>
    </row>
    <row r="167" spans="1:18">
      <c r="A167" t="s">
        <v>347</v>
      </c>
      <c r="B167" t="s">
        <v>348</v>
      </c>
      <c r="C167" t="s">
        <v>81</v>
      </c>
      <c r="D167" t="s">
        <v>56</v>
      </c>
      <c r="E167" s="1">
        <v>45889</v>
      </c>
      <c r="F167" s="1">
        <v>45958</v>
      </c>
      <c r="G167" s="1">
        <v>45958</v>
      </c>
      <c r="H167" t="s">
        <v>28</v>
      </c>
      <c r="I167">
        <v>1</v>
      </c>
      <c r="J167">
        <v>10</v>
      </c>
      <c r="K167">
        <v>270000</v>
      </c>
      <c r="L167">
        <v>100</v>
      </c>
      <c r="M167" t="s">
        <v>29</v>
      </c>
      <c r="N167" t="str">
        <f>_xlfn.XLOOKUP(B167,tblCustomers[customer_id],tblCustomers[region],"Missing")</f>
        <v>East</v>
      </c>
      <c r="O167" t="str">
        <f>_xlfn.XLOOKUP(C167,tblProducts[product_id],tblProducts[product_name],"Missing")</f>
        <v>Analytics Cloud</v>
      </c>
      <c r="P167" t="str">
        <f>_xlfn.XLOOKUP(C167,tblProducts[product_id],tblProducts[category],"Missing")</f>
        <v>Analytics</v>
      </c>
      <c r="Q167" t="str">
        <f>_xlfn.XLOOKUP(D167,tblSalesReps[rep_id],tblSalesReps[rep_name],"Missing")</f>
        <v>Sales Rep 20</v>
      </c>
      <c r="R167" t="str">
        <f>_xlfn.XLOOKUP(D167,tblSalesReps[rep_id],tblSalesReps[region],"Missing")</f>
        <v>East</v>
      </c>
    </row>
    <row r="168" spans="1:18">
      <c r="A168" t="s">
        <v>349</v>
      </c>
      <c r="B168" t="s">
        <v>202</v>
      </c>
      <c r="C168" t="s">
        <v>26</v>
      </c>
      <c r="D168" t="s">
        <v>53</v>
      </c>
      <c r="E168" s="1">
        <v>45777</v>
      </c>
      <c r="F168" s="1">
        <v>45785</v>
      </c>
      <c r="G168" s="1">
        <v>45785</v>
      </c>
      <c r="H168" t="s">
        <v>28</v>
      </c>
      <c r="I168">
        <v>2</v>
      </c>
      <c r="J168">
        <v>5</v>
      </c>
      <c r="K168">
        <v>684000</v>
      </c>
      <c r="L168">
        <v>100</v>
      </c>
      <c r="M168" t="s">
        <v>29</v>
      </c>
      <c r="N168" t="str">
        <f>_xlfn.XLOOKUP(B168,tblCustomers[customer_id],tblCustomers[region],"Missing")</f>
        <v>East</v>
      </c>
      <c r="O168" t="str">
        <f>_xlfn.XLOOKUP(C168,tblProducts[product_id],tblProducts[product_name],"Missing")</f>
        <v>Security Suite</v>
      </c>
      <c r="P168" t="str">
        <f>_xlfn.XLOOKUP(C168,tblProducts[product_id],tblProducts[category],"Missing")</f>
        <v>Security</v>
      </c>
      <c r="Q168" t="str">
        <f>_xlfn.XLOOKUP(D168,tblSalesReps[rep_id],tblSalesReps[rep_name],"Missing")</f>
        <v>Sales Rep 16</v>
      </c>
      <c r="R168" t="str">
        <f>_xlfn.XLOOKUP(D168,tblSalesReps[rep_id],tblSalesReps[region],"Missing")</f>
        <v>East</v>
      </c>
    </row>
    <row r="169" spans="1:18">
      <c r="A169" t="s">
        <v>350</v>
      </c>
      <c r="B169" t="s">
        <v>351</v>
      </c>
      <c r="C169" t="s">
        <v>21</v>
      </c>
      <c r="D169" t="s">
        <v>36</v>
      </c>
      <c r="E169" s="1">
        <v>45664</v>
      </c>
      <c r="F169" s="1">
        <v>45702</v>
      </c>
      <c r="G169" s="1">
        <v>45702</v>
      </c>
      <c r="H169" t="s">
        <v>28</v>
      </c>
      <c r="I169">
        <v>2</v>
      </c>
      <c r="J169">
        <v>15</v>
      </c>
      <c r="K169">
        <v>408000</v>
      </c>
      <c r="L169">
        <v>100</v>
      </c>
      <c r="M169" t="s">
        <v>29</v>
      </c>
      <c r="N169" t="str">
        <f>_xlfn.XLOOKUP(B169,tblCustomers[customer_id],tblCustomers[region],"Missing")</f>
        <v>North</v>
      </c>
      <c r="O169" t="str">
        <f>_xlfn.XLOOKUP(C169,tblProducts[product_id],tblProducts[product_name],"Missing")</f>
        <v>Workflow Automate</v>
      </c>
      <c r="P169" t="str">
        <f>_xlfn.XLOOKUP(C169,tblProducts[product_id],tblProducts[category],"Missing")</f>
        <v>Automation</v>
      </c>
      <c r="Q169" t="str">
        <f>_xlfn.XLOOKUP(D169,tblSalesReps[rep_id],tblSalesReps[rep_name],"Missing")</f>
        <v>Sales Rep 09</v>
      </c>
      <c r="R169" t="str">
        <f>_xlfn.XLOOKUP(D169,tblSalesReps[rep_id],tblSalesReps[region],"Missing")</f>
        <v>North</v>
      </c>
    </row>
    <row r="170" spans="1:18">
      <c r="A170" t="s">
        <v>352</v>
      </c>
      <c r="B170" t="s">
        <v>353</v>
      </c>
      <c r="C170" t="s">
        <v>81</v>
      </c>
      <c r="D170" t="s">
        <v>36</v>
      </c>
      <c r="E170" s="1">
        <v>46006</v>
      </c>
      <c r="F170" s="1">
        <v>46054</v>
      </c>
      <c r="G170" s="1"/>
      <c r="H170" t="s">
        <v>43</v>
      </c>
      <c r="I170">
        <v>1</v>
      </c>
      <c r="J170">
        <v>0</v>
      </c>
      <c r="K170">
        <v>300000</v>
      </c>
      <c r="L170">
        <v>20</v>
      </c>
      <c r="M170" t="s">
        <v>29</v>
      </c>
      <c r="N170" t="str">
        <f>_xlfn.XLOOKUP(B170,tblCustomers[customer_id],tblCustomers[region],"Missing")</f>
        <v>North</v>
      </c>
      <c r="O170" t="str">
        <f>_xlfn.XLOOKUP(C170,tblProducts[product_id],tblProducts[product_name],"Missing")</f>
        <v>Analytics Cloud</v>
      </c>
      <c r="P170" t="str">
        <f>_xlfn.XLOOKUP(C170,tblProducts[product_id],tblProducts[category],"Missing")</f>
        <v>Analytics</v>
      </c>
      <c r="Q170" t="str">
        <f>_xlfn.XLOOKUP(D170,tblSalesReps[rep_id],tblSalesReps[rep_name],"Missing")</f>
        <v>Sales Rep 09</v>
      </c>
      <c r="R170" t="str">
        <f>_xlfn.XLOOKUP(D170,tblSalesReps[rep_id],tblSalesReps[region],"Missing")</f>
        <v>North</v>
      </c>
    </row>
    <row r="171" spans="1:18">
      <c r="A171" t="s">
        <v>354</v>
      </c>
      <c r="B171" t="s">
        <v>135</v>
      </c>
      <c r="C171" t="s">
        <v>21</v>
      </c>
      <c r="D171" t="s">
        <v>50</v>
      </c>
      <c r="E171" s="1">
        <v>45719</v>
      </c>
      <c r="F171" s="1">
        <v>45757</v>
      </c>
      <c r="G171" s="1">
        <v>45757</v>
      </c>
      <c r="H171" t="s">
        <v>17</v>
      </c>
      <c r="I171">
        <v>1</v>
      </c>
      <c r="J171">
        <v>0</v>
      </c>
      <c r="K171">
        <v>240000</v>
      </c>
      <c r="L171">
        <v>0</v>
      </c>
      <c r="M171" t="s">
        <v>33</v>
      </c>
      <c r="N171" t="str">
        <f>_xlfn.XLOOKUP(B171,tblCustomers[customer_id],tblCustomers[region],"Missing")</f>
        <v>West</v>
      </c>
      <c r="O171" t="str">
        <f>_xlfn.XLOOKUP(C171,tblProducts[product_id],tblProducts[product_name],"Missing")</f>
        <v>Workflow Automate</v>
      </c>
      <c r="P171" t="str">
        <f>_xlfn.XLOOKUP(C171,tblProducts[product_id],tblProducts[category],"Missing")</f>
        <v>Automation</v>
      </c>
      <c r="Q171" t="str">
        <f>_xlfn.XLOOKUP(D171,tblSalesReps[rep_id],tblSalesReps[rep_name],"Missing")</f>
        <v>Sales Rep 15</v>
      </c>
      <c r="R171" t="str">
        <f>_xlfn.XLOOKUP(D171,tblSalesReps[rep_id],tblSalesReps[region],"Missing")</f>
        <v>West</v>
      </c>
    </row>
    <row r="172" spans="1:18">
      <c r="A172" t="s">
        <v>355</v>
      </c>
      <c r="B172" t="s">
        <v>356</v>
      </c>
      <c r="C172" t="s">
        <v>26</v>
      </c>
      <c r="D172" t="s">
        <v>75</v>
      </c>
      <c r="E172" s="1">
        <v>46017</v>
      </c>
      <c r="F172" s="1">
        <v>46037</v>
      </c>
      <c r="G172" s="1"/>
      <c r="H172" t="s">
        <v>43</v>
      </c>
      <c r="I172">
        <v>1</v>
      </c>
      <c r="J172">
        <v>15</v>
      </c>
      <c r="K172">
        <v>306000</v>
      </c>
      <c r="L172">
        <v>40</v>
      </c>
      <c r="M172" t="s">
        <v>29</v>
      </c>
      <c r="N172" t="str">
        <f>_xlfn.XLOOKUP(B172,tblCustomers[customer_id],tblCustomers[region],"Missing")</f>
        <v>North</v>
      </c>
      <c r="O172" t="str">
        <f>_xlfn.XLOOKUP(C172,tblProducts[product_id],tblProducts[product_name],"Missing")</f>
        <v>Security Suite</v>
      </c>
      <c r="P172" t="str">
        <f>_xlfn.XLOOKUP(C172,tblProducts[product_id],tblProducts[category],"Missing")</f>
        <v>Security</v>
      </c>
      <c r="Q172" t="str">
        <f>_xlfn.XLOOKUP(D172,tblSalesReps[rep_id],tblSalesReps[rep_name],"Missing")</f>
        <v>Sales Rep 07</v>
      </c>
      <c r="R172" t="str">
        <f>_xlfn.XLOOKUP(D172,tblSalesReps[rep_id],tblSalesReps[region],"Missing")</f>
        <v>North</v>
      </c>
    </row>
    <row r="173" spans="1:18">
      <c r="A173" t="s">
        <v>357</v>
      </c>
      <c r="B173" t="s">
        <v>358</v>
      </c>
      <c r="C173" t="s">
        <v>62</v>
      </c>
      <c r="D173" t="s">
        <v>36</v>
      </c>
      <c r="E173" s="1">
        <v>46019</v>
      </c>
      <c r="F173" s="1">
        <v>46063</v>
      </c>
      <c r="G173" s="1"/>
      <c r="H173" t="s">
        <v>43</v>
      </c>
      <c r="I173">
        <v>3</v>
      </c>
      <c r="J173">
        <v>15</v>
      </c>
      <c r="K173">
        <v>306000</v>
      </c>
      <c r="L173">
        <v>40</v>
      </c>
      <c r="M173" t="s">
        <v>29</v>
      </c>
      <c r="N173" t="str">
        <f>_xlfn.XLOOKUP(B173,tblCustomers[customer_id],tblCustomers[region],"Missing")</f>
        <v>North</v>
      </c>
      <c r="O173" t="str">
        <f>_xlfn.XLOOKUP(C173,tblProducts[product_id],tblProducts[product_name],"Missing")</f>
        <v>CRM Essentials</v>
      </c>
      <c r="P173" t="str">
        <f>_xlfn.XLOOKUP(C173,tblProducts[product_id],tblProducts[category],"Missing")</f>
        <v>CRM</v>
      </c>
      <c r="Q173" t="str">
        <f>_xlfn.XLOOKUP(D173,tblSalesReps[rep_id],tblSalesReps[rep_name],"Missing")</f>
        <v>Sales Rep 09</v>
      </c>
      <c r="R173" t="str">
        <f>_xlfn.XLOOKUP(D173,tblSalesReps[rep_id],tblSalesReps[region],"Missing")</f>
        <v>North</v>
      </c>
    </row>
    <row r="174" spans="1:18">
      <c r="A174" t="s">
        <v>359</v>
      </c>
      <c r="B174" t="s">
        <v>360</v>
      </c>
      <c r="C174" t="s">
        <v>81</v>
      </c>
      <c r="D174" t="s">
        <v>40</v>
      </c>
      <c r="E174" s="1">
        <v>45792</v>
      </c>
      <c r="F174" s="1">
        <v>45857</v>
      </c>
      <c r="G174" s="1">
        <v>45857</v>
      </c>
      <c r="H174" t="s">
        <v>17</v>
      </c>
      <c r="I174">
        <v>1</v>
      </c>
      <c r="J174">
        <v>20</v>
      </c>
      <c r="K174">
        <v>240000</v>
      </c>
      <c r="L174">
        <v>0</v>
      </c>
      <c r="M174" t="s">
        <v>47</v>
      </c>
      <c r="N174" t="str">
        <f>_xlfn.XLOOKUP(B174,tblCustomers[customer_id],tblCustomers[region],"Missing")</f>
        <v>West</v>
      </c>
      <c r="O174" t="str">
        <f>_xlfn.XLOOKUP(C174,tblProducts[product_id],tblProducts[product_name],"Missing")</f>
        <v>Analytics Cloud</v>
      </c>
      <c r="P174" t="str">
        <f>_xlfn.XLOOKUP(C174,tblProducts[product_id],tblProducts[category],"Missing")</f>
        <v>Analytics</v>
      </c>
      <c r="Q174" t="str">
        <f>_xlfn.XLOOKUP(D174,tblSalesReps[rep_id],tblSalesReps[rep_name],"Missing")</f>
        <v>Sales Rep 13</v>
      </c>
      <c r="R174" t="str">
        <f>_xlfn.XLOOKUP(D174,tblSalesReps[rep_id],tblSalesReps[region],"Missing")</f>
        <v>West</v>
      </c>
    </row>
    <row r="175" spans="1:18">
      <c r="A175" t="s">
        <v>361</v>
      </c>
      <c r="B175" t="s">
        <v>362</v>
      </c>
      <c r="C175" t="s">
        <v>39</v>
      </c>
      <c r="D175" t="s">
        <v>36</v>
      </c>
      <c r="E175" s="1">
        <v>45755</v>
      </c>
      <c r="F175" s="1">
        <v>45825</v>
      </c>
      <c r="G175" s="1">
        <v>45825</v>
      </c>
      <c r="H175" t="s">
        <v>17</v>
      </c>
      <c r="I175">
        <v>3</v>
      </c>
      <c r="J175">
        <v>5</v>
      </c>
      <c r="K175">
        <v>513000</v>
      </c>
      <c r="L175">
        <v>0</v>
      </c>
      <c r="M175" t="s">
        <v>18</v>
      </c>
      <c r="N175" t="str">
        <f>_xlfn.XLOOKUP(B175,tblCustomers[customer_id],tblCustomers[region],"Missing")</f>
        <v>North</v>
      </c>
      <c r="O175" t="str">
        <f>_xlfn.XLOOKUP(C175,tblProducts[product_id],tblProducts[product_name],"Missing")</f>
        <v>Support Desk</v>
      </c>
      <c r="P175" t="str">
        <f>_xlfn.XLOOKUP(C175,tblProducts[product_id],tblProducts[category],"Missing")</f>
        <v>Service</v>
      </c>
      <c r="Q175" t="str">
        <f>_xlfn.XLOOKUP(D175,tblSalesReps[rep_id],tblSalesReps[rep_name],"Missing")</f>
        <v>Sales Rep 09</v>
      </c>
      <c r="R175" t="str">
        <f>_xlfn.XLOOKUP(D175,tblSalesReps[rep_id],tblSalesReps[region],"Missing")</f>
        <v>North</v>
      </c>
    </row>
    <row r="176" spans="1:18">
      <c r="A176" t="s">
        <v>363</v>
      </c>
      <c r="B176" t="s">
        <v>364</v>
      </c>
      <c r="C176" t="s">
        <v>26</v>
      </c>
      <c r="D176" t="s">
        <v>59</v>
      </c>
      <c r="E176" s="1">
        <v>45994</v>
      </c>
      <c r="F176" s="1">
        <v>46076</v>
      </c>
      <c r="G176" s="1"/>
      <c r="H176" t="s">
        <v>43</v>
      </c>
      <c r="I176">
        <v>1</v>
      </c>
      <c r="J176">
        <v>0</v>
      </c>
      <c r="K176">
        <v>360000</v>
      </c>
      <c r="L176">
        <v>60</v>
      </c>
      <c r="M176" t="s">
        <v>29</v>
      </c>
      <c r="N176" t="str">
        <f>_xlfn.XLOOKUP(B176,tblCustomers[customer_id],tblCustomers[region],"Missing")</f>
        <v>East</v>
      </c>
      <c r="O176" t="str">
        <f>_xlfn.XLOOKUP(C176,tblProducts[product_id],tblProducts[product_name],"Missing")</f>
        <v>Security Suite</v>
      </c>
      <c r="P176" t="str">
        <f>_xlfn.XLOOKUP(C176,tblProducts[product_id],tblProducts[category],"Missing")</f>
        <v>Security</v>
      </c>
      <c r="Q176" t="str">
        <f>_xlfn.XLOOKUP(D176,tblSalesReps[rep_id],tblSalesReps[rep_name],"Missing")</f>
        <v>Sales Rep 19</v>
      </c>
      <c r="R176" t="str">
        <f>_xlfn.XLOOKUP(D176,tblSalesReps[rep_id],tblSalesReps[region],"Missing")</f>
        <v>East</v>
      </c>
    </row>
    <row r="177" spans="1:18">
      <c r="A177" t="s">
        <v>365</v>
      </c>
      <c r="B177" t="s">
        <v>77</v>
      </c>
      <c r="C177" t="s">
        <v>26</v>
      </c>
      <c r="D177" t="s">
        <v>22</v>
      </c>
      <c r="E177" s="1">
        <v>45846</v>
      </c>
      <c r="F177" s="1">
        <v>45860</v>
      </c>
      <c r="G177" s="1"/>
      <c r="H177" t="s">
        <v>43</v>
      </c>
      <c r="I177">
        <v>3</v>
      </c>
      <c r="J177">
        <v>10</v>
      </c>
      <c r="K177">
        <v>972000</v>
      </c>
      <c r="L177">
        <v>20</v>
      </c>
      <c r="M177" t="s">
        <v>29</v>
      </c>
      <c r="N177" t="str">
        <f>_xlfn.XLOOKUP(B177,tblCustomers[customer_id],tblCustomers[region],"Missing")</f>
        <v>West</v>
      </c>
      <c r="O177" t="str">
        <f>_xlfn.XLOOKUP(C177,tblProducts[product_id],tblProducts[product_name],"Missing")</f>
        <v>Security Suite</v>
      </c>
      <c r="P177" t="str">
        <f>_xlfn.XLOOKUP(C177,tblProducts[product_id],tblProducts[category],"Missing")</f>
        <v>Security</v>
      </c>
      <c r="Q177" t="str">
        <f>_xlfn.XLOOKUP(D177,tblSalesReps[rep_id],tblSalesReps[rep_name],"Missing")</f>
        <v>Sales Rep 14</v>
      </c>
      <c r="R177" t="str">
        <f>_xlfn.XLOOKUP(D177,tblSalesReps[rep_id],tblSalesReps[region],"Missing")</f>
        <v>West</v>
      </c>
    </row>
    <row r="178" spans="1:18">
      <c r="A178" t="s">
        <v>366</v>
      </c>
      <c r="B178" t="s">
        <v>367</v>
      </c>
      <c r="C178" t="s">
        <v>26</v>
      </c>
      <c r="D178" t="s">
        <v>168</v>
      </c>
      <c r="E178" s="1">
        <v>45930</v>
      </c>
      <c r="F178" s="1">
        <v>45961</v>
      </c>
      <c r="G178" s="1">
        <v>45961</v>
      </c>
      <c r="H178" t="s">
        <v>17</v>
      </c>
      <c r="I178">
        <v>3</v>
      </c>
      <c r="J178">
        <v>5</v>
      </c>
      <c r="K178">
        <v>1026000</v>
      </c>
      <c r="L178">
        <v>0</v>
      </c>
      <c r="M178" t="s">
        <v>33</v>
      </c>
      <c r="N178" t="str">
        <f>_xlfn.XLOOKUP(B178,tblCustomers[customer_id],tblCustomers[region],"Missing")</f>
        <v>East</v>
      </c>
      <c r="O178" t="str">
        <f>_xlfn.XLOOKUP(C178,tblProducts[product_id],tblProducts[product_name],"Missing")</f>
        <v>Security Suite</v>
      </c>
      <c r="P178" t="str">
        <f>_xlfn.XLOOKUP(C178,tblProducts[product_id],tblProducts[category],"Missing")</f>
        <v>Security</v>
      </c>
      <c r="Q178" t="str">
        <f>_xlfn.XLOOKUP(D178,tblSalesReps[rep_id],tblSalesReps[rep_name],"Missing")</f>
        <v>Sales Rep 17</v>
      </c>
      <c r="R178" t="str">
        <f>_xlfn.XLOOKUP(D178,tblSalesReps[rep_id],tblSalesReps[region],"Missing")</f>
        <v>East</v>
      </c>
    </row>
    <row r="179" spans="1:18">
      <c r="A179" t="s">
        <v>368</v>
      </c>
      <c r="B179" t="s">
        <v>369</v>
      </c>
      <c r="C179" t="s">
        <v>21</v>
      </c>
      <c r="D179" t="s">
        <v>152</v>
      </c>
      <c r="E179" s="1">
        <v>45939</v>
      </c>
      <c r="F179" s="1">
        <v>45987</v>
      </c>
      <c r="G179" s="1"/>
      <c r="H179" t="s">
        <v>43</v>
      </c>
      <c r="I179">
        <v>1</v>
      </c>
      <c r="J179">
        <v>15</v>
      </c>
      <c r="K179">
        <v>204000</v>
      </c>
      <c r="L179">
        <v>80</v>
      </c>
      <c r="M179" t="s">
        <v>29</v>
      </c>
      <c r="N179" t="str">
        <f>_xlfn.XLOOKUP(B179,tblCustomers[customer_id],tblCustomers[region],"Missing")</f>
        <v>East</v>
      </c>
      <c r="O179" t="str">
        <f>_xlfn.XLOOKUP(C179,tblProducts[product_id],tblProducts[product_name],"Missing")</f>
        <v>Workflow Automate</v>
      </c>
      <c r="P179" t="str">
        <f>_xlfn.XLOOKUP(C179,tblProducts[product_id],tblProducts[category],"Missing")</f>
        <v>Automation</v>
      </c>
      <c r="Q179" t="str">
        <f>_xlfn.XLOOKUP(D179,tblSalesReps[rep_id],tblSalesReps[rep_name],"Missing")</f>
        <v>Sales Rep 18</v>
      </c>
      <c r="R179" t="str">
        <f>_xlfn.XLOOKUP(D179,tblSalesReps[rep_id],tblSalesReps[region],"Missing")</f>
        <v>East</v>
      </c>
    </row>
    <row r="180" spans="1:18">
      <c r="A180" t="s">
        <v>370</v>
      </c>
      <c r="B180" t="s">
        <v>371</v>
      </c>
      <c r="C180" t="s">
        <v>26</v>
      </c>
      <c r="D180" t="s">
        <v>46</v>
      </c>
      <c r="E180" s="1">
        <v>45803</v>
      </c>
      <c r="F180" s="1">
        <v>45876</v>
      </c>
      <c r="G180" s="1">
        <v>45876</v>
      </c>
      <c r="H180" t="s">
        <v>17</v>
      </c>
      <c r="I180">
        <v>1</v>
      </c>
      <c r="J180">
        <v>10</v>
      </c>
      <c r="K180">
        <v>324000</v>
      </c>
      <c r="L180">
        <v>0</v>
      </c>
      <c r="M180" t="s">
        <v>18</v>
      </c>
      <c r="N180" t="str">
        <f>_xlfn.XLOOKUP(B180,tblCustomers[customer_id],tblCustomers[region],"Missing")</f>
        <v>South</v>
      </c>
      <c r="O180" t="str">
        <f>_xlfn.XLOOKUP(C180,tblProducts[product_id],tblProducts[product_name],"Missing")</f>
        <v>Security Suite</v>
      </c>
      <c r="P180" t="str">
        <f>_xlfn.XLOOKUP(C180,tblProducts[product_id],tblProducts[category],"Missing")</f>
        <v>Security</v>
      </c>
      <c r="Q180" t="str">
        <f>_xlfn.XLOOKUP(D180,tblSalesReps[rep_id],tblSalesReps[rep_name],"Missing")</f>
        <v>Sales Rep 01</v>
      </c>
      <c r="R180" t="str">
        <f>_xlfn.XLOOKUP(D180,tblSalesReps[rep_id],tblSalesReps[region],"Missing")</f>
        <v>South</v>
      </c>
    </row>
    <row r="181" spans="1:18">
      <c r="A181" t="s">
        <v>372</v>
      </c>
      <c r="B181" t="s">
        <v>360</v>
      </c>
      <c r="C181" t="s">
        <v>62</v>
      </c>
      <c r="D181" t="s">
        <v>70</v>
      </c>
      <c r="E181" s="1">
        <v>45893</v>
      </c>
      <c r="F181" s="1">
        <v>45917</v>
      </c>
      <c r="G181" s="1">
        <v>45917</v>
      </c>
      <c r="H181" t="s">
        <v>17</v>
      </c>
      <c r="I181">
        <v>1</v>
      </c>
      <c r="J181">
        <v>10</v>
      </c>
      <c r="K181">
        <v>108000</v>
      </c>
      <c r="L181">
        <v>0</v>
      </c>
      <c r="M181" t="s">
        <v>47</v>
      </c>
      <c r="N181" t="str">
        <f>_xlfn.XLOOKUP(B181,tblCustomers[customer_id],tblCustomers[region],"Missing")</f>
        <v>West</v>
      </c>
      <c r="O181" t="str">
        <f>_xlfn.XLOOKUP(C181,tblProducts[product_id],tblProducts[product_name],"Missing")</f>
        <v>CRM Essentials</v>
      </c>
      <c r="P181" t="str">
        <f>_xlfn.XLOOKUP(C181,tblProducts[product_id],tblProducts[category],"Missing")</f>
        <v>CRM</v>
      </c>
      <c r="Q181" t="str">
        <f>_xlfn.XLOOKUP(D181,tblSalesReps[rep_id],tblSalesReps[rep_name],"Missing")</f>
        <v>Sales Rep 11</v>
      </c>
      <c r="R181" t="str">
        <f>_xlfn.XLOOKUP(D181,tblSalesReps[rep_id],tblSalesReps[region],"Missing")</f>
        <v>West</v>
      </c>
    </row>
    <row r="182" spans="1:18">
      <c r="A182" t="s">
        <v>373</v>
      </c>
      <c r="B182" t="s">
        <v>374</v>
      </c>
      <c r="C182" t="s">
        <v>26</v>
      </c>
      <c r="D182" t="s">
        <v>63</v>
      </c>
      <c r="E182" s="1">
        <v>45706</v>
      </c>
      <c r="F182" s="1">
        <v>45751</v>
      </c>
      <c r="G182" s="1">
        <v>45751</v>
      </c>
      <c r="H182" t="s">
        <v>17</v>
      </c>
      <c r="I182">
        <v>1</v>
      </c>
      <c r="J182">
        <v>20</v>
      </c>
      <c r="K182">
        <v>288000</v>
      </c>
      <c r="L182">
        <v>0</v>
      </c>
      <c r="M182" t="s">
        <v>23</v>
      </c>
      <c r="N182" t="str">
        <f>_xlfn.XLOOKUP(B182,tblCustomers[customer_id],tblCustomers[region],"Missing")</f>
        <v>South</v>
      </c>
      <c r="O182" t="str">
        <f>_xlfn.XLOOKUP(C182,tblProducts[product_id],tblProducts[product_name],"Missing")</f>
        <v>Security Suite</v>
      </c>
      <c r="P182" t="str">
        <f>_xlfn.XLOOKUP(C182,tblProducts[product_id],tblProducts[category],"Missing")</f>
        <v>Security</v>
      </c>
      <c r="Q182" t="str">
        <f>_xlfn.XLOOKUP(D182,tblSalesReps[rep_id],tblSalesReps[rep_name],"Missing")</f>
        <v>Sales Rep 05</v>
      </c>
      <c r="R182" t="str">
        <f>_xlfn.XLOOKUP(D182,tblSalesReps[rep_id],tblSalesReps[region],"Missing")</f>
        <v>South</v>
      </c>
    </row>
    <row r="183" spans="1:18">
      <c r="A183" t="s">
        <v>375</v>
      </c>
      <c r="B183" t="s">
        <v>376</v>
      </c>
      <c r="C183" t="s">
        <v>26</v>
      </c>
      <c r="D183" t="s">
        <v>50</v>
      </c>
      <c r="E183" s="1">
        <v>45663</v>
      </c>
      <c r="F183" s="1">
        <v>45718</v>
      </c>
      <c r="G183" s="1">
        <v>45718</v>
      </c>
      <c r="H183" t="s">
        <v>17</v>
      </c>
      <c r="I183">
        <v>1</v>
      </c>
      <c r="J183">
        <v>10</v>
      </c>
      <c r="K183">
        <v>324000</v>
      </c>
      <c r="L183">
        <v>0</v>
      </c>
      <c r="M183" t="s">
        <v>18</v>
      </c>
      <c r="N183" t="str">
        <f>_xlfn.XLOOKUP(B183,tblCustomers[customer_id],tblCustomers[region],"Missing")</f>
        <v>West</v>
      </c>
      <c r="O183" t="str">
        <f>_xlfn.XLOOKUP(C183,tblProducts[product_id],tblProducts[product_name],"Missing")</f>
        <v>Security Suite</v>
      </c>
      <c r="P183" t="str">
        <f>_xlfn.XLOOKUP(C183,tblProducts[product_id],tblProducts[category],"Missing")</f>
        <v>Security</v>
      </c>
      <c r="Q183" t="str">
        <f>_xlfn.XLOOKUP(D183,tblSalesReps[rep_id],tblSalesReps[rep_name],"Missing")</f>
        <v>Sales Rep 15</v>
      </c>
      <c r="R183" t="str">
        <f>_xlfn.XLOOKUP(D183,tblSalesReps[rep_id],tblSalesReps[region],"Missing")</f>
        <v>West</v>
      </c>
    </row>
    <row r="184" spans="1:18">
      <c r="A184" t="s">
        <v>377</v>
      </c>
      <c r="B184" t="s">
        <v>331</v>
      </c>
      <c r="C184" t="s">
        <v>39</v>
      </c>
      <c r="D184" t="s">
        <v>56</v>
      </c>
      <c r="E184" s="1">
        <v>45916</v>
      </c>
      <c r="F184" s="1">
        <v>45978</v>
      </c>
      <c r="G184" s="1">
        <v>45978</v>
      </c>
      <c r="H184" t="s">
        <v>28</v>
      </c>
      <c r="I184">
        <v>1</v>
      </c>
      <c r="J184">
        <v>15</v>
      </c>
      <c r="K184">
        <v>153000</v>
      </c>
      <c r="L184">
        <v>100</v>
      </c>
      <c r="M184" t="s">
        <v>29</v>
      </c>
      <c r="N184" t="str">
        <f>_xlfn.XLOOKUP(B184,tblCustomers[customer_id],tblCustomers[region],"Missing")</f>
        <v>East</v>
      </c>
      <c r="O184" t="str">
        <f>_xlfn.XLOOKUP(C184,tblProducts[product_id],tblProducts[product_name],"Missing")</f>
        <v>Support Desk</v>
      </c>
      <c r="P184" t="str">
        <f>_xlfn.XLOOKUP(C184,tblProducts[product_id],tblProducts[category],"Missing")</f>
        <v>Service</v>
      </c>
      <c r="Q184" t="str">
        <f>_xlfn.XLOOKUP(D184,tblSalesReps[rep_id],tblSalesReps[rep_name],"Missing")</f>
        <v>Sales Rep 20</v>
      </c>
      <c r="R184" t="str">
        <f>_xlfn.XLOOKUP(D184,tblSalesReps[rep_id],tblSalesReps[region],"Missing")</f>
        <v>East</v>
      </c>
    </row>
    <row r="185" spans="1:18">
      <c r="A185" t="s">
        <v>378</v>
      </c>
      <c r="B185" t="s">
        <v>379</v>
      </c>
      <c r="C185" t="s">
        <v>39</v>
      </c>
      <c r="D185" t="s">
        <v>36</v>
      </c>
      <c r="E185" s="1">
        <v>46015</v>
      </c>
      <c r="F185" s="1">
        <v>46039</v>
      </c>
      <c r="G185" s="1"/>
      <c r="H185" t="s">
        <v>43</v>
      </c>
      <c r="I185">
        <v>2</v>
      </c>
      <c r="J185">
        <v>20</v>
      </c>
      <c r="K185">
        <v>288000</v>
      </c>
      <c r="L185">
        <v>40</v>
      </c>
      <c r="M185" t="s">
        <v>29</v>
      </c>
      <c r="N185" t="str">
        <f>_xlfn.XLOOKUP(B185,tblCustomers[customer_id],tblCustomers[region],"Missing")</f>
        <v>North</v>
      </c>
      <c r="O185" t="str">
        <f>_xlfn.XLOOKUP(C185,tblProducts[product_id],tblProducts[product_name],"Missing")</f>
        <v>Support Desk</v>
      </c>
      <c r="P185" t="str">
        <f>_xlfn.XLOOKUP(C185,tblProducts[product_id],tblProducts[category],"Missing")</f>
        <v>Service</v>
      </c>
      <c r="Q185" t="str">
        <f>_xlfn.XLOOKUP(D185,tblSalesReps[rep_id],tblSalesReps[rep_name],"Missing")</f>
        <v>Sales Rep 09</v>
      </c>
      <c r="R185" t="str">
        <f>_xlfn.XLOOKUP(D185,tblSalesReps[rep_id],tblSalesReps[region],"Missing")</f>
        <v>North</v>
      </c>
    </row>
    <row r="186" spans="1:18">
      <c r="A186" t="s">
        <v>380</v>
      </c>
      <c r="B186" t="s">
        <v>381</v>
      </c>
      <c r="C186" t="s">
        <v>15</v>
      </c>
      <c r="D186" t="s">
        <v>40</v>
      </c>
      <c r="E186" s="1">
        <v>45834</v>
      </c>
      <c r="F186" s="1">
        <v>45844</v>
      </c>
      <c r="G186" s="1">
        <v>45844</v>
      </c>
      <c r="H186" t="s">
        <v>17</v>
      </c>
      <c r="I186">
        <v>1</v>
      </c>
      <c r="J186">
        <v>5</v>
      </c>
      <c r="K186">
        <v>399000</v>
      </c>
      <c r="L186">
        <v>0</v>
      </c>
      <c r="M186" t="s">
        <v>33</v>
      </c>
      <c r="N186" t="str">
        <f>_xlfn.XLOOKUP(B186,tblCustomers[customer_id],tblCustomers[region],"Missing")</f>
        <v>West</v>
      </c>
      <c r="O186" t="str">
        <f>_xlfn.XLOOKUP(C186,tblProducts[product_id],tblProducts[product_name],"Missing")</f>
        <v>CRM Enterprise</v>
      </c>
      <c r="P186" t="str">
        <f>_xlfn.XLOOKUP(C186,tblProducts[product_id],tblProducts[category],"Missing")</f>
        <v>CRM</v>
      </c>
      <c r="Q186" t="str">
        <f>_xlfn.XLOOKUP(D186,tblSalesReps[rep_id],tblSalesReps[rep_name],"Missing")</f>
        <v>Sales Rep 13</v>
      </c>
      <c r="R186" t="str">
        <f>_xlfn.XLOOKUP(D186,tblSalesReps[rep_id],tblSalesReps[region],"Missing")</f>
        <v>West</v>
      </c>
    </row>
    <row r="187" spans="1:18">
      <c r="A187" t="s">
        <v>382</v>
      </c>
      <c r="B187" t="s">
        <v>383</v>
      </c>
      <c r="C187" t="s">
        <v>15</v>
      </c>
      <c r="D187" t="s">
        <v>40</v>
      </c>
      <c r="E187" s="1">
        <v>45665</v>
      </c>
      <c r="F187" s="1">
        <v>45686</v>
      </c>
      <c r="G187" s="1">
        <v>45686</v>
      </c>
      <c r="H187" t="s">
        <v>28</v>
      </c>
      <c r="I187">
        <v>1</v>
      </c>
      <c r="J187">
        <v>15</v>
      </c>
      <c r="K187">
        <v>357000</v>
      </c>
      <c r="L187">
        <v>100</v>
      </c>
      <c r="M187" t="s">
        <v>29</v>
      </c>
      <c r="N187" t="str">
        <f>_xlfn.XLOOKUP(B187,tblCustomers[customer_id],tblCustomers[region],"Missing")</f>
        <v>West</v>
      </c>
      <c r="O187" t="str">
        <f>_xlfn.XLOOKUP(C187,tblProducts[product_id],tblProducts[product_name],"Missing")</f>
        <v>CRM Enterprise</v>
      </c>
      <c r="P187" t="str">
        <f>_xlfn.XLOOKUP(C187,tblProducts[product_id],tblProducts[category],"Missing")</f>
        <v>CRM</v>
      </c>
      <c r="Q187" t="str">
        <f>_xlfn.XLOOKUP(D187,tblSalesReps[rep_id],tblSalesReps[rep_name],"Missing")</f>
        <v>Sales Rep 13</v>
      </c>
      <c r="R187" t="str">
        <f>_xlfn.XLOOKUP(D187,tblSalesReps[rep_id],tblSalesReps[region],"Missing")</f>
        <v>West</v>
      </c>
    </row>
    <row r="188" spans="1:18">
      <c r="A188" t="s">
        <v>384</v>
      </c>
      <c r="B188" t="s">
        <v>385</v>
      </c>
      <c r="C188" t="s">
        <v>39</v>
      </c>
      <c r="D188" t="s">
        <v>152</v>
      </c>
      <c r="E188" s="1">
        <v>45938</v>
      </c>
      <c r="F188" s="1">
        <v>45963</v>
      </c>
      <c r="G188" s="1">
        <v>45963</v>
      </c>
      <c r="H188" t="s">
        <v>17</v>
      </c>
      <c r="I188">
        <v>1</v>
      </c>
      <c r="J188">
        <v>15</v>
      </c>
      <c r="K188">
        <v>153000</v>
      </c>
      <c r="L188">
        <v>0</v>
      </c>
      <c r="M188" t="s">
        <v>18</v>
      </c>
      <c r="N188" t="str">
        <f>_xlfn.XLOOKUP(B188,tblCustomers[customer_id],tblCustomers[region],"Missing")</f>
        <v>East</v>
      </c>
      <c r="O188" t="str">
        <f>_xlfn.XLOOKUP(C188,tblProducts[product_id],tblProducts[product_name],"Missing")</f>
        <v>Support Desk</v>
      </c>
      <c r="P188" t="str">
        <f>_xlfn.XLOOKUP(C188,tblProducts[product_id],tblProducts[category],"Missing")</f>
        <v>Service</v>
      </c>
      <c r="Q188" t="str">
        <f>_xlfn.XLOOKUP(D188,tblSalesReps[rep_id],tblSalesReps[rep_name],"Missing")</f>
        <v>Sales Rep 18</v>
      </c>
      <c r="R188" t="str">
        <f>_xlfn.XLOOKUP(D188,tblSalesReps[rep_id],tblSalesReps[region],"Missing")</f>
        <v>East</v>
      </c>
    </row>
    <row r="189" spans="1:18">
      <c r="A189" t="s">
        <v>386</v>
      </c>
      <c r="B189" t="s">
        <v>387</v>
      </c>
      <c r="C189" t="s">
        <v>62</v>
      </c>
      <c r="D189" t="s">
        <v>46</v>
      </c>
      <c r="E189" s="1">
        <v>45856</v>
      </c>
      <c r="F189" s="1">
        <v>45909</v>
      </c>
      <c r="G189" s="1">
        <v>45909</v>
      </c>
      <c r="H189" t="s">
        <v>17</v>
      </c>
      <c r="I189">
        <v>1</v>
      </c>
      <c r="J189">
        <v>0</v>
      </c>
      <c r="K189">
        <v>120000</v>
      </c>
      <c r="L189">
        <v>0</v>
      </c>
      <c r="M189" t="s">
        <v>82</v>
      </c>
      <c r="N189" t="str">
        <f>_xlfn.XLOOKUP(B189,tblCustomers[customer_id],tblCustomers[region],"Missing")</f>
        <v>South</v>
      </c>
      <c r="O189" t="str">
        <f>_xlfn.XLOOKUP(C189,tblProducts[product_id],tblProducts[product_name],"Missing")</f>
        <v>CRM Essentials</v>
      </c>
      <c r="P189" t="str">
        <f>_xlfn.XLOOKUP(C189,tblProducts[product_id],tblProducts[category],"Missing")</f>
        <v>CRM</v>
      </c>
      <c r="Q189" t="str">
        <f>_xlfn.XLOOKUP(D189,tblSalesReps[rep_id],tblSalesReps[rep_name],"Missing")</f>
        <v>Sales Rep 01</v>
      </c>
      <c r="R189" t="str">
        <f>_xlfn.XLOOKUP(D189,tblSalesReps[rep_id],tblSalesReps[region],"Missing")</f>
        <v>South</v>
      </c>
    </row>
    <row r="190" spans="1:18">
      <c r="A190" t="s">
        <v>388</v>
      </c>
      <c r="B190" t="s">
        <v>389</v>
      </c>
      <c r="C190" t="s">
        <v>15</v>
      </c>
      <c r="D190" t="s">
        <v>56</v>
      </c>
      <c r="E190" s="1">
        <v>45892</v>
      </c>
      <c r="F190" s="1">
        <v>45901</v>
      </c>
      <c r="G190" s="1">
        <v>45901</v>
      </c>
      <c r="H190" t="s">
        <v>17</v>
      </c>
      <c r="I190">
        <v>1</v>
      </c>
      <c r="J190">
        <v>5</v>
      </c>
      <c r="K190">
        <v>399000</v>
      </c>
      <c r="L190">
        <v>0</v>
      </c>
      <c r="M190" t="s">
        <v>18</v>
      </c>
      <c r="N190" t="str">
        <f>_xlfn.XLOOKUP(B190,tblCustomers[customer_id],tblCustomers[region],"Missing")</f>
        <v>East</v>
      </c>
      <c r="O190" t="str">
        <f>_xlfn.XLOOKUP(C190,tblProducts[product_id],tblProducts[product_name],"Missing")</f>
        <v>CRM Enterprise</v>
      </c>
      <c r="P190" t="str">
        <f>_xlfn.XLOOKUP(C190,tblProducts[product_id],tblProducts[category],"Missing")</f>
        <v>CRM</v>
      </c>
      <c r="Q190" t="str">
        <f>_xlfn.XLOOKUP(D190,tblSalesReps[rep_id],tblSalesReps[rep_name],"Missing")</f>
        <v>Sales Rep 20</v>
      </c>
      <c r="R190" t="str">
        <f>_xlfn.XLOOKUP(D190,tblSalesReps[rep_id],tblSalesReps[region],"Missing")</f>
        <v>East</v>
      </c>
    </row>
    <row r="191" spans="1:18">
      <c r="A191" t="s">
        <v>390</v>
      </c>
      <c r="B191" t="s">
        <v>387</v>
      </c>
      <c r="C191" t="s">
        <v>39</v>
      </c>
      <c r="D191" t="s">
        <v>91</v>
      </c>
      <c r="E191" s="1">
        <v>45773</v>
      </c>
      <c r="F191" s="1">
        <v>45830</v>
      </c>
      <c r="G191" s="1">
        <v>45830</v>
      </c>
      <c r="H191" t="s">
        <v>28</v>
      </c>
      <c r="I191">
        <v>1</v>
      </c>
      <c r="J191">
        <v>0</v>
      </c>
      <c r="K191">
        <v>180000</v>
      </c>
      <c r="L191">
        <v>100</v>
      </c>
      <c r="M191" t="s">
        <v>29</v>
      </c>
      <c r="N191" t="str">
        <f>_xlfn.XLOOKUP(B191,tblCustomers[customer_id],tblCustomers[region],"Missing")</f>
        <v>South</v>
      </c>
      <c r="O191" t="str">
        <f>_xlfn.XLOOKUP(C191,tblProducts[product_id],tblProducts[product_name],"Missing")</f>
        <v>Support Desk</v>
      </c>
      <c r="P191" t="str">
        <f>_xlfn.XLOOKUP(C191,tblProducts[product_id],tblProducts[category],"Missing")</f>
        <v>Service</v>
      </c>
      <c r="Q191" t="str">
        <f>_xlfn.XLOOKUP(D191,tblSalesReps[rep_id],tblSalesReps[rep_name],"Missing")</f>
        <v>Sales Rep 03</v>
      </c>
      <c r="R191" t="str">
        <f>_xlfn.XLOOKUP(D191,tblSalesReps[rep_id],tblSalesReps[region],"Missing")</f>
        <v>South</v>
      </c>
    </row>
    <row r="192" spans="1:18">
      <c r="A192" t="s">
        <v>391</v>
      </c>
      <c r="B192" t="s">
        <v>392</v>
      </c>
      <c r="C192" t="s">
        <v>15</v>
      </c>
      <c r="D192" t="s">
        <v>78</v>
      </c>
      <c r="E192" s="1">
        <v>45992</v>
      </c>
      <c r="F192" s="1">
        <v>46068</v>
      </c>
      <c r="G192" s="1"/>
      <c r="H192" t="s">
        <v>43</v>
      </c>
      <c r="I192">
        <v>1</v>
      </c>
      <c r="J192">
        <v>5</v>
      </c>
      <c r="K192">
        <v>399000</v>
      </c>
      <c r="L192">
        <v>60</v>
      </c>
      <c r="M192" t="s">
        <v>29</v>
      </c>
      <c r="N192" t="str">
        <f>_xlfn.XLOOKUP(B192,tblCustomers[customer_id],tblCustomers[region],"Missing")</f>
        <v>West</v>
      </c>
      <c r="O192" t="str">
        <f>_xlfn.XLOOKUP(C192,tblProducts[product_id],tblProducts[product_name],"Missing")</f>
        <v>CRM Enterprise</v>
      </c>
      <c r="P192" t="str">
        <f>_xlfn.XLOOKUP(C192,tblProducts[product_id],tblProducts[category],"Missing")</f>
        <v>CRM</v>
      </c>
      <c r="Q192" t="str">
        <f>_xlfn.XLOOKUP(D192,tblSalesReps[rep_id],tblSalesReps[rep_name],"Missing")</f>
        <v>Sales Rep 12</v>
      </c>
      <c r="R192" t="str">
        <f>_xlfn.XLOOKUP(D192,tblSalesReps[rep_id],tblSalesReps[region],"Missing")</f>
        <v>West</v>
      </c>
    </row>
    <row r="193" spans="1:18">
      <c r="A193" t="s">
        <v>393</v>
      </c>
      <c r="B193" t="s">
        <v>394</v>
      </c>
      <c r="C193" t="s">
        <v>26</v>
      </c>
      <c r="D193" t="s">
        <v>27</v>
      </c>
      <c r="E193" s="1">
        <v>45752</v>
      </c>
      <c r="F193" s="1">
        <v>45777</v>
      </c>
      <c r="G193" s="1">
        <v>45777</v>
      </c>
      <c r="H193" t="s">
        <v>28</v>
      </c>
      <c r="I193">
        <v>1</v>
      </c>
      <c r="J193">
        <v>10</v>
      </c>
      <c r="K193">
        <v>324000</v>
      </c>
      <c r="L193">
        <v>100</v>
      </c>
      <c r="M193" t="s">
        <v>29</v>
      </c>
      <c r="N193" t="str">
        <f>_xlfn.XLOOKUP(B193,tblCustomers[customer_id],tblCustomers[region],"Missing")</f>
        <v>North</v>
      </c>
      <c r="O193" t="str">
        <f>_xlfn.XLOOKUP(C193,tblProducts[product_id],tblProducts[product_name],"Missing")</f>
        <v>Security Suite</v>
      </c>
      <c r="P193" t="str">
        <f>_xlfn.XLOOKUP(C193,tblProducts[product_id],tblProducts[category],"Missing")</f>
        <v>Security</v>
      </c>
      <c r="Q193" t="str">
        <f>_xlfn.XLOOKUP(D193,tblSalesReps[rep_id],tblSalesReps[rep_name],"Missing")</f>
        <v>Sales Rep 06</v>
      </c>
      <c r="R193" t="str">
        <f>_xlfn.XLOOKUP(D193,tblSalesReps[rep_id],tblSalesReps[region],"Missing")</f>
        <v>North</v>
      </c>
    </row>
    <row r="194" spans="1:18">
      <c r="A194" t="s">
        <v>395</v>
      </c>
      <c r="B194" t="s">
        <v>396</v>
      </c>
      <c r="C194" t="s">
        <v>39</v>
      </c>
      <c r="D194" t="s">
        <v>63</v>
      </c>
      <c r="E194" s="1">
        <v>45971</v>
      </c>
      <c r="F194" s="1">
        <v>46007</v>
      </c>
      <c r="G194" s="1">
        <v>46007</v>
      </c>
      <c r="H194" t="s">
        <v>28</v>
      </c>
      <c r="I194">
        <v>1</v>
      </c>
      <c r="J194">
        <v>0</v>
      </c>
      <c r="K194">
        <v>180000</v>
      </c>
      <c r="L194">
        <v>100</v>
      </c>
      <c r="M194" t="s">
        <v>29</v>
      </c>
      <c r="N194" t="str">
        <f>_xlfn.XLOOKUP(B194,tblCustomers[customer_id],tblCustomers[region],"Missing")</f>
        <v>South</v>
      </c>
      <c r="O194" t="str">
        <f>_xlfn.XLOOKUP(C194,tblProducts[product_id],tblProducts[product_name],"Missing")</f>
        <v>Support Desk</v>
      </c>
      <c r="P194" t="str">
        <f>_xlfn.XLOOKUP(C194,tblProducts[product_id],tblProducts[category],"Missing")</f>
        <v>Service</v>
      </c>
      <c r="Q194" t="str">
        <f>_xlfn.XLOOKUP(D194,tblSalesReps[rep_id],tblSalesReps[rep_name],"Missing")</f>
        <v>Sales Rep 05</v>
      </c>
      <c r="R194" t="str">
        <f>_xlfn.XLOOKUP(D194,tblSalesReps[rep_id],tblSalesReps[region],"Missing")</f>
        <v>South</v>
      </c>
    </row>
    <row r="195" spans="1:18">
      <c r="A195" t="s">
        <v>397</v>
      </c>
      <c r="B195" t="s">
        <v>398</v>
      </c>
      <c r="C195" t="s">
        <v>81</v>
      </c>
      <c r="D195" t="s">
        <v>22</v>
      </c>
      <c r="E195" s="1">
        <v>45900</v>
      </c>
      <c r="F195" s="1">
        <v>45931</v>
      </c>
      <c r="G195" s="1">
        <v>45931</v>
      </c>
      <c r="H195" t="s">
        <v>28</v>
      </c>
      <c r="I195">
        <v>1</v>
      </c>
      <c r="J195">
        <v>0</v>
      </c>
      <c r="K195">
        <v>300000</v>
      </c>
      <c r="L195">
        <v>100</v>
      </c>
      <c r="M195" t="s">
        <v>29</v>
      </c>
      <c r="N195" t="str">
        <f>_xlfn.XLOOKUP(B195,tblCustomers[customer_id],tblCustomers[region],"Missing")</f>
        <v>West</v>
      </c>
      <c r="O195" t="str">
        <f>_xlfn.XLOOKUP(C195,tblProducts[product_id],tblProducts[product_name],"Missing")</f>
        <v>Analytics Cloud</v>
      </c>
      <c r="P195" t="str">
        <f>_xlfn.XLOOKUP(C195,tblProducts[product_id],tblProducts[category],"Missing")</f>
        <v>Analytics</v>
      </c>
      <c r="Q195" t="str">
        <f>_xlfn.XLOOKUP(D195,tblSalesReps[rep_id],tblSalesReps[rep_name],"Missing")</f>
        <v>Sales Rep 14</v>
      </c>
      <c r="R195" t="str">
        <f>_xlfn.XLOOKUP(D195,tblSalesReps[rep_id],tblSalesReps[region],"Missing")</f>
        <v>West</v>
      </c>
    </row>
    <row r="196" spans="1:18">
      <c r="A196" t="s">
        <v>399</v>
      </c>
      <c r="B196" t="s">
        <v>227</v>
      </c>
      <c r="C196" t="s">
        <v>81</v>
      </c>
      <c r="D196" t="s">
        <v>56</v>
      </c>
      <c r="E196" s="1">
        <v>45908</v>
      </c>
      <c r="F196" s="1">
        <v>45973</v>
      </c>
      <c r="G196" s="1">
        <v>45973</v>
      </c>
      <c r="H196" t="s">
        <v>17</v>
      </c>
      <c r="I196">
        <v>1</v>
      </c>
      <c r="J196">
        <v>15</v>
      </c>
      <c r="K196">
        <v>255000</v>
      </c>
      <c r="L196">
        <v>0</v>
      </c>
      <c r="M196" t="s">
        <v>23</v>
      </c>
      <c r="N196" t="str">
        <f>_xlfn.XLOOKUP(B196,tblCustomers[customer_id],tblCustomers[region],"Missing")</f>
        <v>East</v>
      </c>
      <c r="O196" t="str">
        <f>_xlfn.XLOOKUP(C196,tblProducts[product_id],tblProducts[product_name],"Missing")</f>
        <v>Analytics Cloud</v>
      </c>
      <c r="P196" t="str">
        <f>_xlfn.XLOOKUP(C196,tblProducts[product_id],tblProducts[category],"Missing")</f>
        <v>Analytics</v>
      </c>
      <c r="Q196" t="str">
        <f>_xlfn.XLOOKUP(D196,tblSalesReps[rep_id],tblSalesReps[rep_name],"Missing")</f>
        <v>Sales Rep 20</v>
      </c>
      <c r="R196" t="str">
        <f>_xlfn.XLOOKUP(D196,tblSalesReps[rep_id],tblSalesReps[region],"Missing")</f>
        <v>East</v>
      </c>
    </row>
    <row r="197" spans="1:18">
      <c r="A197" t="s">
        <v>400</v>
      </c>
      <c r="B197" t="s">
        <v>232</v>
      </c>
      <c r="C197" t="s">
        <v>39</v>
      </c>
      <c r="D197" t="s">
        <v>46</v>
      </c>
      <c r="E197" s="1">
        <v>45755</v>
      </c>
      <c r="F197" s="1">
        <v>45812</v>
      </c>
      <c r="G197" s="1">
        <v>45812</v>
      </c>
      <c r="H197" t="s">
        <v>28</v>
      </c>
      <c r="I197">
        <v>1</v>
      </c>
      <c r="J197">
        <v>10</v>
      </c>
      <c r="K197">
        <v>162000</v>
      </c>
      <c r="L197">
        <v>100</v>
      </c>
      <c r="M197" t="s">
        <v>29</v>
      </c>
      <c r="N197" t="str">
        <f>_xlfn.XLOOKUP(B197,tblCustomers[customer_id],tblCustomers[region],"Missing")</f>
        <v>South</v>
      </c>
      <c r="O197" t="str">
        <f>_xlfn.XLOOKUP(C197,tblProducts[product_id],tblProducts[product_name],"Missing")</f>
        <v>Support Desk</v>
      </c>
      <c r="P197" t="str">
        <f>_xlfn.XLOOKUP(C197,tblProducts[product_id],tblProducts[category],"Missing")</f>
        <v>Service</v>
      </c>
      <c r="Q197" t="str">
        <f>_xlfn.XLOOKUP(D197,tblSalesReps[rep_id],tblSalesReps[rep_name],"Missing")</f>
        <v>Sales Rep 01</v>
      </c>
      <c r="R197" t="str">
        <f>_xlfn.XLOOKUP(D197,tblSalesReps[rep_id],tblSalesReps[region],"Missing")</f>
        <v>South</v>
      </c>
    </row>
    <row r="198" spans="1:18">
      <c r="A198" t="s">
        <v>401</v>
      </c>
      <c r="B198" t="s">
        <v>402</v>
      </c>
      <c r="C198" t="s">
        <v>39</v>
      </c>
      <c r="D198" t="s">
        <v>46</v>
      </c>
      <c r="E198" s="1">
        <v>45750</v>
      </c>
      <c r="F198" s="1">
        <v>45826</v>
      </c>
      <c r="G198" s="1"/>
      <c r="H198" t="s">
        <v>43</v>
      </c>
      <c r="I198">
        <v>1</v>
      </c>
      <c r="J198">
        <v>15</v>
      </c>
      <c r="K198">
        <v>153000</v>
      </c>
      <c r="L198">
        <v>80</v>
      </c>
      <c r="M198" t="s">
        <v>29</v>
      </c>
      <c r="N198" t="str">
        <f>_xlfn.XLOOKUP(B198,tblCustomers[customer_id],tblCustomers[region],"Missing")</f>
        <v>South</v>
      </c>
      <c r="O198" t="str">
        <f>_xlfn.XLOOKUP(C198,tblProducts[product_id],tblProducts[product_name],"Missing")</f>
        <v>Support Desk</v>
      </c>
      <c r="P198" t="str">
        <f>_xlfn.XLOOKUP(C198,tblProducts[product_id],tblProducts[category],"Missing")</f>
        <v>Service</v>
      </c>
      <c r="Q198" t="str">
        <f>_xlfn.XLOOKUP(D198,tblSalesReps[rep_id],tblSalesReps[rep_name],"Missing")</f>
        <v>Sales Rep 01</v>
      </c>
      <c r="R198" t="str">
        <f>_xlfn.XLOOKUP(D198,tblSalesReps[rep_id],tblSalesReps[region],"Missing")</f>
        <v>South</v>
      </c>
    </row>
    <row r="199" spans="1:18">
      <c r="A199" t="s">
        <v>403</v>
      </c>
      <c r="B199" t="s">
        <v>404</v>
      </c>
      <c r="C199" t="s">
        <v>26</v>
      </c>
      <c r="D199" t="s">
        <v>78</v>
      </c>
      <c r="E199" s="1">
        <v>45721</v>
      </c>
      <c r="F199" s="1">
        <v>45785</v>
      </c>
      <c r="G199" s="1">
        <v>45785</v>
      </c>
      <c r="H199" t="s">
        <v>28</v>
      </c>
      <c r="I199">
        <v>1</v>
      </c>
      <c r="J199">
        <v>0</v>
      </c>
      <c r="K199">
        <v>360000</v>
      </c>
      <c r="L199">
        <v>100</v>
      </c>
      <c r="M199" t="s">
        <v>29</v>
      </c>
      <c r="N199" t="str">
        <f>_xlfn.XLOOKUP(B199,tblCustomers[customer_id],tblCustomers[region],"Missing")</f>
        <v>West</v>
      </c>
      <c r="O199" t="str">
        <f>_xlfn.XLOOKUP(C199,tblProducts[product_id],tblProducts[product_name],"Missing")</f>
        <v>Security Suite</v>
      </c>
      <c r="P199" t="str">
        <f>_xlfn.XLOOKUP(C199,tblProducts[product_id],tblProducts[category],"Missing")</f>
        <v>Security</v>
      </c>
      <c r="Q199" t="str">
        <f>_xlfn.XLOOKUP(D199,tblSalesReps[rep_id],tblSalesReps[rep_name],"Missing")</f>
        <v>Sales Rep 12</v>
      </c>
      <c r="R199" t="str">
        <f>_xlfn.XLOOKUP(D199,tblSalesReps[rep_id],tblSalesReps[region],"Missing")</f>
        <v>West</v>
      </c>
    </row>
    <row r="200" spans="1:18">
      <c r="A200" t="s">
        <v>405</v>
      </c>
      <c r="B200" t="s">
        <v>406</v>
      </c>
      <c r="C200" t="s">
        <v>26</v>
      </c>
      <c r="D200" t="s">
        <v>27</v>
      </c>
      <c r="E200" s="1">
        <v>45872</v>
      </c>
      <c r="F200" s="1">
        <v>45936</v>
      </c>
      <c r="G200" s="1">
        <v>45936</v>
      </c>
      <c r="H200" t="s">
        <v>28</v>
      </c>
      <c r="I200">
        <v>1</v>
      </c>
      <c r="J200">
        <v>5</v>
      </c>
      <c r="K200">
        <v>342000</v>
      </c>
      <c r="L200">
        <v>100</v>
      </c>
      <c r="M200" t="s">
        <v>29</v>
      </c>
      <c r="N200" t="str">
        <f>_xlfn.XLOOKUP(B200,tblCustomers[customer_id],tblCustomers[region],"Missing")</f>
        <v>North</v>
      </c>
      <c r="O200" t="str">
        <f>_xlfn.XLOOKUP(C200,tblProducts[product_id],tblProducts[product_name],"Missing")</f>
        <v>Security Suite</v>
      </c>
      <c r="P200" t="str">
        <f>_xlfn.XLOOKUP(C200,tblProducts[product_id],tblProducts[category],"Missing")</f>
        <v>Security</v>
      </c>
      <c r="Q200" t="str">
        <f>_xlfn.XLOOKUP(D200,tblSalesReps[rep_id],tblSalesReps[rep_name],"Missing")</f>
        <v>Sales Rep 06</v>
      </c>
      <c r="R200" t="str">
        <f>_xlfn.XLOOKUP(D200,tblSalesReps[rep_id],tblSalesReps[region],"Missing")</f>
        <v>North</v>
      </c>
    </row>
    <row r="201" spans="1:18">
      <c r="A201" t="s">
        <v>407</v>
      </c>
      <c r="B201" t="s">
        <v>170</v>
      </c>
      <c r="C201" t="s">
        <v>62</v>
      </c>
      <c r="D201" t="s">
        <v>56</v>
      </c>
      <c r="E201" s="1">
        <v>45910</v>
      </c>
      <c r="F201" s="1">
        <v>45992</v>
      </c>
      <c r="G201" s="1">
        <v>45992</v>
      </c>
      <c r="H201" t="s">
        <v>28</v>
      </c>
      <c r="I201">
        <v>2</v>
      </c>
      <c r="J201">
        <v>15</v>
      </c>
      <c r="K201">
        <v>204000</v>
      </c>
      <c r="L201">
        <v>100</v>
      </c>
      <c r="M201" t="s">
        <v>29</v>
      </c>
      <c r="N201" t="str">
        <f>_xlfn.XLOOKUP(B201,tblCustomers[customer_id],tblCustomers[region],"Missing")</f>
        <v>East</v>
      </c>
      <c r="O201" t="str">
        <f>_xlfn.XLOOKUP(C201,tblProducts[product_id],tblProducts[product_name],"Missing")</f>
        <v>CRM Essentials</v>
      </c>
      <c r="P201" t="str">
        <f>_xlfn.XLOOKUP(C201,tblProducts[product_id],tblProducts[category],"Missing")</f>
        <v>CRM</v>
      </c>
      <c r="Q201" t="str">
        <f>_xlfn.XLOOKUP(D201,tblSalesReps[rep_id],tblSalesReps[rep_name],"Missing")</f>
        <v>Sales Rep 20</v>
      </c>
      <c r="R201" t="str">
        <f>_xlfn.XLOOKUP(D201,tblSalesReps[rep_id],tblSalesReps[region],"Missing")</f>
        <v>East</v>
      </c>
    </row>
    <row r="202" spans="1:18">
      <c r="A202" t="s">
        <v>408</v>
      </c>
      <c r="B202" t="s">
        <v>137</v>
      </c>
      <c r="C202" t="s">
        <v>21</v>
      </c>
      <c r="D202" t="s">
        <v>27</v>
      </c>
      <c r="E202" s="1">
        <v>45732</v>
      </c>
      <c r="F202" s="1">
        <v>45812</v>
      </c>
      <c r="G202" s="1"/>
      <c r="H202" t="s">
        <v>43</v>
      </c>
      <c r="I202">
        <v>3</v>
      </c>
      <c r="J202">
        <v>10</v>
      </c>
      <c r="K202">
        <v>648000</v>
      </c>
      <c r="L202">
        <v>60</v>
      </c>
      <c r="M202" t="s">
        <v>29</v>
      </c>
      <c r="N202" t="str">
        <f>_xlfn.XLOOKUP(B202,tblCustomers[customer_id],tblCustomers[region],"Missing")</f>
        <v>North</v>
      </c>
      <c r="O202" t="str">
        <f>_xlfn.XLOOKUP(C202,tblProducts[product_id],tblProducts[product_name],"Missing")</f>
        <v>Workflow Automate</v>
      </c>
      <c r="P202" t="str">
        <f>_xlfn.XLOOKUP(C202,tblProducts[product_id],tblProducts[category],"Missing")</f>
        <v>Automation</v>
      </c>
      <c r="Q202" t="str">
        <f>_xlfn.XLOOKUP(D202,tblSalesReps[rep_id],tblSalesReps[rep_name],"Missing")</f>
        <v>Sales Rep 06</v>
      </c>
      <c r="R202" t="str">
        <f>_xlfn.XLOOKUP(D202,tblSalesReps[rep_id],tblSalesReps[region],"Missing")</f>
        <v>North</v>
      </c>
    </row>
    <row r="203" spans="1:18">
      <c r="A203" t="s">
        <v>409</v>
      </c>
      <c r="B203" t="s">
        <v>410</v>
      </c>
      <c r="C203" t="s">
        <v>39</v>
      </c>
      <c r="D203" t="s">
        <v>119</v>
      </c>
      <c r="E203" s="1">
        <v>45951</v>
      </c>
      <c r="F203" s="1">
        <v>45980</v>
      </c>
      <c r="G203" s="1"/>
      <c r="H203" t="s">
        <v>43</v>
      </c>
      <c r="I203">
        <v>2</v>
      </c>
      <c r="J203">
        <v>20</v>
      </c>
      <c r="K203">
        <v>288000</v>
      </c>
      <c r="L203">
        <v>60</v>
      </c>
      <c r="M203" t="s">
        <v>29</v>
      </c>
      <c r="N203" t="str">
        <f>_xlfn.XLOOKUP(B203,tblCustomers[customer_id],tblCustomers[region],"Missing")</f>
        <v>North</v>
      </c>
      <c r="O203" t="str">
        <f>_xlfn.XLOOKUP(C203,tblProducts[product_id],tblProducts[product_name],"Missing")</f>
        <v>Support Desk</v>
      </c>
      <c r="P203" t="str">
        <f>_xlfn.XLOOKUP(C203,tblProducts[product_id],tblProducts[category],"Missing")</f>
        <v>Service</v>
      </c>
      <c r="Q203" t="str">
        <f>_xlfn.XLOOKUP(D203,tblSalesReps[rep_id],tblSalesReps[rep_name],"Missing")</f>
        <v>Sales Rep 10</v>
      </c>
      <c r="R203" t="str">
        <f>_xlfn.XLOOKUP(D203,tblSalesReps[rep_id],tblSalesReps[region],"Missing")</f>
        <v>North</v>
      </c>
    </row>
    <row r="204" spans="1:18">
      <c r="A204" t="s">
        <v>411</v>
      </c>
      <c r="B204" t="s">
        <v>412</v>
      </c>
      <c r="C204" t="s">
        <v>81</v>
      </c>
      <c r="D204" t="s">
        <v>63</v>
      </c>
      <c r="E204" s="1">
        <v>45691</v>
      </c>
      <c r="F204" s="1">
        <v>45715</v>
      </c>
      <c r="G204" s="1">
        <v>45715</v>
      </c>
      <c r="H204" t="s">
        <v>28</v>
      </c>
      <c r="I204">
        <v>1</v>
      </c>
      <c r="J204">
        <v>10</v>
      </c>
      <c r="K204">
        <v>270000</v>
      </c>
      <c r="L204">
        <v>100</v>
      </c>
      <c r="M204" t="s">
        <v>29</v>
      </c>
      <c r="N204" t="str">
        <f>_xlfn.XLOOKUP(B204,tblCustomers[customer_id],tblCustomers[region],"Missing")</f>
        <v>South</v>
      </c>
      <c r="O204" t="str">
        <f>_xlfn.XLOOKUP(C204,tblProducts[product_id],tblProducts[product_name],"Missing")</f>
        <v>Analytics Cloud</v>
      </c>
      <c r="P204" t="str">
        <f>_xlfn.XLOOKUP(C204,tblProducts[product_id],tblProducts[category],"Missing")</f>
        <v>Analytics</v>
      </c>
      <c r="Q204" t="str">
        <f>_xlfn.XLOOKUP(D204,tblSalesReps[rep_id],tblSalesReps[rep_name],"Missing")</f>
        <v>Sales Rep 05</v>
      </c>
      <c r="R204" t="str">
        <f>_xlfn.XLOOKUP(D204,tblSalesReps[rep_id],tblSalesReps[region],"Missing")</f>
        <v>South</v>
      </c>
    </row>
    <row r="205" spans="1:18">
      <c r="A205" t="s">
        <v>413</v>
      </c>
      <c r="B205" t="s">
        <v>414</v>
      </c>
      <c r="C205" t="s">
        <v>81</v>
      </c>
      <c r="D205" t="s">
        <v>56</v>
      </c>
      <c r="E205" s="1">
        <v>45820</v>
      </c>
      <c r="F205" s="1">
        <v>45900</v>
      </c>
      <c r="G205" s="1">
        <v>45900</v>
      </c>
      <c r="H205" t="s">
        <v>28</v>
      </c>
      <c r="I205">
        <v>3</v>
      </c>
      <c r="J205">
        <v>10</v>
      </c>
      <c r="K205">
        <v>810000</v>
      </c>
      <c r="L205">
        <v>100</v>
      </c>
      <c r="M205" t="s">
        <v>29</v>
      </c>
      <c r="N205" t="str">
        <f>_xlfn.XLOOKUP(B205,tblCustomers[customer_id],tblCustomers[region],"Missing")</f>
        <v>East</v>
      </c>
      <c r="O205" t="str">
        <f>_xlfn.XLOOKUP(C205,tblProducts[product_id],tblProducts[product_name],"Missing")</f>
        <v>Analytics Cloud</v>
      </c>
      <c r="P205" t="str">
        <f>_xlfn.XLOOKUP(C205,tblProducts[product_id],tblProducts[category],"Missing")</f>
        <v>Analytics</v>
      </c>
      <c r="Q205" t="str">
        <f>_xlfn.XLOOKUP(D205,tblSalesReps[rep_id],tblSalesReps[rep_name],"Missing")</f>
        <v>Sales Rep 20</v>
      </c>
      <c r="R205" t="str">
        <f>_xlfn.XLOOKUP(D205,tblSalesReps[rep_id],tblSalesReps[region],"Missing")</f>
        <v>East</v>
      </c>
    </row>
    <row r="206" spans="1:18">
      <c r="A206" t="s">
        <v>415</v>
      </c>
      <c r="B206" t="s">
        <v>416</v>
      </c>
      <c r="C206" t="s">
        <v>15</v>
      </c>
      <c r="D206" t="s">
        <v>50</v>
      </c>
      <c r="E206" s="1">
        <v>45870</v>
      </c>
      <c r="F206" s="1">
        <v>45919</v>
      </c>
      <c r="G206" s="1">
        <v>45919</v>
      </c>
      <c r="H206" t="s">
        <v>17</v>
      </c>
      <c r="I206">
        <v>1</v>
      </c>
      <c r="J206">
        <v>20</v>
      </c>
      <c r="K206">
        <v>336000</v>
      </c>
      <c r="L206">
        <v>0</v>
      </c>
      <c r="M206" t="s">
        <v>23</v>
      </c>
      <c r="N206" t="str">
        <f>_xlfn.XLOOKUP(B206,tblCustomers[customer_id],tblCustomers[region],"Missing")</f>
        <v>West</v>
      </c>
      <c r="O206" t="str">
        <f>_xlfn.XLOOKUP(C206,tblProducts[product_id],tblProducts[product_name],"Missing")</f>
        <v>CRM Enterprise</v>
      </c>
      <c r="P206" t="str">
        <f>_xlfn.XLOOKUP(C206,tblProducts[product_id],tblProducts[category],"Missing")</f>
        <v>CRM</v>
      </c>
      <c r="Q206" t="str">
        <f>_xlfn.XLOOKUP(D206,tblSalesReps[rep_id],tblSalesReps[rep_name],"Missing")</f>
        <v>Sales Rep 15</v>
      </c>
      <c r="R206" t="str">
        <f>_xlfn.XLOOKUP(D206,tblSalesReps[rep_id],tblSalesReps[region],"Missing")</f>
        <v>West</v>
      </c>
    </row>
    <row r="207" spans="1:18">
      <c r="A207" t="s">
        <v>417</v>
      </c>
      <c r="B207" t="s">
        <v>418</v>
      </c>
      <c r="C207" t="s">
        <v>62</v>
      </c>
      <c r="D207" t="s">
        <v>46</v>
      </c>
      <c r="E207" s="1">
        <v>46009</v>
      </c>
      <c r="F207" s="1">
        <v>46066</v>
      </c>
      <c r="G207" s="1"/>
      <c r="H207" t="s">
        <v>43</v>
      </c>
      <c r="I207">
        <v>3</v>
      </c>
      <c r="J207">
        <v>20</v>
      </c>
      <c r="K207">
        <v>288000</v>
      </c>
      <c r="L207">
        <v>20</v>
      </c>
      <c r="M207" t="s">
        <v>29</v>
      </c>
      <c r="N207" t="str">
        <f>_xlfn.XLOOKUP(B207,tblCustomers[customer_id],tblCustomers[region],"Missing")</f>
        <v>South</v>
      </c>
      <c r="O207" t="str">
        <f>_xlfn.XLOOKUP(C207,tblProducts[product_id],tblProducts[product_name],"Missing")</f>
        <v>CRM Essentials</v>
      </c>
      <c r="P207" t="str">
        <f>_xlfn.XLOOKUP(C207,tblProducts[product_id],tblProducts[category],"Missing")</f>
        <v>CRM</v>
      </c>
      <c r="Q207" t="str">
        <f>_xlfn.XLOOKUP(D207,tblSalesReps[rep_id],tblSalesReps[rep_name],"Missing")</f>
        <v>Sales Rep 01</v>
      </c>
      <c r="R207" t="str">
        <f>_xlfn.XLOOKUP(D207,tblSalesReps[rep_id],tblSalesReps[region],"Missing")</f>
        <v>South</v>
      </c>
    </row>
    <row r="208" spans="1:18">
      <c r="A208" t="s">
        <v>419</v>
      </c>
      <c r="B208" t="s">
        <v>420</v>
      </c>
      <c r="C208" t="s">
        <v>81</v>
      </c>
      <c r="D208" t="s">
        <v>75</v>
      </c>
      <c r="E208" s="1">
        <v>45979</v>
      </c>
      <c r="F208" s="1">
        <v>46054</v>
      </c>
      <c r="G208" s="1"/>
      <c r="H208" t="s">
        <v>43</v>
      </c>
      <c r="I208">
        <v>1</v>
      </c>
      <c r="J208">
        <v>15</v>
      </c>
      <c r="K208">
        <v>255000</v>
      </c>
      <c r="L208">
        <v>80</v>
      </c>
      <c r="M208" t="s">
        <v>29</v>
      </c>
      <c r="N208" t="str">
        <f>_xlfn.XLOOKUP(B208,tblCustomers[customer_id],tblCustomers[region],"Missing")</f>
        <v>North</v>
      </c>
      <c r="O208" t="str">
        <f>_xlfn.XLOOKUP(C208,tblProducts[product_id],tblProducts[product_name],"Missing")</f>
        <v>Analytics Cloud</v>
      </c>
      <c r="P208" t="str">
        <f>_xlfn.XLOOKUP(C208,tblProducts[product_id],tblProducts[category],"Missing")</f>
        <v>Analytics</v>
      </c>
      <c r="Q208" t="str">
        <f>_xlfn.XLOOKUP(D208,tblSalesReps[rep_id],tblSalesReps[rep_name],"Missing")</f>
        <v>Sales Rep 07</v>
      </c>
      <c r="R208" t="str">
        <f>_xlfn.XLOOKUP(D208,tblSalesReps[rep_id],tblSalesReps[region],"Missing")</f>
        <v>North</v>
      </c>
    </row>
    <row r="209" spans="1:18">
      <c r="A209" t="s">
        <v>421</v>
      </c>
      <c r="B209" t="s">
        <v>84</v>
      </c>
      <c r="C209" t="s">
        <v>62</v>
      </c>
      <c r="D209" t="s">
        <v>78</v>
      </c>
      <c r="E209" s="1">
        <v>45953</v>
      </c>
      <c r="F209" s="1">
        <v>46005</v>
      </c>
      <c r="G209" s="1">
        <v>46005</v>
      </c>
      <c r="H209" t="s">
        <v>17</v>
      </c>
      <c r="I209">
        <v>1</v>
      </c>
      <c r="J209">
        <v>5</v>
      </c>
      <c r="K209">
        <v>114000</v>
      </c>
      <c r="L209">
        <v>0</v>
      </c>
      <c r="M209" t="s">
        <v>23</v>
      </c>
      <c r="N209" t="str">
        <f>_xlfn.XLOOKUP(B209,tblCustomers[customer_id],tblCustomers[region],"Missing")</f>
        <v>West</v>
      </c>
      <c r="O209" t="str">
        <f>_xlfn.XLOOKUP(C209,tblProducts[product_id],tblProducts[product_name],"Missing")</f>
        <v>CRM Essentials</v>
      </c>
      <c r="P209" t="str">
        <f>_xlfn.XLOOKUP(C209,tblProducts[product_id],tblProducts[category],"Missing")</f>
        <v>CRM</v>
      </c>
      <c r="Q209" t="str">
        <f>_xlfn.XLOOKUP(D209,tblSalesReps[rep_id],tblSalesReps[rep_name],"Missing")</f>
        <v>Sales Rep 12</v>
      </c>
      <c r="R209" t="str">
        <f>_xlfn.XLOOKUP(D209,tblSalesReps[rep_id],tblSalesReps[region],"Missing")</f>
        <v>West</v>
      </c>
    </row>
    <row r="210" spans="1:18">
      <c r="A210" t="s">
        <v>422</v>
      </c>
      <c r="B210" t="s">
        <v>423</v>
      </c>
      <c r="C210" t="s">
        <v>21</v>
      </c>
      <c r="D210" t="s">
        <v>70</v>
      </c>
      <c r="E210" s="1">
        <v>45797</v>
      </c>
      <c r="F210" s="1">
        <v>45867</v>
      </c>
      <c r="G210" s="1">
        <v>45867</v>
      </c>
      <c r="H210" t="s">
        <v>17</v>
      </c>
      <c r="I210">
        <v>1</v>
      </c>
      <c r="J210">
        <v>10</v>
      </c>
      <c r="K210">
        <v>216000</v>
      </c>
      <c r="L210">
        <v>0</v>
      </c>
      <c r="M210" t="s">
        <v>18</v>
      </c>
      <c r="N210" t="str">
        <f>_xlfn.XLOOKUP(B210,tblCustomers[customer_id],tblCustomers[region],"Missing")</f>
        <v>West</v>
      </c>
      <c r="O210" t="str">
        <f>_xlfn.XLOOKUP(C210,tblProducts[product_id],tblProducts[product_name],"Missing")</f>
        <v>Workflow Automate</v>
      </c>
      <c r="P210" t="str">
        <f>_xlfn.XLOOKUP(C210,tblProducts[product_id],tblProducts[category],"Missing")</f>
        <v>Automation</v>
      </c>
      <c r="Q210" t="str">
        <f>_xlfn.XLOOKUP(D210,tblSalesReps[rep_id],tblSalesReps[rep_name],"Missing")</f>
        <v>Sales Rep 11</v>
      </c>
      <c r="R210" t="str">
        <f>_xlfn.XLOOKUP(D210,tblSalesReps[rep_id],tblSalesReps[region],"Missing")</f>
        <v>West</v>
      </c>
    </row>
    <row r="211" spans="1:18">
      <c r="A211" t="s">
        <v>424</v>
      </c>
      <c r="B211" t="s">
        <v>164</v>
      </c>
      <c r="C211" t="s">
        <v>62</v>
      </c>
      <c r="D211" t="s">
        <v>36</v>
      </c>
      <c r="E211" s="1">
        <v>45914</v>
      </c>
      <c r="F211" s="1">
        <v>45964</v>
      </c>
      <c r="G211" s="1">
        <v>45964</v>
      </c>
      <c r="H211" t="s">
        <v>28</v>
      </c>
      <c r="I211">
        <v>2</v>
      </c>
      <c r="J211">
        <v>20</v>
      </c>
      <c r="K211">
        <v>192000</v>
      </c>
      <c r="L211">
        <v>100</v>
      </c>
      <c r="M211" t="s">
        <v>29</v>
      </c>
      <c r="N211" t="str">
        <f>_xlfn.XLOOKUP(B211,tblCustomers[customer_id],tblCustomers[region],"Missing")</f>
        <v>North</v>
      </c>
      <c r="O211" t="str">
        <f>_xlfn.XLOOKUP(C211,tblProducts[product_id],tblProducts[product_name],"Missing")</f>
        <v>CRM Essentials</v>
      </c>
      <c r="P211" t="str">
        <f>_xlfn.XLOOKUP(C211,tblProducts[product_id],tblProducts[category],"Missing")</f>
        <v>CRM</v>
      </c>
      <c r="Q211" t="str">
        <f>_xlfn.XLOOKUP(D211,tblSalesReps[rep_id],tblSalesReps[rep_name],"Missing")</f>
        <v>Sales Rep 09</v>
      </c>
      <c r="R211" t="str">
        <f>_xlfn.XLOOKUP(D211,tblSalesReps[rep_id],tblSalesReps[region],"Missing")</f>
        <v>North</v>
      </c>
    </row>
    <row r="212" spans="1:18">
      <c r="A212" t="s">
        <v>425</v>
      </c>
      <c r="B212" t="s">
        <v>426</v>
      </c>
      <c r="C212" t="s">
        <v>21</v>
      </c>
      <c r="D212" t="s">
        <v>46</v>
      </c>
      <c r="E212" s="1">
        <v>46009</v>
      </c>
      <c r="F212" s="1">
        <v>46027</v>
      </c>
      <c r="G212" s="1"/>
      <c r="H212" t="s">
        <v>43</v>
      </c>
      <c r="I212">
        <v>1</v>
      </c>
      <c r="J212">
        <v>15</v>
      </c>
      <c r="K212">
        <v>204000</v>
      </c>
      <c r="L212">
        <v>20</v>
      </c>
      <c r="M212" t="s">
        <v>29</v>
      </c>
      <c r="N212" t="str">
        <f>_xlfn.XLOOKUP(B212,tblCustomers[customer_id],tblCustomers[region],"Missing")</f>
        <v>South</v>
      </c>
      <c r="O212" t="str">
        <f>_xlfn.XLOOKUP(C212,tblProducts[product_id],tblProducts[product_name],"Missing")</f>
        <v>Workflow Automate</v>
      </c>
      <c r="P212" t="str">
        <f>_xlfn.XLOOKUP(C212,tblProducts[product_id],tblProducts[category],"Missing")</f>
        <v>Automation</v>
      </c>
      <c r="Q212" t="str">
        <f>_xlfn.XLOOKUP(D212,tblSalesReps[rep_id],tblSalesReps[rep_name],"Missing")</f>
        <v>Sales Rep 01</v>
      </c>
      <c r="R212" t="str">
        <f>_xlfn.XLOOKUP(D212,tblSalesReps[rep_id],tblSalesReps[region],"Missing")</f>
        <v>South</v>
      </c>
    </row>
    <row r="213" spans="1:18">
      <c r="A213" t="s">
        <v>427</v>
      </c>
      <c r="B213" t="s">
        <v>428</v>
      </c>
      <c r="C213" t="s">
        <v>15</v>
      </c>
      <c r="D213" t="s">
        <v>152</v>
      </c>
      <c r="E213" s="1">
        <v>45760</v>
      </c>
      <c r="F213" s="1">
        <v>45802</v>
      </c>
      <c r="G213" s="1">
        <v>45802</v>
      </c>
      <c r="H213" t="s">
        <v>28</v>
      </c>
      <c r="I213">
        <v>3</v>
      </c>
      <c r="J213">
        <v>10</v>
      </c>
      <c r="K213">
        <v>1134000</v>
      </c>
      <c r="L213">
        <v>100</v>
      </c>
      <c r="M213" t="s">
        <v>29</v>
      </c>
      <c r="N213" t="str">
        <f>_xlfn.XLOOKUP(B213,tblCustomers[customer_id],tblCustomers[region],"Missing")</f>
        <v>East</v>
      </c>
      <c r="O213" t="str">
        <f>_xlfn.XLOOKUP(C213,tblProducts[product_id],tblProducts[product_name],"Missing")</f>
        <v>CRM Enterprise</v>
      </c>
      <c r="P213" t="str">
        <f>_xlfn.XLOOKUP(C213,tblProducts[product_id],tblProducts[category],"Missing")</f>
        <v>CRM</v>
      </c>
      <c r="Q213" t="str">
        <f>_xlfn.XLOOKUP(D213,tblSalesReps[rep_id],tblSalesReps[rep_name],"Missing")</f>
        <v>Sales Rep 18</v>
      </c>
      <c r="R213" t="str">
        <f>_xlfn.XLOOKUP(D213,tblSalesReps[rep_id],tblSalesReps[region],"Missing")</f>
        <v>East</v>
      </c>
    </row>
    <row r="214" spans="1:18">
      <c r="A214" t="s">
        <v>429</v>
      </c>
      <c r="B214" t="s">
        <v>58</v>
      </c>
      <c r="C214" t="s">
        <v>39</v>
      </c>
      <c r="D214" t="s">
        <v>56</v>
      </c>
      <c r="E214" s="1">
        <v>45921</v>
      </c>
      <c r="F214" s="1">
        <v>45997</v>
      </c>
      <c r="G214" s="1">
        <v>45997</v>
      </c>
      <c r="H214" t="s">
        <v>28</v>
      </c>
      <c r="I214">
        <v>1</v>
      </c>
      <c r="J214">
        <v>20</v>
      </c>
      <c r="K214">
        <v>144000</v>
      </c>
      <c r="L214">
        <v>100</v>
      </c>
      <c r="M214" t="s">
        <v>29</v>
      </c>
      <c r="N214" t="str">
        <f>_xlfn.XLOOKUP(B214,tblCustomers[customer_id],tblCustomers[region],"Missing")</f>
        <v>East</v>
      </c>
      <c r="O214" t="str">
        <f>_xlfn.XLOOKUP(C214,tblProducts[product_id],tblProducts[product_name],"Missing")</f>
        <v>Support Desk</v>
      </c>
      <c r="P214" t="str">
        <f>_xlfn.XLOOKUP(C214,tblProducts[product_id],tblProducts[category],"Missing")</f>
        <v>Service</v>
      </c>
      <c r="Q214" t="str">
        <f>_xlfn.XLOOKUP(D214,tblSalesReps[rep_id],tblSalesReps[rep_name],"Missing")</f>
        <v>Sales Rep 20</v>
      </c>
      <c r="R214" t="str">
        <f>_xlfn.XLOOKUP(D214,tblSalesReps[rep_id],tblSalesReps[region],"Missing")</f>
        <v>East</v>
      </c>
    </row>
    <row r="215" spans="1:18">
      <c r="A215" t="s">
        <v>430</v>
      </c>
      <c r="B215" t="s">
        <v>431</v>
      </c>
      <c r="C215" t="s">
        <v>62</v>
      </c>
      <c r="D215" t="s">
        <v>59</v>
      </c>
      <c r="E215" s="1">
        <v>46003</v>
      </c>
      <c r="F215" s="1">
        <v>46059</v>
      </c>
      <c r="G215" s="1"/>
      <c r="H215" t="s">
        <v>43</v>
      </c>
      <c r="I215">
        <v>1</v>
      </c>
      <c r="J215">
        <v>0</v>
      </c>
      <c r="K215">
        <v>120000</v>
      </c>
      <c r="L215">
        <v>80</v>
      </c>
      <c r="M215" t="s">
        <v>29</v>
      </c>
      <c r="N215" t="str">
        <f>_xlfn.XLOOKUP(B215,tblCustomers[customer_id],tblCustomers[region],"Missing")</f>
        <v>East</v>
      </c>
      <c r="O215" t="str">
        <f>_xlfn.XLOOKUP(C215,tblProducts[product_id],tblProducts[product_name],"Missing")</f>
        <v>CRM Essentials</v>
      </c>
      <c r="P215" t="str">
        <f>_xlfn.XLOOKUP(C215,tblProducts[product_id],tblProducts[category],"Missing")</f>
        <v>CRM</v>
      </c>
      <c r="Q215" t="str">
        <f>_xlfn.XLOOKUP(D215,tblSalesReps[rep_id],tblSalesReps[rep_name],"Missing")</f>
        <v>Sales Rep 19</v>
      </c>
      <c r="R215" t="str">
        <f>_xlfn.XLOOKUP(D215,tblSalesReps[rep_id],tblSalesReps[region],"Missing")</f>
        <v>East</v>
      </c>
    </row>
    <row r="216" spans="1:18">
      <c r="A216" t="s">
        <v>432</v>
      </c>
      <c r="B216" t="s">
        <v>433</v>
      </c>
      <c r="C216" t="s">
        <v>26</v>
      </c>
      <c r="D216" t="s">
        <v>22</v>
      </c>
      <c r="E216" s="1">
        <v>45707</v>
      </c>
      <c r="F216" s="1">
        <v>45773</v>
      </c>
      <c r="G216" s="1">
        <v>45773</v>
      </c>
      <c r="H216" t="s">
        <v>17</v>
      </c>
      <c r="I216">
        <v>2</v>
      </c>
      <c r="J216">
        <v>5</v>
      </c>
      <c r="K216">
        <v>684000</v>
      </c>
      <c r="L216">
        <v>0</v>
      </c>
      <c r="M216" t="s">
        <v>47</v>
      </c>
      <c r="N216" t="str">
        <f>_xlfn.XLOOKUP(B216,tblCustomers[customer_id],tblCustomers[region],"Missing")</f>
        <v>West</v>
      </c>
      <c r="O216" t="str">
        <f>_xlfn.XLOOKUP(C216,tblProducts[product_id],tblProducts[product_name],"Missing")</f>
        <v>Security Suite</v>
      </c>
      <c r="P216" t="str">
        <f>_xlfn.XLOOKUP(C216,tblProducts[product_id],tblProducts[category],"Missing")</f>
        <v>Security</v>
      </c>
      <c r="Q216" t="str">
        <f>_xlfn.XLOOKUP(D216,tblSalesReps[rep_id],tblSalesReps[rep_name],"Missing")</f>
        <v>Sales Rep 14</v>
      </c>
      <c r="R216" t="str">
        <f>_xlfn.XLOOKUP(D216,tblSalesReps[rep_id],tblSalesReps[region],"Missing")</f>
        <v>West</v>
      </c>
    </row>
    <row r="217" spans="1:18">
      <c r="A217" t="s">
        <v>434</v>
      </c>
      <c r="B217" t="s">
        <v>435</v>
      </c>
      <c r="C217" t="s">
        <v>81</v>
      </c>
      <c r="D217" t="s">
        <v>126</v>
      </c>
      <c r="E217" s="1">
        <v>45802</v>
      </c>
      <c r="F217" s="1">
        <v>45886</v>
      </c>
      <c r="G217" s="1"/>
      <c r="H217" t="s">
        <v>43</v>
      </c>
      <c r="I217">
        <v>3</v>
      </c>
      <c r="J217">
        <v>5</v>
      </c>
      <c r="K217">
        <v>855000</v>
      </c>
      <c r="L217">
        <v>20</v>
      </c>
      <c r="M217" t="s">
        <v>29</v>
      </c>
      <c r="N217" t="str">
        <f>_xlfn.XLOOKUP(B217,tblCustomers[customer_id],tblCustomers[region],"Missing")</f>
        <v>South</v>
      </c>
      <c r="O217" t="str">
        <f>_xlfn.XLOOKUP(C217,tblProducts[product_id],tblProducts[product_name],"Missing")</f>
        <v>Analytics Cloud</v>
      </c>
      <c r="P217" t="str">
        <f>_xlfn.XLOOKUP(C217,tblProducts[product_id],tblProducts[category],"Missing")</f>
        <v>Analytics</v>
      </c>
      <c r="Q217" t="str">
        <f>_xlfn.XLOOKUP(D217,tblSalesReps[rep_id],tblSalesReps[rep_name],"Missing")</f>
        <v>Sales Rep 02</v>
      </c>
      <c r="R217" t="str">
        <f>_xlfn.XLOOKUP(D217,tblSalesReps[rep_id],tblSalesReps[region],"Missing")</f>
        <v>South</v>
      </c>
    </row>
    <row r="218" spans="1:18">
      <c r="A218" t="s">
        <v>436</v>
      </c>
      <c r="B218" t="s">
        <v>437</v>
      </c>
      <c r="C218" t="s">
        <v>81</v>
      </c>
      <c r="D218" t="s">
        <v>22</v>
      </c>
      <c r="E218" s="1">
        <v>45691</v>
      </c>
      <c r="F218" s="1">
        <v>45773</v>
      </c>
      <c r="G218" s="1">
        <v>45773</v>
      </c>
      <c r="H218" t="s">
        <v>28</v>
      </c>
      <c r="I218">
        <v>2</v>
      </c>
      <c r="J218">
        <v>15</v>
      </c>
      <c r="K218">
        <v>510000</v>
      </c>
      <c r="L218">
        <v>100</v>
      </c>
      <c r="M218" t="s">
        <v>29</v>
      </c>
      <c r="N218" t="str">
        <f>_xlfn.XLOOKUP(B218,tblCustomers[customer_id],tblCustomers[region],"Missing")</f>
        <v>West</v>
      </c>
      <c r="O218" t="str">
        <f>_xlfn.XLOOKUP(C218,tblProducts[product_id],tblProducts[product_name],"Missing")</f>
        <v>Analytics Cloud</v>
      </c>
      <c r="P218" t="str">
        <f>_xlfn.XLOOKUP(C218,tblProducts[product_id],tblProducts[category],"Missing")</f>
        <v>Analytics</v>
      </c>
      <c r="Q218" t="str">
        <f>_xlfn.XLOOKUP(D218,tblSalesReps[rep_id],tblSalesReps[rep_name],"Missing")</f>
        <v>Sales Rep 14</v>
      </c>
      <c r="R218" t="str">
        <f>_xlfn.XLOOKUP(D218,tblSalesReps[rep_id],tblSalesReps[region],"Missing")</f>
        <v>West</v>
      </c>
    </row>
    <row r="219" spans="1:18">
      <c r="A219" t="s">
        <v>438</v>
      </c>
      <c r="B219" t="s">
        <v>439</v>
      </c>
      <c r="C219" t="s">
        <v>39</v>
      </c>
      <c r="D219" t="s">
        <v>70</v>
      </c>
      <c r="E219" s="1">
        <v>45885</v>
      </c>
      <c r="F219" s="1">
        <v>45943</v>
      </c>
      <c r="G219" s="1">
        <v>45943</v>
      </c>
      <c r="H219" t="s">
        <v>28</v>
      </c>
      <c r="I219">
        <v>1</v>
      </c>
      <c r="J219">
        <v>20</v>
      </c>
      <c r="K219">
        <v>144000</v>
      </c>
      <c r="L219">
        <v>100</v>
      </c>
      <c r="M219" t="s">
        <v>29</v>
      </c>
      <c r="N219" t="str">
        <f>_xlfn.XLOOKUP(B219,tblCustomers[customer_id],tblCustomers[region],"Missing")</f>
        <v>West</v>
      </c>
      <c r="O219" t="str">
        <f>_xlfn.XLOOKUP(C219,tblProducts[product_id],tblProducts[product_name],"Missing")</f>
        <v>Support Desk</v>
      </c>
      <c r="P219" t="str">
        <f>_xlfn.XLOOKUP(C219,tblProducts[product_id],tblProducts[category],"Missing")</f>
        <v>Service</v>
      </c>
      <c r="Q219" t="str">
        <f>_xlfn.XLOOKUP(D219,tblSalesReps[rep_id],tblSalesReps[rep_name],"Missing")</f>
        <v>Sales Rep 11</v>
      </c>
      <c r="R219" t="str">
        <f>_xlfn.XLOOKUP(D219,tblSalesReps[rep_id],tblSalesReps[region],"Missing")</f>
        <v>West</v>
      </c>
    </row>
    <row r="220" spans="1:18">
      <c r="A220" t="s">
        <v>440</v>
      </c>
      <c r="B220" t="s">
        <v>394</v>
      </c>
      <c r="C220" t="s">
        <v>21</v>
      </c>
      <c r="D220" t="s">
        <v>36</v>
      </c>
      <c r="E220" s="1">
        <v>45973</v>
      </c>
      <c r="F220" s="1">
        <v>46005</v>
      </c>
      <c r="G220" s="1">
        <v>46005</v>
      </c>
      <c r="H220" t="s">
        <v>17</v>
      </c>
      <c r="I220">
        <v>1</v>
      </c>
      <c r="J220">
        <v>10</v>
      </c>
      <c r="K220">
        <v>216000</v>
      </c>
      <c r="L220">
        <v>0</v>
      </c>
      <c r="M220" t="s">
        <v>33</v>
      </c>
      <c r="N220" t="str">
        <f>_xlfn.XLOOKUP(B220,tblCustomers[customer_id],tblCustomers[region],"Missing")</f>
        <v>North</v>
      </c>
      <c r="O220" t="str">
        <f>_xlfn.XLOOKUP(C220,tblProducts[product_id],tblProducts[product_name],"Missing")</f>
        <v>Workflow Automate</v>
      </c>
      <c r="P220" t="str">
        <f>_xlfn.XLOOKUP(C220,tblProducts[product_id],tblProducts[category],"Missing")</f>
        <v>Automation</v>
      </c>
      <c r="Q220" t="str">
        <f>_xlfn.XLOOKUP(D220,tblSalesReps[rep_id],tblSalesReps[rep_name],"Missing")</f>
        <v>Sales Rep 09</v>
      </c>
      <c r="R220" t="str">
        <f>_xlfn.XLOOKUP(D220,tblSalesReps[rep_id],tblSalesReps[region],"Missing")</f>
        <v>North</v>
      </c>
    </row>
    <row r="221" spans="1:18">
      <c r="A221" t="s">
        <v>441</v>
      </c>
      <c r="B221" t="s">
        <v>362</v>
      </c>
      <c r="C221" t="s">
        <v>62</v>
      </c>
      <c r="D221" t="s">
        <v>27</v>
      </c>
      <c r="E221" s="1">
        <v>46018</v>
      </c>
      <c r="F221" s="1">
        <v>46070</v>
      </c>
      <c r="G221" s="1"/>
      <c r="H221" t="s">
        <v>43</v>
      </c>
      <c r="I221">
        <v>1</v>
      </c>
      <c r="J221">
        <v>10</v>
      </c>
      <c r="K221">
        <v>108000</v>
      </c>
      <c r="L221">
        <v>20</v>
      </c>
      <c r="M221" t="s">
        <v>29</v>
      </c>
      <c r="N221" t="str">
        <f>_xlfn.XLOOKUP(B221,tblCustomers[customer_id],tblCustomers[region],"Missing")</f>
        <v>North</v>
      </c>
      <c r="O221" t="str">
        <f>_xlfn.XLOOKUP(C221,tblProducts[product_id],tblProducts[product_name],"Missing")</f>
        <v>CRM Essentials</v>
      </c>
      <c r="P221" t="str">
        <f>_xlfn.XLOOKUP(C221,tblProducts[product_id],tblProducts[category],"Missing")</f>
        <v>CRM</v>
      </c>
      <c r="Q221" t="str">
        <f>_xlfn.XLOOKUP(D221,tblSalesReps[rep_id],tblSalesReps[rep_name],"Missing")</f>
        <v>Sales Rep 06</v>
      </c>
      <c r="R221" t="str">
        <f>_xlfn.XLOOKUP(D221,tblSalesReps[rep_id],tblSalesReps[region],"Missing")</f>
        <v>North</v>
      </c>
    </row>
    <row r="222" spans="1:18">
      <c r="A222" t="s">
        <v>442</v>
      </c>
      <c r="B222" t="s">
        <v>443</v>
      </c>
      <c r="C222" t="s">
        <v>26</v>
      </c>
      <c r="D222" t="s">
        <v>78</v>
      </c>
      <c r="E222" s="1">
        <v>45901</v>
      </c>
      <c r="F222" s="1">
        <v>45979</v>
      </c>
      <c r="G222" s="1">
        <v>45979</v>
      </c>
      <c r="H222" t="s">
        <v>28</v>
      </c>
      <c r="I222">
        <v>2</v>
      </c>
      <c r="J222">
        <v>10</v>
      </c>
      <c r="K222">
        <v>648000</v>
      </c>
      <c r="L222">
        <v>100</v>
      </c>
      <c r="M222" t="s">
        <v>29</v>
      </c>
      <c r="N222" t="str">
        <f>_xlfn.XLOOKUP(B222,tblCustomers[customer_id],tblCustomers[region],"Missing")</f>
        <v>West</v>
      </c>
      <c r="O222" t="str">
        <f>_xlfn.XLOOKUP(C222,tblProducts[product_id],tblProducts[product_name],"Missing")</f>
        <v>Security Suite</v>
      </c>
      <c r="P222" t="str">
        <f>_xlfn.XLOOKUP(C222,tblProducts[product_id],tblProducts[category],"Missing")</f>
        <v>Security</v>
      </c>
      <c r="Q222" t="str">
        <f>_xlfn.XLOOKUP(D222,tblSalesReps[rep_id],tblSalesReps[rep_name],"Missing")</f>
        <v>Sales Rep 12</v>
      </c>
      <c r="R222" t="str">
        <f>_xlfn.XLOOKUP(D222,tblSalesReps[rep_id],tblSalesReps[region],"Missing")</f>
        <v>West</v>
      </c>
    </row>
    <row r="223" spans="1:18">
      <c r="A223" t="s">
        <v>444</v>
      </c>
      <c r="B223" t="s">
        <v>253</v>
      </c>
      <c r="C223" t="s">
        <v>81</v>
      </c>
      <c r="D223" t="s">
        <v>32</v>
      </c>
      <c r="E223" s="1">
        <v>45727</v>
      </c>
      <c r="F223" s="1">
        <v>45787</v>
      </c>
      <c r="G223" s="1">
        <v>45787</v>
      </c>
      <c r="H223" t="s">
        <v>28</v>
      </c>
      <c r="I223">
        <v>2</v>
      </c>
      <c r="J223">
        <v>20</v>
      </c>
      <c r="K223">
        <v>480000</v>
      </c>
      <c r="L223">
        <v>100</v>
      </c>
      <c r="M223" t="s">
        <v>29</v>
      </c>
      <c r="N223" t="str">
        <f>_xlfn.XLOOKUP(B223,tblCustomers[customer_id],tblCustomers[region],"Missing")</f>
        <v>South</v>
      </c>
      <c r="O223" t="str">
        <f>_xlfn.XLOOKUP(C223,tblProducts[product_id],tblProducts[product_name],"Missing")</f>
        <v>Analytics Cloud</v>
      </c>
      <c r="P223" t="str">
        <f>_xlfn.XLOOKUP(C223,tblProducts[product_id],tblProducts[category],"Missing")</f>
        <v>Analytics</v>
      </c>
      <c r="Q223" t="str">
        <f>_xlfn.XLOOKUP(D223,tblSalesReps[rep_id],tblSalesReps[rep_name],"Missing")</f>
        <v>Sales Rep 04</v>
      </c>
      <c r="R223" t="str">
        <f>_xlfn.XLOOKUP(D223,tblSalesReps[rep_id],tblSalesReps[region],"Missing")</f>
        <v>South</v>
      </c>
    </row>
    <row r="224" spans="1:18">
      <c r="A224" t="s">
        <v>445</v>
      </c>
      <c r="B224" t="s">
        <v>446</v>
      </c>
      <c r="C224" t="s">
        <v>39</v>
      </c>
      <c r="D224" t="s">
        <v>53</v>
      </c>
      <c r="E224" s="1">
        <v>45953</v>
      </c>
      <c r="F224" s="1">
        <v>45990</v>
      </c>
      <c r="G224" s="1">
        <v>45990</v>
      </c>
      <c r="H224" t="s">
        <v>17</v>
      </c>
      <c r="I224">
        <v>3</v>
      </c>
      <c r="J224">
        <v>10</v>
      </c>
      <c r="K224">
        <v>486000</v>
      </c>
      <c r="L224">
        <v>0</v>
      </c>
      <c r="M224" t="s">
        <v>33</v>
      </c>
      <c r="N224" t="str">
        <f>_xlfn.XLOOKUP(B224,tblCustomers[customer_id],tblCustomers[region],"Missing")</f>
        <v>East</v>
      </c>
      <c r="O224" t="str">
        <f>_xlfn.XLOOKUP(C224,tblProducts[product_id],tblProducts[product_name],"Missing")</f>
        <v>Support Desk</v>
      </c>
      <c r="P224" t="str">
        <f>_xlfn.XLOOKUP(C224,tblProducts[product_id],tblProducts[category],"Missing")</f>
        <v>Service</v>
      </c>
      <c r="Q224" t="str">
        <f>_xlfn.XLOOKUP(D224,tblSalesReps[rep_id],tblSalesReps[rep_name],"Missing")</f>
        <v>Sales Rep 16</v>
      </c>
      <c r="R224" t="str">
        <f>_xlfn.XLOOKUP(D224,tblSalesReps[rep_id],tblSalesReps[region],"Missing")</f>
        <v>East</v>
      </c>
    </row>
    <row r="225" spans="1:18">
      <c r="A225" t="s">
        <v>447</v>
      </c>
      <c r="B225" t="s">
        <v>448</v>
      </c>
      <c r="C225" t="s">
        <v>39</v>
      </c>
      <c r="D225" t="s">
        <v>16</v>
      </c>
      <c r="E225" s="1">
        <v>45896</v>
      </c>
      <c r="F225" s="1">
        <v>45969</v>
      </c>
      <c r="G225" s="1">
        <v>45969</v>
      </c>
      <c r="H225" t="s">
        <v>17</v>
      </c>
      <c r="I225">
        <v>3</v>
      </c>
      <c r="J225">
        <v>0</v>
      </c>
      <c r="K225">
        <v>540000</v>
      </c>
      <c r="L225">
        <v>0</v>
      </c>
      <c r="M225" t="s">
        <v>82</v>
      </c>
      <c r="N225" t="str">
        <f>_xlfn.XLOOKUP(B225,tblCustomers[customer_id],tblCustomers[region],"Missing")</f>
        <v>North</v>
      </c>
      <c r="O225" t="str">
        <f>_xlfn.XLOOKUP(C225,tblProducts[product_id],tblProducts[product_name],"Missing")</f>
        <v>Support Desk</v>
      </c>
      <c r="P225" t="str">
        <f>_xlfn.XLOOKUP(C225,tblProducts[product_id],tblProducts[category],"Missing")</f>
        <v>Service</v>
      </c>
      <c r="Q225" t="str">
        <f>_xlfn.XLOOKUP(D225,tblSalesReps[rep_id],tblSalesReps[rep_name],"Missing")</f>
        <v>Sales Rep 08</v>
      </c>
      <c r="R225" t="str">
        <f>_xlfn.XLOOKUP(D225,tblSalesReps[rep_id],tblSalesReps[region],"Missing")</f>
        <v>North</v>
      </c>
    </row>
    <row r="226" spans="1:18">
      <c r="A226" t="s">
        <v>449</v>
      </c>
      <c r="B226" t="s">
        <v>160</v>
      </c>
      <c r="C226" t="s">
        <v>62</v>
      </c>
      <c r="D226" t="s">
        <v>59</v>
      </c>
      <c r="E226" s="1">
        <v>45890</v>
      </c>
      <c r="F226" s="1">
        <v>45957</v>
      </c>
      <c r="G226" s="1">
        <v>45957</v>
      </c>
      <c r="H226" t="s">
        <v>17</v>
      </c>
      <c r="I226">
        <v>3</v>
      </c>
      <c r="J226">
        <v>10</v>
      </c>
      <c r="K226">
        <v>324000</v>
      </c>
      <c r="L226">
        <v>0</v>
      </c>
      <c r="M226" t="s">
        <v>18</v>
      </c>
      <c r="N226" t="str">
        <f>_xlfn.XLOOKUP(B226,tblCustomers[customer_id],tblCustomers[region],"Missing")</f>
        <v>East</v>
      </c>
      <c r="O226" t="str">
        <f>_xlfn.XLOOKUP(C226,tblProducts[product_id],tblProducts[product_name],"Missing")</f>
        <v>CRM Essentials</v>
      </c>
      <c r="P226" t="str">
        <f>_xlfn.XLOOKUP(C226,tblProducts[product_id],tblProducts[category],"Missing")</f>
        <v>CRM</v>
      </c>
      <c r="Q226" t="str">
        <f>_xlfn.XLOOKUP(D226,tblSalesReps[rep_id],tblSalesReps[rep_name],"Missing")</f>
        <v>Sales Rep 19</v>
      </c>
      <c r="R226" t="str">
        <f>_xlfn.XLOOKUP(D226,tblSalesReps[rep_id],tblSalesReps[region],"Missing")</f>
        <v>East</v>
      </c>
    </row>
    <row r="227" spans="1:18">
      <c r="A227" t="s">
        <v>450</v>
      </c>
      <c r="B227" t="s">
        <v>451</v>
      </c>
      <c r="C227" t="s">
        <v>21</v>
      </c>
      <c r="D227" t="s">
        <v>63</v>
      </c>
      <c r="E227" s="1">
        <v>45671</v>
      </c>
      <c r="F227" s="1">
        <v>45688</v>
      </c>
      <c r="G227" s="1">
        <v>45688</v>
      </c>
      <c r="H227" t="s">
        <v>28</v>
      </c>
      <c r="I227">
        <v>1</v>
      </c>
      <c r="J227">
        <v>20</v>
      </c>
      <c r="K227">
        <v>192000</v>
      </c>
      <c r="L227">
        <v>100</v>
      </c>
      <c r="M227" t="s">
        <v>29</v>
      </c>
      <c r="N227" t="str">
        <f>_xlfn.XLOOKUP(B227,tblCustomers[customer_id],tblCustomers[region],"Missing")</f>
        <v>South</v>
      </c>
      <c r="O227" t="str">
        <f>_xlfn.XLOOKUP(C227,tblProducts[product_id],tblProducts[product_name],"Missing")</f>
        <v>Workflow Automate</v>
      </c>
      <c r="P227" t="str">
        <f>_xlfn.XLOOKUP(C227,tblProducts[product_id],tblProducts[category],"Missing")</f>
        <v>Automation</v>
      </c>
      <c r="Q227" t="str">
        <f>_xlfn.XLOOKUP(D227,tblSalesReps[rep_id],tblSalesReps[rep_name],"Missing")</f>
        <v>Sales Rep 05</v>
      </c>
      <c r="R227" t="str">
        <f>_xlfn.XLOOKUP(D227,tblSalesReps[rep_id],tblSalesReps[region],"Missing")</f>
        <v>South</v>
      </c>
    </row>
    <row r="228" spans="1:18">
      <c r="A228" t="s">
        <v>452</v>
      </c>
      <c r="B228" t="s">
        <v>453</v>
      </c>
      <c r="C228" t="s">
        <v>26</v>
      </c>
      <c r="D228" t="s">
        <v>32</v>
      </c>
      <c r="E228" s="1">
        <v>45847</v>
      </c>
      <c r="F228" s="1">
        <v>45887</v>
      </c>
      <c r="G228" s="1"/>
      <c r="H228" t="s">
        <v>43</v>
      </c>
      <c r="I228">
        <v>1</v>
      </c>
      <c r="J228">
        <v>15</v>
      </c>
      <c r="K228">
        <v>306000</v>
      </c>
      <c r="L228">
        <v>40</v>
      </c>
      <c r="M228" t="s">
        <v>29</v>
      </c>
      <c r="N228" t="str">
        <f>_xlfn.XLOOKUP(B228,tblCustomers[customer_id],tblCustomers[region],"Missing")</f>
        <v>South</v>
      </c>
      <c r="O228" t="str">
        <f>_xlfn.XLOOKUP(C228,tblProducts[product_id],tblProducts[product_name],"Missing")</f>
        <v>Security Suite</v>
      </c>
      <c r="P228" t="str">
        <f>_xlfn.XLOOKUP(C228,tblProducts[product_id],tblProducts[category],"Missing")</f>
        <v>Security</v>
      </c>
      <c r="Q228" t="str">
        <f>_xlfn.XLOOKUP(D228,tblSalesReps[rep_id],tblSalesReps[rep_name],"Missing")</f>
        <v>Sales Rep 04</v>
      </c>
      <c r="R228" t="str">
        <f>_xlfn.XLOOKUP(D228,tblSalesReps[rep_id],tblSalesReps[region],"Missing")</f>
        <v>South</v>
      </c>
    </row>
    <row r="229" spans="1:18">
      <c r="A229" t="s">
        <v>454</v>
      </c>
      <c r="B229" t="s">
        <v>331</v>
      </c>
      <c r="C229" t="s">
        <v>81</v>
      </c>
      <c r="D229" t="s">
        <v>59</v>
      </c>
      <c r="E229" s="1">
        <v>45779</v>
      </c>
      <c r="F229" s="1">
        <v>45807</v>
      </c>
      <c r="G229" s="1">
        <v>45807</v>
      </c>
      <c r="H229" t="s">
        <v>17</v>
      </c>
      <c r="I229">
        <v>1</v>
      </c>
      <c r="J229">
        <v>20</v>
      </c>
      <c r="K229">
        <v>240000</v>
      </c>
      <c r="L229">
        <v>0</v>
      </c>
      <c r="M229" t="s">
        <v>23</v>
      </c>
      <c r="N229" t="str">
        <f>_xlfn.XLOOKUP(B229,tblCustomers[customer_id],tblCustomers[region],"Missing")</f>
        <v>East</v>
      </c>
      <c r="O229" t="str">
        <f>_xlfn.XLOOKUP(C229,tblProducts[product_id],tblProducts[product_name],"Missing")</f>
        <v>Analytics Cloud</v>
      </c>
      <c r="P229" t="str">
        <f>_xlfn.XLOOKUP(C229,tblProducts[product_id],tblProducts[category],"Missing")</f>
        <v>Analytics</v>
      </c>
      <c r="Q229" t="str">
        <f>_xlfn.XLOOKUP(D229,tblSalesReps[rep_id],tblSalesReps[rep_name],"Missing")</f>
        <v>Sales Rep 19</v>
      </c>
      <c r="R229" t="str">
        <f>_xlfn.XLOOKUP(D229,tblSalesReps[rep_id],tblSalesReps[region],"Missing")</f>
        <v>East</v>
      </c>
    </row>
    <row r="230" spans="1:18">
      <c r="A230" t="s">
        <v>455</v>
      </c>
      <c r="B230" t="s">
        <v>456</v>
      </c>
      <c r="C230" t="s">
        <v>26</v>
      </c>
      <c r="D230" t="s">
        <v>22</v>
      </c>
      <c r="E230" s="1">
        <v>45900</v>
      </c>
      <c r="F230" s="1">
        <v>45974</v>
      </c>
      <c r="G230" s="1">
        <v>45974</v>
      </c>
      <c r="H230" t="s">
        <v>28</v>
      </c>
      <c r="I230">
        <v>2</v>
      </c>
      <c r="J230">
        <v>0</v>
      </c>
      <c r="K230">
        <v>720000</v>
      </c>
      <c r="L230">
        <v>100</v>
      </c>
      <c r="M230" t="s">
        <v>29</v>
      </c>
      <c r="N230" t="str">
        <f>_xlfn.XLOOKUP(B230,tblCustomers[customer_id],tblCustomers[region],"Missing")</f>
        <v>West</v>
      </c>
      <c r="O230" t="str">
        <f>_xlfn.XLOOKUP(C230,tblProducts[product_id],tblProducts[product_name],"Missing")</f>
        <v>Security Suite</v>
      </c>
      <c r="P230" t="str">
        <f>_xlfn.XLOOKUP(C230,tblProducts[product_id],tblProducts[category],"Missing")</f>
        <v>Security</v>
      </c>
      <c r="Q230" t="str">
        <f>_xlfn.XLOOKUP(D230,tblSalesReps[rep_id],tblSalesReps[rep_name],"Missing")</f>
        <v>Sales Rep 14</v>
      </c>
      <c r="R230" t="str">
        <f>_xlfn.XLOOKUP(D230,tblSalesReps[rep_id],tblSalesReps[region],"Missing")</f>
        <v>West</v>
      </c>
    </row>
    <row r="231" spans="1:18">
      <c r="A231" t="s">
        <v>457</v>
      </c>
      <c r="B231" t="s">
        <v>458</v>
      </c>
      <c r="C231" t="s">
        <v>39</v>
      </c>
      <c r="D231" t="s">
        <v>36</v>
      </c>
      <c r="E231" s="1">
        <v>45894</v>
      </c>
      <c r="F231" s="1">
        <v>45931</v>
      </c>
      <c r="G231" s="1"/>
      <c r="H231" t="s">
        <v>43</v>
      </c>
      <c r="I231">
        <v>3</v>
      </c>
      <c r="J231">
        <v>5</v>
      </c>
      <c r="K231">
        <v>513000</v>
      </c>
      <c r="L231">
        <v>60</v>
      </c>
      <c r="M231" t="s">
        <v>29</v>
      </c>
      <c r="N231" t="str">
        <f>_xlfn.XLOOKUP(B231,tblCustomers[customer_id],tblCustomers[region],"Missing")</f>
        <v>North</v>
      </c>
      <c r="O231" t="str">
        <f>_xlfn.XLOOKUP(C231,tblProducts[product_id],tblProducts[product_name],"Missing")</f>
        <v>Support Desk</v>
      </c>
      <c r="P231" t="str">
        <f>_xlfn.XLOOKUP(C231,tblProducts[product_id],tblProducts[category],"Missing")</f>
        <v>Service</v>
      </c>
      <c r="Q231" t="str">
        <f>_xlfn.XLOOKUP(D231,tblSalesReps[rep_id],tblSalesReps[rep_name],"Missing")</f>
        <v>Sales Rep 09</v>
      </c>
      <c r="R231" t="str">
        <f>_xlfn.XLOOKUP(D231,tblSalesReps[rep_id],tblSalesReps[region],"Missing")</f>
        <v>North</v>
      </c>
    </row>
    <row r="232" spans="1:18">
      <c r="A232" t="s">
        <v>459</v>
      </c>
      <c r="B232" t="s">
        <v>460</v>
      </c>
      <c r="C232" t="s">
        <v>26</v>
      </c>
      <c r="D232" t="s">
        <v>36</v>
      </c>
      <c r="E232" s="1">
        <v>45837</v>
      </c>
      <c r="F232" s="1">
        <v>45880</v>
      </c>
      <c r="G232" s="1">
        <v>45880</v>
      </c>
      <c r="H232" t="s">
        <v>28</v>
      </c>
      <c r="I232">
        <v>1</v>
      </c>
      <c r="J232">
        <v>5</v>
      </c>
      <c r="K232">
        <v>342000</v>
      </c>
      <c r="L232">
        <v>100</v>
      </c>
      <c r="M232" t="s">
        <v>29</v>
      </c>
      <c r="N232" t="str">
        <f>_xlfn.XLOOKUP(B232,tblCustomers[customer_id],tblCustomers[region],"Missing")</f>
        <v>North</v>
      </c>
      <c r="O232" t="str">
        <f>_xlfn.XLOOKUP(C232,tblProducts[product_id],tblProducts[product_name],"Missing")</f>
        <v>Security Suite</v>
      </c>
      <c r="P232" t="str">
        <f>_xlfn.XLOOKUP(C232,tblProducts[product_id],tblProducts[category],"Missing")</f>
        <v>Security</v>
      </c>
      <c r="Q232" t="str">
        <f>_xlfn.XLOOKUP(D232,tblSalesReps[rep_id],tblSalesReps[rep_name],"Missing")</f>
        <v>Sales Rep 09</v>
      </c>
      <c r="R232" t="str">
        <f>_xlfn.XLOOKUP(D232,tblSalesReps[rep_id],tblSalesReps[region],"Missing")</f>
        <v>North</v>
      </c>
    </row>
    <row r="233" spans="1:18">
      <c r="A233" t="s">
        <v>461</v>
      </c>
      <c r="B233" t="s">
        <v>348</v>
      </c>
      <c r="C233" t="s">
        <v>62</v>
      </c>
      <c r="D233" t="s">
        <v>53</v>
      </c>
      <c r="E233" s="1">
        <v>45702</v>
      </c>
      <c r="F233" s="1">
        <v>45725</v>
      </c>
      <c r="G233" s="1"/>
      <c r="H233" t="s">
        <v>43</v>
      </c>
      <c r="I233">
        <v>2</v>
      </c>
      <c r="J233">
        <v>20</v>
      </c>
      <c r="K233">
        <v>192000</v>
      </c>
      <c r="L233">
        <v>40</v>
      </c>
      <c r="M233" t="s">
        <v>29</v>
      </c>
      <c r="N233" t="str">
        <f>_xlfn.XLOOKUP(B233,tblCustomers[customer_id],tblCustomers[region],"Missing")</f>
        <v>East</v>
      </c>
      <c r="O233" t="str">
        <f>_xlfn.XLOOKUP(C233,tblProducts[product_id],tblProducts[product_name],"Missing")</f>
        <v>CRM Essentials</v>
      </c>
      <c r="P233" t="str">
        <f>_xlfn.XLOOKUP(C233,tblProducts[product_id],tblProducts[category],"Missing")</f>
        <v>CRM</v>
      </c>
      <c r="Q233" t="str">
        <f>_xlfn.XLOOKUP(D233,tblSalesReps[rep_id],tblSalesReps[rep_name],"Missing")</f>
        <v>Sales Rep 16</v>
      </c>
      <c r="R233" t="str">
        <f>_xlfn.XLOOKUP(D233,tblSalesReps[rep_id],tblSalesReps[region],"Missing")</f>
        <v>East</v>
      </c>
    </row>
    <row r="234" spans="1:18">
      <c r="A234" t="s">
        <v>462</v>
      </c>
      <c r="B234" t="s">
        <v>86</v>
      </c>
      <c r="C234" t="s">
        <v>62</v>
      </c>
      <c r="D234" t="s">
        <v>22</v>
      </c>
      <c r="E234" s="1">
        <v>45799</v>
      </c>
      <c r="F234" s="1">
        <v>45847</v>
      </c>
      <c r="G234" s="1"/>
      <c r="H234" t="s">
        <v>43</v>
      </c>
      <c r="I234">
        <v>1</v>
      </c>
      <c r="J234">
        <v>5</v>
      </c>
      <c r="K234">
        <v>114000</v>
      </c>
      <c r="L234">
        <v>20</v>
      </c>
      <c r="M234" t="s">
        <v>29</v>
      </c>
      <c r="N234" t="str">
        <f>_xlfn.XLOOKUP(B234,tblCustomers[customer_id],tblCustomers[region],"Missing")</f>
        <v>West</v>
      </c>
      <c r="O234" t="str">
        <f>_xlfn.XLOOKUP(C234,tblProducts[product_id],tblProducts[product_name],"Missing")</f>
        <v>CRM Essentials</v>
      </c>
      <c r="P234" t="str">
        <f>_xlfn.XLOOKUP(C234,tblProducts[product_id],tblProducts[category],"Missing")</f>
        <v>CRM</v>
      </c>
      <c r="Q234" t="str">
        <f>_xlfn.XLOOKUP(D234,tblSalesReps[rep_id],tblSalesReps[rep_name],"Missing")</f>
        <v>Sales Rep 14</v>
      </c>
      <c r="R234" t="str">
        <f>_xlfn.XLOOKUP(D234,tblSalesReps[rep_id],tblSalesReps[region],"Missing")</f>
        <v>West</v>
      </c>
    </row>
    <row r="235" spans="1:18">
      <c r="A235" t="s">
        <v>463</v>
      </c>
      <c r="B235" t="s">
        <v>264</v>
      </c>
      <c r="C235" t="s">
        <v>81</v>
      </c>
      <c r="D235" t="s">
        <v>126</v>
      </c>
      <c r="E235" s="1">
        <v>45988</v>
      </c>
      <c r="F235" s="1">
        <v>46013</v>
      </c>
      <c r="G235" s="1">
        <v>46013</v>
      </c>
      <c r="H235" t="s">
        <v>17</v>
      </c>
      <c r="I235">
        <v>3</v>
      </c>
      <c r="J235">
        <v>15</v>
      </c>
      <c r="K235">
        <v>765000</v>
      </c>
      <c r="L235">
        <v>0</v>
      </c>
      <c r="M235" t="s">
        <v>33</v>
      </c>
      <c r="N235" t="str">
        <f>_xlfn.XLOOKUP(B235,tblCustomers[customer_id],tblCustomers[region],"Missing")</f>
        <v>South</v>
      </c>
      <c r="O235" t="str">
        <f>_xlfn.XLOOKUP(C235,tblProducts[product_id],tblProducts[product_name],"Missing")</f>
        <v>Analytics Cloud</v>
      </c>
      <c r="P235" t="str">
        <f>_xlfn.XLOOKUP(C235,tblProducts[product_id],tblProducts[category],"Missing")</f>
        <v>Analytics</v>
      </c>
      <c r="Q235" t="str">
        <f>_xlfn.XLOOKUP(D235,tblSalesReps[rep_id],tblSalesReps[rep_name],"Missing")</f>
        <v>Sales Rep 02</v>
      </c>
      <c r="R235" t="str">
        <f>_xlfn.XLOOKUP(D235,tblSalesReps[rep_id],tblSalesReps[region],"Missing")</f>
        <v>South</v>
      </c>
    </row>
    <row r="236" spans="1:18">
      <c r="A236" t="s">
        <v>464</v>
      </c>
      <c r="B236" t="s">
        <v>364</v>
      </c>
      <c r="C236" t="s">
        <v>26</v>
      </c>
      <c r="D236" t="s">
        <v>152</v>
      </c>
      <c r="E236" s="1">
        <v>45886</v>
      </c>
      <c r="F236" s="1">
        <v>45956</v>
      </c>
      <c r="G236" s="1">
        <v>45956</v>
      </c>
      <c r="H236" t="s">
        <v>28</v>
      </c>
      <c r="I236">
        <v>1</v>
      </c>
      <c r="J236">
        <v>0</v>
      </c>
      <c r="K236">
        <v>360000</v>
      </c>
      <c r="L236">
        <v>100</v>
      </c>
      <c r="M236" t="s">
        <v>29</v>
      </c>
      <c r="N236" t="str">
        <f>_xlfn.XLOOKUP(B236,tblCustomers[customer_id],tblCustomers[region],"Missing")</f>
        <v>East</v>
      </c>
      <c r="O236" t="str">
        <f>_xlfn.XLOOKUP(C236,tblProducts[product_id],tblProducts[product_name],"Missing")</f>
        <v>Security Suite</v>
      </c>
      <c r="P236" t="str">
        <f>_xlfn.XLOOKUP(C236,tblProducts[product_id],tblProducts[category],"Missing")</f>
        <v>Security</v>
      </c>
      <c r="Q236" t="str">
        <f>_xlfn.XLOOKUP(D236,tblSalesReps[rep_id],tblSalesReps[rep_name],"Missing")</f>
        <v>Sales Rep 18</v>
      </c>
      <c r="R236" t="str">
        <f>_xlfn.XLOOKUP(D236,tblSalesReps[rep_id],tblSalesReps[region],"Missing")</f>
        <v>East</v>
      </c>
    </row>
    <row r="237" spans="1:18">
      <c r="A237" t="s">
        <v>465</v>
      </c>
      <c r="B237" t="s">
        <v>466</v>
      </c>
      <c r="C237" t="s">
        <v>62</v>
      </c>
      <c r="D237" t="s">
        <v>36</v>
      </c>
      <c r="E237" s="1">
        <v>46010</v>
      </c>
      <c r="F237" s="1">
        <v>46078</v>
      </c>
      <c r="G237" s="1"/>
      <c r="H237" t="s">
        <v>43</v>
      </c>
      <c r="I237">
        <v>1</v>
      </c>
      <c r="J237">
        <v>20</v>
      </c>
      <c r="K237">
        <v>96000</v>
      </c>
      <c r="L237">
        <v>60</v>
      </c>
      <c r="M237" t="s">
        <v>29</v>
      </c>
      <c r="N237" t="str">
        <f>_xlfn.XLOOKUP(B237,tblCustomers[customer_id],tblCustomers[region],"Missing")</f>
        <v>North</v>
      </c>
      <c r="O237" t="str">
        <f>_xlfn.XLOOKUP(C237,tblProducts[product_id],tblProducts[product_name],"Missing")</f>
        <v>CRM Essentials</v>
      </c>
      <c r="P237" t="str">
        <f>_xlfn.XLOOKUP(C237,tblProducts[product_id],tblProducts[category],"Missing")</f>
        <v>CRM</v>
      </c>
      <c r="Q237" t="str">
        <f>_xlfn.XLOOKUP(D237,tblSalesReps[rep_id],tblSalesReps[rep_name],"Missing")</f>
        <v>Sales Rep 09</v>
      </c>
      <c r="R237" t="str">
        <f>_xlfn.XLOOKUP(D237,tblSalesReps[rep_id],tblSalesReps[region],"Missing")</f>
        <v>North</v>
      </c>
    </row>
    <row r="238" spans="1:18">
      <c r="A238" t="s">
        <v>467</v>
      </c>
      <c r="B238" t="s">
        <v>468</v>
      </c>
      <c r="C238" t="s">
        <v>15</v>
      </c>
      <c r="D238" t="s">
        <v>50</v>
      </c>
      <c r="E238" s="1">
        <v>45678</v>
      </c>
      <c r="F238" s="1">
        <v>45709</v>
      </c>
      <c r="G238" s="1"/>
      <c r="H238" t="s">
        <v>43</v>
      </c>
      <c r="I238">
        <v>1</v>
      </c>
      <c r="J238">
        <v>15</v>
      </c>
      <c r="K238">
        <v>357000</v>
      </c>
      <c r="L238">
        <v>20</v>
      </c>
      <c r="M238" t="s">
        <v>29</v>
      </c>
      <c r="N238" t="str">
        <f>_xlfn.XLOOKUP(B238,tblCustomers[customer_id],tblCustomers[region],"Missing")</f>
        <v>West</v>
      </c>
      <c r="O238" t="str">
        <f>_xlfn.XLOOKUP(C238,tblProducts[product_id],tblProducts[product_name],"Missing")</f>
        <v>CRM Enterprise</v>
      </c>
      <c r="P238" t="str">
        <f>_xlfn.XLOOKUP(C238,tblProducts[product_id],tblProducts[category],"Missing")</f>
        <v>CRM</v>
      </c>
      <c r="Q238" t="str">
        <f>_xlfn.XLOOKUP(D238,tblSalesReps[rep_id],tblSalesReps[rep_name],"Missing")</f>
        <v>Sales Rep 15</v>
      </c>
      <c r="R238" t="str">
        <f>_xlfn.XLOOKUP(D238,tblSalesReps[rep_id],tblSalesReps[region],"Missing")</f>
        <v>West</v>
      </c>
    </row>
    <row r="239" spans="1:18">
      <c r="A239" t="s">
        <v>469</v>
      </c>
      <c r="B239" t="s">
        <v>339</v>
      </c>
      <c r="C239" t="s">
        <v>39</v>
      </c>
      <c r="D239" t="s">
        <v>40</v>
      </c>
      <c r="E239" s="1">
        <v>45913</v>
      </c>
      <c r="F239" s="1">
        <v>45977</v>
      </c>
      <c r="G239" s="1">
        <v>45977</v>
      </c>
      <c r="H239" t="s">
        <v>17</v>
      </c>
      <c r="I239">
        <v>1</v>
      </c>
      <c r="J239">
        <v>0</v>
      </c>
      <c r="K239">
        <v>180000</v>
      </c>
      <c r="L239">
        <v>0</v>
      </c>
      <c r="M239" t="s">
        <v>23</v>
      </c>
      <c r="N239" t="str">
        <f>_xlfn.XLOOKUP(B239,tblCustomers[customer_id],tblCustomers[region],"Missing")</f>
        <v>West</v>
      </c>
      <c r="O239" t="str">
        <f>_xlfn.XLOOKUP(C239,tblProducts[product_id],tblProducts[product_name],"Missing")</f>
        <v>Support Desk</v>
      </c>
      <c r="P239" t="str">
        <f>_xlfn.XLOOKUP(C239,tblProducts[product_id],tblProducts[category],"Missing")</f>
        <v>Service</v>
      </c>
      <c r="Q239" t="str">
        <f>_xlfn.XLOOKUP(D239,tblSalesReps[rep_id],tblSalesReps[rep_name],"Missing")</f>
        <v>Sales Rep 13</v>
      </c>
      <c r="R239" t="str">
        <f>_xlfn.XLOOKUP(D239,tblSalesReps[rep_id],tblSalesReps[region],"Missing")</f>
        <v>West</v>
      </c>
    </row>
    <row r="240" spans="1:18">
      <c r="A240" t="s">
        <v>470</v>
      </c>
      <c r="B240" t="s">
        <v>471</v>
      </c>
      <c r="C240" t="s">
        <v>81</v>
      </c>
      <c r="D240" t="s">
        <v>27</v>
      </c>
      <c r="E240" s="1">
        <v>45899</v>
      </c>
      <c r="F240" s="1">
        <v>45911</v>
      </c>
      <c r="G240" s="1"/>
      <c r="H240" t="s">
        <v>43</v>
      </c>
      <c r="I240">
        <v>1</v>
      </c>
      <c r="J240">
        <v>5</v>
      </c>
      <c r="K240">
        <v>285000</v>
      </c>
      <c r="L240">
        <v>20</v>
      </c>
      <c r="M240" t="s">
        <v>29</v>
      </c>
      <c r="N240" t="str">
        <f>_xlfn.XLOOKUP(B240,tblCustomers[customer_id],tblCustomers[region],"Missing")</f>
        <v>North</v>
      </c>
      <c r="O240" t="str">
        <f>_xlfn.XLOOKUP(C240,tblProducts[product_id],tblProducts[product_name],"Missing")</f>
        <v>Analytics Cloud</v>
      </c>
      <c r="P240" t="str">
        <f>_xlfn.XLOOKUP(C240,tblProducts[product_id],tblProducts[category],"Missing")</f>
        <v>Analytics</v>
      </c>
      <c r="Q240" t="str">
        <f>_xlfn.XLOOKUP(D240,tblSalesReps[rep_id],tblSalesReps[rep_name],"Missing")</f>
        <v>Sales Rep 06</v>
      </c>
      <c r="R240" t="str">
        <f>_xlfn.XLOOKUP(D240,tblSalesReps[rep_id],tblSalesReps[region],"Missing")</f>
        <v>North</v>
      </c>
    </row>
    <row r="241" spans="1:18">
      <c r="A241" t="s">
        <v>472</v>
      </c>
      <c r="B241" t="s">
        <v>339</v>
      </c>
      <c r="C241" t="s">
        <v>62</v>
      </c>
      <c r="D241" t="s">
        <v>70</v>
      </c>
      <c r="E241" s="1">
        <v>45912</v>
      </c>
      <c r="F241" s="1">
        <v>45997</v>
      </c>
      <c r="G241" s="1">
        <v>45997</v>
      </c>
      <c r="H241" t="s">
        <v>17</v>
      </c>
      <c r="I241">
        <v>1</v>
      </c>
      <c r="J241">
        <v>0</v>
      </c>
      <c r="K241">
        <v>120000</v>
      </c>
      <c r="L241">
        <v>0</v>
      </c>
      <c r="M241" t="s">
        <v>82</v>
      </c>
      <c r="N241" t="str">
        <f>_xlfn.XLOOKUP(B241,tblCustomers[customer_id],tblCustomers[region],"Missing")</f>
        <v>West</v>
      </c>
      <c r="O241" t="str">
        <f>_xlfn.XLOOKUP(C241,tblProducts[product_id],tblProducts[product_name],"Missing")</f>
        <v>CRM Essentials</v>
      </c>
      <c r="P241" t="str">
        <f>_xlfn.XLOOKUP(C241,tblProducts[product_id],tblProducts[category],"Missing")</f>
        <v>CRM</v>
      </c>
      <c r="Q241" t="str">
        <f>_xlfn.XLOOKUP(D241,tblSalesReps[rep_id],tblSalesReps[rep_name],"Missing")</f>
        <v>Sales Rep 11</v>
      </c>
      <c r="R241" t="str">
        <f>_xlfn.XLOOKUP(D241,tblSalesReps[rep_id],tblSalesReps[region],"Missing")</f>
        <v>West</v>
      </c>
    </row>
    <row r="242" spans="1:18">
      <c r="A242" t="s">
        <v>473</v>
      </c>
      <c r="B242" t="s">
        <v>339</v>
      </c>
      <c r="C242" t="s">
        <v>62</v>
      </c>
      <c r="D242" t="s">
        <v>40</v>
      </c>
      <c r="E242" s="1">
        <v>45730</v>
      </c>
      <c r="F242" s="1">
        <v>45758</v>
      </c>
      <c r="G242" s="1"/>
      <c r="H242" t="s">
        <v>43</v>
      </c>
      <c r="I242">
        <v>1</v>
      </c>
      <c r="J242">
        <v>20</v>
      </c>
      <c r="K242">
        <v>96000</v>
      </c>
      <c r="L242">
        <v>40</v>
      </c>
      <c r="M242" t="s">
        <v>29</v>
      </c>
      <c r="N242" t="str">
        <f>_xlfn.XLOOKUP(B242,tblCustomers[customer_id],tblCustomers[region],"Missing")</f>
        <v>West</v>
      </c>
      <c r="O242" t="str">
        <f>_xlfn.XLOOKUP(C242,tblProducts[product_id],tblProducts[product_name],"Missing")</f>
        <v>CRM Essentials</v>
      </c>
      <c r="P242" t="str">
        <f>_xlfn.XLOOKUP(C242,tblProducts[product_id],tblProducts[category],"Missing")</f>
        <v>CRM</v>
      </c>
      <c r="Q242" t="str">
        <f>_xlfn.XLOOKUP(D242,tblSalesReps[rep_id],tblSalesReps[rep_name],"Missing")</f>
        <v>Sales Rep 13</v>
      </c>
      <c r="R242" t="str">
        <f>_xlfn.XLOOKUP(D242,tblSalesReps[rep_id],tblSalesReps[region],"Missing")</f>
        <v>West</v>
      </c>
    </row>
    <row r="243" spans="1:18">
      <c r="A243" t="s">
        <v>474</v>
      </c>
      <c r="B243" t="s">
        <v>383</v>
      </c>
      <c r="C243" t="s">
        <v>62</v>
      </c>
      <c r="D243" t="s">
        <v>50</v>
      </c>
      <c r="E243" s="1">
        <v>45803</v>
      </c>
      <c r="F243" s="1">
        <v>45870</v>
      </c>
      <c r="G243" s="1">
        <v>45870</v>
      </c>
      <c r="H243" t="s">
        <v>17</v>
      </c>
      <c r="I243">
        <v>1</v>
      </c>
      <c r="J243">
        <v>5</v>
      </c>
      <c r="K243">
        <v>114000</v>
      </c>
      <c r="L243">
        <v>0</v>
      </c>
      <c r="M243" t="s">
        <v>18</v>
      </c>
      <c r="N243" t="str">
        <f>_xlfn.XLOOKUP(B243,tblCustomers[customer_id],tblCustomers[region],"Missing")</f>
        <v>West</v>
      </c>
      <c r="O243" t="str">
        <f>_xlfn.XLOOKUP(C243,tblProducts[product_id],tblProducts[product_name],"Missing")</f>
        <v>CRM Essentials</v>
      </c>
      <c r="P243" t="str">
        <f>_xlfn.XLOOKUP(C243,tblProducts[product_id],tblProducts[category],"Missing")</f>
        <v>CRM</v>
      </c>
      <c r="Q243" t="str">
        <f>_xlfn.XLOOKUP(D243,tblSalesReps[rep_id],tblSalesReps[rep_name],"Missing")</f>
        <v>Sales Rep 15</v>
      </c>
      <c r="R243" t="str">
        <f>_xlfn.XLOOKUP(D243,tblSalesReps[rep_id],tblSalesReps[region],"Missing")</f>
        <v>West</v>
      </c>
    </row>
    <row r="244" spans="1:18">
      <c r="A244" t="s">
        <v>475</v>
      </c>
      <c r="B244" t="s">
        <v>351</v>
      </c>
      <c r="C244" t="s">
        <v>62</v>
      </c>
      <c r="D244" t="s">
        <v>119</v>
      </c>
      <c r="E244" s="1">
        <v>45706</v>
      </c>
      <c r="F244" s="1">
        <v>45782</v>
      </c>
      <c r="G244" s="1">
        <v>45782</v>
      </c>
      <c r="H244" t="s">
        <v>17</v>
      </c>
      <c r="I244">
        <v>3</v>
      </c>
      <c r="J244">
        <v>5</v>
      </c>
      <c r="K244">
        <v>342000</v>
      </c>
      <c r="L244">
        <v>0</v>
      </c>
      <c r="M244" t="s">
        <v>47</v>
      </c>
      <c r="N244" t="str">
        <f>_xlfn.XLOOKUP(B244,tblCustomers[customer_id],tblCustomers[region],"Missing")</f>
        <v>North</v>
      </c>
      <c r="O244" t="str">
        <f>_xlfn.XLOOKUP(C244,tblProducts[product_id],tblProducts[product_name],"Missing")</f>
        <v>CRM Essentials</v>
      </c>
      <c r="P244" t="str">
        <f>_xlfn.XLOOKUP(C244,tblProducts[product_id],tblProducts[category],"Missing")</f>
        <v>CRM</v>
      </c>
      <c r="Q244" t="str">
        <f>_xlfn.XLOOKUP(D244,tblSalesReps[rep_id],tblSalesReps[rep_name],"Missing")</f>
        <v>Sales Rep 10</v>
      </c>
      <c r="R244" t="str">
        <f>_xlfn.XLOOKUP(D244,tblSalesReps[rep_id],tblSalesReps[region],"Missing")</f>
        <v>North</v>
      </c>
    </row>
    <row r="245" spans="1:18">
      <c r="A245" t="s">
        <v>476</v>
      </c>
      <c r="B245" t="s">
        <v>477</v>
      </c>
      <c r="C245" t="s">
        <v>21</v>
      </c>
      <c r="D245" t="s">
        <v>75</v>
      </c>
      <c r="E245" s="1">
        <v>45880</v>
      </c>
      <c r="F245" s="1">
        <v>45965</v>
      </c>
      <c r="G245" s="1">
        <v>45965</v>
      </c>
      <c r="H245" t="s">
        <v>28</v>
      </c>
      <c r="I245">
        <v>2</v>
      </c>
      <c r="J245">
        <v>0</v>
      </c>
      <c r="K245">
        <v>480000</v>
      </c>
      <c r="L245">
        <v>100</v>
      </c>
      <c r="M245" t="s">
        <v>29</v>
      </c>
      <c r="N245" t="str">
        <f>_xlfn.XLOOKUP(B245,tblCustomers[customer_id],tblCustomers[region],"Missing")</f>
        <v>North</v>
      </c>
      <c r="O245" t="str">
        <f>_xlfn.XLOOKUP(C245,tblProducts[product_id],tblProducts[product_name],"Missing")</f>
        <v>Workflow Automate</v>
      </c>
      <c r="P245" t="str">
        <f>_xlfn.XLOOKUP(C245,tblProducts[product_id],tblProducts[category],"Missing")</f>
        <v>Automation</v>
      </c>
      <c r="Q245" t="str">
        <f>_xlfn.XLOOKUP(D245,tblSalesReps[rep_id],tblSalesReps[rep_name],"Missing")</f>
        <v>Sales Rep 07</v>
      </c>
      <c r="R245" t="str">
        <f>_xlfn.XLOOKUP(D245,tblSalesReps[rep_id],tblSalesReps[region],"Missing")</f>
        <v>North</v>
      </c>
    </row>
    <row r="246" spans="1:18">
      <c r="A246" t="s">
        <v>478</v>
      </c>
      <c r="B246" t="s">
        <v>479</v>
      </c>
      <c r="C246" t="s">
        <v>62</v>
      </c>
      <c r="D246" t="s">
        <v>168</v>
      </c>
      <c r="E246" s="1">
        <v>45885</v>
      </c>
      <c r="F246" s="1">
        <v>45933</v>
      </c>
      <c r="G246" s="1">
        <v>45933</v>
      </c>
      <c r="H246" t="s">
        <v>17</v>
      </c>
      <c r="I246">
        <v>2</v>
      </c>
      <c r="J246">
        <v>5</v>
      </c>
      <c r="K246">
        <v>228000</v>
      </c>
      <c r="L246">
        <v>0</v>
      </c>
      <c r="M246" t="s">
        <v>47</v>
      </c>
      <c r="N246" t="str">
        <f>_xlfn.XLOOKUP(B246,tblCustomers[customer_id],tblCustomers[region],"Missing")</f>
        <v>East</v>
      </c>
      <c r="O246" t="str">
        <f>_xlfn.XLOOKUP(C246,tblProducts[product_id],tblProducts[product_name],"Missing")</f>
        <v>CRM Essentials</v>
      </c>
      <c r="P246" t="str">
        <f>_xlfn.XLOOKUP(C246,tblProducts[product_id],tblProducts[category],"Missing")</f>
        <v>CRM</v>
      </c>
      <c r="Q246" t="str">
        <f>_xlfn.XLOOKUP(D246,tblSalesReps[rep_id],tblSalesReps[rep_name],"Missing")</f>
        <v>Sales Rep 17</v>
      </c>
      <c r="R246" t="str">
        <f>_xlfn.XLOOKUP(D246,tblSalesReps[rep_id],tblSalesReps[region],"Missing")</f>
        <v>East</v>
      </c>
    </row>
    <row r="247" spans="1:18">
      <c r="A247" t="s">
        <v>480</v>
      </c>
      <c r="B247" t="s">
        <v>481</v>
      </c>
      <c r="C247" t="s">
        <v>15</v>
      </c>
      <c r="D247" t="s">
        <v>46</v>
      </c>
      <c r="E247" s="1">
        <v>45899</v>
      </c>
      <c r="F247" s="1">
        <v>45912</v>
      </c>
      <c r="G247" s="1">
        <v>45912</v>
      </c>
      <c r="H247" t="s">
        <v>17</v>
      </c>
      <c r="I247">
        <v>2</v>
      </c>
      <c r="J247">
        <v>5</v>
      </c>
      <c r="K247">
        <v>798000</v>
      </c>
      <c r="L247">
        <v>0</v>
      </c>
      <c r="M247" t="s">
        <v>33</v>
      </c>
      <c r="N247" t="str">
        <f>_xlfn.XLOOKUP(B247,tblCustomers[customer_id],tblCustomers[region],"Missing")</f>
        <v>South</v>
      </c>
      <c r="O247" t="str">
        <f>_xlfn.XLOOKUP(C247,tblProducts[product_id],tblProducts[product_name],"Missing")</f>
        <v>CRM Enterprise</v>
      </c>
      <c r="P247" t="str">
        <f>_xlfn.XLOOKUP(C247,tblProducts[product_id],tblProducts[category],"Missing")</f>
        <v>CRM</v>
      </c>
      <c r="Q247" t="str">
        <f>_xlfn.XLOOKUP(D247,tblSalesReps[rep_id],tblSalesReps[rep_name],"Missing")</f>
        <v>Sales Rep 01</v>
      </c>
      <c r="R247" t="str">
        <f>_xlfn.XLOOKUP(D247,tblSalesReps[rep_id],tblSalesReps[region],"Missing")</f>
        <v>South</v>
      </c>
    </row>
    <row r="248" spans="1:18">
      <c r="A248" t="s">
        <v>482</v>
      </c>
      <c r="B248" t="s">
        <v>483</v>
      </c>
      <c r="C248" t="s">
        <v>15</v>
      </c>
      <c r="D248" t="s">
        <v>53</v>
      </c>
      <c r="E248" s="1">
        <v>45896</v>
      </c>
      <c r="F248" s="1">
        <v>45924</v>
      </c>
      <c r="G248" s="1">
        <v>45924</v>
      </c>
      <c r="H248" t="s">
        <v>17</v>
      </c>
      <c r="I248">
        <v>1</v>
      </c>
      <c r="J248">
        <v>5</v>
      </c>
      <c r="K248">
        <v>399000</v>
      </c>
      <c r="L248">
        <v>0</v>
      </c>
      <c r="M248" t="s">
        <v>33</v>
      </c>
      <c r="N248" t="str">
        <f>_xlfn.XLOOKUP(B248,tblCustomers[customer_id],tblCustomers[region],"Missing")</f>
        <v>East</v>
      </c>
      <c r="O248" t="str">
        <f>_xlfn.XLOOKUP(C248,tblProducts[product_id],tblProducts[product_name],"Missing")</f>
        <v>CRM Enterprise</v>
      </c>
      <c r="P248" t="str">
        <f>_xlfn.XLOOKUP(C248,tblProducts[product_id],tblProducts[category],"Missing")</f>
        <v>CRM</v>
      </c>
      <c r="Q248" t="str">
        <f>_xlfn.XLOOKUP(D248,tblSalesReps[rep_id],tblSalesReps[rep_name],"Missing")</f>
        <v>Sales Rep 16</v>
      </c>
      <c r="R248" t="str">
        <f>_xlfn.XLOOKUP(D248,tblSalesReps[rep_id],tblSalesReps[region],"Missing")</f>
        <v>East</v>
      </c>
    </row>
    <row r="249" spans="1:18">
      <c r="A249" t="s">
        <v>484</v>
      </c>
      <c r="B249" t="s">
        <v>485</v>
      </c>
      <c r="C249" t="s">
        <v>15</v>
      </c>
      <c r="D249" t="s">
        <v>56</v>
      </c>
      <c r="E249" s="1">
        <v>45900</v>
      </c>
      <c r="F249" s="1">
        <v>45942</v>
      </c>
      <c r="G249" s="1"/>
      <c r="H249" t="s">
        <v>43</v>
      </c>
      <c r="I249">
        <v>1</v>
      </c>
      <c r="J249">
        <v>15</v>
      </c>
      <c r="K249">
        <v>357000</v>
      </c>
      <c r="L249">
        <v>40</v>
      </c>
      <c r="M249" t="s">
        <v>29</v>
      </c>
      <c r="N249" t="str">
        <f>_xlfn.XLOOKUP(B249,tblCustomers[customer_id],tblCustomers[region],"Missing")</f>
        <v>East</v>
      </c>
      <c r="O249" t="str">
        <f>_xlfn.XLOOKUP(C249,tblProducts[product_id],tblProducts[product_name],"Missing")</f>
        <v>CRM Enterprise</v>
      </c>
      <c r="P249" t="str">
        <f>_xlfn.XLOOKUP(C249,tblProducts[product_id],tblProducts[category],"Missing")</f>
        <v>CRM</v>
      </c>
      <c r="Q249" t="str">
        <f>_xlfn.XLOOKUP(D249,tblSalesReps[rep_id],tblSalesReps[rep_name],"Missing")</f>
        <v>Sales Rep 20</v>
      </c>
      <c r="R249" t="str">
        <f>_xlfn.XLOOKUP(D249,tblSalesReps[rep_id],tblSalesReps[region],"Missing")</f>
        <v>East</v>
      </c>
    </row>
    <row r="250" spans="1:18">
      <c r="A250" t="s">
        <v>486</v>
      </c>
      <c r="B250" t="s">
        <v>487</v>
      </c>
      <c r="C250" t="s">
        <v>62</v>
      </c>
      <c r="D250" t="s">
        <v>22</v>
      </c>
      <c r="E250" s="1">
        <v>45916</v>
      </c>
      <c r="F250" s="1">
        <v>45990</v>
      </c>
      <c r="G250" s="1">
        <v>45990</v>
      </c>
      <c r="H250" t="s">
        <v>28</v>
      </c>
      <c r="I250">
        <v>2</v>
      </c>
      <c r="J250">
        <v>15</v>
      </c>
      <c r="K250">
        <v>204000</v>
      </c>
      <c r="L250">
        <v>100</v>
      </c>
      <c r="M250" t="s">
        <v>29</v>
      </c>
      <c r="N250" t="str">
        <f>_xlfn.XLOOKUP(B250,tblCustomers[customer_id],tblCustomers[region],"Missing")</f>
        <v>West</v>
      </c>
      <c r="O250" t="str">
        <f>_xlfn.XLOOKUP(C250,tblProducts[product_id],tblProducts[product_name],"Missing")</f>
        <v>CRM Essentials</v>
      </c>
      <c r="P250" t="str">
        <f>_xlfn.XLOOKUP(C250,tblProducts[product_id],tblProducts[category],"Missing")</f>
        <v>CRM</v>
      </c>
      <c r="Q250" t="str">
        <f>_xlfn.XLOOKUP(D250,tblSalesReps[rep_id],tblSalesReps[rep_name],"Missing")</f>
        <v>Sales Rep 14</v>
      </c>
      <c r="R250" t="str">
        <f>_xlfn.XLOOKUP(D250,tblSalesReps[rep_id],tblSalesReps[region],"Missing")</f>
        <v>West</v>
      </c>
    </row>
    <row r="251" spans="1:18">
      <c r="A251" t="s">
        <v>488</v>
      </c>
      <c r="B251" t="s">
        <v>489</v>
      </c>
      <c r="C251" t="s">
        <v>21</v>
      </c>
      <c r="D251" t="s">
        <v>78</v>
      </c>
      <c r="E251" s="1">
        <v>46018</v>
      </c>
      <c r="F251" s="1">
        <v>46098</v>
      </c>
      <c r="G251" s="1"/>
      <c r="H251" t="s">
        <v>43</v>
      </c>
      <c r="I251">
        <v>3</v>
      </c>
      <c r="J251">
        <v>0</v>
      </c>
      <c r="K251">
        <v>720000</v>
      </c>
      <c r="L251">
        <v>80</v>
      </c>
      <c r="M251" t="s">
        <v>29</v>
      </c>
      <c r="N251" t="str">
        <f>_xlfn.XLOOKUP(B251,tblCustomers[customer_id],tblCustomers[region],"Missing")</f>
        <v>West</v>
      </c>
      <c r="O251" t="str">
        <f>_xlfn.XLOOKUP(C251,tblProducts[product_id],tblProducts[product_name],"Missing")</f>
        <v>Workflow Automate</v>
      </c>
      <c r="P251" t="str">
        <f>_xlfn.XLOOKUP(C251,tblProducts[product_id],tblProducts[category],"Missing")</f>
        <v>Automation</v>
      </c>
      <c r="Q251" t="str">
        <f>_xlfn.XLOOKUP(D251,tblSalesReps[rep_id],tblSalesReps[rep_name],"Missing")</f>
        <v>Sales Rep 12</v>
      </c>
      <c r="R251" t="str">
        <f>_xlfn.XLOOKUP(D251,tblSalesReps[rep_id],tblSalesReps[region],"Missing")</f>
        <v>West</v>
      </c>
    </row>
    <row r="252" spans="1:18">
      <c r="A252" t="s">
        <v>490</v>
      </c>
      <c r="B252" t="s">
        <v>491</v>
      </c>
      <c r="C252" t="s">
        <v>39</v>
      </c>
      <c r="D252" t="s">
        <v>56</v>
      </c>
      <c r="E252" s="1">
        <v>45952</v>
      </c>
      <c r="F252" s="1">
        <v>45969</v>
      </c>
      <c r="G252" s="1"/>
      <c r="H252" t="s">
        <v>43</v>
      </c>
      <c r="I252">
        <v>3</v>
      </c>
      <c r="J252">
        <v>10</v>
      </c>
      <c r="K252">
        <v>486000</v>
      </c>
      <c r="L252">
        <v>20</v>
      </c>
      <c r="M252" t="s">
        <v>29</v>
      </c>
      <c r="N252" t="str">
        <f>_xlfn.XLOOKUP(B252,tblCustomers[customer_id],tblCustomers[region],"Missing")</f>
        <v>East</v>
      </c>
      <c r="O252" t="str">
        <f>_xlfn.XLOOKUP(C252,tblProducts[product_id],tblProducts[product_name],"Missing")</f>
        <v>Support Desk</v>
      </c>
      <c r="P252" t="str">
        <f>_xlfn.XLOOKUP(C252,tblProducts[product_id],tblProducts[category],"Missing")</f>
        <v>Service</v>
      </c>
      <c r="Q252" t="str">
        <f>_xlfn.XLOOKUP(D252,tblSalesReps[rep_id],tblSalesReps[rep_name],"Missing")</f>
        <v>Sales Rep 20</v>
      </c>
      <c r="R252" t="str">
        <f>_xlfn.XLOOKUP(D252,tblSalesReps[rep_id],tblSalesReps[region],"Missing")</f>
        <v>East</v>
      </c>
    </row>
    <row r="253" spans="1:18">
      <c r="A253" t="s">
        <v>492</v>
      </c>
      <c r="B253" t="s">
        <v>493</v>
      </c>
      <c r="C253" t="s">
        <v>39</v>
      </c>
      <c r="D253" t="s">
        <v>78</v>
      </c>
      <c r="E253" s="1">
        <v>45728</v>
      </c>
      <c r="F253" s="1">
        <v>45765</v>
      </c>
      <c r="G253" s="1"/>
      <c r="H253" t="s">
        <v>43</v>
      </c>
      <c r="I253">
        <v>3</v>
      </c>
      <c r="J253">
        <v>0</v>
      </c>
      <c r="K253">
        <v>540000</v>
      </c>
      <c r="L253">
        <v>80</v>
      </c>
      <c r="M253" t="s">
        <v>29</v>
      </c>
      <c r="N253" t="str">
        <f>_xlfn.XLOOKUP(B253,tblCustomers[customer_id],tblCustomers[region],"Missing")</f>
        <v>West</v>
      </c>
      <c r="O253" t="str">
        <f>_xlfn.XLOOKUP(C253,tblProducts[product_id],tblProducts[product_name],"Missing")</f>
        <v>Support Desk</v>
      </c>
      <c r="P253" t="str">
        <f>_xlfn.XLOOKUP(C253,tblProducts[product_id],tblProducts[category],"Missing")</f>
        <v>Service</v>
      </c>
      <c r="Q253" t="str">
        <f>_xlfn.XLOOKUP(D253,tblSalesReps[rep_id],tblSalesReps[rep_name],"Missing")</f>
        <v>Sales Rep 12</v>
      </c>
      <c r="R253" t="str">
        <f>_xlfn.XLOOKUP(D253,tblSalesReps[rep_id],tblSalesReps[region],"Missing")</f>
        <v>West</v>
      </c>
    </row>
    <row r="254" spans="1:18">
      <c r="A254" t="s">
        <v>494</v>
      </c>
      <c r="B254" t="s">
        <v>339</v>
      </c>
      <c r="C254" t="s">
        <v>21</v>
      </c>
      <c r="D254" t="s">
        <v>40</v>
      </c>
      <c r="E254" s="1">
        <v>45889</v>
      </c>
      <c r="F254" s="1">
        <v>45963</v>
      </c>
      <c r="G254" s="1">
        <v>45963</v>
      </c>
      <c r="H254" t="s">
        <v>17</v>
      </c>
      <c r="I254">
        <v>1</v>
      </c>
      <c r="J254">
        <v>15</v>
      </c>
      <c r="K254">
        <v>204000</v>
      </c>
      <c r="L254">
        <v>0</v>
      </c>
      <c r="M254" t="s">
        <v>82</v>
      </c>
      <c r="N254" t="str">
        <f>_xlfn.XLOOKUP(B254,tblCustomers[customer_id],tblCustomers[region],"Missing")</f>
        <v>West</v>
      </c>
      <c r="O254" t="str">
        <f>_xlfn.XLOOKUP(C254,tblProducts[product_id],tblProducts[product_name],"Missing")</f>
        <v>Workflow Automate</v>
      </c>
      <c r="P254" t="str">
        <f>_xlfn.XLOOKUP(C254,tblProducts[product_id],tblProducts[category],"Missing")</f>
        <v>Automation</v>
      </c>
      <c r="Q254" t="str">
        <f>_xlfn.XLOOKUP(D254,tblSalesReps[rep_id],tblSalesReps[rep_name],"Missing")</f>
        <v>Sales Rep 13</v>
      </c>
      <c r="R254" t="str">
        <f>_xlfn.XLOOKUP(D254,tblSalesReps[rep_id],tblSalesReps[region],"Missing")</f>
        <v>West</v>
      </c>
    </row>
    <row r="255" spans="1:18">
      <c r="A255" t="s">
        <v>495</v>
      </c>
      <c r="B255" t="s">
        <v>61</v>
      </c>
      <c r="C255" t="s">
        <v>26</v>
      </c>
      <c r="D255" t="s">
        <v>126</v>
      </c>
      <c r="E255" s="1">
        <v>45912</v>
      </c>
      <c r="F255" s="1">
        <v>45945</v>
      </c>
      <c r="G255" s="1">
        <v>45945</v>
      </c>
      <c r="H255" t="s">
        <v>28</v>
      </c>
      <c r="I255">
        <v>3</v>
      </c>
      <c r="J255">
        <v>0</v>
      </c>
      <c r="K255">
        <v>1080000</v>
      </c>
      <c r="L255">
        <v>100</v>
      </c>
      <c r="M255" t="s">
        <v>29</v>
      </c>
      <c r="N255" t="str">
        <f>_xlfn.XLOOKUP(B255,tblCustomers[customer_id],tblCustomers[region],"Missing")</f>
        <v>South</v>
      </c>
      <c r="O255" t="str">
        <f>_xlfn.XLOOKUP(C255,tblProducts[product_id],tblProducts[product_name],"Missing")</f>
        <v>Security Suite</v>
      </c>
      <c r="P255" t="str">
        <f>_xlfn.XLOOKUP(C255,tblProducts[product_id],tblProducts[category],"Missing")</f>
        <v>Security</v>
      </c>
      <c r="Q255" t="str">
        <f>_xlfn.XLOOKUP(D255,tblSalesReps[rep_id],tblSalesReps[rep_name],"Missing")</f>
        <v>Sales Rep 02</v>
      </c>
      <c r="R255" t="str">
        <f>_xlfn.XLOOKUP(D255,tblSalesReps[rep_id],tblSalesReps[region],"Missing")</f>
        <v>South</v>
      </c>
    </row>
    <row r="256" spans="1:18">
      <c r="A256" t="s">
        <v>496</v>
      </c>
      <c r="B256" t="s">
        <v>497</v>
      </c>
      <c r="C256" t="s">
        <v>21</v>
      </c>
      <c r="D256" t="s">
        <v>91</v>
      </c>
      <c r="E256" s="1">
        <v>45906</v>
      </c>
      <c r="F256" s="1">
        <v>45980</v>
      </c>
      <c r="G256" s="1">
        <v>45980</v>
      </c>
      <c r="H256" t="s">
        <v>17</v>
      </c>
      <c r="I256">
        <v>3</v>
      </c>
      <c r="J256">
        <v>15</v>
      </c>
      <c r="K256">
        <v>612000</v>
      </c>
      <c r="L256">
        <v>0</v>
      </c>
      <c r="M256" t="s">
        <v>18</v>
      </c>
      <c r="N256" t="str">
        <f>_xlfn.XLOOKUP(B256,tblCustomers[customer_id],tblCustomers[region],"Missing")</f>
        <v>South</v>
      </c>
      <c r="O256" t="str">
        <f>_xlfn.XLOOKUP(C256,tblProducts[product_id],tblProducts[product_name],"Missing")</f>
        <v>Workflow Automate</v>
      </c>
      <c r="P256" t="str">
        <f>_xlfn.XLOOKUP(C256,tblProducts[product_id],tblProducts[category],"Missing")</f>
        <v>Automation</v>
      </c>
      <c r="Q256" t="str">
        <f>_xlfn.XLOOKUP(D256,tblSalesReps[rep_id],tblSalesReps[rep_name],"Missing")</f>
        <v>Sales Rep 03</v>
      </c>
      <c r="R256" t="str">
        <f>_xlfn.XLOOKUP(D256,tblSalesReps[rep_id],tblSalesReps[region],"Missing")</f>
        <v>South</v>
      </c>
    </row>
    <row r="257" spans="1:18">
      <c r="A257" t="s">
        <v>498</v>
      </c>
      <c r="B257" t="s">
        <v>499</v>
      </c>
      <c r="C257" t="s">
        <v>21</v>
      </c>
      <c r="D257" t="s">
        <v>22</v>
      </c>
      <c r="E257" s="1">
        <v>45743</v>
      </c>
      <c r="F257" s="1">
        <v>45770</v>
      </c>
      <c r="G257" s="1">
        <v>45770</v>
      </c>
      <c r="H257" t="s">
        <v>17</v>
      </c>
      <c r="I257">
        <v>3</v>
      </c>
      <c r="J257">
        <v>10</v>
      </c>
      <c r="K257">
        <v>648000</v>
      </c>
      <c r="L257">
        <v>0</v>
      </c>
      <c r="M257" t="s">
        <v>47</v>
      </c>
      <c r="N257" t="str">
        <f>_xlfn.XLOOKUP(B257,tblCustomers[customer_id],tblCustomers[region],"Missing")</f>
        <v>West</v>
      </c>
      <c r="O257" t="str">
        <f>_xlfn.XLOOKUP(C257,tblProducts[product_id],tblProducts[product_name],"Missing")</f>
        <v>Workflow Automate</v>
      </c>
      <c r="P257" t="str">
        <f>_xlfn.XLOOKUP(C257,tblProducts[product_id],tblProducts[category],"Missing")</f>
        <v>Automation</v>
      </c>
      <c r="Q257" t="str">
        <f>_xlfn.XLOOKUP(D257,tblSalesReps[rep_id],tblSalesReps[rep_name],"Missing")</f>
        <v>Sales Rep 14</v>
      </c>
      <c r="R257" t="str">
        <f>_xlfn.XLOOKUP(D257,tblSalesReps[rep_id],tblSalesReps[region],"Missing")</f>
        <v>West</v>
      </c>
    </row>
    <row r="258" spans="1:18">
      <c r="A258" t="s">
        <v>500</v>
      </c>
      <c r="B258" t="s">
        <v>501</v>
      </c>
      <c r="C258" t="s">
        <v>15</v>
      </c>
      <c r="D258" t="s">
        <v>168</v>
      </c>
      <c r="E258" s="1">
        <v>45945</v>
      </c>
      <c r="F258" s="1">
        <v>45992</v>
      </c>
      <c r="G258" s="1">
        <v>45992</v>
      </c>
      <c r="H258" t="s">
        <v>17</v>
      </c>
      <c r="I258">
        <v>1</v>
      </c>
      <c r="J258">
        <v>5</v>
      </c>
      <c r="K258">
        <v>399000</v>
      </c>
      <c r="L258">
        <v>0</v>
      </c>
      <c r="M258" t="s">
        <v>82</v>
      </c>
      <c r="N258" t="str">
        <f>_xlfn.XLOOKUP(B258,tblCustomers[customer_id],tblCustomers[region],"Missing")</f>
        <v>East</v>
      </c>
      <c r="O258" t="str">
        <f>_xlfn.XLOOKUP(C258,tblProducts[product_id],tblProducts[product_name],"Missing")</f>
        <v>CRM Enterprise</v>
      </c>
      <c r="P258" t="str">
        <f>_xlfn.XLOOKUP(C258,tblProducts[product_id],tblProducts[category],"Missing")</f>
        <v>CRM</v>
      </c>
      <c r="Q258" t="str">
        <f>_xlfn.XLOOKUP(D258,tblSalesReps[rep_id],tblSalesReps[rep_name],"Missing")</f>
        <v>Sales Rep 17</v>
      </c>
      <c r="R258" t="str">
        <f>_xlfn.XLOOKUP(D258,tblSalesReps[rep_id],tblSalesReps[region],"Missing")</f>
        <v>East</v>
      </c>
    </row>
    <row r="259" spans="1:18">
      <c r="A259" t="s">
        <v>502</v>
      </c>
      <c r="B259" t="s">
        <v>360</v>
      </c>
      <c r="C259" t="s">
        <v>62</v>
      </c>
      <c r="D259" t="s">
        <v>50</v>
      </c>
      <c r="E259" s="1">
        <v>45917</v>
      </c>
      <c r="F259" s="1">
        <v>45961</v>
      </c>
      <c r="G259" s="1">
        <v>45961</v>
      </c>
      <c r="H259" t="s">
        <v>28</v>
      </c>
      <c r="I259">
        <v>2</v>
      </c>
      <c r="J259">
        <v>10</v>
      </c>
      <c r="K259">
        <v>216000</v>
      </c>
      <c r="L259">
        <v>100</v>
      </c>
      <c r="M259" t="s">
        <v>29</v>
      </c>
      <c r="N259" t="str">
        <f>_xlfn.XLOOKUP(B259,tblCustomers[customer_id],tblCustomers[region],"Missing")</f>
        <v>West</v>
      </c>
      <c r="O259" t="str">
        <f>_xlfn.XLOOKUP(C259,tblProducts[product_id],tblProducts[product_name],"Missing")</f>
        <v>CRM Essentials</v>
      </c>
      <c r="P259" t="str">
        <f>_xlfn.XLOOKUP(C259,tblProducts[product_id],tblProducts[category],"Missing")</f>
        <v>CRM</v>
      </c>
      <c r="Q259" t="str">
        <f>_xlfn.XLOOKUP(D259,tblSalesReps[rep_id],tblSalesReps[rep_name],"Missing")</f>
        <v>Sales Rep 15</v>
      </c>
      <c r="R259" t="str">
        <f>_xlfn.XLOOKUP(D259,tblSalesReps[rep_id],tblSalesReps[region],"Missing")</f>
        <v>West</v>
      </c>
    </row>
    <row r="260" spans="1:18">
      <c r="A260" t="s">
        <v>503</v>
      </c>
      <c r="B260" t="s">
        <v>356</v>
      </c>
      <c r="C260" t="s">
        <v>62</v>
      </c>
      <c r="D260" t="s">
        <v>16</v>
      </c>
      <c r="E260" s="1">
        <v>45686</v>
      </c>
      <c r="F260" s="1">
        <v>45717</v>
      </c>
      <c r="G260" s="1">
        <v>45717</v>
      </c>
      <c r="H260" t="s">
        <v>17</v>
      </c>
      <c r="I260">
        <v>3</v>
      </c>
      <c r="J260">
        <v>20</v>
      </c>
      <c r="K260">
        <v>288000</v>
      </c>
      <c r="L260">
        <v>0</v>
      </c>
      <c r="M260" t="s">
        <v>18</v>
      </c>
      <c r="N260" t="str">
        <f>_xlfn.XLOOKUP(B260,tblCustomers[customer_id],tblCustomers[region],"Missing")</f>
        <v>North</v>
      </c>
      <c r="O260" t="str">
        <f>_xlfn.XLOOKUP(C260,tblProducts[product_id],tblProducts[product_name],"Missing")</f>
        <v>CRM Essentials</v>
      </c>
      <c r="P260" t="str">
        <f>_xlfn.XLOOKUP(C260,tblProducts[product_id],tblProducts[category],"Missing")</f>
        <v>CRM</v>
      </c>
      <c r="Q260" t="str">
        <f>_xlfn.XLOOKUP(D260,tblSalesReps[rep_id],tblSalesReps[rep_name],"Missing")</f>
        <v>Sales Rep 08</v>
      </c>
      <c r="R260" t="str">
        <f>_xlfn.XLOOKUP(D260,tblSalesReps[rep_id],tblSalesReps[region],"Missing")</f>
        <v>North</v>
      </c>
    </row>
    <row r="261" spans="1:18">
      <c r="A261" t="s">
        <v>504</v>
      </c>
      <c r="B261" t="s">
        <v>505</v>
      </c>
      <c r="C261" t="s">
        <v>39</v>
      </c>
      <c r="D261" t="s">
        <v>56</v>
      </c>
      <c r="E261" s="1">
        <v>45919</v>
      </c>
      <c r="F261" s="1">
        <v>45972</v>
      </c>
      <c r="G261" s="1"/>
      <c r="H261" t="s">
        <v>43</v>
      </c>
      <c r="I261">
        <v>2</v>
      </c>
      <c r="J261">
        <v>5</v>
      </c>
      <c r="K261">
        <v>342000</v>
      </c>
      <c r="L261">
        <v>80</v>
      </c>
      <c r="M261" t="s">
        <v>29</v>
      </c>
      <c r="N261" t="str">
        <f>_xlfn.XLOOKUP(B261,tblCustomers[customer_id],tblCustomers[region],"Missing")</f>
        <v>East</v>
      </c>
      <c r="O261" t="str">
        <f>_xlfn.XLOOKUP(C261,tblProducts[product_id],tblProducts[product_name],"Missing")</f>
        <v>Support Desk</v>
      </c>
      <c r="P261" t="str">
        <f>_xlfn.XLOOKUP(C261,tblProducts[product_id],tblProducts[category],"Missing")</f>
        <v>Service</v>
      </c>
      <c r="Q261" t="str">
        <f>_xlfn.XLOOKUP(D261,tblSalesReps[rep_id],tblSalesReps[rep_name],"Missing")</f>
        <v>Sales Rep 20</v>
      </c>
      <c r="R261" t="str">
        <f>_xlfn.XLOOKUP(D261,tblSalesReps[rep_id],tblSalesReps[region],"Missing")</f>
        <v>East</v>
      </c>
    </row>
    <row r="262" spans="1:18">
      <c r="A262" t="s">
        <v>506</v>
      </c>
      <c r="B262" t="s">
        <v>255</v>
      </c>
      <c r="C262" t="s">
        <v>81</v>
      </c>
      <c r="D262" t="s">
        <v>59</v>
      </c>
      <c r="E262" s="1">
        <v>45884</v>
      </c>
      <c r="F262" s="1">
        <v>45945</v>
      </c>
      <c r="G262" s="1">
        <v>45945</v>
      </c>
      <c r="H262" t="s">
        <v>28</v>
      </c>
      <c r="I262">
        <v>2</v>
      </c>
      <c r="J262">
        <v>5</v>
      </c>
      <c r="K262">
        <v>570000</v>
      </c>
      <c r="L262">
        <v>100</v>
      </c>
      <c r="M262" t="s">
        <v>29</v>
      </c>
      <c r="N262" t="str">
        <f>_xlfn.XLOOKUP(B262,tblCustomers[customer_id],tblCustomers[region],"Missing")</f>
        <v>East</v>
      </c>
      <c r="O262" t="str">
        <f>_xlfn.XLOOKUP(C262,tblProducts[product_id],tblProducts[product_name],"Missing")</f>
        <v>Analytics Cloud</v>
      </c>
      <c r="P262" t="str">
        <f>_xlfn.XLOOKUP(C262,tblProducts[product_id],tblProducts[category],"Missing")</f>
        <v>Analytics</v>
      </c>
      <c r="Q262" t="str">
        <f>_xlfn.XLOOKUP(D262,tblSalesReps[rep_id],tblSalesReps[rep_name],"Missing")</f>
        <v>Sales Rep 19</v>
      </c>
      <c r="R262" t="str">
        <f>_xlfn.XLOOKUP(D262,tblSalesReps[rep_id],tblSalesReps[region],"Missing")</f>
        <v>East</v>
      </c>
    </row>
    <row r="263" spans="1:18">
      <c r="A263" t="s">
        <v>507</v>
      </c>
      <c r="B263" t="s">
        <v>234</v>
      </c>
      <c r="C263" t="s">
        <v>62</v>
      </c>
      <c r="D263" t="s">
        <v>22</v>
      </c>
      <c r="E263" s="1">
        <v>45985</v>
      </c>
      <c r="F263" s="1">
        <v>46045</v>
      </c>
      <c r="G263" s="1"/>
      <c r="H263" t="s">
        <v>43</v>
      </c>
      <c r="I263">
        <v>1</v>
      </c>
      <c r="J263">
        <v>20</v>
      </c>
      <c r="K263">
        <v>96000</v>
      </c>
      <c r="L263">
        <v>80</v>
      </c>
      <c r="M263" t="s">
        <v>29</v>
      </c>
      <c r="N263" t="str">
        <f>_xlfn.XLOOKUP(B263,tblCustomers[customer_id],tblCustomers[region],"Missing")</f>
        <v>West</v>
      </c>
      <c r="O263" t="str">
        <f>_xlfn.XLOOKUP(C263,tblProducts[product_id],tblProducts[product_name],"Missing")</f>
        <v>CRM Essentials</v>
      </c>
      <c r="P263" t="str">
        <f>_xlfn.XLOOKUP(C263,tblProducts[product_id],tblProducts[category],"Missing")</f>
        <v>CRM</v>
      </c>
      <c r="Q263" t="str">
        <f>_xlfn.XLOOKUP(D263,tblSalesReps[rep_id],tblSalesReps[rep_name],"Missing")</f>
        <v>Sales Rep 14</v>
      </c>
      <c r="R263" t="str">
        <f>_xlfn.XLOOKUP(D263,tblSalesReps[rep_id],tblSalesReps[region],"Missing")</f>
        <v>West</v>
      </c>
    </row>
    <row r="264" spans="1:18">
      <c r="A264" t="s">
        <v>508</v>
      </c>
      <c r="B264" t="s">
        <v>509</v>
      </c>
      <c r="C264" t="s">
        <v>81</v>
      </c>
      <c r="D264" t="s">
        <v>56</v>
      </c>
      <c r="E264" s="1">
        <v>45895</v>
      </c>
      <c r="F264" s="1">
        <v>45902</v>
      </c>
      <c r="G264" s="1">
        <v>45902</v>
      </c>
      <c r="H264" t="s">
        <v>28</v>
      </c>
      <c r="I264">
        <v>1</v>
      </c>
      <c r="J264">
        <v>10</v>
      </c>
      <c r="K264">
        <v>270000</v>
      </c>
      <c r="L264">
        <v>100</v>
      </c>
      <c r="M264" t="s">
        <v>29</v>
      </c>
      <c r="N264" t="str">
        <f>_xlfn.XLOOKUP(B264,tblCustomers[customer_id],tblCustomers[region],"Missing")</f>
        <v>East</v>
      </c>
      <c r="O264" t="str">
        <f>_xlfn.XLOOKUP(C264,tblProducts[product_id],tblProducts[product_name],"Missing")</f>
        <v>Analytics Cloud</v>
      </c>
      <c r="P264" t="str">
        <f>_xlfn.XLOOKUP(C264,tblProducts[product_id],tblProducts[category],"Missing")</f>
        <v>Analytics</v>
      </c>
      <c r="Q264" t="str">
        <f>_xlfn.XLOOKUP(D264,tblSalesReps[rep_id],tblSalesReps[rep_name],"Missing")</f>
        <v>Sales Rep 20</v>
      </c>
      <c r="R264" t="str">
        <f>_xlfn.XLOOKUP(D264,tblSalesReps[rep_id],tblSalesReps[region],"Missing")</f>
        <v>East</v>
      </c>
    </row>
    <row r="265" spans="1:18">
      <c r="A265" t="s">
        <v>510</v>
      </c>
      <c r="B265" t="s">
        <v>292</v>
      </c>
      <c r="C265" t="s">
        <v>81</v>
      </c>
      <c r="D265" t="s">
        <v>16</v>
      </c>
      <c r="E265" s="1">
        <v>45979</v>
      </c>
      <c r="F265" s="1">
        <v>46001</v>
      </c>
      <c r="G265" s="1">
        <v>46001</v>
      </c>
      <c r="H265" t="s">
        <v>17</v>
      </c>
      <c r="I265">
        <v>1</v>
      </c>
      <c r="J265">
        <v>20</v>
      </c>
      <c r="K265">
        <v>240000</v>
      </c>
      <c r="L265">
        <v>0</v>
      </c>
      <c r="M265" t="s">
        <v>18</v>
      </c>
      <c r="N265" t="str">
        <f>_xlfn.XLOOKUP(B265,tblCustomers[customer_id],tblCustomers[region],"Missing")</f>
        <v>North</v>
      </c>
      <c r="O265" t="str">
        <f>_xlfn.XLOOKUP(C265,tblProducts[product_id],tblProducts[product_name],"Missing")</f>
        <v>Analytics Cloud</v>
      </c>
      <c r="P265" t="str">
        <f>_xlfn.XLOOKUP(C265,tblProducts[product_id],tblProducts[category],"Missing")</f>
        <v>Analytics</v>
      </c>
      <c r="Q265" t="str">
        <f>_xlfn.XLOOKUP(D265,tblSalesReps[rep_id],tblSalesReps[rep_name],"Missing")</f>
        <v>Sales Rep 08</v>
      </c>
      <c r="R265" t="str">
        <f>_xlfn.XLOOKUP(D265,tblSalesReps[rep_id],tblSalesReps[region],"Missing")</f>
        <v>North</v>
      </c>
    </row>
    <row r="266" spans="1:18">
      <c r="A266" t="s">
        <v>511</v>
      </c>
      <c r="B266" t="s">
        <v>327</v>
      </c>
      <c r="C266" t="s">
        <v>21</v>
      </c>
      <c r="D266" t="s">
        <v>152</v>
      </c>
      <c r="E266" s="1">
        <v>45872</v>
      </c>
      <c r="F266" s="1">
        <v>45924</v>
      </c>
      <c r="G266" s="1">
        <v>45924</v>
      </c>
      <c r="H266" t="s">
        <v>17</v>
      </c>
      <c r="I266">
        <v>1</v>
      </c>
      <c r="J266">
        <v>10</v>
      </c>
      <c r="K266">
        <v>216000</v>
      </c>
      <c r="L266">
        <v>0</v>
      </c>
      <c r="M266" t="s">
        <v>33</v>
      </c>
      <c r="N266" t="str">
        <f>_xlfn.XLOOKUP(B266,tblCustomers[customer_id],tblCustomers[region],"Missing")</f>
        <v>East</v>
      </c>
      <c r="O266" t="str">
        <f>_xlfn.XLOOKUP(C266,tblProducts[product_id],tblProducts[product_name],"Missing")</f>
        <v>Workflow Automate</v>
      </c>
      <c r="P266" t="str">
        <f>_xlfn.XLOOKUP(C266,tblProducts[product_id],tblProducts[category],"Missing")</f>
        <v>Automation</v>
      </c>
      <c r="Q266" t="str">
        <f>_xlfn.XLOOKUP(D266,tblSalesReps[rep_id],tblSalesReps[rep_name],"Missing")</f>
        <v>Sales Rep 18</v>
      </c>
      <c r="R266" t="str">
        <f>_xlfn.XLOOKUP(D266,tblSalesReps[rep_id],tblSalesReps[region],"Missing")</f>
        <v>East</v>
      </c>
    </row>
    <row r="267" spans="1:18">
      <c r="A267" t="s">
        <v>512</v>
      </c>
      <c r="B267" t="s">
        <v>331</v>
      </c>
      <c r="C267" t="s">
        <v>15</v>
      </c>
      <c r="D267" t="s">
        <v>56</v>
      </c>
      <c r="E267" s="1">
        <v>45823</v>
      </c>
      <c r="F267" s="1">
        <v>45868</v>
      </c>
      <c r="G267" s="1"/>
      <c r="H267" t="s">
        <v>43</v>
      </c>
      <c r="I267">
        <v>1</v>
      </c>
      <c r="J267">
        <v>10</v>
      </c>
      <c r="K267">
        <v>378000</v>
      </c>
      <c r="L267">
        <v>20</v>
      </c>
      <c r="M267" t="s">
        <v>29</v>
      </c>
      <c r="N267" t="str">
        <f>_xlfn.XLOOKUP(B267,tblCustomers[customer_id],tblCustomers[region],"Missing")</f>
        <v>East</v>
      </c>
      <c r="O267" t="str">
        <f>_xlfn.XLOOKUP(C267,tblProducts[product_id],tblProducts[product_name],"Missing")</f>
        <v>CRM Enterprise</v>
      </c>
      <c r="P267" t="str">
        <f>_xlfn.XLOOKUP(C267,tblProducts[product_id],tblProducts[category],"Missing")</f>
        <v>CRM</v>
      </c>
      <c r="Q267" t="str">
        <f>_xlfn.XLOOKUP(D267,tblSalesReps[rep_id],tblSalesReps[rep_name],"Missing")</f>
        <v>Sales Rep 20</v>
      </c>
      <c r="R267" t="str">
        <f>_xlfn.XLOOKUP(D267,tblSalesReps[rep_id],tblSalesReps[region],"Missing")</f>
        <v>East</v>
      </c>
    </row>
    <row r="268" spans="1:18">
      <c r="A268" t="s">
        <v>513</v>
      </c>
      <c r="B268" t="s">
        <v>360</v>
      </c>
      <c r="C268" t="s">
        <v>39</v>
      </c>
      <c r="D268" t="s">
        <v>78</v>
      </c>
      <c r="E268" s="1">
        <v>45754</v>
      </c>
      <c r="F268" s="1">
        <v>45832</v>
      </c>
      <c r="G268" s="1"/>
      <c r="H268" t="s">
        <v>43</v>
      </c>
      <c r="I268">
        <v>3</v>
      </c>
      <c r="J268">
        <v>20</v>
      </c>
      <c r="K268">
        <v>432000</v>
      </c>
      <c r="L268">
        <v>20</v>
      </c>
      <c r="M268" t="s">
        <v>29</v>
      </c>
      <c r="N268" t="str">
        <f>_xlfn.XLOOKUP(B268,tblCustomers[customer_id],tblCustomers[region],"Missing")</f>
        <v>West</v>
      </c>
      <c r="O268" t="str">
        <f>_xlfn.XLOOKUP(C268,tblProducts[product_id],tblProducts[product_name],"Missing")</f>
        <v>Support Desk</v>
      </c>
      <c r="P268" t="str">
        <f>_xlfn.XLOOKUP(C268,tblProducts[product_id],tblProducts[category],"Missing")</f>
        <v>Service</v>
      </c>
      <c r="Q268" t="str">
        <f>_xlfn.XLOOKUP(D268,tblSalesReps[rep_id],tblSalesReps[rep_name],"Missing")</f>
        <v>Sales Rep 12</v>
      </c>
      <c r="R268" t="str">
        <f>_xlfn.XLOOKUP(D268,tblSalesReps[rep_id],tblSalesReps[region],"Missing")</f>
        <v>West</v>
      </c>
    </row>
    <row r="269" spans="1:18">
      <c r="A269" t="s">
        <v>514</v>
      </c>
      <c r="B269" t="s">
        <v>225</v>
      </c>
      <c r="C269" t="s">
        <v>26</v>
      </c>
      <c r="D269" t="s">
        <v>91</v>
      </c>
      <c r="E269" s="1">
        <v>45672</v>
      </c>
      <c r="F269" s="1">
        <v>45694</v>
      </c>
      <c r="G269" s="1">
        <v>45694</v>
      </c>
      <c r="H269" t="s">
        <v>17</v>
      </c>
      <c r="I269">
        <v>1</v>
      </c>
      <c r="J269">
        <v>5</v>
      </c>
      <c r="K269">
        <v>342000</v>
      </c>
      <c r="L269">
        <v>0</v>
      </c>
      <c r="M269" t="s">
        <v>47</v>
      </c>
      <c r="N269" t="str">
        <f>_xlfn.XLOOKUP(B269,tblCustomers[customer_id],tblCustomers[region],"Missing")</f>
        <v>South</v>
      </c>
      <c r="O269" t="str">
        <f>_xlfn.XLOOKUP(C269,tblProducts[product_id],tblProducts[product_name],"Missing")</f>
        <v>Security Suite</v>
      </c>
      <c r="P269" t="str">
        <f>_xlfn.XLOOKUP(C269,tblProducts[product_id],tblProducts[category],"Missing")</f>
        <v>Security</v>
      </c>
      <c r="Q269" t="str">
        <f>_xlfn.XLOOKUP(D269,tblSalesReps[rep_id],tblSalesReps[rep_name],"Missing")</f>
        <v>Sales Rep 03</v>
      </c>
      <c r="R269" t="str">
        <f>_xlfn.XLOOKUP(D269,tblSalesReps[rep_id],tblSalesReps[region],"Missing")</f>
        <v>South</v>
      </c>
    </row>
    <row r="270" spans="1:18">
      <c r="A270" t="s">
        <v>515</v>
      </c>
      <c r="B270" t="s">
        <v>333</v>
      </c>
      <c r="C270" t="s">
        <v>62</v>
      </c>
      <c r="D270" t="s">
        <v>27</v>
      </c>
      <c r="E270" s="1">
        <v>45995</v>
      </c>
      <c r="F270" s="1">
        <v>46009</v>
      </c>
      <c r="G270" s="1">
        <v>46009</v>
      </c>
      <c r="H270" t="s">
        <v>17</v>
      </c>
      <c r="I270">
        <v>2</v>
      </c>
      <c r="J270">
        <v>0</v>
      </c>
      <c r="K270">
        <v>240000</v>
      </c>
      <c r="L270">
        <v>0</v>
      </c>
      <c r="M270" t="s">
        <v>23</v>
      </c>
      <c r="N270" t="str">
        <f>_xlfn.XLOOKUP(B270,tblCustomers[customer_id],tblCustomers[region],"Missing")</f>
        <v>North</v>
      </c>
      <c r="O270" t="str">
        <f>_xlfn.XLOOKUP(C270,tblProducts[product_id],tblProducts[product_name],"Missing")</f>
        <v>CRM Essentials</v>
      </c>
      <c r="P270" t="str">
        <f>_xlfn.XLOOKUP(C270,tblProducts[product_id],tblProducts[category],"Missing")</f>
        <v>CRM</v>
      </c>
      <c r="Q270" t="str">
        <f>_xlfn.XLOOKUP(D270,tblSalesReps[rep_id],tblSalesReps[rep_name],"Missing")</f>
        <v>Sales Rep 06</v>
      </c>
      <c r="R270" t="str">
        <f>_xlfn.XLOOKUP(D270,tblSalesReps[rep_id],tblSalesReps[region],"Missing")</f>
        <v>North</v>
      </c>
    </row>
    <row r="271" spans="1:18">
      <c r="A271" t="s">
        <v>516</v>
      </c>
      <c r="B271" t="s">
        <v>517</v>
      </c>
      <c r="C271" t="s">
        <v>39</v>
      </c>
      <c r="D271" t="s">
        <v>78</v>
      </c>
      <c r="E271" s="1">
        <v>45752</v>
      </c>
      <c r="F271" s="1">
        <v>45762</v>
      </c>
      <c r="G271" s="1">
        <v>45762</v>
      </c>
      <c r="H271" t="s">
        <v>17</v>
      </c>
      <c r="I271">
        <v>1</v>
      </c>
      <c r="J271">
        <v>5</v>
      </c>
      <c r="K271">
        <v>171000</v>
      </c>
      <c r="L271">
        <v>0</v>
      </c>
      <c r="M271" t="s">
        <v>33</v>
      </c>
      <c r="N271" t="str">
        <f>_xlfn.XLOOKUP(B271,tblCustomers[customer_id],tblCustomers[region],"Missing")</f>
        <v>West</v>
      </c>
      <c r="O271" t="str">
        <f>_xlfn.XLOOKUP(C271,tblProducts[product_id],tblProducts[product_name],"Missing")</f>
        <v>Support Desk</v>
      </c>
      <c r="P271" t="str">
        <f>_xlfn.XLOOKUP(C271,tblProducts[product_id],tblProducts[category],"Missing")</f>
        <v>Service</v>
      </c>
      <c r="Q271" t="str">
        <f>_xlfn.XLOOKUP(D271,tblSalesReps[rep_id],tblSalesReps[rep_name],"Missing")</f>
        <v>Sales Rep 12</v>
      </c>
      <c r="R271" t="str">
        <f>_xlfn.XLOOKUP(D271,tblSalesReps[rep_id],tblSalesReps[region],"Missing")</f>
        <v>West</v>
      </c>
    </row>
    <row r="272" spans="1:18">
      <c r="A272" t="s">
        <v>518</v>
      </c>
      <c r="B272" t="s">
        <v>74</v>
      </c>
      <c r="C272" t="s">
        <v>26</v>
      </c>
      <c r="D272" t="s">
        <v>75</v>
      </c>
      <c r="E272" s="1">
        <v>45802</v>
      </c>
      <c r="F272" s="1">
        <v>45877</v>
      </c>
      <c r="G272" s="1">
        <v>45877</v>
      </c>
      <c r="H272" t="s">
        <v>28</v>
      </c>
      <c r="I272">
        <v>1</v>
      </c>
      <c r="J272">
        <v>0</v>
      </c>
      <c r="K272">
        <v>360000</v>
      </c>
      <c r="L272">
        <v>100</v>
      </c>
      <c r="M272" t="s">
        <v>29</v>
      </c>
      <c r="N272" t="str">
        <f>_xlfn.XLOOKUP(B272,tblCustomers[customer_id],tblCustomers[region],"Missing")</f>
        <v>North</v>
      </c>
      <c r="O272" t="str">
        <f>_xlfn.XLOOKUP(C272,tblProducts[product_id],tblProducts[product_name],"Missing")</f>
        <v>Security Suite</v>
      </c>
      <c r="P272" t="str">
        <f>_xlfn.XLOOKUP(C272,tblProducts[product_id],tblProducts[category],"Missing")</f>
        <v>Security</v>
      </c>
      <c r="Q272" t="str">
        <f>_xlfn.XLOOKUP(D272,tblSalesReps[rep_id],tblSalesReps[rep_name],"Missing")</f>
        <v>Sales Rep 07</v>
      </c>
      <c r="R272" t="str">
        <f>_xlfn.XLOOKUP(D272,tblSalesReps[rep_id],tblSalesReps[region],"Missing")</f>
        <v>North</v>
      </c>
    </row>
    <row r="273" spans="1:18">
      <c r="A273" t="s">
        <v>519</v>
      </c>
      <c r="B273" t="s">
        <v>520</v>
      </c>
      <c r="C273" t="s">
        <v>81</v>
      </c>
      <c r="D273" t="s">
        <v>53</v>
      </c>
      <c r="E273" s="1">
        <v>45924</v>
      </c>
      <c r="F273" s="1">
        <v>45977</v>
      </c>
      <c r="G273" s="1">
        <v>45977</v>
      </c>
      <c r="H273" t="s">
        <v>28</v>
      </c>
      <c r="I273">
        <v>1</v>
      </c>
      <c r="J273">
        <v>20</v>
      </c>
      <c r="K273">
        <v>240000</v>
      </c>
      <c r="L273">
        <v>100</v>
      </c>
      <c r="M273" t="s">
        <v>29</v>
      </c>
      <c r="N273" t="str">
        <f>_xlfn.XLOOKUP(B273,tblCustomers[customer_id],tblCustomers[region],"Missing")</f>
        <v>East</v>
      </c>
      <c r="O273" t="str">
        <f>_xlfn.XLOOKUP(C273,tblProducts[product_id],tblProducts[product_name],"Missing")</f>
        <v>Analytics Cloud</v>
      </c>
      <c r="P273" t="str">
        <f>_xlfn.XLOOKUP(C273,tblProducts[product_id],tblProducts[category],"Missing")</f>
        <v>Analytics</v>
      </c>
      <c r="Q273" t="str">
        <f>_xlfn.XLOOKUP(D273,tblSalesReps[rep_id],tblSalesReps[rep_name],"Missing")</f>
        <v>Sales Rep 16</v>
      </c>
      <c r="R273" t="str">
        <f>_xlfn.XLOOKUP(D273,tblSalesReps[rep_id],tblSalesReps[region],"Missing")</f>
        <v>East</v>
      </c>
    </row>
    <row r="274" spans="1:18">
      <c r="A274" t="s">
        <v>521</v>
      </c>
      <c r="B274" t="s">
        <v>262</v>
      </c>
      <c r="C274" t="s">
        <v>26</v>
      </c>
      <c r="D274" t="s">
        <v>91</v>
      </c>
      <c r="E274" s="1">
        <v>46009</v>
      </c>
      <c r="F274" s="1">
        <v>46072</v>
      </c>
      <c r="G274" s="1"/>
      <c r="H274" t="s">
        <v>43</v>
      </c>
      <c r="I274">
        <v>1</v>
      </c>
      <c r="J274">
        <v>20</v>
      </c>
      <c r="K274">
        <v>288000</v>
      </c>
      <c r="L274">
        <v>80</v>
      </c>
      <c r="M274" t="s">
        <v>29</v>
      </c>
      <c r="N274" t="str">
        <f>_xlfn.XLOOKUP(B274,tblCustomers[customer_id],tblCustomers[region],"Missing")</f>
        <v>South</v>
      </c>
      <c r="O274" t="str">
        <f>_xlfn.XLOOKUP(C274,tblProducts[product_id],tblProducts[product_name],"Missing")</f>
        <v>Security Suite</v>
      </c>
      <c r="P274" t="str">
        <f>_xlfn.XLOOKUP(C274,tblProducts[product_id],tblProducts[category],"Missing")</f>
        <v>Security</v>
      </c>
      <c r="Q274" t="str">
        <f>_xlfn.XLOOKUP(D274,tblSalesReps[rep_id],tblSalesReps[rep_name],"Missing")</f>
        <v>Sales Rep 03</v>
      </c>
      <c r="R274" t="str">
        <f>_xlfn.XLOOKUP(D274,tblSalesReps[rep_id],tblSalesReps[region],"Missing")</f>
        <v>South</v>
      </c>
    </row>
    <row r="275" spans="1:18">
      <c r="A275" t="s">
        <v>522</v>
      </c>
      <c r="B275" t="s">
        <v>460</v>
      </c>
      <c r="C275" t="s">
        <v>81</v>
      </c>
      <c r="D275" t="s">
        <v>36</v>
      </c>
      <c r="E275" s="1">
        <v>45925</v>
      </c>
      <c r="F275" s="1">
        <v>45942</v>
      </c>
      <c r="G275" s="1">
        <v>45942</v>
      </c>
      <c r="H275" t="s">
        <v>17</v>
      </c>
      <c r="I275">
        <v>1</v>
      </c>
      <c r="J275">
        <v>5</v>
      </c>
      <c r="K275">
        <v>285000</v>
      </c>
      <c r="L275">
        <v>0</v>
      </c>
      <c r="M275" t="s">
        <v>82</v>
      </c>
      <c r="N275" t="str">
        <f>_xlfn.XLOOKUP(B275,tblCustomers[customer_id],tblCustomers[region],"Missing")</f>
        <v>North</v>
      </c>
      <c r="O275" t="str">
        <f>_xlfn.XLOOKUP(C275,tblProducts[product_id],tblProducts[product_name],"Missing")</f>
        <v>Analytics Cloud</v>
      </c>
      <c r="P275" t="str">
        <f>_xlfn.XLOOKUP(C275,tblProducts[product_id],tblProducts[category],"Missing")</f>
        <v>Analytics</v>
      </c>
      <c r="Q275" t="str">
        <f>_xlfn.XLOOKUP(D275,tblSalesReps[rep_id],tblSalesReps[rep_name],"Missing")</f>
        <v>Sales Rep 09</v>
      </c>
      <c r="R275" t="str">
        <f>_xlfn.XLOOKUP(D275,tblSalesReps[rep_id],tblSalesReps[region],"Missing")</f>
        <v>North</v>
      </c>
    </row>
    <row r="276" spans="1:18">
      <c r="A276" t="s">
        <v>523</v>
      </c>
      <c r="B276" t="s">
        <v>524</v>
      </c>
      <c r="C276" t="s">
        <v>81</v>
      </c>
      <c r="D276" t="s">
        <v>46</v>
      </c>
      <c r="E276" s="1">
        <v>45777</v>
      </c>
      <c r="F276" s="1">
        <v>45847</v>
      </c>
      <c r="G276" s="1"/>
      <c r="H276" t="s">
        <v>43</v>
      </c>
      <c r="I276">
        <v>1</v>
      </c>
      <c r="J276">
        <v>20</v>
      </c>
      <c r="K276">
        <v>240000</v>
      </c>
      <c r="L276">
        <v>60</v>
      </c>
      <c r="M276" t="s">
        <v>29</v>
      </c>
      <c r="N276" t="str">
        <f>_xlfn.XLOOKUP(B276,tblCustomers[customer_id],tblCustomers[region],"Missing")</f>
        <v>South</v>
      </c>
      <c r="O276" t="str">
        <f>_xlfn.XLOOKUP(C276,tblProducts[product_id],tblProducts[product_name],"Missing")</f>
        <v>Analytics Cloud</v>
      </c>
      <c r="P276" t="str">
        <f>_xlfn.XLOOKUP(C276,tblProducts[product_id],tblProducts[category],"Missing")</f>
        <v>Analytics</v>
      </c>
      <c r="Q276" t="str">
        <f>_xlfn.XLOOKUP(D276,tblSalesReps[rep_id],tblSalesReps[rep_name],"Missing")</f>
        <v>Sales Rep 01</v>
      </c>
      <c r="R276" t="str">
        <f>_xlfn.XLOOKUP(D276,tblSalesReps[rep_id],tblSalesReps[region],"Missing")</f>
        <v>South</v>
      </c>
    </row>
    <row r="277" spans="1:18">
      <c r="A277" t="s">
        <v>525</v>
      </c>
      <c r="B277" t="s">
        <v>526</v>
      </c>
      <c r="C277" t="s">
        <v>15</v>
      </c>
      <c r="D277" t="s">
        <v>70</v>
      </c>
      <c r="E277" s="1">
        <v>45708</v>
      </c>
      <c r="F277" s="1">
        <v>45723</v>
      </c>
      <c r="G277" s="1">
        <v>45723</v>
      </c>
      <c r="H277" t="s">
        <v>17</v>
      </c>
      <c r="I277">
        <v>2</v>
      </c>
      <c r="J277">
        <v>0</v>
      </c>
      <c r="K277">
        <v>840000</v>
      </c>
      <c r="L277">
        <v>0</v>
      </c>
      <c r="M277" t="s">
        <v>82</v>
      </c>
      <c r="N277" t="str">
        <f>_xlfn.XLOOKUP(B277,tblCustomers[customer_id],tblCustomers[region],"Missing")</f>
        <v>West</v>
      </c>
      <c r="O277" t="str">
        <f>_xlfn.XLOOKUP(C277,tblProducts[product_id],tblProducts[product_name],"Missing")</f>
        <v>CRM Enterprise</v>
      </c>
      <c r="P277" t="str">
        <f>_xlfn.XLOOKUP(C277,tblProducts[product_id],tblProducts[category],"Missing")</f>
        <v>CRM</v>
      </c>
      <c r="Q277" t="str">
        <f>_xlfn.XLOOKUP(D277,tblSalesReps[rep_id],tblSalesReps[rep_name],"Missing")</f>
        <v>Sales Rep 11</v>
      </c>
      <c r="R277" t="str">
        <f>_xlfn.XLOOKUP(D277,tblSalesReps[rep_id],tblSalesReps[region],"Missing")</f>
        <v>West</v>
      </c>
    </row>
    <row r="278" spans="1:18">
      <c r="A278" t="s">
        <v>527</v>
      </c>
      <c r="B278" t="s">
        <v>268</v>
      </c>
      <c r="C278" t="s">
        <v>21</v>
      </c>
      <c r="D278" t="s">
        <v>119</v>
      </c>
      <c r="E278" s="1">
        <v>45833</v>
      </c>
      <c r="F278" s="1">
        <v>45909</v>
      </c>
      <c r="G278" s="1"/>
      <c r="H278" t="s">
        <v>43</v>
      </c>
      <c r="I278">
        <v>3</v>
      </c>
      <c r="J278">
        <v>0</v>
      </c>
      <c r="K278">
        <v>720000</v>
      </c>
      <c r="L278">
        <v>20</v>
      </c>
      <c r="M278" t="s">
        <v>29</v>
      </c>
      <c r="N278" t="str">
        <f>_xlfn.XLOOKUP(B278,tblCustomers[customer_id],tblCustomers[region],"Missing")</f>
        <v>North</v>
      </c>
      <c r="O278" t="str">
        <f>_xlfn.XLOOKUP(C278,tblProducts[product_id],tblProducts[product_name],"Missing")</f>
        <v>Workflow Automate</v>
      </c>
      <c r="P278" t="str">
        <f>_xlfn.XLOOKUP(C278,tblProducts[product_id],tblProducts[category],"Missing")</f>
        <v>Automation</v>
      </c>
      <c r="Q278" t="str">
        <f>_xlfn.XLOOKUP(D278,tblSalesReps[rep_id],tblSalesReps[rep_name],"Missing")</f>
        <v>Sales Rep 10</v>
      </c>
      <c r="R278" t="str">
        <f>_xlfn.XLOOKUP(D278,tblSalesReps[rep_id],tblSalesReps[region],"Missing")</f>
        <v>North</v>
      </c>
    </row>
    <row r="279" spans="1:18">
      <c r="A279" t="s">
        <v>528</v>
      </c>
      <c r="B279" t="s">
        <v>529</v>
      </c>
      <c r="C279" t="s">
        <v>15</v>
      </c>
      <c r="D279" t="s">
        <v>91</v>
      </c>
      <c r="E279" s="1">
        <v>45857</v>
      </c>
      <c r="F279" s="1">
        <v>45878</v>
      </c>
      <c r="G279" s="1">
        <v>45878</v>
      </c>
      <c r="H279" t="s">
        <v>17</v>
      </c>
      <c r="I279">
        <v>3</v>
      </c>
      <c r="J279">
        <v>15</v>
      </c>
      <c r="K279">
        <v>1071000</v>
      </c>
      <c r="L279">
        <v>0</v>
      </c>
      <c r="M279" t="s">
        <v>82</v>
      </c>
      <c r="N279" t="str">
        <f>_xlfn.XLOOKUP(B279,tblCustomers[customer_id],tblCustomers[region],"Missing")</f>
        <v>South</v>
      </c>
      <c r="O279" t="str">
        <f>_xlfn.XLOOKUP(C279,tblProducts[product_id],tblProducts[product_name],"Missing")</f>
        <v>CRM Enterprise</v>
      </c>
      <c r="P279" t="str">
        <f>_xlfn.XLOOKUP(C279,tblProducts[product_id],tblProducts[category],"Missing")</f>
        <v>CRM</v>
      </c>
      <c r="Q279" t="str">
        <f>_xlfn.XLOOKUP(D279,tblSalesReps[rep_id],tblSalesReps[rep_name],"Missing")</f>
        <v>Sales Rep 03</v>
      </c>
      <c r="R279" t="str">
        <f>_xlfn.XLOOKUP(D279,tblSalesReps[rep_id],tblSalesReps[region],"Missing")</f>
        <v>South</v>
      </c>
    </row>
    <row r="280" spans="1:18">
      <c r="A280" t="s">
        <v>530</v>
      </c>
      <c r="B280" t="s">
        <v>499</v>
      </c>
      <c r="C280" t="s">
        <v>21</v>
      </c>
      <c r="D280" t="s">
        <v>40</v>
      </c>
      <c r="E280" s="1">
        <v>45689</v>
      </c>
      <c r="F280" s="1">
        <v>45701</v>
      </c>
      <c r="G280" s="1">
        <v>45701</v>
      </c>
      <c r="H280" t="s">
        <v>28</v>
      </c>
      <c r="I280">
        <v>1</v>
      </c>
      <c r="J280">
        <v>10</v>
      </c>
      <c r="K280">
        <v>216000</v>
      </c>
      <c r="L280">
        <v>100</v>
      </c>
      <c r="M280" t="s">
        <v>29</v>
      </c>
      <c r="N280" t="str">
        <f>_xlfn.XLOOKUP(B280,tblCustomers[customer_id],tblCustomers[region],"Missing")</f>
        <v>West</v>
      </c>
      <c r="O280" t="str">
        <f>_xlfn.XLOOKUP(C280,tblProducts[product_id],tblProducts[product_name],"Missing")</f>
        <v>Workflow Automate</v>
      </c>
      <c r="P280" t="str">
        <f>_xlfn.XLOOKUP(C280,tblProducts[product_id],tblProducts[category],"Missing")</f>
        <v>Automation</v>
      </c>
      <c r="Q280" t="str">
        <f>_xlfn.XLOOKUP(D280,tblSalesReps[rep_id],tblSalesReps[rep_name],"Missing")</f>
        <v>Sales Rep 13</v>
      </c>
      <c r="R280" t="str">
        <f>_xlfn.XLOOKUP(D280,tblSalesReps[rep_id],tblSalesReps[region],"Missing")</f>
        <v>West</v>
      </c>
    </row>
    <row r="281" spans="1:18">
      <c r="A281" t="s">
        <v>531</v>
      </c>
      <c r="B281" t="s">
        <v>356</v>
      </c>
      <c r="C281" t="s">
        <v>81</v>
      </c>
      <c r="D281" t="s">
        <v>16</v>
      </c>
      <c r="E281" s="1">
        <v>45686</v>
      </c>
      <c r="F281" s="1">
        <v>45724</v>
      </c>
      <c r="G281" s="1">
        <v>45724</v>
      </c>
      <c r="H281" t="s">
        <v>17</v>
      </c>
      <c r="I281">
        <v>1</v>
      </c>
      <c r="J281">
        <v>10</v>
      </c>
      <c r="K281">
        <v>270000</v>
      </c>
      <c r="L281">
        <v>0</v>
      </c>
      <c r="M281" t="s">
        <v>23</v>
      </c>
      <c r="N281" t="str">
        <f>_xlfn.XLOOKUP(B281,tblCustomers[customer_id],tblCustomers[region],"Missing")</f>
        <v>North</v>
      </c>
      <c r="O281" t="str">
        <f>_xlfn.XLOOKUP(C281,tblProducts[product_id],tblProducts[product_name],"Missing")</f>
        <v>Analytics Cloud</v>
      </c>
      <c r="P281" t="str">
        <f>_xlfn.XLOOKUP(C281,tblProducts[product_id],tblProducts[category],"Missing")</f>
        <v>Analytics</v>
      </c>
      <c r="Q281" t="str">
        <f>_xlfn.XLOOKUP(D281,tblSalesReps[rep_id],tblSalesReps[rep_name],"Missing")</f>
        <v>Sales Rep 08</v>
      </c>
      <c r="R281" t="str">
        <f>_xlfn.XLOOKUP(D281,tblSalesReps[rep_id],tblSalesReps[region],"Missing")</f>
        <v>North</v>
      </c>
    </row>
    <row r="282" spans="1:18">
      <c r="A282" t="s">
        <v>532</v>
      </c>
      <c r="B282" t="s">
        <v>533</v>
      </c>
      <c r="C282" t="s">
        <v>81</v>
      </c>
      <c r="D282" t="s">
        <v>16</v>
      </c>
      <c r="E282" s="1">
        <v>45668</v>
      </c>
      <c r="F282" s="1">
        <v>45750</v>
      </c>
      <c r="G282" s="1">
        <v>45750</v>
      </c>
      <c r="H282" t="s">
        <v>17</v>
      </c>
      <c r="I282">
        <v>1</v>
      </c>
      <c r="J282">
        <v>10</v>
      </c>
      <c r="K282">
        <v>270000</v>
      </c>
      <c r="L282">
        <v>0</v>
      </c>
      <c r="M282" t="s">
        <v>33</v>
      </c>
      <c r="N282" t="str">
        <f>_xlfn.XLOOKUP(B282,tblCustomers[customer_id],tblCustomers[region],"Missing")</f>
        <v>North</v>
      </c>
      <c r="O282" t="str">
        <f>_xlfn.XLOOKUP(C282,tblProducts[product_id],tblProducts[product_name],"Missing")</f>
        <v>Analytics Cloud</v>
      </c>
      <c r="P282" t="str">
        <f>_xlfn.XLOOKUP(C282,tblProducts[product_id],tblProducts[category],"Missing")</f>
        <v>Analytics</v>
      </c>
      <c r="Q282" t="str">
        <f>_xlfn.XLOOKUP(D282,tblSalesReps[rep_id],tblSalesReps[rep_name],"Missing")</f>
        <v>Sales Rep 08</v>
      </c>
      <c r="R282" t="str">
        <f>_xlfn.XLOOKUP(D282,tblSalesReps[rep_id],tblSalesReps[region],"Missing")</f>
        <v>North</v>
      </c>
    </row>
    <row r="283" spans="1:18">
      <c r="A283" t="s">
        <v>534</v>
      </c>
      <c r="B283" t="s">
        <v>535</v>
      </c>
      <c r="C283" t="s">
        <v>81</v>
      </c>
      <c r="D283" t="s">
        <v>78</v>
      </c>
      <c r="E283" s="1">
        <v>45912</v>
      </c>
      <c r="F283" s="1">
        <v>45928</v>
      </c>
      <c r="G283" s="1">
        <v>45928</v>
      </c>
      <c r="H283" t="s">
        <v>17</v>
      </c>
      <c r="I283">
        <v>3</v>
      </c>
      <c r="J283">
        <v>5</v>
      </c>
      <c r="K283">
        <v>855000</v>
      </c>
      <c r="L283">
        <v>0</v>
      </c>
      <c r="M283" t="s">
        <v>18</v>
      </c>
      <c r="N283" t="str">
        <f>_xlfn.XLOOKUP(B283,tblCustomers[customer_id],tblCustomers[region],"Missing")</f>
        <v>West</v>
      </c>
      <c r="O283" t="str">
        <f>_xlfn.XLOOKUP(C283,tblProducts[product_id],tblProducts[product_name],"Missing")</f>
        <v>Analytics Cloud</v>
      </c>
      <c r="P283" t="str">
        <f>_xlfn.XLOOKUP(C283,tblProducts[product_id],tblProducts[category],"Missing")</f>
        <v>Analytics</v>
      </c>
      <c r="Q283" t="str">
        <f>_xlfn.XLOOKUP(D283,tblSalesReps[rep_id],tblSalesReps[rep_name],"Missing")</f>
        <v>Sales Rep 12</v>
      </c>
      <c r="R283" t="str">
        <f>_xlfn.XLOOKUP(D283,tblSalesReps[rep_id],tblSalesReps[region],"Missing")</f>
        <v>West</v>
      </c>
    </row>
    <row r="284" spans="1:18">
      <c r="A284" t="s">
        <v>536</v>
      </c>
      <c r="B284" t="s">
        <v>58</v>
      </c>
      <c r="C284" t="s">
        <v>62</v>
      </c>
      <c r="D284" t="s">
        <v>56</v>
      </c>
      <c r="E284" s="1">
        <v>45706</v>
      </c>
      <c r="F284" s="1">
        <v>45747</v>
      </c>
      <c r="G284" s="1">
        <v>45747</v>
      </c>
      <c r="H284" t="s">
        <v>17</v>
      </c>
      <c r="I284">
        <v>1</v>
      </c>
      <c r="J284">
        <v>20</v>
      </c>
      <c r="K284">
        <v>96000</v>
      </c>
      <c r="L284">
        <v>0</v>
      </c>
      <c r="M284" t="s">
        <v>82</v>
      </c>
      <c r="N284" t="str">
        <f>_xlfn.XLOOKUP(B284,tblCustomers[customer_id],tblCustomers[region],"Missing")</f>
        <v>East</v>
      </c>
      <c r="O284" t="str">
        <f>_xlfn.XLOOKUP(C284,tblProducts[product_id],tblProducts[product_name],"Missing")</f>
        <v>CRM Essentials</v>
      </c>
      <c r="P284" t="str">
        <f>_xlfn.XLOOKUP(C284,tblProducts[product_id],tblProducts[category],"Missing")</f>
        <v>CRM</v>
      </c>
      <c r="Q284" t="str">
        <f>_xlfn.XLOOKUP(D284,tblSalesReps[rep_id],tblSalesReps[rep_name],"Missing")</f>
        <v>Sales Rep 20</v>
      </c>
      <c r="R284" t="str">
        <f>_xlfn.XLOOKUP(D284,tblSalesReps[rep_id],tblSalesReps[region],"Missing")</f>
        <v>East</v>
      </c>
    </row>
    <row r="285" spans="1:18">
      <c r="A285" t="s">
        <v>537</v>
      </c>
      <c r="B285" t="s">
        <v>320</v>
      </c>
      <c r="C285" t="s">
        <v>81</v>
      </c>
      <c r="D285" t="s">
        <v>36</v>
      </c>
      <c r="E285" s="1">
        <v>45786</v>
      </c>
      <c r="F285" s="1">
        <v>45851</v>
      </c>
      <c r="G285" s="1">
        <v>45851</v>
      </c>
      <c r="H285" t="s">
        <v>17</v>
      </c>
      <c r="I285">
        <v>3</v>
      </c>
      <c r="J285">
        <v>5</v>
      </c>
      <c r="K285">
        <v>855000</v>
      </c>
      <c r="L285">
        <v>0</v>
      </c>
      <c r="M285" t="s">
        <v>33</v>
      </c>
      <c r="N285" t="str">
        <f>_xlfn.XLOOKUP(B285,tblCustomers[customer_id],tblCustomers[region],"Missing")</f>
        <v>North</v>
      </c>
      <c r="O285" t="str">
        <f>_xlfn.XLOOKUP(C285,tblProducts[product_id],tblProducts[product_name],"Missing")</f>
        <v>Analytics Cloud</v>
      </c>
      <c r="P285" t="str">
        <f>_xlfn.XLOOKUP(C285,tblProducts[product_id],tblProducts[category],"Missing")</f>
        <v>Analytics</v>
      </c>
      <c r="Q285" t="str">
        <f>_xlfn.XLOOKUP(D285,tblSalesReps[rep_id],tblSalesReps[rep_name],"Missing")</f>
        <v>Sales Rep 09</v>
      </c>
      <c r="R285" t="str">
        <f>_xlfn.XLOOKUP(D285,tblSalesReps[rep_id],tblSalesReps[region],"Missing")</f>
        <v>North</v>
      </c>
    </row>
    <row r="286" spans="1:18">
      <c r="A286" t="s">
        <v>538</v>
      </c>
      <c r="B286" t="s">
        <v>539</v>
      </c>
      <c r="C286" t="s">
        <v>62</v>
      </c>
      <c r="D286" t="s">
        <v>56</v>
      </c>
      <c r="E286" s="1">
        <v>45760</v>
      </c>
      <c r="F286" s="1">
        <v>45785</v>
      </c>
      <c r="G286" s="1">
        <v>45785</v>
      </c>
      <c r="H286" t="s">
        <v>17</v>
      </c>
      <c r="I286">
        <v>1</v>
      </c>
      <c r="J286">
        <v>5</v>
      </c>
      <c r="K286">
        <v>114000</v>
      </c>
      <c r="L286">
        <v>0</v>
      </c>
      <c r="M286" t="s">
        <v>82</v>
      </c>
      <c r="N286" t="str">
        <f>_xlfn.XLOOKUP(B286,tblCustomers[customer_id],tblCustomers[region],"Missing")</f>
        <v>East</v>
      </c>
      <c r="O286" t="str">
        <f>_xlfn.XLOOKUP(C286,tblProducts[product_id],tblProducts[product_name],"Missing")</f>
        <v>CRM Essentials</v>
      </c>
      <c r="P286" t="str">
        <f>_xlfn.XLOOKUP(C286,tblProducts[product_id],tblProducts[category],"Missing")</f>
        <v>CRM</v>
      </c>
      <c r="Q286" t="str">
        <f>_xlfn.XLOOKUP(D286,tblSalesReps[rep_id],tblSalesReps[rep_name],"Missing")</f>
        <v>Sales Rep 20</v>
      </c>
      <c r="R286" t="str">
        <f>_xlfn.XLOOKUP(D286,tblSalesReps[rep_id],tblSalesReps[region],"Missing")</f>
        <v>East</v>
      </c>
    </row>
    <row r="287" spans="1:18">
      <c r="A287" t="s">
        <v>540</v>
      </c>
      <c r="B287" t="s">
        <v>97</v>
      </c>
      <c r="C287" t="s">
        <v>15</v>
      </c>
      <c r="D287" t="s">
        <v>70</v>
      </c>
      <c r="E287" s="1">
        <v>45783</v>
      </c>
      <c r="F287" s="1">
        <v>45829</v>
      </c>
      <c r="G287" s="1"/>
      <c r="H287" t="s">
        <v>43</v>
      </c>
      <c r="I287">
        <v>2</v>
      </c>
      <c r="J287">
        <v>15</v>
      </c>
      <c r="K287">
        <v>714000</v>
      </c>
      <c r="L287">
        <v>80</v>
      </c>
      <c r="M287" t="s">
        <v>29</v>
      </c>
      <c r="N287" t="str">
        <f>_xlfn.XLOOKUP(B287,tblCustomers[customer_id],tblCustomers[region],"Missing")</f>
        <v>West</v>
      </c>
      <c r="O287" t="str">
        <f>_xlfn.XLOOKUP(C287,tblProducts[product_id],tblProducts[product_name],"Missing")</f>
        <v>CRM Enterprise</v>
      </c>
      <c r="P287" t="str">
        <f>_xlfn.XLOOKUP(C287,tblProducts[product_id],tblProducts[category],"Missing")</f>
        <v>CRM</v>
      </c>
      <c r="Q287" t="str">
        <f>_xlfn.XLOOKUP(D287,tblSalesReps[rep_id],tblSalesReps[rep_name],"Missing")</f>
        <v>Sales Rep 11</v>
      </c>
      <c r="R287" t="str">
        <f>_xlfn.XLOOKUP(D287,tblSalesReps[rep_id],tblSalesReps[region],"Missing")</f>
        <v>West</v>
      </c>
    </row>
    <row r="288" spans="1:18">
      <c r="A288" t="s">
        <v>541</v>
      </c>
      <c r="B288" t="s">
        <v>542</v>
      </c>
      <c r="C288" t="s">
        <v>62</v>
      </c>
      <c r="D288" t="s">
        <v>70</v>
      </c>
      <c r="E288" s="1">
        <v>45700</v>
      </c>
      <c r="F288" s="1">
        <v>45745</v>
      </c>
      <c r="G288" s="1">
        <v>45745</v>
      </c>
      <c r="H288" t="s">
        <v>28</v>
      </c>
      <c r="I288">
        <v>1</v>
      </c>
      <c r="J288">
        <v>15</v>
      </c>
      <c r="K288">
        <v>102000</v>
      </c>
      <c r="L288">
        <v>100</v>
      </c>
      <c r="M288" t="s">
        <v>29</v>
      </c>
      <c r="N288" t="str">
        <f>_xlfn.XLOOKUP(B288,tblCustomers[customer_id],tblCustomers[region],"Missing")</f>
        <v>West</v>
      </c>
      <c r="O288" t="str">
        <f>_xlfn.XLOOKUP(C288,tblProducts[product_id],tblProducts[product_name],"Missing")</f>
        <v>CRM Essentials</v>
      </c>
      <c r="P288" t="str">
        <f>_xlfn.XLOOKUP(C288,tblProducts[product_id],tblProducts[category],"Missing")</f>
        <v>CRM</v>
      </c>
      <c r="Q288" t="str">
        <f>_xlfn.XLOOKUP(D288,tblSalesReps[rep_id],tblSalesReps[rep_name],"Missing")</f>
        <v>Sales Rep 11</v>
      </c>
      <c r="R288" t="str">
        <f>_xlfn.XLOOKUP(D288,tblSalesReps[rep_id],tblSalesReps[region],"Missing")</f>
        <v>West</v>
      </c>
    </row>
    <row r="289" spans="1:18">
      <c r="A289" t="s">
        <v>543</v>
      </c>
      <c r="B289" t="s">
        <v>544</v>
      </c>
      <c r="C289" t="s">
        <v>62</v>
      </c>
      <c r="D289" t="s">
        <v>50</v>
      </c>
      <c r="E289" s="1">
        <v>45998</v>
      </c>
      <c r="F289" s="1">
        <v>46072</v>
      </c>
      <c r="G289" s="1"/>
      <c r="H289" t="s">
        <v>43</v>
      </c>
      <c r="I289">
        <v>1</v>
      </c>
      <c r="J289">
        <v>15</v>
      </c>
      <c r="K289">
        <v>102000</v>
      </c>
      <c r="L289">
        <v>20</v>
      </c>
      <c r="M289" t="s">
        <v>29</v>
      </c>
      <c r="N289" t="str">
        <f>_xlfn.XLOOKUP(B289,tblCustomers[customer_id],tblCustomers[region],"Missing")</f>
        <v>West</v>
      </c>
      <c r="O289" t="str">
        <f>_xlfn.XLOOKUP(C289,tblProducts[product_id],tblProducts[product_name],"Missing")</f>
        <v>CRM Essentials</v>
      </c>
      <c r="P289" t="str">
        <f>_xlfn.XLOOKUP(C289,tblProducts[product_id],tblProducts[category],"Missing")</f>
        <v>CRM</v>
      </c>
      <c r="Q289" t="str">
        <f>_xlfn.XLOOKUP(D289,tblSalesReps[rep_id],tblSalesReps[rep_name],"Missing")</f>
        <v>Sales Rep 15</v>
      </c>
      <c r="R289" t="str">
        <f>_xlfn.XLOOKUP(D289,tblSalesReps[rep_id],tblSalesReps[region],"Missing")</f>
        <v>West</v>
      </c>
    </row>
    <row r="290" spans="1:18">
      <c r="A290" t="s">
        <v>545</v>
      </c>
      <c r="B290" t="s">
        <v>74</v>
      </c>
      <c r="C290" t="s">
        <v>15</v>
      </c>
      <c r="D290" t="s">
        <v>27</v>
      </c>
      <c r="E290" s="1">
        <v>45747</v>
      </c>
      <c r="F290" s="1">
        <v>45789</v>
      </c>
      <c r="G290" s="1">
        <v>45789</v>
      </c>
      <c r="H290" t="s">
        <v>28</v>
      </c>
      <c r="I290">
        <v>2</v>
      </c>
      <c r="J290">
        <v>15</v>
      </c>
      <c r="K290">
        <v>714000</v>
      </c>
      <c r="L290">
        <v>100</v>
      </c>
      <c r="M290" t="s">
        <v>29</v>
      </c>
      <c r="N290" t="str">
        <f>_xlfn.XLOOKUP(B290,tblCustomers[customer_id],tblCustomers[region],"Missing")</f>
        <v>North</v>
      </c>
      <c r="O290" t="str">
        <f>_xlfn.XLOOKUP(C290,tblProducts[product_id],tblProducts[product_name],"Missing")</f>
        <v>CRM Enterprise</v>
      </c>
      <c r="P290" t="str">
        <f>_xlfn.XLOOKUP(C290,tblProducts[product_id],tblProducts[category],"Missing")</f>
        <v>CRM</v>
      </c>
      <c r="Q290" t="str">
        <f>_xlfn.XLOOKUP(D290,tblSalesReps[rep_id],tblSalesReps[rep_name],"Missing")</f>
        <v>Sales Rep 06</v>
      </c>
      <c r="R290" t="str">
        <f>_xlfn.XLOOKUP(D290,tblSalesReps[rep_id],tblSalesReps[region],"Missing")</f>
        <v>North</v>
      </c>
    </row>
    <row r="291" spans="1:18">
      <c r="A291" t="s">
        <v>546</v>
      </c>
      <c r="B291" t="s">
        <v>547</v>
      </c>
      <c r="C291" t="s">
        <v>81</v>
      </c>
      <c r="D291" t="s">
        <v>168</v>
      </c>
      <c r="E291" s="1">
        <v>45800</v>
      </c>
      <c r="F291" s="1">
        <v>45825</v>
      </c>
      <c r="G291" s="1"/>
      <c r="H291" t="s">
        <v>43</v>
      </c>
      <c r="I291">
        <v>1</v>
      </c>
      <c r="J291">
        <v>15</v>
      </c>
      <c r="K291">
        <v>255000</v>
      </c>
      <c r="L291">
        <v>60</v>
      </c>
      <c r="M291" t="s">
        <v>29</v>
      </c>
      <c r="N291" t="str">
        <f>_xlfn.XLOOKUP(B291,tblCustomers[customer_id],tblCustomers[region],"Missing")</f>
        <v>East</v>
      </c>
      <c r="O291" t="str">
        <f>_xlfn.XLOOKUP(C291,tblProducts[product_id],tblProducts[product_name],"Missing")</f>
        <v>Analytics Cloud</v>
      </c>
      <c r="P291" t="str">
        <f>_xlfn.XLOOKUP(C291,tblProducts[product_id],tblProducts[category],"Missing")</f>
        <v>Analytics</v>
      </c>
      <c r="Q291" t="str">
        <f>_xlfn.XLOOKUP(D291,tblSalesReps[rep_id],tblSalesReps[rep_name],"Missing")</f>
        <v>Sales Rep 17</v>
      </c>
      <c r="R291" t="str">
        <f>_xlfn.XLOOKUP(D291,tblSalesReps[rep_id],tblSalesReps[region],"Missing")</f>
        <v>East</v>
      </c>
    </row>
    <row r="292" spans="1:18">
      <c r="A292" t="s">
        <v>548</v>
      </c>
      <c r="B292" t="s">
        <v>549</v>
      </c>
      <c r="C292" t="s">
        <v>26</v>
      </c>
      <c r="D292" t="s">
        <v>40</v>
      </c>
      <c r="E292" s="1">
        <v>46008</v>
      </c>
      <c r="F292" s="1">
        <v>46045</v>
      </c>
      <c r="G292" s="1"/>
      <c r="H292" t="s">
        <v>43</v>
      </c>
      <c r="I292">
        <v>2</v>
      </c>
      <c r="J292">
        <v>15</v>
      </c>
      <c r="K292">
        <v>612000</v>
      </c>
      <c r="L292">
        <v>20</v>
      </c>
      <c r="M292" t="s">
        <v>29</v>
      </c>
      <c r="N292" t="str">
        <f>_xlfn.XLOOKUP(B292,tblCustomers[customer_id],tblCustomers[region],"Missing")</f>
        <v>West</v>
      </c>
      <c r="O292" t="str">
        <f>_xlfn.XLOOKUP(C292,tblProducts[product_id],tblProducts[product_name],"Missing")</f>
        <v>Security Suite</v>
      </c>
      <c r="P292" t="str">
        <f>_xlfn.XLOOKUP(C292,tblProducts[product_id],tblProducts[category],"Missing")</f>
        <v>Security</v>
      </c>
      <c r="Q292" t="str">
        <f>_xlfn.XLOOKUP(D292,tblSalesReps[rep_id],tblSalesReps[rep_name],"Missing")</f>
        <v>Sales Rep 13</v>
      </c>
      <c r="R292" t="str">
        <f>_xlfn.XLOOKUP(D292,tblSalesReps[rep_id],tblSalesReps[region],"Missing")</f>
        <v>West</v>
      </c>
    </row>
    <row r="293" spans="1:18">
      <c r="A293" t="s">
        <v>550</v>
      </c>
      <c r="B293" t="s">
        <v>551</v>
      </c>
      <c r="C293" t="s">
        <v>62</v>
      </c>
      <c r="D293" t="s">
        <v>59</v>
      </c>
      <c r="E293" s="1">
        <v>45899</v>
      </c>
      <c r="F293" s="1">
        <v>45948</v>
      </c>
      <c r="G293" s="1">
        <v>45948</v>
      </c>
      <c r="H293" t="s">
        <v>17</v>
      </c>
      <c r="I293">
        <v>2</v>
      </c>
      <c r="J293">
        <v>0</v>
      </c>
      <c r="K293">
        <v>240000</v>
      </c>
      <c r="L293">
        <v>0</v>
      </c>
      <c r="M293" t="s">
        <v>18</v>
      </c>
      <c r="N293" t="str">
        <f>_xlfn.XLOOKUP(B293,tblCustomers[customer_id],tblCustomers[region],"Missing")</f>
        <v>East</v>
      </c>
      <c r="O293" t="str">
        <f>_xlfn.XLOOKUP(C293,tblProducts[product_id],tblProducts[product_name],"Missing")</f>
        <v>CRM Essentials</v>
      </c>
      <c r="P293" t="str">
        <f>_xlfn.XLOOKUP(C293,tblProducts[product_id],tblProducts[category],"Missing")</f>
        <v>CRM</v>
      </c>
      <c r="Q293" t="str">
        <f>_xlfn.XLOOKUP(D293,tblSalesReps[rep_id],tblSalesReps[rep_name],"Missing")</f>
        <v>Sales Rep 19</v>
      </c>
      <c r="R293" t="str">
        <f>_xlfn.XLOOKUP(D293,tblSalesReps[rep_id],tblSalesReps[region],"Missing")</f>
        <v>East</v>
      </c>
    </row>
    <row r="294" spans="1:18">
      <c r="A294" t="s">
        <v>552</v>
      </c>
      <c r="B294" t="s">
        <v>553</v>
      </c>
      <c r="C294" t="s">
        <v>81</v>
      </c>
      <c r="D294" t="s">
        <v>53</v>
      </c>
      <c r="E294" s="1">
        <v>45684</v>
      </c>
      <c r="F294" s="1">
        <v>45714</v>
      </c>
      <c r="G294" s="1">
        <v>45714</v>
      </c>
      <c r="H294" t="s">
        <v>17</v>
      </c>
      <c r="I294">
        <v>2</v>
      </c>
      <c r="J294">
        <v>5</v>
      </c>
      <c r="K294">
        <v>570000</v>
      </c>
      <c r="L294">
        <v>0</v>
      </c>
      <c r="M294" t="s">
        <v>82</v>
      </c>
      <c r="N294" t="str">
        <f>_xlfn.XLOOKUP(B294,tblCustomers[customer_id],tblCustomers[region],"Missing")</f>
        <v>East</v>
      </c>
      <c r="O294" t="str">
        <f>_xlfn.XLOOKUP(C294,tblProducts[product_id],tblProducts[product_name],"Missing")</f>
        <v>Analytics Cloud</v>
      </c>
      <c r="P294" t="str">
        <f>_xlfn.XLOOKUP(C294,tblProducts[product_id],tblProducts[category],"Missing")</f>
        <v>Analytics</v>
      </c>
      <c r="Q294" t="str">
        <f>_xlfn.XLOOKUP(D294,tblSalesReps[rep_id],tblSalesReps[rep_name],"Missing")</f>
        <v>Sales Rep 16</v>
      </c>
      <c r="R294" t="str">
        <f>_xlfn.XLOOKUP(D294,tblSalesReps[rep_id],tblSalesReps[region],"Missing")</f>
        <v>East</v>
      </c>
    </row>
    <row r="295" spans="1:18">
      <c r="A295" t="s">
        <v>554</v>
      </c>
      <c r="B295" t="s">
        <v>555</v>
      </c>
      <c r="C295" t="s">
        <v>26</v>
      </c>
      <c r="D295" t="s">
        <v>168</v>
      </c>
      <c r="E295" s="1">
        <v>45962</v>
      </c>
      <c r="F295" s="1">
        <v>46009</v>
      </c>
      <c r="G295" s="1">
        <v>46009</v>
      </c>
      <c r="H295" t="s">
        <v>17</v>
      </c>
      <c r="I295">
        <v>2</v>
      </c>
      <c r="J295">
        <v>15</v>
      </c>
      <c r="K295">
        <v>612000</v>
      </c>
      <c r="L295">
        <v>0</v>
      </c>
      <c r="M295" t="s">
        <v>18</v>
      </c>
      <c r="N295" t="str">
        <f>_xlfn.XLOOKUP(B295,tblCustomers[customer_id],tblCustomers[region],"Missing")</f>
        <v>East</v>
      </c>
      <c r="O295" t="str">
        <f>_xlfn.XLOOKUP(C295,tblProducts[product_id],tblProducts[product_name],"Missing")</f>
        <v>Security Suite</v>
      </c>
      <c r="P295" t="str">
        <f>_xlfn.XLOOKUP(C295,tblProducts[product_id],tblProducts[category],"Missing")</f>
        <v>Security</v>
      </c>
      <c r="Q295" t="str">
        <f>_xlfn.XLOOKUP(D295,tblSalesReps[rep_id],tblSalesReps[rep_name],"Missing")</f>
        <v>Sales Rep 17</v>
      </c>
      <c r="R295" t="str">
        <f>_xlfn.XLOOKUP(D295,tblSalesReps[rep_id],tblSalesReps[region],"Missing")</f>
        <v>East</v>
      </c>
    </row>
    <row r="296" spans="1:18">
      <c r="A296" t="s">
        <v>556</v>
      </c>
      <c r="B296" t="s">
        <v>557</v>
      </c>
      <c r="C296" t="s">
        <v>81</v>
      </c>
      <c r="D296" t="s">
        <v>63</v>
      </c>
      <c r="E296" s="1">
        <v>45772</v>
      </c>
      <c r="F296" s="1">
        <v>45781</v>
      </c>
      <c r="G296" s="1">
        <v>45781</v>
      </c>
      <c r="H296" t="s">
        <v>28</v>
      </c>
      <c r="I296">
        <v>3</v>
      </c>
      <c r="J296">
        <v>20</v>
      </c>
      <c r="K296">
        <v>720000</v>
      </c>
      <c r="L296">
        <v>100</v>
      </c>
      <c r="M296" t="s">
        <v>29</v>
      </c>
      <c r="N296" t="str">
        <f>_xlfn.XLOOKUP(B296,tblCustomers[customer_id],tblCustomers[region],"Missing")</f>
        <v>South</v>
      </c>
      <c r="O296" t="str">
        <f>_xlfn.XLOOKUP(C296,tblProducts[product_id],tblProducts[product_name],"Missing")</f>
        <v>Analytics Cloud</v>
      </c>
      <c r="P296" t="str">
        <f>_xlfn.XLOOKUP(C296,tblProducts[product_id],tblProducts[category],"Missing")</f>
        <v>Analytics</v>
      </c>
      <c r="Q296" t="str">
        <f>_xlfn.XLOOKUP(D296,tblSalesReps[rep_id],tblSalesReps[rep_name],"Missing")</f>
        <v>Sales Rep 05</v>
      </c>
      <c r="R296" t="str">
        <f>_xlfn.XLOOKUP(D296,tblSalesReps[rep_id],tblSalesReps[region],"Missing")</f>
        <v>South</v>
      </c>
    </row>
    <row r="297" spans="1:18">
      <c r="A297" t="s">
        <v>558</v>
      </c>
      <c r="B297" t="s">
        <v>559</v>
      </c>
      <c r="C297" t="s">
        <v>81</v>
      </c>
      <c r="D297" t="s">
        <v>50</v>
      </c>
      <c r="E297" s="1">
        <v>45791</v>
      </c>
      <c r="F297" s="1">
        <v>45845</v>
      </c>
      <c r="G297" s="1">
        <v>45845</v>
      </c>
      <c r="H297" t="s">
        <v>28</v>
      </c>
      <c r="I297">
        <v>1</v>
      </c>
      <c r="J297">
        <v>20</v>
      </c>
      <c r="K297">
        <v>240000</v>
      </c>
      <c r="L297">
        <v>100</v>
      </c>
      <c r="M297" t="s">
        <v>29</v>
      </c>
      <c r="N297" t="str">
        <f>_xlfn.XLOOKUP(B297,tblCustomers[customer_id],tblCustomers[region],"Missing")</f>
        <v>West</v>
      </c>
      <c r="O297" t="str">
        <f>_xlfn.XLOOKUP(C297,tblProducts[product_id],tblProducts[product_name],"Missing")</f>
        <v>Analytics Cloud</v>
      </c>
      <c r="P297" t="str">
        <f>_xlfn.XLOOKUP(C297,tblProducts[product_id],tblProducts[category],"Missing")</f>
        <v>Analytics</v>
      </c>
      <c r="Q297" t="str">
        <f>_xlfn.XLOOKUP(D297,tblSalesReps[rep_id],tblSalesReps[rep_name],"Missing")</f>
        <v>Sales Rep 15</v>
      </c>
      <c r="R297" t="str">
        <f>_xlfn.XLOOKUP(D297,tblSalesReps[rep_id],tblSalesReps[region],"Missing")</f>
        <v>West</v>
      </c>
    </row>
    <row r="298" spans="1:18">
      <c r="A298" t="s">
        <v>560</v>
      </c>
      <c r="B298" t="s">
        <v>561</v>
      </c>
      <c r="C298" t="s">
        <v>62</v>
      </c>
      <c r="D298" t="s">
        <v>126</v>
      </c>
      <c r="E298" s="1">
        <v>45762</v>
      </c>
      <c r="F298" s="1">
        <v>45803</v>
      </c>
      <c r="G298" s="1">
        <v>45803</v>
      </c>
      <c r="H298" t="s">
        <v>28</v>
      </c>
      <c r="I298">
        <v>1</v>
      </c>
      <c r="J298">
        <v>15</v>
      </c>
      <c r="K298">
        <v>102000</v>
      </c>
      <c r="L298">
        <v>100</v>
      </c>
      <c r="M298" t="s">
        <v>29</v>
      </c>
      <c r="N298" t="str">
        <f>_xlfn.XLOOKUP(B298,tblCustomers[customer_id],tblCustomers[region],"Missing")</f>
        <v>South</v>
      </c>
      <c r="O298" t="str">
        <f>_xlfn.XLOOKUP(C298,tblProducts[product_id],tblProducts[product_name],"Missing")</f>
        <v>CRM Essentials</v>
      </c>
      <c r="P298" t="str">
        <f>_xlfn.XLOOKUP(C298,tblProducts[product_id],tblProducts[category],"Missing")</f>
        <v>CRM</v>
      </c>
      <c r="Q298" t="str">
        <f>_xlfn.XLOOKUP(D298,tblSalesReps[rep_id],tblSalesReps[rep_name],"Missing")</f>
        <v>Sales Rep 02</v>
      </c>
      <c r="R298" t="str">
        <f>_xlfn.XLOOKUP(D298,tblSalesReps[rep_id],tblSalesReps[region],"Missing")</f>
        <v>South</v>
      </c>
    </row>
    <row r="299" spans="1:18">
      <c r="A299" t="s">
        <v>562</v>
      </c>
      <c r="B299" t="s">
        <v>312</v>
      </c>
      <c r="C299" t="s">
        <v>15</v>
      </c>
      <c r="D299" t="s">
        <v>70</v>
      </c>
      <c r="E299" s="1">
        <v>45806</v>
      </c>
      <c r="F299" s="1">
        <v>45843</v>
      </c>
      <c r="G299" s="1"/>
      <c r="H299" t="s">
        <v>43</v>
      </c>
      <c r="I299">
        <v>3</v>
      </c>
      <c r="J299">
        <v>15</v>
      </c>
      <c r="K299">
        <v>1071000</v>
      </c>
      <c r="L299">
        <v>40</v>
      </c>
      <c r="M299" t="s">
        <v>29</v>
      </c>
      <c r="N299" t="str">
        <f>_xlfn.XLOOKUP(B299,tblCustomers[customer_id],tblCustomers[region],"Missing")</f>
        <v>West</v>
      </c>
      <c r="O299" t="str">
        <f>_xlfn.XLOOKUP(C299,tblProducts[product_id],tblProducts[product_name],"Missing")</f>
        <v>CRM Enterprise</v>
      </c>
      <c r="P299" t="str">
        <f>_xlfn.XLOOKUP(C299,tblProducts[product_id],tblProducts[category],"Missing")</f>
        <v>CRM</v>
      </c>
      <c r="Q299" t="str">
        <f>_xlfn.XLOOKUP(D299,tblSalesReps[rep_id],tblSalesReps[rep_name],"Missing")</f>
        <v>Sales Rep 11</v>
      </c>
      <c r="R299" t="str">
        <f>_xlfn.XLOOKUP(D299,tblSalesReps[rep_id],tblSalesReps[region],"Missing")</f>
        <v>West</v>
      </c>
    </row>
    <row r="300" spans="1:18">
      <c r="A300" t="s">
        <v>563</v>
      </c>
      <c r="B300" t="s">
        <v>547</v>
      </c>
      <c r="C300" t="s">
        <v>26</v>
      </c>
      <c r="D300" t="s">
        <v>56</v>
      </c>
      <c r="E300" s="1">
        <v>45789</v>
      </c>
      <c r="F300" s="1">
        <v>45867</v>
      </c>
      <c r="G300" s="1">
        <v>45867</v>
      </c>
      <c r="H300" t="s">
        <v>28</v>
      </c>
      <c r="I300">
        <v>1</v>
      </c>
      <c r="J300">
        <v>0</v>
      </c>
      <c r="K300">
        <v>360000</v>
      </c>
      <c r="L300">
        <v>100</v>
      </c>
      <c r="M300" t="s">
        <v>29</v>
      </c>
      <c r="N300" t="str">
        <f>_xlfn.XLOOKUP(B300,tblCustomers[customer_id],tblCustomers[region],"Missing")</f>
        <v>East</v>
      </c>
      <c r="O300" t="str">
        <f>_xlfn.XLOOKUP(C300,tblProducts[product_id],tblProducts[product_name],"Missing")</f>
        <v>Security Suite</v>
      </c>
      <c r="P300" t="str">
        <f>_xlfn.XLOOKUP(C300,tblProducts[product_id],tblProducts[category],"Missing")</f>
        <v>Security</v>
      </c>
      <c r="Q300" t="str">
        <f>_xlfn.XLOOKUP(D300,tblSalesReps[rep_id],tblSalesReps[rep_name],"Missing")</f>
        <v>Sales Rep 20</v>
      </c>
      <c r="R300" t="str">
        <f>_xlfn.XLOOKUP(D300,tblSalesReps[rep_id],tblSalesReps[region],"Missing")</f>
        <v>East</v>
      </c>
    </row>
    <row r="301" spans="1:18">
      <c r="A301" t="s">
        <v>564</v>
      </c>
      <c r="B301" t="s">
        <v>565</v>
      </c>
      <c r="C301" t="s">
        <v>21</v>
      </c>
      <c r="D301" t="s">
        <v>59</v>
      </c>
      <c r="E301" s="1">
        <v>46001</v>
      </c>
      <c r="F301" s="1">
        <v>46079</v>
      </c>
      <c r="G301" s="1"/>
      <c r="H301" t="s">
        <v>43</v>
      </c>
      <c r="I301">
        <v>1</v>
      </c>
      <c r="J301">
        <v>20</v>
      </c>
      <c r="K301">
        <v>192000</v>
      </c>
      <c r="L301">
        <v>40</v>
      </c>
      <c r="M301" t="s">
        <v>29</v>
      </c>
      <c r="N301" t="str">
        <f>_xlfn.XLOOKUP(B301,tblCustomers[customer_id],tblCustomers[region],"Missing")</f>
        <v>East</v>
      </c>
      <c r="O301" t="str">
        <f>_xlfn.XLOOKUP(C301,tblProducts[product_id],tblProducts[product_name],"Missing")</f>
        <v>Workflow Automate</v>
      </c>
      <c r="P301" t="str">
        <f>_xlfn.XLOOKUP(C301,tblProducts[product_id],tblProducts[category],"Missing")</f>
        <v>Automation</v>
      </c>
      <c r="Q301" t="str">
        <f>_xlfn.XLOOKUP(D301,tblSalesReps[rep_id],tblSalesReps[rep_name],"Missing")</f>
        <v>Sales Rep 19</v>
      </c>
      <c r="R301" t="str">
        <f>_xlfn.XLOOKUP(D301,tblSalesReps[rep_id],tblSalesReps[region],"Missing")</f>
        <v>East</v>
      </c>
    </row>
    <row r="302" spans="1:18">
      <c r="A302" t="s">
        <v>566</v>
      </c>
      <c r="B302" t="s">
        <v>567</v>
      </c>
      <c r="C302" t="s">
        <v>62</v>
      </c>
      <c r="D302" t="s">
        <v>40</v>
      </c>
      <c r="E302" s="1">
        <v>45680</v>
      </c>
      <c r="F302" s="1">
        <v>45750</v>
      </c>
      <c r="G302" s="1"/>
      <c r="H302" t="s">
        <v>43</v>
      </c>
      <c r="I302">
        <v>1</v>
      </c>
      <c r="J302">
        <v>10</v>
      </c>
      <c r="K302">
        <v>108000</v>
      </c>
      <c r="L302">
        <v>80</v>
      </c>
      <c r="M302" t="s">
        <v>29</v>
      </c>
      <c r="N302" t="str">
        <f>_xlfn.XLOOKUP(B302,tblCustomers[customer_id],tblCustomers[region],"Missing")</f>
        <v>West</v>
      </c>
      <c r="O302" t="str">
        <f>_xlfn.XLOOKUP(C302,tblProducts[product_id],tblProducts[product_name],"Missing")</f>
        <v>CRM Essentials</v>
      </c>
      <c r="P302" t="str">
        <f>_xlfn.XLOOKUP(C302,tblProducts[product_id],tblProducts[category],"Missing")</f>
        <v>CRM</v>
      </c>
      <c r="Q302" t="str">
        <f>_xlfn.XLOOKUP(D302,tblSalesReps[rep_id],tblSalesReps[rep_name],"Missing")</f>
        <v>Sales Rep 13</v>
      </c>
      <c r="R302" t="str">
        <f>_xlfn.XLOOKUP(D302,tblSalesReps[rep_id],tblSalesReps[region],"Missing")</f>
        <v>West</v>
      </c>
    </row>
    <row r="303" spans="1:18">
      <c r="A303" t="s">
        <v>568</v>
      </c>
      <c r="B303" t="s">
        <v>398</v>
      </c>
      <c r="C303" t="s">
        <v>26</v>
      </c>
      <c r="D303" t="s">
        <v>22</v>
      </c>
      <c r="E303" s="1">
        <v>45685</v>
      </c>
      <c r="F303" s="1">
        <v>45698</v>
      </c>
      <c r="G303" s="1">
        <v>45698</v>
      </c>
      <c r="H303" t="s">
        <v>28</v>
      </c>
      <c r="I303">
        <v>1</v>
      </c>
      <c r="J303">
        <v>5</v>
      </c>
      <c r="K303">
        <v>342000</v>
      </c>
      <c r="L303">
        <v>100</v>
      </c>
      <c r="M303" t="s">
        <v>29</v>
      </c>
      <c r="N303" t="str">
        <f>_xlfn.XLOOKUP(B303,tblCustomers[customer_id],tblCustomers[region],"Missing")</f>
        <v>West</v>
      </c>
      <c r="O303" t="str">
        <f>_xlfn.XLOOKUP(C303,tblProducts[product_id],tblProducts[product_name],"Missing")</f>
        <v>Security Suite</v>
      </c>
      <c r="P303" t="str">
        <f>_xlfn.XLOOKUP(C303,tblProducts[product_id],tblProducts[category],"Missing")</f>
        <v>Security</v>
      </c>
      <c r="Q303" t="str">
        <f>_xlfn.XLOOKUP(D303,tblSalesReps[rep_id],tblSalesReps[rep_name],"Missing")</f>
        <v>Sales Rep 14</v>
      </c>
      <c r="R303" t="str">
        <f>_xlfn.XLOOKUP(D303,tblSalesReps[rep_id],tblSalesReps[region],"Missing")</f>
        <v>West</v>
      </c>
    </row>
    <row r="304" spans="1:18">
      <c r="A304" t="s">
        <v>569</v>
      </c>
      <c r="B304" t="s">
        <v>570</v>
      </c>
      <c r="C304" t="s">
        <v>26</v>
      </c>
      <c r="D304" t="s">
        <v>75</v>
      </c>
      <c r="E304" s="1">
        <v>45721</v>
      </c>
      <c r="F304" s="1">
        <v>45754</v>
      </c>
      <c r="G304" s="1">
        <v>45754</v>
      </c>
      <c r="H304" t="s">
        <v>28</v>
      </c>
      <c r="I304">
        <v>1</v>
      </c>
      <c r="J304">
        <v>5</v>
      </c>
      <c r="K304">
        <v>342000</v>
      </c>
      <c r="L304">
        <v>100</v>
      </c>
      <c r="M304" t="s">
        <v>29</v>
      </c>
      <c r="N304" t="str">
        <f>_xlfn.XLOOKUP(B304,tblCustomers[customer_id],tblCustomers[region],"Missing")</f>
        <v>North</v>
      </c>
      <c r="O304" t="str">
        <f>_xlfn.XLOOKUP(C304,tblProducts[product_id],tblProducts[product_name],"Missing")</f>
        <v>Security Suite</v>
      </c>
      <c r="P304" t="str">
        <f>_xlfn.XLOOKUP(C304,tblProducts[product_id],tblProducts[category],"Missing")</f>
        <v>Security</v>
      </c>
      <c r="Q304" t="str">
        <f>_xlfn.XLOOKUP(D304,tblSalesReps[rep_id],tblSalesReps[rep_name],"Missing")</f>
        <v>Sales Rep 07</v>
      </c>
      <c r="R304" t="str">
        <f>_xlfn.XLOOKUP(D304,tblSalesReps[rep_id],tblSalesReps[region],"Missing")</f>
        <v>North</v>
      </c>
    </row>
    <row r="305" spans="1:18">
      <c r="A305" t="s">
        <v>571</v>
      </c>
      <c r="B305" t="s">
        <v>572</v>
      </c>
      <c r="C305" t="s">
        <v>21</v>
      </c>
      <c r="D305" t="s">
        <v>46</v>
      </c>
      <c r="E305" s="1">
        <v>45859</v>
      </c>
      <c r="F305" s="1">
        <v>45879</v>
      </c>
      <c r="G305" s="1">
        <v>45879</v>
      </c>
      <c r="H305" t="s">
        <v>17</v>
      </c>
      <c r="I305">
        <v>1</v>
      </c>
      <c r="J305">
        <v>5</v>
      </c>
      <c r="K305">
        <v>228000</v>
      </c>
      <c r="L305">
        <v>0</v>
      </c>
      <c r="M305" t="s">
        <v>23</v>
      </c>
      <c r="N305" t="str">
        <f>_xlfn.XLOOKUP(B305,tblCustomers[customer_id],tblCustomers[region],"Missing")</f>
        <v>South</v>
      </c>
      <c r="O305" t="str">
        <f>_xlfn.XLOOKUP(C305,tblProducts[product_id],tblProducts[product_name],"Missing")</f>
        <v>Workflow Automate</v>
      </c>
      <c r="P305" t="str">
        <f>_xlfn.XLOOKUP(C305,tblProducts[product_id],tblProducts[category],"Missing")</f>
        <v>Automation</v>
      </c>
      <c r="Q305" t="str">
        <f>_xlfn.XLOOKUP(D305,tblSalesReps[rep_id],tblSalesReps[rep_name],"Missing")</f>
        <v>Sales Rep 01</v>
      </c>
      <c r="R305" t="str">
        <f>_xlfn.XLOOKUP(D305,tblSalesReps[rep_id],tblSalesReps[region],"Missing")</f>
        <v>South</v>
      </c>
    </row>
    <row r="306" spans="1:18">
      <c r="A306" t="s">
        <v>573</v>
      </c>
      <c r="B306" t="s">
        <v>443</v>
      </c>
      <c r="C306" t="s">
        <v>62</v>
      </c>
      <c r="D306" t="s">
        <v>40</v>
      </c>
      <c r="E306" s="1">
        <v>45823</v>
      </c>
      <c r="F306" s="1">
        <v>45839</v>
      </c>
      <c r="G306" s="1"/>
      <c r="H306" t="s">
        <v>43</v>
      </c>
      <c r="I306">
        <v>3</v>
      </c>
      <c r="J306">
        <v>20</v>
      </c>
      <c r="K306">
        <v>288000</v>
      </c>
      <c r="L306">
        <v>80</v>
      </c>
      <c r="M306" t="s">
        <v>29</v>
      </c>
      <c r="N306" t="str">
        <f>_xlfn.XLOOKUP(B306,tblCustomers[customer_id],tblCustomers[region],"Missing")</f>
        <v>West</v>
      </c>
      <c r="O306" t="str">
        <f>_xlfn.XLOOKUP(C306,tblProducts[product_id],tblProducts[product_name],"Missing")</f>
        <v>CRM Essentials</v>
      </c>
      <c r="P306" t="str">
        <f>_xlfn.XLOOKUP(C306,tblProducts[product_id],tblProducts[category],"Missing")</f>
        <v>CRM</v>
      </c>
      <c r="Q306" t="str">
        <f>_xlfn.XLOOKUP(D306,tblSalesReps[rep_id],tblSalesReps[rep_name],"Missing")</f>
        <v>Sales Rep 13</v>
      </c>
      <c r="R306" t="str">
        <f>_xlfn.XLOOKUP(D306,tblSalesReps[rep_id],tblSalesReps[region],"Missing")</f>
        <v>West</v>
      </c>
    </row>
    <row r="307" spans="1:18">
      <c r="A307" t="s">
        <v>574</v>
      </c>
      <c r="B307" t="s">
        <v>575</v>
      </c>
      <c r="C307" t="s">
        <v>15</v>
      </c>
      <c r="D307" t="s">
        <v>168</v>
      </c>
      <c r="E307" s="1">
        <v>45856</v>
      </c>
      <c r="F307" s="1">
        <v>45899</v>
      </c>
      <c r="G307" s="1"/>
      <c r="H307" t="s">
        <v>43</v>
      </c>
      <c r="I307">
        <v>1</v>
      </c>
      <c r="J307">
        <v>0</v>
      </c>
      <c r="K307">
        <v>420000</v>
      </c>
      <c r="L307">
        <v>60</v>
      </c>
      <c r="M307" t="s">
        <v>29</v>
      </c>
      <c r="N307" t="str">
        <f>_xlfn.XLOOKUP(B307,tblCustomers[customer_id],tblCustomers[region],"Missing")</f>
        <v>East</v>
      </c>
      <c r="O307" t="str">
        <f>_xlfn.XLOOKUP(C307,tblProducts[product_id],tblProducts[product_name],"Missing")</f>
        <v>CRM Enterprise</v>
      </c>
      <c r="P307" t="str">
        <f>_xlfn.XLOOKUP(C307,tblProducts[product_id],tblProducts[category],"Missing")</f>
        <v>CRM</v>
      </c>
      <c r="Q307" t="str">
        <f>_xlfn.XLOOKUP(D307,tblSalesReps[rep_id],tblSalesReps[rep_name],"Missing")</f>
        <v>Sales Rep 17</v>
      </c>
      <c r="R307" t="str">
        <f>_xlfn.XLOOKUP(D307,tblSalesReps[rep_id],tblSalesReps[region],"Missing")</f>
        <v>East</v>
      </c>
    </row>
    <row r="308" spans="1:18">
      <c r="A308" t="s">
        <v>576</v>
      </c>
      <c r="B308" t="s">
        <v>110</v>
      </c>
      <c r="C308" t="s">
        <v>39</v>
      </c>
      <c r="D308" t="s">
        <v>119</v>
      </c>
      <c r="E308" s="1">
        <v>45874</v>
      </c>
      <c r="F308" s="1">
        <v>45935</v>
      </c>
      <c r="G308" s="1">
        <v>45935</v>
      </c>
      <c r="H308" t="s">
        <v>28</v>
      </c>
      <c r="I308">
        <v>1</v>
      </c>
      <c r="J308">
        <v>20</v>
      </c>
      <c r="K308">
        <v>144000</v>
      </c>
      <c r="L308">
        <v>100</v>
      </c>
      <c r="M308" t="s">
        <v>29</v>
      </c>
      <c r="N308" t="str">
        <f>_xlfn.XLOOKUP(B308,tblCustomers[customer_id],tblCustomers[region],"Missing")</f>
        <v>North</v>
      </c>
      <c r="O308" t="str">
        <f>_xlfn.XLOOKUP(C308,tblProducts[product_id],tblProducts[product_name],"Missing")</f>
        <v>Support Desk</v>
      </c>
      <c r="P308" t="str">
        <f>_xlfn.XLOOKUP(C308,tblProducts[product_id],tblProducts[category],"Missing")</f>
        <v>Service</v>
      </c>
      <c r="Q308" t="str">
        <f>_xlfn.XLOOKUP(D308,tblSalesReps[rep_id],tblSalesReps[rep_name],"Missing")</f>
        <v>Sales Rep 10</v>
      </c>
      <c r="R308" t="str">
        <f>_xlfn.XLOOKUP(D308,tblSalesReps[rep_id],tblSalesReps[region],"Missing")</f>
        <v>North</v>
      </c>
    </row>
    <row r="309" spans="1:18">
      <c r="A309" t="s">
        <v>577</v>
      </c>
      <c r="B309" t="s">
        <v>578</v>
      </c>
      <c r="C309" t="s">
        <v>81</v>
      </c>
      <c r="D309" t="s">
        <v>22</v>
      </c>
      <c r="E309" s="1">
        <v>45698</v>
      </c>
      <c r="F309" s="1">
        <v>45766</v>
      </c>
      <c r="G309" s="1"/>
      <c r="H309" t="s">
        <v>43</v>
      </c>
      <c r="I309">
        <v>1</v>
      </c>
      <c r="J309">
        <v>5</v>
      </c>
      <c r="K309">
        <v>285000</v>
      </c>
      <c r="L309">
        <v>40</v>
      </c>
      <c r="M309" t="s">
        <v>29</v>
      </c>
      <c r="N309" t="str">
        <f>_xlfn.XLOOKUP(B309,tblCustomers[customer_id],tblCustomers[region],"Missing")</f>
        <v>West</v>
      </c>
      <c r="O309" t="str">
        <f>_xlfn.XLOOKUP(C309,tblProducts[product_id],tblProducts[product_name],"Missing")</f>
        <v>Analytics Cloud</v>
      </c>
      <c r="P309" t="str">
        <f>_xlfn.XLOOKUP(C309,tblProducts[product_id],tblProducts[category],"Missing")</f>
        <v>Analytics</v>
      </c>
      <c r="Q309" t="str">
        <f>_xlfn.XLOOKUP(D309,tblSalesReps[rep_id],tblSalesReps[rep_name],"Missing")</f>
        <v>Sales Rep 14</v>
      </c>
      <c r="R309" t="str">
        <f>_xlfn.XLOOKUP(D309,tblSalesReps[rep_id],tblSalesReps[region],"Missing")</f>
        <v>West</v>
      </c>
    </row>
    <row r="310" spans="1:18">
      <c r="A310" t="s">
        <v>579</v>
      </c>
      <c r="B310" t="s">
        <v>179</v>
      </c>
      <c r="C310" t="s">
        <v>62</v>
      </c>
      <c r="D310" t="s">
        <v>59</v>
      </c>
      <c r="E310" s="1">
        <v>45996</v>
      </c>
      <c r="F310" s="1">
        <v>46035</v>
      </c>
      <c r="G310" s="1"/>
      <c r="H310" t="s">
        <v>43</v>
      </c>
      <c r="I310">
        <v>1</v>
      </c>
      <c r="J310">
        <v>10</v>
      </c>
      <c r="K310">
        <v>108000</v>
      </c>
      <c r="L310">
        <v>20</v>
      </c>
      <c r="M310" t="s">
        <v>29</v>
      </c>
      <c r="N310" t="str">
        <f>_xlfn.XLOOKUP(B310,tblCustomers[customer_id],tblCustomers[region],"Missing")</f>
        <v>East</v>
      </c>
      <c r="O310" t="str">
        <f>_xlfn.XLOOKUP(C310,tblProducts[product_id],tblProducts[product_name],"Missing")</f>
        <v>CRM Essentials</v>
      </c>
      <c r="P310" t="str">
        <f>_xlfn.XLOOKUP(C310,tblProducts[product_id],tblProducts[category],"Missing")</f>
        <v>CRM</v>
      </c>
      <c r="Q310" t="str">
        <f>_xlfn.XLOOKUP(D310,tblSalesReps[rep_id],tblSalesReps[rep_name],"Missing")</f>
        <v>Sales Rep 19</v>
      </c>
      <c r="R310" t="str">
        <f>_xlfn.XLOOKUP(D310,tblSalesReps[rep_id],tblSalesReps[region],"Missing")</f>
        <v>East</v>
      </c>
    </row>
    <row r="311" spans="1:18">
      <c r="A311" t="s">
        <v>580</v>
      </c>
      <c r="B311" t="s">
        <v>581</v>
      </c>
      <c r="C311" t="s">
        <v>62</v>
      </c>
      <c r="D311" t="s">
        <v>22</v>
      </c>
      <c r="E311" s="1">
        <v>46018</v>
      </c>
      <c r="F311" s="1">
        <v>46100</v>
      </c>
      <c r="G311" s="1"/>
      <c r="H311" t="s">
        <v>43</v>
      </c>
      <c r="I311">
        <v>2</v>
      </c>
      <c r="J311">
        <v>15</v>
      </c>
      <c r="K311">
        <v>204000</v>
      </c>
      <c r="L311">
        <v>60</v>
      </c>
      <c r="M311" t="s">
        <v>29</v>
      </c>
      <c r="N311" t="str">
        <f>_xlfn.XLOOKUP(B311,tblCustomers[customer_id],tblCustomers[region],"Missing")</f>
        <v>West</v>
      </c>
      <c r="O311" t="str">
        <f>_xlfn.XLOOKUP(C311,tblProducts[product_id],tblProducts[product_name],"Missing")</f>
        <v>CRM Essentials</v>
      </c>
      <c r="P311" t="str">
        <f>_xlfn.XLOOKUP(C311,tblProducts[product_id],tblProducts[category],"Missing")</f>
        <v>CRM</v>
      </c>
      <c r="Q311" t="str">
        <f>_xlfn.XLOOKUP(D311,tblSalesReps[rep_id],tblSalesReps[rep_name],"Missing")</f>
        <v>Sales Rep 14</v>
      </c>
      <c r="R311" t="str">
        <f>_xlfn.XLOOKUP(D311,tblSalesReps[rep_id],tblSalesReps[region],"Missing")</f>
        <v>West</v>
      </c>
    </row>
    <row r="312" spans="1:18">
      <c r="A312" t="s">
        <v>582</v>
      </c>
      <c r="B312" t="s">
        <v>479</v>
      </c>
      <c r="C312" t="s">
        <v>62</v>
      </c>
      <c r="D312" t="s">
        <v>168</v>
      </c>
      <c r="E312" s="1">
        <v>45993</v>
      </c>
      <c r="F312" s="1">
        <v>46051</v>
      </c>
      <c r="G312" s="1"/>
      <c r="H312" t="s">
        <v>43</v>
      </c>
      <c r="I312">
        <v>3</v>
      </c>
      <c r="J312">
        <v>15</v>
      </c>
      <c r="K312">
        <v>306000</v>
      </c>
      <c r="L312">
        <v>60</v>
      </c>
      <c r="M312" t="s">
        <v>29</v>
      </c>
      <c r="N312" t="str">
        <f>_xlfn.XLOOKUP(B312,tblCustomers[customer_id],tblCustomers[region],"Missing")</f>
        <v>East</v>
      </c>
      <c r="O312" t="str">
        <f>_xlfn.XLOOKUP(C312,tblProducts[product_id],tblProducts[product_name],"Missing")</f>
        <v>CRM Essentials</v>
      </c>
      <c r="P312" t="str">
        <f>_xlfn.XLOOKUP(C312,tblProducts[product_id],tblProducts[category],"Missing")</f>
        <v>CRM</v>
      </c>
      <c r="Q312" t="str">
        <f>_xlfn.XLOOKUP(D312,tblSalesReps[rep_id],tblSalesReps[rep_name],"Missing")</f>
        <v>Sales Rep 17</v>
      </c>
      <c r="R312" t="str">
        <f>_xlfn.XLOOKUP(D312,tblSalesReps[rep_id],tblSalesReps[region],"Missing")</f>
        <v>East</v>
      </c>
    </row>
    <row r="313" spans="1:18">
      <c r="A313" t="s">
        <v>583</v>
      </c>
      <c r="B313" t="s">
        <v>535</v>
      </c>
      <c r="C313" t="s">
        <v>15</v>
      </c>
      <c r="D313" t="s">
        <v>70</v>
      </c>
      <c r="E313" s="1">
        <v>45765</v>
      </c>
      <c r="F313" s="1">
        <v>45790</v>
      </c>
      <c r="G313" s="1">
        <v>45790</v>
      </c>
      <c r="H313" t="s">
        <v>17</v>
      </c>
      <c r="I313">
        <v>1</v>
      </c>
      <c r="J313">
        <v>15</v>
      </c>
      <c r="K313">
        <v>357000</v>
      </c>
      <c r="L313">
        <v>0</v>
      </c>
      <c r="M313" t="s">
        <v>23</v>
      </c>
      <c r="N313" t="str">
        <f>_xlfn.XLOOKUP(B313,tblCustomers[customer_id],tblCustomers[region],"Missing")</f>
        <v>West</v>
      </c>
      <c r="O313" t="str">
        <f>_xlfn.XLOOKUP(C313,tblProducts[product_id],tblProducts[product_name],"Missing")</f>
        <v>CRM Enterprise</v>
      </c>
      <c r="P313" t="str">
        <f>_xlfn.XLOOKUP(C313,tblProducts[product_id],tblProducts[category],"Missing")</f>
        <v>CRM</v>
      </c>
      <c r="Q313" t="str">
        <f>_xlfn.XLOOKUP(D313,tblSalesReps[rep_id],tblSalesReps[rep_name],"Missing")</f>
        <v>Sales Rep 11</v>
      </c>
      <c r="R313" t="str">
        <f>_xlfn.XLOOKUP(D313,tblSalesReps[rep_id],tblSalesReps[region],"Missing")</f>
        <v>West</v>
      </c>
    </row>
    <row r="314" spans="1:18">
      <c r="A314" t="s">
        <v>584</v>
      </c>
      <c r="B314" t="s">
        <v>316</v>
      </c>
      <c r="C314" t="s">
        <v>62</v>
      </c>
      <c r="D314" t="s">
        <v>32</v>
      </c>
      <c r="E314" s="1">
        <v>45957</v>
      </c>
      <c r="F314" s="1">
        <v>46001</v>
      </c>
      <c r="G314" s="1">
        <v>46001</v>
      </c>
      <c r="H314" t="s">
        <v>28</v>
      </c>
      <c r="I314">
        <v>3</v>
      </c>
      <c r="J314">
        <v>15</v>
      </c>
      <c r="K314">
        <v>306000</v>
      </c>
      <c r="L314">
        <v>100</v>
      </c>
      <c r="M314" t="s">
        <v>29</v>
      </c>
      <c r="N314" t="str">
        <f>_xlfn.XLOOKUP(B314,tblCustomers[customer_id],tblCustomers[region],"Missing")</f>
        <v>South</v>
      </c>
      <c r="O314" t="str">
        <f>_xlfn.XLOOKUP(C314,tblProducts[product_id],tblProducts[product_name],"Missing")</f>
        <v>CRM Essentials</v>
      </c>
      <c r="P314" t="str">
        <f>_xlfn.XLOOKUP(C314,tblProducts[product_id],tblProducts[category],"Missing")</f>
        <v>CRM</v>
      </c>
      <c r="Q314" t="str">
        <f>_xlfn.XLOOKUP(D314,tblSalesReps[rep_id],tblSalesReps[rep_name],"Missing")</f>
        <v>Sales Rep 04</v>
      </c>
      <c r="R314" t="str">
        <f>_xlfn.XLOOKUP(D314,tblSalesReps[rep_id],tblSalesReps[region],"Missing")</f>
        <v>South</v>
      </c>
    </row>
    <row r="315" spans="1:18">
      <c r="A315" t="s">
        <v>585</v>
      </c>
      <c r="B315" t="s">
        <v>374</v>
      </c>
      <c r="C315" t="s">
        <v>81</v>
      </c>
      <c r="D315" t="s">
        <v>32</v>
      </c>
      <c r="E315" s="1">
        <v>45920</v>
      </c>
      <c r="F315" s="1">
        <v>46005</v>
      </c>
      <c r="G315" s="1">
        <v>46005</v>
      </c>
      <c r="H315" t="s">
        <v>17</v>
      </c>
      <c r="I315">
        <v>2</v>
      </c>
      <c r="J315">
        <v>5</v>
      </c>
      <c r="K315">
        <v>570000</v>
      </c>
      <c r="L315">
        <v>0</v>
      </c>
      <c r="M315" t="s">
        <v>33</v>
      </c>
      <c r="N315" t="str">
        <f>_xlfn.XLOOKUP(B315,tblCustomers[customer_id],tblCustomers[region],"Missing")</f>
        <v>South</v>
      </c>
      <c r="O315" t="str">
        <f>_xlfn.XLOOKUP(C315,tblProducts[product_id],tblProducts[product_name],"Missing")</f>
        <v>Analytics Cloud</v>
      </c>
      <c r="P315" t="str">
        <f>_xlfn.XLOOKUP(C315,tblProducts[product_id],tblProducts[category],"Missing")</f>
        <v>Analytics</v>
      </c>
      <c r="Q315" t="str">
        <f>_xlfn.XLOOKUP(D315,tblSalesReps[rep_id],tblSalesReps[rep_name],"Missing")</f>
        <v>Sales Rep 04</v>
      </c>
      <c r="R315" t="str">
        <f>_xlfn.XLOOKUP(D315,tblSalesReps[rep_id],tblSalesReps[region],"Missing")</f>
        <v>South</v>
      </c>
    </row>
    <row r="316" spans="1:18">
      <c r="A316" t="s">
        <v>586</v>
      </c>
      <c r="B316" t="s">
        <v>587</v>
      </c>
      <c r="C316" t="s">
        <v>26</v>
      </c>
      <c r="D316" t="s">
        <v>32</v>
      </c>
      <c r="E316" s="1">
        <v>45900</v>
      </c>
      <c r="F316" s="1">
        <v>45951</v>
      </c>
      <c r="G316" s="1">
        <v>45951</v>
      </c>
      <c r="H316" t="s">
        <v>28</v>
      </c>
      <c r="I316">
        <v>2</v>
      </c>
      <c r="J316">
        <v>15</v>
      </c>
      <c r="K316">
        <v>612000</v>
      </c>
      <c r="L316">
        <v>100</v>
      </c>
      <c r="M316" t="s">
        <v>29</v>
      </c>
      <c r="N316" t="str">
        <f>_xlfn.XLOOKUP(B316,tblCustomers[customer_id],tblCustomers[region],"Missing")</f>
        <v>South</v>
      </c>
      <c r="O316" t="str">
        <f>_xlfn.XLOOKUP(C316,tblProducts[product_id],tblProducts[product_name],"Missing")</f>
        <v>Security Suite</v>
      </c>
      <c r="P316" t="str">
        <f>_xlfn.XLOOKUP(C316,tblProducts[product_id],tblProducts[category],"Missing")</f>
        <v>Security</v>
      </c>
      <c r="Q316" t="str">
        <f>_xlfn.XLOOKUP(D316,tblSalesReps[rep_id],tblSalesReps[rep_name],"Missing")</f>
        <v>Sales Rep 04</v>
      </c>
      <c r="R316" t="str">
        <f>_xlfn.XLOOKUP(D316,tblSalesReps[rep_id],tblSalesReps[region],"Missing")</f>
        <v>South</v>
      </c>
    </row>
    <row r="317" spans="1:18">
      <c r="A317" t="s">
        <v>588</v>
      </c>
      <c r="B317" t="s">
        <v>589</v>
      </c>
      <c r="C317" t="s">
        <v>26</v>
      </c>
      <c r="D317" t="s">
        <v>152</v>
      </c>
      <c r="E317" s="1">
        <v>45966</v>
      </c>
      <c r="F317" s="1">
        <v>46032</v>
      </c>
      <c r="G317" s="1"/>
      <c r="H317" t="s">
        <v>43</v>
      </c>
      <c r="I317">
        <v>1</v>
      </c>
      <c r="J317">
        <v>10</v>
      </c>
      <c r="K317">
        <v>324000</v>
      </c>
      <c r="L317">
        <v>80</v>
      </c>
      <c r="M317" t="s">
        <v>29</v>
      </c>
      <c r="N317" t="str">
        <f>_xlfn.XLOOKUP(B317,tblCustomers[customer_id],tblCustomers[region],"Missing")</f>
        <v>East</v>
      </c>
      <c r="O317" t="str">
        <f>_xlfn.XLOOKUP(C317,tblProducts[product_id],tblProducts[product_name],"Missing")</f>
        <v>Security Suite</v>
      </c>
      <c r="P317" t="str">
        <f>_xlfn.XLOOKUP(C317,tblProducts[product_id],tblProducts[category],"Missing")</f>
        <v>Security</v>
      </c>
      <c r="Q317" t="str">
        <f>_xlfn.XLOOKUP(D317,tblSalesReps[rep_id],tblSalesReps[rep_name],"Missing")</f>
        <v>Sales Rep 18</v>
      </c>
      <c r="R317" t="str">
        <f>_xlfn.XLOOKUP(D317,tblSalesReps[rep_id],tblSalesReps[region],"Missing")</f>
        <v>East</v>
      </c>
    </row>
    <row r="318" spans="1:18">
      <c r="A318" t="s">
        <v>590</v>
      </c>
      <c r="B318" t="s">
        <v>320</v>
      </c>
      <c r="C318" t="s">
        <v>15</v>
      </c>
      <c r="D318" t="s">
        <v>119</v>
      </c>
      <c r="E318" s="1">
        <v>45909</v>
      </c>
      <c r="F318" s="1">
        <v>45969</v>
      </c>
      <c r="G318" s="1">
        <v>45969</v>
      </c>
      <c r="H318" t="s">
        <v>28</v>
      </c>
      <c r="I318">
        <v>2</v>
      </c>
      <c r="J318">
        <v>10</v>
      </c>
      <c r="K318">
        <v>756000</v>
      </c>
      <c r="L318">
        <v>100</v>
      </c>
      <c r="M318" t="s">
        <v>29</v>
      </c>
      <c r="N318" t="str">
        <f>_xlfn.XLOOKUP(B318,tblCustomers[customer_id],tblCustomers[region],"Missing")</f>
        <v>North</v>
      </c>
      <c r="O318" t="str">
        <f>_xlfn.XLOOKUP(C318,tblProducts[product_id],tblProducts[product_name],"Missing")</f>
        <v>CRM Enterprise</v>
      </c>
      <c r="P318" t="str">
        <f>_xlfn.XLOOKUP(C318,tblProducts[product_id],tblProducts[category],"Missing")</f>
        <v>CRM</v>
      </c>
      <c r="Q318" t="str">
        <f>_xlfn.XLOOKUP(D318,tblSalesReps[rep_id],tblSalesReps[rep_name],"Missing")</f>
        <v>Sales Rep 10</v>
      </c>
      <c r="R318" t="str">
        <f>_xlfn.XLOOKUP(D318,tblSalesReps[rep_id],tblSalesReps[region],"Missing")</f>
        <v>North</v>
      </c>
    </row>
    <row r="319" spans="1:18">
      <c r="A319" t="s">
        <v>591</v>
      </c>
      <c r="B319" t="s">
        <v>592</v>
      </c>
      <c r="C319" t="s">
        <v>39</v>
      </c>
      <c r="D319" t="s">
        <v>53</v>
      </c>
      <c r="E319" s="1">
        <v>45690</v>
      </c>
      <c r="F319" s="1">
        <v>45711</v>
      </c>
      <c r="G319" s="1">
        <v>45711</v>
      </c>
      <c r="H319" t="s">
        <v>28</v>
      </c>
      <c r="I319">
        <v>3</v>
      </c>
      <c r="J319">
        <v>5</v>
      </c>
      <c r="K319">
        <v>513000</v>
      </c>
      <c r="L319">
        <v>100</v>
      </c>
      <c r="M319" t="s">
        <v>29</v>
      </c>
      <c r="N319" t="str">
        <f>_xlfn.XLOOKUP(B319,tblCustomers[customer_id],tblCustomers[region],"Missing")</f>
        <v>East</v>
      </c>
      <c r="O319" t="str">
        <f>_xlfn.XLOOKUP(C319,tblProducts[product_id],tblProducts[product_name],"Missing")</f>
        <v>Support Desk</v>
      </c>
      <c r="P319" t="str">
        <f>_xlfn.XLOOKUP(C319,tblProducts[product_id],tblProducts[category],"Missing")</f>
        <v>Service</v>
      </c>
      <c r="Q319" t="str">
        <f>_xlfn.XLOOKUP(D319,tblSalesReps[rep_id],tblSalesReps[rep_name],"Missing")</f>
        <v>Sales Rep 16</v>
      </c>
      <c r="R319" t="str">
        <f>_xlfn.XLOOKUP(D319,tblSalesReps[rep_id],tblSalesReps[region],"Missing")</f>
        <v>East</v>
      </c>
    </row>
    <row r="320" spans="1:18">
      <c r="A320" t="s">
        <v>593</v>
      </c>
      <c r="B320" t="s">
        <v>594</v>
      </c>
      <c r="C320" t="s">
        <v>39</v>
      </c>
      <c r="D320" t="s">
        <v>50</v>
      </c>
      <c r="E320" s="1">
        <v>46000</v>
      </c>
      <c r="F320" s="1">
        <v>46013</v>
      </c>
      <c r="G320" s="1">
        <v>46013</v>
      </c>
      <c r="H320" t="s">
        <v>28</v>
      </c>
      <c r="I320">
        <v>2</v>
      </c>
      <c r="J320">
        <v>15</v>
      </c>
      <c r="K320">
        <v>306000</v>
      </c>
      <c r="L320">
        <v>100</v>
      </c>
      <c r="M320" t="s">
        <v>29</v>
      </c>
      <c r="N320" t="str">
        <f>_xlfn.XLOOKUP(B320,tblCustomers[customer_id],tblCustomers[region],"Missing")</f>
        <v>West</v>
      </c>
      <c r="O320" t="str">
        <f>_xlfn.XLOOKUP(C320,tblProducts[product_id],tblProducts[product_name],"Missing")</f>
        <v>Support Desk</v>
      </c>
      <c r="P320" t="str">
        <f>_xlfn.XLOOKUP(C320,tblProducts[product_id],tblProducts[category],"Missing")</f>
        <v>Service</v>
      </c>
      <c r="Q320" t="str">
        <f>_xlfn.XLOOKUP(D320,tblSalesReps[rep_id],tblSalesReps[rep_name],"Missing")</f>
        <v>Sales Rep 15</v>
      </c>
      <c r="R320" t="str">
        <f>_xlfn.XLOOKUP(D320,tblSalesReps[rep_id],tblSalesReps[region],"Missing")</f>
        <v>West</v>
      </c>
    </row>
    <row r="321" spans="1:18">
      <c r="A321" t="s">
        <v>595</v>
      </c>
      <c r="B321" t="s">
        <v>215</v>
      </c>
      <c r="C321" t="s">
        <v>39</v>
      </c>
      <c r="D321" t="s">
        <v>27</v>
      </c>
      <c r="E321" s="1">
        <v>45743</v>
      </c>
      <c r="F321" s="1">
        <v>45776</v>
      </c>
      <c r="G321" s="1">
        <v>45776</v>
      </c>
      <c r="H321" t="s">
        <v>17</v>
      </c>
      <c r="I321">
        <v>1</v>
      </c>
      <c r="J321">
        <v>5</v>
      </c>
      <c r="K321">
        <v>171000</v>
      </c>
      <c r="L321">
        <v>0</v>
      </c>
      <c r="M321" t="s">
        <v>82</v>
      </c>
      <c r="N321" t="str">
        <f>_xlfn.XLOOKUP(B321,tblCustomers[customer_id],tblCustomers[region],"Missing")</f>
        <v>North</v>
      </c>
      <c r="O321" t="str">
        <f>_xlfn.XLOOKUP(C321,tblProducts[product_id],tblProducts[product_name],"Missing")</f>
        <v>Support Desk</v>
      </c>
      <c r="P321" t="str">
        <f>_xlfn.XLOOKUP(C321,tblProducts[product_id],tblProducts[category],"Missing")</f>
        <v>Service</v>
      </c>
      <c r="Q321" t="str">
        <f>_xlfn.XLOOKUP(D321,tblSalesReps[rep_id],tblSalesReps[rep_name],"Missing")</f>
        <v>Sales Rep 06</v>
      </c>
      <c r="R321" t="str">
        <f>_xlfn.XLOOKUP(D321,tblSalesReps[rep_id],tblSalesReps[region],"Missing")</f>
        <v>North</v>
      </c>
    </row>
    <row r="322" spans="1:18">
      <c r="A322" t="s">
        <v>596</v>
      </c>
      <c r="B322" t="s">
        <v>268</v>
      </c>
      <c r="C322" t="s">
        <v>15</v>
      </c>
      <c r="D322" t="s">
        <v>27</v>
      </c>
      <c r="E322" s="1">
        <v>45794</v>
      </c>
      <c r="F322" s="1">
        <v>45854</v>
      </c>
      <c r="G322" s="1">
        <v>45854</v>
      </c>
      <c r="H322" t="s">
        <v>17</v>
      </c>
      <c r="I322">
        <v>1</v>
      </c>
      <c r="J322">
        <v>5</v>
      </c>
      <c r="K322">
        <v>399000</v>
      </c>
      <c r="L322">
        <v>0</v>
      </c>
      <c r="M322" t="s">
        <v>33</v>
      </c>
      <c r="N322" t="str">
        <f>_xlfn.XLOOKUP(B322,tblCustomers[customer_id],tblCustomers[region],"Missing")</f>
        <v>North</v>
      </c>
      <c r="O322" t="str">
        <f>_xlfn.XLOOKUP(C322,tblProducts[product_id],tblProducts[product_name],"Missing")</f>
        <v>CRM Enterprise</v>
      </c>
      <c r="P322" t="str">
        <f>_xlfn.XLOOKUP(C322,tblProducts[product_id],tblProducts[category],"Missing")</f>
        <v>CRM</v>
      </c>
      <c r="Q322" t="str">
        <f>_xlfn.XLOOKUP(D322,tblSalesReps[rep_id],tblSalesReps[rep_name],"Missing")</f>
        <v>Sales Rep 06</v>
      </c>
      <c r="R322" t="str">
        <f>_xlfn.XLOOKUP(D322,tblSalesReps[rep_id],tblSalesReps[region],"Missing")</f>
        <v>North</v>
      </c>
    </row>
    <row r="323" spans="1:18">
      <c r="A323" t="s">
        <v>597</v>
      </c>
      <c r="B323" t="s">
        <v>145</v>
      </c>
      <c r="C323" t="s">
        <v>62</v>
      </c>
      <c r="D323" t="s">
        <v>50</v>
      </c>
      <c r="E323" s="1">
        <v>45693</v>
      </c>
      <c r="F323" s="1">
        <v>45740</v>
      </c>
      <c r="G323" s="1">
        <v>45740</v>
      </c>
      <c r="H323" t="s">
        <v>28</v>
      </c>
      <c r="I323">
        <v>2</v>
      </c>
      <c r="J323">
        <v>5</v>
      </c>
      <c r="K323">
        <v>228000</v>
      </c>
      <c r="L323">
        <v>100</v>
      </c>
      <c r="M323" t="s">
        <v>29</v>
      </c>
      <c r="N323" t="str">
        <f>_xlfn.XLOOKUP(B323,tblCustomers[customer_id],tblCustomers[region],"Missing")</f>
        <v>West</v>
      </c>
      <c r="O323" t="str">
        <f>_xlfn.XLOOKUP(C323,tblProducts[product_id],tblProducts[product_name],"Missing")</f>
        <v>CRM Essentials</v>
      </c>
      <c r="P323" t="str">
        <f>_xlfn.XLOOKUP(C323,tblProducts[product_id],tblProducts[category],"Missing")</f>
        <v>CRM</v>
      </c>
      <c r="Q323" t="str">
        <f>_xlfn.XLOOKUP(D323,tblSalesReps[rep_id],tblSalesReps[rep_name],"Missing")</f>
        <v>Sales Rep 15</v>
      </c>
      <c r="R323" t="str">
        <f>_xlfn.XLOOKUP(D323,tblSalesReps[rep_id],tblSalesReps[region],"Missing")</f>
        <v>West</v>
      </c>
    </row>
    <row r="324" spans="1:18">
      <c r="A324" t="s">
        <v>598</v>
      </c>
      <c r="B324" t="s">
        <v>65</v>
      </c>
      <c r="C324" t="s">
        <v>26</v>
      </c>
      <c r="D324" t="s">
        <v>56</v>
      </c>
      <c r="E324" s="1">
        <v>45809</v>
      </c>
      <c r="F324" s="1">
        <v>45886</v>
      </c>
      <c r="G324" s="1">
        <v>45886</v>
      </c>
      <c r="H324" t="s">
        <v>17</v>
      </c>
      <c r="I324">
        <v>1</v>
      </c>
      <c r="J324">
        <v>10</v>
      </c>
      <c r="K324">
        <v>324000</v>
      </c>
      <c r="L324">
        <v>0</v>
      </c>
      <c r="M324" t="s">
        <v>23</v>
      </c>
      <c r="N324" t="str">
        <f>_xlfn.XLOOKUP(B324,tblCustomers[customer_id],tblCustomers[region],"Missing")</f>
        <v>East</v>
      </c>
      <c r="O324" t="str">
        <f>_xlfn.XLOOKUP(C324,tblProducts[product_id],tblProducts[product_name],"Missing")</f>
        <v>Security Suite</v>
      </c>
      <c r="P324" t="str">
        <f>_xlfn.XLOOKUP(C324,tblProducts[product_id],tblProducts[category],"Missing")</f>
        <v>Security</v>
      </c>
      <c r="Q324" t="str">
        <f>_xlfn.XLOOKUP(D324,tblSalesReps[rep_id],tblSalesReps[rep_name],"Missing")</f>
        <v>Sales Rep 20</v>
      </c>
      <c r="R324" t="str">
        <f>_xlfn.XLOOKUP(D324,tblSalesReps[rep_id],tblSalesReps[region],"Missing")</f>
        <v>East</v>
      </c>
    </row>
    <row r="325" spans="1:18">
      <c r="A325" t="s">
        <v>599</v>
      </c>
      <c r="B325" t="s">
        <v>99</v>
      </c>
      <c r="C325" t="s">
        <v>15</v>
      </c>
      <c r="D325" t="s">
        <v>91</v>
      </c>
      <c r="E325" s="1">
        <v>45701</v>
      </c>
      <c r="F325" s="1">
        <v>45750</v>
      </c>
      <c r="G325" s="1">
        <v>45750</v>
      </c>
      <c r="H325" t="s">
        <v>28</v>
      </c>
      <c r="I325">
        <v>2</v>
      </c>
      <c r="J325">
        <v>5</v>
      </c>
      <c r="K325">
        <v>798000</v>
      </c>
      <c r="L325">
        <v>100</v>
      </c>
      <c r="M325" t="s">
        <v>29</v>
      </c>
      <c r="N325" t="str">
        <f>_xlfn.XLOOKUP(B325,tblCustomers[customer_id],tblCustomers[region],"Missing")</f>
        <v>South</v>
      </c>
      <c r="O325" t="str">
        <f>_xlfn.XLOOKUP(C325,tblProducts[product_id],tblProducts[product_name],"Missing")</f>
        <v>CRM Enterprise</v>
      </c>
      <c r="P325" t="str">
        <f>_xlfn.XLOOKUP(C325,tblProducts[product_id],tblProducts[category],"Missing")</f>
        <v>CRM</v>
      </c>
      <c r="Q325" t="str">
        <f>_xlfn.XLOOKUP(D325,tblSalesReps[rep_id],tblSalesReps[rep_name],"Missing")</f>
        <v>Sales Rep 03</v>
      </c>
      <c r="R325" t="str">
        <f>_xlfn.XLOOKUP(D325,tblSalesReps[rep_id],tblSalesReps[region],"Missing")</f>
        <v>South</v>
      </c>
    </row>
    <row r="326" spans="1:18">
      <c r="A326" t="s">
        <v>600</v>
      </c>
      <c r="B326" t="s">
        <v>601</v>
      </c>
      <c r="C326" t="s">
        <v>39</v>
      </c>
      <c r="D326" t="s">
        <v>63</v>
      </c>
      <c r="E326" s="1">
        <v>45790</v>
      </c>
      <c r="F326" s="1">
        <v>45835</v>
      </c>
      <c r="G326" s="1">
        <v>45835</v>
      </c>
      <c r="H326" t="s">
        <v>28</v>
      </c>
      <c r="I326">
        <v>2</v>
      </c>
      <c r="J326">
        <v>20</v>
      </c>
      <c r="K326">
        <v>288000</v>
      </c>
      <c r="L326">
        <v>100</v>
      </c>
      <c r="M326" t="s">
        <v>29</v>
      </c>
      <c r="N326" t="str">
        <f>_xlfn.XLOOKUP(B326,tblCustomers[customer_id],tblCustomers[region],"Missing")</f>
        <v>South</v>
      </c>
      <c r="O326" t="str">
        <f>_xlfn.XLOOKUP(C326,tblProducts[product_id],tblProducts[product_name],"Missing")</f>
        <v>Support Desk</v>
      </c>
      <c r="P326" t="str">
        <f>_xlfn.XLOOKUP(C326,tblProducts[product_id],tblProducts[category],"Missing")</f>
        <v>Service</v>
      </c>
      <c r="Q326" t="str">
        <f>_xlfn.XLOOKUP(D326,tblSalesReps[rep_id],tblSalesReps[rep_name],"Missing")</f>
        <v>Sales Rep 05</v>
      </c>
      <c r="R326" t="str">
        <f>_xlfn.XLOOKUP(D326,tblSalesReps[rep_id],tblSalesReps[region],"Missing")</f>
        <v>South</v>
      </c>
    </row>
    <row r="327" spans="1:18">
      <c r="A327" t="s">
        <v>602</v>
      </c>
      <c r="B327" t="s">
        <v>93</v>
      </c>
      <c r="C327" t="s">
        <v>26</v>
      </c>
      <c r="D327" t="s">
        <v>53</v>
      </c>
      <c r="E327" s="1">
        <v>45887</v>
      </c>
      <c r="F327" s="1">
        <v>45894</v>
      </c>
      <c r="G327" s="1">
        <v>45894</v>
      </c>
      <c r="H327" t="s">
        <v>28</v>
      </c>
      <c r="I327">
        <v>2</v>
      </c>
      <c r="J327">
        <v>10</v>
      </c>
      <c r="K327">
        <v>648000</v>
      </c>
      <c r="L327">
        <v>100</v>
      </c>
      <c r="M327" t="s">
        <v>29</v>
      </c>
      <c r="N327" t="str">
        <f>_xlfn.XLOOKUP(B327,tblCustomers[customer_id],tblCustomers[region],"Missing")</f>
        <v>East</v>
      </c>
      <c r="O327" t="str">
        <f>_xlfn.XLOOKUP(C327,tblProducts[product_id],tblProducts[product_name],"Missing")</f>
        <v>Security Suite</v>
      </c>
      <c r="P327" t="str">
        <f>_xlfn.XLOOKUP(C327,tblProducts[product_id],tblProducts[category],"Missing")</f>
        <v>Security</v>
      </c>
      <c r="Q327" t="str">
        <f>_xlfn.XLOOKUP(D327,tblSalesReps[rep_id],tblSalesReps[rep_name],"Missing")</f>
        <v>Sales Rep 16</v>
      </c>
      <c r="R327" t="str">
        <f>_xlfn.XLOOKUP(D327,tblSalesReps[rep_id],tblSalesReps[region],"Missing")</f>
        <v>East</v>
      </c>
    </row>
    <row r="328" spans="1:18">
      <c r="A328" t="s">
        <v>603</v>
      </c>
      <c r="B328" t="s">
        <v>306</v>
      </c>
      <c r="C328" t="s">
        <v>39</v>
      </c>
      <c r="D328" t="s">
        <v>168</v>
      </c>
      <c r="E328" s="1">
        <v>45842</v>
      </c>
      <c r="F328" s="1">
        <v>45867</v>
      </c>
      <c r="G328" s="1">
        <v>45867</v>
      </c>
      <c r="H328" t="s">
        <v>17</v>
      </c>
      <c r="I328">
        <v>2</v>
      </c>
      <c r="J328">
        <v>15</v>
      </c>
      <c r="K328">
        <v>306000</v>
      </c>
      <c r="L328">
        <v>0</v>
      </c>
      <c r="M328" t="s">
        <v>23</v>
      </c>
      <c r="N328" t="str">
        <f>_xlfn.XLOOKUP(B328,tblCustomers[customer_id],tblCustomers[region],"Missing")</f>
        <v>East</v>
      </c>
      <c r="O328" t="str">
        <f>_xlfn.XLOOKUP(C328,tblProducts[product_id],tblProducts[product_name],"Missing")</f>
        <v>Support Desk</v>
      </c>
      <c r="P328" t="str">
        <f>_xlfn.XLOOKUP(C328,tblProducts[product_id],tblProducts[category],"Missing")</f>
        <v>Service</v>
      </c>
      <c r="Q328" t="str">
        <f>_xlfn.XLOOKUP(D328,tblSalesReps[rep_id],tblSalesReps[rep_name],"Missing")</f>
        <v>Sales Rep 17</v>
      </c>
      <c r="R328" t="str">
        <f>_xlfn.XLOOKUP(D328,tblSalesReps[rep_id],tblSalesReps[region],"Missing")</f>
        <v>East</v>
      </c>
    </row>
    <row r="329" spans="1:18">
      <c r="A329" t="s">
        <v>604</v>
      </c>
      <c r="B329" t="s">
        <v>501</v>
      </c>
      <c r="C329" t="s">
        <v>26</v>
      </c>
      <c r="D329" t="s">
        <v>56</v>
      </c>
      <c r="E329" s="1">
        <v>45864</v>
      </c>
      <c r="F329" s="1">
        <v>45937</v>
      </c>
      <c r="G329" s="1">
        <v>45937</v>
      </c>
      <c r="H329" t="s">
        <v>17</v>
      </c>
      <c r="I329">
        <v>2</v>
      </c>
      <c r="J329">
        <v>10</v>
      </c>
      <c r="K329">
        <v>648000</v>
      </c>
      <c r="L329">
        <v>0</v>
      </c>
      <c r="M329" t="s">
        <v>82</v>
      </c>
      <c r="N329" t="str">
        <f>_xlfn.XLOOKUP(B329,tblCustomers[customer_id],tblCustomers[region],"Missing")</f>
        <v>East</v>
      </c>
      <c r="O329" t="str">
        <f>_xlfn.XLOOKUP(C329,tblProducts[product_id],tblProducts[product_name],"Missing")</f>
        <v>Security Suite</v>
      </c>
      <c r="P329" t="str">
        <f>_xlfn.XLOOKUP(C329,tblProducts[product_id],tblProducts[category],"Missing")</f>
        <v>Security</v>
      </c>
      <c r="Q329" t="str">
        <f>_xlfn.XLOOKUP(D329,tblSalesReps[rep_id],tblSalesReps[rep_name],"Missing")</f>
        <v>Sales Rep 20</v>
      </c>
      <c r="R329" t="str">
        <f>_xlfn.XLOOKUP(D329,tblSalesReps[rep_id],tblSalesReps[region],"Missing")</f>
        <v>East</v>
      </c>
    </row>
    <row r="330" spans="1:18">
      <c r="A330" t="s">
        <v>605</v>
      </c>
      <c r="B330" t="s">
        <v>606</v>
      </c>
      <c r="C330" t="s">
        <v>26</v>
      </c>
      <c r="D330" t="s">
        <v>75</v>
      </c>
      <c r="E330" s="1">
        <v>45944</v>
      </c>
      <c r="F330" s="1">
        <v>45966</v>
      </c>
      <c r="G330" s="1">
        <v>45966</v>
      </c>
      <c r="H330" t="s">
        <v>17</v>
      </c>
      <c r="I330">
        <v>3</v>
      </c>
      <c r="J330">
        <v>15</v>
      </c>
      <c r="K330">
        <v>918000</v>
      </c>
      <c r="L330">
        <v>0</v>
      </c>
      <c r="M330" t="s">
        <v>23</v>
      </c>
      <c r="N330" t="str">
        <f>_xlfn.XLOOKUP(B330,tblCustomers[customer_id],tblCustomers[region],"Missing")</f>
        <v>North</v>
      </c>
      <c r="O330" t="str">
        <f>_xlfn.XLOOKUP(C330,tblProducts[product_id],tblProducts[product_name],"Missing")</f>
        <v>Security Suite</v>
      </c>
      <c r="P330" t="str">
        <f>_xlfn.XLOOKUP(C330,tblProducts[product_id],tblProducts[category],"Missing")</f>
        <v>Security</v>
      </c>
      <c r="Q330" t="str">
        <f>_xlfn.XLOOKUP(D330,tblSalesReps[rep_id],tblSalesReps[rep_name],"Missing")</f>
        <v>Sales Rep 07</v>
      </c>
      <c r="R330" t="str">
        <f>_xlfn.XLOOKUP(D330,tblSalesReps[rep_id],tblSalesReps[region],"Missing")</f>
        <v>North</v>
      </c>
    </row>
    <row r="331" spans="1:18">
      <c r="A331" t="s">
        <v>607</v>
      </c>
      <c r="B331" t="s">
        <v>601</v>
      </c>
      <c r="C331" t="s">
        <v>15</v>
      </c>
      <c r="D331" t="s">
        <v>126</v>
      </c>
      <c r="E331" s="1">
        <v>45959</v>
      </c>
      <c r="F331" s="1">
        <v>46005</v>
      </c>
      <c r="G331" s="1">
        <v>46005</v>
      </c>
      <c r="H331" t="s">
        <v>17</v>
      </c>
      <c r="I331">
        <v>1</v>
      </c>
      <c r="J331">
        <v>5</v>
      </c>
      <c r="K331">
        <v>399000</v>
      </c>
      <c r="L331">
        <v>0</v>
      </c>
      <c r="M331" t="s">
        <v>82</v>
      </c>
      <c r="N331" t="str">
        <f>_xlfn.XLOOKUP(B331,tblCustomers[customer_id],tblCustomers[region],"Missing")</f>
        <v>South</v>
      </c>
      <c r="O331" t="str">
        <f>_xlfn.XLOOKUP(C331,tblProducts[product_id],tblProducts[product_name],"Missing")</f>
        <v>CRM Enterprise</v>
      </c>
      <c r="P331" t="str">
        <f>_xlfn.XLOOKUP(C331,tblProducts[product_id],tblProducts[category],"Missing")</f>
        <v>CRM</v>
      </c>
      <c r="Q331" t="str">
        <f>_xlfn.XLOOKUP(D331,tblSalesReps[rep_id],tblSalesReps[rep_name],"Missing")</f>
        <v>Sales Rep 02</v>
      </c>
      <c r="R331" t="str">
        <f>_xlfn.XLOOKUP(D331,tblSalesReps[rep_id],tblSalesReps[region],"Missing")</f>
        <v>South</v>
      </c>
    </row>
    <row r="332" spans="1:18">
      <c r="A332" t="s">
        <v>608</v>
      </c>
      <c r="B332" t="s">
        <v>609</v>
      </c>
      <c r="C332" t="s">
        <v>39</v>
      </c>
      <c r="D332" t="s">
        <v>16</v>
      </c>
      <c r="E332" s="1">
        <v>45947</v>
      </c>
      <c r="F332" s="1">
        <v>45997</v>
      </c>
      <c r="G332" s="1">
        <v>45997</v>
      </c>
      <c r="H332" t="s">
        <v>17</v>
      </c>
      <c r="I332">
        <v>2</v>
      </c>
      <c r="J332">
        <v>15</v>
      </c>
      <c r="K332">
        <v>306000</v>
      </c>
      <c r="L332">
        <v>0</v>
      </c>
      <c r="M332" t="s">
        <v>47</v>
      </c>
      <c r="N332" t="str">
        <f>_xlfn.XLOOKUP(B332,tblCustomers[customer_id],tblCustomers[region],"Missing")</f>
        <v>North</v>
      </c>
      <c r="O332" t="str">
        <f>_xlfn.XLOOKUP(C332,tblProducts[product_id],tblProducts[product_name],"Missing")</f>
        <v>Support Desk</v>
      </c>
      <c r="P332" t="str">
        <f>_xlfn.XLOOKUP(C332,tblProducts[product_id],tblProducts[category],"Missing")</f>
        <v>Service</v>
      </c>
      <c r="Q332" t="str">
        <f>_xlfn.XLOOKUP(D332,tblSalesReps[rep_id],tblSalesReps[rep_name],"Missing")</f>
        <v>Sales Rep 08</v>
      </c>
      <c r="R332" t="str">
        <f>_xlfn.XLOOKUP(D332,tblSalesReps[rep_id],tblSalesReps[region],"Missing")</f>
        <v>North</v>
      </c>
    </row>
    <row r="333" spans="1:18">
      <c r="A333" t="s">
        <v>610</v>
      </c>
      <c r="B333" t="s">
        <v>611</v>
      </c>
      <c r="C333" t="s">
        <v>39</v>
      </c>
      <c r="D333" t="s">
        <v>70</v>
      </c>
      <c r="E333" s="1">
        <v>46001</v>
      </c>
      <c r="F333" s="1">
        <v>46043</v>
      </c>
      <c r="G333" s="1"/>
      <c r="H333" t="s">
        <v>43</v>
      </c>
      <c r="I333">
        <v>1</v>
      </c>
      <c r="J333">
        <v>5</v>
      </c>
      <c r="K333">
        <v>171000</v>
      </c>
      <c r="L333">
        <v>20</v>
      </c>
      <c r="M333" t="s">
        <v>29</v>
      </c>
      <c r="N333" t="str">
        <f>_xlfn.XLOOKUP(B333,tblCustomers[customer_id],tblCustomers[region],"Missing")</f>
        <v>West</v>
      </c>
      <c r="O333" t="str">
        <f>_xlfn.XLOOKUP(C333,tblProducts[product_id],tblProducts[product_name],"Missing")</f>
        <v>Support Desk</v>
      </c>
      <c r="P333" t="str">
        <f>_xlfn.XLOOKUP(C333,tblProducts[product_id],tblProducts[category],"Missing")</f>
        <v>Service</v>
      </c>
      <c r="Q333" t="str">
        <f>_xlfn.XLOOKUP(D333,tblSalesReps[rep_id],tblSalesReps[rep_name],"Missing")</f>
        <v>Sales Rep 11</v>
      </c>
      <c r="R333" t="str">
        <f>_xlfn.XLOOKUP(D333,tblSalesReps[rep_id],tblSalesReps[region],"Missing")</f>
        <v>West</v>
      </c>
    </row>
    <row r="334" spans="1:18">
      <c r="A334" t="s">
        <v>612</v>
      </c>
      <c r="B334" t="s">
        <v>613</v>
      </c>
      <c r="C334" t="s">
        <v>81</v>
      </c>
      <c r="D334" t="s">
        <v>119</v>
      </c>
      <c r="E334" s="1">
        <v>45667</v>
      </c>
      <c r="F334" s="1">
        <v>45742</v>
      </c>
      <c r="G334" s="1">
        <v>45742</v>
      </c>
      <c r="H334" t="s">
        <v>28</v>
      </c>
      <c r="I334">
        <v>1</v>
      </c>
      <c r="J334">
        <v>0</v>
      </c>
      <c r="K334">
        <v>300000</v>
      </c>
      <c r="L334">
        <v>100</v>
      </c>
      <c r="M334" t="s">
        <v>29</v>
      </c>
      <c r="N334" t="str">
        <f>_xlfn.XLOOKUP(B334,tblCustomers[customer_id],tblCustomers[region],"Missing")</f>
        <v>North</v>
      </c>
      <c r="O334" t="str">
        <f>_xlfn.XLOOKUP(C334,tblProducts[product_id],tblProducts[product_name],"Missing")</f>
        <v>Analytics Cloud</v>
      </c>
      <c r="P334" t="str">
        <f>_xlfn.XLOOKUP(C334,tblProducts[product_id],tblProducts[category],"Missing")</f>
        <v>Analytics</v>
      </c>
      <c r="Q334" t="str">
        <f>_xlfn.XLOOKUP(D334,tblSalesReps[rep_id],tblSalesReps[rep_name],"Missing")</f>
        <v>Sales Rep 10</v>
      </c>
      <c r="R334" t="str">
        <f>_xlfn.XLOOKUP(D334,tblSalesReps[rep_id],tblSalesReps[region],"Missing")</f>
        <v>North</v>
      </c>
    </row>
    <row r="335" spans="1:18">
      <c r="A335" t="s">
        <v>614</v>
      </c>
      <c r="B335" t="s">
        <v>581</v>
      </c>
      <c r="C335" t="s">
        <v>81</v>
      </c>
      <c r="D335" t="s">
        <v>70</v>
      </c>
      <c r="E335" s="1">
        <v>45832</v>
      </c>
      <c r="F335" s="1">
        <v>45892</v>
      </c>
      <c r="G335" s="1">
        <v>45892</v>
      </c>
      <c r="H335" t="s">
        <v>17</v>
      </c>
      <c r="I335">
        <v>1</v>
      </c>
      <c r="J335">
        <v>20</v>
      </c>
      <c r="K335">
        <v>240000</v>
      </c>
      <c r="L335">
        <v>0</v>
      </c>
      <c r="M335" t="s">
        <v>82</v>
      </c>
      <c r="N335" t="str">
        <f>_xlfn.XLOOKUP(B335,tblCustomers[customer_id],tblCustomers[region],"Missing")</f>
        <v>West</v>
      </c>
      <c r="O335" t="str">
        <f>_xlfn.XLOOKUP(C335,tblProducts[product_id],tblProducts[product_name],"Missing")</f>
        <v>Analytics Cloud</v>
      </c>
      <c r="P335" t="str">
        <f>_xlfn.XLOOKUP(C335,tblProducts[product_id],tblProducts[category],"Missing")</f>
        <v>Analytics</v>
      </c>
      <c r="Q335" t="str">
        <f>_xlfn.XLOOKUP(D335,tblSalesReps[rep_id],tblSalesReps[rep_name],"Missing")</f>
        <v>Sales Rep 11</v>
      </c>
      <c r="R335" t="str">
        <f>_xlfn.XLOOKUP(D335,tblSalesReps[rep_id],tblSalesReps[region],"Missing")</f>
        <v>West</v>
      </c>
    </row>
    <row r="336" spans="1:18">
      <c r="A336" t="s">
        <v>615</v>
      </c>
      <c r="B336" t="s">
        <v>183</v>
      </c>
      <c r="C336" t="s">
        <v>81</v>
      </c>
      <c r="D336" t="s">
        <v>126</v>
      </c>
      <c r="E336" s="1">
        <v>45688</v>
      </c>
      <c r="F336" s="1">
        <v>45736</v>
      </c>
      <c r="G336" s="1">
        <v>45736</v>
      </c>
      <c r="H336" t="s">
        <v>17</v>
      </c>
      <c r="I336">
        <v>1</v>
      </c>
      <c r="J336">
        <v>0</v>
      </c>
      <c r="K336">
        <v>300000</v>
      </c>
      <c r="L336">
        <v>0</v>
      </c>
      <c r="M336" t="s">
        <v>18</v>
      </c>
      <c r="N336" t="str">
        <f>_xlfn.XLOOKUP(B336,tblCustomers[customer_id],tblCustomers[region],"Missing")</f>
        <v>South</v>
      </c>
      <c r="O336" t="str">
        <f>_xlfn.XLOOKUP(C336,tblProducts[product_id],tblProducts[product_name],"Missing")</f>
        <v>Analytics Cloud</v>
      </c>
      <c r="P336" t="str">
        <f>_xlfn.XLOOKUP(C336,tblProducts[product_id],tblProducts[category],"Missing")</f>
        <v>Analytics</v>
      </c>
      <c r="Q336" t="str">
        <f>_xlfn.XLOOKUP(D336,tblSalesReps[rep_id],tblSalesReps[rep_name],"Missing")</f>
        <v>Sales Rep 02</v>
      </c>
      <c r="R336" t="str">
        <f>_xlfn.XLOOKUP(D336,tblSalesReps[rep_id],tblSalesReps[region],"Missing")</f>
        <v>South</v>
      </c>
    </row>
    <row r="337" spans="1:18">
      <c r="A337" t="s">
        <v>616</v>
      </c>
      <c r="B337" t="s">
        <v>172</v>
      </c>
      <c r="C337" t="s">
        <v>39</v>
      </c>
      <c r="D337" t="s">
        <v>36</v>
      </c>
      <c r="E337" s="1">
        <v>45716</v>
      </c>
      <c r="F337" s="1">
        <v>45763</v>
      </c>
      <c r="G337" s="1">
        <v>45763</v>
      </c>
      <c r="H337" t="s">
        <v>28</v>
      </c>
      <c r="I337">
        <v>2</v>
      </c>
      <c r="J337">
        <v>20</v>
      </c>
      <c r="K337">
        <v>288000</v>
      </c>
      <c r="L337">
        <v>100</v>
      </c>
      <c r="M337" t="s">
        <v>29</v>
      </c>
      <c r="N337" t="str">
        <f>_xlfn.XLOOKUP(B337,tblCustomers[customer_id],tblCustomers[region],"Missing")</f>
        <v>North</v>
      </c>
      <c r="O337" t="str">
        <f>_xlfn.XLOOKUP(C337,tblProducts[product_id],tblProducts[product_name],"Missing")</f>
        <v>Support Desk</v>
      </c>
      <c r="P337" t="str">
        <f>_xlfn.XLOOKUP(C337,tblProducts[product_id],tblProducts[category],"Missing")</f>
        <v>Service</v>
      </c>
      <c r="Q337" t="str">
        <f>_xlfn.XLOOKUP(D337,tblSalesReps[rep_id],tblSalesReps[rep_name],"Missing")</f>
        <v>Sales Rep 09</v>
      </c>
      <c r="R337" t="str">
        <f>_xlfn.XLOOKUP(D337,tblSalesReps[rep_id],tblSalesReps[region],"Missing")</f>
        <v>North</v>
      </c>
    </row>
    <row r="338" spans="1:18">
      <c r="A338" t="s">
        <v>617</v>
      </c>
      <c r="B338" t="s">
        <v>110</v>
      </c>
      <c r="C338" t="s">
        <v>39</v>
      </c>
      <c r="D338" t="s">
        <v>119</v>
      </c>
      <c r="E338" s="1">
        <v>46003</v>
      </c>
      <c r="F338" s="1">
        <v>46081</v>
      </c>
      <c r="G338" s="1"/>
      <c r="H338" t="s">
        <v>43</v>
      </c>
      <c r="I338">
        <v>1</v>
      </c>
      <c r="J338">
        <v>10</v>
      </c>
      <c r="K338">
        <v>162000</v>
      </c>
      <c r="L338">
        <v>80</v>
      </c>
      <c r="M338" t="s">
        <v>29</v>
      </c>
      <c r="N338" t="str">
        <f>_xlfn.XLOOKUP(B338,tblCustomers[customer_id],tblCustomers[region],"Missing")</f>
        <v>North</v>
      </c>
      <c r="O338" t="str">
        <f>_xlfn.XLOOKUP(C338,tblProducts[product_id],tblProducts[product_name],"Missing")</f>
        <v>Support Desk</v>
      </c>
      <c r="P338" t="str">
        <f>_xlfn.XLOOKUP(C338,tblProducts[product_id],tblProducts[category],"Missing")</f>
        <v>Service</v>
      </c>
      <c r="Q338" t="str">
        <f>_xlfn.XLOOKUP(D338,tblSalesReps[rep_id],tblSalesReps[rep_name],"Missing")</f>
        <v>Sales Rep 10</v>
      </c>
      <c r="R338" t="str">
        <f>_xlfn.XLOOKUP(D338,tblSalesReps[rep_id],tblSalesReps[region],"Missing")</f>
        <v>North</v>
      </c>
    </row>
    <row r="339" spans="1:18">
      <c r="A339" t="s">
        <v>618</v>
      </c>
      <c r="B339" t="s">
        <v>619</v>
      </c>
      <c r="C339" t="s">
        <v>39</v>
      </c>
      <c r="D339" t="s">
        <v>16</v>
      </c>
      <c r="E339" s="1">
        <v>45992</v>
      </c>
      <c r="F339" s="1">
        <v>45999</v>
      </c>
      <c r="G339" s="1"/>
      <c r="H339" t="s">
        <v>43</v>
      </c>
      <c r="I339">
        <v>1</v>
      </c>
      <c r="J339">
        <v>15</v>
      </c>
      <c r="K339">
        <v>153000</v>
      </c>
      <c r="L339">
        <v>60</v>
      </c>
      <c r="M339" t="s">
        <v>29</v>
      </c>
      <c r="N339" t="str">
        <f>_xlfn.XLOOKUP(B339,tblCustomers[customer_id],tblCustomers[region],"Missing")</f>
        <v>North</v>
      </c>
      <c r="O339" t="str">
        <f>_xlfn.XLOOKUP(C339,tblProducts[product_id],tblProducts[product_name],"Missing")</f>
        <v>Support Desk</v>
      </c>
      <c r="P339" t="str">
        <f>_xlfn.XLOOKUP(C339,tblProducts[product_id],tblProducts[category],"Missing")</f>
        <v>Service</v>
      </c>
      <c r="Q339" t="str">
        <f>_xlfn.XLOOKUP(D339,tblSalesReps[rep_id],tblSalesReps[rep_name],"Missing")</f>
        <v>Sales Rep 08</v>
      </c>
      <c r="R339" t="str">
        <f>_xlfn.XLOOKUP(D339,tblSalesReps[rep_id],tblSalesReps[region],"Missing")</f>
        <v>North</v>
      </c>
    </row>
    <row r="340" spans="1:18">
      <c r="A340" t="s">
        <v>620</v>
      </c>
      <c r="B340" t="s">
        <v>151</v>
      </c>
      <c r="C340" t="s">
        <v>26</v>
      </c>
      <c r="D340" t="s">
        <v>53</v>
      </c>
      <c r="E340" s="1">
        <v>45729</v>
      </c>
      <c r="F340" s="1">
        <v>45771</v>
      </c>
      <c r="G340" s="1">
        <v>45771</v>
      </c>
      <c r="H340" t="s">
        <v>17</v>
      </c>
      <c r="I340">
        <v>2</v>
      </c>
      <c r="J340">
        <v>5</v>
      </c>
      <c r="K340">
        <v>684000</v>
      </c>
      <c r="L340">
        <v>0</v>
      </c>
      <c r="M340" t="s">
        <v>18</v>
      </c>
      <c r="N340" t="str">
        <f>_xlfn.XLOOKUP(B340,tblCustomers[customer_id],tblCustomers[region],"Missing")</f>
        <v>East</v>
      </c>
      <c r="O340" t="str">
        <f>_xlfn.XLOOKUP(C340,tblProducts[product_id],tblProducts[product_name],"Missing")</f>
        <v>Security Suite</v>
      </c>
      <c r="P340" t="str">
        <f>_xlfn.XLOOKUP(C340,tblProducts[product_id],tblProducts[category],"Missing")</f>
        <v>Security</v>
      </c>
      <c r="Q340" t="str">
        <f>_xlfn.XLOOKUP(D340,tblSalesReps[rep_id],tblSalesReps[rep_name],"Missing")</f>
        <v>Sales Rep 16</v>
      </c>
      <c r="R340" t="str">
        <f>_xlfn.XLOOKUP(D340,tblSalesReps[rep_id],tblSalesReps[region],"Missing")</f>
        <v>East</v>
      </c>
    </row>
    <row r="341" spans="1:18">
      <c r="A341" t="s">
        <v>621</v>
      </c>
      <c r="B341" t="s">
        <v>266</v>
      </c>
      <c r="C341" t="s">
        <v>26</v>
      </c>
      <c r="D341" t="s">
        <v>70</v>
      </c>
      <c r="E341" s="1">
        <v>45969</v>
      </c>
      <c r="F341" s="1">
        <v>45977</v>
      </c>
      <c r="G341" s="1">
        <v>45977</v>
      </c>
      <c r="H341" t="s">
        <v>17</v>
      </c>
      <c r="I341">
        <v>1</v>
      </c>
      <c r="J341">
        <v>15</v>
      </c>
      <c r="K341">
        <v>306000</v>
      </c>
      <c r="L341">
        <v>0</v>
      </c>
      <c r="M341" t="s">
        <v>82</v>
      </c>
      <c r="N341" t="str">
        <f>_xlfn.XLOOKUP(B341,tblCustomers[customer_id],tblCustomers[region],"Missing")</f>
        <v>West</v>
      </c>
      <c r="O341" t="str">
        <f>_xlfn.XLOOKUP(C341,tblProducts[product_id],tblProducts[product_name],"Missing")</f>
        <v>Security Suite</v>
      </c>
      <c r="P341" t="str">
        <f>_xlfn.XLOOKUP(C341,tblProducts[product_id],tblProducts[category],"Missing")</f>
        <v>Security</v>
      </c>
      <c r="Q341" t="str">
        <f>_xlfn.XLOOKUP(D341,tblSalesReps[rep_id],tblSalesReps[rep_name],"Missing")</f>
        <v>Sales Rep 11</v>
      </c>
      <c r="R341" t="str">
        <f>_xlfn.XLOOKUP(D341,tblSalesReps[rep_id],tblSalesReps[region],"Missing")</f>
        <v>West</v>
      </c>
    </row>
    <row r="342" spans="1:18">
      <c r="A342" t="s">
        <v>622</v>
      </c>
      <c r="B342" t="s">
        <v>623</v>
      </c>
      <c r="C342" t="s">
        <v>81</v>
      </c>
      <c r="D342" t="s">
        <v>56</v>
      </c>
      <c r="E342" s="1">
        <v>45841</v>
      </c>
      <c r="F342" s="1">
        <v>45849</v>
      </c>
      <c r="G342" s="1">
        <v>45849</v>
      </c>
      <c r="H342" t="s">
        <v>17</v>
      </c>
      <c r="I342">
        <v>1</v>
      </c>
      <c r="J342">
        <v>15</v>
      </c>
      <c r="K342">
        <v>255000</v>
      </c>
      <c r="L342">
        <v>0</v>
      </c>
      <c r="M342" t="s">
        <v>47</v>
      </c>
      <c r="N342" t="str">
        <f>_xlfn.XLOOKUP(B342,tblCustomers[customer_id],tblCustomers[region],"Missing")</f>
        <v>East</v>
      </c>
      <c r="O342" t="str">
        <f>_xlfn.XLOOKUP(C342,tblProducts[product_id],tblProducts[product_name],"Missing")</f>
        <v>Analytics Cloud</v>
      </c>
      <c r="P342" t="str">
        <f>_xlfn.XLOOKUP(C342,tblProducts[product_id],tblProducts[category],"Missing")</f>
        <v>Analytics</v>
      </c>
      <c r="Q342" t="str">
        <f>_xlfn.XLOOKUP(D342,tblSalesReps[rep_id],tblSalesReps[rep_name],"Missing")</f>
        <v>Sales Rep 20</v>
      </c>
      <c r="R342" t="str">
        <f>_xlfn.XLOOKUP(D342,tblSalesReps[rep_id],tblSalesReps[region],"Missing")</f>
        <v>East</v>
      </c>
    </row>
    <row r="343" spans="1:18">
      <c r="A343" t="s">
        <v>624</v>
      </c>
      <c r="B343" t="s">
        <v>483</v>
      </c>
      <c r="C343" t="s">
        <v>81</v>
      </c>
      <c r="D343" t="s">
        <v>56</v>
      </c>
      <c r="E343" s="1">
        <v>45765</v>
      </c>
      <c r="F343" s="1">
        <v>45822</v>
      </c>
      <c r="G343" s="1">
        <v>45822</v>
      </c>
      <c r="H343" t="s">
        <v>28</v>
      </c>
      <c r="I343">
        <v>1</v>
      </c>
      <c r="J343">
        <v>10</v>
      </c>
      <c r="K343">
        <v>270000</v>
      </c>
      <c r="L343">
        <v>100</v>
      </c>
      <c r="M343" t="s">
        <v>29</v>
      </c>
      <c r="N343" t="str">
        <f>_xlfn.XLOOKUP(B343,tblCustomers[customer_id],tblCustomers[region],"Missing")</f>
        <v>East</v>
      </c>
      <c r="O343" t="str">
        <f>_xlfn.XLOOKUP(C343,tblProducts[product_id],tblProducts[product_name],"Missing")</f>
        <v>Analytics Cloud</v>
      </c>
      <c r="P343" t="str">
        <f>_xlfn.XLOOKUP(C343,tblProducts[product_id],tblProducts[category],"Missing")</f>
        <v>Analytics</v>
      </c>
      <c r="Q343" t="str">
        <f>_xlfn.XLOOKUP(D343,tblSalesReps[rep_id],tblSalesReps[rep_name],"Missing")</f>
        <v>Sales Rep 20</v>
      </c>
      <c r="R343" t="str">
        <f>_xlfn.XLOOKUP(D343,tblSalesReps[rep_id],tblSalesReps[region],"Missing")</f>
        <v>East</v>
      </c>
    </row>
    <row r="344" spans="1:18">
      <c r="A344" t="s">
        <v>625</v>
      </c>
      <c r="B344" t="s">
        <v>626</v>
      </c>
      <c r="C344" t="s">
        <v>62</v>
      </c>
      <c r="D344" t="s">
        <v>50</v>
      </c>
      <c r="E344" s="1">
        <v>45723</v>
      </c>
      <c r="F344" s="1">
        <v>45746</v>
      </c>
      <c r="G344" s="1">
        <v>45746</v>
      </c>
      <c r="H344" t="s">
        <v>17</v>
      </c>
      <c r="I344">
        <v>1</v>
      </c>
      <c r="J344">
        <v>20</v>
      </c>
      <c r="K344">
        <v>96000</v>
      </c>
      <c r="L344">
        <v>0</v>
      </c>
      <c r="M344" t="s">
        <v>33</v>
      </c>
      <c r="N344" t="str">
        <f>_xlfn.XLOOKUP(B344,tblCustomers[customer_id],tblCustomers[region],"Missing")</f>
        <v>West</v>
      </c>
      <c r="O344" t="str">
        <f>_xlfn.XLOOKUP(C344,tblProducts[product_id],tblProducts[product_name],"Missing")</f>
        <v>CRM Essentials</v>
      </c>
      <c r="P344" t="str">
        <f>_xlfn.XLOOKUP(C344,tblProducts[product_id],tblProducts[category],"Missing")</f>
        <v>CRM</v>
      </c>
      <c r="Q344" t="str">
        <f>_xlfn.XLOOKUP(D344,tblSalesReps[rep_id],tblSalesReps[rep_name],"Missing")</f>
        <v>Sales Rep 15</v>
      </c>
      <c r="R344" t="str">
        <f>_xlfn.XLOOKUP(D344,tblSalesReps[rep_id],tblSalesReps[region],"Missing")</f>
        <v>West</v>
      </c>
    </row>
    <row r="345" spans="1:18">
      <c r="A345" t="s">
        <v>627</v>
      </c>
      <c r="B345" t="s">
        <v>628</v>
      </c>
      <c r="C345" t="s">
        <v>26</v>
      </c>
      <c r="D345" t="s">
        <v>53</v>
      </c>
      <c r="E345" s="1">
        <v>45823</v>
      </c>
      <c r="F345" s="1">
        <v>45882</v>
      </c>
      <c r="G345" s="1">
        <v>45882</v>
      </c>
      <c r="H345" t="s">
        <v>17</v>
      </c>
      <c r="I345">
        <v>1</v>
      </c>
      <c r="J345">
        <v>0</v>
      </c>
      <c r="K345">
        <v>360000</v>
      </c>
      <c r="L345">
        <v>0</v>
      </c>
      <c r="M345" t="s">
        <v>82</v>
      </c>
      <c r="N345" t="str">
        <f>_xlfn.XLOOKUP(B345,tblCustomers[customer_id],tblCustomers[region],"Missing")</f>
        <v>East</v>
      </c>
      <c r="O345" t="str">
        <f>_xlfn.XLOOKUP(C345,tblProducts[product_id],tblProducts[product_name],"Missing")</f>
        <v>Security Suite</v>
      </c>
      <c r="P345" t="str">
        <f>_xlfn.XLOOKUP(C345,tblProducts[product_id],tblProducts[category],"Missing")</f>
        <v>Security</v>
      </c>
      <c r="Q345" t="str">
        <f>_xlfn.XLOOKUP(D345,tblSalesReps[rep_id],tblSalesReps[rep_name],"Missing")</f>
        <v>Sales Rep 16</v>
      </c>
      <c r="R345" t="str">
        <f>_xlfn.XLOOKUP(D345,tblSalesReps[rep_id],tblSalesReps[region],"Missing")</f>
        <v>East</v>
      </c>
    </row>
    <row r="346" spans="1:18">
      <c r="A346" t="s">
        <v>629</v>
      </c>
      <c r="B346" t="s">
        <v>630</v>
      </c>
      <c r="C346" t="s">
        <v>15</v>
      </c>
      <c r="D346" t="s">
        <v>91</v>
      </c>
      <c r="E346" s="1">
        <v>45699</v>
      </c>
      <c r="F346" s="1">
        <v>45709</v>
      </c>
      <c r="G346" s="1"/>
      <c r="H346" t="s">
        <v>43</v>
      </c>
      <c r="I346">
        <v>1</v>
      </c>
      <c r="J346">
        <v>15</v>
      </c>
      <c r="K346">
        <v>357000</v>
      </c>
      <c r="L346">
        <v>20</v>
      </c>
      <c r="M346" t="s">
        <v>29</v>
      </c>
      <c r="N346" t="str">
        <f>_xlfn.XLOOKUP(B346,tblCustomers[customer_id],tblCustomers[region],"Missing")</f>
        <v>South</v>
      </c>
      <c r="O346" t="str">
        <f>_xlfn.XLOOKUP(C346,tblProducts[product_id],tblProducts[product_name],"Missing")</f>
        <v>CRM Enterprise</v>
      </c>
      <c r="P346" t="str">
        <f>_xlfn.XLOOKUP(C346,tblProducts[product_id],tblProducts[category],"Missing")</f>
        <v>CRM</v>
      </c>
      <c r="Q346" t="str">
        <f>_xlfn.XLOOKUP(D346,tblSalesReps[rep_id],tblSalesReps[rep_name],"Missing")</f>
        <v>Sales Rep 03</v>
      </c>
      <c r="R346" t="str">
        <f>_xlfn.XLOOKUP(D346,tblSalesReps[rep_id],tblSalesReps[region],"Missing")</f>
        <v>South</v>
      </c>
    </row>
    <row r="347" spans="1:18">
      <c r="A347" t="s">
        <v>631</v>
      </c>
      <c r="B347" t="s">
        <v>435</v>
      </c>
      <c r="C347" t="s">
        <v>81</v>
      </c>
      <c r="D347" t="s">
        <v>46</v>
      </c>
      <c r="E347" s="1">
        <v>45961</v>
      </c>
      <c r="F347" s="1">
        <v>46010</v>
      </c>
      <c r="G347" s="1"/>
      <c r="H347" t="s">
        <v>43</v>
      </c>
      <c r="I347">
        <v>1</v>
      </c>
      <c r="J347">
        <v>5</v>
      </c>
      <c r="K347">
        <v>285000</v>
      </c>
      <c r="L347">
        <v>20</v>
      </c>
      <c r="M347" t="s">
        <v>29</v>
      </c>
      <c r="N347" t="str">
        <f>_xlfn.XLOOKUP(B347,tblCustomers[customer_id],tblCustomers[region],"Missing")</f>
        <v>South</v>
      </c>
      <c r="O347" t="str">
        <f>_xlfn.XLOOKUP(C347,tblProducts[product_id],tblProducts[product_name],"Missing")</f>
        <v>Analytics Cloud</v>
      </c>
      <c r="P347" t="str">
        <f>_xlfn.XLOOKUP(C347,tblProducts[product_id],tblProducts[category],"Missing")</f>
        <v>Analytics</v>
      </c>
      <c r="Q347" t="str">
        <f>_xlfn.XLOOKUP(D347,tblSalesReps[rep_id],tblSalesReps[rep_name],"Missing")</f>
        <v>Sales Rep 01</v>
      </c>
      <c r="R347" t="str">
        <f>_xlfn.XLOOKUP(D347,tblSalesReps[rep_id],tblSalesReps[region],"Missing")</f>
        <v>South</v>
      </c>
    </row>
    <row r="348" spans="1:18">
      <c r="A348" t="s">
        <v>632</v>
      </c>
      <c r="B348" t="s">
        <v>633</v>
      </c>
      <c r="C348" t="s">
        <v>62</v>
      </c>
      <c r="D348" t="s">
        <v>53</v>
      </c>
      <c r="E348" s="1">
        <v>45851</v>
      </c>
      <c r="F348" s="1">
        <v>45866</v>
      </c>
      <c r="G348" s="1">
        <v>45866</v>
      </c>
      <c r="H348" t="s">
        <v>28</v>
      </c>
      <c r="I348">
        <v>1</v>
      </c>
      <c r="J348">
        <v>0</v>
      </c>
      <c r="K348">
        <v>120000</v>
      </c>
      <c r="L348">
        <v>100</v>
      </c>
      <c r="M348" t="s">
        <v>29</v>
      </c>
      <c r="N348" t="str">
        <f>_xlfn.XLOOKUP(B348,tblCustomers[customer_id],tblCustomers[region],"Missing")</f>
        <v>East</v>
      </c>
      <c r="O348" t="str">
        <f>_xlfn.XLOOKUP(C348,tblProducts[product_id],tblProducts[product_name],"Missing")</f>
        <v>CRM Essentials</v>
      </c>
      <c r="P348" t="str">
        <f>_xlfn.XLOOKUP(C348,tblProducts[product_id],tblProducts[category],"Missing")</f>
        <v>CRM</v>
      </c>
      <c r="Q348" t="str">
        <f>_xlfn.XLOOKUP(D348,tblSalesReps[rep_id],tblSalesReps[rep_name],"Missing")</f>
        <v>Sales Rep 16</v>
      </c>
      <c r="R348" t="str">
        <f>_xlfn.XLOOKUP(D348,tblSalesReps[rep_id],tblSalesReps[region],"Missing")</f>
        <v>East</v>
      </c>
    </row>
    <row r="349" spans="1:18">
      <c r="A349" t="s">
        <v>634</v>
      </c>
      <c r="B349" t="s">
        <v>287</v>
      </c>
      <c r="C349" t="s">
        <v>62</v>
      </c>
      <c r="D349" t="s">
        <v>63</v>
      </c>
      <c r="E349" s="1">
        <v>45684</v>
      </c>
      <c r="F349" s="1">
        <v>45739</v>
      </c>
      <c r="G349" s="1">
        <v>45739</v>
      </c>
      <c r="H349" t="s">
        <v>28</v>
      </c>
      <c r="I349">
        <v>2</v>
      </c>
      <c r="J349">
        <v>0</v>
      </c>
      <c r="K349">
        <v>240000</v>
      </c>
      <c r="L349">
        <v>100</v>
      </c>
      <c r="M349" t="s">
        <v>29</v>
      </c>
      <c r="N349" t="str">
        <f>_xlfn.XLOOKUP(B349,tblCustomers[customer_id],tblCustomers[region],"Missing")</f>
        <v>South</v>
      </c>
      <c r="O349" t="str">
        <f>_xlfn.XLOOKUP(C349,tblProducts[product_id],tblProducts[product_name],"Missing")</f>
        <v>CRM Essentials</v>
      </c>
      <c r="P349" t="str">
        <f>_xlfn.XLOOKUP(C349,tblProducts[product_id],tblProducts[category],"Missing")</f>
        <v>CRM</v>
      </c>
      <c r="Q349" t="str">
        <f>_xlfn.XLOOKUP(D349,tblSalesReps[rep_id],tblSalesReps[rep_name],"Missing")</f>
        <v>Sales Rep 05</v>
      </c>
      <c r="R349" t="str">
        <f>_xlfn.XLOOKUP(D349,tblSalesReps[rep_id],tblSalesReps[region],"Missing")</f>
        <v>South</v>
      </c>
    </row>
    <row r="350" spans="1:18">
      <c r="A350" t="s">
        <v>635</v>
      </c>
      <c r="B350" t="s">
        <v>636</v>
      </c>
      <c r="C350" t="s">
        <v>39</v>
      </c>
      <c r="D350" t="s">
        <v>119</v>
      </c>
      <c r="E350" s="1">
        <v>45709</v>
      </c>
      <c r="F350" s="1">
        <v>45719</v>
      </c>
      <c r="G350" s="1">
        <v>45719</v>
      </c>
      <c r="H350" t="s">
        <v>28</v>
      </c>
      <c r="I350">
        <v>2</v>
      </c>
      <c r="J350">
        <v>20</v>
      </c>
      <c r="K350">
        <v>288000</v>
      </c>
      <c r="L350">
        <v>100</v>
      </c>
      <c r="M350" t="s">
        <v>29</v>
      </c>
      <c r="N350" t="str">
        <f>_xlfn.XLOOKUP(B350,tblCustomers[customer_id],tblCustomers[region],"Missing")</f>
        <v>North</v>
      </c>
      <c r="O350" t="str">
        <f>_xlfn.XLOOKUP(C350,tblProducts[product_id],tblProducts[product_name],"Missing")</f>
        <v>Support Desk</v>
      </c>
      <c r="P350" t="str">
        <f>_xlfn.XLOOKUP(C350,tblProducts[product_id],tblProducts[category],"Missing")</f>
        <v>Service</v>
      </c>
      <c r="Q350" t="str">
        <f>_xlfn.XLOOKUP(D350,tblSalesReps[rep_id],tblSalesReps[rep_name],"Missing")</f>
        <v>Sales Rep 10</v>
      </c>
      <c r="R350" t="str">
        <f>_xlfn.XLOOKUP(D350,tblSalesReps[rep_id],tblSalesReps[region],"Missing")</f>
        <v>North</v>
      </c>
    </row>
    <row r="351" spans="1:18">
      <c r="A351" t="s">
        <v>637</v>
      </c>
      <c r="B351" t="s">
        <v>348</v>
      </c>
      <c r="C351" t="s">
        <v>39</v>
      </c>
      <c r="D351" t="s">
        <v>152</v>
      </c>
      <c r="E351" s="1">
        <v>45839</v>
      </c>
      <c r="F351" s="1">
        <v>45902</v>
      </c>
      <c r="G351" s="1">
        <v>45902</v>
      </c>
      <c r="H351" t="s">
        <v>17</v>
      </c>
      <c r="I351">
        <v>1</v>
      </c>
      <c r="J351">
        <v>5</v>
      </c>
      <c r="K351">
        <v>171000</v>
      </c>
      <c r="L351">
        <v>0</v>
      </c>
      <c r="M351" t="s">
        <v>23</v>
      </c>
      <c r="N351" t="str">
        <f>_xlfn.XLOOKUP(B351,tblCustomers[customer_id],tblCustomers[region],"Missing")</f>
        <v>East</v>
      </c>
      <c r="O351" t="str">
        <f>_xlfn.XLOOKUP(C351,tblProducts[product_id],tblProducts[product_name],"Missing")</f>
        <v>Support Desk</v>
      </c>
      <c r="P351" t="str">
        <f>_xlfn.XLOOKUP(C351,tblProducts[product_id],tblProducts[category],"Missing")</f>
        <v>Service</v>
      </c>
      <c r="Q351" t="str">
        <f>_xlfn.XLOOKUP(D351,tblSalesReps[rep_id],tblSalesReps[rep_name],"Missing")</f>
        <v>Sales Rep 18</v>
      </c>
      <c r="R351" t="str">
        <f>_xlfn.XLOOKUP(D351,tblSalesReps[rep_id],tblSalesReps[region],"Missing")</f>
        <v>East</v>
      </c>
    </row>
    <row r="352" spans="1:18">
      <c r="A352" t="s">
        <v>638</v>
      </c>
      <c r="B352" t="s">
        <v>639</v>
      </c>
      <c r="C352" t="s">
        <v>21</v>
      </c>
      <c r="D352" t="s">
        <v>40</v>
      </c>
      <c r="E352" s="1">
        <v>45956</v>
      </c>
      <c r="F352" s="1">
        <v>45981</v>
      </c>
      <c r="G352" s="1"/>
      <c r="H352" t="s">
        <v>43</v>
      </c>
      <c r="I352">
        <v>1</v>
      </c>
      <c r="J352">
        <v>15</v>
      </c>
      <c r="K352">
        <v>204000</v>
      </c>
      <c r="L352">
        <v>60</v>
      </c>
      <c r="M352" t="s">
        <v>29</v>
      </c>
      <c r="N352" t="str">
        <f>_xlfn.XLOOKUP(B352,tblCustomers[customer_id],tblCustomers[region],"Missing")</f>
        <v>West</v>
      </c>
      <c r="O352" t="str">
        <f>_xlfn.XLOOKUP(C352,tblProducts[product_id],tblProducts[product_name],"Missing")</f>
        <v>Workflow Automate</v>
      </c>
      <c r="P352" t="str">
        <f>_xlfn.XLOOKUP(C352,tblProducts[product_id],tblProducts[category],"Missing")</f>
        <v>Automation</v>
      </c>
      <c r="Q352" t="str">
        <f>_xlfn.XLOOKUP(D352,tblSalesReps[rep_id],tblSalesReps[rep_name],"Missing")</f>
        <v>Sales Rep 13</v>
      </c>
      <c r="R352" t="str">
        <f>_xlfn.XLOOKUP(D352,tblSalesReps[rep_id],tblSalesReps[region],"Missing")</f>
        <v>West</v>
      </c>
    </row>
    <row r="353" spans="1:18">
      <c r="A353" t="s">
        <v>640</v>
      </c>
      <c r="B353" t="s">
        <v>423</v>
      </c>
      <c r="C353" t="s">
        <v>62</v>
      </c>
      <c r="D353" t="s">
        <v>22</v>
      </c>
      <c r="E353" s="1">
        <v>45834</v>
      </c>
      <c r="F353" s="1">
        <v>45866</v>
      </c>
      <c r="G353" s="1">
        <v>45866</v>
      </c>
      <c r="H353" t="s">
        <v>28</v>
      </c>
      <c r="I353">
        <v>1</v>
      </c>
      <c r="J353">
        <v>0</v>
      </c>
      <c r="K353">
        <v>120000</v>
      </c>
      <c r="L353">
        <v>100</v>
      </c>
      <c r="M353" t="s">
        <v>29</v>
      </c>
      <c r="N353" t="str">
        <f>_xlfn.XLOOKUP(B353,tblCustomers[customer_id],tblCustomers[region],"Missing")</f>
        <v>West</v>
      </c>
      <c r="O353" t="str">
        <f>_xlfn.XLOOKUP(C353,tblProducts[product_id],tblProducts[product_name],"Missing")</f>
        <v>CRM Essentials</v>
      </c>
      <c r="P353" t="str">
        <f>_xlfn.XLOOKUP(C353,tblProducts[product_id],tblProducts[category],"Missing")</f>
        <v>CRM</v>
      </c>
      <c r="Q353" t="str">
        <f>_xlfn.XLOOKUP(D353,tblSalesReps[rep_id],tblSalesReps[rep_name],"Missing")</f>
        <v>Sales Rep 14</v>
      </c>
      <c r="R353" t="str">
        <f>_xlfn.XLOOKUP(D353,tblSalesReps[rep_id],tblSalesReps[region],"Missing")</f>
        <v>West</v>
      </c>
    </row>
    <row r="354" spans="1:18">
      <c r="A354" t="s">
        <v>641</v>
      </c>
      <c r="B354" t="s">
        <v>72</v>
      </c>
      <c r="C354" t="s">
        <v>21</v>
      </c>
      <c r="D354" t="s">
        <v>126</v>
      </c>
      <c r="E354" s="1">
        <v>45711</v>
      </c>
      <c r="F354" s="1">
        <v>45723</v>
      </c>
      <c r="G354" s="1">
        <v>45723</v>
      </c>
      <c r="H354" t="s">
        <v>17</v>
      </c>
      <c r="I354">
        <v>2</v>
      </c>
      <c r="J354">
        <v>5</v>
      </c>
      <c r="K354">
        <v>456000</v>
      </c>
      <c r="L354">
        <v>0</v>
      </c>
      <c r="M354" t="s">
        <v>47</v>
      </c>
      <c r="N354" t="str">
        <f>_xlfn.XLOOKUP(B354,tblCustomers[customer_id],tblCustomers[region],"Missing")</f>
        <v>South</v>
      </c>
      <c r="O354" t="str">
        <f>_xlfn.XLOOKUP(C354,tblProducts[product_id],tblProducts[product_name],"Missing")</f>
        <v>Workflow Automate</v>
      </c>
      <c r="P354" t="str">
        <f>_xlfn.XLOOKUP(C354,tblProducts[product_id],tblProducts[category],"Missing")</f>
        <v>Automation</v>
      </c>
      <c r="Q354" t="str">
        <f>_xlfn.XLOOKUP(D354,tblSalesReps[rep_id],tblSalesReps[rep_name],"Missing")</f>
        <v>Sales Rep 02</v>
      </c>
      <c r="R354" t="str">
        <f>_xlfn.XLOOKUP(D354,tblSalesReps[rep_id],tblSalesReps[region],"Missing")</f>
        <v>South</v>
      </c>
    </row>
    <row r="355" spans="1:18">
      <c r="A355" t="s">
        <v>642</v>
      </c>
      <c r="B355" t="s">
        <v>481</v>
      </c>
      <c r="C355" t="s">
        <v>15</v>
      </c>
      <c r="D355" t="s">
        <v>32</v>
      </c>
      <c r="E355" s="1">
        <v>45752</v>
      </c>
      <c r="F355" s="1">
        <v>45759</v>
      </c>
      <c r="G355" s="1"/>
      <c r="H355" t="s">
        <v>43</v>
      </c>
      <c r="I355">
        <v>1</v>
      </c>
      <c r="J355">
        <v>0</v>
      </c>
      <c r="K355">
        <v>420000</v>
      </c>
      <c r="L355">
        <v>20</v>
      </c>
      <c r="M355" t="s">
        <v>29</v>
      </c>
      <c r="N355" t="str">
        <f>_xlfn.XLOOKUP(B355,tblCustomers[customer_id],tblCustomers[region],"Missing")</f>
        <v>South</v>
      </c>
      <c r="O355" t="str">
        <f>_xlfn.XLOOKUP(C355,tblProducts[product_id],tblProducts[product_name],"Missing")</f>
        <v>CRM Enterprise</v>
      </c>
      <c r="P355" t="str">
        <f>_xlfn.XLOOKUP(C355,tblProducts[product_id],tblProducts[category],"Missing")</f>
        <v>CRM</v>
      </c>
      <c r="Q355" t="str">
        <f>_xlfn.XLOOKUP(D355,tblSalesReps[rep_id],tblSalesReps[rep_name],"Missing")</f>
        <v>Sales Rep 04</v>
      </c>
      <c r="R355" t="str">
        <f>_xlfn.XLOOKUP(D355,tblSalesReps[rep_id],tblSalesReps[region],"Missing")</f>
        <v>South</v>
      </c>
    </row>
    <row r="356" spans="1:18">
      <c r="A356" t="s">
        <v>643</v>
      </c>
      <c r="B356" t="s">
        <v>644</v>
      </c>
      <c r="C356" t="s">
        <v>21</v>
      </c>
      <c r="D356" t="s">
        <v>78</v>
      </c>
      <c r="E356" s="1">
        <v>45770</v>
      </c>
      <c r="F356" s="1">
        <v>45799</v>
      </c>
      <c r="G356" s="1"/>
      <c r="H356" t="s">
        <v>43</v>
      </c>
      <c r="I356">
        <v>1</v>
      </c>
      <c r="J356">
        <v>20</v>
      </c>
      <c r="K356">
        <v>192000</v>
      </c>
      <c r="L356">
        <v>40</v>
      </c>
      <c r="M356" t="s">
        <v>29</v>
      </c>
      <c r="N356" t="str">
        <f>_xlfn.XLOOKUP(B356,tblCustomers[customer_id],tblCustomers[region],"Missing")</f>
        <v>West</v>
      </c>
      <c r="O356" t="str">
        <f>_xlfn.XLOOKUP(C356,tblProducts[product_id],tblProducts[product_name],"Missing")</f>
        <v>Workflow Automate</v>
      </c>
      <c r="P356" t="str">
        <f>_xlfn.XLOOKUP(C356,tblProducts[product_id],tblProducts[category],"Missing")</f>
        <v>Automation</v>
      </c>
      <c r="Q356" t="str">
        <f>_xlfn.XLOOKUP(D356,tblSalesReps[rep_id],tblSalesReps[rep_name],"Missing")</f>
        <v>Sales Rep 12</v>
      </c>
      <c r="R356" t="str">
        <f>_xlfn.XLOOKUP(D356,tblSalesReps[rep_id],tblSalesReps[region],"Missing")</f>
        <v>West</v>
      </c>
    </row>
    <row r="357" spans="1:18">
      <c r="A357" t="s">
        <v>645</v>
      </c>
      <c r="B357" t="s">
        <v>458</v>
      </c>
      <c r="C357" t="s">
        <v>62</v>
      </c>
      <c r="D357" t="s">
        <v>16</v>
      </c>
      <c r="E357" s="1">
        <v>45765</v>
      </c>
      <c r="F357" s="1">
        <v>45802</v>
      </c>
      <c r="G357" s="1">
        <v>45802</v>
      </c>
      <c r="H357" t="s">
        <v>28</v>
      </c>
      <c r="I357">
        <v>1</v>
      </c>
      <c r="J357">
        <v>10</v>
      </c>
      <c r="K357">
        <v>108000</v>
      </c>
      <c r="L357">
        <v>100</v>
      </c>
      <c r="M357" t="s">
        <v>29</v>
      </c>
      <c r="N357" t="str">
        <f>_xlfn.XLOOKUP(B357,tblCustomers[customer_id],tblCustomers[region],"Missing")</f>
        <v>North</v>
      </c>
      <c r="O357" t="str">
        <f>_xlfn.XLOOKUP(C357,tblProducts[product_id],tblProducts[product_name],"Missing")</f>
        <v>CRM Essentials</v>
      </c>
      <c r="P357" t="str">
        <f>_xlfn.XLOOKUP(C357,tblProducts[product_id],tblProducts[category],"Missing")</f>
        <v>CRM</v>
      </c>
      <c r="Q357" t="str">
        <f>_xlfn.XLOOKUP(D357,tblSalesReps[rep_id],tblSalesReps[rep_name],"Missing")</f>
        <v>Sales Rep 08</v>
      </c>
      <c r="R357" t="str">
        <f>_xlfn.XLOOKUP(D357,tblSalesReps[rep_id],tblSalesReps[region],"Missing")</f>
        <v>North</v>
      </c>
    </row>
    <row r="358" spans="1:18">
      <c r="A358" t="s">
        <v>646</v>
      </c>
      <c r="B358" t="s">
        <v>149</v>
      </c>
      <c r="C358" t="s">
        <v>39</v>
      </c>
      <c r="D358" t="s">
        <v>119</v>
      </c>
      <c r="E358" s="1">
        <v>45754</v>
      </c>
      <c r="F358" s="1">
        <v>45798</v>
      </c>
      <c r="G358" s="1"/>
      <c r="H358" t="s">
        <v>43</v>
      </c>
      <c r="I358">
        <v>1</v>
      </c>
      <c r="J358">
        <v>10</v>
      </c>
      <c r="K358">
        <v>162000</v>
      </c>
      <c r="L358">
        <v>40</v>
      </c>
      <c r="M358" t="s">
        <v>29</v>
      </c>
      <c r="N358" t="str">
        <f>_xlfn.XLOOKUP(B358,tblCustomers[customer_id],tblCustomers[region],"Missing")</f>
        <v>North</v>
      </c>
      <c r="O358" t="str">
        <f>_xlfn.XLOOKUP(C358,tblProducts[product_id],tblProducts[product_name],"Missing")</f>
        <v>Support Desk</v>
      </c>
      <c r="P358" t="str">
        <f>_xlfn.XLOOKUP(C358,tblProducts[product_id],tblProducts[category],"Missing")</f>
        <v>Service</v>
      </c>
      <c r="Q358" t="str">
        <f>_xlfn.XLOOKUP(D358,tblSalesReps[rep_id],tblSalesReps[rep_name],"Missing")</f>
        <v>Sales Rep 10</v>
      </c>
      <c r="R358" t="str">
        <f>_xlfn.XLOOKUP(D358,tblSalesReps[rep_id],tblSalesReps[region],"Missing")</f>
        <v>North</v>
      </c>
    </row>
    <row r="359" spans="1:18">
      <c r="A359" t="s">
        <v>647</v>
      </c>
      <c r="B359" t="s">
        <v>116</v>
      </c>
      <c r="C359" t="s">
        <v>26</v>
      </c>
      <c r="D359" t="s">
        <v>46</v>
      </c>
      <c r="E359" s="1">
        <v>45898</v>
      </c>
      <c r="F359" s="1">
        <v>45983</v>
      </c>
      <c r="G359" s="1"/>
      <c r="H359" t="s">
        <v>43</v>
      </c>
      <c r="I359">
        <v>1</v>
      </c>
      <c r="J359">
        <v>5</v>
      </c>
      <c r="K359">
        <v>342000</v>
      </c>
      <c r="L359">
        <v>80</v>
      </c>
      <c r="M359" t="s">
        <v>29</v>
      </c>
      <c r="N359" t="str">
        <f>_xlfn.XLOOKUP(B359,tblCustomers[customer_id],tblCustomers[region],"Missing")</f>
        <v>South</v>
      </c>
      <c r="O359" t="str">
        <f>_xlfn.XLOOKUP(C359,tblProducts[product_id],tblProducts[product_name],"Missing")</f>
        <v>Security Suite</v>
      </c>
      <c r="P359" t="str">
        <f>_xlfn.XLOOKUP(C359,tblProducts[product_id],tblProducts[category],"Missing")</f>
        <v>Security</v>
      </c>
      <c r="Q359" t="str">
        <f>_xlfn.XLOOKUP(D359,tblSalesReps[rep_id],tblSalesReps[rep_name],"Missing")</f>
        <v>Sales Rep 01</v>
      </c>
      <c r="R359" t="str">
        <f>_xlfn.XLOOKUP(D359,tblSalesReps[rep_id],tblSalesReps[region],"Missing")</f>
        <v>South</v>
      </c>
    </row>
    <row r="360" spans="1:18">
      <c r="A360" t="s">
        <v>648</v>
      </c>
      <c r="B360" t="s">
        <v>110</v>
      </c>
      <c r="C360" t="s">
        <v>39</v>
      </c>
      <c r="D360" t="s">
        <v>36</v>
      </c>
      <c r="E360" s="1">
        <v>45984</v>
      </c>
      <c r="F360" s="1">
        <v>46065</v>
      </c>
      <c r="G360" s="1"/>
      <c r="H360" t="s">
        <v>43</v>
      </c>
      <c r="I360">
        <v>1</v>
      </c>
      <c r="J360">
        <v>5</v>
      </c>
      <c r="K360">
        <v>171000</v>
      </c>
      <c r="L360">
        <v>40</v>
      </c>
      <c r="M360" t="s">
        <v>29</v>
      </c>
      <c r="N360" t="str">
        <f>_xlfn.XLOOKUP(B360,tblCustomers[customer_id],tblCustomers[region],"Missing")</f>
        <v>North</v>
      </c>
      <c r="O360" t="str">
        <f>_xlfn.XLOOKUP(C360,tblProducts[product_id],tblProducts[product_name],"Missing")</f>
        <v>Support Desk</v>
      </c>
      <c r="P360" t="str">
        <f>_xlfn.XLOOKUP(C360,tblProducts[product_id],tblProducts[category],"Missing")</f>
        <v>Service</v>
      </c>
      <c r="Q360" t="str">
        <f>_xlfn.XLOOKUP(D360,tblSalesReps[rep_id],tblSalesReps[rep_name],"Missing")</f>
        <v>Sales Rep 09</v>
      </c>
      <c r="R360" t="str">
        <f>_xlfn.XLOOKUP(D360,tblSalesReps[rep_id],tblSalesReps[region],"Missing")</f>
        <v>North</v>
      </c>
    </row>
    <row r="361" spans="1:18">
      <c r="A361" t="s">
        <v>649</v>
      </c>
      <c r="B361" t="s">
        <v>67</v>
      </c>
      <c r="C361" t="s">
        <v>21</v>
      </c>
      <c r="D361" t="s">
        <v>91</v>
      </c>
      <c r="E361" s="1">
        <v>45939</v>
      </c>
      <c r="F361" s="1">
        <v>45956</v>
      </c>
      <c r="G361" s="1">
        <v>45956</v>
      </c>
      <c r="H361" t="s">
        <v>28</v>
      </c>
      <c r="I361">
        <v>1</v>
      </c>
      <c r="J361">
        <v>15</v>
      </c>
      <c r="K361">
        <v>204000</v>
      </c>
      <c r="L361">
        <v>100</v>
      </c>
      <c r="M361" t="s">
        <v>29</v>
      </c>
      <c r="N361" t="str">
        <f>_xlfn.XLOOKUP(B361,tblCustomers[customer_id],tblCustomers[region],"Missing")</f>
        <v>South</v>
      </c>
      <c r="O361" t="str">
        <f>_xlfn.XLOOKUP(C361,tblProducts[product_id],tblProducts[product_name],"Missing")</f>
        <v>Workflow Automate</v>
      </c>
      <c r="P361" t="str">
        <f>_xlfn.XLOOKUP(C361,tblProducts[product_id],tblProducts[category],"Missing")</f>
        <v>Automation</v>
      </c>
      <c r="Q361" t="str">
        <f>_xlfn.XLOOKUP(D361,tblSalesReps[rep_id],tblSalesReps[rep_name],"Missing")</f>
        <v>Sales Rep 03</v>
      </c>
      <c r="R361" t="str">
        <f>_xlfn.XLOOKUP(D361,tblSalesReps[rep_id],tblSalesReps[region],"Missing")</f>
        <v>South</v>
      </c>
    </row>
    <row r="362" spans="1:18">
      <c r="A362" t="s">
        <v>650</v>
      </c>
      <c r="B362" t="s">
        <v>651</v>
      </c>
      <c r="C362" t="s">
        <v>81</v>
      </c>
      <c r="D362" t="s">
        <v>40</v>
      </c>
      <c r="E362" s="1">
        <v>45797</v>
      </c>
      <c r="F362" s="1">
        <v>45826</v>
      </c>
      <c r="G362" s="1">
        <v>45826</v>
      </c>
      <c r="H362" t="s">
        <v>17</v>
      </c>
      <c r="I362">
        <v>2</v>
      </c>
      <c r="J362">
        <v>5</v>
      </c>
      <c r="K362">
        <v>570000</v>
      </c>
      <c r="L362">
        <v>0</v>
      </c>
      <c r="M362" t="s">
        <v>23</v>
      </c>
      <c r="N362" t="str">
        <f>_xlfn.XLOOKUP(B362,tblCustomers[customer_id],tblCustomers[region],"Missing")</f>
        <v>West</v>
      </c>
      <c r="O362" t="str">
        <f>_xlfn.XLOOKUP(C362,tblProducts[product_id],tblProducts[product_name],"Missing")</f>
        <v>Analytics Cloud</v>
      </c>
      <c r="P362" t="str">
        <f>_xlfn.XLOOKUP(C362,tblProducts[product_id],tblProducts[category],"Missing")</f>
        <v>Analytics</v>
      </c>
      <c r="Q362" t="str">
        <f>_xlfn.XLOOKUP(D362,tblSalesReps[rep_id],tblSalesReps[rep_name],"Missing")</f>
        <v>Sales Rep 13</v>
      </c>
      <c r="R362" t="str">
        <f>_xlfn.XLOOKUP(D362,tblSalesReps[rep_id],tblSalesReps[region],"Missing")</f>
        <v>West</v>
      </c>
    </row>
    <row r="363" spans="1:18">
      <c r="A363" t="s">
        <v>652</v>
      </c>
      <c r="B363" t="s">
        <v>653</v>
      </c>
      <c r="C363" t="s">
        <v>62</v>
      </c>
      <c r="D363" t="s">
        <v>152</v>
      </c>
      <c r="E363" s="1">
        <v>45677</v>
      </c>
      <c r="F363" s="1">
        <v>45726</v>
      </c>
      <c r="G363" s="1">
        <v>45726</v>
      </c>
      <c r="H363" t="s">
        <v>17</v>
      </c>
      <c r="I363">
        <v>1</v>
      </c>
      <c r="J363">
        <v>10</v>
      </c>
      <c r="K363">
        <v>108000</v>
      </c>
      <c r="L363">
        <v>0</v>
      </c>
      <c r="M363" t="s">
        <v>18</v>
      </c>
      <c r="N363" t="str">
        <f>_xlfn.XLOOKUP(B363,tblCustomers[customer_id],tblCustomers[region],"Missing")</f>
        <v>East</v>
      </c>
      <c r="O363" t="str">
        <f>_xlfn.XLOOKUP(C363,tblProducts[product_id],tblProducts[product_name],"Missing")</f>
        <v>CRM Essentials</v>
      </c>
      <c r="P363" t="str">
        <f>_xlfn.XLOOKUP(C363,tblProducts[product_id],tblProducts[category],"Missing")</f>
        <v>CRM</v>
      </c>
      <c r="Q363" t="str">
        <f>_xlfn.XLOOKUP(D363,tblSalesReps[rep_id],tblSalesReps[rep_name],"Missing")</f>
        <v>Sales Rep 18</v>
      </c>
      <c r="R363" t="str">
        <f>_xlfn.XLOOKUP(D363,tblSalesReps[rep_id],tblSalesReps[region],"Missing")</f>
        <v>East</v>
      </c>
    </row>
    <row r="364" spans="1:18">
      <c r="A364" t="s">
        <v>654</v>
      </c>
      <c r="B364" t="s">
        <v>189</v>
      </c>
      <c r="C364" t="s">
        <v>39</v>
      </c>
      <c r="D364" t="s">
        <v>70</v>
      </c>
      <c r="E364" s="1">
        <v>45899</v>
      </c>
      <c r="F364" s="1">
        <v>45925</v>
      </c>
      <c r="G364" s="1">
        <v>45925</v>
      </c>
      <c r="H364" t="s">
        <v>17</v>
      </c>
      <c r="I364">
        <v>2</v>
      </c>
      <c r="J364">
        <v>5</v>
      </c>
      <c r="K364">
        <v>342000</v>
      </c>
      <c r="L364">
        <v>0</v>
      </c>
      <c r="M364" t="s">
        <v>47</v>
      </c>
      <c r="N364" t="str">
        <f>_xlfn.XLOOKUP(B364,tblCustomers[customer_id],tblCustomers[region],"Missing")</f>
        <v>West</v>
      </c>
      <c r="O364" t="str">
        <f>_xlfn.XLOOKUP(C364,tblProducts[product_id],tblProducts[product_name],"Missing")</f>
        <v>Support Desk</v>
      </c>
      <c r="P364" t="str">
        <f>_xlfn.XLOOKUP(C364,tblProducts[product_id],tblProducts[category],"Missing")</f>
        <v>Service</v>
      </c>
      <c r="Q364" t="str">
        <f>_xlfn.XLOOKUP(D364,tblSalesReps[rep_id],tblSalesReps[rep_name],"Missing")</f>
        <v>Sales Rep 11</v>
      </c>
      <c r="R364" t="str">
        <f>_xlfn.XLOOKUP(D364,tblSalesReps[rep_id],tblSalesReps[region],"Missing")</f>
        <v>West</v>
      </c>
    </row>
    <row r="365" spans="1:18">
      <c r="A365" t="s">
        <v>655</v>
      </c>
      <c r="B365" t="s">
        <v>656</v>
      </c>
      <c r="C365" t="s">
        <v>15</v>
      </c>
      <c r="D365" t="s">
        <v>32</v>
      </c>
      <c r="E365" s="1">
        <v>45888</v>
      </c>
      <c r="F365" s="1">
        <v>45898</v>
      </c>
      <c r="G365" s="1"/>
      <c r="H365" t="s">
        <v>43</v>
      </c>
      <c r="I365">
        <v>1</v>
      </c>
      <c r="J365">
        <v>5</v>
      </c>
      <c r="K365">
        <v>399000</v>
      </c>
      <c r="L365">
        <v>40</v>
      </c>
      <c r="M365" t="s">
        <v>29</v>
      </c>
      <c r="N365" t="str">
        <f>_xlfn.XLOOKUP(B365,tblCustomers[customer_id],tblCustomers[region],"Missing")</f>
        <v>South</v>
      </c>
      <c r="O365" t="str">
        <f>_xlfn.XLOOKUP(C365,tblProducts[product_id],tblProducts[product_name],"Missing")</f>
        <v>CRM Enterprise</v>
      </c>
      <c r="P365" t="str">
        <f>_xlfn.XLOOKUP(C365,tblProducts[product_id],tblProducts[category],"Missing")</f>
        <v>CRM</v>
      </c>
      <c r="Q365" t="str">
        <f>_xlfn.XLOOKUP(D365,tblSalesReps[rep_id],tblSalesReps[rep_name],"Missing")</f>
        <v>Sales Rep 04</v>
      </c>
      <c r="R365" t="str">
        <f>_xlfn.XLOOKUP(D365,tblSalesReps[rep_id],tblSalesReps[region],"Missing")</f>
        <v>South</v>
      </c>
    </row>
    <row r="366" spans="1:18">
      <c r="A366" t="s">
        <v>657</v>
      </c>
      <c r="B366" t="s">
        <v>439</v>
      </c>
      <c r="C366" t="s">
        <v>39</v>
      </c>
      <c r="D366" t="s">
        <v>70</v>
      </c>
      <c r="E366" s="1">
        <v>45948</v>
      </c>
      <c r="F366" s="1">
        <v>45972</v>
      </c>
      <c r="G366" s="1"/>
      <c r="H366" t="s">
        <v>43</v>
      </c>
      <c r="I366">
        <v>1</v>
      </c>
      <c r="J366">
        <v>10</v>
      </c>
      <c r="K366">
        <v>162000</v>
      </c>
      <c r="L366">
        <v>80</v>
      </c>
      <c r="M366" t="s">
        <v>29</v>
      </c>
      <c r="N366" t="str">
        <f>_xlfn.XLOOKUP(B366,tblCustomers[customer_id],tblCustomers[region],"Missing")</f>
        <v>West</v>
      </c>
      <c r="O366" t="str">
        <f>_xlfn.XLOOKUP(C366,tblProducts[product_id],tblProducts[product_name],"Missing")</f>
        <v>Support Desk</v>
      </c>
      <c r="P366" t="str">
        <f>_xlfn.XLOOKUP(C366,tblProducts[product_id],tblProducts[category],"Missing")</f>
        <v>Service</v>
      </c>
      <c r="Q366" t="str">
        <f>_xlfn.XLOOKUP(D366,tblSalesReps[rep_id],tblSalesReps[rep_name],"Missing")</f>
        <v>Sales Rep 11</v>
      </c>
      <c r="R366" t="str">
        <f>_xlfn.XLOOKUP(D366,tblSalesReps[rep_id],tblSalesReps[region],"Missing")</f>
        <v>West</v>
      </c>
    </row>
    <row r="367" spans="1:18">
      <c r="A367" t="s">
        <v>658</v>
      </c>
      <c r="B367" t="s">
        <v>460</v>
      </c>
      <c r="C367" t="s">
        <v>26</v>
      </c>
      <c r="D367" t="s">
        <v>119</v>
      </c>
      <c r="E367" s="1">
        <v>45748</v>
      </c>
      <c r="F367" s="1">
        <v>45832</v>
      </c>
      <c r="G367" s="1">
        <v>45832</v>
      </c>
      <c r="H367" t="s">
        <v>28</v>
      </c>
      <c r="I367">
        <v>2</v>
      </c>
      <c r="J367">
        <v>0</v>
      </c>
      <c r="K367">
        <v>720000</v>
      </c>
      <c r="L367">
        <v>100</v>
      </c>
      <c r="M367" t="s">
        <v>29</v>
      </c>
      <c r="N367" t="str">
        <f>_xlfn.XLOOKUP(B367,tblCustomers[customer_id],tblCustomers[region],"Missing")</f>
        <v>North</v>
      </c>
      <c r="O367" t="str">
        <f>_xlfn.XLOOKUP(C367,tblProducts[product_id],tblProducts[product_name],"Missing")</f>
        <v>Security Suite</v>
      </c>
      <c r="P367" t="str">
        <f>_xlfn.XLOOKUP(C367,tblProducts[product_id],tblProducts[category],"Missing")</f>
        <v>Security</v>
      </c>
      <c r="Q367" t="str">
        <f>_xlfn.XLOOKUP(D367,tblSalesReps[rep_id],tblSalesReps[rep_name],"Missing")</f>
        <v>Sales Rep 10</v>
      </c>
      <c r="R367" t="str">
        <f>_xlfn.XLOOKUP(D367,tblSalesReps[rep_id],tblSalesReps[region],"Missing")</f>
        <v>North</v>
      </c>
    </row>
    <row r="368" spans="1:18">
      <c r="A368" t="s">
        <v>659</v>
      </c>
      <c r="B368" t="s">
        <v>660</v>
      </c>
      <c r="C368" t="s">
        <v>62</v>
      </c>
      <c r="D368" t="s">
        <v>16</v>
      </c>
      <c r="E368" s="1">
        <v>45923</v>
      </c>
      <c r="F368" s="1">
        <v>45971</v>
      </c>
      <c r="G368" s="1">
        <v>45971</v>
      </c>
      <c r="H368" t="s">
        <v>28</v>
      </c>
      <c r="I368">
        <v>2</v>
      </c>
      <c r="J368">
        <v>15</v>
      </c>
      <c r="K368">
        <v>204000</v>
      </c>
      <c r="L368">
        <v>100</v>
      </c>
      <c r="M368" t="s">
        <v>29</v>
      </c>
      <c r="N368" t="str">
        <f>_xlfn.XLOOKUP(B368,tblCustomers[customer_id],tblCustomers[region],"Missing")</f>
        <v>North</v>
      </c>
      <c r="O368" t="str">
        <f>_xlfn.XLOOKUP(C368,tblProducts[product_id],tblProducts[product_name],"Missing")</f>
        <v>CRM Essentials</v>
      </c>
      <c r="P368" t="str">
        <f>_xlfn.XLOOKUP(C368,tblProducts[product_id],tblProducts[category],"Missing")</f>
        <v>CRM</v>
      </c>
      <c r="Q368" t="str">
        <f>_xlfn.XLOOKUP(D368,tblSalesReps[rep_id],tblSalesReps[rep_name],"Missing")</f>
        <v>Sales Rep 08</v>
      </c>
      <c r="R368" t="str">
        <f>_xlfn.XLOOKUP(D368,tblSalesReps[rep_id],tblSalesReps[region],"Missing")</f>
        <v>North</v>
      </c>
    </row>
    <row r="369" spans="1:18">
      <c r="A369" t="s">
        <v>661</v>
      </c>
      <c r="B369" t="s">
        <v>662</v>
      </c>
      <c r="C369" t="s">
        <v>15</v>
      </c>
      <c r="D369" t="s">
        <v>126</v>
      </c>
      <c r="E369" s="1">
        <v>45763</v>
      </c>
      <c r="F369" s="1">
        <v>45830</v>
      </c>
      <c r="G369" s="1">
        <v>45830</v>
      </c>
      <c r="H369" t="s">
        <v>28</v>
      </c>
      <c r="I369">
        <v>1</v>
      </c>
      <c r="J369">
        <v>20</v>
      </c>
      <c r="K369">
        <v>336000</v>
      </c>
      <c r="L369">
        <v>100</v>
      </c>
      <c r="M369" t="s">
        <v>29</v>
      </c>
      <c r="N369" t="str">
        <f>_xlfn.XLOOKUP(B369,tblCustomers[customer_id],tblCustomers[region],"Missing")</f>
        <v>South</v>
      </c>
      <c r="O369" t="str">
        <f>_xlfn.XLOOKUP(C369,tblProducts[product_id],tblProducts[product_name],"Missing")</f>
        <v>CRM Enterprise</v>
      </c>
      <c r="P369" t="str">
        <f>_xlfn.XLOOKUP(C369,tblProducts[product_id],tblProducts[category],"Missing")</f>
        <v>CRM</v>
      </c>
      <c r="Q369" t="str">
        <f>_xlfn.XLOOKUP(D369,tblSalesReps[rep_id],tblSalesReps[rep_name],"Missing")</f>
        <v>Sales Rep 02</v>
      </c>
      <c r="R369" t="str">
        <f>_xlfn.XLOOKUP(D369,tblSalesReps[rep_id],tblSalesReps[region],"Missing")</f>
        <v>South</v>
      </c>
    </row>
    <row r="370" spans="1:18">
      <c r="A370" t="s">
        <v>663</v>
      </c>
      <c r="B370" t="s">
        <v>664</v>
      </c>
      <c r="C370" t="s">
        <v>15</v>
      </c>
      <c r="D370" t="s">
        <v>63</v>
      </c>
      <c r="E370" s="1">
        <v>45826</v>
      </c>
      <c r="F370" s="1">
        <v>45895</v>
      </c>
      <c r="G370" s="1"/>
      <c r="H370" t="s">
        <v>43</v>
      </c>
      <c r="I370">
        <v>2</v>
      </c>
      <c r="J370">
        <v>15</v>
      </c>
      <c r="K370">
        <v>714000</v>
      </c>
      <c r="L370">
        <v>20</v>
      </c>
      <c r="M370" t="s">
        <v>29</v>
      </c>
      <c r="N370" t="str">
        <f>_xlfn.XLOOKUP(B370,tblCustomers[customer_id],tblCustomers[region],"Missing")</f>
        <v>South</v>
      </c>
      <c r="O370" t="str">
        <f>_xlfn.XLOOKUP(C370,tblProducts[product_id],tblProducts[product_name],"Missing")</f>
        <v>CRM Enterprise</v>
      </c>
      <c r="P370" t="str">
        <f>_xlfn.XLOOKUP(C370,tblProducts[product_id],tblProducts[category],"Missing")</f>
        <v>CRM</v>
      </c>
      <c r="Q370" t="str">
        <f>_xlfn.XLOOKUP(D370,tblSalesReps[rep_id],tblSalesReps[rep_name],"Missing")</f>
        <v>Sales Rep 05</v>
      </c>
      <c r="R370" t="str">
        <f>_xlfn.XLOOKUP(D370,tblSalesReps[rep_id],tblSalesReps[region],"Missing")</f>
        <v>South</v>
      </c>
    </row>
    <row r="371" spans="1:18">
      <c r="A371" t="s">
        <v>665</v>
      </c>
      <c r="B371" t="s">
        <v>666</v>
      </c>
      <c r="C371" t="s">
        <v>15</v>
      </c>
      <c r="D371" t="s">
        <v>32</v>
      </c>
      <c r="E371" s="1">
        <v>45785</v>
      </c>
      <c r="F371" s="1">
        <v>45847</v>
      </c>
      <c r="G371" s="1">
        <v>45847</v>
      </c>
      <c r="H371" t="s">
        <v>28</v>
      </c>
      <c r="I371">
        <v>2</v>
      </c>
      <c r="J371">
        <v>15</v>
      </c>
      <c r="K371">
        <v>714000</v>
      </c>
      <c r="L371">
        <v>100</v>
      </c>
      <c r="M371" t="s">
        <v>29</v>
      </c>
      <c r="N371" t="str">
        <f>_xlfn.XLOOKUP(B371,tblCustomers[customer_id],tblCustomers[region],"Missing")</f>
        <v>South</v>
      </c>
      <c r="O371" t="str">
        <f>_xlfn.XLOOKUP(C371,tblProducts[product_id],tblProducts[product_name],"Missing")</f>
        <v>CRM Enterprise</v>
      </c>
      <c r="P371" t="str">
        <f>_xlfn.XLOOKUP(C371,tblProducts[product_id],tblProducts[category],"Missing")</f>
        <v>CRM</v>
      </c>
      <c r="Q371" t="str">
        <f>_xlfn.XLOOKUP(D371,tblSalesReps[rep_id],tblSalesReps[rep_name],"Missing")</f>
        <v>Sales Rep 04</v>
      </c>
      <c r="R371" t="str">
        <f>_xlfn.XLOOKUP(D371,tblSalesReps[rep_id],tblSalesReps[region],"Missing")</f>
        <v>South</v>
      </c>
    </row>
    <row r="372" spans="1:18">
      <c r="A372" t="s">
        <v>667</v>
      </c>
      <c r="B372" t="s">
        <v>213</v>
      </c>
      <c r="C372" t="s">
        <v>26</v>
      </c>
      <c r="D372" t="s">
        <v>50</v>
      </c>
      <c r="E372" s="1">
        <v>45807</v>
      </c>
      <c r="F372" s="1">
        <v>45822</v>
      </c>
      <c r="G372" s="1">
        <v>45822</v>
      </c>
      <c r="H372" t="s">
        <v>17</v>
      </c>
      <c r="I372">
        <v>1</v>
      </c>
      <c r="J372">
        <v>15</v>
      </c>
      <c r="K372">
        <v>306000</v>
      </c>
      <c r="L372">
        <v>0</v>
      </c>
      <c r="M372" t="s">
        <v>33</v>
      </c>
      <c r="N372" t="str">
        <f>_xlfn.XLOOKUP(B372,tblCustomers[customer_id],tblCustomers[region],"Missing")</f>
        <v>West</v>
      </c>
      <c r="O372" t="str">
        <f>_xlfn.XLOOKUP(C372,tblProducts[product_id],tblProducts[product_name],"Missing")</f>
        <v>Security Suite</v>
      </c>
      <c r="P372" t="str">
        <f>_xlfn.XLOOKUP(C372,tblProducts[product_id],tblProducts[category],"Missing")</f>
        <v>Security</v>
      </c>
      <c r="Q372" t="str">
        <f>_xlfn.XLOOKUP(D372,tblSalesReps[rep_id],tblSalesReps[rep_name],"Missing")</f>
        <v>Sales Rep 15</v>
      </c>
      <c r="R372" t="str">
        <f>_xlfn.XLOOKUP(D372,tblSalesReps[rep_id],tblSalesReps[region],"Missing")</f>
        <v>West</v>
      </c>
    </row>
    <row r="373" spans="1:18">
      <c r="A373" t="s">
        <v>668</v>
      </c>
      <c r="B373" t="s">
        <v>669</v>
      </c>
      <c r="C373" t="s">
        <v>21</v>
      </c>
      <c r="D373" t="s">
        <v>75</v>
      </c>
      <c r="E373" s="1">
        <v>45917</v>
      </c>
      <c r="F373" s="1">
        <v>45927</v>
      </c>
      <c r="G373" s="1">
        <v>45927</v>
      </c>
      <c r="H373" t="s">
        <v>28</v>
      </c>
      <c r="I373">
        <v>1</v>
      </c>
      <c r="J373">
        <v>15</v>
      </c>
      <c r="K373">
        <v>204000</v>
      </c>
      <c r="L373">
        <v>100</v>
      </c>
      <c r="M373" t="s">
        <v>29</v>
      </c>
      <c r="N373" t="str">
        <f>_xlfn.XLOOKUP(B373,tblCustomers[customer_id],tblCustomers[region],"Missing")</f>
        <v>North</v>
      </c>
      <c r="O373" t="str">
        <f>_xlfn.XLOOKUP(C373,tblProducts[product_id],tblProducts[product_name],"Missing")</f>
        <v>Workflow Automate</v>
      </c>
      <c r="P373" t="str">
        <f>_xlfn.XLOOKUP(C373,tblProducts[product_id],tblProducts[category],"Missing")</f>
        <v>Automation</v>
      </c>
      <c r="Q373" t="str">
        <f>_xlfn.XLOOKUP(D373,tblSalesReps[rep_id],tblSalesReps[rep_name],"Missing")</f>
        <v>Sales Rep 07</v>
      </c>
      <c r="R373" t="str">
        <f>_xlfn.XLOOKUP(D373,tblSalesReps[rep_id],tblSalesReps[region],"Missing")</f>
        <v>North</v>
      </c>
    </row>
    <row r="374" spans="1:18">
      <c r="A374" t="s">
        <v>670</v>
      </c>
      <c r="B374" t="s">
        <v>294</v>
      </c>
      <c r="C374" t="s">
        <v>62</v>
      </c>
      <c r="D374" t="s">
        <v>70</v>
      </c>
      <c r="E374" s="1">
        <v>45938</v>
      </c>
      <c r="F374" s="1">
        <v>46001</v>
      </c>
      <c r="G374" s="1">
        <v>46001</v>
      </c>
      <c r="H374" t="s">
        <v>17</v>
      </c>
      <c r="I374">
        <v>1</v>
      </c>
      <c r="J374">
        <v>15</v>
      </c>
      <c r="K374">
        <v>102000</v>
      </c>
      <c r="L374">
        <v>0</v>
      </c>
      <c r="M374" t="s">
        <v>47</v>
      </c>
      <c r="N374" t="str">
        <f>_xlfn.XLOOKUP(B374,tblCustomers[customer_id],tblCustomers[region],"Missing")</f>
        <v>West</v>
      </c>
      <c r="O374" t="str">
        <f>_xlfn.XLOOKUP(C374,tblProducts[product_id],tblProducts[product_name],"Missing")</f>
        <v>CRM Essentials</v>
      </c>
      <c r="P374" t="str">
        <f>_xlfn.XLOOKUP(C374,tblProducts[product_id],tblProducts[category],"Missing")</f>
        <v>CRM</v>
      </c>
      <c r="Q374" t="str">
        <f>_xlfn.XLOOKUP(D374,tblSalesReps[rep_id],tblSalesReps[rep_name],"Missing")</f>
        <v>Sales Rep 11</v>
      </c>
      <c r="R374" t="str">
        <f>_xlfn.XLOOKUP(D374,tblSalesReps[rep_id],tblSalesReps[region],"Missing")</f>
        <v>West</v>
      </c>
    </row>
    <row r="375" spans="1:18">
      <c r="A375" t="s">
        <v>671</v>
      </c>
      <c r="B375" t="s">
        <v>672</v>
      </c>
      <c r="C375" t="s">
        <v>62</v>
      </c>
      <c r="D375" t="s">
        <v>40</v>
      </c>
      <c r="E375" s="1">
        <v>45736</v>
      </c>
      <c r="F375" s="1">
        <v>45765</v>
      </c>
      <c r="G375" s="1">
        <v>45765</v>
      </c>
      <c r="H375" t="s">
        <v>17</v>
      </c>
      <c r="I375">
        <v>1</v>
      </c>
      <c r="J375">
        <v>0</v>
      </c>
      <c r="K375">
        <v>120000</v>
      </c>
      <c r="L375">
        <v>0</v>
      </c>
      <c r="M375" t="s">
        <v>82</v>
      </c>
      <c r="N375" t="str">
        <f>_xlfn.XLOOKUP(B375,tblCustomers[customer_id],tblCustomers[region],"Missing")</f>
        <v>West</v>
      </c>
      <c r="O375" t="str">
        <f>_xlfn.XLOOKUP(C375,tblProducts[product_id],tblProducts[product_name],"Missing")</f>
        <v>CRM Essentials</v>
      </c>
      <c r="P375" t="str">
        <f>_xlfn.XLOOKUP(C375,tblProducts[product_id],tblProducts[category],"Missing")</f>
        <v>CRM</v>
      </c>
      <c r="Q375" t="str">
        <f>_xlfn.XLOOKUP(D375,tblSalesReps[rep_id],tblSalesReps[rep_name],"Missing")</f>
        <v>Sales Rep 13</v>
      </c>
      <c r="R375" t="str">
        <f>_xlfn.XLOOKUP(D375,tblSalesReps[rep_id],tblSalesReps[region],"Missing")</f>
        <v>West</v>
      </c>
    </row>
    <row r="376" spans="1:18">
      <c r="A376" t="s">
        <v>673</v>
      </c>
      <c r="B376" t="s">
        <v>245</v>
      </c>
      <c r="C376" t="s">
        <v>21</v>
      </c>
      <c r="D376" t="s">
        <v>59</v>
      </c>
      <c r="E376" s="1">
        <v>45684</v>
      </c>
      <c r="F376" s="1">
        <v>45697</v>
      </c>
      <c r="G376" s="1">
        <v>45697</v>
      </c>
      <c r="H376" t="s">
        <v>17</v>
      </c>
      <c r="I376">
        <v>2</v>
      </c>
      <c r="J376">
        <v>5</v>
      </c>
      <c r="K376">
        <v>456000</v>
      </c>
      <c r="L376">
        <v>0</v>
      </c>
      <c r="M376" t="s">
        <v>18</v>
      </c>
      <c r="N376" t="str">
        <f>_xlfn.XLOOKUP(B376,tblCustomers[customer_id],tblCustomers[region],"Missing")</f>
        <v>East</v>
      </c>
      <c r="O376" t="str">
        <f>_xlfn.XLOOKUP(C376,tblProducts[product_id],tblProducts[product_name],"Missing")</f>
        <v>Workflow Automate</v>
      </c>
      <c r="P376" t="str">
        <f>_xlfn.XLOOKUP(C376,tblProducts[product_id],tblProducts[category],"Missing")</f>
        <v>Automation</v>
      </c>
      <c r="Q376" t="str">
        <f>_xlfn.XLOOKUP(D376,tblSalesReps[rep_id],tblSalesReps[rep_name],"Missing")</f>
        <v>Sales Rep 19</v>
      </c>
      <c r="R376" t="str">
        <f>_xlfn.XLOOKUP(D376,tblSalesReps[rep_id],tblSalesReps[region],"Missing")</f>
        <v>East</v>
      </c>
    </row>
    <row r="377" spans="1:18">
      <c r="A377" t="s">
        <v>674</v>
      </c>
      <c r="B377" t="s">
        <v>489</v>
      </c>
      <c r="C377" t="s">
        <v>62</v>
      </c>
      <c r="D377" t="s">
        <v>78</v>
      </c>
      <c r="E377" s="1">
        <v>45707</v>
      </c>
      <c r="F377" s="1">
        <v>45735</v>
      </c>
      <c r="G377" s="1"/>
      <c r="H377" t="s">
        <v>43</v>
      </c>
      <c r="I377">
        <v>1</v>
      </c>
      <c r="J377">
        <v>0</v>
      </c>
      <c r="K377">
        <v>120000</v>
      </c>
      <c r="L377">
        <v>80</v>
      </c>
      <c r="M377" t="s">
        <v>29</v>
      </c>
      <c r="N377" t="str">
        <f>_xlfn.XLOOKUP(B377,tblCustomers[customer_id],tblCustomers[region],"Missing")</f>
        <v>West</v>
      </c>
      <c r="O377" t="str">
        <f>_xlfn.XLOOKUP(C377,tblProducts[product_id],tblProducts[product_name],"Missing")</f>
        <v>CRM Essentials</v>
      </c>
      <c r="P377" t="str">
        <f>_xlfn.XLOOKUP(C377,tblProducts[product_id],tblProducts[category],"Missing")</f>
        <v>CRM</v>
      </c>
      <c r="Q377" t="str">
        <f>_xlfn.XLOOKUP(D377,tblSalesReps[rep_id],tblSalesReps[rep_name],"Missing")</f>
        <v>Sales Rep 12</v>
      </c>
      <c r="R377" t="str">
        <f>_xlfn.XLOOKUP(D377,tblSalesReps[rep_id],tblSalesReps[region],"Missing")</f>
        <v>West</v>
      </c>
    </row>
    <row r="378" spans="1:18">
      <c r="A378" t="s">
        <v>675</v>
      </c>
      <c r="B378" t="s">
        <v>353</v>
      </c>
      <c r="C378" t="s">
        <v>39</v>
      </c>
      <c r="D378" t="s">
        <v>36</v>
      </c>
      <c r="E378" s="1">
        <v>45877</v>
      </c>
      <c r="F378" s="1">
        <v>45911</v>
      </c>
      <c r="G378" s="1">
        <v>45911</v>
      </c>
      <c r="H378" t="s">
        <v>28</v>
      </c>
      <c r="I378">
        <v>1</v>
      </c>
      <c r="J378">
        <v>10</v>
      </c>
      <c r="K378">
        <v>162000</v>
      </c>
      <c r="L378">
        <v>100</v>
      </c>
      <c r="M378" t="s">
        <v>29</v>
      </c>
      <c r="N378" t="str">
        <f>_xlfn.XLOOKUP(B378,tblCustomers[customer_id],tblCustomers[region],"Missing")</f>
        <v>North</v>
      </c>
      <c r="O378" t="str">
        <f>_xlfn.XLOOKUP(C378,tblProducts[product_id],tblProducts[product_name],"Missing")</f>
        <v>Support Desk</v>
      </c>
      <c r="P378" t="str">
        <f>_xlfn.XLOOKUP(C378,tblProducts[product_id],tblProducts[category],"Missing")</f>
        <v>Service</v>
      </c>
      <c r="Q378" t="str">
        <f>_xlfn.XLOOKUP(D378,tblSalesReps[rep_id],tblSalesReps[rep_name],"Missing")</f>
        <v>Sales Rep 09</v>
      </c>
      <c r="R378" t="str">
        <f>_xlfn.XLOOKUP(D378,tblSalesReps[rep_id],tblSalesReps[region],"Missing")</f>
        <v>North</v>
      </c>
    </row>
    <row r="379" spans="1:18">
      <c r="A379" t="s">
        <v>676</v>
      </c>
      <c r="B379" t="s">
        <v>677</v>
      </c>
      <c r="C379" t="s">
        <v>26</v>
      </c>
      <c r="D379" t="s">
        <v>152</v>
      </c>
      <c r="E379" s="1">
        <v>45990</v>
      </c>
      <c r="F379" s="1">
        <v>46002</v>
      </c>
      <c r="G379" s="1">
        <v>46002</v>
      </c>
      <c r="H379" t="s">
        <v>17</v>
      </c>
      <c r="I379">
        <v>1</v>
      </c>
      <c r="J379">
        <v>5</v>
      </c>
      <c r="K379">
        <v>342000</v>
      </c>
      <c r="L379">
        <v>0</v>
      </c>
      <c r="M379" t="s">
        <v>18</v>
      </c>
      <c r="N379" t="str">
        <f>_xlfn.XLOOKUP(B379,tblCustomers[customer_id],tblCustomers[region],"Missing")</f>
        <v>East</v>
      </c>
      <c r="O379" t="str">
        <f>_xlfn.XLOOKUP(C379,tblProducts[product_id],tblProducts[product_name],"Missing")</f>
        <v>Security Suite</v>
      </c>
      <c r="P379" t="str">
        <f>_xlfn.XLOOKUP(C379,tblProducts[product_id],tblProducts[category],"Missing")</f>
        <v>Security</v>
      </c>
      <c r="Q379" t="str">
        <f>_xlfn.XLOOKUP(D379,tblSalesReps[rep_id],tblSalesReps[rep_name],"Missing")</f>
        <v>Sales Rep 18</v>
      </c>
      <c r="R379" t="str">
        <f>_xlfn.XLOOKUP(D379,tblSalesReps[rep_id],tblSalesReps[region],"Missing")</f>
        <v>East</v>
      </c>
    </row>
    <row r="380" spans="1:18">
      <c r="A380" t="s">
        <v>678</v>
      </c>
      <c r="B380" t="s">
        <v>626</v>
      </c>
      <c r="C380" t="s">
        <v>26</v>
      </c>
      <c r="D380" t="s">
        <v>40</v>
      </c>
      <c r="E380" s="1">
        <v>45999</v>
      </c>
      <c r="F380" s="1">
        <v>46048</v>
      </c>
      <c r="G380" s="1"/>
      <c r="H380" t="s">
        <v>43</v>
      </c>
      <c r="I380">
        <v>1</v>
      </c>
      <c r="J380">
        <v>20</v>
      </c>
      <c r="K380">
        <v>288000</v>
      </c>
      <c r="L380">
        <v>80</v>
      </c>
      <c r="M380" t="s">
        <v>29</v>
      </c>
      <c r="N380" t="str">
        <f>_xlfn.XLOOKUP(B380,tblCustomers[customer_id],tblCustomers[region],"Missing")</f>
        <v>West</v>
      </c>
      <c r="O380" t="str">
        <f>_xlfn.XLOOKUP(C380,tblProducts[product_id],tblProducts[product_name],"Missing")</f>
        <v>Security Suite</v>
      </c>
      <c r="P380" t="str">
        <f>_xlfn.XLOOKUP(C380,tblProducts[product_id],tblProducts[category],"Missing")</f>
        <v>Security</v>
      </c>
      <c r="Q380" t="str">
        <f>_xlfn.XLOOKUP(D380,tblSalesReps[rep_id],tblSalesReps[rep_name],"Missing")</f>
        <v>Sales Rep 13</v>
      </c>
      <c r="R380" t="str">
        <f>_xlfn.XLOOKUP(D380,tblSalesReps[rep_id],tblSalesReps[region],"Missing")</f>
        <v>West</v>
      </c>
    </row>
    <row r="381" spans="1:18">
      <c r="A381" t="s">
        <v>679</v>
      </c>
      <c r="B381" t="s">
        <v>680</v>
      </c>
      <c r="C381" t="s">
        <v>62</v>
      </c>
      <c r="D381" t="s">
        <v>126</v>
      </c>
      <c r="E381" s="1">
        <v>45849</v>
      </c>
      <c r="F381" s="1">
        <v>45881</v>
      </c>
      <c r="G381" s="1">
        <v>45881</v>
      </c>
      <c r="H381" t="s">
        <v>17</v>
      </c>
      <c r="I381">
        <v>1</v>
      </c>
      <c r="J381">
        <v>15</v>
      </c>
      <c r="K381">
        <v>102000</v>
      </c>
      <c r="L381">
        <v>0</v>
      </c>
      <c r="M381" t="s">
        <v>23</v>
      </c>
      <c r="N381" t="str">
        <f>_xlfn.XLOOKUP(B381,tblCustomers[customer_id],tblCustomers[region],"Missing")</f>
        <v>South</v>
      </c>
      <c r="O381" t="str">
        <f>_xlfn.XLOOKUP(C381,tblProducts[product_id],tblProducts[product_name],"Missing")</f>
        <v>CRM Essentials</v>
      </c>
      <c r="P381" t="str">
        <f>_xlfn.XLOOKUP(C381,tblProducts[product_id],tblProducts[category],"Missing")</f>
        <v>CRM</v>
      </c>
      <c r="Q381" t="str">
        <f>_xlfn.XLOOKUP(D381,tblSalesReps[rep_id],tblSalesReps[rep_name],"Missing")</f>
        <v>Sales Rep 02</v>
      </c>
      <c r="R381" t="str">
        <f>_xlfn.XLOOKUP(D381,tblSalesReps[rep_id],tblSalesReps[region],"Missing")</f>
        <v>South</v>
      </c>
    </row>
    <row r="382" spans="1:18">
      <c r="A382" t="s">
        <v>681</v>
      </c>
      <c r="B382" t="s">
        <v>121</v>
      </c>
      <c r="C382" t="s">
        <v>21</v>
      </c>
      <c r="D382" t="s">
        <v>46</v>
      </c>
      <c r="E382" s="1">
        <v>45775</v>
      </c>
      <c r="F382" s="1">
        <v>45824</v>
      </c>
      <c r="G382" s="1"/>
      <c r="H382" t="s">
        <v>43</v>
      </c>
      <c r="I382">
        <v>1</v>
      </c>
      <c r="J382">
        <v>5</v>
      </c>
      <c r="K382">
        <v>228000</v>
      </c>
      <c r="L382">
        <v>40</v>
      </c>
      <c r="M382" t="s">
        <v>29</v>
      </c>
      <c r="N382" t="str">
        <f>_xlfn.XLOOKUP(B382,tblCustomers[customer_id],tblCustomers[region],"Missing")</f>
        <v>South</v>
      </c>
      <c r="O382" t="str">
        <f>_xlfn.XLOOKUP(C382,tblProducts[product_id],tblProducts[product_name],"Missing")</f>
        <v>Workflow Automate</v>
      </c>
      <c r="P382" t="str">
        <f>_xlfn.XLOOKUP(C382,tblProducts[product_id],tblProducts[category],"Missing")</f>
        <v>Automation</v>
      </c>
      <c r="Q382" t="str">
        <f>_xlfn.XLOOKUP(D382,tblSalesReps[rep_id],tblSalesReps[rep_name],"Missing")</f>
        <v>Sales Rep 01</v>
      </c>
      <c r="R382" t="str">
        <f>_xlfn.XLOOKUP(D382,tblSalesReps[rep_id],tblSalesReps[region],"Missing")</f>
        <v>South</v>
      </c>
    </row>
    <row r="383" spans="1:18">
      <c r="A383" t="s">
        <v>682</v>
      </c>
      <c r="B383" t="s">
        <v>683</v>
      </c>
      <c r="C383" t="s">
        <v>81</v>
      </c>
      <c r="D383" t="s">
        <v>56</v>
      </c>
      <c r="E383" s="1">
        <v>45822</v>
      </c>
      <c r="F383" s="1">
        <v>45829</v>
      </c>
      <c r="G383" s="1">
        <v>45829</v>
      </c>
      <c r="H383" t="s">
        <v>28</v>
      </c>
      <c r="I383">
        <v>1</v>
      </c>
      <c r="J383">
        <v>15</v>
      </c>
      <c r="K383">
        <v>255000</v>
      </c>
      <c r="L383">
        <v>100</v>
      </c>
      <c r="M383" t="s">
        <v>29</v>
      </c>
      <c r="N383" t="str">
        <f>_xlfn.XLOOKUP(B383,tblCustomers[customer_id],tblCustomers[region],"Missing")</f>
        <v>East</v>
      </c>
      <c r="O383" t="str">
        <f>_xlfn.XLOOKUP(C383,tblProducts[product_id],tblProducts[product_name],"Missing")</f>
        <v>Analytics Cloud</v>
      </c>
      <c r="P383" t="str">
        <f>_xlfn.XLOOKUP(C383,tblProducts[product_id],tblProducts[category],"Missing")</f>
        <v>Analytics</v>
      </c>
      <c r="Q383" t="str">
        <f>_xlfn.XLOOKUP(D383,tblSalesReps[rep_id],tblSalesReps[rep_name],"Missing")</f>
        <v>Sales Rep 20</v>
      </c>
      <c r="R383" t="str">
        <f>_xlfn.XLOOKUP(D383,tblSalesReps[rep_id],tblSalesReps[region],"Missing")</f>
        <v>East</v>
      </c>
    </row>
    <row r="384" spans="1:18">
      <c r="A384" t="s">
        <v>684</v>
      </c>
      <c r="B384" t="s">
        <v>680</v>
      </c>
      <c r="C384" t="s">
        <v>81</v>
      </c>
      <c r="D384" t="s">
        <v>32</v>
      </c>
      <c r="E384" s="1">
        <v>45817</v>
      </c>
      <c r="F384" s="1">
        <v>45849</v>
      </c>
      <c r="G384" s="1">
        <v>45849</v>
      </c>
      <c r="H384" t="s">
        <v>28</v>
      </c>
      <c r="I384">
        <v>1</v>
      </c>
      <c r="J384">
        <v>15</v>
      </c>
      <c r="K384">
        <v>255000</v>
      </c>
      <c r="L384">
        <v>100</v>
      </c>
      <c r="M384" t="s">
        <v>29</v>
      </c>
      <c r="N384" t="str">
        <f>_xlfn.XLOOKUP(B384,tblCustomers[customer_id],tblCustomers[region],"Missing")</f>
        <v>South</v>
      </c>
      <c r="O384" t="str">
        <f>_xlfn.XLOOKUP(C384,tblProducts[product_id],tblProducts[product_name],"Missing")</f>
        <v>Analytics Cloud</v>
      </c>
      <c r="P384" t="str">
        <f>_xlfn.XLOOKUP(C384,tblProducts[product_id],tblProducts[category],"Missing")</f>
        <v>Analytics</v>
      </c>
      <c r="Q384" t="str">
        <f>_xlfn.XLOOKUP(D384,tblSalesReps[rep_id],tblSalesReps[rep_name],"Missing")</f>
        <v>Sales Rep 04</v>
      </c>
      <c r="R384" t="str">
        <f>_xlfn.XLOOKUP(D384,tblSalesReps[rep_id],tblSalesReps[region],"Missing")</f>
        <v>South</v>
      </c>
    </row>
    <row r="385" spans="1:18">
      <c r="A385" t="s">
        <v>685</v>
      </c>
      <c r="B385" t="s">
        <v>686</v>
      </c>
      <c r="C385" t="s">
        <v>81</v>
      </c>
      <c r="D385" t="s">
        <v>78</v>
      </c>
      <c r="E385" s="1">
        <v>45899</v>
      </c>
      <c r="F385" s="1">
        <v>45970</v>
      </c>
      <c r="G385" s="1">
        <v>45970</v>
      </c>
      <c r="H385" t="s">
        <v>17</v>
      </c>
      <c r="I385">
        <v>3</v>
      </c>
      <c r="J385">
        <v>15</v>
      </c>
      <c r="K385">
        <v>765000</v>
      </c>
      <c r="L385">
        <v>0</v>
      </c>
      <c r="M385" t="s">
        <v>82</v>
      </c>
      <c r="N385" t="str">
        <f>_xlfn.XLOOKUP(B385,tblCustomers[customer_id],tblCustomers[region],"Missing")</f>
        <v>West</v>
      </c>
      <c r="O385" t="str">
        <f>_xlfn.XLOOKUP(C385,tblProducts[product_id],tblProducts[product_name],"Missing")</f>
        <v>Analytics Cloud</v>
      </c>
      <c r="P385" t="str">
        <f>_xlfn.XLOOKUP(C385,tblProducts[product_id],tblProducts[category],"Missing")</f>
        <v>Analytics</v>
      </c>
      <c r="Q385" t="str">
        <f>_xlfn.XLOOKUP(D385,tblSalesReps[rep_id],tblSalesReps[rep_name],"Missing")</f>
        <v>Sales Rep 12</v>
      </c>
      <c r="R385" t="str">
        <f>_xlfn.XLOOKUP(D385,tblSalesReps[rep_id],tblSalesReps[region],"Missing")</f>
        <v>West</v>
      </c>
    </row>
    <row r="386" spans="1:18">
      <c r="A386" t="s">
        <v>687</v>
      </c>
      <c r="B386" t="s">
        <v>90</v>
      </c>
      <c r="C386" t="s">
        <v>39</v>
      </c>
      <c r="D386" t="s">
        <v>126</v>
      </c>
      <c r="E386" s="1">
        <v>45789</v>
      </c>
      <c r="F386" s="1">
        <v>45835</v>
      </c>
      <c r="G386" s="1">
        <v>45835</v>
      </c>
      <c r="H386" t="s">
        <v>17</v>
      </c>
      <c r="I386">
        <v>2</v>
      </c>
      <c r="J386">
        <v>10</v>
      </c>
      <c r="K386">
        <v>324000</v>
      </c>
      <c r="L386">
        <v>0</v>
      </c>
      <c r="M386" t="s">
        <v>33</v>
      </c>
      <c r="N386" t="str">
        <f>_xlfn.XLOOKUP(B386,tblCustomers[customer_id],tblCustomers[region],"Missing")</f>
        <v>South</v>
      </c>
      <c r="O386" t="str">
        <f>_xlfn.XLOOKUP(C386,tblProducts[product_id],tblProducts[product_name],"Missing")</f>
        <v>Support Desk</v>
      </c>
      <c r="P386" t="str">
        <f>_xlfn.XLOOKUP(C386,tblProducts[product_id],tblProducts[category],"Missing")</f>
        <v>Service</v>
      </c>
      <c r="Q386" t="str">
        <f>_xlfn.XLOOKUP(D386,tblSalesReps[rep_id],tblSalesReps[rep_name],"Missing")</f>
        <v>Sales Rep 02</v>
      </c>
      <c r="R386" t="str">
        <f>_xlfn.XLOOKUP(D386,tblSalesReps[rep_id],tblSalesReps[region],"Missing")</f>
        <v>South</v>
      </c>
    </row>
    <row r="387" spans="1:18">
      <c r="A387" t="s">
        <v>688</v>
      </c>
      <c r="B387" t="s">
        <v>99</v>
      </c>
      <c r="C387" t="s">
        <v>81</v>
      </c>
      <c r="D387" t="s">
        <v>32</v>
      </c>
      <c r="E387" s="1">
        <v>45849</v>
      </c>
      <c r="F387" s="1">
        <v>45895</v>
      </c>
      <c r="G387" s="1">
        <v>45895</v>
      </c>
      <c r="H387" t="s">
        <v>17</v>
      </c>
      <c r="I387">
        <v>3</v>
      </c>
      <c r="J387">
        <v>0</v>
      </c>
      <c r="K387">
        <v>900000</v>
      </c>
      <c r="L387">
        <v>0</v>
      </c>
      <c r="M387" t="s">
        <v>23</v>
      </c>
      <c r="N387" t="str">
        <f>_xlfn.XLOOKUP(B387,tblCustomers[customer_id],tblCustomers[region],"Missing")</f>
        <v>South</v>
      </c>
      <c r="O387" t="str">
        <f>_xlfn.XLOOKUP(C387,tblProducts[product_id],tblProducts[product_name],"Missing")</f>
        <v>Analytics Cloud</v>
      </c>
      <c r="P387" t="str">
        <f>_xlfn.XLOOKUP(C387,tblProducts[product_id],tblProducts[category],"Missing")</f>
        <v>Analytics</v>
      </c>
      <c r="Q387" t="str">
        <f>_xlfn.XLOOKUP(D387,tblSalesReps[rep_id],tblSalesReps[rep_name],"Missing")</f>
        <v>Sales Rep 04</v>
      </c>
      <c r="R387" t="str">
        <f>_xlfn.XLOOKUP(D387,tblSalesReps[rep_id],tblSalesReps[region],"Missing")</f>
        <v>South</v>
      </c>
    </row>
    <row r="388" spans="1:18">
      <c r="A388" t="s">
        <v>689</v>
      </c>
      <c r="B388" t="s">
        <v>42</v>
      </c>
      <c r="C388" t="s">
        <v>26</v>
      </c>
      <c r="D388" t="s">
        <v>16</v>
      </c>
      <c r="E388" s="1">
        <v>45918</v>
      </c>
      <c r="F388" s="1">
        <v>45972</v>
      </c>
      <c r="G388" s="1">
        <v>45972</v>
      </c>
      <c r="H388" t="s">
        <v>17</v>
      </c>
      <c r="I388">
        <v>1</v>
      </c>
      <c r="J388">
        <v>15</v>
      </c>
      <c r="K388">
        <v>306000</v>
      </c>
      <c r="L388">
        <v>0</v>
      </c>
      <c r="M388" t="s">
        <v>47</v>
      </c>
      <c r="N388" t="str">
        <f>_xlfn.XLOOKUP(B388,tblCustomers[customer_id],tblCustomers[region],"Missing")</f>
        <v>North</v>
      </c>
      <c r="O388" t="str">
        <f>_xlfn.XLOOKUP(C388,tblProducts[product_id],tblProducts[product_name],"Missing")</f>
        <v>Security Suite</v>
      </c>
      <c r="P388" t="str">
        <f>_xlfn.XLOOKUP(C388,tblProducts[product_id],tblProducts[category],"Missing")</f>
        <v>Security</v>
      </c>
      <c r="Q388" t="str">
        <f>_xlfn.XLOOKUP(D388,tblSalesReps[rep_id],tblSalesReps[rep_name],"Missing")</f>
        <v>Sales Rep 08</v>
      </c>
      <c r="R388" t="str">
        <f>_xlfn.XLOOKUP(D388,tblSalesReps[rep_id],tblSalesReps[region],"Missing")</f>
        <v>North</v>
      </c>
    </row>
    <row r="389" spans="1:18">
      <c r="A389" t="s">
        <v>690</v>
      </c>
      <c r="B389" t="s">
        <v>664</v>
      </c>
      <c r="C389" t="s">
        <v>81</v>
      </c>
      <c r="D389" t="s">
        <v>126</v>
      </c>
      <c r="E389" s="1">
        <v>45788</v>
      </c>
      <c r="F389" s="1">
        <v>45869</v>
      </c>
      <c r="G389" s="1">
        <v>45869</v>
      </c>
      <c r="H389" t="s">
        <v>28</v>
      </c>
      <c r="I389">
        <v>1</v>
      </c>
      <c r="J389">
        <v>0</v>
      </c>
      <c r="K389">
        <v>300000</v>
      </c>
      <c r="L389">
        <v>100</v>
      </c>
      <c r="M389" t="s">
        <v>29</v>
      </c>
      <c r="N389" t="str">
        <f>_xlfn.XLOOKUP(B389,tblCustomers[customer_id],tblCustomers[region],"Missing")</f>
        <v>South</v>
      </c>
      <c r="O389" t="str">
        <f>_xlfn.XLOOKUP(C389,tblProducts[product_id],tblProducts[product_name],"Missing")</f>
        <v>Analytics Cloud</v>
      </c>
      <c r="P389" t="str">
        <f>_xlfn.XLOOKUP(C389,tblProducts[product_id],tblProducts[category],"Missing")</f>
        <v>Analytics</v>
      </c>
      <c r="Q389" t="str">
        <f>_xlfn.XLOOKUP(D389,tblSalesReps[rep_id],tblSalesReps[rep_name],"Missing")</f>
        <v>Sales Rep 02</v>
      </c>
      <c r="R389" t="str">
        <f>_xlfn.XLOOKUP(D389,tblSalesReps[rep_id],tblSalesReps[region],"Missing")</f>
        <v>South</v>
      </c>
    </row>
    <row r="390" spans="1:18">
      <c r="A390" t="s">
        <v>691</v>
      </c>
      <c r="B390" t="s">
        <v>589</v>
      </c>
      <c r="C390" t="s">
        <v>15</v>
      </c>
      <c r="D390" t="s">
        <v>59</v>
      </c>
      <c r="E390" s="1">
        <v>45742</v>
      </c>
      <c r="F390" s="1">
        <v>45781</v>
      </c>
      <c r="G390" s="1"/>
      <c r="H390" t="s">
        <v>43</v>
      </c>
      <c r="I390">
        <v>1</v>
      </c>
      <c r="J390">
        <v>20</v>
      </c>
      <c r="K390">
        <v>336000</v>
      </c>
      <c r="L390">
        <v>80</v>
      </c>
      <c r="M390" t="s">
        <v>29</v>
      </c>
      <c r="N390" t="str">
        <f>_xlfn.XLOOKUP(B390,tblCustomers[customer_id],tblCustomers[region],"Missing")</f>
        <v>East</v>
      </c>
      <c r="O390" t="str">
        <f>_xlfn.XLOOKUP(C390,tblProducts[product_id],tblProducts[product_name],"Missing")</f>
        <v>CRM Enterprise</v>
      </c>
      <c r="P390" t="str">
        <f>_xlfn.XLOOKUP(C390,tblProducts[product_id],tblProducts[category],"Missing")</f>
        <v>CRM</v>
      </c>
      <c r="Q390" t="str">
        <f>_xlfn.XLOOKUP(D390,tblSalesReps[rep_id],tblSalesReps[rep_name],"Missing")</f>
        <v>Sales Rep 19</v>
      </c>
      <c r="R390" t="str">
        <f>_xlfn.XLOOKUP(D390,tblSalesReps[rep_id],tblSalesReps[region],"Missing")</f>
        <v>East</v>
      </c>
    </row>
    <row r="391" spans="1:18">
      <c r="A391" t="s">
        <v>692</v>
      </c>
      <c r="B391" t="s">
        <v>693</v>
      </c>
      <c r="C391" t="s">
        <v>81</v>
      </c>
      <c r="D391" t="s">
        <v>53</v>
      </c>
      <c r="E391" s="1">
        <v>45707</v>
      </c>
      <c r="F391" s="1">
        <v>45767</v>
      </c>
      <c r="G391" s="1">
        <v>45767</v>
      </c>
      <c r="H391" t="s">
        <v>28</v>
      </c>
      <c r="I391">
        <v>3</v>
      </c>
      <c r="J391">
        <v>15</v>
      </c>
      <c r="K391">
        <v>765000</v>
      </c>
      <c r="L391">
        <v>100</v>
      </c>
      <c r="M391" t="s">
        <v>29</v>
      </c>
      <c r="N391" t="str">
        <f>_xlfn.XLOOKUP(B391,tblCustomers[customer_id],tblCustomers[region],"Missing")</f>
        <v>East</v>
      </c>
      <c r="O391" t="str">
        <f>_xlfn.XLOOKUP(C391,tblProducts[product_id],tblProducts[product_name],"Missing")</f>
        <v>Analytics Cloud</v>
      </c>
      <c r="P391" t="str">
        <f>_xlfn.XLOOKUP(C391,tblProducts[product_id],tblProducts[category],"Missing")</f>
        <v>Analytics</v>
      </c>
      <c r="Q391" t="str">
        <f>_xlfn.XLOOKUP(D391,tblSalesReps[rep_id],tblSalesReps[rep_name],"Missing")</f>
        <v>Sales Rep 16</v>
      </c>
      <c r="R391" t="str">
        <f>_xlfn.XLOOKUP(D391,tblSalesReps[rep_id],tblSalesReps[region],"Missing")</f>
        <v>East</v>
      </c>
    </row>
    <row r="392" spans="1:18">
      <c r="A392" t="s">
        <v>694</v>
      </c>
      <c r="B392" t="s">
        <v>320</v>
      </c>
      <c r="C392" t="s">
        <v>62</v>
      </c>
      <c r="D392" t="s">
        <v>75</v>
      </c>
      <c r="E392" s="1">
        <v>45756</v>
      </c>
      <c r="F392" s="1">
        <v>45815</v>
      </c>
      <c r="G392" s="1">
        <v>45815</v>
      </c>
      <c r="H392" t="s">
        <v>28</v>
      </c>
      <c r="I392">
        <v>2</v>
      </c>
      <c r="J392">
        <v>20</v>
      </c>
      <c r="K392">
        <v>192000</v>
      </c>
      <c r="L392">
        <v>100</v>
      </c>
      <c r="M392" t="s">
        <v>29</v>
      </c>
      <c r="N392" t="str">
        <f>_xlfn.XLOOKUP(B392,tblCustomers[customer_id],tblCustomers[region],"Missing")</f>
        <v>North</v>
      </c>
      <c r="O392" t="str">
        <f>_xlfn.XLOOKUP(C392,tblProducts[product_id],tblProducts[product_name],"Missing")</f>
        <v>CRM Essentials</v>
      </c>
      <c r="P392" t="str">
        <f>_xlfn.XLOOKUP(C392,tblProducts[product_id],tblProducts[category],"Missing")</f>
        <v>CRM</v>
      </c>
      <c r="Q392" t="str">
        <f>_xlfn.XLOOKUP(D392,tblSalesReps[rep_id],tblSalesReps[rep_name],"Missing")</f>
        <v>Sales Rep 07</v>
      </c>
      <c r="R392" t="str">
        <f>_xlfn.XLOOKUP(D392,tblSalesReps[rep_id],tblSalesReps[region],"Missing")</f>
        <v>North</v>
      </c>
    </row>
    <row r="393" spans="1:18">
      <c r="A393" t="s">
        <v>695</v>
      </c>
      <c r="B393" t="s">
        <v>696</v>
      </c>
      <c r="C393" t="s">
        <v>15</v>
      </c>
      <c r="D393" t="s">
        <v>36</v>
      </c>
      <c r="E393" s="1">
        <v>45906</v>
      </c>
      <c r="F393" s="1">
        <v>45925</v>
      </c>
      <c r="G393" s="1">
        <v>45925</v>
      </c>
      <c r="H393" t="s">
        <v>17</v>
      </c>
      <c r="I393">
        <v>1</v>
      </c>
      <c r="J393">
        <v>0</v>
      </c>
      <c r="K393">
        <v>420000</v>
      </c>
      <c r="L393">
        <v>0</v>
      </c>
      <c r="M393" t="s">
        <v>23</v>
      </c>
      <c r="N393" t="str">
        <f>_xlfn.XLOOKUP(B393,tblCustomers[customer_id],tblCustomers[region],"Missing")</f>
        <v>North</v>
      </c>
      <c r="O393" t="str">
        <f>_xlfn.XLOOKUP(C393,tblProducts[product_id],tblProducts[product_name],"Missing")</f>
        <v>CRM Enterprise</v>
      </c>
      <c r="P393" t="str">
        <f>_xlfn.XLOOKUP(C393,tblProducts[product_id],tblProducts[category],"Missing")</f>
        <v>CRM</v>
      </c>
      <c r="Q393" t="str">
        <f>_xlfn.XLOOKUP(D393,tblSalesReps[rep_id],tblSalesReps[rep_name],"Missing")</f>
        <v>Sales Rep 09</v>
      </c>
      <c r="R393" t="str">
        <f>_xlfn.XLOOKUP(D393,tblSalesReps[rep_id],tblSalesReps[region],"Missing")</f>
        <v>North</v>
      </c>
    </row>
    <row r="394" spans="1:18">
      <c r="A394" t="s">
        <v>697</v>
      </c>
      <c r="B394" t="s">
        <v>698</v>
      </c>
      <c r="C394" t="s">
        <v>21</v>
      </c>
      <c r="D394" t="s">
        <v>36</v>
      </c>
      <c r="E394" s="1">
        <v>45900</v>
      </c>
      <c r="F394" s="1">
        <v>45984</v>
      </c>
      <c r="G394" s="1"/>
      <c r="H394" t="s">
        <v>43</v>
      </c>
      <c r="I394">
        <v>2</v>
      </c>
      <c r="J394">
        <v>10</v>
      </c>
      <c r="K394">
        <v>432000</v>
      </c>
      <c r="L394">
        <v>60</v>
      </c>
      <c r="M394" t="s">
        <v>29</v>
      </c>
      <c r="N394" t="str">
        <f>_xlfn.XLOOKUP(B394,tblCustomers[customer_id],tblCustomers[region],"Missing")</f>
        <v>North</v>
      </c>
      <c r="O394" t="str">
        <f>_xlfn.XLOOKUP(C394,tblProducts[product_id],tblProducts[product_name],"Missing")</f>
        <v>Workflow Automate</v>
      </c>
      <c r="P394" t="str">
        <f>_xlfn.XLOOKUP(C394,tblProducts[product_id],tblProducts[category],"Missing")</f>
        <v>Automation</v>
      </c>
      <c r="Q394" t="str">
        <f>_xlfn.XLOOKUP(D394,tblSalesReps[rep_id],tblSalesReps[rep_name],"Missing")</f>
        <v>Sales Rep 09</v>
      </c>
      <c r="R394" t="str">
        <f>_xlfn.XLOOKUP(D394,tblSalesReps[rep_id],tblSalesReps[region],"Missing")</f>
        <v>North</v>
      </c>
    </row>
    <row r="395" spans="1:18">
      <c r="A395" t="s">
        <v>699</v>
      </c>
      <c r="B395" t="s">
        <v>700</v>
      </c>
      <c r="C395" t="s">
        <v>26</v>
      </c>
      <c r="D395" t="s">
        <v>36</v>
      </c>
      <c r="E395" s="1">
        <v>45729</v>
      </c>
      <c r="F395" s="1">
        <v>45751</v>
      </c>
      <c r="G395" s="1">
        <v>45751</v>
      </c>
      <c r="H395" t="s">
        <v>28</v>
      </c>
      <c r="I395">
        <v>3</v>
      </c>
      <c r="J395">
        <v>10</v>
      </c>
      <c r="K395">
        <v>972000</v>
      </c>
      <c r="L395">
        <v>100</v>
      </c>
      <c r="M395" t="s">
        <v>29</v>
      </c>
      <c r="N395" t="str">
        <f>_xlfn.XLOOKUP(B395,tblCustomers[customer_id],tblCustomers[region],"Missing")</f>
        <v>North</v>
      </c>
      <c r="O395" t="str">
        <f>_xlfn.XLOOKUP(C395,tblProducts[product_id],tblProducts[product_name],"Missing")</f>
        <v>Security Suite</v>
      </c>
      <c r="P395" t="str">
        <f>_xlfn.XLOOKUP(C395,tblProducts[product_id],tblProducts[category],"Missing")</f>
        <v>Security</v>
      </c>
      <c r="Q395" t="str">
        <f>_xlfn.XLOOKUP(D395,tblSalesReps[rep_id],tblSalesReps[rep_name],"Missing")</f>
        <v>Sales Rep 09</v>
      </c>
      <c r="R395" t="str">
        <f>_xlfn.XLOOKUP(D395,tblSalesReps[rep_id],tblSalesReps[region],"Missing")</f>
        <v>North</v>
      </c>
    </row>
    <row r="396" spans="1:18">
      <c r="A396" t="s">
        <v>701</v>
      </c>
      <c r="B396" t="s">
        <v>238</v>
      </c>
      <c r="C396" t="s">
        <v>21</v>
      </c>
      <c r="D396" t="s">
        <v>70</v>
      </c>
      <c r="E396" s="1">
        <v>45824</v>
      </c>
      <c r="F396" s="1">
        <v>45860</v>
      </c>
      <c r="G396" s="1">
        <v>45860</v>
      </c>
      <c r="H396" t="s">
        <v>17</v>
      </c>
      <c r="I396">
        <v>3</v>
      </c>
      <c r="J396">
        <v>15</v>
      </c>
      <c r="K396">
        <v>612000</v>
      </c>
      <c r="L396">
        <v>0</v>
      </c>
      <c r="M396" t="s">
        <v>33</v>
      </c>
      <c r="N396" t="str">
        <f>_xlfn.XLOOKUP(B396,tblCustomers[customer_id],tblCustomers[region],"Missing")</f>
        <v>West</v>
      </c>
      <c r="O396" t="str">
        <f>_xlfn.XLOOKUP(C396,tblProducts[product_id],tblProducts[product_name],"Missing")</f>
        <v>Workflow Automate</v>
      </c>
      <c r="P396" t="str">
        <f>_xlfn.XLOOKUP(C396,tblProducts[product_id],tblProducts[category],"Missing")</f>
        <v>Automation</v>
      </c>
      <c r="Q396" t="str">
        <f>_xlfn.XLOOKUP(D396,tblSalesReps[rep_id],tblSalesReps[rep_name],"Missing")</f>
        <v>Sales Rep 11</v>
      </c>
      <c r="R396" t="str">
        <f>_xlfn.XLOOKUP(D396,tblSalesReps[rep_id],tblSalesReps[region],"Missing")</f>
        <v>West</v>
      </c>
    </row>
    <row r="397" spans="1:18">
      <c r="A397" t="s">
        <v>702</v>
      </c>
      <c r="B397" t="s">
        <v>703</v>
      </c>
      <c r="C397" t="s">
        <v>15</v>
      </c>
      <c r="D397" t="s">
        <v>78</v>
      </c>
      <c r="E397" s="1">
        <v>45924</v>
      </c>
      <c r="F397" s="1">
        <v>45995</v>
      </c>
      <c r="G397" s="1"/>
      <c r="H397" t="s">
        <v>43</v>
      </c>
      <c r="I397">
        <v>1</v>
      </c>
      <c r="J397">
        <v>5</v>
      </c>
      <c r="K397">
        <v>399000</v>
      </c>
      <c r="L397">
        <v>80</v>
      </c>
      <c r="M397" t="s">
        <v>29</v>
      </c>
      <c r="N397" t="str">
        <f>_xlfn.XLOOKUP(B397,tblCustomers[customer_id],tblCustomers[region],"Missing")</f>
        <v>West</v>
      </c>
      <c r="O397" t="str">
        <f>_xlfn.XLOOKUP(C397,tblProducts[product_id],tblProducts[product_name],"Missing")</f>
        <v>CRM Enterprise</v>
      </c>
      <c r="P397" t="str">
        <f>_xlfn.XLOOKUP(C397,tblProducts[product_id],tblProducts[category],"Missing")</f>
        <v>CRM</v>
      </c>
      <c r="Q397" t="str">
        <f>_xlfn.XLOOKUP(D397,tblSalesReps[rep_id],tblSalesReps[rep_name],"Missing")</f>
        <v>Sales Rep 12</v>
      </c>
      <c r="R397" t="str">
        <f>_xlfn.XLOOKUP(D397,tblSalesReps[rep_id],tblSalesReps[region],"Missing")</f>
        <v>West</v>
      </c>
    </row>
    <row r="398" spans="1:18">
      <c r="A398" t="s">
        <v>704</v>
      </c>
      <c r="B398" t="s">
        <v>609</v>
      </c>
      <c r="C398" t="s">
        <v>26</v>
      </c>
      <c r="D398" t="s">
        <v>119</v>
      </c>
      <c r="E398" s="1">
        <v>45781</v>
      </c>
      <c r="F398" s="1">
        <v>45809</v>
      </c>
      <c r="G398" s="1">
        <v>45809</v>
      </c>
      <c r="H398" t="s">
        <v>28</v>
      </c>
      <c r="I398">
        <v>1</v>
      </c>
      <c r="J398">
        <v>0</v>
      </c>
      <c r="K398">
        <v>360000</v>
      </c>
      <c r="L398">
        <v>100</v>
      </c>
      <c r="M398" t="s">
        <v>29</v>
      </c>
      <c r="N398" t="str">
        <f>_xlfn.XLOOKUP(B398,tblCustomers[customer_id],tblCustomers[region],"Missing")</f>
        <v>North</v>
      </c>
      <c r="O398" t="str">
        <f>_xlfn.XLOOKUP(C398,tblProducts[product_id],tblProducts[product_name],"Missing")</f>
        <v>Security Suite</v>
      </c>
      <c r="P398" t="str">
        <f>_xlfn.XLOOKUP(C398,tblProducts[product_id],tblProducts[category],"Missing")</f>
        <v>Security</v>
      </c>
      <c r="Q398" t="str">
        <f>_xlfn.XLOOKUP(D398,tblSalesReps[rep_id],tblSalesReps[rep_name],"Missing")</f>
        <v>Sales Rep 10</v>
      </c>
      <c r="R398" t="str">
        <f>_xlfn.XLOOKUP(D398,tblSalesReps[rep_id],tblSalesReps[region],"Missing")</f>
        <v>North</v>
      </c>
    </row>
    <row r="399" spans="1:18">
      <c r="A399" t="s">
        <v>705</v>
      </c>
      <c r="B399" t="s">
        <v>706</v>
      </c>
      <c r="C399" t="s">
        <v>21</v>
      </c>
      <c r="D399" t="s">
        <v>22</v>
      </c>
      <c r="E399" s="1">
        <v>46001</v>
      </c>
      <c r="F399" s="1">
        <v>46025</v>
      </c>
      <c r="G399" s="1"/>
      <c r="H399" t="s">
        <v>43</v>
      </c>
      <c r="I399">
        <v>3</v>
      </c>
      <c r="J399">
        <v>15</v>
      </c>
      <c r="K399">
        <v>612000</v>
      </c>
      <c r="L399">
        <v>20</v>
      </c>
      <c r="M399" t="s">
        <v>29</v>
      </c>
      <c r="N399" t="str">
        <f>_xlfn.XLOOKUP(B399,tblCustomers[customer_id],tblCustomers[region],"Missing")</f>
        <v>West</v>
      </c>
      <c r="O399" t="str">
        <f>_xlfn.XLOOKUP(C399,tblProducts[product_id],tblProducts[product_name],"Missing")</f>
        <v>Workflow Automate</v>
      </c>
      <c r="P399" t="str">
        <f>_xlfn.XLOOKUP(C399,tblProducts[product_id],tblProducts[category],"Missing")</f>
        <v>Automation</v>
      </c>
      <c r="Q399" t="str">
        <f>_xlfn.XLOOKUP(D399,tblSalesReps[rep_id],tblSalesReps[rep_name],"Missing")</f>
        <v>Sales Rep 14</v>
      </c>
      <c r="R399" t="str">
        <f>_xlfn.XLOOKUP(D399,tblSalesReps[rep_id],tblSalesReps[region],"Missing")</f>
        <v>West</v>
      </c>
    </row>
    <row r="400" spans="1:18">
      <c r="A400" t="s">
        <v>707</v>
      </c>
      <c r="B400" t="s">
        <v>479</v>
      </c>
      <c r="C400" t="s">
        <v>21</v>
      </c>
      <c r="D400" t="s">
        <v>53</v>
      </c>
      <c r="E400" s="1">
        <v>45715</v>
      </c>
      <c r="F400" s="1">
        <v>45797</v>
      </c>
      <c r="G400" s="1">
        <v>45797</v>
      </c>
      <c r="H400" t="s">
        <v>28</v>
      </c>
      <c r="I400">
        <v>1</v>
      </c>
      <c r="J400">
        <v>0</v>
      </c>
      <c r="K400">
        <v>240000</v>
      </c>
      <c r="L400">
        <v>100</v>
      </c>
      <c r="M400" t="s">
        <v>29</v>
      </c>
      <c r="N400" t="str">
        <f>_xlfn.XLOOKUP(B400,tblCustomers[customer_id],tblCustomers[region],"Missing")</f>
        <v>East</v>
      </c>
      <c r="O400" t="str">
        <f>_xlfn.XLOOKUP(C400,tblProducts[product_id],tblProducts[product_name],"Missing")</f>
        <v>Workflow Automate</v>
      </c>
      <c r="P400" t="str">
        <f>_xlfn.XLOOKUP(C400,tblProducts[product_id],tblProducts[category],"Missing")</f>
        <v>Automation</v>
      </c>
      <c r="Q400" t="str">
        <f>_xlfn.XLOOKUP(D400,tblSalesReps[rep_id],tblSalesReps[rep_name],"Missing")</f>
        <v>Sales Rep 16</v>
      </c>
      <c r="R400" t="str">
        <f>_xlfn.XLOOKUP(D400,tblSalesReps[rep_id],tblSalesReps[region],"Missing")</f>
        <v>East</v>
      </c>
    </row>
    <row r="401" spans="1:18">
      <c r="A401" t="s">
        <v>708</v>
      </c>
      <c r="B401" t="s">
        <v>570</v>
      </c>
      <c r="C401" t="s">
        <v>81</v>
      </c>
      <c r="D401" t="s">
        <v>36</v>
      </c>
      <c r="E401" s="1">
        <v>45821</v>
      </c>
      <c r="F401" s="1">
        <v>45844</v>
      </c>
      <c r="G401" s="1"/>
      <c r="H401" t="s">
        <v>43</v>
      </c>
      <c r="I401">
        <v>3</v>
      </c>
      <c r="J401">
        <v>20</v>
      </c>
      <c r="K401">
        <v>720000</v>
      </c>
      <c r="L401">
        <v>40</v>
      </c>
      <c r="M401" t="s">
        <v>29</v>
      </c>
      <c r="N401" t="str">
        <f>_xlfn.XLOOKUP(B401,tblCustomers[customer_id],tblCustomers[region],"Missing")</f>
        <v>North</v>
      </c>
      <c r="O401" t="str">
        <f>_xlfn.XLOOKUP(C401,tblProducts[product_id],tblProducts[product_name],"Missing")</f>
        <v>Analytics Cloud</v>
      </c>
      <c r="P401" t="str">
        <f>_xlfn.XLOOKUP(C401,tblProducts[product_id],tblProducts[category],"Missing")</f>
        <v>Analytics</v>
      </c>
      <c r="Q401" t="str">
        <f>_xlfn.XLOOKUP(D401,tblSalesReps[rep_id],tblSalesReps[rep_name],"Missing")</f>
        <v>Sales Rep 09</v>
      </c>
      <c r="R401" t="str">
        <f>_xlfn.XLOOKUP(D401,tblSalesReps[rep_id],tblSalesReps[region],"Missing")</f>
        <v>North</v>
      </c>
    </row>
    <row r="402" spans="1:18">
      <c r="A402" t="s">
        <v>709</v>
      </c>
      <c r="B402" t="s">
        <v>710</v>
      </c>
      <c r="C402" t="s">
        <v>21</v>
      </c>
      <c r="D402" t="s">
        <v>168</v>
      </c>
      <c r="E402" s="1">
        <v>45913</v>
      </c>
      <c r="F402" s="1">
        <v>45938</v>
      </c>
      <c r="G402" s="1">
        <v>45938</v>
      </c>
      <c r="H402" t="s">
        <v>17</v>
      </c>
      <c r="I402">
        <v>3</v>
      </c>
      <c r="J402">
        <v>10</v>
      </c>
      <c r="K402">
        <v>648000</v>
      </c>
      <c r="L402">
        <v>0</v>
      </c>
      <c r="M402" t="s">
        <v>23</v>
      </c>
      <c r="N402" t="str">
        <f>_xlfn.XLOOKUP(B402,tblCustomers[customer_id],tblCustomers[region],"Missing")</f>
        <v>East</v>
      </c>
      <c r="O402" t="str">
        <f>_xlfn.XLOOKUP(C402,tblProducts[product_id],tblProducts[product_name],"Missing")</f>
        <v>Workflow Automate</v>
      </c>
      <c r="P402" t="str">
        <f>_xlfn.XLOOKUP(C402,tblProducts[product_id],tblProducts[category],"Missing")</f>
        <v>Automation</v>
      </c>
      <c r="Q402" t="str">
        <f>_xlfn.XLOOKUP(D402,tblSalesReps[rep_id],tblSalesReps[rep_name],"Missing")</f>
        <v>Sales Rep 17</v>
      </c>
      <c r="R402" t="str">
        <f>_xlfn.XLOOKUP(D402,tblSalesReps[rep_id],tblSalesReps[region],"Missing")</f>
        <v>East</v>
      </c>
    </row>
    <row r="403" spans="1:18">
      <c r="A403" t="s">
        <v>711</v>
      </c>
      <c r="B403" t="s">
        <v>35</v>
      </c>
      <c r="C403" t="s">
        <v>81</v>
      </c>
      <c r="D403" t="s">
        <v>27</v>
      </c>
      <c r="E403" s="1">
        <v>45828</v>
      </c>
      <c r="F403" s="1">
        <v>45861</v>
      </c>
      <c r="G403" s="1">
        <v>45861</v>
      </c>
      <c r="H403" t="s">
        <v>28</v>
      </c>
      <c r="I403">
        <v>1</v>
      </c>
      <c r="J403">
        <v>0</v>
      </c>
      <c r="K403">
        <v>300000</v>
      </c>
      <c r="L403">
        <v>100</v>
      </c>
      <c r="M403" t="s">
        <v>29</v>
      </c>
      <c r="N403" t="str">
        <f>_xlfn.XLOOKUP(B403,tblCustomers[customer_id],tblCustomers[region],"Missing")</f>
        <v>North</v>
      </c>
      <c r="O403" t="str">
        <f>_xlfn.XLOOKUP(C403,tblProducts[product_id],tblProducts[product_name],"Missing")</f>
        <v>Analytics Cloud</v>
      </c>
      <c r="P403" t="str">
        <f>_xlfn.XLOOKUP(C403,tblProducts[product_id],tblProducts[category],"Missing")</f>
        <v>Analytics</v>
      </c>
      <c r="Q403" t="str">
        <f>_xlfn.XLOOKUP(D403,tblSalesReps[rep_id],tblSalesReps[rep_name],"Missing")</f>
        <v>Sales Rep 06</v>
      </c>
      <c r="R403" t="str">
        <f>_xlfn.XLOOKUP(D403,tblSalesReps[rep_id],tblSalesReps[region],"Missing")</f>
        <v>North</v>
      </c>
    </row>
    <row r="404" spans="1:18">
      <c r="A404" t="s">
        <v>712</v>
      </c>
      <c r="B404" t="s">
        <v>713</v>
      </c>
      <c r="C404" t="s">
        <v>21</v>
      </c>
      <c r="D404" t="s">
        <v>152</v>
      </c>
      <c r="E404" s="1">
        <v>46014</v>
      </c>
      <c r="F404" s="1">
        <v>46091</v>
      </c>
      <c r="G404" s="1"/>
      <c r="H404" t="s">
        <v>43</v>
      </c>
      <c r="I404">
        <v>2</v>
      </c>
      <c r="J404">
        <v>0</v>
      </c>
      <c r="K404">
        <v>480000</v>
      </c>
      <c r="L404">
        <v>40</v>
      </c>
      <c r="M404" t="s">
        <v>29</v>
      </c>
      <c r="N404" t="str">
        <f>_xlfn.XLOOKUP(B404,tblCustomers[customer_id],tblCustomers[region],"Missing")</f>
        <v>East</v>
      </c>
      <c r="O404" t="str">
        <f>_xlfn.XLOOKUP(C404,tblProducts[product_id],tblProducts[product_name],"Missing")</f>
        <v>Workflow Automate</v>
      </c>
      <c r="P404" t="str">
        <f>_xlfn.XLOOKUP(C404,tblProducts[product_id],tblProducts[category],"Missing")</f>
        <v>Automation</v>
      </c>
      <c r="Q404" t="str">
        <f>_xlfn.XLOOKUP(D404,tblSalesReps[rep_id],tblSalesReps[rep_name],"Missing")</f>
        <v>Sales Rep 18</v>
      </c>
      <c r="R404" t="str">
        <f>_xlfn.XLOOKUP(D404,tblSalesReps[rep_id],tblSalesReps[region],"Missing")</f>
        <v>East</v>
      </c>
    </row>
    <row r="405" spans="1:18">
      <c r="A405" t="s">
        <v>714</v>
      </c>
      <c r="B405" t="s">
        <v>88</v>
      </c>
      <c r="C405" t="s">
        <v>26</v>
      </c>
      <c r="D405" t="s">
        <v>78</v>
      </c>
      <c r="E405" s="1">
        <v>45991</v>
      </c>
      <c r="F405" s="1">
        <v>46071</v>
      </c>
      <c r="G405" s="1"/>
      <c r="H405" t="s">
        <v>43</v>
      </c>
      <c r="I405">
        <v>1</v>
      </c>
      <c r="J405">
        <v>5</v>
      </c>
      <c r="K405">
        <v>342000</v>
      </c>
      <c r="L405">
        <v>80</v>
      </c>
      <c r="M405" t="s">
        <v>29</v>
      </c>
      <c r="N405" t="str">
        <f>_xlfn.XLOOKUP(B405,tblCustomers[customer_id],tblCustomers[region],"Missing")</f>
        <v>West</v>
      </c>
      <c r="O405" t="str">
        <f>_xlfn.XLOOKUP(C405,tblProducts[product_id],tblProducts[product_name],"Missing")</f>
        <v>Security Suite</v>
      </c>
      <c r="P405" t="str">
        <f>_xlfn.XLOOKUP(C405,tblProducts[product_id],tblProducts[category],"Missing")</f>
        <v>Security</v>
      </c>
      <c r="Q405" t="str">
        <f>_xlfn.XLOOKUP(D405,tblSalesReps[rep_id],tblSalesReps[rep_name],"Missing")</f>
        <v>Sales Rep 12</v>
      </c>
      <c r="R405" t="str">
        <f>_xlfn.XLOOKUP(D405,tblSalesReps[rep_id],tblSalesReps[region],"Missing")</f>
        <v>West</v>
      </c>
    </row>
    <row r="406" spans="1:18">
      <c r="A406" t="s">
        <v>715</v>
      </c>
      <c r="B406" t="s">
        <v>716</v>
      </c>
      <c r="C406" t="s">
        <v>62</v>
      </c>
      <c r="D406" t="s">
        <v>78</v>
      </c>
      <c r="E406" s="1">
        <v>45861</v>
      </c>
      <c r="F406" s="1">
        <v>45944</v>
      </c>
      <c r="G406" s="1">
        <v>45944</v>
      </c>
      <c r="H406" t="s">
        <v>17</v>
      </c>
      <c r="I406">
        <v>1</v>
      </c>
      <c r="J406">
        <v>15</v>
      </c>
      <c r="K406">
        <v>102000</v>
      </c>
      <c r="L406">
        <v>0</v>
      </c>
      <c r="M406" t="s">
        <v>82</v>
      </c>
      <c r="N406" t="str">
        <f>_xlfn.XLOOKUP(B406,tblCustomers[customer_id],tblCustomers[region],"Missing")</f>
        <v>West</v>
      </c>
      <c r="O406" t="str">
        <f>_xlfn.XLOOKUP(C406,tblProducts[product_id],tblProducts[product_name],"Missing")</f>
        <v>CRM Essentials</v>
      </c>
      <c r="P406" t="str">
        <f>_xlfn.XLOOKUP(C406,tblProducts[product_id],tblProducts[category],"Missing")</f>
        <v>CRM</v>
      </c>
      <c r="Q406" t="str">
        <f>_xlfn.XLOOKUP(D406,tblSalesReps[rep_id],tblSalesReps[rep_name],"Missing")</f>
        <v>Sales Rep 12</v>
      </c>
      <c r="R406" t="str">
        <f>_xlfn.XLOOKUP(D406,tblSalesReps[rep_id],tblSalesReps[region],"Missing")</f>
        <v>West</v>
      </c>
    </row>
    <row r="407" spans="1:18">
      <c r="A407" t="s">
        <v>717</v>
      </c>
      <c r="B407" t="s">
        <v>25</v>
      </c>
      <c r="C407" t="s">
        <v>81</v>
      </c>
      <c r="D407" t="s">
        <v>16</v>
      </c>
      <c r="E407" s="1">
        <v>46013</v>
      </c>
      <c r="F407" s="1">
        <v>46095</v>
      </c>
      <c r="G407" s="1"/>
      <c r="H407" t="s">
        <v>43</v>
      </c>
      <c r="I407">
        <v>1</v>
      </c>
      <c r="J407">
        <v>15</v>
      </c>
      <c r="K407">
        <v>255000</v>
      </c>
      <c r="L407">
        <v>80</v>
      </c>
      <c r="M407" t="s">
        <v>29</v>
      </c>
      <c r="N407" t="str">
        <f>_xlfn.XLOOKUP(B407,tblCustomers[customer_id],tblCustomers[region],"Missing")</f>
        <v>North</v>
      </c>
      <c r="O407" t="str">
        <f>_xlfn.XLOOKUP(C407,tblProducts[product_id],tblProducts[product_name],"Missing")</f>
        <v>Analytics Cloud</v>
      </c>
      <c r="P407" t="str">
        <f>_xlfn.XLOOKUP(C407,tblProducts[product_id],tblProducts[category],"Missing")</f>
        <v>Analytics</v>
      </c>
      <c r="Q407" t="str">
        <f>_xlfn.XLOOKUP(D407,tblSalesReps[rep_id],tblSalesReps[rep_name],"Missing")</f>
        <v>Sales Rep 08</v>
      </c>
      <c r="R407" t="str">
        <f>_xlfn.XLOOKUP(D407,tblSalesReps[rep_id],tblSalesReps[region],"Missing")</f>
        <v>North</v>
      </c>
    </row>
    <row r="408" spans="1:18">
      <c r="A408" t="s">
        <v>718</v>
      </c>
      <c r="B408" t="s">
        <v>339</v>
      </c>
      <c r="C408" t="s">
        <v>39</v>
      </c>
      <c r="D408" t="s">
        <v>50</v>
      </c>
      <c r="E408" s="1">
        <v>45933</v>
      </c>
      <c r="F408" s="1">
        <v>45955</v>
      </c>
      <c r="G408" s="1">
        <v>45955</v>
      </c>
      <c r="H408" t="s">
        <v>17</v>
      </c>
      <c r="I408">
        <v>1</v>
      </c>
      <c r="J408">
        <v>0</v>
      </c>
      <c r="K408">
        <v>180000</v>
      </c>
      <c r="L408">
        <v>0</v>
      </c>
      <c r="M408" t="s">
        <v>33</v>
      </c>
      <c r="N408" t="str">
        <f>_xlfn.XLOOKUP(B408,tblCustomers[customer_id],tblCustomers[region],"Missing")</f>
        <v>West</v>
      </c>
      <c r="O408" t="str">
        <f>_xlfn.XLOOKUP(C408,tblProducts[product_id],tblProducts[product_name],"Missing")</f>
        <v>Support Desk</v>
      </c>
      <c r="P408" t="str">
        <f>_xlfn.XLOOKUP(C408,tblProducts[product_id],tblProducts[category],"Missing")</f>
        <v>Service</v>
      </c>
      <c r="Q408" t="str">
        <f>_xlfn.XLOOKUP(D408,tblSalesReps[rep_id],tblSalesReps[rep_name],"Missing")</f>
        <v>Sales Rep 15</v>
      </c>
      <c r="R408" t="str">
        <f>_xlfn.XLOOKUP(D408,tblSalesReps[rep_id],tblSalesReps[region],"Missing")</f>
        <v>West</v>
      </c>
    </row>
    <row r="409" spans="1:18">
      <c r="A409" t="s">
        <v>719</v>
      </c>
      <c r="B409" t="s">
        <v>137</v>
      </c>
      <c r="C409" t="s">
        <v>15</v>
      </c>
      <c r="D409" t="s">
        <v>27</v>
      </c>
      <c r="E409" s="1">
        <v>45945</v>
      </c>
      <c r="F409" s="1">
        <v>45956</v>
      </c>
      <c r="G409" s="1">
        <v>45956</v>
      </c>
      <c r="H409" t="s">
        <v>28</v>
      </c>
      <c r="I409">
        <v>1</v>
      </c>
      <c r="J409">
        <v>0</v>
      </c>
      <c r="K409">
        <v>420000</v>
      </c>
      <c r="L409">
        <v>100</v>
      </c>
      <c r="M409" t="s">
        <v>29</v>
      </c>
      <c r="N409" t="str">
        <f>_xlfn.XLOOKUP(B409,tblCustomers[customer_id],tblCustomers[region],"Missing")</f>
        <v>North</v>
      </c>
      <c r="O409" t="str">
        <f>_xlfn.XLOOKUP(C409,tblProducts[product_id],tblProducts[product_name],"Missing")</f>
        <v>CRM Enterprise</v>
      </c>
      <c r="P409" t="str">
        <f>_xlfn.XLOOKUP(C409,tblProducts[product_id],tblProducts[category],"Missing")</f>
        <v>CRM</v>
      </c>
      <c r="Q409" t="str">
        <f>_xlfn.XLOOKUP(D409,tblSalesReps[rep_id],tblSalesReps[rep_name],"Missing")</f>
        <v>Sales Rep 06</v>
      </c>
      <c r="R409" t="str">
        <f>_xlfn.XLOOKUP(D409,tblSalesReps[rep_id],tblSalesReps[region],"Missing")</f>
        <v>North</v>
      </c>
    </row>
    <row r="410" spans="1:18">
      <c r="A410" t="s">
        <v>720</v>
      </c>
      <c r="B410" t="s">
        <v>143</v>
      </c>
      <c r="C410" t="s">
        <v>39</v>
      </c>
      <c r="D410" t="s">
        <v>36</v>
      </c>
      <c r="E410" s="1">
        <v>46013</v>
      </c>
      <c r="F410" s="1">
        <v>46065</v>
      </c>
      <c r="G410" s="1"/>
      <c r="H410" t="s">
        <v>43</v>
      </c>
      <c r="I410">
        <v>3</v>
      </c>
      <c r="J410">
        <v>20</v>
      </c>
      <c r="K410">
        <v>432000</v>
      </c>
      <c r="L410">
        <v>40</v>
      </c>
      <c r="M410" t="s">
        <v>29</v>
      </c>
      <c r="N410" t="str">
        <f>_xlfn.XLOOKUP(B410,tblCustomers[customer_id],tblCustomers[region],"Missing")</f>
        <v>North</v>
      </c>
      <c r="O410" t="str">
        <f>_xlfn.XLOOKUP(C410,tblProducts[product_id],tblProducts[product_name],"Missing")</f>
        <v>Support Desk</v>
      </c>
      <c r="P410" t="str">
        <f>_xlfn.XLOOKUP(C410,tblProducts[product_id],tblProducts[category],"Missing")</f>
        <v>Service</v>
      </c>
      <c r="Q410" t="str">
        <f>_xlfn.XLOOKUP(D410,tblSalesReps[rep_id],tblSalesReps[rep_name],"Missing")</f>
        <v>Sales Rep 09</v>
      </c>
      <c r="R410" t="str">
        <f>_xlfn.XLOOKUP(D410,tblSalesReps[rep_id],tblSalesReps[region],"Missing")</f>
        <v>North</v>
      </c>
    </row>
    <row r="411" spans="1:18">
      <c r="A411" t="s">
        <v>721</v>
      </c>
      <c r="B411" t="s">
        <v>217</v>
      </c>
      <c r="C411" t="s">
        <v>15</v>
      </c>
      <c r="D411" t="s">
        <v>168</v>
      </c>
      <c r="E411" s="1">
        <v>45966</v>
      </c>
      <c r="F411" s="1">
        <v>46048</v>
      </c>
      <c r="G411" s="1"/>
      <c r="H411" t="s">
        <v>43</v>
      </c>
      <c r="I411">
        <v>1</v>
      </c>
      <c r="J411">
        <v>10</v>
      </c>
      <c r="K411">
        <v>378000</v>
      </c>
      <c r="L411">
        <v>40</v>
      </c>
      <c r="M411" t="s">
        <v>29</v>
      </c>
      <c r="N411" t="str">
        <f>_xlfn.XLOOKUP(B411,tblCustomers[customer_id],tblCustomers[region],"Missing")</f>
        <v>East</v>
      </c>
      <c r="O411" t="str">
        <f>_xlfn.XLOOKUP(C411,tblProducts[product_id],tblProducts[product_name],"Missing")</f>
        <v>CRM Enterprise</v>
      </c>
      <c r="P411" t="str">
        <f>_xlfn.XLOOKUP(C411,tblProducts[product_id],tblProducts[category],"Missing")</f>
        <v>CRM</v>
      </c>
      <c r="Q411" t="str">
        <f>_xlfn.XLOOKUP(D411,tblSalesReps[rep_id],tblSalesReps[rep_name],"Missing")</f>
        <v>Sales Rep 17</v>
      </c>
      <c r="R411" t="str">
        <f>_xlfn.XLOOKUP(D411,tblSalesReps[rep_id],tblSalesReps[region],"Missing")</f>
        <v>East</v>
      </c>
    </row>
    <row r="412" spans="1:18">
      <c r="A412" t="s">
        <v>722</v>
      </c>
      <c r="B412" t="s">
        <v>723</v>
      </c>
      <c r="C412" t="s">
        <v>62</v>
      </c>
      <c r="D412" t="s">
        <v>40</v>
      </c>
      <c r="E412" s="1">
        <v>45982</v>
      </c>
      <c r="F412" s="1">
        <v>46013</v>
      </c>
      <c r="G412" s="1">
        <v>46013</v>
      </c>
      <c r="H412" t="s">
        <v>17</v>
      </c>
      <c r="I412">
        <v>1</v>
      </c>
      <c r="J412">
        <v>20</v>
      </c>
      <c r="K412">
        <v>96000</v>
      </c>
      <c r="L412">
        <v>0</v>
      </c>
      <c r="M412" t="s">
        <v>82</v>
      </c>
      <c r="N412" t="str">
        <f>_xlfn.XLOOKUP(B412,tblCustomers[customer_id],tblCustomers[region],"Missing")</f>
        <v>West</v>
      </c>
      <c r="O412" t="str">
        <f>_xlfn.XLOOKUP(C412,tblProducts[product_id],tblProducts[product_name],"Missing")</f>
        <v>CRM Essentials</v>
      </c>
      <c r="P412" t="str">
        <f>_xlfn.XLOOKUP(C412,tblProducts[product_id],tblProducts[category],"Missing")</f>
        <v>CRM</v>
      </c>
      <c r="Q412" t="str">
        <f>_xlfn.XLOOKUP(D412,tblSalesReps[rep_id],tblSalesReps[rep_name],"Missing")</f>
        <v>Sales Rep 13</v>
      </c>
      <c r="R412" t="str">
        <f>_xlfn.XLOOKUP(D412,tblSalesReps[rep_id],tblSalesReps[region],"Missing")</f>
        <v>West</v>
      </c>
    </row>
    <row r="413" spans="1:18">
      <c r="A413" t="s">
        <v>724</v>
      </c>
      <c r="B413" t="s">
        <v>394</v>
      </c>
      <c r="C413" t="s">
        <v>62</v>
      </c>
      <c r="D413" t="s">
        <v>119</v>
      </c>
      <c r="E413" s="1">
        <v>45866</v>
      </c>
      <c r="F413" s="1">
        <v>45884</v>
      </c>
      <c r="G413" s="1">
        <v>45884</v>
      </c>
      <c r="H413" t="s">
        <v>28</v>
      </c>
      <c r="I413">
        <v>1</v>
      </c>
      <c r="J413">
        <v>10</v>
      </c>
      <c r="K413">
        <v>108000</v>
      </c>
      <c r="L413">
        <v>100</v>
      </c>
      <c r="M413" t="s">
        <v>29</v>
      </c>
      <c r="N413" t="str">
        <f>_xlfn.XLOOKUP(B413,tblCustomers[customer_id],tblCustomers[region],"Missing")</f>
        <v>North</v>
      </c>
      <c r="O413" t="str">
        <f>_xlfn.XLOOKUP(C413,tblProducts[product_id],tblProducts[product_name],"Missing")</f>
        <v>CRM Essentials</v>
      </c>
      <c r="P413" t="str">
        <f>_xlfn.XLOOKUP(C413,tblProducts[product_id],tblProducts[category],"Missing")</f>
        <v>CRM</v>
      </c>
      <c r="Q413" t="str">
        <f>_xlfn.XLOOKUP(D413,tblSalesReps[rep_id],tblSalesReps[rep_name],"Missing")</f>
        <v>Sales Rep 10</v>
      </c>
      <c r="R413" t="str">
        <f>_xlfn.XLOOKUP(D413,tblSalesReps[rep_id],tblSalesReps[region],"Missing")</f>
        <v>North</v>
      </c>
    </row>
    <row r="414" spans="1:18">
      <c r="A414" t="s">
        <v>725</v>
      </c>
      <c r="B414" t="s">
        <v>626</v>
      </c>
      <c r="C414" t="s">
        <v>39</v>
      </c>
      <c r="D414" t="s">
        <v>40</v>
      </c>
      <c r="E414" s="1">
        <v>45959</v>
      </c>
      <c r="F414" s="1">
        <v>46028</v>
      </c>
      <c r="G414" s="1"/>
      <c r="H414" t="s">
        <v>43</v>
      </c>
      <c r="I414">
        <v>1</v>
      </c>
      <c r="J414">
        <v>20</v>
      </c>
      <c r="K414">
        <v>144000</v>
      </c>
      <c r="L414">
        <v>60</v>
      </c>
      <c r="M414" t="s">
        <v>29</v>
      </c>
      <c r="N414" t="str">
        <f>_xlfn.XLOOKUP(B414,tblCustomers[customer_id],tblCustomers[region],"Missing")</f>
        <v>West</v>
      </c>
      <c r="O414" t="str">
        <f>_xlfn.XLOOKUP(C414,tblProducts[product_id],tblProducts[product_name],"Missing")</f>
        <v>Support Desk</v>
      </c>
      <c r="P414" t="str">
        <f>_xlfn.XLOOKUP(C414,tblProducts[product_id],tblProducts[category],"Missing")</f>
        <v>Service</v>
      </c>
      <c r="Q414" t="str">
        <f>_xlfn.XLOOKUP(D414,tblSalesReps[rep_id],tblSalesReps[rep_name],"Missing")</f>
        <v>Sales Rep 13</v>
      </c>
      <c r="R414" t="str">
        <f>_xlfn.XLOOKUP(D414,tblSalesReps[rep_id],tblSalesReps[region],"Missing")</f>
        <v>West</v>
      </c>
    </row>
    <row r="415" spans="1:18">
      <c r="A415" t="s">
        <v>726</v>
      </c>
      <c r="B415" t="s">
        <v>727</v>
      </c>
      <c r="C415" t="s">
        <v>21</v>
      </c>
      <c r="D415" t="s">
        <v>70</v>
      </c>
      <c r="E415" s="1">
        <v>46009</v>
      </c>
      <c r="F415" s="1">
        <v>46035</v>
      </c>
      <c r="G415" s="1"/>
      <c r="H415" t="s">
        <v>43</v>
      </c>
      <c r="I415">
        <v>1</v>
      </c>
      <c r="J415">
        <v>5</v>
      </c>
      <c r="K415">
        <v>228000</v>
      </c>
      <c r="L415">
        <v>80</v>
      </c>
      <c r="M415" t="s">
        <v>29</v>
      </c>
      <c r="N415" t="str">
        <f>_xlfn.XLOOKUP(B415,tblCustomers[customer_id],tblCustomers[region],"Missing")</f>
        <v>West</v>
      </c>
      <c r="O415" t="str">
        <f>_xlfn.XLOOKUP(C415,tblProducts[product_id],tblProducts[product_name],"Missing")</f>
        <v>Workflow Automate</v>
      </c>
      <c r="P415" t="str">
        <f>_xlfn.XLOOKUP(C415,tblProducts[product_id],tblProducts[category],"Missing")</f>
        <v>Automation</v>
      </c>
      <c r="Q415" t="str">
        <f>_xlfn.XLOOKUP(D415,tblSalesReps[rep_id],tblSalesReps[rep_name],"Missing")</f>
        <v>Sales Rep 11</v>
      </c>
      <c r="R415" t="str">
        <f>_xlfn.XLOOKUP(D415,tblSalesReps[rep_id],tblSalesReps[region],"Missing")</f>
        <v>West</v>
      </c>
    </row>
    <row r="416" spans="1:18">
      <c r="A416" t="s">
        <v>728</v>
      </c>
      <c r="B416" t="s">
        <v>729</v>
      </c>
      <c r="C416" t="s">
        <v>81</v>
      </c>
      <c r="D416" t="s">
        <v>50</v>
      </c>
      <c r="E416" s="1">
        <v>45804</v>
      </c>
      <c r="F416" s="1">
        <v>45865</v>
      </c>
      <c r="G416" s="1">
        <v>45865</v>
      </c>
      <c r="H416" t="s">
        <v>28</v>
      </c>
      <c r="I416">
        <v>3</v>
      </c>
      <c r="J416">
        <v>5</v>
      </c>
      <c r="K416">
        <v>855000</v>
      </c>
      <c r="L416">
        <v>100</v>
      </c>
      <c r="M416" t="s">
        <v>29</v>
      </c>
      <c r="N416" t="str">
        <f>_xlfn.XLOOKUP(B416,tblCustomers[customer_id],tblCustomers[region],"Missing")</f>
        <v>West</v>
      </c>
      <c r="O416" t="str">
        <f>_xlfn.XLOOKUP(C416,tblProducts[product_id],tblProducts[product_name],"Missing")</f>
        <v>Analytics Cloud</v>
      </c>
      <c r="P416" t="str">
        <f>_xlfn.XLOOKUP(C416,tblProducts[product_id],tblProducts[category],"Missing")</f>
        <v>Analytics</v>
      </c>
      <c r="Q416" t="str">
        <f>_xlfn.XLOOKUP(D416,tblSalesReps[rep_id],tblSalesReps[rep_name],"Missing")</f>
        <v>Sales Rep 15</v>
      </c>
      <c r="R416" t="str">
        <f>_xlfn.XLOOKUP(D416,tblSalesReps[rep_id],tblSalesReps[region],"Missing")</f>
        <v>West</v>
      </c>
    </row>
    <row r="417" spans="1:18">
      <c r="A417" t="s">
        <v>730</v>
      </c>
      <c r="B417" t="s">
        <v>238</v>
      </c>
      <c r="C417" t="s">
        <v>62</v>
      </c>
      <c r="D417" t="s">
        <v>70</v>
      </c>
      <c r="E417" s="1">
        <v>45780</v>
      </c>
      <c r="F417" s="1">
        <v>45808</v>
      </c>
      <c r="G417" s="1"/>
      <c r="H417" t="s">
        <v>43</v>
      </c>
      <c r="I417">
        <v>3</v>
      </c>
      <c r="J417">
        <v>0</v>
      </c>
      <c r="K417">
        <v>360000</v>
      </c>
      <c r="L417">
        <v>20</v>
      </c>
      <c r="M417" t="s">
        <v>29</v>
      </c>
      <c r="N417" t="str">
        <f>_xlfn.XLOOKUP(B417,tblCustomers[customer_id],tblCustomers[region],"Missing")</f>
        <v>West</v>
      </c>
      <c r="O417" t="str">
        <f>_xlfn.XLOOKUP(C417,tblProducts[product_id],tblProducts[product_name],"Missing")</f>
        <v>CRM Essentials</v>
      </c>
      <c r="P417" t="str">
        <f>_xlfn.XLOOKUP(C417,tblProducts[product_id],tblProducts[category],"Missing")</f>
        <v>CRM</v>
      </c>
      <c r="Q417" t="str">
        <f>_xlfn.XLOOKUP(D417,tblSalesReps[rep_id],tblSalesReps[rep_name],"Missing")</f>
        <v>Sales Rep 11</v>
      </c>
      <c r="R417" t="str">
        <f>_xlfn.XLOOKUP(D417,tblSalesReps[rep_id],tblSalesReps[region],"Missing")</f>
        <v>West</v>
      </c>
    </row>
    <row r="418" spans="1:18">
      <c r="A418" t="s">
        <v>731</v>
      </c>
      <c r="B418" t="s">
        <v>520</v>
      </c>
      <c r="C418" t="s">
        <v>81</v>
      </c>
      <c r="D418" t="s">
        <v>53</v>
      </c>
      <c r="E418" s="1">
        <v>45973</v>
      </c>
      <c r="F418" s="1">
        <v>45980</v>
      </c>
      <c r="G418" s="1">
        <v>45980</v>
      </c>
      <c r="H418" t="s">
        <v>28</v>
      </c>
      <c r="I418">
        <v>2</v>
      </c>
      <c r="J418">
        <v>20</v>
      </c>
      <c r="K418">
        <v>480000</v>
      </c>
      <c r="L418">
        <v>100</v>
      </c>
      <c r="M418" t="s">
        <v>29</v>
      </c>
      <c r="N418" t="str">
        <f>_xlfn.XLOOKUP(B418,tblCustomers[customer_id],tblCustomers[region],"Missing")</f>
        <v>East</v>
      </c>
      <c r="O418" t="str">
        <f>_xlfn.XLOOKUP(C418,tblProducts[product_id],tblProducts[product_name],"Missing")</f>
        <v>Analytics Cloud</v>
      </c>
      <c r="P418" t="str">
        <f>_xlfn.XLOOKUP(C418,tblProducts[product_id],tblProducts[category],"Missing")</f>
        <v>Analytics</v>
      </c>
      <c r="Q418" t="str">
        <f>_xlfn.XLOOKUP(D418,tblSalesReps[rep_id],tblSalesReps[rep_name],"Missing")</f>
        <v>Sales Rep 16</v>
      </c>
      <c r="R418" t="str">
        <f>_xlfn.XLOOKUP(D418,tblSalesReps[rep_id],tblSalesReps[region],"Missing")</f>
        <v>East</v>
      </c>
    </row>
    <row r="419" spans="1:18">
      <c r="A419" t="s">
        <v>732</v>
      </c>
      <c r="B419" t="s">
        <v>257</v>
      </c>
      <c r="C419" t="s">
        <v>15</v>
      </c>
      <c r="D419" t="s">
        <v>63</v>
      </c>
      <c r="E419" s="1">
        <v>45838</v>
      </c>
      <c r="F419" s="1">
        <v>45899</v>
      </c>
      <c r="G419" s="1"/>
      <c r="H419" t="s">
        <v>43</v>
      </c>
      <c r="I419">
        <v>2</v>
      </c>
      <c r="J419">
        <v>15</v>
      </c>
      <c r="K419">
        <v>714000</v>
      </c>
      <c r="L419">
        <v>40</v>
      </c>
      <c r="M419" t="s">
        <v>29</v>
      </c>
      <c r="N419" t="str">
        <f>_xlfn.XLOOKUP(B419,tblCustomers[customer_id],tblCustomers[region],"Missing")</f>
        <v>South</v>
      </c>
      <c r="O419" t="str">
        <f>_xlfn.XLOOKUP(C419,tblProducts[product_id],tblProducts[product_name],"Missing")</f>
        <v>CRM Enterprise</v>
      </c>
      <c r="P419" t="str">
        <f>_xlfn.XLOOKUP(C419,tblProducts[product_id],tblProducts[category],"Missing")</f>
        <v>CRM</v>
      </c>
      <c r="Q419" t="str">
        <f>_xlfn.XLOOKUP(D419,tblSalesReps[rep_id],tblSalesReps[rep_name],"Missing")</f>
        <v>Sales Rep 05</v>
      </c>
      <c r="R419" t="str">
        <f>_xlfn.XLOOKUP(D419,tblSalesReps[rep_id],tblSalesReps[region],"Missing")</f>
        <v>South</v>
      </c>
    </row>
    <row r="420" spans="1:18">
      <c r="A420" t="s">
        <v>733</v>
      </c>
      <c r="B420" t="s">
        <v>147</v>
      </c>
      <c r="C420" t="s">
        <v>26</v>
      </c>
      <c r="D420" t="s">
        <v>119</v>
      </c>
      <c r="E420" s="1">
        <v>45859</v>
      </c>
      <c r="F420" s="1">
        <v>45905</v>
      </c>
      <c r="G420" s="1">
        <v>45905</v>
      </c>
      <c r="H420" t="s">
        <v>28</v>
      </c>
      <c r="I420">
        <v>3</v>
      </c>
      <c r="J420">
        <v>0</v>
      </c>
      <c r="K420">
        <v>1080000</v>
      </c>
      <c r="L420">
        <v>100</v>
      </c>
      <c r="M420" t="s">
        <v>29</v>
      </c>
      <c r="N420" t="str">
        <f>_xlfn.XLOOKUP(B420,tblCustomers[customer_id],tblCustomers[region],"Missing")</f>
        <v>North</v>
      </c>
      <c r="O420" t="str">
        <f>_xlfn.XLOOKUP(C420,tblProducts[product_id],tblProducts[product_name],"Missing")</f>
        <v>Security Suite</v>
      </c>
      <c r="P420" t="str">
        <f>_xlfn.XLOOKUP(C420,tblProducts[product_id],tblProducts[category],"Missing")</f>
        <v>Security</v>
      </c>
      <c r="Q420" t="str">
        <f>_xlfn.XLOOKUP(D420,tblSalesReps[rep_id],tblSalesReps[rep_name],"Missing")</f>
        <v>Sales Rep 10</v>
      </c>
      <c r="R420" t="str">
        <f>_xlfn.XLOOKUP(D420,tblSalesReps[rep_id],tblSalesReps[region],"Missing")</f>
        <v>North</v>
      </c>
    </row>
    <row r="421" spans="1:18">
      <c r="A421" t="s">
        <v>734</v>
      </c>
      <c r="B421" t="s">
        <v>154</v>
      </c>
      <c r="C421" t="s">
        <v>62</v>
      </c>
      <c r="D421" t="s">
        <v>32</v>
      </c>
      <c r="E421" s="1">
        <v>45909</v>
      </c>
      <c r="F421" s="1">
        <v>45983</v>
      </c>
      <c r="G421" s="1">
        <v>45983</v>
      </c>
      <c r="H421" t="s">
        <v>28</v>
      </c>
      <c r="I421">
        <v>3</v>
      </c>
      <c r="J421">
        <v>5</v>
      </c>
      <c r="K421">
        <v>342000</v>
      </c>
      <c r="L421">
        <v>100</v>
      </c>
      <c r="M421" t="s">
        <v>29</v>
      </c>
      <c r="N421" t="str">
        <f>_xlfn.XLOOKUP(B421,tblCustomers[customer_id],tblCustomers[region],"Missing")</f>
        <v>South</v>
      </c>
      <c r="O421" t="str">
        <f>_xlfn.XLOOKUP(C421,tblProducts[product_id],tblProducts[product_name],"Missing")</f>
        <v>CRM Essentials</v>
      </c>
      <c r="P421" t="str">
        <f>_xlfn.XLOOKUP(C421,tblProducts[product_id],tblProducts[category],"Missing")</f>
        <v>CRM</v>
      </c>
      <c r="Q421" t="str">
        <f>_xlfn.XLOOKUP(D421,tblSalesReps[rep_id],tblSalesReps[rep_name],"Missing")</f>
        <v>Sales Rep 04</v>
      </c>
      <c r="R421" t="str">
        <f>_xlfn.XLOOKUP(D421,tblSalesReps[rep_id],tblSalesReps[region],"Missing")</f>
        <v>South</v>
      </c>
    </row>
    <row r="422" spans="1:18">
      <c r="A422" t="s">
        <v>735</v>
      </c>
      <c r="B422" t="s">
        <v>151</v>
      </c>
      <c r="C422" t="s">
        <v>21</v>
      </c>
      <c r="D422" t="s">
        <v>152</v>
      </c>
      <c r="E422" s="1">
        <v>45844</v>
      </c>
      <c r="F422" s="1">
        <v>45874</v>
      </c>
      <c r="G422" s="1">
        <v>45874</v>
      </c>
      <c r="H422" t="s">
        <v>17</v>
      </c>
      <c r="I422">
        <v>3</v>
      </c>
      <c r="J422">
        <v>10</v>
      </c>
      <c r="K422">
        <v>648000</v>
      </c>
      <c r="L422">
        <v>0</v>
      </c>
      <c r="M422" t="s">
        <v>82</v>
      </c>
      <c r="N422" t="str">
        <f>_xlfn.XLOOKUP(B422,tblCustomers[customer_id],tblCustomers[region],"Missing")</f>
        <v>East</v>
      </c>
      <c r="O422" t="str">
        <f>_xlfn.XLOOKUP(C422,tblProducts[product_id],tblProducts[product_name],"Missing")</f>
        <v>Workflow Automate</v>
      </c>
      <c r="P422" t="str">
        <f>_xlfn.XLOOKUP(C422,tblProducts[product_id],tblProducts[category],"Missing")</f>
        <v>Automation</v>
      </c>
      <c r="Q422" t="str">
        <f>_xlfn.XLOOKUP(D422,tblSalesReps[rep_id],tblSalesReps[rep_name],"Missing")</f>
        <v>Sales Rep 18</v>
      </c>
      <c r="R422" t="str">
        <f>_xlfn.XLOOKUP(D422,tblSalesReps[rep_id],tblSalesReps[region],"Missing")</f>
        <v>East</v>
      </c>
    </row>
    <row r="423" spans="1:18">
      <c r="A423" t="s">
        <v>736</v>
      </c>
      <c r="B423" t="s">
        <v>737</v>
      </c>
      <c r="C423" t="s">
        <v>21</v>
      </c>
      <c r="D423" t="s">
        <v>46</v>
      </c>
      <c r="E423" s="1">
        <v>45740</v>
      </c>
      <c r="F423" s="1">
        <v>45808</v>
      </c>
      <c r="G423" s="1">
        <v>45808</v>
      </c>
      <c r="H423" t="s">
        <v>17</v>
      </c>
      <c r="I423">
        <v>1</v>
      </c>
      <c r="J423">
        <v>0</v>
      </c>
      <c r="K423">
        <v>240000</v>
      </c>
      <c r="L423">
        <v>0</v>
      </c>
      <c r="M423" t="s">
        <v>82</v>
      </c>
      <c r="N423" t="str">
        <f>_xlfn.XLOOKUP(B423,tblCustomers[customer_id],tblCustomers[region],"Missing")</f>
        <v>South</v>
      </c>
      <c r="O423" t="str">
        <f>_xlfn.XLOOKUP(C423,tblProducts[product_id],tblProducts[product_name],"Missing")</f>
        <v>Workflow Automate</v>
      </c>
      <c r="P423" t="str">
        <f>_xlfn.XLOOKUP(C423,tblProducts[product_id],tblProducts[category],"Missing")</f>
        <v>Automation</v>
      </c>
      <c r="Q423" t="str">
        <f>_xlfn.XLOOKUP(D423,tblSalesReps[rep_id],tblSalesReps[rep_name],"Missing")</f>
        <v>Sales Rep 01</v>
      </c>
      <c r="R423" t="str">
        <f>_xlfn.XLOOKUP(D423,tblSalesReps[rep_id],tblSalesReps[region],"Missing")</f>
        <v>South</v>
      </c>
    </row>
    <row r="424" spans="1:18">
      <c r="A424" t="s">
        <v>738</v>
      </c>
      <c r="B424" t="s">
        <v>739</v>
      </c>
      <c r="C424" t="s">
        <v>62</v>
      </c>
      <c r="D424" t="s">
        <v>40</v>
      </c>
      <c r="E424" s="1">
        <v>45877</v>
      </c>
      <c r="F424" s="1">
        <v>45885</v>
      </c>
      <c r="G424" s="1"/>
      <c r="H424" t="s">
        <v>43</v>
      </c>
      <c r="I424">
        <v>2</v>
      </c>
      <c r="J424">
        <v>15</v>
      </c>
      <c r="K424">
        <v>204000</v>
      </c>
      <c r="L424">
        <v>60</v>
      </c>
      <c r="M424" t="s">
        <v>29</v>
      </c>
      <c r="N424" t="str">
        <f>_xlfn.XLOOKUP(B424,tblCustomers[customer_id],tblCustomers[region],"Missing")</f>
        <v>West</v>
      </c>
      <c r="O424" t="str">
        <f>_xlfn.XLOOKUP(C424,tblProducts[product_id],tblProducts[product_name],"Missing")</f>
        <v>CRM Essentials</v>
      </c>
      <c r="P424" t="str">
        <f>_xlfn.XLOOKUP(C424,tblProducts[product_id],tblProducts[category],"Missing")</f>
        <v>CRM</v>
      </c>
      <c r="Q424" t="str">
        <f>_xlfn.XLOOKUP(D424,tblSalesReps[rep_id],tblSalesReps[rep_name],"Missing")</f>
        <v>Sales Rep 13</v>
      </c>
      <c r="R424" t="str">
        <f>_xlfn.XLOOKUP(D424,tblSalesReps[rep_id],tblSalesReps[region],"Missing")</f>
        <v>West</v>
      </c>
    </row>
    <row r="425" spans="1:18">
      <c r="A425" t="s">
        <v>740</v>
      </c>
      <c r="B425" t="s">
        <v>741</v>
      </c>
      <c r="C425" t="s">
        <v>15</v>
      </c>
      <c r="D425" t="s">
        <v>22</v>
      </c>
      <c r="E425" s="1">
        <v>45759</v>
      </c>
      <c r="F425" s="1">
        <v>45779</v>
      </c>
      <c r="G425" s="1">
        <v>45779</v>
      </c>
      <c r="H425" t="s">
        <v>17</v>
      </c>
      <c r="I425">
        <v>3</v>
      </c>
      <c r="J425">
        <v>20</v>
      </c>
      <c r="K425">
        <v>1008000</v>
      </c>
      <c r="L425">
        <v>0</v>
      </c>
      <c r="M425" t="s">
        <v>47</v>
      </c>
      <c r="N425" t="str">
        <f>_xlfn.XLOOKUP(B425,tblCustomers[customer_id],tblCustomers[region],"Missing")</f>
        <v>West</v>
      </c>
      <c r="O425" t="str">
        <f>_xlfn.XLOOKUP(C425,tblProducts[product_id],tblProducts[product_name],"Missing")</f>
        <v>CRM Enterprise</v>
      </c>
      <c r="P425" t="str">
        <f>_xlfn.XLOOKUP(C425,tblProducts[product_id],tblProducts[category],"Missing")</f>
        <v>CRM</v>
      </c>
      <c r="Q425" t="str">
        <f>_xlfn.XLOOKUP(D425,tblSalesReps[rep_id],tblSalesReps[rep_name],"Missing")</f>
        <v>Sales Rep 14</v>
      </c>
      <c r="R425" t="str">
        <f>_xlfn.XLOOKUP(D425,tblSalesReps[rep_id],tblSalesReps[region],"Missing")</f>
        <v>West</v>
      </c>
    </row>
    <row r="426" spans="1:18">
      <c r="A426" t="s">
        <v>742</v>
      </c>
      <c r="B426" t="s">
        <v>743</v>
      </c>
      <c r="C426" t="s">
        <v>39</v>
      </c>
      <c r="D426" t="s">
        <v>78</v>
      </c>
      <c r="E426" s="1">
        <v>45704</v>
      </c>
      <c r="F426" s="1">
        <v>45759</v>
      </c>
      <c r="G426" s="1"/>
      <c r="H426" t="s">
        <v>43</v>
      </c>
      <c r="I426">
        <v>2</v>
      </c>
      <c r="J426">
        <v>20</v>
      </c>
      <c r="K426">
        <v>288000</v>
      </c>
      <c r="L426">
        <v>60</v>
      </c>
      <c r="M426" t="s">
        <v>29</v>
      </c>
      <c r="N426" t="str">
        <f>_xlfn.XLOOKUP(B426,tblCustomers[customer_id],tblCustomers[region],"Missing")</f>
        <v>West</v>
      </c>
      <c r="O426" t="str">
        <f>_xlfn.XLOOKUP(C426,tblProducts[product_id],tblProducts[product_name],"Missing")</f>
        <v>Support Desk</v>
      </c>
      <c r="P426" t="str">
        <f>_xlfn.XLOOKUP(C426,tblProducts[product_id],tblProducts[category],"Missing")</f>
        <v>Service</v>
      </c>
      <c r="Q426" t="str">
        <f>_xlfn.XLOOKUP(D426,tblSalesReps[rep_id],tblSalesReps[rep_name],"Missing")</f>
        <v>Sales Rep 12</v>
      </c>
      <c r="R426" t="str">
        <f>_xlfn.XLOOKUP(D426,tblSalesReps[rep_id],tblSalesReps[region],"Missing")</f>
        <v>West</v>
      </c>
    </row>
    <row r="427" spans="1:18">
      <c r="A427" t="s">
        <v>744</v>
      </c>
      <c r="B427" t="s">
        <v>745</v>
      </c>
      <c r="C427" t="s">
        <v>21</v>
      </c>
      <c r="D427" t="s">
        <v>91</v>
      </c>
      <c r="E427" s="1">
        <v>45801</v>
      </c>
      <c r="F427" s="1">
        <v>45861</v>
      </c>
      <c r="G427" s="1"/>
      <c r="H427" t="s">
        <v>43</v>
      </c>
      <c r="I427">
        <v>1</v>
      </c>
      <c r="J427">
        <v>10</v>
      </c>
      <c r="K427">
        <v>216000</v>
      </c>
      <c r="L427">
        <v>20</v>
      </c>
      <c r="M427" t="s">
        <v>29</v>
      </c>
      <c r="N427" t="str">
        <f>_xlfn.XLOOKUP(B427,tblCustomers[customer_id],tblCustomers[region],"Missing")</f>
        <v>South</v>
      </c>
      <c r="O427" t="str">
        <f>_xlfn.XLOOKUP(C427,tblProducts[product_id],tblProducts[product_name],"Missing")</f>
        <v>Workflow Automate</v>
      </c>
      <c r="P427" t="str">
        <f>_xlfn.XLOOKUP(C427,tblProducts[product_id],tblProducts[category],"Missing")</f>
        <v>Automation</v>
      </c>
      <c r="Q427" t="str">
        <f>_xlfn.XLOOKUP(D427,tblSalesReps[rep_id],tblSalesReps[rep_name],"Missing")</f>
        <v>Sales Rep 03</v>
      </c>
      <c r="R427" t="str">
        <f>_xlfn.XLOOKUP(D427,tblSalesReps[rep_id],tblSalesReps[region],"Missing")</f>
        <v>South</v>
      </c>
    </row>
    <row r="428" spans="1:18">
      <c r="A428" t="s">
        <v>746</v>
      </c>
      <c r="B428" t="s">
        <v>589</v>
      </c>
      <c r="C428" t="s">
        <v>39</v>
      </c>
      <c r="D428" t="s">
        <v>53</v>
      </c>
      <c r="E428" s="1">
        <v>45878</v>
      </c>
      <c r="F428" s="1">
        <v>45947</v>
      </c>
      <c r="G428" s="1">
        <v>45947</v>
      </c>
      <c r="H428" t="s">
        <v>28</v>
      </c>
      <c r="I428">
        <v>1</v>
      </c>
      <c r="J428">
        <v>10</v>
      </c>
      <c r="K428">
        <v>162000</v>
      </c>
      <c r="L428">
        <v>100</v>
      </c>
      <c r="M428" t="s">
        <v>29</v>
      </c>
      <c r="N428" t="str">
        <f>_xlfn.XLOOKUP(B428,tblCustomers[customer_id],tblCustomers[region],"Missing")</f>
        <v>East</v>
      </c>
      <c r="O428" t="str">
        <f>_xlfn.XLOOKUP(C428,tblProducts[product_id],tblProducts[product_name],"Missing")</f>
        <v>Support Desk</v>
      </c>
      <c r="P428" t="str">
        <f>_xlfn.XLOOKUP(C428,tblProducts[product_id],tblProducts[category],"Missing")</f>
        <v>Service</v>
      </c>
      <c r="Q428" t="str">
        <f>_xlfn.XLOOKUP(D428,tblSalesReps[rep_id],tblSalesReps[rep_name],"Missing")</f>
        <v>Sales Rep 16</v>
      </c>
      <c r="R428" t="str">
        <f>_xlfn.XLOOKUP(D428,tblSalesReps[rep_id],tblSalesReps[region],"Missing")</f>
        <v>East</v>
      </c>
    </row>
    <row r="429" spans="1:18">
      <c r="A429" t="s">
        <v>747</v>
      </c>
      <c r="B429" t="s">
        <v>167</v>
      </c>
      <c r="C429" t="s">
        <v>21</v>
      </c>
      <c r="D429" t="s">
        <v>56</v>
      </c>
      <c r="E429" s="1">
        <v>45928</v>
      </c>
      <c r="F429" s="1">
        <v>45965</v>
      </c>
      <c r="G429" s="1">
        <v>45965</v>
      </c>
      <c r="H429" t="s">
        <v>17</v>
      </c>
      <c r="I429">
        <v>1</v>
      </c>
      <c r="J429">
        <v>5</v>
      </c>
      <c r="K429">
        <v>228000</v>
      </c>
      <c r="L429">
        <v>0</v>
      </c>
      <c r="M429" t="s">
        <v>23</v>
      </c>
      <c r="N429" t="str">
        <f>_xlfn.XLOOKUP(B429,tblCustomers[customer_id],tblCustomers[region],"Missing")</f>
        <v>East</v>
      </c>
      <c r="O429" t="str">
        <f>_xlfn.XLOOKUP(C429,tblProducts[product_id],tblProducts[product_name],"Missing")</f>
        <v>Workflow Automate</v>
      </c>
      <c r="P429" t="str">
        <f>_xlfn.XLOOKUP(C429,tblProducts[product_id],tblProducts[category],"Missing")</f>
        <v>Automation</v>
      </c>
      <c r="Q429" t="str">
        <f>_xlfn.XLOOKUP(D429,tblSalesReps[rep_id],tblSalesReps[rep_name],"Missing")</f>
        <v>Sales Rep 20</v>
      </c>
      <c r="R429" t="str">
        <f>_xlfn.XLOOKUP(D429,tblSalesReps[rep_id],tblSalesReps[region],"Missing")</f>
        <v>East</v>
      </c>
    </row>
    <row r="430" spans="1:18">
      <c r="A430" t="s">
        <v>748</v>
      </c>
      <c r="B430" t="s">
        <v>749</v>
      </c>
      <c r="C430" t="s">
        <v>15</v>
      </c>
      <c r="D430" t="s">
        <v>126</v>
      </c>
      <c r="E430" s="1">
        <v>46018</v>
      </c>
      <c r="F430" s="1">
        <v>46037</v>
      </c>
      <c r="G430" s="1"/>
      <c r="H430" t="s">
        <v>43</v>
      </c>
      <c r="I430">
        <v>1</v>
      </c>
      <c r="J430">
        <v>20</v>
      </c>
      <c r="K430">
        <v>336000</v>
      </c>
      <c r="L430">
        <v>60</v>
      </c>
      <c r="M430" t="s">
        <v>29</v>
      </c>
      <c r="N430" t="str">
        <f>_xlfn.XLOOKUP(B430,tblCustomers[customer_id],tblCustomers[region],"Missing")</f>
        <v>South</v>
      </c>
      <c r="O430" t="str">
        <f>_xlfn.XLOOKUP(C430,tblProducts[product_id],tblProducts[product_name],"Missing")</f>
        <v>CRM Enterprise</v>
      </c>
      <c r="P430" t="str">
        <f>_xlfn.XLOOKUP(C430,tblProducts[product_id],tblProducts[category],"Missing")</f>
        <v>CRM</v>
      </c>
      <c r="Q430" t="str">
        <f>_xlfn.XLOOKUP(D430,tblSalesReps[rep_id],tblSalesReps[rep_name],"Missing")</f>
        <v>Sales Rep 02</v>
      </c>
      <c r="R430" t="str">
        <f>_xlfn.XLOOKUP(D430,tblSalesReps[rep_id],tblSalesReps[region],"Missing")</f>
        <v>South</v>
      </c>
    </row>
    <row r="431" spans="1:18">
      <c r="A431" t="s">
        <v>750</v>
      </c>
      <c r="B431" t="s">
        <v>209</v>
      </c>
      <c r="C431" t="s">
        <v>21</v>
      </c>
      <c r="D431" t="s">
        <v>22</v>
      </c>
      <c r="E431" s="1">
        <v>45980</v>
      </c>
      <c r="F431" s="1">
        <v>46042</v>
      </c>
      <c r="G431" s="1"/>
      <c r="H431" t="s">
        <v>43</v>
      </c>
      <c r="I431">
        <v>1</v>
      </c>
      <c r="J431">
        <v>15</v>
      </c>
      <c r="K431">
        <v>204000</v>
      </c>
      <c r="L431">
        <v>80</v>
      </c>
      <c r="M431" t="s">
        <v>29</v>
      </c>
      <c r="N431" t="str">
        <f>_xlfn.XLOOKUP(B431,tblCustomers[customer_id],tblCustomers[region],"Missing")</f>
        <v>West</v>
      </c>
      <c r="O431" t="str">
        <f>_xlfn.XLOOKUP(C431,tblProducts[product_id],tblProducts[product_name],"Missing")</f>
        <v>Workflow Automate</v>
      </c>
      <c r="P431" t="str">
        <f>_xlfn.XLOOKUP(C431,tblProducts[product_id],tblProducts[category],"Missing")</f>
        <v>Automation</v>
      </c>
      <c r="Q431" t="str">
        <f>_xlfn.XLOOKUP(D431,tblSalesReps[rep_id],tblSalesReps[rep_name],"Missing")</f>
        <v>Sales Rep 14</v>
      </c>
      <c r="R431" t="str">
        <f>_xlfn.XLOOKUP(D431,tblSalesReps[rep_id],tblSalesReps[region],"Missing")</f>
        <v>West</v>
      </c>
    </row>
    <row r="432" spans="1:18">
      <c r="A432" t="s">
        <v>751</v>
      </c>
      <c r="B432" t="s">
        <v>662</v>
      </c>
      <c r="C432" t="s">
        <v>39</v>
      </c>
      <c r="D432" t="s">
        <v>46</v>
      </c>
      <c r="E432" s="1">
        <v>46013</v>
      </c>
      <c r="F432" s="1">
        <v>46070</v>
      </c>
      <c r="G432" s="1"/>
      <c r="H432" t="s">
        <v>43</v>
      </c>
      <c r="I432">
        <v>2</v>
      </c>
      <c r="J432">
        <v>20</v>
      </c>
      <c r="K432">
        <v>288000</v>
      </c>
      <c r="L432">
        <v>20</v>
      </c>
      <c r="M432" t="s">
        <v>29</v>
      </c>
      <c r="N432" t="str">
        <f>_xlfn.XLOOKUP(B432,tblCustomers[customer_id],tblCustomers[region],"Missing")</f>
        <v>South</v>
      </c>
      <c r="O432" t="str">
        <f>_xlfn.XLOOKUP(C432,tblProducts[product_id],tblProducts[product_name],"Missing")</f>
        <v>Support Desk</v>
      </c>
      <c r="P432" t="str">
        <f>_xlfn.XLOOKUP(C432,tblProducts[product_id],tblProducts[category],"Missing")</f>
        <v>Service</v>
      </c>
      <c r="Q432" t="str">
        <f>_xlfn.XLOOKUP(D432,tblSalesReps[rep_id],tblSalesReps[rep_name],"Missing")</f>
        <v>Sales Rep 01</v>
      </c>
      <c r="R432" t="str">
        <f>_xlfn.XLOOKUP(D432,tblSalesReps[rep_id],tblSalesReps[region],"Missing")</f>
        <v>South</v>
      </c>
    </row>
    <row r="433" spans="1:18">
      <c r="A433" t="s">
        <v>752</v>
      </c>
      <c r="B433" t="s">
        <v>753</v>
      </c>
      <c r="C433" t="s">
        <v>62</v>
      </c>
      <c r="D433" t="s">
        <v>75</v>
      </c>
      <c r="E433" s="1">
        <v>45950</v>
      </c>
      <c r="F433" s="1">
        <v>45958</v>
      </c>
      <c r="G433" s="1">
        <v>45958</v>
      </c>
      <c r="H433" t="s">
        <v>28</v>
      </c>
      <c r="I433">
        <v>3</v>
      </c>
      <c r="J433">
        <v>15</v>
      </c>
      <c r="K433">
        <v>306000</v>
      </c>
      <c r="L433">
        <v>100</v>
      </c>
      <c r="M433" t="s">
        <v>29</v>
      </c>
      <c r="N433" t="str">
        <f>_xlfn.XLOOKUP(B433,tblCustomers[customer_id],tblCustomers[region],"Missing")</f>
        <v>North</v>
      </c>
      <c r="O433" t="str">
        <f>_xlfn.XLOOKUP(C433,tblProducts[product_id],tblProducts[product_name],"Missing")</f>
        <v>CRM Essentials</v>
      </c>
      <c r="P433" t="str">
        <f>_xlfn.XLOOKUP(C433,tblProducts[product_id],tblProducts[category],"Missing")</f>
        <v>CRM</v>
      </c>
      <c r="Q433" t="str">
        <f>_xlfn.XLOOKUP(D433,tblSalesReps[rep_id],tblSalesReps[rep_name],"Missing")</f>
        <v>Sales Rep 07</v>
      </c>
      <c r="R433" t="str">
        <f>_xlfn.XLOOKUP(D433,tblSalesReps[rep_id],tblSalesReps[region],"Missing")</f>
        <v>North</v>
      </c>
    </row>
    <row r="434" spans="1:18">
      <c r="A434" t="s">
        <v>754</v>
      </c>
      <c r="B434" t="s">
        <v>755</v>
      </c>
      <c r="C434" t="s">
        <v>26</v>
      </c>
      <c r="D434" t="s">
        <v>75</v>
      </c>
      <c r="E434" s="1">
        <v>45800</v>
      </c>
      <c r="F434" s="1">
        <v>45841</v>
      </c>
      <c r="G434" s="1"/>
      <c r="H434" t="s">
        <v>43</v>
      </c>
      <c r="I434">
        <v>1</v>
      </c>
      <c r="J434">
        <v>5</v>
      </c>
      <c r="K434">
        <v>342000</v>
      </c>
      <c r="L434">
        <v>40</v>
      </c>
      <c r="M434" t="s">
        <v>29</v>
      </c>
      <c r="N434" t="str">
        <f>_xlfn.XLOOKUP(B434,tblCustomers[customer_id],tblCustomers[region],"Missing")</f>
        <v>North</v>
      </c>
      <c r="O434" t="str">
        <f>_xlfn.XLOOKUP(C434,tblProducts[product_id],tblProducts[product_name],"Missing")</f>
        <v>Security Suite</v>
      </c>
      <c r="P434" t="str">
        <f>_xlfn.XLOOKUP(C434,tblProducts[product_id],tblProducts[category],"Missing")</f>
        <v>Security</v>
      </c>
      <c r="Q434" t="str">
        <f>_xlfn.XLOOKUP(D434,tblSalesReps[rep_id],tblSalesReps[rep_name],"Missing")</f>
        <v>Sales Rep 07</v>
      </c>
      <c r="R434" t="str">
        <f>_xlfn.XLOOKUP(D434,tblSalesReps[rep_id],tblSalesReps[region],"Missing")</f>
        <v>North</v>
      </c>
    </row>
    <row r="435" spans="1:18">
      <c r="A435" t="s">
        <v>756</v>
      </c>
      <c r="B435" t="s">
        <v>757</v>
      </c>
      <c r="C435" t="s">
        <v>26</v>
      </c>
      <c r="D435" t="s">
        <v>119</v>
      </c>
      <c r="E435" s="1">
        <v>45793</v>
      </c>
      <c r="F435" s="1">
        <v>45852</v>
      </c>
      <c r="G435" s="1">
        <v>45852</v>
      </c>
      <c r="H435" t="s">
        <v>17</v>
      </c>
      <c r="I435">
        <v>3</v>
      </c>
      <c r="J435">
        <v>10</v>
      </c>
      <c r="K435">
        <v>972000</v>
      </c>
      <c r="L435">
        <v>0</v>
      </c>
      <c r="M435" t="s">
        <v>23</v>
      </c>
      <c r="N435" t="str">
        <f>_xlfn.XLOOKUP(B435,tblCustomers[customer_id],tblCustomers[region],"Missing")</f>
        <v>North</v>
      </c>
      <c r="O435" t="str">
        <f>_xlfn.XLOOKUP(C435,tblProducts[product_id],tblProducts[product_name],"Missing")</f>
        <v>Security Suite</v>
      </c>
      <c r="P435" t="str">
        <f>_xlfn.XLOOKUP(C435,tblProducts[product_id],tblProducts[category],"Missing")</f>
        <v>Security</v>
      </c>
      <c r="Q435" t="str">
        <f>_xlfn.XLOOKUP(D435,tblSalesReps[rep_id],tblSalesReps[rep_name],"Missing")</f>
        <v>Sales Rep 10</v>
      </c>
      <c r="R435" t="str">
        <f>_xlfn.XLOOKUP(D435,tblSalesReps[rep_id],tblSalesReps[region],"Missing")</f>
        <v>North</v>
      </c>
    </row>
    <row r="436" spans="1:18">
      <c r="A436" t="s">
        <v>758</v>
      </c>
      <c r="B436" t="s">
        <v>759</v>
      </c>
      <c r="C436" t="s">
        <v>62</v>
      </c>
      <c r="D436" t="s">
        <v>56</v>
      </c>
      <c r="E436" s="1">
        <v>45994</v>
      </c>
      <c r="F436" s="1">
        <v>46075</v>
      </c>
      <c r="G436" s="1"/>
      <c r="H436" t="s">
        <v>43</v>
      </c>
      <c r="I436">
        <v>1</v>
      </c>
      <c r="J436">
        <v>15</v>
      </c>
      <c r="K436">
        <v>102000</v>
      </c>
      <c r="L436">
        <v>60</v>
      </c>
      <c r="M436" t="s">
        <v>29</v>
      </c>
      <c r="N436" t="str">
        <f>_xlfn.XLOOKUP(B436,tblCustomers[customer_id],tblCustomers[region],"Missing")</f>
        <v>East</v>
      </c>
      <c r="O436" t="str">
        <f>_xlfn.XLOOKUP(C436,tblProducts[product_id],tblProducts[product_name],"Missing")</f>
        <v>CRM Essentials</v>
      </c>
      <c r="P436" t="str">
        <f>_xlfn.XLOOKUP(C436,tblProducts[product_id],tblProducts[category],"Missing")</f>
        <v>CRM</v>
      </c>
      <c r="Q436" t="str">
        <f>_xlfn.XLOOKUP(D436,tblSalesReps[rep_id],tblSalesReps[rep_name],"Missing")</f>
        <v>Sales Rep 20</v>
      </c>
      <c r="R436" t="str">
        <f>_xlfn.XLOOKUP(D436,tblSalesReps[rep_id],tblSalesReps[region],"Missing")</f>
        <v>East</v>
      </c>
    </row>
    <row r="437" spans="1:18">
      <c r="A437" t="s">
        <v>760</v>
      </c>
      <c r="B437" t="s">
        <v>761</v>
      </c>
      <c r="C437" t="s">
        <v>15</v>
      </c>
      <c r="D437" t="s">
        <v>32</v>
      </c>
      <c r="E437" s="1">
        <v>45846</v>
      </c>
      <c r="F437" s="1">
        <v>45914</v>
      </c>
      <c r="G437" s="1">
        <v>45914</v>
      </c>
      <c r="H437" t="s">
        <v>28</v>
      </c>
      <c r="I437">
        <v>1</v>
      </c>
      <c r="J437">
        <v>15</v>
      </c>
      <c r="K437">
        <v>357000</v>
      </c>
      <c r="L437">
        <v>100</v>
      </c>
      <c r="M437" t="s">
        <v>29</v>
      </c>
      <c r="N437" t="str">
        <f>_xlfn.XLOOKUP(B437,tblCustomers[customer_id],tblCustomers[region],"Missing")</f>
        <v>South</v>
      </c>
      <c r="O437" t="str">
        <f>_xlfn.XLOOKUP(C437,tblProducts[product_id],tblProducts[product_name],"Missing")</f>
        <v>CRM Enterprise</v>
      </c>
      <c r="P437" t="str">
        <f>_xlfn.XLOOKUP(C437,tblProducts[product_id],tblProducts[category],"Missing")</f>
        <v>CRM</v>
      </c>
      <c r="Q437" t="str">
        <f>_xlfn.XLOOKUP(D437,tblSalesReps[rep_id],tblSalesReps[rep_name],"Missing")</f>
        <v>Sales Rep 04</v>
      </c>
      <c r="R437" t="str">
        <f>_xlfn.XLOOKUP(D437,tblSalesReps[rep_id],tblSalesReps[region],"Missing")</f>
        <v>South</v>
      </c>
    </row>
    <row r="438" spans="1:18">
      <c r="A438" t="s">
        <v>762</v>
      </c>
      <c r="B438" t="s">
        <v>763</v>
      </c>
      <c r="C438" t="s">
        <v>81</v>
      </c>
      <c r="D438" t="s">
        <v>75</v>
      </c>
      <c r="E438" s="1">
        <v>45890</v>
      </c>
      <c r="F438" s="1">
        <v>45948</v>
      </c>
      <c r="G438" s="1"/>
      <c r="H438" t="s">
        <v>43</v>
      </c>
      <c r="I438">
        <v>1</v>
      </c>
      <c r="J438">
        <v>20</v>
      </c>
      <c r="K438">
        <v>240000</v>
      </c>
      <c r="L438">
        <v>40</v>
      </c>
      <c r="M438" t="s">
        <v>29</v>
      </c>
      <c r="N438" t="str">
        <f>_xlfn.XLOOKUP(B438,tblCustomers[customer_id],tblCustomers[region],"Missing")</f>
        <v>North</v>
      </c>
      <c r="O438" t="str">
        <f>_xlfn.XLOOKUP(C438,tblProducts[product_id],tblProducts[product_name],"Missing")</f>
        <v>Analytics Cloud</v>
      </c>
      <c r="P438" t="str">
        <f>_xlfn.XLOOKUP(C438,tblProducts[product_id],tblProducts[category],"Missing")</f>
        <v>Analytics</v>
      </c>
      <c r="Q438" t="str">
        <f>_xlfn.XLOOKUP(D438,tblSalesReps[rep_id],tblSalesReps[rep_name],"Missing")</f>
        <v>Sales Rep 07</v>
      </c>
      <c r="R438" t="str">
        <f>_xlfn.XLOOKUP(D438,tblSalesReps[rep_id],tblSalesReps[region],"Missing")</f>
        <v>North</v>
      </c>
    </row>
    <row r="439" spans="1:18">
      <c r="A439" t="s">
        <v>764</v>
      </c>
      <c r="B439" t="s">
        <v>592</v>
      </c>
      <c r="C439" t="s">
        <v>62</v>
      </c>
      <c r="D439" t="s">
        <v>53</v>
      </c>
      <c r="E439" s="1">
        <v>45725</v>
      </c>
      <c r="F439" s="1">
        <v>45742</v>
      </c>
      <c r="G439" s="1">
        <v>45742</v>
      </c>
      <c r="H439" t="s">
        <v>28</v>
      </c>
      <c r="I439">
        <v>1</v>
      </c>
      <c r="J439">
        <v>5</v>
      </c>
      <c r="K439">
        <v>114000</v>
      </c>
      <c r="L439">
        <v>100</v>
      </c>
      <c r="M439" t="s">
        <v>29</v>
      </c>
      <c r="N439" t="str">
        <f>_xlfn.XLOOKUP(B439,tblCustomers[customer_id],tblCustomers[region],"Missing")</f>
        <v>East</v>
      </c>
      <c r="O439" t="str">
        <f>_xlfn.XLOOKUP(C439,tblProducts[product_id],tblProducts[product_name],"Missing")</f>
        <v>CRM Essentials</v>
      </c>
      <c r="P439" t="str">
        <f>_xlfn.XLOOKUP(C439,tblProducts[product_id],tblProducts[category],"Missing")</f>
        <v>CRM</v>
      </c>
      <c r="Q439" t="str">
        <f>_xlfn.XLOOKUP(D439,tblSalesReps[rep_id],tblSalesReps[rep_name],"Missing")</f>
        <v>Sales Rep 16</v>
      </c>
      <c r="R439" t="str">
        <f>_xlfn.XLOOKUP(D439,tblSalesReps[rep_id],tblSalesReps[region],"Missing")</f>
        <v>East</v>
      </c>
    </row>
    <row r="440" spans="1:18">
      <c r="A440" t="s">
        <v>765</v>
      </c>
      <c r="B440" t="s">
        <v>143</v>
      </c>
      <c r="C440" t="s">
        <v>81</v>
      </c>
      <c r="D440" t="s">
        <v>119</v>
      </c>
      <c r="E440" s="1">
        <v>45885</v>
      </c>
      <c r="F440" s="1">
        <v>45931</v>
      </c>
      <c r="G440" s="1"/>
      <c r="H440" t="s">
        <v>43</v>
      </c>
      <c r="I440">
        <v>1</v>
      </c>
      <c r="J440">
        <v>15</v>
      </c>
      <c r="K440">
        <v>255000</v>
      </c>
      <c r="L440">
        <v>40</v>
      </c>
      <c r="M440" t="s">
        <v>29</v>
      </c>
      <c r="N440" t="str">
        <f>_xlfn.XLOOKUP(B440,tblCustomers[customer_id],tblCustomers[region],"Missing")</f>
        <v>North</v>
      </c>
      <c r="O440" t="str">
        <f>_xlfn.XLOOKUP(C440,tblProducts[product_id],tblProducts[product_name],"Missing")</f>
        <v>Analytics Cloud</v>
      </c>
      <c r="P440" t="str">
        <f>_xlfn.XLOOKUP(C440,tblProducts[product_id],tblProducts[category],"Missing")</f>
        <v>Analytics</v>
      </c>
      <c r="Q440" t="str">
        <f>_xlfn.XLOOKUP(D440,tblSalesReps[rep_id],tblSalesReps[rep_name],"Missing")</f>
        <v>Sales Rep 10</v>
      </c>
      <c r="R440" t="str">
        <f>_xlfn.XLOOKUP(D440,tblSalesReps[rep_id],tblSalesReps[region],"Missing")</f>
        <v>North</v>
      </c>
    </row>
    <row r="441" spans="1:18">
      <c r="A441" t="s">
        <v>766</v>
      </c>
      <c r="B441" t="s">
        <v>767</v>
      </c>
      <c r="C441" t="s">
        <v>21</v>
      </c>
      <c r="D441" t="s">
        <v>70</v>
      </c>
      <c r="E441" s="1">
        <v>45919</v>
      </c>
      <c r="F441" s="1">
        <v>45979</v>
      </c>
      <c r="G441" s="1"/>
      <c r="H441" t="s">
        <v>43</v>
      </c>
      <c r="I441">
        <v>1</v>
      </c>
      <c r="J441">
        <v>0</v>
      </c>
      <c r="K441">
        <v>240000</v>
      </c>
      <c r="L441">
        <v>40</v>
      </c>
      <c r="M441" t="s">
        <v>29</v>
      </c>
      <c r="N441" t="str">
        <f>_xlfn.XLOOKUP(B441,tblCustomers[customer_id],tblCustomers[region],"Missing")</f>
        <v>West</v>
      </c>
      <c r="O441" t="str">
        <f>_xlfn.XLOOKUP(C441,tblProducts[product_id],tblProducts[product_name],"Missing")</f>
        <v>Workflow Automate</v>
      </c>
      <c r="P441" t="str">
        <f>_xlfn.XLOOKUP(C441,tblProducts[product_id],tblProducts[category],"Missing")</f>
        <v>Automation</v>
      </c>
      <c r="Q441" t="str">
        <f>_xlfn.XLOOKUP(D441,tblSalesReps[rep_id],tblSalesReps[rep_name],"Missing")</f>
        <v>Sales Rep 11</v>
      </c>
      <c r="R441" t="str">
        <f>_xlfn.XLOOKUP(D441,tblSalesReps[rep_id],tblSalesReps[region],"Missing")</f>
        <v>West</v>
      </c>
    </row>
    <row r="442" spans="1:18">
      <c r="A442" t="s">
        <v>768</v>
      </c>
      <c r="B442" t="s">
        <v>769</v>
      </c>
      <c r="C442" t="s">
        <v>15</v>
      </c>
      <c r="D442" t="s">
        <v>32</v>
      </c>
      <c r="E442" s="1">
        <v>46009</v>
      </c>
      <c r="F442" s="1">
        <v>46030</v>
      </c>
      <c r="G442" s="1"/>
      <c r="H442" t="s">
        <v>43</v>
      </c>
      <c r="I442">
        <v>2</v>
      </c>
      <c r="J442">
        <v>5</v>
      </c>
      <c r="K442">
        <v>798000</v>
      </c>
      <c r="L442">
        <v>20</v>
      </c>
      <c r="M442" t="s">
        <v>29</v>
      </c>
      <c r="N442" t="str">
        <f>_xlfn.XLOOKUP(B442,tblCustomers[customer_id],tblCustomers[region],"Missing")</f>
        <v>South</v>
      </c>
      <c r="O442" t="str">
        <f>_xlfn.XLOOKUP(C442,tblProducts[product_id],tblProducts[product_name],"Missing")</f>
        <v>CRM Enterprise</v>
      </c>
      <c r="P442" t="str">
        <f>_xlfn.XLOOKUP(C442,tblProducts[product_id],tblProducts[category],"Missing")</f>
        <v>CRM</v>
      </c>
      <c r="Q442" t="str">
        <f>_xlfn.XLOOKUP(D442,tblSalesReps[rep_id],tblSalesReps[rep_name],"Missing")</f>
        <v>Sales Rep 04</v>
      </c>
      <c r="R442" t="str">
        <f>_xlfn.XLOOKUP(D442,tblSalesReps[rep_id],tblSalesReps[region],"Missing")</f>
        <v>South</v>
      </c>
    </row>
    <row r="443" spans="1:18">
      <c r="A443" t="s">
        <v>770</v>
      </c>
      <c r="B443" t="s">
        <v>209</v>
      </c>
      <c r="C443" t="s">
        <v>62</v>
      </c>
      <c r="D443" t="s">
        <v>50</v>
      </c>
      <c r="E443" s="1">
        <v>45735</v>
      </c>
      <c r="F443" s="1">
        <v>45809</v>
      </c>
      <c r="G443" s="1">
        <v>45809</v>
      </c>
      <c r="H443" t="s">
        <v>28</v>
      </c>
      <c r="I443">
        <v>1</v>
      </c>
      <c r="J443">
        <v>20</v>
      </c>
      <c r="K443">
        <v>96000</v>
      </c>
      <c r="L443">
        <v>100</v>
      </c>
      <c r="M443" t="s">
        <v>29</v>
      </c>
      <c r="N443" t="str">
        <f>_xlfn.XLOOKUP(B443,tblCustomers[customer_id],tblCustomers[region],"Missing")</f>
        <v>West</v>
      </c>
      <c r="O443" t="str">
        <f>_xlfn.XLOOKUP(C443,tblProducts[product_id],tblProducts[product_name],"Missing")</f>
        <v>CRM Essentials</v>
      </c>
      <c r="P443" t="str">
        <f>_xlfn.XLOOKUP(C443,tblProducts[product_id],tblProducts[category],"Missing")</f>
        <v>CRM</v>
      </c>
      <c r="Q443" t="str">
        <f>_xlfn.XLOOKUP(D443,tblSalesReps[rep_id],tblSalesReps[rep_name],"Missing")</f>
        <v>Sales Rep 15</v>
      </c>
      <c r="R443" t="str">
        <f>_xlfn.XLOOKUP(D443,tblSalesReps[rep_id],tblSalesReps[region],"Missing")</f>
        <v>West</v>
      </c>
    </row>
    <row r="444" spans="1:18">
      <c r="A444" t="s">
        <v>771</v>
      </c>
      <c r="B444" t="s">
        <v>160</v>
      </c>
      <c r="C444" t="s">
        <v>26</v>
      </c>
      <c r="D444" t="s">
        <v>168</v>
      </c>
      <c r="E444" s="1">
        <v>45821</v>
      </c>
      <c r="F444" s="1">
        <v>45885</v>
      </c>
      <c r="G444" s="1">
        <v>45885</v>
      </c>
      <c r="H444" t="s">
        <v>28</v>
      </c>
      <c r="I444">
        <v>2</v>
      </c>
      <c r="J444">
        <v>0</v>
      </c>
      <c r="K444">
        <v>720000</v>
      </c>
      <c r="L444">
        <v>100</v>
      </c>
      <c r="M444" t="s">
        <v>29</v>
      </c>
      <c r="N444" t="str">
        <f>_xlfn.XLOOKUP(B444,tblCustomers[customer_id],tblCustomers[region],"Missing")</f>
        <v>East</v>
      </c>
      <c r="O444" t="str">
        <f>_xlfn.XLOOKUP(C444,tblProducts[product_id],tblProducts[product_name],"Missing")</f>
        <v>Security Suite</v>
      </c>
      <c r="P444" t="str">
        <f>_xlfn.XLOOKUP(C444,tblProducts[product_id],tblProducts[category],"Missing")</f>
        <v>Security</v>
      </c>
      <c r="Q444" t="str">
        <f>_xlfn.XLOOKUP(D444,tblSalesReps[rep_id],tblSalesReps[rep_name],"Missing")</f>
        <v>Sales Rep 17</v>
      </c>
      <c r="R444" t="str">
        <f>_xlfn.XLOOKUP(D444,tblSalesReps[rep_id],tblSalesReps[region],"Missing")</f>
        <v>East</v>
      </c>
    </row>
    <row r="445" spans="1:18">
      <c r="A445" t="s">
        <v>772</v>
      </c>
      <c r="B445" t="s">
        <v>773</v>
      </c>
      <c r="C445" t="s">
        <v>15</v>
      </c>
      <c r="D445" t="s">
        <v>168</v>
      </c>
      <c r="E445" s="1">
        <v>45854</v>
      </c>
      <c r="F445" s="1">
        <v>45924</v>
      </c>
      <c r="G445" s="1">
        <v>45924</v>
      </c>
      <c r="H445" t="s">
        <v>17</v>
      </c>
      <c r="I445">
        <v>3</v>
      </c>
      <c r="J445">
        <v>20</v>
      </c>
      <c r="K445">
        <v>1008000</v>
      </c>
      <c r="L445">
        <v>0</v>
      </c>
      <c r="M445" t="s">
        <v>33</v>
      </c>
      <c r="N445" t="str">
        <f>_xlfn.XLOOKUP(B445,tblCustomers[customer_id],tblCustomers[region],"Missing")</f>
        <v>East</v>
      </c>
      <c r="O445" t="str">
        <f>_xlfn.XLOOKUP(C445,tblProducts[product_id],tblProducts[product_name],"Missing")</f>
        <v>CRM Enterprise</v>
      </c>
      <c r="P445" t="str">
        <f>_xlfn.XLOOKUP(C445,tblProducts[product_id],tblProducts[category],"Missing")</f>
        <v>CRM</v>
      </c>
      <c r="Q445" t="str">
        <f>_xlfn.XLOOKUP(D445,tblSalesReps[rep_id],tblSalesReps[rep_name],"Missing")</f>
        <v>Sales Rep 17</v>
      </c>
      <c r="R445" t="str">
        <f>_xlfn.XLOOKUP(D445,tblSalesReps[rep_id],tblSalesReps[region],"Missing")</f>
        <v>East</v>
      </c>
    </row>
    <row r="446" spans="1:18">
      <c r="A446" t="s">
        <v>774</v>
      </c>
      <c r="B446" t="s">
        <v>775</v>
      </c>
      <c r="C446" t="s">
        <v>62</v>
      </c>
      <c r="D446" t="s">
        <v>78</v>
      </c>
      <c r="E446" s="1">
        <v>45666</v>
      </c>
      <c r="F446" s="1">
        <v>45733</v>
      </c>
      <c r="G446" s="1">
        <v>45733</v>
      </c>
      <c r="H446" t="s">
        <v>17</v>
      </c>
      <c r="I446">
        <v>1</v>
      </c>
      <c r="J446">
        <v>0</v>
      </c>
      <c r="K446">
        <v>120000</v>
      </c>
      <c r="L446">
        <v>0</v>
      </c>
      <c r="M446" t="s">
        <v>18</v>
      </c>
      <c r="N446" t="str">
        <f>_xlfn.XLOOKUP(B446,tblCustomers[customer_id],tblCustomers[region],"Missing")</f>
        <v>West</v>
      </c>
      <c r="O446" t="str">
        <f>_xlfn.XLOOKUP(C446,tblProducts[product_id],tblProducts[product_name],"Missing")</f>
        <v>CRM Essentials</v>
      </c>
      <c r="P446" t="str">
        <f>_xlfn.XLOOKUP(C446,tblProducts[product_id],tblProducts[category],"Missing")</f>
        <v>CRM</v>
      </c>
      <c r="Q446" t="str">
        <f>_xlfn.XLOOKUP(D446,tblSalesReps[rep_id],tblSalesReps[rep_name],"Missing")</f>
        <v>Sales Rep 12</v>
      </c>
      <c r="R446" t="str">
        <f>_xlfn.XLOOKUP(D446,tblSalesReps[rep_id],tblSalesReps[region],"Missing")</f>
        <v>West</v>
      </c>
    </row>
    <row r="447" spans="1:18">
      <c r="A447" t="s">
        <v>776</v>
      </c>
      <c r="B447" t="s">
        <v>619</v>
      </c>
      <c r="C447" t="s">
        <v>26</v>
      </c>
      <c r="D447" t="s">
        <v>75</v>
      </c>
      <c r="E447" s="1">
        <v>45851</v>
      </c>
      <c r="F447" s="1">
        <v>45912</v>
      </c>
      <c r="G447" s="1">
        <v>45912</v>
      </c>
      <c r="H447" t="s">
        <v>17</v>
      </c>
      <c r="I447">
        <v>1</v>
      </c>
      <c r="J447">
        <v>0</v>
      </c>
      <c r="K447">
        <v>360000</v>
      </c>
      <c r="L447">
        <v>0</v>
      </c>
      <c r="M447" t="s">
        <v>33</v>
      </c>
      <c r="N447" t="str">
        <f>_xlfn.XLOOKUP(B447,tblCustomers[customer_id],tblCustomers[region],"Missing")</f>
        <v>North</v>
      </c>
      <c r="O447" t="str">
        <f>_xlfn.XLOOKUP(C447,tblProducts[product_id],tblProducts[product_name],"Missing")</f>
        <v>Security Suite</v>
      </c>
      <c r="P447" t="str">
        <f>_xlfn.XLOOKUP(C447,tblProducts[product_id],tblProducts[category],"Missing")</f>
        <v>Security</v>
      </c>
      <c r="Q447" t="str">
        <f>_xlfn.XLOOKUP(D447,tblSalesReps[rep_id],tblSalesReps[rep_name],"Missing")</f>
        <v>Sales Rep 07</v>
      </c>
      <c r="R447" t="str">
        <f>_xlfn.XLOOKUP(D447,tblSalesReps[rep_id],tblSalesReps[region],"Missing")</f>
        <v>North</v>
      </c>
    </row>
    <row r="448" spans="1:18">
      <c r="A448" t="s">
        <v>777</v>
      </c>
      <c r="B448" t="s">
        <v>471</v>
      </c>
      <c r="C448" t="s">
        <v>62</v>
      </c>
      <c r="D448" t="s">
        <v>75</v>
      </c>
      <c r="E448" s="1">
        <v>45697</v>
      </c>
      <c r="F448" s="1">
        <v>45757</v>
      </c>
      <c r="G448" s="1">
        <v>45757</v>
      </c>
      <c r="H448" t="s">
        <v>28</v>
      </c>
      <c r="I448">
        <v>1</v>
      </c>
      <c r="J448">
        <v>5</v>
      </c>
      <c r="K448">
        <v>114000</v>
      </c>
      <c r="L448">
        <v>100</v>
      </c>
      <c r="M448" t="s">
        <v>29</v>
      </c>
      <c r="N448" t="str">
        <f>_xlfn.XLOOKUP(B448,tblCustomers[customer_id],tblCustomers[region],"Missing")</f>
        <v>North</v>
      </c>
      <c r="O448" t="str">
        <f>_xlfn.XLOOKUP(C448,tblProducts[product_id],tblProducts[product_name],"Missing")</f>
        <v>CRM Essentials</v>
      </c>
      <c r="P448" t="str">
        <f>_xlfn.XLOOKUP(C448,tblProducts[product_id],tblProducts[category],"Missing")</f>
        <v>CRM</v>
      </c>
      <c r="Q448" t="str">
        <f>_xlfn.XLOOKUP(D448,tblSalesReps[rep_id],tblSalesReps[rep_name],"Missing")</f>
        <v>Sales Rep 07</v>
      </c>
      <c r="R448" t="str">
        <f>_xlfn.XLOOKUP(D448,tblSalesReps[rep_id],tblSalesReps[region],"Missing")</f>
        <v>North</v>
      </c>
    </row>
    <row r="449" spans="1:18">
      <c r="A449" t="s">
        <v>778</v>
      </c>
      <c r="B449" t="s">
        <v>779</v>
      </c>
      <c r="C449" t="s">
        <v>26</v>
      </c>
      <c r="D449" t="s">
        <v>53</v>
      </c>
      <c r="E449" s="1">
        <v>45804</v>
      </c>
      <c r="F449" s="1">
        <v>45818</v>
      </c>
      <c r="G449" s="1">
        <v>45818</v>
      </c>
      <c r="H449" t="s">
        <v>28</v>
      </c>
      <c r="I449">
        <v>1</v>
      </c>
      <c r="J449">
        <v>20</v>
      </c>
      <c r="K449">
        <v>288000</v>
      </c>
      <c r="L449">
        <v>100</v>
      </c>
      <c r="M449" t="s">
        <v>29</v>
      </c>
      <c r="N449" t="str">
        <f>_xlfn.XLOOKUP(B449,tblCustomers[customer_id],tblCustomers[region],"Missing")</f>
        <v>East</v>
      </c>
      <c r="O449" t="str">
        <f>_xlfn.XLOOKUP(C449,tblProducts[product_id],tblProducts[product_name],"Missing")</f>
        <v>Security Suite</v>
      </c>
      <c r="P449" t="str">
        <f>_xlfn.XLOOKUP(C449,tblProducts[product_id],tblProducts[category],"Missing")</f>
        <v>Security</v>
      </c>
      <c r="Q449" t="str">
        <f>_xlfn.XLOOKUP(D449,tblSalesReps[rep_id],tblSalesReps[rep_name],"Missing")</f>
        <v>Sales Rep 16</v>
      </c>
      <c r="R449" t="str">
        <f>_xlfn.XLOOKUP(D449,tblSalesReps[rep_id],tblSalesReps[region],"Missing")</f>
        <v>East</v>
      </c>
    </row>
    <row r="450" spans="1:18">
      <c r="A450" t="s">
        <v>780</v>
      </c>
      <c r="B450" t="s">
        <v>544</v>
      </c>
      <c r="C450" t="s">
        <v>21</v>
      </c>
      <c r="D450" t="s">
        <v>78</v>
      </c>
      <c r="E450" s="1">
        <v>45874</v>
      </c>
      <c r="F450" s="1">
        <v>45915</v>
      </c>
      <c r="G450" s="1"/>
      <c r="H450" t="s">
        <v>43</v>
      </c>
      <c r="I450">
        <v>1</v>
      </c>
      <c r="J450">
        <v>20</v>
      </c>
      <c r="K450">
        <v>192000</v>
      </c>
      <c r="L450">
        <v>80</v>
      </c>
      <c r="M450" t="s">
        <v>29</v>
      </c>
      <c r="N450" t="str">
        <f>_xlfn.XLOOKUP(B450,tblCustomers[customer_id],tblCustomers[region],"Missing")</f>
        <v>West</v>
      </c>
      <c r="O450" t="str">
        <f>_xlfn.XLOOKUP(C450,tblProducts[product_id],tblProducts[product_name],"Missing")</f>
        <v>Workflow Automate</v>
      </c>
      <c r="P450" t="str">
        <f>_xlfn.XLOOKUP(C450,tblProducts[product_id],tblProducts[category],"Missing")</f>
        <v>Automation</v>
      </c>
      <c r="Q450" t="str">
        <f>_xlfn.XLOOKUP(D450,tblSalesReps[rep_id],tblSalesReps[rep_name],"Missing")</f>
        <v>Sales Rep 12</v>
      </c>
      <c r="R450" t="str">
        <f>_xlfn.XLOOKUP(D450,tblSalesReps[rep_id],tblSalesReps[region],"Missing")</f>
        <v>West</v>
      </c>
    </row>
    <row r="451" spans="1:18">
      <c r="A451" t="s">
        <v>781</v>
      </c>
      <c r="B451" t="s">
        <v>782</v>
      </c>
      <c r="C451" t="s">
        <v>62</v>
      </c>
      <c r="D451" t="s">
        <v>32</v>
      </c>
      <c r="E451" s="1">
        <v>45902</v>
      </c>
      <c r="F451" s="1">
        <v>45960</v>
      </c>
      <c r="G451" s="1">
        <v>45960</v>
      </c>
      <c r="H451" t="s">
        <v>28</v>
      </c>
      <c r="I451">
        <v>2</v>
      </c>
      <c r="J451">
        <v>5</v>
      </c>
      <c r="K451">
        <v>228000</v>
      </c>
      <c r="L451">
        <v>100</v>
      </c>
      <c r="M451" t="s">
        <v>29</v>
      </c>
      <c r="N451" t="str">
        <f>_xlfn.XLOOKUP(B451,tblCustomers[customer_id],tblCustomers[region],"Missing")</f>
        <v>South</v>
      </c>
      <c r="O451" t="str">
        <f>_xlfn.XLOOKUP(C451,tblProducts[product_id],tblProducts[product_name],"Missing")</f>
        <v>CRM Essentials</v>
      </c>
      <c r="P451" t="str">
        <f>_xlfn.XLOOKUP(C451,tblProducts[product_id],tblProducts[category],"Missing")</f>
        <v>CRM</v>
      </c>
      <c r="Q451" t="str">
        <f>_xlfn.XLOOKUP(D451,tblSalesReps[rep_id],tblSalesReps[rep_name],"Missing")</f>
        <v>Sales Rep 04</v>
      </c>
      <c r="R451" t="str">
        <f>_xlfn.XLOOKUP(D451,tblSalesReps[rep_id],tblSalesReps[region],"Missing")</f>
        <v>South</v>
      </c>
    </row>
    <row r="452" spans="1:18">
      <c r="A452" t="s">
        <v>783</v>
      </c>
      <c r="B452" t="s">
        <v>133</v>
      </c>
      <c r="C452" t="s">
        <v>21</v>
      </c>
      <c r="D452" t="s">
        <v>78</v>
      </c>
      <c r="E452" s="1">
        <v>45935</v>
      </c>
      <c r="F452" s="1">
        <v>45969</v>
      </c>
      <c r="G452" s="1">
        <v>45969</v>
      </c>
      <c r="H452" t="s">
        <v>28</v>
      </c>
      <c r="I452">
        <v>3</v>
      </c>
      <c r="J452">
        <v>0</v>
      </c>
      <c r="K452">
        <v>720000</v>
      </c>
      <c r="L452">
        <v>100</v>
      </c>
      <c r="M452" t="s">
        <v>29</v>
      </c>
      <c r="N452" t="str">
        <f>_xlfn.XLOOKUP(B452,tblCustomers[customer_id],tblCustomers[region],"Missing")</f>
        <v>West</v>
      </c>
      <c r="O452" t="str">
        <f>_xlfn.XLOOKUP(C452,tblProducts[product_id],tblProducts[product_name],"Missing")</f>
        <v>Workflow Automate</v>
      </c>
      <c r="P452" t="str">
        <f>_xlfn.XLOOKUP(C452,tblProducts[product_id],tblProducts[category],"Missing")</f>
        <v>Automation</v>
      </c>
      <c r="Q452" t="str">
        <f>_xlfn.XLOOKUP(D452,tblSalesReps[rep_id],tblSalesReps[rep_name],"Missing")</f>
        <v>Sales Rep 12</v>
      </c>
      <c r="R452" t="str">
        <f>_xlfn.XLOOKUP(D452,tblSalesReps[rep_id],tblSalesReps[region],"Missing")</f>
        <v>West</v>
      </c>
    </row>
    <row r="453" spans="1:18">
      <c r="A453" t="s">
        <v>784</v>
      </c>
      <c r="B453" t="s">
        <v>581</v>
      </c>
      <c r="C453" t="s">
        <v>62</v>
      </c>
      <c r="D453" t="s">
        <v>40</v>
      </c>
      <c r="E453" s="1">
        <v>45705</v>
      </c>
      <c r="F453" s="1">
        <v>45713</v>
      </c>
      <c r="G453" s="1"/>
      <c r="H453" t="s">
        <v>43</v>
      </c>
      <c r="I453">
        <v>1</v>
      </c>
      <c r="J453">
        <v>10</v>
      </c>
      <c r="K453">
        <v>108000</v>
      </c>
      <c r="L453">
        <v>80</v>
      </c>
      <c r="M453" t="s">
        <v>29</v>
      </c>
      <c r="N453" t="str">
        <f>_xlfn.XLOOKUP(B453,tblCustomers[customer_id],tblCustomers[region],"Missing")</f>
        <v>West</v>
      </c>
      <c r="O453" t="str">
        <f>_xlfn.XLOOKUP(C453,tblProducts[product_id],tblProducts[product_name],"Missing")</f>
        <v>CRM Essentials</v>
      </c>
      <c r="P453" t="str">
        <f>_xlfn.XLOOKUP(C453,tblProducts[product_id],tblProducts[category],"Missing")</f>
        <v>CRM</v>
      </c>
      <c r="Q453" t="str">
        <f>_xlfn.XLOOKUP(D453,tblSalesReps[rep_id],tblSalesReps[rep_name],"Missing")</f>
        <v>Sales Rep 13</v>
      </c>
      <c r="R453" t="str">
        <f>_xlfn.XLOOKUP(D453,tblSalesReps[rep_id],tblSalesReps[region],"Missing")</f>
        <v>West</v>
      </c>
    </row>
    <row r="454" spans="1:18">
      <c r="A454" t="s">
        <v>785</v>
      </c>
      <c r="B454" t="s">
        <v>786</v>
      </c>
      <c r="C454" t="s">
        <v>26</v>
      </c>
      <c r="D454" t="s">
        <v>50</v>
      </c>
      <c r="E454" s="1">
        <v>45709</v>
      </c>
      <c r="F454" s="1">
        <v>45735</v>
      </c>
      <c r="G454" s="1">
        <v>45735</v>
      </c>
      <c r="H454" t="s">
        <v>17</v>
      </c>
      <c r="I454">
        <v>1</v>
      </c>
      <c r="J454">
        <v>20</v>
      </c>
      <c r="K454">
        <v>288000</v>
      </c>
      <c r="L454">
        <v>0</v>
      </c>
      <c r="M454" t="s">
        <v>82</v>
      </c>
      <c r="N454" t="str">
        <f>_xlfn.XLOOKUP(B454,tblCustomers[customer_id],tblCustomers[region],"Missing")</f>
        <v>West</v>
      </c>
      <c r="O454" t="str">
        <f>_xlfn.XLOOKUP(C454,tblProducts[product_id],tblProducts[product_name],"Missing")</f>
        <v>Security Suite</v>
      </c>
      <c r="P454" t="str">
        <f>_xlfn.XLOOKUP(C454,tblProducts[product_id],tblProducts[category],"Missing")</f>
        <v>Security</v>
      </c>
      <c r="Q454" t="str">
        <f>_xlfn.XLOOKUP(D454,tblSalesReps[rep_id],tblSalesReps[rep_name],"Missing")</f>
        <v>Sales Rep 15</v>
      </c>
      <c r="R454" t="str">
        <f>_xlfn.XLOOKUP(D454,tblSalesReps[rep_id],tblSalesReps[region],"Missing")</f>
        <v>West</v>
      </c>
    </row>
    <row r="455" spans="1:18">
      <c r="A455" t="s">
        <v>787</v>
      </c>
      <c r="B455" t="s">
        <v>253</v>
      </c>
      <c r="C455" t="s">
        <v>26</v>
      </c>
      <c r="D455" t="s">
        <v>46</v>
      </c>
      <c r="E455" s="1">
        <v>45776</v>
      </c>
      <c r="F455" s="1">
        <v>45801</v>
      </c>
      <c r="G455" s="1"/>
      <c r="H455" t="s">
        <v>43</v>
      </c>
      <c r="I455">
        <v>1</v>
      </c>
      <c r="J455">
        <v>20</v>
      </c>
      <c r="K455">
        <v>288000</v>
      </c>
      <c r="L455">
        <v>60</v>
      </c>
      <c r="M455" t="s">
        <v>29</v>
      </c>
      <c r="N455" t="str">
        <f>_xlfn.XLOOKUP(B455,tblCustomers[customer_id],tblCustomers[region],"Missing")</f>
        <v>South</v>
      </c>
      <c r="O455" t="str">
        <f>_xlfn.XLOOKUP(C455,tblProducts[product_id],tblProducts[product_name],"Missing")</f>
        <v>Security Suite</v>
      </c>
      <c r="P455" t="str">
        <f>_xlfn.XLOOKUP(C455,tblProducts[product_id],tblProducts[category],"Missing")</f>
        <v>Security</v>
      </c>
      <c r="Q455" t="str">
        <f>_xlfn.XLOOKUP(D455,tblSalesReps[rep_id],tblSalesReps[rep_name],"Missing")</f>
        <v>Sales Rep 01</v>
      </c>
      <c r="R455" t="str">
        <f>_xlfn.XLOOKUP(D455,tblSalesReps[rep_id],tblSalesReps[region],"Missing")</f>
        <v>South</v>
      </c>
    </row>
    <row r="456" spans="1:18">
      <c r="A456" t="s">
        <v>788</v>
      </c>
      <c r="B456" t="s">
        <v>789</v>
      </c>
      <c r="C456" t="s">
        <v>15</v>
      </c>
      <c r="D456" t="s">
        <v>63</v>
      </c>
      <c r="E456" s="1">
        <v>45979</v>
      </c>
      <c r="F456" s="1">
        <v>45998</v>
      </c>
      <c r="G456" s="1"/>
      <c r="H456" t="s">
        <v>43</v>
      </c>
      <c r="I456">
        <v>1</v>
      </c>
      <c r="J456">
        <v>5</v>
      </c>
      <c r="K456">
        <v>399000</v>
      </c>
      <c r="L456">
        <v>60</v>
      </c>
      <c r="M456" t="s">
        <v>29</v>
      </c>
      <c r="N456" t="str">
        <f>_xlfn.XLOOKUP(B456,tblCustomers[customer_id],tblCustomers[region],"Missing")</f>
        <v>South</v>
      </c>
      <c r="O456" t="str">
        <f>_xlfn.XLOOKUP(C456,tblProducts[product_id],tblProducts[product_name],"Missing")</f>
        <v>CRM Enterprise</v>
      </c>
      <c r="P456" t="str">
        <f>_xlfn.XLOOKUP(C456,tblProducts[product_id],tblProducts[category],"Missing")</f>
        <v>CRM</v>
      </c>
      <c r="Q456" t="str">
        <f>_xlfn.XLOOKUP(D456,tblSalesReps[rep_id],tblSalesReps[rep_name],"Missing")</f>
        <v>Sales Rep 05</v>
      </c>
      <c r="R456" t="str">
        <f>_xlfn.XLOOKUP(D456,tblSalesReps[rep_id],tblSalesReps[region],"Missing")</f>
        <v>South</v>
      </c>
    </row>
    <row r="457" spans="1:18">
      <c r="A457" t="s">
        <v>790</v>
      </c>
      <c r="B457" t="s">
        <v>249</v>
      </c>
      <c r="C457" t="s">
        <v>62</v>
      </c>
      <c r="D457" t="s">
        <v>91</v>
      </c>
      <c r="E457" s="1">
        <v>45953</v>
      </c>
      <c r="F457" s="1">
        <v>45971</v>
      </c>
      <c r="G457" s="1">
        <v>45971</v>
      </c>
      <c r="H457" t="s">
        <v>17</v>
      </c>
      <c r="I457">
        <v>1</v>
      </c>
      <c r="J457">
        <v>5</v>
      </c>
      <c r="K457">
        <v>114000</v>
      </c>
      <c r="L457">
        <v>0</v>
      </c>
      <c r="M457" t="s">
        <v>18</v>
      </c>
      <c r="N457" t="str">
        <f>_xlfn.XLOOKUP(B457,tblCustomers[customer_id],tblCustomers[region],"Missing")</f>
        <v>South</v>
      </c>
      <c r="O457" t="str">
        <f>_xlfn.XLOOKUP(C457,tblProducts[product_id],tblProducts[product_name],"Missing")</f>
        <v>CRM Essentials</v>
      </c>
      <c r="P457" t="str">
        <f>_xlfn.XLOOKUP(C457,tblProducts[product_id],tblProducts[category],"Missing")</f>
        <v>CRM</v>
      </c>
      <c r="Q457" t="str">
        <f>_xlfn.XLOOKUP(D457,tblSalesReps[rep_id],tblSalesReps[rep_name],"Missing")</f>
        <v>Sales Rep 03</v>
      </c>
      <c r="R457" t="str">
        <f>_xlfn.XLOOKUP(D457,tblSalesReps[rep_id],tblSalesReps[region],"Missing")</f>
        <v>South</v>
      </c>
    </row>
    <row r="458" spans="1:18">
      <c r="A458" t="s">
        <v>791</v>
      </c>
      <c r="B458" t="s">
        <v>792</v>
      </c>
      <c r="C458" t="s">
        <v>39</v>
      </c>
      <c r="D458" t="s">
        <v>40</v>
      </c>
      <c r="E458" s="1">
        <v>45849</v>
      </c>
      <c r="F458" s="1">
        <v>45908</v>
      </c>
      <c r="G458" s="1">
        <v>45908</v>
      </c>
      <c r="H458" t="s">
        <v>28</v>
      </c>
      <c r="I458">
        <v>3</v>
      </c>
      <c r="J458">
        <v>15</v>
      </c>
      <c r="K458">
        <v>459000</v>
      </c>
      <c r="L458">
        <v>100</v>
      </c>
      <c r="M458" t="s">
        <v>29</v>
      </c>
      <c r="N458" t="str">
        <f>_xlfn.XLOOKUP(B458,tblCustomers[customer_id],tblCustomers[region],"Missing")</f>
        <v>West</v>
      </c>
      <c r="O458" t="str">
        <f>_xlfn.XLOOKUP(C458,tblProducts[product_id],tblProducts[product_name],"Missing")</f>
        <v>Support Desk</v>
      </c>
      <c r="P458" t="str">
        <f>_xlfn.XLOOKUP(C458,tblProducts[product_id],tblProducts[category],"Missing")</f>
        <v>Service</v>
      </c>
      <c r="Q458" t="str">
        <f>_xlfn.XLOOKUP(D458,tblSalesReps[rep_id],tblSalesReps[rep_name],"Missing")</f>
        <v>Sales Rep 13</v>
      </c>
      <c r="R458" t="str">
        <f>_xlfn.XLOOKUP(D458,tblSalesReps[rep_id],tblSalesReps[region],"Missing")</f>
        <v>West</v>
      </c>
    </row>
    <row r="459" spans="1:18">
      <c r="A459" t="s">
        <v>793</v>
      </c>
      <c r="B459" t="s">
        <v>189</v>
      </c>
      <c r="C459" t="s">
        <v>39</v>
      </c>
      <c r="D459" t="s">
        <v>70</v>
      </c>
      <c r="E459" s="1">
        <v>45737</v>
      </c>
      <c r="F459" s="1">
        <v>45781</v>
      </c>
      <c r="G459" s="1"/>
      <c r="H459" t="s">
        <v>43</v>
      </c>
      <c r="I459">
        <v>2</v>
      </c>
      <c r="J459">
        <v>5</v>
      </c>
      <c r="K459">
        <v>342000</v>
      </c>
      <c r="L459">
        <v>80</v>
      </c>
      <c r="M459" t="s">
        <v>29</v>
      </c>
      <c r="N459" t="str">
        <f>_xlfn.XLOOKUP(B459,tblCustomers[customer_id],tblCustomers[region],"Missing")</f>
        <v>West</v>
      </c>
      <c r="O459" t="str">
        <f>_xlfn.XLOOKUP(C459,tblProducts[product_id],tblProducts[product_name],"Missing")</f>
        <v>Support Desk</v>
      </c>
      <c r="P459" t="str">
        <f>_xlfn.XLOOKUP(C459,tblProducts[product_id],tblProducts[category],"Missing")</f>
        <v>Service</v>
      </c>
      <c r="Q459" t="str">
        <f>_xlfn.XLOOKUP(D459,tblSalesReps[rep_id],tblSalesReps[rep_name],"Missing")</f>
        <v>Sales Rep 11</v>
      </c>
      <c r="R459" t="str">
        <f>_xlfn.XLOOKUP(D459,tblSalesReps[rep_id],tblSalesReps[region],"Missing")</f>
        <v>West</v>
      </c>
    </row>
    <row r="460" spans="1:18">
      <c r="A460" t="s">
        <v>794</v>
      </c>
      <c r="B460" t="s">
        <v>795</v>
      </c>
      <c r="C460" t="s">
        <v>81</v>
      </c>
      <c r="D460" t="s">
        <v>50</v>
      </c>
      <c r="E460" s="1">
        <v>45896</v>
      </c>
      <c r="F460" s="1">
        <v>45926</v>
      </c>
      <c r="G460" s="1">
        <v>45926</v>
      </c>
      <c r="H460" t="s">
        <v>28</v>
      </c>
      <c r="I460">
        <v>1</v>
      </c>
      <c r="J460">
        <v>15</v>
      </c>
      <c r="K460">
        <v>255000</v>
      </c>
      <c r="L460">
        <v>100</v>
      </c>
      <c r="M460" t="s">
        <v>29</v>
      </c>
      <c r="N460" t="str">
        <f>_xlfn.XLOOKUP(B460,tblCustomers[customer_id],tblCustomers[region],"Missing")</f>
        <v>West</v>
      </c>
      <c r="O460" t="str">
        <f>_xlfn.XLOOKUP(C460,tblProducts[product_id],tblProducts[product_name],"Missing")</f>
        <v>Analytics Cloud</v>
      </c>
      <c r="P460" t="str">
        <f>_xlfn.XLOOKUP(C460,tblProducts[product_id],tblProducts[category],"Missing")</f>
        <v>Analytics</v>
      </c>
      <c r="Q460" t="str">
        <f>_xlfn.XLOOKUP(D460,tblSalesReps[rep_id],tblSalesReps[rep_name],"Missing")</f>
        <v>Sales Rep 15</v>
      </c>
      <c r="R460" t="str">
        <f>_xlfn.XLOOKUP(D460,tblSalesReps[rep_id],tblSalesReps[region],"Missing")</f>
        <v>West</v>
      </c>
    </row>
    <row r="461" spans="1:18">
      <c r="A461" t="s">
        <v>796</v>
      </c>
      <c r="B461" t="s">
        <v>167</v>
      </c>
      <c r="C461" t="s">
        <v>81</v>
      </c>
      <c r="D461" t="s">
        <v>53</v>
      </c>
      <c r="E461" s="1">
        <v>45800</v>
      </c>
      <c r="F461" s="1">
        <v>45876</v>
      </c>
      <c r="G461" s="1">
        <v>45876</v>
      </c>
      <c r="H461" t="s">
        <v>17</v>
      </c>
      <c r="I461">
        <v>1</v>
      </c>
      <c r="J461">
        <v>15</v>
      </c>
      <c r="K461">
        <v>255000</v>
      </c>
      <c r="L461">
        <v>0</v>
      </c>
      <c r="M461" t="s">
        <v>47</v>
      </c>
      <c r="N461" t="str">
        <f>_xlfn.XLOOKUP(B461,tblCustomers[customer_id],tblCustomers[region],"Missing")</f>
        <v>East</v>
      </c>
      <c r="O461" t="str">
        <f>_xlfn.XLOOKUP(C461,tblProducts[product_id],tblProducts[product_name],"Missing")</f>
        <v>Analytics Cloud</v>
      </c>
      <c r="P461" t="str">
        <f>_xlfn.XLOOKUP(C461,tblProducts[product_id],tblProducts[category],"Missing")</f>
        <v>Analytics</v>
      </c>
      <c r="Q461" t="str">
        <f>_xlfn.XLOOKUP(D461,tblSalesReps[rep_id],tblSalesReps[rep_name],"Missing")</f>
        <v>Sales Rep 16</v>
      </c>
      <c r="R461" t="str">
        <f>_xlfn.XLOOKUP(D461,tblSalesReps[rep_id],tblSalesReps[region],"Missing")</f>
        <v>East</v>
      </c>
    </row>
    <row r="462" spans="1:18">
      <c r="A462" t="s">
        <v>797</v>
      </c>
      <c r="B462" t="s">
        <v>798</v>
      </c>
      <c r="C462" t="s">
        <v>26</v>
      </c>
      <c r="D462" t="s">
        <v>32</v>
      </c>
      <c r="E462" s="1">
        <v>45796</v>
      </c>
      <c r="F462" s="1">
        <v>45825</v>
      </c>
      <c r="G462" s="1">
        <v>45825</v>
      </c>
      <c r="H462" t="s">
        <v>28</v>
      </c>
      <c r="I462">
        <v>1</v>
      </c>
      <c r="J462">
        <v>5</v>
      </c>
      <c r="K462">
        <v>342000</v>
      </c>
      <c r="L462">
        <v>100</v>
      </c>
      <c r="M462" t="s">
        <v>29</v>
      </c>
      <c r="N462" t="str">
        <f>_xlfn.XLOOKUP(B462,tblCustomers[customer_id],tblCustomers[region],"Missing")</f>
        <v>South</v>
      </c>
      <c r="O462" t="str">
        <f>_xlfn.XLOOKUP(C462,tblProducts[product_id],tblProducts[product_name],"Missing")</f>
        <v>Security Suite</v>
      </c>
      <c r="P462" t="str">
        <f>_xlfn.XLOOKUP(C462,tblProducts[product_id],tblProducts[category],"Missing")</f>
        <v>Security</v>
      </c>
      <c r="Q462" t="str">
        <f>_xlfn.XLOOKUP(D462,tblSalesReps[rep_id],tblSalesReps[rep_name],"Missing")</f>
        <v>Sales Rep 04</v>
      </c>
      <c r="R462" t="str">
        <f>_xlfn.XLOOKUP(D462,tblSalesReps[rep_id],tblSalesReps[region],"Missing")</f>
        <v>South</v>
      </c>
    </row>
    <row r="463" spans="1:18">
      <c r="A463" t="s">
        <v>799</v>
      </c>
      <c r="B463" t="s">
        <v>125</v>
      </c>
      <c r="C463" t="s">
        <v>62</v>
      </c>
      <c r="D463" t="s">
        <v>46</v>
      </c>
      <c r="E463" s="1">
        <v>45877</v>
      </c>
      <c r="F463" s="1">
        <v>45922</v>
      </c>
      <c r="G463" s="1">
        <v>45922</v>
      </c>
      <c r="H463" t="s">
        <v>28</v>
      </c>
      <c r="I463">
        <v>1</v>
      </c>
      <c r="J463">
        <v>5</v>
      </c>
      <c r="K463">
        <v>114000</v>
      </c>
      <c r="L463">
        <v>100</v>
      </c>
      <c r="M463" t="s">
        <v>29</v>
      </c>
      <c r="N463" t="str">
        <f>_xlfn.XLOOKUP(B463,tblCustomers[customer_id],tblCustomers[region],"Missing")</f>
        <v>South</v>
      </c>
      <c r="O463" t="str">
        <f>_xlfn.XLOOKUP(C463,tblProducts[product_id],tblProducts[product_name],"Missing")</f>
        <v>CRM Essentials</v>
      </c>
      <c r="P463" t="str">
        <f>_xlfn.XLOOKUP(C463,tblProducts[product_id],tblProducts[category],"Missing")</f>
        <v>CRM</v>
      </c>
      <c r="Q463" t="str">
        <f>_xlfn.XLOOKUP(D463,tblSalesReps[rep_id],tblSalesReps[rep_name],"Missing")</f>
        <v>Sales Rep 01</v>
      </c>
      <c r="R463" t="str">
        <f>_xlfn.XLOOKUP(D463,tblSalesReps[rep_id],tblSalesReps[region],"Missing")</f>
        <v>South</v>
      </c>
    </row>
    <row r="464" spans="1:18">
      <c r="A464" t="s">
        <v>800</v>
      </c>
      <c r="B464" t="s">
        <v>801</v>
      </c>
      <c r="C464" t="s">
        <v>26</v>
      </c>
      <c r="D464" t="s">
        <v>119</v>
      </c>
      <c r="E464" s="1">
        <v>45973</v>
      </c>
      <c r="F464" s="1">
        <v>46020</v>
      </c>
      <c r="G464" s="1">
        <v>46020</v>
      </c>
      <c r="H464" t="s">
        <v>28</v>
      </c>
      <c r="I464">
        <v>1</v>
      </c>
      <c r="J464">
        <v>5</v>
      </c>
      <c r="K464">
        <v>342000</v>
      </c>
      <c r="L464">
        <v>100</v>
      </c>
      <c r="M464" t="s">
        <v>29</v>
      </c>
      <c r="N464" t="str">
        <f>_xlfn.XLOOKUP(B464,tblCustomers[customer_id],tblCustomers[region],"Missing")</f>
        <v>North</v>
      </c>
      <c r="O464" t="str">
        <f>_xlfn.XLOOKUP(C464,tblProducts[product_id],tblProducts[product_name],"Missing")</f>
        <v>Security Suite</v>
      </c>
      <c r="P464" t="str">
        <f>_xlfn.XLOOKUP(C464,tblProducts[product_id],tblProducts[category],"Missing")</f>
        <v>Security</v>
      </c>
      <c r="Q464" t="str">
        <f>_xlfn.XLOOKUP(D464,tblSalesReps[rep_id],tblSalesReps[rep_name],"Missing")</f>
        <v>Sales Rep 10</v>
      </c>
      <c r="R464" t="str">
        <f>_xlfn.XLOOKUP(D464,tblSalesReps[rep_id],tblSalesReps[region],"Missing")</f>
        <v>North</v>
      </c>
    </row>
    <row r="465" spans="1:18">
      <c r="A465" t="s">
        <v>802</v>
      </c>
      <c r="B465" t="s">
        <v>803</v>
      </c>
      <c r="C465" t="s">
        <v>15</v>
      </c>
      <c r="D465" t="s">
        <v>36</v>
      </c>
      <c r="E465" s="1">
        <v>45985</v>
      </c>
      <c r="F465" s="1">
        <v>46004</v>
      </c>
      <c r="G465" s="1"/>
      <c r="H465" t="s">
        <v>43</v>
      </c>
      <c r="I465">
        <v>1</v>
      </c>
      <c r="J465">
        <v>5</v>
      </c>
      <c r="K465">
        <v>399000</v>
      </c>
      <c r="L465">
        <v>40</v>
      </c>
      <c r="M465" t="s">
        <v>29</v>
      </c>
      <c r="N465" t="str">
        <f>_xlfn.XLOOKUP(B465,tblCustomers[customer_id],tblCustomers[region],"Missing")</f>
        <v>North</v>
      </c>
      <c r="O465" t="str">
        <f>_xlfn.XLOOKUP(C465,tblProducts[product_id],tblProducts[product_name],"Missing")</f>
        <v>CRM Enterprise</v>
      </c>
      <c r="P465" t="str">
        <f>_xlfn.XLOOKUP(C465,tblProducts[product_id],tblProducts[category],"Missing")</f>
        <v>CRM</v>
      </c>
      <c r="Q465" t="str">
        <f>_xlfn.XLOOKUP(D465,tblSalesReps[rep_id],tblSalesReps[rep_name],"Missing")</f>
        <v>Sales Rep 09</v>
      </c>
      <c r="R465" t="str">
        <f>_xlfn.XLOOKUP(D465,tblSalesReps[rep_id],tblSalesReps[region],"Missing")</f>
        <v>North</v>
      </c>
    </row>
    <row r="466" spans="1:18">
      <c r="A466" t="s">
        <v>804</v>
      </c>
      <c r="B466" t="s">
        <v>786</v>
      </c>
      <c r="C466" t="s">
        <v>21</v>
      </c>
      <c r="D466" t="s">
        <v>50</v>
      </c>
      <c r="E466" s="1">
        <v>45721</v>
      </c>
      <c r="F466" s="1">
        <v>45786</v>
      </c>
      <c r="G466" s="1">
        <v>45786</v>
      </c>
      <c r="H466" t="s">
        <v>17</v>
      </c>
      <c r="I466">
        <v>2</v>
      </c>
      <c r="J466">
        <v>15</v>
      </c>
      <c r="K466">
        <v>408000</v>
      </c>
      <c r="L466">
        <v>0</v>
      </c>
      <c r="M466" t="s">
        <v>18</v>
      </c>
      <c r="N466" t="str">
        <f>_xlfn.XLOOKUP(B466,tblCustomers[customer_id],tblCustomers[region],"Missing")</f>
        <v>West</v>
      </c>
      <c r="O466" t="str">
        <f>_xlfn.XLOOKUP(C466,tblProducts[product_id],tblProducts[product_name],"Missing")</f>
        <v>Workflow Automate</v>
      </c>
      <c r="P466" t="str">
        <f>_xlfn.XLOOKUP(C466,tblProducts[product_id],tblProducts[category],"Missing")</f>
        <v>Automation</v>
      </c>
      <c r="Q466" t="str">
        <f>_xlfn.XLOOKUP(D466,tblSalesReps[rep_id],tblSalesReps[rep_name],"Missing")</f>
        <v>Sales Rep 15</v>
      </c>
      <c r="R466" t="str">
        <f>_xlfn.XLOOKUP(D466,tblSalesReps[rep_id],tblSalesReps[region],"Missing")</f>
        <v>West</v>
      </c>
    </row>
    <row r="467" spans="1:18">
      <c r="A467" t="s">
        <v>805</v>
      </c>
      <c r="B467" t="s">
        <v>345</v>
      </c>
      <c r="C467" t="s">
        <v>26</v>
      </c>
      <c r="D467" t="s">
        <v>22</v>
      </c>
      <c r="E467" s="1">
        <v>45982</v>
      </c>
      <c r="F467" s="1">
        <v>46001</v>
      </c>
      <c r="G467" s="1">
        <v>46001</v>
      </c>
      <c r="H467" t="s">
        <v>28</v>
      </c>
      <c r="I467">
        <v>1</v>
      </c>
      <c r="J467">
        <v>0</v>
      </c>
      <c r="K467">
        <v>360000</v>
      </c>
      <c r="L467">
        <v>100</v>
      </c>
      <c r="M467" t="s">
        <v>29</v>
      </c>
      <c r="N467" t="str">
        <f>_xlfn.XLOOKUP(B467,tblCustomers[customer_id],tblCustomers[region],"Missing")</f>
        <v>West</v>
      </c>
      <c r="O467" t="str">
        <f>_xlfn.XLOOKUP(C467,tblProducts[product_id],tblProducts[product_name],"Missing")</f>
        <v>Security Suite</v>
      </c>
      <c r="P467" t="str">
        <f>_xlfn.XLOOKUP(C467,tblProducts[product_id],tblProducts[category],"Missing")</f>
        <v>Security</v>
      </c>
      <c r="Q467" t="str">
        <f>_xlfn.XLOOKUP(D467,tblSalesReps[rep_id],tblSalesReps[rep_name],"Missing")</f>
        <v>Sales Rep 14</v>
      </c>
      <c r="R467" t="str">
        <f>_xlfn.XLOOKUP(D467,tblSalesReps[rep_id],tblSalesReps[region],"Missing")</f>
        <v>West</v>
      </c>
    </row>
    <row r="468" spans="1:18">
      <c r="A468" t="s">
        <v>806</v>
      </c>
      <c r="B468" t="s">
        <v>367</v>
      </c>
      <c r="C468" t="s">
        <v>26</v>
      </c>
      <c r="D468" t="s">
        <v>59</v>
      </c>
      <c r="E468" s="1">
        <v>45915</v>
      </c>
      <c r="F468" s="1">
        <v>45926</v>
      </c>
      <c r="G468" s="1">
        <v>45926</v>
      </c>
      <c r="H468" t="s">
        <v>17</v>
      </c>
      <c r="I468">
        <v>1</v>
      </c>
      <c r="J468">
        <v>15</v>
      </c>
      <c r="K468">
        <v>306000</v>
      </c>
      <c r="L468">
        <v>0</v>
      </c>
      <c r="M468" t="s">
        <v>47</v>
      </c>
      <c r="N468" t="str">
        <f>_xlfn.XLOOKUP(B468,tblCustomers[customer_id],tblCustomers[region],"Missing")</f>
        <v>East</v>
      </c>
      <c r="O468" t="str">
        <f>_xlfn.XLOOKUP(C468,tblProducts[product_id],tblProducts[product_name],"Missing")</f>
        <v>Security Suite</v>
      </c>
      <c r="P468" t="str">
        <f>_xlfn.XLOOKUP(C468,tblProducts[product_id],tblProducts[category],"Missing")</f>
        <v>Security</v>
      </c>
      <c r="Q468" t="str">
        <f>_xlfn.XLOOKUP(D468,tblSalesReps[rep_id],tblSalesReps[rep_name],"Missing")</f>
        <v>Sales Rep 19</v>
      </c>
      <c r="R468" t="str">
        <f>_xlfn.XLOOKUP(D468,tblSalesReps[rep_id],tblSalesReps[region],"Missing")</f>
        <v>East</v>
      </c>
    </row>
    <row r="469" spans="1:18">
      <c r="A469" t="s">
        <v>807</v>
      </c>
      <c r="B469" t="s">
        <v>410</v>
      </c>
      <c r="C469" t="s">
        <v>21</v>
      </c>
      <c r="D469" t="s">
        <v>16</v>
      </c>
      <c r="E469" s="1">
        <v>45815</v>
      </c>
      <c r="F469" s="1">
        <v>45875</v>
      </c>
      <c r="G469" s="1"/>
      <c r="H469" t="s">
        <v>43</v>
      </c>
      <c r="I469">
        <v>1</v>
      </c>
      <c r="J469">
        <v>0</v>
      </c>
      <c r="K469">
        <v>240000</v>
      </c>
      <c r="L469">
        <v>80</v>
      </c>
      <c r="M469" t="s">
        <v>29</v>
      </c>
      <c r="N469" t="str">
        <f>_xlfn.XLOOKUP(B469,tblCustomers[customer_id],tblCustomers[region],"Missing")</f>
        <v>North</v>
      </c>
      <c r="O469" t="str">
        <f>_xlfn.XLOOKUP(C469,tblProducts[product_id],tblProducts[product_name],"Missing")</f>
        <v>Workflow Automate</v>
      </c>
      <c r="P469" t="str">
        <f>_xlfn.XLOOKUP(C469,tblProducts[product_id],tblProducts[category],"Missing")</f>
        <v>Automation</v>
      </c>
      <c r="Q469" t="str">
        <f>_xlfn.XLOOKUP(D469,tblSalesReps[rep_id],tblSalesReps[rep_name],"Missing")</f>
        <v>Sales Rep 08</v>
      </c>
      <c r="R469" t="str">
        <f>_xlfn.XLOOKUP(D469,tblSalesReps[rep_id],tblSalesReps[region],"Missing")</f>
        <v>North</v>
      </c>
    </row>
    <row r="470" spans="1:18">
      <c r="A470" t="s">
        <v>808</v>
      </c>
      <c r="B470" t="s">
        <v>809</v>
      </c>
      <c r="C470" t="s">
        <v>26</v>
      </c>
      <c r="D470" t="s">
        <v>119</v>
      </c>
      <c r="E470" s="1">
        <v>45820</v>
      </c>
      <c r="F470" s="1">
        <v>45900</v>
      </c>
      <c r="G470" s="1">
        <v>45900</v>
      </c>
      <c r="H470" t="s">
        <v>28</v>
      </c>
      <c r="I470">
        <v>2</v>
      </c>
      <c r="J470">
        <v>5</v>
      </c>
      <c r="K470">
        <v>684000</v>
      </c>
      <c r="L470">
        <v>100</v>
      </c>
      <c r="M470" t="s">
        <v>29</v>
      </c>
      <c r="N470" t="str">
        <f>_xlfn.XLOOKUP(B470,tblCustomers[customer_id],tblCustomers[region],"Missing")</f>
        <v>North</v>
      </c>
      <c r="O470" t="str">
        <f>_xlfn.XLOOKUP(C470,tblProducts[product_id],tblProducts[product_name],"Missing")</f>
        <v>Security Suite</v>
      </c>
      <c r="P470" t="str">
        <f>_xlfn.XLOOKUP(C470,tblProducts[product_id],tblProducts[category],"Missing")</f>
        <v>Security</v>
      </c>
      <c r="Q470" t="str">
        <f>_xlfn.XLOOKUP(D470,tblSalesReps[rep_id],tblSalesReps[rep_name],"Missing")</f>
        <v>Sales Rep 10</v>
      </c>
      <c r="R470" t="str">
        <f>_xlfn.XLOOKUP(D470,tblSalesReps[rep_id],tblSalesReps[region],"Missing")</f>
        <v>North</v>
      </c>
    </row>
    <row r="471" spans="1:18">
      <c r="A471" t="s">
        <v>810</v>
      </c>
      <c r="B471" t="s">
        <v>811</v>
      </c>
      <c r="C471" t="s">
        <v>21</v>
      </c>
      <c r="D471" t="s">
        <v>63</v>
      </c>
      <c r="E471" s="1">
        <v>45739</v>
      </c>
      <c r="F471" s="1">
        <v>45758</v>
      </c>
      <c r="G471" s="1">
        <v>45758</v>
      </c>
      <c r="H471" t="s">
        <v>17</v>
      </c>
      <c r="I471">
        <v>1</v>
      </c>
      <c r="J471">
        <v>20</v>
      </c>
      <c r="K471">
        <v>192000</v>
      </c>
      <c r="L471">
        <v>0</v>
      </c>
      <c r="M471" t="s">
        <v>33</v>
      </c>
      <c r="N471" t="str">
        <f>_xlfn.XLOOKUP(B471,tblCustomers[customer_id],tblCustomers[region],"Missing")</f>
        <v>South</v>
      </c>
      <c r="O471" t="str">
        <f>_xlfn.XLOOKUP(C471,tblProducts[product_id],tblProducts[product_name],"Missing")</f>
        <v>Workflow Automate</v>
      </c>
      <c r="P471" t="str">
        <f>_xlfn.XLOOKUP(C471,tblProducts[product_id],tblProducts[category],"Missing")</f>
        <v>Automation</v>
      </c>
      <c r="Q471" t="str">
        <f>_xlfn.XLOOKUP(D471,tblSalesReps[rep_id],tblSalesReps[rep_name],"Missing")</f>
        <v>Sales Rep 05</v>
      </c>
      <c r="R471" t="str">
        <f>_xlfn.XLOOKUP(D471,tblSalesReps[rep_id],tblSalesReps[region],"Missing")</f>
        <v>South</v>
      </c>
    </row>
    <row r="472" spans="1:18">
      <c r="A472" t="s">
        <v>812</v>
      </c>
      <c r="B472" t="s">
        <v>767</v>
      </c>
      <c r="C472" t="s">
        <v>62</v>
      </c>
      <c r="D472" t="s">
        <v>50</v>
      </c>
      <c r="E472" s="1">
        <v>45853</v>
      </c>
      <c r="F472" s="1">
        <v>45876</v>
      </c>
      <c r="G472" s="1">
        <v>45876</v>
      </c>
      <c r="H472" t="s">
        <v>28</v>
      </c>
      <c r="I472">
        <v>2</v>
      </c>
      <c r="J472">
        <v>10</v>
      </c>
      <c r="K472">
        <v>216000</v>
      </c>
      <c r="L472">
        <v>100</v>
      </c>
      <c r="M472" t="s">
        <v>29</v>
      </c>
      <c r="N472" t="str">
        <f>_xlfn.XLOOKUP(B472,tblCustomers[customer_id],tblCustomers[region],"Missing")</f>
        <v>West</v>
      </c>
      <c r="O472" t="str">
        <f>_xlfn.XLOOKUP(C472,tblProducts[product_id],tblProducts[product_name],"Missing")</f>
        <v>CRM Essentials</v>
      </c>
      <c r="P472" t="str">
        <f>_xlfn.XLOOKUP(C472,tblProducts[product_id],tblProducts[category],"Missing")</f>
        <v>CRM</v>
      </c>
      <c r="Q472" t="str">
        <f>_xlfn.XLOOKUP(D472,tblSalesReps[rep_id],tblSalesReps[rep_name],"Missing")</f>
        <v>Sales Rep 15</v>
      </c>
      <c r="R472" t="str">
        <f>_xlfn.XLOOKUP(D472,tblSalesReps[rep_id],tblSalesReps[region],"Missing")</f>
        <v>West</v>
      </c>
    </row>
    <row r="473" spans="1:18">
      <c r="A473" t="s">
        <v>813</v>
      </c>
      <c r="B473" t="s">
        <v>814</v>
      </c>
      <c r="C473" t="s">
        <v>62</v>
      </c>
      <c r="D473" t="s">
        <v>152</v>
      </c>
      <c r="E473" s="1">
        <v>45700</v>
      </c>
      <c r="F473" s="1">
        <v>45709</v>
      </c>
      <c r="G473" s="1"/>
      <c r="H473" t="s">
        <v>43</v>
      </c>
      <c r="I473">
        <v>3</v>
      </c>
      <c r="J473">
        <v>0</v>
      </c>
      <c r="K473">
        <v>360000</v>
      </c>
      <c r="L473">
        <v>20</v>
      </c>
      <c r="M473" t="s">
        <v>29</v>
      </c>
      <c r="N473" t="str">
        <f>_xlfn.XLOOKUP(B473,tblCustomers[customer_id],tblCustomers[region],"Missing")</f>
        <v>East</v>
      </c>
      <c r="O473" t="str">
        <f>_xlfn.XLOOKUP(C473,tblProducts[product_id],tblProducts[product_name],"Missing")</f>
        <v>CRM Essentials</v>
      </c>
      <c r="P473" t="str">
        <f>_xlfn.XLOOKUP(C473,tblProducts[product_id],tblProducts[category],"Missing")</f>
        <v>CRM</v>
      </c>
      <c r="Q473" t="str">
        <f>_xlfn.XLOOKUP(D473,tblSalesReps[rep_id],tblSalesReps[rep_name],"Missing")</f>
        <v>Sales Rep 18</v>
      </c>
      <c r="R473" t="str">
        <f>_xlfn.XLOOKUP(D473,tblSalesReps[rep_id],tblSalesReps[region],"Missing")</f>
        <v>East</v>
      </c>
    </row>
    <row r="474" spans="1:18">
      <c r="A474" t="s">
        <v>815</v>
      </c>
      <c r="B474" t="s">
        <v>816</v>
      </c>
      <c r="C474" t="s">
        <v>62</v>
      </c>
      <c r="D474" t="s">
        <v>59</v>
      </c>
      <c r="E474" s="1">
        <v>45695</v>
      </c>
      <c r="F474" s="1">
        <v>45711</v>
      </c>
      <c r="G474" s="1">
        <v>45711</v>
      </c>
      <c r="H474" t="s">
        <v>17</v>
      </c>
      <c r="I474">
        <v>1</v>
      </c>
      <c r="J474">
        <v>15</v>
      </c>
      <c r="K474">
        <v>102000</v>
      </c>
      <c r="L474">
        <v>0</v>
      </c>
      <c r="M474" t="s">
        <v>18</v>
      </c>
      <c r="N474" t="str">
        <f>_xlfn.XLOOKUP(B474,tblCustomers[customer_id],tblCustomers[region],"Missing")</f>
        <v>East</v>
      </c>
      <c r="O474" t="str">
        <f>_xlfn.XLOOKUP(C474,tblProducts[product_id],tblProducts[product_name],"Missing")</f>
        <v>CRM Essentials</v>
      </c>
      <c r="P474" t="str">
        <f>_xlfn.XLOOKUP(C474,tblProducts[product_id],tblProducts[category],"Missing")</f>
        <v>CRM</v>
      </c>
      <c r="Q474" t="str">
        <f>_xlfn.XLOOKUP(D474,tblSalesReps[rep_id],tblSalesReps[rep_name],"Missing")</f>
        <v>Sales Rep 19</v>
      </c>
      <c r="R474" t="str">
        <f>_xlfn.XLOOKUP(D474,tblSalesReps[rep_id],tblSalesReps[region],"Missing")</f>
        <v>East</v>
      </c>
    </row>
    <row r="475" spans="1:18">
      <c r="A475" t="s">
        <v>817</v>
      </c>
      <c r="B475" t="s">
        <v>167</v>
      </c>
      <c r="C475" t="s">
        <v>21</v>
      </c>
      <c r="D475" t="s">
        <v>53</v>
      </c>
      <c r="E475" s="1">
        <v>45756</v>
      </c>
      <c r="F475" s="1">
        <v>45831</v>
      </c>
      <c r="G475" s="1">
        <v>45831</v>
      </c>
      <c r="H475" t="s">
        <v>17</v>
      </c>
      <c r="I475">
        <v>1</v>
      </c>
      <c r="J475">
        <v>20</v>
      </c>
      <c r="K475">
        <v>192000</v>
      </c>
      <c r="L475">
        <v>0</v>
      </c>
      <c r="M475" t="s">
        <v>47</v>
      </c>
      <c r="N475" t="str">
        <f>_xlfn.XLOOKUP(B475,tblCustomers[customer_id],tblCustomers[region],"Missing")</f>
        <v>East</v>
      </c>
      <c r="O475" t="str">
        <f>_xlfn.XLOOKUP(C475,tblProducts[product_id],tblProducts[product_name],"Missing")</f>
        <v>Workflow Automate</v>
      </c>
      <c r="P475" t="str">
        <f>_xlfn.XLOOKUP(C475,tblProducts[product_id],tblProducts[category],"Missing")</f>
        <v>Automation</v>
      </c>
      <c r="Q475" t="str">
        <f>_xlfn.XLOOKUP(D475,tblSalesReps[rep_id],tblSalesReps[rep_name],"Missing")</f>
        <v>Sales Rep 16</v>
      </c>
      <c r="R475" t="str">
        <f>_xlfn.XLOOKUP(D475,tblSalesReps[rep_id],tblSalesReps[region],"Missing")</f>
        <v>East</v>
      </c>
    </row>
    <row r="476" spans="1:18">
      <c r="A476" t="s">
        <v>818</v>
      </c>
      <c r="B476" t="s">
        <v>819</v>
      </c>
      <c r="C476" t="s">
        <v>62</v>
      </c>
      <c r="D476" t="s">
        <v>40</v>
      </c>
      <c r="E476" s="1">
        <v>46020</v>
      </c>
      <c r="F476" s="1">
        <v>46064</v>
      </c>
      <c r="G476" s="1"/>
      <c r="H476" t="s">
        <v>43</v>
      </c>
      <c r="I476">
        <v>2</v>
      </c>
      <c r="J476">
        <v>15</v>
      </c>
      <c r="K476">
        <v>204000</v>
      </c>
      <c r="L476">
        <v>80</v>
      </c>
      <c r="M476" t="s">
        <v>29</v>
      </c>
      <c r="N476" t="str">
        <f>_xlfn.XLOOKUP(B476,tblCustomers[customer_id],tblCustomers[region],"Missing")</f>
        <v>West</v>
      </c>
      <c r="O476" t="str">
        <f>_xlfn.XLOOKUP(C476,tblProducts[product_id],tblProducts[product_name],"Missing")</f>
        <v>CRM Essentials</v>
      </c>
      <c r="P476" t="str">
        <f>_xlfn.XLOOKUP(C476,tblProducts[product_id],tblProducts[category],"Missing")</f>
        <v>CRM</v>
      </c>
      <c r="Q476" t="str">
        <f>_xlfn.XLOOKUP(D476,tblSalesReps[rep_id],tblSalesReps[rep_name],"Missing")</f>
        <v>Sales Rep 13</v>
      </c>
      <c r="R476" t="str">
        <f>_xlfn.XLOOKUP(D476,tblSalesReps[rep_id],tblSalesReps[region],"Missing")</f>
        <v>West</v>
      </c>
    </row>
    <row r="477" spans="1:18">
      <c r="A477" t="s">
        <v>820</v>
      </c>
      <c r="B477" t="s">
        <v>821</v>
      </c>
      <c r="C477" t="s">
        <v>81</v>
      </c>
      <c r="D477" t="s">
        <v>36</v>
      </c>
      <c r="E477" s="1">
        <v>45963</v>
      </c>
      <c r="F477" s="1">
        <v>46010</v>
      </c>
      <c r="G477" s="1">
        <v>46010</v>
      </c>
      <c r="H477" t="s">
        <v>17</v>
      </c>
      <c r="I477">
        <v>3</v>
      </c>
      <c r="J477">
        <v>0</v>
      </c>
      <c r="K477">
        <v>900000</v>
      </c>
      <c r="L477">
        <v>0</v>
      </c>
      <c r="M477" t="s">
        <v>82</v>
      </c>
      <c r="N477" t="str">
        <f>_xlfn.XLOOKUP(B477,tblCustomers[customer_id],tblCustomers[region],"Missing")</f>
        <v>North</v>
      </c>
      <c r="O477" t="str">
        <f>_xlfn.XLOOKUP(C477,tblProducts[product_id],tblProducts[product_name],"Missing")</f>
        <v>Analytics Cloud</v>
      </c>
      <c r="P477" t="str">
        <f>_xlfn.XLOOKUP(C477,tblProducts[product_id],tblProducts[category],"Missing")</f>
        <v>Analytics</v>
      </c>
      <c r="Q477" t="str">
        <f>_xlfn.XLOOKUP(D477,tblSalesReps[rep_id],tblSalesReps[rep_name],"Missing")</f>
        <v>Sales Rep 09</v>
      </c>
      <c r="R477" t="str">
        <f>_xlfn.XLOOKUP(D477,tblSalesReps[rep_id],tblSalesReps[region],"Missing")</f>
        <v>North</v>
      </c>
    </row>
    <row r="478" spans="1:18">
      <c r="A478" t="s">
        <v>822</v>
      </c>
      <c r="B478" t="s">
        <v>823</v>
      </c>
      <c r="C478" t="s">
        <v>39</v>
      </c>
      <c r="D478" t="s">
        <v>36</v>
      </c>
      <c r="E478" s="1">
        <v>45808</v>
      </c>
      <c r="F478" s="1">
        <v>45882</v>
      </c>
      <c r="G478" s="1">
        <v>45882</v>
      </c>
      <c r="H478" t="s">
        <v>17</v>
      </c>
      <c r="I478">
        <v>1</v>
      </c>
      <c r="J478">
        <v>15</v>
      </c>
      <c r="K478">
        <v>153000</v>
      </c>
      <c r="L478">
        <v>0</v>
      </c>
      <c r="M478" t="s">
        <v>23</v>
      </c>
      <c r="N478" t="str">
        <f>_xlfn.XLOOKUP(B478,tblCustomers[customer_id],tblCustomers[region],"Missing")</f>
        <v>North</v>
      </c>
      <c r="O478" t="str">
        <f>_xlfn.XLOOKUP(C478,tblProducts[product_id],tblProducts[product_name],"Missing")</f>
        <v>Support Desk</v>
      </c>
      <c r="P478" t="str">
        <f>_xlfn.XLOOKUP(C478,tblProducts[product_id],tblProducts[category],"Missing")</f>
        <v>Service</v>
      </c>
      <c r="Q478" t="str">
        <f>_xlfn.XLOOKUP(D478,tblSalesReps[rep_id],tblSalesReps[rep_name],"Missing")</f>
        <v>Sales Rep 09</v>
      </c>
      <c r="R478" t="str">
        <f>_xlfn.XLOOKUP(D478,tblSalesReps[rep_id],tblSalesReps[region],"Missing")</f>
        <v>North</v>
      </c>
    </row>
    <row r="479" spans="1:18">
      <c r="A479" t="s">
        <v>824</v>
      </c>
      <c r="B479" t="s">
        <v>145</v>
      </c>
      <c r="C479" t="s">
        <v>21</v>
      </c>
      <c r="D479" t="s">
        <v>70</v>
      </c>
      <c r="E479" s="1">
        <v>45662</v>
      </c>
      <c r="F479" s="1">
        <v>45670</v>
      </c>
      <c r="G479" s="1">
        <v>45670</v>
      </c>
      <c r="H479" t="s">
        <v>28</v>
      </c>
      <c r="I479">
        <v>1</v>
      </c>
      <c r="J479">
        <v>5</v>
      </c>
      <c r="K479">
        <v>228000</v>
      </c>
      <c r="L479">
        <v>100</v>
      </c>
      <c r="M479" t="s">
        <v>29</v>
      </c>
      <c r="N479" t="str">
        <f>_xlfn.XLOOKUP(B479,tblCustomers[customer_id],tblCustomers[region],"Missing")</f>
        <v>West</v>
      </c>
      <c r="O479" t="str">
        <f>_xlfn.XLOOKUP(C479,tblProducts[product_id],tblProducts[product_name],"Missing")</f>
        <v>Workflow Automate</v>
      </c>
      <c r="P479" t="str">
        <f>_xlfn.XLOOKUP(C479,tblProducts[product_id],tblProducts[category],"Missing")</f>
        <v>Automation</v>
      </c>
      <c r="Q479" t="str">
        <f>_xlfn.XLOOKUP(D479,tblSalesReps[rep_id],tblSalesReps[rep_name],"Missing")</f>
        <v>Sales Rep 11</v>
      </c>
      <c r="R479" t="str">
        <f>_xlfn.XLOOKUP(D479,tblSalesReps[rep_id],tblSalesReps[region],"Missing")</f>
        <v>West</v>
      </c>
    </row>
    <row r="480" spans="1:18">
      <c r="A480" t="s">
        <v>825</v>
      </c>
      <c r="B480" t="s">
        <v>826</v>
      </c>
      <c r="C480" t="s">
        <v>39</v>
      </c>
      <c r="D480" t="s">
        <v>70</v>
      </c>
      <c r="E480" s="1">
        <v>45951</v>
      </c>
      <c r="F480" s="1">
        <v>46011</v>
      </c>
      <c r="G480" s="1"/>
      <c r="H480" t="s">
        <v>43</v>
      </c>
      <c r="I480">
        <v>2</v>
      </c>
      <c r="J480">
        <v>10</v>
      </c>
      <c r="K480">
        <v>324000</v>
      </c>
      <c r="L480">
        <v>60</v>
      </c>
      <c r="M480" t="s">
        <v>29</v>
      </c>
      <c r="N480" t="str">
        <f>_xlfn.XLOOKUP(B480,tblCustomers[customer_id],tblCustomers[region],"Missing")</f>
        <v>West</v>
      </c>
      <c r="O480" t="str">
        <f>_xlfn.XLOOKUP(C480,tblProducts[product_id],tblProducts[product_name],"Missing")</f>
        <v>Support Desk</v>
      </c>
      <c r="P480" t="str">
        <f>_xlfn.XLOOKUP(C480,tblProducts[product_id],tblProducts[category],"Missing")</f>
        <v>Service</v>
      </c>
      <c r="Q480" t="str">
        <f>_xlfn.XLOOKUP(D480,tblSalesReps[rep_id],tblSalesReps[rep_name],"Missing")</f>
        <v>Sales Rep 11</v>
      </c>
      <c r="R480" t="str">
        <f>_xlfn.XLOOKUP(D480,tblSalesReps[rep_id],tblSalesReps[region],"Missing")</f>
        <v>West</v>
      </c>
    </row>
    <row r="481" spans="1:18">
      <c r="A481" t="s">
        <v>827</v>
      </c>
      <c r="B481" t="s">
        <v>828</v>
      </c>
      <c r="C481" t="s">
        <v>15</v>
      </c>
      <c r="D481" t="s">
        <v>50</v>
      </c>
      <c r="E481" s="1">
        <v>45825</v>
      </c>
      <c r="F481" s="1">
        <v>45862</v>
      </c>
      <c r="G481" s="1">
        <v>45862</v>
      </c>
      <c r="H481" t="s">
        <v>17</v>
      </c>
      <c r="I481">
        <v>3</v>
      </c>
      <c r="J481">
        <v>0</v>
      </c>
      <c r="K481">
        <v>1260000</v>
      </c>
      <c r="L481">
        <v>0</v>
      </c>
      <c r="M481" t="s">
        <v>23</v>
      </c>
      <c r="N481" t="str">
        <f>_xlfn.XLOOKUP(B481,tblCustomers[customer_id],tblCustomers[region],"Missing")</f>
        <v>West</v>
      </c>
      <c r="O481" t="str">
        <f>_xlfn.XLOOKUP(C481,tblProducts[product_id],tblProducts[product_name],"Missing")</f>
        <v>CRM Enterprise</v>
      </c>
      <c r="P481" t="str">
        <f>_xlfn.XLOOKUP(C481,tblProducts[product_id],tblProducts[category],"Missing")</f>
        <v>CRM</v>
      </c>
      <c r="Q481" t="str">
        <f>_xlfn.XLOOKUP(D481,tblSalesReps[rep_id],tblSalesReps[rep_name],"Missing")</f>
        <v>Sales Rep 15</v>
      </c>
      <c r="R481" t="str">
        <f>_xlfn.XLOOKUP(D481,tblSalesReps[rep_id],tblSalesReps[region],"Missing")</f>
        <v>West</v>
      </c>
    </row>
    <row r="482" spans="1:18">
      <c r="A482" t="s">
        <v>829</v>
      </c>
      <c r="B482" t="s">
        <v>830</v>
      </c>
      <c r="C482" t="s">
        <v>39</v>
      </c>
      <c r="D482" t="s">
        <v>46</v>
      </c>
      <c r="E482" s="1">
        <v>45830</v>
      </c>
      <c r="F482" s="1">
        <v>45845</v>
      </c>
      <c r="G482" s="1">
        <v>45845</v>
      </c>
      <c r="H482" t="s">
        <v>17</v>
      </c>
      <c r="I482">
        <v>2</v>
      </c>
      <c r="J482">
        <v>0</v>
      </c>
      <c r="K482">
        <v>360000</v>
      </c>
      <c r="L482">
        <v>0</v>
      </c>
      <c r="M482" t="s">
        <v>18</v>
      </c>
      <c r="N482" t="str">
        <f>_xlfn.XLOOKUP(B482,tblCustomers[customer_id],tblCustomers[region],"Missing")</f>
        <v>South</v>
      </c>
      <c r="O482" t="str">
        <f>_xlfn.XLOOKUP(C482,tblProducts[product_id],tblProducts[product_name],"Missing")</f>
        <v>Support Desk</v>
      </c>
      <c r="P482" t="str">
        <f>_xlfn.XLOOKUP(C482,tblProducts[product_id],tblProducts[category],"Missing")</f>
        <v>Service</v>
      </c>
      <c r="Q482" t="str">
        <f>_xlfn.XLOOKUP(D482,tblSalesReps[rep_id],tblSalesReps[rep_name],"Missing")</f>
        <v>Sales Rep 01</v>
      </c>
      <c r="R482" t="str">
        <f>_xlfn.XLOOKUP(D482,tblSalesReps[rep_id],tblSalesReps[region],"Missing")</f>
        <v>South</v>
      </c>
    </row>
    <row r="483" spans="1:18">
      <c r="A483" t="s">
        <v>831</v>
      </c>
      <c r="B483" t="s">
        <v>660</v>
      </c>
      <c r="C483" t="s">
        <v>81</v>
      </c>
      <c r="D483" t="s">
        <v>27</v>
      </c>
      <c r="E483" s="1">
        <v>45849</v>
      </c>
      <c r="F483" s="1">
        <v>45869</v>
      </c>
      <c r="G483" s="1"/>
      <c r="H483" t="s">
        <v>43</v>
      </c>
      <c r="I483">
        <v>1</v>
      </c>
      <c r="J483">
        <v>5</v>
      </c>
      <c r="K483">
        <v>285000</v>
      </c>
      <c r="L483">
        <v>20</v>
      </c>
      <c r="M483" t="s">
        <v>29</v>
      </c>
      <c r="N483" t="str">
        <f>_xlfn.XLOOKUP(B483,tblCustomers[customer_id],tblCustomers[region],"Missing")</f>
        <v>North</v>
      </c>
      <c r="O483" t="str">
        <f>_xlfn.XLOOKUP(C483,tblProducts[product_id],tblProducts[product_name],"Missing")</f>
        <v>Analytics Cloud</v>
      </c>
      <c r="P483" t="str">
        <f>_xlfn.XLOOKUP(C483,tblProducts[product_id],tblProducts[category],"Missing")</f>
        <v>Analytics</v>
      </c>
      <c r="Q483" t="str">
        <f>_xlfn.XLOOKUP(D483,tblSalesReps[rep_id],tblSalesReps[rep_name],"Missing")</f>
        <v>Sales Rep 06</v>
      </c>
      <c r="R483" t="str">
        <f>_xlfn.XLOOKUP(D483,tblSalesReps[rep_id],tblSalesReps[region],"Missing")</f>
        <v>North</v>
      </c>
    </row>
    <row r="484" spans="1:18">
      <c r="A484" t="s">
        <v>832</v>
      </c>
      <c r="B484" t="s">
        <v>234</v>
      </c>
      <c r="C484" t="s">
        <v>15</v>
      </c>
      <c r="D484" t="s">
        <v>40</v>
      </c>
      <c r="E484" s="1">
        <v>45933</v>
      </c>
      <c r="F484" s="1">
        <v>45946</v>
      </c>
      <c r="G484" s="1"/>
      <c r="H484" t="s">
        <v>43</v>
      </c>
      <c r="I484">
        <v>1</v>
      </c>
      <c r="J484">
        <v>0</v>
      </c>
      <c r="K484">
        <v>420000</v>
      </c>
      <c r="L484">
        <v>20</v>
      </c>
      <c r="M484" t="s">
        <v>29</v>
      </c>
      <c r="N484" t="str">
        <f>_xlfn.XLOOKUP(B484,tblCustomers[customer_id],tblCustomers[region],"Missing")</f>
        <v>West</v>
      </c>
      <c r="O484" t="str">
        <f>_xlfn.XLOOKUP(C484,tblProducts[product_id],tblProducts[product_name],"Missing")</f>
        <v>CRM Enterprise</v>
      </c>
      <c r="P484" t="str">
        <f>_xlfn.XLOOKUP(C484,tblProducts[product_id],tblProducts[category],"Missing")</f>
        <v>CRM</v>
      </c>
      <c r="Q484" t="str">
        <f>_xlfn.XLOOKUP(D484,tblSalesReps[rep_id],tblSalesReps[rep_name],"Missing")</f>
        <v>Sales Rep 13</v>
      </c>
      <c r="R484" t="str">
        <f>_xlfn.XLOOKUP(D484,tblSalesReps[rep_id],tblSalesReps[region],"Missing")</f>
        <v>West</v>
      </c>
    </row>
    <row r="485" spans="1:18">
      <c r="A485" t="s">
        <v>833</v>
      </c>
      <c r="B485" t="s">
        <v>834</v>
      </c>
      <c r="C485" t="s">
        <v>26</v>
      </c>
      <c r="D485" t="s">
        <v>168</v>
      </c>
      <c r="E485" s="1">
        <v>45728</v>
      </c>
      <c r="F485" s="1">
        <v>45750</v>
      </c>
      <c r="G485" s="1">
        <v>45750</v>
      </c>
      <c r="H485" t="s">
        <v>17</v>
      </c>
      <c r="I485">
        <v>1</v>
      </c>
      <c r="J485">
        <v>10</v>
      </c>
      <c r="K485">
        <v>324000</v>
      </c>
      <c r="L485">
        <v>0</v>
      </c>
      <c r="M485" t="s">
        <v>33</v>
      </c>
      <c r="N485" t="str">
        <f>_xlfn.XLOOKUP(B485,tblCustomers[customer_id],tblCustomers[region],"Missing")</f>
        <v>East</v>
      </c>
      <c r="O485" t="str">
        <f>_xlfn.XLOOKUP(C485,tblProducts[product_id],tblProducts[product_name],"Missing")</f>
        <v>Security Suite</v>
      </c>
      <c r="P485" t="str">
        <f>_xlfn.XLOOKUP(C485,tblProducts[product_id],tblProducts[category],"Missing")</f>
        <v>Security</v>
      </c>
      <c r="Q485" t="str">
        <f>_xlfn.XLOOKUP(D485,tblSalesReps[rep_id],tblSalesReps[rep_name],"Missing")</f>
        <v>Sales Rep 17</v>
      </c>
      <c r="R485" t="str">
        <f>_xlfn.XLOOKUP(D485,tblSalesReps[rep_id],tblSalesReps[region],"Missing")</f>
        <v>East</v>
      </c>
    </row>
    <row r="486" spans="1:18">
      <c r="A486" t="s">
        <v>835</v>
      </c>
      <c r="B486" t="s">
        <v>836</v>
      </c>
      <c r="C486" t="s">
        <v>21</v>
      </c>
      <c r="D486" t="s">
        <v>91</v>
      </c>
      <c r="E486" s="1">
        <v>46022</v>
      </c>
      <c r="F486" s="1">
        <v>46100</v>
      </c>
      <c r="G486" s="1"/>
      <c r="H486" t="s">
        <v>43</v>
      </c>
      <c r="I486">
        <v>1</v>
      </c>
      <c r="J486">
        <v>5</v>
      </c>
      <c r="K486">
        <v>228000</v>
      </c>
      <c r="L486">
        <v>20</v>
      </c>
      <c r="M486" t="s">
        <v>29</v>
      </c>
      <c r="N486" t="str">
        <f>_xlfn.XLOOKUP(B486,tblCustomers[customer_id],tblCustomers[region],"Missing")</f>
        <v>South</v>
      </c>
      <c r="O486" t="str">
        <f>_xlfn.XLOOKUP(C486,tblProducts[product_id],tblProducts[product_name],"Missing")</f>
        <v>Workflow Automate</v>
      </c>
      <c r="P486" t="str">
        <f>_xlfn.XLOOKUP(C486,tblProducts[product_id],tblProducts[category],"Missing")</f>
        <v>Automation</v>
      </c>
      <c r="Q486" t="str">
        <f>_xlfn.XLOOKUP(D486,tblSalesReps[rep_id],tblSalesReps[rep_name],"Missing")</f>
        <v>Sales Rep 03</v>
      </c>
      <c r="R486" t="str">
        <f>_xlfn.XLOOKUP(D486,tblSalesReps[rep_id],tblSalesReps[region],"Missing")</f>
        <v>South</v>
      </c>
    </row>
    <row r="487" spans="1:18">
      <c r="A487" t="s">
        <v>837</v>
      </c>
      <c r="B487" t="s">
        <v>809</v>
      </c>
      <c r="C487" t="s">
        <v>81</v>
      </c>
      <c r="D487" t="s">
        <v>75</v>
      </c>
      <c r="E487" s="1">
        <v>45907</v>
      </c>
      <c r="F487" s="1">
        <v>45940</v>
      </c>
      <c r="G487" s="1">
        <v>45940</v>
      </c>
      <c r="H487" t="s">
        <v>28</v>
      </c>
      <c r="I487">
        <v>3</v>
      </c>
      <c r="J487">
        <v>20</v>
      </c>
      <c r="K487">
        <v>720000</v>
      </c>
      <c r="L487">
        <v>100</v>
      </c>
      <c r="M487" t="s">
        <v>29</v>
      </c>
      <c r="N487" t="str">
        <f>_xlfn.XLOOKUP(B487,tblCustomers[customer_id],tblCustomers[region],"Missing")</f>
        <v>North</v>
      </c>
      <c r="O487" t="str">
        <f>_xlfn.XLOOKUP(C487,tblProducts[product_id],tblProducts[product_name],"Missing")</f>
        <v>Analytics Cloud</v>
      </c>
      <c r="P487" t="str">
        <f>_xlfn.XLOOKUP(C487,tblProducts[product_id],tblProducts[category],"Missing")</f>
        <v>Analytics</v>
      </c>
      <c r="Q487" t="str">
        <f>_xlfn.XLOOKUP(D487,tblSalesReps[rep_id],tblSalesReps[rep_name],"Missing")</f>
        <v>Sales Rep 07</v>
      </c>
      <c r="R487" t="str">
        <f>_xlfn.XLOOKUP(D487,tblSalesReps[rep_id],tblSalesReps[region],"Missing")</f>
        <v>North</v>
      </c>
    </row>
    <row r="488" spans="1:18">
      <c r="A488" t="s">
        <v>838</v>
      </c>
      <c r="B488" t="s">
        <v>613</v>
      </c>
      <c r="C488" t="s">
        <v>62</v>
      </c>
      <c r="D488" t="s">
        <v>16</v>
      </c>
      <c r="E488" s="1">
        <v>45874</v>
      </c>
      <c r="F488" s="1">
        <v>45920</v>
      </c>
      <c r="G488" s="1">
        <v>45920</v>
      </c>
      <c r="H488" t="s">
        <v>28</v>
      </c>
      <c r="I488">
        <v>3</v>
      </c>
      <c r="J488">
        <v>0</v>
      </c>
      <c r="K488">
        <v>360000</v>
      </c>
      <c r="L488">
        <v>100</v>
      </c>
      <c r="M488" t="s">
        <v>29</v>
      </c>
      <c r="N488" t="str">
        <f>_xlfn.XLOOKUP(B488,tblCustomers[customer_id],tblCustomers[region],"Missing")</f>
        <v>North</v>
      </c>
      <c r="O488" t="str">
        <f>_xlfn.XLOOKUP(C488,tblProducts[product_id],tblProducts[product_name],"Missing")</f>
        <v>CRM Essentials</v>
      </c>
      <c r="P488" t="str">
        <f>_xlfn.XLOOKUP(C488,tblProducts[product_id],tblProducts[category],"Missing")</f>
        <v>CRM</v>
      </c>
      <c r="Q488" t="str">
        <f>_xlfn.XLOOKUP(D488,tblSalesReps[rep_id],tblSalesReps[rep_name],"Missing")</f>
        <v>Sales Rep 08</v>
      </c>
      <c r="R488" t="str">
        <f>_xlfn.XLOOKUP(D488,tblSalesReps[rep_id],tblSalesReps[region],"Missing")</f>
        <v>North</v>
      </c>
    </row>
    <row r="489" spans="1:18">
      <c r="A489" t="s">
        <v>839</v>
      </c>
      <c r="B489" t="s">
        <v>383</v>
      </c>
      <c r="C489" t="s">
        <v>39</v>
      </c>
      <c r="D489" t="s">
        <v>70</v>
      </c>
      <c r="E489" s="1">
        <v>45839</v>
      </c>
      <c r="F489" s="1">
        <v>45865</v>
      </c>
      <c r="G489" s="1">
        <v>45865</v>
      </c>
      <c r="H489" t="s">
        <v>17</v>
      </c>
      <c r="I489">
        <v>2</v>
      </c>
      <c r="J489">
        <v>20</v>
      </c>
      <c r="K489">
        <v>288000</v>
      </c>
      <c r="L489">
        <v>0</v>
      </c>
      <c r="M489" t="s">
        <v>33</v>
      </c>
      <c r="N489" t="str">
        <f>_xlfn.XLOOKUP(B489,tblCustomers[customer_id],tblCustomers[region],"Missing")</f>
        <v>West</v>
      </c>
      <c r="O489" t="str">
        <f>_xlfn.XLOOKUP(C489,tblProducts[product_id],tblProducts[product_name],"Missing")</f>
        <v>Support Desk</v>
      </c>
      <c r="P489" t="str">
        <f>_xlfn.XLOOKUP(C489,tblProducts[product_id],tblProducts[category],"Missing")</f>
        <v>Service</v>
      </c>
      <c r="Q489" t="str">
        <f>_xlfn.XLOOKUP(D489,tblSalesReps[rep_id],tblSalesReps[rep_name],"Missing")</f>
        <v>Sales Rep 11</v>
      </c>
      <c r="R489" t="str">
        <f>_xlfn.XLOOKUP(D489,tblSalesReps[rep_id],tblSalesReps[region],"Missing")</f>
        <v>West</v>
      </c>
    </row>
    <row r="490" spans="1:18">
      <c r="A490" t="s">
        <v>840</v>
      </c>
      <c r="B490" t="s">
        <v>613</v>
      </c>
      <c r="C490" t="s">
        <v>81</v>
      </c>
      <c r="D490" t="s">
        <v>75</v>
      </c>
      <c r="E490" s="1">
        <v>45962</v>
      </c>
      <c r="F490" s="1">
        <v>46046</v>
      </c>
      <c r="G490" s="1"/>
      <c r="H490" t="s">
        <v>43</v>
      </c>
      <c r="I490">
        <v>2</v>
      </c>
      <c r="J490">
        <v>20</v>
      </c>
      <c r="K490">
        <v>480000</v>
      </c>
      <c r="L490">
        <v>80</v>
      </c>
      <c r="M490" t="s">
        <v>29</v>
      </c>
      <c r="N490" t="str">
        <f>_xlfn.XLOOKUP(B490,tblCustomers[customer_id],tblCustomers[region],"Missing")</f>
        <v>North</v>
      </c>
      <c r="O490" t="str">
        <f>_xlfn.XLOOKUP(C490,tblProducts[product_id],tblProducts[product_name],"Missing")</f>
        <v>Analytics Cloud</v>
      </c>
      <c r="P490" t="str">
        <f>_xlfn.XLOOKUP(C490,tblProducts[product_id],tblProducts[category],"Missing")</f>
        <v>Analytics</v>
      </c>
      <c r="Q490" t="str">
        <f>_xlfn.XLOOKUP(D490,tblSalesReps[rep_id],tblSalesReps[rep_name],"Missing")</f>
        <v>Sales Rep 07</v>
      </c>
      <c r="R490" t="str">
        <f>_xlfn.XLOOKUP(D490,tblSalesReps[rep_id],tblSalesReps[region],"Missing")</f>
        <v>North</v>
      </c>
    </row>
    <row r="491" spans="1:18">
      <c r="A491" t="s">
        <v>841</v>
      </c>
      <c r="B491" t="s">
        <v>842</v>
      </c>
      <c r="C491" t="s">
        <v>62</v>
      </c>
      <c r="D491" t="s">
        <v>53</v>
      </c>
      <c r="E491" s="1">
        <v>45952</v>
      </c>
      <c r="F491" s="1">
        <v>45967</v>
      </c>
      <c r="G491" s="1">
        <v>45967</v>
      </c>
      <c r="H491" t="s">
        <v>28</v>
      </c>
      <c r="I491">
        <v>3</v>
      </c>
      <c r="J491">
        <v>0</v>
      </c>
      <c r="K491">
        <v>360000</v>
      </c>
      <c r="L491">
        <v>100</v>
      </c>
      <c r="M491" t="s">
        <v>29</v>
      </c>
      <c r="N491" t="str">
        <f>_xlfn.XLOOKUP(B491,tblCustomers[customer_id],tblCustomers[region],"Missing")</f>
        <v>East</v>
      </c>
      <c r="O491" t="str">
        <f>_xlfn.XLOOKUP(C491,tblProducts[product_id],tblProducts[product_name],"Missing")</f>
        <v>CRM Essentials</v>
      </c>
      <c r="P491" t="str">
        <f>_xlfn.XLOOKUP(C491,tblProducts[product_id],tblProducts[category],"Missing")</f>
        <v>CRM</v>
      </c>
      <c r="Q491" t="str">
        <f>_xlfn.XLOOKUP(D491,tblSalesReps[rep_id],tblSalesReps[rep_name],"Missing")</f>
        <v>Sales Rep 16</v>
      </c>
      <c r="R491" t="str">
        <f>_xlfn.XLOOKUP(D491,tblSalesReps[rep_id],tblSalesReps[region],"Missing")</f>
        <v>East</v>
      </c>
    </row>
    <row r="492" spans="1:18">
      <c r="A492" t="s">
        <v>843</v>
      </c>
      <c r="B492" t="s">
        <v>844</v>
      </c>
      <c r="C492" t="s">
        <v>15</v>
      </c>
      <c r="D492" t="s">
        <v>91</v>
      </c>
      <c r="E492" s="1">
        <v>45984</v>
      </c>
      <c r="F492" s="1">
        <v>46067</v>
      </c>
      <c r="G492" s="1"/>
      <c r="H492" t="s">
        <v>43</v>
      </c>
      <c r="I492">
        <v>1</v>
      </c>
      <c r="J492">
        <v>0</v>
      </c>
      <c r="K492">
        <v>420000</v>
      </c>
      <c r="L492">
        <v>20</v>
      </c>
      <c r="M492" t="s">
        <v>29</v>
      </c>
      <c r="N492" t="str">
        <f>_xlfn.XLOOKUP(B492,tblCustomers[customer_id],tblCustomers[region],"Missing")</f>
        <v>South</v>
      </c>
      <c r="O492" t="str">
        <f>_xlfn.XLOOKUP(C492,tblProducts[product_id],tblProducts[product_name],"Missing")</f>
        <v>CRM Enterprise</v>
      </c>
      <c r="P492" t="str">
        <f>_xlfn.XLOOKUP(C492,tblProducts[product_id],tblProducts[category],"Missing")</f>
        <v>CRM</v>
      </c>
      <c r="Q492" t="str">
        <f>_xlfn.XLOOKUP(D492,tblSalesReps[rep_id],tblSalesReps[rep_name],"Missing")</f>
        <v>Sales Rep 03</v>
      </c>
      <c r="R492" t="str">
        <f>_xlfn.XLOOKUP(D492,tblSalesReps[rep_id],tblSalesReps[region],"Missing")</f>
        <v>South</v>
      </c>
    </row>
    <row r="493" spans="1:18">
      <c r="A493" t="s">
        <v>845</v>
      </c>
      <c r="B493" t="s">
        <v>389</v>
      </c>
      <c r="C493" t="s">
        <v>21</v>
      </c>
      <c r="D493" t="s">
        <v>59</v>
      </c>
      <c r="E493" s="1">
        <v>45730</v>
      </c>
      <c r="F493" s="1">
        <v>45797</v>
      </c>
      <c r="G493" s="1"/>
      <c r="H493" t="s">
        <v>43</v>
      </c>
      <c r="I493">
        <v>2</v>
      </c>
      <c r="J493">
        <v>10</v>
      </c>
      <c r="K493">
        <v>432000</v>
      </c>
      <c r="L493">
        <v>20</v>
      </c>
      <c r="M493" t="s">
        <v>29</v>
      </c>
      <c r="N493" t="str">
        <f>_xlfn.XLOOKUP(B493,tblCustomers[customer_id],tblCustomers[region],"Missing")</f>
        <v>East</v>
      </c>
      <c r="O493" t="str">
        <f>_xlfn.XLOOKUP(C493,tblProducts[product_id],tblProducts[product_name],"Missing")</f>
        <v>Workflow Automate</v>
      </c>
      <c r="P493" t="str">
        <f>_xlfn.XLOOKUP(C493,tblProducts[product_id],tblProducts[category],"Missing")</f>
        <v>Automation</v>
      </c>
      <c r="Q493" t="str">
        <f>_xlfn.XLOOKUP(D493,tblSalesReps[rep_id],tblSalesReps[rep_name],"Missing")</f>
        <v>Sales Rep 19</v>
      </c>
      <c r="R493" t="str">
        <f>_xlfn.XLOOKUP(D493,tblSalesReps[rep_id],tblSalesReps[region],"Missing")</f>
        <v>East</v>
      </c>
    </row>
    <row r="494" spans="1:18">
      <c r="A494" t="s">
        <v>846</v>
      </c>
      <c r="B494" t="s">
        <v>485</v>
      </c>
      <c r="C494" t="s">
        <v>15</v>
      </c>
      <c r="D494" t="s">
        <v>59</v>
      </c>
      <c r="E494" s="1">
        <v>45714</v>
      </c>
      <c r="F494" s="1">
        <v>45723</v>
      </c>
      <c r="G494" s="1">
        <v>45723</v>
      </c>
      <c r="H494" t="s">
        <v>28</v>
      </c>
      <c r="I494">
        <v>3</v>
      </c>
      <c r="J494">
        <v>10</v>
      </c>
      <c r="K494">
        <v>1134000</v>
      </c>
      <c r="L494">
        <v>100</v>
      </c>
      <c r="M494" t="s">
        <v>29</v>
      </c>
      <c r="N494" t="str">
        <f>_xlfn.XLOOKUP(B494,tblCustomers[customer_id],tblCustomers[region],"Missing")</f>
        <v>East</v>
      </c>
      <c r="O494" t="str">
        <f>_xlfn.XLOOKUP(C494,tblProducts[product_id],tblProducts[product_name],"Missing")</f>
        <v>CRM Enterprise</v>
      </c>
      <c r="P494" t="str">
        <f>_xlfn.XLOOKUP(C494,tblProducts[product_id],tblProducts[category],"Missing")</f>
        <v>CRM</v>
      </c>
      <c r="Q494" t="str">
        <f>_xlfn.XLOOKUP(D494,tblSalesReps[rep_id],tblSalesReps[rep_name],"Missing")</f>
        <v>Sales Rep 19</v>
      </c>
      <c r="R494" t="str">
        <f>_xlfn.XLOOKUP(D494,tblSalesReps[rep_id],tblSalesReps[region],"Missing")</f>
        <v>East</v>
      </c>
    </row>
    <row r="495" spans="1:18">
      <c r="A495" t="s">
        <v>847</v>
      </c>
      <c r="B495" t="s">
        <v>759</v>
      </c>
      <c r="C495" t="s">
        <v>26</v>
      </c>
      <c r="D495" t="s">
        <v>59</v>
      </c>
      <c r="E495" s="1">
        <v>45787</v>
      </c>
      <c r="F495" s="1">
        <v>45795</v>
      </c>
      <c r="G495" s="1">
        <v>45795</v>
      </c>
      <c r="H495" t="s">
        <v>17</v>
      </c>
      <c r="I495">
        <v>1</v>
      </c>
      <c r="J495">
        <v>10</v>
      </c>
      <c r="K495">
        <v>324000</v>
      </c>
      <c r="L495">
        <v>0</v>
      </c>
      <c r="M495" t="s">
        <v>33</v>
      </c>
      <c r="N495" t="str">
        <f>_xlfn.XLOOKUP(B495,tblCustomers[customer_id],tblCustomers[region],"Missing")</f>
        <v>East</v>
      </c>
      <c r="O495" t="str">
        <f>_xlfn.XLOOKUP(C495,tblProducts[product_id],tblProducts[product_name],"Missing")</f>
        <v>Security Suite</v>
      </c>
      <c r="P495" t="str">
        <f>_xlfn.XLOOKUP(C495,tblProducts[product_id],tblProducts[category],"Missing")</f>
        <v>Security</v>
      </c>
      <c r="Q495" t="str">
        <f>_xlfn.XLOOKUP(D495,tblSalesReps[rep_id],tblSalesReps[rep_name],"Missing")</f>
        <v>Sales Rep 19</v>
      </c>
      <c r="R495" t="str">
        <f>_xlfn.XLOOKUP(D495,tblSalesReps[rep_id],tblSalesReps[region],"Missing")</f>
        <v>East</v>
      </c>
    </row>
    <row r="496" spans="1:18">
      <c r="A496" t="s">
        <v>848</v>
      </c>
      <c r="B496" t="s">
        <v>167</v>
      </c>
      <c r="C496" t="s">
        <v>26</v>
      </c>
      <c r="D496" t="s">
        <v>59</v>
      </c>
      <c r="E496" s="1">
        <v>45842</v>
      </c>
      <c r="F496" s="1">
        <v>45860</v>
      </c>
      <c r="G496" s="1">
        <v>45860</v>
      </c>
      <c r="H496" t="s">
        <v>28</v>
      </c>
      <c r="I496">
        <v>1</v>
      </c>
      <c r="J496">
        <v>15</v>
      </c>
      <c r="K496">
        <v>306000</v>
      </c>
      <c r="L496">
        <v>100</v>
      </c>
      <c r="M496" t="s">
        <v>29</v>
      </c>
      <c r="N496" t="str">
        <f>_xlfn.XLOOKUP(B496,tblCustomers[customer_id],tblCustomers[region],"Missing")</f>
        <v>East</v>
      </c>
      <c r="O496" t="str">
        <f>_xlfn.XLOOKUP(C496,tblProducts[product_id],tblProducts[product_name],"Missing")</f>
        <v>Security Suite</v>
      </c>
      <c r="P496" t="str">
        <f>_xlfn.XLOOKUP(C496,tblProducts[product_id],tblProducts[category],"Missing")</f>
        <v>Security</v>
      </c>
      <c r="Q496" t="str">
        <f>_xlfn.XLOOKUP(D496,tblSalesReps[rep_id],tblSalesReps[rep_name],"Missing")</f>
        <v>Sales Rep 19</v>
      </c>
      <c r="R496" t="str">
        <f>_xlfn.XLOOKUP(D496,tblSalesReps[rep_id],tblSalesReps[region],"Missing")</f>
        <v>East</v>
      </c>
    </row>
    <row r="497" spans="1:18">
      <c r="A497" t="s">
        <v>849</v>
      </c>
      <c r="B497" t="s">
        <v>196</v>
      </c>
      <c r="C497" t="s">
        <v>15</v>
      </c>
      <c r="D497" t="s">
        <v>46</v>
      </c>
      <c r="E497" s="1">
        <v>45954</v>
      </c>
      <c r="F497" s="1">
        <v>46004</v>
      </c>
      <c r="G497" s="1">
        <v>46004</v>
      </c>
      <c r="H497" t="s">
        <v>17</v>
      </c>
      <c r="I497">
        <v>3</v>
      </c>
      <c r="J497">
        <v>0</v>
      </c>
      <c r="K497">
        <v>1260000</v>
      </c>
      <c r="L497">
        <v>0</v>
      </c>
      <c r="M497" t="s">
        <v>82</v>
      </c>
      <c r="N497" t="str">
        <f>_xlfn.XLOOKUP(B497,tblCustomers[customer_id],tblCustomers[region],"Missing")</f>
        <v>South</v>
      </c>
      <c r="O497" t="str">
        <f>_xlfn.XLOOKUP(C497,tblProducts[product_id],tblProducts[product_name],"Missing")</f>
        <v>CRM Enterprise</v>
      </c>
      <c r="P497" t="str">
        <f>_xlfn.XLOOKUP(C497,tblProducts[product_id],tblProducts[category],"Missing")</f>
        <v>CRM</v>
      </c>
      <c r="Q497" t="str">
        <f>_xlfn.XLOOKUP(D497,tblSalesReps[rep_id],tblSalesReps[rep_name],"Missing")</f>
        <v>Sales Rep 01</v>
      </c>
      <c r="R497" t="str">
        <f>_xlfn.XLOOKUP(D497,tblSalesReps[rep_id],tblSalesReps[region],"Missing")</f>
        <v>South</v>
      </c>
    </row>
    <row r="498" spans="1:18">
      <c r="A498" t="s">
        <v>850</v>
      </c>
      <c r="B498" t="s">
        <v>851</v>
      </c>
      <c r="C498" t="s">
        <v>15</v>
      </c>
      <c r="D498" t="s">
        <v>91</v>
      </c>
      <c r="E498" s="1">
        <v>45907</v>
      </c>
      <c r="F498" s="1">
        <v>45951</v>
      </c>
      <c r="G498" s="1">
        <v>45951</v>
      </c>
      <c r="H498" t="s">
        <v>28</v>
      </c>
      <c r="I498">
        <v>1</v>
      </c>
      <c r="J498">
        <v>15</v>
      </c>
      <c r="K498">
        <v>357000</v>
      </c>
      <c r="L498">
        <v>100</v>
      </c>
      <c r="M498" t="s">
        <v>29</v>
      </c>
      <c r="N498" t="str">
        <f>_xlfn.XLOOKUP(B498,tblCustomers[customer_id],tblCustomers[region],"Missing")</f>
        <v>South</v>
      </c>
      <c r="O498" t="str">
        <f>_xlfn.XLOOKUP(C498,tblProducts[product_id],tblProducts[product_name],"Missing")</f>
        <v>CRM Enterprise</v>
      </c>
      <c r="P498" t="str">
        <f>_xlfn.XLOOKUP(C498,tblProducts[product_id],tblProducts[category],"Missing")</f>
        <v>CRM</v>
      </c>
      <c r="Q498" t="str">
        <f>_xlfn.XLOOKUP(D498,tblSalesReps[rep_id],tblSalesReps[rep_name],"Missing")</f>
        <v>Sales Rep 03</v>
      </c>
      <c r="R498" t="str">
        <f>_xlfn.XLOOKUP(D498,tblSalesReps[rep_id],tblSalesReps[region],"Missing")</f>
        <v>South</v>
      </c>
    </row>
    <row r="499" spans="1:18">
      <c r="A499" t="s">
        <v>852</v>
      </c>
      <c r="B499" t="s">
        <v>853</v>
      </c>
      <c r="C499" t="s">
        <v>62</v>
      </c>
      <c r="D499" t="s">
        <v>70</v>
      </c>
      <c r="E499" s="1">
        <v>45786</v>
      </c>
      <c r="F499" s="1">
        <v>45829</v>
      </c>
      <c r="G499" s="1">
        <v>45829</v>
      </c>
      <c r="H499" t="s">
        <v>28</v>
      </c>
      <c r="I499">
        <v>3</v>
      </c>
      <c r="J499">
        <v>20</v>
      </c>
      <c r="K499">
        <v>288000</v>
      </c>
      <c r="L499">
        <v>100</v>
      </c>
      <c r="M499" t="s">
        <v>29</v>
      </c>
      <c r="N499" t="str">
        <f>_xlfn.XLOOKUP(B499,tblCustomers[customer_id],tblCustomers[region],"Missing")</f>
        <v>West</v>
      </c>
      <c r="O499" t="str">
        <f>_xlfn.XLOOKUP(C499,tblProducts[product_id],tblProducts[product_name],"Missing")</f>
        <v>CRM Essentials</v>
      </c>
      <c r="P499" t="str">
        <f>_xlfn.XLOOKUP(C499,tblProducts[product_id],tblProducts[category],"Missing")</f>
        <v>CRM</v>
      </c>
      <c r="Q499" t="str">
        <f>_xlfn.XLOOKUP(D499,tblSalesReps[rep_id],tblSalesReps[rep_name],"Missing")</f>
        <v>Sales Rep 11</v>
      </c>
      <c r="R499" t="str">
        <f>_xlfn.XLOOKUP(D499,tblSalesReps[rep_id],tblSalesReps[region],"Missing")</f>
        <v>West</v>
      </c>
    </row>
    <row r="500" spans="1:18">
      <c r="A500" t="s">
        <v>854</v>
      </c>
      <c r="B500" t="s">
        <v>830</v>
      </c>
      <c r="C500" t="s">
        <v>62</v>
      </c>
      <c r="D500" t="s">
        <v>91</v>
      </c>
      <c r="E500" s="1">
        <v>45770</v>
      </c>
      <c r="F500" s="1">
        <v>45822</v>
      </c>
      <c r="G500" s="1">
        <v>45822</v>
      </c>
      <c r="H500" t="s">
        <v>28</v>
      </c>
      <c r="I500">
        <v>1</v>
      </c>
      <c r="J500">
        <v>15</v>
      </c>
      <c r="K500">
        <v>102000</v>
      </c>
      <c r="L500">
        <v>100</v>
      </c>
      <c r="M500" t="s">
        <v>29</v>
      </c>
      <c r="N500" t="str">
        <f>_xlfn.XLOOKUP(B500,tblCustomers[customer_id],tblCustomers[region],"Missing")</f>
        <v>South</v>
      </c>
      <c r="O500" t="str">
        <f>_xlfn.XLOOKUP(C500,tblProducts[product_id],tblProducts[product_name],"Missing")</f>
        <v>CRM Essentials</v>
      </c>
      <c r="P500" t="str">
        <f>_xlfn.XLOOKUP(C500,tblProducts[product_id],tblProducts[category],"Missing")</f>
        <v>CRM</v>
      </c>
      <c r="Q500" t="str">
        <f>_xlfn.XLOOKUP(D500,tblSalesReps[rep_id],tblSalesReps[rep_name],"Missing")</f>
        <v>Sales Rep 03</v>
      </c>
      <c r="R500" t="str">
        <f>_xlfn.XLOOKUP(D500,tblSalesReps[rep_id],tblSalesReps[region],"Missing")</f>
        <v>South</v>
      </c>
    </row>
    <row r="501" spans="1:18">
      <c r="A501" t="s">
        <v>855</v>
      </c>
      <c r="B501" t="s">
        <v>420</v>
      </c>
      <c r="C501" t="s">
        <v>81</v>
      </c>
      <c r="D501" t="s">
        <v>119</v>
      </c>
      <c r="E501" s="1">
        <v>45760</v>
      </c>
      <c r="F501" s="1">
        <v>45777</v>
      </c>
      <c r="G501" s="1">
        <v>45777</v>
      </c>
      <c r="H501" t="s">
        <v>28</v>
      </c>
      <c r="I501">
        <v>1</v>
      </c>
      <c r="J501">
        <v>20</v>
      </c>
      <c r="K501">
        <v>240000</v>
      </c>
      <c r="L501">
        <v>100</v>
      </c>
      <c r="M501" t="s">
        <v>29</v>
      </c>
      <c r="N501" t="str">
        <f>_xlfn.XLOOKUP(B501,tblCustomers[customer_id],tblCustomers[region],"Missing")</f>
        <v>North</v>
      </c>
      <c r="O501" t="str">
        <f>_xlfn.XLOOKUP(C501,tblProducts[product_id],tblProducts[product_name],"Missing")</f>
        <v>Analytics Cloud</v>
      </c>
      <c r="P501" t="str">
        <f>_xlfn.XLOOKUP(C501,tblProducts[product_id],tblProducts[category],"Missing")</f>
        <v>Analytics</v>
      </c>
      <c r="Q501" t="str">
        <f>_xlfn.XLOOKUP(D501,tblSalesReps[rep_id],tblSalesReps[rep_name],"Missing")</f>
        <v>Sales Rep 10</v>
      </c>
      <c r="R501" t="str">
        <f>_xlfn.XLOOKUP(D501,tblSalesReps[rep_id],tblSalesReps[region],"Missing")</f>
        <v>North</v>
      </c>
    </row>
    <row r="502" spans="1:18">
      <c r="A502" t="s">
        <v>856</v>
      </c>
      <c r="B502" t="s">
        <v>857</v>
      </c>
      <c r="C502" t="s">
        <v>21</v>
      </c>
      <c r="D502" t="s">
        <v>59</v>
      </c>
      <c r="E502" s="1">
        <v>45839</v>
      </c>
      <c r="F502" s="1">
        <v>45899</v>
      </c>
      <c r="G502" s="1">
        <v>45899</v>
      </c>
      <c r="H502" t="s">
        <v>17</v>
      </c>
      <c r="I502">
        <v>2</v>
      </c>
      <c r="J502">
        <v>15</v>
      </c>
      <c r="K502">
        <v>408000</v>
      </c>
      <c r="L502">
        <v>0</v>
      </c>
      <c r="M502" t="s">
        <v>33</v>
      </c>
      <c r="N502" t="str">
        <f>_xlfn.XLOOKUP(B502,tblCustomers[customer_id],tblCustomers[region],"Missing")</f>
        <v>East</v>
      </c>
      <c r="O502" t="str">
        <f>_xlfn.XLOOKUP(C502,tblProducts[product_id],tblProducts[product_name],"Missing")</f>
        <v>Workflow Automate</v>
      </c>
      <c r="P502" t="str">
        <f>_xlfn.XLOOKUP(C502,tblProducts[product_id],tblProducts[category],"Missing")</f>
        <v>Automation</v>
      </c>
      <c r="Q502" t="str">
        <f>_xlfn.XLOOKUP(D502,tblSalesReps[rep_id],tblSalesReps[rep_name],"Missing")</f>
        <v>Sales Rep 19</v>
      </c>
      <c r="R502" t="str">
        <f>_xlfn.XLOOKUP(D502,tblSalesReps[rep_id],tblSalesReps[region],"Missing")</f>
        <v>East</v>
      </c>
    </row>
    <row r="503" spans="1:18">
      <c r="A503" t="s">
        <v>858</v>
      </c>
      <c r="B503" t="s">
        <v>859</v>
      </c>
      <c r="C503" t="s">
        <v>21</v>
      </c>
      <c r="D503" t="s">
        <v>126</v>
      </c>
      <c r="E503" s="1">
        <v>45955</v>
      </c>
      <c r="F503" s="1">
        <v>45978</v>
      </c>
      <c r="G503" s="1">
        <v>45978</v>
      </c>
      <c r="H503" t="s">
        <v>17</v>
      </c>
      <c r="I503">
        <v>3</v>
      </c>
      <c r="J503">
        <v>20</v>
      </c>
      <c r="K503">
        <v>576000</v>
      </c>
      <c r="L503">
        <v>0</v>
      </c>
      <c r="M503" t="s">
        <v>23</v>
      </c>
      <c r="N503" t="str">
        <f>_xlfn.XLOOKUP(B503,tblCustomers[customer_id],tblCustomers[region],"Missing")</f>
        <v>South</v>
      </c>
      <c r="O503" t="str">
        <f>_xlfn.XLOOKUP(C503,tblProducts[product_id],tblProducts[product_name],"Missing")</f>
        <v>Workflow Automate</v>
      </c>
      <c r="P503" t="str">
        <f>_xlfn.XLOOKUP(C503,tblProducts[product_id],tblProducts[category],"Missing")</f>
        <v>Automation</v>
      </c>
      <c r="Q503" t="str">
        <f>_xlfn.XLOOKUP(D503,tblSalesReps[rep_id],tblSalesReps[rep_name],"Missing")</f>
        <v>Sales Rep 02</v>
      </c>
      <c r="R503" t="str">
        <f>_xlfn.XLOOKUP(D503,tblSalesReps[rep_id],tblSalesReps[region],"Missing")</f>
        <v>South</v>
      </c>
    </row>
    <row r="504" spans="1:18">
      <c r="A504" t="s">
        <v>860</v>
      </c>
      <c r="B504" t="s">
        <v>861</v>
      </c>
      <c r="C504" t="s">
        <v>21</v>
      </c>
      <c r="D504" t="s">
        <v>63</v>
      </c>
      <c r="E504" s="1">
        <v>45904</v>
      </c>
      <c r="F504" s="1">
        <v>45918</v>
      </c>
      <c r="G504" s="1">
        <v>45918</v>
      </c>
      <c r="H504" t="s">
        <v>17</v>
      </c>
      <c r="I504">
        <v>1</v>
      </c>
      <c r="J504">
        <v>20</v>
      </c>
      <c r="K504">
        <v>192000</v>
      </c>
      <c r="L504">
        <v>0</v>
      </c>
      <c r="M504" t="s">
        <v>47</v>
      </c>
      <c r="N504" t="str">
        <f>_xlfn.XLOOKUP(B504,tblCustomers[customer_id],tblCustomers[region],"Missing")</f>
        <v>South</v>
      </c>
      <c r="O504" t="str">
        <f>_xlfn.XLOOKUP(C504,tblProducts[product_id],tblProducts[product_name],"Missing")</f>
        <v>Workflow Automate</v>
      </c>
      <c r="P504" t="str">
        <f>_xlfn.XLOOKUP(C504,tblProducts[product_id],tblProducts[category],"Missing")</f>
        <v>Automation</v>
      </c>
      <c r="Q504" t="str">
        <f>_xlfn.XLOOKUP(D504,tblSalesReps[rep_id],tblSalesReps[rep_name],"Missing")</f>
        <v>Sales Rep 05</v>
      </c>
      <c r="R504" t="str">
        <f>_xlfn.XLOOKUP(D504,tblSalesReps[rep_id],tblSalesReps[region],"Missing")</f>
        <v>South</v>
      </c>
    </row>
    <row r="505" spans="1:18">
      <c r="A505" t="s">
        <v>862</v>
      </c>
      <c r="B505" t="s">
        <v>86</v>
      </c>
      <c r="C505" t="s">
        <v>62</v>
      </c>
      <c r="D505" t="s">
        <v>22</v>
      </c>
      <c r="E505" s="1">
        <v>45977</v>
      </c>
      <c r="F505" s="1">
        <v>45998</v>
      </c>
      <c r="G505" s="1">
        <v>45998</v>
      </c>
      <c r="H505" t="s">
        <v>17</v>
      </c>
      <c r="I505">
        <v>1</v>
      </c>
      <c r="J505">
        <v>0</v>
      </c>
      <c r="K505">
        <v>120000</v>
      </c>
      <c r="L505">
        <v>0</v>
      </c>
      <c r="M505" t="s">
        <v>33</v>
      </c>
      <c r="N505" t="str">
        <f>_xlfn.XLOOKUP(B505,tblCustomers[customer_id],tblCustomers[region],"Missing")</f>
        <v>West</v>
      </c>
      <c r="O505" t="str">
        <f>_xlfn.XLOOKUP(C505,tblProducts[product_id],tblProducts[product_name],"Missing")</f>
        <v>CRM Essentials</v>
      </c>
      <c r="P505" t="str">
        <f>_xlfn.XLOOKUP(C505,tblProducts[product_id],tblProducts[category],"Missing")</f>
        <v>CRM</v>
      </c>
      <c r="Q505" t="str">
        <f>_xlfn.XLOOKUP(D505,tblSalesReps[rep_id],tblSalesReps[rep_name],"Missing")</f>
        <v>Sales Rep 14</v>
      </c>
      <c r="R505" t="str">
        <f>_xlfn.XLOOKUP(D505,tblSalesReps[rep_id],tblSalesReps[region],"Missing")</f>
        <v>West</v>
      </c>
    </row>
    <row r="506" spans="1:18">
      <c r="A506" t="s">
        <v>863</v>
      </c>
      <c r="B506" t="s">
        <v>864</v>
      </c>
      <c r="C506" t="s">
        <v>39</v>
      </c>
      <c r="D506" t="s">
        <v>22</v>
      </c>
      <c r="E506" s="1">
        <v>45858</v>
      </c>
      <c r="F506" s="1">
        <v>45880</v>
      </c>
      <c r="G506" s="1">
        <v>45880</v>
      </c>
      <c r="H506" t="s">
        <v>28</v>
      </c>
      <c r="I506">
        <v>1</v>
      </c>
      <c r="J506">
        <v>15</v>
      </c>
      <c r="K506">
        <v>153000</v>
      </c>
      <c r="L506">
        <v>100</v>
      </c>
      <c r="M506" t="s">
        <v>29</v>
      </c>
      <c r="N506" t="str">
        <f>_xlfn.XLOOKUP(B506,tblCustomers[customer_id],tblCustomers[region],"Missing")</f>
        <v>West</v>
      </c>
      <c r="O506" t="str">
        <f>_xlfn.XLOOKUP(C506,tblProducts[product_id],tblProducts[product_name],"Missing")</f>
        <v>Support Desk</v>
      </c>
      <c r="P506" t="str">
        <f>_xlfn.XLOOKUP(C506,tblProducts[product_id],tblProducts[category],"Missing")</f>
        <v>Service</v>
      </c>
      <c r="Q506" t="str">
        <f>_xlfn.XLOOKUP(D506,tblSalesReps[rep_id],tblSalesReps[rep_name],"Missing")</f>
        <v>Sales Rep 14</v>
      </c>
      <c r="R506" t="str">
        <f>_xlfn.XLOOKUP(D506,tblSalesReps[rep_id],tblSalesReps[region],"Missing")</f>
        <v>West</v>
      </c>
    </row>
    <row r="507" spans="1:18">
      <c r="A507" t="s">
        <v>865</v>
      </c>
      <c r="B507" t="s">
        <v>145</v>
      </c>
      <c r="C507" t="s">
        <v>26</v>
      </c>
      <c r="D507" t="s">
        <v>70</v>
      </c>
      <c r="E507" s="1">
        <v>45752</v>
      </c>
      <c r="F507" s="1">
        <v>45789</v>
      </c>
      <c r="G507" s="1">
        <v>45789</v>
      </c>
      <c r="H507" t="s">
        <v>28</v>
      </c>
      <c r="I507">
        <v>1</v>
      </c>
      <c r="J507">
        <v>20</v>
      </c>
      <c r="K507">
        <v>288000</v>
      </c>
      <c r="L507">
        <v>100</v>
      </c>
      <c r="M507" t="s">
        <v>29</v>
      </c>
      <c r="N507" t="str">
        <f>_xlfn.XLOOKUP(B507,tblCustomers[customer_id],tblCustomers[region],"Missing")</f>
        <v>West</v>
      </c>
      <c r="O507" t="str">
        <f>_xlfn.XLOOKUP(C507,tblProducts[product_id],tblProducts[product_name],"Missing")</f>
        <v>Security Suite</v>
      </c>
      <c r="P507" t="str">
        <f>_xlfn.XLOOKUP(C507,tblProducts[product_id],tblProducts[category],"Missing")</f>
        <v>Security</v>
      </c>
      <c r="Q507" t="str">
        <f>_xlfn.XLOOKUP(D507,tblSalesReps[rep_id],tblSalesReps[rep_name],"Missing")</f>
        <v>Sales Rep 11</v>
      </c>
      <c r="R507" t="str">
        <f>_xlfn.XLOOKUP(D507,tblSalesReps[rep_id],tblSalesReps[region],"Missing")</f>
        <v>West</v>
      </c>
    </row>
    <row r="508" spans="1:18">
      <c r="A508" t="s">
        <v>866</v>
      </c>
      <c r="B508" t="s">
        <v>601</v>
      </c>
      <c r="C508" t="s">
        <v>21</v>
      </c>
      <c r="D508" t="s">
        <v>32</v>
      </c>
      <c r="E508" s="1">
        <v>45719</v>
      </c>
      <c r="F508" s="1">
        <v>45727</v>
      </c>
      <c r="G508" s="1">
        <v>45727</v>
      </c>
      <c r="H508" t="s">
        <v>17</v>
      </c>
      <c r="I508">
        <v>3</v>
      </c>
      <c r="J508">
        <v>10</v>
      </c>
      <c r="K508">
        <v>648000</v>
      </c>
      <c r="L508">
        <v>0</v>
      </c>
      <c r="M508" t="s">
        <v>33</v>
      </c>
      <c r="N508" t="str">
        <f>_xlfn.XLOOKUP(B508,tblCustomers[customer_id],tblCustomers[region],"Missing")</f>
        <v>South</v>
      </c>
      <c r="O508" t="str">
        <f>_xlfn.XLOOKUP(C508,tblProducts[product_id],tblProducts[product_name],"Missing")</f>
        <v>Workflow Automate</v>
      </c>
      <c r="P508" t="str">
        <f>_xlfn.XLOOKUP(C508,tblProducts[product_id],tblProducts[category],"Missing")</f>
        <v>Automation</v>
      </c>
      <c r="Q508" t="str">
        <f>_xlfn.XLOOKUP(D508,tblSalesReps[rep_id],tblSalesReps[rep_name],"Missing")</f>
        <v>Sales Rep 04</v>
      </c>
      <c r="R508" t="str">
        <f>_xlfn.XLOOKUP(D508,tblSalesReps[rep_id],tblSalesReps[region],"Missing")</f>
        <v>South</v>
      </c>
    </row>
    <row r="509" spans="1:18">
      <c r="A509" t="s">
        <v>867</v>
      </c>
      <c r="B509" t="s">
        <v>792</v>
      </c>
      <c r="C509" t="s">
        <v>62</v>
      </c>
      <c r="D509" t="s">
        <v>78</v>
      </c>
      <c r="E509" s="1">
        <v>45993</v>
      </c>
      <c r="F509" s="1">
        <v>46072</v>
      </c>
      <c r="G509" s="1"/>
      <c r="H509" t="s">
        <v>43</v>
      </c>
      <c r="I509">
        <v>1</v>
      </c>
      <c r="J509">
        <v>15</v>
      </c>
      <c r="K509">
        <v>102000</v>
      </c>
      <c r="L509">
        <v>40</v>
      </c>
      <c r="M509" t="s">
        <v>29</v>
      </c>
      <c r="N509" t="str">
        <f>_xlfn.XLOOKUP(B509,tblCustomers[customer_id],tblCustomers[region],"Missing")</f>
        <v>West</v>
      </c>
      <c r="O509" t="str">
        <f>_xlfn.XLOOKUP(C509,tblProducts[product_id],tblProducts[product_name],"Missing")</f>
        <v>CRM Essentials</v>
      </c>
      <c r="P509" t="str">
        <f>_xlfn.XLOOKUP(C509,tblProducts[product_id],tblProducts[category],"Missing")</f>
        <v>CRM</v>
      </c>
      <c r="Q509" t="str">
        <f>_xlfn.XLOOKUP(D509,tblSalesReps[rep_id],tblSalesReps[rep_name],"Missing")</f>
        <v>Sales Rep 12</v>
      </c>
      <c r="R509" t="str">
        <f>_xlfn.XLOOKUP(D509,tblSalesReps[rep_id],tblSalesReps[region],"Missing")</f>
        <v>West</v>
      </c>
    </row>
    <row r="510" spans="1:18">
      <c r="A510" t="s">
        <v>868</v>
      </c>
      <c r="B510" t="s">
        <v>383</v>
      </c>
      <c r="C510" t="s">
        <v>39</v>
      </c>
      <c r="D510" t="s">
        <v>50</v>
      </c>
      <c r="E510" s="1">
        <v>45790</v>
      </c>
      <c r="F510" s="1">
        <v>45838</v>
      </c>
      <c r="G510" s="1">
        <v>45838</v>
      </c>
      <c r="H510" t="s">
        <v>28</v>
      </c>
      <c r="I510">
        <v>3</v>
      </c>
      <c r="J510">
        <v>20</v>
      </c>
      <c r="K510">
        <v>432000</v>
      </c>
      <c r="L510">
        <v>100</v>
      </c>
      <c r="M510" t="s">
        <v>29</v>
      </c>
      <c r="N510" t="str">
        <f>_xlfn.XLOOKUP(B510,tblCustomers[customer_id],tblCustomers[region],"Missing")</f>
        <v>West</v>
      </c>
      <c r="O510" t="str">
        <f>_xlfn.XLOOKUP(C510,tblProducts[product_id],tblProducts[product_name],"Missing")</f>
        <v>Support Desk</v>
      </c>
      <c r="P510" t="str">
        <f>_xlfn.XLOOKUP(C510,tblProducts[product_id],tblProducts[category],"Missing")</f>
        <v>Service</v>
      </c>
      <c r="Q510" t="str">
        <f>_xlfn.XLOOKUP(D510,tblSalesReps[rep_id],tblSalesReps[rep_name],"Missing")</f>
        <v>Sales Rep 15</v>
      </c>
      <c r="R510" t="str">
        <f>_xlfn.XLOOKUP(D510,tblSalesReps[rep_id],tblSalesReps[region],"Missing")</f>
        <v>West</v>
      </c>
    </row>
    <row r="511" spans="1:18">
      <c r="A511" t="s">
        <v>869</v>
      </c>
      <c r="B511" t="s">
        <v>816</v>
      </c>
      <c r="C511" t="s">
        <v>15</v>
      </c>
      <c r="D511" t="s">
        <v>53</v>
      </c>
      <c r="E511" s="1">
        <v>45747</v>
      </c>
      <c r="F511" s="1">
        <v>45803</v>
      </c>
      <c r="G511" s="1">
        <v>45803</v>
      </c>
      <c r="H511" t="s">
        <v>17</v>
      </c>
      <c r="I511">
        <v>2</v>
      </c>
      <c r="J511">
        <v>0</v>
      </c>
      <c r="K511">
        <v>840000</v>
      </c>
      <c r="L511">
        <v>0</v>
      </c>
      <c r="M511" t="s">
        <v>33</v>
      </c>
      <c r="N511" t="str">
        <f>_xlfn.XLOOKUP(B511,tblCustomers[customer_id],tblCustomers[region],"Missing")</f>
        <v>East</v>
      </c>
      <c r="O511" t="str">
        <f>_xlfn.XLOOKUP(C511,tblProducts[product_id],tblProducts[product_name],"Missing")</f>
        <v>CRM Enterprise</v>
      </c>
      <c r="P511" t="str">
        <f>_xlfn.XLOOKUP(C511,tblProducts[product_id],tblProducts[category],"Missing")</f>
        <v>CRM</v>
      </c>
      <c r="Q511" t="str">
        <f>_xlfn.XLOOKUP(D511,tblSalesReps[rep_id],tblSalesReps[rep_name],"Missing")</f>
        <v>Sales Rep 16</v>
      </c>
      <c r="R511" t="str">
        <f>_xlfn.XLOOKUP(D511,tblSalesReps[rep_id],tblSalesReps[region],"Missing")</f>
        <v>East</v>
      </c>
    </row>
    <row r="512" spans="1:18">
      <c r="A512" t="s">
        <v>870</v>
      </c>
      <c r="B512" t="s">
        <v>871</v>
      </c>
      <c r="C512" t="s">
        <v>81</v>
      </c>
      <c r="D512" t="s">
        <v>75</v>
      </c>
      <c r="E512" s="1">
        <v>45984</v>
      </c>
      <c r="F512" s="1">
        <v>46016</v>
      </c>
      <c r="G512" s="1">
        <v>46016</v>
      </c>
      <c r="H512" t="s">
        <v>17</v>
      </c>
      <c r="I512">
        <v>1</v>
      </c>
      <c r="J512">
        <v>10</v>
      </c>
      <c r="K512">
        <v>270000</v>
      </c>
      <c r="L512">
        <v>0</v>
      </c>
      <c r="M512" t="s">
        <v>82</v>
      </c>
      <c r="N512" t="str">
        <f>_xlfn.XLOOKUP(B512,tblCustomers[customer_id],tblCustomers[region],"Missing")</f>
        <v>North</v>
      </c>
      <c r="O512" t="str">
        <f>_xlfn.XLOOKUP(C512,tblProducts[product_id],tblProducts[product_name],"Missing")</f>
        <v>Analytics Cloud</v>
      </c>
      <c r="P512" t="str">
        <f>_xlfn.XLOOKUP(C512,tblProducts[product_id],tblProducts[category],"Missing")</f>
        <v>Analytics</v>
      </c>
      <c r="Q512" t="str">
        <f>_xlfn.XLOOKUP(D512,tblSalesReps[rep_id],tblSalesReps[rep_name],"Missing")</f>
        <v>Sales Rep 07</v>
      </c>
      <c r="R512" t="str">
        <f>_xlfn.XLOOKUP(D512,tblSalesReps[rep_id],tblSalesReps[region],"Missing")</f>
        <v>North</v>
      </c>
    </row>
    <row r="513" spans="1:18">
      <c r="A513" t="s">
        <v>872</v>
      </c>
      <c r="B513" t="s">
        <v>716</v>
      </c>
      <c r="C513" t="s">
        <v>15</v>
      </c>
      <c r="D513" t="s">
        <v>70</v>
      </c>
      <c r="E513" s="1">
        <v>45842</v>
      </c>
      <c r="F513" s="1">
        <v>45921</v>
      </c>
      <c r="G513" s="1"/>
      <c r="H513" t="s">
        <v>43</v>
      </c>
      <c r="I513">
        <v>3</v>
      </c>
      <c r="J513">
        <v>0</v>
      </c>
      <c r="K513">
        <v>1260000</v>
      </c>
      <c r="L513">
        <v>60</v>
      </c>
      <c r="M513" t="s">
        <v>29</v>
      </c>
      <c r="N513" t="str">
        <f>_xlfn.XLOOKUP(B513,tblCustomers[customer_id],tblCustomers[region],"Missing")</f>
        <v>West</v>
      </c>
      <c r="O513" t="str">
        <f>_xlfn.XLOOKUP(C513,tblProducts[product_id],tblProducts[product_name],"Missing")</f>
        <v>CRM Enterprise</v>
      </c>
      <c r="P513" t="str">
        <f>_xlfn.XLOOKUP(C513,tblProducts[product_id],tblProducts[category],"Missing")</f>
        <v>CRM</v>
      </c>
      <c r="Q513" t="str">
        <f>_xlfn.XLOOKUP(D513,tblSalesReps[rep_id],tblSalesReps[rep_name],"Missing")</f>
        <v>Sales Rep 11</v>
      </c>
      <c r="R513" t="str">
        <f>_xlfn.XLOOKUP(D513,tblSalesReps[rep_id],tblSalesReps[region],"Missing")</f>
        <v>West</v>
      </c>
    </row>
    <row r="514" spans="1:18">
      <c r="A514" t="s">
        <v>873</v>
      </c>
      <c r="B514" t="s">
        <v>559</v>
      </c>
      <c r="C514" t="s">
        <v>39</v>
      </c>
      <c r="D514" t="s">
        <v>78</v>
      </c>
      <c r="E514" s="1">
        <v>45692</v>
      </c>
      <c r="F514" s="1">
        <v>45747</v>
      </c>
      <c r="G514" s="1">
        <v>45747</v>
      </c>
      <c r="H514" t="s">
        <v>17</v>
      </c>
      <c r="I514">
        <v>1</v>
      </c>
      <c r="J514">
        <v>20</v>
      </c>
      <c r="K514">
        <v>144000</v>
      </c>
      <c r="L514">
        <v>0</v>
      </c>
      <c r="M514" t="s">
        <v>47</v>
      </c>
      <c r="N514" t="str">
        <f>_xlfn.XLOOKUP(B514,tblCustomers[customer_id],tblCustomers[region],"Missing")</f>
        <v>West</v>
      </c>
      <c r="O514" t="str">
        <f>_xlfn.XLOOKUP(C514,tblProducts[product_id],tblProducts[product_name],"Missing")</f>
        <v>Support Desk</v>
      </c>
      <c r="P514" t="str">
        <f>_xlfn.XLOOKUP(C514,tblProducts[product_id],tblProducts[category],"Missing")</f>
        <v>Service</v>
      </c>
      <c r="Q514" t="str">
        <f>_xlfn.XLOOKUP(D514,tblSalesReps[rep_id],tblSalesReps[rep_name],"Missing")</f>
        <v>Sales Rep 12</v>
      </c>
      <c r="R514" t="str">
        <f>_xlfn.XLOOKUP(D514,tblSalesReps[rep_id],tblSalesReps[region],"Missing")</f>
        <v>West</v>
      </c>
    </row>
    <row r="515" spans="1:18">
      <c r="A515" t="s">
        <v>874</v>
      </c>
      <c r="B515" t="s">
        <v>106</v>
      </c>
      <c r="C515" t="s">
        <v>26</v>
      </c>
      <c r="D515" t="s">
        <v>16</v>
      </c>
      <c r="E515" s="1">
        <v>45692</v>
      </c>
      <c r="F515" s="1">
        <v>45719</v>
      </c>
      <c r="G515" s="1"/>
      <c r="H515" t="s">
        <v>43</v>
      </c>
      <c r="I515">
        <v>1</v>
      </c>
      <c r="J515">
        <v>0</v>
      </c>
      <c r="K515">
        <v>360000</v>
      </c>
      <c r="L515">
        <v>40</v>
      </c>
      <c r="M515" t="s">
        <v>29</v>
      </c>
      <c r="N515" t="str">
        <f>_xlfn.XLOOKUP(B515,tblCustomers[customer_id],tblCustomers[region],"Missing")</f>
        <v>North</v>
      </c>
      <c r="O515" t="str">
        <f>_xlfn.XLOOKUP(C515,tblProducts[product_id],tblProducts[product_name],"Missing")</f>
        <v>Security Suite</v>
      </c>
      <c r="P515" t="str">
        <f>_xlfn.XLOOKUP(C515,tblProducts[product_id],tblProducts[category],"Missing")</f>
        <v>Security</v>
      </c>
      <c r="Q515" t="str">
        <f>_xlfn.XLOOKUP(D515,tblSalesReps[rep_id],tblSalesReps[rep_name],"Missing")</f>
        <v>Sales Rep 08</v>
      </c>
      <c r="R515" t="str">
        <f>_xlfn.XLOOKUP(D515,tblSalesReps[rep_id],tblSalesReps[region],"Missing")</f>
        <v>North</v>
      </c>
    </row>
    <row r="516" spans="1:18">
      <c r="A516" t="s">
        <v>875</v>
      </c>
      <c r="B516" t="s">
        <v>876</v>
      </c>
      <c r="C516" t="s">
        <v>21</v>
      </c>
      <c r="D516" t="s">
        <v>168</v>
      </c>
      <c r="E516" s="1">
        <v>45829</v>
      </c>
      <c r="F516" s="1">
        <v>45843</v>
      </c>
      <c r="G516" s="1"/>
      <c r="H516" t="s">
        <v>43</v>
      </c>
      <c r="I516">
        <v>1</v>
      </c>
      <c r="J516">
        <v>5</v>
      </c>
      <c r="K516">
        <v>228000</v>
      </c>
      <c r="L516">
        <v>60</v>
      </c>
      <c r="M516" t="s">
        <v>29</v>
      </c>
      <c r="N516" t="str">
        <f>_xlfn.XLOOKUP(B516,tblCustomers[customer_id],tblCustomers[region],"Missing")</f>
        <v>East</v>
      </c>
      <c r="O516" t="str">
        <f>_xlfn.XLOOKUP(C516,tblProducts[product_id],tblProducts[product_name],"Missing")</f>
        <v>Workflow Automate</v>
      </c>
      <c r="P516" t="str">
        <f>_xlfn.XLOOKUP(C516,tblProducts[product_id],tblProducts[category],"Missing")</f>
        <v>Automation</v>
      </c>
      <c r="Q516" t="str">
        <f>_xlfn.XLOOKUP(D516,tblSalesReps[rep_id],tblSalesReps[rep_name],"Missing")</f>
        <v>Sales Rep 17</v>
      </c>
      <c r="R516" t="str">
        <f>_xlfn.XLOOKUP(D516,tblSalesReps[rep_id],tblSalesReps[region],"Missing")</f>
        <v>East</v>
      </c>
    </row>
    <row r="517" spans="1:18">
      <c r="A517" t="s">
        <v>877</v>
      </c>
      <c r="B517" t="s">
        <v>878</v>
      </c>
      <c r="C517" t="s">
        <v>62</v>
      </c>
      <c r="D517" t="s">
        <v>91</v>
      </c>
      <c r="E517" s="1">
        <v>45694</v>
      </c>
      <c r="F517" s="1">
        <v>45777</v>
      </c>
      <c r="G517" s="1"/>
      <c r="H517" t="s">
        <v>43</v>
      </c>
      <c r="I517">
        <v>3</v>
      </c>
      <c r="J517">
        <v>0</v>
      </c>
      <c r="K517">
        <v>360000</v>
      </c>
      <c r="L517">
        <v>80</v>
      </c>
      <c r="M517" t="s">
        <v>29</v>
      </c>
      <c r="N517" t="str">
        <f>_xlfn.XLOOKUP(B517,tblCustomers[customer_id],tblCustomers[region],"Missing")</f>
        <v>South</v>
      </c>
      <c r="O517" t="str">
        <f>_xlfn.XLOOKUP(C517,tblProducts[product_id],tblProducts[product_name],"Missing")</f>
        <v>CRM Essentials</v>
      </c>
      <c r="P517" t="str">
        <f>_xlfn.XLOOKUP(C517,tblProducts[product_id],tblProducts[category],"Missing")</f>
        <v>CRM</v>
      </c>
      <c r="Q517" t="str">
        <f>_xlfn.XLOOKUP(D517,tblSalesReps[rep_id],tblSalesReps[rep_name],"Missing")</f>
        <v>Sales Rep 03</v>
      </c>
      <c r="R517" t="str">
        <f>_xlfn.XLOOKUP(D517,tblSalesReps[rep_id],tblSalesReps[region],"Missing")</f>
        <v>South</v>
      </c>
    </row>
    <row r="518" spans="1:18">
      <c r="A518" t="s">
        <v>879</v>
      </c>
      <c r="B518" t="s">
        <v>880</v>
      </c>
      <c r="C518" t="s">
        <v>21</v>
      </c>
      <c r="D518" t="s">
        <v>78</v>
      </c>
      <c r="E518" s="1">
        <v>45668</v>
      </c>
      <c r="F518" s="1">
        <v>45678</v>
      </c>
      <c r="G518" s="1"/>
      <c r="H518" t="s">
        <v>43</v>
      </c>
      <c r="I518">
        <v>1</v>
      </c>
      <c r="J518">
        <v>20</v>
      </c>
      <c r="K518">
        <v>192000</v>
      </c>
      <c r="L518">
        <v>80</v>
      </c>
      <c r="M518" t="s">
        <v>29</v>
      </c>
      <c r="N518" t="str">
        <f>_xlfn.XLOOKUP(B518,tblCustomers[customer_id],tblCustomers[region],"Missing")</f>
        <v>West</v>
      </c>
      <c r="O518" t="str">
        <f>_xlfn.XLOOKUP(C518,tblProducts[product_id],tblProducts[product_name],"Missing")</f>
        <v>Workflow Automate</v>
      </c>
      <c r="P518" t="str">
        <f>_xlfn.XLOOKUP(C518,tblProducts[product_id],tblProducts[category],"Missing")</f>
        <v>Automation</v>
      </c>
      <c r="Q518" t="str">
        <f>_xlfn.XLOOKUP(D518,tblSalesReps[rep_id],tblSalesReps[rep_name],"Missing")</f>
        <v>Sales Rep 12</v>
      </c>
      <c r="R518" t="str">
        <f>_xlfn.XLOOKUP(D518,tblSalesReps[rep_id],tblSalesReps[region],"Missing")</f>
        <v>West</v>
      </c>
    </row>
    <row r="519" spans="1:18">
      <c r="A519" t="s">
        <v>881</v>
      </c>
      <c r="B519" t="s">
        <v>341</v>
      </c>
      <c r="C519" t="s">
        <v>81</v>
      </c>
      <c r="D519" t="s">
        <v>59</v>
      </c>
      <c r="E519" s="1">
        <v>45939</v>
      </c>
      <c r="F519" s="1">
        <v>46002</v>
      </c>
      <c r="G519" s="1">
        <v>46002</v>
      </c>
      <c r="H519" t="s">
        <v>28</v>
      </c>
      <c r="I519">
        <v>1</v>
      </c>
      <c r="J519">
        <v>20</v>
      </c>
      <c r="K519">
        <v>240000</v>
      </c>
      <c r="L519">
        <v>100</v>
      </c>
      <c r="M519" t="s">
        <v>29</v>
      </c>
      <c r="N519" t="str">
        <f>_xlfn.XLOOKUP(B519,tblCustomers[customer_id],tblCustomers[region],"Missing")</f>
        <v>East</v>
      </c>
      <c r="O519" t="str">
        <f>_xlfn.XLOOKUP(C519,tblProducts[product_id],tblProducts[product_name],"Missing")</f>
        <v>Analytics Cloud</v>
      </c>
      <c r="P519" t="str">
        <f>_xlfn.XLOOKUP(C519,tblProducts[product_id],tblProducts[category],"Missing")</f>
        <v>Analytics</v>
      </c>
      <c r="Q519" t="str">
        <f>_xlfn.XLOOKUP(D519,tblSalesReps[rep_id],tblSalesReps[rep_name],"Missing")</f>
        <v>Sales Rep 19</v>
      </c>
      <c r="R519" t="str">
        <f>_xlfn.XLOOKUP(D519,tblSalesReps[rep_id],tblSalesReps[region],"Missing")</f>
        <v>East</v>
      </c>
    </row>
    <row r="520" spans="1:18">
      <c r="A520" t="s">
        <v>882</v>
      </c>
      <c r="B520" t="s">
        <v>331</v>
      </c>
      <c r="C520" t="s">
        <v>39</v>
      </c>
      <c r="D520" t="s">
        <v>56</v>
      </c>
      <c r="E520" s="1">
        <v>45681</v>
      </c>
      <c r="F520" s="1">
        <v>45689</v>
      </c>
      <c r="G520" s="1"/>
      <c r="H520" t="s">
        <v>43</v>
      </c>
      <c r="I520">
        <v>1</v>
      </c>
      <c r="J520">
        <v>0</v>
      </c>
      <c r="K520">
        <v>180000</v>
      </c>
      <c r="L520">
        <v>20</v>
      </c>
      <c r="M520" t="s">
        <v>29</v>
      </c>
      <c r="N520" t="str">
        <f>_xlfn.XLOOKUP(B520,tblCustomers[customer_id],tblCustomers[region],"Missing")</f>
        <v>East</v>
      </c>
      <c r="O520" t="str">
        <f>_xlfn.XLOOKUP(C520,tblProducts[product_id],tblProducts[product_name],"Missing")</f>
        <v>Support Desk</v>
      </c>
      <c r="P520" t="str">
        <f>_xlfn.XLOOKUP(C520,tblProducts[product_id],tblProducts[category],"Missing")</f>
        <v>Service</v>
      </c>
      <c r="Q520" t="str">
        <f>_xlfn.XLOOKUP(D520,tblSalesReps[rep_id],tblSalesReps[rep_name],"Missing")</f>
        <v>Sales Rep 20</v>
      </c>
      <c r="R520" t="str">
        <f>_xlfn.XLOOKUP(D520,tblSalesReps[rep_id],tblSalesReps[region],"Missing")</f>
        <v>East</v>
      </c>
    </row>
    <row r="521" spans="1:18">
      <c r="A521" t="s">
        <v>883</v>
      </c>
      <c r="B521" t="s">
        <v>884</v>
      </c>
      <c r="C521" t="s">
        <v>39</v>
      </c>
      <c r="D521" t="s">
        <v>78</v>
      </c>
      <c r="E521" s="1">
        <v>45807</v>
      </c>
      <c r="F521" s="1">
        <v>45864</v>
      </c>
      <c r="G521" s="1">
        <v>45864</v>
      </c>
      <c r="H521" t="s">
        <v>28</v>
      </c>
      <c r="I521">
        <v>2</v>
      </c>
      <c r="J521">
        <v>0</v>
      </c>
      <c r="K521">
        <v>360000</v>
      </c>
      <c r="L521">
        <v>100</v>
      </c>
      <c r="M521" t="s">
        <v>29</v>
      </c>
      <c r="N521" t="str">
        <f>_xlfn.XLOOKUP(B521,tblCustomers[customer_id],tblCustomers[region],"Missing")</f>
        <v>West</v>
      </c>
      <c r="O521" t="str">
        <f>_xlfn.XLOOKUP(C521,tblProducts[product_id],tblProducts[product_name],"Missing")</f>
        <v>Support Desk</v>
      </c>
      <c r="P521" t="str">
        <f>_xlfn.XLOOKUP(C521,tblProducts[product_id],tblProducts[category],"Missing")</f>
        <v>Service</v>
      </c>
      <c r="Q521" t="str">
        <f>_xlfn.XLOOKUP(D521,tblSalesReps[rep_id],tblSalesReps[rep_name],"Missing")</f>
        <v>Sales Rep 12</v>
      </c>
      <c r="R521" t="str">
        <f>_xlfn.XLOOKUP(D521,tblSalesReps[rep_id],tblSalesReps[region],"Missing")</f>
        <v>West</v>
      </c>
    </row>
    <row r="522" spans="1:18">
      <c r="A522" t="s">
        <v>885</v>
      </c>
      <c r="B522" t="s">
        <v>886</v>
      </c>
      <c r="C522" t="s">
        <v>26</v>
      </c>
      <c r="D522" t="s">
        <v>16</v>
      </c>
      <c r="E522" s="1">
        <v>45845</v>
      </c>
      <c r="F522" s="1">
        <v>45889</v>
      </c>
      <c r="G522" s="1"/>
      <c r="H522" t="s">
        <v>43</v>
      </c>
      <c r="I522">
        <v>1</v>
      </c>
      <c r="J522">
        <v>20</v>
      </c>
      <c r="K522">
        <v>288000</v>
      </c>
      <c r="L522">
        <v>60</v>
      </c>
      <c r="M522" t="s">
        <v>29</v>
      </c>
      <c r="N522" t="str">
        <f>_xlfn.XLOOKUP(B522,tblCustomers[customer_id],tblCustomers[region],"Missing")</f>
        <v>North</v>
      </c>
      <c r="O522" t="str">
        <f>_xlfn.XLOOKUP(C522,tblProducts[product_id],tblProducts[product_name],"Missing")</f>
        <v>Security Suite</v>
      </c>
      <c r="P522" t="str">
        <f>_xlfn.XLOOKUP(C522,tblProducts[product_id],tblProducts[category],"Missing")</f>
        <v>Security</v>
      </c>
      <c r="Q522" t="str">
        <f>_xlfn.XLOOKUP(D522,tblSalesReps[rep_id],tblSalesReps[rep_name],"Missing")</f>
        <v>Sales Rep 08</v>
      </c>
      <c r="R522" t="str">
        <f>_xlfn.XLOOKUP(D522,tblSalesReps[rep_id],tblSalesReps[region],"Missing")</f>
        <v>North</v>
      </c>
    </row>
    <row r="523" spans="1:18">
      <c r="A523" t="s">
        <v>887</v>
      </c>
      <c r="B523" t="s">
        <v>888</v>
      </c>
      <c r="C523" t="s">
        <v>15</v>
      </c>
      <c r="D523" t="s">
        <v>63</v>
      </c>
      <c r="E523" s="1">
        <v>45776</v>
      </c>
      <c r="F523" s="1">
        <v>45853</v>
      </c>
      <c r="G523" s="1">
        <v>45853</v>
      </c>
      <c r="H523" t="s">
        <v>28</v>
      </c>
      <c r="I523">
        <v>1</v>
      </c>
      <c r="J523">
        <v>0</v>
      </c>
      <c r="K523">
        <v>420000</v>
      </c>
      <c r="L523">
        <v>100</v>
      </c>
      <c r="M523" t="s">
        <v>29</v>
      </c>
      <c r="N523" t="str">
        <f>_xlfn.XLOOKUP(B523,tblCustomers[customer_id],tblCustomers[region],"Missing")</f>
        <v>South</v>
      </c>
      <c r="O523" t="str">
        <f>_xlfn.XLOOKUP(C523,tblProducts[product_id],tblProducts[product_name],"Missing")</f>
        <v>CRM Enterprise</v>
      </c>
      <c r="P523" t="str">
        <f>_xlfn.XLOOKUP(C523,tblProducts[product_id],tblProducts[category],"Missing")</f>
        <v>CRM</v>
      </c>
      <c r="Q523" t="str">
        <f>_xlfn.XLOOKUP(D523,tblSalesReps[rep_id],tblSalesReps[rep_name],"Missing")</f>
        <v>Sales Rep 05</v>
      </c>
      <c r="R523" t="str">
        <f>_xlfn.XLOOKUP(D523,tblSalesReps[rep_id],tblSalesReps[region],"Missing")</f>
        <v>South</v>
      </c>
    </row>
    <row r="524" spans="1:18">
      <c r="A524" t="s">
        <v>889</v>
      </c>
      <c r="B524" t="s">
        <v>834</v>
      </c>
      <c r="C524" t="s">
        <v>21</v>
      </c>
      <c r="D524" t="s">
        <v>56</v>
      </c>
      <c r="E524" s="1">
        <v>45854</v>
      </c>
      <c r="F524" s="1">
        <v>45871</v>
      </c>
      <c r="G524" s="1">
        <v>45871</v>
      </c>
      <c r="H524" t="s">
        <v>28</v>
      </c>
      <c r="I524">
        <v>1</v>
      </c>
      <c r="J524">
        <v>10</v>
      </c>
      <c r="K524">
        <v>216000</v>
      </c>
      <c r="L524">
        <v>100</v>
      </c>
      <c r="M524" t="s">
        <v>29</v>
      </c>
      <c r="N524" t="str">
        <f>_xlfn.XLOOKUP(B524,tblCustomers[customer_id],tblCustomers[region],"Missing")</f>
        <v>East</v>
      </c>
      <c r="O524" t="str">
        <f>_xlfn.XLOOKUP(C524,tblProducts[product_id],tblProducts[product_name],"Missing")</f>
        <v>Workflow Automate</v>
      </c>
      <c r="P524" t="str">
        <f>_xlfn.XLOOKUP(C524,tblProducts[product_id],tblProducts[category],"Missing")</f>
        <v>Automation</v>
      </c>
      <c r="Q524" t="str">
        <f>_xlfn.XLOOKUP(D524,tblSalesReps[rep_id],tblSalesReps[rep_name],"Missing")</f>
        <v>Sales Rep 20</v>
      </c>
      <c r="R524" t="str">
        <f>_xlfn.XLOOKUP(D524,tblSalesReps[rep_id],tblSalesReps[region],"Missing")</f>
        <v>East</v>
      </c>
    </row>
    <row r="525" spans="1:18">
      <c r="A525" t="s">
        <v>890</v>
      </c>
      <c r="B525" t="s">
        <v>149</v>
      </c>
      <c r="C525" t="s">
        <v>21</v>
      </c>
      <c r="D525" t="s">
        <v>27</v>
      </c>
      <c r="E525" s="1">
        <v>45969</v>
      </c>
      <c r="F525" s="1">
        <v>46019</v>
      </c>
      <c r="G525" s="1"/>
      <c r="H525" t="s">
        <v>43</v>
      </c>
      <c r="I525">
        <v>1</v>
      </c>
      <c r="J525">
        <v>20</v>
      </c>
      <c r="K525">
        <v>192000</v>
      </c>
      <c r="L525">
        <v>40</v>
      </c>
      <c r="M525" t="s">
        <v>29</v>
      </c>
      <c r="N525" t="str">
        <f>_xlfn.XLOOKUP(B525,tblCustomers[customer_id],tblCustomers[region],"Missing")</f>
        <v>North</v>
      </c>
      <c r="O525" t="str">
        <f>_xlfn.XLOOKUP(C525,tblProducts[product_id],tblProducts[product_name],"Missing")</f>
        <v>Workflow Automate</v>
      </c>
      <c r="P525" t="str">
        <f>_xlfn.XLOOKUP(C525,tblProducts[product_id],tblProducts[category],"Missing")</f>
        <v>Automation</v>
      </c>
      <c r="Q525" t="str">
        <f>_xlfn.XLOOKUP(D525,tblSalesReps[rep_id],tblSalesReps[rep_name],"Missing")</f>
        <v>Sales Rep 06</v>
      </c>
      <c r="R525" t="str">
        <f>_xlfn.XLOOKUP(D525,tblSalesReps[rep_id],tblSalesReps[region],"Missing")</f>
        <v>North</v>
      </c>
    </row>
    <row r="526" spans="1:18">
      <c r="A526" t="s">
        <v>891</v>
      </c>
      <c r="B526" t="s">
        <v>892</v>
      </c>
      <c r="C526" t="s">
        <v>81</v>
      </c>
      <c r="D526" t="s">
        <v>152</v>
      </c>
      <c r="E526" s="1">
        <v>45931</v>
      </c>
      <c r="F526" s="1">
        <v>46011</v>
      </c>
      <c r="G526" s="1">
        <v>46011</v>
      </c>
      <c r="H526" t="s">
        <v>17</v>
      </c>
      <c r="I526">
        <v>3</v>
      </c>
      <c r="J526">
        <v>20</v>
      </c>
      <c r="K526">
        <v>720000</v>
      </c>
      <c r="L526">
        <v>0</v>
      </c>
      <c r="M526" t="s">
        <v>47</v>
      </c>
      <c r="N526" t="str">
        <f>_xlfn.XLOOKUP(B526,tblCustomers[customer_id],tblCustomers[region],"Missing")</f>
        <v>East</v>
      </c>
      <c r="O526" t="str">
        <f>_xlfn.XLOOKUP(C526,tblProducts[product_id],tblProducts[product_name],"Missing")</f>
        <v>Analytics Cloud</v>
      </c>
      <c r="P526" t="str">
        <f>_xlfn.XLOOKUP(C526,tblProducts[product_id],tblProducts[category],"Missing")</f>
        <v>Analytics</v>
      </c>
      <c r="Q526" t="str">
        <f>_xlfn.XLOOKUP(D526,tblSalesReps[rep_id],tblSalesReps[rep_name],"Missing")</f>
        <v>Sales Rep 18</v>
      </c>
      <c r="R526" t="str">
        <f>_xlfn.XLOOKUP(D526,tblSalesReps[rep_id],tblSalesReps[region],"Missing")</f>
        <v>East</v>
      </c>
    </row>
    <row r="527" spans="1:18">
      <c r="A527" t="s">
        <v>893</v>
      </c>
      <c r="B527" t="s">
        <v>894</v>
      </c>
      <c r="C527" t="s">
        <v>21</v>
      </c>
      <c r="D527" t="s">
        <v>40</v>
      </c>
      <c r="E527" s="1">
        <v>45795</v>
      </c>
      <c r="F527" s="1">
        <v>45879</v>
      </c>
      <c r="G527" s="1">
        <v>45879</v>
      </c>
      <c r="H527" t="s">
        <v>17</v>
      </c>
      <c r="I527">
        <v>1</v>
      </c>
      <c r="J527">
        <v>0</v>
      </c>
      <c r="K527">
        <v>240000</v>
      </c>
      <c r="L527">
        <v>0</v>
      </c>
      <c r="M527" t="s">
        <v>33</v>
      </c>
      <c r="N527" t="str">
        <f>_xlfn.XLOOKUP(B527,tblCustomers[customer_id],tblCustomers[region],"Missing")</f>
        <v>West</v>
      </c>
      <c r="O527" t="str">
        <f>_xlfn.XLOOKUP(C527,tblProducts[product_id],tblProducts[product_name],"Missing")</f>
        <v>Workflow Automate</v>
      </c>
      <c r="P527" t="str">
        <f>_xlfn.XLOOKUP(C527,tblProducts[product_id],tblProducts[category],"Missing")</f>
        <v>Automation</v>
      </c>
      <c r="Q527" t="str">
        <f>_xlfn.XLOOKUP(D527,tblSalesReps[rep_id],tblSalesReps[rep_name],"Missing")</f>
        <v>Sales Rep 13</v>
      </c>
      <c r="R527" t="str">
        <f>_xlfn.XLOOKUP(D527,tblSalesReps[rep_id],tblSalesReps[region],"Missing")</f>
        <v>West</v>
      </c>
    </row>
    <row r="528" spans="1:18">
      <c r="A528" t="s">
        <v>895</v>
      </c>
      <c r="B528" t="s">
        <v>896</v>
      </c>
      <c r="C528" t="s">
        <v>39</v>
      </c>
      <c r="D528" t="s">
        <v>168</v>
      </c>
      <c r="E528" s="1">
        <v>45867</v>
      </c>
      <c r="F528" s="1">
        <v>45884</v>
      </c>
      <c r="G528" s="1">
        <v>45884</v>
      </c>
      <c r="H528" t="s">
        <v>28</v>
      </c>
      <c r="I528">
        <v>1</v>
      </c>
      <c r="J528">
        <v>20</v>
      </c>
      <c r="K528">
        <v>144000</v>
      </c>
      <c r="L528">
        <v>100</v>
      </c>
      <c r="M528" t="s">
        <v>29</v>
      </c>
      <c r="N528" t="str">
        <f>_xlfn.XLOOKUP(B528,tblCustomers[customer_id],tblCustomers[region],"Missing")</f>
        <v>East</v>
      </c>
      <c r="O528" t="str">
        <f>_xlfn.XLOOKUP(C528,tblProducts[product_id],tblProducts[product_name],"Missing")</f>
        <v>Support Desk</v>
      </c>
      <c r="P528" t="str">
        <f>_xlfn.XLOOKUP(C528,tblProducts[product_id],tblProducts[category],"Missing")</f>
        <v>Service</v>
      </c>
      <c r="Q528" t="str">
        <f>_xlfn.XLOOKUP(D528,tblSalesReps[rep_id],tblSalesReps[rep_name],"Missing")</f>
        <v>Sales Rep 17</v>
      </c>
      <c r="R528" t="str">
        <f>_xlfn.XLOOKUP(D528,tblSalesReps[rep_id],tblSalesReps[region],"Missing")</f>
        <v>East</v>
      </c>
    </row>
    <row r="529" spans="1:18">
      <c r="A529" t="s">
        <v>897</v>
      </c>
      <c r="B529" t="s">
        <v>727</v>
      </c>
      <c r="C529" t="s">
        <v>15</v>
      </c>
      <c r="D529" t="s">
        <v>78</v>
      </c>
      <c r="E529" s="1">
        <v>45733</v>
      </c>
      <c r="F529" s="1">
        <v>45746</v>
      </c>
      <c r="G529" s="1"/>
      <c r="H529" t="s">
        <v>43</v>
      </c>
      <c r="I529">
        <v>1</v>
      </c>
      <c r="J529">
        <v>0</v>
      </c>
      <c r="K529">
        <v>420000</v>
      </c>
      <c r="L529">
        <v>20</v>
      </c>
      <c r="M529" t="s">
        <v>29</v>
      </c>
      <c r="N529" t="str">
        <f>_xlfn.XLOOKUP(B529,tblCustomers[customer_id],tblCustomers[region],"Missing")</f>
        <v>West</v>
      </c>
      <c r="O529" t="str">
        <f>_xlfn.XLOOKUP(C529,tblProducts[product_id],tblProducts[product_name],"Missing")</f>
        <v>CRM Enterprise</v>
      </c>
      <c r="P529" t="str">
        <f>_xlfn.XLOOKUP(C529,tblProducts[product_id],tblProducts[category],"Missing")</f>
        <v>CRM</v>
      </c>
      <c r="Q529" t="str">
        <f>_xlfn.XLOOKUP(D529,tblSalesReps[rep_id],tblSalesReps[rep_name],"Missing")</f>
        <v>Sales Rep 12</v>
      </c>
      <c r="R529" t="str">
        <f>_xlfn.XLOOKUP(D529,tblSalesReps[rep_id],tblSalesReps[region],"Missing")</f>
        <v>West</v>
      </c>
    </row>
    <row r="530" spans="1:18">
      <c r="A530" t="s">
        <v>898</v>
      </c>
      <c r="B530" t="s">
        <v>798</v>
      </c>
      <c r="C530" t="s">
        <v>26</v>
      </c>
      <c r="D530" t="s">
        <v>91</v>
      </c>
      <c r="E530" s="1">
        <v>45789</v>
      </c>
      <c r="F530" s="1">
        <v>45841</v>
      </c>
      <c r="G530" s="1">
        <v>45841</v>
      </c>
      <c r="H530" t="s">
        <v>28</v>
      </c>
      <c r="I530">
        <v>3</v>
      </c>
      <c r="J530">
        <v>0</v>
      </c>
      <c r="K530">
        <v>1080000</v>
      </c>
      <c r="L530">
        <v>100</v>
      </c>
      <c r="M530" t="s">
        <v>29</v>
      </c>
      <c r="N530" t="str">
        <f>_xlfn.XLOOKUP(B530,tblCustomers[customer_id],tblCustomers[region],"Missing")</f>
        <v>South</v>
      </c>
      <c r="O530" t="str">
        <f>_xlfn.XLOOKUP(C530,tblProducts[product_id],tblProducts[product_name],"Missing")</f>
        <v>Security Suite</v>
      </c>
      <c r="P530" t="str">
        <f>_xlfn.XLOOKUP(C530,tblProducts[product_id],tblProducts[category],"Missing")</f>
        <v>Security</v>
      </c>
      <c r="Q530" t="str">
        <f>_xlfn.XLOOKUP(D530,tblSalesReps[rep_id],tblSalesReps[rep_name],"Missing")</f>
        <v>Sales Rep 03</v>
      </c>
      <c r="R530" t="str">
        <f>_xlfn.XLOOKUP(D530,tblSalesReps[rep_id],tblSalesReps[region],"Missing")</f>
        <v>South</v>
      </c>
    </row>
    <row r="531" spans="1:18">
      <c r="A531" t="s">
        <v>899</v>
      </c>
      <c r="B531" t="s">
        <v>900</v>
      </c>
      <c r="C531" t="s">
        <v>26</v>
      </c>
      <c r="D531" t="s">
        <v>22</v>
      </c>
      <c r="E531" s="1">
        <v>45694</v>
      </c>
      <c r="F531" s="1">
        <v>45737</v>
      </c>
      <c r="G531" s="1">
        <v>45737</v>
      </c>
      <c r="H531" t="s">
        <v>17</v>
      </c>
      <c r="I531">
        <v>1</v>
      </c>
      <c r="J531">
        <v>0</v>
      </c>
      <c r="K531">
        <v>360000</v>
      </c>
      <c r="L531">
        <v>0</v>
      </c>
      <c r="M531" t="s">
        <v>33</v>
      </c>
      <c r="N531" t="str">
        <f>_xlfn.XLOOKUP(B531,tblCustomers[customer_id],tblCustomers[region],"Missing")</f>
        <v>West</v>
      </c>
      <c r="O531" t="str">
        <f>_xlfn.XLOOKUP(C531,tblProducts[product_id],tblProducts[product_name],"Missing")</f>
        <v>Security Suite</v>
      </c>
      <c r="P531" t="str">
        <f>_xlfn.XLOOKUP(C531,tblProducts[product_id],tblProducts[category],"Missing")</f>
        <v>Security</v>
      </c>
      <c r="Q531" t="str">
        <f>_xlfn.XLOOKUP(D531,tblSalesReps[rep_id],tblSalesReps[rep_name],"Missing")</f>
        <v>Sales Rep 14</v>
      </c>
      <c r="R531" t="str">
        <f>_xlfn.XLOOKUP(D531,tblSalesReps[rep_id],tblSalesReps[region],"Missing")</f>
        <v>West</v>
      </c>
    </row>
    <row r="532" spans="1:18">
      <c r="A532" t="s">
        <v>901</v>
      </c>
      <c r="B532" t="s">
        <v>902</v>
      </c>
      <c r="C532" t="s">
        <v>15</v>
      </c>
      <c r="D532" t="s">
        <v>119</v>
      </c>
      <c r="E532" s="1">
        <v>45671</v>
      </c>
      <c r="F532" s="1">
        <v>45705</v>
      </c>
      <c r="G532" s="1">
        <v>45705</v>
      </c>
      <c r="H532" t="s">
        <v>28</v>
      </c>
      <c r="I532">
        <v>1</v>
      </c>
      <c r="J532">
        <v>20</v>
      </c>
      <c r="K532">
        <v>336000</v>
      </c>
      <c r="L532">
        <v>100</v>
      </c>
      <c r="M532" t="s">
        <v>29</v>
      </c>
      <c r="N532" t="str">
        <f>_xlfn.XLOOKUP(B532,tblCustomers[customer_id],tblCustomers[region],"Missing")</f>
        <v>North</v>
      </c>
      <c r="O532" t="str">
        <f>_xlfn.XLOOKUP(C532,tblProducts[product_id],tblProducts[product_name],"Missing")</f>
        <v>CRM Enterprise</v>
      </c>
      <c r="P532" t="str">
        <f>_xlfn.XLOOKUP(C532,tblProducts[product_id],tblProducts[category],"Missing")</f>
        <v>CRM</v>
      </c>
      <c r="Q532" t="str">
        <f>_xlfn.XLOOKUP(D532,tblSalesReps[rep_id],tblSalesReps[rep_name],"Missing")</f>
        <v>Sales Rep 10</v>
      </c>
      <c r="R532" t="str">
        <f>_xlfn.XLOOKUP(D532,tblSalesReps[rep_id],tblSalesReps[region],"Missing")</f>
        <v>North</v>
      </c>
    </row>
    <row r="533" spans="1:18">
      <c r="A533" t="s">
        <v>903</v>
      </c>
      <c r="B533" t="s">
        <v>292</v>
      </c>
      <c r="C533" t="s">
        <v>39</v>
      </c>
      <c r="D533" t="s">
        <v>119</v>
      </c>
      <c r="E533" s="1">
        <v>45980</v>
      </c>
      <c r="F533" s="1">
        <v>46040</v>
      </c>
      <c r="G533" s="1"/>
      <c r="H533" t="s">
        <v>43</v>
      </c>
      <c r="I533">
        <v>3</v>
      </c>
      <c r="J533">
        <v>0</v>
      </c>
      <c r="K533">
        <v>540000</v>
      </c>
      <c r="L533">
        <v>20</v>
      </c>
      <c r="M533" t="s">
        <v>29</v>
      </c>
      <c r="N533" t="str">
        <f>_xlfn.XLOOKUP(B533,tblCustomers[customer_id],tblCustomers[region],"Missing")</f>
        <v>North</v>
      </c>
      <c r="O533" t="str">
        <f>_xlfn.XLOOKUP(C533,tblProducts[product_id],tblProducts[product_name],"Missing")</f>
        <v>Support Desk</v>
      </c>
      <c r="P533" t="str">
        <f>_xlfn.XLOOKUP(C533,tblProducts[product_id],tblProducts[category],"Missing")</f>
        <v>Service</v>
      </c>
      <c r="Q533" t="str">
        <f>_xlfn.XLOOKUP(D533,tblSalesReps[rep_id],tblSalesReps[rep_name],"Missing")</f>
        <v>Sales Rep 10</v>
      </c>
      <c r="R533" t="str">
        <f>_xlfn.XLOOKUP(D533,tblSalesReps[rep_id],tblSalesReps[region],"Missing")</f>
        <v>North</v>
      </c>
    </row>
    <row r="534" spans="1:18">
      <c r="A534" t="s">
        <v>904</v>
      </c>
      <c r="B534" t="s">
        <v>905</v>
      </c>
      <c r="C534" t="s">
        <v>26</v>
      </c>
      <c r="D534" t="s">
        <v>46</v>
      </c>
      <c r="E534" s="1">
        <v>46012</v>
      </c>
      <c r="F534" s="1">
        <v>46071</v>
      </c>
      <c r="G534" s="1"/>
      <c r="H534" t="s">
        <v>43</v>
      </c>
      <c r="I534">
        <v>1</v>
      </c>
      <c r="J534">
        <v>0</v>
      </c>
      <c r="K534">
        <v>360000</v>
      </c>
      <c r="L534">
        <v>60</v>
      </c>
      <c r="M534" t="s">
        <v>29</v>
      </c>
      <c r="N534" t="str">
        <f>_xlfn.XLOOKUP(B534,tblCustomers[customer_id],tblCustomers[region],"Missing")</f>
        <v>South</v>
      </c>
      <c r="O534" t="str">
        <f>_xlfn.XLOOKUP(C534,tblProducts[product_id],tblProducts[product_name],"Missing")</f>
        <v>Security Suite</v>
      </c>
      <c r="P534" t="str">
        <f>_xlfn.XLOOKUP(C534,tblProducts[product_id],tblProducts[category],"Missing")</f>
        <v>Security</v>
      </c>
      <c r="Q534" t="str">
        <f>_xlfn.XLOOKUP(D534,tblSalesReps[rep_id],tblSalesReps[rep_name],"Missing")</f>
        <v>Sales Rep 01</v>
      </c>
      <c r="R534" t="str">
        <f>_xlfn.XLOOKUP(D534,tblSalesReps[rep_id],tblSalesReps[region],"Missing")</f>
        <v>South</v>
      </c>
    </row>
    <row r="535" spans="1:18">
      <c r="A535" t="s">
        <v>906</v>
      </c>
      <c r="B535" t="s">
        <v>907</v>
      </c>
      <c r="C535" t="s">
        <v>39</v>
      </c>
      <c r="D535" t="s">
        <v>126</v>
      </c>
      <c r="E535" s="1">
        <v>45933</v>
      </c>
      <c r="F535" s="1">
        <v>45992</v>
      </c>
      <c r="G535" s="1">
        <v>45992</v>
      </c>
      <c r="H535" t="s">
        <v>28</v>
      </c>
      <c r="I535">
        <v>3</v>
      </c>
      <c r="J535">
        <v>5</v>
      </c>
      <c r="K535">
        <v>513000</v>
      </c>
      <c r="L535">
        <v>100</v>
      </c>
      <c r="M535" t="s">
        <v>29</v>
      </c>
      <c r="N535" t="str">
        <f>_xlfn.XLOOKUP(B535,tblCustomers[customer_id],tblCustomers[region],"Missing")</f>
        <v>South</v>
      </c>
      <c r="O535" t="str">
        <f>_xlfn.XLOOKUP(C535,tblProducts[product_id],tblProducts[product_name],"Missing")</f>
        <v>Support Desk</v>
      </c>
      <c r="P535" t="str">
        <f>_xlfn.XLOOKUP(C535,tblProducts[product_id],tblProducts[category],"Missing")</f>
        <v>Service</v>
      </c>
      <c r="Q535" t="str">
        <f>_xlfn.XLOOKUP(D535,tblSalesReps[rep_id],tblSalesReps[rep_name],"Missing")</f>
        <v>Sales Rep 02</v>
      </c>
      <c r="R535" t="str">
        <f>_xlfn.XLOOKUP(D535,tblSalesReps[rep_id],tblSalesReps[region],"Missing")</f>
        <v>South</v>
      </c>
    </row>
    <row r="536" spans="1:18">
      <c r="A536" t="s">
        <v>908</v>
      </c>
      <c r="B536" t="s">
        <v>909</v>
      </c>
      <c r="C536" t="s">
        <v>81</v>
      </c>
      <c r="D536" t="s">
        <v>46</v>
      </c>
      <c r="E536" s="1">
        <v>45743</v>
      </c>
      <c r="F536" s="1">
        <v>45783</v>
      </c>
      <c r="G536" s="1">
        <v>45783</v>
      </c>
      <c r="H536" t="s">
        <v>28</v>
      </c>
      <c r="I536">
        <v>3</v>
      </c>
      <c r="J536">
        <v>15</v>
      </c>
      <c r="K536">
        <v>765000</v>
      </c>
      <c r="L536">
        <v>100</v>
      </c>
      <c r="M536" t="s">
        <v>29</v>
      </c>
      <c r="N536" t="str">
        <f>_xlfn.XLOOKUP(B536,tblCustomers[customer_id],tblCustomers[region],"Missing")</f>
        <v>South</v>
      </c>
      <c r="O536" t="str">
        <f>_xlfn.XLOOKUP(C536,tblProducts[product_id],tblProducts[product_name],"Missing")</f>
        <v>Analytics Cloud</v>
      </c>
      <c r="P536" t="str">
        <f>_xlfn.XLOOKUP(C536,tblProducts[product_id],tblProducts[category],"Missing")</f>
        <v>Analytics</v>
      </c>
      <c r="Q536" t="str">
        <f>_xlfn.XLOOKUP(D536,tblSalesReps[rep_id],tblSalesReps[rep_name],"Missing")</f>
        <v>Sales Rep 01</v>
      </c>
      <c r="R536" t="str">
        <f>_xlfn.XLOOKUP(D536,tblSalesReps[rep_id],tblSalesReps[region],"Missing")</f>
        <v>South</v>
      </c>
    </row>
    <row r="537" spans="1:18">
      <c r="A537" t="s">
        <v>910</v>
      </c>
      <c r="B537" t="s">
        <v>811</v>
      </c>
      <c r="C537" t="s">
        <v>81</v>
      </c>
      <c r="D537" t="s">
        <v>91</v>
      </c>
      <c r="E537" s="1">
        <v>45723</v>
      </c>
      <c r="F537" s="1">
        <v>45801</v>
      </c>
      <c r="G537" s="1">
        <v>45801</v>
      </c>
      <c r="H537" t="s">
        <v>17</v>
      </c>
      <c r="I537">
        <v>1</v>
      </c>
      <c r="J537">
        <v>10</v>
      </c>
      <c r="K537">
        <v>270000</v>
      </c>
      <c r="L537">
        <v>0</v>
      </c>
      <c r="M537" t="s">
        <v>18</v>
      </c>
      <c r="N537" t="str">
        <f>_xlfn.XLOOKUP(B537,tblCustomers[customer_id],tblCustomers[region],"Missing")</f>
        <v>South</v>
      </c>
      <c r="O537" t="str">
        <f>_xlfn.XLOOKUP(C537,tblProducts[product_id],tblProducts[product_name],"Missing")</f>
        <v>Analytics Cloud</v>
      </c>
      <c r="P537" t="str">
        <f>_xlfn.XLOOKUP(C537,tblProducts[product_id],tblProducts[category],"Missing")</f>
        <v>Analytics</v>
      </c>
      <c r="Q537" t="str">
        <f>_xlfn.XLOOKUP(D537,tblSalesReps[rep_id],tblSalesReps[rep_name],"Missing")</f>
        <v>Sales Rep 03</v>
      </c>
      <c r="R537" t="str">
        <f>_xlfn.XLOOKUP(D537,tblSalesReps[rep_id],tblSalesReps[region],"Missing")</f>
        <v>South</v>
      </c>
    </row>
    <row r="538" spans="1:18">
      <c r="A538" t="s">
        <v>911</v>
      </c>
      <c r="B538" t="s">
        <v>912</v>
      </c>
      <c r="C538" t="s">
        <v>81</v>
      </c>
      <c r="D538" t="s">
        <v>75</v>
      </c>
      <c r="E538" s="1">
        <v>45751</v>
      </c>
      <c r="F538" s="1">
        <v>45833</v>
      </c>
      <c r="G538" s="1">
        <v>45833</v>
      </c>
      <c r="H538" t="s">
        <v>17</v>
      </c>
      <c r="I538">
        <v>3</v>
      </c>
      <c r="J538">
        <v>0</v>
      </c>
      <c r="K538">
        <v>900000</v>
      </c>
      <c r="L538">
        <v>0</v>
      </c>
      <c r="M538" t="s">
        <v>23</v>
      </c>
      <c r="N538" t="str">
        <f>_xlfn.XLOOKUP(B538,tblCustomers[customer_id],tblCustomers[region],"Missing")</f>
        <v>North</v>
      </c>
      <c r="O538" t="str">
        <f>_xlfn.XLOOKUP(C538,tblProducts[product_id],tblProducts[product_name],"Missing")</f>
        <v>Analytics Cloud</v>
      </c>
      <c r="P538" t="str">
        <f>_xlfn.XLOOKUP(C538,tblProducts[product_id],tblProducts[category],"Missing")</f>
        <v>Analytics</v>
      </c>
      <c r="Q538" t="str">
        <f>_xlfn.XLOOKUP(D538,tblSalesReps[rep_id],tblSalesReps[rep_name],"Missing")</f>
        <v>Sales Rep 07</v>
      </c>
      <c r="R538" t="str">
        <f>_xlfn.XLOOKUP(D538,tblSalesReps[rep_id],tblSalesReps[region],"Missing")</f>
        <v>North</v>
      </c>
    </row>
    <row r="539" spans="1:18">
      <c r="A539" t="s">
        <v>913</v>
      </c>
      <c r="B539" t="s">
        <v>914</v>
      </c>
      <c r="C539" t="s">
        <v>62</v>
      </c>
      <c r="D539" t="s">
        <v>63</v>
      </c>
      <c r="E539" s="1">
        <v>45923</v>
      </c>
      <c r="F539" s="1">
        <v>46004</v>
      </c>
      <c r="G539" s="1"/>
      <c r="H539" t="s">
        <v>43</v>
      </c>
      <c r="I539">
        <v>3</v>
      </c>
      <c r="J539">
        <v>15</v>
      </c>
      <c r="K539">
        <v>306000</v>
      </c>
      <c r="L539">
        <v>60</v>
      </c>
      <c r="M539" t="s">
        <v>29</v>
      </c>
      <c r="N539" t="str">
        <f>_xlfn.XLOOKUP(B539,tblCustomers[customer_id],tblCustomers[region],"Missing")</f>
        <v>South</v>
      </c>
      <c r="O539" t="str">
        <f>_xlfn.XLOOKUP(C539,tblProducts[product_id],tblProducts[product_name],"Missing")</f>
        <v>CRM Essentials</v>
      </c>
      <c r="P539" t="str">
        <f>_xlfn.XLOOKUP(C539,tblProducts[product_id],tblProducts[category],"Missing")</f>
        <v>CRM</v>
      </c>
      <c r="Q539" t="str">
        <f>_xlfn.XLOOKUP(D539,tblSalesReps[rep_id],tblSalesReps[rep_name],"Missing")</f>
        <v>Sales Rep 05</v>
      </c>
      <c r="R539" t="str">
        <f>_xlfn.XLOOKUP(D539,tblSalesReps[rep_id],tblSalesReps[region],"Missing")</f>
        <v>South</v>
      </c>
    </row>
    <row r="540" spans="1:18">
      <c r="A540" t="s">
        <v>915</v>
      </c>
      <c r="B540" t="s">
        <v>131</v>
      </c>
      <c r="C540" t="s">
        <v>62</v>
      </c>
      <c r="D540" t="s">
        <v>16</v>
      </c>
      <c r="E540" s="1">
        <v>45803</v>
      </c>
      <c r="F540" s="1">
        <v>45846</v>
      </c>
      <c r="G540" s="1">
        <v>45846</v>
      </c>
      <c r="H540" t="s">
        <v>28</v>
      </c>
      <c r="I540">
        <v>1</v>
      </c>
      <c r="J540">
        <v>15</v>
      </c>
      <c r="K540">
        <v>102000</v>
      </c>
      <c r="L540">
        <v>100</v>
      </c>
      <c r="M540" t="s">
        <v>29</v>
      </c>
      <c r="N540" t="str">
        <f>_xlfn.XLOOKUP(B540,tblCustomers[customer_id],tblCustomers[region],"Missing")</f>
        <v>North</v>
      </c>
      <c r="O540" t="str">
        <f>_xlfn.XLOOKUP(C540,tblProducts[product_id],tblProducts[product_name],"Missing")</f>
        <v>CRM Essentials</v>
      </c>
      <c r="P540" t="str">
        <f>_xlfn.XLOOKUP(C540,tblProducts[product_id],tblProducts[category],"Missing")</f>
        <v>CRM</v>
      </c>
      <c r="Q540" t="str">
        <f>_xlfn.XLOOKUP(D540,tblSalesReps[rep_id],tblSalesReps[rep_name],"Missing")</f>
        <v>Sales Rep 08</v>
      </c>
      <c r="R540" t="str">
        <f>_xlfn.XLOOKUP(D540,tblSalesReps[rep_id],tblSalesReps[region],"Missing")</f>
        <v>North</v>
      </c>
    </row>
    <row r="541" spans="1:18">
      <c r="A541" t="s">
        <v>916</v>
      </c>
      <c r="B541" t="s">
        <v>861</v>
      </c>
      <c r="C541" t="s">
        <v>15</v>
      </c>
      <c r="D541" t="s">
        <v>63</v>
      </c>
      <c r="E541" s="1">
        <v>45918</v>
      </c>
      <c r="F541" s="1">
        <v>45928</v>
      </c>
      <c r="G541" s="1"/>
      <c r="H541" t="s">
        <v>43</v>
      </c>
      <c r="I541">
        <v>3</v>
      </c>
      <c r="J541">
        <v>0</v>
      </c>
      <c r="K541">
        <v>1260000</v>
      </c>
      <c r="L541">
        <v>40</v>
      </c>
      <c r="M541" t="s">
        <v>29</v>
      </c>
      <c r="N541" t="str">
        <f>_xlfn.XLOOKUP(B541,tblCustomers[customer_id],tblCustomers[region],"Missing")</f>
        <v>South</v>
      </c>
      <c r="O541" t="str">
        <f>_xlfn.XLOOKUP(C541,tblProducts[product_id],tblProducts[product_name],"Missing")</f>
        <v>CRM Enterprise</v>
      </c>
      <c r="P541" t="str">
        <f>_xlfn.XLOOKUP(C541,tblProducts[product_id],tblProducts[category],"Missing")</f>
        <v>CRM</v>
      </c>
      <c r="Q541" t="str">
        <f>_xlfn.XLOOKUP(D541,tblSalesReps[rep_id],tblSalesReps[rep_name],"Missing")</f>
        <v>Sales Rep 05</v>
      </c>
      <c r="R541" t="str">
        <f>_xlfn.XLOOKUP(D541,tblSalesReps[rep_id],tblSalesReps[region],"Missing")</f>
        <v>South</v>
      </c>
    </row>
    <row r="542" spans="1:18">
      <c r="A542" t="s">
        <v>917</v>
      </c>
      <c r="B542" t="s">
        <v>918</v>
      </c>
      <c r="C542" t="s">
        <v>26</v>
      </c>
      <c r="D542" t="s">
        <v>32</v>
      </c>
      <c r="E542" s="1">
        <v>45924</v>
      </c>
      <c r="F542" s="1">
        <v>45989</v>
      </c>
      <c r="G542" s="1">
        <v>45989</v>
      </c>
      <c r="H542" t="s">
        <v>28</v>
      </c>
      <c r="I542">
        <v>1</v>
      </c>
      <c r="J542">
        <v>0</v>
      </c>
      <c r="K542">
        <v>360000</v>
      </c>
      <c r="L542">
        <v>100</v>
      </c>
      <c r="M542" t="s">
        <v>29</v>
      </c>
      <c r="N542" t="str">
        <f>_xlfn.XLOOKUP(B542,tblCustomers[customer_id],tblCustomers[region],"Missing")</f>
        <v>South</v>
      </c>
      <c r="O542" t="str">
        <f>_xlfn.XLOOKUP(C542,tblProducts[product_id],tblProducts[product_name],"Missing")</f>
        <v>Security Suite</v>
      </c>
      <c r="P542" t="str">
        <f>_xlfn.XLOOKUP(C542,tblProducts[product_id],tblProducts[category],"Missing")</f>
        <v>Security</v>
      </c>
      <c r="Q542" t="str">
        <f>_xlfn.XLOOKUP(D542,tblSalesReps[rep_id],tblSalesReps[rep_name],"Missing")</f>
        <v>Sales Rep 04</v>
      </c>
      <c r="R542" t="str">
        <f>_xlfn.XLOOKUP(D542,tblSalesReps[rep_id],tblSalesReps[region],"Missing")</f>
        <v>South</v>
      </c>
    </row>
    <row r="543" spans="1:18">
      <c r="A543" t="s">
        <v>919</v>
      </c>
      <c r="B543" t="s">
        <v>920</v>
      </c>
      <c r="C543" t="s">
        <v>81</v>
      </c>
      <c r="D543" t="s">
        <v>50</v>
      </c>
      <c r="E543" s="1">
        <v>46002</v>
      </c>
      <c r="F543" s="1">
        <v>46049</v>
      </c>
      <c r="G543" s="1"/>
      <c r="H543" t="s">
        <v>43</v>
      </c>
      <c r="I543">
        <v>1</v>
      </c>
      <c r="J543">
        <v>15</v>
      </c>
      <c r="K543">
        <v>255000</v>
      </c>
      <c r="L543">
        <v>20</v>
      </c>
      <c r="M543" t="s">
        <v>29</v>
      </c>
      <c r="N543" t="str">
        <f>_xlfn.XLOOKUP(B543,tblCustomers[customer_id],tblCustomers[region],"Missing")</f>
        <v>West</v>
      </c>
      <c r="O543" t="str">
        <f>_xlfn.XLOOKUP(C543,tblProducts[product_id],tblProducts[product_name],"Missing")</f>
        <v>Analytics Cloud</v>
      </c>
      <c r="P543" t="str">
        <f>_xlfn.XLOOKUP(C543,tblProducts[product_id],tblProducts[category],"Missing")</f>
        <v>Analytics</v>
      </c>
      <c r="Q543" t="str">
        <f>_xlfn.XLOOKUP(D543,tblSalesReps[rep_id],tblSalesReps[rep_name],"Missing")</f>
        <v>Sales Rep 15</v>
      </c>
      <c r="R543" t="str">
        <f>_xlfn.XLOOKUP(D543,tblSalesReps[rep_id],tblSalesReps[region],"Missing")</f>
        <v>West</v>
      </c>
    </row>
    <row r="544" spans="1:18">
      <c r="A544" t="s">
        <v>921</v>
      </c>
      <c r="B544" t="s">
        <v>683</v>
      </c>
      <c r="C544" t="s">
        <v>15</v>
      </c>
      <c r="D544" t="s">
        <v>168</v>
      </c>
      <c r="E544" s="1">
        <v>45793</v>
      </c>
      <c r="F544" s="1">
        <v>45862</v>
      </c>
      <c r="G544" s="1">
        <v>45862</v>
      </c>
      <c r="H544" t="s">
        <v>17</v>
      </c>
      <c r="I544">
        <v>1</v>
      </c>
      <c r="J544">
        <v>15</v>
      </c>
      <c r="K544">
        <v>357000</v>
      </c>
      <c r="L544">
        <v>0</v>
      </c>
      <c r="M544" t="s">
        <v>47</v>
      </c>
      <c r="N544" t="str">
        <f>_xlfn.XLOOKUP(B544,tblCustomers[customer_id],tblCustomers[region],"Missing")</f>
        <v>East</v>
      </c>
      <c r="O544" t="str">
        <f>_xlfn.XLOOKUP(C544,tblProducts[product_id],tblProducts[product_name],"Missing")</f>
        <v>CRM Enterprise</v>
      </c>
      <c r="P544" t="str">
        <f>_xlfn.XLOOKUP(C544,tblProducts[product_id],tblProducts[category],"Missing")</f>
        <v>CRM</v>
      </c>
      <c r="Q544" t="str">
        <f>_xlfn.XLOOKUP(D544,tblSalesReps[rep_id],tblSalesReps[rep_name],"Missing")</f>
        <v>Sales Rep 17</v>
      </c>
      <c r="R544" t="str">
        <f>_xlfn.XLOOKUP(D544,tblSalesReps[rep_id],tblSalesReps[region],"Missing")</f>
        <v>East</v>
      </c>
    </row>
    <row r="545" spans="1:18">
      <c r="A545" t="s">
        <v>922</v>
      </c>
      <c r="B545" t="s">
        <v>264</v>
      </c>
      <c r="C545" t="s">
        <v>15</v>
      </c>
      <c r="D545" t="s">
        <v>126</v>
      </c>
      <c r="E545" s="1">
        <v>45677</v>
      </c>
      <c r="F545" s="1">
        <v>45717</v>
      </c>
      <c r="G545" s="1">
        <v>45717</v>
      </c>
      <c r="H545" t="s">
        <v>17</v>
      </c>
      <c r="I545">
        <v>3</v>
      </c>
      <c r="J545">
        <v>15</v>
      </c>
      <c r="K545">
        <v>1071000</v>
      </c>
      <c r="L545">
        <v>0</v>
      </c>
      <c r="M545" t="s">
        <v>18</v>
      </c>
      <c r="N545" t="str">
        <f>_xlfn.XLOOKUP(B545,tblCustomers[customer_id],tblCustomers[region],"Missing")</f>
        <v>South</v>
      </c>
      <c r="O545" t="str">
        <f>_xlfn.XLOOKUP(C545,tblProducts[product_id],tblProducts[product_name],"Missing")</f>
        <v>CRM Enterprise</v>
      </c>
      <c r="P545" t="str">
        <f>_xlfn.XLOOKUP(C545,tblProducts[product_id],tblProducts[category],"Missing")</f>
        <v>CRM</v>
      </c>
      <c r="Q545" t="str">
        <f>_xlfn.XLOOKUP(D545,tblSalesReps[rep_id],tblSalesReps[rep_name],"Missing")</f>
        <v>Sales Rep 02</v>
      </c>
      <c r="R545" t="str">
        <f>_xlfn.XLOOKUP(D545,tblSalesReps[rep_id],tblSalesReps[region],"Missing")</f>
        <v>South</v>
      </c>
    </row>
    <row r="546" spans="1:18">
      <c r="A546" t="s">
        <v>923</v>
      </c>
      <c r="B546" t="s">
        <v>861</v>
      </c>
      <c r="C546" t="s">
        <v>15</v>
      </c>
      <c r="D546" t="s">
        <v>46</v>
      </c>
      <c r="E546" s="1">
        <v>45805</v>
      </c>
      <c r="F546" s="1">
        <v>45869</v>
      </c>
      <c r="G546" s="1">
        <v>45869</v>
      </c>
      <c r="H546" t="s">
        <v>17</v>
      </c>
      <c r="I546">
        <v>1</v>
      </c>
      <c r="J546">
        <v>5</v>
      </c>
      <c r="K546">
        <v>399000</v>
      </c>
      <c r="L546">
        <v>0</v>
      </c>
      <c r="M546" t="s">
        <v>23</v>
      </c>
      <c r="N546" t="str">
        <f>_xlfn.XLOOKUP(B546,tblCustomers[customer_id],tblCustomers[region],"Missing")</f>
        <v>South</v>
      </c>
      <c r="O546" t="str">
        <f>_xlfn.XLOOKUP(C546,tblProducts[product_id],tblProducts[product_name],"Missing")</f>
        <v>CRM Enterprise</v>
      </c>
      <c r="P546" t="str">
        <f>_xlfn.XLOOKUP(C546,tblProducts[product_id],tblProducts[category],"Missing")</f>
        <v>CRM</v>
      </c>
      <c r="Q546" t="str">
        <f>_xlfn.XLOOKUP(D546,tblSalesReps[rep_id],tblSalesReps[rep_name],"Missing")</f>
        <v>Sales Rep 01</v>
      </c>
      <c r="R546" t="str">
        <f>_xlfn.XLOOKUP(D546,tblSalesReps[rep_id],tblSalesReps[region],"Missing")</f>
        <v>South</v>
      </c>
    </row>
    <row r="547" spans="1:18">
      <c r="A547" t="s">
        <v>924</v>
      </c>
      <c r="B547" t="s">
        <v>782</v>
      </c>
      <c r="C547" t="s">
        <v>81</v>
      </c>
      <c r="D547" t="s">
        <v>63</v>
      </c>
      <c r="E547" s="1">
        <v>45868</v>
      </c>
      <c r="F547" s="1">
        <v>45878</v>
      </c>
      <c r="G547" s="1">
        <v>45878</v>
      </c>
      <c r="H547" t="s">
        <v>17</v>
      </c>
      <c r="I547">
        <v>1</v>
      </c>
      <c r="J547">
        <v>10</v>
      </c>
      <c r="K547">
        <v>270000</v>
      </c>
      <c r="L547">
        <v>0</v>
      </c>
      <c r="M547" t="s">
        <v>82</v>
      </c>
      <c r="N547" t="str">
        <f>_xlfn.XLOOKUP(B547,tblCustomers[customer_id],tblCustomers[region],"Missing")</f>
        <v>South</v>
      </c>
      <c r="O547" t="str">
        <f>_xlfn.XLOOKUP(C547,tblProducts[product_id],tblProducts[product_name],"Missing")</f>
        <v>Analytics Cloud</v>
      </c>
      <c r="P547" t="str">
        <f>_xlfn.XLOOKUP(C547,tblProducts[product_id],tblProducts[category],"Missing")</f>
        <v>Analytics</v>
      </c>
      <c r="Q547" t="str">
        <f>_xlfn.XLOOKUP(D547,tblSalesReps[rep_id],tblSalesReps[rep_name],"Missing")</f>
        <v>Sales Rep 05</v>
      </c>
      <c r="R547" t="str">
        <f>_xlfn.XLOOKUP(D547,tblSalesReps[rep_id],tblSalesReps[region],"Missing")</f>
        <v>South</v>
      </c>
    </row>
    <row r="548" spans="1:18">
      <c r="A548" t="s">
        <v>925</v>
      </c>
      <c r="B548" t="s">
        <v>630</v>
      </c>
      <c r="C548" t="s">
        <v>81</v>
      </c>
      <c r="D548" t="s">
        <v>32</v>
      </c>
      <c r="E548" s="1">
        <v>45862</v>
      </c>
      <c r="F548" s="1">
        <v>45875</v>
      </c>
      <c r="G548" s="1">
        <v>45875</v>
      </c>
      <c r="H548" t="s">
        <v>28</v>
      </c>
      <c r="I548">
        <v>1</v>
      </c>
      <c r="J548">
        <v>15</v>
      </c>
      <c r="K548">
        <v>255000</v>
      </c>
      <c r="L548">
        <v>100</v>
      </c>
      <c r="M548" t="s">
        <v>29</v>
      </c>
      <c r="N548" t="str">
        <f>_xlfn.XLOOKUP(B548,tblCustomers[customer_id],tblCustomers[region],"Missing")</f>
        <v>South</v>
      </c>
      <c r="O548" t="str">
        <f>_xlfn.XLOOKUP(C548,tblProducts[product_id],tblProducts[product_name],"Missing")</f>
        <v>Analytics Cloud</v>
      </c>
      <c r="P548" t="str">
        <f>_xlfn.XLOOKUP(C548,tblProducts[product_id],tblProducts[category],"Missing")</f>
        <v>Analytics</v>
      </c>
      <c r="Q548" t="str">
        <f>_xlfn.XLOOKUP(D548,tblSalesReps[rep_id],tblSalesReps[rep_name],"Missing")</f>
        <v>Sales Rep 04</v>
      </c>
      <c r="R548" t="str">
        <f>_xlfn.XLOOKUP(D548,tblSalesReps[rep_id],tblSalesReps[region],"Missing")</f>
        <v>South</v>
      </c>
    </row>
    <row r="549" spans="1:18">
      <c r="A549" t="s">
        <v>926</v>
      </c>
      <c r="B549" t="s">
        <v>264</v>
      </c>
      <c r="C549" t="s">
        <v>21</v>
      </c>
      <c r="D549" t="s">
        <v>126</v>
      </c>
      <c r="E549" s="1">
        <v>45967</v>
      </c>
      <c r="F549" s="1">
        <v>45976</v>
      </c>
      <c r="G549" s="1">
        <v>45976</v>
      </c>
      <c r="H549" t="s">
        <v>17</v>
      </c>
      <c r="I549">
        <v>2</v>
      </c>
      <c r="J549">
        <v>0</v>
      </c>
      <c r="K549">
        <v>480000</v>
      </c>
      <c r="L549">
        <v>0</v>
      </c>
      <c r="M549" t="s">
        <v>18</v>
      </c>
      <c r="N549" t="str">
        <f>_xlfn.XLOOKUP(B549,tblCustomers[customer_id],tblCustomers[region],"Missing")</f>
        <v>South</v>
      </c>
      <c r="O549" t="str">
        <f>_xlfn.XLOOKUP(C549,tblProducts[product_id],tblProducts[product_name],"Missing")</f>
        <v>Workflow Automate</v>
      </c>
      <c r="P549" t="str">
        <f>_xlfn.XLOOKUP(C549,tblProducts[product_id],tblProducts[category],"Missing")</f>
        <v>Automation</v>
      </c>
      <c r="Q549" t="str">
        <f>_xlfn.XLOOKUP(D549,tblSalesReps[rep_id],tblSalesReps[rep_name],"Missing")</f>
        <v>Sales Rep 02</v>
      </c>
      <c r="R549" t="str">
        <f>_xlfn.XLOOKUP(D549,tblSalesReps[rep_id],tblSalesReps[region],"Missing")</f>
        <v>South</v>
      </c>
    </row>
    <row r="550" spans="1:18">
      <c r="A550" t="s">
        <v>927</v>
      </c>
      <c r="B550" t="s">
        <v>206</v>
      </c>
      <c r="C550" t="s">
        <v>39</v>
      </c>
      <c r="D550" t="s">
        <v>36</v>
      </c>
      <c r="E550" s="1">
        <v>45775</v>
      </c>
      <c r="F550" s="1">
        <v>45802</v>
      </c>
      <c r="G550" s="1">
        <v>45802</v>
      </c>
      <c r="H550" t="s">
        <v>28</v>
      </c>
      <c r="I550">
        <v>1</v>
      </c>
      <c r="J550">
        <v>10</v>
      </c>
      <c r="K550">
        <v>162000</v>
      </c>
      <c r="L550">
        <v>100</v>
      </c>
      <c r="M550" t="s">
        <v>29</v>
      </c>
      <c r="N550" t="str">
        <f>_xlfn.XLOOKUP(B550,tblCustomers[customer_id],tblCustomers[region],"Missing")</f>
        <v>North</v>
      </c>
      <c r="O550" t="str">
        <f>_xlfn.XLOOKUP(C550,tblProducts[product_id],tblProducts[product_name],"Missing")</f>
        <v>Support Desk</v>
      </c>
      <c r="P550" t="str">
        <f>_xlfn.XLOOKUP(C550,tblProducts[product_id],tblProducts[category],"Missing")</f>
        <v>Service</v>
      </c>
      <c r="Q550" t="str">
        <f>_xlfn.XLOOKUP(D550,tblSalesReps[rep_id],tblSalesReps[rep_name],"Missing")</f>
        <v>Sales Rep 09</v>
      </c>
      <c r="R550" t="str">
        <f>_xlfn.XLOOKUP(D550,tblSalesReps[rep_id],tblSalesReps[region],"Missing")</f>
        <v>North</v>
      </c>
    </row>
    <row r="551" spans="1:18">
      <c r="A551" t="s">
        <v>928</v>
      </c>
      <c r="B551" t="s">
        <v>929</v>
      </c>
      <c r="C551" t="s">
        <v>81</v>
      </c>
      <c r="D551" t="s">
        <v>70</v>
      </c>
      <c r="E551" s="1">
        <v>45738</v>
      </c>
      <c r="F551" s="1">
        <v>45748</v>
      </c>
      <c r="G551" s="1">
        <v>45748</v>
      </c>
      <c r="H551" t="s">
        <v>28</v>
      </c>
      <c r="I551">
        <v>1</v>
      </c>
      <c r="J551">
        <v>5</v>
      </c>
      <c r="K551">
        <v>285000</v>
      </c>
      <c r="L551">
        <v>100</v>
      </c>
      <c r="M551" t="s">
        <v>29</v>
      </c>
      <c r="N551" t="str">
        <f>_xlfn.XLOOKUP(B551,tblCustomers[customer_id],tblCustomers[region],"Missing")</f>
        <v>West</v>
      </c>
      <c r="O551" t="str">
        <f>_xlfn.XLOOKUP(C551,tblProducts[product_id],tblProducts[product_name],"Missing")</f>
        <v>Analytics Cloud</v>
      </c>
      <c r="P551" t="str">
        <f>_xlfn.XLOOKUP(C551,tblProducts[product_id],tblProducts[category],"Missing")</f>
        <v>Analytics</v>
      </c>
      <c r="Q551" t="str">
        <f>_xlfn.XLOOKUP(D551,tblSalesReps[rep_id],tblSalesReps[rep_name],"Missing")</f>
        <v>Sales Rep 11</v>
      </c>
      <c r="R551" t="str">
        <f>_xlfn.XLOOKUP(D551,tblSalesReps[rep_id],tblSalesReps[region],"Missing")</f>
        <v>West</v>
      </c>
    </row>
    <row r="552" spans="1:18">
      <c r="A552" t="s">
        <v>930</v>
      </c>
      <c r="B552" t="s">
        <v>35</v>
      </c>
      <c r="C552" t="s">
        <v>26</v>
      </c>
      <c r="D552" t="s">
        <v>36</v>
      </c>
      <c r="E552" s="1">
        <v>45668</v>
      </c>
      <c r="F552" s="1">
        <v>45744</v>
      </c>
      <c r="G552" s="1">
        <v>45744</v>
      </c>
      <c r="H552" t="s">
        <v>28</v>
      </c>
      <c r="I552">
        <v>3</v>
      </c>
      <c r="J552">
        <v>5</v>
      </c>
      <c r="K552">
        <v>1026000</v>
      </c>
      <c r="L552">
        <v>100</v>
      </c>
      <c r="M552" t="s">
        <v>29</v>
      </c>
      <c r="N552" t="str">
        <f>_xlfn.XLOOKUP(B552,tblCustomers[customer_id],tblCustomers[region],"Missing")</f>
        <v>North</v>
      </c>
      <c r="O552" t="str">
        <f>_xlfn.XLOOKUP(C552,tblProducts[product_id],tblProducts[product_name],"Missing")</f>
        <v>Security Suite</v>
      </c>
      <c r="P552" t="str">
        <f>_xlfn.XLOOKUP(C552,tblProducts[product_id],tblProducts[category],"Missing")</f>
        <v>Security</v>
      </c>
      <c r="Q552" t="str">
        <f>_xlfn.XLOOKUP(D552,tblSalesReps[rep_id],tblSalesReps[rep_name],"Missing")</f>
        <v>Sales Rep 09</v>
      </c>
      <c r="R552" t="str">
        <f>_xlfn.XLOOKUP(D552,tblSalesReps[rep_id],tblSalesReps[region],"Missing")</f>
        <v>North</v>
      </c>
    </row>
    <row r="553" spans="1:18">
      <c r="A553" t="s">
        <v>931</v>
      </c>
      <c r="B553" t="s">
        <v>481</v>
      </c>
      <c r="C553" t="s">
        <v>21</v>
      </c>
      <c r="D553" t="s">
        <v>32</v>
      </c>
      <c r="E553" s="1">
        <v>45705</v>
      </c>
      <c r="F553" s="1">
        <v>45764</v>
      </c>
      <c r="G553" s="1">
        <v>45764</v>
      </c>
      <c r="H553" t="s">
        <v>28</v>
      </c>
      <c r="I553">
        <v>3</v>
      </c>
      <c r="J553">
        <v>10</v>
      </c>
      <c r="K553">
        <v>648000</v>
      </c>
      <c r="L553">
        <v>100</v>
      </c>
      <c r="M553" t="s">
        <v>29</v>
      </c>
      <c r="N553" t="str">
        <f>_xlfn.XLOOKUP(B553,tblCustomers[customer_id],tblCustomers[region],"Missing")</f>
        <v>South</v>
      </c>
      <c r="O553" t="str">
        <f>_xlfn.XLOOKUP(C553,tblProducts[product_id],tblProducts[product_name],"Missing")</f>
        <v>Workflow Automate</v>
      </c>
      <c r="P553" t="str">
        <f>_xlfn.XLOOKUP(C553,tblProducts[product_id],tblProducts[category],"Missing")</f>
        <v>Automation</v>
      </c>
      <c r="Q553" t="str">
        <f>_xlfn.XLOOKUP(D553,tblSalesReps[rep_id],tblSalesReps[rep_name],"Missing")</f>
        <v>Sales Rep 04</v>
      </c>
      <c r="R553" t="str">
        <f>_xlfn.XLOOKUP(D553,tblSalesReps[rep_id],tblSalesReps[region],"Missing")</f>
        <v>South</v>
      </c>
    </row>
    <row r="554" spans="1:18">
      <c r="A554" t="s">
        <v>932</v>
      </c>
      <c r="B554" t="s">
        <v>933</v>
      </c>
      <c r="C554" t="s">
        <v>81</v>
      </c>
      <c r="D554" t="s">
        <v>126</v>
      </c>
      <c r="E554" s="1">
        <v>45953</v>
      </c>
      <c r="F554" s="1">
        <v>46010</v>
      </c>
      <c r="G554" s="1"/>
      <c r="H554" t="s">
        <v>43</v>
      </c>
      <c r="I554">
        <v>1</v>
      </c>
      <c r="J554">
        <v>15</v>
      </c>
      <c r="K554">
        <v>255000</v>
      </c>
      <c r="L554">
        <v>60</v>
      </c>
      <c r="M554" t="s">
        <v>29</v>
      </c>
      <c r="N554" t="str">
        <f>_xlfn.XLOOKUP(B554,tblCustomers[customer_id],tblCustomers[region],"Missing")</f>
        <v>South</v>
      </c>
      <c r="O554" t="str">
        <f>_xlfn.XLOOKUP(C554,tblProducts[product_id],tblProducts[product_name],"Missing")</f>
        <v>Analytics Cloud</v>
      </c>
      <c r="P554" t="str">
        <f>_xlfn.XLOOKUP(C554,tblProducts[product_id],tblProducts[category],"Missing")</f>
        <v>Analytics</v>
      </c>
      <c r="Q554" t="str">
        <f>_xlfn.XLOOKUP(D554,tblSalesReps[rep_id],tblSalesReps[rep_name],"Missing")</f>
        <v>Sales Rep 02</v>
      </c>
      <c r="R554" t="str">
        <f>_xlfn.XLOOKUP(D554,tblSalesReps[rep_id],tblSalesReps[region],"Missing")</f>
        <v>South</v>
      </c>
    </row>
    <row r="555" spans="1:18">
      <c r="A555" t="s">
        <v>934</v>
      </c>
      <c r="B555" t="s">
        <v>935</v>
      </c>
      <c r="C555" t="s">
        <v>62</v>
      </c>
      <c r="D555" t="s">
        <v>126</v>
      </c>
      <c r="E555" s="1">
        <v>45864</v>
      </c>
      <c r="F555" s="1">
        <v>45931</v>
      </c>
      <c r="G555" s="1">
        <v>45931</v>
      </c>
      <c r="H555" t="s">
        <v>17</v>
      </c>
      <c r="I555">
        <v>3</v>
      </c>
      <c r="J555">
        <v>20</v>
      </c>
      <c r="K555">
        <v>288000</v>
      </c>
      <c r="L555">
        <v>0</v>
      </c>
      <c r="M555" t="s">
        <v>23</v>
      </c>
      <c r="N555" t="str">
        <f>_xlfn.XLOOKUP(B555,tblCustomers[customer_id],tblCustomers[region],"Missing")</f>
        <v>South</v>
      </c>
      <c r="O555" t="str">
        <f>_xlfn.XLOOKUP(C555,tblProducts[product_id],tblProducts[product_name],"Missing")</f>
        <v>CRM Essentials</v>
      </c>
      <c r="P555" t="str">
        <f>_xlfn.XLOOKUP(C555,tblProducts[product_id],tblProducts[category],"Missing")</f>
        <v>CRM</v>
      </c>
      <c r="Q555" t="str">
        <f>_xlfn.XLOOKUP(D555,tblSalesReps[rep_id],tblSalesReps[rep_name],"Missing")</f>
        <v>Sales Rep 02</v>
      </c>
      <c r="R555" t="str">
        <f>_xlfn.XLOOKUP(D555,tblSalesReps[rep_id],tblSalesReps[region],"Missing")</f>
        <v>South</v>
      </c>
    </row>
    <row r="556" spans="1:18">
      <c r="A556" t="s">
        <v>936</v>
      </c>
      <c r="B556" t="s">
        <v>385</v>
      </c>
      <c r="C556" t="s">
        <v>81</v>
      </c>
      <c r="D556" t="s">
        <v>152</v>
      </c>
      <c r="E556" s="1">
        <v>45991</v>
      </c>
      <c r="F556" s="1">
        <v>46057</v>
      </c>
      <c r="G556" s="1"/>
      <c r="H556" t="s">
        <v>43</v>
      </c>
      <c r="I556">
        <v>2</v>
      </c>
      <c r="J556">
        <v>20</v>
      </c>
      <c r="K556">
        <v>480000</v>
      </c>
      <c r="L556">
        <v>20</v>
      </c>
      <c r="M556" t="s">
        <v>29</v>
      </c>
      <c r="N556" t="str">
        <f>_xlfn.XLOOKUP(B556,tblCustomers[customer_id],tblCustomers[region],"Missing")</f>
        <v>East</v>
      </c>
      <c r="O556" t="str">
        <f>_xlfn.XLOOKUP(C556,tblProducts[product_id],tblProducts[product_name],"Missing")</f>
        <v>Analytics Cloud</v>
      </c>
      <c r="P556" t="str">
        <f>_xlfn.XLOOKUP(C556,tblProducts[product_id],tblProducts[category],"Missing")</f>
        <v>Analytics</v>
      </c>
      <c r="Q556" t="str">
        <f>_xlfn.XLOOKUP(D556,tblSalesReps[rep_id],tblSalesReps[rep_name],"Missing")</f>
        <v>Sales Rep 18</v>
      </c>
      <c r="R556" t="str">
        <f>_xlfn.XLOOKUP(D556,tblSalesReps[rep_id],tblSalesReps[region],"Missing")</f>
        <v>East</v>
      </c>
    </row>
    <row r="557" spans="1:18">
      <c r="A557" t="s">
        <v>937</v>
      </c>
      <c r="B557" t="s">
        <v>698</v>
      </c>
      <c r="C557" t="s">
        <v>26</v>
      </c>
      <c r="D557" t="s">
        <v>27</v>
      </c>
      <c r="E557" s="1">
        <v>45743</v>
      </c>
      <c r="F557" s="1">
        <v>45764</v>
      </c>
      <c r="G557" s="1">
        <v>45764</v>
      </c>
      <c r="H557" t="s">
        <v>28</v>
      </c>
      <c r="I557">
        <v>1</v>
      </c>
      <c r="J557">
        <v>15</v>
      </c>
      <c r="K557">
        <v>306000</v>
      </c>
      <c r="L557">
        <v>100</v>
      </c>
      <c r="M557" t="s">
        <v>29</v>
      </c>
      <c r="N557" t="str">
        <f>_xlfn.XLOOKUP(B557,tblCustomers[customer_id],tblCustomers[region],"Missing")</f>
        <v>North</v>
      </c>
      <c r="O557" t="str">
        <f>_xlfn.XLOOKUP(C557,tblProducts[product_id],tblProducts[product_name],"Missing")</f>
        <v>Security Suite</v>
      </c>
      <c r="P557" t="str">
        <f>_xlfn.XLOOKUP(C557,tblProducts[product_id],tblProducts[category],"Missing")</f>
        <v>Security</v>
      </c>
      <c r="Q557" t="str">
        <f>_xlfn.XLOOKUP(D557,tblSalesReps[rep_id],tblSalesReps[rep_name],"Missing")</f>
        <v>Sales Rep 06</v>
      </c>
      <c r="R557" t="str">
        <f>_xlfn.XLOOKUP(D557,tblSalesReps[rep_id],tblSalesReps[region],"Missing")</f>
        <v>North</v>
      </c>
    </row>
    <row r="558" spans="1:18">
      <c r="A558" t="s">
        <v>938</v>
      </c>
      <c r="B558" t="s">
        <v>653</v>
      </c>
      <c r="C558" t="s">
        <v>81</v>
      </c>
      <c r="D558" t="s">
        <v>152</v>
      </c>
      <c r="E558" s="1">
        <v>46004</v>
      </c>
      <c r="F558" s="1">
        <v>46052</v>
      </c>
      <c r="G558" s="1"/>
      <c r="H558" t="s">
        <v>43</v>
      </c>
      <c r="I558">
        <v>3</v>
      </c>
      <c r="J558">
        <v>10</v>
      </c>
      <c r="K558">
        <v>810000</v>
      </c>
      <c r="L558">
        <v>40</v>
      </c>
      <c r="M558" t="s">
        <v>29</v>
      </c>
      <c r="N558" t="str">
        <f>_xlfn.XLOOKUP(B558,tblCustomers[customer_id],tblCustomers[region],"Missing")</f>
        <v>East</v>
      </c>
      <c r="O558" t="str">
        <f>_xlfn.XLOOKUP(C558,tblProducts[product_id],tblProducts[product_name],"Missing")</f>
        <v>Analytics Cloud</v>
      </c>
      <c r="P558" t="str">
        <f>_xlfn.XLOOKUP(C558,tblProducts[product_id],tblProducts[category],"Missing")</f>
        <v>Analytics</v>
      </c>
      <c r="Q558" t="str">
        <f>_xlfn.XLOOKUP(D558,tblSalesReps[rep_id],tblSalesReps[rep_name],"Missing")</f>
        <v>Sales Rep 18</v>
      </c>
      <c r="R558" t="str">
        <f>_xlfn.XLOOKUP(D558,tblSalesReps[rep_id],tblSalesReps[region],"Missing")</f>
        <v>East</v>
      </c>
    </row>
    <row r="559" spans="1:18">
      <c r="A559" t="s">
        <v>939</v>
      </c>
      <c r="B559" t="s">
        <v>940</v>
      </c>
      <c r="C559" t="s">
        <v>81</v>
      </c>
      <c r="D559" t="s">
        <v>36</v>
      </c>
      <c r="E559" s="1">
        <v>45765</v>
      </c>
      <c r="F559" s="1">
        <v>45789</v>
      </c>
      <c r="G559" s="1"/>
      <c r="H559" t="s">
        <v>43</v>
      </c>
      <c r="I559">
        <v>1</v>
      </c>
      <c r="J559">
        <v>20</v>
      </c>
      <c r="K559">
        <v>240000</v>
      </c>
      <c r="L559">
        <v>80</v>
      </c>
      <c r="M559" t="s">
        <v>29</v>
      </c>
      <c r="N559" t="str">
        <f>_xlfn.XLOOKUP(B559,tblCustomers[customer_id],tblCustomers[region],"Missing")</f>
        <v>North</v>
      </c>
      <c r="O559" t="str">
        <f>_xlfn.XLOOKUP(C559,tblProducts[product_id],tblProducts[product_name],"Missing")</f>
        <v>Analytics Cloud</v>
      </c>
      <c r="P559" t="str">
        <f>_xlfn.XLOOKUP(C559,tblProducts[product_id],tblProducts[category],"Missing")</f>
        <v>Analytics</v>
      </c>
      <c r="Q559" t="str">
        <f>_xlfn.XLOOKUP(D559,tblSalesReps[rep_id],tblSalesReps[rep_name],"Missing")</f>
        <v>Sales Rep 09</v>
      </c>
      <c r="R559" t="str">
        <f>_xlfn.XLOOKUP(D559,tblSalesReps[rep_id],tblSalesReps[region],"Missing")</f>
        <v>North</v>
      </c>
    </row>
    <row r="560" spans="1:18">
      <c r="A560" t="s">
        <v>941</v>
      </c>
      <c r="B560" t="s">
        <v>426</v>
      </c>
      <c r="C560" t="s">
        <v>21</v>
      </c>
      <c r="D560" t="s">
        <v>126</v>
      </c>
      <c r="E560" s="1">
        <v>45760</v>
      </c>
      <c r="F560" s="1">
        <v>45835</v>
      </c>
      <c r="G560" s="1">
        <v>45835</v>
      </c>
      <c r="H560" t="s">
        <v>17</v>
      </c>
      <c r="I560">
        <v>2</v>
      </c>
      <c r="J560">
        <v>10</v>
      </c>
      <c r="K560">
        <v>432000</v>
      </c>
      <c r="L560">
        <v>0</v>
      </c>
      <c r="M560" t="s">
        <v>23</v>
      </c>
      <c r="N560" t="str">
        <f>_xlfn.XLOOKUP(B560,tblCustomers[customer_id],tblCustomers[region],"Missing")</f>
        <v>South</v>
      </c>
      <c r="O560" t="str">
        <f>_xlfn.XLOOKUP(C560,tblProducts[product_id],tblProducts[product_name],"Missing")</f>
        <v>Workflow Automate</v>
      </c>
      <c r="P560" t="str">
        <f>_xlfn.XLOOKUP(C560,tblProducts[product_id],tblProducts[category],"Missing")</f>
        <v>Automation</v>
      </c>
      <c r="Q560" t="str">
        <f>_xlfn.XLOOKUP(D560,tblSalesReps[rep_id],tblSalesReps[rep_name],"Missing")</f>
        <v>Sales Rep 02</v>
      </c>
      <c r="R560" t="str">
        <f>_xlfn.XLOOKUP(D560,tblSalesReps[rep_id],tblSalesReps[region],"Missing")</f>
        <v>South</v>
      </c>
    </row>
    <row r="561" spans="1:18">
      <c r="A561" t="s">
        <v>942</v>
      </c>
      <c r="B561" t="s">
        <v>418</v>
      </c>
      <c r="C561" t="s">
        <v>81</v>
      </c>
      <c r="D561" t="s">
        <v>91</v>
      </c>
      <c r="E561" s="1">
        <v>45945</v>
      </c>
      <c r="F561" s="1">
        <v>45977</v>
      </c>
      <c r="G561" s="1">
        <v>45977</v>
      </c>
      <c r="H561" t="s">
        <v>17</v>
      </c>
      <c r="I561">
        <v>1</v>
      </c>
      <c r="J561">
        <v>20</v>
      </c>
      <c r="K561">
        <v>240000</v>
      </c>
      <c r="L561">
        <v>0</v>
      </c>
      <c r="M561" t="s">
        <v>23</v>
      </c>
      <c r="N561" t="str">
        <f>_xlfn.XLOOKUP(B561,tblCustomers[customer_id],tblCustomers[region],"Missing")</f>
        <v>South</v>
      </c>
      <c r="O561" t="str">
        <f>_xlfn.XLOOKUP(C561,tblProducts[product_id],tblProducts[product_name],"Missing")</f>
        <v>Analytics Cloud</v>
      </c>
      <c r="P561" t="str">
        <f>_xlfn.XLOOKUP(C561,tblProducts[product_id],tblProducts[category],"Missing")</f>
        <v>Analytics</v>
      </c>
      <c r="Q561" t="str">
        <f>_xlfn.XLOOKUP(D561,tblSalesReps[rep_id],tblSalesReps[rep_name],"Missing")</f>
        <v>Sales Rep 03</v>
      </c>
      <c r="R561" t="str">
        <f>_xlfn.XLOOKUP(D561,tblSalesReps[rep_id],tblSalesReps[region],"Missing")</f>
        <v>South</v>
      </c>
    </row>
    <row r="562" spans="1:18">
      <c r="A562" t="s">
        <v>943</v>
      </c>
      <c r="B562" t="s">
        <v>944</v>
      </c>
      <c r="C562" t="s">
        <v>39</v>
      </c>
      <c r="D562" t="s">
        <v>119</v>
      </c>
      <c r="E562" s="1">
        <v>45799</v>
      </c>
      <c r="F562" s="1">
        <v>45884</v>
      </c>
      <c r="G562" s="1"/>
      <c r="H562" t="s">
        <v>43</v>
      </c>
      <c r="I562">
        <v>2</v>
      </c>
      <c r="J562">
        <v>5</v>
      </c>
      <c r="K562">
        <v>342000</v>
      </c>
      <c r="L562">
        <v>40</v>
      </c>
      <c r="M562" t="s">
        <v>29</v>
      </c>
      <c r="N562" t="str">
        <f>_xlfn.XLOOKUP(B562,tblCustomers[customer_id],tblCustomers[region],"Missing")</f>
        <v>North</v>
      </c>
      <c r="O562" t="str">
        <f>_xlfn.XLOOKUP(C562,tblProducts[product_id],tblProducts[product_name],"Missing")</f>
        <v>Support Desk</v>
      </c>
      <c r="P562" t="str">
        <f>_xlfn.XLOOKUP(C562,tblProducts[product_id],tblProducts[category],"Missing")</f>
        <v>Service</v>
      </c>
      <c r="Q562" t="str">
        <f>_xlfn.XLOOKUP(D562,tblSalesReps[rep_id],tblSalesReps[rep_name],"Missing")</f>
        <v>Sales Rep 10</v>
      </c>
      <c r="R562" t="str">
        <f>_xlfn.XLOOKUP(D562,tblSalesReps[rep_id],tblSalesReps[region],"Missing")</f>
        <v>North</v>
      </c>
    </row>
    <row r="563" spans="1:18">
      <c r="A563" t="s">
        <v>945</v>
      </c>
      <c r="B563" t="s">
        <v>669</v>
      </c>
      <c r="C563" t="s">
        <v>81</v>
      </c>
      <c r="D563" t="s">
        <v>27</v>
      </c>
      <c r="E563" s="1">
        <v>45823</v>
      </c>
      <c r="F563" s="1">
        <v>45836</v>
      </c>
      <c r="G563" s="1">
        <v>45836</v>
      </c>
      <c r="H563" t="s">
        <v>28</v>
      </c>
      <c r="I563">
        <v>1</v>
      </c>
      <c r="J563">
        <v>20</v>
      </c>
      <c r="K563">
        <v>240000</v>
      </c>
      <c r="L563">
        <v>100</v>
      </c>
      <c r="M563" t="s">
        <v>29</v>
      </c>
      <c r="N563" t="str">
        <f>_xlfn.XLOOKUP(B563,tblCustomers[customer_id],tblCustomers[region],"Missing")</f>
        <v>North</v>
      </c>
      <c r="O563" t="str">
        <f>_xlfn.XLOOKUP(C563,tblProducts[product_id],tblProducts[product_name],"Missing")</f>
        <v>Analytics Cloud</v>
      </c>
      <c r="P563" t="str">
        <f>_xlfn.XLOOKUP(C563,tblProducts[product_id],tblProducts[category],"Missing")</f>
        <v>Analytics</v>
      </c>
      <c r="Q563" t="str">
        <f>_xlfn.XLOOKUP(D563,tblSalesReps[rep_id],tblSalesReps[rep_name],"Missing")</f>
        <v>Sales Rep 06</v>
      </c>
      <c r="R563" t="str">
        <f>_xlfn.XLOOKUP(D563,tblSalesReps[rep_id],tblSalesReps[region],"Missing")</f>
        <v>North</v>
      </c>
    </row>
    <row r="564" spans="1:18">
      <c r="A564" t="s">
        <v>946</v>
      </c>
      <c r="B564" t="s">
        <v>257</v>
      </c>
      <c r="C564" t="s">
        <v>39</v>
      </c>
      <c r="D564" t="s">
        <v>91</v>
      </c>
      <c r="E564" s="1">
        <v>45929</v>
      </c>
      <c r="F564" s="1">
        <v>46013</v>
      </c>
      <c r="G564" s="1">
        <v>46013</v>
      </c>
      <c r="H564" t="s">
        <v>28</v>
      </c>
      <c r="I564">
        <v>1</v>
      </c>
      <c r="J564">
        <v>5</v>
      </c>
      <c r="K564">
        <v>171000</v>
      </c>
      <c r="L564">
        <v>100</v>
      </c>
      <c r="M564" t="s">
        <v>29</v>
      </c>
      <c r="N564" t="str">
        <f>_xlfn.XLOOKUP(B564,tblCustomers[customer_id],tblCustomers[region],"Missing")</f>
        <v>South</v>
      </c>
      <c r="O564" t="str">
        <f>_xlfn.XLOOKUP(C564,tblProducts[product_id],tblProducts[product_name],"Missing")</f>
        <v>Support Desk</v>
      </c>
      <c r="P564" t="str">
        <f>_xlfn.XLOOKUP(C564,tblProducts[product_id],tblProducts[category],"Missing")</f>
        <v>Service</v>
      </c>
      <c r="Q564" t="str">
        <f>_xlfn.XLOOKUP(D564,tblSalesReps[rep_id],tblSalesReps[rep_name],"Missing")</f>
        <v>Sales Rep 03</v>
      </c>
      <c r="R564" t="str">
        <f>_xlfn.XLOOKUP(D564,tblSalesReps[rep_id],tblSalesReps[region],"Missing")</f>
        <v>South</v>
      </c>
    </row>
    <row r="565" spans="1:18">
      <c r="A565" t="s">
        <v>947</v>
      </c>
      <c r="B565" t="s">
        <v>948</v>
      </c>
      <c r="C565" t="s">
        <v>21</v>
      </c>
      <c r="D565" t="s">
        <v>78</v>
      </c>
      <c r="E565" s="1">
        <v>45670</v>
      </c>
      <c r="F565" s="1">
        <v>45736</v>
      </c>
      <c r="G565" s="1"/>
      <c r="H565" t="s">
        <v>43</v>
      </c>
      <c r="I565">
        <v>1</v>
      </c>
      <c r="J565">
        <v>15</v>
      </c>
      <c r="K565">
        <v>204000</v>
      </c>
      <c r="L565">
        <v>40</v>
      </c>
      <c r="M565" t="s">
        <v>29</v>
      </c>
      <c r="N565" t="str">
        <f>_xlfn.XLOOKUP(B565,tblCustomers[customer_id],tblCustomers[region],"Missing")</f>
        <v>West</v>
      </c>
      <c r="O565" t="str">
        <f>_xlfn.XLOOKUP(C565,tblProducts[product_id],tblProducts[product_name],"Missing")</f>
        <v>Workflow Automate</v>
      </c>
      <c r="P565" t="str">
        <f>_xlfn.XLOOKUP(C565,tblProducts[product_id],tblProducts[category],"Missing")</f>
        <v>Automation</v>
      </c>
      <c r="Q565" t="str">
        <f>_xlfn.XLOOKUP(D565,tblSalesReps[rep_id],tblSalesReps[rep_name],"Missing")</f>
        <v>Sales Rep 12</v>
      </c>
      <c r="R565" t="str">
        <f>_xlfn.XLOOKUP(D565,tblSalesReps[rep_id],tblSalesReps[region],"Missing")</f>
        <v>West</v>
      </c>
    </row>
    <row r="566" spans="1:18">
      <c r="A566" t="s">
        <v>949</v>
      </c>
      <c r="B566" t="s">
        <v>426</v>
      </c>
      <c r="C566" t="s">
        <v>39</v>
      </c>
      <c r="D566" t="s">
        <v>91</v>
      </c>
      <c r="E566" s="1">
        <v>45826</v>
      </c>
      <c r="F566" s="1">
        <v>45880</v>
      </c>
      <c r="G566" s="1">
        <v>45880</v>
      </c>
      <c r="H566" t="s">
        <v>28</v>
      </c>
      <c r="I566">
        <v>1</v>
      </c>
      <c r="J566">
        <v>20</v>
      </c>
      <c r="K566">
        <v>144000</v>
      </c>
      <c r="L566">
        <v>100</v>
      </c>
      <c r="M566" t="s">
        <v>29</v>
      </c>
      <c r="N566" t="str">
        <f>_xlfn.XLOOKUP(B566,tblCustomers[customer_id],tblCustomers[region],"Missing")</f>
        <v>South</v>
      </c>
      <c r="O566" t="str">
        <f>_xlfn.XLOOKUP(C566,tblProducts[product_id],tblProducts[product_name],"Missing")</f>
        <v>Support Desk</v>
      </c>
      <c r="P566" t="str">
        <f>_xlfn.XLOOKUP(C566,tblProducts[product_id],tblProducts[category],"Missing")</f>
        <v>Service</v>
      </c>
      <c r="Q566" t="str">
        <f>_xlfn.XLOOKUP(D566,tblSalesReps[rep_id],tblSalesReps[rep_name],"Missing")</f>
        <v>Sales Rep 03</v>
      </c>
      <c r="R566" t="str">
        <f>_xlfn.XLOOKUP(D566,tblSalesReps[rep_id],tblSalesReps[region],"Missing")</f>
        <v>South</v>
      </c>
    </row>
    <row r="567" spans="1:18">
      <c r="A567" t="s">
        <v>950</v>
      </c>
      <c r="B567" t="s">
        <v>666</v>
      </c>
      <c r="C567" t="s">
        <v>62</v>
      </c>
      <c r="D567" t="s">
        <v>32</v>
      </c>
      <c r="E567" s="1">
        <v>45969</v>
      </c>
      <c r="F567" s="1">
        <v>46038</v>
      </c>
      <c r="G567" s="1"/>
      <c r="H567" t="s">
        <v>43</v>
      </c>
      <c r="I567">
        <v>1</v>
      </c>
      <c r="J567">
        <v>15</v>
      </c>
      <c r="K567">
        <v>102000</v>
      </c>
      <c r="L567">
        <v>20</v>
      </c>
      <c r="M567" t="s">
        <v>29</v>
      </c>
      <c r="N567" t="str">
        <f>_xlfn.XLOOKUP(B567,tblCustomers[customer_id],tblCustomers[region],"Missing")</f>
        <v>South</v>
      </c>
      <c r="O567" t="str">
        <f>_xlfn.XLOOKUP(C567,tblProducts[product_id],tblProducts[product_name],"Missing")</f>
        <v>CRM Essentials</v>
      </c>
      <c r="P567" t="str">
        <f>_xlfn.XLOOKUP(C567,tblProducts[product_id],tblProducts[category],"Missing")</f>
        <v>CRM</v>
      </c>
      <c r="Q567" t="str">
        <f>_xlfn.XLOOKUP(D567,tblSalesReps[rep_id],tblSalesReps[rep_name],"Missing")</f>
        <v>Sales Rep 04</v>
      </c>
      <c r="R567" t="str">
        <f>_xlfn.XLOOKUP(D567,tblSalesReps[rep_id],tblSalesReps[region],"Missing")</f>
        <v>South</v>
      </c>
    </row>
    <row r="568" spans="1:18">
      <c r="A568" t="s">
        <v>951</v>
      </c>
      <c r="B568" t="s">
        <v>952</v>
      </c>
      <c r="C568" t="s">
        <v>15</v>
      </c>
      <c r="D568" t="s">
        <v>126</v>
      </c>
      <c r="E568" s="1">
        <v>45700</v>
      </c>
      <c r="F568" s="1">
        <v>45722</v>
      </c>
      <c r="G568" s="1">
        <v>45722</v>
      </c>
      <c r="H568" t="s">
        <v>17</v>
      </c>
      <c r="I568">
        <v>1</v>
      </c>
      <c r="J568">
        <v>15</v>
      </c>
      <c r="K568">
        <v>357000</v>
      </c>
      <c r="L568">
        <v>0</v>
      </c>
      <c r="M568" t="s">
        <v>18</v>
      </c>
      <c r="N568" t="str">
        <f>_xlfn.XLOOKUP(B568,tblCustomers[customer_id],tblCustomers[region],"Missing")</f>
        <v>South</v>
      </c>
      <c r="O568" t="str">
        <f>_xlfn.XLOOKUP(C568,tblProducts[product_id],tblProducts[product_name],"Missing")</f>
        <v>CRM Enterprise</v>
      </c>
      <c r="P568" t="str">
        <f>_xlfn.XLOOKUP(C568,tblProducts[product_id],tblProducts[category],"Missing")</f>
        <v>CRM</v>
      </c>
      <c r="Q568" t="str">
        <f>_xlfn.XLOOKUP(D568,tblSalesReps[rep_id],tblSalesReps[rep_name],"Missing")</f>
        <v>Sales Rep 02</v>
      </c>
      <c r="R568" t="str">
        <f>_xlfn.XLOOKUP(D568,tblSalesReps[rep_id],tblSalesReps[region],"Missing")</f>
        <v>South</v>
      </c>
    </row>
    <row r="569" spans="1:18">
      <c r="A569" t="s">
        <v>953</v>
      </c>
      <c r="B569" t="s">
        <v>954</v>
      </c>
      <c r="C569" t="s">
        <v>21</v>
      </c>
      <c r="D569" t="s">
        <v>91</v>
      </c>
      <c r="E569" s="1">
        <v>46021</v>
      </c>
      <c r="F569" s="1">
        <v>46103</v>
      </c>
      <c r="G569" s="1"/>
      <c r="H569" t="s">
        <v>43</v>
      </c>
      <c r="I569">
        <v>1</v>
      </c>
      <c r="J569">
        <v>20</v>
      </c>
      <c r="K569">
        <v>192000</v>
      </c>
      <c r="L569">
        <v>20</v>
      </c>
      <c r="M569" t="s">
        <v>29</v>
      </c>
      <c r="N569" t="str">
        <f>_xlfn.XLOOKUP(B569,tblCustomers[customer_id],tblCustomers[region],"Missing")</f>
        <v>South</v>
      </c>
      <c r="O569" t="str">
        <f>_xlfn.XLOOKUP(C569,tblProducts[product_id],tblProducts[product_name],"Missing")</f>
        <v>Workflow Automate</v>
      </c>
      <c r="P569" t="str">
        <f>_xlfn.XLOOKUP(C569,tblProducts[product_id],tblProducts[category],"Missing")</f>
        <v>Automation</v>
      </c>
      <c r="Q569" t="str">
        <f>_xlfn.XLOOKUP(D569,tblSalesReps[rep_id],tblSalesReps[rep_name],"Missing")</f>
        <v>Sales Rep 03</v>
      </c>
      <c r="R569" t="str">
        <f>_xlfn.XLOOKUP(D569,tblSalesReps[rep_id],tblSalesReps[region],"Missing")</f>
        <v>South</v>
      </c>
    </row>
    <row r="570" spans="1:18">
      <c r="A570" t="s">
        <v>955</v>
      </c>
      <c r="B570" t="s">
        <v>225</v>
      </c>
      <c r="C570" t="s">
        <v>26</v>
      </c>
      <c r="D570" t="s">
        <v>46</v>
      </c>
      <c r="E570" s="1">
        <v>45817</v>
      </c>
      <c r="F570" s="1">
        <v>45868</v>
      </c>
      <c r="G570" s="1">
        <v>45868</v>
      </c>
      <c r="H570" t="s">
        <v>28</v>
      </c>
      <c r="I570">
        <v>1</v>
      </c>
      <c r="J570">
        <v>10</v>
      </c>
      <c r="K570">
        <v>324000</v>
      </c>
      <c r="L570">
        <v>100</v>
      </c>
      <c r="M570" t="s">
        <v>29</v>
      </c>
      <c r="N570" t="str">
        <f>_xlfn.XLOOKUP(B570,tblCustomers[customer_id],tblCustomers[region],"Missing")</f>
        <v>South</v>
      </c>
      <c r="O570" t="str">
        <f>_xlfn.XLOOKUP(C570,tblProducts[product_id],tblProducts[product_name],"Missing")</f>
        <v>Security Suite</v>
      </c>
      <c r="P570" t="str">
        <f>_xlfn.XLOOKUP(C570,tblProducts[product_id],tblProducts[category],"Missing")</f>
        <v>Security</v>
      </c>
      <c r="Q570" t="str">
        <f>_xlfn.XLOOKUP(D570,tblSalesReps[rep_id],tblSalesReps[rep_name],"Missing")</f>
        <v>Sales Rep 01</v>
      </c>
      <c r="R570" t="str">
        <f>_xlfn.XLOOKUP(D570,tblSalesReps[rep_id],tblSalesReps[region],"Missing")</f>
        <v>South</v>
      </c>
    </row>
    <row r="571" spans="1:18">
      <c r="A571" t="s">
        <v>956</v>
      </c>
      <c r="B571" t="s">
        <v>223</v>
      </c>
      <c r="C571" t="s">
        <v>62</v>
      </c>
      <c r="D571" t="s">
        <v>126</v>
      </c>
      <c r="E571" s="1">
        <v>45820</v>
      </c>
      <c r="F571" s="1">
        <v>45829</v>
      </c>
      <c r="G571" s="1">
        <v>45829</v>
      </c>
      <c r="H571" t="s">
        <v>17</v>
      </c>
      <c r="I571">
        <v>1</v>
      </c>
      <c r="J571">
        <v>0</v>
      </c>
      <c r="K571">
        <v>120000</v>
      </c>
      <c r="L571">
        <v>0</v>
      </c>
      <c r="M571" t="s">
        <v>18</v>
      </c>
      <c r="N571" t="str">
        <f>_xlfn.XLOOKUP(B571,tblCustomers[customer_id],tblCustomers[region],"Missing")</f>
        <v>South</v>
      </c>
      <c r="O571" t="str">
        <f>_xlfn.XLOOKUP(C571,tblProducts[product_id],tblProducts[product_name],"Missing")</f>
        <v>CRM Essentials</v>
      </c>
      <c r="P571" t="str">
        <f>_xlfn.XLOOKUP(C571,tblProducts[product_id],tblProducts[category],"Missing")</f>
        <v>CRM</v>
      </c>
      <c r="Q571" t="str">
        <f>_xlfn.XLOOKUP(D571,tblSalesReps[rep_id],tblSalesReps[rep_name],"Missing")</f>
        <v>Sales Rep 02</v>
      </c>
      <c r="R571" t="str">
        <f>_xlfn.XLOOKUP(D571,tblSalesReps[rep_id],tblSalesReps[region],"Missing")</f>
        <v>South</v>
      </c>
    </row>
    <row r="572" spans="1:18">
      <c r="A572" t="s">
        <v>957</v>
      </c>
      <c r="B572" t="s">
        <v>179</v>
      </c>
      <c r="C572" t="s">
        <v>15</v>
      </c>
      <c r="D572" t="s">
        <v>168</v>
      </c>
      <c r="E572" s="1">
        <v>45797</v>
      </c>
      <c r="F572" s="1">
        <v>45826</v>
      </c>
      <c r="G572" s="1"/>
      <c r="H572" t="s">
        <v>43</v>
      </c>
      <c r="I572">
        <v>1</v>
      </c>
      <c r="J572">
        <v>10</v>
      </c>
      <c r="K572">
        <v>378000</v>
      </c>
      <c r="L572">
        <v>80</v>
      </c>
      <c r="M572" t="s">
        <v>29</v>
      </c>
      <c r="N572" t="str">
        <f>_xlfn.XLOOKUP(B572,tblCustomers[customer_id],tblCustomers[region],"Missing")</f>
        <v>East</v>
      </c>
      <c r="O572" t="str">
        <f>_xlfn.XLOOKUP(C572,tblProducts[product_id],tblProducts[product_name],"Missing")</f>
        <v>CRM Enterprise</v>
      </c>
      <c r="P572" t="str">
        <f>_xlfn.XLOOKUP(C572,tblProducts[product_id],tblProducts[category],"Missing")</f>
        <v>CRM</v>
      </c>
      <c r="Q572" t="str">
        <f>_xlfn.XLOOKUP(D572,tblSalesReps[rep_id],tblSalesReps[rep_name],"Missing")</f>
        <v>Sales Rep 17</v>
      </c>
      <c r="R572" t="str">
        <f>_xlfn.XLOOKUP(D572,tblSalesReps[rep_id],tblSalesReps[region],"Missing")</f>
        <v>East</v>
      </c>
    </row>
    <row r="573" spans="1:18">
      <c r="A573" t="s">
        <v>958</v>
      </c>
      <c r="B573" t="s">
        <v>959</v>
      </c>
      <c r="C573" t="s">
        <v>39</v>
      </c>
      <c r="D573" t="s">
        <v>22</v>
      </c>
      <c r="E573" s="1">
        <v>45737</v>
      </c>
      <c r="F573" s="1">
        <v>45770</v>
      </c>
      <c r="G573" s="1">
        <v>45770</v>
      </c>
      <c r="H573" t="s">
        <v>17</v>
      </c>
      <c r="I573">
        <v>2</v>
      </c>
      <c r="J573">
        <v>10</v>
      </c>
      <c r="K573">
        <v>324000</v>
      </c>
      <c r="L573">
        <v>0</v>
      </c>
      <c r="M573" t="s">
        <v>47</v>
      </c>
      <c r="N573" t="str">
        <f>_xlfn.XLOOKUP(B573,tblCustomers[customer_id],tblCustomers[region],"Missing")</f>
        <v>West</v>
      </c>
      <c r="O573" t="str">
        <f>_xlfn.XLOOKUP(C573,tblProducts[product_id],tblProducts[product_name],"Missing")</f>
        <v>Support Desk</v>
      </c>
      <c r="P573" t="str">
        <f>_xlfn.XLOOKUP(C573,tblProducts[product_id],tblProducts[category],"Missing")</f>
        <v>Service</v>
      </c>
      <c r="Q573" t="str">
        <f>_xlfn.XLOOKUP(D573,tblSalesReps[rep_id],tblSalesReps[rep_name],"Missing")</f>
        <v>Sales Rep 14</v>
      </c>
      <c r="R573" t="str">
        <f>_xlfn.XLOOKUP(D573,tblSalesReps[rep_id],tblSalesReps[region],"Missing")</f>
        <v>West</v>
      </c>
    </row>
    <row r="574" spans="1:18">
      <c r="A574" t="s">
        <v>960</v>
      </c>
      <c r="B574" t="s">
        <v>961</v>
      </c>
      <c r="C574" t="s">
        <v>62</v>
      </c>
      <c r="D574" t="s">
        <v>50</v>
      </c>
      <c r="E574" s="1">
        <v>45995</v>
      </c>
      <c r="F574" s="1">
        <v>46062</v>
      </c>
      <c r="G574" s="1"/>
      <c r="H574" t="s">
        <v>43</v>
      </c>
      <c r="I574">
        <v>1</v>
      </c>
      <c r="J574">
        <v>15</v>
      </c>
      <c r="K574">
        <v>102000</v>
      </c>
      <c r="L574">
        <v>60</v>
      </c>
      <c r="M574" t="s">
        <v>29</v>
      </c>
      <c r="N574" t="str">
        <f>_xlfn.XLOOKUP(B574,tblCustomers[customer_id],tblCustomers[region],"Missing")</f>
        <v>West</v>
      </c>
      <c r="O574" t="str">
        <f>_xlfn.XLOOKUP(C574,tblProducts[product_id],tblProducts[product_name],"Missing")</f>
        <v>CRM Essentials</v>
      </c>
      <c r="P574" t="str">
        <f>_xlfn.XLOOKUP(C574,tblProducts[product_id],tblProducts[category],"Missing")</f>
        <v>CRM</v>
      </c>
      <c r="Q574" t="str">
        <f>_xlfn.XLOOKUP(D574,tblSalesReps[rep_id],tblSalesReps[rep_name],"Missing")</f>
        <v>Sales Rep 15</v>
      </c>
      <c r="R574" t="str">
        <f>_xlfn.XLOOKUP(D574,tblSalesReps[rep_id],tblSalesReps[region],"Missing")</f>
        <v>West</v>
      </c>
    </row>
    <row r="575" spans="1:18">
      <c r="A575" t="s">
        <v>962</v>
      </c>
      <c r="B575" t="s">
        <v>876</v>
      </c>
      <c r="C575" t="s">
        <v>81</v>
      </c>
      <c r="D575" t="s">
        <v>152</v>
      </c>
      <c r="E575" s="1">
        <v>45830</v>
      </c>
      <c r="F575" s="1">
        <v>45849</v>
      </c>
      <c r="G575" s="1">
        <v>45849</v>
      </c>
      <c r="H575" t="s">
        <v>17</v>
      </c>
      <c r="I575">
        <v>1</v>
      </c>
      <c r="J575">
        <v>10</v>
      </c>
      <c r="K575">
        <v>270000</v>
      </c>
      <c r="L575">
        <v>0</v>
      </c>
      <c r="M575" t="s">
        <v>47</v>
      </c>
      <c r="N575" t="str">
        <f>_xlfn.XLOOKUP(B575,tblCustomers[customer_id],tblCustomers[region],"Missing")</f>
        <v>East</v>
      </c>
      <c r="O575" t="str">
        <f>_xlfn.XLOOKUP(C575,tblProducts[product_id],tblProducts[product_name],"Missing")</f>
        <v>Analytics Cloud</v>
      </c>
      <c r="P575" t="str">
        <f>_xlfn.XLOOKUP(C575,tblProducts[product_id],tblProducts[category],"Missing")</f>
        <v>Analytics</v>
      </c>
      <c r="Q575" t="str">
        <f>_xlfn.XLOOKUP(D575,tblSalesReps[rep_id],tblSalesReps[rep_name],"Missing")</f>
        <v>Sales Rep 18</v>
      </c>
      <c r="R575" t="str">
        <f>_xlfn.XLOOKUP(D575,tblSalesReps[rep_id],tblSalesReps[region],"Missing")</f>
        <v>East</v>
      </c>
    </row>
    <row r="576" spans="1:18">
      <c r="A576" t="s">
        <v>963</v>
      </c>
      <c r="B576" t="s">
        <v>964</v>
      </c>
      <c r="C576" t="s">
        <v>39</v>
      </c>
      <c r="D576" t="s">
        <v>16</v>
      </c>
      <c r="E576" s="1">
        <v>45905</v>
      </c>
      <c r="F576" s="1">
        <v>45950</v>
      </c>
      <c r="G576" s="1">
        <v>45950</v>
      </c>
      <c r="H576" t="s">
        <v>17</v>
      </c>
      <c r="I576">
        <v>1</v>
      </c>
      <c r="J576">
        <v>5</v>
      </c>
      <c r="K576">
        <v>171000</v>
      </c>
      <c r="L576">
        <v>0</v>
      </c>
      <c r="M576" t="s">
        <v>82</v>
      </c>
      <c r="N576" t="str">
        <f>_xlfn.XLOOKUP(B576,tblCustomers[customer_id],tblCustomers[region],"Missing")</f>
        <v>North</v>
      </c>
      <c r="O576" t="str">
        <f>_xlfn.XLOOKUP(C576,tblProducts[product_id],tblProducts[product_name],"Missing")</f>
        <v>Support Desk</v>
      </c>
      <c r="P576" t="str">
        <f>_xlfn.XLOOKUP(C576,tblProducts[product_id],tblProducts[category],"Missing")</f>
        <v>Service</v>
      </c>
      <c r="Q576" t="str">
        <f>_xlfn.XLOOKUP(D576,tblSalesReps[rep_id],tblSalesReps[rep_name],"Missing")</f>
        <v>Sales Rep 08</v>
      </c>
      <c r="R576" t="str">
        <f>_xlfn.XLOOKUP(D576,tblSalesReps[rep_id],tblSalesReps[region],"Missing")</f>
        <v>North</v>
      </c>
    </row>
    <row r="577" spans="1:18">
      <c r="A577" t="s">
        <v>965</v>
      </c>
      <c r="B577" t="s">
        <v>966</v>
      </c>
      <c r="C577" t="s">
        <v>21</v>
      </c>
      <c r="D577" t="s">
        <v>46</v>
      </c>
      <c r="E577" s="1">
        <v>45704</v>
      </c>
      <c r="F577" s="1">
        <v>45729</v>
      </c>
      <c r="G577" s="1">
        <v>45729</v>
      </c>
      <c r="H577" t="s">
        <v>28</v>
      </c>
      <c r="I577">
        <v>1</v>
      </c>
      <c r="J577">
        <v>15</v>
      </c>
      <c r="K577">
        <v>204000</v>
      </c>
      <c r="L577">
        <v>100</v>
      </c>
      <c r="M577" t="s">
        <v>29</v>
      </c>
      <c r="N577" t="str">
        <f>_xlfn.XLOOKUP(B577,tblCustomers[customer_id],tblCustomers[region],"Missing")</f>
        <v>South</v>
      </c>
      <c r="O577" t="str">
        <f>_xlfn.XLOOKUP(C577,tblProducts[product_id],tblProducts[product_name],"Missing")</f>
        <v>Workflow Automate</v>
      </c>
      <c r="P577" t="str">
        <f>_xlfn.XLOOKUP(C577,tblProducts[product_id],tblProducts[category],"Missing")</f>
        <v>Automation</v>
      </c>
      <c r="Q577" t="str">
        <f>_xlfn.XLOOKUP(D577,tblSalesReps[rep_id],tblSalesReps[rep_name],"Missing")</f>
        <v>Sales Rep 01</v>
      </c>
      <c r="R577" t="str">
        <f>_xlfn.XLOOKUP(D577,tblSalesReps[rep_id],tblSalesReps[region],"Missing")</f>
        <v>South</v>
      </c>
    </row>
    <row r="578" spans="1:18">
      <c r="A578" t="s">
        <v>967</v>
      </c>
      <c r="B578" t="s">
        <v>753</v>
      </c>
      <c r="C578" t="s">
        <v>15</v>
      </c>
      <c r="D578" t="s">
        <v>75</v>
      </c>
      <c r="E578" s="1">
        <v>45881</v>
      </c>
      <c r="F578" s="1">
        <v>45919</v>
      </c>
      <c r="G578" s="1">
        <v>45919</v>
      </c>
      <c r="H578" t="s">
        <v>28</v>
      </c>
      <c r="I578">
        <v>1</v>
      </c>
      <c r="J578">
        <v>20</v>
      </c>
      <c r="K578">
        <v>336000</v>
      </c>
      <c r="L578">
        <v>100</v>
      </c>
      <c r="M578" t="s">
        <v>29</v>
      </c>
      <c r="N578" t="str">
        <f>_xlfn.XLOOKUP(B578,tblCustomers[customer_id],tblCustomers[region],"Missing")</f>
        <v>North</v>
      </c>
      <c r="O578" t="str">
        <f>_xlfn.XLOOKUP(C578,tblProducts[product_id],tblProducts[product_name],"Missing")</f>
        <v>CRM Enterprise</v>
      </c>
      <c r="P578" t="str">
        <f>_xlfn.XLOOKUP(C578,tblProducts[product_id],tblProducts[category],"Missing")</f>
        <v>CRM</v>
      </c>
      <c r="Q578" t="str">
        <f>_xlfn.XLOOKUP(D578,tblSalesReps[rep_id],tblSalesReps[rep_name],"Missing")</f>
        <v>Sales Rep 07</v>
      </c>
      <c r="R578" t="str">
        <f>_xlfn.XLOOKUP(D578,tblSalesReps[rep_id],tblSalesReps[region],"Missing")</f>
        <v>North</v>
      </c>
    </row>
    <row r="579" spans="1:18">
      <c r="A579" t="s">
        <v>968</v>
      </c>
      <c r="B579" t="s">
        <v>969</v>
      </c>
      <c r="C579" t="s">
        <v>81</v>
      </c>
      <c r="D579" t="s">
        <v>126</v>
      </c>
      <c r="E579" s="1">
        <v>45899</v>
      </c>
      <c r="F579" s="1">
        <v>45965</v>
      </c>
      <c r="G579" s="1">
        <v>45965</v>
      </c>
      <c r="H579" t="s">
        <v>17</v>
      </c>
      <c r="I579">
        <v>1</v>
      </c>
      <c r="J579">
        <v>0</v>
      </c>
      <c r="K579">
        <v>300000</v>
      </c>
      <c r="L579">
        <v>0</v>
      </c>
      <c r="M579" t="s">
        <v>47</v>
      </c>
      <c r="N579" t="str">
        <f>_xlfn.XLOOKUP(B579,tblCustomers[customer_id],tblCustomers[region],"Missing")</f>
        <v>South</v>
      </c>
      <c r="O579" t="str">
        <f>_xlfn.XLOOKUP(C579,tblProducts[product_id],tblProducts[product_name],"Missing")</f>
        <v>Analytics Cloud</v>
      </c>
      <c r="P579" t="str">
        <f>_xlfn.XLOOKUP(C579,tblProducts[product_id],tblProducts[category],"Missing")</f>
        <v>Analytics</v>
      </c>
      <c r="Q579" t="str">
        <f>_xlfn.XLOOKUP(D579,tblSalesReps[rep_id],tblSalesReps[rep_name],"Missing")</f>
        <v>Sales Rep 02</v>
      </c>
      <c r="R579" t="str">
        <f>_xlfn.XLOOKUP(D579,tblSalesReps[rep_id],tblSalesReps[region],"Missing")</f>
        <v>South</v>
      </c>
    </row>
    <row r="580" spans="1:18">
      <c r="A580" t="s">
        <v>970</v>
      </c>
      <c r="B580" t="s">
        <v>167</v>
      </c>
      <c r="C580" t="s">
        <v>39</v>
      </c>
      <c r="D580" t="s">
        <v>53</v>
      </c>
      <c r="E580" s="1">
        <v>45771</v>
      </c>
      <c r="F580" s="1">
        <v>45800</v>
      </c>
      <c r="G580" s="1"/>
      <c r="H580" t="s">
        <v>43</v>
      </c>
      <c r="I580">
        <v>1</v>
      </c>
      <c r="J580">
        <v>10</v>
      </c>
      <c r="K580">
        <v>162000</v>
      </c>
      <c r="L580">
        <v>60</v>
      </c>
      <c r="M580" t="s">
        <v>29</v>
      </c>
      <c r="N580" t="str">
        <f>_xlfn.XLOOKUP(B580,tblCustomers[customer_id],tblCustomers[region],"Missing")</f>
        <v>East</v>
      </c>
      <c r="O580" t="str">
        <f>_xlfn.XLOOKUP(C580,tblProducts[product_id],tblProducts[product_name],"Missing")</f>
        <v>Support Desk</v>
      </c>
      <c r="P580" t="str">
        <f>_xlfn.XLOOKUP(C580,tblProducts[product_id],tblProducts[category],"Missing")</f>
        <v>Service</v>
      </c>
      <c r="Q580" t="str">
        <f>_xlfn.XLOOKUP(D580,tblSalesReps[rep_id],tblSalesReps[rep_name],"Missing")</f>
        <v>Sales Rep 16</v>
      </c>
      <c r="R580" t="str">
        <f>_xlfn.XLOOKUP(D580,tblSalesReps[rep_id],tblSalesReps[region],"Missing")</f>
        <v>East</v>
      </c>
    </row>
    <row r="581" spans="1:18">
      <c r="A581" t="s">
        <v>971</v>
      </c>
      <c r="B581" t="s">
        <v>443</v>
      </c>
      <c r="C581" t="s">
        <v>21</v>
      </c>
      <c r="D581" t="s">
        <v>22</v>
      </c>
      <c r="E581" s="1">
        <v>45705</v>
      </c>
      <c r="F581" s="1">
        <v>45735</v>
      </c>
      <c r="G581" s="1">
        <v>45735</v>
      </c>
      <c r="H581" t="s">
        <v>28</v>
      </c>
      <c r="I581">
        <v>2</v>
      </c>
      <c r="J581">
        <v>5</v>
      </c>
      <c r="K581">
        <v>456000</v>
      </c>
      <c r="L581">
        <v>100</v>
      </c>
      <c r="M581" t="s">
        <v>29</v>
      </c>
      <c r="N581" t="str">
        <f>_xlfn.XLOOKUP(B581,tblCustomers[customer_id],tblCustomers[region],"Missing")</f>
        <v>West</v>
      </c>
      <c r="O581" t="str">
        <f>_xlfn.XLOOKUP(C581,tblProducts[product_id],tblProducts[product_name],"Missing")</f>
        <v>Workflow Automate</v>
      </c>
      <c r="P581" t="str">
        <f>_xlfn.XLOOKUP(C581,tblProducts[product_id],tblProducts[category],"Missing")</f>
        <v>Automation</v>
      </c>
      <c r="Q581" t="str">
        <f>_xlfn.XLOOKUP(D581,tblSalesReps[rep_id],tblSalesReps[rep_name],"Missing")</f>
        <v>Sales Rep 14</v>
      </c>
      <c r="R581" t="str">
        <f>_xlfn.XLOOKUP(D581,tblSalesReps[rep_id],tblSalesReps[region],"Missing")</f>
        <v>West</v>
      </c>
    </row>
    <row r="582" spans="1:18">
      <c r="A582" t="s">
        <v>972</v>
      </c>
      <c r="B582" t="s">
        <v>973</v>
      </c>
      <c r="C582" t="s">
        <v>62</v>
      </c>
      <c r="D582" t="s">
        <v>152</v>
      </c>
      <c r="E582" s="1">
        <v>46009</v>
      </c>
      <c r="F582" s="1">
        <v>46067</v>
      </c>
      <c r="G582" s="1"/>
      <c r="H582" t="s">
        <v>43</v>
      </c>
      <c r="I582">
        <v>1</v>
      </c>
      <c r="J582">
        <v>5</v>
      </c>
      <c r="K582">
        <v>114000</v>
      </c>
      <c r="L582">
        <v>60</v>
      </c>
      <c r="M582" t="s">
        <v>29</v>
      </c>
      <c r="N582" t="str">
        <f>_xlfn.XLOOKUP(B582,tblCustomers[customer_id],tblCustomers[region],"Missing")</f>
        <v>East</v>
      </c>
      <c r="O582" t="str">
        <f>_xlfn.XLOOKUP(C582,tblProducts[product_id],tblProducts[product_name],"Missing")</f>
        <v>CRM Essentials</v>
      </c>
      <c r="P582" t="str">
        <f>_xlfn.XLOOKUP(C582,tblProducts[product_id],tblProducts[category],"Missing")</f>
        <v>CRM</v>
      </c>
      <c r="Q582" t="str">
        <f>_xlfn.XLOOKUP(D582,tblSalesReps[rep_id],tblSalesReps[rep_name],"Missing")</f>
        <v>Sales Rep 18</v>
      </c>
      <c r="R582" t="str">
        <f>_xlfn.XLOOKUP(D582,tblSalesReps[rep_id],tblSalesReps[region],"Missing")</f>
        <v>East</v>
      </c>
    </row>
    <row r="583" spans="1:18">
      <c r="A583" t="s">
        <v>974</v>
      </c>
      <c r="B583" t="s">
        <v>42</v>
      </c>
      <c r="C583" t="s">
        <v>62</v>
      </c>
      <c r="D583" t="s">
        <v>16</v>
      </c>
      <c r="E583" s="1">
        <v>45875</v>
      </c>
      <c r="F583" s="1">
        <v>45896</v>
      </c>
      <c r="G583" s="1">
        <v>45896</v>
      </c>
      <c r="H583" t="s">
        <v>28</v>
      </c>
      <c r="I583">
        <v>3</v>
      </c>
      <c r="J583">
        <v>15</v>
      </c>
      <c r="K583">
        <v>306000</v>
      </c>
      <c r="L583">
        <v>100</v>
      </c>
      <c r="M583" t="s">
        <v>29</v>
      </c>
      <c r="N583" t="str">
        <f>_xlfn.XLOOKUP(B583,tblCustomers[customer_id],tblCustomers[region],"Missing")</f>
        <v>North</v>
      </c>
      <c r="O583" t="str">
        <f>_xlfn.XLOOKUP(C583,tblProducts[product_id],tblProducts[product_name],"Missing")</f>
        <v>CRM Essentials</v>
      </c>
      <c r="P583" t="str">
        <f>_xlfn.XLOOKUP(C583,tblProducts[product_id],tblProducts[category],"Missing")</f>
        <v>CRM</v>
      </c>
      <c r="Q583" t="str">
        <f>_xlfn.XLOOKUP(D583,tblSalesReps[rep_id],tblSalesReps[rep_name],"Missing")</f>
        <v>Sales Rep 08</v>
      </c>
      <c r="R583" t="str">
        <f>_xlfn.XLOOKUP(D583,tblSalesReps[rep_id],tblSalesReps[region],"Missing")</f>
        <v>North</v>
      </c>
    </row>
    <row r="584" spans="1:18">
      <c r="A584" t="s">
        <v>975</v>
      </c>
      <c r="B584" t="s">
        <v>644</v>
      </c>
      <c r="C584" t="s">
        <v>39</v>
      </c>
      <c r="D584" t="s">
        <v>50</v>
      </c>
      <c r="E584" s="1">
        <v>45890</v>
      </c>
      <c r="F584" s="1">
        <v>45956</v>
      </c>
      <c r="G584" s="1">
        <v>45956</v>
      </c>
      <c r="H584" t="s">
        <v>17</v>
      </c>
      <c r="I584">
        <v>1</v>
      </c>
      <c r="J584">
        <v>0</v>
      </c>
      <c r="K584">
        <v>180000</v>
      </c>
      <c r="L584">
        <v>0</v>
      </c>
      <c r="M584" t="s">
        <v>82</v>
      </c>
      <c r="N584" t="str">
        <f>_xlfn.XLOOKUP(B584,tblCustomers[customer_id],tblCustomers[region],"Missing")</f>
        <v>West</v>
      </c>
      <c r="O584" t="str">
        <f>_xlfn.XLOOKUP(C584,tblProducts[product_id],tblProducts[product_name],"Missing")</f>
        <v>Support Desk</v>
      </c>
      <c r="P584" t="str">
        <f>_xlfn.XLOOKUP(C584,tblProducts[product_id],tblProducts[category],"Missing")</f>
        <v>Service</v>
      </c>
      <c r="Q584" t="str">
        <f>_xlfn.XLOOKUP(D584,tblSalesReps[rep_id],tblSalesReps[rep_name],"Missing")</f>
        <v>Sales Rep 15</v>
      </c>
      <c r="R584" t="str">
        <f>_xlfn.XLOOKUP(D584,tblSalesReps[rep_id],tblSalesReps[region],"Missing")</f>
        <v>West</v>
      </c>
    </row>
    <row r="585" spans="1:18">
      <c r="A585" t="s">
        <v>976</v>
      </c>
      <c r="B585" t="s">
        <v>761</v>
      </c>
      <c r="C585" t="s">
        <v>21</v>
      </c>
      <c r="D585" t="s">
        <v>91</v>
      </c>
      <c r="E585" s="1">
        <v>45983</v>
      </c>
      <c r="F585" s="1">
        <v>46004</v>
      </c>
      <c r="G585" s="1">
        <v>46004</v>
      </c>
      <c r="H585" t="s">
        <v>28</v>
      </c>
      <c r="I585">
        <v>1</v>
      </c>
      <c r="J585">
        <v>0</v>
      </c>
      <c r="K585">
        <v>240000</v>
      </c>
      <c r="L585">
        <v>100</v>
      </c>
      <c r="M585" t="s">
        <v>29</v>
      </c>
      <c r="N585" t="str">
        <f>_xlfn.XLOOKUP(B585,tblCustomers[customer_id],tblCustomers[region],"Missing")</f>
        <v>South</v>
      </c>
      <c r="O585" t="str">
        <f>_xlfn.XLOOKUP(C585,tblProducts[product_id],tblProducts[product_name],"Missing")</f>
        <v>Workflow Automate</v>
      </c>
      <c r="P585" t="str">
        <f>_xlfn.XLOOKUP(C585,tblProducts[product_id],tblProducts[category],"Missing")</f>
        <v>Automation</v>
      </c>
      <c r="Q585" t="str">
        <f>_xlfn.XLOOKUP(D585,tblSalesReps[rep_id],tblSalesReps[rep_name],"Missing")</f>
        <v>Sales Rep 03</v>
      </c>
      <c r="R585" t="str">
        <f>_xlfn.XLOOKUP(D585,tblSalesReps[rep_id],tblSalesReps[region],"Missing")</f>
        <v>South</v>
      </c>
    </row>
    <row r="586" spans="1:18">
      <c r="A586" t="s">
        <v>977</v>
      </c>
      <c r="B586" t="s">
        <v>587</v>
      </c>
      <c r="C586" t="s">
        <v>21</v>
      </c>
      <c r="D586" t="s">
        <v>91</v>
      </c>
      <c r="E586" s="1">
        <v>45892</v>
      </c>
      <c r="F586" s="1">
        <v>45930</v>
      </c>
      <c r="G586" s="1">
        <v>45930</v>
      </c>
      <c r="H586" t="s">
        <v>17</v>
      </c>
      <c r="I586">
        <v>3</v>
      </c>
      <c r="J586">
        <v>20</v>
      </c>
      <c r="K586">
        <v>576000</v>
      </c>
      <c r="L586">
        <v>0</v>
      </c>
      <c r="M586" t="s">
        <v>23</v>
      </c>
      <c r="N586" t="str">
        <f>_xlfn.XLOOKUP(B586,tblCustomers[customer_id],tblCustomers[region],"Missing")</f>
        <v>South</v>
      </c>
      <c r="O586" t="str">
        <f>_xlfn.XLOOKUP(C586,tblProducts[product_id],tblProducts[product_name],"Missing")</f>
        <v>Workflow Automate</v>
      </c>
      <c r="P586" t="str">
        <f>_xlfn.XLOOKUP(C586,tblProducts[product_id],tblProducts[category],"Missing")</f>
        <v>Automation</v>
      </c>
      <c r="Q586" t="str">
        <f>_xlfn.XLOOKUP(D586,tblSalesReps[rep_id],tblSalesReps[rep_name],"Missing")</f>
        <v>Sales Rep 03</v>
      </c>
      <c r="R586" t="str">
        <f>_xlfn.XLOOKUP(D586,tblSalesReps[rep_id],tblSalesReps[region],"Missing")</f>
        <v>South</v>
      </c>
    </row>
    <row r="587" spans="1:18">
      <c r="A587" t="s">
        <v>978</v>
      </c>
      <c r="B587" t="s">
        <v>348</v>
      </c>
      <c r="C587" t="s">
        <v>62</v>
      </c>
      <c r="D587" t="s">
        <v>59</v>
      </c>
      <c r="E587" s="1">
        <v>45920</v>
      </c>
      <c r="F587" s="1">
        <v>45937</v>
      </c>
      <c r="G587" s="1"/>
      <c r="H587" t="s">
        <v>43</v>
      </c>
      <c r="I587">
        <v>1</v>
      </c>
      <c r="J587">
        <v>10</v>
      </c>
      <c r="K587">
        <v>108000</v>
      </c>
      <c r="L587">
        <v>80</v>
      </c>
      <c r="M587" t="s">
        <v>29</v>
      </c>
      <c r="N587" t="str">
        <f>_xlfn.XLOOKUP(B587,tblCustomers[customer_id],tblCustomers[region],"Missing")</f>
        <v>East</v>
      </c>
      <c r="O587" t="str">
        <f>_xlfn.XLOOKUP(C587,tblProducts[product_id],tblProducts[product_name],"Missing")</f>
        <v>CRM Essentials</v>
      </c>
      <c r="P587" t="str">
        <f>_xlfn.XLOOKUP(C587,tblProducts[product_id],tblProducts[category],"Missing")</f>
        <v>CRM</v>
      </c>
      <c r="Q587" t="str">
        <f>_xlfn.XLOOKUP(D587,tblSalesReps[rep_id],tblSalesReps[rep_name],"Missing")</f>
        <v>Sales Rep 19</v>
      </c>
      <c r="R587" t="str">
        <f>_xlfn.XLOOKUP(D587,tblSalesReps[rep_id],tblSalesReps[region],"Missing")</f>
        <v>East</v>
      </c>
    </row>
    <row r="588" spans="1:18">
      <c r="A588" t="s">
        <v>979</v>
      </c>
      <c r="B588" t="s">
        <v>980</v>
      </c>
      <c r="C588" t="s">
        <v>62</v>
      </c>
      <c r="D588" t="s">
        <v>152</v>
      </c>
      <c r="E588" s="1">
        <v>45951</v>
      </c>
      <c r="F588" s="1">
        <v>46013</v>
      </c>
      <c r="G588" s="1">
        <v>46013</v>
      </c>
      <c r="H588" t="s">
        <v>17</v>
      </c>
      <c r="I588">
        <v>1</v>
      </c>
      <c r="J588">
        <v>5</v>
      </c>
      <c r="K588">
        <v>114000</v>
      </c>
      <c r="L588">
        <v>0</v>
      </c>
      <c r="M588" t="s">
        <v>33</v>
      </c>
      <c r="N588" t="str">
        <f>_xlfn.XLOOKUP(B588,tblCustomers[customer_id],tblCustomers[region],"Missing")</f>
        <v>East</v>
      </c>
      <c r="O588" t="str">
        <f>_xlfn.XLOOKUP(C588,tblProducts[product_id],tblProducts[product_name],"Missing")</f>
        <v>CRM Essentials</v>
      </c>
      <c r="P588" t="str">
        <f>_xlfn.XLOOKUP(C588,tblProducts[product_id],tblProducts[category],"Missing")</f>
        <v>CRM</v>
      </c>
      <c r="Q588" t="str">
        <f>_xlfn.XLOOKUP(D588,tblSalesReps[rep_id],tblSalesReps[rep_name],"Missing")</f>
        <v>Sales Rep 18</v>
      </c>
      <c r="R588" t="str">
        <f>_xlfn.XLOOKUP(D588,tblSalesReps[rep_id],tblSalesReps[region],"Missing")</f>
        <v>East</v>
      </c>
    </row>
    <row r="589" spans="1:18">
      <c r="A589" t="s">
        <v>981</v>
      </c>
      <c r="B589" t="s">
        <v>426</v>
      </c>
      <c r="C589" t="s">
        <v>81</v>
      </c>
      <c r="D589" t="s">
        <v>126</v>
      </c>
      <c r="E589" s="1">
        <v>45667</v>
      </c>
      <c r="F589" s="1">
        <v>45690</v>
      </c>
      <c r="G589" s="1"/>
      <c r="H589" t="s">
        <v>43</v>
      </c>
      <c r="I589">
        <v>1</v>
      </c>
      <c r="J589">
        <v>10</v>
      </c>
      <c r="K589">
        <v>270000</v>
      </c>
      <c r="L589">
        <v>80</v>
      </c>
      <c r="M589" t="s">
        <v>29</v>
      </c>
      <c r="N589" t="str">
        <f>_xlfn.XLOOKUP(B589,tblCustomers[customer_id],tblCustomers[region],"Missing")</f>
        <v>South</v>
      </c>
      <c r="O589" t="str">
        <f>_xlfn.XLOOKUP(C589,tblProducts[product_id],tblProducts[product_name],"Missing")</f>
        <v>Analytics Cloud</v>
      </c>
      <c r="P589" t="str">
        <f>_xlfn.XLOOKUP(C589,tblProducts[product_id],tblProducts[category],"Missing")</f>
        <v>Analytics</v>
      </c>
      <c r="Q589" t="str">
        <f>_xlfn.XLOOKUP(D589,tblSalesReps[rep_id],tblSalesReps[rep_name],"Missing")</f>
        <v>Sales Rep 02</v>
      </c>
      <c r="R589" t="str">
        <f>_xlfn.XLOOKUP(D589,tblSalesReps[rep_id],tblSalesReps[region],"Missing")</f>
        <v>South</v>
      </c>
    </row>
    <row r="590" spans="1:18">
      <c r="A590" t="s">
        <v>982</v>
      </c>
      <c r="B590" t="s">
        <v>983</v>
      </c>
      <c r="C590" t="s">
        <v>81</v>
      </c>
      <c r="D590" t="s">
        <v>63</v>
      </c>
      <c r="E590" s="1">
        <v>45826</v>
      </c>
      <c r="F590" s="1">
        <v>45893</v>
      </c>
      <c r="G590" s="1">
        <v>45893</v>
      </c>
      <c r="H590" t="s">
        <v>17</v>
      </c>
      <c r="I590">
        <v>3</v>
      </c>
      <c r="J590">
        <v>0</v>
      </c>
      <c r="K590">
        <v>900000</v>
      </c>
      <c r="L590">
        <v>0</v>
      </c>
      <c r="M590" t="s">
        <v>18</v>
      </c>
      <c r="N590" t="str">
        <f>_xlfn.XLOOKUP(B590,tblCustomers[customer_id],tblCustomers[region],"Missing")</f>
        <v>South</v>
      </c>
      <c r="O590" t="str">
        <f>_xlfn.XLOOKUP(C590,tblProducts[product_id],tblProducts[product_name],"Missing")</f>
        <v>Analytics Cloud</v>
      </c>
      <c r="P590" t="str">
        <f>_xlfn.XLOOKUP(C590,tblProducts[product_id],tblProducts[category],"Missing")</f>
        <v>Analytics</v>
      </c>
      <c r="Q590" t="str">
        <f>_xlfn.XLOOKUP(D590,tblSalesReps[rep_id],tblSalesReps[rep_name],"Missing")</f>
        <v>Sales Rep 05</v>
      </c>
      <c r="R590" t="str">
        <f>_xlfn.XLOOKUP(D590,tblSalesReps[rep_id],tblSalesReps[region],"Missing")</f>
        <v>South</v>
      </c>
    </row>
    <row r="591" spans="1:18">
      <c r="A591" t="s">
        <v>984</v>
      </c>
      <c r="B591" t="s">
        <v>398</v>
      </c>
      <c r="C591" t="s">
        <v>39</v>
      </c>
      <c r="D591" t="s">
        <v>70</v>
      </c>
      <c r="E591" s="1">
        <v>45981</v>
      </c>
      <c r="F591" s="1">
        <v>46032</v>
      </c>
      <c r="G591" s="1"/>
      <c r="H591" t="s">
        <v>43</v>
      </c>
      <c r="I591">
        <v>1</v>
      </c>
      <c r="J591">
        <v>5</v>
      </c>
      <c r="K591">
        <v>171000</v>
      </c>
      <c r="L591">
        <v>60</v>
      </c>
      <c r="M591" t="s">
        <v>29</v>
      </c>
      <c r="N591" t="str">
        <f>_xlfn.XLOOKUP(B591,tblCustomers[customer_id],tblCustomers[region],"Missing")</f>
        <v>West</v>
      </c>
      <c r="O591" t="str">
        <f>_xlfn.XLOOKUP(C591,tblProducts[product_id],tblProducts[product_name],"Missing")</f>
        <v>Support Desk</v>
      </c>
      <c r="P591" t="str">
        <f>_xlfn.XLOOKUP(C591,tblProducts[product_id],tblProducts[category],"Missing")</f>
        <v>Service</v>
      </c>
      <c r="Q591" t="str">
        <f>_xlfn.XLOOKUP(D591,tblSalesReps[rep_id],tblSalesReps[rep_name],"Missing")</f>
        <v>Sales Rep 11</v>
      </c>
      <c r="R591" t="str">
        <f>_xlfn.XLOOKUP(D591,tblSalesReps[rep_id],tblSalesReps[region],"Missing")</f>
        <v>West</v>
      </c>
    </row>
    <row r="592" spans="1:18">
      <c r="A592" t="s">
        <v>985</v>
      </c>
      <c r="B592" t="s">
        <v>529</v>
      </c>
      <c r="C592" t="s">
        <v>81</v>
      </c>
      <c r="D592" t="s">
        <v>46</v>
      </c>
      <c r="E592" s="1">
        <v>45803</v>
      </c>
      <c r="F592" s="1">
        <v>45872</v>
      </c>
      <c r="G592" s="1">
        <v>45872</v>
      </c>
      <c r="H592" t="s">
        <v>17</v>
      </c>
      <c r="I592">
        <v>1</v>
      </c>
      <c r="J592">
        <v>15</v>
      </c>
      <c r="K592">
        <v>255000</v>
      </c>
      <c r="L592">
        <v>0</v>
      </c>
      <c r="M592" t="s">
        <v>82</v>
      </c>
      <c r="N592" t="str">
        <f>_xlfn.XLOOKUP(B592,tblCustomers[customer_id],tblCustomers[region],"Missing")</f>
        <v>South</v>
      </c>
      <c r="O592" t="str">
        <f>_xlfn.XLOOKUP(C592,tblProducts[product_id],tblProducts[product_name],"Missing")</f>
        <v>Analytics Cloud</v>
      </c>
      <c r="P592" t="str">
        <f>_xlfn.XLOOKUP(C592,tblProducts[product_id],tblProducts[category],"Missing")</f>
        <v>Analytics</v>
      </c>
      <c r="Q592" t="str">
        <f>_xlfn.XLOOKUP(D592,tblSalesReps[rep_id],tblSalesReps[rep_name],"Missing")</f>
        <v>Sales Rep 01</v>
      </c>
      <c r="R592" t="str">
        <f>_xlfn.XLOOKUP(D592,tblSalesReps[rep_id],tblSalesReps[region],"Missing")</f>
        <v>South</v>
      </c>
    </row>
    <row r="593" spans="1:18">
      <c r="A593" t="s">
        <v>986</v>
      </c>
      <c r="B593" t="s">
        <v>578</v>
      </c>
      <c r="C593" t="s">
        <v>15</v>
      </c>
      <c r="D593" t="s">
        <v>78</v>
      </c>
      <c r="E593" s="1">
        <v>45863</v>
      </c>
      <c r="F593" s="1">
        <v>45915</v>
      </c>
      <c r="G593" s="1">
        <v>45915</v>
      </c>
      <c r="H593" t="s">
        <v>17</v>
      </c>
      <c r="I593">
        <v>1</v>
      </c>
      <c r="J593">
        <v>15</v>
      </c>
      <c r="K593">
        <v>357000</v>
      </c>
      <c r="L593">
        <v>0</v>
      </c>
      <c r="M593" t="s">
        <v>18</v>
      </c>
      <c r="N593" t="str">
        <f>_xlfn.XLOOKUP(B593,tblCustomers[customer_id],tblCustomers[region],"Missing")</f>
        <v>West</v>
      </c>
      <c r="O593" t="str">
        <f>_xlfn.XLOOKUP(C593,tblProducts[product_id],tblProducts[product_name],"Missing")</f>
        <v>CRM Enterprise</v>
      </c>
      <c r="P593" t="str">
        <f>_xlfn.XLOOKUP(C593,tblProducts[product_id],tblProducts[category],"Missing")</f>
        <v>CRM</v>
      </c>
      <c r="Q593" t="str">
        <f>_xlfn.XLOOKUP(D593,tblSalesReps[rep_id],tblSalesReps[rep_name],"Missing")</f>
        <v>Sales Rep 12</v>
      </c>
      <c r="R593" t="str">
        <f>_xlfn.XLOOKUP(D593,tblSalesReps[rep_id],tblSalesReps[region],"Missing")</f>
        <v>West</v>
      </c>
    </row>
    <row r="594" spans="1:18">
      <c r="A594" t="s">
        <v>987</v>
      </c>
      <c r="B594" t="s">
        <v>912</v>
      </c>
      <c r="C594" t="s">
        <v>81</v>
      </c>
      <c r="D594" t="s">
        <v>16</v>
      </c>
      <c r="E594" s="1">
        <v>45888</v>
      </c>
      <c r="F594" s="1">
        <v>45917</v>
      </c>
      <c r="G594" s="1">
        <v>45917</v>
      </c>
      <c r="H594" t="s">
        <v>28</v>
      </c>
      <c r="I594">
        <v>2</v>
      </c>
      <c r="J594">
        <v>10</v>
      </c>
      <c r="K594">
        <v>540000</v>
      </c>
      <c r="L594">
        <v>100</v>
      </c>
      <c r="M594" t="s">
        <v>29</v>
      </c>
      <c r="N594" t="str">
        <f>_xlfn.XLOOKUP(B594,tblCustomers[customer_id],tblCustomers[region],"Missing")</f>
        <v>North</v>
      </c>
      <c r="O594" t="str">
        <f>_xlfn.XLOOKUP(C594,tblProducts[product_id],tblProducts[product_name],"Missing")</f>
        <v>Analytics Cloud</v>
      </c>
      <c r="P594" t="str">
        <f>_xlfn.XLOOKUP(C594,tblProducts[product_id],tblProducts[category],"Missing")</f>
        <v>Analytics</v>
      </c>
      <c r="Q594" t="str">
        <f>_xlfn.XLOOKUP(D594,tblSalesReps[rep_id],tblSalesReps[rep_name],"Missing")</f>
        <v>Sales Rep 08</v>
      </c>
      <c r="R594" t="str">
        <f>_xlfn.XLOOKUP(D594,tblSalesReps[rep_id],tblSalesReps[region],"Missing")</f>
        <v>North</v>
      </c>
    </row>
    <row r="595" spans="1:18">
      <c r="A595" t="s">
        <v>988</v>
      </c>
      <c r="B595" t="s">
        <v>601</v>
      </c>
      <c r="C595" t="s">
        <v>39</v>
      </c>
      <c r="D595" t="s">
        <v>126</v>
      </c>
      <c r="E595" s="1">
        <v>45728</v>
      </c>
      <c r="F595" s="1">
        <v>45799</v>
      </c>
      <c r="G595" s="1">
        <v>45799</v>
      </c>
      <c r="H595" t="s">
        <v>17</v>
      </c>
      <c r="I595">
        <v>1</v>
      </c>
      <c r="J595">
        <v>20</v>
      </c>
      <c r="K595">
        <v>144000</v>
      </c>
      <c r="L595">
        <v>0</v>
      </c>
      <c r="M595" t="s">
        <v>23</v>
      </c>
      <c r="N595" t="str">
        <f>_xlfn.XLOOKUP(B595,tblCustomers[customer_id],tblCustomers[region],"Missing")</f>
        <v>South</v>
      </c>
      <c r="O595" t="str">
        <f>_xlfn.XLOOKUP(C595,tblProducts[product_id],tblProducts[product_name],"Missing")</f>
        <v>Support Desk</v>
      </c>
      <c r="P595" t="str">
        <f>_xlfn.XLOOKUP(C595,tblProducts[product_id],tblProducts[category],"Missing")</f>
        <v>Service</v>
      </c>
      <c r="Q595" t="str">
        <f>_xlfn.XLOOKUP(D595,tblSalesReps[rep_id],tblSalesReps[rep_name],"Missing")</f>
        <v>Sales Rep 02</v>
      </c>
      <c r="R595" t="str">
        <f>_xlfn.XLOOKUP(D595,tblSalesReps[rep_id],tblSalesReps[region],"Missing")</f>
        <v>South</v>
      </c>
    </row>
    <row r="596" spans="1:18">
      <c r="A596" t="s">
        <v>989</v>
      </c>
      <c r="B596" t="s">
        <v>990</v>
      </c>
      <c r="C596" t="s">
        <v>15</v>
      </c>
      <c r="D596" t="s">
        <v>168</v>
      </c>
      <c r="E596" s="1">
        <v>45892</v>
      </c>
      <c r="F596" s="1">
        <v>45929</v>
      </c>
      <c r="G596" s="1">
        <v>45929</v>
      </c>
      <c r="H596" t="s">
        <v>17</v>
      </c>
      <c r="I596">
        <v>1</v>
      </c>
      <c r="J596">
        <v>15</v>
      </c>
      <c r="K596">
        <v>357000</v>
      </c>
      <c r="L596">
        <v>0</v>
      </c>
      <c r="M596" t="s">
        <v>18</v>
      </c>
      <c r="N596" t="str">
        <f>_xlfn.XLOOKUP(B596,tblCustomers[customer_id],tblCustomers[region],"Missing")</f>
        <v>East</v>
      </c>
      <c r="O596" t="str">
        <f>_xlfn.XLOOKUP(C596,tblProducts[product_id],tblProducts[product_name],"Missing")</f>
        <v>CRM Enterprise</v>
      </c>
      <c r="P596" t="str">
        <f>_xlfn.XLOOKUP(C596,tblProducts[product_id],tblProducts[category],"Missing")</f>
        <v>CRM</v>
      </c>
      <c r="Q596" t="str">
        <f>_xlfn.XLOOKUP(D596,tblSalesReps[rep_id],tblSalesReps[rep_name],"Missing")</f>
        <v>Sales Rep 17</v>
      </c>
      <c r="R596" t="str">
        <f>_xlfn.XLOOKUP(D596,tblSalesReps[rep_id],tblSalesReps[region],"Missing")</f>
        <v>East</v>
      </c>
    </row>
    <row r="597" spans="1:18">
      <c r="A597" t="s">
        <v>991</v>
      </c>
      <c r="B597" t="s">
        <v>992</v>
      </c>
      <c r="C597" t="s">
        <v>81</v>
      </c>
      <c r="D597" t="s">
        <v>126</v>
      </c>
      <c r="E597" s="1">
        <v>45748</v>
      </c>
      <c r="F597" s="1">
        <v>45819</v>
      </c>
      <c r="G597" s="1"/>
      <c r="H597" t="s">
        <v>43</v>
      </c>
      <c r="I597">
        <v>1</v>
      </c>
      <c r="J597">
        <v>20</v>
      </c>
      <c r="K597">
        <v>240000</v>
      </c>
      <c r="L597">
        <v>60</v>
      </c>
      <c r="M597" t="s">
        <v>29</v>
      </c>
      <c r="N597" t="str">
        <f>_xlfn.XLOOKUP(B597,tblCustomers[customer_id],tblCustomers[region],"Missing")</f>
        <v>South</v>
      </c>
      <c r="O597" t="str">
        <f>_xlfn.XLOOKUP(C597,tblProducts[product_id],tblProducts[product_name],"Missing")</f>
        <v>Analytics Cloud</v>
      </c>
      <c r="P597" t="str">
        <f>_xlfn.XLOOKUP(C597,tblProducts[product_id],tblProducts[category],"Missing")</f>
        <v>Analytics</v>
      </c>
      <c r="Q597" t="str">
        <f>_xlfn.XLOOKUP(D597,tblSalesReps[rep_id],tblSalesReps[rep_name],"Missing")</f>
        <v>Sales Rep 02</v>
      </c>
      <c r="R597" t="str">
        <f>_xlfn.XLOOKUP(D597,tblSalesReps[rep_id],tblSalesReps[region],"Missing")</f>
        <v>South</v>
      </c>
    </row>
    <row r="598" spans="1:18">
      <c r="A598" t="s">
        <v>993</v>
      </c>
      <c r="B598" t="s">
        <v>994</v>
      </c>
      <c r="C598" t="s">
        <v>81</v>
      </c>
      <c r="D598" t="s">
        <v>27</v>
      </c>
      <c r="E598" s="1">
        <v>45871</v>
      </c>
      <c r="F598" s="1">
        <v>45946</v>
      </c>
      <c r="G598" s="1"/>
      <c r="H598" t="s">
        <v>43</v>
      </c>
      <c r="I598">
        <v>1</v>
      </c>
      <c r="J598">
        <v>20</v>
      </c>
      <c r="K598">
        <v>240000</v>
      </c>
      <c r="L598">
        <v>20</v>
      </c>
      <c r="M598" t="s">
        <v>29</v>
      </c>
      <c r="N598" t="str">
        <f>_xlfn.XLOOKUP(B598,tblCustomers[customer_id],tblCustomers[region],"Missing")</f>
        <v>North</v>
      </c>
      <c r="O598" t="str">
        <f>_xlfn.XLOOKUP(C598,tblProducts[product_id],tblProducts[product_name],"Missing")</f>
        <v>Analytics Cloud</v>
      </c>
      <c r="P598" t="str">
        <f>_xlfn.XLOOKUP(C598,tblProducts[product_id],tblProducts[category],"Missing")</f>
        <v>Analytics</v>
      </c>
      <c r="Q598" t="str">
        <f>_xlfn.XLOOKUP(D598,tblSalesReps[rep_id],tblSalesReps[rep_name],"Missing")</f>
        <v>Sales Rep 06</v>
      </c>
      <c r="R598" t="str">
        <f>_xlfn.XLOOKUP(D598,tblSalesReps[rep_id],tblSalesReps[region],"Missing")</f>
        <v>North</v>
      </c>
    </row>
    <row r="599" spans="1:18">
      <c r="A599" t="s">
        <v>995</v>
      </c>
      <c r="B599" t="s">
        <v>412</v>
      </c>
      <c r="C599" t="s">
        <v>39</v>
      </c>
      <c r="D599" t="s">
        <v>46</v>
      </c>
      <c r="E599" s="1">
        <v>45744</v>
      </c>
      <c r="F599" s="1">
        <v>45794</v>
      </c>
      <c r="G599" s="1">
        <v>45794</v>
      </c>
      <c r="H599" t="s">
        <v>17</v>
      </c>
      <c r="I599">
        <v>1</v>
      </c>
      <c r="J599">
        <v>5</v>
      </c>
      <c r="K599">
        <v>171000</v>
      </c>
      <c r="L599">
        <v>0</v>
      </c>
      <c r="M599" t="s">
        <v>47</v>
      </c>
      <c r="N599" t="str">
        <f>_xlfn.XLOOKUP(B599,tblCustomers[customer_id],tblCustomers[region],"Missing")</f>
        <v>South</v>
      </c>
      <c r="O599" t="str">
        <f>_xlfn.XLOOKUP(C599,tblProducts[product_id],tblProducts[product_name],"Missing")</f>
        <v>Support Desk</v>
      </c>
      <c r="P599" t="str">
        <f>_xlfn.XLOOKUP(C599,tblProducts[product_id],tblProducts[category],"Missing")</f>
        <v>Service</v>
      </c>
      <c r="Q599" t="str">
        <f>_xlfn.XLOOKUP(D599,tblSalesReps[rep_id],tblSalesReps[rep_name],"Missing")</f>
        <v>Sales Rep 01</v>
      </c>
      <c r="R599" t="str">
        <f>_xlfn.XLOOKUP(D599,tblSalesReps[rep_id],tblSalesReps[region],"Missing")</f>
        <v>South</v>
      </c>
    </row>
    <row r="600" spans="1:18">
      <c r="A600" t="s">
        <v>996</v>
      </c>
      <c r="B600" t="s">
        <v>997</v>
      </c>
      <c r="C600" t="s">
        <v>26</v>
      </c>
      <c r="D600" t="s">
        <v>32</v>
      </c>
      <c r="E600" s="1">
        <v>45827</v>
      </c>
      <c r="F600" s="1">
        <v>45867</v>
      </c>
      <c r="G600" s="1"/>
      <c r="H600" t="s">
        <v>43</v>
      </c>
      <c r="I600">
        <v>3</v>
      </c>
      <c r="J600">
        <v>10</v>
      </c>
      <c r="K600">
        <v>972000</v>
      </c>
      <c r="L600">
        <v>20</v>
      </c>
      <c r="M600" t="s">
        <v>29</v>
      </c>
      <c r="N600" t="str">
        <f>_xlfn.XLOOKUP(B600,tblCustomers[customer_id],tblCustomers[region],"Missing")</f>
        <v>South</v>
      </c>
      <c r="O600" t="str">
        <f>_xlfn.XLOOKUP(C600,tblProducts[product_id],tblProducts[product_name],"Missing")</f>
        <v>Security Suite</v>
      </c>
      <c r="P600" t="str">
        <f>_xlfn.XLOOKUP(C600,tblProducts[product_id],tblProducts[category],"Missing")</f>
        <v>Security</v>
      </c>
      <c r="Q600" t="str">
        <f>_xlfn.XLOOKUP(D600,tblSalesReps[rep_id],tblSalesReps[rep_name],"Missing")</f>
        <v>Sales Rep 04</v>
      </c>
      <c r="R600" t="str">
        <f>_xlfn.XLOOKUP(D600,tblSalesReps[rep_id],tblSalesReps[region],"Missing")</f>
        <v>South</v>
      </c>
    </row>
    <row r="601" spans="1:18">
      <c r="A601" t="s">
        <v>998</v>
      </c>
      <c r="B601" t="s">
        <v>114</v>
      </c>
      <c r="C601" t="s">
        <v>21</v>
      </c>
      <c r="D601" t="s">
        <v>168</v>
      </c>
      <c r="E601" s="1">
        <v>45948</v>
      </c>
      <c r="F601" s="1">
        <v>46015</v>
      </c>
      <c r="G601" s="1">
        <v>46015</v>
      </c>
      <c r="H601" t="s">
        <v>17</v>
      </c>
      <c r="I601">
        <v>2</v>
      </c>
      <c r="J601">
        <v>10</v>
      </c>
      <c r="K601">
        <v>432000</v>
      </c>
      <c r="L601">
        <v>0</v>
      </c>
      <c r="M601" t="s">
        <v>47</v>
      </c>
      <c r="N601" t="str">
        <f>_xlfn.XLOOKUP(B601,tblCustomers[customer_id],tblCustomers[region],"Missing")</f>
        <v>East</v>
      </c>
      <c r="O601" t="str">
        <f>_xlfn.XLOOKUP(C601,tblProducts[product_id],tblProducts[product_name],"Missing")</f>
        <v>Workflow Automate</v>
      </c>
      <c r="P601" t="str">
        <f>_xlfn.XLOOKUP(C601,tblProducts[product_id],tblProducts[category],"Missing")</f>
        <v>Automation</v>
      </c>
      <c r="Q601" t="str">
        <f>_xlfn.XLOOKUP(D601,tblSalesReps[rep_id],tblSalesReps[rep_name],"Missing")</f>
        <v>Sales Rep 17</v>
      </c>
      <c r="R601" t="str">
        <f>_xlfn.XLOOKUP(D601,tblSalesReps[rep_id],tblSalesReps[region],"Missing")</f>
        <v>East</v>
      </c>
    </row>
    <row r="602" spans="1:18">
      <c r="A602" t="s">
        <v>999</v>
      </c>
      <c r="B602" t="s">
        <v>1000</v>
      </c>
      <c r="C602" t="s">
        <v>21</v>
      </c>
      <c r="D602" t="s">
        <v>91</v>
      </c>
      <c r="E602" s="1">
        <v>45918</v>
      </c>
      <c r="F602" s="1">
        <v>45991</v>
      </c>
      <c r="G602" s="1">
        <v>45991</v>
      </c>
      <c r="H602" t="s">
        <v>17</v>
      </c>
      <c r="I602">
        <v>2</v>
      </c>
      <c r="J602">
        <v>15</v>
      </c>
      <c r="K602">
        <v>408000</v>
      </c>
      <c r="L602">
        <v>0</v>
      </c>
      <c r="M602" t="s">
        <v>18</v>
      </c>
      <c r="N602" t="str">
        <f>_xlfn.XLOOKUP(B602,tblCustomers[customer_id],tblCustomers[region],"Missing")</f>
        <v>South</v>
      </c>
      <c r="O602" t="str">
        <f>_xlfn.XLOOKUP(C602,tblProducts[product_id],tblProducts[product_name],"Missing")</f>
        <v>Workflow Automate</v>
      </c>
      <c r="P602" t="str">
        <f>_xlfn.XLOOKUP(C602,tblProducts[product_id],tblProducts[category],"Missing")</f>
        <v>Automation</v>
      </c>
      <c r="Q602" t="str">
        <f>_xlfn.XLOOKUP(D602,tblSalesReps[rep_id],tblSalesReps[rep_name],"Missing")</f>
        <v>Sales Rep 03</v>
      </c>
      <c r="R602" t="str">
        <f>_xlfn.XLOOKUP(D602,tblSalesReps[rep_id],tblSalesReps[region],"Missing")</f>
        <v>South</v>
      </c>
    </row>
    <row r="603" spans="1:18">
      <c r="A603" t="s">
        <v>1001</v>
      </c>
      <c r="B603" t="s">
        <v>626</v>
      </c>
      <c r="C603" t="s">
        <v>81</v>
      </c>
      <c r="D603" t="s">
        <v>22</v>
      </c>
      <c r="E603" s="1">
        <v>45665</v>
      </c>
      <c r="F603" s="1">
        <v>45680</v>
      </c>
      <c r="G603" s="1">
        <v>45680</v>
      </c>
      <c r="H603" t="s">
        <v>17</v>
      </c>
      <c r="I603">
        <v>1</v>
      </c>
      <c r="J603">
        <v>5</v>
      </c>
      <c r="K603">
        <v>285000</v>
      </c>
      <c r="L603">
        <v>0</v>
      </c>
      <c r="M603" t="s">
        <v>47</v>
      </c>
      <c r="N603" t="str">
        <f>_xlfn.XLOOKUP(B603,tblCustomers[customer_id],tblCustomers[region],"Missing")</f>
        <v>West</v>
      </c>
      <c r="O603" t="str">
        <f>_xlfn.XLOOKUP(C603,tblProducts[product_id],tblProducts[product_name],"Missing")</f>
        <v>Analytics Cloud</v>
      </c>
      <c r="P603" t="str">
        <f>_xlfn.XLOOKUP(C603,tblProducts[product_id],tblProducts[category],"Missing")</f>
        <v>Analytics</v>
      </c>
      <c r="Q603" t="str">
        <f>_xlfn.XLOOKUP(D603,tblSalesReps[rep_id],tblSalesReps[rep_name],"Missing")</f>
        <v>Sales Rep 14</v>
      </c>
      <c r="R603" t="str">
        <f>_xlfn.XLOOKUP(D603,tblSalesReps[rep_id],tblSalesReps[region],"Missing")</f>
        <v>West</v>
      </c>
    </row>
    <row r="604" spans="1:18">
      <c r="A604" t="s">
        <v>1002</v>
      </c>
      <c r="B604" t="s">
        <v>1003</v>
      </c>
      <c r="C604" t="s">
        <v>26</v>
      </c>
      <c r="D604" t="s">
        <v>46</v>
      </c>
      <c r="E604" s="1">
        <v>45926</v>
      </c>
      <c r="F604" s="1">
        <v>45958</v>
      </c>
      <c r="G604" s="1"/>
      <c r="H604" t="s">
        <v>43</v>
      </c>
      <c r="I604">
        <v>1</v>
      </c>
      <c r="J604">
        <v>0</v>
      </c>
      <c r="K604">
        <v>360000</v>
      </c>
      <c r="L604">
        <v>80</v>
      </c>
      <c r="M604" t="s">
        <v>29</v>
      </c>
      <c r="N604" t="str">
        <f>_xlfn.XLOOKUP(B604,tblCustomers[customer_id],tblCustomers[region],"Missing")</f>
        <v>South</v>
      </c>
      <c r="O604" t="str">
        <f>_xlfn.XLOOKUP(C604,tblProducts[product_id],tblProducts[product_name],"Missing")</f>
        <v>Security Suite</v>
      </c>
      <c r="P604" t="str">
        <f>_xlfn.XLOOKUP(C604,tblProducts[product_id],tblProducts[category],"Missing")</f>
        <v>Security</v>
      </c>
      <c r="Q604" t="str">
        <f>_xlfn.XLOOKUP(D604,tblSalesReps[rep_id],tblSalesReps[rep_name],"Missing")</f>
        <v>Sales Rep 01</v>
      </c>
      <c r="R604" t="str">
        <f>_xlfn.XLOOKUP(D604,tblSalesReps[rep_id],tblSalesReps[region],"Missing")</f>
        <v>South</v>
      </c>
    </row>
    <row r="605" spans="1:18">
      <c r="A605" t="s">
        <v>1004</v>
      </c>
      <c r="B605" t="s">
        <v>570</v>
      </c>
      <c r="C605" t="s">
        <v>26</v>
      </c>
      <c r="D605" t="s">
        <v>119</v>
      </c>
      <c r="E605" s="1">
        <v>45698</v>
      </c>
      <c r="F605" s="1">
        <v>45712</v>
      </c>
      <c r="G605" s="1"/>
      <c r="H605" t="s">
        <v>43</v>
      </c>
      <c r="I605">
        <v>2</v>
      </c>
      <c r="J605">
        <v>20</v>
      </c>
      <c r="K605">
        <v>576000</v>
      </c>
      <c r="L605">
        <v>40</v>
      </c>
      <c r="M605" t="s">
        <v>29</v>
      </c>
      <c r="N605" t="str">
        <f>_xlfn.XLOOKUP(B605,tblCustomers[customer_id],tblCustomers[region],"Missing")</f>
        <v>North</v>
      </c>
      <c r="O605" t="str">
        <f>_xlfn.XLOOKUP(C605,tblProducts[product_id],tblProducts[product_name],"Missing")</f>
        <v>Security Suite</v>
      </c>
      <c r="P605" t="str">
        <f>_xlfn.XLOOKUP(C605,tblProducts[product_id],tblProducts[category],"Missing")</f>
        <v>Security</v>
      </c>
      <c r="Q605" t="str">
        <f>_xlfn.XLOOKUP(D605,tblSalesReps[rep_id],tblSalesReps[rep_name],"Missing")</f>
        <v>Sales Rep 10</v>
      </c>
      <c r="R605" t="str">
        <f>_xlfn.XLOOKUP(D605,tblSalesReps[rep_id],tblSalesReps[region],"Missing")</f>
        <v>North</v>
      </c>
    </row>
    <row r="606" spans="1:18">
      <c r="A606" t="s">
        <v>1005</v>
      </c>
      <c r="B606" t="s">
        <v>755</v>
      </c>
      <c r="C606" t="s">
        <v>39</v>
      </c>
      <c r="D606" t="s">
        <v>16</v>
      </c>
      <c r="E606" s="1">
        <v>45940</v>
      </c>
      <c r="F606" s="1">
        <v>45971</v>
      </c>
      <c r="G606" s="1">
        <v>45971</v>
      </c>
      <c r="H606" t="s">
        <v>28</v>
      </c>
      <c r="I606">
        <v>1</v>
      </c>
      <c r="J606">
        <v>5</v>
      </c>
      <c r="K606">
        <v>171000</v>
      </c>
      <c r="L606">
        <v>100</v>
      </c>
      <c r="M606" t="s">
        <v>29</v>
      </c>
      <c r="N606" t="str">
        <f>_xlfn.XLOOKUP(B606,tblCustomers[customer_id],tblCustomers[region],"Missing")</f>
        <v>North</v>
      </c>
      <c r="O606" t="str">
        <f>_xlfn.XLOOKUP(C606,tblProducts[product_id],tblProducts[product_name],"Missing")</f>
        <v>Support Desk</v>
      </c>
      <c r="P606" t="str">
        <f>_xlfn.XLOOKUP(C606,tblProducts[product_id],tblProducts[category],"Missing")</f>
        <v>Service</v>
      </c>
      <c r="Q606" t="str">
        <f>_xlfn.XLOOKUP(D606,tblSalesReps[rep_id],tblSalesReps[rep_name],"Missing")</f>
        <v>Sales Rep 08</v>
      </c>
      <c r="R606" t="str">
        <f>_xlfn.XLOOKUP(D606,tblSalesReps[rep_id],tblSalesReps[region],"Missing")</f>
        <v>North</v>
      </c>
    </row>
    <row r="607" spans="1:18">
      <c r="A607" t="s">
        <v>1006</v>
      </c>
      <c r="B607" t="s">
        <v>84</v>
      </c>
      <c r="C607" t="s">
        <v>62</v>
      </c>
      <c r="D607" t="s">
        <v>40</v>
      </c>
      <c r="E607" s="1">
        <v>45982</v>
      </c>
      <c r="F607" s="1">
        <v>46050</v>
      </c>
      <c r="G607" s="1"/>
      <c r="H607" t="s">
        <v>43</v>
      </c>
      <c r="I607">
        <v>1</v>
      </c>
      <c r="J607">
        <v>15</v>
      </c>
      <c r="K607">
        <v>102000</v>
      </c>
      <c r="L607">
        <v>20</v>
      </c>
      <c r="M607" t="s">
        <v>29</v>
      </c>
      <c r="N607" t="str">
        <f>_xlfn.XLOOKUP(B607,tblCustomers[customer_id],tblCustomers[region],"Missing")</f>
        <v>West</v>
      </c>
      <c r="O607" t="str">
        <f>_xlfn.XLOOKUP(C607,tblProducts[product_id],tblProducts[product_name],"Missing")</f>
        <v>CRM Essentials</v>
      </c>
      <c r="P607" t="str">
        <f>_xlfn.XLOOKUP(C607,tblProducts[product_id],tblProducts[category],"Missing")</f>
        <v>CRM</v>
      </c>
      <c r="Q607" t="str">
        <f>_xlfn.XLOOKUP(D607,tblSalesReps[rep_id],tblSalesReps[rep_name],"Missing")</f>
        <v>Sales Rep 13</v>
      </c>
      <c r="R607" t="str">
        <f>_xlfn.XLOOKUP(D607,tblSalesReps[rep_id],tblSalesReps[region],"Missing")</f>
        <v>West</v>
      </c>
    </row>
    <row r="608" spans="1:18">
      <c r="A608" t="s">
        <v>1007</v>
      </c>
      <c r="B608" t="s">
        <v>318</v>
      </c>
      <c r="C608" t="s">
        <v>39</v>
      </c>
      <c r="D608" t="s">
        <v>63</v>
      </c>
      <c r="E608" s="1">
        <v>45891</v>
      </c>
      <c r="F608" s="1">
        <v>45930</v>
      </c>
      <c r="G608" s="1"/>
      <c r="H608" t="s">
        <v>43</v>
      </c>
      <c r="I608">
        <v>2</v>
      </c>
      <c r="J608">
        <v>20</v>
      </c>
      <c r="K608">
        <v>288000</v>
      </c>
      <c r="L608">
        <v>60</v>
      </c>
      <c r="M608" t="s">
        <v>29</v>
      </c>
      <c r="N608" t="str">
        <f>_xlfn.XLOOKUP(B608,tblCustomers[customer_id],tblCustomers[region],"Missing")</f>
        <v>South</v>
      </c>
      <c r="O608" t="str">
        <f>_xlfn.XLOOKUP(C608,tblProducts[product_id],tblProducts[product_name],"Missing")</f>
        <v>Support Desk</v>
      </c>
      <c r="P608" t="str">
        <f>_xlfn.XLOOKUP(C608,tblProducts[product_id],tblProducts[category],"Missing")</f>
        <v>Service</v>
      </c>
      <c r="Q608" t="str">
        <f>_xlfn.XLOOKUP(D608,tblSalesReps[rep_id],tblSalesReps[rep_name],"Missing")</f>
        <v>Sales Rep 05</v>
      </c>
      <c r="R608" t="str">
        <f>_xlfn.XLOOKUP(D608,tblSalesReps[rep_id],tblSalesReps[region],"Missing")</f>
        <v>South</v>
      </c>
    </row>
    <row r="609" spans="1:18">
      <c r="A609" t="s">
        <v>1008</v>
      </c>
      <c r="B609" t="s">
        <v>539</v>
      </c>
      <c r="C609" t="s">
        <v>81</v>
      </c>
      <c r="D609" t="s">
        <v>53</v>
      </c>
      <c r="E609" s="1">
        <v>45751</v>
      </c>
      <c r="F609" s="1">
        <v>45798</v>
      </c>
      <c r="G609" s="1">
        <v>45798</v>
      </c>
      <c r="H609" t="s">
        <v>17</v>
      </c>
      <c r="I609">
        <v>3</v>
      </c>
      <c r="J609">
        <v>15</v>
      </c>
      <c r="K609">
        <v>765000</v>
      </c>
      <c r="L609">
        <v>0</v>
      </c>
      <c r="M609" t="s">
        <v>47</v>
      </c>
      <c r="N609" t="str">
        <f>_xlfn.XLOOKUP(B609,tblCustomers[customer_id],tblCustomers[region],"Missing")</f>
        <v>East</v>
      </c>
      <c r="O609" t="str">
        <f>_xlfn.XLOOKUP(C609,tblProducts[product_id],tblProducts[product_name],"Missing")</f>
        <v>Analytics Cloud</v>
      </c>
      <c r="P609" t="str">
        <f>_xlfn.XLOOKUP(C609,tblProducts[product_id],tblProducts[category],"Missing")</f>
        <v>Analytics</v>
      </c>
      <c r="Q609" t="str">
        <f>_xlfn.XLOOKUP(D609,tblSalesReps[rep_id],tblSalesReps[rep_name],"Missing")</f>
        <v>Sales Rep 16</v>
      </c>
      <c r="R609" t="str">
        <f>_xlfn.XLOOKUP(D609,tblSalesReps[rep_id],tblSalesReps[region],"Missing")</f>
        <v>East</v>
      </c>
    </row>
    <row r="610" spans="1:18">
      <c r="A610" t="s">
        <v>1009</v>
      </c>
      <c r="B610" t="s">
        <v>318</v>
      </c>
      <c r="C610" t="s">
        <v>62</v>
      </c>
      <c r="D610" t="s">
        <v>126</v>
      </c>
      <c r="E610" s="1">
        <v>45767</v>
      </c>
      <c r="F610" s="1">
        <v>45813</v>
      </c>
      <c r="G610" s="1">
        <v>45813</v>
      </c>
      <c r="H610" t="s">
        <v>28</v>
      </c>
      <c r="I610">
        <v>1</v>
      </c>
      <c r="J610">
        <v>20</v>
      </c>
      <c r="K610">
        <v>96000</v>
      </c>
      <c r="L610">
        <v>100</v>
      </c>
      <c r="M610" t="s">
        <v>29</v>
      </c>
      <c r="N610" t="str">
        <f>_xlfn.XLOOKUP(B610,tblCustomers[customer_id],tblCustomers[region],"Missing")</f>
        <v>South</v>
      </c>
      <c r="O610" t="str">
        <f>_xlfn.XLOOKUP(C610,tblProducts[product_id],tblProducts[product_name],"Missing")</f>
        <v>CRM Essentials</v>
      </c>
      <c r="P610" t="str">
        <f>_xlfn.XLOOKUP(C610,tblProducts[product_id],tblProducts[category],"Missing")</f>
        <v>CRM</v>
      </c>
      <c r="Q610" t="str">
        <f>_xlfn.XLOOKUP(D610,tblSalesReps[rep_id],tblSalesReps[rep_name],"Missing")</f>
        <v>Sales Rep 02</v>
      </c>
      <c r="R610" t="str">
        <f>_xlfn.XLOOKUP(D610,tblSalesReps[rep_id],tblSalesReps[region],"Missing")</f>
        <v>South</v>
      </c>
    </row>
    <row r="611" spans="1:18">
      <c r="A611" t="s">
        <v>1010</v>
      </c>
      <c r="B611" t="s">
        <v>360</v>
      </c>
      <c r="C611" t="s">
        <v>21</v>
      </c>
      <c r="D611" t="s">
        <v>78</v>
      </c>
      <c r="E611" s="1">
        <v>45756</v>
      </c>
      <c r="F611" s="1">
        <v>45784</v>
      </c>
      <c r="G611" s="1"/>
      <c r="H611" t="s">
        <v>43</v>
      </c>
      <c r="I611">
        <v>1</v>
      </c>
      <c r="J611">
        <v>20</v>
      </c>
      <c r="K611">
        <v>192000</v>
      </c>
      <c r="L611">
        <v>40</v>
      </c>
      <c r="M611" t="s">
        <v>29</v>
      </c>
      <c r="N611" t="str">
        <f>_xlfn.XLOOKUP(B611,tblCustomers[customer_id],tblCustomers[region],"Missing")</f>
        <v>West</v>
      </c>
      <c r="O611" t="str">
        <f>_xlfn.XLOOKUP(C611,tblProducts[product_id],tblProducts[product_name],"Missing")</f>
        <v>Workflow Automate</v>
      </c>
      <c r="P611" t="str">
        <f>_xlfn.XLOOKUP(C611,tblProducts[product_id],tblProducts[category],"Missing")</f>
        <v>Automation</v>
      </c>
      <c r="Q611" t="str">
        <f>_xlfn.XLOOKUP(D611,tblSalesReps[rep_id],tblSalesReps[rep_name],"Missing")</f>
        <v>Sales Rep 12</v>
      </c>
      <c r="R611" t="str">
        <f>_xlfn.XLOOKUP(D611,tblSalesReps[rep_id],tblSalesReps[region],"Missing")</f>
        <v>West</v>
      </c>
    </row>
    <row r="612" spans="1:18">
      <c r="A612" t="s">
        <v>1011</v>
      </c>
      <c r="B612" t="s">
        <v>145</v>
      </c>
      <c r="C612" t="s">
        <v>21</v>
      </c>
      <c r="D612" t="s">
        <v>40</v>
      </c>
      <c r="E612" s="1">
        <v>45839</v>
      </c>
      <c r="F612" s="1">
        <v>45886</v>
      </c>
      <c r="G612" s="1"/>
      <c r="H612" t="s">
        <v>43</v>
      </c>
      <c r="I612">
        <v>2</v>
      </c>
      <c r="J612">
        <v>10</v>
      </c>
      <c r="K612">
        <v>432000</v>
      </c>
      <c r="L612">
        <v>80</v>
      </c>
      <c r="M612" t="s">
        <v>29</v>
      </c>
      <c r="N612" t="str">
        <f>_xlfn.XLOOKUP(B612,tblCustomers[customer_id],tblCustomers[region],"Missing")</f>
        <v>West</v>
      </c>
      <c r="O612" t="str">
        <f>_xlfn.XLOOKUP(C612,tblProducts[product_id],tblProducts[product_name],"Missing")</f>
        <v>Workflow Automate</v>
      </c>
      <c r="P612" t="str">
        <f>_xlfn.XLOOKUP(C612,tblProducts[product_id],tblProducts[category],"Missing")</f>
        <v>Automation</v>
      </c>
      <c r="Q612" t="str">
        <f>_xlfn.XLOOKUP(D612,tblSalesReps[rep_id],tblSalesReps[rep_name],"Missing")</f>
        <v>Sales Rep 13</v>
      </c>
      <c r="R612" t="str">
        <f>_xlfn.XLOOKUP(D612,tblSalesReps[rep_id],tblSalesReps[region],"Missing")</f>
        <v>West</v>
      </c>
    </row>
    <row r="613" spans="1:18">
      <c r="A613" t="s">
        <v>1012</v>
      </c>
      <c r="B613" t="s">
        <v>826</v>
      </c>
      <c r="C613" t="s">
        <v>21</v>
      </c>
      <c r="D613" t="s">
        <v>40</v>
      </c>
      <c r="E613" s="1">
        <v>45849</v>
      </c>
      <c r="F613" s="1">
        <v>45910</v>
      </c>
      <c r="G613" s="1">
        <v>45910</v>
      </c>
      <c r="H613" t="s">
        <v>28</v>
      </c>
      <c r="I613">
        <v>2</v>
      </c>
      <c r="J613">
        <v>10</v>
      </c>
      <c r="K613">
        <v>432000</v>
      </c>
      <c r="L613">
        <v>100</v>
      </c>
      <c r="M613" t="s">
        <v>29</v>
      </c>
      <c r="N613" t="str">
        <f>_xlfn.XLOOKUP(B613,tblCustomers[customer_id],tblCustomers[region],"Missing")</f>
        <v>West</v>
      </c>
      <c r="O613" t="str">
        <f>_xlfn.XLOOKUP(C613,tblProducts[product_id],tblProducts[product_name],"Missing")</f>
        <v>Workflow Automate</v>
      </c>
      <c r="P613" t="str">
        <f>_xlfn.XLOOKUP(C613,tblProducts[product_id],tblProducts[category],"Missing")</f>
        <v>Automation</v>
      </c>
      <c r="Q613" t="str">
        <f>_xlfn.XLOOKUP(D613,tblSalesReps[rep_id],tblSalesReps[rep_name],"Missing")</f>
        <v>Sales Rep 13</v>
      </c>
      <c r="R613" t="str">
        <f>_xlfn.XLOOKUP(D613,tblSalesReps[rep_id],tblSalesReps[region],"Missing")</f>
        <v>West</v>
      </c>
    </row>
    <row r="614" spans="1:18">
      <c r="A614" t="s">
        <v>1013</v>
      </c>
      <c r="B614" t="s">
        <v>439</v>
      </c>
      <c r="C614" t="s">
        <v>26</v>
      </c>
      <c r="D614" t="s">
        <v>22</v>
      </c>
      <c r="E614" s="1">
        <v>45961</v>
      </c>
      <c r="F614" s="1">
        <v>45973</v>
      </c>
      <c r="G614" s="1">
        <v>45973</v>
      </c>
      <c r="H614" t="s">
        <v>17</v>
      </c>
      <c r="I614">
        <v>2</v>
      </c>
      <c r="J614">
        <v>15</v>
      </c>
      <c r="K614">
        <v>612000</v>
      </c>
      <c r="L614">
        <v>0</v>
      </c>
      <c r="M614" t="s">
        <v>18</v>
      </c>
      <c r="N614" t="str">
        <f>_xlfn.XLOOKUP(B614,tblCustomers[customer_id],tblCustomers[region],"Missing")</f>
        <v>West</v>
      </c>
      <c r="O614" t="str">
        <f>_xlfn.XLOOKUP(C614,tblProducts[product_id],tblProducts[product_name],"Missing")</f>
        <v>Security Suite</v>
      </c>
      <c r="P614" t="str">
        <f>_xlfn.XLOOKUP(C614,tblProducts[product_id],tblProducts[category],"Missing")</f>
        <v>Security</v>
      </c>
      <c r="Q614" t="str">
        <f>_xlfn.XLOOKUP(D614,tblSalesReps[rep_id],tblSalesReps[rep_name],"Missing")</f>
        <v>Sales Rep 14</v>
      </c>
      <c r="R614" t="str">
        <f>_xlfn.XLOOKUP(D614,tblSalesReps[rep_id],tblSalesReps[region],"Missing")</f>
        <v>West</v>
      </c>
    </row>
    <row r="615" spans="1:18">
      <c r="A615" t="s">
        <v>1014</v>
      </c>
      <c r="B615" t="s">
        <v>1015</v>
      </c>
      <c r="C615" t="s">
        <v>26</v>
      </c>
      <c r="D615" t="s">
        <v>59</v>
      </c>
      <c r="E615" s="1">
        <v>45735</v>
      </c>
      <c r="F615" s="1">
        <v>45817</v>
      </c>
      <c r="G615" s="1"/>
      <c r="H615" t="s">
        <v>43</v>
      </c>
      <c r="I615">
        <v>1</v>
      </c>
      <c r="J615">
        <v>20</v>
      </c>
      <c r="K615">
        <v>288000</v>
      </c>
      <c r="L615">
        <v>40</v>
      </c>
      <c r="M615" t="s">
        <v>29</v>
      </c>
      <c r="N615" t="str">
        <f>_xlfn.XLOOKUP(B615,tblCustomers[customer_id],tblCustomers[region],"Missing")</f>
        <v>East</v>
      </c>
      <c r="O615" t="str">
        <f>_xlfn.XLOOKUP(C615,tblProducts[product_id],tblProducts[product_name],"Missing")</f>
        <v>Security Suite</v>
      </c>
      <c r="P615" t="str">
        <f>_xlfn.XLOOKUP(C615,tblProducts[product_id],tblProducts[category],"Missing")</f>
        <v>Security</v>
      </c>
      <c r="Q615" t="str">
        <f>_xlfn.XLOOKUP(D615,tblSalesReps[rep_id],tblSalesReps[rep_name],"Missing")</f>
        <v>Sales Rep 19</v>
      </c>
      <c r="R615" t="str">
        <f>_xlfn.XLOOKUP(D615,tblSalesReps[rep_id],tblSalesReps[region],"Missing")</f>
        <v>East</v>
      </c>
    </row>
    <row r="616" spans="1:18">
      <c r="A616" t="s">
        <v>1016</v>
      </c>
      <c r="B616" t="s">
        <v>567</v>
      </c>
      <c r="C616" t="s">
        <v>39</v>
      </c>
      <c r="D616" t="s">
        <v>50</v>
      </c>
      <c r="E616" s="1">
        <v>45807</v>
      </c>
      <c r="F616" s="1">
        <v>45831</v>
      </c>
      <c r="G616" s="1">
        <v>45831</v>
      </c>
      <c r="H616" t="s">
        <v>17</v>
      </c>
      <c r="I616">
        <v>1</v>
      </c>
      <c r="J616">
        <v>10</v>
      </c>
      <c r="K616">
        <v>162000</v>
      </c>
      <c r="L616">
        <v>0</v>
      </c>
      <c r="M616" t="s">
        <v>82</v>
      </c>
      <c r="N616" t="str">
        <f>_xlfn.XLOOKUP(B616,tblCustomers[customer_id],tblCustomers[region],"Missing")</f>
        <v>West</v>
      </c>
      <c r="O616" t="str">
        <f>_xlfn.XLOOKUP(C616,tblProducts[product_id],tblProducts[product_name],"Missing")</f>
        <v>Support Desk</v>
      </c>
      <c r="P616" t="str">
        <f>_xlfn.XLOOKUP(C616,tblProducts[product_id],tblProducts[category],"Missing")</f>
        <v>Service</v>
      </c>
      <c r="Q616" t="str">
        <f>_xlfn.XLOOKUP(D616,tblSalesReps[rep_id],tblSalesReps[rep_name],"Missing")</f>
        <v>Sales Rep 15</v>
      </c>
      <c r="R616" t="str">
        <f>_xlfn.XLOOKUP(D616,tblSalesReps[rep_id],tblSalesReps[region],"Missing")</f>
        <v>West</v>
      </c>
    </row>
    <row r="617" spans="1:18">
      <c r="A617" t="s">
        <v>1017</v>
      </c>
      <c r="B617" t="s">
        <v>623</v>
      </c>
      <c r="C617" t="s">
        <v>26</v>
      </c>
      <c r="D617" t="s">
        <v>152</v>
      </c>
      <c r="E617" s="1">
        <v>45788</v>
      </c>
      <c r="F617" s="1">
        <v>45797</v>
      </c>
      <c r="G617" s="1">
        <v>45797</v>
      </c>
      <c r="H617" t="s">
        <v>17</v>
      </c>
      <c r="I617">
        <v>1</v>
      </c>
      <c r="J617">
        <v>0</v>
      </c>
      <c r="K617">
        <v>360000</v>
      </c>
      <c r="L617">
        <v>0</v>
      </c>
      <c r="M617" t="s">
        <v>82</v>
      </c>
      <c r="N617" t="str">
        <f>_xlfn.XLOOKUP(B617,tblCustomers[customer_id],tblCustomers[region],"Missing")</f>
        <v>East</v>
      </c>
      <c r="O617" t="str">
        <f>_xlfn.XLOOKUP(C617,tblProducts[product_id],tblProducts[product_name],"Missing")</f>
        <v>Security Suite</v>
      </c>
      <c r="P617" t="str">
        <f>_xlfn.XLOOKUP(C617,tblProducts[product_id],tblProducts[category],"Missing")</f>
        <v>Security</v>
      </c>
      <c r="Q617" t="str">
        <f>_xlfn.XLOOKUP(D617,tblSalesReps[rep_id],tblSalesReps[rep_name],"Missing")</f>
        <v>Sales Rep 18</v>
      </c>
      <c r="R617" t="str">
        <f>_xlfn.XLOOKUP(D617,tblSalesReps[rep_id],tblSalesReps[region],"Missing")</f>
        <v>East</v>
      </c>
    </row>
    <row r="618" spans="1:18">
      <c r="A618" t="s">
        <v>1018</v>
      </c>
      <c r="B618" t="s">
        <v>1019</v>
      </c>
      <c r="C618" t="s">
        <v>21</v>
      </c>
      <c r="D618" t="s">
        <v>70</v>
      </c>
      <c r="E618" s="1">
        <v>45696</v>
      </c>
      <c r="F618" s="1">
        <v>45774</v>
      </c>
      <c r="G618" s="1">
        <v>45774</v>
      </c>
      <c r="H618" t="s">
        <v>17</v>
      </c>
      <c r="I618">
        <v>1</v>
      </c>
      <c r="J618">
        <v>20</v>
      </c>
      <c r="K618">
        <v>192000</v>
      </c>
      <c r="L618">
        <v>0</v>
      </c>
      <c r="M618" t="s">
        <v>33</v>
      </c>
      <c r="N618" t="str">
        <f>_xlfn.XLOOKUP(B618,tblCustomers[customer_id],tblCustomers[region],"Missing")</f>
        <v>West</v>
      </c>
      <c r="O618" t="str">
        <f>_xlfn.XLOOKUP(C618,tblProducts[product_id],tblProducts[product_name],"Missing")</f>
        <v>Workflow Automate</v>
      </c>
      <c r="P618" t="str">
        <f>_xlfn.XLOOKUP(C618,tblProducts[product_id],tblProducts[category],"Missing")</f>
        <v>Automation</v>
      </c>
      <c r="Q618" t="str">
        <f>_xlfn.XLOOKUP(D618,tblSalesReps[rep_id],tblSalesReps[rep_name],"Missing")</f>
        <v>Sales Rep 11</v>
      </c>
      <c r="R618" t="str">
        <f>_xlfn.XLOOKUP(D618,tblSalesReps[rep_id],tblSalesReps[region],"Missing")</f>
        <v>West</v>
      </c>
    </row>
    <row r="619" spans="1:18">
      <c r="A619" t="s">
        <v>1020</v>
      </c>
      <c r="B619" t="s">
        <v>529</v>
      </c>
      <c r="C619" t="s">
        <v>21</v>
      </c>
      <c r="D619" t="s">
        <v>32</v>
      </c>
      <c r="E619" s="1">
        <v>45889</v>
      </c>
      <c r="F619" s="1">
        <v>45915</v>
      </c>
      <c r="G619" s="1"/>
      <c r="H619" t="s">
        <v>43</v>
      </c>
      <c r="I619">
        <v>1</v>
      </c>
      <c r="J619">
        <v>0</v>
      </c>
      <c r="K619">
        <v>240000</v>
      </c>
      <c r="L619">
        <v>40</v>
      </c>
      <c r="M619" t="s">
        <v>29</v>
      </c>
      <c r="N619" t="str">
        <f>_xlfn.XLOOKUP(B619,tblCustomers[customer_id],tblCustomers[region],"Missing")</f>
        <v>South</v>
      </c>
      <c r="O619" t="str">
        <f>_xlfn.XLOOKUP(C619,tblProducts[product_id],tblProducts[product_name],"Missing")</f>
        <v>Workflow Automate</v>
      </c>
      <c r="P619" t="str">
        <f>_xlfn.XLOOKUP(C619,tblProducts[product_id],tblProducts[category],"Missing")</f>
        <v>Automation</v>
      </c>
      <c r="Q619" t="str">
        <f>_xlfn.XLOOKUP(D619,tblSalesReps[rep_id],tblSalesReps[rep_name],"Missing")</f>
        <v>Sales Rep 04</v>
      </c>
      <c r="R619" t="str">
        <f>_xlfn.XLOOKUP(D619,tblSalesReps[rep_id],tblSalesReps[region],"Missing")</f>
        <v>South</v>
      </c>
    </row>
    <row r="620" spans="1:18">
      <c r="A620" t="s">
        <v>1021</v>
      </c>
      <c r="B620" t="s">
        <v>743</v>
      </c>
      <c r="C620" t="s">
        <v>62</v>
      </c>
      <c r="D620" t="s">
        <v>78</v>
      </c>
      <c r="E620" s="1">
        <v>45823</v>
      </c>
      <c r="F620" s="1">
        <v>45863</v>
      </c>
      <c r="G620" s="1">
        <v>45863</v>
      </c>
      <c r="H620" t="s">
        <v>17</v>
      </c>
      <c r="I620">
        <v>1</v>
      </c>
      <c r="J620">
        <v>20</v>
      </c>
      <c r="K620">
        <v>96000</v>
      </c>
      <c r="L620">
        <v>0</v>
      </c>
      <c r="M620" t="s">
        <v>33</v>
      </c>
      <c r="N620" t="str">
        <f>_xlfn.XLOOKUP(B620,tblCustomers[customer_id],tblCustomers[region],"Missing")</f>
        <v>West</v>
      </c>
      <c r="O620" t="str">
        <f>_xlfn.XLOOKUP(C620,tblProducts[product_id],tblProducts[product_name],"Missing")</f>
        <v>CRM Essentials</v>
      </c>
      <c r="P620" t="str">
        <f>_xlfn.XLOOKUP(C620,tblProducts[product_id],tblProducts[category],"Missing")</f>
        <v>CRM</v>
      </c>
      <c r="Q620" t="str">
        <f>_xlfn.XLOOKUP(D620,tblSalesReps[rep_id],tblSalesReps[rep_name],"Missing")</f>
        <v>Sales Rep 12</v>
      </c>
      <c r="R620" t="str">
        <f>_xlfn.XLOOKUP(D620,tblSalesReps[rep_id],tblSalesReps[region],"Missing")</f>
        <v>West</v>
      </c>
    </row>
    <row r="621" spans="1:18">
      <c r="A621" t="s">
        <v>1022</v>
      </c>
      <c r="B621" t="s">
        <v>219</v>
      </c>
      <c r="C621" t="s">
        <v>15</v>
      </c>
      <c r="D621" t="s">
        <v>56</v>
      </c>
      <c r="E621" s="1">
        <v>45836</v>
      </c>
      <c r="F621" s="1">
        <v>45884</v>
      </c>
      <c r="G621" s="1"/>
      <c r="H621" t="s">
        <v>43</v>
      </c>
      <c r="I621">
        <v>1</v>
      </c>
      <c r="J621">
        <v>5</v>
      </c>
      <c r="K621">
        <v>399000</v>
      </c>
      <c r="L621">
        <v>40</v>
      </c>
      <c r="M621" t="s">
        <v>29</v>
      </c>
      <c r="N621" t="str">
        <f>_xlfn.XLOOKUP(B621,tblCustomers[customer_id],tblCustomers[region],"Missing")</f>
        <v>East</v>
      </c>
      <c r="O621" t="str">
        <f>_xlfn.XLOOKUP(C621,tblProducts[product_id],tblProducts[product_name],"Missing")</f>
        <v>CRM Enterprise</v>
      </c>
      <c r="P621" t="str">
        <f>_xlfn.XLOOKUP(C621,tblProducts[product_id],tblProducts[category],"Missing")</f>
        <v>CRM</v>
      </c>
      <c r="Q621" t="str">
        <f>_xlfn.XLOOKUP(D621,tblSalesReps[rep_id],tblSalesReps[rep_name],"Missing")</f>
        <v>Sales Rep 20</v>
      </c>
      <c r="R621" t="str">
        <f>_xlfn.XLOOKUP(D621,tblSalesReps[rep_id],tblSalesReps[region],"Missing")</f>
        <v>East</v>
      </c>
    </row>
    <row r="622" spans="1:18">
      <c r="A622" t="s">
        <v>1023</v>
      </c>
      <c r="B622" t="s">
        <v>1024</v>
      </c>
      <c r="C622" t="s">
        <v>81</v>
      </c>
      <c r="D622" t="s">
        <v>70</v>
      </c>
      <c r="E622" s="1">
        <v>45850</v>
      </c>
      <c r="F622" s="1">
        <v>45883</v>
      </c>
      <c r="G622" s="1">
        <v>45883</v>
      </c>
      <c r="H622" t="s">
        <v>28</v>
      </c>
      <c r="I622">
        <v>2</v>
      </c>
      <c r="J622">
        <v>0</v>
      </c>
      <c r="K622">
        <v>600000</v>
      </c>
      <c r="L622">
        <v>100</v>
      </c>
      <c r="M622" t="s">
        <v>29</v>
      </c>
      <c r="N622" t="str">
        <f>_xlfn.XLOOKUP(B622,tblCustomers[customer_id],tblCustomers[region],"Missing")</f>
        <v>West</v>
      </c>
      <c r="O622" t="str">
        <f>_xlfn.XLOOKUP(C622,tblProducts[product_id],tblProducts[product_name],"Missing")</f>
        <v>Analytics Cloud</v>
      </c>
      <c r="P622" t="str">
        <f>_xlfn.XLOOKUP(C622,tblProducts[product_id],tblProducts[category],"Missing")</f>
        <v>Analytics</v>
      </c>
      <c r="Q622" t="str">
        <f>_xlfn.XLOOKUP(D622,tblSalesReps[rep_id],tblSalesReps[rep_name],"Missing")</f>
        <v>Sales Rep 11</v>
      </c>
      <c r="R622" t="str">
        <f>_xlfn.XLOOKUP(D622,tblSalesReps[rep_id],tblSalesReps[region],"Missing")</f>
        <v>West</v>
      </c>
    </row>
    <row r="623" spans="1:18">
      <c r="A623" t="s">
        <v>1025</v>
      </c>
      <c r="B623" t="s">
        <v>167</v>
      </c>
      <c r="C623" t="s">
        <v>39</v>
      </c>
      <c r="D623" t="s">
        <v>152</v>
      </c>
      <c r="E623" s="1">
        <v>45820</v>
      </c>
      <c r="F623" s="1">
        <v>45853</v>
      </c>
      <c r="G623" s="1">
        <v>45853</v>
      </c>
      <c r="H623" t="s">
        <v>17</v>
      </c>
      <c r="I623">
        <v>1</v>
      </c>
      <c r="J623">
        <v>20</v>
      </c>
      <c r="K623">
        <v>144000</v>
      </c>
      <c r="L623">
        <v>0</v>
      </c>
      <c r="M623" t="s">
        <v>82</v>
      </c>
      <c r="N623" t="str">
        <f>_xlfn.XLOOKUP(B623,tblCustomers[customer_id],tblCustomers[region],"Missing")</f>
        <v>East</v>
      </c>
      <c r="O623" t="str">
        <f>_xlfn.XLOOKUP(C623,tblProducts[product_id],tblProducts[product_name],"Missing")</f>
        <v>Support Desk</v>
      </c>
      <c r="P623" t="str">
        <f>_xlfn.XLOOKUP(C623,tblProducts[product_id],tblProducts[category],"Missing")</f>
        <v>Service</v>
      </c>
      <c r="Q623" t="str">
        <f>_xlfn.XLOOKUP(D623,tblSalesReps[rep_id],tblSalesReps[rep_name],"Missing")</f>
        <v>Sales Rep 18</v>
      </c>
      <c r="R623" t="str">
        <f>_xlfn.XLOOKUP(D623,tblSalesReps[rep_id],tblSalesReps[region],"Missing")</f>
        <v>East</v>
      </c>
    </row>
    <row r="624" spans="1:18">
      <c r="A624" t="s">
        <v>1026</v>
      </c>
      <c r="B624" t="s">
        <v>1027</v>
      </c>
      <c r="C624" t="s">
        <v>62</v>
      </c>
      <c r="D624" t="s">
        <v>59</v>
      </c>
      <c r="E624" s="1">
        <v>45991</v>
      </c>
      <c r="F624" s="1">
        <v>46008</v>
      </c>
      <c r="G624" s="1">
        <v>46008</v>
      </c>
      <c r="H624" t="s">
        <v>28</v>
      </c>
      <c r="I624">
        <v>2</v>
      </c>
      <c r="J624">
        <v>15</v>
      </c>
      <c r="K624">
        <v>204000</v>
      </c>
      <c r="L624">
        <v>100</v>
      </c>
      <c r="M624" t="s">
        <v>29</v>
      </c>
      <c r="N624" t="str">
        <f>_xlfn.XLOOKUP(B624,tblCustomers[customer_id],tblCustomers[region],"Missing")</f>
        <v>East</v>
      </c>
      <c r="O624" t="str">
        <f>_xlfn.XLOOKUP(C624,tblProducts[product_id],tblProducts[product_name],"Missing")</f>
        <v>CRM Essentials</v>
      </c>
      <c r="P624" t="str">
        <f>_xlfn.XLOOKUP(C624,tblProducts[product_id],tblProducts[category],"Missing")</f>
        <v>CRM</v>
      </c>
      <c r="Q624" t="str">
        <f>_xlfn.XLOOKUP(D624,tblSalesReps[rep_id],tblSalesReps[rep_name],"Missing")</f>
        <v>Sales Rep 19</v>
      </c>
      <c r="R624" t="str">
        <f>_xlfn.XLOOKUP(D624,tblSalesReps[rep_id],tblSalesReps[region],"Missing")</f>
        <v>East</v>
      </c>
    </row>
    <row r="625" spans="1:18">
      <c r="A625" t="s">
        <v>1028</v>
      </c>
      <c r="B625" t="s">
        <v>994</v>
      </c>
      <c r="C625" t="s">
        <v>62</v>
      </c>
      <c r="D625" t="s">
        <v>27</v>
      </c>
      <c r="E625" s="1">
        <v>45963</v>
      </c>
      <c r="F625" s="1">
        <v>46007</v>
      </c>
      <c r="G625" s="1"/>
      <c r="H625" t="s">
        <v>43</v>
      </c>
      <c r="I625">
        <v>1</v>
      </c>
      <c r="J625">
        <v>20</v>
      </c>
      <c r="K625">
        <v>96000</v>
      </c>
      <c r="L625">
        <v>80</v>
      </c>
      <c r="M625" t="s">
        <v>29</v>
      </c>
      <c r="N625" t="str">
        <f>_xlfn.XLOOKUP(B625,tblCustomers[customer_id],tblCustomers[region],"Missing")</f>
        <v>North</v>
      </c>
      <c r="O625" t="str">
        <f>_xlfn.XLOOKUP(C625,tblProducts[product_id],tblProducts[product_name],"Missing")</f>
        <v>CRM Essentials</v>
      </c>
      <c r="P625" t="str">
        <f>_xlfn.XLOOKUP(C625,tblProducts[product_id],tblProducts[category],"Missing")</f>
        <v>CRM</v>
      </c>
      <c r="Q625" t="str">
        <f>_xlfn.XLOOKUP(D625,tblSalesReps[rep_id],tblSalesReps[rep_name],"Missing")</f>
        <v>Sales Rep 06</v>
      </c>
      <c r="R625" t="str">
        <f>_xlfn.XLOOKUP(D625,tblSalesReps[rep_id],tblSalesReps[region],"Missing")</f>
        <v>North</v>
      </c>
    </row>
    <row r="626" spans="1:18">
      <c r="A626" t="s">
        <v>1029</v>
      </c>
      <c r="B626" t="s">
        <v>636</v>
      </c>
      <c r="C626" t="s">
        <v>62</v>
      </c>
      <c r="D626" t="s">
        <v>75</v>
      </c>
      <c r="E626" s="1">
        <v>45673</v>
      </c>
      <c r="F626" s="1">
        <v>45719</v>
      </c>
      <c r="G626" s="1">
        <v>45719</v>
      </c>
      <c r="H626" t="s">
        <v>17</v>
      </c>
      <c r="I626">
        <v>2</v>
      </c>
      <c r="J626">
        <v>10</v>
      </c>
      <c r="K626">
        <v>216000</v>
      </c>
      <c r="L626">
        <v>0</v>
      </c>
      <c r="M626" t="s">
        <v>33</v>
      </c>
      <c r="N626" t="str">
        <f>_xlfn.XLOOKUP(B626,tblCustomers[customer_id],tblCustomers[region],"Missing")</f>
        <v>North</v>
      </c>
      <c r="O626" t="str">
        <f>_xlfn.XLOOKUP(C626,tblProducts[product_id],tblProducts[product_name],"Missing")</f>
        <v>CRM Essentials</v>
      </c>
      <c r="P626" t="str">
        <f>_xlfn.XLOOKUP(C626,tblProducts[product_id],tblProducts[category],"Missing")</f>
        <v>CRM</v>
      </c>
      <c r="Q626" t="str">
        <f>_xlfn.XLOOKUP(D626,tblSalesReps[rep_id],tblSalesReps[rep_name],"Missing")</f>
        <v>Sales Rep 07</v>
      </c>
      <c r="R626" t="str">
        <f>_xlfn.XLOOKUP(D626,tblSalesReps[rep_id],tblSalesReps[region],"Missing")</f>
        <v>North</v>
      </c>
    </row>
    <row r="627" spans="1:18">
      <c r="A627" t="s">
        <v>1030</v>
      </c>
      <c r="B627" t="s">
        <v>402</v>
      </c>
      <c r="C627" t="s">
        <v>39</v>
      </c>
      <c r="D627" t="s">
        <v>126</v>
      </c>
      <c r="E627" s="1">
        <v>45738</v>
      </c>
      <c r="F627" s="1">
        <v>45789</v>
      </c>
      <c r="G627" s="1">
        <v>45789</v>
      </c>
      <c r="H627" t="s">
        <v>28</v>
      </c>
      <c r="I627">
        <v>1</v>
      </c>
      <c r="J627">
        <v>0</v>
      </c>
      <c r="K627">
        <v>180000</v>
      </c>
      <c r="L627">
        <v>100</v>
      </c>
      <c r="M627" t="s">
        <v>29</v>
      </c>
      <c r="N627" t="str">
        <f>_xlfn.XLOOKUP(B627,tblCustomers[customer_id],tblCustomers[region],"Missing")</f>
        <v>South</v>
      </c>
      <c r="O627" t="str">
        <f>_xlfn.XLOOKUP(C627,tblProducts[product_id],tblProducts[product_name],"Missing")</f>
        <v>Support Desk</v>
      </c>
      <c r="P627" t="str">
        <f>_xlfn.XLOOKUP(C627,tblProducts[product_id],tblProducts[category],"Missing")</f>
        <v>Service</v>
      </c>
      <c r="Q627" t="str">
        <f>_xlfn.XLOOKUP(D627,tblSalesReps[rep_id],tblSalesReps[rep_name],"Missing")</f>
        <v>Sales Rep 02</v>
      </c>
      <c r="R627" t="str">
        <f>_xlfn.XLOOKUP(D627,tblSalesReps[rep_id],tblSalesReps[region],"Missing")</f>
        <v>South</v>
      </c>
    </row>
    <row r="628" spans="1:18">
      <c r="A628" t="s">
        <v>1031</v>
      </c>
      <c r="B628" t="s">
        <v>266</v>
      </c>
      <c r="C628" t="s">
        <v>39</v>
      </c>
      <c r="D628" t="s">
        <v>70</v>
      </c>
      <c r="E628" s="1">
        <v>45817</v>
      </c>
      <c r="F628" s="1">
        <v>45856</v>
      </c>
      <c r="G628" s="1">
        <v>45856</v>
      </c>
      <c r="H628" t="s">
        <v>17</v>
      </c>
      <c r="I628">
        <v>1</v>
      </c>
      <c r="J628">
        <v>10</v>
      </c>
      <c r="K628">
        <v>162000</v>
      </c>
      <c r="L628">
        <v>0</v>
      </c>
      <c r="M628" t="s">
        <v>33</v>
      </c>
      <c r="N628" t="str">
        <f>_xlfn.XLOOKUP(B628,tblCustomers[customer_id],tblCustomers[region],"Missing")</f>
        <v>West</v>
      </c>
      <c r="O628" t="str">
        <f>_xlfn.XLOOKUP(C628,tblProducts[product_id],tblProducts[product_name],"Missing")</f>
        <v>Support Desk</v>
      </c>
      <c r="P628" t="str">
        <f>_xlfn.XLOOKUP(C628,tblProducts[product_id],tblProducts[category],"Missing")</f>
        <v>Service</v>
      </c>
      <c r="Q628" t="str">
        <f>_xlfn.XLOOKUP(D628,tblSalesReps[rep_id],tblSalesReps[rep_name],"Missing")</f>
        <v>Sales Rep 11</v>
      </c>
      <c r="R628" t="str">
        <f>_xlfn.XLOOKUP(D628,tblSalesReps[rep_id],tblSalesReps[region],"Missing")</f>
        <v>West</v>
      </c>
    </row>
    <row r="629" spans="1:18">
      <c r="A629" t="s">
        <v>1032</v>
      </c>
      <c r="B629" t="s">
        <v>1033</v>
      </c>
      <c r="C629" t="s">
        <v>39</v>
      </c>
      <c r="D629" t="s">
        <v>78</v>
      </c>
      <c r="E629" s="1">
        <v>45731</v>
      </c>
      <c r="F629" s="1">
        <v>45748</v>
      </c>
      <c r="G629" s="1">
        <v>45748</v>
      </c>
      <c r="H629" t="s">
        <v>28</v>
      </c>
      <c r="I629">
        <v>1</v>
      </c>
      <c r="J629">
        <v>15</v>
      </c>
      <c r="K629">
        <v>153000</v>
      </c>
      <c r="L629">
        <v>100</v>
      </c>
      <c r="M629" t="s">
        <v>29</v>
      </c>
      <c r="N629" t="str">
        <f>_xlfn.XLOOKUP(B629,tblCustomers[customer_id],tblCustomers[region],"Missing")</f>
        <v>West</v>
      </c>
      <c r="O629" t="str">
        <f>_xlfn.XLOOKUP(C629,tblProducts[product_id],tblProducts[product_name],"Missing")</f>
        <v>Support Desk</v>
      </c>
      <c r="P629" t="str">
        <f>_xlfn.XLOOKUP(C629,tblProducts[product_id],tblProducts[category],"Missing")</f>
        <v>Service</v>
      </c>
      <c r="Q629" t="str">
        <f>_xlfn.XLOOKUP(D629,tblSalesReps[rep_id],tblSalesReps[rep_name],"Missing")</f>
        <v>Sales Rep 12</v>
      </c>
      <c r="R629" t="str">
        <f>_xlfn.XLOOKUP(D629,tblSalesReps[rep_id],tblSalesReps[region],"Missing")</f>
        <v>West</v>
      </c>
    </row>
    <row r="630" spans="1:18">
      <c r="A630" t="s">
        <v>1034</v>
      </c>
      <c r="B630" t="s">
        <v>1035</v>
      </c>
      <c r="C630" t="s">
        <v>81</v>
      </c>
      <c r="D630" t="s">
        <v>63</v>
      </c>
      <c r="E630" s="1">
        <v>45924</v>
      </c>
      <c r="F630" s="1">
        <v>45965</v>
      </c>
      <c r="G630" s="1">
        <v>45965</v>
      </c>
      <c r="H630" t="s">
        <v>17</v>
      </c>
      <c r="I630">
        <v>1</v>
      </c>
      <c r="J630">
        <v>10</v>
      </c>
      <c r="K630">
        <v>270000</v>
      </c>
      <c r="L630">
        <v>0</v>
      </c>
      <c r="M630" t="s">
        <v>18</v>
      </c>
      <c r="N630" t="str">
        <f>_xlfn.XLOOKUP(B630,tblCustomers[customer_id],tblCustomers[region],"Missing")</f>
        <v>South</v>
      </c>
      <c r="O630" t="str">
        <f>_xlfn.XLOOKUP(C630,tblProducts[product_id],tblProducts[product_name],"Missing")</f>
        <v>Analytics Cloud</v>
      </c>
      <c r="P630" t="str">
        <f>_xlfn.XLOOKUP(C630,tblProducts[product_id],tblProducts[category],"Missing")</f>
        <v>Analytics</v>
      </c>
      <c r="Q630" t="str">
        <f>_xlfn.XLOOKUP(D630,tblSalesReps[rep_id],tblSalesReps[rep_name],"Missing")</f>
        <v>Sales Rep 05</v>
      </c>
      <c r="R630" t="str">
        <f>_xlfn.XLOOKUP(D630,tblSalesReps[rep_id],tblSalesReps[region],"Missing")</f>
        <v>South</v>
      </c>
    </row>
    <row r="631" spans="1:18">
      <c r="A631" t="s">
        <v>1036</v>
      </c>
      <c r="B631" t="s">
        <v>238</v>
      </c>
      <c r="C631" t="s">
        <v>62</v>
      </c>
      <c r="D631" t="s">
        <v>78</v>
      </c>
      <c r="E631" s="1">
        <v>45740</v>
      </c>
      <c r="F631" s="1">
        <v>45748</v>
      </c>
      <c r="G631" s="1">
        <v>45748</v>
      </c>
      <c r="H631" t="s">
        <v>17</v>
      </c>
      <c r="I631">
        <v>3</v>
      </c>
      <c r="J631">
        <v>15</v>
      </c>
      <c r="K631">
        <v>306000</v>
      </c>
      <c r="L631">
        <v>0</v>
      </c>
      <c r="M631" t="s">
        <v>18</v>
      </c>
      <c r="N631" t="str">
        <f>_xlfn.XLOOKUP(B631,tblCustomers[customer_id],tblCustomers[region],"Missing")</f>
        <v>West</v>
      </c>
      <c r="O631" t="str">
        <f>_xlfn.XLOOKUP(C631,tblProducts[product_id],tblProducts[product_name],"Missing")</f>
        <v>CRM Essentials</v>
      </c>
      <c r="P631" t="str">
        <f>_xlfn.XLOOKUP(C631,tblProducts[product_id],tblProducts[category],"Missing")</f>
        <v>CRM</v>
      </c>
      <c r="Q631" t="str">
        <f>_xlfn.XLOOKUP(D631,tblSalesReps[rep_id],tblSalesReps[rep_name],"Missing")</f>
        <v>Sales Rep 12</v>
      </c>
      <c r="R631" t="str">
        <f>_xlfn.XLOOKUP(D631,tblSalesReps[rep_id],tblSalesReps[region],"Missing")</f>
        <v>West</v>
      </c>
    </row>
    <row r="632" spans="1:18">
      <c r="A632" t="s">
        <v>1037</v>
      </c>
      <c r="B632" t="s">
        <v>102</v>
      </c>
      <c r="C632" t="s">
        <v>21</v>
      </c>
      <c r="D632" t="s">
        <v>50</v>
      </c>
      <c r="E632" s="1">
        <v>45830</v>
      </c>
      <c r="F632" s="1">
        <v>45860</v>
      </c>
      <c r="G632" s="1">
        <v>45860</v>
      </c>
      <c r="H632" t="s">
        <v>28</v>
      </c>
      <c r="I632">
        <v>1</v>
      </c>
      <c r="J632">
        <v>10</v>
      </c>
      <c r="K632">
        <v>216000</v>
      </c>
      <c r="L632">
        <v>100</v>
      </c>
      <c r="M632" t="s">
        <v>29</v>
      </c>
      <c r="N632" t="str">
        <f>_xlfn.XLOOKUP(B632,tblCustomers[customer_id],tblCustomers[region],"Missing")</f>
        <v>West</v>
      </c>
      <c r="O632" t="str">
        <f>_xlfn.XLOOKUP(C632,tblProducts[product_id],tblProducts[product_name],"Missing")</f>
        <v>Workflow Automate</v>
      </c>
      <c r="P632" t="str">
        <f>_xlfn.XLOOKUP(C632,tblProducts[product_id],tblProducts[category],"Missing")</f>
        <v>Automation</v>
      </c>
      <c r="Q632" t="str">
        <f>_xlfn.XLOOKUP(D632,tblSalesReps[rep_id],tblSalesReps[rep_name],"Missing")</f>
        <v>Sales Rep 15</v>
      </c>
      <c r="R632" t="str">
        <f>_xlfn.XLOOKUP(D632,tblSalesReps[rep_id],tblSalesReps[region],"Missing")</f>
        <v>West</v>
      </c>
    </row>
    <row r="633" spans="1:18">
      <c r="A633" t="s">
        <v>1038</v>
      </c>
      <c r="B633" t="s">
        <v>1039</v>
      </c>
      <c r="C633" t="s">
        <v>81</v>
      </c>
      <c r="D633" t="s">
        <v>70</v>
      </c>
      <c r="E633" s="1">
        <v>45719</v>
      </c>
      <c r="F633" s="1">
        <v>45763</v>
      </c>
      <c r="G633" s="1">
        <v>45763</v>
      </c>
      <c r="H633" t="s">
        <v>17</v>
      </c>
      <c r="I633">
        <v>1</v>
      </c>
      <c r="J633">
        <v>10</v>
      </c>
      <c r="K633">
        <v>270000</v>
      </c>
      <c r="L633">
        <v>0</v>
      </c>
      <c r="M633" t="s">
        <v>82</v>
      </c>
      <c r="N633" t="str">
        <f>_xlfn.XLOOKUP(B633,tblCustomers[customer_id],tblCustomers[region],"Missing")</f>
        <v>West</v>
      </c>
      <c r="O633" t="str">
        <f>_xlfn.XLOOKUP(C633,tblProducts[product_id],tblProducts[product_name],"Missing")</f>
        <v>Analytics Cloud</v>
      </c>
      <c r="P633" t="str">
        <f>_xlfn.XLOOKUP(C633,tblProducts[product_id],tblProducts[category],"Missing")</f>
        <v>Analytics</v>
      </c>
      <c r="Q633" t="str">
        <f>_xlfn.XLOOKUP(D633,tblSalesReps[rep_id],tblSalesReps[rep_name],"Missing")</f>
        <v>Sales Rep 11</v>
      </c>
      <c r="R633" t="str">
        <f>_xlfn.XLOOKUP(D633,tblSalesReps[rep_id],tblSalesReps[region],"Missing")</f>
        <v>West</v>
      </c>
    </row>
    <row r="634" spans="1:18">
      <c r="A634" t="s">
        <v>1040</v>
      </c>
      <c r="B634" t="s">
        <v>219</v>
      </c>
      <c r="C634" t="s">
        <v>15</v>
      </c>
      <c r="D634" t="s">
        <v>56</v>
      </c>
      <c r="E634" s="1">
        <v>45929</v>
      </c>
      <c r="F634" s="1">
        <v>46004</v>
      </c>
      <c r="G634" s="1">
        <v>46004</v>
      </c>
      <c r="H634" t="s">
        <v>17</v>
      </c>
      <c r="I634">
        <v>1</v>
      </c>
      <c r="J634">
        <v>20</v>
      </c>
      <c r="K634">
        <v>336000</v>
      </c>
      <c r="L634">
        <v>0</v>
      </c>
      <c r="M634" t="s">
        <v>33</v>
      </c>
      <c r="N634" t="str">
        <f>_xlfn.XLOOKUP(B634,tblCustomers[customer_id],tblCustomers[region],"Missing")</f>
        <v>East</v>
      </c>
      <c r="O634" t="str">
        <f>_xlfn.XLOOKUP(C634,tblProducts[product_id],tblProducts[product_name],"Missing")</f>
        <v>CRM Enterprise</v>
      </c>
      <c r="P634" t="str">
        <f>_xlfn.XLOOKUP(C634,tblProducts[product_id],tblProducts[category],"Missing")</f>
        <v>CRM</v>
      </c>
      <c r="Q634" t="str">
        <f>_xlfn.XLOOKUP(D634,tblSalesReps[rep_id],tblSalesReps[rep_name],"Missing")</f>
        <v>Sales Rep 20</v>
      </c>
      <c r="R634" t="str">
        <f>_xlfn.XLOOKUP(D634,tblSalesReps[rep_id],tblSalesReps[region],"Missing")</f>
        <v>East</v>
      </c>
    </row>
    <row r="635" spans="1:18">
      <c r="A635" t="s">
        <v>1041</v>
      </c>
      <c r="B635" t="s">
        <v>446</v>
      </c>
      <c r="C635" t="s">
        <v>15</v>
      </c>
      <c r="D635" t="s">
        <v>152</v>
      </c>
      <c r="E635" s="1">
        <v>45683</v>
      </c>
      <c r="F635" s="1">
        <v>45741</v>
      </c>
      <c r="G635" s="1"/>
      <c r="H635" t="s">
        <v>43</v>
      </c>
      <c r="I635">
        <v>1</v>
      </c>
      <c r="J635">
        <v>15</v>
      </c>
      <c r="K635">
        <v>357000</v>
      </c>
      <c r="L635">
        <v>80</v>
      </c>
      <c r="M635" t="s">
        <v>29</v>
      </c>
      <c r="N635" t="str">
        <f>_xlfn.XLOOKUP(B635,tblCustomers[customer_id],tblCustomers[region],"Missing")</f>
        <v>East</v>
      </c>
      <c r="O635" t="str">
        <f>_xlfn.XLOOKUP(C635,tblProducts[product_id],tblProducts[product_name],"Missing")</f>
        <v>CRM Enterprise</v>
      </c>
      <c r="P635" t="str">
        <f>_xlfn.XLOOKUP(C635,tblProducts[product_id],tblProducts[category],"Missing")</f>
        <v>CRM</v>
      </c>
      <c r="Q635" t="str">
        <f>_xlfn.XLOOKUP(D635,tblSalesReps[rep_id],tblSalesReps[rep_name],"Missing")</f>
        <v>Sales Rep 18</v>
      </c>
      <c r="R635" t="str">
        <f>_xlfn.XLOOKUP(D635,tblSalesReps[rep_id],tblSalesReps[region],"Missing")</f>
        <v>East</v>
      </c>
    </row>
    <row r="636" spans="1:18">
      <c r="A636" t="s">
        <v>1042</v>
      </c>
      <c r="B636" t="s">
        <v>1043</v>
      </c>
      <c r="C636" t="s">
        <v>62</v>
      </c>
      <c r="D636" t="s">
        <v>70</v>
      </c>
      <c r="E636" s="1">
        <v>45868</v>
      </c>
      <c r="F636" s="1">
        <v>45936</v>
      </c>
      <c r="G636" s="1">
        <v>45936</v>
      </c>
      <c r="H636" t="s">
        <v>28</v>
      </c>
      <c r="I636">
        <v>1</v>
      </c>
      <c r="J636">
        <v>5</v>
      </c>
      <c r="K636">
        <v>114000</v>
      </c>
      <c r="L636">
        <v>100</v>
      </c>
      <c r="M636" t="s">
        <v>29</v>
      </c>
      <c r="N636" t="str">
        <f>_xlfn.XLOOKUP(B636,tblCustomers[customer_id],tblCustomers[region],"Missing")</f>
        <v>West</v>
      </c>
      <c r="O636" t="str">
        <f>_xlfn.XLOOKUP(C636,tblProducts[product_id],tblProducts[product_name],"Missing")</f>
        <v>CRM Essentials</v>
      </c>
      <c r="P636" t="str">
        <f>_xlfn.XLOOKUP(C636,tblProducts[product_id],tblProducts[category],"Missing")</f>
        <v>CRM</v>
      </c>
      <c r="Q636" t="str">
        <f>_xlfn.XLOOKUP(D636,tblSalesReps[rep_id],tblSalesReps[rep_name],"Missing")</f>
        <v>Sales Rep 11</v>
      </c>
      <c r="R636" t="str">
        <f>_xlfn.XLOOKUP(D636,tblSalesReps[rep_id],tblSalesReps[region],"Missing")</f>
        <v>West</v>
      </c>
    </row>
    <row r="637" spans="1:18">
      <c r="A637" t="s">
        <v>1044</v>
      </c>
      <c r="B637" t="s">
        <v>143</v>
      </c>
      <c r="C637" t="s">
        <v>81</v>
      </c>
      <c r="D637" t="s">
        <v>27</v>
      </c>
      <c r="E637" s="1">
        <v>45957</v>
      </c>
      <c r="F637" s="1">
        <v>45983</v>
      </c>
      <c r="G637" s="1"/>
      <c r="H637" t="s">
        <v>43</v>
      </c>
      <c r="I637">
        <v>1</v>
      </c>
      <c r="J637">
        <v>15</v>
      </c>
      <c r="K637">
        <v>255000</v>
      </c>
      <c r="L637">
        <v>40</v>
      </c>
      <c r="M637" t="s">
        <v>29</v>
      </c>
      <c r="N637" t="str">
        <f>_xlfn.XLOOKUP(B637,tblCustomers[customer_id],tblCustomers[region],"Missing")</f>
        <v>North</v>
      </c>
      <c r="O637" t="str">
        <f>_xlfn.XLOOKUP(C637,tblProducts[product_id],tblProducts[product_name],"Missing")</f>
        <v>Analytics Cloud</v>
      </c>
      <c r="P637" t="str">
        <f>_xlfn.XLOOKUP(C637,tblProducts[product_id],tblProducts[category],"Missing")</f>
        <v>Analytics</v>
      </c>
      <c r="Q637" t="str">
        <f>_xlfn.XLOOKUP(D637,tblSalesReps[rep_id],tblSalesReps[rep_name],"Missing")</f>
        <v>Sales Rep 06</v>
      </c>
      <c r="R637" t="str">
        <f>_xlfn.XLOOKUP(D637,tblSalesReps[rep_id],tblSalesReps[region],"Missing")</f>
        <v>North</v>
      </c>
    </row>
    <row r="638" spans="1:18">
      <c r="A638" t="s">
        <v>1045</v>
      </c>
      <c r="B638" t="s">
        <v>300</v>
      </c>
      <c r="C638" t="s">
        <v>26</v>
      </c>
      <c r="D638" t="s">
        <v>22</v>
      </c>
      <c r="E638" s="1">
        <v>45810</v>
      </c>
      <c r="F638" s="1">
        <v>45886</v>
      </c>
      <c r="G638" s="1"/>
      <c r="H638" t="s">
        <v>43</v>
      </c>
      <c r="I638">
        <v>3</v>
      </c>
      <c r="J638">
        <v>15</v>
      </c>
      <c r="K638">
        <v>918000</v>
      </c>
      <c r="L638">
        <v>40</v>
      </c>
      <c r="M638" t="s">
        <v>29</v>
      </c>
      <c r="N638" t="str">
        <f>_xlfn.XLOOKUP(B638,tblCustomers[customer_id],tblCustomers[region],"Missing")</f>
        <v>West</v>
      </c>
      <c r="O638" t="str">
        <f>_xlfn.XLOOKUP(C638,tblProducts[product_id],tblProducts[product_name],"Missing")</f>
        <v>Security Suite</v>
      </c>
      <c r="P638" t="str">
        <f>_xlfn.XLOOKUP(C638,tblProducts[product_id],tblProducts[category],"Missing")</f>
        <v>Security</v>
      </c>
      <c r="Q638" t="str">
        <f>_xlfn.XLOOKUP(D638,tblSalesReps[rep_id],tblSalesReps[rep_name],"Missing")</f>
        <v>Sales Rep 14</v>
      </c>
      <c r="R638" t="str">
        <f>_xlfn.XLOOKUP(D638,tblSalesReps[rep_id],tblSalesReps[region],"Missing")</f>
        <v>West</v>
      </c>
    </row>
    <row r="639" spans="1:18">
      <c r="A639" t="s">
        <v>1046</v>
      </c>
      <c r="B639" t="s">
        <v>539</v>
      </c>
      <c r="C639" t="s">
        <v>81</v>
      </c>
      <c r="D639" t="s">
        <v>59</v>
      </c>
      <c r="E639" s="1">
        <v>45957</v>
      </c>
      <c r="F639" s="1">
        <v>46026</v>
      </c>
      <c r="G639" s="1"/>
      <c r="H639" t="s">
        <v>43</v>
      </c>
      <c r="I639">
        <v>1</v>
      </c>
      <c r="J639">
        <v>5</v>
      </c>
      <c r="K639">
        <v>285000</v>
      </c>
      <c r="L639">
        <v>20</v>
      </c>
      <c r="M639" t="s">
        <v>29</v>
      </c>
      <c r="N639" t="str">
        <f>_xlfn.XLOOKUP(B639,tblCustomers[customer_id],tblCustomers[region],"Missing")</f>
        <v>East</v>
      </c>
      <c r="O639" t="str">
        <f>_xlfn.XLOOKUP(C639,tblProducts[product_id],tblProducts[product_name],"Missing")</f>
        <v>Analytics Cloud</v>
      </c>
      <c r="P639" t="str">
        <f>_xlfn.XLOOKUP(C639,tblProducts[product_id],tblProducts[category],"Missing")</f>
        <v>Analytics</v>
      </c>
      <c r="Q639" t="str">
        <f>_xlfn.XLOOKUP(D639,tblSalesReps[rep_id],tblSalesReps[rep_name],"Missing")</f>
        <v>Sales Rep 19</v>
      </c>
      <c r="R639" t="str">
        <f>_xlfn.XLOOKUP(D639,tblSalesReps[rep_id],tblSalesReps[region],"Missing")</f>
        <v>East</v>
      </c>
    </row>
    <row r="640" spans="1:18">
      <c r="A640" t="s">
        <v>1047</v>
      </c>
      <c r="B640" t="s">
        <v>65</v>
      </c>
      <c r="C640" t="s">
        <v>26</v>
      </c>
      <c r="D640" t="s">
        <v>53</v>
      </c>
      <c r="E640" s="1">
        <v>45801</v>
      </c>
      <c r="F640" s="1">
        <v>45843</v>
      </c>
      <c r="G640" s="1"/>
      <c r="H640" t="s">
        <v>43</v>
      </c>
      <c r="I640">
        <v>1</v>
      </c>
      <c r="J640">
        <v>20</v>
      </c>
      <c r="K640">
        <v>288000</v>
      </c>
      <c r="L640">
        <v>60</v>
      </c>
      <c r="M640" t="s">
        <v>29</v>
      </c>
      <c r="N640" t="str">
        <f>_xlfn.XLOOKUP(B640,tblCustomers[customer_id],tblCustomers[region],"Missing")</f>
        <v>East</v>
      </c>
      <c r="O640" t="str">
        <f>_xlfn.XLOOKUP(C640,tblProducts[product_id],tblProducts[product_name],"Missing")</f>
        <v>Security Suite</v>
      </c>
      <c r="P640" t="str">
        <f>_xlfn.XLOOKUP(C640,tblProducts[product_id],tblProducts[category],"Missing")</f>
        <v>Security</v>
      </c>
      <c r="Q640" t="str">
        <f>_xlfn.XLOOKUP(D640,tblSalesReps[rep_id],tblSalesReps[rep_name],"Missing")</f>
        <v>Sales Rep 16</v>
      </c>
      <c r="R640" t="str">
        <f>_xlfn.XLOOKUP(D640,tblSalesReps[rep_id],tblSalesReps[region],"Missing")</f>
        <v>East</v>
      </c>
    </row>
    <row r="641" spans="1:18">
      <c r="A641" t="s">
        <v>1048</v>
      </c>
      <c r="B641" t="s">
        <v>219</v>
      </c>
      <c r="C641" t="s">
        <v>26</v>
      </c>
      <c r="D641" t="s">
        <v>59</v>
      </c>
      <c r="E641" s="1">
        <v>45945</v>
      </c>
      <c r="F641" s="1">
        <v>46024</v>
      </c>
      <c r="G641" s="1"/>
      <c r="H641" t="s">
        <v>43</v>
      </c>
      <c r="I641">
        <v>2</v>
      </c>
      <c r="J641">
        <v>20</v>
      </c>
      <c r="K641">
        <v>576000</v>
      </c>
      <c r="L641">
        <v>80</v>
      </c>
      <c r="M641" t="s">
        <v>29</v>
      </c>
      <c r="N641" t="str">
        <f>_xlfn.XLOOKUP(B641,tblCustomers[customer_id],tblCustomers[region],"Missing")</f>
        <v>East</v>
      </c>
      <c r="O641" t="str">
        <f>_xlfn.XLOOKUP(C641,tblProducts[product_id],tblProducts[product_name],"Missing")</f>
        <v>Security Suite</v>
      </c>
      <c r="P641" t="str">
        <f>_xlfn.XLOOKUP(C641,tblProducts[product_id],tblProducts[category],"Missing")</f>
        <v>Security</v>
      </c>
      <c r="Q641" t="str">
        <f>_xlfn.XLOOKUP(D641,tblSalesReps[rep_id],tblSalesReps[rep_name],"Missing")</f>
        <v>Sales Rep 19</v>
      </c>
      <c r="R641" t="str">
        <f>_xlfn.XLOOKUP(D641,tblSalesReps[rep_id],tblSalesReps[region],"Missing")</f>
        <v>East</v>
      </c>
    </row>
    <row r="642" spans="1:18">
      <c r="A642" t="s">
        <v>1049</v>
      </c>
      <c r="B642" t="s">
        <v>653</v>
      </c>
      <c r="C642" t="s">
        <v>15</v>
      </c>
      <c r="D642" t="s">
        <v>152</v>
      </c>
      <c r="E642" s="1">
        <v>45955</v>
      </c>
      <c r="F642" s="1">
        <v>46039</v>
      </c>
      <c r="G642" s="1"/>
      <c r="H642" t="s">
        <v>43</v>
      </c>
      <c r="I642">
        <v>2</v>
      </c>
      <c r="J642">
        <v>15</v>
      </c>
      <c r="K642">
        <v>714000</v>
      </c>
      <c r="L642">
        <v>20</v>
      </c>
      <c r="M642" t="s">
        <v>29</v>
      </c>
      <c r="N642" t="str">
        <f>_xlfn.XLOOKUP(B642,tblCustomers[customer_id],tblCustomers[region],"Missing")</f>
        <v>East</v>
      </c>
      <c r="O642" t="str">
        <f>_xlfn.XLOOKUP(C642,tblProducts[product_id],tblProducts[product_name],"Missing")</f>
        <v>CRM Enterprise</v>
      </c>
      <c r="P642" t="str">
        <f>_xlfn.XLOOKUP(C642,tblProducts[product_id],tblProducts[category],"Missing")</f>
        <v>CRM</v>
      </c>
      <c r="Q642" t="str">
        <f>_xlfn.XLOOKUP(D642,tblSalesReps[rep_id],tblSalesReps[rep_name],"Missing")</f>
        <v>Sales Rep 18</v>
      </c>
      <c r="R642" t="str">
        <f>_xlfn.XLOOKUP(D642,tblSalesReps[rep_id],tblSalesReps[region],"Missing")</f>
        <v>East</v>
      </c>
    </row>
    <row r="643" spans="1:18">
      <c r="A643" t="s">
        <v>1050</v>
      </c>
      <c r="B643" t="s">
        <v>1051</v>
      </c>
      <c r="C643" t="s">
        <v>21</v>
      </c>
      <c r="D643" t="s">
        <v>53</v>
      </c>
      <c r="E643" s="1">
        <v>45807</v>
      </c>
      <c r="F643" s="1">
        <v>45817</v>
      </c>
      <c r="G643" s="1"/>
      <c r="H643" t="s">
        <v>43</v>
      </c>
      <c r="I643">
        <v>2</v>
      </c>
      <c r="J643">
        <v>10</v>
      </c>
      <c r="K643">
        <v>432000</v>
      </c>
      <c r="L643">
        <v>60</v>
      </c>
      <c r="M643" t="s">
        <v>29</v>
      </c>
      <c r="N643" t="str">
        <f>_xlfn.XLOOKUP(B643,tblCustomers[customer_id],tblCustomers[region],"Missing")</f>
        <v>East</v>
      </c>
      <c r="O643" t="str">
        <f>_xlfn.XLOOKUP(C643,tblProducts[product_id],tblProducts[product_name],"Missing")</f>
        <v>Workflow Automate</v>
      </c>
      <c r="P643" t="str">
        <f>_xlfn.XLOOKUP(C643,tblProducts[product_id],tblProducts[category],"Missing")</f>
        <v>Automation</v>
      </c>
      <c r="Q643" t="str">
        <f>_xlfn.XLOOKUP(D643,tblSalesReps[rep_id],tblSalesReps[rep_name],"Missing")</f>
        <v>Sales Rep 16</v>
      </c>
      <c r="R643" t="str">
        <f>_xlfn.XLOOKUP(D643,tblSalesReps[rep_id],tblSalesReps[region],"Missing")</f>
        <v>East</v>
      </c>
    </row>
    <row r="644" spans="1:18">
      <c r="A644" t="s">
        <v>1052</v>
      </c>
      <c r="B644" t="s">
        <v>121</v>
      </c>
      <c r="C644" t="s">
        <v>21</v>
      </c>
      <c r="D644" t="s">
        <v>32</v>
      </c>
      <c r="E644" s="1">
        <v>45836</v>
      </c>
      <c r="F644" s="1">
        <v>45865</v>
      </c>
      <c r="G644" s="1"/>
      <c r="H644" t="s">
        <v>43</v>
      </c>
      <c r="I644">
        <v>2</v>
      </c>
      <c r="J644">
        <v>0</v>
      </c>
      <c r="K644">
        <v>480000</v>
      </c>
      <c r="L644">
        <v>60</v>
      </c>
      <c r="M644" t="s">
        <v>29</v>
      </c>
      <c r="N644" t="str">
        <f>_xlfn.XLOOKUP(B644,tblCustomers[customer_id],tblCustomers[region],"Missing")</f>
        <v>South</v>
      </c>
      <c r="O644" t="str">
        <f>_xlfn.XLOOKUP(C644,tblProducts[product_id],tblProducts[product_name],"Missing")</f>
        <v>Workflow Automate</v>
      </c>
      <c r="P644" t="str">
        <f>_xlfn.XLOOKUP(C644,tblProducts[product_id],tblProducts[category],"Missing")</f>
        <v>Automation</v>
      </c>
      <c r="Q644" t="str">
        <f>_xlfn.XLOOKUP(D644,tblSalesReps[rep_id],tblSalesReps[rep_name],"Missing")</f>
        <v>Sales Rep 04</v>
      </c>
      <c r="R644" t="str">
        <f>_xlfn.XLOOKUP(D644,tblSalesReps[rep_id],tblSalesReps[region],"Missing")</f>
        <v>South</v>
      </c>
    </row>
    <row r="645" spans="1:18">
      <c r="A645" t="s">
        <v>1053</v>
      </c>
      <c r="B645" t="s">
        <v>99</v>
      </c>
      <c r="C645" t="s">
        <v>21</v>
      </c>
      <c r="D645" t="s">
        <v>63</v>
      </c>
      <c r="E645" s="1">
        <v>45912</v>
      </c>
      <c r="F645" s="1">
        <v>45967</v>
      </c>
      <c r="G645" s="1">
        <v>45967</v>
      </c>
      <c r="H645" t="s">
        <v>17</v>
      </c>
      <c r="I645">
        <v>1</v>
      </c>
      <c r="J645">
        <v>10</v>
      </c>
      <c r="K645">
        <v>216000</v>
      </c>
      <c r="L645">
        <v>0</v>
      </c>
      <c r="M645" t="s">
        <v>18</v>
      </c>
      <c r="N645" t="str">
        <f>_xlfn.XLOOKUP(B645,tblCustomers[customer_id],tblCustomers[region],"Missing")</f>
        <v>South</v>
      </c>
      <c r="O645" t="str">
        <f>_xlfn.XLOOKUP(C645,tblProducts[product_id],tblProducts[product_name],"Missing")</f>
        <v>Workflow Automate</v>
      </c>
      <c r="P645" t="str">
        <f>_xlfn.XLOOKUP(C645,tblProducts[product_id],tblProducts[category],"Missing")</f>
        <v>Automation</v>
      </c>
      <c r="Q645" t="str">
        <f>_xlfn.XLOOKUP(D645,tblSalesReps[rep_id],tblSalesReps[rep_name],"Missing")</f>
        <v>Sales Rep 05</v>
      </c>
      <c r="R645" t="str">
        <f>_xlfn.XLOOKUP(D645,tblSalesReps[rep_id],tblSalesReps[region],"Missing")</f>
        <v>South</v>
      </c>
    </row>
    <row r="646" spans="1:18">
      <c r="A646" t="s">
        <v>1054</v>
      </c>
      <c r="B646" t="s">
        <v>589</v>
      </c>
      <c r="C646" t="s">
        <v>39</v>
      </c>
      <c r="D646" t="s">
        <v>56</v>
      </c>
      <c r="E646" s="1">
        <v>45809</v>
      </c>
      <c r="F646" s="1">
        <v>45884</v>
      </c>
      <c r="G646" s="1"/>
      <c r="H646" t="s">
        <v>43</v>
      </c>
      <c r="I646">
        <v>1</v>
      </c>
      <c r="J646">
        <v>15</v>
      </c>
      <c r="K646">
        <v>153000</v>
      </c>
      <c r="L646">
        <v>20</v>
      </c>
      <c r="M646" t="s">
        <v>29</v>
      </c>
      <c r="N646" t="str">
        <f>_xlfn.XLOOKUP(B646,tblCustomers[customer_id],tblCustomers[region],"Missing")</f>
        <v>East</v>
      </c>
      <c r="O646" t="str">
        <f>_xlfn.XLOOKUP(C646,tblProducts[product_id],tblProducts[product_name],"Missing")</f>
        <v>Support Desk</v>
      </c>
      <c r="P646" t="str">
        <f>_xlfn.XLOOKUP(C646,tblProducts[product_id],tblProducts[category],"Missing")</f>
        <v>Service</v>
      </c>
      <c r="Q646" t="str">
        <f>_xlfn.XLOOKUP(D646,tblSalesReps[rep_id],tblSalesReps[rep_name],"Missing")</f>
        <v>Sales Rep 20</v>
      </c>
      <c r="R646" t="str">
        <f>_xlfn.XLOOKUP(D646,tblSalesReps[rep_id],tblSalesReps[region],"Missing")</f>
        <v>East</v>
      </c>
    </row>
    <row r="647" spans="1:18">
      <c r="A647" t="s">
        <v>1055</v>
      </c>
      <c r="B647" t="s">
        <v>686</v>
      </c>
      <c r="C647" t="s">
        <v>15</v>
      </c>
      <c r="D647" t="s">
        <v>22</v>
      </c>
      <c r="E647" s="1">
        <v>45711</v>
      </c>
      <c r="F647" s="1">
        <v>45755</v>
      </c>
      <c r="G647" s="1"/>
      <c r="H647" t="s">
        <v>43</v>
      </c>
      <c r="I647">
        <v>3</v>
      </c>
      <c r="J647">
        <v>20</v>
      </c>
      <c r="K647">
        <v>1008000</v>
      </c>
      <c r="L647">
        <v>20</v>
      </c>
      <c r="M647" t="s">
        <v>29</v>
      </c>
      <c r="N647" t="str">
        <f>_xlfn.XLOOKUP(B647,tblCustomers[customer_id],tblCustomers[region],"Missing")</f>
        <v>West</v>
      </c>
      <c r="O647" t="str">
        <f>_xlfn.XLOOKUP(C647,tblProducts[product_id],tblProducts[product_name],"Missing")</f>
        <v>CRM Enterprise</v>
      </c>
      <c r="P647" t="str">
        <f>_xlfn.XLOOKUP(C647,tblProducts[product_id],tblProducts[category],"Missing")</f>
        <v>CRM</v>
      </c>
      <c r="Q647" t="str">
        <f>_xlfn.XLOOKUP(D647,tblSalesReps[rep_id],tblSalesReps[rep_name],"Missing")</f>
        <v>Sales Rep 14</v>
      </c>
      <c r="R647" t="str">
        <f>_xlfn.XLOOKUP(D647,tblSalesReps[rep_id],tblSalesReps[region],"Missing")</f>
        <v>West</v>
      </c>
    </row>
    <row r="648" spans="1:18">
      <c r="A648" t="s">
        <v>1056</v>
      </c>
      <c r="B648" t="s">
        <v>1033</v>
      </c>
      <c r="C648" t="s">
        <v>15</v>
      </c>
      <c r="D648" t="s">
        <v>78</v>
      </c>
      <c r="E648" s="1">
        <v>45883</v>
      </c>
      <c r="F648" s="1">
        <v>45917</v>
      </c>
      <c r="G648" s="1">
        <v>45917</v>
      </c>
      <c r="H648" t="s">
        <v>17</v>
      </c>
      <c r="I648">
        <v>1</v>
      </c>
      <c r="J648">
        <v>0</v>
      </c>
      <c r="K648">
        <v>420000</v>
      </c>
      <c r="L648">
        <v>0</v>
      </c>
      <c r="M648" t="s">
        <v>47</v>
      </c>
      <c r="N648" t="str">
        <f>_xlfn.XLOOKUP(B648,tblCustomers[customer_id],tblCustomers[region],"Missing")</f>
        <v>West</v>
      </c>
      <c r="O648" t="str">
        <f>_xlfn.XLOOKUP(C648,tblProducts[product_id],tblProducts[product_name],"Missing")</f>
        <v>CRM Enterprise</v>
      </c>
      <c r="P648" t="str">
        <f>_xlfn.XLOOKUP(C648,tblProducts[product_id],tblProducts[category],"Missing")</f>
        <v>CRM</v>
      </c>
      <c r="Q648" t="str">
        <f>_xlfn.XLOOKUP(D648,tblSalesReps[rep_id],tblSalesReps[rep_name],"Missing")</f>
        <v>Sales Rep 12</v>
      </c>
      <c r="R648" t="str">
        <f>_xlfn.XLOOKUP(D648,tblSalesReps[rep_id],tblSalesReps[region],"Missing")</f>
        <v>West</v>
      </c>
    </row>
    <row r="649" spans="1:18">
      <c r="A649" t="s">
        <v>1057</v>
      </c>
      <c r="B649" t="s">
        <v>416</v>
      </c>
      <c r="C649" t="s">
        <v>39</v>
      </c>
      <c r="D649" t="s">
        <v>50</v>
      </c>
      <c r="E649" s="1">
        <v>45862</v>
      </c>
      <c r="F649" s="1">
        <v>45918</v>
      </c>
      <c r="G649" s="1">
        <v>45918</v>
      </c>
      <c r="H649" t="s">
        <v>17</v>
      </c>
      <c r="I649">
        <v>1</v>
      </c>
      <c r="J649">
        <v>10</v>
      </c>
      <c r="K649">
        <v>162000</v>
      </c>
      <c r="L649">
        <v>0</v>
      </c>
      <c r="M649" t="s">
        <v>82</v>
      </c>
      <c r="N649" t="str">
        <f>_xlfn.XLOOKUP(B649,tblCustomers[customer_id],tblCustomers[region],"Missing")</f>
        <v>West</v>
      </c>
      <c r="O649" t="str">
        <f>_xlfn.XLOOKUP(C649,tblProducts[product_id],tblProducts[product_name],"Missing")</f>
        <v>Support Desk</v>
      </c>
      <c r="P649" t="str">
        <f>_xlfn.XLOOKUP(C649,tblProducts[product_id],tblProducts[category],"Missing")</f>
        <v>Service</v>
      </c>
      <c r="Q649" t="str">
        <f>_xlfn.XLOOKUP(D649,tblSalesReps[rep_id],tblSalesReps[rep_name],"Missing")</f>
        <v>Sales Rep 15</v>
      </c>
      <c r="R649" t="str">
        <f>_xlfn.XLOOKUP(D649,tblSalesReps[rep_id],tblSalesReps[region],"Missing")</f>
        <v>West</v>
      </c>
    </row>
    <row r="650" spans="1:18">
      <c r="A650" t="s">
        <v>1058</v>
      </c>
      <c r="B650" t="s">
        <v>497</v>
      </c>
      <c r="C650" t="s">
        <v>15</v>
      </c>
      <c r="D650" t="s">
        <v>46</v>
      </c>
      <c r="E650" s="1">
        <v>45917</v>
      </c>
      <c r="F650" s="1">
        <v>45992</v>
      </c>
      <c r="G650" s="1">
        <v>45992</v>
      </c>
      <c r="H650" t="s">
        <v>17</v>
      </c>
      <c r="I650">
        <v>1</v>
      </c>
      <c r="J650">
        <v>0</v>
      </c>
      <c r="K650">
        <v>420000</v>
      </c>
      <c r="L650">
        <v>0</v>
      </c>
      <c r="M650" t="s">
        <v>18</v>
      </c>
      <c r="N650" t="str">
        <f>_xlfn.XLOOKUP(B650,tblCustomers[customer_id],tblCustomers[region],"Missing")</f>
        <v>South</v>
      </c>
      <c r="O650" t="str">
        <f>_xlfn.XLOOKUP(C650,tblProducts[product_id],tblProducts[product_name],"Missing")</f>
        <v>CRM Enterprise</v>
      </c>
      <c r="P650" t="str">
        <f>_xlfn.XLOOKUP(C650,tblProducts[product_id],tblProducts[category],"Missing")</f>
        <v>CRM</v>
      </c>
      <c r="Q650" t="str">
        <f>_xlfn.XLOOKUP(D650,tblSalesReps[rep_id],tblSalesReps[rep_name],"Missing")</f>
        <v>Sales Rep 01</v>
      </c>
      <c r="R650" t="str">
        <f>_xlfn.XLOOKUP(D650,tblSalesReps[rep_id],tblSalesReps[region],"Missing")</f>
        <v>South</v>
      </c>
    </row>
    <row r="651" spans="1:18">
      <c r="A651" t="s">
        <v>1059</v>
      </c>
      <c r="B651" t="s">
        <v>1060</v>
      </c>
      <c r="C651" t="s">
        <v>62</v>
      </c>
      <c r="D651" t="s">
        <v>168</v>
      </c>
      <c r="E651" s="1">
        <v>45669</v>
      </c>
      <c r="F651" s="1">
        <v>45747</v>
      </c>
      <c r="G651" s="1">
        <v>45747</v>
      </c>
      <c r="H651" t="s">
        <v>17</v>
      </c>
      <c r="I651">
        <v>1</v>
      </c>
      <c r="J651">
        <v>10</v>
      </c>
      <c r="K651">
        <v>108000</v>
      </c>
      <c r="L651">
        <v>0</v>
      </c>
      <c r="M651" t="s">
        <v>47</v>
      </c>
      <c r="N651" t="str">
        <f>_xlfn.XLOOKUP(B651,tblCustomers[customer_id],tblCustomers[region],"Missing")</f>
        <v>East</v>
      </c>
      <c r="O651" t="str">
        <f>_xlfn.XLOOKUP(C651,tblProducts[product_id],tblProducts[product_name],"Missing")</f>
        <v>CRM Essentials</v>
      </c>
      <c r="P651" t="str">
        <f>_xlfn.XLOOKUP(C651,tblProducts[product_id],tblProducts[category],"Missing")</f>
        <v>CRM</v>
      </c>
      <c r="Q651" t="str">
        <f>_xlfn.XLOOKUP(D651,tblSalesReps[rep_id],tblSalesReps[rep_name],"Missing")</f>
        <v>Sales Rep 17</v>
      </c>
      <c r="R651" t="str">
        <f>_xlfn.XLOOKUP(D651,tblSalesReps[rep_id],tblSalesReps[region],"Missing")</f>
        <v>East</v>
      </c>
    </row>
    <row r="652" spans="1:18">
      <c r="A652" t="s">
        <v>1061</v>
      </c>
      <c r="B652" t="s">
        <v>1062</v>
      </c>
      <c r="C652" t="s">
        <v>26</v>
      </c>
      <c r="D652" t="s">
        <v>27</v>
      </c>
      <c r="E652" s="1">
        <v>45964</v>
      </c>
      <c r="F652" s="1">
        <v>45988</v>
      </c>
      <c r="G652" s="1">
        <v>45988</v>
      </c>
      <c r="H652" t="s">
        <v>17</v>
      </c>
      <c r="I652">
        <v>2</v>
      </c>
      <c r="J652">
        <v>5</v>
      </c>
      <c r="K652">
        <v>684000</v>
      </c>
      <c r="L652">
        <v>0</v>
      </c>
      <c r="M652" t="s">
        <v>18</v>
      </c>
      <c r="N652" t="str">
        <f>_xlfn.XLOOKUP(B652,tblCustomers[customer_id],tblCustomers[region],"Missing")</f>
        <v>North</v>
      </c>
      <c r="O652" t="str">
        <f>_xlfn.XLOOKUP(C652,tblProducts[product_id],tblProducts[product_name],"Missing")</f>
        <v>Security Suite</v>
      </c>
      <c r="P652" t="str">
        <f>_xlfn.XLOOKUP(C652,tblProducts[product_id],tblProducts[category],"Missing")</f>
        <v>Security</v>
      </c>
      <c r="Q652" t="str">
        <f>_xlfn.XLOOKUP(D652,tblSalesReps[rep_id],tblSalesReps[rep_name],"Missing")</f>
        <v>Sales Rep 06</v>
      </c>
      <c r="R652" t="str">
        <f>_xlfn.XLOOKUP(D652,tblSalesReps[rep_id],tblSalesReps[region],"Missing")</f>
        <v>North</v>
      </c>
    </row>
    <row r="653" spans="1:18">
      <c r="A653" t="s">
        <v>1063</v>
      </c>
      <c r="B653" t="s">
        <v>623</v>
      </c>
      <c r="C653" t="s">
        <v>39</v>
      </c>
      <c r="D653" t="s">
        <v>53</v>
      </c>
      <c r="E653" s="1">
        <v>46022</v>
      </c>
      <c r="F653" s="1">
        <v>46104</v>
      </c>
      <c r="G653" s="1"/>
      <c r="H653" t="s">
        <v>43</v>
      </c>
      <c r="I653">
        <v>1</v>
      </c>
      <c r="J653">
        <v>0</v>
      </c>
      <c r="K653">
        <v>180000</v>
      </c>
      <c r="L653">
        <v>20</v>
      </c>
      <c r="M653" t="s">
        <v>29</v>
      </c>
      <c r="N653" t="str">
        <f>_xlfn.XLOOKUP(B653,tblCustomers[customer_id],tblCustomers[region],"Missing")</f>
        <v>East</v>
      </c>
      <c r="O653" t="str">
        <f>_xlfn.XLOOKUP(C653,tblProducts[product_id],tblProducts[product_name],"Missing")</f>
        <v>Support Desk</v>
      </c>
      <c r="P653" t="str">
        <f>_xlfn.XLOOKUP(C653,tblProducts[product_id],tblProducts[category],"Missing")</f>
        <v>Service</v>
      </c>
      <c r="Q653" t="str">
        <f>_xlfn.XLOOKUP(D653,tblSalesReps[rep_id],tblSalesReps[rep_name],"Missing")</f>
        <v>Sales Rep 16</v>
      </c>
      <c r="R653" t="str">
        <f>_xlfn.XLOOKUP(D653,tblSalesReps[rep_id],tblSalesReps[region],"Missing")</f>
        <v>East</v>
      </c>
    </row>
    <row r="654" spans="1:18">
      <c r="A654" t="s">
        <v>1064</v>
      </c>
      <c r="B654" t="s">
        <v>1065</v>
      </c>
      <c r="C654" t="s">
        <v>81</v>
      </c>
      <c r="D654" t="s">
        <v>168</v>
      </c>
      <c r="E654" s="1">
        <v>45833</v>
      </c>
      <c r="F654" s="1">
        <v>45879</v>
      </c>
      <c r="G654" s="1">
        <v>45879</v>
      </c>
      <c r="H654" t="s">
        <v>28</v>
      </c>
      <c r="I654">
        <v>1</v>
      </c>
      <c r="J654">
        <v>5</v>
      </c>
      <c r="K654">
        <v>285000</v>
      </c>
      <c r="L654">
        <v>100</v>
      </c>
      <c r="M654" t="s">
        <v>29</v>
      </c>
      <c r="N654" t="str">
        <f>_xlfn.XLOOKUP(B654,tblCustomers[customer_id],tblCustomers[region],"Missing")</f>
        <v>East</v>
      </c>
      <c r="O654" t="str">
        <f>_xlfn.XLOOKUP(C654,tblProducts[product_id],tblProducts[product_name],"Missing")</f>
        <v>Analytics Cloud</v>
      </c>
      <c r="P654" t="str">
        <f>_xlfn.XLOOKUP(C654,tblProducts[product_id],tblProducts[category],"Missing")</f>
        <v>Analytics</v>
      </c>
      <c r="Q654" t="str">
        <f>_xlfn.XLOOKUP(D654,tblSalesReps[rep_id],tblSalesReps[rep_name],"Missing")</f>
        <v>Sales Rep 17</v>
      </c>
      <c r="R654" t="str">
        <f>_xlfn.XLOOKUP(D654,tblSalesReps[rep_id],tblSalesReps[region],"Missing")</f>
        <v>East</v>
      </c>
    </row>
    <row r="655" spans="1:18">
      <c r="A655" t="s">
        <v>1066</v>
      </c>
      <c r="B655" t="s">
        <v>828</v>
      </c>
      <c r="C655" t="s">
        <v>62</v>
      </c>
      <c r="D655" t="s">
        <v>50</v>
      </c>
      <c r="E655" s="1">
        <v>45789</v>
      </c>
      <c r="F655" s="1">
        <v>45873</v>
      </c>
      <c r="G655" s="1">
        <v>45873</v>
      </c>
      <c r="H655" t="s">
        <v>28</v>
      </c>
      <c r="I655">
        <v>1</v>
      </c>
      <c r="J655">
        <v>20</v>
      </c>
      <c r="K655">
        <v>96000</v>
      </c>
      <c r="L655">
        <v>100</v>
      </c>
      <c r="M655" t="s">
        <v>29</v>
      </c>
      <c r="N655" t="str">
        <f>_xlfn.XLOOKUP(B655,tblCustomers[customer_id],tblCustomers[region],"Missing")</f>
        <v>West</v>
      </c>
      <c r="O655" t="str">
        <f>_xlfn.XLOOKUP(C655,tblProducts[product_id],tblProducts[product_name],"Missing")</f>
        <v>CRM Essentials</v>
      </c>
      <c r="P655" t="str">
        <f>_xlfn.XLOOKUP(C655,tblProducts[product_id],tblProducts[category],"Missing")</f>
        <v>CRM</v>
      </c>
      <c r="Q655" t="str">
        <f>_xlfn.XLOOKUP(D655,tblSalesReps[rep_id],tblSalesReps[rep_name],"Missing")</f>
        <v>Sales Rep 15</v>
      </c>
      <c r="R655" t="str">
        <f>_xlfn.XLOOKUP(D655,tblSalesReps[rep_id],tblSalesReps[region],"Missing")</f>
        <v>West</v>
      </c>
    </row>
    <row r="656" spans="1:18">
      <c r="A656" t="s">
        <v>1067</v>
      </c>
      <c r="B656" t="s">
        <v>964</v>
      </c>
      <c r="C656" t="s">
        <v>62</v>
      </c>
      <c r="D656" t="s">
        <v>75</v>
      </c>
      <c r="E656" s="1">
        <v>45754</v>
      </c>
      <c r="F656" s="1">
        <v>45824</v>
      </c>
      <c r="G656" s="1">
        <v>45824</v>
      </c>
      <c r="H656" t="s">
        <v>17</v>
      </c>
      <c r="I656">
        <v>1</v>
      </c>
      <c r="J656">
        <v>20</v>
      </c>
      <c r="K656">
        <v>96000</v>
      </c>
      <c r="L656">
        <v>0</v>
      </c>
      <c r="M656" t="s">
        <v>18</v>
      </c>
      <c r="N656" t="str">
        <f>_xlfn.XLOOKUP(B656,tblCustomers[customer_id],tblCustomers[region],"Missing")</f>
        <v>North</v>
      </c>
      <c r="O656" t="str">
        <f>_xlfn.XLOOKUP(C656,tblProducts[product_id],tblProducts[product_name],"Missing")</f>
        <v>CRM Essentials</v>
      </c>
      <c r="P656" t="str">
        <f>_xlfn.XLOOKUP(C656,tblProducts[product_id],tblProducts[category],"Missing")</f>
        <v>CRM</v>
      </c>
      <c r="Q656" t="str">
        <f>_xlfn.XLOOKUP(D656,tblSalesReps[rep_id],tblSalesReps[rep_name],"Missing")</f>
        <v>Sales Rep 07</v>
      </c>
      <c r="R656" t="str">
        <f>_xlfn.XLOOKUP(D656,tblSalesReps[rep_id],tblSalesReps[region],"Missing")</f>
        <v>North</v>
      </c>
    </row>
    <row r="657" spans="1:18">
      <c r="A657" t="s">
        <v>1068</v>
      </c>
      <c r="B657" t="s">
        <v>570</v>
      </c>
      <c r="C657" t="s">
        <v>15</v>
      </c>
      <c r="D657" t="s">
        <v>119</v>
      </c>
      <c r="E657" s="1">
        <v>45734</v>
      </c>
      <c r="F657" s="1">
        <v>45797</v>
      </c>
      <c r="G657" s="1"/>
      <c r="H657" t="s">
        <v>43</v>
      </c>
      <c r="I657">
        <v>1</v>
      </c>
      <c r="J657">
        <v>20</v>
      </c>
      <c r="K657">
        <v>336000</v>
      </c>
      <c r="L657">
        <v>20</v>
      </c>
      <c r="M657" t="s">
        <v>29</v>
      </c>
      <c r="N657" t="str">
        <f>_xlfn.XLOOKUP(B657,tblCustomers[customer_id],tblCustomers[region],"Missing")</f>
        <v>North</v>
      </c>
      <c r="O657" t="str">
        <f>_xlfn.XLOOKUP(C657,tblProducts[product_id],tblProducts[product_name],"Missing")</f>
        <v>CRM Enterprise</v>
      </c>
      <c r="P657" t="str">
        <f>_xlfn.XLOOKUP(C657,tblProducts[product_id],tblProducts[category],"Missing")</f>
        <v>CRM</v>
      </c>
      <c r="Q657" t="str">
        <f>_xlfn.XLOOKUP(D657,tblSalesReps[rep_id],tblSalesReps[rep_name],"Missing")</f>
        <v>Sales Rep 10</v>
      </c>
      <c r="R657" t="str">
        <f>_xlfn.XLOOKUP(D657,tblSalesReps[rep_id],tblSalesReps[region],"Missing")</f>
        <v>North</v>
      </c>
    </row>
    <row r="658" spans="1:18">
      <c r="A658" t="s">
        <v>1069</v>
      </c>
      <c r="B658" t="s">
        <v>1070</v>
      </c>
      <c r="C658" t="s">
        <v>15</v>
      </c>
      <c r="D658" t="s">
        <v>27</v>
      </c>
      <c r="E658" s="1">
        <v>45912</v>
      </c>
      <c r="F658" s="1">
        <v>45938</v>
      </c>
      <c r="G658" s="1">
        <v>45938</v>
      </c>
      <c r="H658" t="s">
        <v>28</v>
      </c>
      <c r="I658">
        <v>3</v>
      </c>
      <c r="J658">
        <v>10</v>
      </c>
      <c r="K658">
        <v>1134000</v>
      </c>
      <c r="L658">
        <v>100</v>
      </c>
      <c r="M658" t="s">
        <v>29</v>
      </c>
      <c r="N658" t="str">
        <f>_xlfn.XLOOKUP(B658,tblCustomers[customer_id],tblCustomers[region],"Missing")</f>
        <v>North</v>
      </c>
      <c r="O658" t="str">
        <f>_xlfn.XLOOKUP(C658,tblProducts[product_id],tblProducts[product_name],"Missing")</f>
        <v>CRM Enterprise</v>
      </c>
      <c r="P658" t="str">
        <f>_xlfn.XLOOKUP(C658,tblProducts[product_id],tblProducts[category],"Missing")</f>
        <v>CRM</v>
      </c>
      <c r="Q658" t="str">
        <f>_xlfn.XLOOKUP(D658,tblSalesReps[rep_id],tblSalesReps[rep_name],"Missing")</f>
        <v>Sales Rep 06</v>
      </c>
      <c r="R658" t="str">
        <f>_xlfn.XLOOKUP(D658,tblSalesReps[rep_id],tblSalesReps[region],"Missing")</f>
        <v>North</v>
      </c>
    </row>
    <row r="659" spans="1:18">
      <c r="A659" t="s">
        <v>1071</v>
      </c>
      <c r="B659" t="s">
        <v>273</v>
      </c>
      <c r="C659" t="s">
        <v>62</v>
      </c>
      <c r="D659" t="s">
        <v>36</v>
      </c>
      <c r="E659" s="1">
        <v>45995</v>
      </c>
      <c r="F659" s="1">
        <v>46077</v>
      </c>
      <c r="G659" s="1"/>
      <c r="H659" t="s">
        <v>43</v>
      </c>
      <c r="I659">
        <v>1</v>
      </c>
      <c r="J659">
        <v>20</v>
      </c>
      <c r="K659">
        <v>96000</v>
      </c>
      <c r="L659">
        <v>20</v>
      </c>
      <c r="M659" t="s">
        <v>29</v>
      </c>
      <c r="N659" t="str">
        <f>_xlfn.XLOOKUP(B659,tblCustomers[customer_id],tblCustomers[region],"Missing")</f>
        <v>North</v>
      </c>
      <c r="O659" t="str">
        <f>_xlfn.XLOOKUP(C659,tblProducts[product_id],tblProducts[product_name],"Missing")</f>
        <v>CRM Essentials</v>
      </c>
      <c r="P659" t="str">
        <f>_xlfn.XLOOKUP(C659,tblProducts[product_id],tblProducts[category],"Missing")</f>
        <v>CRM</v>
      </c>
      <c r="Q659" t="str">
        <f>_xlfn.XLOOKUP(D659,tblSalesReps[rep_id],tblSalesReps[rep_name],"Missing")</f>
        <v>Sales Rep 09</v>
      </c>
      <c r="R659" t="str">
        <f>_xlfn.XLOOKUP(D659,tblSalesReps[rep_id],tblSalesReps[region],"Missing")</f>
        <v>North</v>
      </c>
    </row>
    <row r="660" spans="1:18">
      <c r="A660" t="s">
        <v>1072</v>
      </c>
      <c r="B660" t="s">
        <v>420</v>
      </c>
      <c r="C660" t="s">
        <v>81</v>
      </c>
      <c r="D660" t="s">
        <v>75</v>
      </c>
      <c r="E660" s="1">
        <v>45807</v>
      </c>
      <c r="F660" s="1">
        <v>45868</v>
      </c>
      <c r="G660" s="1"/>
      <c r="H660" t="s">
        <v>43</v>
      </c>
      <c r="I660">
        <v>2</v>
      </c>
      <c r="J660">
        <v>15</v>
      </c>
      <c r="K660">
        <v>510000</v>
      </c>
      <c r="L660">
        <v>80</v>
      </c>
      <c r="M660" t="s">
        <v>29</v>
      </c>
      <c r="N660" t="str">
        <f>_xlfn.XLOOKUP(B660,tblCustomers[customer_id],tblCustomers[region],"Missing")</f>
        <v>North</v>
      </c>
      <c r="O660" t="str">
        <f>_xlfn.XLOOKUP(C660,tblProducts[product_id],tblProducts[product_name],"Missing")</f>
        <v>Analytics Cloud</v>
      </c>
      <c r="P660" t="str">
        <f>_xlfn.XLOOKUP(C660,tblProducts[product_id],tblProducts[category],"Missing")</f>
        <v>Analytics</v>
      </c>
      <c r="Q660" t="str">
        <f>_xlfn.XLOOKUP(D660,tblSalesReps[rep_id],tblSalesReps[rep_name],"Missing")</f>
        <v>Sales Rep 07</v>
      </c>
      <c r="R660" t="str">
        <f>_xlfn.XLOOKUP(D660,tblSalesReps[rep_id],tblSalesReps[region],"Missing")</f>
        <v>North</v>
      </c>
    </row>
    <row r="661" spans="1:18">
      <c r="A661" t="s">
        <v>1073</v>
      </c>
      <c r="B661" t="s">
        <v>1074</v>
      </c>
      <c r="C661" t="s">
        <v>39</v>
      </c>
      <c r="D661" t="s">
        <v>32</v>
      </c>
      <c r="E661" s="1">
        <v>45814</v>
      </c>
      <c r="F661" s="1">
        <v>45857</v>
      </c>
      <c r="G661" s="1">
        <v>45857</v>
      </c>
      <c r="H661" t="s">
        <v>17</v>
      </c>
      <c r="I661">
        <v>1</v>
      </c>
      <c r="J661">
        <v>20</v>
      </c>
      <c r="K661">
        <v>144000</v>
      </c>
      <c r="L661">
        <v>0</v>
      </c>
      <c r="M661" t="s">
        <v>47</v>
      </c>
      <c r="N661" t="str">
        <f>_xlfn.XLOOKUP(B661,tblCustomers[customer_id],tblCustomers[region],"Missing")</f>
        <v>South</v>
      </c>
      <c r="O661" t="str">
        <f>_xlfn.XLOOKUP(C661,tblProducts[product_id],tblProducts[product_name],"Missing")</f>
        <v>Support Desk</v>
      </c>
      <c r="P661" t="str">
        <f>_xlfn.XLOOKUP(C661,tblProducts[product_id],tblProducts[category],"Missing")</f>
        <v>Service</v>
      </c>
      <c r="Q661" t="str">
        <f>_xlfn.XLOOKUP(D661,tblSalesReps[rep_id],tblSalesReps[rep_name],"Missing")</f>
        <v>Sales Rep 04</v>
      </c>
      <c r="R661" t="str">
        <f>_xlfn.XLOOKUP(D661,tblSalesReps[rep_id],tblSalesReps[region],"Missing")</f>
        <v>South</v>
      </c>
    </row>
    <row r="662" spans="1:18">
      <c r="A662" t="s">
        <v>1075</v>
      </c>
      <c r="B662" t="s">
        <v>1076</v>
      </c>
      <c r="C662" t="s">
        <v>21</v>
      </c>
      <c r="D662" t="s">
        <v>27</v>
      </c>
      <c r="E662" s="1">
        <v>45931</v>
      </c>
      <c r="F662" s="1">
        <v>45976</v>
      </c>
      <c r="G662" s="1">
        <v>45976</v>
      </c>
      <c r="H662" t="s">
        <v>28</v>
      </c>
      <c r="I662">
        <v>2</v>
      </c>
      <c r="J662">
        <v>5</v>
      </c>
      <c r="K662">
        <v>456000</v>
      </c>
      <c r="L662">
        <v>100</v>
      </c>
      <c r="M662" t="s">
        <v>29</v>
      </c>
      <c r="N662" t="str">
        <f>_xlfn.XLOOKUP(B662,tblCustomers[customer_id],tblCustomers[region],"Missing")</f>
        <v>North</v>
      </c>
      <c r="O662" t="str">
        <f>_xlfn.XLOOKUP(C662,tblProducts[product_id],tblProducts[product_name],"Missing")</f>
        <v>Workflow Automate</v>
      </c>
      <c r="P662" t="str">
        <f>_xlfn.XLOOKUP(C662,tblProducts[product_id],tblProducts[category],"Missing")</f>
        <v>Automation</v>
      </c>
      <c r="Q662" t="str">
        <f>_xlfn.XLOOKUP(D662,tblSalesReps[rep_id],tblSalesReps[rep_name],"Missing")</f>
        <v>Sales Rep 06</v>
      </c>
      <c r="R662" t="str">
        <f>_xlfn.XLOOKUP(D662,tblSalesReps[rep_id],tblSalesReps[region],"Missing")</f>
        <v>North</v>
      </c>
    </row>
    <row r="663" spans="1:18">
      <c r="A663" t="s">
        <v>1077</v>
      </c>
      <c r="B663" t="s">
        <v>172</v>
      </c>
      <c r="C663" t="s">
        <v>21</v>
      </c>
      <c r="D663" t="s">
        <v>27</v>
      </c>
      <c r="E663" s="1">
        <v>45767</v>
      </c>
      <c r="F663" s="1">
        <v>45797</v>
      </c>
      <c r="G663" s="1">
        <v>45797</v>
      </c>
      <c r="H663" t="s">
        <v>28</v>
      </c>
      <c r="I663">
        <v>1</v>
      </c>
      <c r="J663">
        <v>10</v>
      </c>
      <c r="K663">
        <v>216000</v>
      </c>
      <c r="L663">
        <v>100</v>
      </c>
      <c r="M663" t="s">
        <v>29</v>
      </c>
      <c r="N663" t="str">
        <f>_xlfn.XLOOKUP(B663,tblCustomers[customer_id],tblCustomers[region],"Missing")</f>
        <v>North</v>
      </c>
      <c r="O663" t="str">
        <f>_xlfn.XLOOKUP(C663,tblProducts[product_id],tblProducts[product_name],"Missing")</f>
        <v>Workflow Automate</v>
      </c>
      <c r="P663" t="str">
        <f>_xlfn.XLOOKUP(C663,tblProducts[product_id],tblProducts[category],"Missing")</f>
        <v>Automation</v>
      </c>
      <c r="Q663" t="str">
        <f>_xlfn.XLOOKUP(D663,tblSalesReps[rep_id],tblSalesReps[rep_name],"Missing")</f>
        <v>Sales Rep 06</v>
      </c>
      <c r="R663" t="str">
        <f>_xlfn.XLOOKUP(D663,tblSalesReps[rep_id],tblSalesReps[region],"Missing")</f>
        <v>North</v>
      </c>
    </row>
    <row r="664" spans="1:18">
      <c r="A664" t="s">
        <v>1078</v>
      </c>
      <c r="B664" t="s">
        <v>358</v>
      </c>
      <c r="C664" t="s">
        <v>26</v>
      </c>
      <c r="D664" t="s">
        <v>27</v>
      </c>
      <c r="E664" s="1">
        <v>45806</v>
      </c>
      <c r="F664" s="1">
        <v>45843</v>
      </c>
      <c r="G664" s="1">
        <v>45843</v>
      </c>
      <c r="H664" t="s">
        <v>28</v>
      </c>
      <c r="I664">
        <v>1</v>
      </c>
      <c r="J664">
        <v>5</v>
      </c>
      <c r="K664">
        <v>342000</v>
      </c>
      <c r="L664">
        <v>100</v>
      </c>
      <c r="M664" t="s">
        <v>29</v>
      </c>
      <c r="N664" t="str">
        <f>_xlfn.XLOOKUP(B664,tblCustomers[customer_id],tblCustomers[region],"Missing")</f>
        <v>North</v>
      </c>
      <c r="O664" t="str">
        <f>_xlfn.XLOOKUP(C664,tblProducts[product_id],tblProducts[product_name],"Missing")</f>
        <v>Security Suite</v>
      </c>
      <c r="P664" t="str">
        <f>_xlfn.XLOOKUP(C664,tblProducts[product_id],tblProducts[category],"Missing")</f>
        <v>Security</v>
      </c>
      <c r="Q664" t="str">
        <f>_xlfn.XLOOKUP(D664,tblSalesReps[rep_id],tblSalesReps[rep_name],"Missing")</f>
        <v>Sales Rep 06</v>
      </c>
      <c r="R664" t="str">
        <f>_xlfn.XLOOKUP(D664,tblSalesReps[rep_id],tblSalesReps[region],"Missing")</f>
        <v>North</v>
      </c>
    </row>
    <row r="665" spans="1:18">
      <c r="A665" t="s">
        <v>1079</v>
      </c>
      <c r="B665" t="s">
        <v>1080</v>
      </c>
      <c r="C665" t="s">
        <v>81</v>
      </c>
      <c r="D665" t="s">
        <v>56</v>
      </c>
      <c r="E665" s="1">
        <v>46021</v>
      </c>
      <c r="F665" s="1">
        <v>46067</v>
      </c>
      <c r="G665" s="1"/>
      <c r="H665" t="s">
        <v>43</v>
      </c>
      <c r="I665">
        <v>1</v>
      </c>
      <c r="J665">
        <v>10</v>
      </c>
      <c r="K665">
        <v>270000</v>
      </c>
      <c r="L665">
        <v>80</v>
      </c>
      <c r="M665" t="s">
        <v>29</v>
      </c>
      <c r="N665" t="str">
        <f>_xlfn.XLOOKUP(B665,tblCustomers[customer_id],tblCustomers[region],"Missing")</f>
        <v>East</v>
      </c>
      <c r="O665" t="str">
        <f>_xlfn.XLOOKUP(C665,tblProducts[product_id],tblProducts[product_name],"Missing")</f>
        <v>Analytics Cloud</v>
      </c>
      <c r="P665" t="str">
        <f>_xlfn.XLOOKUP(C665,tblProducts[product_id],tblProducts[category],"Missing")</f>
        <v>Analytics</v>
      </c>
      <c r="Q665" t="str">
        <f>_xlfn.XLOOKUP(D665,tblSalesReps[rep_id],tblSalesReps[rep_name],"Missing")</f>
        <v>Sales Rep 20</v>
      </c>
      <c r="R665" t="str">
        <f>_xlfn.XLOOKUP(D665,tblSalesReps[rep_id],tblSalesReps[region],"Missing")</f>
        <v>East</v>
      </c>
    </row>
    <row r="666" spans="1:18">
      <c r="A666" t="s">
        <v>1081</v>
      </c>
      <c r="B666" t="s">
        <v>823</v>
      </c>
      <c r="C666" t="s">
        <v>39</v>
      </c>
      <c r="D666" t="s">
        <v>27</v>
      </c>
      <c r="E666" s="1">
        <v>45978</v>
      </c>
      <c r="F666" s="1">
        <v>45990</v>
      </c>
      <c r="G666" s="1">
        <v>45990</v>
      </c>
      <c r="H666" t="s">
        <v>17</v>
      </c>
      <c r="I666">
        <v>2</v>
      </c>
      <c r="J666">
        <v>5</v>
      </c>
      <c r="K666">
        <v>342000</v>
      </c>
      <c r="L666">
        <v>0</v>
      </c>
      <c r="M666" t="s">
        <v>23</v>
      </c>
      <c r="N666" t="str">
        <f>_xlfn.XLOOKUP(B666,tblCustomers[customer_id],tblCustomers[region],"Missing")</f>
        <v>North</v>
      </c>
      <c r="O666" t="str">
        <f>_xlfn.XLOOKUP(C666,tblProducts[product_id],tblProducts[product_name],"Missing")</f>
        <v>Support Desk</v>
      </c>
      <c r="P666" t="str">
        <f>_xlfn.XLOOKUP(C666,tblProducts[product_id],tblProducts[category],"Missing")</f>
        <v>Service</v>
      </c>
      <c r="Q666" t="str">
        <f>_xlfn.XLOOKUP(D666,tblSalesReps[rep_id],tblSalesReps[rep_name],"Missing")</f>
        <v>Sales Rep 06</v>
      </c>
      <c r="R666" t="str">
        <f>_xlfn.XLOOKUP(D666,tblSalesReps[rep_id],tblSalesReps[region],"Missing")</f>
        <v>North</v>
      </c>
    </row>
    <row r="667" spans="1:18">
      <c r="A667" t="s">
        <v>1082</v>
      </c>
      <c r="B667" t="s">
        <v>553</v>
      </c>
      <c r="C667" t="s">
        <v>15</v>
      </c>
      <c r="D667" t="s">
        <v>152</v>
      </c>
      <c r="E667" s="1">
        <v>46006</v>
      </c>
      <c r="F667" s="1">
        <v>46063</v>
      </c>
      <c r="G667" s="1"/>
      <c r="H667" t="s">
        <v>43</v>
      </c>
      <c r="I667">
        <v>1</v>
      </c>
      <c r="J667">
        <v>20</v>
      </c>
      <c r="K667">
        <v>336000</v>
      </c>
      <c r="L667">
        <v>60</v>
      </c>
      <c r="M667" t="s">
        <v>29</v>
      </c>
      <c r="N667" t="str">
        <f>_xlfn.XLOOKUP(B667,tblCustomers[customer_id],tblCustomers[region],"Missing")</f>
        <v>East</v>
      </c>
      <c r="O667" t="str">
        <f>_xlfn.XLOOKUP(C667,tblProducts[product_id],tblProducts[product_name],"Missing")</f>
        <v>CRM Enterprise</v>
      </c>
      <c r="P667" t="str">
        <f>_xlfn.XLOOKUP(C667,tblProducts[product_id],tblProducts[category],"Missing")</f>
        <v>CRM</v>
      </c>
      <c r="Q667" t="str">
        <f>_xlfn.XLOOKUP(D667,tblSalesReps[rep_id],tblSalesReps[rep_name],"Missing")</f>
        <v>Sales Rep 18</v>
      </c>
      <c r="R667" t="str">
        <f>_xlfn.XLOOKUP(D667,tblSalesReps[rep_id],tblSalesReps[region],"Missing")</f>
        <v>East</v>
      </c>
    </row>
    <row r="668" spans="1:18">
      <c r="A668" t="s">
        <v>1083</v>
      </c>
      <c r="B668" t="s">
        <v>435</v>
      </c>
      <c r="C668" t="s">
        <v>62</v>
      </c>
      <c r="D668" t="s">
        <v>46</v>
      </c>
      <c r="E668" s="1">
        <v>45775</v>
      </c>
      <c r="F668" s="1">
        <v>45831</v>
      </c>
      <c r="G668" s="1">
        <v>45831</v>
      </c>
      <c r="H668" t="s">
        <v>28</v>
      </c>
      <c r="I668">
        <v>1</v>
      </c>
      <c r="J668">
        <v>0</v>
      </c>
      <c r="K668">
        <v>120000</v>
      </c>
      <c r="L668">
        <v>100</v>
      </c>
      <c r="M668" t="s">
        <v>29</v>
      </c>
      <c r="N668" t="str">
        <f>_xlfn.XLOOKUP(B668,tblCustomers[customer_id],tblCustomers[region],"Missing")</f>
        <v>South</v>
      </c>
      <c r="O668" t="str">
        <f>_xlfn.XLOOKUP(C668,tblProducts[product_id],tblProducts[product_name],"Missing")</f>
        <v>CRM Essentials</v>
      </c>
      <c r="P668" t="str">
        <f>_xlfn.XLOOKUP(C668,tblProducts[product_id],tblProducts[category],"Missing")</f>
        <v>CRM</v>
      </c>
      <c r="Q668" t="str">
        <f>_xlfn.XLOOKUP(D668,tblSalesReps[rep_id],tblSalesReps[rep_name],"Missing")</f>
        <v>Sales Rep 01</v>
      </c>
      <c r="R668" t="str">
        <f>_xlfn.XLOOKUP(D668,tblSalesReps[rep_id],tblSalesReps[region],"Missing")</f>
        <v>South</v>
      </c>
    </row>
    <row r="669" spans="1:18">
      <c r="A669" t="s">
        <v>1084</v>
      </c>
      <c r="B669" t="s">
        <v>67</v>
      </c>
      <c r="C669" t="s">
        <v>39</v>
      </c>
      <c r="D669" t="s">
        <v>126</v>
      </c>
      <c r="E669" s="1">
        <v>45765</v>
      </c>
      <c r="F669" s="1">
        <v>45777</v>
      </c>
      <c r="G669" s="1">
        <v>45777</v>
      </c>
      <c r="H669" t="s">
        <v>17</v>
      </c>
      <c r="I669">
        <v>3</v>
      </c>
      <c r="J669">
        <v>0</v>
      </c>
      <c r="K669">
        <v>540000</v>
      </c>
      <c r="L669">
        <v>0</v>
      </c>
      <c r="M669" t="s">
        <v>18</v>
      </c>
      <c r="N669" t="str">
        <f>_xlfn.XLOOKUP(B669,tblCustomers[customer_id],tblCustomers[region],"Missing")</f>
        <v>South</v>
      </c>
      <c r="O669" t="str">
        <f>_xlfn.XLOOKUP(C669,tblProducts[product_id],tblProducts[product_name],"Missing")</f>
        <v>Support Desk</v>
      </c>
      <c r="P669" t="str">
        <f>_xlfn.XLOOKUP(C669,tblProducts[product_id],tblProducts[category],"Missing")</f>
        <v>Service</v>
      </c>
      <c r="Q669" t="str">
        <f>_xlfn.XLOOKUP(D669,tblSalesReps[rep_id],tblSalesReps[rep_name],"Missing")</f>
        <v>Sales Rep 02</v>
      </c>
      <c r="R669" t="str">
        <f>_xlfn.XLOOKUP(D669,tblSalesReps[rep_id],tblSalesReps[region],"Missing")</f>
        <v>South</v>
      </c>
    </row>
    <row r="670" spans="1:18">
      <c r="A670" t="s">
        <v>1085</v>
      </c>
      <c r="B670" t="s">
        <v>753</v>
      </c>
      <c r="C670" t="s">
        <v>26</v>
      </c>
      <c r="D670" t="s">
        <v>75</v>
      </c>
      <c r="E670" s="1">
        <v>45829</v>
      </c>
      <c r="F670" s="1">
        <v>45892</v>
      </c>
      <c r="G670" s="1">
        <v>45892</v>
      </c>
      <c r="H670" t="s">
        <v>17</v>
      </c>
      <c r="I670">
        <v>1</v>
      </c>
      <c r="J670">
        <v>15</v>
      </c>
      <c r="K670">
        <v>306000</v>
      </c>
      <c r="L670">
        <v>0</v>
      </c>
      <c r="M670" t="s">
        <v>47</v>
      </c>
      <c r="N670" t="str">
        <f>_xlfn.XLOOKUP(B670,tblCustomers[customer_id],tblCustomers[region],"Missing")</f>
        <v>North</v>
      </c>
      <c r="O670" t="str">
        <f>_xlfn.XLOOKUP(C670,tblProducts[product_id],tblProducts[product_name],"Missing")</f>
        <v>Security Suite</v>
      </c>
      <c r="P670" t="str">
        <f>_xlfn.XLOOKUP(C670,tblProducts[product_id],tblProducts[category],"Missing")</f>
        <v>Security</v>
      </c>
      <c r="Q670" t="str">
        <f>_xlfn.XLOOKUP(D670,tblSalesReps[rep_id],tblSalesReps[rep_name],"Missing")</f>
        <v>Sales Rep 07</v>
      </c>
      <c r="R670" t="str">
        <f>_xlfn.XLOOKUP(D670,tblSalesReps[rep_id],tblSalesReps[region],"Missing")</f>
        <v>North</v>
      </c>
    </row>
    <row r="671" spans="1:18">
      <c r="A671" t="s">
        <v>1086</v>
      </c>
      <c r="B671" t="s">
        <v>693</v>
      </c>
      <c r="C671" t="s">
        <v>26</v>
      </c>
      <c r="D671" t="s">
        <v>152</v>
      </c>
      <c r="E671" s="1">
        <v>45847</v>
      </c>
      <c r="F671" s="1">
        <v>45867</v>
      </c>
      <c r="G671" s="1">
        <v>45867</v>
      </c>
      <c r="H671" t="s">
        <v>28</v>
      </c>
      <c r="I671">
        <v>1</v>
      </c>
      <c r="J671">
        <v>0</v>
      </c>
      <c r="K671">
        <v>360000</v>
      </c>
      <c r="L671">
        <v>100</v>
      </c>
      <c r="M671" t="s">
        <v>29</v>
      </c>
      <c r="N671" t="str">
        <f>_xlfn.XLOOKUP(B671,tblCustomers[customer_id],tblCustomers[region],"Missing")</f>
        <v>East</v>
      </c>
      <c r="O671" t="str">
        <f>_xlfn.XLOOKUP(C671,tblProducts[product_id],tblProducts[product_name],"Missing")</f>
        <v>Security Suite</v>
      </c>
      <c r="P671" t="str">
        <f>_xlfn.XLOOKUP(C671,tblProducts[product_id],tblProducts[category],"Missing")</f>
        <v>Security</v>
      </c>
      <c r="Q671" t="str">
        <f>_xlfn.XLOOKUP(D671,tblSalesReps[rep_id],tblSalesReps[rep_name],"Missing")</f>
        <v>Sales Rep 18</v>
      </c>
      <c r="R671" t="str">
        <f>_xlfn.XLOOKUP(D671,tblSalesReps[rep_id],tblSalesReps[region],"Missing")</f>
        <v>East</v>
      </c>
    </row>
    <row r="672" spans="1:18">
      <c r="A672" t="s">
        <v>1087</v>
      </c>
      <c r="B672" t="s">
        <v>149</v>
      </c>
      <c r="C672" t="s">
        <v>26</v>
      </c>
      <c r="D672" t="s">
        <v>27</v>
      </c>
      <c r="E672" s="1">
        <v>45946</v>
      </c>
      <c r="F672" s="1">
        <v>45955</v>
      </c>
      <c r="G672" s="1">
        <v>45955</v>
      </c>
      <c r="H672" t="s">
        <v>17</v>
      </c>
      <c r="I672">
        <v>2</v>
      </c>
      <c r="J672">
        <v>20</v>
      </c>
      <c r="K672">
        <v>576000</v>
      </c>
      <c r="L672">
        <v>0</v>
      </c>
      <c r="M672" t="s">
        <v>18</v>
      </c>
      <c r="N672" t="str">
        <f>_xlfn.XLOOKUP(B672,tblCustomers[customer_id],tblCustomers[region],"Missing")</f>
        <v>North</v>
      </c>
      <c r="O672" t="str">
        <f>_xlfn.XLOOKUP(C672,tblProducts[product_id],tblProducts[product_name],"Missing")</f>
        <v>Security Suite</v>
      </c>
      <c r="P672" t="str">
        <f>_xlfn.XLOOKUP(C672,tblProducts[product_id],tblProducts[category],"Missing")</f>
        <v>Security</v>
      </c>
      <c r="Q672" t="str">
        <f>_xlfn.XLOOKUP(D672,tblSalesReps[rep_id],tblSalesReps[rep_name],"Missing")</f>
        <v>Sales Rep 06</v>
      </c>
      <c r="R672" t="str">
        <f>_xlfn.XLOOKUP(D672,tblSalesReps[rep_id],tblSalesReps[region],"Missing")</f>
        <v>North</v>
      </c>
    </row>
    <row r="673" spans="1:18">
      <c r="A673" t="s">
        <v>1088</v>
      </c>
      <c r="B673" t="s">
        <v>769</v>
      </c>
      <c r="C673" t="s">
        <v>26</v>
      </c>
      <c r="D673" t="s">
        <v>126</v>
      </c>
      <c r="E673" s="1">
        <v>45856</v>
      </c>
      <c r="F673" s="1">
        <v>45883</v>
      </c>
      <c r="G673" s="1"/>
      <c r="H673" t="s">
        <v>43</v>
      </c>
      <c r="I673">
        <v>1</v>
      </c>
      <c r="J673">
        <v>0</v>
      </c>
      <c r="K673">
        <v>360000</v>
      </c>
      <c r="L673">
        <v>80</v>
      </c>
      <c r="M673" t="s">
        <v>29</v>
      </c>
      <c r="N673" t="str">
        <f>_xlfn.XLOOKUP(B673,tblCustomers[customer_id],tblCustomers[region],"Missing")</f>
        <v>South</v>
      </c>
      <c r="O673" t="str">
        <f>_xlfn.XLOOKUP(C673,tblProducts[product_id],tblProducts[product_name],"Missing")</f>
        <v>Security Suite</v>
      </c>
      <c r="P673" t="str">
        <f>_xlfn.XLOOKUP(C673,tblProducts[product_id],tblProducts[category],"Missing")</f>
        <v>Security</v>
      </c>
      <c r="Q673" t="str">
        <f>_xlfn.XLOOKUP(D673,tblSalesReps[rep_id],tblSalesReps[rep_name],"Missing")</f>
        <v>Sales Rep 02</v>
      </c>
      <c r="R673" t="str">
        <f>_xlfn.XLOOKUP(D673,tblSalesReps[rep_id],tblSalesReps[region],"Missing")</f>
        <v>South</v>
      </c>
    </row>
    <row r="674" spans="1:18">
      <c r="A674" t="s">
        <v>1089</v>
      </c>
      <c r="B674" t="s">
        <v>876</v>
      </c>
      <c r="C674" t="s">
        <v>81</v>
      </c>
      <c r="D674" t="s">
        <v>59</v>
      </c>
      <c r="E674" s="1">
        <v>45889</v>
      </c>
      <c r="F674" s="1">
        <v>45945</v>
      </c>
      <c r="G674" s="1">
        <v>45945</v>
      </c>
      <c r="H674" t="s">
        <v>17</v>
      </c>
      <c r="I674">
        <v>2</v>
      </c>
      <c r="J674">
        <v>10</v>
      </c>
      <c r="K674">
        <v>540000</v>
      </c>
      <c r="L674">
        <v>0</v>
      </c>
      <c r="M674" t="s">
        <v>18</v>
      </c>
      <c r="N674" t="str">
        <f>_xlfn.XLOOKUP(B674,tblCustomers[customer_id],tblCustomers[region],"Missing")</f>
        <v>East</v>
      </c>
      <c r="O674" t="str">
        <f>_xlfn.XLOOKUP(C674,tblProducts[product_id],tblProducts[product_name],"Missing")</f>
        <v>Analytics Cloud</v>
      </c>
      <c r="P674" t="str">
        <f>_xlfn.XLOOKUP(C674,tblProducts[product_id],tblProducts[category],"Missing")</f>
        <v>Analytics</v>
      </c>
      <c r="Q674" t="str">
        <f>_xlfn.XLOOKUP(D674,tblSalesReps[rep_id],tblSalesReps[rep_name],"Missing")</f>
        <v>Sales Rep 19</v>
      </c>
      <c r="R674" t="str">
        <f>_xlfn.XLOOKUP(D674,tblSalesReps[rep_id],tblSalesReps[region],"Missing")</f>
        <v>East</v>
      </c>
    </row>
    <row r="675" spans="1:18">
      <c r="A675" t="s">
        <v>1090</v>
      </c>
      <c r="B675" t="s">
        <v>964</v>
      </c>
      <c r="C675" t="s">
        <v>26</v>
      </c>
      <c r="D675" t="s">
        <v>16</v>
      </c>
      <c r="E675" s="1">
        <v>45767</v>
      </c>
      <c r="F675" s="1">
        <v>45834</v>
      </c>
      <c r="G675" s="1">
        <v>45834</v>
      </c>
      <c r="H675" t="s">
        <v>17</v>
      </c>
      <c r="I675">
        <v>1</v>
      </c>
      <c r="J675">
        <v>20</v>
      </c>
      <c r="K675">
        <v>288000</v>
      </c>
      <c r="L675">
        <v>0</v>
      </c>
      <c r="M675" t="s">
        <v>18</v>
      </c>
      <c r="N675" t="str">
        <f>_xlfn.XLOOKUP(B675,tblCustomers[customer_id],tblCustomers[region],"Missing")</f>
        <v>North</v>
      </c>
      <c r="O675" t="str">
        <f>_xlfn.XLOOKUP(C675,tblProducts[product_id],tblProducts[product_name],"Missing")</f>
        <v>Security Suite</v>
      </c>
      <c r="P675" t="str">
        <f>_xlfn.XLOOKUP(C675,tblProducts[product_id],tblProducts[category],"Missing")</f>
        <v>Security</v>
      </c>
      <c r="Q675" t="str">
        <f>_xlfn.XLOOKUP(D675,tblSalesReps[rep_id],tblSalesReps[rep_name],"Missing")</f>
        <v>Sales Rep 08</v>
      </c>
      <c r="R675" t="str">
        <f>_xlfn.XLOOKUP(D675,tblSalesReps[rep_id],tblSalesReps[region],"Missing")</f>
        <v>North</v>
      </c>
    </row>
    <row r="676" spans="1:18">
      <c r="A676" t="s">
        <v>1091</v>
      </c>
      <c r="B676" t="s">
        <v>1092</v>
      </c>
      <c r="C676" t="s">
        <v>15</v>
      </c>
      <c r="D676" t="s">
        <v>152</v>
      </c>
      <c r="E676" s="1">
        <v>46006</v>
      </c>
      <c r="F676" s="1">
        <v>46032</v>
      </c>
      <c r="G676" s="1"/>
      <c r="H676" t="s">
        <v>43</v>
      </c>
      <c r="I676">
        <v>2</v>
      </c>
      <c r="J676">
        <v>20</v>
      </c>
      <c r="K676">
        <v>672000</v>
      </c>
      <c r="L676">
        <v>40</v>
      </c>
      <c r="M676" t="s">
        <v>29</v>
      </c>
      <c r="N676" t="str">
        <f>_xlfn.XLOOKUP(B676,tblCustomers[customer_id],tblCustomers[region],"Missing")</f>
        <v>East</v>
      </c>
      <c r="O676" t="str">
        <f>_xlfn.XLOOKUP(C676,tblProducts[product_id],tblProducts[product_name],"Missing")</f>
        <v>CRM Enterprise</v>
      </c>
      <c r="P676" t="str">
        <f>_xlfn.XLOOKUP(C676,tblProducts[product_id],tblProducts[category],"Missing")</f>
        <v>CRM</v>
      </c>
      <c r="Q676" t="str">
        <f>_xlfn.XLOOKUP(D676,tblSalesReps[rep_id],tblSalesReps[rep_name],"Missing")</f>
        <v>Sales Rep 18</v>
      </c>
      <c r="R676" t="str">
        <f>_xlfn.XLOOKUP(D676,tblSalesReps[rep_id],tblSalesReps[region],"Missing")</f>
        <v>East</v>
      </c>
    </row>
    <row r="677" spans="1:18">
      <c r="A677" t="s">
        <v>1093</v>
      </c>
      <c r="B677" t="s">
        <v>1094</v>
      </c>
      <c r="C677" t="s">
        <v>26</v>
      </c>
      <c r="D677" t="s">
        <v>27</v>
      </c>
      <c r="E677" s="1">
        <v>46004</v>
      </c>
      <c r="F677" s="1">
        <v>46019</v>
      </c>
      <c r="G677" s="1">
        <v>46019</v>
      </c>
      <c r="H677" t="s">
        <v>28</v>
      </c>
      <c r="I677">
        <v>1</v>
      </c>
      <c r="J677">
        <v>0</v>
      </c>
      <c r="K677">
        <v>360000</v>
      </c>
      <c r="L677">
        <v>100</v>
      </c>
      <c r="M677" t="s">
        <v>29</v>
      </c>
      <c r="N677" t="str">
        <f>_xlfn.XLOOKUP(B677,tblCustomers[customer_id],tblCustomers[region],"Missing")</f>
        <v>North</v>
      </c>
      <c r="O677" t="str">
        <f>_xlfn.XLOOKUP(C677,tblProducts[product_id],tblProducts[product_name],"Missing")</f>
        <v>Security Suite</v>
      </c>
      <c r="P677" t="str">
        <f>_xlfn.XLOOKUP(C677,tblProducts[product_id],tblProducts[category],"Missing")</f>
        <v>Security</v>
      </c>
      <c r="Q677" t="str">
        <f>_xlfn.XLOOKUP(D677,tblSalesReps[rep_id],tblSalesReps[rep_name],"Missing")</f>
        <v>Sales Rep 06</v>
      </c>
      <c r="R677" t="str">
        <f>_xlfn.XLOOKUP(D677,tblSalesReps[rep_id],tblSalesReps[region],"Missing")</f>
        <v>North</v>
      </c>
    </row>
    <row r="678" spans="1:18">
      <c r="A678" t="s">
        <v>1095</v>
      </c>
      <c r="B678" t="s">
        <v>453</v>
      </c>
      <c r="C678" t="s">
        <v>15</v>
      </c>
      <c r="D678" t="s">
        <v>91</v>
      </c>
      <c r="E678" s="1">
        <v>45691</v>
      </c>
      <c r="F678" s="1">
        <v>45738</v>
      </c>
      <c r="G678" s="1">
        <v>45738</v>
      </c>
      <c r="H678" t="s">
        <v>17</v>
      </c>
      <c r="I678">
        <v>3</v>
      </c>
      <c r="J678">
        <v>15</v>
      </c>
      <c r="K678">
        <v>1071000</v>
      </c>
      <c r="L678">
        <v>0</v>
      </c>
      <c r="M678" t="s">
        <v>18</v>
      </c>
      <c r="N678" t="str">
        <f>_xlfn.XLOOKUP(B678,tblCustomers[customer_id],tblCustomers[region],"Missing")</f>
        <v>South</v>
      </c>
      <c r="O678" t="str">
        <f>_xlfn.XLOOKUP(C678,tblProducts[product_id],tblProducts[product_name],"Missing")</f>
        <v>CRM Enterprise</v>
      </c>
      <c r="P678" t="str">
        <f>_xlfn.XLOOKUP(C678,tblProducts[product_id],tblProducts[category],"Missing")</f>
        <v>CRM</v>
      </c>
      <c r="Q678" t="str">
        <f>_xlfn.XLOOKUP(D678,tblSalesReps[rep_id],tblSalesReps[rep_name],"Missing")</f>
        <v>Sales Rep 03</v>
      </c>
      <c r="R678" t="str">
        <f>_xlfn.XLOOKUP(D678,tblSalesReps[rep_id],tblSalesReps[region],"Missing")</f>
        <v>South</v>
      </c>
    </row>
    <row r="679" spans="1:18">
      <c r="A679" t="s">
        <v>1096</v>
      </c>
      <c r="B679" t="s">
        <v>394</v>
      </c>
      <c r="C679" t="s">
        <v>39</v>
      </c>
      <c r="D679" t="s">
        <v>36</v>
      </c>
      <c r="E679" s="1">
        <v>45739</v>
      </c>
      <c r="F679" s="1">
        <v>45806</v>
      </c>
      <c r="G679" s="1">
        <v>45806</v>
      </c>
      <c r="H679" t="s">
        <v>17</v>
      </c>
      <c r="I679">
        <v>1</v>
      </c>
      <c r="J679">
        <v>5</v>
      </c>
      <c r="K679">
        <v>171000</v>
      </c>
      <c r="L679">
        <v>0</v>
      </c>
      <c r="M679" t="s">
        <v>47</v>
      </c>
      <c r="N679" t="str">
        <f>_xlfn.XLOOKUP(B679,tblCustomers[customer_id],tblCustomers[region],"Missing")</f>
        <v>North</v>
      </c>
      <c r="O679" t="str">
        <f>_xlfn.XLOOKUP(C679,tblProducts[product_id],tblProducts[product_name],"Missing")</f>
        <v>Support Desk</v>
      </c>
      <c r="P679" t="str">
        <f>_xlfn.XLOOKUP(C679,tblProducts[product_id],tblProducts[category],"Missing")</f>
        <v>Service</v>
      </c>
      <c r="Q679" t="str">
        <f>_xlfn.XLOOKUP(D679,tblSalesReps[rep_id],tblSalesReps[rep_name],"Missing")</f>
        <v>Sales Rep 09</v>
      </c>
      <c r="R679" t="str">
        <f>_xlfn.XLOOKUP(D679,tblSalesReps[rep_id],tblSalesReps[region],"Missing")</f>
        <v>North</v>
      </c>
    </row>
    <row r="680" spans="1:18">
      <c r="A680" t="s">
        <v>1097</v>
      </c>
      <c r="B680" t="s">
        <v>535</v>
      </c>
      <c r="C680" t="s">
        <v>81</v>
      </c>
      <c r="D680" t="s">
        <v>50</v>
      </c>
      <c r="E680" s="1">
        <v>45834</v>
      </c>
      <c r="F680" s="1">
        <v>45851</v>
      </c>
      <c r="G680" s="1"/>
      <c r="H680" t="s">
        <v>43</v>
      </c>
      <c r="I680">
        <v>1</v>
      </c>
      <c r="J680">
        <v>0</v>
      </c>
      <c r="K680">
        <v>300000</v>
      </c>
      <c r="L680">
        <v>40</v>
      </c>
      <c r="M680" t="s">
        <v>29</v>
      </c>
      <c r="N680" t="str">
        <f>_xlfn.XLOOKUP(B680,tblCustomers[customer_id],tblCustomers[region],"Missing")</f>
        <v>West</v>
      </c>
      <c r="O680" t="str">
        <f>_xlfn.XLOOKUP(C680,tblProducts[product_id],tblProducts[product_name],"Missing")</f>
        <v>Analytics Cloud</v>
      </c>
      <c r="P680" t="str">
        <f>_xlfn.XLOOKUP(C680,tblProducts[product_id],tblProducts[category],"Missing")</f>
        <v>Analytics</v>
      </c>
      <c r="Q680" t="str">
        <f>_xlfn.XLOOKUP(D680,tblSalesReps[rep_id],tblSalesReps[rep_name],"Missing")</f>
        <v>Sales Rep 15</v>
      </c>
      <c r="R680" t="str">
        <f>_xlfn.XLOOKUP(D680,tblSalesReps[rep_id],tblSalesReps[region],"Missing")</f>
        <v>West</v>
      </c>
    </row>
    <row r="681" spans="1:18">
      <c r="A681" t="s">
        <v>1098</v>
      </c>
      <c r="B681" t="s">
        <v>929</v>
      </c>
      <c r="C681" t="s">
        <v>62</v>
      </c>
      <c r="D681" t="s">
        <v>40</v>
      </c>
      <c r="E681" s="1">
        <v>45966</v>
      </c>
      <c r="F681" s="1">
        <v>46036</v>
      </c>
      <c r="G681" s="1"/>
      <c r="H681" t="s">
        <v>43</v>
      </c>
      <c r="I681">
        <v>1</v>
      </c>
      <c r="J681">
        <v>20</v>
      </c>
      <c r="K681">
        <v>96000</v>
      </c>
      <c r="L681">
        <v>80</v>
      </c>
      <c r="M681" t="s">
        <v>29</v>
      </c>
      <c r="N681" t="str">
        <f>_xlfn.XLOOKUP(B681,tblCustomers[customer_id],tblCustomers[region],"Missing")</f>
        <v>West</v>
      </c>
      <c r="O681" t="str">
        <f>_xlfn.XLOOKUP(C681,tblProducts[product_id],tblProducts[product_name],"Missing")</f>
        <v>CRM Essentials</v>
      </c>
      <c r="P681" t="str">
        <f>_xlfn.XLOOKUP(C681,tblProducts[product_id],tblProducts[category],"Missing")</f>
        <v>CRM</v>
      </c>
      <c r="Q681" t="str">
        <f>_xlfn.XLOOKUP(D681,tblSalesReps[rep_id],tblSalesReps[rep_name],"Missing")</f>
        <v>Sales Rep 13</v>
      </c>
      <c r="R681" t="str">
        <f>_xlfn.XLOOKUP(D681,tblSalesReps[rep_id],tblSalesReps[region],"Missing")</f>
        <v>West</v>
      </c>
    </row>
    <row r="682" spans="1:18">
      <c r="A682" t="s">
        <v>1099</v>
      </c>
      <c r="B682" t="s">
        <v>1100</v>
      </c>
      <c r="C682" t="s">
        <v>15</v>
      </c>
      <c r="D682" t="s">
        <v>53</v>
      </c>
      <c r="E682" s="1">
        <v>45990</v>
      </c>
      <c r="F682" s="1">
        <v>46036</v>
      </c>
      <c r="G682" s="1"/>
      <c r="H682" t="s">
        <v>43</v>
      </c>
      <c r="I682">
        <v>1</v>
      </c>
      <c r="J682">
        <v>15</v>
      </c>
      <c r="K682">
        <v>357000</v>
      </c>
      <c r="L682">
        <v>80</v>
      </c>
      <c r="M682" t="s">
        <v>29</v>
      </c>
      <c r="N682" t="str">
        <f>_xlfn.XLOOKUP(B682,tblCustomers[customer_id],tblCustomers[region],"Missing")</f>
        <v>East</v>
      </c>
      <c r="O682" t="str">
        <f>_xlfn.XLOOKUP(C682,tblProducts[product_id],tblProducts[product_name],"Missing")</f>
        <v>CRM Enterprise</v>
      </c>
      <c r="P682" t="str">
        <f>_xlfn.XLOOKUP(C682,tblProducts[product_id],tblProducts[category],"Missing")</f>
        <v>CRM</v>
      </c>
      <c r="Q682" t="str">
        <f>_xlfn.XLOOKUP(D682,tblSalesReps[rep_id],tblSalesReps[rep_name],"Missing")</f>
        <v>Sales Rep 16</v>
      </c>
      <c r="R682" t="str">
        <f>_xlfn.XLOOKUP(D682,tblSalesReps[rep_id],tblSalesReps[region],"Missing")</f>
        <v>East</v>
      </c>
    </row>
    <row r="683" spans="1:18">
      <c r="A683" t="s">
        <v>1101</v>
      </c>
      <c r="B683" t="s">
        <v>55</v>
      </c>
      <c r="C683" t="s">
        <v>81</v>
      </c>
      <c r="D683" t="s">
        <v>168</v>
      </c>
      <c r="E683" s="1">
        <v>45898</v>
      </c>
      <c r="F683" s="1">
        <v>45909</v>
      </c>
      <c r="G683" s="1">
        <v>45909</v>
      </c>
      <c r="H683" t="s">
        <v>17</v>
      </c>
      <c r="I683">
        <v>1</v>
      </c>
      <c r="J683">
        <v>15</v>
      </c>
      <c r="K683">
        <v>255000</v>
      </c>
      <c r="L683">
        <v>0</v>
      </c>
      <c r="M683" t="s">
        <v>18</v>
      </c>
      <c r="N683" t="str">
        <f>_xlfn.XLOOKUP(B683,tblCustomers[customer_id],tblCustomers[region],"Missing")</f>
        <v>East</v>
      </c>
      <c r="O683" t="str">
        <f>_xlfn.XLOOKUP(C683,tblProducts[product_id],tblProducts[product_name],"Missing")</f>
        <v>Analytics Cloud</v>
      </c>
      <c r="P683" t="str">
        <f>_xlfn.XLOOKUP(C683,tblProducts[product_id],tblProducts[category],"Missing")</f>
        <v>Analytics</v>
      </c>
      <c r="Q683" t="str">
        <f>_xlfn.XLOOKUP(D683,tblSalesReps[rep_id],tblSalesReps[rep_name],"Missing")</f>
        <v>Sales Rep 17</v>
      </c>
      <c r="R683" t="str">
        <f>_xlfn.XLOOKUP(D683,tblSalesReps[rep_id],tblSalesReps[region],"Missing")</f>
        <v>East</v>
      </c>
    </row>
    <row r="684" spans="1:18">
      <c r="A684" t="s">
        <v>1102</v>
      </c>
      <c r="B684" t="s">
        <v>1003</v>
      </c>
      <c r="C684" t="s">
        <v>21</v>
      </c>
      <c r="D684" t="s">
        <v>63</v>
      </c>
      <c r="E684" s="1">
        <v>45716</v>
      </c>
      <c r="F684" s="1">
        <v>45739</v>
      </c>
      <c r="G684" s="1">
        <v>45739</v>
      </c>
      <c r="H684" t="s">
        <v>28</v>
      </c>
      <c r="I684">
        <v>1</v>
      </c>
      <c r="J684">
        <v>5</v>
      </c>
      <c r="K684">
        <v>228000</v>
      </c>
      <c r="L684">
        <v>100</v>
      </c>
      <c r="M684" t="s">
        <v>29</v>
      </c>
      <c r="N684" t="str">
        <f>_xlfn.XLOOKUP(B684,tblCustomers[customer_id],tblCustomers[region],"Missing")</f>
        <v>South</v>
      </c>
      <c r="O684" t="str">
        <f>_xlfn.XLOOKUP(C684,tblProducts[product_id],tblProducts[product_name],"Missing")</f>
        <v>Workflow Automate</v>
      </c>
      <c r="P684" t="str">
        <f>_xlfn.XLOOKUP(C684,tblProducts[product_id],tblProducts[category],"Missing")</f>
        <v>Automation</v>
      </c>
      <c r="Q684" t="str">
        <f>_xlfn.XLOOKUP(D684,tblSalesReps[rep_id],tblSalesReps[rep_name],"Missing")</f>
        <v>Sales Rep 05</v>
      </c>
      <c r="R684" t="str">
        <f>_xlfn.XLOOKUP(D684,tblSalesReps[rep_id],tblSalesReps[region],"Missing")</f>
        <v>South</v>
      </c>
    </row>
    <row r="685" spans="1:18">
      <c r="A685" t="s">
        <v>1103</v>
      </c>
      <c r="B685" t="s">
        <v>1000</v>
      </c>
      <c r="C685" t="s">
        <v>26</v>
      </c>
      <c r="D685" t="s">
        <v>91</v>
      </c>
      <c r="E685" s="1">
        <v>45974</v>
      </c>
      <c r="F685" s="1">
        <v>46055</v>
      </c>
      <c r="G685" s="1"/>
      <c r="H685" t="s">
        <v>43</v>
      </c>
      <c r="I685">
        <v>2</v>
      </c>
      <c r="J685">
        <v>10</v>
      </c>
      <c r="K685">
        <v>648000</v>
      </c>
      <c r="L685">
        <v>20</v>
      </c>
      <c r="M685" t="s">
        <v>29</v>
      </c>
      <c r="N685" t="str">
        <f>_xlfn.XLOOKUP(B685,tblCustomers[customer_id],tblCustomers[region],"Missing")</f>
        <v>South</v>
      </c>
      <c r="O685" t="str">
        <f>_xlfn.XLOOKUP(C685,tblProducts[product_id],tblProducts[product_name],"Missing")</f>
        <v>Security Suite</v>
      </c>
      <c r="P685" t="str">
        <f>_xlfn.XLOOKUP(C685,tblProducts[product_id],tblProducts[category],"Missing")</f>
        <v>Security</v>
      </c>
      <c r="Q685" t="str">
        <f>_xlfn.XLOOKUP(D685,tblSalesReps[rep_id],tblSalesReps[rep_name],"Missing")</f>
        <v>Sales Rep 03</v>
      </c>
      <c r="R685" t="str">
        <f>_xlfn.XLOOKUP(D685,tblSalesReps[rep_id],tblSalesReps[region],"Missing")</f>
        <v>South</v>
      </c>
    </row>
    <row r="686" spans="1:18">
      <c r="A686" t="s">
        <v>1104</v>
      </c>
      <c r="B686" t="s">
        <v>1105</v>
      </c>
      <c r="C686" t="s">
        <v>26</v>
      </c>
      <c r="D686" t="s">
        <v>46</v>
      </c>
      <c r="E686" s="1">
        <v>45659</v>
      </c>
      <c r="F686" s="1">
        <v>45695</v>
      </c>
      <c r="G686" s="1">
        <v>45695</v>
      </c>
      <c r="H686" t="s">
        <v>17</v>
      </c>
      <c r="I686">
        <v>1</v>
      </c>
      <c r="J686">
        <v>0</v>
      </c>
      <c r="K686">
        <v>360000</v>
      </c>
      <c r="L686">
        <v>0</v>
      </c>
      <c r="M686" t="s">
        <v>82</v>
      </c>
      <c r="N686" t="str">
        <f>_xlfn.XLOOKUP(B686,tblCustomers[customer_id],tblCustomers[region],"Missing")</f>
        <v>South</v>
      </c>
      <c r="O686" t="str">
        <f>_xlfn.XLOOKUP(C686,tblProducts[product_id],tblProducts[product_name],"Missing")</f>
        <v>Security Suite</v>
      </c>
      <c r="P686" t="str">
        <f>_xlfn.XLOOKUP(C686,tblProducts[product_id],tblProducts[category],"Missing")</f>
        <v>Security</v>
      </c>
      <c r="Q686" t="str">
        <f>_xlfn.XLOOKUP(D686,tblSalesReps[rep_id],tblSalesReps[rep_name],"Missing")</f>
        <v>Sales Rep 01</v>
      </c>
      <c r="R686" t="str">
        <f>_xlfn.XLOOKUP(D686,tblSalesReps[rep_id],tblSalesReps[region],"Missing")</f>
        <v>South</v>
      </c>
    </row>
    <row r="687" spans="1:18">
      <c r="A687" t="s">
        <v>1106</v>
      </c>
      <c r="B687" t="s">
        <v>164</v>
      </c>
      <c r="C687" t="s">
        <v>62</v>
      </c>
      <c r="D687" t="s">
        <v>27</v>
      </c>
      <c r="E687" s="1">
        <v>45748</v>
      </c>
      <c r="F687" s="1">
        <v>45788</v>
      </c>
      <c r="G687" s="1"/>
      <c r="H687" t="s">
        <v>43</v>
      </c>
      <c r="I687">
        <v>1</v>
      </c>
      <c r="J687">
        <v>20</v>
      </c>
      <c r="K687">
        <v>96000</v>
      </c>
      <c r="L687">
        <v>40</v>
      </c>
      <c r="M687" t="s">
        <v>29</v>
      </c>
      <c r="N687" t="str">
        <f>_xlfn.XLOOKUP(B687,tblCustomers[customer_id],tblCustomers[region],"Missing")</f>
        <v>North</v>
      </c>
      <c r="O687" t="str">
        <f>_xlfn.XLOOKUP(C687,tblProducts[product_id],tblProducts[product_name],"Missing")</f>
        <v>CRM Essentials</v>
      </c>
      <c r="P687" t="str">
        <f>_xlfn.XLOOKUP(C687,tblProducts[product_id],tblProducts[category],"Missing")</f>
        <v>CRM</v>
      </c>
      <c r="Q687" t="str">
        <f>_xlfn.XLOOKUP(D687,tblSalesReps[rep_id],tblSalesReps[rep_name],"Missing")</f>
        <v>Sales Rep 06</v>
      </c>
      <c r="R687" t="str">
        <f>_xlfn.XLOOKUP(D687,tblSalesReps[rep_id],tblSalesReps[region],"Missing")</f>
        <v>North</v>
      </c>
    </row>
    <row r="688" spans="1:18">
      <c r="A688" t="s">
        <v>1107</v>
      </c>
      <c r="B688" t="s">
        <v>151</v>
      </c>
      <c r="C688" t="s">
        <v>26</v>
      </c>
      <c r="D688" t="s">
        <v>56</v>
      </c>
      <c r="E688" s="1">
        <v>45809</v>
      </c>
      <c r="F688" s="1">
        <v>45880</v>
      </c>
      <c r="G688" s="1">
        <v>45880</v>
      </c>
      <c r="H688" t="s">
        <v>17</v>
      </c>
      <c r="I688">
        <v>1</v>
      </c>
      <c r="J688">
        <v>5</v>
      </c>
      <c r="K688">
        <v>342000</v>
      </c>
      <c r="L688">
        <v>0</v>
      </c>
      <c r="M688" t="s">
        <v>18</v>
      </c>
      <c r="N688" t="str">
        <f>_xlfn.XLOOKUP(B688,tblCustomers[customer_id],tblCustomers[region],"Missing")</f>
        <v>East</v>
      </c>
      <c r="O688" t="str">
        <f>_xlfn.XLOOKUP(C688,tblProducts[product_id],tblProducts[product_name],"Missing")</f>
        <v>Security Suite</v>
      </c>
      <c r="P688" t="str">
        <f>_xlfn.XLOOKUP(C688,tblProducts[product_id],tblProducts[category],"Missing")</f>
        <v>Security</v>
      </c>
      <c r="Q688" t="str">
        <f>_xlfn.XLOOKUP(D688,tblSalesReps[rep_id],tblSalesReps[rep_name],"Missing")</f>
        <v>Sales Rep 20</v>
      </c>
      <c r="R688" t="str">
        <f>_xlfn.XLOOKUP(D688,tblSalesReps[rep_id],tblSalesReps[region],"Missing")</f>
        <v>East</v>
      </c>
    </row>
    <row r="689" spans="1:18">
      <c r="A689" t="s">
        <v>1108</v>
      </c>
      <c r="B689" t="s">
        <v>1109</v>
      </c>
      <c r="C689" t="s">
        <v>39</v>
      </c>
      <c r="D689" t="s">
        <v>59</v>
      </c>
      <c r="E689" s="1">
        <v>45698</v>
      </c>
      <c r="F689" s="1">
        <v>45762</v>
      </c>
      <c r="G689" s="1">
        <v>45762</v>
      </c>
      <c r="H689" t="s">
        <v>17</v>
      </c>
      <c r="I689">
        <v>1</v>
      </c>
      <c r="J689">
        <v>0</v>
      </c>
      <c r="K689">
        <v>180000</v>
      </c>
      <c r="L689">
        <v>0</v>
      </c>
      <c r="M689" t="s">
        <v>33</v>
      </c>
      <c r="N689" t="str">
        <f>_xlfn.XLOOKUP(B689,tblCustomers[customer_id],tblCustomers[region],"Missing")</f>
        <v>East</v>
      </c>
      <c r="O689" t="str">
        <f>_xlfn.XLOOKUP(C689,tblProducts[product_id],tblProducts[product_name],"Missing")</f>
        <v>Support Desk</v>
      </c>
      <c r="P689" t="str">
        <f>_xlfn.XLOOKUP(C689,tblProducts[product_id],tblProducts[category],"Missing")</f>
        <v>Service</v>
      </c>
      <c r="Q689" t="str">
        <f>_xlfn.XLOOKUP(D689,tblSalesReps[rep_id],tblSalesReps[rep_name],"Missing")</f>
        <v>Sales Rep 19</v>
      </c>
      <c r="R689" t="str">
        <f>_xlfn.XLOOKUP(D689,tblSalesReps[rep_id],tblSalesReps[region],"Missing")</f>
        <v>East</v>
      </c>
    </row>
    <row r="690" spans="1:18">
      <c r="A690" t="s">
        <v>1110</v>
      </c>
      <c r="B690" t="s">
        <v>385</v>
      </c>
      <c r="C690" t="s">
        <v>26</v>
      </c>
      <c r="D690" t="s">
        <v>168</v>
      </c>
      <c r="E690" s="1">
        <v>45774</v>
      </c>
      <c r="F690" s="1">
        <v>45786</v>
      </c>
      <c r="G690" s="1">
        <v>45786</v>
      </c>
      <c r="H690" t="s">
        <v>17</v>
      </c>
      <c r="I690">
        <v>1</v>
      </c>
      <c r="J690">
        <v>15</v>
      </c>
      <c r="K690">
        <v>306000</v>
      </c>
      <c r="L690">
        <v>0</v>
      </c>
      <c r="M690" t="s">
        <v>82</v>
      </c>
      <c r="N690" t="str">
        <f>_xlfn.XLOOKUP(B690,tblCustomers[customer_id],tblCustomers[region],"Missing")</f>
        <v>East</v>
      </c>
      <c r="O690" t="str">
        <f>_xlfn.XLOOKUP(C690,tblProducts[product_id],tblProducts[product_name],"Missing")</f>
        <v>Security Suite</v>
      </c>
      <c r="P690" t="str">
        <f>_xlfn.XLOOKUP(C690,tblProducts[product_id],tblProducts[category],"Missing")</f>
        <v>Security</v>
      </c>
      <c r="Q690" t="str">
        <f>_xlfn.XLOOKUP(D690,tblSalesReps[rep_id],tblSalesReps[rep_name],"Missing")</f>
        <v>Sales Rep 17</v>
      </c>
      <c r="R690" t="str">
        <f>_xlfn.XLOOKUP(D690,tblSalesReps[rep_id],tblSalesReps[region],"Missing")</f>
        <v>East</v>
      </c>
    </row>
    <row r="691" spans="1:18">
      <c r="A691" t="s">
        <v>1111</v>
      </c>
      <c r="B691" t="s">
        <v>565</v>
      </c>
      <c r="C691" t="s">
        <v>26</v>
      </c>
      <c r="D691" t="s">
        <v>168</v>
      </c>
      <c r="E691" s="1">
        <v>45862</v>
      </c>
      <c r="F691" s="1">
        <v>45924</v>
      </c>
      <c r="G691" s="1">
        <v>45924</v>
      </c>
      <c r="H691" t="s">
        <v>17</v>
      </c>
      <c r="I691">
        <v>1</v>
      </c>
      <c r="J691">
        <v>5</v>
      </c>
      <c r="K691">
        <v>342000</v>
      </c>
      <c r="L691">
        <v>0</v>
      </c>
      <c r="M691" t="s">
        <v>47</v>
      </c>
      <c r="N691" t="str">
        <f>_xlfn.XLOOKUP(B691,tblCustomers[customer_id],tblCustomers[region],"Missing")</f>
        <v>East</v>
      </c>
      <c r="O691" t="str">
        <f>_xlfn.XLOOKUP(C691,tblProducts[product_id],tblProducts[product_name],"Missing")</f>
        <v>Security Suite</v>
      </c>
      <c r="P691" t="str">
        <f>_xlfn.XLOOKUP(C691,tblProducts[product_id],tblProducts[category],"Missing")</f>
        <v>Security</v>
      </c>
      <c r="Q691" t="str">
        <f>_xlfn.XLOOKUP(D691,tblSalesReps[rep_id],tblSalesReps[rep_name],"Missing")</f>
        <v>Sales Rep 17</v>
      </c>
      <c r="R691" t="str">
        <f>_xlfn.XLOOKUP(D691,tblSalesReps[rep_id],tblSalesReps[region],"Missing")</f>
        <v>East</v>
      </c>
    </row>
    <row r="692" spans="1:18">
      <c r="A692" t="s">
        <v>1112</v>
      </c>
      <c r="B692" t="s">
        <v>644</v>
      </c>
      <c r="C692" t="s">
        <v>62</v>
      </c>
      <c r="D692" t="s">
        <v>22</v>
      </c>
      <c r="E692" s="1">
        <v>45858</v>
      </c>
      <c r="F692" s="1">
        <v>45935</v>
      </c>
      <c r="G692" s="1">
        <v>45935</v>
      </c>
      <c r="H692" t="s">
        <v>28</v>
      </c>
      <c r="I692">
        <v>1</v>
      </c>
      <c r="J692">
        <v>5</v>
      </c>
      <c r="K692">
        <v>114000</v>
      </c>
      <c r="L692">
        <v>100</v>
      </c>
      <c r="M692" t="s">
        <v>29</v>
      </c>
      <c r="N692" t="str">
        <f>_xlfn.XLOOKUP(B692,tblCustomers[customer_id],tblCustomers[region],"Missing")</f>
        <v>West</v>
      </c>
      <c r="O692" t="str">
        <f>_xlfn.XLOOKUP(C692,tblProducts[product_id],tblProducts[product_name],"Missing")</f>
        <v>CRM Essentials</v>
      </c>
      <c r="P692" t="str">
        <f>_xlfn.XLOOKUP(C692,tblProducts[product_id],tblProducts[category],"Missing")</f>
        <v>CRM</v>
      </c>
      <c r="Q692" t="str">
        <f>_xlfn.XLOOKUP(D692,tblSalesReps[rep_id],tblSalesReps[rep_name],"Missing")</f>
        <v>Sales Rep 14</v>
      </c>
      <c r="R692" t="str">
        <f>_xlfn.XLOOKUP(D692,tblSalesReps[rep_id],tblSalesReps[region],"Missing")</f>
        <v>West</v>
      </c>
    </row>
    <row r="693" spans="1:18">
      <c r="A693" t="s">
        <v>1113</v>
      </c>
      <c r="B693" t="s">
        <v>471</v>
      </c>
      <c r="C693" t="s">
        <v>15</v>
      </c>
      <c r="D693" t="s">
        <v>119</v>
      </c>
      <c r="E693" s="1">
        <v>45911</v>
      </c>
      <c r="F693" s="1">
        <v>45971</v>
      </c>
      <c r="G693" s="1"/>
      <c r="H693" t="s">
        <v>43</v>
      </c>
      <c r="I693">
        <v>2</v>
      </c>
      <c r="J693">
        <v>0</v>
      </c>
      <c r="K693">
        <v>840000</v>
      </c>
      <c r="L693">
        <v>60</v>
      </c>
      <c r="M693" t="s">
        <v>29</v>
      </c>
      <c r="N693" t="str">
        <f>_xlfn.XLOOKUP(B693,tblCustomers[customer_id],tblCustomers[region],"Missing")</f>
        <v>North</v>
      </c>
      <c r="O693" t="str">
        <f>_xlfn.XLOOKUP(C693,tblProducts[product_id],tblProducts[product_name],"Missing")</f>
        <v>CRM Enterprise</v>
      </c>
      <c r="P693" t="str">
        <f>_xlfn.XLOOKUP(C693,tblProducts[product_id],tblProducts[category],"Missing")</f>
        <v>CRM</v>
      </c>
      <c r="Q693" t="str">
        <f>_xlfn.XLOOKUP(D693,tblSalesReps[rep_id],tblSalesReps[rep_name],"Missing")</f>
        <v>Sales Rep 10</v>
      </c>
      <c r="R693" t="str">
        <f>_xlfn.XLOOKUP(D693,tblSalesReps[rep_id],tblSalesReps[region],"Missing")</f>
        <v>North</v>
      </c>
    </row>
    <row r="694" spans="1:18">
      <c r="A694" t="s">
        <v>1114</v>
      </c>
      <c r="B694" t="s">
        <v>1094</v>
      </c>
      <c r="C694" t="s">
        <v>21</v>
      </c>
      <c r="D694" t="s">
        <v>16</v>
      </c>
      <c r="E694" s="1">
        <v>45849</v>
      </c>
      <c r="F694" s="1">
        <v>45872</v>
      </c>
      <c r="G694" s="1"/>
      <c r="H694" t="s">
        <v>43</v>
      </c>
      <c r="I694">
        <v>1</v>
      </c>
      <c r="J694">
        <v>20</v>
      </c>
      <c r="K694">
        <v>192000</v>
      </c>
      <c r="L694">
        <v>80</v>
      </c>
      <c r="M694" t="s">
        <v>29</v>
      </c>
      <c r="N694" t="str">
        <f>_xlfn.XLOOKUP(B694,tblCustomers[customer_id],tblCustomers[region],"Missing")</f>
        <v>North</v>
      </c>
      <c r="O694" t="str">
        <f>_xlfn.XLOOKUP(C694,tblProducts[product_id],tblProducts[product_name],"Missing")</f>
        <v>Workflow Automate</v>
      </c>
      <c r="P694" t="str">
        <f>_xlfn.XLOOKUP(C694,tblProducts[product_id],tblProducts[category],"Missing")</f>
        <v>Automation</v>
      </c>
      <c r="Q694" t="str">
        <f>_xlfn.XLOOKUP(D694,tblSalesReps[rep_id],tblSalesReps[rep_name],"Missing")</f>
        <v>Sales Rep 08</v>
      </c>
      <c r="R694" t="str">
        <f>_xlfn.XLOOKUP(D694,tblSalesReps[rep_id],tblSalesReps[region],"Missing")</f>
        <v>North</v>
      </c>
    </row>
    <row r="695" spans="1:18">
      <c r="A695" t="s">
        <v>1115</v>
      </c>
      <c r="B695" t="s">
        <v>387</v>
      </c>
      <c r="C695" t="s">
        <v>21</v>
      </c>
      <c r="D695" t="s">
        <v>126</v>
      </c>
      <c r="E695" s="1">
        <v>45818</v>
      </c>
      <c r="F695" s="1">
        <v>45885</v>
      </c>
      <c r="G695" s="1">
        <v>45885</v>
      </c>
      <c r="H695" t="s">
        <v>17</v>
      </c>
      <c r="I695">
        <v>1</v>
      </c>
      <c r="J695">
        <v>20</v>
      </c>
      <c r="K695">
        <v>192000</v>
      </c>
      <c r="L695">
        <v>0</v>
      </c>
      <c r="M695" t="s">
        <v>33</v>
      </c>
      <c r="N695" t="str">
        <f>_xlfn.XLOOKUP(B695,tblCustomers[customer_id],tblCustomers[region],"Missing")</f>
        <v>South</v>
      </c>
      <c r="O695" t="str">
        <f>_xlfn.XLOOKUP(C695,tblProducts[product_id],tblProducts[product_name],"Missing")</f>
        <v>Workflow Automate</v>
      </c>
      <c r="P695" t="str">
        <f>_xlfn.XLOOKUP(C695,tblProducts[product_id],tblProducts[category],"Missing")</f>
        <v>Automation</v>
      </c>
      <c r="Q695" t="str">
        <f>_xlfn.XLOOKUP(D695,tblSalesReps[rep_id],tblSalesReps[rep_name],"Missing")</f>
        <v>Sales Rep 02</v>
      </c>
      <c r="R695" t="str">
        <f>_xlfn.XLOOKUP(D695,tblSalesReps[rep_id],tblSalesReps[region],"Missing")</f>
        <v>South</v>
      </c>
    </row>
    <row r="696" spans="1:18">
      <c r="A696" t="s">
        <v>1116</v>
      </c>
      <c r="B696" t="s">
        <v>1117</v>
      </c>
      <c r="C696" t="s">
        <v>62</v>
      </c>
      <c r="D696" t="s">
        <v>22</v>
      </c>
      <c r="E696" s="1">
        <v>45733</v>
      </c>
      <c r="F696" s="1">
        <v>45750</v>
      </c>
      <c r="G696" s="1">
        <v>45750</v>
      </c>
      <c r="H696" t="s">
        <v>17</v>
      </c>
      <c r="I696">
        <v>3</v>
      </c>
      <c r="J696">
        <v>15</v>
      </c>
      <c r="K696">
        <v>306000</v>
      </c>
      <c r="L696">
        <v>0</v>
      </c>
      <c r="M696" t="s">
        <v>33</v>
      </c>
      <c r="N696" t="str">
        <f>_xlfn.XLOOKUP(B696,tblCustomers[customer_id],tblCustomers[region],"Missing")</f>
        <v>West</v>
      </c>
      <c r="O696" t="str">
        <f>_xlfn.XLOOKUP(C696,tblProducts[product_id],tblProducts[product_name],"Missing")</f>
        <v>CRM Essentials</v>
      </c>
      <c r="P696" t="str">
        <f>_xlfn.XLOOKUP(C696,tblProducts[product_id],tblProducts[category],"Missing")</f>
        <v>CRM</v>
      </c>
      <c r="Q696" t="str">
        <f>_xlfn.XLOOKUP(D696,tblSalesReps[rep_id],tblSalesReps[rep_name],"Missing")</f>
        <v>Sales Rep 14</v>
      </c>
      <c r="R696" t="str">
        <f>_xlfn.XLOOKUP(D696,tblSalesReps[rep_id],tblSalesReps[region],"Missing")</f>
        <v>West</v>
      </c>
    </row>
    <row r="697" spans="1:18">
      <c r="A697" t="s">
        <v>1118</v>
      </c>
      <c r="B697" t="s">
        <v>238</v>
      </c>
      <c r="C697" t="s">
        <v>62</v>
      </c>
      <c r="D697" t="s">
        <v>40</v>
      </c>
      <c r="E697" s="1">
        <v>45840</v>
      </c>
      <c r="F697" s="1">
        <v>45908</v>
      </c>
      <c r="G697" s="1"/>
      <c r="H697" t="s">
        <v>43</v>
      </c>
      <c r="I697">
        <v>3</v>
      </c>
      <c r="J697">
        <v>5</v>
      </c>
      <c r="K697">
        <v>342000</v>
      </c>
      <c r="L697">
        <v>60</v>
      </c>
      <c r="M697" t="s">
        <v>29</v>
      </c>
      <c r="N697" t="str">
        <f>_xlfn.XLOOKUP(B697,tblCustomers[customer_id],tblCustomers[region],"Missing")</f>
        <v>West</v>
      </c>
      <c r="O697" t="str">
        <f>_xlfn.XLOOKUP(C697,tblProducts[product_id],tblProducts[product_name],"Missing")</f>
        <v>CRM Essentials</v>
      </c>
      <c r="P697" t="str">
        <f>_xlfn.XLOOKUP(C697,tblProducts[product_id],tblProducts[category],"Missing")</f>
        <v>CRM</v>
      </c>
      <c r="Q697" t="str">
        <f>_xlfn.XLOOKUP(D697,tblSalesReps[rep_id],tblSalesReps[rep_name],"Missing")</f>
        <v>Sales Rep 13</v>
      </c>
      <c r="R697" t="str">
        <f>_xlfn.XLOOKUP(D697,tblSalesReps[rep_id],tblSalesReps[region],"Missing")</f>
        <v>West</v>
      </c>
    </row>
    <row r="698" spans="1:18">
      <c r="A698" t="s">
        <v>1119</v>
      </c>
      <c r="B698" t="s">
        <v>211</v>
      </c>
      <c r="C698" t="s">
        <v>26</v>
      </c>
      <c r="D698" t="s">
        <v>126</v>
      </c>
      <c r="E698" s="1">
        <v>45926</v>
      </c>
      <c r="F698" s="1">
        <v>45969</v>
      </c>
      <c r="G698" s="1"/>
      <c r="H698" t="s">
        <v>43</v>
      </c>
      <c r="I698">
        <v>1</v>
      </c>
      <c r="J698">
        <v>15</v>
      </c>
      <c r="K698">
        <v>306000</v>
      </c>
      <c r="L698">
        <v>80</v>
      </c>
      <c r="M698" t="s">
        <v>29</v>
      </c>
      <c r="N698" t="str">
        <f>_xlfn.XLOOKUP(B698,tblCustomers[customer_id],tblCustomers[region],"Missing")</f>
        <v>South</v>
      </c>
      <c r="O698" t="str">
        <f>_xlfn.XLOOKUP(C698,tblProducts[product_id],tblProducts[product_name],"Missing")</f>
        <v>Security Suite</v>
      </c>
      <c r="P698" t="str">
        <f>_xlfn.XLOOKUP(C698,tblProducts[product_id],tblProducts[category],"Missing")</f>
        <v>Security</v>
      </c>
      <c r="Q698" t="str">
        <f>_xlfn.XLOOKUP(D698,tblSalesReps[rep_id],tblSalesReps[rep_name],"Missing")</f>
        <v>Sales Rep 02</v>
      </c>
      <c r="R698" t="str">
        <f>_xlfn.XLOOKUP(D698,tblSalesReps[rep_id],tblSalesReps[region],"Missing")</f>
        <v>South</v>
      </c>
    </row>
    <row r="699" spans="1:18">
      <c r="A699" t="s">
        <v>1120</v>
      </c>
      <c r="B699" t="s">
        <v>601</v>
      </c>
      <c r="C699" t="s">
        <v>26</v>
      </c>
      <c r="D699" t="s">
        <v>32</v>
      </c>
      <c r="E699" s="1">
        <v>45698</v>
      </c>
      <c r="F699" s="1">
        <v>45723</v>
      </c>
      <c r="G699" s="1">
        <v>45723</v>
      </c>
      <c r="H699" t="s">
        <v>17</v>
      </c>
      <c r="I699">
        <v>2</v>
      </c>
      <c r="J699">
        <v>15</v>
      </c>
      <c r="K699">
        <v>612000</v>
      </c>
      <c r="L699">
        <v>0</v>
      </c>
      <c r="M699" t="s">
        <v>33</v>
      </c>
      <c r="N699" t="str">
        <f>_xlfn.XLOOKUP(B699,tblCustomers[customer_id],tblCustomers[region],"Missing")</f>
        <v>South</v>
      </c>
      <c r="O699" t="str">
        <f>_xlfn.XLOOKUP(C699,tblProducts[product_id],tblProducts[product_name],"Missing")</f>
        <v>Security Suite</v>
      </c>
      <c r="P699" t="str">
        <f>_xlfn.XLOOKUP(C699,tblProducts[product_id],tblProducts[category],"Missing")</f>
        <v>Security</v>
      </c>
      <c r="Q699" t="str">
        <f>_xlfn.XLOOKUP(D699,tblSalesReps[rep_id],tblSalesReps[rep_name],"Missing")</f>
        <v>Sales Rep 04</v>
      </c>
      <c r="R699" t="str">
        <f>_xlfn.XLOOKUP(D699,tblSalesReps[rep_id],tblSalesReps[region],"Missing")</f>
        <v>South</v>
      </c>
    </row>
    <row r="700" spans="1:18">
      <c r="A700" t="s">
        <v>1121</v>
      </c>
      <c r="B700" t="s">
        <v>520</v>
      </c>
      <c r="C700" t="s">
        <v>62</v>
      </c>
      <c r="D700" t="s">
        <v>152</v>
      </c>
      <c r="E700" s="1">
        <v>45940</v>
      </c>
      <c r="F700" s="1">
        <v>45965</v>
      </c>
      <c r="G700" s="1">
        <v>45965</v>
      </c>
      <c r="H700" t="s">
        <v>17</v>
      </c>
      <c r="I700">
        <v>1</v>
      </c>
      <c r="J700">
        <v>15</v>
      </c>
      <c r="K700">
        <v>102000</v>
      </c>
      <c r="L700">
        <v>0</v>
      </c>
      <c r="M700" t="s">
        <v>82</v>
      </c>
      <c r="N700" t="str">
        <f>_xlfn.XLOOKUP(B700,tblCustomers[customer_id],tblCustomers[region],"Missing")</f>
        <v>East</v>
      </c>
      <c r="O700" t="str">
        <f>_xlfn.XLOOKUP(C700,tblProducts[product_id],tblProducts[product_name],"Missing")</f>
        <v>CRM Essentials</v>
      </c>
      <c r="P700" t="str">
        <f>_xlfn.XLOOKUP(C700,tblProducts[product_id],tblProducts[category],"Missing")</f>
        <v>CRM</v>
      </c>
      <c r="Q700" t="str">
        <f>_xlfn.XLOOKUP(D700,tblSalesReps[rep_id],tblSalesReps[rep_name],"Missing")</f>
        <v>Sales Rep 18</v>
      </c>
      <c r="R700" t="str">
        <f>_xlfn.XLOOKUP(D700,tblSalesReps[rep_id],tblSalesReps[region],"Missing")</f>
        <v>East</v>
      </c>
    </row>
    <row r="701" spans="1:18">
      <c r="A701" t="s">
        <v>1122</v>
      </c>
      <c r="B701" t="s">
        <v>821</v>
      </c>
      <c r="C701" t="s">
        <v>39</v>
      </c>
      <c r="D701" t="s">
        <v>27</v>
      </c>
      <c r="E701" s="1">
        <v>45725</v>
      </c>
      <c r="F701" s="1">
        <v>45740</v>
      </c>
      <c r="G701" s="1">
        <v>45740</v>
      </c>
      <c r="H701" t="s">
        <v>17</v>
      </c>
      <c r="I701">
        <v>1</v>
      </c>
      <c r="J701">
        <v>5</v>
      </c>
      <c r="K701">
        <v>171000</v>
      </c>
      <c r="L701">
        <v>0</v>
      </c>
      <c r="M701" t="s">
        <v>33</v>
      </c>
      <c r="N701" t="str">
        <f>_xlfn.XLOOKUP(B701,tblCustomers[customer_id],tblCustomers[region],"Missing")</f>
        <v>North</v>
      </c>
      <c r="O701" t="str">
        <f>_xlfn.XLOOKUP(C701,tblProducts[product_id],tblProducts[product_name],"Missing")</f>
        <v>Support Desk</v>
      </c>
      <c r="P701" t="str">
        <f>_xlfn.XLOOKUP(C701,tblProducts[product_id],tblProducts[category],"Missing")</f>
        <v>Service</v>
      </c>
      <c r="Q701" t="str">
        <f>_xlfn.XLOOKUP(D701,tblSalesReps[rep_id],tblSalesReps[rep_name],"Missing")</f>
        <v>Sales Rep 06</v>
      </c>
      <c r="R701" t="str">
        <f>_xlfn.XLOOKUP(D701,tblSalesReps[rep_id],tblSalesReps[region],"Missing")</f>
        <v>North</v>
      </c>
    </row>
    <row r="702" spans="1:18">
      <c r="A702" t="s">
        <v>1123</v>
      </c>
      <c r="B702" t="s">
        <v>49</v>
      </c>
      <c r="C702" t="s">
        <v>81</v>
      </c>
      <c r="D702" t="s">
        <v>50</v>
      </c>
      <c r="E702" s="1">
        <v>45689</v>
      </c>
      <c r="F702" s="1">
        <v>45746</v>
      </c>
      <c r="G702" s="1">
        <v>45746</v>
      </c>
      <c r="H702" t="s">
        <v>17</v>
      </c>
      <c r="I702">
        <v>1</v>
      </c>
      <c r="J702">
        <v>20</v>
      </c>
      <c r="K702">
        <v>240000</v>
      </c>
      <c r="L702">
        <v>0</v>
      </c>
      <c r="M702" t="s">
        <v>47</v>
      </c>
      <c r="N702" t="str">
        <f>_xlfn.XLOOKUP(B702,tblCustomers[customer_id],tblCustomers[region],"Missing")</f>
        <v>West</v>
      </c>
      <c r="O702" t="str">
        <f>_xlfn.XLOOKUP(C702,tblProducts[product_id],tblProducts[product_name],"Missing")</f>
        <v>Analytics Cloud</v>
      </c>
      <c r="P702" t="str">
        <f>_xlfn.XLOOKUP(C702,tblProducts[product_id],tblProducts[category],"Missing")</f>
        <v>Analytics</v>
      </c>
      <c r="Q702" t="str">
        <f>_xlfn.XLOOKUP(D702,tblSalesReps[rep_id],tblSalesReps[rep_name],"Missing")</f>
        <v>Sales Rep 15</v>
      </c>
      <c r="R702" t="str">
        <f>_xlfn.XLOOKUP(D702,tblSalesReps[rep_id],tblSalesReps[region],"Missing")</f>
        <v>West</v>
      </c>
    </row>
    <row r="703" spans="1:18">
      <c r="A703" t="s">
        <v>1124</v>
      </c>
      <c r="B703" t="s">
        <v>412</v>
      </c>
      <c r="C703" t="s">
        <v>15</v>
      </c>
      <c r="D703" t="s">
        <v>126</v>
      </c>
      <c r="E703" s="1">
        <v>45728</v>
      </c>
      <c r="F703" s="1">
        <v>45776</v>
      </c>
      <c r="G703" s="1">
        <v>45776</v>
      </c>
      <c r="H703" t="s">
        <v>17</v>
      </c>
      <c r="I703">
        <v>2</v>
      </c>
      <c r="J703">
        <v>15</v>
      </c>
      <c r="K703">
        <v>714000</v>
      </c>
      <c r="L703">
        <v>0</v>
      </c>
      <c r="M703" t="s">
        <v>33</v>
      </c>
      <c r="N703" t="str">
        <f>_xlfn.XLOOKUP(B703,tblCustomers[customer_id],tblCustomers[region],"Missing")</f>
        <v>South</v>
      </c>
      <c r="O703" t="str">
        <f>_xlfn.XLOOKUP(C703,tblProducts[product_id],tblProducts[product_name],"Missing")</f>
        <v>CRM Enterprise</v>
      </c>
      <c r="P703" t="str">
        <f>_xlfn.XLOOKUP(C703,tblProducts[product_id],tblProducts[category],"Missing")</f>
        <v>CRM</v>
      </c>
      <c r="Q703" t="str">
        <f>_xlfn.XLOOKUP(D703,tblSalesReps[rep_id],tblSalesReps[rep_name],"Missing")</f>
        <v>Sales Rep 02</v>
      </c>
      <c r="R703" t="str">
        <f>_xlfn.XLOOKUP(D703,tblSalesReps[rep_id],tblSalesReps[region],"Missing")</f>
        <v>South</v>
      </c>
    </row>
    <row r="704" spans="1:18">
      <c r="A704" t="s">
        <v>1125</v>
      </c>
      <c r="B704" t="s">
        <v>907</v>
      </c>
      <c r="C704" t="s">
        <v>39</v>
      </c>
      <c r="D704" t="s">
        <v>32</v>
      </c>
      <c r="E704" s="1">
        <v>45661</v>
      </c>
      <c r="F704" s="1">
        <v>45678</v>
      </c>
      <c r="G704" s="1">
        <v>45678</v>
      </c>
      <c r="H704" t="s">
        <v>28</v>
      </c>
      <c r="I704">
        <v>3</v>
      </c>
      <c r="J704">
        <v>10</v>
      </c>
      <c r="K704">
        <v>486000</v>
      </c>
      <c r="L704">
        <v>100</v>
      </c>
      <c r="M704" t="s">
        <v>29</v>
      </c>
      <c r="N704" t="str">
        <f>_xlfn.XLOOKUP(B704,tblCustomers[customer_id],tblCustomers[region],"Missing")</f>
        <v>South</v>
      </c>
      <c r="O704" t="str">
        <f>_xlfn.XLOOKUP(C704,tblProducts[product_id],tblProducts[product_name],"Missing")</f>
        <v>Support Desk</v>
      </c>
      <c r="P704" t="str">
        <f>_xlfn.XLOOKUP(C704,tblProducts[product_id],tblProducts[category],"Missing")</f>
        <v>Service</v>
      </c>
      <c r="Q704" t="str">
        <f>_xlfn.XLOOKUP(D704,tblSalesReps[rep_id],tblSalesReps[rep_name],"Missing")</f>
        <v>Sales Rep 04</v>
      </c>
      <c r="R704" t="str">
        <f>_xlfn.XLOOKUP(D704,tblSalesReps[rep_id],tblSalesReps[region],"Missing")</f>
        <v>South</v>
      </c>
    </row>
    <row r="705" spans="1:18">
      <c r="A705" t="s">
        <v>1126</v>
      </c>
      <c r="B705" t="s">
        <v>1127</v>
      </c>
      <c r="C705" t="s">
        <v>15</v>
      </c>
      <c r="D705" t="s">
        <v>16</v>
      </c>
      <c r="E705" s="1">
        <v>45791</v>
      </c>
      <c r="F705" s="1">
        <v>45834</v>
      </c>
      <c r="G705" s="1">
        <v>45834</v>
      </c>
      <c r="H705" t="s">
        <v>17</v>
      </c>
      <c r="I705">
        <v>2</v>
      </c>
      <c r="J705">
        <v>0</v>
      </c>
      <c r="K705">
        <v>840000</v>
      </c>
      <c r="L705">
        <v>0</v>
      </c>
      <c r="M705" t="s">
        <v>33</v>
      </c>
      <c r="N705" t="str">
        <f>_xlfn.XLOOKUP(B705,tblCustomers[customer_id],tblCustomers[region],"Missing")</f>
        <v>North</v>
      </c>
      <c r="O705" t="str">
        <f>_xlfn.XLOOKUP(C705,tblProducts[product_id],tblProducts[product_name],"Missing")</f>
        <v>CRM Enterprise</v>
      </c>
      <c r="P705" t="str">
        <f>_xlfn.XLOOKUP(C705,tblProducts[product_id],tblProducts[category],"Missing")</f>
        <v>CRM</v>
      </c>
      <c r="Q705" t="str">
        <f>_xlfn.XLOOKUP(D705,tblSalesReps[rep_id],tblSalesReps[rep_name],"Missing")</f>
        <v>Sales Rep 08</v>
      </c>
      <c r="R705" t="str">
        <f>_xlfn.XLOOKUP(D705,tblSalesReps[rep_id],tblSalesReps[region],"Missing")</f>
        <v>North</v>
      </c>
    </row>
    <row r="706" spans="1:18">
      <c r="A706" t="s">
        <v>1128</v>
      </c>
      <c r="B706" t="s">
        <v>327</v>
      </c>
      <c r="C706" t="s">
        <v>26</v>
      </c>
      <c r="D706" t="s">
        <v>168</v>
      </c>
      <c r="E706" s="1">
        <v>45948</v>
      </c>
      <c r="F706" s="1">
        <v>45987</v>
      </c>
      <c r="G706" s="1"/>
      <c r="H706" t="s">
        <v>43</v>
      </c>
      <c r="I706">
        <v>1</v>
      </c>
      <c r="J706">
        <v>20</v>
      </c>
      <c r="K706">
        <v>288000</v>
      </c>
      <c r="L706">
        <v>20</v>
      </c>
      <c r="M706" t="s">
        <v>29</v>
      </c>
      <c r="N706" t="str">
        <f>_xlfn.XLOOKUP(B706,tblCustomers[customer_id],tblCustomers[region],"Missing")</f>
        <v>East</v>
      </c>
      <c r="O706" t="str">
        <f>_xlfn.XLOOKUP(C706,tblProducts[product_id],tblProducts[product_name],"Missing")</f>
        <v>Security Suite</v>
      </c>
      <c r="P706" t="str">
        <f>_xlfn.XLOOKUP(C706,tblProducts[product_id],tblProducts[category],"Missing")</f>
        <v>Security</v>
      </c>
      <c r="Q706" t="str">
        <f>_xlfn.XLOOKUP(D706,tblSalesReps[rep_id],tblSalesReps[rep_name],"Missing")</f>
        <v>Sales Rep 17</v>
      </c>
      <c r="R706" t="str">
        <f>_xlfn.XLOOKUP(D706,tblSalesReps[rep_id],tblSalesReps[region],"Missing")</f>
        <v>East</v>
      </c>
    </row>
    <row r="707" spans="1:18">
      <c r="A707" t="s">
        <v>1129</v>
      </c>
      <c r="B707" t="s">
        <v>1130</v>
      </c>
      <c r="C707" t="s">
        <v>81</v>
      </c>
      <c r="D707" t="s">
        <v>36</v>
      </c>
      <c r="E707" s="1">
        <v>45945</v>
      </c>
      <c r="F707" s="1">
        <v>45983</v>
      </c>
      <c r="G707" s="1">
        <v>45983</v>
      </c>
      <c r="H707" t="s">
        <v>17</v>
      </c>
      <c r="I707">
        <v>1</v>
      </c>
      <c r="J707">
        <v>20</v>
      </c>
      <c r="K707">
        <v>240000</v>
      </c>
      <c r="L707">
        <v>0</v>
      </c>
      <c r="M707" t="s">
        <v>23</v>
      </c>
      <c r="N707" t="str">
        <f>_xlfn.XLOOKUP(B707,tblCustomers[customer_id],tblCustomers[region],"Missing")</f>
        <v>North</v>
      </c>
      <c r="O707" t="str">
        <f>_xlfn.XLOOKUP(C707,tblProducts[product_id],tblProducts[product_name],"Missing")</f>
        <v>Analytics Cloud</v>
      </c>
      <c r="P707" t="str">
        <f>_xlfn.XLOOKUP(C707,tblProducts[product_id],tblProducts[category],"Missing")</f>
        <v>Analytics</v>
      </c>
      <c r="Q707" t="str">
        <f>_xlfn.XLOOKUP(D707,tblSalesReps[rep_id],tblSalesReps[rep_name],"Missing")</f>
        <v>Sales Rep 09</v>
      </c>
      <c r="R707" t="str">
        <f>_xlfn.XLOOKUP(D707,tblSalesReps[rep_id],tblSalesReps[region],"Missing")</f>
        <v>North</v>
      </c>
    </row>
    <row r="708" spans="1:18">
      <c r="A708" t="s">
        <v>1131</v>
      </c>
      <c r="B708" t="s">
        <v>565</v>
      </c>
      <c r="C708" t="s">
        <v>26</v>
      </c>
      <c r="D708" t="s">
        <v>56</v>
      </c>
      <c r="E708" s="1">
        <v>45739</v>
      </c>
      <c r="F708" s="1">
        <v>45793</v>
      </c>
      <c r="G708" s="1">
        <v>45793</v>
      </c>
      <c r="H708" t="s">
        <v>28</v>
      </c>
      <c r="I708">
        <v>1</v>
      </c>
      <c r="J708">
        <v>5</v>
      </c>
      <c r="K708">
        <v>342000</v>
      </c>
      <c r="L708">
        <v>100</v>
      </c>
      <c r="M708" t="s">
        <v>29</v>
      </c>
      <c r="N708" t="str">
        <f>_xlfn.XLOOKUP(B708,tblCustomers[customer_id],tblCustomers[region],"Missing")</f>
        <v>East</v>
      </c>
      <c r="O708" t="str">
        <f>_xlfn.XLOOKUP(C708,tblProducts[product_id],tblProducts[product_name],"Missing")</f>
        <v>Security Suite</v>
      </c>
      <c r="P708" t="str">
        <f>_xlfn.XLOOKUP(C708,tblProducts[product_id],tblProducts[category],"Missing")</f>
        <v>Security</v>
      </c>
      <c r="Q708" t="str">
        <f>_xlfn.XLOOKUP(D708,tblSalesReps[rep_id],tblSalesReps[rep_name],"Missing")</f>
        <v>Sales Rep 20</v>
      </c>
      <c r="R708" t="str">
        <f>_xlfn.XLOOKUP(D708,tblSalesReps[rep_id],tblSalesReps[region],"Missing")</f>
        <v>East</v>
      </c>
    </row>
    <row r="709" spans="1:18">
      <c r="A709" t="s">
        <v>1132</v>
      </c>
      <c r="B709" t="s">
        <v>1133</v>
      </c>
      <c r="C709" t="s">
        <v>15</v>
      </c>
      <c r="D709" t="s">
        <v>27</v>
      </c>
      <c r="E709" s="1">
        <v>45983</v>
      </c>
      <c r="F709" s="1">
        <v>45993</v>
      </c>
      <c r="G709" s="1">
        <v>45993</v>
      </c>
      <c r="H709" t="s">
        <v>17</v>
      </c>
      <c r="I709">
        <v>2</v>
      </c>
      <c r="J709">
        <v>5</v>
      </c>
      <c r="K709">
        <v>798000</v>
      </c>
      <c r="L709">
        <v>0</v>
      </c>
      <c r="M709" t="s">
        <v>23</v>
      </c>
      <c r="N709" t="str">
        <f>_xlfn.XLOOKUP(B709,tblCustomers[customer_id],tblCustomers[region],"Missing")</f>
        <v>North</v>
      </c>
      <c r="O709" t="str">
        <f>_xlfn.XLOOKUP(C709,tblProducts[product_id],tblProducts[product_name],"Missing")</f>
        <v>CRM Enterprise</v>
      </c>
      <c r="P709" t="str">
        <f>_xlfn.XLOOKUP(C709,tblProducts[product_id],tblProducts[category],"Missing")</f>
        <v>CRM</v>
      </c>
      <c r="Q709" t="str">
        <f>_xlfn.XLOOKUP(D709,tblSalesReps[rep_id],tblSalesReps[rep_name],"Missing")</f>
        <v>Sales Rep 06</v>
      </c>
      <c r="R709" t="str">
        <f>_xlfn.XLOOKUP(D709,tblSalesReps[rep_id],tblSalesReps[region],"Missing")</f>
        <v>North</v>
      </c>
    </row>
    <row r="710" spans="1:18">
      <c r="A710" t="s">
        <v>1134</v>
      </c>
      <c r="B710" t="s">
        <v>1135</v>
      </c>
      <c r="C710" t="s">
        <v>26</v>
      </c>
      <c r="D710" t="s">
        <v>63</v>
      </c>
      <c r="E710" s="1">
        <v>45903</v>
      </c>
      <c r="F710" s="1">
        <v>45929</v>
      </c>
      <c r="G710" s="1">
        <v>45929</v>
      </c>
      <c r="H710" t="s">
        <v>28</v>
      </c>
      <c r="I710">
        <v>1</v>
      </c>
      <c r="J710">
        <v>0</v>
      </c>
      <c r="K710">
        <v>360000</v>
      </c>
      <c r="L710">
        <v>100</v>
      </c>
      <c r="M710" t="s">
        <v>29</v>
      </c>
      <c r="N710" t="str">
        <f>_xlfn.XLOOKUP(B710,tblCustomers[customer_id],tblCustomers[region],"Missing")</f>
        <v>South</v>
      </c>
      <c r="O710" t="str">
        <f>_xlfn.XLOOKUP(C710,tblProducts[product_id],tblProducts[product_name],"Missing")</f>
        <v>Security Suite</v>
      </c>
      <c r="P710" t="str">
        <f>_xlfn.XLOOKUP(C710,tblProducts[product_id],tblProducts[category],"Missing")</f>
        <v>Security</v>
      </c>
      <c r="Q710" t="str">
        <f>_xlfn.XLOOKUP(D710,tblSalesReps[rep_id],tblSalesReps[rep_name],"Missing")</f>
        <v>Sales Rep 05</v>
      </c>
      <c r="R710" t="str">
        <f>_xlfn.XLOOKUP(D710,tblSalesReps[rep_id],tblSalesReps[region],"Missing")</f>
        <v>South</v>
      </c>
    </row>
    <row r="711" spans="1:18">
      <c r="A711" t="s">
        <v>1136</v>
      </c>
      <c r="B711" t="s">
        <v>435</v>
      </c>
      <c r="C711" t="s">
        <v>15</v>
      </c>
      <c r="D711" t="s">
        <v>91</v>
      </c>
      <c r="E711" s="1">
        <v>45670</v>
      </c>
      <c r="F711" s="1">
        <v>45701</v>
      </c>
      <c r="G711" s="1">
        <v>45701</v>
      </c>
      <c r="H711" t="s">
        <v>17</v>
      </c>
      <c r="I711">
        <v>1</v>
      </c>
      <c r="J711">
        <v>15</v>
      </c>
      <c r="K711">
        <v>357000</v>
      </c>
      <c r="L711">
        <v>0</v>
      </c>
      <c r="M711" t="s">
        <v>23</v>
      </c>
      <c r="N711" t="str">
        <f>_xlfn.XLOOKUP(B711,tblCustomers[customer_id],tblCustomers[region],"Missing")</f>
        <v>South</v>
      </c>
      <c r="O711" t="str">
        <f>_xlfn.XLOOKUP(C711,tblProducts[product_id],tblProducts[product_name],"Missing")</f>
        <v>CRM Enterprise</v>
      </c>
      <c r="P711" t="str">
        <f>_xlfn.XLOOKUP(C711,tblProducts[product_id],tblProducts[category],"Missing")</f>
        <v>CRM</v>
      </c>
      <c r="Q711" t="str">
        <f>_xlfn.XLOOKUP(D711,tblSalesReps[rep_id],tblSalesReps[rep_name],"Missing")</f>
        <v>Sales Rep 03</v>
      </c>
      <c r="R711" t="str">
        <f>_xlfn.XLOOKUP(D711,tblSalesReps[rep_id],tblSalesReps[region],"Missing")</f>
        <v>South</v>
      </c>
    </row>
    <row r="712" spans="1:18">
      <c r="A712" t="s">
        <v>1137</v>
      </c>
      <c r="B712" t="s">
        <v>533</v>
      </c>
      <c r="C712" t="s">
        <v>21</v>
      </c>
      <c r="D712" t="s">
        <v>119</v>
      </c>
      <c r="E712" s="1">
        <v>45934</v>
      </c>
      <c r="F712" s="1">
        <v>45985</v>
      </c>
      <c r="G712" s="1">
        <v>45985</v>
      </c>
      <c r="H712" t="s">
        <v>28</v>
      </c>
      <c r="I712">
        <v>2</v>
      </c>
      <c r="J712">
        <v>5</v>
      </c>
      <c r="K712">
        <v>456000</v>
      </c>
      <c r="L712">
        <v>100</v>
      </c>
      <c r="M712" t="s">
        <v>29</v>
      </c>
      <c r="N712" t="str">
        <f>_xlfn.XLOOKUP(B712,tblCustomers[customer_id],tblCustomers[region],"Missing")</f>
        <v>North</v>
      </c>
      <c r="O712" t="str">
        <f>_xlfn.XLOOKUP(C712,tblProducts[product_id],tblProducts[product_name],"Missing")</f>
        <v>Workflow Automate</v>
      </c>
      <c r="P712" t="str">
        <f>_xlfn.XLOOKUP(C712,tblProducts[product_id],tblProducts[category],"Missing")</f>
        <v>Automation</v>
      </c>
      <c r="Q712" t="str">
        <f>_xlfn.XLOOKUP(D712,tblSalesReps[rep_id],tblSalesReps[rep_name],"Missing")</f>
        <v>Sales Rep 10</v>
      </c>
      <c r="R712" t="str">
        <f>_xlfn.XLOOKUP(D712,tblSalesReps[rep_id],tblSalesReps[region],"Missing")</f>
        <v>North</v>
      </c>
    </row>
    <row r="713" spans="1:18">
      <c r="A713" t="s">
        <v>1138</v>
      </c>
      <c r="B713" t="s">
        <v>823</v>
      </c>
      <c r="C713" t="s">
        <v>15</v>
      </c>
      <c r="D713" t="s">
        <v>16</v>
      </c>
      <c r="E713" s="1">
        <v>45841</v>
      </c>
      <c r="F713" s="1">
        <v>45905</v>
      </c>
      <c r="G713" s="1">
        <v>45905</v>
      </c>
      <c r="H713" t="s">
        <v>17</v>
      </c>
      <c r="I713">
        <v>3</v>
      </c>
      <c r="J713">
        <v>5</v>
      </c>
      <c r="K713">
        <v>1197000</v>
      </c>
      <c r="L713">
        <v>0</v>
      </c>
      <c r="M713" t="s">
        <v>18</v>
      </c>
      <c r="N713" t="str">
        <f>_xlfn.XLOOKUP(B713,tblCustomers[customer_id],tblCustomers[region],"Missing")</f>
        <v>North</v>
      </c>
      <c r="O713" t="str">
        <f>_xlfn.XLOOKUP(C713,tblProducts[product_id],tblProducts[product_name],"Missing")</f>
        <v>CRM Enterprise</v>
      </c>
      <c r="P713" t="str">
        <f>_xlfn.XLOOKUP(C713,tblProducts[product_id],tblProducts[category],"Missing")</f>
        <v>CRM</v>
      </c>
      <c r="Q713" t="str">
        <f>_xlfn.XLOOKUP(D713,tblSalesReps[rep_id],tblSalesReps[rep_name],"Missing")</f>
        <v>Sales Rep 08</v>
      </c>
      <c r="R713" t="str">
        <f>_xlfn.XLOOKUP(D713,tblSalesReps[rep_id],tblSalesReps[region],"Missing")</f>
        <v>North</v>
      </c>
    </row>
    <row r="714" spans="1:18">
      <c r="A714" t="s">
        <v>1139</v>
      </c>
      <c r="B714" t="s">
        <v>666</v>
      </c>
      <c r="C714" t="s">
        <v>81</v>
      </c>
      <c r="D714" t="s">
        <v>46</v>
      </c>
      <c r="E714" s="1">
        <v>45914</v>
      </c>
      <c r="F714" s="1">
        <v>45987</v>
      </c>
      <c r="G714" s="1">
        <v>45987</v>
      </c>
      <c r="H714" t="s">
        <v>17</v>
      </c>
      <c r="I714">
        <v>1</v>
      </c>
      <c r="J714">
        <v>20</v>
      </c>
      <c r="K714">
        <v>240000</v>
      </c>
      <c r="L714">
        <v>0</v>
      </c>
      <c r="M714" t="s">
        <v>18</v>
      </c>
      <c r="N714" t="str">
        <f>_xlfn.XLOOKUP(B714,tblCustomers[customer_id],tblCustomers[region],"Missing")</f>
        <v>South</v>
      </c>
      <c r="O714" t="str">
        <f>_xlfn.XLOOKUP(C714,tblProducts[product_id],tblProducts[product_name],"Missing")</f>
        <v>Analytics Cloud</v>
      </c>
      <c r="P714" t="str">
        <f>_xlfn.XLOOKUP(C714,tblProducts[product_id],tblProducts[category],"Missing")</f>
        <v>Analytics</v>
      </c>
      <c r="Q714" t="str">
        <f>_xlfn.XLOOKUP(D714,tblSalesReps[rep_id],tblSalesReps[rep_name],"Missing")</f>
        <v>Sales Rep 01</v>
      </c>
      <c r="R714" t="str">
        <f>_xlfn.XLOOKUP(D714,tblSalesReps[rep_id],tblSalesReps[region],"Missing")</f>
        <v>South</v>
      </c>
    </row>
    <row r="715" spans="1:18">
      <c r="A715" t="s">
        <v>1140</v>
      </c>
      <c r="B715" t="s">
        <v>1141</v>
      </c>
      <c r="C715" t="s">
        <v>26</v>
      </c>
      <c r="D715" t="s">
        <v>22</v>
      </c>
      <c r="E715" s="1">
        <v>45770</v>
      </c>
      <c r="F715" s="1">
        <v>45829</v>
      </c>
      <c r="G715" s="1">
        <v>45829</v>
      </c>
      <c r="H715" t="s">
        <v>17</v>
      </c>
      <c r="I715">
        <v>1</v>
      </c>
      <c r="J715">
        <v>5</v>
      </c>
      <c r="K715">
        <v>342000</v>
      </c>
      <c r="L715">
        <v>0</v>
      </c>
      <c r="M715" t="s">
        <v>47</v>
      </c>
      <c r="N715" t="str">
        <f>_xlfn.XLOOKUP(B715,tblCustomers[customer_id],tblCustomers[region],"Missing")</f>
        <v>West</v>
      </c>
      <c r="O715" t="str">
        <f>_xlfn.XLOOKUP(C715,tblProducts[product_id],tblProducts[product_name],"Missing")</f>
        <v>Security Suite</v>
      </c>
      <c r="P715" t="str">
        <f>_xlfn.XLOOKUP(C715,tblProducts[product_id],tblProducts[category],"Missing")</f>
        <v>Security</v>
      </c>
      <c r="Q715" t="str">
        <f>_xlfn.XLOOKUP(D715,tblSalesReps[rep_id],tblSalesReps[rep_name],"Missing")</f>
        <v>Sales Rep 14</v>
      </c>
      <c r="R715" t="str">
        <f>_xlfn.XLOOKUP(D715,tblSalesReps[rep_id],tblSalesReps[region],"Missing")</f>
        <v>West</v>
      </c>
    </row>
    <row r="716" spans="1:18">
      <c r="A716" t="s">
        <v>1142</v>
      </c>
      <c r="B716" t="s">
        <v>959</v>
      </c>
      <c r="C716" t="s">
        <v>21</v>
      </c>
      <c r="D716" t="s">
        <v>78</v>
      </c>
      <c r="E716" s="1">
        <v>45865</v>
      </c>
      <c r="F716" s="1">
        <v>45898</v>
      </c>
      <c r="G716" s="1">
        <v>45898</v>
      </c>
      <c r="H716" t="s">
        <v>28</v>
      </c>
      <c r="I716">
        <v>3</v>
      </c>
      <c r="J716">
        <v>0</v>
      </c>
      <c r="K716">
        <v>720000</v>
      </c>
      <c r="L716">
        <v>100</v>
      </c>
      <c r="M716" t="s">
        <v>29</v>
      </c>
      <c r="N716" t="str">
        <f>_xlfn.XLOOKUP(B716,tblCustomers[customer_id],tblCustomers[region],"Missing")</f>
        <v>West</v>
      </c>
      <c r="O716" t="str">
        <f>_xlfn.XLOOKUP(C716,tblProducts[product_id],tblProducts[product_name],"Missing")</f>
        <v>Workflow Automate</v>
      </c>
      <c r="P716" t="str">
        <f>_xlfn.XLOOKUP(C716,tblProducts[product_id],tblProducts[category],"Missing")</f>
        <v>Automation</v>
      </c>
      <c r="Q716" t="str">
        <f>_xlfn.XLOOKUP(D716,tblSalesReps[rep_id],tblSalesReps[rep_name],"Missing")</f>
        <v>Sales Rep 12</v>
      </c>
      <c r="R716" t="str">
        <f>_xlfn.XLOOKUP(D716,tblSalesReps[rep_id],tblSalesReps[region],"Missing")</f>
        <v>West</v>
      </c>
    </row>
    <row r="717" spans="1:18">
      <c r="A717" t="s">
        <v>1143</v>
      </c>
      <c r="B717" t="s">
        <v>592</v>
      </c>
      <c r="C717" t="s">
        <v>26</v>
      </c>
      <c r="D717" t="s">
        <v>53</v>
      </c>
      <c r="E717" s="1">
        <v>45692</v>
      </c>
      <c r="F717" s="1">
        <v>45714</v>
      </c>
      <c r="G717" s="1">
        <v>45714</v>
      </c>
      <c r="H717" t="s">
        <v>28</v>
      </c>
      <c r="I717">
        <v>2</v>
      </c>
      <c r="J717">
        <v>10</v>
      </c>
      <c r="K717">
        <v>648000</v>
      </c>
      <c r="L717">
        <v>100</v>
      </c>
      <c r="M717" t="s">
        <v>29</v>
      </c>
      <c r="N717" t="str">
        <f>_xlfn.XLOOKUP(B717,tblCustomers[customer_id],tblCustomers[region],"Missing")</f>
        <v>East</v>
      </c>
      <c r="O717" t="str">
        <f>_xlfn.XLOOKUP(C717,tblProducts[product_id],tblProducts[product_name],"Missing")</f>
        <v>Security Suite</v>
      </c>
      <c r="P717" t="str">
        <f>_xlfn.XLOOKUP(C717,tblProducts[product_id],tblProducts[category],"Missing")</f>
        <v>Security</v>
      </c>
      <c r="Q717" t="str">
        <f>_xlfn.XLOOKUP(D717,tblSalesReps[rep_id],tblSalesReps[rep_name],"Missing")</f>
        <v>Sales Rep 16</v>
      </c>
      <c r="R717" t="str">
        <f>_xlfn.XLOOKUP(D717,tblSalesReps[rep_id],tblSalesReps[region],"Missing")</f>
        <v>East</v>
      </c>
    </row>
    <row r="718" spans="1:18">
      <c r="A718" t="s">
        <v>1144</v>
      </c>
      <c r="B718" t="s">
        <v>353</v>
      </c>
      <c r="C718" t="s">
        <v>21</v>
      </c>
      <c r="D718" t="s">
        <v>36</v>
      </c>
      <c r="E718" s="1">
        <v>45975</v>
      </c>
      <c r="F718" s="1">
        <v>46043</v>
      </c>
      <c r="G718" s="1"/>
      <c r="H718" t="s">
        <v>43</v>
      </c>
      <c r="I718">
        <v>3</v>
      </c>
      <c r="J718">
        <v>20</v>
      </c>
      <c r="K718">
        <v>576000</v>
      </c>
      <c r="L718">
        <v>20</v>
      </c>
      <c r="M718" t="s">
        <v>29</v>
      </c>
      <c r="N718" t="str">
        <f>_xlfn.XLOOKUP(B718,tblCustomers[customer_id],tblCustomers[region],"Missing")</f>
        <v>North</v>
      </c>
      <c r="O718" t="str">
        <f>_xlfn.XLOOKUP(C718,tblProducts[product_id],tblProducts[product_name],"Missing")</f>
        <v>Workflow Automate</v>
      </c>
      <c r="P718" t="str">
        <f>_xlfn.XLOOKUP(C718,tblProducts[product_id],tblProducts[category],"Missing")</f>
        <v>Automation</v>
      </c>
      <c r="Q718" t="str">
        <f>_xlfn.XLOOKUP(D718,tblSalesReps[rep_id],tblSalesReps[rep_name],"Missing")</f>
        <v>Sales Rep 09</v>
      </c>
      <c r="R718" t="str">
        <f>_xlfn.XLOOKUP(D718,tblSalesReps[rep_id],tblSalesReps[region],"Missing")</f>
        <v>North</v>
      </c>
    </row>
    <row r="719" spans="1:18">
      <c r="A719" t="s">
        <v>1145</v>
      </c>
      <c r="B719" t="s">
        <v>636</v>
      </c>
      <c r="C719" t="s">
        <v>21</v>
      </c>
      <c r="D719" t="s">
        <v>36</v>
      </c>
      <c r="E719" s="1">
        <v>45671</v>
      </c>
      <c r="F719" s="1">
        <v>45740</v>
      </c>
      <c r="G719" s="1">
        <v>45740</v>
      </c>
      <c r="H719" t="s">
        <v>17</v>
      </c>
      <c r="I719">
        <v>1</v>
      </c>
      <c r="J719">
        <v>15</v>
      </c>
      <c r="K719">
        <v>204000</v>
      </c>
      <c r="L719">
        <v>0</v>
      </c>
      <c r="M719" t="s">
        <v>33</v>
      </c>
      <c r="N719" t="str">
        <f>_xlfn.XLOOKUP(B719,tblCustomers[customer_id],tblCustomers[region],"Missing")</f>
        <v>North</v>
      </c>
      <c r="O719" t="str">
        <f>_xlfn.XLOOKUP(C719,tblProducts[product_id],tblProducts[product_name],"Missing")</f>
        <v>Workflow Automate</v>
      </c>
      <c r="P719" t="str">
        <f>_xlfn.XLOOKUP(C719,tblProducts[product_id],tblProducts[category],"Missing")</f>
        <v>Automation</v>
      </c>
      <c r="Q719" t="str">
        <f>_xlfn.XLOOKUP(D719,tblSalesReps[rep_id],tblSalesReps[rep_name],"Missing")</f>
        <v>Sales Rep 09</v>
      </c>
      <c r="R719" t="str">
        <f>_xlfn.XLOOKUP(D719,tblSalesReps[rep_id],tblSalesReps[region],"Missing")</f>
        <v>North</v>
      </c>
    </row>
    <row r="720" spans="1:18">
      <c r="A720" t="s">
        <v>1146</v>
      </c>
      <c r="B720" t="s">
        <v>1147</v>
      </c>
      <c r="C720" t="s">
        <v>21</v>
      </c>
      <c r="D720" t="s">
        <v>75</v>
      </c>
      <c r="E720" s="1">
        <v>45967</v>
      </c>
      <c r="F720" s="1">
        <v>45978</v>
      </c>
      <c r="G720" s="1"/>
      <c r="H720" t="s">
        <v>43</v>
      </c>
      <c r="I720">
        <v>1</v>
      </c>
      <c r="J720">
        <v>10</v>
      </c>
      <c r="K720">
        <v>216000</v>
      </c>
      <c r="L720">
        <v>80</v>
      </c>
      <c r="M720" t="s">
        <v>29</v>
      </c>
      <c r="N720" t="str">
        <f>_xlfn.XLOOKUP(B720,tblCustomers[customer_id],tblCustomers[region],"Missing")</f>
        <v>North</v>
      </c>
      <c r="O720" t="str">
        <f>_xlfn.XLOOKUP(C720,tblProducts[product_id],tblProducts[product_name],"Missing")</f>
        <v>Workflow Automate</v>
      </c>
      <c r="P720" t="str">
        <f>_xlfn.XLOOKUP(C720,tblProducts[product_id],tblProducts[category],"Missing")</f>
        <v>Automation</v>
      </c>
      <c r="Q720" t="str">
        <f>_xlfn.XLOOKUP(D720,tblSalesReps[rep_id],tblSalesReps[rep_name],"Missing")</f>
        <v>Sales Rep 07</v>
      </c>
      <c r="R720" t="str">
        <f>_xlfn.XLOOKUP(D720,tblSalesReps[rep_id],tblSalesReps[region],"Missing")</f>
        <v>North</v>
      </c>
    </row>
    <row r="721" spans="1:18">
      <c r="A721" t="s">
        <v>1148</v>
      </c>
      <c r="B721" t="s">
        <v>886</v>
      </c>
      <c r="C721" t="s">
        <v>62</v>
      </c>
      <c r="D721" t="s">
        <v>119</v>
      </c>
      <c r="E721" s="1">
        <v>45750</v>
      </c>
      <c r="F721" s="1">
        <v>45829</v>
      </c>
      <c r="G721" s="1">
        <v>45829</v>
      </c>
      <c r="H721" t="s">
        <v>17</v>
      </c>
      <c r="I721">
        <v>2</v>
      </c>
      <c r="J721">
        <v>20</v>
      </c>
      <c r="K721">
        <v>192000</v>
      </c>
      <c r="L721">
        <v>0</v>
      </c>
      <c r="M721" t="s">
        <v>18</v>
      </c>
      <c r="N721" t="str">
        <f>_xlfn.XLOOKUP(B721,tblCustomers[customer_id],tblCustomers[region],"Missing")</f>
        <v>North</v>
      </c>
      <c r="O721" t="str">
        <f>_xlfn.XLOOKUP(C721,tblProducts[product_id],tblProducts[product_name],"Missing")</f>
        <v>CRM Essentials</v>
      </c>
      <c r="P721" t="str">
        <f>_xlfn.XLOOKUP(C721,tblProducts[product_id],tblProducts[category],"Missing")</f>
        <v>CRM</v>
      </c>
      <c r="Q721" t="str">
        <f>_xlfn.XLOOKUP(D721,tblSalesReps[rep_id],tblSalesReps[rep_name],"Missing")</f>
        <v>Sales Rep 10</v>
      </c>
      <c r="R721" t="str">
        <f>_xlfn.XLOOKUP(D721,tblSalesReps[rep_id],tblSalesReps[region],"Missing")</f>
        <v>North</v>
      </c>
    </row>
    <row r="722" spans="1:18">
      <c r="A722" t="s">
        <v>1149</v>
      </c>
      <c r="B722" t="s">
        <v>755</v>
      </c>
      <c r="C722" t="s">
        <v>21</v>
      </c>
      <c r="D722" t="s">
        <v>119</v>
      </c>
      <c r="E722" s="1">
        <v>45827</v>
      </c>
      <c r="F722" s="1">
        <v>45853</v>
      </c>
      <c r="G722" s="1">
        <v>45853</v>
      </c>
      <c r="H722" t="s">
        <v>17</v>
      </c>
      <c r="I722">
        <v>1</v>
      </c>
      <c r="J722">
        <v>5</v>
      </c>
      <c r="K722">
        <v>228000</v>
      </c>
      <c r="L722">
        <v>0</v>
      </c>
      <c r="M722" t="s">
        <v>82</v>
      </c>
      <c r="N722" t="str">
        <f>_xlfn.XLOOKUP(B722,tblCustomers[customer_id],tblCustomers[region],"Missing")</f>
        <v>North</v>
      </c>
      <c r="O722" t="str">
        <f>_xlfn.XLOOKUP(C722,tblProducts[product_id],tblProducts[product_name],"Missing")</f>
        <v>Workflow Automate</v>
      </c>
      <c r="P722" t="str">
        <f>_xlfn.XLOOKUP(C722,tblProducts[product_id],tblProducts[category],"Missing")</f>
        <v>Automation</v>
      </c>
      <c r="Q722" t="str">
        <f>_xlfn.XLOOKUP(D722,tblSalesReps[rep_id],tblSalesReps[rep_name],"Missing")</f>
        <v>Sales Rep 10</v>
      </c>
      <c r="R722" t="str">
        <f>_xlfn.XLOOKUP(D722,tblSalesReps[rep_id],tblSalesReps[region],"Missing")</f>
        <v>North</v>
      </c>
    </row>
    <row r="723" spans="1:18">
      <c r="A723" t="s">
        <v>1150</v>
      </c>
      <c r="B723" t="s">
        <v>69</v>
      </c>
      <c r="C723" t="s">
        <v>21</v>
      </c>
      <c r="D723" t="s">
        <v>50</v>
      </c>
      <c r="E723" s="1">
        <v>45910</v>
      </c>
      <c r="F723" s="1">
        <v>45973</v>
      </c>
      <c r="G723" s="1">
        <v>45973</v>
      </c>
      <c r="H723" t="s">
        <v>28</v>
      </c>
      <c r="I723">
        <v>1</v>
      </c>
      <c r="J723">
        <v>0</v>
      </c>
      <c r="K723">
        <v>240000</v>
      </c>
      <c r="L723">
        <v>100</v>
      </c>
      <c r="M723" t="s">
        <v>29</v>
      </c>
      <c r="N723" t="str">
        <f>_xlfn.XLOOKUP(B723,tblCustomers[customer_id],tblCustomers[region],"Missing")</f>
        <v>West</v>
      </c>
      <c r="O723" t="str">
        <f>_xlfn.XLOOKUP(C723,tblProducts[product_id],tblProducts[product_name],"Missing")</f>
        <v>Workflow Automate</v>
      </c>
      <c r="P723" t="str">
        <f>_xlfn.XLOOKUP(C723,tblProducts[product_id],tblProducts[category],"Missing")</f>
        <v>Automation</v>
      </c>
      <c r="Q723" t="str">
        <f>_xlfn.XLOOKUP(D723,tblSalesReps[rep_id],tblSalesReps[rep_name],"Missing")</f>
        <v>Sales Rep 15</v>
      </c>
      <c r="R723" t="str">
        <f>_xlfn.XLOOKUP(D723,tblSalesReps[rep_id],tblSalesReps[region],"Missing")</f>
        <v>West</v>
      </c>
    </row>
    <row r="724" spans="1:18">
      <c r="A724" t="s">
        <v>1151</v>
      </c>
      <c r="B724" t="s">
        <v>1152</v>
      </c>
      <c r="C724" t="s">
        <v>39</v>
      </c>
      <c r="D724" t="s">
        <v>16</v>
      </c>
      <c r="E724" s="1">
        <v>45983</v>
      </c>
      <c r="F724" s="1">
        <v>46043</v>
      </c>
      <c r="G724" s="1"/>
      <c r="H724" t="s">
        <v>43</v>
      </c>
      <c r="I724">
        <v>2</v>
      </c>
      <c r="J724">
        <v>0</v>
      </c>
      <c r="K724">
        <v>360000</v>
      </c>
      <c r="L724">
        <v>60</v>
      </c>
      <c r="M724" t="s">
        <v>29</v>
      </c>
      <c r="N724" t="str">
        <f>_xlfn.XLOOKUP(B724,tblCustomers[customer_id],tblCustomers[region],"Missing")</f>
        <v>North</v>
      </c>
      <c r="O724" t="str">
        <f>_xlfn.XLOOKUP(C724,tblProducts[product_id],tblProducts[product_name],"Missing")</f>
        <v>Support Desk</v>
      </c>
      <c r="P724" t="str">
        <f>_xlfn.XLOOKUP(C724,tblProducts[product_id],tblProducts[category],"Missing")</f>
        <v>Service</v>
      </c>
      <c r="Q724" t="str">
        <f>_xlfn.XLOOKUP(D724,tblSalesReps[rep_id],tblSalesReps[rep_name],"Missing")</f>
        <v>Sales Rep 08</v>
      </c>
      <c r="R724" t="str">
        <f>_xlfn.XLOOKUP(D724,tblSalesReps[rep_id],tblSalesReps[region],"Missing")</f>
        <v>North</v>
      </c>
    </row>
    <row r="725" spans="1:18">
      <c r="A725" t="s">
        <v>1153</v>
      </c>
      <c r="B725" t="s">
        <v>158</v>
      </c>
      <c r="C725" t="s">
        <v>39</v>
      </c>
      <c r="D725" t="s">
        <v>75</v>
      </c>
      <c r="E725" s="1">
        <v>45998</v>
      </c>
      <c r="F725" s="1">
        <v>46074</v>
      </c>
      <c r="G725" s="1"/>
      <c r="H725" t="s">
        <v>43</v>
      </c>
      <c r="I725">
        <v>1</v>
      </c>
      <c r="J725">
        <v>20</v>
      </c>
      <c r="K725">
        <v>144000</v>
      </c>
      <c r="L725">
        <v>60</v>
      </c>
      <c r="M725" t="s">
        <v>29</v>
      </c>
      <c r="N725" t="str">
        <f>_xlfn.XLOOKUP(B725,tblCustomers[customer_id],tblCustomers[region],"Missing")</f>
        <v>North</v>
      </c>
      <c r="O725" t="str">
        <f>_xlfn.XLOOKUP(C725,tblProducts[product_id],tblProducts[product_name],"Missing")</f>
        <v>Support Desk</v>
      </c>
      <c r="P725" t="str">
        <f>_xlfn.XLOOKUP(C725,tblProducts[product_id],tblProducts[category],"Missing")</f>
        <v>Service</v>
      </c>
      <c r="Q725" t="str">
        <f>_xlfn.XLOOKUP(D725,tblSalesReps[rep_id],tblSalesReps[rep_name],"Missing")</f>
        <v>Sales Rep 07</v>
      </c>
      <c r="R725" t="str">
        <f>_xlfn.XLOOKUP(D725,tblSalesReps[rep_id],tblSalesReps[region],"Missing")</f>
        <v>North</v>
      </c>
    </row>
    <row r="726" spans="1:18">
      <c r="A726" t="s">
        <v>1154</v>
      </c>
      <c r="B726" t="s">
        <v>187</v>
      </c>
      <c r="C726" t="s">
        <v>62</v>
      </c>
      <c r="D726" t="s">
        <v>50</v>
      </c>
      <c r="E726" s="1">
        <v>45664</v>
      </c>
      <c r="F726" s="1">
        <v>45705</v>
      </c>
      <c r="G726" s="1">
        <v>45705</v>
      </c>
      <c r="H726" t="s">
        <v>28</v>
      </c>
      <c r="I726">
        <v>3</v>
      </c>
      <c r="J726">
        <v>20</v>
      </c>
      <c r="K726">
        <v>288000</v>
      </c>
      <c r="L726">
        <v>100</v>
      </c>
      <c r="M726" t="s">
        <v>29</v>
      </c>
      <c r="N726" t="str">
        <f>_xlfn.XLOOKUP(B726,tblCustomers[customer_id],tblCustomers[region],"Missing")</f>
        <v>West</v>
      </c>
      <c r="O726" t="str">
        <f>_xlfn.XLOOKUP(C726,tblProducts[product_id],tblProducts[product_name],"Missing")</f>
        <v>CRM Essentials</v>
      </c>
      <c r="P726" t="str">
        <f>_xlfn.XLOOKUP(C726,tblProducts[product_id],tblProducts[category],"Missing")</f>
        <v>CRM</v>
      </c>
      <c r="Q726" t="str">
        <f>_xlfn.XLOOKUP(D726,tblSalesReps[rep_id],tblSalesReps[rep_name],"Missing")</f>
        <v>Sales Rep 15</v>
      </c>
      <c r="R726" t="str">
        <f>_xlfn.XLOOKUP(D726,tblSalesReps[rep_id],tblSalesReps[region],"Missing")</f>
        <v>West</v>
      </c>
    </row>
    <row r="727" spans="1:18">
      <c r="A727" t="s">
        <v>1155</v>
      </c>
      <c r="B727" t="s">
        <v>232</v>
      </c>
      <c r="C727" t="s">
        <v>39</v>
      </c>
      <c r="D727" t="s">
        <v>63</v>
      </c>
      <c r="E727" s="1">
        <v>45694</v>
      </c>
      <c r="F727" s="1">
        <v>45717</v>
      </c>
      <c r="G727" s="1">
        <v>45717</v>
      </c>
      <c r="H727" t="s">
        <v>28</v>
      </c>
      <c r="I727">
        <v>3</v>
      </c>
      <c r="J727">
        <v>5</v>
      </c>
      <c r="K727">
        <v>513000</v>
      </c>
      <c r="L727">
        <v>100</v>
      </c>
      <c r="M727" t="s">
        <v>29</v>
      </c>
      <c r="N727" t="str">
        <f>_xlfn.XLOOKUP(B727,tblCustomers[customer_id],tblCustomers[region],"Missing")</f>
        <v>South</v>
      </c>
      <c r="O727" t="str">
        <f>_xlfn.XLOOKUP(C727,tblProducts[product_id],tblProducts[product_name],"Missing")</f>
        <v>Support Desk</v>
      </c>
      <c r="P727" t="str">
        <f>_xlfn.XLOOKUP(C727,tblProducts[product_id],tblProducts[category],"Missing")</f>
        <v>Service</v>
      </c>
      <c r="Q727" t="str">
        <f>_xlfn.XLOOKUP(D727,tblSalesReps[rep_id],tblSalesReps[rep_name],"Missing")</f>
        <v>Sales Rep 05</v>
      </c>
      <c r="R727" t="str">
        <f>_xlfn.XLOOKUP(D727,tblSalesReps[rep_id],tblSalesReps[region],"Missing")</f>
        <v>South</v>
      </c>
    </row>
    <row r="728" spans="1:18">
      <c r="A728" t="s">
        <v>1156</v>
      </c>
      <c r="B728" t="s">
        <v>219</v>
      </c>
      <c r="C728" t="s">
        <v>81</v>
      </c>
      <c r="D728" t="s">
        <v>53</v>
      </c>
      <c r="E728" s="1">
        <v>45756</v>
      </c>
      <c r="F728" s="1">
        <v>45810</v>
      </c>
      <c r="G728" s="1">
        <v>45810</v>
      </c>
      <c r="H728" t="s">
        <v>17</v>
      </c>
      <c r="I728">
        <v>2</v>
      </c>
      <c r="J728">
        <v>15</v>
      </c>
      <c r="K728">
        <v>510000</v>
      </c>
      <c r="L728">
        <v>0</v>
      </c>
      <c r="M728" t="s">
        <v>47</v>
      </c>
      <c r="N728" t="str">
        <f>_xlfn.XLOOKUP(B728,tblCustomers[customer_id],tblCustomers[region],"Missing")</f>
        <v>East</v>
      </c>
      <c r="O728" t="str">
        <f>_xlfn.XLOOKUP(C728,tblProducts[product_id],tblProducts[product_name],"Missing")</f>
        <v>Analytics Cloud</v>
      </c>
      <c r="P728" t="str">
        <f>_xlfn.XLOOKUP(C728,tblProducts[product_id],tblProducts[category],"Missing")</f>
        <v>Analytics</v>
      </c>
      <c r="Q728" t="str">
        <f>_xlfn.XLOOKUP(D728,tblSalesReps[rep_id],tblSalesReps[rep_name],"Missing")</f>
        <v>Sales Rep 16</v>
      </c>
      <c r="R728" t="str">
        <f>_xlfn.XLOOKUP(D728,tblSalesReps[rep_id],tblSalesReps[region],"Missing")</f>
        <v>East</v>
      </c>
    </row>
    <row r="729" spans="1:18">
      <c r="A729" t="s">
        <v>1157</v>
      </c>
      <c r="B729" t="s">
        <v>677</v>
      </c>
      <c r="C729" t="s">
        <v>39</v>
      </c>
      <c r="D729" t="s">
        <v>53</v>
      </c>
      <c r="E729" s="1">
        <v>46018</v>
      </c>
      <c r="F729" s="1">
        <v>46043</v>
      </c>
      <c r="G729" s="1"/>
      <c r="H729" t="s">
        <v>43</v>
      </c>
      <c r="I729">
        <v>1</v>
      </c>
      <c r="J729">
        <v>10</v>
      </c>
      <c r="K729">
        <v>162000</v>
      </c>
      <c r="L729">
        <v>60</v>
      </c>
      <c r="M729" t="s">
        <v>29</v>
      </c>
      <c r="N729" t="str">
        <f>_xlfn.XLOOKUP(B729,tblCustomers[customer_id],tblCustomers[region],"Missing")</f>
        <v>East</v>
      </c>
      <c r="O729" t="str">
        <f>_xlfn.XLOOKUP(C729,tblProducts[product_id],tblProducts[product_name],"Missing")</f>
        <v>Support Desk</v>
      </c>
      <c r="P729" t="str">
        <f>_xlfn.XLOOKUP(C729,tblProducts[product_id],tblProducts[category],"Missing")</f>
        <v>Service</v>
      </c>
      <c r="Q729" t="str">
        <f>_xlfn.XLOOKUP(D729,tblSalesReps[rep_id],tblSalesReps[rep_name],"Missing")</f>
        <v>Sales Rep 16</v>
      </c>
      <c r="R729" t="str">
        <f>_xlfn.XLOOKUP(D729,tblSalesReps[rep_id],tblSalesReps[region],"Missing")</f>
        <v>East</v>
      </c>
    </row>
    <row r="730" spans="1:18">
      <c r="A730" t="s">
        <v>1158</v>
      </c>
      <c r="B730" t="s">
        <v>1159</v>
      </c>
      <c r="C730" t="s">
        <v>26</v>
      </c>
      <c r="D730" t="s">
        <v>56</v>
      </c>
      <c r="E730" s="1">
        <v>45964</v>
      </c>
      <c r="F730" s="1">
        <v>46044</v>
      </c>
      <c r="G730" s="1"/>
      <c r="H730" t="s">
        <v>43</v>
      </c>
      <c r="I730">
        <v>1</v>
      </c>
      <c r="J730">
        <v>15</v>
      </c>
      <c r="K730">
        <v>306000</v>
      </c>
      <c r="L730">
        <v>60</v>
      </c>
      <c r="M730" t="s">
        <v>29</v>
      </c>
      <c r="N730" t="str">
        <f>_xlfn.XLOOKUP(B730,tblCustomers[customer_id],tblCustomers[region],"Missing")</f>
        <v>East</v>
      </c>
      <c r="O730" t="str">
        <f>_xlfn.XLOOKUP(C730,tblProducts[product_id],tblProducts[product_name],"Missing")</f>
        <v>Security Suite</v>
      </c>
      <c r="P730" t="str">
        <f>_xlfn.XLOOKUP(C730,tblProducts[product_id],tblProducts[category],"Missing")</f>
        <v>Security</v>
      </c>
      <c r="Q730" t="str">
        <f>_xlfn.XLOOKUP(D730,tblSalesReps[rep_id],tblSalesReps[rep_name],"Missing")</f>
        <v>Sales Rep 20</v>
      </c>
      <c r="R730" t="str">
        <f>_xlfn.XLOOKUP(D730,tblSalesReps[rep_id],tblSalesReps[region],"Missing")</f>
        <v>East</v>
      </c>
    </row>
    <row r="731" spans="1:18">
      <c r="A731" t="s">
        <v>1160</v>
      </c>
      <c r="B731" t="s">
        <v>296</v>
      </c>
      <c r="C731" t="s">
        <v>62</v>
      </c>
      <c r="D731" t="s">
        <v>91</v>
      </c>
      <c r="E731" s="1">
        <v>45980</v>
      </c>
      <c r="F731" s="1">
        <v>46021</v>
      </c>
      <c r="G731" s="1">
        <v>46021</v>
      </c>
      <c r="H731" t="s">
        <v>28</v>
      </c>
      <c r="I731">
        <v>1</v>
      </c>
      <c r="J731">
        <v>20</v>
      </c>
      <c r="K731">
        <v>96000</v>
      </c>
      <c r="L731">
        <v>100</v>
      </c>
      <c r="M731" t="s">
        <v>29</v>
      </c>
      <c r="N731" t="str">
        <f>_xlfn.XLOOKUP(B731,tblCustomers[customer_id],tblCustomers[region],"Missing")</f>
        <v>South</v>
      </c>
      <c r="O731" t="str">
        <f>_xlfn.XLOOKUP(C731,tblProducts[product_id],tblProducts[product_name],"Missing")</f>
        <v>CRM Essentials</v>
      </c>
      <c r="P731" t="str">
        <f>_xlfn.XLOOKUP(C731,tblProducts[product_id],tblProducts[category],"Missing")</f>
        <v>CRM</v>
      </c>
      <c r="Q731" t="str">
        <f>_xlfn.XLOOKUP(D731,tblSalesReps[rep_id],tblSalesReps[rep_name],"Missing")</f>
        <v>Sales Rep 03</v>
      </c>
      <c r="R731" t="str">
        <f>_xlfn.XLOOKUP(D731,tblSalesReps[rep_id],tblSalesReps[region],"Missing")</f>
        <v>South</v>
      </c>
    </row>
    <row r="732" spans="1:18">
      <c r="A732" t="s">
        <v>1161</v>
      </c>
      <c r="B732" t="s">
        <v>1162</v>
      </c>
      <c r="C732" t="s">
        <v>81</v>
      </c>
      <c r="D732" t="s">
        <v>75</v>
      </c>
      <c r="E732" s="1">
        <v>45971</v>
      </c>
      <c r="F732" s="1">
        <v>45995</v>
      </c>
      <c r="G732" s="1"/>
      <c r="H732" t="s">
        <v>43</v>
      </c>
      <c r="I732">
        <v>1</v>
      </c>
      <c r="J732">
        <v>5</v>
      </c>
      <c r="K732">
        <v>285000</v>
      </c>
      <c r="L732">
        <v>60</v>
      </c>
      <c r="M732" t="s">
        <v>29</v>
      </c>
      <c r="N732" t="str">
        <f>_xlfn.XLOOKUP(B732,tblCustomers[customer_id],tblCustomers[region],"Missing")</f>
        <v>North</v>
      </c>
      <c r="O732" t="str">
        <f>_xlfn.XLOOKUP(C732,tblProducts[product_id],tblProducts[product_name],"Missing")</f>
        <v>Analytics Cloud</v>
      </c>
      <c r="P732" t="str">
        <f>_xlfn.XLOOKUP(C732,tblProducts[product_id],tblProducts[category],"Missing")</f>
        <v>Analytics</v>
      </c>
      <c r="Q732" t="str">
        <f>_xlfn.XLOOKUP(D732,tblSalesReps[rep_id],tblSalesReps[rep_name],"Missing")</f>
        <v>Sales Rep 07</v>
      </c>
      <c r="R732" t="str">
        <f>_xlfn.XLOOKUP(D732,tblSalesReps[rep_id],tblSalesReps[region],"Missing")</f>
        <v>North</v>
      </c>
    </row>
    <row r="733" spans="1:18">
      <c r="A733" t="s">
        <v>1163</v>
      </c>
      <c r="B733" t="s">
        <v>1164</v>
      </c>
      <c r="C733" t="s">
        <v>26</v>
      </c>
      <c r="D733" t="s">
        <v>91</v>
      </c>
      <c r="E733" s="1">
        <v>45751</v>
      </c>
      <c r="F733" s="1">
        <v>45821</v>
      </c>
      <c r="G733" s="1"/>
      <c r="H733" t="s">
        <v>43</v>
      </c>
      <c r="I733">
        <v>1</v>
      </c>
      <c r="J733">
        <v>5</v>
      </c>
      <c r="K733">
        <v>342000</v>
      </c>
      <c r="L733">
        <v>80</v>
      </c>
      <c r="M733" t="s">
        <v>29</v>
      </c>
      <c r="N733" t="str">
        <f>_xlfn.XLOOKUP(B733,tblCustomers[customer_id],tblCustomers[region],"Missing")</f>
        <v>South</v>
      </c>
      <c r="O733" t="str">
        <f>_xlfn.XLOOKUP(C733,tblProducts[product_id],tblProducts[product_name],"Missing")</f>
        <v>Security Suite</v>
      </c>
      <c r="P733" t="str">
        <f>_xlfn.XLOOKUP(C733,tblProducts[product_id],tblProducts[category],"Missing")</f>
        <v>Security</v>
      </c>
      <c r="Q733" t="str">
        <f>_xlfn.XLOOKUP(D733,tblSalesReps[rep_id],tblSalesReps[rep_name],"Missing")</f>
        <v>Sales Rep 03</v>
      </c>
      <c r="R733" t="str">
        <f>_xlfn.XLOOKUP(D733,tblSalesReps[rep_id],tblSalesReps[region],"Missing")</f>
        <v>South</v>
      </c>
    </row>
    <row r="734" spans="1:18">
      <c r="A734" t="s">
        <v>1165</v>
      </c>
      <c r="B734" t="s">
        <v>493</v>
      </c>
      <c r="C734" t="s">
        <v>15</v>
      </c>
      <c r="D734" t="s">
        <v>40</v>
      </c>
      <c r="E734" s="1">
        <v>45911</v>
      </c>
      <c r="F734" s="1">
        <v>45988</v>
      </c>
      <c r="G734" s="1">
        <v>45988</v>
      </c>
      <c r="H734" t="s">
        <v>17</v>
      </c>
      <c r="I734">
        <v>3</v>
      </c>
      <c r="J734">
        <v>10</v>
      </c>
      <c r="K734">
        <v>1134000</v>
      </c>
      <c r="L734">
        <v>0</v>
      </c>
      <c r="M734" t="s">
        <v>47</v>
      </c>
      <c r="N734" t="str">
        <f>_xlfn.XLOOKUP(B734,tblCustomers[customer_id],tblCustomers[region],"Missing")</f>
        <v>West</v>
      </c>
      <c r="O734" t="str">
        <f>_xlfn.XLOOKUP(C734,tblProducts[product_id],tblProducts[product_name],"Missing")</f>
        <v>CRM Enterprise</v>
      </c>
      <c r="P734" t="str">
        <f>_xlfn.XLOOKUP(C734,tblProducts[product_id],tblProducts[category],"Missing")</f>
        <v>CRM</v>
      </c>
      <c r="Q734" t="str">
        <f>_xlfn.XLOOKUP(D734,tblSalesReps[rep_id],tblSalesReps[rep_name],"Missing")</f>
        <v>Sales Rep 13</v>
      </c>
      <c r="R734" t="str">
        <f>_xlfn.XLOOKUP(D734,tblSalesReps[rep_id],tblSalesReps[region],"Missing")</f>
        <v>West</v>
      </c>
    </row>
    <row r="735" spans="1:18">
      <c r="A735" t="s">
        <v>1166</v>
      </c>
      <c r="B735" t="s">
        <v>1167</v>
      </c>
      <c r="C735" t="s">
        <v>62</v>
      </c>
      <c r="D735" t="s">
        <v>16</v>
      </c>
      <c r="E735" s="1">
        <v>45685</v>
      </c>
      <c r="F735" s="1">
        <v>45700</v>
      </c>
      <c r="G735" s="1">
        <v>45700</v>
      </c>
      <c r="H735" t="s">
        <v>28</v>
      </c>
      <c r="I735">
        <v>1</v>
      </c>
      <c r="J735">
        <v>0</v>
      </c>
      <c r="K735">
        <v>120000</v>
      </c>
      <c r="L735">
        <v>100</v>
      </c>
      <c r="M735" t="s">
        <v>29</v>
      </c>
      <c r="N735" t="str">
        <f>_xlfn.XLOOKUP(B735,tblCustomers[customer_id],tblCustomers[region],"Missing")</f>
        <v>North</v>
      </c>
      <c r="O735" t="str">
        <f>_xlfn.XLOOKUP(C735,tblProducts[product_id],tblProducts[product_name],"Missing")</f>
        <v>CRM Essentials</v>
      </c>
      <c r="P735" t="str">
        <f>_xlfn.XLOOKUP(C735,tblProducts[product_id],tblProducts[category],"Missing")</f>
        <v>CRM</v>
      </c>
      <c r="Q735" t="str">
        <f>_xlfn.XLOOKUP(D735,tblSalesReps[rep_id],tblSalesReps[rep_name],"Missing")</f>
        <v>Sales Rep 08</v>
      </c>
      <c r="R735" t="str">
        <f>_xlfn.XLOOKUP(D735,tblSalesReps[rep_id],tblSalesReps[region],"Missing")</f>
        <v>North</v>
      </c>
    </row>
    <row r="736" spans="1:18">
      <c r="A736" t="s">
        <v>1168</v>
      </c>
      <c r="B736" t="s">
        <v>1169</v>
      </c>
      <c r="C736" t="s">
        <v>26</v>
      </c>
      <c r="D736" t="s">
        <v>152</v>
      </c>
      <c r="E736" s="1">
        <v>45803</v>
      </c>
      <c r="F736" s="1">
        <v>45839</v>
      </c>
      <c r="G736" s="1">
        <v>45839</v>
      </c>
      <c r="H736" t="s">
        <v>17</v>
      </c>
      <c r="I736">
        <v>1</v>
      </c>
      <c r="J736">
        <v>20</v>
      </c>
      <c r="K736">
        <v>288000</v>
      </c>
      <c r="L736">
        <v>0</v>
      </c>
      <c r="M736" t="s">
        <v>33</v>
      </c>
      <c r="N736" t="str">
        <f>_xlfn.XLOOKUP(B736,tblCustomers[customer_id],tblCustomers[region],"Missing")</f>
        <v>East</v>
      </c>
      <c r="O736" t="str">
        <f>_xlfn.XLOOKUP(C736,tblProducts[product_id],tblProducts[product_name],"Missing")</f>
        <v>Security Suite</v>
      </c>
      <c r="P736" t="str">
        <f>_xlfn.XLOOKUP(C736,tblProducts[product_id],tblProducts[category],"Missing")</f>
        <v>Security</v>
      </c>
      <c r="Q736" t="str">
        <f>_xlfn.XLOOKUP(D736,tblSalesReps[rep_id],tblSalesReps[rep_name],"Missing")</f>
        <v>Sales Rep 18</v>
      </c>
      <c r="R736" t="str">
        <f>_xlfn.XLOOKUP(D736,tblSalesReps[rep_id],tblSalesReps[region],"Missing")</f>
        <v>East</v>
      </c>
    </row>
    <row r="737" spans="1:18">
      <c r="A737" t="s">
        <v>1170</v>
      </c>
      <c r="B737" t="s">
        <v>954</v>
      </c>
      <c r="C737" t="s">
        <v>15</v>
      </c>
      <c r="D737" t="s">
        <v>46</v>
      </c>
      <c r="E737" s="1">
        <v>45950</v>
      </c>
      <c r="F737" s="1">
        <v>45991</v>
      </c>
      <c r="G737" s="1">
        <v>45991</v>
      </c>
      <c r="H737" t="s">
        <v>17</v>
      </c>
      <c r="I737">
        <v>2</v>
      </c>
      <c r="J737">
        <v>0</v>
      </c>
      <c r="K737">
        <v>840000</v>
      </c>
      <c r="L737">
        <v>0</v>
      </c>
      <c r="M737" t="s">
        <v>47</v>
      </c>
      <c r="N737" t="str">
        <f>_xlfn.XLOOKUP(B737,tblCustomers[customer_id],tblCustomers[region],"Missing")</f>
        <v>South</v>
      </c>
      <c r="O737" t="str">
        <f>_xlfn.XLOOKUP(C737,tblProducts[product_id],tblProducts[product_name],"Missing")</f>
        <v>CRM Enterprise</v>
      </c>
      <c r="P737" t="str">
        <f>_xlfn.XLOOKUP(C737,tblProducts[product_id],tblProducts[category],"Missing")</f>
        <v>CRM</v>
      </c>
      <c r="Q737" t="str">
        <f>_xlfn.XLOOKUP(D737,tblSalesReps[rep_id],tblSalesReps[rep_name],"Missing")</f>
        <v>Sales Rep 01</v>
      </c>
      <c r="R737" t="str">
        <f>_xlfn.XLOOKUP(D737,tblSalesReps[rep_id],tblSalesReps[region],"Missing")</f>
        <v>South</v>
      </c>
    </row>
    <row r="738" spans="1:18">
      <c r="A738" t="s">
        <v>1171</v>
      </c>
      <c r="B738" t="s">
        <v>198</v>
      </c>
      <c r="C738" t="s">
        <v>39</v>
      </c>
      <c r="D738" t="s">
        <v>22</v>
      </c>
      <c r="E738" s="1">
        <v>45886</v>
      </c>
      <c r="F738" s="1">
        <v>45905</v>
      </c>
      <c r="G738" s="1">
        <v>45905</v>
      </c>
      <c r="H738" t="s">
        <v>28</v>
      </c>
      <c r="I738">
        <v>1</v>
      </c>
      <c r="J738">
        <v>15</v>
      </c>
      <c r="K738">
        <v>153000</v>
      </c>
      <c r="L738">
        <v>100</v>
      </c>
      <c r="M738" t="s">
        <v>29</v>
      </c>
      <c r="N738" t="str">
        <f>_xlfn.XLOOKUP(B738,tblCustomers[customer_id],tblCustomers[region],"Missing")</f>
        <v>West</v>
      </c>
      <c r="O738" t="str">
        <f>_xlfn.XLOOKUP(C738,tblProducts[product_id],tblProducts[product_name],"Missing")</f>
        <v>Support Desk</v>
      </c>
      <c r="P738" t="str">
        <f>_xlfn.XLOOKUP(C738,tblProducts[product_id],tblProducts[category],"Missing")</f>
        <v>Service</v>
      </c>
      <c r="Q738" t="str">
        <f>_xlfn.XLOOKUP(D738,tblSalesReps[rep_id],tblSalesReps[rep_name],"Missing")</f>
        <v>Sales Rep 14</v>
      </c>
      <c r="R738" t="str">
        <f>_xlfn.XLOOKUP(D738,tblSalesReps[rep_id],tblSalesReps[region],"Missing")</f>
        <v>West</v>
      </c>
    </row>
    <row r="739" spans="1:18">
      <c r="A739" t="s">
        <v>1172</v>
      </c>
      <c r="B739" t="s">
        <v>1173</v>
      </c>
      <c r="C739" t="s">
        <v>39</v>
      </c>
      <c r="D739" t="s">
        <v>63</v>
      </c>
      <c r="E739" s="1">
        <v>45856</v>
      </c>
      <c r="F739" s="1">
        <v>45940</v>
      </c>
      <c r="G739" s="1"/>
      <c r="H739" t="s">
        <v>43</v>
      </c>
      <c r="I739">
        <v>1</v>
      </c>
      <c r="J739">
        <v>10</v>
      </c>
      <c r="K739">
        <v>162000</v>
      </c>
      <c r="L739">
        <v>40</v>
      </c>
      <c r="M739" t="s">
        <v>29</v>
      </c>
      <c r="N739" t="str">
        <f>_xlfn.XLOOKUP(B739,tblCustomers[customer_id],tblCustomers[region],"Missing")</f>
        <v>South</v>
      </c>
      <c r="O739" t="str">
        <f>_xlfn.XLOOKUP(C739,tblProducts[product_id],tblProducts[product_name],"Missing")</f>
        <v>Support Desk</v>
      </c>
      <c r="P739" t="str">
        <f>_xlfn.XLOOKUP(C739,tblProducts[product_id],tblProducts[category],"Missing")</f>
        <v>Service</v>
      </c>
      <c r="Q739" t="str">
        <f>_xlfn.XLOOKUP(D739,tblSalesReps[rep_id],tblSalesReps[rep_name],"Missing")</f>
        <v>Sales Rep 05</v>
      </c>
      <c r="R739" t="str">
        <f>_xlfn.XLOOKUP(D739,tblSalesReps[rep_id],tblSalesReps[region],"Missing")</f>
        <v>South</v>
      </c>
    </row>
    <row r="740" spans="1:18">
      <c r="A740" t="s">
        <v>1174</v>
      </c>
      <c r="B740" t="s">
        <v>131</v>
      </c>
      <c r="C740" t="s">
        <v>21</v>
      </c>
      <c r="D740" t="s">
        <v>36</v>
      </c>
      <c r="E740" s="1">
        <v>45798</v>
      </c>
      <c r="F740" s="1">
        <v>45842</v>
      </c>
      <c r="G740" s="1">
        <v>45842</v>
      </c>
      <c r="H740" t="s">
        <v>28</v>
      </c>
      <c r="I740">
        <v>1</v>
      </c>
      <c r="J740">
        <v>15</v>
      </c>
      <c r="K740">
        <v>204000</v>
      </c>
      <c r="L740">
        <v>100</v>
      </c>
      <c r="M740" t="s">
        <v>29</v>
      </c>
      <c r="N740" t="str">
        <f>_xlfn.XLOOKUP(B740,tblCustomers[customer_id],tblCustomers[region],"Missing")</f>
        <v>North</v>
      </c>
      <c r="O740" t="str">
        <f>_xlfn.XLOOKUP(C740,tblProducts[product_id],tblProducts[product_name],"Missing")</f>
        <v>Workflow Automate</v>
      </c>
      <c r="P740" t="str">
        <f>_xlfn.XLOOKUP(C740,tblProducts[product_id],tblProducts[category],"Missing")</f>
        <v>Automation</v>
      </c>
      <c r="Q740" t="str">
        <f>_xlfn.XLOOKUP(D740,tblSalesReps[rep_id],tblSalesReps[rep_name],"Missing")</f>
        <v>Sales Rep 09</v>
      </c>
      <c r="R740" t="str">
        <f>_xlfn.XLOOKUP(D740,tblSalesReps[rep_id],tblSalesReps[region],"Missing")</f>
        <v>North</v>
      </c>
    </row>
    <row r="741" spans="1:18">
      <c r="A741" t="s">
        <v>1175</v>
      </c>
      <c r="B741" t="s">
        <v>555</v>
      </c>
      <c r="C741" t="s">
        <v>62</v>
      </c>
      <c r="D741" t="s">
        <v>59</v>
      </c>
      <c r="E741" s="1">
        <v>45950</v>
      </c>
      <c r="F741" s="1">
        <v>46005</v>
      </c>
      <c r="G741" s="1">
        <v>46005</v>
      </c>
      <c r="H741" t="s">
        <v>28</v>
      </c>
      <c r="I741">
        <v>1</v>
      </c>
      <c r="J741">
        <v>15</v>
      </c>
      <c r="K741">
        <v>102000</v>
      </c>
      <c r="L741">
        <v>100</v>
      </c>
      <c r="M741" t="s">
        <v>29</v>
      </c>
      <c r="N741" t="str">
        <f>_xlfn.XLOOKUP(B741,tblCustomers[customer_id],tblCustomers[region],"Missing")</f>
        <v>East</v>
      </c>
      <c r="O741" t="str">
        <f>_xlfn.XLOOKUP(C741,tblProducts[product_id],tblProducts[product_name],"Missing")</f>
        <v>CRM Essentials</v>
      </c>
      <c r="P741" t="str">
        <f>_xlfn.XLOOKUP(C741,tblProducts[product_id],tblProducts[category],"Missing")</f>
        <v>CRM</v>
      </c>
      <c r="Q741" t="str">
        <f>_xlfn.XLOOKUP(D741,tblSalesReps[rep_id],tblSalesReps[rep_name],"Missing")</f>
        <v>Sales Rep 19</v>
      </c>
      <c r="R741" t="str">
        <f>_xlfn.XLOOKUP(D741,tblSalesReps[rep_id],tblSalesReps[region],"Missing")</f>
        <v>East</v>
      </c>
    </row>
    <row r="742" spans="1:18">
      <c r="A742" t="s">
        <v>1176</v>
      </c>
      <c r="B742" t="s">
        <v>306</v>
      </c>
      <c r="C742" t="s">
        <v>39</v>
      </c>
      <c r="D742" t="s">
        <v>56</v>
      </c>
      <c r="E742" s="1">
        <v>45758</v>
      </c>
      <c r="F742" s="1">
        <v>45813</v>
      </c>
      <c r="G742" s="1"/>
      <c r="H742" t="s">
        <v>43</v>
      </c>
      <c r="I742">
        <v>1</v>
      </c>
      <c r="J742">
        <v>0</v>
      </c>
      <c r="K742">
        <v>180000</v>
      </c>
      <c r="L742">
        <v>40</v>
      </c>
      <c r="M742" t="s">
        <v>29</v>
      </c>
      <c r="N742" t="str">
        <f>_xlfn.XLOOKUP(B742,tblCustomers[customer_id],tblCustomers[region],"Missing")</f>
        <v>East</v>
      </c>
      <c r="O742" t="str">
        <f>_xlfn.XLOOKUP(C742,tblProducts[product_id],tblProducts[product_name],"Missing")</f>
        <v>Support Desk</v>
      </c>
      <c r="P742" t="str">
        <f>_xlfn.XLOOKUP(C742,tblProducts[product_id],tblProducts[category],"Missing")</f>
        <v>Service</v>
      </c>
      <c r="Q742" t="str">
        <f>_xlfn.XLOOKUP(D742,tblSalesReps[rep_id],tblSalesReps[rep_name],"Missing")</f>
        <v>Sales Rep 20</v>
      </c>
      <c r="R742" t="str">
        <f>_xlfn.XLOOKUP(D742,tblSalesReps[rep_id],tblSalesReps[region],"Missing")</f>
        <v>East</v>
      </c>
    </row>
    <row r="743" spans="1:18">
      <c r="A743" t="s">
        <v>1177</v>
      </c>
      <c r="B743" t="s">
        <v>940</v>
      </c>
      <c r="C743" t="s">
        <v>62</v>
      </c>
      <c r="D743" t="s">
        <v>119</v>
      </c>
      <c r="E743" s="1">
        <v>45788</v>
      </c>
      <c r="F743" s="1">
        <v>45832</v>
      </c>
      <c r="G743" s="1">
        <v>45832</v>
      </c>
      <c r="H743" t="s">
        <v>17</v>
      </c>
      <c r="I743">
        <v>1</v>
      </c>
      <c r="J743">
        <v>15</v>
      </c>
      <c r="K743">
        <v>102000</v>
      </c>
      <c r="L743">
        <v>0</v>
      </c>
      <c r="M743" t="s">
        <v>47</v>
      </c>
      <c r="N743" t="str">
        <f>_xlfn.XLOOKUP(B743,tblCustomers[customer_id],tblCustomers[region],"Missing")</f>
        <v>North</v>
      </c>
      <c r="O743" t="str">
        <f>_xlfn.XLOOKUP(C743,tblProducts[product_id],tblProducts[product_name],"Missing")</f>
        <v>CRM Essentials</v>
      </c>
      <c r="P743" t="str">
        <f>_xlfn.XLOOKUP(C743,tblProducts[product_id],tblProducts[category],"Missing")</f>
        <v>CRM</v>
      </c>
      <c r="Q743" t="str">
        <f>_xlfn.XLOOKUP(D743,tblSalesReps[rep_id],tblSalesReps[rep_name],"Missing")</f>
        <v>Sales Rep 10</v>
      </c>
      <c r="R743" t="str">
        <f>_xlfn.XLOOKUP(D743,tblSalesReps[rep_id],tblSalesReps[region],"Missing")</f>
        <v>North</v>
      </c>
    </row>
    <row r="744" spans="1:18">
      <c r="A744" t="s">
        <v>1178</v>
      </c>
      <c r="B744" t="s">
        <v>25</v>
      </c>
      <c r="C744" t="s">
        <v>26</v>
      </c>
      <c r="D744" t="s">
        <v>75</v>
      </c>
      <c r="E744" s="1">
        <v>45805</v>
      </c>
      <c r="F744" s="1">
        <v>45866</v>
      </c>
      <c r="G744" s="1">
        <v>45866</v>
      </c>
      <c r="H744" t="s">
        <v>17</v>
      </c>
      <c r="I744">
        <v>1</v>
      </c>
      <c r="J744">
        <v>5</v>
      </c>
      <c r="K744">
        <v>342000</v>
      </c>
      <c r="L744">
        <v>0</v>
      </c>
      <c r="M744" t="s">
        <v>47</v>
      </c>
      <c r="N744" t="str">
        <f>_xlfn.XLOOKUP(B744,tblCustomers[customer_id],tblCustomers[region],"Missing")</f>
        <v>North</v>
      </c>
      <c r="O744" t="str">
        <f>_xlfn.XLOOKUP(C744,tblProducts[product_id],tblProducts[product_name],"Missing")</f>
        <v>Security Suite</v>
      </c>
      <c r="P744" t="str">
        <f>_xlfn.XLOOKUP(C744,tblProducts[product_id],tblProducts[category],"Missing")</f>
        <v>Security</v>
      </c>
      <c r="Q744" t="str">
        <f>_xlfn.XLOOKUP(D744,tblSalesReps[rep_id],tblSalesReps[rep_name],"Missing")</f>
        <v>Sales Rep 07</v>
      </c>
      <c r="R744" t="str">
        <f>_xlfn.XLOOKUP(D744,tblSalesReps[rep_id],tblSalesReps[region],"Missing")</f>
        <v>North</v>
      </c>
    </row>
    <row r="745" spans="1:18">
      <c r="A745" t="s">
        <v>1179</v>
      </c>
      <c r="B745" t="s">
        <v>520</v>
      </c>
      <c r="C745" t="s">
        <v>81</v>
      </c>
      <c r="D745" t="s">
        <v>56</v>
      </c>
      <c r="E745" s="1">
        <v>45846</v>
      </c>
      <c r="F745" s="1">
        <v>45872</v>
      </c>
      <c r="G745" s="1">
        <v>45872</v>
      </c>
      <c r="H745" t="s">
        <v>17</v>
      </c>
      <c r="I745">
        <v>3</v>
      </c>
      <c r="J745">
        <v>5</v>
      </c>
      <c r="K745">
        <v>855000</v>
      </c>
      <c r="L745">
        <v>0</v>
      </c>
      <c r="M745" t="s">
        <v>23</v>
      </c>
      <c r="N745" t="str">
        <f>_xlfn.XLOOKUP(B745,tblCustomers[customer_id],tblCustomers[region],"Missing")</f>
        <v>East</v>
      </c>
      <c r="O745" t="str">
        <f>_xlfn.XLOOKUP(C745,tblProducts[product_id],tblProducts[product_name],"Missing")</f>
        <v>Analytics Cloud</v>
      </c>
      <c r="P745" t="str">
        <f>_xlfn.XLOOKUP(C745,tblProducts[product_id],tblProducts[category],"Missing")</f>
        <v>Analytics</v>
      </c>
      <c r="Q745" t="str">
        <f>_xlfn.XLOOKUP(D745,tblSalesReps[rep_id],tblSalesReps[rep_name],"Missing")</f>
        <v>Sales Rep 20</v>
      </c>
      <c r="R745" t="str">
        <f>_xlfn.XLOOKUP(D745,tblSalesReps[rep_id],tblSalesReps[region],"Missing")</f>
        <v>East</v>
      </c>
    </row>
    <row r="746" spans="1:18">
      <c r="A746" t="s">
        <v>1180</v>
      </c>
      <c r="B746" t="s">
        <v>994</v>
      </c>
      <c r="C746" t="s">
        <v>15</v>
      </c>
      <c r="D746" t="s">
        <v>75</v>
      </c>
      <c r="E746" s="1">
        <v>45781</v>
      </c>
      <c r="F746" s="1">
        <v>45835</v>
      </c>
      <c r="G746" s="1"/>
      <c r="H746" t="s">
        <v>43</v>
      </c>
      <c r="I746">
        <v>3</v>
      </c>
      <c r="J746">
        <v>10</v>
      </c>
      <c r="K746">
        <v>1134000</v>
      </c>
      <c r="L746">
        <v>80</v>
      </c>
      <c r="M746" t="s">
        <v>29</v>
      </c>
      <c r="N746" t="str">
        <f>_xlfn.XLOOKUP(B746,tblCustomers[customer_id],tblCustomers[region],"Missing")</f>
        <v>North</v>
      </c>
      <c r="O746" t="str">
        <f>_xlfn.XLOOKUP(C746,tblProducts[product_id],tblProducts[product_name],"Missing")</f>
        <v>CRM Enterprise</v>
      </c>
      <c r="P746" t="str">
        <f>_xlfn.XLOOKUP(C746,tblProducts[product_id],tblProducts[category],"Missing")</f>
        <v>CRM</v>
      </c>
      <c r="Q746" t="str">
        <f>_xlfn.XLOOKUP(D746,tblSalesReps[rep_id],tblSalesReps[rep_name],"Missing")</f>
        <v>Sales Rep 07</v>
      </c>
      <c r="R746" t="str">
        <f>_xlfn.XLOOKUP(D746,tblSalesReps[rep_id],tblSalesReps[region],"Missing")</f>
        <v>North</v>
      </c>
    </row>
    <row r="747" spans="1:18">
      <c r="A747" t="s">
        <v>1181</v>
      </c>
      <c r="B747" t="s">
        <v>493</v>
      </c>
      <c r="C747" t="s">
        <v>81</v>
      </c>
      <c r="D747" t="s">
        <v>78</v>
      </c>
      <c r="E747" s="1">
        <v>45658</v>
      </c>
      <c r="F747" s="1">
        <v>45732</v>
      </c>
      <c r="G747" s="1">
        <v>45732</v>
      </c>
      <c r="H747" t="s">
        <v>28</v>
      </c>
      <c r="I747">
        <v>2</v>
      </c>
      <c r="J747">
        <v>15</v>
      </c>
      <c r="K747">
        <v>510000</v>
      </c>
      <c r="L747">
        <v>100</v>
      </c>
      <c r="M747" t="s">
        <v>29</v>
      </c>
      <c r="N747" t="str">
        <f>_xlfn.XLOOKUP(B747,tblCustomers[customer_id],tblCustomers[region],"Missing")</f>
        <v>West</v>
      </c>
      <c r="O747" t="str">
        <f>_xlfn.XLOOKUP(C747,tblProducts[product_id],tblProducts[product_name],"Missing")</f>
        <v>Analytics Cloud</v>
      </c>
      <c r="P747" t="str">
        <f>_xlfn.XLOOKUP(C747,tblProducts[product_id],tblProducts[category],"Missing")</f>
        <v>Analytics</v>
      </c>
      <c r="Q747" t="str">
        <f>_xlfn.XLOOKUP(D747,tblSalesReps[rep_id],tblSalesReps[rep_name],"Missing")</f>
        <v>Sales Rep 12</v>
      </c>
      <c r="R747" t="str">
        <f>_xlfn.XLOOKUP(D747,tblSalesReps[rep_id],tblSalesReps[region],"Missing")</f>
        <v>West</v>
      </c>
    </row>
    <row r="748" spans="1:18">
      <c r="A748" t="s">
        <v>1182</v>
      </c>
      <c r="B748" t="s">
        <v>262</v>
      </c>
      <c r="C748" t="s">
        <v>21</v>
      </c>
      <c r="D748" t="s">
        <v>91</v>
      </c>
      <c r="E748" s="1">
        <v>45717</v>
      </c>
      <c r="F748" s="1">
        <v>45776</v>
      </c>
      <c r="G748" s="1">
        <v>45776</v>
      </c>
      <c r="H748" t="s">
        <v>17</v>
      </c>
      <c r="I748">
        <v>2</v>
      </c>
      <c r="J748">
        <v>15</v>
      </c>
      <c r="K748">
        <v>408000</v>
      </c>
      <c r="L748">
        <v>0</v>
      </c>
      <c r="M748" t="s">
        <v>18</v>
      </c>
      <c r="N748" t="str">
        <f>_xlfn.XLOOKUP(B748,tblCustomers[customer_id],tblCustomers[region],"Missing")</f>
        <v>South</v>
      </c>
      <c r="O748" t="str">
        <f>_xlfn.XLOOKUP(C748,tblProducts[product_id],tblProducts[product_name],"Missing")</f>
        <v>Workflow Automate</v>
      </c>
      <c r="P748" t="str">
        <f>_xlfn.XLOOKUP(C748,tblProducts[product_id],tblProducts[category],"Missing")</f>
        <v>Automation</v>
      </c>
      <c r="Q748" t="str">
        <f>_xlfn.XLOOKUP(D748,tblSalesReps[rep_id],tblSalesReps[rep_name],"Missing")</f>
        <v>Sales Rep 03</v>
      </c>
      <c r="R748" t="str">
        <f>_xlfn.XLOOKUP(D748,tblSalesReps[rep_id],tblSalesReps[region],"Missing")</f>
        <v>South</v>
      </c>
    </row>
    <row r="749" spans="1:18">
      <c r="A749" t="s">
        <v>1183</v>
      </c>
      <c r="B749" t="s">
        <v>1184</v>
      </c>
      <c r="C749" t="s">
        <v>26</v>
      </c>
      <c r="D749" t="s">
        <v>126</v>
      </c>
      <c r="E749" s="1">
        <v>45888</v>
      </c>
      <c r="F749" s="1">
        <v>45912</v>
      </c>
      <c r="G749" s="1"/>
      <c r="H749" t="s">
        <v>43</v>
      </c>
      <c r="I749">
        <v>1</v>
      </c>
      <c r="J749">
        <v>15</v>
      </c>
      <c r="K749">
        <v>306000</v>
      </c>
      <c r="L749">
        <v>40</v>
      </c>
      <c r="M749" t="s">
        <v>29</v>
      </c>
      <c r="N749" t="str">
        <f>_xlfn.XLOOKUP(B749,tblCustomers[customer_id],tblCustomers[region],"Missing")</f>
        <v>South</v>
      </c>
      <c r="O749" t="str">
        <f>_xlfn.XLOOKUP(C749,tblProducts[product_id],tblProducts[product_name],"Missing")</f>
        <v>Security Suite</v>
      </c>
      <c r="P749" t="str">
        <f>_xlfn.XLOOKUP(C749,tblProducts[product_id],tblProducts[category],"Missing")</f>
        <v>Security</v>
      </c>
      <c r="Q749" t="str">
        <f>_xlfn.XLOOKUP(D749,tblSalesReps[rep_id],tblSalesReps[rep_name],"Missing")</f>
        <v>Sales Rep 02</v>
      </c>
      <c r="R749" t="str">
        <f>_xlfn.XLOOKUP(D749,tblSalesReps[rep_id],tblSalesReps[region],"Missing")</f>
        <v>South</v>
      </c>
    </row>
    <row r="750" spans="1:18">
      <c r="A750" t="s">
        <v>1185</v>
      </c>
      <c r="B750" t="s">
        <v>213</v>
      </c>
      <c r="C750" t="s">
        <v>15</v>
      </c>
      <c r="D750" t="s">
        <v>22</v>
      </c>
      <c r="E750" s="1">
        <v>45724</v>
      </c>
      <c r="F750" s="1">
        <v>45737</v>
      </c>
      <c r="G750" s="1">
        <v>45737</v>
      </c>
      <c r="H750" t="s">
        <v>17</v>
      </c>
      <c r="I750">
        <v>1</v>
      </c>
      <c r="J750">
        <v>5</v>
      </c>
      <c r="K750">
        <v>399000</v>
      </c>
      <c r="L750">
        <v>0</v>
      </c>
      <c r="M750" t="s">
        <v>18</v>
      </c>
      <c r="N750" t="str">
        <f>_xlfn.XLOOKUP(B750,tblCustomers[customer_id],tblCustomers[region],"Missing")</f>
        <v>West</v>
      </c>
      <c r="O750" t="str">
        <f>_xlfn.XLOOKUP(C750,tblProducts[product_id],tblProducts[product_name],"Missing")</f>
        <v>CRM Enterprise</v>
      </c>
      <c r="P750" t="str">
        <f>_xlfn.XLOOKUP(C750,tblProducts[product_id],tblProducts[category],"Missing")</f>
        <v>CRM</v>
      </c>
      <c r="Q750" t="str">
        <f>_xlfn.XLOOKUP(D750,tblSalesReps[rep_id],tblSalesReps[rep_name],"Missing")</f>
        <v>Sales Rep 14</v>
      </c>
      <c r="R750" t="str">
        <f>_xlfn.XLOOKUP(D750,tblSalesReps[rep_id],tblSalesReps[region],"Missing")</f>
        <v>West</v>
      </c>
    </row>
    <row r="751" spans="1:18">
      <c r="A751" t="s">
        <v>1186</v>
      </c>
      <c r="B751" t="s">
        <v>880</v>
      </c>
      <c r="C751" t="s">
        <v>62</v>
      </c>
      <c r="D751" t="s">
        <v>22</v>
      </c>
      <c r="E751" s="1">
        <v>45692</v>
      </c>
      <c r="F751" s="1">
        <v>45723</v>
      </c>
      <c r="G751" s="1">
        <v>45723</v>
      </c>
      <c r="H751" t="s">
        <v>17</v>
      </c>
      <c r="I751">
        <v>1</v>
      </c>
      <c r="J751">
        <v>20</v>
      </c>
      <c r="K751">
        <v>96000</v>
      </c>
      <c r="L751">
        <v>0</v>
      </c>
      <c r="M751" t="s">
        <v>23</v>
      </c>
      <c r="N751" t="str">
        <f>_xlfn.XLOOKUP(B751,tblCustomers[customer_id],tblCustomers[region],"Missing")</f>
        <v>West</v>
      </c>
      <c r="O751" t="str">
        <f>_xlfn.XLOOKUP(C751,tblProducts[product_id],tblProducts[product_name],"Missing")</f>
        <v>CRM Essentials</v>
      </c>
      <c r="P751" t="str">
        <f>_xlfn.XLOOKUP(C751,tblProducts[product_id],tblProducts[category],"Missing")</f>
        <v>CRM</v>
      </c>
      <c r="Q751" t="str">
        <f>_xlfn.XLOOKUP(D751,tblSalesReps[rep_id],tblSalesReps[rep_name],"Missing")</f>
        <v>Sales Rep 14</v>
      </c>
      <c r="R751" t="str">
        <f>_xlfn.XLOOKUP(D751,tblSalesReps[rep_id],tblSalesReps[region],"Missing")</f>
        <v>West</v>
      </c>
    </row>
    <row r="752" spans="1:18">
      <c r="A752" t="s">
        <v>1187</v>
      </c>
      <c r="B752" t="s">
        <v>74</v>
      </c>
      <c r="C752" t="s">
        <v>26</v>
      </c>
      <c r="D752" t="s">
        <v>119</v>
      </c>
      <c r="E752" s="1">
        <v>45848</v>
      </c>
      <c r="F752" s="1">
        <v>45906</v>
      </c>
      <c r="G752" s="1">
        <v>45906</v>
      </c>
      <c r="H752" t="s">
        <v>28</v>
      </c>
      <c r="I752">
        <v>1</v>
      </c>
      <c r="J752">
        <v>20</v>
      </c>
      <c r="K752">
        <v>288000</v>
      </c>
      <c r="L752">
        <v>100</v>
      </c>
      <c r="M752" t="s">
        <v>29</v>
      </c>
      <c r="N752" t="str">
        <f>_xlfn.XLOOKUP(B752,tblCustomers[customer_id],tblCustomers[region],"Missing")</f>
        <v>North</v>
      </c>
      <c r="O752" t="str">
        <f>_xlfn.XLOOKUP(C752,tblProducts[product_id],tblProducts[product_name],"Missing")</f>
        <v>Security Suite</v>
      </c>
      <c r="P752" t="str">
        <f>_xlfn.XLOOKUP(C752,tblProducts[product_id],tblProducts[category],"Missing")</f>
        <v>Security</v>
      </c>
      <c r="Q752" t="str">
        <f>_xlfn.XLOOKUP(D752,tblSalesReps[rep_id],tblSalesReps[rep_name],"Missing")</f>
        <v>Sales Rep 10</v>
      </c>
      <c r="R752" t="str">
        <f>_xlfn.XLOOKUP(D752,tblSalesReps[rep_id],tblSalesReps[region],"Missing")</f>
        <v>North</v>
      </c>
    </row>
    <row r="753" spans="1:18">
      <c r="A753" t="s">
        <v>1188</v>
      </c>
      <c r="B753" t="s">
        <v>149</v>
      </c>
      <c r="C753" t="s">
        <v>39</v>
      </c>
      <c r="D753" t="s">
        <v>27</v>
      </c>
      <c r="E753" s="1">
        <v>45999</v>
      </c>
      <c r="F753" s="1">
        <v>46078</v>
      </c>
      <c r="G753" s="1"/>
      <c r="H753" t="s">
        <v>43</v>
      </c>
      <c r="I753">
        <v>3</v>
      </c>
      <c r="J753">
        <v>0</v>
      </c>
      <c r="K753">
        <v>540000</v>
      </c>
      <c r="L753">
        <v>40</v>
      </c>
      <c r="M753" t="s">
        <v>29</v>
      </c>
      <c r="N753" t="str">
        <f>_xlfn.XLOOKUP(B753,tblCustomers[customer_id],tblCustomers[region],"Missing")</f>
        <v>North</v>
      </c>
      <c r="O753" t="str">
        <f>_xlfn.XLOOKUP(C753,tblProducts[product_id],tblProducts[product_name],"Missing")</f>
        <v>Support Desk</v>
      </c>
      <c r="P753" t="str">
        <f>_xlfn.XLOOKUP(C753,tblProducts[product_id],tblProducts[category],"Missing")</f>
        <v>Service</v>
      </c>
      <c r="Q753" t="str">
        <f>_xlfn.XLOOKUP(D753,tblSalesReps[rep_id],tblSalesReps[rep_name],"Missing")</f>
        <v>Sales Rep 06</v>
      </c>
      <c r="R753" t="str">
        <f>_xlfn.XLOOKUP(D753,tblSalesReps[rep_id],tblSalesReps[region],"Missing")</f>
        <v>North</v>
      </c>
    </row>
    <row r="754" spans="1:18">
      <c r="A754" t="s">
        <v>1189</v>
      </c>
      <c r="B754" t="s">
        <v>487</v>
      </c>
      <c r="C754" t="s">
        <v>21</v>
      </c>
      <c r="D754" t="s">
        <v>70</v>
      </c>
      <c r="E754" s="1">
        <v>45726</v>
      </c>
      <c r="F754" s="1">
        <v>45805</v>
      </c>
      <c r="G754" s="1">
        <v>45805</v>
      </c>
      <c r="H754" t="s">
        <v>28</v>
      </c>
      <c r="I754">
        <v>1</v>
      </c>
      <c r="J754">
        <v>15</v>
      </c>
      <c r="K754">
        <v>204000</v>
      </c>
      <c r="L754">
        <v>100</v>
      </c>
      <c r="M754" t="s">
        <v>29</v>
      </c>
      <c r="N754" t="str">
        <f>_xlfn.XLOOKUP(B754,tblCustomers[customer_id],tblCustomers[region],"Missing")</f>
        <v>West</v>
      </c>
      <c r="O754" t="str">
        <f>_xlfn.XLOOKUP(C754,tblProducts[product_id],tblProducts[product_name],"Missing")</f>
        <v>Workflow Automate</v>
      </c>
      <c r="P754" t="str">
        <f>_xlfn.XLOOKUP(C754,tblProducts[product_id],tblProducts[category],"Missing")</f>
        <v>Automation</v>
      </c>
      <c r="Q754" t="str">
        <f>_xlfn.XLOOKUP(D754,tblSalesReps[rep_id],tblSalesReps[rep_name],"Missing")</f>
        <v>Sales Rep 11</v>
      </c>
      <c r="R754" t="str">
        <f>_xlfn.XLOOKUP(D754,tblSalesReps[rep_id],tblSalesReps[region],"Missing")</f>
        <v>West</v>
      </c>
    </row>
    <row r="755" spans="1:18">
      <c r="A755" t="s">
        <v>1190</v>
      </c>
      <c r="B755" t="s">
        <v>49</v>
      </c>
      <c r="C755" t="s">
        <v>62</v>
      </c>
      <c r="D755" t="s">
        <v>70</v>
      </c>
      <c r="E755" s="1">
        <v>46000</v>
      </c>
      <c r="F755" s="1">
        <v>46050</v>
      </c>
      <c r="G755" s="1"/>
      <c r="H755" t="s">
        <v>43</v>
      </c>
      <c r="I755">
        <v>3</v>
      </c>
      <c r="J755">
        <v>10</v>
      </c>
      <c r="K755">
        <v>324000</v>
      </c>
      <c r="L755">
        <v>80</v>
      </c>
      <c r="M755" t="s">
        <v>29</v>
      </c>
      <c r="N755" t="str">
        <f>_xlfn.XLOOKUP(B755,tblCustomers[customer_id],tblCustomers[region],"Missing")</f>
        <v>West</v>
      </c>
      <c r="O755" t="str">
        <f>_xlfn.XLOOKUP(C755,tblProducts[product_id],tblProducts[product_name],"Missing")</f>
        <v>CRM Essentials</v>
      </c>
      <c r="P755" t="str">
        <f>_xlfn.XLOOKUP(C755,tblProducts[product_id],tblProducts[category],"Missing")</f>
        <v>CRM</v>
      </c>
      <c r="Q755" t="str">
        <f>_xlfn.XLOOKUP(D755,tblSalesReps[rep_id],tblSalesReps[rep_name],"Missing")</f>
        <v>Sales Rep 11</v>
      </c>
      <c r="R755" t="str">
        <f>_xlfn.XLOOKUP(D755,tblSalesReps[rep_id],tblSalesReps[region],"Missing")</f>
        <v>West</v>
      </c>
    </row>
    <row r="756" spans="1:18">
      <c r="A756" t="s">
        <v>1191</v>
      </c>
      <c r="B756" t="s">
        <v>160</v>
      </c>
      <c r="C756" t="s">
        <v>15</v>
      </c>
      <c r="D756" t="s">
        <v>168</v>
      </c>
      <c r="E756" s="1">
        <v>45669</v>
      </c>
      <c r="F756" s="1">
        <v>45710</v>
      </c>
      <c r="G756" s="1">
        <v>45710</v>
      </c>
      <c r="H756" t="s">
        <v>17</v>
      </c>
      <c r="I756">
        <v>1</v>
      </c>
      <c r="J756">
        <v>20</v>
      </c>
      <c r="K756">
        <v>336000</v>
      </c>
      <c r="L756">
        <v>0</v>
      </c>
      <c r="M756" t="s">
        <v>82</v>
      </c>
      <c r="N756" t="str">
        <f>_xlfn.XLOOKUP(B756,tblCustomers[customer_id],tblCustomers[region],"Missing")</f>
        <v>East</v>
      </c>
      <c r="O756" t="str">
        <f>_xlfn.XLOOKUP(C756,tblProducts[product_id],tblProducts[product_name],"Missing")</f>
        <v>CRM Enterprise</v>
      </c>
      <c r="P756" t="str">
        <f>_xlfn.XLOOKUP(C756,tblProducts[product_id],tblProducts[category],"Missing")</f>
        <v>CRM</v>
      </c>
      <c r="Q756" t="str">
        <f>_xlfn.XLOOKUP(D756,tblSalesReps[rep_id],tblSalesReps[rep_name],"Missing")</f>
        <v>Sales Rep 17</v>
      </c>
      <c r="R756" t="str">
        <f>_xlfn.XLOOKUP(D756,tblSalesReps[rep_id],tblSalesReps[region],"Missing")</f>
        <v>East</v>
      </c>
    </row>
    <row r="757" spans="1:18">
      <c r="A757" t="s">
        <v>1192</v>
      </c>
      <c r="B757" t="s">
        <v>775</v>
      </c>
      <c r="C757" t="s">
        <v>81</v>
      </c>
      <c r="D757" t="s">
        <v>22</v>
      </c>
      <c r="E757" s="1">
        <v>45872</v>
      </c>
      <c r="F757" s="1">
        <v>45917</v>
      </c>
      <c r="G757" s="1">
        <v>45917</v>
      </c>
      <c r="H757" t="s">
        <v>17</v>
      </c>
      <c r="I757">
        <v>1</v>
      </c>
      <c r="J757">
        <v>5</v>
      </c>
      <c r="K757">
        <v>285000</v>
      </c>
      <c r="L757">
        <v>0</v>
      </c>
      <c r="M757" t="s">
        <v>33</v>
      </c>
      <c r="N757" t="str">
        <f>_xlfn.XLOOKUP(B757,tblCustomers[customer_id],tblCustomers[region],"Missing")</f>
        <v>West</v>
      </c>
      <c r="O757" t="str">
        <f>_xlfn.XLOOKUP(C757,tblProducts[product_id],tblProducts[product_name],"Missing")</f>
        <v>Analytics Cloud</v>
      </c>
      <c r="P757" t="str">
        <f>_xlfn.XLOOKUP(C757,tblProducts[product_id],tblProducts[category],"Missing")</f>
        <v>Analytics</v>
      </c>
      <c r="Q757" t="str">
        <f>_xlfn.XLOOKUP(D757,tblSalesReps[rep_id],tblSalesReps[rep_name],"Missing")</f>
        <v>Sales Rep 14</v>
      </c>
      <c r="R757" t="str">
        <f>_xlfn.XLOOKUP(D757,tblSalesReps[rep_id],tblSalesReps[region],"Missing")</f>
        <v>West</v>
      </c>
    </row>
    <row r="758" spans="1:18">
      <c r="A758" t="s">
        <v>1193</v>
      </c>
      <c r="B758" t="s">
        <v>1194</v>
      </c>
      <c r="C758" t="s">
        <v>81</v>
      </c>
      <c r="D758" t="s">
        <v>36</v>
      </c>
      <c r="E758" s="1">
        <v>45860</v>
      </c>
      <c r="F758" s="1">
        <v>45918</v>
      </c>
      <c r="G758" s="1">
        <v>45918</v>
      </c>
      <c r="H758" t="s">
        <v>17</v>
      </c>
      <c r="I758">
        <v>2</v>
      </c>
      <c r="J758">
        <v>5</v>
      </c>
      <c r="K758">
        <v>570000</v>
      </c>
      <c r="L758">
        <v>0</v>
      </c>
      <c r="M758" t="s">
        <v>47</v>
      </c>
      <c r="N758" t="str">
        <f>_xlfn.XLOOKUP(B758,tblCustomers[customer_id],tblCustomers[region],"Missing")</f>
        <v>North</v>
      </c>
      <c r="O758" t="str">
        <f>_xlfn.XLOOKUP(C758,tblProducts[product_id],tblProducts[product_name],"Missing")</f>
        <v>Analytics Cloud</v>
      </c>
      <c r="P758" t="str">
        <f>_xlfn.XLOOKUP(C758,tblProducts[product_id],tblProducts[category],"Missing")</f>
        <v>Analytics</v>
      </c>
      <c r="Q758" t="str">
        <f>_xlfn.XLOOKUP(D758,tblSalesReps[rep_id],tblSalesReps[rep_name],"Missing")</f>
        <v>Sales Rep 09</v>
      </c>
      <c r="R758" t="str">
        <f>_xlfn.XLOOKUP(D758,tblSalesReps[rep_id],tblSalesReps[region],"Missing")</f>
        <v>North</v>
      </c>
    </row>
    <row r="759" spans="1:18">
      <c r="A759" t="s">
        <v>1195</v>
      </c>
      <c r="B759" t="s">
        <v>757</v>
      </c>
      <c r="C759" t="s">
        <v>62</v>
      </c>
      <c r="D759" t="s">
        <v>27</v>
      </c>
      <c r="E759" s="1">
        <v>45734</v>
      </c>
      <c r="F759" s="1">
        <v>45804</v>
      </c>
      <c r="G759" s="1">
        <v>45804</v>
      </c>
      <c r="H759" t="s">
        <v>17</v>
      </c>
      <c r="I759">
        <v>1</v>
      </c>
      <c r="J759">
        <v>5</v>
      </c>
      <c r="K759">
        <v>114000</v>
      </c>
      <c r="L759">
        <v>0</v>
      </c>
      <c r="M759" t="s">
        <v>23</v>
      </c>
      <c r="N759" t="str">
        <f>_xlfn.XLOOKUP(B759,tblCustomers[customer_id],tblCustomers[region],"Missing")</f>
        <v>North</v>
      </c>
      <c r="O759" t="str">
        <f>_xlfn.XLOOKUP(C759,tblProducts[product_id],tblProducts[product_name],"Missing")</f>
        <v>CRM Essentials</v>
      </c>
      <c r="P759" t="str">
        <f>_xlfn.XLOOKUP(C759,tblProducts[product_id],tblProducts[category],"Missing")</f>
        <v>CRM</v>
      </c>
      <c r="Q759" t="str">
        <f>_xlfn.XLOOKUP(D759,tblSalesReps[rep_id],tblSalesReps[rep_name],"Missing")</f>
        <v>Sales Rep 06</v>
      </c>
      <c r="R759" t="str">
        <f>_xlfn.XLOOKUP(D759,tblSalesReps[rep_id],tblSalesReps[region],"Missing")</f>
        <v>North</v>
      </c>
    </row>
    <row r="760" spans="1:18">
      <c r="A760" t="s">
        <v>1196</v>
      </c>
      <c r="B760" t="s">
        <v>118</v>
      </c>
      <c r="C760" t="s">
        <v>62</v>
      </c>
      <c r="D760" t="s">
        <v>27</v>
      </c>
      <c r="E760" s="1">
        <v>45972</v>
      </c>
      <c r="F760" s="1">
        <v>46003</v>
      </c>
      <c r="G760" s="1">
        <v>46003</v>
      </c>
      <c r="H760" t="s">
        <v>28</v>
      </c>
      <c r="I760">
        <v>1</v>
      </c>
      <c r="J760">
        <v>15</v>
      </c>
      <c r="K760">
        <v>102000</v>
      </c>
      <c r="L760">
        <v>100</v>
      </c>
      <c r="M760" t="s">
        <v>29</v>
      </c>
      <c r="N760" t="str">
        <f>_xlfn.XLOOKUP(B760,tblCustomers[customer_id],tblCustomers[region],"Missing")</f>
        <v>North</v>
      </c>
      <c r="O760" t="str">
        <f>_xlfn.XLOOKUP(C760,tblProducts[product_id],tblProducts[product_name],"Missing")</f>
        <v>CRM Essentials</v>
      </c>
      <c r="P760" t="str">
        <f>_xlfn.XLOOKUP(C760,tblProducts[product_id],tblProducts[category],"Missing")</f>
        <v>CRM</v>
      </c>
      <c r="Q760" t="str">
        <f>_xlfn.XLOOKUP(D760,tblSalesReps[rep_id],tblSalesReps[rep_name],"Missing")</f>
        <v>Sales Rep 06</v>
      </c>
      <c r="R760" t="str">
        <f>_xlfn.XLOOKUP(D760,tblSalesReps[rep_id],tblSalesReps[region],"Missing")</f>
        <v>North</v>
      </c>
    </row>
    <row r="761" spans="1:18">
      <c r="A761" t="s">
        <v>1197</v>
      </c>
      <c r="B761" t="s">
        <v>156</v>
      </c>
      <c r="C761" t="s">
        <v>62</v>
      </c>
      <c r="D761" t="s">
        <v>36</v>
      </c>
      <c r="E761" s="1">
        <v>45968</v>
      </c>
      <c r="F761" s="1">
        <v>45995</v>
      </c>
      <c r="G761" s="1"/>
      <c r="H761" t="s">
        <v>43</v>
      </c>
      <c r="I761">
        <v>3</v>
      </c>
      <c r="J761">
        <v>0</v>
      </c>
      <c r="K761">
        <v>360000</v>
      </c>
      <c r="L761">
        <v>80</v>
      </c>
      <c r="M761" t="s">
        <v>29</v>
      </c>
      <c r="N761" t="str">
        <f>_xlfn.XLOOKUP(B761,tblCustomers[customer_id],tblCustomers[region],"Missing")</f>
        <v>North</v>
      </c>
      <c r="O761" t="str">
        <f>_xlfn.XLOOKUP(C761,tblProducts[product_id],tblProducts[product_name],"Missing")</f>
        <v>CRM Essentials</v>
      </c>
      <c r="P761" t="str">
        <f>_xlfn.XLOOKUP(C761,tblProducts[product_id],tblProducts[category],"Missing")</f>
        <v>CRM</v>
      </c>
      <c r="Q761" t="str">
        <f>_xlfn.XLOOKUP(D761,tblSalesReps[rep_id],tblSalesReps[rep_name],"Missing")</f>
        <v>Sales Rep 09</v>
      </c>
      <c r="R761" t="str">
        <f>_xlfn.XLOOKUP(D761,tblSalesReps[rep_id],tblSalesReps[region],"Missing")</f>
        <v>North</v>
      </c>
    </row>
    <row r="762" spans="1:18">
      <c r="A762" t="s">
        <v>1198</v>
      </c>
      <c r="B762" t="s">
        <v>273</v>
      </c>
      <c r="C762" t="s">
        <v>39</v>
      </c>
      <c r="D762" t="s">
        <v>16</v>
      </c>
      <c r="E762" s="1">
        <v>45808</v>
      </c>
      <c r="F762" s="1">
        <v>45866</v>
      </c>
      <c r="G762" s="1">
        <v>45866</v>
      </c>
      <c r="H762" t="s">
        <v>17</v>
      </c>
      <c r="I762">
        <v>2</v>
      </c>
      <c r="J762">
        <v>5</v>
      </c>
      <c r="K762">
        <v>342000</v>
      </c>
      <c r="L762">
        <v>0</v>
      </c>
      <c r="M762" t="s">
        <v>18</v>
      </c>
      <c r="N762" t="str">
        <f>_xlfn.XLOOKUP(B762,tblCustomers[customer_id],tblCustomers[region],"Missing")</f>
        <v>North</v>
      </c>
      <c r="O762" t="str">
        <f>_xlfn.XLOOKUP(C762,tblProducts[product_id],tblProducts[product_name],"Missing")</f>
        <v>Support Desk</v>
      </c>
      <c r="P762" t="str">
        <f>_xlfn.XLOOKUP(C762,tblProducts[product_id],tblProducts[category],"Missing")</f>
        <v>Service</v>
      </c>
      <c r="Q762" t="str">
        <f>_xlfn.XLOOKUP(D762,tblSalesReps[rep_id],tblSalesReps[rep_name],"Missing")</f>
        <v>Sales Rep 08</v>
      </c>
      <c r="R762" t="str">
        <f>_xlfn.XLOOKUP(D762,tblSalesReps[rep_id],tblSalesReps[region],"Missing")</f>
        <v>North</v>
      </c>
    </row>
    <row r="763" spans="1:18">
      <c r="A763" t="s">
        <v>1199</v>
      </c>
      <c r="B763" t="s">
        <v>909</v>
      </c>
      <c r="C763" t="s">
        <v>62</v>
      </c>
      <c r="D763" t="s">
        <v>126</v>
      </c>
      <c r="E763" s="1">
        <v>45713</v>
      </c>
      <c r="F763" s="1">
        <v>45736</v>
      </c>
      <c r="G763" s="1"/>
      <c r="H763" t="s">
        <v>43</v>
      </c>
      <c r="I763">
        <v>1</v>
      </c>
      <c r="J763">
        <v>0</v>
      </c>
      <c r="K763">
        <v>120000</v>
      </c>
      <c r="L763">
        <v>60</v>
      </c>
      <c r="M763" t="s">
        <v>29</v>
      </c>
      <c r="N763" t="str">
        <f>_xlfn.XLOOKUP(B763,tblCustomers[customer_id],tblCustomers[region],"Missing")</f>
        <v>South</v>
      </c>
      <c r="O763" t="str">
        <f>_xlfn.XLOOKUP(C763,tblProducts[product_id],tblProducts[product_name],"Missing")</f>
        <v>CRM Essentials</v>
      </c>
      <c r="P763" t="str">
        <f>_xlfn.XLOOKUP(C763,tblProducts[product_id],tblProducts[category],"Missing")</f>
        <v>CRM</v>
      </c>
      <c r="Q763" t="str">
        <f>_xlfn.XLOOKUP(D763,tblSalesReps[rep_id],tblSalesReps[rep_name],"Missing")</f>
        <v>Sales Rep 02</v>
      </c>
      <c r="R763" t="str">
        <f>_xlfn.XLOOKUP(D763,tblSalesReps[rep_id],tblSalesReps[region],"Missing")</f>
        <v>South</v>
      </c>
    </row>
    <row r="764" spans="1:18">
      <c r="A764" t="s">
        <v>1200</v>
      </c>
      <c r="B764" t="s">
        <v>1201</v>
      </c>
      <c r="C764" t="s">
        <v>21</v>
      </c>
      <c r="D764" t="s">
        <v>78</v>
      </c>
      <c r="E764" s="1">
        <v>45900</v>
      </c>
      <c r="F764" s="1">
        <v>45953</v>
      </c>
      <c r="G764" s="1">
        <v>45953</v>
      </c>
      <c r="H764" t="s">
        <v>17</v>
      </c>
      <c r="I764">
        <v>1</v>
      </c>
      <c r="J764">
        <v>15</v>
      </c>
      <c r="K764">
        <v>204000</v>
      </c>
      <c r="L764">
        <v>0</v>
      </c>
      <c r="M764" t="s">
        <v>18</v>
      </c>
      <c r="N764" t="str">
        <f>_xlfn.XLOOKUP(B764,tblCustomers[customer_id],tblCustomers[region],"Missing")</f>
        <v>West</v>
      </c>
      <c r="O764" t="str">
        <f>_xlfn.XLOOKUP(C764,tblProducts[product_id],tblProducts[product_name],"Missing")</f>
        <v>Workflow Automate</v>
      </c>
      <c r="P764" t="str">
        <f>_xlfn.XLOOKUP(C764,tblProducts[product_id],tblProducts[category],"Missing")</f>
        <v>Automation</v>
      </c>
      <c r="Q764" t="str">
        <f>_xlfn.XLOOKUP(D764,tblSalesReps[rep_id],tblSalesReps[rep_name],"Missing")</f>
        <v>Sales Rep 12</v>
      </c>
      <c r="R764" t="str">
        <f>_xlfn.XLOOKUP(D764,tblSalesReps[rep_id],tblSalesReps[region],"Missing")</f>
        <v>West</v>
      </c>
    </row>
    <row r="765" spans="1:18">
      <c r="A765" t="s">
        <v>1202</v>
      </c>
      <c r="B765" t="s">
        <v>1203</v>
      </c>
      <c r="C765" t="s">
        <v>26</v>
      </c>
      <c r="D765" t="s">
        <v>59</v>
      </c>
      <c r="E765" s="1">
        <v>46021</v>
      </c>
      <c r="F765" s="1">
        <v>46085</v>
      </c>
      <c r="G765" s="1"/>
      <c r="H765" t="s">
        <v>43</v>
      </c>
      <c r="I765">
        <v>1</v>
      </c>
      <c r="J765">
        <v>10</v>
      </c>
      <c r="K765">
        <v>324000</v>
      </c>
      <c r="L765">
        <v>80</v>
      </c>
      <c r="M765" t="s">
        <v>29</v>
      </c>
      <c r="N765" t="str">
        <f>_xlfn.XLOOKUP(B765,tblCustomers[customer_id],tblCustomers[region],"Missing")</f>
        <v>East</v>
      </c>
      <c r="O765" t="str">
        <f>_xlfn.XLOOKUP(C765,tblProducts[product_id],tblProducts[product_name],"Missing")</f>
        <v>Security Suite</v>
      </c>
      <c r="P765" t="str">
        <f>_xlfn.XLOOKUP(C765,tblProducts[product_id],tblProducts[category],"Missing")</f>
        <v>Security</v>
      </c>
      <c r="Q765" t="str">
        <f>_xlfn.XLOOKUP(D765,tblSalesReps[rep_id],tblSalesReps[rep_name],"Missing")</f>
        <v>Sales Rep 19</v>
      </c>
      <c r="R765" t="str">
        <f>_xlfn.XLOOKUP(D765,tblSalesReps[rep_id],tblSalesReps[region],"Missing")</f>
        <v>East</v>
      </c>
    </row>
    <row r="766" spans="1:18">
      <c r="A766" t="s">
        <v>1204</v>
      </c>
      <c r="B766" t="s">
        <v>792</v>
      </c>
      <c r="C766" t="s">
        <v>39</v>
      </c>
      <c r="D766" t="s">
        <v>22</v>
      </c>
      <c r="E766" s="1">
        <v>45800</v>
      </c>
      <c r="F766" s="1">
        <v>45830</v>
      </c>
      <c r="G766" s="1"/>
      <c r="H766" t="s">
        <v>43</v>
      </c>
      <c r="I766">
        <v>2</v>
      </c>
      <c r="J766">
        <v>0</v>
      </c>
      <c r="K766">
        <v>360000</v>
      </c>
      <c r="L766">
        <v>20</v>
      </c>
      <c r="M766" t="s">
        <v>29</v>
      </c>
      <c r="N766" t="str">
        <f>_xlfn.XLOOKUP(B766,tblCustomers[customer_id],tblCustomers[region],"Missing")</f>
        <v>West</v>
      </c>
      <c r="O766" t="str">
        <f>_xlfn.XLOOKUP(C766,tblProducts[product_id],tblProducts[product_name],"Missing")</f>
        <v>Support Desk</v>
      </c>
      <c r="P766" t="str">
        <f>_xlfn.XLOOKUP(C766,tblProducts[product_id],tblProducts[category],"Missing")</f>
        <v>Service</v>
      </c>
      <c r="Q766" t="str">
        <f>_xlfn.XLOOKUP(D766,tblSalesReps[rep_id],tblSalesReps[rep_name],"Missing")</f>
        <v>Sales Rep 14</v>
      </c>
      <c r="R766" t="str">
        <f>_xlfn.XLOOKUP(D766,tblSalesReps[rep_id],tblSalesReps[region],"Missing")</f>
        <v>West</v>
      </c>
    </row>
    <row r="767" spans="1:18">
      <c r="A767" t="s">
        <v>1205</v>
      </c>
      <c r="B767" t="s">
        <v>773</v>
      </c>
      <c r="C767" t="s">
        <v>26</v>
      </c>
      <c r="D767" t="s">
        <v>56</v>
      </c>
      <c r="E767" s="1">
        <v>45798</v>
      </c>
      <c r="F767" s="1">
        <v>45872</v>
      </c>
      <c r="G767" s="1">
        <v>45872</v>
      </c>
      <c r="H767" t="s">
        <v>17</v>
      </c>
      <c r="I767">
        <v>3</v>
      </c>
      <c r="J767">
        <v>20</v>
      </c>
      <c r="K767">
        <v>864000</v>
      </c>
      <c r="L767">
        <v>0</v>
      </c>
      <c r="M767" t="s">
        <v>82</v>
      </c>
      <c r="N767" t="str">
        <f>_xlfn.XLOOKUP(B767,tblCustomers[customer_id],tblCustomers[region],"Missing")</f>
        <v>East</v>
      </c>
      <c r="O767" t="str">
        <f>_xlfn.XLOOKUP(C767,tblProducts[product_id],tblProducts[product_name],"Missing")</f>
        <v>Security Suite</v>
      </c>
      <c r="P767" t="str">
        <f>_xlfn.XLOOKUP(C767,tblProducts[product_id],tblProducts[category],"Missing")</f>
        <v>Security</v>
      </c>
      <c r="Q767" t="str">
        <f>_xlfn.XLOOKUP(D767,tblSalesReps[rep_id],tblSalesReps[rep_name],"Missing")</f>
        <v>Sales Rep 20</v>
      </c>
      <c r="R767" t="str">
        <f>_xlfn.XLOOKUP(D767,tblSalesReps[rep_id],tblSalesReps[region],"Missing")</f>
        <v>East</v>
      </c>
    </row>
    <row r="768" spans="1:18">
      <c r="A768" t="s">
        <v>1206</v>
      </c>
      <c r="B768" t="s">
        <v>487</v>
      </c>
      <c r="C768" t="s">
        <v>21</v>
      </c>
      <c r="D768" t="s">
        <v>40</v>
      </c>
      <c r="E768" s="1">
        <v>45667</v>
      </c>
      <c r="F768" s="1">
        <v>45682</v>
      </c>
      <c r="G768" s="1">
        <v>45682</v>
      </c>
      <c r="H768" t="s">
        <v>17</v>
      </c>
      <c r="I768">
        <v>2</v>
      </c>
      <c r="J768">
        <v>15</v>
      </c>
      <c r="K768">
        <v>408000</v>
      </c>
      <c r="L768">
        <v>0</v>
      </c>
      <c r="M768" t="s">
        <v>33</v>
      </c>
      <c r="N768" t="str">
        <f>_xlfn.XLOOKUP(B768,tblCustomers[customer_id],tblCustomers[region],"Missing")</f>
        <v>West</v>
      </c>
      <c r="O768" t="str">
        <f>_xlfn.XLOOKUP(C768,tblProducts[product_id],tblProducts[product_name],"Missing")</f>
        <v>Workflow Automate</v>
      </c>
      <c r="P768" t="str">
        <f>_xlfn.XLOOKUP(C768,tblProducts[product_id],tblProducts[category],"Missing")</f>
        <v>Automation</v>
      </c>
      <c r="Q768" t="str">
        <f>_xlfn.XLOOKUP(D768,tblSalesReps[rep_id],tblSalesReps[rep_name],"Missing")</f>
        <v>Sales Rep 13</v>
      </c>
      <c r="R768" t="str">
        <f>_xlfn.XLOOKUP(D768,tblSalesReps[rep_id],tblSalesReps[region],"Missing")</f>
        <v>West</v>
      </c>
    </row>
    <row r="769" spans="1:18">
      <c r="A769" t="s">
        <v>1207</v>
      </c>
      <c r="B769" t="s">
        <v>1100</v>
      </c>
      <c r="C769" t="s">
        <v>39</v>
      </c>
      <c r="D769" t="s">
        <v>152</v>
      </c>
      <c r="E769" s="1">
        <v>45860</v>
      </c>
      <c r="F769" s="1">
        <v>45934</v>
      </c>
      <c r="G769" s="1">
        <v>45934</v>
      </c>
      <c r="H769" t="s">
        <v>28</v>
      </c>
      <c r="I769">
        <v>1</v>
      </c>
      <c r="J769">
        <v>0</v>
      </c>
      <c r="K769">
        <v>180000</v>
      </c>
      <c r="L769">
        <v>100</v>
      </c>
      <c r="M769" t="s">
        <v>29</v>
      </c>
      <c r="N769" t="str">
        <f>_xlfn.XLOOKUP(B769,tblCustomers[customer_id],tblCustomers[region],"Missing")</f>
        <v>East</v>
      </c>
      <c r="O769" t="str">
        <f>_xlfn.XLOOKUP(C769,tblProducts[product_id],tblProducts[product_name],"Missing")</f>
        <v>Support Desk</v>
      </c>
      <c r="P769" t="str">
        <f>_xlfn.XLOOKUP(C769,tblProducts[product_id],tblProducts[category],"Missing")</f>
        <v>Service</v>
      </c>
      <c r="Q769" t="str">
        <f>_xlfn.XLOOKUP(D769,tblSalesReps[rep_id],tblSalesReps[rep_name],"Missing")</f>
        <v>Sales Rep 18</v>
      </c>
      <c r="R769" t="str">
        <f>_xlfn.XLOOKUP(D769,tblSalesReps[rep_id],tblSalesReps[region],"Missing")</f>
        <v>East</v>
      </c>
    </row>
    <row r="770" spans="1:18">
      <c r="A770" t="s">
        <v>1208</v>
      </c>
      <c r="B770" t="s">
        <v>1209</v>
      </c>
      <c r="C770" t="s">
        <v>81</v>
      </c>
      <c r="D770" t="s">
        <v>56</v>
      </c>
      <c r="E770" s="1">
        <v>45767</v>
      </c>
      <c r="F770" s="1">
        <v>45844</v>
      </c>
      <c r="G770" s="1">
        <v>45844</v>
      </c>
      <c r="H770" t="s">
        <v>17</v>
      </c>
      <c r="I770">
        <v>1</v>
      </c>
      <c r="J770">
        <v>0</v>
      </c>
      <c r="K770">
        <v>300000</v>
      </c>
      <c r="L770">
        <v>0</v>
      </c>
      <c r="M770" t="s">
        <v>82</v>
      </c>
      <c r="N770" t="str">
        <f>_xlfn.XLOOKUP(B770,tblCustomers[customer_id],tblCustomers[region],"Missing")</f>
        <v>East</v>
      </c>
      <c r="O770" t="str">
        <f>_xlfn.XLOOKUP(C770,tblProducts[product_id],tblProducts[product_name],"Missing")</f>
        <v>Analytics Cloud</v>
      </c>
      <c r="P770" t="str">
        <f>_xlfn.XLOOKUP(C770,tblProducts[product_id],tblProducts[category],"Missing")</f>
        <v>Analytics</v>
      </c>
      <c r="Q770" t="str">
        <f>_xlfn.XLOOKUP(D770,tblSalesReps[rep_id],tblSalesReps[rep_name],"Missing")</f>
        <v>Sales Rep 20</v>
      </c>
      <c r="R770" t="str">
        <f>_xlfn.XLOOKUP(D770,tblSalesReps[rep_id],tblSalesReps[region],"Missing")</f>
        <v>East</v>
      </c>
    </row>
    <row r="771" spans="1:18">
      <c r="A771" t="s">
        <v>1210</v>
      </c>
      <c r="B771" t="s">
        <v>1211</v>
      </c>
      <c r="C771" t="s">
        <v>15</v>
      </c>
      <c r="D771" t="s">
        <v>40</v>
      </c>
      <c r="E771" s="1">
        <v>45744</v>
      </c>
      <c r="F771" s="1">
        <v>45783</v>
      </c>
      <c r="G771" s="1">
        <v>45783</v>
      </c>
      <c r="H771" t="s">
        <v>17</v>
      </c>
      <c r="I771">
        <v>2</v>
      </c>
      <c r="J771">
        <v>5</v>
      </c>
      <c r="K771">
        <v>798000</v>
      </c>
      <c r="L771">
        <v>0</v>
      </c>
      <c r="M771" t="s">
        <v>47</v>
      </c>
      <c r="N771" t="str">
        <f>_xlfn.XLOOKUP(B771,tblCustomers[customer_id],tblCustomers[region],"Missing")</f>
        <v>West</v>
      </c>
      <c r="O771" t="str">
        <f>_xlfn.XLOOKUP(C771,tblProducts[product_id],tblProducts[product_name],"Missing")</f>
        <v>CRM Enterprise</v>
      </c>
      <c r="P771" t="str">
        <f>_xlfn.XLOOKUP(C771,tblProducts[product_id],tblProducts[category],"Missing")</f>
        <v>CRM</v>
      </c>
      <c r="Q771" t="str">
        <f>_xlfn.XLOOKUP(D771,tblSalesReps[rep_id],tblSalesReps[rep_name],"Missing")</f>
        <v>Sales Rep 13</v>
      </c>
      <c r="R771" t="str">
        <f>_xlfn.XLOOKUP(D771,tblSalesReps[rep_id],tblSalesReps[region],"Missing")</f>
        <v>West</v>
      </c>
    </row>
    <row r="772" spans="1:18">
      <c r="A772" t="s">
        <v>1212</v>
      </c>
      <c r="B772" t="s">
        <v>360</v>
      </c>
      <c r="C772" t="s">
        <v>62</v>
      </c>
      <c r="D772" t="s">
        <v>70</v>
      </c>
      <c r="E772" s="1">
        <v>45780</v>
      </c>
      <c r="F772" s="1">
        <v>45821</v>
      </c>
      <c r="G772" s="1">
        <v>45821</v>
      </c>
      <c r="H772" t="s">
        <v>28</v>
      </c>
      <c r="I772">
        <v>1</v>
      </c>
      <c r="J772">
        <v>0</v>
      </c>
      <c r="K772">
        <v>120000</v>
      </c>
      <c r="L772">
        <v>100</v>
      </c>
      <c r="M772" t="s">
        <v>29</v>
      </c>
      <c r="N772" t="str">
        <f>_xlfn.XLOOKUP(B772,tblCustomers[customer_id],tblCustomers[region],"Missing")</f>
        <v>West</v>
      </c>
      <c r="O772" t="str">
        <f>_xlfn.XLOOKUP(C772,tblProducts[product_id],tblProducts[product_name],"Missing")</f>
        <v>CRM Essentials</v>
      </c>
      <c r="P772" t="str">
        <f>_xlfn.XLOOKUP(C772,tblProducts[product_id],tblProducts[category],"Missing")</f>
        <v>CRM</v>
      </c>
      <c r="Q772" t="str">
        <f>_xlfn.XLOOKUP(D772,tblSalesReps[rep_id],tblSalesReps[rep_name],"Missing")</f>
        <v>Sales Rep 11</v>
      </c>
      <c r="R772" t="str">
        <f>_xlfn.XLOOKUP(D772,tblSalesReps[rep_id],tblSalesReps[region],"Missing")</f>
        <v>West</v>
      </c>
    </row>
    <row r="773" spans="1:18">
      <c r="A773" t="s">
        <v>1213</v>
      </c>
      <c r="B773" t="s">
        <v>499</v>
      </c>
      <c r="C773" t="s">
        <v>15</v>
      </c>
      <c r="D773" t="s">
        <v>22</v>
      </c>
      <c r="E773" s="1">
        <v>45754</v>
      </c>
      <c r="F773" s="1">
        <v>45793</v>
      </c>
      <c r="G773" s="1">
        <v>45793</v>
      </c>
      <c r="H773" t="s">
        <v>17</v>
      </c>
      <c r="I773">
        <v>1</v>
      </c>
      <c r="J773">
        <v>20</v>
      </c>
      <c r="K773">
        <v>336000</v>
      </c>
      <c r="L773">
        <v>0</v>
      </c>
      <c r="M773" t="s">
        <v>23</v>
      </c>
      <c r="N773" t="str">
        <f>_xlfn.XLOOKUP(B773,tblCustomers[customer_id],tblCustomers[region],"Missing")</f>
        <v>West</v>
      </c>
      <c r="O773" t="str">
        <f>_xlfn.XLOOKUP(C773,tblProducts[product_id],tblProducts[product_name],"Missing")</f>
        <v>CRM Enterprise</v>
      </c>
      <c r="P773" t="str">
        <f>_xlfn.XLOOKUP(C773,tblProducts[product_id],tblProducts[category],"Missing")</f>
        <v>CRM</v>
      </c>
      <c r="Q773" t="str">
        <f>_xlfn.XLOOKUP(D773,tblSalesReps[rep_id],tblSalesReps[rep_name],"Missing")</f>
        <v>Sales Rep 14</v>
      </c>
      <c r="R773" t="str">
        <f>_xlfn.XLOOKUP(D773,tblSalesReps[rep_id],tblSalesReps[region],"Missing")</f>
        <v>West</v>
      </c>
    </row>
    <row r="774" spans="1:18">
      <c r="A774" t="s">
        <v>1214</v>
      </c>
      <c r="B774" t="s">
        <v>914</v>
      </c>
      <c r="C774" t="s">
        <v>81</v>
      </c>
      <c r="D774" t="s">
        <v>32</v>
      </c>
      <c r="E774" s="1">
        <v>45711</v>
      </c>
      <c r="F774" s="1">
        <v>45769</v>
      </c>
      <c r="G774" s="1"/>
      <c r="H774" t="s">
        <v>43</v>
      </c>
      <c r="I774">
        <v>1</v>
      </c>
      <c r="J774">
        <v>5</v>
      </c>
      <c r="K774">
        <v>285000</v>
      </c>
      <c r="L774">
        <v>40</v>
      </c>
      <c r="M774" t="s">
        <v>29</v>
      </c>
      <c r="N774" t="str">
        <f>_xlfn.XLOOKUP(B774,tblCustomers[customer_id],tblCustomers[region],"Missing")</f>
        <v>South</v>
      </c>
      <c r="O774" t="str">
        <f>_xlfn.XLOOKUP(C774,tblProducts[product_id],tblProducts[product_name],"Missing")</f>
        <v>Analytics Cloud</v>
      </c>
      <c r="P774" t="str">
        <f>_xlfn.XLOOKUP(C774,tblProducts[product_id],tblProducts[category],"Missing")</f>
        <v>Analytics</v>
      </c>
      <c r="Q774" t="str">
        <f>_xlfn.XLOOKUP(D774,tblSalesReps[rep_id],tblSalesReps[rep_name],"Missing")</f>
        <v>Sales Rep 04</v>
      </c>
      <c r="R774" t="str">
        <f>_xlfn.XLOOKUP(D774,tblSalesReps[rep_id],tblSalesReps[region],"Missing")</f>
        <v>South</v>
      </c>
    </row>
    <row r="775" spans="1:18">
      <c r="A775" t="s">
        <v>1215</v>
      </c>
      <c r="B775" t="s">
        <v>358</v>
      </c>
      <c r="C775" t="s">
        <v>62</v>
      </c>
      <c r="D775" t="s">
        <v>27</v>
      </c>
      <c r="E775" s="1">
        <v>45889</v>
      </c>
      <c r="F775" s="1">
        <v>45969</v>
      </c>
      <c r="G775" s="1">
        <v>45969</v>
      </c>
      <c r="H775" t="s">
        <v>28</v>
      </c>
      <c r="I775">
        <v>1</v>
      </c>
      <c r="J775">
        <v>0</v>
      </c>
      <c r="K775">
        <v>120000</v>
      </c>
      <c r="L775">
        <v>100</v>
      </c>
      <c r="M775" t="s">
        <v>29</v>
      </c>
      <c r="N775" t="str">
        <f>_xlfn.XLOOKUP(B775,tblCustomers[customer_id],tblCustomers[region],"Missing")</f>
        <v>North</v>
      </c>
      <c r="O775" t="str">
        <f>_xlfn.XLOOKUP(C775,tblProducts[product_id],tblProducts[product_name],"Missing")</f>
        <v>CRM Essentials</v>
      </c>
      <c r="P775" t="str">
        <f>_xlfn.XLOOKUP(C775,tblProducts[product_id],tblProducts[category],"Missing")</f>
        <v>CRM</v>
      </c>
      <c r="Q775" t="str">
        <f>_xlfn.XLOOKUP(D775,tblSalesReps[rep_id],tblSalesReps[rep_name],"Missing")</f>
        <v>Sales Rep 06</v>
      </c>
      <c r="R775" t="str">
        <f>_xlfn.XLOOKUP(D775,tblSalesReps[rep_id],tblSalesReps[region],"Missing")</f>
        <v>North</v>
      </c>
    </row>
    <row r="776" spans="1:18">
      <c r="A776" t="s">
        <v>1216</v>
      </c>
      <c r="B776" t="s">
        <v>420</v>
      </c>
      <c r="C776" t="s">
        <v>81</v>
      </c>
      <c r="D776" t="s">
        <v>36</v>
      </c>
      <c r="E776" s="1">
        <v>45941</v>
      </c>
      <c r="F776" s="1">
        <v>45991</v>
      </c>
      <c r="G776" s="1"/>
      <c r="H776" t="s">
        <v>43</v>
      </c>
      <c r="I776">
        <v>1</v>
      </c>
      <c r="J776">
        <v>20</v>
      </c>
      <c r="K776">
        <v>240000</v>
      </c>
      <c r="L776">
        <v>20</v>
      </c>
      <c r="M776" t="s">
        <v>29</v>
      </c>
      <c r="N776" t="str">
        <f>_xlfn.XLOOKUP(B776,tblCustomers[customer_id],tblCustomers[region],"Missing")</f>
        <v>North</v>
      </c>
      <c r="O776" t="str">
        <f>_xlfn.XLOOKUP(C776,tblProducts[product_id],tblProducts[product_name],"Missing")</f>
        <v>Analytics Cloud</v>
      </c>
      <c r="P776" t="str">
        <f>_xlfn.XLOOKUP(C776,tblProducts[product_id],tblProducts[category],"Missing")</f>
        <v>Analytics</v>
      </c>
      <c r="Q776" t="str">
        <f>_xlfn.XLOOKUP(D776,tblSalesReps[rep_id],tblSalesReps[rep_name],"Missing")</f>
        <v>Sales Rep 09</v>
      </c>
      <c r="R776" t="str">
        <f>_xlfn.XLOOKUP(D776,tblSalesReps[rep_id],tblSalesReps[region],"Missing")</f>
        <v>North</v>
      </c>
    </row>
    <row r="777" spans="1:18">
      <c r="A777" t="s">
        <v>1217</v>
      </c>
      <c r="B777" t="s">
        <v>1080</v>
      </c>
      <c r="C777" t="s">
        <v>81</v>
      </c>
      <c r="D777" t="s">
        <v>168</v>
      </c>
      <c r="E777" s="1">
        <v>45801</v>
      </c>
      <c r="F777" s="1">
        <v>45860</v>
      </c>
      <c r="G777" s="1">
        <v>45860</v>
      </c>
      <c r="H777" t="s">
        <v>28</v>
      </c>
      <c r="I777">
        <v>1</v>
      </c>
      <c r="J777">
        <v>20</v>
      </c>
      <c r="K777">
        <v>240000</v>
      </c>
      <c r="L777">
        <v>100</v>
      </c>
      <c r="M777" t="s">
        <v>29</v>
      </c>
      <c r="N777" t="str">
        <f>_xlfn.XLOOKUP(B777,tblCustomers[customer_id],tblCustomers[region],"Missing")</f>
        <v>East</v>
      </c>
      <c r="O777" t="str">
        <f>_xlfn.XLOOKUP(C777,tblProducts[product_id],tblProducts[product_name],"Missing")</f>
        <v>Analytics Cloud</v>
      </c>
      <c r="P777" t="str">
        <f>_xlfn.XLOOKUP(C777,tblProducts[product_id],tblProducts[category],"Missing")</f>
        <v>Analytics</v>
      </c>
      <c r="Q777" t="str">
        <f>_xlfn.XLOOKUP(D777,tblSalesReps[rep_id],tblSalesReps[rep_name],"Missing")</f>
        <v>Sales Rep 17</v>
      </c>
      <c r="R777" t="str">
        <f>_xlfn.XLOOKUP(D777,tblSalesReps[rep_id],tblSalesReps[region],"Missing")</f>
        <v>East</v>
      </c>
    </row>
    <row r="778" spans="1:18">
      <c r="A778" t="s">
        <v>1218</v>
      </c>
      <c r="B778" t="s">
        <v>572</v>
      </c>
      <c r="C778" t="s">
        <v>21</v>
      </c>
      <c r="D778" t="s">
        <v>91</v>
      </c>
      <c r="E778" s="1">
        <v>45752</v>
      </c>
      <c r="F778" s="1">
        <v>45776</v>
      </c>
      <c r="G778" s="1">
        <v>45776</v>
      </c>
      <c r="H778" t="s">
        <v>17</v>
      </c>
      <c r="I778">
        <v>3</v>
      </c>
      <c r="J778">
        <v>20</v>
      </c>
      <c r="K778">
        <v>576000</v>
      </c>
      <c r="L778">
        <v>0</v>
      </c>
      <c r="M778" t="s">
        <v>18</v>
      </c>
      <c r="N778" t="str">
        <f>_xlfn.XLOOKUP(B778,tblCustomers[customer_id],tblCustomers[region],"Missing")</f>
        <v>South</v>
      </c>
      <c r="O778" t="str">
        <f>_xlfn.XLOOKUP(C778,tblProducts[product_id],tblProducts[product_name],"Missing")</f>
        <v>Workflow Automate</v>
      </c>
      <c r="P778" t="str">
        <f>_xlfn.XLOOKUP(C778,tblProducts[product_id],tblProducts[category],"Missing")</f>
        <v>Automation</v>
      </c>
      <c r="Q778" t="str">
        <f>_xlfn.XLOOKUP(D778,tblSalesReps[rep_id],tblSalesReps[rep_name],"Missing")</f>
        <v>Sales Rep 03</v>
      </c>
      <c r="R778" t="str">
        <f>_xlfn.XLOOKUP(D778,tblSalesReps[rep_id],tblSalesReps[region],"Missing")</f>
        <v>South</v>
      </c>
    </row>
    <row r="779" spans="1:18">
      <c r="A779" t="s">
        <v>1219</v>
      </c>
      <c r="B779" t="s">
        <v>1220</v>
      </c>
      <c r="C779" t="s">
        <v>15</v>
      </c>
      <c r="D779" t="s">
        <v>50</v>
      </c>
      <c r="E779" s="1">
        <v>45698</v>
      </c>
      <c r="F779" s="1">
        <v>45740</v>
      </c>
      <c r="G779" s="1">
        <v>45740</v>
      </c>
      <c r="H779" t="s">
        <v>28</v>
      </c>
      <c r="I779">
        <v>1</v>
      </c>
      <c r="J779">
        <v>20</v>
      </c>
      <c r="K779">
        <v>336000</v>
      </c>
      <c r="L779">
        <v>100</v>
      </c>
      <c r="M779" t="s">
        <v>29</v>
      </c>
      <c r="N779" t="str">
        <f>_xlfn.XLOOKUP(B779,tblCustomers[customer_id],tblCustomers[region],"Missing")</f>
        <v>West</v>
      </c>
      <c r="O779" t="str">
        <f>_xlfn.XLOOKUP(C779,tblProducts[product_id],tblProducts[product_name],"Missing")</f>
        <v>CRM Enterprise</v>
      </c>
      <c r="P779" t="str">
        <f>_xlfn.XLOOKUP(C779,tblProducts[product_id],tblProducts[category],"Missing")</f>
        <v>CRM</v>
      </c>
      <c r="Q779" t="str">
        <f>_xlfn.XLOOKUP(D779,tblSalesReps[rep_id],tblSalesReps[rep_name],"Missing")</f>
        <v>Sales Rep 15</v>
      </c>
      <c r="R779" t="str">
        <f>_xlfn.XLOOKUP(D779,tblSalesReps[rep_id],tblSalesReps[region],"Missing")</f>
        <v>West</v>
      </c>
    </row>
    <row r="780" spans="1:18">
      <c r="A780" t="s">
        <v>1221</v>
      </c>
      <c r="B780" t="s">
        <v>1209</v>
      </c>
      <c r="C780" t="s">
        <v>15</v>
      </c>
      <c r="D780" t="s">
        <v>53</v>
      </c>
      <c r="E780" s="1">
        <v>45706</v>
      </c>
      <c r="F780" s="1">
        <v>45788</v>
      </c>
      <c r="G780" s="1"/>
      <c r="H780" t="s">
        <v>43</v>
      </c>
      <c r="I780">
        <v>1</v>
      </c>
      <c r="J780">
        <v>0</v>
      </c>
      <c r="K780">
        <v>420000</v>
      </c>
      <c r="L780">
        <v>80</v>
      </c>
      <c r="M780" t="s">
        <v>29</v>
      </c>
      <c r="N780" t="str">
        <f>_xlfn.XLOOKUP(B780,tblCustomers[customer_id],tblCustomers[region],"Missing")</f>
        <v>East</v>
      </c>
      <c r="O780" t="str">
        <f>_xlfn.XLOOKUP(C780,tblProducts[product_id],tblProducts[product_name],"Missing")</f>
        <v>CRM Enterprise</v>
      </c>
      <c r="P780" t="str">
        <f>_xlfn.XLOOKUP(C780,tblProducts[product_id],tblProducts[category],"Missing")</f>
        <v>CRM</v>
      </c>
      <c r="Q780" t="str">
        <f>_xlfn.XLOOKUP(D780,tblSalesReps[rep_id],tblSalesReps[rep_name],"Missing")</f>
        <v>Sales Rep 16</v>
      </c>
      <c r="R780" t="str">
        <f>_xlfn.XLOOKUP(D780,tblSalesReps[rep_id],tblSalesReps[region],"Missing")</f>
        <v>East</v>
      </c>
    </row>
    <row r="781" spans="1:18">
      <c r="A781" t="s">
        <v>1222</v>
      </c>
      <c r="B781" t="s">
        <v>437</v>
      </c>
      <c r="C781" t="s">
        <v>39</v>
      </c>
      <c r="D781" t="s">
        <v>50</v>
      </c>
      <c r="E781" s="1">
        <v>45784</v>
      </c>
      <c r="F781" s="1">
        <v>45812</v>
      </c>
      <c r="G781" s="1">
        <v>45812</v>
      </c>
      <c r="H781" t="s">
        <v>28</v>
      </c>
      <c r="I781">
        <v>1</v>
      </c>
      <c r="J781">
        <v>20</v>
      </c>
      <c r="K781">
        <v>144000</v>
      </c>
      <c r="L781">
        <v>100</v>
      </c>
      <c r="M781" t="s">
        <v>29</v>
      </c>
      <c r="N781" t="str">
        <f>_xlfn.XLOOKUP(B781,tblCustomers[customer_id],tblCustomers[region],"Missing")</f>
        <v>West</v>
      </c>
      <c r="O781" t="str">
        <f>_xlfn.XLOOKUP(C781,tblProducts[product_id],tblProducts[product_name],"Missing")</f>
        <v>Support Desk</v>
      </c>
      <c r="P781" t="str">
        <f>_xlfn.XLOOKUP(C781,tblProducts[product_id],tblProducts[category],"Missing")</f>
        <v>Service</v>
      </c>
      <c r="Q781" t="str">
        <f>_xlfn.XLOOKUP(D781,tblSalesReps[rep_id],tblSalesReps[rep_name],"Missing")</f>
        <v>Sales Rep 15</v>
      </c>
      <c r="R781" t="str">
        <f>_xlfn.XLOOKUP(D781,tblSalesReps[rep_id],tblSalesReps[region],"Missing")</f>
        <v>West</v>
      </c>
    </row>
    <row r="782" spans="1:18">
      <c r="A782" t="s">
        <v>1223</v>
      </c>
      <c r="B782" t="s">
        <v>270</v>
      </c>
      <c r="C782" t="s">
        <v>26</v>
      </c>
      <c r="D782" t="s">
        <v>119</v>
      </c>
      <c r="E782" s="1">
        <v>45780</v>
      </c>
      <c r="F782" s="1">
        <v>45787</v>
      </c>
      <c r="G782" s="1"/>
      <c r="H782" t="s">
        <v>43</v>
      </c>
      <c r="I782">
        <v>3</v>
      </c>
      <c r="J782">
        <v>10</v>
      </c>
      <c r="K782">
        <v>972000</v>
      </c>
      <c r="L782">
        <v>40</v>
      </c>
      <c r="M782" t="s">
        <v>29</v>
      </c>
      <c r="N782" t="str">
        <f>_xlfn.XLOOKUP(B782,tblCustomers[customer_id],tblCustomers[region],"Missing")</f>
        <v>North</v>
      </c>
      <c r="O782" t="str">
        <f>_xlfn.XLOOKUP(C782,tblProducts[product_id],tblProducts[product_name],"Missing")</f>
        <v>Security Suite</v>
      </c>
      <c r="P782" t="str">
        <f>_xlfn.XLOOKUP(C782,tblProducts[product_id],tblProducts[category],"Missing")</f>
        <v>Security</v>
      </c>
      <c r="Q782" t="str">
        <f>_xlfn.XLOOKUP(D782,tblSalesReps[rep_id],tblSalesReps[rep_name],"Missing")</f>
        <v>Sales Rep 10</v>
      </c>
      <c r="R782" t="str">
        <f>_xlfn.XLOOKUP(D782,tblSalesReps[rep_id],tblSalesReps[region],"Missing")</f>
        <v>North</v>
      </c>
    </row>
    <row r="783" spans="1:18">
      <c r="A783" t="s">
        <v>1224</v>
      </c>
      <c r="B783" t="s">
        <v>888</v>
      </c>
      <c r="C783" t="s">
        <v>39</v>
      </c>
      <c r="D783" t="s">
        <v>91</v>
      </c>
      <c r="E783" s="1">
        <v>45795</v>
      </c>
      <c r="F783" s="1">
        <v>45817</v>
      </c>
      <c r="G783" s="1">
        <v>45817</v>
      </c>
      <c r="H783" t="s">
        <v>28</v>
      </c>
      <c r="I783">
        <v>2</v>
      </c>
      <c r="J783">
        <v>10</v>
      </c>
      <c r="K783">
        <v>324000</v>
      </c>
      <c r="L783">
        <v>100</v>
      </c>
      <c r="M783" t="s">
        <v>29</v>
      </c>
      <c r="N783" t="str">
        <f>_xlfn.XLOOKUP(B783,tblCustomers[customer_id],tblCustomers[region],"Missing")</f>
        <v>South</v>
      </c>
      <c r="O783" t="str">
        <f>_xlfn.XLOOKUP(C783,tblProducts[product_id],tblProducts[product_name],"Missing")</f>
        <v>Support Desk</v>
      </c>
      <c r="P783" t="str">
        <f>_xlfn.XLOOKUP(C783,tblProducts[product_id],tblProducts[category],"Missing")</f>
        <v>Service</v>
      </c>
      <c r="Q783" t="str">
        <f>_xlfn.XLOOKUP(D783,tblSalesReps[rep_id],tblSalesReps[rep_name],"Missing")</f>
        <v>Sales Rep 03</v>
      </c>
      <c r="R783" t="str">
        <f>_xlfn.XLOOKUP(D783,tblSalesReps[rep_id],tblSalesReps[region],"Missing")</f>
        <v>South</v>
      </c>
    </row>
    <row r="784" spans="1:18">
      <c r="A784" t="s">
        <v>1225</v>
      </c>
      <c r="B784" t="s">
        <v>727</v>
      </c>
      <c r="C784" t="s">
        <v>39</v>
      </c>
      <c r="D784" t="s">
        <v>78</v>
      </c>
      <c r="E784" s="1">
        <v>45986</v>
      </c>
      <c r="F784" s="1">
        <v>46024</v>
      </c>
      <c r="G784" s="1"/>
      <c r="H784" t="s">
        <v>43</v>
      </c>
      <c r="I784">
        <v>1</v>
      </c>
      <c r="J784">
        <v>0</v>
      </c>
      <c r="K784">
        <v>180000</v>
      </c>
      <c r="L784">
        <v>40</v>
      </c>
      <c r="M784" t="s">
        <v>29</v>
      </c>
      <c r="N784" t="str">
        <f>_xlfn.XLOOKUP(B784,tblCustomers[customer_id],tblCustomers[region],"Missing")</f>
        <v>West</v>
      </c>
      <c r="O784" t="str">
        <f>_xlfn.XLOOKUP(C784,tblProducts[product_id],tblProducts[product_name],"Missing")</f>
        <v>Support Desk</v>
      </c>
      <c r="P784" t="str">
        <f>_xlfn.XLOOKUP(C784,tblProducts[product_id],tblProducts[category],"Missing")</f>
        <v>Service</v>
      </c>
      <c r="Q784" t="str">
        <f>_xlfn.XLOOKUP(D784,tblSalesReps[rep_id],tblSalesReps[rep_name],"Missing")</f>
        <v>Sales Rep 12</v>
      </c>
      <c r="R784" t="str">
        <f>_xlfn.XLOOKUP(D784,tblSalesReps[rep_id],tblSalesReps[region],"Missing")</f>
        <v>West</v>
      </c>
    </row>
    <row r="785" spans="1:18">
      <c r="A785" t="s">
        <v>1226</v>
      </c>
      <c r="B785" t="s">
        <v>147</v>
      </c>
      <c r="C785" t="s">
        <v>26</v>
      </c>
      <c r="D785" t="s">
        <v>75</v>
      </c>
      <c r="E785" s="1">
        <v>45714</v>
      </c>
      <c r="F785" s="1">
        <v>45722</v>
      </c>
      <c r="G785" s="1"/>
      <c r="H785" t="s">
        <v>43</v>
      </c>
      <c r="I785">
        <v>2</v>
      </c>
      <c r="J785">
        <v>0</v>
      </c>
      <c r="K785">
        <v>720000</v>
      </c>
      <c r="L785">
        <v>60</v>
      </c>
      <c r="M785" t="s">
        <v>29</v>
      </c>
      <c r="N785" t="str">
        <f>_xlfn.XLOOKUP(B785,tblCustomers[customer_id],tblCustomers[region],"Missing")</f>
        <v>North</v>
      </c>
      <c r="O785" t="str">
        <f>_xlfn.XLOOKUP(C785,tblProducts[product_id],tblProducts[product_name],"Missing")</f>
        <v>Security Suite</v>
      </c>
      <c r="P785" t="str">
        <f>_xlfn.XLOOKUP(C785,tblProducts[product_id],tblProducts[category],"Missing")</f>
        <v>Security</v>
      </c>
      <c r="Q785" t="str">
        <f>_xlfn.XLOOKUP(D785,tblSalesReps[rep_id],tblSalesReps[rep_name],"Missing")</f>
        <v>Sales Rep 07</v>
      </c>
      <c r="R785" t="str">
        <f>_xlfn.XLOOKUP(D785,tblSalesReps[rep_id],tblSalesReps[region],"Missing")</f>
        <v>North</v>
      </c>
    </row>
    <row r="786" spans="1:18">
      <c r="A786" t="s">
        <v>1227</v>
      </c>
      <c r="B786" t="s">
        <v>1070</v>
      </c>
      <c r="C786" t="s">
        <v>26</v>
      </c>
      <c r="D786" t="s">
        <v>16</v>
      </c>
      <c r="E786" s="1">
        <v>45885</v>
      </c>
      <c r="F786" s="1">
        <v>45910</v>
      </c>
      <c r="G786" s="1">
        <v>45910</v>
      </c>
      <c r="H786" t="s">
        <v>17</v>
      </c>
      <c r="I786">
        <v>1</v>
      </c>
      <c r="J786">
        <v>15</v>
      </c>
      <c r="K786">
        <v>306000</v>
      </c>
      <c r="L786">
        <v>0</v>
      </c>
      <c r="M786" t="s">
        <v>47</v>
      </c>
      <c r="N786" t="str">
        <f>_xlfn.XLOOKUP(B786,tblCustomers[customer_id],tblCustomers[region],"Missing")</f>
        <v>North</v>
      </c>
      <c r="O786" t="str">
        <f>_xlfn.XLOOKUP(C786,tblProducts[product_id],tblProducts[product_name],"Missing")</f>
        <v>Security Suite</v>
      </c>
      <c r="P786" t="str">
        <f>_xlfn.XLOOKUP(C786,tblProducts[product_id],tblProducts[category],"Missing")</f>
        <v>Security</v>
      </c>
      <c r="Q786" t="str">
        <f>_xlfn.XLOOKUP(D786,tblSalesReps[rep_id],tblSalesReps[rep_name],"Missing")</f>
        <v>Sales Rep 08</v>
      </c>
      <c r="R786" t="str">
        <f>_xlfn.XLOOKUP(D786,tblSalesReps[rep_id],tblSalesReps[region],"Missing")</f>
        <v>North</v>
      </c>
    </row>
    <row r="787" spans="1:18">
      <c r="A787" t="s">
        <v>1228</v>
      </c>
      <c r="B787" t="s">
        <v>437</v>
      </c>
      <c r="C787" t="s">
        <v>62</v>
      </c>
      <c r="D787" t="s">
        <v>70</v>
      </c>
      <c r="E787" s="1">
        <v>45892</v>
      </c>
      <c r="F787" s="1">
        <v>45925</v>
      </c>
      <c r="G787" s="1">
        <v>45925</v>
      </c>
      <c r="H787" t="s">
        <v>17</v>
      </c>
      <c r="I787">
        <v>2</v>
      </c>
      <c r="J787">
        <v>0</v>
      </c>
      <c r="K787">
        <v>240000</v>
      </c>
      <c r="L787">
        <v>0</v>
      </c>
      <c r="M787" t="s">
        <v>47</v>
      </c>
      <c r="N787" t="str">
        <f>_xlfn.XLOOKUP(B787,tblCustomers[customer_id],tblCustomers[region],"Missing")</f>
        <v>West</v>
      </c>
      <c r="O787" t="str">
        <f>_xlfn.XLOOKUP(C787,tblProducts[product_id],tblProducts[product_name],"Missing")</f>
        <v>CRM Essentials</v>
      </c>
      <c r="P787" t="str">
        <f>_xlfn.XLOOKUP(C787,tblProducts[product_id],tblProducts[category],"Missing")</f>
        <v>CRM</v>
      </c>
      <c r="Q787" t="str">
        <f>_xlfn.XLOOKUP(D787,tblSalesReps[rep_id],tblSalesReps[rep_name],"Missing")</f>
        <v>Sales Rep 11</v>
      </c>
      <c r="R787" t="str">
        <f>_xlfn.XLOOKUP(D787,tblSalesReps[rep_id],tblSalesReps[region],"Missing")</f>
        <v>West</v>
      </c>
    </row>
    <row r="788" spans="1:18">
      <c r="A788" t="s">
        <v>1229</v>
      </c>
      <c r="B788" t="s">
        <v>69</v>
      </c>
      <c r="C788" t="s">
        <v>81</v>
      </c>
      <c r="D788" t="s">
        <v>78</v>
      </c>
      <c r="E788" s="1">
        <v>46010</v>
      </c>
      <c r="F788" s="1">
        <v>46078</v>
      </c>
      <c r="G788" s="1"/>
      <c r="H788" t="s">
        <v>43</v>
      </c>
      <c r="I788">
        <v>2</v>
      </c>
      <c r="J788">
        <v>10</v>
      </c>
      <c r="K788">
        <v>540000</v>
      </c>
      <c r="L788">
        <v>40</v>
      </c>
      <c r="M788" t="s">
        <v>29</v>
      </c>
      <c r="N788" t="str">
        <f>_xlfn.XLOOKUP(B788,tblCustomers[customer_id],tblCustomers[region],"Missing")</f>
        <v>West</v>
      </c>
      <c r="O788" t="str">
        <f>_xlfn.XLOOKUP(C788,tblProducts[product_id],tblProducts[product_name],"Missing")</f>
        <v>Analytics Cloud</v>
      </c>
      <c r="P788" t="str">
        <f>_xlfn.XLOOKUP(C788,tblProducts[product_id],tblProducts[category],"Missing")</f>
        <v>Analytics</v>
      </c>
      <c r="Q788" t="str">
        <f>_xlfn.XLOOKUP(D788,tblSalesReps[rep_id],tblSalesReps[rep_name],"Missing")</f>
        <v>Sales Rep 12</v>
      </c>
      <c r="R788" t="str">
        <f>_xlfn.XLOOKUP(D788,tblSalesReps[rep_id],tblSalesReps[region],"Missing")</f>
        <v>West</v>
      </c>
    </row>
    <row r="789" spans="1:18">
      <c r="A789" t="s">
        <v>1230</v>
      </c>
      <c r="B789" t="s">
        <v>402</v>
      </c>
      <c r="C789" t="s">
        <v>21</v>
      </c>
      <c r="D789" t="s">
        <v>63</v>
      </c>
      <c r="E789" s="1">
        <v>45788</v>
      </c>
      <c r="F789" s="1">
        <v>45829</v>
      </c>
      <c r="G789" s="1">
        <v>45829</v>
      </c>
      <c r="H789" t="s">
        <v>17</v>
      </c>
      <c r="I789">
        <v>3</v>
      </c>
      <c r="J789">
        <v>10</v>
      </c>
      <c r="K789">
        <v>648000</v>
      </c>
      <c r="L789">
        <v>0</v>
      </c>
      <c r="M789" t="s">
        <v>23</v>
      </c>
      <c r="N789" t="str">
        <f>_xlfn.XLOOKUP(B789,tblCustomers[customer_id],tblCustomers[region],"Missing")</f>
        <v>South</v>
      </c>
      <c r="O789" t="str">
        <f>_xlfn.XLOOKUP(C789,tblProducts[product_id],tblProducts[product_name],"Missing")</f>
        <v>Workflow Automate</v>
      </c>
      <c r="P789" t="str">
        <f>_xlfn.XLOOKUP(C789,tblProducts[product_id],tblProducts[category],"Missing")</f>
        <v>Automation</v>
      </c>
      <c r="Q789" t="str">
        <f>_xlfn.XLOOKUP(D789,tblSalesReps[rep_id],tblSalesReps[rep_name],"Missing")</f>
        <v>Sales Rep 05</v>
      </c>
      <c r="R789" t="str">
        <f>_xlfn.XLOOKUP(D789,tblSalesReps[rep_id],tblSalesReps[region],"Missing")</f>
        <v>South</v>
      </c>
    </row>
    <row r="790" spans="1:18">
      <c r="A790" t="s">
        <v>1231</v>
      </c>
      <c r="B790" t="s">
        <v>912</v>
      </c>
      <c r="C790" t="s">
        <v>26</v>
      </c>
      <c r="D790" t="s">
        <v>119</v>
      </c>
      <c r="E790" s="1">
        <v>45972</v>
      </c>
      <c r="F790" s="1">
        <v>46046</v>
      </c>
      <c r="G790" s="1"/>
      <c r="H790" t="s">
        <v>43</v>
      </c>
      <c r="I790">
        <v>1</v>
      </c>
      <c r="J790">
        <v>15</v>
      </c>
      <c r="K790">
        <v>306000</v>
      </c>
      <c r="L790">
        <v>20</v>
      </c>
      <c r="M790" t="s">
        <v>29</v>
      </c>
      <c r="N790" t="str">
        <f>_xlfn.XLOOKUP(B790,tblCustomers[customer_id],tblCustomers[region],"Missing")</f>
        <v>North</v>
      </c>
      <c r="O790" t="str">
        <f>_xlfn.XLOOKUP(C790,tblProducts[product_id],tblProducts[product_name],"Missing")</f>
        <v>Security Suite</v>
      </c>
      <c r="P790" t="str">
        <f>_xlfn.XLOOKUP(C790,tblProducts[product_id],tblProducts[category],"Missing")</f>
        <v>Security</v>
      </c>
      <c r="Q790" t="str">
        <f>_xlfn.XLOOKUP(D790,tblSalesReps[rep_id],tblSalesReps[rep_name],"Missing")</f>
        <v>Sales Rep 10</v>
      </c>
      <c r="R790" t="str">
        <f>_xlfn.XLOOKUP(D790,tblSalesReps[rep_id],tblSalesReps[region],"Missing")</f>
        <v>North</v>
      </c>
    </row>
    <row r="791" spans="1:18">
      <c r="A791" t="s">
        <v>1232</v>
      </c>
      <c r="B791" t="s">
        <v>609</v>
      </c>
      <c r="C791" t="s">
        <v>15</v>
      </c>
      <c r="D791" t="s">
        <v>75</v>
      </c>
      <c r="E791" s="1">
        <v>45713</v>
      </c>
      <c r="F791" s="1">
        <v>45774</v>
      </c>
      <c r="G791" s="1">
        <v>45774</v>
      </c>
      <c r="H791" t="s">
        <v>17</v>
      </c>
      <c r="I791">
        <v>1</v>
      </c>
      <c r="J791">
        <v>10</v>
      </c>
      <c r="K791">
        <v>378000</v>
      </c>
      <c r="L791">
        <v>0</v>
      </c>
      <c r="M791" t="s">
        <v>82</v>
      </c>
      <c r="N791" t="str">
        <f>_xlfn.XLOOKUP(B791,tblCustomers[customer_id],tblCustomers[region],"Missing")</f>
        <v>North</v>
      </c>
      <c r="O791" t="str">
        <f>_xlfn.XLOOKUP(C791,tblProducts[product_id],tblProducts[product_name],"Missing")</f>
        <v>CRM Enterprise</v>
      </c>
      <c r="P791" t="str">
        <f>_xlfn.XLOOKUP(C791,tblProducts[product_id],tblProducts[category],"Missing")</f>
        <v>CRM</v>
      </c>
      <c r="Q791" t="str">
        <f>_xlfn.XLOOKUP(D791,tblSalesReps[rep_id],tblSalesReps[rep_name],"Missing")</f>
        <v>Sales Rep 07</v>
      </c>
      <c r="R791" t="str">
        <f>_xlfn.XLOOKUP(D791,tblSalesReps[rep_id],tblSalesReps[region],"Missing")</f>
        <v>North</v>
      </c>
    </row>
    <row r="792" spans="1:18">
      <c r="A792" t="s">
        <v>1233</v>
      </c>
      <c r="B792" t="s">
        <v>394</v>
      </c>
      <c r="C792" t="s">
        <v>21</v>
      </c>
      <c r="D792" t="s">
        <v>36</v>
      </c>
      <c r="E792" s="1">
        <v>45774</v>
      </c>
      <c r="F792" s="1">
        <v>45852</v>
      </c>
      <c r="G792" s="1">
        <v>45852</v>
      </c>
      <c r="H792" t="s">
        <v>17</v>
      </c>
      <c r="I792">
        <v>1</v>
      </c>
      <c r="J792">
        <v>0</v>
      </c>
      <c r="K792">
        <v>240000</v>
      </c>
      <c r="L792">
        <v>0</v>
      </c>
      <c r="M792" t="s">
        <v>33</v>
      </c>
      <c r="N792" t="str">
        <f>_xlfn.XLOOKUP(B792,tblCustomers[customer_id],tblCustomers[region],"Missing")</f>
        <v>North</v>
      </c>
      <c r="O792" t="str">
        <f>_xlfn.XLOOKUP(C792,tblProducts[product_id],tblProducts[product_name],"Missing")</f>
        <v>Workflow Automate</v>
      </c>
      <c r="P792" t="str">
        <f>_xlfn.XLOOKUP(C792,tblProducts[product_id],tblProducts[category],"Missing")</f>
        <v>Automation</v>
      </c>
      <c r="Q792" t="str">
        <f>_xlfn.XLOOKUP(D792,tblSalesReps[rep_id],tblSalesReps[rep_name],"Missing")</f>
        <v>Sales Rep 09</v>
      </c>
      <c r="R792" t="str">
        <f>_xlfn.XLOOKUP(D792,tblSalesReps[rep_id],tblSalesReps[region],"Missing")</f>
        <v>North</v>
      </c>
    </row>
    <row r="793" spans="1:18">
      <c r="A793" t="s">
        <v>1234</v>
      </c>
      <c r="B793" t="s">
        <v>1235</v>
      </c>
      <c r="C793" t="s">
        <v>39</v>
      </c>
      <c r="D793" t="s">
        <v>32</v>
      </c>
      <c r="E793" s="1">
        <v>45727</v>
      </c>
      <c r="F793" s="1">
        <v>45761</v>
      </c>
      <c r="G793" s="1">
        <v>45761</v>
      </c>
      <c r="H793" t="s">
        <v>28</v>
      </c>
      <c r="I793">
        <v>1</v>
      </c>
      <c r="J793">
        <v>10</v>
      </c>
      <c r="K793">
        <v>162000</v>
      </c>
      <c r="L793">
        <v>100</v>
      </c>
      <c r="M793" t="s">
        <v>29</v>
      </c>
      <c r="N793" t="str">
        <f>_xlfn.XLOOKUP(B793,tblCustomers[customer_id],tblCustomers[region],"Missing")</f>
        <v>South</v>
      </c>
      <c r="O793" t="str">
        <f>_xlfn.XLOOKUP(C793,tblProducts[product_id],tblProducts[product_name],"Missing")</f>
        <v>Support Desk</v>
      </c>
      <c r="P793" t="str">
        <f>_xlfn.XLOOKUP(C793,tblProducts[product_id],tblProducts[category],"Missing")</f>
        <v>Service</v>
      </c>
      <c r="Q793" t="str">
        <f>_xlfn.XLOOKUP(D793,tblSalesReps[rep_id],tblSalesReps[rep_name],"Missing")</f>
        <v>Sales Rep 04</v>
      </c>
      <c r="R793" t="str">
        <f>_xlfn.XLOOKUP(D793,tblSalesReps[rep_id],tblSalesReps[region],"Missing")</f>
        <v>South</v>
      </c>
    </row>
    <row r="794" spans="1:18">
      <c r="A794" t="s">
        <v>1236</v>
      </c>
      <c r="B794" t="s">
        <v>1237</v>
      </c>
      <c r="C794" t="s">
        <v>39</v>
      </c>
      <c r="D794" t="s">
        <v>32</v>
      </c>
      <c r="E794" s="1">
        <v>45765</v>
      </c>
      <c r="F794" s="1">
        <v>45802</v>
      </c>
      <c r="G794" s="1">
        <v>45802</v>
      </c>
      <c r="H794" t="s">
        <v>28</v>
      </c>
      <c r="I794">
        <v>3</v>
      </c>
      <c r="J794">
        <v>0</v>
      </c>
      <c r="K794">
        <v>540000</v>
      </c>
      <c r="L794">
        <v>100</v>
      </c>
      <c r="M794" t="s">
        <v>29</v>
      </c>
      <c r="N794" t="str">
        <f>_xlfn.XLOOKUP(B794,tblCustomers[customer_id],tblCustomers[region],"Missing")</f>
        <v>South</v>
      </c>
      <c r="O794" t="str">
        <f>_xlfn.XLOOKUP(C794,tblProducts[product_id],tblProducts[product_name],"Missing")</f>
        <v>Support Desk</v>
      </c>
      <c r="P794" t="str">
        <f>_xlfn.XLOOKUP(C794,tblProducts[product_id],tblProducts[category],"Missing")</f>
        <v>Service</v>
      </c>
      <c r="Q794" t="str">
        <f>_xlfn.XLOOKUP(D794,tblSalesReps[rep_id],tblSalesReps[rep_name],"Missing")</f>
        <v>Sales Rep 04</v>
      </c>
      <c r="R794" t="str">
        <f>_xlfn.XLOOKUP(D794,tblSalesReps[rep_id],tblSalesReps[region],"Missing")</f>
        <v>South</v>
      </c>
    </row>
    <row r="795" spans="1:18">
      <c r="A795" t="s">
        <v>1238</v>
      </c>
      <c r="B795" t="s">
        <v>367</v>
      </c>
      <c r="C795" t="s">
        <v>62</v>
      </c>
      <c r="D795" t="s">
        <v>56</v>
      </c>
      <c r="E795" s="1">
        <v>45956</v>
      </c>
      <c r="F795" s="1">
        <v>46036</v>
      </c>
      <c r="G795" s="1"/>
      <c r="H795" t="s">
        <v>43</v>
      </c>
      <c r="I795">
        <v>1</v>
      </c>
      <c r="J795">
        <v>0</v>
      </c>
      <c r="K795">
        <v>120000</v>
      </c>
      <c r="L795">
        <v>80</v>
      </c>
      <c r="M795" t="s">
        <v>29</v>
      </c>
      <c r="N795" t="str">
        <f>_xlfn.XLOOKUP(B795,tblCustomers[customer_id],tblCustomers[region],"Missing")</f>
        <v>East</v>
      </c>
      <c r="O795" t="str">
        <f>_xlfn.XLOOKUP(C795,tblProducts[product_id],tblProducts[product_name],"Missing")</f>
        <v>CRM Essentials</v>
      </c>
      <c r="P795" t="str">
        <f>_xlfn.XLOOKUP(C795,tblProducts[product_id],tblProducts[category],"Missing")</f>
        <v>CRM</v>
      </c>
      <c r="Q795" t="str">
        <f>_xlfn.XLOOKUP(D795,tblSalesReps[rep_id],tblSalesReps[rep_name],"Missing")</f>
        <v>Sales Rep 20</v>
      </c>
      <c r="R795" t="str">
        <f>_xlfn.XLOOKUP(D795,tblSalesReps[rep_id],tblSalesReps[region],"Missing")</f>
        <v>East</v>
      </c>
    </row>
    <row r="796" spans="1:18">
      <c r="A796" t="s">
        <v>1239</v>
      </c>
      <c r="B796" t="s">
        <v>666</v>
      </c>
      <c r="C796" t="s">
        <v>15</v>
      </c>
      <c r="D796" t="s">
        <v>126</v>
      </c>
      <c r="E796" s="1">
        <v>45681</v>
      </c>
      <c r="F796" s="1">
        <v>45713</v>
      </c>
      <c r="G796" s="1">
        <v>45713</v>
      </c>
      <c r="H796" t="s">
        <v>17</v>
      </c>
      <c r="I796">
        <v>1</v>
      </c>
      <c r="J796">
        <v>5</v>
      </c>
      <c r="K796">
        <v>399000</v>
      </c>
      <c r="L796">
        <v>0</v>
      </c>
      <c r="M796" t="s">
        <v>18</v>
      </c>
      <c r="N796" t="str">
        <f>_xlfn.XLOOKUP(B796,tblCustomers[customer_id],tblCustomers[region],"Missing")</f>
        <v>South</v>
      </c>
      <c r="O796" t="str">
        <f>_xlfn.XLOOKUP(C796,tblProducts[product_id],tblProducts[product_name],"Missing")</f>
        <v>CRM Enterprise</v>
      </c>
      <c r="P796" t="str">
        <f>_xlfn.XLOOKUP(C796,tblProducts[product_id],tblProducts[category],"Missing")</f>
        <v>CRM</v>
      </c>
      <c r="Q796" t="str">
        <f>_xlfn.XLOOKUP(D796,tblSalesReps[rep_id],tblSalesReps[rep_name],"Missing")</f>
        <v>Sales Rep 02</v>
      </c>
      <c r="R796" t="str">
        <f>_xlfn.XLOOKUP(D796,tblSalesReps[rep_id],tblSalesReps[region],"Missing")</f>
        <v>South</v>
      </c>
    </row>
    <row r="797" spans="1:18">
      <c r="A797" t="s">
        <v>1240</v>
      </c>
      <c r="B797" t="s">
        <v>276</v>
      </c>
      <c r="C797" t="s">
        <v>62</v>
      </c>
      <c r="D797" t="s">
        <v>126</v>
      </c>
      <c r="E797" s="1">
        <v>45849</v>
      </c>
      <c r="F797" s="1">
        <v>45878</v>
      </c>
      <c r="G797" s="1">
        <v>45878</v>
      </c>
      <c r="H797" t="s">
        <v>28</v>
      </c>
      <c r="I797">
        <v>2</v>
      </c>
      <c r="J797">
        <v>0</v>
      </c>
      <c r="K797">
        <v>240000</v>
      </c>
      <c r="L797">
        <v>100</v>
      </c>
      <c r="M797" t="s">
        <v>29</v>
      </c>
      <c r="N797" t="str">
        <f>_xlfn.XLOOKUP(B797,tblCustomers[customer_id],tblCustomers[region],"Missing")</f>
        <v>South</v>
      </c>
      <c r="O797" t="str">
        <f>_xlfn.XLOOKUP(C797,tblProducts[product_id],tblProducts[product_name],"Missing")</f>
        <v>CRM Essentials</v>
      </c>
      <c r="P797" t="str">
        <f>_xlfn.XLOOKUP(C797,tblProducts[product_id],tblProducts[category],"Missing")</f>
        <v>CRM</v>
      </c>
      <c r="Q797" t="str">
        <f>_xlfn.XLOOKUP(D797,tblSalesReps[rep_id],tblSalesReps[rep_name],"Missing")</f>
        <v>Sales Rep 02</v>
      </c>
      <c r="R797" t="str">
        <f>_xlfn.XLOOKUP(D797,tblSalesReps[rep_id],tblSalesReps[region],"Missing")</f>
        <v>South</v>
      </c>
    </row>
    <row r="798" spans="1:18">
      <c r="A798" t="s">
        <v>1241</v>
      </c>
      <c r="B798" t="s">
        <v>555</v>
      </c>
      <c r="C798" t="s">
        <v>39</v>
      </c>
      <c r="D798" t="s">
        <v>56</v>
      </c>
      <c r="E798" s="1">
        <v>46004</v>
      </c>
      <c r="F798" s="1">
        <v>46086</v>
      </c>
      <c r="G798" s="1"/>
      <c r="H798" t="s">
        <v>43</v>
      </c>
      <c r="I798">
        <v>3</v>
      </c>
      <c r="J798">
        <v>10</v>
      </c>
      <c r="K798">
        <v>486000</v>
      </c>
      <c r="L798">
        <v>80</v>
      </c>
      <c r="M798" t="s">
        <v>29</v>
      </c>
      <c r="N798" t="str">
        <f>_xlfn.XLOOKUP(B798,tblCustomers[customer_id],tblCustomers[region],"Missing")</f>
        <v>East</v>
      </c>
      <c r="O798" t="str">
        <f>_xlfn.XLOOKUP(C798,tblProducts[product_id],tblProducts[product_name],"Missing")</f>
        <v>Support Desk</v>
      </c>
      <c r="P798" t="str">
        <f>_xlfn.XLOOKUP(C798,tblProducts[product_id],tblProducts[category],"Missing")</f>
        <v>Service</v>
      </c>
      <c r="Q798" t="str">
        <f>_xlfn.XLOOKUP(D798,tblSalesReps[rep_id],tblSalesReps[rep_name],"Missing")</f>
        <v>Sales Rep 20</v>
      </c>
      <c r="R798" t="str">
        <f>_xlfn.XLOOKUP(D798,tblSalesReps[rep_id],tblSalesReps[region],"Missing")</f>
        <v>East</v>
      </c>
    </row>
    <row r="799" spans="1:18">
      <c r="A799" t="s">
        <v>1242</v>
      </c>
      <c r="B799" t="s">
        <v>567</v>
      </c>
      <c r="C799" t="s">
        <v>39</v>
      </c>
      <c r="D799" t="s">
        <v>78</v>
      </c>
      <c r="E799" s="1">
        <v>45668</v>
      </c>
      <c r="F799" s="1">
        <v>45712</v>
      </c>
      <c r="G799" s="1">
        <v>45712</v>
      </c>
      <c r="H799" t="s">
        <v>28</v>
      </c>
      <c r="I799">
        <v>2</v>
      </c>
      <c r="J799">
        <v>20</v>
      </c>
      <c r="K799">
        <v>288000</v>
      </c>
      <c r="L799">
        <v>100</v>
      </c>
      <c r="M799" t="s">
        <v>29</v>
      </c>
      <c r="N799" t="str">
        <f>_xlfn.XLOOKUP(B799,tblCustomers[customer_id],tblCustomers[region],"Missing")</f>
        <v>West</v>
      </c>
      <c r="O799" t="str">
        <f>_xlfn.XLOOKUP(C799,tblProducts[product_id],tblProducts[product_name],"Missing")</f>
        <v>Support Desk</v>
      </c>
      <c r="P799" t="str">
        <f>_xlfn.XLOOKUP(C799,tblProducts[product_id],tblProducts[category],"Missing")</f>
        <v>Service</v>
      </c>
      <c r="Q799" t="str">
        <f>_xlfn.XLOOKUP(D799,tblSalesReps[rep_id],tblSalesReps[rep_name],"Missing")</f>
        <v>Sales Rep 12</v>
      </c>
      <c r="R799" t="str">
        <f>_xlfn.XLOOKUP(D799,tblSalesReps[rep_id],tblSalesReps[region],"Missing")</f>
        <v>West</v>
      </c>
    </row>
    <row r="800" spans="1:18">
      <c r="A800" t="s">
        <v>1243</v>
      </c>
      <c r="B800" t="s">
        <v>270</v>
      </c>
      <c r="C800" t="s">
        <v>26</v>
      </c>
      <c r="D800" t="s">
        <v>119</v>
      </c>
      <c r="E800" s="1">
        <v>45715</v>
      </c>
      <c r="F800" s="1">
        <v>45772</v>
      </c>
      <c r="G800" s="1">
        <v>45772</v>
      </c>
      <c r="H800" t="s">
        <v>17</v>
      </c>
      <c r="I800">
        <v>3</v>
      </c>
      <c r="J800">
        <v>5</v>
      </c>
      <c r="K800">
        <v>1026000</v>
      </c>
      <c r="L800">
        <v>0</v>
      </c>
      <c r="M800" t="s">
        <v>33</v>
      </c>
      <c r="N800" t="str">
        <f>_xlfn.XLOOKUP(B800,tblCustomers[customer_id],tblCustomers[region],"Missing")</f>
        <v>North</v>
      </c>
      <c r="O800" t="str">
        <f>_xlfn.XLOOKUP(C800,tblProducts[product_id],tblProducts[product_name],"Missing")</f>
        <v>Security Suite</v>
      </c>
      <c r="P800" t="str">
        <f>_xlfn.XLOOKUP(C800,tblProducts[product_id],tblProducts[category],"Missing")</f>
        <v>Security</v>
      </c>
      <c r="Q800" t="str">
        <f>_xlfn.XLOOKUP(D800,tblSalesReps[rep_id],tblSalesReps[rep_name],"Missing")</f>
        <v>Sales Rep 10</v>
      </c>
      <c r="R800" t="str">
        <f>_xlfn.XLOOKUP(D800,tblSalesReps[rep_id],tblSalesReps[region],"Missing")</f>
        <v>North</v>
      </c>
    </row>
    <row r="801" spans="1:18">
      <c r="A801" t="s">
        <v>1244</v>
      </c>
      <c r="B801" t="s">
        <v>821</v>
      </c>
      <c r="C801" t="s">
        <v>62</v>
      </c>
      <c r="D801" t="s">
        <v>75</v>
      </c>
      <c r="E801" s="1">
        <v>45933</v>
      </c>
      <c r="F801" s="1">
        <v>45983</v>
      </c>
      <c r="G801" s="1">
        <v>45983</v>
      </c>
      <c r="H801" t="s">
        <v>17</v>
      </c>
      <c r="I801">
        <v>3</v>
      </c>
      <c r="J801">
        <v>20</v>
      </c>
      <c r="K801">
        <v>288000</v>
      </c>
      <c r="L801">
        <v>0</v>
      </c>
      <c r="M801" t="s">
        <v>18</v>
      </c>
      <c r="N801" t="str">
        <f>_xlfn.XLOOKUP(B801,tblCustomers[customer_id],tblCustomers[region],"Missing")</f>
        <v>North</v>
      </c>
      <c r="O801" t="str">
        <f>_xlfn.XLOOKUP(C801,tblProducts[product_id],tblProducts[product_name],"Missing")</f>
        <v>CRM Essentials</v>
      </c>
      <c r="P801" t="str">
        <f>_xlfn.XLOOKUP(C801,tblProducts[product_id],tblProducts[category],"Missing")</f>
        <v>CRM</v>
      </c>
      <c r="Q801" t="str">
        <f>_xlfn.XLOOKUP(D801,tblSalesReps[rep_id],tblSalesReps[rep_name],"Missing")</f>
        <v>Sales Rep 07</v>
      </c>
      <c r="R801" t="str">
        <f>_xlfn.XLOOKUP(D801,tblSalesReps[rep_id],tblSalesReps[region],"Missing")</f>
        <v>North</v>
      </c>
    </row>
    <row r="802" spans="1:18">
      <c r="A802" t="s">
        <v>1245</v>
      </c>
      <c r="B802" t="s">
        <v>177</v>
      </c>
      <c r="C802" t="s">
        <v>62</v>
      </c>
      <c r="D802" t="s">
        <v>50</v>
      </c>
      <c r="E802" s="1">
        <v>45733</v>
      </c>
      <c r="F802" s="1">
        <v>45749</v>
      </c>
      <c r="G802" s="1">
        <v>45749</v>
      </c>
      <c r="H802" t="s">
        <v>17</v>
      </c>
      <c r="I802">
        <v>2</v>
      </c>
      <c r="J802">
        <v>20</v>
      </c>
      <c r="K802">
        <v>192000</v>
      </c>
      <c r="L802">
        <v>0</v>
      </c>
      <c r="M802" t="s">
        <v>18</v>
      </c>
      <c r="N802" t="str">
        <f>_xlfn.XLOOKUP(B802,tblCustomers[customer_id],tblCustomers[region],"Missing")</f>
        <v>West</v>
      </c>
      <c r="O802" t="str">
        <f>_xlfn.XLOOKUP(C802,tblProducts[product_id],tblProducts[product_name],"Missing")</f>
        <v>CRM Essentials</v>
      </c>
      <c r="P802" t="str">
        <f>_xlfn.XLOOKUP(C802,tblProducts[product_id],tblProducts[category],"Missing")</f>
        <v>CRM</v>
      </c>
      <c r="Q802" t="str">
        <f>_xlfn.XLOOKUP(D802,tblSalesReps[rep_id],tblSalesReps[rep_name],"Missing")</f>
        <v>Sales Rep 15</v>
      </c>
      <c r="R802" t="str">
        <f>_xlfn.XLOOKUP(D802,tblSalesReps[rep_id],tblSalesReps[region],"Missing")</f>
        <v>West</v>
      </c>
    </row>
    <row r="803" spans="1:18">
      <c r="A803" t="s">
        <v>1246</v>
      </c>
      <c r="B803" t="s">
        <v>757</v>
      </c>
      <c r="C803" t="s">
        <v>26</v>
      </c>
      <c r="D803" t="s">
        <v>75</v>
      </c>
      <c r="E803" s="1">
        <v>45904</v>
      </c>
      <c r="F803" s="1">
        <v>45923</v>
      </c>
      <c r="G803" s="1"/>
      <c r="H803" t="s">
        <v>43</v>
      </c>
      <c r="I803">
        <v>2</v>
      </c>
      <c r="J803">
        <v>20</v>
      </c>
      <c r="K803">
        <v>576000</v>
      </c>
      <c r="L803">
        <v>60</v>
      </c>
      <c r="M803" t="s">
        <v>29</v>
      </c>
      <c r="N803" t="str">
        <f>_xlfn.XLOOKUP(B803,tblCustomers[customer_id],tblCustomers[region],"Missing")</f>
        <v>North</v>
      </c>
      <c r="O803" t="str">
        <f>_xlfn.XLOOKUP(C803,tblProducts[product_id],tblProducts[product_name],"Missing")</f>
        <v>Security Suite</v>
      </c>
      <c r="P803" t="str">
        <f>_xlfn.XLOOKUP(C803,tblProducts[product_id],tblProducts[category],"Missing")</f>
        <v>Security</v>
      </c>
      <c r="Q803" t="str">
        <f>_xlfn.XLOOKUP(D803,tblSalesReps[rep_id],tblSalesReps[rep_name],"Missing")</f>
        <v>Sales Rep 07</v>
      </c>
      <c r="R803" t="str">
        <f>_xlfn.XLOOKUP(D803,tblSalesReps[rep_id],tblSalesReps[region],"Missing")</f>
        <v>North</v>
      </c>
    </row>
    <row r="804" spans="1:18">
      <c r="A804" t="s">
        <v>1247</v>
      </c>
      <c r="B804" t="s">
        <v>456</v>
      </c>
      <c r="C804" t="s">
        <v>26</v>
      </c>
      <c r="D804" t="s">
        <v>70</v>
      </c>
      <c r="E804" s="1">
        <v>45916</v>
      </c>
      <c r="F804" s="1">
        <v>45960</v>
      </c>
      <c r="G804" s="1">
        <v>45960</v>
      </c>
      <c r="H804" t="s">
        <v>17</v>
      </c>
      <c r="I804">
        <v>1</v>
      </c>
      <c r="J804">
        <v>5</v>
      </c>
      <c r="K804">
        <v>342000</v>
      </c>
      <c r="L804">
        <v>0</v>
      </c>
      <c r="M804" t="s">
        <v>33</v>
      </c>
      <c r="N804" t="str">
        <f>_xlfn.XLOOKUP(B804,tblCustomers[customer_id],tblCustomers[region],"Missing")</f>
        <v>West</v>
      </c>
      <c r="O804" t="str">
        <f>_xlfn.XLOOKUP(C804,tblProducts[product_id],tblProducts[product_name],"Missing")</f>
        <v>Security Suite</v>
      </c>
      <c r="P804" t="str">
        <f>_xlfn.XLOOKUP(C804,tblProducts[product_id],tblProducts[category],"Missing")</f>
        <v>Security</v>
      </c>
      <c r="Q804" t="str">
        <f>_xlfn.XLOOKUP(D804,tblSalesReps[rep_id],tblSalesReps[rep_name],"Missing")</f>
        <v>Sales Rep 11</v>
      </c>
      <c r="R804" t="str">
        <f>_xlfn.XLOOKUP(D804,tblSalesReps[rep_id],tblSalesReps[region],"Missing")</f>
        <v>West</v>
      </c>
    </row>
    <row r="805" spans="1:18">
      <c r="A805" t="s">
        <v>1248</v>
      </c>
      <c r="B805" t="s">
        <v>626</v>
      </c>
      <c r="C805" t="s">
        <v>21</v>
      </c>
      <c r="D805" t="s">
        <v>50</v>
      </c>
      <c r="E805" s="1">
        <v>45976</v>
      </c>
      <c r="F805" s="1">
        <v>46023</v>
      </c>
      <c r="G805" s="1"/>
      <c r="H805" t="s">
        <v>43</v>
      </c>
      <c r="I805">
        <v>2</v>
      </c>
      <c r="J805">
        <v>15</v>
      </c>
      <c r="K805">
        <v>408000</v>
      </c>
      <c r="L805">
        <v>20</v>
      </c>
      <c r="M805" t="s">
        <v>29</v>
      </c>
      <c r="N805" t="str">
        <f>_xlfn.XLOOKUP(B805,tblCustomers[customer_id],tblCustomers[region],"Missing")</f>
        <v>West</v>
      </c>
      <c r="O805" t="str">
        <f>_xlfn.XLOOKUP(C805,tblProducts[product_id],tblProducts[product_name],"Missing")</f>
        <v>Workflow Automate</v>
      </c>
      <c r="P805" t="str">
        <f>_xlfn.XLOOKUP(C805,tblProducts[product_id],tblProducts[category],"Missing")</f>
        <v>Automation</v>
      </c>
      <c r="Q805" t="str">
        <f>_xlfn.XLOOKUP(D805,tblSalesReps[rep_id],tblSalesReps[rep_name],"Missing")</f>
        <v>Sales Rep 15</v>
      </c>
      <c r="R805" t="str">
        <f>_xlfn.XLOOKUP(D805,tblSalesReps[rep_id],tblSalesReps[region],"Missing")</f>
        <v>West</v>
      </c>
    </row>
    <row r="806" spans="1:18">
      <c r="A806" t="s">
        <v>1249</v>
      </c>
      <c r="B806" t="s">
        <v>1250</v>
      </c>
      <c r="C806" t="s">
        <v>39</v>
      </c>
      <c r="D806" t="s">
        <v>91</v>
      </c>
      <c r="E806" s="1">
        <v>45929</v>
      </c>
      <c r="F806" s="1">
        <v>45984</v>
      </c>
      <c r="G806" s="1">
        <v>45984</v>
      </c>
      <c r="H806" t="s">
        <v>28</v>
      </c>
      <c r="I806">
        <v>3</v>
      </c>
      <c r="J806">
        <v>0</v>
      </c>
      <c r="K806">
        <v>540000</v>
      </c>
      <c r="L806">
        <v>100</v>
      </c>
      <c r="M806" t="s">
        <v>29</v>
      </c>
      <c r="N806" t="str">
        <f>_xlfn.XLOOKUP(B806,tblCustomers[customer_id],tblCustomers[region],"Missing")</f>
        <v>South</v>
      </c>
      <c r="O806" t="str">
        <f>_xlfn.XLOOKUP(C806,tblProducts[product_id],tblProducts[product_name],"Missing")</f>
        <v>Support Desk</v>
      </c>
      <c r="P806" t="str">
        <f>_xlfn.XLOOKUP(C806,tblProducts[product_id],tblProducts[category],"Missing")</f>
        <v>Service</v>
      </c>
      <c r="Q806" t="str">
        <f>_xlfn.XLOOKUP(D806,tblSalesReps[rep_id],tblSalesReps[rep_name],"Missing")</f>
        <v>Sales Rep 03</v>
      </c>
      <c r="R806" t="str">
        <f>_xlfn.XLOOKUP(D806,tblSalesReps[rep_id],tblSalesReps[region],"Missing")</f>
        <v>South</v>
      </c>
    </row>
    <row r="807" spans="1:18">
      <c r="A807" t="s">
        <v>1251</v>
      </c>
      <c r="B807" t="s">
        <v>555</v>
      </c>
      <c r="C807" t="s">
        <v>62</v>
      </c>
      <c r="D807" t="s">
        <v>59</v>
      </c>
      <c r="E807" s="1">
        <v>45685</v>
      </c>
      <c r="F807" s="1">
        <v>45722</v>
      </c>
      <c r="G807" s="1">
        <v>45722</v>
      </c>
      <c r="H807" t="s">
        <v>17</v>
      </c>
      <c r="I807">
        <v>2</v>
      </c>
      <c r="J807">
        <v>20</v>
      </c>
      <c r="K807">
        <v>192000</v>
      </c>
      <c r="L807">
        <v>0</v>
      </c>
      <c r="M807" t="s">
        <v>33</v>
      </c>
      <c r="N807" t="str">
        <f>_xlfn.XLOOKUP(B807,tblCustomers[customer_id],tblCustomers[region],"Missing")</f>
        <v>East</v>
      </c>
      <c r="O807" t="str">
        <f>_xlfn.XLOOKUP(C807,tblProducts[product_id],tblProducts[product_name],"Missing")</f>
        <v>CRM Essentials</v>
      </c>
      <c r="P807" t="str">
        <f>_xlfn.XLOOKUP(C807,tblProducts[product_id],tblProducts[category],"Missing")</f>
        <v>CRM</v>
      </c>
      <c r="Q807" t="str">
        <f>_xlfn.XLOOKUP(D807,tblSalesReps[rep_id],tblSalesReps[rep_name],"Missing")</f>
        <v>Sales Rep 19</v>
      </c>
      <c r="R807" t="str">
        <f>_xlfn.XLOOKUP(D807,tblSalesReps[rep_id],tblSalesReps[region],"Missing")</f>
        <v>East</v>
      </c>
    </row>
    <row r="808" spans="1:18">
      <c r="A808" t="s">
        <v>1252</v>
      </c>
      <c r="B808" t="s">
        <v>823</v>
      </c>
      <c r="C808" t="s">
        <v>39</v>
      </c>
      <c r="D808" t="s">
        <v>27</v>
      </c>
      <c r="E808" s="1">
        <v>45942</v>
      </c>
      <c r="F808" s="1">
        <v>45949</v>
      </c>
      <c r="G808" s="1"/>
      <c r="H808" t="s">
        <v>43</v>
      </c>
      <c r="I808">
        <v>1</v>
      </c>
      <c r="J808">
        <v>10</v>
      </c>
      <c r="K808">
        <v>162000</v>
      </c>
      <c r="L808">
        <v>40</v>
      </c>
      <c r="M808" t="s">
        <v>29</v>
      </c>
      <c r="N808" t="str">
        <f>_xlfn.XLOOKUP(B808,tblCustomers[customer_id],tblCustomers[region],"Missing")</f>
        <v>North</v>
      </c>
      <c r="O808" t="str">
        <f>_xlfn.XLOOKUP(C808,tblProducts[product_id],tblProducts[product_name],"Missing")</f>
        <v>Support Desk</v>
      </c>
      <c r="P808" t="str">
        <f>_xlfn.XLOOKUP(C808,tblProducts[product_id],tblProducts[category],"Missing")</f>
        <v>Service</v>
      </c>
      <c r="Q808" t="str">
        <f>_xlfn.XLOOKUP(D808,tblSalesReps[rep_id],tblSalesReps[rep_name],"Missing")</f>
        <v>Sales Rep 06</v>
      </c>
      <c r="R808" t="str">
        <f>_xlfn.XLOOKUP(D808,tblSalesReps[rep_id],tblSalesReps[region],"Missing")</f>
        <v>North</v>
      </c>
    </row>
    <row r="809" spans="1:18">
      <c r="A809" t="s">
        <v>1253</v>
      </c>
      <c r="B809" t="s">
        <v>677</v>
      </c>
      <c r="C809" t="s">
        <v>15</v>
      </c>
      <c r="D809" t="s">
        <v>59</v>
      </c>
      <c r="E809" s="1">
        <v>45974</v>
      </c>
      <c r="F809" s="1">
        <v>46002</v>
      </c>
      <c r="G809" s="1">
        <v>46002</v>
      </c>
      <c r="H809" t="s">
        <v>17</v>
      </c>
      <c r="I809">
        <v>3</v>
      </c>
      <c r="J809">
        <v>20</v>
      </c>
      <c r="K809">
        <v>1008000</v>
      </c>
      <c r="L809">
        <v>0</v>
      </c>
      <c r="M809" t="s">
        <v>82</v>
      </c>
      <c r="N809" t="str">
        <f>_xlfn.XLOOKUP(B809,tblCustomers[customer_id],tblCustomers[region],"Missing")</f>
        <v>East</v>
      </c>
      <c r="O809" t="str">
        <f>_xlfn.XLOOKUP(C809,tblProducts[product_id],tblProducts[product_name],"Missing")</f>
        <v>CRM Enterprise</v>
      </c>
      <c r="P809" t="str">
        <f>_xlfn.XLOOKUP(C809,tblProducts[product_id],tblProducts[category],"Missing")</f>
        <v>CRM</v>
      </c>
      <c r="Q809" t="str">
        <f>_xlfn.XLOOKUP(D809,tblSalesReps[rep_id],tblSalesReps[rep_name],"Missing")</f>
        <v>Sales Rep 19</v>
      </c>
      <c r="R809" t="str">
        <f>_xlfn.XLOOKUP(D809,tblSalesReps[rep_id],tblSalesReps[region],"Missing")</f>
        <v>East</v>
      </c>
    </row>
    <row r="810" spans="1:18">
      <c r="A810" t="s">
        <v>1254</v>
      </c>
      <c r="B810" t="s">
        <v>1255</v>
      </c>
      <c r="C810" t="s">
        <v>62</v>
      </c>
      <c r="D810" t="s">
        <v>91</v>
      </c>
      <c r="E810" s="1">
        <v>45786</v>
      </c>
      <c r="F810" s="1">
        <v>45798</v>
      </c>
      <c r="G810" s="1">
        <v>45798</v>
      </c>
      <c r="H810" t="s">
        <v>28</v>
      </c>
      <c r="I810">
        <v>2</v>
      </c>
      <c r="J810">
        <v>10</v>
      </c>
      <c r="K810">
        <v>216000</v>
      </c>
      <c r="L810">
        <v>100</v>
      </c>
      <c r="M810" t="s">
        <v>29</v>
      </c>
      <c r="N810" t="str">
        <f>_xlfn.XLOOKUP(B810,tblCustomers[customer_id],tblCustomers[region],"Missing")</f>
        <v>South</v>
      </c>
      <c r="O810" t="str">
        <f>_xlfn.XLOOKUP(C810,tblProducts[product_id],tblProducts[product_name],"Missing")</f>
        <v>CRM Essentials</v>
      </c>
      <c r="P810" t="str">
        <f>_xlfn.XLOOKUP(C810,tblProducts[product_id],tblProducts[category],"Missing")</f>
        <v>CRM</v>
      </c>
      <c r="Q810" t="str">
        <f>_xlfn.XLOOKUP(D810,tblSalesReps[rep_id],tblSalesReps[rep_name],"Missing")</f>
        <v>Sales Rep 03</v>
      </c>
      <c r="R810" t="str">
        <f>_xlfn.XLOOKUP(D810,tblSalesReps[rep_id],tblSalesReps[region],"Missing")</f>
        <v>South</v>
      </c>
    </row>
    <row r="811" spans="1:18">
      <c r="A811" t="s">
        <v>1256</v>
      </c>
      <c r="B811" t="s">
        <v>329</v>
      </c>
      <c r="C811" t="s">
        <v>21</v>
      </c>
      <c r="D811" t="s">
        <v>16</v>
      </c>
      <c r="E811" s="1">
        <v>45936</v>
      </c>
      <c r="F811" s="1">
        <v>45980</v>
      </c>
      <c r="G811" s="1">
        <v>45980</v>
      </c>
      <c r="H811" t="s">
        <v>17</v>
      </c>
      <c r="I811">
        <v>1</v>
      </c>
      <c r="J811">
        <v>0</v>
      </c>
      <c r="K811">
        <v>240000</v>
      </c>
      <c r="L811">
        <v>0</v>
      </c>
      <c r="M811" t="s">
        <v>82</v>
      </c>
      <c r="N811" t="str">
        <f>_xlfn.XLOOKUP(B811,tblCustomers[customer_id],tblCustomers[region],"Missing")</f>
        <v>North</v>
      </c>
      <c r="O811" t="str">
        <f>_xlfn.XLOOKUP(C811,tblProducts[product_id],tblProducts[product_name],"Missing")</f>
        <v>Workflow Automate</v>
      </c>
      <c r="P811" t="str">
        <f>_xlfn.XLOOKUP(C811,tblProducts[product_id],tblProducts[category],"Missing")</f>
        <v>Automation</v>
      </c>
      <c r="Q811" t="str">
        <f>_xlfn.XLOOKUP(D811,tblSalesReps[rep_id],tblSalesReps[rep_name],"Missing")</f>
        <v>Sales Rep 08</v>
      </c>
      <c r="R811" t="str">
        <f>_xlfn.XLOOKUP(D811,tblSalesReps[rep_id],tblSalesReps[region],"Missing")</f>
        <v>North</v>
      </c>
    </row>
    <row r="812" spans="1:18">
      <c r="A812" t="s">
        <v>1257</v>
      </c>
      <c r="B812" t="s">
        <v>544</v>
      </c>
      <c r="C812" t="s">
        <v>39</v>
      </c>
      <c r="D812" t="s">
        <v>78</v>
      </c>
      <c r="E812" s="1">
        <v>45799</v>
      </c>
      <c r="F812" s="1">
        <v>45823</v>
      </c>
      <c r="G812" s="1">
        <v>45823</v>
      </c>
      <c r="H812" t="s">
        <v>28</v>
      </c>
      <c r="I812">
        <v>2</v>
      </c>
      <c r="J812">
        <v>20</v>
      </c>
      <c r="K812">
        <v>288000</v>
      </c>
      <c r="L812">
        <v>100</v>
      </c>
      <c r="M812" t="s">
        <v>29</v>
      </c>
      <c r="N812" t="str">
        <f>_xlfn.XLOOKUP(B812,tblCustomers[customer_id],tblCustomers[region],"Missing")</f>
        <v>West</v>
      </c>
      <c r="O812" t="str">
        <f>_xlfn.XLOOKUP(C812,tblProducts[product_id],tblProducts[product_name],"Missing")</f>
        <v>Support Desk</v>
      </c>
      <c r="P812" t="str">
        <f>_xlfn.XLOOKUP(C812,tblProducts[product_id],tblProducts[category],"Missing")</f>
        <v>Service</v>
      </c>
      <c r="Q812" t="str">
        <f>_xlfn.XLOOKUP(D812,tblSalesReps[rep_id],tblSalesReps[rep_name],"Missing")</f>
        <v>Sales Rep 12</v>
      </c>
      <c r="R812" t="str">
        <f>_xlfn.XLOOKUP(D812,tblSalesReps[rep_id],tblSalesReps[region],"Missing")</f>
        <v>West</v>
      </c>
    </row>
    <row r="813" spans="1:18">
      <c r="A813" t="s">
        <v>1258</v>
      </c>
      <c r="B813" t="s">
        <v>900</v>
      </c>
      <c r="C813" t="s">
        <v>39</v>
      </c>
      <c r="D813" t="s">
        <v>40</v>
      </c>
      <c r="E813" s="1">
        <v>45958</v>
      </c>
      <c r="F813" s="1">
        <v>45980</v>
      </c>
      <c r="G813" s="1">
        <v>45980</v>
      </c>
      <c r="H813" t="s">
        <v>28</v>
      </c>
      <c r="I813">
        <v>2</v>
      </c>
      <c r="J813">
        <v>5</v>
      </c>
      <c r="K813">
        <v>342000</v>
      </c>
      <c r="L813">
        <v>100</v>
      </c>
      <c r="M813" t="s">
        <v>29</v>
      </c>
      <c r="N813" t="str">
        <f>_xlfn.XLOOKUP(B813,tblCustomers[customer_id],tblCustomers[region],"Missing")</f>
        <v>West</v>
      </c>
      <c r="O813" t="str">
        <f>_xlfn.XLOOKUP(C813,tblProducts[product_id],tblProducts[product_name],"Missing")</f>
        <v>Support Desk</v>
      </c>
      <c r="P813" t="str">
        <f>_xlfn.XLOOKUP(C813,tblProducts[product_id],tblProducts[category],"Missing")</f>
        <v>Service</v>
      </c>
      <c r="Q813" t="str">
        <f>_xlfn.XLOOKUP(D813,tblSalesReps[rep_id],tblSalesReps[rep_name],"Missing")</f>
        <v>Sales Rep 13</v>
      </c>
      <c r="R813" t="str">
        <f>_xlfn.XLOOKUP(D813,tblSalesReps[rep_id],tblSalesReps[region],"Missing")</f>
        <v>West</v>
      </c>
    </row>
    <row r="814" spans="1:18">
      <c r="A814" t="s">
        <v>1259</v>
      </c>
      <c r="B814" t="s">
        <v>795</v>
      </c>
      <c r="C814" t="s">
        <v>26</v>
      </c>
      <c r="D814" t="s">
        <v>70</v>
      </c>
      <c r="E814" s="1">
        <v>45936</v>
      </c>
      <c r="F814" s="1">
        <v>45968</v>
      </c>
      <c r="G814" s="1">
        <v>45968</v>
      </c>
      <c r="H814" t="s">
        <v>28</v>
      </c>
      <c r="I814">
        <v>1</v>
      </c>
      <c r="J814">
        <v>20</v>
      </c>
      <c r="K814">
        <v>288000</v>
      </c>
      <c r="L814">
        <v>100</v>
      </c>
      <c r="M814" t="s">
        <v>29</v>
      </c>
      <c r="N814" t="str">
        <f>_xlfn.XLOOKUP(B814,tblCustomers[customer_id],tblCustomers[region],"Missing")</f>
        <v>West</v>
      </c>
      <c r="O814" t="str">
        <f>_xlfn.XLOOKUP(C814,tblProducts[product_id],tblProducts[product_name],"Missing")</f>
        <v>Security Suite</v>
      </c>
      <c r="P814" t="str">
        <f>_xlfn.XLOOKUP(C814,tblProducts[product_id],tblProducts[category],"Missing")</f>
        <v>Security</v>
      </c>
      <c r="Q814" t="str">
        <f>_xlfn.XLOOKUP(D814,tblSalesReps[rep_id],tblSalesReps[rep_name],"Missing")</f>
        <v>Sales Rep 11</v>
      </c>
      <c r="R814" t="str">
        <f>_xlfn.XLOOKUP(D814,tblSalesReps[rep_id],tblSalesReps[region],"Missing")</f>
        <v>West</v>
      </c>
    </row>
    <row r="815" spans="1:18">
      <c r="A815" t="s">
        <v>1260</v>
      </c>
      <c r="B815" t="s">
        <v>1250</v>
      </c>
      <c r="C815" t="s">
        <v>62</v>
      </c>
      <c r="D815" t="s">
        <v>46</v>
      </c>
      <c r="E815" s="1">
        <v>45971</v>
      </c>
      <c r="F815" s="1">
        <v>46041</v>
      </c>
      <c r="G815" s="1"/>
      <c r="H815" t="s">
        <v>43</v>
      </c>
      <c r="I815">
        <v>1</v>
      </c>
      <c r="J815">
        <v>15</v>
      </c>
      <c r="K815">
        <v>102000</v>
      </c>
      <c r="L815">
        <v>20</v>
      </c>
      <c r="M815" t="s">
        <v>29</v>
      </c>
      <c r="N815" t="str">
        <f>_xlfn.XLOOKUP(B815,tblCustomers[customer_id],tblCustomers[region],"Missing")</f>
        <v>South</v>
      </c>
      <c r="O815" t="str">
        <f>_xlfn.XLOOKUP(C815,tblProducts[product_id],tblProducts[product_name],"Missing")</f>
        <v>CRM Essentials</v>
      </c>
      <c r="P815" t="str">
        <f>_xlfn.XLOOKUP(C815,tblProducts[product_id],tblProducts[category],"Missing")</f>
        <v>CRM</v>
      </c>
      <c r="Q815" t="str">
        <f>_xlfn.XLOOKUP(D815,tblSalesReps[rep_id],tblSalesReps[rep_name],"Missing")</f>
        <v>Sales Rep 01</v>
      </c>
      <c r="R815" t="str">
        <f>_xlfn.XLOOKUP(D815,tblSalesReps[rep_id],tblSalesReps[region],"Missing")</f>
        <v>South</v>
      </c>
    </row>
    <row r="816" spans="1:18">
      <c r="A816" t="s">
        <v>1261</v>
      </c>
      <c r="B816" t="s">
        <v>61</v>
      </c>
      <c r="C816" t="s">
        <v>39</v>
      </c>
      <c r="D816" t="s">
        <v>126</v>
      </c>
      <c r="E816" s="1">
        <v>45963</v>
      </c>
      <c r="F816" s="1">
        <v>45971</v>
      </c>
      <c r="G816" s="1">
        <v>45971</v>
      </c>
      <c r="H816" t="s">
        <v>17</v>
      </c>
      <c r="I816">
        <v>1</v>
      </c>
      <c r="J816">
        <v>15</v>
      </c>
      <c r="K816">
        <v>153000</v>
      </c>
      <c r="L816">
        <v>0</v>
      </c>
      <c r="M816" t="s">
        <v>82</v>
      </c>
      <c r="N816" t="str">
        <f>_xlfn.XLOOKUP(B816,tblCustomers[customer_id],tblCustomers[region],"Missing")</f>
        <v>South</v>
      </c>
      <c r="O816" t="str">
        <f>_xlfn.XLOOKUP(C816,tblProducts[product_id],tblProducts[product_name],"Missing")</f>
        <v>Support Desk</v>
      </c>
      <c r="P816" t="str">
        <f>_xlfn.XLOOKUP(C816,tblProducts[product_id],tblProducts[category],"Missing")</f>
        <v>Service</v>
      </c>
      <c r="Q816" t="str">
        <f>_xlfn.XLOOKUP(D816,tblSalesReps[rep_id],tblSalesReps[rep_name],"Missing")</f>
        <v>Sales Rep 02</v>
      </c>
      <c r="R816" t="str">
        <f>_xlfn.XLOOKUP(D816,tblSalesReps[rep_id],tblSalesReps[region],"Missing")</f>
        <v>South</v>
      </c>
    </row>
    <row r="817" spans="1:18">
      <c r="A817" t="s">
        <v>1262</v>
      </c>
      <c r="B817" t="s">
        <v>763</v>
      </c>
      <c r="C817" t="s">
        <v>62</v>
      </c>
      <c r="D817" t="s">
        <v>119</v>
      </c>
      <c r="E817" s="1">
        <v>45985</v>
      </c>
      <c r="F817" s="1">
        <v>46028</v>
      </c>
      <c r="G817" s="1"/>
      <c r="H817" t="s">
        <v>43</v>
      </c>
      <c r="I817">
        <v>1</v>
      </c>
      <c r="J817">
        <v>20</v>
      </c>
      <c r="K817">
        <v>96000</v>
      </c>
      <c r="L817">
        <v>60</v>
      </c>
      <c r="M817" t="s">
        <v>29</v>
      </c>
      <c r="N817" t="str">
        <f>_xlfn.XLOOKUP(B817,tblCustomers[customer_id],tblCustomers[region],"Missing")</f>
        <v>North</v>
      </c>
      <c r="O817" t="str">
        <f>_xlfn.XLOOKUP(C817,tblProducts[product_id],tblProducts[product_name],"Missing")</f>
        <v>CRM Essentials</v>
      </c>
      <c r="P817" t="str">
        <f>_xlfn.XLOOKUP(C817,tblProducts[product_id],tblProducts[category],"Missing")</f>
        <v>CRM</v>
      </c>
      <c r="Q817" t="str">
        <f>_xlfn.XLOOKUP(D817,tblSalesReps[rep_id],tblSalesReps[rep_name],"Missing")</f>
        <v>Sales Rep 10</v>
      </c>
      <c r="R817" t="str">
        <f>_xlfn.XLOOKUP(D817,tblSalesReps[rep_id],tblSalesReps[region],"Missing")</f>
        <v>North</v>
      </c>
    </row>
    <row r="818" spans="1:18">
      <c r="A818" t="s">
        <v>1263</v>
      </c>
      <c r="B818" t="s">
        <v>318</v>
      </c>
      <c r="C818" t="s">
        <v>15</v>
      </c>
      <c r="D818" t="s">
        <v>126</v>
      </c>
      <c r="E818" s="1">
        <v>45768</v>
      </c>
      <c r="F818" s="1">
        <v>45839</v>
      </c>
      <c r="G818" s="1">
        <v>45839</v>
      </c>
      <c r="H818" t="s">
        <v>17</v>
      </c>
      <c r="I818">
        <v>1</v>
      </c>
      <c r="J818">
        <v>0</v>
      </c>
      <c r="K818">
        <v>420000</v>
      </c>
      <c r="L818">
        <v>0</v>
      </c>
      <c r="M818" t="s">
        <v>82</v>
      </c>
      <c r="N818" t="str">
        <f>_xlfn.XLOOKUP(B818,tblCustomers[customer_id],tblCustomers[region],"Missing")</f>
        <v>South</v>
      </c>
      <c r="O818" t="str">
        <f>_xlfn.XLOOKUP(C818,tblProducts[product_id],tblProducts[product_name],"Missing")</f>
        <v>CRM Enterprise</v>
      </c>
      <c r="P818" t="str">
        <f>_xlfn.XLOOKUP(C818,tblProducts[product_id],tblProducts[category],"Missing")</f>
        <v>CRM</v>
      </c>
      <c r="Q818" t="str">
        <f>_xlfn.XLOOKUP(D818,tblSalesReps[rep_id],tblSalesReps[rep_name],"Missing")</f>
        <v>Sales Rep 02</v>
      </c>
      <c r="R818" t="str">
        <f>_xlfn.XLOOKUP(D818,tblSalesReps[rep_id],tblSalesReps[region],"Missing")</f>
        <v>South</v>
      </c>
    </row>
    <row r="819" spans="1:18">
      <c r="A819" t="s">
        <v>1264</v>
      </c>
      <c r="B819" t="s">
        <v>104</v>
      </c>
      <c r="C819" t="s">
        <v>26</v>
      </c>
      <c r="D819" t="s">
        <v>70</v>
      </c>
      <c r="E819" s="1">
        <v>45845</v>
      </c>
      <c r="F819" s="1">
        <v>45895</v>
      </c>
      <c r="G819" s="1">
        <v>45895</v>
      </c>
      <c r="H819" t="s">
        <v>17</v>
      </c>
      <c r="I819">
        <v>1</v>
      </c>
      <c r="J819">
        <v>15</v>
      </c>
      <c r="K819">
        <v>306000</v>
      </c>
      <c r="L819">
        <v>0</v>
      </c>
      <c r="M819" t="s">
        <v>82</v>
      </c>
      <c r="N819" t="str">
        <f>_xlfn.XLOOKUP(B819,tblCustomers[customer_id],tblCustomers[region],"Missing")</f>
        <v>West</v>
      </c>
      <c r="O819" t="str">
        <f>_xlfn.XLOOKUP(C819,tblProducts[product_id],tblProducts[product_name],"Missing")</f>
        <v>Security Suite</v>
      </c>
      <c r="P819" t="str">
        <f>_xlfn.XLOOKUP(C819,tblProducts[product_id],tblProducts[category],"Missing")</f>
        <v>Security</v>
      </c>
      <c r="Q819" t="str">
        <f>_xlfn.XLOOKUP(D819,tblSalesReps[rep_id],tblSalesReps[rep_name],"Missing")</f>
        <v>Sales Rep 11</v>
      </c>
      <c r="R819" t="str">
        <f>_xlfn.XLOOKUP(D819,tblSalesReps[rep_id],tblSalesReps[region],"Missing")</f>
        <v>West</v>
      </c>
    </row>
    <row r="820" spans="1:18">
      <c r="A820" t="s">
        <v>1265</v>
      </c>
      <c r="B820" t="s">
        <v>253</v>
      </c>
      <c r="C820" t="s">
        <v>15</v>
      </c>
      <c r="D820" t="s">
        <v>91</v>
      </c>
      <c r="E820" s="1">
        <v>45857</v>
      </c>
      <c r="F820" s="1">
        <v>45941</v>
      </c>
      <c r="G820" s="1">
        <v>45941</v>
      </c>
      <c r="H820" t="s">
        <v>17</v>
      </c>
      <c r="I820">
        <v>1</v>
      </c>
      <c r="J820">
        <v>0</v>
      </c>
      <c r="K820">
        <v>420000</v>
      </c>
      <c r="L820">
        <v>0</v>
      </c>
      <c r="M820" t="s">
        <v>47</v>
      </c>
      <c r="N820" t="str">
        <f>_xlfn.XLOOKUP(B820,tblCustomers[customer_id],tblCustomers[region],"Missing")</f>
        <v>South</v>
      </c>
      <c r="O820" t="str">
        <f>_xlfn.XLOOKUP(C820,tblProducts[product_id],tblProducts[product_name],"Missing")</f>
        <v>CRM Enterprise</v>
      </c>
      <c r="P820" t="str">
        <f>_xlfn.XLOOKUP(C820,tblProducts[product_id],tblProducts[category],"Missing")</f>
        <v>CRM</v>
      </c>
      <c r="Q820" t="str">
        <f>_xlfn.XLOOKUP(D820,tblSalesReps[rep_id],tblSalesReps[rep_name],"Missing")</f>
        <v>Sales Rep 03</v>
      </c>
      <c r="R820" t="str">
        <f>_xlfn.XLOOKUP(D820,tblSalesReps[rep_id],tblSalesReps[region],"Missing")</f>
        <v>South</v>
      </c>
    </row>
    <row r="821" spans="1:18">
      <c r="A821" t="s">
        <v>1266</v>
      </c>
      <c r="B821" t="s">
        <v>1060</v>
      </c>
      <c r="C821" t="s">
        <v>39</v>
      </c>
      <c r="D821" t="s">
        <v>53</v>
      </c>
      <c r="E821" s="1">
        <v>45906</v>
      </c>
      <c r="F821" s="1">
        <v>45975</v>
      </c>
      <c r="G821" s="1">
        <v>45975</v>
      </c>
      <c r="H821" t="s">
        <v>17</v>
      </c>
      <c r="I821">
        <v>2</v>
      </c>
      <c r="J821">
        <v>20</v>
      </c>
      <c r="K821">
        <v>288000</v>
      </c>
      <c r="L821">
        <v>0</v>
      </c>
      <c r="M821" t="s">
        <v>33</v>
      </c>
      <c r="N821" t="str">
        <f>_xlfn.XLOOKUP(B821,tblCustomers[customer_id],tblCustomers[region],"Missing")</f>
        <v>East</v>
      </c>
      <c r="O821" t="str">
        <f>_xlfn.XLOOKUP(C821,tblProducts[product_id],tblProducts[product_name],"Missing")</f>
        <v>Support Desk</v>
      </c>
      <c r="P821" t="str">
        <f>_xlfn.XLOOKUP(C821,tblProducts[product_id],tblProducts[category],"Missing")</f>
        <v>Service</v>
      </c>
      <c r="Q821" t="str">
        <f>_xlfn.XLOOKUP(D821,tblSalesReps[rep_id],tblSalesReps[rep_name],"Missing")</f>
        <v>Sales Rep 16</v>
      </c>
      <c r="R821" t="str">
        <f>_xlfn.XLOOKUP(D821,tblSalesReps[rep_id],tblSalesReps[region],"Missing")</f>
        <v>East</v>
      </c>
    </row>
    <row r="822" spans="1:18">
      <c r="A822" t="s">
        <v>1267</v>
      </c>
      <c r="B822" t="s">
        <v>1268</v>
      </c>
      <c r="C822" t="s">
        <v>39</v>
      </c>
      <c r="D822" t="s">
        <v>59</v>
      </c>
      <c r="E822" s="1">
        <v>45757</v>
      </c>
      <c r="F822" s="1">
        <v>45794</v>
      </c>
      <c r="G822" s="1">
        <v>45794</v>
      </c>
      <c r="H822" t="s">
        <v>28</v>
      </c>
      <c r="I822">
        <v>2</v>
      </c>
      <c r="J822">
        <v>20</v>
      </c>
      <c r="K822">
        <v>288000</v>
      </c>
      <c r="L822">
        <v>100</v>
      </c>
      <c r="M822" t="s">
        <v>29</v>
      </c>
      <c r="N822" t="str">
        <f>_xlfn.XLOOKUP(B822,tblCustomers[customer_id],tblCustomers[region],"Missing")</f>
        <v>East</v>
      </c>
      <c r="O822" t="str">
        <f>_xlfn.XLOOKUP(C822,tblProducts[product_id],tblProducts[product_name],"Missing")</f>
        <v>Support Desk</v>
      </c>
      <c r="P822" t="str">
        <f>_xlfn.XLOOKUP(C822,tblProducts[product_id],tblProducts[category],"Missing")</f>
        <v>Service</v>
      </c>
      <c r="Q822" t="str">
        <f>_xlfn.XLOOKUP(D822,tblSalesReps[rep_id],tblSalesReps[rep_name],"Missing")</f>
        <v>Sales Rep 19</v>
      </c>
      <c r="R822" t="str">
        <f>_xlfn.XLOOKUP(D822,tblSalesReps[rep_id],tblSalesReps[region],"Missing")</f>
        <v>East</v>
      </c>
    </row>
    <row r="823" spans="1:18">
      <c r="A823" t="s">
        <v>1269</v>
      </c>
      <c r="B823" t="s">
        <v>164</v>
      </c>
      <c r="C823" t="s">
        <v>21</v>
      </c>
      <c r="D823" t="s">
        <v>119</v>
      </c>
      <c r="E823" s="1">
        <v>45955</v>
      </c>
      <c r="F823" s="1">
        <v>45999</v>
      </c>
      <c r="G823" s="1">
        <v>45999</v>
      </c>
      <c r="H823" t="s">
        <v>17</v>
      </c>
      <c r="I823">
        <v>1</v>
      </c>
      <c r="J823">
        <v>20</v>
      </c>
      <c r="K823">
        <v>192000</v>
      </c>
      <c r="L823">
        <v>0</v>
      </c>
      <c r="M823" t="s">
        <v>23</v>
      </c>
      <c r="N823" t="str">
        <f>_xlfn.XLOOKUP(B823,tblCustomers[customer_id],tblCustomers[region],"Missing")</f>
        <v>North</v>
      </c>
      <c r="O823" t="str">
        <f>_xlfn.XLOOKUP(C823,tblProducts[product_id],tblProducts[product_name],"Missing")</f>
        <v>Workflow Automate</v>
      </c>
      <c r="P823" t="str">
        <f>_xlfn.XLOOKUP(C823,tblProducts[product_id],tblProducts[category],"Missing")</f>
        <v>Automation</v>
      </c>
      <c r="Q823" t="str">
        <f>_xlfn.XLOOKUP(D823,tblSalesReps[rep_id],tblSalesReps[rep_name],"Missing")</f>
        <v>Sales Rep 10</v>
      </c>
      <c r="R823" t="str">
        <f>_xlfn.XLOOKUP(D823,tblSalesReps[rep_id],tblSalesReps[region],"Missing")</f>
        <v>North</v>
      </c>
    </row>
    <row r="824" spans="1:18">
      <c r="A824" t="s">
        <v>1270</v>
      </c>
      <c r="B824" t="s">
        <v>1076</v>
      </c>
      <c r="C824" t="s">
        <v>39</v>
      </c>
      <c r="D824" t="s">
        <v>119</v>
      </c>
      <c r="E824" s="1">
        <v>46004</v>
      </c>
      <c r="F824" s="1">
        <v>46069</v>
      </c>
      <c r="G824" s="1"/>
      <c r="H824" t="s">
        <v>43</v>
      </c>
      <c r="I824">
        <v>1</v>
      </c>
      <c r="J824">
        <v>20</v>
      </c>
      <c r="K824">
        <v>144000</v>
      </c>
      <c r="L824">
        <v>60</v>
      </c>
      <c r="M824" t="s">
        <v>29</v>
      </c>
      <c r="N824" t="str">
        <f>_xlfn.XLOOKUP(B824,tblCustomers[customer_id],tblCustomers[region],"Missing")</f>
        <v>North</v>
      </c>
      <c r="O824" t="str">
        <f>_xlfn.XLOOKUP(C824,tblProducts[product_id],tblProducts[product_name],"Missing")</f>
        <v>Support Desk</v>
      </c>
      <c r="P824" t="str">
        <f>_xlfn.XLOOKUP(C824,tblProducts[product_id],tblProducts[category],"Missing")</f>
        <v>Service</v>
      </c>
      <c r="Q824" t="str">
        <f>_xlfn.XLOOKUP(D824,tblSalesReps[rep_id],tblSalesReps[rep_name],"Missing")</f>
        <v>Sales Rep 10</v>
      </c>
      <c r="R824" t="str">
        <f>_xlfn.XLOOKUP(D824,tblSalesReps[rep_id],tblSalesReps[region],"Missing")</f>
        <v>North</v>
      </c>
    </row>
    <row r="825" spans="1:18">
      <c r="A825" t="s">
        <v>1271</v>
      </c>
      <c r="B825" t="s">
        <v>241</v>
      </c>
      <c r="C825" t="s">
        <v>21</v>
      </c>
      <c r="D825" t="s">
        <v>53</v>
      </c>
      <c r="E825" s="1">
        <v>45914</v>
      </c>
      <c r="F825" s="1">
        <v>45993</v>
      </c>
      <c r="G825" s="1"/>
      <c r="H825" t="s">
        <v>43</v>
      </c>
      <c r="I825">
        <v>3</v>
      </c>
      <c r="J825">
        <v>5</v>
      </c>
      <c r="K825">
        <v>684000</v>
      </c>
      <c r="L825">
        <v>40</v>
      </c>
      <c r="M825" t="s">
        <v>29</v>
      </c>
      <c r="N825" t="str">
        <f>_xlfn.XLOOKUP(B825,tblCustomers[customer_id],tblCustomers[region],"Missing")</f>
        <v>East</v>
      </c>
      <c r="O825" t="str">
        <f>_xlfn.XLOOKUP(C825,tblProducts[product_id],tblProducts[product_name],"Missing")</f>
        <v>Workflow Automate</v>
      </c>
      <c r="P825" t="str">
        <f>_xlfn.XLOOKUP(C825,tblProducts[product_id],tblProducts[category],"Missing")</f>
        <v>Automation</v>
      </c>
      <c r="Q825" t="str">
        <f>_xlfn.XLOOKUP(D825,tblSalesReps[rep_id],tblSalesReps[rep_name],"Missing")</f>
        <v>Sales Rep 16</v>
      </c>
      <c r="R825" t="str">
        <f>_xlfn.XLOOKUP(D825,tblSalesReps[rep_id],tblSalesReps[region],"Missing")</f>
        <v>East</v>
      </c>
    </row>
    <row r="826" spans="1:18">
      <c r="A826" t="s">
        <v>1272</v>
      </c>
      <c r="B826" t="s">
        <v>1043</v>
      </c>
      <c r="C826" t="s">
        <v>62</v>
      </c>
      <c r="D826" t="s">
        <v>22</v>
      </c>
      <c r="E826" s="1">
        <v>45976</v>
      </c>
      <c r="F826" s="1">
        <v>46054</v>
      </c>
      <c r="G826" s="1"/>
      <c r="H826" t="s">
        <v>43</v>
      </c>
      <c r="I826">
        <v>2</v>
      </c>
      <c r="J826">
        <v>5</v>
      </c>
      <c r="K826">
        <v>228000</v>
      </c>
      <c r="L826">
        <v>80</v>
      </c>
      <c r="M826" t="s">
        <v>29</v>
      </c>
      <c r="N826" t="str">
        <f>_xlfn.XLOOKUP(B826,tblCustomers[customer_id],tblCustomers[region],"Missing")</f>
        <v>West</v>
      </c>
      <c r="O826" t="str">
        <f>_xlfn.XLOOKUP(C826,tblProducts[product_id],tblProducts[product_name],"Missing")</f>
        <v>CRM Essentials</v>
      </c>
      <c r="P826" t="str">
        <f>_xlfn.XLOOKUP(C826,tblProducts[product_id],tblProducts[category],"Missing")</f>
        <v>CRM</v>
      </c>
      <c r="Q826" t="str">
        <f>_xlfn.XLOOKUP(D826,tblSalesReps[rep_id],tblSalesReps[rep_name],"Missing")</f>
        <v>Sales Rep 14</v>
      </c>
      <c r="R826" t="str">
        <f>_xlfn.XLOOKUP(D826,tblSalesReps[rep_id],tblSalesReps[region],"Missing")</f>
        <v>West</v>
      </c>
    </row>
    <row r="827" spans="1:18">
      <c r="A827" t="s">
        <v>1273</v>
      </c>
      <c r="B827" t="s">
        <v>1147</v>
      </c>
      <c r="C827" t="s">
        <v>15</v>
      </c>
      <c r="D827" t="s">
        <v>16</v>
      </c>
      <c r="E827" s="1">
        <v>45945</v>
      </c>
      <c r="F827" s="1">
        <v>45981</v>
      </c>
      <c r="G827" s="1"/>
      <c r="H827" t="s">
        <v>43</v>
      </c>
      <c r="I827">
        <v>3</v>
      </c>
      <c r="J827">
        <v>20</v>
      </c>
      <c r="K827">
        <v>1008000</v>
      </c>
      <c r="L827">
        <v>40</v>
      </c>
      <c r="M827" t="s">
        <v>29</v>
      </c>
      <c r="N827" t="str">
        <f>_xlfn.XLOOKUP(B827,tblCustomers[customer_id],tblCustomers[region],"Missing")</f>
        <v>North</v>
      </c>
      <c r="O827" t="str">
        <f>_xlfn.XLOOKUP(C827,tblProducts[product_id],tblProducts[product_name],"Missing")</f>
        <v>CRM Enterprise</v>
      </c>
      <c r="P827" t="str">
        <f>_xlfn.XLOOKUP(C827,tblProducts[product_id],tblProducts[category],"Missing")</f>
        <v>CRM</v>
      </c>
      <c r="Q827" t="str">
        <f>_xlfn.XLOOKUP(D827,tblSalesReps[rep_id],tblSalesReps[rep_name],"Missing")</f>
        <v>Sales Rep 08</v>
      </c>
      <c r="R827" t="str">
        <f>_xlfn.XLOOKUP(D827,tblSalesReps[rep_id],tblSalesReps[region],"Missing")</f>
        <v>North</v>
      </c>
    </row>
    <row r="828" spans="1:18">
      <c r="A828" t="s">
        <v>1274</v>
      </c>
      <c r="B828" t="s">
        <v>533</v>
      </c>
      <c r="C828" t="s">
        <v>26</v>
      </c>
      <c r="D828" t="s">
        <v>119</v>
      </c>
      <c r="E828" s="1">
        <v>45970</v>
      </c>
      <c r="F828" s="1">
        <v>45980</v>
      </c>
      <c r="G828" s="1">
        <v>45980</v>
      </c>
      <c r="H828" t="s">
        <v>17</v>
      </c>
      <c r="I828">
        <v>3</v>
      </c>
      <c r="J828">
        <v>5</v>
      </c>
      <c r="K828">
        <v>1026000</v>
      </c>
      <c r="L828">
        <v>0</v>
      </c>
      <c r="M828" t="s">
        <v>33</v>
      </c>
      <c r="N828" t="str">
        <f>_xlfn.XLOOKUP(B828,tblCustomers[customer_id],tblCustomers[region],"Missing")</f>
        <v>North</v>
      </c>
      <c r="O828" t="str">
        <f>_xlfn.XLOOKUP(C828,tblProducts[product_id],tblProducts[product_name],"Missing")</f>
        <v>Security Suite</v>
      </c>
      <c r="P828" t="str">
        <f>_xlfn.XLOOKUP(C828,tblProducts[product_id],tblProducts[category],"Missing")</f>
        <v>Security</v>
      </c>
      <c r="Q828" t="str">
        <f>_xlfn.XLOOKUP(D828,tblSalesReps[rep_id],tblSalesReps[rep_name],"Missing")</f>
        <v>Sales Rep 10</v>
      </c>
      <c r="R828" t="str">
        <f>_xlfn.XLOOKUP(D828,tblSalesReps[rep_id],tblSalesReps[region],"Missing")</f>
        <v>North</v>
      </c>
    </row>
    <row r="829" spans="1:18">
      <c r="A829" t="s">
        <v>1275</v>
      </c>
      <c r="B829" t="s">
        <v>282</v>
      </c>
      <c r="C829" t="s">
        <v>62</v>
      </c>
      <c r="D829" t="s">
        <v>168</v>
      </c>
      <c r="E829" s="1">
        <v>45665</v>
      </c>
      <c r="F829" s="1">
        <v>45726</v>
      </c>
      <c r="G829" s="1">
        <v>45726</v>
      </c>
      <c r="H829" t="s">
        <v>17</v>
      </c>
      <c r="I829">
        <v>1</v>
      </c>
      <c r="J829">
        <v>5</v>
      </c>
      <c r="K829">
        <v>114000</v>
      </c>
      <c r="L829">
        <v>0</v>
      </c>
      <c r="M829" t="s">
        <v>33</v>
      </c>
      <c r="N829" t="str">
        <f>_xlfn.XLOOKUP(B829,tblCustomers[customer_id],tblCustomers[region],"Missing")</f>
        <v>East</v>
      </c>
      <c r="O829" t="str">
        <f>_xlfn.XLOOKUP(C829,tblProducts[product_id],tblProducts[product_name],"Missing")</f>
        <v>CRM Essentials</v>
      </c>
      <c r="P829" t="str">
        <f>_xlfn.XLOOKUP(C829,tblProducts[product_id],tblProducts[category],"Missing")</f>
        <v>CRM</v>
      </c>
      <c r="Q829" t="str">
        <f>_xlfn.XLOOKUP(D829,tblSalesReps[rep_id],tblSalesReps[rep_name],"Missing")</f>
        <v>Sales Rep 17</v>
      </c>
      <c r="R829" t="str">
        <f>_xlfn.XLOOKUP(D829,tblSalesReps[rep_id],tblSalesReps[region],"Missing")</f>
        <v>East</v>
      </c>
    </row>
    <row r="830" spans="1:18">
      <c r="A830" t="s">
        <v>1276</v>
      </c>
      <c r="B830" t="s">
        <v>1277</v>
      </c>
      <c r="C830" t="s">
        <v>39</v>
      </c>
      <c r="D830" t="s">
        <v>152</v>
      </c>
      <c r="E830" s="1">
        <v>45978</v>
      </c>
      <c r="F830" s="1">
        <v>45988</v>
      </c>
      <c r="G830" s="1"/>
      <c r="H830" t="s">
        <v>43</v>
      </c>
      <c r="I830">
        <v>1</v>
      </c>
      <c r="J830">
        <v>15</v>
      </c>
      <c r="K830">
        <v>153000</v>
      </c>
      <c r="L830">
        <v>40</v>
      </c>
      <c r="M830" t="s">
        <v>29</v>
      </c>
      <c r="N830" t="str">
        <f>_xlfn.XLOOKUP(B830,tblCustomers[customer_id],tblCustomers[region],"Missing")</f>
        <v>East</v>
      </c>
      <c r="O830" t="str">
        <f>_xlfn.XLOOKUP(C830,tblProducts[product_id],tblProducts[product_name],"Missing")</f>
        <v>Support Desk</v>
      </c>
      <c r="P830" t="str">
        <f>_xlfn.XLOOKUP(C830,tblProducts[product_id],tblProducts[category],"Missing")</f>
        <v>Service</v>
      </c>
      <c r="Q830" t="str">
        <f>_xlfn.XLOOKUP(D830,tblSalesReps[rep_id],tblSalesReps[rep_name],"Missing")</f>
        <v>Sales Rep 18</v>
      </c>
      <c r="R830" t="str">
        <f>_xlfn.XLOOKUP(D830,tblSalesReps[rep_id],tblSalesReps[region],"Missing")</f>
        <v>East</v>
      </c>
    </row>
    <row r="831" spans="1:18">
      <c r="A831" t="s">
        <v>1278</v>
      </c>
      <c r="B831" t="s">
        <v>339</v>
      </c>
      <c r="C831" t="s">
        <v>62</v>
      </c>
      <c r="D831" t="s">
        <v>70</v>
      </c>
      <c r="E831" s="1">
        <v>45856</v>
      </c>
      <c r="F831" s="1">
        <v>45872</v>
      </c>
      <c r="G831" s="1">
        <v>45872</v>
      </c>
      <c r="H831" t="s">
        <v>17</v>
      </c>
      <c r="I831">
        <v>1</v>
      </c>
      <c r="J831">
        <v>5</v>
      </c>
      <c r="K831">
        <v>114000</v>
      </c>
      <c r="L831">
        <v>0</v>
      </c>
      <c r="M831" t="s">
        <v>23</v>
      </c>
      <c r="N831" t="str">
        <f>_xlfn.XLOOKUP(B831,tblCustomers[customer_id],tblCustomers[region],"Missing")</f>
        <v>West</v>
      </c>
      <c r="O831" t="str">
        <f>_xlfn.XLOOKUP(C831,tblProducts[product_id],tblProducts[product_name],"Missing")</f>
        <v>CRM Essentials</v>
      </c>
      <c r="P831" t="str">
        <f>_xlfn.XLOOKUP(C831,tblProducts[product_id],tblProducts[category],"Missing")</f>
        <v>CRM</v>
      </c>
      <c r="Q831" t="str">
        <f>_xlfn.XLOOKUP(D831,tblSalesReps[rep_id],tblSalesReps[rep_name],"Missing")</f>
        <v>Sales Rep 11</v>
      </c>
      <c r="R831" t="str">
        <f>_xlfn.XLOOKUP(D831,tblSalesReps[rep_id],tblSalesReps[region],"Missing")</f>
        <v>West</v>
      </c>
    </row>
    <row r="832" spans="1:18">
      <c r="A832" t="s">
        <v>1279</v>
      </c>
      <c r="B832" t="s">
        <v>1280</v>
      </c>
      <c r="C832" t="s">
        <v>62</v>
      </c>
      <c r="D832" t="s">
        <v>16</v>
      </c>
      <c r="E832" s="1">
        <v>45980</v>
      </c>
      <c r="F832" s="1">
        <v>46028</v>
      </c>
      <c r="G832" s="1"/>
      <c r="H832" t="s">
        <v>43</v>
      </c>
      <c r="I832">
        <v>1</v>
      </c>
      <c r="J832">
        <v>15</v>
      </c>
      <c r="K832">
        <v>102000</v>
      </c>
      <c r="L832">
        <v>80</v>
      </c>
      <c r="M832" t="s">
        <v>29</v>
      </c>
      <c r="N832" t="str">
        <f>_xlfn.XLOOKUP(B832,tblCustomers[customer_id],tblCustomers[region],"Missing")</f>
        <v>North</v>
      </c>
      <c r="O832" t="str">
        <f>_xlfn.XLOOKUP(C832,tblProducts[product_id],tblProducts[product_name],"Missing")</f>
        <v>CRM Essentials</v>
      </c>
      <c r="P832" t="str">
        <f>_xlfn.XLOOKUP(C832,tblProducts[product_id],tblProducts[category],"Missing")</f>
        <v>CRM</v>
      </c>
      <c r="Q832" t="str">
        <f>_xlfn.XLOOKUP(D832,tblSalesReps[rep_id],tblSalesReps[rep_name],"Missing")</f>
        <v>Sales Rep 08</v>
      </c>
      <c r="R832" t="str">
        <f>_xlfn.XLOOKUP(D832,tblSalesReps[rep_id],tblSalesReps[region],"Missing")</f>
        <v>North</v>
      </c>
    </row>
    <row r="833" spans="1:18">
      <c r="A833" t="s">
        <v>1281</v>
      </c>
      <c r="B833" t="s">
        <v>223</v>
      </c>
      <c r="C833" t="s">
        <v>21</v>
      </c>
      <c r="D833" t="s">
        <v>126</v>
      </c>
      <c r="E833" s="1">
        <v>45984</v>
      </c>
      <c r="F833" s="1">
        <v>45993</v>
      </c>
      <c r="G833" s="1">
        <v>45993</v>
      </c>
      <c r="H833" t="s">
        <v>28</v>
      </c>
      <c r="I833">
        <v>2</v>
      </c>
      <c r="J833">
        <v>15</v>
      </c>
      <c r="K833">
        <v>408000</v>
      </c>
      <c r="L833">
        <v>100</v>
      </c>
      <c r="M833" t="s">
        <v>29</v>
      </c>
      <c r="N833" t="str">
        <f>_xlfn.XLOOKUP(B833,tblCustomers[customer_id],tblCustomers[region],"Missing")</f>
        <v>South</v>
      </c>
      <c r="O833" t="str">
        <f>_xlfn.XLOOKUP(C833,tblProducts[product_id],tblProducts[product_name],"Missing")</f>
        <v>Workflow Automate</v>
      </c>
      <c r="P833" t="str">
        <f>_xlfn.XLOOKUP(C833,tblProducts[product_id],tblProducts[category],"Missing")</f>
        <v>Automation</v>
      </c>
      <c r="Q833" t="str">
        <f>_xlfn.XLOOKUP(D833,tblSalesReps[rep_id],tblSalesReps[rep_name],"Missing")</f>
        <v>Sales Rep 02</v>
      </c>
      <c r="R833" t="str">
        <f>_xlfn.XLOOKUP(D833,tblSalesReps[rep_id],tblSalesReps[region],"Missing")</f>
        <v>South</v>
      </c>
    </row>
    <row r="834" spans="1:18">
      <c r="A834" t="s">
        <v>1282</v>
      </c>
      <c r="B834" t="s">
        <v>1283</v>
      </c>
      <c r="C834" t="s">
        <v>62</v>
      </c>
      <c r="D834" t="s">
        <v>56</v>
      </c>
      <c r="E834" s="1">
        <v>45705</v>
      </c>
      <c r="F834" s="1">
        <v>45774</v>
      </c>
      <c r="G834" s="1">
        <v>45774</v>
      </c>
      <c r="H834" t="s">
        <v>17</v>
      </c>
      <c r="I834">
        <v>2</v>
      </c>
      <c r="J834">
        <v>15</v>
      </c>
      <c r="K834">
        <v>204000</v>
      </c>
      <c r="L834">
        <v>0</v>
      </c>
      <c r="M834" t="s">
        <v>47</v>
      </c>
      <c r="N834" t="str">
        <f>_xlfn.XLOOKUP(B834,tblCustomers[customer_id],tblCustomers[region],"Missing")</f>
        <v>East</v>
      </c>
      <c r="O834" t="str">
        <f>_xlfn.XLOOKUP(C834,tblProducts[product_id],tblProducts[product_name],"Missing")</f>
        <v>CRM Essentials</v>
      </c>
      <c r="P834" t="str">
        <f>_xlfn.XLOOKUP(C834,tblProducts[product_id],tblProducts[category],"Missing")</f>
        <v>CRM</v>
      </c>
      <c r="Q834" t="str">
        <f>_xlfn.XLOOKUP(D834,tblSalesReps[rep_id],tblSalesReps[rep_name],"Missing")</f>
        <v>Sales Rep 20</v>
      </c>
      <c r="R834" t="str">
        <f>_xlfn.XLOOKUP(D834,tblSalesReps[rep_id],tblSalesReps[region],"Missing")</f>
        <v>East</v>
      </c>
    </row>
    <row r="835" spans="1:18">
      <c r="A835" t="s">
        <v>1284</v>
      </c>
      <c r="B835" t="s">
        <v>493</v>
      </c>
      <c r="C835" t="s">
        <v>15</v>
      </c>
      <c r="D835" t="s">
        <v>78</v>
      </c>
      <c r="E835" s="1">
        <v>45761</v>
      </c>
      <c r="F835" s="1">
        <v>45779</v>
      </c>
      <c r="G835" s="1">
        <v>45779</v>
      </c>
      <c r="H835" t="s">
        <v>17</v>
      </c>
      <c r="I835">
        <v>1</v>
      </c>
      <c r="J835">
        <v>10</v>
      </c>
      <c r="K835">
        <v>378000</v>
      </c>
      <c r="L835">
        <v>0</v>
      </c>
      <c r="M835" t="s">
        <v>47</v>
      </c>
      <c r="N835" t="str">
        <f>_xlfn.XLOOKUP(B835,tblCustomers[customer_id],tblCustomers[region],"Missing")</f>
        <v>West</v>
      </c>
      <c r="O835" t="str">
        <f>_xlfn.XLOOKUP(C835,tblProducts[product_id],tblProducts[product_name],"Missing")</f>
        <v>CRM Enterprise</v>
      </c>
      <c r="P835" t="str">
        <f>_xlfn.XLOOKUP(C835,tblProducts[product_id],tblProducts[category],"Missing")</f>
        <v>CRM</v>
      </c>
      <c r="Q835" t="str">
        <f>_xlfn.XLOOKUP(D835,tblSalesReps[rep_id],tblSalesReps[rep_name],"Missing")</f>
        <v>Sales Rep 12</v>
      </c>
      <c r="R835" t="str">
        <f>_xlfn.XLOOKUP(D835,tblSalesReps[rep_id],tblSalesReps[region],"Missing")</f>
        <v>West</v>
      </c>
    </row>
    <row r="836" spans="1:18">
      <c r="A836" t="s">
        <v>1285</v>
      </c>
      <c r="B836" t="s">
        <v>416</v>
      </c>
      <c r="C836" t="s">
        <v>15</v>
      </c>
      <c r="D836" t="s">
        <v>70</v>
      </c>
      <c r="E836" s="1">
        <v>45698</v>
      </c>
      <c r="F836" s="1">
        <v>45705</v>
      </c>
      <c r="G836" s="1">
        <v>45705</v>
      </c>
      <c r="H836" t="s">
        <v>17</v>
      </c>
      <c r="I836">
        <v>2</v>
      </c>
      <c r="J836">
        <v>0</v>
      </c>
      <c r="K836">
        <v>840000</v>
      </c>
      <c r="L836">
        <v>0</v>
      </c>
      <c r="M836" t="s">
        <v>82</v>
      </c>
      <c r="N836" t="str">
        <f>_xlfn.XLOOKUP(B836,tblCustomers[customer_id],tblCustomers[region],"Missing")</f>
        <v>West</v>
      </c>
      <c r="O836" t="str">
        <f>_xlfn.XLOOKUP(C836,tblProducts[product_id],tblProducts[product_name],"Missing")</f>
        <v>CRM Enterprise</v>
      </c>
      <c r="P836" t="str">
        <f>_xlfn.XLOOKUP(C836,tblProducts[product_id],tblProducts[category],"Missing")</f>
        <v>CRM</v>
      </c>
      <c r="Q836" t="str">
        <f>_xlfn.XLOOKUP(D836,tblSalesReps[rep_id],tblSalesReps[rep_name],"Missing")</f>
        <v>Sales Rep 11</v>
      </c>
      <c r="R836" t="str">
        <f>_xlfn.XLOOKUP(D836,tblSalesReps[rep_id],tblSalesReps[region],"Missing")</f>
        <v>West</v>
      </c>
    </row>
    <row r="837" spans="1:18">
      <c r="A837" t="s">
        <v>1286</v>
      </c>
      <c r="B837" t="s">
        <v>1287</v>
      </c>
      <c r="C837" t="s">
        <v>15</v>
      </c>
      <c r="D837" t="s">
        <v>36</v>
      </c>
      <c r="E837" s="1">
        <v>45696</v>
      </c>
      <c r="F837" s="1">
        <v>45772</v>
      </c>
      <c r="G837" s="1"/>
      <c r="H837" t="s">
        <v>43</v>
      </c>
      <c r="I837">
        <v>1</v>
      </c>
      <c r="J837">
        <v>10</v>
      </c>
      <c r="K837">
        <v>378000</v>
      </c>
      <c r="L837">
        <v>60</v>
      </c>
      <c r="M837" t="s">
        <v>29</v>
      </c>
      <c r="N837" t="str">
        <f>_xlfn.XLOOKUP(B837,tblCustomers[customer_id],tblCustomers[region],"Missing")</f>
        <v>North</v>
      </c>
      <c r="O837" t="str">
        <f>_xlfn.XLOOKUP(C837,tblProducts[product_id],tblProducts[product_name],"Missing")</f>
        <v>CRM Enterprise</v>
      </c>
      <c r="P837" t="str">
        <f>_xlfn.XLOOKUP(C837,tblProducts[product_id],tblProducts[category],"Missing")</f>
        <v>CRM</v>
      </c>
      <c r="Q837" t="str">
        <f>_xlfn.XLOOKUP(D837,tblSalesReps[rep_id],tblSalesReps[rep_name],"Missing")</f>
        <v>Sales Rep 09</v>
      </c>
      <c r="R837" t="str">
        <f>_xlfn.XLOOKUP(D837,tblSalesReps[rep_id],tblSalesReps[region],"Missing")</f>
        <v>North</v>
      </c>
    </row>
    <row r="838" spans="1:18">
      <c r="A838" t="s">
        <v>1288</v>
      </c>
      <c r="B838" t="s">
        <v>1289</v>
      </c>
      <c r="C838" t="s">
        <v>39</v>
      </c>
      <c r="D838" t="s">
        <v>70</v>
      </c>
      <c r="E838" s="1">
        <v>45706</v>
      </c>
      <c r="F838" s="1">
        <v>45749</v>
      </c>
      <c r="G838" s="1">
        <v>45749</v>
      </c>
      <c r="H838" t="s">
        <v>17</v>
      </c>
      <c r="I838">
        <v>1</v>
      </c>
      <c r="J838">
        <v>5</v>
      </c>
      <c r="K838">
        <v>171000</v>
      </c>
      <c r="L838">
        <v>0</v>
      </c>
      <c r="M838" t="s">
        <v>47</v>
      </c>
      <c r="N838" t="str">
        <f>_xlfn.XLOOKUP(B838,tblCustomers[customer_id],tblCustomers[region],"Missing")</f>
        <v>West</v>
      </c>
      <c r="O838" t="str">
        <f>_xlfn.XLOOKUP(C838,tblProducts[product_id],tblProducts[product_name],"Missing")</f>
        <v>Support Desk</v>
      </c>
      <c r="P838" t="str">
        <f>_xlfn.XLOOKUP(C838,tblProducts[product_id],tblProducts[category],"Missing")</f>
        <v>Service</v>
      </c>
      <c r="Q838" t="str">
        <f>_xlfn.XLOOKUP(D838,tblSalesReps[rep_id],tblSalesReps[rep_name],"Missing")</f>
        <v>Sales Rep 11</v>
      </c>
      <c r="R838" t="str">
        <f>_xlfn.XLOOKUP(D838,tblSalesReps[rep_id],tblSalesReps[region],"Missing")</f>
        <v>West</v>
      </c>
    </row>
    <row r="839" spans="1:18">
      <c r="A839" t="s">
        <v>1290</v>
      </c>
      <c r="B839" t="s">
        <v>789</v>
      </c>
      <c r="C839" t="s">
        <v>62</v>
      </c>
      <c r="D839" t="s">
        <v>126</v>
      </c>
      <c r="E839" s="1">
        <v>45985</v>
      </c>
      <c r="F839" s="1">
        <v>46054</v>
      </c>
      <c r="G839" s="1"/>
      <c r="H839" t="s">
        <v>43</v>
      </c>
      <c r="I839">
        <v>3</v>
      </c>
      <c r="J839">
        <v>20</v>
      </c>
      <c r="K839">
        <v>288000</v>
      </c>
      <c r="L839">
        <v>40</v>
      </c>
      <c r="M839" t="s">
        <v>29</v>
      </c>
      <c r="N839" t="str">
        <f>_xlfn.XLOOKUP(B839,tblCustomers[customer_id],tblCustomers[region],"Missing")</f>
        <v>South</v>
      </c>
      <c r="O839" t="str">
        <f>_xlfn.XLOOKUP(C839,tblProducts[product_id],tblProducts[product_name],"Missing")</f>
        <v>CRM Essentials</v>
      </c>
      <c r="P839" t="str">
        <f>_xlfn.XLOOKUP(C839,tblProducts[product_id],tblProducts[category],"Missing")</f>
        <v>CRM</v>
      </c>
      <c r="Q839" t="str">
        <f>_xlfn.XLOOKUP(D839,tblSalesReps[rep_id],tblSalesReps[rep_name],"Missing")</f>
        <v>Sales Rep 02</v>
      </c>
      <c r="R839" t="str">
        <f>_xlfn.XLOOKUP(D839,tblSalesReps[rep_id],tblSalesReps[region],"Missing")</f>
        <v>South</v>
      </c>
    </row>
    <row r="840" spans="1:18">
      <c r="A840" t="s">
        <v>1291</v>
      </c>
      <c r="B840" t="s">
        <v>385</v>
      </c>
      <c r="C840" t="s">
        <v>21</v>
      </c>
      <c r="D840" t="s">
        <v>59</v>
      </c>
      <c r="E840" s="1">
        <v>46009</v>
      </c>
      <c r="F840" s="1">
        <v>46045</v>
      </c>
      <c r="G840" s="1"/>
      <c r="H840" t="s">
        <v>43</v>
      </c>
      <c r="I840">
        <v>2</v>
      </c>
      <c r="J840">
        <v>5</v>
      </c>
      <c r="K840">
        <v>456000</v>
      </c>
      <c r="L840">
        <v>40</v>
      </c>
      <c r="M840" t="s">
        <v>29</v>
      </c>
      <c r="N840" t="str">
        <f>_xlfn.XLOOKUP(B840,tblCustomers[customer_id],tblCustomers[region],"Missing")</f>
        <v>East</v>
      </c>
      <c r="O840" t="str">
        <f>_xlfn.XLOOKUP(C840,tblProducts[product_id],tblProducts[product_name],"Missing")</f>
        <v>Workflow Automate</v>
      </c>
      <c r="P840" t="str">
        <f>_xlfn.XLOOKUP(C840,tblProducts[product_id],tblProducts[category],"Missing")</f>
        <v>Automation</v>
      </c>
      <c r="Q840" t="str">
        <f>_xlfn.XLOOKUP(D840,tblSalesReps[rep_id],tblSalesReps[rep_name],"Missing")</f>
        <v>Sales Rep 19</v>
      </c>
      <c r="R840" t="str">
        <f>_xlfn.XLOOKUP(D840,tblSalesReps[rep_id],tblSalesReps[region],"Missing")</f>
        <v>East</v>
      </c>
    </row>
    <row r="841" spans="1:18">
      <c r="A841" t="s">
        <v>1292</v>
      </c>
      <c r="B841" t="s">
        <v>601</v>
      </c>
      <c r="C841" t="s">
        <v>21</v>
      </c>
      <c r="D841" t="s">
        <v>126</v>
      </c>
      <c r="E841" s="1">
        <v>45951</v>
      </c>
      <c r="F841" s="1">
        <v>45960</v>
      </c>
      <c r="G841" s="1"/>
      <c r="H841" t="s">
        <v>43</v>
      </c>
      <c r="I841">
        <v>2</v>
      </c>
      <c r="J841">
        <v>20</v>
      </c>
      <c r="K841">
        <v>384000</v>
      </c>
      <c r="L841">
        <v>80</v>
      </c>
      <c r="M841" t="s">
        <v>29</v>
      </c>
      <c r="N841" t="str">
        <f>_xlfn.XLOOKUP(B841,tblCustomers[customer_id],tblCustomers[region],"Missing")</f>
        <v>South</v>
      </c>
      <c r="O841" t="str">
        <f>_xlfn.XLOOKUP(C841,tblProducts[product_id],tblProducts[product_name],"Missing")</f>
        <v>Workflow Automate</v>
      </c>
      <c r="P841" t="str">
        <f>_xlfn.XLOOKUP(C841,tblProducts[product_id],tblProducts[category],"Missing")</f>
        <v>Automation</v>
      </c>
      <c r="Q841" t="str">
        <f>_xlfn.XLOOKUP(D841,tblSalesReps[rep_id],tblSalesReps[rep_name],"Missing")</f>
        <v>Sales Rep 02</v>
      </c>
      <c r="R841" t="str">
        <f>_xlfn.XLOOKUP(D841,tblSalesReps[rep_id],tblSalesReps[region],"Missing")</f>
        <v>South</v>
      </c>
    </row>
    <row r="842" spans="1:18">
      <c r="A842" t="s">
        <v>1293</v>
      </c>
      <c r="B842" t="s">
        <v>80</v>
      </c>
      <c r="C842" t="s">
        <v>62</v>
      </c>
      <c r="D842" t="s">
        <v>126</v>
      </c>
      <c r="E842" s="1">
        <v>45750</v>
      </c>
      <c r="F842" s="1">
        <v>45801</v>
      </c>
      <c r="G842" s="1">
        <v>45801</v>
      </c>
      <c r="H842" t="s">
        <v>28</v>
      </c>
      <c r="I842">
        <v>1</v>
      </c>
      <c r="J842">
        <v>5</v>
      </c>
      <c r="K842">
        <v>114000</v>
      </c>
      <c r="L842">
        <v>100</v>
      </c>
      <c r="M842" t="s">
        <v>29</v>
      </c>
      <c r="N842" t="str">
        <f>_xlfn.XLOOKUP(B842,tblCustomers[customer_id],tblCustomers[region],"Missing")</f>
        <v>South</v>
      </c>
      <c r="O842" t="str">
        <f>_xlfn.XLOOKUP(C842,tblProducts[product_id],tblProducts[product_name],"Missing")</f>
        <v>CRM Essentials</v>
      </c>
      <c r="P842" t="str">
        <f>_xlfn.XLOOKUP(C842,tblProducts[product_id],tblProducts[category],"Missing")</f>
        <v>CRM</v>
      </c>
      <c r="Q842" t="str">
        <f>_xlfn.XLOOKUP(D842,tblSalesReps[rep_id],tblSalesReps[rep_name],"Missing")</f>
        <v>Sales Rep 02</v>
      </c>
      <c r="R842" t="str">
        <f>_xlfn.XLOOKUP(D842,tblSalesReps[rep_id],tblSalesReps[region],"Missing")</f>
        <v>South</v>
      </c>
    </row>
    <row r="843" spans="1:18">
      <c r="A843" t="s">
        <v>1294</v>
      </c>
      <c r="B843" t="s">
        <v>948</v>
      </c>
      <c r="C843" t="s">
        <v>15</v>
      </c>
      <c r="D843" t="s">
        <v>70</v>
      </c>
      <c r="E843" s="1">
        <v>45950</v>
      </c>
      <c r="F843" s="1">
        <v>46029</v>
      </c>
      <c r="G843" s="1"/>
      <c r="H843" t="s">
        <v>43</v>
      </c>
      <c r="I843">
        <v>2</v>
      </c>
      <c r="J843">
        <v>15</v>
      </c>
      <c r="K843">
        <v>714000</v>
      </c>
      <c r="L843">
        <v>20</v>
      </c>
      <c r="M843" t="s">
        <v>29</v>
      </c>
      <c r="N843" t="str">
        <f>_xlfn.XLOOKUP(B843,tblCustomers[customer_id],tblCustomers[region],"Missing")</f>
        <v>West</v>
      </c>
      <c r="O843" t="str">
        <f>_xlfn.XLOOKUP(C843,tblProducts[product_id],tblProducts[product_name],"Missing")</f>
        <v>CRM Enterprise</v>
      </c>
      <c r="P843" t="str">
        <f>_xlfn.XLOOKUP(C843,tblProducts[product_id],tblProducts[category],"Missing")</f>
        <v>CRM</v>
      </c>
      <c r="Q843" t="str">
        <f>_xlfn.XLOOKUP(D843,tblSalesReps[rep_id],tblSalesReps[rep_name],"Missing")</f>
        <v>Sales Rep 11</v>
      </c>
      <c r="R843" t="str">
        <f>_xlfn.XLOOKUP(D843,tblSalesReps[rep_id],tblSalesReps[region],"Missing")</f>
        <v>West</v>
      </c>
    </row>
    <row r="844" spans="1:18">
      <c r="A844" t="s">
        <v>1295</v>
      </c>
      <c r="B844" t="s">
        <v>798</v>
      </c>
      <c r="C844" t="s">
        <v>39</v>
      </c>
      <c r="D844" t="s">
        <v>126</v>
      </c>
      <c r="E844" s="1">
        <v>45997</v>
      </c>
      <c r="F844" s="1">
        <v>46059</v>
      </c>
      <c r="G844" s="1"/>
      <c r="H844" t="s">
        <v>43</v>
      </c>
      <c r="I844">
        <v>3</v>
      </c>
      <c r="J844">
        <v>10</v>
      </c>
      <c r="K844">
        <v>486000</v>
      </c>
      <c r="L844">
        <v>60</v>
      </c>
      <c r="M844" t="s">
        <v>29</v>
      </c>
      <c r="N844" t="str">
        <f>_xlfn.XLOOKUP(B844,tblCustomers[customer_id],tblCustomers[region],"Missing")</f>
        <v>South</v>
      </c>
      <c r="O844" t="str">
        <f>_xlfn.XLOOKUP(C844,tblProducts[product_id],tblProducts[product_name],"Missing")</f>
        <v>Support Desk</v>
      </c>
      <c r="P844" t="str">
        <f>_xlfn.XLOOKUP(C844,tblProducts[product_id],tblProducts[category],"Missing")</f>
        <v>Service</v>
      </c>
      <c r="Q844" t="str">
        <f>_xlfn.XLOOKUP(D844,tblSalesReps[rep_id],tblSalesReps[rep_name],"Missing")</f>
        <v>Sales Rep 02</v>
      </c>
      <c r="R844" t="str">
        <f>_xlfn.XLOOKUP(D844,tblSalesReps[rep_id],tblSalesReps[region],"Missing")</f>
        <v>South</v>
      </c>
    </row>
    <row r="845" spans="1:18">
      <c r="A845" t="s">
        <v>1296</v>
      </c>
      <c r="B845" t="s">
        <v>633</v>
      </c>
      <c r="C845" t="s">
        <v>21</v>
      </c>
      <c r="D845" t="s">
        <v>152</v>
      </c>
      <c r="E845" s="1">
        <v>45889</v>
      </c>
      <c r="F845" s="1">
        <v>45960</v>
      </c>
      <c r="G845" s="1">
        <v>45960</v>
      </c>
      <c r="H845" t="s">
        <v>17</v>
      </c>
      <c r="I845">
        <v>2</v>
      </c>
      <c r="J845">
        <v>0</v>
      </c>
      <c r="K845">
        <v>480000</v>
      </c>
      <c r="L845">
        <v>0</v>
      </c>
      <c r="M845" t="s">
        <v>23</v>
      </c>
      <c r="N845" t="str">
        <f>_xlfn.XLOOKUP(B845,tblCustomers[customer_id],tblCustomers[region],"Missing")</f>
        <v>East</v>
      </c>
      <c r="O845" t="str">
        <f>_xlfn.XLOOKUP(C845,tblProducts[product_id],tblProducts[product_name],"Missing")</f>
        <v>Workflow Automate</v>
      </c>
      <c r="P845" t="str">
        <f>_xlfn.XLOOKUP(C845,tblProducts[product_id],tblProducts[category],"Missing")</f>
        <v>Automation</v>
      </c>
      <c r="Q845" t="str">
        <f>_xlfn.XLOOKUP(D845,tblSalesReps[rep_id],tblSalesReps[rep_name],"Missing")</f>
        <v>Sales Rep 18</v>
      </c>
      <c r="R845" t="str">
        <f>_xlfn.XLOOKUP(D845,tblSalesReps[rep_id],tblSalesReps[region],"Missing")</f>
        <v>East</v>
      </c>
    </row>
    <row r="846" spans="1:18">
      <c r="A846" t="s">
        <v>1297</v>
      </c>
      <c r="B846" t="s">
        <v>828</v>
      </c>
      <c r="C846" t="s">
        <v>21</v>
      </c>
      <c r="D846" t="s">
        <v>22</v>
      </c>
      <c r="E846" s="1">
        <v>45697</v>
      </c>
      <c r="F846" s="1">
        <v>45712</v>
      </c>
      <c r="G846" s="1"/>
      <c r="H846" t="s">
        <v>43</v>
      </c>
      <c r="I846">
        <v>2</v>
      </c>
      <c r="J846">
        <v>15</v>
      </c>
      <c r="K846">
        <v>408000</v>
      </c>
      <c r="L846">
        <v>80</v>
      </c>
      <c r="M846" t="s">
        <v>29</v>
      </c>
      <c r="N846" t="str">
        <f>_xlfn.XLOOKUP(B846,tblCustomers[customer_id],tblCustomers[region],"Missing")</f>
        <v>West</v>
      </c>
      <c r="O846" t="str">
        <f>_xlfn.XLOOKUP(C846,tblProducts[product_id],tblProducts[product_name],"Missing")</f>
        <v>Workflow Automate</v>
      </c>
      <c r="P846" t="str">
        <f>_xlfn.XLOOKUP(C846,tblProducts[product_id],tblProducts[category],"Missing")</f>
        <v>Automation</v>
      </c>
      <c r="Q846" t="str">
        <f>_xlfn.XLOOKUP(D846,tblSalesReps[rep_id],tblSalesReps[rep_name],"Missing")</f>
        <v>Sales Rep 14</v>
      </c>
      <c r="R846" t="str">
        <f>_xlfn.XLOOKUP(D846,tblSalesReps[rep_id],tblSalesReps[region],"Missing")</f>
        <v>West</v>
      </c>
    </row>
    <row r="847" spans="1:18">
      <c r="A847" t="s">
        <v>1298</v>
      </c>
      <c r="B847" t="s">
        <v>1235</v>
      </c>
      <c r="C847" t="s">
        <v>39</v>
      </c>
      <c r="D847" t="s">
        <v>46</v>
      </c>
      <c r="E847" s="1">
        <v>45862</v>
      </c>
      <c r="F847" s="1">
        <v>45899</v>
      </c>
      <c r="G847" s="1">
        <v>45899</v>
      </c>
      <c r="H847" t="s">
        <v>17</v>
      </c>
      <c r="I847">
        <v>1</v>
      </c>
      <c r="J847">
        <v>0</v>
      </c>
      <c r="K847">
        <v>180000</v>
      </c>
      <c r="L847">
        <v>0</v>
      </c>
      <c r="M847" t="s">
        <v>23</v>
      </c>
      <c r="N847" t="str">
        <f>_xlfn.XLOOKUP(B847,tblCustomers[customer_id],tblCustomers[region],"Missing")</f>
        <v>South</v>
      </c>
      <c r="O847" t="str">
        <f>_xlfn.XLOOKUP(C847,tblProducts[product_id],tblProducts[product_name],"Missing")</f>
        <v>Support Desk</v>
      </c>
      <c r="P847" t="str">
        <f>_xlfn.XLOOKUP(C847,tblProducts[product_id],tblProducts[category],"Missing")</f>
        <v>Service</v>
      </c>
      <c r="Q847" t="str">
        <f>_xlfn.XLOOKUP(D847,tblSalesReps[rep_id],tblSalesReps[rep_name],"Missing")</f>
        <v>Sales Rep 01</v>
      </c>
      <c r="R847" t="str">
        <f>_xlfn.XLOOKUP(D847,tblSalesReps[rep_id],tblSalesReps[region],"Missing")</f>
        <v>South</v>
      </c>
    </row>
    <row r="848" spans="1:18">
      <c r="A848" t="s">
        <v>1299</v>
      </c>
      <c r="B848" t="s">
        <v>358</v>
      </c>
      <c r="C848" t="s">
        <v>39</v>
      </c>
      <c r="D848" t="s">
        <v>75</v>
      </c>
      <c r="E848" s="1">
        <v>45833</v>
      </c>
      <c r="F848" s="1">
        <v>45874</v>
      </c>
      <c r="G848" s="1"/>
      <c r="H848" t="s">
        <v>43</v>
      </c>
      <c r="I848">
        <v>1</v>
      </c>
      <c r="J848">
        <v>5</v>
      </c>
      <c r="K848">
        <v>171000</v>
      </c>
      <c r="L848">
        <v>80</v>
      </c>
      <c r="M848" t="s">
        <v>29</v>
      </c>
      <c r="N848" t="str">
        <f>_xlfn.XLOOKUP(B848,tblCustomers[customer_id],tblCustomers[region],"Missing")</f>
        <v>North</v>
      </c>
      <c r="O848" t="str">
        <f>_xlfn.XLOOKUP(C848,tblProducts[product_id],tblProducts[product_name],"Missing")</f>
        <v>Support Desk</v>
      </c>
      <c r="P848" t="str">
        <f>_xlfn.XLOOKUP(C848,tblProducts[product_id],tblProducts[category],"Missing")</f>
        <v>Service</v>
      </c>
      <c r="Q848" t="str">
        <f>_xlfn.XLOOKUP(D848,tblSalesReps[rep_id],tblSalesReps[rep_name],"Missing")</f>
        <v>Sales Rep 07</v>
      </c>
      <c r="R848" t="str">
        <f>_xlfn.XLOOKUP(D848,tblSalesReps[rep_id],tblSalesReps[region],"Missing")</f>
        <v>North</v>
      </c>
    </row>
    <row r="849" spans="1:18">
      <c r="A849" t="s">
        <v>1300</v>
      </c>
      <c r="B849" t="s">
        <v>1164</v>
      </c>
      <c r="C849" t="s">
        <v>81</v>
      </c>
      <c r="D849" t="s">
        <v>126</v>
      </c>
      <c r="E849" s="1">
        <v>45757</v>
      </c>
      <c r="F849" s="1">
        <v>45837</v>
      </c>
      <c r="G849" s="1">
        <v>45837</v>
      </c>
      <c r="H849" t="s">
        <v>17</v>
      </c>
      <c r="I849">
        <v>1</v>
      </c>
      <c r="J849">
        <v>10</v>
      </c>
      <c r="K849">
        <v>270000</v>
      </c>
      <c r="L849">
        <v>0</v>
      </c>
      <c r="M849" t="s">
        <v>47</v>
      </c>
      <c r="N849" t="str">
        <f>_xlfn.XLOOKUP(B849,tblCustomers[customer_id],tblCustomers[region],"Missing")</f>
        <v>South</v>
      </c>
      <c r="O849" t="str">
        <f>_xlfn.XLOOKUP(C849,tblProducts[product_id],tblProducts[product_name],"Missing")</f>
        <v>Analytics Cloud</v>
      </c>
      <c r="P849" t="str">
        <f>_xlfn.XLOOKUP(C849,tblProducts[product_id],tblProducts[category],"Missing")</f>
        <v>Analytics</v>
      </c>
      <c r="Q849" t="str">
        <f>_xlfn.XLOOKUP(D849,tblSalesReps[rep_id],tblSalesReps[rep_name],"Missing")</f>
        <v>Sales Rep 02</v>
      </c>
      <c r="R849" t="str">
        <f>_xlfn.XLOOKUP(D849,tblSalesReps[rep_id],tblSalesReps[region],"Missing")</f>
        <v>South</v>
      </c>
    </row>
    <row r="850" spans="1:18">
      <c r="A850" t="s">
        <v>1301</v>
      </c>
      <c r="B850" t="s">
        <v>844</v>
      </c>
      <c r="C850" t="s">
        <v>81</v>
      </c>
      <c r="D850" t="s">
        <v>63</v>
      </c>
      <c r="E850" s="1">
        <v>45771</v>
      </c>
      <c r="F850" s="1">
        <v>45806</v>
      </c>
      <c r="G850" s="1"/>
      <c r="H850" t="s">
        <v>43</v>
      </c>
      <c r="I850">
        <v>1</v>
      </c>
      <c r="J850">
        <v>20</v>
      </c>
      <c r="K850">
        <v>240000</v>
      </c>
      <c r="L850">
        <v>60</v>
      </c>
      <c r="M850" t="s">
        <v>29</v>
      </c>
      <c r="N850" t="str">
        <f>_xlfn.XLOOKUP(B850,tblCustomers[customer_id],tblCustomers[region],"Missing")</f>
        <v>South</v>
      </c>
      <c r="O850" t="str">
        <f>_xlfn.XLOOKUP(C850,tblProducts[product_id],tblProducts[product_name],"Missing")</f>
        <v>Analytics Cloud</v>
      </c>
      <c r="P850" t="str">
        <f>_xlfn.XLOOKUP(C850,tblProducts[product_id],tblProducts[category],"Missing")</f>
        <v>Analytics</v>
      </c>
      <c r="Q850" t="str">
        <f>_xlfn.XLOOKUP(D850,tblSalesReps[rep_id],tblSalesReps[rep_name],"Missing")</f>
        <v>Sales Rep 05</v>
      </c>
      <c r="R850" t="str">
        <f>_xlfn.XLOOKUP(D850,tblSalesReps[rep_id],tblSalesReps[region],"Missing")</f>
        <v>South</v>
      </c>
    </row>
    <row r="851" spans="1:18">
      <c r="A851" t="s">
        <v>1302</v>
      </c>
      <c r="B851" t="s">
        <v>1303</v>
      </c>
      <c r="C851" t="s">
        <v>62</v>
      </c>
      <c r="D851" t="s">
        <v>36</v>
      </c>
      <c r="E851" s="1">
        <v>45923</v>
      </c>
      <c r="F851" s="1">
        <v>45979</v>
      </c>
      <c r="G851" s="1">
        <v>45979</v>
      </c>
      <c r="H851" t="s">
        <v>28</v>
      </c>
      <c r="I851">
        <v>3</v>
      </c>
      <c r="J851">
        <v>10</v>
      </c>
      <c r="K851">
        <v>324000</v>
      </c>
      <c r="L851">
        <v>100</v>
      </c>
      <c r="M851" t="s">
        <v>29</v>
      </c>
      <c r="N851" t="str">
        <f>_xlfn.XLOOKUP(B851,tblCustomers[customer_id],tblCustomers[region],"Missing")</f>
        <v>North</v>
      </c>
      <c r="O851" t="str">
        <f>_xlfn.XLOOKUP(C851,tblProducts[product_id],tblProducts[product_name],"Missing")</f>
        <v>CRM Essentials</v>
      </c>
      <c r="P851" t="str">
        <f>_xlfn.XLOOKUP(C851,tblProducts[product_id],tblProducts[category],"Missing")</f>
        <v>CRM</v>
      </c>
      <c r="Q851" t="str">
        <f>_xlfn.XLOOKUP(D851,tblSalesReps[rep_id],tblSalesReps[rep_name],"Missing")</f>
        <v>Sales Rep 09</v>
      </c>
      <c r="R851" t="str">
        <f>_xlfn.XLOOKUP(D851,tblSalesReps[rep_id],tblSalesReps[region],"Missing")</f>
        <v>North</v>
      </c>
    </row>
    <row r="852" spans="1:18">
      <c r="A852" t="s">
        <v>1304</v>
      </c>
      <c r="B852" t="s">
        <v>1024</v>
      </c>
      <c r="C852" t="s">
        <v>26</v>
      </c>
      <c r="D852" t="s">
        <v>50</v>
      </c>
      <c r="E852" s="1">
        <v>45953</v>
      </c>
      <c r="F852" s="1">
        <v>45974</v>
      </c>
      <c r="G852" s="1">
        <v>45974</v>
      </c>
      <c r="H852" t="s">
        <v>28</v>
      </c>
      <c r="I852">
        <v>2</v>
      </c>
      <c r="J852">
        <v>20</v>
      </c>
      <c r="K852">
        <v>576000</v>
      </c>
      <c r="L852">
        <v>100</v>
      </c>
      <c r="M852" t="s">
        <v>29</v>
      </c>
      <c r="N852" t="str">
        <f>_xlfn.XLOOKUP(B852,tblCustomers[customer_id],tblCustomers[region],"Missing")</f>
        <v>West</v>
      </c>
      <c r="O852" t="str">
        <f>_xlfn.XLOOKUP(C852,tblProducts[product_id],tblProducts[product_name],"Missing")</f>
        <v>Security Suite</v>
      </c>
      <c r="P852" t="str">
        <f>_xlfn.XLOOKUP(C852,tblProducts[product_id],tblProducts[category],"Missing")</f>
        <v>Security</v>
      </c>
      <c r="Q852" t="str">
        <f>_xlfn.XLOOKUP(D852,tblSalesReps[rep_id],tblSalesReps[rep_name],"Missing")</f>
        <v>Sales Rep 15</v>
      </c>
      <c r="R852" t="str">
        <f>_xlfn.XLOOKUP(D852,tblSalesReps[rep_id],tblSalesReps[region],"Missing")</f>
        <v>West</v>
      </c>
    </row>
    <row r="853" spans="1:18">
      <c r="A853" t="s">
        <v>1305</v>
      </c>
      <c r="B853" t="s">
        <v>257</v>
      </c>
      <c r="C853" t="s">
        <v>21</v>
      </c>
      <c r="D853" t="s">
        <v>126</v>
      </c>
      <c r="E853" s="1">
        <v>45859</v>
      </c>
      <c r="F853" s="1">
        <v>45907</v>
      </c>
      <c r="G853" s="1">
        <v>45907</v>
      </c>
      <c r="H853" t="s">
        <v>28</v>
      </c>
      <c r="I853">
        <v>1</v>
      </c>
      <c r="J853">
        <v>15</v>
      </c>
      <c r="K853">
        <v>204000</v>
      </c>
      <c r="L853">
        <v>100</v>
      </c>
      <c r="M853" t="s">
        <v>29</v>
      </c>
      <c r="N853" t="str">
        <f>_xlfn.XLOOKUP(B853,tblCustomers[customer_id],tblCustomers[region],"Missing")</f>
        <v>South</v>
      </c>
      <c r="O853" t="str">
        <f>_xlfn.XLOOKUP(C853,tblProducts[product_id],tblProducts[product_name],"Missing")</f>
        <v>Workflow Automate</v>
      </c>
      <c r="P853" t="str">
        <f>_xlfn.XLOOKUP(C853,tblProducts[product_id],tblProducts[category],"Missing")</f>
        <v>Automation</v>
      </c>
      <c r="Q853" t="str">
        <f>_xlfn.XLOOKUP(D853,tblSalesReps[rep_id],tblSalesReps[rep_name],"Missing")</f>
        <v>Sales Rep 02</v>
      </c>
      <c r="R853" t="str">
        <f>_xlfn.XLOOKUP(D853,tblSalesReps[rep_id],tblSalesReps[region],"Missing")</f>
        <v>South</v>
      </c>
    </row>
    <row r="854" spans="1:18">
      <c r="A854" t="s">
        <v>1306</v>
      </c>
      <c r="B854" t="s">
        <v>739</v>
      </c>
      <c r="C854" t="s">
        <v>81</v>
      </c>
      <c r="D854" t="s">
        <v>22</v>
      </c>
      <c r="E854" s="1">
        <v>45820</v>
      </c>
      <c r="F854" s="1">
        <v>45861</v>
      </c>
      <c r="G854" s="1">
        <v>45861</v>
      </c>
      <c r="H854" t="s">
        <v>28</v>
      </c>
      <c r="I854">
        <v>1</v>
      </c>
      <c r="J854">
        <v>0</v>
      </c>
      <c r="K854">
        <v>300000</v>
      </c>
      <c r="L854">
        <v>100</v>
      </c>
      <c r="M854" t="s">
        <v>29</v>
      </c>
      <c r="N854" t="str">
        <f>_xlfn.XLOOKUP(B854,tblCustomers[customer_id],tblCustomers[region],"Missing")</f>
        <v>West</v>
      </c>
      <c r="O854" t="str">
        <f>_xlfn.XLOOKUP(C854,tblProducts[product_id],tblProducts[product_name],"Missing")</f>
        <v>Analytics Cloud</v>
      </c>
      <c r="P854" t="str">
        <f>_xlfn.XLOOKUP(C854,tblProducts[product_id],tblProducts[category],"Missing")</f>
        <v>Analytics</v>
      </c>
      <c r="Q854" t="str">
        <f>_xlfn.XLOOKUP(D854,tblSalesReps[rep_id],tblSalesReps[rep_name],"Missing")</f>
        <v>Sales Rep 14</v>
      </c>
      <c r="R854" t="str">
        <f>_xlfn.XLOOKUP(D854,tblSalesReps[rep_id],tblSalesReps[region],"Missing")</f>
        <v>West</v>
      </c>
    </row>
    <row r="855" spans="1:18">
      <c r="A855" t="s">
        <v>1307</v>
      </c>
      <c r="B855" t="s">
        <v>1308</v>
      </c>
      <c r="C855" t="s">
        <v>62</v>
      </c>
      <c r="D855" t="s">
        <v>119</v>
      </c>
      <c r="E855" s="1">
        <v>45926</v>
      </c>
      <c r="F855" s="1">
        <v>45940</v>
      </c>
      <c r="G855" s="1">
        <v>45940</v>
      </c>
      <c r="H855" t="s">
        <v>17</v>
      </c>
      <c r="I855">
        <v>3</v>
      </c>
      <c r="J855">
        <v>5</v>
      </c>
      <c r="K855">
        <v>342000</v>
      </c>
      <c r="L855">
        <v>0</v>
      </c>
      <c r="M855" t="s">
        <v>23</v>
      </c>
      <c r="N855" t="str">
        <f>_xlfn.XLOOKUP(B855,tblCustomers[customer_id],tblCustomers[region],"Missing")</f>
        <v>North</v>
      </c>
      <c r="O855" t="str">
        <f>_xlfn.XLOOKUP(C855,tblProducts[product_id],tblProducts[product_name],"Missing")</f>
        <v>CRM Essentials</v>
      </c>
      <c r="P855" t="str">
        <f>_xlfn.XLOOKUP(C855,tblProducts[product_id],tblProducts[category],"Missing")</f>
        <v>CRM</v>
      </c>
      <c r="Q855" t="str">
        <f>_xlfn.XLOOKUP(D855,tblSalesReps[rep_id],tblSalesReps[rep_name],"Missing")</f>
        <v>Sales Rep 10</v>
      </c>
      <c r="R855" t="str">
        <f>_xlfn.XLOOKUP(D855,tblSalesReps[rep_id],tblSalesReps[region],"Missing")</f>
        <v>North</v>
      </c>
    </row>
    <row r="856" spans="1:18">
      <c r="A856" t="s">
        <v>1309</v>
      </c>
      <c r="B856" t="s">
        <v>77</v>
      </c>
      <c r="C856" t="s">
        <v>81</v>
      </c>
      <c r="D856" t="s">
        <v>22</v>
      </c>
      <c r="E856" s="1">
        <v>45687</v>
      </c>
      <c r="F856" s="1">
        <v>45768</v>
      </c>
      <c r="G856" s="1"/>
      <c r="H856" t="s">
        <v>43</v>
      </c>
      <c r="I856">
        <v>3</v>
      </c>
      <c r="J856">
        <v>15</v>
      </c>
      <c r="K856">
        <v>765000</v>
      </c>
      <c r="L856">
        <v>80</v>
      </c>
      <c r="M856" t="s">
        <v>29</v>
      </c>
      <c r="N856" t="str">
        <f>_xlfn.XLOOKUP(B856,tblCustomers[customer_id],tblCustomers[region],"Missing")</f>
        <v>West</v>
      </c>
      <c r="O856" t="str">
        <f>_xlfn.XLOOKUP(C856,tblProducts[product_id],tblProducts[product_name],"Missing")</f>
        <v>Analytics Cloud</v>
      </c>
      <c r="P856" t="str">
        <f>_xlfn.XLOOKUP(C856,tblProducts[product_id],tblProducts[category],"Missing")</f>
        <v>Analytics</v>
      </c>
      <c r="Q856" t="str">
        <f>_xlfn.XLOOKUP(D856,tblSalesReps[rep_id],tblSalesReps[rep_name],"Missing")</f>
        <v>Sales Rep 14</v>
      </c>
      <c r="R856" t="str">
        <f>_xlfn.XLOOKUP(D856,tblSalesReps[rep_id],tblSalesReps[region],"Missing")</f>
        <v>West</v>
      </c>
    </row>
    <row r="857" spans="1:18">
      <c r="A857" t="s">
        <v>1310</v>
      </c>
      <c r="B857" t="s">
        <v>1311</v>
      </c>
      <c r="C857" t="s">
        <v>21</v>
      </c>
      <c r="D857" t="s">
        <v>152</v>
      </c>
      <c r="E857" s="1">
        <v>46022</v>
      </c>
      <c r="F857" s="1">
        <v>46065</v>
      </c>
      <c r="G857" s="1"/>
      <c r="H857" t="s">
        <v>43</v>
      </c>
      <c r="I857">
        <v>1</v>
      </c>
      <c r="J857">
        <v>20</v>
      </c>
      <c r="K857">
        <v>192000</v>
      </c>
      <c r="L857">
        <v>40</v>
      </c>
      <c r="M857" t="s">
        <v>29</v>
      </c>
      <c r="N857" t="str">
        <f>_xlfn.XLOOKUP(B857,tblCustomers[customer_id],tblCustomers[region],"Missing")</f>
        <v>East</v>
      </c>
      <c r="O857" t="str">
        <f>_xlfn.XLOOKUP(C857,tblProducts[product_id],tblProducts[product_name],"Missing")</f>
        <v>Workflow Automate</v>
      </c>
      <c r="P857" t="str">
        <f>_xlfn.XLOOKUP(C857,tblProducts[product_id],tblProducts[category],"Missing")</f>
        <v>Automation</v>
      </c>
      <c r="Q857" t="str">
        <f>_xlfn.XLOOKUP(D857,tblSalesReps[rep_id],tblSalesReps[rep_name],"Missing")</f>
        <v>Sales Rep 18</v>
      </c>
      <c r="R857" t="str">
        <f>_xlfn.XLOOKUP(D857,tblSalesReps[rep_id],tblSalesReps[region],"Missing")</f>
        <v>East</v>
      </c>
    </row>
    <row r="858" spans="1:18">
      <c r="A858" t="s">
        <v>1312</v>
      </c>
      <c r="B858" t="s">
        <v>187</v>
      </c>
      <c r="C858" t="s">
        <v>26</v>
      </c>
      <c r="D858" t="s">
        <v>78</v>
      </c>
      <c r="E858" s="1">
        <v>45958</v>
      </c>
      <c r="F858" s="1">
        <v>45994</v>
      </c>
      <c r="G858" s="1">
        <v>45994</v>
      </c>
      <c r="H858" t="s">
        <v>17</v>
      </c>
      <c r="I858">
        <v>1</v>
      </c>
      <c r="J858">
        <v>5</v>
      </c>
      <c r="K858">
        <v>342000</v>
      </c>
      <c r="L858">
        <v>0</v>
      </c>
      <c r="M858" t="s">
        <v>23</v>
      </c>
      <c r="N858" t="str">
        <f>_xlfn.XLOOKUP(B858,tblCustomers[customer_id],tblCustomers[region],"Missing")</f>
        <v>West</v>
      </c>
      <c r="O858" t="str">
        <f>_xlfn.XLOOKUP(C858,tblProducts[product_id],tblProducts[product_name],"Missing")</f>
        <v>Security Suite</v>
      </c>
      <c r="P858" t="str">
        <f>_xlfn.XLOOKUP(C858,tblProducts[product_id],tblProducts[category],"Missing")</f>
        <v>Security</v>
      </c>
      <c r="Q858" t="str">
        <f>_xlfn.XLOOKUP(D858,tblSalesReps[rep_id],tblSalesReps[rep_name],"Missing")</f>
        <v>Sales Rep 12</v>
      </c>
      <c r="R858" t="str">
        <f>_xlfn.XLOOKUP(D858,tblSalesReps[rep_id],tblSalesReps[region],"Missing")</f>
        <v>West</v>
      </c>
    </row>
    <row r="859" spans="1:18">
      <c r="A859" t="s">
        <v>1313</v>
      </c>
      <c r="B859" t="s">
        <v>270</v>
      </c>
      <c r="C859" t="s">
        <v>15</v>
      </c>
      <c r="D859" t="s">
        <v>27</v>
      </c>
      <c r="E859" s="1">
        <v>45803</v>
      </c>
      <c r="F859" s="1">
        <v>45876</v>
      </c>
      <c r="G859" s="1">
        <v>45876</v>
      </c>
      <c r="H859" t="s">
        <v>28</v>
      </c>
      <c r="I859">
        <v>3</v>
      </c>
      <c r="J859">
        <v>20</v>
      </c>
      <c r="K859">
        <v>1008000</v>
      </c>
      <c r="L859">
        <v>100</v>
      </c>
      <c r="M859" t="s">
        <v>29</v>
      </c>
      <c r="N859" t="str">
        <f>_xlfn.XLOOKUP(B859,tblCustomers[customer_id],tblCustomers[region],"Missing")</f>
        <v>North</v>
      </c>
      <c r="O859" t="str">
        <f>_xlfn.XLOOKUP(C859,tblProducts[product_id],tblProducts[product_name],"Missing")</f>
        <v>CRM Enterprise</v>
      </c>
      <c r="P859" t="str">
        <f>_xlfn.XLOOKUP(C859,tblProducts[product_id],tblProducts[category],"Missing")</f>
        <v>CRM</v>
      </c>
      <c r="Q859" t="str">
        <f>_xlfn.XLOOKUP(D859,tblSalesReps[rep_id],tblSalesReps[rep_name],"Missing")</f>
        <v>Sales Rep 06</v>
      </c>
      <c r="R859" t="str">
        <f>_xlfn.XLOOKUP(D859,tblSalesReps[rep_id],tblSalesReps[region],"Missing")</f>
        <v>North</v>
      </c>
    </row>
    <row r="860" spans="1:18">
      <c r="A860" t="s">
        <v>1314</v>
      </c>
      <c r="B860" t="s">
        <v>570</v>
      </c>
      <c r="C860" t="s">
        <v>39</v>
      </c>
      <c r="D860" t="s">
        <v>75</v>
      </c>
      <c r="E860" s="1">
        <v>45846</v>
      </c>
      <c r="F860" s="1">
        <v>45861</v>
      </c>
      <c r="G860" s="1">
        <v>45861</v>
      </c>
      <c r="H860" t="s">
        <v>28</v>
      </c>
      <c r="I860">
        <v>3</v>
      </c>
      <c r="J860">
        <v>5</v>
      </c>
      <c r="K860">
        <v>513000</v>
      </c>
      <c r="L860">
        <v>100</v>
      </c>
      <c r="M860" t="s">
        <v>29</v>
      </c>
      <c r="N860" t="str">
        <f>_xlfn.XLOOKUP(B860,tblCustomers[customer_id],tblCustomers[region],"Missing")</f>
        <v>North</v>
      </c>
      <c r="O860" t="str">
        <f>_xlfn.XLOOKUP(C860,tblProducts[product_id],tblProducts[product_name],"Missing")</f>
        <v>Support Desk</v>
      </c>
      <c r="P860" t="str">
        <f>_xlfn.XLOOKUP(C860,tblProducts[product_id],tblProducts[category],"Missing")</f>
        <v>Service</v>
      </c>
      <c r="Q860" t="str">
        <f>_xlfn.XLOOKUP(D860,tblSalesReps[rep_id],tblSalesReps[rep_name],"Missing")</f>
        <v>Sales Rep 07</v>
      </c>
      <c r="R860" t="str">
        <f>_xlfn.XLOOKUP(D860,tblSalesReps[rep_id],tblSalesReps[region],"Missing")</f>
        <v>North</v>
      </c>
    </row>
    <row r="861" spans="1:18">
      <c r="A861" t="s">
        <v>1315</v>
      </c>
      <c r="B861" t="s">
        <v>80</v>
      </c>
      <c r="C861" t="s">
        <v>26</v>
      </c>
      <c r="D861" t="s">
        <v>46</v>
      </c>
      <c r="E861" s="1">
        <v>45978</v>
      </c>
      <c r="F861" s="1">
        <v>45996</v>
      </c>
      <c r="G861" s="1">
        <v>45996</v>
      </c>
      <c r="H861" t="s">
        <v>28</v>
      </c>
      <c r="I861">
        <v>1</v>
      </c>
      <c r="J861">
        <v>15</v>
      </c>
      <c r="K861">
        <v>306000</v>
      </c>
      <c r="L861">
        <v>100</v>
      </c>
      <c r="M861" t="s">
        <v>29</v>
      </c>
      <c r="N861" t="str">
        <f>_xlfn.XLOOKUP(B861,tblCustomers[customer_id],tblCustomers[region],"Missing")</f>
        <v>South</v>
      </c>
      <c r="O861" t="str">
        <f>_xlfn.XLOOKUP(C861,tblProducts[product_id],tblProducts[product_name],"Missing")</f>
        <v>Security Suite</v>
      </c>
      <c r="P861" t="str">
        <f>_xlfn.XLOOKUP(C861,tblProducts[product_id],tblProducts[category],"Missing")</f>
        <v>Security</v>
      </c>
      <c r="Q861" t="str">
        <f>_xlfn.XLOOKUP(D861,tblSalesReps[rep_id],tblSalesReps[rep_name],"Missing")</f>
        <v>Sales Rep 01</v>
      </c>
      <c r="R861" t="str">
        <f>_xlfn.XLOOKUP(D861,tblSalesReps[rep_id],tblSalesReps[region],"Missing")</f>
        <v>South</v>
      </c>
    </row>
    <row r="862" spans="1:18">
      <c r="A862" t="s">
        <v>1316</v>
      </c>
      <c r="B862" t="s">
        <v>723</v>
      </c>
      <c r="C862" t="s">
        <v>26</v>
      </c>
      <c r="D862" t="s">
        <v>50</v>
      </c>
      <c r="E862" s="1">
        <v>45895</v>
      </c>
      <c r="F862" s="1">
        <v>45970</v>
      </c>
      <c r="G862" s="1">
        <v>45970</v>
      </c>
      <c r="H862" t="s">
        <v>28</v>
      </c>
      <c r="I862">
        <v>1</v>
      </c>
      <c r="J862">
        <v>15</v>
      </c>
      <c r="K862">
        <v>306000</v>
      </c>
      <c r="L862">
        <v>100</v>
      </c>
      <c r="M862" t="s">
        <v>29</v>
      </c>
      <c r="N862" t="str">
        <f>_xlfn.XLOOKUP(B862,tblCustomers[customer_id],tblCustomers[region],"Missing")</f>
        <v>West</v>
      </c>
      <c r="O862" t="str">
        <f>_xlfn.XLOOKUP(C862,tblProducts[product_id],tblProducts[product_name],"Missing")</f>
        <v>Security Suite</v>
      </c>
      <c r="P862" t="str">
        <f>_xlfn.XLOOKUP(C862,tblProducts[product_id],tblProducts[category],"Missing")</f>
        <v>Security</v>
      </c>
      <c r="Q862" t="str">
        <f>_xlfn.XLOOKUP(D862,tblSalesReps[rep_id],tblSalesReps[rep_name],"Missing")</f>
        <v>Sales Rep 15</v>
      </c>
      <c r="R862" t="str">
        <f>_xlfn.XLOOKUP(D862,tblSalesReps[rep_id],tblSalesReps[region],"Missing")</f>
        <v>West</v>
      </c>
    </row>
    <row r="863" spans="1:18">
      <c r="A863" t="s">
        <v>1317</v>
      </c>
      <c r="B863" t="s">
        <v>1318</v>
      </c>
      <c r="C863" t="s">
        <v>21</v>
      </c>
      <c r="D863" t="s">
        <v>91</v>
      </c>
      <c r="E863" s="1">
        <v>45945</v>
      </c>
      <c r="F863" s="1">
        <v>46013</v>
      </c>
      <c r="G863" s="1">
        <v>46013</v>
      </c>
      <c r="H863" t="s">
        <v>17</v>
      </c>
      <c r="I863">
        <v>1</v>
      </c>
      <c r="J863">
        <v>15</v>
      </c>
      <c r="K863">
        <v>204000</v>
      </c>
      <c r="L863">
        <v>0</v>
      </c>
      <c r="M863" t="s">
        <v>33</v>
      </c>
      <c r="N863" t="str">
        <f>_xlfn.XLOOKUP(B863,tblCustomers[customer_id],tblCustomers[region],"Missing")</f>
        <v>South</v>
      </c>
      <c r="O863" t="str">
        <f>_xlfn.XLOOKUP(C863,tblProducts[product_id],tblProducts[product_name],"Missing")</f>
        <v>Workflow Automate</v>
      </c>
      <c r="P863" t="str">
        <f>_xlfn.XLOOKUP(C863,tblProducts[product_id],tblProducts[category],"Missing")</f>
        <v>Automation</v>
      </c>
      <c r="Q863" t="str">
        <f>_xlfn.XLOOKUP(D863,tblSalesReps[rep_id],tblSalesReps[rep_name],"Missing")</f>
        <v>Sales Rep 03</v>
      </c>
      <c r="R863" t="str">
        <f>_xlfn.XLOOKUP(D863,tblSalesReps[rep_id],tblSalesReps[region],"Missing")</f>
        <v>South</v>
      </c>
    </row>
    <row r="864" spans="1:18">
      <c r="A864" t="s">
        <v>1319</v>
      </c>
      <c r="B864" t="s">
        <v>167</v>
      </c>
      <c r="C864" t="s">
        <v>81</v>
      </c>
      <c r="D864" t="s">
        <v>59</v>
      </c>
      <c r="E864" s="1">
        <v>45994</v>
      </c>
      <c r="F864" s="1">
        <v>46014</v>
      </c>
      <c r="G864" s="1">
        <v>46014</v>
      </c>
      <c r="H864" t="s">
        <v>17</v>
      </c>
      <c r="I864">
        <v>2</v>
      </c>
      <c r="J864">
        <v>0</v>
      </c>
      <c r="K864">
        <v>600000</v>
      </c>
      <c r="L864">
        <v>0</v>
      </c>
      <c r="M864" t="s">
        <v>82</v>
      </c>
      <c r="N864" t="str">
        <f>_xlfn.XLOOKUP(B864,tblCustomers[customer_id],tblCustomers[region],"Missing")</f>
        <v>East</v>
      </c>
      <c r="O864" t="str">
        <f>_xlfn.XLOOKUP(C864,tblProducts[product_id],tblProducts[product_name],"Missing")</f>
        <v>Analytics Cloud</v>
      </c>
      <c r="P864" t="str">
        <f>_xlfn.XLOOKUP(C864,tblProducts[product_id],tblProducts[category],"Missing")</f>
        <v>Analytics</v>
      </c>
      <c r="Q864" t="str">
        <f>_xlfn.XLOOKUP(D864,tblSalesReps[rep_id],tblSalesReps[rep_name],"Missing")</f>
        <v>Sales Rep 19</v>
      </c>
      <c r="R864" t="str">
        <f>_xlfn.XLOOKUP(D864,tblSalesReps[rep_id],tblSalesReps[region],"Missing")</f>
        <v>East</v>
      </c>
    </row>
    <row r="865" spans="1:18">
      <c r="A865" t="s">
        <v>1320</v>
      </c>
      <c r="B865" t="s">
        <v>335</v>
      </c>
      <c r="C865" t="s">
        <v>15</v>
      </c>
      <c r="D865" t="s">
        <v>22</v>
      </c>
      <c r="E865" s="1">
        <v>45769</v>
      </c>
      <c r="F865" s="1">
        <v>45850</v>
      </c>
      <c r="G865" s="1"/>
      <c r="H865" t="s">
        <v>43</v>
      </c>
      <c r="I865">
        <v>1</v>
      </c>
      <c r="J865">
        <v>0</v>
      </c>
      <c r="K865">
        <v>420000</v>
      </c>
      <c r="L865">
        <v>60</v>
      </c>
      <c r="M865" t="s">
        <v>29</v>
      </c>
      <c r="N865" t="str">
        <f>_xlfn.XLOOKUP(B865,tblCustomers[customer_id],tblCustomers[region],"Missing")</f>
        <v>West</v>
      </c>
      <c r="O865" t="str">
        <f>_xlfn.XLOOKUP(C865,tblProducts[product_id],tblProducts[product_name],"Missing")</f>
        <v>CRM Enterprise</v>
      </c>
      <c r="P865" t="str">
        <f>_xlfn.XLOOKUP(C865,tblProducts[product_id],tblProducts[category],"Missing")</f>
        <v>CRM</v>
      </c>
      <c r="Q865" t="str">
        <f>_xlfn.XLOOKUP(D865,tblSalesReps[rep_id],tblSalesReps[rep_name],"Missing")</f>
        <v>Sales Rep 14</v>
      </c>
      <c r="R865" t="str">
        <f>_xlfn.XLOOKUP(D865,tblSalesReps[rep_id],tblSalesReps[region],"Missing")</f>
        <v>West</v>
      </c>
    </row>
    <row r="866" spans="1:18">
      <c r="A866" t="s">
        <v>1321</v>
      </c>
      <c r="B866" t="s">
        <v>243</v>
      </c>
      <c r="C866" t="s">
        <v>81</v>
      </c>
      <c r="D866" t="s">
        <v>16</v>
      </c>
      <c r="E866" s="1">
        <v>45994</v>
      </c>
      <c r="F866" s="1">
        <v>46010</v>
      </c>
      <c r="G866" s="1"/>
      <c r="H866" t="s">
        <v>43</v>
      </c>
      <c r="I866">
        <v>1</v>
      </c>
      <c r="J866">
        <v>5</v>
      </c>
      <c r="K866">
        <v>285000</v>
      </c>
      <c r="L866">
        <v>40</v>
      </c>
      <c r="M866" t="s">
        <v>29</v>
      </c>
      <c r="N866" t="str">
        <f>_xlfn.XLOOKUP(B866,tblCustomers[customer_id],tblCustomers[region],"Missing")</f>
        <v>North</v>
      </c>
      <c r="O866" t="str">
        <f>_xlfn.XLOOKUP(C866,tblProducts[product_id],tblProducts[product_name],"Missing")</f>
        <v>Analytics Cloud</v>
      </c>
      <c r="P866" t="str">
        <f>_xlfn.XLOOKUP(C866,tblProducts[product_id],tblProducts[category],"Missing")</f>
        <v>Analytics</v>
      </c>
      <c r="Q866" t="str">
        <f>_xlfn.XLOOKUP(D866,tblSalesReps[rep_id],tblSalesReps[rep_name],"Missing")</f>
        <v>Sales Rep 08</v>
      </c>
      <c r="R866" t="str">
        <f>_xlfn.XLOOKUP(D866,tblSalesReps[rep_id],tblSalesReps[region],"Missing")</f>
        <v>North</v>
      </c>
    </row>
    <row r="867" spans="1:18">
      <c r="A867" t="s">
        <v>1322</v>
      </c>
      <c r="B867" t="s">
        <v>104</v>
      </c>
      <c r="C867" t="s">
        <v>21</v>
      </c>
      <c r="D867" t="s">
        <v>40</v>
      </c>
      <c r="E867" s="1">
        <v>45871</v>
      </c>
      <c r="F867" s="1">
        <v>45937</v>
      </c>
      <c r="G867" s="1">
        <v>45937</v>
      </c>
      <c r="H867" t="s">
        <v>28</v>
      </c>
      <c r="I867">
        <v>2</v>
      </c>
      <c r="J867">
        <v>5</v>
      </c>
      <c r="K867">
        <v>456000</v>
      </c>
      <c r="L867">
        <v>100</v>
      </c>
      <c r="M867" t="s">
        <v>29</v>
      </c>
      <c r="N867" t="str">
        <f>_xlfn.XLOOKUP(B867,tblCustomers[customer_id],tblCustomers[region],"Missing")</f>
        <v>West</v>
      </c>
      <c r="O867" t="str">
        <f>_xlfn.XLOOKUP(C867,tblProducts[product_id],tblProducts[product_name],"Missing")</f>
        <v>Workflow Automate</v>
      </c>
      <c r="P867" t="str">
        <f>_xlfn.XLOOKUP(C867,tblProducts[product_id],tblProducts[category],"Missing")</f>
        <v>Automation</v>
      </c>
      <c r="Q867" t="str">
        <f>_xlfn.XLOOKUP(D867,tblSalesReps[rep_id],tblSalesReps[rep_name],"Missing")</f>
        <v>Sales Rep 13</v>
      </c>
      <c r="R867" t="str">
        <f>_xlfn.XLOOKUP(D867,tblSalesReps[rep_id],tblSalesReps[region],"Missing")</f>
        <v>West</v>
      </c>
    </row>
    <row r="868" spans="1:18">
      <c r="A868" t="s">
        <v>1323</v>
      </c>
      <c r="B868" t="s">
        <v>364</v>
      </c>
      <c r="C868" t="s">
        <v>15</v>
      </c>
      <c r="D868" t="s">
        <v>59</v>
      </c>
      <c r="E868" s="1">
        <v>45693</v>
      </c>
      <c r="F868" s="1">
        <v>45742</v>
      </c>
      <c r="G868" s="1">
        <v>45742</v>
      </c>
      <c r="H868" t="s">
        <v>28</v>
      </c>
      <c r="I868">
        <v>1</v>
      </c>
      <c r="J868">
        <v>20</v>
      </c>
      <c r="K868">
        <v>336000</v>
      </c>
      <c r="L868">
        <v>100</v>
      </c>
      <c r="M868" t="s">
        <v>29</v>
      </c>
      <c r="N868" t="str">
        <f>_xlfn.XLOOKUP(B868,tblCustomers[customer_id],tblCustomers[region],"Missing")</f>
        <v>East</v>
      </c>
      <c r="O868" t="str">
        <f>_xlfn.XLOOKUP(C868,tblProducts[product_id],tblProducts[product_name],"Missing")</f>
        <v>CRM Enterprise</v>
      </c>
      <c r="P868" t="str">
        <f>_xlfn.XLOOKUP(C868,tblProducts[product_id],tblProducts[category],"Missing")</f>
        <v>CRM</v>
      </c>
      <c r="Q868" t="str">
        <f>_xlfn.XLOOKUP(D868,tblSalesReps[rep_id],tblSalesReps[rep_name],"Missing")</f>
        <v>Sales Rep 19</v>
      </c>
      <c r="R868" t="str">
        <f>_xlfn.XLOOKUP(D868,tblSalesReps[rep_id],tblSalesReps[region],"Missing")</f>
        <v>East</v>
      </c>
    </row>
    <row r="869" spans="1:18">
      <c r="A869" t="s">
        <v>1324</v>
      </c>
      <c r="B869" t="s">
        <v>1268</v>
      </c>
      <c r="C869" t="s">
        <v>21</v>
      </c>
      <c r="D869" t="s">
        <v>59</v>
      </c>
      <c r="E869" s="1">
        <v>45685</v>
      </c>
      <c r="F869" s="1">
        <v>45714</v>
      </c>
      <c r="G869" s="1">
        <v>45714</v>
      </c>
      <c r="H869" t="s">
        <v>17</v>
      </c>
      <c r="I869">
        <v>1</v>
      </c>
      <c r="J869">
        <v>0</v>
      </c>
      <c r="K869">
        <v>240000</v>
      </c>
      <c r="L869">
        <v>0</v>
      </c>
      <c r="M869" t="s">
        <v>33</v>
      </c>
      <c r="N869" t="str">
        <f>_xlfn.XLOOKUP(B869,tblCustomers[customer_id],tblCustomers[region],"Missing")</f>
        <v>East</v>
      </c>
      <c r="O869" t="str">
        <f>_xlfn.XLOOKUP(C869,tblProducts[product_id],tblProducts[product_name],"Missing")</f>
        <v>Workflow Automate</v>
      </c>
      <c r="P869" t="str">
        <f>_xlfn.XLOOKUP(C869,tblProducts[product_id],tblProducts[category],"Missing")</f>
        <v>Automation</v>
      </c>
      <c r="Q869" t="str">
        <f>_xlfn.XLOOKUP(D869,tblSalesReps[rep_id],tblSalesReps[rep_name],"Missing")</f>
        <v>Sales Rep 19</v>
      </c>
      <c r="R869" t="str">
        <f>_xlfn.XLOOKUP(D869,tblSalesReps[rep_id],tblSalesReps[region],"Missing")</f>
        <v>East</v>
      </c>
    </row>
    <row r="870" spans="1:18">
      <c r="A870" t="s">
        <v>1325</v>
      </c>
      <c r="B870" t="s">
        <v>739</v>
      </c>
      <c r="C870" t="s">
        <v>26</v>
      </c>
      <c r="D870" t="s">
        <v>50</v>
      </c>
      <c r="E870" s="1">
        <v>45859</v>
      </c>
      <c r="F870" s="1">
        <v>45871</v>
      </c>
      <c r="G870" s="1"/>
      <c r="H870" t="s">
        <v>43</v>
      </c>
      <c r="I870">
        <v>1</v>
      </c>
      <c r="J870">
        <v>0</v>
      </c>
      <c r="K870">
        <v>360000</v>
      </c>
      <c r="L870">
        <v>60</v>
      </c>
      <c r="M870" t="s">
        <v>29</v>
      </c>
      <c r="N870" t="str">
        <f>_xlfn.XLOOKUP(B870,tblCustomers[customer_id],tblCustomers[region],"Missing")</f>
        <v>West</v>
      </c>
      <c r="O870" t="str">
        <f>_xlfn.XLOOKUP(C870,tblProducts[product_id],tblProducts[product_name],"Missing")</f>
        <v>Security Suite</v>
      </c>
      <c r="P870" t="str">
        <f>_xlfn.XLOOKUP(C870,tblProducts[product_id],tblProducts[category],"Missing")</f>
        <v>Security</v>
      </c>
      <c r="Q870" t="str">
        <f>_xlfn.XLOOKUP(D870,tblSalesReps[rep_id],tblSalesReps[rep_name],"Missing")</f>
        <v>Sales Rep 15</v>
      </c>
      <c r="R870" t="str">
        <f>_xlfn.XLOOKUP(D870,tblSalesReps[rep_id],tblSalesReps[region],"Missing")</f>
        <v>West</v>
      </c>
    </row>
    <row r="871" spans="1:18">
      <c r="A871" t="s">
        <v>1326</v>
      </c>
      <c r="B871" t="s">
        <v>819</v>
      </c>
      <c r="C871" t="s">
        <v>15</v>
      </c>
      <c r="D871" t="s">
        <v>50</v>
      </c>
      <c r="E871" s="1">
        <v>45705</v>
      </c>
      <c r="F871" s="1">
        <v>45731</v>
      </c>
      <c r="G871" s="1">
        <v>45731</v>
      </c>
      <c r="H871" t="s">
        <v>28</v>
      </c>
      <c r="I871">
        <v>3</v>
      </c>
      <c r="J871">
        <v>5</v>
      </c>
      <c r="K871">
        <v>1197000</v>
      </c>
      <c r="L871">
        <v>100</v>
      </c>
      <c r="M871" t="s">
        <v>29</v>
      </c>
      <c r="N871" t="str">
        <f>_xlfn.XLOOKUP(B871,tblCustomers[customer_id],tblCustomers[region],"Missing")</f>
        <v>West</v>
      </c>
      <c r="O871" t="str">
        <f>_xlfn.XLOOKUP(C871,tblProducts[product_id],tblProducts[product_name],"Missing")</f>
        <v>CRM Enterprise</v>
      </c>
      <c r="P871" t="str">
        <f>_xlfn.XLOOKUP(C871,tblProducts[product_id],tblProducts[category],"Missing")</f>
        <v>CRM</v>
      </c>
      <c r="Q871" t="str">
        <f>_xlfn.XLOOKUP(D871,tblSalesReps[rep_id],tblSalesReps[rep_name],"Missing")</f>
        <v>Sales Rep 15</v>
      </c>
      <c r="R871" t="str">
        <f>_xlfn.XLOOKUP(D871,tblSalesReps[rep_id],tblSalesReps[region],"Missing")</f>
        <v>West</v>
      </c>
    </row>
    <row r="872" spans="1:18">
      <c r="A872" t="s">
        <v>1327</v>
      </c>
      <c r="B872" t="s">
        <v>236</v>
      </c>
      <c r="C872" t="s">
        <v>26</v>
      </c>
      <c r="D872" t="s">
        <v>63</v>
      </c>
      <c r="E872" s="1">
        <v>45756</v>
      </c>
      <c r="F872" s="1">
        <v>45788</v>
      </c>
      <c r="G872" s="1">
        <v>45788</v>
      </c>
      <c r="H872" t="s">
        <v>28</v>
      </c>
      <c r="I872">
        <v>1</v>
      </c>
      <c r="J872">
        <v>20</v>
      </c>
      <c r="K872">
        <v>288000</v>
      </c>
      <c r="L872">
        <v>100</v>
      </c>
      <c r="M872" t="s">
        <v>29</v>
      </c>
      <c r="N872" t="str">
        <f>_xlfn.XLOOKUP(B872,tblCustomers[customer_id],tblCustomers[region],"Missing")</f>
        <v>South</v>
      </c>
      <c r="O872" t="str">
        <f>_xlfn.XLOOKUP(C872,tblProducts[product_id],tblProducts[product_name],"Missing")</f>
        <v>Security Suite</v>
      </c>
      <c r="P872" t="str">
        <f>_xlfn.XLOOKUP(C872,tblProducts[product_id],tblProducts[category],"Missing")</f>
        <v>Security</v>
      </c>
      <c r="Q872" t="str">
        <f>_xlfn.XLOOKUP(D872,tblSalesReps[rep_id],tblSalesReps[rep_name],"Missing")</f>
        <v>Sales Rep 05</v>
      </c>
      <c r="R872" t="str">
        <f>_xlfn.XLOOKUP(D872,tblSalesReps[rep_id],tblSalesReps[region],"Missing")</f>
        <v>South</v>
      </c>
    </row>
    <row r="873" spans="1:18">
      <c r="A873" t="s">
        <v>1328</v>
      </c>
      <c r="B873" t="s">
        <v>206</v>
      </c>
      <c r="C873" t="s">
        <v>62</v>
      </c>
      <c r="D873" t="s">
        <v>36</v>
      </c>
      <c r="E873" s="1">
        <v>45867</v>
      </c>
      <c r="F873" s="1">
        <v>45891</v>
      </c>
      <c r="G873" s="1">
        <v>45891</v>
      </c>
      <c r="H873" t="s">
        <v>17</v>
      </c>
      <c r="I873">
        <v>1</v>
      </c>
      <c r="J873">
        <v>0</v>
      </c>
      <c r="K873">
        <v>120000</v>
      </c>
      <c r="L873">
        <v>0</v>
      </c>
      <c r="M873" t="s">
        <v>23</v>
      </c>
      <c r="N873" t="str">
        <f>_xlfn.XLOOKUP(B873,tblCustomers[customer_id],tblCustomers[region],"Missing")</f>
        <v>North</v>
      </c>
      <c r="O873" t="str">
        <f>_xlfn.XLOOKUP(C873,tblProducts[product_id],tblProducts[product_name],"Missing")</f>
        <v>CRM Essentials</v>
      </c>
      <c r="P873" t="str">
        <f>_xlfn.XLOOKUP(C873,tblProducts[product_id],tblProducts[category],"Missing")</f>
        <v>CRM</v>
      </c>
      <c r="Q873" t="str">
        <f>_xlfn.XLOOKUP(D873,tblSalesReps[rep_id],tblSalesReps[rep_name],"Missing")</f>
        <v>Sales Rep 09</v>
      </c>
      <c r="R873" t="str">
        <f>_xlfn.XLOOKUP(D873,tblSalesReps[rep_id],tblSalesReps[region],"Missing")</f>
        <v>North</v>
      </c>
    </row>
    <row r="874" spans="1:18">
      <c r="A874" t="s">
        <v>1329</v>
      </c>
      <c r="B874" t="s">
        <v>325</v>
      </c>
      <c r="C874" t="s">
        <v>39</v>
      </c>
      <c r="D874" t="s">
        <v>46</v>
      </c>
      <c r="E874" s="1">
        <v>45886</v>
      </c>
      <c r="F874" s="1">
        <v>45936</v>
      </c>
      <c r="G874" s="1">
        <v>45936</v>
      </c>
      <c r="H874" t="s">
        <v>28</v>
      </c>
      <c r="I874">
        <v>3</v>
      </c>
      <c r="J874">
        <v>15</v>
      </c>
      <c r="K874">
        <v>459000</v>
      </c>
      <c r="L874">
        <v>100</v>
      </c>
      <c r="M874" t="s">
        <v>29</v>
      </c>
      <c r="N874" t="str">
        <f>_xlfn.XLOOKUP(B874,tblCustomers[customer_id],tblCustomers[region],"Missing")</f>
        <v>South</v>
      </c>
      <c r="O874" t="str">
        <f>_xlfn.XLOOKUP(C874,tblProducts[product_id],tblProducts[product_name],"Missing")</f>
        <v>Support Desk</v>
      </c>
      <c r="P874" t="str">
        <f>_xlfn.XLOOKUP(C874,tblProducts[product_id],tblProducts[category],"Missing")</f>
        <v>Service</v>
      </c>
      <c r="Q874" t="str">
        <f>_xlfn.XLOOKUP(D874,tblSalesReps[rep_id],tblSalesReps[rep_name],"Missing")</f>
        <v>Sales Rep 01</v>
      </c>
      <c r="R874" t="str">
        <f>_xlfn.XLOOKUP(D874,tblSalesReps[rep_id],tblSalesReps[region],"Missing")</f>
        <v>South</v>
      </c>
    </row>
    <row r="875" spans="1:18">
      <c r="A875" t="s">
        <v>1330</v>
      </c>
      <c r="B875" t="s">
        <v>353</v>
      </c>
      <c r="C875" t="s">
        <v>39</v>
      </c>
      <c r="D875" t="s">
        <v>27</v>
      </c>
      <c r="E875" s="1">
        <v>45996</v>
      </c>
      <c r="F875" s="1">
        <v>46041</v>
      </c>
      <c r="G875" s="1"/>
      <c r="H875" t="s">
        <v>43</v>
      </c>
      <c r="I875">
        <v>3</v>
      </c>
      <c r="J875">
        <v>0</v>
      </c>
      <c r="K875">
        <v>540000</v>
      </c>
      <c r="L875">
        <v>40</v>
      </c>
      <c r="M875" t="s">
        <v>29</v>
      </c>
      <c r="N875" t="str">
        <f>_xlfn.XLOOKUP(B875,tblCustomers[customer_id],tblCustomers[region],"Missing")</f>
        <v>North</v>
      </c>
      <c r="O875" t="str">
        <f>_xlfn.XLOOKUP(C875,tblProducts[product_id],tblProducts[product_name],"Missing")</f>
        <v>Support Desk</v>
      </c>
      <c r="P875" t="str">
        <f>_xlfn.XLOOKUP(C875,tblProducts[product_id],tblProducts[category],"Missing")</f>
        <v>Service</v>
      </c>
      <c r="Q875" t="str">
        <f>_xlfn.XLOOKUP(D875,tblSalesReps[rep_id],tblSalesReps[rep_name],"Missing")</f>
        <v>Sales Rep 06</v>
      </c>
      <c r="R875" t="str">
        <f>_xlfn.XLOOKUP(D875,tblSalesReps[rep_id],tblSalesReps[region],"Missing")</f>
        <v>North</v>
      </c>
    </row>
    <row r="876" spans="1:18">
      <c r="A876" t="s">
        <v>1331</v>
      </c>
      <c r="B876" t="s">
        <v>198</v>
      </c>
      <c r="C876" t="s">
        <v>62</v>
      </c>
      <c r="D876" t="s">
        <v>50</v>
      </c>
      <c r="E876" s="1">
        <v>45998</v>
      </c>
      <c r="F876" s="1">
        <v>46022</v>
      </c>
      <c r="G876" s="1">
        <v>46022</v>
      </c>
      <c r="H876" t="s">
        <v>28</v>
      </c>
      <c r="I876">
        <v>1</v>
      </c>
      <c r="J876">
        <v>20</v>
      </c>
      <c r="K876">
        <v>96000</v>
      </c>
      <c r="L876">
        <v>100</v>
      </c>
      <c r="M876" t="s">
        <v>29</v>
      </c>
      <c r="N876" t="str">
        <f>_xlfn.XLOOKUP(B876,tblCustomers[customer_id],tblCustomers[region],"Missing")</f>
        <v>West</v>
      </c>
      <c r="O876" t="str">
        <f>_xlfn.XLOOKUP(C876,tblProducts[product_id],tblProducts[product_name],"Missing")</f>
        <v>CRM Essentials</v>
      </c>
      <c r="P876" t="str">
        <f>_xlfn.XLOOKUP(C876,tblProducts[product_id],tblProducts[category],"Missing")</f>
        <v>CRM</v>
      </c>
      <c r="Q876" t="str">
        <f>_xlfn.XLOOKUP(D876,tblSalesReps[rep_id],tblSalesReps[rep_name],"Missing")</f>
        <v>Sales Rep 15</v>
      </c>
      <c r="R876" t="str">
        <f>_xlfn.XLOOKUP(D876,tblSalesReps[rep_id],tblSalesReps[region],"Missing")</f>
        <v>West</v>
      </c>
    </row>
    <row r="877" spans="1:18">
      <c r="A877" t="s">
        <v>1332</v>
      </c>
      <c r="B877" t="s">
        <v>1283</v>
      </c>
      <c r="C877" t="s">
        <v>15</v>
      </c>
      <c r="D877" t="s">
        <v>56</v>
      </c>
      <c r="E877" s="1">
        <v>45912</v>
      </c>
      <c r="F877" s="1">
        <v>45931</v>
      </c>
      <c r="G877" s="1"/>
      <c r="H877" t="s">
        <v>43</v>
      </c>
      <c r="I877">
        <v>1</v>
      </c>
      <c r="J877">
        <v>15</v>
      </c>
      <c r="K877">
        <v>357000</v>
      </c>
      <c r="L877">
        <v>20</v>
      </c>
      <c r="M877" t="s">
        <v>29</v>
      </c>
      <c r="N877" t="str">
        <f>_xlfn.XLOOKUP(B877,tblCustomers[customer_id],tblCustomers[region],"Missing")</f>
        <v>East</v>
      </c>
      <c r="O877" t="str">
        <f>_xlfn.XLOOKUP(C877,tblProducts[product_id],tblProducts[product_name],"Missing")</f>
        <v>CRM Enterprise</v>
      </c>
      <c r="P877" t="str">
        <f>_xlfn.XLOOKUP(C877,tblProducts[product_id],tblProducts[category],"Missing")</f>
        <v>CRM</v>
      </c>
      <c r="Q877" t="str">
        <f>_xlfn.XLOOKUP(D877,tblSalesReps[rep_id],tblSalesReps[rep_name],"Missing")</f>
        <v>Sales Rep 20</v>
      </c>
      <c r="R877" t="str">
        <f>_xlfn.XLOOKUP(D877,tblSalesReps[rep_id],tblSalesReps[region],"Missing")</f>
        <v>East</v>
      </c>
    </row>
    <row r="878" spans="1:18">
      <c r="A878" t="s">
        <v>1333</v>
      </c>
      <c r="B878" t="s">
        <v>183</v>
      </c>
      <c r="C878" t="s">
        <v>15</v>
      </c>
      <c r="D878" t="s">
        <v>126</v>
      </c>
      <c r="E878" s="1">
        <v>45671</v>
      </c>
      <c r="F878" s="1">
        <v>45687</v>
      </c>
      <c r="G878" s="1">
        <v>45687</v>
      </c>
      <c r="H878" t="s">
        <v>28</v>
      </c>
      <c r="I878">
        <v>1</v>
      </c>
      <c r="J878">
        <v>0</v>
      </c>
      <c r="K878">
        <v>420000</v>
      </c>
      <c r="L878">
        <v>100</v>
      </c>
      <c r="M878" t="s">
        <v>29</v>
      </c>
      <c r="N878" t="str">
        <f>_xlfn.XLOOKUP(B878,tblCustomers[customer_id],tblCustomers[region],"Missing")</f>
        <v>South</v>
      </c>
      <c r="O878" t="str">
        <f>_xlfn.XLOOKUP(C878,tblProducts[product_id],tblProducts[product_name],"Missing")</f>
        <v>CRM Enterprise</v>
      </c>
      <c r="P878" t="str">
        <f>_xlfn.XLOOKUP(C878,tblProducts[product_id],tblProducts[category],"Missing")</f>
        <v>CRM</v>
      </c>
      <c r="Q878" t="str">
        <f>_xlfn.XLOOKUP(D878,tblSalesReps[rep_id],tblSalesReps[rep_name],"Missing")</f>
        <v>Sales Rep 02</v>
      </c>
      <c r="R878" t="str">
        <f>_xlfn.XLOOKUP(D878,tblSalesReps[rep_id],tblSalesReps[region],"Missing")</f>
        <v>South</v>
      </c>
    </row>
    <row r="879" spans="1:18">
      <c r="A879" t="s">
        <v>1334</v>
      </c>
      <c r="B879" t="s">
        <v>211</v>
      </c>
      <c r="C879" t="s">
        <v>81</v>
      </c>
      <c r="D879" t="s">
        <v>46</v>
      </c>
      <c r="E879" s="1">
        <v>45878</v>
      </c>
      <c r="F879" s="1">
        <v>45960</v>
      </c>
      <c r="G879" s="1">
        <v>45960</v>
      </c>
      <c r="H879" t="s">
        <v>17</v>
      </c>
      <c r="I879">
        <v>1</v>
      </c>
      <c r="J879">
        <v>15</v>
      </c>
      <c r="K879">
        <v>255000</v>
      </c>
      <c r="L879">
        <v>0</v>
      </c>
      <c r="M879" t="s">
        <v>47</v>
      </c>
      <c r="N879" t="str">
        <f>_xlfn.XLOOKUP(B879,tblCustomers[customer_id],tblCustomers[region],"Missing")</f>
        <v>South</v>
      </c>
      <c r="O879" t="str">
        <f>_xlfn.XLOOKUP(C879,tblProducts[product_id],tblProducts[product_name],"Missing")</f>
        <v>Analytics Cloud</v>
      </c>
      <c r="P879" t="str">
        <f>_xlfn.XLOOKUP(C879,tblProducts[product_id],tblProducts[category],"Missing")</f>
        <v>Analytics</v>
      </c>
      <c r="Q879" t="str">
        <f>_xlfn.XLOOKUP(D879,tblSalesReps[rep_id],tblSalesReps[rep_name],"Missing")</f>
        <v>Sales Rep 01</v>
      </c>
      <c r="R879" t="str">
        <f>_xlfn.XLOOKUP(D879,tblSalesReps[rep_id],tblSalesReps[region],"Missing")</f>
        <v>South</v>
      </c>
    </row>
    <row r="880" spans="1:18">
      <c r="A880" t="s">
        <v>1335</v>
      </c>
      <c r="B880" t="s">
        <v>296</v>
      </c>
      <c r="C880" t="s">
        <v>26</v>
      </c>
      <c r="D880" t="s">
        <v>46</v>
      </c>
      <c r="E880" s="1">
        <v>45771</v>
      </c>
      <c r="F880" s="1">
        <v>45814</v>
      </c>
      <c r="G880" s="1">
        <v>45814</v>
      </c>
      <c r="H880" t="s">
        <v>17</v>
      </c>
      <c r="I880">
        <v>1</v>
      </c>
      <c r="J880">
        <v>5</v>
      </c>
      <c r="K880">
        <v>342000</v>
      </c>
      <c r="L880">
        <v>0</v>
      </c>
      <c r="M880" t="s">
        <v>23</v>
      </c>
      <c r="N880" t="str">
        <f>_xlfn.XLOOKUP(B880,tblCustomers[customer_id],tblCustomers[region],"Missing")</f>
        <v>South</v>
      </c>
      <c r="O880" t="str">
        <f>_xlfn.XLOOKUP(C880,tblProducts[product_id],tblProducts[product_name],"Missing")</f>
        <v>Security Suite</v>
      </c>
      <c r="P880" t="str">
        <f>_xlfn.XLOOKUP(C880,tblProducts[product_id],tblProducts[category],"Missing")</f>
        <v>Security</v>
      </c>
      <c r="Q880" t="str">
        <f>_xlfn.XLOOKUP(D880,tblSalesReps[rep_id],tblSalesReps[rep_name],"Missing")</f>
        <v>Sales Rep 01</v>
      </c>
      <c r="R880" t="str">
        <f>_xlfn.XLOOKUP(D880,tblSalesReps[rep_id],tblSalesReps[region],"Missing")</f>
        <v>South</v>
      </c>
    </row>
    <row r="881" spans="1:18">
      <c r="A881" t="s">
        <v>1336</v>
      </c>
      <c r="B881" t="s">
        <v>828</v>
      </c>
      <c r="C881" t="s">
        <v>21</v>
      </c>
      <c r="D881" t="s">
        <v>22</v>
      </c>
      <c r="E881" s="1">
        <v>45815</v>
      </c>
      <c r="F881" s="1">
        <v>45869</v>
      </c>
      <c r="G881" s="1">
        <v>45869</v>
      </c>
      <c r="H881" t="s">
        <v>17</v>
      </c>
      <c r="I881">
        <v>2</v>
      </c>
      <c r="J881">
        <v>20</v>
      </c>
      <c r="K881">
        <v>384000</v>
      </c>
      <c r="L881">
        <v>0</v>
      </c>
      <c r="M881" t="s">
        <v>18</v>
      </c>
      <c r="N881" t="str">
        <f>_xlfn.XLOOKUP(B881,tblCustomers[customer_id],tblCustomers[region],"Missing")</f>
        <v>West</v>
      </c>
      <c r="O881" t="str">
        <f>_xlfn.XLOOKUP(C881,tblProducts[product_id],tblProducts[product_name],"Missing")</f>
        <v>Workflow Automate</v>
      </c>
      <c r="P881" t="str">
        <f>_xlfn.XLOOKUP(C881,tblProducts[product_id],tblProducts[category],"Missing")</f>
        <v>Automation</v>
      </c>
      <c r="Q881" t="str">
        <f>_xlfn.XLOOKUP(D881,tblSalesReps[rep_id],tblSalesReps[rep_name],"Missing")</f>
        <v>Sales Rep 14</v>
      </c>
      <c r="R881" t="str">
        <f>_xlfn.XLOOKUP(D881,tblSalesReps[rep_id],tblSalesReps[region],"Missing")</f>
        <v>West</v>
      </c>
    </row>
    <row r="882" spans="1:18">
      <c r="A882" t="s">
        <v>1337</v>
      </c>
      <c r="B882" t="s">
        <v>487</v>
      </c>
      <c r="C882" t="s">
        <v>39</v>
      </c>
      <c r="D882" t="s">
        <v>70</v>
      </c>
      <c r="E882" s="1">
        <v>45718</v>
      </c>
      <c r="F882" s="1">
        <v>45790</v>
      </c>
      <c r="G882" s="1"/>
      <c r="H882" t="s">
        <v>43</v>
      </c>
      <c r="I882">
        <v>1</v>
      </c>
      <c r="J882">
        <v>0</v>
      </c>
      <c r="K882">
        <v>180000</v>
      </c>
      <c r="L882">
        <v>40</v>
      </c>
      <c r="M882" t="s">
        <v>29</v>
      </c>
      <c r="N882" t="str">
        <f>_xlfn.XLOOKUP(B882,tblCustomers[customer_id],tblCustomers[region],"Missing")</f>
        <v>West</v>
      </c>
      <c r="O882" t="str">
        <f>_xlfn.XLOOKUP(C882,tblProducts[product_id],tblProducts[product_name],"Missing")</f>
        <v>Support Desk</v>
      </c>
      <c r="P882" t="str">
        <f>_xlfn.XLOOKUP(C882,tblProducts[product_id],tblProducts[category],"Missing")</f>
        <v>Service</v>
      </c>
      <c r="Q882" t="str">
        <f>_xlfn.XLOOKUP(D882,tblSalesReps[rep_id],tblSalesReps[rep_name],"Missing")</f>
        <v>Sales Rep 11</v>
      </c>
      <c r="R882" t="str">
        <f>_xlfn.XLOOKUP(D882,tblSalesReps[rep_id],tblSalesReps[region],"Missing")</f>
        <v>West</v>
      </c>
    </row>
    <row r="883" spans="1:18">
      <c r="A883" t="s">
        <v>1338</v>
      </c>
      <c r="B883" t="s">
        <v>920</v>
      </c>
      <c r="C883" t="s">
        <v>62</v>
      </c>
      <c r="D883" t="s">
        <v>22</v>
      </c>
      <c r="E883" s="1">
        <v>45740</v>
      </c>
      <c r="F883" s="1">
        <v>45752</v>
      </c>
      <c r="G883" s="1">
        <v>45752</v>
      </c>
      <c r="H883" t="s">
        <v>17</v>
      </c>
      <c r="I883">
        <v>3</v>
      </c>
      <c r="J883">
        <v>0</v>
      </c>
      <c r="K883">
        <v>360000</v>
      </c>
      <c r="L883">
        <v>0</v>
      </c>
      <c r="M883" t="s">
        <v>18</v>
      </c>
      <c r="N883" t="str">
        <f>_xlfn.XLOOKUP(B883,tblCustomers[customer_id],tblCustomers[region],"Missing")</f>
        <v>West</v>
      </c>
      <c r="O883" t="str">
        <f>_xlfn.XLOOKUP(C883,tblProducts[product_id],tblProducts[product_name],"Missing")</f>
        <v>CRM Essentials</v>
      </c>
      <c r="P883" t="str">
        <f>_xlfn.XLOOKUP(C883,tblProducts[product_id],tblProducts[category],"Missing")</f>
        <v>CRM</v>
      </c>
      <c r="Q883" t="str">
        <f>_xlfn.XLOOKUP(D883,tblSalesReps[rep_id],tblSalesReps[rep_name],"Missing")</f>
        <v>Sales Rep 14</v>
      </c>
      <c r="R883" t="str">
        <f>_xlfn.XLOOKUP(D883,tblSalesReps[rep_id],tblSalesReps[region],"Missing")</f>
        <v>West</v>
      </c>
    </row>
    <row r="884" spans="1:18">
      <c r="A884" t="s">
        <v>1339</v>
      </c>
      <c r="B884" t="s">
        <v>241</v>
      </c>
      <c r="C884" t="s">
        <v>15</v>
      </c>
      <c r="D884" t="s">
        <v>53</v>
      </c>
      <c r="E884" s="1">
        <v>45894</v>
      </c>
      <c r="F884" s="1">
        <v>45943</v>
      </c>
      <c r="G884" s="1">
        <v>45943</v>
      </c>
      <c r="H884" t="s">
        <v>17</v>
      </c>
      <c r="I884">
        <v>1</v>
      </c>
      <c r="J884">
        <v>0</v>
      </c>
      <c r="K884">
        <v>420000</v>
      </c>
      <c r="L884">
        <v>0</v>
      </c>
      <c r="M884" t="s">
        <v>18</v>
      </c>
      <c r="N884" t="str">
        <f>_xlfn.XLOOKUP(B884,tblCustomers[customer_id],tblCustomers[region],"Missing")</f>
        <v>East</v>
      </c>
      <c r="O884" t="str">
        <f>_xlfn.XLOOKUP(C884,tblProducts[product_id],tblProducts[product_name],"Missing")</f>
        <v>CRM Enterprise</v>
      </c>
      <c r="P884" t="str">
        <f>_xlfn.XLOOKUP(C884,tblProducts[product_id],tblProducts[category],"Missing")</f>
        <v>CRM</v>
      </c>
      <c r="Q884" t="str">
        <f>_xlfn.XLOOKUP(D884,tblSalesReps[rep_id],tblSalesReps[rep_name],"Missing")</f>
        <v>Sales Rep 16</v>
      </c>
      <c r="R884" t="str">
        <f>_xlfn.XLOOKUP(D884,tblSalesReps[rep_id],tblSalesReps[region],"Missing")</f>
        <v>East</v>
      </c>
    </row>
    <row r="885" spans="1:18">
      <c r="A885" t="s">
        <v>1340</v>
      </c>
      <c r="B885" t="s">
        <v>1341</v>
      </c>
      <c r="C885" t="s">
        <v>21</v>
      </c>
      <c r="D885" t="s">
        <v>50</v>
      </c>
      <c r="E885" s="1">
        <v>45928</v>
      </c>
      <c r="F885" s="1">
        <v>45992</v>
      </c>
      <c r="G885" s="1">
        <v>45992</v>
      </c>
      <c r="H885" t="s">
        <v>17</v>
      </c>
      <c r="I885">
        <v>2</v>
      </c>
      <c r="J885">
        <v>15</v>
      </c>
      <c r="K885">
        <v>408000</v>
      </c>
      <c r="L885">
        <v>0</v>
      </c>
      <c r="M885" t="s">
        <v>82</v>
      </c>
      <c r="N885" t="str">
        <f>_xlfn.XLOOKUP(B885,tblCustomers[customer_id],tblCustomers[region],"Missing")</f>
        <v>West</v>
      </c>
      <c r="O885" t="str">
        <f>_xlfn.XLOOKUP(C885,tblProducts[product_id],tblProducts[product_name],"Missing")</f>
        <v>Workflow Automate</v>
      </c>
      <c r="P885" t="str">
        <f>_xlfn.XLOOKUP(C885,tblProducts[product_id],tblProducts[category],"Missing")</f>
        <v>Automation</v>
      </c>
      <c r="Q885" t="str">
        <f>_xlfn.XLOOKUP(D885,tblSalesReps[rep_id],tblSalesReps[rep_name],"Missing")</f>
        <v>Sales Rep 15</v>
      </c>
      <c r="R885" t="str">
        <f>_xlfn.XLOOKUP(D885,tblSalesReps[rep_id],tblSalesReps[region],"Missing")</f>
        <v>West</v>
      </c>
    </row>
    <row r="886" spans="1:18">
      <c r="A886" t="s">
        <v>1342</v>
      </c>
      <c r="B886" t="s">
        <v>672</v>
      </c>
      <c r="C886" t="s">
        <v>15</v>
      </c>
      <c r="D886" t="s">
        <v>50</v>
      </c>
      <c r="E886" s="1">
        <v>45864</v>
      </c>
      <c r="F886" s="1">
        <v>45927</v>
      </c>
      <c r="G886" s="1">
        <v>45927</v>
      </c>
      <c r="H886" t="s">
        <v>28</v>
      </c>
      <c r="I886">
        <v>1</v>
      </c>
      <c r="J886">
        <v>15</v>
      </c>
      <c r="K886">
        <v>357000</v>
      </c>
      <c r="L886">
        <v>100</v>
      </c>
      <c r="M886" t="s">
        <v>29</v>
      </c>
      <c r="N886" t="str">
        <f>_xlfn.XLOOKUP(B886,tblCustomers[customer_id],tblCustomers[region],"Missing")</f>
        <v>West</v>
      </c>
      <c r="O886" t="str">
        <f>_xlfn.XLOOKUP(C886,tblProducts[product_id],tblProducts[product_name],"Missing")</f>
        <v>CRM Enterprise</v>
      </c>
      <c r="P886" t="str">
        <f>_xlfn.XLOOKUP(C886,tblProducts[product_id],tblProducts[category],"Missing")</f>
        <v>CRM</v>
      </c>
      <c r="Q886" t="str">
        <f>_xlfn.XLOOKUP(D886,tblSalesReps[rep_id],tblSalesReps[rep_name],"Missing")</f>
        <v>Sales Rep 15</v>
      </c>
      <c r="R886" t="str">
        <f>_xlfn.XLOOKUP(D886,tblSalesReps[rep_id],tblSalesReps[region],"Missing")</f>
        <v>West</v>
      </c>
    </row>
    <row r="887" spans="1:18">
      <c r="A887" t="s">
        <v>1343</v>
      </c>
      <c r="B887" t="s">
        <v>367</v>
      </c>
      <c r="C887" t="s">
        <v>21</v>
      </c>
      <c r="D887" t="s">
        <v>152</v>
      </c>
      <c r="E887" s="1">
        <v>45978</v>
      </c>
      <c r="F887" s="1">
        <v>45993</v>
      </c>
      <c r="G887" s="1">
        <v>45993</v>
      </c>
      <c r="H887" t="s">
        <v>17</v>
      </c>
      <c r="I887">
        <v>1</v>
      </c>
      <c r="J887">
        <v>0</v>
      </c>
      <c r="K887">
        <v>240000</v>
      </c>
      <c r="L887">
        <v>0</v>
      </c>
      <c r="M887" t="s">
        <v>33</v>
      </c>
      <c r="N887" t="str">
        <f>_xlfn.XLOOKUP(B887,tblCustomers[customer_id],tblCustomers[region],"Missing")</f>
        <v>East</v>
      </c>
      <c r="O887" t="str">
        <f>_xlfn.XLOOKUP(C887,tblProducts[product_id],tblProducts[product_name],"Missing")</f>
        <v>Workflow Automate</v>
      </c>
      <c r="P887" t="str">
        <f>_xlfn.XLOOKUP(C887,tblProducts[product_id],tblProducts[category],"Missing")</f>
        <v>Automation</v>
      </c>
      <c r="Q887" t="str">
        <f>_xlfn.XLOOKUP(D887,tblSalesReps[rep_id],tblSalesReps[rep_name],"Missing")</f>
        <v>Sales Rep 18</v>
      </c>
      <c r="R887" t="str">
        <f>_xlfn.XLOOKUP(D887,tblSalesReps[rep_id],tblSalesReps[region],"Missing")</f>
        <v>East</v>
      </c>
    </row>
    <row r="888" spans="1:18">
      <c r="A888" t="s">
        <v>1344</v>
      </c>
      <c r="B888" t="s">
        <v>905</v>
      </c>
      <c r="C888" t="s">
        <v>15</v>
      </c>
      <c r="D888" t="s">
        <v>46</v>
      </c>
      <c r="E888" s="1">
        <v>45820</v>
      </c>
      <c r="F888" s="1">
        <v>45832</v>
      </c>
      <c r="G888" s="1"/>
      <c r="H888" t="s">
        <v>43</v>
      </c>
      <c r="I888">
        <v>1</v>
      </c>
      <c r="J888">
        <v>20</v>
      </c>
      <c r="K888">
        <v>336000</v>
      </c>
      <c r="L888">
        <v>20</v>
      </c>
      <c r="M888" t="s">
        <v>29</v>
      </c>
      <c r="N888" t="str">
        <f>_xlfn.XLOOKUP(B888,tblCustomers[customer_id],tblCustomers[region],"Missing")</f>
        <v>South</v>
      </c>
      <c r="O888" t="str">
        <f>_xlfn.XLOOKUP(C888,tblProducts[product_id],tblProducts[product_name],"Missing")</f>
        <v>CRM Enterprise</v>
      </c>
      <c r="P888" t="str">
        <f>_xlfn.XLOOKUP(C888,tblProducts[product_id],tblProducts[category],"Missing")</f>
        <v>CRM</v>
      </c>
      <c r="Q888" t="str">
        <f>_xlfn.XLOOKUP(D888,tblSalesReps[rep_id],tblSalesReps[rep_name],"Missing")</f>
        <v>Sales Rep 01</v>
      </c>
      <c r="R888" t="str">
        <f>_xlfn.XLOOKUP(D888,tblSalesReps[rep_id],tblSalesReps[region],"Missing")</f>
        <v>South</v>
      </c>
    </row>
    <row r="889" spans="1:18">
      <c r="A889" t="s">
        <v>1345</v>
      </c>
      <c r="B889" t="s">
        <v>304</v>
      </c>
      <c r="C889" t="s">
        <v>81</v>
      </c>
      <c r="D889" t="s">
        <v>27</v>
      </c>
      <c r="E889" s="1">
        <v>45870</v>
      </c>
      <c r="F889" s="1">
        <v>45948</v>
      </c>
      <c r="G889" s="1">
        <v>45948</v>
      </c>
      <c r="H889" t="s">
        <v>17</v>
      </c>
      <c r="I889">
        <v>1</v>
      </c>
      <c r="J889">
        <v>0</v>
      </c>
      <c r="K889">
        <v>300000</v>
      </c>
      <c r="L889">
        <v>0</v>
      </c>
      <c r="M889" t="s">
        <v>82</v>
      </c>
      <c r="N889" t="str">
        <f>_xlfn.XLOOKUP(B889,tblCustomers[customer_id],tblCustomers[region],"Missing")</f>
        <v>North</v>
      </c>
      <c r="O889" t="str">
        <f>_xlfn.XLOOKUP(C889,tblProducts[product_id],tblProducts[product_name],"Missing")</f>
        <v>Analytics Cloud</v>
      </c>
      <c r="P889" t="str">
        <f>_xlfn.XLOOKUP(C889,tblProducts[product_id],tblProducts[category],"Missing")</f>
        <v>Analytics</v>
      </c>
      <c r="Q889" t="str">
        <f>_xlfn.XLOOKUP(D889,tblSalesReps[rep_id],tblSalesReps[rep_name],"Missing")</f>
        <v>Sales Rep 06</v>
      </c>
      <c r="R889" t="str">
        <f>_xlfn.XLOOKUP(D889,tblSalesReps[rep_id],tblSalesReps[region],"Missing")</f>
        <v>North</v>
      </c>
    </row>
    <row r="890" spans="1:18">
      <c r="A890" t="s">
        <v>1346</v>
      </c>
      <c r="B890" t="s">
        <v>435</v>
      </c>
      <c r="C890" t="s">
        <v>39</v>
      </c>
      <c r="D890" t="s">
        <v>91</v>
      </c>
      <c r="E890" s="1">
        <v>45785</v>
      </c>
      <c r="F890" s="1">
        <v>45814</v>
      </c>
      <c r="G890" s="1">
        <v>45814</v>
      </c>
      <c r="H890" t="s">
        <v>28</v>
      </c>
      <c r="I890">
        <v>1</v>
      </c>
      <c r="J890">
        <v>15</v>
      </c>
      <c r="K890">
        <v>153000</v>
      </c>
      <c r="L890">
        <v>100</v>
      </c>
      <c r="M890" t="s">
        <v>29</v>
      </c>
      <c r="N890" t="str">
        <f>_xlfn.XLOOKUP(B890,tblCustomers[customer_id],tblCustomers[region],"Missing")</f>
        <v>South</v>
      </c>
      <c r="O890" t="str">
        <f>_xlfn.XLOOKUP(C890,tblProducts[product_id],tblProducts[product_name],"Missing")</f>
        <v>Support Desk</v>
      </c>
      <c r="P890" t="str">
        <f>_xlfn.XLOOKUP(C890,tblProducts[product_id],tblProducts[category],"Missing")</f>
        <v>Service</v>
      </c>
      <c r="Q890" t="str">
        <f>_xlfn.XLOOKUP(D890,tblSalesReps[rep_id],tblSalesReps[rep_name],"Missing")</f>
        <v>Sales Rep 03</v>
      </c>
      <c r="R890" t="str">
        <f>_xlfn.XLOOKUP(D890,tblSalesReps[rep_id],tblSalesReps[region],"Missing")</f>
        <v>South</v>
      </c>
    </row>
    <row r="891" spans="1:18">
      <c r="A891" t="s">
        <v>1347</v>
      </c>
      <c r="B891" t="s">
        <v>264</v>
      </c>
      <c r="C891" t="s">
        <v>81</v>
      </c>
      <c r="D891" t="s">
        <v>46</v>
      </c>
      <c r="E891" s="1">
        <v>45692</v>
      </c>
      <c r="F891" s="1">
        <v>45732</v>
      </c>
      <c r="G891" s="1">
        <v>45732</v>
      </c>
      <c r="H891" t="s">
        <v>17</v>
      </c>
      <c r="I891">
        <v>1</v>
      </c>
      <c r="J891">
        <v>15</v>
      </c>
      <c r="K891">
        <v>255000</v>
      </c>
      <c r="L891">
        <v>0</v>
      </c>
      <c r="M891" t="s">
        <v>23</v>
      </c>
      <c r="N891" t="str">
        <f>_xlfn.XLOOKUP(B891,tblCustomers[customer_id],tblCustomers[region],"Missing")</f>
        <v>South</v>
      </c>
      <c r="O891" t="str">
        <f>_xlfn.XLOOKUP(C891,tblProducts[product_id],tblProducts[product_name],"Missing")</f>
        <v>Analytics Cloud</v>
      </c>
      <c r="P891" t="str">
        <f>_xlfn.XLOOKUP(C891,tblProducts[product_id],tblProducts[category],"Missing")</f>
        <v>Analytics</v>
      </c>
      <c r="Q891" t="str">
        <f>_xlfn.XLOOKUP(D891,tblSalesReps[rep_id],tblSalesReps[rep_name],"Missing")</f>
        <v>Sales Rep 01</v>
      </c>
      <c r="R891" t="str">
        <f>_xlfn.XLOOKUP(D891,tblSalesReps[rep_id],tblSalesReps[region],"Missing")</f>
        <v>South</v>
      </c>
    </row>
    <row r="892" spans="1:18">
      <c r="A892" t="s">
        <v>1348</v>
      </c>
      <c r="B892" t="s">
        <v>1349</v>
      </c>
      <c r="C892" t="s">
        <v>15</v>
      </c>
      <c r="D892" t="s">
        <v>27</v>
      </c>
      <c r="E892" s="1">
        <v>45980</v>
      </c>
      <c r="F892" s="1">
        <v>46020</v>
      </c>
      <c r="G892" s="1"/>
      <c r="H892" t="s">
        <v>43</v>
      </c>
      <c r="I892">
        <v>1</v>
      </c>
      <c r="J892">
        <v>20</v>
      </c>
      <c r="K892">
        <v>336000</v>
      </c>
      <c r="L892">
        <v>20</v>
      </c>
      <c r="M892" t="s">
        <v>29</v>
      </c>
      <c r="N892" t="str">
        <f>_xlfn.XLOOKUP(B892,tblCustomers[customer_id],tblCustomers[region],"Missing")</f>
        <v>North</v>
      </c>
      <c r="O892" t="str">
        <f>_xlfn.XLOOKUP(C892,tblProducts[product_id],tblProducts[product_name],"Missing")</f>
        <v>CRM Enterprise</v>
      </c>
      <c r="P892" t="str">
        <f>_xlfn.XLOOKUP(C892,tblProducts[product_id],tblProducts[category],"Missing")</f>
        <v>CRM</v>
      </c>
      <c r="Q892" t="str">
        <f>_xlfn.XLOOKUP(D892,tblSalesReps[rep_id],tblSalesReps[rep_name],"Missing")</f>
        <v>Sales Rep 06</v>
      </c>
      <c r="R892" t="str">
        <f>_xlfn.XLOOKUP(D892,tblSalesReps[rep_id],tblSalesReps[region],"Missing")</f>
        <v>North</v>
      </c>
    </row>
    <row r="893" spans="1:18">
      <c r="A893" t="s">
        <v>1350</v>
      </c>
      <c r="B893" t="s">
        <v>786</v>
      </c>
      <c r="C893" t="s">
        <v>62</v>
      </c>
      <c r="D893" t="s">
        <v>70</v>
      </c>
      <c r="E893" s="1">
        <v>45885</v>
      </c>
      <c r="F893" s="1">
        <v>45960</v>
      </c>
      <c r="G893" s="1"/>
      <c r="H893" t="s">
        <v>43</v>
      </c>
      <c r="I893">
        <v>3</v>
      </c>
      <c r="J893">
        <v>20</v>
      </c>
      <c r="K893">
        <v>288000</v>
      </c>
      <c r="L893">
        <v>60</v>
      </c>
      <c r="M893" t="s">
        <v>29</v>
      </c>
      <c r="N893" t="str">
        <f>_xlfn.XLOOKUP(B893,tblCustomers[customer_id],tblCustomers[region],"Missing")</f>
        <v>West</v>
      </c>
      <c r="O893" t="str">
        <f>_xlfn.XLOOKUP(C893,tblProducts[product_id],tblProducts[product_name],"Missing")</f>
        <v>CRM Essentials</v>
      </c>
      <c r="P893" t="str">
        <f>_xlfn.XLOOKUP(C893,tblProducts[product_id],tblProducts[category],"Missing")</f>
        <v>CRM</v>
      </c>
      <c r="Q893" t="str">
        <f>_xlfn.XLOOKUP(D893,tblSalesReps[rep_id],tblSalesReps[rep_name],"Missing")</f>
        <v>Sales Rep 11</v>
      </c>
      <c r="R893" t="str">
        <f>_xlfn.XLOOKUP(D893,tblSalesReps[rep_id],tblSalesReps[region],"Missing")</f>
        <v>West</v>
      </c>
    </row>
    <row r="894" spans="1:18">
      <c r="A894" t="s">
        <v>1351</v>
      </c>
      <c r="B894" t="s">
        <v>156</v>
      </c>
      <c r="C894" t="s">
        <v>15</v>
      </c>
      <c r="D894" t="s">
        <v>27</v>
      </c>
      <c r="E894" s="1">
        <v>45889</v>
      </c>
      <c r="F894" s="1">
        <v>45941</v>
      </c>
      <c r="G894" s="1"/>
      <c r="H894" t="s">
        <v>43</v>
      </c>
      <c r="I894">
        <v>3</v>
      </c>
      <c r="J894">
        <v>20</v>
      </c>
      <c r="K894">
        <v>1008000</v>
      </c>
      <c r="L894">
        <v>40</v>
      </c>
      <c r="M894" t="s">
        <v>29</v>
      </c>
      <c r="N894" t="str">
        <f>_xlfn.XLOOKUP(B894,tblCustomers[customer_id],tblCustomers[region],"Missing")</f>
        <v>North</v>
      </c>
      <c r="O894" t="str">
        <f>_xlfn.XLOOKUP(C894,tblProducts[product_id],tblProducts[product_name],"Missing")</f>
        <v>CRM Enterprise</v>
      </c>
      <c r="P894" t="str">
        <f>_xlfn.XLOOKUP(C894,tblProducts[product_id],tblProducts[category],"Missing")</f>
        <v>CRM</v>
      </c>
      <c r="Q894" t="str">
        <f>_xlfn.XLOOKUP(D894,tblSalesReps[rep_id],tblSalesReps[rep_name],"Missing")</f>
        <v>Sales Rep 06</v>
      </c>
      <c r="R894" t="str">
        <f>_xlfn.XLOOKUP(D894,tblSalesReps[rep_id],tblSalesReps[region],"Missing")</f>
        <v>North</v>
      </c>
    </row>
    <row r="895" spans="1:18">
      <c r="A895" t="s">
        <v>1352</v>
      </c>
      <c r="B895" t="s">
        <v>1092</v>
      </c>
      <c r="C895" t="s">
        <v>62</v>
      </c>
      <c r="D895" t="s">
        <v>168</v>
      </c>
      <c r="E895" s="1">
        <v>45754</v>
      </c>
      <c r="F895" s="1">
        <v>45771</v>
      </c>
      <c r="G895" s="1">
        <v>45771</v>
      </c>
      <c r="H895" t="s">
        <v>17</v>
      </c>
      <c r="I895">
        <v>1</v>
      </c>
      <c r="J895">
        <v>20</v>
      </c>
      <c r="K895">
        <v>96000</v>
      </c>
      <c r="L895">
        <v>0</v>
      </c>
      <c r="M895" t="s">
        <v>23</v>
      </c>
      <c r="N895" t="str">
        <f>_xlfn.XLOOKUP(B895,tblCustomers[customer_id],tblCustomers[region],"Missing")</f>
        <v>East</v>
      </c>
      <c r="O895" t="str">
        <f>_xlfn.XLOOKUP(C895,tblProducts[product_id],tblProducts[product_name],"Missing")</f>
        <v>CRM Essentials</v>
      </c>
      <c r="P895" t="str">
        <f>_xlfn.XLOOKUP(C895,tblProducts[product_id],tblProducts[category],"Missing")</f>
        <v>CRM</v>
      </c>
      <c r="Q895" t="str">
        <f>_xlfn.XLOOKUP(D895,tblSalesReps[rep_id],tblSalesReps[rep_name],"Missing")</f>
        <v>Sales Rep 17</v>
      </c>
      <c r="R895" t="str">
        <f>_xlfn.XLOOKUP(D895,tblSalesReps[rep_id],tblSalesReps[region],"Missing")</f>
        <v>East</v>
      </c>
    </row>
    <row r="896" spans="1:18">
      <c r="A896" t="s">
        <v>1353</v>
      </c>
      <c r="B896" t="s">
        <v>672</v>
      </c>
      <c r="C896" t="s">
        <v>81</v>
      </c>
      <c r="D896" t="s">
        <v>50</v>
      </c>
      <c r="E896" s="1">
        <v>45916</v>
      </c>
      <c r="F896" s="1">
        <v>45973</v>
      </c>
      <c r="G896" s="1">
        <v>45973</v>
      </c>
      <c r="H896" t="s">
        <v>28</v>
      </c>
      <c r="I896">
        <v>3</v>
      </c>
      <c r="J896">
        <v>15</v>
      </c>
      <c r="K896">
        <v>765000</v>
      </c>
      <c r="L896">
        <v>100</v>
      </c>
      <c r="M896" t="s">
        <v>29</v>
      </c>
      <c r="N896" t="str">
        <f>_xlfn.XLOOKUP(B896,tblCustomers[customer_id],tblCustomers[region],"Missing")</f>
        <v>West</v>
      </c>
      <c r="O896" t="str">
        <f>_xlfn.XLOOKUP(C896,tblProducts[product_id],tblProducts[product_name],"Missing")</f>
        <v>Analytics Cloud</v>
      </c>
      <c r="P896" t="str">
        <f>_xlfn.XLOOKUP(C896,tblProducts[product_id],tblProducts[category],"Missing")</f>
        <v>Analytics</v>
      </c>
      <c r="Q896" t="str">
        <f>_xlfn.XLOOKUP(D896,tblSalesReps[rep_id],tblSalesReps[rep_name],"Missing")</f>
        <v>Sales Rep 15</v>
      </c>
      <c r="R896" t="str">
        <f>_xlfn.XLOOKUP(D896,tblSalesReps[rep_id],tblSalesReps[region],"Missing")</f>
        <v>West</v>
      </c>
    </row>
    <row r="897" spans="1:18">
      <c r="A897" t="s">
        <v>1354</v>
      </c>
      <c r="B897" t="s">
        <v>918</v>
      </c>
      <c r="C897" t="s">
        <v>62</v>
      </c>
      <c r="D897" t="s">
        <v>32</v>
      </c>
      <c r="E897" s="1">
        <v>45940</v>
      </c>
      <c r="F897" s="1">
        <v>45969</v>
      </c>
      <c r="G897" s="1">
        <v>45969</v>
      </c>
      <c r="H897" t="s">
        <v>17</v>
      </c>
      <c r="I897">
        <v>2</v>
      </c>
      <c r="J897">
        <v>10</v>
      </c>
      <c r="K897">
        <v>216000</v>
      </c>
      <c r="L897">
        <v>0</v>
      </c>
      <c r="M897" t="s">
        <v>18</v>
      </c>
      <c r="N897" t="str">
        <f>_xlfn.XLOOKUP(B897,tblCustomers[customer_id],tblCustomers[region],"Missing")</f>
        <v>South</v>
      </c>
      <c r="O897" t="str">
        <f>_xlfn.XLOOKUP(C897,tblProducts[product_id],tblProducts[product_name],"Missing")</f>
        <v>CRM Essentials</v>
      </c>
      <c r="P897" t="str">
        <f>_xlfn.XLOOKUP(C897,tblProducts[product_id],tblProducts[category],"Missing")</f>
        <v>CRM</v>
      </c>
      <c r="Q897" t="str">
        <f>_xlfn.XLOOKUP(D897,tblSalesReps[rep_id],tblSalesReps[rep_name],"Missing")</f>
        <v>Sales Rep 04</v>
      </c>
      <c r="R897" t="str">
        <f>_xlfn.XLOOKUP(D897,tblSalesReps[rep_id],tblSalesReps[region],"Missing")</f>
        <v>South</v>
      </c>
    </row>
    <row r="898" spans="1:18">
      <c r="A898" t="s">
        <v>1355</v>
      </c>
      <c r="B898" t="s">
        <v>481</v>
      </c>
      <c r="C898" t="s">
        <v>81</v>
      </c>
      <c r="D898" t="s">
        <v>63</v>
      </c>
      <c r="E898" s="1">
        <v>45785</v>
      </c>
      <c r="F898" s="1">
        <v>45870</v>
      </c>
      <c r="G898" s="1">
        <v>45870</v>
      </c>
      <c r="H898" t="s">
        <v>17</v>
      </c>
      <c r="I898">
        <v>2</v>
      </c>
      <c r="J898">
        <v>0</v>
      </c>
      <c r="K898">
        <v>600000</v>
      </c>
      <c r="L898">
        <v>0</v>
      </c>
      <c r="M898" t="s">
        <v>82</v>
      </c>
      <c r="N898" t="str">
        <f>_xlfn.XLOOKUP(B898,tblCustomers[customer_id],tblCustomers[region],"Missing")</f>
        <v>South</v>
      </c>
      <c r="O898" t="str">
        <f>_xlfn.XLOOKUP(C898,tblProducts[product_id],tblProducts[product_name],"Missing")</f>
        <v>Analytics Cloud</v>
      </c>
      <c r="P898" t="str">
        <f>_xlfn.XLOOKUP(C898,tblProducts[product_id],tblProducts[category],"Missing")</f>
        <v>Analytics</v>
      </c>
      <c r="Q898" t="str">
        <f>_xlfn.XLOOKUP(D898,tblSalesReps[rep_id],tblSalesReps[rep_name],"Missing")</f>
        <v>Sales Rep 05</v>
      </c>
      <c r="R898" t="str">
        <f>_xlfn.XLOOKUP(D898,tblSalesReps[rep_id],tblSalesReps[region],"Missing")</f>
        <v>South</v>
      </c>
    </row>
    <row r="899" spans="1:18">
      <c r="A899" t="s">
        <v>1356</v>
      </c>
      <c r="B899" t="s">
        <v>497</v>
      </c>
      <c r="C899" t="s">
        <v>15</v>
      </c>
      <c r="D899" t="s">
        <v>32</v>
      </c>
      <c r="E899" s="1">
        <v>45798</v>
      </c>
      <c r="F899" s="1">
        <v>45821</v>
      </c>
      <c r="G899" s="1">
        <v>45821</v>
      </c>
      <c r="H899" t="s">
        <v>17</v>
      </c>
      <c r="I899">
        <v>1</v>
      </c>
      <c r="J899">
        <v>20</v>
      </c>
      <c r="K899">
        <v>336000</v>
      </c>
      <c r="L899">
        <v>0</v>
      </c>
      <c r="M899" t="s">
        <v>18</v>
      </c>
      <c r="N899" t="str">
        <f>_xlfn.XLOOKUP(B899,tblCustomers[customer_id],tblCustomers[region],"Missing")</f>
        <v>South</v>
      </c>
      <c r="O899" t="str">
        <f>_xlfn.XLOOKUP(C899,tblProducts[product_id],tblProducts[product_name],"Missing")</f>
        <v>CRM Enterprise</v>
      </c>
      <c r="P899" t="str">
        <f>_xlfn.XLOOKUP(C899,tblProducts[product_id],tblProducts[category],"Missing")</f>
        <v>CRM</v>
      </c>
      <c r="Q899" t="str">
        <f>_xlfn.XLOOKUP(D899,tblSalesReps[rep_id],tblSalesReps[rep_name],"Missing")</f>
        <v>Sales Rep 04</v>
      </c>
      <c r="R899" t="str">
        <f>_xlfn.XLOOKUP(D899,tblSalesReps[rep_id],tblSalesReps[region],"Missing")</f>
        <v>South</v>
      </c>
    </row>
    <row r="900" spans="1:18">
      <c r="A900" t="s">
        <v>1357</v>
      </c>
      <c r="B900" t="s">
        <v>493</v>
      </c>
      <c r="C900" t="s">
        <v>81</v>
      </c>
      <c r="D900" t="s">
        <v>70</v>
      </c>
      <c r="E900" s="1">
        <v>45977</v>
      </c>
      <c r="F900" s="1">
        <v>45995</v>
      </c>
      <c r="G900" s="1"/>
      <c r="H900" t="s">
        <v>43</v>
      </c>
      <c r="I900">
        <v>1</v>
      </c>
      <c r="J900">
        <v>0</v>
      </c>
      <c r="K900">
        <v>300000</v>
      </c>
      <c r="L900">
        <v>40</v>
      </c>
      <c r="M900" t="s">
        <v>29</v>
      </c>
      <c r="N900" t="str">
        <f>_xlfn.XLOOKUP(B900,tblCustomers[customer_id],tblCustomers[region],"Missing")</f>
        <v>West</v>
      </c>
      <c r="O900" t="str">
        <f>_xlfn.XLOOKUP(C900,tblProducts[product_id],tblProducts[product_name],"Missing")</f>
        <v>Analytics Cloud</v>
      </c>
      <c r="P900" t="str">
        <f>_xlfn.XLOOKUP(C900,tblProducts[product_id],tblProducts[category],"Missing")</f>
        <v>Analytics</v>
      </c>
      <c r="Q900" t="str">
        <f>_xlfn.XLOOKUP(D900,tblSalesReps[rep_id],tblSalesReps[rep_name],"Missing")</f>
        <v>Sales Rep 11</v>
      </c>
      <c r="R900" t="str">
        <f>_xlfn.XLOOKUP(D900,tblSalesReps[rep_id],tblSalesReps[region],"Missing")</f>
        <v>West</v>
      </c>
    </row>
    <row r="901" spans="1:18">
      <c r="A901" t="s">
        <v>1358</v>
      </c>
      <c r="B901" t="s">
        <v>1359</v>
      </c>
      <c r="C901" t="s">
        <v>62</v>
      </c>
      <c r="D901" t="s">
        <v>78</v>
      </c>
      <c r="E901" s="1">
        <v>45767</v>
      </c>
      <c r="F901" s="1">
        <v>45826</v>
      </c>
      <c r="G901" s="1">
        <v>45826</v>
      </c>
      <c r="H901" t="s">
        <v>17</v>
      </c>
      <c r="I901">
        <v>1</v>
      </c>
      <c r="J901">
        <v>10</v>
      </c>
      <c r="K901">
        <v>108000</v>
      </c>
      <c r="L901">
        <v>0</v>
      </c>
      <c r="M901" t="s">
        <v>47</v>
      </c>
      <c r="N901" t="str">
        <f>_xlfn.XLOOKUP(B901,tblCustomers[customer_id],tblCustomers[region],"Missing")</f>
        <v>West</v>
      </c>
      <c r="O901" t="str">
        <f>_xlfn.XLOOKUP(C901,tblProducts[product_id],tblProducts[product_name],"Missing")</f>
        <v>CRM Essentials</v>
      </c>
      <c r="P901" t="str">
        <f>_xlfn.XLOOKUP(C901,tblProducts[product_id],tblProducts[category],"Missing")</f>
        <v>CRM</v>
      </c>
      <c r="Q901" t="str">
        <f>_xlfn.XLOOKUP(D901,tblSalesReps[rep_id],tblSalesReps[rep_name],"Missing")</f>
        <v>Sales Rep 12</v>
      </c>
      <c r="R901" t="str">
        <f>_xlfn.XLOOKUP(D901,tblSalesReps[rep_id],tblSalesReps[region],"Missing")</f>
        <v>West</v>
      </c>
    </row>
    <row r="902" spans="1:18">
      <c r="A902" t="s">
        <v>1360</v>
      </c>
      <c r="B902" t="s">
        <v>1361</v>
      </c>
      <c r="C902" t="s">
        <v>21</v>
      </c>
      <c r="D902" t="s">
        <v>27</v>
      </c>
      <c r="E902" s="1">
        <v>45742</v>
      </c>
      <c r="F902" s="1">
        <v>45784</v>
      </c>
      <c r="G902" s="1">
        <v>45784</v>
      </c>
      <c r="H902" t="s">
        <v>17</v>
      </c>
      <c r="I902">
        <v>1</v>
      </c>
      <c r="J902">
        <v>15</v>
      </c>
      <c r="K902">
        <v>204000</v>
      </c>
      <c r="L902">
        <v>0</v>
      </c>
      <c r="M902" t="s">
        <v>18</v>
      </c>
      <c r="N902" t="str">
        <f>_xlfn.XLOOKUP(B902,tblCustomers[customer_id],tblCustomers[region],"Missing")</f>
        <v>North</v>
      </c>
      <c r="O902" t="str">
        <f>_xlfn.XLOOKUP(C902,tblProducts[product_id],tblProducts[product_name],"Missing")</f>
        <v>Workflow Automate</v>
      </c>
      <c r="P902" t="str">
        <f>_xlfn.XLOOKUP(C902,tblProducts[product_id],tblProducts[category],"Missing")</f>
        <v>Automation</v>
      </c>
      <c r="Q902" t="str">
        <f>_xlfn.XLOOKUP(D902,tblSalesReps[rep_id],tblSalesReps[rep_name],"Missing")</f>
        <v>Sales Rep 06</v>
      </c>
      <c r="R902" t="str">
        <f>_xlfn.XLOOKUP(D902,tblSalesReps[rep_id],tblSalesReps[region],"Missing")</f>
        <v>North</v>
      </c>
    </row>
    <row r="903" spans="1:18">
      <c r="A903" t="s">
        <v>1362</v>
      </c>
      <c r="B903" t="s">
        <v>1065</v>
      </c>
      <c r="C903" t="s">
        <v>21</v>
      </c>
      <c r="D903" t="s">
        <v>152</v>
      </c>
      <c r="E903" s="1">
        <v>45672</v>
      </c>
      <c r="F903" s="1">
        <v>45732</v>
      </c>
      <c r="G903" s="1"/>
      <c r="H903" t="s">
        <v>43</v>
      </c>
      <c r="I903">
        <v>2</v>
      </c>
      <c r="J903">
        <v>0</v>
      </c>
      <c r="K903">
        <v>480000</v>
      </c>
      <c r="L903">
        <v>80</v>
      </c>
      <c r="M903" t="s">
        <v>29</v>
      </c>
      <c r="N903" t="str">
        <f>_xlfn.XLOOKUP(B903,tblCustomers[customer_id],tblCustomers[region],"Missing")</f>
        <v>East</v>
      </c>
      <c r="O903" t="str">
        <f>_xlfn.XLOOKUP(C903,tblProducts[product_id],tblProducts[product_name],"Missing")</f>
        <v>Workflow Automate</v>
      </c>
      <c r="P903" t="str">
        <f>_xlfn.XLOOKUP(C903,tblProducts[product_id],tblProducts[category],"Missing")</f>
        <v>Automation</v>
      </c>
      <c r="Q903" t="str">
        <f>_xlfn.XLOOKUP(D903,tblSalesReps[rep_id],tblSalesReps[rep_name],"Missing")</f>
        <v>Sales Rep 18</v>
      </c>
      <c r="R903" t="str">
        <f>_xlfn.XLOOKUP(D903,tblSalesReps[rep_id],tblSalesReps[region],"Missing")</f>
        <v>East</v>
      </c>
    </row>
    <row r="904" spans="1:18">
      <c r="A904" t="s">
        <v>1363</v>
      </c>
      <c r="B904" t="s">
        <v>294</v>
      </c>
      <c r="C904" t="s">
        <v>39</v>
      </c>
      <c r="D904" t="s">
        <v>78</v>
      </c>
      <c r="E904" s="1">
        <v>45707</v>
      </c>
      <c r="F904" s="1">
        <v>45770</v>
      </c>
      <c r="G904" s="1">
        <v>45770</v>
      </c>
      <c r="H904" t="s">
        <v>28</v>
      </c>
      <c r="I904">
        <v>1</v>
      </c>
      <c r="J904">
        <v>15</v>
      </c>
      <c r="K904">
        <v>153000</v>
      </c>
      <c r="L904">
        <v>100</v>
      </c>
      <c r="M904" t="s">
        <v>29</v>
      </c>
      <c r="N904" t="str">
        <f>_xlfn.XLOOKUP(B904,tblCustomers[customer_id],tblCustomers[region],"Missing")</f>
        <v>West</v>
      </c>
      <c r="O904" t="str">
        <f>_xlfn.XLOOKUP(C904,tblProducts[product_id],tblProducts[product_name],"Missing")</f>
        <v>Support Desk</v>
      </c>
      <c r="P904" t="str">
        <f>_xlfn.XLOOKUP(C904,tblProducts[product_id],tblProducts[category],"Missing")</f>
        <v>Service</v>
      </c>
      <c r="Q904" t="str">
        <f>_xlfn.XLOOKUP(D904,tblSalesReps[rep_id],tblSalesReps[rep_name],"Missing")</f>
        <v>Sales Rep 12</v>
      </c>
      <c r="R904" t="str">
        <f>_xlfn.XLOOKUP(D904,tblSalesReps[rep_id],tblSalesReps[region],"Missing")</f>
        <v>West</v>
      </c>
    </row>
    <row r="905" spans="1:18">
      <c r="A905" t="s">
        <v>1364</v>
      </c>
      <c r="B905" t="s">
        <v>139</v>
      </c>
      <c r="C905" t="s">
        <v>39</v>
      </c>
      <c r="D905" t="s">
        <v>78</v>
      </c>
      <c r="E905" s="1">
        <v>46015</v>
      </c>
      <c r="F905" s="1">
        <v>46072</v>
      </c>
      <c r="G905" s="1"/>
      <c r="H905" t="s">
        <v>43</v>
      </c>
      <c r="I905">
        <v>3</v>
      </c>
      <c r="J905">
        <v>20</v>
      </c>
      <c r="K905">
        <v>432000</v>
      </c>
      <c r="L905">
        <v>80</v>
      </c>
      <c r="M905" t="s">
        <v>29</v>
      </c>
      <c r="N905" t="str">
        <f>_xlfn.XLOOKUP(B905,tblCustomers[customer_id],tblCustomers[region],"Missing")</f>
        <v>West</v>
      </c>
      <c r="O905" t="str">
        <f>_xlfn.XLOOKUP(C905,tblProducts[product_id],tblProducts[product_name],"Missing")</f>
        <v>Support Desk</v>
      </c>
      <c r="P905" t="str">
        <f>_xlfn.XLOOKUP(C905,tblProducts[product_id],tblProducts[category],"Missing")</f>
        <v>Service</v>
      </c>
      <c r="Q905" t="str">
        <f>_xlfn.XLOOKUP(D905,tblSalesReps[rep_id],tblSalesReps[rep_name],"Missing")</f>
        <v>Sales Rep 12</v>
      </c>
      <c r="R905" t="str">
        <f>_xlfn.XLOOKUP(D905,tblSalesReps[rep_id],tblSalesReps[region],"Missing")</f>
        <v>West</v>
      </c>
    </row>
    <row r="906" spans="1:18">
      <c r="A906" t="s">
        <v>1365</v>
      </c>
      <c r="B906" t="s">
        <v>1366</v>
      </c>
      <c r="C906" t="s">
        <v>15</v>
      </c>
      <c r="D906" t="s">
        <v>63</v>
      </c>
      <c r="E906" s="1">
        <v>46005</v>
      </c>
      <c r="F906" s="1">
        <v>46073</v>
      </c>
      <c r="G906" s="1"/>
      <c r="H906" t="s">
        <v>43</v>
      </c>
      <c r="I906">
        <v>1</v>
      </c>
      <c r="J906">
        <v>5</v>
      </c>
      <c r="K906">
        <v>399000</v>
      </c>
      <c r="L906">
        <v>80</v>
      </c>
      <c r="M906" t="s">
        <v>29</v>
      </c>
      <c r="N906" t="str">
        <f>_xlfn.XLOOKUP(B906,tblCustomers[customer_id],tblCustomers[region],"Missing")</f>
        <v>South</v>
      </c>
      <c r="O906" t="str">
        <f>_xlfn.XLOOKUP(C906,tblProducts[product_id],tblProducts[product_name],"Missing")</f>
        <v>CRM Enterprise</v>
      </c>
      <c r="P906" t="str">
        <f>_xlfn.XLOOKUP(C906,tblProducts[product_id],tblProducts[category],"Missing")</f>
        <v>CRM</v>
      </c>
      <c r="Q906" t="str">
        <f>_xlfn.XLOOKUP(D906,tblSalesReps[rep_id],tblSalesReps[rep_name],"Missing")</f>
        <v>Sales Rep 05</v>
      </c>
      <c r="R906" t="str">
        <f>_xlfn.XLOOKUP(D906,tblSalesReps[rep_id],tblSalesReps[region],"Missing")</f>
        <v>South</v>
      </c>
    </row>
    <row r="907" spans="1:18">
      <c r="A907" t="s">
        <v>1367</v>
      </c>
      <c r="B907" t="s">
        <v>1368</v>
      </c>
      <c r="C907" t="s">
        <v>26</v>
      </c>
      <c r="D907" t="s">
        <v>27</v>
      </c>
      <c r="E907" s="1">
        <v>45774</v>
      </c>
      <c r="F907" s="1">
        <v>45849</v>
      </c>
      <c r="G907" s="1"/>
      <c r="H907" t="s">
        <v>43</v>
      </c>
      <c r="I907">
        <v>3</v>
      </c>
      <c r="J907">
        <v>15</v>
      </c>
      <c r="K907">
        <v>918000</v>
      </c>
      <c r="L907">
        <v>40</v>
      </c>
      <c r="M907" t="s">
        <v>29</v>
      </c>
      <c r="N907" t="str">
        <f>_xlfn.XLOOKUP(B907,tblCustomers[customer_id],tblCustomers[region],"Missing")</f>
        <v>North</v>
      </c>
      <c r="O907" t="str">
        <f>_xlfn.XLOOKUP(C907,tblProducts[product_id],tblProducts[product_name],"Missing")</f>
        <v>Security Suite</v>
      </c>
      <c r="P907" t="str">
        <f>_xlfn.XLOOKUP(C907,tblProducts[product_id],tblProducts[category],"Missing")</f>
        <v>Security</v>
      </c>
      <c r="Q907" t="str">
        <f>_xlfn.XLOOKUP(D907,tblSalesReps[rep_id],tblSalesReps[rep_name],"Missing")</f>
        <v>Sales Rep 06</v>
      </c>
      <c r="R907" t="str">
        <f>_xlfn.XLOOKUP(D907,tblSalesReps[rep_id],tblSalesReps[region],"Missing")</f>
        <v>North</v>
      </c>
    </row>
    <row r="908" spans="1:18">
      <c r="A908" t="s">
        <v>1369</v>
      </c>
      <c r="B908" t="s">
        <v>1370</v>
      </c>
      <c r="C908" t="s">
        <v>62</v>
      </c>
      <c r="D908" t="s">
        <v>50</v>
      </c>
      <c r="E908" s="1">
        <v>45993</v>
      </c>
      <c r="F908" s="1">
        <v>46038</v>
      </c>
      <c r="G908" s="1"/>
      <c r="H908" t="s">
        <v>43</v>
      </c>
      <c r="I908">
        <v>1</v>
      </c>
      <c r="J908">
        <v>10</v>
      </c>
      <c r="K908">
        <v>108000</v>
      </c>
      <c r="L908">
        <v>60</v>
      </c>
      <c r="M908" t="s">
        <v>29</v>
      </c>
      <c r="N908" t="str">
        <f>_xlfn.XLOOKUP(B908,tblCustomers[customer_id],tblCustomers[region],"Missing")</f>
        <v>West</v>
      </c>
      <c r="O908" t="str">
        <f>_xlfn.XLOOKUP(C908,tblProducts[product_id],tblProducts[product_name],"Missing")</f>
        <v>CRM Essentials</v>
      </c>
      <c r="P908" t="str">
        <f>_xlfn.XLOOKUP(C908,tblProducts[product_id],tblProducts[category],"Missing")</f>
        <v>CRM</v>
      </c>
      <c r="Q908" t="str">
        <f>_xlfn.XLOOKUP(D908,tblSalesReps[rep_id],tblSalesReps[rep_name],"Missing")</f>
        <v>Sales Rep 15</v>
      </c>
      <c r="R908" t="str">
        <f>_xlfn.XLOOKUP(D908,tblSalesReps[rep_id],tblSalesReps[region],"Missing")</f>
        <v>West</v>
      </c>
    </row>
    <row r="909" spans="1:18">
      <c r="A909" t="s">
        <v>1371</v>
      </c>
      <c r="B909" t="s">
        <v>1184</v>
      </c>
      <c r="C909" t="s">
        <v>81</v>
      </c>
      <c r="D909" t="s">
        <v>32</v>
      </c>
      <c r="E909" s="1">
        <v>45868</v>
      </c>
      <c r="F909" s="1">
        <v>45930</v>
      </c>
      <c r="G909" s="1">
        <v>45930</v>
      </c>
      <c r="H909" t="s">
        <v>28</v>
      </c>
      <c r="I909">
        <v>1</v>
      </c>
      <c r="J909">
        <v>5</v>
      </c>
      <c r="K909">
        <v>285000</v>
      </c>
      <c r="L909">
        <v>100</v>
      </c>
      <c r="M909" t="s">
        <v>29</v>
      </c>
      <c r="N909" t="str">
        <f>_xlfn.XLOOKUP(B909,tblCustomers[customer_id],tblCustomers[region],"Missing")</f>
        <v>South</v>
      </c>
      <c r="O909" t="str">
        <f>_xlfn.XLOOKUP(C909,tblProducts[product_id],tblProducts[product_name],"Missing")</f>
        <v>Analytics Cloud</v>
      </c>
      <c r="P909" t="str">
        <f>_xlfn.XLOOKUP(C909,tblProducts[product_id],tblProducts[category],"Missing")</f>
        <v>Analytics</v>
      </c>
      <c r="Q909" t="str">
        <f>_xlfn.XLOOKUP(D909,tblSalesReps[rep_id],tblSalesReps[rep_name],"Missing")</f>
        <v>Sales Rep 04</v>
      </c>
      <c r="R909" t="str">
        <f>_xlfn.XLOOKUP(D909,tblSalesReps[rep_id],tblSalesReps[region],"Missing")</f>
        <v>South</v>
      </c>
    </row>
    <row r="910" spans="1:18">
      <c r="A910" t="s">
        <v>1372</v>
      </c>
      <c r="B910" t="s">
        <v>1311</v>
      </c>
      <c r="C910" t="s">
        <v>15</v>
      </c>
      <c r="D910" t="s">
        <v>168</v>
      </c>
      <c r="E910" s="1">
        <v>45917</v>
      </c>
      <c r="F910" s="1">
        <v>45927</v>
      </c>
      <c r="G910" s="1"/>
      <c r="H910" t="s">
        <v>43</v>
      </c>
      <c r="I910">
        <v>2</v>
      </c>
      <c r="J910">
        <v>5</v>
      </c>
      <c r="K910">
        <v>798000</v>
      </c>
      <c r="L910">
        <v>40</v>
      </c>
      <c r="M910" t="s">
        <v>29</v>
      </c>
      <c r="N910" t="str">
        <f>_xlfn.XLOOKUP(B910,tblCustomers[customer_id],tblCustomers[region],"Missing")</f>
        <v>East</v>
      </c>
      <c r="O910" t="str">
        <f>_xlfn.XLOOKUP(C910,tblProducts[product_id],tblProducts[product_name],"Missing")</f>
        <v>CRM Enterprise</v>
      </c>
      <c r="P910" t="str">
        <f>_xlfn.XLOOKUP(C910,tblProducts[product_id],tblProducts[category],"Missing")</f>
        <v>CRM</v>
      </c>
      <c r="Q910" t="str">
        <f>_xlfn.XLOOKUP(D910,tblSalesReps[rep_id],tblSalesReps[rep_name],"Missing")</f>
        <v>Sales Rep 17</v>
      </c>
      <c r="R910" t="str">
        <f>_xlfn.XLOOKUP(D910,tblSalesReps[rep_id],tblSalesReps[region],"Missing")</f>
        <v>East</v>
      </c>
    </row>
    <row r="911" spans="1:18">
      <c r="A911" t="s">
        <v>1373</v>
      </c>
      <c r="B911" t="s">
        <v>1127</v>
      </c>
      <c r="C911" t="s">
        <v>39</v>
      </c>
      <c r="D911" t="s">
        <v>119</v>
      </c>
      <c r="E911" s="1">
        <v>45835</v>
      </c>
      <c r="F911" s="1">
        <v>45848</v>
      </c>
      <c r="G911" s="1">
        <v>45848</v>
      </c>
      <c r="H911" t="s">
        <v>28</v>
      </c>
      <c r="I911">
        <v>1</v>
      </c>
      <c r="J911">
        <v>15</v>
      </c>
      <c r="K911">
        <v>153000</v>
      </c>
      <c r="L911">
        <v>100</v>
      </c>
      <c r="M911" t="s">
        <v>29</v>
      </c>
      <c r="N911" t="str">
        <f>_xlfn.XLOOKUP(B911,tblCustomers[customer_id],tblCustomers[region],"Missing")</f>
        <v>North</v>
      </c>
      <c r="O911" t="str">
        <f>_xlfn.XLOOKUP(C911,tblProducts[product_id],tblProducts[product_name],"Missing")</f>
        <v>Support Desk</v>
      </c>
      <c r="P911" t="str">
        <f>_xlfn.XLOOKUP(C911,tblProducts[product_id],tblProducts[category],"Missing")</f>
        <v>Service</v>
      </c>
      <c r="Q911" t="str">
        <f>_xlfn.XLOOKUP(D911,tblSalesReps[rep_id],tblSalesReps[rep_name],"Missing")</f>
        <v>Sales Rep 10</v>
      </c>
      <c r="R911" t="str">
        <f>_xlfn.XLOOKUP(D911,tblSalesReps[rep_id],tblSalesReps[region],"Missing")</f>
        <v>North</v>
      </c>
    </row>
    <row r="912" spans="1:18">
      <c r="A912" t="s">
        <v>1374</v>
      </c>
      <c r="B912" t="s">
        <v>451</v>
      </c>
      <c r="C912" t="s">
        <v>81</v>
      </c>
      <c r="D912" t="s">
        <v>91</v>
      </c>
      <c r="E912" s="1">
        <v>45863</v>
      </c>
      <c r="F912" s="1">
        <v>45910</v>
      </c>
      <c r="G912" s="1">
        <v>45910</v>
      </c>
      <c r="H912" t="s">
        <v>28</v>
      </c>
      <c r="I912">
        <v>3</v>
      </c>
      <c r="J912">
        <v>0</v>
      </c>
      <c r="K912">
        <v>900000</v>
      </c>
      <c r="L912">
        <v>100</v>
      </c>
      <c r="M912" t="s">
        <v>29</v>
      </c>
      <c r="N912" t="str">
        <f>_xlfn.XLOOKUP(B912,tblCustomers[customer_id],tblCustomers[region],"Missing")</f>
        <v>South</v>
      </c>
      <c r="O912" t="str">
        <f>_xlfn.XLOOKUP(C912,tblProducts[product_id],tblProducts[product_name],"Missing")</f>
        <v>Analytics Cloud</v>
      </c>
      <c r="P912" t="str">
        <f>_xlfn.XLOOKUP(C912,tblProducts[product_id],tblProducts[category],"Missing")</f>
        <v>Analytics</v>
      </c>
      <c r="Q912" t="str">
        <f>_xlfn.XLOOKUP(D912,tblSalesReps[rep_id],tblSalesReps[rep_name],"Missing")</f>
        <v>Sales Rep 03</v>
      </c>
      <c r="R912" t="str">
        <f>_xlfn.XLOOKUP(D912,tblSalesReps[rep_id],tblSalesReps[region],"Missing")</f>
        <v>South</v>
      </c>
    </row>
    <row r="913" spans="1:18">
      <c r="A913" t="s">
        <v>1375</v>
      </c>
      <c r="B913" t="s">
        <v>187</v>
      </c>
      <c r="C913" t="s">
        <v>39</v>
      </c>
      <c r="D913" t="s">
        <v>40</v>
      </c>
      <c r="E913" s="1">
        <v>45931</v>
      </c>
      <c r="F913" s="1">
        <v>45987</v>
      </c>
      <c r="G913" s="1"/>
      <c r="H913" t="s">
        <v>43</v>
      </c>
      <c r="I913">
        <v>1</v>
      </c>
      <c r="J913">
        <v>0</v>
      </c>
      <c r="K913">
        <v>180000</v>
      </c>
      <c r="L913">
        <v>20</v>
      </c>
      <c r="M913" t="s">
        <v>29</v>
      </c>
      <c r="N913" t="str">
        <f>_xlfn.XLOOKUP(B913,tblCustomers[customer_id],tblCustomers[region],"Missing")</f>
        <v>West</v>
      </c>
      <c r="O913" t="str">
        <f>_xlfn.XLOOKUP(C913,tblProducts[product_id],tblProducts[product_name],"Missing")</f>
        <v>Support Desk</v>
      </c>
      <c r="P913" t="str">
        <f>_xlfn.XLOOKUP(C913,tblProducts[product_id],tblProducts[category],"Missing")</f>
        <v>Service</v>
      </c>
      <c r="Q913" t="str">
        <f>_xlfn.XLOOKUP(D913,tblSalesReps[rep_id],tblSalesReps[rep_name],"Missing")</f>
        <v>Sales Rep 13</v>
      </c>
      <c r="R913" t="str">
        <f>_xlfn.XLOOKUP(D913,tblSalesReps[rep_id],tblSalesReps[region],"Missing")</f>
        <v>West</v>
      </c>
    </row>
    <row r="914" spans="1:18">
      <c r="A914" t="s">
        <v>1376</v>
      </c>
      <c r="B914" t="s">
        <v>561</v>
      </c>
      <c r="C914" t="s">
        <v>39</v>
      </c>
      <c r="D914" t="s">
        <v>126</v>
      </c>
      <c r="E914" s="1">
        <v>45758</v>
      </c>
      <c r="F914" s="1">
        <v>45787</v>
      </c>
      <c r="G914" s="1"/>
      <c r="H914" t="s">
        <v>43</v>
      </c>
      <c r="I914">
        <v>3</v>
      </c>
      <c r="J914">
        <v>20</v>
      </c>
      <c r="K914">
        <v>432000</v>
      </c>
      <c r="L914">
        <v>60</v>
      </c>
      <c r="M914" t="s">
        <v>29</v>
      </c>
      <c r="N914" t="str">
        <f>_xlfn.XLOOKUP(B914,tblCustomers[customer_id],tblCustomers[region],"Missing")</f>
        <v>South</v>
      </c>
      <c r="O914" t="str">
        <f>_xlfn.XLOOKUP(C914,tblProducts[product_id],tblProducts[product_name],"Missing")</f>
        <v>Support Desk</v>
      </c>
      <c r="P914" t="str">
        <f>_xlfn.XLOOKUP(C914,tblProducts[product_id],tblProducts[category],"Missing")</f>
        <v>Service</v>
      </c>
      <c r="Q914" t="str">
        <f>_xlfn.XLOOKUP(D914,tblSalesReps[rep_id],tblSalesReps[rep_name],"Missing")</f>
        <v>Sales Rep 02</v>
      </c>
      <c r="R914" t="str">
        <f>_xlfn.XLOOKUP(D914,tblSalesReps[rep_id],tblSalesReps[region],"Missing")</f>
        <v>South</v>
      </c>
    </row>
    <row r="915" spans="1:18">
      <c r="A915" t="s">
        <v>1377</v>
      </c>
      <c r="B915" t="s">
        <v>327</v>
      </c>
      <c r="C915" t="s">
        <v>15</v>
      </c>
      <c r="D915" t="s">
        <v>56</v>
      </c>
      <c r="E915" s="1">
        <v>45786</v>
      </c>
      <c r="F915" s="1">
        <v>45854</v>
      </c>
      <c r="G915" s="1">
        <v>45854</v>
      </c>
      <c r="H915" t="s">
        <v>28</v>
      </c>
      <c r="I915">
        <v>1</v>
      </c>
      <c r="J915">
        <v>5</v>
      </c>
      <c r="K915">
        <v>399000</v>
      </c>
      <c r="L915">
        <v>100</v>
      </c>
      <c r="M915" t="s">
        <v>29</v>
      </c>
      <c r="N915" t="str">
        <f>_xlfn.XLOOKUP(B915,tblCustomers[customer_id],tblCustomers[region],"Missing")</f>
        <v>East</v>
      </c>
      <c r="O915" t="str">
        <f>_xlfn.XLOOKUP(C915,tblProducts[product_id],tblProducts[product_name],"Missing")</f>
        <v>CRM Enterprise</v>
      </c>
      <c r="P915" t="str">
        <f>_xlfn.XLOOKUP(C915,tblProducts[product_id],tblProducts[category],"Missing")</f>
        <v>CRM</v>
      </c>
      <c r="Q915" t="str">
        <f>_xlfn.XLOOKUP(D915,tblSalesReps[rep_id],tblSalesReps[rep_name],"Missing")</f>
        <v>Sales Rep 20</v>
      </c>
      <c r="R915" t="str">
        <f>_xlfn.XLOOKUP(D915,tblSalesReps[rep_id],tblSalesReps[region],"Missing")</f>
        <v>East</v>
      </c>
    </row>
    <row r="916" spans="1:18">
      <c r="A916" t="s">
        <v>1378</v>
      </c>
      <c r="B916" t="s">
        <v>727</v>
      </c>
      <c r="C916" t="s">
        <v>62</v>
      </c>
      <c r="D916" t="s">
        <v>50</v>
      </c>
      <c r="E916" s="1">
        <v>46013</v>
      </c>
      <c r="F916" s="1">
        <v>46084</v>
      </c>
      <c r="G916" s="1"/>
      <c r="H916" t="s">
        <v>43</v>
      </c>
      <c r="I916">
        <v>1</v>
      </c>
      <c r="J916">
        <v>10</v>
      </c>
      <c r="K916">
        <v>108000</v>
      </c>
      <c r="L916">
        <v>60</v>
      </c>
      <c r="M916" t="s">
        <v>29</v>
      </c>
      <c r="N916" t="str">
        <f>_xlfn.XLOOKUP(B916,tblCustomers[customer_id],tblCustomers[region],"Missing")</f>
        <v>West</v>
      </c>
      <c r="O916" t="str">
        <f>_xlfn.XLOOKUP(C916,tblProducts[product_id],tblProducts[product_name],"Missing")</f>
        <v>CRM Essentials</v>
      </c>
      <c r="P916" t="str">
        <f>_xlfn.XLOOKUP(C916,tblProducts[product_id],tblProducts[category],"Missing")</f>
        <v>CRM</v>
      </c>
      <c r="Q916" t="str">
        <f>_xlfn.XLOOKUP(D916,tblSalesReps[rep_id],tblSalesReps[rep_name],"Missing")</f>
        <v>Sales Rep 15</v>
      </c>
      <c r="R916" t="str">
        <f>_xlfn.XLOOKUP(D916,tblSalesReps[rep_id],tblSalesReps[region],"Missing")</f>
        <v>West</v>
      </c>
    </row>
    <row r="917" spans="1:18">
      <c r="A917" t="s">
        <v>1379</v>
      </c>
      <c r="B917" t="s">
        <v>145</v>
      </c>
      <c r="C917" t="s">
        <v>15</v>
      </c>
      <c r="D917" t="s">
        <v>70</v>
      </c>
      <c r="E917" s="1">
        <v>45715</v>
      </c>
      <c r="F917" s="1">
        <v>45746</v>
      </c>
      <c r="G917" s="1">
        <v>45746</v>
      </c>
      <c r="H917" t="s">
        <v>28</v>
      </c>
      <c r="I917">
        <v>1</v>
      </c>
      <c r="J917">
        <v>15</v>
      </c>
      <c r="K917">
        <v>357000</v>
      </c>
      <c r="L917">
        <v>100</v>
      </c>
      <c r="M917" t="s">
        <v>29</v>
      </c>
      <c r="N917" t="str">
        <f>_xlfn.XLOOKUP(B917,tblCustomers[customer_id],tblCustomers[region],"Missing")</f>
        <v>West</v>
      </c>
      <c r="O917" t="str">
        <f>_xlfn.XLOOKUP(C917,tblProducts[product_id],tblProducts[product_name],"Missing")</f>
        <v>CRM Enterprise</v>
      </c>
      <c r="P917" t="str">
        <f>_xlfn.XLOOKUP(C917,tblProducts[product_id],tblProducts[category],"Missing")</f>
        <v>CRM</v>
      </c>
      <c r="Q917" t="str">
        <f>_xlfn.XLOOKUP(D917,tblSalesReps[rep_id],tblSalesReps[rep_name],"Missing")</f>
        <v>Sales Rep 11</v>
      </c>
      <c r="R917" t="str">
        <f>_xlfn.XLOOKUP(D917,tblSalesReps[rep_id],tblSalesReps[region],"Missing")</f>
        <v>West</v>
      </c>
    </row>
    <row r="918" spans="1:18">
      <c r="A918" t="s">
        <v>1380</v>
      </c>
      <c r="B918" t="s">
        <v>786</v>
      </c>
      <c r="C918" t="s">
        <v>81</v>
      </c>
      <c r="D918" t="s">
        <v>40</v>
      </c>
      <c r="E918" s="1">
        <v>45664</v>
      </c>
      <c r="F918" s="1">
        <v>45678</v>
      </c>
      <c r="G918" s="1">
        <v>45678</v>
      </c>
      <c r="H918" t="s">
        <v>17</v>
      </c>
      <c r="I918">
        <v>1</v>
      </c>
      <c r="J918">
        <v>20</v>
      </c>
      <c r="K918">
        <v>240000</v>
      </c>
      <c r="L918">
        <v>0</v>
      </c>
      <c r="M918" t="s">
        <v>47</v>
      </c>
      <c r="N918" t="str">
        <f>_xlfn.XLOOKUP(B918,tblCustomers[customer_id],tblCustomers[region],"Missing")</f>
        <v>West</v>
      </c>
      <c r="O918" t="str">
        <f>_xlfn.XLOOKUP(C918,tblProducts[product_id],tblProducts[product_name],"Missing")</f>
        <v>Analytics Cloud</v>
      </c>
      <c r="P918" t="str">
        <f>_xlfn.XLOOKUP(C918,tblProducts[product_id],tblProducts[category],"Missing")</f>
        <v>Analytics</v>
      </c>
      <c r="Q918" t="str">
        <f>_xlfn.XLOOKUP(D918,tblSalesReps[rep_id],tblSalesReps[rep_name],"Missing")</f>
        <v>Sales Rep 13</v>
      </c>
      <c r="R918" t="str">
        <f>_xlfn.XLOOKUP(D918,tblSalesReps[rep_id],tblSalesReps[region],"Missing")</f>
        <v>West</v>
      </c>
    </row>
    <row r="919" spans="1:18">
      <c r="A919" t="s">
        <v>1381</v>
      </c>
      <c r="B919" t="s">
        <v>1382</v>
      </c>
      <c r="C919" t="s">
        <v>39</v>
      </c>
      <c r="D919" t="s">
        <v>78</v>
      </c>
      <c r="E919" s="1">
        <v>45824</v>
      </c>
      <c r="F919" s="1">
        <v>45895</v>
      </c>
      <c r="G919" s="1">
        <v>45895</v>
      </c>
      <c r="H919" t="s">
        <v>17</v>
      </c>
      <c r="I919">
        <v>1</v>
      </c>
      <c r="J919">
        <v>10</v>
      </c>
      <c r="K919">
        <v>162000</v>
      </c>
      <c r="L919">
        <v>0</v>
      </c>
      <c r="M919" t="s">
        <v>18</v>
      </c>
      <c r="N919" t="str">
        <f>_xlfn.XLOOKUP(B919,tblCustomers[customer_id],tblCustomers[region],"Missing")</f>
        <v>West</v>
      </c>
      <c r="O919" t="str">
        <f>_xlfn.XLOOKUP(C919,tblProducts[product_id],tblProducts[product_name],"Missing")</f>
        <v>Support Desk</v>
      </c>
      <c r="P919" t="str">
        <f>_xlfn.XLOOKUP(C919,tblProducts[product_id],tblProducts[category],"Missing")</f>
        <v>Service</v>
      </c>
      <c r="Q919" t="str">
        <f>_xlfn.XLOOKUP(D919,tblSalesReps[rep_id],tblSalesReps[rep_name],"Missing")</f>
        <v>Sales Rep 12</v>
      </c>
      <c r="R919" t="str">
        <f>_xlfn.XLOOKUP(D919,tblSalesReps[rep_id],tblSalesReps[region],"Missing")</f>
        <v>West</v>
      </c>
    </row>
    <row r="920" spans="1:18">
      <c r="A920" t="s">
        <v>1383</v>
      </c>
      <c r="B920" t="s">
        <v>268</v>
      </c>
      <c r="C920" t="s">
        <v>21</v>
      </c>
      <c r="D920" t="s">
        <v>119</v>
      </c>
      <c r="E920" s="1">
        <v>45692</v>
      </c>
      <c r="F920" s="1">
        <v>45743</v>
      </c>
      <c r="G920" s="1"/>
      <c r="H920" t="s">
        <v>43</v>
      </c>
      <c r="I920">
        <v>1</v>
      </c>
      <c r="J920">
        <v>10</v>
      </c>
      <c r="K920">
        <v>216000</v>
      </c>
      <c r="L920">
        <v>60</v>
      </c>
      <c r="M920" t="s">
        <v>29</v>
      </c>
      <c r="N920" t="str">
        <f>_xlfn.XLOOKUP(B920,tblCustomers[customer_id],tblCustomers[region],"Missing")</f>
        <v>North</v>
      </c>
      <c r="O920" t="str">
        <f>_xlfn.XLOOKUP(C920,tblProducts[product_id],tblProducts[product_name],"Missing")</f>
        <v>Workflow Automate</v>
      </c>
      <c r="P920" t="str">
        <f>_xlfn.XLOOKUP(C920,tblProducts[product_id],tblProducts[category],"Missing")</f>
        <v>Automation</v>
      </c>
      <c r="Q920" t="str">
        <f>_xlfn.XLOOKUP(D920,tblSalesReps[rep_id],tblSalesReps[rep_name],"Missing")</f>
        <v>Sales Rep 10</v>
      </c>
      <c r="R920" t="str">
        <f>_xlfn.XLOOKUP(D920,tblSalesReps[rep_id],tblSalesReps[region],"Missing")</f>
        <v>North</v>
      </c>
    </row>
    <row r="921" spans="1:18">
      <c r="A921" t="s">
        <v>1384</v>
      </c>
      <c r="B921" t="s">
        <v>992</v>
      </c>
      <c r="C921" t="s">
        <v>39</v>
      </c>
      <c r="D921" t="s">
        <v>126</v>
      </c>
      <c r="E921" s="1">
        <v>45888</v>
      </c>
      <c r="F921" s="1">
        <v>45965</v>
      </c>
      <c r="G921" s="1">
        <v>45965</v>
      </c>
      <c r="H921" t="s">
        <v>17</v>
      </c>
      <c r="I921">
        <v>1</v>
      </c>
      <c r="J921">
        <v>0</v>
      </c>
      <c r="K921">
        <v>180000</v>
      </c>
      <c r="L921">
        <v>0</v>
      </c>
      <c r="M921" t="s">
        <v>47</v>
      </c>
      <c r="N921" t="str">
        <f>_xlfn.XLOOKUP(B921,tblCustomers[customer_id],tblCustomers[region],"Missing")</f>
        <v>South</v>
      </c>
      <c r="O921" t="str">
        <f>_xlfn.XLOOKUP(C921,tblProducts[product_id],tblProducts[product_name],"Missing")</f>
        <v>Support Desk</v>
      </c>
      <c r="P921" t="str">
        <f>_xlfn.XLOOKUP(C921,tblProducts[product_id],tblProducts[category],"Missing")</f>
        <v>Service</v>
      </c>
      <c r="Q921" t="str">
        <f>_xlfn.XLOOKUP(D921,tblSalesReps[rep_id],tblSalesReps[rep_name],"Missing")</f>
        <v>Sales Rep 02</v>
      </c>
      <c r="R921" t="str">
        <f>_xlfn.XLOOKUP(D921,tblSalesReps[rep_id],tblSalesReps[region],"Missing")</f>
        <v>South</v>
      </c>
    </row>
    <row r="922" spans="1:18">
      <c r="A922" t="s">
        <v>1385</v>
      </c>
      <c r="B922" t="s">
        <v>1386</v>
      </c>
      <c r="C922" t="s">
        <v>39</v>
      </c>
      <c r="D922" t="s">
        <v>22</v>
      </c>
      <c r="E922" s="1">
        <v>45976</v>
      </c>
      <c r="F922" s="1">
        <v>46037</v>
      </c>
      <c r="G922" s="1"/>
      <c r="H922" t="s">
        <v>43</v>
      </c>
      <c r="I922">
        <v>3</v>
      </c>
      <c r="J922">
        <v>20</v>
      </c>
      <c r="K922">
        <v>432000</v>
      </c>
      <c r="L922">
        <v>40</v>
      </c>
      <c r="M922" t="s">
        <v>29</v>
      </c>
      <c r="N922" t="str">
        <f>_xlfn.XLOOKUP(B922,tblCustomers[customer_id],tblCustomers[region],"Missing")</f>
        <v>West</v>
      </c>
      <c r="O922" t="str">
        <f>_xlfn.XLOOKUP(C922,tblProducts[product_id],tblProducts[product_name],"Missing")</f>
        <v>Support Desk</v>
      </c>
      <c r="P922" t="str">
        <f>_xlfn.XLOOKUP(C922,tblProducts[product_id],tblProducts[category],"Missing")</f>
        <v>Service</v>
      </c>
      <c r="Q922" t="str">
        <f>_xlfn.XLOOKUP(D922,tblSalesReps[rep_id],tblSalesReps[rep_name],"Missing")</f>
        <v>Sales Rep 14</v>
      </c>
      <c r="R922" t="str">
        <f>_xlfn.XLOOKUP(D922,tblSalesReps[rep_id],tblSalesReps[region],"Missing")</f>
        <v>West</v>
      </c>
    </row>
    <row r="923" spans="1:18">
      <c r="A923" t="s">
        <v>1387</v>
      </c>
      <c r="B923" t="s">
        <v>460</v>
      </c>
      <c r="C923" t="s">
        <v>21</v>
      </c>
      <c r="D923" t="s">
        <v>36</v>
      </c>
      <c r="E923" s="1">
        <v>46006</v>
      </c>
      <c r="F923" s="1">
        <v>46061</v>
      </c>
      <c r="G923" s="1"/>
      <c r="H923" t="s">
        <v>43</v>
      </c>
      <c r="I923">
        <v>1</v>
      </c>
      <c r="J923">
        <v>0</v>
      </c>
      <c r="K923">
        <v>240000</v>
      </c>
      <c r="L923">
        <v>20</v>
      </c>
      <c r="M923" t="s">
        <v>29</v>
      </c>
      <c r="N923" t="str">
        <f>_xlfn.XLOOKUP(B923,tblCustomers[customer_id],tblCustomers[region],"Missing")</f>
        <v>North</v>
      </c>
      <c r="O923" t="str">
        <f>_xlfn.XLOOKUP(C923,tblProducts[product_id],tblProducts[product_name],"Missing")</f>
        <v>Workflow Automate</v>
      </c>
      <c r="P923" t="str">
        <f>_xlfn.XLOOKUP(C923,tblProducts[product_id],tblProducts[category],"Missing")</f>
        <v>Automation</v>
      </c>
      <c r="Q923" t="str">
        <f>_xlfn.XLOOKUP(D923,tblSalesReps[rep_id],tblSalesReps[rep_name],"Missing")</f>
        <v>Sales Rep 09</v>
      </c>
      <c r="R923" t="str">
        <f>_xlfn.XLOOKUP(D923,tblSalesReps[rep_id],tblSalesReps[region],"Missing")</f>
        <v>North</v>
      </c>
    </row>
    <row r="924" spans="1:18">
      <c r="A924" t="s">
        <v>1388</v>
      </c>
      <c r="B924" t="s">
        <v>453</v>
      </c>
      <c r="C924" t="s">
        <v>62</v>
      </c>
      <c r="D924" t="s">
        <v>63</v>
      </c>
      <c r="E924" s="1">
        <v>45913</v>
      </c>
      <c r="F924" s="1">
        <v>45940</v>
      </c>
      <c r="G924" s="1">
        <v>45940</v>
      </c>
      <c r="H924" t="s">
        <v>28</v>
      </c>
      <c r="I924">
        <v>3</v>
      </c>
      <c r="J924">
        <v>5</v>
      </c>
      <c r="K924">
        <v>342000</v>
      </c>
      <c r="L924">
        <v>100</v>
      </c>
      <c r="M924" t="s">
        <v>29</v>
      </c>
      <c r="N924" t="str">
        <f>_xlfn.XLOOKUP(B924,tblCustomers[customer_id],tblCustomers[region],"Missing")</f>
        <v>South</v>
      </c>
      <c r="O924" t="str">
        <f>_xlfn.XLOOKUP(C924,tblProducts[product_id],tblProducts[product_name],"Missing")</f>
        <v>CRM Essentials</v>
      </c>
      <c r="P924" t="str">
        <f>_xlfn.XLOOKUP(C924,tblProducts[product_id],tblProducts[category],"Missing")</f>
        <v>CRM</v>
      </c>
      <c r="Q924" t="str">
        <f>_xlfn.XLOOKUP(D924,tblSalesReps[rep_id],tblSalesReps[rep_name],"Missing")</f>
        <v>Sales Rep 05</v>
      </c>
      <c r="R924" t="str">
        <f>_xlfn.XLOOKUP(D924,tblSalesReps[rep_id],tblSalesReps[region],"Missing")</f>
        <v>South</v>
      </c>
    </row>
    <row r="925" spans="1:18">
      <c r="A925" t="s">
        <v>1389</v>
      </c>
      <c r="B925" t="s">
        <v>1390</v>
      </c>
      <c r="C925" t="s">
        <v>62</v>
      </c>
      <c r="D925" t="s">
        <v>27</v>
      </c>
      <c r="E925" s="1">
        <v>45665</v>
      </c>
      <c r="F925" s="1">
        <v>45694</v>
      </c>
      <c r="G925" s="1">
        <v>45694</v>
      </c>
      <c r="H925" t="s">
        <v>28</v>
      </c>
      <c r="I925">
        <v>1</v>
      </c>
      <c r="J925">
        <v>0</v>
      </c>
      <c r="K925">
        <v>120000</v>
      </c>
      <c r="L925">
        <v>100</v>
      </c>
      <c r="M925" t="s">
        <v>29</v>
      </c>
      <c r="N925" t="str">
        <f>_xlfn.XLOOKUP(B925,tblCustomers[customer_id],tblCustomers[region],"Missing")</f>
        <v>North</v>
      </c>
      <c r="O925" t="str">
        <f>_xlfn.XLOOKUP(C925,tblProducts[product_id],tblProducts[product_name],"Missing")</f>
        <v>CRM Essentials</v>
      </c>
      <c r="P925" t="str">
        <f>_xlfn.XLOOKUP(C925,tblProducts[product_id],tblProducts[category],"Missing")</f>
        <v>CRM</v>
      </c>
      <c r="Q925" t="str">
        <f>_xlfn.XLOOKUP(D925,tblSalesReps[rep_id],tblSalesReps[rep_name],"Missing")</f>
        <v>Sales Rep 06</v>
      </c>
      <c r="R925" t="str">
        <f>_xlfn.XLOOKUP(D925,tblSalesReps[rep_id],tblSalesReps[region],"Missing")</f>
        <v>North</v>
      </c>
    </row>
    <row r="926" spans="1:18">
      <c r="A926" t="s">
        <v>1391</v>
      </c>
      <c r="B926" t="s">
        <v>298</v>
      </c>
      <c r="C926" t="s">
        <v>39</v>
      </c>
      <c r="D926" t="s">
        <v>53</v>
      </c>
      <c r="E926" s="1">
        <v>45809</v>
      </c>
      <c r="F926" s="1">
        <v>45865</v>
      </c>
      <c r="G926" s="1">
        <v>45865</v>
      </c>
      <c r="H926" t="s">
        <v>28</v>
      </c>
      <c r="I926">
        <v>1</v>
      </c>
      <c r="J926">
        <v>10</v>
      </c>
      <c r="K926">
        <v>162000</v>
      </c>
      <c r="L926">
        <v>100</v>
      </c>
      <c r="M926" t="s">
        <v>29</v>
      </c>
      <c r="N926" t="str">
        <f>_xlfn.XLOOKUP(B926,tblCustomers[customer_id],tblCustomers[region],"Missing")</f>
        <v>East</v>
      </c>
      <c r="O926" t="str">
        <f>_xlfn.XLOOKUP(C926,tblProducts[product_id],tblProducts[product_name],"Missing")</f>
        <v>Support Desk</v>
      </c>
      <c r="P926" t="str">
        <f>_xlfn.XLOOKUP(C926,tblProducts[product_id],tblProducts[category],"Missing")</f>
        <v>Service</v>
      </c>
      <c r="Q926" t="str">
        <f>_xlfn.XLOOKUP(D926,tblSalesReps[rep_id],tblSalesReps[rep_name],"Missing")</f>
        <v>Sales Rep 16</v>
      </c>
      <c r="R926" t="str">
        <f>_xlfn.XLOOKUP(D926,tblSalesReps[rep_id],tblSalesReps[region],"Missing")</f>
        <v>East</v>
      </c>
    </row>
    <row r="927" spans="1:18">
      <c r="A927" t="s">
        <v>1392</v>
      </c>
      <c r="B927" t="s">
        <v>639</v>
      </c>
      <c r="C927" t="s">
        <v>62</v>
      </c>
      <c r="D927" t="s">
        <v>22</v>
      </c>
      <c r="E927" s="1">
        <v>45799</v>
      </c>
      <c r="F927" s="1">
        <v>45876</v>
      </c>
      <c r="G927" s="1">
        <v>45876</v>
      </c>
      <c r="H927" t="s">
        <v>17</v>
      </c>
      <c r="I927">
        <v>1</v>
      </c>
      <c r="J927">
        <v>5</v>
      </c>
      <c r="K927">
        <v>114000</v>
      </c>
      <c r="L927">
        <v>0</v>
      </c>
      <c r="M927" t="s">
        <v>18</v>
      </c>
      <c r="N927" t="str">
        <f>_xlfn.XLOOKUP(B927,tblCustomers[customer_id],tblCustomers[region],"Missing")</f>
        <v>West</v>
      </c>
      <c r="O927" t="str">
        <f>_xlfn.XLOOKUP(C927,tblProducts[product_id],tblProducts[product_name],"Missing")</f>
        <v>CRM Essentials</v>
      </c>
      <c r="P927" t="str">
        <f>_xlfn.XLOOKUP(C927,tblProducts[product_id],tblProducts[category],"Missing")</f>
        <v>CRM</v>
      </c>
      <c r="Q927" t="str">
        <f>_xlfn.XLOOKUP(D927,tblSalesReps[rep_id],tblSalesReps[rep_name],"Missing")</f>
        <v>Sales Rep 14</v>
      </c>
      <c r="R927" t="str">
        <f>_xlfn.XLOOKUP(D927,tblSalesReps[rep_id],tblSalesReps[region],"Missing")</f>
        <v>West</v>
      </c>
    </row>
    <row r="928" spans="1:18">
      <c r="A928" t="s">
        <v>1393</v>
      </c>
      <c r="B928" t="s">
        <v>798</v>
      </c>
      <c r="C928" t="s">
        <v>26</v>
      </c>
      <c r="D928" t="s">
        <v>63</v>
      </c>
      <c r="E928" s="1">
        <v>45852</v>
      </c>
      <c r="F928" s="1">
        <v>45868</v>
      </c>
      <c r="G928" s="1">
        <v>45868</v>
      </c>
      <c r="H928" t="s">
        <v>17</v>
      </c>
      <c r="I928">
        <v>1</v>
      </c>
      <c r="J928">
        <v>0</v>
      </c>
      <c r="K928">
        <v>360000</v>
      </c>
      <c r="L928">
        <v>0</v>
      </c>
      <c r="M928" t="s">
        <v>82</v>
      </c>
      <c r="N928" t="str">
        <f>_xlfn.XLOOKUP(B928,tblCustomers[customer_id],tblCustomers[region],"Missing")</f>
        <v>South</v>
      </c>
      <c r="O928" t="str">
        <f>_xlfn.XLOOKUP(C928,tblProducts[product_id],tblProducts[product_name],"Missing")</f>
        <v>Security Suite</v>
      </c>
      <c r="P928" t="str">
        <f>_xlfn.XLOOKUP(C928,tblProducts[product_id],tblProducts[category],"Missing")</f>
        <v>Security</v>
      </c>
      <c r="Q928" t="str">
        <f>_xlfn.XLOOKUP(D928,tblSalesReps[rep_id],tblSalesReps[rep_name],"Missing")</f>
        <v>Sales Rep 05</v>
      </c>
      <c r="R928" t="str">
        <f>_xlfn.XLOOKUP(D928,tblSalesReps[rep_id],tblSalesReps[region],"Missing")</f>
        <v>South</v>
      </c>
    </row>
    <row r="929" spans="1:18">
      <c r="A929" t="s">
        <v>1394</v>
      </c>
      <c r="B929" t="s">
        <v>170</v>
      </c>
      <c r="C929" t="s">
        <v>81</v>
      </c>
      <c r="D929" t="s">
        <v>56</v>
      </c>
      <c r="E929" s="1">
        <v>45823</v>
      </c>
      <c r="F929" s="1">
        <v>45908</v>
      </c>
      <c r="G929" s="1">
        <v>45908</v>
      </c>
      <c r="H929" t="s">
        <v>28</v>
      </c>
      <c r="I929">
        <v>3</v>
      </c>
      <c r="J929">
        <v>10</v>
      </c>
      <c r="K929">
        <v>810000</v>
      </c>
      <c r="L929">
        <v>100</v>
      </c>
      <c r="M929" t="s">
        <v>29</v>
      </c>
      <c r="N929" t="str">
        <f>_xlfn.XLOOKUP(B929,tblCustomers[customer_id],tblCustomers[region],"Missing")</f>
        <v>East</v>
      </c>
      <c r="O929" t="str">
        <f>_xlfn.XLOOKUP(C929,tblProducts[product_id],tblProducts[product_name],"Missing")</f>
        <v>Analytics Cloud</v>
      </c>
      <c r="P929" t="str">
        <f>_xlfn.XLOOKUP(C929,tblProducts[product_id],tblProducts[category],"Missing")</f>
        <v>Analytics</v>
      </c>
      <c r="Q929" t="str">
        <f>_xlfn.XLOOKUP(D929,tblSalesReps[rep_id],tblSalesReps[rep_name],"Missing")</f>
        <v>Sales Rep 20</v>
      </c>
      <c r="R929" t="str">
        <f>_xlfn.XLOOKUP(D929,tblSalesReps[rep_id],tblSalesReps[region],"Missing")</f>
        <v>East</v>
      </c>
    </row>
    <row r="930" spans="1:18">
      <c r="A930" t="s">
        <v>1395</v>
      </c>
      <c r="B930" t="s">
        <v>529</v>
      </c>
      <c r="C930" t="s">
        <v>81</v>
      </c>
      <c r="D930" t="s">
        <v>63</v>
      </c>
      <c r="E930" s="1">
        <v>45761</v>
      </c>
      <c r="F930" s="1">
        <v>45786</v>
      </c>
      <c r="G930" s="1">
        <v>45786</v>
      </c>
      <c r="H930" t="s">
        <v>28</v>
      </c>
      <c r="I930">
        <v>2</v>
      </c>
      <c r="J930">
        <v>20</v>
      </c>
      <c r="K930">
        <v>480000</v>
      </c>
      <c r="L930">
        <v>100</v>
      </c>
      <c r="M930" t="s">
        <v>29</v>
      </c>
      <c r="N930" t="str">
        <f>_xlfn.XLOOKUP(B930,tblCustomers[customer_id],tblCustomers[region],"Missing")</f>
        <v>South</v>
      </c>
      <c r="O930" t="str">
        <f>_xlfn.XLOOKUP(C930,tblProducts[product_id],tblProducts[product_name],"Missing")</f>
        <v>Analytics Cloud</v>
      </c>
      <c r="P930" t="str">
        <f>_xlfn.XLOOKUP(C930,tblProducts[product_id],tblProducts[category],"Missing")</f>
        <v>Analytics</v>
      </c>
      <c r="Q930" t="str">
        <f>_xlfn.XLOOKUP(D930,tblSalesReps[rep_id],tblSalesReps[rep_name],"Missing")</f>
        <v>Sales Rep 05</v>
      </c>
      <c r="R930" t="str">
        <f>_xlfn.XLOOKUP(D930,tblSalesReps[rep_id],tblSalesReps[region],"Missing")</f>
        <v>South</v>
      </c>
    </row>
    <row r="931" spans="1:18">
      <c r="A931" t="s">
        <v>1396</v>
      </c>
      <c r="B931" t="s">
        <v>77</v>
      </c>
      <c r="C931" t="s">
        <v>39</v>
      </c>
      <c r="D931" t="s">
        <v>50</v>
      </c>
      <c r="E931" s="1">
        <v>45983</v>
      </c>
      <c r="F931" s="1">
        <v>46050</v>
      </c>
      <c r="G931" s="1"/>
      <c r="H931" t="s">
        <v>43</v>
      </c>
      <c r="I931">
        <v>3</v>
      </c>
      <c r="J931">
        <v>15</v>
      </c>
      <c r="K931">
        <v>459000</v>
      </c>
      <c r="L931">
        <v>20</v>
      </c>
      <c r="M931" t="s">
        <v>29</v>
      </c>
      <c r="N931" t="str">
        <f>_xlfn.XLOOKUP(B931,tblCustomers[customer_id],tblCustomers[region],"Missing")</f>
        <v>West</v>
      </c>
      <c r="O931" t="str">
        <f>_xlfn.XLOOKUP(C931,tblProducts[product_id],tblProducts[product_name],"Missing")</f>
        <v>Support Desk</v>
      </c>
      <c r="P931" t="str">
        <f>_xlfn.XLOOKUP(C931,tblProducts[product_id],tblProducts[category],"Missing")</f>
        <v>Service</v>
      </c>
      <c r="Q931" t="str">
        <f>_xlfn.XLOOKUP(D931,tblSalesReps[rep_id],tblSalesReps[rep_name],"Missing")</f>
        <v>Sales Rep 15</v>
      </c>
      <c r="R931" t="str">
        <f>_xlfn.XLOOKUP(D931,tblSalesReps[rep_id],tblSalesReps[region],"Missing")</f>
        <v>West</v>
      </c>
    </row>
    <row r="932" spans="1:18">
      <c r="A932" t="s">
        <v>1397</v>
      </c>
      <c r="B932" t="s">
        <v>1398</v>
      </c>
      <c r="C932" t="s">
        <v>39</v>
      </c>
      <c r="D932" t="s">
        <v>78</v>
      </c>
      <c r="E932" s="1">
        <v>45722</v>
      </c>
      <c r="F932" s="1">
        <v>45740</v>
      </c>
      <c r="G932" s="1">
        <v>45740</v>
      </c>
      <c r="H932" t="s">
        <v>28</v>
      </c>
      <c r="I932">
        <v>1</v>
      </c>
      <c r="J932">
        <v>15</v>
      </c>
      <c r="K932">
        <v>153000</v>
      </c>
      <c r="L932">
        <v>100</v>
      </c>
      <c r="M932" t="s">
        <v>29</v>
      </c>
      <c r="N932" t="str">
        <f>_xlfn.XLOOKUP(B932,tblCustomers[customer_id],tblCustomers[region],"Missing")</f>
        <v>West</v>
      </c>
      <c r="O932" t="str">
        <f>_xlfn.XLOOKUP(C932,tblProducts[product_id],tblProducts[product_name],"Missing")</f>
        <v>Support Desk</v>
      </c>
      <c r="P932" t="str">
        <f>_xlfn.XLOOKUP(C932,tblProducts[product_id],tblProducts[category],"Missing")</f>
        <v>Service</v>
      </c>
      <c r="Q932" t="str">
        <f>_xlfn.XLOOKUP(D932,tblSalesReps[rep_id],tblSalesReps[rep_name],"Missing")</f>
        <v>Sales Rep 12</v>
      </c>
      <c r="R932" t="str">
        <f>_xlfn.XLOOKUP(D932,tblSalesReps[rep_id],tblSalesReps[region],"Missing")</f>
        <v>West</v>
      </c>
    </row>
    <row r="933" spans="1:18">
      <c r="A933" t="s">
        <v>1399</v>
      </c>
      <c r="B933" t="s">
        <v>1400</v>
      </c>
      <c r="C933" t="s">
        <v>21</v>
      </c>
      <c r="D933" t="s">
        <v>50</v>
      </c>
      <c r="E933" s="1">
        <v>45818</v>
      </c>
      <c r="F933" s="1">
        <v>45840</v>
      </c>
      <c r="G933" s="1"/>
      <c r="H933" t="s">
        <v>43</v>
      </c>
      <c r="I933">
        <v>2</v>
      </c>
      <c r="J933">
        <v>15</v>
      </c>
      <c r="K933">
        <v>408000</v>
      </c>
      <c r="L933">
        <v>80</v>
      </c>
      <c r="M933" t="s">
        <v>29</v>
      </c>
      <c r="N933" t="str">
        <f>_xlfn.XLOOKUP(B933,tblCustomers[customer_id],tblCustomers[region],"Missing")</f>
        <v>West</v>
      </c>
      <c r="O933" t="str">
        <f>_xlfn.XLOOKUP(C933,tblProducts[product_id],tblProducts[product_name],"Missing")</f>
        <v>Workflow Automate</v>
      </c>
      <c r="P933" t="str">
        <f>_xlfn.XLOOKUP(C933,tblProducts[product_id],tblProducts[category],"Missing")</f>
        <v>Automation</v>
      </c>
      <c r="Q933" t="str">
        <f>_xlfn.XLOOKUP(D933,tblSalesReps[rep_id],tblSalesReps[rep_name],"Missing")</f>
        <v>Sales Rep 15</v>
      </c>
      <c r="R933" t="str">
        <f>_xlfn.XLOOKUP(D933,tblSalesReps[rep_id],tblSalesReps[region],"Missing")</f>
        <v>West</v>
      </c>
    </row>
    <row r="934" spans="1:18">
      <c r="A934" t="s">
        <v>1401</v>
      </c>
      <c r="B934" t="s">
        <v>628</v>
      </c>
      <c r="C934" t="s">
        <v>26</v>
      </c>
      <c r="D934" t="s">
        <v>56</v>
      </c>
      <c r="E934" s="1">
        <v>45732</v>
      </c>
      <c r="F934" s="1">
        <v>45816</v>
      </c>
      <c r="G934" s="1">
        <v>45816</v>
      </c>
      <c r="H934" t="s">
        <v>28</v>
      </c>
      <c r="I934">
        <v>3</v>
      </c>
      <c r="J934">
        <v>15</v>
      </c>
      <c r="K934">
        <v>918000</v>
      </c>
      <c r="L934">
        <v>100</v>
      </c>
      <c r="M934" t="s">
        <v>29</v>
      </c>
      <c r="N934" t="str">
        <f>_xlfn.XLOOKUP(B934,tblCustomers[customer_id],tblCustomers[region],"Missing")</f>
        <v>East</v>
      </c>
      <c r="O934" t="str">
        <f>_xlfn.XLOOKUP(C934,tblProducts[product_id],tblProducts[product_name],"Missing")</f>
        <v>Security Suite</v>
      </c>
      <c r="P934" t="str">
        <f>_xlfn.XLOOKUP(C934,tblProducts[product_id],tblProducts[category],"Missing")</f>
        <v>Security</v>
      </c>
      <c r="Q934" t="str">
        <f>_xlfn.XLOOKUP(D934,tblSalesReps[rep_id],tblSalesReps[rep_name],"Missing")</f>
        <v>Sales Rep 20</v>
      </c>
      <c r="R934" t="str">
        <f>_xlfn.XLOOKUP(D934,tblSalesReps[rep_id],tblSalesReps[region],"Missing")</f>
        <v>East</v>
      </c>
    </row>
    <row r="935" spans="1:18">
      <c r="A935" t="s">
        <v>1402</v>
      </c>
      <c r="B935" t="s">
        <v>1403</v>
      </c>
      <c r="C935" t="s">
        <v>15</v>
      </c>
      <c r="D935" t="s">
        <v>27</v>
      </c>
      <c r="E935" s="1">
        <v>45941</v>
      </c>
      <c r="F935" s="1">
        <v>45985</v>
      </c>
      <c r="G935" s="1">
        <v>45985</v>
      </c>
      <c r="H935" t="s">
        <v>28</v>
      </c>
      <c r="I935">
        <v>1</v>
      </c>
      <c r="J935">
        <v>15</v>
      </c>
      <c r="K935">
        <v>357000</v>
      </c>
      <c r="L935">
        <v>100</v>
      </c>
      <c r="M935" t="s">
        <v>29</v>
      </c>
      <c r="N935" t="str">
        <f>_xlfn.XLOOKUP(B935,tblCustomers[customer_id],tblCustomers[region],"Missing")</f>
        <v>North</v>
      </c>
      <c r="O935" t="str">
        <f>_xlfn.XLOOKUP(C935,tblProducts[product_id],tblProducts[product_name],"Missing")</f>
        <v>CRM Enterprise</v>
      </c>
      <c r="P935" t="str">
        <f>_xlfn.XLOOKUP(C935,tblProducts[product_id],tblProducts[category],"Missing")</f>
        <v>CRM</v>
      </c>
      <c r="Q935" t="str">
        <f>_xlfn.XLOOKUP(D935,tblSalesReps[rep_id],tblSalesReps[rep_name],"Missing")</f>
        <v>Sales Rep 06</v>
      </c>
      <c r="R935" t="str">
        <f>_xlfn.XLOOKUP(D935,tblSalesReps[rep_id],tblSalesReps[region],"Missing")</f>
        <v>North</v>
      </c>
    </row>
    <row r="936" spans="1:18">
      <c r="A936" t="s">
        <v>1404</v>
      </c>
      <c r="B936" t="s">
        <v>1405</v>
      </c>
      <c r="C936" t="s">
        <v>26</v>
      </c>
      <c r="D936" t="s">
        <v>53</v>
      </c>
      <c r="E936" s="1">
        <v>45690</v>
      </c>
      <c r="F936" s="1">
        <v>45725</v>
      </c>
      <c r="G936" s="1">
        <v>45725</v>
      </c>
      <c r="H936" t="s">
        <v>17</v>
      </c>
      <c r="I936">
        <v>1</v>
      </c>
      <c r="J936">
        <v>15</v>
      </c>
      <c r="K936">
        <v>306000</v>
      </c>
      <c r="L936">
        <v>0</v>
      </c>
      <c r="M936" t="s">
        <v>23</v>
      </c>
      <c r="N936" t="str">
        <f>_xlfn.XLOOKUP(B936,tblCustomers[customer_id],tblCustomers[region],"Missing")</f>
        <v>East</v>
      </c>
      <c r="O936" t="str">
        <f>_xlfn.XLOOKUP(C936,tblProducts[product_id],tblProducts[product_name],"Missing")</f>
        <v>Security Suite</v>
      </c>
      <c r="P936" t="str">
        <f>_xlfn.XLOOKUP(C936,tblProducts[product_id],tblProducts[category],"Missing")</f>
        <v>Security</v>
      </c>
      <c r="Q936" t="str">
        <f>_xlfn.XLOOKUP(D936,tblSalesReps[rep_id],tblSalesReps[rep_name],"Missing")</f>
        <v>Sales Rep 16</v>
      </c>
      <c r="R936" t="str">
        <f>_xlfn.XLOOKUP(D936,tblSalesReps[rep_id],tblSalesReps[region],"Missing")</f>
        <v>East</v>
      </c>
    </row>
    <row r="937" spans="1:18">
      <c r="A937" t="s">
        <v>1406</v>
      </c>
      <c r="B937" t="s">
        <v>698</v>
      </c>
      <c r="C937" t="s">
        <v>26</v>
      </c>
      <c r="D937" t="s">
        <v>119</v>
      </c>
      <c r="E937" s="1">
        <v>45751</v>
      </c>
      <c r="F937" s="1">
        <v>45791</v>
      </c>
      <c r="G937" s="1">
        <v>45791</v>
      </c>
      <c r="H937" t="s">
        <v>28</v>
      </c>
      <c r="I937">
        <v>2</v>
      </c>
      <c r="J937">
        <v>5</v>
      </c>
      <c r="K937">
        <v>684000</v>
      </c>
      <c r="L937">
        <v>100</v>
      </c>
      <c r="M937" t="s">
        <v>29</v>
      </c>
      <c r="N937" t="str">
        <f>_xlfn.XLOOKUP(B937,tblCustomers[customer_id],tblCustomers[region],"Missing")</f>
        <v>North</v>
      </c>
      <c r="O937" t="str">
        <f>_xlfn.XLOOKUP(C937,tblProducts[product_id],tblProducts[product_name],"Missing")</f>
        <v>Security Suite</v>
      </c>
      <c r="P937" t="str">
        <f>_xlfn.XLOOKUP(C937,tblProducts[product_id],tblProducts[category],"Missing")</f>
        <v>Security</v>
      </c>
      <c r="Q937" t="str">
        <f>_xlfn.XLOOKUP(D937,tblSalesReps[rep_id],tblSalesReps[rep_name],"Missing")</f>
        <v>Sales Rep 10</v>
      </c>
      <c r="R937" t="str">
        <f>_xlfn.XLOOKUP(D937,tblSalesReps[rep_id],tblSalesReps[region],"Missing")</f>
        <v>North</v>
      </c>
    </row>
    <row r="938" spans="1:18">
      <c r="A938" t="s">
        <v>1407</v>
      </c>
      <c r="B938" t="s">
        <v>1408</v>
      </c>
      <c r="C938" t="s">
        <v>21</v>
      </c>
      <c r="D938" t="s">
        <v>119</v>
      </c>
      <c r="E938" s="1">
        <v>45986</v>
      </c>
      <c r="F938" s="1">
        <v>46000</v>
      </c>
      <c r="G938" s="1">
        <v>46000</v>
      </c>
      <c r="H938" t="s">
        <v>17</v>
      </c>
      <c r="I938">
        <v>1</v>
      </c>
      <c r="J938">
        <v>0</v>
      </c>
      <c r="K938">
        <v>240000</v>
      </c>
      <c r="L938">
        <v>0</v>
      </c>
      <c r="M938" t="s">
        <v>23</v>
      </c>
      <c r="N938" t="str">
        <f>_xlfn.XLOOKUP(B938,tblCustomers[customer_id],tblCustomers[region],"Missing")</f>
        <v>North</v>
      </c>
      <c r="O938" t="str">
        <f>_xlfn.XLOOKUP(C938,tblProducts[product_id],tblProducts[product_name],"Missing")</f>
        <v>Workflow Automate</v>
      </c>
      <c r="P938" t="str">
        <f>_xlfn.XLOOKUP(C938,tblProducts[product_id],tblProducts[category],"Missing")</f>
        <v>Automation</v>
      </c>
      <c r="Q938" t="str">
        <f>_xlfn.XLOOKUP(D938,tblSalesReps[rep_id],tblSalesReps[rep_name],"Missing")</f>
        <v>Sales Rep 10</v>
      </c>
      <c r="R938" t="str">
        <f>_xlfn.XLOOKUP(D938,tblSalesReps[rep_id],tblSalesReps[region],"Missing")</f>
        <v>North</v>
      </c>
    </row>
    <row r="939" spans="1:18">
      <c r="A939" t="s">
        <v>1409</v>
      </c>
      <c r="B939" t="s">
        <v>376</v>
      </c>
      <c r="C939" t="s">
        <v>62</v>
      </c>
      <c r="D939" t="s">
        <v>40</v>
      </c>
      <c r="E939" s="1">
        <v>45774</v>
      </c>
      <c r="F939" s="1">
        <v>45837</v>
      </c>
      <c r="G939" s="1"/>
      <c r="H939" t="s">
        <v>43</v>
      </c>
      <c r="I939">
        <v>1</v>
      </c>
      <c r="J939">
        <v>20</v>
      </c>
      <c r="K939">
        <v>96000</v>
      </c>
      <c r="L939">
        <v>40</v>
      </c>
      <c r="M939" t="s">
        <v>29</v>
      </c>
      <c r="N939" t="str">
        <f>_xlfn.XLOOKUP(B939,tblCustomers[customer_id],tblCustomers[region],"Missing")</f>
        <v>West</v>
      </c>
      <c r="O939" t="str">
        <f>_xlfn.XLOOKUP(C939,tblProducts[product_id],tblProducts[product_name],"Missing")</f>
        <v>CRM Essentials</v>
      </c>
      <c r="P939" t="str">
        <f>_xlfn.XLOOKUP(C939,tblProducts[product_id],tblProducts[category],"Missing")</f>
        <v>CRM</v>
      </c>
      <c r="Q939" t="str">
        <f>_xlfn.XLOOKUP(D939,tblSalesReps[rep_id],tblSalesReps[rep_name],"Missing")</f>
        <v>Sales Rep 13</v>
      </c>
      <c r="R939" t="str">
        <f>_xlfn.XLOOKUP(D939,tblSalesReps[rep_id],tblSalesReps[region],"Missing")</f>
        <v>West</v>
      </c>
    </row>
    <row r="940" spans="1:18">
      <c r="A940" t="s">
        <v>1410</v>
      </c>
      <c r="B940" t="s">
        <v>662</v>
      </c>
      <c r="C940" t="s">
        <v>81</v>
      </c>
      <c r="D940" t="s">
        <v>91</v>
      </c>
      <c r="E940" s="1">
        <v>46016</v>
      </c>
      <c r="F940" s="1">
        <v>46034</v>
      </c>
      <c r="G940" s="1"/>
      <c r="H940" t="s">
        <v>43</v>
      </c>
      <c r="I940">
        <v>3</v>
      </c>
      <c r="J940">
        <v>20</v>
      </c>
      <c r="K940">
        <v>720000</v>
      </c>
      <c r="L940">
        <v>60</v>
      </c>
      <c r="M940" t="s">
        <v>29</v>
      </c>
      <c r="N940" t="str">
        <f>_xlfn.XLOOKUP(B940,tblCustomers[customer_id],tblCustomers[region],"Missing")</f>
        <v>South</v>
      </c>
      <c r="O940" t="str">
        <f>_xlfn.XLOOKUP(C940,tblProducts[product_id],tblProducts[product_name],"Missing")</f>
        <v>Analytics Cloud</v>
      </c>
      <c r="P940" t="str">
        <f>_xlfn.XLOOKUP(C940,tblProducts[product_id],tblProducts[category],"Missing")</f>
        <v>Analytics</v>
      </c>
      <c r="Q940" t="str">
        <f>_xlfn.XLOOKUP(D940,tblSalesReps[rep_id],tblSalesReps[rep_name],"Missing")</f>
        <v>Sales Rep 03</v>
      </c>
      <c r="R940" t="str">
        <f>_xlfn.XLOOKUP(D940,tblSalesReps[rep_id],tblSalesReps[region],"Missing")</f>
        <v>South</v>
      </c>
    </row>
    <row r="941" spans="1:18">
      <c r="A941" t="s">
        <v>1411</v>
      </c>
      <c r="B941" t="s">
        <v>1255</v>
      </c>
      <c r="C941" t="s">
        <v>81</v>
      </c>
      <c r="D941" t="s">
        <v>91</v>
      </c>
      <c r="E941" s="1">
        <v>45725</v>
      </c>
      <c r="F941" s="1">
        <v>45767</v>
      </c>
      <c r="G941" s="1">
        <v>45767</v>
      </c>
      <c r="H941" t="s">
        <v>17</v>
      </c>
      <c r="I941">
        <v>2</v>
      </c>
      <c r="J941">
        <v>0</v>
      </c>
      <c r="K941">
        <v>600000</v>
      </c>
      <c r="L941">
        <v>0</v>
      </c>
      <c r="M941" t="s">
        <v>23</v>
      </c>
      <c r="N941" t="str">
        <f>_xlfn.XLOOKUP(B941,tblCustomers[customer_id],tblCustomers[region],"Missing")</f>
        <v>South</v>
      </c>
      <c r="O941" t="str">
        <f>_xlfn.XLOOKUP(C941,tblProducts[product_id],tblProducts[product_name],"Missing")</f>
        <v>Analytics Cloud</v>
      </c>
      <c r="P941" t="str">
        <f>_xlfn.XLOOKUP(C941,tblProducts[product_id],tblProducts[category],"Missing")</f>
        <v>Analytics</v>
      </c>
      <c r="Q941" t="str">
        <f>_xlfn.XLOOKUP(D941,tblSalesReps[rep_id],tblSalesReps[rep_name],"Missing")</f>
        <v>Sales Rep 03</v>
      </c>
      <c r="R941" t="str">
        <f>_xlfn.XLOOKUP(D941,tblSalesReps[rep_id],tblSalesReps[region],"Missing")</f>
        <v>South</v>
      </c>
    </row>
    <row r="942" spans="1:18">
      <c r="A942" t="s">
        <v>1412</v>
      </c>
      <c r="B942" t="s">
        <v>773</v>
      </c>
      <c r="C942" t="s">
        <v>62</v>
      </c>
      <c r="D942" t="s">
        <v>168</v>
      </c>
      <c r="E942" s="1">
        <v>45838</v>
      </c>
      <c r="F942" s="1">
        <v>45923</v>
      </c>
      <c r="G942" s="1"/>
      <c r="H942" t="s">
        <v>43</v>
      </c>
      <c r="I942">
        <v>2</v>
      </c>
      <c r="J942">
        <v>5</v>
      </c>
      <c r="K942">
        <v>228000</v>
      </c>
      <c r="L942">
        <v>40</v>
      </c>
      <c r="M942" t="s">
        <v>29</v>
      </c>
      <c r="N942" t="str">
        <f>_xlfn.XLOOKUP(B942,tblCustomers[customer_id],tblCustomers[region],"Missing")</f>
        <v>East</v>
      </c>
      <c r="O942" t="str">
        <f>_xlfn.XLOOKUP(C942,tblProducts[product_id],tblProducts[product_name],"Missing")</f>
        <v>CRM Essentials</v>
      </c>
      <c r="P942" t="str">
        <f>_xlfn.XLOOKUP(C942,tblProducts[product_id],tblProducts[category],"Missing")</f>
        <v>CRM</v>
      </c>
      <c r="Q942" t="str">
        <f>_xlfn.XLOOKUP(D942,tblSalesReps[rep_id],tblSalesReps[rep_name],"Missing")</f>
        <v>Sales Rep 17</v>
      </c>
      <c r="R942" t="str">
        <f>_xlfn.XLOOKUP(D942,tblSalesReps[rep_id],tblSalesReps[region],"Missing")</f>
        <v>East</v>
      </c>
    </row>
    <row r="943" spans="1:18">
      <c r="A943" t="s">
        <v>1413</v>
      </c>
      <c r="B943" t="s">
        <v>343</v>
      </c>
      <c r="C943" t="s">
        <v>15</v>
      </c>
      <c r="D943" t="s">
        <v>152</v>
      </c>
      <c r="E943" s="1">
        <v>45735</v>
      </c>
      <c r="F943" s="1">
        <v>45749</v>
      </c>
      <c r="G943" s="1">
        <v>45749</v>
      </c>
      <c r="H943" t="s">
        <v>17</v>
      </c>
      <c r="I943">
        <v>2</v>
      </c>
      <c r="J943">
        <v>10</v>
      </c>
      <c r="K943">
        <v>756000</v>
      </c>
      <c r="L943">
        <v>0</v>
      </c>
      <c r="M943" t="s">
        <v>23</v>
      </c>
      <c r="N943" t="str">
        <f>_xlfn.XLOOKUP(B943,tblCustomers[customer_id],tblCustomers[region],"Missing")</f>
        <v>East</v>
      </c>
      <c r="O943" t="str">
        <f>_xlfn.XLOOKUP(C943,tblProducts[product_id],tblProducts[product_name],"Missing")</f>
        <v>CRM Enterprise</v>
      </c>
      <c r="P943" t="str">
        <f>_xlfn.XLOOKUP(C943,tblProducts[product_id],tblProducts[category],"Missing")</f>
        <v>CRM</v>
      </c>
      <c r="Q943" t="str">
        <f>_xlfn.XLOOKUP(D943,tblSalesReps[rep_id],tblSalesReps[rep_name],"Missing")</f>
        <v>Sales Rep 18</v>
      </c>
      <c r="R943" t="str">
        <f>_xlfn.XLOOKUP(D943,tblSalesReps[rep_id],tblSalesReps[region],"Missing")</f>
        <v>East</v>
      </c>
    </row>
    <row r="944" spans="1:18">
      <c r="A944" t="s">
        <v>1414</v>
      </c>
      <c r="B944" t="s">
        <v>1415</v>
      </c>
      <c r="C944" t="s">
        <v>15</v>
      </c>
      <c r="D944" t="s">
        <v>59</v>
      </c>
      <c r="E944" s="1">
        <v>45980</v>
      </c>
      <c r="F944" s="1">
        <v>46025</v>
      </c>
      <c r="G944" s="1"/>
      <c r="H944" t="s">
        <v>43</v>
      </c>
      <c r="I944">
        <v>2</v>
      </c>
      <c r="J944">
        <v>5</v>
      </c>
      <c r="K944">
        <v>798000</v>
      </c>
      <c r="L944">
        <v>20</v>
      </c>
      <c r="M944" t="s">
        <v>29</v>
      </c>
      <c r="N944" t="str">
        <f>_xlfn.XLOOKUP(B944,tblCustomers[customer_id],tblCustomers[region],"Missing")</f>
        <v>East</v>
      </c>
      <c r="O944" t="str">
        <f>_xlfn.XLOOKUP(C944,tblProducts[product_id],tblProducts[product_name],"Missing")</f>
        <v>CRM Enterprise</v>
      </c>
      <c r="P944" t="str">
        <f>_xlfn.XLOOKUP(C944,tblProducts[product_id],tblProducts[category],"Missing")</f>
        <v>CRM</v>
      </c>
      <c r="Q944" t="str">
        <f>_xlfn.XLOOKUP(D944,tblSalesReps[rep_id],tblSalesReps[rep_name],"Missing")</f>
        <v>Sales Rep 19</v>
      </c>
      <c r="R944" t="str">
        <f>_xlfn.XLOOKUP(D944,tblSalesReps[rep_id],tblSalesReps[region],"Missing")</f>
        <v>East</v>
      </c>
    </row>
    <row r="945" spans="1:18">
      <c r="A945" t="s">
        <v>1416</v>
      </c>
      <c r="B945" t="s">
        <v>499</v>
      </c>
      <c r="C945" t="s">
        <v>62</v>
      </c>
      <c r="D945" t="s">
        <v>40</v>
      </c>
      <c r="E945" s="1">
        <v>45861</v>
      </c>
      <c r="F945" s="1">
        <v>45940</v>
      </c>
      <c r="G945" s="1">
        <v>45940</v>
      </c>
      <c r="H945" t="s">
        <v>28</v>
      </c>
      <c r="I945">
        <v>1</v>
      </c>
      <c r="J945">
        <v>0</v>
      </c>
      <c r="K945">
        <v>120000</v>
      </c>
      <c r="L945">
        <v>100</v>
      </c>
      <c r="M945" t="s">
        <v>29</v>
      </c>
      <c r="N945" t="str">
        <f>_xlfn.XLOOKUP(B945,tblCustomers[customer_id],tblCustomers[region],"Missing")</f>
        <v>West</v>
      </c>
      <c r="O945" t="str">
        <f>_xlfn.XLOOKUP(C945,tblProducts[product_id],tblProducts[product_name],"Missing")</f>
        <v>CRM Essentials</v>
      </c>
      <c r="P945" t="str">
        <f>_xlfn.XLOOKUP(C945,tblProducts[product_id],tblProducts[category],"Missing")</f>
        <v>CRM</v>
      </c>
      <c r="Q945" t="str">
        <f>_xlfn.XLOOKUP(D945,tblSalesReps[rep_id],tblSalesReps[rep_name],"Missing")</f>
        <v>Sales Rep 13</v>
      </c>
      <c r="R945" t="str">
        <f>_xlfn.XLOOKUP(D945,tblSalesReps[rep_id],tblSalesReps[region],"Missing")</f>
        <v>West</v>
      </c>
    </row>
    <row r="946" spans="1:18">
      <c r="A946" t="s">
        <v>1417</v>
      </c>
      <c r="B946" t="s">
        <v>367</v>
      </c>
      <c r="C946" t="s">
        <v>81</v>
      </c>
      <c r="D946" t="s">
        <v>56</v>
      </c>
      <c r="E946" s="1">
        <v>45856</v>
      </c>
      <c r="F946" s="1">
        <v>45865</v>
      </c>
      <c r="G946" s="1">
        <v>45865</v>
      </c>
      <c r="H946" t="s">
        <v>28</v>
      </c>
      <c r="I946">
        <v>1</v>
      </c>
      <c r="J946">
        <v>10</v>
      </c>
      <c r="K946">
        <v>270000</v>
      </c>
      <c r="L946">
        <v>100</v>
      </c>
      <c r="M946" t="s">
        <v>29</v>
      </c>
      <c r="N946" t="str">
        <f>_xlfn.XLOOKUP(B946,tblCustomers[customer_id],tblCustomers[region],"Missing")</f>
        <v>East</v>
      </c>
      <c r="O946" t="str">
        <f>_xlfn.XLOOKUP(C946,tblProducts[product_id],tblProducts[product_name],"Missing")</f>
        <v>Analytics Cloud</v>
      </c>
      <c r="P946" t="str">
        <f>_xlfn.XLOOKUP(C946,tblProducts[product_id],tblProducts[category],"Missing")</f>
        <v>Analytics</v>
      </c>
      <c r="Q946" t="str">
        <f>_xlfn.XLOOKUP(D946,tblSalesReps[rep_id],tblSalesReps[rep_name],"Missing")</f>
        <v>Sales Rep 20</v>
      </c>
      <c r="R946" t="str">
        <f>_xlfn.XLOOKUP(D946,tblSalesReps[rep_id],tblSalesReps[region],"Missing")</f>
        <v>East</v>
      </c>
    </row>
    <row r="947" spans="1:18">
      <c r="A947" t="s">
        <v>1418</v>
      </c>
      <c r="B947" t="s">
        <v>104</v>
      </c>
      <c r="C947" t="s">
        <v>62</v>
      </c>
      <c r="D947" t="s">
        <v>78</v>
      </c>
      <c r="E947" s="1">
        <v>45658</v>
      </c>
      <c r="F947" s="1">
        <v>45682</v>
      </c>
      <c r="G947" s="1"/>
      <c r="H947" t="s">
        <v>43</v>
      </c>
      <c r="I947">
        <v>1</v>
      </c>
      <c r="J947">
        <v>15</v>
      </c>
      <c r="K947">
        <v>102000</v>
      </c>
      <c r="L947">
        <v>60</v>
      </c>
      <c r="M947" t="s">
        <v>29</v>
      </c>
      <c r="N947" t="str">
        <f>_xlfn.XLOOKUP(B947,tblCustomers[customer_id],tblCustomers[region],"Missing")</f>
        <v>West</v>
      </c>
      <c r="O947" t="str">
        <f>_xlfn.XLOOKUP(C947,tblProducts[product_id],tblProducts[product_name],"Missing")</f>
        <v>CRM Essentials</v>
      </c>
      <c r="P947" t="str">
        <f>_xlfn.XLOOKUP(C947,tblProducts[product_id],tblProducts[category],"Missing")</f>
        <v>CRM</v>
      </c>
      <c r="Q947" t="str">
        <f>_xlfn.XLOOKUP(D947,tblSalesReps[rep_id],tblSalesReps[rep_name],"Missing")</f>
        <v>Sales Rep 12</v>
      </c>
      <c r="R947" t="str">
        <f>_xlfn.XLOOKUP(D947,tblSalesReps[rep_id],tblSalesReps[region],"Missing")</f>
        <v>West</v>
      </c>
    </row>
    <row r="948" spans="1:18">
      <c r="A948" t="s">
        <v>1419</v>
      </c>
      <c r="B948" t="s">
        <v>1420</v>
      </c>
      <c r="C948" t="s">
        <v>26</v>
      </c>
      <c r="D948" t="s">
        <v>56</v>
      </c>
      <c r="E948" s="1">
        <v>45790</v>
      </c>
      <c r="F948" s="1">
        <v>45840</v>
      </c>
      <c r="G948" s="1">
        <v>45840</v>
      </c>
      <c r="H948" t="s">
        <v>17</v>
      </c>
      <c r="I948">
        <v>1</v>
      </c>
      <c r="J948">
        <v>15</v>
      </c>
      <c r="K948">
        <v>306000</v>
      </c>
      <c r="L948">
        <v>0</v>
      </c>
      <c r="M948" t="s">
        <v>23</v>
      </c>
      <c r="N948" t="str">
        <f>_xlfn.XLOOKUP(B948,tblCustomers[customer_id],tblCustomers[region],"Missing")</f>
        <v>East</v>
      </c>
      <c r="O948" t="str">
        <f>_xlfn.XLOOKUP(C948,tblProducts[product_id],tblProducts[product_name],"Missing")</f>
        <v>Security Suite</v>
      </c>
      <c r="P948" t="str">
        <f>_xlfn.XLOOKUP(C948,tblProducts[product_id],tblProducts[category],"Missing")</f>
        <v>Security</v>
      </c>
      <c r="Q948" t="str">
        <f>_xlfn.XLOOKUP(D948,tblSalesReps[rep_id],tblSalesReps[rep_name],"Missing")</f>
        <v>Sales Rep 20</v>
      </c>
      <c r="R948" t="str">
        <f>_xlfn.XLOOKUP(D948,tblSalesReps[rep_id],tblSalesReps[region],"Missing")</f>
        <v>East</v>
      </c>
    </row>
    <row r="949" spans="1:18">
      <c r="A949" t="s">
        <v>1421</v>
      </c>
      <c r="B949" t="s">
        <v>1092</v>
      </c>
      <c r="C949" t="s">
        <v>62</v>
      </c>
      <c r="D949" t="s">
        <v>53</v>
      </c>
      <c r="E949" s="1">
        <v>45662</v>
      </c>
      <c r="F949" s="1">
        <v>45705</v>
      </c>
      <c r="G949" s="1"/>
      <c r="H949" t="s">
        <v>43</v>
      </c>
      <c r="I949">
        <v>3</v>
      </c>
      <c r="J949">
        <v>5</v>
      </c>
      <c r="K949">
        <v>342000</v>
      </c>
      <c r="L949">
        <v>60</v>
      </c>
      <c r="M949" t="s">
        <v>29</v>
      </c>
      <c r="N949" t="str">
        <f>_xlfn.XLOOKUP(B949,tblCustomers[customer_id],tblCustomers[region],"Missing")</f>
        <v>East</v>
      </c>
      <c r="O949" t="str">
        <f>_xlfn.XLOOKUP(C949,tblProducts[product_id],tblProducts[product_name],"Missing")</f>
        <v>CRM Essentials</v>
      </c>
      <c r="P949" t="str">
        <f>_xlfn.XLOOKUP(C949,tblProducts[product_id],tblProducts[category],"Missing")</f>
        <v>CRM</v>
      </c>
      <c r="Q949" t="str">
        <f>_xlfn.XLOOKUP(D949,tblSalesReps[rep_id],tblSalesReps[rep_name],"Missing")</f>
        <v>Sales Rep 16</v>
      </c>
      <c r="R949" t="str">
        <f>_xlfn.XLOOKUP(D949,tblSalesReps[rep_id],tblSalesReps[region],"Missing")</f>
        <v>East</v>
      </c>
    </row>
    <row r="950" spans="1:18">
      <c r="A950" t="s">
        <v>1422</v>
      </c>
      <c r="B950" t="s">
        <v>341</v>
      </c>
      <c r="C950" t="s">
        <v>62</v>
      </c>
      <c r="D950" t="s">
        <v>168</v>
      </c>
      <c r="E950" s="1">
        <v>45877</v>
      </c>
      <c r="F950" s="1">
        <v>45962</v>
      </c>
      <c r="G950" s="1">
        <v>45962</v>
      </c>
      <c r="H950" t="s">
        <v>28</v>
      </c>
      <c r="I950">
        <v>1</v>
      </c>
      <c r="J950">
        <v>0</v>
      </c>
      <c r="K950">
        <v>120000</v>
      </c>
      <c r="L950">
        <v>100</v>
      </c>
      <c r="M950" t="s">
        <v>29</v>
      </c>
      <c r="N950" t="str">
        <f>_xlfn.XLOOKUP(B950,tblCustomers[customer_id],tblCustomers[region],"Missing")</f>
        <v>East</v>
      </c>
      <c r="O950" t="str">
        <f>_xlfn.XLOOKUP(C950,tblProducts[product_id],tblProducts[product_name],"Missing")</f>
        <v>CRM Essentials</v>
      </c>
      <c r="P950" t="str">
        <f>_xlfn.XLOOKUP(C950,tblProducts[product_id],tblProducts[category],"Missing")</f>
        <v>CRM</v>
      </c>
      <c r="Q950" t="str">
        <f>_xlfn.XLOOKUP(D950,tblSalesReps[rep_id],tblSalesReps[rep_name],"Missing")</f>
        <v>Sales Rep 17</v>
      </c>
      <c r="R950" t="str">
        <f>_xlfn.XLOOKUP(D950,tblSalesReps[rep_id],tblSalesReps[region],"Missing")</f>
        <v>East</v>
      </c>
    </row>
    <row r="951" spans="1:18">
      <c r="A951" t="s">
        <v>1423</v>
      </c>
      <c r="B951" t="s">
        <v>589</v>
      </c>
      <c r="C951" t="s">
        <v>21</v>
      </c>
      <c r="D951" t="s">
        <v>56</v>
      </c>
      <c r="E951" s="1">
        <v>45832</v>
      </c>
      <c r="F951" s="1">
        <v>45885</v>
      </c>
      <c r="G951" s="1">
        <v>45885</v>
      </c>
      <c r="H951" t="s">
        <v>28</v>
      </c>
      <c r="I951">
        <v>2</v>
      </c>
      <c r="J951">
        <v>0</v>
      </c>
      <c r="K951">
        <v>480000</v>
      </c>
      <c r="L951">
        <v>100</v>
      </c>
      <c r="M951" t="s">
        <v>29</v>
      </c>
      <c r="N951" t="str">
        <f>_xlfn.XLOOKUP(B951,tblCustomers[customer_id],tblCustomers[region],"Missing")</f>
        <v>East</v>
      </c>
      <c r="O951" t="str">
        <f>_xlfn.XLOOKUP(C951,tblProducts[product_id],tblProducts[product_name],"Missing")</f>
        <v>Workflow Automate</v>
      </c>
      <c r="P951" t="str">
        <f>_xlfn.XLOOKUP(C951,tblProducts[product_id],tblProducts[category],"Missing")</f>
        <v>Automation</v>
      </c>
      <c r="Q951" t="str">
        <f>_xlfn.XLOOKUP(D951,tblSalesReps[rep_id],tblSalesReps[rep_name],"Missing")</f>
        <v>Sales Rep 20</v>
      </c>
      <c r="R951" t="str">
        <f>_xlfn.XLOOKUP(D951,tblSalesReps[rep_id],tblSalesReps[region],"Missing")</f>
        <v>East</v>
      </c>
    </row>
    <row r="952" spans="1:18">
      <c r="A952" t="s">
        <v>1424</v>
      </c>
      <c r="B952" t="s">
        <v>743</v>
      </c>
      <c r="C952" t="s">
        <v>81</v>
      </c>
      <c r="D952" t="s">
        <v>50</v>
      </c>
      <c r="E952" s="1">
        <v>45877</v>
      </c>
      <c r="F952" s="1">
        <v>45954</v>
      </c>
      <c r="G952" s="1"/>
      <c r="H952" t="s">
        <v>43</v>
      </c>
      <c r="I952">
        <v>1</v>
      </c>
      <c r="J952">
        <v>0</v>
      </c>
      <c r="K952">
        <v>300000</v>
      </c>
      <c r="L952">
        <v>80</v>
      </c>
      <c r="M952" t="s">
        <v>29</v>
      </c>
      <c r="N952" t="str">
        <f>_xlfn.XLOOKUP(B952,tblCustomers[customer_id],tblCustomers[region],"Missing")</f>
        <v>West</v>
      </c>
      <c r="O952" t="str">
        <f>_xlfn.XLOOKUP(C952,tblProducts[product_id],tblProducts[product_name],"Missing")</f>
        <v>Analytics Cloud</v>
      </c>
      <c r="P952" t="str">
        <f>_xlfn.XLOOKUP(C952,tblProducts[product_id],tblProducts[category],"Missing")</f>
        <v>Analytics</v>
      </c>
      <c r="Q952" t="str">
        <f>_xlfn.XLOOKUP(D952,tblSalesReps[rep_id],tblSalesReps[rep_name],"Missing")</f>
        <v>Sales Rep 15</v>
      </c>
      <c r="R952" t="str">
        <f>_xlfn.XLOOKUP(D952,tblSalesReps[rep_id],tblSalesReps[region],"Missing")</f>
        <v>West</v>
      </c>
    </row>
    <row r="953" spans="1:18">
      <c r="A953" t="s">
        <v>1425</v>
      </c>
      <c r="B953" t="s">
        <v>491</v>
      </c>
      <c r="C953" t="s">
        <v>21</v>
      </c>
      <c r="D953" t="s">
        <v>168</v>
      </c>
      <c r="E953" s="1">
        <v>45668</v>
      </c>
      <c r="F953" s="1">
        <v>45737</v>
      </c>
      <c r="G953" s="1">
        <v>45737</v>
      </c>
      <c r="H953" t="s">
        <v>28</v>
      </c>
      <c r="I953">
        <v>2</v>
      </c>
      <c r="J953">
        <v>15</v>
      </c>
      <c r="K953">
        <v>408000</v>
      </c>
      <c r="L953">
        <v>100</v>
      </c>
      <c r="M953" t="s">
        <v>29</v>
      </c>
      <c r="N953" t="str">
        <f>_xlfn.XLOOKUP(B953,tblCustomers[customer_id],tblCustomers[region],"Missing")</f>
        <v>East</v>
      </c>
      <c r="O953" t="str">
        <f>_xlfn.XLOOKUP(C953,tblProducts[product_id],tblProducts[product_name],"Missing")</f>
        <v>Workflow Automate</v>
      </c>
      <c r="P953" t="str">
        <f>_xlfn.XLOOKUP(C953,tblProducts[product_id],tblProducts[category],"Missing")</f>
        <v>Automation</v>
      </c>
      <c r="Q953" t="str">
        <f>_xlfn.XLOOKUP(D953,tblSalesReps[rep_id],tblSalesReps[rep_name],"Missing")</f>
        <v>Sales Rep 17</v>
      </c>
      <c r="R953" t="str">
        <f>_xlfn.XLOOKUP(D953,tblSalesReps[rep_id],tblSalesReps[region],"Missing")</f>
        <v>East</v>
      </c>
    </row>
    <row r="954" spans="1:18">
      <c r="A954" t="s">
        <v>1426</v>
      </c>
      <c r="B954" t="s">
        <v>431</v>
      </c>
      <c r="C954" t="s">
        <v>81</v>
      </c>
      <c r="D954" t="s">
        <v>168</v>
      </c>
      <c r="E954" s="1">
        <v>45804</v>
      </c>
      <c r="F954" s="1">
        <v>45879</v>
      </c>
      <c r="G954" s="1">
        <v>45879</v>
      </c>
      <c r="H954" t="s">
        <v>28</v>
      </c>
      <c r="I954">
        <v>1</v>
      </c>
      <c r="J954">
        <v>5</v>
      </c>
      <c r="K954">
        <v>285000</v>
      </c>
      <c r="L954">
        <v>100</v>
      </c>
      <c r="M954" t="s">
        <v>29</v>
      </c>
      <c r="N954" t="str">
        <f>_xlfn.XLOOKUP(B954,tblCustomers[customer_id],tblCustomers[region],"Missing")</f>
        <v>East</v>
      </c>
      <c r="O954" t="str">
        <f>_xlfn.XLOOKUP(C954,tblProducts[product_id],tblProducts[product_name],"Missing")</f>
        <v>Analytics Cloud</v>
      </c>
      <c r="P954" t="str">
        <f>_xlfn.XLOOKUP(C954,tblProducts[product_id],tblProducts[category],"Missing")</f>
        <v>Analytics</v>
      </c>
      <c r="Q954" t="str">
        <f>_xlfn.XLOOKUP(D954,tblSalesReps[rep_id],tblSalesReps[rep_name],"Missing")</f>
        <v>Sales Rep 17</v>
      </c>
      <c r="R954" t="str">
        <f>_xlfn.XLOOKUP(D954,tblSalesReps[rep_id],tblSalesReps[region],"Missing")</f>
        <v>East</v>
      </c>
    </row>
    <row r="955" spans="1:18">
      <c r="A955" t="s">
        <v>1427</v>
      </c>
      <c r="B955" t="s">
        <v>270</v>
      </c>
      <c r="C955" t="s">
        <v>62</v>
      </c>
      <c r="D955" t="s">
        <v>119</v>
      </c>
      <c r="E955" s="1">
        <v>45678</v>
      </c>
      <c r="F955" s="1">
        <v>45738</v>
      </c>
      <c r="G955" s="1">
        <v>45738</v>
      </c>
      <c r="H955" t="s">
        <v>17</v>
      </c>
      <c r="I955">
        <v>1</v>
      </c>
      <c r="J955">
        <v>10</v>
      </c>
      <c r="K955">
        <v>108000</v>
      </c>
      <c r="L955">
        <v>0</v>
      </c>
      <c r="M955" t="s">
        <v>23</v>
      </c>
      <c r="N955" t="str">
        <f>_xlfn.XLOOKUP(B955,tblCustomers[customer_id],tblCustomers[region],"Missing")</f>
        <v>North</v>
      </c>
      <c r="O955" t="str">
        <f>_xlfn.XLOOKUP(C955,tblProducts[product_id],tblProducts[product_name],"Missing")</f>
        <v>CRM Essentials</v>
      </c>
      <c r="P955" t="str">
        <f>_xlfn.XLOOKUP(C955,tblProducts[product_id],tblProducts[category],"Missing")</f>
        <v>CRM</v>
      </c>
      <c r="Q955" t="str">
        <f>_xlfn.XLOOKUP(D955,tblSalesReps[rep_id],tblSalesReps[rep_name],"Missing")</f>
        <v>Sales Rep 10</v>
      </c>
      <c r="R955" t="str">
        <f>_xlfn.XLOOKUP(D955,tblSalesReps[rep_id],tblSalesReps[region],"Missing")</f>
        <v>North</v>
      </c>
    </row>
    <row r="956" spans="1:18">
      <c r="A956" t="s">
        <v>1428</v>
      </c>
      <c r="B956" t="s">
        <v>209</v>
      </c>
      <c r="C956" t="s">
        <v>26</v>
      </c>
      <c r="D956" t="s">
        <v>40</v>
      </c>
      <c r="E956" s="1">
        <v>45891</v>
      </c>
      <c r="F956" s="1">
        <v>45970</v>
      </c>
      <c r="G956" s="1">
        <v>45970</v>
      </c>
      <c r="H956" t="s">
        <v>28</v>
      </c>
      <c r="I956">
        <v>3</v>
      </c>
      <c r="J956">
        <v>20</v>
      </c>
      <c r="K956">
        <v>864000</v>
      </c>
      <c r="L956">
        <v>100</v>
      </c>
      <c r="M956" t="s">
        <v>29</v>
      </c>
      <c r="N956" t="str">
        <f>_xlfn.XLOOKUP(B956,tblCustomers[customer_id],tblCustomers[region],"Missing")</f>
        <v>West</v>
      </c>
      <c r="O956" t="str">
        <f>_xlfn.XLOOKUP(C956,tblProducts[product_id],tblProducts[product_name],"Missing")</f>
        <v>Security Suite</v>
      </c>
      <c r="P956" t="str">
        <f>_xlfn.XLOOKUP(C956,tblProducts[product_id],tblProducts[category],"Missing")</f>
        <v>Security</v>
      </c>
      <c r="Q956" t="str">
        <f>_xlfn.XLOOKUP(D956,tblSalesReps[rep_id],tblSalesReps[rep_name],"Missing")</f>
        <v>Sales Rep 13</v>
      </c>
      <c r="R956" t="str">
        <f>_xlfn.XLOOKUP(D956,tblSalesReps[rep_id],tblSalesReps[region],"Missing")</f>
        <v>West</v>
      </c>
    </row>
    <row r="957" spans="1:18">
      <c r="A957" t="s">
        <v>1429</v>
      </c>
      <c r="B957" t="s">
        <v>300</v>
      </c>
      <c r="C957" t="s">
        <v>15</v>
      </c>
      <c r="D957" t="s">
        <v>22</v>
      </c>
      <c r="E957" s="1">
        <v>46001</v>
      </c>
      <c r="F957" s="1">
        <v>46030</v>
      </c>
      <c r="G957" s="1"/>
      <c r="H957" t="s">
        <v>43</v>
      </c>
      <c r="I957">
        <v>1</v>
      </c>
      <c r="J957">
        <v>5</v>
      </c>
      <c r="K957">
        <v>399000</v>
      </c>
      <c r="L957">
        <v>80</v>
      </c>
      <c r="M957" t="s">
        <v>29</v>
      </c>
      <c r="N957" t="str">
        <f>_xlfn.XLOOKUP(B957,tblCustomers[customer_id],tblCustomers[region],"Missing")</f>
        <v>West</v>
      </c>
      <c r="O957" t="str">
        <f>_xlfn.XLOOKUP(C957,tblProducts[product_id],tblProducts[product_name],"Missing")</f>
        <v>CRM Enterprise</v>
      </c>
      <c r="P957" t="str">
        <f>_xlfn.XLOOKUP(C957,tblProducts[product_id],tblProducts[category],"Missing")</f>
        <v>CRM</v>
      </c>
      <c r="Q957" t="str">
        <f>_xlfn.XLOOKUP(D957,tblSalesReps[rep_id],tblSalesReps[rep_name],"Missing")</f>
        <v>Sales Rep 14</v>
      </c>
      <c r="R957" t="str">
        <f>_xlfn.XLOOKUP(D957,tblSalesReps[rep_id],tblSalesReps[region],"Missing")</f>
        <v>West</v>
      </c>
    </row>
    <row r="958" spans="1:18">
      <c r="A958" t="s">
        <v>1430</v>
      </c>
      <c r="B958" t="s">
        <v>859</v>
      </c>
      <c r="C958" t="s">
        <v>81</v>
      </c>
      <c r="D958" t="s">
        <v>46</v>
      </c>
      <c r="E958" s="1">
        <v>45704</v>
      </c>
      <c r="F958" s="1">
        <v>45731</v>
      </c>
      <c r="G958" s="1"/>
      <c r="H958" t="s">
        <v>43</v>
      </c>
      <c r="I958">
        <v>1</v>
      </c>
      <c r="J958">
        <v>20</v>
      </c>
      <c r="K958">
        <v>240000</v>
      </c>
      <c r="L958">
        <v>20</v>
      </c>
      <c r="M958" t="s">
        <v>29</v>
      </c>
      <c r="N958" t="str">
        <f>_xlfn.XLOOKUP(B958,tblCustomers[customer_id],tblCustomers[region],"Missing")</f>
        <v>South</v>
      </c>
      <c r="O958" t="str">
        <f>_xlfn.XLOOKUP(C958,tblProducts[product_id],tblProducts[product_name],"Missing")</f>
        <v>Analytics Cloud</v>
      </c>
      <c r="P958" t="str">
        <f>_xlfn.XLOOKUP(C958,tblProducts[product_id],tblProducts[category],"Missing")</f>
        <v>Analytics</v>
      </c>
      <c r="Q958" t="str">
        <f>_xlfn.XLOOKUP(D958,tblSalesReps[rep_id],tblSalesReps[rep_name],"Missing")</f>
        <v>Sales Rep 01</v>
      </c>
      <c r="R958" t="str">
        <f>_xlfn.XLOOKUP(D958,tblSalesReps[rep_id],tblSalesReps[region],"Missing")</f>
        <v>South</v>
      </c>
    </row>
    <row r="959" spans="1:18">
      <c r="A959" t="s">
        <v>1431</v>
      </c>
      <c r="B959" t="s">
        <v>853</v>
      </c>
      <c r="C959" t="s">
        <v>15</v>
      </c>
      <c r="D959" t="s">
        <v>70</v>
      </c>
      <c r="E959" s="1">
        <v>45838</v>
      </c>
      <c r="F959" s="1">
        <v>45912</v>
      </c>
      <c r="G959" s="1"/>
      <c r="H959" t="s">
        <v>43</v>
      </c>
      <c r="I959">
        <v>1</v>
      </c>
      <c r="J959">
        <v>20</v>
      </c>
      <c r="K959">
        <v>336000</v>
      </c>
      <c r="L959">
        <v>80</v>
      </c>
      <c r="M959" t="s">
        <v>29</v>
      </c>
      <c r="N959" t="str">
        <f>_xlfn.XLOOKUP(B959,tblCustomers[customer_id],tblCustomers[region],"Missing")</f>
        <v>West</v>
      </c>
      <c r="O959" t="str">
        <f>_xlfn.XLOOKUP(C959,tblProducts[product_id],tblProducts[product_name],"Missing")</f>
        <v>CRM Enterprise</v>
      </c>
      <c r="P959" t="str">
        <f>_xlfn.XLOOKUP(C959,tblProducts[product_id],tblProducts[category],"Missing")</f>
        <v>CRM</v>
      </c>
      <c r="Q959" t="str">
        <f>_xlfn.XLOOKUP(D959,tblSalesReps[rep_id],tblSalesReps[rep_name],"Missing")</f>
        <v>Sales Rep 11</v>
      </c>
      <c r="R959" t="str">
        <f>_xlfn.XLOOKUP(D959,tblSalesReps[rep_id],tblSalesReps[region],"Missing")</f>
        <v>West</v>
      </c>
    </row>
    <row r="960" spans="1:18">
      <c r="A960" t="s">
        <v>1432</v>
      </c>
      <c r="B960" t="s">
        <v>193</v>
      </c>
      <c r="C960" t="s">
        <v>81</v>
      </c>
      <c r="D960" t="s">
        <v>168</v>
      </c>
      <c r="E960" s="1">
        <v>45932</v>
      </c>
      <c r="F960" s="1">
        <v>46009</v>
      </c>
      <c r="G960" s="1">
        <v>46009</v>
      </c>
      <c r="H960" t="s">
        <v>17</v>
      </c>
      <c r="I960">
        <v>3</v>
      </c>
      <c r="J960">
        <v>0</v>
      </c>
      <c r="K960">
        <v>900000</v>
      </c>
      <c r="L960">
        <v>0</v>
      </c>
      <c r="M960" t="s">
        <v>33</v>
      </c>
      <c r="N960" t="str">
        <f>_xlfn.XLOOKUP(B960,tblCustomers[customer_id],tblCustomers[region],"Missing")</f>
        <v>East</v>
      </c>
      <c r="O960" t="str">
        <f>_xlfn.XLOOKUP(C960,tblProducts[product_id],tblProducts[product_name],"Missing")</f>
        <v>Analytics Cloud</v>
      </c>
      <c r="P960" t="str">
        <f>_xlfn.XLOOKUP(C960,tblProducts[product_id],tblProducts[category],"Missing")</f>
        <v>Analytics</v>
      </c>
      <c r="Q960" t="str">
        <f>_xlfn.XLOOKUP(D960,tblSalesReps[rep_id],tblSalesReps[rep_name],"Missing")</f>
        <v>Sales Rep 17</v>
      </c>
      <c r="R960" t="str">
        <f>_xlfn.XLOOKUP(D960,tblSalesReps[rep_id],tblSalesReps[region],"Missing")</f>
        <v>East</v>
      </c>
    </row>
    <row r="961" spans="1:18">
      <c r="A961" t="s">
        <v>1433</v>
      </c>
      <c r="B961" t="s">
        <v>664</v>
      </c>
      <c r="C961" t="s">
        <v>15</v>
      </c>
      <c r="D961" t="s">
        <v>46</v>
      </c>
      <c r="E961" s="1">
        <v>45938</v>
      </c>
      <c r="F961" s="1">
        <v>46022</v>
      </c>
      <c r="G961" s="1"/>
      <c r="H961" t="s">
        <v>43</v>
      </c>
      <c r="I961">
        <v>1</v>
      </c>
      <c r="J961">
        <v>20</v>
      </c>
      <c r="K961">
        <v>336000</v>
      </c>
      <c r="L961">
        <v>80</v>
      </c>
      <c r="M961" t="s">
        <v>29</v>
      </c>
      <c r="N961" t="str">
        <f>_xlfn.XLOOKUP(B961,tblCustomers[customer_id],tblCustomers[region],"Missing")</f>
        <v>South</v>
      </c>
      <c r="O961" t="str">
        <f>_xlfn.XLOOKUP(C961,tblProducts[product_id],tblProducts[product_name],"Missing")</f>
        <v>CRM Enterprise</v>
      </c>
      <c r="P961" t="str">
        <f>_xlfn.XLOOKUP(C961,tblProducts[product_id],tblProducts[category],"Missing")</f>
        <v>CRM</v>
      </c>
      <c r="Q961" t="str">
        <f>_xlfn.XLOOKUP(D961,tblSalesReps[rep_id],tblSalesReps[rep_name],"Missing")</f>
        <v>Sales Rep 01</v>
      </c>
      <c r="R961" t="str">
        <f>_xlfn.XLOOKUP(D961,tblSalesReps[rep_id],tblSalesReps[region],"Missing")</f>
        <v>South</v>
      </c>
    </row>
    <row r="962" spans="1:18">
      <c r="A962" t="s">
        <v>1434</v>
      </c>
      <c r="B962" t="s">
        <v>693</v>
      </c>
      <c r="C962" t="s">
        <v>26</v>
      </c>
      <c r="D962" t="s">
        <v>59</v>
      </c>
      <c r="E962" s="1">
        <v>45741</v>
      </c>
      <c r="F962" s="1">
        <v>45770</v>
      </c>
      <c r="G962" s="1">
        <v>45770</v>
      </c>
      <c r="H962" t="s">
        <v>28</v>
      </c>
      <c r="I962">
        <v>3</v>
      </c>
      <c r="J962">
        <v>5</v>
      </c>
      <c r="K962">
        <v>1026000</v>
      </c>
      <c r="L962">
        <v>100</v>
      </c>
      <c r="M962" t="s">
        <v>29</v>
      </c>
      <c r="N962" t="str">
        <f>_xlfn.XLOOKUP(B962,tblCustomers[customer_id],tblCustomers[region],"Missing")</f>
        <v>East</v>
      </c>
      <c r="O962" t="str">
        <f>_xlfn.XLOOKUP(C962,tblProducts[product_id],tblProducts[product_name],"Missing")</f>
        <v>Security Suite</v>
      </c>
      <c r="P962" t="str">
        <f>_xlfn.XLOOKUP(C962,tblProducts[product_id],tblProducts[category],"Missing")</f>
        <v>Security</v>
      </c>
      <c r="Q962" t="str">
        <f>_xlfn.XLOOKUP(D962,tblSalesReps[rep_id],tblSalesReps[rep_name],"Missing")</f>
        <v>Sales Rep 19</v>
      </c>
      <c r="R962" t="str">
        <f>_xlfn.XLOOKUP(D962,tblSalesReps[rep_id],tblSalesReps[region],"Missing")</f>
        <v>East</v>
      </c>
    </row>
    <row r="963" spans="1:18">
      <c r="A963" t="s">
        <v>1435</v>
      </c>
      <c r="B963" t="s">
        <v>1280</v>
      </c>
      <c r="C963" t="s">
        <v>81</v>
      </c>
      <c r="D963" t="s">
        <v>16</v>
      </c>
      <c r="E963" s="1">
        <v>45993</v>
      </c>
      <c r="F963" s="1">
        <v>46016</v>
      </c>
      <c r="G963" s="1">
        <v>46016</v>
      </c>
      <c r="H963" t="s">
        <v>28</v>
      </c>
      <c r="I963">
        <v>3</v>
      </c>
      <c r="J963">
        <v>0</v>
      </c>
      <c r="K963">
        <v>900000</v>
      </c>
      <c r="L963">
        <v>100</v>
      </c>
      <c r="M963" t="s">
        <v>29</v>
      </c>
      <c r="N963" t="str">
        <f>_xlfn.XLOOKUP(B963,tblCustomers[customer_id],tblCustomers[region],"Missing")</f>
        <v>North</v>
      </c>
      <c r="O963" t="str">
        <f>_xlfn.XLOOKUP(C963,tblProducts[product_id],tblProducts[product_name],"Missing")</f>
        <v>Analytics Cloud</v>
      </c>
      <c r="P963" t="str">
        <f>_xlfn.XLOOKUP(C963,tblProducts[product_id],tblProducts[category],"Missing")</f>
        <v>Analytics</v>
      </c>
      <c r="Q963" t="str">
        <f>_xlfn.XLOOKUP(D963,tblSalesReps[rep_id],tblSalesReps[rep_name],"Missing")</f>
        <v>Sales Rep 08</v>
      </c>
      <c r="R963" t="str">
        <f>_xlfn.XLOOKUP(D963,tblSalesReps[rep_id],tblSalesReps[region],"Missing")</f>
        <v>North</v>
      </c>
    </row>
    <row r="964" spans="1:18">
      <c r="A964" t="s">
        <v>1436</v>
      </c>
      <c r="B964" t="s">
        <v>920</v>
      </c>
      <c r="C964" t="s">
        <v>26</v>
      </c>
      <c r="D964" t="s">
        <v>78</v>
      </c>
      <c r="E964" s="1">
        <v>45770</v>
      </c>
      <c r="F964" s="1">
        <v>45793</v>
      </c>
      <c r="G964" s="1"/>
      <c r="H964" t="s">
        <v>43</v>
      </c>
      <c r="I964">
        <v>2</v>
      </c>
      <c r="J964">
        <v>15</v>
      </c>
      <c r="K964">
        <v>612000</v>
      </c>
      <c r="L964">
        <v>60</v>
      </c>
      <c r="M964" t="s">
        <v>29</v>
      </c>
      <c r="N964" t="str">
        <f>_xlfn.XLOOKUP(B964,tblCustomers[customer_id],tblCustomers[region],"Missing")</f>
        <v>West</v>
      </c>
      <c r="O964" t="str">
        <f>_xlfn.XLOOKUP(C964,tblProducts[product_id],tblProducts[product_name],"Missing")</f>
        <v>Security Suite</v>
      </c>
      <c r="P964" t="str">
        <f>_xlfn.XLOOKUP(C964,tblProducts[product_id],tblProducts[category],"Missing")</f>
        <v>Security</v>
      </c>
      <c r="Q964" t="str">
        <f>_xlfn.XLOOKUP(D964,tblSalesReps[rep_id],tblSalesReps[rep_name],"Missing")</f>
        <v>Sales Rep 12</v>
      </c>
      <c r="R964" t="str">
        <f>_xlfn.XLOOKUP(D964,tblSalesReps[rep_id],tblSalesReps[region],"Missing")</f>
        <v>West</v>
      </c>
    </row>
    <row r="965" spans="1:18">
      <c r="A965" t="s">
        <v>1437</v>
      </c>
      <c r="B965" t="s">
        <v>656</v>
      </c>
      <c r="C965" t="s">
        <v>21</v>
      </c>
      <c r="D965" t="s">
        <v>46</v>
      </c>
      <c r="E965" s="1">
        <v>45866</v>
      </c>
      <c r="F965" s="1">
        <v>45898</v>
      </c>
      <c r="G965" s="1">
        <v>45898</v>
      </c>
      <c r="H965" t="s">
        <v>28</v>
      </c>
      <c r="I965">
        <v>1</v>
      </c>
      <c r="J965">
        <v>0</v>
      </c>
      <c r="K965">
        <v>240000</v>
      </c>
      <c r="L965">
        <v>100</v>
      </c>
      <c r="M965" t="s">
        <v>29</v>
      </c>
      <c r="N965" t="str">
        <f>_xlfn.XLOOKUP(B965,tblCustomers[customer_id],tblCustomers[region],"Missing")</f>
        <v>South</v>
      </c>
      <c r="O965" t="str">
        <f>_xlfn.XLOOKUP(C965,tblProducts[product_id],tblProducts[product_name],"Missing")</f>
        <v>Workflow Automate</v>
      </c>
      <c r="P965" t="str">
        <f>_xlfn.XLOOKUP(C965,tblProducts[product_id],tblProducts[category],"Missing")</f>
        <v>Automation</v>
      </c>
      <c r="Q965" t="str">
        <f>_xlfn.XLOOKUP(D965,tblSalesReps[rep_id],tblSalesReps[rep_name],"Missing")</f>
        <v>Sales Rep 01</v>
      </c>
      <c r="R965" t="str">
        <f>_xlfn.XLOOKUP(D965,tblSalesReps[rep_id],tblSalesReps[region],"Missing")</f>
        <v>South</v>
      </c>
    </row>
    <row r="966" spans="1:18">
      <c r="A966" t="s">
        <v>1438</v>
      </c>
      <c r="B966" t="s">
        <v>69</v>
      </c>
      <c r="C966" t="s">
        <v>15</v>
      </c>
      <c r="D966" t="s">
        <v>70</v>
      </c>
      <c r="E966" s="1">
        <v>46008</v>
      </c>
      <c r="F966" s="1">
        <v>46035</v>
      </c>
      <c r="G966" s="1"/>
      <c r="H966" t="s">
        <v>43</v>
      </c>
      <c r="I966">
        <v>3</v>
      </c>
      <c r="J966">
        <v>0</v>
      </c>
      <c r="K966">
        <v>1260000</v>
      </c>
      <c r="L966">
        <v>80</v>
      </c>
      <c r="M966" t="s">
        <v>29</v>
      </c>
      <c r="N966" t="str">
        <f>_xlfn.XLOOKUP(B966,tblCustomers[customer_id],tblCustomers[region],"Missing")</f>
        <v>West</v>
      </c>
      <c r="O966" t="str">
        <f>_xlfn.XLOOKUP(C966,tblProducts[product_id],tblProducts[product_name],"Missing")</f>
        <v>CRM Enterprise</v>
      </c>
      <c r="P966" t="str">
        <f>_xlfn.XLOOKUP(C966,tblProducts[product_id],tblProducts[category],"Missing")</f>
        <v>CRM</v>
      </c>
      <c r="Q966" t="str">
        <f>_xlfn.XLOOKUP(D966,tblSalesReps[rep_id],tblSalesReps[rep_name],"Missing")</f>
        <v>Sales Rep 11</v>
      </c>
      <c r="R966" t="str">
        <f>_xlfn.XLOOKUP(D966,tblSalesReps[rep_id],tblSalesReps[region],"Missing")</f>
        <v>West</v>
      </c>
    </row>
    <row r="967" spans="1:18">
      <c r="A967" t="s">
        <v>1439</v>
      </c>
      <c r="B967" t="s">
        <v>198</v>
      </c>
      <c r="C967" t="s">
        <v>15</v>
      </c>
      <c r="D967" t="s">
        <v>50</v>
      </c>
      <c r="E967" s="1">
        <v>45929</v>
      </c>
      <c r="F967" s="1">
        <v>45939</v>
      </c>
      <c r="G967" s="1">
        <v>45939</v>
      </c>
      <c r="H967" t="s">
        <v>28</v>
      </c>
      <c r="I967">
        <v>1</v>
      </c>
      <c r="J967">
        <v>5</v>
      </c>
      <c r="K967">
        <v>399000</v>
      </c>
      <c r="L967">
        <v>100</v>
      </c>
      <c r="M967" t="s">
        <v>29</v>
      </c>
      <c r="N967" t="str">
        <f>_xlfn.XLOOKUP(B967,tblCustomers[customer_id],tblCustomers[region],"Missing")</f>
        <v>West</v>
      </c>
      <c r="O967" t="str">
        <f>_xlfn.XLOOKUP(C967,tblProducts[product_id],tblProducts[product_name],"Missing")</f>
        <v>CRM Enterprise</v>
      </c>
      <c r="P967" t="str">
        <f>_xlfn.XLOOKUP(C967,tblProducts[product_id],tblProducts[category],"Missing")</f>
        <v>CRM</v>
      </c>
      <c r="Q967" t="str">
        <f>_xlfn.XLOOKUP(D967,tblSalesReps[rep_id],tblSalesReps[rep_name],"Missing")</f>
        <v>Sales Rep 15</v>
      </c>
      <c r="R967" t="str">
        <f>_xlfn.XLOOKUP(D967,tblSalesReps[rep_id],tblSalesReps[region],"Missing")</f>
        <v>West</v>
      </c>
    </row>
    <row r="968" spans="1:18">
      <c r="A968" t="s">
        <v>1440</v>
      </c>
      <c r="B968" t="s">
        <v>1441</v>
      </c>
      <c r="C968" t="s">
        <v>15</v>
      </c>
      <c r="D968" t="s">
        <v>27</v>
      </c>
      <c r="E968" s="1">
        <v>45872</v>
      </c>
      <c r="F968" s="1">
        <v>45943</v>
      </c>
      <c r="G968" s="1">
        <v>45943</v>
      </c>
      <c r="H968" t="s">
        <v>17</v>
      </c>
      <c r="I968">
        <v>1</v>
      </c>
      <c r="J968">
        <v>10</v>
      </c>
      <c r="K968">
        <v>378000</v>
      </c>
      <c r="L968">
        <v>0</v>
      </c>
      <c r="M968" t="s">
        <v>33</v>
      </c>
      <c r="N968" t="str">
        <f>_xlfn.XLOOKUP(B968,tblCustomers[customer_id],tblCustomers[region],"Missing")</f>
        <v>North</v>
      </c>
      <c r="O968" t="str">
        <f>_xlfn.XLOOKUP(C968,tblProducts[product_id],tblProducts[product_name],"Missing")</f>
        <v>CRM Enterprise</v>
      </c>
      <c r="P968" t="str">
        <f>_xlfn.XLOOKUP(C968,tblProducts[product_id],tblProducts[category],"Missing")</f>
        <v>CRM</v>
      </c>
      <c r="Q968" t="str">
        <f>_xlfn.XLOOKUP(D968,tblSalesReps[rep_id],tblSalesReps[rep_name],"Missing")</f>
        <v>Sales Rep 06</v>
      </c>
      <c r="R968" t="str">
        <f>_xlfn.XLOOKUP(D968,tblSalesReps[rep_id],tblSalesReps[region],"Missing")</f>
        <v>North</v>
      </c>
    </row>
    <row r="969" spans="1:18">
      <c r="A969" t="s">
        <v>1442</v>
      </c>
      <c r="B969" t="s">
        <v>775</v>
      </c>
      <c r="C969" t="s">
        <v>62</v>
      </c>
      <c r="D969" t="s">
        <v>40</v>
      </c>
      <c r="E969" s="1">
        <v>45955</v>
      </c>
      <c r="F969" s="1">
        <v>45994</v>
      </c>
      <c r="G969" s="1">
        <v>45994</v>
      </c>
      <c r="H969" t="s">
        <v>28</v>
      </c>
      <c r="I969">
        <v>1</v>
      </c>
      <c r="J969">
        <v>0</v>
      </c>
      <c r="K969">
        <v>120000</v>
      </c>
      <c r="L969">
        <v>100</v>
      </c>
      <c r="M969" t="s">
        <v>29</v>
      </c>
      <c r="N969" t="str">
        <f>_xlfn.XLOOKUP(B969,tblCustomers[customer_id],tblCustomers[region],"Missing")</f>
        <v>West</v>
      </c>
      <c r="O969" t="str">
        <f>_xlfn.XLOOKUP(C969,tblProducts[product_id],tblProducts[product_name],"Missing")</f>
        <v>CRM Essentials</v>
      </c>
      <c r="P969" t="str">
        <f>_xlfn.XLOOKUP(C969,tblProducts[product_id],tblProducts[category],"Missing")</f>
        <v>CRM</v>
      </c>
      <c r="Q969" t="str">
        <f>_xlfn.XLOOKUP(D969,tblSalesReps[rep_id],tblSalesReps[rep_name],"Missing")</f>
        <v>Sales Rep 13</v>
      </c>
      <c r="R969" t="str">
        <f>_xlfn.XLOOKUP(D969,tblSalesReps[rep_id],tblSalesReps[region],"Missing")</f>
        <v>West</v>
      </c>
    </row>
    <row r="970" spans="1:18">
      <c r="A970" t="s">
        <v>1443</v>
      </c>
      <c r="B970" t="s">
        <v>660</v>
      </c>
      <c r="C970" t="s">
        <v>15</v>
      </c>
      <c r="D970" t="s">
        <v>75</v>
      </c>
      <c r="E970" s="1">
        <v>45744</v>
      </c>
      <c r="F970" s="1">
        <v>45806</v>
      </c>
      <c r="G970" s="1">
        <v>45806</v>
      </c>
      <c r="H970" t="s">
        <v>17</v>
      </c>
      <c r="I970">
        <v>1</v>
      </c>
      <c r="J970">
        <v>0</v>
      </c>
      <c r="K970">
        <v>420000</v>
      </c>
      <c r="L970">
        <v>0</v>
      </c>
      <c r="M970" t="s">
        <v>47</v>
      </c>
      <c r="N970" t="str">
        <f>_xlfn.XLOOKUP(B970,tblCustomers[customer_id],tblCustomers[region],"Missing")</f>
        <v>North</v>
      </c>
      <c r="O970" t="str">
        <f>_xlfn.XLOOKUP(C970,tblProducts[product_id],tblProducts[product_name],"Missing")</f>
        <v>CRM Enterprise</v>
      </c>
      <c r="P970" t="str">
        <f>_xlfn.XLOOKUP(C970,tblProducts[product_id],tblProducts[category],"Missing")</f>
        <v>CRM</v>
      </c>
      <c r="Q970" t="str">
        <f>_xlfn.XLOOKUP(D970,tblSalesReps[rep_id],tblSalesReps[rep_name],"Missing")</f>
        <v>Sales Rep 07</v>
      </c>
      <c r="R970" t="str">
        <f>_xlfn.XLOOKUP(D970,tblSalesReps[rep_id],tblSalesReps[region],"Missing")</f>
        <v>North</v>
      </c>
    </row>
    <row r="971" spans="1:18">
      <c r="A971" t="s">
        <v>1444</v>
      </c>
      <c r="B971" t="s">
        <v>1445</v>
      </c>
      <c r="C971" t="s">
        <v>39</v>
      </c>
      <c r="D971" t="s">
        <v>119</v>
      </c>
      <c r="E971" s="1">
        <v>45983</v>
      </c>
      <c r="F971" s="1">
        <v>45995</v>
      </c>
      <c r="G971" s="1"/>
      <c r="H971" t="s">
        <v>43</v>
      </c>
      <c r="I971">
        <v>3</v>
      </c>
      <c r="J971">
        <v>15</v>
      </c>
      <c r="K971">
        <v>459000</v>
      </c>
      <c r="L971">
        <v>20</v>
      </c>
      <c r="M971" t="s">
        <v>29</v>
      </c>
      <c r="N971" t="str">
        <f>_xlfn.XLOOKUP(B971,tblCustomers[customer_id],tblCustomers[region],"Missing")</f>
        <v>North</v>
      </c>
      <c r="O971" t="str">
        <f>_xlfn.XLOOKUP(C971,tblProducts[product_id],tblProducts[product_name],"Missing")</f>
        <v>Support Desk</v>
      </c>
      <c r="P971" t="str">
        <f>_xlfn.XLOOKUP(C971,tblProducts[product_id],tblProducts[category],"Missing")</f>
        <v>Service</v>
      </c>
      <c r="Q971" t="str">
        <f>_xlfn.XLOOKUP(D971,tblSalesReps[rep_id],tblSalesReps[rep_name],"Missing")</f>
        <v>Sales Rep 10</v>
      </c>
      <c r="R971" t="str">
        <f>_xlfn.XLOOKUP(D971,tblSalesReps[rep_id],tblSalesReps[region],"Missing")</f>
        <v>North</v>
      </c>
    </row>
    <row r="972" spans="1:18">
      <c r="A972" t="s">
        <v>1446</v>
      </c>
      <c r="B972" t="s">
        <v>973</v>
      </c>
      <c r="C972" t="s">
        <v>15</v>
      </c>
      <c r="D972" t="s">
        <v>168</v>
      </c>
      <c r="E972" s="1">
        <v>45802</v>
      </c>
      <c r="F972" s="1">
        <v>45832</v>
      </c>
      <c r="G972" s="1"/>
      <c r="H972" t="s">
        <v>43</v>
      </c>
      <c r="I972">
        <v>1</v>
      </c>
      <c r="J972">
        <v>0</v>
      </c>
      <c r="K972">
        <v>420000</v>
      </c>
      <c r="L972">
        <v>60</v>
      </c>
      <c r="M972" t="s">
        <v>29</v>
      </c>
      <c r="N972" t="str">
        <f>_xlfn.XLOOKUP(B972,tblCustomers[customer_id],tblCustomers[region],"Missing")</f>
        <v>East</v>
      </c>
      <c r="O972" t="str">
        <f>_xlfn.XLOOKUP(C972,tblProducts[product_id],tblProducts[product_name],"Missing")</f>
        <v>CRM Enterprise</v>
      </c>
      <c r="P972" t="str">
        <f>_xlfn.XLOOKUP(C972,tblProducts[product_id],tblProducts[category],"Missing")</f>
        <v>CRM</v>
      </c>
      <c r="Q972" t="str">
        <f>_xlfn.XLOOKUP(D972,tblSalesReps[rep_id],tblSalesReps[rep_name],"Missing")</f>
        <v>Sales Rep 17</v>
      </c>
      <c r="R972" t="str">
        <f>_xlfn.XLOOKUP(D972,tblSalesReps[rep_id],tblSalesReps[region],"Missing")</f>
        <v>East</v>
      </c>
    </row>
    <row r="973" spans="1:18">
      <c r="A973" t="s">
        <v>1447</v>
      </c>
      <c r="B973" t="s">
        <v>680</v>
      </c>
      <c r="C973" t="s">
        <v>26</v>
      </c>
      <c r="D973" t="s">
        <v>91</v>
      </c>
      <c r="E973" s="1">
        <v>46000</v>
      </c>
      <c r="F973" s="1">
        <v>46058</v>
      </c>
      <c r="G973" s="1"/>
      <c r="H973" t="s">
        <v>43</v>
      </c>
      <c r="I973">
        <v>1</v>
      </c>
      <c r="J973">
        <v>10</v>
      </c>
      <c r="K973">
        <v>324000</v>
      </c>
      <c r="L973">
        <v>60</v>
      </c>
      <c r="M973" t="s">
        <v>29</v>
      </c>
      <c r="N973" t="str">
        <f>_xlfn.XLOOKUP(B973,tblCustomers[customer_id],tblCustomers[region],"Missing")</f>
        <v>South</v>
      </c>
      <c r="O973" t="str">
        <f>_xlfn.XLOOKUP(C973,tblProducts[product_id],tblProducts[product_name],"Missing")</f>
        <v>Security Suite</v>
      </c>
      <c r="P973" t="str">
        <f>_xlfn.XLOOKUP(C973,tblProducts[product_id],tblProducts[category],"Missing")</f>
        <v>Security</v>
      </c>
      <c r="Q973" t="str">
        <f>_xlfn.XLOOKUP(D973,tblSalesReps[rep_id],tblSalesReps[rep_name],"Missing")</f>
        <v>Sales Rep 03</v>
      </c>
      <c r="R973" t="str">
        <f>_xlfn.XLOOKUP(D973,tblSalesReps[rep_id],tblSalesReps[region],"Missing")</f>
        <v>South</v>
      </c>
    </row>
    <row r="974" spans="1:18">
      <c r="A974" t="s">
        <v>1448</v>
      </c>
      <c r="B974" t="s">
        <v>944</v>
      </c>
      <c r="C974" t="s">
        <v>26</v>
      </c>
      <c r="D974" t="s">
        <v>16</v>
      </c>
      <c r="E974" s="1">
        <v>45760</v>
      </c>
      <c r="F974" s="1">
        <v>45797</v>
      </c>
      <c r="G974" s="1">
        <v>45797</v>
      </c>
      <c r="H974" t="s">
        <v>17</v>
      </c>
      <c r="I974">
        <v>2</v>
      </c>
      <c r="J974">
        <v>10</v>
      </c>
      <c r="K974">
        <v>648000</v>
      </c>
      <c r="L974">
        <v>0</v>
      </c>
      <c r="M974" t="s">
        <v>18</v>
      </c>
      <c r="N974" t="str">
        <f>_xlfn.XLOOKUP(B974,tblCustomers[customer_id],tblCustomers[region],"Missing")</f>
        <v>North</v>
      </c>
      <c r="O974" t="str">
        <f>_xlfn.XLOOKUP(C974,tblProducts[product_id],tblProducts[product_name],"Missing")</f>
        <v>Security Suite</v>
      </c>
      <c r="P974" t="str">
        <f>_xlfn.XLOOKUP(C974,tblProducts[product_id],tblProducts[category],"Missing")</f>
        <v>Security</v>
      </c>
      <c r="Q974" t="str">
        <f>_xlfn.XLOOKUP(D974,tblSalesReps[rep_id],tblSalesReps[rep_name],"Missing")</f>
        <v>Sales Rep 08</v>
      </c>
      <c r="R974" t="str">
        <f>_xlfn.XLOOKUP(D974,tblSalesReps[rep_id],tblSalesReps[region],"Missing")</f>
        <v>North</v>
      </c>
    </row>
    <row r="975" spans="1:18">
      <c r="A975" t="s">
        <v>1449</v>
      </c>
      <c r="B975" t="s">
        <v>84</v>
      </c>
      <c r="C975" t="s">
        <v>26</v>
      </c>
      <c r="D975" t="s">
        <v>70</v>
      </c>
      <c r="E975" s="1">
        <v>45951</v>
      </c>
      <c r="F975" s="1">
        <v>45997</v>
      </c>
      <c r="G975" s="1">
        <v>45997</v>
      </c>
      <c r="H975" t="s">
        <v>28</v>
      </c>
      <c r="I975">
        <v>3</v>
      </c>
      <c r="J975">
        <v>0</v>
      </c>
      <c r="K975">
        <v>1080000</v>
      </c>
      <c r="L975">
        <v>100</v>
      </c>
      <c r="M975" t="s">
        <v>29</v>
      </c>
      <c r="N975" t="str">
        <f>_xlfn.XLOOKUP(B975,tblCustomers[customer_id],tblCustomers[region],"Missing")</f>
        <v>West</v>
      </c>
      <c r="O975" t="str">
        <f>_xlfn.XLOOKUP(C975,tblProducts[product_id],tblProducts[product_name],"Missing")</f>
        <v>Security Suite</v>
      </c>
      <c r="P975" t="str">
        <f>_xlfn.XLOOKUP(C975,tblProducts[product_id],tblProducts[category],"Missing")</f>
        <v>Security</v>
      </c>
      <c r="Q975" t="str">
        <f>_xlfn.XLOOKUP(D975,tblSalesReps[rep_id],tblSalesReps[rep_name],"Missing")</f>
        <v>Sales Rep 11</v>
      </c>
      <c r="R975" t="str">
        <f>_xlfn.XLOOKUP(D975,tblSalesReps[rep_id],tblSalesReps[region],"Missing")</f>
        <v>West</v>
      </c>
    </row>
    <row r="976" spans="1:18">
      <c r="A976" t="s">
        <v>1450</v>
      </c>
      <c r="B976" t="s">
        <v>896</v>
      </c>
      <c r="C976" t="s">
        <v>81</v>
      </c>
      <c r="D976" t="s">
        <v>168</v>
      </c>
      <c r="E976" s="1">
        <v>45715</v>
      </c>
      <c r="F976" s="1">
        <v>45752</v>
      </c>
      <c r="G976" s="1"/>
      <c r="H976" t="s">
        <v>43</v>
      </c>
      <c r="I976">
        <v>1</v>
      </c>
      <c r="J976">
        <v>15</v>
      </c>
      <c r="K976">
        <v>255000</v>
      </c>
      <c r="L976">
        <v>60</v>
      </c>
      <c r="M976" t="s">
        <v>29</v>
      </c>
      <c r="N976" t="str">
        <f>_xlfn.XLOOKUP(B976,tblCustomers[customer_id],tblCustomers[region],"Missing")</f>
        <v>East</v>
      </c>
      <c r="O976" t="str">
        <f>_xlfn.XLOOKUP(C976,tblProducts[product_id],tblProducts[product_name],"Missing")</f>
        <v>Analytics Cloud</v>
      </c>
      <c r="P976" t="str">
        <f>_xlfn.XLOOKUP(C976,tblProducts[product_id],tblProducts[category],"Missing")</f>
        <v>Analytics</v>
      </c>
      <c r="Q976" t="str">
        <f>_xlfn.XLOOKUP(D976,tblSalesReps[rep_id],tblSalesReps[rep_name],"Missing")</f>
        <v>Sales Rep 17</v>
      </c>
      <c r="R976" t="str">
        <f>_xlfn.XLOOKUP(D976,tblSalesReps[rep_id],tblSalesReps[region],"Missing")</f>
        <v>East</v>
      </c>
    </row>
    <row r="977" spans="1:18">
      <c r="A977" t="s">
        <v>1451</v>
      </c>
      <c r="B977" t="s">
        <v>38</v>
      </c>
      <c r="C977" t="s">
        <v>21</v>
      </c>
      <c r="D977" t="s">
        <v>70</v>
      </c>
      <c r="E977" s="1">
        <v>45999</v>
      </c>
      <c r="F977" s="1">
        <v>46075</v>
      </c>
      <c r="G977" s="1"/>
      <c r="H977" t="s">
        <v>43</v>
      </c>
      <c r="I977">
        <v>3</v>
      </c>
      <c r="J977">
        <v>5</v>
      </c>
      <c r="K977">
        <v>684000</v>
      </c>
      <c r="L977">
        <v>40</v>
      </c>
      <c r="M977" t="s">
        <v>29</v>
      </c>
      <c r="N977" t="str">
        <f>_xlfn.XLOOKUP(B977,tblCustomers[customer_id],tblCustomers[region],"Missing")</f>
        <v>West</v>
      </c>
      <c r="O977" t="str">
        <f>_xlfn.XLOOKUP(C977,tblProducts[product_id],tblProducts[product_name],"Missing")</f>
        <v>Workflow Automate</v>
      </c>
      <c r="P977" t="str">
        <f>_xlfn.XLOOKUP(C977,tblProducts[product_id],tblProducts[category],"Missing")</f>
        <v>Automation</v>
      </c>
      <c r="Q977" t="str">
        <f>_xlfn.XLOOKUP(D977,tblSalesReps[rep_id],tblSalesReps[rep_name],"Missing")</f>
        <v>Sales Rep 11</v>
      </c>
      <c r="R977" t="str">
        <f>_xlfn.XLOOKUP(D977,tblSalesReps[rep_id],tblSalesReps[region],"Missing")</f>
        <v>West</v>
      </c>
    </row>
    <row r="978" spans="1:18">
      <c r="A978" t="s">
        <v>1452</v>
      </c>
      <c r="B978" t="s">
        <v>1453</v>
      </c>
      <c r="C978" t="s">
        <v>81</v>
      </c>
      <c r="D978" t="s">
        <v>168</v>
      </c>
      <c r="E978" s="1">
        <v>45994</v>
      </c>
      <c r="F978" s="1">
        <v>46029</v>
      </c>
      <c r="G978" s="1"/>
      <c r="H978" t="s">
        <v>43</v>
      </c>
      <c r="I978">
        <v>1</v>
      </c>
      <c r="J978">
        <v>0</v>
      </c>
      <c r="K978">
        <v>300000</v>
      </c>
      <c r="L978">
        <v>20</v>
      </c>
      <c r="M978" t="s">
        <v>29</v>
      </c>
      <c r="N978" t="str">
        <f>_xlfn.XLOOKUP(B978,tblCustomers[customer_id],tblCustomers[region],"Missing")</f>
        <v>East</v>
      </c>
      <c r="O978" t="str">
        <f>_xlfn.XLOOKUP(C978,tblProducts[product_id],tblProducts[product_name],"Missing")</f>
        <v>Analytics Cloud</v>
      </c>
      <c r="P978" t="str">
        <f>_xlfn.XLOOKUP(C978,tblProducts[product_id],tblProducts[category],"Missing")</f>
        <v>Analytics</v>
      </c>
      <c r="Q978" t="str">
        <f>_xlfn.XLOOKUP(D978,tblSalesReps[rep_id],tblSalesReps[rep_name],"Missing")</f>
        <v>Sales Rep 17</v>
      </c>
      <c r="R978" t="str">
        <f>_xlfn.XLOOKUP(D978,tblSalesReps[rep_id],tblSalesReps[region],"Missing")</f>
        <v>East</v>
      </c>
    </row>
    <row r="979" spans="1:18">
      <c r="A979" t="s">
        <v>1454</v>
      </c>
      <c r="B979" t="s">
        <v>680</v>
      </c>
      <c r="C979" t="s">
        <v>21</v>
      </c>
      <c r="D979" t="s">
        <v>63</v>
      </c>
      <c r="E979" s="1">
        <v>45886</v>
      </c>
      <c r="F979" s="1">
        <v>45964</v>
      </c>
      <c r="G979" s="1">
        <v>45964</v>
      </c>
      <c r="H979" t="s">
        <v>28</v>
      </c>
      <c r="I979">
        <v>1</v>
      </c>
      <c r="J979">
        <v>10</v>
      </c>
      <c r="K979">
        <v>216000</v>
      </c>
      <c r="L979">
        <v>100</v>
      </c>
      <c r="M979" t="s">
        <v>29</v>
      </c>
      <c r="N979" t="str">
        <f>_xlfn.XLOOKUP(B979,tblCustomers[customer_id],tblCustomers[region],"Missing")</f>
        <v>South</v>
      </c>
      <c r="O979" t="str">
        <f>_xlfn.XLOOKUP(C979,tblProducts[product_id],tblProducts[product_name],"Missing")</f>
        <v>Workflow Automate</v>
      </c>
      <c r="P979" t="str">
        <f>_xlfn.XLOOKUP(C979,tblProducts[product_id],tblProducts[category],"Missing")</f>
        <v>Automation</v>
      </c>
      <c r="Q979" t="str">
        <f>_xlfn.XLOOKUP(D979,tblSalesReps[rep_id],tblSalesReps[rep_name],"Missing")</f>
        <v>Sales Rep 05</v>
      </c>
      <c r="R979" t="str">
        <f>_xlfn.XLOOKUP(D979,tblSalesReps[rep_id],tblSalesReps[region],"Missing")</f>
        <v>South</v>
      </c>
    </row>
    <row r="980" spans="1:18">
      <c r="A980" t="s">
        <v>1455</v>
      </c>
      <c r="B980" t="s">
        <v>896</v>
      </c>
      <c r="C980" t="s">
        <v>26</v>
      </c>
      <c r="D980" t="s">
        <v>59</v>
      </c>
      <c r="E980" s="1">
        <v>45682</v>
      </c>
      <c r="F980" s="1">
        <v>45713</v>
      </c>
      <c r="G980" s="1">
        <v>45713</v>
      </c>
      <c r="H980" t="s">
        <v>28</v>
      </c>
      <c r="I980">
        <v>1</v>
      </c>
      <c r="J980">
        <v>0</v>
      </c>
      <c r="K980">
        <v>360000</v>
      </c>
      <c r="L980">
        <v>100</v>
      </c>
      <c r="M980" t="s">
        <v>29</v>
      </c>
      <c r="N980" t="str">
        <f>_xlfn.XLOOKUP(B980,tblCustomers[customer_id],tblCustomers[region],"Missing")</f>
        <v>East</v>
      </c>
      <c r="O980" t="str">
        <f>_xlfn.XLOOKUP(C980,tblProducts[product_id],tblProducts[product_name],"Missing")</f>
        <v>Security Suite</v>
      </c>
      <c r="P980" t="str">
        <f>_xlfn.XLOOKUP(C980,tblProducts[product_id],tblProducts[category],"Missing")</f>
        <v>Security</v>
      </c>
      <c r="Q980" t="str">
        <f>_xlfn.XLOOKUP(D980,tblSalesReps[rep_id],tblSalesReps[rep_name],"Missing")</f>
        <v>Sales Rep 19</v>
      </c>
      <c r="R980" t="str">
        <f>_xlfn.XLOOKUP(D980,tblSalesReps[rep_id],tblSalesReps[region],"Missing")</f>
        <v>East</v>
      </c>
    </row>
    <row r="981" spans="1:18">
      <c r="A981" t="s">
        <v>1456</v>
      </c>
      <c r="B981" t="s">
        <v>318</v>
      </c>
      <c r="C981" t="s">
        <v>81</v>
      </c>
      <c r="D981" t="s">
        <v>46</v>
      </c>
      <c r="E981" s="1">
        <v>45715</v>
      </c>
      <c r="F981" s="1">
        <v>45729</v>
      </c>
      <c r="G981" s="1">
        <v>45729</v>
      </c>
      <c r="H981" t="s">
        <v>28</v>
      </c>
      <c r="I981">
        <v>1</v>
      </c>
      <c r="J981">
        <v>10</v>
      </c>
      <c r="K981">
        <v>270000</v>
      </c>
      <c r="L981">
        <v>100</v>
      </c>
      <c r="M981" t="s">
        <v>29</v>
      </c>
      <c r="N981" t="str">
        <f>_xlfn.XLOOKUP(B981,tblCustomers[customer_id],tblCustomers[region],"Missing")</f>
        <v>South</v>
      </c>
      <c r="O981" t="str">
        <f>_xlfn.XLOOKUP(C981,tblProducts[product_id],tblProducts[product_name],"Missing")</f>
        <v>Analytics Cloud</v>
      </c>
      <c r="P981" t="str">
        <f>_xlfn.XLOOKUP(C981,tblProducts[product_id],tblProducts[category],"Missing")</f>
        <v>Analytics</v>
      </c>
      <c r="Q981" t="str">
        <f>_xlfn.XLOOKUP(D981,tblSalesReps[rep_id],tblSalesReps[rep_name],"Missing")</f>
        <v>Sales Rep 01</v>
      </c>
      <c r="R981" t="str">
        <f>_xlfn.XLOOKUP(D981,tblSalesReps[rep_id],tblSalesReps[region],"Missing")</f>
        <v>South</v>
      </c>
    </row>
    <row r="982" spans="1:18">
      <c r="A982" t="s">
        <v>1457</v>
      </c>
      <c r="B982" t="s">
        <v>217</v>
      </c>
      <c r="C982" t="s">
        <v>26</v>
      </c>
      <c r="D982" t="s">
        <v>168</v>
      </c>
      <c r="E982" s="1">
        <v>45723</v>
      </c>
      <c r="F982" s="1">
        <v>45753</v>
      </c>
      <c r="G982" s="1">
        <v>45753</v>
      </c>
      <c r="H982" t="s">
        <v>28</v>
      </c>
      <c r="I982">
        <v>1</v>
      </c>
      <c r="J982">
        <v>15</v>
      </c>
      <c r="K982">
        <v>306000</v>
      </c>
      <c r="L982">
        <v>100</v>
      </c>
      <c r="M982" t="s">
        <v>29</v>
      </c>
      <c r="N982" t="str">
        <f>_xlfn.XLOOKUP(B982,tblCustomers[customer_id],tblCustomers[region],"Missing")</f>
        <v>East</v>
      </c>
      <c r="O982" t="str">
        <f>_xlfn.XLOOKUP(C982,tblProducts[product_id],tblProducts[product_name],"Missing")</f>
        <v>Security Suite</v>
      </c>
      <c r="P982" t="str">
        <f>_xlfn.XLOOKUP(C982,tblProducts[product_id],tblProducts[category],"Missing")</f>
        <v>Security</v>
      </c>
      <c r="Q982" t="str">
        <f>_xlfn.XLOOKUP(D982,tblSalesReps[rep_id],tblSalesReps[rep_name],"Missing")</f>
        <v>Sales Rep 17</v>
      </c>
      <c r="R982" t="str">
        <f>_xlfn.XLOOKUP(D982,tblSalesReps[rep_id],tblSalesReps[region],"Missing")</f>
        <v>East</v>
      </c>
    </row>
    <row r="983" spans="1:18">
      <c r="A983" t="s">
        <v>1458</v>
      </c>
      <c r="B983" t="s">
        <v>1398</v>
      </c>
      <c r="C983" t="s">
        <v>62</v>
      </c>
      <c r="D983" t="s">
        <v>78</v>
      </c>
      <c r="E983" s="1">
        <v>45861</v>
      </c>
      <c r="F983" s="1">
        <v>45879</v>
      </c>
      <c r="G983" s="1">
        <v>45879</v>
      </c>
      <c r="H983" t="s">
        <v>17</v>
      </c>
      <c r="I983">
        <v>2</v>
      </c>
      <c r="J983">
        <v>5</v>
      </c>
      <c r="K983">
        <v>228000</v>
      </c>
      <c r="L983">
        <v>0</v>
      </c>
      <c r="M983" t="s">
        <v>47</v>
      </c>
      <c r="N983" t="str">
        <f>_xlfn.XLOOKUP(B983,tblCustomers[customer_id],tblCustomers[region],"Missing")</f>
        <v>West</v>
      </c>
      <c r="O983" t="str">
        <f>_xlfn.XLOOKUP(C983,tblProducts[product_id],tblProducts[product_name],"Missing")</f>
        <v>CRM Essentials</v>
      </c>
      <c r="P983" t="str">
        <f>_xlfn.XLOOKUP(C983,tblProducts[product_id],tblProducts[category],"Missing")</f>
        <v>CRM</v>
      </c>
      <c r="Q983" t="str">
        <f>_xlfn.XLOOKUP(D983,tblSalesReps[rep_id],tblSalesReps[rep_name],"Missing")</f>
        <v>Sales Rep 12</v>
      </c>
      <c r="R983" t="str">
        <f>_xlfn.XLOOKUP(D983,tblSalesReps[rep_id],tblSalesReps[region],"Missing")</f>
        <v>West</v>
      </c>
    </row>
    <row r="984" spans="1:18">
      <c r="A984" t="s">
        <v>1459</v>
      </c>
      <c r="B984" t="s">
        <v>90</v>
      </c>
      <c r="C984" t="s">
        <v>39</v>
      </c>
      <c r="D984" t="s">
        <v>32</v>
      </c>
      <c r="E984" s="1">
        <v>45748</v>
      </c>
      <c r="F984" s="1">
        <v>45758</v>
      </c>
      <c r="G984" s="1"/>
      <c r="H984" t="s">
        <v>43</v>
      </c>
      <c r="I984">
        <v>3</v>
      </c>
      <c r="J984">
        <v>5</v>
      </c>
      <c r="K984">
        <v>513000</v>
      </c>
      <c r="L984">
        <v>80</v>
      </c>
      <c r="M984" t="s">
        <v>29</v>
      </c>
      <c r="N984" t="str">
        <f>_xlfn.XLOOKUP(B984,tblCustomers[customer_id],tblCustomers[region],"Missing")</f>
        <v>South</v>
      </c>
      <c r="O984" t="str">
        <f>_xlfn.XLOOKUP(C984,tblProducts[product_id],tblProducts[product_name],"Missing")</f>
        <v>Support Desk</v>
      </c>
      <c r="P984" t="str">
        <f>_xlfn.XLOOKUP(C984,tblProducts[product_id],tblProducts[category],"Missing")</f>
        <v>Service</v>
      </c>
      <c r="Q984" t="str">
        <f>_xlfn.XLOOKUP(D984,tblSalesReps[rep_id],tblSalesReps[rep_name],"Missing")</f>
        <v>Sales Rep 04</v>
      </c>
      <c r="R984" t="str">
        <f>_xlfn.XLOOKUP(D984,tblSalesReps[rep_id],tblSalesReps[region],"Missing")</f>
        <v>South</v>
      </c>
    </row>
    <row r="985" spans="1:18">
      <c r="A985" t="s">
        <v>1460</v>
      </c>
      <c r="B985" t="s">
        <v>1461</v>
      </c>
      <c r="C985" t="s">
        <v>15</v>
      </c>
      <c r="D985" t="s">
        <v>78</v>
      </c>
      <c r="E985" s="1">
        <v>45985</v>
      </c>
      <c r="F985" s="1">
        <v>46048</v>
      </c>
      <c r="G985" s="1"/>
      <c r="H985" t="s">
        <v>43</v>
      </c>
      <c r="I985">
        <v>1</v>
      </c>
      <c r="J985">
        <v>20</v>
      </c>
      <c r="K985">
        <v>336000</v>
      </c>
      <c r="L985">
        <v>40</v>
      </c>
      <c r="M985" t="s">
        <v>29</v>
      </c>
      <c r="N985" t="str">
        <f>_xlfn.XLOOKUP(B985,tblCustomers[customer_id],tblCustomers[region],"Missing")</f>
        <v>West</v>
      </c>
      <c r="O985" t="str">
        <f>_xlfn.XLOOKUP(C985,tblProducts[product_id],tblProducts[product_name],"Missing")</f>
        <v>CRM Enterprise</v>
      </c>
      <c r="P985" t="str">
        <f>_xlfn.XLOOKUP(C985,tblProducts[product_id],tblProducts[category],"Missing")</f>
        <v>CRM</v>
      </c>
      <c r="Q985" t="str">
        <f>_xlfn.XLOOKUP(D985,tblSalesReps[rep_id],tblSalesReps[rep_name],"Missing")</f>
        <v>Sales Rep 12</v>
      </c>
      <c r="R985" t="str">
        <f>_xlfn.XLOOKUP(D985,tblSalesReps[rep_id],tblSalesReps[region],"Missing")</f>
        <v>West</v>
      </c>
    </row>
    <row r="986" spans="1:18">
      <c r="A986" t="s">
        <v>1462</v>
      </c>
      <c r="B986" t="s">
        <v>547</v>
      </c>
      <c r="C986" t="s">
        <v>81</v>
      </c>
      <c r="D986" t="s">
        <v>53</v>
      </c>
      <c r="E986" s="1">
        <v>45917</v>
      </c>
      <c r="F986" s="1">
        <v>45928</v>
      </c>
      <c r="G986" s="1">
        <v>45928</v>
      </c>
      <c r="H986" t="s">
        <v>17</v>
      </c>
      <c r="I986">
        <v>2</v>
      </c>
      <c r="J986">
        <v>15</v>
      </c>
      <c r="K986">
        <v>510000</v>
      </c>
      <c r="L986">
        <v>0</v>
      </c>
      <c r="M986" t="s">
        <v>23</v>
      </c>
      <c r="N986" t="str">
        <f>_xlfn.XLOOKUP(B986,tblCustomers[customer_id],tblCustomers[region],"Missing")</f>
        <v>East</v>
      </c>
      <c r="O986" t="str">
        <f>_xlfn.XLOOKUP(C986,tblProducts[product_id],tblProducts[product_name],"Missing")</f>
        <v>Analytics Cloud</v>
      </c>
      <c r="P986" t="str">
        <f>_xlfn.XLOOKUP(C986,tblProducts[product_id],tblProducts[category],"Missing")</f>
        <v>Analytics</v>
      </c>
      <c r="Q986" t="str">
        <f>_xlfn.XLOOKUP(D986,tblSalesReps[rep_id],tblSalesReps[rep_name],"Missing")</f>
        <v>Sales Rep 16</v>
      </c>
      <c r="R986" t="str">
        <f>_xlfn.XLOOKUP(D986,tblSalesReps[rep_id],tblSalesReps[region],"Missing")</f>
        <v>East</v>
      </c>
    </row>
    <row r="987" spans="1:18">
      <c r="A987" t="s">
        <v>1463</v>
      </c>
      <c r="B987" t="s">
        <v>520</v>
      </c>
      <c r="C987" t="s">
        <v>15</v>
      </c>
      <c r="D987" t="s">
        <v>59</v>
      </c>
      <c r="E987" s="1">
        <v>45709</v>
      </c>
      <c r="F987" s="1">
        <v>45786</v>
      </c>
      <c r="G987" s="1">
        <v>45786</v>
      </c>
      <c r="H987" t="s">
        <v>17</v>
      </c>
      <c r="I987">
        <v>1</v>
      </c>
      <c r="J987">
        <v>20</v>
      </c>
      <c r="K987">
        <v>336000</v>
      </c>
      <c r="L987">
        <v>0</v>
      </c>
      <c r="M987" t="s">
        <v>23</v>
      </c>
      <c r="N987" t="str">
        <f>_xlfn.XLOOKUP(B987,tblCustomers[customer_id],tblCustomers[region],"Missing")</f>
        <v>East</v>
      </c>
      <c r="O987" t="str">
        <f>_xlfn.XLOOKUP(C987,tblProducts[product_id],tblProducts[product_name],"Missing")</f>
        <v>CRM Enterprise</v>
      </c>
      <c r="P987" t="str">
        <f>_xlfn.XLOOKUP(C987,tblProducts[product_id],tblProducts[category],"Missing")</f>
        <v>CRM</v>
      </c>
      <c r="Q987" t="str">
        <f>_xlfn.XLOOKUP(D987,tblSalesReps[rep_id],tblSalesReps[rep_name],"Missing")</f>
        <v>Sales Rep 19</v>
      </c>
      <c r="R987" t="str">
        <f>_xlfn.XLOOKUP(D987,tblSalesReps[rep_id],tblSalesReps[region],"Missing")</f>
        <v>East</v>
      </c>
    </row>
    <row r="988" spans="1:18">
      <c r="A988" t="s">
        <v>1464</v>
      </c>
      <c r="B988" t="s">
        <v>90</v>
      </c>
      <c r="C988" t="s">
        <v>15</v>
      </c>
      <c r="D988" t="s">
        <v>126</v>
      </c>
      <c r="E988" s="1">
        <v>46022</v>
      </c>
      <c r="F988" s="1">
        <v>46042</v>
      </c>
      <c r="G988" s="1"/>
      <c r="H988" t="s">
        <v>43</v>
      </c>
      <c r="I988">
        <v>3</v>
      </c>
      <c r="J988">
        <v>10</v>
      </c>
      <c r="K988">
        <v>1134000</v>
      </c>
      <c r="L988">
        <v>60</v>
      </c>
      <c r="M988" t="s">
        <v>29</v>
      </c>
      <c r="N988" t="str">
        <f>_xlfn.XLOOKUP(B988,tblCustomers[customer_id],tblCustomers[region],"Missing")</f>
        <v>South</v>
      </c>
      <c r="O988" t="str">
        <f>_xlfn.XLOOKUP(C988,tblProducts[product_id],tblProducts[product_name],"Missing")</f>
        <v>CRM Enterprise</v>
      </c>
      <c r="P988" t="str">
        <f>_xlfn.XLOOKUP(C988,tblProducts[product_id],tblProducts[category],"Missing")</f>
        <v>CRM</v>
      </c>
      <c r="Q988" t="str">
        <f>_xlfn.XLOOKUP(D988,tblSalesReps[rep_id],tblSalesReps[rep_name],"Missing")</f>
        <v>Sales Rep 02</v>
      </c>
      <c r="R988" t="str">
        <f>_xlfn.XLOOKUP(D988,tblSalesReps[rep_id],tblSalesReps[region],"Missing")</f>
        <v>South</v>
      </c>
    </row>
    <row r="989" spans="1:18">
      <c r="A989" t="s">
        <v>1465</v>
      </c>
      <c r="B989" t="s">
        <v>276</v>
      </c>
      <c r="C989" t="s">
        <v>15</v>
      </c>
      <c r="D989" t="s">
        <v>63</v>
      </c>
      <c r="E989" s="1">
        <v>45830</v>
      </c>
      <c r="F989" s="1">
        <v>45843</v>
      </c>
      <c r="G989" s="1">
        <v>45843</v>
      </c>
      <c r="H989" t="s">
        <v>28</v>
      </c>
      <c r="I989">
        <v>2</v>
      </c>
      <c r="J989">
        <v>5</v>
      </c>
      <c r="K989">
        <v>798000</v>
      </c>
      <c r="L989">
        <v>100</v>
      </c>
      <c r="M989" t="s">
        <v>29</v>
      </c>
      <c r="N989" t="str">
        <f>_xlfn.XLOOKUP(B989,tblCustomers[customer_id],tblCustomers[region],"Missing")</f>
        <v>South</v>
      </c>
      <c r="O989" t="str">
        <f>_xlfn.XLOOKUP(C989,tblProducts[product_id],tblProducts[product_name],"Missing")</f>
        <v>CRM Enterprise</v>
      </c>
      <c r="P989" t="str">
        <f>_xlfn.XLOOKUP(C989,tblProducts[product_id],tblProducts[category],"Missing")</f>
        <v>CRM</v>
      </c>
      <c r="Q989" t="str">
        <f>_xlfn.XLOOKUP(D989,tblSalesReps[rep_id],tblSalesReps[rep_name],"Missing")</f>
        <v>Sales Rep 05</v>
      </c>
      <c r="R989" t="str">
        <f>_xlfn.XLOOKUP(D989,tblSalesReps[rep_id],tblSalesReps[region],"Missing")</f>
        <v>South</v>
      </c>
    </row>
    <row r="990" spans="1:18">
      <c r="A990" t="s">
        <v>1466</v>
      </c>
      <c r="B990" t="s">
        <v>460</v>
      </c>
      <c r="C990" t="s">
        <v>15</v>
      </c>
      <c r="D990" t="s">
        <v>27</v>
      </c>
      <c r="E990" s="1">
        <v>45906</v>
      </c>
      <c r="F990" s="1">
        <v>45942</v>
      </c>
      <c r="G990" s="1">
        <v>45942</v>
      </c>
      <c r="H990" t="s">
        <v>17</v>
      </c>
      <c r="I990">
        <v>3</v>
      </c>
      <c r="J990">
        <v>10</v>
      </c>
      <c r="K990">
        <v>1134000</v>
      </c>
      <c r="L990">
        <v>0</v>
      </c>
      <c r="M990" t="s">
        <v>33</v>
      </c>
      <c r="N990" t="str">
        <f>_xlfn.XLOOKUP(B990,tblCustomers[customer_id],tblCustomers[region],"Missing")</f>
        <v>North</v>
      </c>
      <c r="O990" t="str">
        <f>_xlfn.XLOOKUP(C990,tblProducts[product_id],tblProducts[product_name],"Missing")</f>
        <v>CRM Enterprise</v>
      </c>
      <c r="P990" t="str">
        <f>_xlfn.XLOOKUP(C990,tblProducts[product_id],tblProducts[category],"Missing")</f>
        <v>CRM</v>
      </c>
      <c r="Q990" t="str">
        <f>_xlfn.XLOOKUP(D990,tblSalesReps[rep_id],tblSalesReps[rep_name],"Missing")</f>
        <v>Sales Rep 06</v>
      </c>
      <c r="R990" t="str">
        <f>_xlfn.XLOOKUP(D990,tblSalesReps[rep_id],tblSalesReps[region],"Missing")</f>
        <v>North</v>
      </c>
    </row>
    <row r="991" spans="1:18">
      <c r="A991" t="s">
        <v>1467</v>
      </c>
      <c r="B991" t="s">
        <v>966</v>
      </c>
      <c r="C991" t="s">
        <v>81</v>
      </c>
      <c r="D991" t="s">
        <v>126</v>
      </c>
      <c r="E991" s="1">
        <v>45950</v>
      </c>
      <c r="F991" s="1">
        <v>46017</v>
      </c>
      <c r="G991" s="1"/>
      <c r="H991" t="s">
        <v>43</v>
      </c>
      <c r="I991">
        <v>1</v>
      </c>
      <c r="J991">
        <v>15</v>
      </c>
      <c r="K991">
        <v>255000</v>
      </c>
      <c r="L991">
        <v>20</v>
      </c>
      <c r="M991" t="s">
        <v>29</v>
      </c>
      <c r="N991" t="str">
        <f>_xlfn.XLOOKUP(B991,tblCustomers[customer_id],tblCustomers[region],"Missing")</f>
        <v>South</v>
      </c>
      <c r="O991" t="str">
        <f>_xlfn.XLOOKUP(C991,tblProducts[product_id],tblProducts[product_name],"Missing")</f>
        <v>Analytics Cloud</v>
      </c>
      <c r="P991" t="str">
        <f>_xlfn.XLOOKUP(C991,tblProducts[product_id],tblProducts[category],"Missing")</f>
        <v>Analytics</v>
      </c>
      <c r="Q991" t="str">
        <f>_xlfn.XLOOKUP(D991,tblSalesReps[rep_id],tblSalesReps[rep_name],"Missing")</f>
        <v>Sales Rep 02</v>
      </c>
      <c r="R991" t="str">
        <f>_xlfn.XLOOKUP(D991,tblSalesReps[rep_id],tblSalesReps[region],"Missing")</f>
        <v>South</v>
      </c>
    </row>
    <row r="992" spans="1:18">
      <c r="A992" t="s">
        <v>1468</v>
      </c>
      <c r="B992" t="s">
        <v>129</v>
      </c>
      <c r="C992" t="s">
        <v>26</v>
      </c>
      <c r="D992" t="s">
        <v>152</v>
      </c>
      <c r="E992" s="1">
        <v>45694</v>
      </c>
      <c r="F992" s="1">
        <v>45744</v>
      </c>
      <c r="G992" s="1">
        <v>45744</v>
      </c>
      <c r="H992" t="s">
        <v>28</v>
      </c>
      <c r="I992">
        <v>1</v>
      </c>
      <c r="J992">
        <v>15</v>
      </c>
      <c r="K992">
        <v>306000</v>
      </c>
      <c r="L992">
        <v>100</v>
      </c>
      <c r="M992" t="s">
        <v>29</v>
      </c>
      <c r="N992" t="str">
        <f>_xlfn.XLOOKUP(B992,tblCustomers[customer_id],tblCustomers[region],"Missing")</f>
        <v>East</v>
      </c>
      <c r="O992" t="str">
        <f>_xlfn.XLOOKUP(C992,tblProducts[product_id],tblProducts[product_name],"Missing")</f>
        <v>Security Suite</v>
      </c>
      <c r="P992" t="str">
        <f>_xlfn.XLOOKUP(C992,tblProducts[product_id],tblProducts[category],"Missing")</f>
        <v>Security</v>
      </c>
      <c r="Q992" t="str">
        <f>_xlfn.XLOOKUP(D992,tblSalesReps[rep_id],tblSalesReps[rep_name],"Missing")</f>
        <v>Sales Rep 18</v>
      </c>
      <c r="R992" t="str">
        <f>_xlfn.XLOOKUP(D992,tblSalesReps[rep_id],tblSalesReps[region],"Missing")</f>
        <v>East</v>
      </c>
    </row>
    <row r="993" spans="1:18">
      <c r="A993" t="s">
        <v>1469</v>
      </c>
      <c r="B993" t="s">
        <v>443</v>
      </c>
      <c r="C993" t="s">
        <v>39</v>
      </c>
      <c r="D993" t="s">
        <v>40</v>
      </c>
      <c r="E993" s="1">
        <v>45888</v>
      </c>
      <c r="F993" s="1">
        <v>45940</v>
      </c>
      <c r="G993" s="1">
        <v>45940</v>
      </c>
      <c r="H993" t="s">
        <v>17</v>
      </c>
      <c r="I993">
        <v>1</v>
      </c>
      <c r="J993">
        <v>0</v>
      </c>
      <c r="K993">
        <v>180000</v>
      </c>
      <c r="L993">
        <v>0</v>
      </c>
      <c r="M993" t="s">
        <v>23</v>
      </c>
      <c r="N993" t="str">
        <f>_xlfn.XLOOKUP(B993,tblCustomers[customer_id],tblCustomers[region],"Missing")</f>
        <v>West</v>
      </c>
      <c r="O993" t="str">
        <f>_xlfn.XLOOKUP(C993,tblProducts[product_id],tblProducts[product_name],"Missing")</f>
        <v>Support Desk</v>
      </c>
      <c r="P993" t="str">
        <f>_xlfn.XLOOKUP(C993,tblProducts[product_id],tblProducts[category],"Missing")</f>
        <v>Service</v>
      </c>
      <c r="Q993" t="str">
        <f>_xlfn.XLOOKUP(D993,tblSalesReps[rep_id],tblSalesReps[rep_name],"Missing")</f>
        <v>Sales Rep 13</v>
      </c>
      <c r="R993" t="str">
        <f>_xlfn.XLOOKUP(D993,tblSalesReps[rep_id],tblSalesReps[region],"Missing")</f>
        <v>West</v>
      </c>
    </row>
    <row r="994" spans="1:18">
      <c r="A994" t="s">
        <v>1470</v>
      </c>
      <c r="B994" t="s">
        <v>551</v>
      </c>
      <c r="C994" t="s">
        <v>26</v>
      </c>
      <c r="D994" t="s">
        <v>59</v>
      </c>
      <c r="E994" s="1">
        <v>45707</v>
      </c>
      <c r="F994" s="1">
        <v>45725</v>
      </c>
      <c r="G994" s="1">
        <v>45725</v>
      </c>
      <c r="H994" t="s">
        <v>28</v>
      </c>
      <c r="I994">
        <v>1</v>
      </c>
      <c r="J994">
        <v>10</v>
      </c>
      <c r="K994">
        <v>324000</v>
      </c>
      <c r="L994">
        <v>100</v>
      </c>
      <c r="M994" t="s">
        <v>29</v>
      </c>
      <c r="N994" t="str">
        <f>_xlfn.XLOOKUP(B994,tblCustomers[customer_id],tblCustomers[region],"Missing")</f>
        <v>East</v>
      </c>
      <c r="O994" t="str">
        <f>_xlfn.XLOOKUP(C994,tblProducts[product_id],tblProducts[product_name],"Missing")</f>
        <v>Security Suite</v>
      </c>
      <c r="P994" t="str">
        <f>_xlfn.XLOOKUP(C994,tblProducts[product_id],tblProducts[category],"Missing")</f>
        <v>Security</v>
      </c>
      <c r="Q994" t="str">
        <f>_xlfn.XLOOKUP(D994,tblSalesReps[rep_id],tblSalesReps[rep_name],"Missing")</f>
        <v>Sales Rep 19</v>
      </c>
      <c r="R994" t="str">
        <f>_xlfn.XLOOKUP(D994,tblSalesReps[rep_id],tblSalesReps[region],"Missing")</f>
        <v>East</v>
      </c>
    </row>
    <row r="995" spans="1:18">
      <c r="A995" t="s">
        <v>1471</v>
      </c>
      <c r="B995" t="s">
        <v>121</v>
      </c>
      <c r="C995" t="s">
        <v>81</v>
      </c>
      <c r="D995" t="s">
        <v>32</v>
      </c>
      <c r="E995" s="1">
        <v>45676</v>
      </c>
      <c r="F995" s="1">
        <v>45749</v>
      </c>
      <c r="G995" s="1">
        <v>45749</v>
      </c>
      <c r="H995" t="s">
        <v>17</v>
      </c>
      <c r="I995">
        <v>2</v>
      </c>
      <c r="J995">
        <v>5</v>
      </c>
      <c r="K995">
        <v>570000</v>
      </c>
      <c r="L995">
        <v>0</v>
      </c>
      <c r="M995" t="s">
        <v>47</v>
      </c>
      <c r="N995" t="str">
        <f>_xlfn.XLOOKUP(B995,tblCustomers[customer_id],tblCustomers[region],"Missing")</f>
        <v>South</v>
      </c>
      <c r="O995" t="str">
        <f>_xlfn.XLOOKUP(C995,tblProducts[product_id],tblProducts[product_name],"Missing")</f>
        <v>Analytics Cloud</v>
      </c>
      <c r="P995" t="str">
        <f>_xlfn.XLOOKUP(C995,tblProducts[product_id],tblProducts[category],"Missing")</f>
        <v>Analytics</v>
      </c>
      <c r="Q995" t="str">
        <f>_xlfn.XLOOKUP(D995,tblSalesReps[rep_id],tblSalesReps[rep_name],"Missing")</f>
        <v>Sales Rep 04</v>
      </c>
      <c r="R995" t="str">
        <f>_xlfn.XLOOKUP(D995,tblSalesReps[rep_id],tblSalesReps[region],"Missing")</f>
        <v>South</v>
      </c>
    </row>
    <row r="996" spans="1:18">
      <c r="A996" t="s">
        <v>1472</v>
      </c>
      <c r="B996" t="s">
        <v>45</v>
      </c>
      <c r="C996" t="s">
        <v>39</v>
      </c>
      <c r="D996" t="s">
        <v>32</v>
      </c>
      <c r="E996" s="1">
        <v>45990</v>
      </c>
      <c r="F996" s="1">
        <v>46042</v>
      </c>
      <c r="G996" s="1"/>
      <c r="H996" t="s">
        <v>43</v>
      </c>
      <c r="I996">
        <v>1</v>
      </c>
      <c r="J996">
        <v>5</v>
      </c>
      <c r="K996">
        <v>171000</v>
      </c>
      <c r="L996">
        <v>60</v>
      </c>
      <c r="M996" t="s">
        <v>29</v>
      </c>
      <c r="N996" t="str">
        <f>_xlfn.XLOOKUP(B996,tblCustomers[customer_id],tblCustomers[region],"Missing")</f>
        <v>South</v>
      </c>
      <c r="O996" t="str">
        <f>_xlfn.XLOOKUP(C996,tblProducts[product_id],tblProducts[product_name],"Missing")</f>
        <v>Support Desk</v>
      </c>
      <c r="P996" t="str">
        <f>_xlfn.XLOOKUP(C996,tblProducts[product_id],tblProducts[category],"Missing")</f>
        <v>Service</v>
      </c>
      <c r="Q996" t="str">
        <f>_xlfn.XLOOKUP(D996,tblSalesReps[rep_id],tblSalesReps[rep_name],"Missing")</f>
        <v>Sales Rep 04</v>
      </c>
      <c r="R996" t="str">
        <f>_xlfn.XLOOKUP(D996,tblSalesReps[rep_id],tblSalesReps[region],"Missing")</f>
        <v>South</v>
      </c>
    </row>
    <row r="997" spans="1:18">
      <c r="A997" t="s">
        <v>1473</v>
      </c>
      <c r="B997" t="s">
        <v>628</v>
      </c>
      <c r="C997" t="s">
        <v>26</v>
      </c>
      <c r="D997" t="s">
        <v>56</v>
      </c>
      <c r="E997" s="1">
        <v>45984</v>
      </c>
      <c r="F997" s="1">
        <v>46020</v>
      </c>
      <c r="G997" s="1">
        <v>46020</v>
      </c>
      <c r="H997" t="s">
        <v>28</v>
      </c>
      <c r="I997">
        <v>1</v>
      </c>
      <c r="J997">
        <v>5</v>
      </c>
      <c r="K997">
        <v>342000</v>
      </c>
      <c r="L997">
        <v>100</v>
      </c>
      <c r="M997" t="s">
        <v>29</v>
      </c>
      <c r="N997" t="str">
        <f>_xlfn.XLOOKUP(B997,tblCustomers[customer_id],tblCustomers[region],"Missing")</f>
        <v>East</v>
      </c>
      <c r="O997" t="str">
        <f>_xlfn.XLOOKUP(C997,tblProducts[product_id],tblProducts[product_name],"Missing")</f>
        <v>Security Suite</v>
      </c>
      <c r="P997" t="str">
        <f>_xlfn.XLOOKUP(C997,tblProducts[product_id],tblProducts[category],"Missing")</f>
        <v>Security</v>
      </c>
      <c r="Q997" t="str">
        <f>_xlfn.XLOOKUP(D997,tblSalesReps[rep_id],tblSalesReps[rep_name],"Missing")</f>
        <v>Sales Rep 20</v>
      </c>
      <c r="R997" t="str">
        <f>_xlfn.XLOOKUP(D997,tblSalesReps[rep_id],tblSalesReps[region],"Missing")</f>
        <v>East</v>
      </c>
    </row>
    <row r="998" spans="1:18">
      <c r="A998" t="s">
        <v>1474</v>
      </c>
      <c r="B998" t="s">
        <v>1475</v>
      </c>
      <c r="C998" t="s">
        <v>39</v>
      </c>
      <c r="D998" t="s">
        <v>59</v>
      </c>
      <c r="E998" s="1">
        <v>45803</v>
      </c>
      <c r="F998" s="1">
        <v>45816</v>
      </c>
      <c r="G998" s="1">
        <v>45816</v>
      </c>
      <c r="H998" t="s">
        <v>17</v>
      </c>
      <c r="I998">
        <v>1</v>
      </c>
      <c r="J998">
        <v>5</v>
      </c>
      <c r="K998">
        <v>171000</v>
      </c>
      <c r="L998">
        <v>0</v>
      </c>
      <c r="M998" t="s">
        <v>33</v>
      </c>
      <c r="N998" t="str">
        <f>_xlfn.XLOOKUP(B998,tblCustomers[customer_id],tblCustomers[region],"Missing")</f>
        <v>East</v>
      </c>
      <c r="O998" t="str">
        <f>_xlfn.XLOOKUP(C998,tblProducts[product_id],tblProducts[product_name],"Missing")</f>
        <v>Support Desk</v>
      </c>
      <c r="P998" t="str">
        <f>_xlfn.XLOOKUP(C998,tblProducts[product_id],tblProducts[category],"Missing")</f>
        <v>Service</v>
      </c>
      <c r="Q998" t="str">
        <f>_xlfn.XLOOKUP(D998,tblSalesReps[rep_id],tblSalesReps[rep_name],"Missing")</f>
        <v>Sales Rep 19</v>
      </c>
      <c r="R998" t="str">
        <f>_xlfn.XLOOKUP(D998,tblSalesReps[rep_id],tblSalesReps[region],"Missing")</f>
        <v>East</v>
      </c>
    </row>
    <row r="999" spans="1:18">
      <c r="A999" t="s">
        <v>1476</v>
      </c>
      <c r="B999" t="s">
        <v>710</v>
      </c>
      <c r="C999" t="s">
        <v>15</v>
      </c>
      <c r="D999" t="s">
        <v>59</v>
      </c>
      <c r="E999" s="1">
        <v>45835</v>
      </c>
      <c r="F999" s="1">
        <v>45846</v>
      </c>
      <c r="G999" s="1">
        <v>45846</v>
      </c>
      <c r="H999" t="s">
        <v>17</v>
      </c>
      <c r="I999">
        <v>1</v>
      </c>
      <c r="J999">
        <v>10</v>
      </c>
      <c r="K999">
        <v>378000</v>
      </c>
      <c r="L999">
        <v>0</v>
      </c>
      <c r="M999" t="s">
        <v>23</v>
      </c>
      <c r="N999" t="str">
        <f>_xlfn.XLOOKUP(B999,tblCustomers[customer_id],tblCustomers[region],"Missing")</f>
        <v>East</v>
      </c>
      <c r="O999" t="str">
        <f>_xlfn.XLOOKUP(C999,tblProducts[product_id],tblProducts[product_name],"Missing")</f>
        <v>CRM Enterprise</v>
      </c>
      <c r="P999" t="str">
        <f>_xlfn.XLOOKUP(C999,tblProducts[product_id],tblProducts[category],"Missing")</f>
        <v>CRM</v>
      </c>
      <c r="Q999" t="str">
        <f>_xlfn.XLOOKUP(D999,tblSalesReps[rep_id],tblSalesReps[rep_name],"Missing")</f>
        <v>Sales Rep 19</v>
      </c>
      <c r="R999" t="str">
        <f>_xlfn.XLOOKUP(D999,tblSalesReps[rep_id],tblSalesReps[region],"Missing")</f>
        <v>East</v>
      </c>
    </row>
    <row r="1000" spans="1:18">
      <c r="A1000" t="s">
        <v>1477</v>
      </c>
      <c r="B1000" t="s">
        <v>389</v>
      </c>
      <c r="C1000" t="s">
        <v>81</v>
      </c>
      <c r="D1000" t="s">
        <v>59</v>
      </c>
      <c r="E1000" s="1">
        <v>45698</v>
      </c>
      <c r="F1000" s="1">
        <v>45777</v>
      </c>
      <c r="G1000" s="1">
        <v>45777</v>
      </c>
      <c r="H1000" t="s">
        <v>28</v>
      </c>
      <c r="I1000">
        <v>1</v>
      </c>
      <c r="J1000">
        <v>5</v>
      </c>
      <c r="K1000">
        <v>285000</v>
      </c>
      <c r="L1000">
        <v>100</v>
      </c>
      <c r="M1000" t="s">
        <v>29</v>
      </c>
      <c r="N1000" t="str">
        <f>_xlfn.XLOOKUP(B1000,tblCustomers[customer_id],tblCustomers[region],"Missing")</f>
        <v>East</v>
      </c>
      <c r="O1000" t="str">
        <f>_xlfn.XLOOKUP(C1000,tblProducts[product_id],tblProducts[product_name],"Missing")</f>
        <v>Analytics Cloud</v>
      </c>
      <c r="P1000" t="str">
        <f>_xlfn.XLOOKUP(C1000,tblProducts[product_id],tblProducts[category],"Missing")</f>
        <v>Analytics</v>
      </c>
      <c r="Q1000" t="str">
        <f>_xlfn.XLOOKUP(D1000,tblSalesReps[rep_id],tblSalesReps[rep_name],"Missing")</f>
        <v>Sales Rep 19</v>
      </c>
      <c r="R1000" t="str">
        <f>_xlfn.XLOOKUP(D1000,tblSalesReps[rep_id],tblSalesReps[region],"Missing")</f>
        <v>East</v>
      </c>
    </row>
    <row r="1001" spans="1:18">
      <c r="A1001" t="s">
        <v>1478</v>
      </c>
      <c r="B1001" t="s">
        <v>884</v>
      </c>
      <c r="C1001" t="s">
        <v>62</v>
      </c>
      <c r="D1001" t="s">
        <v>78</v>
      </c>
      <c r="E1001" s="1">
        <v>45928</v>
      </c>
      <c r="F1001" s="1">
        <v>45987</v>
      </c>
      <c r="G1001" s="1">
        <v>45987</v>
      </c>
      <c r="H1001" t="s">
        <v>28</v>
      </c>
      <c r="I1001">
        <v>1</v>
      </c>
      <c r="J1001">
        <v>15</v>
      </c>
      <c r="K1001">
        <v>102000</v>
      </c>
      <c r="L1001">
        <v>100</v>
      </c>
      <c r="M1001" t="s">
        <v>29</v>
      </c>
      <c r="N1001" t="str">
        <f>_xlfn.XLOOKUP(B1001,tblCustomers[customer_id],tblCustomers[region],"Missing")</f>
        <v>West</v>
      </c>
      <c r="O1001" t="str">
        <f>_xlfn.XLOOKUP(C1001,tblProducts[product_id],tblProducts[product_name],"Missing")</f>
        <v>CRM Essentials</v>
      </c>
      <c r="P1001" t="str">
        <f>_xlfn.XLOOKUP(C1001,tblProducts[product_id],tblProducts[category],"Missing")</f>
        <v>CRM</v>
      </c>
      <c r="Q1001" t="str">
        <f>_xlfn.XLOOKUP(D1001,tblSalesReps[rep_id],tblSalesReps[rep_name],"Missing")</f>
        <v>Sales Rep 12</v>
      </c>
      <c r="R1001" t="str">
        <f>_xlfn.XLOOKUP(D1001,tblSalesReps[rep_id],tblSalesReps[region],"Missing")</f>
        <v>West</v>
      </c>
    </row>
    <row r="1002" spans="1:18">
      <c r="A1002" t="s">
        <v>1479</v>
      </c>
      <c r="B1002" t="s">
        <v>149</v>
      </c>
      <c r="C1002" t="s">
        <v>21</v>
      </c>
      <c r="D1002" t="s">
        <v>119</v>
      </c>
      <c r="E1002" s="1">
        <v>45859</v>
      </c>
      <c r="F1002" s="1">
        <v>45902</v>
      </c>
      <c r="G1002" s="1">
        <v>45902</v>
      </c>
      <c r="H1002" t="s">
        <v>28</v>
      </c>
      <c r="I1002">
        <v>2</v>
      </c>
      <c r="J1002">
        <v>15</v>
      </c>
      <c r="K1002">
        <v>408000</v>
      </c>
      <c r="L1002">
        <v>100</v>
      </c>
      <c r="M1002" t="s">
        <v>29</v>
      </c>
      <c r="N1002" t="str">
        <f>_xlfn.XLOOKUP(B1002,tblCustomers[customer_id],tblCustomers[region],"Missing")</f>
        <v>North</v>
      </c>
      <c r="O1002" t="str">
        <f>_xlfn.XLOOKUP(C1002,tblProducts[product_id],tblProducts[product_name],"Missing")</f>
        <v>Workflow Automate</v>
      </c>
      <c r="P1002" t="str">
        <f>_xlfn.XLOOKUP(C1002,tblProducts[product_id],tblProducts[category],"Missing")</f>
        <v>Automation</v>
      </c>
      <c r="Q1002" t="str">
        <f>_xlfn.XLOOKUP(D1002,tblSalesReps[rep_id],tblSalesReps[rep_name],"Missing")</f>
        <v>Sales Rep 10</v>
      </c>
      <c r="R1002" t="str">
        <f>_xlfn.XLOOKUP(D1002,tblSalesReps[rep_id],tblSalesReps[region],"Missing")</f>
        <v>North</v>
      </c>
    </row>
    <row r="1003" spans="1:18">
      <c r="A1003" t="s">
        <v>1480</v>
      </c>
      <c r="B1003" t="s">
        <v>1481</v>
      </c>
      <c r="C1003" t="s">
        <v>39</v>
      </c>
      <c r="D1003" t="s">
        <v>56</v>
      </c>
      <c r="E1003" s="1">
        <v>45783</v>
      </c>
      <c r="F1003" s="1">
        <v>45821</v>
      </c>
      <c r="G1003" s="1"/>
      <c r="H1003" t="s">
        <v>43</v>
      </c>
      <c r="I1003">
        <v>1</v>
      </c>
      <c r="J1003">
        <v>10</v>
      </c>
      <c r="K1003">
        <v>162000</v>
      </c>
      <c r="L1003">
        <v>80</v>
      </c>
      <c r="M1003" t="s">
        <v>29</v>
      </c>
      <c r="N1003" t="str">
        <f>_xlfn.XLOOKUP(B1003,tblCustomers[customer_id],tblCustomers[region],"Missing")</f>
        <v>East</v>
      </c>
      <c r="O1003" t="str">
        <f>_xlfn.XLOOKUP(C1003,tblProducts[product_id],tblProducts[product_name],"Missing")</f>
        <v>Support Desk</v>
      </c>
      <c r="P1003" t="str">
        <f>_xlfn.XLOOKUP(C1003,tblProducts[product_id],tblProducts[category],"Missing")</f>
        <v>Service</v>
      </c>
      <c r="Q1003" t="str">
        <f>_xlfn.XLOOKUP(D1003,tblSalesReps[rep_id],tblSalesReps[rep_name],"Missing")</f>
        <v>Sales Rep 20</v>
      </c>
      <c r="R1003" t="str">
        <f>_xlfn.XLOOKUP(D1003,tblSalesReps[rep_id],tblSalesReps[region],"Missing")</f>
        <v>East</v>
      </c>
    </row>
    <row r="1004" spans="1:18">
      <c r="A1004" t="s">
        <v>1482</v>
      </c>
      <c r="B1004" t="s">
        <v>1483</v>
      </c>
      <c r="C1004" t="s">
        <v>21</v>
      </c>
      <c r="D1004" t="s">
        <v>63</v>
      </c>
      <c r="E1004" s="1">
        <v>45873</v>
      </c>
      <c r="F1004" s="1">
        <v>45941</v>
      </c>
      <c r="G1004" s="1">
        <v>45941</v>
      </c>
      <c r="H1004" t="s">
        <v>28</v>
      </c>
      <c r="I1004">
        <v>1</v>
      </c>
      <c r="J1004">
        <v>20</v>
      </c>
      <c r="K1004">
        <v>192000</v>
      </c>
      <c r="L1004">
        <v>100</v>
      </c>
      <c r="M1004" t="s">
        <v>29</v>
      </c>
      <c r="N1004" t="str">
        <f>_xlfn.XLOOKUP(B1004,tblCustomers[customer_id],tblCustomers[region],"Missing")</f>
        <v>South</v>
      </c>
      <c r="O1004" t="str">
        <f>_xlfn.XLOOKUP(C1004,tblProducts[product_id],tblProducts[product_name],"Missing")</f>
        <v>Workflow Automate</v>
      </c>
      <c r="P1004" t="str">
        <f>_xlfn.XLOOKUP(C1004,tblProducts[product_id],tblProducts[category],"Missing")</f>
        <v>Automation</v>
      </c>
      <c r="Q1004" t="str">
        <f>_xlfn.XLOOKUP(D1004,tblSalesReps[rep_id],tblSalesReps[rep_name],"Missing")</f>
        <v>Sales Rep 05</v>
      </c>
      <c r="R1004" t="str">
        <f>_xlfn.XLOOKUP(D1004,tblSalesReps[rep_id],tblSalesReps[region],"Missing")</f>
        <v>South</v>
      </c>
    </row>
    <row r="1005" spans="1:18">
      <c r="A1005" t="s">
        <v>1484</v>
      </c>
      <c r="B1005" t="s">
        <v>431</v>
      </c>
      <c r="C1005" t="s">
        <v>62</v>
      </c>
      <c r="D1005" t="s">
        <v>168</v>
      </c>
      <c r="E1005" s="1">
        <v>45716</v>
      </c>
      <c r="F1005" s="1">
        <v>45728</v>
      </c>
      <c r="G1005" s="1"/>
      <c r="H1005" t="s">
        <v>43</v>
      </c>
      <c r="I1005">
        <v>2</v>
      </c>
      <c r="J1005">
        <v>10</v>
      </c>
      <c r="K1005">
        <v>216000</v>
      </c>
      <c r="L1005">
        <v>60</v>
      </c>
      <c r="M1005" t="s">
        <v>29</v>
      </c>
      <c r="N1005" t="str">
        <f>_xlfn.XLOOKUP(B1005,tblCustomers[customer_id],tblCustomers[region],"Missing")</f>
        <v>East</v>
      </c>
      <c r="O1005" t="str">
        <f>_xlfn.XLOOKUP(C1005,tblProducts[product_id],tblProducts[product_name],"Missing")</f>
        <v>CRM Essentials</v>
      </c>
      <c r="P1005" t="str">
        <f>_xlfn.XLOOKUP(C1005,tblProducts[product_id],tblProducts[category],"Missing")</f>
        <v>CRM</v>
      </c>
      <c r="Q1005" t="str">
        <f>_xlfn.XLOOKUP(D1005,tblSalesReps[rep_id],tblSalesReps[rep_name],"Missing")</f>
        <v>Sales Rep 17</v>
      </c>
      <c r="R1005" t="str">
        <f>_xlfn.XLOOKUP(D1005,tblSalesReps[rep_id],tblSalesReps[region],"Missing")</f>
        <v>East</v>
      </c>
    </row>
    <row r="1006" spans="1:18">
      <c r="A1006" t="s">
        <v>1485</v>
      </c>
      <c r="B1006" t="s">
        <v>191</v>
      </c>
      <c r="C1006" t="s">
        <v>62</v>
      </c>
      <c r="D1006" t="s">
        <v>27</v>
      </c>
      <c r="E1006" s="1">
        <v>45812</v>
      </c>
      <c r="F1006" s="1">
        <v>45874</v>
      </c>
      <c r="G1006" s="1">
        <v>45874</v>
      </c>
      <c r="H1006" t="s">
        <v>28</v>
      </c>
      <c r="I1006">
        <v>1</v>
      </c>
      <c r="J1006">
        <v>15</v>
      </c>
      <c r="K1006">
        <v>102000</v>
      </c>
      <c r="L1006">
        <v>100</v>
      </c>
      <c r="M1006" t="s">
        <v>29</v>
      </c>
      <c r="N1006" t="str">
        <f>_xlfn.XLOOKUP(B1006,tblCustomers[customer_id],tblCustomers[region],"Missing")</f>
        <v>North</v>
      </c>
      <c r="O1006" t="str">
        <f>_xlfn.XLOOKUP(C1006,tblProducts[product_id],tblProducts[product_name],"Missing")</f>
        <v>CRM Essentials</v>
      </c>
      <c r="P1006" t="str">
        <f>_xlfn.XLOOKUP(C1006,tblProducts[product_id],tblProducts[category],"Missing")</f>
        <v>CRM</v>
      </c>
      <c r="Q1006" t="str">
        <f>_xlfn.XLOOKUP(D1006,tblSalesReps[rep_id],tblSalesReps[rep_name],"Missing")</f>
        <v>Sales Rep 06</v>
      </c>
      <c r="R1006" t="str">
        <f>_xlfn.XLOOKUP(D1006,tblSalesReps[rep_id],tblSalesReps[region],"Missing")</f>
        <v>North</v>
      </c>
    </row>
    <row r="1007" spans="1:18">
      <c r="A1007" t="s">
        <v>1486</v>
      </c>
      <c r="B1007" t="s">
        <v>420</v>
      </c>
      <c r="C1007" t="s">
        <v>62</v>
      </c>
      <c r="D1007" t="s">
        <v>75</v>
      </c>
      <c r="E1007" s="1">
        <v>45894</v>
      </c>
      <c r="F1007" s="1">
        <v>45951</v>
      </c>
      <c r="G1007" s="1">
        <v>45951</v>
      </c>
      <c r="H1007" t="s">
        <v>28</v>
      </c>
      <c r="I1007">
        <v>1</v>
      </c>
      <c r="J1007">
        <v>20</v>
      </c>
      <c r="K1007">
        <v>96000</v>
      </c>
      <c r="L1007">
        <v>100</v>
      </c>
      <c r="M1007" t="s">
        <v>29</v>
      </c>
      <c r="N1007" t="str">
        <f>_xlfn.XLOOKUP(B1007,tblCustomers[customer_id],tblCustomers[region],"Missing")</f>
        <v>North</v>
      </c>
      <c r="O1007" t="str">
        <f>_xlfn.XLOOKUP(C1007,tblProducts[product_id],tblProducts[product_name],"Missing")</f>
        <v>CRM Essentials</v>
      </c>
      <c r="P1007" t="str">
        <f>_xlfn.XLOOKUP(C1007,tblProducts[product_id],tblProducts[category],"Missing")</f>
        <v>CRM</v>
      </c>
      <c r="Q1007" t="str">
        <f>_xlfn.XLOOKUP(D1007,tblSalesReps[rep_id],tblSalesReps[rep_name],"Missing")</f>
        <v>Sales Rep 07</v>
      </c>
      <c r="R1007" t="str">
        <f>_xlfn.XLOOKUP(D1007,tblSalesReps[rep_id],tblSalesReps[region],"Missing")</f>
        <v>North</v>
      </c>
    </row>
    <row r="1008" spans="1:18">
      <c r="A1008" t="s">
        <v>1487</v>
      </c>
      <c r="B1008" t="s">
        <v>961</v>
      </c>
      <c r="C1008" t="s">
        <v>39</v>
      </c>
      <c r="D1008" t="s">
        <v>50</v>
      </c>
      <c r="E1008" s="1">
        <v>45769</v>
      </c>
      <c r="F1008" s="1">
        <v>45809</v>
      </c>
      <c r="G1008" s="1"/>
      <c r="H1008" t="s">
        <v>43</v>
      </c>
      <c r="I1008">
        <v>1</v>
      </c>
      <c r="J1008">
        <v>20</v>
      </c>
      <c r="K1008">
        <v>144000</v>
      </c>
      <c r="L1008">
        <v>60</v>
      </c>
      <c r="M1008" t="s">
        <v>29</v>
      </c>
      <c r="N1008" t="str">
        <f>_xlfn.XLOOKUP(B1008,tblCustomers[customer_id],tblCustomers[region],"Missing")</f>
        <v>West</v>
      </c>
      <c r="O1008" t="str">
        <f>_xlfn.XLOOKUP(C1008,tblProducts[product_id],tblProducts[product_name],"Missing")</f>
        <v>Support Desk</v>
      </c>
      <c r="P1008" t="str">
        <f>_xlfn.XLOOKUP(C1008,tblProducts[product_id],tblProducts[category],"Missing")</f>
        <v>Service</v>
      </c>
      <c r="Q1008" t="str">
        <f>_xlfn.XLOOKUP(D1008,tblSalesReps[rep_id],tblSalesReps[rep_name],"Missing")</f>
        <v>Sales Rep 15</v>
      </c>
      <c r="R1008" t="str">
        <f>_xlfn.XLOOKUP(D1008,tblSalesReps[rep_id],tblSalesReps[region],"Missing")</f>
        <v>West</v>
      </c>
    </row>
    <row r="1009" spans="1:18">
      <c r="A1009" t="s">
        <v>1488</v>
      </c>
      <c r="B1009" t="s">
        <v>259</v>
      </c>
      <c r="C1009" t="s">
        <v>21</v>
      </c>
      <c r="D1009" t="s">
        <v>46</v>
      </c>
      <c r="E1009" s="1">
        <v>45762</v>
      </c>
      <c r="F1009" s="1">
        <v>45792</v>
      </c>
      <c r="G1009" s="1">
        <v>45792</v>
      </c>
      <c r="H1009" t="s">
        <v>28</v>
      </c>
      <c r="I1009">
        <v>1</v>
      </c>
      <c r="J1009">
        <v>15</v>
      </c>
      <c r="K1009">
        <v>204000</v>
      </c>
      <c r="L1009">
        <v>100</v>
      </c>
      <c r="M1009" t="s">
        <v>29</v>
      </c>
      <c r="N1009" t="str">
        <f>_xlfn.XLOOKUP(B1009,tblCustomers[customer_id],tblCustomers[region],"Missing")</f>
        <v>South</v>
      </c>
      <c r="O1009" t="str">
        <f>_xlfn.XLOOKUP(C1009,tblProducts[product_id],tblProducts[product_name],"Missing")</f>
        <v>Workflow Automate</v>
      </c>
      <c r="P1009" t="str">
        <f>_xlfn.XLOOKUP(C1009,tblProducts[product_id],tblProducts[category],"Missing")</f>
        <v>Automation</v>
      </c>
      <c r="Q1009" t="str">
        <f>_xlfn.XLOOKUP(D1009,tblSalesReps[rep_id],tblSalesReps[rep_name],"Missing")</f>
        <v>Sales Rep 01</v>
      </c>
      <c r="R1009" t="str">
        <f>_xlfn.XLOOKUP(D1009,tblSalesReps[rep_id],tblSalesReps[region],"Missing")</f>
        <v>South</v>
      </c>
    </row>
    <row r="1010" spans="1:18">
      <c r="A1010" t="s">
        <v>1489</v>
      </c>
      <c r="B1010" t="s">
        <v>353</v>
      </c>
      <c r="C1010" t="s">
        <v>26</v>
      </c>
      <c r="D1010" t="s">
        <v>27</v>
      </c>
      <c r="E1010" s="1">
        <v>45667</v>
      </c>
      <c r="F1010" s="1">
        <v>45731</v>
      </c>
      <c r="G1010" s="1">
        <v>45731</v>
      </c>
      <c r="H1010" t="s">
        <v>28</v>
      </c>
      <c r="I1010">
        <v>3</v>
      </c>
      <c r="J1010">
        <v>15</v>
      </c>
      <c r="K1010">
        <v>918000</v>
      </c>
      <c r="L1010">
        <v>100</v>
      </c>
      <c r="M1010" t="s">
        <v>29</v>
      </c>
      <c r="N1010" t="str">
        <f>_xlfn.XLOOKUP(B1010,tblCustomers[customer_id],tblCustomers[region],"Missing")</f>
        <v>North</v>
      </c>
      <c r="O1010" t="str">
        <f>_xlfn.XLOOKUP(C1010,tblProducts[product_id],tblProducts[product_name],"Missing")</f>
        <v>Security Suite</v>
      </c>
      <c r="P1010" t="str">
        <f>_xlfn.XLOOKUP(C1010,tblProducts[product_id],tblProducts[category],"Missing")</f>
        <v>Security</v>
      </c>
      <c r="Q1010" t="str">
        <f>_xlfn.XLOOKUP(D1010,tblSalesReps[rep_id],tblSalesReps[rep_name],"Missing")</f>
        <v>Sales Rep 06</v>
      </c>
      <c r="R1010" t="str">
        <f>_xlfn.XLOOKUP(D1010,tblSalesReps[rep_id],tblSalesReps[region],"Missing")</f>
        <v>North</v>
      </c>
    </row>
    <row r="1011" spans="1:18">
      <c r="A1011" t="s">
        <v>1490</v>
      </c>
      <c r="B1011" t="s">
        <v>198</v>
      </c>
      <c r="C1011" t="s">
        <v>21</v>
      </c>
      <c r="D1011" t="s">
        <v>22</v>
      </c>
      <c r="E1011" s="1">
        <v>45956</v>
      </c>
      <c r="F1011" s="1">
        <v>45982</v>
      </c>
      <c r="G1011" s="1"/>
      <c r="H1011" t="s">
        <v>43</v>
      </c>
      <c r="I1011">
        <v>1</v>
      </c>
      <c r="J1011">
        <v>15</v>
      </c>
      <c r="K1011">
        <v>204000</v>
      </c>
      <c r="L1011">
        <v>80</v>
      </c>
      <c r="M1011" t="s">
        <v>29</v>
      </c>
      <c r="N1011" t="str">
        <f>_xlfn.XLOOKUP(B1011,tblCustomers[customer_id],tblCustomers[region],"Missing")</f>
        <v>West</v>
      </c>
      <c r="O1011" t="str">
        <f>_xlfn.XLOOKUP(C1011,tblProducts[product_id],tblProducts[product_name],"Missing")</f>
        <v>Workflow Automate</v>
      </c>
      <c r="P1011" t="str">
        <f>_xlfn.XLOOKUP(C1011,tblProducts[product_id],tblProducts[category],"Missing")</f>
        <v>Automation</v>
      </c>
      <c r="Q1011" t="str">
        <f>_xlfn.XLOOKUP(D1011,tblSalesReps[rep_id],tblSalesReps[rep_name],"Missing")</f>
        <v>Sales Rep 14</v>
      </c>
      <c r="R1011" t="str">
        <f>_xlfn.XLOOKUP(D1011,tblSalesReps[rep_id],tblSalesReps[region],"Missing")</f>
        <v>West</v>
      </c>
    </row>
    <row r="1012" spans="1:18">
      <c r="A1012" t="s">
        <v>1491</v>
      </c>
      <c r="B1012" t="s">
        <v>1268</v>
      </c>
      <c r="C1012" t="s">
        <v>21</v>
      </c>
      <c r="D1012" t="s">
        <v>53</v>
      </c>
      <c r="E1012" s="1">
        <v>45741</v>
      </c>
      <c r="F1012" s="1">
        <v>45819</v>
      </c>
      <c r="G1012" s="1">
        <v>45819</v>
      </c>
      <c r="H1012" t="s">
        <v>28</v>
      </c>
      <c r="I1012">
        <v>3</v>
      </c>
      <c r="J1012">
        <v>10</v>
      </c>
      <c r="K1012">
        <v>648000</v>
      </c>
      <c r="L1012">
        <v>100</v>
      </c>
      <c r="M1012" t="s">
        <v>29</v>
      </c>
      <c r="N1012" t="str">
        <f>_xlfn.XLOOKUP(B1012,tblCustomers[customer_id],tblCustomers[region],"Missing")</f>
        <v>East</v>
      </c>
      <c r="O1012" t="str">
        <f>_xlfn.XLOOKUP(C1012,tblProducts[product_id],tblProducts[product_name],"Missing")</f>
        <v>Workflow Automate</v>
      </c>
      <c r="P1012" t="str">
        <f>_xlfn.XLOOKUP(C1012,tblProducts[product_id],tblProducts[category],"Missing")</f>
        <v>Automation</v>
      </c>
      <c r="Q1012" t="str">
        <f>_xlfn.XLOOKUP(D1012,tblSalesReps[rep_id],tblSalesReps[rep_name],"Missing")</f>
        <v>Sales Rep 16</v>
      </c>
      <c r="R1012" t="str">
        <f>_xlfn.XLOOKUP(D1012,tblSalesReps[rep_id],tblSalesReps[region],"Missing")</f>
        <v>East</v>
      </c>
    </row>
    <row r="1013" spans="1:18">
      <c r="A1013" t="s">
        <v>1492</v>
      </c>
      <c r="B1013" t="s">
        <v>266</v>
      </c>
      <c r="C1013" t="s">
        <v>21</v>
      </c>
      <c r="D1013" t="s">
        <v>22</v>
      </c>
      <c r="E1013" s="1">
        <v>45951</v>
      </c>
      <c r="F1013" s="1">
        <v>45985</v>
      </c>
      <c r="G1013" s="1"/>
      <c r="H1013" t="s">
        <v>43</v>
      </c>
      <c r="I1013">
        <v>1</v>
      </c>
      <c r="J1013">
        <v>0</v>
      </c>
      <c r="K1013">
        <v>240000</v>
      </c>
      <c r="L1013">
        <v>40</v>
      </c>
      <c r="M1013" t="s">
        <v>29</v>
      </c>
      <c r="N1013" t="str">
        <f>_xlfn.XLOOKUP(B1013,tblCustomers[customer_id],tblCustomers[region],"Missing")</f>
        <v>West</v>
      </c>
      <c r="O1013" t="str">
        <f>_xlfn.XLOOKUP(C1013,tblProducts[product_id],tblProducts[product_name],"Missing")</f>
        <v>Workflow Automate</v>
      </c>
      <c r="P1013" t="str">
        <f>_xlfn.XLOOKUP(C1013,tblProducts[product_id],tblProducts[category],"Missing")</f>
        <v>Automation</v>
      </c>
      <c r="Q1013" t="str">
        <f>_xlfn.XLOOKUP(D1013,tblSalesReps[rep_id],tblSalesReps[rep_name],"Missing")</f>
        <v>Sales Rep 14</v>
      </c>
      <c r="R1013" t="str">
        <f>_xlfn.XLOOKUP(D1013,tblSalesReps[rep_id],tblSalesReps[region],"Missing")</f>
        <v>West</v>
      </c>
    </row>
    <row r="1014" spans="1:18">
      <c r="A1014" t="s">
        <v>1493</v>
      </c>
      <c r="B1014" t="s">
        <v>493</v>
      </c>
      <c r="C1014" t="s">
        <v>26</v>
      </c>
      <c r="D1014" t="s">
        <v>70</v>
      </c>
      <c r="E1014" s="1">
        <v>46001</v>
      </c>
      <c r="F1014" s="1">
        <v>46066</v>
      </c>
      <c r="G1014" s="1"/>
      <c r="H1014" t="s">
        <v>43</v>
      </c>
      <c r="I1014">
        <v>1</v>
      </c>
      <c r="J1014">
        <v>0</v>
      </c>
      <c r="K1014">
        <v>360000</v>
      </c>
      <c r="L1014">
        <v>80</v>
      </c>
      <c r="M1014" t="s">
        <v>29</v>
      </c>
      <c r="N1014" t="str">
        <f>_xlfn.XLOOKUP(B1014,tblCustomers[customer_id],tblCustomers[region],"Missing")</f>
        <v>West</v>
      </c>
      <c r="O1014" t="str">
        <f>_xlfn.XLOOKUP(C1014,tblProducts[product_id],tblProducts[product_name],"Missing")</f>
        <v>Security Suite</v>
      </c>
      <c r="P1014" t="str">
        <f>_xlfn.XLOOKUP(C1014,tblProducts[product_id],tblProducts[category],"Missing")</f>
        <v>Security</v>
      </c>
      <c r="Q1014" t="str">
        <f>_xlfn.XLOOKUP(D1014,tblSalesReps[rep_id],tblSalesReps[rep_name],"Missing")</f>
        <v>Sales Rep 11</v>
      </c>
      <c r="R1014" t="str">
        <f>_xlfn.XLOOKUP(D1014,tblSalesReps[rep_id],tblSalesReps[region],"Missing")</f>
        <v>West</v>
      </c>
    </row>
    <row r="1015" spans="1:18">
      <c r="A1015" t="s">
        <v>1494</v>
      </c>
      <c r="B1015" t="s">
        <v>888</v>
      </c>
      <c r="C1015" t="s">
        <v>15</v>
      </c>
      <c r="D1015" t="s">
        <v>63</v>
      </c>
      <c r="E1015" s="1">
        <v>45942</v>
      </c>
      <c r="F1015" s="1">
        <v>46011</v>
      </c>
      <c r="G1015" s="1"/>
      <c r="H1015" t="s">
        <v>43</v>
      </c>
      <c r="I1015">
        <v>1</v>
      </c>
      <c r="J1015">
        <v>5</v>
      </c>
      <c r="K1015">
        <v>399000</v>
      </c>
      <c r="L1015">
        <v>20</v>
      </c>
      <c r="M1015" t="s">
        <v>29</v>
      </c>
      <c r="N1015" t="str">
        <f>_xlfn.XLOOKUP(B1015,tblCustomers[customer_id],tblCustomers[region],"Missing")</f>
        <v>South</v>
      </c>
      <c r="O1015" t="str">
        <f>_xlfn.XLOOKUP(C1015,tblProducts[product_id],tblProducts[product_name],"Missing")</f>
        <v>CRM Enterprise</v>
      </c>
      <c r="P1015" t="str">
        <f>_xlfn.XLOOKUP(C1015,tblProducts[product_id],tblProducts[category],"Missing")</f>
        <v>CRM</v>
      </c>
      <c r="Q1015" t="str">
        <f>_xlfn.XLOOKUP(D1015,tblSalesReps[rep_id],tblSalesReps[rep_name],"Missing")</f>
        <v>Sales Rep 05</v>
      </c>
      <c r="R1015" t="str">
        <f>_xlfn.XLOOKUP(D1015,tblSalesReps[rep_id],tblSalesReps[region],"Missing")</f>
        <v>South</v>
      </c>
    </row>
    <row r="1016" spans="1:18">
      <c r="A1016" t="s">
        <v>1495</v>
      </c>
      <c r="B1016" t="s">
        <v>1496</v>
      </c>
      <c r="C1016" t="s">
        <v>26</v>
      </c>
      <c r="D1016" t="s">
        <v>46</v>
      </c>
      <c r="E1016" s="1">
        <v>45704</v>
      </c>
      <c r="F1016" s="1">
        <v>45731</v>
      </c>
      <c r="G1016" s="1">
        <v>45731</v>
      </c>
      <c r="H1016" t="s">
        <v>17</v>
      </c>
      <c r="I1016">
        <v>1</v>
      </c>
      <c r="J1016">
        <v>5</v>
      </c>
      <c r="K1016">
        <v>342000</v>
      </c>
      <c r="L1016">
        <v>0</v>
      </c>
      <c r="M1016" t="s">
        <v>23</v>
      </c>
      <c r="N1016" t="str">
        <f>_xlfn.XLOOKUP(B1016,tblCustomers[customer_id],tblCustomers[region],"Missing")</f>
        <v>South</v>
      </c>
      <c r="O1016" t="str">
        <f>_xlfn.XLOOKUP(C1016,tblProducts[product_id],tblProducts[product_name],"Missing")</f>
        <v>Security Suite</v>
      </c>
      <c r="P1016" t="str">
        <f>_xlfn.XLOOKUP(C1016,tblProducts[product_id],tblProducts[category],"Missing")</f>
        <v>Security</v>
      </c>
      <c r="Q1016" t="str">
        <f>_xlfn.XLOOKUP(D1016,tblSalesReps[rep_id],tblSalesReps[rep_name],"Missing")</f>
        <v>Sales Rep 01</v>
      </c>
      <c r="R1016" t="str">
        <f>_xlfn.XLOOKUP(D1016,tblSalesReps[rep_id],tblSalesReps[region],"Missing")</f>
        <v>South</v>
      </c>
    </row>
    <row r="1017" spans="1:18">
      <c r="A1017" t="s">
        <v>1497</v>
      </c>
      <c r="B1017" t="s">
        <v>1076</v>
      </c>
      <c r="C1017" t="s">
        <v>26</v>
      </c>
      <c r="D1017" t="s">
        <v>36</v>
      </c>
      <c r="E1017" s="1">
        <v>45822</v>
      </c>
      <c r="F1017" s="1">
        <v>45881</v>
      </c>
      <c r="G1017" s="1"/>
      <c r="H1017" t="s">
        <v>43</v>
      </c>
      <c r="I1017">
        <v>1</v>
      </c>
      <c r="J1017">
        <v>20</v>
      </c>
      <c r="K1017">
        <v>288000</v>
      </c>
      <c r="L1017">
        <v>40</v>
      </c>
      <c r="M1017" t="s">
        <v>29</v>
      </c>
      <c r="N1017" t="str">
        <f>_xlfn.XLOOKUP(B1017,tblCustomers[customer_id],tblCustomers[region],"Missing")</f>
        <v>North</v>
      </c>
      <c r="O1017" t="str">
        <f>_xlfn.XLOOKUP(C1017,tblProducts[product_id],tblProducts[product_name],"Missing")</f>
        <v>Security Suite</v>
      </c>
      <c r="P1017" t="str">
        <f>_xlfn.XLOOKUP(C1017,tblProducts[product_id],tblProducts[category],"Missing")</f>
        <v>Security</v>
      </c>
      <c r="Q1017" t="str">
        <f>_xlfn.XLOOKUP(D1017,tblSalesReps[rep_id],tblSalesReps[rep_name],"Missing")</f>
        <v>Sales Rep 09</v>
      </c>
      <c r="R1017" t="str">
        <f>_xlfn.XLOOKUP(D1017,tblSalesReps[rep_id],tblSalesReps[region],"Missing")</f>
        <v>North</v>
      </c>
    </row>
    <row r="1018" spans="1:18">
      <c r="A1018" t="s">
        <v>1498</v>
      </c>
      <c r="B1018" t="s">
        <v>1461</v>
      </c>
      <c r="C1018" t="s">
        <v>21</v>
      </c>
      <c r="D1018" t="s">
        <v>50</v>
      </c>
      <c r="E1018" s="1">
        <v>45690</v>
      </c>
      <c r="F1018" s="1">
        <v>45737</v>
      </c>
      <c r="G1018" s="1">
        <v>45737</v>
      </c>
      <c r="H1018" t="s">
        <v>28</v>
      </c>
      <c r="I1018">
        <v>3</v>
      </c>
      <c r="J1018">
        <v>0</v>
      </c>
      <c r="K1018">
        <v>720000</v>
      </c>
      <c r="L1018">
        <v>100</v>
      </c>
      <c r="M1018" t="s">
        <v>29</v>
      </c>
      <c r="N1018" t="str">
        <f>_xlfn.XLOOKUP(B1018,tblCustomers[customer_id],tblCustomers[region],"Missing")</f>
        <v>West</v>
      </c>
      <c r="O1018" t="str">
        <f>_xlfn.XLOOKUP(C1018,tblProducts[product_id],tblProducts[product_name],"Missing")</f>
        <v>Workflow Automate</v>
      </c>
      <c r="P1018" t="str">
        <f>_xlfn.XLOOKUP(C1018,tblProducts[product_id],tblProducts[category],"Missing")</f>
        <v>Automation</v>
      </c>
      <c r="Q1018" t="str">
        <f>_xlfn.XLOOKUP(D1018,tblSalesReps[rep_id],tblSalesReps[rep_name],"Missing")</f>
        <v>Sales Rep 15</v>
      </c>
      <c r="R1018" t="str">
        <f>_xlfn.XLOOKUP(D1018,tblSalesReps[rep_id],tblSalesReps[region],"Missing")</f>
        <v>West</v>
      </c>
    </row>
    <row r="1019" spans="1:18">
      <c r="A1019" t="s">
        <v>1499</v>
      </c>
      <c r="B1019" t="s">
        <v>1500</v>
      </c>
      <c r="C1019" t="s">
        <v>62</v>
      </c>
      <c r="D1019" t="s">
        <v>126</v>
      </c>
      <c r="E1019" s="1">
        <v>45709</v>
      </c>
      <c r="F1019" s="1">
        <v>45727</v>
      </c>
      <c r="G1019" s="1">
        <v>45727</v>
      </c>
      <c r="H1019" t="s">
        <v>28</v>
      </c>
      <c r="I1019">
        <v>1</v>
      </c>
      <c r="J1019">
        <v>0</v>
      </c>
      <c r="K1019">
        <v>120000</v>
      </c>
      <c r="L1019">
        <v>100</v>
      </c>
      <c r="M1019" t="s">
        <v>29</v>
      </c>
      <c r="N1019" t="str">
        <f>_xlfn.XLOOKUP(B1019,tblCustomers[customer_id],tblCustomers[region],"Missing")</f>
        <v>South</v>
      </c>
      <c r="O1019" t="str">
        <f>_xlfn.XLOOKUP(C1019,tblProducts[product_id],tblProducts[product_name],"Missing")</f>
        <v>CRM Essentials</v>
      </c>
      <c r="P1019" t="str">
        <f>_xlfn.XLOOKUP(C1019,tblProducts[product_id],tblProducts[category],"Missing")</f>
        <v>CRM</v>
      </c>
      <c r="Q1019" t="str">
        <f>_xlfn.XLOOKUP(D1019,tblSalesReps[rep_id],tblSalesReps[rep_name],"Missing")</f>
        <v>Sales Rep 02</v>
      </c>
      <c r="R1019" t="str">
        <f>_xlfn.XLOOKUP(D1019,tblSalesReps[rep_id],tblSalesReps[region],"Missing")</f>
        <v>South</v>
      </c>
    </row>
    <row r="1020" spans="1:18">
      <c r="A1020" t="s">
        <v>1501</v>
      </c>
      <c r="B1020" t="s">
        <v>1366</v>
      </c>
      <c r="C1020" t="s">
        <v>62</v>
      </c>
      <c r="D1020" t="s">
        <v>46</v>
      </c>
      <c r="E1020" s="1">
        <v>45890</v>
      </c>
      <c r="F1020" s="1">
        <v>45959</v>
      </c>
      <c r="G1020" s="1"/>
      <c r="H1020" t="s">
        <v>43</v>
      </c>
      <c r="I1020">
        <v>1</v>
      </c>
      <c r="J1020">
        <v>0</v>
      </c>
      <c r="K1020">
        <v>120000</v>
      </c>
      <c r="L1020">
        <v>40</v>
      </c>
      <c r="M1020" t="s">
        <v>29</v>
      </c>
      <c r="N1020" t="str">
        <f>_xlfn.XLOOKUP(B1020,tblCustomers[customer_id],tblCustomers[region],"Missing")</f>
        <v>South</v>
      </c>
      <c r="O1020" t="str">
        <f>_xlfn.XLOOKUP(C1020,tblProducts[product_id],tblProducts[product_name],"Missing")</f>
        <v>CRM Essentials</v>
      </c>
      <c r="P1020" t="str">
        <f>_xlfn.XLOOKUP(C1020,tblProducts[product_id],tblProducts[category],"Missing")</f>
        <v>CRM</v>
      </c>
      <c r="Q1020" t="str">
        <f>_xlfn.XLOOKUP(D1020,tblSalesReps[rep_id],tblSalesReps[rep_name],"Missing")</f>
        <v>Sales Rep 01</v>
      </c>
      <c r="R1020" t="str">
        <f>_xlfn.XLOOKUP(D1020,tblSalesReps[rep_id],tblSalesReps[region],"Missing")</f>
        <v>South</v>
      </c>
    </row>
    <row r="1021" spans="1:18">
      <c r="A1021" t="s">
        <v>1502</v>
      </c>
      <c r="B1021" t="s">
        <v>241</v>
      </c>
      <c r="C1021" t="s">
        <v>15</v>
      </c>
      <c r="D1021" t="s">
        <v>168</v>
      </c>
      <c r="E1021" s="1">
        <v>45730</v>
      </c>
      <c r="F1021" s="1">
        <v>45786</v>
      </c>
      <c r="G1021" s="1"/>
      <c r="H1021" t="s">
        <v>43</v>
      </c>
      <c r="I1021">
        <v>1</v>
      </c>
      <c r="J1021">
        <v>5</v>
      </c>
      <c r="K1021">
        <v>399000</v>
      </c>
      <c r="L1021">
        <v>40</v>
      </c>
      <c r="M1021" t="s">
        <v>29</v>
      </c>
      <c r="N1021" t="str">
        <f>_xlfn.XLOOKUP(B1021,tblCustomers[customer_id],tblCustomers[region],"Missing")</f>
        <v>East</v>
      </c>
      <c r="O1021" t="str">
        <f>_xlfn.XLOOKUP(C1021,tblProducts[product_id],tblProducts[product_name],"Missing")</f>
        <v>CRM Enterprise</v>
      </c>
      <c r="P1021" t="str">
        <f>_xlfn.XLOOKUP(C1021,tblProducts[product_id],tblProducts[category],"Missing")</f>
        <v>CRM</v>
      </c>
      <c r="Q1021" t="str">
        <f>_xlfn.XLOOKUP(D1021,tblSalesReps[rep_id],tblSalesReps[rep_name],"Missing")</f>
        <v>Sales Rep 17</v>
      </c>
      <c r="R1021" t="str">
        <f>_xlfn.XLOOKUP(D1021,tblSalesReps[rep_id],tblSalesReps[region],"Missing")</f>
        <v>East</v>
      </c>
    </row>
    <row r="1022" spans="1:18">
      <c r="A1022" t="s">
        <v>1503</v>
      </c>
      <c r="B1022" t="s">
        <v>636</v>
      </c>
      <c r="C1022" t="s">
        <v>26</v>
      </c>
      <c r="D1022" t="s">
        <v>36</v>
      </c>
      <c r="E1022" s="1">
        <v>45756</v>
      </c>
      <c r="F1022" s="1">
        <v>45763</v>
      </c>
      <c r="G1022" s="1"/>
      <c r="H1022" t="s">
        <v>43</v>
      </c>
      <c r="I1022">
        <v>3</v>
      </c>
      <c r="J1022">
        <v>5</v>
      </c>
      <c r="K1022">
        <v>1026000</v>
      </c>
      <c r="L1022">
        <v>40</v>
      </c>
      <c r="M1022" t="s">
        <v>29</v>
      </c>
      <c r="N1022" t="str">
        <f>_xlfn.XLOOKUP(B1022,tblCustomers[customer_id],tblCustomers[region],"Missing")</f>
        <v>North</v>
      </c>
      <c r="O1022" t="str">
        <f>_xlfn.XLOOKUP(C1022,tblProducts[product_id],tblProducts[product_name],"Missing")</f>
        <v>Security Suite</v>
      </c>
      <c r="P1022" t="str">
        <f>_xlfn.XLOOKUP(C1022,tblProducts[product_id],tblProducts[category],"Missing")</f>
        <v>Security</v>
      </c>
      <c r="Q1022" t="str">
        <f>_xlfn.XLOOKUP(D1022,tblSalesReps[rep_id],tblSalesReps[rep_name],"Missing")</f>
        <v>Sales Rep 09</v>
      </c>
      <c r="R1022" t="str">
        <f>_xlfn.XLOOKUP(D1022,tblSalesReps[rep_id],tblSalesReps[region],"Missing")</f>
        <v>North</v>
      </c>
    </row>
    <row r="1023" spans="1:18">
      <c r="A1023" t="s">
        <v>1504</v>
      </c>
      <c r="B1023" t="s">
        <v>1203</v>
      </c>
      <c r="C1023" t="s">
        <v>62</v>
      </c>
      <c r="D1023" t="s">
        <v>168</v>
      </c>
      <c r="E1023" s="1">
        <v>45663</v>
      </c>
      <c r="F1023" s="1">
        <v>45748</v>
      </c>
      <c r="G1023" s="1"/>
      <c r="H1023" t="s">
        <v>43</v>
      </c>
      <c r="I1023">
        <v>2</v>
      </c>
      <c r="J1023">
        <v>20</v>
      </c>
      <c r="K1023">
        <v>192000</v>
      </c>
      <c r="L1023">
        <v>60</v>
      </c>
      <c r="M1023" t="s">
        <v>29</v>
      </c>
      <c r="N1023" t="str">
        <f>_xlfn.XLOOKUP(B1023,tblCustomers[customer_id],tblCustomers[region],"Missing")</f>
        <v>East</v>
      </c>
      <c r="O1023" t="str">
        <f>_xlfn.XLOOKUP(C1023,tblProducts[product_id],tblProducts[product_name],"Missing")</f>
        <v>CRM Essentials</v>
      </c>
      <c r="P1023" t="str">
        <f>_xlfn.XLOOKUP(C1023,tblProducts[product_id],tblProducts[category],"Missing")</f>
        <v>CRM</v>
      </c>
      <c r="Q1023" t="str">
        <f>_xlfn.XLOOKUP(D1023,tblSalesReps[rep_id],tblSalesReps[rep_name],"Missing")</f>
        <v>Sales Rep 17</v>
      </c>
      <c r="R1023" t="str">
        <f>_xlfn.XLOOKUP(D1023,tblSalesReps[rep_id],tblSalesReps[region],"Missing")</f>
        <v>East</v>
      </c>
    </row>
    <row r="1024" spans="1:18">
      <c r="A1024" t="s">
        <v>1505</v>
      </c>
      <c r="B1024" t="s">
        <v>1169</v>
      </c>
      <c r="C1024" t="s">
        <v>26</v>
      </c>
      <c r="D1024" t="s">
        <v>168</v>
      </c>
      <c r="E1024" s="1">
        <v>45861</v>
      </c>
      <c r="F1024" s="1">
        <v>45894</v>
      </c>
      <c r="G1024" s="1">
        <v>45894</v>
      </c>
      <c r="H1024" t="s">
        <v>17</v>
      </c>
      <c r="I1024">
        <v>1</v>
      </c>
      <c r="J1024">
        <v>20</v>
      </c>
      <c r="K1024">
        <v>288000</v>
      </c>
      <c r="L1024">
        <v>0</v>
      </c>
      <c r="M1024" t="s">
        <v>82</v>
      </c>
      <c r="N1024" t="str">
        <f>_xlfn.XLOOKUP(B1024,tblCustomers[customer_id],tblCustomers[region],"Missing")</f>
        <v>East</v>
      </c>
      <c r="O1024" t="str">
        <f>_xlfn.XLOOKUP(C1024,tblProducts[product_id],tblProducts[product_name],"Missing")</f>
        <v>Security Suite</v>
      </c>
      <c r="P1024" t="str">
        <f>_xlfn.XLOOKUP(C1024,tblProducts[product_id],tblProducts[category],"Missing")</f>
        <v>Security</v>
      </c>
      <c r="Q1024" t="str">
        <f>_xlfn.XLOOKUP(D1024,tblSalesReps[rep_id],tblSalesReps[rep_name],"Missing")</f>
        <v>Sales Rep 17</v>
      </c>
      <c r="R1024" t="str">
        <f>_xlfn.XLOOKUP(D1024,tblSalesReps[rep_id],tblSalesReps[region],"Missing")</f>
        <v>East</v>
      </c>
    </row>
    <row r="1025" spans="1:18">
      <c r="A1025" t="s">
        <v>1506</v>
      </c>
      <c r="B1025" t="s">
        <v>1453</v>
      </c>
      <c r="C1025" t="s">
        <v>15</v>
      </c>
      <c r="D1025" t="s">
        <v>53</v>
      </c>
      <c r="E1025" s="1">
        <v>45872</v>
      </c>
      <c r="F1025" s="1">
        <v>45930</v>
      </c>
      <c r="G1025" s="1">
        <v>45930</v>
      </c>
      <c r="H1025" t="s">
        <v>28</v>
      </c>
      <c r="I1025">
        <v>1</v>
      </c>
      <c r="J1025">
        <v>20</v>
      </c>
      <c r="K1025">
        <v>336000</v>
      </c>
      <c r="L1025">
        <v>100</v>
      </c>
      <c r="M1025" t="s">
        <v>29</v>
      </c>
      <c r="N1025" t="str">
        <f>_xlfn.XLOOKUP(B1025,tblCustomers[customer_id],tblCustomers[region],"Missing")</f>
        <v>East</v>
      </c>
      <c r="O1025" t="str">
        <f>_xlfn.XLOOKUP(C1025,tblProducts[product_id],tblProducts[product_name],"Missing")</f>
        <v>CRM Enterprise</v>
      </c>
      <c r="P1025" t="str">
        <f>_xlfn.XLOOKUP(C1025,tblProducts[product_id],tblProducts[category],"Missing")</f>
        <v>CRM</v>
      </c>
      <c r="Q1025" t="str">
        <f>_xlfn.XLOOKUP(D1025,tblSalesReps[rep_id],tblSalesReps[rep_name],"Missing")</f>
        <v>Sales Rep 16</v>
      </c>
      <c r="R1025" t="str">
        <f>_xlfn.XLOOKUP(D1025,tblSalesReps[rep_id],tblSalesReps[region],"Missing")</f>
        <v>East</v>
      </c>
    </row>
    <row r="1026" spans="1:18">
      <c r="A1026" t="s">
        <v>1507</v>
      </c>
      <c r="B1026" t="s">
        <v>1483</v>
      </c>
      <c r="C1026" t="s">
        <v>21</v>
      </c>
      <c r="D1026" t="s">
        <v>46</v>
      </c>
      <c r="E1026" s="1">
        <v>45694</v>
      </c>
      <c r="F1026" s="1">
        <v>45753</v>
      </c>
      <c r="G1026" s="1">
        <v>45753</v>
      </c>
      <c r="H1026" t="s">
        <v>28</v>
      </c>
      <c r="I1026">
        <v>1</v>
      </c>
      <c r="J1026">
        <v>0</v>
      </c>
      <c r="K1026">
        <v>240000</v>
      </c>
      <c r="L1026">
        <v>100</v>
      </c>
      <c r="M1026" t="s">
        <v>29</v>
      </c>
      <c r="N1026" t="str">
        <f>_xlfn.XLOOKUP(B1026,tblCustomers[customer_id],tblCustomers[region],"Missing")</f>
        <v>South</v>
      </c>
      <c r="O1026" t="str">
        <f>_xlfn.XLOOKUP(C1026,tblProducts[product_id],tblProducts[product_name],"Missing")</f>
        <v>Workflow Automate</v>
      </c>
      <c r="P1026" t="str">
        <f>_xlfn.XLOOKUP(C1026,tblProducts[product_id],tblProducts[category],"Missing")</f>
        <v>Automation</v>
      </c>
      <c r="Q1026" t="str">
        <f>_xlfn.XLOOKUP(D1026,tblSalesReps[rep_id],tblSalesReps[rep_name],"Missing")</f>
        <v>Sales Rep 01</v>
      </c>
      <c r="R1026" t="str">
        <f>_xlfn.XLOOKUP(D1026,tblSalesReps[rep_id],tblSalesReps[region],"Missing")</f>
        <v>South</v>
      </c>
    </row>
    <row r="1027" spans="1:18">
      <c r="A1027" t="s">
        <v>1508</v>
      </c>
      <c r="B1027" t="s">
        <v>1250</v>
      </c>
      <c r="C1027" t="s">
        <v>21</v>
      </c>
      <c r="D1027" t="s">
        <v>126</v>
      </c>
      <c r="E1027" s="1">
        <v>45679</v>
      </c>
      <c r="F1027" s="1">
        <v>45695</v>
      </c>
      <c r="G1027" s="1">
        <v>45695</v>
      </c>
      <c r="H1027" t="s">
        <v>17</v>
      </c>
      <c r="I1027">
        <v>1</v>
      </c>
      <c r="J1027">
        <v>10</v>
      </c>
      <c r="K1027">
        <v>216000</v>
      </c>
      <c r="L1027">
        <v>0</v>
      </c>
      <c r="M1027" t="s">
        <v>33</v>
      </c>
      <c r="N1027" t="str">
        <f>_xlfn.XLOOKUP(B1027,tblCustomers[customer_id],tblCustomers[region],"Missing")</f>
        <v>South</v>
      </c>
      <c r="O1027" t="str">
        <f>_xlfn.XLOOKUP(C1027,tblProducts[product_id],tblProducts[product_name],"Missing")</f>
        <v>Workflow Automate</v>
      </c>
      <c r="P1027" t="str">
        <f>_xlfn.XLOOKUP(C1027,tblProducts[product_id],tblProducts[category],"Missing")</f>
        <v>Automation</v>
      </c>
      <c r="Q1027" t="str">
        <f>_xlfn.XLOOKUP(D1027,tblSalesReps[rep_id],tblSalesReps[rep_name],"Missing")</f>
        <v>Sales Rep 02</v>
      </c>
      <c r="R1027" t="str">
        <f>_xlfn.XLOOKUP(D1027,tblSalesReps[rep_id],tblSalesReps[region],"Missing")</f>
        <v>South</v>
      </c>
    </row>
    <row r="1028" spans="1:18">
      <c r="A1028" t="s">
        <v>1509</v>
      </c>
      <c r="B1028" t="s">
        <v>809</v>
      </c>
      <c r="C1028" t="s">
        <v>26</v>
      </c>
      <c r="D1028" t="s">
        <v>27</v>
      </c>
      <c r="E1028" s="1">
        <v>45748</v>
      </c>
      <c r="F1028" s="1">
        <v>45767</v>
      </c>
      <c r="G1028" s="1"/>
      <c r="H1028" t="s">
        <v>43</v>
      </c>
      <c r="I1028">
        <v>1</v>
      </c>
      <c r="J1028">
        <v>0</v>
      </c>
      <c r="K1028">
        <v>360000</v>
      </c>
      <c r="L1028">
        <v>60</v>
      </c>
      <c r="M1028" t="s">
        <v>29</v>
      </c>
      <c r="N1028" t="str">
        <f>_xlfn.XLOOKUP(B1028,tblCustomers[customer_id],tblCustomers[region],"Missing")</f>
        <v>North</v>
      </c>
      <c r="O1028" t="str">
        <f>_xlfn.XLOOKUP(C1028,tblProducts[product_id],tblProducts[product_name],"Missing")</f>
        <v>Security Suite</v>
      </c>
      <c r="P1028" t="str">
        <f>_xlfn.XLOOKUP(C1028,tblProducts[product_id],tblProducts[category],"Missing")</f>
        <v>Security</v>
      </c>
      <c r="Q1028" t="str">
        <f>_xlfn.XLOOKUP(D1028,tblSalesReps[rep_id],tblSalesReps[rep_name],"Missing")</f>
        <v>Sales Rep 06</v>
      </c>
      <c r="R1028" t="str">
        <f>_xlfn.XLOOKUP(D1028,tblSalesReps[rep_id],tblSalesReps[region],"Missing")</f>
        <v>North</v>
      </c>
    </row>
    <row r="1029" spans="1:18">
      <c r="A1029" t="s">
        <v>1510</v>
      </c>
      <c r="B1029" t="s">
        <v>1511</v>
      </c>
      <c r="C1029" t="s">
        <v>62</v>
      </c>
      <c r="D1029" t="s">
        <v>46</v>
      </c>
      <c r="E1029" s="1">
        <v>45956</v>
      </c>
      <c r="F1029" s="1">
        <v>46004</v>
      </c>
      <c r="G1029" s="1">
        <v>46004</v>
      </c>
      <c r="H1029" t="s">
        <v>28</v>
      </c>
      <c r="I1029">
        <v>1</v>
      </c>
      <c r="J1029">
        <v>20</v>
      </c>
      <c r="K1029">
        <v>96000</v>
      </c>
      <c r="L1029">
        <v>100</v>
      </c>
      <c r="M1029" t="s">
        <v>29</v>
      </c>
      <c r="N1029" t="str">
        <f>_xlfn.XLOOKUP(B1029,tblCustomers[customer_id],tblCustomers[region],"Missing")</f>
        <v>South</v>
      </c>
      <c r="O1029" t="str">
        <f>_xlfn.XLOOKUP(C1029,tblProducts[product_id],tblProducts[product_name],"Missing")</f>
        <v>CRM Essentials</v>
      </c>
      <c r="P1029" t="str">
        <f>_xlfn.XLOOKUP(C1029,tblProducts[product_id],tblProducts[category],"Missing")</f>
        <v>CRM</v>
      </c>
      <c r="Q1029" t="str">
        <f>_xlfn.XLOOKUP(D1029,tblSalesReps[rep_id],tblSalesReps[rep_name],"Missing")</f>
        <v>Sales Rep 01</v>
      </c>
      <c r="R1029" t="str">
        <f>_xlfn.XLOOKUP(D1029,tblSalesReps[rep_id],tblSalesReps[region],"Missing")</f>
        <v>South</v>
      </c>
    </row>
    <row r="1030" spans="1:18">
      <c r="A1030" t="s">
        <v>1512</v>
      </c>
      <c r="B1030" t="s">
        <v>191</v>
      </c>
      <c r="C1030" t="s">
        <v>21</v>
      </c>
      <c r="D1030" t="s">
        <v>119</v>
      </c>
      <c r="E1030" s="1">
        <v>45825</v>
      </c>
      <c r="F1030" s="1">
        <v>45881</v>
      </c>
      <c r="G1030" s="1"/>
      <c r="H1030" t="s">
        <v>43</v>
      </c>
      <c r="I1030">
        <v>2</v>
      </c>
      <c r="J1030">
        <v>10</v>
      </c>
      <c r="K1030">
        <v>432000</v>
      </c>
      <c r="L1030">
        <v>80</v>
      </c>
      <c r="M1030" t="s">
        <v>29</v>
      </c>
      <c r="N1030" t="str">
        <f>_xlfn.XLOOKUP(B1030,tblCustomers[customer_id],tblCustomers[region],"Missing")</f>
        <v>North</v>
      </c>
      <c r="O1030" t="str">
        <f>_xlfn.XLOOKUP(C1030,tblProducts[product_id],tblProducts[product_name],"Missing")</f>
        <v>Workflow Automate</v>
      </c>
      <c r="P1030" t="str">
        <f>_xlfn.XLOOKUP(C1030,tblProducts[product_id],tblProducts[category],"Missing")</f>
        <v>Automation</v>
      </c>
      <c r="Q1030" t="str">
        <f>_xlfn.XLOOKUP(D1030,tblSalesReps[rep_id],tblSalesReps[rep_name],"Missing")</f>
        <v>Sales Rep 10</v>
      </c>
      <c r="R1030" t="str">
        <f>_xlfn.XLOOKUP(D1030,tblSalesReps[rep_id],tblSalesReps[region],"Missing")</f>
        <v>North</v>
      </c>
    </row>
    <row r="1031" spans="1:18">
      <c r="A1031" t="s">
        <v>1513</v>
      </c>
      <c r="B1031" t="s">
        <v>902</v>
      </c>
      <c r="C1031" t="s">
        <v>81</v>
      </c>
      <c r="D1031" t="s">
        <v>75</v>
      </c>
      <c r="E1031" s="1">
        <v>45749</v>
      </c>
      <c r="F1031" s="1">
        <v>45779</v>
      </c>
      <c r="G1031" s="1">
        <v>45779</v>
      </c>
      <c r="H1031" t="s">
        <v>28</v>
      </c>
      <c r="I1031">
        <v>1</v>
      </c>
      <c r="J1031">
        <v>10</v>
      </c>
      <c r="K1031">
        <v>270000</v>
      </c>
      <c r="L1031">
        <v>100</v>
      </c>
      <c r="M1031" t="s">
        <v>29</v>
      </c>
      <c r="N1031" t="str">
        <f>_xlfn.XLOOKUP(B1031,tblCustomers[customer_id],tblCustomers[region],"Missing")</f>
        <v>North</v>
      </c>
      <c r="O1031" t="str">
        <f>_xlfn.XLOOKUP(C1031,tblProducts[product_id],tblProducts[product_name],"Missing")</f>
        <v>Analytics Cloud</v>
      </c>
      <c r="P1031" t="str">
        <f>_xlfn.XLOOKUP(C1031,tblProducts[product_id],tblProducts[category],"Missing")</f>
        <v>Analytics</v>
      </c>
      <c r="Q1031" t="str">
        <f>_xlfn.XLOOKUP(D1031,tblSalesReps[rep_id],tblSalesReps[rep_name],"Missing")</f>
        <v>Sales Rep 07</v>
      </c>
      <c r="R1031" t="str">
        <f>_xlfn.XLOOKUP(D1031,tblSalesReps[rep_id],tblSalesReps[region],"Missing")</f>
        <v>North</v>
      </c>
    </row>
    <row r="1032" spans="1:18">
      <c r="A1032" t="s">
        <v>1514</v>
      </c>
      <c r="B1032" t="s">
        <v>816</v>
      </c>
      <c r="C1032" t="s">
        <v>62</v>
      </c>
      <c r="D1032" t="s">
        <v>152</v>
      </c>
      <c r="E1032" s="1">
        <v>45906</v>
      </c>
      <c r="F1032" s="1">
        <v>45985</v>
      </c>
      <c r="G1032" s="1"/>
      <c r="H1032" t="s">
        <v>43</v>
      </c>
      <c r="I1032">
        <v>1</v>
      </c>
      <c r="J1032">
        <v>0</v>
      </c>
      <c r="K1032">
        <v>120000</v>
      </c>
      <c r="L1032">
        <v>80</v>
      </c>
      <c r="M1032" t="s">
        <v>29</v>
      </c>
      <c r="N1032" t="str">
        <f>_xlfn.XLOOKUP(B1032,tblCustomers[customer_id],tblCustomers[region],"Missing")</f>
        <v>East</v>
      </c>
      <c r="O1032" t="str">
        <f>_xlfn.XLOOKUP(C1032,tblProducts[product_id],tblProducts[product_name],"Missing")</f>
        <v>CRM Essentials</v>
      </c>
      <c r="P1032" t="str">
        <f>_xlfn.XLOOKUP(C1032,tblProducts[product_id],tblProducts[category],"Missing")</f>
        <v>CRM</v>
      </c>
      <c r="Q1032" t="str">
        <f>_xlfn.XLOOKUP(D1032,tblSalesReps[rep_id],tblSalesReps[rep_name],"Missing")</f>
        <v>Sales Rep 18</v>
      </c>
      <c r="R1032" t="str">
        <f>_xlfn.XLOOKUP(D1032,tblSalesReps[rep_id],tblSalesReps[region],"Missing")</f>
        <v>East</v>
      </c>
    </row>
    <row r="1033" spans="1:18">
      <c r="A1033" t="s">
        <v>1515</v>
      </c>
      <c r="B1033" t="s">
        <v>644</v>
      </c>
      <c r="C1033" t="s">
        <v>62</v>
      </c>
      <c r="D1033" t="s">
        <v>50</v>
      </c>
      <c r="E1033" s="1">
        <v>45668</v>
      </c>
      <c r="F1033" s="1">
        <v>45730</v>
      </c>
      <c r="G1033" s="1">
        <v>45730</v>
      </c>
      <c r="H1033" t="s">
        <v>28</v>
      </c>
      <c r="I1033">
        <v>2</v>
      </c>
      <c r="J1033">
        <v>15</v>
      </c>
      <c r="K1033">
        <v>204000</v>
      </c>
      <c r="L1033">
        <v>100</v>
      </c>
      <c r="M1033" t="s">
        <v>29</v>
      </c>
      <c r="N1033" t="str">
        <f>_xlfn.XLOOKUP(B1033,tblCustomers[customer_id],tblCustomers[region],"Missing")</f>
        <v>West</v>
      </c>
      <c r="O1033" t="str">
        <f>_xlfn.XLOOKUP(C1033,tblProducts[product_id],tblProducts[product_name],"Missing")</f>
        <v>CRM Essentials</v>
      </c>
      <c r="P1033" t="str">
        <f>_xlfn.XLOOKUP(C1033,tblProducts[product_id],tblProducts[category],"Missing")</f>
        <v>CRM</v>
      </c>
      <c r="Q1033" t="str">
        <f>_xlfn.XLOOKUP(D1033,tblSalesReps[rep_id],tblSalesReps[rep_name],"Missing")</f>
        <v>Sales Rep 15</v>
      </c>
      <c r="R1033" t="str">
        <f>_xlfn.XLOOKUP(D1033,tblSalesReps[rep_id],tblSalesReps[region],"Missing")</f>
        <v>West</v>
      </c>
    </row>
    <row r="1034" spans="1:18">
      <c r="A1034" t="s">
        <v>1516</v>
      </c>
      <c r="B1034" t="s">
        <v>1517</v>
      </c>
      <c r="C1034" t="s">
        <v>15</v>
      </c>
      <c r="D1034" t="s">
        <v>50</v>
      </c>
      <c r="E1034" s="1">
        <v>45860</v>
      </c>
      <c r="F1034" s="1">
        <v>45879</v>
      </c>
      <c r="G1034" s="1">
        <v>45879</v>
      </c>
      <c r="H1034" t="s">
        <v>28</v>
      </c>
      <c r="I1034">
        <v>1</v>
      </c>
      <c r="J1034">
        <v>10</v>
      </c>
      <c r="K1034">
        <v>378000</v>
      </c>
      <c r="L1034">
        <v>100</v>
      </c>
      <c r="M1034" t="s">
        <v>29</v>
      </c>
      <c r="N1034" t="str">
        <f>_xlfn.XLOOKUP(B1034,tblCustomers[customer_id],tblCustomers[region],"Missing")</f>
        <v>West</v>
      </c>
      <c r="O1034" t="str">
        <f>_xlfn.XLOOKUP(C1034,tblProducts[product_id],tblProducts[product_name],"Missing")</f>
        <v>CRM Enterprise</v>
      </c>
      <c r="P1034" t="str">
        <f>_xlfn.XLOOKUP(C1034,tblProducts[product_id],tblProducts[category],"Missing")</f>
        <v>CRM</v>
      </c>
      <c r="Q1034" t="str">
        <f>_xlfn.XLOOKUP(D1034,tblSalesReps[rep_id],tblSalesReps[rep_name],"Missing")</f>
        <v>Sales Rep 15</v>
      </c>
      <c r="R1034" t="str">
        <f>_xlfn.XLOOKUP(D1034,tblSalesReps[rep_id],tblSalesReps[region],"Missing")</f>
        <v>West</v>
      </c>
    </row>
    <row r="1035" spans="1:18">
      <c r="A1035" t="s">
        <v>1518</v>
      </c>
      <c r="B1035" t="s">
        <v>844</v>
      </c>
      <c r="C1035" t="s">
        <v>26</v>
      </c>
      <c r="D1035" t="s">
        <v>63</v>
      </c>
      <c r="E1035" s="1">
        <v>45971</v>
      </c>
      <c r="F1035" s="1">
        <v>46035</v>
      </c>
      <c r="G1035" s="1"/>
      <c r="H1035" t="s">
        <v>43</v>
      </c>
      <c r="I1035">
        <v>2</v>
      </c>
      <c r="J1035">
        <v>20</v>
      </c>
      <c r="K1035">
        <v>576000</v>
      </c>
      <c r="L1035">
        <v>80</v>
      </c>
      <c r="M1035" t="s">
        <v>29</v>
      </c>
      <c r="N1035" t="str">
        <f>_xlfn.XLOOKUP(B1035,tblCustomers[customer_id],tblCustomers[region],"Missing")</f>
        <v>South</v>
      </c>
      <c r="O1035" t="str">
        <f>_xlfn.XLOOKUP(C1035,tblProducts[product_id],tblProducts[product_name],"Missing")</f>
        <v>Security Suite</v>
      </c>
      <c r="P1035" t="str">
        <f>_xlfn.XLOOKUP(C1035,tblProducts[product_id],tblProducts[category],"Missing")</f>
        <v>Security</v>
      </c>
      <c r="Q1035" t="str">
        <f>_xlfn.XLOOKUP(D1035,tblSalesReps[rep_id],tblSalesReps[rep_name],"Missing")</f>
        <v>Sales Rep 05</v>
      </c>
      <c r="R1035" t="str">
        <f>_xlfn.XLOOKUP(D1035,tblSalesReps[rep_id],tblSalesReps[region],"Missing")</f>
        <v>South</v>
      </c>
    </row>
    <row r="1036" spans="1:18">
      <c r="A1036" t="s">
        <v>1519</v>
      </c>
      <c r="B1036" t="s">
        <v>587</v>
      </c>
      <c r="C1036" t="s">
        <v>81</v>
      </c>
      <c r="D1036" t="s">
        <v>126</v>
      </c>
      <c r="E1036" s="1">
        <v>45767</v>
      </c>
      <c r="F1036" s="1">
        <v>45826</v>
      </c>
      <c r="G1036" s="1"/>
      <c r="H1036" t="s">
        <v>43</v>
      </c>
      <c r="I1036">
        <v>1</v>
      </c>
      <c r="J1036">
        <v>20</v>
      </c>
      <c r="K1036">
        <v>240000</v>
      </c>
      <c r="L1036">
        <v>60</v>
      </c>
      <c r="M1036" t="s">
        <v>29</v>
      </c>
      <c r="N1036" t="str">
        <f>_xlfn.XLOOKUP(B1036,tblCustomers[customer_id],tblCustomers[region],"Missing")</f>
        <v>South</v>
      </c>
      <c r="O1036" t="str">
        <f>_xlfn.XLOOKUP(C1036,tblProducts[product_id],tblProducts[product_name],"Missing")</f>
        <v>Analytics Cloud</v>
      </c>
      <c r="P1036" t="str">
        <f>_xlfn.XLOOKUP(C1036,tblProducts[product_id],tblProducts[category],"Missing")</f>
        <v>Analytics</v>
      </c>
      <c r="Q1036" t="str">
        <f>_xlfn.XLOOKUP(D1036,tblSalesReps[rep_id],tblSalesReps[rep_name],"Missing")</f>
        <v>Sales Rep 02</v>
      </c>
      <c r="R1036" t="str">
        <f>_xlfn.XLOOKUP(D1036,tblSalesReps[rep_id],tblSalesReps[region],"Missing")</f>
        <v>South</v>
      </c>
    </row>
    <row r="1037" spans="1:18">
      <c r="A1037" t="s">
        <v>1520</v>
      </c>
      <c r="B1037" t="s">
        <v>460</v>
      </c>
      <c r="C1037" t="s">
        <v>15</v>
      </c>
      <c r="D1037" t="s">
        <v>36</v>
      </c>
      <c r="E1037" s="1">
        <v>45940</v>
      </c>
      <c r="F1037" s="1">
        <v>45960</v>
      </c>
      <c r="G1037" s="1">
        <v>45960</v>
      </c>
      <c r="H1037" t="s">
        <v>28</v>
      </c>
      <c r="I1037">
        <v>1</v>
      </c>
      <c r="J1037">
        <v>0</v>
      </c>
      <c r="K1037">
        <v>420000</v>
      </c>
      <c r="L1037">
        <v>100</v>
      </c>
      <c r="M1037" t="s">
        <v>29</v>
      </c>
      <c r="N1037" t="str">
        <f>_xlfn.XLOOKUP(B1037,tblCustomers[customer_id],tblCustomers[region],"Missing")</f>
        <v>North</v>
      </c>
      <c r="O1037" t="str">
        <f>_xlfn.XLOOKUP(C1037,tblProducts[product_id],tblProducts[product_name],"Missing")</f>
        <v>CRM Enterprise</v>
      </c>
      <c r="P1037" t="str">
        <f>_xlfn.XLOOKUP(C1037,tblProducts[product_id],tblProducts[category],"Missing")</f>
        <v>CRM</v>
      </c>
      <c r="Q1037" t="str">
        <f>_xlfn.XLOOKUP(D1037,tblSalesReps[rep_id],tblSalesReps[rep_name],"Missing")</f>
        <v>Sales Rep 09</v>
      </c>
      <c r="R1037" t="str">
        <f>_xlfn.XLOOKUP(D1037,tblSalesReps[rep_id],tblSalesReps[region],"Missing")</f>
        <v>North</v>
      </c>
    </row>
    <row r="1038" spans="1:18">
      <c r="A1038" t="s">
        <v>1521</v>
      </c>
      <c r="B1038" t="s">
        <v>448</v>
      </c>
      <c r="C1038" t="s">
        <v>15</v>
      </c>
      <c r="D1038" t="s">
        <v>16</v>
      </c>
      <c r="E1038" s="1">
        <v>45753</v>
      </c>
      <c r="F1038" s="1">
        <v>45836</v>
      </c>
      <c r="G1038" s="1">
        <v>45836</v>
      </c>
      <c r="H1038" t="s">
        <v>17</v>
      </c>
      <c r="I1038">
        <v>1</v>
      </c>
      <c r="J1038">
        <v>20</v>
      </c>
      <c r="K1038">
        <v>336000</v>
      </c>
      <c r="L1038">
        <v>0</v>
      </c>
      <c r="M1038" t="s">
        <v>18</v>
      </c>
      <c r="N1038" t="str">
        <f>_xlfn.XLOOKUP(B1038,tblCustomers[customer_id],tblCustomers[region],"Missing")</f>
        <v>North</v>
      </c>
      <c r="O1038" t="str">
        <f>_xlfn.XLOOKUP(C1038,tblProducts[product_id],tblProducts[product_name],"Missing")</f>
        <v>CRM Enterprise</v>
      </c>
      <c r="P1038" t="str">
        <f>_xlfn.XLOOKUP(C1038,tblProducts[product_id],tblProducts[category],"Missing")</f>
        <v>CRM</v>
      </c>
      <c r="Q1038" t="str">
        <f>_xlfn.XLOOKUP(D1038,tblSalesReps[rep_id],tblSalesReps[rep_name],"Missing")</f>
        <v>Sales Rep 08</v>
      </c>
      <c r="R1038" t="str">
        <f>_xlfn.XLOOKUP(D1038,tblSalesReps[rep_id],tblSalesReps[region],"Missing")</f>
        <v>North</v>
      </c>
    </row>
    <row r="1039" spans="1:18">
      <c r="A1039" t="s">
        <v>1522</v>
      </c>
      <c r="B1039" t="s">
        <v>487</v>
      </c>
      <c r="C1039" t="s">
        <v>81</v>
      </c>
      <c r="D1039" t="s">
        <v>40</v>
      </c>
      <c r="E1039" s="1">
        <v>45955</v>
      </c>
      <c r="F1039" s="1">
        <v>46030</v>
      </c>
      <c r="G1039" s="1"/>
      <c r="H1039" t="s">
        <v>43</v>
      </c>
      <c r="I1039">
        <v>3</v>
      </c>
      <c r="J1039">
        <v>0</v>
      </c>
      <c r="K1039">
        <v>900000</v>
      </c>
      <c r="L1039">
        <v>60</v>
      </c>
      <c r="M1039" t="s">
        <v>29</v>
      </c>
      <c r="N1039" t="str">
        <f>_xlfn.XLOOKUP(B1039,tblCustomers[customer_id],tblCustomers[region],"Missing")</f>
        <v>West</v>
      </c>
      <c r="O1039" t="str">
        <f>_xlfn.XLOOKUP(C1039,tblProducts[product_id],tblProducts[product_name],"Missing")</f>
        <v>Analytics Cloud</v>
      </c>
      <c r="P1039" t="str">
        <f>_xlfn.XLOOKUP(C1039,tblProducts[product_id],tblProducts[category],"Missing")</f>
        <v>Analytics</v>
      </c>
      <c r="Q1039" t="str">
        <f>_xlfn.XLOOKUP(D1039,tblSalesReps[rep_id],tblSalesReps[rep_name],"Missing")</f>
        <v>Sales Rep 13</v>
      </c>
      <c r="R1039" t="str">
        <f>_xlfn.XLOOKUP(D1039,tblSalesReps[rep_id],tblSalesReps[region],"Missing")</f>
        <v>West</v>
      </c>
    </row>
    <row r="1040" spans="1:18">
      <c r="A1040" t="s">
        <v>1523</v>
      </c>
      <c r="B1040" t="s">
        <v>830</v>
      </c>
      <c r="C1040" t="s">
        <v>39</v>
      </c>
      <c r="D1040" t="s">
        <v>46</v>
      </c>
      <c r="E1040" s="1">
        <v>45838</v>
      </c>
      <c r="F1040" s="1">
        <v>45898</v>
      </c>
      <c r="G1040" s="1"/>
      <c r="H1040" t="s">
        <v>43</v>
      </c>
      <c r="I1040">
        <v>3</v>
      </c>
      <c r="J1040">
        <v>20</v>
      </c>
      <c r="K1040">
        <v>432000</v>
      </c>
      <c r="L1040">
        <v>40</v>
      </c>
      <c r="M1040" t="s">
        <v>29</v>
      </c>
      <c r="N1040" t="str">
        <f>_xlfn.XLOOKUP(B1040,tblCustomers[customer_id],tblCustomers[region],"Missing")</f>
        <v>South</v>
      </c>
      <c r="O1040" t="str">
        <f>_xlfn.XLOOKUP(C1040,tblProducts[product_id],tblProducts[product_name],"Missing")</f>
        <v>Support Desk</v>
      </c>
      <c r="P1040" t="str">
        <f>_xlfn.XLOOKUP(C1040,tblProducts[product_id],tblProducts[category],"Missing")</f>
        <v>Service</v>
      </c>
      <c r="Q1040" t="str">
        <f>_xlfn.XLOOKUP(D1040,tblSalesReps[rep_id],tblSalesReps[rep_name],"Missing")</f>
        <v>Sales Rep 01</v>
      </c>
      <c r="R1040" t="str">
        <f>_xlfn.XLOOKUP(D1040,tblSalesReps[rep_id],tblSalesReps[region],"Missing")</f>
        <v>South</v>
      </c>
    </row>
    <row r="1041" spans="1:18">
      <c r="A1041" t="s">
        <v>1524</v>
      </c>
      <c r="B1041" t="s">
        <v>1065</v>
      </c>
      <c r="C1041" t="s">
        <v>81</v>
      </c>
      <c r="D1041" t="s">
        <v>56</v>
      </c>
      <c r="E1041" s="1">
        <v>45854</v>
      </c>
      <c r="F1041" s="1">
        <v>45939</v>
      </c>
      <c r="G1041" s="1"/>
      <c r="H1041" t="s">
        <v>43</v>
      </c>
      <c r="I1041">
        <v>1</v>
      </c>
      <c r="J1041">
        <v>20</v>
      </c>
      <c r="K1041">
        <v>240000</v>
      </c>
      <c r="L1041">
        <v>20</v>
      </c>
      <c r="M1041" t="s">
        <v>29</v>
      </c>
      <c r="N1041" t="str">
        <f>_xlfn.XLOOKUP(B1041,tblCustomers[customer_id],tblCustomers[region],"Missing")</f>
        <v>East</v>
      </c>
      <c r="O1041" t="str">
        <f>_xlfn.XLOOKUP(C1041,tblProducts[product_id],tblProducts[product_name],"Missing")</f>
        <v>Analytics Cloud</v>
      </c>
      <c r="P1041" t="str">
        <f>_xlfn.XLOOKUP(C1041,tblProducts[product_id],tblProducts[category],"Missing")</f>
        <v>Analytics</v>
      </c>
      <c r="Q1041" t="str">
        <f>_xlfn.XLOOKUP(D1041,tblSalesReps[rep_id],tblSalesReps[rep_name],"Missing")</f>
        <v>Sales Rep 20</v>
      </c>
      <c r="R1041" t="str">
        <f>_xlfn.XLOOKUP(D1041,tblSalesReps[rep_id],tblSalesReps[region],"Missing")</f>
        <v>East</v>
      </c>
    </row>
    <row r="1042" spans="1:18">
      <c r="A1042" t="s">
        <v>1525</v>
      </c>
      <c r="B1042" t="s">
        <v>1526</v>
      </c>
      <c r="C1042" t="s">
        <v>21</v>
      </c>
      <c r="D1042" t="s">
        <v>75</v>
      </c>
      <c r="E1042" s="1">
        <v>45966</v>
      </c>
      <c r="F1042" s="1">
        <v>46028</v>
      </c>
      <c r="G1042" s="1"/>
      <c r="H1042" t="s">
        <v>43</v>
      </c>
      <c r="I1042">
        <v>1</v>
      </c>
      <c r="J1042">
        <v>15</v>
      </c>
      <c r="K1042">
        <v>204000</v>
      </c>
      <c r="L1042">
        <v>60</v>
      </c>
      <c r="M1042" t="s">
        <v>29</v>
      </c>
      <c r="N1042" t="str">
        <f>_xlfn.XLOOKUP(B1042,tblCustomers[customer_id],tblCustomers[region],"Missing")</f>
        <v>North</v>
      </c>
      <c r="O1042" t="str">
        <f>_xlfn.XLOOKUP(C1042,tblProducts[product_id],tblProducts[product_name],"Missing")</f>
        <v>Workflow Automate</v>
      </c>
      <c r="P1042" t="str">
        <f>_xlfn.XLOOKUP(C1042,tblProducts[product_id],tblProducts[category],"Missing")</f>
        <v>Automation</v>
      </c>
      <c r="Q1042" t="str">
        <f>_xlfn.XLOOKUP(D1042,tblSalesReps[rep_id],tblSalesReps[rep_name],"Missing")</f>
        <v>Sales Rep 07</v>
      </c>
      <c r="R1042" t="str">
        <f>_xlfn.XLOOKUP(D1042,tblSalesReps[rep_id],tblSalesReps[region],"Missing")</f>
        <v>North</v>
      </c>
    </row>
    <row r="1043" spans="1:18">
      <c r="A1043" t="s">
        <v>1527</v>
      </c>
      <c r="B1043" t="s">
        <v>1528</v>
      </c>
      <c r="C1043" t="s">
        <v>81</v>
      </c>
      <c r="D1043" t="s">
        <v>56</v>
      </c>
      <c r="E1043" s="1">
        <v>45813</v>
      </c>
      <c r="F1043" s="1">
        <v>45876</v>
      </c>
      <c r="G1043" s="1">
        <v>45876</v>
      </c>
      <c r="H1043" t="s">
        <v>28</v>
      </c>
      <c r="I1043">
        <v>3</v>
      </c>
      <c r="J1043">
        <v>20</v>
      </c>
      <c r="K1043">
        <v>720000</v>
      </c>
      <c r="L1043">
        <v>100</v>
      </c>
      <c r="M1043" t="s">
        <v>29</v>
      </c>
      <c r="N1043" t="str">
        <f>_xlfn.XLOOKUP(B1043,tblCustomers[customer_id],tblCustomers[region],"Missing")</f>
        <v>East</v>
      </c>
      <c r="O1043" t="str">
        <f>_xlfn.XLOOKUP(C1043,tblProducts[product_id],tblProducts[product_name],"Missing")</f>
        <v>Analytics Cloud</v>
      </c>
      <c r="P1043" t="str">
        <f>_xlfn.XLOOKUP(C1043,tblProducts[product_id],tblProducts[category],"Missing")</f>
        <v>Analytics</v>
      </c>
      <c r="Q1043" t="str">
        <f>_xlfn.XLOOKUP(D1043,tblSalesReps[rep_id],tblSalesReps[rep_name],"Missing")</f>
        <v>Sales Rep 20</v>
      </c>
      <c r="R1043" t="str">
        <f>_xlfn.XLOOKUP(D1043,tblSalesReps[rep_id],tblSalesReps[region],"Missing")</f>
        <v>East</v>
      </c>
    </row>
    <row r="1044" spans="1:18">
      <c r="A1044" t="s">
        <v>1529</v>
      </c>
      <c r="B1044" t="s">
        <v>789</v>
      </c>
      <c r="C1044" t="s">
        <v>39</v>
      </c>
      <c r="D1044" t="s">
        <v>126</v>
      </c>
      <c r="E1044" s="1">
        <v>45969</v>
      </c>
      <c r="F1044" s="1">
        <v>46014</v>
      </c>
      <c r="G1044" s="1"/>
      <c r="H1044" t="s">
        <v>43</v>
      </c>
      <c r="I1044">
        <v>1</v>
      </c>
      <c r="J1044">
        <v>15</v>
      </c>
      <c r="K1044">
        <v>153000</v>
      </c>
      <c r="L1044">
        <v>80</v>
      </c>
      <c r="M1044" t="s">
        <v>29</v>
      </c>
      <c r="N1044" t="str">
        <f>_xlfn.XLOOKUP(B1044,tblCustomers[customer_id],tblCustomers[region],"Missing")</f>
        <v>South</v>
      </c>
      <c r="O1044" t="str">
        <f>_xlfn.XLOOKUP(C1044,tblProducts[product_id],tblProducts[product_name],"Missing")</f>
        <v>Support Desk</v>
      </c>
      <c r="P1044" t="str">
        <f>_xlfn.XLOOKUP(C1044,tblProducts[product_id],tblProducts[category],"Missing")</f>
        <v>Service</v>
      </c>
      <c r="Q1044" t="str">
        <f>_xlfn.XLOOKUP(D1044,tblSalesReps[rep_id],tblSalesReps[rep_name],"Missing")</f>
        <v>Sales Rep 02</v>
      </c>
      <c r="R1044" t="str">
        <f>_xlfn.XLOOKUP(D1044,tblSalesReps[rep_id],tblSalesReps[region],"Missing")</f>
        <v>South</v>
      </c>
    </row>
    <row r="1045" spans="1:18">
      <c r="A1045" t="s">
        <v>1530</v>
      </c>
      <c r="B1045" t="s">
        <v>170</v>
      </c>
      <c r="C1045" t="s">
        <v>39</v>
      </c>
      <c r="D1045" t="s">
        <v>53</v>
      </c>
      <c r="E1045" s="1">
        <v>45852</v>
      </c>
      <c r="F1045" s="1">
        <v>45933</v>
      </c>
      <c r="G1045" s="1">
        <v>45933</v>
      </c>
      <c r="H1045" t="s">
        <v>28</v>
      </c>
      <c r="I1045">
        <v>3</v>
      </c>
      <c r="J1045">
        <v>0</v>
      </c>
      <c r="K1045">
        <v>540000</v>
      </c>
      <c r="L1045">
        <v>100</v>
      </c>
      <c r="M1045" t="s">
        <v>29</v>
      </c>
      <c r="N1045" t="str">
        <f>_xlfn.XLOOKUP(B1045,tblCustomers[customer_id],tblCustomers[region],"Missing")</f>
        <v>East</v>
      </c>
      <c r="O1045" t="str">
        <f>_xlfn.XLOOKUP(C1045,tblProducts[product_id],tblProducts[product_name],"Missing")</f>
        <v>Support Desk</v>
      </c>
      <c r="P1045" t="str">
        <f>_xlfn.XLOOKUP(C1045,tblProducts[product_id],tblProducts[category],"Missing")</f>
        <v>Service</v>
      </c>
      <c r="Q1045" t="str">
        <f>_xlfn.XLOOKUP(D1045,tblSalesReps[rep_id],tblSalesReps[rep_name],"Missing")</f>
        <v>Sales Rep 16</v>
      </c>
      <c r="R1045" t="str">
        <f>_xlfn.XLOOKUP(D1045,tblSalesReps[rep_id],tblSalesReps[region],"Missing")</f>
        <v>East</v>
      </c>
    </row>
    <row r="1046" spans="1:18">
      <c r="A1046" t="s">
        <v>1531</v>
      </c>
      <c r="B1046" t="s">
        <v>379</v>
      </c>
      <c r="C1046" t="s">
        <v>15</v>
      </c>
      <c r="D1046" t="s">
        <v>36</v>
      </c>
      <c r="E1046" s="1">
        <v>45678</v>
      </c>
      <c r="F1046" s="1">
        <v>45722</v>
      </c>
      <c r="G1046" s="1">
        <v>45722</v>
      </c>
      <c r="H1046" t="s">
        <v>17</v>
      </c>
      <c r="I1046">
        <v>3</v>
      </c>
      <c r="J1046">
        <v>20</v>
      </c>
      <c r="K1046">
        <v>1008000</v>
      </c>
      <c r="L1046">
        <v>0</v>
      </c>
      <c r="M1046" t="s">
        <v>23</v>
      </c>
      <c r="N1046" t="str">
        <f>_xlfn.XLOOKUP(B1046,tblCustomers[customer_id],tblCustomers[region],"Missing")</f>
        <v>North</v>
      </c>
      <c r="O1046" t="str">
        <f>_xlfn.XLOOKUP(C1046,tblProducts[product_id],tblProducts[product_name],"Missing")</f>
        <v>CRM Enterprise</v>
      </c>
      <c r="P1046" t="str">
        <f>_xlfn.XLOOKUP(C1046,tblProducts[product_id],tblProducts[category],"Missing")</f>
        <v>CRM</v>
      </c>
      <c r="Q1046" t="str">
        <f>_xlfn.XLOOKUP(D1046,tblSalesReps[rep_id],tblSalesReps[rep_name],"Missing")</f>
        <v>Sales Rep 09</v>
      </c>
      <c r="R1046" t="str">
        <f>_xlfn.XLOOKUP(D1046,tblSalesReps[rep_id],tblSalesReps[region],"Missing")</f>
        <v>North</v>
      </c>
    </row>
    <row r="1047" spans="1:18">
      <c r="A1047" t="s">
        <v>1532</v>
      </c>
      <c r="B1047" t="s">
        <v>1024</v>
      </c>
      <c r="C1047" t="s">
        <v>39</v>
      </c>
      <c r="D1047" t="s">
        <v>50</v>
      </c>
      <c r="E1047" s="1">
        <v>45942</v>
      </c>
      <c r="F1047" s="1">
        <v>45954</v>
      </c>
      <c r="G1047" s="1">
        <v>45954</v>
      </c>
      <c r="H1047" t="s">
        <v>28</v>
      </c>
      <c r="I1047">
        <v>1</v>
      </c>
      <c r="J1047">
        <v>15</v>
      </c>
      <c r="K1047">
        <v>153000</v>
      </c>
      <c r="L1047">
        <v>100</v>
      </c>
      <c r="M1047" t="s">
        <v>29</v>
      </c>
      <c r="N1047" t="str">
        <f>_xlfn.XLOOKUP(B1047,tblCustomers[customer_id],tblCustomers[region],"Missing")</f>
        <v>West</v>
      </c>
      <c r="O1047" t="str">
        <f>_xlfn.XLOOKUP(C1047,tblProducts[product_id],tblProducts[product_name],"Missing")</f>
        <v>Support Desk</v>
      </c>
      <c r="P1047" t="str">
        <f>_xlfn.XLOOKUP(C1047,tblProducts[product_id],tblProducts[category],"Missing")</f>
        <v>Service</v>
      </c>
      <c r="Q1047" t="str">
        <f>_xlfn.XLOOKUP(D1047,tblSalesReps[rep_id],tblSalesReps[rep_name],"Missing")</f>
        <v>Sales Rep 15</v>
      </c>
      <c r="R1047" t="str">
        <f>_xlfn.XLOOKUP(D1047,tblSalesReps[rep_id],tblSalesReps[region],"Missing")</f>
        <v>West</v>
      </c>
    </row>
    <row r="1048" spans="1:18">
      <c r="A1048" t="s">
        <v>1533</v>
      </c>
      <c r="B1048" t="s">
        <v>1534</v>
      </c>
      <c r="C1048" t="s">
        <v>15</v>
      </c>
      <c r="D1048" t="s">
        <v>46</v>
      </c>
      <c r="E1048" s="1">
        <v>45734</v>
      </c>
      <c r="F1048" s="1">
        <v>45798</v>
      </c>
      <c r="G1048" s="1"/>
      <c r="H1048" t="s">
        <v>43</v>
      </c>
      <c r="I1048">
        <v>1</v>
      </c>
      <c r="J1048">
        <v>0</v>
      </c>
      <c r="K1048">
        <v>420000</v>
      </c>
      <c r="L1048">
        <v>20</v>
      </c>
      <c r="M1048" t="s">
        <v>29</v>
      </c>
      <c r="N1048" t="str">
        <f>_xlfn.XLOOKUP(B1048,tblCustomers[customer_id],tblCustomers[region],"Missing")</f>
        <v>South</v>
      </c>
      <c r="O1048" t="str">
        <f>_xlfn.XLOOKUP(C1048,tblProducts[product_id],tblProducts[product_name],"Missing")</f>
        <v>CRM Enterprise</v>
      </c>
      <c r="P1048" t="str">
        <f>_xlfn.XLOOKUP(C1048,tblProducts[product_id],tblProducts[category],"Missing")</f>
        <v>CRM</v>
      </c>
      <c r="Q1048" t="str">
        <f>_xlfn.XLOOKUP(D1048,tblSalesReps[rep_id],tblSalesReps[rep_name],"Missing")</f>
        <v>Sales Rep 01</v>
      </c>
      <c r="R1048" t="str">
        <f>_xlfn.XLOOKUP(D1048,tblSalesReps[rep_id],tblSalesReps[region],"Missing")</f>
        <v>South</v>
      </c>
    </row>
    <row r="1049" spans="1:18">
      <c r="A1049" t="s">
        <v>1535</v>
      </c>
      <c r="B1049" t="s">
        <v>1536</v>
      </c>
      <c r="C1049" t="s">
        <v>62</v>
      </c>
      <c r="D1049" t="s">
        <v>119</v>
      </c>
      <c r="E1049" s="1">
        <v>45963</v>
      </c>
      <c r="F1049" s="1">
        <v>45996</v>
      </c>
      <c r="G1049" s="1">
        <v>45996</v>
      </c>
      <c r="H1049" t="s">
        <v>17</v>
      </c>
      <c r="I1049">
        <v>1</v>
      </c>
      <c r="J1049">
        <v>10</v>
      </c>
      <c r="K1049">
        <v>108000</v>
      </c>
      <c r="L1049">
        <v>0</v>
      </c>
      <c r="M1049" t="s">
        <v>18</v>
      </c>
      <c r="N1049" t="str">
        <f>_xlfn.XLOOKUP(B1049,tblCustomers[customer_id],tblCustomers[region],"Missing")</f>
        <v>North</v>
      </c>
      <c r="O1049" t="str">
        <f>_xlfn.XLOOKUP(C1049,tblProducts[product_id],tblProducts[product_name],"Missing")</f>
        <v>CRM Essentials</v>
      </c>
      <c r="P1049" t="str">
        <f>_xlfn.XLOOKUP(C1049,tblProducts[product_id],tblProducts[category],"Missing")</f>
        <v>CRM</v>
      </c>
      <c r="Q1049" t="str">
        <f>_xlfn.XLOOKUP(D1049,tblSalesReps[rep_id],tblSalesReps[rep_name],"Missing")</f>
        <v>Sales Rep 10</v>
      </c>
      <c r="R1049" t="str">
        <f>_xlfn.XLOOKUP(D1049,tblSalesReps[rep_id],tblSalesReps[region],"Missing")</f>
        <v>North</v>
      </c>
    </row>
    <row r="1050" spans="1:18">
      <c r="A1050" t="s">
        <v>1537</v>
      </c>
      <c r="B1050" t="s">
        <v>896</v>
      </c>
      <c r="C1050" t="s">
        <v>21</v>
      </c>
      <c r="D1050" t="s">
        <v>59</v>
      </c>
      <c r="E1050" s="1">
        <v>45887</v>
      </c>
      <c r="F1050" s="1">
        <v>45958</v>
      </c>
      <c r="G1050" s="1">
        <v>45958</v>
      </c>
      <c r="H1050" t="s">
        <v>17</v>
      </c>
      <c r="I1050">
        <v>2</v>
      </c>
      <c r="J1050">
        <v>0</v>
      </c>
      <c r="K1050">
        <v>480000</v>
      </c>
      <c r="L1050">
        <v>0</v>
      </c>
      <c r="M1050" t="s">
        <v>33</v>
      </c>
      <c r="N1050" t="str">
        <f>_xlfn.XLOOKUP(B1050,tblCustomers[customer_id],tblCustomers[region],"Missing")</f>
        <v>East</v>
      </c>
      <c r="O1050" t="str">
        <f>_xlfn.XLOOKUP(C1050,tblProducts[product_id],tblProducts[product_name],"Missing")</f>
        <v>Workflow Automate</v>
      </c>
      <c r="P1050" t="str">
        <f>_xlfn.XLOOKUP(C1050,tblProducts[product_id],tblProducts[category],"Missing")</f>
        <v>Automation</v>
      </c>
      <c r="Q1050" t="str">
        <f>_xlfn.XLOOKUP(D1050,tblSalesReps[rep_id],tblSalesReps[rep_name],"Missing")</f>
        <v>Sales Rep 19</v>
      </c>
      <c r="R1050" t="str">
        <f>_xlfn.XLOOKUP(D1050,tblSalesReps[rep_id],tblSalesReps[region],"Missing")</f>
        <v>East</v>
      </c>
    </row>
    <row r="1051" spans="1:18">
      <c r="A1051" t="s">
        <v>1538</v>
      </c>
      <c r="B1051" t="s">
        <v>959</v>
      </c>
      <c r="C1051" t="s">
        <v>21</v>
      </c>
      <c r="D1051" t="s">
        <v>78</v>
      </c>
      <c r="E1051" s="1">
        <v>45965</v>
      </c>
      <c r="F1051" s="1">
        <v>45977</v>
      </c>
      <c r="G1051" s="1">
        <v>45977</v>
      </c>
      <c r="H1051" t="s">
        <v>17</v>
      </c>
      <c r="I1051">
        <v>2</v>
      </c>
      <c r="J1051">
        <v>15</v>
      </c>
      <c r="K1051">
        <v>408000</v>
      </c>
      <c r="L1051">
        <v>0</v>
      </c>
      <c r="M1051" t="s">
        <v>18</v>
      </c>
      <c r="N1051" t="str">
        <f>_xlfn.XLOOKUP(B1051,tblCustomers[customer_id],tblCustomers[region],"Missing")</f>
        <v>West</v>
      </c>
      <c r="O1051" t="str">
        <f>_xlfn.XLOOKUP(C1051,tblProducts[product_id],tblProducts[product_name],"Missing")</f>
        <v>Workflow Automate</v>
      </c>
      <c r="P1051" t="str">
        <f>_xlfn.XLOOKUP(C1051,tblProducts[product_id],tblProducts[category],"Missing")</f>
        <v>Automation</v>
      </c>
      <c r="Q1051" t="str">
        <f>_xlfn.XLOOKUP(D1051,tblSalesReps[rep_id],tblSalesReps[rep_name],"Missing")</f>
        <v>Sales Rep 12</v>
      </c>
      <c r="R1051" t="str">
        <f>_xlfn.XLOOKUP(D1051,tblSalesReps[rep_id],tblSalesReps[region],"Missing")</f>
        <v>West</v>
      </c>
    </row>
    <row r="1052" spans="1:18">
      <c r="A1052" t="s">
        <v>1539</v>
      </c>
      <c r="B1052" t="s">
        <v>683</v>
      </c>
      <c r="C1052" t="s">
        <v>81</v>
      </c>
      <c r="D1052" t="s">
        <v>168</v>
      </c>
      <c r="E1052" s="1">
        <v>45819</v>
      </c>
      <c r="F1052" s="1">
        <v>45848</v>
      </c>
      <c r="G1052" s="1"/>
      <c r="H1052" t="s">
        <v>43</v>
      </c>
      <c r="I1052">
        <v>1</v>
      </c>
      <c r="J1052">
        <v>5</v>
      </c>
      <c r="K1052">
        <v>285000</v>
      </c>
      <c r="L1052">
        <v>20</v>
      </c>
      <c r="M1052" t="s">
        <v>29</v>
      </c>
      <c r="N1052" t="str">
        <f>_xlfn.XLOOKUP(B1052,tblCustomers[customer_id],tblCustomers[region],"Missing")</f>
        <v>East</v>
      </c>
      <c r="O1052" t="str">
        <f>_xlfn.XLOOKUP(C1052,tblProducts[product_id],tblProducts[product_name],"Missing")</f>
        <v>Analytics Cloud</v>
      </c>
      <c r="P1052" t="str">
        <f>_xlfn.XLOOKUP(C1052,tblProducts[product_id],tblProducts[category],"Missing")</f>
        <v>Analytics</v>
      </c>
      <c r="Q1052" t="str">
        <f>_xlfn.XLOOKUP(D1052,tblSalesReps[rep_id],tblSalesReps[rep_name],"Missing")</f>
        <v>Sales Rep 17</v>
      </c>
      <c r="R1052" t="str">
        <f>_xlfn.XLOOKUP(D1052,tblSalesReps[rep_id],tblSalesReps[region],"Missing")</f>
        <v>East</v>
      </c>
    </row>
    <row r="1053" spans="1:18">
      <c r="A1053" t="s">
        <v>1540</v>
      </c>
      <c r="B1053" t="s">
        <v>1268</v>
      </c>
      <c r="C1053" t="s">
        <v>62</v>
      </c>
      <c r="D1053" t="s">
        <v>152</v>
      </c>
      <c r="E1053" s="1">
        <v>45913</v>
      </c>
      <c r="F1053" s="1">
        <v>45969</v>
      </c>
      <c r="G1053" s="1">
        <v>45969</v>
      </c>
      <c r="H1053" t="s">
        <v>28</v>
      </c>
      <c r="I1053">
        <v>1</v>
      </c>
      <c r="J1053">
        <v>20</v>
      </c>
      <c r="K1053">
        <v>96000</v>
      </c>
      <c r="L1053">
        <v>100</v>
      </c>
      <c r="M1053" t="s">
        <v>29</v>
      </c>
      <c r="N1053" t="str">
        <f>_xlfn.XLOOKUP(B1053,tblCustomers[customer_id],tblCustomers[region],"Missing")</f>
        <v>East</v>
      </c>
      <c r="O1053" t="str">
        <f>_xlfn.XLOOKUP(C1053,tblProducts[product_id],tblProducts[product_name],"Missing")</f>
        <v>CRM Essentials</v>
      </c>
      <c r="P1053" t="str">
        <f>_xlfn.XLOOKUP(C1053,tblProducts[product_id],tblProducts[category],"Missing")</f>
        <v>CRM</v>
      </c>
      <c r="Q1053" t="str">
        <f>_xlfn.XLOOKUP(D1053,tblSalesReps[rep_id],tblSalesReps[rep_name],"Missing")</f>
        <v>Sales Rep 18</v>
      </c>
      <c r="R1053" t="str">
        <f>_xlfn.XLOOKUP(D1053,tblSalesReps[rep_id],tblSalesReps[region],"Missing")</f>
        <v>East</v>
      </c>
    </row>
    <row r="1054" spans="1:18">
      <c r="A1054" t="s">
        <v>1541</v>
      </c>
      <c r="B1054" t="s">
        <v>95</v>
      </c>
      <c r="C1054" t="s">
        <v>81</v>
      </c>
      <c r="D1054" t="s">
        <v>46</v>
      </c>
      <c r="E1054" s="1">
        <v>45728</v>
      </c>
      <c r="F1054" s="1">
        <v>45779</v>
      </c>
      <c r="G1054" s="1">
        <v>45779</v>
      </c>
      <c r="H1054" t="s">
        <v>28</v>
      </c>
      <c r="I1054">
        <v>1</v>
      </c>
      <c r="J1054">
        <v>0</v>
      </c>
      <c r="K1054">
        <v>300000</v>
      </c>
      <c r="L1054">
        <v>100</v>
      </c>
      <c r="M1054" t="s">
        <v>29</v>
      </c>
      <c r="N1054" t="str">
        <f>_xlfn.XLOOKUP(B1054,tblCustomers[customer_id],tblCustomers[region],"Missing")</f>
        <v>South</v>
      </c>
      <c r="O1054" t="str">
        <f>_xlfn.XLOOKUP(C1054,tblProducts[product_id],tblProducts[product_name],"Missing")</f>
        <v>Analytics Cloud</v>
      </c>
      <c r="P1054" t="str">
        <f>_xlfn.XLOOKUP(C1054,tblProducts[product_id],tblProducts[category],"Missing")</f>
        <v>Analytics</v>
      </c>
      <c r="Q1054" t="str">
        <f>_xlfn.XLOOKUP(D1054,tblSalesReps[rep_id],tblSalesReps[rep_name],"Missing")</f>
        <v>Sales Rep 01</v>
      </c>
      <c r="R1054" t="str">
        <f>_xlfn.XLOOKUP(D1054,tblSalesReps[rep_id],tblSalesReps[region],"Missing")</f>
        <v>South</v>
      </c>
    </row>
    <row r="1055" spans="1:18">
      <c r="A1055" t="s">
        <v>1542</v>
      </c>
      <c r="B1055" t="s">
        <v>902</v>
      </c>
      <c r="C1055" t="s">
        <v>62</v>
      </c>
      <c r="D1055" t="s">
        <v>36</v>
      </c>
      <c r="E1055" s="1">
        <v>45779</v>
      </c>
      <c r="F1055" s="1">
        <v>45804</v>
      </c>
      <c r="G1055" s="1"/>
      <c r="H1055" t="s">
        <v>43</v>
      </c>
      <c r="I1055">
        <v>2</v>
      </c>
      <c r="J1055">
        <v>15</v>
      </c>
      <c r="K1055">
        <v>204000</v>
      </c>
      <c r="L1055">
        <v>40</v>
      </c>
      <c r="M1055" t="s">
        <v>29</v>
      </c>
      <c r="N1055" t="str">
        <f>_xlfn.XLOOKUP(B1055,tblCustomers[customer_id],tblCustomers[region],"Missing")</f>
        <v>North</v>
      </c>
      <c r="O1055" t="str">
        <f>_xlfn.XLOOKUP(C1055,tblProducts[product_id],tblProducts[product_name],"Missing")</f>
        <v>CRM Essentials</v>
      </c>
      <c r="P1055" t="str">
        <f>_xlfn.XLOOKUP(C1055,tblProducts[product_id],tblProducts[category],"Missing")</f>
        <v>CRM</v>
      </c>
      <c r="Q1055" t="str">
        <f>_xlfn.XLOOKUP(D1055,tblSalesReps[rep_id],tblSalesReps[rep_name],"Missing")</f>
        <v>Sales Rep 09</v>
      </c>
      <c r="R1055" t="str">
        <f>_xlfn.XLOOKUP(D1055,tblSalesReps[rep_id],tblSalesReps[region],"Missing")</f>
        <v>North</v>
      </c>
    </row>
    <row r="1056" spans="1:18">
      <c r="A1056" t="s">
        <v>1543</v>
      </c>
      <c r="B1056" t="s">
        <v>439</v>
      </c>
      <c r="C1056" t="s">
        <v>15</v>
      </c>
      <c r="D1056" t="s">
        <v>78</v>
      </c>
      <c r="E1056" s="1">
        <v>45957</v>
      </c>
      <c r="F1056" s="1">
        <v>45985</v>
      </c>
      <c r="G1056" s="1">
        <v>45985</v>
      </c>
      <c r="H1056" t="s">
        <v>17</v>
      </c>
      <c r="I1056">
        <v>1</v>
      </c>
      <c r="J1056">
        <v>5</v>
      </c>
      <c r="K1056">
        <v>399000</v>
      </c>
      <c r="L1056">
        <v>0</v>
      </c>
      <c r="M1056" t="s">
        <v>23</v>
      </c>
      <c r="N1056" t="str">
        <f>_xlfn.XLOOKUP(B1056,tblCustomers[customer_id],tblCustomers[region],"Missing")</f>
        <v>West</v>
      </c>
      <c r="O1056" t="str">
        <f>_xlfn.XLOOKUP(C1056,tblProducts[product_id],tblProducts[product_name],"Missing")</f>
        <v>CRM Enterprise</v>
      </c>
      <c r="P1056" t="str">
        <f>_xlfn.XLOOKUP(C1056,tblProducts[product_id],tblProducts[category],"Missing")</f>
        <v>CRM</v>
      </c>
      <c r="Q1056" t="str">
        <f>_xlfn.XLOOKUP(D1056,tblSalesReps[rep_id],tblSalesReps[rep_name],"Missing")</f>
        <v>Sales Rep 12</v>
      </c>
      <c r="R1056" t="str">
        <f>_xlfn.XLOOKUP(D1056,tblSalesReps[rep_id],tblSalesReps[region],"Missing")</f>
        <v>West</v>
      </c>
    </row>
    <row r="1057" spans="1:18">
      <c r="A1057" t="s">
        <v>1544</v>
      </c>
      <c r="B1057" t="s">
        <v>183</v>
      </c>
      <c r="C1057" t="s">
        <v>39</v>
      </c>
      <c r="D1057" t="s">
        <v>46</v>
      </c>
      <c r="E1057" s="1">
        <v>45790</v>
      </c>
      <c r="F1057" s="1">
        <v>45836</v>
      </c>
      <c r="G1057" s="1">
        <v>45836</v>
      </c>
      <c r="H1057" t="s">
        <v>17</v>
      </c>
      <c r="I1057">
        <v>1</v>
      </c>
      <c r="J1057">
        <v>15</v>
      </c>
      <c r="K1057">
        <v>153000</v>
      </c>
      <c r="L1057">
        <v>0</v>
      </c>
      <c r="M1057" t="s">
        <v>18</v>
      </c>
      <c r="N1057" t="str">
        <f>_xlfn.XLOOKUP(B1057,tblCustomers[customer_id],tblCustomers[region],"Missing")</f>
        <v>South</v>
      </c>
      <c r="O1057" t="str">
        <f>_xlfn.XLOOKUP(C1057,tblProducts[product_id],tblProducts[product_name],"Missing")</f>
        <v>Support Desk</v>
      </c>
      <c r="P1057" t="str">
        <f>_xlfn.XLOOKUP(C1057,tblProducts[product_id],tblProducts[category],"Missing")</f>
        <v>Service</v>
      </c>
      <c r="Q1057" t="str">
        <f>_xlfn.XLOOKUP(D1057,tblSalesReps[rep_id],tblSalesReps[rep_name],"Missing")</f>
        <v>Sales Rep 01</v>
      </c>
      <c r="R1057" t="str">
        <f>_xlfn.XLOOKUP(D1057,tblSalesReps[rep_id],tblSalesReps[region],"Missing")</f>
        <v>South</v>
      </c>
    </row>
    <row r="1058" spans="1:18">
      <c r="A1058" t="s">
        <v>1545</v>
      </c>
      <c r="B1058" t="s">
        <v>1546</v>
      </c>
      <c r="C1058" t="s">
        <v>81</v>
      </c>
      <c r="D1058" t="s">
        <v>27</v>
      </c>
      <c r="E1058" s="1">
        <v>45840</v>
      </c>
      <c r="F1058" s="1">
        <v>45920</v>
      </c>
      <c r="G1058" s="1">
        <v>45920</v>
      </c>
      <c r="H1058" t="s">
        <v>17</v>
      </c>
      <c r="I1058">
        <v>2</v>
      </c>
      <c r="J1058">
        <v>5</v>
      </c>
      <c r="K1058">
        <v>570000</v>
      </c>
      <c r="L1058">
        <v>0</v>
      </c>
      <c r="M1058" t="s">
        <v>18</v>
      </c>
      <c r="N1058" t="str">
        <f>_xlfn.XLOOKUP(B1058,tblCustomers[customer_id],tblCustomers[region],"Missing")</f>
        <v>North</v>
      </c>
      <c r="O1058" t="str">
        <f>_xlfn.XLOOKUP(C1058,tblProducts[product_id],tblProducts[product_name],"Missing")</f>
        <v>Analytics Cloud</v>
      </c>
      <c r="P1058" t="str">
        <f>_xlfn.XLOOKUP(C1058,tblProducts[product_id],tblProducts[category],"Missing")</f>
        <v>Analytics</v>
      </c>
      <c r="Q1058" t="str">
        <f>_xlfn.XLOOKUP(D1058,tblSalesReps[rep_id],tblSalesReps[rep_name],"Missing")</f>
        <v>Sales Rep 06</v>
      </c>
      <c r="R1058" t="str">
        <f>_xlfn.XLOOKUP(D1058,tblSalesReps[rep_id],tblSalesReps[region],"Missing")</f>
        <v>North</v>
      </c>
    </row>
    <row r="1059" spans="1:18">
      <c r="A1059" t="s">
        <v>1547</v>
      </c>
      <c r="B1059" t="s">
        <v>520</v>
      </c>
      <c r="C1059" t="s">
        <v>39</v>
      </c>
      <c r="D1059" t="s">
        <v>168</v>
      </c>
      <c r="E1059" s="1">
        <v>45873</v>
      </c>
      <c r="F1059" s="1">
        <v>45888</v>
      </c>
      <c r="G1059" s="1">
        <v>45888</v>
      </c>
      <c r="H1059" t="s">
        <v>28</v>
      </c>
      <c r="I1059">
        <v>1</v>
      </c>
      <c r="J1059">
        <v>5</v>
      </c>
      <c r="K1059">
        <v>171000</v>
      </c>
      <c r="L1059">
        <v>100</v>
      </c>
      <c r="M1059" t="s">
        <v>29</v>
      </c>
      <c r="N1059" t="str">
        <f>_xlfn.XLOOKUP(B1059,tblCustomers[customer_id],tblCustomers[region],"Missing")</f>
        <v>East</v>
      </c>
      <c r="O1059" t="str">
        <f>_xlfn.XLOOKUP(C1059,tblProducts[product_id],tblProducts[product_name],"Missing")</f>
        <v>Support Desk</v>
      </c>
      <c r="P1059" t="str">
        <f>_xlfn.XLOOKUP(C1059,tblProducts[product_id],tblProducts[category],"Missing")</f>
        <v>Service</v>
      </c>
      <c r="Q1059" t="str">
        <f>_xlfn.XLOOKUP(D1059,tblSalesReps[rep_id],tblSalesReps[rep_name],"Missing")</f>
        <v>Sales Rep 17</v>
      </c>
      <c r="R1059" t="str">
        <f>_xlfn.XLOOKUP(D1059,tblSalesReps[rep_id],tblSalesReps[region],"Missing")</f>
        <v>East</v>
      </c>
    </row>
    <row r="1060" spans="1:18">
      <c r="A1060" t="s">
        <v>1548</v>
      </c>
      <c r="B1060" t="s">
        <v>753</v>
      </c>
      <c r="C1060" t="s">
        <v>21</v>
      </c>
      <c r="D1060" t="s">
        <v>27</v>
      </c>
      <c r="E1060" s="1">
        <v>45818</v>
      </c>
      <c r="F1060" s="1">
        <v>45881</v>
      </c>
      <c r="G1060" s="1">
        <v>45881</v>
      </c>
      <c r="H1060" t="s">
        <v>28</v>
      </c>
      <c r="I1060">
        <v>1</v>
      </c>
      <c r="J1060">
        <v>15</v>
      </c>
      <c r="K1060">
        <v>204000</v>
      </c>
      <c r="L1060">
        <v>100</v>
      </c>
      <c r="M1060" t="s">
        <v>29</v>
      </c>
      <c r="N1060" t="str">
        <f>_xlfn.XLOOKUP(B1060,tblCustomers[customer_id],tblCustomers[region],"Missing")</f>
        <v>North</v>
      </c>
      <c r="O1060" t="str">
        <f>_xlfn.XLOOKUP(C1060,tblProducts[product_id],tblProducts[product_name],"Missing")</f>
        <v>Workflow Automate</v>
      </c>
      <c r="P1060" t="str">
        <f>_xlfn.XLOOKUP(C1060,tblProducts[product_id],tblProducts[category],"Missing")</f>
        <v>Automation</v>
      </c>
      <c r="Q1060" t="str">
        <f>_xlfn.XLOOKUP(D1060,tblSalesReps[rep_id],tblSalesReps[rep_name],"Missing")</f>
        <v>Sales Rep 06</v>
      </c>
      <c r="R1060" t="str">
        <f>_xlfn.XLOOKUP(D1060,tblSalesReps[rep_id],tblSalesReps[region],"Missing")</f>
        <v>North</v>
      </c>
    </row>
    <row r="1061" spans="1:18">
      <c r="A1061" t="s">
        <v>1549</v>
      </c>
      <c r="B1061" t="s">
        <v>969</v>
      </c>
      <c r="C1061" t="s">
        <v>81</v>
      </c>
      <c r="D1061" t="s">
        <v>126</v>
      </c>
      <c r="E1061" s="1">
        <v>45807</v>
      </c>
      <c r="F1061" s="1">
        <v>45862</v>
      </c>
      <c r="G1061" s="1">
        <v>45862</v>
      </c>
      <c r="H1061" t="s">
        <v>28</v>
      </c>
      <c r="I1061">
        <v>2</v>
      </c>
      <c r="J1061">
        <v>0</v>
      </c>
      <c r="K1061">
        <v>600000</v>
      </c>
      <c r="L1061">
        <v>100</v>
      </c>
      <c r="M1061" t="s">
        <v>29</v>
      </c>
      <c r="N1061" t="str">
        <f>_xlfn.XLOOKUP(B1061,tblCustomers[customer_id],tblCustomers[region],"Missing")</f>
        <v>South</v>
      </c>
      <c r="O1061" t="str">
        <f>_xlfn.XLOOKUP(C1061,tblProducts[product_id],tblProducts[product_name],"Missing")</f>
        <v>Analytics Cloud</v>
      </c>
      <c r="P1061" t="str">
        <f>_xlfn.XLOOKUP(C1061,tblProducts[product_id],tblProducts[category],"Missing")</f>
        <v>Analytics</v>
      </c>
      <c r="Q1061" t="str">
        <f>_xlfn.XLOOKUP(D1061,tblSalesReps[rep_id],tblSalesReps[rep_name],"Missing")</f>
        <v>Sales Rep 02</v>
      </c>
      <c r="R1061" t="str">
        <f>_xlfn.XLOOKUP(D1061,tblSalesReps[rep_id],tblSalesReps[region],"Missing")</f>
        <v>South</v>
      </c>
    </row>
    <row r="1062" spans="1:18">
      <c r="A1062" t="s">
        <v>1550</v>
      </c>
      <c r="B1062" t="s">
        <v>759</v>
      </c>
      <c r="C1062" t="s">
        <v>81</v>
      </c>
      <c r="D1062" t="s">
        <v>59</v>
      </c>
      <c r="E1062" s="1">
        <v>45792</v>
      </c>
      <c r="F1062" s="1">
        <v>45842</v>
      </c>
      <c r="G1062" s="1"/>
      <c r="H1062" t="s">
        <v>43</v>
      </c>
      <c r="I1062">
        <v>1</v>
      </c>
      <c r="J1062">
        <v>20</v>
      </c>
      <c r="K1062">
        <v>240000</v>
      </c>
      <c r="L1062">
        <v>20</v>
      </c>
      <c r="M1062" t="s">
        <v>29</v>
      </c>
      <c r="N1062" t="str">
        <f>_xlfn.XLOOKUP(B1062,tblCustomers[customer_id],tblCustomers[region],"Missing")</f>
        <v>East</v>
      </c>
      <c r="O1062" t="str">
        <f>_xlfn.XLOOKUP(C1062,tblProducts[product_id],tblProducts[product_name],"Missing")</f>
        <v>Analytics Cloud</v>
      </c>
      <c r="P1062" t="str">
        <f>_xlfn.XLOOKUP(C1062,tblProducts[product_id],tblProducts[category],"Missing")</f>
        <v>Analytics</v>
      </c>
      <c r="Q1062" t="str">
        <f>_xlfn.XLOOKUP(D1062,tblSalesReps[rep_id],tblSalesReps[rep_name],"Missing")</f>
        <v>Sales Rep 19</v>
      </c>
      <c r="R1062" t="str">
        <f>_xlfn.XLOOKUP(D1062,tblSalesReps[rep_id],tblSalesReps[region],"Missing")</f>
        <v>East</v>
      </c>
    </row>
    <row r="1063" spans="1:18">
      <c r="A1063" t="s">
        <v>1551</v>
      </c>
      <c r="B1063" t="s">
        <v>435</v>
      </c>
      <c r="C1063" t="s">
        <v>15</v>
      </c>
      <c r="D1063" t="s">
        <v>63</v>
      </c>
      <c r="E1063" s="1">
        <v>45666</v>
      </c>
      <c r="F1063" s="1">
        <v>45702</v>
      </c>
      <c r="G1063" s="1">
        <v>45702</v>
      </c>
      <c r="H1063" t="s">
        <v>17</v>
      </c>
      <c r="I1063">
        <v>1</v>
      </c>
      <c r="J1063">
        <v>5</v>
      </c>
      <c r="K1063">
        <v>399000</v>
      </c>
      <c r="L1063">
        <v>0</v>
      </c>
      <c r="M1063" t="s">
        <v>23</v>
      </c>
      <c r="N1063" t="str">
        <f>_xlfn.XLOOKUP(B1063,tblCustomers[customer_id],tblCustomers[region],"Missing")</f>
        <v>South</v>
      </c>
      <c r="O1063" t="str">
        <f>_xlfn.XLOOKUP(C1063,tblProducts[product_id],tblProducts[product_name],"Missing")</f>
        <v>CRM Enterprise</v>
      </c>
      <c r="P1063" t="str">
        <f>_xlfn.XLOOKUP(C1063,tblProducts[product_id],tblProducts[category],"Missing")</f>
        <v>CRM</v>
      </c>
      <c r="Q1063" t="str">
        <f>_xlfn.XLOOKUP(D1063,tblSalesReps[rep_id],tblSalesReps[rep_name],"Missing")</f>
        <v>Sales Rep 05</v>
      </c>
      <c r="R1063" t="str">
        <f>_xlfn.XLOOKUP(D1063,tblSalesReps[rep_id],tblSalesReps[region],"Missing")</f>
        <v>South</v>
      </c>
    </row>
    <row r="1064" spans="1:18">
      <c r="A1064" t="s">
        <v>1552</v>
      </c>
      <c r="B1064" t="s">
        <v>202</v>
      </c>
      <c r="C1064" t="s">
        <v>15</v>
      </c>
      <c r="D1064" t="s">
        <v>56</v>
      </c>
      <c r="E1064" s="1">
        <v>45847</v>
      </c>
      <c r="F1064" s="1">
        <v>45916</v>
      </c>
      <c r="G1064" s="1"/>
      <c r="H1064" t="s">
        <v>43</v>
      </c>
      <c r="I1064">
        <v>1</v>
      </c>
      <c r="J1064">
        <v>20</v>
      </c>
      <c r="K1064">
        <v>336000</v>
      </c>
      <c r="L1064">
        <v>60</v>
      </c>
      <c r="M1064" t="s">
        <v>29</v>
      </c>
      <c r="N1064" t="str">
        <f>_xlfn.XLOOKUP(B1064,tblCustomers[customer_id],tblCustomers[region],"Missing")</f>
        <v>East</v>
      </c>
      <c r="O1064" t="str">
        <f>_xlfn.XLOOKUP(C1064,tblProducts[product_id],tblProducts[product_name],"Missing")</f>
        <v>CRM Enterprise</v>
      </c>
      <c r="P1064" t="str">
        <f>_xlfn.XLOOKUP(C1064,tblProducts[product_id],tblProducts[category],"Missing")</f>
        <v>CRM</v>
      </c>
      <c r="Q1064" t="str">
        <f>_xlfn.XLOOKUP(D1064,tblSalesReps[rep_id],tblSalesReps[rep_name],"Missing")</f>
        <v>Sales Rep 20</v>
      </c>
      <c r="R1064" t="str">
        <f>_xlfn.XLOOKUP(D1064,tblSalesReps[rep_id],tblSalesReps[region],"Missing")</f>
        <v>East</v>
      </c>
    </row>
    <row r="1065" spans="1:18">
      <c r="A1065" t="s">
        <v>1553</v>
      </c>
      <c r="B1065" t="s">
        <v>118</v>
      </c>
      <c r="C1065" t="s">
        <v>81</v>
      </c>
      <c r="D1065" t="s">
        <v>119</v>
      </c>
      <c r="E1065" s="1">
        <v>45969</v>
      </c>
      <c r="F1065" s="1">
        <v>45985</v>
      </c>
      <c r="G1065" s="1">
        <v>45985</v>
      </c>
      <c r="H1065" t="s">
        <v>17</v>
      </c>
      <c r="I1065">
        <v>1</v>
      </c>
      <c r="J1065">
        <v>10</v>
      </c>
      <c r="K1065">
        <v>270000</v>
      </c>
      <c r="L1065">
        <v>0</v>
      </c>
      <c r="M1065" t="s">
        <v>33</v>
      </c>
      <c r="N1065" t="str">
        <f>_xlfn.XLOOKUP(B1065,tblCustomers[customer_id],tblCustomers[region],"Missing")</f>
        <v>North</v>
      </c>
      <c r="O1065" t="str">
        <f>_xlfn.XLOOKUP(C1065,tblProducts[product_id],tblProducts[product_name],"Missing")</f>
        <v>Analytics Cloud</v>
      </c>
      <c r="P1065" t="str">
        <f>_xlfn.XLOOKUP(C1065,tblProducts[product_id],tblProducts[category],"Missing")</f>
        <v>Analytics</v>
      </c>
      <c r="Q1065" t="str">
        <f>_xlfn.XLOOKUP(D1065,tblSalesReps[rep_id],tblSalesReps[rep_name],"Missing")</f>
        <v>Sales Rep 10</v>
      </c>
      <c r="R1065" t="str">
        <f>_xlfn.XLOOKUP(D1065,tblSalesReps[rep_id],tblSalesReps[region],"Missing")</f>
        <v>North</v>
      </c>
    </row>
    <row r="1066" spans="1:18">
      <c r="A1066" t="s">
        <v>1554</v>
      </c>
      <c r="B1066" t="s">
        <v>1141</v>
      </c>
      <c r="C1066" t="s">
        <v>81</v>
      </c>
      <c r="D1066" t="s">
        <v>50</v>
      </c>
      <c r="E1066" s="1">
        <v>45711</v>
      </c>
      <c r="F1066" s="1">
        <v>45745</v>
      </c>
      <c r="G1066" s="1">
        <v>45745</v>
      </c>
      <c r="H1066" t="s">
        <v>28</v>
      </c>
      <c r="I1066">
        <v>1</v>
      </c>
      <c r="J1066">
        <v>5</v>
      </c>
      <c r="K1066">
        <v>285000</v>
      </c>
      <c r="L1066">
        <v>100</v>
      </c>
      <c r="M1066" t="s">
        <v>29</v>
      </c>
      <c r="N1066" t="str">
        <f>_xlfn.XLOOKUP(B1066,tblCustomers[customer_id],tblCustomers[region],"Missing")</f>
        <v>West</v>
      </c>
      <c r="O1066" t="str">
        <f>_xlfn.XLOOKUP(C1066,tblProducts[product_id],tblProducts[product_name],"Missing")</f>
        <v>Analytics Cloud</v>
      </c>
      <c r="P1066" t="str">
        <f>_xlfn.XLOOKUP(C1066,tblProducts[product_id],tblProducts[category],"Missing")</f>
        <v>Analytics</v>
      </c>
      <c r="Q1066" t="str">
        <f>_xlfn.XLOOKUP(D1066,tblSalesReps[rep_id],tblSalesReps[rep_name],"Missing")</f>
        <v>Sales Rep 15</v>
      </c>
      <c r="R1066" t="str">
        <f>_xlfn.XLOOKUP(D1066,tblSalesReps[rep_id],tblSalesReps[region],"Missing")</f>
        <v>West</v>
      </c>
    </row>
    <row r="1067" spans="1:18">
      <c r="A1067" t="s">
        <v>1555</v>
      </c>
      <c r="B1067" t="s">
        <v>1403</v>
      </c>
      <c r="C1067" t="s">
        <v>26</v>
      </c>
      <c r="D1067" t="s">
        <v>119</v>
      </c>
      <c r="E1067" s="1">
        <v>45980</v>
      </c>
      <c r="F1067" s="1">
        <v>46000</v>
      </c>
      <c r="G1067" s="1"/>
      <c r="H1067" t="s">
        <v>43</v>
      </c>
      <c r="I1067">
        <v>2</v>
      </c>
      <c r="J1067">
        <v>15</v>
      </c>
      <c r="K1067">
        <v>612000</v>
      </c>
      <c r="L1067">
        <v>20</v>
      </c>
      <c r="M1067" t="s">
        <v>29</v>
      </c>
      <c r="N1067" t="str">
        <f>_xlfn.XLOOKUP(B1067,tblCustomers[customer_id],tblCustomers[region],"Missing")</f>
        <v>North</v>
      </c>
      <c r="O1067" t="str">
        <f>_xlfn.XLOOKUP(C1067,tblProducts[product_id],tblProducts[product_name],"Missing")</f>
        <v>Security Suite</v>
      </c>
      <c r="P1067" t="str">
        <f>_xlfn.XLOOKUP(C1067,tblProducts[product_id],tblProducts[category],"Missing")</f>
        <v>Security</v>
      </c>
      <c r="Q1067" t="str">
        <f>_xlfn.XLOOKUP(D1067,tblSalesReps[rep_id],tblSalesReps[rep_name],"Missing")</f>
        <v>Sales Rep 10</v>
      </c>
      <c r="R1067" t="str">
        <f>_xlfn.XLOOKUP(D1067,tblSalesReps[rep_id],tblSalesReps[region],"Missing")</f>
        <v>North</v>
      </c>
    </row>
    <row r="1068" spans="1:18">
      <c r="A1068" t="s">
        <v>1556</v>
      </c>
      <c r="B1068" t="s">
        <v>268</v>
      </c>
      <c r="C1068" t="s">
        <v>39</v>
      </c>
      <c r="D1068" t="s">
        <v>27</v>
      </c>
      <c r="E1068" s="1">
        <v>45895</v>
      </c>
      <c r="F1068" s="1">
        <v>45903</v>
      </c>
      <c r="G1068" s="1"/>
      <c r="H1068" t="s">
        <v>43</v>
      </c>
      <c r="I1068">
        <v>1</v>
      </c>
      <c r="J1068">
        <v>5</v>
      </c>
      <c r="K1068">
        <v>171000</v>
      </c>
      <c r="L1068">
        <v>40</v>
      </c>
      <c r="M1068" t="s">
        <v>29</v>
      </c>
      <c r="N1068" t="str">
        <f>_xlfn.XLOOKUP(B1068,tblCustomers[customer_id],tblCustomers[region],"Missing")</f>
        <v>North</v>
      </c>
      <c r="O1068" t="str">
        <f>_xlfn.XLOOKUP(C1068,tblProducts[product_id],tblProducts[product_name],"Missing")</f>
        <v>Support Desk</v>
      </c>
      <c r="P1068" t="str">
        <f>_xlfn.XLOOKUP(C1068,tblProducts[product_id],tblProducts[category],"Missing")</f>
        <v>Service</v>
      </c>
      <c r="Q1068" t="str">
        <f>_xlfn.XLOOKUP(D1068,tblSalesReps[rep_id],tblSalesReps[rep_name],"Missing")</f>
        <v>Sales Rep 06</v>
      </c>
      <c r="R1068" t="str">
        <f>_xlfn.XLOOKUP(D1068,tblSalesReps[rep_id],tblSalesReps[region],"Missing")</f>
        <v>North</v>
      </c>
    </row>
    <row r="1069" spans="1:18">
      <c r="A1069" t="s">
        <v>1557</v>
      </c>
      <c r="B1069" t="s">
        <v>551</v>
      </c>
      <c r="C1069" t="s">
        <v>21</v>
      </c>
      <c r="D1069" t="s">
        <v>152</v>
      </c>
      <c r="E1069" s="1">
        <v>45720</v>
      </c>
      <c r="F1069" s="1">
        <v>45781</v>
      </c>
      <c r="G1069" s="1">
        <v>45781</v>
      </c>
      <c r="H1069" t="s">
        <v>28</v>
      </c>
      <c r="I1069">
        <v>1</v>
      </c>
      <c r="J1069">
        <v>20</v>
      </c>
      <c r="K1069">
        <v>192000</v>
      </c>
      <c r="L1069">
        <v>100</v>
      </c>
      <c r="M1069" t="s">
        <v>29</v>
      </c>
      <c r="N1069" t="str">
        <f>_xlfn.XLOOKUP(B1069,tblCustomers[customer_id],tblCustomers[region],"Missing")</f>
        <v>East</v>
      </c>
      <c r="O1069" t="str">
        <f>_xlfn.XLOOKUP(C1069,tblProducts[product_id],tblProducts[product_name],"Missing")</f>
        <v>Workflow Automate</v>
      </c>
      <c r="P1069" t="str">
        <f>_xlfn.XLOOKUP(C1069,tblProducts[product_id],tblProducts[category],"Missing")</f>
        <v>Automation</v>
      </c>
      <c r="Q1069" t="str">
        <f>_xlfn.XLOOKUP(D1069,tblSalesReps[rep_id],tblSalesReps[rep_name],"Missing")</f>
        <v>Sales Rep 18</v>
      </c>
      <c r="R1069" t="str">
        <f>_xlfn.XLOOKUP(D1069,tblSalesReps[rep_id],tblSalesReps[region],"Missing")</f>
        <v>East</v>
      </c>
    </row>
    <row r="1070" spans="1:18">
      <c r="A1070" t="s">
        <v>1558</v>
      </c>
      <c r="B1070" t="s">
        <v>1559</v>
      </c>
      <c r="C1070" t="s">
        <v>15</v>
      </c>
      <c r="D1070" t="s">
        <v>32</v>
      </c>
      <c r="E1070" s="1">
        <v>45763</v>
      </c>
      <c r="F1070" s="1">
        <v>45813</v>
      </c>
      <c r="G1070" s="1">
        <v>45813</v>
      </c>
      <c r="H1070" t="s">
        <v>17</v>
      </c>
      <c r="I1070">
        <v>3</v>
      </c>
      <c r="J1070">
        <v>15</v>
      </c>
      <c r="K1070">
        <v>1071000</v>
      </c>
      <c r="L1070">
        <v>0</v>
      </c>
      <c r="M1070" t="s">
        <v>82</v>
      </c>
      <c r="N1070" t="str">
        <f>_xlfn.XLOOKUP(B1070,tblCustomers[customer_id],tblCustomers[region],"Missing")</f>
        <v>South</v>
      </c>
      <c r="O1070" t="str">
        <f>_xlfn.XLOOKUP(C1070,tblProducts[product_id],tblProducts[product_name],"Missing")</f>
        <v>CRM Enterprise</v>
      </c>
      <c r="P1070" t="str">
        <f>_xlfn.XLOOKUP(C1070,tblProducts[product_id],tblProducts[category],"Missing")</f>
        <v>CRM</v>
      </c>
      <c r="Q1070" t="str">
        <f>_xlfn.XLOOKUP(D1070,tblSalesReps[rep_id],tblSalesReps[rep_name],"Missing")</f>
        <v>Sales Rep 04</v>
      </c>
      <c r="R1070" t="str">
        <f>_xlfn.XLOOKUP(D1070,tblSalesReps[rep_id],tblSalesReps[region],"Missing")</f>
        <v>South</v>
      </c>
    </row>
    <row r="1071" spans="1:18">
      <c r="A1071" t="s">
        <v>1560</v>
      </c>
      <c r="B1071" t="s">
        <v>1109</v>
      </c>
      <c r="C1071" t="s">
        <v>26</v>
      </c>
      <c r="D1071" t="s">
        <v>53</v>
      </c>
      <c r="E1071" s="1">
        <v>45978</v>
      </c>
      <c r="F1071" s="1">
        <v>46026</v>
      </c>
      <c r="G1071" s="1"/>
      <c r="H1071" t="s">
        <v>43</v>
      </c>
      <c r="I1071">
        <v>2</v>
      </c>
      <c r="J1071">
        <v>0</v>
      </c>
      <c r="K1071">
        <v>720000</v>
      </c>
      <c r="L1071">
        <v>60</v>
      </c>
      <c r="M1071" t="s">
        <v>29</v>
      </c>
      <c r="N1071" t="str">
        <f>_xlfn.XLOOKUP(B1071,tblCustomers[customer_id],tblCustomers[region],"Missing")</f>
        <v>East</v>
      </c>
      <c r="O1071" t="str">
        <f>_xlfn.XLOOKUP(C1071,tblProducts[product_id],tblProducts[product_name],"Missing")</f>
        <v>Security Suite</v>
      </c>
      <c r="P1071" t="str">
        <f>_xlfn.XLOOKUP(C1071,tblProducts[product_id],tblProducts[category],"Missing")</f>
        <v>Security</v>
      </c>
      <c r="Q1071" t="str">
        <f>_xlfn.XLOOKUP(D1071,tblSalesReps[rep_id],tblSalesReps[rep_name],"Missing")</f>
        <v>Sales Rep 16</v>
      </c>
      <c r="R1071" t="str">
        <f>_xlfn.XLOOKUP(D1071,tblSalesReps[rep_id],tblSalesReps[region],"Missing")</f>
        <v>East</v>
      </c>
    </row>
    <row r="1072" spans="1:18">
      <c r="A1072" t="s">
        <v>1561</v>
      </c>
      <c r="B1072" t="s">
        <v>356</v>
      </c>
      <c r="C1072" t="s">
        <v>21</v>
      </c>
      <c r="D1072" t="s">
        <v>27</v>
      </c>
      <c r="E1072" s="1">
        <v>45709</v>
      </c>
      <c r="F1072" s="1">
        <v>45747</v>
      </c>
      <c r="G1072" s="1">
        <v>45747</v>
      </c>
      <c r="H1072" t="s">
        <v>17</v>
      </c>
      <c r="I1072">
        <v>2</v>
      </c>
      <c r="J1072">
        <v>20</v>
      </c>
      <c r="K1072">
        <v>384000</v>
      </c>
      <c r="L1072">
        <v>0</v>
      </c>
      <c r="M1072" t="s">
        <v>47</v>
      </c>
      <c r="N1072" t="str">
        <f>_xlfn.XLOOKUP(B1072,tblCustomers[customer_id],tblCustomers[region],"Missing")</f>
        <v>North</v>
      </c>
      <c r="O1072" t="str">
        <f>_xlfn.XLOOKUP(C1072,tblProducts[product_id],tblProducts[product_name],"Missing")</f>
        <v>Workflow Automate</v>
      </c>
      <c r="P1072" t="str">
        <f>_xlfn.XLOOKUP(C1072,tblProducts[product_id],tblProducts[category],"Missing")</f>
        <v>Automation</v>
      </c>
      <c r="Q1072" t="str">
        <f>_xlfn.XLOOKUP(D1072,tblSalesReps[rep_id],tblSalesReps[rep_name],"Missing")</f>
        <v>Sales Rep 06</v>
      </c>
      <c r="R1072" t="str">
        <f>_xlfn.XLOOKUP(D1072,tblSalesReps[rep_id],tblSalesReps[region],"Missing")</f>
        <v>North</v>
      </c>
    </row>
    <row r="1073" spans="1:18">
      <c r="A1073" t="s">
        <v>1562</v>
      </c>
      <c r="B1073" t="s">
        <v>418</v>
      </c>
      <c r="C1073" t="s">
        <v>26</v>
      </c>
      <c r="D1073" t="s">
        <v>32</v>
      </c>
      <c r="E1073" s="1">
        <v>45867</v>
      </c>
      <c r="F1073" s="1">
        <v>45905</v>
      </c>
      <c r="G1073" s="1">
        <v>45905</v>
      </c>
      <c r="H1073" t="s">
        <v>28</v>
      </c>
      <c r="I1073">
        <v>1</v>
      </c>
      <c r="J1073">
        <v>5</v>
      </c>
      <c r="K1073">
        <v>342000</v>
      </c>
      <c r="L1073">
        <v>100</v>
      </c>
      <c r="M1073" t="s">
        <v>29</v>
      </c>
      <c r="N1073" t="str">
        <f>_xlfn.XLOOKUP(B1073,tblCustomers[customer_id],tblCustomers[region],"Missing")</f>
        <v>South</v>
      </c>
      <c r="O1073" t="str">
        <f>_xlfn.XLOOKUP(C1073,tblProducts[product_id],tblProducts[product_name],"Missing")</f>
        <v>Security Suite</v>
      </c>
      <c r="P1073" t="str">
        <f>_xlfn.XLOOKUP(C1073,tblProducts[product_id],tblProducts[category],"Missing")</f>
        <v>Security</v>
      </c>
      <c r="Q1073" t="str">
        <f>_xlfn.XLOOKUP(D1073,tblSalesReps[rep_id],tblSalesReps[rep_name],"Missing")</f>
        <v>Sales Rep 04</v>
      </c>
      <c r="R1073" t="str">
        <f>_xlfn.XLOOKUP(D1073,tblSalesReps[rep_id],tblSalesReps[region],"Missing")</f>
        <v>South</v>
      </c>
    </row>
    <row r="1074" spans="1:18">
      <c r="A1074" t="s">
        <v>1563</v>
      </c>
      <c r="B1074" t="s">
        <v>683</v>
      </c>
      <c r="C1074" t="s">
        <v>26</v>
      </c>
      <c r="D1074" t="s">
        <v>152</v>
      </c>
      <c r="E1074" s="1">
        <v>45867</v>
      </c>
      <c r="F1074" s="1">
        <v>45879</v>
      </c>
      <c r="G1074" s="1"/>
      <c r="H1074" t="s">
        <v>43</v>
      </c>
      <c r="I1074">
        <v>1</v>
      </c>
      <c r="J1074">
        <v>0</v>
      </c>
      <c r="K1074">
        <v>360000</v>
      </c>
      <c r="L1074">
        <v>20</v>
      </c>
      <c r="M1074" t="s">
        <v>29</v>
      </c>
      <c r="N1074" t="str">
        <f>_xlfn.XLOOKUP(B1074,tblCustomers[customer_id],tblCustomers[region],"Missing")</f>
        <v>East</v>
      </c>
      <c r="O1074" t="str">
        <f>_xlfn.XLOOKUP(C1074,tblProducts[product_id],tblProducts[product_name],"Missing")</f>
        <v>Security Suite</v>
      </c>
      <c r="P1074" t="str">
        <f>_xlfn.XLOOKUP(C1074,tblProducts[product_id],tblProducts[category],"Missing")</f>
        <v>Security</v>
      </c>
      <c r="Q1074" t="str">
        <f>_xlfn.XLOOKUP(D1074,tblSalesReps[rep_id],tblSalesReps[rep_name],"Missing")</f>
        <v>Sales Rep 18</v>
      </c>
      <c r="R1074" t="str">
        <f>_xlfn.XLOOKUP(D1074,tblSalesReps[rep_id],tblSalesReps[region],"Missing")</f>
        <v>East</v>
      </c>
    </row>
    <row r="1075" spans="1:18">
      <c r="A1075" t="s">
        <v>1564</v>
      </c>
      <c r="B1075" t="s">
        <v>80</v>
      </c>
      <c r="C1075" t="s">
        <v>81</v>
      </c>
      <c r="D1075" t="s">
        <v>32</v>
      </c>
      <c r="E1075" s="1">
        <v>45764</v>
      </c>
      <c r="F1075" s="1">
        <v>45836</v>
      </c>
      <c r="G1075" s="1">
        <v>45836</v>
      </c>
      <c r="H1075" t="s">
        <v>17</v>
      </c>
      <c r="I1075">
        <v>1</v>
      </c>
      <c r="J1075">
        <v>10</v>
      </c>
      <c r="K1075">
        <v>270000</v>
      </c>
      <c r="L1075">
        <v>0</v>
      </c>
      <c r="M1075" t="s">
        <v>18</v>
      </c>
      <c r="N1075" t="str">
        <f>_xlfn.XLOOKUP(B1075,tblCustomers[customer_id],tblCustomers[region],"Missing")</f>
        <v>South</v>
      </c>
      <c r="O1075" t="str">
        <f>_xlfn.XLOOKUP(C1075,tblProducts[product_id],tblProducts[product_name],"Missing")</f>
        <v>Analytics Cloud</v>
      </c>
      <c r="P1075" t="str">
        <f>_xlfn.XLOOKUP(C1075,tblProducts[product_id],tblProducts[category],"Missing")</f>
        <v>Analytics</v>
      </c>
      <c r="Q1075" t="str">
        <f>_xlfn.XLOOKUP(D1075,tblSalesReps[rep_id],tblSalesReps[rep_name],"Missing")</f>
        <v>Sales Rep 04</v>
      </c>
      <c r="R1075" t="str">
        <f>_xlfn.XLOOKUP(D1075,tblSalesReps[rep_id],tblSalesReps[region],"Missing")</f>
        <v>South</v>
      </c>
    </row>
    <row r="1076" spans="1:18">
      <c r="A1076" t="s">
        <v>1565</v>
      </c>
      <c r="B1076" t="s">
        <v>567</v>
      </c>
      <c r="C1076" t="s">
        <v>26</v>
      </c>
      <c r="D1076" t="s">
        <v>50</v>
      </c>
      <c r="E1076" s="1">
        <v>45978</v>
      </c>
      <c r="F1076" s="1">
        <v>45985</v>
      </c>
      <c r="G1076" s="1"/>
      <c r="H1076" t="s">
        <v>43</v>
      </c>
      <c r="I1076">
        <v>3</v>
      </c>
      <c r="J1076">
        <v>5</v>
      </c>
      <c r="K1076">
        <v>1026000</v>
      </c>
      <c r="L1076">
        <v>40</v>
      </c>
      <c r="M1076" t="s">
        <v>29</v>
      </c>
      <c r="N1076" t="str">
        <f>_xlfn.XLOOKUP(B1076,tblCustomers[customer_id],tblCustomers[region],"Missing")</f>
        <v>West</v>
      </c>
      <c r="O1076" t="str">
        <f>_xlfn.XLOOKUP(C1076,tblProducts[product_id],tblProducts[product_name],"Missing")</f>
        <v>Security Suite</v>
      </c>
      <c r="P1076" t="str">
        <f>_xlfn.XLOOKUP(C1076,tblProducts[product_id],tblProducts[category],"Missing")</f>
        <v>Security</v>
      </c>
      <c r="Q1076" t="str">
        <f>_xlfn.XLOOKUP(D1076,tblSalesReps[rep_id],tblSalesReps[rep_name],"Missing")</f>
        <v>Sales Rep 15</v>
      </c>
      <c r="R1076" t="str">
        <f>_xlfn.XLOOKUP(D1076,tblSalesReps[rep_id],tblSalesReps[region],"Missing")</f>
        <v>West</v>
      </c>
    </row>
    <row r="1077" spans="1:18">
      <c r="A1077" t="s">
        <v>1566</v>
      </c>
      <c r="B1077" t="s">
        <v>520</v>
      </c>
      <c r="C1077" t="s">
        <v>81</v>
      </c>
      <c r="D1077" t="s">
        <v>152</v>
      </c>
      <c r="E1077" s="1">
        <v>45758</v>
      </c>
      <c r="F1077" s="1">
        <v>45819</v>
      </c>
      <c r="G1077" s="1">
        <v>45819</v>
      </c>
      <c r="H1077" t="s">
        <v>28</v>
      </c>
      <c r="I1077">
        <v>3</v>
      </c>
      <c r="J1077">
        <v>20</v>
      </c>
      <c r="K1077">
        <v>720000</v>
      </c>
      <c r="L1077">
        <v>100</v>
      </c>
      <c r="M1077" t="s">
        <v>29</v>
      </c>
      <c r="N1077" t="str">
        <f>_xlfn.XLOOKUP(B1077,tblCustomers[customer_id],tblCustomers[region],"Missing")</f>
        <v>East</v>
      </c>
      <c r="O1077" t="str">
        <f>_xlfn.XLOOKUP(C1077,tblProducts[product_id],tblProducts[product_name],"Missing")</f>
        <v>Analytics Cloud</v>
      </c>
      <c r="P1077" t="str">
        <f>_xlfn.XLOOKUP(C1077,tblProducts[product_id],tblProducts[category],"Missing")</f>
        <v>Analytics</v>
      </c>
      <c r="Q1077" t="str">
        <f>_xlfn.XLOOKUP(D1077,tblSalesReps[rep_id],tblSalesReps[rep_name],"Missing")</f>
        <v>Sales Rep 18</v>
      </c>
      <c r="R1077" t="str">
        <f>_xlfn.XLOOKUP(D1077,tblSalesReps[rep_id],tblSalesReps[region],"Missing")</f>
        <v>East</v>
      </c>
    </row>
    <row r="1078" spans="1:18">
      <c r="A1078" t="s">
        <v>1567</v>
      </c>
      <c r="B1078" t="s">
        <v>1568</v>
      </c>
      <c r="C1078" t="s">
        <v>15</v>
      </c>
      <c r="D1078" t="s">
        <v>119</v>
      </c>
      <c r="E1078" s="1">
        <v>45915</v>
      </c>
      <c r="F1078" s="1">
        <v>45930</v>
      </c>
      <c r="G1078" s="1"/>
      <c r="H1078" t="s">
        <v>43</v>
      </c>
      <c r="I1078">
        <v>3</v>
      </c>
      <c r="J1078">
        <v>15</v>
      </c>
      <c r="K1078">
        <v>1071000</v>
      </c>
      <c r="L1078">
        <v>40</v>
      </c>
      <c r="M1078" t="s">
        <v>29</v>
      </c>
      <c r="N1078" t="str">
        <f>_xlfn.XLOOKUP(B1078,tblCustomers[customer_id],tblCustomers[region],"Missing")</f>
        <v>North</v>
      </c>
      <c r="O1078" t="str">
        <f>_xlfn.XLOOKUP(C1078,tblProducts[product_id],tblProducts[product_name],"Missing")</f>
        <v>CRM Enterprise</v>
      </c>
      <c r="P1078" t="str">
        <f>_xlfn.XLOOKUP(C1078,tblProducts[product_id],tblProducts[category],"Missing")</f>
        <v>CRM</v>
      </c>
      <c r="Q1078" t="str">
        <f>_xlfn.XLOOKUP(D1078,tblSalesReps[rep_id],tblSalesReps[rep_name],"Missing")</f>
        <v>Sales Rep 10</v>
      </c>
      <c r="R1078" t="str">
        <f>_xlfn.XLOOKUP(D1078,tblSalesReps[rep_id],tblSalesReps[region],"Missing")</f>
        <v>North</v>
      </c>
    </row>
    <row r="1079" spans="1:18">
      <c r="A1079" t="s">
        <v>1569</v>
      </c>
      <c r="B1079" t="s">
        <v>154</v>
      </c>
      <c r="C1079" t="s">
        <v>39</v>
      </c>
      <c r="D1079" t="s">
        <v>46</v>
      </c>
      <c r="E1079" s="1">
        <v>45976</v>
      </c>
      <c r="F1079" s="1">
        <v>46027</v>
      </c>
      <c r="G1079" s="1"/>
      <c r="H1079" t="s">
        <v>43</v>
      </c>
      <c r="I1079">
        <v>1</v>
      </c>
      <c r="J1079">
        <v>20</v>
      </c>
      <c r="K1079">
        <v>144000</v>
      </c>
      <c r="L1079">
        <v>80</v>
      </c>
      <c r="M1079" t="s">
        <v>29</v>
      </c>
      <c r="N1079" t="str">
        <f>_xlfn.XLOOKUP(B1079,tblCustomers[customer_id],tblCustomers[region],"Missing")</f>
        <v>South</v>
      </c>
      <c r="O1079" t="str">
        <f>_xlfn.XLOOKUP(C1079,tblProducts[product_id],tblProducts[product_name],"Missing")</f>
        <v>Support Desk</v>
      </c>
      <c r="P1079" t="str">
        <f>_xlfn.XLOOKUP(C1079,tblProducts[product_id],tblProducts[category],"Missing")</f>
        <v>Service</v>
      </c>
      <c r="Q1079" t="str">
        <f>_xlfn.XLOOKUP(D1079,tblSalesReps[rep_id],tblSalesReps[rep_name],"Missing")</f>
        <v>Sales Rep 01</v>
      </c>
      <c r="R1079" t="str">
        <f>_xlfn.XLOOKUP(D1079,tblSalesReps[rep_id],tblSalesReps[region],"Missing")</f>
        <v>South</v>
      </c>
    </row>
    <row r="1080" spans="1:18">
      <c r="A1080" t="s">
        <v>1570</v>
      </c>
      <c r="B1080" t="s">
        <v>1571</v>
      </c>
      <c r="C1080" t="s">
        <v>15</v>
      </c>
      <c r="D1080" t="s">
        <v>27</v>
      </c>
      <c r="E1080" s="1">
        <v>45792</v>
      </c>
      <c r="F1080" s="1">
        <v>45820</v>
      </c>
      <c r="G1080" s="1">
        <v>45820</v>
      </c>
      <c r="H1080" t="s">
        <v>28</v>
      </c>
      <c r="I1080">
        <v>1</v>
      </c>
      <c r="J1080">
        <v>0</v>
      </c>
      <c r="K1080">
        <v>420000</v>
      </c>
      <c r="L1080">
        <v>100</v>
      </c>
      <c r="M1080" t="s">
        <v>29</v>
      </c>
      <c r="N1080" t="str">
        <f>_xlfn.XLOOKUP(B1080,tblCustomers[customer_id],tblCustomers[region],"Missing")</f>
        <v>North</v>
      </c>
      <c r="O1080" t="str">
        <f>_xlfn.XLOOKUP(C1080,tblProducts[product_id],tblProducts[product_name],"Missing")</f>
        <v>CRM Enterprise</v>
      </c>
      <c r="P1080" t="str">
        <f>_xlfn.XLOOKUP(C1080,tblProducts[product_id],tblProducts[category],"Missing")</f>
        <v>CRM</v>
      </c>
      <c r="Q1080" t="str">
        <f>_xlfn.XLOOKUP(D1080,tblSalesReps[rep_id],tblSalesReps[rep_name],"Missing")</f>
        <v>Sales Rep 06</v>
      </c>
      <c r="R1080" t="str">
        <f>_xlfn.XLOOKUP(D1080,tblSalesReps[rep_id],tblSalesReps[region],"Missing")</f>
        <v>North</v>
      </c>
    </row>
    <row r="1081" spans="1:18">
      <c r="A1081" t="s">
        <v>1572</v>
      </c>
      <c r="B1081" t="s">
        <v>304</v>
      </c>
      <c r="C1081" t="s">
        <v>26</v>
      </c>
      <c r="D1081" t="s">
        <v>16</v>
      </c>
      <c r="E1081" s="1">
        <v>45709</v>
      </c>
      <c r="F1081" s="1">
        <v>45736</v>
      </c>
      <c r="G1081" s="1">
        <v>45736</v>
      </c>
      <c r="H1081" t="s">
        <v>17</v>
      </c>
      <c r="I1081">
        <v>1</v>
      </c>
      <c r="J1081">
        <v>10</v>
      </c>
      <c r="K1081">
        <v>324000</v>
      </c>
      <c r="L1081">
        <v>0</v>
      </c>
      <c r="M1081" t="s">
        <v>33</v>
      </c>
      <c r="N1081" t="str">
        <f>_xlfn.XLOOKUP(B1081,tblCustomers[customer_id],tblCustomers[region],"Missing")</f>
        <v>North</v>
      </c>
      <c r="O1081" t="str">
        <f>_xlfn.XLOOKUP(C1081,tblProducts[product_id],tblProducts[product_name],"Missing")</f>
        <v>Security Suite</v>
      </c>
      <c r="P1081" t="str">
        <f>_xlfn.XLOOKUP(C1081,tblProducts[product_id],tblProducts[category],"Missing")</f>
        <v>Security</v>
      </c>
      <c r="Q1081" t="str">
        <f>_xlfn.XLOOKUP(D1081,tblSalesReps[rep_id],tblSalesReps[rep_name],"Missing")</f>
        <v>Sales Rep 08</v>
      </c>
      <c r="R1081" t="str">
        <f>_xlfn.XLOOKUP(D1081,tblSalesReps[rep_id],tblSalesReps[region],"Missing")</f>
        <v>North</v>
      </c>
    </row>
    <row r="1082" spans="1:18">
      <c r="A1082" t="s">
        <v>1573</v>
      </c>
      <c r="B1082" t="s">
        <v>1211</v>
      </c>
      <c r="C1082" t="s">
        <v>26</v>
      </c>
      <c r="D1082" t="s">
        <v>78</v>
      </c>
      <c r="E1082" s="1">
        <v>45731</v>
      </c>
      <c r="F1082" s="1">
        <v>45807</v>
      </c>
      <c r="G1082" s="1"/>
      <c r="H1082" t="s">
        <v>43</v>
      </c>
      <c r="I1082">
        <v>2</v>
      </c>
      <c r="J1082">
        <v>0</v>
      </c>
      <c r="K1082">
        <v>720000</v>
      </c>
      <c r="L1082">
        <v>80</v>
      </c>
      <c r="M1082" t="s">
        <v>29</v>
      </c>
      <c r="N1082" t="str">
        <f>_xlfn.XLOOKUP(B1082,tblCustomers[customer_id],tblCustomers[region],"Missing")</f>
        <v>West</v>
      </c>
      <c r="O1082" t="str">
        <f>_xlfn.XLOOKUP(C1082,tblProducts[product_id],tblProducts[product_name],"Missing")</f>
        <v>Security Suite</v>
      </c>
      <c r="P1082" t="str">
        <f>_xlfn.XLOOKUP(C1082,tblProducts[product_id],tblProducts[category],"Missing")</f>
        <v>Security</v>
      </c>
      <c r="Q1082" t="str">
        <f>_xlfn.XLOOKUP(D1082,tblSalesReps[rep_id],tblSalesReps[rep_name],"Missing")</f>
        <v>Sales Rep 12</v>
      </c>
      <c r="R1082" t="str">
        <f>_xlfn.XLOOKUP(D1082,tblSalesReps[rep_id],tblSalesReps[region],"Missing")</f>
        <v>West</v>
      </c>
    </row>
    <row r="1083" spans="1:18">
      <c r="A1083" t="s">
        <v>1574</v>
      </c>
      <c r="B1083" t="s">
        <v>561</v>
      </c>
      <c r="C1083" t="s">
        <v>21</v>
      </c>
      <c r="D1083" t="s">
        <v>126</v>
      </c>
      <c r="E1083" s="1">
        <v>45752</v>
      </c>
      <c r="F1083" s="1">
        <v>45792</v>
      </c>
      <c r="G1083" s="1">
        <v>45792</v>
      </c>
      <c r="H1083" t="s">
        <v>28</v>
      </c>
      <c r="I1083">
        <v>1</v>
      </c>
      <c r="J1083">
        <v>5</v>
      </c>
      <c r="K1083">
        <v>228000</v>
      </c>
      <c r="L1083">
        <v>100</v>
      </c>
      <c r="M1083" t="s">
        <v>29</v>
      </c>
      <c r="N1083" t="str">
        <f>_xlfn.XLOOKUP(B1083,tblCustomers[customer_id],tblCustomers[region],"Missing")</f>
        <v>South</v>
      </c>
      <c r="O1083" t="str">
        <f>_xlfn.XLOOKUP(C1083,tblProducts[product_id],tblProducts[product_name],"Missing")</f>
        <v>Workflow Automate</v>
      </c>
      <c r="P1083" t="str">
        <f>_xlfn.XLOOKUP(C1083,tblProducts[product_id],tblProducts[category],"Missing")</f>
        <v>Automation</v>
      </c>
      <c r="Q1083" t="str">
        <f>_xlfn.XLOOKUP(D1083,tblSalesReps[rep_id],tblSalesReps[rep_name],"Missing")</f>
        <v>Sales Rep 02</v>
      </c>
      <c r="R1083" t="str">
        <f>_xlfn.XLOOKUP(D1083,tblSalesReps[rep_id],tblSalesReps[region],"Missing")</f>
        <v>South</v>
      </c>
    </row>
    <row r="1084" spans="1:18">
      <c r="A1084" t="s">
        <v>1575</v>
      </c>
      <c r="B1084" t="s">
        <v>1568</v>
      </c>
      <c r="C1084" t="s">
        <v>81</v>
      </c>
      <c r="D1084" t="s">
        <v>119</v>
      </c>
      <c r="E1084" s="1">
        <v>45878</v>
      </c>
      <c r="F1084" s="1">
        <v>45933</v>
      </c>
      <c r="G1084" s="1">
        <v>45933</v>
      </c>
      <c r="H1084" t="s">
        <v>28</v>
      </c>
      <c r="I1084">
        <v>1</v>
      </c>
      <c r="J1084">
        <v>0</v>
      </c>
      <c r="K1084">
        <v>300000</v>
      </c>
      <c r="L1084">
        <v>100</v>
      </c>
      <c r="M1084" t="s">
        <v>29</v>
      </c>
      <c r="N1084" t="str">
        <f>_xlfn.XLOOKUP(B1084,tblCustomers[customer_id],tblCustomers[region],"Missing")</f>
        <v>North</v>
      </c>
      <c r="O1084" t="str">
        <f>_xlfn.XLOOKUP(C1084,tblProducts[product_id],tblProducts[product_name],"Missing")</f>
        <v>Analytics Cloud</v>
      </c>
      <c r="P1084" t="str">
        <f>_xlfn.XLOOKUP(C1084,tblProducts[product_id],tblProducts[category],"Missing")</f>
        <v>Analytics</v>
      </c>
      <c r="Q1084" t="str">
        <f>_xlfn.XLOOKUP(D1084,tblSalesReps[rep_id],tblSalesReps[rep_name],"Missing")</f>
        <v>Sales Rep 10</v>
      </c>
      <c r="R1084" t="str">
        <f>_xlfn.XLOOKUP(D1084,tblSalesReps[rep_id],tblSalesReps[region],"Missing")</f>
        <v>North</v>
      </c>
    </row>
    <row r="1085" spans="1:18">
      <c r="A1085" t="s">
        <v>1576</v>
      </c>
      <c r="B1085" t="s">
        <v>67</v>
      </c>
      <c r="C1085" t="s">
        <v>15</v>
      </c>
      <c r="D1085" t="s">
        <v>46</v>
      </c>
      <c r="E1085" s="1">
        <v>45674</v>
      </c>
      <c r="F1085" s="1">
        <v>45711</v>
      </c>
      <c r="G1085" s="1">
        <v>45711</v>
      </c>
      <c r="H1085" t="s">
        <v>17</v>
      </c>
      <c r="I1085">
        <v>2</v>
      </c>
      <c r="J1085">
        <v>15</v>
      </c>
      <c r="K1085">
        <v>714000</v>
      </c>
      <c r="L1085">
        <v>0</v>
      </c>
      <c r="M1085" t="s">
        <v>23</v>
      </c>
      <c r="N1085" t="str">
        <f>_xlfn.XLOOKUP(B1085,tblCustomers[customer_id],tblCustomers[region],"Missing")</f>
        <v>South</v>
      </c>
      <c r="O1085" t="str">
        <f>_xlfn.XLOOKUP(C1085,tblProducts[product_id],tblProducts[product_name],"Missing")</f>
        <v>CRM Enterprise</v>
      </c>
      <c r="P1085" t="str">
        <f>_xlfn.XLOOKUP(C1085,tblProducts[product_id],tblProducts[category],"Missing")</f>
        <v>CRM</v>
      </c>
      <c r="Q1085" t="str">
        <f>_xlfn.XLOOKUP(D1085,tblSalesReps[rep_id],tblSalesReps[rep_name],"Missing")</f>
        <v>Sales Rep 01</v>
      </c>
      <c r="R1085" t="str">
        <f>_xlfn.XLOOKUP(D1085,tblSalesReps[rep_id],tblSalesReps[region],"Missing")</f>
        <v>South</v>
      </c>
    </row>
    <row r="1086" spans="1:18">
      <c r="A1086" t="s">
        <v>1577</v>
      </c>
      <c r="B1086" t="s">
        <v>861</v>
      </c>
      <c r="C1086" t="s">
        <v>81</v>
      </c>
      <c r="D1086" t="s">
        <v>126</v>
      </c>
      <c r="E1086" s="1">
        <v>45727</v>
      </c>
      <c r="F1086" s="1">
        <v>45806</v>
      </c>
      <c r="G1086" s="1">
        <v>45806</v>
      </c>
      <c r="H1086" t="s">
        <v>28</v>
      </c>
      <c r="I1086">
        <v>1</v>
      </c>
      <c r="J1086">
        <v>0</v>
      </c>
      <c r="K1086">
        <v>300000</v>
      </c>
      <c r="L1086">
        <v>100</v>
      </c>
      <c r="M1086" t="s">
        <v>29</v>
      </c>
      <c r="N1086" t="str">
        <f>_xlfn.XLOOKUP(B1086,tblCustomers[customer_id],tblCustomers[region],"Missing")</f>
        <v>South</v>
      </c>
      <c r="O1086" t="str">
        <f>_xlfn.XLOOKUP(C1086,tblProducts[product_id],tblProducts[product_name],"Missing")</f>
        <v>Analytics Cloud</v>
      </c>
      <c r="P1086" t="str">
        <f>_xlfn.XLOOKUP(C1086,tblProducts[product_id],tblProducts[category],"Missing")</f>
        <v>Analytics</v>
      </c>
      <c r="Q1086" t="str">
        <f>_xlfn.XLOOKUP(D1086,tblSalesReps[rep_id],tblSalesReps[rep_name],"Missing")</f>
        <v>Sales Rep 02</v>
      </c>
      <c r="R1086" t="str">
        <f>_xlfn.XLOOKUP(D1086,tblSalesReps[rep_id],tblSalesReps[region],"Missing")</f>
        <v>South</v>
      </c>
    </row>
    <row r="1087" spans="1:18">
      <c r="A1087" t="s">
        <v>1578</v>
      </c>
      <c r="B1087" t="s">
        <v>836</v>
      </c>
      <c r="C1087" t="s">
        <v>62</v>
      </c>
      <c r="D1087" t="s">
        <v>126</v>
      </c>
      <c r="E1087" s="1">
        <v>45934</v>
      </c>
      <c r="F1087" s="1">
        <v>46013</v>
      </c>
      <c r="G1087" s="1"/>
      <c r="H1087" t="s">
        <v>43</v>
      </c>
      <c r="I1087">
        <v>1</v>
      </c>
      <c r="J1087">
        <v>20</v>
      </c>
      <c r="K1087">
        <v>96000</v>
      </c>
      <c r="L1087">
        <v>80</v>
      </c>
      <c r="M1087" t="s">
        <v>29</v>
      </c>
      <c r="N1087" t="str">
        <f>_xlfn.XLOOKUP(B1087,tblCustomers[customer_id],tblCustomers[region],"Missing")</f>
        <v>South</v>
      </c>
      <c r="O1087" t="str">
        <f>_xlfn.XLOOKUP(C1087,tblProducts[product_id],tblProducts[product_name],"Missing")</f>
        <v>CRM Essentials</v>
      </c>
      <c r="P1087" t="str">
        <f>_xlfn.XLOOKUP(C1087,tblProducts[product_id],tblProducts[category],"Missing")</f>
        <v>CRM</v>
      </c>
      <c r="Q1087" t="str">
        <f>_xlfn.XLOOKUP(D1087,tblSalesReps[rep_id],tblSalesReps[rep_name],"Missing")</f>
        <v>Sales Rep 02</v>
      </c>
      <c r="R1087" t="str">
        <f>_xlfn.XLOOKUP(D1087,tblSalesReps[rep_id],tblSalesReps[region],"Missing")</f>
        <v>South</v>
      </c>
    </row>
    <row r="1088" spans="1:18">
      <c r="A1088" t="s">
        <v>1579</v>
      </c>
      <c r="B1088" t="s">
        <v>88</v>
      </c>
      <c r="C1088" t="s">
        <v>21</v>
      </c>
      <c r="D1088" t="s">
        <v>40</v>
      </c>
      <c r="E1088" s="1">
        <v>46021</v>
      </c>
      <c r="F1088" s="1">
        <v>46080</v>
      </c>
      <c r="G1088" s="1"/>
      <c r="H1088" t="s">
        <v>43</v>
      </c>
      <c r="I1088">
        <v>1</v>
      </c>
      <c r="J1088">
        <v>15</v>
      </c>
      <c r="K1088">
        <v>204000</v>
      </c>
      <c r="L1088">
        <v>20</v>
      </c>
      <c r="M1088" t="s">
        <v>29</v>
      </c>
      <c r="N1088" t="str">
        <f>_xlfn.XLOOKUP(B1088,tblCustomers[customer_id],tblCustomers[region],"Missing")</f>
        <v>West</v>
      </c>
      <c r="O1088" t="str">
        <f>_xlfn.XLOOKUP(C1088,tblProducts[product_id],tblProducts[product_name],"Missing")</f>
        <v>Workflow Automate</v>
      </c>
      <c r="P1088" t="str">
        <f>_xlfn.XLOOKUP(C1088,tblProducts[product_id],tblProducts[category],"Missing")</f>
        <v>Automation</v>
      </c>
      <c r="Q1088" t="str">
        <f>_xlfn.XLOOKUP(D1088,tblSalesReps[rep_id],tblSalesReps[rep_name],"Missing")</f>
        <v>Sales Rep 13</v>
      </c>
      <c r="R1088" t="str">
        <f>_xlfn.XLOOKUP(D1088,tblSalesReps[rep_id],tblSalesReps[region],"Missing")</f>
        <v>West</v>
      </c>
    </row>
    <row r="1089" spans="1:18">
      <c r="A1089" t="s">
        <v>1580</v>
      </c>
      <c r="B1089" t="s">
        <v>145</v>
      </c>
      <c r="C1089" t="s">
        <v>15</v>
      </c>
      <c r="D1089" t="s">
        <v>40</v>
      </c>
      <c r="E1089" s="1">
        <v>45808</v>
      </c>
      <c r="F1089" s="1">
        <v>45831</v>
      </c>
      <c r="G1089" s="1"/>
      <c r="H1089" t="s">
        <v>43</v>
      </c>
      <c r="I1089">
        <v>1</v>
      </c>
      <c r="J1089">
        <v>10</v>
      </c>
      <c r="K1089">
        <v>378000</v>
      </c>
      <c r="L1089">
        <v>40</v>
      </c>
      <c r="M1089" t="s">
        <v>29</v>
      </c>
      <c r="N1089" t="str">
        <f>_xlfn.XLOOKUP(B1089,tblCustomers[customer_id],tblCustomers[region],"Missing")</f>
        <v>West</v>
      </c>
      <c r="O1089" t="str">
        <f>_xlfn.XLOOKUP(C1089,tblProducts[product_id],tblProducts[product_name],"Missing")</f>
        <v>CRM Enterprise</v>
      </c>
      <c r="P1089" t="str">
        <f>_xlfn.XLOOKUP(C1089,tblProducts[product_id],tblProducts[category],"Missing")</f>
        <v>CRM</v>
      </c>
      <c r="Q1089" t="str">
        <f>_xlfn.XLOOKUP(D1089,tblSalesReps[rep_id],tblSalesReps[rep_name],"Missing")</f>
        <v>Sales Rep 13</v>
      </c>
      <c r="R1089" t="str">
        <f>_xlfn.XLOOKUP(D1089,tblSalesReps[rep_id],tblSalesReps[region],"Missing")</f>
        <v>West</v>
      </c>
    </row>
    <row r="1090" spans="1:18">
      <c r="A1090" t="s">
        <v>1581</v>
      </c>
      <c r="B1090" t="s">
        <v>1255</v>
      </c>
      <c r="C1090" t="s">
        <v>39</v>
      </c>
      <c r="D1090" t="s">
        <v>91</v>
      </c>
      <c r="E1090" s="1">
        <v>45700</v>
      </c>
      <c r="F1090" s="1">
        <v>45709</v>
      </c>
      <c r="G1090" s="1">
        <v>45709</v>
      </c>
      <c r="H1090" t="s">
        <v>28</v>
      </c>
      <c r="I1090">
        <v>3</v>
      </c>
      <c r="J1090">
        <v>10</v>
      </c>
      <c r="K1090">
        <v>486000</v>
      </c>
      <c r="L1090">
        <v>100</v>
      </c>
      <c r="M1090" t="s">
        <v>29</v>
      </c>
      <c r="N1090" t="str">
        <f>_xlfn.XLOOKUP(B1090,tblCustomers[customer_id],tblCustomers[region],"Missing")</f>
        <v>South</v>
      </c>
      <c r="O1090" t="str">
        <f>_xlfn.XLOOKUP(C1090,tblProducts[product_id],tblProducts[product_name],"Missing")</f>
        <v>Support Desk</v>
      </c>
      <c r="P1090" t="str">
        <f>_xlfn.XLOOKUP(C1090,tblProducts[product_id],tblProducts[category],"Missing")</f>
        <v>Service</v>
      </c>
      <c r="Q1090" t="str">
        <f>_xlfn.XLOOKUP(D1090,tblSalesReps[rep_id],tblSalesReps[rep_name],"Missing")</f>
        <v>Sales Rep 03</v>
      </c>
      <c r="R1090" t="str">
        <f>_xlfn.XLOOKUP(D1090,tblSalesReps[rep_id],tblSalesReps[region],"Missing")</f>
        <v>South</v>
      </c>
    </row>
    <row r="1091" spans="1:18">
      <c r="A1091" t="s">
        <v>1582</v>
      </c>
      <c r="B1091" t="s">
        <v>312</v>
      </c>
      <c r="C1091" t="s">
        <v>62</v>
      </c>
      <c r="D1091" t="s">
        <v>22</v>
      </c>
      <c r="E1091" s="1">
        <v>45966</v>
      </c>
      <c r="F1091" s="1">
        <v>46044</v>
      </c>
      <c r="G1091" s="1"/>
      <c r="H1091" t="s">
        <v>43</v>
      </c>
      <c r="I1091">
        <v>1</v>
      </c>
      <c r="J1091">
        <v>5</v>
      </c>
      <c r="K1091">
        <v>114000</v>
      </c>
      <c r="L1091">
        <v>60</v>
      </c>
      <c r="M1091" t="s">
        <v>29</v>
      </c>
      <c r="N1091" t="str">
        <f>_xlfn.XLOOKUP(B1091,tblCustomers[customer_id],tblCustomers[region],"Missing")</f>
        <v>West</v>
      </c>
      <c r="O1091" t="str">
        <f>_xlfn.XLOOKUP(C1091,tblProducts[product_id],tblProducts[product_name],"Missing")</f>
        <v>CRM Essentials</v>
      </c>
      <c r="P1091" t="str">
        <f>_xlfn.XLOOKUP(C1091,tblProducts[product_id],tblProducts[category],"Missing")</f>
        <v>CRM</v>
      </c>
      <c r="Q1091" t="str">
        <f>_xlfn.XLOOKUP(D1091,tblSalesReps[rep_id],tblSalesReps[rep_name],"Missing")</f>
        <v>Sales Rep 14</v>
      </c>
      <c r="R1091" t="str">
        <f>_xlfn.XLOOKUP(D1091,tblSalesReps[rep_id],tblSalesReps[region],"Missing")</f>
        <v>West</v>
      </c>
    </row>
    <row r="1092" spans="1:18">
      <c r="A1092" t="s">
        <v>1583</v>
      </c>
      <c r="B1092" t="s">
        <v>1092</v>
      </c>
      <c r="C1092" t="s">
        <v>62</v>
      </c>
      <c r="D1092" t="s">
        <v>152</v>
      </c>
      <c r="E1092" s="1">
        <v>45932</v>
      </c>
      <c r="F1092" s="1">
        <v>45950</v>
      </c>
      <c r="G1092" s="1">
        <v>45950</v>
      </c>
      <c r="H1092" t="s">
        <v>17</v>
      </c>
      <c r="I1092">
        <v>1</v>
      </c>
      <c r="J1092">
        <v>15</v>
      </c>
      <c r="K1092">
        <v>102000</v>
      </c>
      <c r="L1092">
        <v>0</v>
      </c>
      <c r="M1092" t="s">
        <v>18</v>
      </c>
      <c r="N1092" t="str">
        <f>_xlfn.XLOOKUP(B1092,tblCustomers[customer_id],tblCustomers[region],"Missing")</f>
        <v>East</v>
      </c>
      <c r="O1092" t="str">
        <f>_xlfn.XLOOKUP(C1092,tblProducts[product_id],tblProducts[product_name],"Missing")</f>
        <v>CRM Essentials</v>
      </c>
      <c r="P1092" t="str">
        <f>_xlfn.XLOOKUP(C1092,tblProducts[product_id],tblProducts[category],"Missing")</f>
        <v>CRM</v>
      </c>
      <c r="Q1092" t="str">
        <f>_xlfn.XLOOKUP(D1092,tblSalesReps[rep_id],tblSalesReps[rep_name],"Missing")</f>
        <v>Sales Rep 18</v>
      </c>
      <c r="R1092" t="str">
        <f>_xlfn.XLOOKUP(D1092,tblSalesReps[rep_id],tblSalesReps[region],"Missing")</f>
        <v>East</v>
      </c>
    </row>
    <row r="1093" spans="1:18">
      <c r="A1093" t="s">
        <v>1584</v>
      </c>
      <c r="B1093" t="s">
        <v>110</v>
      </c>
      <c r="C1093" t="s">
        <v>21</v>
      </c>
      <c r="D1093" t="s">
        <v>36</v>
      </c>
      <c r="E1093" s="1">
        <v>45790</v>
      </c>
      <c r="F1093" s="1">
        <v>45826</v>
      </c>
      <c r="G1093" s="1">
        <v>45826</v>
      </c>
      <c r="H1093" t="s">
        <v>28</v>
      </c>
      <c r="I1093">
        <v>2</v>
      </c>
      <c r="J1093">
        <v>20</v>
      </c>
      <c r="K1093">
        <v>384000</v>
      </c>
      <c r="L1093">
        <v>100</v>
      </c>
      <c r="M1093" t="s">
        <v>29</v>
      </c>
      <c r="N1093" t="str">
        <f>_xlfn.XLOOKUP(B1093,tblCustomers[customer_id],tblCustomers[region],"Missing")</f>
        <v>North</v>
      </c>
      <c r="O1093" t="str">
        <f>_xlfn.XLOOKUP(C1093,tblProducts[product_id],tblProducts[product_name],"Missing")</f>
        <v>Workflow Automate</v>
      </c>
      <c r="P1093" t="str">
        <f>_xlfn.XLOOKUP(C1093,tblProducts[product_id],tblProducts[category],"Missing")</f>
        <v>Automation</v>
      </c>
      <c r="Q1093" t="str">
        <f>_xlfn.XLOOKUP(D1093,tblSalesReps[rep_id],tblSalesReps[rep_name],"Missing")</f>
        <v>Sales Rep 09</v>
      </c>
      <c r="R1093" t="str">
        <f>_xlfn.XLOOKUP(D1093,tblSalesReps[rep_id],tblSalesReps[region],"Missing")</f>
        <v>North</v>
      </c>
    </row>
    <row r="1094" spans="1:18">
      <c r="A1094" t="s">
        <v>1585</v>
      </c>
      <c r="B1094" t="s">
        <v>431</v>
      </c>
      <c r="C1094" t="s">
        <v>62</v>
      </c>
      <c r="D1094" t="s">
        <v>59</v>
      </c>
      <c r="E1094" s="1">
        <v>45811</v>
      </c>
      <c r="F1094" s="1">
        <v>45869</v>
      </c>
      <c r="G1094" s="1">
        <v>45869</v>
      </c>
      <c r="H1094" t="s">
        <v>28</v>
      </c>
      <c r="I1094">
        <v>3</v>
      </c>
      <c r="J1094">
        <v>20</v>
      </c>
      <c r="K1094">
        <v>288000</v>
      </c>
      <c r="L1094">
        <v>100</v>
      </c>
      <c r="M1094" t="s">
        <v>29</v>
      </c>
      <c r="N1094" t="str">
        <f>_xlfn.XLOOKUP(B1094,tblCustomers[customer_id],tblCustomers[region],"Missing")</f>
        <v>East</v>
      </c>
      <c r="O1094" t="str">
        <f>_xlfn.XLOOKUP(C1094,tblProducts[product_id],tblProducts[product_name],"Missing")</f>
        <v>CRM Essentials</v>
      </c>
      <c r="P1094" t="str">
        <f>_xlfn.XLOOKUP(C1094,tblProducts[product_id],tblProducts[category],"Missing")</f>
        <v>CRM</v>
      </c>
      <c r="Q1094" t="str">
        <f>_xlfn.XLOOKUP(D1094,tblSalesReps[rep_id],tblSalesReps[rep_name],"Missing")</f>
        <v>Sales Rep 19</v>
      </c>
      <c r="R1094" t="str">
        <f>_xlfn.XLOOKUP(D1094,tblSalesReps[rep_id],tblSalesReps[region],"Missing")</f>
        <v>East</v>
      </c>
    </row>
    <row r="1095" spans="1:18">
      <c r="A1095" t="s">
        <v>1586</v>
      </c>
      <c r="B1095" t="s">
        <v>206</v>
      </c>
      <c r="C1095" t="s">
        <v>62</v>
      </c>
      <c r="D1095" t="s">
        <v>75</v>
      </c>
      <c r="E1095" s="1">
        <v>45951</v>
      </c>
      <c r="F1095" s="1">
        <v>46010</v>
      </c>
      <c r="G1095" s="1"/>
      <c r="H1095" t="s">
        <v>43</v>
      </c>
      <c r="I1095">
        <v>1</v>
      </c>
      <c r="J1095">
        <v>10</v>
      </c>
      <c r="K1095">
        <v>108000</v>
      </c>
      <c r="L1095">
        <v>80</v>
      </c>
      <c r="M1095" t="s">
        <v>29</v>
      </c>
      <c r="N1095" t="str">
        <f>_xlfn.XLOOKUP(B1095,tblCustomers[customer_id],tblCustomers[region],"Missing")</f>
        <v>North</v>
      </c>
      <c r="O1095" t="str">
        <f>_xlfn.XLOOKUP(C1095,tblProducts[product_id],tblProducts[product_name],"Missing")</f>
        <v>CRM Essentials</v>
      </c>
      <c r="P1095" t="str">
        <f>_xlfn.XLOOKUP(C1095,tblProducts[product_id],tblProducts[category],"Missing")</f>
        <v>CRM</v>
      </c>
      <c r="Q1095" t="str">
        <f>_xlfn.XLOOKUP(D1095,tblSalesReps[rep_id],tblSalesReps[rep_name],"Missing")</f>
        <v>Sales Rep 07</v>
      </c>
      <c r="R1095" t="str">
        <f>_xlfn.XLOOKUP(D1095,tblSalesReps[rep_id],tblSalesReps[region],"Missing")</f>
        <v>North</v>
      </c>
    </row>
    <row r="1096" spans="1:18">
      <c r="A1096" t="s">
        <v>1587</v>
      </c>
      <c r="B1096" t="s">
        <v>1405</v>
      </c>
      <c r="C1096" t="s">
        <v>26</v>
      </c>
      <c r="D1096" t="s">
        <v>168</v>
      </c>
      <c r="E1096" s="1">
        <v>45665</v>
      </c>
      <c r="F1096" s="1">
        <v>45714</v>
      </c>
      <c r="G1096" s="1">
        <v>45714</v>
      </c>
      <c r="H1096" t="s">
        <v>17</v>
      </c>
      <c r="I1096">
        <v>1</v>
      </c>
      <c r="J1096">
        <v>5</v>
      </c>
      <c r="K1096">
        <v>342000</v>
      </c>
      <c r="L1096">
        <v>0</v>
      </c>
      <c r="M1096" t="s">
        <v>23</v>
      </c>
      <c r="N1096" t="str">
        <f>_xlfn.XLOOKUP(B1096,tblCustomers[customer_id],tblCustomers[region],"Missing")</f>
        <v>East</v>
      </c>
      <c r="O1096" t="str">
        <f>_xlfn.XLOOKUP(C1096,tblProducts[product_id],tblProducts[product_name],"Missing")</f>
        <v>Security Suite</v>
      </c>
      <c r="P1096" t="str">
        <f>_xlfn.XLOOKUP(C1096,tblProducts[product_id],tblProducts[category],"Missing")</f>
        <v>Security</v>
      </c>
      <c r="Q1096" t="str">
        <f>_xlfn.XLOOKUP(D1096,tblSalesReps[rep_id],tblSalesReps[rep_name],"Missing")</f>
        <v>Sales Rep 17</v>
      </c>
      <c r="R1096" t="str">
        <f>_xlfn.XLOOKUP(D1096,tblSalesReps[rep_id],tblSalesReps[region],"Missing")</f>
        <v>East</v>
      </c>
    </row>
    <row r="1097" spans="1:18">
      <c r="A1097" t="s">
        <v>1588</v>
      </c>
      <c r="B1097" t="s">
        <v>1268</v>
      </c>
      <c r="C1097" t="s">
        <v>21</v>
      </c>
      <c r="D1097" t="s">
        <v>59</v>
      </c>
      <c r="E1097" s="1">
        <v>45890</v>
      </c>
      <c r="F1097" s="1">
        <v>45911</v>
      </c>
      <c r="G1097" s="1">
        <v>45911</v>
      </c>
      <c r="H1097" t="s">
        <v>28</v>
      </c>
      <c r="I1097">
        <v>3</v>
      </c>
      <c r="J1097">
        <v>0</v>
      </c>
      <c r="K1097">
        <v>720000</v>
      </c>
      <c r="L1097">
        <v>100</v>
      </c>
      <c r="M1097" t="s">
        <v>29</v>
      </c>
      <c r="N1097" t="str">
        <f>_xlfn.XLOOKUP(B1097,tblCustomers[customer_id],tblCustomers[region],"Missing")</f>
        <v>East</v>
      </c>
      <c r="O1097" t="str">
        <f>_xlfn.XLOOKUP(C1097,tblProducts[product_id],tblProducts[product_name],"Missing")</f>
        <v>Workflow Automate</v>
      </c>
      <c r="P1097" t="str">
        <f>_xlfn.XLOOKUP(C1097,tblProducts[product_id],tblProducts[category],"Missing")</f>
        <v>Automation</v>
      </c>
      <c r="Q1097" t="str">
        <f>_xlfn.XLOOKUP(D1097,tblSalesReps[rep_id],tblSalesReps[rep_name],"Missing")</f>
        <v>Sales Rep 19</v>
      </c>
      <c r="R1097" t="str">
        <f>_xlfn.XLOOKUP(D1097,tblSalesReps[rep_id],tblSalesReps[region],"Missing")</f>
        <v>East</v>
      </c>
    </row>
    <row r="1098" spans="1:18">
      <c r="A1098" t="s">
        <v>1589</v>
      </c>
      <c r="B1098" t="s">
        <v>497</v>
      </c>
      <c r="C1098" t="s">
        <v>62</v>
      </c>
      <c r="D1098" t="s">
        <v>32</v>
      </c>
      <c r="E1098" s="1">
        <v>45948</v>
      </c>
      <c r="F1098" s="1">
        <v>45974</v>
      </c>
      <c r="G1098" s="1"/>
      <c r="H1098" t="s">
        <v>43</v>
      </c>
      <c r="I1098">
        <v>1</v>
      </c>
      <c r="J1098">
        <v>5</v>
      </c>
      <c r="K1098">
        <v>114000</v>
      </c>
      <c r="L1098">
        <v>80</v>
      </c>
      <c r="M1098" t="s">
        <v>29</v>
      </c>
      <c r="N1098" t="str">
        <f>_xlfn.XLOOKUP(B1098,tblCustomers[customer_id],tblCustomers[region],"Missing")</f>
        <v>South</v>
      </c>
      <c r="O1098" t="str">
        <f>_xlfn.XLOOKUP(C1098,tblProducts[product_id],tblProducts[product_name],"Missing")</f>
        <v>CRM Essentials</v>
      </c>
      <c r="P1098" t="str">
        <f>_xlfn.XLOOKUP(C1098,tblProducts[product_id],tblProducts[category],"Missing")</f>
        <v>CRM</v>
      </c>
      <c r="Q1098" t="str">
        <f>_xlfn.XLOOKUP(D1098,tblSalesReps[rep_id],tblSalesReps[rep_name],"Missing")</f>
        <v>Sales Rep 04</v>
      </c>
      <c r="R1098" t="str">
        <f>_xlfn.XLOOKUP(D1098,tblSalesReps[rep_id],tblSalesReps[region],"Missing")</f>
        <v>South</v>
      </c>
    </row>
    <row r="1099" spans="1:18">
      <c r="A1099" t="s">
        <v>1590</v>
      </c>
      <c r="B1099" t="s">
        <v>232</v>
      </c>
      <c r="C1099" t="s">
        <v>62</v>
      </c>
      <c r="D1099" t="s">
        <v>63</v>
      </c>
      <c r="E1099" s="1">
        <v>45830</v>
      </c>
      <c r="F1099" s="1">
        <v>45847</v>
      </c>
      <c r="G1099" s="1">
        <v>45847</v>
      </c>
      <c r="H1099" t="s">
        <v>28</v>
      </c>
      <c r="I1099">
        <v>3</v>
      </c>
      <c r="J1099">
        <v>15</v>
      </c>
      <c r="K1099">
        <v>306000</v>
      </c>
      <c r="L1099">
        <v>100</v>
      </c>
      <c r="M1099" t="s">
        <v>29</v>
      </c>
      <c r="N1099" t="str">
        <f>_xlfn.XLOOKUP(B1099,tblCustomers[customer_id],tblCustomers[region],"Missing")</f>
        <v>South</v>
      </c>
      <c r="O1099" t="str">
        <f>_xlfn.XLOOKUP(C1099,tblProducts[product_id],tblProducts[product_name],"Missing")</f>
        <v>CRM Essentials</v>
      </c>
      <c r="P1099" t="str">
        <f>_xlfn.XLOOKUP(C1099,tblProducts[product_id],tblProducts[category],"Missing")</f>
        <v>CRM</v>
      </c>
      <c r="Q1099" t="str">
        <f>_xlfn.XLOOKUP(D1099,tblSalesReps[rep_id],tblSalesReps[rep_name],"Missing")</f>
        <v>Sales Rep 05</v>
      </c>
      <c r="R1099" t="str">
        <f>_xlfn.XLOOKUP(D1099,tblSalesReps[rep_id],tblSalesReps[region],"Missing")</f>
        <v>South</v>
      </c>
    </row>
    <row r="1100" spans="1:18">
      <c r="A1100" t="s">
        <v>1591</v>
      </c>
      <c r="B1100" t="s">
        <v>653</v>
      </c>
      <c r="C1100" t="s">
        <v>62</v>
      </c>
      <c r="D1100" t="s">
        <v>168</v>
      </c>
      <c r="E1100" s="1">
        <v>45886</v>
      </c>
      <c r="F1100" s="1">
        <v>45905</v>
      </c>
      <c r="G1100" s="1">
        <v>45905</v>
      </c>
      <c r="H1100" t="s">
        <v>28</v>
      </c>
      <c r="I1100">
        <v>3</v>
      </c>
      <c r="J1100">
        <v>0</v>
      </c>
      <c r="K1100">
        <v>360000</v>
      </c>
      <c r="L1100">
        <v>100</v>
      </c>
      <c r="M1100" t="s">
        <v>29</v>
      </c>
      <c r="N1100" t="str">
        <f>_xlfn.XLOOKUP(B1100,tblCustomers[customer_id],tblCustomers[region],"Missing")</f>
        <v>East</v>
      </c>
      <c r="O1100" t="str">
        <f>_xlfn.XLOOKUP(C1100,tblProducts[product_id],tblProducts[product_name],"Missing")</f>
        <v>CRM Essentials</v>
      </c>
      <c r="P1100" t="str">
        <f>_xlfn.XLOOKUP(C1100,tblProducts[product_id],tblProducts[category],"Missing")</f>
        <v>CRM</v>
      </c>
      <c r="Q1100" t="str">
        <f>_xlfn.XLOOKUP(D1100,tblSalesReps[rep_id],tblSalesReps[rep_name],"Missing")</f>
        <v>Sales Rep 17</v>
      </c>
      <c r="R1100" t="str">
        <f>_xlfn.XLOOKUP(D1100,tblSalesReps[rep_id],tblSalesReps[region],"Missing")</f>
        <v>East</v>
      </c>
    </row>
    <row r="1101" spans="1:18">
      <c r="A1101" t="s">
        <v>1592</v>
      </c>
      <c r="B1101" t="s">
        <v>544</v>
      </c>
      <c r="C1101" t="s">
        <v>15</v>
      </c>
      <c r="D1101" t="s">
        <v>50</v>
      </c>
      <c r="E1101" s="1">
        <v>45816</v>
      </c>
      <c r="F1101" s="1">
        <v>45825</v>
      </c>
      <c r="G1101" s="1">
        <v>45825</v>
      </c>
      <c r="H1101" t="s">
        <v>28</v>
      </c>
      <c r="I1101">
        <v>1</v>
      </c>
      <c r="J1101">
        <v>10</v>
      </c>
      <c r="K1101">
        <v>378000</v>
      </c>
      <c r="L1101">
        <v>100</v>
      </c>
      <c r="M1101" t="s">
        <v>29</v>
      </c>
      <c r="N1101" t="str">
        <f>_xlfn.XLOOKUP(B1101,tblCustomers[customer_id],tblCustomers[region],"Missing")</f>
        <v>West</v>
      </c>
      <c r="O1101" t="str">
        <f>_xlfn.XLOOKUP(C1101,tblProducts[product_id],tblProducts[product_name],"Missing")</f>
        <v>CRM Enterprise</v>
      </c>
      <c r="P1101" t="str">
        <f>_xlfn.XLOOKUP(C1101,tblProducts[product_id],tblProducts[category],"Missing")</f>
        <v>CRM</v>
      </c>
      <c r="Q1101" t="str">
        <f>_xlfn.XLOOKUP(D1101,tblSalesReps[rep_id],tblSalesReps[rep_name],"Missing")</f>
        <v>Sales Rep 15</v>
      </c>
      <c r="R1101" t="str">
        <f>_xlfn.XLOOKUP(D1101,tblSalesReps[rep_id],tblSalesReps[region],"Missing")</f>
        <v>West</v>
      </c>
    </row>
    <row r="1102" spans="1:18">
      <c r="A1102" t="s">
        <v>1593</v>
      </c>
      <c r="B1102" t="s">
        <v>1528</v>
      </c>
      <c r="C1102" t="s">
        <v>62</v>
      </c>
      <c r="D1102" t="s">
        <v>59</v>
      </c>
      <c r="E1102" s="1">
        <v>45822</v>
      </c>
      <c r="F1102" s="1">
        <v>45902</v>
      </c>
      <c r="G1102" s="1">
        <v>45902</v>
      </c>
      <c r="H1102" t="s">
        <v>17</v>
      </c>
      <c r="I1102">
        <v>3</v>
      </c>
      <c r="J1102">
        <v>20</v>
      </c>
      <c r="K1102">
        <v>288000</v>
      </c>
      <c r="L1102">
        <v>0</v>
      </c>
      <c r="M1102" t="s">
        <v>18</v>
      </c>
      <c r="N1102" t="str">
        <f>_xlfn.XLOOKUP(B1102,tblCustomers[customer_id],tblCustomers[region],"Missing")</f>
        <v>East</v>
      </c>
      <c r="O1102" t="str">
        <f>_xlfn.XLOOKUP(C1102,tblProducts[product_id],tblProducts[product_name],"Missing")</f>
        <v>CRM Essentials</v>
      </c>
      <c r="P1102" t="str">
        <f>_xlfn.XLOOKUP(C1102,tblProducts[product_id],tblProducts[category],"Missing")</f>
        <v>CRM</v>
      </c>
      <c r="Q1102" t="str">
        <f>_xlfn.XLOOKUP(D1102,tblSalesReps[rep_id],tblSalesReps[rep_name],"Missing")</f>
        <v>Sales Rep 19</v>
      </c>
      <c r="R1102" t="str">
        <f>_xlfn.XLOOKUP(D1102,tblSalesReps[rep_id],tblSalesReps[region],"Missing")</f>
        <v>East</v>
      </c>
    </row>
    <row r="1103" spans="1:18">
      <c r="A1103" t="s">
        <v>1594</v>
      </c>
      <c r="B1103" t="s">
        <v>1595</v>
      </c>
      <c r="C1103" t="s">
        <v>39</v>
      </c>
      <c r="D1103" t="s">
        <v>27</v>
      </c>
      <c r="E1103" s="1">
        <v>46010</v>
      </c>
      <c r="F1103" s="1">
        <v>46034</v>
      </c>
      <c r="G1103" s="1"/>
      <c r="H1103" t="s">
        <v>43</v>
      </c>
      <c r="I1103">
        <v>1</v>
      </c>
      <c r="J1103">
        <v>20</v>
      </c>
      <c r="K1103">
        <v>144000</v>
      </c>
      <c r="L1103">
        <v>80</v>
      </c>
      <c r="M1103" t="s">
        <v>29</v>
      </c>
      <c r="N1103" t="str">
        <f>_xlfn.XLOOKUP(B1103,tblCustomers[customer_id],tblCustomers[region],"Missing")</f>
        <v>North</v>
      </c>
      <c r="O1103" t="str">
        <f>_xlfn.XLOOKUP(C1103,tblProducts[product_id],tblProducts[product_name],"Missing")</f>
        <v>Support Desk</v>
      </c>
      <c r="P1103" t="str">
        <f>_xlfn.XLOOKUP(C1103,tblProducts[product_id],tblProducts[category],"Missing")</f>
        <v>Service</v>
      </c>
      <c r="Q1103" t="str">
        <f>_xlfn.XLOOKUP(D1103,tblSalesReps[rep_id],tblSalesReps[rep_name],"Missing")</f>
        <v>Sales Rep 06</v>
      </c>
      <c r="R1103" t="str">
        <f>_xlfn.XLOOKUP(D1103,tblSalesReps[rep_id],tblSalesReps[region],"Missing")</f>
        <v>North</v>
      </c>
    </row>
    <row r="1104" spans="1:18">
      <c r="A1104" t="s">
        <v>1596</v>
      </c>
      <c r="B1104" t="s">
        <v>439</v>
      </c>
      <c r="C1104" t="s">
        <v>15</v>
      </c>
      <c r="D1104" t="s">
        <v>22</v>
      </c>
      <c r="E1104" s="1">
        <v>45774</v>
      </c>
      <c r="F1104" s="1">
        <v>45826</v>
      </c>
      <c r="G1104" s="1"/>
      <c r="H1104" t="s">
        <v>43</v>
      </c>
      <c r="I1104">
        <v>1</v>
      </c>
      <c r="J1104">
        <v>15</v>
      </c>
      <c r="K1104">
        <v>357000</v>
      </c>
      <c r="L1104">
        <v>60</v>
      </c>
      <c r="M1104" t="s">
        <v>29</v>
      </c>
      <c r="N1104" t="str">
        <f>_xlfn.XLOOKUP(B1104,tblCustomers[customer_id],tblCustomers[region],"Missing")</f>
        <v>West</v>
      </c>
      <c r="O1104" t="str">
        <f>_xlfn.XLOOKUP(C1104,tblProducts[product_id],tblProducts[product_name],"Missing")</f>
        <v>CRM Enterprise</v>
      </c>
      <c r="P1104" t="str">
        <f>_xlfn.XLOOKUP(C1104,tblProducts[product_id],tblProducts[category],"Missing")</f>
        <v>CRM</v>
      </c>
      <c r="Q1104" t="str">
        <f>_xlfn.XLOOKUP(D1104,tblSalesReps[rep_id],tblSalesReps[rep_name],"Missing")</f>
        <v>Sales Rep 14</v>
      </c>
      <c r="R1104" t="str">
        <f>_xlfn.XLOOKUP(D1104,tblSalesReps[rep_id],tblSalesReps[region],"Missing")</f>
        <v>West</v>
      </c>
    </row>
    <row r="1105" spans="1:18">
      <c r="A1105" t="s">
        <v>1597</v>
      </c>
      <c r="B1105" t="s">
        <v>1598</v>
      </c>
      <c r="C1105" t="s">
        <v>39</v>
      </c>
      <c r="D1105" t="s">
        <v>75</v>
      </c>
      <c r="E1105" s="1">
        <v>45940</v>
      </c>
      <c r="F1105" s="1">
        <v>45960</v>
      </c>
      <c r="G1105" s="1">
        <v>45960</v>
      </c>
      <c r="H1105" t="s">
        <v>17</v>
      </c>
      <c r="I1105">
        <v>3</v>
      </c>
      <c r="J1105">
        <v>0</v>
      </c>
      <c r="K1105">
        <v>540000</v>
      </c>
      <c r="L1105">
        <v>0</v>
      </c>
      <c r="M1105" t="s">
        <v>23</v>
      </c>
      <c r="N1105" t="str">
        <f>_xlfn.XLOOKUP(B1105,tblCustomers[customer_id],tblCustomers[region],"Missing")</f>
        <v>North</v>
      </c>
      <c r="O1105" t="str">
        <f>_xlfn.XLOOKUP(C1105,tblProducts[product_id],tblProducts[product_name],"Missing")</f>
        <v>Support Desk</v>
      </c>
      <c r="P1105" t="str">
        <f>_xlfn.XLOOKUP(C1105,tblProducts[product_id],tblProducts[category],"Missing")</f>
        <v>Service</v>
      </c>
      <c r="Q1105" t="str">
        <f>_xlfn.XLOOKUP(D1105,tblSalesReps[rep_id],tblSalesReps[rep_name],"Missing")</f>
        <v>Sales Rep 07</v>
      </c>
      <c r="R1105" t="str">
        <f>_xlfn.XLOOKUP(D1105,tblSalesReps[rep_id],tblSalesReps[region],"Missing")</f>
        <v>North</v>
      </c>
    </row>
    <row r="1106" spans="1:18">
      <c r="A1106" t="s">
        <v>1599</v>
      </c>
      <c r="B1106" t="s">
        <v>211</v>
      </c>
      <c r="C1106" t="s">
        <v>81</v>
      </c>
      <c r="D1106" t="s">
        <v>63</v>
      </c>
      <c r="E1106" s="1">
        <v>45746</v>
      </c>
      <c r="F1106" s="1">
        <v>45786</v>
      </c>
      <c r="G1106" s="1">
        <v>45786</v>
      </c>
      <c r="H1106" t="s">
        <v>28</v>
      </c>
      <c r="I1106">
        <v>2</v>
      </c>
      <c r="J1106">
        <v>15</v>
      </c>
      <c r="K1106">
        <v>510000</v>
      </c>
      <c r="L1106">
        <v>100</v>
      </c>
      <c r="M1106" t="s">
        <v>29</v>
      </c>
      <c r="N1106" t="str">
        <f>_xlfn.XLOOKUP(B1106,tblCustomers[customer_id],tblCustomers[region],"Missing")</f>
        <v>South</v>
      </c>
      <c r="O1106" t="str">
        <f>_xlfn.XLOOKUP(C1106,tblProducts[product_id],tblProducts[product_name],"Missing")</f>
        <v>Analytics Cloud</v>
      </c>
      <c r="P1106" t="str">
        <f>_xlfn.XLOOKUP(C1106,tblProducts[product_id],tblProducts[category],"Missing")</f>
        <v>Analytics</v>
      </c>
      <c r="Q1106" t="str">
        <f>_xlfn.XLOOKUP(D1106,tblSalesReps[rep_id],tblSalesReps[rep_name],"Missing")</f>
        <v>Sales Rep 05</v>
      </c>
      <c r="R1106" t="str">
        <f>_xlfn.XLOOKUP(D1106,tblSalesReps[rep_id],tblSalesReps[region],"Missing")</f>
        <v>South</v>
      </c>
    </row>
    <row r="1107" spans="1:18">
      <c r="A1107" t="s">
        <v>1600</v>
      </c>
      <c r="B1107" t="s">
        <v>1601</v>
      </c>
      <c r="C1107" t="s">
        <v>62</v>
      </c>
      <c r="D1107" t="s">
        <v>46</v>
      </c>
      <c r="E1107" s="1">
        <v>45703</v>
      </c>
      <c r="F1107" s="1">
        <v>45732</v>
      </c>
      <c r="G1107" s="1">
        <v>45732</v>
      </c>
      <c r="H1107" t="s">
        <v>17</v>
      </c>
      <c r="I1107">
        <v>1</v>
      </c>
      <c r="J1107">
        <v>5</v>
      </c>
      <c r="K1107">
        <v>114000</v>
      </c>
      <c r="L1107">
        <v>0</v>
      </c>
      <c r="M1107" t="s">
        <v>23</v>
      </c>
      <c r="N1107" t="str">
        <f>_xlfn.XLOOKUP(B1107,tblCustomers[customer_id],tblCustomers[region],"Missing")</f>
        <v>South</v>
      </c>
      <c r="O1107" t="str">
        <f>_xlfn.XLOOKUP(C1107,tblProducts[product_id],tblProducts[product_name],"Missing")</f>
        <v>CRM Essentials</v>
      </c>
      <c r="P1107" t="str">
        <f>_xlfn.XLOOKUP(C1107,tblProducts[product_id],tblProducts[category],"Missing")</f>
        <v>CRM</v>
      </c>
      <c r="Q1107" t="str">
        <f>_xlfn.XLOOKUP(D1107,tblSalesReps[rep_id],tblSalesReps[rep_name],"Missing")</f>
        <v>Sales Rep 01</v>
      </c>
      <c r="R1107" t="str">
        <f>_xlfn.XLOOKUP(D1107,tblSalesReps[rep_id],tblSalesReps[region],"Missing")</f>
        <v>South</v>
      </c>
    </row>
    <row r="1108" spans="1:18">
      <c r="A1108" t="s">
        <v>1602</v>
      </c>
      <c r="B1108" t="s">
        <v>1603</v>
      </c>
      <c r="C1108" t="s">
        <v>21</v>
      </c>
      <c r="D1108" t="s">
        <v>75</v>
      </c>
      <c r="E1108" s="1">
        <v>45790</v>
      </c>
      <c r="F1108" s="1">
        <v>45802</v>
      </c>
      <c r="G1108" s="1">
        <v>45802</v>
      </c>
      <c r="H1108" t="s">
        <v>28</v>
      </c>
      <c r="I1108">
        <v>1</v>
      </c>
      <c r="J1108">
        <v>5</v>
      </c>
      <c r="K1108">
        <v>228000</v>
      </c>
      <c r="L1108">
        <v>100</v>
      </c>
      <c r="M1108" t="s">
        <v>29</v>
      </c>
      <c r="N1108" t="str">
        <f>_xlfn.XLOOKUP(B1108,tblCustomers[customer_id],tblCustomers[region],"Missing")</f>
        <v>North</v>
      </c>
      <c r="O1108" t="str">
        <f>_xlfn.XLOOKUP(C1108,tblProducts[product_id],tblProducts[product_name],"Missing")</f>
        <v>Workflow Automate</v>
      </c>
      <c r="P1108" t="str">
        <f>_xlfn.XLOOKUP(C1108,tblProducts[product_id],tblProducts[category],"Missing")</f>
        <v>Automation</v>
      </c>
      <c r="Q1108" t="str">
        <f>_xlfn.XLOOKUP(D1108,tblSalesReps[rep_id],tblSalesReps[rep_name],"Missing")</f>
        <v>Sales Rep 07</v>
      </c>
      <c r="R1108" t="str">
        <f>_xlfn.XLOOKUP(D1108,tblSalesReps[rep_id],tblSalesReps[region],"Missing")</f>
        <v>North</v>
      </c>
    </row>
    <row r="1109" spans="1:18">
      <c r="A1109" t="s">
        <v>1604</v>
      </c>
      <c r="B1109" t="s">
        <v>737</v>
      </c>
      <c r="C1109" t="s">
        <v>26</v>
      </c>
      <c r="D1109" t="s">
        <v>126</v>
      </c>
      <c r="E1109" s="1">
        <v>45816</v>
      </c>
      <c r="F1109" s="1">
        <v>45842</v>
      </c>
      <c r="G1109" s="1">
        <v>45842</v>
      </c>
      <c r="H1109" t="s">
        <v>17</v>
      </c>
      <c r="I1109">
        <v>1</v>
      </c>
      <c r="J1109">
        <v>5</v>
      </c>
      <c r="K1109">
        <v>342000</v>
      </c>
      <c r="L1109">
        <v>0</v>
      </c>
      <c r="M1109" t="s">
        <v>33</v>
      </c>
      <c r="N1109" t="str">
        <f>_xlfn.XLOOKUP(B1109,tblCustomers[customer_id],tblCustomers[region],"Missing")</f>
        <v>South</v>
      </c>
      <c r="O1109" t="str">
        <f>_xlfn.XLOOKUP(C1109,tblProducts[product_id],tblProducts[product_name],"Missing")</f>
        <v>Security Suite</v>
      </c>
      <c r="P1109" t="str">
        <f>_xlfn.XLOOKUP(C1109,tblProducts[product_id],tblProducts[category],"Missing")</f>
        <v>Security</v>
      </c>
      <c r="Q1109" t="str">
        <f>_xlfn.XLOOKUP(D1109,tblSalesReps[rep_id],tblSalesReps[rep_name],"Missing")</f>
        <v>Sales Rep 02</v>
      </c>
      <c r="R1109" t="str">
        <f>_xlfn.XLOOKUP(D1109,tblSalesReps[rep_id],tblSalesReps[region],"Missing")</f>
        <v>South</v>
      </c>
    </row>
    <row r="1110" spans="1:18">
      <c r="A1110" t="s">
        <v>1605</v>
      </c>
      <c r="B1110" t="s">
        <v>828</v>
      </c>
      <c r="C1110" t="s">
        <v>62</v>
      </c>
      <c r="D1110" t="s">
        <v>50</v>
      </c>
      <c r="E1110" s="1">
        <v>45858</v>
      </c>
      <c r="F1110" s="1">
        <v>45914</v>
      </c>
      <c r="G1110" s="1"/>
      <c r="H1110" t="s">
        <v>43</v>
      </c>
      <c r="I1110">
        <v>1</v>
      </c>
      <c r="J1110">
        <v>15</v>
      </c>
      <c r="K1110">
        <v>102000</v>
      </c>
      <c r="L1110">
        <v>40</v>
      </c>
      <c r="M1110" t="s">
        <v>29</v>
      </c>
      <c r="N1110" t="str">
        <f>_xlfn.XLOOKUP(B1110,tblCustomers[customer_id],tblCustomers[region],"Missing")</f>
        <v>West</v>
      </c>
      <c r="O1110" t="str">
        <f>_xlfn.XLOOKUP(C1110,tblProducts[product_id],tblProducts[product_name],"Missing")</f>
        <v>CRM Essentials</v>
      </c>
      <c r="P1110" t="str">
        <f>_xlfn.XLOOKUP(C1110,tblProducts[product_id],tblProducts[category],"Missing")</f>
        <v>CRM</v>
      </c>
      <c r="Q1110" t="str">
        <f>_xlfn.XLOOKUP(D1110,tblSalesReps[rep_id],tblSalesReps[rep_name],"Missing")</f>
        <v>Sales Rep 15</v>
      </c>
      <c r="R1110" t="str">
        <f>_xlfn.XLOOKUP(D1110,tblSalesReps[rep_id],tblSalesReps[region],"Missing")</f>
        <v>West</v>
      </c>
    </row>
    <row r="1111" spans="1:18">
      <c r="A1111" t="s">
        <v>1606</v>
      </c>
      <c r="B1111" t="s">
        <v>1117</v>
      </c>
      <c r="C1111" t="s">
        <v>21</v>
      </c>
      <c r="D1111" t="s">
        <v>50</v>
      </c>
      <c r="E1111" s="1">
        <v>45808</v>
      </c>
      <c r="F1111" s="1">
        <v>45825</v>
      </c>
      <c r="G1111" s="1">
        <v>45825</v>
      </c>
      <c r="H1111" t="s">
        <v>17</v>
      </c>
      <c r="I1111">
        <v>1</v>
      </c>
      <c r="J1111">
        <v>20</v>
      </c>
      <c r="K1111">
        <v>192000</v>
      </c>
      <c r="L1111">
        <v>0</v>
      </c>
      <c r="M1111" t="s">
        <v>47</v>
      </c>
      <c r="N1111" t="str">
        <f>_xlfn.XLOOKUP(B1111,tblCustomers[customer_id],tblCustomers[region],"Missing")</f>
        <v>West</v>
      </c>
      <c r="O1111" t="str">
        <f>_xlfn.XLOOKUP(C1111,tblProducts[product_id],tblProducts[product_name],"Missing")</f>
        <v>Workflow Automate</v>
      </c>
      <c r="P1111" t="str">
        <f>_xlfn.XLOOKUP(C1111,tblProducts[product_id],tblProducts[category],"Missing")</f>
        <v>Automation</v>
      </c>
      <c r="Q1111" t="str">
        <f>_xlfn.XLOOKUP(D1111,tblSalesReps[rep_id],tblSalesReps[rep_name],"Missing")</f>
        <v>Sales Rep 15</v>
      </c>
      <c r="R1111" t="str">
        <f>_xlfn.XLOOKUP(D1111,tblSalesReps[rep_id],tblSalesReps[region],"Missing")</f>
        <v>West</v>
      </c>
    </row>
    <row r="1112" spans="1:18">
      <c r="A1112" t="s">
        <v>1607</v>
      </c>
      <c r="B1112" t="s">
        <v>1194</v>
      </c>
      <c r="C1112" t="s">
        <v>21</v>
      </c>
      <c r="D1112" t="s">
        <v>16</v>
      </c>
      <c r="E1112" s="1">
        <v>45765</v>
      </c>
      <c r="F1112" s="1">
        <v>45811</v>
      </c>
      <c r="G1112" s="1">
        <v>45811</v>
      </c>
      <c r="H1112" t="s">
        <v>28</v>
      </c>
      <c r="I1112">
        <v>2</v>
      </c>
      <c r="J1112">
        <v>15</v>
      </c>
      <c r="K1112">
        <v>408000</v>
      </c>
      <c r="L1112">
        <v>100</v>
      </c>
      <c r="M1112" t="s">
        <v>29</v>
      </c>
      <c r="N1112" t="str">
        <f>_xlfn.XLOOKUP(B1112,tblCustomers[customer_id],tblCustomers[region],"Missing")</f>
        <v>North</v>
      </c>
      <c r="O1112" t="str">
        <f>_xlfn.XLOOKUP(C1112,tblProducts[product_id],tblProducts[product_name],"Missing")</f>
        <v>Workflow Automate</v>
      </c>
      <c r="P1112" t="str">
        <f>_xlfn.XLOOKUP(C1112,tblProducts[product_id],tblProducts[category],"Missing")</f>
        <v>Automation</v>
      </c>
      <c r="Q1112" t="str">
        <f>_xlfn.XLOOKUP(D1112,tblSalesReps[rep_id],tblSalesReps[rep_name],"Missing")</f>
        <v>Sales Rep 08</v>
      </c>
      <c r="R1112" t="str">
        <f>_xlfn.XLOOKUP(D1112,tblSalesReps[rep_id],tblSalesReps[region],"Missing")</f>
        <v>North</v>
      </c>
    </row>
    <row r="1113" spans="1:18">
      <c r="A1113" t="s">
        <v>1608</v>
      </c>
      <c r="B1113" t="s">
        <v>664</v>
      </c>
      <c r="C1113" t="s">
        <v>26</v>
      </c>
      <c r="D1113" t="s">
        <v>91</v>
      </c>
      <c r="E1113" s="1">
        <v>45741</v>
      </c>
      <c r="F1113" s="1">
        <v>45821</v>
      </c>
      <c r="G1113" s="1">
        <v>45821</v>
      </c>
      <c r="H1113" t="s">
        <v>17</v>
      </c>
      <c r="I1113">
        <v>1</v>
      </c>
      <c r="J1113">
        <v>0</v>
      </c>
      <c r="K1113">
        <v>360000</v>
      </c>
      <c r="L1113">
        <v>0</v>
      </c>
      <c r="M1113" t="s">
        <v>18</v>
      </c>
      <c r="N1113" t="str">
        <f>_xlfn.XLOOKUP(B1113,tblCustomers[customer_id],tblCustomers[region],"Missing")</f>
        <v>South</v>
      </c>
      <c r="O1113" t="str">
        <f>_xlfn.XLOOKUP(C1113,tblProducts[product_id],tblProducts[product_name],"Missing")</f>
        <v>Security Suite</v>
      </c>
      <c r="P1113" t="str">
        <f>_xlfn.XLOOKUP(C1113,tblProducts[product_id],tblProducts[category],"Missing")</f>
        <v>Security</v>
      </c>
      <c r="Q1113" t="str">
        <f>_xlfn.XLOOKUP(D1113,tblSalesReps[rep_id],tblSalesReps[rep_name],"Missing")</f>
        <v>Sales Rep 03</v>
      </c>
      <c r="R1113" t="str">
        <f>_xlfn.XLOOKUP(D1113,tblSalesReps[rep_id],tblSalesReps[region],"Missing")</f>
        <v>South</v>
      </c>
    </row>
    <row r="1114" spans="1:18">
      <c r="A1114" t="s">
        <v>1609</v>
      </c>
      <c r="B1114" t="s">
        <v>935</v>
      </c>
      <c r="C1114" t="s">
        <v>62</v>
      </c>
      <c r="D1114" t="s">
        <v>32</v>
      </c>
      <c r="E1114" s="1">
        <v>45777</v>
      </c>
      <c r="F1114" s="1">
        <v>45827</v>
      </c>
      <c r="G1114" s="1">
        <v>45827</v>
      </c>
      <c r="H1114" t="s">
        <v>28</v>
      </c>
      <c r="I1114">
        <v>3</v>
      </c>
      <c r="J1114">
        <v>10</v>
      </c>
      <c r="K1114">
        <v>324000</v>
      </c>
      <c r="L1114">
        <v>100</v>
      </c>
      <c r="M1114" t="s">
        <v>29</v>
      </c>
      <c r="N1114" t="str">
        <f>_xlfn.XLOOKUP(B1114,tblCustomers[customer_id],tblCustomers[region],"Missing")</f>
        <v>South</v>
      </c>
      <c r="O1114" t="str">
        <f>_xlfn.XLOOKUP(C1114,tblProducts[product_id],tblProducts[product_name],"Missing")</f>
        <v>CRM Essentials</v>
      </c>
      <c r="P1114" t="str">
        <f>_xlfn.XLOOKUP(C1114,tblProducts[product_id],tblProducts[category],"Missing")</f>
        <v>CRM</v>
      </c>
      <c r="Q1114" t="str">
        <f>_xlfn.XLOOKUP(D1114,tblSalesReps[rep_id],tblSalesReps[rep_name],"Missing")</f>
        <v>Sales Rep 04</v>
      </c>
      <c r="R1114" t="str">
        <f>_xlfn.XLOOKUP(D1114,tblSalesReps[rep_id],tblSalesReps[region],"Missing")</f>
        <v>South</v>
      </c>
    </row>
    <row r="1115" spans="1:18">
      <c r="A1115" t="s">
        <v>1610</v>
      </c>
      <c r="B1115" t="s">
        <v>1135</v>
      </c>
      <c r="C1115" t="s">
        <v>81</v>
      </c>
      <c r="D1115" t="s">
        <v>32</v>
      </c>
      <c r="E1115" s="1">
        <v>45790</v>
      </c>
      <c r="F1115" s="1">
        <v>45799</v>
      </c>
      <c r="G1115" s="1"/>
      <c r="H1115" t="s">
        <v>43</v>
      </c>
      <c r="I1115">
        <v>1</v>
      </c>
      <c r="J1115">
        <v>0</v>
      </c>
      <c r="K1115">
        <v>300000</v>
      </c>
      <c r="L1115">
        <v>20</v>
      </c>
      <c r="M1115" t="s">
        <v>29</v>
      </c>
      <c r="N1115" t="str">
        <f>_xlfn.XLOOKUP(B1115,tblCustomers[customer_id],tblCustomers[region],"Missing")</f>
        <v>South</v>
      </c>
      <c r="O1115" t="str">
        <f>_xlfn.XLOOKUP(C1115,tblProducts[product_id],tblProducts[product_name],"Missing")</f>
        <v>Analytics Cloud</v>
      </c>
      <c r="P1115" t="str">
        <f>_xlfn.XLOOKUP(C1115,tblProducts[product_id],tblProducts[category],"Missing")</f>
        <v>Analytics</v>
      </c>
      <c r="Q1115" t="str">
        <f>_xlfn.XLOOKUP(D1115,tblSalesReps[rep_id],tblSalesReps[rep_name],"Missing")</f>
        <v>Sales Rep 04</v>
      </c>
      <c r="R1115" t="str">
        <f>_xlfn.XLOOKUP(D1115,tblSalesReps[rep_id],tblSalesReps[region],"Missing")</f>
        <v>South</v>
      </c>
    </row>
    <row r="1116" spans="1:18">
      <c r="A1116" t="s">
        <v>1611</v>
      </c>
      <c r="B1116" t="s">
        <v>451</v>
      </c>
      <c r="C1116" t="s">
        <v>26</v>
      </c>
      <c r="D1116" t="s">
        <v>91</v>
      </c>
      <c r="E1116" s="1">
        <v>45700</v>
      </c>
      <c r="F1116" s="1">
        <v>45730</v>
      </c>
      <c r="G1116" s="1"/>
      <c r="H1116" t="s">
        <v>43</v>
      </c>
      <c r="I1116">
        <v>1</v>
      </c>
      <c r="J1116">
        <v>0</v>
      </c>
      <c r="K1116">
        <v>360000</v>
      </c>
      <c r="L1116">
        <v>20</v>
      </c>
      <c r="M1116" t="s">
        <v>29</v>
      </c>
      <c r="N1116" t="str">
        <f>_xlfn.XLOOKUP(B1116,tblCustomers[customer_id],tblCustomers[region],"Missing")</f>
        <v>South</v>
      </c>
      <c r="O1116" t="str">
        <f>_xlfn.XLOOKUP(C1116,tblProducts[product_id],tblProducts[product_name],"Missing")</f>
        <v>Security Suite</v>
      </c>
      <c r="P1116" t="str">
        <f>_xlfn.XLOOKUP(C1116,tblProducts[product_id],tblProducts[category],"Missing")</f>
        <v>Security</v>
      </c>
      <c r="Q1116" t="str">
        <f>_xlfn.XLOOKUP(D1116,tblSalesReps[rep_id],tblSalesReps[rep_name],"Missing")</f>
        <v>Sales Rep 03</v>
      </c>
      <c r="R1116" t="str">
        <f>_xlfn.XLOOKUP(D1116,tblSalesReps[rep_id],tblSalesReps[region],"Missing")</f>
        <v>South</v>
      </c>
    </row>
    <row r="1117" spans="1:18">
      <c r="A1117" t="s">
        <v>1612</v>
      </c>
      <c r="B1117" t="s">
        <v>327</v>
      </c>
      <c r="C1117" t="s">
        <v>62</v>
      </c>
      <c r="D1117" t="s">
        <v>168</v>
      </c>
      <c r="E1117" s="1">
        <v>45741</v>
      </c>
      <c r="F1117" s="1">
        <v>45773</v>
      </c>
      <c r="G1117" s="1">
        <v>45773</v>
      </c>
      <c r="H1117" t="s">
        <v>28</v>
      </c>
      <c r="I1117">
        <v>1</v>
      </c>
      <c r="J1117">
        <v>20</v>
      </c>
      <c r="K1117">
        <v>96000</v>
      </c>
      <c r="L1117">
        <v>100</v>
      </c>
      <c r="M1117" t="s">
        <v>29</v>
      </c>
      <c r="N1117" t="str">
        <f>_xlfn.XLOOKUP(B1117,tblCustomers[customer_id],tblCustomers[region],"Missing")</f>
        <v>East</v>
      </c>
      <c r="O1117" t="str">
        <f>_xlfn.XLOOKUP(C1117,tblProducts[product_id],tblProducts[product_name],"Missing")</f>
        <v>CRM Essentials</v>
      </c>
      <c r="P1117" t="str">
        <f>_xlfn.XLOOKUP(C1117,tblProducts[product_id],tblProducts[category],"Missing")</f>
        <v>CRM</v>
      </c>
      <c r="Q1117" t="str">
        <f>_xlfn.XLOOKUP(D1117,tblSalesReps[rep_id],tblSalesReps[rep_name],"Missing")</f>
        <v>Sales Rep 17</v>
      </c>
      <c r="R1117" t="str">
        <f>_xlfn.XLOOKUP(D1117,tblSalesReps[rep_id],tblSalesReps[region],"Missing")</f>
        <v>East</v>
      </c>
    </row>
    <row r="1118" spans="1:18">
      <c r="A1118" t="s">
        <v>1613</v>
      </c>
      <c r="B1118" t="s">
        <v>1511</v>
      </c>
      <c r="C1118" t="s">
        <v>81</v>
      </c>
      <c r="D1118" t="s">
        <v>46</v>
      </c>
      <c r="E1118" s="1">
        <v>45781</v>
      </c>
      <c r="F1118" s="1">
        <v>45851</v>
      </c>
      <c r="G1118" s="1">
        <v>45851</v>
      </c>
      <c r="H1118" t="s">
        <v>28</v>
      </c>
      <c r="I1118">
        <v>1</v>
      </c>
      <c r="J1118">
        <v>20</v>
      </c>
      <c r="K1118">
        <v>240000</v>
      </c>
      <c r="L1118">
        <v>100</v>
      </c>
      <c r="M1118" t="s">
        <v>29</v>
      </c>
      <c r="N1118" t="str">
        <f>_xlfn.XLOOKUP(B1118,tblCustomers[customer_id],tblCustomers[region],"Missing")</f>
        <v>South</v>
      </c>
      <c r="O1118" t="str">
        <f>_xlfn.XLOOKUP(C1118,tblProducts[product_id],tblProducts[product_name],"Missing")</f>
        <v>Analytics Cloud</v>
      </c>
      <c r="P1118" t="str">
        <f>_xlfn.XLOOKUP(C1118,tblProducts[product_id],tblProducts[category],"Missing")</f>
        <v>Analytics</v>
      </c>
      <c r="Q1118" t="str">
        <f>_xlfn.XLOOKUP(D1118,tblSalesReps[rep_id],tblSalesReps[rep_name],"Missing")</f>
        <v>Sales Rep 01</v>
      </c>
      <c r="R1118" t="str">
        <f>_xlfn.XLOOKUP(D1118,tblSalesReps[rep_id],tblSalesReps[region],"Missing")</f>
        <v>South</v>
      </c>
    </row>
    <row r="1119" spans="1:18">
      <c r="A1119" t="s">
        <v>1614</v>
      </c>
      <c r="B1119" t="s">
        <v>1615</v>
      </c>
      <c r="C1119" t="s">
        <v>21</v>
      </c>
      <c r="D1119" t="s">
        <v>70</v>
      </c>
      <c r="E1119" s="1">
        <v>45979</v>
      </c>
      <c r="F1119" s="1">
        <v>46012</v>
      </c>
      <c r="G1119" s="1">
        <v>46012</v>
      </c>
      <c r="H1119" t="s">
        <v>28</v>
      </c>
      <c r="I1119">
        <v>2</v>
      </c>
      <c r="J1119">
        <v>10</v>
      </c>
      <c r="K1119">
        <v>432000</v>
      </c>
      <c r="L1119">
        <v>100</v>
      </c>
      <c r="M1119" t="s">
        <v>29</v>
      </c>
      <c r="N1119" t="str">
        <f>_xlfn.XLOOKUP(B1119,tblCustomers[customer_id],tblCustomers[region],"Missing")</f>
        <v>West</v>
      </c>
      <c r="O1119" t="str">
        <f>_xlfn.XLOOKUP(C1119,tblProducts[product_id],tblProducts[product_name],"Missing")</f>
        <v>Workflow Automate</v>
      </c>
      <c r="P1119" t="str">
        <f>_xlfn.XLOOKUP(C1119,tblProducts[product_id],tblProducts[category],"Missing")</f>
        <v>Automation</v>
      </c>
      <c r="Q1119" t="str">
        <f>_xlfn.XLOOKUP(D1119,tblSalesReps[rep_id],tblSalesReps[rep_name],"Missing")</f>
        <v>Sales Rep 11</v>
      </c>
      <c r="R1119" t="str">
        <f>_xlfn.XLOOKUP(D1119,tblSalesReps[rep_id],tblSalesReps[region],"Missing")</f>
        <v>West</v>
      </c>
    </row>
    <row r="1120" spans="1:18">
      <c r="A1120" t="s">
        <v>1616</v>
      </c>
      <c r="B1120" t="s">
        <v>147</v>
      </c>
      <c r="C1120" t="s">
        <v>81</v>
      </c>
      <c r="D1120" t="s">
        <v>75</v>
      </c>
      <c r="E1120" s="1">
        <v>45897</v>
      </c>
      <c r="F1120" s="1">
        <v>45911</v>
      </c>
      <c r="G1120" s="1">
        <v>45911</v>
      </c>
      <c r="H1120" t="s">
        <v>17</v>
      </c>
      <c r="I1120">
        <v>1</v>
      </c>
      <c r="J1120">
        <v>15</v>
      </c>
      <c r="K1120">
        <v>255000</v>
      </c>
      <c r="L1120">
        <v>0</v>
      </c>
      <c r="M1120" t="s">
        <v>82</v>
      </c>
      <c r="N1120" t="str">
        <f>_xlfn.XLOOKUP(B1120,tblCustomers[customer_id],tblCustomers[region],"Missing")</f>
        <v>North</v>
      </c>
      <c r="O1120" t="str">
        <f>_xlfn.XLOOKUP(C1120,tblProducts[product_id],tblProducts[product_name],"Missing")</f>
        <v>Analytics Cloud</v>
      </c>
      <c r="P1120" t="str">
        <f>_xlfn.XLOOKUP(C1120,tblProducts[product_id],tblProducts[category],"Missing")</f>
        <v>Analytics</v>
      </c>
      <c r="Q1120" t="str">
        <f>_xlfn.XLOOKUP(D1120,tblSalesReps[rep_id],tblSalesReps[rep_name],"Missing")</f>
        <v>Sales Rep 07</v>
      </c>
      <c r="R1120" t="str">
        <f>_xlfn.XLOOKUP(D1120,tblSalesReps[rep_id],tblSalesReps[region],"Missing")</f>
        <v>North</v>
      </c>
    </row>
    <row r="1121" spans="1:18">
      <c r="A1121" t="s">
        <v>1617</v>
      </c>
      <c r="B1121" t="s">
        <v>160</v>
      </c>
      <c r="C1121" t="s">
        <v>39</v>
      </c>
      <c r="D1121" t="s">
        <v>59</v>
      </c>
      <c r="E1121" s="1">
        <v>45737</v>
      </c>
      <c r="F1121" s="1">
        <v>45769</v>
      </c>
      <c r="G1121" s="1">
        <v>45769</v>
      </c>
      <c r="H1121" t="s">
        <v>28</v>
      </c>
      <c r="I1121">
        <v>3</v>
      </c>
      <c r="J1121">
        <v>20</v>
      </c>
      <c r="K1121">
        <v>432000</v>
      </c>
      <c r="L1121">
        <v>100</v>
      </c>
      <c r="M1121" t="s">
        <v>29</v>
      </c>
      <c r="N1121" t="str">
        <f>_xlfn.XLOOKUP(B1121,tblCustomers[customer_id],tblCustomers[region],"Missing")</f>
        <v>East</v>
      </c>
      <c r="O1121" t="str">
        <f>_xlfn.XLOOKUP(C1121,tblProducts[product_id],tblProducts[product_name],"Missing")</f>
        <v>Support Desk</v>
      </c>
      <c r="P1121" t="str">
        <f>_xlfn.XLOOKUP(C1121,tblProducts[product_id],tblProducts[category],"Missing")</f>
        <v>Service</v>
      </c>
      <c r="Q1121" t="str">
        <f>_xlfn.XLOOKUP(D1121,tblSalesReps[rep_id],tblSalesReps[rep_name],"Missing")</f>
        <v>Sales Rep 19</v>
      </c>
      <c r="R1121" t="str">
        <f>_xlfn.XLOOKUP(D1121,tblSalesReps[rep_id],tblSalesReps[region],"Missing")</f>
        <v>East</v>
      </c>
    </row>
    <row r="1122" spans="1:18">
      <c r="A1122" t="s">
        <v>1618</v>
      </c>
      <c r="B1122" t="s">
        <v>358</v>
      </c>
      <c r="C1122" t="s">
        <v>62</v>
      </c>
      <c r="D1122" t="s">
        <v>75</v>
      </c>
      <c r="E1122" s="1">
        <v>45804</v>
      </c>
      <c r="F1122" s="1">
        <v>45881</v>
      </c>
      <c r="G1122" s="1">
        <v>45881</v>
      </c>
      <c r="H1122" t="s">
        <v>17</v>
      </c>
      <c r="I1122">
        <v>1</v>
      </c>
      <c r="J1122">
        <v>10</v>
      </c>
      <c r="K1122">
        <v>108000</v>
      </c>
      <c r="L1122">
        <v>0</v>
      </c>
      <c r="M1122" t="s">
        <v>33</v>
      </c>
      <c r="N1122" t="str">
        <f>_xlfn.XLOOKUP(B1122,tblCustomers[customer_id],tblCustomers[region],"Missing")</f>
        <v>North</v>
      </c>
      <c r="O1122" t="str">
        <f>_xlfn.XLOOKUP(C1122,tblProducts[product_id],tblProducts[product_name],"Missing")</f>
        <v>CRM Essentials</v>
      </c>
      <c r="P1122" t="str">
        <f>_xlfn.XLOOKUP(C1122,tblProducts[product_id],tblProducts[category],"Missing")</f>
        <v>CRM</v>
      </c>
      <c r="Q1122" t="str">
        <f>_xlfn.XLOOKUP(D1122,tblSalesReps[rep_id],tblSalesReps[rep_name],"Missing")</f>
        <v>Sales Rep 07</v>
      </c>
      <c r="R1122" t="str">
        <f>_xlfn.XLOOKUP(D1122,tblSalesReps[rep_id],tblSalesReps[region],"Missing")</f>
        <v>North</v>
      </c>
    </row>
    <row r="1123" spans="1:18">
      <c r="A1123" t="s">
        <v>1619</v>
      </c>
      <c r="B1123" t="s">
        <v>1620</v>
      </c>
      <c r="C1123" t="s">
        <v>15</v>
      </c>
      <c r="D1123" t="s">
        <v>126</v>
      </c>
      <c r="E1123" s="1">
        <v>45860</v>
      </c>
      <c r="F1123" s="1">
        <v>45887</v>
      </c>
      <c r="G1123" s="1"/>
      <c r="H1123" t="s">
        <v>43</v>
      </c>
      <c r="I1123">
        <v>1</v>
      </c>
      <c r="J1123">
        <v>15</v>
      </c>
      <c r="K1123">
        <v>357000</v>
      </c>
      <c r="L1123">
        <v>20</v>
      </c>
      <c r="M1123" t="s">
        <v>29</v>
      </c>
      <c r="N1123" t="str">
        <f>_xlfn.XLOOKUP(B1123,tblCustomers[customer_id],tblCustomers[region],"Missing")</f>
        <v>South</v>
      </c>
      <c r="O1123" t="str">
        <f>_xlfn.XLOOKUP(C1123,tblProducts[product_id],tblProducts[product_name],"Missing")</f>
        <v>CRM Enterprise</v>
      </c>
      <c r="P1123" t="str">
        <f>_xlfn.XLOOKUP(C1123,tblProducts[product_id],tblProducts[category],"Missing")</f>
        <v>CRM</v>
      </c>
      <c r="Q1123" t="str">
        <f>_xlfn.XLOOKUP(D1123,tblSalesReps[rep_id],tblSalesReps[rep_name],"Missing")</f>
        <v>Sales Rep 02</v>
      </c>
      <c r="R1123" t="str">
        <f>_xlfn.XLOOKUP(D1123,tblSalesReps[rep_id],tblSalesReps[region],"Missing")</f>
        <v>South</v>
      </c>
    </row>
    <row r="1124" spans="1:18">
      <c r="A1124" t="s">
        <v>1621</v>
      </c>
      <c r="B1124" t="s">
        <v>1060</v>
      </c>
      <c r="C1124" t="s">
        <v>39</v>
      </c>
      <c r="D1124" t="s">
        <v>53</v>
      </c>
      <c r="E1124" s="1">
        <v>45783</v>
      </c>
      <c r="F1124" s="1">
        <v>45836</v>
      </c>
      <c r="G1124" s="1">
        <v>45836</v>
      </c>
      <c r="H1124" t="s">
        <v>17</v>
      </c>
      <c r="I1124">
        <v>1</v>
      </c>
      <c r="J1124">
        <v>0</v>
      </c>
      <c r="K1124">
        <v>180000</v>
      </c>
      <c r="L1124">
        <v>0</v>
      </c>
      <c r="M1124" t="s">
        <v>23</v>
      </c>
      <c r="N1124" t="str">
        <f>_xlfn.XLOOKUP(B1124,tblCustomers[customer_id],tblCustomers[region],"Missing")</f>
        <v>East</v>
      </c>
      <c r="O1124" t="str">
        <f>_xlfn.XLOOKUP(C1124,tblProducts[product_id],tblProducts[product_name],"Missing")</f>
        <v>Support Desk</v>
      </c>
      <c r="P1124" t="str">
        <f>_xlfn.XLOOKUP(C1124,tblProducts[product_id],tblProducts[category],"Missing")</f>
        <v>Service</v>
      </c>
      <c r="Q1124" t="str">
        <f>_xlfn.XLOOKUP(D1124,tblSalesReps[rep_id],tblSalesReps[rep_name],"Missing")</f>
        <v>Sales Rep 16</v>
      </c>
      <c r="R1124" t="str">
        <f>_xlfn.XLOOKUP(D1124,tblSalesReps[rep_id],tblSalesReps[region],"Missing")</f>
        <v>East</v>
      </c>
    </row>
    <row r="1125" spans="1:18">
      <c r="A1125" t="s">
        <v>1622</v>
      </c>
      <c r="B1125" t="s">
        <v>204</v>
      </c>
      <c r="C1125" t="s">
        <v>62</v>
      </c>
      <c r="D1125" t="s">
        <v>32</v>
      </c>
      <c r="E1125" s="1">
        <v>45662</v>
      </c>
      <c r="F1125" s="1">
        <v>45715</v>
      </c>
      <c r="G1125" s="1">
        <v>45715</v>
      </c>
      <c r="H1125" t="s">
        <v>28</v>
      </c>
      <c r="I1125">
        <v>1</v>
      </c>
      <c r="J1125">
        <v>20</v>
      </c>
      <c r="K1125">
        <v>96000</v>
      </c>
      <c r="L1125">
        <v>100</v>
      </c>
      <c r="M1125" t="s">
        <v>29</v>
      </c>
      <c r="N1125" t="str">
        <f>_xlfn.XLOOKUP(B1125,tblCustomers[customer_id],tblCustomers[region],"Missing")</f>
        <v>South</v>
      </c>
      <c r="O1125" t="str">
        <f>_xlfn.XLOOKUP(C1125,tblProducts[product_id],tblProducts[product_name],"Missing")</f>
        <v>CRM Essentials</v>
      </c>
      <c r="P1125" t="str">
        <f>_xlfn.XLOOKUP(C1125,tblProducts[product_id],tblProducts[category],"Missing")</f>
        <v>CRM</v>
      </c>
      <c r="Q1125" t="str">
        <f>_xlfn.XLOOKUP(D1125,tblSalesReps[rep_id],tblSalesReps[rep_name],"Missing")</f>
        <v>Sales Rep 04</v>
      </c>
      <c r="R1125" t="str">
        <f>_xlfn.XLOOKUP(D1125,tblSalesReps[rep_id],tblSalesReps[region],"Missing")</f>
        <v>South</v>
      </c>
    </row>
    <row r="1126" spans="1:18">
      <c r="A1126" t="s">
        <v>1623</v>
      </c>
      <c r="B1126" t="s">
        <v>156</v>
      </c>
      <c r="C1126" t="s">
        <v>21</v>
      </c>
      <c r="D1126" t="s">
        <v>119</v>
      </c>
      <c r="E1126" s="1">
        <v>45807</v>
      </c>
      <c r="F1126" s="1">
        <v>45842</v>
      </c>
      <c r="G1126" s="1">
        <v>45842</v>
      </c>
      <c r="H1126" t="s">
        <v>17</v>
      </c>
      <c r="I1126">
        <v>1</v>
      </c>
      <c r="J1126">
        <v>0</v>
      </c>
      <c r="K1126">
        <v>240000</v>
      </c>
      <c r="L1126">
        <v>0</v>
      </c>
      <c r="M1126" t="s">
        <v>23</v>
      </c>
      <c r="N1126" t="str">
        <f>_xlfn.XLOOKUP(B1126,tblCustomers[customer_id],tblCustomers[region],"Missing")</f>
        <v>North</v>
      </c>
      <c r="O1126" t="str">
        <f>_xlfn.XLOOKUP(C1126,tblProducts[product_id],tblProducts[product_name],"Missing")</f>
        <v>Workflow Automate</v>
      </c>
      <c r="P1126" t="str">
        <f>_xlfn.XLOOKUP(C1126,tblProducts[product_id],tblProducts[category],"Missing")</f>
        <v>Automation</v>
      </c>
      <c r="Q1126" t="str">
        <f>_xlfn.XLOOKUP(D1126,tblSalesReps[rep_id],tblSalesReps[rep_name],"Missing")</f>
        <v>Sales Rep 10</v>
      </c>
      <c r="R1126" t="str">
        <f>_xlfn.XLOOKUP(D1126,tblSalesReps[rep_id],tblSalesReps[region],"Missing")</f>
        <v>North</v>
      </c>
    </row>
    <row r="1127" spans="1:18">
      <c r="A1127" t="s">
        <v>1624</v>
      </c>
      <c r="B1127" t="s">
        <v>491</v>
      </c>
      <c r="C1127" t="s">
        <v>21</v>
      </c>
      <c r="D1127" t="s">
        <v>59</v>
      </c>
      <c r="E1127" s="1">
        <v>45783</v>
      </c>
      <c r="F1127" s="1">
        <v>45868</v>
      </c>
      <c r="G1127" s="1">
        <v>45868</v>
      </c>
      <c r="H1127" t="s">
        <v>28</v>
      </c>
      <c r="I1127">
        <v>1</v>
      </c>
      <c r="J1127">
        <v>5</v>
      </c>
      <c r="K1127">
        <v>228000</v>
      </c>
      <c r="L1127">
        <v>100</v>
      </c>
      <c r="M1127" t="s">
        <v>29</v>
      </c>
      <c r="N1127" t="str">
        <f>_xlfn.XLOOKUP(B1127,tblCustomers[customer_id],tblCustomers[region],"Missing")</f>
        <v>East</v>
      </c>
      <c r="O1127" t="str">
        <f>_xlfn.XLOOKUP(C1127,tblProducts[product_id],tblProducts[product_name],"Missing")</f>
        <v>Workflow Automate</v>
      </c>
      <c r="P1127" t="str">
        <f>_xlfn.XLOOKUP(C1127,tblProducts[product_id],tblProducts[category],"Missing")</f>
        <v>Automation</v>
      </c>
      <c r="Q1127" t="str">
        <f>_xlfn.XLOOKUP(D1127,tblSalesReps[rep_id],tblSalesReps[rep_name],"Missing")</f>
        <v>Sales Rep 19</v>
      </c>
      <c r="R1127" t="str">
        <f>_xlfn.XLOOKUP(D1127,tblSalesReps[rep_id],tblSalesReps[region],"Missing")</f>
        <v>East</v>
      </c>
    </row>
    <row r="1128" spans="1:18">
      <c r="A1128" t="s">
        <v>1625</v>
      </c>
      <c r="B1128" t="s">
        <v>888</v>
      </c>
      <c r="C1128" t="s">
        <v>81</v>
      </c>
      <c r="D1128" t="s">
        <v>32</v>
      </c>
      <c r="E1128" s="1">
        <v>45790</v>
      </c>
      <c r="F1128" s="1">
        <v>45816</v>
      </c>
      <c r="G1128" s="1"/>
      <c r="H1128" t="s">
        <v>43</v>
      </c>
      <c r="I1128">
        <v>2</v>
      </c>
      <c r="J1128">
        <v>20</v>
      </c>
      <c r="K1128">
        <v>480000</v>
      </c>
      <c r="L1128">
        <v>80</v>
      </c>
      <c r="M1128" t="s">
        <v>29</v>
      </c>
      <c r="N1128" t="str">
        <f>_xlfn.XLOOKUP(B1128,tblCustomers[customer_id],tblCustomers[region],"Missing")</f>
        <v>South</v>
      </c>
      <c r="O1128" t="str">
        <f>_xlfn.XLOOKUP(C1128,tblProducts[product_id],tblProducts[product_name],"Missing")</f>
        <v>Analytics Cloud</v>
      </c>
      <c r="P1128" t="str">
        <f>_xlfn.XLOOKUP(C1128,tblProducts[product_id],tblProducts[category],"Missing")</f>
        <v>Analytics</v>
      </c>
      <c r="Q1128" t="str">
        <f>_xlfn.XLOOKUP(D1128,tblSalesReps[rep_id],tblSalesReps[rep_name],"Missing")</f>
        <v>Sales Rep 04</v>
      </c>
      <c r="R1128" t="str">
        <f>_xlfn.XLOOKUP(D1128,tblSalesReps[rep_id],tblSalesReps[region],"Missing")</f>
        <v>South</v>
      </c>
    </row>
    <row r="1129" spans="1:18">
      <c r="A1129" t="s">
        <v>1626</v>
      </c>
      <c r="B1129" t="s">
        <v>102</v>
      </c>
      <c r="C1129" t="s">
        <v>62</v>
      </c>
      <c r="D1129" t="s">
        <v>78</v>
      </c>
      <c r="E1129" s="1">
        <v>45937</v>
      </c>
      <c r="F1129" s="1">
        <v>46001</v>
      </c>
      <c r="G1129" s="1"/>
      <c r="H1129" t="s">
        <v>43</v>
      </c>
      <c r="I1129">
        <v>2</v>
      </c>
      <c r="J1129">
        <v>10</v>
      </c>
      <c r="K1129">
        <v>216000</v>
      </c>
      <c r="L1129">
        <v>20</v>
      </c>
      <c r="M1129" t="s">
        <v>29</v>
      </c>
      <c r="N1129" t="str">
        <f>_xlfn.XLOOKUP(B1129,tblCustomers[customer_id],tblCustomers[region],"Missing")</f>
        <v>West</v>
      </c>
      <c r="O1129" t="str">
        <f>_xlfn.XLOOKUP(C1129,tblProducts[product_id],tblProducts[product_name],"Missing")</f>
        <v>CRM Essentials</v>
      </c>
      <c r="P1129" t="str">
        <f>_xlfn.XLOOKUP(C1129,tblProducts[product_id],tblProducts[category],"Missing")</f>
        <v>CRM</v>
      </c>
      <c r="Q1129" t="str">
        <f>_xlfn.XLOOKUP(D1129,tblSalesReps[rep_id],tblSalesReps[rep_name],"Missing")</f>
        <v>Sales Rep 12</v>
      </c>
      <c r="R1129" t="str">
        <f>_xlfn.XLOOKUP(D1129,tblSalesReps[rep_id],tblSalesReps[region],"Missing")</f>
        <v>West</v>
      </c>
    </row>
    <row r="1130" spans="1:18">
      <c r="A1130" t="s">
        <v>1627</v>
      </c>
      <c r="B1130" t="s">
        <v>360</v>
      </c>
      <c r="C1130" t="s">
        <v>81</v>
      </c>
      <c r="D1130" t="s">
        <v>70</v>
      </c>
      <c r="E1130" s="1">
        <v>46001</v>
      </c>
      <c r="F1130" s="1">
        <v>46067</v>
      </c>
      <c r="G1130" s="1"/>
      <c r="H1130" t="s">
        <v>43</v>
      </c>
      <c r="I1130">
        <v>1</v>
      </c>
      <c r="J1130">
        <v>5</v>
      </c>
      <c r="K1130">
        <v>285000</v>
      </c>
      <c r="L1130">
        <v>80</v>
      </c>
      <c r="M1130" t="s">
        <v>29</v>
      </c>
      <c r="N1130" t="str">
        <f>_xlfn.XLOOKUP(B1130,tblCustomers[customer_id],tblCustomers[region],"Missing")</f>
        <v>West</v>
      </c>
      <c r="O1130" t="str">
        <f>_xlfn.XLOOKUP(C1130,tblProducts[product_id],tblProducts[product_name],"Missing")</f>
        <v>Analytics Cloud</v>
      </c>
      <c r="P1130" t="str">
        <f>_xlfn.XLOOKUP(C1130,tblProducts[product_id],tblProducts[category],"Missing")</f>
        <v>Analytics</v>
      </c>
      <c r="Q1130" t="str">
        <f>_xlfn.XLOOKUP(D1130,tblSalesReps[rep_id],tblSalesReps[rep_name],"Missing")</f>
        <v>Sales Rep 11</v>
      </c>
      <c r="R1130" t="str">
        <f>_xlfn.XLOOKUP(D1130,tblSalesReps[rep_id],tblSalesReps[region],"Missing")</f>
        <v>West</v>
      </c>
    </row>
    <row r="1131" spans="1:18">
      <c r="A1131" t="s">
        <v>1628</v>
      </c>
      <c r="B1131" t="s">
        <v>547</v>
      </c>
      <c r="C1131" t="s">
        <v>81</v>
      </c>
      <c r="D1131" t="s">
        <v>59</v>
      </c>
      <c r="E1131" s="1">
        <v>45730</v>
      </c>
      <c r="F1131" s="1">
        <v>45745</v>
      </c>
      <c r="G1131" s="1">
        <v>45745</v>
      </c>
      <c r="H1131" t="s">
        <v>28</v>
      </c>
      <c r="I1131">
        <v>2</v>
      </c>
      <c r="J1131">
        <v>0</v>
      </c>
      <c r="K1131">
        <v>600000</v>
      </c>
      <c r="L1131">
        <v>100</v>
      </c>
      <c r="M1131" t="s">
        <v>29</v>
      </c>
      <c r="N1131" t="str">
        <f>_xlfn.XLOOKUP(B1131,tblCustomers[customer_id],tblCustomers[region],"Missing")</f>
        <v>East</v>
      </c>
      <c r="O1131" t="str">
        <f>_xlfn.XLOOKUP(C1131,tblProducts[product_id],tblProducts[product_name],"Missing")</f>
        <v>Analytics Cloud</v>
      </c>
      <c r="P1131" t="str">
        <f>_xlfn.XLOOKUP(C1131,tblProducts[product_id],tblProducts[category],"Missing")</f>
        <v>Analytics</v>
      </c>
      <c r="Q1131" t="str">
        <f>_xlfn.XLOOKUP(D1131,tblSalesReps[rep_id],tblSalesReps[rep_name],"Missing")</f>
        <v>Sales Rep 19</v>
      </c>
      <c r="R1131" t="str">
        <f>_xlfn.XLOOKUP(D1131,tblSalesReps[rep_id],tblSalesReps[region],"Missing")</f>
        <v>East</v>
      </c>
    </row>
    <row r="1132" spans="1:18">
      <c r="A1132" t="s">
        <v>1629</v>
      </c>
      <c r="B1132" t="s">
        <v>1250</v>
      </c>
      <c r="C1132" t="s">
        <v>62</v>
      </c>
      <c r="D1132" t="s">
        <v>126</v>
      </c>
      <c r="E1132" s="1">
        <v>45708</v>
      </c>
      <c r="F1132" s="1">
        <v>45754</v>
      </c>
      <c r="G1132" s="1">
        <v>45754</v>
      </c>
      <c r="H1132" t="s">
        <v>17</v>
      </c>
      <c r="I1132">
        <v>1</v>
      </c>
      <c r="J1132">
        <v>20</v>
      </c>
      <c r="K1132">
        <v>96000</v>
      </c>
      <c r="L1132">
        <v>0</v>
      </c>
      <c r="M1132" t="s">
        <v>47</v>
      </c>
      <c r="N1132" t="str">
        <f>_xlfn.XLOOKUP(B1132,tblCustomers[customer_id],tblCustomers[region],"Missing")</f>
        <v>South</v>
      </c>
      <c r="O1132" t="str">
        <f>_xlfn.XLOOKUP(C1132,tblProducts[product_id],tblProducts[product_name],"Missing")</f>
        <v>CRM Essentials</v>
      </c>
      <c r="P1132" t="str">
        <f>_xlfn.XLOOKUP(C1132,tblProducts[product_id],tblProducts[category],"Missing")</f>
        <v>CRM</v>
      </c>
      <c r="Q1132" t="str">
        <f>_xlfn.XLOOKUP(D1132,tblSalesReps[rep_id],tblSalesReps[rep_name],"Missing")</f>
        <v>Sales Rep 02</v>
      </c>
      <c r="R1132" t="str">
        <f>_xlfn.XLOOKUP(D1132,tblSalesReps[rep_id],tblSalesReps[region],"Missing")</f>
        <v>South</v>
      </c>
    </row>
    <row r="1133" spans="1:18">
      <c r="A1133" t="s">
        <v>1630</v>
      </c>
      <c r="B1133" t="s">
        <v>42</v>
      </c>
      <c r="C1133" t="s">
        <v>81</v>
      </c>
      <c r="D1133" t="s">
        <v>119</v>
      </c>
      <c r="E1133" s="1">
        <v>45864</v>
      </c>
      <c r="F1133" s="1">
        <v>45928</v>
      </c>
      <c r="G1133" s="1"/>
      <c r="H1133" t="s">
        <v>43</v>
      </c>
      <c r="I1133">
        <v>1</v>
      </c>
      <c r="J1133">
        <v>20</v>
      </c>
      <c r="K1133">
        <v>240000</v>
      </c>
      <c r="L1133">
        <v>60</v>
      </c>
      <c r="M1133" t="s">
        <v>29</v>
      </c>
      <c r="N1133" t="str">
        <f>_xlfn.XLOOKUP(B1133,tblCustomers[customer_id],tblCustomers[region],"Missing")</f>
        <v>North</v>
      </c>
      <c r="O1133" t="str">
        <f>_xlfn.XLOOKUP(C1133,tblProducts[product_id],tblProducts[product_name],"Missing")</f>
        <v>Analytics Cloud</v>
      </c>
      <c r="P1133" t="str">
        <f>_xlfn.XLOOKUP(C1133,tblProducts[product_id],tblProducts[category],"Missing")</f>
        <v>Analytics</v>
      </c>
      <c r="Q1133" t="str">
        <f>_xlfn.XLOOKUP(D1133,tblSalesReps[rep_id],tblSalesReps[rep_name],"Missing")</f>
        <v>Sales Rep 10</v>
      </c>
      <c r="R1133" t="str">
        <f>_xlfn.XLOOKUP(D1133,tblSalesReps[rep_id],tblSalesReps[region],"Missing")</f>
        <v>North</v>
      </c>
    </row>
    <row r="1134" spans="1:18">
      <c r="A1134" t="s">
        <v>1631</v>
      </c>
      <c r="B1134" t="s">
        <v>761</v>
      </c>
      <c r="C1134" t="s">
        <v>26</v>
      </c>
      <c r="D1134" t="s">
        <v>32</v>
      </c>
      <c r="E1134" s="1">
        <v>46007</v>
      </c>
      <c r="F1134" s="1">
        <v>46075</v>
      </c>
      <c r="G1134" s="1"/>
      <c r="H1134" t="s">
        <v>43</v>
      </c>
      <c r="I1134">
        <v>1</v>
      </c>
      <c r="J1134">
        <v>5</v>
      </c>
      <c r="K1134">
        <v>342000</v>
      </c>
      <c r="L1134">
        <v>60</v>
      </c>
      <c r="M1134" t="s">
        <v>29</v>
      </c>
      <c r="N1134" t="str">
        <f>_xlfn.XLOOKUP(B1134,tblCustomers[customer_id],tblCustomers[region],"Missing")</f>
        <v>South</v>
      </c>
      <c r="O1134" t="str">
        <f>_xlfn.XLOOKUP(C1134,tblProducts[product_id],tblProducts[product_name],"Missing")</f>
        <v>Security Suite</v>
      </c>
      <c r="P1134" t="str">
        <f>_xlfn.XLOOKUP(C1134,tblProducts[product_id],tblProducts[category],"Missing")</f>
        <v>Security</v>
      </c>
      <c r="Q1134" t="str">
        <f>_xlfn.XLOOKUP(D1134,tblSalesReps[rep_id],tblSalesReps[rep_name],"Missing")</f>
        <v>Sales Rep 04</v>
      </c>
      <c r="R1134" t="str">
        <f>_xlfn.XLOOKUP(D1134,tblSalesReps[rep_id],tblSalesReps[region],"Missing")</f>
        <v>South</v>
      </c>
    </row>
    <row r="1135" spans="1:18">
      <c r="A1135" t="s">
        <v>1632</v>
      </c>
      <c r="B1135" t="s">
        <v>529</v>
      </c>
      <c r="C1135" t="s">
        <v>26</v>
      </c>
      <c r="D1135" t="s">
        <v>63</v>
      </c>
      <c r="E1135" s="1">
        <v>45901</v>
      </c>
      <c r="F1135" s="1">
        <v>45960</v>
      </c>
      <c r="G1135" s="1">
        <v>45960</v>
      </c>
      <c r="H1135" t="s">
        <v>17</v>
      </c>
      <c r="I1135">
        <v>1</v>
      </c>
      <c r="J1135">
        <v>10</v>
      </c>
      <c r="K1135">
        <v>324000</v>
      </c>
      <c r="L1135">
        <v>0</v>
      </c>
      <c r="M1135" t="s">
        <v>33</v>
      </c>
      <c r="N1135" t="str">
        <f>_xlfn.XLOOKUP(B1135,tblCustomers[customer_id],tblCustomers[region],"Missing")</f>
        <v>South</v>
      </c>
      <c r="O1135" t="str">
        <f>_xlfn.XLOOKUP(C1135,tblProducts[product_id],tblProducts[product_name],"Missing")</f>
        <v>Security Suite</v>
      </c>
      <c r="P1135" t="str">
        <f>_xlfn.XLOOKUP(C1135,tblProducts[product_id],tblProducts[category],"Missing")</f>
        <v>Security</v>
      </c>
      <c r="Q1135" t="str">
        <f>_xlfn.XLOOKUP(D1135,tblSalesReps[rep_id],tblSalesReps[rep_name],"Missing")</f>
        <v>Sales Rep 05</v>
      </c>
      <c r="R1135" t="str">
        <f>_xlfn.XLOOKUP(D1135,tblSalesReps[rep_id],tblSalesReps[region],"Missing")</f>
        <v>South</v>
      </c>
    </row>
    <row r="1136" spans="1:18">
      <c r="A1136" t="s">
        <v>1633</v>
      </c>
      <c r="B1136" t="s">
        <v>1634</v>
      </c>
      <c r="C1136" t="s">
        <v>62</v>
      </c>
      <c r="D1136" t="s">
        <v>50</v>
      </c>
      <c r="E1136" s="1">
        <v>45967</v>
      </c>
      <c r="F1136" s="1">
        <v>46034</v>
      </c>
      <c r="G1136" s="1"/>
      <c r="H1136" t="s">
        <v>43</v>
      </c>
      <c r="I1136">
        <v>1</v>
      </c>
      <c r="J1136">
        <v>20</v>
      </c>
      <c r="K1136">
        <v>96000</v>
      </c>
      <c r="L1136">
        <v>80</v>
      </c>
      <c r="M1136" t="s">
        <v>29</v>
      </c>
      <c r="N1136" t="str">
        <f>_xlfn.XLOOKUP(B1136,tblCustomers[customer_id],tblCustomers[region],"Missing")</f>
        <v>West</v>
      </c>
      <c r="O1136" t="str">
        <f>_xlfn.XLOOKUP(C1136,tblProducts[product_id],tblProducts[product_name],"Missing")</f>
        <v>CRM Essentials</v>
      </c>
      <c r="P1136" t="str">
        <f>_xlfn.XLOOKUP(C1136,tblProducts[product_id],tblProducts[category],"Missing")</f>
        <v>CRM</v>
      </c>
      <c r="Q1136" t="str">
        <f>_xlfn.XLOOKUP(D1136,tblSalesReps[rep_id],tblSalesReps[rep_name],"Missing")</f>
        <v>Sales Rep 15</v>
      </c>
      <c r="R1136" t="str">
        <f>_xlfn.XLOOKUP(D1136,tblSalesReps[rep_id],tblSalesReps[region],"Missing")</f>
        <v>West</v>
      </c>
    </row>
    <row r="1137" spans="1:18">
      <c r="A1137" t="s">
        <v>1635</v>
      </c>
      <c r="B1137" t="s">
        <v>131</v>
      </c>
      <c r="C1137" t="s">
        <v>15</v>
      </c>
      <c r="D1137" t="s">
        <v>16</v>
      </c>
      <c r="E1137" s="1">
        <v>45868</v>
      </c>
      <c r="F1137" s="1">
        <v>45935</v>
      </c>
      <c r="G1137" s="1">
        <v>45935</v>
      </c>
      <c r="H1137" t="s">
        <v>17</v>
      </c>
      <c r="I1137">
        <v>3</v>
      </c>
      <c r="J1137">
        <v>20</v>
      </c>
      <c r="K1137">
        <v>1008000</v>
      </c>
      <c r="L1137">
        <v>0</v>
      </c>
      <c r="M1137" t="s">
        <v>82</v>
      </c>
      <c r="N1137" t="str">
        <f>_xlfn.XLOOKUP(B1137,tblCustomers[customer_id],tblCustomers[region],"Missing")</f>
        <v>North</v>
      </c>
      <c r="O1137" t="str">
        <f>_xlfn.XLOOKUP(C1137,tblProducts[product_id],tblProducts[product_name],"Missing")</f>
        <v>CRM Enterprise</v>
      </c>
      <c r="P1137" t="str">
        <f>_xlfn.XLOOKUP(C1137,tblProducts[product_id],tblProducts[category],"Missing")</f>
        <v>CRM</v>
      </c>
      <c r="Q1137" t="str">
        <f>_xlfn.XLOOKUP(D1137,tblSalesReps[rep_id],tblSalesReps[rep_name],"Missing")</f>
        <v>Sales Rep 08</v>
      </c>
      <c r="R1137" t="str">
        <f>_xlfn.XLOOKUP(D1137,tblSalesReps[rep_id],tblSalesReps[region],"Missing")</f>
        <v>North</v>
      </c>
    </row>
    <row r="1138" spans="1:18">
      <c r="A1138" t="s">
        <v>1636</v>
      </c>
      <c r="B1138" t="s">
        <v>880</v>
      </c>
      <c r="C1138" t="s">
        <v>15</v>
      </c>
      <c r="D1138" t="s">
        <v>22</v>
      </c>
      <c r="E1138" s="1">
        <v>45724</v>
      </c>
      <c r="F1138" s="1">
        <v>45757</v>
      </c>
      <c r="G1138" s="1">
        <v>45757</v>
      </c>
      <c r="H1138" t="s">
        <v>17</v>
      </c>
      <c r="I1138">
        <v>1</v>
      </c>
      <c r="J1138">
        <v>0</v>
      </c>
      <c r="K1138">
        <v>420000</v>
      </c>
      <c r="L1138">
        <v>0</v>
      </c>
      <c r="M1138" t="s">
        <v>47</v>
      </c>
      <c r="N1138" t="str">
        <f>_xlfn.XLOOKUP(B1138,tblCustomers[customer_id],tblCustomers[region],"Missing")</f>
        <v>West</v>
      </c>
      <c r="O1138" t="str">
        <f>_xlfn.XLOOKUP(C1138,tblProducts[product_id],tblProducts[product_name],"Missing")</f>
        <v>CRM Enterprise</v>
      </c>
      <c r="P1138" t="str">
        <f>_xlfn.XLOOKUP(C1138,tblProducts[product_id],tblProducts[category],"Missing")</f>
        <v>CRM</v>
      </c>
      <c r="Q1138" t="str">
        <f>_xlfn.XLOOKUP(D1138,tblSalesReps[rep_id],tblSalesReps[rep_name],"Missing")</f>
        <v>Sales Rep 14</v>
      </c>
      <c r="R1138" t="str">
        <f>_xlfn.XLOOKUP(D1138,tblSalesReps[rep_id],tblSalesReps[region],"Missing")</f>
        <v>West</v>
      </c>
    </row>
    <row r="1139" spans="1:18">
      <c r="A1139" t="s">
        <v>1637</v>
      </c>
      <c r="B1139" t="s">
        <v>325</v>
      </c>
      <c r="C1139" t="s">
        <v>81</v>
      </c>
      <c r="D1139" t="s">
        <v>46</v>
      </c>
      <c r="E1139" s="1">
        <v>45874</v>
      </c>
      <c r="F1139" s="1">
        <v>45918</v>
      </c>
      <c r="G1139" s="1">
        <v>45918</v>
      </c>
      <c r="H1139" t="s">
        <v>28</v>
      </c>
      <c r="I1139">
        <v>1</v>
      </c>
      <c r="J1139">
        <v>20</v>
      </c>
      <c r="K1139">
        <v>240000</v>
      </c>
      <c r="L1139">
        <v>100</v>
      </c>
      <c r="M1139" t="s">
        <v>29</v>
      </c>
      <c r="N1139" t="str">
        <f>_xlfn.XLOOKUP(B1139,tblCustomers[customer_id],tblCustomers[region],"Missing")</f>
        <v>South</v>
      </c>
      <c r="O1139" t="str">
        <f>_xlfn.XLOOKUP(C1139,tblProducts[product_id],tblProducts[product_name],"Missing")</f>
        <v>Analytics Cloud</v>
      </c>
      <c r="P1139" t="str">
        <f>_xlfn.XLOOKUP(C1139,tblProducts[product_id],tblProducts[category],"Missing")</f>
        <v>Analytics</v>
      </c>
      <c r="Q1139" t="str">
        <f>_xlfn.XLOOKUP(D1139,tblSalesReps[rep_id],tblSalesReps[rep_name],"Missing")</f>
        <v>Sales Rep 01</v>
      </c>
      <c r="R1139" t="str">
        <f>_xlfn.XLOOKUP(D1139,tblSalesReps[rep_id],tblSalesReps[region],"Missing")</f>
        <v>South</v>
      </c>
    </row>
    <row r="1140" spans="1:18">
      <c r="A1140" t="s">
        <v>1638</v>
      </c>
      <c r="B1140" t="s">
        <v>1639</v>
      </c>
      <c r="C1140" t="s">
        <v>62</v>
      </c>
      <c r="D1140" t="s">
        <v>16</v>
      </c>
      <c r="E1140" s="1">
        <v>45747</v>
      </c>
      <c r="F1140" s="1">
        <v>45808</v>
      </c>
      <c r="G1140" s="1"/>
      <c r="H1140" t="s">
        <v>43</v>
      </c>
      <c r="I1140">
        <v>3</v>
      </c>
      <c r="J1140">
        <v>0</v>
      </c>
      <c r="K1140">
        <v>360000</v>
      </c>
      <c r="L1140">
        <v>40</v>
      </c>
      <c r="M1140" t="s">
        <v>29</v>
      </c>
      <c r="N1140" t="str">
        <f>_xlfn.XLOOKUP(B1140,tblCustomers[customer_id],tblCustomers[region],"Missing")</f>
        <v>North</v>
      </c>
      <c r="O1140" t="str">
        <f>_xlfn.XLOOKUP(C1140,tblProducts[product_id],tblProducts[product_name],"Missing")</f>
        <v>CRM Essentials</v>
      </c>
      <c r="P1140" t="str">
        <f>_xlfn.XLOOKUP(C1140,tblProducts[product_id],tblProducts[category],"Missing")</f>
        <v>CRM</v>
      </c>
      <c r="Q1140" t="str">
        <f>_xlfn.XLOOKUP(D1140,tblSalesReps[rep_id],tblSalesReps[rep_name],"Missing")</f>
        <v>Sales Rep 08</v>
      </c>
      <c r="R1140" t="str">
        <f>_xlfn.XLOOKUP(D1140,tblSalesReps[rep_id],tblSalesReps[region],"Missing")</f>
        <v>North</v>
      </c>
    </row>
    <row r="1141" spans="1:18">
      <c r="A1141" t="s">
        <v>1640</v>
      </c>
      <c r="B1141" t="s">
        <v>1598</v>
      </c>
      <c r="C1141" t="s">
        <v>21</v>
      </c>
      <c r="D1141" t="s">
        <v>75</v>
      </c>
      <c r="E1141" s="1">
        <v>46005</v>
      </c>
      <c r="F1141" s="1">
        <v>46075</v>
      </c>
      <c r="G1141" s="1"/>
      <c r="H1141" t="s">
        <v>43</v>
      </c>
      <c r="I1141">
        <v>1</v>
      </c>
      <c r="J1141">
        <v>0</v>
      </c>
      <c r="K1141">
        <v>240000</v>
      </c>
      <c r="L1141">
        <v>80</v>
      </c>
      <c r="M1141" t="s">
        <v>29</v>
      </c>
      <c r="N1141" t="str">
        <f>_xlfn.XLOOKUP(B1141,tblCustomers[customer_id],tblCustomers[region],"Missing")</f>
        <v>North</v>
      </c>
      <c r="O1141" t="str">
        <f>_xlfn.XLOOKUP(C1141,tblProducts[product_id],tblProducts[product_name],"Missing")</f>
        <v>Workflow Automate</v>
      </c>
      <c r="P1141" t="str">
        <f>_xlfn.XLOOKUP(C1141,tblProducts[product_id],tblProducts[category],"Missing")</f>
        <v>Automation</v>
      </c>
      <c r="Q1141" t="str">
        <f>_xlfn.XLOOKUP(D1141,tblSalesReps[rep_id],tblSalesReps[rep_name],"Missing")</f>
        <v>Sales Rep 07</v>
      </c>
      <c r="R1141" t="str">
        <f>_xlfn.XLOOKUP(D1141,tblSalesReps[rep_id],tblSalesReps[region],"Missing")</f>
        <v>North</v>
      </c>
    </row>
    <row r="1142" spans="1:18">
      <c r="A1142" t="s">
        <v>1641</v>
      </c>
      <c r="B1142" t="s">
        <v>379</v>
      </c>
      <c r="C1142" t="s">
        <v>15</v>
      </c>
      <c r="D1142" t="s">
        <v>36</v>
      </c>
      <c r="E1142" s="1">
        <v>45678</v>
      </c>
      <c r="F1142" s="1">
        <v>45686</v>
      </c>
      <c r="G1142" s="1"/>
      <c r="H1142" t="s">
        <v>43</v>
      </c>
      <c r="I1142">
        <v>1</v>
      </c>
      <c r="J1142">
        <v>10</v>
      </c>
      <c r="K1142">
        <v>378000</v>
      </c>
      <c r="L1142">
        <v>40</v>
      </c>
      <c r="M1142" t="s">
        <v>29</v>
      </c>
      <c r="N1142" t="str">
        <f>_xlfn.XLOOKUP(B1142,tblCustomers[customer_id],tblCustomers[region],"Missing")</f>
        <v>North</v>
      </c>
      <c r="O1142" t="str">
        <f>_xlfn.XLOOKUP(C1142,tblProducts[product_id],tblProducts[product_name],"Missing")</f>
        <v>CRM Enterprise</v>
      </c>
      <c r="P1142" t="str">
        <f>_xlfn.XLOOKUP(C1142,tblProducts[product_id],tblProducts[category],"Missing")</f>
        <v>CRM</v>
      </c>
      <c r="Q1142" t="str">
        <f>_xlfn.XLOOKUP(D1142,tblSalesReps[rep_id],tblSalesReps[rep_name],"Missing")</f>
        <v>Sales Rep 09</v>
      </c>
      <c r="R1142" t="str">
        <f>_xlfn.XLOOKUP(D1142,tblSalesReps[rep_id],tblSalesReps[region],"Missing")</f>
        <v>North</v>
      </c>
    </row>
    <row r="1143" spans="1:18">
      <c r="A1143" t="s">
        <v>1642</v>
      </c>
      <c r="B1143" t="s">
        <v>398</v>
      </c>
      <c r="C1143" t="s">
        <v>62</v>
      </c>
      <c r="D1143" t="s">
        <v>22</v>
      </c>
      <c r="E1143" s="1">
        <v>45739</v>
      </c>
      <c r="F1143" s="1">
        <v>45802</v>
      </c>
      <c r="G1143" s="1">
        <v>45802</v>
      </c>
      <c r="H1143" t="s">
        <v>17</v>
      </c>
      <c r="I1143">
        <v>2</v>
      </c>
      <c r="J1143">
        <v>5</v>
      </c>
      <c r="K1143">
        <v>228000</v>
      </c>
      <c r="L1143">
        <v>0</v>
      </c>
      <c r="M1143" t="s">
        <v>33</v>
      </c>
      <c r="N1143" t="str">
        <f>_xlfn.XLOOKUP(B1143,tblCustomers[customer_id],tblCustomers[region],"Missing")</f>
        <v>West</v>
      </c>
      <c r="O1143" t="str">
        <f>_xlfn.XLOOKUP(C1143,tblProducts[product_id],tblProducts[product_name],"Missing")</f>
        <v>CRM Essentials</v>
      </c>
      <c r="P1143" t="str">
        <f>_xlfn.XLOOKUP(C1143,tblProducts[product_id],tblProducts[category],"Missing")</f>
        <v>CRM</v>
      </c>
      <c r="Q1143" t="str">
        <f>_xlfn.XLOOKUP(D1143,tblSalesReps[rep_id],tblSalesReps[rep_name],"Missing")</f>
        <v>Sales Rep 14</v>
      </c>
      <c r="R1143" t="str">
        <f>_xlfn.XLOOKUP(D1143,tblSalesReps[rep_id],tblSalesReps[region],"Missing")</f>
        <v>West</v>
      </c>
    </row>
    <row r="1144" spans="1:18">
      <c r="A1144" t="s">
        <v>1643</v>
      </c>
      <c r="B1144" t="s">
        <v>1644</v>
      </c>
      <c r="C1144" t="s">
        <v>39</v>
      </c>
      <c r="D1144" t="s">
        <v>91</v>
      </c>
      <c r="E1144" s="1">
        <v>45713</v>
      </c>
      <c r="F1144" s="1">
        <v>45748</v>
      </c>
      <c r="G1144" s="1">
        <v>45748</v>
      </c>
      <c r="H1144" t="s">
        <v>17</v>
      </c>
      <c r="I1144">
        <v>3</v>
      </c>
      <c r="J1144">
        <v>5</v>
      </c>
      <c r="K1144">
        <v>513000</v>
      </c>
      <c r="L1144">
        <v>0</v>
      </c>
      <c r="M1144" t="s">
        <v>82</v>
      </c>
      <c r="N1144" t="str">
        <f>_xlfn.XLOOKUP(B1144,tblCustomers[customer_id],tblCustomers[region],"Missing")</f>
        <v>South</v>
      </c>
      <c r="O1144" t="str">
        <f>_xlfn.XLOOKUP(C1144,tblProducts[product_id],tblProducts[product_name],"Missing")</f>
        <v>Support Desk</v>
      </c>
      <c r="P1144" t="str">
        <f>_xlfn.XLOOKUP(C1144,tblProducts[product_id],tblProducts[category],"Missing")</f>
        <v>Service</v>
      </c>
      <c r="Q1144" t="str">
        <f>_xlfn.XLOOKUP(D1144,tblSalesReps[rep_id],tblSalesReps[rep_name],"Missing")</f>
        <v>Sales Rep 03</v>
      </c>
      <c r="R1144" t="str">
        <f>_xlfn.XLOOKUP(D1144,tblSalesReps[rep_id],tblSalesReps[region],"Missing")</f>
        <v>South</v>
      </c>
    </row>
    <row r="1145" spans="1:18">
      <c r="A1145" t="s">
        <v>1645</v>
      </c>
      <c r="B1145" t="s">
        <v>381</v>
      </c>
      <c r="C1145" t="s">
        <v>26</v>
      </c>
      <c r="D1145" t="s">
        <v>70</v>
      </c>
      <c r="E1145" s="1">
        <v>45810</v>
      </c>
      <c r="F1145" s="1">
        <v>45889</v>
      </c>
      <c r="G1145" s="1"/>
      <c r="H1145" t="s">
        <v>43</v>
      </c>
      <c r="I1145">
        <v>2</v>
      </c>
      <c r="J1145">
        <v>0</v>
      </c>
      <c r="K1145">
        <v>720000</v>
      </c>
      <c r="L1145">
        <v>40</v>
      </c>
      <c r="M1145" t="s">
        <v>29</v>
      </c>
      <c r="N1145" t="str">
        <f>_xlfn.XLOOKUP(B1145,tblCustomers[customer_id],tblCustomers[region],"Missing")</f>
        <v>West</v>
      </c>
      <c r="O1145" t="str">
        <f>_xlfn.XLOOKUP(C1145,tblProducts[product_id],tblProducts[product_name],"Missing")</f>
        <v>Security Suite</v>
      </c>
      <c r="P1145" t="str">
        <f>_xlfn.XLOOKUP(C1145,tblProducts[product_id],tblProducts[category],"Missing")</f>
        <v>Security</v>
      </c>
      <c r="Q1145" t="str">
        <f>_xlfn.XLOOKUP(D1145,tblSalesReps[rep_id],tblSalesReps[rep_name],"Missing")</f>
        <v>Sales Rep 11</v>
      </c>
      <c r="R1145" t="str">
        <f>_xlfn.XLOOKUP(D1145,tblSalesReps[rep_id],tblSalesReps[region],"Missing")</f>
        <v>West</v>
      </c>
    </row>
    <row r="1146" spans="1:18">
      <c r="A1146" t="s">
        <v>1646</v>
      </c>
      <c r="B1146" t="s">
        <v>1169</v>
      </c>
      <c r="C1146" t="s">
        <v>26</v>
      </c>
      <c r="D1146" t="s">
        <v>56</v>
      </c>
      <c r="E1146" s="1">
        <v>45849</v>
      </c>
      <c r="F1146" s="1">
        <v>45856</v>
      </c>
      <c r="G1146" s="1">
        <v>45856</v>
      </c>
      <c r="H1146" t="s">
        <v>28</v>
      </c>
      <c r="I1146">
        <v>3</v>
      </c>
      <c r="J1146">
        <v>20</v>
      </c>
      <c r="K1146">
        <v>864000</v>
      </c>
      <c r="L1146">
        <v>100</v>
      </c>
      <c r="M1146" t="s">
        <v>29</v>
      </c>
      <c r="N1146" t="str">
        <f>_xlfn.XLOOKUP(B1146,tblCustomers[customer_id],tblCustomers[region],"Missing")</f>
        <v>East</v>
      </c>
      <c r="O1146" t="str">
        <f>_xlfn.XLOOKUP(C1146,tblProducts[product_id],tblProducts[product_name],"Missing")</f>
        <v>Security Suite</v>
      </c>
      <c r="P1146" t="str">
        <f>_xlfn.XLOOKUP(C1146,tblProducts[product_id],tblProducts[category],"Missing")</f>
        <v>Security</v>
      </c>
      <c r="Q1146" t="str">
        <f>_xlfn.XLOOKUP(D1146,tblSalesReps[rep_id],tblSalesReps[rep_name],"Missing")</f>
        <v>Sales Rep 20</v>
      </c>
      <c r="R1146" t="str">
        <f>_xlfn.XLOOKUP(D1146,tblSalesReps[rep_id],tblSalesReps[region],"Missing")</f>
        <v>East</v>
      </c>
    </row>
    <row r="1147" spans="1:18">
      <c r="A1147" t="s">
        <v>1647</v>
      </c>
      <c r="B1147" t="s">
        <v>1043</v>
      </c>
      <c r="C1147" t="s">
        <v>15</v>
      </c>
      <c r="D1147" t="s">
        <v>50</v>
      </c>
      <c r="E1147" s="1">
        <v>45681</v>
      </c>
      <c r="F1147" s="1">
        <v>45697</v>
      </c>
      <c r="G1147" s="1">
        <v>45697</v>
      </c>
      <c r="H1147" t="s">
        <v>28</v>
      </c>
      <c r="I1147">
        <v>1</v>
      </c>
      <c r="J1147">
        <v>10</v>
      </c>
      <c r="K1147">
        <v>378000</v>
      </c>
      <c r="L1147">
        <v>100</v>
      </c>
      <c r="M1147" t="s">
        <v>29</v>
      </c>
      <c r="N1147" t="str">
        <f>_xlfn.XLOOKUP(B1147,tblCustomers[customer_id],tblCustomers[region],"Missing")</f>
        <v>West</v>
      </c>
      <c r="O1147" t="str">
        <f>_xlfn.XLOOKUP(C1147,tblProducts[product_id],tblProducts[product_name],"Missing")</f>
        <v>CRM Enterprise</v>
      </c>
      <c r="P1147" t="str">
        <f>_xlfn.XLOOKUP(C1147,tblProducts[product_id],tblProducts[category],"Missing")</f>
        <v>CRM</v>
      </c>
      <c r="Q1147" t="str">
        <f>_xlfn.XLOOKUP(D1147,tblSalesReps[rep_id],tblSalesReps[rep_name],"Missing")</f>
        <v>Sales Rep 15</v>
      </c>
      <c r="R1147" t="str">
        <f>_xlfn.XLOOKUP(D1147,tblSalesReps[rep_id],tblSalesReps[region],"Missing")</f>
        <v>West</v>
      </c>
    </row>
    <row r="1148" spans="1:18">
      <c r="A1148" t="s">
        <v>1648</v>
      </c>
      <c r="B1148" t="s">
        <v>225</v>
      </c>
      <c r="C1148" t="s">
        <v>15</v>
      </c>
      <c r="D1148" t="s">
        <v>91</v>
      </c>
      <c r="E1148" s="1">
        <v>45756</v>
      </c>
      <c r="F1148" s="1">
        <v>45785</v>
      </c>
      <c r="G1148" s="1">
        <v>45785</v>
      </c>
      <c r="H1148" t="s">
        <v>28</v>
      </c>
      <c r="I1148">
        <v>1</v>
      </c>
      <c r="J1148">
        <v>5</v>
      </c>
      <c r="K1148">
        <v>399000</v>
      </c>
      <c r="L1148">
        <v>100</v>
      </c>
      <c r="M1148" t="s">
        <v>29</v>
      </c>
      <c r="N1148" t="str">
        <f>_xlfn.XLOOKUP(B1148,tblCustomers[customer_id],tblCustomers[region],"Missing")</f>
        <v>South</v>
      </c>
      <c r="O1148" t="str">
        <f>_xlfn.XLOOKUP(C1148,tblProducts[product_id],tblProducts[product_name],"Missing")</f>
        <v>CRM Enterprise</v>
      </c>
      <c r="P1148" t="str">
        <f>_xlfn.XLOOKUP(C1148,tblProducts[product_id],tblProducts[category],"Missing")</f>
        <v>CRM</v>
      </c>
      <c r="Q1148" t="str">
        <f>_xlfn.XLOOKUP(D1148,tblSalesReps[rep_id],tblSalesReps[rep_name],"Missing")</f>
        <v>Sales Rep 03</v>
      </c>
      <c r="R1148" t="str">
        <f>_xlfn.XLOOKUP(D1148,tblSalesReps[rep_id],tblSalesReps[region],"Missing")</f>
        <v>South</v>
      </c>
    </row>
    <row r="1149" spans="1:18">
      <c r="A1149" t="s">
        <v>1649</v>
      </c>
      <c r="B1149" t="s">
        <v>559</v>
      </c>
      <c r="C1149" t="s">
        <v>26</v>
      </c>
      <c r="D1149" t="s">
        <v>78</v>
      </c>
      <c r="E1149" s="1">
        <v>45830</v>
      </c>
      <c r="F1149" s="1">
        <v>45841</v>
      </c>
      <c r="G1149" s="1">
        <v>45841</v>
      </c>
      <c r="H1149" t="s">
        <v>28</v>
      </c>
      <c r="I1149">
        <v>1</v>
      </c>
      <c r="J1149">
        <v>15</v>
      </c>
      <c r="K1149">
        <v>306000</v>
      </c>
      <c r="L1149">
        <v>100</v>
      </c>
      <c r="M1149" t="s">
        <v>29</v>
      </c>
      <c r="N1149" t="str">
        <f>_xlfn.XLOOKUP(B1149,tblCustomers[customer_id],tblCustomers[region],"Missing")</f>
        <v>West</v>
      </c>
      <c r="O1149" t="str">
        <f>_xlfn.XLOOKUP(C1149,tblProducts[product_id],tblProducts[product_name],"Missing")</f>
        <v>Security Suite</v>
      </c>
      <c r="P1149" t="str">
        <f>_xlfn.XLOOKUP(C1149,tblProducts[product_id],tblProducts[category],"Missing")</f>
        <v>Security</v>
      </c>
      <c r="Q1149" t="str">
        <f>_xlfn.XLOOKUP(D1149,tblSalesReps[rep_id],tblSalesReps[rep_name],"Missing")</f>
        <v>Sales Rep 12</v>
      </c>
      <c r="R1149" t="str">
        <f>_xlfn.XLOOKUP(D1149,tblSalesReps[rep_id],tblSalesReps[region],"Missing")</f>
        <v>West</v>
      </c>
    </row>
    <row r="1150" spans="1:18">
      <c r="A1150" t="s">
        <v>1650</v>
      </c>
      <c r="B1150" t="s">
        <v>1483</v>
      </c>
      <c r="C1150" t="s">
        <v>81</v>
      </c>
      <c r="D1150" t="s">
        <v>126</v>
      </c>
      <c r="E1150" s="1">
        <v>45661</v>
      </c>
      <c r="F1150" s="1">
        <v>45671</v>
      </c>
      <c r="G1150" s="1"/>
      <c r="H1150" t="s">
        <v>43</v>
      </c>
      <c r="I1150">
        <v>1</v>
      </c>
      <c r="J1150">
        <v>20</v>
      </c>
      <c r="K1150">
        <v>240000</v>
      </c>
      <c r="L1150">
        <v>40</v>
      </c>
      <c r="M1150" t="s">
        <v>29</v>
      </c>
      <c r="N1150" t="str">
        <f>_xlfn.XLOOKUP(B1150,tblCustomers[customer_id],tblCustomers[region],"Missing")</f>
        <v>South</v>
      </c>
      <c r="O1150" t="str">
        <f>_xlfn.XLOOKUP(C1150,tblProducts[product_id],tblProducts[product_name],"Missing")</f>
        <v>Analytics Cloud</v>
      </c>
      <c r="P1150" t="str">
        <f>_xlfn.XLOOKUP(C1150,tblProducts[product_id],tblProducts[category],"Missing")</f>
        <v>Analytics</v>
      </c>
      <c r="Q1150" t="str">
        <f>_xlfn.XLOOKUP(D1150,tblSalesReps[rep_id],tblSalesReps[rep_name],"Missing")</f>
        <v>Sales Rep 02</v>
      </c>
      <c r="R1150" t="str">
        <f>_xlfn.XLOOKUP(D1150,tblSalesReps[rep_id],tblSalesReps[region],"Missing")</f>
        <v>South</v>
      </c>
    </row>
    <row r="1151" spans="1:18">
      <c r="A1151" t="s">
        <v>1651</v>
      </c>
      <c r="B1151" t="s">
        <v>65</v>
      </c>
      <c r="C1151" t="s">
        <v>81</v>
      </c>
      <c r="D1151" t="s">
        <v>152</v>
      </c>
      <c r="E1151" s="1">
        <v>45964</v>
      </c>
      <c r="F1151" s="1">
        <v>46049</v>
      </c>
      <c r="G1151" s="1"/>
      <c r="H1151" t="s">
        <v>43</v>
      </c>
      <c r="I1151">
        <v>3</v>
      </c>
      <c r="J1151">
        <v>20</v>
      </c>
      <c r="K1151">
        <v>720000</v>
      </c>
      <c r="L1151">
        <v>40</v>
      </c>
      <c r="M1151" t="s">
        <v>29</v>
      </c>
      <c r="N1151" t="str">
        <f>_xlfn.XLOOKUP(B1151,tblCustomers[customer_id],tblCustomers[region],"Missing")</f>
        <v>East</v>
      </c>
      <c r="O1151" t="str">
        <f>_xlfn.XLOOKUP(C1151,tblProducts[product_id],tblProducts[product_name],"Missing")</f>
        <v>Analytics Cloud</v>
      </c>
      <c r="P1151" t="str">
        <f>_xlfn.XLOOKUP(C1151,tblProducts[product_id],tblProducts[category],"Missing")</f>
        <v>Analytics</v>
      </c>
      <c r="Q1151" t="str">
        <f>_xlfn.XLOOKUP(D1151,tblSalesReps[rep_id],tblSalesReps[rep_name],"Missing")</f>
        <v>Sales Rep 18</v>
      </c>
      <c r="R1151" t="str">
        <f>_xlfn.XLOOKUP(D1151,tblSalesReps[rep_id],tblSalesReps[region],"Missing")</f>
        <v>East</v>
      </c>
    </row>
    <row r="1152" spans="1:18">
      <c r="A1152" t="s">
        <v>1652</v>
      </c>
      <c r="B1152" t="s">
        <v>789</v>
      </c>
      <c r="C1152" t="s">
        <v>81</v>
      </c>
      <c r="D1152" t="s">
        <v>32</v>
      </c>
      <c r="E1152" s="1">
        <v>45816</v>
      </c>
      <c r="F1152" s="1">
        <v>45858</v>
      </c>
      <c r="G1152" s="1">
        <v>45858</v>
      </c>
      <c r="H1152" t="s">
        <v>17</v>
      </c>
      <c r="I1152">
        <v>1</v>
      </c>
      <c r="J1152">
        <v>0</v>
      </c>
      <c r="K1152">
        <v>300000</v>
      </c>
      <c r="L1152">
        <v>0</v>
      </c>
      <c r="M1152" t="s">
        <v>82</v>
      </c>
      <c r="N1152" t="str">
        <f>_xlfn.XLOOKUP(B1152,tblCustomers[customer_id],tblCustomers[region],"Missing")</f>
        <v>South</v>
      </c>
      <c r="O1152" t="str">
        <f>_xlfn.XLOOKUP(C1152,tblProducts[product_id],tblProducts[product_name],"Missing")</f>
        <v>Analytics Cloud</v>
      </c>
      <c r="P1152" t="str">
        <f>_xlfn.XLOOKUP(C1152,tblProducts[product_id],tblProducts[category],"Missing")</f>
        <v>Analytics</v>
      </c>
      <c r="Q1152" t="str">
        <f>_xlfn.XLOOKUP(D1152,tblSalesReps[rep_id],tblSalesReps[rep_name],"Missing")</f>
        <v>Sales Rep 04</v>
      </c>
      <c r="R1152" t="str">
        <f>_xlfn.XLOOKUP(D1152,tblSalesReps[rep_id],tblSalesReps[region],"Missing")</f>
        <v>South</v>
      </c>
    </row>
    <row r="1153" spans="1:18">
      <c r="A1153" t="s">
        <v>1653</v>
      </c>
      <c r="B1153" t="s">
        <v>816</v>
      </c>
      <c r="C1153" t="s">
        <v>62</v>
      </c>
      <c r="D1153" t="s">
        <v>56</v>
      </c>
      <c r="E1153" s="1">
        <v>45725</v>
      </c>
      <c r="F1153" s="1">
        <v>45789</v>
      </c>
      <c r="G1153" s="1">
        <v>45789</v>
      </c>
      <c r="H1153" t="s">
        <v>28</v>
      </c>
      <c r="I1153">
        <v>1</v>
      </c>
      <c r="J1153">
        <v>5</v>
      </c>
      <c r="K1153">
        <v>114000</v>
      </c>
      <c r="L1153">
        <v>100</v>
      </c>
      <c r="M1153" t="s">
        <v>29</v>
      </c>
      <c r="N1153" t="str">
        <f>_xlfn.XLOOKUP(B1153,tblCustomers[customer_id],tblCustomers[region],"Missing")</f>
        <v>East</v>
      </c>
      <c r="O1153" t="str">
        <f>_xlfn.XLOOKUP(C1153,tblProducts[product_id],tblProducts[product_name],"Missing")</f>
        <v>CRM Essentials</v>
      </c>
      <c r="P1153" t="str">
        <f>_xlfn.XLOOKUP(C1153,tblProducts[product_id],tblProducts[category],"Missing")</f>
        <v>CRM</v>
      </c>
      <c r="Q1153" t="str">
        <f>_xlfn.XLOOKUP(D1153,tblSalesReps[rep_id],tblSalesReps[rep_name],"Missing")</f>
        <v>Sales Rep 20</v>
      </c>
      <c r="R1153" t="str">
        <f>_xlfn.XLOOKUP(D1153,tblSalesReps[rep_id],tblSalesReps[region],"Missing")</f>
        <v>East</v>
      </c>
    </row>
    <row r="1154" spans="1:18">
      <c r="A1154" t="s">
        <v>1654</v>
      </c>
      <c r="B1154" t="s">
        <v>241</v>
      </c>
      <c r="C1154" t="s">
        <v>15</v>
      </c>
      <c r="D1154" t="s">
        <v>53</v>
      </c>
      <c r="E1154" s="1">
        <v>45975</v>
      </c>
      <c r="F1154" s="1">
        <v>46039</v>
      </c>
      <c r="G1154" s="1"/>
      <c r="H1154" t="s">
        <v>43</v>
      </c>
      <c r="I1154">
        <v>1</v>
      </c>
      <c r="J1154">
        <v>0</v>
      </c>
      <c r="K1154">
        <v>420000</v>
      </c>
      <c r="L1154">
        <v>20</v>
      </c>
      <c r="M1154" t="s">
        <v>29</v>
      </c>
      <c r="N1154" t="str">
        <f>_xlfn.XLOOKUP(B1154,tblCustomers[customer_id],tblCustomers[region],"Missing")</f>
        <v>East</v>
      </c>
      <c r="O1154" t="str">
        <f>_xlfn.XLOOKUP(C1154,tblProducts[product_id],tblProducts[product_name],"Missing")</f>
        <v>CRM Enterprise</v>
      </c>
      <c r="P1154" t="str">
        <f>_xlfn.XLOOKUP(C1154,tblProducts[product_id],tblProducts[category],"Missing")</f>
        <v>CRM</v>
      </c>
      <c r="Q1154" t="str">
        <f>_xlfn.XLOOKUP(D1154,tblSalesReps[rep_id],tblSalesReps[rep_name],"Missing")</f>
        <v>Sales Rep 16</v>
      </c>
      <c r="R1154" t="str">
        <f>_xlfn.XLOOKUP(D1154,tblSalesReps[rep_id],tblSalesReps[region],"Missing")</f>
        <v>East</v>
      </c>
    </row>
    <row r="1155" spans="1:18">
      <c r="A1155" t="s">
        <v>1655</v>
      </c>
      <c r="B1155" t="s">
        <v>1595</v>
      </c>
      <c r="C1155" t="s">
        <v>62</v>
      </c>
      <c r="D1155" t="s">
        <v>27</v>
      </c>
      <c r="E1155" s="1">
        <v>45839</v>
      </c>
      <c r="F1155" s="1">
        <v>45888</v>
      </c>
      <c r="G1155" s="1">
        <v>45888</v>
      </c>
      <c r="H1155" t="s">
        <v>17</v>
      </c>
      <c r="I1155">
        <v>1</v>
      </c>
      <c r="J1155">
        <v>0</v>
      </c>
      <c r="K1155">
        <v>120000</v>
      </c>
      <c r="L1155">
        <v>0</v>
      </c>
      <c r="M1155" t="s">
        <v>23</v>
      </c>
      <c r="N1155" t="str">
        <f>_xlfn.XLOOKUP(B1155,tblCustomers[customer_id],tblCustomers[region],"Missing")</f>
        <v>North</v>
      </c>
      <c r="O1155" t="str">
        <f>_xlfn.XLOOKUP(C1155,tblProducts[product_id],tblProducts[product_name],"Missing")</f>
        <v>CRM Essentials</v>
      </c>
      <c r="P1155" t="str">
        <f>_xlfn.XLOOKUP(C1155,tblProducts[product_id],tblProducts[category],"Missing")</f>
        <v>CRM</v>
      </c>
      <c r="Q1155" t="str">
        <f>_xlfn.XLOOKUP(D1155,tblSalesReps[rep_id],tblSalesReps[rep_name],"Missing")</f>
        <v>Sales Rep 06</v>
      </c>
      <c r="R1155" t="str">
        <f>_xlfn.XLOOKUP(D1155,tblSalesReps[rep_id],tblSalesReps[region],"Missing")</f>
        <v>North</v>
      </c>
    </row>
    <row r="1156" spans="1:18">
      <c r="A1156" t="s">
        <v>1656</v>
      </c>
      <c r="B1156" t="s">
        <v>294</v>
      </c>
      <c r="C1156" t="s">
        <v>26</v>
      </c>
      <c r="D1156" t="s">
        <v>78</v>
      </c>
      <c r="E1156" s="1">
        <v>45791</v>
      </c>
      <c r="F1156" s="1">
        <v>45814</v>
      </c>
      <c r="G1156" s="1">
        <v>45814</v>
      </c>
      <c r="H1156" t="s">
        <v>17</v>
      </c>
      <c r="I1156">
        <v>1</v>
      </c>
      <c r="J1156">
        <v>10</v>
      </c>
      <c r="K1156">
        <v>324000</v>
      </c>
      <c r="L1156">
        <v>0</v>
      </c>
      <c r="M1156" t="s">
        <v>47</v>
      </c>
      <c r="N1156" t="str">
        <f>_xlfn.XLOOKUP(B1156,tblCustomers[customer_id],tblCustomers[region],"Missing")</f>
        <v>West</v>
      </c>
      <c r="O1156" t="str">
        <f>_xlfn.XLOOKUP(C1156,tblProducts[product_id],tblProducts[product_name],"Missing")</f>
        <v>Security Suite</v>
      </c>
      <c r="P1156" t="str">
        <f>_xlfn.XLOOKUP(C1156,tblProducts[product_id],tblProducts[category],"Missing")</f>
        <v>Security</v>
      </c>
      <c r="Q1156" t="str">
        <f>_xlfn.XLOOKUP(D1156,tblSalesReps[rep_id],tblSalesReps[rep_name],"Missing")</f>
        <v>Sales Rep 12</v>
      </c>
      <c r="R1156" t="str">
        <f>_xlfn.XLOOKUP(D1156,tblSalesReps[rep_id],tblSalesReps[region],"Missing")</f>
        <v>West</v>
      </c>
    </row>
    <row r="1157" spans="1:18">
      <c r="A1157" t="s">
        <v>1657</v>
      </c>
      <c r="B1157" t="s">
        <v>1620</v>
      </c>
      <c r="C1157" t="s">
        <v>26</v>
      </c>
      <c r="D1157" t="s">
        <v>91</v>
      </c>
      <c r="E1157" s="1">
        <v>46016</v>
      </c>
      <c r="F1157" s="1">
        <v>46037</v>
      </c>
      <c r="G1157" s="1"/>
      <c r="H1157" t="s">
        <v>43</v>
      </c>
      <c r="I1157">
        <v>3</v>
      </c>
      <c r="J1157">
        <v>5</v>
      </c>
      <c r="K1157">
        <v>1026000</v>
      </c>
      <c r="L1157">
        <v>20</v>
      </c>
      <c r="M1157" t="s">
        <v>29</v>
      </c>
      <c r="N1157" t="str">
        <f>_xlfn.XLOOKUP(B1157,tblCustomers[customer_id],tblCustomers[region],"Missing")</f>
        <v>South</v>
      </c>
      <c r="O1157" t="str">
        <f>_xlfn.XLOOKUP(C1157,tblProducts[product_id],tblProducts[product_name],"Missing")</f>
        <v>Security Suite</v>
      </c>
      <c r="P1157" t="str">
        <f>_xlfn.XLOOKUP(C1157,tblProducts[product_id],tblProducts[category],"Missing")</f>
        <v>Security</v>
      </c>
      <c r="Q1157" t="str">
        <f>_xlfn.XLOOKUP(D1157,tblSalesReps[rep_id],tblSalesReps[rep_name],"Missing")</f>
        <v>Sales Rep 03</v>
      </c>
      <c r="R1157" t="str">
        <f>_xlfn.XLOOKUP(D1157,tblSalesReps[rep_id],tblSalesReps[region],"Missing")</f>
        <v>South</v>
      </c>
    </row>
    <row r="1158" spans="1:18">
      <c r="A1158" t="s">
        <v>1658</v>
      </c>
      <c r="B1158" t="s">
        <v>912</v>
      </c>
      <c r="C1158" t="s">
        <v>15</v>
      </c>
      <c r="D1158" t="s">
        <v>119</v>
      </c>
      <c r="E1158" s="1">
        <v>45959</v>
      </c>
      <c r="F1158" s="1">
        <v>46021</v>
      </c>
      <c r="G1158" s="1"/>
      <c r="H1158" t="s">
        <v>43</v>
      </c>
      <c r="I1158">
        <v>1</v>
      </c>
      <c r="J1158">
        <v>0</v>
      </c>
      <c r="K1158">
        <v>420000</v>
      </c>
      <c r="L1158">
        <v>60</v>
      </c>
      <c r="M1158" t="s">
        <v>29</v>
      </c>
      <c r="N1158" t="str">
        <f>_xlfn.XLOOKUP(B1158,tblCustomers[customer_id],tblCustomers[region],"Missing")</f>
        <v>North</v>
      </c>
      <c r="O1158" t="str">
        <f>_xlfn.XLOOKUP(C1158,tblProducts[product_id],tblProducts[product_name],"Missing")</f>
        <v>CRM Enterprise</v>
      </c>
      <c r="P1158" t="str">
        <f>_xlfn.XLOOKUP(C1158,tblProducts[product_id],tblProducts[category],"Missing")</f>
        <v>CRM</v>
      </c>
      <c r="Q1158" t="str">
        <f>_xlfn.XLOOKUP(D1158,tblSalesReps[rep_id],tblSalesReps[rep_name],"Missing")</f>
        <v>Sales Rep 10</v>
      </c>
      <c r="R1158" t="str">
        <f>_xlfn.XLOOKUP(D1158,tblSalesReps[rep_id],tblSalesReps[region],"Missing")</f>
        <v>North</v>
      </c>
    </row>
    <row r="1159" spans="1:18">
      <c r="A1159" t="s">
        <v>1659</v>
      </c>
      <c r="B1159" t="s">
        <v>578</v>
      </c>
      <c r="C1159" t="s">
        <v>81</v>
      </c>
      <c r="D1159" t="s">
        <v>40</v>
      </c>
      <c r="E1159" s="1">
        <v>45687</v>
      </c>
      <c r="F1159" s="1">
        <v>45736</v>
      </c>
      <c r="G1159" s="1"/>
      <c r="H1159" t="s">
        <v>43</v>
      </c>
      <c r="I1159">
        <v>3</v>
      </c>
      <c r="J1159">
        <v>10</v>
      </c>
      <c r="K1159">
        <v>810000</v>
      </c>
      <c r="L1159">
        <v>40</v>
      </c>
      <c r="M1159" t="s">
        <v>29</v>
      </c>
      <c r="N1159" t="str">
        <f>_xlfn.XLOOKUP(B1159,tblCustomers[customer_id],tblCustomers[region],"Missing")</f>
        <v>West</v>
      </c>
      <c r="O1159" t="str">
        <f>_xlfn.XLOOKUP(C1159,tblProducts[product_id],tblProducts[product_name],"Missing")</f>
        <v>Analytics Cloud</v>
      </c>
      <c r="P1159" t="str">
        <f>_xlfn.XLOOKUP(C1159,tblProducts[product_id],tblProducts[category],"Missing")</f>
        <v>Analytics</v>
      </c>
      <c r="Q1159" t="str">
        <f>_xlfn.XLOOKUP(D1159,tblSalesReps[rep_id],tblSalesReps[rep_name],"Missing")</f>
        <v>Sales Rep 13</v>
      </c>
      <c r="R1159" t="str">
        <f>_xlfn.XLOOKUP(D1159,tblSalesReps[rep_id],tblSalesReps[region],"Missing")</f>
        <v>West</v>
      </c>
    </row>
    <row r="1160" spans="1:18">
      <c r="A1160" t="s">
        <v>1660</v>
      </c>
      <c r="B1160" t="s">
        <v>1661</v>
      </c>
      <c r="C1160" t="s">
        <v>39</v>
      </c>
      <c r="D1160" t="s">
        <v>16</v>
      </c>
      <c r="E1160" s="1">
        <v>45861</v>
      </c>
      <c r="F1160" s="1">
        <v>45942</v>
      </c>
      <c r="G1160" s="1">
        <v>45942</v>
      </c>
      <c r="H1160" t="s">
        <v>17</v>
      </c>
      <c r="I1160">
        <v>1</v>
      </c>
      <c r="J1160">
        <v>10</v>
      </c>
      <c r="K1160">
        <v>162000</v>
      </c>
      <c r="L1160">
        <v>0</v>
      </c>
      <c r="M1160" t="s">
        <v>47</v>
      </c>
      <c r="N1160" t="str">
        <f>_xlfn.XLOOKUP(B1160,tblCustomers[customer_id],tblCustomers[region],"Missing")</f>
        <v>North</v>
      </c>
      <c r="O1160" t="str">
        <f>_xlfn.XLOOKUP(C1160,tblProducts[product_id],tblProducts[product_name],"Missing")</f>
        <v>Support Desk</v>
      </c>
      <c r="P1160" t="str">
        <f>_xlfn.XLOOKUP(C1160,tblProducts[product_id],tblProducts[category],"Missing")</f>
        <v>Service</v>
      </c>
      <c r="Q1160" t="str">
        <f>_xlfn.XLOOKUP(D1160,tblSalesReps[rep_id],tblSalesReps[rep_name],"Missing")</f>
        <v>Sales Rep 08</v>
      </c>
      <c r="R1160" t="str">
        <f>_xlfn.XLOOKUP(D1160,tblSalesReps[rep_id],tblSalesReps[region],"Missing")</f>
        <v>North</v>
      </c>
    </row>
    <row r="1161" spans="1:18">
      <c r="A1161" t="s">
        <v>1662</v>
      </c>
      <c r="B1161" t="s">
        <v>45</v>
      </c>
      <c r="C1161" t="s">
        <v>15</v>
      </c>
      <c r="D1161" t="s">
        <v>91</v>
      </c>
      <c r="E1161" s="1">
        <v>45997</v>
      </c>
      <c r="F1161" s="1">
        <v>46055</v>
      </c>
      <c r="G1161" s="1"/>
      <c r="H1161" t="s">
        <v>43</v>
      </c>
      <c r="I1161">
        <v>1</v>
      </c>
      <c r="J1161">
        <v>10</v>
      </c>
      <c r="K1161">
        <v>378000</v>
      </c>
      <c r="L1161">
        <v>80</v>
      </c>
      <c r="M1161" t="s">
        <v>29</v>
      </c>
      <c r="N1161" t="str">
        <f>_xlfn.XLOOKUP(B1161,tblCustomers[customer_id],tblCustomers[region],"Missing")</f>
        <v>South</v>
      </c>
      <c r="O1161" t="str">
        <f>_xlfn.XLOOKUP(C1161,tblProducts[product_id],tblProducts[product_name],"Missing")</f>
        <v>CRM Enterprise</v>
      </c>
      <c r="P1161" t="str">
        <f>_xlfn.XLOOKUP(C1161,tblProducts[product_id],tblProducts[category],"Missing")</f>
        <v>CRM</v>
      </c>
      <c r="Q1161" t="str">
        <f>_xlfn.XLOOKUP(D1161,tblSalesReps[rep_id],tblSalesReps[rep_name],"Missing")</f>
        <v>Sales Rep 03</v>
      </c>
      <c r="R1161" t="str">
        <f>_xlfn.XLOOKUP(D1161,tblSalesReps[rep_id],tblSalesReps[region],"Missing")</f>
        <v>South</v>
      </c>
    </row>
    <row r="1162" spans="1:18">
      <c r="A1162" t="s">
        <v>1663</v>
      </c>
      <c r="B1162" t="s">
        <v>1277</v>
      </c>
      <c r="C1162" t="s">
        <v>15</v>
      </c>
      <c r="D1162" t="s">
        <v>168</v>
      </c>
      <c r="E1162" s="1">
        <v>45783</v>
      </c>
      <c r="F1162" s="1">
        <v>45801</v>
      </c>
      <c r="G1162" s="1"/>
      <c r="H1162" t="s">
        <v>43</v>
      </c>
      <c r="I1162">
        <v>1</v>
      </c>
      <c r="J1162">
        <v>20</v>
      </c>
      <c r="K1162">
        <v>336000</v>
      </c>
      <c r="L1162">
        <v>40</v>
      </c>
      <c r="M1162" t="s">
        <v>29</v>
      </c>
      <c r="N1162" t="str">
        <f>_xlfn.XLOOKUP(B1162,tblCustomers[customer_id],tblCustomers[region],"Missing")</f>
        <v>East</v>
      </c>
      <c r="O1162" t="str">
        <f>_xlfn.XLOOKUP(C1162,tblProducts[product_id],tblProducts[product_name],"Missing")</f>
        <v>CRM Enterprise</v>
      </c>
      <c r="P1162" t="str">
        <f>_xlfn.XLOOKUP(C1162,tblProducts[product_id],tblProducts[category],"Missing")</f>
        <v>CRM</v>
      </c>
      <c r="Q1162" t="str">
        <f>_xlfn.XLOOKUP(D1162,tblSalesReps[rep_id],tblSalesReps[rep_name],"Missing")</f>
        <v>Sales Rep 17</v>
      </c>
      <c r="R1162" t="str">
        <f>_xlfn.XLOOKUP(D1162,tblSalesReps[rep_id],tblSalesReps[region],"Missing")</f>
        <v>East</v>
      </c>
    </row>
    <row r="1163" spans="1:18">
      <c r="A1163" t="s">
        <v>1664</v>
      </c>
      <c r="B1163" t="s">
        <v>125</v>
      </c>
      <c r="C1163" t="s">
        <v>26</v>
      </c>
      <c r="D1163" t="s">
        <v>32</v>
      </c>
      <c r="E1163" s="1">
        <v>45678</v>
      </c>
      <c r="F1163" s="1">
        <v>45736</v>
      </c>
      <c r="G1163" s="1">
        <v>45736</v>
      </c>
      <c r="H1163" t="s">
        <v>28</v>
      </c>
      <c r="I1163">
        <v>1</v>
      </c>
      <c r="J1163">
        <v>10</v>
      </c>
      <c r="K1163">
        <v>324000</v>
      </c>
      <c r="L1163">
        <v>100</v>
      </c>
      <c r="M1163" t="s">
        <v>29</v>
      </c>
      <c r="N1163" t="str">
        <f>_xlfn.XLOOKUP(B1163,tblCustomers[customer_id],tblCustomers[region],"Missing")</f>
        <v>South</v>
      </c>
      <c r="O1163" t="str">
        <f>_xlfn.XLOOKUP(C1163,tblProducts[product_id],tblProducts[product_name],"Missing")</f>
        <v>Security Suite</v>
      </c>
      <c r="P1163" t="str">
        <f>_xlfn.XLOOKUP(C1163,tblProducts[product_id],tblProducts[category],"Missing")</f>
        <v>Security</v>
      </c>
      <c r="Q1163" t="str">
        <f>_xlfn.XLOOKUP(D1163,tblSalesReps[rep_id],tblSalesReps[rep_name],"Missing")</f>
        <v>Sales Rep 04</v>
      </c>
      <c r="R1163" t="str">
        <f>_xlfn.XLOOKUP(D1163,tblSalesReps[rep_id],tblSalesReps[region],"Missing")</f>
        <v>South</v>
      </c>
    </row>
    <row r="1164" spans="1:18">
      <c r="A1164" t="s">
        <v>1665</v>
      </c>
      <c r="B1164" t="s">
        <v>880</v>
      </c>
      <c r="C1164" t="s">
        <v>21</v>
      </c>
      <c r="D1164" t="s">
        <v>70</v>
      </c>
      <c r="E1164" s="1">
        <v>45667</v>
      </c>
      <c r="F1164" s="1">
        <v>45752</v>
      </c>
      <c r="G1164" s="1">
        <v>45752</v>
      </c>
      <c r="H1164" t="s">
        <v>17</v>
      </c>
      <c r="I1164">
        <v>1</v>
      </c>
      <c r="J1164">
        <v>0</v>
      </c>
      <c r="K1164">
        <v>240000</v>
      </c>
      <c r="L1164">
        <v>0</v>
      </c>
      <c r="M1164" t="s">
        <v>33</v>
      </c>
      <c r="N1164" t="str">
        <f>_xlfn.XLOOKUP(B1164,tblCustomers[customer_id],tblCustomers[region],"Missing")</f>
        <v>West</v>
      </c>
      <c r="O1164" t="str">
        <f>_xlfn.XLOOKUP(C1164,tblProducts[product_id],tblProducts[product_name],"Missing")</f>
        <v>Workflow Automate</v>
      </c>
      <c r="P1164" t="str">
        <f>_xlfn.XLOOKUP(C1164,tblProducts[product_id],tblProducts[category],"Missing")</f>
        <v>Automation</v>
      </c>
      <c r="Q1164" t="str">
        <f>_xlfn.XLOOKUP(D1164,tblSalesReps[rep_id],tblSalesReps[rep_name],"Missing")</f>
        <v>Sales Rep 11</v>
      </c>
      <c r="R1164" t="str">
        <f>_xlfn.XLOOKUP(D1164,tblSalesReps[rep_id],tblSalesReps[region],"Missing")</f>
        <v>West</v>
      </c>
    </row>
    <row r="1165" spans="1:18">
      <c r="A1165" t="s">
        <v>1666</v>
      </c>
      <c r="B1165" t="s">
        <v>1027</v>
      </c>
      <c r="C1165" t="s">
        <v>81</v>
      </c>
      <c r="D1165" t="s">
        <v>53</v>
      </c>
      <c r="E1165" s="1">
        <v>45702</v>
      </c>
      <c r="F1165" s="1">
        <v>45737</v>
      </c>
      <c r="G1165" s="1"/>
      <c r="H1165" t="s">
        <v>43</v>
      </c>
      <c r="I1165">
        <v>2</v>
      </c>
      <c r="J1165">
        <v>0</v>
      </c>
      <c r="K1165">
        <v>600000</v>
      </c>
      <c r="L1165">
        <v>20</v>
      </c>
      <c r="M1165" t="s">
        <v>29</v>
      </c>
      <c r="N1165" t="str">
        <f>_xlfn.XLOOKUP(B1165,tblCustomers[customer_id],tblCustomers[region],"Missing")</f>
        <v>East</v>
      </c>
      <c r="O1165" t="str">
        <f>_xlfn.XLOOKUP(C1165,tblProducts[product_id],tblProducts[product_name],"Missing")</f>
        <v>Analytics Cloud</v>
      </c>
      <c r="P1165" t="str">
        <f>_xlfn.XLOOKUP(C1165,tblProducts[product_id],tblProducts[category],"Missing")</f>
        <v>Analytics</v>
      </c>
      <c r="Q1165" t="str">
        <f>_xlfn.XLOOKUP(D1165,tblSalesReps[rep_id],tblSalesReps[rep_name],"Missing")</f>
        <v>Sales Rep 16</v>
      </c>
      <c r="R1165" t="str">
        <f>_xlfn.XLOOKUP(D1165,tblSalesReps[rep_id],tblSalesReps[region],"Missing")</f>
        <v>East</v>
      </c>
    </row>
    <row r="1166" spans="1:18">
      <c r="A1166" t="s">
        <v>1667</v>
      </c>
      <c r="B1166" t="s">
        <v>1039</v>
      </c>
      <c r="C1166" t="s">
        <v>81</v>
      </c>
      <c r="D1166" t="s">
        <v>78</v>
      </c>
      <c r="E1166" s="1">
        <v>45858</v>
      </c>
      <c r="F1166" s="1">
        <v>45932</v>
      </c>
      <c r="G1166" s="1">
        <v>45932</v>
      </c>
      <c r="H1166" t="s">
        <v>28</v>
      </c>
      <c r="I1166">
        <v>1</v>
      </c>
      <c r="J1166">
        <v>0</v>
      </c>
      <c r="K1166">
        <v>300000</v>
      </c>
      <c r="L1166">
        <v>100</v>
      </c>
      <c r="M1166" t="s">
        <v>29</v>
      </c>
      <c r="N1166" t="str">
        <f>_xlfn.XLOOKUP(B1166,tblCustomers[customer_id],tblCustomers[region],"Missing")</f>
        <v>West</v>
      </c>
      <c r="O1166" t="str">
        <f>_xlfn.XLOOKUP(C1166,tblProducts[product_id],tblProducts[product_name],"Missing")</f>
        <v>Analytics Cloud</v>
      </c>
      <c r="P1166" t="str">
        <f>_xlfn.XLOOKUP(C1166,tblProducts[product_id],tblProducts[category],"Missing")</f>
        <v>Analytics</v>
      </c>
      <c r="Q1166" t="str">
        <f>_xlfn.XLOOKUP(D1166,tblSalesReps[rep_id],tblSalesReps[rep_name],"Missing")</f>
        <v>Sales Rep 12</v>
      </c>
      <c r="R1166" t="str">
        <f>_xlfn.XLOOKUP(D1166,tblSalesReps[rep_id],tblSalesReps[region],"Missing")</f>
        <v>West</v>
      </c>
    </row>
    <row r="1167" spans="1:18">
      <c r="A1167" t="s">
        <v>1668</v>
      </c>
      <c r="B1167" t="s">
        <v>745</v>
      </c>
      <c r="C1167" t="s">
        <v>15</v>
      </c>
      <c r="D1167" t="s">
        <v>126</v>
      </c>
      <c r="E1167" s="1">
        <v>45868</v>
      </c>
      <c r="F1167" s="1">
        <v>45908</v>
      </c>
      <c r="G1167" s="1">
        <v>45908</v>
      </c>
      <c r="H1167" t="s">
        <v>28</v>
      </c>
      <c r="I1167">
        <v>1</v>
      </c>
      <c r="J1167">
        <v>0</v>
      </c>
      <c r="K1167">
        <v>420000</v>
      </c>
      <c r="L1167">
        <v>100</v>
      </c>
      <c r="M1167" t="s">
        <v>29</v>
      </c>
      <c r="N1167" t="str">
        <f>_xlfn.XLOOKUP(B1167,tblCustomers[customer_id],tblCustomers[region],"Missing")</f>
        <v>South</v>
      </c>
      <c r="O1167" t="str">
        <f>_xlfn.XLOOKUP(C1167,tblProducts[product_id],tblProducts[product_name],"Missing")</f>
        <v>CRM Enterprise</v>
      </c>
      <c r="P1167" t="str">
        <f>_xlfn.XLOOKUP(C1167,tblProducts[product_id],tblProducts[category],"Missing")</f>
        <v>CRM</v>
      </c>
      <c r="Q1167" t="str">
        <f>_xlfn.XLOOKUP(D1167,tblSalesReps[rep_id],tblSalesReps[rep_name],"Missing")</f>
        <v>Sales Rep 02</v>
      </c>
      <c r="R1167" t="str">
        <f>_xlfn.XLOOKUP(D1167,tblSalesReps[rep_id],tblSalesReps[region],"Missing")</f>
        <v>South</v>
      </c>
    </row>
    <row r="1168" spans="1:18">
      <c r="A1168" t="s">
        <v>1669</v>
      </c>
      <c r="B1168" t="s">
        <v>1203</v>
      </c>
      <c r="C1168" t="s">
        <v>81</v>
      </c>
      <c r="D1168" t="s">
        <v>59</v>
      </c>
      <c r="E1168" s="1">
        <v>45925</v>
      </c>
      <c r="F1168" s="1">
        <v>45985</v>
      </c>
      <c r="G1168" s="1">
        <v>45985</v>
      </c>
      <c r="H1168" t="s">
        <v>17</v>
      </c>
      <c r="I1168">
        <v>1</v>
      </c>
      <c r="J1168">
        <v>15</v>
      </c>
      <c r="K1168">
        <v>255000</v>
      </c>
      <c r="L1168">
        <v>0</v>
      </c>
      <c r="M1168" t="s">
        <v>18</v>
      </c>
      <c r="N1168" t="str">
        <f>_xlfn.XLOOKUP(B1168,tblCustomers[customer_id],tblCustomers[region],"Missing")</f>
        <v>East</v>
      </c>
      <c r="O1168" t="str">
        <f>_xlfn.XLOOKUP(C1168,tblProducts[product_id],tblProducts[product_name],"Missing")</f>
        <v>Analytics Cloud</v>
      </c>
      <c r="P1168" t="str">
        <f>_xlfn.XLOOKUP(C1168,tblProducts[product_id],tblProducts[category],"Missing")</f>
        <v>Analytics</v>
      </c>
      <c r="Q1168" t="str">
        <f>_xlfn.XLOOKUP(D1168,tblSalesReps[rep_id],tblSalesReps[rep_name],"Missing")</f>
        <v>Sales Rep 19</v>
      </c>
      <c r="R1168" t="str">
        <f>_xlfn.XLOOKUP(D1168,tblSalesReps[rep_id],tblSalesReps[region],"Missing")</f>
        <v>East</v>
      </c>
    </row>
    <row r="1169" spans="1:18">
      <c r="A1169" t="s">
        <v>1670</v>
      </c>
      <c r="B1169" t="s">
        <v>1117</v>
      </c>
      <c r="C1169" t="s">
        <v>39</v>
      </c>
      <c r="D1169" t="s">
        <v>22</v>
      </c>
      <c r="E1169" s="1">
        <v>45668</v>
      </c>
      <c r="F1169" s="1">
        <v>45738</v>
      </c>
      <c r="G1169" s="1"/>
      <c r="H1169" t="s">
        <v>43</v>
      </c>
      <c r="I1169">
        <v>3</v>
      </c>
      <c r="J1169">
        <v>20</v>
      </c>
      <c r="K1169">
        <v>432000</v>
      </c>
      <c r="L1169">
        <v>40</v>
      </c>
      <c r="M1169" t="s">
        <v>29</v>
      </c>
      <c r="N1169" t="str">
        <f>_xlfn.XLOOKUP(B1169,tblCustomers[customer_id],tblCustomers[region],"Missing")</f>
        <v>West</v>
      </c>
      <c r="O1169" t="str">
        <f>_xlfn.XLOOKUP(C1169,tblProducts[product_id],tblProducts[product_name],"Missing")</f>
        <v>Support Desk</v>
      </c>
      <c r="P1169" t="str">
        <f>_xlfn.XLOOKUP(C1169,tblProducts[product_id],tblProducts[category],"Missing")</f>
        <v>Service</v>
      </c>
      <c r="Q1169" t="str">
        <f>_xlfn.XLOOKUP(D1169,tblSalesReps[rep_id],tblSalesReps[rep_name],"Missing")</f>
        <v>Sales Rep 14</v>
      </c>
      <c r="R1169" t="str">
        <f>_xlfn.XLOOKUP(D1169,tblSalesReps[rep_id],tblSalesReps[region],"Missing")</f>
        <v>West</v>
      </c>
    </row>
    <row r="1170" spans="1:18">
      <c r="A1170" t="s">
        <v>1671</v>
      </c>
      <c r="B1170" t="s">
        <v>396</v>
      </c>
      <c r="C1170" t="s">
        <v>21</v>
      </c>
      <c r="D1170" t="s">
        <v>46</v>
      </c>
      <c r="E1170" s="1">
        <v>45912</v>
      </c>
      <c r="F1170" s="1">
        <v>45953</v>
      </c>
      <c r="G1170" s="1">
        <v>45953</v>
      </c>
      <c r="H1170" t="s">
        <v>28</v>
      </c>
      <c r="I1170">
        <v>1</v>
      </c>
      <c r="J1170">
        <v>15</v>
      </c>
      <c r="K1170">
        <v>204000</v>
      </c>
      <c r="L1170">
        <v>100</v>
      </c>
      <c r="M1170" t="s">
        <v>29</v>
      </c>
      <c r="N1170" t="str">
        <f>_xlfn.XLOOKUP(B1170,tblCustomers[customer_id],tblCustomers[region],"Missing")</f>
        <v>South</v>
      </c>
      <c r="O1170" t="str">
        <f>_xlfn.XLOOKUP(C1170,tblProducts[product_id],tblProducts[product_name],"Missing")</f>
        <v>Workflow Automate</v>
      </c>
      <c r="P1170" t="str">
        <f>_xlfn.XLOOKUP(C1170,tblProducts[product_id],tblProducts[category],"Missing")</f>
        <v>Automation</v>
      </c>
      <c r="Q1170" t="str">
        <f>_xlfn.XLOOKUP(D1170,tblSalesReps[rep_id],tblSalesReps[rep_name],"Missing")</f>
        <v>Sales Rep 01</v>
      </c>
      <c r="R1170" t="str">
        <f>_xlfn.XLOOKUP(D1170,tblSalesReps[rep_id],tblSalesReps[region],"Missing")</f>
        <v>South</v>
      </c>
    </row>
    <row r="1171" spans="1:18">
      <c r="A1171" t="s">
        <v>1672</v>
      </c>
      <c r="B1171" t="s">
        <v>594</v>
      </c>
      <c r="C1171" t="s">
        <v>21</v>
      </c>
      <c r="D1171" t="s">
        <v>50</v>
      </c>
      <c r="E1171" s="1">
        <v>45847</v>
      </c>
      <c r="F1171" s="1">
        <v>45902</v>
      </c>
      <c r="G1171" s="1">
        <v>45902</v>
      </c>
      <c r="H1171" t="s">
        <v>17</v>
      </c>
      <c r="I1171">
        <v>1</v>
      </c>
      <c r="J1171">
        <v>15</v>
      </c>
      <c r="K1171">
        <v>204000</v>
      </c>
      <c r="L1171">
        <v>0</v>
      </c>
      <c r="M1171" t="s">
        <v>18</v>
      </c>
      <c r="N1171" t="str">
        <f>_xlfn.XLOOKUP(B1171,tblCustomers[customer_id],tblCustomers[region],"Missing")</f>
        <v>West</v>
      </c>
      <c r="O1171" t="str">
        <f>_xlfn.XLOOKUP(C1171,tblProducts[product_id],tblProducts[product_name],"Missing")</f>
        <v>Workflow Automate</v>
      </c>
      <c r="P1171" t="str">
        <f>_xlfn.XLOOKUP(C1171,tblProducts[product_id],tblProducts[category],"Missing")</f>
        <v>Automation</v>
      </c>
      <c r="Q1171" t="str">
        <f>_xlfn.XLOOKUP(D1171,tblSalesReps[rep_id],tblSalesReps[rep_name],"Missing")</f>
        <v>Sales Rep 15</v>
      </c>
      <c r="R1171" t="str">
        <f>_xlfn.XLOOKUP(D1171,tblSalesReps[rep_id],tblSalesReps[region],"Missing")</f>
        <v>West</v>
      </c>
    </row>
    <row r="1172" spans="1:18">
      <c r="A1172" t="s">
        <v>1673</v>
      </c>
      <c r="B1172" t="s">
        <v>253</v>
      </c>
      <c r="C1172" t="s">
        <v>21</v>
      </c>
      <c r="D1172" t="s">
        <v>32</v>
      </c>
      <c r="E1172" s="1">
        <v>45795</v>
      </c>
      <c r="F1172" s="1">
        <v>45852</v>
      </c>
      <c r="G1172" s="1">
        <v>45852</v>
      </c>
      <c r="H1172" t="s">
        <v>28</v>
      </c>
      <c r="I1172">
        <v>1</v>
      </c>
      <c r="J1172">
        <v>5</v>
      </c>
      <c r="K1172">
        <v>228000</v>
      </c>
      <c r="L1172">
        <v>100</v>
      </c>
      <c r="M1172" t="s">
        <v>29</v>
      </c>
      <c r="N1172" t="str">
        <f>_xlfn.XLOOKUP(B1172,tblCustomers[customer_id],tblCustomers[region],"Missing")</f>
        <v>South</v>
      </c>
      <c r="O1172" t="str">
        <f>_xlfn.XLOOKUP(C1172,tblProducts[product_id],tblProducts[product_name],"Missing")</f>
        <v>Workflow Automate</v>
      </c>
      <c r="P1172" t="str">
        <f>_xlfn.XLOOKUP(C1172,tblProducts[product_id],tblProducts[category],"Missing")</f>
        <v>Automation</v>
      </c>
      <c r="Q1172" t="str">
        <f>_xlfn.XLOOKUP(D1172,tblSalesReps[rep_id],tblSalesReps[rep_name],"Missing")</f>
        <v>Sales Rep 04</v>
      </c>
      <c r="R1172" t="str">
        <f>_xlfn.XLOOKUP(D1172,tblSalesReps[rep_id],tblSalesReps[region],"Missing")</f>
        <v>South</v>
      </c>
    </row>
    <row r="1173" spans="1:18">
      <c r="A1173" t="s">
        <v>1674</v>
      </c>
      <c r="B1173" t="s">
        <v>45</v>
      </c>
      <c r="C1173" t="s">
        <v>62</v>
      </c>
      <c r="D1173" t="s">
        <v>91</v>
      </c>
      <c r="E1173" s="1">
        <v>46002</v>
      </c>
      <c r="F1173" s="1">
        <v>46048</v>
      </c>
      <c r="G1173" s="1"/>
      <c r="H1173" t="s">
        <v>43</v>
      </c>
      <c r="I1173">
        <v>2</v>
      </c>
      <c r="J1173">
        <v>15</v>
      </c>
      <c r="K1173">
        <v>204000</v>
      </c>
      <c r="L1173">
        <v>20</v>
      </c>
      <c r="M1173" t="s">
        <v>29</v>
      </c>
      <c r="N1173" t="str">
        <f>_xlfn.XLOOKUP(B1173,tblCustomers[customer_id],tblCustomers[region],"Missing")</f>
        <v>South</v>
      </c>
      <c r="O1173" t="str">
        <f>_xlfn.XLOOKUP(C1173,tblProducts[product_id],tblProducts[product_name],"Missing")</f>
        <v>CRM Essentials</v>
      </c>
      <c r="P1173" t="str">
        <f>_xlfn.XLOOKUP(C1173,tblProducts[product_id],tblProducts[category],"Missing")</f>
        <v>CRM</v>
      </c>
      <c r="Q1173" t="str">
        <f>_xlfn.XLOOKUP(D1173,tblSalesReps[rep_id],tblSalesReps[rep_name],"Missing")</f>
        <v>Sales Rep 03</v>
      </c>
      <c r="R1173" t="str">
        <f>_xlfn.XLOOKUP(D1173,tblSalesReps[rep_id],tblSalesReps[region],"Missing")</f>
        <v>South</v>
      </c>
    </row>
    <row r="1174" spans="1:18">
      <c r="A1174" t="s">
        <v>1675</v>
      </c>
      <c r="B1174" t="s">
        <v>392</v>
      </c>
      <c r="C1174" t="s">
        <v>81</v>
      </c>
      <c r="D1174" t="s">
        <v>40</v>
      </c>
      <c r="E1174" s="1">
        <v>45870</v>
      </c>
      <c r="F1174" s="1">
        <v>45930</v>
      </c>
      <c r="G1174" s="1">
        <v>45930</v>
      </c>
      <c r="H1174" t="s">
        <v>28</v>
      </c>
      <c r="I1174">
        <v>2</v>
      </c>
      <c r="J1174">
        <v>5</v>
      </c>
      <c r="K1174">
        <v>570000</v>
      </c>
      <c r="L1174">
        <v>100</v>
      </c>
      <c r="M1174" t="s">
        <v>29</v>
      </c>
      <c r="N1174" t="str">
        <f>_xlfn.XLOOKUP(B1174,tblCustomers[customer_id],tblCustomers[region],"Missing")</f>
        <v>West</v>
      </c>
      <c r="O1174" t="str">
        <f>_xlfn.XLOOKUP(C1174,tblProducts[product_id],tblProducts[product_name],"Missing")</f>
        <v>Analytics Cloud</v>
      </c>
      <c r="P1174" t="str">
        <f>_xlfn.XLOOKUP(C1174,tblProducts[product_id],tblProducts[category],"Missing")</f>
        <v>Analytics</v>
      </c>
      <c r="Q1174" t="str">
        <f>_xlfn.XLOOKUP(D1174,tblSalesReps[rep_id],tblSalesReps[rep_name],"Missing")</f>
        <v>Sales Rep 13</v>
      </c>
      <c r="R1174" t="str">
        <f>_xlfn.XLOOKUP(D1174,tblSalesReps[rep_id],tblSalesReps[region],"Missing")</f>
        <v>West</v>
      </c>
    </row>
    <row r="1175" spans="1:18">
      <c r="A1175" t="s">
        <v>1676</v>
      </c>
      <c r="B1175" t="s">
        <v>749</v>
      </c>
      <c r="C1175" t="s">
        <v>39</v>
      </c>
      <c r="D1175" t="s">
        <v>63</v>
      </c>
      <c r="E1175" s="1">
        <v>45950</v>
      </c>
      <c r="F1175" s="1">
        <v>45964</v>
      </c>
      <c r="G1175" s="1">
        <v>45964</v>
      </c>
      <c r="H1175" t="s">
        <v>28</v>
      </c>
      <c r="I1175">
        <v>1</v>
      </c>
      <c r="J1175">
        <v>15</v>
      </c>
      <c r="K1175">
        <v>153000</v>
      </c>
      <c r="L1175">
        <v>100</v>
      </c>
      <c r="M1175" t="s">
        <v>29</v>
      </c>
      <c r="N1175" t="str">
        <f>_xlfn.XLOOKUP(B1175,tblCustomers[customer_id],tblCustomers[region],"Missing")</f>
        <v>South</v>
      </c>
      <c r="O1175" t="str">
        <f>_xlfn.XLOOKUP(C1175,tblProducts[product_id],tblProducts[product_name],"Missing")</f>
        <v>Support Desk</v>
      </c>
      <c r="P1175" t="str">
        <f>_xlfn.XLOOKUP(C1175,tblProducts[product_id],tblProducts[category],"Missing")</f>
        <v>Service</v>
      </c>
      <c r="Q1175" t="str">
        <f>_xlfn.XLOOKUP(D1175,tblSalesReps[rep_id],tblSalesReps[rep_name],"Missing")</f>
        <v>Sales Rep 05</v>
      </c>
      <c r="R1175" t="str">
        <f>_xlfn.XLOOKUP(D1175,tblSalesReps[rep_id],tblSalesReps[region],"Missing")</f>
        <v>South</v>
      </c>
    </row>
    <row r="1176" spans="1:18">
      <c r="A1176" t="s">
        <v>1677</v>
      </c>
      <c r="B1176" t="s">
        <v>660</v>
      </c>
      <c r="C1176" t="s">
        <v>26</v>
      </c>
      <c r="D1176" t="s">
        <v>119</v>
      </c>
      <c r="E1176" s="1">
        <v>45855</v>
      </c>
      <c r="F1176" s="1">
        <v>45892</v>
      </c>
      <c r="G1176" s="1">
        <v>45892</v>
      </c>
      <c r="H1176" t="s">
        <v>28</v>
      </c>
      <c r="I1176">
        <v>1</v>
      </c>
      <c r="J1176">
        <v>15</v>
      </c>
      <c r="K1176">
        <v>306000</v>
      </c>
      <c r="L1176">
        <v>100</v>
      </c>
      <c r="M1176" t="s">
        <v>29</v>
      </c>
      <c r="N1176" t="str">
        <f>_xlfn.XLOOKUP(B1176,tblCustomers[customer_id],tblCustomers[region],"Missing")</f>
        <v>North</v>
      </c>
      <c r="O1176" t="str">
        <f>_xlfn.XLOOKUP(C1176,tblProducts[product_id],tblProducts[product_name],"Missing")</f>
        <v>Security Suite</v>
      </c>
      <c r="P1176" t="str">
        <f>_xlfn.XLOOKUP(C1176,tblProducts[product_id],tblProducts[category],"Missing")</f>
        <v>Security</v>
      </c>
      <c r="Q1176" t="str">
        <f>_xlfn.XLOOKUP(D1176,tblSalesReps[rep_id],tblSalesReps[rep_name],"Missing")</f>
        <v>Sales Rep 10</v>
      </c>
      <c r="R1176" t="str">
        <f>_xlfn.XLOOKUP(D1176,tblSalesReps[rep_id],tblSalesReps[region],"Missing")</f>
        <v>North</v>
      </c>
    </row>
    <row r="1177" spans="1:18">
      <c r="A1177" t="s">
        <v>1678</v>
      </c>
      <c r="B1177" t="s">
        <v>1679</v>
      </c>
      <c r="C1177" t="s">
        <v>81</v>
      </c>
      <c r="D1177" t="s">
        <v>50</v>
      </c>
      <c r="E1177" s="1">
        <v>45918</v>
      </c>
      <c r="F1177" s="1">
        <v>45928</v>
      </c>
      <c r="G1177" s="1">
        <v>45928</v>
      </c>
      <c r="H1177" t="s">
        <v>28</v>
      </c>
      <c r="I1177">
        <v>2</v>
      </c>
      <c r="J1177">
        <v>15</v>
      </c>
      <c r="K1177">
        <v>510000</v>
      </c>
      <c r="L1177">
        <v>100</v>
      </c>
      <c r="M1177" t="s">
        <v>29</v>
      </c>
      <c r="N1177" t="str">
        <f>_xlfn.XLOOKUP(B1177,tblCustomers[customer_id],tblCustomers[region],"Missing")</f>
        <v>West</v>
      </c>
      <c r="O1177" t="str">
        <f>_xlfn.XLOOKUP(C1177,tblProducts[product_id],tblProducts[product_name],"Missing")</f>
        <v>Analytics Cloud</v>
      </c>
      <c r="P1177" t="str">
        <f>_xlfn.XLOOKUP(C1177,tblProducts[product_id],tblProducts[category],"Missing")</f>
        <v>Analytics</v>
      </c>
      <c r="Q1177" t="str">
        <f>_xlfn.XLOOKUP(D1177,tblSalesReps[rep_id],tblSalesReps[rep_name],"Missing")</f>
        <v>Sales Rep 15</v>
      </c>
      <c r="R1177" t="str">
        <f>_xlfn.XLOOKUP(D1177,tblSalesReps[rep_id],tblSalesReps[region],"Missing")</f>
        <v>West</v>
      </c>
    </row>
    <row r="1178" spans="1:18">
      <c r="A1178" t="s">
        <v>1680</v>
      </c>
      <c r="B1178" t="s">
        <v>1528</v>
      </c>
      <c r="C1178" t="s">
        <v>81</v>
      </c>
      <c r="D1178" t="s">
        <v>56</v>
      </c>
      <c r="E1178" s="1">
        <v>45986</v>
      </c>
      <c r="F1178" s="1">
        <v>46003</v>
      </c>
      <c r="G1178" s="1">
        <v>46003</v>
      </c>
      <c r="H1178" t="s">
        <v>28</v>
      </c>
      <c r="I1178">
        <v>3</v>
      </c>
      <c r="J1178">
        <v>0</v>
      </c>
      <c r="K1178">
        <v>900000</v>
      </c>
      <c r="L1178">
        <v>100</v>
      </c>
      <c r="M1178" t="s">
        <v>29</v>
      </c>
      <c r="N1178" t="str">
        <f>_xlfn.XLOOKUP(B1178,tblCustomers[customer_id],tblCustomers[region],"Missing")</f>
        <v>East</v>
      </c>
      <c r="O1178" t="str">
        <f>_xlfn.XLOOKUP(C1178,tblProducts[product_id],tblProducts[product_name],"Missing")</f>
        <v>Analytics Cloud</v>
      </c>
      <c r="P1178" t="str">
        <f>_xlfn.XLOOKUP(C1178,tblProducts[product_id],tblProducts[category],"Missing")</f>
        <v>Analytics</v>
      </c>
      <c r="Q1178" t="str">
        <f>_xlfn.XLOOKUP(D1178,tblSalesReps[rep_id],tblSalesReps[rep_name],"Missing")</f>
        <v>Sales Rep 20</v>
      </c>
      <c r="R1178" t="str">
        <f>_xlfn.XLOOKUP(D1178,tblSalesReps[rep_id],tblSalesReps[region],"Missing")</f>
        <v>East</v>
      </c>
    </row>
    <row r="1179" spans="1:18">
      <c r="A1179" t="s">
        <v>1681</v>
      </c>
      <c r="B1179" t="s">
        <v>559</v>
      </c>
      <c r="C1179" t="s">
        <v>39</v>
      </c>
      <c r="D1179" t="s">
        <v>22</v>
      </c>
      <c r="E1179" s="1">
        <v>45862</v>
      </c>
      <c r="F1179" s="1">
        <v>45909</v>
      </c>
      <c r="G1179" s="1">
        <v>45909</v>
      </c>
      <c r="H1179" t="s">
        <v>28</v>
      </c>
      <c r="I1179">
        <v>1</v>
      </c>
      <c r="J1179">
        <v>0</v>
      </c>
      <c r="K1179">
        <v>180000</v>
      </c>
      <c r="L1179">
        <v>100</v>
      </c>
      <c r="M1179" t="s">
        <v>29</v>
      </c>
      <c r="N1179" t="str">
        <f>_xlfn.XLOOKUP(B1179,tblCustomers[customer_id],tblCustomers[region],"Missing")</f>
        <v>West</v>
      </c>
      <c r="O1179" t="str">
        <f>_xlfn.XLOOKUP(C1179,tblProducts[product_id],tblProducts[product_name],"Missing")</f>
        <v>Support Desk</v>
      </c>
      <c r="P1179" t="str">
        <f>_xlfn.XLOOKUP(C1179,tblProducts[product_id],tblProducts[category],"Missing")</f>
        <v>Service</v>
      </c>
      <c r="Q1179" t="str">
        <f>_xlfn.XLOOKUP(D1179,tblSalesReps[rep_id],tblSalesReps[rep_name],"Missing")</f>
        <v>Sales Rep 14</v>
      </c>
      <c r="R1179" t="str">
        <f>_xlfn.XLOOKUP(D1179,tblSalesReps[rep_id],tblSalesReps[region],"Missing")</f>
        <v>West</v>
      </c>
    </row>
    <row r="1180" spans="1:18">
      <c r="A1180" t="s">
        <v>1682</v>
      </c>
      <c r="B1180" t="s">
        <v>1683</v>
      </c>
      <c r="C1180" t="s">
        <v>26</v>
      </c>
      <c r="D1180" t="s">
        <v>27</v>
      </c>
      <c r="E1180" s="1">
        <v>45937</v>
      </c>
      <c r="F1180" s="1">
        <v>46000</v>
      </c>
      <c r="G1180" s="1"/>
      <c r="H1180" t="s">
        <v>43</v>
      </c>
      <c r="I1180">
        <v>1</v>
      </c>
      <c r="J1180">
        <v>15</v>
      </c>
      <c r="K1180">
        <v>306000</v>
      </c>
      <c r="L1180">
        <v>80</v>
      </c>
      <c r="M1180" t="s">
        <v>29</v>
      </c>
      <c r="N1180" t="str">
        <f>_xlfn.XLOOKUP(B1180,tblCustomers[customer_id],tblCustomers[region],"Missing")</f>
        <v>North</v>
      </c>
      <c r="O1180" t="str">
        <f>_xlfn.XLOOKUP(C1180,tblProducts[product_id],tblProducts[product_name],"Missing")</f>
        <v>Security Suite</v>
      </c>
      <c r="P1180" t="str">
        <f>_xlfn.XLOOKUP(C1180,tblProducts[product_id],tblProducts[category],"Missing")</f>
        <v>Security</v>
      </c>
      <c r="Q1180" t="str">
        <f>_xlfn.XLOOKUP(D1180,tblSalesReps[rep_id],tblSalesReps[rep_name],"Missing")</f>
        <v>Sales Rep 06</v>
      </c>
      <c r="R1180" t="str">
        <f>_xlfn.XLOOKUP(D1180,tblSalesReps[rep_id],tblSalesReps[region],"Missing")</f>
        <v>North</v>
      </c>
    </row>
    <row r="1181" spans="1:18">
      <c r="A1181" t="s">
        <v>1684</v>
      </c>
      <c r="B1181" t="s">
        <v>387</v>
      </c>
      <c r="C1181" t="s">
        <v>39</v>
      </c>
      <c r="D1181" t="s">
        <v>63</v>
      </c>
      <c r="E1181" s="1">
        <v>45748</v>
      </c>
      <c r="F1181" s="1">
        <v>45820</v>
      </c>
      <c r="G1181" s="1"/>
      <c r="H1181" t="s">
        <v>43</v>
      </c>
      <c r="I1181">
        <v>3</v>
      </c>
      <c r="J1181">
        <v>0</v>
      </c>
      <c r="K1181">
        <v>540000</v>
      </c>
      <c r="L1181">
        <v>40</v>
      </c>
      <c r="M1181" t="s">
        <v>29</v>
      </c>
      <c r="N1181" t="str">
        <f>_xlfn.XLOOKUP(B1181,tblCustomers[customer_id],tblCustomers[region],"Missing")</f>
        <v>South</v>
      </c>
      <c r="O1181" t="str">
        <f>_xlfn.XLOOKUP(C1181,tblProducts[product_id],tblProducts[product_name],"Missing")</f>
        <v>Support Desk</v>
      </c>
      <c r="P1181" t="str">
        <f>_xlfn.XLOOKUP(C1181,tblProducts[product_id],tblProducts[category],"Missing")</f>
        <v>Service</v>
      </c>
      <c r="Q1181" t="str">
        <f>_xlfn.XLOOKUP(D1181,tblSalesReps[rep_id],tblSalesReps[rep_name],"Missing")</f>
        <v>Sales Rep 05</v>
      </c>
      <c r="R1181" t="str">
        <f>_xlfn.XLOOKUP(D1181,tblSalesReps[rep_id],tblSalesReps[region],"Missing")</f>
        <v>South</v>
      </c>
    </row>
    <row r="1182" spans="1:18">
      <c r="A1182" t="s">
        <v>1685</v>
      </c>
      <c r="B1182" t="s">
        <v>1686</v>
      </c>
      <c r="C1182" t="s">
        <v>15</v>
      </c>
      <c r="D1182" t="s">
        <v>22</v>
      </c>
      <c r="E1182" s="1">
        <v>45958</v>
      </c>
      <c r="F1182" s="1">
        <v>45968</v>
      </c>
      <c r="G1182" s="1">
        <v>45968</v>
      </c>
      <c r="H1182" t="s">
        <v>28</v>
      </c>
      <c r="I1182">
        <v>1</v>
      </c>
      <c r="J1182">
        <v>20</v>
      </c>
      <c r="K1182">
        <v>336000</v>
      </c>
      <c r="L1182">
        <v>100</v>
      </c>
      <c r="M1182" t="s">
        <v>29</v>
      </c>
      <c r="N1182" t="str">
        <f>_xlfn.XLOOKUP(B1182,tblCustomers[customer_id],tblCustomers[region],"Missing")</f>
        <v>West</v>
      </c>
      <c r="O1182" t="str">
        <f>_xlfn.XLOOKUP(C1182,tblProducts[product_id],tblProducts[product_name],"Missing")</f>
        <v>CRM Enterprise</v>
      </c>
      <c r="P1182" t="str">
        <f>_xlfn.XLOOKUP(C1182,tblProducts[product_id],tblProducts[category],"Missing")</f>
        <v>CRM</v>
      </c>
      <c r="Q1182" t="str">
        <f>_xlfn.XLOOKUP(D1182,tblSalesReps[rep_id],tblSalesReps[rep_name],"Missing")</f>
        <v>Sales Rep 14</v>
      </c>
      <c r="R1182" t="str">
        <f>_xlfn.XLOOKUP(D1182,tblSalesReps[rep_id],tblSalesReps[region],"Missing")</f>
        <v>West</v>
      </c>
    </row>
    <row r="1183" spans="1:18">
      <c r="A1183" t="s">
        <v>1687</v>
      </c>
      <c r="B1183" t="s">
        <v>743</v>
      </c>
      <c r="C1183" t="s">
        <v>62</v>
      </c>
      <c r="D1183" t="s">
        <v>40</v>
      </c>
      <c r="E1183" s="1">
        <v>45841</v>
      </c>
      <c r="F1183" s="1">
        <v>45926</v>
      </c>
      <c r="G1183" s="1"/>
      <c r="H1183" t="s">
        <v>43</v>
      </c>
      <c r="I1183">
        <v>2</v>
      </c>
      <c r="J1183">
        <v>15</v>
      </c>
      <c r="K1183">
        <v>204000</v>
      </c>
      <c r="L1183">
        <v>20</v>
      </c>
      <c r="M1183" t="s">
        <v>29</v>
      </c>
      <c r="N1183" t="str">
        <f>_xlfn.XLOOKUP(B1183,tblCustomers[customer_id],tblCustomers[region],"Missing")</f>
        <v>West</v>
      </c>
      <c r="O1183" t="str">
        <f>_xlfn.XLOOKUP(C1183,tblProducts[product_id],tblProducts[product_name],"Missing")</f>
        <v>CRM Essentials</v>
      </c>
      <c r="P1183" t="str">
        <f>_xlfn.XLOOKUP(C1183,tblProducts[product_id],tblProducts[category],"Missing")</f>
        <v>CRM</v>
      </c>
      <c r="Q1183" t="str">
        <f>_xlfn.XLOOKUP(D1183,tblSalesReps[rep_id],tblSalesReps[rep_name],"Missing")</f>
        <v>Sales Rep 13</v>
      </c>
      <c r="R1183" t="str">
        <f>_xlfn.XLOOKUP(D1183,tblSalesReps[rep_id],tblSalesReps[region],"Missing")</f>
        <v>West</v>
      </c>
    </row>
    <row r="1184" spans="1:18">
      <c r="A1184" t="s">
        <v>1688</v>
      </c>
      <c r="B1184" t="s">
        <v>300</v>
      </c>
      <c r="C1184" t="s">
        <v>39</v>
      </c>
      <c r="D1184" t="s">
        <v>50</v>
      </c>
      <c r="E1184" s="1">
        <v>45800</v>
      </c>
      <c r="F1184" s="1">
        <v>45838</v>
      </c>
      <c r="G1184" s="1">
        <v>45838</v>
      </c>
      <c r="H1184" t="s">
        <v>17</v>
      </c>
      <c r="I1184">
        <v>1</v>
      </c>
      <c r="J1184">
        <v>5</v>
      </c>
      <c r="K1184">
        <v>171000</v>
      </c>
      <c r="L1184">
        <v>0</v>
      </c>
      <c r="M1184" t="s">
        <v>82</v>
      </c>
      <c r="N1184" t="str">
        <f>_xlfn.XLOOKUP(B1184,tblCustomers[customer_id],tblCustomers[region],"Missing")</f>
        <v>West</v>
      </c>
      <c r="O1184" t="str">
        <f>_xlfn.XLOOKUP(C1184,tblProducts[product_id],tblProducts[product_name],"Missing")</f>
        <v>Support Desk</v>
      </c>
      <c r="P1184" t="str">
        <f>_xlfn.XLOOKUP(C1184,tblProducts[product_id],tblProducts[category],"Missing")</f>
        <v>Service</v>
      </c>
      <c r="Q1184" t="str">
        <f>_xlfn.XLOOKUP(D1184,tblSalesReps[rep_id],tblSalesReps[rep_name],"Missing")</f>
        <v>Sales Rep 15</v>
      </c>
      <c r="R1184" t="str">
        <f>_xlfn.XLOOKUP(D1184,tblSalesReps[rep_id],tblSalesReps[region],"Missing")</f>
        <v>West</v>
      </c>
    </row>
    <row r="1185" spans="1:18">
      <c r="A1185" t="s">
        <v>1689</v>
      </c>
      <c r="B1185" t="s">
        <v>481</v>
      </c>
      <c r="C1185" t="s">
        <v>26</v>
      </c>
      <c r="D1185" t="s">
        <v>91</v>
      </c>
      <c r="E1185" s="1">
        <v>45997</v>
      </c>
      <c r="F1185" s="1">
        <v>46018</v>
      </c>
      <c r="G1185" s="1">
        <v>46018</v>
      </c>
      <c r="H1185" t="s">
        <v>28</v>
      </c>
      <c r="I1185">
        <v>1</v>
      </c>
      <c r="J1185">
        <v>20</v>
      </c>
      <c r="K1185">
        <v>288000</v>
      </c>
      <c r="L1185">
        <v>100</v>
      </c>
      <c r="M1185" t="s">
        <v>29</v>
      </c>
      <c r="N1185" t="str">
        <f>_xlfn.XLOOKUP(B1185,tblCustomers[customer_id],tblCustomers[region],"Missing")</f>
        <v>South</v>
      </c>
      <c r="O1185" t="str">
        <f>_xlfn.XLOOKUP(C1185,tblProducts[product_id],tblProducts[product_name],"Missing")</f>
        <v>Security Suite</v>
      </c>
      <c r="P1185" t="str">
        <f>_xlfn.XLOOKUP(C1185,tblProducts[product_id],tblProducts[category],"Missing")</f>
        <v>Security</v>
      </c>
      <c r="Q1185" t="str">
        <f>_xlfn.XLOOKUP(D1185,tblSalesReps[rep_id],tblSalesReps[rep_name],"Missing")</f>
        <v>Sales Rep 03</v>
      </c>
      <c r="R1185" t="str">
        <f>_xlfn.XLOOKUP(D1185,tblSalesReps[rep_id],tblSalesReps[region],"Missing")</f>
        <v>South</v>
      </c>
    </row>
    <row r="1186" spans="1:18">
      <c r="A1186" t="s">
        <v>1690</v>
      </c>
      <c r="B1186" t="s">
        <v>1117</v>
      </c>
      <c r="C1186" t="s">
        <v>62</v>
      </c>
      <c r="D1186" t="s">
        <v>40</v>
      </c>
      <c r="E1186" s="1">
        <v>45658</v>
      </c>
      <c r="F1186" s="1">
        <v>45722</v>
      </c>
      <c r="G1186" s="1">
        <v>45722</v>
      </c>
      <c r="H1186" t="s">
        <v>28</v>
      </c>
      <c r="I1186">
        <v>1</v>
      </c>
      <c r="J1186">
        <v>0</v>
      </c>
      <c r="K1186">
        <v>120000</v>
      </c>
      <c r="L1186">
        <v>100</v>
      </c>
      <c r="M1186" t="s">
        <v>29</v>
      </c>
      <c r="N1186" t="str">
        <f>_xlfn.XLOOKUP(B1186,tblCustomers[customer_id],tblCustomers[region],"Missing")</f>
        <v>West</v>
      </c>
      <c r="O1186" t="str">
        <f>_xlfn.XLOOKUP(C1186,tblProducts[product_id],tblProducts[product_name],"Missing")</f>
        <v>CRM Essentials</v>
      </c>
      <c r="P1186" t="str">
        <f>_xlfn.XLOOKUP(C1186,tblProducts[product_id],tblProducts[category],"Missing")</f>
        <v>CRM</v>
      </c>
      <c r="Q1186" t="str">
        <f>_xlfn.XLOOKUP(D1186,tblSalesReps[rep_id],tblSalesReps[rep_name],"Missing")</f>
        <v>Sales Rep 13</v>
      </c>
      <c r="R1186" t="str">
        <f>_xlfn.XLOOKUP(D1186,tblSalesReps[rep_id],tblSalesReps[region],"Missing")</f>
        <v>West</v>
      </c>
    </row>
    <row r="1187" spans="1:18">
      <c r="A1187" t="s">
        <v>1691</v>
      </c>
      <c r="B1187" t="s">
        <v>636</v>
      </c>
      <c r="C1187" t="s">
        <v>62</v>
      </c>
      <c r="D1187" t="s">
        <v>75</v>
      </c>
      <c r="E1187" s="1">
        <v>45673</v>
      </c>
      <c r="F1187" s="1">
        <v>45749</v>
      </c>
      <c r="G1187" s="1">
        <v>45749</v>
      </c>
      <c r="H1187" t="s">
        <v>17</v>
      </c>
      <c r="I1187">
        <v>1</v>
      </c>
      <c r="J1187">
        <v>20</v>
      </c>
      <c r="K1187">
        <v>96000</v>
      </c>
      <c r="L1187">
        <v>0</v>
      </c>
      <c r="M1187" t="s">
        <v>82</v>
      </c>
      <c r="N1187" t="str">
        <f>_xlfn.XLOOKUP(B1187,tblCustomers[customer_id],tblCustomers[region],"Missing")</f>
        <v>North</v>
      </c>
      <c r="O1187" t="str">
        <f>_xlfn.XLOOKUP(C1187,tblProducts[product_id],tblProducts[product_name],"Missing")</f>
        <v>CRM Essentials</v>
      </c>
      <c r="P1187" t="str">
        <f>_xlfn.XLOOKUP(C1187,tblProducts[product_id],tblProducts[category],"Missing")</f>
        <v>CRM</v>
      </c>
      <c r="Q1187" t="str">
        <f>_xlfn.XLOOKUP(D1187,tblSalesReps[rep_id],tblSalesReps[rep_name],"Missing")</f>
        <v>Sales Rep 07</v>
      </c>
      <c r="R1187" t="str">
        <f>_xlfn.XLOOKUP(D1187,tblSalesReps[rep_id],tblSalesReps[region],"Missing")</f>
        <v>North</v>
      </c>
    </row>
    <row r="1188" spans="1:18">
      <c r="A1188" t="s">
        <v>1692</v>
      </c>
      <c r="B1188" t="s">
        <v>700</v>
      </c>
      <c r="C1188" t="s">
        <v>21</v>
      </c>
      <c r="D1188" t="s">
        <v>16</v>
      </c>
      <c r="E1188" s="1">
        <v>45927</v>
      </c>
      <c r="F1188" s="1">
        <v>45937</v>
      </c>
      <c r="G1188" s="1">
        <v>45937</v>
      </c>
      <c r="H1188" t="s">
        <v>28</v>
      </c>
      <c r="I1188">
        <v>1</v>
      </c>
      <c r="J1188">
        <v>15</v>
      </c>
      <c r="K1188">
        <v>204000</v>
      </c>
      <c r="L1188">
        <v>100</v>
      </c>
      <c r="M1188" t="s">
        <v>29</v>
      </c>
      <c r="N1188" t="str">
        <f>_xlfn.XLOOKUP(B1188,tblCustomers[customer_id],tblCustomers[region],"Missing")</f>
        <v>North</v>
      </c>
      <c r="O1188" t="str">
        <f>_xlfn.XLOOKUP(C1188,tblProducts[product_id],tblProducts[product_name],"Missing")</f>
        <v>Workflow Automate</v>
      </c>
      <c r="P1188" t="str">
        <f>_xlfn.XLOOKUP(C1188,tblProducts[product_id],tblProducts[category],"Missing")</f>
        <v>Automation</v>
      </c>
      <c r="Q1188" t="str">
        <f>_xlfn.XLOOKUP(D1188,tblSalesReps[rep_id],tblSalesReps[rep_name],"Missing")</f>
        <v>Sales Rep 08</v>
      </c>
      <c r="R1188" t="str">
        <f>_xlfn.XLOOKUP(D1188,tblSalesReps[rep_id],tblSalesReps[region],"Missing")</f>
        <v>North</v>
      </c>
    </row>
    <row r="1189" spans="1:18">
      <c r="A1189" t="s">
        <v>1693</v>
      </c>
      <c r="B1189" t="s">
        <v>547</v>
      </c>
      <c r="C1189" t="s">
        <v>39</v>
      </c>
      <c r="D1189" t="s">
        <v>53</v>
      </c>
      <c r="E1189" s="1">
        <v>45965</v>
      </c>
      <c r="F1189" s="1">
        <v>46021</v>
      </c>
      <c r="G1189" s="1"/>
      <c r="H1189" t="s">
        <v>43</v>
      </c>
      <c r="I1189">
        <v>1</v>
      </c>
      <c r="J1189">
        <v>5</v>
      </c>
      <c r="K1189">
        <v>171000</v>
      </c>
      <c r="L1189">
        <v>80</v>
      </c>
      <c r="M1189" t="s">
        <v>29</v>
      </c>
      <c r="N1189" t="str">
        <f>_xlfn.XLOOKUP(B1189,tblCustomers[customer_id],tblCustomers[region],"Missing")</f>
        <v>East</v>
      </c>
      <c r="O1189" t="str">
        <f>_xlfn.XLOOKUP(C1189,tblProducts[product_id],tblProducts[product_name],"Missing")</f>
        <v>Support Desk</v>
      </c>
      <c r="P1189" t="str">
        <f>_xlfn.XLOOKUP(C1189,tblProducts[product_id],tblProducts[category],"Missing")</f>
        <v>Service</v>
      </c>
      <c r="Q1189" t="str">
        <f>_xlfn.XLOOKUP(D1189,tblSalesReps[rep_id],tblSalesReps[rep_name],"Missing")</f>
        <v>Sales Rep 16</v>
      </c>
      <c r="R1189" t="str">
        <f>_xlfn.XLOOKUP(D1189,tblSalesReps[rep_id],tblSalesReps[region],"Missing")</f>
        <v>East</v>
      </c>
    </row>
    <row r="1190" spans="1:18">
      <c r="A1190" t="s">
        <v>1694</v>
      </c>
      <c r="B1190" t="s">
        <v>318</v>
      </c>
      <c r="C1190" t="s">
        <v>26</v>
      </c>
      <c r="D1190" t="s">
        <v>91</v>
      </c>
      <c r="E1190" s="1">
        <v>45801</v>
      </c>
      <c r="F1190" s="1">
        <v>45849</v>
      </c>
      <c r="G1190" s="1">
        <v>45849</v>
      </c>
      <c r="H1190" t="s">
        <v>28</v>
      </c>
      <c r="I1190">
        <v>3</v>
      </c>
      <c r="J1190">
        <v>15</v>
      </c>
      <c r="K1190">
        <v>918000</v>
      </c>
      <c r="L1190">
        <v>100</v>
      </c>
      <c r="M1190" t="s">
        <v>29</v>
      </c>
      <c r="N1190" t="str">
        <f>_xlfn.XLOOKUP(B1190,tblCustomers[customer_id],tblCustomers[region],"Missing")</f>
        <v>South</v>
      </c>
      <c r="O1190" t="str">
        <f>_xlfn.XLOOKUP(C1190,tblProducts[product_id],tblProducts[product_name],"Missing")</f>
        <v>Security Suite</v>
      </c>
      <c r="P1190" t="str">
        <f>_xlfn.XLOOKUP(C1190,tblProducts[product_id],tblProducts[category],"Missing")</f>
        <v>Security</v>
      </c>
      <c r="Q1190" t="str">
        <f>_xlfn.XLOOKUP(D1190,tblSalesReps[rep_id],tblSalesReps[rep_name],"Missing")</f>
        <v>Sales Rep 03</v>
      </c>
      <c r="R1190" t="str">
        <f>_xlfn.XLOOKUP(D1190,tblSalesReps[rep_id],tblSalesReps[region],"Missing")</f>
        <v>South</v>
      </c>
    </row>
    <row r="1191" spans="1:18">
      <c r="A1191" t="s">
        <v>1695</v>
      </c>
      <c r="B1191" t="s">
        <v>902</v>
      </c>
      <c r="C1191" t="s">
        <v>26</v>
      </c>
      <c r="D1191" t="s">
        <v>75</v>
      </c>
      <c r="E1191" s="1">
        <v>45810</v>
      </c>
      <c r="F1191" s="1">
        <v>45864</v>
      </c>
      <c r="G1191" s="1">
        <v>45864</v>
      </c>
      <c r="H1191" t="s">
        <v>28</v>
      </c>
      <c r="I1191">
        <v>1</v>
      </c>
      <c r="J1191">
        <v>15</v>
      </c>
      <c r="K1191">
        <v>306000</v>
      </c>
      <c r="L1191">
        <v>100</v>
      </c>
      <c r="M1191" t="s">
        <v>29</v>
      </c>
      <c r="N1191" t="str">
        <f>_xlfn.XLOOKUP(B1191,tblCustomers[customer_id],tblCustomers[region],"Missing")</f>
        <v>North</v>
      </c>
      <c r="O1191" t="str">
        <f>_xlfn.XLOOKUP(C1191,tblProducts[product_id],tblProducts[product_name],"Missing")</f>
        <v>Security Suite</v>
      </c>
      <c r="P1191" t="str">
        <f>_xlfn.XLOOKUP(C1191,tblProducts[product_id],tblProducts[category],"Missing")</f>
        <v>Security</v>
      </c>
      <c r="Q1191" t="str">
        <f>_xlfn.XLOOKUP(D1191,tblSalesReps[rep_id],tblSalesReps[rep_name],"Missing")</f>
        <v>Sales Rep 07</v>
      </c>
      <c r="R1191" t="str">
        <f>_xlfn.XLOOKUP(D1191,tblSalesReps[rep_id],tblSalesReps[region],"Missing")</f>
        <v>North</v>
      </c>
    </row>
    <row r="1192" spans="1:18">
      <c r="A1192" t="s">
        <v>1696</v>
      </c>
      <c r="B1192" t="s">
        <v>1341</v>
      </c>
      <c r="C1192" t="s">
        <v>39</v>
      </c>
      <c r="D1192" t="s">
        <v>40</v>
      </c>
      <c r="E1192" s="1">
        <v>45949</v>
      </c>
      <c r="F1192" s="1">
        <v>45963</v>
      </c>
      <c r="G1192" s="1">
        <v>45963</v>
      </c>
      <c r="H1192" t="s">
        <v>17</v>
      </c>
      <c r="I1192">
        <v>1</v>
      </c>
      <c r="J1192">
        <v>20</v>
      </c>
      <c r="K1192">
        <v>144000</v>
      </c>
      <c r="L1192">
        <v>0</v>
      </c>
      <c r="M1192" t="s">
        <v>82</v>
      </c>
      <c r="N1192" t="str">
        <f>_xlfn.XLOOKUP(B1192,tblCustomers[customer_id],tblCustomers[region],"Missing")</f>
        <v>West</v>
      </c>
      <c r="O1192" t="str">
        <f>_xlfn.XLOOKUP(C1192,tblProducts[product_id],tblProducts[product_name],"Missing")</f>
        <v>Support Desk</v>
      </c>
      <c r="P1192" t="str">
        <f>_xlfn.XLOOKUP(C1192,tblProducts[product_id],tblProducts[category],"Missing")</f>
        <v>Service</v>
      </c>
      <c r="Q1192" t="str">
        <f>_xlfn.XLOOKUP(D1192,tblSalesReps[rep_id],tblSalesReps[rep_name],"Missing")</f>
        <v>Sales Rep 13</v>
      </c>
      <c r="R1192" t="str">
        <f>_xlfn.XLOOKUP(D1192,tblSalesReps[rep_id],tblSalesReps[region],"Missing")</f>
        <v>West</v>
      </c>
    </row>
    <row r="1193" spans="1:18">
      <c r="A1193" t="s">
        <v>1697</v>
      </c>
      <c r="B1193" t="s">
        <v>896</v>
      </c>
      <c r="C1193" t="s">
        <v>26</v>
      </c>
      <c r="D1193" t="s">
        <v>152</v>
      </c>
      <c r="E1193" s="1">
        <v>45679</v>
      </c>
      <c r="F1193" s="1">
        <v>45714</v>
      </c>
      <c r="G1193" s="1">
        <v>45714</v>
      </c>
      <c r="H1193" t="s">
        <v>17</v>
      </c>
      <c r="I1193">
        <v>2</v>
      </c>
      <c r="J1193">
        <v>10</v>
      </c>
      <c r="K1193">
        <v>648000</v>
      </c>
      <c r="L1193">
        <v>0</v>
      </c>
      <c r="M1193" t="s">
        <v>33</v>
      </c>
      <c r="N1193" t="str">
        <f>_xlfn.XLOOKUP(B1193,tblCustomers[customer_id],tblCustomers[region],"Missing")</f>
        <v>East</v>
      </c>
      <c r="O1193" t="str">
        <f>_xlfn.XLOOKUP(C1193,tblProducts[product_id],tblProducts[product_name],"Missing")</f>
        <v>Security Suite</v>
      </c>
      <c r="P1193" t="str">
        <f>_xlfn.XLOOKUP(C1193,tblProducts[product_id],tblProducts[category],"Missing")</f>
        <v>Security</v>
      </c>
      <c r="Q1193" t="str">
        <f>_xlfn.XLOOKUP(D1193,tblSalesReps[rep_id],tblSalesReps[rep_name],"Missing")</f>
        <v>Sales Rep 18</v>
      </c>
      <c r="R1193" t="str">
        <f>_xlfn.XLOOKUP(D1193,tblSalesReps[rep_id],tblSalesReps[region],"Missing")</f>
        <v>East</v>
      </c>
    </row>
    <row r="1194" spans="1:18">
      <c r="A1194" t="s">
        <v>1698</v>
      </c>
      <c r="B1194" t="s">
        <v>1070</v>
      </c>
      <c r="C1194" t="s">
        <v>21</v>
      </c>
      <c r="D1194" t="s">
        <v>16</v>
      </c>
      <c r="E1194" s="1">
        <v>46022</v>
      </c>
      <c r="F1194" s="1">
        <v>46048</v>
      </c>
      <c r="G1194" s="1"/>
      <c r="H1194" t="s">
        <v>43</v>
      </c>
      <c r="I1194">
        <v>1</v>
      </c>
      <c r="J1194">
        <v>5</v>
      </c>
      <c r="K1194">
        <v>228000</v>
      </c>
      <c r="L1194">
        <v>40</v>
      </c>
      <c r="M1194" t="s">
        <v>29</v>
      </c>
      <c r="N1194" t="str">
        <f>_xlfn.XLOOKUP(B1194,tblCustomers[customer_id],tblCustomers[region],"Missing")</f>
        <v>North</v>
      </c>
      <c r="O1194" t="str">
        <f>_xlfn.XLOOKUP(C1194,tblProducts[product_id],tblProducts[product_name],"Missing")</f>
        <v>Workflow Automate</v>
      </c>
      <c r="P1194" t="str">
        <f>_xlfn.XLOOKUP(C1194,tblProducts[product_id],tblProducts[category],"Missing")</f>
        <v>Automation</v>
      </c>
      <c r="Q1194" t="str">
        <f>_xlfn.XLOOKUP(D1194,tblSalesReps[rep_id],tblSalesReps[rep_name],"Missing")</f>
        <v>Sales Rep 08</v>
      </c>
      <c r="R1194" t="str">
        <f>_xlfn.XLOOKUP(D1194,tblSalesReps[rep_id],tblSalesReps[region],"Missing")</f>
        <v>North</v>
      </c>
    </row>
    <row r="1195" spans="1:18">
      <c r="A1195" t="s">
        <v>1699</v>
      </c>
      <c r="B1195" t="s">
        <v>362</v>
      </c>
      <c r="C1195" t="s">
        <v>26</v>
      </c>
      <c r="D1195" t="s">
        <v>75</v>
      </c>
      <c r="E1195" s="1">
        <v>45727</v>
      </c>
      <c r="F1195" s="1">
        <v>45766</v>
      </c>
      <c r="G1195" s="1">
        <v>45766</v>
      </c>
      <c r="H1195" t="s">
        <v>17</v>
      </c>
      <c r="I1195">
        <v>1</v>
      </c>
      <c r="J1195">
        <v>20</v>
      </c>
      <c r="K1195">
        <v>288000</v>
      </c>
      <c r="L1195">
        <v>0</v>
      </c>
      <c r="M1195" t="s">
        <v>47</v>
      </c>
      <c r="N1195" t="str">
        <f>_xlfn.XLOOKUP(B1195,tblCustomers[customer_id],tblCustomers[region],"Missing")</f>
        <v>North</v>
      </c>
      <c r="O1195" t="str">
        <f>_xlfn.XLOOKUP(C1195,tblProducts[product_id],tblProducts[product_name],"Missing")</f>
        <v>Security Suite</v>
      </c>
      <c r="P1195" t="str">
        <f>_xlfn.XLOOKUP(C1195,tblProducts[product_id],tblProducts[category],"Missing")</f>
        <v>Security</v>
      </c>
      <c r="Q1195" t="str">
        <f>_xlfn.XLOOKUP(D1195,tblSalesReps[rep_id],tblSalesReps[rep_name],"Missing")</f>
        <v>Sales Rep 07</v>
      </c>
      <c r="R1195" t="str">
        <f>_xlfn.XLOOKUP(D1195,tblSalesReps[rep_id],tblSalesReps[region],"Missing")</f>
        <v>North</v>
      </c>
    </row>
    <row r="1196" spans="1:18">
      <c r="A1196" t="s">
        <v>1700</v>
      </c>
      <c r="B1196" t="s">
        <v>1420</v>
      </c>
      <c r="C1196" t="s">
        <v>81</v>
      </c>
      <c r="D1196" t="s">
        <v>56</v>
      </c>
      <c r="E1196" s="1">
        <v>45956</v>
      </c>
      <c r="F1196" s="1">
        <v>45987</v>
      </c>
      <c r="G1196" s="1">
        <v>45987</v>
      </c>
      <c r="H1196" t="s">
        <v>17</v>
      </c>
      <c r="I1196">
        <v>1</v>
      </c>
      <c r="J1196">
        <v>15</v>
      </c>
      <c r="K1196">
        <v>255000</v>
      </c>
      <c r="L1196">
        <v>0</v>
      </c>
      <c r="M1196" t="s">
        <v>33</v>
      </c>
      <c r="N1196" t="str">
        <f>_xlfn.XLOOKUP(B1196,tblCustomers[customer_id],tblCustomers[region],"Missing")</f>
        <v>East</v>
      </c>
      <c r="O1196" t="str">
        <f>_xlfn.XLOOKUP(C1196,tblProducts[product_id],tblProducts[product_name],"Missing")</f>
        <v>Analytics Cloud</v>
      </c>
      <c r="P1196" t="str">
        <f>_xlfn.XLOOKUP(C1196,tblProducts[product_id],tblProducts[category],"Missing")</f>
        <v>Analytics</v>
      </c>
      <c r="Q1196" t="str">
        <f>_xlfn.XLOOKUP(D1196,tblSalesReps[rep_id],tblSalesReps[rep_name],"Missing")</f>
        <v>Sales Rep 20</v>
      </c>
      <c r="R1196" t="str">
        <f>_xlfn.XLOOKUP(D1196,tblSalesReps[rep_id],tblSalesReps[region],"Missing")</f>
        <v>East</v>
      </c>
    </row>
    <row r="1197" spans="1:18">
      <c r="A1197" t="s">
        <v>1701</v>
      </c>
      <c r="B1197" t="s">
        <v>264</v>
      </c>
      <c r="C1197" t="s">
        <v>15</v>
      </c>
      <c r="D1197" t="s">
        <v>91</v>
      </c>
      <c r="E1197" s="1">
        <v>45880</v>
      </c>
      <c r="F1197" s="1">
        <v>45902</v>
      </c>
      <c r="G1197" s="1">
        <v>45902</v>
      </c>
      <c r="H1197" t="s">
        <v>28</v>
      </c>
      <c r="I1197">
        <v>1</v>
      </c>
      <c r="J1197">
        <v>10</v>
      </c>
      <c r="K1197">
        <v>378000</v>
      </c>
      <c r="L1197">
        <v>100</v>
      </c>
      <c r="M1197" t="s">
        <v>29</v>
      </c>
      <c r="N1197" t="str">
        <f>_xlfn.XLOOKUP(B1197,tblCustomers[customer_id],tblCustomers[region],"Missing")</f>
        <v>South</v>
      </c>
      <c r="O1197" t="str">
        <f>_xlfn.XLOOKUP(C1197,tblProducts[product_id],tblProducts[product_name],"Missing")</f>
        <v>CRM Enterprise</v>
      </c>
      <c r="P1197" t="str">
        <f>_xlfn.XLOOKUP(C1197,tblProducts[product_id],tblProducts[category],"Missing")</f>
        <v>CRM</v>
      </c>
      <c r="Q1197" t="str">
        <f>_xlfn.XLOOKUP(D1197,tblSalesReps[rep_id],tblSalesReps[rep_name],"Missing")</f>
        <v>Sales Rep 03</v>
      </c>
      <c r="R1197" t="str">
        <f>_xlfn.XLOOKUP(D1197,tblSalesReps[rep_id],tblSalesReps[region],"Missing")</f>
        <v>South</v>
      </c>
    </row>
    <row r="1198" spans="1:18">
      <c r="A1198" t="s">
        <v>1702</v>
      </c>
      <c r="B1198" t="s">
        <v>320</v>
      </c>
      <c r="C1198" t="s">
        <v>39</v>
      </c>
      <c r="D1198" t="s">
        <v>119</v>
      </c>
      <c r="E1198" s="1">
        <v>45755</v>
      </c>
      <c r="F1198" s="1">
        <v>45838</v>
      </c>
      <c r="G1198" s="1"/>
      <c r="H1198" t="s">
        <v>43</v>
      </c>
      <c r="I1198">
        <v>1</v>
      </c>
      <c r="J1198">
        <v>5</v>
      </c>
      <c r="K1198">
        <v>171000</v>
      </c>
      <c r="L1198">
        <v>40</v>
      </c>
      <c r="M1198" t="s">
        <v>29</v>
      </c>
      <c r="N1198" t="str">
        <f>_xlfn.XLOOKUP(B1198,tblCustomers[customer_id],tblCustomers[region],"Missing")</f>
        <v>North</v>
      </c>
      <c r="O1198" t="str">
        <f>_xlfn.XLOOKUP(C1198,tblProducts[product_id],tblProducts[product_name],"Missing")</f>
        <v>Support Desk</v>
      </c>
      <c r="P1198" t="str">
        <f>_xlfn.XLOOKUP(C1198,tblProducts[product_id],tblProducts[category],"Missing")</f>
        <v>Service</v>
      </c>
      <c r="Q1198" t="str">
        <f>_xlfn.XLOOKUP(D1198,tblSalesReps[rep_id],tblSalesReps[rep_name],"Missing")</f>
        <v>Sales Rep 10</v>
      </c>
      <c r="R1198" t="str">
        <f>_xlfn.XLOOKUP(D1198,tblSalesReps[rep_id],tblSalesReps[region],"Missing")</f>
        <v>North</v>
      </c>
    </row>
    <row r="1199" spans="1:18">
      <c r="A1199" t="s">
        <v>1703</v>
      </c>
      <c r="B1199" t="s">
        <v>948</v>
      </c>
      <c r="C1199" t="s">
        <v>26</v>
      </c>
      <c r="D1199" t="s">
        <v>78</v>
      </c>
      <c r="E1199" s="1">
        <v>45675</v>
      </c>
      <c r="F1199" s="1">
        <v>45754</v>
      </c>
      <c r="G1199" s="1"/>
      <c r="H1199" t="s">
        <v>43</v>
      </c>
      <c r="I1199">
        <v>1</v>
      </c>
      <c r="J1199">
        <v>5</v>
      </c>
      <c r="K1199">
        <v>342000</v>
      </c>
      <c r="L1199">
        <v>60</v>
      </c>
      <c r="M1199" t="s">
        <v>29</v>
      </c>
      <c r="N1199" t="str">
        <f>_xlfn.XLOOKUP(B1199,tblCustomers[customer_id],tblCustomers[region],"Missing")</f>
        <v>West</v>
      </c>
      <c r="O1199" t="str">
        <f>_xlfn.XLOOKUP(C1199,tblProducts[product_id],tblProducts[product_name],"Missing")</f>
        <v>Security Suite</v>
      </c>
      <c r="P1199" t="str">
        <f>_xlfn.XLOOKUP(C1199,tblProducts[product_id],tblProducts[category],"Missing")</f>
        <v>Security</v>
      </c>
      <c r="Q1199" t="str">
        <f>_xlfn.XLOOKUP(D1199,tblSalesReps[rep_id],tblSalesReps[rep_name],"Missing")</f>
        <v>Sales Rep 12</v>
      </c>
      <c r="R1199" t="str">
        <f>_xlfn.XLOOKUP(D1199,tblSalesReps[rep_id],tblSalesReps[region],"Missing")</f>
        <v>West</v>
      </c>
    </row>
    <row r="1200" spans="1:18">
      <c r="A1200" t="s">
        <v>1704</v>
      </c>
      <c r="B1200" t="s">
        <v>453</v>
      </c>
      <c r="C1200" t="s">
        <v>26</v>
      </c>
      <c r="D1200" t="s">
        <v>63</v>
      </c>
      <c r="E1200" s="1">
        <v>45898</v>
      </c>
      <c r="F1200" s="1">
        <v>45980</v>
      </c>
      <c r="G1200" s="1">
        <v>45980</v>
      </c>
      <c r="H1200" t="s">
        <v>28</v>
      </c>
      <c r="I1200">
        <v>3</v>
      </c>
      <c r="J1200">
        <v>20</v>
      </c>
      <c r="K1200">
        <v>864000</v>
      </c>
      <c r="L1200">
        <v>100</v>
      </c>
      <c r="M1200" t="s">
        <v>29</v>
      </c>
      <c r="N1200" t="str">
        <f>_xlfn.XLOOKUP(B1200,tblCustomers[customer_id],tblCustomers[region],"Missing")</f>
        <v>South</v>
      </c>
      <c r="O1200" t="str">
        <f>_xlfn.XLOOKUP(C1200,tblProducts[product_id],tblProducts[product_name],"Missing")</f>
        <v>Security Suite</v>
      </c>
      <c r="P1200" t="str">
        <f>_xlfn.XLOOKUP(C1200,tblProducts[product_id],tblProducts[category],"Missing")</f>
        <v>Security</v>
      </c>
      <c r="Q1200" t="str">
        <f>_xlfn.XLOOKUP(D1200,tblSalesReps[rep_id],tblSalesReps[rep_name],"Missing")</f>
        <v>Sales Rep 05</v>
      </c>
      <c r="R1200" t="str">
        <f>_xlfn.XLOOKUP(D1200,tblSalesReps[rep_id],tblSalesReps[region],"Missing")</f>
        <v>South</v>
      </c>
    </row>
    <row r="1201" spans="1:18">
      <c r="A1201" t="s">
        <v>1705</v>
      </c>
      <c r="B1201" t="s">
        <v>1341</v>
      </c>
      <c r="C1201" t="s">
        <v>15</v>
      </c>
      <c r="D1201" t="s">
        <v>40</v>
      </c>
      <c r="E1201" s="1">
        <v>45776</v>
      </c>
      <c r="F1201" s="1">
        <v>45845</v>
      </c>
      <c r="G1201" s="1">
        <v>45845</v>
      </c>
      <c r="H1201" t="s">
        <v>28</v>
      </c>
      <c r="I1201">
        <v>2</v>
      </c>
      <c r="J1201">
        <v>15</v>
      </c>
      <c r="K1201">
        <v>714000</v>
      </c>
      <c r="L1201">
        <v>100</v>
      </c>
      <c r="M1201" t="s">
        <v>29</v>
      </c>
      <c r="N1201" t="str">
        <f>_xlfn.XLOOKUP(B1201,tblCustomers[customer_id],tblCustomers[region],"Missing")</f>
        <v>West</v>
      </c>
      <c r="O1201" t="str">
        <f>_xlfn.XLOOKUP(C1201,tblProducts[product_id],tblProducts[product_name],"Missing")</f>
        <v>CRM Enterprise</v>
      </c>
      <c r="P1201" t="str">
        <f>_xlfn.XLOOKUP(C1201,tblProducts[product_id],tblProducts[category],"Missing")</f>
        <v>CRM</v>
      </c>
      <c r="Q1201" t="str">
        <f>_xlfn.XLOOKUP(D1201,tblSalesReps[rep_id],tblSalesReps[rep_name],"Missing")</f>
        <v>Sales Rep 13</v>
      </c>
      <c r="R1201" t="str">
        <f>_xlfn.XLOOKUP(D1201,tblSalesReps[rep_id],tblSalesReps[region],"Missing")</f>
        <v>West</v>
      </c>
    </row>
    <row r="1202" spans="1:18">
      <c r="A1202" t="s">
        <v>1706</v>
      </c>
      <c r="B1202" t="s">
        <v>1707</v>
      </c>
      <c r="C1202" t="s">
        <v>26</v>
      </c>
      <c r="D1202" t="s">
        <v>152</v>
      </c>
      <c r="E1202" s="1">
        <v>45783</v>
      </c>
      <c r="F1202" s="1">
        <v>45790</v>
      </c>
      <c r="G1202" s="1">
        <v>45790</v>
      </c>
      <c r="H1202" t="s">
        <v>17</v>
      </c>
      <c r="I1202">
        <v>2</v>
      </c>
      <c r="J1202">
        <v>20</v>
      </c>
      <c r="K1202">
        <v>576000</v>
      </c>
      <c r="L1202">
        <v>0</v>
      </c>
      <c r="M1202" t="s">
        <v>82</v>
      </c>
      <c r="N1202" t="str">
        <f>_xlfn.XLOOKUP(B1202,tblCustomers[customer_id],tblCustomers[region],"Missing")</f>
        <v>East</v>
      </c>
      <c r="O1202" t="str">
        <f>_xlfn.XLOOKUP(C1202,tblProducts[product_id],tblProducts[product_name],"Missing")</f>
        <v>Security Suite</v>
      </c>
      <c r="P1202" t="str">
        <f>_xlfn.XLOOKUP(C1202,tblProducts[product_id],tblProducts[category],"Missing")</f>
        <v>Security</v>
      </c>
      <c r="Q1202" t="str">
        <f>_xlfn.XLOOKUP(D1202,tblSalesReps[rep_id],tblSalesReps[rep_name],"Missing")</f>
        <v>Sales Rep 18</v>
      </c>
      <c r="R1202" t="str">
        <f>_xlfn.XLOOKUP(D1202,tblSalesReps[rep_id],tblSalesReps[region],"Missing")</f>
        <v>East</v>
      </c>
    </row>
    <row r="1203" spans="1:18">
      <c r="A1203" t="s">
        <v>1708</v>
      </c>
      <c r="B1203" t="s">
        <v>1679</v>
      </c>
      <c r="C1203" t="s">
        <v>26</v>
      </c>
      <c r="D1203" t="s">
        <v>40</v>
      </c>
      <c r="E1203" s="1">
        <v>45661</v>
      </c>
      <c r="F1203" s="1">
        <v>45707</v>
      </c>
      <c r="G1203" s="1">
        <v>45707</v>
      </c>
      <c r="H1203" t="s">
        <v>28</v>
      </c>
      <c r="I1203">
        <v>2</v>
      </c>
      <c r="J1203">
        <v>10</v>
      </c>
      <c r="K1203">
        <v>648000</v>
      </c>
      <c r="L1203">
        <v>100</v>
      </c>
      <c r="M1203" t="s">
        <v>29</v>
      </c>
      <c r="N1203" t="str">
        <f>_xlfn.XLOOKUP(B1203,tblCustomers[customer_id],tblCustomers[region],"Missing")</f>
        <v>West</v>
      </c>
      <c r="O1203" t="str">
        <f>_xlfn.XLOOKUP(C1203,tblProducts[product_id],tblProducts[product_name],"Missing")</f>
        <v>Security Suite</v>
      </c>
      <c r="P1203" t="str">
        <f>_xlfn.XLOOKUP(C1203,tblProducts[product_id],tblProducts[category],"Missing")</f>
        <v>Security</v>
      </c>
      <c r="Q1203" t="str">
        <f>_xlfn.XLOOKUP(D1203,tblSalesReps[rep_id],tblSalesReps[rep_name],"Missing")</f>
        <v>Sales Rep 13</v>
      </c>
      <c r="R1203" t="str">
        <f>_xlfn.XLOOKUP(D1203,tblSalesReps[rep_id],tblSalesReps[region],"Missing")</f>
        <v>West</v>
      </c>
    </row>
    <row r="1204" spans="1:18">
      <c r="A1204" t="s">
        <v>1709</v>
      </c>
      <c r="B1204" t="s">
        <v>1277</v>
      </c>
      <c r="C1204" t="s">
        <v>81</v>
      </c>
      <c r="D1204" t="s">
        <v>53</v>
      </c>
      <c r="E1204" s="1">
        <v>45664</v>
      </c>
      <c r="F1204" s="1">
        <v>45733</v>
      </c>
      <c r="G1204" s="1">
        <v>45733</v>
      </c>
      <c r="H1204" t="s">
        <v>28</v>
      </c>
      <c r="I1204">
        <v>2</v>
      </c>
      <c r="J1204">
        <v>5</v>
      </c>
      <c r="K1204">
        <v>570000</v>
      </c>
      <c r="L1204">
        <v>100</v>
      </c>
      <c r="M1204" t="s">
        <v>29</v>
      </c>
      <c r="N1204" t="str">
        <f>_xlfn.XLOOKUP(B1204,tblCustomers[customer_id],tblCustomers[region],"Missing")</f>
        <v>East</v>
      </c>
      <c r="O1204" t="str">
        <f>_xlfn.XLOOKUP(C1204,tblProducts[product_id],tblProducts[product_name],"Missing")</f>
        <v>Analytics Cloud</v>
      </c>
      <c r="P1204" t="str">
        <f>_xlfn.XLOOKUP(C1204,tblProducts[product_id],tblProducts[category],"Missing")</f>
        <v>Analytics</v>
      </c>
      <c r="Q1204" t="str">
        <f>_xlfn.XLOOKUP(D1204,tblSalesReps[rep_id],tblSalesReps[rep_name],"Missing")</f>
        <v>Sales Rep 16</v>
      </c>
      <c r="R1204" t="str">
        <f>_xlfn.XLOOKUP(D1204,tblSalesReps[rep_id],tblSalesReps[region],"Missing")</f>
        <v>East</v>
      </c>
    </row>
    <row r="1205" spans="1:18">
      <c r="A1205" t="s">
        <v>1710</v>
      </c>
      <c r="B1205" t="s">
        <v>912</v>
      </c>
      <c r="C1205" t="s">
        <v>39</v>
      </c>
      <c r="D1205" t="s">
        <v>75</v>
      </c>
      <c r="E1205" s="1">
        <v>45681</v>
      </c>
      <c r="F1205" s="1">
        <v>45730</v>
      </c>
      <c r="G1205" s="1">
        <v>45730</v>
      </c>
      <c r="H1205" t="s">
        <v>28</v>
      </c>
      <c r="I1205">
        <v>3</v>
      </c>
      <c r="J1205">
        <v>20</v>
      </c>
      <c r="K1205">
        <v>432000</v>
      </c>
      <c r="L1205">
        <v>100</v>
      </c>
      <c r="M1205" t="s">
        <v>29</v>
      </c>
      <c r="N1205" t="str">
        <f>_xlfn.XLOOKUP(B1205,tblCustomers[customer_id],tblCustomers[region],"Missing")</f>
        <v>North</v>
      </c>
      <c r="O1205" t="str">
        <f>_xlfn.XLOOKUP(C1205,tblProducts[product_id],tblProducts[product_name],"Missing")</f>
        <v>Support Desk</v>
      </c>
      <c r="P1205" t="str">
        <f>_xlfn.XLOOKUP(C1205,tblProducts[product_id],tblProducts[category],"Missing")</f>
        <v>Service</v>
      </c>
      <c r="Q1205" t="str">
        <f>_xlfn.XLOOKUP(D1205,tblSalesReps[rep_id],tblSalesReps[rep_name],"Missing")</f>
        <v>Sales Rep 07</v>
      </c>
      <c r="R1205" t="str">
        <f>_xlfn.XLOOKUP(D1205,tblSalesReps[rep_id],tblSalesReps[region],"Missing")</f>
        <v>North</v>
      </c>
    </row>
    <row r="1206" spans="1:18">
      <c r="A1206" t="s">
        <v>1711</v>
      </c>
      <c r="B1206" t="s">
        <v>753</v>
      </c>
      <c r="C1206" t="s">
        <v>21</v>
      </c>
      <c r="D1206" t="s">
        <v>16</v>
      </c>
      <c r="E1206" s="1">
        <v>45798</v>
      </c>
      <c r="F1206" s="1">
        <v>45841</v>
      </c>
      <c r="G1206" s="1"/>
      <c r="H1206" t="s">
        <v>43</v>
      </c>
      <c r="I1206">
        <v>3</v>
      </c>
      <c r="J1206">
        <v>20</v>
      </c>
      <c r="K1206">
        <v>576000</v>
      </c>
      <c r="L1206">
        <v>20</v>
      </c>
      <c r="M1206" t="s">
        <v>29</v>
      </c>
      <c r="N1206" t="str">
        <f>_xlfn.XLOOKUP(B1206,tblCustomers[customer_id],tblCustomers[region],"Missing")</f>
        <v>North</v>
      </c>
      <c r="O1206" t="str">
        <f>_xlfn.XLOOKUP(C1206,tblProducts[product_id],tblProducts[product_name],"Missing")</f>
        <v>Workflow Automate</v>
      </c>
      <c r="P1206" t="str">
        <f>_xlfn.XLOOKUP(C1206,tblProducts[product_id],tblProducts[category],"Missing")</f>
        <v>Automation</v>
      </c>
      <c r="Q1206" t="str">
        <f>_xlfn.XLOOKUP(D1206,tblSalesReps[rep_id],tblSalesReps[rep_name],"Missing")</f>
        <v>Sales Rep 08</v>
      </c>
      <c r="R1206" t="str">
        <f>_xlfn.XLOOKUP(D1206,tblSalesReps[rep_id],tblSalesReps[region],"Missing")</f>
        <v>North</v>
      </c>
    </row>
    <row r="1207" spans="1:18">
      <c r="A1207" t="s">
        <v>1712</v>
      </c>
      <c r="B1207" t="s">
        <v>1027</v>
      </c>
      <c r="C1207" t="s">
        <v>81</v>
      </c>
      <c r="D1207" t="s">
        <v>59</v>
      </c>
      <c r="E1207" s="1">
        <v>45822</v>
      </c>
      <c r="F1207" s="1">
        <v>45906</v>
      </c>
      <c r="G1207" s="1">
        <v>45906</v>
      </c>
      <c r="H1207" t="s">
        <v>28</v>
      </c>
      <c r="I1207">
        <v>1</v>
      </c>
      <c r="J1207">
        <v>15</v>
      </c>
      <c r="K1207">
        <v>255000</v>
      </c>
      <c r="L1207">
        <v>100</v>
      </c>
      <c r="M1207" t="s">
        <v>29</v>
      </c>
      <c r="N1207" t="str">
        <f>_xlfn.XLOOKUP(B1207,tblCustomers[customer_id],tblCustomers[region],"Missing")</f>
        <v>East</v>
      </c>
      <c r="O1207" t="str">
        <f>_xlfn.XLOOKUP(C1207,tblProducts[product_id],tblProducts[product_name],"Missing")</f>
        <v>Analytics Cloud</v>
      </c>
      <c r="P1207" t="str">
        <f>_xlfn.XLOOKUP(C1207,tblProducts[product_id],tblProducts[category],"Missing")</f>
        <v>Analytics</v>
      </c>
      <c r="Q1207" t="str">
        <f>_xlfn.XLOOKUP(D1207,tblSalesReps[rep_id],tblSalesReps[rep_name],"Missing")</f>
        <v>Sales Rep 19</v>
      </c>
      <c r="R1207" t="str">
        <f>_xlfn.XLOOKUP(D1207,tblSalesReps[rep_id],tblSalesReps[region],"Missing")</f>
        <v>East</v>
      </c>
    </row>
    <row r="1208" spans="1:18">
      <c r="A1208" t="s">
        <v>1713</v>
      </c>
      <c r="B1208" t="s">
        <v>351</v>
      </c>
      <c r="C1208" t="s">
        <v>21</v>
      </c>
      <c r="D1208" t="s">
        <v>27</v>
      </c>
      <c r="E1208" s="1">
        <v>45967</v>
      </c>
      <c r="F1208" s="1">
        <v>46045</v>
      </c>
      <c r="G1208" s="1"/>
      <c r="H1208" t="s">
        <v>43</v>
      </c>
      <c r="I1208">
        <v>1</v>
      </c>
      <c r="J1208">
        <v>20</v>
      </c>
      <c r="K1208">
        <v>192000</v>
      </c>
      <c r="L1208">
        <v>20</v>
      </c>
      <c r="M1208" t="s">
        <v>29</v>
      </c>
      <c r="N1208" t="str">
        <f>_xlfn.XLOOKUP(B1208,tblCustomers[customer_id],tblCustomers[region],"Missing")</f>
        <v>North</v>
      </c>
      <c r="O1208" t="str">
        <f>_xlfn.XLOOKUP(C1208,tblProducts[product_id],tblProducts[product_name],"Missing")</f>
        <v>Workflow Automate</v>
      </c>
      <c r="P1208" t="str">
        <f>_xlfn.XLOOKUP(C1208,tblProducts[product_id],tblProducts[category],"Missing")</f>
        <v>Automation</v>
      </c>
      <c r="Q1208" t="str">
        <f>_xlfn.XLOOKUP(D1208,tblSalesReps[rep_id],tblSalesReps[rep_name],"Missing")</f>
        <v>Sales Rep 06</v>
      </c>
      <c r="R1208" t="str">
        <f>_xlfn.XLOOKUP(D1208,tblSalesReps[rep_id],tblSalesReps[region],"Missing")</f>
        <v>North</v>
      </c>
    </row>
    <row r="1209" spans="1:18">
      <c r="A1209" t="s">
        <v>1714</v>
      </c>
      <c r="B1209" t="s">
        <v>489</v>
      </c>
      <c r="C1209" t="s">
        <v>21</v>
      </c>
      <c r="D1209" t="s">
        <v>78</v>
      </c>
      <c r="E1209" s="1">
        <v>45966</v>
      </c>
      <c r="F1209" s="1">
        <v>46023</v>
      </c>
      <c r="G1209" s="1"/>
      <c r="H1209" t="s">
        <v>43</v>
      </c>
      <c r="I1209">
        <v>1</v>
      </c>
      <c r="J1209">
        <v>15</v>
      </c>
      <c r="K1209">
        <v>204000</v>
      </c>
      <c r="L1209">
        <v>80</v>
      </c>
      <c r="M1209" t="s">
        <v>29</v>
      </c>
      <c r="N1209" t="str">
        <f>_xlfn.XLOOKUP(B1209,tblCustomers[customer_id],tblCustomers[region],"Missing")</f>
        <v>West</v>
      </c>
      <c r="O1209" t="str">
        <f>_xlfn.XLOOKUP(C1209,tblProducts[product_id],tblProducts[product_name],"Missing")</f>
        <v>Workflow Automate</v>
      </c>
      <c r="P1209" t="str">
        <f>_xlfn.XLOOKUP(C1209,tblProducts[product_id],tblProducts[category],"Missing")</f>
        <v>Automation</v>
      </c>
      <c r="Q1209" t="str">
        <f>_xlfn.XLOOKUP(D1209,tblSalesReps[rep_id],tblSalesReps[rep_name],"Missing")</f>
        <v>Sales Rep 12</v>
      </c>
      <c r="R1209" t="str">
        <f>_xlfn.XLOOKUP(D1209,tblSalesReps[rep_id],tblSalesReps[region],"Missing")</f>
        <v>West</v>
      </c>
    </row>
    <row r="1210" spans="1:18">
      <c r="A1210" t="s">
        <v>1715</v>
      </c>
      <c r="B1210" t="s">
        <v>1716</v>
      </c>
      <c r="C1210" t="s">
        <v>21</v>
      </c>
      <c r="D1210" t="s">
        <v>91</v>
      </c>
      <c r="E1210" s="1">
        <v>45817</v>
      </c>
      <c r="F1210" s="1">
        <v>45859</v>
      </c>
      <c r="G1210" s="1">
        <v>45859</v>
      </c>
      <c r="H1210" t="s">
        <v>28</v>
      </c>
      <c r="I1210">
        <v>1</v>
      </c>
      <c r="J1210">
        <v>5</v>
      </c>
      <c r="K1210">
        <v>228000</v>
      </c>
      <c r="L1210">
        <v>100</v>
      </c>
      <c r="M1210" t="s">
        <v>29</v>
      </c>
      <c r="N1210" t="str">
        <f>_xlfn.XLOOKUP(B1210,tblCustomers[customer_id],tblCustomers[region],"Missing")</f>
        <v>South</v>
      </c>
      <c r="O1210" t="str">
        <f>_xlfn.XLOOKUP(C1210,tblProducts[product_id],tblProducts[product_name],"Missing")</f>
        <v>Workflow Automate</v>
      </c>
      <c r="P1210" t="str">
        <f>_xlfn.XLOOKUP(C1210,tblProducts[product_id],tblProducts[category],"Missing")</f>
        <v>Automation</v>
      </c>
      <c r="Q1210" t="str">
        <f>_xlfn.XLOOKUP(D1210,tblSalesReps[rep_id],tblSalesReps[rep_name],"Missing")</f>
        <v>Sales Rep 03</v>
      </c>
      <c r="R1210" t="str">
        <f>_xlfn.XLOOKUP(D1210,tblSalesReps[rep_id],tblSalesReps[region],"Missing")</f>
        <v>South</v>
      </c>
    </row>
    <row r="1211" spans="1:18">
      <c r="A1211" t="s">
        <v>1717</v>
      </c>
      <c r="B1211" t="s">
        <v>448</v>
      </c>
      <c r="C1211" t="s">
        <v>62</v>
      </c>
      <c r="D1211" t="s">
        <v>75</v>
      </c>
      <c r="E1211" s="1">
        <v>45921</v>
      </c>
      <c r="F1211" s="1">
        <v>45997</v>
      </c>
      <c r="G1211" s="1">
        <v>45997</v>
      </c>
      <c r="H1211" t="s">
        <v>17</v>
      </c>
      <c r="I1211">
        <v>3</v>
      </c>
      <c r="J1211">
        <v>15</v>
      </c>
      <c r="K1211">
        <v>306000</v>
      </c>
      <c r="L1211">
        <v>0</v>
      </c>
      <c r="M1211" t="s">
        <v>23</v>
      </c>
      <c r="N1211" t="str">
        <f>_xlfn.XLOOKUP(B1211,tblCustomers[customer_id],tblCustomers[region],"Missing")</f>
        <v>North</v>
      </c>
      <c r="O1211" t="str">
        <f>_xlfn.XLOOKUP(C1211,tblProducts[product_id],tblProducts[product_name],"Missing")</f>
        <v>CRM Essentials</v>
      </c>
      <c r="P1211" t="str">
        <f>_xlfn.XLOOKUP(C1211,tblProducts[product_id],tblProducts[category],"Missing")</f>
        <v>CRM</v>
      </c>
      <c r="Q1211" t="str">
        <f>_xlfn.XLOOKUP(D1211,tblSalesReps[rep_id],tblSalesReps[rep_name],"Missing")</f>
        <v>Sales Rep 07</v>
      </c>
      <c r="R1211" t="str">
        <f>_xlfn.XLOOKUP(D1211,tblSalesReps[rep_id],tblSalesReps[region],"Missing")</f>
        <v>North</v>
      </c>
    </row>
    <row r="1212" spans="1:18">
      <c r="A1212" t="s">
        <v>1718</v>
      </c>
      <c r="B1212" t="s">
        <v>262</v>
      </c>
      <c r="C1212" t="s">
        <v>15</v>
      </c>
      <c r="D1212" t="s">
        <v>126</v>
      </c>
      <c r="E1212" s="1">
        <v>45779</v>
      </c>
      <c r="F1212" s="1">
        <v>45839</v>
      </c>
      <c r="G1212" s="1">
        <v>45839</v>
      </c>
      <c r="H1212" t="s">
        <v>28</v>
      </c>
      <c r="I1212">
        <v>1</v>
      </c>
      <c r="J1212">
        <v>5</v>
      </c>
      <c r="K1212">
        <v>399000</v>
      </c>
      <c r="L1212">
        <v>100</v>
      </c>
      <c r="M1212" t="s">
        <v>29</v>
      </c>
      <c r="N1212" t="str">
        <f>_xlfn.XLOOKUP(B1212,tblCustomers[customer_id],tblCustomers[region],"Missing")</f>
        <v>South</v>
      </c>
      <c r="O1212" t="str">
        <f>_xlfn.XLOOKUP(C1212,tblProducts[product_id],tblProducts[product_name],"Missing")</f>
        <v>CRM Enterprise</v>
      </c>
      <c r="P1212" t="str">
        <f>_xlfn.XLOOKUP(C1212,tblProducts[product_id],tblProducts[category],"Missing")</f>
        <v>CRM</v>
      </c>
      <c r="Q1212" t="str">
        <f>_xlfn.XLOOKUP(D1212,tblSalesReps[rep_id],tblSalesReps[rep_name],"Missing")</f>
        <v>Sales Rep 02</v>
      </c>
      <c r="R1212" t="str">
        <f>_xlfn.XLOOKUP(D1212,tblSalesReps[rep_id],tblSalesReps[region],"Missing")</f>
        <v>South</v>
      </c>
    </row>
    <row r="1213" spans="1:18">
      <c r="A1213" t="s">
        <v>1719</v>
      </c>
      <c r="B1213" t="s">
        <v>149</v>
      </c>
      <c r="C1213" t="s">
        <v>81</v>
      </c>
      <c r="D1213" t="s">
        <v>36</v>
      </c>
      <c r="E1213" s="1">
        <v>45679</v>
      </c>
      <c r="F1213" s="1">
        <v>45763</v>
      </c>
      <c r="G1213" s="1">
        <v>45763</v>
      </c>
      <c r="H1213" t="s">
        <v>17</v>
      </c>
      <c r="I1213">
        <v>3</v>
      </c>
      <c r="J1213">
        <v>15</v>
      </c>
      <c r="K1213">
        <v>765000</v>
      </c>
      <c r="L1213">
        <v>0</v>
      </c>
      <c r="M1213" t="s">
        <v>33</v>
      </c>
      <c r="N1213" t="str">
        <f>_xlfn.XLOOKUP(B1213,tblCustomers[customer_id],tblCustomers[region],"Missing")</f>
        <v>North</v>
      </c>
      <c r="O1213" t="str">
        <f>_xlfn.XLOOKUP(C1213,tblProducts[product_id],tblProducts[product_name],"Missing")</f>
        <v>Analytics Cloud</v>
      </c>
      <c r="P1213" t="str">
        <f>_xlfn.XLOOKUP(C1213,tblProducts[product_id],tblProducts[category],"Missing")</f>
        <v>Analytics</v>
      </c>
      <c r="Q1213" t="str">
        <f>_xlfn.XLOOKUP(D1213,tblSalesReps[rep_id],tblSalesReps[rep_name],"Missing")</f>
        <v>Sales Rep 09</v>
      </c>
      <c r="R1213" t="str">
        <f>_xlfn.XLOOKUP(D1213,tblSalesReps[rep_id],tblSalesReps[region],"Missing")</f>
        <v>North</v>
      </c>
    </row>
    <row r="1214" spans="1:18">
      <c r="A1214" t="s">
        <v>1720</v>
      </c>
      <c r="B1214" t="s">
        <v>680</v>
      </c>
      <c r="C1214" t="s">
        <v>62</v>
      </c>
      <c r="D1214" t="s">
        <v>126</v>
      </c>
      <c r="E1214" s="1">
        <v>46006</v>
      </c>
      <c r="F1214" s="1">
        <v>46031</v>
      </c>
      <c r="G1214" s="1"/>
      <c r="H1214" t="s">
        <v>43</v>
      </c>
      <c r="I1214">
        <v>2</v>
      </c>
      <c r="J1214">
        <v>15</v>
      </c>
      <c r="K1214">
        <v>204000</v>
      </c>
      <c r="L1214">
        <v>20</v>
      </c>
      <c r="M1214" t="s">
        <v>29</v>
      </c>
      <c r="N1214" t="str">
        <f>_xlfn.XLOOKUP(B1214,tblCustomers[customer_id],tblCustomers[region],"Missing")</f>
        <v>South</v>
      </c>
      <c r="O1214" t="str">
        <f>_xlfn.XLOOKUP(C1214,tblProducts[product_id],tblProducts[product_name],"Missing")</f>
        <v>CRM Essentials</v>
      </c>
      <c r="P1214" t="str">
        <f>_xlfn.XLOOKUP(C1214,tblProducts[product_id],tblProducts[category],"Missing")</f>
        <v>CRM</v>
      </c>
      <c r="Q1214" t="str">
        <f>_xlfn.XLOOKUP(D1214,tblSalesReps[rep_id],tblSalesReps[rep_name],"Missing")</f>
        <v>Sales Rep 02</v>
      </c>
      <c r="R1214" t="str">
        <f>_xlfn.XLOOKUP(D1214,tblSalesReps[rep_id],tblSalesReps[region],"Missing")</f>
        <v>South</v>
      </c>
    </row>
    <row r="1215" spans="1:18">
      <c r="A1215" t="s">
        <v>1721</v>
      </c>
      <c r="B1215" t="s">
        <v>1526</v>
      </c>
      <c r="C1215" t="s">
        <v>15</v>
      </c>
      <c r="D1215" t="s">
        <v>36</v>
      </c>
      <c r="E1215" s="1">
        <v>45781</v>
      </c>
      <c r="F1215" s="1">
        <v>45803</v>
      </c>
      <c r="G1215" s="1">
        <v>45803</v>
      </c>
      <c r="H1215" t="s">
        <v>28</v>
      </c>
      <c r="I1215">
        <v>1</v>
      </c>
      <c r="J1215">
        <v>20</v>
      </c>
      <c r="K1215">
        <v>336000</v>
      </c>
      <c r="L1215">
        <v>100</v>
      </c>
      <c r="M1215" t="s">
        <v>29</v>
      </c>
      <c r="N1215" t="str">
        <f>_xlfn.XLOOKUP(B1215,tblCustomers[customer_id],tblCustomers[region],"Missing")</f>
        <v>North</v>
      </c>
      <c r="O1215" t="str">
        <f>_xlfn.XLOOKUP(C1215,tblProducts[product_id],tblProducts[product_name],"Missing")</f>
        <v>CRM Enterprise</v>
      </c>
      <c r="P1215" t="str">
        <f>_xlfn.XLOOKUP(C1215,tblProducts[product_id],tblProducts[category],"Missing")</f>
        <v>CRM</v>
      </c>
      <c r="Q1215" t="str">
        <f>_xlfn.XLOOKUP(D1215,tblSalesReps[rep_id],tblSalesReps[rep_name],"Missing")</f>
        <v>Sales Rep 09</v>
      </c>
      <c r="R1215" t="str">
        <f>_xlfn.XLOOKUP(D1215,tblSalesReps[rep_id],tblSalesReps[region],"Missing")</f>
        <v>North</v>
      </c>
    </row>
    <row r="1216" spans="1:18">
      <c r="A1216" t="s">
        <v>1722</v>
      </c>
      <c r="B1216" t="s">
        <v>743</v>
      </c>
      <c r="C1216" t="s">
        <v>21</v>
      </c>
      <c r="D1216" t="s">
        <v>78</v>
      </c>
      <c r="E1216" s="1">
        <v>45965</v>
      </c>
      <c r="F1216" s="1">
        <v>45972</v>
      </c>
      <c r="G1216" s="1"/>
      <c r="H1216" t="s">
        <v>43</v>
      </c>
      <c r="I1216">
        <v>2</v>
      </c>
      <c r="J1216">
        <v>15</v>
      </c>
      <c r="K1216">
        <v>408000</v>
      </c>
      <c r="L1216">
        <v>60</v>
      </c>
      <c r="M1216" t="s">
        <v>29</v>
      </c>
      <c r="N1216" t="str">
        <f>_xlfn.XLOOKUP(B1216,tblCustomers[customer_id],tblCustomers[region],"Missing")</f>
        <v>West</v>
      </c>
      <c r="O1216" t="str">
        <f>_xlfn.XLOOKUP(C1216,tblProducts[product_id],tblProducts[product_name],"Missing")</f>
        <v>Workflow Automate</v>
      </c>
      <c r="P1216" t="str">
        <f>_xlfn.XLOOKUP(C1216,tblProducts[product_id],tblProducts[category],"Missing")</f>
        <v>Automation</v>
      </c>
      <c r="Q1216" t="str">
        <f>_xlfn.XLOOKUP(D1216,tblSalesReps[rep_id],tblSalesReps[rep_name],"Missing")</f>
        <v>Sales Rep 12</v>
      </c>
      <c r="R1216" t="str">
        <f>_xlfn.XLOOKUP(D1216,tblSalesReps[rep_id],tblSalesReps[region],"Missing")</f>
        <v>West</v>
      </c>
    </row>
    <row r="1217" spans="1:18">
      <c r="A1217" t="s">
        <v>1723</v>
      </c>
      <c r="B1217" t="s">
        <v>106</v>
      </c>
      <c r="C1217" t="s">
        <v>26</v>
      </c>
      <c r="D1217" t="s">
        <v>27</v>
      </c>
      <c r="E1217" s="1">
        <v>45974</v>
      </c>
      <c r="F1217" s="1">
        <v>46012</v>
      </c>
      <c r="G1217" s="1">
        <v>46012</v>
      </c>
      <c r="H1217" t="s">
        <v>17</v>
      </c>
      <c r="I1217">
        <v>3</v>
      </c>
      <c r="J1217">
        <v>10</v>
      </c>
      <c r="K1217">
        <v>972000</v>
      </c>
      <c r="L1217">
        <v>0</v>
      </c>
      <c r="M1217" t="s">
        <v>82</v>
      </c>
      <c r="N1217" t="str">
        <f>_xlfn.XLOOKUP(B1217,tblCustomers[customer_id],tblCustomers[region],"Missing")</f>
        <v>North</v>
      </c>
      <c r="O1217" t="str">
        <f>_xlfn.XLOOKUP(C1217,tblProducts[product_id],tblProducts[product_name],"Missing")</f>
        <v>Security Suite</v>
      </c>
      <c r="P1217" t="str">
        <f>_xlfn.XLOOKUP(C1217,tblProducts[product_id],tblProducts[category],"Missing")</f>
        <v>Security</v>
      </c>
      <c r="Q1217" t="str">
        <f>_xlfn.XLOOKUP(D1217,tblSalesReps[rep_id],tblSalesReps[rep_name],"Missing")</f>
        <v>Sales Rep 06</v>
      </c>
      <c r="R1217" t="str">
        <f>_xlfn.XLOOKUP(D1217,tblSalesReps[rep_id],tblSalesReps[region],"Missing")</f>
        <v>North</v>
      </c>
    </row>
    <row r="1218" spans="1:18">
      <c r="A1218" t="s">
        <v>1724</v>
      </c>
      <c r="B1218" t="s">
        <v>1661</v>
      </c>
      <c r="C1218" t="s">
        <v>39</v>
      </c>
      <c r="D1218" t="s">
        <v>16</v>
      </c>
      <c r="E1218" s="1">
        <v>45666</v>
      </c>
      <c r="F1218" s="1">
        <v>45735</v>
      </c>
      <c r="G1218" s="1">
        <v>45735</v>
      </c>
      <c r="H1218" t="s">
        <v>28</v>
      </c>
      <c r="I1218">
        <v>3</v>
      </c>
      <c r="J1218">
        <v>15</v>
      </c>
      <c r="K1218">
        <v>459000</v>
      </c>
      <c r="L1218">
        <v>100</v>
      </c>
      <c r="M1218" t="s">
        <v>29</v>
      </c>
      <c r="N1218" t="str">
        <f>_xlfn.XLOOKUP(B1218,tblCustomers[customer_id],tblCustomers[region],"Missing")</f>
        <v>North</v>
      </c>
      <c r="O1218" t="str">
        <f>_xlfn.XLOOKUP(C1218,tblProducts[product_id],tblProducts[product_name],"Missing")</f>
        <v>Support Desk</v>
      </c>
      <c r="P1218" t="str">
        <f>_xlfn.XLOOKUP(C1218,tblProducts[product_id],tblProducts[category],"Missing")</f>
        <v>Service</v>
      </c>
      <c r="Q1218" t="str">
        <f>_xlfn.XLOOKUP(D1218,tblSalesReps[rep_id],tblSalesReps[rep_name],"Missing")</f>
        <v>Sales Rep 08</v>
      </c>
      <c r="R1218" t="str">
        <f>_xlfn.XLOOKUP(D1218,tblSalesReps[rep_id],tblSalesReps[region],"Missing")</f>
        <v>North</v>
      </c>
    </row>
    <row r="1219" spans="1:18">
      <c r="A1219" t="s">
        <v>1725</v>
      </c>
      <c r="B1219" t="s">
        <v>151</v>
      </c>
      <c r="C1219" t="s">
        <v>81</v>
      </c>
      <c r="D1219" t="s">
        <v>168</v>
      </c>
      <c r="E1219" s="1">
        <v>45880</v>
      </c>
      <c r="F1219" s="1">
        <v>45934</v>
      </c>
      <c r="G1219" s="1"/>
      <c r="H1219" t="s">
        <v>43</v>
      </c>
      <c r="I1219">
        <v>1</v>
      </c>
      <c r="J1219">
        <v>5</v>
      </c>
      <c r="K1219">
        <v>285000</v>
      </c>
      <c r="L1219">
        <v>20</v>
      </c>
      <c r="M1219" t="s">
        <v>29</v>
      </c>
      <c r="N1219" t="str">
        <f>_xlfn.XLOOKUP(B1219,tblCustomers[customer_id],tblCustomers[region],"Missing")</f>
        <v>East</v>
      </c>
      <c r="O1219" t="str">
        <f>_xlfn.XLOOKUP(C1219,tblProducts[product_id],tblProducts[product_name],"Missing")</f>
        <v>Analytics Cloud</v>
      </c>
      <c r="P1219" t="str">
        <f>_xlfn.XLOOKUP(C1219,tblProducts[product_id],tblProducts[category],"Missing")</f>
        <v>Analytics</v>
      </c>
      <c r="Q1219" t="str">
        <f>_xlfn.XLOOKUP(D1219,tblSalesReps[rep_id],tblSalesReps[rep_name],"Missing")</f>
        <v>Sales Rep 17</v>
      </c>
      <c r="R1219" t="str">
        <f>_xlfn.XLOOKUP(D1219,tblSalesReps[rep_id],tblSalesReps[region],"Missing")</f>
        <v>East</v>
      </c>
    </row>
    <row r="1220" spans="1:18">
      <c r="A1220" t="s">
        <v>1726</v>
      </c>
      <c r="B1220" t="s">
        <v>739</v>
      </c>
      <c r="C1220" t="s">
        <v>26</v>
      </c>
      <c r="D1220" t="s">
        <v>70</v>
      </c>
      <c r="E1220" s="1">
        <v>45731</v>
      </c>
      <c r="F1220" s="1">
        <v>45740</v>
      </c>
      <c r="G1220" s="1">
        <v>45740</v>
      </c>
      <c r="H1220" t="s">
        <v>17</v>
      </c>
      <c r="I1220">
        <v>3</v>
      </c>
      <c r="J1220">
        <v>10</v>
      </c>
      <c r="K1220">
        <v>972000</v>
      </c>
      <c r="L1220">
        <v>0</v>
      </c>
      <c r="M1220" t="s">
        <v>47</v>
      </c>
      <c r="N1220" t="str">
        <f>_xlfn.XLOOKUP(B1220,tblCustomers[customer_id],tblCustomers[region],"Missing")</f>
        <v>West</v>
      </c>
      <c r="O1220" t="str">
        <f>_xlfn.XLOOKUP(C1220,tblProducts[product_id],tblProducts[product_name],"Missing")</f>
        <v>Security Suite</v>
      </c>
      <c r="P1220" t="str">
        <f>_xlfn.XLOOKUP(C1220,tblProducts[product_id],tblProducts[category],"Missing")</f>
        <v>Security</v>
      </c>
      <c r="Q1220" t="str">
        <f>_xlfn.XLOOKUP(D1220,tblSalesReps[rep_id],tblSalesReps[rep_name],"Missing")</f>
        <v>Sales Rep 11</v>
      </c>
      <c r="R1220" t="str">
        <f>_xlfn.XLOOKUP(D1220,tblSalesReps[rep_id],tblSalesReps[region],"Missing")</f>
        <v>West</v>
      </c>
    </row>
    <row r="1221" spans="1:18">
      <c r="A1221" t="s">
        <v>1727</v>
      </c>
      <c r="B1221" t="s">
        <v>404</v>
      </c>
      <c r="C1221" t="s">
        <v>15</v>
      </c>
      <c r="D1221" t="s">
        <v>22</v>
      </c>
      <c r="E1221" s="1">
        <v>45679</v>
      </c>
      <c r="F1221" s="1">
        <v>45754</v>
      </c>
      <c r="G1221" s="1">
        <v>45754</v>
      </c>
      <c r="H1221" t="s">
        <v>28</v>
      </c>
      <c r="I1221">
        <v>2</v>
      </c>
      <c r="J1221">
        <v>0</v>
      </c>
      <c r="K1221">
        <v>840000</v>
      </c>
      <c r="L1221">
        <v>100</v>
      </c>
      <c r="M1221" t="s">
        <v>29</v>
      </c>
      <c r="N1221" t="str">
        <f>_xlfn.XLOOKUP(B1221,tblCustomers[customer_id],tblCustomers[region],"Missing")</f>
        <v>West</v>
      </c>
      <c r="O1221" t="str">
        <f>_xlfn.XLOOKUP(C1221,tblProducts[product_id],tblProducts[product_name],"Missing")</f>
        <v>CRM Enterprise</v>
      </c>
      <c r="P1221" t="str">
        <f>_xlfn.XLOOKUP(C1221,tblProducts[product_id],tblProducts[category],"Missing")</f>
        <v>CRM</v>
      </c>
      <c r="Q1221" t="str">
        <f>_xlfn.XLOOKUP(D1221,tblSalesReps[rep_id],tblSalesReps[rep_name],"Missing")</f>
        <v>Sales Rep 14</v>
      </c>
      <c r="R1221" t="str">
        <f>_xlfn.XLOOKUP(D1221,tblSalesReps[rep_id],tblSalesReps[region],"Missing")</f>
        <v>West</v>
      </c>
    </row>
    <row r="1222" spans="1:18">
      <c r="A1222" t="s">
        <v>1728</v>
      </c>
      <c r="B1222" t="s">
        <v>980</v>
      </c>
      <c r="C1222" t="s">
        <v>21</v>
      </c>
      <c r="D1222" t="s">
        <v>152</v>
      </c>
      <c r="E1222" s="1">
        <v>45773</v>
      </c>
      <c r="F1222" s="1">
        <v>45795</v>
      </c>
      <c r="G1222" s="1">
        <v>45795</v>
      </c>
      <c r="H1222" t="s">
        <v>17</v>
      </c>
      <c r="I1222">
        <v>3</v>
      </c>
      <c r="J1222">
        <v>0</v>
      </c>
      <c r="K1222">
        <v>720000</v>
      </c>
      <c r="L1222">
        <v>0</v>
      </c>
      <c r="M1222" t="s">
        <v>33</v>
      </c>
      <c r="N1222" t="str">
        <f>_xlfn.XLOOKUP(B1222,tblCustomers[customer_id],tblCustomers[region],"Missing")</f>
        <v>East</v>
      </c>
      <c r="O1222" t="str">
        <f>_xlfn.XLOOKUP(C1222,tblProducts[product_id],tblProducts[product_name],"Missing")</f>
        <v>Workflow Automate</v>
      </c>
      <c r="P1222" t="str">
        <f>_xlfn.XLOOKUP(C1222,tblProducts[product_id],tblProducts[category],"Missing")</f>
        <v>Automation</v>
      </c>
      <c r="Q1222" t="str">
        <f>_xlfn.XLOOKUP(D1222,tblSalesReps[rep_id],tblSalesReps[rep_name],"Missing")</f>
        <v>Sales Rep 18</v>
      </c>
      <c r="R1222" t="str">
        <f>_xlfn.XLOOKUP(D1222,tblSalesReps[rep_id],tblSalesReps[region],"Missing")</f>
        <v>East</v>
      </c>
    </row>
    <row r="1223" spans="1:18">
      <c r="A1223" t="s">
        <v>1729</v>
      </c>
      <c r="B1223" t="s">
        <v>520</v>
      </c>
      <c r="C1223" t="s">
        <v>81</v>
      </c>
      <c r="D1223" t="s">
        <v>56</v>
      </c>
      <c r="E1223" s="1">
        <v>45911</v>
      </c>
      <c r="F1223" s="1">
        <v>45970</v>
      </c>
      <c r="G1223" s="1">
        <v>45970</v>
      </c>
      <c r="H1223" t="s">
        <v>28</v>
      </c>
      <c r="I1223">
        <v>2</v>
      </c>
      <c r="J1223">
        <v>0</v>
      </c>
      <c r="K1223">
        <v>600000</v>
      </c>
      <c r="L1223">
        <v>100</v>
      </c>
      <c r="M1223" t="s">
        <v>29</v>
      </c>
      <c r="N1223" t="str">
        <f>_xlfn.XLOOKUP(B1223,tblCustomers[customer_id],tblCustomers[region],"Missing")</f>
        <v>East</v>
      </c>
      <c r="O1223" t="str">
        <f>_xlfn.XLOOKUP(C1223,tblProducts[product_id],tblProducts[product_name],"Missing")</f>
        <v>Analytics Cloud</v>
      </c>
      <c r="P1223" t="str">
        <f>_xlfn.XLOOKUP(C1223,tblProducts[product_id],tblProducts[category],"Missing")</f>
        <v>Analytics</v>
      </c>
      <c r="Q1223" t="str">
        <f>_xlfn.XLOOKUP(D1223,tblSalesReps[rep_id],tblSalesReps[rep_name],"Missing")</f>
        <v>Sales Rep 20</v>
      </c>
      <c r="R1223" t="str">
        <f>_xlfn.XLOOKUP(D1223,tblSalesReps[rep_id],tblSalesReps[region],"Missing")</f>
        <v>East</v>
      </c>
    </row>
    <row r="1224" spans="1:18">
      <c r="A1224" t="s">
        <v>1730</v>
      </c>
      <c r="B1224" t="s">
        <v>954</v>
      </c>
      <c r="C1224" t="s">
        <v>15</v>
      </c>
      <c r="D1224" t="s">
        <v>126</v>
      </c>
      <c r="E1224" s="1">
        <v>45838</v>
      </c>
      <c r="F1224" s="1">
        <v>45853</v>
      </c>
      <c r="G1224" s="1"/>
      <c r="H1224" t="s">
        <v>43</v>
      </c>
      <c r="I1224">
        <v>1</v>
      </c>
      <c r="J1224">
        <v>20</v>
      </c>
      <c r="K1224">
        <v>336000</v>
      </c>
      <c r="L1224">
        <v>60</v>
      </c>
      <c r="M1224" t="s">
        <v>29</v>
      </c>
      <c r="N1224" t="str">
        <f>_xlfn.XLOOKUP(B1224,tblCustomers[customer_id],tblCustomers[region],"Missing")</f>
        <v>South</v>
      </c>
      <c r="O1224" t="str">
        <f>_xlfn.XLOOKUP(C1224,tblProducts[product_id],tblProducts[product_name],"Missing")</f>
        <v>CRM Enterprise</v>
      </c>
      <c r="P1224" t="str">
        <f>_xlfn.XLOOKUP(C1224,tblProducts[product_id],tblProducts[category],"Missing")</f>
        <v>CRM</v>
      </c>
      <c r="Q1224" t="str">
        <f>_xlfn.XLOOKUP(D1224,tblSalesReps[rep_id],tblSalesReps[rep_name],"Missing")</f>
        <v>Sales Rep 02</v>
      </c>
      <c r="R1224" t="str">
        <f>_xlfn.XLOOKUP(D1224,tblSalesReps[rep_id],tblSalesReps[region],"Missing")</f>
        <v>South</v>
      </c>
    </row>
    <row r="1225" spans="1:18">
      <c r="A1225" t="s">
        <v>1731</v>
      </c>
      <c r="B1225" t="s">
        <v>907</v>
      </c>
      <c r="C1225" t="s">
        <v>26</v>
      </c>
      <c r="D1225" t="s">
        <v>46</v>
      </c>
      <c r="E1225" s="1">
        <v>45874</v>
      </c>
      <c r="F1225" s="1">
        <v>45893</v>
      </c>
      <c r="G1225" s="1">
        <v>45893</v>
      </c>
      <c r="H1225" t="s">
        <v>17</v>
      </c>
      <c r="I1225">
        <v>1</v>
      </c>
      <c r="J1225">
        <v>15</v>
      </c>
      <c r="K1225">
        <v>306000</v>
      </c>
      <c r="L1225">
        <v>0</v>
      </c>
      <c r="M1225" t="s">
        <v>18</v>
      </c>
      <c r="N1225" t="str">
        <f>_xlfn.XLOOKUP(B1225,tblCustomers[customer_id],tblCustomers[region],"Missing")</f>
        <v>South</v>
      </c>
      <c r="O1225" t="str">
        <f>_xlfn.XLOOKUP(C1225,tblProducts[product_id],tblProducts[product_name],"Missing")</f>
        <v>Security Suite</v>
      </c>
      <c r="P1225" t="str">
        <f>_xlfn.XLOOKUP(C1225,tblProducts[product_id],tblProducts[category],"Missing")</f>
        <v>Security</v>
      </c>
      <c r="Q1225" t="str">
        <f>_xlfn.XLOOKUP(D1225,tblSalesReps[rep_id],tblSalesReps[rep_name],"Missing")</f>
        <v>Sales Rep 01</v>
      </c>
      <c r="R1225" t="str">
        <f>_xlfn.XLOOKUP(D1225,tblSalesReps[rep_id],tblSalesReps[region],"Missing")</f>
        <v>South</v>
      </c>
    </row>
    <row r="1226" spans="1:18">
      <c r="A1226" t="s">
        <v>1732</v>
      </c>
      <c r="B1226" t="s">
        <v>1571</v>
      </c>
      <c r="C1226" t="s">
        <v>62</v>
      </c>
      <c r="D1226" t="s">
        <v>36</v>
      </c>
      <c r="E1226" s="1">
        <v>45793</v>
      </c>
      <c r="F1226" s="1">
        <v>45846</v>
      </c>
      <c r="G1226" s="1">
        <v>45846</v>
      </c>
      <c r="H1226" t="s">
        <v>17</v>
      </c>
      <c r="I1226">
        <v>1</v>
      </c>
      <c r="J1226">
        <v>0</v>
      </c>
      <c r="K1226">
        <v>120000</v>
      </c>
      <c r="L1226">
        <v>0</v>
      </c>
      <c r="M1226" t="s">
        <v>82</v>
      </c>
      <c r="N1226" t="str">
        <f>_xlfn.XLOOKUP(B1226,tblCustomers[customer_id],tblCustomers[region],"Missing")</f>
        <v>North</v>
      </c>
      <c r="O1226" t="str">
        <f>_xlfn.XLOOKUP(C1226,tblProducts[product_id],tblProducts[product_name],"Missing")</f>
        <v>CRM Essentials</v>
      </c>
      <c r="P1226" t="str">
        <f>_xlfn.XLOOKUP(C1226,tblProducts[product_id],tblProducts[category],"Missing")</f>
        <v>CRM</v>
      </c>
      <c r="Q1226" t="str">
        <f>_xlfn.XLOOKUP(D1226,tblSalesReps[rep_id],tblSalesReps[rep_name],"Missing")</f>
        <v>Sales Rep 09</v>
      </c>
      <c r="R1226" t="str">
        <f>_xlfn.XLOOKUP(D1226,tblSalesReps[rep_id],tblSalesReps[region],"Missing")</f>
        <v>North</v>
      </c>
    </row>
    <row r="1227" spans="1:18">
      <c r="A1227" t="s">
        <v>1733</v>
      </c>
      <c r="B1227" t="s">
        <v>38</v>
      </c>
      <c r="C1227" t="s">
        <v>39</v>
      </c>
      <c r="D1227" t="s">
        <v>50</v>
      </c>
      <c r="E1227" s="1">
        <v>45930</v>
      </c>
      <c r="F1227" s="1">
        <v>45975</v>
      </c>
      <c r="G1227" s="1">
        <v>45975</v>
      </c>
      <c r="H1227" t="s">
        <v>17</v>
      </c>
      <c r="I1227">
        <v>2</v>
      </c>
      <c r="J1227">
        <v>20</v>
      </c>
      <c r="K1227">
        <v>288000</v>
      </c>
      <c r="L1227">
        <v>0</v>
      </c>
      <c r="M1227" t="s">
        <v>82</v>
      </c>
      <c r="N1227" t="str">
        <f>_xlfn.XLOOKUP(B1227,tblCustomers[customer_id],tblCustomers[region],"Missing")</f>
        <v>West</v>
      </c>
      <c r="O1227" t="str">
        <f>_xlfn.XLOOKUP(C1227,tblProducts[product_id],tblProducts[product_name],"Missing")</f>
        <v>Support Desk</v>
      </c>
      <c r="P1227" t="str">
        <f>_xlfn.XLOOKUP(C1227,tblProducts[product_id],tblProducts[category],"Missing")</f>
        <v>Service</v>
      </c>
      <c r="Q1227" t="str">
        <f>_xlfn.XLOOKUP(D1227,tblSalesReps[rep_id],tblSalesReps[rep_name],"Missing")</f>
        <v>Sales Rep 15</v>
      </c>
      <c r="R1227" t="str">
        <f>_xlfn.XLOOKUP(D1227,tblSalesReps[rep_id],tblSalesReps[region],"Missing")</f>
        <v>West</v>
      </c>
    </row>
    <row r="1228" spans="1:18">
      <c r="A1228" t="s">
        <v>1734</v>
      </c>
      <c r="B1228" t="s">
        <v>151</v>
      </c>
      <c r="C1228" t="s">
        <v>39</v>
      </c>
      <c r="D1228" t="s">
        <v>53</v>
      </c>
      <c r="E1228" s="1">
        <v>45849</v>
      </c>
      <c r="F1228" s="1">
        <v>45862</v>
      </c>
      <c r="G1228" s="1">
        <v>45862</v>
      </c>
      <c r="H1228" t="s">
        <v>17</v>
      </c>
      <c r="I1228">
        <v>1</v>
      </c>
      <c r="J1228">
        <v>5</v>
      </c>
      <c r="K1228">
        <v>171000</v>
      </c>
      <c r="L1228">
        <v>0</v>
      </c>
      <c r="M1228" t="s">
        <v>82</v>
      </c>
      <c r="N1228" t="str">
        <f>_xlfn.XLOOKUP(B1228,tblCustomers[customer_id],tblCustomers[region],"Missing")</f>
        <v>East</v>
      </c>
      <c r="O1228" t="str">
        <f>_xlfn.XLOOKUP(C1228,tblProducts[product_id],tblProducts[product_name],"Missing")</f>
        <v>Support Desk</v>
      </c>
      <c r="P1228" t="str">
        <f>_xlfn.XLOOKUP(C1228,tblProducts[product_id],tblProducts[category],"Missing")</f>
        <v>Service</v>
      </c>
      <c r="Q1228" t="str">
        <f>_xlfn.XLOOKUP(D1228,tblSalesReps[rep_id],tblSalesReps[rep_name],"Missing")</f>
        <v>Sales Rep 16</v>
      </c>
      <c r="R1228" t="str">
        <f>_xlfn.XLOOKUP(D1228,tblSalesReps[rep_id],tblSalesReps[region],"Missing")</f>
        <v>East</v>
      </c>
    </row>
    <row r="1229" spans="1:18">
      <c r="A1229" t="s">
        <v>1735</v>
      </c>
      <c r="B1229" t="s">
        <v>367</v>
      </c>
      <c r="C1229" t="s">
        <v>39</v>
      </c>
      <c r="D1229" t="s">
        <v>168</v>
      </c>
      <c r="E1229" s="1">
        <v>45741</v>
      </c>
      <c r="F1229" s="1">
        <v>45794</v>
      </c>
      <c r="G1229" s="1">
        <v>45794</v>
      </c>
      <c r="H1229" t="s">
        <v>28</v>
      </c>
      <c r="I1229">
        <v>2</v>
      </c>
      <c r="J1229">
        <v>15</v>
      </c>
      <c r="K1229">
        <v>306000</v>
      </c>
      <c r="L1229">
        <v>100</v>
      </c>
      <c r="M1229" t="s">
        <v>29</v>
      </c>
      <c r="N1229" t="str">
        <f>_xlfn.XLOOKUP(B1229,tblCustomers[customer_id],tblCustomers[region],"Missing")</f>
        <v>East</v>
      </c>
      <c r="O1229" t="str">
        <f>_xlfn.XLOOKUP(C1229,tblProducts[product_id],tblProducts[product_name],"Missing")</f>
        <v>Support Desk</v>
      </c>
      <c r="P1229" t="str">
        <f>_xlfn.XLOOKUP(C1229,tblProducts[product_id],tblProducts[category],"Missing")</f>
        <v>Service</v>
      </c>
      <c r="Q1229" t="str">
        <f>_xlfn.XLOOKUP(D1229,tblSalesReps[rep_id],tblSalesReps[rep_name],"Missing")</f>
        <v>Sales Rep 17</v>
      </c>
      <c r="R1229" t="str">
        <f>_xlfn.XLOOKUP(D1229,tblSalesReps[rep_id],tblSalesReps[region],"Missing")</f>
        <v>East</v>
      </c>
    </row>
    <row r="1230" spans="1:18">
      <c r="A1230" t="s">
        <v>1736</v>
      </c>
      <c r="B1230" t="s">
        <v>266</v>
      </c>
      <c r="C1230" t="s">
        <v>15</v>
      </c>
      <c r="D1230" t="s">
        <v>50</v>
      </c>
      <c r="E1230" s="1">
        <v>45865</v>
      </c>
      <c r="F1230" s="1">
        <v>45877</v>
      </c>
      <c r="G1230" s="1">
        <v>45877</v>
      </c>
      <c r="H1230" t="s">
        <v>28</v>
      </c>
      <c r="I1230">
        <v>1</v>
      </c>
      <c r="J1230">
        <v>20</v>
      </c>
      <c r="K1230">
        <v>336000</v>
      </c>
      <c r="L1230">
        <v>100</v>
      </c>
      <c r="M1230" t="s">
        <v>29</v>
      </c>
      <c r="N1230" t="str">
        <f>_xlfn.XLOOKUP(B1230,tblCustomers[customer_id],tblCustomers[region],"Missing")</f>
        <v>West</v>
      </c>
      <c r="O1230" t="str">
        <f>_xlfn.XLOOKUP(C1230,tblProducts[product_id],tblProducts[product_name],"Missing")</f>
        <v>CRM Enterprise</v>
      </c>
      <c r="P1230" t="str">
        <f>_xlfn.XLOOKUP(C1230,tblProducts[product_id],tblProducts[category],"Missing")</f>
        <v>CRM</v>
      </c>
      <c r="Q1230" t="str">
        <f>_xlfn.XLOOKUP(D1230,tblSalesReps[rep_id],tblSalesReps[rep_name],"Missing")</f>
        <v>Sales Rep 15</v>
      </c>
      <c r="R1230" t="str">
        <f>_xlfn.XLOOKUP(D1230,tblSalesReps[rep_id],tblSalesReps[region],"Missing")</f>
        <v>West</v>
      </c>
    </row>
    <row r="1231" spans="1:18">
      <c r="A1231" t="s">
        <v>1737</v>
      </c>
      <c r="B1231" t="s">
        <v>202</v>
      </c>
      <c r="C1231" t="s">
        <v>81</v>
      </c>
      <c r="D1231" t="s">
        <v>168</v>
      </c>
      <c r="E1231" s="1">
        <v>45976</v>
      </c>
      <c r="F1231" s="1">
        <v>46003</v>
      </c>
      <c r="G1231" s="1"/>
      <c r="H1231" t="s">
        <v>43</v>
      </c>
      <c r="I1231">
        <v>1</v>
      </c>
      <c r="J1231">
        <v>20</v>
      </c>
      <c r="K1231">
        <v>240000</v>
      </c>
      <c r="L1231">
        <v>60</v>
      </c>
      <c r="M1231" t="s">
        <v>29</v>
      </c>
      <c r="N1231" t="str">
        <f>_xlfn.XLOOKUP(B1231,tblCustomers[customer_id],tblCustomers[region],"Missing")</f>
        <v>East</v>
      </c>
      <c r="O1231" t="str">
        <f>_xlfn.XLOOKUP(C1231,tblProducts[product_id],tblProducts[product_name],"Missing")</f>
        <v>Analytics Cloud</v>
      </c>
      <c r="P1231" t="str">
        <f>_xlfn.XLOOKUP(C1231,tblProducts[product_id],tblProducts[category],"Missing")</f>
        <v>Analytics</v>
      </c>
      <c r="Q1231" t="str">
        <f>_xlfn.XLOOKUP(D1231,tblSalesReps[rep_id],tblSalesReps[rep_name],"Missing")</f>
        <v>Sales Rep 17</v>
      </c>
      <c r="R1231" t="str">
        <f>_xlfn.XLOOKUP(D1231,tblSalesReps[rep_id],tblSalesReps[region],"Missing")</f>
        <v>East</v>
      </c>
    </row>
    <row r="1232" spans="1:18">
      <c r="A1232" t="s">
        <v>1738</v>
      </c>
      <c r="B1232" t="s">
        <v>345</v>
      </c>
      <c r="C1232" t="s">
        <v>62</v>
      </c>
      <c r="D1232" t="s">
        <v>70</v>
      </c>
      <c r="E1232" s="1">
        <v>45874</v>
      </c>
      <c r="F1232" s="1">
        <v>45910</v>
      </c>
      <c r="G1232" s="1">
        <v>45910</v>
      </c>
      <c r="H1232" t="s">
        <v>17</v>
      </c>
      <c r="I1232">
        <v>1</v>
      </c>
      <c r="J1232">
        <v>20</v>
      </c>
      <c r="K1232">
        <v>96000</v>
      </c>
      <c r="L1232">
        <v>0</v>
      </c>
      <c r="M1232" t="s">
        <v>18</v>
      </c>
      <c r="N1232" t="str">
        <f>_xlfn.XLOOKUP(B1232,tblCustomers[customer_id],tblCustomers[region],"Missing")</f>
        <v>West</v>
      </c>
      <c r="O1232" t="str">
        <f>_xlfn.XLOOKUP(C1232,tblProducts[product_id],tblProducts[product_name],"Missing")</f>
        <v>CRM Essentials</v>
      </c>
      <c r="P1232" t="str">
        <f>_xlfn.XLOOKUP(C1232,tblProducts[product_id],tblProducts[category],"Missing")</f>
        <v>CRM</v>
      </c>
      <c r="Q1232" t="str">
        <f>_xlfn.XLOOKUP(D1232,tblSalesReps[rep_id],tblSalesReps[rep_name],"Missing")</f>
        <v>Sales Rep 11</v>
      </c>
      <c r="R1232" t="str">
        <f>_xlfn.XLOOKUP(D1232,tblSalesReps[rep_id],tblSalesReps[region],"Missing")</f>
        <v>West</v>
      </c>
    </row>
    <row r="1233" spans="1:18">
      <c r="A1233" t="s">
        <v>1739</v>
      </c>
      <c r="B1233" t="s">
        <v>154</v>
      </c>
      <c r="C1233" t="s">
        <v>26</v>
      </c>
      <c r="D1233" t="s">
        <v>32</v>
      </c>
      <c r="E1233" s="1">
        <v>45827</v>
      </c>
      <c r="F1233" s="1">
        <v>45844</v>
      </c>
      <c r="G1233" s="1"/>
      <c r="H1233" t="s">
        <v>43</v>
      </c>
      <c r="I1233">
        <v>1</v>
      </c>
      <c r="J1233">
        <v>10</v>
      </c>
      <c r="K1233">
        <v>324000</v>
      </c>
      <c r="L1233">
        <v>60</v>
      </c>
      <c r="M1233" t="s">
        <v>29</v>
      </c>
      <c r="N1233" t="str">
        <f>_xlfn.XLOOKUP(B1233,tblCustomers[customer_id],tblCustomers[region],"Missing")</f>
        <v>South</v>
      </c>
      <c r="O1233" t="str">
        <f>_xlfn.XLOOKUP(C1233,tblProducts[product_id],tblProducts[product_name],"Missing")</f>
        <v>Security Suite</v>
      </c>
      <c r="P1233" t="str">
        <f>_xlfn.XLOOKUP(C1233,tblProducts[product_id],tblProducts[category],"Missing")</f>
        <v>Security</v>
      </c>
      <c r="Q1233" t="str">
        <f>_xlfn.XLOOKUP(D1233,tblSalesReps[rep_id],tblSalesReps[rep_name],"Missing")</f>
        <v>Sales Rep 04</v>
      </c>
      <c r="R1233" t="str">
        <f>_xlfn.XLOOKUP(D1233,tblSalesReps[rep_id],tblSalesReps[region],"Missing")</f>
        <v>South</v>
      </c>
    </row>
    <row r="1234" spans="1:18">
      <c r="A1234" t="s">
        <v>1740</v>
      </c>
      <c r="B1234" t="s">
        <v>1043</v>
      </c>
      <c r="C1234" t="s">
        <v>15</v>
      </c>
      <c r="D1234" t="s">
        <v>70</v>
      </c>
      <c r="E1234" s="1">
        <v>45673</v>
      </c>
      <c r="F1234" s="1">
        <v>45730</v>
      </c>
      <c r="G1234" s="1">
        <v>45730</v>
      </c>
      <c r="H1234" t="s">
        <v>28</v>
      </c>
      <c r="I1234">
        <v>1</v>
      </c>
      <c r="J1234">
        <v>5</v>
      </c>
      <c r="K1234">
        <v>399000</v>
      </c>
      <c r="L1234">
        <v>100</v>
      </c>
      <c r="M1234" t="s">
        <v>29</v>
      </c>
      <c r="N1234" t="str">
        <f>_xlfn.XLOOKUP(B1234,tblCustomers[customer_id],tblCustomers[region],"Missing")</f>
        <v>West</v>
      </c>
      <c r="O1234" t="str">
        <f>_xlfn.XLOOKUP(C1234,tblProducts[product_id],tblProducts[product_name],"Missing")</f>
        <v>CRM Enterprise</v>
      </c>
      <c r="P1234" t="str">
        <f>_xlfn.XLOOKUP(C1234,tblProducts[product_id],tblProducts[category],"Missing")</f>
        <v>CRM</v>
      </c>
      <c r="Q1234" t="str">
        <f>_xlfn.XLOOKUP(D1234,tblSalesReps[rep_id],tblSalesReps[rep_name],"Missing")</f>
        <v>Sales Rep 11</v>
      </c>
      <c r="R1234" t="str">
        <f>_xlfn.XLOOKUP(D1234,tblSalesReps[rep_id],tblSalesReps[region],"Missing")</f>
        <v>West</v>
      </c>
    </row>
    <row r="1235" spans="1:18">
      <c r="A1235" t="s">
        <v>1741</v>
      </c>
      <c r="B1235" t="s">
        <v>1742</v>
      </c>
      <c r="C1235" t="s">
        <v>15</v>
      </c>
      <c r="D1235" t="s">
        <v>168</v>
      </c>
      <c r="E1235" s="1">
        <v>45696</v>
      </c>
      <c r="F1235" s="1">
        <v>45767</v>
      </c>
      <c r="G1235" s="1">
        <v>45767</v>
      </c>
      <c r="H1235" t="s">
        <v>17</v>
      </c>
      <c r="I1235">
        <v>1</v>
      </c>
      <c r="J1235">
        <v>15</v>
      </c>
      <c r="K1235">
        <v>357000</v>
      </c>
      <c r="L1235">
        <v>0</v>
      </c>
      <c r="M1235" t="s">
        <v>18</v>
      </c>
      <c r="N1235" t="str">
        <f>_xlfn.XLOOKUP(B1235,tblCustomers[customer_id],tblCustomers[region],"Missing")</f>
        <v>East</v>
      </c>
      <c r="O1235" t="str">
        <f>_xlfn.XLOOKUP(C1235,tblProducts[product_id],tblProducts[product_name],"Missing")</f>
        <v>CRM Enterprise</v>
      </c>
      <c r="P1235" t="str">
        <f>_xlfn.XLOOKUP(C1235,tblProducts[product_id],tblProducts[category],"Missing")</f>
        <v>CRM</v>
      </c>
      <c r="Q1235" t="str">
        <f>_xlfn.XLOOKUP(D1235,tblSalesReps[rep_id],tblSalesReps[rep_name],"Missing")</f>
        <v>Sales Rep 17</v>
      </c>
      <c r="R1235" t="str">
        <f>_xlfn.XLOOKUP(D1235,tblSalesReps[rep_id],tblSalesReps[region],"Missing")</f>
        <v>East</v>
      </c>
    </row>
    <row r="1236" spans="1:18">
      <c r="A1236" t="s">
        <v>1743</v>
      </c>
      <c r="B1236" t="s">
        <v>193</v>
      </c>
      <c r="C1236" t="s">
        <v>21</v>
      </c>
      <c r="D1236" t="s">
        <v>168</v>
      </c>
      <c r="E1236" s="1">
        <v>45980</v>
      </c>
      <c r="F1236" s="1">
        <v>45991</v>
      </c>
      <c r="G1236" s="1">
        <v>45991</v>
      </c>
      <c r="H1236" t="s">
        <v>28</v>
      </c>
      <c r="I1236">
        <v>2</v>
      </c>
      <c r="J1236">
        <v>10</v>
      </c>
      <c r="K1236">
        <v>432000</v>
      </c>
      <c r="L1236">
        <v>100</v>
      </c>
      <c r="M1236" t="s">
        <v>29</v>
      </c>
      <c r="N1236" t="str">
        <f>_xlfn.XLOOKUP(B1236,tblCustomers[customer_id],tblCustomers[region],"Missing")</f>
        <v>East</v>
      </c>
      <c r="O1236" t="str">
        <f>_xlfn.XLOOKUP(C1236,tblProducts[product_id],tblProducts[product_name],"Missing")</f>
        <v>Workflow Automate</v>
      </c>
      <c r="P1236" t="str">
        <f>_xlfn.XLOOKUP(C1236,tblProducts[product_id],tblProducts[category],"Missing")</f>
        <v>Automation</v>
      </c>
      <c r="Q1236" t="str">
        <f>_xlfn.XLOOKUP(D1236,tblSalesReps[rep_id],tblSalesReps[rep_name],"Missing")</f>
        <v>Sales Rep 17</v>
      </c>
      <c r="R1236" t="str">
        <f>_xlfn.XLOOKUP(D1236,tblSalesReps[rep_id],tblSalesReps[region],"Missing")</f>
        <v>East</v>
      </c>
    </row>
    <row r="1237" spans="1:18">
      <c r="A1237" t="s">
        <v>1744</v>
      </c>
      <c r="B1237" t="s">
        <v>129</v>
      </c>
      <c r="C1237" t="s">
        <v>81</v>
      </c>
      <c r="D1237" t="s">
        <v>59</v>
      </c>
      <c r="E1237" s="1">
        <v>45728</v>
      </c>
      <c r="F1237" s="1">
        <v>45735</v>
      </c>
      <c r="G1237" s="1">
        <v>45735</v>
      </c>
      <c r="H1237" t="s">
        <v>17</v>
      </c>
      <c r="I1237">
        <v>2</v>
      </c>
      <c r="J1237">
        <v>5</v>
      </c>
      <c r="K1237">
        <v>570000</v>
      </c>
      <c r="L1237">
        <v>0</v>
      </c>
      <c r="M1237" t="s">
        <v>23</v>
      </c>
      <c r="N1237" t="str">
        <f>_xlfn.XLOOKUP(B1237,tblCustomers[customer_id],tblCustomers[region],"Missing")</f>
        <v>East</v>
      </c>
      <c r="O1237" t="str">
        <f>_xlfn.XLOOKUP(C1237,tblProducts[product_id],tblProducts[product_name],"Missing")</f>
        <v>Analytics Cloud</v>
      </c>
      <c r="P1237" t="str">
        <f>_xlfn.XLOOKUP(C1237,tblProducts[product_id],tblProducts[category],"Missing")</f>
        <v>Analytics</v>
      </c>
      <c r="Q1237" t="str">
        <f>_xlfn.XLOOKUP(D1237,tblSalesReps[rep_id],tblSalesReps[rep_name],"Missing")</f>
        <v>Sales Rep 19</v>
      </c>
      <c r="R1237" t="str">
        <f>_xlfn.XLOOKUP(D1237,tblSalesReps[rep_id],tblSalesReps[region],"Missing")</f>
        <v>East</v>
      </c>
    </row>
    <row r="1238" spans="1:18">
      <c r="A1238" t="s">
        <v>1745</v>
      </c>
      <c r="B1238" t="s">
        <v>25</v>
      </c>
      <c r="C1238" t="s">
        <v>81</v>
      </c>
      <c r="D1238" t="s">
        <v>16</v>
      </c>
      <c r="E1238" s="1">
        <v>45819</v>
      </c>
      <c r="F1238" s="1">
        <v>45901</v>
      </c>
      <c r="G1238" s="1">
        <v>45901</v>
      </c>
      <c r="H1238" t="s">
        <v>17</v>
      </c>
      <c r="I1238">
        <v>1</v>
      </c>
      <c r="J1238">
        <v>0</v>
      </c>
      <c r="K1238">
        <v>300000</v>
      </c>
      <c r="L1238">
        <v>0</v>
      </c>
      <c r="M1238" t="s">
        <v>33</v>
      </c>
      <c r="N1238" t="str">
        <f>_xlfn.XLOOKUP(B1238,tblCustomers[customer_id],tblCustomers[region],"Missing")</f>
        <v>North</v>
      </c>
      <c r="O1238" t="str">
        <f>_xlfn.XLOOKUP(C1238,tblProducts[product_id],tblProducts[product_name],"Missing")</f>
        <v>Analytics Cloud</v>
      </c>
      <c r="P1238" t="str">
        <f>_xlfn.XLOOKUP(C1238,tblProducts[product_id],tblProducts[category],"Missing")</f>
        <v>Analytics</v>
      </c>
      <c r="Q1238" t="str">
        <f>_xlfn.XLOOKUP(D1238,tblSalesReps[rep_id],tblSalesReps[rep_name],"Missing")</f>
        <v>Sales Rep 08</v>
      </c>
      <c r="R1238" t="str">
        <f>_xlfn.XLOOKUP(D1238,tblSalesReps[rep_id],tblSalesReps[region],"Missing")</f>
        <v>North</v>
      </c>
    </row>
    <row r="1239" spans="1:18">
      <c r="A1239" t="s">
        <v>1746</v>
      </c>
      <c r="B1239" t="s">
        <v>433</v>
      </c>
      <c r="C1239" t="s">
        <v>21</v>
      </c>
      <c r="D1239" t="s">
        <v>70</v>
      </c>
      <c r="E1239" s="1">
        <v>45802</v>
      </c>
      <c r="F1239" s="1">
        <v>45835</v>
      </c>
      <c r="G1239" s="1">
        <v>45835</v>
      </c>
      <c r="H1239" t="s">
        <v>17</v>
      </c>
      <c r="I1239">
        <v>1</v>
      </c>
      <c r="J1239">
        <v>15</v>
      </c>
      <c r="K1239">
        <v>204000</v>
      </c>
      <c r="L1239">
        <v>0</v>
      </c>
      <c r="M1239" t="s">
        <v>18</v>
      </c>
      <c r="N1239" t="str">
        <f>_xlfn.XLOOKUP(B1239,tblCustomers[customer_id],tblCustomers[region],"Missing")</f>
        <v>West</v>
      </c>
      <c r="O1239" t="str">
        <f>_xlfn.XLOOKUP(C1239,tblProducts[product_id],tblProducts[product_name],"Missing")</f>
        <v>Workflow Automate</v>
      </c>
      <c r="P1239" t="str">
        <f>_xlfn.XLOOKUP(C1239,tblProducts[product_id],tblProducts[category],"Missing")</f>
        <v>Automation</v>
      </c>
      <c r="Q1239" t="str">
        <f>_xlfn.XLOOKUP(D1239,tblSalesReps[rep_id],tblSalesReps[rep_name],"Missing")</f>
        <v>Sales Rep 11</v>
      </c>
      <c r="R1239" t="str">
        <f>_xlfn.XLOOKUP(D1239,tblSalesReps[rep_id],tblSalesReps[region],"Missing")</f>
        <v>West</v>
      </c>
    </row>
    <row r="1240" spans="1:18">
      <c r="A1240" t="s">
        <v>1747</v>
      </c>
      <c r="B1240" t="s">
        <v>367</v>
      </c>
      <c r="C1240" t="s">
        <v>15</v>
      </c>
      <c r="D1240" t="s">
        <v>56</v>
      </c>
      <c r="E1240" s="1">
        <v>45957</v>
      </c>
      <c r="F1240" s="1">
        <v>46032</v>
      </c>
      <c r="G1240" s="1"/>
      <c r="H1240" t="s">
        <v>43</v>
      </c>
      <c r="I1240">
        <v>1</v>
      </c>
      <c r="J1240">
        <v>0</v>
      </c>
      <c r="K1240">
        <v>420000</v>
      </c>
      <c r="L1240">
        <v>60</v>
      </c>
      <c r="M1240" t="s">
        <v>29</v>
      </c>
      <c r="N1240" t="str">
        <f>_xlfn.XLOOKUP(B1240,tblCustomers[customer_id],tblCustomers[region],"Missing")</f>
        <v>East</v>
      </c>
      <c r="O1240" t="str">
        <f>_xlfn.XLOOKUP(C1240,tblProducts[product_id],tblProducts[product_name],"Missing")</f>
        <v>CRM Enterprise</v>
      </c>
      <c r="P1240" t="str">
        <f>_xlfn.XLOOKUP(C1240,tblProducts[product_id],tblProducts[category],"Missing")</f>
        <v>CRM</v>
      </c>
      <c r="Q1240" t="str">
        <f>_xlfn.XLOOKUP(D1240,tblSalesReps[rep_id],tblSalesReps[rep_name],"Missing")</f>
        <v>Sales Rep 20</v>
      </c>
      <c r="R1240" t="str">
        <f>_xlfn.XLOOKUP(D1240,tblSalesReps[rep_id],tblSalesReps[region],"Missing")</f>
        <v>East</v>
      </c>
    </row>
    <row r="1241" spans="1:18">
      <c r="A1241" t="s">
        <v>1748</v>
      </c>
      <c r="B1241" t="s">
        <v>491</v>
      </c>
      <c r="C1241" t="s">
        <v>15</v>
      </c>
      <c r="D1241" t="s">
        <v>168</v>
      </c>
      <c r="E1241" s="1">
        <v>45756</v>
      </c>
      <c r="F1241" s="1">
        <v>45830</v>
      </c>
      <c r="G1241" s="1"/>
      <c r="H1241" t="s">
        <v>43</v>
      </c>
      <c r="I1241">
        <v>1</v>
      </c>
      <c r="J1241">
        <v>15</v>
      </c>
      <c r="K1241">
        <v>357000</v>
      </c>
      <c r="L1241">
        <v>60</v>
      </c>
      <c r="M1241" t="s">
        <v>29</v>
      </c>
      <c r="N1241" t="str">
        <f>_xlfn.XLOOKUP(B1241,tblCustomers[customer_id],tblCustomers[region],"Missing")</f>
        <v>East</v>
      </c>
      <c r="O1241" t="str">
        <f>_xlfn.XLOOKUP(C1241,tblProducts[product_id],tblProducts[product_name],"Missing")</f>
        <v>CRM Enterprise</v>
      </c>
      <c r="P1241" t="str">
        <f>_xlfn.XLOOKUP(C1241,tblProducts[product_id],tblProducts[category],"Missing")</f>
        <v>CRM</v>
      </c>
      <c r="Q1241" t="str">
        <f>_xlfn.XLOOKUP(D1241,tblSalesReps[rep_id],tblSalesReps[rep_name],"Missing")</f>
        <v>Sales Rep 17</v>
      </c>
      <c r="R1241" t="str">
        <f>_xlfn.XLOOKUP(D1241,tblSalesReps[rep_id],tblSalesReps[region],"Missing")</f>
        <v>East</v>
      </c>
    </row>
    <row r="1242" spans="1:18">
      <c r="A1242" t="s">
        <v>1749</v>
      </c>
      <c r="B1242" t="s">
        <v>1015</v>
      </c>
      <c r="C1242" t="s">
        <v>39</v>
      </c>
      <c r="D1242" t="s">
        <v>56</v>
      </c>
      <c r="E1242" s="1">
        <v>45730</v>
      </c>
      <c r="F1242" s="1">
        <v>45753</v>
      </c>
      <c r="G1242" s="1"/>
      <c r="H1242" t="s">
        <v>43</v>
      </c>
      <c r="I1242">
        <v>1</v>
      </c>
      <c r="J1242">
        <v>15</v>
      </c>
      <c r="K1242">
        <v>153000</v>
      </c>
      <c r="L1242">
        <v>80</v>
      </c>
      <c r="M1242" t="s">
        <v>29</v>
      </c>
      <c r="N1242" t="str">
        <f>_xlfn.XLOOKUP(B1242,tblCustomers[customer_id],tblCustomers[region],"Missing")</f>
        <v>East</v>
      </c>
      <c r="O1242" t="str">
        <f>_xlfn.XLOOKUP(C1242,tblProducts[product_id],tblProducts[product_name],"Missing")</f>
        <v>Support Desk</v>
      </c>
      <c r="P1242" t="str">
        <f>_xlfn.XLOOKUP(C1242,tblProducts[product_id],tblProducts[category],"Missing")</f>
        <v>Service</v>
      </c>
      <c r="Q1242" t="str">
        <f>_xlfn.XLOOKUP(D1242,tblSalesReps[rep_id],tblSalesReps[rep_name],"Missing")</f>
        <v>Sales Rep 20</v>
      </c>
      <c r="R1242" t="str">
        <f>_xlfn.XLOOKUP(D1242,tblSalesReps[rep_id],tblSalesReps[region],"Missing")</f>
        <v>East</v>
      </c>
    </row>
    <row r="1243" spans="1:18">
      <c r="A1243" t="s">
        <v>1750</v>
      </c>
      <c r="B1243" t="s">
        <v>1370</v>
      </c>
      <c r="C1243" t="s">
        <v>81</v>
      </c>
      <c r="D1243" t="s">
        <v>70</v>
      </c>
      <c r="E1243" s="1">
        <v>45760</v>
      </c>
      <c r="F1243" s="1">
        <v>45799</v>
      </c>
      <c r="G1243" s="1">
        <v>45799</v>
      </c>
      <c r="H1243" t="s">
        <v>17</v>
      </c>
      <c r="I1243">
        <v>3</v>
      </c>
      <c r="J1243">
        <v>10</v>
      </c>
      <c r="K1243">
        <v>810000</v>
      </c>
      <c r="L1243">
        <v>0</v>
      </c>
      <c r="M1243" t="s">
        <v>18</v>
      </c>
      <c r="N1243" t="str">
        <f>_xlfn.XLOOKUP(B1243,tblCustomers[customer_id],tblCustomers[region],"Missing")</f>
        <v>West</v>
      </c>
      <c r="O1243" t="str">
        <f>_xlfn.XLOOKUP(C1243,tblProducts[product_id],tblProducts[product_name],"Missing")</f>
        <v>Analytics Cloud</v>
      </c>
      <c r="P1243" t="str">
        <f>_xlfn.XLOOKUP(C1243,tblProducts[product_id],tblProducts[category],"Missing")</f>
        <v>Analytics</v>
      </c>
      <c r="Q1243" t="str">
        <f>_xlfn.XLOOKUP(D1243,tblSalesReps[rep_id],tblSalesReps[rep_name],"Missing")</f>
        <v>Sales Rep 11</v>
      </c>
      <c r="R1243" t="str">
        <f>_xlfn.XLOOKUP(D1243,tblSalesReps[rep_id],tblSalesReps[region],"Missing")</f>
        <v>West</v>
      </c>
    </row>
    <row r="1244" spans="1:18">
      <c r="A1244" t="s">
        <v>1751</v>
      </c>
      <c r="B1244" t="s">
        <v>821</v>
      </c>
      <c r="C1244" t="s">
        <v>26</v>
      </c>
      <c r="D1244" t="s">
        <v>119</v>
      </c>
      <c r="E1244" s="1">
        <v>45781</v>
      </c>
      <c r="F1244" s="1">
        <v>45844</v>
      </c>
      <c r="G1244" s="1"/>
      <c r="H1244" t="s">
        <v>43</v>
      </c>
      <c r="I1244">
        <v>1</v>
      </c>
      <c r="J1244">
        <v>5</v>
      </c>
      <c r="K1244">
        <v>342000</v>
      </c>
      <c r="L1244">
        <v>80</v>
      </c>
      <c r="M1244" t="s">
        <v>29</v>
      </c>
      <c r="N1244" t="str">
        <f>_xlfn.XLOOKUP(B1244,tblCustomers[customer_id],tblCustomers[region],"Missing")</f>
        <v>North</v>
      </c>
      <c r="O1244" t="str">
        <f>_xlfn.XLOOKUP(C1244,tblProducts[product_id],tblProducts[product_name],"Missing")</f>
        <v>Security Suite</v>
      </c>
      <c r="P1244" t="str">
        <f>_xlfn.XLOOKUP(C1244,tblProducts[product_id],tblProducts[category],"Missing")</f>
        <v>Security</v>
      </c>
      <c r="Q1244" t="str">
        <f>_xlfn.XLOOKUP(D1244,tblSalesReps[rep_id],tblSalesReps[rep_name],"Missing")</f>
        <v>Sales Rep 10</v>
      </c>
      <c r="R1244" t="str">
        <f>_xlfn.XLOOKUP(D1244,tblSalesReps[rep_id],tblSalesReps[region],"Missing")</f>
        <v>North</v>
      </c>
    </row>
    <row r="1245" spans="1:18">
      <c r="A1245" t="s">
        <v>1752</v>
      </c>
      <c r="B1245" t="s">
        <v>1753</v>
      </c>
      <c r="C1245" t="s">
        <v>81</v>
      </c>
      <c r="D1245" t="s">
        <v>75</v>
      </c>
      <c r="E1245" s="1">
        <v>45661</v>
      </c>
      <c r="F1245" s="1">
        <v>45709</v>
      </c>
      <c r="G1245" s="1">
        <v>45709</v>
      </c>
      <c r="H1245" t="s">
        <v>28</v>
      </c>
      <c r="I1245">
        <v>1</v>
      </c>
      <c r="J1245">
        <v>10</v>
      </c>
      <c r="K1245">
        <v>270000</v>
      </c>
      <c r="L1245">
        <v>100</v>
      </c>
      <c r="M1245" t="s">
        <v>29</v>
      </c>
      <c r="N1245" t="str">
        <f>_xlfn.XLOOKUP(B1245,tblCustomers[customer_id],tblCustomers[region],"Missing")</f>
        <v>North</v>
      </c>
      <c r="O1245" t="str">
        <f>_xlfn.XLOOKUP(C1245,tblProducts[product_id],tblProducts[product_name],"Missing")</f>
        <v>Analytics Cloud</v>
      </c>
      <c r="P1245" t="str">
        <f>_xlfn.XLOOKUP(C1245,tblProducts[product_id],tblProducts[category],"Missing")</f>
        <v>Analytics</v>
      </c>
      <c r="Q1245" t="str">
        <f>_xlfn.XLOOKUP(D1245,tblSalesReps[rep_id],tblSalesReps[rep_name],"Missing")</f>
        <v>Sales Rep 07</v>
      </c>
      <c r="R1245" t="str">
        <f>_xlfn.XLOOKUP(D1245,tblSalesReps[rep_id],tblSalesReps[region],"Missing")</f>
        <v>North</v>
      </c>
    </row>
    <row r="1246" spans="1:18">
      <c r="A1246" t="s">
        <v>1754</v>
      </c>
      <c r="B1246" t="s">
        <v>529</v>
      </c>
      <c r="C1246" t="s">
        <v>21</v>
      </c>
      <c r="D1246" t="s">
        <v>46</v>
      </c>
      <c r="E1246" s="1">
        <v>45661</v>
      </c>
      <c r="F1246" s="1">
        <v>45735</v>
      </c>
      <c r="G1246" s="1">
        <v>45735</v>
      </c>
      <c r="H1246" t="s">
        <v>28</v>
      </c>
      <c r="I1246">
        <v>2</v>
      </c>
      <c r="J1246">
        <v>10</v>
      </c>
      <c r="K1246">
        <v>432000</v>
      </c>
      <c r="L1246">
        <v>100</v>
      </c>
      <c r="M1246" t="s">
        <v>29</v>
      </c>
      <c r="N1246" t="str">
        <f>_xlfn.XLOOKUP(B1246,tblCustomers[customer_id],tblCustomers[region],"Missing")</f>
        <v>South</v>
      </c>
      <c r="O1246" t="str">
        <f>_xlfn.XLOOKUP(C1246,tblProducts[product_id],tblProducts[product_name],"Missing")</f>
        <v>Workflow Automate</v>
      </c>
      <c r="P1246" t="str">
        <f>_xlfn.XLOOKUP(C1246,tblProducts[product_id],tblProducts[category],"Missing")</f>
        <v>Automation</v>
      </c>
      <c r="Q1246" t="str">
        <f>_xlfn.XLOOKUP(D1246,tblSalesReps[rep_id],tblSalesReps[rep_name],"Missing")</f>
        <v>Sales Rep 01</v>
      </c>
      <c r="R1246" t="str">
        <f>_xlfn.XLOOKUP(D1246,tblSalesReps[rep_id],tblSalesReps[region],"Missing")</f>
        <v>South</v>
      </c>
    </row>
    <row r="1247" spans="1:18">
      <c r="A1247" t="s">
        <v>1755</v>
      </c>
      <c r="B1247" t="s">
        <v>112</v>
      </c>
      <c r="C1247" t="s">
        <v>15</v>
      </c>
      <c r="D1247" t="s">
        <v>78</v>
      </c>
      <c r="E1247" s="1">
        <v>45789</v>
      </c>
      <c r="F1247" s="1">
        <v>45829</v>
      </c>
      <c r="G1247" s="1"/>
      <c r="H1247" t="s">
        <v>43</v>
      </c>
      <c r="I1247">
        <v>1</v>
      </c>
      <c r="J1247">
        <v>20</v>
      </c>
      <c r="K1247">
        <v>336000</v>
      </c>
      <c r="L1247">
        <v>80</v>
      </c>
      <c r="M1247" t="s">
        <v>29</v>
      </c>
      <c r="N1247" t="str">
        <f>_xlfn.XLOOKUP(B1247,tblCustomers[customer_id],tblCustomers[region],"Missing")</f>
        <v>West</v>
      </c>
      <c r="O1247" t="str">
        <f>_xlfn.XLOOKUP(C1247,tblProducts[product_id],tblProducts[product_name],"Missing")</f>
        <v>CRM Enterprise</v>
      </c>
      <c r="P1247" t="str">
        <f>_xlfn.XLOOKUP(C1247,tblProducts[product_id],tblProducts[category],"Missing")</f>
        <v>CRM</v>
      </c>
      <c r="Q1247" t="str">
        <f>_xlfn.XLOOKUP(D1247,tblSalesReps[rep_id],tblSalesReps[rep_name],"Missing")</f>
        <v>Sales Rep 12</v>
      </c>
      <c r="R1247" t="str">
        <f>_xlfn.XLOOKUP(D1247,tblSalesReps[rep_id],tblSalesReps[region],"Missing")</f>
        <v>West</v>
      </c>
    </row>
    <row r="1248" spans="1:18">
      <c r="A1248" t="s">
        <v>1756</v>
      </c>
      <c r="B1248" t="s">
        <v>189</v>
      </c>
      <c r="C1248" t="s">
        <v>81</v>
      </c>
      <c r="D1248" t="s">
        <v>70</v>
      </c>
      <c r="E1248" s="1">
        <v>45690</v>
      </c>
      <c r="F1248" s="1">
        <v>45728</v>
      </c>
      <c r="G1248" s="1">
        <v>45728</v>
      </c>
      <c r="H1248" t="s">
        <v>17</v>
      </c>
      <c r="I1248">
        <v>2</v>
      </c>
      <c r="J1248">
        <v>5</v>
      </c>
      <c r="K1248">
        <v>570000</v>
      </c>
      <c r="L1248">
        <v>0</v>
      </c>
      <c r="M1248" t="s">
        <v>33</v>
      </c>
      <c r="N1248" t="str">
        <f>_xlfn.XLOOKUP(B1248,tblCustomers[customer_id],tblCustomers[region],"Missing")</f>
        <v>West</v>
      </c>
      <c r="O1248" t="str">
        <f>_xlfn.XLOOKUP(C1248,tblProducts[product_id],tblProducts[product_name],"Missing")</f>
        <v>Analytics Cloud</v>
      </c>
      <c r="P1248" t="str">
        <f>_xlfn.XLOOKUP(C1248,tblProducts[product_id],tblProducts[category],"Missing")</f>
        <v>Analytics</v>
      </c>
      <c r="Q1248" t="str">
        <f>_xlfn.XLOOKUP(D1248,tblSalesReps[rep_id],tblSalesReps[rep_name],"Missing")</f>
        <v>Sales Rep 11</v>
      </c>
      <c r="R1248" t="str">
        <f>_xlfn.XLOOKUP(D1248,tblSalesReps[rep_id],tblSalesReps[region],"Missing")</f>
        <v>West</v>
      </c>
    </row>
    <row r="1249" spans="1:18">
      <c r="A1249" t="s">
        <v>1757</v>
      </c>
      <c r="B1249" t="s">
        <v>1644</v>
      </c>
      <c r="C1249" t="s">
        <v>26</v>
      </c>
      <c r="D1249" t="s">
        <v>63</v>
      </c>
      <c r="E1249" s="1">
        <v>45772</v>
      </c>
      <c r="F1249" s="1">
        <v>45856</v>
      </c>
      <c r="G1249" s="1">
        <v>45856</v>
      </c>
      <c r="H1249" t="s">
        <v>28</v>
      </c>
      <c r="I1249">
        <v>1</v>
      </c>
      <c r="J1249">
        <v>0</v>
      </c>
      <c r="K1249">
        <v>360000</v>
      </c>
      <c r="L1249">
        <v>100</v>
      </c>
      <c r="M1249" t="s">
        <v>29</v>
      </c>
      <c r="N1249" t="str">
        <f>_xlfn.XLOOKUP(B1249,tblCustomers[customer_id],tblCustomers[region],"Missing")</f>
        <v>South</v>
      </c>
      <c r="O1249" t="str">
        <f>_xlfn.XLOOKUP(C1249,tblProducts[product_id],tblProducts[product_name],"Missing")</f>
        <v>Security Suite</v>
      </c>
      <c r="P1249" t="str">
        <f>_xlfn.XLOOKUP(C1249,tblProducts[product_id],tblProducts[category],"Missing")</f>
        <v>Security</v>
      </c>
      <c r="Q1249" t="str">
        <f>_xlfn.XLOOKUP(D1249,tblSalesReps[rep_id],tblSalesReps[rep_name],"Missing")</f>
        <v>Sales Rep 05</v>
      </c>
      <c r="R1249" t="str">
        <f>_xlfn.XLOOKUP(D1249,tblSalesReps[rep_id],tblSalesReps[region],"Missing")</f>
        <v>South</v>
      </c>
    </row>
    <row r="1250" spans="1:18">
      <c r="A1250" t="s">
        <v>1758</v>
      </c>
      <c r="B1250" t="s">
        <v>782</v>
      </c>
      <c r="C1250" t="s">
        <v>21</v>
      </c>
      <c r="D1250" t="s">
        <v>91</v>
      </c>
      <c r="E1250" s="1">
        <v>45736</v>
      </c>
      <c r="F1250" s="1">
        <v>45757</v>
      </c>
      <c r="G1250" s="1">
        <v>45757</v>
      </c>
      <c r="H1250" t="s">
        <v>17</v>
      </c>
      <c r="I1250">
        <v>1</v>
      </c>
      <c r="J1250">
        <v>10</v>
      </c>
      <c r="K1250">
        <v>216000</v>
      </c>
      <c r="L1250">
        <v>0</v>
      </c>
      <c r="M1250" t="s">
        <v>33</v>
      </c>
      <c r="N1250" t="str">
        <f>_xlfn.XLOOKUP(B1250,tblCustomers[customer_id],tblCustomers[region],"Missing")</f>
        <v>South</v>
      </c>
      <c r="O1250" t="str">
        <f>_xlfn.XLOOKUP(C1250,tblProducts[product_id],tblProducts[product_name],"Missing")</f>
        <v>Workflow Automate</v>
      </c>
      <c r="P1250" t="str">
        <f>_xlfn.XLOOKUP(C1250,tblProducts[product_id],tblProducts[category],"Missing")</f>
        <v>Automation</v>
      </c>
      <c r="Q1250" t="str">
        <f>_xlfn.XLOOKUP(D1250,tblSalesReps[rep_id],tblSalesReps[rep_name],"Missing")</f>
        <v>Sales Rep 03</v>
      </c>
      <c r="R1250" t="str">
        <f>_xlfn.XLOOKUP(D1250,tblSalesReps[rep_id],tblSalesReps[region],"Missing")</f>
        <v>South</v>
      </c>
    </row>
    <row r="1251" spans="1:18">
      <c r="A1251" t="s">
        <v>1759</v>
      </c>
      <c r="B1251" t="s">
        <v>1760</v>
      </c>
      <c r="C1251" t="s">
        <v>62</v>
      </c>
      <c r="D1251" t="s">
        <v>56</v>
      </c>
      <c r="E1251" s="1">
        <v>45822</v>
      </c>
      <c r="F1251" s="1">
        <v>45857</v>
      </c>
      <c r="G1251" s="1">
        <v>45857</v>
      </c>
      <c r="H1251" t="s">
        <v>17</v>
      </c>
      <c r="I1251">
        <v>3</v>
      </c>
      <c r="J1251">
        <v>10</v>
      </c>
      <c r="K1251">
        <v>324000</v>
      </c>
      <c r="L1251">
        <v>0</v>
      </c>
      <c r="M1251" t="s">
        <v>18</v>
      </c>
      <c r="N1251" t="str">
        <f>_xlfn.XLOOKUP(B1251,tblCustomers[customer_id],tblCustomers[region],"Missing")</f>
        <v>East</v>
      </c>
      <c r="O1251" t="str">
        <f>_xlfn.XLOOKUP(C1251,tblProducts[product_id],tblProducts[product_name],"Missing")</f>
        <v>CRM Essentials</v>
      </c>
      <c r="P1251" t="str">
        <f>_xlfn.XLOOKUP(C1251,tblProducts[product_id],tblProducts[category],"Missing")</f>
        <v>CRM</v>
      </c>
      <c r="Q1251" t="str">
        <f>_xlfn.XLOOKUP(D1251,tblSalesReps[rep_id],tblSalesReps[rep_name],"Missing")</f>
        <v>Sales Rep 20</v>
      </c>
      <c r="R1251" t="str">
        <f>_xlfn.XLOOKUP(D1251,tblSalesReps[rep_id],tblSalesReps[region],"Missing")</f>
        <v>East</v>
      </c>
    </row>
    <row r="1252" spans="1:18">
      <c r="A1252" t="s">
        <v>1761</v>
      </c>
      <c r="B1252" t="s">
        <v>834</v>
      </c>
      <c r="C1252" t="s">
        <v>15</v>
      </c>
      <c r="D1252" t="s">
        <v>53</v>
      </c>
      <c r="E1252" s="1">
        <v>45777</v>
      </c>
      <c r="F1252" s="1">
        <v>45829</v>
      </c>
      <c r="G1252" s="1"/>
      <c r="H1252" t="s">
        <v>43</v>
      </c>
      <c r="I1252">
        <v>3</v>
      </c>
      <c r="J1252">
        <v>20</v>
      </c>
      <c r="K1252">
        <v>1008000</v>
      </c>
      <c r="L1252">
        <v>40</v>
      </c>
      <c r="M1252" t="s">
        <v>29</v>
      </c>
      <c r="N1252" t="str">
        <f>_xlfn.XLOOKUP(B1252,tblCustomers[customer_id],tblCustomers[region],"Missing")</f>
        <v>East</v>
      </c>
      <c r="O1252" t="str">
        <f>_xlfn.XLOOKUP(C1252,tblProducts[product_id],tblProducts[product_name],"Missing")</f>
        <v>CRM Enterprise</v>
      </c>
      <c r="P1252" t="str">
        <f>_xlfn.XLOOKUP(C1252,tblProducts[product_id],tblProducts[category],"Missing")</f>
        <v>CRM</v>
      </c>
      <c r="Q1252" t="str">
        <f>_xlfn.XLOOKUP(D1252,tblSalesReps[rep_id],tblSalesReps[rep_name],"Missing")</f>
        <v>Sales Rep 16</v>
      </c>
      <c r="R1252" t="str">
        <f>_xlfn.XLOOKUP(D1252,tblSalesReps[rep_id],tblSalesReps[region],"Missing")</f>
        <v>East</v>
      </c>
    </row>
    <row r="1253" spans="1:18">
      <c r="A1253" t="s">
        <v>1762</v>
      </c>
      <c r="B1253" t="s">
        <v>737</v>
      </c>
      <c r="C1253" t="s">
        <v>81</v>
      </c>
      <c r="D1253" t="s">
        <v>32</v>
      </c>
      <c r="E1253" s="1">
        <v>45899</v>
      </c>
      <c r="F1253" s="1">
        <v>45961</v>
      </c>
      <c r="G1253" s="1">
        <v>45961</v>
      </c>
      <c r="H1253" t="s">
        <v>28</v>
      </c>
      <c r="I1253">
        <v>2</v>
      </c>
      <c r="J1253">
        <v>10</v>
      </c>
      <c r="K1253">
        <v>540000</v>
      </c>
      <c r="L1253">
        <v>100</v>
      </c>
      <c r="M1253" t="s">
        <v>29</v>
      </c>
      <c r="N1253" t="str">
        <f>_xlfn.XLOOKUP(B1253,tblCustomers[customer_id],tblCustomers[region],"Missing")</f>
        <v>South</v>
      </c>
      <c r="O1253" t="str">
        <f>_xlfn.XLOOKUP(C1253,tblProducts[product_id],tblProducts[product_name],"Missing")</f>
        <v>Analytics Cloud</v>
      </c>
      <c r="P1253" t="str">
        <f>_xlfn.XLOOKUP(C1253,tblProducts[product_id],tblProducts[category],"Missing")</f>
        <v>Analytics</v>
      </c>
      <c r="Q1253" t="str">
        <f>_xlfn.XLOOKUP(D1253,tblSalesReps[rep_id],tblSalesReps[rep_name],"Missing")</f>
        <v>Sales Rep 04</v>
      </c>
      <c r="R1253" t="str">
        <f>_xlfn.XLOOKUP(D1253,tblSalesReps[rep_id],tblSalesReps[region],"Missing")</f>
        <v>South</v>
      </c>
    </row>
    <row r="1254" spans="1:18">
      <c r="A1254" t="s">
        <v>1763</v>
      </c>
      <c r="B1254" t="s">
        <v>396</v>
      </c>
      <c r="C1254" t="s">
        <v>26</v>
      </c>
      <c r="D1254" t="s">
        <v>63</v>
      </c>
      <c r="E1254" s="1">
        <v>45739</v>
      </c>
      <c r="F1254" s="1">
        <v>45810</v>
      </c>
      <c r="G1254" s="1">
        <v>45810</v>
      </c>
      <c r="H1254" t="s">
        <v>28</v>
      </c>
      <c r="I1254">
        <v>3</v>
      </c>
      <c r="J1254">
        <v>5</v>
      </c>
      <c r="K1254">
        <v>1026000</v>
      </c>
      <c r="L1254">
        <v>100</v>
      </c>
      <c r="M1254" t="s">
        <v>29</v>
      </c>
      <c r="N1254" t="str">
        <f>_xlfn.XLOOKUP(B1254,tblCustomers[customer_id],tblCustomers[region],"Missing")</f>
        <v>South</v>
      </c>
      <c r="O1254" t="str">
        <f>_xlfn.XLOOKUP(C1254,tblProducts[product_id],tblProducts[product_name],"Missing")</f>
        <v>Security Suite</v>
      </c>
      <c r="P1254" t="str">
        <f>_xlfn.XLOOKUP(C1254,tblProducts[product_id],tblProducts[category],"Missing")</f>
        <v>Security</v>
      </c>
      <c r="Q1254" t="str">
        <f>_xlfn.XLOOKUP(D1254,tblSalesReps[rep_id],tblSalesReps[rep_name],"Missing")</f>
        <v>Sales Rep 05</v>
      </c>
      <c r="R1254" t="str">
        <f>_xlfn.XLOOKUP(D1254,tblSalesReps[rep_id],tblSalesReps[region],"Missing")</f>
        <v>South</v>
      </c>
    </row>
    <row r="1255" spans="1:18">
      <c r="A1255" t="s">
        <v>1764</v>
      </c>
      <c r="B1255" t="s">
        <v>247</v>
      </c>
      <c r="C1255" t="s">
        <v>21</v>
      </c>
      <c r="D1255" t="s">
        <v>75</v>
      </c>
      <c r="E1255" s="1">
        <v>45893</v>
      </c>
      <c r="F1255" s="1">
        <v>45961</v>
      </c>
      <c r="G1255" s="1">
        <v>45961</v>
      </c>
      <c r="H1255" t="s">
        <v>17</v>
      </c>
      <c r="I1255">
        <v>1</v>
      </c>
      <c r="J1255">
        <v>20</v>
      </c>
      <c r="K1255">
        <v>192000</v>
      </c>
      <c r="L1255">
        <v>0</v>
      </c>
      <c r="M1255" t="s">
        <v>23</v>
      </c>
      <c r="N1255" t="str">
        <f>_xlfn.XLOOKUP(B1255,tblCustomers[customer_id],tblCustomers[region],"Missing")</f>
        <v>North</v>
      </c>
      <c r="O1255" t="str">
        <f>_xlfn.XLOOKUP(C1255,tblProducts[product_id],tblProducts[product_name],"Missing")</f>
        <v>Workflow Automate</v>
      </c>
      <c r="P1255" t="str">
        <f>_xlfn.XLOOKUP(C1255,tblProducts[product_id],tblProducts[category],"Missing")</f>
        <v>Automation</v>
      </c>
      <c r="Q1255" t="str">
        <f>_xlfn.XLOOKUP(D1255,tblSalesReps[rep_id],tblSalesReps[rep_name],"Missing")</f>
        <v>Sales Rep 07</v>
      </c>
      <c r="R1255" t="str">
        <f>_xlfn.XLOOKUP(D1255,tblSalesReps[rep_id],tblSalesReps[region],"Missing")</f>
        <v>North</v>
      </c>
    </row>
    <row r="1256" spans="1:18">
      <c r="A1256" t="s">
        <v>1765</v>
      </c>
      <c r="B1256" t="s">
        <v>97</v>
      </c>
      <c r="C1256" t="s">
        <v>21</v>
      </c>
      <c r="D1256" t="s">
        <v>78</v>
      </c>
      <c r="E1256" s="1">
        <v>45853</v>
      </c>
      <c r="F1256" s="1">
        <v>45903</v>
      </c>
      <c r="G1256" s="1"/>
      <c r="H1256" t="s">
        <v>43</v>
      </c>
      <c r="I1256">
        <v>3</v>
      </c>
      <c r="J1256">
        <v>10</v>
      </c>
      <c r="K1256">
        <v>648000</v>
      </c>
      <c r="L1256">
        <v>80</v>
      </c>
      <c r="M1256" t="s">
        <v>29</v>
      </c>
      <c r="N1256" t="str">
        <f>_xlfn.XLOOKUP(B1256,tblCustomers[customer_id],tblCustomers[region],"Missing")</f>
        <v>West</v>
      </c>
      <c r="O1256" t="str">
        <f>_xlfn.XLOOKUP(C1256,tblProducts[product_id],tblProducts[product_name],"Missing")</f>
        <v>Workflow Automate</v>
      </c>
      <c r="P1256" t="str">
        <f>_xlfn.XLOOKUP(C1256,tblProducts[product_id],tblProducts[category],"Missing")</f>
        <v>Automation</v>
      </c>
      <c r="Q1256" t="str">
        <f>_xlfn.XLOOKUP(D1256,tblSalesReps[rep_id],tblSalesReps[rep_name],"Missing")</f>
        <v>Sales Rep 12</v>
      </c>
      <c r="R1256" t="str">
        <f>_xlfn.XLOOKUP(D1256,tblSalesReps[rep_id],tblSalesReps[region],"Missing")</f>
        <v>West</v>
      </c>
    </row>
    <row r="1257" spans="1:18">
      <c r="A1257" t="s">
        <v>1766</v>
      </c>
      <c r="B1257" t="s">
        <v>80</v>
      </c>
      <c r="C1257" t="s">
        <v>15</v>
      </c>
      <c r="D1257" t="s">
        <v>32</v>
      </c>
      <c r="E1257" s="1">
        <v>45718</v>
      </c>
      <c r="F1257" s="1">
        <v>45789</v>
      </c>
      <c r="G1257" s="1">
        <v>45789</v>
      </c>
      <c r="H1257" t="s">
        <v>17</v>
      </c>
      <c r="I1257">
        <v>3</v>
      </c>
      <c r="J1257">
        <v>0</v>
      </c>
      <c r="K1257">
        <v>1260000</v>
      </c>
      <c r="L1257">
        <v>0</v>
      </c>
      <c r="M1257" t="s">
        <v>47</v>
      </c>
      <c r="N1257" t="str">
        <f>_xlfn.XLOOKUP(B1257,tblCustomers[customer_id],tblCustomers[region],"Missing")</f>
        <v>South</v>
      </c>
      <c r="O1257" t="str">
        <f>_xlfn.XLOOKUP(C1257,tblProducts[product_id],tblProducts[product_name],"Missing")</f>
        <v>CRM Enterprise</v>
      </c>
      <c r="P1257" t="str">
        <f>_xlfn.XLOOKUP(C1257,tblProducts[product_id],tblProducts[category],"Missing")</f>
        <v>CRM</v>
      </c>
      <c r="Q1257" t="str">
        <f>_xlfn.XLOOKUP(D1257,tblSalesReps[rep_id],tblSalesReps[rep_name],"Missing")</f>
        <v>Sales Rep 04</v>
      </c>
      <c r="R1257" t="str">
        <f>_xlfn.XLOOKUP(D1257,tblSalesReps[rep_id],tblSalesReps[region],"Missing")</f>
        <v>South</v>
      </c>
    </row>
    <row r="1258" spans="1:18">
      <c r="A1258" t="s">
        <v>1767</v>
      </c>
      <c r="B1258" t="s">
        <v>348</v>
      </c>
      <c r="C1258" t="s">
        <v>81</v>
      </c>
      <c r="D1258" t="s">
        <v>53</v>
      </c>
      <c r="E1258" s="1">
        <v>46001</v>
      </c>
      <c r="F1258" s="1">
        <v>46043</v>
      </c>
      <c r="G1258" s="1"/>
      <c r="H1258" t="s">
        <v>43</v>
      </c>
      <c r="I1258">
        <v>2</v>
      </c>
      <c r="J1258">
        <v>15</v>
      </c>
      <c r="K1258">
        <v>510000</v>
      </c>
      <c r="L1258">
        <v>60</v>
      </c>
      <c r="M1258" t="s">
        <v>29</v>
      </c>
      <c r="N1258" t="str">
        <f>_xlfn.XLOOKUP(B1258,tblCustomers[customer_id],tblCustomers[region],"Missing")</f>
        <v>East</v>
      </c>
      <c r="O1258" t="str">
        <f>_xlfn.XLOOKUP(C1258,tblProducts[product_id],tblProducts[product_name],"Missing")</f>
        <v>Analytics Cloud</v>
      </c>
      <c r="P1258" t="str">
        <f>_xlfn.XLOOKUP(C1258,tblProducts[product_id],tblProducts[category],"Missing")</f>
        <v>Analytics</v>
      </c>
      <c r="Q1258" t="str">
        <f>_xlfn.XLOOKUP(D1258,tblSalesReps[rep_id],tblSalesReps[rep_name],"Missing")</f>
        <v>Sales Rep 16</v>
      </c>
      <c r="R1258" t="str">
        <f>_xlfn.XLOOKUP(D1258,tblSalesReps[rep_id],tblSalesReps[region],"Missing")</f>
        <v>East</v>
      </c>
    </row>
    <row r="1259" spans="1:18">
      <c r="A1259" t="s">
        <v>1768</v>
      </c>
      <c r="B1259" t="s">
        <v>1169</v>
      </c>
      <c r="C1259" t="s">
        <v>26</v>
      </c>
      <c r="D1259" t="s">
        <v>53</v>
      </c>
      <c r="E1259" s="1">
        <v>45889</v>
      </c>
      <c r="F1259" s="1">
        <v>45955</v>
      </c>
      <c r="G1259" s="1">
        <v>45955</v>
      </c>
      <c r="H1259" t="s">
        <v>17</v>
      </c>
      <c r="I1259">
        <v>3</v>
      </c>
      <c r="J1259">
        <v>0</v>
      </c>
      <c r="K1259">
        <v>1080000</v>
      </c>
      <c r="L1259">
        <v>0</v>
      </c>
      <c r="M1259" t="s">
        <v>33</v>
      </c>
      <c r="N1259" t="str">
        <f>_xlfn.XLOOKUP(B1259,tblCustomers[customer_id],tblCustomers[region],"Missing")</f>
        <v>East</v>
      </c>
      <c r="O1259" t="str">
        <f>_xlfn.XLOOKUP(C1259,tblProducts[product_id],tblProducts[product_name],"Missing")</f>
        <v>Security Suite</v>
      </c>
      <c r="P1259" t="str">
        <f>_xlfn.XLOOKUP(C1259,tblProducts[product_id],tblProducts[category],"Missing")</f>
        <v>Security</v>
      </c>
      <c r="Q1259" t="str">
        <f>_xlfn.XLOOKUP(D1259,tblSalesReps[rep_id],tblSalesReps[rep_name],"Missing")</f>
        <v>Sales Rep 16</v>
      </c>
      <c r="R1259" t="str">
        <f>_xlfn.XLOOKUP(D1259,tblSalesReps[rep_id],tblSalesReps[region],"Missing")</f>
        <v>East</v>
      </c>
    </row>
    <row r="1260" spans="1:18">
      <c r="A1260" t="s">
        <v>1769</v>
      </c>
      <c r="B1260" t="s">
        <v>55</v>
      </c>
      <c r="C1260" t="s">
        <v>21</v>
      </c>
      <c r="D1260" t="s">
        <v>56</v>
      </c>
      <c r="E1260" s="1">
        <v>45969</v>
      </c>
      <c r="F1260" s="1">
        <v>46025</v>
      </c>
      <c r="G1260" s="1"/>
      <c r="H1260" t="s">
        <v>43</v>
      </c>
      <c r="I1260">
        <v>1</v>
      </c>
      <c r="J1260">
        <v>15</v>
      </c>
      <c r="K1260">
        <v>204000</v>
      </c>
      <c r="L1260">
        <v>40</v>
      </c>
      <c r="M1260" t="s">
        <v>29</v>
      </c>
      <c r="N1260" t="str">
        <f>_xlfn.XLOOKUP(B1260,tblCustomers[customer_id],tblCustomers[region],"Missing")</f>
        <v>East</v>
      </c>
      <c r="O1260" t="str">
        <f>_xlfn.XLOOKUP(C1260,tblProducts[product_id],tblProducts[product_name],"Missing")</f>
        <v>Workflow Automate</v>
      </c>
      <c r="P1260" t="str">
        <f>_xlfn.XLOOKUP(C1260,tblProducts[product_id],tblProducts[category],"Missing")</f>
        <v>Automation</v>
      </c>
      <c r="Q1260" t="str">
        <f>_xlfn.XLOOKUP(D1260,tblSalesReps[rep_id],tblSalesReps[rep_name],"Missing")</f>
        <v>Sales Rep 20</v>
      </c>
      <c r="R1260" t="str">
        <f>_xlfn.XLOOKUP(D1260,tblSalesReps[rep_id],tblSalesReps[region],"Missing")</f>
        <v>East</v>
      </c>
    </row>
    <row r="1261" spans="1:18">
      <c r="A1261" t="s">
        <v>1770</v>
      </c>
      <c r="B1261" t="s">
        <v>680</v>
      </c>
      <c r="C1261" t="s">
        <v>15</v>
      </c>
      <c r="D1261" t="s">
        <v>126</v>
      </c>
      <c r="E1261" s="1">
        <v>45961</v>
      </c>
      <c r="F1261" s="1">
        <v>45981</v>
      </c>
      <c r="G1261" s="1">
        <v>45981</v>
      </c>
      <c r="H1261" t="s">
        <v>17</v>
      </c>
      <c r="I1261">
        <v>1</v>
      </c>
      <c r="J1261">
        <v>0</v>
      </c>
      <c r="K1261">
        <v>420000</v>
      </c>
      <c r="L1261">
        <v>0</v>
      </c>
      <c r="M1261" t="s">
        <v>18</v>
      </c>
      <c r="N1261" t="str">
        <f>_xlfn.XLOOKUP(B1261,tblCustomers[customer_id],tblCustomers[region],"Missing")</f>
        <v>South</v>
      </c>
      <c r="O1261" t="str">
        <f>_xlfn.XLOOKUP(C1261,tblProducts[product_id],tblProducts[product_name],"Missing")</f>
        <v>CRM Enterprise</v>
      </c>
      <c r="P1261" t="str">
        <f>_xlfn.XLOOKUP(C1261,tblProducts[product_id],tblProducts[category],"Missing")</f>
        <v>CRM</v>
      </c>
      <c r="Q1261" t="str">
        <f>_xlfn.XLOOKUP(D1261,tblSalesReps[rep_id],tblSalesReps[rep_name],"Missing")</f>
        <v>Sales Rep 02</v>
      </c>
      <c r="R1261" t="str">
        <f>_xlfn.XLOOKUP(D1261,tblSalesReps[rep_id],tblSalesReps[region],"Missing")</f>
        <v>South</v>
      </c>
    </row>
    <row r="1262" spans="1:18">
      <c r="A1262" t="s">
        <v>1771</v>
      </c>
      <c r="B1262" t="s">
        <v>1164</v>
      </c>
      <c r="C1262" t="s">
        <v>39</v>
      </c>
      <c r="D1262" t="s">
        <v>63</v>
      </c>
      <c r="E1262" s="1">
        <v>45987</v>
      </c>
      <c r="F1262" s="1">
        <v>46006</v>
      </c>
      <c r="G1262" s="1">
        <v>46006</v>
      </c>
      <c r="H1262" t="s">
        <v>17</v>
      </c>
      <c r="I1262">
        <v>3</v>
      </c>
      <c r="J1262">
        <v>5</v>
      </c>
      <c r="K1262">
        <v>513000</v>
      </c>
      <c r="L1262">
        <v>0</v>
      </c>
      <c r="M1262" t="s">
        <v>82</v>
      </c>
      <c r="N1262" t="str">
        <f>_xlfn.XLOOKUP(B1262,tblCustomers[customer_id],tblCustomers[region],"Missing")</f>
        <v>South</v>
      </c>
      <c r="O1262" t="str">
        <f>_xlfn.XLOOKUP(C1262,tblProducts[product_id],tblProducts[product_name],"Missing")</f>
        <v>Support Desk</v>
      </c>
      <c r="P1262" t="str">
        <f>_xlfn.XLOOKUP(C1262,tblProducts[product_id],tblProducts[category],"Missing")</f>
        <v>Service</v>
      </c>
      <c r="Q1262" t="str">
        <f>_xlfn.XLOOKUP(D1262,tblSalesReps[rep_id],tblSalesReps[rep_name],"Missing")</f>
        <v>Sales Rep 05</v>
      </c>
      <c r="R1262" t="str">
        <f>_xlfn.XLOOKUP(D1262,tblSalesReps[rep_id],tblSalesReps[region],"Missing")</f>
        <v>South</v>
      </c>
    </row>
    <row r="1263" spans="1:18">
      <c r="A1263" t="s">
        <v>1772</v>
      </c>
      <c r="B1263" t="s">
        <v>93</v>
      </c>
      <c r="C1263" t="s">
        <v>81</v>
      </c>
      <c r="D1263" t="s">
        <v>56</v>
      </c>
      <c r="E1263" s="1">
        <v>45725</v>
      </c>
      <c r="F1263" s="1">
        <v>45750</v>
      </c>
      <c r="G1263" s="1">
        <v>45750</v>
      </c>
      <c r="H1263" t="s">
        <v>28</v>
      </c>
      <c r="I1263">
        <v>3</v>
      </c>
      <c r="J1263">
        <v>20</v>
      </c>
      <c r="K1263">
        <v>720000</v>
      </c>
      <c r="L1263">
        <v>100</v>
      </c>
      <c r="M1263" t="s">
        <v>29</v>
      </c>
      <c r="N1263" t="str">
        <f>_xlfn.XLOOKUP(B1263,tblCustomers[customer_id],tblCustomers[region],"Missing")</f>
        <v>East</v>
      </c>
      <c r="O1263" t="str">
        <f>_xlfn.XLOOKUP(C1263,tblProducts[product_id],tblProducts[product_name],"Missing")</f>
        <v>Analytics Cloud</v>
      </c>
      <c r="P1263" t="str">
        <f>_xlfn.XLOOKUP(C1263,tblProducts[product_id],tblProducts[category],"Missing")</f>
        <v>Analytics</v>
      </c>
      <c r="Q1263" t="str">
        <f>_xlfn.XLOOKUP(D1263,tblSalesReps[rep_id],tblSalesReps[rep_name],"Missing")</f>
        <v>Sales Rep 20</v>
      </c>
      <c r="R1263" t="str">
        <f>_xlfn.XLOOKUP(D1263,tblSalesReps[rep_id],tblSalesReps[region],"Missing")</f>
        <v>East</v>
      </c>
    </row>
    <row r="1264" spans="1:18">
      <c r="A1264" t="s">
        <v>1773</v>
      </c>
      <c r="B1264" t="s">
        <v>905</v>
      </c>
      <c r="C1264" t="s">
        <v>62</v>
      </c>
      <c r="D1264" t="s">
        <v>32</v>
      </c>
      <c r="E1264" s="1">
        <v>45909</v>
      </c>
      <c r="F1264" s="1">
        <v>45981</v>
      </c>
      <c r="G1264" s="1">
        <v>45981</v>
      </c>
      <c r="H1264" t="s">
        <v>28</v>
      </c>
      <c r="I1264">
        <v>3</v>
      </c>
      <c r="J1264">
        <v>15</v>
      </c>
      <c r="K1264">
        <v>306000</v>
      </c>
      <c r="L1264">
        <v>100</v>
      </c>
      <c r="M1264" t="s">
        <v>29</v>
      </c>
      <c r="N1264" t="str">
        <f>_xlfn.XLOOKUP(B1264,tblCustomers[customer_id],tblCustomers[region],"Missing")</f>
        <v>South</v>
      </c>
      <c r="O1264" t="str">
        <f>_xlfn.XLOOKUP(C1264,tblProducts[product_id],tblProducts[product_name],"Missing")</f>
        <v>CRM Essentials</v>
      </c>
      <c r="P1264" t="str">
        <f>_xlfn.XLOOKUP(C1264,tblProducts[product_id],tblProducts[category],"Missing")</f>
        <v>CRM</v>
      </c>
      <c r="Q1264" t="str">
        <f>_xlfn.XLOOKUP(D1264,tblSalesReps[rep_id],tblSalesReps[rep_name],"Missing")</f>
        <v>Sales Rep 04</v>
      </c>
      <c r="R1264" t="str">
        <f>_xlfn.XLOOKUP(D1264,tblSalesReps[rep_id],tblSalesReps[region],"Missing")</f>
        <v>South</v>
      </c>
    </row>
    <row r="1265" spans="1:18">
      <c r="A1265" t="s">
        <v>1774</v>
      </c>
      <c r="B1265" t="s">
        <v>367</v>
      </c>
      <c r="C1265" t="s">
        <v>15</v>
      </c>
      <c r="D1265" t="s">
        <v>168</v>
      </c>
      <c r="E1265" s="1">
        <v>45709</v>
      </c>
      <c r="F1265" s="1">
        <v>45759</v>
      </c>
      <c r="G1265" s="1">
        <v>45759</v>
      </c>
      <c r="H1265" t="s">
        <v>28</v>
      </c>
      <c r="I1265">
        <v>1</v>
      </c>
      <c r="J1265">
        <v>10</v>
      </c>
      <c r="K1265">
        <v>378000</v>
      </c>
      <c r="L1265">
        <v>100</v>
      </c>
      <c r="M1265" t="s">
        <v>29</v>
      </c>
      <c r="N1265" t="str">
        <f>_xlfn.XLOOKUP(B1265,tblCustomers[customer_id],tblCustomers[region],"Missing")</f>
        <v>East</v>
      </c>
      <c r="O1265" t="str">
        <f>_xlfn.XLOOKUP(C1265,tblProducts[product_id],tblProducts[product_name],"Missing")</f>
        <v>CRM Enterprise</v>
      </c>
      <c r="P1265" t="str">
        <f>_xlfn.XLOOKUP(C1265,tblProducts[product_id],tblProducts[category],"Missing")</f>
        <v>CRM</v>
      </c>
      <c r="Q1265" t="str">
        <f>_xlfn.XLOOKUP(D1265,tblSalesReps[rep_id],tblSalesReps[rep_name],"Missing")</f>
        <v>Sales Rep 17</v>
      </c>
      <c r="R1265" t="str">
        <f>_xlfn.XLOOKUP(D1265,tblSalesReps[rep_id],tblSalesReps[region],"Missing")</f>
        <v>East</v>
      </c>
    </row>
    <row r="1266" spans="1:18">
      <c r="A1266" t="s">
        <v>1775</v>
      </c>
      <c r="B1266" t="s">
        <v>559</v>
      </c>
      <c r="C1266" t="s">
        <v>39</v>
      </c>
      <c r="D1266" t="s">
        <v>78</v>
      </c>
      <c r="E1266" s="1">
        <v>45922</v>
      </c>
      <c r="F1266" s="1">
        <v>45964</v>
      </c>
      <c r="G1266" s="1">
        <v>45964</v>
      </c>
      <c r="H1266" t="s">
        <v>28</v>
      </c>
      <c r="I1266">
        <v>1</v>
      </c>
      <c r="J1266">
        <v>0</v>
      </c>
      <c r="K1266">
        <v>180000</v>
      </c>
      <c r="L1266">
        <v>100</v>
      </c>
      <c r="M1266" t="s">
        <v>29</v>
      </c>
      <c r="N1266" t="str">
        <f>_xlfn.XLOOKUP(B1266,tblCustomers[customer_id],tblCustomers[region],"Missing")</f>
        <v>West</v>
      </c>
      <c r="O1266" t="str">
        <f>_xlfn.XLOOKUP(C1266,tblProducts[product_id],tblProducts[product_name],"Missing")</f>
        <v>Support Desk</v>
      </c>
      <c r="P1266" t="str">
        <f>_xlfn.XLOOKUP(C1266,tblProducts[product_id],tblProducts[category],"Missing")</f>
        <v>Service</v>
      </c>
      <c r="Q1266" t="str">
        <f>_xlfn.XLOOKUP(D1266,tblSalesReps[rep_id],tblSalesReps[rep_name],"Missing")</f>
        <v>Sales Rep 12</v>
      </c>
      <c r="R1266" t="str">
        <f>_xlfn.XLOOKUP(D1266,tblSalesReps[rep_id],tblSalesReps[region],"Missing")</f>
        <v>West</v>
      </c>
    </row>
    <row r="1267" spans="1:18">
      <c r="A1267" t="s">
        <v>1776</v>
      </c>
      <c r="B1267" t="s">
        <v>86</v>
      </c>
      <c r="C1267" t="s">
        <v>15</v>
      </c>
      <c r="D1267" t="s">
        <v>40</v>
      </c>
      <c r="E1267" s="1">
        <v>45683</v>
      </c>
      <c r="F1267" s="1">
        <v>45758</v>
      </c>
      <c r="G1267" s="1">
        <v>45758</v>
      </c>
      <c r="H1267" t="s">
        <v>28</v>
      </c>
      <c r="I1267">
        <v>2</v>
      </c>
      <c r="J1267">
        <v>0</v>
      </c>
      <c r="K1267">
        <v>840000</v>
      </c>
      <c r="L1267">
        <v>100</v>
      </c>
      <c r="M1267" t="s">
        <v>29</v>
      </c>
      <c r="N1267" t="str">
        <f>_xlfn.XLOOKUP(B1267,tblCustomers[customer_id],tblCustomers[region],"Missing")</f>
        <v>West</v>
      </c>
      <c r="O1267" t="str">
        <f>_xlfn.XLOOKUP(C1267,tblProducts[product_id],tblProducts[product_name],"Missing")</f>
        <v>CRM Enterprise</v>
      </c>
      <c r="P1267" t="str">
        <f>_xlfn.XLOOKUP(C1267,tblProducts[product_id],tblProducts[category],"Missing")</f>
        <v>CRM</v>
      </c>
      <c r="Q1267" t="str">
        <f>_xlfn.XLOOKUP(D1267,tblSalesReps[rep_id],tblSalesReps[rep_name],"Missing")</f>
        <v>Sales Rep 13</v>
      </c>
      <c r="R1267" t="str">
        <f>_xlfn.XLOOKUP(D1267,tblSalesReps[rep_id],tblSalesReps[region],"Missing")</f>
        <v>West</v>
      </c>
    </row>
    <row r="1268" spans="1:18">
      <c r="A1268" t="s">
        <v>1777</v>
      </c>
      <c r="B1268" t="s">
        <v>1760</v>
      </c>
      <c r="C1268" t="s">
        <v>21</v>
      </c>
      <c r="D1268" t="s">
        <v>152</v>
      </c>
      <c r="E1268" s="1">
        <v>45840</v>
      </c>
      <c r="F1268" s="1">
        <v>45884</v>
      </c>
      <c r="G1268" s="1">
        <v>45884</v>
      </c>
      <c r="H1268" t="s">
        <v>17</v>
      </c>
      <c r="I1268">
        <v>1</v>
      </c>
      <c r="J1268">
        <v>15</v>
      </c>
      <c r="K1268">
        <v>204000</v>
      </c>
      <c r="L1268">
        <v>0</v>
      </c>
      <c r="M1268" t="s">
        <v>33</v>
      </c>
      <c r="N1268" t="str">
        <f>_xlfn.XLOOKUP(B1268,tblCustomers[customer_id],tblCustomers[region],"Missing")</f>
        <v>East</v>
      </c>
      <c r="O1268" t="str">
        <f>_xlfn.XLOOKUP(C1268,tblProducts[product_id],tblProducts[product_name],"Missing")</f>
        <v>Workflow Automate</v>
      </c>
      <c r="P1268" t="str">
        <f>_xlfn.XLOOKUP(C1268,tblProducts[product_id],tblProducts[category],"Missing")</f>
        <v>Automation</v>
      </c>
      <c r="Q1268" t="str">
        <f>_xlfn.XLOOKUP(D1268,tblSalesReps[rep_id],tblSalesReps[rep_name],"Missing")</f>
        <v>Sales Rep 18</v>
      </c>
      <c r="R1268" t="str">
        <f>_xlfn.XLOOKUP(D1268,tblSalesReps[rep_id],tblSalesReps[region],"Missing")</f>
        <v>East</v>
      </c>
    </row>
    <row r="1269" spans="1:18">
      <c r="A1269" t="s">
        <v>1778</v>
      </c>
      <c r="B1269" t="s">
        <v>435</v>
      </c>
      <c r="C1269" t="s">
        <v>15</v>
      </c>
      <c r="D1269" t="s">
        <v>32</v>
      </c>
      <c r="E1269" s="1">
        <v>45917</v>
      </c>
      <c r="F1269" s="1">
        <v>45939</v>
      </c>
      <c r="G1269" s="1">
        <v>45939</v>
      </c>
      <c r="H1269" t="s">
        <v>17</v>
      </c>
      <c r="I1269">
        <v>1</v>
      </c>
      <c r="J1269">
        <v>20</v>
      </c>
      <c r="K1269">
        <v>336000</v>
      </c>
      <c r="L1269">
        <v>0</v>
      </c>
      <c r="M1269" t="s">
        <v>18</v>
      </c>
      <c r="N1269" t="str">
        <f>_xlfn.XLOOKUP(B1269,tblCustomers[customer_id],tblCustomers[region],"Missing")</f>
        <v>South</v>
      </c>
      <c r="O1269" t="str">
        <f>_xlfn.XLOOKUP(C1269,tblProducts[product_id],tblProducts[product_name],"Missing")</f>
        <v>CRM Enterprise</v>
      </c>
      <c r="P1269" t="str">
        <f>_xlfn.XLOOKUP(C1269,tblProducts[product_id],tblProducts[category],"Missing")</f>
        <v>CRM</v>
      </c>
      <c r="Q1269" t="str">
        <f>_xlfn.XLOOKUP(D1269,tblSalesReps[rep_id],tblSalesReps[rep_name],"Missing")</f>
        <v>Sales Rep 04</v>
      </c>
      <c r="R1269" t="str">
        <f>_xlfn.XLOOKUP(D1269,tblSalesReps[rep_id],tblSalesReps[region],"Missing")</f>
        <v>South</v>
      </c>
    </row>
    <row r="1270" spans="1:18">
      <c r="A1270" t="s">
        <v>1779</v>
      </c>
      <c r="B1270" t="s">
        <v>292</v>
      </c>
      <c r="C1270" t="s">
        <v>62</v>
      </c>
      <c r="D1270" t="s">
        <v>16</v>
      </c>
      <c r="E1270" s="1">
        <v>45944</v>
      </c>
      <c r="F1270" s="1">
        <v>45989</v>
      </c>
      <c r="G1270" s="1">
        <v>45989</v>
      </c>
      <c r="H1270" t="s">
        <v>17</v>
      </c>
      <c r="I1270">
        <v>1</v>
      </c>
      <c r="J1270">
        <v>5</v>
      </c>
      <c r="K1270">
        <v>114000</v>
      </c>
      <c r="L1270">
        <v>0</v>
      </c>
      <c r="M1270" t="s">
        <v>47</v>
      </c>
      <c r="N1270" t="str">
        <f>_xlfn.XLOOKUP(B1270,tblCustomers[customer_id],tblCustomers[region],"Missing")</f>
        <v>North</v>
      </c>
      <c r="O1270" t="str">
        <f>_xlfn.XLOOKUP(C1270,tblProducts[product_id],tblProducts[product_name],"Missing")</f>
        <v>CRM Essentials</v>
      </c>
      <c r="P1270" t="str">
        <f>_xlfn.XLOOKUP(C1270,tblProducts[product_id],tblProducts[category],"Missing")</f>
        <v>CRM</v>
      </c>
      <c r="Q1270" t="str">
        <f>_xlfn.XLOOKUP(D1270,tblSalesReps[rep_id],tblSalesReps[rep_name],"Missing")</f>
        <v>Sales Rep 08</v>
      </c>
      <c r="R1270" t="str">
        <f>_xlfn.XLOOKUP(D1270,tblSalesReps[rep_id],tblSalesReps[region],"Missing")</f>
        <v>North</v>
      </c>
    </row>
    <row r="1271" spans="1:18">
      <c r="A1271" t="s">
        <v>1780</v>
      </c>
      <c r="B1271" t="s">
        <v>1620</v>
      </c>
      <c r="C1271" t="s">
        <v>81</v>
      </c>
      <c r="D1271" t="s">
        <v>46</v>
      </c>
      <c r="E1271" s="1">
        <v>45896</v>
      </c>
      <c r="F1271" s="1">
        <v>45941</v>
      </c>
      <c r="G1271" s="1"/>
      <c r="H1271" t="s">
        <v>43</v>
      </c>
      <c r="I1271">
        <v>1</v>
      </c>
      <c r="J1271">
        <v>15</v>
      </c>
      <c r="K1271">
        <v>255000</v>
      </c>
      <c r="L1271">
        <v>80</v>
      </c>
      <c r="M1271" t="s">
        <v>29</v>
      </c>
      <c r="N1271" t="str">
        <f>_xlfn.XLOOKUP(B1271,tblCustomers[customer_id],tblCustomers[region],"Missing")</f>
        <v>South</v>
      </c>
      <c r="O1271" t="str">
        <f>_xlfn.XLOOKUP(C1271,tblProducts[product_id],tblProducts[product_name],"Missing")</f>
        <v>Analytics Cloud</v>
      </c>
      <c r="P1271" t="str">
        <f>_xlfn.XLOOKUP(C1271,tblProducts[product_id],tblProducts[category],"Missing")</f>
        <v>Analytics</v>
      </c>
      <c r="Q1271" t="str">
        <f>_xlfn.XLOOKUP(D1271,tblSalesReps[rep_id],tblSalesReps[rep_name],"Missing")</f>
        <v>Sales Rep 01</v>
      </c>
      <c r="R1271" t="str">
        <f>_xlfn.XLOOKUP(D1271,tblSalesReps[rep_id],tblSalesReps[region],"Missing")</f>
        <v>South</v>
      </c>
    </row>
    <row r="1272" spans="1:18">
      <c r="A1272" t="s">
        <v>1781</v>
      </c>
      <c r="B1272" t="s">
        <v>757</v>
      </c>
      <c r="C1272" t="s">
        <v>26</v>
      </c>
      <c r="D1272" t="s">
        <v>36</v>
      </c>
      <c r="E1272" s="1">
        <v>45795</v>
      </c>
      <c r="F1272" s="1">
        <v>45880</v>
      </c>
      <c r="G1272" s="1">
        <v>45880</v>
      </c>
      <c r="H1272" t="s">
        <v>17</v>
      </c>
      <c r="I1272">
        <v>1</v>
      </c>
      <c r="J1272">
        <v>15</v>
      </c>
      <c r="K1272">
        <v>306000</v>
      </c>
      <c r="L1272">
        <v>0</v>
      </c>
      <c r="M1272" t="s">
        <v>82</v>
      </c>
      <c r="N1272" t="str">
        <f>_xlfn.XLOOKUP(B1272,tblCustomers[customer_id],tblCustomers[region],"Missing")</f>
        <v>North</v>
      </c>
      <c r="O1272" t="str">
        <f>_xlfn.XLOOKUP(C1272,tblProducts[product_id],tblProducts[product_name],"Missing")</f>
        <v>Security Suite</v>
      </c>
      <c r="P1272" t="str">
        <f>_xlfn.XLOOKUP(C1272,tblProducts[product_id],tblProducts[category],"Missing")</f>
        <v>Security</v>
      </c>
      <c r="Q1272" t="str">
        <f>_xlfn.XLOOKUP(D1272,tblSalesReps[rep_id],tblSalesReps[rep_name],"Missing")</f>
        <v>Sales Rep 09</v>
      </c>
      <c r="R1272" t="str">
        <f>_xlfn.XLOOKUP(D1272,tblSalesReps[rep_id],tblSalesReps[region],"Missing")</f>
        <v>North</v>
      </c>
    </row>
    <row r="1273" spans="1:18">
      <c r="A1273" t="s">
        <v>1782</v>
      </c>
      <c r="B1273" t="s">
        <v>851</v>
      </c>
      <c r="C1273" t="s">
        <v>62</v>
      </c>
      <c r="D1273" t="s">
        <v>32</v>
      </c>
      <c r="E1273" s="1">
        <v>45947</v>
      </c>
      <c r="F1273" s="1">
        <v>45990</v>
      </c>
      <c r="G1273" s="1">
        <v>45990</v>
      </c>
      <c r="H1273" t="s">
        <v>17</v>
      </c>
      <c r="I1273">
        <v>1</v>
      </c>
      <c r="J1273">
        <v>5</v>
      </c>
      <c r="K1273">
        <v>114000</v>
      </c>
      <c r="L1273">
        <v>0</v>
      </c>
      <c r="M1273" t="s">
        <v>18</v>
      </c>
      <c r="N1273" t="str">
        <f>_xlfn.XLOOKUP(B1273,tblCustomers[customer_id],tblCustomers[region],"Missing")</f>
        <v>South</v>
      </c>
      <c r="O1273" t="str">
        <f>_xlfn.XLOOKUP(C1273,tblProducts[product_id],tblProducts[product_name],"Missing")</f>
        <v>CRM Essentials</v>
      </c>
      <c r="P1273" t="str">
        <f>_xlfn.XLOOKUP(C1273,tblProducts[product_id],tblProducts[category],"Missing")</f>
        <v>CRM</v>
      </c>
      <c r="Q1273" t="str">
        <f>_xlfn.XLOOKUP(D1273,tblSalesReps[rep_id],tblSalesReps[rep_name],"Missing")</f>
        <v>Sales Rep 04</v>
      </c>
      <c r="R1273" t="str">
        <f>_xlfn.XLOOKUP(D1273,tblSalesReps[rep_id],tblSalesReps[region],"Missing")</f>
        <v>South</v>
      </c>
    </row>
    <row r="1274" spans="1:18">
      <c r="A1274" t="s">
        <v>1783</v>
      </c>
      <c r="B1274" t="s">
        <v>198</v>
      </c>
      <c r="C1274" t="s">
        <v>15</v>
      </c>
      <c r="D1274" t="s">
        <v>50</v>
      </c>
      <c r="E1274" s="1">
        <v>45865</v>
      </c>
      <c r="F1274" s="1">
        <v>45902</v>
      </c>
      <c r="G1274" s="1">
        <v>45902</v>
      </c>
      <c r="H1274" t="s">
        <v>28</v>
      </c>
      <c r="I1274">
        <v>1</v>
      </c>
      <c r="J1274">
        <v>0</v>
      </c>
      <c r="K1274">
        <v>420000</v>
      </c>
      <c r="L1274">
        <v>100</v>
      </c>
      <c r="M1274" t="s">
        <v>29</v>
      </c>
      <c r="N1274" t="str">
        <f>_xlfn.XLOOKUP(B1274,tblCustomers[customer_id],tblCustomers[region],"Missing")</f>
        <v>West</v>
      </c>
      <c r="O1274" t="str">
        <f>_xlfn.XLOOKUP(C1274,tblProducts[product_id],tblProducts[product_name],"Missing")</f>
        <v>CRM Enterprise</v>
      </c>
      <c r="P1274" t="str">
        <f>_xlfn.XLOOKUP(C1274,tblProducts[product_id],tblProducts[category],"Missing")</f>
        <v>CRM</v>
      </c>
      <c r="Q1274" t="str">
        <f>_xlfn.XLOOKUP(D1274,tblSalesReps[rep_id],tblSalesReps[rep_name],"Missing")</f>
        <v>Sales Rep 15</v>
      </c>
      <c r="R1274" t="str">
        <f>_xlfn.XLOOKUP(D1274,tblSalesReps[rep_id],tblSalesReps[region],"Missing")</f>
        <v>West</v>
      </c>
    </row>
    <row r="1275" spans="1:18">
      <c r="A1275" t="s">
        <v>1784</v>
      </c>
      <c r="B1275" t="s">
        <v>262</v>
      </c>
      <c r="C1275" t="s">
        <v>26</v>
      </c>
      <c r="D1275" t="s">
        <v>32</v>
      </c>
      <c r="E1275" s="1">
        <v>45870</v>
      </c>
      <c r="F1275" s="1">
        <v>45886</v>
      </c>
      <c r="G1275" s="1">
        <v>45886</v>
      </c>
      <c r="H1275" t="s">
        <v>17</v>
      </c>
      <c r="I1275">
        <v>1</v>
      </c>
      <c r="J1275">
        <v>5</v>
      </c>
      <c r="K1275">
        <v>342000</v>
      </c>
      <c r="L1275">
        <v>0</v>
      </c>
      <c r="M1275" t="s">
        <v>82</v>
      </c>
      <c r="N1275" t="str">
        <f>_xlfn.XLOOKUP(B1275,tblCustomers[customer_id],tblCustomers[region],"Missing")</f>
        <v>South</v>
      </c>
      <c r="O1275" t="str">
        <f>_xlfn.XLOOKUP(C1275,tblProducts[product_id],tblProducts[product_name],"Missing")</f>
        <v>Security Suite</v>
      </c>
      <c r="P1275" t="str">
        <f>_xlfn.XLOOKUP(C1275,tblProducts[product_id],tblProducts[category],"Missing")</f>
        <v>Security</v>
      </c>
      <c r="Q1275" t="str">
        <f>_xlfn.XLOOKUP(D1275,tblSalesReps[rep_id],tblSalesReps[rep_name],"Missing")</f>
        <v>Sales Rep 04</v>
      </c>
      <c r="R1275" t="str">
        <f>_xlfn.XLOOKUP(D1275,tblSalesReps[rep_id],tblSalesReps[region],"Missing")</f>
        <v>South</v>
      </c>
    </row>
    <row r="1276" spans="1:18">
      <c r="A1276" t="s">
        <v>1785</v>
      </c>
      <c r="B1276" t="s">
        <v>983</v>
      </c>
      <c r="C1276" t="s">
        <v>39</v>
      </c>
      <c r="D1276" t="s">
        <v>46</v>
      </c>
      <c r="E1276" s="1">
        <v>45695</v>
      </c>
      <c r="F1276" s="1">
        <v>45728</v>
      </c>
      <c r="G1276" s="1"/>
      <c r="H1276" t="s">
        <v>43</v>
      </c>
      <c r="I1276">
        <v>2</v>
      </c>
      <c r="J1276">
        <v>15</v>
      </c>
      <c r="K1276">
        <v>306000</v>
      </c>
      <c r="L1276">
        <v>40</v>
      </c>
      <c r="M1276" t="s">
        <v>29</v>
      </c>
      <c r="N1276" t="str">
        <f>_xlfn.XLOOKUP(B1276,tblCustomers[customer_id],tblCustomers[region],"Missing")</f>
        <v>South</v>
      </c>
      <c r="O1276" t="str">
        <f>_xlfn.XLOOKUP(C1276,tblProducts[product_id],tblProducts[product_name],"Missing")</f>
        <v>Support Desk</v>
      </c>
      <c r="P1276" t="str">
        <f>_xlfn.XLOOKUP(C1276,tblProducts[product_id],tblProducts[category],"Missing")</f>
        <v>Service</v>
      </c>
      <c r="Q1276" t="str">
        <f>_xlfn.XLOOKUP(D1276,tblSalesReps[rep_id],tblSalesReps[rep_name],"Missing")</f>
        <v>Sales Rep 01</v>
      </c>
      <c r="R1276" t="str">
        <f>_xlfn.XLOOKUP(D1276,tblSalesReps[rep_id],tblSalesReps[region],"Missing")</f>
        <v>South</v>
      </c>
    </row>
    <row r="1277" spans="1:18">
      <c r="A1277" t="s">
        <v>1786</v>
      </c>
      <c r="B1277" t="s">
        <v>325</v>
      </c>
      <c r="C1277" t="s">
        <v>21</v>
      </c>
      <c r="D1277" t="s">
        <v>91</v>
      </c>
      <c r="E1277" s="1">
        <v>45671</v>
      </c>
      <c r="F1277" s="1">
        <v>45705</v>
      </c>
      <c r="G1277" s="1">
        <v>45705</v>
      </c>
      <c r="H1277" t="s">
        <v>17</v>
      </c>
      <c r="I1277">
        <v>1</v>
      </c>
      <c r="J1277">
        <v>10</v>
      </c>
      <c r="K1277">
        <v>216000</v>
      </c>
      <c r="L1277">
        <v>0</v>
      </c>
      <c r="M1277" t="s">
        <v>82</v>
      </c>
      <c r="N1277" t="str">
        <f>_xlfn.XLOOKUP(B1277,tblCustomers[customer_id],tblCustomers[region],"Missing")</f>
        <v>South</v>
      </c>
      <c r="O1277" t="str">
        <f>_xlfn.XLOOKUP(C1277,tblProducts[product_id],tblProducts[product_name],"Missing")</f>
        <v>Workflow Automate</v>
      </c>
      <c r="P1277" t="str">
        <f>_xlfn.XLOOKUP(C1277,tblProducts[product_id],tblProducts[category],"Missing")</f>
        <v>Automation</v>
      </c>
      <c r="Q1277" t="str">
        <f>_xlfn.XLOOKUP(D1277,tblSalesReps[rep_id],tblSalesReps[rep_name],"Missing")</f>
        <v>Sales Rep 03</v>
      </c>
      <c r="R1277" t="str">
        <f>_xlfn.XLOOKUP(D1277,tblSalesReps[rep_id],tblSalesReps[region],"Missing")</f>
        <v>South</v>
      </c>
    </row>
    <row r="1278" spans="1:18">
      <c r="A1278" t="s">
        <v>1787</v>
      </c>
      <c r="B1278" t="s">
        <v>1603</v>
      </c>
      <c r="C1278" t="s">
        <v>15</v>
      </c>
      <c r="D1278" t="s">
        <v>36</v>
      </c>
      <c r="E1278" s="1">
        <v>45769</v>
      </c>
      <c r="F1278" s="1">
        <v>45850</v>
      </c>
      <c r="G1278" s="1">
        <v>45850</v>
      </c>
      <c r="H1278" t="s">
        <v>28</v>
      </c>
      <c r="I1278">
        <v>1</v>
      </c>
      <c r="J1278">
        <v>15</v>
      </c>
      <c r="K1278">
        <v>357000</v>
      </c>
      <c r="L1278">
        <v>100</v>
      </c>
      <c r="M1278" t="s">
        <v>29</v>
      </c>
      <c r="N1278" t="str">
        <f>_xlfn.XLOOKUP(B1278,tblCustomers[customer_id],tblCustomers[region],"Missing")</f>
        <v>North</v>
      </c>
      <c r="O1278" t="str">
        <f>_xlfn.XLOOKUP(C1278,tblProducts[product_id],tblProducts[product_name],"Missing")</f>
        <v>CRM Enterprise</v>
      </c>
      <c r="P1278" t="str">
        <f>_xlfn.XLOOKUP(C1278,tblProducts[product_id],tblProducts[category],"Missing")</f>
        <v>CRM</v>
      </c>
      <c r="Q1278" t="str">
        <f>_xlfn.XLOOKUP(D1278,tblSalesReps[rep_id],tblSalesReps[rep_name],"Missing")</f>
        <v>Sales Rep 09</v>
      </c>
      <c r="R1278" t="str">
        <f>_xlfn.XLOOKUP(D1278,tblSalesReps[rep_id],tblSalesReps[region],"Missing")</f>
        <v>North</v>
      </c>
    </row>
    <row r="1279" spans="1:18">
      <c r="A1279" t="s">
        <v>1788</v>
      </c>
      <c r="B1279" t="s">
        <v>581</v>
      </c>
      <c r="C1279" t="s">
        <v>62</v>
      </c>
      <c r="D1279" t="s">
        <v>78</v>
      </c>
      <c r="E1279" s="1">
        <v>45938</v>
      </c>
      <c r="F1279" s="1">
        <v>45967</v>
      </c>
      <c r="G1279" s="1">
        <v>45967</v>
      </c>
      <c r="H1279" t="s">
        <v>28</v>
      </c>
      <c r="I1279">
        <v>1</v>
      </c>
      <c r="J1279">
        <v>10</v>
      </c>
      <c r="K1279">
        <v>108000</v>
      </c>
      <c r="L1279">
        <v>100</v>
      </c>
      <c r="M1279" t="s">
        <v>29</v>
      </c>
      <c r="N1279" t="str">
        <f>_xlfn.XLOOKUP(B1279,tblCustomers[customer_id],tblCustomers[region],"Missing")</f>
        <v>West</v>
      </c>
      <c r="O1279" t="str">
        <f>_xlfn.XLOOKUP(C1279,tblProducts[product_id],tblProducts[product_name],"Missing")</f>
        <v>CRM Essentials</v>
      </c>
      <c r="P1279" t="str">
        <f>_xlfn.XLOOKUP(C1279,tblProducts[product_id],tblProducts[category],"Missing")</f>
        <v>CRM</v>
      </c>
      <c r="Q1279" t="str">
        <f>_xlfn.XLOOKUP(D1279,tblSalesReps[rep_id],tblSalesReps[rep_name],"Missing")</f>
        <v>Sales Rep 12</v>
      </c>
      <c r="R1279" t="str">
        <f>_xlfn.XLOOKUP(D1279,tblSalesReps[rep_id],tblSalesReps[region],"Missing")</f>
        <v>West</v>
      </c>
    </row>
    <row r="1280" spans="1:18">
      <c r="A1280" t="s">
        <v>1789</v>
      </c>
      <c r="B1280" t="s">
        <v>1167</v>
      </c>
      <c r="C1280" t="s">
        <v>39</v>
      </c>
      <c r="D1280" t="s">
        <v>119</v>
      </c>
      <c r="E1280" s="1">
        <v>45775</v>
      </c>
      <c r="F1280" s="1">
        <v>45820</v>
      </c>
      <c r="G1280" s="1">
        <v>45820</v>
      </c>
      <c r="H1280" t="s">
        <v>17</v>
      </c>
      <c r="I1280">
        <v>2</v>
      </c>
      <c r="J1280">
        <v>5</v>
      </c>
      <c r="K1280">
        <v>342000</v>
      </c>
      <c r="L1280">
        <v>0</v>
      </c>
      <c r="M1280" t="s">
        <v>23</v>
      </c>
      <c r="N1280" t="str">
        <f>_xlfn.XLOOKUP(B1280,tblCustomers[customer_id],tblCustomers[region],"Missing")</f>
        <v>North</v>
      </c>
      <c r="O1280" t="str">
        <f>_xlfn.XLOOKUP(C1280,tblProducts[product_id],tblProducts[product_name],"Missing")</f>
        <v>Support Desk</v>
      </c>
      <c r="P1280" t="str">
        <f>_xlfn.XLOOKUP(C1280,tblProducts[product_id],tblProducts[category],"Missing")</f>
        <v>Service</v>
      </c>
      <c r="Q1280" t="str">
        <f>_xlfn.XLOOKUP(D1280,tblSalesReps[rep_id],tblSalesReps[rep_name],"Missing")</f>
        <v>Sales Rep 10</v>
      </c>
      <c r="R1280" t="str">
        <f>_xlfn.XLOOKUP(D1280,tblSalesReps[rep_id],tblSalesReps[region],"Missing")</f>
        <v>North</v>
      </c>
    </row>
    <row r="1281" spans="1:18">
      <c r="A1281" t="s">
        <v>1790</v>
      </c>
      <c r="B1281" t="s">
        <v>273</v>
      </c>
      <c r="C1281" t="s">
        <v>62</v>
      </c>
      <c r="D1281" t="s">
        <v>27</v>
      </c>
      <c r="E1281" s="1">
        <v>45791</v>
      </c>
      <c r="F1281" s="1">
        <v>45873</v>
      </c>
      <c r="G1281" s="1">
        <v>45873</v>
      </c>
      <c r="H1281" t="s">
        <v>17</v>
      </c>
      <c r="I1281">
        <v>2</v>
      </c>
      <c r="J1281">
        <v>20</v>
      </c>
      <c r="K1281">
        <v>192000</v>
      </c>
      <c r="L1281">
        <v>0</v>
      </c>
      <c r="M1281" t="s">
        <v>33</v>
      </c>
      <c r="N1281" t="str">
        <f>_xlfn.XLOOKUP(B1281,tblCustomers[customer_id],tblCustomers[region],"Missing")</f>
        <v>North</v>
      </c>
      <c r="O1281" t="str">
        <f>_xlfn.XLOOKUP(C1281,tblProducts[product_id],tblProducts[product_name],"Missing")</f>
        <v>CRM Essentials</v>
      </c>
      <c r="P1281" t="str">
        <f>_xlfn.XLOOKUP(C1281,tblProducts[product_id],tblProducts[category],"Missing")</f>
        <v>CRM</v>
      </c>
      <c r="Q1281" t="str">
        <f>_xlfn.XLOOKUP(D1281,tblSalesReps[rep_id],tblSalesReps[rep_name],"Missing")</f>
        <v>Sales Rep 06</v>
      </c>
      <c r="R1281" t="str">
        <f>_xlfn.XLOOKUP(D1281,tblSalesReps[rep_id],tblSalesReps[region],"Missing")</f>
        <v>North</v>
      </c>
    </row>
    <row r="1282" spans="1:18">
      <c r="A1282" t="s">
        <v>1791</v>
      </c>
      <c r="B1282" t="s">
        <v>948</v>
      </c>
      <c r="C1282" t="s">
        <v>81</v>
      </c>
      <c r="D1282" t="s">
        <v>22</v>
      </c>
      <c r="E1282" s="1">
        <v>45706</v>
      </c>
      <c r="F1282" s="1">
        <v>45719</v>
      </c>
      <c r="G1282" s="1">
        <v>45719</v>
      </c>
      <c r="H1282" t="s">
        <v>17</v>
      </c>
      <c r="I1282">
        <v>3</v>
      </c>
      <c r="J1282">
        <v>10</v>
      </c>
      <c r="K1282">
        <v>810000</v>
      </c>
      <c r="L1282">
        <v>0</v>
      </c>
      <c r="M1282" t="s">
        <v>23</v>
      </c>
      <c r="N1282" t="str">
        <f>_xlfn.XLOOKUP(B1282,tblCustomers[customer_id],tblCustomers[region],"Missing")</f>
        <v>West</v>
      </c>
      <c r="O1282" t="str">
        <f>_xlfn.XLOOKUP(C1282,tblProducts[product_id],tblProducts[product_name],"Missing")</f>
        <v>Analytics Cloud</v>
      </c>
      <c r="P1282" t="str">
        <f>_xlfn.XLOOKUP(C1282,tblProducts[product_id],tblProducts[category],"Missing")</f>
        <v>Analytics</v>
      </c>
      <c r="Q1282" t="str">
        <f>_xlfn.XLOOKUP(D1282,tblSalesReps[rep_id],tblSalesReps[rep_name],"Missing")</f>
        <v>Sales Rep 14</v>
      </c>
      <c r="R1282" t="str">
        <f>_xlfn.XLOOKUP(D1282,tblSalesReps[rep_id],tblSalesReps[region],"Missing")</f>
        <v>West</v>
      </c>
    </row>
    <row r="1283" spans="1:18">
      <c r="A1283" t="s">
        <v>1792</v>
      </c>
      <c r="B1283" t="s">
        <v>517</v>
      </c>
      <c r="C1283" t="s">
        <v>39</v>
      </c>
      <c r="D1283" t="s">
        <v>70</v>
      </c>
      <c r="E1283" s="1">
        <v>45824</v>
      </c>
      <c r="F1283" s="1">
        <v>45839</v>
      </c>
      <c r="G1283" s="1">
        <v>45839</v>
      </c>
      <c r="H1283" t="s">
        <v>28</v>
      </c>
      <c r="I1283">
        <v>1</v>
      </c>
      <c r="J1283">
        <v>5</v>
      </c>
      <c r="K1283">
        <v>171000</v>
      </c>
      <c r="L1283">
        <v>100</v>
      </c>
      <c r="M1283" t="s">
        <v>29</v>
      </c>
      <c r="N1283" t="str">
        <f>_xlfn.XLOOKUP(B1283,tblCustomers[customer_id],tblCustomers[region],"Missing")</f>
        <v>West</v>
      </c>
      <c r="O1283" t="str">
        <f>_xlfn.XLOOKUP(C1283,tblProducts[product_id],tblProducts[product_name],"Missing")</f>
        <v>Support Desk</v>
      </c>
      <c r="P1283" t="str">
        <f>_xlfn.XLOOKUP(C1283,tblProducts[product_id],tblProducts[category],"Missing")</f>
        <v>Service</v>
      </c>
      <c r="Q1283" t="str">
        <f>_xlfn.XLOOKUP(D1283,tblSalesReps[rep_id],tblSalesReps[rep_name],"Missing")</f>
        <v>Sales Rep 11</v>
      </c>
      <c r="R1283" t="str">
        <f>_xlfn.XLOOKUP(D1283,tblSalesReps[rep_id],tblSalesReps[region],"Missing")</f>
        <v>West</v>
      </c>
    </row>
    <row r="1284" spans="1:18">
      <c r="A1284" t="s">
        <v>1793</v>
      </c>
      <c r="B1284" t="s">
        <v>547</v>
      </c>
      <c r="C1284" t="s">
        <v>21</v>
      </c>
      <c r="D1284" t="s">
        <v>168</v>
      </c>
      <c r="E1284" s="1">
        <v>45827</v>
      </c>
      <c r="F1284" s="1">
        <v>45840</v>
      </c>
      <c r="G1284" s="1"/>
      <c r="H1284" t="s">
        <v>43</v>
      </c>
      <c r="I1284">
        <v>2</v>
      </c>
      <c r="J1284">
        <v>20</v>
      </c>
      <c r="K1284">
        <v>384000</v>
      </c>
      <c r="L1284">
        <v>20</v>
      </c>
      <c r="M1284" t="s">
        <v>29</v>
      </c>
      <c r="N1284" t="str">
        <f>_xlfn.XLOOKUP(B1284,tblCustomers[customer_id],tblCustomers[region],"Missing")</f>
        <v>East</v>
      </c>
      <c r="O1284" t="str">
        <f>_xlfn.XLOOKUP(C1284,tblProducts[product_id],tblProducts[product_name],"Missing")</f>
        <v>Workflow Automate</v>
      </c>
      <c r="P1284" t="str">
        <f>_xlfn.XLOOKUP(C1284,tblProducts[product_id],tblProducts[category],"Missing")</f>
        <v>Automation</v>
      </c>
      <c r="Q1284" t="str">
        <f>_xlfn.XLOOKUP(D1284,tblSalesReps[rep_id],tblSalesReps[rep_name],"Missing")</f>
        <v>Sales Rep 17</v>
      </c>
      <c r="R1284" t="str">
        <f>_xlfn.XLOOKUP(D1284,tblSalesReps[rep_id],tblSalesReps[region],"Missing")</f>
        <v>East</v>
      </c>
    </row>
    <row r="1285" spans="1:18">
      <c r="A1285" t="s">
        <v>1794</v>
      </c>
      <c r="B1285" t="s">
        <v>803</v>
      </c>
      <c r="C1285" t="s">
        <v>21</v>
      </c>
      <c r="D1285" t="s">
        <v>75</v>
      </c>
      <c r="E1285" s="1">
        <v>46019</v>
      </c>
      <c r="F1285" s="1">
        <v>46027</v>
      </c>
      <c r="G1285" s="1"/>
      <c r="H1285" t="s">
        <v>43</v>
      </c>
      <c r="I1285">
        <v>2</v>
      </c>
      <c r="J1285">
        <v>0</v>
      </c>
      <c r="K1285">
        <v>480000</v>
      </c>
      <c r="L1285">
        <v>20</v>
      </c>
      <c r="M1285" t="s">
        <v>29</v>
      </c>
      <c r="N1285" t="str">
        <f>_xlfn.XLOOKUP(B1285,tblCustomers[customer_id],tblCustomers[region],"Missing")</f>
        <v>North</v>
      </c>
      <c r="O1285" t="str">
        <f>_xlfn.XLOOKUP(C1285,tblProducts[product_id],tblProducts[product_name],"Missing")</f>
        <v>Workflow Automate</v>
      </c>
      <c r="P1285" t="str">
        <f>_xlfn.XLOOKUP(C1285,tblProducts[product_id],tblProducts[category],"Missing")</f>
        <v>Automation</v>
      </c>
      <c r="Q1285" t="str">
        <f>_xlfn.XLOOKUP(D1285,tblSalesReps[rep_id],tblSalesReps[rep_name],"Missing")</f>
        <v>Sales Rep 07</v>
      </c>
      <c r="R1285" t="str">
        <f>_xlfn.XLOOKUP(D1285,tblSalesReps[rep_id],tblSalesReps[region],"Missing")</f>
        <v>North</v>
      </c>
    </row>
    <row r="1286" spans="1:18">
      <c r="A1286" t="s">
        <v>1795</v>
      </c>
      <c r="B1286" t="s">
        <v>553</v>
      </c>
      <c r="C1286" t="s">
        <v>15</v>
      </c>
      <c r="D1286" t="s">
        <v>168</v>
      </c>
      <c r="E1286" s="1">
        <v>45805</v>
      </c>
      <c r="F1286" s="1">
        <v>45824</v>
      </c>
      <c r="G1286" s="1">
        <v>45824</v>
      </c>
      <c r="H1286" t="s">
        <v>17</v>
      </c>
      <c r="I1286">
        <v>1</v>
      </c>
      <c r="J1286">
        <v>5</v>
      </c>
      <c r="K1286">
        <v>399000</v>
      </c>
      <c r="L1286">
        <v>0</v>
      </c>
      <c r="M1286" t="s">
        <v>82</v>
      </c>
      <c r="N1286" t="str">
        <f>_xlfn.XLOOKUP(B1286,tblCustomers[customer_id],tblCustomers[region],"Missing")</f>
        <v>East</v>
      </c>
      <c r="O1286" t="str">
        <f>_xlfn.XLOOKUP(C1286,tblProducts[product_id],tblProducts[product_name],"Missing")</f>
        <v>CRM Enterprise</v>
      </c>
      <c r="P1286" t="str">
        <f>_xlfn.XLOOKUP(C1286,tblProducts[product_id],tblProducts[category],"Missing")</f>
        <v>CRM</v>
      </c>
      <c r="Q1286" t="str">
        <f>_xlfn.XLOOKUP(D1286,tblSalesReps[rep_id],tblSalesReps[rep_name],"Missing")</f>
        <v>Sales Rep 17</v>
      </c>
      <c r="R1286" t="str">
        <f>_xlfn.XLOOKUP(D1286,tblSalesReps[rep_id],tblSalesReps[region],"Missing")</f>
        <v>East</v>
      </c>
    </row>
    <row r="1287" spans="1:18">
      <c r="A1287" t="s">
        <v>1796</v>
      </c>
      <c r="B1287" t="s">
        <v>517</v>
      </c>
      <c r="C1287" t="s">
        <v>26</v>
      </c>
      <c r="D1287" t="s">
        <v>50</v>
      </c>
      <c r="E1287" s="1">
        <v>45730</v>
      </c>
      <c r="F1287" s="1">
        <v>45754</v>
      </c>
      <c r="G1287" s="1">
        <v>45754</v>
      </c>
      <c r="H1287" t="s">
        <v>28</v>
      </c>
      <c r="I1287">
        <v>1</v>
      </c>
      <c r="J1287">
        <v>0</v>
      </c>
      <c r="K1287">
        <v>360000</v>
      </c>
      <c r="L1287">
        <v>100</v>
      </c>
      <c r="M1287" t="s">
        <v>29</v>
      </c>
      <c r="N1287" t="str">
        <f>_xlfn.XLOOKUP(B1287,tblCustomers[customer_id],tblCustomers[region],"Missing")</f>
        <v>West</v>
      </c>
      <c r="O1287" t="str">
        <f>_xlfn.XLOOKUP(C1287,tblProducts[product_id],tblProducts[product_name],"Missing")</f>
        <v>Security Suite</v>
      </c>
      <c r="P1287" t="str">
        <f>_xlfn.XLOOKUP(C1287,tblProducts[product_id],tblProducts[category],"Missing")</f>
        <v>Security</v>
      </c>
      <c r="Q1287" t="str">
        <f>_xlfn.XLOOKUP(D1287,tblSalesReps[rep_id],tblSalesReps[rep_name],"Missing")</f>
        <v>Sales Rep 15</v>
      </c>
      <c r="R1287" t="str">
        <f>_xlfn.XLOOKUP(D1287,tblSalesReps[rep_id],tblSalesReps[region],"Missing")</f>
        <v>West</v>
      </c>
    </row>
    <row r="1288" spans="1:18">
      <c r="A1288" t="s">
        <v>1797</v>
      </c>
      <c r="B1288" t="s">
        <v>1043</v>
      </c>
      <c r="C1288" t="s">
        <v>26</v>
      </c>
      <c r="D1288" t="s">
        <v>50</v>
      </c>
      <c r="E1288" s="1">
        <v>45681</v>
      </c>
      <c r="F1288" s="1">
        <v>45702</v>
      </c>
      <c r="G1288" s="1"/>
      <c r="H1288" t="s">
        <v>43</v>
      </c>
      <c r="I1288">
        <v>1</v>
      </c>
      <c r="J1288">
        <v>10</v>
      </c>
      <c r="K1288">
        <v>324000</v>
      </c>
      <c r="L1288">
        <v>60</v>
      </c>
      <c r="M1288" t="s">
        <v>29</v>
      </c>
      <c r="N1288" t="str">
        <f>_xlfn.XLOOKUP(B1288,tblCustomers[customer_id],tblCustomers[region],"Missing")</f>
        <v>West</v>
      </c>
      <c r="O1288" t="str">
        <f>_xlfn.XLOOKUP(C1288,tblProducts[product_id],tblProducts[product_name],"Missing")</f>
        <v>Security Suite</v>
      </c>
      <c r="P1288" t="str">
        <f>_xlfn.XLOOKUP(C1288,tblProducts[product_id],tblProducts[category],"Missing")</f>
        <v>Security</v>
      </c>
      <c r="Q1288" t="str">
        <f>_xlfn.XLOOKUP(D1288,tblSalesReps[rep_id],tblSalesReps[rep_name],"Missing")</f>
        <v>Sales Rep 15</v>
      </c>
      <c r="R1288" t="str">
        <f>_xlfn.XLOOKUP(D1288,tblSalesReps[rep_id],tblSalesReps[region],"Missing")</f>
        <v>West</v>
      </c>
    </row>
    <row r="1289" spans="1:18">
      <c r="A1289" t="s">
        <v>1798</v>
      </c>
      <c r="B1289" t="s">
        <v>306</v>
      </c>
      <c r="C1289" t="s">
        <v>81</v>
      </c>
      <c r="D1289" t="s">
        <v>53</v>
      </c>
      <c r="E1289" s="1">
        <v>45767</v>
      </c>
      <c r="F1289" s="1">
        <v>45850</v>
      </c>
      <c r="G1289" s="1">
        <v>45850</v>
      </c>
      <c r="H1289" t="s">
        <v>28</v>
      </c>
      <c r="I1289">
        <v>1</v>
      </c>
      <c r="J1289">
        <v>10</v>
      </c>
      <c r="K1289">
        <v>270000</v>
      </c>
      <c r="L1289">
        <v>100</v>
      </c>
      <c r="M1289" t="s">
        <v>29</v>
      </c>
      <c r="N1289" t="str">
        <f>_xlfn.XLOOKUP(B1289,tblCustomers[customer_id],tblCustomers[region],"Missing")</f>
        <v>East</v>
      </c>
      <c r="O1289" t="str">
        <f>_xlfn.XLOOKUP(C1289,tblProducts[product_id],tblProducts[product_name],"Missing")</f>
        <v>Analytics Cloud</v>
      </c>
      <c r="P1289" t="str">
        <f>_xlfn.XLOOKUP(C1289,tblProducts[product_id],tblProducts[category],"Missing")</f>
        <v>Analytics</v>
      </c>
      <c r="Q1289" t="str">
        <f>_xlfn.XLOOKUP(D1289,tblSalesReps[rep_id],tblSalesReps[rep_name],"Missing")</f>
        <v>Sales Rep 16</v>
      </c>
      <c r="R1289" t="str">
        <f>_xlfn.XLOOKUP(D1289,tblSalesReps[rep_id],tblSalesReps[region],"Missing")</f>
        <v>East</v>
      </c>
    </row>
    <row r="1290" spans="1:18">
      <c r="A1290" t="s">
        <v>1799</v>
      </c>
      <c r="B1290" t="s">
        <v>1268</v>
      </c>
      <c r="C1290" t="s">
        <v>62</v>
      </c>
      <c r="D1290" t="s">
        <v>168</v>
      </c>
      <c r="E1290" s="1">
        <v>45793</v>
      </c>
      <c r="F1290" s="1">
        <v>45855</v>
      </c>
      <c r="G1290" s="1">
        <v>45855</v>
      </c>
      <c r="H1290" t="s">
        <v>17</v>
      </c>
      <c r="I1290">
        <v>2</v>
      </c>
      <c r="J1290">
        <v>5</v>
      </c>
      <c r="K1290">
        <v>228000</v>
      </c>
      <c r="L1290">
        <v>0</v>
      </c>
      <c r="M1290" t="s">
        <v>47</v>
      </c>
      <c r="N1290" t="str">
        <f>_xlfn.XLOOKUP(B1290,tblCustomers[customer_id],tblCustomers[region],"Missing")</f>
        <v>East</v>
      </c>
      <c r="O1290" t="str">
        <f>_xlfn.XLOOKUP(C1290,tblProducts[product_id],tblProducts[product_name],"Missing")</f>
        <v>CRM Essentials</v>
      </c>
      <c r="P1290" t="str">
        <f>_xlfn.XLOOKUP(C1290,tblProducts[product_id],tblProducts[category],"Missing")</f>
        <v>CRM</v>
      </c>
      <c r="Q1290" t="str">
        <f>_xlfn.XLOOKUP(D1290,tblSalesReps[rep_id],tblSalesReps[rep_name],"Missing")</f>
        <v>Sales Rep 17</v>
      </c>
      <c r="R1290" t="str">
        <f>_xlfn.XLOOKUP(D1290,tblSalesReps[rep_id],tblSalesReps[region],"Missing")</f>
        <v>East</v>
      </c>
    </row>
    <row r="1291" spans="1:18">
      <c r="A1291" t="s">
        <v>1800</v>
      </c>
      <c r="B1291" t="s">
        <v>177</v>
      </c>
      <c r="C1291" t="s">
        <v>26</v>
      </c>
      <c r="D1291" t="s">
        <v>22</v>
      </c>
      <c r="E1291" s="1">
        <v>45978</v>
      </c>
      <c r="F1291" s="1">
        <v>46016</v>
      </c>
      <c r="G1291" s="1"/>
      <c r="H1291" t="s">
        <v>43</v>
      </c>
      <c r="I1291">
        <v>1</v>
      </c>
      <c r="J1291">
        <v>20</v>
      </c>
      <c r="K1291">
        <v>288000</v>
      </c>
      <c r="L1291">
        <v>60</v>
      </c>
      <c r="M1291" t="s">
        <v>29</v>
      </c>
      <c r="N1291" t="str">
        <f>_xlfn.XLOOKUP(B1291,tblCustomers[customer_id],tblCustomers[region],"Missing")</f>
        <v>West</v>
      </c>
      <c r="O1291" t="str">
        <f>_xlfn.XLOOKUP(C1291,tblProducts[product_id],tblProducts[product_name],"Missing")</f>
        <v>Security Suite</v>
      </c>
      <c r="P1291" t="str">
        <f>_xlfn.XLOOKUP(C1291,tblProducts[product_id],tblProducts[category],"Missing")</f>
        <v>Security</v>
      </c>
      <c r="Q1291" t="str">
        <f>_xlfn.XLOOKUP(D1291,tblSalesReps[rep_id],tblSalesReps[rep_name],"Missing")</f>
        <v>Sales Rep 14</v>
      </c>
      <c r="R1291" t="str">
        <f>_xlfn.XLOOKUP(D1291,tblSalesReps[rep_id],tblSalesReps[region],"Missing")</f>
        <v>West</v>
      </c>
    </row>
    <row r="1292" spans="1:18">
      <c r="A1292" t="s">
        <v>1801</v>
      </c>
      <c r="B1292" t="s">
        <v>501</v>
      </c>
      <c r="C1292" t="s">
        <v>21</v>
      </c>
      <c r="D1292" t="s">
        <v>56</v>
      </c>
      <c r="E1292" s="1">
        <v>45691</v>
      </c>
      <c r="F1292" s="1">
        <v>45747</v>
      </c>
      <c r="G1292" s="1">
        <v>45747</v>
      </c>
      <c r="H1292" t="s">
        <v>28</v>
      </c>
      <c r="I1292">
        <v>1</v>
      </c>
      <c r="J1292">
        <v>10</v>
      </c>
      <c r="K1292">
        <v>216000</v>
      </c>
      <c r="L1292">
        <v>100</v>
      </c>
      <c r="M1292" t="s">
        <v>29</v>
      </c>
      <c r="N1292" t="str">
        <f>_xlfn.XLOOKUP(B1292,tblCustomers[customer_id],tblCustomers[region],"Missing")</f>
        <v>East</v>
      </c>
      <c r="O1292" t="str">
        <f>_xlfn.XLOOKUP(C1292,tblProducts[product_id],tblProducts[product_name],"Missing")</f>
        <v>Workflow Automate</v>
      </c>
      <c r="P1292" t="str">
        <f>_xlfn.XLOOKUP(C1292,tblProducts[product_id],tblProducts[category],"Missing")</f>
        <v>Automation</v>
      </c>
      <c r="Q1292" t="str">
        <f>_xlfn.XLOOKUP(D1292,tblSalesReps[rep_id],tblSalesReps[rep_name],"Missing")</f>
        <v>Sales Rep 20</v>
      </c>
      <c r="R1292" t="str">
        <f>_xlfn.XLOOKUP(D1292,tblSalesReps[rep_id],tblSalesReps[region],"Missing")</f>
        <v>East</v>
      </c>
    </row>
    <row r="1293" spans="1:18">
      <c r="A1293" t="s">
        <v>1802</v>
      </c>
      <c r="B1293" t="s">
        <v>1707</v>
      </c>
      <c r="C1293" t="s">
        <v>21</v>
      </c>
      <c r="D1293" t="s">
        <v>168</v>
      </c>
      <c r="E1293" s="1">
        <v>45785</v>
      </c>
      <c r="F1293" s="1">
        <v>45866</v>
      </c>
      <c r="G1293" s="1">
        <v>45866</v>
      </c>
      <c r="H1293" t="s">
        <v>17</v>
      </c>
      <c r="I1293">
        <v>1</v>
      </c>
      <c r="J1293">
        <v>5</v>
      </c>
      <c r="K1293">
        <v>228000</v>
      </c>
      <c r="L1293">
        <v>0</v>
      </c>
      <c r="M1293" t="s">
        <v>82</v>
      </c>
      <c r="N1293" t="str">
        <f>_xlfn.XLOOKUP(B1293,tblCustomers[customer_id],tblCustomers[region],"Missing")</f>
        <v>East</v>
      </c>
      <c r="O1293" t="str">
        <f>_xlfn.XLOOKUP(C1293,tblProducts[product_id],tblProducts[product_name],"Missing")</f>
        <v>Workflow Automate</v>
      </c>
      <c r="P1293" t="str">
        <f>_xlfn.XLOOKUP(C1293,tblProducts[product_id],tblProducts[category],"Missing")</f>
        <v>Automation</v>
      </c>
      <c r="Q1293" t="str">
        <f>_xlfn.XLOOKUP(D1293,tblSalesReps[rep_id],tblSalesReps[rep_name],"Missing")</f>
        <v>Sales Rep 17</v>
      </c>
      <c r="R1293" t="str">
        <f>_xlfn.XLOOKUP(D1293,tblSalesReps[rep_id],tblSalesReps[region],"Missing")</f>
        <v>East</v>
      </c>
    </row>
    <row r="1294" spans="1:18">
      <c r="A1294" t="s">
        <v>1803</v>
      </c>
      <c r="B1294" t="s">
        <v>636</v>
      </c>
      <c r="C1294" t="s">
        <v>39</v>
      </c>
      <c r="D1294" t="s">
        <v>119</v>
      </c>
      <c r="E1294" s="1">
        <v>45831</v>
      </c>
      <c r="F1294" s="1">
        <v>45857</v>
      </c>
      <c r="G1294" s="1">
        <v>45857</v>
      </c>
      <c r="H1294" t="s">
        <v>17</v>
      </c>
      <c r="I1294">
        <v>1</v>
      </c>
      <c r="J1294">
        <v>5</v>
      </c>
      <c r="K1294">
        <v>171000</v>
      </c>
      <c r="L1294">
        <v>0</v>
      </c>
      <c r="M1294" t="s">
        <v>82</v>
      </c>
      <c r="N1294" t="str">
        <f>_xlfn.XLOOKUP(B1294,tblCustomers[customer_id],tblCustomers[region],"Missing")</f>
        <v>North</v>
      </c>
      <c r="O1294" t="str">
        <f>_xlfn.XLOOKUP(C1294,tblProducts[product_id],tblProducts[product_name],"Missing")</f>
        <v>Support Desk</v>
      </c>
      <c r="P1294" t="str">
        <f>_xlfn.XLOOKUP(C1294,tblProducts[product_id],tblProducts[category],"Missing")</f>
        <v>Service</v>
      </c>
      <c r="Q1294" t="str">
        <f>_xlfn.XLOOKUP(D1294,tblSalesReps[rep_id],tblSalesReps[rep_name],"Missing")</f>
        <v>Sales Rep 10</v>
      </c>
      <c r="R1294" t="str">
        <f>_xlfn.XLOOKUP(D1294,tblSalesReps[rep_id],tblSalesReps[region],"Missing")</f>
        <v>North</v>
      </c>
    </row>
    <row r="1295" spans="1:18">
      <c r="A1295" t="s">
        <v>1804</v>
      </c>
      <c r="B1295" t="s">
        <v>491</v>
      </c>
      <c r="C1295" t="s">
        <v>81</v>
      </c>
      <c r="D1295" t="s">
        <v>168</v>
      </c>
      <c r="E1295" s="1">
        <v>45978</v>
      </c>
      <c r="F1295" s="1">
        <v>46013</v>
      </c>
      <c r="G1295" s="1">
        <v>46013</v>
      </c>
      <c r="H1295" t="s">
        <v>17</v>
      </c>
      <c r="I1295">
        <v>1</v>
      </c>
      <c r="J1295">
        <v>10</v>
      </c>
      <c r="K1295">
        <v>270000</v>
      </c>
      <c r="L1295">
        <v>0</v>
      </c>
      <c r="M1295" t="s">
        <v>18</v>
      </c>
      <c r="N1295" t="str">
        <f>_xlfn.XLOOKUP(B1295,tblCustomers[customer_id],tblCustomers[region],"Missing")</f>
        <v>East</v>
      </c>
      <c r="O1295" t="str">
        <f>_xlfn.XLOOKUP(C1295,tblProducts[product_id],tblProducts[product_name],"Missing")</f>
        <v>Analytics Cloud</v>
      </c>
      <c r="P1295" t="str">
        <f>_xlfn.XLOOKUP(C1295,tblProducts[product_id],tblProducts[category],"Missing")</f>
        <v>Analytics</v>
      </c>
      <c r="Q1295" t="str">
        <f>_xlfn.XLOOKUP(D1295,tblSalesReps[rep_id],tblSalesReps[rep_name],"Missing")</f>
        <v>Sales Rep 17</v>
      </c>
      <c r="R1295" t="str">
        <f>_xlfn.XLOOKUP(D1295,tblSalesReps[rep_id],tblSalesReps[region],"Missing")</f>
        <v>East</v>
      </c>
    </row>
    <row r="1296" spans="1:18">
      <c r="A1296" t="s">
        <v>1805</v>
      </c>
      <c r="B1296" t="s">
        <v>304</v>
      </c>
      <c r="C1296" t="s">
        <v>26</v>
      </c>
      <c r="D1296" t="s">
        <v>75</v>
      </c>
      <c r="E1296" s="1">
        <v>45973</v>
      </c>
      <c r="F1296" s="1">
        <v>46049</v>
      </c>
      <c r="G1296" s="1"/>
      <c r="H1296" t="s">
        <v>43</v>
      </c>
      <c r="I1296">
        <v>1</v>
      </c>
      <c r="J1296">
        <v>15</v>
      </c>
      <c r="K1296">
        <v>306000</v>
      </c>
      <c r="L1296">
        <v>20</v>
      </c>
      <c r="M1296" t="s">
        <v>29</v>
      </c>
      <c r="N1296" t="str">
        <f>_xlfn.XLOOKUP(B1296,tblCustomers[customer_id],tblCustomers[region],"Missing")</f>
        <v>North</v>
      </c>
      <c r="O1296" t="str">
        <f>_xlfn.XLOOKUP(C1296,tblProducts[product_id],tblProducts[product_name],"Missing")</f>
        <v>Security Suite</v>
      </c>
      <c r="P1296" t="str">
        <f>_xlfn.XLOOKUP(C1296,tblProducts[product_id],tblProducts[category],"Missing")</f>
        <v>Security</v>
      </c>
      <c r="Q1296" t="str">
        <f>_xlfn.XLOOKUP(D1296,tblSalesReps[rep_id],tblSalesReps[rep_name],"Missing")</f>
        <v>Sales Rep 07</v>
      </c>
      <c r="R1296" t="str">
        <f>_xlfn.XLOOKUP(D1296,tblSalesReps[rep_id],tblSalesReps[region],"Missing")</f>
        <v>North</v>
      </c>
    </row>
    <row r="1297" spans="1:18">
      <c r="A1297" t="s">
        <v>1806</v>
      </c>
      <c r="B1297" t="s">
        <v>191</v>
      </c>
      <c r="C1297" t="s">
        <v>62</v>
      </c>
      <c r="D1297" t="s">
        <v>36</v>
      </c>
      <c r="E1297" s="1">
        <v>45764</v>
      </c>
      <c r="F1297" s="1">
        <v>45819</v>
      </c>
      <c r="G1297" s="1">
        <v>45819</v>
      </c>
      <c r="H1297" t="s">
        <v>17</v>
      </c>
      <c r="I1297">
        <v>1</v>
      </c>
      <c r="J1297">
        <v>15</v>
      </c>
      <c r="K1297">
        <v>102000</v>
      </c>
      <c r="L1297">
        <v>0</v>
      </c>
      <c r="M1297" t="s">
        <v>23</v>
      </c>
      <c r="N1297" t="str">
        <f>_xlfn.XLOOKUP(B1297,tblCustomers[customer_id],tblCustomers[region],"Missing")</f>
        <v>North</v>
      </c>
      <c r="O1297" t="str">
        <f>_xlfn.XLOOKUP(C1297,tblProducts[product_id],tblProducts[product_name],"Missing")</f>
        <v>CRM Essentials</v>
      </c>
      <c r="P1297" t="str">
        <f>_xlfn.XLOOKUP(C1297,tblProducts[product_id],tblProducts[category],"Missing")</f>
        <v>CRM</v>
      </c>
      <c r="Q1297" t="str">
        <f>_xlfn.XLOOKUP(D1297,tblSalesReps[rep_id],tblSalesReps[rep_name],"Missing")</f>
        <v>Sales Rep 09</v>
      </c>
      <c r="R1297" t="str">
        <f>_xlfn.XLOOKUP(D1297,tblSalesReps[rep_id],tblSalesReps[region],"Missing")</f>
        <v>North</v>
      </c>
    </row>
    <row r="1298" spans="1:18">
      <c r="A1298" t="s">
        <v>1807</v>
      </c>
      <c r="B1298" t="s">
        <v>811</v>
      </c>
      <c r="C1298" t="s">
        <v>26</v>
      </c>
      <c r="D1298" t="s">
        <v>46</v>
      </c>
      <c r="E1298" s="1">
        <v>45942</v>
      </c>
      <c r="F1298" s="1">
        <v>45998</v>
      </c>
      <c r="G1298" s="1"/>
      <c r="H1298" t="s">
        <v>43</v>
      </c>
      <c r="I1298">
        <v>1</v>
      </c>
      <c r="J1298">
        <v>20</v>
      </c>
      <c r="K1298">
        <v>288000</v>
      </c>
      <c r="L1298">
        <v>40</v>
      </c>
      <c r="M1298" t="s">
        <v>29</v>
      </c>
      <c r="N1298" t="str">
        <f>_xlfn.XLOOKUP(B1298,tblCustomers[customer_id],tblCustomers[region],"Missing")</f>
        <v>South</v>
      </c>
      <c r="O1298" t="str">
        <f>_xlfn.XLOOKUP(C1298,tblProducts[product_id],tblProducts[product_name],"Missing")</f>
        <v>Security Suite</v>
      </c>
      <c r="P1298" t="str">
        <f>_xlfn.XLOOKUP(C1298,tblProducts[product_id],tblProducts[category],"Missing")</f>
        <v>Security</v>
      </c>
      <c r="Q1298" t="str">
        <f>_xlfn.XLOOKUP(D1298,tblSalesReps[rep_id],tblSalesReps[rep_name],"Missing")</f>
        <v>Sales Rep 01</v>
      </c>
      <c r="R1298" t="str">
        <f>_xlfn.XLOOKUP(D1298,tblSalesReps[rep_id],tblSalesReps[region],"Missing")</f>
        <v>South</v>
      </c>
    </row>
    <row r="1299" spans="1:18">
      <c r="A1299" t="s">
        <v>1808</v>
      </c>
      <c r="B1299" t="s">
        <v>1500</v>
      </c>
      <c r="C1299" t="s">
        <v>21</v>
      </c>
      <c r="D1299" t="s">
        <v>32</v>
      </c>
      <c r="E1299" s="1">
        <v>45861</v>
      </c>
      <c r="F1299" s="1">
        <v>45903</v>
      </c>
      <c r="G1299" s="1">
        <v>45903</v>
      </c>
      <c r="H1299" t="s">
        <v>28</v>
      </c>
      <c r="I1299">
        <v>1</v>
      </c>
      <c r="J1299">
        <v>20</v>
      </c>
      <c r="K1299">
        <v>192000</v>
      </c>
      <c r="L1299">
        <v>100</v>
      </c>
      <c r="M1299" t="s">
        <v>29</v>
      </c>
      <c r="N1299" t="str">
        <f>_xlfn.XLOOKUP(B1299,tblCustomers[customer_id],tblCustomers[region],"Missing")</f>
        <v>South</v>
      </c>
      <c r="O1299" t="str">
        <f>_xlfn.XLOOKUP(C1299,tblProducts[product_id],tblProducts[product_name],"Missing")</f>
        <v>Workflow Automate</v>
      </c>
      <c r="P1299" t="str">
        <f>_xlfn.XLOOKUP(C1299,tblProducts[product_id],tblProducts[category],"Missing")</f>
        <v>Automation</v>
      </c>
      <c r="Q1299" t="str">
        <f>_xlfn.XLOOKUP(D1299,tblSalesReps[rep_id],tblSalesReps[rep_name],"Missing")</f>
        <v>Sales Rep 04</v>
      </c>
      <c r="R1299" t="str">
        <f>_xlfn.XLOOKUP(D1299,tblSalesReps[rep_id],tblSalesReps[region],"Missing")</f>
        <v>South</v>
      </c>
    </row>
    <row r="1300" spans="1:18">
      <c r="A1300" t="s">
        <v>1809</v>
      </c>
      <c r="B1300" t="s">
        <v>151</v>
      </c>
      <c r="C1300" t="s">
        <v>39</v>
      </c>
      <c r="D1300" t="s">
        <v>152</v>
      </c>
      <c r="E1300" s="1">
        <v>45916</v>
      </c>
      <c r="F1300" s="1">
        <v>45933</v>
      </c>
      <c r="G1300" s="1"/>
      <c r="H1300" t="s">
        <v>43</v>
      </c>
      <c r="I1300">
        <v>1</v>
      </c>
      <c r="J1300">
        <v>5</v>
      </c>
      <c r="K1300">
        <v>171000</v>
      </c>
      <c r="L1300">
        <v>80</v>
      </c>
      <c r="M1300" t="s">
        <v>29</v>
      </c>
      <c r="N1300" t="str">
        <f>_xlfn.XLOOKUP(B1300,tblCustomers[customer_id],tblCustomers[region],"Missing")</f>
        <v>East</v>
      </c>
      <c r="O1300" t="str">
        <f>_xlfn.XLOOKUP(C1300,tblProducts[product_id],tblProducts[product_name],"Missing")</f>
        <v>Support Desk</v>
      </c>
      <c r="P1300" t="str">
        <f>_xlfn.XLOOKUP(C1300,tblProducts[product_id],tblProducts[category],"Missing")</f>
        <v>Service</v>
      </c>
      <c r="Q1300" t="str">
        <f>_xlfn.XLOOKUP(D1300,tblSalesReps[rep_id],tblSalesReps[rep_name],"Missing")</f>
        <v>Sales Rep 18</v>
      </c>
      <c r="R1300" t="str">
        <f>_xlfn.XLOOKUP(D1300,tblSalesReps[rep_id],tblSalesReps[region],"Missing")</f>
        <v>East</v>
      </c>
    </row>
    <row r="1301" spans="1:18">
      <c r="A1301" t="s">
        <v>1810</v>
      </c>
      <c r="B1301" t="s">
        <v>745</v>
      </c>
      <c r="C1301" t="s">
        <v>62</v>
      </c>
      <c r="D1301" t="s">
        <v>46</v>
      </c>
      <c r="E1301" s="1">
        <v>45857</v>
      </c>
      <c r="F1301" s="1">
        <v>45908</v>
      </c>
      <c r="G1301" s="1">
        <v>45908</v>
      </c>
      <c r="H1301" t="s">
        <v>28</v>
      </c>
      <c r="I1301">
        <v>3</v>
      </c>
      <c r="J1301">
        <v>0</v>
      </c>
      <c r="K1301">
        <v>360000</v>
      </c>
      <c r="L1301">
        <v>100</v>
      </c>
      <c r="M1301" t="s">
        <v>29</v>
      </c>
      <c r="N1301" t="str">
        <f>_xlfn.XLOOKUP(B1301,tblCustomers[customer_id],tblCustomers[region],"Missing")</f>
        <v>South</v>
      </c>
      <c r="O1301" t="str">
        <f>_xlfn.XLOOKUP(C1301,tblProducts[product_id],tblProducts[product_name],"Missing")</f>
        <v>CRM Essentials</v>
      </c>
      <c r="P1301" t="str">
        <f>_xlfn.XLOOKUP(C1301,tblProducts[product_id],tblProducts[category],"Missing")</f>
        <v>CRM</v>
      </c>
      <c r="Q1301" t="str">
        <f>_xlfn.XLOOKUP(D1301,tblSalesReps[rep_id],tblSalesReps[rep_name],"Missing")</f>
        <v>Sales Rep 01</v>
      </c>
      <c r="R1301" t="str">
        <f>_xlfn.XLOOKUP(D1301,tblSalesReps[rep_id],tblSalesReps[region],"Missing")</f>
        <v>South</v>
      </c>
    </row>
    <row r="1302" spans="1:18">
      <c r="A1302" t="s">
        <v>1811</v>
      </c>
      <c r="B1302" t="s">
        <v>221</v>
      </c>
      <c r="C1302" t="s">
        <v>26</v>
      </c>
      <c r="D1302" t="s">
        <v>36</v>
      </c>
      <c r="E1302" s="1">
        <v>45904</v>
      </c>
      <c r="F1302" s="1">
        <v>45937</v>
      </c>
      <c r="G1302" s="1">
        <v>45937</v>
      </c>
      <c r="H1302" t="s">
        <v>17</v>
      </c>
      <c r="I1302">
        <v>1</v>
      </c>
      <c r="J1302">
        <v>20</v>
      </c>
      <c r="K1302">
        <v>288000</v>
      </c>
      <c r="L1302">
        <v>0</v>
      </c>
      <c r="M1302" t="s">
        <v>18</v>
      </c>
      <c r="N1302" t="str">
        <f>_xlfn.XLOOKUP(B1302,tblCustomers[customer_id],tblCustomers[region],"Missing")</f>
        <v>North</v>
      </c>
      <c r="O1302" t="str">
        <f>_xlfn.XLOOKUP(C1302,tblProducts[product_id],tblProducts[product_name],"Missing")</f>
        <v>Security Suite</v>
      </c>
      <c r="P1302" t="str">
        <f>_xlfn.XLOOKUP(C1302,tblProducts[product_id],tblProducts[category],"Missing")</f>
        <v>Security</v>
      </c>
      <c r="Q1302" t="str">
        <f>_xlfn.XLOOKUP(D1302,tblSalesReps[rep_id],tblSalesReps[rep_name],"Missing")</f>
        <v>Sales Rep 09</v>
      </c>
      <c r="R1302" t="str">
        <f>_xlfn.XLOOKUP(D1302,tblSalesReps[rep_id],tblSalesReps[region],"Missing")</f>
        <v>North</v>
      </c>
    </row>
    <row r="1303" spans="1:18">
      <c r="A1303" t="s">
        <v>1812</v>
      </c>
      <c r="B1303" t="s">
        <v>49</v>
      </c>
      <c r="C1303" t="s">
        <v>39</v>
      </c>
      <c r="D1303" t="s">
        <v>78</v>
      </c>
      <c r="E1303" s="1">
        <v>45677</v>
      </c>
      <c r="F1303" s="1">
        <v>45716</v>
      </c>
      <c r="G1303" s="1">
        <v>45716</v>
      </c>
      <c r="H1303" t="s">
        <v>28</v>
      </c>
      <c r="I1303">
        <v>3</v>
      </c>
      <c r="J1303">
        <v>0</v>
      </c>
      <c r="K1303">
        <v>540000</v>
      </c>
      <c r="L1303">
        <v>100</v>
      </c>
      <c r="M1303" t="s">
        <v>29</v>
      </c>
      <c r="N1303" t="str">
        <f>_xlfn.XLOOKUP(B1303,tblCustomers[customer_id],tblCustomers[region],"Missing")</f>
        <v>West</v>
      </c>
      <c r="O1303" t="str">
        <f>_xlfn.XLOOKUP(C1303,tblProducts[product_id],tblProducts[product_name],"Missing")</f>
        <v>Support Desk</v>
      </c>
      <c r="P1303" t="str">
        <f>_xlfn.XLOOKUP(C1303,tblProducts[product_id],tblProducts[category],"Missing")</f>
        <v>Service</v>
      </c>
      <c r="Q1303" t="str">
        <f>_xlfn.XLOOKUP(D1303,tblSalesReps[rep_id],tblSalesReps[rep_name],"Missing")</f>
        <v>Sales Rep 12</v>
      </c>
      <c r="R1303" t="str">
        <f>_xlfn.XLOOKUP(D1303,tblSalesReps[rep_id],tblSalesReps[region],"Missing")</f>
        <v>West</v>
      </c>
    </row>
    <row r="1304" spans="1:18">
      <c r="A1304" t="s">
        <v>1813</v>
      </c>
      <c r="B1304" t="s">
        <v>398</v>
      </c>
      <c r="C1304" t="s">
        <v>81</v>
      </c>
      <c r="D1304" t="s">
        <v>70</v>
      </c>
      <c r="E1304" s="1">
        <v>45864</v>
      </c>
      <c r="F1304" s="1">
        <v>45875</v>
      </c>
      <c r="G1304" s="1"/>
      <c r="H1304" t="s">
        <v>43</v>
      </c>
      <c r="I1304">
        <v>1</v>
      </c>
      <c r="J1304">
        <v>20</v>
      </c>
      <c r="K1304">
        <v>240000</v>
      </c>
      <c r="L1304">
        <v>20</v>
      </c>
      <c r="M1304" t="s">
        <v>29</v>
      </c>
      <c r="N1304" t="str">
        <f>_xlfn.XLOOKUP(B1304,tblCustomers[customer_id],tblCustomers[region],"Missing")</f>
        <v>West</v>
      </c>
      <c r="O1304" t="str">
        <f>_xlfn.XLOOKUP(C1304,tblProducts[product_id],tblProducts[product_name],"Missing")</f>
        <v>Analytics Cloud</v>
      </c>
      <c r="P1304" t="str">
        <f>_xlfn.XLOOKUP(C1304,tblProducts[product_id],tblProducts[category],"Missing")</f>
        <v>Analytics</v>
      </c>
      <c r="Q1304" t="str">
        <f>_xlfn.XLOOKUP(D1304,tblSalesReps[rep_id],tblSalesReps[rep_name],"Missing")</f>
        <v>Sales Rep 11</v>
      </c>
      <c r="R1304" t="str">
        <f>_xlfn.XLOOKUP(D1304,tblSalesReps[rep_id],tblSalesReps[region],"Missing")</f>
        <v>West</v>
      </c>
    </row>
    <row r="1305" spans="1:18">
      <c r="A1305" t="s">
        <v>1814</v>
      </c>
      <c r="B1305" t="s">
        <v>892</v>
      </c>
      <c r="C1305" t="s">
        <v>21</v>
      </c>
      <c r="D1305" t="s">
        <v>168</v>
      </c>
      <c r="E1305" s="1">
        <v>45688</v>
      </c>
      <c r="F1305" s="1">
        <v>45720</v>
      </c>
      <c r="G1305" s="1">
        <v>45720</v>
      </c>
      <c r="H1305" t="s">
        <v>28</v>
      </c>
      <c r="I1305">
        <v>1</v>
      </c>
      <c r="J1305">
        <v>15</v>
      </c>
      <c r="K1305">
        <v>204000</v>
      </c>
      <c r="L1305">
        <v>100</v>
      </c>
      <c r="M1305" t="s">
        <v>29</v>
      </c>
      <c r="N1305" t="str">
        <f>_xlfn.XLOOKUP(B1305,tblCustomers[customer_id],tblCustomers[region],"Missing")</f>
        <v>East</v>
      </c>
      <c r="O1305" t="str">
        <f>_xlfn.XLOOKUP(C1305,tblProducts[product_id],tblProducts[product_name],"Missing")</f>
        <v>Workflow Automate</v>
      </c>
      <c r="P1305" t="str">
        <f>_xlfn.XLOOKUP(C1305,tblProducts[product_id],tblProducts[category],"Missing")</f>
        <v>Automation</v>
      </c>
      <c r="Q1305" t="str">
        <f>_xlfn.XLOOKUP(D1305,tblSalesReps[rep_id],tblSalesReps[rep_name],"Missing")</f>
        <v>Sales Rep 17</v>
      </c>
      <c r="R1305" t="str">
        <f>_xlfn.XLOOKUP(D1305,tblSalesReps[rep_id],tblSalesReps[region],"Missing")</f>
        <v>East</v>
      </c>
    </row>
    <row r="1306" spans="1:18">
      <c r="A1306" t="s">
        <v>1815</v>
      </c>
      <c r="B1306" t="s">
        <v>723</v>
      </c>
      <c r="C1306" t="s">
        <v>15</v>
      </c>
      <c r="D1306" t="s">
        <v>70</v>
      </c>
      <c r="E1306" s="1">
        <v>45956</v>
      </c>
      <c r="F1306" s="1">
        <v>45965</v>
      </c>
      <c r="G1306" s="1">
        <v>45965</v>
      </c>
      <c r="H1306" t="s">
        <v>17</v>
      </c>
      <c r="I1306">
        <v>1</v>
      </c>
      <c r="J1306">
        <v>10</v>
      </c>
      <c r="K1306">
        <v>378000</v>
      </c>
      <c r="L1306">
        <v>0</v>
      </c>
      <c r="M1306" t="s">
        <v>23</v>
      </c>
      <c r="N1306" t="str">
        <f>_xlfn.XLOOKUP(B1306,tblCustomers[customer_id],tblCustomers[region],"Missing")</f>
        <v>West</v>
      </c>
      <c r="O1306" t="str">
        <f>_xlfn.XLOOKUP(C1306,tblProducts[product_id],tblProducts[product_name],"Missing")</f>
        <v>CRM Enterprise</v>
      </c>
      <c r="P1306" t="str">
        <f>_xlfn.XLOOKUP(C1306,tblProducts[product_id],tblProducts[category],"Missing")</f>
        <v>CRM</v>
      </c>
      <c r="Q1306" t="str">
        <f>_xlfn.XLOOKUP(D1306,tblSalesReps[rep_id],tblSalesReps[rep_name],"Missing")</f>
        <v>Sales Rep 11</v>
      </c>
      <c r="R1306" t="str">
        <f>_xlfn.XLOOKUP(D1306,tblSalesReps[rep_id],tblSalesReps[region],"Missing")</f>
        <v>West</v>
      </c>
    </row>
    <row r="1307" spans="1:18">
      <c r="A1307" t="s">
        <v>1816</v>
      </c>
      <c r="B1307" t="s">
        <v>1817</v>
      </c>
      <c r="C1307" t="s">
        <v>26</v>
      </c>
      <c r="D1307" t="s">
        <v>40</v>
      </c>
      <c r="E1307" s="1">
        <v>45820</v>
      </c>
      <c r="F1307" s="1">
        <v>45889</v>
      </c>
      <c r="G1307" s="1">
        <v>45889</v>
      </c>
      <c r="H1307" t="s">
        <v>28</v>
      </c>
      <c r="I1307">
        <v>1</v>
      </c>
      <c r="J1307">
        <v>20</v>
      </c>
      <c r="K1307">
        <v>288000</v>
      </c>
      <c r="L1307">
        <v>100</v>
      </c>
      <c r="M1307" t="s">
        <v>29</v>
      </c>
      <c r="N1307" t="str">
        <f>_xlfn.XLOOKUP(B1307,tblCustomers[customer_id],tblCustomers[region],"Missing")</f>
        <v>West</v>
      </c>
      <c r="O1307" t="str">
        <f>_xlfn.XLOOKUP(C1307,tblProducts[product_id],tblProducts[product_name],"Missing")</f>
        <v>Security Suite</v>
      </c>
      <c r="P1307" t="str">
        <f>_xlfn.XLOOKUP(C1307,tblProducts[product_id],tblProducts[category],"Missing")</f>
        <v>Security</v>
      </c>
      <c r="Q1307" t="str">
        <f>_xlfn.XLOOKUP(D1307,tblSalesReps[rep_id],tblSalesReps[rep_name],"Missing")</f>
        <v>Sales Rep 13</v>
      </c>
      <c r="R1307" t="str">
        <f>_xlfn.XLOOKUP(D1307,tblSalesReps[rep_id],tblSalesReps[region],"Missing")</f>
        <v>West</v>
      </c>
    </row>
    <row r="1308" spans="1:18">
      <c r="A1308" t="s">
        <v>1818</v>
      </c>
      <c r="B1308" t="s">
        <v>1173</v>
      </c>
      <c r="C1308" t="s">
        <v>21</v>
      </c>
      <c r="D1308" t="s">
        <v>63</v>
      </c>
      <c r="E1308" s="1">
        <v>45714</v>
      </c>
      <c r="F1308" s="1">
        <v>45769</v>
      </c>
      <c r="G1308" s="1">
        <v>45769</v>
      </c>
      <c r="H1308" t="s">
        <v>17</v>
      </c>
      <c r="I1308">
        <v>1</v>
      </c>
      <c r="J1308">
        <v>20</v>
      </c>
      <c r="K1308">
        <v>192000</v>
      </c>
      <c r="L1308">
        <v>0</v>
      </c>
      <c r="M1308" t="s">
        <v>47</v>
      </c>
      <c r="N1308" t="str">
        <f>_xlfn.XLOOKUP(B1308,tblCustomers[customer_id],tblCustomers[region],"Missing")</f>
        <v>South</v>
      </c>
      <c r="O1308" t="str">
        <f>_xlfn.XLOOKUP(C1308,tblProducts[product_id],tblProducts[product_name],"Missing")</f>
        <v>Workflow Automate</v>
      </c>
      <c r="P1308" t="str">
        <f>_xlfn.XLOOKUP(C1308,tblProducts[product_id],tblProducts[category],"Missing")</f>
        <v>Automation</v>
      </c>
      <c r="Q1308" t="str">
        <f>_xlfn.XLOOKUP(D1308,tblSalesReps[rep_id],tblSalesReps[rep_name],"Missing")</f>
        <v>Sales Rep 05</v>
      </c>
      <c r="R1308" t="str">
        <f>_xlfn.XLOOKUP(D1308,tblSalesReps[rep_id],tblSalesReps[region],"Missing")</f>
        <v>South</v>
      </c>
    </row>
    <row r="1309" spans="1:18">
      <c r="A1309" t="s">
        <v>1819</v>
      </c>
      <c r="B1309" t="s">
        <v>1130</v>
      </c>
      <c r="C1309" t="s">
        <v>21</v>
      </c>
      <c r="D1309" t="s">
        <v>75</v>
      </c>
      <c r="E1309" s="1">
        <v>45827</v>
      </c>
      <c r="F1309" s="1">
        <v>45910</v>
      </c>
      <c r="G1309" s="1">
        <v>45910</v>
      </c>
      <c r="H1309" t="s">
        <v>28</v>
      </c>
      <c r="I1309">
        <v>2</v>
      </c>
      <c r="J1309">
        <v>5</v>
      </c>
      <c r="K1309">
        <v>456000</v>
      </c>
      <c r="L1309">
        <v>100</v>
      </c>
      <c r="M1309" t="s">
        <v>29</v>
      </c>
      <c r="N1309" t="str">
        <f>_xlfn.XLOOKUP(B1309,tblCustomers[customer_id],tblCustomers[region],"Missing")</f>
        <v>North</v>
      </c>
      <c r="O1309" t="str">
        <f>_xlfn.XLOOKUP(C1309,tblProducts[product_id],tblProducts[product_name],"Missing")</f>
        <v>Workflow Automate</v>
      </c>
      <c r="P1309" t="str">
        <f>_xlfn.XLOOKUP(C1309,tblProducts[product_id],tblProducts[category],"Missing")</f>
        <v>Automation</v>
      </c>
      <c r="Q1309" t="str">
        <f>_xlfn.XLOOKUP(D1309,tblSalesReps[rep_id],tblSalesReps[rep_name],"Missing")</f>
        <v>Sales Rep 07</v>
      </c>
      <c r="R1309" t="str">
        <f>_xlfn.XLOOKUP(D1309,tblSalesReps[rep_id],tblSalesReps[region],"Missing")</f>
        <v>North</v>
      </c>
    </row>
    <row r="1310" spans="1:18">
      <c r="A1310" t="s">
        <v>1820</v>
      </c>
      <c r="B1310" t="s">
        <v>1821</v>
      </c>
      <c r="C1310" t="s">
        <v>15</v>
      </c>
      <c r="D1310" t="s">
        <v>59</v>
      </c>
      <c r="E1310" s="1">
        <v>45817</v>
      </c>
      <c r="F1310" s="1">
        <v>45824</v>
      </c>
      <c r="G1310" s="1"/>
      <c r="H1310" t="s">
        <v>43</v>
      </c>
      <c r="I1310">
        <v>1</v>
      </c>
      <c r="J1310">
        <v>10</v>
      </c>
      <c r="K1310">
        <v>378000</v>
      </c>
      <c r="L1310">
        <v>60</v>
      </c>
      <c r="M1310" t="s">
        <v>29</v>
      </c>
      <c r="N1310" t="str">
        <f>_xlfn.XLOOKUP(B1310,tblCustomers[customer_id],tblCustomers[region],"Missing")</f>
        <v>East</v>
      </c>
      <c r="O1310" t="str">
        <f>_xlfn.XLOOKUP(C1310,tblProducts[product_id],tblProducts[product_name],"Missing")</f>
        <v>CRM Enterprise</v>
      </c>
      <c r="P1310" t="str">
        <f>_xlfn.XLOOKUP(C1310,tblProducts[product_id],tblProducts[category],"Missing")</f>
        <v>CRM</v>
      </c>
      <c r="Q1310" t="str">
        <f>_xlfn.XLOOKUP(D1310,tblSalesReps[rep_id],tblSalesReps[rep_name],"Missing")</f>
        <v>Sales Rep 19</v>
      </c>
      <c r="R1310" t="str">
        <f>_xlfn.XLOOKUP(D1310,tblSalesReps[rep_id],tblSalesReps[region],"Missing")</f>
        <v>East</v>
      </c>
    </row>
    <row r="1311" spans="1:18">
      <c r="A1311" t="s">
        <v>1822</v>
      </c>
      <c r="B1311" t="s">
        <v>501</v>
      </c>
      <c r="C1311" t="s">
        <v>62</v>
      </c>
      <c r="D1311" t="s">
        <v>56</v>
      </c>
      <c r="E1311" s="1">
        <v>45979</v>
      </c>
      <c r="F1311" s="1">
        <v>46029</v>
      </c>
      <c r="G1311" s="1"/>
      <c r="H1311" t="s">
        <v>43</v>
      </c>
      <c r="I1311">
        <v>2</v>
      </c>
      <c r="J1311">
        <v>15</v>
      </c>
      <c r="K1311">
        <v>204000</v>
      </c>
      <c r="L1311">
        <v>60</v>
      </c>
      <c r="M1311" t="s">
        <v>29</v>
      </c>
      <c r="N1311" t="str">
        <f>_xlfn.XLOOKUP(B1311,tblCustomers[customer_id],tblCustomers[region],"Missing")</f>
        <v>East</v>
      </c>
      <c r="O1311" t="str">
        <f>_xlfn.XLOOKUP(C1311,tblProducts[product_id],tblProducts[product_name],"Missing")</f>
        <v>CRM Essentials</v>
      </c>
      <c r="P1311" t="str">
        <f>_xlfn.XLOOKUP(C1311,tblProducts[product_id],tblProducts[category],"Missing")</f>
        <v>CRM</v>
      </c>
      <c r="Q1311" t="str">
        <f>_xlfn.XLOOKUP(D1311,tblSalesReps[rep_id],tblSalesReps[rep_name],"Missing")</f>
        <v>Sales Rep 20</v>
      </c>
      <c r="R1311" t="str">
        <f>_xlfn.XLOOKUP(D1311,tblSalesReps[rep_id],tblSalesReps[region],"Missing")</f>
        <v>East</v>
      </c>
    </row>
    <row r="1312" spans="1:18">
      <c r="A1312" t="s">
        <v>1823</v>
      </c>
      <c r="B1312" t="s">
        <v>1824</v>
      </c>
      <c r="C1312" t="s">
        <v>26</v>
      </c>
      <c r="D1312" t="s">
        <v>40</v>
      </c>
      <c r="E1312" s="1">
        <v>45865</v>
      </c>
      <c r="F1312" s="1">
        <v>45905</v>
      </c>
      <c r="G1312" s="1">
        <v>45905</v>
      </c>
      <c r="H1312" t="s">
        <v>17</v>
      </c>
      <c r="I1312">
        <v>2</v>
      </c>
      <c r="J1312">
        <v>0</v>
      </c>
      <c r="K1312">
        <v>720000</v>
      </c>
      <c r="L1312">
        <v>0</v>
      </c>
      <c r="M1312" t="s">
        <v>23</v>
      </c>
      <c r="N1312" t="str">
        <f>_xlfn.XLOOKUP(B1312,tblCustomers[customer_id],tblCustomers[region],"Missing")</f>
        <v>West</v>
      </c>
      <c r="O1312" t="str">
        <f>_xlfn.XLOOKUP(C1312,tblProducts[product_id],tblProducts[product_name],"Missing")</f>
        <v>Security Suite</v>
      </c>
      <c r="P1312" t="str">
        <f>_xlfn.XLOOKUP(C1312,tblProducts[product_id],tblProducts[category],"Missing")</f>
        <v>Security</v>
      </c>
      <c r="Q1312" t="str">
        <f>_xlfn.XLOOKUP(D1312,tblSalesReps[rep_id],tblSalesReps[rep_name],"Missing")</f>
        <v>Sales Rep 13</v>
      </c>
      <c r="R1312" t="str">
        <f>_xlfn.XLOOKUP(D1312,tblSalesReps[rep_id],tblSalesReps[region],"Missing")</f>
        <v>West</v>
      </c>
    </row>
    <row r="1313" spans="1:18">
      <c r="A1313" t="s">
        <v>1825</v>
      </c>
      <c r="B1313" t="s">
        <v>426</v>
      </c>
      <c r="C1313" t="s">
        <v>81</v>
      </c>
      <c r="D1313" t="s">
        <v>63</v>
      </c>
      <c r="E1313" s="1">
        <v>45989</v>
      </c>
      <c r="F1313" s="1">
        <v>46049</v>
      </c>
      <c r="G1313" s="1"/>
      <c r="H1313" t="s">
        <v>43</v>
      </c>
      <c r="I1313">
        <v>1</v>
      </c>
      <c r="J1313">
        <v>10</v>
      </c>
      <c r="K1313">
        <v>270000</v>
      </c>
      <c r="L1313">
        <v>20</v>
      </c>
      <c r="M1313" t="s">
        <v>29</v>
      </c>
      <c r="N1313" t="str">
        <f>_xlfn.XLOOKUP(B1313,tblCustomers[customer_id],tblCustomers[region],"Missing")</f>
        <v>South</v>
      </c>
      <c r="O1313" t="str">
        <f>_xlfn.XLOOKUP(C1313,tblProducts[product_id],tblProducts[product_name],"Missing")</f>
        <v>Analytics Cloud</v>
      </c>
      <c r="P1313" t="str">
        <f>_xlfn.XLOOKUP(C1313,tblProducts[product_id],tblProducts[category],"Missing")</f>
        <v>Analytics</v>
      </c>
      <c r="Q1313" t="str">
        <f>_xlfn.XLOOKUP(D1313,tblSalesReps[rep_id],tblSalesReps[rep_name],"Missing")</f>
        <v>Sales Rep 05</v>
      </c>
      <c r="R1313" t="str">
        <f>_xlfn.XLOOKUP(D1313,tblSalesReps[rep_id],tblSalesReps[region],"Missing")</f>
        <v>South</v>
      </c>
    </row>
    <row r="1314" spans="1:18">
      <c r="A1314" t="s">
        <v>1826</v>
      </c>
      <c r="B1314" t="s">
        <v>1359</v>
      </c>
      <c r="C1314" t="s">
        <v>15</v>
      </c>
      <c r="D1314" t="s">
        <v>78</v>
      </c>
      <c r="E1314" s="1">
        <v>45914</v>
      </c>
      <c r="F1314" s="1">
        <v>45936</v>
      </c>
      <c r="G1314" s="1">
        <v>45936</v>
      </c>
      <c r="H1314" t="s">
        <v>17</v>
      </c>
      <c r="I1314">
        <v>1</v>
      </c>
      <c r="J1314">
        <v>5</v>
      </c>
      <c r="K1314">
        <v>399000</v>
      </c>
      <c r="L1314">
        <v>0</v>
      </c>
      <c r="M1314" t="s">
        <v>47</v>
      </c>
      <c r="N1314" t="str">
        <f>_xlfn.XLOOKUP(B1314,tblCustomers[customer_id],tblCustomers[region],"Missing")</f>
        <v>West</v>
      </c>
      <c r="O1314" t="str">
        <f>_xlfn.XLOOKUP(C1314,tblProducts[product_id],tblProducts[product_name],"Missing")</f>
        <v>CRM Enterprise</v>
      </c>
      <c r="P1314" t="str">
        <f>_xlfn.XLOOKUP(C1314,tblProducts[product_id],tblProducts[category],"Missing")</f>
        <v>CRM</v>
      </c>
      <c r="Q1314" t="str">
        <f>_xlfn.XLOOKUP(D1314,tblSalesReps[rep_id],tblSalesReps[rep_name],"Missing")</f>
        <v>Sales Rep 12</v>
      </c>
      <c r="R1314" t="str">
        <f>_xlfn.XLOOKUP(D1314,tblSalesReps[rep_id],tblSalesReps[region],"Missing")</f>
        <v>West</v>
      </c>
    </row>
    <row r="1315" spans="1:18">
      <c r="A1315" t="s">
        <v>1827</v>
      </c>
      <c r="B1315" t="s">
        <v>1280</v>
      </c>
      <c r="C1315" t="s">
        <v>81</v>
      </c>
      <c r="D1315" t="s">
        <v>16</v>
      </c>
      <c r="E1315" s="1">
        <v>45737</v>
      </c>
      <c r="F1315" s="1">
        <v>45789</v>
      </c>
      <c r="G1315" s="1">
        <v>45789</v>
      </c>
      <c r="H1315" t="s">
        <v>17</v>
      </c>
      <c r="I1315">
        <v>3</v>
      </c>
      <c r="J1315">
        <v>20</v>
      </c>
      <c r="K1315">
        <v>720000</v>
      </c>
      <c r="L1315">
        <v>0</v>
      </c>
      <c r="M1315" t="s">
        <v>23</v>
      </c>
      <c r="N1315" t="str">
        <f>_xlfn.XLOOKUP(B1315,tblCustomers[customer_id],tblCustomers[region],"Missing")</f>
        <v>North</v>
      </c>
      <c r="O1315" t="str">
        <f>_xlfn.XLOOKUP(C1315,tblProducts[product_id],tblProducts[product_name],"Missing")</f>
        <v>Analytics Cloud</v>
      </c>
      <c r="P1315" t="str">
        <f>_xlfn.XLOOKUP(C1315,tblProducts[product_id],tblProducts[category],"Missing")</f>
        <v>Analytics</v>
      </c>
      <c r="Q1315" t="str">
        <f>_xlfn.XLOOKUP(D1315,tblSalesReps[rep_id],tblSalesReps[rep_name],"Missing")</f>
        <v>Sales Rep 08</v>
      </c>
      <c r="R1315" t="str">
        <f>_xlfn.XLOOKUP(D1315,tblSalesReps[rep_id],tblSalesReps[region],"Missing")</f>
        <v>North</v>
      </c>
    </row>
    <row r="1316" spans="1:18">
      <c r="A1316" t="s">
        <v>1828</v>
      </c>
      <c r="B1316" t="s">
        <v>828</v>
      </c>
      <c r="C1316" t="s">
        <v>39</v>
      </c>
      <c r="D1316" t="s">
        <v>70</v>
      </c>
      <c r="E1316" s="1">
        <v>45774</v>
      </c>
      <c r="F1316" s="1">
        <v>45794</v>
      </c>
      <c r="G1316" s="1">
        <v>45794</v>
      </c>
      <c r="H1316" t="s">
        <v>17</v>
      </c>
      <c r="I1316">
        <v>1</v>
      </c>
      <c r="J1316">
        <v>5</v>
      </c>
      <c r="K1316">
        <v>171000</v>
      </c>
      <c r="L1316">
        <v>0</v>
      </c>
      <c r="M1316" t="s">
        <v>23</v>
      </c>
      <c r="N1316" t="str">
        <f>_xlfn.XLOOKUP(B1316,tblCustomers[customer_id],tblCustomers[region],"Missing")</f>
        <v>West</v>
      </c>
      <c r="O1316" t="str">
        <f>_xlfn.XLOOKUP(C1316,tblProducts[product_id],tblProducts[product_name],"Missing")</f>
        <v>Support Desk</v>
      </c>
      <c r="P1316" t="str">
        <f>_xlfn.XLOOKUP(C1316,tblProducts[product_id],tblProducts[category],"Missing")</f>
        <v>Service</v>
      </c>
      <c r="Q1316" t="str">
        <f>_xlfn.XLOOKUP(D1316,tblSalesReps[rep_id],tblSalesReps[rep_name],"Missing")</f>
        <v>Sales Rep 11</v>
      </c>
      <c r="R1316" t="str">
        <f>_xlfn.XLOOKUP(D1316,tblSalesReps[rep_id],tblSalesReps[region],"Missing")</f>
        <v>West</v>
      </c>
    </row>
    <row r="1317" spans="1:18">
      <c r="A1317" t="s">
        <v>1829</v>
      </c>
      <c r="B1317" t="s">
        <v>653</v>
      </c>
      <c r="C1317" t="s">
        <v>26</v>
      </c>
      <c r="D1317" t="s">
        <v>152</v>
      </c>
      <c r="E1317" s="1">
        <v>45908</v>
      </c>
      <c r="F1317" s="1">
        <v>45920</v>
      </c>
      <c r="G1317" s="1">
        <v>45920</v>
      </c>
      <c r="H1317" t="s">
        <v>17</v>
      </c>
      <c r="I1317">
        <v>3</v>
      </c>
      <c r="J1317">
        <v>15</v>
      </c>
      <c r="K1317">
        <v>918000</v>
      </c>
      <c r="L1317">
        <v>0</v>
      </c>
      <c r="M1317" t="s">
        <v>23</v>
      </c>
      <c r="N1317" t="str">
        <f>_xlfn.XLOOKUP(B1317,tblCustomers[customer_id],tblCustomers[region],"Missing")</f>
        <v>East</v>
      </c>
      <c r="O1317" t="str">
        <f>_xlfn.XLOOKUP(C1317,tblProducts[product_id],tblProducts[product_name],"Missing")</f>
        <v>Security Suite</v>
      </c>
      <c r="P1317" t="str">
        <f>_xlfn.XLOOKUP(C1317,tblProducts[product_id],tblProducts[category],"Missing")</f>
        <v>Security</v>
      </c>
      <c r="Q1317" t="str">
        <f>_xlfn.XLOOKUP(D1317,tblSalesReps[rep_id],tblSalesReps[rep_name],"Missing")</f>
        <v>Sales Rep 18</v>
      </c>
      <c r="R1317" t="str">
        <f>_xlfn.XLOOKUP(D1317,tblSalesReps[rep_id],tblSalesReps[region],"Missing")</f>
        <v>East</v>
      </c>
    </row>
    <row r="1318" spans="1:18">
      <c r="A1318" t="s">
        <v>1830</v>
      </c>
      <c r="B1318" t="s">
        <v>803</v>
      </c>
      <c r="C1318" t="s">
        <v>21</v>
      </c>
      <c r="D1318" t="s">
        <v>75</v>
      </c>
      <c r="E1318" s="1">
        <v>45812</v>
      </c>
      <c r="F1318" s="1">
        <v>45861</v>
      </c>
      <c r="G1318" s="1">
        <v>45861</v>
      </c>
      <c r="H1318" t="s">
        <v>28</v>
      </c>
      <c r="I1318">
        <v>1</v>
      </c>
      <c r="J1318">
        <v>20</v>
      </c>
      <c r="K1318">
        <v>192000</v>
      </c>
      <c r="L1318">
        <v>100</v>
      </c>
      <c r="M1318" t="s">
        <v>29</v>
      </c>
      <c r="N1318" t="str">
        <f>_xlfn.XLOOKUP(B1318,tblCustomers[customer_id],tblCustomers[region],"Missing")</f>
        <v>North</v>
      </c>
      <c r="O1318" t="str">
        <f>_xlfn.XLOOKUP(C1318,tblProducts[product_id],tblProducts[product_name],"Missing")</f>
        <v>Workflow Automate</v>
      </c>
      <c r="P1318" t="str">
        <f>_xlfn.XLOOKUP(C1318,tblProducts[product_id],tblProducts[category],"Missing")</f>
        <v>Automation</v>
      </c>
      <c r="Q1318" t="str">
        <f>_xlfn.XLOOKUP(D1318,tblSalesReps[rep_id],tblSalesReps[rep_name],"Missing")</f>
        <v>Sales Rep 07</v>
      </c>
      <c r="R1318" t="str">
        <f>_xlfn.XLOOKUP(D1318,tblSalesReps[rep_id],tblSalesReps[region],"Missing")</f>
        <v>North</v>
      </c>
    </row>
    <row r="1319" spans="1:18">
      <c r="A1319" t="s">
        <v>1831</v>
      </c>
      <c r="B1319" t="s">
        <v>1076</v>
      </c>
      <c r="C1319" t="s">
        <v>39</v>
      </c>
      <c r="D1319" t="s">
        <v>119</v>
      </c>
      <c r="E1319" s="1">
        <v>45970</v>
      </c>
      <c r="F1319" s="1">
        <v>46026</v>
      </c>
      <c r="G1319" s="1"/>
      <c r="H1319" t="s">
        <v>43</v>
      </c>
      <c r="I1319">
        <v>1</v>
      </c>
      <c r="J1319">
        <v>10</v>
      </c>
      <c r="K1319">
        <v>162000</v>
      </c>
      <c r="L1319">
        <v>80</v>
      </c>
      <c r="M1319" t="s">
        <v>29</v>
      </c>
      <c r="N1319" t="str">
        <f>_xlfn.XLOOKUP(B1319,tblCustomers[customer_id],tblCustomers[region],"Missing")</f>
        <v>North</v>
      </c>
      <c r="O1319" t="str">
        <f>_xlfn.XLOOKUP(C1319,tblProducts[product_id],tblProducts[product_name],"Missing")</f>
        <v>Support Desk</v>
      </c>
      <c r="P1319" t="str">
        <f>_xlfn.XLOOKUP(C1319,tblProducts[product_id],tblProducts[category],"Missing")</f>
        <v>Service</v>
      </c>
      <c r="Q1319" t="str">
        <f>_xlfn.XLOOKUP(D1319,tblSalesReps[rep_id],tblSalesReps[rep_name],"Missing")</f>
        <v>Sales Rep 10</v>
      </c>
      <c r="R1319" t="str">
        <f>_xlfn.XLOOKUP(D1319,tblSalesReps[rep_id],tblSalesReps[region],"Missing")</f>
        <v>North</v>
      </c>
    </row>
    <row r="1320" spans="1:18">
      <c r="A1320" t="s">
        <v>1832</v>
      </c>
      <c r="B1320" t="s">
        <v>1092</v>
      </c>
      <c r="C1320" t="s">
        <v>15</v>
      </c>
      <c r="D1320" t="s">
        <v>53</v>
      </c>
      <c r="E1320" s="1">
        <v>45771</v>
      </c>
      <c r="F1320" s="1">
        <v>45834</v>
      </c>
      <c r="G1320" s="1"/>
      <c r="H1320" t="s">
        <v>43</v>
      </c>
      <c r="I1320">
        <v>1</v>
      </c>
      <c r="J1320">
        <v>5</v>
      </c>
      <c r="K1320">
        <v>399000</v>
      </c>
      <c r="L1320">
        <v>80</v>
      </c>
      <c r="M1320" t="s">
        <v>29</v>
      </c>
      <c r="N1320" t="str">
        <f>_xlfn.XLOOKUP(B1320,tblCustomers[customer_id],tblCustomers[region],"Missing")</f>
        <v>East</v>
      </c>
      <c r="O1320" t="str">
        <f>_xlfn.XLOOKUP(C1320,tblProducts[product_id],tblProducts[product_name],"Missing")</f>
        <v>CRM Enterprise</v>
      </c>
      <c r="P1320" t="str">
        <f>_xlfn.XLOOKUP(C1320,tblProducts[product_id],tblProducts[category],"Missing")</f>
        <v>CRM</v>
      </c>
      <c r="Q1320" t="str">
        <f>_xlfn.XLOOKUP(D1320,tblSalesReps[rep_id],tblSalesReps[rep_name],"Missing")</f>
        <v>Sales Rep 16</v>
      </c>
      <c r="R1320" t="str">
        <f>_xlfn.XLOOKUP(D1320,tblSalesReps[rep_id],tblSalesReps[region],"Missing")</f>
        <v>East</v>
      </c>
    </row>
    <row r="1321" spans="1:18">
      <c r="A1321" t="s">
        <v>1833</v>
      </c>
      <c r="B1321" t="s">
        <v>1834</v>
      </c>
      <c r="C1321" t="s">
        <v>21</v>
      </c>
      <c r="D1321" t="s">
        <v>56</v>
      </c>
      <c r="E1321" s="1">
        <v>45950</v>
      </c>
      <c r="F1321" s="1">
        <v>45959</v>
      </c>
      <c r="G1321" s="1">
        <v>45959</v>
      </c>
      <c r="H1321" t="s">
        <v>28</v>
      </c>
      <c r="I1321">
        <v>3</v>
      </c>
      <c r="J1321">
        <v>10</v>
      </c>
      <c r="K1321">
        <v>648000</v>
      </c>
      <c r="L1321">
        <v>100</v>
      </c>
      <c r="M1321" t="s">
        <v>29</v>
      </c>
      <c r="N1321" t="str">
        <f>_xlfn.XLOOKUP(B1321,tblCustomers[customer_id],tblCustomers[region],"Missing")</f>
        <v>East</v>
      </c>
      <c r="O1321" t="str">
        <f>_xlfn.XLOOKUP(C1321,tblProducts[product_id],tblProducts[product_name],"Missing")</f>
        <v>Workflow Automate</v>
      </c>
      <c r="P1321" t="str">
        <f>_xlfn.XLOOKUP(C1321,tblProducts[product_id],tblProducts[category],"Missing")</f>
        <v>Automation</v>
      </c>
      <c r="Q1321" t="str">
        <f>_xlfn.XLOOKUP(D1321,tblSalesReps[rep_id],tblSalesReps[rep_name],"Missing")</f>
        <v>Sales Rep 20</v>
      </c>
      <c r="R1321" t="str">
        <f>_xlfn.XLOOKUP(D1321,tblSalesReps[rep_id],tblSalesReps[region],"Missing")</f>
        <v>East</v>
      </c>
    </row>
    <row r="1322" spans="1:18">
      <c r="A1322" t="s">
        <v>1835</v>
      </c>
      <c r="B1322" t="s">
        <v>1511</v>
      </c>
      <c r="C1322" t="s">
        <v>21</v>
      </c>
      <c r="D1322" t="s">
        <v>126</v>
      </c>
      <c r="E1322" s="1">
        <v>45924</v>
      </c>
      <c r="F1322" s="1">
        <v>46000</v>
      </c>
      <c r="G1322" s="1">
        <v>46000</v>
      </c>
      <c r="H1322" t="s">
        <v>17</v>
      </c>
      <c r="I1322">
        <v>2</v>
      </c>
      <c r="J1322">
        <v>0</v>
      </c>
      <c r="K1322">
        <v>480000</v>
      </c>
      <c r="L1322">
        <v>0</v>
      </c>
      <c r="M1322" t="s">
        <v>23</v>
      </c>
      <c r="N1322" t="str">
        <f>_xlfn.XLOOKUP(B1322,tblCustomers[customer_id],tblCustomers[region],"Missing")</f>
        <v>South</v>
      </c>
      <c r="O1322" t="str">
        <f>_xlfn.XLOOKUP(C1322,tblProducts[product_id],tblProducts[product_name],"Missing")</f>
        <v>Workflow Automate</v>
      </c>
      <c r="P1322" t="str">
        <f>_xlfn.XLOOKUP(C1322,tblProducts[product_id],tblProducts[category],"Missing")</f>
        <v>Automation</v>
      </c>
      <c r="Q1322" t="str">
        <f>_xlfn.XLOOKUP(D1322,tblSalesReps[rep_id],tblSalesReps[rep_name],"Missing")</f>
        <v>Sales Rep 02</v>
      </c>
      <c r="R1322" t="str">
        <f>_xlfn.XLOOKUP(D1322,tblSalesReps[rep_id],tblSalesReps[region],"Missing")</f>
        <v>South</v>
      </c>
    </row>
    <row r="1323" spans="1:18">
      <c r="A1323" t="s">
        <v>1836</v>
      </c>
      <c r="B1323" t="s">
        <v>828</v>
      </c>
      <c r="C1323" t="s">
        <v>21</v>
      </c>
      <c r="D1323" t="s">
        <v>40</v>
      </c>
      <c r="E1323" s="1">
        <v>45885</v>
      </c>
      <c r="F1323" s="1">
        <v>45902</v>
      </c>
      <c r="G1323" s="1"/>
      <c r="H1323" t="s">
        <v>43</v>
      </c>
      <c r="I1323">
        <v>2</v>
      </c>
      <c r="J1323">
        <v>10</v>
      </c>
      <c r="K1323">
        <v>432000</v>
      </c>
      <c r="L1323">
        <v>40</v>
      </c>
      <c r="M1323" t="s">
        <v>29</v>
      </c>
      <c r="N1323" t="str">
        <f>_xlfn.XLOOKUP(B1323,tblCustomers[customer_id],tblCustomers[region],"Missing")</f>
        <v>West</v>
      </c>
      <c r="O1323" t="str">
        <f>_xlfn.XLOOKUP(C1323,tblProducts[product_id],tblProducts[product_name],"Missing")</f>
        <v>Workflow Automate</v>
      </c>
      <c r="P1323" t="str">
        <f>_xlfn.XLOOKUP(C1323,tblProducts[product_id],tblProducts[category],"Missing")</f>
        <v>Automation</v>
      </c>
      <c r="Q1323" t="str">
        <f>_xlfn.XLOOKUP(D1323,tblSalesReps[rep_id],tblSalesReps[rep_name],"Missing")</f>
        <v>Sales Rep 13</v>
      </c>
      <c r="R1323" t="str">
        <f>_xlfn.XLOOKUP(D1323,tblSalesReps[rep_id],tblSalesReps[region],"Missing")</f>
        <v>West</v>
      </c>
    </row>
    <row r="1324" spans="1:18">
      <c r="A1324" t="s">
        <v>1837</v>
      </c>
      <c r="B1324" t="s">
        <v>483</v>
      </c>
      <c r="C1324" t="s">
        <v>15</v>
      </c>
      <c r="D1324" t="s">
        <v>59</v>
      </c>
      <c r="E1324" s="1">
        <v>45862</v>
      </c>
      <c r="F1324" s="1">
        <v>45889</v>
      </c>
      <c r="G1324" s="1">
        <v>45889</v>
      </c>
      <c r="H1324" t="s">
        <v>17</v>
      </c>
      <c r="I1324">
        <v>3</v>
      </c>
      <c r="J1324">
        <v>15</v>
      </c>
      <c r="K1324">
        <v>1071000</v>
      </c>
      <c r="L1324">
        <v>0</v>
      </c>
      <c r="M1324" t="s">
        <v>18</v>
      </c>
      <c r="N1324" t="str">
        <f>_xlfn.XLOOKUP(B1324,tblCustomers[customer_id],tblCustomers[region],"Missing")</f>
        <v>East</v>
      </c>
      <c r="O1324" t="str">
        <f>_xlfn.XLOOKUP(C1324,tblProducts[product_id],tblProducts[product_name],"Missing")</f>
        <v>CRM Enterprise</v>
      </c>
      <c r="P1324" t="str">
        <f>_xlfn.XLOOKUP(C1324,tblProducts[product_id],tblProducts[category],"Missing")</f>
        <v>CRM</v>
      </c>
      <c r="Q1324" t="str">
        <f>_xlfn.XLOOKUP(D1324,tblSalesReps[rep_id],tblSalesReps[rep_name],"Missing")</f>
        <v>Sales Rep 19</v>
      </c>
      <c r="R1324" t="str">
        <f>_xlfn.XLOOKUP(D1324,tblSalesReps[rep_id],tblSalesReps[region],"Missing")</f>
        <v>East</v>
      </c>
    </row>
    <row r="1325" spans="1:18">
      <c r="A1325" t="s">
        <v>1838</v>
      </c>
      <c r="B1325" t="s">
        <v>626</v>
      </c>
      <c r="C1325" t="s">
        <v>15</v>
      </c>
      <c r="D1325" t="s">
        <v>40</v>
      </c>
      <c r="E1325" s="1">
        <v>45920</v>
      </c>
      <c r="F1325" s="1">
        <v>45931</v>
      </c>
      <c r="G1325" s="1">
        <v>45931</v>
      </c>
      <c r="H1325" t="s">
        <v>28</v>
      </c>
      <c r="I1325">
        <v>1</v>
      </c>
      <c r="J1325">
        <v>0</v>
      </c>
      <c r="K1325">
        <v>420000</v>
      </c>
      <c r="L1325">
        <v>100</v>
      </c>
      <c r="M1325" t="s">
        <v>29</v>
      </c>
      <c r="N1325" t="str">
        <f>_xlfn.XLOOKUP(B1325,tblCustomers[customer_id],tblCustomers[region],"Missing")</f>
        <v>West</v>
      </c>
      <c r="O1325" t="str">
        <f>_xlfn.XLOOKUP(C1325,tblProducts[product_id],tblProducts[product_name],"Missing")</f>
        <v>CRM Enterprise</v>
      </c>
      <c r="P1325" t="str">
        <f>_xlfn.XLOOKUP(C1325,tblProducts[product_id],tblProducts[category],"Missing")</f>
        <v>CRM</v>
      </c>
      <c r="Q1325" t="str">
        <f>_xlfn.XLOOKUP(D1325,tblSalesReps[rep_id],tblSalesReps[rep_name],"Missing")</f>
        <v>Sales Rep 13</v>
      </c>
      <c r="R1325" t="str">
        <f>_xlfn.XLOOKUP(D1325,tblSalesReps[rep_id],tblSalesReps[region],"Missing")</f>
        <v>West</v>
      </c>
    </row>
    <row r="1326" spans="1:18">
      <c r="A1326" t="s">
        <v>1839</v>
      </c>
      <c r="B1326" t="s">
        <v>553</v>
      </c>
      <c r="C1326" t="s">
        <v>39</v>
      </c>
      <c r="D1326" t="s">
        <v>152</v>
      </c>
      <c r="E1326" s="1">
        <v>45819</v>
      </c>
      <c r="F1326" s="1">
        <v>45900</v>
      </c>
      <c r="G1326" s="1">
        <v>45900</v>
      </c>
      <c r="H1326" t="s">
        <v>17</v>
      </c>
      <c r="I1326">
        <v>1</v>
      </c>
      <c r="J1326">
        <v>15</v>
      </c>
      <c r="K1326">
        <v>153000</v>
      </c>
      <c r="L1326">
        <v>0</v>
      </c>
      <c r="M1326" t="s">
        <v>82</v>
      </c>
      <c r="N1326" t="str">
        <f>_xlfn.XLOOKUP(B1326,tblCustomers[customer_id],tblCustomers[region],"Missing")</f>
        <v>East</v>
      </c>
      <c r="O1326" t="str">
        <f>_xlfn.XLOOKUP(C1326,tblProducts[product_id],tblProducts[product_name],"Missing")</f>
        <v>Support Desk</v>
      </c>
      <c r="P1326" t="str">
        <f>_xlfn.XLOOKUP(C1326,tblProducts[product_id],tblProducts[category],"Missing")</f>
        <v>Service</v>
      </c>
      <c r="Q1326" t="str">
        <f>_xlfn.XLOOKUP(D1326,tblSalesReps[rep_id],tblSalesReps[rep_name],"Missing")</f>
        <v>Sales Rep 18</v>
      </c>
      <c r="R1326" t="str">
        <f>_xlfn.XLOOKUP(D1326,tblSalesReps[rep_id],tblSalesReps[region],"Missing")</f>
        <v>East</v>
      </c>
    </row>
    <row r="1327" spans="1:18">
      <c r="A1327" t="s">
        <v>1840</v>
      </c>
      <c r="B1327" t="s">
        <v>273</v>
      </c>
      <c r="C1327" t="s">
        <v>15</v>
      </c>
      <c r="D1327" t="s">
        <v>75</v>
      </c>
      <c r="E1327" s="1">
        <v>45700</v>
      </c>
      <c r="F1327" s="1">
        <v>45775</v>
      </c>
      <c r="G1327" s="1">
        <v>45775</v>
      </c>
      <c r="H1327" t="s">
        <v>28</v>
      </c>
      <c r="I1327">
        <v>1</v>
      </c>
      <c r="J1327">
        <v>20</v>
      </c>
      <c r="K1327">
        <v>336000</v>
      </c>
      <c r="L1327">
        <v>100</v>
      </c>
      <c r="M1327" t="s">
        <v>29</v>
      </c>
      <c r="N1327" t="str">
        <f>_xlfn.XLOOKUP(B1327,tblCustomers[customer_id],tblCustomers[region],"Missing")</f>
        <v>North</v>
      </c>
      <c r="O1327" t="str">
        <f>_xlfn.XLOOKUP(C1327,tblProducts[product_id],tblProducts[product_name],"Missing")</f>
        <v>CRM Enterprise</v>
      </c>
      <c r="P1327" t="str">
        <f>_xlfn.XLOOKUP(C1327,tblProducts[product_id],tblProducts[category],"Missing")</f>
        <v>CRM</v>
      </c>
      <c r="Q1327" t="str">
        <f>_xlfn.XLOOKUP(D1327,tblSalesReps[rep_id],tblSalesReps[rep_name],"Missing")</f>
        <v>Sales Rep 07</v>
      </c>
      <c r="R1327" t="str">
        <f>_xlfn.XLOOKUP(D1327,tblSalesReps[rep_id],tblSalesReps[region],"Missing")</f>
        <v>North</v>
      </c>
    </row>
    <row r="1328" spans="1:18">
      <c r="A1328" t="s">
        <v>1841</v>
      </c>
      <c r="B1328" t="s">
        <v>559</v>
      </c>
      <c r="C1328" t="s">
        <v>39</v>
      </c>
      <c r="D1328" t="s">
        <v>70</v>
      </c>
      <c r="E1328" s="1">
        <v>45884</v>
      </c>
      <c r="F1328" s="1">
        <v>45953</v>
      </c>
      <c r="G1328" s="1">
        <v>45953</v>
      </c>
      <c r="H1328" t="s">
        <v>28</v>
      </c>
      <c r="I1328">
        <v>1</v>
      </c>
      <c r="J1328">
        <v>5</v>
      </c>
      <c r="K1328">
        <v>171000</v>
      </c>
      <c r="L1328">
        <v>100</v>
      </c>
      <c r="M1328" t="s">
        <v>29</v>
      </c>
      <c r="N1328" t="str">
        <f>_xlfn.XLOOKUP(B1328,tblCustomers[customer_id],tblCustomers[region],"Missing")</f>
        <v>West</v>
      </c>
      <c r="O1328" t="str">
        <f>_xlfn.XLOOKUP(C1328,tblProducts[product_id],tblProducts[product_name],"Missing")</f>
        <v>Support Desk</v>
      </c>
      <c r="P1328" t="str">
        <f>_xlfn.XLOOKUP(C1328,tblProducts[product_id],tblProducts[category],"Missing")</f>
        <v>Service</v>
      </c>
      <c r="Q1328" t="str">
        <f>_xlfn.XLOOKUP(D1328,tblSalesReps[rep_id],tblSalesReps[rep_name],"Missing")</f>
        <v>Sales Rep 11</v>
      </c>
      <c r="R1328" t="str">
        <f>_xlfn.XLOOKUP(D1328,tblSalesReps[rep_id],tblSalesReps[region],"Missing")</f>
        <v>West</v>
      </c>
    </row>
    <row r="1329" spans="1:18">
      <c r="A1329" t="s">
        <v>1842</v>
      </c>
      <c r="B1329" t="s">
        <v>1843</v>
      </c>
      <c r="C1329" t="s">
        <v>15</v>
      </c>
      <c r="D1329" t="s">
        <v>50</v>
      </c>
      <c r="E1329" s="1">
        <v>45748</v>
      </c>
      <c r="F1329" s="1">
        <v>45803</v>
      </c>
      <c r="G1329" s="1"/>
      <c r="H1329" t="s">
        <v>43</v>
      </c>
      <c r="I1329">
        <v>3</v>
      </c>
      <c r="J1329">
        <v>5</v>
      </c>
      <c r="K1329">
        <v>1197000</v>
      </c>
      <c r="L1329">
        <v>80</v>
      </c>
      <c r="M1329" t="s">
        <v>29</v>
      </c>
      <c r="N1329" t="str">
        <f>_xlfn.XLOOKUP(B1329,tblCustomers[customer_id],tblCustomers[region],"Missing")</f>
        <v>West</v>
      </c>
      <c r="O1329" t="str">
        <f>_xlfn.XLOOKUP(C1329,tblProducts[product_id],tblProducts[product_name],"Missing")</f>
        <v>CRM Enterprise</v>
      </c>
      <c r="P1329" t="str">
        <f>_xlfn.XLOOKUP(C1329,tblProducts[product_id],tblProducts[category],"Missing")</f>
        <v>CRM</v>
      </c>
      <c r="Q1329" t="str">
        <f>_xlfn.XLOOKUP(D1329,tblSalesReps[rep_id],tblSalesReps[rep_name],"Missing")</f>
        <v>Sales Rep 15</v>
      </c>
      <c r="R1329" t="str">
        <f>_xlfn.XLOOKUP(D1329,tblSalesReps[rep_id],tblSalesReps[region],"Missing")</f>
        <v>West</v>
      </c>
    </row>
    <row r="1330" spans="1:18">
      <c r="A1330" t="s">
        <v>1844</v>
      </c>
      <c r="B1330" t="s">
        <v>623</v>
      </c>
      <c r="C1330" t="s">
        <v>15</v>
      </c>
      <c r="D1330" t="s">
        <v>53</v>
      </c>
      <c r="E1330" s="1">
        <v>45776</v>
      </c>
      <c r="F1330" s="1">
        <v>45847</v>
      </c>
      <c r="G1330" s="1">
        <v>45847</v>
      </c>
      <c r="H1330" t="s">
        <v>17</v>
      </c>
      <c r="I1330">
        <v>1</v>
      </c>
      <c r="J1330">
        <v>10</v>
      </c>
      <c r="K1330">
        <v>378000</v>
      </c>
      <c r="L1330">
        <v>0</v>
      </c>
      <c r="M1330" t="s">
        <v>23</v>
      </c>
      <c r="N1330" t="str">
        <f>_xlfn.XLOOKUP(B1330,tblCustomers[customer_id],tblCustomers[region],"Missing")</f>
        <v>East</v>
      </c>
      <c r="O1330" t="str">
        <f>_xlfn.XLOOKUP(C1330,tblProducts[product_id],tblProducts[product_name],"Missing")</f>
        <v>CRM Enterprise</v>
      </c>
      <c r="P1330" t="str">
        <f>_xlfn.XLOOKUP(C1330,tblProducts[product_id],tblProducts[category],"Missing")</f>
        <v>CRM</v>
      </c>
      <c r="Q1330" t="str">
        <f>_xlfn.XLOOKUP(D1330,tblSalesReps[rep_id],tblSalesReps[rep_name],"Missing")</f>
        <v>Sales Rep 16</v>
      </c>
      <c r="R1330" t="str">
        <f>_xlfn.XLOOKUP(D1330,tblSalesReps[rep_id],tblSalesReps[region],"Missing")</f>
        <v>East</v>
      </c>
    </row>
    <row r="1331" spans="1:18">
      <c r="A1331" t="s">
        <v>1845</v>
      </c>
      <c r="B1331" t="s">
        <v>1237</v>
      </c>
      <c r="C1331" t="s">
        <v>15</v>
      </c>
      <c r="D1331" t="s">
        <v>126</v>
      </c>
      <c r="E1331" s="1">
        <v>45849</v>
      </c>
      <c r="F1331" s="1">
        <v>45918</v>
      </c>
      <c r="G1331" s="1">
        <v>45918</v>
      </c>
      <c r="H1331" t="s">
        <v>17</v>
      </c>
      <c r="I1331">
        <v>3</v>
      </c>
      <c r="J1331">
        <v>15</v>
      </c>
      <c r="K1331">
        <v>1071000</v>
      </c>
      <c r="L1331">
        <v>0</v>
      </c>
      <c r="M1331" t="s">
        <v>33</v>
      </c>
      <c r="N1331" t="str">
        <f>_xlfn.XLOOKUP(B1331,tblCustomers[customer_id],tblCustomers[region],"Missing")</f>
        <v>South</v>
      </c>
      <c r="O1331" t="str">
        <f>_xlfn.XLOOKUP(C1331,tblProducts[product_id],tblProducts[product_name],"Missing")</f>
        <v>CRM Enterprise</v>
      </c>
      <c r="P1331" t="str">
        <f>_xlfn.XLOOKUP(C1331,tblProducts[product_id],tblProducts[category],"Missing")</f>
        <v>CRM</v>
      </c>
      <c r="Q1331" t="str">
        <f>_xlfn.XLOOKUP(D1331,tblSalesReps[rep_id],tblSalesReps[rep_name],"Missing")</f>
        <v>Sales Rep 02</v>
      </c>
      <c r="R1331" t="str">
        <f>_xlfn.XLOOKUP(D1331,tblSalesReps[rep_id],tblSalesReps[region],"Missing")</f>
        <v>South</v>
      </c>
    </row>
    <row r="1332" spans="1:18">
      <c r="A1332" t="s">
        <v>1846</v>
      </c>
      <c r="B1332" t="s">
        <v>123</v>
      </c>
      <c r="C1332" t="s">
        <v>26</v>
      </c>
      <c r="D1332" t="s">
        <v>91</v>
      </c>
      <c r="E1332" s="1">
        <v>45878</v>
      </c>
      <c r="F1332" s="1">
        <v>45903</v>
      </c>
      <c r="G1332" s="1">
        <v>45903</v>
      </c>
      <c r="H1332" t="s">
        <v>28</v>
      </c>
      <c r="I1332">
        <v>1</v>
      </c>
      <c r="J1332">
        <v>10</v>
      </c>
      <c r="K1332">
        <v>324000</v>
      </c>
      <c r="L1332">
        <v>100</v>
      </c>
      <c r="M1332" t="s">
        <v>29</v>
      </c>
      <c r="N1332" t="str">
        <f>_xlfn.XLOOKUP(B1332,tblCustomers[customer_id],tblCustomers[region],"Missing")</f>
        <v>South</v>
      </c>
      <c r="O1332" t="str">
        <f>_xlfn.XLOOKUP(C1332,tblProducts[product_id],tblProducts[product_name],"Missing")</f>
        <v>Security Suite</v>
      </c>
      <c r="P1332" t="str">
        <f>_xlfn.XLOOKUP(C1332,tblProducts[product_id],tblProducts[category],"Missing")</f>
        <v>Security</v>
      </c>
      <c r="Q1332" t="str">
        <f>_xlfn.XLOOKUP(D1332,tblSalesReps[rep_id],tblSalesReps[rep_name],"Missing")</f>
        <v>Sales Rep 03</v>
      </c>
      <c r="R1332" t="str">
        <f>_xlfn.XLOOKUP(D1332,tblSalesReps[rep_id],tblSalesReps[region],"Missing")</f>
        <v>South</v>
      </c>
    </row>
    <row r="1333" spans="1:18">
      <c r="A1333" t="s">
        <v>1847</v>
      </c>
      <c r="B1333" t="s">
        <v>247</v>
      </c>
      <c r="C1333" t="s">
        <v>15</v>
      </c>
      <c r="D1333" t="s">
        <v>75</v>
      </c>
      <c r="E1333" s="1">
        <v>45658</v>
      </c>
      <c r="F1333" s="1">
        <v>45709</v>
      </c>
      <c r="G1333" s="1">
        <v>45709</v>
      </c>
      <c r="H1333" t="s">
        <v>28</v>
      </c>
      <c r="I1333">
        <v>1</v>
      </c>
      <c r="J1333">
        <v>5</v>
      </c>
      <c r="K1333">
        <v>399000</v>
      </c>
      <c r="L1333">
        <v>100</v>
      </c>
      <c r="M1333" t="s">
        <v>29</v>
      </c>
      <c r="N1333" t="str">
        <f>_xlfn.XLOOKUP(B1333,tblCustomers[customer_id],tblCustomers[region],"Missing")</f>
        <v>North</v>
      </c>
      <c r="O1333" t="str">
        <f>_xlfn.XLOOKUP(C1333,tblProducts[product_id],tblProducts[product_name],"Missing")</f>
        <v>CRM Enterprise</v>
      </c>
      <c r="P1333" t="str">
        <f>_xlfn.XLOOKUP(C1333,tblProducts[product_id],tblProducts[category],"Missing")</f>
        <v>CRM</v>
      </c>
      <c r="Q1333" t="str">
        <f>_xlfn.XLOOKUP(D1333,tblSalesReps[rep_id],tblSalesReps[rep_name],"Missing")</f>
        <v>Sales Rep 07</v>
      </c>
      <c r="R1333" t="str">
        <f>_xlfn.XLOOKUP(D1333,tblSalesReps[rep_id],tblSalesReps[region],"Missing")</f>
        <v>North</v>
      </c>
    </row>
    <row r="1334" spans="1:18">
      <c r="A1334" t="s">
        <v>1848</v>
      </c>
      <c r="B1334" t="s">
        <v>410</v>
      </c>
      <c r="C1334" t="s">
        <v>21</v>
      </c>
      <c r="D1334" t="s">
        <v>36</v>
      </c>
      <c r="E1334" s="1">
        <v>45806</v>
      </c>
      <c r="F1334" s="1">
        <v>45849</v>
      </c>
      <c r="G1334" s="1">
        <v>45849</v>
      </c>
      <c r="H1334" t="s">
        <v>17</v>
      </c>
      <c r="I1334">
        <v>1</v>
      </c>
      <c r="J1334">
        <v>15</v>
      </c>
      <c r="K1334">
        <v>204000</v>
      </c>
      <c r="L1334">
        <v>0</v>
      </c>
      <c r="M1334" t="s">
        <v>23</v>
      </c>
      <c r="N1334" t="str">
        <f>_xlfn.XLOOKUP(B1334,tblCustomers[customer_id],tblCustomers[region],"Missing")</f>
        <v>North</v>
      </c>
      <c r="O1334" t="str">
        <f>_xlfn.XLOOKUP(C1334,tblProducts[product_id],tblProducts[product_name],"Missing")</f>
        <v>Workflow Automate</v>
      </c>
      <c r="P1334" t="str">
        <f>_xlfn.XLOOKUP(C1334,tblProducts[product_id],tblProducts[category],"Missing")</f>
        <v>Automation</v>
      </c>
      <c r="Q1334" t="str">
        <f>_xlfn.XLOOKUP(D1334,tblSalesReps[rep_id],tblSalesReps[rep_name],"Missing")</f>
        <v>Sales Rep 09</v>
      </c>
      <c r="R1334" t="str">
        <f>_xlfn.XLOOKUP(D1334,tblSalesReps[rep_id],tblSalesReps[region],"Missing")</f>
        <v>North</v>
      </c>
    </row>
    <row r="1335" spans="1:18">
      <c r="A1335" t="s">
        <v>1849</v>
      </c>
      <c r="B1335" t="s">
        <v>129</v>
      </c>
      <c r="C1335" t="s">
        <v>21</v>
      </c>
      <c r="D1335" t="s">
        <v>53</v>
      </c>
      <c r="E1335" s="1">
        <v>45834</v>
      </c>
      <c r="F1335" s="1">
        <v>45901</v>
      </c>
      <c r="G1335" s="1">
        <v>45901</v>
      </c>
      <c r="H1335" t="s">
        <v>28</v>
      </c>
      <c r="I1335">
        <v>2</v>
      </c>
      <c r="J1335">
        <v>0</v>
      </c>
      <c r="K1335">
        <v>480000</v>
      </c>
      <c r="L1335">
        <v>100</v>
      </c>
      <c r="M1335" t="s">
        <v>29</v>
      </c>
      <c r="N1335" t="str">
        <f>_xlfn.XLOOKUP(B1335,tblCustomers[customer_id],tblCustomers[region],"Missing")</f>
        <v>East</v>
      </c>
      <c r="O1335" t="str">
        <f>_xlfn.XLOOKUP(C1335,tblProducts[product_id],tblProducts[product_name],"Missing")</f>
        <v>Workflow Automate</v>
      </c>
      <c r="P1335" t="str">
        <f>_xlfn.XLOOKUP(C1335,tblProducts[product_id],tblProducts[category],"Missing")</f>
        <v>Automation</v>
      </c>
      <c r="Q1335" t="str">
        <f>_xlfn.XLOOKUP(D1335,tblSalesReps[rep_id],tblSalesReps[rep_name],"Missing")</f>
        <v>Sales Rep 16</v>
      </c>
      <c r="R1335" t="str">
        <f>_xlfn.XLOOKUP(D1335,tblSalesReps[rep_id],tblSalesReps[region],"Missing")</f>
        <v>East</v>
      </c>
    </row>
    <row r="1336" spans="1:18">
      <c r="A1336" t="s">
        <v>1850</v>
      </c>
      <c r="B1336" t="s">
        <v>1349</v>
      </c>
      <c r="C1336" t="s">
        <v>81</v>
      </c>
      <c r="D1336" t="s">
        <v>27</v>
      </c>
      <c r="E1336" s="1">
        <v>45977</v>
      </c>
      <c r="F1336" s="1">
        <v>46000</v>
      </c>
      <c r="G1336" s="1">
        <v>46000</v>
      </c>
      <c r="H1336" t="s">
        <v>28</v>
      </c>
      <c r="I1336">
        <v>1</v>
      </c>
      <c r="J1336">
        <v>0</v>
      </c>
      <c r="K1336">
        <v>300000</v>
      </c>
      <c r="L1336">
        <v>100</v>
      </c>
      <c r="M1336" t="s">
        <v>29</v>
      </c>
      <c r="N1336" t="str">
        <f>_xlfn.XLOOKUP(B1336,tblCustomers[customer_id],tblCustomers[region],"Missing")</f>
        <v>North</v>
      </c>
      <c r="O1336" t="str">
        <f>_xlfn.XLOOKUP(C1336,tblProducts[product_id],tblProducts[product_name],"Missing")</f>
        <v>Analytics Cloud</v>
      </c>
      <c r="P1336" t="str">
        <f>_xlfn.XLOOKUP(C1336,tblProducts[product_id],tblProducts[category],"Missing")</f>
        <v>Analytics</v>
      </c>
      <c r="Q1336" t="str">
        <f>_xlfn.XLOOKUP(D1336,tblSalesReps[rep_id],tblSalesReps[rep_name],"Missing")</f>
        <v>Sales Rep 06</v>
      </c>
      <c r="R1336" t="str">
        <f>_xlfn.XLOOKUP(D1336,tblSalesReps[rep_id],tblSalesReps[region],"Missing")</f>
        <v>North</v>
      </c>
    </row>
    <row r="1337" spans="1:18">
      <c r="A1337" t="s">
        <v>1851</v>
      </c>
      <c r="B1337" t="s">
        <v>644</v>
      </c>
      <c r="C1337" t="s">
        <v>26</v>
      </c>
      <c r="D1337" t="s">
        <v>22</v>
      </c>
      <c r="E1337" s="1">
        <v>45721</v>
      </c>
      <c r="F1337" s="1">
        <v>45802</v>
      </c>
      <c r="G1337" s="1">
        <v>45802</v>
      </c>
      <c r="H1337" t="s">
        <v>17</v>
      </c>
      <c r="I1337">
        <v>1</v>
      </c>
      <c r="J1337">
        <v>0</v>
      </c>
      <c r="K1337">
        <v>360000</v>
      </c>
      <c r="L1337">
        <v>0</v>
      </c>
      <c r="M1337" t="s">
        <v>82</v>
      </c>
      <c r="N1337" t="str">
        <f>_xlfn.XLOOKUP(B1337,tblCustomers[customer_id],tblCustomers[region],"Missing")</f>
        <v>West</v>
      </c>
      <c r="O1337" t="str">
        <f>_xlfn.XLOOKUP(C1337,tblProducts[product_id],tblProducts[product_name],"Missing")</f>
        <v>Security Suite</v>
      </c>
      <c r="P1337" t="str">
        <f>_xlfn.XLOOKUP(C1337,tblProducts[product_id],tblProducts[category],"Missing")</f>
        <v>Security</v>
      </c>
      <c r="Q1337" t="str">
        <f>_xlfn.XLOOKUP(D1337,tblSalesReps[rep_id],tblSalesReps[rep_name],"Missing")</f>
        <v>Sales Rep 14</v>
      </c>
      <c r="R1337" t="str">
        <f>_xlfn.XLOOKUP(D1337,tblSalesReps[rep_id],tblSalesReps[region],"Missing")</f>
        <v>West</v>
      </c>
    </row>
    <row r="1338" spans="1:18">
      <c r="A1338" t="s">
        <v>1852</v>
      </c>
      <c r="B1338" t="s">
        <v>1135</v>
      </c>
      <c r="C1338" t="s">
        <v>62</v>
      </c>
      <c r="D1338" t="s">
        <v>46</v>
      </c>
      <c r="E1338" s="1">
        <v>45783</v>
      </c>
      <c r="F1338" s="1">
        <v>45833</v>
      </c>
      <c r="G1338" s="1">
        <v>45833</v>
      </c>
      <c r="H1338" t="s">
        <v>17</v>
      </c>
      <c r="I1338">
        <v>1</v>
      </c>
      <c r="J1338">
        <v>20</v>
      </c>
      <c r="K1338">
        <v>96000</v>
      </c>
      <c r="L1338">
        <v>0</v>
      </c>
      <c r="M1338" t="s">
        <v>47</v>
      </c>
      <c r="N1338" t="str">
        <f>_xlfn.XLOOKUP(B1338,tblCustomers[customer_id],tblCustomers[region],"Missing")</f>
        <v>South</v>
      </c>
      <c r="O1338" t="str">
        <f>_xlfn.XLOOKUP(C1338,tblProducts[product_id],tblProducts[product_name],"Missing")</f>
        <v>CRM Essentials</v>
      </c>
      <c r="P1338" t="str">
        <f>_xlfn.XLOOKUP(C1338,tblProducts[product_id],tblProducts[category],"Missing")</f>
        <v>CRM</v>
      </c>
      <c r="Q1338" t="str">
        <f>_xlfn.XLOOKUP(D1338,tblSalesReps[rep_id],tblSalesReps[rep_name],"Missing")</f>
        <v>Sales Rep 01</v>
      </c>
      <c r="R1338" t="str">
        <f>_xlfn.XLOOKUP(D1338,tblSalesReps[rep_id],tblSalesReps[region],"Missing")</f>
        <v>South</v>
      </c>
    </row>
    <row r="1339" spans="1:18">
      <c r="A1339" t="s">
        <v>1853</v>
      </c>
      <c r="B1339" t="s">
        <v>814</v>
      </c>
      <c r="C1339" t="s">
        <v>26</v>
      </c>
      <c r="D1339" t="s">
        <v>56</v>
      </c>
      <c r="E1339" s="1">
        <v>45852</v>
      </c>
      <c r="F1339" s="1">
        <v>45885</v>
      </c>
      <c r="G1339" s="1">
        <v>45885</v>
      </c>
      <c r="H1339" t="s">
        <v>17</v>
      </c>
      <c r="I1339">
        <v>1</v>
      </c>
      <c r="J1339">
        <v>15</v>
      </c>
      <c r="K1339">
        <v>306000</v>
      </c>
      <c r="L1339">
        <v>0</v>
      </c>
      <c r="M1339" t="s">
        <v>23</v>
      </c>
      <c r="N1339" t="str">
        <f>_xlfn.XLOOKUP(B1339,tblCustomers[customer_id],tblCustomers[region],"Missing")</f>
        <v>East</v>
      </c>
      <c r="O1339" t="str">
        <f>_xlfn.XLOOKUP(C1339,tblProducts[product_id],tblProducts[product_name],"Missing")</f>
        <v>Security Suite</v>
      </c>
      <c r="P1339" t="str">
        <f>_xlfn.XLOOKUP(C1339,tblProducts[product_id],tblProducts[category],"Missing")</f>
        <v>Security</v>
      </c>
      <c r="Q1339" t="str">
        <f>_xlfn.XLOOKUP(D1339,tblSalesReps[rep_id],tblSalesReps[rep_name],"Missing")</f>
        <v>Sales Rep 20</v>
      </c>
      <c r="R1339" t="str">
        <f>_xlfn.XLOOKUP(D1339,tblSalesReps[rep_id],tblSalesReps[region],"Missing")</f>
        <v>East</v>
      </c>
    </row>
    <row r="1340" spans="1:18">
      <c r="A1340" t="s">
        <v>1854</v>
      </c>
      <c r="B1340" t="s">
        <v>700</v>
      </c>
      <c r="C1340" t="s">
        <v>62</v>
      </c>
      <c r="D1340" t="s">
        <v>36</v>
      </c>
      <c r="E1340" s="1">
        <v>45838</v>
      </c>
      <c r="F1340" s="1">
        <v>45899</v>
      </c>
      <c r="G1340" s="1">
        <v>45899</v>
      </c>
      <c r="H1340" t="s">
        <v>28</v>
      </c>
      <c r="I1340">
        <v>2</v>
      </c>
      <c r="J1340">
        <v>10</v>
      </c>
      <c r="K1340">
        <v>216000</v>
      </c>
      <c r="L1340">
        <v>100</v>
      </c>
      <c r="M1340" t="s">
        <v>29</v>
      </c>
      <c r="N1340" t="str">
        <f>_xlfn.XLOOKUP(B1340,tblCustomers[customer_id],tblCustomers[region],"Missing")</f>
        <v>North</v>
      </c>
      <c r="O1340" t="str">
        <f>_xlfn.XLOOKUP(C1340,tblProducts[product_id],tblProducts[product_name],"Missing")</f>
        <v>CRM Essentials</v>
      </c>
      <c r="P1340" t="str">
        <f>_xlfn.XLOOKUP(C1340,tblProducts[product_id],tblProducts[category],"Missing")</f>
        <v>CRM</v>
      </c>
      <c r="Q1340" t="str">
        <f>_xlfn.XLOOKUP(D1340,tblSalesReps[rep_id],tblSalesReps[rep_name],"Missing")</f>
        <v>Sales Rep 09</v>
      </c>
      <c r="R1340" t="str">
        <f>_xlfn.XLOOKUP(D1340,tblSalesReps[rep_id],tblSalesReps[region],"Missing")</f>
        <v>North</v>
      </c>
    </row>
    <row r="1341" spans="1:18">
      <c r="A1341" t="s">
        <v>1855</v>
      </c>
      <c r="B1341" t="s">
        <v>959</v>
      </c>
      <c r="C1341" t="s">
        <v>21</v>
      </c>
      <c r="D1341" t="s">
        <v>22</v>
      </c>
      <c r="E1341" s="1">
        <v>45818</v>
      </c>
      <c r="F1341" s="1">
        <v>45874</v>
      </c>
      <c r="G1341" s="1"/>
      <c r="H1341" t="s">
        <v>43</v>
      </c>
      <c r="I1341">
        <v>3</v>
      </c>
      <c r="J1341">
        <v>15</v>
      </c>
      <c r="K1341">
        <v>612000</v>
      </c>
      <c r="L1341">
        <v>80</v>
      </c>
      <c r="M1341" t="s">
        <v>29</v>
      </c>
      <c r="N1341" t="str">
        <f>_xlfn.XLOOKUP(B1341,tblCustomers[customer_id],tblCustomers[region],"Missing")</f>
        <v>West</v>
      </c>
      <c r="O1341" t="str">
        <f>_xlfn.XLOOKUP(C1341,tblProducts[product_id],tblProducts[product_name],"Missing")</f>
        <v>Workflow Automate</v>
      </c>
      <c r="P1341" t="str">
        <f>_xlfn.XLOOKUP(C1341,tblProducts[product_id],tblProducts[category],"Missing")</f>
        <v>Automation</v>
      </c>
      <c r="Q1341" t="str">
        <f>_xlfn.XLOOKUP(D1341,tblSalesReps[rep_id],tblSalesReps[rep_name],"Missing")</f>
        <v>Sales Rep 14</v>
      </c>
      <c r="R1341" t="str">
        <f>_xlfn.XLOOKUP(D1341,tblSalesReps[rep_id],tblSalesReps[region],"Missing")</f>
        <v>West</v>
      </c>
    </row>
    <row r="1342" spans="1:18">
      <c r="A1342" t="s">
        <v>1856</v>
      </c>
      <c r="B1342" t="s">
        <v>1152</v>
      </c>
      <c r="C1342" t="s">
        <v>21</v>
      </c>
      <c r="D1342" t="s">
        <v>27</v>
      </c>
      <c r="E1342" s="1">
        <v>45669</v>
      </c>
      <c r="F1342" s="1">
        <v>45693</v>
      </c>
      <c r="G1342" s="1">
        <v>45693</v>
      </c>
      <c r="H1342" t="s">
        <v>28</v>
      </c>
      <c r="I1342">
        <v>1</v>
      </c>
      <c r="J1342">
        <v>0</v>
      </c>
      <c r="K1342">
        <v>240000</v>
      </c>
      <c r="L1342">
        <v>100</v>
      </c>
      <c r="M1342" t="s">
        <v>29</v>
      </c>
      <c r="N1342" t="str">
        <f>_xlfn.XLOOKUP(B1342,tblCustomers[customer_id],tblCustomers[region],"Missing")</f>
        <v>North</v>
      </c>
      <c r="O1342" t="str">
        <f>_xlfn.XLOOKUP(C1342,tblProducts[product_id],tblProducts[product_name],"Missing")</f>
        <v>Workflow Automate</v>
      </c>
      <c r="P1342" t="str">
        <f>_xlfn.XLOOKUP(C1342,tblProducts[product_id],tblProducts[category],"Missing")</f>
        <v>Automation</v>
      </c>
      <c r="Q1342" t="str">
        <f>_xlfn.XLOOKUP(D1342,tblSalesReps[rep_id],tblSalesReps[rep_name],"Missing")</f>
        <v>Sales Rep 06</v>
      </c>
      <c r="R1342" t="str">
        <f>_xlfn.XLOOKUP(D1342,tblSalesReps[rep_id],tblSalesReps[region],"Missing")</f>
        <v>North</v>
      </c>
    </row>
    <row r="1343" spans="1:18">
      <c r="A1343" t="s">
        <v>1857</v>
      </c>
      <c r="B1343" t="s">
        <v>327</v>
      </c>
      <c r="C1343" t="s">
        <v>81</v>
      </c>
      <c r="D1343" t="s">
        <v>168</v>
      </c>
      <c r="E1343" s="1">
        <v>45887</v>
      </c>
      <c r="F1343" s="1">
        <v>45957</v>
      </c>
      <c r="G1343" s="1"/>
      <c r="H1343" t="s">
        <v>43</v>
      </c>
      <c r="I1343">
        <v>1</v>
      </c>
      <c r="J1343">
        <v>20</v>
      </c>
      <c r="K1343">
        <v>240000</v>
      </c>
      <c r="L1343">
        <v>40</v>
      </c>
      <c r="M1343" t="s">
        <v>29</v>
      </c>
      <c r="N1343" t="str">
        <f>_xlfn.XLOOKUP(B1343,tblCustomers[customer_id],tblCustomers[region],"Missing")</f>
        <v>East</v>
      </c>
      <c r="O1343" t="str">
        <f>_xlfn.XLOOKUP(C1343,tblProducts[product_id],tblProducts[product_name],"Missing")</f>
        <v>Analytics Cloud</v>
      </c>
      <c r="P1343" t="str">
        <f>_xlfn.XLOOKUP(C1343,tblProducts[product_id],tblProducts[category],"Missing")</f>
        <v>Analytics</v>
      </c>
      <c r="Q1343" t="str">
        <f>_xlfn.XLOOKUP(D1343,tblSalesReps[rep_id],tblSalesReps[rep_name],"Missing")</f>
        <v>Sales Rep 17</v>
      </c>
      <c r="R1343" t="str">
        <f>_xlfn.XLOOKUP(D1343,tblSalesReps[rep_id],tblSalesReps[region],"Missing")</f>
        <v>East</v>
      </c>
    </row>
    <row r="1344" spans="1:18">
      <c r="A1344" t="s">
        <v>1858</v>
      </c>
      <c r="B1344" t="s">
        <v>55</v>
      </c>
      <c r="C1344" t="s">
        <v>81</v>
      </c>
      <c r="D1344" t="s">
        <v>152</v>
      </c>
      <c r="E1344" s="1">
        <v>45660</v>
      </c>
      <c r="F1344" s="1">
        <v>45692</v>
      </c>
      <c r="G1344" s="1">
        <v>45692</v>
      </c>
      <c r="H1344" t="s">
        <v>28</v>
      </c>
      <c r="I1344">
        <v>1</v>
      </c>
      <c r="J1344">
        <v>15</v>
      </c>
      <c r="K1344">
        <v>255000</v>
      </c>
      <c r="L1344">
        <v>100</v>
      </c>
      <c r="M1344" t="s">
        <v>29</v>
      </c>
      <c r="N1344" t="str">
        <f>_xlfn.XLOOKUP(B1344,tblCustomers[customer_id],tblCustomers[region],"Missing")</f>
        <v>East</v>
      </c>
      <c r="O1344" t="str">
        <f>_xlfn.XLOOKUP(C1344,tblProducts[product_id],tblProducts[product_name],"Missing")</f>
        <v>Analytics Cloud</v>
      </c>
      <c r="P1344" t="str">
        <f>_xlfn.XLOOKUP(C1344,tblProducts[product_id],tblProducts[category],"Missing")</f>
        <v>Analytics</v>
      </c>
      <c r="Q1344" t="str">
        <f>_xlfn.XLOOKUP(D1344,tblSalesReps[rep_id],tblSalesReps[rep_name],"Missing")</f>
        <v>Sales Rep 18</v>
      </c>
      <c r="R1344" t="str">
        <f>_xlfn.XLOOKUP(D1344,tblSalesReps[rep_id],tblSalesReps[region],"Missing")</f>
        <v>East</v>
      </c>
    </row>
    <row r="1345" spans="1:18">
      <c r="A1345" t="s">
        <v>1859</v>
      </c>
      <c r="B1345" t="s">
        <v>479</v>
      </c>
      <c r="C1345" t="s">
        <v>39</v>
      </c>
      <c r="D1345" t="s">
        <v>152</v>
      </c>
      <c r="E1345" s="1">
        <v>46015</v>
      </c>
      <c r="F1345" s="1">
        <v>46080</v>
      </c>
      <c r="G1345" s="1"/>
      <c r="H1345" t="s">
        <v>43</v>
      </c>
      <c r="I1345">
        <v>1</v>
      </c>
      <c r="J1345">
        <v>5</v>
      </c>
      <c r="K1345">
        <v>171000</v>
      </c>
      <c r="L1345">
        <v>40</v>
      </c>
      <c r="M1345" t="s">
        <v>29</v>
      </c>
      <c r="N1345" t="str">
        <f>_xlfn.XLOOKUP(B1345,tblCustomers[customer_id],tblCustomers[region],"Missing")</f>
        <v>East</v>
      </c>
      <c r="O1345" t="str">
        <f>_xlfn.XLOOKUP(C1345,tblProducts[product_id],tblProducts[product_name],"Missing")</f>
        <v>Support Desk</v>
      </c>
      <c r="P1345" t="str">
        <f>_xlfn.XLOOKUP(C1345,tblProducts[product_id],tblProducts[category],"Missing")</f>
        <v>Service</v>
      </c>
      <c r="Q1345" t="str">
        <f>_xlfn.XLOOKUP(D1345,tblSalesReps[rep_id],tblSalesReps[rep_name],"Missing")</f>
        <v>Sales Rep 18</v>
      </c>
      <c r="R1345" t="str">
        <f>_xlfn.XLOOKUP(D1345,tblSalesReps[rep_id],tblSalesReps[region],"Missing")</f>
        <v>East</v>
      </c>
    </row>
    <row r="1346" spans="1:18">
      <c r="A1346" t="s">
        <v>1860</v>
      </c>
      <c r="B1346" t="s">
        <v>1349</v>
      </c>
      <c r="C1346" t="s">
        <v>39</v>
      </c>
      <c r="D1346" t="s">
        <v>16</v>
      </c>
      <c r="E1346" s="1">
        <v>45820</v>
      </c>
      <c r="F1346" s="1">
        <v>45877</v>
      </c>
      <c r="G1346" s="1">
        <v>45877</v>
      </c>
      <c r="H1346" t="s">
        <v>28</v>
      </c>
      <c r="I1346">
        <v>2</v>
      </c>
      <c r="J1346">
        <v>15</v>
      </c>
      <c r="K1346">
        <v>306000</v>
      </c>
      <c r="L1346">
        <v>100</v>
      </c>
      <c r="M1346" t="s">
        <v>29</v>
      </c>
      <c r="N1346" t="str">
        <f>_xlfn.XLOOKUP(B1346,tblCustomers[customer_id],tblCustomers[region],"Missing")</f>
        <v>North</v>
      </c>
      <c r="O1346" t="str">
        <f>_xlfn.XLOOKUP(C1346,tblProducts[product_id],tblProducts[product_name],"Missing")</f>
        <v>Support Desk</v>
      </c>
      <c r="P1346" t="str">
        <f>_xlfn.XLOOKUP(C1346,tblProducts[product_id],tblProducts[category],"Missing")</f>
        <v>Service</v>
      </c>
      <c r="Q1346" t="str">
        <f>_xlfn.XLOOKUP(D1346,tblSalesReps[rep_id],tblSalesReps[rep_name],"Missing")</f>
        <v>Sales Rep 08</v>
      </c>
      <c r="R1346" t="str">
        <f>_xlfn.XLOOKUP(D1346,tblSalesReps[rep_id],tblSalesReps[region],"Missing")</f>
        <v>North</v>
      </c>
    </row>
    <row r="1347" spans="1:18">
      <c r="A1347" t="s">
        <v>1861</v>
      </c>
      <c r="B1347" t="s">
        <v>143</v>
      </c>
      <c r="C1347" t="s">
        <v>39</v>
      </c>
      <c r="D1347" t="s">
        <v>36</v>
      </c>
      <c r="E1347" s="1">
        <v>45760</v>
      </c>
      <c r="F1347" s="1">
        <v>45775</v>
      </c>
      <c r="G1347" s="1">
        <v>45775</v>
      </c>
      <c r="H1347" t="s">
        <v>28</v>
      </c>
      <c r="I1347">
        <v>1</v>
      </c>
      <c r="J1347">
        <v>5</v>
      </c>
      <c r="K1347">
        <v>171000</v>
      </c>
      <c r="L1347">
        <v>100</v>
      </c>
      <c r="M1347" t="s">
        <v>29</v>
      </c>
      <c r="N1347" t="str">
        <f>_xlfn.XLOOKUP(B1347,tblCustomers[customer_id],tblCustomers[region],"Missing")</f>
        <v>North</v>
      </c>
      <c r="O1347" t="str">
        <f>_xlfn.XLOOKUP(C1347,tblProducts[product_id],tblProducts[product_name],"Missing")</f>
        <v>Support Desk</v>
      </c>
      <c r="P1347" t="str">
        <f>_xlfn.XLOOKUP(C1347,tblProducts[product_id],tblProducts[category],"Missing")</f>
        <v>Service</v>
      </c>
      <c r="Q1347" t="str">
        <f>_xlfn.XLOOKUP(D1347,tblSalesReps[rep_id],tblSalesReps[rep_name],"Missing")</f>
        <v>Sales Rep 09</v>
      </c>
      <c r="R1347" t="str">
        <f>_xlfn.XLOOKUP(D1347,tblSalesReps[rep_id],tblSalesReps[region],"Missing")</f>
        <v>North</v>
      </c>
    </row>
    <row r="1348" spans="1:18">
      <c r="A1348" t="s">
        <v>1862</v>
      </c>
      <c r="B1348" t="s">
        <v>944</v>
      </c>
      <c r="C1348" t="s">
        <v>39</v>
      </c>
      <c r="D1348" t="s">
        <v>75</v>
      </c>
      <c r="E1348" s="1">
        <v>45762</v>
      </c>
      <c r="F1348" s="1">
        <v>45796</v>
      </c>
      <c r="G1348" s="1"/>
      <c r="H1348" t="s">
        <v>43</v>
      </c>
      <c r="I1348">
        <v>2</v>
      </c>
      <c r="J1348">
        <v>15</v>
      </c>
      <c r="K1348">
        <v>306000</v>
      </c>
      <c r="L1348">
        <v>80</v>
      </c>
      <c r="M1348" t="s">
        <v>29</v>
      </c>
      <c r="N1348" t="str">
        <f>_xlfn.XLOOKUP(B1348,tblCustomers[customer_id],tblCustomers[region],"Missing")</f>
        <v>North</v>
      </c>
      <c r="O1348" t="str">
        <f>_xlfn.XLOOKUP(C1348,tblProducts[product_id],tblProducts[product_name],"Missing")</f>
        <v>Support Desk</v>
      </c>
      <c r="P1348" t="str">
        <f>_xlfn.XLOOKUP(C1348,tblProducts[product_id],tblProducts[category],"Missing")</f>
        <v>Service</v>
      </c>
      <c r="Q1348" t="str">
        <f>_xlfn.XLOOKUP(D1348,tblSalesReps[rep_id],tblSalesReps[rep_name],"Missing")</f>
        <v>Sales Rep 07</v>
      </c>
      <c r="R1348" t="str">
        <f>_xlfn.XLOOKUP(D1348,tblSalesReps[rep_id],tblSalesReps[region],"Missing")</f>
        <v>North</v>
      </c>
    </row>
    <row r="1349" spans="1:18">
      <c r="A1349" t="s">
        <v>1863</v>
      </c>
      <c r="B1349" t="s">
        <v>1173</v>
      </c>
      <c r="C1349" t="s">
        <v>26</v>
      </c>
      <c r="D1349" t="s">
        <v>46</v>
      </c>
      <c r="E1349" s="1">
        <v>46015</v>
      </c>
      <c r="F1349" s="1">
        <v>46023</v>
      </c>
      <c r="G1349" s="1"/>
      <c r="H1349" t="s">
        <v>43</v>
      </c>
      <c r="I1349">
        <v>1</v>
      </c>
      <c r="J1349">
        <v>10</v>
      </c>
      <c r="K1349">
        <v>324000</v>
      </c>
      <c r="L1349">
        <v>60</v>
      </c>
      <c r="M1349" t="s">
        <v>29</v>
      </c>
      <c r="N1349" t="str">
        <f>_xlfn.XLOOKUP(B1349,tblCustomers[customer_id],tblCustomers[region],"Missing")</f>
        <v>South</v>
      </c>
      <c r="O1349" t="str">
        <f>_xlfn.XLOOKUP(C1349,tblProducts[product_id],tblProducts[product_name],"Missing")</f>
        <v>Security Suite</v>
      </c>
      <c r="P1349" t="str">
        <f>_xlfn.XLOOKUP(C1349,tblProducts[product_id],tblProducts[category],"Missing")</f>
        <v>Security</v>
      </c>
      <c r="Q1349" t="str">
        <f>_xlfn.XLOOKUP(D1349,tblSalesReps[rep_id],tblSalesReps[rep_name],"Missing")</f>
        <v>Sales Rep 01</v>
      </c>
      <c r="R1349" t="str">
        <f>_xlfn.XLOOKUP(D1349,tblSalesReps[rep_id],tblSalesReps[region],"Missing")</f>
        <v>South</v>
      </c>
    </row>
    <row r="1350" spans="1:18">
      <c r="A1350" t="s">
        <v>1864</v>
      </c>
      <c r="B1350" t="s">
        <v>902</v>
      </c>
      <c r="C1350" t="s">
        <v>15</v>
      </c>
      <c r="D1350" t="s">
        <v>16</v>
      </c>
      <c r="E1350" s="1">
        <v>45683</v>
      </c>
      <c r="F1350" s="1">
        <v>45690</v>
      </c>
      <c r="G1350" s="1"/>
      <c r="H1350" t="s">
        <v>43</v>
      </c>
      <c r="I1350">
        <v>1</v>
      </c>
      <c r="J1350">
        <v>0</v>
      </c>
      <c r="K1350">
        <v>420000</v>
      </c>
      <c r="L1350">
        <v>60</v>
      </c>
      <c r="M1350" t="s">
        <v>29</v>
      </c>
      <c r="N1350" t="str">
        <f>_xlfn.XLOOKUP(B1350,tblCustomers[customer_id],tblCustomers[region],"Missing")</f>
        <v>North</v>
      </c>
      <c r="O1350" t="str">
        <f>_xlfn.XLOOKUP(C1350,tblProducts[product_id],tblProducts[product_name],"Missing")</f>
        <v>CRM Enterprise</v>
      </c>
      <c r="P1350" t="str">
        <f>_xlfn.XLOOKUP(C1350,tblProducts[product_id],tblProducts[category],"Missing")</f>
        <v>CRM</v>
      </c>
      <c r="Q1350" t="str">
        <f>_xlfn.XLOOKUP(D1350,tblSalesReps[rep_id],tblSalesReps[rep_name],"Missing")</f>
        <v>Sales Rep 08</v>
      </c>
      <c r="R1350" t="str">
        <f>_xlfn.XLOOKUP(D1350,tblSalesReps[rep_id],tblSalesReps[region],"Missing")</f>
        <v>North</v>
      </c>
    </row>
    <row r="1351" spans="1:18">
      <c r="A1351" t="s">
        <v>1865</v>
      </c>
      <c r="B1351" t="s">
        <v>172</v>
      </c>
      <c r="C1351" t="s">
        <v>39</v>
      </c>
      <c r="D1351" t="s">
        <v>27</v>
      </c>
      <c r="E1351" s="1">
        <v>45804</v>
      </c>
      <c r="F1351" s="1">
        <v>45819</v>
      </c>
      <c r="G1351" s="1">
        <v>45819</v>
      </c>
      <c r="H1351" t="s">
        <v>28</v>
      </c>
      <c r="I1351">
        <v>1</v>
      </c>
      <c r="J1351">
        <v>10</v>
      </c>
      <c r="K1351">
        <v>162000</v>
      </c>
      <c r="L1351">
        <v>100</v>
      </c>
      <c r="M1351" t="s">
        <v>29</v>
      </c>
      <c r="N1351" t="str">
        <f>_xlfn.XLOOKUP(B1351,tblCustomers[customer_id],tblCustomers[region],"Missing")</f>
        <v>North</v>
      </c>
      <c r="O1351" t="str">
        <f>_xlfn.XLOOKUP(C1351,tblProducts[product_id],tblProducts[product_name],"Missing")</f>
        <v>Support Desk</v>
      </c>
      <c r="P1351" t="str">
        <f>_xlfn.XLOOKUP(C1351,tblProducts[product_id],tblProducts[category],"Missing")</f>
        <v>Service</v>
      </c>
      <c r="Q1351" t="str">
        <f>_xlfn.XLOOKUP(D1351,tblSalesReps[rep_id],tblSalesReps[rep_name],"Missing")</f>
        <v>Sales Rep 06</v>
      </c>
      <c r="R1351" t="str">
        <f>_xlfn.XLOOKUP(D1351,tblSalesReps[rep_id],tblSalesReps[region],"Missing")</f>
        <v>North</v>
      </c>
    </row>
    <row r="1352" spans="1:18">
      <c r="A1352" t="s">
        <v>1866</v>
      </c>
      <c r="B1352" t="s">
        <v>1141</v>
      </c>
      <c r="C1352" t="s">
        <v>26</v>
      </c>
      <c r="D1352" t="s">
        <v>70</v>
      </c>
      <c r="E1352" s="1">
        <v>45798</v>
      </c>
      <c r="F1352" s="1">
        <v>45832</v>
      </c>
      <c r="G1352" s="1">
        <v>45832</v>
      </c>
      <c r="H1352" t="s">
        <v>17</v>
      </c>
      <c r="I1352">
        <v>2</v>
      </c>
      <c r="J1352">
        <v>10</v>
      </c>
      <c r="K1352">
        <v>648000</v>
      </c>
      <c r="L1352">
        <v>0</v>
      </c>
      <c r="M1352" t="s">
        <v>18</v>
      </c>
      <c r="N1352" t="str">
        <f>_xlfn.XLOOKUP(B1352,tblCustomers[customer_id],tblCustomers[region],"Missing")</f>
        <v>West</v>
      </c>
      <c r="O1352" t="str">
        <f>_xlfn.XLOOKUP(C1352,tblProducts[product_id],tblProducts[product_name],"Missing")</f>
        <v>Security Suite</v>
      </c>
      <c r="P1352" t="str">
        <f>_xlfn.XLOOKUP(C1352,tblProducts[product_id],tblProducts[category],"Missing")</f>
        <v>Security</v>
      </c>
      <c r="Q1352" t="str">
        <f>_xlfn.XLOOKUP(D1352,tblSalesReps[rep_id],tblSalesReps[rep_name],"Missing")</f>
        <v>Sales Rep 11</v>
      </c>
      <c r="R1352" t="str">
        <f>_xlfn.XLOOKUP(D1352,tblSalesReps[rep_id],tblSalesReps[region],"Missing")</f>
        <v>West</v>
      </c>
    </row>
    <row r="1353" spans="1:18">
      <c r="A1353" t="s">
        <v>1867</v>
      </c>
      <c r="B1353" t="s">
        <v>1475</v>
      </c>
      <c r="C1353" t="s">
        <v>81</v>
      </c>
      <c r="D1353" t="s">
        <v>53</v>
      </c>
      <c r="E1353" s="1">
        <v>45907</v>
      </c>
      <c r="F1353" s="1">
        <v>45971</v>
      </c>
      <c r="G1353" s="1"/>
      <c r="H1353" t="s">
        <v>43</v>
      </c>
      <c r="I1353">
        <v>3</v>
      </c>
      <c r="J1353">
        <v>10</v>
      </c>
      <c r="K1353">
        <v>810000</v>
      </c>
      <c r="L1353">
        <v>20</v>
      </c>
      <c r="M1353" t="s">
        <v>29</v>
      </c>
      <c r="N1353" t="str">
        <f>_xlfn.XLOOKUP(B1353,tblCustomers[customer_id],tblCustomers[region],"Missing")</f>
        <v>East</v>
      </c>
      <c r="O1353" t="str">
        <f>_xlfn.XLOOKUP(C1353,tblProducts[product_id],tblProducts[product_name],"Missing")</f>
        <v>Analytics Cloud</v>
      </c>
      <c r="P1353" t="str">
        <f>_xlfn.XLOOKUP(C1353,tblProducts[product_id],tblProducts[category],"Missing")</f>
        <v>Analytics</v>
      </c>
      <c r="Q1353" t="str">
        <f>_xlfn.XLOOKUP(D1353,tblSalesReps[rep_id],tblSalesReps[rep_name],"Missing")</f>
        <v>Sales Rep 16</v>
      </c>
      <c r="R1353" t="str">
        <f>_xlfn.XLOOKUP(D1353,tblSalesReps[rep_id],tblSalesReps[region],"Missing")</f>
        <v>East</v>
      </c>
    </row>
    <row r="1354" spans="1:18">
      <c r="A1354" t="s">
        <v>1868</v>
      </c>
      <c r="B1354" t="s">
        <v>1869</v>
      </c>
      <c r="C1354" t="s">
        <v>26</v>
      </c>
      <c r="D1354" t="s">
        <v>63</v>
      </c>
      <c r="E1354" s="1">
        <v>45988</v>
      </c>
      <c r="F1354" s="1">
        <v>46056</v>
      </c>
      <c r="G1354" s="1"/>
      <c r="H1354" t="s">
        <v>43</v>
      </c>
      <c r="I1354">
        <v>1</v>
      </c>
      <c r="J1354">
        <v>15</v>
      </c>
      <c r="K1354">
        <v>306000</v>
      </c>
      <c r="L1354">
        <v>20</v>
      </c>
      <c r="M1354" t="s">
        <v>29</v>
      </c>
      <c r="N1354" t="str">
        <f>_xlfn.XLOOKUP(B1354,tblCustomers[customer_id],tblCustomers[region],"Missing")</f>
        <v>South</v>
      </c>
      <c r="O1354" t="str">
        <f>_xlfn.XLOOKUP(C1354,tblProducts[product_id],tblProducts[product_name],"Missing")</f>
        <v>Security Suite</v>
      </c>
      <c r="P1354" t="str">
        <f>_xlfn.XLOOKUP(C1354,tblProducts[product_id],tblProducts[category],"Missing")</f>
        <v>Security</v>
      </c>
      <c r="Q1354" t="str">
        <f>_xlfn.XLOOKUP(D1354,tblSalesReps[rep_id],tblSalesReps[rep_name],"Missing")</f>
        <v>Sales Rep 05</v>
      </c>
      <c r="R1354" t="str">
        <f>_xlfn.XLOOKUP(D1354,tblSalesReps[rep_id],tblSalesReps[region],"Missing")</f>
        <v>South</v>
      </c>
    </row>
    <row r="1355" spans="1:18">
      <c r="A1355" t="s">
        <v>1870</v>
      </c>
      <c r="B1355" t="s">
        <v>61</v>
      </c>
      <c r="C1355" t="s">
        <v>62</v>
      </c>
      <c r="D1355" t="s">
        <v>63</v>
      </c>
      <c r="E1355" s="1">
        <v>45950</v>
      </c>
      <c r="F1355" s="1">
        <v>46006</v>
      </c>
      <c r="G1355" s="1">
        <v>46006</v>
      </c>
      <c r="H1355" t="s">
        <v>17</v>
      </c>
      <c r="I1355">
        <v>2</v>
      </c>
      <c r="J1355">
        <v>10</v>
      </c>
      <c r="K1355">
        <v>216000</v>
      </c>
      <c r="L1355">
        <v>0</v>
      </c>
      <c r="M1355" t="s">
        <v>47</v>
      </c>
      <c r="N1355" t="str">
        <f>_xlfn.XLOOKUP(B1355,tblCustomers[customer_id],tblCustomers[region],"Missing")</f>
        <v>South</v>
      </c>
      <c r="O1355" t="str">
        <f>_xlfn.XLOOKUP(C1355,tblProducts[product_id],tblProducts[product_name],"Missing")</f>
        <v>CRM Essentials</v>
      </c>
      <c r="P1355" t="str">
        <f>_xlfn.XLOOKUP(C1355,tblProducts[product_id],tblProducts[category],"Missing")</f>
        <v>CRM</v>
      </c>
      <c r="Q1355" t="str">
        <f>_xlfn.XLOOKUP(D1355,tblSalesReps[rep_id],tblSalesReps[rep_name],"Missing")</f>
        <v>Sales Rep 05</v>
      </c>
      <c r="R1355" t="str">
        <f>_xlfn.XLOOKUP(D1355,tblSalesReps[rep_id],tblSalesReps[region],"Missing")</f>
        <v>South</v>
      </c>
    </row>
    <row r="1356" spans="1:18">
      <c r="A1356" t="s">
        <v>1871</v>
      </c>
      <c r="B1356" t="s">
        <v>535</v>
      </c>
      <c r="C1356" t="s">
        <v>39</v>
      </c>
      <c r="D1356" t="s">
        <v>78</v>
      </c>
      <c r="E1356" s="1">
        <v>45849</v>
      </c>
      <c r="F1356" s="1">
        <v>45901</v>
      </c>
      <c r="G1356" s="1">
        <v>45901</v>
      </c>
      <c r="H1356" t="s">
        <v>28</v>
      </c>
      <c r="I1356">
        <v>3</v>
      </c>
      <c r="J1356">
        <v>0</v>
      </c>
      <c r="K1356">
        <v>540000</v>
      </c>
      <c r="L1356">
        <v>100</v>
      </c>
      <c r="M1356" t="s">
        <v>29</v>
      </c>
      <c r="N1356" t="str">
        <f>_xlfn.XLOOKUP(B1356,tblCustomers[customer_id],tblCustomers[region],"Missing")</f>
        <v>West</v>
      </c>
      <c r="O1356" t="str">
        <f>_xlfn.XLOOKUP(C1356,tblProducts[product_id],tblProducts[product_name],"Missing")</f>
        <v>Support Desk</v>
      </c>
      <c r="P1356" t="str">
        <f>_xlfn.XLOOKUP(C1356,tblProducts[product_id],tblProducts[category],"Missing")</f>
        <v>Service</v>
      </c>
      <c r="Q1356" t="str">
        <f>_xlfn.XLOOKUP(D1356,tblSalesReps[rep_id],tblSalesReps[rep_name],"Missing")</f>
        <v>Sales Rep 12</v>
      </c>
      <c r="R1356" t="str">
        <f>_xlfn.XLOOKUP(D1356,tblSalesReps[rep_id],tblSalesReps[region],"Missing")</f>
        <v>West</v>
      </c>
    </row>
    <row r="1357" spans="1:18">
      <c r="A1357" t="s">
        <v>1872</v>
      </c>
      <c r="B1357" t="s">
        <v>1475</v>
      </c>
      <c r="C1357" t="s">
        <v>15</v>
      </c>
      <c r="D1357" t="s">
        <v>59</v>
      </c>
      <c r="E1357" s="1">
        <v>45862</v>
      </c>
      <c r="F1357" s="1">
        <v>45881</v>
      </c>
      <c r="G1357" s="1">
        <v>45881</v>
      </c>
      <c r="H1357" t="s">
        <v>17</v>
      </c>
      <c r="I1357">
        <v>2</v>
      </c>
      <c r="J1357">
        <v>15</v>
      </c>
      <c r="K1357">
        <v>714000</v>
      </c>
      <c r="L1357">
        <v>0</v>
      </c>
      <c r="M1357" t="s">
        <v>33</v>
      </c>
      <c r="N1357" t="str">
        <f>_xlfn.XLOOKUP(B1357,tblCustomers[customer_id],tblCustomers[region],"Missing")</f>
        <v>East</v>
      </c>
      <c r="O1357" t="str">
        <f>_xlfn.XLOOKUP(C1357,tblProducts[product_id],tblProducts[product_name],"Missing")</f>
        <v>CRM Enterprise</v>
      </c>
      <c r="P1357" t="str">
        <f>_xlfn.XLOOKUP(C1357,tblProducts[product_id],tblProducts[category],"Missing")</f>
        <v>CRM</v>
      </c>
      <c r="Q1357" t="str">
        <f>_xlfn.XLOOKUP(D1357,tblSalesReps[rep_id],tblSalesReps[rep_name],"Missing")</f>
        <v>Sales Rep 19</v>
      </c>
      <c r="R1357" t="str">
        <f>_xlfn.XLOOKUP(D1357,tblSalesReps[rep_id],tblSalesReps[region],"Missing")</f>
        <v>East</v>
      </c>
    </row>
    <row r="1358" spans="1:18">
      <c r="A1358" t="s">
        <v>1873</v>
      </c>
      <c r="B1358" t="s">
        <v>1874</v>
      </c>
      <c r="C1358" t="s">
        <v>81</v>
      </c>
      <c r="D1358" t="s">
        <v>56</v>
      </c>
      <c r="E1358" s="1">
        <v>45764</v>
      </c>
      <c r="F1358" s="1">
        <v>45796</v>
      </c>
      <c r="G1358" s="1">
        <v>45796</v>
      </c>
      <c r="H1358" t="s">
        <v>28</v>
      </c>
      <c r="I1358">
        <v>1</v>
      </c>
      <c r="J1358">
        <v>5</v>
      </c>
      <c r="K1358">
        <v>285000</v>
      </c>
      <c r="L1358">
        <v>100</v>
      </c>
      <c r="M1358" t="s">
        <v>29</v>
      </c>
      <c r="N1358" t="str">
        <f>_xlfn.XLOOKUP(B1358,tblCustomers[customer_id],tblCustomers[region],"Missing")</f>
        <v>East</v>
      </c>
      <c r="O1358" t="str">
        <f>_xlfn.XLOOKUP(C1358,tblProducts[product_id],tblProducts[product_name],"Missing")</f>
        <v>Analytics Cloud</v>
      </c>
      <c r="P1358" t="str">
        <f>_xlfn.XLOOKUP(C1358,tblProducts[product_id],tblProducts[category],"Missing")</f>
        <v>Analytics</v>
      </c>
      <c r="Q1358" t="str">
        <f>_xlfn.XLOOKUP(D1358,tblSalesReps[rep_id],tblSalesReps[rep_name],"Missing")</f>
        <v>Sales Rep 20</v>
      </c>
      <c r="R1358" t="str">
        <f>_xlfn.XLOOKUP(D1358,tblSalesReps[rep_id],tblSalesReps[region],"Missing")</f>
        <v>East</v>
      </c>
    </row>
    <row r="1359" spans="1:18">
      <c r="A1359" t="s">
        <v>1875</v>
      </c>
      <c r="B1359" t="s">
        <v>1876</v>
      </c>
      <c r="C1359" t="s">
        <v>26</v>
      </c>
      <c r="D1359" t="s">
        <v>91</v>
      </c>
      <c r="E1359" s="1">
        <v>46021</v>
      </c>
      <c r="F1359" s="1">
        <v>46068</v>
      </c>
      <c r="G1359" s="1"/>
      <c r="H1359" t="s">
        <v>43</v>
      </c>
      <c r="I1359">
        <v>1</v>
      </c>
      <c r="J1359">
        <v>20</v>
      </c>
      <c r="K1359">
        <v>288000</v>
      </c>
      <c r="L1359">
        <v>60</v>
      </c>
      <c r="M1359" t="s">
        <v>29</v>
      </c>
      <c r="N1359" t="str">
        <f>_xlfn.XLOOKUP(B1359,tblCustomers[customer_id],tblCustomers[region],"Missing")</f>
        <v>South</v>
      </c>
      <c r="O1359" t="str">
        <f>_xlfn.XLOOKUP(C1359,tblProducts[product_id],tblProducts[product_name],"Missing")</f>
        <v>Security Suite</v>
      </c>
      <c r="P1359" t="str">
        <f>_xlfn.XLOOKUP(C1359,tblProducts[product_id],tblProducts[category],"Missing")</f>
        <v>Security</v>
      </c>
      <c r="Q1359" t="str">
        <f>_xlfn.XLOOKUP(D1359,tblSalesReps[rep_id],tblSalesReps[rep_name],"Missing")</f>
        <v>Sales Rep 03</v>
      </c>
      <c r="R1359" t="str">
        <f>_xlfn.XLOOKUP(D1359,tblSalesReps[rep_id],tblSalesReps[region],"Missing")</f>
        <v>South</v>
      </c>
    </row>
    <row r="1360" spans="1:18">
      <c r="A1360" t="s">
        <v>1877</v>
      </c>
      <c r="B1360" t="s">
        <v>1878</v>
      </c>
      <c r="C1360" t="s">
        <v>62</v>
      </c>
      <c r="D1360" t="s">
        <v>32</v>
      </c>
      <c r="E1360" s="1">
        <v>45772</v>
      </c>
      <c r="F1360" s="1">
        <v>45800</v>
      </c>
      <c r="G1360" s="1">
        <v>45800</v>
      </c>
      <c r="H1360" t="s">
        <v>17</v>
      </c>
      <c r="I1360">
        <v>2</v>
      </c>
      <c r="J1360">
        <v>15</v>
      </c>
      <c r="K1360">
        <v>204000</v>
      </c>
      <c r="L1360">
        <v>0</v>
      </c>
      <c r="M1360" t="s">
        <v>82</v>
      </c>
      <c r="N1360" t="str">
        <f>_xlfn.XLOOKUP(B1360,tblCustomers[customer_id],tblCustomers[region],"Missing")</f>
        <v>South</v>
      </c>
      <c r="O1360" t="str">
        <f>_xlfn.XLOOKUP(C1360,tblProducts[product_id],tblProducts[product_name],"Missing")</f>
        <v>CRM Essentials</v>
      </c>
      <c r="P1360" t="str">
        <f>_xlfn.XLOOKUP(C1360,tblProducts[product_id],tblProducts[category],"Missing")</f>
        <v>CRM</v>
      </c>
      <c r="Q1360" t="str">
        <f>_xlfn.XLOOKUP(D1360,tblSalesReps[rep_id],tblSalesReps[rep_name],"Missing")</f>
        <v>Sales Rep 04</v>
      </c>
      <c r="R1360" t="str">
        <f>_xlfn.XLOOKUP(D1360,tblSalesReps[rep_id],tblSalesReps[region],"Missing")</f>
        <v>South</v>
      </c>
    </row>
    <row r="1361" spans="1:18">
      <c r="A1361" t="s">
        <v>1879</v>
      </c>
      <c r="B1361" t="s">
        <v>1398</v>
      </c>
      <c r="C1361" t="s">
        <v>26</v>
      </c>
      <c r="D1361" t="s">
        <v>22</v>
      </c>
      <c r="E1361" s="1">
        <v>45992</v>
      </c>
      <c r="F1361" s="1">
        <v>46048</v>
      </c>
      <c r="G1361" s="1"/>
      <c r="H1361" t="s">
        <v>43</v>
      </c>
      <c r="I1361">
        <v>1</v>
      </c>
      <c r="J1361">
        <v>0</v>
      </c>
      <c r="K1361">
        <v>360000</v>
      </c>
      <c r="L1361">
        <v>20</v>
      </c>
      <c r="M1361" t="s">
        <v>29</v>
      </c>
      <c r="N1361" t="str">
        <f>_xlfn.XLOOKUP(B1361,tblCustomers[customer_id],tblCustomers[region],"Missing")</f>
        <v>West</v>
      </c>
      <c r="O1361" t="str">
        <f>_xlfn.XLOOKUP(C1361,tblProducts[product_id],tblProducts[product_name],"Missing")</f>
        <v>Security Suite</v>
      </c>
      <c r="P1361" t="str">
        <f>_xlfn.XLOOKUP(C1361,tblProducts[product_id],tblProducts[category],"Missing")</f>
        <v>Security</v>
      </c>
      <c r="Q1361" t="str">
        <f>_xlfn.XLOOKUP(D1361,tblSalesReps[rep_id],tblSalesReps[rep_name],"Missing")</f>
        <v>Sales Rep 14</v>
      </c>
      <c r="R1361" t="str">
        <f>_xlfn.XLOOKUP(D1361,tblSalesReps[rep_id],tblSalesReps[region],"Missing")</f>
        <v>West</v>
      </c>
    </row>
    <row r="1362" spans="1:18">
      <c r="A1362" t="s">
        <v>1880</v>
      </c>
      <c r="B1362" t="s">
        <v>826</v>
      </c>
      <c r="C1362" t="s">
        <v>21</v>
      </c>
      <c r="D1362" t="s">
        <v>78</v>
      </c>
      <c r="E1362" s="1">
        <v>45757</v>
      </c>
      <c r="F1362" s="1">
        <v>45801</v>
      </c>
      <c r="G1362" s="1">
        <v>45801</v>
      </c>
      <c r="H1362" t="s">
        <v>28</v>
      </c>
      <c r="I1362">
        <v>2</v>
      </c>
      <c r="J1362">
        <v>5</v>
      </c>
      <c r="K1362">
        <v>456000</v>
      </c>
      <c r="L1362">
        <v>100</v>
      </c>
      <c r="M1362" t="s">
        <v>29</v>
      </c>
      <c r="N1362" t="str">
        <f>_xlfn.XLOOKUP(B1362,tblCustomers[customer_id],tblCustomers[region],"Missing")</f>
        <v>West</v>
      </c>
      <c r="O1362" t="str">
        <f>_xlfn.XLOOKUP(C1362,tblProducts[product_id],tblProducts[product_name],"Missing")</f>
        <v>Workflow Automate</v>
      </c>
      <c r="P1362" t="str">
        <f>_xlfn.XLOOKUP(C1362,tblProducts[product_id],tblProducts[category],"Missing")</f>
        <v>Automation</v>
      </c>
      <c r="Q1362" t="str">
        <f>_xlfn.XLOOKUP(D1362,tblSalesReps[rep_id],tblSalesReps[rep_name],"Missing")</f>
        <v>Sales Rep 12</v>
      </c>
      <c r="R1362" t="str">
        <f>_xlfn.XLOOKUP(D1362,tblSalesReps[rep_id],tblSalesReps[region],"Missing")</f>
        <v>West</v>
      </c>
    </row>
    <row r="1363" spans="1:18">
      <c r="A1363" t="s">
        <v>1881</v>
      </c>
      <c r="B1363" t="s">
        <v>497</v>
      </c>
      <c r="C1363" t="s">
        <v>39</v>
      </c>
      <c r="D1363" t="s">
        <v>32</v>
      </c>
      <c r="E1363" s="1">
        <v>45713</v>
      </c>
      <c r="F1363" s="1">
        <v>45798</v>
      </c>
      <c r="G1363" s="1">
        <v>45798</v>
      </c>
      <c r="H1363" t="s">
        <v>17</v>
      </c>
      <c r="I1363">
        <v>2</v>
      </c>
      <c r="J1363">
        <v>10</v>
      </c>
      <c r="K1363">
        <v>324000</v>
      </c>
      <c r="L1363">
        <v>0</v>
      </c>
      <c r="M1363" t="s">
        <v>82</v>
      </c>
      <c r="N1363" t="str">
        <f>_xlfn.XLOOKUP(B1363,tblCustomers[customer_id],tblCustomers[region],"Missing")</f>
        <v>South</v>
      </c>
      <c r="O1363" t="str">
        <f>_xlfn.XLOOKUP(C1363,tblProducts[product_id],tblProducts[product_name],"Missing")</f>
        <v>Support Desk</v>
      </c>
      <c r="P1363" t="str">
        <f>_xlfn.XLOOKUP(C1363,tblProducts[product_id],tblProducts[category],"Missing")</f>
        <v>Service</v>
      </c>
      <c r="Q1363" t="str">
        <f>_xlfn.XLOOKUP(D1363,tblSalesReps[rep_id],tblSalesReps[rep_name],"Missing")</f>
        <v>Sales Rep 04</v>
      </c>
      <c r="R1363" t="str">
        <f>_xlfn.XLOOKUP(D1363,tblSalesReps[rep_id],tblSalesReps[region],"Missing")</f>
        <v>South</v>
      </c>
    </row>
    <row r="1364" spans="1:18">
      <c r="A1364" t="s">
        <v>1882</v>
      </c>
      <c r="B1364" t="s">
        <v>555</v>
      </c>
      <c r="C1364" t="s">
        <v>21</v>
      </c>
      <c r="D1364" t="s">
        <v>168</v>
      </c>
      <c r="E1364" s="1">
        <v>45740</v>
      </c>
      <c r="F1364" s="1">
        <v>45783</v>
      </c>
      <c r="G1364" s="1"/>
      <c r="H1364" t="s">
        <v>43</v>
      </c>
      <c r="I1364">
        <v>1</v>
      </c>
      <c r="J1364">
        <v>15</v>
      </c>
      <c r="K1364">
        <v>204000</v>
      </c>
      <c r="L1364">
        <v>60</v>
      </c>
      <c r="M1364" t="s">
        <v>29</v>
      </c>
      <c r="N1364" t="str">
        <f>_xlfn.XLOOKUP(B1364,tblCustomers[customer_id],tblCustomers[region],"Missing")</f>
        <v>East</v>
      </c>
      <c r="O1364" t="str">
        <f>_xlfn.XLOOKUP(C1364,tblProducts[product_id],tblProducts[product_name],"Missing")</f>
        <v>Workflow Automate</v>
      </c>
      <c r="P1364" t="str">
        <f>_xlfn.XLOOKUP(C1364,tblProducts[product_id],tblProducts[category],"Missing")</f>
        <v>Automation</v>
      </c>
      <c r="Q1364" t="str">
        <f>_xlfn.XLOOKUP(D1364,tblSalesReps[rep_id],tblSalesReps[rep_name],"Missing")</f>
        <v>Sales Rep 17</v>
      </c>
      <c r="R1364" t="str">
        <f>_xlfn.XLOOKUP(D1364,tblSalesReps[rep_id],tblSalesReps[region],"Missing")</f>
        <v>East</v>
      </c>
    </row>
    <row r="1365" spans="1:18">
      <c r="A1365" t="s">
        <v>1883</v>
      </c>
      <c r="B1365" t="s">
        <v>1884</v>
      </c>
      <c r="C1365" t="s">
        <v>39</v>
      </c>
      <c r="D1365" t="s">
        <v>46</v>
      </c>
      <c r="E1365" s="1">
        <v>45892</v>
      </c>
      <c r="F1365" s="1">
        <v>45935</v>
      </c>
      <c r="G1365" s="1">
        <v>45935</v>
      </c>
      <c r="H1365" t="s">
        <v>28</v>
      </c>
      <c r="I1365">
        <v>2</v>
      </c>
      <c r="J1365">
        <v>5</v>
      </c>
      <c r="K1365">
        <v>342000</v>
      </c>
      <c r="L1365">
        <v>100</v>
      </c>
      <c r="M1365" t="s">
        <v>29</v>
      </c>
      <c r="N1365" t="str">
        <f>_xlfn.XLOOKUP(B1365,tblCustomers[customer_id],tblCustomers[region],"Missing")</f>
        <v>South</v>
      </c>
      <c r="O1365" t="str">
        <f>_xlfn.XLOOKUP(C1365,tblProducts[product_id],tblProducts[product_name],"Missing")</f>
        <v>Support Desk</v>
      </c>
      <c r="P1365" t="str">
        <f>_xlfn.XLOOKUP(C1365,tblProducts[product_id],tblProducts[category],"Missing")</f>
        <v>Service</v>
      </c>
      <c r="Q1365" t="str">
        <f>_xlfn.XLOOKUP(D1365,tblSalesReps[rep_id],tblSalesReps[rep_name],"Missing")</f>
        <v>Sales Rep 01</v>
      </c>
      <c r="R1365" t="str">
        <f>_xlfn.XLOOKUP(D1365,tblSalesReps[rep_id],tblSalesReps[region],"Missing")</f>
        <v>South</v>
      </c>
    </row>
    <row r="1366" spans="1:18">
      <c r="A1366" t="s">
        <v>1885</v>
      </c>
      <c r="B1366" t="s">
        <v>757</v>
      </c>
      <c r="C1366" t="s">
        <v>21</v>
      </c>
      <c r="D1366" t="s">
        <v>27</v>
      </c>
      <c r="E1366" s="1">
        <v>46017</v>
      </c>
      <c r="F1366" s="1">
        <v>46032</v>
      </c>
      <c r="G1366" s="1"/>
      <c r="H1366" t="s">
        <v>43</v>
      </c>
      <c r="I1366">
        <v>2</v>
      </c>
      <c r="J1366">
        <v>5</v>
      </c>
      <c r="K1366">
        <v>456000</v>
      </c>
      <c r="L1366">
        <v>80</v>
      </c>
      <c r="M1366" t="s">
        <v>29</v>
      </c>
      <c r="N1366" t="str">
        <f>_xlfn.XLOOKUP(B1366,tblCustomers[customer_id],tblCustomers[region],"Missing")</f>
        <v>North</v>
      </c>
      <c r="O1366" t="str">
        <f>_xlfn.XLOOKUP(C1366,tblProducts[product_id],tblProducts[product_name],"Missing")</f>
        <v>Workflow Automate</v>
      </c>
      <c r="P1366" t="str">
        <f>_xlfn.XLOOKUP(C1366,tblProducts[product_id],tblProducts[category],"Missing")</f>
        <v>Automation</v>
      </c>
      <c r="Q1366" t="str">
        <f>_xlfn.XLOOKUP(D1366,tblSalesReps[rep_id],tblSalesReps[rep_name],"Missing")</f>
        <v>Sales Rep 06</v>
      </c>
      <c r="R1366" t="str">
        <f>_xlfn.XLOOKUP(D1366,tblSalesReps[rep_id],tblSalesReps[region],"Missing")</f>
        <v>North</v>
      </c>
    </row>
    <row r="1367" spans="1:18">
      <c r="A1367" t="s">
        <v>1886</v>
      </c>
      <c r="B1367" t="s">
        <v>1159</v>
      </c>
      <c r="C1367" t="s">
        <v>39</v>
      </c>
      <c r="D1367" t="s">
        <v>168</v>
      </c>
      <c r="E1367" s="1">
        <v>46000</v>
      </c>
      <c r="F1367" s="1">
        <v>46066</v>
      </c>
      <c r="G1367" s="1"/>
      <c r="H1367" t="s">
        <v>43</v>
      </c>
      <c r="I1367">
        <v>1</v>
      </c>
      <c r="J1367">
        <v>20</v>
      </c>
      <c r="K1367">
        <v>144000</v>
      </c>
      <c r="L1367">
        <v>80</v>
      </c>
      <c r="M1367" t="s">
        <v>29</v>
      </c>
      <c r="N1367" t="str">
        <f>_xlfn.XLOOKUP(B1367,tblCustomers[customer_id],tblCustomers[region],"Missing")</f>
        <v>East</v>
      </c>
      <c r="O1367" t="str">
        <f>_xlfn.XLOOKUP(C1367,tblProducts[product_id],tblProducts[product_name],"Missing")</f>
        <v>Support Desk</v>
      </c>
      <c r="P1367" t="str">
        <f>_xlfn.XLOOKUP(C1367,tblProducts[product_id],tblProducts[category],"Missing")</f>
        <v>Service</v>
      </c>
      <c r="Q1367" t="str">
        <f>_xlfn.XLOOKUP(D1367,tblSalesReps[rep_id],tblSalesReps[rep_name],"Missing")</f>
        <v>Sales Rep 17</v>
      </c>
      <c r="R1367" t="str">
        <f>_xlfn.XLOOKUP(D1367,tblSalesReps[rep_id],tblSalesReps[region],"Missing")</f>
        <v>East</v>
      </c>
    </row>
    <row r="1368" spans="1:18">
      <c r="A1368" t="s">
        <v>1887</v>
      </c>
      <c r="B1368" t="s">
        <v>587</v>
      </c>
      <c r="C1368" t="s">
        <v>62</v>
      </c>
      <c r="D1368" t="s">
        <v>63</v>
      </c>
      <c r="E1368" s="1">
        <v>45753</v>
      </c>
      <c r="F1368" s="1">
        <v>45833</v>
      </c>
      <c r="G1368" s="1">
        <v>45833</v>
      </c>
      <c r="H1368" t="s">
        <v>28</v>
      </c>
      <c r="I1368">
        <v>2</v>
      </c>
      <c r="J1368">
        <v>15</v>
      </c>
      <c r="K1368">
        <v>204000</v>
      </c>
      <c r="L1368">
        <v>100</v>
      </c>
      <c r="M1368" t="s">
        <v>29</v>
      </c>
      <c r="N1368" t="str">
        <f>_xlfn.XLOOKUP(B1368,tblCustomers[customer_id],tblCustomers[region],"Missing")</f>
        <v>South</v>
      </c>
      <c r="O1368" t="str">
        <f>_xlfn.XLOOKUP(C1368,tblProducts[product_id],tblProducts[product_name],"Missing")</f>
        <v>CRM Essentials</v>
      </c>
      <c r="P1368" t="str">
        <f>_xlfn.XLOOKUP(C1368,tblProducts[product_id],tblProducts[category],"Missing")</f>
        <v>CRM</v>
      </c>
      <c r="Q1368" t="str">
        <f>_xlfn.XLOOKUP(D1368,tblSalesReps[rep_id],tblSalesReps[rep_name],"Missing")</f>
        <v>Sales Rep 05</v>
      </c>
      <c r="R1368" t="str">
        <f>_xlfn.XLOOKUP(D1368,tblSalesReps[rep_id],tblSalesReps[region],"Missing")</f>
        <v>South</v>
      </c>
    </row>
    <row r="1369" spans="1:18">
      <c r="A1369" t="s">
        <v>1888</v>
      </c>
      <c r="B1369" t="s">
        <v>909</v>
      </c>
      <c r="C1369" t="s">
        <v>15</v>
      </c>
      <c r="D1369" t="s">
        <v>46</v>
      </c>
      <c r="E1369" s="1">
        <v>45911</v>
      </c>
      <c r="F1369" s="1">
        <v>45970</v>
      </c>
      <c r="G1369" s="1">
        <v>45970</v>
      </c>
      <c r="H1369" t="s">
        <v>17</v>
      </c>
      <c r="I1369">
        <v>2</v>
      </c>
      <c r="J1369">
        <v>10</v>
      </c>
      <c r="K1369">
        <v>756000</v>
      </c>
      <c r="L1369">
        <v>0</v>
      </c>
      <c r="M1369" t="s">
        <v>33</v>
      </c>
      <c r="N1369" t="str">
        <f>_xlfn.XLOOKUP(B1369,tblCustomers[customer_id],tblCustomers[region],"Missing")</f>
        <v>South</v>
      </c>
      <c r="O1369" t="str">
        <f>_xlfn.XLOOKUP(C1369,tblProducts[product_id],tblProducts[product_name],"Missing")</f>
        <v>CRM Enterprise</v>
      </c>
      <c r="P1369" t="str">
        <f>_xlfn.XLOOKUP(C1369,tblProducts[product_id],tblProducts[category],"Missing")</f>
        <v>CRM</v>
      </c>
      <c r="Q1369" t="str">
        <f>_xlfn.XLOOKUP(D1369,tblSalesReps[rep_id],tblSalesReps[rep_name],"Missing")</f>
        <v>Sales Rep 01</v>
      </c>
      <c r="R1369" t="str">
        <f>_xlfn.XLOOKUP(D1369,tblSalesReps[rep_id],tblSalesReps[region],"Missing")</f>
        <v>South</v>
      </c>
    </row>
    <row r="1370" spans="1:18">
      <c r="A1370" t="s">
        <v>1889</v>
      </c>
      <c r="B1370" t="s">
        <v>1173</v>
      </c>
      <c r="C1370" t="s">
        <v>26</v>
      </c>
      <c r="D1370" t="s">
        <v>126</v>
      </c>
      <c r="E1370" s="1">
        <v>45806</v>
      </c>
      <c r="F1370" s="1">
        <v>45817</v>
      </c>
      <c r="G1370" s="1">
        <v>45817</v>
      </c>
      <c r="H1370" t="s">
        <v>28</v>
      </c>
      <c r="I1370">
        <v>1</v>
      </c>
      <c r="J1370">
        <v>0</v>
      </c>
      <c r="K1370">
        <v>360000</v>
      </c>
      <c r="L1370">
        <v>100</v>
      </c>
      <c r="M1370" t="s">
        <v>29</v>
      </c>
      <c r="N1370" t="str">
        <f>_xlfn.XLOOKUP(B1370,tblCustomers[customer_id],tblCustomers[region],"Missing")</f>
        <v>South</v>
      </c>
      <c r="O1370" t="str">
        <f>_xlfn.XLOOKUP(C1370,tblProducts[product_id],tblProducts[product_name],"Missing")</f>
        <v>Security Suite</v>
      </c>
      <c r="P1370" t="str">
        <f>_xlfn.XLOOKUP(C1370,tblProducts[product_id],tblProducts[category],"Missing")</f>
        <v>Security</v>
      </c>
      <c r="Q1370" t="str">
        <f>_xlfn.XLOOKUP(D1370,tblSalesReps[rep_id],tblSalesReps[rep_name],"Missing")</f>
        <v>Sales Rep 02</v>
      </c>
      <c r="R1370" t="str">
        <f>_xlfn.XLOOKUP(D1370,tblSalesReps[rep_id],tblSalesReps[region],"Missing")</f>
        <v>South</v>
      </c>
    </row>
    <row r="1371" spans="1:18">
      <c r="A1371" t="s">
        <v>1890</v>
      </c>
      <c r="B1371" t="s">
        <v>174</v>
      </c>
      <c r="C1371" t="s">
        <v>62</v>
      </c>
      <c r="D1371" t="s">
        <v>50</v>
      </c>
      <c r="E1371" s="1">
        <v>45670</v>
      </c>
      <c r="F1371" s="1">
        <v>45720</v>
      </c>
      <c r="G1371" s="1">
        <v>45720</v>
      </c>
      <c r="H1371" t="s">
        <v>17</v>
      </c>
      <c r="I1371">
        <v>1</v>
      </c>
      <c r="J1371">
        <v>5</v>
      </c>
      <c r="K1371">
        <v>114000</v>
      </c>
      <c r="L1371">
        <v>0</v>
      </c>
      <c r="M1371" t="s">
        <v>82</v>
      </c>
      <c r="N1371" t="str">
        <f>_xlfn.XLOOKUP(B1371,tblCustomers[customer_id],tblCustomers[region],"Missing")</f>
        <v>West</v>
      </c>
      <c r="O1371" t="str">
        <f>_xlfn.XLOOKUP(C1371,tblProducts[product_id],tblProducts[product_name],"Missing")</f>
        <v>CRM Essentials</v>
      </c>
      <c r="P1371" t="str">
        <f>_xlfn.XLOOKUP(C1371,tblProducts[product_id],tblProducts[category],"Missing")</f>
        <v>CRM</v>
      </c>
      <c r="Q1371" t="str">
        <f>_xlfn.XLOOKUP(D1371,tblSalesReps[rep_id],tblSalesReps[rep_name],"Missing")</f>
        <v>Sales Rep 15</v>
      </c>
      <c r="R1371" t="str">
        <f>_xlfn.XLOOKUP(D1371,tblSalesReps[rep_id],tblSalesReps[region],"Missing")</f>
        <v>West</v>
      </c>
    </row>
    <row r="1372" spans="1:18">
      <c r="A1372" t="s">
        <v>1891</v>
      </c>
      <c r="B1372" t="s">
        <v>174</v>
      </c>
      <c r="C1372" t="s">
        <v>81</v>
      </c>
      <c r="D1372" t="s">
        <v>78</v>
      </c>
      <c r="E1372" s="1">
        <v>45853</v>
      </c>
      <c r="F1372" s="1">
        <v>45885</v>
      </c>
      <c r="G1372" s="1">
        <v>45885</v>
      </c>
      <c r="H1372" t="s">
        <v>17</v>
      </c>
      <c r="I1372">
        <v>1</v>
      </c>
      <c r="J1372">
        <v>0</v>
      </c>
      <c r="K1372">
        <v>300000</v>
      </c>
      <c r="L1372">
        <v>0</v>
      </c>
      <c r="M1372" t="s">
        <v>23</v>
      </c>
      <c r="N1372" t="str">
        <f>_xlfn.XLOOKUP(B1372,tblCustomers[customer_id],tblCustomers[region],"Missing")</f>
        <v>West</v>
      </c>
      <c r="O1372" t="str">
        <f>_xlfn.XLOOKUP(C1372,tblProducts[product_id],tblProducts[product_name],"Missing")</f>
        <v>Analytics Cloud</v>
      </c>
      <c r="P1372" t="str">
        <f>_xlfn.XLOOKUP(C1372,tblProducts[product_id],tblProducts[category],"Missing")</f>
        <v>Analytics</v>
      </c>
      <c r="Q1372" t="str">
        <f>_xlfn.XLOOKUP(D1372,tblSalesReps[rep_id],tblSalesReps[rep_name],"Missing")</f>
        <v>Sales Rep 12</v>
      </c>
      <c r="R1372" t="str">
        <f>_xlfn.XLOOKUP(D1372,tblSalesReps[rep_id],tblSalesReps[region],"Missing")</f>
        <v>West</v>
      </c>
    </row>
    <row r="1373" spans="1:18">
      <c r="A1373" t="s">
        <v>1892</v>
      </c>
      <c r="B1373" t="s">
        <v>886</v>
      </c>
      <c r="C1373" t="s">
        <v>39</v>
      </c>
      <c r="D1373" t="s">
        <v>27</v>
      </c>
      <c r="E1373" s="1">
        <v>45659</v>
      </c>
      <c r="F1373" s="1">
        <v>45705</v>
      </c>
      <c r="G1373" s="1"/>
      <c r="H1373" t="s">
        <v>43</v>
      </c>
      <c r="I1373">
        <v>3</v>
      </c>
      <c r="J1373">
        <v>0</v>
      </c>
      <c r="K1373">
        <v>540000</v>
      </c>
      <c r="L1373">
        <v>40</v>
      </c>
      <c r="M1373" t="s">
        <v>29</v>
      </c>
      <c r="N1373" t="str">
        <f>_xlfn.XLOOKUP(B1373,tblCustomers[customer_id],tblCustomers[region],"Missing")</f>
        <v>North</v>
      </c>
      <c r="O1373" t="str">
        <f>_xlfn.XLOOKUP(C1373,tblProducts[product_id],tblProducts[product_name],"Missing")</f>
        <v>Support Desk</v>
      </c>
      <c r="P1373" t="str">
        <f>_xlfn.XLOOKUP(C1373,tblProducts[product_id],tblProducts[category],"Missing")</f>
        <v>Service</v>
      </c>
      <c r="Q1373" t="str">
        <f>_xlfn.XLOOKUP(D1373,tblSalesReps[rep_id],tblSalesReps[rep_name],"Missing")</f>
        <v>Sales Rep 06</v>
      </c>
      <c r="R1373" t="str">
        <f>_xlfn.XLOOKUP(D1373,tblSalesReps[rep_id],tblSalesReps[region],"Missing")</f>
        <v>North</v>
      </c>
    </row>
    <row r="1374" spans="1:18">
      <c r="A1374" t="s">
        <v>1893</v>
      </c>
      <c r="B1374" t="s">
        <v>1370</v>
      </c>
      <c r="C1374" t="s">
        <v>39</v>
      </c>
      <c r="D1374" t="s">
        <v>78</v>
      </c>
      <c r="E1374" s="1">
        <v>45683</v>
      </c>
      <c r="F1374" s="1">
        <v>45718</v>
      </c>
      <c r="G1374" s="1"/>
      <c r="H1374" t="s">
        <v>43</v>
      </c>
      <c r="I1374">
        <v>2</v>
      </c>
      <c r="J1374">
        <v>15</v>
      </c>
      <c r="K1374">
        <v>306000</v>
      </c>
      <c r="L1374">
        <v>80</v>
      </c>
      <c r="M1374" t="s">
        <v>29</v>
      </c>
      <c r="N1374" t="str">
        <f>_xlfn.XLOOKUP(B1374,tblCustomers[customer_id],tblCustomers[region],"Missing")</f>
        <v>West</v>
      </c>
      <c r="O1374" t="str">
        <f>_xlfn.XLOOKUP(C1374,tblProducts[product_id],tblProducts[product_name],"Missing")</f>
        <v>Support Desk</v>
      </c>
      <c r="P1374" t="str">
        <f>_xlfn.XLOOKUP(C1374,tblProducts[product_id],tblProducts[category],"Missing")</f>
        <v>Service</v>
      </c>
      <c r="Q1374" t="str">
        <f>_xlfn.XLOOKUP(D1374,tblSalesReps[rep_id],tblSalesReps[rep_name],"Missing")</f>
        <v>Sales Rep 12</v>
      </c>
      <c r="R1374" t="str">
        <f>_xlfn.XLOOKUP(D1374,tblSalesReps[rep_id],tblSalesReps[region],"Missing")</f>
        <v>West</v>
      </c>
    </row>
    <row r="1375" spans="1:18">
      <c r="A1375" t="s">
        <v>1894</v>
      </c>
      <c r="B1375" t="s">
        <v>864</v>
      </c>
      <c r="C1375" t="s">
        <v>39</v>
      </c>
      <c r="D1375" t="s">
        <v>70</v>
      </c>
      <c r="E1375" s="1">
        <v>45729</v>
      </c>
      <c r="F1375" s="1">
        <v>45790</v>
      </c>
      <c r="G1375" s="1"/>
      <c r="H1375" t="s">
        <v>43</v>
      </c>
      <c r="I1375">
        <v>3</v>
      </c>
      <c r="J1375">
        <v>0</v>
      </c>
      <c r="K1375">
        <v>540000</v>
      </c>
      <c r="L1375">
        <v>60</v>
      </c>
      <c r="M1375" t="s">
        <v>29</v>
      </c>
      <c r="N1375" t="str">
        <f>_xlfn.XLOOKUP(B1375,tblCustomers[customer_id],tblCustomers[region],"Missing")</f>
        <v>West</v>
      </c>
      <c r="O1375" t="str">
        <f>_xlfn.XLOOKUP(C1375,tblProducts[product_id],tblProducts[product_name],"Missing")</f>
        <v>Support Desk</v>
      </c>
      <c r="P1375" t="str">
        <f>_xlfn.XLOOKUP(C1375,tblProducts[product_id],tblProducts[category],"Missing")</f>
        <v>Service</v>
      </c>
      <c r="Q1375" t="str">
        <f>_xlfn.XLOOKUP(D1375,tblSalesReps[rep_id],tblSalesReps[rep_name],"Missing")</f>
        <v>Sales Rep 11</v>
      </c>
      <c r="R1375" t="str">
        <f>_xlfn.XLOOKUP(D1375,tblSalesReps[rep_id],tblSalesReps[region],"Missing")</f>
        <v>West</v>
      </c>
    </row>
    <row r="1376" spans="1:18">
      <c r="A1376" t="s">
        <v>1895</v>
      </c>
      <c r="B1376" t="s">
        <v>1896</v>
      </c>
      <c r="C1376" t="s">
        <v>21</v>
      </c>
      <c r="D1376" t="s">
        <v>63</v>
      </c>
      <c r="E1376" s="1">
        <v>45766</v>
      </c>
      <c r="F1376" s="1">
        <v>45804</v>
      </c>
      <c r="G1376" s="1">
        <v>45804</v>
      </c>
      <c r="H1376" t="s">
        <v>17</v>
      </c>
      <c r="I1376">
        <v>1</v>
      </c>
      <c r="J1376">
        <v>20</v>
      </c>
      <c r="K1376">
        <v>192000</v>
      </c>
      <c r="L1376">
        <v>0</v>
      </c>
      <c r="M1376" t="s">
        <v>82</v>
      </c>
      <c r="N1376" t="str">
        <f>_xlfn.XLOOKUP(B1376,tblCustomers[customer_id],tblCustomers[region],"Missing")</f>
        <v>South</v>
      </c>
      <c r="O1376" t="str">
        <f>_xlfn.XLOOKUP(C1376,tblProducts[product_id],tblProducts[product_name],"Missing")</f>
        <v>Workflow Automate</v>
      </c>
      <c r="P1376" t="str">
        <f>_xlfn.XLOOKUP(C1376,tblProducts[product_id],tblProducts[category],"Missing")</f>
        <v>Automation</v>
      </c>
      <c r="Q1376" t="str">
        <f>_xlfn.XLOOKUP(D1376,tblSalesReps[rep_id],tblSalesReps[rep_name],"Missing")</f>
        <v>Sales Rep 05</v>
      </c>
      <c r="R1376" t="str">
        <f>_xlfn.XLOOKUP(D1376,tblSalesReps[rep_id],tblSalesReps[region],"Missing")</f>
        <v>South</v>
      </c>
    </row>
    <row r="1377" spans="1:18">
      <c r="A1377" t="s">
        <v>1897</v>
      </c>
      <c r="B1377" t="s">
        <v>520</v>
      </c>
      <c r="C1377" t="s">
        <v>26</v>
      </c>
      <c r="D1377" t="s">
        <v>152</v>
      </c>
      <c r="E1377" s="1">
        <v>45729</v>
      </c>
      <c r="F1377" s="1">
        <v>45813</v>
      </c>
      <c r="G1377" s="1">
        <v>45813</v>
      </c>
      <c r="H1377" t="s">
        <v>17</v>
      </c>
      <c r="I1377">
        <v>1</v>
      </c>
      <c r="J1377">
        <v>15</v>
      </c>
      <c r="K1377">
        <v>306000</v>
      </c>
      <c r="L1377">
        <v>0</v>
      </c>
      <c r="M1377" t="s">
        <v>18</v>
      </c>
      <c r="N1377" t="str">
        <f>_xlfn.XLOOKUP(B1377,tblCustomers[customer_id],tblCustomers[region],"Missing")</f>
        <v>East</v>
      </c>
      <c r="O1377" t="str">
        <f>_xlfn.XLOOKUP(C1377,tblProducts[product_id],tblProducts[product_name],"Missing")</f>
        <v>Security Suite</v>
      </c>
      <c r="P1377" t="str">
        <f>_xlfn.XLOOKUP(C1377,tblProducts[product_id],tblProducts[category],"Missing")</f>
        <v>Security</v>
      </c>
      <c r="Q1377" t="str">
        <f>_xlfn.XLOOKUP(D1377,tblSalesReps[rep_id],tblSalesReps[rep_name],"Missing")</f>
        <v>Sales Rep 18</v>
      </c>
      <c r="R1377" t="str">
        <f>_xlfn.XLOOKUP(D1377,tblSalesReps[rep_id],tblSalesReps[region],"Missing")</f>
        <v>East</v>
      </c>
    </row>
    <row r="1378" spans="1:18">
      <c r="A1378" t="s">
        <v>1898</v>
      </c>
      <c r="B1378" t="s">
        <v>551</v>
      </c>
      <c r="C1378" t="s">
        <v>62</v>
      </c>
      <c r="D1378" t="s">
        <v>56</v>
      </c>
      <c r="E1378" s="1">
        <v>45911</v>
      </c>
      <c r="F1378" s="1">
        <v>45934</v>
      </c>
      <c r="G1378" s="1">
        <v>45934</v>
      </c>
      <c r="H1378" t="s">
        <v>17</v>
      </c>
      <c r="I1378">
        <v>3</v>
      </c>
      <c r="J1378">
        <v>20</v>
      </c>
      <c r="K1378">
        <v>288000</v>
      </c>
      <c r="L1378">
        <v>0</v>
      </c>
      <c r="M1378" t="s">
        <v>82</v>
      </c>
      <c r="N1378" t="str">
        <f>_xlfn.XLOOKUP(B1378,tblCustomers[customer_id],tblCustomers[region],"Missing")</f>
        <v>East</v>
      </c>
      <c r="O1378" t="str">
        <f>_xlfn.XLOOKUP(C1378,tblProducts[product_id],tblProducts[product_name],"Missing")</f>
        <v>CRM Essentials</v>
      </c>
      <c r="P1378" t="str">
        <f>_xlfn.XLOOKUP(C1378,tblProducts[product_id],tblProducts[category],"Missing")</f>
        <v>CRM</v>
      </c>
      <c r="Q1378" t="str">
        <f>_xlfn.XLOOKUP(D1378,tblSalesReps[rep_id],tblSalesReps[rep_name],"Missing")</f>
        <v>Sales Rep 20</v>
      </c>
      <c r="R1378" t="str">
        <f>_xlfn.XLOOKUP(D1378,tblSalesReps[rep_id],tblSalesReps[region],"Missing")</f>
        <v>East</v>
      </c>
    </row>
    <row r="1379" spans="1:18">
      <c r="A1379" t="s">
        <v>1899</v>
      </c>
      <c r="B1379" t="s">
        <v>249</v>
      </c>
      <c r="C1379" t="s">
        <v>81</v>
      </c>
      <c r="D1379" t="s">
        <v>32</v>
      </c>
      <c r="E1379" s="1">
        <v>45746</v>
      </c>
      <c r="F1379" s="1">
        <v>45776</v>
      </c>
      <c r="G1379" s="1">
        <v>45776</v>
      </c>
      <c r="H1379" t="s">
        <v>17</v>
      </c>
      <c r="I1379">
        <v>2</v>
      </c>
      <c r="J1379">
        <v>15</v>
      </c>
      <c r="K1379">
        <v>510000</v>
      </c>
      <c r="L1379">
        <v>0</v>
      </c>
      <c r="M1379" t="s">
        <v>82</v>
      </c>
      <c r="N1379" t="str">
        <f>_xlfn.XLOOKUP(B1379,tblCustomers[customer_id],tblCustomers[region],"Missing")</f>
        <v>South</v>
      </c>
      <c r="O1379" t="str">
        <f>_xlfn.XLOOKUP(C1379,tblProducts[product_id],tblProducts[product_name],"Missing")</f>
        <v>Analytics Cloud</v>
      </c>
      <c r="P1379" t="str">
        <f>_xlfn.XLOOKUP(C1379,tblProducts[product_id],tblProducts[category],"Missing")</f>
        <v>Analytics</v>
      </c>
      <c r="Q1379" t="str">
        <f>_xlfn.XLOOKUP(D1379,tblSalesReps[rep_id],tblSalesReps[rep_name],"Missing")</f>
        <v>Sales Rep 04</v>
      </c>
      <c r="R1379" t="str">
        <f>_xlfn.XLOOKUP(D1379,tblSalesReps[rep_id],tblSalesReps[region],"Missing")</f>
        <v>South</v>
      </c>
    </row>
    <row r="1380" spans="1:18">
      <c r="A1380" t="s">
        <v>1900</v>
      </c>
      <c r="B1380" t="s">
        <v>959</v>
      </c>
      <c r="C1380" t="s">
        <v>81</v>
      </c>
      <c r="D1380" t="s">
        <v>40</v>
      </c>
      <c r="E1380" s="1">
        <v>45744</v>
      </c>
      <c r="F1380" s="1">
        <v>45828</v>
      </c>
      <c r="G1380" s="1">
        <v>45828</v>
      </c>
      <c r="H1380" t="s">
        <v>28</v>
      </c>
      <c r="I1380">
        <v>3</v>
      </c>
      <c r="J1380">
        <v>20</v>
      </c>
      <c r="K1380">
        <v>720000</v>
      </c>
      <c r="L1380">
        <v>100</v>
      </c>
      <c r="M1380" t="s">
        <v>29</v>
      </c>
      <c r="N1380" t="str">
        <f>_xlfn.XLOOKUP(B1380,tblCustomers[customer_id],tblCustomers[region],"Missing")</f>
        <v>West</v>
      </c>
      <c r="O1380" t="str">
        <f>_xlfn.XLOOKUP(C1380,tblProducts[product_id],tblProducts[product_name],"Missing")</f>
        <v>Analytics Cloud</v>
      </c>
      <c r="P1380" t="str">
        <f>_xlfn.XLOOKUP(C1380,tblProducts[product_id],tblProducts[category],"Missing")</f>
        <v>Analytics</v>
      </c>
      <c r="Q1380" t="str">
        <f>_xlfn.XLOOKUP(D1380,tblSalesReps[rep_id],tblSalesReps[rep_name],"Missing")</f>
        <v>Sales Rep 13</v>
      </c>
      <c r="R1380" t="str">
        <f>_xlfn.XLOOKUP(D1380,tblSalesReps[rep_id],tblSalesReps[region],"Missing")</f>
        <v>West</v>
      </c>
    </row>
    <row r="1381" spans="1:18">
      <c r="A1381" t="s">
        <v>1901</v>
      </c>
      <c r="B1381" t="s">
        <v>453</v>
      </c>
      <c r="C1381" t="s">
        <v>81</v>
      </c>
      <c r="D1381" t="s">
        <v>91</v>
      </c>
      <c r="E1381" s="1">
        <v>45966</v>
      </c>
      <c r="F1381" s="1">
        <v>46021</v>
      </c>
      <c r="G1381" s="1"/>
      <c r="H1381" t="s">
        <v>43</v>
      </c>
      <c r="I1381">
        <v>1</v>
      </c>
      <c r="J1381">
        <v>0</v>
      </c>
      <c r="K1381">
        <v>300000</v>
      </c>
      <c r="L1381">
        <v>40</v>
      </c>
      <c r="M1381" t="s">
        <v>29</v>
      </c>
      <c r="N1381" t="str">
        <f>_xlfn.XLOOKUP(B1381,tblCustomers[customer_id],tblCustomers[region],"Missing")</f>
        <v>South</v>
      </c>
      <c r="O1381" t="str">
        <f>_xlfn.XLOOKUP(C1381,tblProducts[product_id],tblProducts[product_name],"Missing")</f>
        <v>Analytics Cloud</v>
      </c>
      <c r="P1381" t="str">
        <f>_xlfn.XLOOKUP(C1381,tblProducts[product_id],tblProducts[category],"Missing")</f>
        <v>Analytics</v>
      </c>
      <c r="Q1381" t="str">
        <f>_xlfn.XLOOKUP(D1381,tblSalesReps[rep_id],tblSalesReps[rep_name],"Missing")</f>
        <v>Sales Rep 03</v>
      </c>
      <c r="R1381" t="str">
        <f>_xlfn.XLOOKUP(D1381,tblSalesReps[rep_id],tblSalesReps[region],"Missing")</f>
        <v>South</v>
      </c>
    </row>
    <row r="1382" spans="1:18">
      <c r="A1382" t="s">
        <v>1902</v>
      </c>
      <c r="B1382" t="s">
        <v>428</v>
      </c>
      <c r="C1382" t="s">
        <v>81</v>
      </c>
      <c r="D1382" t="s">
        <v>152</v>
      </c>
      <c r="E1382" s="1">
        <v>45905</v>
      </c>
      <c r="F1382" s="1">
        <v>45936</v>
      </c>
      <c r="G1382" s="1">
        <v>45936</v>
      </c>
      <c r="H1382" t="s">
        <v>17</v>
      </c>
      <c r="I1382">
        <v>3</v>
      </c>
      <c r="J1382">
        <v>0</v>
      </c>
      <c r="K1382">
        <v>900000</v>
      </c>
      <c r="L1382">
        <v>0</v>
      </c>
      <c r="M1382" t="s">
        <v>33</v>
      </c>
      <c r="N1382" t="str">
        <f>_xlfn.XLOOKUP(B1382,tblCustomers[customer_id],tblCustomers[region],"Missing")</f>
        <v>East</v>
      </c>
      <c r="O1382" t="str">
        <f>_xlfn.XLOOKUP(C1382,tblProducts[product_id],tblProducts[product_name],"Missing")</f>
        <v>Analytics Cloud</v>
      </c>
      <c r="P1382" t="str">
        <f>_xlfn.XLOOKUP(C1382,tblProducts[product_id],tblProducts[category],"Missing")</f>
        <v>Analytics</v>
      </c>
      <c r="Q1382" t="str">
        <f>_xlfn.XLOOKUP(D1382,tblSalesReps[rep_id],tblSalesReps[rep_name],"Missing")</f>
        <v>Sales Rep 18</v>
      </c>
      <c r="R1382" t="str">
        <f>_xlfn.XLOOKUP(D1382,tblSalesReps[rep_id],tblSalesReps[region],"Missing")</f>
        <v>East</v>
      </c>
    </row>
    <row r="1383" spans="1:18">
      <c r="A1383" t="s">
        <v>1903</v>
      </c>
      <c r="B1383" t="s">
        <v>683</v>
      </c>
      <c r="C1383" t="s">
        <v>26</v>
      </c>
      <c r="D1383" t="s">
        <v>152</v>
      </c>
      <c r="E1383" s="1">
        <v>45680</v>
      </c>
      <c r="F1383" s="1">
        <v>45764</v>
      </c>
      <c r="G1383" s="1">
        <v>45764</v>
      </c>
      <c r="H1383" t="s">
        <v>28</v>
      </c>
      <c r="I1383">
        <v>1</v>
      </c>
      <c r="J1383">
        <v>10</v>
      </c>
      <c r="K1383">
        <v>324000</v>
      </c>
      <c r="L1383">
        <v>100</v>
      </c>
      <c r="M1383" t="s">
        <v>29</v>
      </c>
      <c r="N1383" t="str">
        <f>_xlfn.XLOOKUP(B1383,tblCustomers[customer_id],tblCustomers[region],"Missing")</f>
        <v>East</v>
      </c>
      <c r="O1383" t="str">
        <f>_xlfn.XLOOKUP(C1383,tblProducts[product_id],tblProducts[product_name],"Missing")</f>
        <v>Security Suite</v>
      </c>
      <c r="P1383" t="str">
        <f>_xlfn.XLOOKUP(C1383,tblProducts[product_id],tblProducts[category],"Missing")</f>
        <v>Security</v>
      </c>
      <c r="Q1383" t="str">
        <f>_xlfn.XLOOKUP(D1383,tblSalesReps[rep_id],tblSalesReps[rep_name],"Missing")</f>
        <v>Sales Rep 18</v>
      </c>
      <c r="R1383" t="str">
        <f>_xlfn.XLOOKUP(D1383,tblSalesReps[rep_id],tblSalesReps[region],"Missing")</f>
        <v>East</v>
      </c>
    </row>
    <row r="1384" spans="1:18">
      <c r="A1384" t="s">
        <v>1904</v>
      </c>
      <c r="B1384" t="s">
        <v>1639</v>
      </c>
      <c r="C1384" t="s">
        <v>26</v>
      </c>
      <c r="D1384" t="s">
        <v>27</v>
      </c>
      <c r="E1384" s="1">
        <v>45730</v>
      </c>
      <c r="F1384" s="1">
        <v>45739</v>
      </c>
      <c r="G1384" s="1">
        <v>45739</v>
      </c>
      <c r="H1384" t="s">
        <v>17</v>
      </c>
      <c r="I1384">
        <v>1</v>
      </c>
      <c r="J1384">
        <v>0</v>
      </c>
      <c r="K1384">
        <v>360000</v>
      </c>
      <c r="L1384">
        <v>0</v>
      </c>
      <c r="M1384" t="s">
        <v>18</v>
      </c>
      <c r="N1384" t="str">
        <f>_xlfn.XLOOKUP(B1384,tblCustomers[customer_id],tblCustomers[region],"Missing")</f>
        <v>North</v>
      </c>
      <c r="O1384" t="str">
        <f>_xlfn.XLOOKUP(C1384,tblProducts[product_id],tblProducts[product_name],"Missing")</f>
        <v>Security Suite</v>
      </c>
      <c r="P1384" t="str">
        <f>_xlfn.XLOOKUP(C1384,tblProducts[product_id],tblProducts[category],"Missing")</f>
        <v>Security</v>
      </c>
      <c r="Q1384" t="str">
        <f>_xlfn.XLOOKUP(D1384,tblSalesReps[rep_id],tblSalesReps[rep_name],"Missing")</f>
        <v>Sales Rep 06</v>
      </c>
      <c r="R1384" t="str">
        <f>_xlfn.XLOOKUP(D1384,tblSalesReps[rep_id],tblSalesReps[region],"Missing")</f>
        <v>North</v>
      </c>
    </row>
    <row r="1385" spans="1:18">
      <c r="A1385" t="s">
        <v>1905</v>
      </c>
      <c r="B1385" t="s">
        <v>844</v>
      </c>
      <c r="C1385" t="s">
        <v>39</v>
      </c>
      <c r="D1385" t="s">
        <v>46</v>
      </c>
      <c r="E1385" s="1">
        <v>45863</v>
      </c>
      <c r="F1385" s="1">
        <v>45946</v>
      </c>
      <c r="G1385" s="1">
        <v>45946</v>
      </c>
      <c r="H1385" t="s">
        <v>17</v>
      </c>
      <c r="I1385">
        <v>1</v>
      </c>
      <c r="J1385">
        <v>5</v>
      </c>
      <c r="K1385">
        <v>171000</v>
      </c>
      <c r="L1385">
        <v>0</v>
      </c>
      <c r="M1385" t="s">
        <v>47</v>
      </c>
      <c r="N1385" t="str">
        <f>_xlfn.XLOOKUP(B1385,tblCustomers[customer_id],tblCustomers[region],"Missing")</f>
        <v>South</v>
      </c>
      <c r="O1385" t="str">
        <f>_xlfn.XLOOKUP(C1385,tblProducts[product_id],tblProducts[product_name],"Missing")</f>
        <v>Support Desk</v>
      </c>
      <c r="P1385" t="str">
        <f>_xlfn.XLOOKUP(C1385,tblProducts[product_id],tblProducts[category],"Missing")</f>
        <v>Service</v>
      </c>
      <c r="Q1385" t="str">
        <f>_xlfn.XLOOKUP(D1385,tblSalesReps[rep_id],tblSalesReps[rep_name],"Missing")</f>
        <v>Sales Rep 01</v>
      </c>
      <c r="R1385" t="str">
        <f>_xlfn.XLOOKUP(D1385,tblSalesReps[rep_id],tblSalesReps[region],"Missing")</f>
        <v>South</v>
      </c>
    </row>
    <row r="1386" spans="1:18">
      <c r="A1386" t="s">
        <v>1906</v>
      </c>
      <c r="B1386" t="s">
        <v>693</v>
      </c>
      <c r="C1386" t="s">
        <v>62</v>
      </c>
      <c r="D1386" t="s">
        <v>53</v>
      </c>
      <c r="E1386" s="1">
        <v>45913</v>
      </c>
      <c r="F1386" s="1">
        <v>45922</v>
      </c>
      <c r="G1386" s="1">
        <v>45922</v>
      </c>
      <c r="H1386" t="s">
        <v>17</v>
      </c>
      <c r="I1386">
        <v>1</v>
      </c>
      <c r="J1386">
        <v>10</v>
      </c>
      <c r="K1386">
        <v>108000</v>
      </c>
      <c r="L1386">
        <v>0</v>
      </c>
      <c r="M1386" t="s">
        <v>82</v>
      </c>
      <c r="N1386" t="str">
        <f>_xlfn.XLOOKUP(B1386,tblCustomers[customer_id],tblCustomers[region],"Missing")</f>
        <v>East</v>
      </c>
      <c r="O1386" t="str">
        <f>_xlfn.XLOOKUP(C1386,tblProducts[product_id],tblProducts[product_name],"Missing")</f>
        <v>CRM Essentials</v>
      </c>
      <c r="P1386" t="str">
        <f>_xlfn.XLOOKUP(C1386,tblProducts[product_id],tblProducts[category],"Missing")</f>
        <v>CRM</v>
      </c>
      <c r="Q1386" t="str">
        <f>_xlfn.XLOOKUP(D1386,tblSalesReps[rep_id],tblSalesReps[rep_name],"Missing")</f>
        <v>Sales Rep 16</v>
      </c>
      <c r="R1386" t="str">
        <f>_xlfn.XLOOKUP(D1386,tblSalesReps[rep_id],tblSalesReps[region],"Missing")</f>
        <v>East</v>
      </c>
    </row>
    <row r="1387" spans="1:18">
      <c r="A1387" t="s">
        <v>1907</v>
      </c>
      <c r="B1387" t="s">
        <v>836</v>
      </c>
      <c r="C1387" t="s">
        <v>26</v>
      </c>
      <c r="D1387" t="s">
        <v>91</v>
      </c>
      <c r="E1387" s="1">
        <v>45814</v>
      </c>
      <c r="F1387" s="1">
        <v>45897</v>
      </c>
      <c r="G1387" s="1">
        <v>45897</v>
      </c>
      <c r="H1387" t="s">
        <v>17</v>
      </c>
      <c r="I1387">
        <v>1</v>
      </c>
      <c r="J1387">
        <v>15</v>
      </c>
      <c r="K1387">
        <v>306000</v>
      </c>
      <c r="L1387">
        <v>0</v>
      </c>
      <c r="M1387" t="s">
        <v>18</v>
      </c>
      <c r="N1387" t="str">
        <f>_xlfn.XLOOKUP(B1387,tblCustomers[customer_id],tblCustomers[region],"Missing")</f>
        <v>South</v>
      </c>
      <c r="O1387" t="str">
        <f>_xlfn.XLOOKUP(C1387,tblProducts[product_id],tblProducts[product_name],"Missing")</f>
        <v>Security Suite</v>
      </c>
      <c r="P1387" t="str">
        <f>_xlfn.XLOOKUP(C1387,tblProducts[product_id],tblProducts[category],"Missing")</f>
        <v>Security</v>
      </c>
      <c r="Q1387" t="str">
        <f>_xlfn.XLOOKUP(D1387,tblSalesReps[rep_id],tblSalesReps[rep_name],"Missing")</f>
        <v>Sales Rep 03</v>
      </c>
      <c r="R1387" t="str">
        <f>_xlfn.XLOOKUP(D1387,tblSalesReps[rep_id],tblSalesReps[region],"Missing")</f>
        <v>South</v>
      </c>
    </row>
    <row r="1388" spans="1:18">
      <c r="A1388" t="s">
        <v>1908</v>
      </c>
      <c r="B1388" t="s">
        <v>509</v>
      </c>
      <c r="C1388" t="s">
        <v>21</v>
      </c>
      <c r="D1388" t="s">
        <v>152</v>
      </c>
      <c r="E1388" s="1">
        <v>45770</v>
      </c>
      <c r="F1388" s="1">
        <v>45785</v>
      </c>
      <c r="G1388" s="1">
        <v>45785</v>
      </c>
      <c r="H1388" t="s">
        <v>28</v>
      </c>
      <c r="I1388">
        <v>1</v>
      </c>
      <c r="J1388">
        <v>15</v>
      </c>
      <c r="K1388">
        <v>204000</v>
      </c>
      <c r="L1388">
        <v>100</v>
      </c>
      <c r="M1388" t="s">
        <v>29</v>
      </c>
      <c r="N1388" t="str">
        <f>_xlfn.XLOOKUP(B1388,tblCustomers[customer_id],tblCustomers[region],"Missing")</f>
        <v>East</v>
      </c>
      <c r="O1388" t="str">
        <f>_xlfn.XLOOKUP(C1388,tblProducts[product_id],tblProducts[product_name],"Missing")</f>
        <v>Workflow Automate</v>
      </c>
      <c r="P1388" t="str">
        <f>_xlfn.XLOOKUP(C1388,tblProducts[product_id],tblProducts[category],"Missing")</f>
        <v>Automation</v>
      </c>
      <c r="Q1388" t="str">
        <f>_xlfn.XLOOKUP(D1388,tblSalesReps[rep_id],tblSalesReps[rep_name],"Missing")</f>
        <v>Sales Rep 18</v>
      </c>
      <c r="R1388" t="str">
        <f>_xlfn.XLOOKUP(D1388,tblSalesReps[rep_id],tblSalesReps[region],"Missing")</f>
        <v>East</v>
      </c>
    </row>
    <row r="1389" spans="1:18">
      <c r="A1389" t="s">
        <v>1909</v>
      </c>
      <c r="B1389" t="s">
        <v>1546</v>
      </c>
      <c r="C1389" t="s">
        <v>81</v>
      </c>
      <c r="D1389" t="s">
        <v>75</v>
      </c>
      <c r="E1389" s="1">
        <v>45880</v>
      </c>
      <c r="F1389" s="1">
        <v>45925</v>
      </c>
      <c r="G1389" s="1"/>
      <c r="H1389" t="s">
        <v>43</v>
      </c>
      <c r="I1389">
        <v>3</v>
      </c>
      <c r="J1389">
        <v>10</v>
      </c>
      <c r="K1389">
        <v>810000</v>
      </c>
      <c r="L1389">
        <v>40</v>
      </c>
      <c r="M1389" t="s">
        <v>29</v>
      </c>
      <c r="N1389" t="str">
        <f>_xlfn.XLOOKUP(B1389,tblCustomers[customer_id],tblCustomers[region],"Missing")</f>
        <v>North</v>
      </c>
      <c r="O1389" t="str">
        <f>_xlfn.XLOOKUP(C1389,tblProducts[product_id],tblProducts[product_name],"Missing")</f>
        <v>Analytics Cloud</v>
      </c>
      <c r="P1389" t="str">
        <f>_xlfn.XLOOKUP(C1389,tblProducts[product_id],tblProducts[category],"Missing")</f>
        <v>Analytics</v>
      </c>
      <c r="Q1389" t="str">
        <f>_xlfn.XLOOKUP(D1389,tblSalesReps[rep_id],tblSalesReps[rep_name],"Missing")</f>
        <v>Sales Rep 07</v>
      </c>
      <c r="R1389" t="str">
        <f>_xlfn.XLOOKUP(D1389,tblSalesReps[rep_id],tblSalesReps[region],"Missing")</f>
        <v>North</v>
      </c>
    </row>
    <row r="1390" spans="1:18">
      <c r="A1390" t="s">
        <v>1910</v>
      </c>
      <c r="B1390" t="s">
        <v>578</v>
      </c>
      <c r="C1390" t="s">
        <v>15</v>
      </c>
      <c r="D1390" t="s">
        <v>78</v>
      </c>
      <c r="E1390" s="1">
        <v>45991</v>
      </c>
      <c r="F1390" s="1">
        <v>46076</v>
      </c>
      <c r="G1390" s="1"/>
      <c r="H1390" t="s">
        <v>43</v>
      </c>
      <c r="I1390">
        <v>3</v>
      </c>
      <c r="J1390">
        <v>5</v>
      </c>
      <c r="K1390">
        <v>1197000</v>
      </c>
      <c r="L1390">
        <v>60</v>
      </c>
      <c r="M1390" t="s">
        <v>29</v>
      </c>
      <c r="N1390" t="str">
        <f>_xlfn.XLOOKUP(B1390,tblCustomers[customer_id],tblCustomers[region],"Missing")</f>
        <v>West</v>
      </c>
      <c r="O1390" t="str">
        <f>_xlfn.XLOOKUP(C1390,tblProducts[product_id],tblProducts[product_name],"Missing")</f>
        <v>CRM Enterprise</v>
      </c>
      <c r="P1390" t="str">
        <f>_xlfn.XLOOKUP(C1390,tblProducts[product_id],tblProducts[category],"Missing")</f>
        <v>CRM</v>
      </c>
      <c r="Q1390" t="str">
        <f>_xlfn.XLOOKUP(D1390,tblSalesReps[rep_id],tblSalesReps[rep_name],"Missing")</f>
        <v>Sales Rep 12</v>
      </c>
      <c r="R1390" t="str">
        <f>_xlfn.XLOOKUP(D1390,tblSalesReps[rep_id],tblSalesReps[region],"Missing")</f>
        <v>West</v>
      </c>
    </row>
    <row r="1391" spans="1:18">
      <c r="A1391" t="s">
        <v>1911</v>
      </c>
      <c r="B1391" t="s">
        <v>1400</v>
      </c>
      <c r="C1391" t="s">
        <v>26</v>
      </c>
      <c r="D1391" t="s">
        <v>70</v>
      </c>
      <c r="E1391" s="1">
        <v>45963</v>
      </c>
      <c r="F1391" s="1">
        <v>46004</v>
      </c>
      <c r="G1391" s="1">
        <v>46004</v>
      </c>
      <c r="H1391" t="s">
        <v>28</v>
      </c>
      <c r="I1391">
        <v>2</v>
      </c>
      <c r="J1391">
        <v>15</v>
      </c>
      <c r="K1391">
        <v>612000</v>
      </c>
      <c r="L1391">
        <v>100</v>
      </c>
      <c r="M1391" t="s">
        <v>29</v>
      </c>
      <c r="N1391" t="str">
        <f>_xlfn.XLOOKUP(B1391,tblCustomers[customer_id],tblCustomers[region],"Missing")</f>
        <v>West</v>
      </c>
      <c r="O1391" t="str">
        <f>_xlfn.XLOOKUP(C1391,tblProducts[product_id],tblProducts[product_name],"Missing")</f>
        <v>Security Suite</v>
      </c>
      <c r="P1391" t="str">
        <f>_xlfn.XLOOKUP(C1391,tblProducts[product_id],tblProducts[category],"Missing")</f>
        <v>Security</v>
      </c>
      <c r="Q1391" t="str">
        <f>_xlfn.XLOOKUP(D1391,tblSalesReps[rep_id],tblSalesReps[rep_name],"Missing")</f>
        <v>Sales Rep 11</v>
      </c>
      <c r="R1391" t="str">
        <f>_xlfn.XLOOKUP(D1391,tblSalesReps[rep_id],tblSalesReps[region],"Missing")</f>
        <v>West</v>
      </c>
    </row>
    <row r="1392" spans="1:18">
      <c r="A1392" t="s">
        <v>1912</v>
      </c>
      <c r="B1392" t="s">
        <v>412</v>
      </c>
      <c r="C1392" t="s">
        <v>15</v>
      </c>
      <c r="D1392" t="s">
        <v>63</v>
      </c>
      <c r="E1392" s="1">
        <v>45681</v>
      </c>
      <c r="F1392" s="1">
        <v>45745</v>
      </c>
      <c r="G1392" s="1">
        <v>45745</v>
      </c>
      <c r="H1392" t="s">
        <v>17</v>
      </c>
      <c r="I1392">
        <v>1</v>
      </c>
      <c r="J1392">
        <v>15</v>
      </c>
      <c r="K1392">
        <v>357000</v>
      </c>
      <c r="L1392">
        <v>0</v>
      </c>
      <c r="M1392" t="s">
        <v>33</v>
      </c>
      <c r="N1392" t="str">
        <f>_xlfn.XLOOKUP(B1392,tblCustomers[customer_id],tblCustomers[region],"Missing")</f>
        <v>South</v>
      </c>
      <c r="O1392" t="str">
        <f>_xlfn.XLOOKUP(C1392,tblProducts[product_id],tblProducts[product_name],"Missing")</f>
        <v>CRM Enterprise</v>
      </c>
      <c r="P1392" t="str">
        <f>_xlfn.XLOOKUP(C1392,tblProducts[product_id],tblProducts[category],"Missing")</f>
        <v>CRM</v>
      </c>
      <c r="Q1392" t="str">
        <f>_xlfn.XLOOKUP(D1392,tblSalesReps[rep_id],tblSalesReps[rep_name],"Missing")</f>
        <v>Sales Rep 05</v>
      </c>
      <c r="R1392" t="str">
        <f>_xlfn.XLOOKUP(D1392,tblSalesReps[rep_id],tblSalesReps[region],"Missing")</f>
        <v>South</v>
      </c>
    </row>
    <row r="1393" spans="1:18">
      <c r="A1393" t="s">
        <v>1913</v>
      </c>
      <c r="B1393" t="s">
        <v>884</v>
      </c>
      <c r="C1393" t="s">
        <v>62</v>
      </c>
      <c r="D1393" t="s">
        <v>40</v>
      </c>
      <c r="E1393" s="1">
        <v>45677</v>
      </c>
      <c r="F1393" s="1">
        <v>45684</v>
      </c>
      <c r="G1393" s="1">
        <v>45684</v>
      </c>
      <c r="H1393" t="s">
        <v>17</v>
      </c>
      <c r="I1393">
        <v>1</v>
      </c>
      <c r="J1393">
        <v>10</v>
      </c>
      <c r="K1393">
        <v>108000</v>
      </c>
      <c r="L1393">
        <v>0</v>
      </c>
      <c r="M1393" t="s">
        <v>47</v>
      </c>
      <c r="N1393" t="str">
        <f>_xlfn.XLOOKUP(B1393,tblCustomers[customer_id],tblCustomers[region],"Missing")</f>
        <v>West</v>
      </c>
      <c r="O1393" t="str">
        <f>_xlfn.XLOOKUP(C1393,tblProducts[product_id],tblProducts[product_name],"Missing")</f>
        <v>CRM Essentials</v>
      </c>
      <c r="P1393" t="str">
        <f>_xlfn.XLOOKUP(C1393,tblProducts[product_id],tblProducts[category],"Missing")</f>
        <v>CRM</v>
      </c>
      <c r="Q1393" t="str">
        <f>_xlfn.XLOOKUP(D1393,tblSalesReps[rep_id],tblSalesReps[rep_name],"Missing")</f>
        <v>Sales Rep 13</v>
      </c>
      <c r="R1393" t="str">
        <f>_xlfn.XLOOKUP(D1393,tblSalesReps[rep_id],tblSalesReps[region],"Missing")</f>
        <v>West</v>
      </c>
    </row>
    <row r="1394" spans="1:18">
      <c r="A1394" t="s">
        <v>1914</v>
      </c>
      <c r="B1394" t="s">
        <v>589</v>
      </c>
      <c r="C1394" t="s">
        <v>81</v>
      </c>
      <c r="D1394" t="s">
        <v>56</v>
      </c>
      <c r="E1394" s="1">
        <v>45793</v>
      </c>
      <c r="F1394" s="1">
        <v>45829</v>
      </c>
      <c r="G1394" s="1"/>
      <c r="H1394" t="s">
        <v>43</v>
      </c>
      <c r="I1394">
        <v>1</v>
      </c>
      <c r="J1394">
        <v>15</v>
      </c>
      <c r="K1394">
        <v>255000</v>
      </c>
      <c r="L1394">
        <v>60</v>
      </c>
      <c r="M1394" t="s">
        <v>29</v>
      </c>
      <c r="N1394" t="str">
        <f>_xlfn.XLOOKUP(B1394,tblCustomers[customer_id],tblCustomers[region],"Missing")</f>
        <v>East</v>
      </c>
      <c r="O1394" t="str">
        <f>_xlfn.XLOOKUP(C1394,tblProducts[product_id],tblProducts[product_name],"Missing")</f>
        <v>Analytics Cloud</v>
      </c>
      <c r="P1394" t="str">
        <f>_xlfn.XLOOKUP(C1394,tblProducts[product_id],tblProducts[category],"Missing")</f>
        <v>Analytics</v>
      </c>
      <c r="Q1394" t="str">
        <f>_xlfn.XLOOKUP(D1394,tblSalesReps[rep_id],tblSalesReps[rep_name],"Missing")</f>
        <v>Sales Rep 20</v>
      </c>
      <c r="R1394" t="str">
        <f>_xlfn.XLOOKUP(D1394,tblSalesReps[rep_id],tblSalesReps[region],"Missing")</f>
        <v>East</v>
      </c>
    </row>
    <row r="1395" spans="1:18">
      <c r="A1395" t="s">
        <v>1915</v>
      </c>
      <c r="B1395" t="s">
        <v>1916</v>
      </c>
      <c r="C1395" t="s">
        <v>15</v>
      </c>
      <c r="D1395" t="s">
        <v>32</v>
      </c>
      <c r="E1395" s="1">
        <v>45841</v>
      </c>
      <c r="F1395" s="1">
        <v>45906</v>
      </c>
      <c r="G1395" s="1">
        <v>45906</v>
      </c>
      <c r="H1395" t="s">
        <v>28</v>
      </c>
      <c r="I1395">
        <v>1</v>
      </c>
      <c r="J1395">
        <v>5</v>
      </c>
      <c r="K1395">
        <v>399000</v>
      </c>
      <c r="L1395">
        <v>100</v>
      </c>
      <c r="M1395" t="s">
        <v>29</v>
      </c>
      <c r="N1395" t="str">
        <f>_xlfn.XLOOKUP(B1395,tblCustomers[customer_id],tblCustomers[region],"Missing")</f>
        <v>South</v>
      </c>
      <c r="O1395" t="str">
        <f>_xlfn.XLOOKUP(C1395,tblProducts[product_id],tblProducts[product_name],"Missing")</f>
        <v>CRM Enterprise</v>
      </c>
      <c r="P1395" t="str">
        <f>_xlfn.XLOOKUP(C1395,tblProducts[product_id],tblProducts[category],"Missing")</f>
        <v>CRM</v>
      </c>
      <c r="Q1395" t="str">
        <f>_xlfn.XLOOKUP(D1395,tblSalesReps[rep_id],tblSalesReps[rep_name],"Missing")</f>
        <v>Sales Rep 04</v>
      </c>
      <c r="R1395" t="str">
        <f>_xlfn.XLOOKUP(D1395,tblSalesReps[rep_id],tblSalesReps[region],"Missing")</f>
        <v>South</v>
      </c>
    </row>
    <row r="1396" spans="1:18">
      <c r="A1396" t="s">
        <v>1917</v>
      </c>
      <c r="B1396" t="s">
        <v>1526</v>
      </c>
      <c r="C1396" t="s">
        <v>62</v>
      </c>
      <c r="D1396" t="s">
        <v>16</v>
      </c>
      <c r="E1396" s="1">
        <v>45981</v>
      </c>
      <c r="F1396" s="1">
        <v>45993</v>
      </c>
      <c r="G1396" s="1"/>
      <c r="H1396" t="s">
        <v>43</v>
      </c>
      <c r="I1396">
        <v>3</v>
      </c>
      <c r="J1396">
        <v>0</v>
      </c>
      <c r="K1396">
        <v>360000</v>
      </c>
      <c r="L1396">
        <v>40</v>
      </c>
      <c r="M1396" t="s">
        <v>29</v>
      </c>
      <c r="N1396" t="str">
        <f>_xlfn.XLOOKUP(B1396,tblCustomers[customer_id],tblCustomers[region],"Missing")</f>
        <v>North</v>
      </c>
      <c r="O1396" t="str">
        <f>_xlfn.XLOOKUP(C1396,tblProducts[product_id],tblProducts[product_name],"Missing")</f>
        <v>CRM Essentials</v>
      </c>
      <c r="P1396" t="str">
        <f>_xlfn.XLOOKUP(C1396,tblProducts[product_id],tblProducts[category],"Missing")</f>
        <v>CRM</v>
      </c>
      <c r="Q1396" t="str">
        <f>_xlfn.XLOOKUP(D1396,tblSalesReps[rep_id],tblSalesReps[rep_name],"Missing")</f>
        <v>Sales Rep 08</v>
      </c>
      <c r="R1396" t="str">
        <f>_xlfn.XLOOKUP(D1396,tblSalesReps[rep_id],tblSalesReps[region],"Missing")</f>
        <v>North</v>
      </c>
    </row>
    <row r="1397" spans="1:18">
      <c r="A1397" t="s">
        <v>1918</v>
      </c>
      <c r="B1397" t="s">
        <v>606</v>
      </c>
      <c r="C1397" t="s">
        <v>81</v>
      </c>
      <c r="D1397" t="s">
        <v>75</v>
      </c>
      <c r="E1397" s="1">
        <v>45900</v>
      </c>
      <c r="F1397" s="1">
        <v>45920</v>
      </c>
      <c r="G1397" s="1">
        <v>45920</v>
      </c>
      <c r="H1397" t="s">
        <v>28</v>
      </c>
      <c r="I1397">
        <v>2</v>
      </c>
      <c r="J1397">
        <v>15</v>
      </c>
      <c r="K1397">
        <v>510000</v>
      </c>
      <c r="L1397">
        <v>100</v>
      </c>
      <c r="M1397" t="s">
        <v>29</v>
      </c>
      <c r="N1397" t="str">
        <f>_xlfn.XLOOKUP(B1397,tblCustomers[customer_id],tblCustomers[region],"Missing")</f>
        <v>North</v>
      </c>
      <c r="O1397" t="str">
        <f>_xlfn.XLOOKUP(C1397,tblProducts[product_id],tblProducts[product_name],"Missing")</f>
        <v>Analytics Cloud</v>
      </c>
      <c r="P1397" t="str">
        <f>_xlfn.XLOOKUP(C1397,tblProducts[product_id],tblProducts[category],"Missing")</f>
        <v>Analytics</v>
      </c>
      <c r="Q1397" t="str">
        <f>_xlfn.XLOOKUP(D1397,tblSalesReps[rep_id],tblSalesReps[rep_name],"Missing")</f>
        <v>Sales Rep 07</v>
      </c>
      <c r="R1397" t="str">
        <f>_xlfn.XLOOKUP(D1397,tblSalesReps[rep_id],tblSalesReps[region],"Missing")</f>
        <v>North</v>
      </c>
    </row>
    <row r="1398" spans="1:18">
      <c r="A1398" t="s">
        <v>1919</v>
      </c>
      <c r="B1398" t="s">
        <v>1311</v>
      </c>
      <c r="C1398" t="s">
        <v>81</v>
      </c>
      <c r="D1398" t="s">
        <v>168</v>
      </c>
      <c r="E1398" s="1">
        <v>45875</v>
      </c>
      <c r="F1398" s="1">
        <v>45894</v>
      </c>
      <c r="G1398" s="1">
        <v>45894</v>
      </c>
      <c r="H1398" t="s">
        <v>28</v>
      </c>
      <c r="I1398">
        <v>1</v>
      </c>
      <c r="J1398">
        <v>15</v>
      </c>
      <c r="K1398">
        <v>255000</v>
      </c>
      <c r="L1398">
        <v>100</v>
      </c>
      <c r="M1398" t="s">
        <v>29</v>
      </c>
      <c r="N1398" t="str">
        <f>_xlfn.XLOOKUP(B1398,tblCustomers[customer_id],tblCustomers[region],"Missing")</f>
        <v>East</v>
      </c>
      <c r="O1398" t="str">
        <f>_xlfn.XLOOKUP(C1398,tblProducts[product_id],tblProducts[product_name],"Missing")</f>
        <v>Analytics Cloud</v>
      </c>
      <c r="P1398" t="str">
        <f>_xlfn.XLOOKUP(C1398,tblProducts[product_id],tblProducts[category],"Missing")</f>
        <v>Analytics</v>
      </c>
      <c r="Q1398" t="str">
        <f>_xlfn.XLOOKUP(D1398,tblSalesReps[rep_id],tblSalesReps[rep_name],"Missing")</f>
        <v>Sales Rep 17</v>
      </c>
      <c r="R1398" t="str">
        <f>_xlfn.XLOOKUP(D1398,tblSalesReps[rep_id],tblSalesReps[region],"Missing")</f>
        <v>East</v>
      </c>
    </row>
    <row r="1399" spans="1:18">
      <c r="A1399" t="s">
        <v>1920</v>
      </c>
      <c r="B1399" t="s">
        <v>1639</v>
      </c>
      <c r="C1399" t="s">
        <v>62</v>
      </c>
      <c r="D1399" t="s">
        <v>119</v>
      </c>
      <c r="E1399" s="1">
        <v>45878</v>
      </c>
      <c r="F1399" s="1">
        <v>45915</v>
      </c>
      <c r="G1399" s="1">
        <v>45915</v>
      </c>
      <c r="H1399" t="s">
        <v>28</v>
      </c>
      <c r="I1399">
        <v>3</v>
      </c>
      <c r="J1399">
        <v>20</v>
      </c>
      <c r="K1399">
        <v>288000</v>
      </c>
      <c r="L1399">
        <v>100</v>
      </c>
      <c r="M1399" t="s">
        <v>29</v>
      </c>
      <c r="N1399" t="str">
        <f>_xlfn.XLOOKUP(B1399,tblCustomers[customer_id],tblCustomers[region],"Missing")</f>
        <v>North</v>
      </c>
      <c r="O1399" t="str">
        <f>_xlfn.XLOOKUP(C1399,tblProducts[product_id],tblProducts[product_name],"Missing")</f>
        <v>CRM Essentials</v>
      </c>
      <c r="P1399" t="str">
        <f>_xlfn.XLOOKUP(C1399,tblProducts[product_id],tblProducts[category],"Missing")</f>
        <v>CRM</v>
      </c>
      <c r="Q1399" t="str">
        <f>_xlfn.XLOOKUP(D1399,tblSalesReps[rep_id],tblSalesReps[rep_name],"Missing")</f>
        <v>Sales Rep 10</v>
      </c>
      <c r="R1399" t="str">
        <f>_xlfn.XLOOKUP(D1399,tblSalesReps[rep_id],tblSalesReps[region],"Missing")</f>
        <v>North</v>
      </c>
    </row>
    <row r="1400" spans="1:18">
      <c r="A1400" t="s">
        <v>1921</v>
      </c>
      <c r="B1400" t="s">
        <v>857</v>
      </c>
      <c r="C1400" t="s">
        <v>21</v>
      </c>
      <c r="D1400" t="s">
        <v>56</v>
      </c>
      <c r="E1400" s="1">
        <v>45960</v>
      </c>
      <c r="F1400" s="1">
        <v>45983</v>
      </c>
      <c r="G1400" s="1">
        <v>45983</v>
      </c>
      <c r="H1400" t="s">
        <v>17</v>
      </c>
      <c r="I1400">
        <v>2</v>
      </c>
      <c r="J1400">
        <v>15</v>
      </c>
      <c r="K1400">
        <v>408000</v>
      </c>
      <c r="L1400">
        <v>0</v>
      </c>
      <c r="M1400" t="s">
        <v>23</v>
      </c>
      <c r="N1400" t="str">
        <f>_xlfn.XLOOKUP(B1400,tblCustomers[customer_id],tblCustomers[region],"Missing")</f>
        <v>East</v>
      </c>
      <c r="O1400" t="str">
        <f>_xlfn.XLOOKUP(C1400,tblProducts[product_id],tblProducts[product_name],"Missing")</f>
        <v>Workflow Automate</v>
      </c>
      <c r="P1400" t="str">
        <f>_xlfn.XLOOKUP(C1400,tblProducts[product_id],tblProducts[category],"Missing")</f>
        <v>Automation</v>
      </c>
      <c r="Q1400" t="str">
        <f>_xlfn.XLOOKUP(D1400,tblSalesReps[rep_id],tblSalesReps[rep_name],"Missing")</f>
        <v>Sales Rep 20</v>
      </c>
      <c r="R1400" t="str">
        <f>_xlfn.XLOOKUP(D1400,tblSalesReps[rep_id],tblSalesReps[region],"Missing")</f>
        <v>East</v>
      </c>
    </row>
    <row r="1401" spans="1:18">
      <c r="A1401" t="s">
        <v>1922</v>
      </c>
      <c r="B1401" t="s">
        <v>1283</v>
      </c>
      <c r="C1401" t="s">
        <v>62</v>
      </c>
      <c r="D1401" t="s">
        <v>152</v>
      </c>
      <c r="E1401" s="1">
        <v>45990</v>
      </c>
      <c r="F1401" s="1">
        <v>46015</v>
      </c>
      <c r="G1401" s="1">
        <v>46015</v>
      </c>
      <c r="H1401" t="s">
        <v>28</v>
      </c>
      <c r="I1401">
        <v>1</v>
      </c>
      <c r="J1401">
        <v>20</v>
      </c>
      <c r="K1401">
        <v>96000</v>
      </c>
      <c r="L1401">
        <v>100</v>
      </c>
      <c r="M1401" t="s">
        <v>29</v>
      </c>
      <c r="N1401" t="str">
        <f>_xlfn.XLOOKUP(B1401,tblCustomers[customer_id],tblCustomers[region],"Missing")</f>
        <v>East</v>
      </c>
      <c r="O1401" t="str">
        <f>_xlfn.XLOOKUP(C1401,tblProducts[product_id],tblProducts[product_name],"Missing")</f>
        <v>CRM Essentials</v>
      </c>
      <c r="P1401" t="str">
        <f>_xlfn.XLOOKUP(C1401,tblProducts[product_id],tblProducts[category],"Missing")</f>
        <v>CRM</v>
      </c>
      <c r="Q1401" t="str">
        <f>_xlfn.XLOOKUP(D1401,tblSalesReps[rep_id],tblSalesReps[rep_name],"Missing")</f>
        <v>Sales Rep 18</v>
      </c>
      <c r="R1401" t="str">
        <f>_xlfn.XLOOKUP(D1401,tblSalesReps[rep_id],tblSalesReps[region],"Missing")</f>
        <v>East</v>
      </c>
    </row>
    <row r="1402" spans="1:18">
      <c r="A1402" t="s">
        <v>1923</v>
      </c>
      <c r="B1402" t="s">
        <v>369</v>
      </c>
      <c r="C1402" t="s">
        <v>81</v>
      </c>
      <c r="D1402" t="s">
        <v>59</v>
      </c>
      <c r="E1402" s="1">
        <v>45752</v>
      </c>
      <c r="F1402" s="1">
        <v>45767</v>
      </c>
      <c r="G1402" s="1">
        <v>45767</v>
      </c>
      <c r="H1402" t="s">
        <v>17</v>
      </c>
      <c r="I1402">
        <v>1</v>
      </c>
      <c r="J1402">
        <v>10</v>
      </c>
      <c r="K1402">
        <v>270000</v>
      </c>
      <c r="L1402">
        <v>0</v>
      </c>
      <c r="M1402" t="s">
        <v>33</v>
      </c>
      <c r="N1402" t="str">
        <f>_xlfn.XLOOKUP(B1402,tblCustomers[customer_id],tblCustomers[region],"Missing")</f>
        <v>East</v>
      </c>
      <c r="O1402" t="str">
        <f>_xlfn.XLOOKUP(C1402,tblProducts[product_id],tblProducts[product_name],"Missing")</f>
        <v>Analytics Cloud</v>
      </c>
      <c r="P1402" t="str">
        <f>_xlfn.XLOOKUP(C1402,tblProducts[product_id],tblProducts[category],"Missing")</f>
        <v>Analytics</v>
      </c>
      <c r="Q1402" t="str">
        <f>_xlfn.XLOOKUP(D1402,tblSalesReps[rep_id],tblSalesReps[rep_name],"Missing")</f>
        <v>Sales Rep 19</v>
      </c>
      <c r="R1402" t="str">
        <f>_xlfn.XLOOKUP(D1402,tblSalesReps[rep_id],tblSalesReps[region],"Missing")</f>
        <v>East</v>
      </c>
    </row>
    <row r="1403" spans="1:18">
      <c r="A1403" t="s">
        <v>1924</v>
      </c>
      <c r="B1403" t="s">
        <v>468</v>
      </c>
      <c r="C1403" t="s">
        <v>26</v>
      </c>
      <c r="D1403" t="s">
        <v>40</v>
      </c>
      <c r="E1403" s="1">
        <v>45785</v>
      </c>
      <c r="F1403" s="1">
        <v>45870</v>
      </c>
      <c r="G1403" s="1">
        <v>45870</v>
      </c>
      <c r="H1403" t="s">
        <v>17</v>
      </c>
      <c r="I1403">
        <v>1</v>
      </c>
      <c r="J1403">
        <v>5</v>
      </c>
      <c r="K1403">
        <v>342000</v>
      </c>
      <c r="L1403">
        <v>0</v>
      </c>
      <c r="M1403" t="s">
        <v>23</v>
      </c>
      <c r="N1403" t="str">
        <f>_xlfn.XLOOKUP(B1403,tblCustomers[customer_id],tblCustomers[region],"Missing")</f>
        <v>West</v>
      </c>
      <c r="O1403" t="str">
        <f>_xlfn.XLOOKUP(C1403,tblProducts[product_id],tblProducts[product_name],"Missing")</f>
        <v>Security Suite</v>
      </c>
      <c r="P1403" t="str">
        <f>_xlfn.XLOOKUP(C1403,tblProducts[product_id],tblProducts[category],"Missing")</f>
        <v>Security</v>
      </c>
      <c r="Q1403" t="str">
        <f>_xlfn.XLOOKUP(D1403,tblSalesReps[rep_id],tblSalesReps[rep_name],"Missing")</f>
        <v>Sales Rep 13</v>
      </c>
      <c r="R1403" t="str">
        <f>_xlfn.XLOOKUP(D1403,tblSalesReps[rep_id],tblSalesReps[region],"Missing")</f>
        <v>West</v>
      </c>
    </row>
    <row r="1404" spans="1:18">
      <c r="A1404" t="s">
        <v>1925</v>
      </c>
      <c r="B1404" t="s">
        <v>954</v>
      </c>
      <c r="C1404" t="s">
        <v>81</v>
      </c>
      <c r="D1404" t="s">
        <v>126</v>
      </c>
      <c r="E1404" s="1">
        <v>46007</v>
      </c>
      <c r="F1404" s="1">
        <v>46073</v>
      </c>
      <c r="G1404" s="1"/>
      <c r="H1404" t="s">
        <v>43</v>
      </c>
      <c r="I1404">
        <v>3</v>
      </c>
      <c r="J1404">
        <v>5</v>
      </c>
      <c r="K1404">
        <v>855000</v>
      </c>
      <c r="L1404">
        <v>80</v>
      </c>
      <c r="M1404" t="s">
        <v>29</v>
      </c>
      <c r="N1404" t="str">
        <f>_xlfn.XLOOKUP(B1404,tblCustomers[customer_id],tblCustomers[region],"Missing")</f>
        <v>South</v>
      </c>
      <c r="O1404" t="str">
        <f>_xlfn.XLOOKUP(C1404,tblProducts[product_id],tblProducts[product_name],"Missing")</f>
        <v>Analytics Cloud</v>
      </c>
      <c r="P1404" t="str">
        <f>_xlfn.XLOOKUP(C1404,tblProducts[product_id],tblProducts[category],"Missing")</f>
        <v>Analytics</v>
      </c>
      <c r="Q1404" t="str">
        <f>_xlfn.XLOOKUP(D1404,tblSalesReps[rep_id],tblSalesReps[rep_name],"Missing")</f>
        <v>Sales Rep 02</v>
      </c>
      <c r="R1404" t="str">
        <f>_xlfn.XLOOKUP(D1404,tblSalesReps[rep_id],tblSalesReps[region],"Missing")</f>
        <v>South</v>
      </c>
    </row>
    <row r="1405" spans="1:18">
      <c r="A1405" t="s">
        <v>1926</v>
      </c>
      <c r="B1405" t="s">
        <v>193</v>
      </c>
      <c r="C1405" t="s">
        <v>81</v>
      </c>
      <c r="D1405" t="s">
        <v>168</v>
      </c>
      <c r="E1405" s="1">
        <v>45974</v>
      </c>
      <c r="F1405" s="1">
        <v>45993</v>
      </c>
      <c r="G1405" s="1">
        <v>45993</v>
      </c>
      <c r="H1405" t="s">
        <v>28</v>
      </c>
      <c r="I1405">
        <v>3</v>
      </c>
      <c r="J1405">
        <v>20</v>
      </c>
      <c r="K1405">
        <v>720000</v>
      </c>
      <c r="L1405">
        <v>100</v>
      </c>
      <c r="M1405" t="s">
        <v>29</v>
      </c>
      <c r="N1405" t="str">
        <f>_xlfn.XLOOKUP(B1405,tblCustomers[customer_id],tblCustomers[region],"Missing")</f>
        <v>East</v>
      </c>
      <c r="O1405" t="str">
        <f>_xlfn.XLOOKUP(C1405,tblProducts[product_id],tblProducts[product_name],"Missing")</f>
        <v>Analytics Cloud</v>
      </c>
      <c r="P1405" t="str">
        <f>_xlfn.XLOOKUP(C1405,tblProducts[product_id],tblProducts[category],"Missing")</f>
        <v>Analytics</v>
      </c>
      <c r="Q1405" t="str">
        <f>_xlfn.XLOOKUP(D1405,tblSalesReps[rep_id],tblSalesReps[rep_name],"Missing")</f>
        <v>Sales Rep 17</v>
      </c>
      <c r="R1405" t="str">
        <f>_xlfn.XLOOKUP(D1405,tblSalesReps[rep_id],tblSalesReps[region],"Missing")</f>
        <v>East</v>
      </c>
    </row>
    <row r="1406" spans="1:18">
      <c r="A1406" t="s">
        <v>1927</v>
      </c>
      <c r="B1406" t="s">
        <v>1368</v>
      </c>
      <c r="C1406" t="s">
        <v>81</v>
      </c>
      <c r="D1406" t="s">
        <v>36</v>
      </c>
      <c r="E1406" s="1">
        <v>45658</v>
      </c>
      <c r="F1406" s="1">
        <v>45702</v>
      </c>
      <c r="G1406" s="1">
        <v>45702</v>
      </c>
      <c r="H1406" t="s">
        <v>17</v>
      </c>
      <c r="I1406">
        <v>1</v>
      </c>
      <c r="J1406">
        <v>20</v>
      </c>
      <c r="K1406">
        <v>240000</v>
      </c>
      <c r="L1406">
        <v>0</v>
      </c>
      <c r="M1406" t="s">
        <v>18</v>
      </c>
      <c r="N1406" t="str">
        <f>_xlfn.XLOOKUP(B1406,tblCustomers[customer_id],tblCustomers[region],"Missing")</f>
        <v>North</v>
      </c>
      <c r="O1406" t="str">
        <f>_xlfn.XLOOKUP(C1406,tblProducts[product_id],tblProducts[product_name],"Missing")</f>
        <v>Analytics Cloud</v>
      </c>
      <c r="P1406" t="str">
        <f>_xlfn.XLOOKUP(C1406,tblProducts[product_id],tblProducts[category],"Missing")</f>
        <v>Analytics</v>
      </c>
      <c r="Q1406" t="str">
        <f>_xlfn.XLOOKUP(D1406,tblSalesReps[rep_id],tblSalesReps[rep_name],"Missing")</f>
        <v>Sales Rep 09</v>
      </c>
      <c r="R1406" t="str">
        <f>_xlfn.XLOOKUP(D1406,tblSalesReps[rep_id],tblSalesReps[region],"Missing")</f>
        <v>North</v>
      </c>
    </row>
    <row r="1407" spans="1:18">
      <c r="A1407" t="s">
        <v>1928</v>
      </c>
      <c r="B1407" t="s">
        <v>1929</v>
      </c>
      <c r="C1407" t="s">
        <v>26</v>
      </c>
      <c r="D1407" t="s">
        <v>36</v>
      </c>
      <c r="E1407" s="1">
        <v>45924</v>
      </c>
      <c r="F1407" s="1">
        <v>45994</v>
      </c>
      <c r="G1407" s="1">
        <v>45994</v>
      </c>
      <c r="H1407" t="s">
        <v>28</v>
      </c>
      <c r="I1407">
        <v>3</v>
      </c>
      <c r="J1407">
        <v>20</v>
      </c>
      <c r="K1407">
        <v>864000</v>
      </c>
      <c r="L1407">
        <v>100</v>
      </c>
      <c r="M1407" t="s">
        <v>29</v>
      </c>
      <c r="N1407" t="str">
        <f>_xlfn.XLOOKUP(B1407,tblCustomers[customer_id],tblCustomers[region],"Missing")</f>
        <v>North</v>
      </c>
      <c r="O1407" t="str">
        <f>_xlfn.XLOOKUP(C1407,tblProducts[product_id],tblProducts[product_name],"Missing")</f>
        <v>Security Suite</v>
      </c>
      <c r="P1407" t="str">
        <f>_xlfn.XLOOKUP(C1407,tblProducts[product_id],tblProducts[category],"Missing")</f>
        <v>Security</v>
      </c>
      <c r="Q1407" t="str">
        <f>_xlfn.XLOOKUP(D1407,tblSalesReps[rep_id],tblSalesReps[rep_name],"Missing")</f>
        <v>Sales Rep 09</v>
      </c>
      <c r="R1407" t="str">
        <f>_xlfn.XLOOKUP(D1407,tblSalesReps[rep_id],tblSalesReps[region],"Missing")</f>
        <v>North</v>
      </c>
    </row>
    <row r="1408" spans="1:18">
      <c r="A1408" t="s">
        <v>1930</v>
      </c>
      <c r="B1408" t="s">
        <v>1824</v>
      </c>
      <c r="C1408" t="s">
        <v>81</v>
      </c>
      <c r="D1408" t="s">
        <v>70</v>
      </c>
      <c r="E1408" s="1">
        <v>45779</v>
      </c>
      <c r="F1408" s="1">
        <v>45792</v>
      </c>
      <c r="G1408" s="1">
        <v>45792</v>
      </c>
      <c r="H1408" t="s">
        <v>17</v>
      </c>
      <c r="I1408">
        <v>1</v>
      </c>
      <c r="J1408">
        <v>0</v>
      </c>
      <c r="K1408">
        <v>300000</v>
      </c>
      <c r="L1408">
        <v>0</v>
      </c>
      <c r="M1408" t="s">
        <v>18</v>
      </c>
      <c r="N1408" t="str">
        <f>_xlfn.XLOOKUP(B1408,tblCustomers[customer_id],tblCustomers[region],"Missing")</f>
        <v>West</v>
      </c>
      <c r="O1408" t="str">
        <f>_xlfn.XLOOKUP(C1408,tblProducts[product_id],tblProducts[product_name],"Missing")</f>
        <v>Analytics Cloud</v>
      </c>
      <c r="P1408" t="str">
        <f>_xlfn.XLOOKUP(C1408,tblProducts[product_id],tblProducts[category],"Missing")</f>
        <v>Analytics</v>
      </c>
      <c r="Q1408" t="str">
        <f>_xlfn.XLOOKUP(D1408,tblSalesReps[rep_id],tblSalesReps[rep_name],"Missing")</f>
        <v>Sales Rep 11</v>
      </c>
      <c r="R1408" t="str">
        <f>_xlfn.XLOOKUP(D1408,tblSalesReps[rep_id],tblSalesReps[region],"Missing")</f>
        <v>West</v>
      </c>
    </row>
    <row r="1409" spans="1:18">
      <c r="A1409" t="s">
        <v>1931</v>
      </c>
      <c r="B1409" t="s">
        <v>268</v>
      </c>
      <c r="C1409" t="s">
        <v>62</v>
      </c>
      <c r="D1409" t="s">
        <v>27</v>
      </c>
      <c r="E1409" s="1">
        <v>45696</v>
      </c>
      <c r="F1409" s="1">
        <v>45773</v>
      </c>
      <c r="G1409" s="1"/>
      <c r="H1409" t="s">
        <v>43</v>
      </c>
      <c r="I1409">
        <v>1</v>
      </c>
      <c r="J1409">
        <v>15</v>
      </c>
      <c r="K1409">
        <v>102000</v>
      </c>
      <c r="L1409">
        <v>40</v>
      </c>
      <c r="M1409" t="s">
        <v>29</v>
      </c>
      <c r="N1409" t="str">
        <f>_xlfn.XLOOKUP(B1409,tblCustomers[customer_id],tblCustomers[region],"Missing")</f>
        <v>North</v>
      </c>
      <c r="O1409" t="str">
        <f>_xlfn.XLOOKUP(C1409,tblProducts[product_id],tblProducts[product_name],"Missing")</f>
        <v>CRM Essentials</v>
      </c>
      <c r="P1409" t="str">
        <f>_xlfn.XLOOKUP(C1409,tblProducts[product_id],tblProducts[category],"Missing")</f>
        <v>CRM</v>
      </c>
      <c r="Q1409" t="str">
        <f>_xlfn.XLOOKUP(D1409,tblSalesReps[rep_id],tblSalesReps[rep_name],"Missing")</f>
        <v>Sales Rep 06</v>
      </c>
      <c r="R1409" t="str">
        <f>_xlfn.XLOOKUP(D1409,tblSalesReps[rep_id],tblSalesReps[region],"Missing")</f>
        <v>North</v>
      </c>
    </row>
    <row r="1410" spans="1:18">
      <c r="A1410" t="s">
        <v>1932</v>
      </c>
      <c r="B1410" t="s">
        <v>481</v>
      </c>
      <c r="C1410" t="s">
        <v>62</v>
      </c>
      <c r="D1410" t="s">
        <v>46</v>
      </c>
      <c r="E1410" s="1">
        <v>45937</v>
      </c>
      <c r="F1410" s="1">
        <v>45963</v>
      </c>
      <c r="G1410" s="1">
        <v>45963</v>
      </c>
      <c r="H1410" t="s">
        <v>28</v>
      </c>
      <c r="I1410">
        <v>1</v>
      </c>
      <c r="J1410">
        <v>0</v>
      </c>
      <c r="K1410">
        <v>120000</v>
      </c>
      <c r="L1410">
        <v>100</v>
      </c>
      <c r="M1410" t="s">
        <v>29</v>
      </c>
      <c r="N1410" t="str">
        <f>_xlfn.XLOOKUP(B1410,tblCustomers[customer_id],tblCustomers[region],"Missing")</f>
        <v>South</v>
      </c>
      <c r="O1410" t="str">
        <f>_xlfn.XLOOKUP(C1410,tblProducts[product_id],tblProducts[product_name],"Missing")</f>
        <v>CRM Essentials</v>
      </c>
      <c r="P1410" t="str">
        <f>_xlfn.XLOOKUP(C1410,tblProducts[product_id],tblProducts[category],"Missing")</f>
        <v>CRM</v>
      </c>
      <c r="Q1410" t="str">
        <f>_xlfn.XLOOKUP(D1410,tblSalesReps[rep_id],tblSalesReps[rep_name],"Missing")</f>
        <v>Sales Rep 01</v>
      </c>
      <c r="R1410" t="str">
        <f>_xlfn.XLOOKUP(D1410,tblSalesReps[rep_id],tblSalesReps[region],"Missing")</f>
        <v>South</v>
      </c>
    </row>
    <row r="1411" spans="1:18">
      <c r="A1411" t="s">
        <v>1933</v>
      </c>
      <c r="B1411" t="s">
        <v>232</v>
      </c>
      <c r="C1411" t="s">
        <v>39</v>
      </c>
      <c r="D1411" t="s">
        <v>46</v>
      </c>
      <c r="E1411" s="1">
        <v>45984</v>
      </c>
      <c r="F1411" s="1">
        <v>46044</v>
      </c>
      <c r="G1411" s="1"/>
      <c r="H1411" t="s">
        <v>43</v>
      </c>
      <c r="I1411">
        <v>1</v>
      </c>
      <c r="J1411">
        <v>5</v>
      </c>
      <c r="K1411">
        <v>171000</v>
      </c>
      <c r="L1411">
        <v>20</v>
      </c>
      <c r="M1411" t="s">
        <v>29</v>
      </c>
      <c r="N1411" t="str">
        <f>_xlfn.XLOOKUP(B1411,tblCustomers[customer_id],tblCustomers[region],"Missing")</f>
        <v>South</v>
      </c>
      <c r="O1411" t="str">
        <f>_xlfn.XLOOKUP(C1411,tblProducts[product_id],tblProducts[product_name],"Missing")</f>
        <v>Support Desk</v>
      </c>
      <c r="P1411" t="str">
        <f>_xlfn.XLOOKUP(C1411,tblProducts[product_id],tblProducts[category],"Missing")</f>
        <v>Service</v>
      </c>
      <c r="Q1411" t="str">
        <f>_xlfn.XLOOKUP(D1411,tblSalesReps[rep_id],tblSalesReps[rep_name],"Missing")</f>
        <v>Sales Rep 01</v>
      </c>
      <c r="R1411" t="str">
        <f>_xlfn.XLOOKUP(D1411,tblSalesReps[rep_id],tblSalesReps[region],"Missing")</f>
        <v>South</v>
      </c>
    </row>
    <row r="1412" spans="1:18">
      <c r="A1412" t="s">
        <v>1934</v>
      </c>
      <c r="B1412" t="s">
        <v>215</v>
      </c>
      <c r="C1412" t="s">
        <v>62</v>
      </c>
      <c r="D1412" t="s">
        <v>16</v>
      </c>
      <c r="E1412" s="1">
        <v>45724</v>
      </c>
      <c r="F1412" s="1">
        <v>45743</v>
      </c>
      <c r="G1412" s="1">
        <v>45743</v>
      </c>
      <c r="H1412" t="s">
        <v>28</v>
      </c>
      <c r="I1412">
        <v>1</v>
      </c>
      <c r="J1412">
        <v>15</v>
      </c>
      <c r="K1412">
        <v>102000</v>
      </c>
      <c r="L1412">
        <v>100</v>
      </c>
      <c r="M1412" t="s">
        <v>29</v>
      </c>
      <c r="N1412" t="str">
        <f>_xlfn.XLOOKUP(B1412,tblCustomers[customer_id],tblCustomers[region],"Missing")</f>
        <v>North</v>
      </c>
      <c r="O1412" t="str">
        <f>_xlfn.XLOOKUP(C1412,tblProducts[product_id],tblProducts[product_name],"Missing")</f>
        <v>CRM Essentials</v>
      </c>
      <c r="P1412" t="str">
        <f>_xlfn.XLOOKUP(C1412,tblProducts[product_id],tblProducts[category],"Missing")</f>
        <v>CRM</v>
      </c>
      <c r="Q1412" t="str">
        <f>_xlfn.XLOOKUP(D1412,tblSalesReps[rep_id],tblSalesReps[rep_name],"Missing")</f>
        <v>Sales Rep 08</v>
      </c>
      <c r="R1412" t="str">
        <f>_xlfn.XLOOKUP(D1412,tblSalesReps[rep_id],tblSalesReps[region],"Missing")</f>
        <v>North</v>
      </c>
    </row>
    <row r="1413" spans="1:18">
      <c r="A1413" t="s">
        <v>1935</v>
      </c>
      <c r="B1413" t="s">
        <v>1308</v>
      </c>
      <c r="C1413" t="s">
        <v>21</v>
      </c>
      <c r="D1413" t="s">
        <v>27</v>
      </c>
      <c r="E1413" s="1">
        <v>45714</v>
      </c>
      <c r="F1413" s="1">
        <v>45795</v>
      </c>
      <c r="G1413" s="1"/>
      <c r="H1413" t="s">
        <v>43</v>
      </c>
      <c r="I1413">
        <v>1</v>
      </c>
      <c r="J1413">
        <v>20</v>
      </c>
      <c r="K1413">
        <v>192000</v>
      </c>
      <c r="L1413">
        <v>60</v>
      </c>
      <c r="M1413" t="s">
        <v>29</v>
      </c>
      <c r="N1413" t="str">
        <f>_xlfn.XLOOKUP(B1413,tblCustomers[customer_id],tblCustomers[region],"Missing")</f>
        <v>North</v>
      </c>
      <c r="O1413" t="str">
        <f>_xlfn.XLOOKUP(C1413,tblProducts[product_id],tblProducts[product_name],"Missing")</f>
        <v>Workflow Automate</v>
      </c>
      <c r="P1413" t="str">
        <f>_xlfn.XLOOKUP(C1413,tblProducts[product_id],tblProducts[category],"Missing")</f>
        <v>Automation</v>
      </c>
      <c r="Q1413" t="str">
        <f>_xlfn.XLOOKUP(D1413,tblSalesReps[rep_id],tblSalesReps[rep_name],"Missing")</f>
        <v>Sales Rep 06</v>
      </c>
      <c r="R1413" t="str">
        <f>_xlfn.XLOOKUP(D1413,tblSalesReps[rep_id],tblSalesReps[region],"Missing")</f>
        <v>North</v>
      </c>
    </row>
    <row r="1414" spans="1:18">
      <c r="A1414" t="s">
        <v>1936</v>
      </c>
      <c r="B1414" t="s">
        <v>666</v>
      </c>
      <c r="C1414" t="s">
        <v>62</v>
      </c>
      <c r="D1414" t="s">
        <v>63</v>
      </c>
      <c r="E1414" s="1">
        <v>45753</v>
      </c>
      <c r="F1414" s="1">
        <v>45823</v>
      </c>
      <c r="G1414" s="1">
        <v>45823</v>
      </c>
      <c r="H1414" t="s">
        <v>17</v>
      </c>
      <c r="I1414">
        <v>1</v>
      </c>
      <c r="J1414">
        <v>5</v>
      </c>
      <c r="K1414">
        <v>114000</v>
      </c>
      <c r="L1414">
        <v>0</v>
      </c>
      <c r="M1414" t="s">
        <v>82</v>
      </c>
      <c r="N1414" t="str">
        <f>_xlfn.XLOOKUP(B1414,tblCustomers[customer_id],tblCustomers[region],"Missing")</f>
        <v>South</v>
      </c>
      <c r="O1414" t="str">
        <f>_xlfn.XLOOKUP(C1414,tblProducts[product_id],tblProducts[product_name],"Missing")</f>
        <v>CRM Essentials</v>
      </c>
      <c r="P1414" t="str">
        <f>_xlfn.XLOOKUP(C1414,tblProducts[product_id],tblProducts[category],"Missing")</f>
        <v>CRM</v>
      </c>
      <c r="Q1414" t="str">
        <f>_xlfn.XLOOKUP(D1414,tblSalesReps[rep_id],tblSalesReps[rep_name],"Missing")</f>
        <v>Sales Rep 05</v>
      </c>
      <c r="R1414" t="str">
        <f>_xlfn.XLOOKUP(D1414,tblSalesReps[rep_id],tblSalesReps[region],"Missing")</f>
        <v>South</v>
      </c>
    </row>
    <row r="1415" spans="1:18">
      <c r="A1415" t="s">
        <v>1937</v>
      </c>
      <c r="B1415" t="s">
        <v>696</v>
      </c>
      <c r="C1415" t="s">
        <v>21</v>
      </c>
      <c r="D1415" t="s">
        <v>36</v>
      </c>
      <c r="E1415" s="1">
        <v>45712</v>
      </c>
      <c r="F1415" s="1">
        <v>45770</v>
      </c>
      <c r="G1415" s="1">
        <v>45770</v>
      </c>
      <c r="H1415" t="s">
        <v>28</v>
      </c>
      <c r="I1415">
        <v>2</v>
      </c>
      <c r="J1415">
        <v>15</v>
      </c>
      <c r="K1415">
        <v>408000</v>
      </c>
      <c r="L1415">
        <v>100</v>
      </c>
      <c r="M1415" t="s">
        <v>29</v>
      </c>
      <c r="N1415" t="str">
        <f>_xlfn.XLOOKUP(B1415,tblCustomers[customer_id],tblCustomers[region],"Missing")</f>
        <v>North</v>
      </c>
      <c r="O1415" t="str">
        <f>_xlfn.XLOOKUP(C1415,tblProducts[product_id],tblProducts[product_name],"Missing")</f>
        <v>Workflow Automate</v>
      </c>
      <c r="P1415" t="str">
        <f>_xlfn.XLOOKUP(C1415,tblProducts[product_id],tblProducts[category],"Missing")</f>
        <v>Automation</v>
      </c>
      <c r="Q1415" t="str">
        <f>_xlfn.XLOOKUP(D1415,tblSalesReps[rep_id],tblSalesReps[rep_name],"Missing")</f>
        <v>Sales Rep 09</v>
      </c>
      <c r="R1415" t="str">
        <f>_xlfn.XLOOKUP(D1415,tblSalesReps[rep_id],tblSalesReps[region],"Missing")</f>
        <v>North</v>
      </c>
    </row>
    <row r="1416" spans="1:18">
      <c r="A1416" t="s">
        <v>1938</v>
      </c>
      <c r="B1416" t="s">
        <v>333</v>
      </c>
      <c r="C1416" t="s">
        <v>39</v>
      </c>
      <c r="D1416" t="s">
        <v>119</v>
      </c>
      <c r="E1416" s="1">
        <v>45902</v>
      </c>
      <c r="F1416" s="1">
        <v>45914</v>
      </c>
      <c r="G1416" s="1">
        <v>45914</v>
      </c>
      <c r="H1416" t="s">
        <v>17</v>
      </c>
      <c r="I1416">
        <v>1</v>
      </c>
      <c r="J1416">
        <v>5</v>
      </c>
      <c r="K1416">
        <v>171000</v>
      </c>
      <c r="L1416">
        <v>0</v>
      </c>
      <c r="M1416" t="s">
        <v>18</v>
      </c>
      <c r="N1416" t="str">
        <f>_xlfn.XLOOKUP(B1416,tblCustomers[customer_id],tblCustomers[region],"Missing")</f>
        <v>North</v>
      </c>
      <c r="O1416" t="str">
        <f>_xlfn.XLOOKUP(C1416,tblProducts[product_id],tblProducts[product_name],"Missing")</f>
        <v>Support Desk</v>
      </c>
      <c r="P1416" t="str">
        <f>_xlfn.XLOOKUP(C1416,tblProducts[product_id],tblProducts[category],"Missing")</f>
        <v>Service</v>
      </c>
      <c r="Q1416" t="str">
        <f>_xlfn.XLOOKUP(D1416,tblSalesReps[rep_id],tblSalesReps[rep_name],"Missing")</f>
        <v>Sales Rep 10</v>
      </c>
      <c r="R1416" t="str">
        <f>_xlfn.XLOOKUP(D1416,tblSalesReps[rep_id],tblSalesReps[region],"Missing")</f>
        <v>North</v>
      </c>
    </row>
    <row r="1417" spans="1:18">
      <c r="A1417" t="s">
        <v>1939</v>
      </c>
      <c r="B1417" t="s">
        <v>973</v>
      </c>
      <c r="C1417" t="s">
        <v>81</v>
      </c>
      <c r="D1417" t="s">
        <v>59</v>
      </c>
      <c r="E1417" s="1">
        <v>45707</v>
      </c>
      <c r="F1417" s="1">
        <v>45736</v>
      </c>
      <c r="G1417" s="1">
        <v>45736</v>
      </c>
      <c r="H1417" t="s">
        <v>17</v>
      </c>
      <c r="I1417">
        <v>1</v>
      </c>
      <c r="J1417">
        <v>10</v>
      </c>
      <c r="K1417">
        <v>270000</v>
      </c>
      <c r="L1417">
        <v>0</v>
      </c>
      <c r="M1417" t="s">
        <v>18</v>
      </c>
      <c r="N1417" t="str">
        <f>_xlfn.XLOOKUP(B1417,tblCustomers[customer_id],tblCustomers[region],"Missing")</f>
        <v>East</v>
      </c>
      <c r="O1417" t="str">
        <f>_xlfn.XLOOKUP(C1417,tblProducts[product_id],tblProducts[product_name],"Missing")</f>
        <v>Analytics Cloud</v>
      </c>
      <c r="P1417" t="str">
        <f>_xlfn.XLOOKUP(C1417,tblProducts[product_id],tblProducts[category],"Missing")</f>
        <v>Analytics</v>
      </c>
      <c r="Q1417" t="str">
        <f>_xlfn.XLOOKUP(D1417,tblSalesReps[rep_id],tblSalesReps[rep_name],"Missing")</f>
        <v>Sales Rep 19</v>
      </c>
      <c r="R1417" t="str">
        <f>_xlfn.XLOOKUP(D1417,tblSalesReps[rep_id],tblSalesReps[region],"Missing")</f>
        <v>East</v>
      </c>
    </row>
    <row r="1418" spans="1:18">
      <c r="A1418" t="s">
        <v>1940</v>
      </c>
      <c r="B1418" t="s">
        <v>435</v>
      </c>
      <c r="C1418" t="s">
        <v>62</v>
      </c>
      <c r="D1418" t="s">
        <v>91</v>
      </c>
      <c r="E1418" s="1">
        <v>45856</v>
      </c>
      <c r="F1418" s="1">
        <v>45931</v>
      </c>
      <c r="G1418" s="1">
        <v>45931</v>
      </c>
      <c r="H1418" t="s">
        <v>28</v>
      </c>
      <c r="I1418">
        <v>3</v>
      </c>
      <c r="J1418">
        <v>15</v>
      </c>
      <c r="K1418">
        <v>306000</v>
      </c>
      <c r="L1418">
        <v>100</v>
      </c>
      <c r="M1418" t="s">
        <v>29</v>
      </c>
      <c r="N1418" t="str">
        <f>_xlfn.XLOOKUP(B1418,tblCustomers[customer_id],tblCustomers[region],"Missing")</f>
        <v>South</v>
      </c>
      <c r="O1418" t="str">
        <f>_xlfn.XLOOKUP(C1418,tblProducts[product_id],tblProducts[product_name],"Missing")</f>
        <v>CRM Essentials</v>
      </c>
      <c r="P1418" t="str">
        <f>_xlfn.XLOOKUP(C1418,tblProducts[product_id],tblProducts[category],"Missing")</f>
        <v>CRM</v>
      </c>
      <c r="Q1418" t="str">
        <f>_xlfn.XLOOKUP(D1418,tblSalesReps[rep_id],tblSalesReps[rep_name],"Missing")</f>
        <v>Sales Rep 03</v>
      </c>
      <c r="R1418" t="str">
        <f>_xlfn.XLOOKUP(D1418,tblSalesReps[rep_id],tblSalesReps[region],"Missing")</f>
        <v>South</v>
      </c>
    </row>
    <row r="1419" spans="1:18">
      <c r="A1419" t="s">
        <v>1941</v>
      </c>
      <c r="B1419" t="s">
        <v>601</v>
      </c>
      <c r="C1419" t="s">
        <v>21</v>
      </c>
      <c r="D1419" t="s">
        <v>63</v>
      </c>
      <c r="E1419" s="1">
        <v>45770</v>
      </c>
      <c r="F1419" s="1">
        <v>45854</v>
      </c>
      <c r="G1419" s="1">
        <v>45854</v>
      </c>
      <c r="H1419" t="s">
        <v>17</v>
      </c>
      <c r="I1419">
        <v>1</v>
      </c>
      <c r="J1419">
        <v>15</v>
      </c>
      <c r="K1419">
        <v>204000</v>
      </c>
      <c r="L1419">
        <v>0</v>
      </c>
      <c r="M1419" t="s">
        <v>23</v>
      </c>
      <c r="N1419" t="str">
        <f>_xlfn.XLOOKUP(B1419,tblCustomers[customer_id],tblCustomers[region],"Missing")</f>
        <v>South</v>
      </c>
      <c r="O1419" t="str">
        <f>_xlfn.XLOOKUP(C1419,tblProducts[product_id],tblProducts[product_name],"Missing")</f>
        <v>Workflow Automate</v>
      </c>
      <c r="P1419" t="str">
        <f>_xlfn.XLOOKUP(C1419,tblProducts[product_id],tblProducts[category],"Missing")</f>
        <v>Automation</v>
      </c>
      <c r="Q1419" t="str">
        <f>_xlfn.XLOOKUP(D1419,tblSalesReps[rep_id],tblSalesReps[rep_name],"Missing")</f>
        <v>Sales Rep 05</v>
      </c>
      <c r="R1419" t="str">
        <f>_xlfn.XLOOKUP(D1419,tblSalesReps[rep_id],tblSalesReps[region],"Missing")</f>
        <v>South</v>
      </c>
    </row>
    <row r="1420" spans="1:18">
      <c r="A1420" t="s">
        <v>1942</v>
      </c>
      <c r="B1420" t="s">
        <v>1162</v>
      </c>
      <c r="C1420" t="s">
        <v>15</v>
      </c>
      <c r="D1420" t="s">
        <v>16</v>
      </c>
      <c r="E1420" s="1">
        <v>45690</v>
      </c>
      <c r="F1420" s="1">
        <v>45730</v>
      </c>
      <c r="G1420" s="1">
        <v>45730</v>
      </c>
      <c r="H1420" t="s">
        <v>28</v>
      </c>
      <c r="I1420">
        <v>1</v>
      </c>
      <c r="J1420">
        <v>15</v>
      </c>
      <c r="K1420">
        <v>357000</v>
      </c>
      <c r="L1420">
        <v>100</v>
      </c>
      <c r="M1420" t="s">
        <v>29</v>
      </c>
      <c r="N1420" t="str">
        <f>_xlfn.XLOOKUP(B1420,tblCustomers[customer_id],tblCustomers[region],"Missing")</f>
        <v>North</v>
      </c>
      <c r="O1420" t="str">
        <f>_xlfn.XLOOKUP(C1420,tblProducts[product_id],tblProducts[product_name],"Missing")</f>
        <v>CRM Enterprise</v>
      </c>
      <c r="P1420" t="str">
        <f>_xlfn.XLOOKUP(C1420,tblProducts[product_id],tblProducts[category],"Missing")</f>
        <v>CRM</v>
      </c>
      <c r="Q1420" t="str">
        <f>_xlfn.XLOOKUP(D1420,tblSalesReps[rep_id],tblSalesReps[rep_name],"Missing")</f>
        <v>Sales Rep 08</v>
      </c>
      <c r="R1420" t="str">
        <f>_xlfn.XLOOKUP(D1420,tblSalesReps[rep_id],tblSalesReps[region],"Missing")</f>
        <v>North</v>
      </c>
    </row>
    <row r="1421" spans="1:18">
      <c r="A1421" t="s">
        <v>1943</v>
      </c>
      <c r="B1421" t="s">
        <v>206</v>
      </c>
      <c r="C1421" t="s">
        <v>21</v>
      </c>
      <c r="D1421" t="s">
        <v>36</v>
      </c>
      <c r="E1421" s="1">
        <v>45721</v>
      </c>
      <c r="F1421" s="1">
        <v>45730</v>
      </c>
      <c r="G1421" s="1">
        <v>45730</v>
      </c>
      <c r="H1421" t="s">
        <v>17</v>
      </c>
      <c r="I1421">
        <v>1</v>
      </c>
      <c r="J1421">
        <v>20</v>
      </c>
      <c r="K1421">
        <v>192000</v>
      </c>
      <c r="L1421">
        <v>0</v>
      </c>
      <c r="M1421" t="s">
        <v>82</v>
      </c>
      <c r="N1421" t="str">
        <f>_xlfn.XLOOKUP(B1421,tblCustomers[customer_id],tblCustomers[region],"Missing")</f>
        <v>North</v>
      </c>
      <c r="O1421" t="str">
        <f>_xlfn.XLOOKUP(C1421,tblProducts[product_id],tblProducts[product_name],"Missing")</f>
        <v>Workflow Automate</v>
      </c>
      <c r="P1421" t="str">
        <f>_xlfn.XLOOKUP(C1421,tblProducts[product_id],tblProducts[category],"Missing")</f>
        <v>Automation</v>
      </c>
      <c r="Q1421" t="str">
        <f>_xlfn.XLOOKUP(D1421,tblSalesReps[rep_id],tblSalesReps[rep_name],"Missing")</f>
        <v>Sales Rep 09</v>
      </c>
      <c r="R1421" t="str">
        <f>_xlfn.XLOOKUP(D1421,tblSalesReps[rep_id],tblSalesReps[region],"Missing")</f>
        <v>North</v>
      </c>
    </row>
    <row r="1422" spans="1:18">
      <c r="A1422" t="s">
        <v>1944</v>
      </c>
      <c r="B1422" t="s">
        <v>262</v>
      </c>
      <c r="C1422" t="s">
        <v>62</v>
      </c>
      <c r="D1422" t="s">
        <v>91</v>
      </c>
      <c r="E1422" s="1">
        <v>45740</v>
      </c>
      <c r="F1422" s="1">
        <v>45764</v>
      </c>
      <c r="G1422" s="1"/>
      <c r="H1422" t="s">
        <v>43</v>
      </c>
      <c r="I1422">
        <v>1</v>
      </c>
      <c r="J1422">
        <v>15</v>
      </c>
      <c r="K1422">
        <v>102000</v>
      </c>
      <c r="L1422">
        <v>20</v>
      </c>
      <c r="M1422" t="s">
        <v>29</v>
      </c>
      <c r="N1422" t="str">
        <f>_xlfn.XLOOKUP(B1422,tblCustomers[customer_id],tblCustomers[region],"Missing")</f>
        <v>South</v>
      </c>
      <c r="O1422" t="str">
        <f>_xlfn.XLOOKUP(C1422,tblProducts[product_id],tblProducts[product_name],"Missing")</f>
        <v>CRM Essentials</v>
      </c>
      <c r="P1422" t="str">
        <f>_xlfn.XLOOKUP(C1422,tblProducts[product_id],tblProducts[category],"Missing")</f>
        <v>CRM</v>
      </c>
      <c r="Q1422" t="str">
        <f>_xlfn.XLOOKUP(D1422,tblSalesReps[rep_id],tblSalesReps[rep_name],"Missing")</f>
        <v>Sales Rep 03</v>
      </c>
      <c r="R1422" t="str">
        <f>_xlfn.XLOOKUP(D1422,tblSalesReps[rep_id],tblSalesReps[region],"Missing")</f>
        <v>South</v>
      </c>
    </row>
    <row r="1423" spans="1:18">
      <c r="A1423" t="s">
        <v>1945</v>
      </c>
      <c r="B1423" t="s">
        <v>306</v>
      </c>
      <c r="C1423" t="s">
        <v>26</v>
      </c>
      <c r="D1423" t="s">
        <v>53</v>
      </c>
      <c r="E1423" s="1">
        <v>45941</v>
      </c>
      <c r="F1423" s="1">
        <v>45961</v>
      </c>
      <c r="G1423" s="1">
        <v>45961</v>
      </c>
      <c r="H1423" t="s">
        <v>17</v>
      </c>
      <c r="I1423">
        <v>1</v>
      </c>
      <c r="J1423">
        <v>15</v>
      </c>
      <c r="K1423">
        <v>306000</v>
      </c>
      <c r="L1423">
        <v>0</v>
      </c>
      <c r="M1423" t="s">
        <v>82</v>
      </c>
      <c r="N1423" t="str">
        <f>_xlfn.XLOOKUP(B1423,tblCustomers[customer_id],tblCustomers[region],"Missing")</f>
        <v>East</v>
      </c>
      <c r="O1423" t="str">
        <f>_xlfn.XLOOKUP(C1423,tblProducts[product_id],tblProducts[product_name],"Missing")</f>
        <v>Security Suite</v>
      </c>
      <c r="P1423" t="str">
        <f>_xlfn.XLOOKUP(C1423,tblProducts[product_id],tblProducts[category],"Missing")</f>
        <v>Security</v>
      </c>
      <c r="Q1423" t="str">
        <f>_xlfn.XLOOKUP(D1423,tblSalesReps[rep_id],tblSalesReps[rep_name],"Missing")</f>
        <v>Sales Rep 16</v>
      </c>
      <c r="R1423" t="str">
        <f>_xlfn.XLOOKUP(D1423,tblSalesReps[rep_id],tblSalesReps[region],"Missing")</f>
        <v>East</v>
      </c>
    </row>
    <row r="1424" spans="1:18">
      <c r="A1424" t="s">
        <v>1946</v>
      </c>
      <c r="B1424" t="s">
        <v>308</v>
      </c>
      <c r="C1424" t="s">
        <v>81</v>
      </c>
      <c r="D1424" t="s">
        <v>40</v>
      </c>
      <c r="E1424" s="1">
        <v>45838</v>
      </c>
      <c r="F1424" s="1">
        <v>45867</v>
      </c>
      <c r="G1424" s="1">
        <v>45867</v>
      </c>
      <c r="H1424" t="s">
        <v>17</v>
      </c>
      <c r="I1424">
        <v>2</v>
      </c>
      <c r="J1424">
        <v>0</v>
      </c>
      <c r="K1424">
        <v>600000</v>
      </c>
      <c r="L1424">
        <v>0</v>
      </c>
      <c r="M1424" t="s">
        <v>33</v>
      </c>
      <c r="N1424" t="str">
        <f>_xlfn.XLOOKUP(B1424,tblCustomers[customer_id],tblCustomers[region],"Missing")</f>
        <v>West</v>
      </c>
      <c r="O1424" t="str">
        <f>_xlfn.XLOOKUP(C1424,tblProducts[product_id],tblProducts[product_name],"Missing")</f>
        <v>Analytics Cloud</v>
      </c>
      <c r="P1424" t="str">
        <f>_xlfn.XLOOKUP(C1424,tblProducts[product_id],tblProducts[category],"Missing")</f>
        <v>Analytics</v>
      </c>
      <c r="Q1424" t="str">
        <f>_xlfn.XLOOKUP(D1424,tblSalesReps[rep_id],tblSalesReps[rep_name],"Missing")</f>
        <v>Sales Rep 13</v>
      </c>
      <c r="R1424" t="str">
        <f>_xlfn.XLOOKUP(D1424,tblSalesReps[rep_id],tblSalesReps[region],"Missing")</f>
        <v>West</v>
      </c>
    </row>
    <row r="1425" spans="1:18">
      <c r="A1425" t="s">
        <v>1947</v>
      </c>
      <c r="B1425" t="s">
        <v>398</v>
      </c>
      <c r="C1425" t="s">
        <v>26</v>
      </c>
      <c r="D1425" t="s">
        <v>50</v>
      </c>
      <c r="E1425" s="1">
        <v>45989</v>
      </c>
      <c r="F1425" s="1">
        <v>46070</v>
      </c>
      <c r="G1425" s="1"/>
      <c r="H1425" t="s">
        <v>43</v>
      </c>
      <c r="I1425">
        <v>1</v>
      </c>
      <c r="J1425">
        <v>15</v>
      </c>
      <c r="K1425">
        <v>306000</v>
      </c>
      <c r="L1425">
        <v>40</v>
      </c>
      <c r="M1425" t="s">
        <v>29</v>
      </c>
      <c r="N1425" t="str">
        <f>_xlfn.XLOOKUP(B1425,tblCustomers[customer_id],tblCustomers[region],"Missing")</f>
        <v>West</v>
      </c>
      <c r="O1425" t="str">
        <f>_xlfn.XLOOKUP(C1425,tblProducts[product_id],tblProducts[product_name],"Missing")</f>
        <v>Security Suite</v>
      </c>
      <c r="P1425" t="str">
        <f>_xlfn.XLOOKUP(C1425,tblProducts[product_id],tblProducts[category],"Missing")</f>
        <v>Security</v>
      </c>
      <c r="Q1425" t="str">
        <f>_xlfn.XLOOKUP(D1425,tblSalesReps[rep_id],tblSalesReps[rep_name],"Missing")</f>
        <v>Sales Rep 15</v>
      </c>
      <c r="R1425" t="str">
        <f>_xlfn.XLOOKUP(D1425,tblSalesReps[rep_id],tblSalesReps[region],"Missing")</f>
        <v>West</v>
      </c>
    </row>
    <row r="1426" spans="1:18">
      <c r="A1426" t="s">
        <v>1948</v>
      </c>
      <c r="B1426" t="s">
        <v>918</v>
      </c>
      <c r="C1426" t="s">
        <v>81</v>
      </c>
      <c r="D1426" t="s">
        <v>91</v>
      </c>
      <c r="E1426" s="1">
        <v>45754</v>
      </c>
      <c r="F1426" s="1">
        <v>45782</v>
      </c>
      <c r="G1426" s="1"/>
      <c r="H1426" t="s">
        <v>43</v>
      </c>
      <c r="I1426">
        <v>1</v>
      </c>
      <c r="J1426">
        <v>15</v>
      </c>
      <c r="K1426">
        <v>255000</v>
      </c>
      <c r="L1426">
        <v>40</v>
      </c>
      <c r="M1426" t="s">
        <v>29</v>
      </c>
      <c r="N1426" t="str">
        <f>_xlfn.XLOOKUP(B1426,tblCustomers[customer_id],tblCustomers[region],"Missing")</f>
        <v>South</v>
      </c>
      <c r="O1426" t="str">
        <f>_xlfn.XLOOKUP(C1426,tblProducts[product_id],tblProducts[product_name],"Missing")</f>
        <v>Analytics Cloud</v>
      </c>
      <c r="P1426" t="str">
        <f>_xlfn.XLOOKUP(C1426,tblProducts[product_id],tblProducts[category],"Missing")</f>
        <v>Analytics</v>
      </c>
      <c r="Q1426" t="str">
        <f>_xlfn.XLOOKUP(D1426,tblSalesReps[rep_id],tblSalesReps[rep_name],"Missing")</f>
        <v>Sales Rep 03</v>
      </c>
      <c r="R1426" t="str">
        <f>_xlfn.XLOOKUP(D1426,tblSalesReps[rep_id],tblSalesReps[region],"Missing")</f>
        <v>South</v>
      </c>
    </row>
    <row r="1427" spans="1:18">
      <c r="A1427" t="s">
        <v>1949</v>
      </c>
      <c r="B1427" t="s">
        <v>110</v>
      </c>
      <c r="C1427" t="s">
        <v>39</v>
      </c>
      <c r="D1427" t="s">
        <v>27</v>
      </c>
      <c r="E1427" s="1">
        <v>45681</v>
      </c>
      <c r="F1427" s="1">
        <v>45765</v>
      </c>
      <c r="G1427" s="1">
        <v>45765</v>
      </c>
      <c r="H1427" t="s">
        <v>28</v>
      </c>
      <c r="I1427">
        <v>1</v>
      </c>
      <c r="J1427">
        <v>5</v>
      </c>
      <c r="K1427">
        <v>171000</v>
      </c>
      <c r="L1427">
        <v>100</v>
      </c>
      <c r="M1427" t="s">
        <v>29</v>
      </c>
      <c r="N1427" t="str">
        <f>_xlfn.XLOOKUP(B1427,tblCustomers[customer_id],tblCustomers[region],"Missing")</f>
        <v>North</v>
      </c>
      <c r="O1427" t="str">
        <f>_xlfn.XLOOKUP(C1427,tblProducts[product_id],tblProducts[product_name],"Missing")</f>
        <v>Support Desk</v>
      </c>
      <c r="P1427" t="str">
        <f>_xlfn.XLOOKUP(C1427,tblProducts[product_id],tblProducts[category],"Missing")</f>
        <v>Service</v>
      </c>
      <c r="Q1427" t="str">
        <f>_xlfn.XLOOKUP(D1427,tblSalesReps[rep_id],tblSalesReps[rep_name],"Missing")</f>
        <v>Sales Rep 06</v>
      </c>
      <c r="R1427" t="str">
        <f>_xlfn.XLOOKUP(D1427,tblSalesReps[rep_id],tblSalesReps[region],"Missing")</f>
        <v>North</v>
      </c>
    </row>
    <row r="1428" spans="1:18">
      <c r="A1428" t="s">
        <v>1950</v>
      </c>
      <c r="B1428" t="s">
        <v>914</v>
      </c>
      <c r="C1428" t="s">
        <v>26</v>
      </c>
      <c r="D1428" t="s">
        <v>32</v>
      </c>
      <c r="E1428" s="1">
        <v>45778</v>
      </c>
      <c r="F1428" s="1">
        <v>45860</v>
      </c>
      <c r="G1428" s="1">
        <v>45860</v>
      </c>
      <c r="H1428" t="s">
        <v>17</v>
      </c>
      <c r="I1428">
        <v>3</v>
      </c>
      <c r="J1428">
        <v>0</v>
      </c>
      <c r="K1428">
        <v>1080000</v>
      </c>
      <c r="L1428">
        <v>0</v>
      </c>
      <c r="M1428" t="s">
        <v>82</v>
      </c>
      <c r="N1428" t="str">
        <f>_xlfn.XLOOKUP(B1428,tblCustomers[customer_id],tblCustomers[region],"Missing")</f>
        <v>South</v>
      </c>
      <c r="O1428" t="str">
        <f>_xlfn.XLOOKUP(C1428,tblProducts[product_id],tblProducts[product_name],"Missing")</f>
        <v>Security Suite</v>
      </c>
      <c r="P1428" t="str">
        <f>_xlfn.XLOOKUP(C1428,tblProducts[product_id],tblProducts[category],"Missing")</f>
        <v>Security</v>
      </c>
      <c r="Q1428" t="str">
        <f>_xlfn.XLOOKUP(D1428,tblSalesReps[rep_id],tblSalesReps[rep_name],"Missing")</f>
        <v>Sales Rep 04</v>
      </c>
      <c r="R1428" t="str">
        <f>_xlfn.XLOOKUP(D1428,tblSalesReps[rep_id],tblSalesReps[region],"Missing")</f>
        <v>South</v>
      </c>
    </row>
    <row r="1429" spans="1:18">
      <c r="A1429" t="s">
        <v>1951</v>
      </c>
      <c r="B1429" t="s">
        <v>741</v>
      </c>
      <c r="C1429" t="s">
        <v>26</v>
      </c>
      <c r="D1429" t="s">
        <v>78</v>
      </c>
      <c r="E1429" s="1">
        <v>45823</v>
      </c>
      <c r="F1429" s="1">
        <v>45838</v>
      </c>
      <c r="G1429" s="1">
        <v>45838</v>
      </c>
      <c r="H1429" t="s">
        <v>17</v>
      </c>
      <c r="I1429">
        <v>1</v>
      </c>
      <c r="J1429">
        <v>15</v>
      </c>
      <c r="K1429">
        <v>306000</v>
      </c>
      <c r="L1429">
        <v>0</v>
      </c>
      <c r="M1429" t="s">
        <v>47</v>
      </c>
      <c r="N1429" t="str">
        <f>_xlfn.XLOOKUP(B1429,tblCustomers[customer_id],tblCustomers[region],"Missing")</f>
        <v>West</v>
      </c>
      <c r="O1429" t="str">
        <f>_xlfn.XLOOKUP(C1429,tblProducts[product_id],tblProducts[product_name],"Missing")</f>
        <v>Security Suite</v>
      </c>
      <c r="P1429" t="str">
        <f>_xlfn.XLOOKUP(C1429,tblProducts[product_id],tblProducts[category],"Missing")</f>
        <v>Security</v>
      </c>
      <c r="Q1429" t="str">
        <f>_xlfn.XLOOKUP(D1429,tblSalesReps[rep_id],tblSalesReps[rep_name],"Missing")</f>
        <v>Sales Rep 12</v>
      </c>
      <c r="R1429" t="str">
        <f>_xlfn.XLOOKUP(D1429,tblSalesReps[rep_id],tblSalesReps[region],"Missing")</f>
        <v>West</v>
      </c>
    </row>
    <row r="1430" spans="1:18">
      <c r="A1430" t="s">
        <v>1952</v>
      </c>
      <c r="B1430" t="s">
        <v>392</v>
      </c>
      <c r="C1430" t="s">
        <v>81</v>
      </c>
      <c r="D1430" t="s">
        <v>78</v>
      </c>
      <c r="E1430" s="1">
        <v>45950</v>
      </c>
      <c r="F1430" s="1">
        <v>46002</v>
      </c>
      <c r="G1430" s="1">
        <v>46002</v>
      </c>
      <c r="H1430" t="s">
        <v>17</v>
      </c>
      <c r="I1430">
        <v>1</v>
      </c>
      <c r="J1430">
        <v>0</v>
      </c>
      <c r="K1430">
        <v>300000</v>
      </c>
      <c r="L1430">
        <v>0</v>
      </c>
      <c r="M1430" t="s">
        <v>33</v>
      </c>
      <c r="N1430" t="str">
        <f>_xlfn.XLOOKUP(B1430,tblCustomers[customer_id],tblCustomers[region],"Missing")</f>
        <v>West</v>
      </c>
      <c r="O1430" t="str">
        <f>_xlfn.XLOOKUP(C1430,tblProducts[product_id],tblProducts[product_name],"Missing")</f>
        <v>Analytics Cloud</v>
      </c>
      <c r="P1430" t="str">
        <f>_xlfn.XLOOKUP(C1430,tblProducts[product_id],tblProducts[category],"Missing")</f>
        <v>Analytics</v>
      </c>
      <c r="Q1430" t="str">
        <f>_xlfn.XLOOKUP(D1430,tblSalesReps[rep_id],tblSalesReps[rep_name],"Missing")</f>
        <v>Sales Rep 12</v>
      </c>
      <c r="R1430" t="str">
        <f>_xlfn.XLOOKUP(D1430,tblSalesReps[rep_id],tblSalesReps[region],"Missing")</f>
        <v>West</v>
      </c>
    </row>
    <row r="1431" spans="1:18">
      <c r="A1431" t="s">
        <v>1953</v>
      </c>
      <c r="B1431" t="s">
        <v>1162</v>
      </c>
      <c r="C1431" t="s">
        <v>81</v>
      </c>
      <c r="D1431" t="s">
        <v>119</v>
      </c>
      <c r="E1431" s="1">
        <v>45996</v>
      </c>
      <c r="F1431" s="1">
        <v>46008</v>
      </c>
      <c r="G1431" s="1">
        <v>46008</v>
      </c>
      <c r="H1431" t="s">
        <v>17</v>
      </c>
      <c r="I1431">
        <v>3</v>
      </c>
      <c r="J1431">
        <v>15</v>
      </c>
      <c r="K1431">
        <v>765000</v>
      </c>
      <c r="L1431">
        <v>0</v>
      </c>
      <c r="M1431" t="s">
        <v>18</v>
      </c>
      <c r="N1431" t="str">
        <f>_xlfn.XLOOKUP(B1431,tblCustomers[customer_id],tblCustomers[region],"Missing")</f>
        <v>North</v>
      </c>
      <c r="O1431" t="str">
        <f>_xlfn.XLOOKUP(C1431,tblProducts[product_id],tblProducts[product_name],"Missing")</f>
        <v>Analytics Cloud</v>
      </c>
      <c r="P1431" t="str">
        <f>_xlfn.XLOOKUP(C1431,tblProducts[product_id],tblProducts[category],"Missing")</f>
        <v>Analytics</v>
      </c>
      <c r="Q1431" t="str">
        <f>_xlfn.XLOOKUP(D1431,tblSalesReps[rep_id],tblSalesReps[rep_name],"Missing")</f>
        <v>Sales Rep 10</v>
      </c>
      <c r="R1431" t="str">
        <f>_xlfn.XLOOKUP(D1431,tblSalesReps[rep_id],tblSalesReps[region],"Missing")</f>
        <v>North</v>
      </c>
    </row>
    <row r="1432" spans="1:18">
      <c r="A1432" t="s">
        <v>1954</v>
      </c>
      <c r="B1432" t="s">
        <v>948</v>
      </c>
      <c r="C1432" t="s">
        <v>62</v>
      </c>
      <c r="D1432" t="s">
        <v>22</v>
      </c>
      <c r="E1432" s="1">
        <v>45863</v>
      </c>
      <c r="F1432" s="1">
        <v>45878</v>
      </c>
      <c r="G1432" s="1">
        <v>45878</v>
      </c>
      <c r="H1432" t="s">
        <v>17</v>
      </c>
      <c r="I1432">
        <v>1</v>
      </c>
      <c r="J1432">
        <v>5</v>
      </c>
      <c r="K1432">
        <v>114000</v>
      </c>
      <c r="L1432">
        <v>0</v>
      </c>
      <c r="M1432" t="s">
        <v>47</v>
      </c>
      <c r="N1432" t="str">
        <f>_xlfn.XLOOKUP(B1432,tblCustomers[customer_id],tblCustomers[region],"Missing")</f>
        <v>West</v>
      </c>
      <c r="O1432" t="str">
        <f>_xlfn.XLOOKUP(C1432,tblProducts[product_id],tblProducts[product_name],"Missing")</f>
        <v>CRM Essentials</v>
      </c>
      <c r="P1432" t="str">
        <f>_xlfn.XLOOKUP(C1432,tblProducts[product_id],tblProducts[category],"Missing")</f>
        <v>CRM</v>
      </c>
      <c r="Q1432" t="str">
        <f>_xlfn.XLOOKUP(D1432,tblSalesReps[rep_id],tblSalesReps[rep_name],"Missing")</f>
        <v>Sales Rep 14</v>
      </c>
      <c r="R1432" t="str">
        <f>_xlfn.XLOOKUP(D1432,tblSalesReps[rep_id],tblSalesReps[region],"Missing")</f>
        <v>West</v>
      </c>
    </row>
    <row r="1433" spans="1:18">
      <c r="A1433" t="s">
        <v>1955</v>
      </c>
      <c r="B1433" t="s">
        <v>1277</v>
      </c>
      <c r="C1433" t="s">
        <v>21</v>
      </c>
      <c r="D1433" t="s">
        <v>53</v>
      </c>
      <c r="E1433" s="1">
        <v>46010</v>
      </c>
      <c r="F1433" s="1">
        <v>46046</v>
      </c>
      <c r="G1433" s="1"/>
      <c r="H1433" t="s">
        <v>43</v>
      </c>
      <c r="I1433">
        <v>1</v>
      </c>
      <c r="J1433">
        <v>15</v>
      </c>
      <c r="K1433">
        <v>204000</v>
      </c>
      <c r="L1433">
        <v>40</v>
      </c>
      <c r="M1433" t="s">
        <v>29</v>
      </c>
      <c r="N1433" t="str">
        <f>_xlfn.XLOOKUP(B1433,tblCustomers[customer_id],tblCustomers[region],"Missing")</f>
        <v>East</v>
      </c>
      <c r="O1433" t="str">
        <f>_xlfn.XLOOKUP(C1433,tblProducts[product_id],tblProducts[product_name],"Missing")</f>
        <v>Workflow Automate</v>
      </c>
      <c r="P1433" t="str">
        <f>_xlfn.XLOOKUP(C1433,tblProducts[product_id],tblProducts[category],"Missing")</f>
        <v>Automation</v>
      </c>
      <c r="Q1433" t="str">
        <f>_xlfn.XLOOKUP(D1433,tblSalesReps[rep_id],tblSalesReps[rep_name],"Missing")</f>
        <v>Sales Rep 16</v>
      </c>
      <c r="R1433" t="str">
        <f>_xlfn.XLOOKUP(D1433,tblSalesReps[rep_id],tblSalesReps[region],"Missing")</f>
        <v>East</v>
      </c>
    </row>
    <row r="1434" spans="1:18">
      <c r="A1434" t="s">
        <v>1956</v>
      </c>
      <c r="B1434" t="s">
        <v>404</v>
      </c>
      <c r="C1434" t="s">
        <v>21</v>
      </c>
      <c r="D1434" t="s">
        <v>40</v>
      </c>
      <c r="E1434" s="1">
        <v>45795</v>
      </c>
      <c r="F1434" s="1">
        <v>45872</v>
      </c>
      <c r="G1434" s="1">
        <v>45872</v>
      </c>
      <c r="H1434" t="s">
        <v>28</v>
      </c>
      <c r="I1434">
        <v>1</v>
      </c>
      <c r="J1434">
        <v>5</v>
      </c>
      <c r="K1434">
        <v>228000</v>
      </c>
      <c r="L1434">
        <v>100</v>
      </c>
      <c r="M1434" t="s">
        <v>29</v>
      </c>
      <c r="N1434" t="str">
        <f>_xlfn.XLOOKUP(B1434,tblCustomers[customer_id],tblCustomers[region],"Missing")</f>
        <v>West</v>
      </c>
      <c r="O1434" t="str">
        <f>_xlfn.XLOOKUP(C1434,tblProducts[product_id],tblProducts[product_name],"Missing")</f>
        <v>Workflow Automate</v>
      </c>
      <c r="P1434" t="str">
        <f>_xlfn.XLOOKUP(C1434,tblProducts[product_id],tblProducts[category],"Missing")</f>
        <v>Automation</v>
      </c>
      <c r="Q1434" t="str">
        <f>_xlfn.XLOOKUP(D1434,tblSalesReps[rep_id],tblSalesReps[rep_name],"Missing")</f>
        <v>Sales Rep 13</v>
      </c>
      <c r="R1434" t="str">
        <f>_xlfn.XLOOKUP(D1434,tblSalesReps[rep_id],tblSalesReps[region],"Missing")</f>
        <v>West</v>
      </c>
    </row>
    <row r="1435" spans="1:18">
      <c r="A1435" t="s">
        <v>1957</v>
      </c>
      <c r="B1435" t="s">
        <v>878</v>
      </c>
      <c r="C1435" t="s">
        <v>62</v>
      </c>
      <c r="D1435" t="s">
        <v>46</v>
      </c>
      <c r="E1435" s="1">
        <v>46000</v>
      </c>
      <c r="F1435" s="1">
        <v>46061</v>
      </c>
      <c r="G1435" s="1"/>
      <c r="H1435" t="s">
        <v>43</v>
      </c>
      <c r="I1435">
        <v>1</v>
      </c>
      <c r="J1435">
        <v>10</v>
      </c>
      <c r="K1435">
        <v>108000</v>
      </c>
      <c r="L1435">
        <v>80</v>
      </c>
      <c r="M1435" t="s">
        <v>29</v>
      </c>
      <c r="N1435" t="str">
        <f>_xlfn.XLOOKUP(B1435,tblCustomers[customer_id],tblCustomers[region],"Missing")</f>
        <v>South</v>
      </c>
      <c r="O1435" t="str">
        <f>_xlfn.XLOOKUP(C1435,tblProducts[product_id],tblProducts[product_name],"Missing")</f>
        <v>CRM Essentials</v>
      </c>
      <c r="P1435" t="str">
        <f>_xlfn.XLOOKUP(C1435,tblProducts[product_id],tblProducts[category],"Missing")</f>
        <v>CRM</v>
      </c>
      <c r="Q1435" t="str">
        <f>_xlfn.XLOOKUP(D1435,tblSalesReps[rep_id],tblSalesReps[rep_name],"Missing")</f>
        <v>Sales Rep 01</v>
      </c>
      <c r="R1435" t="str">
        <f>_xlfn.XLOOKUP(D1435,tblSalesReps[rep_id],tblSalesReps[region],"Missing")</f>
        <v>South</v>
      </c>
    </row>
    <row r="1436" spans="1:18">
      <c r="A1436" t="s">
        <v>1958</v>
      </c>
      <c r="B1436" t="s">
        <v>1595</v>
      </c>
      <c r="C1436" t="s">
        <v>62</v>
      </c>
      <c r="D1436" t="s">
        <v>75</v>
      </c>
      <c r="E1436" s="1">
        <v>45897</v>
      </c>
      <c r="F1436" s="1">
        <v>45943</v>
      </c>
      <c r="G1436" s="1">
        <v>45943</v>
      </c>
      <c r="H1436" t="s">
        <v>28</v>
      </c>
      <c r="I1436">
        <v>1</v>
      </c>
      <c r="J1436">
        <v>10</v>
      </c>
      <c r="K1436">
        <v>108000</v>
      </c>
      <c r="L1436">
        <v>100</v>
      </c>
      <c r="M1436" t="s">
        <v>29</v>
      </c>
      <c r="N1436" t="str">
        <f>_xlfn.XLOOKUP(B1436,tblCustomers[customer_id],tblCustomers[region],"Missing")</f>
        <v>North</v>
      </c>
      <c r="O1436" t="str">
        <f>_xlfn.XLOOKUP(C1436,tblProducts[product_id],tblProducts[product_name],"Missing")</f>
        <v>CRM Essentials</v>
      </c>
      <c r="P1436" t="str">
        <f>_xlfn.XLOOKUP(C1436,tblProducts[product_id],tblProducts[category],"Missing")</f>
        <v>CRM</v>
      </c>
      <c r="Q1436" t="str">
        <f>_xlfn.XLOOKUP(D1436,tblSalesReps[rep_id],tblSalesReps[rep_name],"Missing")</f>
        <v>Sales Rep 07</v>
      </c>
      <c r="R1436" t="str">
        <f>_xlfn.XLOOKUP(D1436,tblSalesReps[rep_id],tblSalesReps[region],"Missing")</f>
        <v>North</v>
      </c>
    </row>
    <row r="1437" spans="1:18">
      <c r="A1437" t="s">
        <v>1959</v>
      </c>
      <c r="B1437" t="s">
        <v>198</v>
      </c>
      <c r="C1437" t="s">
        <v>62</v>
      </c>
      <c r="D1437" t="s">
        <v>70</v>
      </c>
      <c r="E1437" s="1">
        <v>45671</v>
      </c>
      <c r="F1437" s="1">
        <v>45718</v>
      </c>
      <c r="G1437" s="1">
        <v>45718</v>
      </c>
      <c r="H1437" t="s">
        <v>17</v>
      </c>
      <c r="I1437">
        <v>2</v>
      </c>
      <c r="J1437">
        <v>10</v>
      </c>
      <c r="K1437">
        <v>216000</v>
      </c>
      <c r="L1437">
        <v>0</v>
      </c>
      <c r="M1437" t="s">
        <v>47</v>
      </c>
      <c r="N1437" t="str">
        <f>_xlfn.XLOOKUP(B1437,tblCustomers[customer_id],tblCustomers[region],"Missing")</f>
        <v>West</v>
      </c>
      <c r="O1437" t="str">
        <f>_xlfn.XLOOKUP(C1437,tblProducts[product_id],tblProducts[product_name],"Missing")</f>
        <v>CRM Essentials</v>
      </c>
      <c r="P1437" t="str">
        <f>_xlfn.XLOOKUP(C1437,tblProducts[product_id],tblProducts[category],"Missing")</f>
        <v>CRM</v>
      </c>
      <c r="Q1437" t="str">
        <f>_xlfn.XLOOKUP(D1437,tblSalesReps[rep_id],tblSalesReps[rep_name],"Missing")</f>
        <v>Sales Rep 11</v>
      </c>
      <c r="R1437" t="str">
        <f>_xlfn.XLOOKUP(D1437,tblSalesReps[rep_id],tblSalesReps[region],"Missing")</f>
        <v>West</v>
      </c>
    </row>
    <row r="1438" spans="1:18">
      <c r="A1438" t="s">
        <v>1960</v>
      </c>
      <c r="B1438" t="s">
        <v>966</v>
      </c>
      <c r="C1438" t="s">
        <v>81</v>
      </c>
      <c r="D1438" t="s">
        <v>63</v>
      </c>
      <c r="E1438" s="1">
        <v>45746</v>
      </c>
      <c r="F1438" s="1">
        <v>45825</v>
      </c>
      <c r="G1438" s="1"/>
      <c r="H1438" t="s">
        <v>43</v>
      </c>
      <c r="I1438">
        <v>1</v>
      </c>
      <c r="J1438">
        <v>5</v>
      </c>
      <c r="K1438">
        <v>285000</v>
      </c>
      <c r="L1438">
        <v>40</v>
      </c>
      <c r="M1438" t="s">
        <v>29</v>
      </c>
      <c r="N1438" t="str">
        <f>_xlfn.XLOOKUP(B1438,tblCustomers[customer_id],tblCustomers[region],"Missing")</f>
        <v>South</v>
      </c>
      <c r="O1438" t="str">
        <f>_xlfn.XLOOKUP(C1438,tblProducts[product_id],tblProducts[product_name],"Missing")</f>
        <v>Analytics Cloud</v>
      </c>
      <c r="P1438" t="str">
        <f>_xlfn.XLOOKUP(C1438,tblProducts[product_id],tblProducts[category],"Missing")</f>
        <v>Analytics</v>
      </c>
      <c r="Q1438" t="str">
        <f>_xlfn.XLOOKUP(D1438,tblSalesReps[rep_id],tblSalesReps[rep_name],"Missing")</f>
        <v>Sales Rep 05</v>
      </c>
      <c r="R1438" t="str">
        <f>_xlfn.XLOOKUP(D1438,tblSalesReps[rep_id],tblSalesReps[region],"Missing")</f>
        <v>South</v>
      </c>
    </row>
    <row r="1439" spans="1:18">
      <c r="A1439" t="s">
        <v>1961</v>
      </c>
      <c r="B1439" t="s">
        <v>137</v>
      </c>
      <c r="C1439" t="s">
        <v>26</v>
      </c>
      <c r="D1439" t="s">
        <v>75</v>
      </c>
      <c r="E1439" s="1">
        <v>45808</v>
      </c>
      <c r="F1439" s="1">
        <v>45869</v>
      </c>
      <c r="G1439" s="1">
        <v>45869</v>
      </c>
      <c r="H1439" t="s">
        <v>28</v>
      </c>
      <c r="I1439">
        <v>1</v>
      </c>
      <c r="J1439">
        <v>20</v>
      </c>
      <c r="K1439">
        <v>288000</v>
      </c>
      <c r="L1439">
        <v>100</v>
      </c>
      <c r="M1439" t="s">
        <v>29</v>
      </c>
      <c r="N1439" t="str">
        <f>_xlfn.XLOOKUP(B1439,tblCustomers[customer_id],tblCustomers[region],"Missing")</f>
        <v>North</v>
      </c>
      <c r="O1439" t="str">
        <f>_xlfn.XLOOKUP(C1439,tblProducts[product_id],tblProducts[product_name],"Missing")</f>
        <v>Security Suite</v>
      </c>
      <c r="P1439" t="str">
        <f>_xlfn.XLOOKUP(C1439,tblProducts[product_id],tblProducts[category],"Missing")</f>
        <v>Security</v>
      </c>
      <c r="Q1439" t="str">
        <f>_xlfn.XLOOKUP(D1439,tblSalesReps[rep_id],tblSalesReps[rep_name],"Missing")</f>
        <v>Sales Rep 07</v>
      </c>
      <c r="R1439" t="str">
        <f>_xlfn.XLOOKUP(D1439,tblSalesReps[rep_id],tblSalesReps[region],"Missing")</f>
        <v>North</v>
      </c>
    </row>
    <row r="1440" spans="1:18">
      <c r="A1440" t="s">
        <v>1962</v>
      </c>
      <c r="B1440" t="s">
        <v>353</v>
      </c>
      <c r="C1440" t="s">
        <v>81</v>
      </c>
      <c r="D1440" t="s">
        <v>16</v>
      </c>
      <c r="E1440" s="1">
        <v>45710</v>
      </c>
      <c r="F1440" s="1">
        <v>45784</v>
      </c>
      <c r="G1440" s="1"/>
      <c r="H1440" t="s">
        <v>43</v>
      </c>
      <c r="I1440">
        <v>2</v>
      </c>
      <c r="J1440">
        <v>15</v>
      </c>
      <c r="K1440">
        <v>510000</v>
      </c>
      <c r="L1440">
        <v>60</v>
      </c>
      <c r="M1440" t="s">
        <v>29</v>
      </c>
      <c r="N1440" t="str">
        <f>_xlfn.XLOOKUP(B1440,tblCustomers[customer_id],tblCustomers[region],"Missing")</f>
        <v>North</v>
      </c>
      <c r="O1440" t="str">
        <f>_xlfn.XLOOKUP(C1440,tblProducts[product_id],tblProducts[product_name],"Missing")</f>
        <v>Analytics Cloud</v>
      </c>
      <c r="P1440" t="str">
        <f>_xlfn.XLOOKUP(C1440,tblProducts[product_id],tblProducts[category],"Missing")</f>
        <v>Analytics</v>
      </c>
      <c r="Q1440" t="str">
        <f>_xlfn.XLOOKUP(D1440,tblSalesReps[rep_id],tblSalesReps[rep_name],"Missing")</f>
        <v>Sales Rep 08</v>
      </c>
      <c r="R1440" t="str">
        <f>_xlfn.XLOOKUP(D1440,tblSalesReps[rep_id],tblSalesReps[region],"Missing")</f>
        <v>North</v>
      </c>
    </row>
    <row r="1441" spans="1:18">
      <c r="A1441" t="s">
        <v>1963</v>
      </c>
      <c r="B1441" t="s">
        <v>935</v>
      </c>
      <c r="C1441" t="s">
        <v>26</v>
      </c>
      <c r="D1441" t="s">
        <v>63</v>
      </c>
      <c r="E1441" s="1">
        <v>45748</v>
      </c>
      <c r="F1441" s="1">
        <v>45772</v>
      </c>
      <c r="G1441" s="1">
        <v>45772</v>
      </c>
      <c r="H1441" t="s">
        <v>17</v>
      </c>
      <c r="I1441">
        <v>3</v>
      </c>
      <c r="J1441">
        <v>10</v>
      </c>
      <c r="K1441">
        <v>972000</v>
      </c>
      <c r="L1441">
        <v>0</v>
      </c>
      <c r="M1441" t="s">
        <v>23</v>
      </c>
      <c r="N1441" t="str">
        <f>_xlfn.XLOOKUP(B1441,tblCustomers[customer_id],tblCustomers[region],"Missing")</f>
        <v>South</v>
      </c>
      <c r="O1441" t="str">
        <f>_xlfn.XLOOKUP(C1441,tblProducts[product_id],tblProducts[product_name],"Missing")</f>
        <v>Security Suite</v>
      </c>
      <c r="P1441" t="str">
        <f>_xlfn.XLOOKUP(C1441,tblProducts[product_id],tblProducts[category],"Missing")</f>
        <v>Security</v>
      </c>
      <c r="Q1441" t="str">
        <f>_xlfn.XLOOKUP(D1441,tblSalesReps[rep_id],tblSalesReps[rep_name],"Missing")</f>
        <v>Sales Rep 05</v>
      </c>
      <c r="R1441" t="str">
        <f>_xlfn.XLOOKUP(D1441,tblSalesReps[rep_id],tblSalesReps[region],"Missing")</f>
        <v>South</v>
      </c>
    </row>
    <row r="1442" spans="1:18">
      <c r="A1442" t="s">
        <v>1964</v>
      </c>
      <c r="B1442" t="s">
        <v>1878</v>
      </c>
      <c r="C1442" t="s">
        <v>26</v>
      </c>
      <c r="D1442" t="s">
        <v>46</v>
      </c>
      <c r="E1442" s="1">
        <v>45785</v>
      </c>
      <c r="F1442" s="1">
        <v>45869</v>
      </c>
      <c r="G1442" s="1">
        <v>45869</v>
      </c>
      <c r="H1442" t="s">
        <v>17</v>
      </c>
      <c r="I1442">
        <v>2</v>
      </c>
      <c r="J1442">
        <v>10</v>
      </c>
      <c r="K1442">
        <v>648000</v>
      </c>
      <c r="L1442">
        <v>0</v>
      </c>
      <c r="M1442" t="s">
        <v>47</v>
      </c>
      <c r="N1442" t="str">
        <f>_xlfn.XLOOKUP(B1442,tblCustomers[customer_id],tblCustomers[region],"Missing")</f>
        <v>South</v>
      </c>
      <c r="O1442" t="str">
        <f>_xlfn.XLOOKUP(C1442,tblProducts[product_id],tblProducts[product_name],"Missing")</f>
        <v>Security Suite</v>
      </c>
      <c r="P1442" t="str">
        <f>_xlfn.XLOOKUP(C1442,tblProducts[product_id],tblProducts[category],"Missing")</f>
        <v>Security</v>
      </c>
      <c r="Q1442" t="str">
        <f>_xlfn.XLOOKUP(D1442,tblSalesReps[rep_id],tblSalesReps[rep_name],"Missing")</f>
        <v>Sales Rep 01</v>
      </c>
      <c r="R1442" t="str">
        <f>_xlfn.XLOOKUP(D1442,tblSalesReps[rep_id],tblSalesReps[region],"Missing")</f>
        <v>South</v>
      </c>
    </row>
    <row r="1443" spans="1:18">
      <c r="A1443" t="s">
        <v>1965</v>
      </c>
      <c r="B1443" t="s">
        <v>426</v>
      </c>
      <c r="C1443" t="s">
        <v>62</v>
      </c>
      <c r="D1443" t="s">
        <v>63</v>
      </c>
      <c r="E1443" s="1">
        <v>45959</v>
      </c>
      <c r="F1443" s="1">
        <v>45983</v>
      </c>
      <c r="G1443" s="1">
        <v>45983</v>
      </c>
      <c r="H1443" t="s">
        <v>28</v>
      </c>
      <c r="I1443">
        <v>3</v>
      </c>
      <c r="J1443">
        <v>20</v>
      </c>
      <c r="K1443">
        <v>288000</v>
      </c>
      <c r="L1443">
        <v>100</v>
      </c>
      <c r="M1443" t="s">
        <v>29</v>
      </c>
      <c r="N1443" t="str">
        <f>_xlfn.XLOOKUP(B1443,tblCustomers[customer_id],tblCustomers[region],"Missing")</f>
        <v>South</v>
      </c>
      <c r="O1443" t="str">
        <f>_xlfn.XLOOKUP(C1443,tblProducts[product_id],tblProducts[product_name],"Missing")</f>
        <v>CRM Essentials</v>
      </c>
      <c r="P1443" t="str">
        <f>_xlfn.XLOOKUP(C1443,tblProducts[product_id],tblProducts[category],"Missing")</f>
        <v>CRM</v>
      </c>
      <c r="Q1443" t="str">
        <f>_xlfn.XLOOKUP(D1443,tblSalesReps[rep_id],tblSalesReps[rep_name],"Missing")</f>
        <v>Sales Rep 05</v>
      </c>
      <c r="R1443" t="str">
        <f>_xlfn.XLOOKUP(D1443,tblSalesReps[rep_id],tblSalesReps[region],"Missing")</f>
        <v>South</v>
      </c>
    </row>
    <row r="1444" spans="1:18">
      <c r="A1444" t="s">
        <v>1966</v>
      </c>
      <c r="B1444" t="s">
        <v>619</v>
      </c>
      <c r="C1444" t="s">
        <v>81</v>
      </c>
      <c r="D1444" t="s">
        <v>36</v>
      </c>
      <c r="E1444" s="1">
        <v>45888</v>
      </c>
      <c r="F1444" s="1">
        <v>45973</v>
      </c>
      <c r="G1444" s="1">
        <v>45973</v>
      </c>
      <c r="H1444" t="s">
        <v>17</v>
      </c>
      <c r="I1444">
        <v>3</v>
      </c>
      <c r="J1444">
        <v>10</v>
      </c>
      <c r="K1444">
        <v>810000</v>
      </c>
      <c r="L1444">
        <v>0</v>
      </c>
      <c r="M1444" t="s">
        <v>23</v>
      </c>
      <c r="N1444" t="str">
        <f>_xlfn.XLOOKUP(B1444,tblCustomers[customer_id],tblCustomers[region],"Missing")</f>
        <v>North</v>
      </c>
      <c r="O1444" t="str">
        <f>_xlfn.XLOOKUP(C1444,tblProducts[product_id],tblProducts[product_name],"Missing")</f>
        <v>Analytics Cloud</v>
      </c>
      <c r="P1444" t="str">
        <f>_xlfn.XLOOKUP(C1444,tblProducts[product_id],tblProducts[category],"Missing")</f>
        <v>Analytics</v>
      </c>
      <c r="Q1444" t="str">
        <f>_xlfn.XLOOKUP(D1444,tblSalesReps[rep_id],tblSalesReps[rep_name],"Missing")</f>
        <v>Sales Rep 09</v>
      </c>
      <c r="R1444" t="str">
        <f>_xlfn.XLOOKUP(D1444,tblSalesReps[rep_id],tblSalesReps[region],"Missing")</f>
        <v>North</v>
      </c>
    </row>
    <row r="1445" spans="1:18">
      <c r="A1445" t="s">
        <v>1967</v>
      </c>
      <c r="B1445" t="s">
        <v>1311</v>
      </c>
      <c r="C1445" t="s">
        <v>15</v>
      </c>
      <c r="D1445" t="s">
        <v>56</v>
      </c>
      <c r="E1445" s="1">
        <v>45791</v>
      </c>
      <c r="F1445" s="1">
        <v>45855</v>
      </c>
      <c r="G1445" s="1"/>
      <c r="H1445" t="s">
        <v>43</v>
      </c>
      <c r="I1445">
        <v>1</v>
      </c>
      <c r="J1445">
        <v>10</v>
      </c>
      <c r="K1445">
        <v>378000</v>
      </c>
      <c r="L1445">
        <v>80</v>
      </c>
      <c r="M1445" t="s">
        <v>29</v>
      </c>
      <c r="N1445" t="str">
        <f>_xlfn.XLOOKUP(B1445,tblCustomers[customer_id],tblCustomers[region],"Missing")</f>
        <v>East</v>
      </c>
      <c r="O1445" t="str">
        <f>_xlfn.XLOOKUP(C1445,tblProducts[product_id],tblProducts[product_name],"Missing")</f>
        <v>CRM Enterprise</v>
      </c>
      <c r="P1445" t="str">
        <f>_xlfn.XLOOKUP(C1445,tblProducts[product_id],tblProducts[category],"Missing")</f>
        <v>CRM</v>
      </c>
      <c r="Q1445" t="str">
        <f>_xlfn.XLOOKUP(D1445,tblSalesReps[rep_id],tblSalesReps[rep_name],"Missing")</f>
        <v>Sales Rep 20</v>
      </c>
      <c r="R1445" t="str">
        <f>_xlfn.XLOOKUP(D1445,tblSalesReps[rep_id],tblSalesReps[region],"Missing")</f>
        <v>East</v>
      </c>
    </row>
    <row r="1446" spans="1:18">
      <c r="A1446" t="s">
        <v>1968</v>
      </c>
      <c r="B1446" t="s">
        <v>966</v>
      </c>
      <c r="C1446" t="s">
        <v>21</v>
      </c>
      <c r="D1446" t="s">
        <v>91</v>
      </c>
      <c r="E1446" s="1">
        <v>45946</v>
      </c>
      <c r="F1446" s="1">
        <v>45976</v>
      </c>
      <c r="G1446" s="1"/>
      <c r="H1446" t="s">
        <v>43</v>
      </c>
      <c r="I1446">
        <v>1</v>
      </c>
      <c r="J1446">
        <v>10</v>
      </c>
      <c r="K1446">
        <v>216000</v>
      </c>
      <c r="L1446">
        <v>40</v>
      </c>
      <c r="M1446" t="s">
        <v>29</v>
      </c>
      <c r="N1446" t="str">
        <f>_xlfn.XLOOKUP(B1446,tblCustomers[customer_id],tblCustomers[region],"Missing")</f>
        <v>South</v>
      </c>
      <c r="O1446" t="str">
        <f>_xlfn.XLOOKUP(C1446,tblProducts[product_id],tblProducts[product_name],"Missing")</f>
        <v>Workflow Automate</v>
      </c>
      <c r="P1446" t="str">
        <f>_xlfn.XLOOKUP(C1446,tblProducts[product_id],tblProducts[category],"Missing")</f>
        <v>Automation</v>
      </c>
      <c r="Q1446" t="str">
        <f>_xlfn.XLOOKUP(D1446,tblSalesReps[rep_id],tblSalesReps[rep_name],"Missing")</f>
        <v>Sales Rep 03</v>
      </c>
      <c r="R1446" t="str">
        <f>_xlfn.XLOOKUP(D1446,tblSalesReps[rep_id],tblSalesReps[region],"Missing")</f>
        <v>South</v>
      </c>
    </row>
    <row r="1447" spans="1:18">
      <c r="A1447" t="s">
        <v>1969</v>
      </c>
      <c r="B1447" t="s">
        <v>1127</v>
      </c>
      <c r="C1447" t="s">
        <v>81</v>
      </c>
      <c r="D1447" t="s">
        <v>36</v>
      </c>
      <c r="E1447" s="1">
        <v>46020</v>
      </c>
      <c r="F1447" s="1">
        <v>46056</v>
      </c>
      <c r="G1447" s="1"/>
      <c r="H1447" t="s">
        <v>43</v>
      </c>
      <c r="I1447">
        <v>2</v>
      </c>
      <c r="J1447">
        <v>10</v>
      </c>
      <c r="K1447">
        <v>540000</v>
      </c>
      <c r="L1447">
        <v>60</v>
      </c>
      <c r="M1447" t="s">
        <v>29</v>
      </c>
      <c r="N1447" t="str">
        <f>_xlfn.XLOOKUP(B1447,tblCustomers[customer_id],tblCustomers[region],"Missing")</f>
        <v>North</v>
      </c>
      <c r="O1447" t="str">
        <f>_xlfn.XLOOKUP(C1447,tblProducts[product_id],tblProducts[product_name],"Missing")</f>
        <v>Analytics Cloud</v>
      </c>
      <c r="P1447" t="str">
        <f>_xlfn.XLOOKUP(C1447,tblProducts[product_id],tblProducts[category],"Missing")</f>
        <v>Analytics</v>
      </c>
      <c r="Q1447" t="str">
        <f>_xlfn.XLOOKUP(D1447,tblSalesReps[rep_id],tblSalesReps[rep_name],"Missing")</f>
        <v>Sales Rep 09</v>
      </c>
      <c r="R1447" t="str">
        <f>_xlfn.XLOOKUP(D1447,tblSalesReps[rep_id],tblSalesReps[region],"Missing")</f>
        <v>North</v>
      </c>
    </row>
    <row r="1448" spans="1:18">
      <c r="A1448" t="s">
        <v>1970</v>
      </c>
      <c r="B1448" t="s">
        <v>316</v>
      </c>
      <c r="C1448" t="s">
        <v>26</v>
      </c>
      <c r="D1448" t="s">
        <v>63</v>
      </c>
      <c r="E1448" s="1">
        <v>45958</v>
      </c>
      <c r="F1448" s="1">
        <v>46007</v>
      </c>
      <c r="G1448" s="1">
        <v>46007</v>
      </c>
      <c r="H1448" t="s">
        <v>28</v>
      </c>
      <c r="I1448">
        <v>2</v>
      </c>
      <c r="J1448">
        <v>0</v>
      </c>
      <c r="K1448">
        <v>720000</v>
      </c>
      <c r="L1448">
        <v>100</v>
      </c>
      <c r="M1448" t="s">
        <v>29</v>
      </c>
      <c r="N1448" t="str">
        <f>_xlfn.XLOOKUP(B1448,tblCustomers[customer_id],tblCustomers[region],"Missing")</f>
        <v>South</v>
      </c>
      <c r="O1448" t="str">
        <f>_xlfn.XLOOKUP(C1448,tblProducts[product_id],tblProducts[product_name],"Missing")</f>
        <v>Security Suite</v>
      </c>
      <c r="P1448" t="str">
        <f>_xlfn.XLOOKUP(C1448,tblProducts[product_id],tblProducts[category],"Missing")</f>
        <v>Security</v>
      </c>
      <c r="Q1448" t="str">
        <f>_xlfn.XLOOKUP(D1448,tblSalesReps[rep_id],tblSalesReps[rep_name],"Missing")</f>
        <v>Sales Rep 05</v>
      </c>
      <c r="R1448" t="str">
        <f>_xlfn.XLOOKUP(D1448,tblSalesReps[rep_id],tblSalesReps[region],"Missing")</f>
        <v>South</v>
      </c>
    </row>
    <row r="1449" spans="1:18">
      <c r="A1449" t="s">
        <v>1971</v>
      </c>
      <c r="B1449" t="s">
        <v>1821</v>
      </c>
      <c r="C1449" t="s">
        <v>26</v>
      </c>
      <c r="D1449" t="s">
        <v>59</v>
      </c>
      <c r="E1449" s="1">
        <v>45877</v>
      </c>
      <c r="F1449" s="1">
        <v>45932</v>
      </c>
      <c r="G1449" s="1">
        <v>45932</v>
      </c>
      <c r="H1449" t="s">
        <v>17</v>
      </c>
      <c r="I1449">
        <v>1</v>
      </c>
      <c r="J1449">
        <v>20</v>
      </c>
      <c r="K1449">
        <v>288000</v>
      </c>
      <c r="L1449">
        <v>0</v>
      </c>
      <c r="M1449" t="s">
        <v>82</v>
      </c>
      <c r="N1449" t="str">
        <f>_xlfn.XLOOKUP(B1449,tblCustomers[customer_id],tblCustomers[region],"Missing")</f>
        <v>East</v>
      </c>
      <c r="O1449" t="str">
        <f>_xlfn.XLOOKUP(C1449,tblProducts[product_id],tblProducts[product_name],"Missing")</f>
        <v>Security Suite</v>
      </c>
      <c r="P1449" t="str">
        <f>_xlfn.XLOOKUP(C1449,tblProducts[product_id],tblProducts[category],"Missing")</f>
        <v>Security</v>
      </c>
      <c r="Q1449" t="str">
        <f>_xlfn.XLOOKUP(D1449,tblSalesReps[rep_id],tblSalesReps[rep_name],"Missing")</f>
        <v>Sales Rep 19</v>
      </c>
      <c r="R1449" t="str">
        <f>_xlfn.XLOOKUP(D1449,tblSalesReps[rep_id],tblSalesReps[region],"Missing")</f>
        <v>East</v>
      </c>
    </row>
    <row r="1450" spans="1:18">
      <c r="A1450" t="s">
        <v>1972</v>
      </c>
      <c r="B1450" t="s">
        <v>1382</v>
      </c>
      <c r="C1450" t="s">
        <v>15</v>
      </c>
      <c r="D1450" t="s">
        <v>40</v>
      </c>
      <c r="E1450" s="1">
        <v>45920</v>
      </c>
      <c r="F1450" s="1">
        <v>45929</v>
      </c>
      <c r="G1450" s="1">
        <v>45929</v>
      </c>
      <c r="H1450" t="s">
        <v>17</v>
      </c>
      <c r="I1450">
        <v>1</v>
      </c>
      <c r="J1450">
        <v>0</v>
      </c>
      <c r="K1450">
        <v>420000</v>
      </c>
      <c r="L1450">
        <v>0</v>
      </c>
      <c r="M1450" t="s">
        <v>47</v>
      </c>
      <c r="N1450" t="str">
        <f>_xlfn.XLOOKUP(B1450,tblCustomers[customer_id],tblCustomers[region],"Missing")</f>
        <v>West</v>
      </c>
      <c r="O1450" t="str">
        <f>_xlfn.XLOOKUP(C1450,tblProducts[product_id],tblProducts[product_name],"Missing")</f>
        <v>CRM Enterprise</v>
      </c>
      <c r="P1450" t="str">
        <f>_xlfn.XLOOKUP(C1450,tblProducts[product_id],tblProducts[category],"Missing")</f>
        <v>CRM</v>
      </c>
      <c r="Q1450" t="str">
        <f>_xlfn.XLOOKUP(D1450,tblSalesReps[rep_id],tblSalesReps[rep_name],"Missing")</f>
        <v>Sales Rep 13</v>
      </c>
      <c r="R1450" t="str">
        <f>_xlfn.XLOOKUP(D1450,tblSalesReps[rep_id],tblSalesReps[region],"Missing")</f>
        <v>West</v>
      </c>
    </row>
    <row r="1451" spans="1:18">
      <c r="A1451" t="s">
        <v>1973</v>
      </c>
      <c r="B1451" t="s">
        <v>884</v>
      </c>
      <c r="C1451" t="s">
        <v>39</v>
      </c>
      <c r="D1451" t="s">
        <v>22</v>
      </c>
      <c r="E1451" s="1">
        <v>45901</v>
      </c>
      <c r="F1451" s="1">
        <v>45935</v>
      </c>
      <c r="G1451" s="1">
        <v>45935</v>
      </c>
      <c r="H1451" t="s">
        <v>28</v>
      </c>
      <c r="I1451">
        <v>2</v>
      </c>
      <c r="J1451">
        <v>10</v>
      </c>
      <c r="K1451">
        <v>324000</v>
      </c>
      <c r="L1451">
        <v>100</v>
      </c>
      <c r="M1451" t="s">
        <v>29</v>
      </c>
      <c r="N1451" t="str">
        <f>_xlfn.XLOOKUP(B1451,tblCustomers[customer_id],tblCustomers[region],"Missing")</f>
        <v>West</v>
      </c>
      <c r="O1451" t="str">
        <f>_xlfn.XLOOKUP(C1451,tblProducts[product_id],tblProducts[product_name],"Missing")</f>
        <v>Support Desk</v>
      </c>
      <c r="P1451" t="str">
        <f>_xlfn.XLOOKUP(C1451,tblProducts[product_id],tblProducts[category],"Missing")</f>
        <v>Service</v>
      </c>
      <c r="Q1451" t="str">
        <f>_xlfn.XLOOKUP(D1451,tblSalesReps[rep_id],tblSalesReps[rep_name],"Missing")</f>
        <v>Sales Rep 14</v>
      </c>
      <c r="R1451" t="str">
        <f>_xlfn.XLOOKUP(D1451,tblSalesReps[rep_id],tblSalesReps[region],"Missing")</f>
        <v>West</v>
      </c>
    </row>
    <row r="1452" spans="1:18">
      <c r="A1452" t="s">
        <v>1974</v>
      </c>
      <c r="B1452" t="s">
        <v>526</v>
      </c>
      <c r="C1452" t="s">
        <v>39</v>
      </c>
      <c r="D1452" t="s">
        <v>40</v>
      </c>
      <c r="E1452" s="1">
        <v>45864</v>
      </c>
      <c r="F1452" s="1">
        <v>45947</v>
      </c>
      <c r="G1452" s="1">
        <v>45947</v>
      </c>
      <c r="H1452" t="s">
        <v>17</v>
      </c>
      <c r="I1452">
        <v>2</v>
      </c>
      <c r="J1452">
        <v>5</v>
      </c>
      <c r="K1452">
        <v>342000</v>
      </c>
      <c r="L1452">
        <v>0</v>
      </c>
      <c r="M1452" t="s">
        <v>23</v>
      </c>
      <c r="N1452" t="str">
        <f>_xlfn.XLOOKUP(B1452,tblCustomers[customer_id],tblCustomers[region],"Missing")</f>
        <v>West</v>
      </c>
      <c r="O1452" t="str">
        <f>_xlfn.XLOOKUP(C1452,tblProducts[product_id],tblProducts[product_name],"Missing")</f>
        <v>Support Desk</v>
      </c>
      <c r="P1452" t="str">
        <f>_xlfn.XLOOKUP(C1452,tblProducts[product_id],tblProducts[category],"Missing")</f>
        <v>Service</v>
      </c>
      <c r="Q1452" t="str">
        <f>_xlfn.XLOOKUP(D1452,tblSalesReps[rep_id],tblSalesReps[rep_name],"Missing")</f>
        <v>Sales Rep 13</v>
      </c>
      <c r="R1452" t="str">
        <f>_xlfn.XLOOKUP(D1452,tblSalesReps[rep_id],tblSalesReps[region],"Missing")</f>
        <v>West</v>
      </c>
    </row>
    <row r="1453" spans="1:18">
      <c r="A1453" t="s">
        <v>1975</v>
      </c>
      <c r="B1453" t="s">
        <v>876</v>
      </c>
      <c r="C1453" t="s">
        <v>62</v>
      </c>
      <c r="D1453" t="s">
        <v>59</v>
      </c>
      <c r="E1453" s="1">
        <v>45682</v>
      </c>
      <c r="F1453" s="1">
        <v>45717</v>
      </c>
      <c r="G1453" s="1">
        <v>45717</v>
      </c>
      <c r="H1453" t="s">
        <v>17</v>
      </c>
      <c r="I1453">
        <v>1</v>
      </c>
      <c r="J1453">
        <v>15</v>
      </c>
      <c r="K1453">
        <v>102000</v>
      </c>
      <c r="L1453">
        <v>0</v>
      </c>
      <c r="M1453" t="s">
        <v>18</v>
      </c>
      <c r="N1453" t="str">
        <f>_xlfn.XLOOKUP(B1453,tblCustomers[customer_id],tblCustomers[region],"Missing")</f>
        <v>East</v>
      </c>
      <c r="O1453" t="str">
        <f>_xlfn.XLOOKUP(C1453,tblProducts[product_id],tblProducts[product_name],"Missing")</f>
        <v>CRM Essentials</v>
      </c>
      <c r="P1453" t="str">
        <f>_xlfn.XLOOKUP(C1453,tblProducts[product_id],tblProducts[category],"Missing")</f>
        <v>CRM</v>
      </c>
      <c r="Q1453" t="str">
        <f>_xlfn.XLOOKUP(D1453,tblSalesReps[rep_id],tblSalesReps[rep_name],"Missing")</f>
        <v>Sales Rep 19</v>
      </c>
      <c r="R1453" t="str">
        <f>_xlfn.XLOOKUP(D1453,tblSalesReps[rep_id],tblSalesReps[region],"Missing")</f>
        <v>East</v>
      </c>
    </row>
    <row r="1454" spans="1:18">
      <c r="A1454" t="s">
        <v>1976</v>
      </c>
      <c r="B1454" t="s">
        <v>1065</v>
      </c>
      <c r="C1454" t="s">
        <v>62</v>
      </c>
      <c r="D1454" t="s">
        <v>56</v>
      </c>
      <c r="E1454" s="1">
        <v>45972</v>
      </c>
      <c r="F1454" s="1">
        <v>46049</v>
      </c>
      <c r="G1454" s="1"/>
      <c r="H1454" t="s">
        <v>43</v>
      </c>
      <c r="I1454">
        <v>3</v>
      </c>
      <c r="J1454">
        <v>15</v>
      </c>
      <c r="K1454">
        <v>306000</v>
      </c>
      <c r="L1454">
        <v>80</v>
      </c>
      <c r="M1454" t="s">
        <v>29</v>
      </c>
      <c r="N1454" t="str">
        <f>_xlfn.XLOOKUP(B1454,tblCustomers[customer_id],tblCustomers[region],"Missing")</f>
        <v>East</v>
      </c>
      <c r="O1454" t="str">
        <f>_xlfn.XLOOKUP(C1454,tblProducts[product_id],tblProducts[product_name],"Missing")</f>
        <v>CRM Essentials</v>
      </c>
      <c r="P1454" t="str">
        <f>_xlfn.XLOOKUP(C1454,tblProducts[product_id],tblProducts[category],"Missing")</f>
        <v>CRM</v>
      </c>
      <c r="Q1454" t="str">
        <f>_xlfn.XLOOKUP(D1454,tblSalesReps[rep_id],tblSalesReps[rep_name],"Missing")</f>
        <v>Sales Rep 20</v>
      </c>
      <c r="R1454" t="str">
        <f>_xlfn.XLOOKUP(D1454,tblSalesReps[rep_id],tblSalesReps[region],"Missing")</f>
        <v>East</v>
      </c>
    </row>
    <row r="1455" spans="1:18">
      <c r="A1455" t="s">
        <v>1977</v>
      </c>
      <c r="B1455" t="s">
        <v>1201</v>
      </c>
      <c r="C1455" t="s">
        <v>21</v>
      </c>
      <c r="D1455" t="s">
        <v>78</v>
      </c>
      <c r="E1455" s="1">
        <v>45886</v>
      </c>
      <c r="F1455" s="1">
        <v>45925</v>
      </c>
      <c r="G1455" s="1">
        <v>45925</v>
      </c>
      <c r="H1455" t="s">
        <v>17</v>
      </c>
      <c r="I1455">
        <v>1</v>
      </c>
      <c r="J1455">
        <v>5</v>
      </c>
      <c r="K1455">
        <v>228000</v>
      </c>
      <c r="L1455">
        <v>0</v>
      </c>
      <c r="M1455" t="s">
        <v>82</v>
      </c>
      <c r="N1455" t="str">
        <f>_xlfn.XLOOKUP(B1455,tblCustomers[customer_id],tblCustomers[region],"Missing")</f>
        <v>West</v>
      </c>
      <c r="O1455" t="str">
        <f>_xlfn.XLOOKUP(C1455,tblProducts[product_id],tblProducts[product_name],"Missing")</f>
        <v>Workflow Automate</v>
      </c>
      <c r="P1455" t="str">
        <f>_xlfn.XLOOKUP(C1455,tblProducts[product_id],tblProducts[category],"Missing")</f>
        <v>Automation</v>
      </c>
      <c r="Q1455" t="str">
        <f>_xlfn.XLOOKUP(D1455,tblSalesReps[rep_id],tblSalesReps[rep_name],"Missing")</f>
        <v>Sales Rep 12</v>
      </c>
      <c r="R1455" t="str">
        <f>_xlfn.XLOOKUP(D1455,tblSalesReps[rep_id],tblSalesReps[region],"Missing")</f>
        <v>West</v>
      </c>
    </row>
    <row r="1456" spans="1:18">
      <c r="A1456" t="s">
        <v>1978</v>
      </c>
      <c r="B1456" t="s">
        <v>886</v>
      </c>
      <c r="C1456" t="s">
        <v>21</v>
      </c>
      <c r="D1456" t="s">
        <v>75</v>
      </c>
      <c r="E1456" s="1">
        <v>45810</v>
      </c>
      <c r="F1456" s="1">
        <v>45857</v>
      </c>
      <c r="G1456" s="1">
        <v>45857</v>
      </c>
      <c r="H1456" t="s">
        <v>28</v>
      </c>
      <c r="I1456">
        <v>2</v>
      </c>
      <c r="J1456">
        <v>5</v>
      </c>
      <c r="K1456">
        <v>456000</v>
      </c>
      <c r="L1456">
        <v>100</v>
      </c>
      <c r="M1456" t="s">
        <v>29</v>
      </c>
      <c r="N1456" t="str">
        <f>_xlfn.XLOOKUP(B1456,tblCustomers[customer_id],tblCustomers[region],"Missing")</f>
        <v>North</v>
      </c>
      <c r="O1456" t="str">
        <f>_xlfn.XLOOKUP(C1456,tblProducts[product_id],tblProducts[product_name],"Missing")</f>
        <v>Workflow Automate</v>
      </c>
      <c r="P1456" t="str">
        <f>_xlfn.XLOOKUP(C1456,tblProducts[product_id],tblProducts[category],"Missing")</f>
        <v>Automation</v>
      </c>
      <c r="Q1456" t="str">
        <f>_xlfn.XLOOKUP(D1456,tblSalesReps[rep_id],tblSalesReps[rep_name],"Missing")</f>
        <v>Sales Rep 07</v>
      </c>
      <c r="R1456" t="str">
        <f>_xlfn.XLOOKUP(D1456,tblSalesReps[rep_id],tblSalesReps[region],"Missing")</f>
        <v>North</v>
      </c>
    </row>
    <row r="1457" spans="1:18">
      <c r="A1457" t="s">
        <v>1979</v>
      </c>
      <c r="B1457" t="s">
        <v>1277</v>
      </c>
      <c r="C1457" t="s">
        <v>21</v>
      </c>
      <c r="D1457" t="s">
        <v>53</v>
      </c>
      <c r="E1457" s="1">
        <v>45867</v>
      </c>
      <c r="F1457" s="1">
        <v>45919</v>
      </c>
      <c r="G1457" s="1">
        <v>45919</v>
      </c>
      <c r="H1457" t="s">
        <v>17</v>
      </c>
      <c r="I1457">
        <v>3</v>
      </c>
      <c r="J1457">
        <v>5</v>
      </c>
      <c r="K1457">
        <v>684000</v>
      </c>
      <c r="L1457">
        <v>0</v>
      </c>
      <c r="M1457" t="s">
        <v>18</v>
      </c>
      <c r="N1457" t="str">
        <f>_xlfn.XLOOKUP(B1457,tblCustomers[customer_id],tblCustomers[region],"Missing")</f>
        <v>East</v>
      </c>
      <c r="O1457" t="str">
        <f>_xlfn.XLOOKUP(C1457,tblProducts[product_id],tblProducts[product_name],"Missing")</f>
        <v>Workflow Automate</v>
      </c>
      <c r="P1457" t="str">
        <f>_xlfn.XLOOKUP(C1457,tblProducts[product_id],tblProducts[category],"Missing")</f>
        <v>Automation</v>
      </c>
      <c r="Q1457" t="str">
        <f>_xlfn.XLOOKUP(D1457,tblSalesReps[rep_id],tblSalesReps[rep_name],"Missing")</f>
        <v>Sales Rep 16</v>
      </c>
      <c r="R1457" t="str">
        <f>_xlfn.XLOOKUP(D1457,tblSalesReps[rep_id],tblSalesReps[region],"Missing")</f>
        <v>East</v>
      </c>
    </row>
    <row r="1458" spans="1:18">
      <c r="A1458" t="s">
        <v>1980</v>
      </c>
      <c r="B1458" t="s">
        <v>1003</v>
      </c>
      <c r="C1458" t="s">
        <v>15</v>
      </c>
      <c r="D1458" t="s">
        <v>126</v>
      </c>
      <c r="E1458" s="1">
        <v>45868</v>
      </c>
      <c r="F1458" s="1">
        <v>45879</v>
      </c>
      <c r="G1458" s="1">
        <v>45879</v>
      </c>
      <c r="H1458" t="s">
        <v>17</v>
      </c>
      <c r="I1458">
        <v>1</v>
      </c>
      <c r="J1458">
        <v>0</v>
      </c>
      <c r="K1458">
        <v>420000</v>
      </c>
      <c r="L1458">
        <v>0</v>
      </c>
      <c r="M1458" t="s">
        <v>82</v>
      </c>
      <c r="N1458" t="str">
        <f>_xlfn.XLOOKUP(B1458,tblCustomers[customer_id],tblCustomers[region],"Missing")</f>
        <v>South</v>
      </c>
      <c r="O1458" t="str">
        <f>_xlfn.XLOOKUP(C1458,tblProducts[product_id],tblProducts[product_name],"Missing")</f>
        <v>CRM Enterprise</v>
      </c>
      <c r="P1458" t="str">
        <f>_xlfn.XLOOKUP(C1458,tblProducts[product_id],tblProducts[category],"Missing")</f>
        <v>CRM</v>
      </c>
      <c r="Q1458" t="str">
        <f>_xlfn.XLOOKUP(D1458,tblSalesReps[rep_id],tblSalesReps[rep_name],"Missing")</f>
        <v>Sales Rep 02</v>
      </c>
      <c r="R1458" t="str">
        <f>_xlfn.XLOOKUP(D1458,tblSalesReps[rep_id],tblSalesReps[region],"Missing")</f>
        <v>South</v>
      </c>
    </row>
    <row r="1459" spans="1:18">
      <c r="A1459" t="s">
        <v>1981</v>
      </c>
      <c r="B1459" t="s">
        <v>696</v>
      </c>
      <c r="C1459" t="s">
        <v>26</v>
      </c>
      <c r="D1459" t="s">
        <v>16</v>
      </c>
      <c r="E1459" s="1">
        <v>45873</v>
      </c>
      <c r="F1459" s="1">
        <v>45956</v>
      </c>
      <c r="G1459" s="1">
        <v>45956</v>
      </c>
      <c r="H1459" t="s">
        <v>28</v>
      </c>
      <c r="I1459">
        <v>3</v>
      </c>
      <c r="J1459">
        <v>20</v>
      </c>
      <c r="K1459">
        <v>864000</v>
      </c>
      <c r="L1459">
        <v>100</v>
      </c>
      <c r="M1459" t="s">
        <v>29</v>
      </c>
      <c r="N1459" t="str">
        <f>_xlfn.XLOOKUP(B1459,tblCustomers[customer_id],tblCustomers[region],"Missing")</f>
        <v>North</v>
      </c>
      <c r="O1459" t="str">
        <f>_xlfn.XLOOKUP(C1459,tblProducts[product_id],tblProducts[product_name],"Missing")</f>
        <v>Security Suite</v>
      </c>
      <c r="P1459" t="str">
        <f>_xlfn.XLOOKUP(C1459,tblProducts[product_id],tblProducts[category],"Missing")</f>
        <v>Security</v>
      </c>
      <c r="Q1459" t="str">
        <f>_xlfn.XLOOKUP(D1459,tblSalesReps[rep_id],tblSalesReps[rep_name],"Missing")</f>
        <v>Sales Rep 08</v>
      </c>
      <c r="R1459" t="str">
        <f>_xlfn.XLOOKUP(D1459,tblSalesReps[rep_id],tblSalesReps[region],"Missing")</f>
        <v>North</v>
      </c>
    </row>
    <row r="1460" spans="1:18">
      <c r="A1460" t="s">
        <v>1982</v>
      </c>
      <c r="B1460" t="s">
        <v>1983</v>
      </c>
      <c r="C1460" t="s">
        <v>26</v>
      </c>
      <c r="D1460" t="s">
        <v>152</v>
      </c>
      <c r="E1460" s="1">
        <v>45898</v>
      </c>
      <c r="F1460" s="1">
        <v>45916</v>
      </c>
      <c r="G1460" s="1">
        <v>45916</v>
      </c>
      <c r="H1460" t="s">
        <v>17</v>
      </c>
      <c r="I1460">
        <v>3</v>
      </c>
      <c r="J1460">
        <v>15</v>
      </c>
      <c r="K1460">
        <v>918000</v>
      </c>
      <c r="L1460">
        <v>0</v>
      </c>
      <c r="M1460" t="s">
        <v>23</v>
      </c>
      <c r="N1460" t="str">
        <f>_xlfn.XLOOKUP(B1460,tblCustomers[customer_id],tblCustomers[region],"Missing")</f>
        <v>East</v>
      </c>
      <c r="O1460" t="str">
        <f>_xlfn.XLOOKUP(C1460,tblProducts[product_id],tblProducts[product_name],"Missing")</f>
        <v>Security Suite</v>
      </c>
      <c r="P1460" t="str">
        <f>_xlfn.XLOOKUP(C1460,tblProducts[product_id],tblProducts[category],"Missing")</f>
        <v>Security</v>
      </c>
      <c r="Q1460" t="str">
        <f>_xlfn.XLOOKUP(D1460,tblSalesReps[rep_id],tblSalesReps[rep_name],"Missing")</f>
        <v>Sales Rep 18</v>
      </c>
      <c r="R1460" t="str">
        <f>_xlfn.XLOOKUP(D1460,tblSalesReps[rep_id],tblSalesReps[region],"Missing")</f>
        <v>East</v>
      </c>
    </row>
    <row r="1461" spans="1:18">
      <c r="A1461" t="s">
        <v>1984</v>
      </c>
      <c r="B1461" t="s">
        <v>1536</v>
      </c>
      <c r="C1461" t="s">
        <v>21</v>
      </c>
      <c r="D1461" t="s">
        <v>119</v>
      </c>
      <c r="E1461" s="1">
        <v>45958</v>
      </c>
      <c r="F1461" s="1">
        <v>46032</v>
      </c>
      <c r="G1461" s="1"/>
      <c r="H1461" t="s">
        <v>43</v>
      </c>
      <c r="I1461">
        <v>3</v>
      </c>
      <c r="J1461">
        <v>0</v>
      </c>
      <c r="K1461">
        <v>720000</v>
      </c>
      <c r="L1461">
        <v>60</v>
      </c>
      <c r="M1461" t="s">
        <v>29</v>
      </c>
      <c r="N1461" t="str">
        <f>_xlfn.XLOOKUP(B1461,tblCustomers[customer_id],tblCustomers[region],"Missing")</f>
        <v>North</v>
      </c>
      <c r="O1461" t="str">
        <f>_xlfn.XLOOKUP(C1461,tblProducts[product_id],tblProducts[product_name],"Missing")</f>
        <v>Workflow Automate</v>
      </c>
      <c r="P1461" t="str">
        <f>_xlfn.XLOOKUP(C1461,tblProducts[product_id],tblProducts[category],"Missing")</f>
        <v>Automation</v>
      </c>
      <c r="Q1461" t="str">
        <f>_xlfn.XLOOKUP(D1461,tblSalesReps[rep_id],tblSalesReps[rep_name],"Missing")</f>
        <v>Sales Rep 10</v>
      </c>
      <c r="R1461" t="str">
        <f>_xlfn.XLOOKUP(D1461,tblSalesReps[rep_id],tblSalesReps[region],"Missing")</f>
        <v>North</v>
      </c>
    </row>
    <row r="1462" spans="1:18">
      <c r="A1462" t="s">
        <v>1985</v>
      </c>
      <c r="B1462" t="s">
        <v>589</v>
      </c>
      <c r="C1462" t="s">
        <v>21</v>
      </c>
      <c r="D1462" t="s">
        <v>53</v>
      </c>
      <c r="E1462" s="1">
        <v>45819</v>
      </c>
      <c r="F1462" s="1">
        <v>45887</v>
      </c>
      <c r="G1462" s="1">
        <v>45887</v>
      </c>
      <c r="H1462" t="s">
        <v>28</v>
      </c>
      <c r="I1462">
        <v>1</v>
      </c>
      <c r="J1462">
        <v>20</v>
      </c>
      <c r="K1462">
        <v>192000</v>
      </c>
      <c r="L1462">
        <v>100</v>
      </c>
      <c r="M1462" t="s">
        <v>29</v>
      </c>
      <c r="N1462" t="str">
        <f>_xlfn.XLOOKUP(B1462,tblCustomers[customer_id],tblCustomers[region],"Missing")</f>
        <v>East</v>
      </c>
      <c r="O1462" t="str">
        <f>_xlfn.XLOOKUP(C1462,tblProducts[product_id],tblProducts[product_name],"Missing")</f>
        <v>Workflow Automate</v>
      </c>
      <c r="P1462" t="str">
        <f>_xlfn.XLOOKUP(C1462,tblProducts[product_id],tblProducts[category],"Missing")</f>
        <v>Automation</v>
      </c>
      <c r="Q1462" t="str">
        <f>_xlfn.XLOOKUP(D1462,tblSalesReps[rep_id],tblSalesReps[rep_name],"Missing")</f>
        <v>Sales Rep 16</v>
      </c>
      <c r="R1462" t="str">
        <f>_xlfn.XLOOKUP(D1462,tblSalesReps[rep_id],tblSalesReps[region],"Missing")</f>
        <v>East</v>
      </c>
    </row>
    <row r="1463" spans="1:18">
      <c r="A1463" t="s">
        <v>1986</v>
      </c>
      <c r="B1463" t="s">
        <v>232</v>
      </c>
      <c r="C1463" t="s">
        <v>81</v>
      </c>
      <c r="D1463" t="s">
        <v>46</v>
      </c>
      <c r="E1463" s="1">
        <v>45815</v>
      </c>
      <c r="F1463" s="1">
        <v>45879</v>
      </c>
      <c r="G1463" s="1">
        <v>45879</v>
      </c>
      <c r="H1463" t="s">
        <v>17</v>
      </c>
      <c r="I1463">
        <v>1</v>
      </c>
      <c r="J1463">
        <v>5</v>
      </c>
      <c r="K1463">
        <v>285000</v>
      </c>
      <c r="L1463">
        <v>0</v>
      </c>
      <c r="M1463" t="s">
        <v>18</v>
      </c>
      <c r="N1463" t="str">
        <f>_xlfn.XLOOKUP(B1463,tblCustomers[customer_id],tblCustomers[region],"Missing")</f>
        <v>South</v>
      </c>
      <c r="O1463" t="str">
        <f>_xlfn.XLOOKUP(C1463,tblProducts[product_id],tblProducts[product_name],"Missing")</f>
        <v>Analytics Cloud</v>
      </c>
      <c r="P1463" t="str">
        <f>_xlfn.XLOOKUP(C1463,tblProducts[product_id],tblProducts[category],"Missing")</f>
        <v>Analytics</v>
      </c>
      <c r="Q1463" t="str">
        <f>_xlfn.XLOOKUP(D1463,tblSalesReps[rep_id],tblSalesReps[rep_name],"Missing")</f>
        <v>Sales Rep 01</v>
      </c>
      <c r="R1463" t="str">
        <f>_xlfn.XLOOKUP(D1463,tblSalesReps[rep_id],tblSalesReps[region],"Missing")</f>
        <v>South</v>
      </c>
    </row>
    <row r="1464" spans="1:18">
      <c r="A1464" t="s">
        <v>1987</v>
      </c>
      <c r="B1464" t="s">
        <v>954</v>
      </c>
      <c r="C1464" t="s">
        <v>26</v>
      </c>
      <c r="D1464" t="s">
        <v>126</v>
      </c>
      <c r="E1464" s="1">
        <v>45773</v>
      </c>
      <c r="F1464" s="1">
        <v>45841</v>
      </c>
      <c r="G1464" s="1"/>
      <c r="H1464" t="s">
        <v>43</v>
      </c>
      <c r="I1464">
        <v>1</v>
      </c>
      <c r="J1464">
        <v>10</v>
      </c>
      <c r="K1464">
        <v>324000</v>
      </c>
      <c r="L1464">
        <v>20</v>
      </c>
      <c r="M1464" t="s">
        <v>29</v>
      </c>
      <c r="N1464" t="str">
        <f>_xlfn.XLOOKUP(B1464,tblCustomers[customer_id],tblCustomers[region],"Missing")</f>
        <v>South</v>
      </c>
      <c r="O1464" t="str">
        <f>_xlfn.XLOOKUP(C1464,tblProducts[product_id],tblProducts[product_name],"Missing")</f>
        <v>Security Suite</v>
      </c>
      <c r="P1464" t="str">
        <f>_xlfn.XLOOKUP(C1464,tblProducts[product_id],tblProducts[category],"Missing")</f>
        <v>Security</v>
      </c>
      <c r="Q1464" t="str">
        <f>_xlfn.XLOOKUP(D1464,tblSalesReps[rep_id],tblSalesReps[rep_name],"Missing")</f>
        <v>Sales Rep 02</v>
      </c>
      <c r="R1464" t="str">
        <f>_xlfn.XLOOKUP(D1464,tblSalesReps[rep_id],tblSalesReps[region],"Missing")</f>
        <v>South</v>
      </c>
    </row>
    <row r="1465" spans="1:18">
      <c r="A1465" t="s">
        <v>1988</v>
      </c>
      <c r="B1465" t="s">
        <v>729</v>
      </c>
      <c r="C1465" t="s">
        <v>39</v>
      </c>
      <c r="D1465" t="s">
        <v>40</v>
      </c>
      <c r="E1465" s="1">
        <v>45758</v>
      </c>
      <c r="F1465" s="1">
        <v>45818</v>
      </c>
      <c r="G1465" s="1">
        <v>45818</v>
      </c>
      <c r="H1465" t="s">
        <v>28</v>
      </c>
      <c r="I1465">
        <v>1</v>
      </c>
      <c r="J1465">
        <v>20</v>
      </c>
      <c r="K1465">
        <v>144000</v>
      </c>
      <c r="L1465">
        <v>100</v>
      </c>
      <c r="M1465" t="s">
        <v>29</v>
      </c>
      <c r="N1465" t="str">
        <f>_xlfn.XLOOKUP(B1465,tblCustomers[customer_id],tblCustomers[region],"Missing")</f>
        <v>West</v>
      </c>
      <c r="O1465" t="str">
        <f>_xlfn.XLOOKUP(C1465,tblProducts[product_id],tblProducts[product_name],"Missing")</f>
        <v>Support Desk</v>
      </c>
      <c r="P1465" t="str">
        <f>_xlfn.XLOOKUP(C1465,tblProducts[product_id],tblProducts[category],"Missing")</f>
        <v>Service</v>
      </c>
      <c r="Q1465" t="str">
        <f>_xlfn.XLOOKUP(D1465,tblSalesReps[rep_id],tblSalesReps[rep_name],"Missing")</f>
        <v>Sales Rep 13</v>
      </c>
      <c r="R1465" t="str">
        <f>_xlfn.XLOOKUP(D1465,tblSalesReps[rep_id],tblSalesReps[region],"Missing")</f>
        <v>West</v>
      </c>
    </row>
    <row r="1466" spans="1:18">
      <c r="A1466" t="s">
        <v>1989</v>
      </c>
      <c r="B1466" t="s">
        <v>992</v>
      </c>
      <c r="C1466" t="s">
        <v>21</v>
      </c>
      <c r="D1466" t="s">
        <v>91</v>
      </c>
      <c r="E1466" s="1">
        <v>45976</v>
      </c>
      <c r="F1466" s="1">
        <v>45990</v>
      </c>
      <c r="G1466" s="1"/>
      <c r="H1466" t="s">
        <v>43</v>
      </c>
      <c r="I1466">
        <v>3</v>
      </c>
      <c r="J1466">
        <v>20</v>
      </c>
      <c r="K1466">
        <v>576000</v>
      </c>
      <c r="L1466">
        <v>60</v>
      </c>
      <c r="M1466" t="s">
        <v>29</v>
      </c>
      <c r="N1466" t="str">
        <f>_xlfn.XLOOKUP(B1466,tblCustomers[customer_id],tblCustomers[region],"Missing")</f>
        <v>South</v>
      </c>
      <c r="O1466" t="str">
        <f>_xlfn.XLOOKUP(C1466,tblProducts[product_id],tblProducts[product_name],"Missing")</f>
        <v>Workflow Automate</v>
      </c>
      <c r="P1466" t="str">
        <f>_xlfn.XLOOKUP(C1466,tblProducts[product_id],tblProducts[category],"Missing")</f>
        <v>Automation</v>
      </c>
      <c r="Q1466" t="str">
        <f>_xlfn.XLOOKUP(D1466,tblSalesReps[rep_id],tblSalesReps[rep_name],"Missing")</f>
        <v>Sales Rep 03</v>
      </c>
      <c r="R1466" t="str">
        <f>_xlfn.XLOOKUP(D1466,tblSalesReps[rep_id],tblSalesReps[region],"Missing")</f>
        <v>South</v>
      </c>
    </row>
    <row r="1467" spans="1:18">
      <c r="A1467" t="s">
        <v>1990</v>
      </c>
      <c r="B1467" t="s">
        <v>170</v>
      </c>
      <c r="C1467" t="s">
        <v>39</v>
      </c>
      <c r="D1467" t="s">
        <v>53</v>
      </c>
      <c r="E1467" s="1">
        <v>45850</v>
      </c>
      <c r="F1467" s="1">
        <v>45879</v>
      </c>
      <c r="G1467" s="1">
        <v>45879</v>
      </c>
      <c r="H1467" t="s">
        <v>17</v>
      </c>
      <c r="I1467">
        <v>1</v>
      </c>
      <c r="J1467">
        <v>20</v>
      </c>
      <c r="K1467">
        <v>144000</v>
      </c>
      <c r="L1467">
        <v>0</v>
      </c>
      <c r="M1467" t="s">
        <v>23</v>
      </c>
      <c r="N1467" t="str">
        <f>_xlfn.XLOOKUP(B1467,tblCustomers[customer_id],tblCustomers[region],"Missing")</f>
        <v>East</v>
      </c>
      <c r="O1467" t="str">
        <f>_xlfn.XLOOKUP(C1467,tblProducts[product_id],tblProducts[product_name],"Missing")</f>
        <v>Support Desk</v>
      </c>
      <c r="P1467" t="str">
        <f>_xlfn.XLOOKUP(C1467,tblProducts[product_id],tblProducts[category],"Missing")</f>
        <v>Service</v>
      </c>
      <c r="Q1467" t="str">
        <f>_xlfn.XLOOKUP(D1467,tblSalesReps[rep_id],tblSalesReps[rep_name],"Missing")</f>
        <v>Sales Rep 16</v>
      </c>
      <c r="R1467" t="str">
        <f>_xlfn.XLOOKUP(D1467,tblSalesReps[rep_id],tblSalesReps[region],"Missing")</f>
        <v>East</v>
      </c>
    </row>
    <row r="1468" spans="1:18">
      <c r="A1468" t="s">
        <v>1991</v>
      </c>
      <c r="B1468" t="s">
        <v>1349</v>
      </c>
      <c r="C1468" t="s">
        <v>15</v>
      </c>
      <c r="D1468" t="s">
        <v>119</v>
      </c>
      <c r="E1468" s="1">
        <v>45691</v>
      </c>
      <c r="F1468" s="1">
        <v>45747</v>
      </c>
      <c r="G1468" s="1"/>
      <c r="H1468" t="s">
        <v>43</v>
      </c>
      <c r="I1468">
        <v>1</v>
      </c>
      <c r="J1468">
        <v>10</v>
      </c>
      <c r="K1468">
        <v>378000</v>
      </c>
      <c r="L1468">
        <v>40</v>
      </c>
      <c r="M1468" t="s">
        <v>29</v>
      </c>
      <c r="N1468" t="str">
        <f>_xlfn.XLOOKUP(B1468,tblCustomers[customer_id],tblCustomers[region],"Missing")</f>
        <v>North</v>
      </c>
      <c r="O1468" t="str">
        <f>_xlfn.XLOOKUP(C1468,tblProducts[product_id],tblProducts[product_name],"Missing")</f>
        <v>CRM Enterprise</v>
      </c>
      <c r="P1468" t="str">
        <f>_xlfn.XLOOKUP(C1468,tblProducts[product_id],tblProducts[category],"Missing")</f>
        <v>CRM</v>
      </c>
      <c r="Q1468" t="str">
        <f>_xlfn.XLOOKUP(D1468,tblSalesReps[rep_id],tblSalesReps[rep_name],"Missing")</f>
        <v>Sales Rep 10</v>
      </c>
      <c r="R1468" t="str">
        <f>_xlfn.XLOOKUP(D1468,tblSalesReps[rep_id],tblSalesReps[region],"Missing")</f>
        <v>North</v>
      </c>
    </row>
    <row r="1469" spans="1:18">
      <c r="A1469" t="s">
        <v>1992</v>
      </c>
      <c r="B1469" t="s">
        <v>782</v>
      </c>
      <c r="C1469" t="s">
        <v>15</v>
      </c>
      <c r="D1469" t="s">
        <v>46</v>
      </c>
      <c r="E1469" s="1">
        <v>45958</v>
      </c>
      <c r="F1469" s="1">
        <v>45978</v>
      </c>
      <c r="G1469" s="1">
        <v>45978</v>
      </c>
      <c r="H1469" t="s">
        <v>17</v>
      </c>
      <c r="I1469">
        <v>1</v>
      </c>
      <c r="J1469">
        <v>0</v>
      </c>
      <c r="K1469">
        <v>420000</v>
      </c>
      <c r="L1469">
        <v>0</v>
      </c>
      <c r="M1469" t="s">
        <v>47</v>
      </c>
      <c r="N1469" t="str">
        <f>_xlfn.XLOOKUP(B1469,tblCustomers[customer_id],tblCustomers[region],"Missing")</f>
        <v>South</v>
      </c>
      <c r="O1469" t="str">
        <f>_xlfn.XLOOKUP(C1469,tblProducts[product_id],tblProducts[product_name],"Missing")</f>
        <v>CRM Enterprise</v>
      </c>
      <c r="P1469" t="str">
        <f>_xlfn.XLOOKUP(C1469,tblProducts[product_id],tblProducts[category],"Missing")</f>
        <v>CRM</v>
      </c>
      <c r="Q1469" t="str">
        <f>_xlfn.XLOOKUP(D1469,tblSalesReps[rep_id],tblSalesReps[rep_name],"Missing")</f>
        <v>Sales Rep 01</v>
      </c>
      <c r="R1469" t="str">
        <f>_xlfn.XLOOKUP(D1469,tblSalesReps[rep_id],tblSalesReps[region],"Missing")</f>
        <v>South</v>
      </c>
    </row>
    <row r="1470" spans="1:18">
      <c r="A1470" t="s">
        <v>1993</v>
      </c>
      <c r="B1470" t="s">
        <v>333</v>
      </c>
      <c r="C1470" t="s">
        <v>62</v>
      </c>
      <c r="D1470" t="s">
        <v>27</v>
      </c>
      <c r="E1470" s="1">
        <v>45822</v>
      </c>
      <c r="F1470" s="1">
        <v>45853</v>
      </c>
      <c r="G1470" s="1">
        <v>45853</v>
      </c>
      <c r="H1470" t="s">
        <v>28</v>
      </c>
      <c r="I1470">
        <v>1</v>
      </c>
      <c r="J1470">
        <v>10</v>
      </c>
      <c r="K1470">
        <v>108000</v>
      </c>
      <c r="L1470">
        <v>100</v>
      </c>
      <c r="M1470" t="s">
        <v>29</v>
      </c>
      <c r="N1470" t="str">
        <f>_xlfn.XLOOKUP(B1470,tblCustomers[customer_id],tblCustomers[region],"Missing")</f>
        <v>North</v>
      </c>
      <c r="O1470" t="str">
        <f>_xlfn.XLOOKUP(C1470,tblProducts[product_id],tblProducts[product_name],"Missing")</f>
        <v>CRM Essentials</v>
      </c>
      <c r="P1470" t="str">
        <f>_xlfn.XLOOKUP(C1470,tblProducts[product_id],tblProducts[category],"Missing")</f>
        <v>CRM</v>
      </c>
      <c r="Q1470" t="str">
        <f>_xlfn.XLOOKUP(D1470,tblSalesReps[rep_id],tblSalesReps[rep_name],"Missing")</f>
        <v>Sales Rep 06</v>
      </c>
      <c r="R1470" t="str">
        <f>_xlfn.XLOOKUP(D1470,tblSalesReps[rep_id],tblSalesReps[region],"Missing")</f>
        <v>North</v>
      </c>
    </row>
    <row r="1471" spans="1:18">
      <c r="A1471" t="s">
        <v>1994</v>
      </c>
      <c r="B1471" t="s">
        <v>894</v>
      </c>
      <c r="C1471" t="s">
        <v>26</v>
      </c>
      <c r="D1471" t="s">
        <v>22</v>
      </c>
      <c r="E1471" s="1">
        <v>45842</v>
      </c>
      <c r="F1471" s="1">
        <v>45887</v>
      </c>
      <c r="G1471" s="1">
        <v>45887</v>
      </c>
      <c r="H1471" t="s">
        <v>17</v>
      </c>
      <c r="I1471">
        <v>1</v>
      </c>
      <c r="J1471">
        <v>10</v>
      </c>
      <c r="K1471">
        <v>324000</v>
      </c>
      <c r="L1471">
        <v>0</v>
      </c>
      <c r="M1471" t="s">
        <v>82</v>
      </c>
      <c r="N1471" t="str">
        <f>_xlfn.XLOOKUP(B1471,tblCustomers[customer_id],tblCustomers[region],"Missing")</f>
        <v>West</v>
      </c>
      <c r="O1471" t="str">
        <f>_xlfn.XLOOKUP(C1471,tblProducts[product_id],tblProducts[product_name],"Missing")</f>
        <v>Security Suite</v>
      </c>
      <c r="P1471" t="str">
        <f>_xlfn.XLOOKUP(C1471,tblProducts[product_id],tblProducts[category],"Missing")</f>
        <v>Security</v>
      </c>
      <c r="Q1471" t="str">
        <f>_xlfn.XLOOKUP(D1471,tblSalesReps[rep_id],tblSalesReps[rep_name],"Missing")</f>
        <v>Sales Rep 14</v>
      </c>
      <c r="R1471" t="str">
        <f>_xlfn.XLOOKUP(D1471,tblSalesReps[rep_id],tblSalesReps[region],"Missing")</f>
        <v>West</v>
      </c>
    </row>
    <row r="1472" spans="1:18">
      <c r="A1472" t="s">
        <v>1995</v>
      </c>
      <c r="B1472" t="s">
        <v>914</v>
      </c>
      <c r="C1472" t="s">
        <v>15</v>
      </c>
      <c r="D1472" t="s">
        <v>46</v>
      </c>
      <c r="E1472" s="1">
        <v>45871</v>
      </c>
      <c r="F1472" s="1">
        <v>45888</v>
      </c>
      <c r="G1472" s="1">
        <v>45888</v>
      </c>
      <c r="H1472" t="s">
        <v>28</v>
      </c>
      <c r="I1472">
        <v>3</v>
      </c>
      <c r="J1472">
        <v>0</v>
      </c>
      <c r="K1472">
        <v>1260000</v>
      </c>
      <c r="L1472">
        <v>100</v>
      </c>
      <c r="M1472" t="s">
        <v>29</v>
      </c>
      <c r="N1472" t="str">
        <f>_xlfn.XLOOKUP(B1472,tblCustomers[customer_id],tblCustomers[region],"Missing")</f>
        <v>South</v>
      </c>
      <c r="O1472" t="str">
        <f>_xlfn.XLOOKUP(C1472,tblProducts[product_id],tblProducts[product_name],"Missing")</f>
        <v>CRM Enterprise</v>
      </c>
      <c r="P1472" t="str">
        <f>_xlfn.XLOOKUP(C1472,tblProducts[product_id],tblProducts[category],"Missing")</f>
        <v>CRM</v>
      </c>
      <c r="Q1472" t="str">
        <f>_xlfn.XLOOKUP(D1472,tblSalesReps[rep_id],tblSalesReps[rep_name],"Missing")</f>
        <v>Sales Rep 01</v>
      </c>
      <c r="R1472" t="str">
        <f>_xlfn.XLOOKUP(D1472,tblSalesReps[rep_id],tblSalesReps[region],"Missing")</f>
        <v>South</v>
      </c>
    </row>
    <row r="1473" spans="1:18">
      <c r="A1473" t="s">
        <v>1996</v>
      </c>
      <c r="B1473" t="s">
        <v>520</v>
      </c>
      <c r="C1473" t="s">
        <v>81</v>
      </c>
      <c r="D1473" t="s">
        <v>56</v>
      </c>
      <c r="E1473" s="1">
        <v>45730</v>
      </c>
      <c r="F1473" s="1">
        <v>45801</v>
      </c>
      <c r="G1473" s="1">
        <v>45801</v>
      </c>
      <c r="H1473" t="s">
        <v>17</v>
      </c>
      <c r="I1473">
        <v>1</v>
      </c>
      <c r="J1473">
        <v>5</v>
      </c>
      <c r="K1473">
        <v>285000</v>
      </c>
      <c r="L1473">
        <v>0</v>
      </c>
      <c r="M1473" t="s">
        <v>82</v>
      </c>
      <c r="N1473" t="str">
        <f>_xlfn.XLOOKUP(B1473,tblCustomers[customer_id],tblCustomers[region],"Missing")</f>
        <v>East</v>
      </c>
      <c r="O1473" t="str">
        <f>_xlfn.XLOOKUP(C1473,tblProducts[product_id],tblProducts[product_name],"Missing")</f>
        <v>Analytics Cloud</v>
      </c>
      <c r="P1473" t="str">
        <f>_xlfn.XLOOKUP(C1473,tblProducts[product_id],tblProducts[category],"Missing")</f>
        <v>Analytics</v>
      </c>
      <c r="Q1473" t="str">
        <f>_xlfn.XLOOKUP(D1473,tblSalesReps[rep_id],tblSalesReps[rep_name],"Missing")</f>
        <v>Sales Rep 20</v>
      </c>
      <c r="R1473" t="str">
        <f>_xlfn.XLOOKUP(D1473,tblSalesReps[rep_id],tblSalesReps[region],"Missing")</f>
        <v>East</v>
      </c>
    </row>
    <row r="1474" spans="1:18">
      <c r="A1474" t="s">
        <v>1997</v>
      </c>
      <c r="B1474" t="s">
        <v>834</v>
      </c>
      <c r="C1474" t="s">
        <v>81</v>
      </c>
      <c r="D1474" t="s">
        <v>56</v>
      </c>
      <c r="E1474" s="1">
        <v>46020</v>
      </c>
      <c r="F1474" s="1">
        <v>46027</v>
      </c>
      <c r="G1474" s="1"/>
      <c r="H1474" t="s">
        <v>43</v>
      </c>
      <c r="I1474">
        <v>1</v>
      </c>
      <c r="J1474">
        <v>10</v>
      </c>
      <c r="K1474">
        <v>270000</v>
      </c>
      <c r="L1474">
        <v>40</v>
      </c>
      <c r="M1474" t="s">
        <v>29</v>
      </c>
      <c r="N1474" t="str">
        <f>_xlfn.XLOOKUP(B1474,tblCustomers[customer_id],tblCustomers[region],"Missing")</f>
        <v>East</v>
      </c>
      <c r="O1474" t="str">
        <f>_xlfn.XLOOKUP(C1474,tblProducts[product_id],tblProducts[product_name],"Missing")</f>
        <v>Analytics Cloud</v>
      </c>
      <c r="P1474" t="str">
        <f>_xlfn.XLOOKUP(C1474,tblProducts[product_id],tblProducts[category],"Missing")</f>
        <v>Analytics</v>
      </c>
      <c r="Q1474" t="str">
        <f>_xlfn.XLOOKUP(D1474,tblSalesReps[rep_id],tblSalesReps[rep_name],"Missing")</f>
        <v>Sales Rep 20</v>
      </c>
      <c r="R1474" t="str">
        <f>_xlfn.XLOOKUP(D1474,tblSalesReps[rep_id],tblSalesReps[region],"Missing")</f>
        <v>East</v>
      </c>
    </row>
    <row r="1475" spans="1:18">
      <c r="A1475" t="s">
        <v>1998</v>
      </c>
      <c r="B1475" t="s">
        <v>35</v>
      </c>
      <c r="C1475" t="s">
        <v>15</v>
      </c>
      <c r="D1475" t="s">
        <v>75</v>
      </c>
      <c r="E1475" s="1">
        <v>45732</v>
      </c>
      <c r="F1475" s="1">
        <v>45798</v>
      </c>
      <c r="G1475" s="1">
        <v>45798</v>
      </c>
      <c r="H1475" t="s">
        <v>28</v>
      </c>
      <c r="I1475">
        <v>1</v>
      </c>
      <c r="J1475">
        <v>20</v>
      </c>
      <c r="K1475">
        <v>336000</v>
      </c>
      <c r="L1475">
        <v>100</v>
      </c>
      <c r="M1475" t="s">
        <v>29</v>
      </c>
      <c r="N1475" t="str">
        <f>_xlfn.XLOOKUP(B1475,tblCustomers[customer_id],tblCustomers[region],"Missing")</f>
        <v>North</v>
      </c>
      <c r="O1475" t="str">
        <f>_xlfn.XLOOKUP(C1475,tblProducts[product_id],tblProducts[product_name],"Missing")</f>
        <v>CRM Enterprise</v>
      </c>
      <c r="P1475" t="str">
        <f>_xlfn.XLOOKUP(C1475,tblProducts[product_id],tblProducts[category],"Missing")</f>
        <v>CRM</v>
      </c>
      <c r="Q1475" t="str">
        <f>_xlfn.XLOOKUP(D1475,tblSalesReps[rep_id],tblSalesReps[rep_name],"Missing")</f>
        <v>Sales Rep 07</v>
      </c>
      <c r="R1475" t="str">
        <f>_xlfn.XLOOKUP(D1475,tblSalesReps[rep_id],tblSalesReps[region],"Missing")</f>
        <v>North</v>
      </c>
    </row>
    <row r="1476" spans="1:18">
      <c r="A1476" t="s">
        <v>1999</v>
      </c>
      <c r="B1476" t="s">
        <v>792</v>
      </c>
      <c r="C1476" t="s">
        <v>26</v>
      </c>
      <c r="D1476" t="s">
        <v>70</v>
      </c>
      <c r="E1476" s="1">
        <v>46019</v>
      </c>
      <c r="F1476" s="1">
        <v>46092</v>
      </c>
      <c r="G1476" s="1"/>
      <c r="H1476" t="s">
        <v>43</v>
      </c>
      <c r="I1476">
        <v>2</v>
      </c>
      <c r="J1476">
        <v>0</v>
      </c>
      <c r="K1476">
        <v>720000</v>
      </c>
      <c r="L1476">
        <v>80</v>
      </c>
      <c r="M1476" t="s">
        <v>29</v>
      </c>
      <c r="N1476" t="str">
        <f>_xlfn.XLOOKUP(B1476,tblCustomers[customer_id],tblCustomers[region],"Missing")</f>
        <v>West</v>
      </c>
      <c r="O1476" t="str">
        <f>_xlfn.XLOOKUP(C1476,tblProducts[product_id],tblProducts[product_name],"Missing")</f>
        <v>Security Suite</v>
      </c>
      <c r="P1476" t="str">
        <f>_xlfn.XLOOKUP(C1476,tblProducts[product_id],tblProducts[category],"Missing")</f>
        <v>Security</v>
      </c>
      <c r="Q1476" t="str">
        <f>_xlfn.XLOOKUP(D1476,tblSalesReps[rep_id],tblSalesReps[rep_name],"Missing")</f>
        <v>Sales Rep 11</v>
      </c>
      <c r="R1476" t="str">
        <f>_xlfn.XLOOKUP(D1476,tblSalesReps[rep_id],tblSalesReps[region],"Missing")</f>
        <v>West</v>
      </c>
    </row>
    <row r="1477" spans="1:18">
      <c r="A1477" t="s">
        <v>2000</v>
      </c>
      <c r="B1477" t="s">
        <v>1000</v>
      </c>
      <c r="C1477" t="s">
        <v>81</v>
      </c>
      <c r="D1477" t="s">
        <v>91</v>
      </c>
      <c r="E1477" s="1">
        <v>45811</v>
      </c>
      <c r="F1477" s="1">
        <v>45851</v>
      </c>
      <c r="G1477" s="1"/>
      <c r="H1477" t="s">
        <v>43</v>
      </c>
      <c r="I1477">
        <v>2</v>
      </c>
      <c r="J1477">
        <v>15</v>
      </c>
      <c r="K1477">
        <v>510000</v>
      </c>
      <c r="L1477">
        <v>60</v>
      </c>
      <c r="M1477" t="s">
        <v>29</v>
      </c>
      <c r="N1477" t="str">
        <f>_xlfn.XLOOKUP(B1477,tblCustomers[customer_id],tblCustomers[region],"Missing")</f>
        <v>South</v>
      </c>
      <c r="O1477" t="str">
        <f>_xlfn.XLOOKUP(C1477,tblProducts[product_id],tblProducts[product_name],"Missing")</f>
        <v>Analytics Cloud</v>
      </c>
      <c r="P1477" t="str">
        <f>_xlfn.XLOOKUP(C1477,tblProducts[product_id],tblProducts[category],"Missing")</f>
        <v>Analytics</v>
      </c>
      <c r="Q1477" t="str">
        <f>_xlfn.XLOOKUP(D1477,tblSalesReps[rep_id],tblSalesReps[rep_name],"Missing")</f>
        <v>Sales Rep 03</v>
      </c>
      <c r="R1477" t="str">
        <f>_xlfn.XLOOKUP(D1477,tblSalesReps[rep_id],tblSalesReps[region],"Missing")</f>
        <v>South</v>
      </c>
    </row>
    <row r="1478" spans="1:18">
      <c r="A1478" t="s">
        <v>2001</v>
      </c>
      <c r="B1478" t="s">
        <v>696</v>
      </c>
      <c r="C1478" t="s">
        <v>39</v>
      </c>
      <c r="D1478" t="s">
        <v>16</v>
      </c>
      <c r="E1478" s="1">
        <v>45881</v>
      </c>
      <c r="F1478" s="1">
        <v>45921</v>
      </c>
      <c r="G1478" s="1">
        <v>45921</v>
      </c>
      <c r="H1478" t="s">
        <v>17</v>
      </c>
      <c r="I1478">
        <v>1</v>
      </c>
      <c r="J1478">
        <v>0</v>
      </c>
      <c r="K1478">
        <v>180000</v>
      </c>
      <c r="L1478">
        <v>0</v>
      </c>
      <c r="M1478" t="s">
        <v>82</v>
      </c>
      <c r="N1478" t="str">
        <f>_xlfn.XLOOKUP(B1478,tblCustomers[customer_id],tblCustomers[region],"Missing")</f>
        <v>North</v>
      </c>
      <c r="O1478" t="str">
        <f>_xlfn.XLOOKUP(C1478,tblProducts[product_id],tblProducts[product_name],"Missing")</f>
        <v>Support Desk</v>
      </c>
      <c r="P1478" t="str">
        <f>_xlfn.XLOOKUP(C1478,tblProducts[product_id],tblProducts[category],"Missing")</f>
        <v>Service</v>
      </c>
      <c r="Q1478" t="str">
        <f>_xlfn.XLOOKUP(D1478,tblSalesReps[rep_id],tblSalesReps[rep_name],"Missing")</f>
        <v>Sales Rep 08</v>
      </c>
      <c r="R1478" t="str">
        <f>_xlfn.XLOOKUP(D1478,tblSalesReps[rep_id],tblSalesReps[region],"Missing")</f>
        <v>North</v>
      </c>
    </row>
    <row r="1479" spans="1:18">
      <c r="A1479" t="s">
        <v>2002</v>
      </c>
      <c r="B1479" t="s">
        <v>713</v>
      </c>
      <c r="C1479" t="s">
        <v>81</v>
      </c>
      <c r="D1479" t="s">
        <v>152</v>
      </c>
      <c r="E1479" s="1">
        <v>45875</v>
      </c>
      <c r="F1479" s="1">
        <v>45960</v>
      </c>
      <c r="G1479" s="1">
        <v>45960</v>
      </c>
      <c r="H1479" t="s">
        <v>17</v>
      </c>
      <c r="I1479">
        <v>3</v>
      </c>
      <c r="J1479">
        <v>5</v>
      </c>
      <c r="K1479">
        <v>855000</v>
      </c>
      <c r="L1479">
        <v>0</v>
      </c>
      <c r="M1479" t="s">
        <v>47</v>
      </c>
      <c r="N1479" t="str">
        <f>_xlfn.XLOOKUP(B1479,tblCustomers[customer_id],tblCustomers[region],"Missing")</f>
        <v>East</v>
      </c>
      <c r="O1479" t="str">
        <f>_xlfn.XLOOKUP(C1479,tblProducts[product_id],tblProducts[product_name],"Missing")</f>
        <v>Analytics Cloud</v>
      </c>
      <c r="P1479" t="str">
        <f>_xlfn.XLOOKUP(C1479,tblProducts[product_id],tblProducts[category],"Missing")</f>
        <v>Analytics</v>
      </c>
      <c r="Q1479" t="str">
        <f>_xlfn.XLOOKUP(D1479,tblSalesReps[rep_id],tblSalesReps[rep_name],"Missing")</f>
        <v>Sales Rep 18</v>
      </c>
      <c r="R1479" t="str">
        <f>_xlfn.XLOOKUP(D1479,tblSalesReps[rep_id],tblSalesReps[region],"Missing")</f>
        <v>East</v>
      </c>
    </row>
    <row r="1480" spans="1:18">
      <c r="A1480" t="s">
        <v>2003</v>
      </c>
      <c r="B1480" t="s">
        <v>609</v>
      </c>
      <c r="C1480" t="s">
        <v>39</v>
      </c>
      <c r="D1480" t="s">
        <v>16</v>
      </c>
      <c r="E1480" s="1">
        <v>45998</v>
      </c>
      <c r="F1480" s="1">
        <v>46015</v>
      </c>
      <c r="G1480" s="1"/>
      <c r="H1480" t="s">
        <v>43</v>
      </c>
      <c r="I1480">
        <v>3</v>
      </c>
      <c r="J1480">
        <v>20</v>
      </c>
      <c r="K1480">
        <v>432000</v>
      </c>
      <c r="L1480">
        <v>20</v>
      </c>
      <c r="M1480" t="s">
        <v>29</v>
      </c>
      <c r="N1480" t="str">
        <f>_xlfn.XLOOKUP(B1480,tblCustomers[customer_id],tblCustomers[region],"Missing")</f>
        <v>North</v>
      </c>
      <c r="O1480" t="str">
        <f>_xlfn.XLOOKUP(C1480,tblProducts[product_id],tblProducts[product_name],"Missing")</f>
        <v>Support Desk</v>
      </c>
      <c r="P1480" t="str">
        <f>_xlfn.XLOOKUP(C1480,tblProducts[product_id],tblProducts[category],"Missing")</f>
        <v>Service</v>
      </c>
      <c r="Q1480" t="str">
        <f>_xlfn.XLOOKUP(D1480,tblSalesReps[rep_id],tblSalesReps[rep_name],"Missing")</f>
        <v>Sales Rep 08</v>
      </c>
      <c r="R1480" t="str">
        <f>_xlfn.XLOOKUP(D1480,tblSalesReps[rep_id],tblSalesReps[region],"Missing")</f>
        <v>North</v>
      </c>
    </row>
    <row r="1481" spans="1:18">
      <c r="A1481" t="s">
        <v>2004</v>
      </c>
      <c r="B1481" t="s">
        <v>1620</v>
      </c>
      <c r="C1481" t="s">
        <v>21</v>
      </c>
      <c r="D1481" t="s">
        <v>126</v>
      </c>
      <c r="E1481" s="1">
        <v>45944</v>
      </c>
      <c r="F1481" s="1">
        <v>46023</v>
      </c>
      <c r="G1481" s="1"/>
      <c r="H1481" t="s">
        <v>43</v>
      </c>
      <c r="I1481">
        <v>1</v>
      </c>
      <c r="J1481">
        <v>10</v>
      </c>
      <c r="K1481">
        <v>216000</v>
      </c>
      <c r="L1481">
        <v>20</v>
      </c>
      <c r="M1481" t="s">
        <v>29</v>
      </c>
      <c r="N1481" t="str">
        <f>_xlfn.XLOOKUP(B1481,tblCustomers[customer_id],tblCustomers[region],"Missing")</f>
        <v>South</v>
      </c>
      <c r="O1481" t="str">
        <f>_xlfn.XLOOKUP(C1481,tblProducts[product_id],tblProducts[product_name],"Missing")</f>
        <v>Workflow Automate</v>
      </c>
      <c r="P1481" t="str">
        <f>_xlfn.XLOOKUP(C1481,tblProducts[product_id],tblProducts[category],"Missing")</f>
        <v>Automation</v>
      </c>
      <c r="Q1481" t="str">
        <f>_xlfn.XLOOKUP(D1481,tblSalesReps[rep_id],tblSalesReps[rep_name],"Missing")</f>
        <v>Sales Rep 02</v>
      </c>
      <c r="R1481" t="str">
        <f>_xlfn.XLOOKUP(D1481,tblSalesReps[rep_id],tblSalesReps[region],"Missing")</f>
        <v>South</v>
      </c>
    </row>
    <row r="1482" spans="1:18">
      <c r="A1482" t="s">
        <v>2005</v>
      </c>
      <c r="B1482" t="s">
        <v>183</v>
      </c>
      <c r="C1482" t="s">
        <v>81</v>
      </c>
      <c r="D1482" t="s">
        <v>126</v>
      </c>
      <c r="E1482" s="1">
        <v>45945</v>
      </c>
      <c r="F1482" s="1">
        <v>45997</v>
      </c>
      <c r="G1482" s="1">
        <v>45997</v>
      </c>
      <c r="H1482" t="s">
        <v>28</v>
      </c>
      <c r="I1482">
        <v>1</v>
      </c>
      <c r="J1482">
        <v>15</v>
      </c>
      <c r="K1482">
        <v>255000</v>
      </c>
      <c r="L1482">
        <v>100</v>
      </c>
      <c r="M1482" t="s">
        <v>29</v>
      </c>
      <c r="N1482" t="str">
        <f>_xlfn.XLOOKUP(B1482,tblCustomers[customer_id],tblCustomers[region],"Missing")</f>
        <v>South</v>
      </c>
      <c r="O1482" t="str">
        <f>_xlfn.XLOOKUP(C1482,tblProducts[product_id],tblProducts[product_name],"Missing")</f>
        <v>Analytics Cloud</v>
      </c>
      <c r="P1482" t="str">
        <f>_xlfn.XLOOKUP(C1482,tblProducts[product_id],tblProducts[category],"Missing")</f>
        <v>Analytics</v>
      </c>
      <c r="Q1482" t="str">
        <f>_xlfn.XLOOKUP(D1482,tblSalesReps[rep_id],tblSalesReps[rep_name],"Missing")</f>
        <v>Sales Rep 02</v>
      </c>
      <c r="R1482" t="str">
        <f>_xlfn.XLOOKUP(D1482,tblSalesReps[rep_id],tblSalesReps[region],"Missing")</f>
        <v>South</v>
      </c>
    </row>
    <row r="1483" spans="1:18">
      <c r="A1483" t="s">
        <v>2006</v>
      </c>
      <c r="B1483" t="s">
        <v>154</v>
      </c>
      <c r="C1483" t="s">
        <v>39</v>
      </c>
      <c r="D1483" t="s">
        <v>91</v>
      </c>
      <c r="E1483" s="1">
        <v>45919</v>
      </c>
      <c r="F1483" s="1">
        <v>45977</v>
      </c>
      <c r="G1483" s="1"/>
      <c r="H1483" t="s">
        <v>43</v>
      </c>
      <c r="I1483">
        <v>3</v>
      </c>
      <c r="J1483">
        <v>15</v>
      </c>
      <c r="K1483">
        <v>459000</v>
      </c>
      <c r="L1483">
        <v>60</v>
      </c>
      <c r="M1483" t="s">
        <v>29</v>
      </c>
      <c r="N1483" t="str">
        <f>_xlfn.XLOOKUP(B1483,tblCustomers[customer_id],tblCustomers[region],"Missing")</f>
        <v>South</v>
      </c>
      <c r="O1483" t="str">
        <f>_xlfn.XLOOKUP(C1483,tblProducts[product_id],tblProducts[product_name],"Missing")</f>
        <v>Support Desk</v>
      </c>
      <c r="P1483" t="str">
        <f>_xlfn.XLOOKUP(C1483,tblProducts[product_id],tblProducts[category],"Missing")</f>
        <v>Service</v>
      </c>
      <c r="Q1483" t="str">
        <f>_xlfn.XLOOKUP(D1483,tblSalesReps[rep_id],tblSalesReps[rep_name],"Missing")</f>
        <v>Sales Rep 03</v>
      </c>
      <c r="R1483" t="str">
        <f>_xlfn.XLOOKUP(D1483,tblSalesReps[rep_id],tblSalesReps[region],"Missing")</f>
        <v>South</v>
      </c>
    </row>
    <row r="1484" spans="1:18">
      <c r="A1484" t="s">
        <v>2007</v>
      </c>
      <c r="B1484" t="s">
        <v>84</v>
      </c>
      <c r="C1484" t="s">
        <v>62</v>
      </c>
      <c r="D1484" t="s">
        <v>70</v>
      </c>
      <c r="E1484" s="1">
        <v>45927</v>
      </c>
      <c r="F1484" s="1">
        <v>45965</v>
      </c>
      <c r="G1484" s="1">
        <v>45965</v>
      </c>
      <c r="H1484" t="s">
        <v>28</v>
      </c>
      <c r="I1484">
        <v>1</v>
      </c>
      <c r="J1484">
        <v>5</v>
      </c>
      <c r="K1484">
        <v>114000</v>
      </c>
      <c r="L1484">
        <v>100</v>
      </c>
      <c r="M1484" t="s">
        <v>29</v>
      </c>
      <c r="N1484" t="str">
        <f>_xlfn.XLOOKUP(B1484,tblCustomers[customer_id],tblCustomers[region],"Missing")</f>
        <v>West</v>
      </c>
      <c r="O1484" t="str">
        <f>_xlfn.XLOOKUP(C1484,tblProducts[product_id],tblProducts[product_name],"Missing")</f>
        <v>CRM Essentials</v>
      </c>
      <c r="P1484" t="str">
        <f>_xlfn.XLOOKUP(C1484,tblProducts[product_id],tblProducts[category],"Missing")</f>
        <v>CRM</v>
      </c>
      <c r="Q1484" t="str">
        <f>_xlfn.XLOOKUP(D1484,tblSalesReps[rep_id],tblSalesReps[rep_name],"Missing")</f>
        <v>Sales Rep 11</v>
      </c>
      <c r="R1484" t="str">
        <f>_xlfn.XLOOKUP(D1484,tblSalesReps[rep_id],tblSalesReps[region],"Missing")</f>
        <v>West</v>
      </c>
    </row>
    <row r="1485" spans="1:18">
      <c r="A1485" t="s">
        <v>2008</v>
      </c>
      <c r="B1485" t="s">
        <v>1280</v>
      </c>
      <c r="C1485" t="s">
        <v>21</v>
      </c>
      <c r="D1485" t="s">
        <v>119</v>
      </c>
      <c r="E1485" s="1">
        <v>45770</v>
      </c>
      <c r="F1485" s="1">
        <v>45811</v>
      </c>
      <c r="G1485" s="1">
        <v>45811</v>
      </c>
      <c r="H1485" t="s">
        <v>17</v>
      </c>
      <c r="I1485">
        <v>1</v>
      </c>
      <c r="J1485">
        <v>20</v>
      </c>
      <c r="K1485">
        <v>192000</v>
      </c>
      <c r="L1485">
        <v>0</v>
      </c>
      <c r="M1485" t="s">
        <v>33</v>
      </c>
      <c r="N1485" t="str">
        <f>_xlfn.XLOOKUP(B1485,tblCustomers[customer_id],tblCustomers[region],"Missing")</f>
        <v>North</v>
      </c>
      <c r="O1485" t="str">
        <f>_xlfn.XLOOKUP(C1485,tblProducts[product_id],tblProducts[product_name],"Missing")</f>
        <v>Workflow Automate</v>
      </c>
      <c r="P1485" t="str">
        <f>_xlfn.XLOOKUP(C1485,tblProducts[product_id],tblProducts[category],"Missing")</f>
        <v>Automation</v>
      </c>
      <c r="Q1485" t="str">
        <f>_xlfn.XLOOKUP(D1485,tblSalesReps[rep_id],tblSalesReps[rep_name],"Missing")</f>
        <v>Sales Rep 10</v>
      </c>
      <c r="R1485" t="str">
        <f>_xlfn.XLOOKUP(D1485,tblSalesReps[rep_id],tblSalesReps[region],"Missing")</f>
        <v>North</v>
      </c>
    </row>
    <row r="1486" spans="1:18">
      <c r="A1486" t="s">
        <v>2009</v>
      </c>
      <c r="B1486" t="s">
        <v>437</v>
      </c>
      <c r="C1486" t="s">
        <v>39</v>
      </c>
      <c r="D1486" t="s">
        <v>50</v>
      </c>
      <c r="E1486" s="1">
        <v>45908</v>
      </c>
      <c r="F1486" s="1">
        <v>45973</v>
      </c>
      <c r="G1486" s="1">
        <v>45973</v>
      </c>
      <c r="H1486" t="s">
        <v>28</v>
      </c>
      <c r="I1486">
        <v>1</v>
      </c>
      <c r="J1486">
        <v>0</v>
      </c>
      <c r="K1486">
        <v>180000</v>
      </c>
      <c r="L1486">
        <v>100</v>
      </c>
      <c r="M1486" t="s">
        <v>29</v>
      </c>
      <c r="N1486" t="str">
        <f>_xlfn.XLOOKUP(B1486,tblCustomers[customer_id],tblCustomers[region],"Missing")</f>
        <v>West</v>
      </c>
      <c r="O1486" t="str">
        <f>_xlfn.XLOOKUP(C1486,tblProducts[product_id],tblProducts[product_name],"Missing")</f>
        <v>Support Desk</v>
      </c>
      <c r="P1486" t="str">
        <f>_xlfn.XLOOKUP(C1486,tblProducts[product_id],tblProducts[category],"Missing")</f>
        <v>Service</v>
      </c>
      <c r="Q1486" t="str">
        <f>_xlfn.XLOOKUP(D1486,tblSalesReps[rep_id],tblSalesReps[rep_name],"Missing")</f>
        <v>Sales Rep 15</v>
      </c>
      <c r="R1486" t="str">
        <f>_xlfn.XLOOKUP(D1486,tblSalesReps[rep_id],tblSalesReps[region],"Missing")</f>
        <v>West</v>
      </c>
    </row>
    <row r="1487" spans="1:18">
      <c r="A1487" t="s">
        <v>2010</v>
      </c>
      <c r="B1487" t="s">
        <v>1127</v>
      </c>
      <c r="C1487" t="s">
        <v>15</v>
      </c>
      <c r="D1487" t="s">
        <v>16</v>
      </c>
      <c r="E1487" s="1">
        <v>45971</v>
      </c>
      <c r="F1487" s="1">
        <v>46018</v>
      </c>
      <c r="G1487" s="1">
        <v>46018</v>
      </c>
      <c r="H1487" t="s">
        <v>17</v>
      </c>
      <c r="I1487">
        <v>1</v>
      </c>
      <c r="J1487">
        <v>10</v>
      </c>
      <c r="K1487">
        <v>378000</v>
      </c>
      <c r="L1487">
        <v>0</v>
      </c>
      <c r="M1487" t="s">
        <v>18</v>
      </c>
      <c r="N1487" t="str">
        <f>_xlfn.XLOOKUP(B1487,tblCustomers[customer_id],tblCustomers[region],"Missing")</f>
        <v>North</v>
      </c>
      <c r="O1487" t="str">
        <f>_xlfn.XLOOKUP(C1487,tblProducts[product_id],tblProducts[product_name],"Missing")</f>
        <v>CRM Enterprise</v>
      </c>
      <c r="P1487" t="str">
        <f>_xlfn.XLOOKUP(C1487,tblProducts[product_id],tblProducts[category],"Missing")</f>
        <v>CRM</v>
      </c>
      <c r="Q1487" t="str">
        <f>_xlfn.XLOOKUP(D1487,tblSalesReps[rep_id],tblSalesReps[rep_name],"Missing")</f>
        <v>Sales Rep 08</v>
      </c>
      <c r="R1487" t="str">
        <f>_xlfn.XLOOKUP(D1487,tblSalesReps[rep_id],tblSalesReps[region],"Missing")</f>
        <v>North</v>
      </c>
    </row>
    <row r="1488" spans="1:18">
      <c r="A1488" t="s">
        <v>2011</v>
      </c>
      <c r="B1488" t="s">
        <v>739</v>
      </c>
      <c r="C1488" t="s">
        <v>26</v>
      </c>
      <c r="D1488" t="s">
        <v>70</v>
      </c>
      <c r="E1488" s="1">
        <v>45683</v>
      </c>
      <c r="F1488" s="1">
        <v>45716</v>
      </c>
      <c r="G1488" s="1">
        <v>45716</v>
      </c>
      <c r="H1488" t="s">
        <v>17</v>
      </c>
      <c r="I1488">
        <v>1</v>
      </c>
      <c r="J1488">
        <v>20</v>
      </c>
      <c r="K1488">
        <v>288000</v>
      </c>
      <c r="L1488">
        <v>0</v>
      </c>
      <c r="M1488" t="s">
        <v>23</v>
      </c>
      <c r="N1488" t="str">
        <f>_xlfn.XLOOKUP(B1488,tblCustomers[customer_id],tblCustomers[region],"Missing")</f>
        <v>West</v>
      </c>
      <c r="O1488" t="str">
        <f>_xlfn.XLOOKUP(C1488,tblProducts[product_id],tblProducts[product_name],"Missing")</f>
        <v>Security Suite</v>
      </c>
      <c r="P1488" t="str">
        <f>_xlfn.XLOOKUP(C1488,tblProducts[product_id],tblProducts[category],"Missing")</f>
        <v>Security</v>
      </c>
      <c r="Q1488" t="str">
        <f>_xlfn.XLOOKUP(D1488,tblSalesReps[rep_id],tblSalesReps[rep_name],"Missing")</f>
        <v>Sales Rep 11</v>
      </c>
      <c r="R1488" t="str">
        <f>_xlfn.XLOOKUP(D1488,tblSalesReps[rep_id],tblSalesReps[region],"Missing")</f>
        <v>West</v>
      </c>
    </row>
    <row r="1489" spans="1:18">
      <c r="A1489" t="s">
        <v>2012</v>
      </c>
      <c r="B1489" t="s">
        <v>221</v>
      </c>
      <c r="C1489" t="s">
        <v>26</v>
      </c>
      <c r="D1489" t="s">
        <v>75</v>
      </c>
      <c r="E1489" s="1">
        <v>45746</v>
      </c>
      <c r="F1489" s="1">
        <v>45771</v>
      </c>
      <c r="G1489" s="1"/>
      <c r="H1489" t="s">
        <v>43</v>
      </c>
      <c r="I1489">
        <v>1</v>
      </c>
      <c r="J1489">
        <v>20</v>
      </c>
      <c r="K1489">
        <v>288000</v>
      </c>
      <c r="L1489">
        <v>60</v>
      </c>
      <c r="M1489" t="s">
        <v>29</v>
      </c>
      <c r="N1489" t="str">
        <f>_xlfn.XLOOKUP(B1489,tblCustomers[customer_id],tblCustomers[region],"Missing")</f>
        <v>North</v>
      </c>
      <c r="O1489" t="str">
        <f>_xlfn.XLOOKUP(C1489,tblProducts[product_id],tblProducts[product_name],"Missing")</f>
        <v>Security Suite</v>
      </c>
      <c r="P1489" t="str">
        <f>_xlfn.XLOOKUP(C1489,tblProducts[product_id],tblProducts[category],"Missing")</f>
        <v>Security</v>
      </c>
      <c r="Q1489" t="str">
        <f>_xlfn.XLOOKUP(D1489,tblSalesReps[rep_id],tblSalesReps[rep_name],"Missing")</f>
        <v>Sales Rep 07</v>
      </c>
      <c r="R1489" t="str">
        <f>_xlfn.XLOOKUP(D1489,tblSalesReps[rep_id],tblSalesReps[region],"Missing")</f>
        <v>North</v>
      </c>
    </row>
    <row r="1490" spans="1:18">
      <c r="A1490" t="s">
        <v>2013</v>
      </c>
      <c r="B1490" t="s">
        <v>526</v>
      </c>
      <c r="C1490" t="s">
        <v>39</v>
      </c>
      <c r="D1490" t="s">
        <v>40</v>
      </c>
      <c r="E1490" s="1">
        <v>45881</v>
      </c>
      <c r="F1490" s="1">
        <v>45894</v>
      </c>
      <c r="G1490" s="1">
        <v>45894</v>
      </c>
      <c r="H1490" t="s">
        <v>17</v>
      </c>
      <c r="I1490">
        <v>1</v>
      </c>
      <c r="J1490">
        <v>20</v>
      </c>
      <c r="K1490">
        <v>144000</v>
      </c>
      <c r="L1490">
        <v>0</v>
      </c>
      <c r="M1490" t="s">
        <v>18</v>
      </c>
      <c r="N1490" t="str">
        <f>_xlfn.XLOOKUP(B1490,tblCustomers[customer_id],tblCustomers[region],"Missing")</f>
        <v>West</v>
      </c>
      <c r="O1490" t="str">
        <f>_xlfn.XLOOKUP(C1490,tblProducts[product_id],tblProducts[product_name],"Missing")</f>
        <v>Support Desk</v>
      </c>
      <c r="P1490" t="str">
        <f>_xlfn.XLOOKUP(C1490,tblProducts[product_id],tblProducts[category],"Missing")</f>
        <v>Service</v>
      </c>
      <c r="Q1490" t="str">
        <f>_xlfn.XLOOKUP(D1490,tblSalesReps[rep_id],tblSalesReps[rep_name],"Missing")</f>
        <v>Sales Rep 13</v>
      </c>
      <c r="R1490" t="str">
        <f>_xlfn.XLOOKUP(D1490,tblSalesReps[rep_id],tblSalesReps[region],"Missing")</f>
        <v>West</v>
      </c>
    </row>
    <row r="1491" spans="1:18">
      <c r="A1491" t="s">
        <v>2014</v>
      </c>
      <c r="B1491" t="s">
        <v>763</v>
      </c>
      <c r="C1491" t="s">
        <v>21</v>
      </c>
      <c r="D1491" t="s">
        <v>75</v>
      </c>
      <c r="E1491" s="1">
        <v>45882</v>
      </c>
      <c r="F1491" s="1">
        <v>45936</v>
      </c>
      <c r="G1491" s="1">
        <v>45936</v>
      </c>
      <c r="H1491" t="s">
        <v>17</v>
      </c>
      <c r="I1491">
        <v>3</v>
      </c>
      <c r="J1491">
        <v>15</v>
      </c>
      <c r="K1491">
        <v>612000</v>
      </c>
      <c r="L1491">
        <v>0</v>
      </c>
      <c r="M1491" t="s">
        <v>82</v>
      </c>
      <c r="N1491" t="str">
        <f>_xlfn.XLOOKUP(B1491,tblCustomers[customer_id],tblCustomers[region],"Missing")</f>
        <v>North</v>
      </c>
      <c r="O1491" t="str">
        <f>_xlfn.XLOOKUP(C1491,tblProducts[product_id],tblProducts[product_name],"Missing")</f>
        <v>Workflow Automate</v>
      </c>
      <c r="P1491" t="str">
        <f>_xlfn.XLOOKUP(C1491,tblProducts[product_id],tblProducts[category],"Missing")</f>
        <v>Automation</v>
      </c>
      <c r="Q1491" t="str">
        <f>_xlfn.XLOOKUP(D1491,tblSalesReps[rep_id],tblSalesReps[rep_name],"Missing")</f>
        <v>Sales Rep 07</v>
      </c>
      <c r="R1491" t="str">
        <f>_xlfn.XLOOKUP(D1491,tblSalesReps[rep_id],tblSalesReps[region],"Missing")</f>
        <v>North</v>
      </c>
    </row>
    <row r="1492" spans="1:18">
      <c r="A1492" t="s">
        <v>2015</v>
      </c>
      <c r="B1492" t="s">
        <v>1283</v>
      </c>
      <c r="C1492" t="s">
        <v>15</v>
      </c>
      <c r="D1492" t="s">
        <v>56</v>
      </c>
      <c r="E1492" s="1">
        <v>45736</v>
      </c>
      <c r="F1492" s="1">
        <v>45748</v>
      </c>
      <c r="G1492" s="1"/>
      <c r="H1492" t="s">
        <v>43</v>
      </c>
      <c r="I1492">
        <v>3</v>
      </c>
      <c r="J1492">
        <v>15</v>
      </c>
      <c r="K1492">
        <v>1071000</v>
      </c>
      <c r="L1492">
        <v>80</v>
      </c>
      <c r="M1492" t="s">
        <v>29</v>
      </c>
      <c r="N1492" t="str">
        <f>_xlfn.XLOOKUP(B1492,tblCustomers[customer_id],tblCustomers[region],"Missing")</f>
        <v>East</v>
      </c>
      <c r="O1492" t="str">
        <f>_xlfn.XLOOKUP(C1492,tblProducts[product_id],tblProducts[product_name],"Missing")</f>
        <v>CRM Enterprise</v>
      </c>
      <c r="P1492" t="str">
        <f>_xlfn.XLOOKUP(C1492,tblProducts[product_id],tblProducts[category],"Missing")</f>
        <v>CRM</v>
      </c>
      <c r="Q1492" t="str">
        <f>_xlfn.XLOOKUP(D1492,tblSalesReps[rep_id],tblSalesReps[rep_name],"Missing")</f>
        <v>Sales Rep 20</v>
      </c>
      <c r="R1492" t="str">
        <f>_xlfn.XLOOKUP(D1492,tblSalesReps[rep_id],tblSalesReps[region],"Missing")</f>
        <v>East</v>
      </c>
    </row>
    <row r="1493" spans="1:18">
      <c r="A1493" t="s">
        <v>2016</v>
      </c>
      <c r="B1493" t="s">
        <v>2017</v>
      </c>
      <c r="C1493" t="s">
        <v>26</v>
      </c>
      <c r="D1493" t="s">
        <v>40</v>
      </c>
      <c r="E1493" s="1">
        <v>45977</v>
      </c>
      <c r="F1493" s="1">
        <v>45997</v>
      </c>
      <c r="G1493" s="1">
        <v>45997</v>
      </c>
      <c r="H1493" t="s">
        <v>17</v>
      </c>
      <c r="I1493">
        <v>3</v>
      </c>
      <c r="J1493">
        <v>5</v>
      </c>
      <c r="K1493">
        <v>1026000</v>
      </c>
      <c r="L1493">
        <v>0</v>
      </c>
      <c r="M1493" t="s">
        <v>82</v>
      </c>
      <c r="N1493" t="str">
        <f>_xlfn.XLOOKUP(B1493,tblCustomers[customer_id],tblCustomers[region],"Missing")</f>
        <v>West</v>
      </c>
      <c r="O1493" t="str">
        <f>_xlfn.XLOOKUP(C1493,tblProducts[product_id],tblProducts[product_name],"Missing")</f>
        <v>Security Suite</v>
      </c>
      <c r="P1493" t="str">
        <f>_xlfn.XLOOKUP(C1493,tblProducts[product_id],tblProducts[category],"Missing")</f>
        <v>Security</v>
      </c>
      <c r="Q1493" t="str">
        <f>_xlfn.XLOOKUP(D1493,tblSalesReps[rep_id],tblSalesReps[rep_name],"Missing")</f>
        <v>Sales Rep 13</v>
      </c>
      <c r="R1493" t="str">
        <f>_xlfn.XLOOKUP(D1493,tblSalesReps[rep_id],tblSalesReps[region],"Missing")</f>
        <v>West</v>
      </c>
    </row>
    <row r="1494" spans="1:18">
      <c r="A1494" t="s">
        <v>2018</v>
      </c>
      <c r="B1494" t="s">
        <v>2019</v>
      </c>
      <c r="C1494" t="s">
        <v>81</v>
      </c>
      <c r="D1494" t="s">
        <v>152</v>
      </c>
      <c r="E1494" s="1">
        <v>45821</v>
      </c>
      <c r="F1494" s="1">
        <v>45839</v>
      </c>
      <c r="G1494" s="1">
        <v>45839</v>
      </c>
      <c r="H1494" t="s">
        <v>17</v>
      </c>
      <c r="I1494">
        <v>1</v>
      </c>
      <c r="J1494">
        <v>15</v>
      </c>
      <c r="K1494">
        <v>255000</v>
      </c>
      <c r="L1494">
        <v>0</v>
      </c>
      <c r="M1494" t="s">
        <v>82</v>
      </c>
      <c r="N1494" t="str">
        <f>_xlfn.XLOOKUP(B1494,tblCustomers[customer_id],tblCustomers[region],"Missing")</f>
        <v>East</v>
      </c>
      <c r="O1494" t="str">
        <f>_xlfn.XLOOKUP(C1494,tblProducts[product_id],tblProducts[product_name],"Missing")</f>
        <v>Analytics Cloud</v>
      </c>
      <c r="P1494" t="str">
        <f>_xlfn.XLOOKUP(C1494,tblProducts[product_id],tblProducts[category],"Missing")</f>
        <v>Analytics</v>
      </c>
      <c r="Q1494" t="str">
        <f>_xlfn.XLOOKUP(D1494,tblSalesReps[rep_id],tblSalesReps[rep_name],"Missing")</f>
        <v>Sales Rep 18</v>
      </c>
      <c r="R1494" t="str">
        <f>_xlfn.XLOOKUP(D1494,tblSalesReps[rep_id],tblSalesReps[region],"Missing")</f>
        <v>East</v>
      </c>
    </row>
    <row r="1495" spans="1:18">
      <c r="A1495" t="s">
        <v>2020</v>
      </c>
      <c r="B1495" t="s">
        <v>31</v>
      </c>
      <c r="C1495" t="s">
        <v>39</v>
      </c>
      <c r="D1495" t="s">
        <v>46</v>
      </c>
      <c r="E1495" s="1">
        <v>45904</v>
      </c>
      <c r="F1495" s="1">
        <v>45921</v>
      </c>
      <c r="G1495" s="1"/>
      <c r="H1495" t="s">
        <v>43</v>
      </c>
      <c r="I1495">
        <v>3</v>
      </c>
      <c r="J1495">
        <v>20</v>
      </c>
      <c r="K1495">
        <v>432000</v>
      </c>
      <c r="L1495">
        <v>20</v>
      </c>
      <c r="M1495" t="s">
        <v>29</v>
      </c>
      <c r="N1495" t="str">
        <f>_xlfn.XLOOKUP(B1495,tblCustomers[customer_id],tblCustomers[region],"Missing")</f>
        <v>South</v>
      </c>
      <c r="O1495" t="str">
        <f>_xlfn.XLOOKUP(C1495,tblProducts[product_id],tblProducts[product_name],"Missing")</f>
        <v>Support Desk</v>
      </c>
      <c r="P1495" t="str">
        <f>_xlfn.XLOOKUP(C1495,tblProducts[product_id],tblProducts[category],"Missing")</f>
        <v>Service</v>
      </c>
      <c r="Q1495" t="str">
        <f>_xlfn.XLOOKUP(D1495,tblSalesReps[rep_id],tblSalesReps[rep_name],"Missing")</f>
        <v>Sales Rep 01</v>
      </c>
      <c r="R1495" t="str">
        <f>_xlfn.XLOOKUP(D1495,tblSalesReps[rep_id],tblSalesReps[region],"Missing")</f>
        <v>South</v>
      </c>
    </row>
    <row r="1496" spans="1:18">
      <c r="A1496" t="s">
        <v>2021</v>
      </c>
      <c r="B1496" t="s">
        <v>25</v>
      </c>
      <c r="C1496" t="s">
        <v>26</v>
      </c>
      <c r="D1496" t="s">
        <v>16</v>
      </c>
      <c r="E1496" s="1">
        <v>45811</v>
      </c>
      <c r="F1496" s="1">
        <v>45857</v>
      </c>
      <c r="G1496" s="1">
        <v>45857</v>
      </c>
      <c r="H1496" t="s">
        <v>28</v>
      </c>
      <c r="I1496">
        <v>3</v>
      </c>
      <c r="J1496">
        <v>5</v>
      </c>
      <c r="K1496">
        <v>1026000</v>
      </c>
      <c r="L1496">
        <v>100</v>
      </c>
      <c r="M1496" t="s">
        <v>29</v>
      </c>
      <c r="N1496" t="str">
        <f>_xlfn.XLOOKUP(B1496,tblCustomers[customer_id],tblCustomers[region],"Missing")</f>
        <v>North</v>
      </c>
      <c r="O1496" t="str">
        <f>_xlfn.XLOOKUP(C1496,tblProducts[product_id],tblProducts[product_name],"Missing")</f>
        <v>Security Suite</v>
      </c>
      <c r="P1496" t="str">
        <f>_xlfn.XLOOKUP(C1496,tblProducts[product_id],tblProducts[category],"Missing")</f>
        <v>Security</v>
      </c>
      <c r="Q1496" t="str">
        <f>_xlfn.XLOOKUP(D1496,tblSalesReps[rep_id],tblSalesReps[rep_name],"Missing")</f>
        <v>Sales Rep 08</v>
      </c>
      <c r="R1496" t="str">
        <f>_xlfn.XLOOKUP(D1496,tblSalesReps[rep_id],tblSalesReps[region],"Missing")</f>
        <v>North</v>
      </c>
    </row>
    <row r="1497" spans="1:18">
      <c r="A1497" t="s">
        <v>2022</v>
      </c>
      <c r="B1497" t="s">
        <v>1824</v>
      </c>
      <c r="C1497" t="s">
        <v>15</v>
      </c>
      <c r="D1497" t="s">
        <v>50</v>
      </c>
      <c r="E1497" s="1">
        <v>45987</v>
      </c>
      <c r="F1497" s="1">
        <v>46067</v>
      </c>
      <c r="G1497" s="1"/>
      <c r="H1497" t="s">
        <v>43</v>
      </c>
      <c r="I1497">
        <v>2</v>
      </c>
      <c r="J1497">
        <v>10</v>
      </c>
      <c r="K1497">
        <v>756000</v>
      </c>
      <c r="L1497">
        <v>80</v>
      </c>
      <c r="M1497" t="s">
        <v>29</v>
      </c>
      <c r="N1497" t="str">
        <f>_xlfn.XLOOKUP(B1497,tblCustomers[customer_id],tblCustomers[region],"Missing")</f>
        <v>West</v>
      </c>
      <c r="O1497" t="str">
        <f>_xlfn.XLOOKUP(C1497,tblProducts[product_id],tblProducts[product_name],"Missing")</f>
        <v>CRM Enterprise</v>
      </c>
      <c r="P1497" t="str">
        <f>_xlfn.XLOOKUP(C1497,tblProducts[product_id],tblProducts[category],"Missing")</f>
        <v>CRM</v>
      </c>
      <c r="Q1497" t="str">
        <f>_xlfn.XLOOKUP(D1497,tblSalesReps[rep_id],tblSalesReps[rep_name],"Missing")</f>
        <v>Sales Rep 15</v>
      </c>
      <c r="R1497" t="str">
        <f>_xlfn.XLOOKUP(D1497,tblSalesReps[rep_id],tblSalesReps[region],"Missing")</f>
        <v>West</v>
      </c>
    </row>
    <row r="1498" spans="1:18">
      <c r="A1498" t="s">
        <v>2023</v>
      </c>
      <c r="B1498" t="s">
        <v>289</v>
      </c>
      <c r="C1498" t="s">
        <v>21</v>
      </c>
      <c r="D1498" t="s">
        <v>75</v>
      </c>
      <c r="E1498" s="1">
        <v>45879</v>
      </c>
      <c r="F1498" s="1">
        <v>45949</v>
      </c>
      <c r="G1498" s="1">
        <v>45949</v>
      </c>
      <c r="H1498" t="s">
        <v>17</v>
      </c>
      <c r="I1498">
        <v>1</v>
      </c>
      <c r="J1498">
        <v>10</v>
      </c>
      <c r="K1498">
        <v>216000</v>
      </c>
      <c r="L1498">
        <v>0</v>
      </c>
      <c r="M1498" t="s">
        <v>33</v>
      </c>
      <c r="N1498" t="str">
        <f>_xlfn.XLOOKUP(B1498,tblCustomers[customer_id],tblCustomers[region],"Missing")</f>
        <v>North</v>
      </c>
      <c r="O1498" t="str">
        <f>_xlfn.XLOOKUP(C1498,tblProducts[product_id],tblProducts[product_name],"Missing")</f>
        <v>Workflow Automate</v>
      </c>
      <c r="P1498" t="str">
        <f>_xlfn.XLOOKUP(C1498,tblProducts[product_id],tblProducts[category],"Missing")</f>
        <v>Automation</v>
      </c>
      <c r="Q1498" t="str">
        <f>_xlfn.XLOOKUP(D1498,tblSalesReps[rep_id],tblSalesReps[rep_name],"Missing")</f>
        <v>Sales Rep 07</v>
      </c>
      <c r="R1498" t="str">
        <f>_xlfn.XLOOKUP(D1498,tblSalesReps[rep_id],tblSalesReps[region],"Missing")</f>
        <v>North</v>
      </c>
    </row>
    <row r="1499" spans="1:18">
      <c r="A1499" t="s">
        <v>2024</v>
      </c>
      <c r="B1499" t="s">
        <v>2025</v>
      </c>
      <c r="C1499" t="s">
        <v>21</v>
      </c>
      <c r="D1499" t="s">
        <v>46</v>
      </c>
      <c r="E1499" s="1">
        <v>45835</v>
      </c>
      <c r="F1499" s="1">
        <v>45917</v>
      </c>
      <c r="G1499" s="1">
        <v>45917</v>
      </c>
      <c r="H1499" t="s">
        <v>28</v>
      </c>
      <c r="I1499">
        <v>2</v>
      </c>
      <c r="J1499">
        <v>15</v>
      </c>
      <c r="K1499">
        <v>408000</v>
      </c>
      <c r="L1499">
        <v>100</v>
      </c>
      <c r="M1499" t="s">
        <v>29</v>
      </c>
      <c r="N1499" t="str">
        <f>_xlfn.XLOOKUP(B1499,tblCustomers[customer_id],tblCustomers[region],"Missing")</f>
        <v>South</v>
      </c>
      <c r="O1499" t="str">
        <f>_xlfn.XLOOKUP(C1499,tblProducts[product_id],tblProducts[product_name],"Missing")</f>
        <v>Workflow Automate</v>
      </c>
      <c r="P1499" t="str">
        <f>_xlfn.XLOOKUP(C1499,tblProducts[product_id],tblProducts[category],"Missing")</f>
        <v>Automation</v>
      </c>
      <c r="Q1499" t="str">
        <f>_xlfn.XLOOKUP(D1499,tblSalesReps[rep_id],tblSalesReps[rep_name],"Missing")</f>
        <v>Sales Rep 01</v>
      </c>
      <c r="R1499" t="str">
        <f>_xlfn.XLOOKUP(D1499,tblSalesReps[rep_id],tblSalesReps[region],"Missing")</f>
        <v>South</v>
      </c>
    </row>
    <row r="1500" spans="1:18">
      <c r="A1500" t="s">
        <v>2026</v>
      </c>
      <c r="B1500" t="s">
        <v>660</v>
      </c>
      <c r="C1500" t="s">
        <v>15</v>
      </c>
      <c r="D1500" t="s">
        <v>16</v>
      </c>
      <c r="E1500" s="1">
        <v>45972</v>
      </c>
      <c r="F1500" s="1">
        <v>46009</v>
      </c>
      <c r="G1500" s="1"/>
      <c r="H1500" t="s">
        <v>43</v>
      </c>
      <c r="I1500">
        <v>1</v>
      </c>
      <c r="J1500">
        <v>10</v>
      </c>
      <c r="K1500">
        <v>378000</v>
      </c>
      <c r="L1500">
        <v>80</v>
      </c>
      <c r="M1500" t="s">
        <v>29</v>
      </c>
      <c r="N1500" t="str">
        <f>_xlfn.XLOOKUP(B1500,tblCustomers[customer_id],tblCustomers[region],"Missing")</f>
        <v>North</v>
      </c>
      <c r="O1500" t="str">
        <f>_xlfn.XLOOKUP(C1500,tblProducts[product_id],tblProducts[product_name],"Missing")</f>
        <v>CRM Enterprise</v>
      </c>
      <c r="P1500" t="str">
        <f>_xlfn.XLOOKUP(C1500,tblProducts[product_id],tblProducts[category],"Missing")</f>
        <v>CRM</v>
      </c>
      <c r="Q1500" t="str">
        <f>_xlfn.XLOOKUP(D1500,tblSalesReps[rep_id],tblSalesReps[rep_name],"Missing")</f>
        <v>Sales Rep 08</v>
      </c>
      <c r="R1500" t="str">
        <f>_xlfn.XLOOKUP(D1500,tblSalesReps[rep_id],tblSalesReps[region],"Missing")</f>
        <v>North</v>
      </c>
    </row>
    <row r="1501" spans="1:18">
      <c r="A1501" t="s">
        <v>2027</v>
      </c>
      <c r="B1501" t="s">
        <v>69</v>
      </c>
      <c r="C1501" t="s">
        <v>21</v>
      </c>
      <c r="D1501" t="s">
        <v>40</v>
      </c>
      <c r="E1501" s="1">
        <v>45989</v>
      </c>
      <c r="F1501" s="1">
        <v>46058</v>
      </c>
      <c r="G1501" s="1"/>
      <c r="H1501" t="s">
        <v>43</v>
      </c>
      <c r="I1501">
        <v>1</v>
      </c>
      <c r="J1501">
        <v>0</v>
      </c>
      <c r="K1501">
        <v>240000</v>
      </c>
      <c r="L1501">
        <v>80</v>
      </c>
      <c r="M1501" t="s">
        <v>29</v>
      </c>
      <c r="N1501" t="str">
        <f>_xlfn.XLOOKUP(B1501,tblCustomers[customer_id],tblCustomers[region],"Missing")</f>
        <v>West</v>
      </c>
      <c r="O1501" t="str">
        <f>_xlfn.XLOOKUP(C1501,tblProducts[product_id],tblProducts[product_name],"Missing")</f>
        <v>Workflow Automate</v>
      </c>
      <c r="P1501" t="str">
        <f>_xlfn.XLOOKUP(C1501,tblProducts[product_id],tblProducts[category],"Missing")</f>
        <v>Automation</v>
      </c>
      <c r="Q1501" t="str">
        <f>_xlfn.XLOOKUP(D1501,tblSalesReps[rep_id],tblSalesReps[rep_name],"Missing")</f>
        <v>Sales Rep 13</v>
      </c>
      <c r="R1501" t="str">
        <f>_xlfn.XLOOKUP(D1501,tblSalesReps[rep_id],tblSalesReps[region],"Missing")</f>
        <v>West</v>
      </c>
    </row>
    <row r="1502" spans="1:18">
      <c r="A1502" t="s">
        <v>2028</v>
      </c>
      <c r="B1502" t="s">
        <v>743</v>
      </c>
      <c r="C1502" t="s">
        <v>26</v>
      </c>
      <c r="D1502" t="s">
        <v>50</v>
      </c>
      <c r="E1502" s="1">
        <v>45834</v>
      </c>
      <c r="F1502" s="1">
        <v>45917</v>
      </c>
      <c r="G1502" s="1">
        <v>45917</v>
      </c>
      <c r="H1502" t="s">
        <v>17</v>
      </c>
      <c r="I1502">
        <v>1</v>
      </c>
      <c r="J1502">
        <v>15</v>
      </c>
      <c r="K1502">
        <v>306000</v>
      </c>
      <c r="L1502">
        <v>0</v>
      </c>
      <c r="M1502" t="s">
        <v>33</v>
      </c>
      <c r="N1502" t="str">
        <f>_xlfn.XLOOKUP(B1502,tblCustomers[customer_id],tblCustomers[region],"Missing")</f>
        <v>West</v>
      </c>
      <c r="O1502" t="str">
        <f>_xlfn.XLOOKUP(C1502,tblProducts[product_id],tblProducts[product_name],"Missing")</f>
        <v>Security Suite</v>
      </c>
      <c r="P1502" t="str">
        <f>_xlfn.XLOOKUP(C1502,tblProducts[product_id],tblProducts[category],"Missing")</f>
        <v>Security</v>
      </c>
      <c r="Q1502" t="str">
        <f>_xlfn.XLOOKUP(D1502,tblSalesReps[rep_id],tblSalesReps[rep_name],"Missing")</f>
        <v>Sales Rep 15</v>
      </c>
      <c r="R1502" t="str">
        <f>_xlfn.XLOOKUP(D1502,tblSalesReps[rep_id],tblSalesReps[region],"Missing")</f>
        <v>West</v>
      </c>
    </row>
    <row r="1503" spans="1:18">
      <c r="A1503" t="s">
        <v>2029</v>
      </c>
      <c r="B1503" t="s">
        <v>944</v>
      </c>
      <c r="C1503" t="s">
        <v>21</v>
      </c>
      <c r="D1503" t="s">
        <v>27</v>
      </c>
      <c r="E1503" s="1">
        <v>45757</v>
      </c>
      <c r="F1503" s="1">
        <v>45794</v>
      </c>
      <c r="G1503" s="1">
        <v>45794</v>
      </c>
      <c r="H1503" t="s">
        <v>17</v>
      </c>
      <c r="I1503">
        <v>1</v>
      </c>
      <c r="J1503">
        <v>10</v>
      </c>
      <c r="K1503">
        <v>216000</v>
      </c>
      <c r="L1503">
        <v>0</v>
      </c>
      <c r="M1503" t="s">
        <v>23</v>
      </c>
      <c r="N1503" t="str">
        <f>_xlfn.XLOOKUP(B1503,tblCustomers[customer_id],tblCustomers[region],"Missing")</f>
        <v>North</v>
      </c>
      <c r="O1503" t="str">
        <f>_xlfn.XLOOKUP(C1503,tblProducts[product_id],tblProducts[product_name],"Missing")</f>
        <v>Workflow Automate</v>
      </c>
      <c r="P1503" t="str">
        <f>_xlfn.XLOOKUP(C1503,tblProducts[product_id],tblProducts[category],"Missing")</f>
        <v>Automation</v>
      </c>
      <c r="Q1503" t="str">
        <f>_xlfn.XLOOKUP(D1503,tblSalesReps[rep_id],tblSalesReps[rep_name],"Missing")</f>
        <v>Sales Rep 06</v>
      </c>
      <c r="R1503" t="str">
        <f>_xlfn.XLOOKUP(D1503,tblSalesReps[rep_id],tblSalesReps[region],"Missing")</f>
        <v>North</v>
      </c>
    </row>
    <row r="1504" spans="1:18">
      <c r="A1504" t="s">
        <v>2030</v>
      </c>
      <c r="B1504" t="s">
        <v>706</v>
      </c>
      <c r="C1504" t="s">
        <v>26</v>
      </c>
      <c r="D1504" t="s">
        <v>78</v>
      </c>
      <c r="E1504" s="1">
        <v>45806</v>
      </c>
      <c r="F1504" s="1">
        <v>45857</v>
      </c>
      <c r="G1504" s="1">
        <v>45857</v>
      </c>
      <c r="H1504" t="s">
        <v>28</v>
      </c>
      <c r="I1504">
        <v>1</v>
      </c>
      <c r="J1504">
        <v>20</v>
      </c>
      <c r="K1504">
        <v>288000</v>
      </c>
      <c r="L1504">
        <v>100</v>
      </c>
      <c r="M1504" t="s">
        <v>29</v>
      </c>
      <c r="N1504" t="str">
        <f>_xlfn.XLOOKUP(B1504,tblCustomers[customer_id],tblCustomers[region],"Missing")</f>
        <v>West</v>
      </c>
      <c r="O1504" t="str">
        <f>_xlfn.XLOOKUP(C1504,tblProducts[product_id],tblProducts[product_name],"Missing")</f>
        <v>Security Suite</v>
      </c>
      <c r="P1504" t="str">
        <f>_xlfn.XLOOKUP(C1504,tblProducts[product_id],tblProducts[category],"Missing")</f>
        <v>Security</v>
      </c>
      <c r="Q1504" t="str">
        <f>_xlfn.XLOOKUP(D1504,tblSalesReps[rep_id],tblSalesReps[rep_name],"Missing")</f>
        <v>Sales Rep 12</v>
      </c>
      <c r="R1504" t="str">
        <f>_xlfn.XLOOKUP(D1504,tblSalesReps[rep_id],tblSalesReps[region],"Missing")</f>
        <v>West</v>
      </c>
    </row>
    <row r="1505" spans="1:18">
      <c r="A1505" t="s">
        <v>2031</v>
      </c>
      <c r="B1505" t="s">
        <v>418</v>
      </c>
      <c r="C1505" t="s">
        <v>81</v>
      </c>
      <c r="D1505" t="s">
        <v>46</v>
      </c>
      <c r="E1505" s="1">
        <v>45720</v>
      </c>
      <c r="F1505" s="1">
        <v>45751</v>
      </c>
      <c r="G1505" s="1">
        <v>45751</v>
      </c>
      <c r="H1505" t="s">
        <v>17</v>
      </c>
      <c r="I1505">
        <v>3</v>
      </c>
      <c r="J1505">
        <v>15</v>
      </c>
      <c r="K1505">
        <v>765000</v>
      </c>
      <c r="L1505">
        <v>0</v>
      </c>
      <c r="M1505" t="s">
        <v>23</v>
      </c>
      <c r="N1505" t="str">
        <f>_xlfn.XLOOKUP(B1505,tblCustomers[customer_id],tblCustomers[region],"Missing")</f>
        <v>South</v>
      </c>
      <c r="O1505" t="str">
        <f>_xlfn.XLOOKUP(C1505,tblProducts[product_id],tblProducts[product_name],"Missing")</f>
        <v>Analytics Cloud</v>
      </c>
      <c r="P1505" t="str">
        <f>_xlfn.XLOOKUP(C1505,tblProducts[product_id],tblProducts[category],"Missing")</f>
        <v>Analytics</v>
      </c>
      <c r="Q1505" t="str">
        <f>_xlfn.XLOOKUP(D1505,tblSalesReps[rep_id],tblSalesReps[rep_name],"Missing")</f>
        <v>Sales Rep 01</v>
      </c>
      <c r="R1505" t="str">
        <f>_xlfn.XLOOKUP(D1505,tblSalesReps[rep_id],tblSalesReps[region],"Missing")</f>
        <v>South</v>
      </c>
    </row>
    <row r="1506" spans="1:18">
      <c r="A1506" t="s">
        <v>2032</v>
      </c>
      <c r="B1506" t="s">
        <v>202</v>
      </c>
      <c r="C1506" t="s">
        <v>26</v>
      </c>
      <c r="D1506" t="s">
        <v>53</v>
      </c>
      <c r="E1506" s="1">
        <v>45854</v>
      </c>
      <c r="F1506" s="1">
        <v>45895</v>
      </c>
      <c r="G1506" s="1">
        <v>45895</v>
      </c>
      <c r="H1506" t="s">
        <v>17</v>
      </c>
      <c r="I1506">
        <v>3</v>
      </c>
      <c r="J1506">
        <v>0</v>
      </c>
      <c r="K1506">
        <v>1080000</v>
      </c>
      <c r="L1506">
        <v>0</v>
      </c>
      <c r="M1506" t="s">
        <v>33</v>
      </c>
      <c r="N1506" t="str">
        <f>_xlfn.XLOOKUP(B1506,tblCustomers[customer_id],tblCustomers[region],"Missing")</f>
        <v>East</v>
      </c>
      <c r="O1506" t="str">
        <f>_xlfn.XLOOKUP(C1506,tblProducts[product_id],tblProducts[product_name],"Missing")</f>
        <v>Security Suite</v>
      </c>
      <c r="P1506" t="str">
        <f>_xlfn.XLOOKUP(C1506,tblProducts[product_id],tblProducts[category],"Missing")</f>
        <v>Security</v>
      </c>
      <c r="Q1506" t="str">
        <f>_xlfn.XLOOKUP(D1506,tblSalesReps[rep_id],tblSalesReps[rep_name],"Missing")</f>
        <v>Sales Rep 16</v>
      </c>
      <c r="R1506" t="str">
        <f>_xlfn.XLOOKUP(D1506,tblSalesReps[rep_id],tblSalesReps[region],"Missing")</f>
        <v>East</v>
      </c>
    </row>
    <row r="1507" spans="1:18">
      <c r="A1507" t="s">
        <v>2033</v>
      </c>
      <c r="B1507" t="s">
        <v>851</v>
      </c>
      <c r="C1507" t="s">
        <v>39</v>
      </c>
      <c r="D1507" t="s">
        <v>63</v>
      </c>
      <c r="E1507" s="1">
        <v>45875</v>
      </c>
      <c r="F1507" s="1">
        <v>45913</v>
      </c>
      <c r="G1507" s="1">
        <v>45913</v>
      </c>
      <c r="H1507" t="s">
        <v>17</v>
      </c>
      <c r="I1507">
        <v>1</v>
      </c>
      <c r="J1507">
        <v>5</v>
      </c>
      <c r="K1507">
        <v>171000</v>
      </c>
      <c r="L1507">
        <v>0</v>
      </c>
      <c r="M1507" t="s">
        <v>82</v>
      </c>
      <c r="N1507" t="str">
        <f>_xlfn.XLOOKUP(B1507,tblCustomers[customer_id],tblCustomers[region],"Missing")</f>
        <v>South</v>
      </c>
      <c r="O1507" t="str">
        <f>_xlfn.XLOOKUP(C1507,tblProducts[product_id],tblProducts[product_name],"Missing")</f>
        <v>Support Desk</v>
      </c>
      <c r="P1507" t="str">
        <f>_xlfn.XLOOKUP(C1507,tblProducts[product_id],tblProducts[category],"Missing")</f>
        <v>Service</v>
      </c>
      <c r="Q1507" t="str">
        <f>_xlfn.XLOOKUP(D1507,tblSalesReps[rep_id],tblSalesReps[rep_name],"Missing")</f>
        <v>Sales Rep 05</v>
      </c>
      <c r="R1507" t="str">
        <f>_xlfn.XLOOKUP(D1507,tblSalesReps[rep_id],tblSalesReps[region],"Missing")</f>
        <v>South</v>
      </c>
    </row>
    <row r="1508" spans="1:18">
      <c r="A1508" t="s">
        <v>2034</v>
      </c>
      <c r="B1508" t="s">
        <v>660</v>
      </c>
      <c r="C1508" t="s">
        <v>15</v>
      </c>
      <c r="D1508" t="s">
        <v>75</v>
      </c>
      <c r="E1508" s="1">
        <v>45931</v>
      </c>
      <c r="F1508" s="1">
        <v>45972</v>
      </c>
      <c r="G1508" s="1">
        <v>45972</v>
      </c>
      <c r="H1508" t="s">
        <v>17</v>
      </c>
      <c r="I1508">
        <v>1</v>
      </c>
      <c r="J1508">
        <v>5</v>
      </c>
      <c r="K1508">
        <v>399000</v>
      </c>
      <c r="L1508">
        <v>0</v>
      </c>
      <c r="M1508" t="s">
        <v>18</v>
      </c>
      <c r="N1508" t="str">
        <f>_xlfn.XLOOKUP(B1508,tblCustomers[customer_id],tblCustomers[region],"Missing")</f>
        <v>North</v>
      </c>
      <c r="O1508" t="str">
        <f>_xlfn.XLOOKUP(C1508,tblProducts[product_id],tblProducts[product_name],"Missing")</f>
        <v>CRM Enterprise</v>
      </c>
      <c r="P1508" t="str">
        <f>_xlfn.XLOOKUP(C1508,tblProducts[product_id],tblProducts[category],"Missing")</f>
        <v>CRM</v>
      </c>
      <c r="Q1508" t="str">
        <f>_xlfn.XLOOKUP(D1508,tblSalesReps[rep_id],tblSalesReps[rep_name],"Missing")</f>
        <v>Sales Rep 07</v>
      </c>
      <c r="R1508" t="str">
        <f>_xlfn.XLOOKUP(D1508,tblSalesReps[rep_id],tblSalesReps[region],"Missing")</f>
        <v>North</v>
      </c>
    </row>
    <row r="1509" spans="1:18">
      <c r="A1509" t="s">
        <v>2035</v>
      </c>
      <c r="B1509" t="s">
        <v>93</v>
      </c>
      <c r="C1509" t="s">
        <v>39</v>
      </c>
      <c r="D1509" t="s">
        <v>59</v>
      </c>
      <c r="E1509" s="1">
        <v>45816</v>
      </c>
      <c r="F1509" s="1">
        <v>45862</v>
      </c>
      <c r="G1509" s="1">
        <v>45862</v>
      </c>
      <c r="H1509" t="s">
        <v>28</v>
      </c>
      <c r="I1509">
        <v>3</v>
      </c>
      <c r="J1509">
        <v>5</v>
      </c>
      <c r="K1509">
        <v>513000</v>
      </c>
      <c r="L1509">
        <v>100</v>
      </c>
      <c r="M1509" t="s">
        <v>29</v>
      </c>
      <c r="N1509" t="str">
        <f>_xlfn.XLOOKUP(B1509,tblCustomers[customer_id],tblCustomers[region],"Missing")</f>
        <v>East</v>
      </c>
      <c r="O1509" t="str">
        <f>_xlfn.XLOOKUP(C1509,tblProducts[product_id],tblProducts[product_name],"Missing")</f>
        <v>Support Desk</v>
      </c>
      <c r="P1509" t="str">
        <f>_xlfn.XLOOKUP(C1509,tblProducts[product_id],tblProducts[category],"Missing")</f>
        <v>Service</v>
      </c>
      <c r="Q1509" t="str">
        <f>_xlfn.XLOOKUP(D1509,tblSalesReps[rep_id],tblSalesReps[rep_name],"Missing")</f>
        <v>Sales Rep 19</v>
      </c>
      <c r="R1509" t="str">
        <f>_xlfn.XLOOKUP(D1509,tblSalesReps[rep_id],tblSalesReps[region],"Missing")</f>
        <v>East</v>
      </c>
    </row>
    <row r="1510" spans="1:18">
      <c r="A1510" t="s">
        <v>2036</v>
      </c>
      <c r="B1510" t="s">
        <v>1209</v>
      </c>
      <c r="C1510" t="s">
        <v>81</v>
      </c>
      <c r="D1510" t="s">
        <v>168</v>
      </c>
      <c r="E1510" s="1">
        <v>45844</v>
      </c>
      <c r="F1510" s="1">
        <v>45906</v>
      </c>
      <c r="G1510" s="1"/>
      <c r="H1510" t="s">
        <v>43</v>
      </c>
      <c r="I1510">
        <v>1</v>
      </c>
      <c r="J1510">
        <v>20</v>
      </c>
      <c r="K1510">
        <v>240000</v>
      </c>
      <c r="L1510">
        <v>40</v>
      </c>
      <c r="M1510" t="s">
        <v>29</v>
      </c>
      <c r="N1510" t="str">
        <f>_xlfn.XLOOKUP(B1510,tblCustomers[customer_id],tblCustomers[region],"Missing")</f>
        <v>East</v>
      </c>
      <c r="O1510" t="str">
        <f>_xlfn.XLOOKUP(C1510,tblProducts[product_id],tblProducts[product_name],"Missing")</f>
        <v>Analytics Cloud</v>
      </c>
      <c r="P1510" t="str">
        <f>_xlfn.XLOOKUP(C1510,tblProducts[product_id],tblProducts[category],"Missing")</f>
        <v>Analytics</v>
      </c>
      <c r="Q1510" t="str">
        <f>_xlfn.XLOOKUP(D1510,tblSalesReps[rep_id],tblSalesReps[rep_name],"Missing")</f>
        <v>Sales Rep 17</v>
      </c>
      <c r="R1510" t="str">
        <f>_xlfn.XLOOKUP(D1510,tblSalesReps[rep_id],tblSalesReps[region],"Missing")</f>
        <v>East</v>
      </c>
    </row>
    <row r="1511" spans="1:18">
      <c r="A1511" t="s">
        <v>2037</v>
      </c>
      <c r="B1511" t="s">
        <v>160</v>
      </c>
      <c r="C1511" t="s">
        <v>62</v>
      </c>
      <c r="D1511" t="s">
        <v>168</v>
      </c>
      <c r="E1511" s="1">
        <v>45917</v>
      </c>
      <c r="F1511" s="1">
        <v>45990</v>
      </c>
      <c r="G1511" s="1"/>
      <c r="H1511" t="s">
        <v>43</v>
      </c>
      <c r="I1511">
        <v>2</v>
      </c>
      <c r="J1511">
        <v>15</v>
      </c>
      <c r="K1511">
        <v>204000</v>
      </c>
      <c r="L1511">
        <v>20</v>
      </c>
      <c r="M1511" t="s">
        <v>29</v>
      </c>
      <c r="N1511" t="str">
        <f>_xlfn.XLOOKUP(B1511,tblCustomers[customer_id],tblCustomers[region],"Missing")</f>
        <v>East</v>
      </c>
      <c r="O1511" t="str">
        <f>_xlfn.XLOOKUP(C1511,tblProducts[product_id],tblProducts[product_name],"Missing")</f>
        <v>CRM Essentials</v>
      </c>
      <c r="P1511" t="str">
        <f>_xlfn.XLOOKUP(C1511,tblProducts[product_id],tblProducts[category],"Missing")</f>
        <v>CRM</v>
      </c>
      <c r="Q1511" t="str">
        <f>_xlfn.XLOOKUP(D1511,tblSalesReps[rep_id],tblSalesReps[rep_name],"Missing")</f>
        <v>Sales Rep 17</v>
      </c>
      <c r="R1511" t="str">
        <f>_xlfn.XLOOKUP(D1511,tblSalesReps[rep_id],tblSalesReps[region],"Missing")</f>
        <v>East</v>
      </c>
    </row>
    <row r="1512" spans="1:18">
      <c r="A1512" t="s">
        <v>2038</v>
      </c>
      <c r="B1512" t="s">
        <v>539</v>
      </c>
      <c r="C1512" t="s">
        <v>26</v>
      </c>
      <c r="D1512" t="s">
        <v>168</v>
      </c>
      <c r="E1512" s="1">
        <v>45823</v>
      </c>
      <c r="F1512" s="1">
        <v>45878</v>
      </c>
      <c r="G1512" s="1"/>
      <c r="H1512" t="s">
        <v>43</v>
      </c>
      <c r="I1512">
        <v>1</v>
      </c>
      <c r="J1512">
        <v>0</v>
      </c>
      <c r="K1512">
        <v>360000</v>
      </c>
      <c r="L1512">
        <v>80</v>
      </c>
      <c r="M1512" t="s">
        <v>29</v>
      </c>
      <c r="N1512" t="str">
        <f>_xlfn.XLOOKUP(B1512,tblCustomers[customer_id],tblCustomers[region],"Missing")</f>
        <v>East</v>
      </c>
      <c r="O1512" t="str">
        <f>_xlfn.XLOOKUP(C1512,tblProducts[product_id],tblProducts[product_name],"Missing")</f>
        <v>Security Suite</v>
      </c>
      <c r="P1512" t="str">
        <f>_xlfn.XLOOKUP(C1512,tblProducts[product_id],tblProducts[category],"Missing")</f>
        <v>Security</v>
      </c>
      <c r="Q1512" t="str">
        <f>_xlfn.XLOOKUP(D1512,tblSalesReps[rep_id],tblSalesReps[rep_name],"Missing")</f>
        <v>Sales Rep 17</v>
      </c>
      <c r="R1512" t="str">
        <f>_xlfn.XLOOKUP(D1512,tblSalesReps[rep_id],tblSalesReps[region],"Missing")</f>
        <v>East</v>
      </c>
    </row>
    <row r="1513" spans="1:18">
      <c r="A1513" t="s">
        <v>2039</v>
      </c>
      <c r="B1513" t="s">
        <v>1311</v>
      </c>
      <c r="C1513" t="s">
        <v>21</v>
      </c>
      <c r="D1513" t="s">
        <v>152</v>
      </c>
      <c r="E1513" s="1">
        <v>45851</v>
      </c>
      <c r="F1513" s="1">
        <v>45885</v>
      </c>
      <c r="G1513" s="1"/>
      <c r="H1513" t="s">
        <v>43</v>
      </c>
      <c r="I1513">
        <v>1</v>
      </c>
      <c r="J1513">
        <v>10</v>
      </c>
      <c r="K1513">
        <v>216000</v>
      </c>
      <c r="L1513">
        <v>60</v>
      </c>
      <c r="M1513" t="s">
        <v>29</v>
      </c>
      <c r="N1513" t="str">
        <f>_xlfn.XLOOKUP(B1513,tblCustomers[customer_id],tblCustomers[region],"Missing")</f>
        <v>East</v>
      </c>
      <c r="O1513" t="str">
        <f>_xlfn.XLOOKUP(C1513,tblProducts[product_id],tblProducts[product_name],"Missing")</f>
        <v>Workflow Automate</v>
      </c>
      <c r="P1513" t="str">
        <f>_xlfn.XLOOKUP(C1513,tblProducts[product_id],tblProducts[category],"Missing")</f>
        <v>Automation</v>
      </c>
      <c r="Q1513" t="str">
        <f>_xlfn.XLOOKUP(D1513,tblSalesReps[rep_id],tblSalesReps[rep_name],"Missing")</f>
        <v>Sales Rep 18</v>
      </c>
      <c r="R1513" t="str">
        <f>_xlfn.XLOOKUP(D1513,tblSalesReps[rep_id],tblSalesReps[region],"Missing")</f>
        <v>East</v>
      </c>
    </row>
    <row r="1514" spans="1:18">
      <c r="A1514" t="s">
        <v>2040</v>
      </c>
      <c r="B1514" t="s">
        <v>613</v>
      </c>
      <c r="C1514" t="s">
        <v>39</v>
      </c>
      <c r="D1514" t="s">
        <v>27</v>
      </c>
      <c r="E1514" s="1">
        <v>46009</v>
      </c>
      <c r="F1514" s="1">
        <v>46023</v>
      </c>
      <c r="G1514" s="1"/>
      <c r="H1514" t="s">
        <v>43</v>
      </c>
      <c r="I1514">
        <v>1</v>
      </c>
      <c r="J1514">
        <v>20</v>
      </c>
      <c r="K1514">
        <v>144000</v>
      </c>
      <c r="L1514">
        <v>20</v>
      </c>
      <c r="M1514" t="s">
        <v>29</v>
      </c>
      <c r="N1514" t="str">
        <f>_xlfn.XLOOKUP(B1514,tblCustomers[customer_id],tblCustomers[region],"Missing")</f>
        <v>North</v>
      </c>
      <c r="O1514" t="str">
        <f>_xlfn.XLOOKUP(C1514,tblProducts[product_id],tblProducts[product_name],"Missing")</f>
        <v>Support Desk</v>
      </c>
      <c r="P1514" t="str">
        <f>_xlfn.XLOOKUP(C1514,tblProducts[product_id],tblProducts[category],"Missing")</f>
        <v>Service</v>
      </c>
      <c r="Q1514" t="str">
        <f>_xlfn.XLOOKUP(D1514,tblSalesReps[rep_id],tblSalesReps[rep_name],"Missing")</f>
        <v>Sales Rep 06</v>
      </c>
      <c r="R1514" t="str">
        <f>_xlfn.XLOOKUP(D1514,tblSalesReps[rep_id],tblSalesReps[region],"Missing")</f>
        <v>North</v>
      </c>
    </row>
    <row r="1515" spans="1:18">
      <c r="A1515" t="s">
        <v>2041</v>
      </c>
      <c r="B1515" t="s">
        <v>1405</v>
      </c>
      <c r="C1515" t="s">
        <v>62</v>
      </c>
      <c r="D1515" t="s">
        <v>152</v>
      </c>
      <c r="E1515" s="1">
        <v>45853</v>
      </c>
      <c r="F1515" s="1">
        <v>45881</v>
      </c>
      <c r="G1515" s="1">
        <v>45881</v>
      </c>
      <c r="H1515" t="s">
        <v>17</v>
      </c>
      <c r="I1515">
        <v>1</v>
      </c>
      <c r="J1515">
        <v>0</v>
      </c>
      <c r="K1515">
        <v>120000</v>
      </c>
      <c r="L1515">
        <v>0</v>
      </c>
      <c r="M1515" t="s">
        <v>33</v>
      </c>
      <c r="N1515" t="str">
        <f>_xlfn.XLOOKUP(B1515,tblCustomers[customer_id],tblCustomers[region],"Missing")</f>
        <v>East</v>
      </c>
      <c r="O1515" t="str">
        <f>_xlfn.XLOOKUP(C1515,tblProducts[product_id],tblProducts[product_name],"Missing")</f>
        <v>CRM Essentials</v>
      </c>
      <c r="P1515" t="str">
        <f>_xlfn.XLOOKUP(C1515,tblProducts[product_id],tblProducts[category],"Missing")</f>
        <v>CRM</v>
      </c>
      <c r="Q1515" t="str">
        <f>_xlfn.XLOOKUP(D1515,tblSalesReps[rep_id],tblSalesReps[rep_name],"Missing")</f>
        <v>Sales Rep 18</v>
      </c>
      <c r="R1515" t="str">
        <f>_xlfn.XLOOKUP(D1515,tblSalesReps[rep_id],tblSalesReps[region],"Missing")</f>
        <v>East</v>
      </c>
    </row>
    <row r="1516" spans="1:18">
      <c r="A1516" t="s">
        <v>2042</v>
      </c>
      <c r="B1516" t="s">
        <v>693</v>
      </c>
      <c r="C1516" t="s">
        <v>39</v>
      </c>
      <c r="D1516" t="s">
        <v>168</v>
      </c>
      <c r="E1516" s="1">
        <v>45857</v>
      </c>
      <c r="F1516" s="1">
        <v>45864</v>
      </c>
      <c r="G1516" s="1">
        <v>45864</v>
      </c>
      <c r="H1516" t="s">
        <v>28</v>
      </c>
      <c r="I1516">
        <v>3</v>
      </c>
      <c r="J1516">
        <v>15</v>
      </c>
      <c r="K1516">
        <v>459000</v>
      </c>
      <c r="L1516">
        <v>100</v>
      </c>
      <c r="M1516" t="s">
        <v>29</v>
      </c>
      <c r="N1516" t="str">
        <f>_xlfn.XLOOKUP(B1516,tblCustomers[customer_id],tblCustomers[region],"Missing")</f>
        <v>East</v>
      </c>
      <c r="O1516" t="str">
        <f>_xlfn.XLOOKUP(C1516,tblProducts[product_id],tblProducts[product_name],"Missing")</f>
        <v>Support Desk</v>
      </c>
      <c r="P1516" t="str">
        <f>_xlfn.XLOOKUP(C1516,tblProducts[product_id],tblProducts[category],"Missing")</f>
        <v>Service</v>
      </c>
      <c r="Q1516" t="str">
        <f>_xlfn.XLOOKUP(D1516,tblSalesReps[rep_id],tblSalesReps[rep_name],"Missing")</f>
        <v>Sales Rep 17</v>
      </c>
      <c r="R1516" t="str">
        <f>_xlfn.XLOOKUP(D1516,tblSalesReps[rep_id],tblSalesReps[region],"Missing")</f>
        <v>East</v>
      </c>
    </row>
    <row r="1517" spans="1:18">
      <c r="A1517" t="s">
        <v>2043</v>
      </c>
      <c r="B1517" t="s">
        <v>80</v>
      </c>
      <c r="C1517" t="s">
        <v>26</v>
      </c>
      <c r="D1517" t="s">
        <v>63</v>
      </c>
      <c r="E1517" s="1">
        <v>45849</v>
      </c>
      <c r="F1517" s="1">
        <v>45909</v>
      </c>
      <c r="G1517" s="1">
        <v>45909</v>
      </c>
      <c r="H1517" t="s">
        <v>28</v>
      </c>
      <c r="I1517">
        <v>2</v>
      </c>
      <c r="J1517">
        <v>0</v>
      </c>
      <c r="K1517">
        <v>720000</v>
      </c>
      <c r="L1517">
        <v>100</v>
      </c>
      <c r="M1517" t="s">
        <v>29</v>
      </c>
      <c r="N1517" t="str">
        <f>_xlfn.XLOOKUP(B1517,tblCustomers[customer_id],tblCustomers[region],"Missing")</f>
        <v>South</v>
      </c>
      <c r="O1517" t="str">
        <f>_xlfn.XLOOKUP(C1517,tblProducts[product_id],tblProducts[product_name],"Missing")</f>
        <v>Security Suite</v>
      </c>
      <c r="P1517" t="str">
        <f>_xlfn.XLOOKUP(C1517,tblProducts[product_id],tblProducts[category],"Missing")</f>
        <v>Security</v>
      </c>
      <c r="Q1517" t="str">
        <f>_xlfn.XLOOKUP(D1517,tblSalesReps[rep_id],tblSalesReps[rep_name],"Missing")</f>
        <v>Sales Rep 05</v>
      </c>
      <c r="R1517" t="str">
        <f>_xlfn.XLOOKUP(D1517,tblSalesReps[rep_id],tblSalesReps[region],"Missing")</f>
        <v>South</v>
      </c>
    </row>
    <row r="1518" spans="1:18">
      <c r="A1518" t="s">
        <v>2044</v>
      </c>
      <c r="B1518" t="s">
        <v>31</v>
      </c>
      <c r="C1518" t="s">
        <v>62</v>
      </c>
      <c r="D1518" t="s">
        <v>91</v>
      </c>
      <c r="E1518" s="1">
        <v>45710</v>
      </c>
      <c r="F1518" s="1">
        <v>45790</v>
      </c>
      <c r="G1518" s="1">
        <v>45790</v>
      </c>
      <c r="H1518" t="s">
        <v>17</v>
      </c>
      <c r="I1518">
        <v>1</v>
      </c>
      <c r="J1518">
        <v>0</v>
      </c>
      <c r="K1518">
        <v>120000</v>
      </c>
      <c r="L1518">
        <v>0</v>
      </c>
      <c r="M1518" t="s">
        <v>47</v>
      </c>
      <c r="N1518" t="str">
        <f>_xlfn.XLOOKUP(B1518,tblCustomers[customer_id],tblCustomers[region],"Missing")</f>
        <v>South</v>
      </c>
      <c r="O1518" t="str">
        <f>_xlfn.XLOOKUP(C1518,tblProducts[product_id],tblProducts[product_name],"Missing")</f>
        <v>CRM Essentials</v>
      </c>
      <c r="P1518" t="str">
        <f>_xlfn.XLOOKUP(C1518,tblProducts[product_id],tblProducts[category],"Missing")</f>
        <v>CRM</v>
      </c>
      <c r="Q1518" t="str">
        <f>_xlfn.XLOOKUP(D1518,tblSalesReps[rep_id],tblSalesReps[rep_name],"Missing")</f>
        <v>Sales Rep 03</v>
      </c>
      <c r="R1518" t="str">
        <f>_xlfn.XLOOKUP(D1518,tblSalesReps[rep_id],tblSalesReps[region],"Missing")</f>
        <v>South</v>
      </c>
    </row>
    <row r="1519" spans="1:18">
      <c r="A1519" t="s">
        <v>2045</v>
      </c>
      <c r="B1519" t="s">
        <v>1716</v>
      </c>
      <c r="C1519" t="s">
        <v>26</v>
      </c>
      <c r="D1519" t="s">
        <v>126</v>
      </c>
      <c r="E1519" s="1">
        <v>45969</v>
      </c>
      <c r="F1519" s="1">
        <v>46025</v>
      </c>
      <c r="G1519" s="1"/>
      <c r="H1519" t="s">
        <v>43</v>
      </c>
      <c r="I1519">
        <v>1</v>
      </c>
      <c r="J1519">
        <v>20</v>
      </c>
      <c r="K1519">
        <v>288000</v>
      </c>
      <c r="L1519">
        <v>20</v>
      </c>
      <c r="M1519" t="s">
        <v>29</v>
      </c>
      <c r="N1519" t="str">
        <f>_xlfn.XLOOKUP(B1519,tblCustomers[customer_id],tblCustomers[region],"Missing")</f>
        <v>South</v>
      </c>
      <c r="O1519" t="str">
        <f>_xlfn.XLOOKUP(C1519,tblProducts[product_id],tblProducts[product_name],"Missing")</f>
        <v>Security Suite</v>
      </c>
      <c r="P1519" t="str">
        <f>_xlfn.XLOOKUP(C1519,tblProducts[product_id],tblProducts[category],"Missing")</f>
        <v>Security</v>
      </c>
      <c r="Q1519" t="str">
        <f>_xlfn.XLOOKUP(D1519,tblSalesReps[rep_id],tblSalesReps[rep_name],"Missing")</f>
        <v>Sales Rep 02</v>
      </c>
      <c r="R1519" t="str">
        <f>_xlfn.XLOOKUP(D1519,tblSalesReps[rep_id],tblSalesReps[region],"Missing")</f>
        <v>South</v>
      </c>
    </row>
    <row r="1520" spans="1:18">
      <c r="A1520" t="s">
        <v>2046</v>
      </c>
      <c r="B1520" t="s">
        <v>1876</v>
      </c>
      <c r="C1520" t="s">
        <v>26</v>
      </c>
      <c r="D1520" t="s">
        <v>91</v>
      </c>
      <c r="E1520" s="1">
        <v>45944</v>
      </c>
      <c r="F1520" s="1">
        <v>45975</v>
      </c>
      <c r="G1520" s="1">
        <v>45975</v>
      </c>
      <c r="H1520" t="s">
        <v>17</v>
      </c>
      <c r="I1520">
        <v>2</v>
      </c>
      <c r="J1520">
        <v>20</v>
      </c>
      <c r="K1520">
        <v>576000</v>
      </c>
      <c r="L1520">
        <v>0</v>
      </c>
      <c r="M1520" t="s">
        <v>33</v>
      </c>
      <c r="N1520" t="str">
        <f>_xlfn.XLOOKUP(B1520,tblCustomers[customer_id],tblCustomers[region],"Missing")</f>
        <v>South</v>
      </c>
      <c r="O1520" t="str">
        <f>_xlfn.XLOOKUP(C1520,tblProducts[product_id],tblProducts[product_name],"Missing")</f>
        <v>Security Suite</v>
      </c>
      <c r="P1520" t="str">
        <f>_xlfn.XLOOKUP(C1520,tblProducts[product_id],tblProducts[category],"Missing")</f>
        <v>Security</v>
      </c>
      <c r="Q1520" t="str">
        <f>_xlfn.XLOOKUP(D1520,tblSalesReps[rep_id],tblSalesReps[rep_name],"Missing")</f>
        <v>Sales Rep 03</v>
      </c>
      <c r="R1520" t="str">
        <f>_xlfn.XLOOKUP(D1520,tblSalesReps[rep_id],tblSalesReps[region],"Missing")</f>
        <v>South</v>
      </c>
    </row>
    <row r="1521" spans="1:18">
      <c r="A1521" t="s">
        <v>2047</v>
      </c>
      <c r="B1521" t="s">
        <v>1361</v>
      </c>
      <c r="C1521" t="s">
        <v>62</v>
      </c>
      <c r="D1521" t="s">
        <v>75</v>
      </c>
      <c r="E1521" s="1">
        <v>45747</v>
      </c>
      <c r="F1521" s="1">
        <v>45827</v>
      </c>
      <c r="G1521" s="1">
        <v>45827</v>
      </c>
      <c r="H1521" t="s">
        <v>28</v>
      </c>
      <c r="I1521">
        <v>1</v>
      </c>
      <c r="J1521">
        <v>20</v>
      </c>
      <c r="K1521">
        <v>96000</v>
      </c>
      <c r="L1521">
        <v>100</v>
      </c>
      <c r="M1521" t="s">
        <v>29</v>
      </c>
      <c r="N1521" t="str">
        <f>_xlfn.XLOOKUP(B1521,tblCustomers[customer_id],tblCustomers[region],"Missing")</f>
        <v>North</v>
      </c>
      <c r="O1521" t="str">
        <f>_xlfn.XLOOKUP(C1521,tblProducts[product_id],tblProducts[product_name],"Missing")</f>
        <v>CRM Essentials</v>
      </c>
      <c r="P1521" t="str">
        <f>_xlfn.XLOOKUP(C1521,tblProducts[product_id],tblProducts[category],"Missing")</f>
        <v>CRM</v>
      </c>
      <c r="Q1521" t="str">
        <f>_xlfn.XLOOKUP(D1521,tblSalesReps[rep_id],tblSalesReps[rep_name],"Missing")</f>
        <v>Sales Rep 07</v>
      </c>
      <c r="R1521" t="str">
        <f>_xlfn.XLOOKUP(D1521,tblSalesReps[rep_id],tblSalesReps[region],"Missing")</f>
        <v>North</v>
      </c>
    </row>
    <row r="1522" spans="1:18">
      <c r="A1522" t="s">
        <v>2048</v>
      </c>
      <c r="B1522" t="s">
        <v>351</v>
      </c>
      <c r="C1522" t="s">
        <v>26</v>
      </c>
      <c r="D1522" t="s">
        <v>119</v>
      </c>
      <c r="E1522" s="1">
        <v>45985</v>
      </c>
      <c r="F1522" s="1">
        <v>46044</v>
      </c>
      <c r="G1522" s="1"/>
      <c r="H1522" t="s">
        <v>43</v>
      </c>
      <c r="I1522">
        <v>1</v>
      </c>
      <c r="J1522">
        <v>15</v>
      </c>
      <c r="K1522">
        <v>306000</v>
      </c>
      <c r="L1522">
        <v>40</v>
      </c>
      <c r="M1522" t="s">
        <v>29</v>
      </c>
      <c r="N1522" t="str">
        <f>_xlfn.XLOOKUP(B1522,tblCustomers[customer_id],tblCustomers[region],"Missing")</f>
        <v>North</v>
      </c>
      <c r="O1522" t="str">
        <f>_xlfn.XLOOKUP(C1522,tblProducts[product_id],tblProducts[product_name],"Missing")</f>
        <v>Security Suite</v>
      </c>
      <c r="P1522" t="str">
        <f>_xlfn.XLOOKUP(C1522,tblProducts[product_id],tblProducts[category],"Missing")</f>
        <v>Security</v>
      </c>
      <c r="Q1522" t="str">
        <f>_xlfn.XLOOKUP(D1522,tblSalesReps[rep_id],tblSalesReps[rep_name],"Missing")</f>
        <v>Sales Rep 10</v>
      </c>
      <c r="R1522" t="str">
        <f>_xlfn.XLOOKUP(D1522,tblSalesReps[rep_id],tblSalesReps[region],"Missing")</f>
        <v>North</v>
      </c>
    </row>
    <row r="1523" spans="1:18">
      <c r="A1523" t="s">
        <v>2049</v>
      </c>
      <c r="B1523" t="s">
        <v>909</v>
      </c>
      <c r="C1523" t="s">
        <v>15</v>
      </c>
      <c r="D1523" t="s">
        <v>46</v>
      </c>
      <c r="E1523" s="1">
        <v>45813</v>
      </c>
      <c r="F1523" s="1">
        <v>45831</v>
      </c>
      <c r="G1523" s="1">
        <v>45831</v>
      </c>
      <c r="H1523" t="s">
        <v>28</v>
      </c>
      <c r="I1523">
        <v>1</v>
      </c>
      <c r="J1523">
        <v>20</v>
      </c>
      <c r="K1523">
        <v>336000</v>
      </c>
      <c r="L1523">
        <v>100</v>
      </c>
      <c r="M1523" t="s">
        <v>29</v>
      </c>
      <c r="N1523" t="str">
        <f>_xlfn.XLOOKUP(B1523,tblCustomers[customer_id],tblCustomers[region],"Missing")</f>
        <v>South</v>
      </c>
      <c r="O1523" t="str">
        <f>_xlfn.XLOOKUP(C1523,tblProducts[product_id],tblProducts[product_name],"Missing")</f>
        <v>CRM Enterprise</v>
      </c>
      <c r="P1523" t="str">
        <f>_xlfn.XLOOKUP(C1523,tblProducts[product_id],tblProducts[category],"Missing")</f>
        <v>CRM</v>
      </c>
      <c r="Q1523" t="str">
        <f>_xlfn.XLOOKUP(D1523,tblSalesReps[rep_id],tblSalesReps[rep_name],"Missing")</f>
        <v>Sales Rep 01</v>
      </c>
      <c r="R1523" t="str">
        <f>_xlfn.XLOOKUP(D1523,tblSalesReps[rep_id],tblSalesReps[region],"Missing")</f>
        <v>South</v>
      </c>
    </row>
    <row r="1524" spans="1:18">
      <c r="A1524" t="s">
        <v>2050</v>
      </c>
      <c r="B1524" t="s">
        <v>497</v>
      </c>
      <c r="C1524" t="s">
        <v>62</v>
      </c>
      <c r="D1524" t="s">
        <v>126</v>
      </c>
      <c r="E1524" s="1">
        <v>45831</v>
      </c>
      <c r="F1524" s="1">
        <v>45915</v>
      </c>
      <c r="G1524" s="1"/>
      <c r="H1524" t="s">
        <v>43</v>
      </c>
      <c r="I1524">
        <v>2</v>
      </c>
      <c r="J1524">
        <v>0</v>
      </c>
      <c r="K1524">
        <v>240000</v>
      </c>
      <c r="L1524">
        <v>80</v>
      </c>
      <c r="M1524" t="s">
        <v>29</v>
      </c>
      <c r="N1524" t="str">
        <f>_xlfn.XLOOKUP(B1524,tblCustomers[customer_id],tblCustomers[region],"Missing")</f>
        <v>South</v>
      </c>
      <c r="O1524" t="str">
        <f>_xlfn.XLOOKUP(C1524,tblProducts[product_id],tblProducts[product_name],"Missing")</f>
        <v>CRM Essentials</v>
      </c>
      <c r="P1524" t="str">
        <f>_xlfn.XLOOKUP(C1524,tblProducts[product_id],tblProducts[category],"Missing")</f>
        <v>CRM</v>
      </c>
      <c r="Q1524" t="str">
        <f>_xlfn.XLOOKUP(D1524,tblSalesReps[rep_id],tblSalesReps[rep_name],"Missing")</f>
        <v>Sales Rep 02</v>
      </c>
      <c r="R1524" t="str">
        <f>_xlfn.XLOOKUP(D1524,tblSalesReps[rep_id],tblSalesReps[region],"Missing")</f>
        <v>South</v>
      </c>
    </row>
    <row r="1525" spans="1:18">
      <c r="A1525" t="s">
        <v>2051</v>
      </c>
      <c r="B1525" t="s">
        <v>823</v>
      </c>
      <c r="C1525" t="s">
        <v>26</v>
      </c>
      <c r="D1525" t="s">
        <v>36</v>
      </c>
      <c r="E1525" s="1">
        <v>45660</v>
      </c>
      <c r="F1525" s="1">
        <v>45717</v>
      </c>
      <c r="G1525" s="1">
        <v>45717</v>
      </c>
      <c r="H1525" t="s">
        <v>28</v>
      </c>
      <c r="I1525">
        <v>1</v>
      </c>
      <c r="J1525">
        <v>20</v>
      </c>
      <c r="K1525">
        <v>288000</v>
      </c>
      <c r="L1525">
        <v>100</v>
      </c>
      <c r="M1525" t="s">
        <v>29</v>
      </c>
      <c r="N1525" t="str">
        <f>_xlfn.XLOOKUP(B1525,tblCustomers[customer_id],tblCustomers[region],"Missing")</f>
        <v>North</v>
      </c>
      <c r="O1525" t="str">
        <f>_xlfn.XLOOKUP(C1525,tblProducts[product_id],tblProducts[product_name],"Missing")</f>
        <v>Security Suite</v>
      </c>
      <c r="P1525" t="str">
        <f>_xlfn.XLOOKUP(C1525,tblProducts[product_id],tblProducts[category],"Missing")</f>
        <v>Security</v>
      </c>
      <c r="Q1525" t="str">
        <f>_xlfn.XLOOKUP(D1525,tblSalesReps[rep_id],tblSalesReps[rep_name],"Missing")</f>
        <v>Sales Rep 09</v>
      </c>
      <c r="R1525" t="str">
        <f>_xlfn.XLOOKUP(D1525,tblSalesReps[rep_id],tblSalesReps[region],"Missing")</f>
        <v>North</v>
      </c>
    </row>
    <row r="1526" spans="1:18">
      <c r="A1526" t="s">
        <v>2052</v>
      </c>
      <c r="B1526" t="s">
        <v>1203</v>
      </c>
      <c r="C1526" t="s">
        <v>26</v>
      </c>
      <c r="D1526" t="s">
        <v>59</v>
      </c>
      <c r="E1526" s="1">
        <v>45689</v>
      </c>
      <c r="F1526" s="1">
        <v>45731</v>
      </c>
      <c r="G1526" s="1">
        <v>45731</v>
      </c>
      <c r="H1526" t="s">
        <v>28</v>
      </c>
      <c r="I1526">
        <v>1</v>
      </c>
      <c r="J1526">
        <v>10</v>
      </c>
      <c r="K1526">
        <v>324000</v>
      </c>
      <c r="L1526">
        <v>100</v>
      </c>
      <c r="M1526" t="s">
        <v>29</v>
      </c>
      <c r="N1526" t="str">
        <f>_xlfn.XLOOKUP(B1526,tblCustomers[customer_id],tblCustomers[region],"Missing")</f>
        <v>East</v>
      </c>
      <c r="O1526" t="str">
        <f>_xlfn.XLOOKUP(C1526,tblProducts[product_id],tblProducts[product_name],"Missing")</f>
        <v>Security Suite</v>
      </c>
      <c r="P1526" t="str">
        <f>_xlfn.XLOOKUP(C1526,tblProducts[product_id],tblProducts[category],"Missing")</f>
        <v>Security</v>
      </c>
      <c r="Q1526" t="str">
        <f>_xlfn.XLOOKUP(D1526,tblSalesReps[rep_id],tblSalesReps[rep_name],"Missing")</f>
        <v>Sales Rep 19</v>
      </c>
      <c r="R1526" t="str">
        <f>_xlfn.XLOOKUP(D1526,tblSalesReps[rep_id],tblSalesReps[region],"Missing")</f>
        <v>East</v>
      </c>
    </row>
    <row r="1527" spans="1:18">
      <c r="A1527" t="s">
        <v>2053</v>
      </c>
      <c r="B1527" t="s">
        <v>1003</v>
      </c>
      <c r="C1527" t="s">
        <v>81</v>
      </c>
      <c r="D1527" t="s">
        <v>91</v>
      </c>
      <c r="E1527" s="1">
        <v>45832</v>
      </c>
      <c r="F1527" s="1">
        <v>45839</v>
      </c>
      <c r="G1527" s="1">
        <v>45839</v>
      </c>
      <c r="H1527" t="s">
        <v>28</v>
      </c>
      <c r="I1527">
        <v>1</v>
      </c>
      <c r="J1527">
        <v>20</v>
      </c>
      <c r="K1527">
        <v>240000</v>
      </c>
      <c r="L1527">
        <v>100</v>
      </c>
      <c r="M1527" t="s">
        <v>29</v>
      </c>
      <c r="N1527" t="str">
        <f>_xlfn.XLOOKUP(B1527,tblCustomers[customer_id],tblCustomers[region],"Missing")</f>
        <v>South</v>
      </c>
      <c r="O1527" t="str">
        <f>_xlfn.XLOOKUP(C1527,tblProducts[product_id],tblProducts[product_name],"Missing")</f>
        <v>Analytics Cloud</v>
      </c>
      <c r="P1527" t="str">
        <f>_xlfn.XLOOKUP(C1527,tblProducts[product_id],tblProducts[category],"Missing")</f>
        <v>Analytics</v>
      </c>
      <c r="Q1527" t="str">
        <f>_xlfn.XLOOKUP(D1527,tblSalesReps[rep_id],tblSalesReps[rep_name],"Missing")</f>
        <v>Sales Rep 03</v>
      </c>
      <c r="R1527" t="str">
        <f>_xlfn.XLOOKUP(D1527,tblSalesReps[rep_id],tblSalesReps[region],"Missing")</f>
        <v>South</v>
      </c>
    </row>
    <row r="1528" spans="1:18">
      <c r="A1528" t="s">
        <v>2054</v>
      </c>
      <c r="B1528" t="s">
        <v>836</v>
      </c>
      <c r="C1528" t="s">
        <v>21</v>
      </c>
      <c r="D1528" t="s">
        <v>32</v>
      </c>
      <c r="E1528" s="1">
        <v>45668</v>
      </c>
      <c r="F1528" s="1">
        <v>45712</v>
      </c>
      <c r="G1528" s="1"/>
      <c r="H1528" t="s">
        <v>43</v>
      </c>
      <c r="I1528">
        <v>1</v>
      </c>
      <c r="J1528">
        <v>15</v>
      </c>
      <c r="K1528">
        <v>204000</v>
      </c>
      <c r="L1528">
        <v>20</v>
      </c>
      <c r="M1528" t="s">
        <v>29</v>
      </c>
      <c r="N1528" t="str">
        <f>_xlfn.XLOOKUP(B1528,tblCustomers[customer_id],tblCustomers[region],"Missing")</f>
        <v>South</v>
      </c>
      <c r="O1528" t="str">
        <f>_xlfn.XLOOKUP(C1528,tblProducts[product_id],tblProducts[product_name],"Missing")</f>
        <v>Workflow Automate</v>
      </c>
      <c r="P1528" t="str">
        <f>_xlfn.XLOOKUP(C1528,tblProducts[product_id],tblProducts[category],"Missing")</f>
        <v>Automation</v>
      </c>
      <c r="Q1528" t="str">
        <f>_xlfn.XLOOKUP(D1528,tblSalesReps[rep_id],tblSalesReps[rep_name],"Missing")</f>
        <v>Sales Rep 04</v>
      </c>
      <c r="R1528" t="str">
        <f>_xlfn.XLOOKUP(D1528,tblSalesReps[rep_id],tblSalesReps[region],"Missing")</f>
        <v>South</v>
      </c>
    </row>
    <row r="1529" spans="1:18">
      <c r="A1529" t="s">
        <v>2055</v>
      </c>
      <c r="B1529" t="s">
        <v>183</v>
      </c>
      <c r="C1529" t="s">
        <v>81</v>
      </c>
      <c r="D1529" t="s">
        <v>91</v>
      </c>
      <c r="E1529" s="1">
        <v>45806</v>
      </c>
      <c r="F1529" s="1">
        <v>45857</v>
      </c>
      <c r="G1529" s="1">
        <v>45857</v>
      </c>
      <c r="H1529" t="s">
        <v>17</v>
      </c>
      <c r="I1529">
        <v>2</v>
      </c>
      <c r="J1529">
        <v>10</v>
      </c>
      <c r="K1529">
        <v>540000</v>
      </c>
      <c r="L1529">
        <v>0</v>
      </c>
      <c r="M1529" t="s">
        <v>47</v>
      </c>
      <c r="N1529" t="str">
        <f>_xlfn.XLOOKUP(B1529,tblCustomers[customer_id],tblCustomers[region],"Missing")</f>
        <v>South</v>
      </c>
      <c r="O1529" t="str">
        <f>_xlfn.XLOOKUP(C1529,tblProducts[product_id],tblProducts[product_name],"Missing")</f>
        <v>Analytics Cloud</v>
      </c>
      <c r="P1529" t="str">
        <f>_xlfn.XLOOKUP(C1529,tblProducts[product_id],tblProducts[category],"Missing")</f>
        <v>Analytics</v>
      </c>
      <c r="Q1529" t="str">
        <f>_xlfn.XLOOKUP(D1529,tblSalesReps[rep_id],tblSalesReps[rep_name],"Missing")</f>
        <v>Sales Rep 03</v>
      </c>
      <c r="R1529" t="str">
        <f>_xlfn.XLOOKUP(D1529,tblSalesReps[rep_id],tblSalesReps[region],"Missing")</f>
        <v>South</v>
      </c>
    </row>
    <row r="1530" spans="1:18">
      <c r="A1530" t="s">
        <v>2056</v>
      </c>
      <c r="B1530" t="s">
        <v>164</v>
      </c>
      <c r="C1530" t="s">
        <v>21</v>
      </c>
      <c r="D1530" t="s">
        <v>36</v>
      </c>
      <c r="E1530" s="1">
        <v>45928</v>
      </c>
      <c r="F1530" s="1">
        <v>45988</v>
      </c>
      <c r="G1530" s="1"/>
      <c r="H1530" t="s">
        <v>43</v>
      </c>
      <c r="I1530">
        <v>1</v>
      </c>
      <c r="J1530">
        <v>15</v>
      </c>
      <c r="K1530">
        <v>204000</v>
      </c>
      <c r="L1530">
        <v>80</v>
      </c>
      <c r="M1530" t="s">
        <v>29</v>
      </c>
      <c r="N1530" t="str">
        <f>_xlfn.XLOOKUP(B1530,tblCustomers[customer_id],tblCustomers[region],"Missing")</f>
        <v>North</v>
      </c>
      <c r="O1530" t="str">
        <f>_xlfn.XLOOKUP(C1530,tblProducts[product_id],tblProducts[product_name],"Missing")</f>
        <v>Workflow Automate</v>
      </c>
      <c r="P1530" t="str">
        <f>_xlfn.XLOOKUP(C1530,tblProducts[product_id],tblProducts[category],"Missing")</f>
        <v>Automation</v>
      </c>
      <c r="Q1530" t="str">
        <f>_xlfn.XLOOKUP(D1530,tblSalesReps[rep_id],tblSalesReps[rep_name],"Missing")</f>
        <v>Sales Rep 09</v>
      </c>
      <c r="R1530" t="str">
        <f>_xlfn.XLOOKUP(D1530,tblSalesReps[rep_id],tblSalesReps[region],"Missing")</f>
        <v>North</v>
      </c>
    </row>
    <row r="1531" spans="1:18">
      <c r="A1531" t="s">
        <v>2057</v>
      </c>
      <c r="B1531" t="s">
        <v>221</v>
      </c>
      <c r="C1531" t="s">
        <v>62</v>
      </c>
      <c r="D1531" t="s">
        <v>119</v>
      </c>
      <c r="E1531" s="1">
        <v>45884</v>
      </c>
      <c r="F1531" s="1">
        <v>45949</v>
      </c>
      <c r="G1531" s="1"/>
      <c r="H1531" t="s">
        <v>43</v>
      </c>
      <c r="I1531">
        <v>2</v>
      </c>
      <c r="J1531">
        <v>20</v>
      </c>
      <c r="K1531">
        <v>192000</v>
      </c>
      <c r="L1531">
        <v>60</v>
      </c>
      <c r="M1531" t="s">
        <v>29</v>
      </c>
      <c r="N1531" t="str">
        <f>_xlfn.XLOOKUP(B1531,tblCustomers[customer_id],tblCustomers[region],"Missing")</f>
        <v>North</v>
      </c>
      <c r="O1531" t="str">
        <f>_xlfn.XLOOKUP(C1531,tblProducts[product_id],tblProducts[product_name],"Missing")</f>
        <v>CRM Essentials</v>
      </c>
      <c r="P1531" t="str">
        <f>_xlfn.XLOOKUP(C1531,tblProducts[product_id],tblProducts[category],"Missing")</f>
        <v>CRM</v>
      </c>
      <c r="Q1531" t="str">
        <f>_xlfn.XLOOKUP(D1531,tblSalesReps[rep_id],tblSalesReps[rep_name],"Missing")</f>
        <v>Sales Rep 10</v>
      </c>
      <c r="R1531" t="str">
        <f>_xlfn.XLOOKUP(D1531,tblSalesReps[rep_id],tblSalesReps[region],"Missing")</f>
        <v>North</v>
      </c>
    </row>
    <row r="1532" spans="1:18">
      <c r="A1532" t="s">
        <v>2058</v>
      </c>
      <c r="B1532" t="s">
        <v>412</v>
      </c>
      <c r="C1532" t="s">
        <v>15</v>
      </c>
      <c r="D1532" t="s">
        <v>91</v>
      </c>
      <c r="E1532" s="1">
        <v>45721</v>
      </c>
      <c r="F1532" s="1">
        <v>45804</v>
      </c>
      <c r="G1532" s="1">
        <v>45804</v>
      </c>
      <c r="H1532" t="s">
        <v>28</v>
      </c>
      <c r="I1532">
        <v>2</v>
      </c>
      <c r="J1532">
        <v>5</v>
      </c>
      <c r="K1532">
        <v>798000</v>
      </c>
      <c r="L1532">
        <v>100</v>
      </c>
      <c r="M1532" t="s">
        <v>29</v>
      </c>
      <c r="N1532" t="str">
        <f>_xlfn.XLOOKUP(B1532,tblCustomers[customer_id],tblCustomers[region],"Missing")</f>
        <v>South</v>
      </c>
      <c r="O1532" t="str">
        <f>_xlfn.XLOOKUP(C1532,tblProducts[product_id],tblProducts[product_name],"Missing")</f>
        <v>CRM Enterprise</v>
      </c>
      <c r="P1532" t="str">
        <f>_xlfn.XLOOKUP(C1532,tblProducts[product_id],tblProducts[category],"Missing")</f>
        <v>CRM</v>
      </c>
      <c r="Q1532" t="str">
        <f>_xlfn.XLOOKUP(D1532,tblSalesReps[rep_id],tblSalesReps[rep_name],"Missing")</f>
        <v>Sales Rep 03</v>
      </c>
      <c r="R1532" t="str">
        <f>_xlfn.XLOOKUP(D1532,tblSalesReps[rep_id],tblSalesReps[region],"Missing")</f>
        <v>South</v>
      </c>
    </row>
    <row r="1533" spans="1:18">
      <c r="A1533" t="s">
        <v>2059</v>
      </c>
      <c r="B1533" t="s">
        <v>2060</v>
      </c>
      <c r="C1533" t="s">
        <v>15</v>
      </c>
      <c r="D1533" t="s">
        <v>126</v>
      </c>
      <c r="E1533" s="1">
        <v>46008</v>
      </c>
      <c r="F1533" s="1">
        <v>46045</v>
      </c>
      <c r="G1533" s="1"/>
      <c r="H1533" t="s">
        <v>43</v>
      </c>
      <c r="I1533">
        <v>1</v>
      </c>
      <c r="J1533">
        <v>5</v>
      </c>
      <c r="K1533">
        <v>399000</v>
      </c>
      <c r="L1533">
        <v>40</v>
      </c>
      <c r="M1533" t="s">
        <v>29</v>
      </c>
      <c r="N1533" t="str">
        <f>_xlfn.XLOOKUP(B1533,tblCustomers[customer_id],tblCustomers[region],"Missing")</f>
        <v>South</v>
      </c>
      <c r="O1533" t="str">
        <f>_xlfn.XLOOKUP(C1533,tblProducts[product_id],tblProducts[product_name],"Missing")</f>
        <v>CRM Enterprise</v>
      </c>
      <c r="P1533" t="str">
        <f>_xlfn.XLOOKUP(C1533,tblProducts[product_id],tblProducts[category],"Missing")</f>
        <v>CRM</v>
      </c>
      <c r="Q1533" t="str">
        <f>_xlfn.XLOOKUP(D1533,tblSalesReps[rep_id],tblSalesReps[rep_name],"Missing")</f>
        <v>Sales Rep 02</v>
      </c>
      <c r="R1533" t="str">
        <f>_xlfn.XLOOKUP(D1533,tblSalesReps[rep_id],tblSalesReps[region],"Missing")</f>
        <v>South</v>
      </c>
    </row>
    <row r="1534" spans="1:18">
      <c r="A1534" t="s">
        <v>2061</v>
      </c>
      <c r="B1534" t="s">
        <v>292</v>
      </c>
      <c r="C1534" t="s">
        <v>21</v>
      </c>
      <c r="D1534" t="s">
        <v>75</v>
      </c>
      <c r="E1534" s="1">
        <v>46006</v>
      </c>
      <c r="F1534" s="1">
        <v>46064</v>
      </c>
      <c r="G1534" s="1"/>
      <c r="H1534" t="s">
        <v>43</v>
      </c>
      <c r="I1534">
        <v>3</v>
      </c>
      <c r="J1534">
        <v>10</v>
      </c>
      <c r="K1534">
        <v>648000</v>
      </c>
      <c r="L1534">
        <v>40</v>
      </c>
      <c r="M1534" t="s">
        <v>29</v>
      </c>
      <c r="N1534" t="str">
        <f>_xlfn.XLOOKUP(B1534,tblCustomers[customer_id],tblCustomers[region],"Missing")</f>
        <v>North</v>
      </c>
      <c r="O1534" t="str">
        <f>_xlfn.XLOOKUP(C1534,tblProducts[product_id],tblProducts[product_name],"Missing")</f>
        <v>Workflow Automate</v>
      </c>
      <c r="P1534" t="str">
        <f>_xlfn.XLOOKUP(C1534,tblProducts[product_id],tblProducts[category],"Missing")</f>
        <v>Automation</v>
      </c>
      <c r="Q1534" t="str">
        <f>_xlfn.XLOOKUP(D1534,tblSalesReps[rep_id],tblSalesReps[rep_name],"Missing")</f>
        <v>Sales Rep 07</v>
      </c>
      <c r="R1534" t="str">
        <f>_xlfn.XLOOKUP(D1534,tblSalesReps[rep_id],tblSalesReps[region],"Missing")</f>
        <v>North</v>
      </c>
    </row>
    <row r="1535" spans="1:18">
      <c r="A1535" t="s">
        <v>2062</v>
      </c>
      <c r="B1535" t="s">
        <v>268</v>
      </c>
      <c r="C1535" t="s">
        <v>21</v>
      </c>
      <c r="D1535" t="s">
        <v>75</v>
      </c>
      <c r="E1535" s="1">
        <v>45904</v>
      </c>
      <c r="F1535" s="1">
        <v>45917</v>
      </c>
      <c r="G1535" s="1">
        <v>45917</v>
      </c>
      <c r="H1535" t="s">
        <v>17</v>
      </c>
      <c r="I1535">
        <v>1</v>
      </c>
      <c r="J1535">
        <v>15</v>
      </c>
      <c r="K1535">
        <v>204000</v>
      </c>
      <c r="L1535">
        <v>0</v>
      </c>
      <c r="M1535" t="s">
        <v>18</v>
      </c>
      <c r="N1535" t="str">
        <f>_xlfn.XLOOKUP(B1535,tblCustomers[customer_id],tblCustomers[region],"Missing")</f>
        <v>North</v>
      </c>
      <c r="O1535" t="str">
        <f>_xlfn.XLOOKUP(C1535,tblProducts[product_id],tblProducts[product_name],"Missing")</f>
        <v>Workflow Automate</v>
      </c>
      <c r="P1535" t="str">
        <f>_xlfn.XLOOKUP(C1535,tblProducts[product_id],tblProducts[category],"Missing")</f>
        <v>Automation</v>
      </c>
      <c r="Q1535" t="str">
        <f>_xlfn.XLOOKUP(D1535,tblSalesReps[rep_id],tblSalesReps[rep_name],"Missing")</f>
        <v>Sales Rep 07</v>
      </c>
      <c r="R1535" t="str">
        <f>_xlfn.XLOOKUP(D1535,tblSalesReps[rep_id],tblSalesReps[region],"Missing")</f>
        <v>North</v>
      </c>
    </row>
    <row r="1536" spans="1:18">
      <c r="A1536" t="s">
        <v>2063</v>
      </c>
      <c r="B1536" t="s">
        <v>759</v>
      </c>
      <c r="C1536" t="s">
        <v>15</v>
      </c>
      <c r="D1536" t="s">
        <v>152</v>
      </c>
      <c r="E1536" s="1">
        <v>45837</v>
      </c>
      <c r="F1536" s="1">
        <v>45862</v>
      </c>
      <c r="G1536" s="1"/>
      <c r="H1536" t="s">
        <v>43</v>
      </c>
      <c r="I1536">
        <v>3</v>
      </c>
      <c r="J1536">
        <v>0</v>
      </c>
      <c r="K1536">
        <v>1260000</v>
      </c>
      <c r="L1536">
        <v>60</v>
      </c>
      <c r="M1536" t="s">
        <v>29</v>
      </c>
      <c r="N1536" t="str">
        <f>_xlfn.XLOOKUP(B1536,tblCustomers[customer_id],tblCustomers[region],"Missing")</f>
        <v>East</v>
      </c>
      <c r="O1536" t="str">
        <f>_xlfn.XLOOKUP(C1536,tblProducts[product_id],tblProducts[product_name],"Missing")</f>
        <v>CRM Enterprise</v>
      </c>
      <c r="P1536" t="str">
        <f>_xlfn.XLOOKUP(C1536,tblProducts[product_id],tblProducts[category],"Missing")</f>
        <v>CRM</v>
      </c>
      <c r="Q1536" t="str">
        <f>_xlfn.XLOOKUP(D1536,tblSalesReps[rep_id],tblSalesReps[rep_name],"Missing")</f>
        <v>Sales Rep 18</v>
      </c>
      <c r="R1536" t="str">
        <f>_xlfn.XLOOKUP(D1536,tblSalesReps[rep_id],tblSalesReps[region],"Missing")</f>
        <v>East</v>
      </c>
    </row>
    <row r="1537" spans="1:18">
      <c r="A1537" t="s">
        <v>2064</v>
      </c>
      <c r="B1537" t="s">
        <v>77</v>
      </c>
      <c r="C1537" t="s">
        <v>81</v>
      </c>
      <c r="D1537" t="s">
        <v>50</v>
      </c>
      <c r="E1537" s="1">
        <v>45929</v>
      </c>
      <c r="F1537" s="1">
        <v>45993</v>
      </c>
      <c r="G1537" s="1">
        <v>45993</v>
      </c>
      <c r="H1537" t="s">
        <v>17</v>
      </c>
      <c r="I1537">
        <v>3</v>
      </c>
      <c r="J1537">
        <v>15</v>
      </c>
      <c r="K1537">
        <v>765000</v>
      </c>
      <c r="L1537">
        <v>0</v>
      </c>
      <c r="M1537" t="s">
        <v>47</v>
      </c>
      <c r="N1537" t="str">
        <f>_xlfn.XLOOKUP(B1537,tblCustomers[customer_id],tblCustomers[region],"Missing")</f>
        <v>West</v>
      </c>
      <c r="O1537" t="str">
        <f>_xlfn.XLOOKUP(C1537,tblProducts[product_id],tblProducts[product_name],"Missing")</f>
        <v>Analytics Cloud</v>
      </c>
      <c r="P1537" t="str">
        <f>_xlfn.XLOOKUP(C1537,tblProducts[product_id],tblProducts[category],"Missing")</f>
        <v>Analytics</v>
      </c>
      <c r="Q1537" t="str">
        <f>_xlfn.XLOOKUP(D1537,tblSalesReps[rep_id],tblSalesReps[rep_name],"Missing")</f>
        <v>Sales Rep 15</v>
      </c>
      <c r="R1537" t="str">
        <f>_xlfn.XLOOKUP(D1537,tblSalesReps[rep_id],tblSalesReps[region],"Missing")</f>
        <v>West</v>
      </c>
    </row>
    <row r="1538" spans="1:18">
      <c r="A1538" t="s">
        <v>2065</v>
      </c>
      <c r="B1538" t="s">
        <v>255</v>
      </c>
      <c r="C1538" t="s">
        <v>62</v>
      </c>
      <c r="D1538" t="s">
        <v>59</v>
      </c>
      <c r="E1538" s="1">
        <v>45675</v>
      </c>
      <c r="F1538" s="1">
        <v>45693</v>
      </c>
      <c r="G1538" s="1"/>
      <c r="H1538" t="s">
        <v>43</v>
      </c>
      <c r="I1538">
        <v>3</v>
      </c>
      <c r="J1538">
        <v>10</v>
      </c>
      <c r="K1538">
        <v>324000</v>
      </c>
      <c r="L1538">
        <v>80</v>
      </c>
      <c r="M1538" t="s">
        <v>29</v>
      </c>
      <c r="N1538" t="str">
        <f>_xlfn.XLOOKUP(B1538,tblCustomers[customer_id],tblCustomers[region],"Missing")</f>
        <v>East</v>
      </c>
      <c r="O1538" t="str">
        <f>_xlfn.XLOOKUP(C1538,tblProducts[product_id],tblProducts[product_name],"Missing")</f>
        <v>CRM Essentials</v>
      </c>
      <c r="P1538" t="str">
        <f>_xlfn.XLOOKUP(C1538,tblProducts[product_id],tblProducts[category],"Missing")</f>
        <v>CRM</v>
      </c>
      <c r="Q1538" t="str">
        <f>_xlfn.XLOOKUP(D1538,tblSalesReps[rep_id],tblSalesReps[rep_name],"Missing")</f>
        <v>Sales Rep 19</v>
      </c>
      <c r="R1538" t="str">
        <f>_xlfn.XLOOKUP(D1538,tblSalesReps[rep_id],tblSalesReps[region],"Missing")</f>
        <v>East</v>
      </c>
    </row>
    <row r="1539" spans="1:18">
      <c r="A1539" t="s">
        <v>2066</v>
      </c>
      <c r="B1539" t="s">
        <v>2067</v>
      </c>
      <c r="C1539" t="s">
        <v>15</v>
      </c>
      <c r="D1539" t="s">
        <v>40</v>
      </c>
      <c r="E1539" s="1">
        <v>45948</v>
      </c>
      <c r="F1539" s="1">
        <v>46007</v>
      </c>
      <c r="G1539" s="1">
        <v>46007</v>
      </c>
      <c r="H1539" t="s">
        <v>17</v>
      </c>
      <c r="I1539">
        <v>1</v>
      </c>
      <c r="J1539">
        <v>20</v>
      </c>
      <c r="K1539">
        <v>336000</v>
      </c>
      <c r="L1539">
        <v>0</v>
      </c>
      <c r="M1539" t="s">
        <v>82</v>
      </c>
      <c r="N1539" t="str">
        <f>_xlfn.XLOOKUP(B1539,tblCustomers[customer_id],tblCustomers[region],"Missing")</f>
        <v>West</v>
      </c>
      <c r="O1539" t="str">
        <f>_xlfn.XLOOKUP(C1539,tblProducts[product_id],tblProducts[product_name],"Missing")</f>
        <v>CRM Enterprise</v>
      </c>
      <c r="P1539" t="str">
        <f>_xlfn.XLOOKUP(C1539,tblProducts[product_id],tblProducts[category],"Missing")</f>
        <v>CRM</v>
      </c>
      <c r="Q1539" t="str">
        <f>_xlfn.XLOOKUP(D1539,tblSalesReps[rep_id],tblSalesReps[rep_name],"Missing")</f>
        <v>Sales Rep 13</v>
      </c>
      <c r="R1539" t="str">
        <f>_xlfn.XLOOKUP(D1539,tblSalesReps[rep_id],tblSalesReps[region],"Missing")</f>
        <v>West</v>
      </c>
    </row>
    <row r="1540" spans="1:18">
      <c r="A1540" t="s">
        <v>2068</v>
      </c>
      <c r="B1540" t="s">
        <v>1821</v>
      </c>
      <c r="C1540" t="s">
        <v>62</v>
      </c>
      <c r="D1540" t="s">
        <v>53</v>
      </c>
      <c r="E1540" s="1">
        <v>45749</v>
      </c>
      <c r="F1540" s="1">
        <v>45795</v>
      </c>
      <c r="G1540" s="1">
        <v>45795</v>
      </c>
      <c r="H1540" t="s">
        <v>17</v>
      </c>
      <c r="I1540">
        <v>1</v>
      </c>
      <c r="J1540">
        <v>0</v>
      </c>
      <c r="K1540">
        <v>120000</v>
      </c>
      <c r="L1540">
        <v>0</v>
      </c>
      <c r="M1540" t="s">
        <v>23</v>
      </c>
      <c r="N1540" t="str">
        <f>_xlfn.XLOOKUP(B1540,tblCustomers[customer_id],tblCustomers[region],"Missing")</f>
        <v>East</v>
      </c>
      <c r="O1540" t="str">
        <f>_xlfn.XLOOKUP(C1540,tblProducts[product_id],tblProducts[product_name],"Missing")</f>
        <v>CRM Essentials</v>
      </c>
      <c r="P1540" t="str">
        <f>_xlfn.XLOOKUP(C1540,tblProducts[product_id],tblProducts[category],"Missing")</f>
        <v>CRM</v>
      </c>
      <c r="Q1540" t="str">
        <f>_xlfn.XLOOKUP(D1540,tblSalesReps[rep_id],tblSalesReps[rep_name],"Missing")</f>
        <v>Sales Rep 16</v>
      </c>
      <c r="R1540" t="str">
        <f>_xlfn.XLOOKUP(D1540,tblSalesReps[rep_id],tblSalesReps[region],"Missing")</f>
        <v>East</v>
      </c>
    </row>
    <row r="1541" spans="1:18">
      <c r="A1541" t="s">
        <v>2069</v>
      </c>
      <c r="B1541" t="s">
        <v>1511</v>
      </c>
      <c r="C1541" t="s">
        <v>21</v>
      </c>
      <c r="D1541" t="s">
        <v>91</v>
      </c>
      <c r="E1541" s="1">
        <v>45692</v>
      </c>
      <c r="F1541" s="1">
        <v>45766</v>
      </c>
      <c r="G1541" s="1">
        <v>45766</v>
      </c>
      <c r="H1541" t="s">
        <v>17</v>
      </c>
      <c r="I1541">
        <v>2</v>
      </c>
      <c r="J1541">
        <v>20</v>
      </c>
      <c r="K1541">
        <v>384000</v>
      </c>
      <c r="L1541">
        <v>0</v>
      </c>
      <c r="M1541" t="s">
        <v>23</v>
      </c>
      <c r="N1541" t="str">
        <f>_xlfn.XLOOKUP(B1541,tblCustomers[customer_id],tblCustomers[region],"Missing")</f>
        <v>South</v>
      </c>
      <c r="O1541" t="str">
        <f>_xlfn.XLOOKUP(C1541,tblProducts[product_id],tblProducts[product_name],"Missing")</f>
        <v>Workflow Automate</v>
      </c>
      <c r="P1541" t="str">
        <f>_xlfn.XLOOKUP(C1541,tblProducts[product_id],tblProducts[category],"Missing")</f>
        <v>Automation</v>
      </c>
      <c r="Q1541" t="str">
        <f>_xlfn.XLOOKUP(D1541,tblSalesReps[rep_id],tblSalesReps[rep_name],"Missing")</f>
        <v>Sales Rep 03</v>
      </c>
      <c r="R1541" t="str">
        <f>_xlfn.XLOOKUP(D1541,tblSalesReps[rep_id],tblSalesReps[region],"Missing")</f>
        <v>South</v>
      </c>
    </row>
    <row r="1542" spans="1:18">
      <c r="A1542" t="s">
        <v>2070</v>
      </c>
      <c r="B1542" t="s">
        <v>404</v>
      </c>
      <c r="C1542" t="s">
        <v>26</v>
      </c>
      <c r="D1542" t="s">
        <v>70</v>
      </c>
      <c r="E1542" s="1">
        <v>45708</v>
      </c>
      <c r="F1542" s="1">
        <v>45766</v>
      </c>
      <c r="G1542" s="1">
        <v>45766</v>
      </c>
      <c r="H1542" t="s">
        <v>17</v>
      </c>
      <c r="I1542">
        <v>3</v>
      </c>
      <c r="J1542">
        <v>15</v>
      </c>
      <c r="K1542">
        <v>918000</v>
      </c>
      <c r="L1542">
        <v>0</v>
      </c>
      <c r="M1542" t="s">
        <v>18</v>
      </c>
      <c r="N1542" t="str">
        <f>_xlfn.XLOOKUP(B1542,tblCustomers[customer_id],tblCustomers[region],"Missing")</f>
        <v>West</v>
      </c>
      <c r="O1542" t="str">
        <f>_xlfn.XLOOKUP(C1542,tblProducts[product_id],tblProducts[product_name],"Missing")</f>
        <v>Security Suite</v>
      </c>
      <c r="P1542" t="str">
        <f>_xlfn.XLOOKUP(C1542,tblProducts[product_id],tblProducts[category],"Missing")</f>
        <v>Security</v>
      </c>
      <c r="Q1542" t="str">
        <f>_xlfn.XLOOKUP(D1542,tblSalesReps[rep_id],tblSalesReps[rep_name],"Missing")</f>
        <v>Sales Rep 11</v>
      </c>
      <c r="R1542" t="str">
        <f>_xlfn.XLOOKUP(D1542,tblSalesReps[rep_id],tblSalesReps[region],"Missing")</f>
        <v>West</v>
      </c>
    </row>
    <row r="1543" spans="1:18">
      <c r="A1543" t="s">
        <v>2071</v>
      </c>
      <c r="B1543" t="s">
        <v>114</v>
      </c>
      <c r="C1543" t="s">
        <v>26</v>
      </c>
      <c r="D1543" t="s">
        <v>56</v>
      </c>
      <c r="E1543" s="1">
        <v>45754</v>
      </c>
      <c r="F1543" s="1">
        <v>45834</v>
      </c>
      <c r="G1543" s="1">
        <v>45834</v>
      </c>
      <c r="H1543" t="s">
        <v>28</v>
      </c>
      <c r="I1543">
        <v>1</v>
      </c>
      <c r="J1543">
        <v>20</v>
      </c>
      <c r="K1543">
        <v>288000</v>
      </c>
      <c r="L1543">
        <v>100</v>
      </c>
      <c r="M1543" t="s">
        <v>29</v>
      </c>
      <c r="N1543" t="str">
        <f>_xlfn.XLOOKUP(B1543,tblCustomers[customer_id],tblCustomers[region],"Missing")</f>
        <v>East</v>
      </c>
      <c r="O1543" t="str">
        <f>_xlfn.XLOOKUP(C1543,tblProducts[product_id],tblProducts[product_name],"Missing")</f>
        <v>Security Suite</v>
      </c>
      <c r="P1543" t="str">
        <f>_xlfn.XLOOKUP(C1543,tblProducts[product_id],tblProducts[category],"Missing")</f>
        <v>Security</v>
      </c>
      <c r="Q1543" t="str">
        <f>_xlfn.XLOOKUP(D1543,tblSalesReps[rep_id],tblSalesReps[rep_name],"Missing")</f>
        <v>Sales Rep 20</v>
      </c>
      <c r="R1543" t="str">
        <f>_xlfn.XLOOKUP(D1543,tblSalesReps[rep_id],tblSalesReps[region],"Missing")</f>
        <v>East</v>
      </c>
    </row>
    <row r="1544" spans="1:18">
      <c r="A1544" t="s">
        <v>2072</v>
      </c>
      <c r="B1544" t="s">
        <v>816</v>
      </c>
      <c r="C1544" t="s">
        <v>62</v>
      </c>
      <c r="D1544" t="s">
        <v>152</v>
      </c>
      <c r="E1544" s="1">
        <v>45829</v>
      </c>
      <c r="F1544" s="1">
        <v>45912</v>
      </c>
      <c r="G1544" s="1">
        <v>45912</v>
      </c>
      <c r="H1544" t="s">
        <v>17</v>
      </c>
      <c r="I1544">
        <v>1</v>
      </c>
      <c r="J1544">
        <v>5</v>
      </c>
      <c r="K1544">
        <v>114000</v>
      </c>
      <c r="L1544">
        <v>0</v>
      </c>
      <c r="M1544" t="s">
        <v>82</v>
      </c>
      <c r="N1544" t="str">
        <f>_xlfn.XLOOKUP(B1544,tblCustomers[customer_id],tblCustomers[region],"Missing")</f>
        <v>East</v>
      </c>
      <c r="O1544" t="str">
        <f>_xlfn.XLOOKUP(C1544,tblProducts[product_id],tblProducts[product_name],"Missing")</f>
        <v>CRM Essentials</v>
      </c>
      <c r="P1544" t="str">
        <f>_xlfn.XLOOKUP(C1544,tblProducts[product_id],tblProducts[category],"Missing")</f>
        <v>CRM</v>
      </c>
      <c r="Q1544" t="str">
        <f>_xlfn.XLOOKUP(D1544,tblSalesReps[rep_id],tblSalesReps[rep_name],"Missing")</f>
        <v>Sales Rep 18</v>
      </c>
      <c r="R1544" t="str">
        <f>_xlfn.XLOOKUP(D1544,tblSalesReps[rep_id],tblSalesReps[region],"Missing")</f>
        <v>East</v>
      </c>
    </row>
    <row r="1545" spans="1:18">
      <c r="A1545" t="s">
        <v>2073</v>
      </c>
      <c r="B1545" t="s">
        <v>112</v>
      </c>
      <c r="C1545" t="s">
        <v>39</v>
      </c>
      <c r="D1545" t="s">
        <v>22</v>
      </c>
      <c r="E1545" s="1">
        <v>45912</v>
      </c>
      <c r="F1545" s="1">
        <v>45980</v>
      </c>
      <c r="G1545" s="1">
        <v>45980</v>
      </c>
      <c r="H1545" t="s">
        <v>17</v>
      </c>
      <c r="I1545">
        <v>1</v>
      </c>
      <c r="J1545">
        <v>0</v>
      </c>
      <c r="K1545">
        <v>180000</v>
      </c>
      <c r="L1545">
        <v>0</v>
      </c>
      <c r="M1545" t="s">
        <v>18</v>
      </c>
      <c r="N1545" t="str">
        <f>_xlfn.XLOOKUP(B1545,tblCustomers[customer_id],tblCustomers[region],"Missing")</f>
        <v>West</v>
      </c>
      <c r="O1545" t="str">
        <f>_xlfn.XLOOKUP(C1545,tblProducts[product_id],tblProducts[product_name],"Missing")</f>
        <v>Support Desk</v>
      </c>
      <c r="P1545" t="str">
        <f>_xlfn.XLOOKUP(C1545,tblProducts[product_id],tblProducts[category],"Missing")</f>
        <v>Service</v>
      </c>
      <c r="Q1545" t="str">
        <f>_xlfn.XLOOKUP(D1545,tblSalesReps[rep_id],tblSalesReps[rep_name],"Missing")</f>
        <v>Sales Rep 14</v>
      </c>
      <c r="R1545" t="str">
        <f>_xlfn.XLOOKUP(D1545,tblSalesReps[rep_id],tblSalesReps[region],"Missing")</f>
        <v>West</v>
      </c>
    </row>
    <row r="1546" spans="1:18">
      <c r="A1546" t="s">
        <v>2074</v>
      </c>
      <c r="B1546" t="s">
        <v>402</v>
      </c>
      <c r="C1546" t="s">
        <v>21</v>
      </c>
      <c r="D1546" t="s">
        <v>126</v>
      </c>
      <c r="E1546" s="1">
        <v>45779</v>
      </c>
      <c r="F1546" s="1">
        <v>45805</v>
      </c>
      <c r="G1546" s="1">
        <v>45805</v>
      </c>
      <c r="H1546" t="s">
        <v>28</v>
      </c>
      <c r="I1546">
        <v>3</v>
      </c>
      <c r="J1546">
        <v>15</v>
      </c>
      <c r="K1546">
        <v>612000</v>
      </c>
      <c r="L1546">
        <v>100</v>
      </c>
      <c r="M1546" t="s">
        <v>29</v>
      </c>
      <c r="N1546" t="str">
        <f>_xlfn.XLOOKUP(B1546,tblCustomers[customer_id],tblCustomers[region],"Missing")</f>
        <v>South</v>
      </c>
      <c r="O1546" t="str">
        <f>_xlfn.XLOOKUP(C1546,tblProducts[product_id],tblProducts[product_name],"Missing")</f>
        <v>Workflow Automate</v>
      </c>
      <c r="P1546" t="str">
        <f>_xlfn.XLOOKUP(C1546,tblProducts[product_id],tblProducts[category],"Missing")</f>
        <v>Automation</v>
      </c>
      <c r="Q1546" t="str">
        <f>_xlfn.XLOOKUP(D1546,tblSalesReps[rep_id],tblSalesReps[rep_name],"Missing")</f>
        <v>Sales Rep 02</v>
      </c>
      <c r="R1546" t="str">
        <f>_xlfn.XLOOKUP(D1546,tblSalesReps[rep_id],tblSalesReps[region],"Missing")</f>
        <v>South</v>
      </c>
    </row>
    <row r="1547" spans="1:18">
      <c r="A1547" t="s">
        <v>2075</v>
      </c>
      <c r="B1547" t="s">
        <v>589</v>
      </c>
      <c r="C1547" t="s">
        <v>21</v>
      </c>
      <c r="D1547" t="s">
        <v>152</v>
      </c>
      <c r="E1547" s="1">
        <v>45721</v>
      </c>
      <c r="F1547" s="1">
        <v>45755</v>
      </c>
      <c r="G1547" s="1">
        <v>45755</v>
      </c>
      <c r="H1547" t="s">
        <v>28</v>
      </c>
      <c r="I1547">
        <v>3</v>
      </c>
      <c r="J1547">
        <v>15</v>
      </c>
      <c r="K1547">
        <v>612000</v>
      </c>
      <c r="L1547">
        <v>100</v>
      </c>
      <c r="M1547" t="s">
        <v>29</v>
      </c>
      <c r="N1547" t="str">
        <f>_xlfn.XLOOKUP(B1547,tblCustomers[customer_id],tblCustomers[region],"Missing")</f>
        <v>East</v>
      </c>
      <c r="O1547" t="str">
        <f>_xlfn.XLOOKUP(C1547,tblProducts[product_id],tblProducts[product_name],"Missing")</f>
        <v>Workflow Automate</v>
      </c>
      <c r="P1547" t="str">
        <f>_xlfn.XLOOKUP(C1547,tblProducts[product_id],tblProducts[category],"Missing")</f>
        <v>Automation</v>
      </c>
      <c r="Q1547" t="str">
        <f>_xlfn.XLOOKUP(D1547,tblSalesReps[rep_id],tblSalesReps[rep_name],"Missing")</f>
        <v>Sales Rep 18</v>
      </c>
      <c r="R1547" t="str">
        <f>_xlfn.XLOOKUP(D1547,tblSalesReps[rep_id],tblSalesReps[region],"Missing")</f>
        <v>East</v>
      </c>
    </row>
    <row r="1548" spans="1:18">
      <c r="A1548" t="s">
        <v>2076</v>
      </c>
      <c r="B1548" t="s">
        <v>592</v>
      </c>
      <c r="C1548" t="s">
        <v>15</v>
      </c>
      <c r="D1548" t="s">
        <v>56</v>
      </c>
      <c r="E1548" s="1">
        <v>45868</v>
      </c>
      <c r="F1548" s="1">
        <v>45891</v>
      </c>
      <c r="G1548" s="1">
        <v>45891</v>
      </c>
      <c r="H1548" t="s">
        <v>28</v>
      </c>
      <c r="I1548">
        <v>1</v>
      </c>
      <c r="J1548">
        <v>20</v>
      </c>
      <c r="K1548">
        <v>336000</v>
      </c>
      <c r="L1548">
        <v>100</v>
      </c>
      <c r="M1548" t="s">
        <v>29</v>
      </c>
      <c r="N1548" t="str">
        <f>_xlfn.XLOOKUP(B1548,tblCustomers[customer_id],tblCustomers[region],"Missing")</f>
        <v>East</v>
      </c>
      <c r="O1548" t="str">
        <f>_xlfn.XLOOKUP(C1548,tblProducts[product_id],tblProducts[product_name],"Missing")</f>
        <v>CRM Enterprise</v>
      </c>
      <c r="P1548" t="str">
        <f>_xlfn.XLOOKUP(C1548,tblProducts[product_id],tblProducts[category],"Missing")</f>
        <v>CRM</v>
      </c>
      <c r="Q1548" t="str">
        <f>_xlfn.XLOOKUP(D1548,tblSalesReps[rep_id],tblSalesReps[rep_name],"Missing")</f>
        <v>Sales Rep 20</v>
      </c>
      <c r="R1548" t="str">
        <f>_xlfn.XLOOKUP(D1548,tblSalesReps[rep_id],tblSalesReps[region],"Missing")</f>
        <v>East</v>
      </c>
    </row>
    <row r="1549" spans="1:18">
      <c r="A1549" t="s">
        <v>2077</v>
      </c>
      <c r="B1549" t="s">
        <v>412</v>
      </c>
      <c r="C1549" t="s">
        <v>26</v>
      </c>
      <c r="D1549" t="s">
        <v>32</v>
      </c>
      <c r="E1549" s="1">
        <v>46020</v>
      </c>
      <c r="F1549" s="1">
        <v>46088</v>
      </c>
      <c r="G1549" s="1"/>
      <c r="H1549" t="s">
        <v>43</v>
      </c>
      <c r="I1549">
        <v>1</v>
      </c>
      <c r="J1549">
        <v>10</v>
      </c>
      <c r="K1549">
        <v>324000</v>
      </c>
      <c r="L1549">
        <v>60</v>
      </c>
      <c r="M1549" t="s">
        <v>29</v>
      </c>
      <c r="N1549" t="str">
        <f>_xlfn.XLOOKUP(B1549,tblCustomers[customer_id],tblCustomers[region],"Missing")</f>
        <v>South</v>
      </c>
      <c r="O1549" t="str">
        <f>_xlfn.XLOOKUP(C1549,tblProducts[product_id],tblProducts[product_name],"Missing")</f>
        <v>Security Suite</v>
      </c>
      <c r="P1549" t="str">
        <f>_xlfn.XLOOKUP(C1549,tblProducts[product_id],tblProducts[category],"Missing")</f>
        <v>Security</v>
      </c>
      <c r="Q1549" t="str">
        <f>_xlfn.XLOOKUP(D1549,tblSalesReps[rep_id],tblSalesReps[rep_name],"Missing")</f>
        <v>Sales Rep 04</v>
      </c>
      <c r="R1549" t="str">
        <f>_xlfn.XLOOKUP(D1549,tblSalesReps[rep_id],tblSalesReps[region],"Missing")</f>
        <v>South</v>
      </c>
    </row>
    <row r="1550" spans="1:18">
      <c r="A1550" t="s">
        <v>2078</v>
      </c>
      <c r="B1550" t="s">
        <v>561</v>
      </c>
      <c r="C1550" t="s">
        <v>15</v>
      </c>
      <c r="D1550" t="s">
        <v>63</v>
      </c>
      <c r="E1550" s="1">
        <v>45850</v>
      </c>
      <c r="F1550" s="1">
        <v>45871</v>
      </c>
      <c r="G1550" s="1">
        <v>45871</v>
      </c>
      <c r="H1550" t="s">
        <v>17</v>
      </c>
      <c r="I1550">
        <v>1</v>
      </c>
      <c r="J1550">
        <v>15</v>
      </c>
      <c r="K1550">
        <v>357000</v>
      </c>
      <c r="L1550">
        <v>0</v>
      </c>
      <c r="M1550" t="s">
        <v>47</v>
      </c>
      <c r="N1550" t="str">
        <f>_xlfn.XLOOKUP(B1550,tblCustomers[customer_id],tblCustomers[region],"Missing")</f>
        <v>South</v>
      </c>
      <c r="O1550" t="str">
        <f>_xlfn.XLOOKUP(C1550,tblProducts[product_id],tblProducts[product_name],"Missing")</f>
        <v>CRM Enterprise</v>
      </c>
      <c r="P1550" t="str">
        <f>_xlfn.XLOOKUP(C1550,tblProducts[product_id],tblProducts[category],"Missing")</f>
        <v>CRM</v>
      </c>
      <c r="Q1550" t="str">
        <f>_xlfn.XLOOKUP(D1550,tblSalesReps[rep_id],tblSalesReps[rep_name],"Missing")</f>
        <v>Sales Rep 05</v>
      </c>
      <c r="R1550" t="str">
        <f>_xlfn.XLOOKUP(D1550,tblSalesReps[rep_id],tblSalesReps[region],"Missing")</f>
        <v>South</v>
      </c>
    </row>
    <row r="1551" spans="1:18">
      <c r="A1551" t="s">
        <v>2079</v>
      </c>
      <c r="B1551" t="s">
        <v>285</v>
      </c>
      <c r="C1551" t="s">
        <v>39</v>
      </c>
      <c r="D1551" t="s">
        <v>46</v>
      </c>
      <c r="E1551" s="1">
        <v>45986</v>
      </c>
      <c r="F1551" s="1">
        <v>46030</v>
      </c>
      <c r="G1551" s="1"/>
      <c r="H1551" t="s">
        <v>43</v>
      </c>
      <c r="I1551">
        <v>2</v>
      </c>
      <c r="J1551">
        <v>20</v>
      </c>
      <c r="K1551">
        <v>288000</v>
      </c>
      <c r="L1551">
        <v>80</v>
      </c>
      <c r="M1551" t="s">
        <v>29</v>
      </c>
      <c r="N1551" t="str">
        <f>_xlfn.XLOOKUP(B1551,tblCustomers[customer_id],tblCustomers[region],"Missing")</f>
        <v>South</v>
      </c>
      <c r="O1551" t="str">
        <f>_xlfn.XLOOKUP(C1551,tblProducts[product_id],tblProducts[product_name],"Missing")</f>
        <v>Support Desk</v>
      </c>
      <c r="P1551" t="str">
        <f>_xlfn.XLOOKUP(C1551,tblProducts[product_id],tblProducts[category],"Missing")</f>
        <v>Service</v>
      </c>
      <c r="Q1551" t="str">
        <f>_xlfn.XLOOKUP(D1551,tblSalesReps[rep_id],tblSalesReps[rep_name],"Missing")</f>
        <v>Sales Rep 01</v>
      </c>
      <c r="R1551" t="str">
        <f>_xlfn.XLOOKUP(D1551,tblSalesReps[rep_id],tblSalesReps[region],"Missing")</f>
        <v>South</v>
      </c>
    </row>
    <row r="1552" spans="1:18">
      <c r="A1552" t="s">
        <v>2080</v>
      </c>
      <c r="B1552" t="s">
        <v>677</v>
      </c>
      <c r="C1552" t="s">
        <v>81</v>
      </c>
      <c r="D1552" t="s">
        <v>152</v>
      </c>
      <c r="E1552" s="1">
        <v>45905</v>
      </c>
      <c r="F1552" s="1">
        <v>45965</v>
      </c>
      <c r="G1552" s="1">
        <v>45965</v>
      </c>
      <c r="H1552" t="s">
        <v>28</v>
      </c>
      <c r="I1552">
        <v>1</v>
      </c>
      <c r="J1552">
        <v>10</v>
      </c>
      <c r="K1552">
        <v>270000</v>
      </c>
      <c r="L1552">
        <v>100</v>
      </c>
      <c r="M1552" t="s">
        <v>29</v>
      </c>
      <c r="N1552" t="str">
        <f>_xlfn.XLOOKUP(B1552,tblCustomers[customer_id],tblCustomers[region],"Missing")</f>
        <v>East</v>
      </c>
      <c r="O1552" t="str">
        <f>_xlfn.XLOOKUP(C1552,tblProducts[product_id],tblProducts[product_name],"Missing")</f>
        <v>Analytics Cloud</v>
      </c>
      <c r="P1552" t="str">
        <f>_xlfn.XLOOKUP(C1552,tblProducts[product_id],tblProducts[category],"Missing")</f>
        <v>Analytics</v>
      </c>
      <c r="Q1552" t="str">
        <f>_xlfn.XLOOKUP(D1552,tblSalesReps[rep_id],tblSalesReps[rep_name],"Missing")</f>
        <v>Sales Rep 18</v>
      </c>
      <c r="R1552" t="str">
        <f>_xlfn.XLOOKUP(D1552,tblSalesReps[rep_id],tblSalesReps[region],"Missing")</f>
        <v>East</v>
      </c>
    </row>
    <row r="1553" spans="1:18">
      <c r="A1553" t="s">
        <v>2081</v>
      </c>
      <c r="B1553" t="s">
        <v>1716</v>
      </c>
      <c r="C1553" t="s">
        <v>21</v>
      </c>
      <c r="D1553" t="s">
        <v>46</v>
      </c>
      <c r="E1553" s="1">
        <v>45709</v>
      </c>
      <c r="F1553" s="1">
        <v>45734</v>
      </c>
      <c r="G1553" s="1">
        <v>45734</v>
      </c>
      <c r="H1553" t="s">
        <v>17</v>
      </c>
      <c r="I1553">
        <v>2</v>
      </c>
      <c r="J1553">
        <v>5</v>
      </c>
      <c r="K1553">
        <v>456000</v>
      </c>
      <c r="L1553">
        <v>0</v>
      </c>
      <c r="M1553" t="s">
        <v>23</v>
      </c>
      <c r="N1553" t="str">
        <f>_xlfn.XLOOKUP(B1553,tblCustomers[customer_id],tblCustomers[region],"Missing")</f>
        <v>South</v>
      </c>
      <c r="O1553" t="str">
        <f>_xlfn.XLOOKUP(C1553,tblProducts[product_id],tblProducts[product_name],"Missing")</f>
        <v>Workflow Automate</v>
      </c>
      <c r="P1553" t="str">
        <f>_xlfn.XLOOKUP(C1553,tblProducts[product_id],tblProducts[category],"Missing")</f>
        <v>Automation</v>
      </c>
      <c r="Q1553" t="str">
        <f>_xlfn.XLOOKUP(D1553,tblSalesReps[rep_id],tblSalesReps[rep_name],"Missing")</f>
        <v>Sales Rep 01</v>
      </c>
      <c r="R1553" t="str">
        <f>_xlfn.XLOOKUP(D1553,tblSalesReps[rep_id],tblSalesReps[region],"Missing")</f>
        <v>South</v>
      </c>
    </row>
    <row r="1554" spans="1:18">
      <c r="A1554" t="s">
        <v>2082</v>
      </c>
      <c r="B1554" t="s">
        <v>396</v>
      </c>
      <c r="C1554" t="s">
        <v>15</v>
      </c>
      <c r="D1554" t="s">
        <v>63</v>
      </c>
      <c r="E1554" s="1">
        <v>45772</v>
      </c>
      <c r="F1554" s="1">
        <v>45821</v>
      </c>
      <c r="G1554" s="1">
        <v>45821</v>
      </c>
      <c r="H1554" t="s">
        <v>28</v>
      </c>
      <c r="I1554">
        <v>3</v>
      </c>
      <c r="J1554">
        <v>20</v>
      </c>
      <c r="K1554">
        <v>1008000</v>
      </c>
      <c r="L1554">
        <v>100</v>
      </c>
      <c r="M1554" t="s">
        <v>29</v>
      </c>
      <c r="N1554" t="str">
        <f>_xlfn.XLOOKUP(B1554,tblCustomers[customer_id],tblCustomers[region],"Missing")</f>
        <v>South</v>
      </c>
      <c r="O1554" t="str">
        <f>_xlfn.XLOOKUP(C1554,tblProducts[product_id],tblProducts[product_name],"Missing")</f>
        <v>CRM Enterprise</v>
      </c>
      <c r="P1554" t="str">
        <f>_xlfn.XLOOKUP(C1554,tblProducts[product_id],tblProducts[category],"Missing")</f>
        <v>CRM</v>
      </c>
      <c r="Q1554" t="str">
        <f>_xlfn.XLOOKUP(D1554,tblSalesReps[rep_id],tblSalesReps[rep_name],"Missing")</f>
        <v>Sales Rep 05</v>
      </c>
      <c r="R1554" t="str">
        <f>_xlfn.XLOOKUP(D1554,tblSalesReps[rep_id],tblSalesReps[region],"Missing")</f>
        <v>South</v>
      </c>
    </row>
    <row r="1555" spans="1:18">
      <c r="A1555" t="s">
        <v>2083</v>
      </c>
      <c r="B1555" t="s">
        <v>499</v>
      </c>
      <c r="C1555" t="s">
        <v>15</v>
      </c>
      <c r="D1555" t="s">
        <v>50</v>
      </c>
      <c r="E1555" s="1">
        <v>45668</v>
      </c>
      <c r="F1555" s="1">
        <v>45696</v>
      </c>
      <c r="G1555" s="1"/>
      <c r="H1555" t="s">
        <v>43</v>
      </c>
      <c r="I1555">
        <v>2</v>
      </c>
      <c r="J1555">
        <v>5</v>
      </c>
      <c r="K1555">
        <v>798000</v>
      </c>
      <c r="L1555">
        <v>60</v>
      </c>
      <c r="M1555" t="s">
        <v>29</v>
      </c>
      <c r="N1555" t="str">
        <f>_xlfn.XLOOKUP(B1555,tblCustomers[customer_id],tblCustomers[region],"Missing")</f>
        <v>West</v>
      </c>
      <c r="O1555" t="str">
        <f>_xlfn.XLOOKUP(C1555,tblProducts[product_id],tblProducts[product_name],"Missing")</f>
        <v>CRM Enterprise</v>
      </c>
      <c r="P1555" t="str">
        <f>_xlfn.XLOOKUP(C1555,tblProducts[product_id],tblProducts[category],"Missing")</f>
        <v>CRM</v>
      </c>
      <c r="Q1555" t="str">
        <f>_xlfn.XLOOKUP(D1555,tblSalesReps[rep_id],tblSalesReps[rep_name],"Missing")</f>
        <v>Sales Rep 15</v>
      </c>
      <c r="R1555" t="str">
        <f>_xlfn.XLOOKUP(D1555,tblSalesReps[rep_id],tblSalesReps[region],"Missing")</f>
        <v>West</v>
      </c>
    </row>
    <row r="1556" spans="1:18">
      <c r="A1556" t="s">
        <v>2084</v>
      </c>
      <c r="B1556" t="s">
        <v>623</v>
      </c>
      <c r="C1556" t="s">
        <v>26</v>
      </c>
      <c r="D1556" t="s">
        <v>53</v>
      </c>
      <c r="E1556" s="1">
        <v>45879</v>
      </c>
      <c r="F1556" s="1">
        <v>45944</v>
      </c>
      <c r="G1556" s="1">
        <v>45944</v>
      </c>
      <c r="H1556" t="s">
        <v>28</v>
      </c>
      <c r="I1556">
        <v>2</v>
      </c>
      <c r="J1556">
        <v>0</v>
      </c>
      <c r="K1556">
        <v>720000</v>
      </c>
      <c r="L1556">
        <v>100</v>
      </c>
      <c r="M1556" t="s">
        <v>29</v>
      </c>
      <c r="N1556" t="str">
        <f>_xlfn.XLOOKUP(B1556,tblCustomers[customer_id],tblCustomers[region],"Missing")</f>
        <v>East</v>
      </c>
      <c r="O1556" t="str">
        <f>_xlfn.XLOOKUP(C1556,tblProducts[product_id],tblProducts[product_name],"Missing")</f>
        <v>Security Suite</v>
      </c>
      <c r="P1556" t="str">
        <f>_xlfn.XLOOKUP(C1556,tblProducts[product_id],tblProducts[category],"Missing")</f>
        <v>Security</v>
      </c>
      <c r="Q1556" t="str">
        <f>_xlfn.XLOOKUP(D1556,tblSalesReps[rep_id],tblSalesReps[rep_name],"Missing")</f>
        <v>Sales Rep 16</v>
      </c>
      <c r="R1556" t="str">
        <f>_xlfn.XLOOKUP(D1556,tblSalesReps[rep_id],tblSalesReps[region],"Missing")</f>
        <v>East</v>
      </c>
    </row>
    <row r="1557" spans="1:18">
      <c r="A1557" t="s">
        <v>2085</v>
      </c>
      <c r="B1557" t="s">
        <v>1076</v>
      </c>
      <c r="C1557" t="s">
        <v>15</v>
      </c>
      <c r="D1557" t="s">
        <v>27</v>
      </c>
      <c r="E1557" s="1">
        <v>45863</v>
      </c>
      <c r="F1557" s="1">
        <v>45946</v>
      </c>
      <c r="G1557" s="1">
        <v>45946</v>
      </c>
      <c r="H1557" t="s">
        <v>17</v>
      </c>
      <c r="I1557">
        <v>1</v>
      </c>
      <c r="J1557">
        <v>0</v>
      </c>
      <c r="K1557">
        <v>420000</v>
      </c>
      <c r="L1557">
        <v>0</v>
      </c>
      <c r="M1557" t="s">
        <v>82</v>
      </c>
      <c r="N1557" t="str">
        <f>_xlfn.XLOOKUP(B1557,tblCustomers[customer_id],tblCustomers[region],"Missing")</f>
        <v>North</v>
      </c>
      <c r="O1557" t="str">
        <f>_xlfn.XLOOKUP(C1557,tblProducts[product_id],tblProducts[product_name],"Missing")</f>
        <v>CRM Enterprise</v>
      </c>
      <c r="P1557" t="str">
        <f>_xlfn.XLOOKUP(C1557,tblProducts[product_id],tblProducts[category],"Missing")</f>
        <v>CRM</v>
      </c>
      <c r="Q1557" t="str">
        <f>_xlfn.XLOOKUP(D1557,tblSalesReps[rep_id],tblSalesReps[rep_name],"Missing")</f>
        <v>Sales Rep 06</v>
      </c>
      <c r="R1557" t="str">
        <f>_xlfn.XLOOKUP(D1557,tblSalesReps[rep_id],tblSalesReps[region],"Missing")</f>
        <v>North</v>
      </c>
    </row>
    <row r="1558" spans="1:18">
      <c r="A1558" t="s">
        <v>2086</v>
      </c>
      <c r="B1558" t="s">
        <v>174</v>
      </c>
      <c r="C1558" t="s">
        <v>15</v>
      </c>
      <c r="D1558" t="s">
        <v>50</v>
      </c>
      <c r="E1558" s="1">
        <v>45751</v>
      </c>
      <c r="F1558" s="1">
        <v>45802</v>
      </c>
      <c r="G1558" s="1"/>
      <c r="H1558" t="s">
        <v>43</v>
      </c>
      <c r="I1558">
        <v>1</v>
      </c>
      <c r="J1558">
        <v>20</v>
      </c>
      <c r="K1558">
        <v>336000</v>
      </c>
      <c r="L1558">
        <v>80</v>
      </c>
      <c r="M1558" t="s">
        <v>29</v>
      </c>
      <c r="N1558" t="str">
        <f>_xlfn.XLOOKUP(B1558,tblCustomers[customer_id],tblCustomers[region],"Missing")</f>
        <v>West</v>
      </c>
      <c r="O1558" t="str">
        <f>_xlfn.XLOOKUP(C1558,tblProducts[product_id],tblProducts[product_name],"Missing")</f>
        <v>CRM Enterprise</v>
      </c>
      <c r="P1558" t="str">
        <f>_xlfn.XLOOKUP(C1558,tblProducts[product_id],tblProducts[category],"Missing")</f>
        <v>CRM</v>
      </c>
      <c r="Q1558" t="str">
        <f>_xlfn.XLOOKUP(D1558,tblSalesReps[rep_id],tblSalesReps[rep_name],"Missing")</f>
        <v>Sales Rep 15</v>
      </c>
      <c r="R1558" t="str">
        <f>_xlfn.XLOOKUP(D1558,tblSalesReps[rep_id],tblSalesReps[region],"Missing")</f>
        <v>West</v>
      </c>
    </row>
    <row r="1559" spans="1:18">
      <c r="A1559" t="s">
        <v>2087</v>
      </c>
      <c r="B1559" t="s">
        <v>67</v>
      </c>
      <c r="C1559" t="s">
        <v>81</v>
      </c>
      <c r="D1559" t="s">
        <v>126</v>
      </c>
      <c r="E1559" s="1">
        <v>45799</v>
      </c>
      <c r="F1559" s="1">
        <v>45832</v>
      </c>
      <c r="G1559" s="1">
        <v>45832</v>
      </c>
      <c r="H1559" t="s">
        <v>28</v>
      </c>
      <c r="I1559">
        <v>1</v>
      </c>
      <c r="J1559">
        <v>5</v>
      </c>
      <c r="K1559">
        <v>285000</v>
      </c>
      <c r="L1559">
        <v>100</v>
      </c>
      <c r="M1559" t="s">
        <v>29</v>
      </c>
      <c r="N1559" t="str">
        <f>_xlfn.XLOOKUP(B1559,tblCustomers[customer_id],tblCustomers[region],"Missing")</f>
        <v>South</v>
      </c>
      <c r="O1559" t="str">
        <f>_xlfn.XLOOKUP(C1559,tblProducts[product_id],tblProducts[product_name],"Missing")</f>
        <v>Analytics Cloud</v>
      </c>
      <c r="P1559" t="str">
        <f>_xlfn.XLOOKUP(C1559,tblProducts[product_id],tblProducts[category],"Missing")</f>
        <v>Analytics</v>
      </c>
      <c r="Q1559" t="str">
        <f>_xlfn.XLOOKUP(D1559,tblSalesReps[rep_id],tblSalesReps[rep_name],"Missing")</f>
        <v>Sales Rep 02</v>
      </c>
      <c r="R1559" t="str">
        <f>_xlfn.XLOOKUP(D1559,tblSalesReps[rep_id],tblSalesReps[region],"Missing")</f>
        <v>South</v>
      </c>
    </row>
    <row r="1560" spans="1:18">
      <c r="A1560" t="s">
        <v>2088</v>
      </c>
      <c r="B1560" t="s">
        <v>2025</v>
      </c>
      <c r="C1560" t="s">
        <v>15</v>
      </c>
      <c r="D1560" t="s">
        <v>91</v>
      </c>
      <c r="E1560" s="1">
        <v>45680</v>
      </c>
      <c r="F1560" s="1">
        <v>45696</v>
      </c>
      <c r="G1560" s="1">
        <v>45696</v>
      </c>
      <c r="H1560" t="s">
        <v>28</v>
      </c>
      <c r="I1560">
        <v>2</v>
      </c>
      <c r="J1560">
        <v>0</v>
      </c>
      <c r="K1560">
        <v>840000</v>
      </c>
      <c r="L1560">
        <v>100</v>
      </c>
      <c r="M1560" t="s">
        <v>29</v>
      </c>
      <c r="N1560" t="str">
        <f>_xlfn.XLOOKUP(B1560,tblCustomers[customer_id],tblCustomers[region],"Missing")</f>
        <v>South</v>
      </c>
      <c r="O1560" t="str">
        <f>_xlfn.XLOOKUP(C1560,tblProducts[product_id],tblProducts[product_name],"Missing")</f>
        <v>CRM Enterprise</v>
      </c>
      <c r="P1560" t="str">
        <f>_xlfn.XLOOKUP(C1560,tblProducts[product_id],tblProducts[category],"Missing")</f>
        <v>CRM</v>
      </c>
      <c r="Q1560" t="str">
        <f>_xlfn.XLOOKUP(D1560,tblSalesReps[rep_id],tblSalesReps[rep_name],"Missing")</f>
        <v>Sales Rep 03</v>
      </c>
      <c r="R1560" t="str">
        <f>_xlfn.XLOOKUP(D1560,tblSalesReps[rep_id],tblSalesReps[region],"Missing")</f>
        <v>South</v>
      </c>
    </row>
    <row r="1561" spans="1:18">
      <c r="A1561" t="s">
        <v>2089</v>
      </c>
      <c r="B1561" t="s">
        <v>439</v>
      </c>
      <c r="C1561" t="s">
        <v>39</v>
      </c>
      <c r="D1561" t="s">
        <v>22</v>
      </c>
      <c r="E1561" s="1">
        <v>45685</v>
      </c>
      <c r="F1561" s="1">
        <v>45726</v>
      </c>
      <c r="G1561" s="1"/>
      <c r="H1561" t="s">
        <v>43</v>
      </c>
      <c r="I1561">
        <v>1</v>
      </c>
      <c r="J1561">
        <v>10</v>
      </c>
      <c r="K1561">
        <v>162000</v>
      </c>
      <c r="L1561">
        <v>40</v>
      </c>
      <c r="M1561" t="s">
        <v>29</v>
      </c>
      <c r="N1561" t="str">
        <f>_xlfn.XLOOKUP(B1561,tblCustomers[customer_id],tblCustomers[region],"Missing")</f>
        <v>West</v>
      </c>
      <c r="O1561" t="str">
        <f>_xlfn.XLOOKUP(C1561,tblProducts[product_id],tblProducts[product_name],"Missing")</f>
        <v>Support Desk</v>
      </c>
      <c r="P1561" t="str">
        <f>_xlfn.XLOOKUP(C1561,tblProducts[product_id],tblProducts[category],"Missing")</f>
        <v>Service</v>
      </c>
      <c r="Q1561" t="str">
        <f>_xlfn.XLOOKUP(D1561,tblSalesReps[rep_id],tblSalesReps[rep_name],"Missing")</f>
        <v>Sales Rep 14</v>
      </c>
      <c r="R1561" t="str">
        <f>_xlfn.XLOOKUP(D1561,tblSalesReps[rep_id],tblSalesReps[region],"Missing")</f>
        <v>West</v>
      </c>
    </row>
    <row r="1562" spans="1:18">
      <c r="A1562" t="s">
        <v>2090</v>
      </c>
      <c r="B1562" t="s">
        <v>206</v>
      </c>
      <c r="C1562" t="s">
        <v>21</v>
      </c>
      <c r="D1562" t="s">
        <v>16</v>
      </c>
      <c r="E1562" s="1">
        <v>45702</v>
      </c>
      <c r="F1562" s="1">
        <v>45738</v>
      </c>
      <c r="G1562" s="1">
        <v>45738</v>
      </c>
      <c r="H1562" t="s">
        <v>28</v>
      </c>
      <c r="I1562">
        <v>3</v>
      </c>
      <c r="J1562">
        <v>0</v>
      </c>
      <c r="K1562">
        <v>720000</v>
      </c>
      <c r="L1562">
        <v>100</v>
      </c>
      <c r="M1562" t="s">
        <v>29</v>
      </c>
      <c r="N1562" t="str">
        <f>_xlfn.XLOOKUP(B1562,tblCustomers[customer_id],tblCustomers[region],"Missing")</f>
        <v>North</v>
      </c>
      <c r="O1562" t="str">
        <f>_xlfn.XLOOKUP(C1562,tblProducts[product_id],tblProducts[product_name],"Missing")</f>
        <v>Workflow Automate</v>
      </c>
      <c r="P1562" t="str">
        <f>_xlfn.XLOOKUP(C1562,tblProducts[product_id],tblProducts[category],"Missing")</f>
        <v>Automation</v>
      </c>
      <c r="Q1562" t="str">
        <f>_xlfn.XLOOKUP(D1562,tblSalesReps[rep_id],tblSalesReps[rep_name],"Missing")</f>
        <v>Sales Rep 08</v>
      </c>
      <c r="R1562" t="str">
        <f>_xlfn.XLOOKUP(D1562,tblSalesReps[rep_id],tblSalesReps[region],"Missing")</f>
        <v>North</v>
      </c>
    </row>
    <row r="1563" spans="1:18">
      <c r="A1563" t="s">
        <v>2091</v>
      </c>
      <c r="B1563" t="s">
        <v>826</v>
      </c>
      <c r="C1563" t="s">
        <v>26</v>
      </c>
      <c r="D1563" t="s">
        <v>78</v>
      </c>
      <c r="E1563" s="1">
        <v>46010</v>
      </c>
      <c r="F1563" s="1">
        <v>46049</v>
      </c>
      <c r="G1563" s="1"/>
      <c r="H1563" t="s">
        <v>43</v>
      </c>
      <c r="I1563">
        <v>1</v>
      </c>
      <c r="J1563">
        <v>20</v>
      </c>
      <c r="K1563">
        <v>288000</v>
      </c>
      <c r="L1563">
        <v>80</v>
      </c>
      <c r="M1563" t="s">
        <v>29</v>
      </c>
      <c r="N1563" t="str">
        <f>_xlfn.XLOOKUP(B1563,tblCustomers[customer_id],tblCustomers[region],"Missing")</f>
        <v>West</v>
      </c>
      <c r="O1563" t="str">
        <f>_xlfn.XLOOKUP(C1563,tblProducts[product_id],tblProducts[product_name],"Missing")</f>
        <v>Security Suite</v>
      </c>
      <c r="P1563" t="str">
        <f>_xlfn.XLOOKUP(C1563,tblProducts[product_id],tblProducts[category],"Missing")</f>
        <v>Security</v>
      </c>
      <c r="Q1563" t="str">
        <f>_xlfn.XLOOKUP(D1563,tblSalesReps[rep_id],tblSalesReps[rep_name],"Missing")</f>
        <v>Sales Rep 12</v>
      </c>
      <c r="R1563" t="str">
        <f>_xlfn.XLOOKUP(D1563,tblSalesReps[rep_id],tblSalesReps[region],"Missing")</f>
        <v>West</v>
      </c>
    </row>
    <row r="1564" spans="1:18">
      <c r="A1564" t="s">
        <v>2092</v>
      </c>
      <c r="B1564" t="s">
        <v>587</v>
      </c>
      <c r="C1564" t="s">
        <v>81</v>
      </c>
      <c r="D1564" t="s">
        <v>32</v>
      </c>
      <c r="E1564" s="1">
        <v>45776</v>
      </c>
      <c r="F1564" s="1">
        <v>45848</v>
      </c>
      <c r="G1564" s="1">
        <v>45848</v>
      </c>
      <c r="H1564" t="s">
        <v>28</v>
      </c>
      <c r="I1564">
        <v>1</v>
      </c>
      <c r="J1564">
        <v>10</v>
      </c>
      <c r="K1564">
        <v>270000</v>
      </c>
      <c r="L1564">
        <v>100</v>
      </c>
      <c r="M1564" t="s">
        <v>29</v>
      </c>
      <c r="N1564" t="str">
        <f>_xlfn.XLOOKUP(B1564,tblCustomers[customer_id],tblCustomers[region],"Missing")</f>
        <v>South</v>
      </c>
      <c r="O1564" t="str">
        <f>_xlfn.XLOOKUP(C1564,tblProducts[product_id],tblProducts[product_name],"Missing")</f>
        <v>Analytics Cloud</v>
      </c>
      <c r="P1564" t="str">
        <f>_xlfn.XLOOKUP(C1564,tblProducts[product_id],tblProducts[category],"Missing")</f>
        <v>Analytics</v>
      </c>
      <c r="Q1564" t="str">
        <f>_xlfn.XLOOKUP(D1564,tblSalesReps[rep_id],tblSalesReps[rep_name],"Missing")</f>
        <v>Sales Rep 04</v>
      </c>
      <c r="R1564" t="str">
        <f>_xlfn.XLOOKUP(D1564,tblSalesReps[rep_id],tblSalesReps[region],"Missing")</f>
        <v>South</v>
      </c>
    </row>
    <row r="1565" spans="1:18">
      <c r="A1565" t="s">
        <v>2093</v>
      </c>
      <c r="B1565" t="s">
        <v>2094</v>
      </c>
      <c r="C1565" t="s">
        <v>15</v>
      </c>
      <c r="D1565" t="s">
        <v>40</v>
      </c>
      <c r="E1565" s="1">
        <v>45725</v>
      </c>
      <c r="F1565" s="1">
        <v>45732</v>
      </c>
      <c r="G1565" s="1">
        <v>45732</v>
      </c>
      <c r="H1565" t="s">
        <v>28</v>
      </c>
      <c r="I1565">
        <v>2</v>
      </c>
      <c r="J1565">
        <v>15</v>
      </c>
      <c r="K1565">
        <v>714000</v>
      </c>
      <c r="L1565">
        <v>100</v>
      </c>
      <c r="M1565" t="s">
        <v>29</v>
      </c>
      <c r="N1565" t="str">
        <f>_xlfn.XLOOKUP(B1565,tblCustomers[customer_id],tblCustomers[region],"Missing")</f>
        <v>West</v>
      </c>
      <c r="O1565" t="str">
        <f>_xlfn.XLOOKUP(C1565,tblProducts[product_id],tblProducts[product_name],"Missing")</f>
        <v>CRM Enterprise</v>
      </c>
      <c r="P1565" t="str">
        <f>_xlfn.XLOOKUP(C1565,tblProducts[product_id],tblProducts[category],"Missing")</f>
        <v>CRM</v>
      </c>
      <c r="Q1565" t="str">
        <f>_xlfn.XLOOKUP(D1565,tblSalesReps[rep_id],tblSalesReps[rep_name],"Missing")</f>
        <v>Sales Rep 13</v>
      </c>
      <c r="R1565" t="str">
        <f>_xlfn.XLOOKUP(D1565,tblSalesReps[rep_id],tblSalesReps[region],"Missing")</f>
        <v>West</v>
      </c>
    </row>
    <row r="1566" spans="1:18">
      <c r="A1566" t="s">
        <v>2095</v>
      </c>
      <c r="B1566" t="s">
        <v>1817</v>
      </c>
      <c r="C1566" t="s">
        <v>62</v>
      </c>
      <c r="D1566" t="s">
        <v>40</v>
      </c>
      <c r="E1566" s="1">
        <v>45755</v>
      </c>
      <c r="F1566" s="1">
        <v>45816</v>
      </c>
      <c r="G1566" s="1">
        <v>45816</v>
      </c>
      <c r="H1566" t="s">
        <v>17</v>
      </c>
      <c r="I1566">
        <v>1</v>
      </c>
      <c r="J1566">
        <v>20</v>
      </c>
      <c r="K1566">
        <v>96000</v>
      </c>
      <c r="L1566">
        <v>0</v>
      </c>
      <c r="M1566" t="s">
        <v>33</v>
      </c>
      <c r="N1566" t="str">
        <f>_xlfn.XLOOKUP(B1566,tblCustomers[customer_id],tblCustomers[region],"Missing")</f>
        <v>West</v>
      </c>
      <c r="O1566" t="str">
        <f>_xlfn.XLOOKUP(C1566,tblProducts[product_id],tblProducts[product_name],"Missing")</f>
        <v>CRM Essentials</v>
      </c>
      <c r="P1566" t="str">
        <f>_xlfn.XLOOKUP(C1566,tblProducts[product_id],tblProducts[category],"Missing")</f>
        <v>CRM</v>
      </c>
      <c r="Q1566" t="str">
        <f>_xlfn.XLOOKUP(D1566,tblSalesReps[rep_id],tblSalesReps[rep_name],"Missing")</f>
        <v>Sales Rep 13</v>
      </c>
      <c r="R1566" t="str">
        <f>_xlfn.XLOOKUP(D1566,tblSalesReps[rep_id],tblSalesReps[region],"Missing")</f>
        <v>West</v>
      </c>
    </row>
    <row r="1567" spans="1:18">
      <c r="A1567" t="s">
        <v>2096</v>
      </c>
      <c r="B1567" t="s">
        <v>243</v>
      </c>
      <c r="C1567" t="s">
        <v>62</v>
      </c>
      <c r="D1567" t="s">
        <v>27</v>
      </c>
      <c r="E1567" s="1">
        <v>45768</v>
      </c>
      <c r="F1567" s="1">
        <v>45837</v>
      </c>
      <c r="G1567" s="1">
        <v>45837</v>
      </c>
      <c r="H1567" t="s">
        <v>17</v>
      </c>
      <c r="I1567">
        <v>3</v>
      </c>
      <c r="J1567">
        <v>20</v>
      </c>
      <c r="K1567">
        <v>288000</v>
      </c>
      <c r="L1567">
        <v>0</v>
      </c>
      <c r="M1567" t="s">
        <v>33</v>
      </c>
      <c r="N1567" t="str">
        <f>_xlfn.XLOOKUP(B1567,tblCustomers[customer_id],tblCustomers[region],"Missing")</f>
        <v>North</v>
      </c>
      <c r="O1567" t="str">
        <f>_xlfn.XLOOKUP(C1567,tblProducts[product_id],tblProducts[product_name],"Missing")</f>
        <v>CRM Essentials</v>
      </c>
      <c r="P1567" t="str">
        <f>_xlfn.XLOOKUP(C1567,tblProducts[product_id],tblProducts[category],"Missing")</f>
        <v>CRM</v>
      </c>
      <c r="Q1567" t="str">
        <f>_xlfn.XLOOKUP(D1567,tblSalesReps[rep_id],tblSalesReps[rep_name],"Missing")</f>
        <v>Sales Rep 06</v>
      </c>
      <c r="R1567" t="str">
        <f>_xlfn.XLOOKUP(D1567,tblSalesReps[rep_id],tblSalesReps[region],"Missing")</f>
        <v>North</v>
      </c>
    </row>
    <row r="1568" spans="1:18">
      <c r="A1568" t="s">
        <v>2097</v>
      </c>
      <c r="B1568" t="s">
        <v>362</v>
      </c>
      <c r="C1568" t="s">
        <v>39</v>
      </c>
      <c r="D1568" t="s">
        <v>36</v>
      </c>
      <c r="E1568" s="1">
        <v>46020</v>
      </c>
      <c r="F1568" s="1">
        <v>46072</v>
      </c>
      <c r="G1568" s="1"/>
      <c r="H1568" t="s">
        <v>43</v>
      </c>
      <c r="I1568">
        <v>1</v>
      </c>
      <c r="J1568">
        <v>20</v>
      </c>
      <c r="K1568">
        <v>144000</v>
      </c>
      <c r="L1568">
        <v>60</v>
      </c>
      <c r="M1568" t="s">
        <v>29</v>
      </c>
      <c r="N1568" t="str">
        <f>_xlfn.XLOOKUP(B1568,tblCustomers[customer_id],tblCustomers[region],"Missing")</f>
        <v>North</v>
      </c>
      <c r="O1568" t="str">
        <f>_xlfn.XLOOKUP(C1568,tblProducts[product_id],tblProducts[product_name],"Missing")</f>
        <v>Support Desk</v>
      </c>
      <c r="P1568" t="str">
        <f>_xlfn.XLOOKUP(C1568,tblProducts[product_id],tblProducts[category],"Missing")</f>
        <v>Service</v>
      </c>
      <c r="Q1568" t="str">
        <f>_xlfn.XLOOKUP(D1568,tblSalesReps[rep_id],tblSalesReps[rep_name],"Missing")</f>
        <v>Sales Rep 09</v>
      </c>
      <c r="R1568" t="str">
        <f>_xlfn.XLOOKUP(D1568,tblSalesReps[rep_id],tblSalesReps[region],"Missing")</f>
        <v>North</v>
      </c>
    </row>
    <row r="1569" spans="1:18">
      <c r="A1569" t="s">
        <v>2098</v>
      </c>
      <c r="B1569" t="s">
        <v>227</v>
      </c>
      <c r="C1569" t="s">
        <v>39</v>
      </c>
      <c r="D1569" t="s">
        <v>53</v>
      </c>
      <c r="E1569" s="1">
        <v>45664</v>
      </c>
      <c r="F1569" s="1">
        <v>45690</v>
      </c>
      <c r="G1569" s="1">
        <v>45690</v>
      </c>
      <c r="H1569" t="s">
        <v>17</v>
      </c>
      <c r="I1569">
        <v>2</v>
      </c>
      <c r="J1569">
        <v>5</v>
      </c>
      <c r="K1569">
        <v>342000</v>
      </c>
      <c r="L1569">
        <v>0</v>
      </c>
      <c r="M1569" t="s">
        <v>33</v>
      </c>
      <c r="N1569" t="str">
        <f>_xlfn.XLOOKUP(B1569,tblCustomers[customer_id],tblCustomers[region],"Missing")</f>
        <v>East</v>
      </c>
      <c r="O1569" t="str">
        <f>_xlfn.XLOOKUP(C1569,tblProducts[product_id],tblProducts[product_name],"Missing")</f>
        <v>Support Desk</v>
      </c>
      <c r="P1569" t="str">
        <f>_xlfn.XLOOKUP(C1569,tblProducts[product_id],tblProducts[category],"Missing")</f>
        <v>Service</v>
      </c>
      <c r="Q1569" t="str">
        <f>_xlfn.XLOOKUP(D1569,tblSalesReps[rep_id],tblSalesReps[rep_name],"Missing")</f>
        <v>Sales Rep 16</v>
      </c>
      <c r="R1569" t="str">
        <f>_xlfn.XLOOKUP(D1569,tblSalesReps[rep_id],tblSalesReps[region],"Missing")</f>
        <v>East</v>
      </c>
    </row>
    <row r="1570" spans="1:18">
      <c r="A1570" t="s">
        <v>2099</v>
      </c>
      <c r="B1570" t="s">
        <v>116</v>
      </c>
      <c r="C1570" t="s">
        <v>21</v>
      </c>
      <c r="D1570" t="s">
        <v>32</v>
      </c>
      <c r="E1570" s="1">
        <v>45802</v>
      </c>
      <c r="F1570" s="1">
        <v>45875</v>
      </c>
      <c r="G1570" s="1">
        <v>45875</v>
      </c>
      <c r="H1570" t="s">
        <v>28</v>
      </c>
      <c r="I1570">
        <v>1</v>
      </c>
      <c r="J1570">
        <v>0</v>
      </c>
      <c r="K1570">
        <v>240000</v>
      </c>
      <c r="L1570">
        <v>100</v>
      </c>
      <c r="M1570" t="s">
        <v>29</v>
      </c>
      <c r="N1570" t="str">
        <f>_xlfn.XLOOKUP(B1570,tblCustomers[customer_id],tblCustomers[region],"Missing")</f>
        <v>South</v>
      </c>
      <c r="O1570" t="str">
        <f>_xlfn.XLOOKUP(C1570,tblProducts[product_id],tblProducts[product_name],"Missing")</f>
        <v>Workflow Automate</v>
      </c>
      <c r="P1570" t="str">
        <f>_xlfn.XLOOKUP(C1570,tblProducts[product_id],tblProducts[category],"Missing")</f>
        <v>Automation</v>
      </c>
      <c r="Q1570" t="str">
        <f>_xlfn.XLOOKUP(D1570,tblSalesReps[rep_id],tblSalesReps[rep_name],"Missing")</f>
        <v>Sales Rep 04</v>
      </c>
      <c r="R1570" t="str">
        <f>_xlfn.XLOOKUP(D1570,tblSalesReps[rep_id],tblSalesReps[region],"Missing")</f>
        <v>South</v>
      </c>
    </row>
    <row r="1571" spans="1:18">
      <c r="A1571" t="s">
        <v>2100</v>
      </c>
      <c r="B1571" t="s">
        <v>526</v>
      </c>
      <c r="C1571" t="s">
        <v>39</v>
      </c>
      <c r="D1571" t="s">
        <v>40</v>
      </c>
      <c r="E1571" s="1">
        <v>45710</v>
      </c>
      <c r="F1571" s="1">
        <v>45761</v>
      </c>
      <c r="G1571" s="1">
        <v>45761</v>
      </c>
      <c r="H1571" t="s">
        <v>17</v>
      </c>
      <c r="I1571">
        <v>1</v>
      </c>
      <c r="J1571">
        <v>20</v>
      </c>
      <c r="K1571">
        <v>144000</v>
      </c>
      <c r="L1571">
        <v>0</v>
      </c>
      <c r="M1571" t="s">
        <v>82</v>
      </c>
      <c r="N1571" t="str">
        <f>_xlfn.XLOOKUP(B1571,tblCustomers[customer_id],tblCustomers[region],"Missing")</f>
        <v>West</v>
      </c>
      <c r="O1571" t="str">
        <f>_xlfn.XLOOKUP(C1571,tblProducts[product_id],tblProducts[product_name],"Missing")</f>
        <v>Support Desk</v>
      </c>
      <c r="P1571" t="str">
        <f>_xlfn.XLOOKUP(C1571,tblProducts[product_id],tblProducts[category],"Missing")</f>
        <v>Service</v>
      </c>
      <c r="Q1571" t="str">
        <f>_xlfn.XLOOKUP(D1571,tblSalesReps[rep_id],tblSalesReps[rep_name],"Missing")</f>
        <v>Sales Rep 13</v>
      </c>
      <c r="R1571" t="str">
        <f>_xlfn.XLOOKUP(D1571,tblSalesReps[rep_id],tblSalesReps[region],"Missing")</f>
        <v>West</v>
      </c>
    </row>
    <row r="1572" spans="1:18">
      <c r="A1572" t="s">
        <v>2101</v>
      </c>
      <c r="B1572" t="s">
        <v>1876</v>
      </c>
      <c r="C1572" t="s">
        <v>39</v>
      </c>
      <c r="D1572" t="s">
        <v>91</v>
      </c>
      <c r="E1572" s="1">
        <v>45909</v>
      </c>
      <c r="F1572" s="1">
        <v>45926</v>
      </c>
      <c r="G1572" s="1"/>
      <c r="H1572" t="s">
        <v>43</v>
      </c>
      <c r="I1572">
        <v>2</v>
      </c>
      <c r="J1572">
        <v>10</v>
      </c>
      <c r="K1572">
        <v>324000</v>
      </c>
      <c r="L1572">
        <v>60</v>
      </c>
      <c r="M1572" t="s">
        <v>29</v>
      </c>
      <c r="N1572" t="str">
        <f>_xlfn.XLOOKUP(B1572,tblCustomers[customer_id],tblCustomers[region],"Missing")</f>
        <v>South</v>
      </c>
      <c r="O1572" t="str">
        <f>_xlfn.XLOOKUP(C1572,tblProducts[product_id],tblProducts[product_name],"Missing")</f>
        <v>Support Desk</v>
      </c>
      <c r="P1572" t="str">
        <f>_xlfn.XLOOKUP(C1572,tblProducts[product_id],tblProducts[category],"Missing")</f>
        <v>Service</v>
      </c>
      <c r="Q1572" t="str">
        <f>_xlfn.XLOOKUP(D1572,tblSalesReps[rep_id],tblSalesReps[rep_name],"Missing")</f>
        <v>Sales Rep 03</v>
      </c>
      <c r="R1572" t="str">
        <f>_xlfn.XLOOKUP(D1572,tblSalesReps[rep_id],tblSalesReps[region],"Missing")</f>
        <v>South</v>
      </c>
    </row>
    <row r="1573" spans="1:18">
      <c r="A1573" t="s">
        <v>2102</v>
      </c>
      <c r="B1573" t="s">
        <v>38</v>
      </c>
      <c r="C1573" t="s">
        <v>15</v>
      </c>
      <c r="D1573" t="s">
        <v>70</v>
      </c>
      <c r="E1573" s="1">
        <v>45674</v>
      </c>
      <c r="F1573" s="1">
        <v>45748</v>
      </c>
      <c r="G1573" s="1">
        <v>45748</v>
      </c>
      <c r="H1573" t="s">
        <v>28</v>
      </c>
      <c r="I1573">
        <v>1</v>
      </c>
      <c r="J1573">
        <v>15</v>
      </c>
      <c r="K1573">
        <v>357000</v>
      </c>
      <c r="L1573">
        <v>100</v>
      </c>
      <c r="M1573" t="s">
        <v>29</v>
      </c>
      <c r="N1573" t="str">
        <f>_xlfn.XLOOKUP(B1573,tblCustomers[customer_id],tblCustomers[region],"Missing")</f>
        <v>West</v>
      </c>
      <c r="O1573" t="str">
        <f>_xlfn.XLOOKUP(C1573,tblProducts[product_id],tblProducts[product_name],"Missing")</f>
        <v>CRM Enterprise</v>
      </c>
      <c r="P1573" t="str">
        <f>_xlfn.XLOOKUP(C1573,tblProducts[product_id],tblProducts[category],"Missing")</f>
        <v>CRM</v>
      </c>
      <c r="Q1573" t="str">
        <f>_xlfn.XLOOKUP(D1573,tblSalesReps[rep_id],tblSalesReps[rep_name],"Missing")</f>
        <v>Sales Rep 11</v>
      </c>
      <c r="R1573" t="str">
        <f>_xlfn.XLOOKUP(D1573,tblSalesReps[rep_id],tblSalesReps[region],"Missing")</f>
        <v>West</v>
      </c>
    </row>
    <row r="1574" spans="1:18">
      <c r="A1574" t="s">
        <v>2103</v>
      </c>
      <c r="B1574" t="s">
        <v>276</v>
      </c>
      <c r="C1574" t="s">
        <v>81</v>
      </c>
      <c r="D1574" t="s">
        <v>63</v>
      </c>
      <c r="E1574" s="1">
        <v>45904</v>
      </c>
      <c r="F1574" s="1">
        <v>45931</v>
      </c>
      <c r="G1574" s="1">
        <v>45931</v>
      </c>
      <c r="H1574" t="s">
        <v>28</v>
      </c>
      <c r="I1574">
        <v>2</v>
      </c>
      <c r="J1574">
        <v>0</v>
      </c>
      <c r="K1574">
        <v>600000</v>
      </c>
      <c r="L1574">
        <v>100</v>
      </c>
      <c r="M1574" t="s">
        <v>29</v>
      </c>
      <c r="N1574" t="str">
        <f>_xlfn.XLOOKUP(B1574,tblCustomers[customer_id],tblCustomers[region],"Missing")</f>
        <v>South</v>
      </c>
      <c r="O1574" t="str">
        <f>_xlfn.XLOOKUP(C1574,tblProducts[product_id],tblProducts[product_name],"Missing")</f>
        <v>Analytics Cloud</v>
      </c>
      <c r="P1574" t="str">
        <f>_xlfn.XLOOKUP(C1574,tblProducts[product_id],tblProducts[category],"Missing")</f>
        <v>Analytics</v>
      </c>
      <c r="Q1574" t="str">
        <f>_xlfn.XLOOKUP(D1574,tblSalesReps[rep_id],tblSalesReps[rep_name],"Missing")</f>
        <v>Sales Rep 05</v>
      </c>
      <c r="R1574" t="str">
        <f>_xlfn.XLOOKUP(D1574,tblSalesReps[rep_id],tblSalesReps[region],"Missing")</f>
        <v>South</v>
      </c>
    </row>
    <row r="1575" spans="1:18">
      <c r="A1575" t="s">
        <v>2104</v>
      </c>
      <c r="B1575" t="s">
        <v>662</v>
      </c>
      <c r="C1575" t="s">
        <v>21</v>
      </c>
      <c r="D1575" t="s">
        <v>91</v>
      </c>
      <c r="E1575" s="1">
        <v>45822</v>
      </c>
      <c r="F1575" s="1">
        <v>45836</v>
      </c>
      <c r="G1575" s="1">
        <v>45836</v>
      </c>
      <c r="H1575" t="s">
        <v>28</v>
      </c>
      <c r="I1575">
        <v>1</v>
      </c>
      <c r="J1575">
        <v>10</v>
      </c>
      <c r="K1575">
        <v>216000</v>
      </c>
      <c r="L1575">
        <v>100</v>
      </c>
      <c r="M1575" t="s">
        <v>29</v>
      </c>
      <c r="N1575" t="str">
        <f>_xlfn.XLOOKUP(B1575,tblCustomers[customer_id],tblCustomers[region],"Missing")</f>
        <v>South</v>
      </c>
      <c r="O1575" t="str">
        <f>_xlfn.XLOOKUP(C1575,tblProducts[product_id],tblProducts[product_name],"Missing")</f>
        <v>Workflow Automate</v>
      </c>
      <c r="P1575" t="str">
        <f>_xlfn.XLOOKUP(C1575,tblProducts[product_id],tblProducts[category],"Missing")</f>
        <v>Automation</v>
      </c>
      <c r="Q1575" t="str">
        <f>_xlfn.XLOOKUP(D1575,tblSalesReps[rep_id],tblSalesReps[rep_name],"Missing")</f>
        <v>Sales Rep 03</v>
      </c>
      <c r="R1575" t="str">
        <f>_xlfn.XLOOKUP(D1575,tblSalesReps[rep_id],tblSalesReps[region],"Missing")</f>
        <v>South</v>
      </c>
    </row>
    <row r="1576" spans="1:18">
      <c r="A1576" t="s">
        <v>2105</v>
      </c>
      <c r="B1576" t="s">
        <v>1453</v>
      </c>
      <c r="C1576" t="s">
        <v>81</v>
      </c>
      <c r="D1576" t="s">
        <v>59</v>
      </c>
      <c r="E1576" s="1">
        <v>45981</v>
      </c>
      <c r="F1576" s="1">
        <v>46054</v>
      </c>
      <c r="G1576" s="1"/>
      <c r="H1576" t="s">
        <v>43</v>
      </c>
      <c r="I1576">
        <v>3</v>
      </c>
      <c r="J1576">
        <v>15</v>
      </c>
      <c r="K1576">
        <v>765000</v>
      </c>
      <c r="L1576">
        <v>40</v>
      </c>
      <c r="M1576" t="s">
        <v>29</v>
      </c>
      <c r="N1576" t="str">
        <f>_xlfn.XLOOKUP(B1576,tblCustomers[customer_id],tblCustomers[region],"Missing")</f>
        <v>East</v>
      </c>
      <c r="O1576" t="str">
        <f>_xlfn.XLOOKUP(C1576,tblProducts[product_id],tblProducts[product_name],"Missing")</f>
        <v>Analytics Cloud</v>
      </c>
      <c r="P1576" t="str">
        <f>_xlfn.XLOOKUP(C1576,tblProducts[product_id],tblProducts[category],"Missing")</f>
        <v>Analytics</v>
      </c>
      <c r="Q1576" t="str">
        <f>_xlfn.XLOOKUP(D1576,tblSalesReps[rep_id],tblSalesReps[rep_name],"Missing")</f>
        <v>Sales Rep 19</v>
      </c>
      <c r="R1576" t="str">
        <f>_xlfn.XLOOKUP(D1576,tblSalesReps[rep_id],tblSalesReps[region],"Missing")</f>
        <v>East</v>
      </c>
    </row>
    <row r="1577" spans="1:18">
      <c r="A1577" t="s">
        <v>2106</v>
      </c>
      <c r="B1577" t="s">
        <v>185</v>
      </c>
      <c r="C1577" t="s">
        <v>39</v>
      </c>
      <c r="D1577" t="s">
        <v>70</v>
      </c>
      <c r="E1577" s="1">
        <v>45807</v>
      </c>
      <c r="F1577" s="1">
        <v>45834</v>
      </c>
      <c r="G1577" s="1">
        <v>45834</v>
      </c>
      <c r="H1577" t="s">
        <v>28</v>
      </c>
      <c r="I1577">
        <v>3</v>
      </c>
      <c r="J1577">
        <v>10</v>
      </c>
      <c r="K1577">
        <v>486000</v>
      </c>
      <c r="L1577">
        <v>100</v>
      </c>
      <c r="M1577" t="s">
        <v>29</v>
      </c>
      <c r="N1577" t="str">
        <f>_xlfn.XLOOKUP(B1577,tblCustomers[customer_id],tblCustomers[region],"Missing")</f>
        <v>West</v>
      </c>
      <c r="O1577" t="str">
        <f>_xlfn.XLOOKUP(C1577,tblProducts[product_id],tblProducts[product_name],"Missing")</f>
        <v>Support Desk</v>
      </c>
      <c r="P1577" t="str">
        <f>_xlfn.XLOOKUP(C1577,tblProducts[product_id],tblProducts[category],"Missing")</f>
        <v>Service</v>
      </c>
      <c r="Q1577" t="str">
        <f>_xlfn.XLOOKUP(D1577,tblSalesReps[rep_id],tblSalesReps[rep_name],"Missing")</f>
        <v>Sales Rep 11</v>
      </c>
      <c r="R1577" t="str">
        <f>_xlfn.XLOOKUP(D1577,tblSalesReps[rep_id],tblSalesReps[region],"Missing")</f>
        <v>West</v>
      </c>
    </row>
    <row r="1578" spans="1:18">
      <c r="A1578" t="s">
        <v>2107</v>
      </c>
      <c r="B1578" t="s">
        <v>619</v>
      </c>
      <c r="C1578" t="s">
        <v>26</v>
      </c>
      <c r="D1578" t="s">
        <v>36</v>
      </c>
      <c r="E1578" s="1">
        <v>45818</v>
      </c>
      <c r="F1578" s="1">
        <v>45877</v>
      </c>
      <c r="G1578" s="1"/>
      <c r="H1578" t="s">
        <v>43</v>
      </c>
      <c r="I1578">
        <v>2</v>
      </c>
      <c r="J1578">
        <v>5</v>
      </c>
      <c r="K1578">
        <v>684000</v>
      </c>
      <c r="L1578">
        <v>80</v>
      </c>
      <c r="M1578" t="s">
        <v>29</v>
      </c>
      <c r="N1578" t="str">
        <f>_xlfn.XLOOKUP(B1578,tblCustomers[customer_id],tblCustomers[region],"Missing")</f>
        <v>North</v>
      </c>
      <c r="O1578" t="str">
        <f>_xlfn.XLOOKUP(C1578,tblProducts[product_id],tblProducts[product_name],"Missing")</f>
        <v>Security Suite</v>
      </c>
      <c r="P1578" t="str">
        <f>_xlfn.XLOOKUP(C1578,tblProducts[product_id],tblProducts[category],"Missing")</f>
        <v>Security</v>
      </c>
      <c r="Q1578" t="str">
        <f>_xlfn.XLOOKUP(D1578,tblSalesReps[rep_id],tblSalesReps[rep_name],"Missing")</f>
        <v>Sales Rep 09</v>
      </c>
      <c r="R1578" t="str">
        <f>_xlfn.XLOOKUP(D1578,tblSalesReps[rep_id],tblSalesReps[region],"Missing")</f>
        <v>North</v>
      </c>
    </row>
    <row r="1579" spans="1:18">
      <c r="A1579" t="s">
        <v>2108</v>
      </c>
      <c r="B1579" t="s">
        <v>828</v>
      </c>
      <c r="C1579" t="s">
        <v>21</v>
      </c>
      <c r="D1579" t="s">
        <v>22</v>
      </c>
      <c r="E1579" s="1">
        <v>45686</v>
      </c>
      <c r="F1579" s="1">
        <v>45709</v>
      </c>
      <c r="G1579" s="1">
        <v>45709</v>
      </c>
      <c r="H1579" t="s">
        <v>28</v>
      </c>
      <c r="I1579">
        <v>1</v>
      </c>
      <c r="J1579">
        <v>0</v>
      </c>
      <c r="K1579">
        <v>240000</v>
      </c>
      <c r="L1579">
        <v>100</v>
      </c>
      <c r="M1579" t="s">
        <v>29</v>
      </c>
      <c r="N1579" t="str">
        <f>_xlfn.XLOOKUP(B1579,tblCustomers[customer_id],tblCustomers[region],"Missing")</f>
        <v>West</v>
      </c>
      <c r="O1579" t="str">
        <f>_xlfn.XLOOKUP(C1579,tblProducts[product_id],tblProducts[product_name],"Missing")</f>
        <v>Workflow Automate</v>
      </c>
      <c r="P1579" t="str">
        <f>_xlfn.XLOOKUP(C1579,tblProducts[product_id],tblProducts[category],"Missing")</f>
        <v>Automation</v>
      </c>
      <c r="Q1579" t="str">
        <f>_xlfn.XLOOKUP(D1579,tblSalesReps[rep_id],tblSalesReps[rep_name],"Missing")</f>
        <v>Sales Rep 14</v>
      </c>
      <c r="R1579" t="str">
        <f>_xlfn.XLOOKUP(D1579,tblSalesReps[rep_id],tblSalesReps[region],"Missing")</f>
        <v>West</v>
      </c>
    </row>
    <row r="1580" spans="1:18">
      <c r="A1580" t="s">
        <v>2109</v>
      </c>
      <c r="B1580" t="s">
        <v>680</v>
      </c>
      <c r="C1580" t="s">
        <v>26</v>
      </c>
      <c r="D1580" t="s">
        <v>91</v>
      </c>
      <c r="E1580" s="1">
        <v>45923</v>
      </c>
      <c r="F1580" s="1">
        <v>45935</v>
      </c>
      <c r="G1580" s="1">
        <v>45935</v>
      </c>
      <c r="H1580" t="s">
        <v>17</v>
      </c>
      <c r="I1580">
        <v>1</v>
      </c>
      <c r="J1580">
        <v>0</v>
      </c>
      <c r="K1580">
        <v>360000</v>
      </c>
      <c r="L1580">
        <v>0</v>
      </c>
      <c r="M1580" t="s">
        <v>33</v>
      </c>
      <c r="N1580" t="str">
        <f>_xlfn.XLOOKUP(B1580,tblCustomers[customer_id],tblCustomers[region],"Missing")</f>
        <v>South</v>
      </c>
      <c r="O1580" t="str">
        <f>_xlfn.XLOOKUP(C1580,tblProducts[product_id],tblProducts[product_name],"Missing")</f>
        <v>Security Suite</v>
      </c>
      <c r="P1580" t="str">
        <f>_xlfn.XLOOKUP(C1580,tblProducts[product_id],tblProducts[category],"Missing")</f>
        <v>Security</v>
      </c>
      <c r="Q1580" t="str">
        <f>_xlfn.XLOOKUP(D1580,tblSalesReps[rep_id],tblSalesReps[rep_name],"Missing")</f>
        <v>Sales Rep 03</v>
      </c>
      <c r="R1580" t="str">
        <f>_xlfn.XLOOKUP(D1580,tblSalesReps[rep_id],tblSalesReps[region],"Missing")</f>
        <v>South</v>
      </c>
    </row>
    <row r="1581" spans="1:18">
      <c r="A1581" t="s">
        <v>2110</v>
      </c>
      <c r="B1581" t="s">
        <v>1035</v>
      </c>
      <c r="C1581" t="s">
        <v>39</v>
      </c>
      <c r="D1581" t="s">
        <v>46</v>
      </c>
      <c r="E1581" s="1">
        <v>45750</v>
      </c>
      <c r="F1581" s="1">
        <v>45773</v>
      </c>
      <c r="G1581" s="1">
        <v>45773</v>
      </c>
      <c r="H1581" t="s">
        <v>28</v>
      </c>
      <c r="I1581">
        <v>2</v>
      </c>
      <c r="J1581">
        <v>20</v>
      </c>
      <c r="K1581">
        <v>288000</v>
      </c>
      <c r="L1581">
        <v>100</v>
      </c>
      <c r="M1581" t="s">
        <v>29</v>
      </c>
      <c r="N1581" t="str">
        <f>_xlfn.XLOOKUP(B1581,tblCustomers[customer_id],tblCustomers[region],"Missing")</f>
        <v>South</v>
      </c>
      <c r="O1581" t="str">
        <f>_xlfn.XLOOKUP(C1581,tblProducts[product_id],tblProducts[product_name],"Missing")</f>
        <v>Support Desk</v>
      </c>
      <c r="P1581" t="str">
        <f>_xlfn.XLOOKUP(C1581,tblProducts[product_id],tblProducts[category],"Missing")</f>
        <v>Service</v>
      </c>
      <c r="Q1581" t="str">
        <f>_xlfn.XLOOKUP(D1581,tblSalesReps[rep_id],tblSalesReps[rep_name],"Missing")</f>
        <v>Sales Rep 01</v>
      </c>
      <c r="R1581" t="str">
        <f>_xlfn.XLOOKUP(D1581,tblSalesReps[rep_id],tblSalesReps[region],"Missing")</f>
        <v>South</v>
      </c>
    </row>
    <row r="1582" spans="1:18">
      <c r="A1582" t="s">
        <v>2111</v>
      </c>
      <c r="B1582" t="s">
        <v>630</v>
      </c>
      <c r="C1582" t="s">
        <v>39</v>
      </c>
      <c r="D1582" t="s">
        <v>91</v>
      </c>
      <c r="E1582" s="1">
        <v>45940</v>
      </c>
      <c r="F1582" s="1">
        <v>45983</v>
      </c>
      <c r="G1582" s="1"/>
      <c r="H1582" t="s">
        <v>43</v>
      </c>
      <c r="I1582">
        <v>1</v>
      </c>
      <c r="J1582">
        <v>10</v>
      </c>
      <c r="K1582">
        <v>162000</v>
      </c>
      <c r="L1582">
        <v>40</v>
      </c>
      <c r="M1582" t="s">
        <v>29</v>
      </c>
      <c r="N1582" t="str">
        <f>_xlfn.XLOOKUP(B1582,tblCustomers[customer_id],tblCustomers[region],"Missing")</f>
        <v>South</v>
      </c>
      <c r="O1582" t="str">
        <f>_xlfn.XLOOKUP(C1582,tblProducts[product_id],tblProducts[product_name],"Missing")</f>
        <v>Support Desk</v>
      </c>
      <c r="P1582" t="str">
        <f>_xlfn.XLOOKUP(C1582,tblProducts[product_id],tblProducts[category],"Missing")</f>
        <v>Service</v>
      </c>
      <c r="Q1582" t="str">
        <f>_xlfn.XLOOKUP(D1582,tblSalesReps[rep_id],tblSalesReps[rep_name],"Missing")</f>
        <v>Sales Rep 03</v>
      </c>
      <c r="R1582" t="str">
        <f>_xlfn.XLOOKUP(D1582,tblSalesReps[rep_id],tblSalesReps[region],"Missing")</f>
        <v>South</v>
      </c>
    </row>
    <row r="1583" spans="1:18">
      <c r="A1583" t="s">
        <v>2112</v>
      </c>
      <c r="B1583" t="s">
        <v>84</v>
      </c>
      <c r="C1583" t="s">
        <v>39</v>
      </c>
      <c r="D1583" t="s">
        <v>22</v>
      </c>
      <c r="E1583" s="1">
        <v>45755</v>
      </c>
      <c r="F1583" s="1">
        <v>45793</v>
      </c>
      <c r="G1583" s="1">
        <v>45793</v>
      </c>
      <c r="H1583" t="s">
        <v>17</v>
      </c>
      <c r="I1583">
        <v>2</v>
      </c>
      <c r="J1583">
        <v>5</v>
      </c>
      <c r="K1583">
        <v>342000</v>
      </c>
      <c r="L1583">
        <v>0</v>
      </c>
      <c r="M1583" t="s">
        <v>23</v>
      </c>
      <c r="N1583" t="str">
        <f>_xlfn.XLOOKUP(B1583,tblCustomers[customer_id],tblCustomers[region],"Missing")</f>
        <v>West</v>
      </c>
      <c r="O1583" t="str">
        <f>_xlfn.XLOOKUP(C1583,tblProducts[product_id],tblProducts[product_name],"Missing")</f>
        <v>Support Desk</v>
      </c>
      <c r="P1583" t="str">
        <f>_xlfn.XLOOKUP(C1583,tblProducts[product_id],tblProducts[category],"Missing")</f>
        <v>Service</v>
      </c>
      <c r="Q1583" t="str">
        <f>_xlfn.XLOOKUP(D1583,tblSalesReps[rep_id],tblSalesReps[rep_name],"Missing")</f>
        <v>Sales Rep 14</v>
      </c>
      <c r="R1583" t="str">
        <f>_xlfn.XLOOKUP(D1583,tblSalesReps[rep_id],tblSalesReps[region],"Missing")</f>
        <v>West</v>
      </c>
    </row>
    <row r="1584" spans="1:18">
      <c r="A1584" t="s">
        <v>2113</v>
      </c>
      <c r="B1584" t="s">
        <v>1130</v>
      </c>
      <c r="C1584" t="s">
        <v>21</v>
      </c>
      <c r="D1584" t="s">
        <v>27</v>
      </c>
      <c r="E1584" s="1">
        <v>45967</v>
      </c>
      <c r="F1584" s="1">
        <v>46047</v>
      </c>
      <c r="G1584" s="1"/>
      <c r="H1584" t="s">
        <v>43</v>
      </c>
      <c r="I1584">
        <v>2</v>
      </c>
      <c r="J1584">
        <v>0</v>
      </c>
      <c r="K1584">
        <v>480000</v>
      </c>
      <c r="L1584">
        <v>80</v>
      </c>
      <c r="M1584" t="s">
        <v>29</v>
      </c>
      <c r="N1584" t="str">
        <f>_xlfn.XLOOKUP(B1584,tblCustomers[customer_id],tblCustomers[region],"Missing")</f>
        <v>North</v>
      </c>
      <c r="O1584" t="str">
        <f>_xlfn.XLOOKUP(C1584,tblProducts[product_id],tblProducts[product_name],"Missing")</f>
        <v>Workflow Automate</v>
      </c>
      <c r="P1584" t="str">
        <f>_xlfn.XLOOKUP(C1584,tblProducts[product_id],tblProducts[category],"Missing")</f>
        <v>Automation</v>
      </c>
      <c r="Q1584" t="str">
        <f>_xlfn.XLOOKUP(D1584,tblSalesReps[rep_id],tblSalesReps[rep_name],"Missing")</f>
        <v>Sales Rep 06</v>
      </c>
      <c r="R1584" t="str">
        <f>_xlfn.XLOOKUP(D1584,tblSalesReps[rep_id],tblSalesReps[region],"Missing")</f>
        <v>North</v>
      </c>
    </row>
    <row r="1585" spans="1:18">
      <c r="A1585" t="s">
        <v>2114</v>
      </c>
      <c r="B1585" t="s">
        <v>1453</v>
      </c>
      <c r="C1585" t="s">
        <v>26</v>
      </c>
      <c r="D1585" t="s">
        <v>53</v>
      </c>
      <c r="E1585" s="1">
        <v>45710</v>
      </c>
      <c r="F1585" s="1">
        <v>45795</v>
      </c>
      <c r="G1585" s="1"/>
      <c r="H1585" t="s">
        <v>43</v>
      </c>
      <c r="I1585">
        <v>1</v>
      </c>
      <c r="J1585">
        <v>10</v>
      </c>
      <c r="K1585">
        <v>324000</v>
      </c>
      <c r="L1585">
        <v>80</v>
      </c>
      <c r="M1585" t="s">
        <v>29</v>
      </c>
      <c r="N1585" t="str">
        <f>_xlfn.XLOOKUP(B1585,tblCustomers[customer_id],tblCustomers[region],"Missing")</f>
        <v>East</v>
      </c>
      <c r="O1585" t="str">
        <f>_xlfn.XLOOKUP(C1585,tblProducts[product_id],tblProducts[product_name],"Missing")</f>
        <v>Security Suite</v>
      </c>
      <c r="P1585" t="str">
        <f>_xlfn.XLOOKUP(C1585,tblProducts[product_id],tblProducts[category],"Missing")</f>
        <v>Security</v>
      </c>
      <c r="Q1585" t="str">
        <f>_xlfn.XLOOKUP(D1585,tblSalesReps[rep_id],tblSalesReps[rep_name],"Missing")</f>
        <v>Sales Rep 16</v>
      </c>
      <c r="R1585" t="str">
        <f>_xlfn.XLOOKUP(D1585,tblSalesReps[rep_id],tblSalesReps[region],"Missing")</f>
        <v>East</v>
      </c>
    </row>
    <row r="1586" spans="1:18">
      <c r="A1586" t="s">
        <v>2115</v>
      </c>
      <c r="B1586" t="s">
        <v>535</v>
      </c>
      <c r="C1586" t="s">
        <v>62</v>
      </c>
      <c r="D1586" t="s">
        <v>78</v>
      </c>
      <c r="E1586" s="1">
        <v>45792</v>
      </c>
      <c r="F1586" s="1">
        <v>45810</v>
      </c>
      <c r="G1586" s="1">
        <v>45810</v>
      </c>
      <c r="H1586" t="s">
        <v>28</v>
      </c>
      <c r="I1586">
        <v>1</v>
      </c>
      <c r="J1586">
        <v>0</v>
      </c>
      <c r="K1586">
        <v>120000</v>
      </c>
      <c r="L1586">
        <v>100</v>
      </c>
      <c r="M1586" t="s">
        <v>29</v>
      </c>
      <c r="N1586" t="str">
        <f>_xlfn.XLOOKUP(B1586,tblCustomers[customer_id],tblCustomers[region],"Missing")</f>
        <v>West</v>
      </c>
      <c r="O1586" t="str">
        <f>_xlfn.XLOOKUP(C1586,tblProducts[product_id],tblProducts[product_name],"Missing")</f>
        <v>CRM Essentials</v>
      </c>
      <c r="P1586" t="str">
        <f>_xlfn.XLOOKUP(C1586,tblProducts[product_id],tblProducts[category],"Missing")</f>
        <v>CRM</v>
      </c>
      <c r="Q1586" t="str">
        <f>_xlfn.XLOOKUP(D1586,tblSalesReps[rep_id],tblSalesReps[rep_name],"Missing")</f>
        <v>Sales Rep 12</v>
      </c>
      <c r="R1586" t="str">
        <f>_xlfn.XLOOKUP(D1586,tblSalesReps[rep_id],tblSalesReps[region],"Missing")</f>
        <v>West</v>
      </c>
    </row>
    <row r="1587" spans="1:18">
      <c r="A1587" t="s">
        <v>2116</v>
      </c>
      <c r="B1587" t="s">
        <v>491</v>
      </c>
      <c r="C1587" t="s">
        <v>26</v>
      </c>
      <c r="D1587" t="s">
        <v>168</v>
      </c>
      <c r="E1587" s="1">
        <v>45738</v>
      </c>
      <c r="F1587" s="1">
        <v>45759</v>
      </c>
      <c r="G1587" s="1">
        <v>45759</v>
      </c>
      <c r="H1587" t="s">
        <v>28</v>
      </c>
      <c r="I1587">
        <v>2</v>
      </c>
      <c r="J1587">
        <v>20</v>
      </c>
      <c r="K1587">
        <v>576000</v>
      </c>
      <c r="L1587">
        <v>100</v>
      </c>
      <c r="M1587" t="s">
        <v>29</v>
      </c>
      <c r="N1587" t="str">
        <f>_xlfn.XLOOKUP(B1587,tblCustomers[customer_id],tblCustomers[region],"Missing")</f>
        <v>East</v>
      </c>
      <c r="O1587" t="str">
        <f>_xlfn.XLOOKUP(C1587,tblProducts[product_id],tblProducts[product_name],"Missing")</f>
        <v>Security Suite</v>
      </c>
      <c r="P1587" t="str">
        <f>_xlfn.XLOOKUP(C1587,tblProducts[product_id],tblProducts[category],"Missing")</f>
        <v>Security</v>
      </c>
      <c r="Q1587" t="str">
        <f>_xlfn.XLOOKUP(D1587,tblSalesReps[rep_id],tblSalesReps[rep_name],"Missing")</f>
        <v>Sales Rep 17</v>
      </c>
      <c r="R1587" t="str">
        <f>_xlfn.XLOOKUP(D1587,tblSalesReps[rep_id],tblSalesReps[region],"Missing")</f>
        <v>East</v>
      </c>
    </row>
    <row r="1588" spans="1:18">
      <c r="A1588" t="s">
        <v>2117</v>
      </c>
      <c r="B1588" t="s">
        <v>660</v>
      </c>
      <c r="C1588" t="s">
        <v>62</v>
      </c>
      <c r="D1588" t="s">
        <v>16</v>
      </c>
      <c r="E1588" s="1">
        <v>45996</v>
      </c>
      <c r="F1588" s="1">
        <v>46061</v>
      </c>
      <c r="G1588" s="1"/>
      <c r="H1588" t="s">
        <v>43</v>
      </c>
      <c r="I1588">
        <v>3</v>
      </c>
      <c r="J1588">
        <v>5</v>
      </c>
      <c r="K1588">
        <v>342000</v>
      </c>
      <c r="L1588">
        <v>20</v>
      </c>
      <c r="M1588" t="s">
        <v>29</v>
      </c>
      <c r="N1588" t="str">
        <f>_xlfn.XLOOKUP(B1588,tblCustomers[customer_id],tblCustomers[region],"Missing")</f>
        <v>North</v>
      </c>
      <c r="O1588" t="str">
        <f>_xlfn.XLOOKUP(C1588,tblProducts[product_id],tblProducts[product_name],"Missing")</f>
        <v>CRM Essentials</v>
      </c>
      <c r="P1588" t="str">
        <f>_xlfn.XLOOKUP(C1588,tblProducts[product_id],tblProducts[category],"Missing")</f>
        <v>CRM</v>
      </c>
      <c r="Q1588" t="str">
        <f>_xlfn.XLOOKUP(D1588,tblSalesReps[rep_id],tblSalesReps[rep_name],"Missing")</f>
        <v>Sales Rep 08</v>
      </c>
      <c r="R1588" t="str">
        <f>_xlfn.XLOOKUP(D1588,tblSalesReps[rep_id],tblSalesReps[region],"Missing")</f>
        <v>North</v>
      </c>
    </row>
    <row r="1589" spans="1:18">
      <c r="A1589" t="s">
        <v>2118</v>
      </c>
      <c r="B1589" t="s">
        <v>181</v>
      </c>
      <c r="C1589" t="s">
        <v>21</v>
      </c>
      <c r="D1589" t="s">
        <v>32</v>
      </c>
      <c r="E1589" s="1">
        <v>45722</v>
      </c>
      <c r="F1589" s="1">
        <v>45748</v>
      </c>
      <c r="G1589" s="1"/>
      <c r="H1589" t="s">
        <v>43</v>
      </c>
      <c r="I1589">
        <v>2</v>
      </c>
      <c r="J1589">
        <v>10</v>
      </c>
      <c r="K1589">
        <v>432000</v>
      </c>
      <c r="L1589">
        <v>80</v>
      </c>
      <c r="M1589" t="s">
        <v>29</v>
      </c>
      <c r="N1589" t="str">
        <f>_xlfn.XLOOKUP(B1589,tblCustomers[customer_id],tblCustomers[region],"Missing")</f>
        <v>South</v>
      </c>
      <c r="O1589" t="str">
        <f>_xlfn.XLOOKUP(C1589,tblProducts[product_id],tblProducts[product_name],"Missing")</f>
        <v>Workflow Automate</v>
      </c>
      <c r="P1589" t="str">
        <f>_xlfn.XLOOKUP(C1589,tblProducts[product_id],tblProducts[category],"Missing")</f>
        <v>Automation</v>
      </c>
      <c r="Q1589" t="str">
        <f>_xlfn.XLOOKUP(D1589,tblSalesReps[rep_id],tblSalesReps[rep_name],"Missing")</f>
        <v>Sales Rep 04</v>
      </c>
      <c r="R1589" t="str">
        <f>_xlfn.XLOOKUP(D1589,tblSalesReps[rep_id],tblSalesReps[region],"Missing")</f>
        <v>South</v>
      </c>
    </row>
    <row r="1590" spans="1:18">
      <c r="A1590" t="s">
        <v>2119</v>
      </c>
      <c r="B1590" t="s">
        <v>526</v>
      </c>
      <c r="C1590" t="s">
        <v>39</v>
      </c>
      <c r="D1590" t="s">
        <v>50</v>
      </c>
      <c r="E1590" s="1">
        <v>45926</v>
      </c>
      <c r="F1590" s="1">
        <v>46010</v>
      </c>
      <c r="G1590" s="1">
        <v>46010</v>
      </c>
      <c r="H1590" t="s">
        <v>17</v>
      </c>
      <c r="I1590">
        <v>1</v>
      </c>
      <c r="J1590">
        <v>5</v>
      </c>
      <c r="K1590">
        <v>171000</v>
      </c>
      <c r="L1590">
        <v>0</v>
      </c>
      <c r="M1590" t="s">
        <v>47</v>
      </c>
      <c r="N1590" t="str">
        <f>_xlfn.XLOOKUP(B1590,tblCustomers[customer_id],tblCustomers[region],"Missing")</f>
        <v>West</v>
      </c>
      <c r="O1590" t="str">
        <f>_xlfn.XLOOKUP(C1590,tblProducts[product_id],tblProducts[product_name],"Missing")</f>
        <v>Support Desk</v>
      </c>
      <c r="P1590" t="str">
        <f>_xlfn.XLOOKUP(C1590,tblProducts[product_id],tblProducts[category],"Missing")</f>
        <v>Service</v>
      </c>
      <c r="Q1590" t="str">
        <f>_xlfn.XLOOKUP(D1590,tblSalesReps[rep_id],tblSalesReps[rep_name],"Missing")</f>
        <v>Sales Rep 15</v>
      </c>
      <c r="R1590" t="str">
        <f>_xlfn.XLOOKUP(D1590,tblSalesReps[rep_id],tblSalesReps[region],"Missing")</f>
        <v>West</v>
      </c>
    </row>
    <row r="1591" spans="1:18">
      <c r="A1591" t="s">
        <v>2120</v>
      </c>
      <c r="B1591" t="s">
        <v>1639</v>
      </c>
      <c r="C1591" t="s">
        <v>62</v>
      </c>
      <c r="D1591" t="s">
        <v>119</v>
      </c>
      <c r="E1591" s="1">
        <v>45681</v>
      </c>
      <c r="F1591" s="1">
        <v>45738</v>
      </c>
      <c r="G1591" s="1">
        <v>45738</v>
      </c>
      <c r="H1591" t="s">
        <v>28</v>
      </c>
      <c r="I1591">
        <v>1</v>
      </c>
      <c r="J1591">
        <v>0</v>
      </c>
      <c r="K1591">
        <v>120000</v>
      </c>
      <c r="L1591">
        <v>100</v>
      </c>
      <c r="M1591" t="s">
        <v>29</v>
      </c>
      <c r="N1591" t="str">
        <f>_xlfn.XLOOKUP(B1591,tblCustomers[customer_id],tblCustomers[region],"Missing")</f>
        <v>North</v>
      </c>
      <c r="O1591" t="str">
        <f>_xlfn.XLOOKUP(C1591,tblProducts[product_id],tblProducts[product_name],"Missing")</f>
        <v>CRM Essentials</v>
      </c>
      <c r="P1591" t="str">
        <f>_xlfn.XLOOKUP(C1591,tblProducts[product_id],tblProducts[category],"Missing")</f>
        <v>CRM</v>
      </c>
      <c r="Q1591" t="str">
        <f>_xlfn.XLOOKUP(D1591,tblSalesReps[rep_id],tblSalesReps[rep_name],"Missing")</f>
        <v>Sales Rep 10</v>
      </c>
      <c r="R1591" t="str">
        <f>_xlfn.XLOOKUP(D1591,tblSalesReps[rep_id],tblSalesReps[region],"Missing")</f>
        <v>North</v>
      </c>
    </row>
    <row r="1592" spans="1:18">
      <c r="A1592" t="s">
        <v>2121</v>
      </c>
      <c r="B1592" t="s">
        <v>1359</v>
      </c>
      <c r="C1592" t="s">
        <v>62</v>
      </c>
      <c r="D1592" t="s">
        <v>78</v>
      </c>
      <c r="E1592" s="1">
        <v>45822</v>
      </c>
      <c r="F1592" s="1">
        <v>45833</v>
      </c>
      <c r="G1592" s="1">
        <v>45833</v>
      </c>
      <c r="H1592" t="s">
        <v>28</v>
      </c>
      <c r="I1592">
        <v>2</v>
      </c>
      <c r="J1592">
        <v>10</v>
      </c>
      <c r="K1592">
        <v>216000</v>
      </c>
      <c r="L1592">
        <v>100</v>
      </c>
      <c r="M1592" t="s">
        <v>29</v>
      </c>
      <c r="N1592" t="str">
        <f>_xlfn.XLOOKUP(B1592,tblCustomers[customer_id],tblCustomers[region],"Missing")</f>
        <v>West</v>
      </c>
      <c r="O1592" t="str">
        <f>_xlfn.XLOOKUP(C1592,tblProducts[product_id],tblProducts[product_name],"Missing")</f>
        <v>CRM Essentials</v>
      </c>
      <c r="P1592" t="str">
        <f>_xlfn.XLOOKUP(C1592,tblProducts[product_id],tblProducts[category],"Missing")</f>
        <v>CRM</v>
      </c>
      <c r="Q1592" t="str">
        <f>_xlfn.XLOOKUP(D1592,tblSalesReps[rep_id],tblSalesReps[rep_name],"Missing")</f>
        <v>Sales Rep 12</v>
      </c>
      <c r="R1592" t="str">
        <f>_xlfn.XLOOKUP(D1592,tblSalesReps[rep_id],tblSalesReps[region],"Missing")</f>
        <v>West</v>
      </c>
    </row>
    <row r="1593" spans="1:18">
      <c r="A1593" t="s">
        <v>2122</v>
      </c>
      <c r="B1593" t="s">
        <v>1162</v>
      </c>
      <c r="C1593" t="s">
        <v>21</v>
      </c>
      <c r="D1593" t="s">
        <v>119</v>
      </c>
      <c r="E1593" s="1">
        <v>45851</v>
      </c>
      <c r="F1593" s="1">
        <v>45932</v>
      </c>
      <c r="G1593" s="1"/>
      <c r="H1593" t="s">
        <v>43</v>
      </c>
      <c r="I1593">
        <v>3</v>
      </c>
      <c r="J1593">
        <v>20</v>
      </c>
      <c r="K1593">
        <v>576000</v>
      </c>
      <c r="L1593">
        <v>60</v>
      </c>
      <c r="M1593" t="s">
        <v>29</v>
      </c>
      <c r="N1593" t="str">
        <f>_xlfn.XLOOKUP(B1593,tblCustomers[customer_id],tblCustomers[region],"Missing")</f>
        <v>North</v>
      </c>
      <c r="O1593" t="str">
        <f>_xlfn.XLOOKUP(C1593,tblProducts[product_id],tblProducts[product_name],"Missing")</f>
        <v>Workflow Automate</v>
      </c>
      <c r="P1593" t="str">
        <f>_xlfn.XLOOKUP(C1593,tblProducts[product_id],tblProducts[category],"Missing")</f>
        <v>Automation</v>
      </c>
      <c r="Q1593" t="str">
        <f>_xlfn.XLOOKUP(D1593,tblSalesReps[rep_id],tblSalesReps[rep_name],"Missing")</f>
        <v>Sales Rep 10</v>
      </c>
      <c r="R1593" t="str">
        <f>_xlfn.XLOOKUP(D1593,tblSalesReps[rep_id],tblSalesReps[region],"Missing")</f>
        <v>North</v>
      </c>
    </row>
    <row r="1594" spans="1:18">
      <c r="A1594" t="s">
        <v>2123</v>
      </c>
      <c r="B1594" t="s">
        <v>331</v>
      </c>
      <c r="C1594" t="s">
        <v>62</v>
      </c>
      <c r="D1594" t="s">
        <v>59</v>
      </c>
      <c r="E1594" s="1">
        <v>45906</v>
      </c>
      <c r="F1594" s="1">
        <v>45941</v>
      </c>
      <c r="G1594" s="1"/>
      <c r="H1594" t="s">
        <v>43</v>
      </c>
      <c r="I1594">
        <v>2</v>
      </c>
      <c r="J1594">
        <v>10</v>
      </c>
      <c r="K1594">
        <v>216000</v>
      </c>
      <c r="L1594">
        <v>60</v>
      </c>
      <c r="M1594" t="s">
        <v>29</v>
      </c>
      <c r="N1594" t="str">
        <f>_xlfn.XLOOKUP(B1594,tblCustomers[customer_id],tblCustomers[region],"Missing")</f>
        <v>East</v>
      </c>
      <c r="O1594" t="str">
        <f>_xlfn.XLOOKUP(C1594,tblProducts[product_id],tblProducts[product_name],"Missing")</f>
        <v>CRM Essentials</v>
      </c>
      <c r="P1594" t="str">
        <f>_xlfn.XLOOKUP(C1594,tblProducts[product_id],tblProducts[category],"Missing")</f>
        <v>CRM</v>
      </c>
      <c r="Q1594" t="str">
        <f>_xlfn.XLOOKUP(D1594,tblSalesReps[rep_id],tblSalesReps[rep_name],"Missing")</f>
        <v>Sales Rep 19</v>
      </c>
      <c r="R1594" t="str">
        <f>_xlfn.XLOOKUP(D1594,tblSalesReps[rep_id],tblSalesReps[region],"Missing")</f>
        <v>East</v>
      </c>
    </row>
    <row r="1595" spans="1:18">
      <c r="A1595" t="s">
        <v>2124</v>
      </c>
      <c r="B1595" t="s">
        <v>25</v>
      </c>
      <c r="C1595" t="s">
        <v>26</v>
      </c>
      <c r="D1595" t="s">
        <v>36</v>
      </c>
      <c r="E1595" s="1">
        <v>45684</v>
      </c>
      <c r="F1595" s="1">
        <v>45726</v>
      </c>
      <c r="G1595" s="1"/>
      <c r="H1595" t="s">
        <v>43</v>
      </c>
      <c r="I1595">
        <v>3</v>
      </c>
      <c r="J1595">
        <v>0</v>
      </c>
      <c r="K1595">
        <v>1080000</v>
      </c>
      <c r="L1595">
        <v>40</v>
      </c>
      <c r="M1595" t="s">
        <v>29</v>
      </c>
      <c r="N1595" t="str">
        <f>_xlfn.XLOOKUP(B1595,tblCustomers[customer_id],tblCustomers[region],"Missing")</f>
        <v>North</v>
      </c>
      <c r="O1595" t="str">
        <f>_xlfn.XLOOKUP(C1595,tblProducts[product_id],tblProducts[product_name],"Missing")</f>
        <v>Security Suite</v>
      </c>
      <c r="P1595" t="str">
        <f>_xlfn.XLOOKUP(C1595,tblProducts[product_id],tblProducts[category],"Missing")</f>
        <v>Security</v>
      </c>
      <c r="Q1595" t="str">
        <f>_xlfn.XLOOKUP(D1595,tblSalesReps[rep_id],tblSalesReps[rep_name],"Missing")</f>
        <v>Sales Rep 09</v>
      </c>
      <c r="R1595" t="str">
        <f>_xlfn.XLOOKUP(D1595,tblSalesReps[rep_id],tblSalesReps[region],"Missing")</f>
        <v>North</v>
      </c>
    </row>
    <row r="1596" spans="1:18">
      <c r="A1596" t="s">
        <v>2125</v>
      </c>
      <c r="B1596" t="s">
        <v>416</v>
      </c>
      <c r="C1596" t="s">
        <v>39</v>
      </c>
      <c r="D1596" t="s">
        <v>22</v>
      </c>
      <c r="E1596" s="1">
        <v>45887</v>
      </c>
      <c r="F1596" s="1">
        <v>45923</v>
      </c>
      <c r="G1596" s="1">
        <v>45923</v>
      </c>
      <c r="H1596" t="s">
        <v>28</v>
      </c>
      <c r="I1596">
        <v>1</v>
      </c>
      <c r="J1596">
        <v>20</v>
      </c>
      <c r="K1596">
        <v>144000</v>
      </c>
      <c r="L1596">
        <v>100</v>
      </c>
      <c r="M1596" t="s">
        <v>29</v>
      </c>
      <c r="N1596" t="str">
        <f>_xlfn.XLOOKUP(B1596,tblCustomers[customer_id],tblCustomers[region],"Missing")</f>
        <v>West</v>
      </c>
      <c r="O1596" t="str">
        <f>_xlfn.XLOOKUP(C1596,tblProducts[product_id],tblProducts[product_name],"Missing")</f>
        <v>Support Desk</v>
      </c>
      <c r="P1596" t="str">
        <f>_xlfn.XLOOKUP(C1596,tblProducts[product_id],tblProducts[category],"Missing")</f>
        <v>Service</v>
      </c>
      <c r="Q1596" t="str">
        <f>_xlfn.XLOOKUP(D1596,tblSalesReps[rep_id],tblSalesReps[rep_name],"Missing")</f>
        <v>Sales Rep 14</v>
      </c>
      <c r="R1596" t="str">
        <f>_xlfn.XLOOKUP(D1596,tblSalesReps[rep_id],tblSalesReps[region],"Missing")</f>
        <v>West</v>
      </c>
    </row>
    <row r="1597" spans="1:18">
      <c r="A1597" t="s">
        <v>2126</v>
      </c>
      <c r="B1597" t="s">
        <v>559</v>
      </c>
      <c r="C1597" t="s">
        <v>26</v>
      </c>
      <c r="D1597" t="s">
        <v>50</v>
      </c>
      <c r="E1597" s="1">
        <v>45956</v>
      </c>
      <c r="F1597" s="1">
        <v>46014</v>
      </c>
      <c r="G1597" s="1">
        <v>46014</v>
      </c>
      <c r="H1597" t="s">
        <v>28</v>
      </c>
      <c r="I1597">
        <v>1</v>
      </c>
      <c r="J1597">
        <v>5</v>
      </c>
      <c r="K1597">
        <v>342000</v>
      </c>
      <c r="L1597">
        <v>100</v>
      </c>
      <c r="M1597" t="s">
        <v>29</v>
      </c>
      <c r="N1597" t="str">
        <f>_xlfn.XLOOKUP(B1597,tblCustomers[customer_id],tblCustomers[region],"Missing")</f>
        <v>West</v>
      </c>
      <c r="O1597" t="str">
        <f>_xlfn.XLOOKUP(C1597,tblProducts[product_id],tblProducts[product_name],"Missing")</f>
        <v>Security Suite</v>
      </c>
      <c r="P1597" t="str">
        <f>_xlfn.XLOOKUP(C1597,tblProducts[product_id],tblProducts[category],"Missing")</f>
        <v>Security</v>
      </c>
      <c r="Q1597" t="str">
        <f>_xlfn.XLOOKUP(D1597,tblSalesReps[rep_id],tblSalesReps[rep_name],"Missing")</f>
        <v>Sales Rep 15</v>
      </c>
      <c r="R1597" t="str">
        <f>_xlfn.XLOOKUP(D1597,tblSalesReps[rep_id],tblSalesReps[region],"Missing")</f>
        <v>West</v>
      </c>
    </row>
    <row r="1598" spans="1:18">
      <c r="A1598" t="s">
        <v>2127</v>
      </c>
      <c r="B1598" t="s">
        <v>460</v>
      </c>
      <c r="C1598" t="s">
        <v>81</v>
      </c>
      <c r="D1598" t="s">
        <v>75</v>
      </c>
      <c r="E1598" s="1">
        <v>45948</v>
      </c>
      <c r="F1598" s="1">
        <v>46009</v>
      </c>
      <c r="G1598" s="1"/>
      <c r="H1598" t="s">
        <v>43</v>
      </c>
      <c r="I1598">
        <v>1</v>
      </c>
      <c r="J1598">
        <v>10</v>
      </c>
      <c r="K1598">
        <v>270000</v>
      </c>
      <c r="L1598">
        <v>80</v>
      </c>
      <c r="M1598" t="s">
        <v>29</v>
      </c>
      <c r="N1598" t="str">
        <f>_xlfn.XLOOKUP(B1598,tblCustomers[customer_id],tblCustomers[region],"Missing")</f>
        <v>North</v>
      </c>
      <c r="O1598" t="str">
        <f>_xlfn.XLOOKUP(C1598,tblProducts[product_id],tblProducts[product_name],"Missing")</f>
        <v>Analytics Cloud</v>
      </c>
      <c r="P1598" t="str">
        <f>_xlfn.XLOOKUP(C1598,tblProducts[product_id],tblProducts[category],"Missing")</f>
        <v>Analytics</v>
      </c>
      <c r="Q1598" t="str">
        <f>_xlfn.XLOOKUP(D1598,tblSalesReps[rep_id],tblSalesReps[rep_name],"Missing")</f>
        <v>Sales Rep 07</v>
      </c>
      <c r="R1598" t="str">
        <f>_xlfn.XLOOKUP(D1598,tblSalesReps[rep_id],tblSalesReps[region],"Missing")</f>
        <v>North</v>
      </c>
    </row>
    <row r="1599" spans="1:18">
      <c r="A1599" t="s">
        <v>2128</v>
      </c>
      <c r="B1599" t="s">
        <v>423</v>
      </c>
      <c r="C1599" t="s">
        <v>21</v>
      </c>
      <c r="D1599" t="s">
        <v>78</v>
      </c>
      <c r="E1599" s="1">
        <v>45976</v>
      </c>
      <c r="F1599" s="1">
        <v>46044</v>
      </c>
      <c r="G1599" s="1"/>
      <c r="H1599" t="s">
        <v>43</v>
      </c>
      <c r="I1599">
        <v>2</v>
      </c>
      <c r="J1599">
        <v>20</v>
      </c>
      <c r="K1599">
        <v>384000</v>
      </c>
      <c r="L1599">
        <v>80</v>
      </c>
      <c r="M1599" t="s">
        <v>29</v>
      </c>
      <c r="N1599" t="str">
        <f>_xlfn.XLOOKUP(B1599,tblCustomers[customer_id],tblCustomers[region],"Missing")</f>
        <v>West</v>
      </c>
      <c r="O1599" t="str">
        <f>_xlfn.XLOOKUP(C1599,tblProducts[product_id],tblProducts[product_name],"Missing")</f>
        <v>Workflow Automate</v>
      </c>
      <c r="P1599" t="str">
        <f>_xlfn.XLOOKUP(C1599,tblProducts[product_id],tblProducts[category],"Missing")</f>
        <v>Automation</v>
      </c>
      <c r="Q1599" t="str">
        <f>_xlfn.XLOOKUP(D1599,tblSalesReps[rep_id],tblSalesReps[rep_name],"Missing")</f>
        <v>Sales Rep 12</v>
      </c>
      <c r="R1599" t="str">
        <f>_xlfn.XLOOKUP(D1599,tblSalesReps[rep_id],tblSalesReps[region],"Missing")</f>
        <v>West</v>
      </c>
    </row>
    <row r="1600" spans="1:18">
      <c r="A1600" t="s">
        <v>2129</v>
      </c>
      <c r="B1600" t="s">
        <v>929</v>
      </c>
      <c r="C1600" t="s">
        <v>62</v>
      </c>
      <c r="D1600" t="s">
        <v>22</v>
      </c>
      <c r="E1600" s="1">
        <v>45969</v>
      </c>
      <c r="F1600" s="1">
        <v>45980</v>
      </c>
      <c r="G1600" s="1">
        <v>45980</v>
      </c>
      <c r="H1600" t="s">
        <v>17</v>
      </c>
      <c r="I1600">
        <v>2</v>
      </c>
      <c r="J1600">
        <v>0</v>
      </c>
      <c r="K1600">
        <v>240000</v>
      </c>
      <c r="L1600">
        <v>0</v>
      </c>
      <c r="M1600" t="s">
        <v>18</v>
      </c>
      <c r="N1600" t="str">
        <f>_xlfn.XLOOKUP(B1600,tblCustomers[customer_id],tblCustomers[region],"Missing")</f>
        <v>West</v>
      </c>
      <c r="O1600" t="str">
        <f>_xlfn.XLOOKUP(C1600,tblProducts[product_id],tblProducts[product_name],"Missing")</f>
        <v>CRM Essentials</v>
      </c>
      <c r="P1600" t="str">
        <f>_xlfn.XLOOKUP(C1600,tblProducts[product_id],tblProducts[category],"Missing")</f>
        <v>CRM</v>
      </c>
      <c r="Q1600" t="str">
        <f>_xlfn.XLOOKUP(D1600,tblSalesReps[rep_id],tblSalesReps[rep_name],"Missing")</f>
        <v>Sales Rep 14</v>
      </c>
      <c r="R1600" t="str">
        <f>_xlfn.XLOOKUP(D1600,tblSalesReps[rep_id],tblSalesReps[region],"Missing")</f>
        <v>West</v>
      </c>
    </row>
    <row r="1601" spans="1:18">
      <c r="A1601" t="s">
        <v>2130</v>
      </c>
      <c r="B1601" t="s">
        <v>653</v>
      </c>
      <c r="C1601" t="s">
        <v>26</v>
      </c>
      <c r="D1601" t="s">
        <v>53</v>
      </c>
      <c r="E1601" s="1">
        <v>45856</v>
      </c>
      <c r="F1601" s="1">
        <v>45866</v>
      </c>
      <c r="G1601" s="1">
        <v>45866</v>
      </c>
      <c r="H1601" t="s">
        <v>28</v>
      </c>
      <c r="I1601">
        <v>2</v>
      </c>
      <c r="J1601">
        <v>20</v>
      </c>
      <c r="K1601">
        <v>576000</v>
      </c>
      <c r="L1601">
        <v>100</v>
      </c>
      <c r="M1601" t="s">
        <v>29</v>
      </c>
      <c r="N1601" t="str">
        <f>_xlfn.XLOOKUP(B1601,tblCustomers[customer_id],tblCustomers[region],"Missing")</f>
        <v>East</v>
      </c>
      <c r="O1601" t="str">
        <f>_xlfn.XLOOKUP(C1601,tblProducts[product_id],tblProducts[product_name],"Missing")</f>
        <v>Security Suite</v>
      </c>
      <c r="P1601" t="str">
        <f>_xlfn.XLOOKUP(C1601,tblProducts[product_id],tblProducts[category],"Missing")</f>
        <v>Security</v>
      </c>
      <c r="Q1601" t="str">
        <f>_xlfn.XLOOKUP(D1601,tblSalesReps[rep_id],tblSalesReps[rep_name],"Missing")</f>
        <v>Sales Rep 16</v>
      </c>
      <c r="R1601" t="str">
        <f>_xlfn.XLOOKUP(D1601,tblSalesReps[rep_id],tblSalesReps[region],"Missing")</f>
        <v>East</v>
      </c>
    </row>
    <row r="1602" spans="1:18">
      <c r="A1602" t="s">
        <v>2131</v>
      </c>
      <c r="B1602" t="s">
        <v>966</v>
      </c>
      <c r="C1602" t="s">
        <v>26</v>
      </c>
      <c r="D1602" t="s">
        <v>91</v>
      </c>
      <c r="E1602" s="1">
        <v>45842</v>
      </c>
      <c r="F1602" s="1">
        <v>45878</v>
      </c>
      <c r="G1602" s="1">
        <v>45878</v>
      </c>
      <c r="H1602" t="s">
        <v>17</v>
      </c>
      <c r="I1602">
        <v>3</v>
      </c>
      <c r="J1602">
        <v>5</v>
      </c>
      <c r="K1602">
        <v>1026000</v>
      </c>
      <c r="L1602">
        <v>0</v>
      </c>
      <c r="M1602" t="s">
        <v>47</v>
      </c>
      <c r="N1602" t="str">
        <f>_xlfn.XLOOKUP(B1602,tblCustomers[customer_id],tblCustomers[region],"Missing")</f>
        <v>South</v>
      </c>
      <c r="O1602" t="str">
        <f>_xlfn.XLOOKUP(C1602,tblProducts[product_id],tblProducts[product_name],"Missing")</f>
        <v>Security Suite</v>
      </c>
      <c r="P1602" t="str">
        <f>_xlfn.XLOOKUP(C1602,tblProducts[product_id],tblProducts[category],"Missing")</f>
        <v>Security</v>
      </c>
      <c r="Q1602" t="str">
        <f>_xlfn.XLOOKUP(D1602,tblSalesReps[rep_id],tblSalesReps[rep_name],"Missing")</f>
        <v>Sales Rep 03</v>
      </c>
      <c r="R1602" t="str">
        <f>_xlfn.XLOOKUP(D1602,tblSalesReps[rep_id],tblSalesReps[region],"Missing")</f>
        <v>South</v>
      </c>
    </row>
    <row r="1603" spans="1:18">
      <c r="A1603" t="s">
        <v>2132</v>
      </c>
      <c r="B1603" t="s">
        <v>95</v>
      </c>
      <c r="C1603" t="s">
        <v>62</v>
      </c>
      <c r="D1603" t="s">
        <v>46</v>
      </c>
      <c r="E1603" s="1">
        <v>45714</v>
      </c>
      <c r="F1603" s="1">
        <v>45728</v>
      </c>
      <c r="G1603" s="1">
        <v>45728</v>
      </c>
      <c r="H1603" t="s">
        <v>17</v>
      </c>
      <c r="I1603">
        <v>1</v>
      </c>
      <c r="J1603">
        <v>10</v>
      </c>
      <c r="K1603">
        <v>108000</v>
      </c>
      <c r="L1603">
        <v>0</v>
      </c>
      <c r="M1603" t="s">
        <v>23</v>
      </c>
      <c r="N1603" t="str">
        <f>_xlfn.XLOOKUP(B1603,tblCustomers[customer_id],tblCustomers[region],"Missing")</f>
        <v>South</v>
      </c>
      <c r="O1603" t="str">
        <f>_xlfn.XLOOKUP(C1603,tblProducts[product_id],tblProducts[product_name],"Missing")</f>
        <v>CRM Essentials</v>
      </c>
      <c r="P1603" t="str">
        <f>_xlfn.XLOOKUP(C1603,tblProducts[product_id],tblProducts[category],"Missing")</f>
        <v>CRM</v>
      </c>
      <c r="Q1603" t="str">
        <f>_xlfn.XLOOKUP(D1603,tblSalesReps[rep_id],tblSalesReps[rep_name],"Missing")</f>
        <v>Sales Rep 01</v>
      </c>
      <c r="R1603" t="str">
        <f>_xlfn.XLOOKUP(D1603,tblSalesReps[rep_id],tblSalesReps[region],"Missing")</f>
        <v>South</v>
      </c>
    </row>
    <row r="1604" spans="1:18">
      <c r="A1604" t="s">
        <v>2133</v>
      </c>
      <c r="B1604" t="s">
        <v>371</v>
      </c>
      <c r="C1604" t="s">
        <v>62</v>
      </c>
      <c r="D1604" t="s">
        <v>63</v>
      </c>
      <c r="E1604" s="1">
        <v>45920</v>
      </c>
      <c r="F1604" s="1">
        <v>45951</v>
      </c>
      <c r="G1604" s="1">
        <v>45951</v>
      </c>
      <c r="H1604" t="s">
        <v>28</v>
      </c>
      <c r="I1604">
        <v>3</v>
      </c>
      <c r="J1604">
        <v>10</v>
      </c>
      <c r="K1604">
        <v>324000</v>
      </c>
      <c r="L1604">
        <v>100</v>
      </c>
      <c r="M1604" t="s">
        <v>29</v>
      </c>
      <c r="N1604" t="str">
        <f>_xlfn.XLOOKUP(B1604,tblCustomers[customer_id],tblCustomers[region],"Missing")</f>
        <v>South</v>
      </c>
      <c r="O1604" t="str">
        <f>_xlfn.XLOOKUP(C1604,tblProducts[product_id],tblProducts[product_name],"Missing")</f>
        <v>CRM Essentials</v>
      </c>
      <c r="P1604" t="str">
        <f>_xlfn.XLOOKUP(C1604,tblProducts[product_id],tblProducts[category],"Missing")</f>
        <v>CRM</v>
      </c>
      <c r="Q1604" t="str">
        <f>_xlfn.XLOOKUP(D1604,tblSalesReps[rep_id],tblSalesReps[rep_name],"Missing")</f>
        <v>Sales Rep 05</v>
      </c>
      <c r="R1604" t="str">
        <f>_xlfn.XLOOKUP(D1604,tblSalesReps[rep_id],tblSalesReps[region],"Missing")</f>
        <v>South</v>
      </c>
    </row>
    <row r="1605" spans="1:18">
      <c r="A1605" t="s">
        <v>2134</v>
      </c>
      <c r="B1605" t="s">
        <v>211</v>
      </c>
      <c r="C1605" t="s">
        <v>21</v>
      </c>
      <c r="D1605" t="s">
        <v>91</v>
      </c>
      <c r="E1605" s="1">
        <v>45928</v>
      </c>
      <c r="F1605" s="1">
        <v>45994</v>
      </c>
      <c r="G1605" s="1">
        <v>45994</v>
      </c>
      <c r="H1605" t="s">
        <v>28</v>
      </c>
      <c r="I1605">
        <v>1</v>
      </c>
      <c r="J1605">
        <v>15</v>
      </c>
      <c r="K1605">
        <v>204000</v>
      </c>
      <c r="L1605">
        <v>100</v>
      </c>
      <c r="M1605" t="s">
        <v>29</v>
      </c>
      <c r="N1605" t="str">
        <f>_xlfn.XLOOKUP(B1605,tblCustomers[customer_id],tblCustomers[region],"Missing")</f>
        <v>South</v>
      </c>
      <c r="O1605" t="str">
        <f>_xlfn.XLOOKUP(C1605,tblProducts[product_id],tblProducts[product_name],"Missing")</f>
        <v>Workflow Automate</v>
      </c>
      <c r="P1605" t="str">
        <f>_xlfn.XLOOKUP(C1605,tblProducts[product_id],tblProducts[category],"Missing")</f>
        <v>Automation</v>
      </c>
      <c r="Q1605" t="str">
        <f>_xlfn.XLOOKUP(D1605,tblSalesReps[rep_id],tblSalesReps[rep_name],"Missing")</f>
        <v>Sales Rep 03</v>
      </c>
      <c r="R1605" t="str">
        <f>_xlfn.XLOOKUP(D1605,tblSalesReps[rep_id],tblSalesReps[region],"Missing")</f>
        <v>South</v>
      </c>
    </row>
    <row r="1606" spans="1:18">
      <c r="A1606" t="s">
        <v>2135</v>
      </c>
      <c r="B1606" t="s">
        <v>1869</v>
      </c>
      <c r="C1606" t="s">
        <v>26</v>
      </c>
      <c r="D1606" t="s">
        <v>32</v>
      </c>
      <c r="E1606" s="1">
        <v>45805</v>
      </c>
      <c r="F1606" s="1">
        <v>45861</v>
      </c>
      <c r="G1606" s="1">
        <v>45861</v>
      </c>
      <c r="H1606" t="s">
        <v>28</v>
      </c>
      <c r="I1606">
        <v>1</v>
      </c>
      <c r="J1606">
        <v>5</v>
      </c>
      <c r="K1606">
        <v>342000</v>
      </c>
      <c r="L1606">
        <v>100</v>
      </c>
      <c r="M1606" t="s">
        <v>29</v>
      </c>
      <c r="N1606" t="str">
        <f>_xlfn.XLOOKUP(B1606,tblCustomers[customer_id],tblCustomers[region],"Missing")</f>
        <v>South</v>
      </c>
      <c r="O1606" t="str">
        <f>_xlfn.XLOOKUP(C1606,tblProducts[product_id],tblProducts[product_name],"Missing")</f>
        <v>Security Suite</v>
      </c>
      <c r="P1606" t="str">
        <f>_xlfn.XLOOKUP(C1606,tblProducts[product_id],tblProducts[category],"Missing")</f>
        <v>Security</v>
      </c>
      <c r="Q1606" t="str">
        <f>_xlfn.XLOOKUP(D1606,tblSalesReps[rep_id],tblSalesReps[rep_name],"Missing")</f>
        <v>Sales Rep 04</v>
      </c>
      <c r="R1606" t="str">
        <f>_xlfn.XLOOKUP(D1606,tblSalesReps[rep_id],tblSalesReps[region],"Missing")</f>
        <v>South</v>
      </c>
    </row>
    <row r="1607" spans="1:18">
      <c r="A1607" t="s">
        <v>2136</v>
      </c>
      <c r="B1607" t="s">
        <v>133</v>
      </c>
      <c r="C1607" t="s">
        <v>81</v>
      </c>
      <c r="D1607" t="s">
        <v>50</v>
      </c>
      <c r="E1607" s="1">
        <v>45754</v>
      </c>
      <c r="F1607" s="1">
        <v>45839</v>
      </c>
      <c r="G1607" s="1">
        <v>45839</v>
      </c>
      <c r="H1607" t="s">
        <v>28</v>
      </c>
      <c r="I1607">
        <v>3</v>
      </c>
      <c r="J1607">
        <v>0</v>
      </c>
      <c r="K1607">
        <v>900000</v>
      </c>
      <c r="L1607">
        <v>100</v>
      </c>
      <c r="M1607" t="s">
        <v>29</v>
      </c>
      <c r="N1607" t="str">
        <f>_xlfn.XLOOKUP(B1607,tblCustomers[customer_id],tblCustomers[region],"Missing")</f>
        <v>West</v>
      </c>
      <c r="O1607" t="str">
        <f>_xlfn.XLOOKUP(C1607,tblProducts[product_id],tblProducts[product_name],"Missing")</f>
        <v>Analytics Cloud</v>
      </c>
      <c r="P1607" t="str">
        <f>_xlfn.XLOOKUP(C1607,tblProducts[product_id],tblProducts[category],"Missing")</f>
        <v>Analytics</v>
      </c>
      <c r="Q1607" t="str">
        <f>_xlfn.XLOOKUP(D1607,tblSalesReps[rep_id],tblSalesReps[rep_name],"Missing")</f>
        <v>Sales Rep 15</v>
      </c>
      <c r="R1607" t="str">
        <f>_xlfn.XLOOKUP(D1607,tblSalesReps[rep_id],tblSalesReps[region],"Missing")</f>
        <v>West</v>
      </c>
    </row>
    <row r="1608" spans="1:18">
      <c r="A1608" t="s">
        <v>2137</v>
      </c>
      <c r="B1608" t="s">
        <v>1634</v>
      </c>
      <c r="C1608" t="s">
        <v>39</v>
      </c>
      <c r="D1608" t="s">
        <v>78</v>
      </c>
      <c r="E1608" s="1">
        <v>45983</v>
      </c>
      <c r="F1608" s="1">
        <v>46048</v>
      </c>
      <c r="G1608" s="1"/>
      <c r="H1608" t="s">
        <v>43</v>
      </c>
      <c r="I1608">
        <v>1</v>
      </c>
      <c r="J1608">
        <v>5</v>
      </c>
      <c r="K1608">
        <v>171000</v>
      </c>
      <c r="L1608">
        <v>80</v>
      </c>
      <c r="M1608" t="s">
        <v>29</v>
      </c>
      <c r="N1608" t="str">
        <f>_xlfn.XLOOKUP(B1608,tblCustomers[customer_id],tblCustomers[region],"Missing")</f>
        <v>West</v>
      </c>
      <c r="O1608" t="str">
        <f>_xlfn.XLOOKUP(C1608,tblProducts[product_id],tblProducts[product_name],"Missing")</f>
        <v>Support Desk</v>
      </c>
      <c r="P1608" t="str">
        <f>_xlfn.XLOOKUP(C1608,tblProducts[product_id],tblProducts[category],"Missing")</f>
        <v>Service</v>
      </c>
      <c r="Q1608" t="str">
        <f>_xlfn.XLOOKUP(D1608,tblSalesReps[rep_id],tblSalesReps[rep_name],"Missing")</f>
        <v>Sales Rep 12</v>
      </c>
      <c r="R1608" t="str">
        <f>_xlfn.XLOOKUP(D1608,tblSalesReps[rep_id],tblSalesReps[region],"Missing")</f>
        <v>West</v>
      </c>
    </row>
    <row r="1609" spans="1:18">
      <c r="A1609" t="s">
        <v>2138</v>
      </c>
      <c r="B1609" t="s">
        <v>131</v>
      </c>
      <c r="C1609" t="s">
        <v>15</v>
      </c>
      <c r="D1609" t="s">
        <v>119</v>
      </c>
      <c r="E1609" s="1">
        <v>45870</v>
      </c>
      <c r="F1609" s="1">
        <v>45910</v>
      </c>
      <c r="G1609" s="1"/>
      <c r="H1609" t="s">
        <v>43</v>
      </c>
      <c r="I1609">
        <v>1</v>
      </c>
      <c r="J1609">
        <v>20</v>
      </c>
      <c r="K1609">
        <v>336000</v>
      </c>
      <c r="L1609">
        <v>60</v>
      </c>
      <c r="M1609" t="s">
        <v>29</v>
      </c>
      <c r="N1609" t="str">
        <f>_xlfn.XLOOKUP(B1609,tblCustomers[customer_id],tblCustomers[region],"Missing")</f>
        <v>North</v>
      </c>
      <c r="O1609" t="str">
        <f>_xlfn.XLOOKUP(C1609,tblProducts[product_id],tblProducts[product_name],"Missing")</f>
        <v>CRM Enterprise</v>
      </c>
      <c r="P1609" t="str">
        <f>_xlfn.XLOOKUP(C1609,tblProducts[product_id],tblProducts[category],"Missing")</f>
        <v>CRM</v>
      </c>
      <c r="Q1609" t="str">
        <f>_xlfn.XLOOKUP(D1609,tblSalesReps[rep_id],tblSalesReps[rep_name],"Missing")</f>
        <v>Sales Rep 10</v>
      </c>
      <c r="R1609" t="str">
        <f>_xlfn.XLOOKUP(D1609,tblSalesReps[rep_id],tblSalesReps[region],"Missing")</f>
        <v>North</v>
      </c>
    </row>
    <row r="1610" spans="1:18">
      <c r="A1610" t="s">
        <v>2139</v>
      </c>
      <c r="B1610" t="s">
        <v>196</v>
      </c>
      <c r="C1610" t="s">
        <v>15</v>
      </c>
      <c r="D1610" t="s">
        <v>126</v>
      </c>
      <c r="E1610" s="1">
        <v>45681</v>
      </c>
      <c r="F1610" s="1">
        <v>45691</v>
      </c>
      <c r="G1610" s="1">
        <v>45691</v>
      </c>
      <c r="H1610" t="s">
        <v>17</v>
      </c>
      <c r="I1610">
        <v>3</v>
      </c>
      <c r="J1610">
        <v>20</v>
      </c>
      <c r="K1610">
        <v>1008000</v>
      </c>
      <c r="L1610">
        <v>0</v>
      </c>
      <c r="M1610" t="s">
        <v>18</v>
      </c>
      <c r="N1610" t="str">
        <f>_xlfn.XLOOKUP(B1610,tblCustomers[customer_id],tblCustomers[region],"Missing")</f>
        <v>South</v>
      </c>
      <c r="O1610" t="str">
        <f>_xlfn.XLOOKUP(C1610,tblProducts[product_id],tblProducts[product_name],"Missing")</f>
        <v>CRM Enterprise</v>
      </c>
      <c r="P1610" t="str">
        <f>_xlfn.XLOOKUP(C1610,tblProducts[product_id],tblProducts[category],"Missing")</f>
        <v>CRM</v>
      </c>
      <c r="Q1610" t="str">
        <f>_xlfn.XLOOKUP(D1610,tblSalesReps[rep_id],tblSalesReps[rep_name],"Missing")</f>
        <v>Sales Rep 02</v>
      </c>
      <c r="R1610" t="str">
        <f>_xlfn.XLOOKUP(D1610,tblSalesReps[rep_id],tblSalesReps[region],"Missing")</f>
        <v>South</v>
      </c>
    </row>
    <row r="1611" spans="1:18">
      <c r="A1611" t="s">
        <v>2140</v>
      </c>
      <c r="B1611" t="s">
        <v>1209</v>
      </c>
      <c r="C1611" t="s">
        <v>15</v>
      </c>
      <c r="D1611" t="s">
        <v>152</v>
      </c>
      <c r="E1611" s="1">
        <v>45953</v>
      </c>
      <c r="F1611" s="1">
        <v>45979</v>
      </c>
      <c r="G1611" s="1">
        <v>45979</v>
      </c>
      <c r="H1611" t="s">
        <v>28</v>
      </c>
      <c r="I1611">
        <v>1</v>
      </c>
      <c r="J1611">
        <v>10</v>
      </c>
      <c r="K1611">
        <v>378000</v>
      </c>
      <c r="L1611">
        <v>100</v>
      </c>
      <c r="M1611" t="s">
        <v>29</v>
      </c>
      <c r="N1611" t="str">
        <f>_xlfn.XLOOKUP(B1611,tblCustomers[customer_id],tblCustomers[region],"Missing")</f>
        <v>East</v>
      </c>
      <c r="O1611" t="str">
        <f>_xlfn.XLOOKUP(C1611,tblProducts[product_id],tblProducts[product_name],"Missing")</f>
        <v>CRM Enterprise</v>
      </c>
      <c r="P1611" t="str">
        <f>_xlfn.XLOOKUP(C1611,tblProducts[product_id],tblProducts[category],"Missing")</f>
        <v>CRM</v>
      </c>
      <c r="Q1611" t="str">
        <f>_xlfn.XLOOKUP(D1611,tblSalesReps[rep_id],tblSalesReps[rep_name],"Missing")</f>
        <v>Sales Rep 18</v>
      </c>
      <c r="R1611" t="str">
        <f>_xlfn.XLOOKUP(D1611,tblSalesReps[rep_id],tblSalesReps[region],"Missing")</f>
        <v>East</v>
      </c>
    </row>
    <row r="1612" spans="1:18">
      <c r="A1612" t="s">
        <v>2141</v>
      </c>
      <c r="B1612" t="s">
        <v>1135</v>
      </c>
      <c r="C1612" t="s">
        <v>15</v>
      </c>
      <c r="D1612" t="s">
        <v>126</v>
      </c>
      <c r="E1612" s="1">
        <v>45755</v>
      </c>
      <c r="F1612" s="1">
        <v>45800</v>
      </c>
      <c r="G1612" s="1">
        <v>45800</v>
      </c>
      <c r="H1612" t="s">
        <v>28</v>
      </c>
      <c r="I1612">
        <v>1</v>
      </c>
      <c r="J1612">
        <v>20</v>
      </c>
      <c r="K1612">
        <v>336000</v>
      </c>
      <c r="L1612">
        <v>100</v>
      </c>
      <c r="M1612" t="s">
        <v>29</v>
      </c>
      <c r="N1612" t="str">
        <f>_xlfn.XLOOKUP(B1612,tblCustomers[customer_id],tblCustomers[region],"Missing")</f>
        <v>South</v>
      </c>
      <c r="O1612" t="str">
        <f>_xlfn.XLOOKUP(C1612,tblProducts[product_id],tblProducts[product_name],"Missing")</f>
        <v>CRM Enterprise</v>
      </c>
      <c r="P1612" t="str">
        <f>_xlfn.XLOOKUP(C1612,tblProducts[product_id],tblProducts[category],"Missing")</f>
        <v>CRM</v>
      </c>
      <c r="Q1612" t="str">
        <f>_xlfn.XLOOKUP(D1612,tblSalesReps[rep_id],tblSalesReps[rep_name],"Missing")</f>
        <v>Sales Rep 02</v>
      </c>
      <c r="R1612" t="str">
        <f>_xlfn.XLOOKUP(D1612,tblSalesReps[rep_id],tblSalesReps[region],"Missing")</f>
        <v>South</v>
      </c>
    </row>
    <row r="1613" spans="1:18">
      <c r="A1613" t="s">
        <v>2142</v>
      </c>
      <c r="B1613" t="s">
        <v>42</v>
      </c>
      <c r="C1613" t="s">
        <v>15</v>
      </c>
      <c r="D1613" t="s">
        <v>36</v>
      </c>
      <c r="E1613" s="1">
        <v>45950</v>
      </c>
      <c r="F1613" s="1">
        <v>46002</v>
      </c>
      <c r="G1613" s="1">
        <v>46002</v>
      </c>
      <c r="H1613" t="s">
        <v>28</v>
      </c>
      <c r="I1613">
        <v>2</v>
      </c>
      <c r="J1613">
        <v>20</v>
      </c>
      <c r="K1613">
        <v>672000</v>
      </c>
      <c r="L1613">
        <v>100</v>
      </c>
      <c r="M1613" t="s">
        <v>29</v>
      </c>
      <c r="N1613" t="str">
        <f>_xlfn.XLOOKUP(B1613,tblCustomers[customer_id],tblCustomers[region],"Missing")</f>
        <v>North</v>
      </c>
      <c r="O1613" t="str">
        <f>_xlfn.XLOOKUP(C1613,tblProducts[product_id],tblProducts[product_name],"Missing")</f>
        <v>CRM Enterprise</v>
      </c>
      <c r="P1613" t="str">
        <f>_xlfn.XLOOKUP(C1613,tblProducts[product_id],tblProducts[category],"Missing")</f>
        <v>CRM</v>
      </c>
      <c r="Q1613" t="str">
        <f>_xlfn.XLOOKUP(D1613,tblSalesReps[rep_id],tblSalesReps[rep_name],"Missing")</f>
        <v>Sales Rep 09</v>
      </c>
      <c r="R1613" t="str">
        <f>_xlfn.XLOOKUP(D1613,tblSalesReps[rep_id],tblSalesReps[region],"Missing")</f>
        <v>North</v>
      </c>
    </row>
    <row r="1614" spans="1:18">
      <c r="A1614" t="s">
        <v>2143</v>
      </c>
      <c r="B1614" t="s">
        <v>339</v>
      </c>
      <c r="C1614" t="s">
        <v>81</v>
      </c>
      <c r="D1614" t="s">
        <v>78</v>
      </c>
      <c r="E1614" s="1">
        <v>45858</v>
      </c>
      <c r="F1614" s="1">
        <v>45923</v>
      </c>
      <c r="G1614" s="1"/>
      <c r="H1614" t="s">
        <v>43</v>
      </c>
      <c r="I1614">
        <v>1</v>
      </c>
      <c r="J1614">
        <v>5</v>
      </c>
      <c r="K1614">
        <v>285000</v>
      </c>
      <c r="L1614">
        <v>80</v>
      </c>
      <c r="M1614" t="s">
        <v>29</v>
      </c>
      <c r="N1614" t="str">
        <f>_xlfn.XLOOKUP(B1614,tblCustomers[customer_id],tblCustomers[region],"Missing")</f>
        <v>West</v>
      </c>
      <c r="O1614" t="str">
        <f>_xlfn.XLOOKUP(C1614,tblProducts[product_id],tblProducts[product_name],"Missing")</f>
        <v>Analytics Cloud</v>
      </c>
      <c r="P1614" t="str">
        <f>_xlfn.XLOOKUP(C1614,tblProducts[product_id],tblProducts[category],"Missing")</f>
        <v>Analytics</v>
      </c>
      <c r="Q1614" t="str">
        <f>_xlfn.XLOOKUP(D1614,tblSalesReps[rep_id],tblSalesReps[rep_name],"Missing")</f>
        <v>Sales Rep 12</v>
      </c>
      <c r="R1614" t="str">
        <f>_xlfn.XLOOKUP(D1614,tblSalesReps[rep_id],tblSalesReps[region],"Missing")</f>
        <v>West</v>
      </c>
    </row>
    <row r="1615" spans="1:18">
      <c r="A1615" t="s">
        <v>2144</v>
      </c>
      <c r="B1615" t="s">
        <v>1062</v>
      </c>
      <c r="C1615" t="s">
        <v>39</v>
      </c>
      <c r="D1615" t="s">
        <v>16</v>
      </c>
      <c r="E1615" s="1">
        <v>45740</v>
      </c>
      <c r="F1615" s="1">
        <v>45750</v>
      </c>
      <c r="G1615" s="1">
        <v>45750</v>
      </c>
      <c r="H1615" t="s">
        <v>28</v>
      </c>
      <c r="I1615">
        <v>1</v>
      </c>
      <c r="J1615">
        <v>20</v>
      </c>
      <c r="K1615">
        <v>144000</v>
      </c>
      <c r="L1615">
        <v>100</v>
      </c>
      <c r="M1615" t="s">
        <v>29</v>
      </c>
      <c r="N1615" t="str">
        <f>_xlfn.XLOOKUP(B1615,tblCustomers[customer_id],tblCustomers[region],"Missing")</f>
        <v>North</v>
      </c>
      <c r="O1615" t="str">
        <f>_xlfn.XLOOKUP(C1615,tblProducts[product_id],tblProducts[product_name],"Missing")</f>
        <v>Support Desk</v>
      </c>
      <c r="P1615" t="str">
        <f>_xlfn.XLOOKUP(C1615,tblProducts[product_id],tblProducts[category],"Missing")</f>
        <v>Service</v>
      </c>
      <c r="Q1615" t="str">
        <f>_xlfn.XLOOKUP(D1615,tblSalesReps[rep_id],tblSalesReps[rep_name],"Missing")</f>
        <v>Sales Rep 08</v>
      </c>
      <c r="R1615" t="str">
        <f>_xlfn.XLOOKUP(D1615,tblSalesReps[rep_id],tblSalesReps[region],"Missing")</f>
        <v>North</v>
      </c>
    </row>
    <row r="1616" spans="1:18">
      <c r="A1616" t="s">
        <v>2145</v>
      </c>
      <c r="B1616" t="s">
        <v>795</v>
      </c>
      <c r="C1616" t="s">
        <v>15</v>
      </c>
      <c r="D1616" t="s">
        <v>78</v>
      </c>
      <c r="E1616" s="1">
        <v>45714</v>
      </c>
      <c r="F1616" s="1">
        <v>45781</v>
      </c>
      <c r="G1616" s="1">
        <v>45781</v>
      </c>
      <c r="H1616" t="s">
        <v>28</v>
      </c>
      <c r="I1616">
        <v>3</v>
      </c>
      <c r="J1616">
        <v>20</v>
      </c>
      <c r="K1616">
        <v>1008000</v>
      </c>
      <c r="L1616">
        <v>100</v>
      </c>
      <c r="M1616" t="s">
        <v>29</v>
      </c>
      <c r="N1616" t="str">
        <f>_xlfn.XLOOKUP(B1616,tblCustomers[customer_id],tblCustomers[region],"Missing")</f>
        <v>West</v>
      </c>
      <c r="O1616" t="str">
        <f>_xlfn.XLOOKUP(C1616,tblProducts[product_id],tblProducts[product_name],"Missing")</f>
        <v>CRM Enterprise</v>
      </c>
      <c r="P1616" t="str">
        <f>_xlfn.XLOOKUP(C1616,tblProducts[product_id],tblProducts[category],"Missing")</f>
        <v>CRM</v>
      </c>
      <c r="Q1616" t="str">
        <f>_xlfn.XLOOKUP(D1616,tblSalesReps[rep_id],tblSalesReps[rep_name],"Missing")</f>
        <v>Sales Rep 12</v>
      </c>
      <c r="R1616" t="str">
        <f>_xlfn.XLOOKUP(D1616,tblSalesReps[rep_id],tblSalesReps[region],"Missing")</f>
        <v>West</v>
      </c>
    </row>
    <row r="1617" spans="1:18">
      <c r="A1617" t="s">
        <v>2146</v>
      </c>
      <c r="B1617" t="s">
        <v>767</v>
      </c>
      <c r="C1617" t="s">
        <v>21</v>
      </c>
      <c r="D1617" t="s">
        <v>78</v>
      </c>
      <c r="E1617" s="1">
        <v>45752</v>
      </c>
      <c r="F1617" s="1">
        <v>45776</v>
      </c>
      <c r="G1617" s="1">
        <v>45776</v>
      </c>
      <c r="H1617" t="s">
        <v>28</v>
      </c>
      <c r="I1617">
        <v>1</v>
      </c>
      <c r="J1617">
        <v>0</v>
      </c>
      <c r="K1617">
        <v>240000</v>
      </c>
      <c r="L1617">
        <v>100</v>
      </c>
      <c r="M1617" t="s">
        <v>29</v>
      </c>
      <c r="N1617" t="str">
        <f>_xlfn.XLOOKUP(B1617,tblCustomers[customer_id],tblCustomers[region],"Missing")</f>
        <v>West</v>
      </c>
      <c r="O1617" t="str">
        <f>_xlfn.XLOOKUP(C1617,tblProducts[product_id],tblProducts[product_name],"Missing")</f>
        <v>Workflow Automate</v>
      </c>
      <c r="P1617" t="str">
        <f>_xlfn.XLOOKUP(C1617,tblProducts[product_id],tblProducts[category],"Missing")</f>
        <v>Automation</v>
      </c>
      <c r="Q1617" t="str">
        <f>_xlfn.XLOOKUP(D1617,tblSalesReps[rep_id],tblSalesReps[rep_name],"Missing")</f>
        <v>Sales Rep 12</v>
      </c>
      <c r="R1617" t="str">
        <f>_xlfn.XLOOKUP(D1617,tblSalesReps[rep_id],tblSalesReps[region],"Missing")</f>
        <v>West</v>
      </c>
    </row>
    <row r="1618" spans="1:18">
      <c r="A1618" t="s">
        <v>2147</v>
      </c>
      <c r="B1618" t="s">
        <v>900</v>
      </c>
      <c r="C1618" t="s">
        <v>26</v>
      </c>
      <c r="D1618" t="s">
        <v>70</v>
      </c>
      <c r="E1618" s="1">
        <v>45881</v>
      </c>
      <c r="F1618" s="1">
        <v>45908</v>
      </c>
      <c r="G1618" s="1">
        <v>45908</v>
      </c>
      <c r="H1618" t="s">
        <v>17</v>
      </c>
      <c r="I1618">
        <v>2</v>
      </c>
      <c r="J1618">
        <v>20</v>
      </c>
      <c r="K1618">
        <v>576000</v>
      </c>
      <c r="L1618">
        <v>0</v>
      </c>
      <c r="M1618" t="s">
        <v>47</v>
      </c>
      <c r="N1618" t="str">
        <f>_xlfn.XLOOKUP(B1618,tblCustomers[customer_id],tblCustomers[region],"Missing")</f>
        <v>West</v>
      </c>
      <c r="O1618" t="str">
        <f>_xlfn.XLOOKUP(C1618,tblProducts[product_id],tblProducts[product_name],"Missing")</f>
        <v>Security Suite</v>
      </c>
      <c r="P1618" t="str">
        <f>_xlfn.XLOOKUP(C1618,tblProducts[product_id],tblProducts[category],"Missing")</f>
        <v>Security</v>
      </c>
      <c r="Q1618" t="str">
        <f>_xlfn.XLOOKUP(D1618,tblSalesReps[rep_id],tblSalesReps[rep_name],"Missing")</f>
        <v>Sales Rep 11</v>
      </c>
      <c r="R1618" t="str">
        <f>_xlfn.XLOOKUP(D1618,tblSalesReps[rep_id],tblSalesReps[region],"Missing")</f>
        <v>West</v>
      </c>
    </row>
    <row r="1619" spans="1:18">
      <c r="A1619" t="s">
        <v>2148</v>
      </c>
      <c r="B1619" t="s">
        <v>792</v>
      </c>
      <c r="C1619" t="s">
        <v>62</v>
      </c>
      <c r="D1619" t="s">
        <v>50</v>
      </c>
      <c r="E1619" s="1">
        <v>45813</v>
      </c>
      <c r="F1619" s="1">
        <v>45852</v>
      </c>
      <c r="G1619" s="1">
        <v>45852</v>
      </c>
      <c r="H1619" t="s">
        <v>17</v>
      </c>
      <c r="I1619">
        <v>1</v>
      </c>
      <c r="J1619">
        <v>5</v>
      </c>
      <c r="K1619">
        <v>114000</v>
      </c>
      <c r="L1619">
        <v>0</v>
      </c>
      <c r="M1619" t="s">
        <v>47</v>
      </c>
      <c r="N1619" t="str">
        <f>_xlfn.XLOOKUP(B1619,tblCustomers[customer_id],tblCustomers[region],"Missing")</f>
        <v>West</v>
      </c>
      <c r="O1619" t="str">
        <f>_xlfn.XLOOKUP(C1619,tblProducts[product_id],tblProducts[product_name],"Missing")</f>
        <v>CRM Essentials</v>
      </c>
      <c r="P1619" t="str">
        <f>_xlfn.XLOOKUP(C1619,tblProducts[product_id],tblProducts[category],"Missing")</f>
        <v>CRM</v>
      </c>
      <c r="Q1619" t="str">
        <f>_xlfn.XLOOKUP(D1619,tblSalesReps[rep_id],tblSalesReps[rep_name],"Missing")</f>
        <v>Sales Rep 15</v>
      </c>
      <c r="R1619" t="str">
        <f>_xlfn.XLOOKUP(D1619,tblSalesReps[rep_id],tblSalesReps[region],"Missing")</f>
        <v>West</v>
      </c>
    </row>
    <row r="1620" spans="1:18">
      <c r="A1620" t="s">
        <v>2149</v>
      </c>
      <c r="B1620" t="s">
        <v>1318</v>
      </c>
      <c r="C1620" t="s">
        <v>62</v>
      </c>
      <c r="D1620" t="s">
        <v>126</v>
      </c>
      <c r="E1620" s="1">
        <v>45992</v>
      </c>
      <c r="F1620" s="1">
        <v>45999</v>
      </c>
      <c r="G1620" s="1">
        <v>45999</v>
      </c>
      <c r="H1620" t="s">
        <v>17</v>
      </c>
      <c r="I1620">
        <v>1</v>
      </c>
      <c r="J1620">
        <v>10</v>
      </c>
      <c r="K1620">
        <v>108000</v>
      </c>
      <c r="L1620">
        <v>0</v>
      </c>
      <c r="M1620" t="s">
        <v>18</v>
      </c>
      <c r="N1620" t="str">
        <f>_xlfn.XLOOKUP(B1620,tblCustomers[customer_id],tblCustomers[region],"Missing")</f>
        <v>South</v>
      </c>
      <c r="O1620" t="str">
        <f>_xlfn.XLOOKUP(C1620,tblProducts[product_id],tblProducts[product_name],"Missing")</f>
        <v>CRM Essentials</v>
      </c>
      <c r="P1620" t="str">
        <f>_xlfn.XLOOKUP(C1620,tblProducts[product_id],tblProducts[category],"Missing")</f>
        <v>CRM</v>
      </c>
      <c r="Q1620" t="str">
        <f>_xlfn.XLOOKUP(D1620,tblSalesReps[rep_id],tblSalesReps[rep_name],"Missing")</f>
        <v>Sales Rep 02</v>
      </c>
      <c r="R1620" t="str">
        <f>_xlfn.XLOOKUP(D1620,tblSalesReps[rep_id],tblSalesReps[region],"Missing")</f>
        <v>South</v>
      </c>
    </row>
    <row r="1621" spans="1:18">
      <c r="A1621" t="s">
        <v>2150</v>
      </c>
      <c r="B1621" t="s">
        <v>990</v>
      </c>
      <c r="C1621" t="s">
        <v>39</v>
      </c>
      <c r="D1621" t="s">
        <v>53</v>
      </c>
      <c r="E1621" s="1">
        <v>45870</v>
      </c>
      <c r="F1621" s="1">
        <v>45905</v>
      </c>
      <c r="G1621" s="1">
        <v>45905</v>
      </c>
      <c r="H1621" t="s">
        <v>17</v>
      </c>
      <c r="I1621">
        <v>1</v>
      </c>
      <c r="J1621">
        <v>15</v>
      </c>
      <c r="K1621">
        <v>153000</v>
      </c>
      <c r="L1621">
        <v>0</v>
      </c>
      <c r="M1621" t="s">
        <v>33</v>
      </c>
      <c r="N1621" t="str">
        <f>_xlfn.XLOOKUP(B1621,tblCustomers[customer_id],tblCustomers[region],"Missing")</f>
        <v>East</v>
      </c>
      <c r="O1621" t="str">
        <f>_xlfn.XLOOKUP(C1621,tblProducts[product_id],tblProducts[product_name],"Missing")</f>
        <v>Support Desk</v>
      </c>
      <c r="P1621" t="str">
        <f>_xlfn.XLOOKUP(C1621,tblProducts[product_id],tblProducts[category],"Missing")</f>
        <v>Service</v>
      </c>
      <c r="Q1621" t="str">
        <f>_xlfn.XLOOKUP(D1621,tblSalesReps[rep_id],tblSalesReps[rep_name],"Missing")</f>
        <v>Sales Rep 16</v>
      </c>
      <c r="R1621" t="str">
        <f>_xlfn.XLOOKUP(D1621,tblSalesReps[rep_id],tblSalesReps[region],"Missing")</f>
        <v>East</v>
      </c>
    </row>
    <row r="1622" spans="1:18">
      <c r="A1622" t="s">
        <v>2151</v>
      </c>
      <c r="B1622" t="s">
        <v>1211</v>
      </c>
      <c r="C1622" t="s">
        <v>81</v>
      </c>
      <c r="D1622" t="s">
        <v>22</v>
      </c>
      <c r="E1622" s="1">
        <v>45793</v>
      </c>
      <c r="F1622" s="1">
        <v>45800</v>
      </c>
      <c r="G1622" s="1">
        <v>45800</v>
      </c>
      <c r="H1622" t="s">
        <v>17</v>
      </c>
      <c r="I1622">
        <v>1</v>
      </c>
      <c r="J1622">
        <v>20</v>
      </c>
      <c r="K1622">
        <v>240000</v>
      </c>
      <c r="L1622">
        <v>0</v>
      </c>
      <c r="M1622" t="s">
        <v>18</v>
      </c>
      <c r="N1622" t="str">
        <f>_xlfn.XLOOKUP(B1622,tblCustomers[customer_id],tblCustomers[region],"Missing")</f>
        <v>West</v>
      </c>
      <c r="O1622" t="str">
        <f>_xlfn.XLOOKUP(C1622,tblProducts[product_id],tblProducts[product_name],"Missing")</f>
        <v>Analytics Cloud</v>
      </c>
      <c r="P1622" t="str">
        <f>_xlfn.XLOOKUP(C1622,tblProducts[product_id],tblProducts[category],"Missing")</f>
        <v>Analytics</v>
      </c>
      <c r="Q1622" t="str">
        <f>_xlfn.XLOOKUP(D1622,tblSalesReps[rep_id],tblSalesReps[rep_name],"Missing")</f>
        <v>Sales Rep 14</v>
      </c>
      <c r="R1622" t="str">
        <f>_xlfn.XLOOKUP(D1622,tblSalesReps[rep_id],tblSalesReps[region],"Missing")</f>
        <v>West</v>
      </c>
    </row>
    <row r="1623" spans="1:18">
      <c r="A1623" t="s">
        <v>2152</v>
      </c>
      <c r="B1623" t="s">
        <v>147</v>
      </c>
      <c r="C1623" t="s">
        <v>39</v>
      </c>
      <c r="D1623" t="s">
        <v>75</v>
      </c>
      <c r="E1623" s="1">
        <v>45809</v>
      </c>
      <c r="F1623" s="1">
        <v>45861</v>
      </c>
      <c r="G1623" s="1">
        <v>45861</v>
      </c>
      <c r="H1623" t="s">
        <v>28</v>
      </c>
      <c r="I1623">
        <v>1</v>
      </c>
      <c r="J1623">
        <v>10</v>
      </c>
      <c r="K1623">
        <v>162000</v>
      </c>
      <c r="L1623">
        <v>100</v>
      </c>
      <c r="M1623" t="s">
        <v>29</v>
      </c>
      <c r="N1623" t="str">
        <f>_xlfn.XLOOKUP(B1623,tblCustomers[customer_id],tblCustomers[region],"Missing")</f>
        <v>North</v>
      </c>
      <c r="O1623" t="str">
        <f>_xlfn.XLOOKUP(C1623,tblProducts[product_id],tblProducts[product_name],"Missing")</f>
        <v>Support Desk</v>
      </c>
      <c r="P1623" t="str">
        <f>_xlfn.XLOOKUP(C1623,tblProducts[product_id],tblProducts[category],"Missing")</f>
        <v>Service</v>
      </c>
      <c r="Q1623" t="str">
        <f>_xlfn.XLOOKUP(D1623,tblSalesReps[rep_id],tblSalesReps[rep_name],"Missing")</f>
        <v>Sales Rep 07</v>
      </c>
      <c r="R1623" t="str">
        <f>_xlfn.XLOOKUP(D1623,tblSalesReps[rep_id],tblSalesReps[region],"Missing")</f>
        <v>North</v>
      </c>
    </row>
    <row r="1624" spans="1:18">
      <c r="A1624" t="s">
        <v>2153</v>
      </c>
      <c r="B1624" t="s">
        <v>491</v>
      </c>
      <c r="C1624" t="s">
        <v>15</v>
      </c>
      <c r="D1624" t="s">
        <v>168</v>
      </c>
      <c r="E1624" s="1">
        <v>45726</v>
      </c>
      <c r="F1624" s="1">
        <v>45803</v>
      </c>
      <c r="G1624" s="1">
        <v>45803</v>
      </c>
      <c r="H1624" t="s">
        <v>17</v>
      </c>
      <c r="I1624">
        <v>1</v>
      </c>
      <c r="J1624">
        <v>10</v>
      </c>
      <c r="K1624">
        <v>378000</v>
      </c>
      <c r="L1624">
        <v>0</v>
      </c>
      <c r="M1624" t="s">
        <v>82</v>
      </c>
      <c r="N1624" t="str">
        <f>_xlfn.XLOOKUP(B1624,tblCustomers[customer_id],tblCustomers[region],"Missing")</f>
        <v>East</v>
      </c>
      <c r="O1624" t="str">
        <f>_xlfn.XLOOKUP(C1624,tblProducts[product_id],tblProducts[product_name],"Missing")</f>
        <v>CRM Enterprise</v>
      </c>
      <c r="P1624" t="str">
        <f>_xlfn.XLOOKUP(C1624,tblProducts[product_id],tblProducts[category],"Missing")</f>
        <v>CRM</v>
      </c>
      <c r="Q1624" t="str">
        <f>_xlfn.XLOOKUP(D1624,tblSalesReps[rep_id],tblSalesReps[rep_name],"Missing")</f>
        <v>Sales Rep 17</v>
      </c>
      <c r="R1624" t="str">
        <f>_xlfn.XLOOKUP(D1624,tblSalesReps[rep_id],tblSalesReps[region],"Missing")</f>
        <v>East</v>
      </c>
    </row>
    <row r="1625" spans="1:18">
      <c r="A1625" t="s">
        <v>2154</v>
      </c>
      <c r="B1625" t="s">
        <v>581</v>
      </c>
      <c r="C1625" t="s">
        <v>62</v>
      </c>
      <c r="D1625" t="s">
        <v>70</v>
      </c>
      <c r="E1625" s="1">
        <v>45717</v>
      </c>
      <c r="F1625" s="1">
        <v>45744</v>
      </c>
      <c r="G1625" s="1"/>
      <c r="H1625" t="s">
        <v>43</v>
      </c>
      <c r="I1625">
        <v>1</v>
      </c>
      <c r="J1625">
        <v>10</v>
      </c>
      <c r="K1625">
        <v>108000</v>
      </c>
      <c r="L1625">
        <v>80</v>
      </c>
      <c r="M1625" t="s">
        <v>29</v>
      </c>
      <c r="N1625" t="str">
        <f>_xlfn.XLOOKUP(B1625,tblCustomers[customer_id],tblCustomers[region],"Missing")</f>
        <v>West</v>
      </c>
      <c r="O1625" t="str">
        <f>_xlfn.XLOOKUP(C1625,tblProducts[product_id],tblProducts[product_name],"Missing")</f>
        <v>CRM Essentials</v>
      </c>
      <c r="P1625" t="str">
        <f>_xlfn.XLOOKUP(C1625,tblProducts[product_id],tblProducts[category],"Missing")</f>
        <v>CRM</v>
      </c>
      <c r="Q1625" t="str">
        <f>_xlfn.XLOOKUP(D1625,tblSalesReps[rep_id],tblSalesReps[rep_name],"Missing")</f>
        <v>Sales Rep 11</v>
      </c>
      <c r="R1625" t="str">
        <f>_xlfn.XLOOKUP(D1625,tblSalesReps[rep_id],tblSalesReps[region],"Missing")</f>
        <v>West</v>
      </c>
    </row>
    <row r="1626" spans="1:18">
      <c r="A1626" t="s">
        <v>2155</v>
      </c>
      <c r="B1626" t="s">
        <v>2156</v>
      </c>
      <c r="C1626" t="s">
        <v>62</v>
      </c>
      <c r="D1626" t="s">
        <v>22</v>
      </c>
      <c r="E1626" s="1">
        <v>45799</v>
      </c>
      <c r="F1626" s="1">
        <v>45808</v>
      </c>
      <c r="G1626" s="1">
        <v>45808</v>
      </c>
      <c r="H1626" t="s">
        <v>17</v>
      </c>
      <c r="I1626">
        <v>1</v>
      </c>
      <c r="J1626">
        <v>0</v>
      </c>
      <c r="K1626">
        <v>120000</v>
      </c>
      <c r="L1626">
        <v>0</v>
      </c>
      <c r="M1626" t="s">
        <v>18</v>
      </c>
      <c r="N1626" t="str">
        <f>_xlfn.XLOOKUP(B1626,tblCustomers[customer_id],tblCustomers[region],"Missing")</f>
        <v>West</v>
      </c>
      <c r="O1626" t="str">
        <f>_xlfn.XLOOKUP(C1626,tblProducts[product_id],tblProducts[product_name],"Missing")</f>
        <v>CRM Essentials</v>
      </c>
      <c r="P1626" t="str">
        <f>_xlfn.XLOOKUP(C1626,tblProducts[product_id],tblProducts[category],"Missing")</f>
        <v>CRM</v>
      </c>
      <c r="Q1626" t="str">
        <f>_xlfn.XLOOKUP(D1626,tblSalesReps[rep_id],tblSalesReps[rep_name],"Missing")</f>
        <v>Sales Rep 14</v>
      </c>
      <c r="R1626" t="str">
        <f>_xlfn.XLOOKUP(D1626,tblSalesReps[rep_id],tblSalesReps[region],"Missing")</f>
        <v>West</v>
      </c>
    </row>
    <row r="1627" spans="1:18">
      <c r="A1627" t="s">
        <v>2157</v>
      </c>
      <c r="B1627" t="s">
        <v>1415</v>
      </c>
      <c r="C1627" t="s">
        <v>21</v>
      </c>
      <c r="D1627" t="s">
        <v>168</v>
      </c>
      <c r="E1627" s="1">
        <v>45749</v>
      </c>
      <c r="F1627" s="1">
        <v>45784</v>
      </c>
      <c r="G1627" s="1">
        <v>45784</v>
      </c>
      <c r="H1627" t="s">
        <v>17</v>
      </c>
      <c r="I1627">
        <v>1</v>
      </c>
      <c r="J1627">
        <v>10</v>
      </c>
      <c r="K1627">
        <v>216000</v>
      </c>
      <c r="L1627">
        <v>0</v>
      </c>
      <c r="M1627" t="s">
        <v>18</v>
      </c>
      <c r="N1627" t="str">
        <f>_xlfn.XLOOKUP(B1627,tblCustomers[customer_id],tblCustomers[region],"Missing")</f>
        <v>East</v>
      </c>
      <c r="O1627" t="str">
        <f>_xlfn.XLOOKUP(C1627,tblProducts[product_id],tblProducts[product_name],"Missing")</f>
        <v>Workflow Automate</v>
      </c>
      <c r="P1627" t="str">
        <f>_xlfn.XLOOKUP(C1627,tblProducts[product_id],tblProducts[category],"Missing")</f>
        <v>Automation</v>
      </c>
      <c r="Q1627" t="str">
        <f>_xlfn.XLOOKUP(D1627,tblSalesReps[rep_id],tblSalesReps[rep_name],"Missing")</f>
        <v>Sales Rep 17</v>
      </c>
      <c r="R1627" t="str">
        <f>_xlfn.XLOOKUP(D1627,tblSalesReps[rep_id],tblSalesReps[region],"Missing")</f>
        <v>East</v>
      </c>
    </row>
    <row r="1628" spans="1:18">
      <c r="A1628" t="s">
        <v>2158</v>
      </c>
      <c r="B1628" t="s">
        <v>561</v>
      </c>
      <c r="C1628" t="s">
        <v>39</v>
      </c>
      <c r="D1628" t="s">
        <v>63</v>
      </c>
      <c r="E1628" s="1">
        <v>45703</v>
      </c>
      <c r="F1628" s="1">
        <v>45734</v>
      </c>
      <c r="G1628" s="1">
        <v>45734</v>
      </c>
      <c r="H1628" t="s">
        <v>28</v>
      </c>
      <c r="I1628">
        <v>2</v>
      </c>
      <c r="J1628">
        <v>20</v>
      </c>
      <c r="K1628">
        <v>288000</v>
      </c>
      <c r="L1628">
        <v>100</v>
      </c>
      <c r="M1628" t="s">
        <v>29</v>
      </c>
      <c r="N1628" t="str">
        <f>_xlfn.XLOOKUP(B1628,tblCustomers[customer_id],tblCustomers[region],"Missing")</f>
        <v>South</v>
      </c>
      <c r="O1628" t="str">
        <f>_xlfn.XLOOKUP(C1628,tblProducts[product_id],tblProducts[product_name],"Missing")</f>
        <v>Support Desk</v>
      </c>
      <c r="P1628" t="str">
        <f>_xlfn.XLOOKUP(C1628,tblProducts[product_id],tblProducts[category],"Missing")</f>
        <v>Service</v>
      </c>
      <c r="Q1628" t="str">
        <f>_xlfn.XLOOKUP(D1628,tblSalesReps[rep_id],tblSalesReps[rep_name],"Missing")</f>
        <v>Sales Rep 05</v>
      </c>
      <c r="R1628" t="str">
        <f>_xlfn.XLOOKUP(D1628,tblSalesReps[rep_id],tblSalesReps[region],"Missing")</f>
        <v>South</v>
      </c>
    </row>
    <row r="1629" spans="1:18">
      <c r="A1629" t="s">
        <v>2159</v>
      </c>
      <c r="B1629" t="s">
        <v>594</v>
      </c>
      <c r="C1629" t="s">
        <v>21</v>
      </c>
      <c r="D1629" t="s">
        <v>40</v>
      </c>
      <c r="E1629" s="1">
        <v>46007</v>
      </c>
      <c r="F1629" s="1">
        <v>46063</v>
      </c>
      <c r="G1629" s="1"/>
      <c r="H1629" t="s">
        <v>43</v>
      </c>
      <c r="I1629">
        <v>1</v>
      </c>
      <c r="J1629">
        <v>20</v>
      </c>
      <c r="K1629">
        <v>192000</v>
      </c>
      <c r="L1629">
        <v>60</v>
      </c>
      <c r="M1629" t="s">
        <v>29</v>
      </c>
      <c r="N1629" t="str">
        <f>_xlfn.XLOOKUP(B1629,tblCustomers[customer_id],tblCustomers[region],"Missing")</f>
        <v>West</v>
      </c>
      <c r="O1629" t="str">
        <f>_xlfn.XLOOKUP(C1629,tblProducts[product_id],tblProducts[product_name],"Missing")</f>
        <v>Workflow Automate</v>
      </c>
      <c r="P1629" t="str">
        <f>_xlfn.XLOOKUP(C1629,tblProducts[product_id],tblProducts[category],"Missing")</f>
        <v>Automation</v>
      </c>
      <c r="Q1629" t="str">
        <f>_xlfn.XLOOKUP(D1629,tblSalesReps[rep_id],tblSalesReps[rep_name],"Missing")</f>
        <v>Sales Rep 13</v>
      </c>
      <c r="R1629" t="str">
        <f>_xlfn.XLOOKUP(D1629,tblSalesReps[rep_id],tblSalesReps[region],"Missing")</f>
        <v>West</v>
      </c>
    </row>
    <row r="1630" spans="1:18">
      <c r="A1630" t="s">
        <v>2160</v>
      </c>
      <c r="B1630" t="s">
        <v>2094</v>
      </c>
      <c r="C1630" t="s">
        <v>26</v>
      </c>
      <c r="D1630" t="s">
        <v>70</v>
      </c>
      <c r="E1630" s="1">
        <v>45724</v>
      </c>
      <c r="F1630" s="1">
        <v>45804</v>
      </c>
      <c r="G1630" s="1">
        <v>45804</v>
      </c>
      <c r="H1630" t="s">
        <v>17</v>
      </c>
      <c r="I1630">
        <v>3</v>
      </c>
      <c r="J1630">
        <v>20</v>
      </c>
      <c r="K1630">
        <v>864000</v>
      </c>
      <c r="L1630">
        <v>0</v>
      </c>
      <c r="M1630" t="s">
        <v>23</v>
      </c>
      <c r="N1630" t="str">
        <f>_xlfn.XLOOKUP(B1630,tblCustomers[customer_id],tblCustomers[region],"Missing")</f>
        <v>West</v>
      </c>
      <c r="O1630" t="str">
        <f>_xlfn.XLOOKUP(C1630,tblProducts[product_id],tblProducts[product_name],"Missing")</f>
        <v>Security Suite</v>
      </c>
      <c r="P1630" t="str">
        <f>_xlfn.XLOOKUP(C1630,tblProducts[product_id],tblProducts[category],"Missing")</f>
        <v>Security</v>
      </c>
      <c r="Q1630" t="str">
        <f>_xlfn.XLOOKUP(D1630,tblSalesReps[rep_id],tblSalesReps[rep_name],"Missing")</f>
        <v>Sales Rep 11</v>
      </c>
      <c r="R1630" t="str">
        <f>_xlfn.XLOOKUP(D1630,tblSalesReps[rep_id],tblSalesReps[region],"Missing")</f>
        <v>West</v>
      </c>
    </row>
    <row r="1631" spans="1:18">
      <c r="A1631" t="s">
        <v>2161</v>
      </c>
      <c r="B1631" t="s">
        <v>238</v>
      </c>
      <c r="C1631" t="s">
        <v>21</v>
      </c>
      <c r="D1631" t="s">
        <v>22</v>
      </c>
      <c r="E1631" s="1">
        <v>45682</v>
      </c>
      <c r="F1631" s="1">
        <v>45717</v>
      </c>
      <c r="G1631" s="1"/>
      <c r="H1631" t="s">
        <v>43</v>
      </c>
      <c r="I1631">
        <v>1</v>
      </c>
      <c r="J1631">
        <v>20</v>
      </c>
      <c r="K1631">
        <v>192000</v>
      </c>
      <c r="L1631">
        <v>80</v>
      </c>
      <c r="M1631" t="s">
        <v>29</v>
      </c>
      <c r="N1631" t="str">
        <f>_xlfn.XLOOKUP(B1631,tblCustomers[customer_id],tblCustomers[region],"Missing")</f>
        <v>West</v>
      </c>
      <c r="O1631" t="str">
        <f>_xlfn.XLOOKUP(C1631,tblProducts[product_id],tblProducts[product_name],"Missing")</f>
        <v>Workflow Automate</v>
      </c>
      <c r="P1631" t="str">
        <f>_xlfn.XLOOKUP(C1631,tblProducts[product_id],tblProducts[category],"Missing")</f>
        <v>Automation</v>
      </c>
      <c r="Q1631" t="str">
        <f>_xlfn.XLOOKUP(D1631,tblSalesReps[rep_id],tblSalesReps[rep_name],"Missing")</f>
        <v>Sales Rep 14</v>
      </c>
      <c r="R1631" t="str">
        <f>_xlfn.XLOOKUP(D1631,tblSalesReps[rep_id],tblSalesReps[region],"Missing")</f>
        <v>West</v>
      </c>
    </row>
    <row r="1632" spans="1:18">
      <c r="A1632" t="s">
        <v>2162</v>
      </c>
      <c r="B1632" t="s">
        <v>1929</v>
      </c>
      <c r="C1632" t="s">
        <v>15</v>
      </c>
      <c r="D1632" t="s">
        <v>119</v>
      </c>
      <c r="E1632" s="1">
        <v>45897</v>
      </c>
      <c r="F1632" s="1">
        <v>45935</v>
      </c>
      <c r="G1632" s="1">
        <v>45935</v>
      </c>
      <c r="H1632" t="s">
        <v>17</v>
      </c>
      <c r="I1632">
        <v>1</v>
      </c>
      <c r="J1632">
        <v>20</v>
      </c>
      <c r="K1632">
        <v>336000</v>
      </c>
      <c r="L1632">
        <v>0</v>
      </c>
      <c r="M1632" t="s">
        <v>23</v>
      </c>
      <c r="N1632" t="str">
        <f>_xlfn.XLOOKUP(B1632,tblCustomers[customer_id],tblCustomers[region],"Missing")</f>
        <v>North</v>
      </c>
      <c r="O1632" t="str">
        <f>_xlfn.XLOOKUP(C1632,tblProducts[product_id],tblProducts[product_name],"Missing")</f>
        <v>CRM Enterprise</v>
      </c>
      <c r="P1632" t="str">
        <f>_xlfn.XLOOKUP(C1632,tblProducts[product_id],tblProducts[category],"Missing")</f>
        <v>CRM</v>
      </c>
      <c r="Q1632" t="str">
        <f>_xlfn.XLOOKUP(D1632,tblSalesReps[rep_id],tblSalesReps[rep_name],"Missing")</f>
        <v>Sales Rep 10</v>
      </c>
      <c r="R1632" t="str">
        <f>_xlfn.XLOOKUP(D1632,tblSalesReps[rep_id],tblSalesReps[region],"Missing")</f>
        <v>North</v>
      </c>
    </row>
    <row r="1633" spans="1:18">
      <c r="A1633" t="s">
        <v>2163</v>
      </c>
      <c r="B1633" t="s">
        <v>828</v>
      </c>
      <c r="C1633" t="s">
        <v>81</v>
      </c>
      <c r="D1633" t="s">
        <v>50</v>
      </c>
      <c r="E1633" s="1">
        <v>45745</v>
      </c>
      <c r="F1633" s="1">
        <v>45769</v>
      </c>
      <c r="G1633" s="1">
        <v>45769</v>
      </c>
      <c r="H1633" t="s">
        <v>17</v>
      </c>
      <c r="I1633">
        <v>2</v>
      </c>
      <c r="J1633">
        <v>10</v>
      </c>
      <c r="K1633">
        <v>540000</v>
      </c>
      <c r="L1633">
        <v>0</v>
      </c>
      <c r="M1633" t="s">
        <v>47</v>
      </c>
      <c r="N1633" t="str">
        <f>_xlfn.XLOOKUP(B1633,tblCustomers[customer_id],tblCustomers[region],"Missing")</f>
        <v>West</v>
      </c>
      <c r="O1633" t="str">
        <f>_xlfn.XLOOKUP(C1633,tblProducts[product_id],tblProducts[product_name],"Missing")</f>
        <v>Analytics Cloud</v>
      </c>
      <c r="P1633" t="str">
        <f>_xlfn.XLOOKUP(C1633,tblProducts[product_id],tblProducts[category],"Missing")</f>
        <v>Analytics</v>
      </c>
      <c r="Q1633" t="str">
        <f>_xlfn.XLOOKUP(D1633,tblSalesReps[rep_id],tblSalesReps[rep_name],"Missing")</f>
        <v>Sales Rep 15</v>
      </c>
      <c r="R1633" t="str">
        <f>_xlfn.XLOOKUP(D1633,tblSalesReps[rep_id],tblSalesReps[region],"Missing")</f>
        <v>West</v>
      </c>
    </row>
    <row r="1634" spans="1:18">
      <c r="A1634" t="s">
        <v>2164</v>
      </c>
      <c r="B1634" t="s">
        <v>497</v>
      </c>
      <c r="C1634" t="s">
        <v>26</v>
      </c>
      <c r="D1634" t="s">
        <v>63</v>
      </c>
      <c r="E1634" s="1">
        <v>45765</v>
      </c>
      <c r="F1634" s="1">
        <v>45838</v>
      </c>
      <c r="G1634" s="1"/>
      <c r="H1634" t="s">
        <v>43</v>
      </c>
      <c r="I1634">
        <v>1</v>
      </c>
      <c r="J1634">
        <v>20</v>
      </c>
      <c r="K1634">
        <v>288000</v>
      </c>
      <c r="L1634">
        <v>20</v>
      </c>
      <c r="M1634" t="s">
        <v>29</v>
      </c>
      <c r="N1634" t="str">
        <f>_xlfn.XLOOKUP(B1634,tblCustomers[customer_id],tblCustomers[region],"Missing")</f>
        <v>South</v>
      </c>
      <c r="O1634" t="str">
        <f>_xlfn.XLOOKUP(C1634,tblProducts[product_id],tblProducts[product_name],"Missing")</f>
        <v>Security Suite</v>
      </c>
      <c r="P1634" t="str">
        <f>_xlfn.XLOOKUP(C1634,tblProducts[product_id],tblProducts[category],"Missing")</f>
        <v>Security</v>
      </c>
      <c r="Q1634" t="str">
        <f>_xlfn.XLOOKUP(D1634,tblSalesReps[rep_id],tblSalesReps[rep_name],"Missing")</f>
        <v>Sales Rep 05</v>
      </c>
      <c r="R1634" t="str">
        <f>_xlfn.XLOOKUP(D1634,tblSalesReps[rep_id],tblSalesReps[region],"Missing")</f>
        <v>South</v>
      </c>
    </row>
    <row r="1635" spans="1:18">
      <c r="A1635" t="s">
        <v>2165</v>
      </c>
      <c r="B1635" t="s">
        <v>880</v>
      </c>
      <c r="C1635" t="s">
        <v>39</v>
      </c>
      <c r="D1635" t="s">
        <v>40</v>
      </c>
      <c r="E1635" s="1">
        <v>45769</v>
      </c>
      <c r="F1635" s="1">
        <v>45780</v>
      </c>
      <c r="G1635" s="1"/>
      <c r="H1635" t="s">
        <v>43</v>
      </c>
      <c r="I1635">
        <v>2</v>
      </c>
      <c r="J1635">
        <v>5</v>
      </c>
      <c r="K1635">
        <v>342000</v>
      </c>
      <c r="L1635">
        <v>20</v>
      </c>
      <c r="M1635" t="s">
        <v>29</v>
      </c>
      <c r="N1635" t="str">
        <f>_xlfn.XLOOKUP(B1635,tblCustomers[customer_id],tblCustomers[region],"Missing")</f>
        <v>West</v>
      </c>
      <c r="O1635" t="str">
        <f>_xlfn.XLOOKUP(C1635,tblProducts[product_id],tblProducts[product_name],"Missing")</f>
        <v>Support Desk</v>
      </c>
      <c r="P1635" t="str">
        <f>_xlfn.XLOOKUP(C1635,tblProducts[product_id],tblProducts[category],"Missing")</f>
        <v>Service</v>
      </c>
      <c r="Q1635" t="str">
        <f>_xlfn.XLOOKUP(D1635,tblSalesReps[rep_id],tblSalesReps[rep_name],"Missing")</f>
        <v>Sales Rep 13</v>
      </c>
      <c r="R1635" t="str">
        <f>_xlfn.XLOOKUP(D1635,tblSalesReps[rep_id],tblSalesReps[region],"Missing")</f>
        <v>West</v>
      </c>
    </row>
    <row r="1636" spans="1:18">
      <c r="A1636" t="s">
        <v>2166</v>
      </c>
      <c r="B1636" t="s">
        <v>172</v>
      </c>
      <c r="C1636" t="s">
        <v>39</v>
      </c>
      <c r="D1636" t="s">
        <v>75</v>
      </c>
      <c r="E1636" s="1">
        <v>45856</v>
      </c>
      <c r="F1636" s="1">
        <v>45882</v>
      </c>
      <c r="G1636" s="1">
        <v>45882</v>
      </c>
      <c r="H1636" t="s">
        <v>17</v>
      </c>
      <c r="I1636">
        <v>1</v>
      </c>
      <c r="J1636">
        <v>5</v>
      </c>
      <c r="K1636">
        <v>171000</v>
      </c>
      <c r="L1636">
        <v>0</v>
      </c>
      <c r="M1636" t="s">
        <v>18</v>
      </c>
      <c r="N1636" t="str">
        <f>_xlfn.XLOOKUP(B1636,tblCustomers[customer_id],tblCustomers[region],"Missing")</f>
        <v>North</v>
      </c>
      <c r="O1636" t="str">
        <f>_xlfn.XLOOKUP(C1636,tblProducts[product_id],tblProducts[product_name],"Missing")</f>
        <v>Support Desk</v>
      </c>
      <c r="P1636" t="str">
        <f>_xlfn.XLOOKUP(C1636,tblProducts[product_id],tblProducts[category],"Missing")</f>
        <v>Service</v>
      </c>
      <c r="Q1636" t="str">
        <f>_xlfn.XLOOKUP(D1636,tblSalesReps[rep_id],tblSalesReps[rep_name],"Missing")</f>
        <v>Sales Rep 07</v>
      </c>
      <c r="R1636" t="str">
        <f>_xlfn.XLOOKUP(D1636,tblSalesReps[rep_id],tblSalesReps[region],"Missing")</f>
        <v>North</v>
      </c>
    </row>
    <row r="1637" spans="1:18">
      <c r="A1637" t="s">
        <v>2167</v>
      </c>
      <c r="B1637" t="s">
        <v>914</v>
      </c>
      <c r="C1637" t="s">
        <v>15</v>
      </c>
      <c r="D1637" t="s">
        <v>63</v>
      </c>
      <c r="E1637" s="1">
        <v>45828</v>
      </c>
      <c r="F1637" s="1">
        <v>45840</v>
      </c>
      <c r="G1637" s="1">
        <v>45840</v>
      </c>
      <c r="H1637" t="s">
        <v>17</v>
      </c>
      <c r="I1637">
        <v>1</v>
      </c>
      <c r="J1637">
        <v>5</v>
      </c>
      <c r="K1637">
        <v>399000</v>
      </c>
      <c r="L1637">
        <v>0</v>
      </c>
      <c r="M1637" t="s">
        <v>47</v>
      </c>
      <c r="N1637" t="str">
        <f>_xlfn.XLOOKUP(B1637,tblCustomers[customer_id],tblCustomers[region],"Missing")</f>
        <v>South</v>
      </c>
      <c r="O1637" t="str">
        <f>_xlfn.XLOOKUP(C1637,tblProducts[product_id],tblProducts[product_name],"Missing")</f>
        <v>CRM Enterprise</v>
      </c>
      <c r="P1637" t="str">
        <f>_xlfn.XLOOKUP(C1637,tblProducts[product_id],tblProducts[category],"Missing")</f>
        <v>CRM</v>
      </c>
      <c r="Q1637" t="str">
        <f>_xlfn.XLOOKUP(D1637,tblSalesReps[rep_id],tblSalesReps[rep_name],"Missing")</f>
        <v>Sales Rep 05</v>
      </c>
      <c r="R1637" t="str">
        <f>_xlfn.XLOOKUP(D1637,tblSalesReps[rep_id],tblSalesReps[region],"Missing")</f>
        <v>South</v>
      </c>
    </row>
    <row r="1638" spans="1:18">
      <c r="A1638" t="s">
        <v>2168</v>
      </c>
      <c r="B1638" t="s">
        <v>245</v>
      </c>
      <c r="C1638" t="s">
        <v>62</v>
      </c>
      <c r="D1638" t="s">
        <v>168</v>
      </c>
      <c r="E1638" s="1">
        <v>45729</v>
      </c>
      <c r="F1638" s="1">
        <v>45767</v>
      </c>
      <c r="G1638" s="1"/>
      <c r="H1638" t="s">
        <v>43</v>
      </c>
      <c r="I1638">
        <v>1</v>
      </c>
      <c r="J1638">
        <v>15</v>
      </c>
      <c r="K1638">
        <v>102000</v>
      </c>
      <c r="L1638">
        <v>80</v>
      </c>
      <c r="M1638" t="s">
        <v>29</v>
      </c>
      <c r="N1638" t="str">
        <f>_xlfn.XLOOKUP(B1638,tblCustomers[customer_id],tblCustomers[region],"Missing")</f>
        <v>East</v>
      </c>
      <c r="O1638" t="str">
        <f>_xlfn.XLOOKUP(C1638,tblProducts[product_id],tblProducts[product_name],"Missing")</f>
        <v>CRM Essentials</v>
      </c>
      <c r="P1638" t="str">
        <f>_xlfn.XLOOKUP(C1638,tblProducts[product_id],tblProducts[category],"Missing")</f>
        <v>CRM</v>
      </c>
      <c r="Q1638" t="str">
        <f>_xlfn.XLOOKUP(D1638,tblSalesReps[rep_id],tblSalesReps[rep_name],"Missing")</f>
        <v>Sales Rep 17</v>
      </c>
      <c r="R1638" t="str">
        <f>_xlfn.XLOOKUP(D1638,tblSalesReps[rep_id],tblSalesReps[region],"Missing")</f>
        <v>East</v>
      </c>
    </row>
    <row r="1639" spans="1:18">
      <c r="A1639" t="s">
        <v>2169</v>
      </c>
      <c r="B1639" t="s">
        <v>1884</v>
      </c>
      <c r="C1639" t="s">
        <v>26</v>
      </c>
      <c r="D1639" t="s">
        <v>91</v>
      </c>
      <c r="E1639" s="1">
        <v>45818</v>
      </c>
      <c r="F1639" s="1">
        <v>45882</v>
      </c>
      <c r="G1639" s="1">
        <v>45882</v>
      </c>
      <c r="H1639" t="s">
        <v>17</v>
      </c>
      <c r="I1639">
        <v>1</v>
      </c>
      <c r="J1639">
        <v>5</v>
      </c>
      <c r="K1639">
        <v>342000</v>
      </c>
      <c r="L1639">
        <v>0</v>
      </c>
      <c r="M1639" t="s">
        <v>23</v>
      </c>
      <c r="N1639" t="str">
        <f>_xlfn.XLOOKUP(B1639,tblCustomers[customer_id],tblCustomers[region],"Missing")</f>
        <v>South</v>
      </c>
      <c r="O1639" t="str">
        <f>_xlfn.XLOOKUP(C1639,tblProducts[product_id],tblProducts[product_name],"Missing")</f>
        <v>Security Suite</v>
      </c>
      <c r="P1639" t="str">
        <f>_xlfn.XLOOKUP(C1639,tblProducts[product_id],tblProducts[category],"Missing")</f>
        <v>Security</v>
      </c>
      <c r="Q1639" t="str">
        <f>_xlfn.XLOOKUP(D1639,tblSalesReps[rep_id],tblSalesReps[rep_name],"Missing")</f>
        <v>Sales Rep 03</v>
      </c>
      <c r="R1639" t="str">
        <f>_xlfn.XLOOKUP(D1639,tblSalesReps[rep_id],tblSalesReps[region],"Missing")</f>
        <v>South</v>
      </c>
    </row>
    <row r="1640" spans="1:18">
      <c r="A1640" t="s">
        <v>2170</v>
      </c>
      <c r="B1640" t="s">
        <v>2171</v>
      </c>
      <c r="C1640" t="s">
        <v>39</v>
      </c>
      <c r="D1640" t="s">
        <v>78</v>
      </c>
      <c r="E1640" s="1">
        <v>45997</v>
      </c>
      <c r="F1640" s="1">
        <v>46022</v>
      </c>
      <c r="G1640" s="1">
        <v>46022</v>
      </c>
      <c r="H1640" t="s">
        <v>17</v>
      </c>
      <c r="I1640">
        <v>2</v>
      </c>
      <c r="J1640">
        <v>0</v>
      </c>
      <c r="K1640">
        <v>360000</v>
      </c>
      <c r="L1640">
        <v>0</v>
      </c>
      <c r="M1640" t="s">
        <v>18</v>
      </c>
      <c r="N1640" t="str">
        <f>_xlfn.XLOOKUP(B1640,tblCustomers[customer_id],tblCustomers[region],"Missing")</f>
        <v>West</v>
      </c>
      <c r="O1640" t="str">
        <f>_xlfn.XLOOKUP(C1640,tblProducts[product_id],tblProducts[product_name],"Missing")</f>
        <v>Support Desk</v>
      </c>
      <c r="P1640" t="str">
        <f>_xlfn.XLOOKUP(C1640,tblProducts[product_id],tblProducts[category],"Missing")</f>
        <v>Service</v>
      </c>
      <c r="Q1640" t="str">
        <f>_xlfn.XLOOKUP(D1640,tblSalesReps[rep_id],tblSalesReps[rep_name],"Missing")</f>
        <v>Sales Rep 12</v>
      </c>
      <c r="R1640" t="str">
        <f>_xlfn.XLOOKUP(D1640,tblSalesReps[rep_id],tblSalesReps[region],"Missing")</f>
        <v>West</v>
      </c>
    </row>
    <row r="1641" spans="1:18">
      <c r="A1641" t="s">
        <v>2172</v>
      </c>
      <c r="B1641" t="s">
        <v>859</v>
      </c>
      <c r="C1641" t="s">
        <v>39</v>
      </c>
      <c r="D1641" t="s">
        <v>126</v>
      </c>
      <c r="E1641" s="1">
        <v>45993</v>
      </c>
      <c r="F1641" s="1">
        <v>46003</v>
      </c>
      <c r="G1641" s="1">
        <v>46003</v>
      </c>
      <c r="H1641" t="s">
        <v>17</v>
      </c>
      <c r="I1641">
        <v>1</v>
      </c>
      <c r="J1641">
        <v>15</v>
      </c>
      <c r="K1641">
        <v>153000</v>
      </c>
      <c r="L1641">
        <v>0</v>
      </c>
      <c r="M1641" t="s">
        <v>18</v>
      </c>
      <c r="N1641" t="str">
        <f>_xlfn.XLOOKUP(B1641,tblCustomers[customer_id],tblCustomers[region],"Missing")</f>
        <v>South</v>
      </c>
      <c r="O1641" t="str">
        <f>_xlfn.XLOOKUP(C1641,tblProducts[product_id],tblProducts[product_name],"Missing")</f>
        <v>Support Desk</v>
      </c>
      <c r="P1641" t="str">
        <f>_xlfn.XLOOKUP(C1641,tblProducts[product_id],tblProducts[category],"Missing")</f>
        <v>Service</v>
      </c>
      <c r="Q1641" t="str">
        <f>_xlfn.XLOOKUP(D1641,tblSalesReps[rep_id],tblSalesReps[rep_name],"Missing")</f>
        <v>Sales Rep 02</v>
      </c>
      <c r="R1641" t="str">
        <f>_xlfn.XLOOKUP(D1641,tblSalesReps[rep_id],tblSalesReps[region],"Missing")</f>
        <v>South</v>
      </c>
    </row>
    <row r="1642" spans="1:18">
      <c r="A1642" t="s">
        <v>2173</v>
      </c>
      <c r="B1642" t="s">
        <v>443</v>
      </c>
      <c r="C1642" t="s">
        <v>26</v>
      </c>
      <c r="D1642" t="s">
        <v>40</v>
      </c>
      <c r="E1642" s="1">
        <v>45877</v>
      </c>
      <c r="F1642" s="1">
        <v>45947</v>
      </c>
      <c r="G1642" s="1">
        <v>45947</v>
      </c>
      <c r="H1642" t="s">
        <v>28</v>
      </c>
      <c r="I1642">
        <v>2</v>
      </c>
      <c r="J1642">
        <v>20</v>
      </c>
      <c r="K1642">
        <v>576000</v>
      </c>
      <c r="L1642">
        <v>100</v>
      </c>
      <c r="M1642" t="s">
        <v>29</v>
      </c>
      <c r="N1642" t="str">
        <f>_xlfn.XLOOKUP(B1642,tblCustomers[customer_id],tblCustomers[region],"Missing")</f>
        <v>West</v>
      </c>
      <c r="O1642" t="str">
        <f>_xlfn.XLOOKUP(C1642,tblProducts[product_id],tblProducts[product_name],"Missing")</f>
        <v>Security Suite</v>
      </c>
      <c r="P1642" t="str">
        <f>_xlfn.XLOOKUP(C1642,tblProducts[product_id],tblProducts[category],"Missing")</f>
        <v>Security</v>
      </c>
      <c r="Q1642" t="str">
        <f>_xlfn.XLOOKUP(D1642,tblSalesReps[rep_id],tblSalesReps[rep_name],"Missing")</f>
        <v>Sales Rep 13</v>
      </c>
      <c r="R1642" t="str">
        <f>_xlfn.XLOOKUP(D1642,tblSalesReps[rep_id],tblSalesReps[region],"Missing")</f>
        <v>West</v>
      </c>
    </row>
    <row r="1643" spans="1:18">
      <c r="A1643" t="s">
        <v>2174</v>
      </c>
      <c r="B1643" t="s">
        <v>666</v>
      </c>
      <c r="C1643" t="s">
        <v>81</v>
      </c>
      <c r="D1643" t="s">
        <v>46</v>
      </c>
      <c r="E1643" s="1">
        <v>45672</v>
      </c>
      <c r="F1643" s="1">
        <v>45710</v>
      </c>
      <c r="G1643" s="1">
        <v>45710</v>
      </c>
      <c r="H1643" t="s">
        <v>17</v>
      </c>
      <c r="I1643">
        <v>2</v>
      </c>
      <c r="J1643">
        <v>20</v>
      </c>
      <c r="K1643">
        <v>480000</v>
      </c>
      <c r="L1643">
        <v>0</v>
      </c>
      <c r="M1643" t="s">
        <v>47</v>
      </c>
      <c r="N1643" t="str">
        <f>_xlfn.XLOOKUP(B1643,tblCustomers[customer_id],tblCustomers[region],"Missing")</f>
        <v>South</v>
      </c>
      <c r="O1643" t="str">
        <f>_xlfn.XLOOKUP(C1643,tblProducts[product_id],tblProducts[product_name],"Missing")</f>
        <v>Analytics Cloud</v>
      </c>
      <c r="P1643" t="str">
        <f>_xlfn.XLOOKUP(C1643,tblProducts[product_id],tblProducts[category],"Missing")</f>
        <v>Analytics</v>
      </c>
      <c r="Q1643" t="str">
        <f>_xlfn.XLOOKUP(D1643,tblSalesReps[rep_id],tblSalesReps[rep_name],"Missing")</f>
        <v>Sales Rep 01</v>
      </c>
      <c r="R1643" t="str">
        <f>_xlfn.XLOOKUP(D1643,tblSalesReps[rep_id],tblSalesReps[region],"Missing")</f>
        <v>South</v>
      </c>
    </row>
    <row r="1644" spans="1:18">
      <c r="A1644" t="s">
        <v>2175</v>
      </c>
      <c r="B1644" t="s">
        <v>14</v>
      </c>
      <c r="C1644" t="s">
        <v>81</v>
      </c>
      <c r="D1644" t="s">
        <v>36</v>
      </c>
      <c r="E1644" s="1">
        <v>45670</v>
      </c>
      <c r="F1644" s="1">
        <v>45685</v>
      </c>
      <c r="G1644" s="1"/>
      <c r="H1644" t="s">
        <v>43</v>
      </c>
      <c r="I1644">
        <v>1</v>
      </c>
      <c r="J1644">
        <v>0</v>
      </c>
      <c r="K1644">
        <v>300000</v>
      </c>
      <c r="L1644">
        <v>40</v>
      </c>
      <c r="M1644" t="s">
        <v>29</v>
      </c>
      <c r="N1644" t="str">
        <f>_xlfn.XLOOKUP(B1644,tblCustomers[customer_id],tblCustomers[region],"Missing")</f>
        <v>North</v>
      </c>
      <c r="O1644" t="str">
        <f>_xlfn.XLOOKUP(C1644,tblProducts[product_id],tblProducts[product_name],"Missing")</f>
        <v>Analytics Cloud</v>
      </c>
      <c r="P1644" t="str">
        <f>_xlfn.XLOOKUP(C1644,tblProducts[product_id],tblProducts[category],"Missing")</f>
        <v>Analytics</v>
      </c>
      <c r="Q1644" t="str">
        <f>_xlfn.XLOOKUP(D1644,tblSalesReps[rep_id],tblSalesReps[rep_name],"Missing")</f>
        <v>Sales Rep 09</v>
      </c>
      <c r="R1644" t="str">
        <f>_xlfn.XLOOKUP(D1644,tblSalesReps[rep_id],tblSalesReps[region],"Missing")</f>
        <v>North</v>
      </c>
    </row>
    <row r="1645" spans="1:18">
      <c r="A1645" t="s">
        <v>2176</v>
      </c>
      <c r="B1645" t="s">
        <v>1644</v>
      </c>
      <c r="C1645" t="s">
        <v>62</v>
      </c>
      <c r="D1645" t="s">
        <v>32</v>
      </c>
      <c r="E1645" s="1">
        <v>45881</v>
      </c>
      <c r="F1645" s="1">
        <v>45908</v>
      </c>
      <c r="G1645" s="1">
        <v>45908</v>
      </c>
      <c r="H1645" t="s">
        <v>17</v>
      </c>
      <c r="I1645">
        <v>1</v>
      </c>
      <c r="J1645">
        <v>15</v>
      </c>
      <c r="K1645">
        <v>102000</v>
      </c>
      <c r="L1645">
        <v>0</v>
      </c>
      <c r="M1645" t="s">
        <v>23</v>
      </c>
      <c r="N1645" t="str">
        <f>_xlfn.XLOOKUP(B1645,tblCustomers[customer_id],tblCustomers[region],"Missing")</f>
        <v>South</v>
      </c>
      <c r="O1645" t="str">
        <f>_xlfn.XLOOKUP(C1645,tblProducts[product_id],tblProducts[product_name],"Missing")</f>
        <v>CRM Essentials</v>
      </c>
      <c r="P1645" t="str">
        <f>_xlfn.XLOOKUP(C1645,tblProducts[product_id],tblProducts[category],"Missing")</f>
        <v>CRM</v>
      </c>
      <c r="Q1645" t="str">
        <f>_xlfn.XLOOKUP(D1645,tblSalesReps[rep_id],tblSalesReps[rep_name],"Missing")</f>
        <v>Sales Rep 04</v>
      </c>
      <c r="R1645" t="str">
        <f>_xlfn.XLOOKUP(D1645,tblSalesReps[rep_id],tblSalesReps[region],"Missing")</f>
        <v>South</v>
      </c>
    </row>
    <row r="1646" spans="1:18">
      <c r="A1646" t="s">
        <v>2177</v>
      </c>
      <c r="B1646" t="s">
        <v>308</v>
      </c>
      <c r="C1646" t="s">
        <v>15</v>
      </c>
      <c r="D1646" t="s">
        <v>50</v>
      </c>
      <c r="E1646" s="1">
        <v>45851</v>
      </c>
      <c r="F1646" s="1">
        <v>45936</v>
      </c>
      <c r="G1646" s="1"/>
      <c r="H1646" t="s">
        <v>43</v>
      </c>
      <c r="I1646">
        <v>1</v>
      </c>
      <c r="J1646">
        <v>0</v>
      </c>
      <c r="K1646">
        <v>420000</v>
      </c>
      <c r="L1646">
        <v>20</v>
      </c>
      <c r="M1646" t="s">
        <v>29</v>
      </c>
      <c r="N1646" t="str">
        <f>_xlfn.XLOOKUP(B1646,tblCustomers[customer_id],tblCustomers[region],"Missing")</f>
        <v>West</v>
      </c>
      <c r="O1646" t="str">
        <f>_xlfn.XLOOKUP(C1646,tblProducts[product_id],tblProducts[product_name],"Missing")</f>
        <v>CRM Enterprise</v>
      </c>
      <c r="P1646" t="str">
        <f>_xlfn.XLOOKUP(C1646,tblProducts[product_id],tblProducts[category],"Missing")</f>
        <v>CRM</v>
      </c>
      <c r="Q1646" t="str">
        <f>_xlfn.XLOOKUP(D1646,tblSalesReps[rep_id],tblSalesReps[rep_name],"Missing")</f>
        <v>Sales Rep 15</v>
      </c>
      <c r="R1646" t="str">
        <f>_xlfn.XLOOKUP(D1646,tblSalesReps[rep_id],tblSalesReps[region],"Missing")</f>
        <v>West</v>
      </c>
    </row>
    <row r="1647" spans="1:18">
      <c r="A1647" t="s">
        <v>2178</v>
      </c>
      <c r="B1647" t="s">
        <v>1117</v>
      </c>
      <c r="C1647" t="s">
        <v>15</v>
      </c>
      <c r="D1647" t="s">
        <v>22</v>
      </c>
      <c r="E1647" s="1">
        <v>45885</v>
      </c>
      <c r="F1647" s="1">
        <v>45915</v>
      </c>
      <c r="G1647" s="1">
        <v>45915</v>
      </c>
      <c r="H1647" t="s">
        <v>17</v>
      </c>
      <c r="I1647">
        <v>2</v>
      </c>
      <c r="J1647">
        <v>0</v>
      </c>
      <c r="K1647">
        <v>840000</v>
      </c>
      <c r="L1647">
        <v>0</v>
      </c>
      <c r="M1647" t="s">
        <v>18</v>
      </c>
      <c r="N1647" t="str">
        <f>_xlfn.XLOOKUP(B1647,tblCustomers[customer_id],tblCustomers[region],"Missing")</f>
        <v>West</v>
      </c>
      <c r="O1647" t="str">
        <f>_xlfn.XLOOKUP(C1647,tblProducts[product_id],tblProducts[product_name],"Missing")</f>
        <v>CRM Enterprise</v>
      </c>
      <c r="P1647" t="str">
        <f>_xlfn.XLOOKUP(C1647,tblProducts[product_id],tblProducts[category],"Missing")</f>
        <v>CRM</v>
      </c>
      <c r="Q1647" t="str">
        <f>_xlfn.XLOOKUP(D1647,tblSalesReps[rep_id],tblSalesReps[rep_name],"Missing")</f>
        <v>Sales Rep 14</v>
      </c>
      <c r="R1647" t="str">
        <f>_xlfn.XLOOKUP(D1647,tblSalesReps[rep_id],tblSalesReps[region],"Missing")</f>
        <v>West</v>
      </c>
    </row>
    <row r="1648" spans="1:18">
      <c r="A1648" t="s">
        <v>2179</v>
      </c>
      <c r="B1648" t="s">
        <v>453</v>
      </c>
      <c r="C1648" t="s">
        <v>15</v>
      </c>
      <c r="D1648" t="s">
        <v>63</v>
      </c>
      <c r="E1648" s="1">
        <v>46013</v>
      </c>
      <c r="F1648" s="1">
        <v>46023</v>
      </c>
      <c r="G1648" s="1"/>
      <c r="H1648" t="s">
        <v>43</v>
      </c>
      <c r="I1648">
        <v>1</v>
      </c>
      <c r="J1648">
        <v>5</v>
      </c>
      <c r="K1648">
        <v>399000</v>
      </c>
      <c r="L1648">
        <v>80</v>
      </c>
      <c r="M1648" t="s">
        <v>29</v>
      </c>
      <c r="N1648" t="str">
        <f>_xlfn.XLOOKUP(B1648,tblCustomers[customer_id],tblCustomers[region],"Missing")</f>
        <v>South</v>
      </c>
      <c r="O1648" t="str">
        <f>_xlfn.XLOOKUP(C1648,tblProducts[product_id],tblProducts[product_name],"Missing")</f>
        <v>CRM Enterprise</v>
      </c>
      <c r="P1648" t="str">
        <f>_xlfn.XLOOKUP(C1648,tblProducts[product_id],tblProducts[category],"Missing")</f>
        <v>CRM</v>
      </c>
      <c r="Q1648" t="str">
        <f>_xlfn.XLOOKUP(D1648,tblSalesReps[rep_id],tblSalesReps[rep_name],"Missing")</f>
        <v>Sales Rep 05</v>
      </c>
      <c r="R1648" t="str">
        <f>_xlfn.XLOOKUP(D1648,tblSalesReps[rep_id],tblSalesReps[region],"Missing")</f>
        <v>South</v>
      </c>
    </row>
    <row r="1649" spans="1:18">
      <c r="A1649" t="s">
        <v>2180</v>
      </c>
      <c r="B1649" t="s">
        <v>497</v>
      </c>
      <c r="C1649" t="s">
        <v>21</v>
      </c>
      <c r="D1649" t="s">
        <v>126</v>
      </c>
      <c r="E1649" s="1">
        <v>45796</v>
      </c>
      <c r="F1649" s="1">
        <v>45804</v>
      </c>
      <c r="G1649" s="1">
        <v>45804</v>
      </c>
      <c r="H1649" t="s">
        <v>17</v>
      </c>
      <c r="I1649">
        <v>3</v>
      </c>
      <c r="J1649">
        <v>15</v>
      </c>
      <c r="K1649">
        <v>612000</v>
      </c>
      <c r="L1649">
        <v>0</v>
      </c>
      <c r="M1649" t="s">
        <v>82</v>
      </c>
      <c r="N1649" t="str">
        <f>_xlfn.XLOOKUP(B1649,tblCustomers[customer_id],tblCustomers[region],"Missing")</f>
        <v>South</v>
      </c>
      <c r="O1649" t="str">
        <f>_xlfn.XLOOKUP(C1649,tblProducts[product_id],tblProducts[product_name],"Missing")</f>
        <v>Workflow Automate</v>
      </c>
      <c r="P1649" t="str">
        <f>_xlfn.XLOOKUP(C1649,tblProducts[product_id],tblProducts[category],"Missing")</f>
        <v>Automation</v>
      </c>
      <c r="Q1649" t="str">
        <f>_xlfn.XLOOKUP(D1649,tblSalesReps[rep_id],tblSalesReps[rep_name],"Missing")</f>
        <v>Sales Rep 02</v>
      </c>
      <c r="R1649" t="str">
        <f>_xlfn.XLOOKUP(D1649,tblSalesReps[rep_id],tblSalesReps[region],"Missing")</f>
        <v>South</v>
      </c>
    </row>
    <row r="1650" spans="1:18">
      <c r="A1650" t="s">
        <v>2181</v>
      </c>
      <c r="B1650" t="s">
        <v>980</v>
      </c>
      <c r="C1650" t="s">
        <v>21</v>
      </c>
      <c r="D1650" t="s">
        <v>59</v>
      </c>
      <c r="E1650" s="1">
        <v>45911</v>
      </c>
      <c r="F1650" s="1">
        <v>45986</v>
      </c>
      <c r="G1650" s="1">
        <v>45986</v>
      </c>
      <c r="H1650" t="s">
        <v>17</v>
      </c>
      <c r="I1650">
        <v>1</v>
      </c>
      <c r="J1650">
        <v>0</v>
      </c>
      <c r="K1650">
        <v>240000</v>
      </c>
      <c r="L1650">
        <v>0</v>
      </c>
      <c r="M1650" t="s">
        <v>23</v>
      </c>
      <c r="N1650" t="str">
        <f>_xlfn.XLOOKUP(B1650,tblCustomers[customer_id],tblCustomers[region],"Missing")</f>
        <v>East</v>
      </c>
      <c r="O1650" t="str">
        <f>_xlfn.XLOOKUP(C1650,tblProducts[product_id],tblProducts[product_name],"Missing")</f>
        <v>Workflow Automate</v>
      </c>
      <c r="P1650" t="str">
        <f>_xlfn.XLOOKUP(C1650,tblProducts[product_id],tblProducts[category],"Missing")</f>
        <v>Automation</v>
      </c>
      <c r="Q1650" t="str">
        <f>_xlfn.XLOOKUP(D1650,tblSalesReps[rep_id],tblSalesReps[rep_name],"Missing")</f>
        <v>Sales Rep 19</v>
      </c>
      <c r="R1650" t="str">
        <f>_xlfn.XLOOKUP(D1650,tblSalesReps[rep_id],tblSalesReps[region],"Missing")</f>
        <v>East</v>
      </c>
    </row>
    <row r="1651" spans="1:18">
      <c r="A1651" t="s">
        <v>2182</v>
      </c>
      <c r="B1651" t="s">
        <v>660</v>
      </c>
      <c r="C1651" t="s">
        <v>15</v>
      </c>
      <c r="D1651" t="s">
        <v>119</v>
      </c>
      <c r="E1651" s="1">
        <v>45814</v>
      </c>
      <c r="F1651" s="1">
        <v>45887</v>
      </c>
      <c r="G1651" s="1">
        <v>45887</v>
      </c>
      <c r="H1651" t="s">
        <v>28</v>
      </c>
      <c r="I1651">
        <v>1</v>
      </c>
      <c r="J1651">
        <v>20</v>
      </c>
      <c r="K1651">
        <v>336000</v>
      </c>
      <c r="L1651">
        <v>100</v>
      </c>
      <c r="M1651" t="s">
        <v>29</v>
      </c>
      <c r="N1651" t="str">
        <f>_xlfn.XLOOKUP(B1651,tblCustomers[customer_id],tblCustomers[region],"Missing")</f>
        <v>North</v>
      </c>
      <c r="O1651" t="str">
        <f>_xlfn.XLOOKUP(C1651,tblProducts[product_id],tblProducts[product_name],"Missing")</f>
        <v>CRM Enterprise</v>
      </c>
      <c r="P1651" t="str">
        <f>_xlfn.XLOOKUP(C1651,tblProducts[product_id],tblProducts[category],"Missing")</f>
        <v>CRM</v>
      </c>
      <c r="Q1651" t="str">
        <f>_xlfn.XLOOKUP(D1651,tblSalesReps[rep_id],tblSalesReps[rep_name],"Missing")</f>
        <v>Sales Rep 10</v>
      </c>
      <c r="R1651" t="str">
        <f>_xlfn.XLOOKUP(D1651,tblSalesReps[rep_id],tblSalesReps[region],"Missing")</f>
        <v>North</v>
      </c>
    </row>
    <row r="1652" spans="1:18">
      <c r="A1652" t="s">
        <v>2183</v>
      </c>
      <c r="B1652" t="s">
        <v>914</v>
      </c>
      <c r="C1652" t="s">
        <v>15</v>
      </c>
      <c r="D1652" t="s">
        <v>32</v>
      </c>
      <c r="E1652" s="1">
        <v>45696</v>
      </c>
      <c r="F1652" s="1">
        <v>45757</v>
      </c>
      <c r="G1652" s="1">
        <v>45757</v>
      </c>
      <c r="H1652" t="s">
        <v>17</v>
      </c>
      <c r="I1652">
        <v>1</v>
      </c>
      <c r="J1652">
        <v>10</v>
      </c>
      <c r="K1652">
        <v>378000</v>
      </c>
      <c r="L1652">
        <v>0</v>
      </c>
      <c r="M1652" t="s">
        <v>82</v>
      </c>
      <c r="N1652" t="str">
        <f>_xlfn.XLOOKUP(B1652,tblCustomers[customer_id],tblCustomers[region],"Missing")</f>
        <v>South</v>
      </c>
      <c r="O1652" t="str">
        <f>_xlfn.XLOOKUP(C1652,tblProducts[product_id],tblProducts[product_name],"Missing")</f>
        <v>CRM Enterprise</v>
      </c>
      <c r="P1652" t="str">
        <f>_xlfn.XLOOKUP(C1652,tblProducts[product_id],tblProducts[category],"Missing")</f>
        <v>CRM</v>
      </c>
      <c r="Q1652" t="str">
        <f>_xlfn.XLOOKUP(D1652,tblSalesReps[rep_id],tblSalesReps[rep_name],"Missing")</f>
        <v>Sales Rep 04</v>
      </c>
      <c r="R1652" t="str">
        <f>_xlfn.XLOOKUP(D1652,tblSalesReps[rep_id],tblSalesReps[region],"Missing")</f>
        <v>South</v>
      </c>
    </row>
    <row r="1653" spans="1:18">
      <c r="A1653" t="s">
        <v>2184</v>
      </c>
      <c r="B1653" t="s">
        <v>1568</v>
      </c>
      <c r="C1653" t="s">
        <v>81</v>
      </c>
      <c r="D1653" t="s">
        <v>119</v>
      </c>
      <c r="E1653" s="1">
        <v>45846</v>
      </c>
      <c r="F1653" s="1">
        <v>45871</v>
      </c>
      <c r="G1653" s="1">
        <v>45871</v>
      </c>
      <c r="H1653" t="s">
        <v>17</v>
      </c>
      <c r="I1653">
        <v>2</v>
      </c>
      <c r="J1653">
        <v>20</v>
      </c>
      <c r="K1653">
        <v>480000</v>
      </c>
      <c r="L1653">
        <v>0</v>
      </c>
      <c r="M1653" t="s">
        <v>23</v>
      </c>
      <c r="N1653" t="str">
        <f>_xlfn.XLOOKUP(B1653,tblCustomers[customer_id],tblCustomers[region],"Missing")</f>
        <v>North</v>
      </c>
      <c r="O1653" t="str">
        <f>_xlfn.XLOOKUP(C1653,tblProducts[product_id],tblProducts[product_name],"Missing")</f>
        <v>Analytics Cloud</v>
      </c>
      <c r="P1653" t="str">
        <f>_xlfn.XLOOKUP(C1653,tblProducts[product_id],tblProducts[category],"Missing")</f>
        <v>Analytics</v>
      </c>
      <c r="Q1653" t="str">
        <f>_xlfn.XLOOKUP(D1653,tblSalesReps[rep_id],tblSalesReps[rep_name],"Missing")</f>
        <v>Sales Rep 10</v>
      </c>
      <c r="R1653" t="str">
        <f>_xlfn.XLOOKUP(D1653,tblSalesReps[rep_id],tblSalesReps[region],"Missing")</f>
        <v>North</v>
      </c>
    </row>
    <row r="1654" spans="1:18">
      <c r="A1654" t="s">
        <v>2185</v>
      </c>
      <c r="B1654" t="s">
        <v>257</v>
      </c>
      <c r="C1654" t="s">
        <v>81</v>
      </c>
      <c r="D1654" t="s">
        <v>46</v>
      </c>
      <c r="E1654" s="1">
        <v>45701</v>
      </c>
      <c r="F1654" s="1">
        <v>45718</v>
      </c>
      <c r="G1654" s="1">
        <v>45718</v>
      </c>
      <c r="H1654" t="s">
        <v>17</v>
      </c>
      <c r="I1654">
        <v>3</v>
      </c>
      <c r="J1654">
        <v>20</v>
      </c>
      <c r="K1654">
        <v>720000</v>
      </c>
      <c r="L1654">
        <v>0</v>
      </c>
      <c r="M1654" t="s">
        <v>33</v>
      </c>
      <c r="N1654" t="str">
        <f>_xlfn.XLOOKUP(B1654,tblCustomers[customer_id],tblCustomers[region],"Missing")</f>
        <v>South</v>
      </c>
      <c r="O1654" t="str">
        <f>_xlfn.XLOOKUP(C1654,tblProducts[product_id],tblProducts[product_name],"Missing")</f>
        <v>Analytics Cloud</v>
      </c>
      <c r="P1654" t="str">
        <f>_xlfn.XLOOKUP(C1654,tblProducts[product_id],tblProducts[category],"Missing")</f>
        <v>Analytics</v>
      </c>
      <c r="Q1654" t="str">
        <f>_xlfn.XLOOKUP(D1654,tblSalesReps[rep_id],tblSalesReps[rep_name],"Missing")</f>
        <v>Sales Rep 01</v>
      </c>
      <c r="R1654" t="str">
        <f>_xlfn.XLOOKUP(D1654,tblSalesReps[rep_id],tblSalesReps[region],"Missing")</f>
        <v>South</v>
      </c>
    </row>
    <row r="1655" spans="1:18">
      <c r="A1655" t="s">
        <v>2186</v>
      </c>
      <c r="B1655" t="s">
        <v>1398</v>
      </c>
      <c r="C1655" t="s">
        <v>39</v>
      </c>
      <c r="D1655" t="s">
        <v>22</v>
      </c>
      <c r="E1655" s="1">
        <v>45906</v>
      </c>
      <c r="F1655" s="1">
        <v>45926</v>
      </c>
      <c r="G1655" s="1"/>
      <c r="H1655" t="s">
        <v>43</v>
      </c>
      <c r="I1655">
        <v>1</v>
      </c>
      <c r="J1655">
        <v>5</v>
      </c>
      <c r="K1655">
        <v>171000</v>
      </c>
      <c r="L1655">
        <v>20</v>
      </c>
      <c r="M1655" t="s">
        <v>29</v>
      </c>
      <c r="N1655" t="str">
        <f>_xlfn.XLOOKUP(B1655,tblCustomers[customer_id],tblCustomers[region],"Missing")</f>
        <v>West</v>
      </c>
      <c r="O1655" t="str">
        <f>_xlfn.XLOOKUP(C1655,tblProducts[product_id],tblProducts[product_name],"Missing")</f>
        <v>Support Desk</v>
      </c>
      <c r="P1655" t="str">
        <f>_xlfn.XLOOKUP(C1655,tblProducts[product_id],tblProducts[category],"Missing")</f>
        <v>Service</v>
      </c>
      <c r="Q1655" t="str">
        <f>_xlfn.XLOOKUP(D1655,tblSalesReps[rep_id],tblSalesReps[rep_name],"Missing")</f>
        <v>Sales Rep 14</v>
      </c>
      <c r="R1655" t="str">
        <f>_xlfn.XLOOKUP(D1655,tblSalesReps[rep_id],tblSalesReps[region],"Missing")</f>
        <v>West</v>
      </c>
    </row>
    <row r="1656" spans="1:18">
      <c r="A1656" t="s">
        <v>2187</v>
      </c>
      <c r="B1656" t="s">
        <v>369</v>
      </c>
      <c r="C1656" t="s">
        <v>39</v>
      </c>
      <c r="D1656" t="s">
        <v>59</v>
      </c>
      <c r="E1656" s="1">
        <v>45889</v>
      </c>
      <c r="F1656" s="1">
        <v>45933</v>
      </c>
      <c r="G1656" s="1">
        <v>45933</v>
      </c>
      <c r="H1656" t="s">
        <v>17</v>
      </c>
      <c r="I1656">
        <v>2</v>
      </c>
      <c r="J1656">
        <v>0</v>
      </c>
      <c r="K1656">
        <v>360000</v>
      </c>
      <c r="L1656">
        <v>0</v>
      </c>
      <c r="M1656" t="s">
        <v>18</v>
      </c>
      <c r="N1656" t="str">
        <f>_xlfn.XLOOKUP(B1656,tblCustomers[customer_id],tblCustomers[region],"Missing")</f>
        <v>East</v>
      </c>
      <c r="O1656" t="str">
        <f>_xlfn.XLOOKUP(C1656,tblProducts[product_id],tblProducts[product_name],"Missing")</f>
        <v>Support Desk</v>
      </c>
      <c r="P1656" t="str">
        <f>_xlfn.XLOOKUP(C1656,tblProducts[product_id],tblProducts[category],"Missing")</f>
        <v>Service</v>
      </c>
      <c r="Q1656" t="str">
        <f>_xlfn.XLOOKUP(D1656,tblSalesReps[rep_id],tblSalesReps[rep_name],"Missing")</f>
        <v>Sales Rep 19</v>
      </c>
      <c r="R1656" t="str">
        <f>_xlfn.XLOOKUP(D1656,tblSalesReps[rep_id],tblSalesReps[region],"Missing")</f>
        <v>East</v>
      </c>
    </row>
    <row r="1657" spans="1:18">
      <c r="A1657" t="s">
        <v>2188</v>
      </c>
      <c r="B1657" t="s">
        <v>994</v>
      </c>
      <c r="C1657" t="s">
        <v>62</v>
      </c>
      <c r="D1657" t="s">
        <v>27</v>
      </c>
      <c r="E1657" s="1">
        <v>45912</v>
      </c>
      <c r="F1657" s="1">
        <v>45965</v>
      </c>
      <c r="G1657" s="1">
        <v>45965</v>
      </c>
      <c r="H1657" t="s">
        <v>17</v>
      </c>
      <c r="I1657">
        <v>1</v>
      </c>
      <c r="J1657">
        <v>5</v>
      </c>
      <c r="K1657">
        <v>114000</v>
      </c>
      <c r="L1657">
        <v>0</v>
      </c>
      <c r="M1657" t="s">
        <v>18</v>
      </c>
      <c r="N1657" t="str">
        <f>_xlfn.XLOOKUP(B1657,tblCustomers[customer_id],tblCustomers[region],"Missing")</f>
        <v>North</v>
      </c>
      <c r="O1657" t="str">
        <f>_xlfn.XLOOKUP(C1657,tblProducts[product_id],tblProducts[product_name],"Missing")</f>
        <v>CRM Essentials</v>
      </c>
      <c r="P1657" t="str">
        <f>_xlfn.XLOOKUP(C1657,tblProducts[product_id],tblProducts[category],"Missing")</f>
        <v>CRM</v>
      </c>
      <c r="Q1657" t="str">
        <f>_xlfn.XLOOKUP(D1657,tblSalesReps[rep_id],tblSalesReps[rep_name],"Missing")</f>
        <v>Sales Rep 06</v>
      </c>
      <c r="R1657" t="str">
        <f>_xlfn.XLOOKUP(D1657,tblSalesReps[rep_id],tblSalesReps[region],"Missing")</f>
        <v>North</v>
      </c>
    </row>
    <row r="1658" spans="1:18">
      <c r="A1658" t="s">
        <v>2189</v>
      </c>
      <c r="B1658" t="s">
        <v>2060</v>
      </c>
      <c r="C1658" t="s">
        <v>26</v>
      </c>
      <c r="D1658" t="s">
        <v>126</v>
      </c>
      <c r="E1658" s="1">
        <v>46018</v>
      </c>
      <c r="F1658" s="1">
        <v>46047</v>
      </c>
      <c r="G1658" s="1"/>
      <c r="H1658" t="s">
        <v>43</v>
      </c>
      <c r="I1658">
        <v>1</v>
      </c>
      <c r="J1658">
        <v>0</v>
      </c>
      <c r="K1658">
        <v>360000</v>
      </c>
      <c r="L1658">
        <v>20</v>
      </c>
      <c r="M1658" t="s">
        <v>29</v>
      </c>
      <c r="N1658" t="str">
        <f>_xlfn.XLOOKUP(B1658,tblCustomers[customer_id],tblCustomers[region],"Missing")</f>
        <v>South</v>
      </c>
      <c r="O1658" t="str">
        <f>_xlfn.XLOOKUP(C1658,tblProducts[product_id],tblProducts[product_name],"Missing")</f>
        <v>Security Suite</v>
      </c>
      <c r="P1658" t="str">
        <f>_xlfn.XLOOKUP(C1658,tblProducts[product_id],tblProducts[category],"Missing")</f>
        <v>Security</v>
      </c>
      <c r="Q1658" t="str">
        <f>_xlfn.XLOOKUP(D1658,tblSalesReps[rep_id],tblSalesReps[rep_name],"Missing")</f>
        <v>Sales Rep 02</v>
      </c>
      <c r="R1658" t="str">
        <f>_xlfn.XLOOKUP(D1658,tblSalesReps[rep_id],tblSalesReps[region],"Missing")</f>
        <v>South</v>
      </c>
    </row>
    <row r="1659" spans="1:18">
      <c r="A1659" t="s">
        <v>2190</v>
      </c>
      <c r="B1659" t="s">
        <v>1398</v>
      </c>
      <c r="C1659" t="s">
        <v>26</v>
      </c>
      <c r="D1659" t="s">
        <v>40</v>
      </c>
      <c r="E1659" s="1">
        <v>45985</v>
      </c>
      <c r="F1659" s="1">
        <v>46068</v>
      </c>
      <c r="G1659" s="1"/>
      <c r="H1659" t="s">
        <v>43</v>
      </c>
      <c r="I1659">
        <v>2</v>
      </c>
      <c r="J1659">
        <v>10</v>
      </c>
      <c r="K1659">
        <v>648000</v>
      </c>
      <c r="L1659">
        <v>80</v>
      </c>
      <c r="M1659" t="s">
        <v>29</v>
      </c>
      <c r="N1659" t="str">
        <f>_xlfn.XLOOKUP(B1659,tblCustomers[customer_id],tblCustomers[region],"Missing")</f>
        <v>West</v>
      </c>
      <c r="O1659" t="str">
        <f>_xlfn.XLOOKUP(C1659,tblProducts[product_id],tblProducts[product_name],"Missing")</f>
        <v>Security Suite</v>
      </c>
      <c r="P1659" t="str">
        <f>_xlfn.XLOOKUP(C1659,tblProducts[product_id],tblProducts[category],"Missing")</f>
        <v>Security</v>
      </c>
      <c r="Q1659" t="str">
        <f>_xlfn.XLOOKUP(D1659,tblSalesReps[rep_id],tblSalesReps[rep_name],"Missing")</f>
        <v>Sales Rep 13</v>
      </c>
      <c r="R1659" t="str">
        <f>_xlfn.XLOOKUP(D1659,tblSalesReps[rep_id],tblSalesReps[region],"Missing")</f>
        <v>West</v>
      </c>
    </row>
    <row r="1660" spans="1:18">
      <c r="A1660" t="s">
        <v>2191</v>
      </c>
      <c r="B1660" t="s">
        <v>410</v>
      </c>
      <c r="C1660" t="s">
        <v>62</v>
      </c>
      <c r="D1660" t="s">
        <v>16</v>
      </c>
      <c r="E1660" s="1">
        <v>45766</v>
      </c>
      <c r="F1660" s="1">
        <v>45778</v>
      </c>
      <c r="G1660" s="1">
        <v>45778</v>
      </c>
      <c r="H1660" t="s">
        <v>17</v>
      </c>
      <c r="I1660">
        <v>1</v>
      </c>
      <c r="J1660">
        <v>0</v>
      </c>
      <c r="K1660">
        <v>120000</v>
      </c>
      <c r="L1660">
        <v>0</v>
      </c>
      <c r="M1660" t="s">
        <v>47</v>
      </c>
      <c r="N1660" t="str">
        <f>_xlfn.XLOOKUP(B1660,tblCustomers[customer_id],tblCustomers[region],"Missing")</f>
        <v>North</v>
      </c>
      <c r="O1660" t="str">
        <f>_xlfn.XLOOKUP(C1660,tblProducts[product_id],tblProducts[product_name],"Missing")</f>
        <v>CRM Essentials</v>
      </c>
      <c r="P1660" t="str">
        <f>_xlfn.XLOOKUP(C1660,tblProducts[product_id],tblProducts[category],"Missing")</f>
        <v>CRM</v>
      </c>
      <c r="Q1660" t="str">
        <f>_xlfn.XLOOKUP(D1660,tblSalesReps[rep_id],tblSalesReps[rep_name],"Missing")</f>
        <v>Sales Rep 08</v>
      </c>
      <c r="R1660" t="str">
        <f>_xlfn.XLOOKUP(D1660,tblSalesReps[rep_id],tblSalesReps[region],"Missing")</f>
        <v>North</v>
      </c>
    </row>
    <row r="1661" spans="1:18">
      <c r="A1661" t="s">
        <v>2192</v>
      </c>
      <c r="B1661" t="s">
        <v>287</v>
      </c>
      <c r="C1661" t="s">
        <v>81</v>
      </c>
      <c r="D1661" t="s">
        <v>46</v>
      </c>
      <c r="E1661" s="1">
        <v>45929</v>
      </c>
      <c r="F1661" s="1">
        <v>45999</v>
      </c>
      <c r="G1661" s="1">
        <v>45999</v>
      </c>
      <c r="H1661" t="s">
        <v>28</v>
      </c>
      <c r="I1661">
        <v>1</v>
      </c>
      <c r="J1661">
        <v>15</v>
      </c>
      <c r="K1661">
        <v>255000</v>
      </c>
      <c r="L1661">
        <v>100</v>
      </c>
      <c r="M1661" t="s">
        <v>29</v>
      </c>
      <c r="N1661" t="str">
        <f>_xlfn.XLOOKUP(B1661,tblCustomers[customer_id],tblCustomers[region],"Missing")</f>
        <v>South</v>
      </c>
      <c r="O1661" t="str">
        <f>_xlfn.XLOOKUP(C1661,tblProducts[product_id],tblProducts[product_name],"Missing")</f>
        <v>Analytics Cloud</v>
      </c>
      <c r="P1661" t="str">
        <f>_xlfn.XLOOKUP(C1661,tblProducts[product_id],tblProducts[category],"Missing")</f>
        <v>Analytics</v>
      </c>
      <c r="Q1661" t="str">
        <f>_xlfn.XLOOKUP(D1661,tblSalesReps[rep_id],tblSalesReps[rep_name],"Missing")</f>
        <v>Sales Rep 01</v>
      </c>
      <c r="R1661" t="str">
        <f>_xlfn.XLOOKUP(D1661,tblSalesReps[rep_id],tblSalesReps[region],"Missing")</f>
        <v>South</v>
      </c>
    </row>
    <row r="1662" spans="1:18">
      <c r="A1662" t="s">
        <v>2193</v>
      </c>
      <c r="B1662" t="s">
        <v>680</v>
      </c>
      <c r="C1662" t="s">
        <v>21</v>
      </c>
      <c r="D1662" t="s">
        <v>91</v>
      </c>
      <c r="E1662" s="1">
        <v>45959</v>
      </c>
      <c r="F1662" s="1">
        <v>46031</v>
      </c>
      <c r="G1662" s="1"/>
      <c r="H1662" t="s">
        <v>43</v>
      </c>
      <c r="I1662">
        <v>1</v>
      </c>
      <c r="J1662">
        <v>5</v>
      </c>
      <c r="K1662">
        <v>228000</v>
      </c>
      <c r="L1662">
        <v>60</v>
      </c>
      <c r="M1662" t="s">
        <v>29</v>
      </c>
      <c r="N1662" t="str">
        <f>_xlfn.XLOOKUP(B1662,tblCustomers[customer_id],tblCustomers[region],"Missing")</f>
        <v>South</v>
      </c>
      <c r="O1662" t="str">
        <f>_xlfn.XLOOKUP(C1662,tblProducts[product_id],tblProducts[product_name],"Missing")</f>
        <v>Workflow Automate</v>
      </c>
      <c r="P1662" t="str">
        <f>_xlfn.XLOOKUP(C1662,tblProducts[product_id],tblProducts[category],"Missing")</f>
        <v>Automation</v>
      </c>
      <c r="Q1662" t="str">
        <f>_xlfn.XLOOKUP(D1662,tblSalesReps[rep_id],tblSalesReps[rep_name],"Missing")</f>
        <v>Sales Rep 03</v>
      </c>
      <c r="R1662" t="str">
        <f>_xlfn.XLOOKUP(D1662,tblSalesReps[rep_id],tblSalesReps[region],"Missing")</f>
        <v>South</v>
      </c>
    </row>
    <row r="1663" spans="1:18">
      <c r="A1663" t="s">
        <v>2194</v>
      </c>
      <c r="B1663" t="s">
        <v>1080</v>
      </c>
      <c r="C1663" t="s">
        <v>21</v>
      </c>
      <c r="D1663" t="s">
        <v>168</v>
      </c>
      <c r="E1663" s="1">
        <v>45820</v>
      </c>
      <c r="F1663" s="1">
        <v>45883</v>
      </c>
      <c r="G1663" s="1">
        <v>45883</v>
      </c>
      <c r="H1663" t="s">
        <v>28</v>
      </c>
      <c r="I1663">
        <v>3</v>
      </c>
      <c r="J1663">
        <v>0</v>
      </c>
      <c r="K1663">
        <v>720000</v>
      </c>
      <c r="L1663">
        <v>100</v>
      </c>
      <c r="M1663" t="s">
        <v>29</v>
      </c>
      <c r="N1663" t="str">
        <f>_xlfn.XLOOKUP(B1663,tblCustomers[customer_id],tblCustomers[region],"Missing")</f>
        <v>East</v>
      </c>
      <c r="O1663" t="str">
        <f>_xlfn.XLOOKUP(C1663,tblProducts[product_id],tblProducts[product_name],"Missing")</f>
        <v>Workflow Automate</v>
      </c>
      <c r="P1663" t="str">
        <f>_xlfn.XLOOKUP(C1663,tblProducts[product_id],tblProducts[category],"Missing")</f>
        <v>Automation</v>
      </c>
      <c r="Q1663" t="str">
        <f>_xlfn.XLOOKUP(D1663,tblSalesReps[rep_id],tblSalesReps[rep_name],"Missing")</f>
        <v>Sales Rep 17</v>
      </c>
      <c r="R1663" t="str">
        <f>_xlfn.XLOOKUP(D1663,tblSalesReps[rep_id],tblSalesReps[region],"Missing")</f>
        <v>East</v>
      </c>
    </row>
    <row r="1664" spans="1:18">
      <c r="A1664" t="s">
        <v>2195</v>
      </c>
      <c r="B1664" t="s">
        <v>940</v>
      </c>
      <c r="C1664" t="s">
        <v>81</v>
      </c>
      <c r="D1664" t="s">
        <v>36</v>
      </c>
      <c r="E1664" s="1">
        <v>45919</v>
      </c>
      <c r="F1664" s="1">
        <v>45967</v>
      </c>
      <c r="G1664" s="1">
        <v>45967</v>
      </c>
      <c r="H1664" t="s">
        <v>17</v>
      </c>
      <c r="I1664">
        <v>3</v>
      </c>
      <c r="J1664">
        <v>5</v>
      </c>
      <c r="K1664">
        <v>855000</v>
      </c>
      <c r="L1664">
        <v>0</v>
      </c>
      <c r="M1664" t="s">
        <v>23</v>
      </c>
      <c r="N1664" t="str">
        <f>_xlfn.XLOOKUP(B1664,tblCustomers[customer_id],tblCustomers[region],"Missing")</f>
        <v>North</v>
      </c>
      <c r="O1664" t="str">
        <f>_xlfn.XLOOKUP(C1664,tblProducts[product_id],tblProducts[product_name],"Missing")</f>
        <v>Analytics Cloud</v>
      </c>
      <c r="P1664" t="str">
        <f>_xlfn.XLOOKUP(C1664,tblProducts[product_id],tblProducts[category],"Missing")</f>
        <v>Analytics</v>
      </c>
      <c r="Q1664" t="str">
        <f>_xlfn.XLOOKUP(D1664,tblSalesReps[rep_id],tblSalesReps[rep_name],"Missing")</f>
        <v>Sales Rep 09</v>
      </c>
      <c r="R1664" t="str">
        <f>_xlfn.XLOOKUP(D1664,tblSalesReps[rep_id],tblSalesReps[region],"Missing")</f>
        <v>North</v>
      </c>
    </row>
    <row r="1665" spans="1:18">
      <c r="A1665" t="s">
        <v>2196</v>
      </c>
      <c r="B1665" t="s">
        <v>660</v>
      </c>
      <c r="C1665" t="s">
        <v>26</v>
      </c>
      <c r="D1665" t="s">
        <v>75</v>
      </c>
      <c r="E1665" s="1">
        <v>45991</v>
      </c>
      <c r="F1665" s="1">
        <v>46066</v>
      </c>
      <c r="G1665" s="1"/>
      <c r="H1665" t="s">
        <v>43</v>
      </c>
      <c r="I1665">
        <v>1</v>
      </c>
      <c r="J1665">
        <v>0</v>
      </c>
      <c r="K1665">
        <v>360000</v>
      </c>
      <c r="L1665">
        <v>40</v>
      </c>
      <c r="M1665" t="s">
        <v>29</v>
      </c>
      <c r="N1665" t="str">
        <f>_xlfn.XLOOKUP(B1665,tblCustomers[customer_id],tblCustomers[region],"Missing")</f>
        <v>North</v>
      </c>
      <c r="O1665" t="str">
        <f>_xlfn.XLOOKUP(C1665,tblProducts[product_id],tblProducts[product_name],"Missing")</f>
        <v>Security Suite</v>
      </c>
      <c r="P1665" t="str">
        <f>_xlfn.XLOOKUP(C1665,tblProducts[product_id],tblProducts[category],"Missing")</f>
        <v>Security</v>
      </c>
      <c r="Q1665" t="str">
        <f>_xlfn.XLOOKUP(D1665,tblSalesReps[rep_id],tblSalesReps[rep_name],"Missing")</f>
        <v>Sales Rep 07</v>
      </c>
      <c r="R1665" t="str">
        <f>_xlfn.XLOOKUP(D1665,tblSalesReps[rep_id],tblSalesReps[region],"Missing")</f>
        <v>North</v>
      </c>
    </row>
    <row r="1666" spans="1:18">
      <c r="A1666" t="s">
        <v>2197</v>
      </c>
      <c r="B1666" t="s">
        <v>1277</v>
      </c>
      <c r="C1666" t="s">
        <v>21</v>
      </c>
      <c r="D1666" t="s">
        <v>152</v>
      </c>
      <c r="E1666" s="1">
        <v>45937</v>
      </c>
      <c r="F1666" s="1">
        <v>46017</v>
      </c>
      <c r="G1666" s="1"/>
      <c r="H1666" t="s">
        <v>43</v>
      </c>
      <c r="I1666">
        <v>3</v>
      </c>
      <c r="J1666">
        <v>15</v>
      </c>
      <c r="K1666">
        <v>612000</v>
      </c>
      <c r="L1666">
        <v>20</v>
      </c>
      <c r="M1666" t="s">
        <v>29</v>
      </c>
      <c r="N1666" t="str">
        <f>_xlfn.XLOOKUP(B1666,tblCustomers[customer_id],tblCustomers[region],"Missing")</f>
        <v>East</v>
      </c>
      <c r="O1666" t="str">
        <f>_xlfn.XLOOKUP(C1666,tblProducts[product_id],tblProducts[product_name],"Missing")</f>
        <v>Workflow Automate</v>
      </c>
      <c r="P1666" t="str">
        <f>_xlfn.XLOOKUP(C1666,tblProducts[product_id],tblProducts[category],"Missing")</f>
        <v>Automation</v>
      </c>
      <c r="Q1666" t="str">
        <f>_xlfn.XLOOKUP(D1666,tblSalesReps[rep_id],tblSalesReps[rep_name],"Missing")</f>
        <v>Sales Rep 18</v>
      </c>
      <c r="R1666" t="str">
        <f>_xlfn.XLOOKUP(D1666,tblSalesReps[rep_id],tblSalesReps[region],"Missing")</f>
        <v>East</v>
      </c>
    </row>
    <row r="1667" spans="1:18">
      <c r="A1667" t="s">
        <v>2198</v>
      </c>
      <c r="B1667" t="s">
        <v>1568</v>
      </c>
      <c r="C1667" t="s">
        <v>81</v>
      </c>
      <c r="D1667" t="s">
        <v>27</v>
      </c>
      <c r="E1667" s="1">
        <v>45808</v>
      </c>
      <c r="F1667" s="1">
        <v>45846</v>
      </c>
      <c r="G1667" s="1">
        <v>45846</v>
      </c>
      <c r="H1667" t="s">
        <v>28</v>
      </c>
      <c r="I1667">
        <v>2</v>
      </c>
      <c r="J1667">
        <v>0</v>
      </c>
      <c r="K1667">
        <v>600000</v>
      </c>
      <c r="L1667">
        <v>100</v>
      </c>
      <c r="M1667" t="s">
        <v>29</v>
      </c>
      <c r="N1667" t="str">
        <f>_xlfn.XLOOKUP(B1667,tblCustomers[customer_id],tblCustomers[region],"Missing")</f>
        <v>North</v>
      </c>
      <c r="O1667" t="str">
        <f>_xlfn.XLOOKUP(C1667,tblProducts[product_id],tblProducts[product_name],"Missing")</f>
        <v>Analytics Cloud</v>
      </c>
      <c r="P1667" t="str">
        <f>_xlfn.XLOOKUP(C1667,tblProducts[product_id],tblProducts[category],"Missing")</f>
        <v>Analytics</v>
      </c>
      <c r="Q1667" t="str">
        <f>_xlfn.XLOOKUP(D1667,tblSalesReps[rep_id],tblSalesReps[rep_name],"Missing")</f>
        <v>Sales Rep 06</v>
      </c>
      <c r="R1667" t="str">
        <f>_xlfn.XLOOKUP(D1667,tblSalesReps[rep_id],tblSalesReps[region],"Missing")</f>
        <v>North</v>
      </c>
    </row>
    <row r="1668" spans="1:18">
      <c r="A1668" t="s">
        <v>2199</v>
      </c>
      <c r="B1668" t="s">
        <v>1496</v>
      </c>
      <c r="C1668" t="s">
        <v>21</v>
      </c>
      <c r="D1668" t="s">
        <v>91</v>
      </c>
      <c r="E1668" s="1">
        <v>45731</v>
      </c>
      <c r="F1668" s="1">
        <v>45761</v>
      </c>
      <c r="G1668" s="1">
        <v>45761</v>
      </c>
      <c r="H1668" t="s">
        <v>17</v>
      </c>
      <c r="I1668">
        <v>2</v>
      </c>
      <c r="J1668">
        <v>15</v>
      </c>
      <c r="K1668">
        <v>408000</v>
      </c>
      <c r="L1668">
        <v>0</v>
      </c>
      <c r="M1668" t="s">
        <v>33</v>
      </c>
      <c r="N1668" t="str">
        <f>_xlfn.XLOOKUP(B1668,tblCustomers[customer_id],tblCustomers[region],"Missing")</f>
        <v>South</v>
      </c>
      <c r="O1668" t="str">
        <f>_xlfn.XLOOKUP(C1668,tblProducts[product_id],tblProducts[product_name],"Missing")</f>
        <v>Workflow Automate</v>
      </c>
      <c r="P1668" t="str">
        <f>_xlfn.XLOOKUP(C1668,tblProducts[product_id],tblProducts[category],"Missing")</f>
        <v>Automation</v>
      </c>
      <c r="Q1668" t="str">
        <f>_xlfn.XLOOKUP(D1668,tblSalesReps[rep_id],tblSalesReps[rep_name],"Missing")</f>
        <v>Sales Rep 03</v>
      </c>
      <c r="R1668" t="str">
        <f>_xlfn.XLOOKUP(D1668,tblSalesReps[rep_id],tblSalesReps[region],"Missing")</f>
        <v>South</v>
      </c>
    </row>
    <row r="1669" spans="1:18">
      <c r="A1669" t="s">
        <v>2200</v>
      </c>
      <c r="B1669" t="s">
        <v>1194</v>
      </c>
      <c r="C1669" t="s">
        <v>21</v>
      </c>
      <c r="D1669" t="s">
        <v>27</v>
      </c>
      <c r="E1669" s="1">
        <v>45717</v>
      </c>
      <c r="F1669" s="1">
        <v>45741</v>
      </c>
      <c r="G1669" s="1"/>
      <c r="H1669" t="s">
        <v>43</v>
      </c>
      <c r="I1669">
        <v>3</v>
      </c>
      <c r="J1669">
        <v>5</v>
      </c>
      <c r="K1669">
        <v>684000</v>
      </c>
      <c r="L1669">
        <v>80</v>
      </c>
      <c r="M1669" t="s">
        <v>29</v>
      </c>
      <c r="N1669" t="str">
        <f>_xlfn.XLOOKUP(B1669,tblCustomers[customer_id],tblCustomers[region],"Missing")</f>
        <v>North</v>
      </c>
      <c r="O1669" t="str">
        <f>_xlfn.XLOOKUP(C1669,tblProducts[product_id],tblProducts[product_name],"Missing")</f>
        <v>Workflow Automate</v>
      </c>
      <c r="P1669" t="str">
        <f>_xlfn.XLOOKUP(C1669,tblProducts[product_id],tblProducts[category],"Missing")</f>
        <v>Automation</v>
      </c>
      <c r="Q1669" t="str">
        <f>_xlfn.XLOOKUP(D1669,tblSalesReps[rep_id],tblSalesReps[rep_name],"Missing")</f>
        <v>Sales Rep 06</v>
      </c>
      <c r="R1669" t="str">
        <f>_xlfn.XLOOKUP(D1669,tblSalesReps[rep_id],tblSalesReps[region],"Missing")</f>
        <v>North</v>
      </c>
    </row>
    <row r="1670" spans="1:18">
      <c r="A1670" t="s">
        <v>2201</v>
      </c>
      <c r="B1670" t="s">
        <v>660</v>
      </c>
      <c r="C1670" t="s">
        <v>21</v>
      </c>
      <c r="D1670" t="s">
        <v>27</v>
      </c>
      <c r="E1670" s="1">
        <v>46015</v>
      </c>
      <c r="F1670" s="1">
        <v>46054</v>
      </c>
      <c r="G1670" s="1"/>
      <c r="H1670" t="s">
        <v>43</v>
      </c>
      <c r="I1670">
        <v>2</v>
      </c>
      <c r="J1670">
        <v>5</v>
      </c>
      <c r="K1670">
        <v>456000</v>
      </c>
      <c r="L1670">
        <v>20</v>
      </c>
      <c r="M1670" t="s">
        <v>29</v>
      </c>
      <c r="N1670" t="str">
        <f>_xlfn.XLOOKUP(B1670,tblCustomers[customer_id],tblCustomers[region],"Missing")</f>
        <v>North</v>
      </c>
      <c r="O1670" t="str">
        <f>_xlfn.XLOOKUP(C1670,tblProducts[product_id],tblProducts[product_name],"Missing")</f>
        <v>Workflow Automate</v>
      </c>
      <c r="P1670" t="str">
        <f>_xlfn.XLOOKUP(C1670,tblProducts[product_id],tblProducts[category],"Missing")</f>
        <v>Automation</v>
      </c>
      <c r="Q1670" t="str">
        <f>_xlfn.XLOOKUP(D1670,tblSalesReps[rep_id],tblSalesReps[rep_name],"Missing")</f>
        <v>Sales Rep 06</v>
      </c>
      <c r="R1670" t="str">
        <f>_xlfn.XLOOKUP(D1670,tblSalesReps[rep_id],tblSalesReps[region],"Missing")</f>
        <v>North</v>
      </c>
    </row>
    <row r="1671" spans="1:18">
      <c r="A1671" t="s">
        <v>2202</v>
      </c>
      <c r="B1671" t="s">
        <v>664</v>
      </c>
      <c r="C1671" t="s">
        <v>15</v>
      </c>
      <c r="D1671" t="s">
        <v>32</v>
      </c>
      <c r="E1671" s="1">
        <v>46000</v>
      </c>
      <c r="F1671" s="1">
        <v>46022</v>
      </c>
      <c r="G1671" s="1">
        <v>46022</v>
      </c>
      <c r="H1671" t="s">
        <v>28</v>
      </c>
      <c r="I1671">
        <v>1</v>
      </c>
      <c r="J1671">
        <v>10</v>
      </c>
      <c r="K1671">
        <v>378000</v>
      </c>
      <c r="L1671">
        <v>100</v>
      </c>
      <c r="M1671" t="s">
        <v>29</v>
      </c>
      <c r="N1671" t="str">
        <f>_xlfn.XLOOKUP(B1671,tblCustomers[customer_id],tblCustomers[region],"Missing")</f>
        <v>South</v>
      </c>
      <c r="O1671" t="str">
        <f>_xlfn.XLOOKUP(C1671,tblProducts[product_id],tblProducts[product_name],"Missing")</f>
        <v>CRM Enterprise</v>
      </c>
      <c r="P1671" t="str">
        <f>_xlfn.XLOOKUP(C1671,tblProducts[product_id],tblProducts[category],"Missing")</f>
        <v>CRM</v>
      </c>
      <c r="Q1671" t="str">
        <f>_xlfn.XLOOKUP(D1671,tblSalesReps[rep_id],tblSalesReps[rep_name],"Missing")</f>
        <v>Sales Rep 04</v>
      </c>
      <c r="R1671" t="str">
        <f>_xlfn.XLOOKUP(D1671,tblSalesReps[rep_id],tblSalesReps[region],"Missing")</f>
        <v>South</v>
      </c>
    </row>
    <row r="1672" spans="1:18">
      <c r="A1672" t="s">
        <v>2203</v>
      </c>
      <c r="B1672" t="s">
        <v>241</v>
      </c>
      <c r="C1672" t="s">
        <v>81</v>
      </c>
      <c r="D1672" t="s">
        <v>53</v>
      </c>
      <c r="E1672" s="1">
        <v>45725</v>
      </c>
      <c r="F1672" s="1">
        <v>45789</v>
      </c>
      <c r="G1672" s="1">
        <v>45789</v>
      </c>
      <c r="H1672" t="s">
        <v>17</v>
      </c>
      <c r="I1672">
        <v>1</v>
      </c>
      <c r="J1672">
        <v>5</v>
      </c>
      <c r="K1672">
        <v>285000</v>
      </c>
      <c r="L1672">
        <v>0</v>
      </c>
      <c r="M1672" t="s">
        <v>23</v>
      </c>
      <c r="N1672" t="str">
        <f>_xlfn.XLOOKUP(B1672,tblCustomers[customer_id],tblCustomers[region],"Missing")</f>
        <v>East</v>
      </c>
      <c r="O1672" t="str">
        <f>_xlfn.XLOOKUP(C1672,tblProducts[product_id],tblProducts[product_name],"Missing")</f>
        <v>Analytics Cloud</v>
      </c>
      <c r="P1672" t="str">
        <f>_xlfn.XLOOKUP(C1672,tblProducts[product_id],tblProducts[category],"Missing")</f>
        <v>Analytics</v>
      </c>
      <c r="Q1672" t="str">
        <f>_xlfn.XLOOKUP(D1672,tblSalesReps[rep_id],tblSalesReps[rep_name],"Missing")</f>
        <v>Sales Rep 16</v>
      </c>
      <c r="R1672" t="str">
        <f>_xlfn.XLOOKUP(D1672,tblSalesReps[rep_id],tblSalesReps[region],"Missing")</f>
        <v>East</v>
      </c>
    </row>
    <row r="1673" spans="1:18">
      <c r="A1673" t="s">
        <v>2204</v>
      </c>
      <c r="B1673" t="s">
        <v>1511</v>
      </c>
      <c r="C1673" t="s">
        <v>81</v>
      </c>
      <c r="D1673" t="s">
        <v>91</v>
      </c>
      <c r="E1673" s="1">
        <v>45872</v>
      </c>
      <c r="F1673" s="1">
        <v>45887</v>
      </c>
      <c r="G1673" s="1">
        <v>45887</v>
      </c>
      <c r="H1673" t="s">
        <v>28</v>
      </c>
      <c r="I1673">
        <v>1</v>
      </c>
      <c r="J1673">
        <v>5</v>
      </c>
      <c r="K1673">
        <v>285000</v>
      </c>
      <c r="L1673">
        <v>100</v>
      </c>
      <c r="M1673" t="s">
        <v>29</v>
      </c>
      <c r="N1673" t="str">
        <f>_xlfn.XLOOKUP(B1673,tblCustomers[customer_id],tblCustomers[region],"Missing")</f>
        <v>South</v>
      </c>
      <c r="O1673" t="str">
        <f>_xlfn.XLOOKUP(C1673,tblProducts[product_id],tblProducts[product_name],"Missing")</f>
        <v>Analytics Cloud</v>
      </c>
      <c r="P1673" t="str">
        <f>_xlfn.XLOOKUP(C1673,tblProducts[product_id],tblProducts[category],"Missing")</f>
        <v>Analytics</v>
      </c>
      <c r="Q1673" t="str">
        <f>_xlfn.XLOOKUP(D1673,tblSalesReps[rep_id],tblSalesReps[rep_name],"Missing")</f>
        <v>Sales Rep 03</v>
      </c>
      <c r="R1673" t="str">
        <f>_xlfn.XLOOKUP(D1673,tblSalesReps[rep_id],tblSalesReps[region],"Missing")</f>
        <v>South</v>
      </c>
    </row>
    <row r="1674" spans="1:18">
      <c r="A1674" t="s">
        <v>2205</v>
      </c>
      <c r="B1674" t="s">
        <v>801</v>
      </c>
      <c r="C1674" t="s">
        <v>21</v>
      </c>
      <c r="D1674" t="s">
        <v>16</v>
      </c>
      <c r="E1674" s="1">
        <v>45835</v>
      </c>
      <c r="F1674" s="1">
        <v>45907</v>
      </c>
      <c r="G1674" s="1">
        <v>45907</v>
      </c>
      <c r="H1674" t="s">
        <v>17</v>
      </c>
      <c r="I1674">
        <v>1</v>
      </c>
      <c r="J1674">
        <v>20</v>
      </c>
      <c r="K1674">
        <v>192000</v>
      </c>
      <c r="L1674">
        <v>0</v>
      </c>
      <c r="M1674" t="s">
        <v>82</v>
      </c>
      <c r="N1674" t="str">
        <f>_xlfn.XLOOKUP(B1674,tblCustomers[customer_id],tblCustomers[region],"Missing")</f>
        <v>North</v>
      </c>
      <c r="O1674" t="str">
        <f>_xlfn.XLOOKUP(C1674,tblProducts[product_id],tblProducts[product_name],"Missing")</f>
        <v>Workflow Automate</v>
      </c>
      <c r="P1674" t="str">
        <f>_xlfn.XLOOKUP(C1674,tblProducts[product_id],tblProducts[category],"Missing")</f>
        <v>Automation</v>
      </c>
      <c r="Q1674" t="str">
        <f>_xlfn.XLOOKUP(D1674,tblSalesReps[rep_id],tblSalesReps[rep_name],"Missing")</f>
        <v>Sales Rep 08</v>
      </c>
      <c r="R1674" t="str">
        <f>_xlfn.XLOOKUP(D1674,tblSalesReps[rep_id],tblSalesReps[region],"Missing")</f>
        <v>North</v>
      </c>
    </row>
    <row r="1675" spans="1:18">
      <c r="A1675" t="s">
        <v>2206</v>
      </c>
      <c r="B1675" t="s">
        <v>2207</v>
      </c>
      <c r="C1675" t="s">
        <v>39</v>
      </c>
      <c r="D1675" t="s">
        <v>50</v>
      </c>
      <c r="E1675" s="1">
        <v>45748</v>
      </c>
      <c r="F1675" s="1">
        <v>45764</v>
      </c>
      <c r="G1675" s="1">
        <v>45764</v>
      </c>
      <c r="H1675" t="s">
        <v>28</v>
      </c>
      <c r="I1675">
        <v>1</v>
      </c>
      <c r="J1675">
        <v>20</v>
      </c>
      <c r="K1675">
        <v>144000</v>
      </c>
      <c r="L1675">
        <v>100</v>
      </c>
      <c r="M1675" t="s">
        <v>29</v>
      </c>
      <c r="N1675" t="str">
        <f>_xlfn.XLOOKUP(B1675,tblCustomers[customer_id],tblCustomers[region],"Missing")</f>
        <v>West</v>
      </c>
      <c r="O1675" t="str">
        <f>_xlfn.XLOOKUP(C1675,tblProducts[product_id],tblProducts[product_name],"Missing")</f>
        <v>Support Desk</v>
      </c>
      <c r="P1675" t="str">
        <f>_xlfn.XLOOKUP(C1675,tblProducts[product_id],tblProducts[category],"Missing")</f>
        <v>Service</v>
      </c>
      <c r="Q1675" t="str">
        <f>_xlfn.XLOOKUP(D1675,tblSalesReps[rep_id],tblSalesReps[rep_name],"Missing")</f>
        <v>Sales Rep 15</v>
      </c>
      <c r="R1675" t="str">
        <f>_xlfn.XLOOKUP(D1675,tblSalesReps[rep_id],tblSalesReps[region],"Missing")</f>
        <v>West</v>
      </c>
    </row>
    <row r="1676" spans="1:18">
      <c r="A1676" t="s">
        <v>2208</v>
      </c>
      <c r="B1676" t="s">
        <v>1615</v>
      </c>
      <c r="C1676" t="s">
        <v>15</v>
      </c>
      <c r="D1676" t="s">
        <v>70</v>
      </c>
      <c r="E1676" s="1">
        <v>45782</v>
      </c>
      <c r="F1676" s="1">
        <v>45817</v>
      </c>
      <c r="G1676" s="1">
        <v>45817</v>
      </c>
      <c r="H1676" t="s">
        <v>28</v>
      </c>
      <c r="I1676">
        <v>1</v>
      </c>
      <c r="J1676">
        <v>20</v>
      </c>
      <c r="K1676">
        <v>336000</v>
      </c>
      <c r="L1676">
        <v>100</v>
      </c>
      <c r="M1676" t="s">
        <v>29</v>
      </c>
      <c r="N1676" t="str">
        <f>_xlfn.XLOOKUP(B1676,tblCustomers[customer_id],tblCustomers[region],"Missing")</f>
        <v>West</v>
      </c>
      <c r="O1676" t="str">
        <f>_xlfn.XLOOKUP(C1676,tblProducts[product_id],tblProducts[product_name],"Missing")</f>
        <v>CRM Enterprise</v>
      </c>
      <c r="P1676" t="str">
        <f>_xlfn.XLOOKUP(C1676,tblProducts[product_id],tblProducts[category],"Missing")</f>
        <v>CRM</v>
      </c>
      <c r="Q1676" t="str">
        <f>_xlfn.XLOOKUP(D1676,tblSalesReps[rep_id],tblSalesReps[rep_name],"Missing")</f>
        <v>Sales Rep 11</v>
      </c>
      <c r="R1676" t="str">
        <f>_xlfn.XLOOKUP(D1676,tblSalesReps[rep_id],tblSalesReps[region],"Missing")</f>
        <v>West</v>
      </c>
    </row>
    <row r="1677" spans="1:18">
      <c r="A1677" t="s">
        <v>2209</v>
      </c>
      <c r="B1677" t="s">
        <v>236</v>
      </c>
      <c r="C1677" t="s">
        <v>81</v>
      </c>
      <c r="D1677" t="s">
        <v>32</v>
      </c>
      <c r="E1677" s="1">
        <v>45925</v>
      </c>
      <c r="F1677" s="1">
        <v>45969</v>
      </c>
      <c r="G1677" s="1">
        <v>45969</v>
      </c>
      <c r="H1677" t="s">
        <v>17</v>
      </c>
      <c r="I1677">
        <v>1</v>
      </c>
      <c r="J1677">
        <v>15</v>
      </c>
      <c r="K1677">
        <v>255000</v>
      </c>
      <c r="L1677">
        <v>0</v>
      </c>
      <c r="M1677" t="s">
        <v>33</v>
      </c>
      <c r="N1677" t="str">
        <f>_xlfn.XLOOKUP(B1677,tblCustomers[customer_id],tblCustomers[region],"Missing")</f>
        <v>South</v>
      </c>
      <c r="O1677" t="str">
        <f>_xlfn.XLOOKUP(C1677,tblProducts[product_id],tblProducts[product_name],"Missing")</f>
        <v>Analytics Cloud</v>
      </c>
      <c r="P1677" t="str">
        <f>_xlfn.XLOOKUP(C1677,tblProducts[product_id],tblProducts[category],"Missing")</f>
        <v>Analytics</v>
      </c>
      <c r="Q1677" t="str">
        <f>_xlfn.XLOOKUP(D1677,tblSalesReps[rep_id],tblSalesReps[rep_name],"Missing")</f>
        <v>Sales Rep 04</v>
      </c>
      <c r="R1677" t="str">
        <f>_xlfn.XLOOKUP(D1677,tblSalesReps[rep_id],tblSalesReps[region],"Missing")</f>
        <v>South</v>
      </c>
    </row>
    <row r="1678" spans="1:18">
      <c r="A1678" t="s">
        <v>2210</v>
      </c>
      <c r="B1678" t="s">
        <v>268</v>
      </c>
      <c r="C1678" t="s">
        <v>81</v>
      </c>
      <c r="D1678" t="s">
        <v>36</v>
      </c>
      <c r="E1678" s="1">
        <v>45945</v>
      </c>
      <c r="F1678" s="1">
        <v>45986</v>
      </c>
      <c r="G1678" s="1">
        <v>45986</v>
      </c>
      <c r="H1678" t="s">
        <v>28</v>
      </c>
      <c r="I1678">
        <v>2</v>
      </c>
      <c r="J1678">
        <v>0</v>
      </c>
      <c r="K1678">
        <v>600000</v>
      </c>
      <c r="L1678">
        <v>100</v>
      </c>
      <c r="M1678" t="s">
        <v>29</v>
      </c>
      <c r="N1678" t="str">
        <f>_xlfn.XLOOKUP(B1678,tblCustomers[customer_id],tblCustomers[region],"Missing")</f>
        <v>North</v>
      </c>
      <c r="O1678" t="str">
        <f>_xlfn.XLOOKUP(C1678,tblProducts[product_id],tblProducts[product_name],"Missing")</f>
        <v>Analytics Cloud</v>
      </c>
      <c r="P1678" t="str">
        <f>_xlfn.XLOOKUP(C1678,tblProducts[product_id],tblProducts[category],"Missing")</f>
        <v>Analytics</v>
      </c>
      <c r="Q1678" t="str">
        <f>_xlfn.XLOOKUP(D1678,tblSalesReps[rep_id],tblSalesReps[rep_name],"Missing")</f>
        <v>Sales Rep 09</v>
      </c>
      <c r="R1678" t="str">
        <f>_xlfn.XLOOKUP(D1678,tblSalesReps[rep_id],tblSalesReps[region],"Missing")</f>
        <v>North</v>
      </c>
    </row>
    <row r="1679" spans="1:18">
      <c r="A1679" t="s">
        <v>2211</v>
      </c>
      <c r="B1679" t="s">
        <v>351</v>
      </c>
      <c r="C1679" t="s">
        <v>26</v>
      </c>
      <c r="D1679" t="s">
        <v>75</v>
      </c>
      <c r="E1679" s="1">
        <v>45889</v>
      </c>
      <c r="F1679" s="1">
        <v>45900</v>
      </c>
      <c r="G1679" s="1">
        <v>45900</v>
      </c>
      <c r="H1679" t="s">
        <v>17</v>
      </c>
      <c r="I1679">
        <v>1</v>
      </c>
      <c r="J1679">
        <v>10</v>
      </c>
      <c r="K1679">
        <v>324000</v>
      </c>
      <c r="L1679">
        <v>0</v>
      </c>
      <c r="M1679" t="s">
        <v>47</v>
      </c>
      <c r="N1679" t="str">
        <f>_xlfn.XLOOKUP(B1679,tblCustomers[customer_id],tblCustomers[region],"Missing")</f>
        <v>North</v>
      </c>
      <c r="O1679" t="str">
        <f>_xlfn.XLOOKUP(C1679,tblProducts[product_id],tblProducts[product_name],"Missing")</f>
        <v>Security Suite</v>
      </c>
      <c r="P1679" t="str">
        <f>_xlfn.XLOOKUP(C1679,tblProducts[product_id],tblProducts[category],"Missing")</f>
        <v>Security</v>
      </c>
      <c r="Q1679" t="str">
        <f>_xlfn.XLOOKUP(D1679,tblSalesReps[rep_id],tblSalesReps[rep_name],"Missing")</f>
        <v>Sales Rep 07</v>
      </c>
      <c r="R1679" t="str">
        <f>_xlfn.XLOOKUP(D1679,tblSalesReps[rep_id],tblSalesReps[region],"Missing")</f>
        <v>North</v>
      </c>
    </row>
    <row r="1680" spans="1:18">
      <c r="A1680" t="s">
        <v>2212</v>
      </c>
      <c r="B1680" t="s">
        <v>259</v>
      </c>
      <c r="C1680" t="s">
        <v>21</v>
      </c>
      <c r="D1680" t="s">
        <v>32</v>
      </c>
      <c r="E1680" s="1">
        <v>45669</v>
      </c>
      <c r="F1680" s="1">
        <v>45696</v>
      </c>
      <c r="G1680" s="1">
        <v>45696</v>
      </c>
      <c r="H1680" t="s">
        <v>28</v>
      </c>
      <c r="I1680">
        <v>1</v>
      </c>
      <c r="J1680">
        <v>0</v>
      </c>
      <c r="K1680">
        <v>240000</v>
      </c>
      <c r="L1680">
        <v>100</v>
      </c>
      <c r="M1680" t="s">
        <v>29</v>
      </c>
      <c r="N1680" t="str">
        <f>_xlfn.XLOOKUP(B1680,tblCustomers[customer_id],tblCustomers[region],"Missing")</f>
        <v>South</v>
      </c>
      <c r="O1680" t="str">
        <f>_xlfn.XLOOKUP(C1680,tblProducts[product_id],tblProducts[product_name],"Missing")</f>
        <v>Workflow Automate</v>
      </c>
      <c r="P1680" t="str">
        <f>_xlfn.XLOOKUP(C1680,tblProducts[product_id],tblProducts[category],"Missing")</f>
        <v>Automation</v>
      </c>
      <c r="Q1680" t="str">
        <f>_xlfn.XLOOKUP(D1680,tblSalesReps[rep_id],tblSalesReps[rep_name],"Missing")</f>
        <v>Sales Rep 04</v>
      </c>
      <c r="R1680" t="str">
        <f>_xlfn.XLOOKUP(D1680,tblSalesReps[rep_id],tblSalesReps[region],"Missing")</f>
        <v>South</v>
      </c>
    </row>
    <row r="1681" spans="1:18">
      <c r="A1681" t="s">
        <v>2213</v>
      </c>
      <c r="B1681" t="s">
        <v>404</v>
      </c>
      <c r="C1681" t="s">
        <v>62</v>
      </c>
      <c r="D1681" t="s">
        <v>40</v>
      </c>
      <c r="E1681" s="1">
        <v>45711</v>
      </c>
      <c r="F1681" s="1">
        <v>45779</v>
      </c>
      <c r="G1681" s="1">
        <v>45779</v>
      </c>
      <c r="H1681" t="s">
        <v>28</v>
      </c>
      <c r="I1681">
        <v>3</v>
      </c>
      <c r="J1681">
        <v>20</v>
      </c>
      <c r="K1681">
        <v>288000</v>
      </c>
      <c r="L1681">
        <v>100</v>
      </c>
      <c r="M1681" t="s">
        <v>29</v>
      </c>
      <c r="N1681" t="str">
        <f>_xlfn.XLOOKUP(B1681,tblCustomers[customer_id],tblCustomers[region],"Missing")</f>
        <v>West</v>
      </c>
      <c r="O1681" t="str">
        <f>_xlfn.XLOOKUP(C1681,tblProducts[product_id],tblProducts[product_name],"Missing")</f>
        <v>CRM Essentials</v>
      </c>
      <c r="P1681" t="str">
        <f>_xlfn.XLOOKUP(C1681,tblProducts[product_id],tblProducts[category],"Missing")</f>
        <v>CRM</v>
      </c>
      <c r="Q1681" t="str">
        <f>_xlfn.XLOOKUP(D1681,tblSalesReps[rep_id],tblSalesReps[rep_name],"Missing")</f>
        <v>Sales Rep 13</v>
      </c>
      <c r="R1681" t="str">
        <f>_xlfn.XLOOKUP(D1681,tblSalesReps[rep_id],tblSalesReps[region],"Missing")</f>
        <v>West</v>
      </c>
    </row>
    <row r="1682" spans="1:18">
      <c r="A1682" t="s">
        <v>2214</v>
      </c>
      <c r="B1682" t="s">
        <v>52</v>
      </c>
      <c r="C1682" t="s">
        <v>26</v>
      </c>
      <c r="D1682" t="s">
        <v>152</v>
      </c>
      <c r="E1682" s="1">
        <v>46001</v>
      </c>
      <c r="F1682" s="1">
        <v>46037</v>
      </c>
      <c r="G1682" s="1"/>
      <c r="H1682" t="s">
        <v>43</v>
      </c>
      <c r="I1682">
        <v>1</v>
      </c>
      <c r="J1682">
        <v>5</v>
      </c>
      <c r="K1682">
        <v>342000</v>
      </c>
      <c r="L1682">
        <v>40</v>
      </c>
      <c r="M1682" t="s">
        <v>29</v>
      </c>
      <c r="N1682" t="str">
        <f>_xlfn.XLOOKUP(B1682,tblCustomers[customer_id],tblCustomers[region],"Missing")</f>
        <v>East</v>
      </c>
      <c r="O1682" t="str">
        <f>_xlfn.XLOOKUP(C1682,tblProducts[product_id],tblProducts[product_name],"Missing")</f>
        <v>Security Suite</v>
      </c>
      <c r="P1682" t="str">
        <f>_xlfn.XLOOKUP(C1682,tblProducts[product_id],tblProducts[category],"Missing")</f>
        <v>Security</v>
      </c>
      <c r="Q1682" t="str">
        <f>_xlfn.XLOOKUP(D1682,tblSalesReps[rep_id],tblSalesReps[rep_name],"Missing")</f>
        <v>Sales Rep 18</v>
      </c>
      <c r="R1682" t="str">
        <f>_xlfn.XLOOKUP(D1682,tblSalesReps[rep_id],tblSalesReps[region],"Missing")</f>
        <v>East</v>
      </c>
    </row>
    <row r="1683" spans="1:18">
      <c r="A1683" t="s">
        <v>2215</v>
      </c>
      <c r="B1683" t="s">
        <v>45</v>
      </c>
      <c r="C1683" t="s">
        <v>81</v>
      </c>
      <c r="D1683" t="s">
        <v>32</v>
      </c>
      <c r="E1683" s="1">
        <v>45672</v>
      </c>
      <c r="F1683" s="1">
        <v>45733</v>
      </c>
      <c r="G1683" s="1">
        <v>45733</v>
      </c>
      <c r="H1683" t="s">
        <v>28</v>
      </c>
      <c r="I1683">
        <v>1</v>
      </c>
      <c r="J1683">
        <v>5</v>
      </c>
      <c r="K1683">
        <v>285000</v>
      </c>
      <c r="L1683">
        <v>100</v>
      </c>
      <c r="M1683" t="s">
        <v>29</v>
      </c>
      <c r="N1683" t="str">
        <f>_xlfn.XLOOKUP(B1683,tblCustomers[customer_id],tblCustomers[region],"Missing")</f>
        <v>South</v>
      </c>
      <c r="O1683" t="str">
        <f>_xlfn.XLOOKUP(C1683,tblProducts[product_id],tblProducts[product_name],"Missing")</f>
        <v>Analytics Cloud</v>
      </c>
      <c r="P1683" t="str">
        <f>_xlfn.XLOOKUP(C1683,tblProducts[product_id],tblProducts[category],"Missing")</f>
        <v>Analytics</v>
      </c>
      <c r="Q1683" t="str">
        <f>_xlfn.XLOOKUP(D1683,tblSalesReps[rep_id],tblSalesReps[rep_name],"Missing")</f>
        <v>Sales Rep 04</v>
      </c>
      <c r="R1683" t="str">
        <f>_xlfn.XLOOKUP(D1683,tblSalesReps[rep_id],tblSalesReps[region],"Missing")</f>
        <v>South</v>
      </c>
    </row>
    <row r="1684" spans="1:18">
      <c r="A1684" t="s">
        <v>2216</v>
      </c>
      <c r="B1684" t="s">
        <v>177</v>
      </c>
      <c r="C1684" t="s">
        <v>39</v>
      </c>
      <c r="D1684" t="s">
        <v>50</v>
      </c>
      <c r="E1684" s="1">
        <v>45823</v>
      </c>
      <c r="F1684" s="1">
        <v>45840</v>
      </c>
      <c r="G1684" s="1">
        <v>45840</v>
      </c>
      <c r="H1684" t="s">
        <v>28</v>
      </c>
      <c r="I1684">
        <v>1</v>
      </c>
      <c r="J1684">
        <v>0</v>
      </c>
      <c r="K1684">
        <v>180000</v>
      </c>
      <c r="L1684">
        <v>100</v>
      </c>
      <c r="M1684" t="s">
        <v>29</v>
      </c>
      <c r="N1684" t="str">
        <f>_xlfn.XLOOKUP(B1684,tblCustomers[customer_id],tblCustomers[region],"Missing")</f>
        <v>West</v>
      </c>
      <c r="O1684" t="str">
        <f>_xlfn.XLOOKUP(C1684,tblProducts[product_id],tblProducts[product_name],"Missing")</f>
        <v>Support Desk</v>
      </c>
      <c r="P1684" t="str">
        <f>_xlfn.XLOOKUP(C1684,tblProducts[product_id],tblProducts[category],"Missing")</f>
        <v>Service</v>
      </c>
      <c r="Q1684" t="str">
        <f>_xlfn.XLOOKUP(D1684,tblSalesReps[rep_id],tblSalesReps[rep_name],"Missing")</f>
        <v>Sales Rep 15</v>
      </c>
      <c r="R1684" t="str">
        <f>_xlfn.XLOOKUP(D1684,tblSalesReps[rep_id],tblSalesReps[region],"Missing")</f>
        <v>West</v>
      </c>
    </row>
    <row r="1685" spans="1:18">
      <c r="A1685" t="s">
        <v>2217</v>
      </c>
      <c r="B1685" t="s">
        <v>551</v>
      </c>
      <c r="C1685" t="s">
        <v>81</v>
      </c>
      <c r="D1685" t="s">
        <v>168</v>
      </c>
      <c r="E1685" s="1">
        <v>45936</v>
      </c>
      <c r="F1685" s="1">
        <v>45988</v>
      </c>
      <c r="G1685" s="1">
        <v>45988</v>
      </c>
      <c r="H1685" t="s">
        <v>28</v>
      </c>
      <c r="I1685">
        <v>2</v>
      </c>
      <c r="J1685">
        <v>20</v>
      </c>
      <c r="K1685">
        <v>480000</v>
      </c>
      <c r="L1685">
        <v>100</v>
      </c>
      <c r="M1685" t="s">
        <v>29</v>
      </c>
      <c r="N1685" t="str">
        <f>_xlfn.XLOOKUP(B1685,tblCustomers[customer_id],tblCustomers[region],"Missing")</f>
        <v>East</v>
      </c>
      <c r="O1685" t="str">
        <f>_xlfn.XLOOKUP(C1685,tblProducts[product_id],tblProducts[product_name],"Missing")</f>
        <v>Analytics Cloud</v>
      </c>
      <c r="P1685" t="str">
        <f>_xlfn.XLOOKUP(C1685,tblProducts[product_id],tblProducts[category],"Missing")</f>
        <v>Analytics</v>
      </c>
      <c r="Q1685" t="str">
        <f>_xlfn.XLOOKUP(D1685,tblSalesReps[rep_id],tblSalesReps[rep_name],"Missing")</f>
        <v>Sales Rep 17</v>
      </c>
      <c r="R1685" t="str">
        <f>_xlfn.XLOOKUP(D1685,tblSalesReps[rep_id],tblSalesReps[region],"Missing")</f>
        <v>East</v>
      </c>
    </row>
    <row r="1686" spans="1:18">
      <c r="A1686" t="s">
        <v>2218</v>
      </c>
      <c r="B1686" t="s">
        <v>439</v>
      </c>
      <c r="C1686" t="s">
        <v>81</v>
      </c>
      <c r="D1686" t="s">
        <v>22</v>
      </c>
      <c r="E1686" s="1">
        <v>45668</v>
      </c>
      <c r="F1686" s="1">
        <v>45732</v>
      </c>
      <c r="G1686" s="1">
        <v>45732</v>
      </c>
      <c r="H1686" t="s">
        <v>28</v>
      </c>
      <c r="I1686">
        <v>2</v>
      </c>
      <c r="J1686">
        <v>5</v>
      </c>
      <c r="K1686">
        <v>570000</v>
      </c>
      <c r="L1686">
        <v>100</v>
      </c>
      <c r="M1686" t="s">
        <v>29</v>
      </c>
      <c r="N1686" t="str">
        <f>_xlfn.XLOOKUP(B1686,tblCustomers[customer_id],tblCustomers[region],"Missing")</f>
        <v>West</v>
      </c>
      <c r="O1686" t="str">
        <f>_xlfn.XLOOKUP(C1686,tblProducts[product_id],tblProducts[product_name],"Missing")</f>
        <v>Analytics Cloud</v>
      </c>
      <c r="P1686" t="str">
        <f>_xlfn.XLOOKUP(C1686,tblProducts[product_id],tblProducts[category],"Missing")</f>
        <v>Analytics</v>
      </c>
      <c r="Q1686" t="str">
        <f>_xlfn.XLOOKUP(D1686,tblSalesReps[rep_id],tblSalesReps[rep_name],"Missing")</f>
        <v>Sales Rep 14</v>
      </c>
      <c r="R1686" t="str">
        <f>_xlfn.XLOOKUP(D1686,tblSalesReps[rep_id],tblSalesReps[region],"Missing")</f>
        <v>West</v>
      </c>
    </row>
    <row r="1687" spans="1:18">
      <c r="A1687" t="s">
        <v>2219</v>
      </c>
      <c r="B1687" t="s">
        <v>294</v>
      </c>
      <c r="C1687" t="s">
        <v>26</v>
      </c>
      <c r="D1687" t="s">
        <v>50</v>
      </c>
      <c r="E1687" s="1">
        <v>45999</v>
      </c>
      <c r="F1687" s="1">
        <v>46051</v>
      </c>
      <c r="G1687" s="1"/>
      <c r="H1687" t="s">
        <v>43</v>
      </c>
      <c r="I1687">
        <v>2</v>
      </c>
      <c r="J1687">
        <v>10</v>
      </c>
      <c r="K1687">
        <v>648000</v>
      </c>
      <c r="L1687">
        <v>60</v>
      </c>
      <c r="M1687" t="s">
        <v>29</v>
      </c>
      <c r="N1687" t="str">
        <f>_xlfn.XLOOKUP(B1687,tblCustomers[customer_id],tblCustomers[region],"Missing")</f>
        <v>West</v>
      </c>
      <c r="O1687" t="str">
        <f>_xlfn.XLOOKUP(C1687,tblProducts[product_id],tblProducts[product_name],"Missing")</f>
        <v>Security Suite</v>
      </c>
      <c r="P1687" t="str">
        <f>_xlfn.XLOOKUP(C1687,tblProducts[product_id],tblProducts[category],"Missing")</f>
        <v>Security</v>
      </c>
      <c r="Q1687" t="str">
        <f>_xlfn.XLOOKUP(D1687,tblSalesReps[rep_id],tblSalesReps[rep_name],"Missing")</f>
        <v>Sales Rep 15</v>
      </c>
      <c r="R1687" t="str">
        <f>_xlfn.XLOOKUP(D1687,tblSalesReps[rep_id],tblSalesReps[region],"Missing")</f>
        <v>West</v>
      </c>
    </row>
    <row r="1688" spans="1:18">
      <c r="A1688" t="s">
        <v>2220</v>
      </c>
      <c r="B1688" t="s">
        <v>842</v>
      </c>
      <c r="C1688" t="s">
        <v>21</v>
      </c>
      <c r="D1688" t="s">
        <v>56</v>
      </c>
      <c r="E1688" s="1">
        <v>45844</v>
      </c>
      <c r="F1688" s="1">
        <v>45887</v>
      </c>
      <c r="G1688" s="1"/>
      <c r="H1688" t="s">
        <v>43</v>
      </c>
      <c r="I1688">
        <v>1</v>
      </c>
      <c r="J1688">
        <v>20</v>
      </c>
      <c r="K1688">
        <v>192000</v>
      </c>
      <c r="L1688">
        <v>40</v>
      </c>
      <c r="M1688" t="s">
        <v>29</v>
      </c>
      <c r="N1688" t="str">
        <f>_xlfn.XLOOKUP(B1688,tblCustomers[customer_id],tblCustomers[region],"Missing")</f>
        <v>East</v>
      </c>
      <c r="O1688" t="str">
        <f>_xlfn.XLOOKUP(C1688,tblProducts[product_id],tblProducts[product_name],"Missing")</f>
        <v>Workflow Automate</v>
      </c>
      <c r="P1688" t="str">
        <f>_xlfn.XLOOKUP(C1688,tblProducts[product_id],tblProducts[category],"Missing")</f>
        <v>Automation</v>
      </c>
      <c r="Q1688" t="str">
        <f>_xlfn.XLOOKUP(D1688,tblSalesReps[rep_id],tblSalesReps[rep_name],"Missing")</f>
        <v>Sales Rep 20</v>
      </c>
      <c r="R1688" t="str">
        <f>_xlfn.XLOOKUP(D1688,tblSalesReps[rep_id],tblSalesReps[region],"Missing")</f>
        <v>East</v>
      </c>
    </row>
    <row r="1689" spans="1:18">
      <c r="A1689" t="s">
        <v>2221</v>
      </c>
      <c r="B1689" t="s">
        <v>1015</v>
      </c>
      <c r="C1689" t="s">
        <v>62</v>
      </c>
      <c r="D1689" t="s">
        <v>59</v>
      </c>
      <c r="E1689" s="1">
        <v>45990</v>
      </c>
      <c r="F1689" s="1">
        <v>46005</v>
      </c>
      <c r="G1689" s="1">
        <v>46005</v>
      </c>
      <c r="H1689" t="s">
        <v>28</v>
      </c>
      <c r="I1689">
        <v>3</v>
      </c>
      <c r="J1689">
        <v>5</v>
      </c>
      <c r="K1689">
        <v>342000</v>
      </c>
      <c r="L1689">
        <v>100</v>
      </c>
      <c r="M1689" t="s">
        <v>29</v>
      </c>
      <c r="N1689" t="str">
        <f>_xlfn.XLOOKUP(B1689,tblCustomers[customer_id],tblCustomers[region],"Missing")</f>
        <v>East</v>
      </c>
      <c r="O1689" t="str">
        <f>_xlfn.XLOOKUP(C1689,tblProducts[product_id],tblProducts[product_name],"Missing")</f>
        <v>CRM Essentials</v>
      </c>
      <c r="P1689" t="str">
        <f>_xlfn.XLOOKUP(C1689,tblProducts[product_id],tblProducts[category],"Missing")</f>
        <v>CRM</v>
      </c>
      <c r="Q1689" t="str">
        <f>_xlfn.XLOOKUP(D1689,tblSalesReps[rep_id],tblSalesReps[rep_name],"Missing")</f>
        <v>Sales Rep 19</v>
      </c>
      <c r="R1689" t="str">
        <f>_xlfn.XLOOKUP(D1689,tblSalesReps[rep_id],tblSalesReps[region],"Missing")</f>
        <v>East</v>
      </c>
    </row>
    <row r="1690" spans="1:18">
      <c r="A1690" t="s">
        <v>2222</v>
      </c>
      <c r="B1690" t="s">
        <v>1382</v>
      </c>
      <c r="C1690" t="s">
        <v>39</v>
      </c>
      <c r="D1690" t="s">
        <v>40</v>
      </c>
      <c r="E1690" s="1">
        <v>45895</v>
      </c>
      <c r="F1690" s="1">
        <v>45967</v>
      </c>
      <c r="G1690" s="1">
        <v>45967</v>
      </c>
      <c r="H1690" t="s">
        <v>28</v>
      </c>
      <c r="I1690">
        <v>3</v>
      </c>
      <c r="J1690">
        <v>5</v>
      </c>
      <c r="K1690">
        <v>513000</v>
      </c>
      <c r="L1690">
        <v>100</v>
      </c>
      <c r="M1690" t="s">
        <v>29</v>
      </c>
      <c r="N1690" t="str">
        <f>_xlfn.XLOOKUP(B1690,tblCustomers[customer_id],tblCustomers[region],"Missing")</f>
        <v>West</v>
      </c>
      <c r="O1690" t="str">
        <f>_xlfn.XLOOKUP(C1690,tblProducts[product_id],tblProducts[product_name],"Missing")</f>
        <v>Support Desk</v>
      </c>
      <c r="P1690" t="str">
        <f>_xlfn.XLOOKUP(C1690,tblProducts[product_id],tblProducts[category],"Missing")</f>
        <v>Service</v>
      </c>
      <c r="Q1690" t="str">
        <f>_xlfn.XLOOKUP(D1690,tblSalesReps[rep_id],tblSalesReps[rep_name],"Missing")</f>
        <v>Sales Rep 13</v>
      </c>
      <c r="R1690" t="str">
        <f>_xlfn.XLOOKUP(D1690,tblSalesReps[rep_id],tblSalesReps[region],"Missing")</f>
        <v>West</v>
      </c>
    </row>
    <row r="1691" spans="1:18">
      <c r="A1691" t="s">
        <v>2223</v>
      </c>
      <c r="B1691" t="s">
        <v>86</v>
      </c>
      <c r="C1691" t="s">
        <v>62</v>
      </c>
      <c r="D1691" t="s">
        <v>78</v>
      </c>
      <c r="E1691" s="1">
        <v>45803</v>
      </c>
      <c r="F1691" s="1">
        <v>45846</v>
      </c>
      <c r="G1691" s="1"/>
      <c r="H1691" t="s">
        <v>43</v>
      </c>
      <c r="I1691">
        <v>1</v>
      </c>
      <c r="J1691">
        <v>5</v>
      </c>
      <c r="K1691">
        <v>114000</v>
      </c>
      <c r="L1691">
        <v>40</v>
      </c>
      <c r="M1691" t="s">
        <v>29</v>
      </c>
      <c r="N1691" t="str">
        <f>_xlfn.XLOOKUP(B1691,tblCustomers[customer_id],tblCustomers[region],"Missing")</f>
        <v>West</v>
      </c>
      <c r="O1691" t="str">
        <f>_xlfn.XLOOKUP(C1691,tblProducts[product_id],tblProducts[product_name],"Missing")</f>
        <v>CRM Essentials</v>
      </c>
      <c r="P1691" t="str">
        <f>_xlfn.XLOOKUP(C1691,tblProducts[product_id],tblProducts[category],"Missing")</f>
        <v>CRM</v>
      </c>
      <c r="Q1691" t="str">
        <f>_xlfn.XLOOKUP(D1691,tblSalesReps[rep_id],tblSalesReps[rep_name],"Missing")</f>
        <v>Sales Rep 12</v>
      </c>
      <c r="R1691" t="str">
        <f>_xlfn.XLOOKUP(D1691,tblSalesReps[rep_id],tblSalesReps[region],"Missing")</f>
        <v>West</v>
      </c>
    </row>
    <row r="1692" spans="1:18">
      <c r="A1692" t="s">
        <v>2224</v>
      </c>
      <c r="B1692" t="s">
        <v>880</v>
      </c>
      <c r="C1692" t="s">
        <v>39</v>
      </c>
      <c r="D1692" t="s">
        <v>40</v>
      </c>
      <c r="E1692" s="1">
        <v>45956</v>
      </c>
      <c r="F1692" s="1">
        <v>45966</v>
      </c>
      <c r="G1692" s="1">
        <v>45966</v>
      </c>
      <c r="H1692" t="s">
        <v>17</v>
      </c>
      <c r="I1692">
        <v>1</v>
      </c>
      <c r="J1692">
        <v>15</v>
      </c>
      <c r="K1692">
        <v>153000</v>
      </c>
      <c r="L1692">
        <v>0</v>
      </c>
      <c r="M1692" t="s">
        <v>23</v>
      </c>
      <c r="N1692" t="str">
        <f>_xlfn.XLOOKUP(B1692,tblCustomers[customer_id],tblCustomers[region],"Missing")</f>
        <v>West</v>
      </c>
      <c r="O1692" t="str">
        <f>_xlfn.XLOOKUP(C1692,tblProducts[product_id],tblProducts[product_name],"Missing")</f>
        <v>Support Desk</v>
      </c>
      <c r="P1692" t="str">
        <f>_xlfn.XLOOKUP(C1692,tblProducts[product_id],tblProducts[category],"Missing")</f>
        <v>Service</v>
      </c>
      <c r="Q1692" t="str">
        <f>_xlfn.XLOOKUP(D1692,tblSalesReps[rep_id],tblSalesReps[rep_name],"Missing")</f>
        <v>Sales Rep 13</v>
      </c>
      <c r="R1692" t="str">
        <f>_xlfn.XLOOKUP(D1692,tblSalesReps[rep_id],tblSalesReps[region],"Missing")</f>
        <v>West</v>
      </c>
    </row>
    <row r="1693" spans="1:18">
      <c r="A1693" t="s">
        <v>2225</v>
      </c>
      <c r="B1693" t="s">
        <v>358</v>
      </c>
      <c r="C1693" t="s">
        <v>39</v>
      </c>
      <c r="D1693" t="s">
        <v>27</v>
      </c>
      <c r="E1693" s="1">
        <v>45716</v>
      </c>
      <c r="F1693" s="1">
        <v>45761</v>
      </c>
      <c r="G1693" s="1">
        <v>45761</v>
      </c>
      <c r="H1693" t="s">
        <v>28</v>
      </c>
      <c r="I1693">
        <v>1</v>
      </c>
      <c r="J1693">
        <v>10</v>
      </c>
      <c r="K1693">
        <v>162000</v>
      </c>
      <c r="L1693">
        <v>100</v>
      </c>
      <c r="M1693" t="s">
        <v>29</v>
      </c>
      <c r="N1693" t="str">
        <f>_xlfn.XLOOKUP(B1693,tblCustomers[customer_id],tblCustomers[region],"Missing")</f>
        <v>North</v>
      </c>
      <c r="O1693" t="str">
        <f>_xlfn.XLOOKUP(C1693,tblProducts[product_id],tblProducts[product_name],"Missing")</f>
        <v>Support Desk</v>
      </c>
      <c r="P1693" t="str">
        <f>_xlfn.XLOOKUP(C1693,tblProducts[product_id],tblProducts[category],"Missing")</f>
        <v>Service</v>
      </c>
      <c r="Q1693" t="str">
        <f>_xlfn.XLOOKUP(D1693,tblSalesReps[rep_id],tblSalesReps[rep_name],"Missing")</f>
        <v>Sales Rep 06</v>
      </c>
      <c r="R1693" t="str">
        <f>_xlfn.XLOOKUP(D1693,tblSalesReps[rep_id],tblSalesReps[region],"Missing")</f>
        <v>North</v>
      </c>
    </row>
    <row r="1694" spans="1:18">
      <c r="A1694" t="s">
        <v>2226</v>
      </c>
      <c r="B1694" t="s">
        <v>133</v>
      </c>
      <c r="C1694" t="s">
        <v>21</v>
      </c>
      <c r="D1694" t="s">
        <v>78</v>
      </c>
      <c r="E1694" s="1">
        <v>45717</v>
      </c>
      <c r="F1694" s="1">
        <v>45743</v>
      </c>
      <c r="G1694" s="1"/>
      <c r="H1694" t="s">
        <v>43</v>
      </c>
      <c r="I1694">
        <v>1</v>
      </c>
      <c r="J1694">
        <v>5</v>
      </c>
      <c r="K1694">
        <v>228000</v>
      </c>
      <c r="L1694">
        <v>20</v>
      </c>
      <c r="M1694" t="s">
        <v>29</v>
      </c>
      <c r="N1694" t="str">
        <f>_xlfn.XLOOKUP(B1694,tblCustomers[customer_id],tblCustomers[region],"Missing")</f>
        <v>West</v>
      </c>
      <c r="O1694" t="str">
        <f>_xlfn.XLOOKUP(C1694,tblProducts[product_id],tblProducts[product_name],"Missing")</f>
        <v>Workflow Automate</v>
      </c>
      <c r="P1694" t="str">
        <f>_xlfn.XLOOKUP(C1694,tblProducts[product_id],tblProducts[category],"Missing")</f>
        <v>Automation</v>
      </c>
      <c r="Q1694" t="str">
        <f>_xlfn.XLOOKUP(D1694,tblSalesReps[rep_id],tblSalesReps[rep_name],"Missing")</f>
        <v>Sales Rep 12</v>
      </c>
      <c r="R1694" t="str">
        <f>_xlfn.XLOOKUP(D1694,tblSalesReps[rep_id],tblSalesReps[region],"Missing")</f>
        <v>West</v>
      </c>
    </row>
    <row r="1695" spans="1:18">
      <c r="A1695" t="s">
        <v>2227</v>
      </c>
      <c r="B1695" t="s">
        <v>716</v>
      </c>
      <c r="C1695" t="s">
        <v>15</v>
      </c>
      <c r="D1695" t="s">
        <v>50</v>
      </c>
      <c r="E1695" s="1">
        <v>45927</v>
      </c>
      <c r="F1695" s="1">
        <v>45940</v>
      </c>
      <c r="G1695" s="1"/>
      <c r="H1695" t="s">
        <v>43</v>
      </c>
      <c r="I1695">
        <v>3</v>
      </c>
      <c r="J1695">
        <v>20</v>
      </c>
      <c r="K1695">
        <v>1008000</v>
      </c>
      <c r="L1695">
        <v>20</v>
      </c>
      <c r="M1695" t="s">
        <v>29</v>
      </c>
      <c r="N1695" t="str">
        <f>_xlfn.XLOOKUP(B1695,tblCustomers[customer_id],tblCustomers[region],"Missing")</f>
        <v>West</v>
      </c>
      <c r="O1695" t="str">
        <f>_xlfn.XLOOKUP(C1695,tblProducts[product_id],tblProducts[product_name],"Missing")</f>
        <v>CRM Enterprise</v>
      </c>
      <c r="P1695" t="str">
        <f>_xlfn.XLOOKUP(C1695,tblProducts[product_id],tblProducts[category],"Missing")</f>
        <v>CRM</v>
      </c>
      <c r="Q1695" t="str">
        <f>_xlfn.XLOOKUP(D1695,tblSalesReps[rep_id],tblSalesReps[rep_name],"Missing")</f>
        <v>Sales Rep 15</v>
      </c>
      <c r="R1695" t="str">
        <f>_xlfn.XLOOKUP(D1695,tblSalesReps[rep_id],tblSalesReps[region],"Missing")</f>
        <v>West</v>
      </c>
    </row>
    <row r="1696" spans="1:18">
      <c r="A1696" t="s">
        <v>2228</v>
      </c>
      <c r="B1696" t="s">
        <v>1876</v>
      </c>
      <c r="C1696" t="s">
        <v>26</v>
      </c>
      <c r="D1696" t="s">
        <v>126</v>
      </c>
      <c r="E1696" s="1">
        <v>45756</v>
      </c>
      <c r="F1696" s="1">
        <v>45834</v>
      </c>
      <c r="G1696" s="1">
        <v>45834</v>
      </c>
      <c r="H1696" t="s">
        <v>28</v>
      </c>
      <c r="I1696">
        <v>1</v>
      </c>
      <c r="J1696">
        <v>0</v>
      </c>
      <c r="K1696">
        <v>360000</v>
      </c>
      <c r="L1696">
        <v>100</v>
      </c>
      <c r="M1696" t="s">
        <v>29</v>
      </c>
      <c r="N1696" t="str">
        <f>_xlfn.XLOOKUP(B1696,tblCustomers[customer_id],tblCustomers[region],"Missing")</f>
        <v>South</v>
      </c>
      <c r="O1696" t="str">
        <f>_xlfn.XLOOKUP(C1696,tblProducts[product_id],tblProducts[product_name],"Missing")</f>
        <v>Security Suite</v>
      </c>
      <c r="P1696" t="str">
        <f>_xlfn.XLOOKUP(C1696,tblProducts[product_id],tblProducts[category],"Missing")</f>
        <v>Security</v>
      </c>
      <c r="Q1696" t="str">
        <f>_xlfn.XLOOKUP(D1696,tblSalesReps[rep_id],tblSalesReps[rep_name],"Missing")</f>
        <v>Sales Rep 02</v>
      </c>
      <c r="R1696" t="str">
        <f>_xlfn.XLOOKUP(D1696,tblSalesReps[rep_id],tblSalesReps[region],"Missing")</f>
        <v>South</v>
      </c>
    </row>
    <row r="1697" spans="1:18">
      <c r="A1697" t="s">
        <v>2229</v>
      </c>
      <c r="B1697" t="s">
        <v>633</v>
      </c>
      <c r="C1697" t="s">
        <v>62</v>
      </c>
      <c r="D1697" t="s">
        <v>168</v>
      </c>
      <c r="E1697" s="1">
        <v>46011</v>
      </c>
      <c r="F1697" s="1">
        <v>46090</v>
      </c>
      <c r="G1697" s="1"/>
      <c r="H1697" t="s">
        <v>43</v>
      </c>
      <c r="I1697">
        <v>1</v>
      </c>
      <c r="J1697">
        <v>20</v>
      </c>
      <c r="K1697">
        <v>96000</v>
      </c>
      <c r="L1697">
        <v>20</v>
      </c>
      <c r="M1697" t="s">
        <v>29</v>
      </c>
      <c r="N1697" t="str">
        <f>_xlfn.XLOOKUP(B1697,tblCustomers[customer_id],tblCustomers[region],"Missing")</f>
        <v>East</v>
      </c>
      <c r="O1697" t="str">
        <f>_xlfn.XLOOKUP(C1697,tblProducts[product_id],tblProducts[product_name],"Missing")</f>
        <v>CRM Essentials</v>
      </c>
      <c r="P1697" t="str">
        <f>_xlfn.XLOOKUP(C1697,tblProducts[product_id],tblProducts[category],"Missing")</f>
        <v>CRM</v>
      </c>
      <c r="Q1697" t="str">
        <f>_xlfn.XLOOKUP(D1697,tblSalesReps[rep_id],tblSalesReps[rep_name],"Missing")</f>
        <v>Sales Rep 17</v>
      </c>
      <c r="R1697" t="str">
        <f>_xlfn.XLOOKUP(D1697,tblSalesReps[rep_id],tblSalesReps[region],"Missing")</f>
        <v>East</v>
      </c>
    </row>
    <row r="1698" spans="1:18">
      <c r="A1698" t="s">
        <v>2230</v>
      </c>
      <c r="B1698" t="s">
        <v>529</v>
      </c>
      <c r="C1698" t="s">
        <v>62</v>
      </c>
      <c r="D1698" t="s">
        <v>32</v>
      </c>
      <c r="E1698" s="1">
        <v>45697</v>
      </c>
      <c r="F1698" s="1">
        <v>45770</v>
      </c>
      <c r="G1698" s="1">
        <v>45770</v>
      </c>
      <c r="H1698" t="s">
        <v>28</v>
      </c>
      <c r="I1698">
        <v>2</v>
      </c>
      <c r="J1698">
        <v>15</v>
      </c>
      <c r="K1698">
        <v>204000</v>
      </c>
      <c r="L1698">
        <v>100</v>
      </c>
      <c r="M1698" t="s">
        <v>29</v>
      </c>
      <c r="N1698" t="str">
        <f>_xlfn.XLOOKUP(B1698,tblCustomers[customer_id],tblCustomers[region],"Missing")</f>
        <v>South</v>
      </c>
      <c r="O1698" t="str">
        <f>_xlfn.XLOOKUP(C1698,tblProducts[product_id],tblProducts[product_name],"Missing")</f>
        <v>CRM Essentials</v>
      </c>
      <c r="P1698" t="str">
        <f>_xlfn.XLOOKUP(C1698,tblProducts[product_id],tblProducts[category],"Missing")</f>
        <v>CRM</v>
      </c>
      <c r="Q1698" t="str">
        <f>_xlfn.XLOOKUP(D1698,tblSalesReps[rep_id],tblSalesReps[rep_name],"Missing")</f>
        <v>Sales Rep 04</v>
      </c>
      <c r="R1698" t="str">
        <f>_xlfn.XLOOKUP(D1698,tblSalesReps[rep_id],tblSalesReps[region],"Missing")</f>
        <v>South</v>
      </c>
    </row>
    <row r="1699" spans="1:18">
      <c r="A1699" t="s">
        <v>2231</v>
      </c>
      <c r="B1699" t="s">
        <v>198</v>
      </c>
      <c r="C1699" t="s">
        <v>26</v>
      </c>
      <c r="D1699" t="s">
        <v>22</v>
      </c>
      <c r="E1699" s="1">
        <v>45735</v>
      </c>
      <c r="F1699" s="1">
        <v>45790</v>
      </c>
      <c r="G1699" s="1">
        <v>45790</v>
      </c>
      <c r="H1699" t="s">
        <v>28</v>
      </c>
      <c r="I1699">
        <v>1</v>
      </c>
      <c r="J1699">
        <v>0</v>
      </c>
      <c r="K1699">
        <v>360000</v>
      </c>
      <c r="L1699">
        <v>100</v>
      </c>
      <c r="M1699" t="s">
        <v>29</v>
      </c>
      <c r="N1699" t="str">
        <f>_xlfn.XLOOKUP(B1699,tblCustomers[customer_id],tblCustomers[region],"Missing")</f>
        <v>West</v>
      </c>
      <c r="O1699" t="str">
        <f>_xlfn.XLOOKUP(C1699,tblProducts[product_id],tblProducts[product_name],"Missing")</f>
        <v>Security Suite</v>
      </c>
      <c r="P1699" t="str">
        <f>_xlfn.XLOOKUP(C1699,tblProducts[product_id],tblProducts[category],"Missing")</f>
        <v>Security</v>
      </c>
      <c r="Q1699" t="str">
        <f>_xlfn.XLOOKUP(D1699,tblSalesReps[rep_id],tblSalesReps[rep_name],"Missing")</f>
        <v>Sales Rep 14</v>
      </c>
      <c r="R1699" t="str">
        <f>_xlfn.XLOOKUP(D1699,tblSalesReps[rep_id],tblSalesReps[region],"Missing")</f>
        <v>West</v>
      </c>
    </row>
    <row r="1700" spans="1:18">
      <c r="A1700" t="s">
        <v>2232</v>
      </c>
      <c r="B1700" t="s">
        <v>801</v>
      </c>
      <c r="C1700" t="s">
        <v>62</v>
      </c>
      <c r="D1700" t="s">
        <v>27</v>
      </c>
      <c r="E1700" s="1">
        <v>45819</v>
      </c>
      <c r="F1700" s="1">
        <v>45882</v>
      </c>
      <c r="G1700" s="1"/>
      <c r="H1700" t="s">
        <v>43</v>
      </c>
      <c r="I1700">
        <v>1</v>
      </c>
      <c r="J1700">
        <v>5</v>
      </c>
      <c r="K1700">
        <v>114000</v>
      </c>
      <c r="L1700">
        <v>80</v>
      </c>
      <c r="M1700" t="s">
        <v>29</v>
      </c>
      <c r="N1700" t="str">
        <f>_xlfn.XLOOKUP(B1700,tblCustomers[customer_id],tblCustomers[region],"Missing")</f>
        <v>North</v>
      </c>
      <c r="O1700" t="str">
        <f>_xlfn.XLOOKUP(C1700,tblProducts[product_id],tblProducts[product_name],"Missing")</f>
        <v>CRM Essentials</v>
      </c>
      <c r="P1700" t="str">
        <f>_xlfn.XLOOKUP(C1700,tblProducts[product_id],tblProducts[category],"Missing")</f>
        <v>CRM</v>
      </c>
      <c r="Q1700" t="str">
        <f>_xlfn.XLOOKUP(D1700,tblSalesReps[rep_id],tblSalesReps[rep_name],"Missing")</f>
        <v>Sales Rep 06</v>
      </c>
      <c r="R1700" t="str">
        <f>_xlfn.XLOOKUP(D1700,tblSalesReps[rep_id],tblSalesReps[region],"Missing")</f>
        <v>North</v>
      </c>
    </row>
    <row r="1701" spans="1:18">
      <c r="A1701" t="s">
        <v>2233</v>
      </c>
      <c r="B1701" t="s">
        <v>483</v>
      </c>
      <c r="C1701" t="s">
        <v>81</v>
      </c>
      <c r="D1701" t="s">
        <v>56</v>
      </c>
      <c r="E1701" s="1">
        <v>45861</v>
      </c>
      <c r="F1701" s="1">
        <v>45945</v>
      </c>
      <c r="G1701" s="1">
        <v>45945</v>
      </c>
      <c r="H1701" t="s">
        <v>17</v>
      </c>
      <c r="I1701">
        <v>1</v>
      </c>
      <c r="J1701">
        <v>5</v>
      </c>
      <c r="K1701">
        <v>285000</v>
      </c>
      <c r="L1701">
        <v>0</v>
      </c>
      <c r="M1701" t="s">
        <v>47</v>
      </c>
      <c r="N1701" t="str">
        <f>_xlfn.XLOOKUP(B1701,tblCustomers[customer_id],tblCustomers[region],"Missing")</f>
        <v>East</v>
      </c>
      <c r="O1701" t="str">
        <f>_xlfn.XLOOKUP(C1701,tblProducts[product_id],tblProducts[product_name],"Missing")</f>
        <v>Analytics Cloud</v>
      </c>
      <c r="P1701" t="str">
        <f>_xlfn.XLOOKUP(C1701,tblProducts[product_id],tblProducts[category],"Missing")</f>
        <v>Analytics</v>
      </c>
      <c r="Q1701" t="str">
        <f>_xlfn.XLOOKUP(D1701,tblSalesReps[rep_id],tblSalesReps[rep_name],"Missing")</f>
        <v>Sales Rep 20</v>
      </c>
      <c r="R1701" t="str">
        <f>_xlfn.XLOOKUP(D1701,tblSalesReps[rep_id],tblSalesReps[region],"Missing")</f>
        <v>East</v>
      </c>
    </row>
    <row r="1702" spans="1:18">
      <c r="A1702" t="s">
        <v>2234</v>
      </c>
      <c r="B1702" t="s">
        <v>876</v>
      </c>
      <c r="C1702" t="s">
        <v>15</v>
      </c>
      <c r="D1702" t="s">
        <v>168</v>
      </c>
      <c r="E1702" s="1">
        <v>45751</v>
      </c>
      <c r="F1702" s="1">
        <v>45785</v>
      </c>
      <c r="G1702" s="1">
        <v>45785</v>
      </c>
      <c r="H1702" t="s">
        <v>28</v>
      </c>
      <c r="I1702">
        <v>1</v>
      </c>
      <c r="J1702">
        <v>15</v>
      </c>
      <c r="K1702">
        <v>357000</v>
      </c>
      <c r="L1702">
        <v>100</v>
      </c>
      <c r="M1702" t="s">
        <v>29</v>
      </c>
      <c r="N1702" t="str">
        <f>_xlfn.XLOOKUP(B1702,tblCustomers[customer_id],tblCustomers[region],"Missing")</f>
        <v>East</v>
      </c>
      <c r="O1702" t="str">
        <f>_xlfn.XLOOKUP(C1702,tblProducts[product_id],tblProducts[product_name],"Missing")</f>
        <v>CRM Enterprise</v>
      </c>
      <c r="P1702" t="str">
        <f>_xlfn.XLOOKUP(C1702,tblProducts[product_id],tblProducts[category],"Missing")</f>
        <v>CRM</v>
      </c>
      <c r="Q1702" t="str">
        <f>_xlfn.XLOOKUP(D1702,tblSalesReps[rep_id],tblSalesReps[rep_name],"Missing")</f>
        <v>Sales Rep 17</v>
      </c>
      <c r="R1702" t="str">
        <f>_xlfn.XLOOKUP(D1702,tblSalesReps[rep_id],tblSalesReps[region],"Missing")</f>
        <v>East</v>
      </c>
    </row>
    <row r="1703" spans="1:18">
      <c r="A1703" t="s">
        <v>2235</v>
      </c>
      <c r="B1703" t="s">
        <v>426</v>
      </c>
      <c r="C1703" t="s">
        <v>39</v>
      </c>
      <c r="D1703" t="s">
        <v>32</v>
      </c>
      <c r="E1703" s="1">
        <v>45753</v>
      </c>
      <c r="F1703" s="1">
        <v>45801</v>
      </c>
      <c r="G1703" s="1">
        <v>45801</v>
      </c>
      <c r="H1703" t="s">
        <v>28</v>
      </c>
      <c r="I1703">
        <v>3</v>
      </c>
      <c r="J1703">
        <v>5</v>
      </c>
      <c r="K1703">
        <v>513000</v>
      </c>
      <c r="L1703">
        <v>100</v>
      </c>
      <c r="M1703" t="s">
        <v>29</v>
      </c>
      <c r="N1703" t="str">
        <f>_xlfn.XLOOKUP(B1703,tblCustomers[customer_id],tblCustomers[region],"Missing")</f>
        <v>South</v>
      </c>
      <c r="O1703" t="str">
        <f>_xlfn.XLOOKUP(C1703,tblProducts[product_id],tblProducts[product_name],"Missing")</f>
        <v>Support Desk</v>
      </c>
      <c r="P1703" t="str">
        <f>_xlfn.XLOOKUP(C1703,tblProducts[product_id],tblProducts[category],"Missing")</f>
        <v>Service</v>
      </c>
      <c r="Q1703" t="str">
        <f>_xlfn.XLOOKUP(D1703,tblSalesReps[rep_id],tblSalesReps[rep_name],"Missing")</f>
        <v>Sales Rep 04</v>
      </c>
      <c r="R1703" t="str">
        <f>_xlfn.XLOOKUP(D1703,tblSalesReps[rep_id],tblSalesReps[region],"Missing")</f>
        <v>South</v>
      </c>
    </row>
    <row r="1704" spans="1:18">
      <c r="A1704" t="s">
        <v>2236</v>
      </c>
      <c r="B1704" t="s">
        <v>830</v>
      </c>
      <c r="C1704" t="s">
        <v>21</v>
      </c>
      <c r="D1704" t="s">
        <v>63</v>
      </c>
      <c r="E1704" s="1">
        <v>45742</v>
      </c>
      <c r="F1704" s="1">
        <v>45779</v>
      </c>
      <c r="G1704" s="1"/>
      <c r="H1704" t="s">
        <v>43</v>
      </c>
      <c r="I1704">
        <v>2</v>
      </c>
      <c r="J1704">
        <v>15</v>
      </c>
      <c r="K1704">
        <v>408000</v>
      </c>
      <c r="L1704">
        <v>40</v>
      </c>
      <c r="M1704" t="s">
        <v>29</v>
      </c>
      <c r="N1704" t="str">
        <f>_xlfn.XLOOKUP(B1704,tblCustomers[customer_id],tblCustomers[region],"Missing")</f>
        <v>South</v>
      </c>
      <c r="O1704" t="str">
        <f>_xlfn.XLOOKUP(C1704,tblProducts[product_id],tblProducts[product_name],"Missing")</f>
        <v>Workflow Automate</v>
      </c>
      <c r="P1704" t="str">
        <f>_xlfn.XLOOKUP(C1704,tblProducts[product_id],tblProducts[category],"Missing")</f>
        <v>Automation</v>
      </c>
      <c r="Q1704" t="str">
        <f>_xlfn.XLOOKUP(D1704,tblSalesReps[rep_id],tblSalesReps[rep_name],"Missing")</f>
        <v>Sales Rep 05</v>
      </c>
      <c r="R1704" t="str">
        <f>_xlfn.XLOOKUP(D1704,tblSalesReps[rep_id],tblSalesReps[region],"Missing")</f>
        <v>South</v>
      </c>
    </row>
    <row r="1705" spans="1:18">
      <c r="A1705" t="s">
        <v>2237</v>
      </c>
      <c r="B1705" t="s">
        <v>1070</v>
      </c>
      <c r="C1705" t="s">
        <v>21</v>
      </c>
      <c r="D1705" t="s">
        <v>36</v>
      </c>
      <c r="E1705" s="1">
        <v>45873</v>
      </c>
      <c r="F1705" s="1">
        <v>45915</v>
      </c>
      <c r="G1705" s="1"/>
      <c r="H1705" t="s">
        <v>43</v>
      </c>
      <c r="I1705">
        <v>3</v>
      </c>
      <c r="J1705">
        <v>15</v>
      </c>
      <c r="K1705">
        <v>612000</v>
      </c>
      <c r="L1705">
        <v>80</v>
      </c>
      <c r="M1705" t="s">
        <v>29</v>
      </c>
      <c r="N1705" t="str">
        <f>_xlfn.XLOOKUP(B1705,tblCustomers[customer_id],tblCustomers[region],"Missing")</f>
        <v>North</v>
      </c>
      <c r="O1705" t="str">
        <f>_xlfn.XLOOKUP(C1705,tblProducts[product_id],tblProducts[product_name],"Missing")</f>
        <v>Workflow Automate</v>
      </c>
      <c r="P1705" t="str">
        <f>_xlfn.XLOOKUP(C1705,tblProducts[product_id],tblProducts[category],"Missing")</f>
        <v>Automation</v>
      </c>
      <c r="Q1705" t="str">
        <f>_xlfn.XLOOKUP(D1705,tblSalesReps[rep_id],tblSalesReps[rep_name],"Missing")</f>
        <v>Sales Rep 09</v>
      </c>
      <c r="R1705" t="str">
        <f>_xlfn.XLOOKUP(D1705,tblSalesReps[rep_id],tblSalesReps[region],"Missing")</f>
        <v>North</v>
      </c>
    </row>
    <row r="1706" spans="1:18">
      <c r="A1706" t="s">
        <v>2238</v>
      </c>
      <c r="B1706" t="s">
        <v>1283</v>
      </c>
      <c r="C1706" t="s">
        <v>15</v>
      </c>
      <c r="D1706" t="s">
        <v>56</v>
      </c>
      <c r="E1706" s="1">
        <v>45884</v>
      </c>
      <c r="F1706" s="1">
        <v>45895</v>
      </c>
      <c r="G1706" s="1">
        <v>45895</v>
      </c>
      <c r="H1706" t="s">
        <v>17</v>
      </c>
      <c r="I1706">
        <v>1</v>
      </c>
      <c r="J1706">
        <v>10</v>
      </c>
      <c r="K1706">
        <v>378000</v>
      </c>
      <c r="L1706">
        <v>0</v>
      </c>
      <c r="M1706" t="s">
        <v>33</v>
      </c>
      <c r="N1706" t="str">
        <f>_xlfn.XLOOKUP(B1706,tblCustomers[customer_id],tblCustomers[region],"Missing")</f>
        <v>East</v>
      </c>
      <c r="O1706" t="str">
        <f>_xlfn.XLOOKUP(C1706,tblProducts[product_id],tblProducts[product_name],"Missing")</f>
        <v>CRM Enterprise</v>
      </c>
      <c r="P1706" t="str">
        <f>_xlfn.XLOOKUP(C1706,tblProducts[product_id],tblProducts[category],"Missing")</f>
        <v>CRM</v>
      </c>
      <c r="Q1706" t="str">
        <f>_xlfn.XLOOKUP(D1706,tblSalesReps[rep_id],tblSalesReps[rep_name],"Missing")</f>
        <v>Sales Rep 20</v>
      </c>
      <c r="R1706" t="str">
        <f>_xlfn.XLOOKUP(D1706,tblSalesReps[rep_id],tblSalesReps[region],"Missing")</f>
        <v>East</v>
      </c>
    </row>
    <row r="1707" spans="1:18">
      <c r="A1707" t="s">
        <v>2239</v>
      </c>
      <c r="B1707" t="s">
        <v>1595</v>
      </c>
      <c r="C1707" t="s">
        <v>21</v>
      </c>
      <c r="D1707" t="s">
        <v>75</v>
      </c>
      <c r="E1707" s="1">
        <v>46017</v>
      </c>
      <c r="F1707" s="1">
        <v>46032</v>
      </c>
      <c r="G1707" s="1"/>
      <c r="H1707" t="s">
        <v>43</v>
      </c>
      <c r="I1707">
        <v>1</v>
      </c>
      <c r="J1707">
        <v>15</v>
      </c>
      <c r="K1707">
        <v>204000</v>
      </c>
      <c r="L1707">
        <v>80</v>
      </c>
      <c r="M1707" t="s">
        <v>29</v>
      </c>
      <c r="N1707" t="str">
        <f>_xlfn.XLOOKUP(B1707,tblCustomers[customer_id],tblCustomers[region],"Missing")</f>
        <v>North</v>
      </c>
      <c r="O1707" t="str">
        <f>_xlfn.XLOOKUP(C1707,tblProducts[product_id],tblProducts[product_name],"Missing")</f>
        <v>Workflow Automate</v>
      </c>
      <c r="P1707" t="str">
        <f>_xlfn.XLOOKUP(C1707,tblProducts[product_id],tblProducts[category],"Missing")</f>
        <v>Automation</v>
      </c>
      <c r="Q1707" t="str">
        <f>_xlfn.XLOOKUP(D1707,tblSalesReps[rep_id],tblSalesReps[rep_name],"Missing")</f>
        <v>Sales Rep 07</v>
      </c>
      <c r="R1707" t="str">
        <f>_xlfn.XLOOKUP(D1707,tblSalesReps[rep_id],tblSalesReps[region],"Missing")</f>
        <v>North</v>
      </c>
    </row>
    <row r="1708" spans="1:18">
      <c r="A1708" t="s">
        <v>2240</v>
      </c>
      <c r="B1708" t="s">
        <v>789</v>
      </c>
      <c r="C1708" t="s">
        <v>62</v>
      </c>
      <c r="D1708" t="s">
        <v>63</v>
      </c>
      <c r="E1708" s="1">
        <v>45969</v>
      </c>
      <c r="F1708" s="1">
        <v>45978</v>
      </c>
      <c r="G1708" s="1">
        <v>45978</v>
      </c>
      <c r="H1708" t="s">
        <v>28</v>
      </c>
      <c r="I1708">
        <v>1</v>
      </c>
      <c r="J1708">
        <v>10</v>
      </c>
      <c r="K1708">
        <v>108000</v>
      </c>
      <c r="L1708">
        <v>100</v>
      </c>
      <c r="M1708" t="s">
        <v>29</v>
      </c>
      <c r="N1708" t="str">
        <f>_xlfn.XLOOKUP(B1708,tblCustomers[customer_id],tblCustomers[region],"Missing")</f>
        <v>South</v>
      </c>
      <c r="O1708" t="str">
        <f>_xlfn.XLOOKUP(C1708,tblProducts[product_id],tblProducts[product_name],"Missing")</f>
        <v>CRM Essentials</v>
      </c>
      <c r="P1708" t="str">
        <f>_xlfn.XLOOKUP(C1708,tblProducts[product_id],tblProducts[category],"Missing")</f>
        <v>CRM</v>
      </c>
      <c r="Q1708" t="str">
        <f>_xlfn.XLOOKUP(D1708,tblSalesReps[rep_id],tblSalesReps[rep_name],"Missing")</f>
        <v>Sales Rep 05</v>
      </c>
      <c r="R1708" t="str">
        <f>_xlfn.XLOOKUP(D1708,tblSalesReps[rep_id],tblSalesReps[region],"Missing")</f>
        <v>South</v>
      </c>
    </row>
    <row r="1709" spans="1:18">
      <c r="A1709" t="s">
        <v>2241</v>
      </c>
      <c r="B1709" t="s">
        <v>828</v>
      </c>
      <c r="C1709" t="s">
        <v>62</v>
      </c>
      <c r="D1709" t="s">
        <v>40</v>
      </c>
      <c r="E1709" s="1">
        <v>45671</v>
      </c>
      <c r="F1709" s="1">
        <v>45712</v>
      </c>
      <c r="G1709" s="1">
        <v>45712</v>
      </c>
      <c r="H1709" t="s">
        <v>28</v>
      </c>
      <c r="I1709">
        <v>1</v>
      </c>
      <c r="J1709">
        <v>10</v>
      </c>
      <c r="K1709">
        <v>108000</v>
      </c>
      <c r="L1709">
        <v>100</v>
      </c>
      <c r="M1709" t="s">
        <v>29</v>
      </c>
      <c r="N1709" t="str">
        <f>_xlfn.XLOOKUP(B1709,tblCustomers[customer_id],tblCustomers[region],"Missing")</f>
        <v>West</v>
      </c>
      <c r="O1709" t="str">
        <f>_xlfn.XLOOKUP(C1709,tblProducts[product_id],tblProducts[product_name],"Missing")</f>
        <v>CRM Essentials</v>
      </c>
      <c r="P1709" t="str">
        <f>_xlfn.XLOOKUP(C1709,tblProducts[product_id],tblProducts[category],"Missing")</f>
        <v>CRM</v>
      </c>
      <c r="Q1709" t="str">
        <f>_xlfn.XLOOKUP(D1709,tblSalesReps[rep_id],tblSalesReps[rep_name],"Missing")</f>
        <v>Sales Rep 13</v>
      </c>
      <c r="R1709" t="str">
        <f>_xlfn.XLOOKUP(D1709,tblSalesReps[rep_id],tblSalesReps[region],"Missing")</f>
        <v>West</v>
      </c>
    </row>
    <row r="1710" spans="1:18">
      <c r="A1710" t="s">
        <v>2242</v>
      </c>
      <c r="B1710" t="s">
        <v>2019</v>
      </c>
      <c r="C1710" t="s">
        <v>15</v>
      </c>
      <c r="D1710" t="s">
        <v>168</v>
      </c>
      <c r="E1710" s="1">
        <v>45925</v>
      </c>
      <c r="F1710" s="1">
        <v>46007</v>
      </c>
      <c r="G1710" s="1">
        <v>46007</v>
      </c>
      <c r="H1710" t="s">
        <v>17</v>
      </c>
      <c r="I1710">
        <v>2</v>
      </c>
      <c r="J1710">
        <v>10</v>
      </c>
      <c r="K1710">
        <v>756000</v>
      </c>
      <c r="L1710">
        <v>0</v>
      </c>
      <c r="M1710" t="s">
        <v>23</v>
      </c>
      <c r="N1710" t="str">
        <f>_xlfn.XLOOKUP(B1710,tblCustomers[customer_id],tblCustomers[region],"Missing")</f>
        <v>East</v>
      </c>
      <c r="O1710" t="str">
        <f>_xlfn.XLOOKUP(C1710,tblProducts[product_id],tblProducts[product_name],"Missing")</f>
        <v>CRM Enterprise</v>
      </c>
      <c r="P1710" t="str">
        <f>_xlfn.XLOOKUP(C1710,tblProducts[product_id],tblProducts[category],"Missing")</f>
        <v>CRM</v>
      </c>
      <c r="Q1710" t="str">
        <f>_xlfn.XLOOKUP(D1710,tblSalesReps[rep_id],tblSalesReps[rep_name],"Missing")</f>
        <v>Sales Rep 17</v>
      </c>
      <c r="R1710" t="str">
        <f>_xlfn.XLOOKUP(D1710,tblSalesReps[rep_id],tblSalesReps[region],"Missing")</f>
        <v>East</v>
      </c>
    </row>
    <row r="1711" spans="1:18">
      <c r="A1711" t="s">
        <v>2243</v>
      </c>
      <c r="B1711" t="s">
        <v>185</v>
      </c>
      <c r="C1711" t="s">
        <v>26</v>
      </c>
      <c r="D1711" t="s">
        <v>50</v>
      </c>
      <c r="E1711" s="1">
        <v>45951</v>
      </c>
      <c r="F1711" s="1">
        <v>46004</v>
      </c>
      <c r="G1711" s="1">
        <v>46004</v>
      </c>
      <c r="H1711" t="s">
        <v>28</v>
      </c>
      <c r="I1711">
        <v>1</v>
      </c>
      <c r="J1711">
        <v>20</v>
      </c>
      <c r="K1711">
        <v>288000</v>
      </c>
      <c r="L1711">
        <v>100</v>
      </c>
      <c r="M1711" t="s">
        <v>29</v>
      </c>
      <c r="N1711" t="str">
        <f>_xlfn.XLOOKUP(B1711,tblCustomers[customer_id],tblCustomers[region],"Missing")</f>
        <v>West</v>
      </c>
      <c r="O1711" t="str">
        <f>_xlfn.XLOOKUP(C1711,tblProducts[product_id],tblProducts[product_name],"Missing")</f>
        <v>Security Suite</v>
      </c>
      <c r="P1711" t="str">
        <f>_xlfn.XLOOKUP(C1711,tblProducts[product_id],tblProducts[category],"Missing")</f>
        <v>Security</v>
      </c>
      <c r="Q1711" t="str">
        <f>_xlfn.XLOOKUP(D1711,tblSalesReps[rep_id],tblSalesReps[rep_name],"Missing")</f>
        <v>Sales Rep 15</v>
      </c>
      <c r="R1711" t="str">
        <f>_xlfn.XLOOKUP(D1711,tblSalesReps[rep_id],tblSalesReps[region],"Missing")</f>
        <v>West</v>
      </c>
    </row>
    <row r="1712" spans="1:18">
      <c r="A1712" t="s">
        <v>2244</v>
      </c>
      <c r="B1712" t="s">
        <v>2025</v>
      </c>
      <c r="C1712" t="s">
        <v>21</v>
      </c>
      <c r="D1712" t="s">
        <v>63</v>
      </c>
      <c r="E1712" s="1">
        <v>45979</v>
      </c>
      <c r="F1712" s="1">
        <v>46020</v>
      </c>
      <c r="G1712" s="1">
        <v>46020</v>
      </c>
      <c r="H1712" t="s">
        <v>28</v>
      </c>
      <c r="I1712">
        <v>1</v>
      </c>
      <c r="J1712">
        <v>15</v>
      </c>
      <c r="K1712">
        <v>204000</v>
      </c>
      <c r="L1712">
        <v>100</v>
      </c>
      <c r="M1712" t="s">
        <v>29</v>
      </c>
      <c r="N1712" t="str">
        <f>_xlfn.XLOOKUP(B1712,tblCustomers[customer_id],tblCustomers[region],"Missing")</f>
        <v>South</v>
      </c>
      <c r="O1712" t="str">
        <f>_xlfn.XLOOKUP(C1712,tblProducts[product_id],tblProducts[product_name],"Missing")</f>
        <v>Workflow Automate</v>
      </c>
      <c r="P1712" t="str">
        <f>_xlfn.XLOOKUP(C1712,tblProducts[product_id],tblProducts[category],"Missing")</f>
        <v>Automation</v>
      </c>
      <c r="Q1712" t="str">
        <f>_xlfn.XLOOKUP(D1712,tblSalesReps[rep_id],tblSalesReps[rep_name],"Missing")</f>
        <v>Sales Rep 05</v>
      </c>
      <c r="R1712" t="str">
        <f>_xlfn.XLOOKUP(D1712,tblSalesReps[rep_id],tblSalesReps[region],"Missing")</f>
        <v>South</v>
      </c>
    </row>
    <row r="1713" spans="1:18">
      <c r="A1713" t="s">
        <v>2245</v>
      </c>
      <c r="B1713" t="s">
        <v>857</v>
      </c>
      <c r="C1713" t="s">
        <v>26</v>
      </c>
      <c r="D1713" t="s">
        <v>56</v>
      </c>
      <c r="E1713" s="1">
        <v>45829</v>
      </c>
      <c r="F1713" s="1">
        <v>45851</v>
      </c>
      <c r="G1713" s="1"/>
      <c r="H1713" t="s">
        <v>43</v>
      </c>
      <c r="I1713">
        <v>1</v>
      </c>
      <c r="J1713">
        <v>5</v>
      </c>
      <c r="K1713">
        <v>342000</v>
      </c>
      <c r="L1713">
        <v>60</v>
      </c>
      <c r="M1713" t="s">
        <v>29</v>
      </c>
      <c r="N1713" t="str">
        <f>_xlfn.XLOOKUP(B1713,tblCustomers[customer_id],tblCustomers[region],"Missing")</f>
        <v>East</v>
      </c>
      <c r="O1713" t="str">
        <f>_xlfn.XLOOKUP(C1713,tblProducts[product_id],tblProducts[product_name],"Missing")</f>
        <v>Security Suite</v>
      </c>
      <c r="P1713" t="str">
        <f>_xlfn.XLOOKUP(C1713,tblProducts[product_id],tblProducts[category],"Missing")</f>
        <v>Security</v>
      </c>
      <c r="Q1713" t="str">
        <f>_xlfn.XLOOKUP(D1713,tblSalesReps[rep_id],tblSalesReps[rep_name],"Missing")</f>
        <v>Sales Rep 20</v>
      </c>
      <c r="R1713" t="str">
        <f>_xlfn.XLOOKUP(D1713,tblSalesReps[rep_id],tblSalesReps[region],"Missing")</f>
        <v>East</v>
      </c>
    </row>
    <row r="1714" spans="1:18">
      <c r="A1714" t="s">
        <v>2246</v>
      </c>
      <c r="B1714" t="s">
        <v>491</v>
      </c>
      <c r="C1714" t="s">
        <v>21</v>
      </c>
      <c r="D1714" t="s">
        <v>59</v>
      </c>
      <c r="E1714" s="1">
        <v>45724</v>
      </c>
      <c r="F1714" s="1">
        <v>45752</v>
      </c>
      <c r="G1714" s="1">
        <v>45752</v>
      </c>
      <c r="H1714" t="s">
        <v>17</v>
      </c>
      <c r="I1714">
        <v>3</v>
      </c>
      <c r="J1714">
        <v>0</v>
      </c>
      <c r="K1714">
        <v>720000</v>
      </c>
      <c r="L1714">
        <v>0</v>
      </c>
      <c r="M1714" t="s">
        <v>23</v>
      </c>
      <c r="N1714" t="str">
        <f>_xlfn.XLOOKUP(B1714,tblCustomers[customer_id],tblCustomers[region],"Missing")</f>
        <v>East</v>
      </c>
      <c r="O1714" t="str">
        <f>_xlfn.XLOOKUP(C1714,tblProducts[product_id],tblProducts[product_name],"Missing")</f>
        <v>Workflow Automate</v>
      </c>
      <c r="P1714" t="str">
        <f>_xlfn.XLOOKUP(C1714,tblProducts[product_id],tblProducts[category],"Missing")</f>
        <v>Automation</v>
      </c>
      <c r="Q1714" t="str">
        <f>_xlfn.XLOOKUP(D1714,tblSalesReps[rep_id],tblSalesReps[rep_name],"Missing")</f>
        <v>Sales Rep 19</v>
      </c>
      <c r="R1714" t="str">
        <f>_xlfn.XLOOKUP(D1714,tblSalesReps[rep_id],tblSalesReps[region],"Missing")</f>
        <v>East</v>
      </c>
    </row>
    <row r="1715" spans="1:18">
      <c r="A1715" t="s">
        <v>2247</v>
      </c>
      <c r="B1715" t="s">
        <v>753</v>
      </c>
      <c r="C1715" t="s">
        <v>15</v>
      </c>
      <c r="D1715" t="s">
        <v>16</v>
      </c>
      <c r="E1715" s="1">
        <v>46003</v>
      </c>
      <c r="F1715" s="1">
        <v>46062</v>
      </c>
      <c r="G1715" s="1"/>
      <c r="H1715" t="s">
        <v>43</v>
      </c>
      <c r="I1715">
        <v>1</v>
      </c>
      <c r="J1715">
        <v>20</v>
      </c>
      <c r="K1715">
        <v>336000</v>
      </c>
      <c r="L1715">
        <v>40</v>
      </c>
      <c r="M1715" t="s">
        <v>29</v>
      </c>
      <c r="N1715" t="str">
        <f>_xlfn.XLOOKUP(B1715,tblCustomers[customer_id],tblCustomers[region],"Missing")</f>
        <v>North</v>
      </c>
      <c r="O1715" t="str">
        <f>_xlfn.XLOOKUP(C1715,tblProducts[product_id],tblProducts[product_name],"Missing")</f>
        <v>CRM Enterprise</v>
      </c>
      <c r="P1715" t="str">
        <f>_xlfn.XLOOKUP(C1715,tblProducts[product_id],tblProducts[category],"Missing")</f>
        <v>CRM</v>
      </c>
      <c r="Q1715" t="str">
        <f>_xlfn.XLOOKUP(D1715,tblSalesReps[rep_id],tblSalesReps[rep_name],"Missing")</f>
        <v>Sales Rep 08</v>
      </c>
      <c r="R1715" t="str">
        <f>_xlfn.XLOOKUP(D1715,tblSalesReps[rep_id],tblSalesReps[region],"Missing")</f>
        <v>North</v>
      </c>
    </row>
    <row r="1716" spans="1:18">
      <c r="A1716" t="s">
        <v>2248</v>
      </c>
      <c r="B1716" t="s">
        <v>1105</v>
      </c>
      <c r="C1716" t="s">
        <v>81</v>
      </c>
      <c r="D1716" t="s">
        <v>46</v>
      </c>
      <c r="E1716" s="1">
        <v>45896</v>
      </c>
      <c r="F1716" s="1">
        <v>45916</v>
      </c>
      <c r="G1716" s="1">
        <v>45916</v>
      </c>
      <c r="H1716" t="s">
        <v>17</v>
      </c>
      <c r="I1716">
        <v>1</v>
      </c>
      <c r="J1716">
        <v>20</v>
      </c>
      <c r="K1716">
        <v>240000</v>
      </c>
      <c r="L1716">
        <v>0</v>
      </c>
      <c r="M1716" t="s">
        <v>18</v>
      </c>
      <c r="N1716" t="str">
        <f>_xlfn.XLOOKUP(B1716,tblCustomers[customer_id],tblCustomers[region],"Missing")</f>
        <v>South</v>
      </c>
      <c r="O1716" t="str">
        <f>_xlfn.XLOOKUP(C1716,tblProducts[product_id],tblProducts[product_name],"Missing")</f>
        <v>Analytics Cloud</v>
      </c>
      <c r="P1716" t="str">
        <f>_xlfn.XLOOKUP(C1716,tblProducts[product_id],tblProducts[category],"Missing")</f>
        <v>Analytics</v>
      </c>
      <c r="Q1716" t="str">
        <f>_xlfn.XLOOKUP(D1716,tblSalesReps[rep_id],tblSalesReps[rep_name],"Missing")</f>
        <v>Sales Rep 01</v>
      </c>
      <c r="R1716" t="str">
        <f>_xlfn.XLOOKUP(D1716,tblSalesReps[rep_id],tblSalesReps[region],"Missing")</f>
        <v>South</v>
      </c>
    </row>
    <row r="1717" spans="1:18">
      <c r="A1717" t="s">
        <v>2249</v>
      </c>
      <c r="B1717" t="s">
        <v>1595</v>
      </c>
      <c r="C1717" t="s">
        <v>26</v>
      </c>
      <c r="D1717" t="s">
        <v>75</v>
      </c>
      <c r="E1717" s="1">
        <v>45818</v>
      </c>
      <c r="F1717" s="1">
        <v>45844</v>
      </c>
      <c r="G1717" s="1">
        <v>45844</v>
      </c>
      <c r="H1717" t="s">
        <v>17</v>
      </c>
      <c r="I1717">
        <v>3</v>
      </c>
      <c r="J1717">
        <v>5</v>
      </c>
      <c r="K1717">
        <v>1026000</v>
      </c>
      <c r="L1717">
        <v>0</v>
      </c>
      <c r="M1717" t="s">
        <v>82</v>
      </c>
      <c r="N1717" t="str">
        <f>_xlfn.XLOOKUP(B1717,tblCustomers[customer_id],tblCustomers[region],"Missing")</f>
        <v>North</v>
      </c>
      <c r="O1717" t="str">
        <f>_xlfn.XLOOKUP(C1717,tblProducts[product_id],tblProducts[product_name],"Missing")</f>
        <v>Security Suite</v>
      </c>
      <c r="P1717" t="str">
        <f>_xlfn.XLOOKUP(C1717,tblProducts[product_id],tblProducts[category],"Missing")</f>
        <v>Security</v>
      </c>
      <c r="Q1717" t="str">
        <f>_xlfn.XLOOKUP(D1717,tblSalesReps[rep_id],tblSalesReps[rep_name],"Missing")</f>
        <v>Sales Rep 07</v>
      </c>
      <c r="R1717" t="str">
        <f>_xlfn.XLOOKUP(D1717,tblSalesReps[rep_id],tblSalesReps[region],"Missing")</f>
        <v>North</v>
      </c>
    </row>
    <row r="1718" spans="1:18">
      <c r="A1718" t="s">
        <v>2250</v>
      </c>
      <c r="B1718" t="s">
        <v>108</v>
      </c>
      <c r="C1718" t="s">
        <v>62</v>
      </c>
      <c r="D1718" t="s">
        <v>75</v>
      </c>
      <c r="E1718" s="1">
        <v>45682</v>
      </c>
      <c r="F1718" s="1">
        <v>45742</v>
      </c>
      <c r="G1718" s="1"/>
      <c r="H1718" t="s">
        <v>43</v>
      </c>
      <c r="I1718">
        <v>1</v>
      </c>
      <c r="J1718">
        <v>15</v>
      </c>
      <c r="K1718">
        <v>102000</v>
      </c>
      <c r="L1718">
        <v>60</v>
      </c>
      <c r="M1718" t="s">
        <v>29</v>
      </c>
      <c r="N1718" t="str">
        <f>_xlfn.XLOOKUP(B1718,tblCustomers[customer_id],tblCustomers[region],"Missing")</f>
        <v>North</v>
      </c>
      <c r="O1718" t="str">
        <f>_xlfn.XLOOKUP(C1718,tblProducts[product_id],tblProducts[product_name],"Missing")</f>
        <v>CRM Essentials</v>
      </c>
      <c r="P1718" t="str">
        <f>_xlfn.XLOOKUP(C1718,tblProducts[product_id],tblProducts[category],"Missing")</f>
        <v>CRM</v>
      </c>
      <c r="Q1718" t="str">
        <f>_xlfn.XLOOKUP(D1718,tblSalesReps[rep_id],tblSalesReps[rep_name],"Missing")</f>
        <v>Sales Rep 07</v>
      </c>
      <c r="R1718" t="str">
        <f>_xlfn.XLOOKUP(D1718,tblSalesReps[rep_id],tblSalesReps[region],"Missing")</f>
        <v>North</v>
      </c>
    </row>
    <row r="1719" spans="1:18">
      <c r="A1719" t="s">
        <v>2251</v>
      </c>
      <c r="B1719" t="s">
        <v>329</v>
      </c>
      <c r="C1719" t="s">
        <v>39</v>
      </c>
      <c r="D1719" t="s">
        <v>119</v>
      </c>
      <c r="E1719" s="1">
        <v>45800</v>
      </c>
      <c r="F1719" s="1">
        <v>45807</v>
      </c>
      <c r="G1719" s="1">
        <v>45807</v>
      </c>
      <c r="H1719" t="s">
        <v>28</v>
      </c>
      <c r="I1719">
        <v>2</v>
      </c>
      <c r="J1719">
        <v>20</v>
      </c>
      <c r="K1719">
        <v>288000</v>
      </c>
      <c r="L1719">
        <v>100</v>
      </c>
      <c r="M1719" t="s">
        <v>29</v>
      </c>
      <c r="N1719" t="str">
        <f>_xlfn.XLOOKUP(B1719,tblCustomers[customer_id],tblCustomers[region],"Missing")</f>
        <v>North</v>
      </c>
      <c r="O1719" t="str">
        <f>_xlfn.XLOOKUP(C1719,tblProducts[product_id],tblProducts[product_name],"Missing")</f>
        <v>Support Desk</v>
      </c>
      <c r="P1719" t="str">
        <f>_xlfn.XLOOKUP(C1719,tblProducts[product_id],tblProducts[category],"Missing")</f>
        <v>Service</v>
      </c>
      <c r="Q1719" t="str">
        <f>_xlfn.XLOOKUP(D1719,tblSalesReps[rep_id],tblSalesReps[rep_name],"Missing")</f>
        <v>Sales Rep 10</v>
      </c>
      <c r="R1719" t="str">
        <f>_xlfn.XLOOKUP(D1719,tblSalesReps[rep_id],tblSalesReps[region],"Missing")</f>
        <v>North</v>
      </c>
    </row>
    <row r="1720" spans="1:18">
      <c r="A1720" t="s">
        <v>2252</v>
      </c>
      <c r="B1720" t="s">
        <v>1386</v>
      </c>
      <c r="C1720" t="s">
        <v>81</v>
      </c>
      <c r="D1720" t="s">
        <v>70</v>
      </c>
      <c r="E1720" s="1">
        <v>45710</v>
      </c>
      <c r="F1720" s="1">
        <v>45781</v>
      </c>
      <c r="G1720" s="1"/>
      <c r="H1720" t="s">
        <v>43</v>
      </c>
      <c r="I1720">
        <v>1</v>
      </c>
      <c r="J1720">
        <v>0</v>
      </c>
      <c r="K1720">
        <v>300000</v>
      </c>
      <c r="L1720">
        <v>80</v>
      </c>
      <c r="M1720" t="s">
        <v>29</v>
      </c>
      <c r="N1720" t="str">
        <f>_xlfn.XLOOKUP(B1720,tblCustomers[customer_id],tblCustomers[region],"Missing")</f>
        <v>West</v>
      </c>
      <c r="O1720" t="str">
        <f>_xlfn.XLOOKUP(C1720,tblProducts[product_id],tblProducts[product_name],"Missing")</f>
        <v>Analytics Cloud</v>
      </c>
      <c r="P1720" t="str">
        <f>_xlfn.XLOOKUP(C1720,tblProducts[product_id],tblProducts[category],"Missing")</f>
        <v>Analytics</v>
      </c>
      <c r="Q1720" t="str">
        <f>_xlfn.XLOOKUP(D1720,tblSalesReps[rep_id],tblSalesReps[rep_name],"Missing")</f>
        <v>Sales Rep 11</v>
      </c>
      <c r="R1720" t="str">
        <f>_xlfn.XLOOKUP(D1720,tblSalesReps[rep_id],tblSalesReps[region],"Missing")</f>
        <v>West</v>
      </c>
    </row>
    <row r="1721" spans="1:18">
      <c r="A1721" t="s">
        <v>2253</v>
      </c>
      <c r="B1721" t="s">
        <v>2019</v>
      </c>
      <c r="C1721" t="s">
        <v>26</v>
      </c>
      <c r="D1721" t="s">
        <v>59</v>
      </c>
      <c r="E1721" s="1">
        <v>45807</v>
      </c>
      <c r="F1721" s="1">
        <v>45877</v>
      </c>
      <c r="G1721" s="1">
        <v>45877</v>
      </c>
      <c r="H1721" t="s">
        <v>17</v>
      </c>
      <c r="I1721">
        <v>2</v>
      </c>
      <c r="J1721">
        <v>0</v>
      </c>
      <c r="K1721">
        <v>720000</v>
      </c>
      <c r="L1721">
        <v>0</v>
      </c>
      <c r="M1721" t="s">
        <v>82</v>
      </c>
      <c r="N1721" t="str">
        <f>_xlfn.XLOOKUP(B1721,tblCustomers[customer_id],tblCustomers[region],"Missing")</f>
        <v>East</v>
      </c>
      <c r="O1721" t="str">
        <f>_xlfn.XLOOKUP(C1721,tblProducts[product_id],tblProducts[product_name],"Missing")</f>
        <v>Security Suite</v>
      </c>
      <c r="P1721" t="str">
        <f>_xlfn.XLOOKUP(C1721,tblProducts[product_id],tblProducts[category],"Missing")</f>
        <v>Security</v>
      </c>
      <c r="Q1721" t="str">
        <f>_xlfn.XLOOKUP(D1721,tblSalesReps[rep_id],tblSalesReps[rep_name],"Missing")</f>
        <v>Sales Rep 19</v>
      </c>
      <c r="R1721" t="str">
        <f>_xlfn.XLOOKUP(D1721,tblSalesReps[rep_id],tblSalesReps[region],"Missing")</f>
        <v>East</v>
      </c>
    </row>
    <row r="1722" spans="1:18">
      <c r="A1722" t="s">
        <v>2254</v>
      </c>
      <c r="B1722" t="s">
        <v>206</v>
      </c>
      <c r="C1722" t="s">
        <v>62</v>
      </c>
      <c r="D1722" t="s">
        <v>119</v>
      </c>
      <c r="E1722" s="1">
        <v>45673</v>
      </c>
      <c r="F1722" s="1">
        <v>45700</v>
      </c>
      <c r="G1722" s="1">
        <v>45700</v>
      </c>
      <c r="H1722" t="s">
        <v>17</v>
      </c>
      <c r="I1722">
        <v>1</v>
      </c>
      <c r="J1722">
        <v>15</v>
      </c>
      <c r="K1722">
        <v>102000</v>
      </c>
      <c r="L1722">
        <v>0</v>
      </c>
      <c r="M1722" t="s">
        <v>33</v>
      </c>
      <c r="N1722" t="str">
        <f>_xlfn.XLOOKUP(B1722,tblCustomers[customer_id],tblCustomers[region],"Missing")</f>
        <v>North</v>
      </c>
      <c r="O1722" t="str">
        <f>_xlfn.XLOOKUP(C1722,tblProducts[product_id],tblProducts[product_name],"Missing")</f>
        <v>CRM Essentials</v>
      </c>
      <c r="P1722" t="str">
        <f>_xlfn.XLOOKUP(C1722,tblProducts[product_id],tblProducts[category],"Missing")</f>
        <v>CRM</v>
      </c>
      <c r="Q1722" t="str">
        <f>_xlfn.XLOOKUP(D1722,tblSalesReps[rep_id],tblSalesReps[rep_name],"Missing")</f>
        <v>Sales Rep 10</v>
      </c>
      <c r="R1722" t="str">
        <f>_xlfn.XLOOKUP(D1722,tblSalesReps[rep_id],tblSalesReps[region],"Missing")</f>
        <v>North</v>
      </c>
    </row>
    <row r="1723" spans="1:18">
      <c r="A1723" t="s">
        <v>2255</v>
      </c>
      <c r="B1723" t="s">
        <v>743</v>
      </c>
      <c r="C1723" t="s">
        <v>15</v>
      </c>
      <c r="D1723" t="s">
        <v>50</v>
      </c>
      <c r="E1723" s="1">
        <v>45878</v>
      </c>
      <c r="F1723" s="1">
        <v>45911</v>
      </c>
      <c r="G1723" s="1">
        <v>45911</v>
      </c>
      <c r="H1723" t="s">
        <v>17</v>
      </c>
      <c r="I1723">
        <v>3</v>
      </c>
      <c r="J1723">
        <v>5</v>
      </c>
      <c r="K1723">
        <v>1197000</v>
      </c>
      <c r="L1723">
        <v>0</v>
      </c>
      <c r="M1723" t="s">
        <v>82</v>
      </c>
      <c r="N1723" t="str">
        <f>_xlfn.XLOOKUP(B1723,tblCustomers[customer_id],tblCustomers[region],"Missing")</f>
        <v>West</v>
      </c>
      <c r="O1723" t="str">
        <f>_xlfn.XLOOKUP(C1723,tblProducts[product_id],tblProducts[product_name],"Missing")</f>
        <v>CRM Enterprise</v>
      </c>
      <c r="P1723" t="str">
        <f>_xlfn.XLOOKUP(C1723,tblProducts[product_id],tblProducts[category],"Missing")</f>
        <v>CRM</v>
      </c>
      <c r="Q1723" t="str">
        <f>_xlfn.XLOOKUP(D1723,tblSalesReps[rep_id],tblSalesReps[rep_name],"Missing")</f>
        <v>Sales Rep 15</v>
      </c>
      <c r="R1723" t="str">
        <f>_xlfn.XLOOKUP(D1723,tblSalesReps[rep_id],tblSalesReps[region],"Missing")</f>
        <v>West</v>
      </c>
    </row>
    <row r="1724" spans="1:18">
      <c r="A1724" t="s">
        <v>2256</v>
      </c>
      <c r="B1724" t="s">
        <v>1500</v>
      </c>
      <c r="C1724" t="s">
        <v>26</v>
      </c>
      <c r="D1724" t="s">
        <v>46</v>
      </c>
      <c r="E1724" s="1">
        <v>45665</v>
      </c>
      <c r="F1724" s="1">
        <v>45732</v>
      </c>
      <c r="G1724" s="1">
        <v>45732</v>
      </c>
      <c r="H1724" t="s">
        <v>28</v>
      </c>
      <c r="I1724">
        <v>1</v>
      </c>
      <c r="J1724">
        <v>20</v>
      </c>
      <c r="K1724">
        <v>288000</v>
      </c>
      <c r="L1724">
        <v>100</v>
      </c>
      <c r="M1724" t="s">
        <v>29</v>
      </c>
      <c r="N1724" t="str">
        <f>_xlfn.XLOOKUP(B1724,tblCustomers[customer_id],tblCustomers[region],"Missing")</f>
        <v>South</v>
      </c>
      <c r="O1724" t="str">
        <f>_xlfn.XLOOKUP(C1724,tblProducts[product_id],tblProducts[product_name],"Missing")</f>
        <v>Security Suite</v>
      </c>
      <c r="P1724" t="str">
        <f>_xlfn.XLOOKUP(C1724,tblProducts[product_id],tblProducts[category],"Missing")</f>
        <v>Security</v>
      </c>
      <c r="Q1724" t="str">
        <f>_xlfn.XLOOKUP(D1724,tblSalesReps[rep_id],tblSalesReps[rep_name],"Missing")</f>
        <v>Sales Rep 01</v>
      </c>
      <c r="R1724" t="str">
        <f>_xlfn.XLOOKUP(D1724,tblSalesReps[rep_id],tblSalesReps[region],"Missing")</f>
        <v>South</v>
      </c>
    </row>
    <row r="1725" spans="1:18">
      <c r="A1725" t="s">
        <v>2257</v>
      </c>
      <c r="B1725" t="s">
        <v>1415</v>
      </c>
      <c r="C1725" t="s">
        <v>26</v>
      </c>
      <c r="D1725" t="s">
        <v>53</v>
      </c>
      <c r="E1725" s="1">
        <v>45950</v>
      </c>
      <c r="F1725" s="1">
        <v>46022</v>
      </c>
      <c r="G1725" s="1"/>
      <c r="H1725" t="s">
        <v>43</v>
      </c>
      <c r="I1725">
        <v>1</v>
      </c>
      <c r="J1725">
        <v>10</v>
      </c>
      <c r="K1725">
        <v>324000</v>
      </c>
      <c r="L1725">
        <v>60</v>
      </c>
      <c r="M1725" t="s">
        <v>29</v>
      </c>
      <c r="N1725" t="str">
        <f>_xlfn.XLOOKUP(B1725,tblCustomers[customer_id],tblCustomers[region],"Missing")</f>
        <v>East</v>
      </c>
      <c r="O1725" t="str">
        <f>_xlfn.XLOOKUP(C1725,tblProducts[product_id],tblProducts[product_name],"Missing")</f>
        <v>Security Suite</v>
      </c>
      <c r="P1725" t="str">
        <f>_xlfn.XLOOKUP(C1725,tblProducts[product_id],tblProducts[category],"Missing")</f>
        <v>Security</v>
      </c>
      <c r="Q1725" t="str">
        <f>_xlfn.XLOOKUP(D1725,tblSalesReps[rep_id],tblSalesReps[rep_name],"Missing")</f>
        <v>Sales Rep 16</v>
      </c>
      <c r="R1725" t="str">
        <f>_xlfn.XLOOKUP(D1725,tblSalesReps[rep_id],tblSalesReps[region],"Missing")</f>
        <v>East</v>
      </c>
    </row>
    <row r="1726" spans="1:18">
      <c r="A1726" t="s">
        <v>2258</v>
      </c>
      <c r="B1726" t="s">
        <v>312</v>
      </c>
      <c r="C1726" t="s">
        <v>21</v>
      </c>
      <c r="D1726" t="s">
        <v>70</v>
      </c>
      <c r="E1726" s="1">
        <v>45901</v>
      </c>
      <c r="F1726" s="1">
        <v>45942</v>
      </c>
      <c r="G1726" s="1"/>
      <c r="H1726" t="s">
        <v>43</v>
      </c>
      <c r="I1726">
        <v>1</v>
      </c>
      <c r="J1726">
        <v>15</v>
      </c>
      <c r="K1726">
        <v>204000</v>
      </c>
      <c r="L1726">
        <v>60</v>
      </c>
      <c r="M1726" t="s">
        <v>29</v>
      </c>
      <c r="N1726" t="str">
        <f>_xlfn.XLOOKUP(B1726,tblCustomers[customer_id],tblCustomers[region],"Missing")</f>
        <v>West</v>
      </c>
      <c r="O1726" t="str">
        <f>_xlfn.XLOOKUP(C1726,tblProducts[product_id],tblProducts[product_name],"Missing")</f>
        <v>Workflow Automate</v>
      </c>
      <c r="P1726" t="str">
        <f>_xlfn.XLOOKUP(C1726,tblProducts[product_id],tblProducts[category],"Missing")</f>
        <v>Automation</v>
      </c>
      <c r="Q1726" t="str">
        <f>_xlfn.XLOOKUP(D1726,tblSalesReps[rep_id],tblSalesReps[rep_name],"Missing")</f>
        <v>Sales Rep 11</v>
      </c>
      <c r="R1726" t="str">
        <f>_xlfn.XLOOKUP(D1726,tblSalesReps[rep_id],tblSalesReps[region],"Missing")</f>
        <v>West</v>
      </c>
    </row>
    <row r="1727" spans="1:18">
      <c r="A1727" t="s">
        <v>2259</v>
      </c>
      <c r="B1727" t="s">
        <v>834</v>
      </c>
      <c r="C1727" t="s">
        <v>81</v>
      </c>
      <c r="D1727" t="s">
        <v>59</v>
      </c>
      <c r="E1727" s="1">
        <v>45953</v>
      </c>
      <c r="F1727" s="1">
        <v>45965</v>
      </c>
      <c r="G1727" s="1">
        <v>45965</v>
      </c>
      <c r="H1727" t="s">
        <v>17</v>
      </c>
      <c r="I1727">
        <v>1</v>
      </c>
      <c r="J1727">
        <v>10</v>
      </c>
      <c r="K1727">
        <v>270000</v>
      </c>
      <c r="L1727">
        <v>0</v>
      </c>
      <c r="M1727" t="s">
        <v>47</v>
      </c>
      <c r="N1727" t="str">
        <f>_xlfn.XLOOKUP(B1727,tblCustomers[customer_id],tblCustomers[region],"Missing")</f>
        <v>East</v>
      </c>
      <c r="O1727" t="str">
        <f>_xlfn.XLOOKUP(C1727,tblProducts[product_id],tblProducts[product_name],"Missing")</f>
        <v>Analytics Cloud</v>
      </c>
      <c r="P1727" t="str">
        <f>_xlfn.XLOOKUP(C1727,tblProducts[product_id],tblProducts[category],"Missing")</f>
        <v>Analytics</v>
      </c>
      <c r="Q1727" t="str">
        <f>_xlfn.XLOOKUP(D1727,tblSalesReps[rep_id],tblSalesReps[rep_name],"Missing")</f>
        <v>Sales Rep 19</v>
      </c>
      <c r="R1727" t="str">
        <f>_xlfn.XLOOKUP(D1727,tblSalesReps[rep_id],tblSalesReps[region],"Missing")</f>
        <v>East</v>
      </c>
    </row>
    <row r="1728" spans="1:18">
      <c r="A1728" t="s">
        <v>2260</v>
      </c>
      <c r="B1728" t="s">
        <v>341</v>
      </c>
      <c r="C1728" t="s">
        <v>26</v>
      </c>
      <c r="D1728" t="s">
        <v>59</v>
      </c>
      <c r="E1728" s="1">
        <v>45997</v>
      </c>
      <c r="F1728" s="1">
        <v>46036</v>
      </c>
      <c r="G1728" s="1"/>
      <c r="H1728" t="s">
        <v>43</v>
      </c>
      <c r="I1728">
        <v>1</v>
      </c>
      <c r="J1728">
        <v>5</v>
      </c>
      <c r="K1728">
        <v>342000</v>
      </c>
      <c r="L1728">
        <v>60</v>
      </c>
      <c r="M1728" t="s">
        <v>29</v>
      </c>
      <c r="N1728" t="str">
        <f>_xlfn.XLOOKUP(B1728,tblCustomers[customer_id],tblCustomers[region],"Missing")</f>
        <v>East</v>
      </c>
      <c r="O1728" t="str">
        <f>_xlfn.XLOOKUP(C1728,tblProducts[product_id],tblProducts[product_name],"Missing")</f>
        <v>Security Suite</v>
      </c>
      <c r="P1728" t="str">
        <f>_xlfn.XLOOKUP(C1728,tblProducts[product_id],tblProducts[category],"Missing")</f>
        <v>Security</v>
      </c>
      <c r="Q1728" t="str">
        <f>_xlfn.XLOOKUP(D1728,tblSalesReps[rep_id],tblSalesReps[rep_name],"Missing")</f>
        <v>Sales Rep 19</v>
      </c>
      <c r="R1728" t="str">
        <f>_xlfn.XLOOKUP(D1728,tblSalesReps[rep_id],tblSalesReps[region],"Missing")</f>
        <v>East</v>
      </c>
    </row>
    <row r="1729" spans="1:18">
      <c r="A1729" t="s">
        <v>2261</v>
      </c>
      <c r="B1729" t="s">
        <v>52</v>
      </c>
      <c r="C1729" t="s">
        <v>21</v>
      </c>
      <c r="D1729" t="s">
        <v>168</v>
      </c>
      <c r="E1729" s="1">
        <v>45989</v>
      </c>
      <c r="F1729" s="1">
        <v>46055</v>
      </c>
      <c r="G1729" s="1"/>
      <c r="H1729" t="s">
        <v>43</v>
      </c>
      <c r="I1729">
        <v>2</v>
      </c>
      <c r="J1729">
        <v>15</v>
      </c>
      <c r="K1729">
        <v>408000</v>
      </c>
      <c r="L1729">
        <v>60</v>
      </c>
      <c r="M1729" t="s">
        <v>29</v>
      </c>
      <c r="N1729" t="str">
        <f>_xlfn.XLOOKUP(B1729,tblCustomers[customer_id],tblCustomers[region],"Missing")</f>
        <v>East</v>
      </c>
      <c r="O1729" t="str">
        <f>_xlfn.XLOOKUP(C1729,tblProducts[product_id],tblProducts[product_name],"Missing")</f>
        <v>Workflow Automate</v>
      </c>
      <c r="P1729" t="str">
        <f>_xlfn.XLOOKUP(C1729,tblProducts[product_id],tblProducts[category],"Missing")</f>
        <v>Automation</v>
      </c>
      <c r="Q1729" t="str">
        <f>_xlfn.XLOOKUP(D1729,tblSalesReps[rep_id],tblSalesReps[rep_name],"Missing")</f>
        <v>Sales Rep 17</v>
      </c>
      <c r="R1729" t="str">
        <f>_xlfn.XLOOKUP(D1729,tblSalesReps[rep_id],tblSalesReps[region],"Missing")</f>
        <v>East</v>
      </c>
    </row>
    <row r="1730" spans="1:18">
      <c r="A1730" t="s">
        <v>2262</v>
      </c>
      <c r="B1730" t="s">
        <v>1019</v>
      </c>
      <c r="C1730" t="s">
        <v>39</v>
      </c>
      <c r="D1730" t="s">
        <v>70</v>
      </c>
      <c r="E1730" s="1">
        <v>45689</v>
      </c>
      <c r="F1730" s="1">
        <v>45741</v>
      </c>
      <c r="G1730" s="1">
        <v>45741</v>
      </c>
      <c r="H1730" t="s">
        <v>17</v>
      </c>
      <c r="I1730">
        <v>1</v>
      </c>
      <c r="J1730">
        <v>15</v>
      </c>
      <c r="K1730">
        <v>153000</v>
      </c>
      <c r="L1730">
        <v>0</v>
      </c>
      <c r="M1730" t="s">
        <v>33</v>
      </c>
      <c r="N1730" t="str">
        <f>_xlfn.XLOOKUP(B1730,tblCustomers[customer_id],tblCustomers[region],"Missing")</f>
        <v>West</v>
      </c>
      <c r="O1730" t="str">
        <f>_xlfn.XLOOKUP(C1730,tblProducts[product_id],tblProducts[product_name],"Missing")</f>
        <v>Support Desk</v>
      </c>
      <c r="P1730" t="str">
        <f>_xlfn.XLOOKUP(C1730,tblProducts[product_id],tblProducts[category],"Missing")</f>
        <v>Service</v>
      </c>
      <c r="Q1730" t="str">
        <f>_xlfn.XLOOKUP(D1730,tblSalesReps[rep_id],tblSalesReps[rep_name],"Missing")</f>
        <v>Sales Rep 11</v>
      </c>
      <c r="R1730" t="str">
        <f>_xlfn.XLOOKUP(D1730,tblSalesReps[rep_id],tblSalesReps[region],"Missing")</f>
        <v>West</v>
      </c>
    </row>
    <row r="1731" spans="1:18">
      <c r="A1731" t="s">
        <v>2263</v>
      </c>
      <c r="B1731" t="s">
        <v>394</v>
      </c>
      <c r="C1731" t="s">
        <v>21</v>
      </c>
      <c r="D1731" t="s">
        <v>36</v>
      </c>
      <c r="E1731" s="1">
        <v>45739</v>
      </c>
      <c r="F1731" s="1">
        <v>45812</v>
      </c>
      <c r="G1731" s="1"/>
      <c r="H1731" t="s">
        <v>43</v>
      </c>
      <c r="I1731">
        <v>1</v>
      </c>
      <c r="J1731">
        <v>15</v>
      </c>
      <c r="K1731">
        <v>204000</v>
      </c>
      <c r="L1731">
        <v>40</v>
      </c>
      <c r="M1731" t="s">
        <v>29</v>
      </c>
      <c r="N1731" t="str">
        <f>_xlfn.XLOOKUP(B1731,tblCustomers[customer_id],tblCustomers[region],"Missing")</f>
        <v>North</v>
      </c>
      <c r="O1731" t="str">
        <f>_xlfn.XLOOKUP(C1731,tblProducts[product_id],tblProducts[product_name],"Missing")</f>
        <v>Workflow Automate</v>
      </c>
      <c r="P1731" t="str">
        <f>_xlfn.XLOOKUP(C1731,tblProducts[product_id],tblProducts[category],"Missing")</f>
        <v>Automation</v>
      </c>
      <c r="Q1731" t="str">
        <f>_xlfn.XLOOKUP(D1731,tblSalesReps[rep_id],tblSalesReps[rep_name],"Missing")</f>
        <v>Sales Rep 09</v>
      </c>
      <c r="R1731" t="str">
        <f>_xlfn.XLOOKUP(D1731,tblSalesReps[rep_id],tblSalesReps[region],"Missing")</f>
        <v>North</v>
      </c>
    </row>
    <row r="1732" spans="1:18">
      <c r="A1732" t="s">
        <v>2264</v>
      </c>
      <c r="B1732" t="s">
        <v>1496</v>
      </c>
      <c r="C1732" t="s">
        <v>15</v>
      </c>
      <c r="D1732" t="s">
        <v>32</v>
      </c>
      <c r="E1732" s="1">
        <v>46015</v>
      </c>
      <c r="F1732" s="1">
        <v>46028</v>
      </c>
      <c r="G1732" s="1"/>
      <c r="H1732" t="s">
        <v>43</v>
      </c>
      <c r="I1732">
        <v>1</v>
      </c>
      <c r="J1732">
        <v>20</v>
      </c>
      <c r="K1732">
        <v>336000</v>
      </c>
      <c r="L1732">
        <v>60</v>
      </c>
      <c r="M1732" t="s">
        <v>29</v>
      </c>
      <c r="N1732" t="str">
        <f>_xlfn.XLOOKUP(B1732,tblCustomers[customer_id],tblCustomers[region],"Missing")</f>
        <v>South</v>
      </c>
      <c r="O1732" t="str">
        <f>_xlfn.XLOOKUP(C1732,tblProducts[product_id],tblProducts[product_name],"Missing")</f>
        <v>CRM Enterprise</v>
      </c>
      <c r="P1732" t="str">
        <f>_xlfn.XLOOKUP(C1732,tblProducts[product_id],tblProducts[category],"Missing")</f>
        <v>CRM</v>
      </c>
      <c r="Q1732" t="str">
        <f>_xlfn.XLOOKUP(D1732,tblSalesReps[rep_id],tblSalesReps[rep_name],"Missing")</f>
        <v>Sales Rep 04</v>
      </c>
      <c r="R1732" t="str">
        <f>_xlfn.XLOOKUP(D1732,tblSalesReps[rep_id],tblSalesReps[region],"Missing")</f>
        <v>South</v>
      </c>
    </row>
    <row r="1733" spans="1:18">
      <c r="A1733" t="s">
        <v>2265</v>
      </c>
      <c r="B1733" t="s">
        <v>1639</v>
      </c>
      <c r="C1733" t="s">
        <v>15</v>
      </c>
      <c r="D1733" t="s">
        <v>27</v>
      </c>
      <c r="E1733" s="1">
        <v>45981</v>
      </c>
      <c r="F1733" s="1">
        <v>46053</v>
      </c>
      <c r="G1733" s="1"/>
      <c r="H1733" t="s">
        <v>43</v>
      </c>
      <c r="I1733">
        <v>1</v>
      </c>
      <c r="J1733">
        <v>20</v>
      </c>
      <c r="K1733">
        <v>336000</v>
      </c>
      <c r="L1733">
        <v>60</v>
      </c>
      <c r="M1733" t="s">
        <v>29</v>
      </c>
      <c r="N1733" t="str">
        <f>_xlfn.XLOOKUP(B1733,tblCustomers[customer_id],tblCustomers[region],"Missing")</f>
        <v>North</v>
      </c>
      <c r="O1733" t="str">
        <f>_xlfn.XLOOKUP(C1733,tblProducts[product_id],tblProducts[product_name],"Missing")</f>
        <v>CRM Enterprise</v>
      </c>
      <c r="P1733" t="str">
        <f>_xlfn.XLOOKUP(C1733,tblProducts[product_id],tblProducts[category],"Missing")</f>
        <v>CRM</v>
      </c>
      <c r="Q1733" t="str">
        <f>_xlfn.XLOOKUP(D1733,tblSalesReps[rep_id],tblSalesReps[rep_name],"Missing")</f>
        <v>Sales Rep 06</v>
      </c>
      <c r="R1733" t="str">
        <f>_xlfn.XLOOKUP(D1733,tblSalesReps[rep_id],tblSalesReps[region],"Missing")</f>
        <v>North</v>
      </c>
    </row>
    <row r="1734" spans="1:18">
      <c r="A1734" t="s">
        <v>2266</v>
      </c>
      <c r="B1734" t="s">
        <v>367</v>
      </c>
      <c r="C1734" t="s">
        <v>39</v>
      </c>
      <c r="D1734" t="s">
        <v>56</v>
      </c>
      <c r="E1734" s="1">
        <v>46021</v>
      </c>
      <c r="F1734" s="1">
        <v>46075</v>
      </c>
      <c r="G1734" s="1"/>
      <c r="H1734" t="s">
        <v>43</v>
      </c>
      <c r="I1734">
        <v>1</v>
      </c>
      <c r="J1734">
        <v>15</v>
      </c>
      <c r="K1734">
        <v>153000</v>
      </c>
      <c r="L1734">
        <v>80</v>
      </c>
      <c r="M1734" t="s">
        <v>29</v>
      </c>
      <c r="N1734" t="str">
        <f>_xlfn.XLOOKUP(B1734,tblCustomers[customer_id],tblCustomers[region],"Missing")</f>
        <v>East</v>
      </c>
      <c r="O1734" t="str">
        <f>_xlfn.XLOOKUP(C1734,tblProducts[product_id],tblProducts[product_name],"Missing")</f>
        <v>Support Desk</v>
      </c>
      <c r="P1734" t="str">
        <f>_xlfn.XLOOKUP(C1734,tblProducts[product_id],tblProducts[category],"Missing")</f>
        <v>Service</v>
      </c>
      <c r="Q1734" t="str">
        <f>_xlfn.XLOOKUP(D1734,tblSalesReps[rep_id],tblSalesReps[rep_name],"Missing")</f>
        <v>Sales Rep 20</v>
      </c>
      <c r="R1734" t="str">
        <f>_xlfn.XLOOKUP(D1734,tblSalesReps[rep_id],tblSalesReps[region],"Missing")</f>
        <v>East</v>
      </c>
    </row>
    <row r="1735" spans="1:18">
      <c r="A1735" t="s">
        <v>2267</v>
      </c>
      <c r="B1735" t="s">
        <v>489</v>
      </c>
      <c r="C1735" t="s">
        <v>15</v>
      </c>
      <c r="D1735" t="s">
        <v>22</v>
      </c>
      <c r="E1735" s="1">
        <v>45806</v>
      </c>
      <c r="F1735" s="1">
        <v>45839</v>
      </c>
      <c r="G1735" s="1">
        <v>45839</v>
      </c>
      <c r="H1735" t="s">
        <v>28</v>
      </c>
      <c r="I1735">
        <v>1</v>
      </c>
      <c r="J1735">
        <v>15</v>
      </c>
      <c r="K1735">
        <v>357000</v>
      </c>
      <c r="L1735">
        <v>100</v>
      </c>
      <c r="M1735" t="s">
        <v>29</v>
      </c>
      <c r="N1735" t="str">
        <f>_xlfn.XLOOKUP(B1735,tblCustomers[customer_id],tblCustomers[region],"Missing")</f>
        <v>West</v>
      </c>
      <c r="O1735" t="str">
        <f>_xlfn.XLOOKUP(C1735,tblProducts[product_id],tblProducts[product_name],"Missing")</f>
        <v>CRM Enterprise</v>
      </c>
      <c r="P1735" t="str">
        <f>_xlfn.XLOOKUP(C1735,tblProducts[product_id],tblProducts[category],"Missing")</f>
        <v>CRM</v>
      </c>
      <c r="Q1735" t="str">
        <f>_xlfn.XLOOKUP(D1735,tblSalesReps[rep_id],tblSalesReps[rep_name],"Missing")</f>
        <v>Sales Rep 14</v>
      </c>
      <c r="R1735" t="str">
        <f>_xlfn.XLOOKUP(D1735,tblSalesReps[rep_id],tblSalesReps[region],"Missing")</f>
        <v>West</v>
      </c>
    </row>
    <row r="1736" spans="1:18">
      <c r="A1736" t="s">
        <v>2268</v>
      </c>
      <c r="B1736" t="s">
        <v>1366</v>
      </c>
      <c r="C1736" t="s">
        <v>39</v>
      </c>
      <c r="D1736" t="s">
        <v>32</v>
      </c>
      <c r="E1736" s="1">
        <v>46004</v>
      </c>
      <c r="F1736" s="1">
        <v>46038</v>
      </c>
      <c r="G1736" s="1"/>
      <c r="H1736" t="s">
        <v>43</v>
      </c>
      <c r="I1736">
        <v>1</v>
      </c>
      <c r="J1736">
        <v>0</v>
      </c>
      <c r="K1736">
        <v>180000</v>
      </c>
      <c r="L1736">
        <v>60</v>
      </c>
      <c r="M1736" t="s">
        <v>29</v>
      </c>
      <c r="N1736" t="str">
        <f>_xlfn.XLOOKUP(B1736,tblCustomers[customer_id],tblCustomers[region],"Missing")</f>
        <v>South</v>
      </c>
      <c r="O1736" t="str">
        <f>_xlfn.XLOOKUP(C1736,tblProducts[product_id],tblProducts[product_name],"Missing")</f>
        <v>Support Desk</v>
      </c>
      <c r="P1736" t="str">
        <f>_xlfn.XLOOKUP(C1736,tblProducts[product_id],tblProducts[category],"Missing")</f>
        <v>Service</v>
      </c>
      <c r="Q1736" t="str">
        <f>_xlfn.XLOOKUP(D1736,tblSalesReps[rep_id],tblSalesReps[rep_name],"Missing")</f>
        <v>Sales Rep 04</v>
      </c>
      <c r="R1736" t="str">
        <f>_xlfn.XLOOKUP(D1736,tblSalesReps[rep_id],tblSalesReps[region],"Missing")</f>
        <v>South</v>
      </c>
    </row>
    <row r="1737" spans="1:18">
      <c r="A1737" t="s">
        <v>2269</v>
      </c>
      <c r="B1737" t="s">
        <v>2270</v>
      </c>
      <c r="C1737" t="s">
        <v>26</v>
      </c>
      <c r="D1737" t="s">
        <v>32</v>
      </c>
      <c r="E1737" s="1">
        <v>45834</v>
      </c>
      <c r="F1737" s="1">
        <v>45851</v>
      </c>
      <c r="G1737" s="1"/>
      <c r="H1737" t="s">
        <v>43</v>
      </c>
      <c r="I1737">
        <v>1</v>
      </c>
      <c r="J1737">
        <v>5</v>
      </c>
      <c r="K1737">
        <v>342000</v>
      </c>
      <c r="L1737">
        <v>60</v>
      </c>
      <c r="M1737" t="s">
        <v>29</v>
      </c>
      <c r="N1737" t="str">
        <f>_xlfn.XLOOKUP(B1737,tblCustomers[customer_id],tblCustomers[region],"Missing")</f>
        <v>South</v>
      </c>
      <c r="O1737" t="str">
        <f>_xlfn.XLOOKUP(C1737,tblProducts[product_id],tblProducts[product_name],"Missing")</f>
        <v>Security Suite</v>
      </c>
      <c r="P1737" t="str">
        <f>_xlfn.XLOOKUP(C1737,tblProducts[product_id],tblProducts[category],"Missing")</f>
        <v>Security</v>
      </c>
      <c r="Q1737" t="str">
        <f>_xlfn.XLOOKUP(D1737,tblSalesReps[rep_id],tblSalesReps[rep_name],"Missing")</f>
        <v>Sales Rep 04</v>
      </c>
      <c r="R1737" t="str">
        <f>_xlfn.XLOOKUP(D1737,tblSalesReps[rep_id],tblSalesReps[region],"Missing")</f>
        <v>South</v>
      </c>
    </row>
    <row r="1738" spans="1:18">
      <c r="A1738" t="s">
        <v>2271</v>
      </c>
      <c r="B1738" t="s">
        <v>672</v>
      </c>
      <c r="C1738" t="s">
        <v>62</v>
      </c>
      <c r="D1738" t="s">
        <v>22</v>
      </c>
      <c r="E1738" s="1">
        <v>45988</v>
      </c>
      <c r="F1738" s="1">
        <v>46033</v>
      </c>
      <c r="G1738" s="1"/>
      <c r="H1738" t="s">
        <v>43</v>
      </c>
      <c r="I1738">
        <v>2</v>
      </c>
      <c r="J1738">
        <v>15</v>
      </c>
      <c r="K1738">
        <v>204000</v>
      </c>
      <c r="L1738">
        <v>80</v>
      </c>
      <c r="M1738" t="s">
        <v>29</v>
      </c>
      <c r="N1738" t="str">
        <f>_xlfn.XLOOKUP(B1738,tblCustomers[customer_id],tblCustomers[region],"Missing")</f>
        <v>West</v>
      </c>
      <c r="O1738" t="str">
        <f>_xlfn.XLOOKUP(C1738,tblProducts[product_id],tblProducts[product_name],"Missing")</f>
        <v>CRM Essentials</v>
      </c>
      <c r="P1738" t="str">
        <f>_xlfn.XLOOKUP(C1738,tblProducts[product_id],tblProducts[category],"Missing")</f>
        <v>CRM</v>
      </c>
      <c r="Q1738" t="str">
        <f>_xlfn.XLOOKUP(D1738,tblSalesReps[rep_id],tblSalesReps[rep_name],"Missing")</f>
        <v>Sales Rep 14</v>
      </c>
      <c r="R1738" t="str">
        <f>_xlfn.XLOOKUP(D1738,tblSalesReps[rep_id],tblSalesReps[region],"Missing")</f>
        <v>West</v>
      </c>
    </row>
    <row r="1739" spans="1:18">
      <c r="A1739" t="s">
        <v>2272</v>
      </c>
      <c r="B1739" t="s">
        <v>471</v>
      </c>
      <c r="C1739" t="s">
        <v>39</v>
      </c>
      <c r="D1739" t="s">
        <v>119</v>
      </c>
      <c r="E1739" s="1">
        <v>45841</v>
      </c>
      <c r="F1739" s="1">
        <v>45859</v>
      </c>
      <c r="G1739" s="1">
        <v>45859</v>
      </c>
      <c r="H1739" t="s">
        <v>17</v>
      </c>
      <c r="I1739">
        <v>1</v>
      </c>
      <c r="J1739">
        <v>5</v>
      </c>
      <c r="K1739">
        <v>171000</v>
      </c>
      <c r="L1739">
        <v>0</v>
      </c>
      <c r="M1739" t="s">
        <v>47</v>
      </c>
      <c r="N1739" t="str">
        <f>_xlfn.XLOOKUP(B1739,tblCustomers[customer_id],tblCustomers[region],"Missing")</f>
        <v>North</v>
      </c>
      <c r="O1739" t="str">
        <f>_xlfn.XLOOKUP(C1739,tblProducts[product_id],tblProducts[product_name],"Missing")</f>
        <v>Support Desk</v>
      </c>
      <c r="P1739" t="str">
        <f>_xlfn.XLOOKUP(C1739,tblProducts[product_id],tblProducts[category],"Missing")</f>
        <v>Service</v>
      </c>
      <c r="Q1739" t="str">
        <f>_xlfn.XLOOKUP(D1739,tblSalesReps[rep_id],tblSalesReps[rep_name],"Missing")</f>
        <v>Sales Rep 10</v>
      </c>
      <c r="R1739" t="str">
        <f>_xlfn.XLOOKUP(D1739,tblSalesReps[rep_id],tblSalesReps[region],"Missing")</f>
        <v>North</v>
      </c>
    </row>
    <row r="1740" spans="1:18">
      <c r="A1740" t="s">
        <v>2273</v>
      </c>
      <c r="B1740" t="s">
        <v>369</v>
      </c>
      <c r="C1740" t="s">
        <v>21</v>
      </c>
      <c r="D1740" t="s">
        <v>168</v>
      </c>
      <c r="E1740" s="1">
        <v>45951</v>
      </c>
      <c r="F1740" s="1">
        <v>46011</v>
      </c>
      <c r="G1740" s="1">
        <v>46011</v>
      </c>
      <c r="H1740" t="s">
        <v>17</v>
      </c>
      <c r="I1740">
        <v>1</v>
      </c>
      <c r="J1740">
        <v>20</v>
      </c>
      <c r="K1740">
        <v>192000</v>
      </c>
      <c r="L1740">
        <v>0</v>
      </c>
      <c r="M1740" t="s">
        <v>33</v>
      </c>
      <c r="N1740" t="str">
        <f>_xlfn.XLOOKUP(B1740,tblCustomers[customer_id],tblCustomers[region],"Missing")</f>
        <v>East</v>
      </c>
      <c r="O1740" t="str">
        <f>_xlfn.XLOOKUP(C1740,tblProducts[product_id],tblProducts[product_name],"Missing")</f>
        <v>Workflow Automate</v>
      </c>
      <c r="P1740" t="str">
        <f>_xlfn.XLOOKUP(C1740,tblProducts[product_id],tblProducts[category],"Missing")</f>
        <v>Automation</v>
      </c>
      <c r="Q1740" t="str">
        <f>_xlfn.XLOOKUP(D1740,tblSalesReps[rep_id],tblSalesReps[rep_name],"Missing")</f>
        <v>Sales Rep 17</v>
      </c>
      <c r="R1740" t="str">
        <f>_xlfn.XLOOKUP(D1740,tblSalesReps[rep_id],tblSalesReps[region],"Missing")</f>
        <v>East</v>
      </c>
    </row>
    <row r="1741" spans="1:18">
      <c r="A1741" t="s">
        <v>2274</v>
      </c>
      <c r="B1741" t="s">
        <v>775</v>
      </c>
      <c r="C1741" t="s">
        <v>81</v>
      </c>
      <c r="D1741" t="s">
        <v>40</v>
      </c>
      <c r="E1741" s="1">
        <v>45759</v>
      </c>
      <c r="F1741" s="1">
        <v>45773</v>
      </c>
      <c r="G1741" s="1">
        <v>45773</v>
      </c>
      <c r="H1741" t="s">
        <v>28</v>
      </c>
      <c r="I1741">
        <v>3</v>
      </c>
      <c r="J1741">
        <v>15</v>
      </c>
      <c r="K1741">
        <v>765000</v>
      </c>
      <c r="L1741">
        <v>100</v>
      </c>
      <c r="M1741" t="s">
        <v>29</v>
      </c>
      <c r="N1741" t="str">
        <f>_xlfn.XLOOKUP(B1741,tblCustomers[customer_id],tblCustomers[region],"Missing")</f>
        <v>West</v>
      </c>
      <c r="O1741" t="str">
        <f>_xlfn.XLOOKUP(C1741,tblProducts[product_id],tblProducts[product_name],"Missing")</f>
        <v>Analytics Cloud</v>
      </c>
      <c r="P1741" t="str">
        <f>_xlfn.XLOOKUP(C1741,tblProducts[product_id],tblProducts[category],"Missing")</f>
        <v>Analytics</v>
      </c>
      <c r="Q1741" t="str">
        <f>_xlfn.XLOOKUP(D1741,tblSalesReps[rep_id],tblSalesReps[rep_name],"Missing")</f>
        <v>Sales Rep 13</v>
      </c>
      <c r="R1741" t="str">
        <f>_xlfn.XLOOKUP(D1741,tblSalesReps[rep_id],tblSalesReps[region],"Missing")</f>
        <v>West</v>
      </c>
    </row>
    <row r="1742" spans="1:18">
      <c r="A1742" t="s">
        <v>2275</v>
      </c>
      <c r="B1742" t="s">
        <v>966</v>
      </c>
      <c r="C1742" t="s">
        <v>15</v>
      </c>
      <c r="D1742" t="s">
        <v>32</v>
      </c>
      <c r="E1742" s="1">
        <v>45762</v>
      </c>
      <c r="F1742" s="1">
        <v>45817</v>
      </c>
      <c r="G1742" s="1">
        <v>45817</v>
      </c>
      <c r="H1742" t="s">
        <v>17</v>
      </c>
      <c r="I1742">
        <v>1</v>
      </c>
      <c r="J1742">
        <v>5</v>
      </c>
      <c r="K1742">
        <v>399000</v>
      </c>
      <c r="L1742">
        <v>0</v>
      </c>
      <c r="M1742" t="s">
        <v>82</v>
      </c>
      <c r="N1742" t="str">
        <f>_xlfn.XLOOKUP(B1742,tblCustomers[customer_id],tblCustomers[region],"Missing")</f>
        <v>South</v>
      </c>
      <c r="O1742" t="str">
        <f>_xlfn.XLOOKUP(C1742,tblProducts[product_id],tblProducts[product_name],"Missing")</f>
        <v>CRM Enterprise</v>
      </c>
      <c r="P1742" t="str">
        <f>_xlfn.XLOOKUP(C1742,tblProducts[product_id],tblProducts[category],"Missing")</f>
        <v>CRM</v>
      </c>
      <c r="Q1742" t="str">
        <f>_xlfn.XLOOKUP(D1742,tblSalesReps[rep_id],tblSalesReps[rep_name],"Missing")</f>
        <v>Sales Rep 04</v>
      </c>
      <c r="R1742" t="str">
        <f>_xlfn.XLOOKUP(D1742,tblSalesReps[rep_id],tblSalesReps[region],"Missing")</f>
        <v>South</v>
      </c>
    </row>
    <row r="1743" spans="1:18">
      <c r="A1743" t="s">
        <v>2276</v>
      </c>
      <c r="B1743" t="s">
        <v>630</v>
      </c>
      <c r="C1743" t="s">
        <v>62</v>
      </c>
      <c r="D1743" t="s">
        <v>46</v>
      </c>
      <c r="E1743" s="1">
        <v>45955</v>
      </c>
      <c r="F1743" s="1">
        <v>46039</v>
      </c>
      <c r="G1743" s="1"/>
      <c r="H1743" t="s">
        <v>43</v>
      </c>
      <c r="I1743">
        <v>1</v>
      </c>
      <c r="J1743">
        <v>10</v>
      </c>
      <c r="K1743">
        <v>108000</v>
      </c>
      <c r="L1743">
        <v>80</v>
      </c>
      <c r="M1743" t="s">
        <v>29</v>
      </c>
      <c r="N1743" t="str">
        <f>_xlfn.XLOOKUP(B1743,tblCustomers[customer_id],tblCustomers[region],"Missing")</f>
        <v>South</v>
      </c>
      <c r="O1743" t="str">
        <f>_xlfn.XLOOKUP(C1743,tblProducts[product_id],tblProducts[product_name],"Missing")</f>
        <v>CRM Essentials</v>
      </c>
      <c r="P1743" t="str">
        <f>_xlfn.XLOOKUP(C1743,tblProducts[product_id],tblProducts[category],"Missing")</f>
        <v>CRM</v>
      </c>
      <c r="Q1743" t="str">
        <f>_xlfn.XLOOKUP(D1743,tblSalesReps[rep_id],tblSalesReps[rep_name],"Missing")</f>
        <v>Sales Rep 01</v>
      </c>
      <c r="R1743" t="str">
        <f>_xlfn.XLOOKUP(D1743,tblSalesReps[rep_id],tblSalesReps[region],"Missing")</f>
        <v>South</v>
      </c>
    </row>
    <row r="1744" spans="1:18">
      <c r="A1744" t="s">
        <v>2277</v>
      </c>
      <c r="B1744" t="s">
        <v>282</v>
      </c>
      <c r="C1744" t="s">
        <v>21</v>
      </c>
      <c r="D1744" t="s">
        <v>53</v>
      </c>
      <c r="E1744" s="1">
        <v>45905</v>
      </c>
      <c r="F1744" s="1">
        <v>45919</v>
      </c>
      <c r="G1744" s="1"/>
      <c r="H1744" t="s">
        <v>43</v>
      </c>
      <c r="I1744">
        <v>3</v>
      </c>
      <c r="J1744">
        <v>0</v>
      </c>
      <c r="K1744">
        <v>720000</v>
      </c>
      <c r="L1744">
        <v>40</v>
      </c>
      <c r="M1744" t="s">
        <v>29</v>
      </c>
      <c r="N1744" t="str">
        <f>_xlfn.XLOOKUP(B1744,tblCustomers[customer_id],tblCustomers[region],"Missing")</f>
        <v>East</v>
      </c>
      <c r="O1744" t="str">
        <f>_xlfn.XLOOKUP(C1744,tblProducts[product_id],tblProducts[product_name],"Missing")</f>
        <v>Workflow Automate</v>
      </c>
      <c r="P1744" t="str">
        <f>_xlfn.XLOOKUP(C1744,tblProducts[product_id],tblProducts[category],"Missing")</f>
        <v>Automation</v>
      </c>
      <c r="Q1744" t="str">
        <f>_xlfn.XLOOKUP(D1744,tblSalesReps[rep_id],tblSalesReps[rep_name],"Missing")</f>
        <v>Sales Rep 16</v>
      </c>
      <c r="R1744" t="str">
        <f>_xlfn.XLOOKUP(D1744,tblSalesReps[rep_id],tblSalesReps[region],"Missing")</f>
        <v>East</v>
      </c>
    </row>
    <row r="1745" spans="1:18">
      <c r="A1745" t="s">
        <v>2278</v>
      </c>
      <c r="B1745" t="s">
        <v>181</v>
      </c>
      <c r="C1745" t="s">
        <v>81</v>
      </c>
      <c r="D1745" t="s">
        <v>32</v>
      </c>
      <c r="E1745" s="1">
        <v>45952</v>
      </c>
      <c r="F1745" s="1">
        <v>45991</v>
      </c>
      <c r="G1745" s="1"/>
      <c r="H1745" t="s">
        <v>43</v>
      </c>
      <c r="I1745">
        <v>2</v>
      </c>
      <c r="J1745">
        <v>5</v>
      </c>
      <c r="K1745">
        <v>570000</v>
      </c>
      <c r="L1745">
        <v>40</v>
      </c>
      <c r="M1745" t="s">
        <v>29</v>
      </c>
      <c r="N1745" t="str">
        <f>_xlfn.XLOOKUP(B1745,tblCustomers[customer_id],tblCustomers[region],"Missing")</f>
        <v>South</v>
      </c>
      <c r="O1745" t="str">
        <f>_xlfn.XLOOKUP(C1745,tblProducts[product_id],tblProducts[product_name],"Missing")</f>
        <v>Analytics Cloud</v>
      </c>
      <c r="P1745" t="str">
        <f>_xlfn.XLOOKUP(C1745,tblProducts[product_id],tblProducts[category],"Missing")</f>
        <v>Analytics</v>
      </c>
      <c r="Q1745" t="str">
        <f>_xlfn.XLOOKUP(D1745,tblSalesReps[rep_id],tblSalesReps[rep_name],"Missing")</f>
        <v>Sales Rep 04</v>
      </c>
      <c r="R1745" t="str">
        <f>_xlfn.XLOOKUP(D1745,tblSalesReps[rep_id],tblSalesReps[region],"Missing")</f>
        <v>South</v>
      </c>
    </row>
    <row r="1746" spans="1:18">
      <c r="A1746" t="s">
        <v>2279</v>
      </c>
      <c r="B1746" t="s">
        <v>1287</v>
      </c>
      <c r="C1746" t="s">
        <v>81</v>
      </c>
      <c r="D1746" t="s">
        <v>119</v>
      </c>
      <c r="E1746" s="1">
        <v>45813</v>
      </c>
      <c r="F1746" s="1">
        <v>45876</v>
      </c>
      <c r="G1746" s="1">
        <v>45876</v>
      </c>
      <c r="H1746" t="s">
        <v>17</v>
      </c>
      <c r="I1746">
        <v>1</v>
      </c>
      <c r="J1746">
        <v>20</v>
      </c>
      <c r="K1746">
        <v>240000</v>
      </c>
      <c r="L1746">
        <v>0</v>
      </c>
      <c r="M1746" t="s">
        <v>82</v>
      </c>
      <c r="N1746" t="str">
        <f>_xlfn.XLOOKUP(B1746,tblCustomers[customer_id],tblCustomers[region],"Missing")</f>
        <v>North</v>
      </c>
      <c r="O1746" t="str">
        <f>_xlfn.XLOOKUP(C1746,tblProducts[product_id],tblProducts[product_name],"Missing")</f>
        <v>Analytics Cloud</v>
      </c>
      <c r="P1746" t="str">
        <f>_xlfn.XLOOKUP(C1746,tblProducts[product_id],tblProducts[category],"Missing")</f>
        <v>Analytics</v>
      </c>
      <c r="Q1746" t="str">
        <f>_xlfn.XLOOKUP(D1746,tblSalesReps[rep_id],tblSalesReps[rep_name],"Missing")</f>
        <v>Sales Rep 10</v>
      </c>
      <c r="R1746" t="str">
        <f>_xlfn.XLOOKUP(D1746,tblSalesReps[rep_id],tblSalesReps[region],"Missing")</f>
        <v>North</v>
      </c>
    </row>
    <row r="1747" spans="1:18">
      <c r="A1747" t="s">
        <v>2280</v>
      </c>
      <c r="B1747" t="s">
        <v>376</v>
      </c>
      <c r="C1747" t="s">
        <v>21</v>
      </c>
      <c r="D1747" t="s">
        <v>70</v>
      </c>
      <c r="E1747" s="1">
        <v>45734</v>
      </c>
      <c r="F1747" s="1">
        <v>45806</v>
      </c>
      <c r="G1747" s="1">
        <v>45806</v>
      </c>
      <c r="H1747" t="s">
        <v>28</v>
      </c>
      <c r="I1747">
        <v>3</v>
      </c>
      <c r="J1747">
        <v>20</v>
      </c>
      <c r="K1747">
        <v>576000</v>
      </c>
      <c r="L1747">
        <v>100</v>
      </c>
      <c r="M1747" t="s">
        <v>29</v>
      </c>
      <c r="N1747" t="str">
        <f>_xlfn.XLOOKUP(B1747,tblCustomers[customer_id],tblCustomers[region],"Missing")</f>
        <v>West</v>
      </c>
      <c r="O1747" t="str">
        <f>_xlfn.XLOOKUP(C1747,tblProducts[product_id],tblProducts[product_name],"Missing")</f>
        <v>Workflow Automate</v>
      </c>
      <c r="P1747" t="str">
        <f>_xlfn.XLOOKUP(C1747,tblProducts[product_id],tblProducts[category],"Missing")</f>
        <v>Automation</v>
      </c>
      <c r="Q1747" t="str">
        <f>_xlfn.XLOOKUP(D1747,tblSalesReps[rep_id],tblSalesReps[rep_name],"Missing")</f>
        <v>Sales Rep 11</v>
      </c>
      <c r="R1747" t="str">
        <f>_xlfn.XLOOKUP(D1747,tblSalesReps[rep_id],tblSalesReps[region],"Missing")</f>
        <v>West</v>
      </c>
    </row>
    <row r="1748" spans="1:18">
      <c r="A1748" t="s">
        <v>2281</v>
      </c>
      <c r="B1748" t="s">
        <v>524</v>
      </c>
      <c r="C1748" t="s">
        <v>21</v>
      </c>
      <c r="D1748" t="s">
        <v>126</v>
      </c>
      <c r="E1748" s="1">
        <v>45715</v>
      </c>
      <c r="F1748" s="1">
        <v>45735</v>
      </c>
      <c r="G1748" s="1">
        <v>45735</v>
      </c>
      <c r="H1748" t="s">
        <v>28</v>
      </c>
      <c r="I1748">
        <v>1</v>
      </c>
      <c r="J1748">
        <v>15</v>
      </c>
      <c r="K1748">
        <v>204000</v>
      </c>
      <c r="L1748">
        <v>100</v>
      </c>
      <c r="M1748" t="s">
        <v>29</v>
      </c>
      <c r="N1748" t="str">
        <f>_xlfn.XLOOKUP(B1748,tblCustomers[customer_id],tblCustomers[region],"Missing")</f>
        <v>South</v>
      </c>
      <c r="O1748" t="str">
        <f>_xlfn.XLOOKUP(C1748,tblProducts[product_id],tblProducts[product_name],"Missing")</f>
        <v>Workflow Automate</v>
      </c>
      <c r="P1748" t="str">
        <f>_xlfn.XLOOKUP(C1748,tblProducts[product_id],tblProducts[category],"Missing")</f>
        <v>Automation</v>
      </c>
      <c r="Q1748" t="str">
        <f>_xlfn.XLOOKUP(D1748,tblSalesReps[rep_id],tblSalesReps[rep_name],"Missing")</f>
        <v>Sales Rep 02</v>
      </c>
      <c r="R1748" t="str">
        <f>_xlfn.XLOOKUP(D1748,tblSalesReps[rep_id],tblSalesReps[region],"Missing")</f>
        <v>South</v>
      </c>
    </row>
    <row r="1749" spans="1:18">
      <c r="A1749" t="s">
        <v>2282</v>
      </c>
      <c r="B1749" t="s">
        <v>236</v>
      </c>
      <c r="C1749" t="s">
        <v>21</v>
      </c>
      <c r="D1749" t="s">
        <v>32</v>
      </c>
      <c r="E1749" s="1">
        <v>45976</v>
      </c>
      <c r="F1749" s="1">
        <v>46037</v>
      </c>
      <c r="G1749" s="1"/>
      <c r="H1749" t="s">
        <v>43</v>
      </c>
      <c r="I1749">
        <v>1</v>
      </c>
      <c r="J1749">
        <v>10</v>
      </c>
      <c r="K1749">
        <v>216000</v>
      </c>
      <c r="L1749">
        <v>20</v>
      </c>
      <c r="M1749" t="s">
        <v>29</v>
      </c>
      <c r="N1749" t="str">
        <f>_xlfn.XLOOKUP(B1749,tblCustomers[customer_id],tblCustomers[region],"Missing")</f>
        <v>South</v>
      </c>
      <c r="O1749" t="str">
        <f>_xlfn.XLOOKUP(C1749,tblProducts[product_id],tblProducts[product_name],"Missing")</f>
        <v>Workflow Automate</v>
      </c>
      <c r="P1749" t="str">
        <f>_xlfn.XLOOKUP(C1749,tblProducts[product_id],tblProducts[category],"Missing")</f>
        <v>Automation</v>
      </c>
      <c r="Q1749" t="str">
        <f>_xlfn.XLOOKUP(D1749,tblSalesReps[rep_id],tblSalesReps[rep_name],"Missing")</f>
        <v>Sales Rep 04</v>
      </c>
      <c r="R1749" t="str">
        <f>_xlfn.XLOOKUP(D1749,tblSalesReps[rep_id],tblSalesReps[region],"Missing")</f>
        <v>South</v>
      </c>
    </row>
    <row r="1750" spans="1:18">
      <c r="A1750" t="s">
        <v>2283</v>
      </c>
      <c r="B1750" t="s">
        <v>451</v>
      </c>
      <c r="C1750" t="s">
        <v>26</v>
      </c>
      <c r="D1750" t="s">
        <v>46</v>
      </c>
      <c r="E1750" s="1">
        <v>45876</v>
      </c>
      <c r="F1750" s="1">
        <v>45905</v>
      </c>
      <c r="G1750" s="1">
        <v>45905</v>
      </c>
      <c r="H1750" t="s">
        <v>28</v>
      </c>
      <c r="I1750">
        <v>1</v>
      </c>
      <c r="J1750">
        <v>10</v>
      </c>
      <c r="K1750">
        <v>324000</v>
      </c>
      <c r="L1750">
        <v>100</v>
      </c>
      <c r="M1750" t="s">
        <v>29</v>
      </c>
      <c r="N1750" t="str">
        <f>_xlfn.XLOOKUP(B1750,tblCustomers[customer_id],tblCustomers[region],"Missing")</f>
        <v>South</v>
      </c>
      <c r="O1750" t="str">
        <f>_xlfn.XLOOKUP(C1750,tblProducts[product_id],tblProducts[product_name],"Missing")</f>
        <v>Security Suite</v>
      </c>
      <c r="P1750" t="str">
        <f>_xlfn.XLOOKUP(C1750,tblProducts[product_id],tblProducts[category],"Missing")</f>
        <v>Security</v>
      </c>
      <c r="Q1750" t="str">
        <f>_xlfn.XLOOKUP(D1750,tblSalesReps[rep_id],tblSalesReps[rep_name],"Missing")</f>
        <v>Sales Rep 01</v>
      </c>
      <c r="R1750" t="str">
        <f>_xlfn.XLOOKUP(D1750,tblSalesReps[rep_id],tblSalesReps[region],"Missing")</f>
        <v>South</v>
      </c>
    </row>
    <row r="1751" spans="1:18">
      <c r="A1751" t="s">
        <v>2284</v>
      </c>
      <c r="B1751" t="s">
        <v>193</v>
      </c>
      <c r="C1751" t="s">
        <v>26</v>
      </c>
      <c r="D1751" t="s">
        <v>53</v>
      </c>
      <c r="E1751" s="1">
        <v>45984</v>
      </c>
      <c r="F1751" s="1">
        <v>45996</v>
      </c>
      <c r="G1751" s="1">
        <v>45996</v>
      </c>
      <c r="H1751" t="s">
        <v>17</v>
      </c>
      <c r="I1751">
        <v>1</v>
      </c>
      <c r="J1751">
        <v>10</v>
      </c>
      <c r="K1751">
        <v>324000</v>
      </c>
      <c r="L1751">
        <v>0</v>
      </c>
      <c r="M1751" t="s">
        <v>18</v>
      </c>
      <c r="N1751" t="str">
        <f>_xlfn.XLOOKUP(B1751,tblCustomers[customer_id],tblCustomers[region],"Missing")</f>
        <v>East</v>
      </c>
      <c r="O1751" t="str">
        <f>_xlfn.XLOOKUP(C1751,tblProducts[product_id],tblProducts[product_name],"Missing")</f>
        <v>Security Suite</v>
      </c>
      <c r="P1751" t="str">
        <f>_xlfn.XLOOKUP(C1751,tblProducts[product_id],tblProducts[category],"Missing")</f>
        <v>Security</v>
      </c>
      <c r="Q1751" t="str">
        <f>_xlfn.XLOOKUP(D1751,tblSalesReps[rep_id],tblSalesReps[rep_name],"Missing")</f>
        <v>Sales Rep 16</v>
      </c>
      <c r="R1751" t="str">
        <f>_xlfn.XLOOKUP(D1751,tblSalesReps[rep_id],tblSalesReps[region],"Missing")</f>
        <v>East</v>
      </c>
    </row>
    <row r="1752" spans="1:18">
      <c r="A1752" t="s">
        <v>2285</v>
      </c>
      <c r="B1752" t="s">
        <v>367</v>
      </c>
      <c r="C1752" t="s">
        <v>15</v>
      </c>
      <c r="D1752" t="s">
        <v>56</v>
      </c>
      <c r="E1752" s="1">
        <v>45818</v>
      </c>
      <c r="F1752" s="1">
        <v>45825</v>
      </c>
      <c r="G1752" s="1">
        <v>45825</v>
      </c>
      <c r="H1752" t="s">
        <v>28</v>
      </c>
      <c r="I1752">
        <v>1</v>
      </c>
      <c r="J1752">
        <v>5</v>
      </c>
      <c r="K1752">
        <v>399000</v>
      </c>
      <c r="L1752">
        <v>100</v>
      </c>
      <c r="M1752" t="s">
        <v>29</v>
      </c>
      <c r="N1752" t="str">
        <f>_xlfn.XLOOKUP(B1752,tblCustomers[customer_id],tblCustomers[region],"Missing")</f>
        <v>East</v>
      </c>
      <c r="O1752" t="str">
        <f>_xlfn.XLOOKUP(C1752,tblProducts[product_id],tblProducts[product_name],"Missing")</f>
        <v>CRM Enterprise</v>
      </c>
      <c r="P1752" t="str">
        <f>_xlfn.XLOOKUP(C1752,tblProducts[product_id],tblProducts[category],"Missing")</f>
        <v>CRM</v>
      </c>
      <c r="Q1752" t="str">
        <f>_xlfn.XLOOKUP(D1752,tblSalesReps[rep_id],tblSalesReps[rep_name],"Missing")</f>
        <v>Sales Rep 20</v>
      </c>
      <c r="R1752" t="str">
        <f>_xlfn.XLOOKUP(D1752,tblSalesReps[rep_id],tblSalesReps[region],"Missing")</f>
        <v>East</v>
      </c>
    </row>
    <row r="1753" spans="1:18">
      <c r="A1753" t="s">
        <v>2286</v>
      </c>
      <c r="B1753" t="s">
        <v>1349</v>
      </c>
      <c r="C1753" t="s">
        <v>81</v>
      </c>
      <c r="D1753" t="s">
        <v>27</v>
      </c>
      <c r="E1753" s="1">
        <v>45964</v>
      </c>
      <c r="F1753" s="1">
        <v>46043</v>
      </c>
      <c r="G1753" s="1"/>
      <c r="H1753" t="s">
        <v>43</v>
      </c>
      <c r="I1753">
        <v>3</v>
      </c>
      <c r="J1753">
        <v>0</v>
      </c>
      <c r="K1753">
        <v>900000</v>
      </c>
      <c r="L1753">
        <v>40</v>
      </c>
      <c r="M1753" t="s">
        <v>29</v>
      </c>
      <c r="N1753" t="str">
        <f>_xlfn.XLOOKUP(B1753,tblCustomers[customer_id],tblCustomers[region],"Missing")</f>
        <v>North</v>
      </c>
      <c r="O1753" t="str">
        <f>_xlfn.XLOOKUP(C1753,tblProducts[product_id],tblProducts[product_name],"Missing")</f>
        <v>Analytics Cloud</v>
      </c>
      <c r="P1753" t="str">
        <f>_xlfn.XLOOKUP(C1753,tblProducts[product_id],tblProducts[category],"Missing")</f>
        <v>Analytics</v>
      </c>
      <c r="Q1753" t="str">
        <f>_xlfn.XLOOKUP(D1753,tblSalesReps[rep_id],tblSalesReps[rep_name],"Missing")</f>
        <v>Sales Rep 06</v>
      </c>
      <c r="R1753" t="str">
        <f>_xlfn.XLOOKUP(D1753,tblSalesReps[rep_id],tblSalesReps[region],"Missing")</f>
        <v>North</v>
      </c>
    </row>
    <row r="1754" spans="1:18">
      <c r="A1754" t="s">
        <v>2287</v>
      </c>
      <c r="B1754" t="s">
        <v>394</v>
      </c>
      <c r="C1754" t="s">
        <v>81</v>
      </c>
      <c r="D1754" t="s">
        <v>27</v>
      </c>
      <c r="E1754" s="1">
        <v>45914</v>
      </c>
      <c r="F1754" s="1">
        <v>45984</v>
      </c>
      <c r="G1754" s="1">
        <v>45984</v>
      </c>
      <c r="H1754" t="s">
        <v>17</v>
      </c>
      <c r="I1754">
        <v>1</v>
      </c>
      <c r="J1754">
        <v>15</v>
      </c>
      <c r="K1754">
        <v>255000</v>
      </c>
      <c r="L1754">
        <v>0</v>
      </c>
      <c r="M1754" t="s">
        <v>33</v>
      </c>
      <c r="N1754" t="str">
        <f>_xlfn.XLOOKUP(B1754,tblCustomers[customer_id],tblCustomers[region],"Missing")</f>
        <v>North</v>
      </c>
      <c r="O1754" t="str">
        <f>_xlfn.XLOOKUP(C1754,tblProducts[product_id],tblProducts[product_name],"Missing")</f>
        <v>Analytics Cloud</v>
      </c>
      <c r="P1754" t="str">
        <f>_xlfn.XLOOKUP(C1754,tblProducts[product_id],tblProducts[category],"Missing")</f>
        <v>Analytics</v>
      </c>
      <c r="Q1754" t="str">
        <f>_xlfn.XLOOKUP(D1754,tblSalesReps[rep_id],tblSalesReps[rep_name],"Missing")</f>
        <v>Sales Rep 06</v>
      </c>
      <c r="R1754" t="str">
        <f>_xlfn.XLOOKUP(D1754,tblSalesReps[rep_id],tblSalesReps[region],"Missing")</f>
        <v>North</v>
      </c>
    </row>
    <row r="1755" spans="1:18">
      <c r="A1755" t="s">
        <v>2288</v>
      </c>
      <c r="B1755" t="s">
        <v>859</v>
      </c>
      <c r="C1755" t="s">
        <v>26</v>
      </c>
      <c r="D1755" t="s">
        <v>91</v>
      </c>
      <c r="E1755" s="1">
        <v>45666</v>
      </c>
      <c r="F1755" s="1">
        <v>45685</v>
      </c>
      <c r="G1755" s="1">
        <v>45685</v>
      </c>
      <c r="H1755" t="s">
        <v>17</v>
      </c>
      <c r="I1755">
        <v>3</v>
      </c>
      <c r="J1755">
        <v>15</v>
      </c>
      <c r="K1755">
        <v>918000</v>
      </c>
      <c r="L1755">
        <v>0</v>
      </c>
      <c r="M1755" t="s">
        <v>47</v>
      </c>
      <c r="N1755" t="str">
        <f>_xlfn.XLOOKUP(B1755,tblCustomers[customer_id],tblCustomers[region],"Missing")</f>
        <v>South</v>
      </c>
      <c r="O1755" t="str">
        <f>_xlfn.XLOOKUP(C1755,tblProducts[product_id],tblProducts[product_name],"Missing")</f>
        <v>Security Suite</v>
      </c>
      <c r="P1755" t="str">
        <f>_xlfn.XLOOKUP(C1755,tblProducts[product_id],tblProducts[category],"Missing")</f>
        <v>Security</v>
      </c>
      <c r="Q1755" t="str">
        <f>_xlfn.XLOOKUP(D1755,tblSalesReps[rep_id],tblSalesReps[rep_name],"Missing")</f>
        <v>Sales Rep 03</v>
      </c>
      <c r="R1755" t="str">
        <f>_xlfn.XLOOKUP(D1755,tblSalesReps[rep_id],tblSalesReps[region],"Missing")</f>
        <v>South</v>
      </c>
    </row>
    <row r="1756" spans="1:18">
      <c r="A1756" t="s">
        <v>2289</v>
      </c>
      <c r="B1756" t="s">
        <v>215</v>
      </c>
      <c r="C1756" t="s">
        <v>39</v>
      </c>
      <c r="D1756" t="s">
        <v>16</v>
      </c>
      <c r="E1756" s="1">
        <v>45679</v>
      </c>
      <c r="F1756" s="1">
        <v>45713</v>
      </c>
      <c r="G1756" s="1">
        <v>45713</v>
      </c>
      <c r="H1756" t="s">
        <v>17</v>
      </c>
      <c r="I1756">
        <v>2</v>
      </c>
      <c r="J1756">
        <v>0</v>
      </c>
      <c r="K1756">
        <v>360000</v>
      </c>
      <c r="L1756">
        <v>0</v>
      </c>
      <c r="M1756" t="s">
        <v>82</v>
      </c>
      <c r="N1756" t="str">
        <f>_xlfn.XLOOKUP(B1756,tblCustomers[customer_id],tblCustomers[region],"Missing")</f>
        <v>North</v>
      </c>
      <c r="O1756" t="str">
        <f>_xlfn.XLOOKUP(C1756,tblProducts[product_id],tblProducts[product_name],"Missing")</f>
        <v>Support Desk</v>
      </c>
      <c r="P1756" t="str">
        <f>_xlfn.XLOOKUP(C1756,tblProducts[product_id],tblProducts[category],"Missing")</f>
        <v>Service</v>
      </c>
      <c r="Q1756" t="str">
        <f>_xlfn.XLOOKUP(D1756,tblSalesReps[rep_id],tblSalesReps[rep_name],"Missing")</f>
        <v>Sales Rep 08</v>
      </c>
      <c r="R1756" t="str">
        <f>_xlfn.XLOOKUP(D1756,tblSalesReps[rep_id],tblSalesReps[region],"Missing")</f>
        <v>North</v>
      </c>
    </row>
    <row r="1757" spans="1:18">
      <c r="A1757" t="s">
        <v>2290</v>
      </c>
      <c r="B1757" t="s">
        <v>112</v>
      </c>
      <c r="C1757" t="s">
        <v>62</v>
      </c>
      <c r="D1757" t="s">
        <v>78</v>
      </c>
      <c r="E1757" s="1">
        <v>45870</v>
      </c>
      <c r="F1757" s="1">
        <v>45893</v>
      </c>
      <c r="G1757" s="1"/>
      <c r="H1757" t="s">
        <v>43</v>
      </c>
      <c r="I1757">
        <v>1</v>
      </c>
      <c r="J1757">
        <v>5</v>
      </c>
      <c r="K1757">
        <v>114000</v>
      </c>
      <c r="L1757">
        <v>20</v>
      </c>
      <c r="M1757" t="s">
        <v>29</v>
      </c>
      <c r="N1757" t="str">
        <f>_xlfn.XLOOKUP(B1757,tblCustomers[customer_id],tblCustomers[region],"Missing")</f>
        <v>West</v>
      </c>
      <c r="O1757" t="str">
        <f>_xlfn.XLOOKUP(C1757,tblProducts[product_id],tblProducts[product_name],"Missing")</f>
        <v>CRM Essentials</v>
      </c>
      <c r="P1757" t="str">
        <f>_xlfn.XLOOKUP(C1757,tblProducts[product_id],tblProducts[category],"Missing")</f>
        <v>CRM</v>
      </c>
      <c r="Q1757" t="str">
        <f>_xlfn.XLOOKUP(D1757,tblSalesReps[rep_id],tblSalesReps[rep_name],"Missing")</f>
        <v>Sales Rep 12</v>
      </c>
      <c r="R1757" t="str">
        <f>_xlfn.XLOOKUP(D1757,tblSalesReps[rep_id],tblSalesReps[region],"Missing")</f>
        <v>West</v>
      </c>
    </row>
    <row r="1758" spans="1:18">
      <c r="A1758" t="s">
        <v>2291</v>
      </c>
      <c r="B1758" t="s">
        <v>339</v>
      </c>
      <c r="C1758" t="s">
        <v>39</v>
      </c>
      <c r="D1758" t="s">
        <v>70</v>
      </c>
      <c r="E1758" s="1">
        <v>45720</v>
      </c>
      <c r="F1758" s="1">
        <v>45743</v>
      </c>
      <c r="G1758" s="1">
        <v>45743</v>
      </c>
      <c r="H1758" t="s">
        <v>17</v>
      </c>
      <c r="I1758">
        <v>1</v>
      </c>
      <c r="J1758">
        <v>20</v>
      </c>
      <c r="K1758">
        <v>144000</v>
      </c>
      <c r="L1758">
        <v>0</v>
      </c>
      <c r="M1758" t="s">
        <v>47</v>
      </c>
      <c r="N1758" t="str">
        <f>_xlfn.XLOOKUP(B1758,tblCustomers[customer_id],tblCustomers[region],"Missing")</f>
        <v>West</v>
      </c>
      <c r="O1758" t="str">
        <f>_xlfn.XLOOKUP(C1758,tblProducts[product_id],tblProducts[product_name],"Missing")</f>
        <v>Support Desk</v>
      </c>
      <c r="P1758" t="str">
        <f>_xlfn.XLOOKUP(C1758,tblProducts[product_id],tblProducts[category],"Missing")</f>
        <v>Service</v>
      </c>
      <c r="Q1758" t="str">
        <f>_xlfn.XLOOKUP(D1758,tblSalesReps[rep_id],tblSalesReps[rep_name],"Missing")</f>
        <v>Sales Rep 11</v>
      </c>
      <c r="R1758" t="str">
        <f>_xlfn.XLOOKUP(D1758,tblSalesReps[rep_id],tblSalesReps[region],"Missing")</f>
        <v>West</v>
      </c>
    </row>
    <row r="1759" spans="1:18">
      <c r="A1759" t="s">
        <v>2292</v>
      </c>
      <c r="B1759" t="s">
        <v>123</v>
      </c>
      <c r="C1759" t="s">
        <v>26</v>
      </c>
      <c r="D1759" t="s">
        <v>126</v>
      </c>
      <c r="E1759" s="1">
        <v>45688</v>
      </c>
      <c r="F1759" s="1">
        <v>45714</v>
      </c>
      <c r="G1759" s="1">
        <v>45714</v>
      </c>
      <c r="H1759" t="s">
        <v>17</v>
      </c>
      <c r="I1759">
        <v>1</v>
      </c>
      <c r="J1759">
        <v>0</v>
      </c>
      <c r="K1759">
        <v>360000</v>
      </c>
      <c r="L1759">
        <v>0</v>
      </c>
      <c r="M1759" t="s">
        <v>18</v>
      </c>
      <c r="N1759" t="str">
        <f>_xlfn.XLOOKUP(B1759,tblCustomers[customer_id],tblCustomers[region],"Missing")</f>
        <v>South</v>
      </c>
      <c r="O1759" t="str">
        <f>_xlfn.XLOOKUP(C1759,tblProducts[product_id],tblProducts[product_name],"Missing")</f>
        <v>Security Suite</v>
      </c>
      <c r="P1759" t="str">
        <f>_xlfn.XLOOKUP(C1759,tblProducts[product_id],tblProducts[category],"Missing")</f>
        <v>Security</v>
      </c>
      <c r="Q1759" t="str">
        <f>_xlfn.XLOOKUP(D1759,tblSalesReps[rep_id],tblSalesReps[rep_name],"Missing")</f>
        <v>Sales Rep 02</v>
      </c>
      <c r="R1759" t="str">
        <f>_xlfn.XLOOKUP(D1759,tblSalesReps[rep_id],tblSalesReps[region],"Missing")</f>
        <v>South</v>
      </c>
    </row>
    <row r="1760" spans="1:18">
      <c r="A1760" t="s">
        <v>2293</v>
      </c>
      <c r="B1760" t="s">
        <v>273</v>
      </c>
      <c r="C1760" t="s">
        <v>62</v>
      </c>
      <c r="D1760" t="s">
        <v>16</v>
      </c>
      <c r="E1760" s="1">
        <v>45741</v>
      </c>
      <c r="F1760" s="1">
        <v>45766</v>
      </c>
      <c r="G1760" s="1">
        <v>45766</v>
      </c>
      <c r="H1760" t="s">
        <v>28</v>
      </c>
      <c r="I1760">
        <v>1</v>
      </c>
      <c r="J1760">
        <v>5</v>
      </c>
      <c r="K1760">
        <v>114000</v>
      </c>
      <c r="L1760">
        <v>100</v>
      </c>
      <c r="M1760" t="s">
        <v>29</v>
      </c>
      <c r="N1760" t="str">
        <f>_xlfn.XLOOKUP(B1760,tblCustomers[customer_id],tblCustomers[region],"Missing")</f>
        <v>North</v>
      </c>
      <c r="O1760" t="str">
        <f>_xlfn.XLOOKUP(C1760,tblProducts[product_id],tblProducts[product_name],"Missing")</f>
        <v>CRM Essentials</v>
      </c>
      <c r="P1760" t="str">
        <f>_xlfn.XLOOKUP(C1760,tblProducts[product_id],tblProducts[category],"Missing")</f>
        <v>CRM</v>
      </c>
      <c r="Q1760" t="str">
        <f>_xlfn.XLOOKUP(D1760,tblSalesReps[rep_id],tblSalesReps[rep_name],"Missing")</f>
        <v>Sales Rep 08</v>
      </c>
      <c r="R1760" t="str">
        <f>_xlfn.XLOOKUP(D1760,tblSalesReps[rep_id],tblSalesReps[region],"Missing")</f>
        <v>North</v>
      </c>
    </row>
    <row r="1761" spans="1:18">
      <c r="A1761" t="s">
        <v>2294</v>
      </c>
      <c r="B1761" t="s">
        <v>803</v>
      </c>
      <c r="C1761" t="s">
        <v>26</v>
      </c>
      <c r="D1761" t="s">
        <v>119</v>
      </c>
      <c r="E1761" s="1">
        <v>45664</v>
      </c>
      <c r="F1761" s="1">
        <v>45723</v>
      </c>
      <c r="G1761" s="1">
        <v>45723</v>
      </c>
      <c r="H1761" t="s">
        <v>28</v>
      </c>
      <c r="I1761">
        <v>1</v>
      </c>
      <c r="J1761">
        <v>20</v>
      </c>
      <c r="K1761">
        <v>288000</v>
      </c>
      <c r="L1761">
        <v>100</v>
      </c>
      <c r="M1761" t="s">
        <v>29</v>
      </c>
      <c r="N1761" t="str">
        <f>_xlfn.XLOOKUP(B1761,tblCustomers[customer_id],tblCustomers[region],"Missing")</f>
        <v>North</v>
      </c>
      <c r="O1761" t="str">
        <f>_xlfn.XLOOKUP(C1761,tblProducts[product_id],tblProducts[product_name],"Missing")</f>
        <v>Security Suite</v>
      </c>
      <c r="P1761" t="str">
        <f>_xlfn.XLOOKUP(C1761,tblProducts[product_id],tblProducts[category],"Missing")</f>
        <v>Security</v>
      </c>
      <c r="Q1761" t="str">
        <f>_xlfn.XLOOKUP(D1761,tblSalesReps[rep_id],tblSalesReps[rep_name],"Missing")</f>
        <v>Sales Rep 10</v>
      </c>
      <c r="R1761" t="str">
        <f>_xlfn.XLOOKUP(D1761,tblSalesReps[rep_id],tblSalesReps[region],"Missing")</f>
        <v>North</v>
      </c>
    </row>
    <row r="1762" spans="1:18">
      <c r="A1762" t="s">
        <v>2295</v>
      </c>
      <c r="B1762" t="s">
        <v>809</v>
      </c>
      <c r="C1762" t="s">
        <v>81</v>
      </c>
      <c r="D1762" t="s">
        <v>27</v>
      </c>
      <c r="E1762" s="1">
        <v>45960</v>
      </c>
      <c r="F1762" s="1">
        <v>46009</v>
      </c>
      <c r="G1762" s="1">
        <v>46009</v>
      </c>
      <c r="H1762" t="s">
        <v>17</v>
      </c>
      <c r="I1762">
        <v>3</v>
      </c>
      <c r="J1762">
        <v>0</v>
      </c>
      <c r="K1762">
        <v>900000</v>
      </c>
      <c r="L1762">
        <v>0</v>
      </c>
      <c r="M1762" t="s">
        <v>47</v>
      </c>
      <c r="N1762" t="str">
        <f>_xlfn.XLOOKUP(B1762,tblCustomers[customer_id],tblCustomers[region],"Missing")</f>
        <v>North</v>
      </c>
      <c r="O1762" t="str">
        <f>_xlfn.XLOOKUP(C1762,tblProducts[product_id],tblProducts[product_name],"Missing")</f>
        <v>Analytics Cloud</v>
      </c>
      <c r="P1762" t="str">
        <f>_xlfn.XLOOKUP(C1762,tblProducts[product_id],tblProducts[category],"Missing")</f>
        <v>Analytics</v>
      </c>
      <c r="Q1762" t="str">
        <f>_xlfn.XLOOKUP(D1762,tblSalesReps[rep_id],tblSalesReps[rep_name],"Missing")</f>
        <v>Sales Rep 06</v>
      </c>
      <c r="R1762" t="str">
        <f>_xlfn.XLOOKUP(D1762,tblSalesReps[rep_id],tblSalesReps[region],"Missing")</f>
        <v>North</v>
      </c>
    </row>
    <row r="1763" spans="1:18">
      <c r="A1763" t="s">
        <v>2296</v>
      </c>
      <c r="B1763" t="s">
        <v>1080</v>
      </c>
      <c r="C1763" t="s">
        <v>15</v>
      </c>
      <c r="D1763" t="s">
        <v>56</v>
      </c>
      <c r="E1763" s="1">
        <v>45798</v>
      </c>
      <c r="F1763" s="1">
        <v>45823</v>
      </c>
      <c r="G1763" s="1">
        <v>45823</v>
      </c>
      <c r="H1763" t="s">
        <v>28</v>
      </c>
      <c r="I1763">
        <v>3</v>
      </c>
      <c r="J1763">
        <v>0</v>
      </c>
      <c r="K1763">
        <v>1260000</v>
      </c>
      <c r="L1763">
        <v>100</v>
      </c>
      <c r="M1763" t="s">
        <v>29</v>
      </c>
      <c r="N1763" t="str">
        <f>_xlfn.XLOOKUP(B1763,tblCustomers[customer_id],tblCustomers[region],"Missing")</f>
        <v>East</v>
      </c>
      <c r="O1763" t="str">
        <f>_xlfn.XLOOKUP(C1763,tblProducts[product_id],tblProducts[product_name],"Missing")</f>
        <v>CRM Enterprise</v>
      </c>
      <c r="P1763" t="str">
        <f>_xlfn.XLOOKUP(C1763,tblProducts[product_id],tblProducts[category],"Missing")</f>
        <v>CRM</v>
      </c>
      <c r="Q1763" t="str">
        <f>_xlfn.XLOOKUP(D1763,tblSalesReps[rep_id],tblSalesReps[rep_name],"Missing")</f>
        <v>Sales Rep 20</v>
      </c>
      <c r="R1763" t="str">
        <f>_xlfn.XLOOKUP(D1763,tblSalesReps[rep_id],tblSalesReps[region],"Missing")</f>
        <v>East</v>
      </c>
    </row>
    <row r="1764" spans="1:18">
      <c r="A1764" t="s">
        <v>2297</v>
      </c>
      <c r="B1764" t="s">
        <v>664</v>
      </c>
      <c r="C1764" t="s">
        <v>62</v>
      </c>
      <c r="D1764" t="s">
        <v>63</v>
      </c>
      <c r="E1764" s="1">
        <v>45834</v>
      </c>
      <c r="F1764" s="1">
        <v>45853</v>
      </c>
      <c r="G1764" s="1">
        <v>45853</v>
      </c>
      <c r="H1764" t="s">
        <v>28</v>
      </c>
      <c r="I1764">
        <v>2</v>
      </c>
      <c r="J1764">
        <v>10</v>
      </c>
      <c r="K1764">
        <v>216000</v>
      </c>
      <c r="L1764">
        <v>100</v>
      </c>
      <c r="M1764" t="s">
        <v>29</v>
      </c>
      <c r="N1764" t="str">
        <f>_xlfn.XLOOKUP(B1764,tblCustomers[customer_id],tblCustomers[region],"Missing")</f>
        <v>South</v>
      </c>
      <c r="O1764" t="str">
        <f>_xlfn.XLOOKUP(C1764,tblProducts[product_id],tblProducts[product_name],"Missing")</f>
        <v>CRM Essentials</v>
      </c>
      <c r="P1764" t="str">
        <f>_xlfn.XLOOKUP(C1764,tblProducts[product_id],tblProducts[category],"Missing")</f>
        <v>CRM</v>
      </c>
      <c r="Q1764" t="str">
        <f>_xlfn.XLOOKUP(D1764,tblSalesReps[rep_id],tblSalesReps[rep_name],"Missing")</f>
        <v>Sales Rep 05</v>
      </c>
      <c r="R1764" t="str">
        <f>_xlfn.XLOOKUP(D1764,tblSalesReps[rep_id],tblSalesReps[region],"Missing")</f>
        <v>South</v>
      </c>
    </row>
    <row r="1765" spans="1:18">
      <c r="A1765" t="s">
        <v>2298</v>
      </c>
      <c r="B1765" t="s">
        <v>118</v>
      </c>
      <c r="C1765" t="s">
        <v>62</v>
      </c>
      <c r="D1765" t="s">
        <v>75</v>
      </c>
      <c r="E1765" s="1">
        <v>46009</v>
      </c>
      <c r="F1765" s="1">
        <v>46093</v>
      </c>
      <c r="G1765" s="1"/>
      <c r="H1765" t="s">
        <v>43</v>
      </c>
      <c r="I1765">
        <v>2</v>
      </c>
      <c r="J1765">
        <v>15</v>
      </c>
      <c r="K1765">
        <v>204000</v>
      </c>
      <c r="L1765">
        <v>20</v>
      </c>
      <c r="M1765" t="s">
        <v>29</v>
      </c>
      <c r="N1765" t="str">
        <f>_xlfn.XLOOKUP(B1765,tblCustomers[customer_id],tblCustomers[region],"Missing")</f>
        <v>North</v>
      </c>
      <c r="O1765" t="str">
        <f>_xlfn.XLOOKUP(C1765,tblProducts[product_id],tblProducts[product_name],"Missing")</f>
        <v>CRM Essentials</v>
      </c>
      <c r="P1765" t="str">
        <f>_xlfn.XLOOKUP(C1765,tblProducts[product_id],tblProducts[category],"Missing")</f>
        <v>CRM</v>
      </c>
      <c r="Q1765" t="str">
        <f>_xlfn.XLOOKUP(D1765,tblSalesReps[rep_id],tblSalesReps[rep_name],"Missing")</f>
        <v>Sales Rep 07</v>
      </c>
      <c r="R1765" t="str">
        <f>_xlfn.XLOOKUP(D1765,tblSalesReps[rep_id],tblSalesReps[region],"Missing")</f>
        <v>North</v>
      </c>
    </row>
    <row r="1766" spans="1:18">
      <c r="A1766" t="s">
        <v>2299</v>
      </c>
      <c r="B1766" t="s">
        <v>1184</v>
      </c>
      <c r="C1766" t="s">
        <v>62</v>
      </c>
      <c r="D1766" t="s">
        <v>126</v>
      </c>
      <c r="E1766" s="1">
        <v>45815</v>
      </c>
      <c r="F1766" s="1">
        <v>45838</v>
      </c>
      <c r="G1766" s="1">
        <v>45838</v>
      </c>
      <c r="H1766" t="s">
        <v>17</v>
      </c>
      <c r="I1766">
        <v>1</v>
      </c>
      <c r="J1766">
        <v>15</v>
      </c>
      <c r="K1766">
        <v>102000</v>
      </c>
      <c r="L1766">
        <v>0</v>
      </c>
      <c r="M1766" t="s">
        <v>82</v>
      </c>
      <c r="N1766" t="str">
        <f>_xlfn.XLOOKUP(B1766,tblCustomers[customer_id],tblCustomers[region],"Missing")</f>
        <v>South</v>
      </c>
      <c r="O1766" t="str">
        <f>_xlfn.XLOOKUP(C1766,tblProducts[product_id],tblProducts[product_name],"Missing")</f>
        <v>CRM Essentials</v>
      </c>
      <c r="P1766" t="str">
        <f>_xlfn.XLOOKUP(C1766,tblProducts[product_id],tblProducts[category],"Missing")</f>
        <v>CRM</v>
      </c>
      <c r="Q1766" t="str">
        <f>_xlfn.XLOOKUP(D1766,tblSalesReps[rep_id],tblSalesReps[rep_name],"Missing")</f>
        <v>Sales Rep 02</v>
      </c>
      <c r="R1766" t="str">
        <f>_xlfn.XLOOKUP(D1766,tblSalesReps[rep_id],tblSalesReps[region],"Missing")</f>
        <v>South</v>
      </c>
    </row>
    <row r="1767" spans="1:18">
      <c r="A1767" t="s">
        <v>2300</v>
      </c>
      <c r="B1767" t="s">
        <v>102</v>
      </c>
      <c r="C1767" t="s">
        <v>81</v>
      </c>
      <c r="D1767" t="s">
        <v>40</v>
      </c>
      <c r="E1767" s="1">
        <v>45680</v>
      </c>
      <c r="F1767" s="1">
        <v>45733</v>
      </c>
      <c r="G1767" s="1">
        <v>45733</v>
      </c>
      <c r="H1767" t="s">
        <v>28</v>
      </c>
      <c r="I1767">
        <v>2</v>
      </c>
      <c r="J1767">
        <v>5</v>
      </c>
      <c r="K1767">
        <v>570000</v>
      </c>
      <c r="L1767">
        <v>100</v>
      </c>
      <c r="M1767" t="s">
        <v>29</v>
      </c>
      <c r="N1767" t="str">
        <f>_xlfn.XLOOKUP(B1767,tblCustomers[customer_id],tblCustomers[region],"Missing")</f>
        <v>West</v>
      </c>
      <c r="O1767" t="str">
        <f>_xlfn.XLOOKUP(C1767,tblProducts[product_id],tblProducts[product_name],"Missing")</f>
        <v>Analytics Cloud</v>
      </c>
      <c r="P1767" t="str">
        <f>_xlfn.XLOOKUP(C1767,tblProducts[product_id],tblProducts[category],"Missing")</f>
        <v>Analytics</v>
      </c>
      <c r="Q1767" t="str">
        <f>_xlfn.XLOOKUP(D1767,tblSalesReps[rep_id],tblSalesReps[rep_name],"Missing")</f>
        <v>Sales Rep 13</v>
      </c>
      <c r="R1767" t="str">
        <f>_xlfn.XLOOKUP(D1767,tblSalesReps[rep_id],tblSalesReps[region],"Missing")</f>
        <v>West</v>
      </c>
    </row>
    <row r="1768" spans="1:18">
      <c r="A1768" t="s">
        <v>2301</v>
      </c>
      <c r="B1768" t="s">
        <v>619</v>
      </c>
      <c r="C1768" t="s">
        <v>15</v>
      </c>
      <c r="D1768" t="s">
        <v>16</v>
      </c>
      <c r="E1768" s="1">
        <v>45735</v>
      </c>
      <c r="F1768" s="1">
        <v>45791</v>
      </c>
      <c r="G1768" s="1">
        <v>45791</v>
      </c>
      <c r="H1768" t="s">
        <v>28</v>
      </c>
      <c r="I1768">
        <v>1</v>
      </c>
      <c r="J1768">
        <v>0</v>
      </c>
      <c r="K1768">
        <v>420000</v>
      </c>
      <c r="L1768">
        <v>100</v>
      </c>
      <c r="M1768" t="s">
        <v>29</v>
      </c>
      <c r="N1768" t="str">
        <f>_xlfn.XLOOKUP(B1768,tblCustomers[customer_id],tblCustomers[region],"Missing")</f>
        <v>North</v>
      </c>
      <c r="O1768" t="str">
        <f>_xlfn.XLOOKUP(C1768,tblProducts[product_id],tblProducts[product_name],"Missing")</f>
        <v>CRM Enterprise</v>
      </c>
      <c r="P1768" t="str">
        <f>_xlfn.XLOOKUP(C1768,tblProducts[product_id],tblProducts[category],"Missing")</f>
        <v>CRM</v>
      </c>
      <c r="Q1768" t="str">
        <f>_xlfn.XLOOKUP(D1768,tblSalesReps[rep_id],tblSalesReps[rep_name],"Missing")</f>
        <v>Sales Rep 08</v>
      </c>
      <c r="R1768" t="str">
        <f>_xlfn.XLOOKUP(D1768,tblSalesReps[rep_id],tblSalesReps[region],"Missing")</f>
        <v>North</v>
      </c>
    </row>
    <row r="1769" spans="1:18">
      <c r="A1769" t="s">
        <v>2302</v>
      </c>
      <c r="B1769" t="s">
        <v>539</v>
      </c>
      <c r="C1769" t="s">
        <v>21</v>
      </c>
      <c r="D1769" t="s">
        <v>168</v>
      </c>
      <c r="E1769" s="1">
        <v>45827</v>
      </c>
      <c r="F1769" s="1">
        <v>45845</v>
      </c>
      <c r="G1769" s="1">
        <v>45845</v>
      </c>
      <c r="H1769" t="s">
        <v>28</v>
      </c>
      <c r="I1769">
        <v>1</v>
      </c>
      <c r="J1769">
        <v>0</v>
      </c>
      <c r="K1769">
        <v>240000</v>
      </c>
      <c r="L1769">
        <v>100</v>
      </c>
      <c r="M1769" t="s">
        <v>29</v>
      </c>
      <c r="N1769" t="str">
        <f>_xlfn.XLOOKUP(B1769,tblCustomers[customer_id],tblCustomers[region],"Missing")</f>
        <v>East</v>
      </c>
      <c r="O1769" t="str">
        <f>_xlfn.XLOOKUP(C1769,tblProducts[product_id],tblProducts[product_name],"Missing")</f>
        <v>Workflow Automate</v>
      </c>
      <c r="P1769" t="str">
        <f>_xlfn.XLOOKUP(C1769,tblProducts[product_id],tblProducts[category],"Missing")</f>
        <v>Automation</v>
      </c>
      <c r="Q1769" t="str">
        <f>_xlfn.XLOOKUP(D1769,tblSalesReps[rep_id],tblSalesReps[rep_name],"Missing")</f>
        <v>Sales Rep 17</v>
      </c>
      <c r="R1769" t="str">
        <f>_xlfn.XLOOKUP(D1769,tblSalesReps[rep_id],tblSalesReps[region],"Missing")</f>
        <v>East</v>
      </c>
    </row>
    <row r="1770" spans="1:18">
      <c r="A1770" t="s">
        <v>2303</v>
      </c>
      <c r="B1770" t="s">
        <v>664</v>
      </c>
      <c r="C1770" t="s">
        <v>62</v>
      </c>
      <c r="D1770" t="s">
        <v>126</v>
      </c>
      <c r="E1770" s="1">
        <v>45954</v>
      </c>
      <c r="F1770" s="1">
        <v>45994</v>
      </c>
      <c r="G1770" s="1">
        <v>45994</v>
      </c>
      <c r="H1770" t="s">
        <v>28</v>
      </c>
      <c r="I1770">
        <v>1</v>
      </c>
      <c r="J1770">
        <v>0</v>
      </c>
      <c r="K1770">
        <v>120000</v>
      </c>
      <c r="L1770">
        <v>100</v>
      </c>
      <c r="M1770" t="s">
        <v>29</v>
      </c>
      <c r="N1770" t="str">
        <f>_xlfn.XLOOKUP(B1770,tblCustomers[customer_id],tblCustomers[region],"Missing")</f>
        <v>South</v>
      </c>
      <c r="O1770" t="str">
        <f>_xlfn.XLOOKUP(C1770,tblProducts[product_id],tblProducts[product_name],"Missing")</f>
        <v>CRM Essentials</v>
      </c>
      <c r="P1770" t="str">
        <f>_xlfn.XLOOKUP(C1770,tblProducts[product_id],tblProducts[category],"Missing")</f>
        <v>CRM</v>
      </c>
      <c r="Q1770" t="str">
        <f>_xlfn.XLOOKUP(D1770,tblSalesReps[rep_id],tblSalesReps[rep_name],"Missing")</f>
        <v>Sales Rep 02</v>
      </c>
      <c r="R1770" t="str">
        <f>_xlfn.XLOOKUP(D1770,tblSalesReps[rep_id],tblSalesReps[region],"Missing")</f>
        <v>South</v>
      </c>
    </row>
    <row r="1771" spans="1:18">
      <c r="A1771" t="s">
        <v>2304</v>
      </c>
      <c r="B1771" t="s">
        <v>1571</v>
      </c>
      <c r="C1771" t="s">
        <v>26</v>
      </c>
      <c r="D1771" t="s">
        <v>75</v>
      </c>
      <c r="E1771" s="1">
        <v>46006</v>
      </c>
      <c r="F1771" s="1">
        <v>46072</v>
      </c>
      <c r="G1771" s="1"/>
      <c r="H1771" t="s">
        <v>43</v>
      </c>
      <c r="I1771">
        <v>2</v>
      </c>
      <c r="J1771">
        <v>20</v>
      </c>
      <c r="K1771">
        <v>576000</v>
      </c>
      <c r="L1771">
        <v>40</v>
      </c>
      <c r="M1771" t="s">
        <v>29</v>
      </c>
      <c r="N1771" t="str">
        <f>_xlfn.XLOOKUP(B1771,tblCustomers[customer_id],tblCustomers[region],"Missing")</f>
        <v>North</v>
      </c>
      <c r="O1771" t="str">
        <f>_xlfn.XLOOKUP(C1771,tblProducts[product_id],tblProducts[product_name],"Missing")</f>
        <v>Security Suite</v>
      </c>
      <c r="P1771" t="str">
        <f>_xlfn.XLOOKUP(C1771,tblProducts[product_id],tblProducts[category],"Missing")</f>
        <v>Security</v>
      </c>
      <c r="Q1771" t="str">
        <f>_xlfn.XLOOKUP(D1771,tblSalesReps[rep_id],tblSalesReps[rep_name],"Missing")</f>
        <v>Sales Rep 07</v>
      </c>
      <c r="R1771" t="str">
        <f>_xlfn.XLOOKUP(D1771,tblSalesReps[rep_id],tblSalesReps[region],"Missing")</f>
        <v>North</v>
      </c>
    </row>
    <row r="1772" spans="1:18">
      <c r="A1772" t="s">
        <v>2305</v>
      </c>
      <c r="B1772" t="s">
        <v>104</v>
      </c>
      <c r="C1772" t="s">
        <v>39</v>
      </c>
      <c r="D1772" t="s">
        <v>50</v>
      </c>
      <c r="E1772" s="1">
        <v>45699</v>
      </c>
      <c r="F1772" s="1">
        <v>45707</v>
      </c>
      <c r="G1772" s="1">
        <v>45707</v>
      </c>
      <c r="H1772" t="s">
        <v>17</v>
      </c>
      <c r="I1772">
        <v>1</v>
      </c>
      <c r="J1772">
        <v>20</v>
      </c>
      <c r="K1772">
        <v>144000</v>
      </c>
      <c r="L1772">
        <v>0</v>
      </c>
      <c r="M1772" t="s">
        <v>47</v>
      </c>
      <c r="N1772" t="str">
        <f>_xlfn.XLOOKUP(B1772,tblCustomers[customer_id],tblCustomers[region],"Missing")</f>
        <v>West</v>
      </c>
      <c r="O1772" t="str">
        <f>_xlfn.XLOOKUP(C1772,tblProducts[product_id],tblProducts[product_name],"Missing")</f>
        <v>Support Desk</v>
      </c>
      <c r="P1772" t="str">
        <f>_xlfn.XLOOKUP(C1772,tblProducts[product_id],tblProducts[category],"Missing")</f>
        <v>Service</v>
      </c>
      <c r="Q1772" t="str">
        <f>_xlfn.XLOOKUP(D1772,tblSalesReps[rep_id],tblSalesReps[rep_name],"Missing")</f>
        <v>Sales Rep 15</v>
      </c>
      <c r="R1772" t="str">
        <f>_xlfn.XLOOKUP(D1772,tblSalesReps[rep_id],tblSalesReps[region],"Missing")</f>
        <v>West</v>
      </c>
    </row>
    <row r="1773" spans="1:18">
      <c r="A1773" t="s">
        <v>2306</v>
      </c>
      <c r="B1773" t="s">
        <v>1707</v>
      </c>
      <c r="C1773" t="s">
        <v>81</v>
      </c>
      <c r="D1773" t="s">
        <v>152</v>
      </c>
      <c r="E1773" s="1">
        <v>45835</v>
      </c>
      <c r="F1773" s="1">
        <v>45895</v>
      </c>
      <c r="G1773" s="1"/>
      <c r="H1773" t="s">
        <v>43</v>
      </c>
      <c r="I1773">
        <v>1</v>
      </c>
      <c r="J1773">
        <v>10</v>
      </c>
      <c r="K1773">
        <v>270000</v>
      </c>
      <c r="L1773">
        <v>40</v>
      </c>
      <c r="M1773" t="s">
        <v>29</v>
      </c>
      <c r="N1773" t="str">
        <f>_xlfn.XLOOKUP(B1773,tblCustomers[customer_id],tblCustomers[region],"Missing")</f>
        <v>East</v>
      </c>
      <c r="O1773" t="str">
        <f>_xlfn.XLOOKUP(C1773,tblProducts[product_id],tblProducts[product_name],"Missing")</f>
        <v>Analytics Cloud</v>
      </c>
      <c r="P1773" t="str">
        <f>_xlfn.XLOOKUP(C1773,tblProducts[product_id],tblProducts[category],"Missing")</f>
        <v>Analytics</v>
      </c>
      <c r="Q1773" t="str">
        <f>_xlfn.XLOOKUP(D1773,tblSalesReps[rep_id],tblSalesReps[rep_name],"Missing")</f>
        <v>Sales Rep 18</v>
      </c>
      <c r="R1773" t="str">
        <f>_xlfn.XLOOKUP(D1773,tblSalesReps[rep_id],tblSalesReps[region],"Missing")</f>
        <v>East</v>
      </c>
    </row>
    <row r="1774" spans="1:18">
      <c r="A1774" t="s">
        <v>2307</v>
      </c>
      <c r="B1774" t="s">
        <v>549</v>
      </c>
      <c r="C1774" t="s">
        <v>21</v>
      </c>
      <c r="D1774" t="s">
        <v>78</v>
      </c>
      <c r="E1774" s="1">
        <v>45825</v>
      </c>
      <c r="F1774" s="1">
        <v>45891</v>
      </c>
      <c r="G1774" s="1">
        <v>45891</v>
      </c>
      <c r="H1774" t="s">
        <v>28</v>
      </c>
      <c r="I1774">
        <v>3</v>
      </c>
      <c r="J1774">
        <v>20</v>
      </c>
      <c r="K1774">
        <v>576000</v>
      </c>
      <c r="L1774">
        <v>100</v>
      </c>
      <c r="M1774" t="s">
        <v>29</v>
      </c>
      <c r="N1774" t="str">
        <f>_xlfn.XLOOKUP(B1774,tblCustomers[customer_id],tblCustomers[region],"Missing")</f>
        <v>West</v>
      </c>
      <c r="O1774" t="str">
        <f>_xlfn.XLOOKUP(C1774,tblProducts[product_id],tblProducts[product_name],"Missing")</f>
        <v>Workflow Automate</v>
      </c>
      <c r="P1774" t="str">
        <f>_xlfn.XLOOKUP(C1774,tblProducts[product_id],tblProducts[category],"Missing")</f>
        <v>Automation</v>
      </c>
      <c r="Q1774" t="str">
        <f>_xlfn.XLOOKUP(D1774,tblSalesReps[rep_id],tblSalesReps[rep_name],"Missing")</f>
        <v>Sales Rep 12</v>
      </c>
      <c r="R1774" t="str">
        <f>_xlfn.XLOOKUP(D1774,tblSalesReps[rep_id],tblSalesReps[region],"Missing")</f>
        <v>West</v>
      </c>
    </row>
    <row r="1775" spans="1:18">
      <c r="A1775" t="s">
        <v>2308</v>
      </c>
      <c r="B1775" t="s">
        <v>907</v>
      </c>
      <c r="C1775" t="s">
        <v>39</v>
      </c>
      <c r="D1775" t="s">
        <v>63</v>
      </c>
      <c r="E1775" s="1">
        <v>45753</v>
      </c>
      <c r="F1775" s="1">
        <v>45820</v>
      </c>
      <c r="G1775" s="1">
        <v>45820</v>
      </c>
      <c r="H1775" t="s">
        <v>17</v>
      </c>
      <c r="I1775">
        <v>1</v>
      </c>
      <c r="J1775">
        <v>0</v>
      </c>
      <c r="K1775">
        <v>180000</v>
      </c>
      <c r="L1775">
        <v>0</v>
      </c>
      <c r="M1775" t="s">
        <v>82</v>
      </c>
      <c r="N1775" t="str">
        <f>_xlfn.XLOOKUP(B1775,tblCustomers[customer_id],tblCustomers[region],"Missing")</f>
        <v>South</v>
      </c>
      <c r="O1775" t="str">
        <f>_xlfn.XLOOKUP(C1775,tblProducts[product_id],tblProducts[product_name],"Missing")</f>
        <v>Support Desk</v>
      </c>
      <c r="P1775" t="str">
        <f>_xlfn.XLOOKUP(C1775,tblProducts[product_id],tblProducts[category],"Missing")</f>
        <v>Service</v>
      </c>
      <c r="Q1775" t="str">
        <f>_xlfn.XLOOKUP(D1775,tblSalesReps[rep_id],tblSalesReps[rep_name],"Missing")</f>
        <v>Sales Rep 05</v>
      </c>
      <c r="R1775" t="str">
        <f>_xlfn.XLOOKUP(D1775,tblSalesReps[rep_id],tblSalesReps[region],"Missing")</f>
        <v>South</v>
      </c>
    </row>
    <row r="1776" spans="1:18">
      <c r="A1776" t="s">
        <v>2309</v>
      </c>
      <c r="B1776" t="s">
        <v>1250</v>
      </c>
      <c r="C1776" t="s">
        <v>26</v>
      </c>
      <c r="D1776" t="s">
        <v>126</v>
      </c>
      <c r="E1776" s="1">
        <v>45686</v>
      </c>
      <c r="F1776" s="1">
        <v>45733</v>
      </c>
      <c r="G1776" s="1">
        <v>45733</v>
      </c>
      <c r="H1776" t="s">
        <v>17</v>
      </c>
      <c r="I1776">
        <v>1</v>
      </c>
      <c r="J1776">
        <v>0</v>
      </c>
      <c r="K1776">
        <v>360000</v>
      </c>
      <c r="L1776">
        <v>0</v>
      </c>
      <c r="M1776" t="s">
        <v>82</v>
      </c>
      <c r="N1776" t="str">
        <f>_xlfn.XLOOKUP(B1776,tblCustomers[customer_id],tblCustomers[region],"Missing")</f>
        <v>South</v>
      </c>
      <c r="O1776" t="str">
        <f>_xlfn.XLOOKUP(C1776,tblProducts[product_id],tblProducts[product_name],"Missing")</f>
        <v>Security Suite</v>
      </c>
      <c r="P1776" t="str">
        <f>_xlfn.XLOOKUP(C1776,tblProducts[product_id],tblProducts[category],"Missing")</f>
        <v>Security</v>
      </c>
      <c r="Q1776" t="str">
        <f>_xlfn.XLOOKUP(D1776,tblSalesReps[rep_id],tblSalesReps[rep_name],"Missing")</f>
        <v>Sales Rep 02</v>
      </c>
      <c r="R1776" t="str">
        <f>_xlfn.XLOOKUP(D1776,tblSalesReps[rep_id],tblSalesReps[region],"Missing")</f>
        <v>South</v>
      </c>
    </row>
    <row r="1777" spans="1:18">
      <c r="A1777" t="s">
        <v>2310</v>
      </c>
      <c r="B1777" t="s">
        <v>782</v>
      </c>
      <c r="C1777" t="s">
        <v>21</v>
      </c>
      <c r="D1777" t="s">
        <v>46</v>
      </c>
      <c r="E1777" s="1">
        <v>45789</v>
      </c>
      <c r="F1777" s="1">
        <v>45829</v>
      </c>
      <c r="G1777" s="1"/>
      <c r="H1777" t="s">
        <v>43</v>
      </c>
      <c r="I1777">
        <v>1</v>
      </c>
      <c r="J1777">
        <v>0</v>
      </c>
      <c r="K1777">
        <v>240000</v>
      </c>
      <c r="L1777">
        <v>20</v>
      </c>
      <c r="M1777" t="s">
        <v>29</v>
      </c>
      <c r="N1777" t="str">
        <f>_xlfn.XLOOKUP(B1777,tblCustomers[customer_id],tblCustomers[region],"Missing")</f>
        <v>South</v>
      </c>
      <c r="O1777" t="str">
        <f>_xlfn.XLOOKUP(C1777,tblProducts[product_id],tblProducts[product_name],"Missing")</f>
        <v>Workflow Automate</v>
      </c>
      <c r="P1777" t="str">
        <f>_xlfn.XLOOKUP(C1777,tblProducts[product_id],tblProducts[category],"Missing")</f>
        <v>Automation</v>
      </c>
      <c r="Q1777" t="str">
        <f>_xlfn.XLOOKUP(D1777,tblSalesReps[rep_id],tblSalesReps[rep_name],"Missing")</f>
        <v>Sales Rep 01</v>
      </c>
      <c r="R1777" t="str">
        <f>_xlfn.XLOOKUP(D1777,tblSalesReps[rep_id],tblSalesReps[region],"Missing")</f>
        <v>South</v>
      </c>
    </row>
    <row r="1778" spans="1:18">
      <c r="A1778" t="s">
        <v>2311</v>
      </c>
      <c r="B1778" t="s">
        <v>304</v>
      </c>
      <c r="C1778" t="s">
        <v>39</v>
      </c>
      <c r="D1778" t="s">
        <v>36</v>
      </c>
      <c r="E1778" s="1">
        <v>45814</v>
      </c>
      <c r="F1778" s="1">
        <v>45880</v>
      </c>
      <c r="G1778" s="1">
        <v>45880</v>
      </c>
      <c r="H1778" t="s">
        <v>17</v>
      </c>
      <c r="I1778">
        <v>1</v>
      </c>
      <c r="J1778">
        <v>10</v>
      </c>
      <c r="K1778">
        <v>162000</v>
      </c>
      <c r="L1778">
        <v>0</v>
      </c>
      <c r="M1778" t="s">
        <v>47</v>
      </c>
      <c r="N1778" t="str">
        <f>_xlfn.XLOOKUP(B1778,tblCustomers[customer_id],tblCustomers[region],"Missing")</f>
        <v>North</v>
      </c>
      <c r="O1778" t="str">
        <f>_xlfn.XLOOKUP(C1778,tblProducts[product_id],tblProducts[product_name],"Missing")</f>
        <v>Support Desk</v>
      </c>
      <c r="P1778" t="str">
        <f>_xlfn.XLOOKUP(C1778,tblProducts[product_id],tblProducts[category],"Missing")</f>
        <v>Service</v>
      </c>
      <c r="Q1778" t="str">
        <f>_xlfn.XLOOKUP(D1778,tblSalesReps[rep_id],tblSalesReps[rep_name],"Missing")</f>
        <v>Sales Rep 09</v>
      </c>
      <c r="R1778" t="str">
        <f>_xlfn.XLOOKUP(D1778,tblSalesReps[rep_id],tblSalesReps[region],"Missing")</f>
        <v>North</v>
      </c>
    </row>
    <row r="1779" spans="1:18">
      <c r="A1779" t="s">
        <v>2312</v>
      </c>
      <c r="B1779" t="s">
        <v>809</v>
      </c>
      <c r="C1779" t="s">
        <v>15</v>
      </c>
      <c r="D1779" t="s">
        <v>16</v>
      </c>
      <c r="E1779" s="1">
        <v>45955</v>
      </c>
      <c r="F1779" s="1">
        <v>45983</v>
      </c>
      <c r="G1779" s="1"/>
      <c r="H1779" t="s">
        <v>43</v>
      </c>
      <c r="I1779">
        <v>3</v>
      </c>
      <c r="J1779">
        <v>15</v>
      </c>
      <c r="K1779">
        <v>1071000</v>
      </c>
      <c r="L1779">
        <v>80</v>
      </c>
      <c r="M1779" t="s">
        <v>29</v>
      </c>
      <c r="N1779" t="str">
        <f>_xlfn.XLOOKUP(B1779,tblCustomers[customer_id],tblCustomers[region],"Missing")</f>
        <v>North</v>
      </c>
      <c r="O1779" t="str">
        <f>_xlfn.XLOOKUP(C1779,tblProducts[product_id],tblProducts[product_name],"Missing")</f>
        <v>CRM Enterprise</v>
      </c>
      <c r="P1779" t="str">
        <f>_xlfn.XLOOKUP(C1779,tblProducts[product_id],tblProducts[category],"Missing")</f>
        <v>CRM</v>
      </c>
      <c r="Q1779" t="str">
        <f>_xlfn.XLOOKUP(D1779,tblSalesReps[rep_id],tblSalesReps[rep_name],"Missing")</f>
        <v>Sales Rep 08</v>
      </c>
      <c r="R1779" t="str">
        <f>_xlfn.XLOOKUP(D1779,tblSalesReps[rep_id],tblSalesReps[region],"Missing")</f>
        <v>North</v>
      </c>
    </row>
    <row r="1780" spans="1:18">
      <c r="A1780" t="s">
        <v>2313</v>
      </c>
      <c r="B1780" t="s">
        <v>55</v>
      </c>
      <c r="C1780" t="s">
        <v>15</v>
      </c>
      <c r="D1780" t="s">
        <v>152</v>
      </c>
      <c r="E1780" s="1">
        <v>45812</v>
      </c>
      <c r="F1780" s="1">
        <v>45882</v>
      </c>
      <c r="G1780" s="1">
        <v>45882</v>
      </c>
      <c r="H1780" t="s">
        <v>17</v>
      </c>
      <c r="I1780">
        <v>1</v>
      </c>
      <c r="J1780">
        <v>20</v>
      </c>
      <c r="K1780">
        <v>336000</v>
      </c>
      <c r="L1780">
        <v>0</v>
      </c>
      <c r="M1780" t="s">
        <v>33</v>
      </c>
      <c r="N1780" t="str">
        <f>_xlfn.XLOOKUP(B1780,tblCustomers[customer_id],tblCustomers[region],"Missing")</f>
        <v>East</v>
      </c>
      <c r="O1780" t="str">
        <f>_xlfn.XLOOKUP(C1780,tblProducts[product_id],tblProducts[product_name],"Missing")</f>
        <v>CRM Enterprise</v>
      </c>
      <c r="P1780" t="str">
        <f>_xlfn.XLOOKUP(C1780,tblProducts[product_id],tblProducts[category],"Missing")</f>
        <v>CRM</v>
      </c>
      <c r="Q1780" t="str">
        <f>_xlfn.XLOOKUP(D1780,tblSalesReps[rep_id],tblSalesReps[rep_name],"Missing")</f>
        <v>Sales Rep 18</v>
      </c>
      <c r="R1780" t="str">
        <f>_xlfn.XLOOKUP(D1780,tblSalesReps[rep_id],tblSalesReps[region],"Missing")</f>
        <v>East</v>
      </c>
    </row>
    <row r="1781" spans="1:18">
      <c r="A1781" t="s">
        <v>2314</v>
      </c>
      <c r="B1781" t="s">
        <v>1386</v>
      </c>
      <c r="C1781" t="s">
        <v>15</v>
      </c>
      <c r="D1781" t="s">
        <v>22</v>
      </c>
      <c r="E1781" s="1">
        <v>45881</v>
      </c>
      <c r="F1781" s="1">
        <v>45916</v>
      </c>
      <c r="G1781" s="1"/>
      <c r="H1781" t="s">
        <v>43</v>
      </c>
      <c r="I1781">
        <v>3</v>
      </c>
      <c r="J1781">
        <v>5</v>
      </c>
      <c r="K1781">
        <v>1197000</v>
      </c>
      <c r="L1781">
        <v>80</v>
      </c>
      <c r="M1781" t="s">
        <v>29</v>
      </c>
      <c r="N1781" t="str">
        <f>_xlfn.XLOOKUP(B1781,tblCustomers[customer_id],tblCustomers[region],"Missing")</f>
        <v>West</v>
      </c>
      <c r="O1781" t="str">
        <f>_xlfn.XLOOKUP(C1781,tblProducts[product_id],tblProducts[product_name],"Missing")</f>
        <v>CRM Enterprise</v>
      </c>
      <c r="P1781" t="str">
        <f>_xlfn.XLOOKUP(C1781,tblProducts[product_id],tblProducts[category],"Missing")</f>
        <v>CRM</v>
      </c>
      <c r="Q1781" t="str">
        <f>_xlfn.XLOOKUP(D1781,tblSalesReps[rep_id],tblSalesReps[rep_name],"Missing")</f>
        <v>Sales Rep 14</v>
      </c>
      <c r="R1781" t="str">
        <f>_xlfn.XLOOKUP(D1781,tblSalesReps[rep_id],tblSalesReps[region],"Missing")</f>
        <v>West</v>
      </c>
    </row>
    <row r="1782" spans="1:18">
      <c r="A1782" t="s">
        <v>2315</v>
      </c>
      <c r="B1782" t="s">
        <v>755</v>
      </c>
      <c r="C1782" t="s">
        <v>81</v>
      </c>
      <c r="D1782" t="s">
        <v>27</v>
      </c>
      <c r="E1782" s="1">
        <v>45806</v>
      </c>
      <c r="F1782" s="1">
        <v>45828</v>
      </c>
      <c r="G1782" s="1">
        <v>45828</v>
      </c>
      <c r="H1782" t="s">
        <v>17</v>
      </c>
      <c r="I1782">
        <v>1</v>
      </c>
      <c r="J1782">
        <v>20</v>
      </c>
      <c r="K1782">
        <v>240000</v>
      </c>
      <c r="L1782">
        <v>0</v>
      </c>
      <c r="M1782" t="s">
        <v>82</v>
      </c>
      <c r="N1782" t="str">
        <f>_xlfn.XLOOKUP(B1782,tblCustomers[customer_id],tblCustomers[region],"Missing")</f>
        <v>North</v>
      </c>
      <c r="O1782" t="str">
        <f>_xlfn.XLOOKUP(C1782,tblProducts[product_id],tblProducts[product_name],"Missing")</f>
        <v>Analytics Cloud</v>
      </c>
      <c r="P1782" t="str">
        <f>_xlfn.XLOOKUP(C1782,tblProducts[product_id],tblProducts[category],"Missing")</f>
        <v>Analytics</v>
      </c>
      <c r="Q1782" t="str">
        <f>_xlfn.XLOOKUP(D1782,tblSalesReps[rep_id],tblSalesReps[rep_name],"Missing")</f>
        <v>Sales Rep 06</v>
      </c>
      <c r="R1782" t="str">
        <f>_xlfn.XLOOKUP(D1782,tblSalesReps[rep_id],tblSalesReps[region],"Missing")</f>
        <v>North</v>
      </c>
    </row>
    <row r="1783" spans="1:18">
      <c r="A1783" t="s">
        <v>2316</v>
      </c>
      <c r="B1783" t="s">
        <v>147</v>
      </c>
      <c r="C1783" t="s">
        <v>26</v>
      </c>
      <c r="D1783" t="s">
        <v>36</v>
      </c>
      <c r="E1783" s="1">
        <v>45851</v>
      </c>
      <c r="F1783" s="1">
        <v>45875</v>
      </c>
      <c r="G1783" s="1"/>
      <c r="H1783" t="s">
        <v>43</v>
      </c>
      <c r="I1783">
        <v>1</v>
      </c>
      <c r="J1783">
        <v>20</v>
      </c>
      <c r="K1783">
        <v>288000</v>
      </c>
      <c r="L1783">
        <v>40</v>
      </c>
      <c r="M1783" t="s">
        <v>29</v>
      </c>
      <c r="N1783" t="str">
        <f>_xlfn.XLOOKUP(B1783,tblCustomers[customer_id],tblCustomers[region],"Missing")</f>
        <v>North</v>
      </c>
      <c r="O1783" t="str">
        <f>_xlfn.XLOOKUP(C1783,tblProducts[product_id],tblProducts[product_name],"Missing")</f>
        <v>Security Suite</v>
      </c>
      <c r="P1783" t="str">
        <f>_xlfn.XLOOKUP(C1783,tblProducts[product_id],tblProducts[category],"Missing")</f>
        <v>Security</v>
      </c>
      <c r="Q1783" t="str">
        <f>_xlfn.XLOOKUP(D1783,tblSalesReps[rep_id],tblSalesReps[rep_name],"Missing")</f>
        <v>Sales Rep 09</v>
      </c>
      <c r="R1783" t="str">
        <f>_xlfn.XLOOKUP(D1783,tblSalesReps[rep_id],tblSalesReps[region],"Missing")</f>
        <v>North</v>
      </c>
    </row>
    <row r="1784" spans="1:18">
      <c r="A1784" t="s">
        <v>2317</v>
      </c>
      <c r="B1784" t="s">
        <v>423</v>
      </c>
      <c r="C1784" t="s">
        <v>39</v>
      </c>
      <c r="D1784" t="s">
        <v>22</v>
      </c>
      <c r="E1784" s="1">
        <v>45933</v>
      </c>
      <c r="F1784" s="1">
        <v>46011</v>
      </c>
      <c r="G1784" s="1">
        <v>46011</v>
      </c>
      <c r="H1784" t="s">
        <v>28</v>
      </c>
      <c r="I1784">
        <v>1</v>
      </c>
      <c r="J1784">
        <v>15</v>
      </c>
      <c r="K1784">
        <v>153000</v>
      </c>
      <c r="L1784">
        <v>100</v>
      </c>
      <c r="M1784" t="s">
        <v>29</v>
      </c>
      <c r="N1784" t="str">
        <f>_xlfn.XLOOKUP(B1784,tblCustomers[customer_id],tblCustomers[region],"Missing")</f>
        <v>West</v>
      </c>
      <c r="O1784" t="str">
        <f>_xlfn.XLOOKUP(C1784,tblProducts[product_id],tblProducts[product_name],"Missing")</f>
        <v>Support Desk</v>
      </c>
      <c r="P1784" t="str">
        <f>_xlfn.XLOOKUP(C1784,tblProducts[product_id],tblProducts[category],"Missing")</f>
        <v>Service</v>
      </c>
      <c r="Q1784" t="str">
        <f>_xlfn.XLOOKUP(D1784,tblSalesReps[rep_id],tblSalesReps[rep_name],"Missing")</f>
        <v>Sales Rep 14</v>
      </c>
      <c r="R1784" t="str">
        <f>_xlfn.XLOOKUP(D1784,tblSalesReps[rep_id],tblSalesReps[region],"Missing")</f>
        <v>West</v>
      </c>
    </row>
    <row r="1785" spans="1:18">
      <c r="A1785" t="s">
        <v>2318</v>
      </c>
      <c r="B1785" t="s">
        <v>1361</v>
      </c>
      <c r="C1785" t="s">
        <v>26</v>
      </c>
      <c r="D1785" t="s">
        <v>36</v>
      </c>
      <c r="E1785" s="1">
        <v>45674</v>
      </c>
      <c r="F1785" s="1">
        <v>45750</v>
      </c>
      <c r="G1785" s="1"/>
      <c r="H1785" t="s">
        <v>43</v>
      </c>
      <c r="I1785">
        <v>1</v>
      </c>
      <c r="J1785">
        <v>5</v>
      </c>
      <c r="K1785">
        <v>342000</v>
      </c>
      <c r="L1785">
        <v>20</v>
      </c>
      <c r="M1785" t="s">
        <v>29</v>
      </c>
      <c r="N1785" t="str">
        <f>_xlfn.XLOOKUP(B1785,tblCustomers[customer_id],tblCustomers[region],"Missing")</f>
        <v>North</v>
      </c>
      <c r="O1785" t="str">
        <f>_xlfn.XLOOKUP(C1785,tblProducts[product_id],tblProducts[product_name],"Missing")</f>
        <v>Security Suite</v>
      </c>
      <c r="P1785" t="str">
        <f>_xlfn.XLOOKUP(C1785,tblProducts[product_id],tblProducts[category],"Missing")</f>
        <v>Security</v>
      </c>
      <c r="Q1785" t="str">
        <f>_xlfn.XLOOKUP(D1785,tblSalesReps[rep_id],tblSalesReps[rep_name],"Missing")</f>
        <v>Sales Rep 09</v>
      </c>
      <c r="R1785" t="str">
        <f>_xlfn.XLOOKUP(D1785,tblSalesReps[rep_id],tblSalesReps[region],"Missing")</f>
        <v>North</v>
      </c>
    </row>
    <row r="1786" spans="1:18">
      <c r="A1786" t="s">
        <v>2319</v>
      </c>
      <c r="B1786" t="s">
        <v>1024</v>
      </c>
      <c r="C1786" t="s">
        <v>39</v>
      </c>
      <c r="D1786" t="s">
        <v>70</v>
      </c>
      <c r="E1786" s="1">
        <v>45715</v>
      </c>
      <c r="F1786" s="1">
        <v>45761</v>
      </c>
      <c r="G1786" s="1"/>
      <c r="H1786" t="s">
        <v>43</v>
      </c>
      <c r="I1786">
        <v>2</v>
      </c>
      <c r="J1786">
        <v>10</v>
      </c>
      <c r="K1786">
        <v>324000</v>
      </c>
      <c r="L1786">
        <v>20</v>
      </c>
      <c r="M1786" t="s">
        <v>29</v>
      </c>
      <c r="N1786" t="str">
        <f>_xlfn.XLOOKUP(B1786,tblCustomers[customer_id],tblCustomers[region],"Missing")</f>
        <v>West</v>
      </c>
      <c r="O1786" t="str">
        <f>_xlfn.XLOOKUP(C1786,tblProducts[product_id],tblProducts[product_name],"Missing")</f>
        <v>Support Desk</v>
      </c>
      <c r="P1786" t="str">
        <f>_xlfn.XLOOKUP(C1786,tblProducts[product_id],tblProducts[category],"Missing")</f>
        <v>Service</v>
      </c>
      <c r="Q1786" t="str">
        <f>_xlfn.XLOOKUP(D1786,tblSalesReps[rep_id],tblSalesReps[rep_name],"Missing")</f>
        <v>Sales Rep 11</v>
      </c>
      <c r="R1786" t="str">
        <f>_xlfn.XLOOKUP(D1786,tblSalesReps[rep_id],tblSalesReps[region],"Missing")</f>
        <v>West</v>
      </c>
    </row>
    <row r="1787" spans="1:18">
      <c r="A1787" t="s">
        <v>2320</v>
      </c>
      <c r="B1787" t="s">
        <v>1368</v>
      </c>
      <c r="C1787" t="s">
        <v>62</v>
      </c>
      <c r="D1787" t="s">
        <v>36</v>
      </c>
      <c r="E1787" s="1">
        <v>46020</v>
      </c>
      <c r="F1787" s="1">
        <v>46098</v>
      </c>
      <c r="G1787" s="1"/>
      <c r="H1787" t="s">
        <v>43</v>
      </c>
      <c r="I1787">
        <v>1</v>
      </c>
      <c r="J1787">
        <v>15</v>
      </c>
      <c r="K1787">
        <v>102000</v>
      </c>
      <c r="L1787">
        <v>60</v>
      </c>
      <c r="M1787" t="s">
        <v>29</v>
      </c>
      <c r="N1787" t="str">
        <f>_xlfn.XLOOKUP(B1787,tblCustomers[customer_id],tblCustomers[region],"Missing")</f>
        <v>North</v>
      </c>
      <c r="O1787" t="str">
        <f>_xlfn.XLOOKUP(C1787,tblProducts[product_id],tblProducts[product_name],"Missing")</f>
        <v>CRM Essentials</v>
      </c>
      <c r="P1787" t="str">
        <f>_xlfn.XLOOKUP(C1787,tblProducts[product_id],tblProducts[category],"Missing")</f>
        <v>CRM</v>
      </c>
      <c r="Q1787" t="str">
        <f>_xlfn.XLOOKUP(D1787,tblSalesReps[rep_id],tblSalesReps[rep_name],"Missing")</f>
        <v>Sales Rep 09</v>
      </c>
      <c r="R1787" t="str">
        <f>_xlfn.XLOOKUP(D1787,tblSalesReps[rep_id],tblSalesReps[region],"Missing")</f>
        <v>North</v>
      </c>
    </row>
    <row r="1788" spans="1:18">
      <c r="A1788" t="s">
        <v>2321</v>
      </c>
      <c r="B1788" t="s">
        <v>2017</v>
      </c>
      <c r="C1788" t="s">
        <v>21</v>
      </c>
      <c r="D1788" t="s">
        <v>50</v>
      </c>
      <c r="E1788" s="1">
        <v>45978</v>
      </c>
      <c r="F1788" s="1">
        <v>46058</v>
      </c>
      <c r="G1788" s="1"/>
      <c r="H1788" t="s">
        <v>43</v>
      </c>
      <c r="I1788">
        <v>1</v>
      </c>
      <c r="J1788">
        <v>5</v>
      </c>
      <c r="K1788">
        <v>228000</v>
      </c>
      <c r="L1788">
        <v>20</v>
      </c>
      <c r="M1788" t="s">
        <v>29</v>
      </c>
      <c r="N1788" t="str">
        <f>_xlfn.XLOOKUP(B1788,tblCustomers[customer_id],tblCustomers[region],"Missing")</f>
        <v>West</v>
      </c>
      <c r="O1788" t="str">
        <f>_xlfn.XLOOKUP(C1788,tblProducts[product_id],tblProducts[product_name],"Missing")</f>
        <v>Workflow Automate</v>
      </c>
      <c r="P1788" t="str">
        <f>_xlfn.XLOOKUP(C1788,tblProducts[product_id],tblProducts[category],"Missing")</f>
        <v>Automation</v>
      </c>
      <c r="Q1788" t="str">
        <f>_xlfn.XLOOKUP(D1788,tblSalesReps[rep_id],tblSalesReps[rep_name],"Missing")</f>
        <v>Sales Rep 15</v>
      </c>
      <c r="R1788" t="str">
        <f>_xlfn.XLOOKUP(D1788,tblSalesReps[rep_id],tblSalesReps[region],"Missing")</f>
        <v>West</v>
      </c>
    </row>
    <row r="1789" spans="1:18">
      <c r="A1789" t="s">
        <v>2322</v>
      </c>
      <c r="B1789" t="s">
        <v>1220</v>
      </c>
      <c r="C1789" t="s">
        <v>81</v>
      </c>
      <c r="D1789" t="s">
        <v>78</v>
      </c>
      <c r="E1789" s="1">
        <v>45908</v>
      </c>
      <c r="F1789" s="1">
        <v>45969</v>
      </c>
      <c r="G1789" s="1">
        <v>45969</v>
      </c>
      <c r="H1789" t="s">
        <v>17</v>
      </c>
      <c r="I1789">
        <v>3</v>
      </c>
      <c r="J1789">
        <v>15</v>
      </c>
      <c r="K1789">
        <v>765000</v>
      </c>
      <c r="L1789">
        <v>0</v>
      </c>
      <c r="M1789" t="s">
        <v>82</v>
      </c>
      <c r="N1789" t="str">
        <f>_xlfn.XLOOKUP(B1789,tblCustomers[customer_id],tblCustomers[region],"Missing")</f>
        <v>West</v>
      </c>
      <c r="O1789" t="str">
        <f>_xlfn.XLOOKUP(C1789,tblProducts[product_id],tblProducts[product_name],"Missing")</f>
        <v>Analytics Cloud</v>
      </c>
      <c r="P1789" t="str">
        <f>_xlfn.XLOOKUP(C1789,tblProducts[product_id],tblProducts[category],"Missing")</f>
        <v>Analytics</v>
      </c>
      <c r="Q1789" t="str">
        <f>_xlfn.XLOOKUP(D1789,tblSalesReps[rep_id],tblSalesReps[rep_name],"Missing")</f>
        <v>Sales Rep 12</v>
      </c>
      <c r="R1789" t="str">
        <f>_xlfn.XLOOKUP(D1789,tblSalesReps[rep_id],tblSalesReps[region],"Missing")</f>
        <v>West</v>
      </c>
    </row>
    <row r="1790" spans="1:18">
      <c r="A1790" t="s">
        <v>2323</v>
      </c>
      <c r="B1790" t="s">
        <v>524</v>
      </c>
      <c r="C1790" t="s">
        <v>62</v>
      </c>
      <c r="D1790" t="s">
        <v>63</v>
      </c>
      <c r="E1790" s="1">
        <v>45835</v>
      </c>
      <c r="F1790" s="1">
        <v>45913</v>
      </c>
      <c r="G1790" s="1">
        <v>45913</v>
      </c>
      <c r="H1790" t="s">
        <v>28</v>
      </c>
      <c r="I1790">
        <v>1</v>
      </c>
      <c r="J1790">
        <v>20</v>
      </c>
      <c r="K1790">
        <v>96000</v>
      </c>
      <c r="L1790">
        <v>100</v>
      </c>
      <c r="M1790" t="s">
        <v>29</v>
      </c>
      <c r="N1790" t="str">
        <f>_xlfn.XLOOKUP(B1790,tblCustomers[customer_id],tblCustomers[region],"Missing")</f>
        <v>South</v>
      </c>
      <c r="O1790" t="str">
        <f>_xlfn.XLOOKUP(C1790,tblProducts[product_id],tblProducts[product_name],"Missing")</f>
        <v>CRM Essentials</v>
      </c>
      <c r="P1790" t="str">
        <f>_xlfn.XLOOKUP(C1790,tblProducts[product_id],tblProducts[category],"Missing")</f>
        <v>CRM</v>
      </c>
      <c r="Q1790" t="str">
        <f>_xlfn.XLOOKUP(D1790,tblSalesReps[rep_id],tblSalesReps[rep_name],"Missing")</f>
        <v>Sales Rep 05</v>
      </c>
      <c r="R1790" t="str">
        <f>_xlfn.XLOOKUP(D1790,tblSalesReps[rep_id],tblSalesReps[region],"Missing")</f>
        <v>South</v>
      </c>
    </row>
    <row r="1791" spans="1:18">
      <c r="A1791" t="s">
        <v>2324</v>
      </c>
      <c r="B1791" t="s">
        <v>2325</v>
      </c>
      <c r="C1791" t="s">
        <v>81</v>
      </c>
      <c r="D1791" t="s">
        <v>59</v>
      </c>
      <c r="E1791" s="1">
        <v>45716</v>
      </c>
      <c r="F1791" s="1">
        <v>45726</v>
      </c>
      <c r="G1791" s="1">
        <v>45726</v>
      </c>
      <c r="H1791" t="s">
        <v>17</v>
      </c>
      <c r="I1791">
        <v>1</v>
      </c>
      <c r="J1791">
        <v>0</v>
      </c>
      <c r="K1791">
        <v>300000</v>
      </c>
      <c r="L1791">
        <v>0</v>
      </c>
      <c r="M1791" t="s">
        <v>23</v>
      </c>
      <c r="N1791" t="str">
        <f>_xlfn.XLOOKUP(B1791,tblCustomers[customer_id],tblCustomers[region],"Missing")</f>
        <v>East</v>
      </c>
      <c r="O1791" t="str">
        <f>_xlfn.XLOOKUP(C1791,tblProducts[product_id],tblProducts[product_name],"Missing")</f>
        <v>Analytics Cloud</v>
      </c>
      <c r="P1791" t="str">
        <f>_xlfn.XLOOKUP(C1791,tblProducts[product_id],tblProducts[category],"Missing")</f>
        <v>Analytics</v>
      </c>
      <c r="Q1791" t="str">
        <f>_xlfn.XLOOKUP(D1791,tblSalesReps[rep_id],tblSalesReps[rep_name],"Missing")</f>
        <v>Sales Rep 19</v>
      </c>
      <c r="R1791" t="str">
        <f>_xlfn.XLOOKUP(D1791,tblSalesReps[rep_id],tblSalesReps[region],"Missing")</f>
        <v>East</v>
      </c>
    </row>
    <row r="1792" spans="1:18">
      <c r="A1792" t="s">
        <v>2326</v>
      </c>
      <c r="B1792" t="s">
        <v>1147</v>
      </c>
      <c r="C1792" t="s">
        <v>15</v>
      </c>
      <c r="D1792" t="s">
        <v>36</v>
      </c>
      <c r="E1792" s="1">
        <v>45786</v>
      </c>
      <c r="F1792" s="1">
        <v>45813</v>
      </c>
      <c r="G1792" s="1">
        <v>45813</v>
      </c>
      <c r="H1792" t="s">
        <v>17</v>
      </c>
      <c r="I1792">
        <v>1</v>
      </c>
      <c r="J1792">
        <v>10</v>
      </c>
      <c r="K1792">
        <v>378000</v>
      </c>
      <c r="L1792">
        <v>0</v>
      </c>
      <c r="M1792" t="s">
        <v>23</v>
      </c>
      <c r="N1792" t="str">
        <f>_xlfn.XLOOKUP(B1792,tblCustomers[customer_id],tblCustomers[region],"Missing")</f>
        <v>North</v>
      </c>
      <c r="O1792" t="str">
        <f>_xlfn.XLOOKUP(C1792,tblProducts[product_id],tblProducts[product_name],"Missing")</f>
        <v>CRM Enterprise</v>
      </c>
      <c r="P1792" t="str">
        <f>_xlfn.XLOOKUP(C1792,tblProducts[product_id],tblProducts[category],"Missing")</f>
        <v>CRM</v>
      </c>
      <c r="Q1792" t="str">
        <f>_xlfn.XLOOKUP(D1792,tblSalesReps[rep_id],tblSalesReps[rep_name],"Missing")</f>
        <v>Sales Rep 09</v>
      </c>
      <c r="R1792" t="str">
        <f>_xlfn.XLOOKUP(D1792,tblSalesReps[rep_id],tblSalesReps[region],"Missing")</f>
        <v>North</v>
      </c>
    </row>
    <row r="1793" spans="1:18">
      <c r="A1793" t="s">
        <v>2327</v>
      </c>
      <c r="B1793" t="s">
        <v>2270</v>
      </c>
      <c r="C1793" t="s">
        <v>81</v>
      </c>
      <c r="D1793" t="s">
        <v>63</v>
      </c>
      <c r="E1793" s="1">
        <v>45667</v>
      </c>
      <c r="F1793" s="1">
        <v>45751</v>
      </c>
      <c r="G1793" s="1">
        <v>45751</v>
      </c>
      <c r="H1793" t="s">
        <v>28</v>
      </c>
      <c r="I1793">
        <v>3</v>
      </c>
      <c r="J1793">
        <v>0</v>
      </c>
      <c r="K1793">
        <v>900000</v>
      </c>
      <c r="L1793">
        <v>100</v>
      </c>
      <c r="M1793" t="s">
        <v>29</v>
      </c>
      <c r="N1793" t="str">
        <f>_xlfn.XLOOKUP(B1793,tblCustomers[customer_id],tblCustomers[region],"Missing")</f>
        <v>South</v>
      </c>
      <c r="O1793" t="str">
        <f>_xlfn.XLOOKUP(C1793,tblProducts[product_id],tblProducts[product_name],"Missing")</f>
        <v>Analytics Cloud</v>
      </c>
      <c r="P1793" t="str">
        <f>_xlfn.XLOOKUP(C1793,tblProducts[product_id],tblProducts[category],"Missing")</f>
        <v>Analytics</v>
      </c>
      <c r="Q1793" t="str">
        <f>_xlfn.XLOOKUP(D1793,tblSalesReps[rep_id],tblSalesReps[rep_name],"Missing")</f>
        <v>Sales Rep 05</v>
      </c>
      <c r="R1793" t="str">
        <f>_xlfn.XLOOKUP(D1793,tblSalesReps[rep_id],tblSalesReps[region],"Missing")</f>
        <v>South</v>
      </c>
    </row>
    <row r="1794" spans="1:18">
      <c r="A1794" t="s">
        <v>2328</v>
      </c>
      <c r="B1794" t="s">
        <v>696</v>
      </c>
      <c r="C1794" t="s">
        <v>26</v>
      </c>
      <c r="D1794" t="s">
        <v>36</v>
      </c>
      <c r="E1794" s="1">
        <v>45718</v>
      </c>
      <c r="F1794" s="1">
        <v>45748</v>
      </c>
      <c r="G1794" s="1">
        <v>45748</v>
      </c>
      <c r="H1794" t="s">
        <v>28</v>
      </c>
      <c r="I1794">
        <v>1</v>
      </c>
      <c r="J1794">
        <v>15</v>
      </c>
      <c r="K1794">
        <v>306000</v>
      </c>
      <c r="L1794">
        <v>100</v>
      </c>
      <c r="M1794" t="s">
        <v>29</v>
      </c>
      <c r="N1794" t="str">
        <f>_xlfn.XLOOKUP(B1794,tblCustomers[customer_id],tblCustomers[region],"Missing")</f>
        <v>North</v>
      </c>
      <c r="O1794" t="str">
        <f>_xlfn.XLOOKUP(C1794,tblProducts[product_id],tblProducts[product_name],"Missing")</f>
        <v>Security Suite</v>
      </c>
      <c r="P1794" t="str">
        <f>_xlfn.XLOOKUP(C1794,tblProducts[product_id],tblProducts[category],"Missing")</f>
        <v>Security</v>
      </c>
      <c r="Q1794" t="str">
        <f>_xlfn.XLOOKUP(D1794,tblSalesReps[rep_id],tblSalesReps[rep_name],"Missing")</f>
        <v>Sales Rep 09</v>
      </c>
      <c r="R1794" t="str">
        <f>_xlfn.XLOOKUP(D1794,tblSalesReps[rep_id],tblSalesReps[region],"Missing")</f>
        <v>North</v>
      </c>
    </row>
    <row r="1795" spans="1:18">
      <c r="A1795" t="s">
        <v>2329</v>
      </c>
      <c r="B1795" t="s">
        <v>2330</v>
      </c>
      <c r="C1795" t="s">
        <v>81</v>
      </c>
      <c r="D1795" t="s">
        <v>46</v>
      </c>
      <c r="E1795" s="1">
        <v>45998</v>
      </c>
      <c r="F1795" s="1">
        <v>46051</v>
      </c>
      <c r="G1795" s="1"/>
      <c r="H1795" t="s">
        <v>43</v>
      </c>
      <c r="I1795">
        <v>1</v>
      </c>
      <c r="J1795">
        <v>15</v>
      </c>
      <c r="K1795">
        <v>255000</v>
      </c>
      <c r="L1795">
        <v>40</v>
      </c>
      <c r="M1795" t="s">
        <v>29</v>
      </c>
      <c r="N1795" t="str">
        <f>_xlfn.XLOOKUP(B1795,tblCustomers[customer_id],tblCustomers[region],"Missing")</f>
        <v>South</v>
      </c>
      <c r="O1795" t="str">
        <f>_xlfn.XLOOKUP(C1795,tblProducts[product_id],tblProducts[product_name],"Missing")</f>
        <v>Analytics Cloud</v>
      </c>
      <c r="P1795" t="str">
        <f>_xlfn.XLOOKUP(C1795,tblProducts[product_id],tblProducts[category],"Missing")</f>
        <v>Analytics</v>
      </c>
      <c r="Q1795" t="str">
        <f>_xlfn.XLOOKUP(D1795,tblSalesReps[rep_id],tblSalesReps[rep_name],"Missing")</f>
        <v>Sales Rep 01</v>
      </c>
      <c r="R1795" t="str">
        <f>_xlfn.XLOOKUP(D1795,tblSalesReps[rep_id],tblSalesReps[region],"Missing")</f>
        <v>South</v>
      </c>
    </row>
    <row r="1796" spans="1:18">
      <c r="A1796" t="s">
        <v>2331</v>
      </c>
      <c r="B1796" t="s">
        <v>1445</v>
      </c>
      <c r="C1796" t="s">
        <v>39</v>
      </c>
      <c r="D1796" t="s">
        <v>27</v>
      </c>
      <c r="E1796" s="1">
        <v>45896</v>
      </c>
      <c r="F1796" s="1">
        <v>45929</v>
      </c>
      <c r="G1796" s="1">
        <v>45929</v>
      </c>
      <c r="H1796" t="s">
        <v>17</v>
      </c>
      <c r="I1796">
        <v>1</v>
      </c>
      <c r="J1796">
        <v>15</v>
      </c>
      <c r="K1796">
        <v>153000</v>
      </c>
      <c r="L1796">
        <v>0</v>
      </c>
      <c r="M1796" t="s">
        <v>33</v>
      </c>
      <c r="N1796" t="str">
        <f>_xlfn.XLOOKUP(B1796,tblCustomers[customer_id],tblCustomers[region],"Missing")</f>
        <v>North</v>
      </c>
      <c r="O1796" t="str">
        <f>_xlfn.XLOOKUP(C1796,tblProducts[product_id],tblProducts[product_name],"Missing")</f>
        <v>Support Desk</v>
      </c>
      <c r="P1796" t="str">
        <f>_xlfn.XLOOKUP(C1796,tblProducts[product_id],tblProducts[category],"Missing")</f>
        <v>Service</v>
      </c>
      <c r="Q1796" t="str">
        <f>_xlfn.XLOOKUP(D1796,tblSalesReps[rep_id],tblSalesReps[rep_name],"Missing")</f>
        <v>Sales Rep 06</v>
      </c>
      <c r="R1796" t="str">
        <f>_xlfn.XLOOKUP(D1796,tblSalesReps[rep_id],tblSalesReps[region],"Missing")</f>
        <v>North</v>
      </c>
    </row>
    <row r="1797" spans="1:18">
      <c r="A1797" t="s">
        <v>2332</v>
      </c>
      <c r="B1797" t="s">
        <v>544</v>
      </c>
      <c r="C1797" t="s">
        <v>81</v>
      </c>
      <c r="D1797" t="s">
        <v>22</v>
      </c>
      <c r="E1797" s="1">
        <v>45960</v>
      </c>
      <c r="F1797" s="1">
        <v>45994</v>
      </c>
      <c r="G1797" s="1">
        <v>45994</v>
      </c>
      <c r="H1797" t="s">
        <v>28</v>
      </c>
      <c r="I1797">
        <v>1</v>
      </c>
      <c r="J1797">
        <v>15</v>
      </c>
      <c r="K1797">
        <v>255000</v>
      </c>
      <c r="L1797">
        <v>100</v>
      </c>
      <c r="M1797" t="s">
        <v>29</v>
      </c>
      <c r="N1797" t="str">
        <f>_xlfn.XLOOKUP(B1797,tblCustomers[customer_id],tblCustomers[region],"Missing")</f>
        <v>West</v>
      </c>
      <c r="O1797" t="str">
        <f>_xlfn.XLOOKUP(C1797,tblProducts[product_id],tblProducts[product_name],"Missing")</f>
        <v>Analytics Cloud</v>
      </c>
      <c r="P1797" t="str">
        <f>_xlfn.XLOOKUP(C1797,tblProducts[product_id],tblProducts[category],"Missing")</f>
        <v>Analytics</v>
      </c>
      <c r="Q1797" t="str">
        <f>_xlfn.XLOOKUP(D1797,tblSalesReps[rep_id],tblSalesReps[rep_name],"Missing")</f>
        <v>Sales Rep 14</v>
      </c>
      <c r="R1797" t="str">
        <f>_xlfn.XLOOKUP(D1797,tblSalesReps[rep_id],tblSalesReps[region],"Missing")</f>
        <v>West</v>
      </c>
    </row>
    <row r="1798" spans="1:18">
      <c r="A1798" t="s">
        <v>2333</v>
      </c>
      <c r="B1798" t="s">
        <v>557</v>
      </c>
      <c r="C1798" t="s">
        <v>21</v>
      </c>
      <c r="D1798" t="s">
        <v>91</v>
      </c>
      <c r="E1798" s="1">
        <v>45923</v>
      </c>
      <c r="F1798" s="1">
        <v>45979</v>
      </c>
      <c r="G1798" s="1">
        <v>45979</v>
      </c>
      <c r="H1798" t="s">
        <v>17</v>
      </c>
      <c r="I1798">
        <v>2</v>
      </c>
      <c r="J1798">
        <v>20</v>
      </c>
      <c r="K1798">
        <v>384000</v>
      </c>
      <c r="L1798">
        <v>0</v>
      </c>
      <c r="M1798" t="s">
        <v>33</v>
      </c>
      <c r="N1798" t="str">
        <f>_xlfn.XLOOKUP(B1798,tblCustomers[customer_id],tblCustomers[region],"Missing")</f>
        <v>South</v>
      </c>
      <c r="O1798" t="str">
        <f>_xlfn.XLOOKUP(C1798,tblProducts[product_id],tblProducts[product_name],"Missing")</f>
        <v>Workflow Automate</v>
      </c>
      <c r="P1798" t="str">
        <f>_xlfn.XLOOKUP(C1798,tblProducts[product_id],tblProducts[category],"Missing")</f>
        <v>Automation</v>
      </c>
      <c r="Q1798" t="str">
        <f>_xlfn.XLOOKUP(D1798,tblSalesReps[rep_id],tblSalesReps[rep_name],"Missing")</f>
        <v>Sales Rep 03</v>
      </c>
      <c r="R1798" t="str">
        <f>_xlfn.XLOOKUP(D1798,tblSalesReps[rep_id],tblSalesReps[region],"Missing")</f>
        <v>South</v>
      </c>
    </row>
    <row r="1799" spans="1:18">
      <c r="A1799" t="s">
        <v>2334</v>
      </c>
      <c r="B1799" t="s">
        <v>1896</v>
      </c>
      <c r="C1799" t="s">
        <v>26</v>
      </c>
      <c r="D1799" t="s">
        <v>126</v>
      </c>
      <c r="E1799" s="1">
        <v>45787</v>
      </c>
      <c r="F1799" s="1">
        <v>45840</v>
      </c>
      <c r="G1799" s="1">
        <v>45840</v>
      </c>
      <c r="H1799" t="s">
        <v>28</v>
      </c>
      <c r="I1799">
        <v>1</v>
      </c>
      <c r="J1799">
        <v>15</v>
      </c>
      <c r="K1799">
        <v>306000</v>
      </c>
      <c r="L1799">
        <v>100</v>
      </c>
      <c r="M1799" t="s">
        <v>29</v>
      </c>
      <c r="N1799" t="str">
        <f>_xlfn.XLOOKUP(B1799,tblCustomers[customer_id],tblCustomers[region],"Missing")</f>
        <v>South</v>
      </c>
      <c r="O1799" t="str">
        <f>_xlfn.XLOOKUP(C1799,tblProducts[product_id],tblProducts[product_name],"Missing")</f>
        <v>Security Suite</v>
      </c>
      <c r="P1799" t="str">
        <f>_xlfn.XLOOKUP(C1799,tblProducts[product_id],tblProducts[category],"Missing")</f>
        <v>Security</v>
      </c>
      <c r="Q1799" t="str">
        <f>_xlfn.XLOOKUP(D1799,tblSalesReps[rep_id],tblSalesReps[rep_name],"Missing")</f>
        <v>Sales Rep 02</v>
      </c>
      <c r="R1799" t="str">
        <f>_xlfn.XLOOKUP(D1799,tblSalesReps[rep_id],tblSalesReps[region],"Missing")</f>
        <v>South</v>
      </c>
    </row>
    <row r="1800" spans="1:18">
      <c r="A1800" t="s">
        <v>2335</v>
      </c>
      <c r="B1800" t="s">
        <v>686</v>
      </c>
      <c r="C1800" t="s">
        <v>21</v>
      </c>
      <c r="D1800" t="s">
        <v>78</v>
      </c>
      <c r="E1800" s="1">
        <v>45986</v>
      </c>
      <c r="F1800" s="1">
        <v>46035</v>
      </c>
      <c r="G1800" s="1"/>
      <c r="H1800" t="s">
        <v>43</v>
      </c>
      <c r="I1800">
        <v>1</v>
      </c>
      <c r="J1800">
        <v>5</v>
      </c>
      <c r="K1800">
        <v>228000</v>
      </c>
      <c r="L1800">
        <v>80</v>
      </c>
      <c r="M1800" t="s">
        <v>29</v>
      </c>
      <c r="N1800" t="str">
        <f>_xlfn.XLOOKUP(B1800,tblCustomers[customer_id],tblCustomers[region],"Missing")</f>
        <v>West</v>
      </c>
      <c r="O1800" t="str">
        <f>_xlfn.XLOOKUP(C1800,tblProducts[product_id],tblProducts[product_name],"Missing")</f>
        <v>Workflow Automate</v>
      </c>
      <c r="P1800" t="str">
        <f>_xlfn.XLOOKUP(C1800,tblProducts[product_id],tblProducts[category],"Missing")</f>
        <v>Automation</v>
      </c>
      <c r="Q1800" t="str">
        <f>_xlfn.XLOOKUP(D1800,tblSalesReps[rep_id],tblSalesReps[rep_name],"Missing")</f>
        <v>Sales Rep 12</v>
      </c>
      <c r="R1800" t="str">
        <f>_xlfn.XLOOKUP(D1800,tblSalesReps[rep_id],tblSalesReps[region],"Missing")</f>
        <v>West</v>
      </c>
    </row>
    <row r="1801" spans="1:18">
      <c r="A1801" t="s">
        <v>2336</v>
      </c>
      <c r="B1801" t="s">
        <v>45</v>
      </c>
      <c r="C1801" t="s">
        <v>21</v>
      </c>
      <c r="D1801" t="s">
        <v>32</v>
      </c>
      <c r="E1801" s="1">
        <v>45955</v>
      </c>
      <c r="F1801" s="1">
        <v>46039</v>
      </c>
      <c r="G1801" s="1"/>
      <c r="H1801" t="s">
        <v>43</v>
      </c>
      <c r="I1801">
        <v>1</v>
      </c>
      <c r="J1801">
        <v>5</v>
      </c>
      <c r="K1801">
        <v>228000</v>
      </c>
      <c r="L1801">
        <v>80</v>
      </c>
      <c r="M1801" t="s">
        <v>29</v>
      </c>
      <c r="N1801" t="str">
        <f>_xlfn.XLOOKUP(B1801,tblCustomers[customer_id],tblCustomers[region],"Missing")</f>
        <v>South</v>
      </c>
      <c r="O1801" t="str">
        <f>_xlfn.XLOOKUP(C1801,tblProducts[product_id],tblProducts[product_name],"Missing")</f>
        <v>Workflow Automate</v>
      </c>
      <c r="P1801" t="str">
        <f>_xlfn.XLOOKUP(C1801,tblProducts[product_id],tblProducts[category],"Missing")</f>
        <v>Automation</v>
      </c>
      <c r="Q1801" t="str">
        <f>_xlfn.XLOOKUP(D1801,tblSalesReps[rep_id],tblSalesReps[rep_name],"Missing")</f>
        <v>Sales Rep 04</v>
      </c>
      <c r="R1801" t="str">
        <f>_xlfn.XLOOKUP(D1801,tblSalesReps[rep_id],tblSalesReps[region],"Missing")</f>
        <v>South</v>
      </c>
    </row>
    <row r="1802" spans="1:18">
      <c r="A1802" t="s">
        <v>2337</v>
      </c>
      <c r="B1802" t="s">
        <v>636</v>
      </c>
      <c r="C1802" t="s">
        <v>81</v>
      </c>
      <c r="D1802" t="s">
        <v>75</v>
      </c>
      <c r="E1802" s="1">
        <v>45748</v>
      </c>
      <c r="F1802" s="1">
        <v>45787</v>
      </c>
      <c r="G1802" s="1"/>
      <c r="H1802" t="s">
        <v>43</v>
      </c>
      <c r="I1802">
        <v>1</v>
      </c>
      <c r="J1802">
        <v>10</v>
      </c>
      <c r="K1802">
        <v>270000</v>
      </c>
      <c r="L1802">
        <v>20</v>
      </c>
      <c r="M1802" t="s">
        <v>29</v>
      </c>
      <c r="N1802" t="str">
        <f>_xlfn.XLOOKUP(B1802,tblCustomers[customer_id],tblCustomers[region],"Missing")</f>
        <v>North</v>
      </c>
      <c r="O1802" t="str">
        <f>_xlfn.XLOOKUP(C1802,tblProducts[product_id],tblProducts[product_name],"Missing")</f>
        <v>Analytics Cloud</v>
      </c>
      <c r="P1802" t="str">
        <f>_xlfn.XLOOKUP(C1802,tblProducts[product_id],tblProducts[category],"Missing")</f>
        <v>Analytics</v>
      </c>
      <c r="Q1802" t="str">
        <f>_xlfn.XLOOKUP(D1802,tblSalesReps[rep_id],tblSalesReps[rep_name],"Missing")</f>
        <v>Sales Rep 07</v>
      </c>
      <c r="R1802" t="str">
        <f>_xlfn.XLOOKUP(D1802,tblSalesReps[rep_id],tblSalesReps[region],"Missing")</f>
        <v>North</v>
      </c>
    </row>
    <row r="1803" spans="1:18">
      <c r="A1803" t="s">
        <v>2338</v>
      </c>
      <c r="B1803" t="s">
        <v>828</v>
      </c>
      <c r="C1803" t="s">
        <v>26</v>
      </c>
      <c r="D1803" t="s">
        <v>50</v>
      </c>
      <c r="E1803" s="1">
        <v>45879</v>
      </c>
      <c r="F1803" s="1">
        <v>45923</v>
      </c>
      <c r="G1803" s="1">
        <v>45923</v>
      </c>
      <c r="H1803" t="s">
        <v>28</v>
      </c>
      <c r="I1803">
        <v>2</v>
      </c>
      <c r="J1803">
        <v>15</v>
      </c>
      <c r="K1803">
        <v>612000</v>
      </c>
      <c r="L1803">
        <v>100</v>
      </c>
      <c r="M1803" t="s">
        <v>29</v>
      </c>
      <c r="N1803" t="str">
        <f>_xlfn.XLOOKUP(B1803,tblCustomers[customer_id],tblCustomers[region],"Missing")</f>
        <v>West</v>
      </c>
      <c r="O1803" t="str">
        <f>_xlfn.XLOOKUP(C1803,tblProducts[product_id],tblProducts[product_name],"Missing")</f>
        <v>Security Suite</v>
      </c>
      <c r="P1803" t="str">
        <f>_xlfn.XLOOKUP(C1803,tblProducts[product_id],tblProducts[category],"Missing")</f>
        <v>Security</v>
      </c>
      <c r="Q1803" t="str">
        <f>_xlfn.XLOOKUP(D1803,tblSalesReps[rep_id],tblSalesReps[rep_name],"Missing")</f>
        <v>Sales Rep 15</v>
      </c>
      <c r="R1803" t="str">
        <f>_xlfn.XLOOKUP(D1803,tblSalesReps[rep_id],tblSalesReps[region],"Missing")</f>
        <v>West</v>
      </c>
    </row>
    <row r="1804" spans="1:18">
      <c r="A1804" t="s">
        <v>2339</v>
      </c>
      <c r="B1804" t="s">
        <v>524</v>
      </c>
      <c r="C1804" t="s">
        <v>15</v>
      </c>
      <c r="D1804" t="s">
        <v>46</v>
      </c>
      <c r="E1804" s="1">
        <v>46020</v>
      </c>
      <c r="F1804" s="1">
        <v>46100</v>
      </c>
      <c r="G1804" s="1"/>
      <c r="H1804" t="s">
        <v>43</v>
      </c>
      <c r="I1804">
        <v>1</v>
      </c>
      <c r="J1804">
        <v>0</v>
      </c>
      <c r="K1804">
        <v>420000</v>
      </c>
      <c r="L1804">
        <v>20</v>
      </c>
      <c r="M1804" t="s">
        <v>29</v>
      </c>
      <c r="N1804" t="str">
        <f>_xlfn.XLOOKUP(B1804,tblCustomers[customer_id],tblCustomers[region],"Missing")</f>
        <v>South</v>
      </c>
      <c r="O1804" t="str">
        <f>_xlfn.XLOOKUP(C1804,tblProducts[product_id],tblProducts[product_name],"Missing")</f>
        <v>CRM Enterprise</v>
      </c>
      <c r="P1804" t="str">
        <f>_xlfn.XLOOKUP(C1804,tblProducts[product_id],tblProducts[category],"Missing")</f>
        <v>CRM</v>
      </c>
      <c r="Q1804" t="str">
        <f>_xlfn.XLOOKUP(D1804,tblSalesReps[rep_id],tblSalesReps[rep_name],"Missing")</f>
        <v>Sales Rep 01</v>
      </c>
      <c r="R1804" t="str">
        <f>_xlfn.XLOOKUP(D1804,tblSalesReps[rep_id],tblSalesReps[region],"Missing")</f>
        <v>South</v>
      </c>
    </row>
    <row r="1805" spans="1:18">
      <c r="A1805" t="s">
        <v>2340</v>
      </c>
      <c r="B1805" t="s">
        <v>1074</v>
      </c>
      <c r="C1805" t="s">
        <v>39</v>
      </c>
      <c r="D1805" t="s">
        <v>46</v>
      </c>
      <c r="E1805" s="1">
        <v>46007</v>
      </c>
      <c r="F1805" s="1">
        <v>46055</v>
      </c>
      <c r="G1805" s="1"/>
      <c r="H1805" t="s">
        <v>43</v>
      </c>
      <c r="I1805">
        <v>1</v>
      </c>
      <c r="J1805">
        <v>15</v>
      </c>
      <c r="K1805">
        <v>153000</v>
      </c>
      <c r="L1805">
        <v>60</v>
      </c>
      <c r="M1805" t="s">
        <v>29</v>
      </c>
      <c r="N1805" t="str">
        <f>_xlfn.XLOOKUP(B1805,tblCustomers[customer_id],tblCustomers[region],"Missing")</f>
        <v>South</v>
      </c>
      <c r="O1805" t="str">
        <f>_xlfn.XLOOKUP(C1805,tblProducts[product_id],tblProducts[product_name],"Missing")</f>
        <v>Support Desk</v>
      </c>
      <c r="P1805" t="str">
        <f>_xlfn.XLOOKUP(C1805,tblProducts[product_id],tblProducts[category],"Missing")</f>
        <v>Service</v>
      </c>
      <c r="Q1805" t="str">
        <f>_xlfn.XLOOKUP(D1805,tblSalesReps[rep_id],tblSalesReps[rep_name],"Missing")</f>
        <v>Sales Rep 01</v>
      </c>
      <c r="R1805" t="str">
        <f>_xlfn.XLOOKUP(D1805,tblSalesReps[rep_id],tblSalesReps[region],"Missing")</f>
        <v>South</v>
      </c>
    </row>
    <row r="1806" spans="1:18">
      <c r="A1806" t="s">
        <v>2341</v>
      </c>
      <c r="B1806" t="s">
        <v>940</v>
      </c>
      <c r="C1806" t="s">
        <v>15</v>
      </c>
      <c r="D1806" t="s">
        <v>16</v>
      </c>
      <c r="E1806" s="1">
        <v>45886</v>
      </c>
      <c r="F1806" s="1">
        <v>45940</v>
      </c>
      <c r="G1806" s="1"/>
      <c r="H1806" t="s">
        <v>43</v>
      </c>
      <c r="I1806">
        <v>1</v>
      </c>
      <c r="J1806">
        <v>15</v>
      </c>
      <c r="K1806">
        <v>357000</v>
      </c>
      <c r="L1806">
        <v>40</v>
      </c>
      <c r="M1806" t="s">
        <v>29</v>
      </c>
      <c r="N1806" t="str">
        <f>_xlfn.XLOOKUP(B1806,tblCustomers[customer_id],tblCustomers[region],"Missing")</f>
        <v>North</v>
      </c>
      <c r="O1806" t="str">
        <f>_xlfn.XLOOKUP(C1806,tblProducts[product_id],tblProducts[product_name],"Missing")</f>
        <v>CRM Enterprise</v>
      </c>
      <c r="P1806" t="str">
        <f>_xlfn.XLOOKUP(C1806,tblProducts[product_id],tblProducts[category],"Missing")</f>
        <v>CRM</v>
      </c>
      <c r="Q1806" t="str">
        <f>_xlfn.XLOOKUP(D1806,tblSalesReps[rep_id],tblSalesReps[rep_name],"Missing")</f>
        <v>Sales Rep 08</v>
      </c>
      <c r="R1806" t="str">
        <f>_xlfn.XLOOKUP(D1806,tblSalesReps[rep_id],tblSalesReps[region],"Missing")</f>
        <v>North</v>
      </c>
    </row>
    <row r="1807" spans="1:18">
      <c r="A1807" t="s">
        <v>2342</v>
      </c>
      <c r="B1807" t="s">
        <v>994</v>
      </c>
      <c r="C1807" t="s">
        <v>21</v>
      </c>
      <c r="D1807" t="s">
        <v>36</v>
      </c>
      <c r="E1807" s="1">
        <v>45898</v>
      </c>
      <c r="F1807" s="1">
        <v>45915</v>
      </c>
      <c r="G1807" s="1">
        <v>45915</v>
      </c>
      <c r="H1807" t="s">
        <v>28</v>
      </c>
      <c r="I1807">
        <v>3</v>
      </c>
      <c r="J1807">
        <v>0</v>
      </c>
      <c r="K1807">
        <v>720000</v>
      </c>
      <c r="L1807">
        <v>100</v>
      </c>
      <c r="M1807" t="s">
        <v>29</v>
      </c>
      <c r="N1807" t="str">
        <f>_xlfn.XLOOKUP(B1807,tblCustomers[customer_id],tblCustomers[region],"Missing")</f>
        <v>North</v>
      </c>
      <c r="O1807" t="str">
        <f>_xlfn.XLOOKUP(C1807,tblProducts[product_id],tblProducts[product_name],"Missing")</f>
        <v>Workflow Automate</v>
      </c>
      <c r="P1807" t="str">
        <f>_xlfn.XLOOKUP(C1807,tblProducts[product_id],tblProducts[category],"Missing")</f>
        <v>Automation</v>
      </c>
      <c r="Q1807" t="str">
        <f>_xlfn.XLOOKUP(D1807,tblSalesReps[rep_id],tblSalesReps[rep_name],"Missing")</f>
        <v>Sales Rep 09</v>
      </c>
      <c r="R1807" t="str">
        <f>_xlfn.XLOOKUP(D1807,tblSalesReps[rep_id],tblSalesReps[region],"Missing")</f>
        <v>North</v>
      </c>
    </row>
    <row r="1808" spans="1:18">
      <c r="A1808" t="s">
        <v>2343</v>
      </c>
      <c r="B1808" t="s">
        <v>294</v>
      </c>
      <c r="C1808" t="s">
        <v>21</v>
      </c>
      <c r="D1808" t="s">
        <v>40</v>
      </c>
      <c r="E1808" s="1">
        <v>45964</v>
      </c>
      <c r="F1808" s="1">
        <v>46037</v>
      </c>
      <c r="G1808" s="1"/>
      <c r="H1808" t="s">
        <v>43</v>
      </c>
      <c r="I1808">
        <v>1</v>
      </c>
      <c r="J1808">
        <v>0</v>
      </c>
      <c r="K1808">
        <v>240000</v>
      </c>
      <c r="L1808">
        <v>40</v>
      </c>
      <c r="M1808" t="s">
        <v>29</v>
      </c>
      <c r="N1808" t="str">
        <f>_xlfn.XLOOKUP(B1808,tblCustomers[customer_id],tblCustomers[region],"Missing")</f>
        <v>West</v>
      </c>
      <c r="O1808" t="str">
        <f>_xlfn.XLOOKUP(C1808,tblProducts[product_id],tblProducts[product_name],"Missing")</f>
        <v>Workflow Automate</v>
      </c>
      <c r="P1808" t="str">
        <f>_xlfn.XLOOKUP(C1808,tblProducts[product_id],tblProducts[category],"Missing")</f>
        <v>Automation</v>
      </c>
      <c r="Q1808" t="str">
        <f>_xlfn.XLOOKUP(D1808,tblSalesReps[rep_id],tblSalesReps[rep_name],"Missing")</f>
        <v>Sales Rep 13</v>
      </c>
      <c r="R1808" t="str">
        <f>_xlfn.XLOOKUP(D1808,tblSalesReps[rep_id],tblSalesReps[region],"Missing")</f>
        <v>West</v>
      </c>
    </row>
    <row r="1809" spans="1:18">
      <c r="A1809" t="s">
        <v>2344</v>
      </c>
      <c r="B1809" t="s">
        <v>485</v>
      </c>
      <c r="C1809" t="s">
        <v>39</v>
      </c>
      <c r="D1809" t="s">
        <v>53</v>
      </c>
      <c r="E1809" s="1">
        <v>45680</v>
      </c>
      <c r="F1809" s="1">
        <v>45738</v>
      </c>
      <c r="G1809" s="1">
        <v>45738</v>
      </c>
      <c r="H1809" t="s">
        <v>17</v>
      </c>
      <c r="I1809">
        <v>1</v>
      </c>
      <c r="J1809">
        <v>0</v>
      </c>
      <c r="K1809">
        <v>180000</v>
      </c>
      <c r="L1809">
        <v>0</v>
      </c>
      <c r="M1809" t="s">
        <v>82</v>
      </c>
      <c r="N1809" t="str">
        <f>_xlfn.XLOOKUP(B1809,tblCustomers[customer_id],tblCustomers[region],"Missing")</f>
        <v>East</v>
      </c>
      <c r="O1809" t="str">
        <f>_xlfn.XLOOKUP(C1809,tblProducts[product_id],tblProducts[product_name],"Missing")</f>
        <v>Support Desk</v>
      </c>
      <c r="P1809" t="str">
        <f>_xlfn.XLOOKUP(C1809,tblProducts[product_id],tblProducts[category],"Missing")</f>
        <v>Service</v>
      </c>
      <c r="Q1809" t="str">
        <f>_xlfn.XLOOKUP(D1809,tblSalesReps[rep_id],tblSalesReps[rep_name],"Missing")</f>
        <v>Sales Rep 16</v>
      </c>
      <c r="R1809" t="str">
        <f>_xlfn.XLOOKUP(D1809,tblSalesReps[rep_id],tblSalesReps[region],"Missing")</f>
        <v>East</v>
      </c>
    </row>
    <row r="1810" spans="1:18">
      <c r="A1810" t="s">
        <v>2345</v>
      </c>
      <c r="B1810" t="s">
        <v>1094</v>
      </c>
      <c r="C1810" t="s">
        <v>26</v>
      </c>
      <c r="D1810" t="s">
        <v>16</v>
      </c>
      <c r="E1810" s="1">
        <v>45920</v>
      </c>
      <c r="F1810" s="1">
        <v>45928</v>
      </c>
      <c r="G1810" s="1"/>
      <c r="H1810" t="s">
        <v>43</v>
      </c>
      <c r="I1810">
        <v>1</v>
      </c>
      <c r="J1810">
        <v>10</v>
      </c>
      <c r="K1810">
        <v>324000</v>
      </c>
      <c r="L1810">
        <v>60</v>
      </c>
      <c r="M1810" t="s">
        <v>29</v>
      </c>
      <c r="N1810" t="str">
        <f>_xlfn.XLOOKUP(B1810,tblCustomers[customer_id],tblCustomers[region],"Missing")</f>
        <v>North</v>
      </c>
      <c r="O1810" t="str">
        <f>_xlfn.XLOOKUP(C1810,tblProducts[product_id],tblProducts[product_name],"Missing")</f>
        <v>Security Suite</v>
      </c>
      <c r="P1810" t="str">
        <f>_xlfn.XLOOKUP(C1810,tblProducts[product_id],tblProducts[category],"Missing")</f>
        <v>Security</v>
      </c>
      <c r="Q1810" t="str">
        <f>_xlfn.XLOOKUP(D1810,tblSalesReps[rep_id],tblSalesReps[rep_name],"Missing")</f>
        <v>Sales Rep 08</v>
      </c>
      <c r="R1810" t="str">
        <f>_xlfn.XLOOKUP(D1810,tblSalesReps[rep_id],tblSalesReps[region],"Missing")</f>
        <v>North</v>
      </c>
    </row>
    <row r="1811" spans="1:18">
      <c r="A1811" t="s">
        <v>2346</v>
      </c>
      <c r="B1811" t="s">
        <v>613</v>
      </c>
      <c r="C1811" t="s">
        <v>62</v>
      </c>
      <c r="D1811" t="s">
        <v>36</v>
      </c>
      <c r="E1811" s="1">
        <v>45941</v>
      </c>
      <c r="F1811" s="1">
        <v>46012</v>
      </c>
      <c r="G1811" s="1"/>
      <c r="H1811" t="s">
        <v>43</v>
      </c>
      <c r="I1811">
        <v>1</v>
      </c>
      <c r="J1811">
        <v>15</v>
      </c>
      <c r="K1811">
        <v>102000</v>
      </c>
      <c r="L1811">
        <v>60</v>
      </c>
      <c r="M1811" t="s">
        <v>29</v>
      </c>
      <c r="N1811" t="str">
        <f>_xlfn.XLOOKUP(B1811,tblCustomers[customer_id],tblCustomers[region],"Missing")</f>
        <v>North</v>
      </c>
      <c r="O1811" t="str">
        <f>_xlfn.XLOOKUP(C1811,tblProducts[product_id],tblProducts[product_name],"Missing")</f>
        <v>CRM Essentials</v>
      </c>
      <c r="P1811" t="str">
        <f>_xlfn.XLOOKUP(C1811,tblProducts[product_id],tblProducts[category],"Missing")</f>
        <v>CRM</v>
      </c>
      <c r="Q1811" t="str">
        <f>_xlfn.XLOOKUP(D1811,tblSalesReps[rep_id],tblSalesReps[rep_name],"Missing")</f>
        <v>Sales Rep 09</v>
      </c>
      <c r="R1811" t="str">
        <f>_xlfn.XLOOKUP(D1811,tblSalesReps[rep_id],tblSalesReps[region],"Missing")</f>
        <v>North</v>
      </c>
    </row>
    <row r="1812" spans="1:18">
      <c r="A1812" t="s">
        <v>2347</v>
      </c>
      <c r="B1812" t="s">
        <v>396</v>
      </c>
      <c r="C1812" t="s">
        <v>62</v>
      </c>
      <c r="D1812" t="s">
        <v>63</v>
      </c>
      <c r="E1812" s="1">
        <v>45945</v>
      </c>
      <c r="F1812" s="1">
        <v>45992</v>
      </c>
      <c r="G1812" s="1">
        <v>45992</v>
      </c>
      <c r="H1812" t="s">
        <v>17</v>
      </c>
      <c r="I1812">
        <v>3</v>
      </c>
      <c r="J1812">
        <v>5</v>
      </c>
      <c r="K1812">
        <v>342000</v>
      </c>
      <c r="L1812">
        <v>0</v>
      </c>
      <c r="M1812" t="s">
        <v>47</v>
      </c>
      <c r="N1812" t="str">
        <f>_xlfn.XLOOKUP(B1812,tblCustomers[customer_id],tblCustomers[region],"Missing")</f>
        <v>South</v>
      </c>
      <c r="O1812" t="str">
        <f>_xlfn.XLOOKUP(C1812,tblProducts[product_id],tblProducts[product_name],"Missing")</f>
        <v>CRM Essentials</v>
      </c>
      <c r="P1812" t="str">
        <f>_xlfn.XLOOKUP(C1812,tblProducts[product_id],tblProducts[category],"Missing")</f>
        <v>CRM</v>
      </c>
      <c r="Q1812" t="str">
        <f>_xlfn.XLOOKUP(D1812,tblSalesReps[rep_id],tblSalesReps[rep_name],"Missing")</f>
        <v>Sales Rep 05</v>
      </c>
      <c r="R1812" t="str">
        <f>_xlfn.XLOOKUP(D1812,tblSalesReps[rep_id],tblSalesReps[region],"Missing")</f>
        <v>South</v>
      </c>
    </row>
    <row r="1813" spans="1:18">
      <c r="A1813" t="s">
        <v>2348</v>
      </c>
      <c r="B1813" t="s">
        <v>547</v>
      </c>
      <c r="C1813" t="s">
        <v>39</v>
      </c>
      <c r="D1813" t="s">
        <v>56</v>
      </c>
      <c r="E1813" s="1">
        <v>45685</v>
      </c>
      <c r="F1813" s="1">
        <v>45738</v>
      </c>
      <c r="G1813" s="1">
        <v>45738</v>
      </c>
      <c r="H1813" t="s">
        <v>28</v>
      </c>
      <c r="I1813">
        <v>1</v>
      </c>
      <c r="J1813">
        <v>5</v>
      </c>
      <c r="K1813">
        <v>171000</v>
      </c>
      <c r="L1813">
        <v>100</v>
      </c>
      <c r="M1813" t="s">
        <v>29</v>
      </c>
      <c r="N1813" t="str">
        <f>_xlfn.XLOOKUP(B1813,tblCustomers[customer_id],tblCustomers[region],"Missing")</f>
        <v>East</v>
      </c>
      <c r="O1813" t="str">
        <f>_xlfn.XLOOKUP(C1813,tblProducts[product_id],tblProducts[product_name],"Missing")</f>
        <v>Support Desk</v>
      </c>
      <c r="P1813" t="str">
        <f>_xlfn.XLOOKUP(C1813,tblProducts[product_id],tblProducts[category],"Missing")</f>
        <v>Service</v>
      </c>
      <c r="Q1813" t="str">
        <f>_xlfn.XLOOKUP(D1813,tblSalesReps[rep_id],tblSalesReps[rep_name],"Missing")</f>
        <v>Sales Rep 20</v>
      </c>
      <c r="R1813" t="str">
        <f>_xlfn.XLOOKUP(D1813,tblSalesReps[rep_id],tblSalesReps[region],"Missing")</f>
        <v>East</v>
      </c>
    </row>
    <row r="1814" spans="1:18">
      <c r="A1814" t="s">
        <v>2349</v>
      </c>
      <c r="B1814" t="s">
        <v>1043</v>
      </c>
      <c r="C1814" t="s">
        <v>39</v>
      </c>
      <c r="D1814" t="s">
        <v>78</v>
      </c>
      <c r="E1814" s="1">
        <v>45783</v>
      </c>
      <c r="F1814" s="1">
        <v>45841</v>
      </c>
      <c r="G1814" s="1">
        <v>45841</v>
      </c>
      <c r="H1814" t="s">
        <v>17</v>
      </c>
      <c r="I1814">
        <v>1</v>
      </c>
      <c r="J1814">
        <v>10</v>
      </c>
      <c r="K1814">
        <v>162000</v>
      </c>
      <c r="L1814">
        <v>0</v>
      </c>
      <c r="M1814" t="s">
        <v>47</v>
      </c>
      <c r="N1814" t="str">
        <f>_xlfn.XLOOKUP(B1814,tblCustomers[customer_id],tblCustomers[region],"Missing")</f>
        <v>West</v>
      </c>
      <c r="O1814" t="str">
        <f>_xlfn.XLOOKUP(C1814,tblProducts[product_id],tblProducts[product_name],"Missing")</f>
        <v>Support Desk</v>
      </c>
      <c r="P1814" t="str">
        <f>_xlfn.XLOOKUP(C1814,tblProducts[product_id],tblProducts[category],"Missing")</f>
        <v>Service</v>
      </c>
      <c r="Q1814" t="str">
        <f>_xlfn.XLOOKUP(D1814,tblSalesReps[rep_id],tblSalesReps[rep_name],"Missing")</f>
        <v>Sales Rep 12</v>
      </c>
      <c r="R1814" t="str">
        <f>_xlfn.XLOOKUP(D1814,tblSalesReps[rep_id],tblSalesReps[region],"Missing")</f>
        <v>West</v>
      </c>
    </row>
    <row r="1815" spans="1:18">
      <c r="A1815" t="s">
        <v>2350</v>
      </c>
      <c r="B1815" t="s">
        <v>1916</v>
      </c>
      <c r="C1815" t="s">
        <v>62</v>
      </c>
      <c r="D1815" t="s">
        <v>126</v>
      </c>
      <c r="E1815" s="1">
        <v>46007</v>
      </c>
      <c r="F1815" s="1">
        <v>46034</v>
      </c>
      <c r="G1815" s="1"/>
      <c r="H1815" t="s">
        <v>43</v>
      </c>
      <c r="I1815">
        <v>1</v>
      </c>
      <c r="J1815">
        <v>0</v>
      </c>
      <c r="K1815">
        <v>120000</v>
      </c>
      <c r="L1815">
        <v>40</v>
      </c>
      <c r="M1815" t="s">
        <v>29</v>
      </c>
      <c r="N1815" t="str">
        <f>_xlfn.XLOOKUP(B1815,tblCustomers[customer_id],tblCustomers[region],"Missing")</f>
        <v>South</v>
      </c>
      <c r="O1815" t="str">
        <f>_xlfn.XLOOKUP(C1815,tblProducts[product_id],tblProducts[product_name],"Missing")</f>
        <v>CRM Essentials</v>
      </c>
      <c r="P1815" t="str">
        <f>_xlfn.XLOOKUP(C1815,tblProducts[product_id],tblProducts[category],"Missing")</f>
        <v>CRM</v>
      </c>
      <c r="Q1815" t="str">
        <f>_xlfn.XLOOKUP(D1815,tblSalesReps[rep_id],tblSalesReps[rep_name],"Missing")</f>
        <v>Sales Rep 02</v>
      </c>
      <c r="R1815" t="str">
        <f>_xlfn.XLOOKUP(D1815,tblSalesReps[rep_id],tblSalesReps[region],"Missing")</f>
        <v>South</v>
      </c>
    </row>
    <row r="1816" spans="1:18">
      <c r="A1816" t="s">
        <v>2351</v>
      </c>
      <c r="B1816" t="s">
        <v>741</v>
      </c>
      <c r="C1816" t="s">
        <v>62</v>
      </c>
      <c r="D1816" t="s">
        <v>22</v>
      </c>
      <c r="E1816" s="1">
        <v>45922</v>
      </c>
      <c r="F1816" s="1">
        <v>45936</v>
      </c>
      <c r="G1816" s="1">
        <v>45936</v>
      </c>
      <c r="H1816" t="s">
        <v>28</v>
      </c>
      <c r="I1816">
        <v>1</v>
      </c>
      <c r="J1816">
        <v>20</v>
      </c>
      <c r="K1816">
        <v>96000</v>
      </c>
      <c r="L1816">
        <v>100</v>
      </c>
      <c r="M1816" t="s">
        <v>29</v>
      </c>
      <c r="N1816" t="str">
        <f>_xlfn.XLOOKUP(B1816,tblCustomers[customer_id],tblCustomers[region],"Missing")</f>
        <v>West</v>
      </c>
      <c r="O1816" t="str">
        <f>_xlfn.XLOOKUP(C1816,tblProducts[product_id],tblProducts[product_name],"Missing")</f>
        <v>CRM Essentials</v>
      </c>
      <c r="P1816" t="str">
        <f>_xlfn.XLOOKUP(C1816,tblProducts[product_id],tblProducts[category],"Missing")</f>
        <v>CRM</v>
      </c>
      <c r="Q1816" t="str">
        <f>_xlfn.XLOOKUP(D1816,tblSalesReps[rep_id],tblSalesReps[rep_name],"Missing")</f>
        <v>Sales Rep 14</v>
      </c>
      <c r="R1816" t="str">
        <f>_xlfn.XLOOKUP(D1816,tblSalesReps[rep_id],tblSalesReps[region],"Missing")</f>
        <v>West</v>
      </c>
    </row>
    <row r="1817" spans="1:18">
      <c r="A1817" t="s">
        <v>2352</v>
      </c>
      <c r="B1817" t="s">
        <v>1094</v>
      </c>
      <c r="C1817" t="s">
        <v>21</v>
      </c>
      <c r="D1817" t="s">
        <v>36</v>
      </c>
      <c r="E1817" s="1">
        <v>45769</v>
      </c>
      <c r="F1817" s="1">
        <v>45821</v>
      </c>
      <c r="G1817" s="1"/>
      <c r="H1817" t="s">
        <v>43</v>
      </c>
      <c r="I1817">
        <v>2</v>
      </c>
      <c r="J1817">
        <v>15</v>
      </c>
      <c r="K1817">
        <v>408000</v>
      </c>
      <c r="L1817">
        <v>80</v>
      </c>
      <c r="M1817" t="s">
        <v>29</v>
      </c>
      <c r="N1817" t="str">
        <f>_xlfn.XLOOKUP(B1817,tblCustomers[customer_id],tblCustomers[region],"Missing")</f>
        <v>North</v>
      </c>
      <c r="O1817" t="str">
        <f>_xlfn.XLOOKUP(C1817,tblProducts[product_id],tblProducts[product_name],"Missing")</f>
        <v>Workflow Automate</v>
      </c>
      <c r="P1817" t="str">
        <f>_xlfn.XLOOKUP(C1817,tblProducts[product_id],tblProducts[category],"Missing")</f>
        <v>Automation</v>
      </c>
      <c r="Q1817" t="str">
        <f>_xlfn.XLOOKUP(D1817,tblSalesReps[rep_id],tblSalesReps[rep_name],"Missing")</f>
        <v>Sales Rep 09</v>
      </c>
      <c r="R1817" t="str">
        <f>_xlfn.XLOOKUP(D1817,tblSalesReps[rep_id],tblSalesReps[region],"Missing")</f>
        <v>North</v>
      </c>
    </row>
    <row r="1818" spans="1:18">
      <c r="A1818" t="s">
        <v>2353</v>
      </c>
      <c r="B1818" t="s">
        <v>1869</v>
      </c>
      <c r="C1818" t="s">
        <v>62</v>
      </c>
      <c r="D1818" t="s">
        <v>91</v>
      </c>
      <c r="E1818" s="1">
        <v>45701</v>
      </c>
      <c r="F1818" s="1">
        <v>45770</v>
      </c>
      <c r="G1818" s="1">
        <v>45770</v>
      </c>
      <c r="H1818" t="s">
        <v>17</v>
      </c>
      <c r="I1818">
        <v>1</v>
      </c>
      <c r="J1818">
        <v>5</v>
      </c>
      <c r="K1818">
        <v>114000</v>
      </c>
      <c r="L1818">
        <v>0</v>
      </c>
      <c r="M1818" t="s">
        <v>82</v>
      </c>
      <c r="N1818" t="str">
        <f>_xlfn.XLOOKUP(B1818,tblCustomers[customer_id],tblCustomers[region],"Missing")</f>
        <v>South</v>
      </c>
      <c r="O1818" t="str">
        <f>_xlfn.XLOOKUP(C1818,tblProducts[product_id],tblProducts[product_name],"Missing")</f>
        <v>CRM Essentials</v>
      </c>
      <c r="P1818" t="str">
        <f>_xlfn.XLOOKUP(C1818,tblProducts[product_id],tblProducts[category],"Missing")</f>
        <v>CRM</v>
      </c>
      <c r="Q1818" t="str">
        <f>_xlfn.XLOOKUP(D1818,tblSalesReps[rep_id],tblSalesReps[rep_name],"Missing")</f>
        <v>Sales Rep 03</v>
      </c>
      <c r="R1818" t="str">
        <f>_xlfn.XLOOKUP(D1818,tblSalesReps[rep_id],tblSalesReps[region],"Missing")</f>
        <v>South</v>
      </c>
    </row>
    <row r="1819" spans="1:18">
      <c r="A1819" t="s">
        <v>2354</v>
      </c>
      <c r="B1819" t="s">
        <v>1834</v>
      </c>
      <c r="C1819" t="s">
        <v>39</v>
      </c>
      <c r="D1819" t="s">
        <v>53</v>
      </c>
      <c r="E1819" s="1">
        <v>45830</v>
      </c>
      <c r="F1819" s="1">
        <v>45912</v>
      </c>
      <c r="G1819" s="1"/>
      <c r="H1819" t="s">
        <v>43</v>
      </c>
      <c r="I1819">
        <v>1</v>
      </c>
      <c r="J1819">
        <v>5</v>
      </c>
      <c r="K1819">
        <v>171000</v>
      </c>
      <c r="L1819">
        <v>20</v>
      </c>
      <c r="M1819" t="s">
        <v>29</v>
      </c>
      <c r="N1819" t="str">
        <f>_xlfn.XLOOKUP(B1819,tblCustomers[customer_id],tblCustomers[region],"Missing")</f>
        <v>East</v>
      </c>
      <c r="O1819" t="str">
        <f>_xlfn.XLOOKUP(C1819,tblProducts[product_id],tblProducts[product_name],"Missing")</f>
        <v>Support Desk</v>
      </c>
      <c r="P1819" t="str">
        <f>_xlfn.XLOOKUP(C1819,tblProducts[product_id],tblProducts[category],"Missing")</f>
        <v>Service</v>
      </c>
      <c r="Q1819" t="str">
        <f>_xlfn.XLOOKUP(D1819,tblSalesReps[rep_id],tblSalesReps[rep_name],"Missing")</f>
        <v>Sales Rep 16</v>
      </c>
      <c r="R1819" t="str">
        <f>_xlfn.XLOOKUP(D1819,tblSalesReps[rep_id],tblSalesReps[region],"Missing")</f>
        <v>East</v>
      </c>
    </row>
    <row r="1820" spans="1:18">
      <c r="A1820" t="s">
        <v>2355</v>
      </c>
      <c r="B1820" t="s">
        <v>1686</v>
      </c>
      <c r="C1820" t="s">
        <v>26</v>
      </c>
      <c r="D1820" t="s">
        <v>50</v>
      </c>
      <c r="E1820" s="1">
        <v>45890</v>
      </c>
      <c r="F1820" s="1">
        <v>45940</v>
      </c>
      <c r="G1820" s="1">
        <v>45940</v>
      </c>
      <c r="H1820" t="s">
        <v>17</v>
      </c>
      <c r="I1820">
        <v>1</v>
      </c>
      <c r="J1820">
        <v>10</v>
      </c>
      <c r="K1820">
        <v>324000</v>
      </c>
      <c r="L1820">
        <v>0</v>
      </c>
      <c r="M1820" t="s">
        <v>33</v>
      </c>
      <c r="N1820" t="str">
        <f>_xlfn.XLOOKUP(B1820,tblCustomers[customer_id],tblCustomers[region],"Missing")</f>
        <v>West</v>
      </c>
      <c r="O1820" t="str">
        <f>_xlfn.XLOOKUP(C1820,tblProducts[product_id],tblProducts[product_name],"Missing")</f>
        <v>Security Suite</v>
      </c>
      <c r="P1820" t="str">
        <f>_xlfn.XLOOKUP(C1820,tblProducts[product_id],tblProducts[category],"Missing")</f>
        <v>Security</v>
      </c>
      <c r="Q1820" t="str">
        <f>_xlfn.XLOOKUP(D1820,tblSalesReps[rep_id],tblSalesReps[rep_name],"Missing")</f>
        <v>Sales Rep 15</v>
      </c>
      <c r="R1820" t="str">
        <f>_xlfn.XLOOKUP(D1820,tblSalesReps[rep_id],tblSalesReps[region],"Missing")</f>
        <v>West</v>
      </c>
    </row>
    <row r="1821" spans="1:18">
      <c r="A1821" t="s">
        <v>2356</v>
      </c>
      <c r="B1821" t="s">
        <v>420</v>
      </c>
      <c r="C1821" t="s">
        <v>26</v>
      </c>
      <c r="D1821" t="s">
        <v>16</v>
      </c>
      <c r="E1821" s="1">
        <v>45805</v>
      </c>
      <c r="F1821" s="1">
        <v>45849</v>
      </c>
      <c r="G1821" s="1">
        <v>45849</v>
      </c>
      <c r="H1821" t="s">
        <v>17</v>
      </c>
      <c r="I1821">
        <v>1</v>
      </c>
      <c r="J1821">
        <v>5</v>
      </c>
      <c r="K1821">
        <v>342000</v>
      </c>
      <c r="L1821">
        <v>0</v>
      </c>
      <c r="M1821" t="s">
        <v>23</v>
      </c>
      <c r="N1821" t="str">
        <f>_xlfn.XLOOKUP(B1821,tblCustomers[customer_id],tblCustomers[region],"Missing")</f>
        <v>North</v>
      </c>
      <c r="O1821" t="str">
        <f>_xlfn.XLOOKUP(C1821,tblProducts[product_id],tblProducts[product_name],"Missing")</f>
        <v>Security Suite</v>
      </c>
      <c r="P1821" t="str">
        <f>_xlfn.XLOOKUP(C1821,tblProducts[product_id],tblProducts[category],"Missing")</f>
        <v>Security</v>
      </c>
      <c r="Q1821" t="str">
        <f>_xlfn.XLOOKUP(D1821,tblSalesReps[rep_id],tblSalesReps[rep_name],"Missing")</f>
        <v>Sales Rep 08</v>
      </c>
      <c r="R1821" t="str">
        <f>_xlfn.XLOOKUP(D1821,tblSalesReps[rep_id],tblSalesReps[region],"Missing")</f>
        <v>North</v>
      </c>
    </row>
    <row r="1822" spans="1:18">
      <c r="A1822" t="s">
        <v>2357</v>
      </c>
      <c r="B1822" t="s">
        <v>912</v>
      </c>
      <c r="C1822" t="s">
        <v>26</v>
      </c>
      <c r="D1822" t="s">
        <v>75</v>
      </c>
      <c r="E1822" s="1">
        <v>45997</v>
      </c>
      <c r="F1822" s="1">
        <v>46060</v>
      </c>
      <c r="G1822" s="1"/>
      <c r="H1822" t="s">
        <v>43</v>
      </c>
      <c r="I1822">
        <v>1</v>
      </c>
      <c r="J1822">
        <v>10</v>
      </c>
      <c r="K1822">
        <v>324000</v>
      </c>
      <c r="L1822">
        <v>80</v>
      </c>
      <c r="M1822" t="s">
        <v>29</v>
      </c>
      <c r="N1822" t="str">
        <f>_xlfn.XLOOKUP(B1822,tblCustomers[customer_id],tblCustomers[region],"Missing")</f>
        <v>North</v>
      </c>
      <c r="O1822" t="str">
        <f>_xlfn.XLOOKUP(C1822,tblProducts[product_id],tblProducts[product_name],"Missing")</f>
        <v>Security Suite</v>
      </c>
      <c r="P1822" t="str">
        <f>_xlfn.XLOOKUP(C1822,tblProducts[product_id],tblProducts[category],"Missing")</f>
        <v>Security</v>
      </c>
      <c r="Q1822" t="str">
        <f>_xlfn.XLOOKUP(D1822,tblSalesReps[rep_id],tblSalesReps[rep_name],"Missing")</f>
        <v>Sales Rep 07</v>
      </c>
      <c r="R1822" t="str">
        <f>_xlfn.XLOOKUP(D1822,tblSalesReps[rep_id],tblSalesReps[region],"Missing")</f>
        <v>North</v>
      </c>
    </row>
    <row r="1823" spans="1:18">
      <c r="A1823" t="s">
        <v>2358</v>
      </c>
      <c r="B1823" t="s">
        <v>1461</v>
      </c>
      <c r="C1823" t="s">
        <v>21</v>
      </c>
      <c r="D1823" t="s">
        <v>50</v>
      </c>
      <c r="E1823" s="1">
        <v>45785</v>
      </c>
      <c r="F1823" s="1">
        <v>45852</v>
      </c>
      <c r="G1823" s="1">
        <v>45852</v>
      </c>
      <c r="H1823" t="s">
        <v>17</v>
      </c>
      <c r="I1823">
        <v>3</v>
      </c>
      <c r="J1823">
        <v>0</v>
      </c>
      <c r="K1823">
        <v>720000</v>
      </c>
      <c r="L1823">
        <v>0</v>
      </c>
      <c r="M1823" t="s">
        <v>82</v>
      </c>
      <c r="N1823" t="str">
        <f>_xlfn.XLOOKUP(B1823,tblCustomers[customer_id],tblCustomers[region],"Missing")</f>
        <v>West</v>
      </c>
      <c r="O1823" t="str">
        <f>_xlfn.XLOOKUP(C1823,tblProducts[product_id],tblProducts[product_name],"Missing")</f>
        <v>Workflow Automate</v>
      </c>
      <c r="P1823" t="str">
        <f>_xlfn.XLOOKUP(C1823,tblProducts[product_id],tblProducts[category],"Missing")</f>
        <v>Automation</v>
      </c>
      <c r="Q1823" t="str">
        <f>_xlfn.XLOOKUP(D1823,tblSalesReps[rep_id],tblSalesReps[rep_name],"Missing")</f>
        <v>Sales Rep 15</v>
      </c>
      <c r="R1823" t="str">
        <f>_xlfn.XLOOKUP(D1823,tblSalesReps[rep_id],tblSalesReps[region],"Missing")</f>
        <v>West</v>
      </c>
    </row>
    <row r="1824" spans="1:18">
      <c r="A1824" t="s">
        <v>2359</v>
      </c>
      <c r="B1824" t="s">
        <v>1481</v>
      </c>
      <c r="C1824" t="s">
        <v>26</v>
      </c>
      <c r="D1824" t="s">
        <v>59</v>
      </c>
      <c r="E1824" s="1">
        <v>45894</v>
      </c>
      <c r="F1824" s="1">
        <v>45914</v>
      </c>
      <c r="G1824" s="1"/>
      <c r="H1824" t="s">
        <v>43</v>
      </c>
      <c r="I1824">
        <v>2</v>
      </c>
      <c r="J1824">
        <v>15</v>
      </c>
      <c r="K1824">
        <v>612000</v>
      </c>
      <c r="L1824">
        <v>40</v>
      </c>
      <c r="M1824" t="s">
        <v>29</v>
      </c>
      <c r="N1824" t="str">
        <f>_xlfn.XLOOKUP(B1824,tblCustomers[customer_id],tblCustomers[region],"Missing")</f>
        <v>East</v>
      </c>
      <c r="O1824" t="str">
        <f>_xlfn.XLOOKUP(C1824,tblProducts[product_id],tblProducts[product_name],"Missing")</f>
        <v>Security Suite</v>
      </c>
      <c r="P1824" t="str">
        <f>_xlfn.XLOOKUP(C1824,tblProducts[product_id],tblProducts[category],"Missing")</f>
        <v>Security</v>
      </c>
      <c r="Q1824" t="str">
        <f>_xlfn.XLOOKUP(D1824,tblSalesReps[rep_id],tblSalesReps[rep_name],"Missing")</f>
        <v>Sales Rep 19</v>
      </c>
      <c r="R1824" t="str">
        <f>_xlfn.XLOOKUP(D1824,tblSalesReps[rep_id],tblSalesReps[region],"Missing")</f>
        <v>East</v>
      </c>
    </row>
    <row r="1825" spans="1:18">
      <c r="A1825" t="s">
        <v>2360</v>
      </c>
      <c r="B1825" t="s">
        <v>2156</v>
      </c>
      <c r="C1825" t="s">
        <v>21</v>
      </c>
      <c r="D1825" t="s">
        <v>70</v>
      </c>
      <c r="E1825" s="1">
        <v>45744</v>
      </c>
      <c r="F1825" s="1">
        <v>45806</v>
      </c>
      <c r="G1825" s="1"/>
      <c r="H1825" t="s">
        <v>43</v>
      </c>
      <c r="I1825">
        <v>2</v>
      </c>
      <c r="J1825">
        <v>10</v>
      </c>
      <c r="K1825">
        <v>432000</v>
      </c>
      <c r="L1825">
        <v>20</v>
      </c>
      <c r="M1825" t="s">
        <v>29</v>
      </c>
      <c r="N1825" t="str">
        <f>_xlfn.XLOOKUP(B1825,tblCustomers[customer_id],tblCustomers[region],"Missing")</f>
        <v>West</v>
      </c>
      <c r="O1825" t="str">
        <f>_xlfn.XLOOKUP(C1825,tblProducts[product_id],tblProducts[product_name],"Missing")</f>
        <v>Workflow Automate</v>
      </c>
      <c r="P1825" t="str">
        <f>_xlfn.XLOOKUP(C1825,tblProducts[product_id],tblProducts[category],"Missing")</f>
        <v>Automation</v>
      </c>
      <c r="Q1825" t="str">
        <f>_xlfn.XLOOKUP(D1825,tblSalesReps[rep_id],tblSalesReps[rep_name],"Missing")</f>
        <v>Sales Rep 11</v>
      </c>
      <c r="R1825" t="str">
        <f>_xlfn.XLOOKUP(D1825,tblSalesReps[rep_id],tblSalesReps[region],"Missing")</f>
        <v>West</v>
      </c>
    </row>
    <row r="1826" spans="1:18">
      <c r="A1826" t="s">
        <v>2361</v>
      </c>
      <c r="B1826" t="s">
        <v>1062</v>
      </c>
      <c r="C1826" t="s">
        <v>62</v>
      </c>
      <c r="D1826" t="s">
        <v>75</v>
      </c>
      <c r="E1826" s="1">
        <v>45799</v>
      </c>
      <c r="F1826" s="1">
        <v>45812</v>
      </c>
      <c r="G1826" s="1">
        <v>45812</v>
      </c>
      <c r="H1826" t="s">
        <v>28</v>
      </c>
      <c r="I1826">
        <v>1</v>
      </c>
      <c r="J1826">
        <v>10</v>
      </c>
      <c r="K1826">
        <v>108000</v>
      </c>
      <c r="L1826">
        <v>100</v>
      </c>
      <c r="M1826" t="s">
        <v>29</v>
      </c>
      <c r="N1826" t="str">
        <f>_xlfn.XLOOKUP(B1826,tblCustomers[customer_id],tblCustomers[region],"Missing")</f>
        <v>North</v>
      </c>
      <c r="O1826" t="str">
        <f>_xlfn.XLOOKUP(C1826,tblProducts[product_id],tblProducts[product_name],"Missing")</f>
        <v>CRM Essentials</v>
      </c>
      <c r="P1826" t="str">
        <f>_xlfn.XLOOKUP(C1826,tblProducts[product_id],tblProducts[category],"Missing")</f>
        <v>CRM</v>
      </c>
      <c r="Q1826" t="str">
        <f>_xlfn.XLOOKUP(D1826,tblSalesReps[rep_id],tblSalesReps[rep_name],"Missing")</f>
        <v>Sales Rep 07</v>
      </c>
      <c r="R1826" t="str">
        <f>_xlfn.XLOOKUP(D1826,tblSalesReps[rep_id],tblSalesReps[region],"Missing")</f>
        <v>North</v>
      </c>
    </row>
    <row r="1827" spans="1:18">
      <c r="A1827" t="s">
        <v>2362</v>
      </c>
      <c r="B1827" t="s">
        <v>2067</v>
      </c>
      <c r="C1827" t="s">
        <v>15</v>
      </c>
      <c r="D1827" t="s">
        <v>70</v>
      </c>
      <c r="E1827" s="1">
        <v>45875</v>
      </c>
      <c r="F1827" s="1">
        <v>45909</v>
      </c>
      <c r="G1827" s="1"/>
      <c r="H1827" t="s">
        <v>43</v>
      </c>
      <c r="I1827">
        <v>1</v>
      </c>
      <c r="J1827">
        <v>10</v>
      </c>
      <c r="K1827">
        <v>378000</v>
      </c>
      <c r="L1827">
        <v>80</v>
      </c>
      <c r="M1827" t="s">
        <v>29</v>
      </c>
      <c r="N1827" t="str">
        <f>_xlfn.XLOOKUP(B1827,tblCustomers[customer_id],tblCustomers[region],"Missing")</f>
        <v>West</v>
      </c>
      <c r="O1827" t="str">
        <f>_xlfn.XLOOKUP(C1827,tblProducts[product_id],tblProducts[product_name],"Missing")</f>
        <v>CRM Enterprise</v>
      </c>
      <c r="P1827" t="str">
        <f>_xlfn.XLOOKUP(C1827,tblProducts[product_id],tblProducts[category],"Missing")</f>
        <v>CRM</v>
      </c>
      <c r="Q1827" t="str">
        <f>_xlfn.XLOOKUP(D1827,tblSalesReps[rep_id],tblSalesReps[rep_name],"Missing")</f>
        <v>Sales Rep 11</v>
      </c>
      <c r="R1827" t="str">
        <f>_xlfn.XLOOKUP(D1827,tblSalesReps[rep_id],tblSalesReps[region],"Missing")</f>
        <v>West</v>
      </c>
    </row>
    <row r="1828" spans="1:18">
      <c r="A1828" t="s">
        <v>2363</v>
      </c>
      <c r="B1828" t="s">
        <v>234</v>
      </c>
      <c r="C1828" t="s">
        <v>21</v>
      </c>
      <c r="D1828" t="s">
        <v>40</v>
      </c>
      <c r="E1828" s="1">
        <v>46006</v>
      </c>
      <c r="F1828" s="1">
        <v>46054</v>
      </c>
      <c r="G1828" s="1"/>
      <c r="H1828" t="s">
        <v>43</v>
      </c>
      <c r="I1828">
        <v>1</v>
      </c>
      <c r="J1828">
        <v>0</v>
      </c>
      <c r="K1828">
        <v>240000</v>
      </c>
      <c r="L1828">
        <v>80</v>
      </c>
      <c r="M1828" t="s">
        <v>29</v>
      </c>
      <c r="N1828" t="str">
        <f>_xlfn.XLOOKUP(B1828,tblCustomers[customer_id],tblCustomers[region],"Missing")</f>
        <v>West</v>
      </c>
      <c r="O1828" t="str">
        <f>_xlfn.XLOOKUP(C1828,tblProducts[product_id],tblProducts[product_name],"Missing")</f>
        <v>Workflow Automate</v>
      </c>
      <c r="P1828" t="str">
        <f>_xlfn.XLOOKUP(C1828,tblProducts[product_id],tblProducts[category],"Missing")</f>
        <v>Automation</v>
      </c>
      <c r="Q1828" t="str">
        <f>_xlfn.XLOOKUP(D1828,tblSalesReps[rep_id],tblSalesReps[rep_name],"Missing")</f>
        <v>Sales Rep 13</v>
      </c>
      <c r="R1828" t="str">
        <f>_xlfn.XLOOKUP(D1828,tblSalesReps[rep_id],tblSalesReps[region],"Missing")</f>
        <v>West</v>
      </c>
    </row>
    <row r="1829" spans="1:18">
      <c r="A1829" t="s">
        <v>2364</v>
      </c>
      <c r="B1829" t="s">
        <v>1235</v>
      </c>
      <c r="C1829" t="s">
        <v>81</v>
      </c>
      <c r="D1829" t="s">
        <v>46</v>
      </c>
      <c r="E1829" s="1">
        <v>45926</v>
      </c>
      <c r="F1829" s="1">
        <v>45999</v>
      </c>
      <c r="G1829" s="1">
        <v>45999</v>
      </c>
      <c r="H1829" t="s">
        <v>17</v>
      </c>
      <c r="I1829">
        <v>3</v>
      </c>
      <c r="J1829">
        <v>20</v>
      </c>
      <c r="K1829">
        <v>720000</v>
      </c>
      <c r="L1829">
        <v>0</v>
      </c>
      <c r="M1829" t="s">
        <v>23</v>
      </c>
      <c r="N1829" t="str">
        <f>_xlfn.XLOOKUP(B1829,tblCustomers[customer_id],tblCustomers[region],"Missing")</f>
        <v>South</v>
      </c>
      <c r="O1829" t="str">
        <f>_xlfn.XLOOKUP(C1829,tblProducts[product_id],tblProducts[product_name],"Missing")</f>
        <v>Analytics Cloud</v>
      </c>
      <c r="P1829" t="str">
        <f>_xlfn.XLOOKUP(C1829,tblProducts[product_id],tblProducts[category],"Missing")</f>
        <v>Analytics</v>
      </c>
      <c r="Q1829" t="str">
        <f>_xlfn.XLOOKUP(D1829,tblSalesReps[rep_id],tblSalesReps[rep_name],"Missing")</f>
        <v>Sales Rep 01</v>
      </c>
      <c r="R1829" t="str">
        <f>_xlfn.XLOOKUP(D1829,tblSalesReps[rep_id],tblSalesReps[region],"Missing")</f>
        <v>South</v>
      </c>
    </row>
    <row r="1830" spans="1:18">
      <c r="A1830" t="s">
        <v>2365</v>
      </c>
      <c r="B1830" t="s">
        <v>680</v>
      </c>
      <c r="C1830" t="s">
        <v>62</v>
      </c>
      <c r="D1830" t="s">
        <v>46</v>
      </c>
      <c r="E1830" s="1">
        <v>45847</v>
      </c>
      <c r="F1830" s="1">
        <v>45876</v>
      </c>
      <c r="G1830" s="1"/>
      <c r="H1830" t="s">
        <v>43</v>
      </c>
      <c r="I1830">
        <v>1</v>
      </c>
      <c r="J1830">
        <v>5</v>
      </c>
      <c r="K1830">
        <v>114000</v>
      </c>
      <c r="L1830">
        <v>80</v>
      </c>
      <c r="M1830" t="s">
        <v>29</v>
      </c>
      <c r="N1830" t="str">
        <f>_xlfn.XLOOKUP(B1830,tblCustomers[customer_id],tblCustomers[region],"Missing")</f>
        <v>South</v>
      </c>
      <c r="O1830" t="str">
        <f>_xlfn.XLOOKUP(C1830,tblProducts[product_id],tblProducts[product_name],"Missing")</f>
        <v>CRM Essentials</v>
      </c>
      <c r="P1830" t="str">
        <f>_xlfn.XLOOKUP(C1830,tblProducts[product_id],tblProducts[category],"Missing")</f>
        <v>CRM</v>
      </c>
      <c r="Q1830" t="str">
        <f>_xlfn.XLOOKUP(D1830,tblSalesReps[rep_id],tblSalesReps[rep_name],"Missing")</f>
        <v>Sales Rep 01</v>
      </c>
      <c r="R1830" t="str">
        <f>_xlfn.XLOOKUP(D1830,tblSalesReps[rep_id],tblSalesReps[region],"Missing")</f>
        <v>South</v>
      </c>
    </row>
    <row r="1831" spans="1:18">
      <c r="A1831" t="s">
        <v>2366</v>
      </c>
      <c r="B1831" t="s">
        <v>1884</v>
      </c>
      <c r="C1831" t="s">
        <v>81</v>
      </c>
      <c r="D1831" t="s">
        <v>63</v>
      </c>
      <c r="E1831" s="1">
        <v>45679</v>
      </c>
      <c r="F1831" s="1">
        <v>45686</v>
      </c>
      <c r="G1831" s="1">
        <v>45686</v>
      </c>
      <c r="H1831" t="s">
        <v>28</v>
      </c>
      <c r="I1831">
        <v>1</v>
      </c>
      <c r="J1831">
        <v>20</v>
      </c>
      <c r="K1831">
        <v>240000</v>
      </c>
      <c r="L1831">
        <v>100</v>
      </c>
      <c r="M1831" t="s">
        <v>29</v>
      </c>
      <c r="N1831" t="str">
        <f>_xlfn.XLOOKUP(B1831,tblCustomers[customer_id],tblCustomers[region],"Missing")</f>
        <v>South</v>
      </c>
      <c r="O1831" t="str">
        <f>_xlfn.XLOOKUP(C1831,tblProducts[product_id],tblProducts[product_name],"Missing")</f>
        <v>Analytics Cloud</v>
      </c>
      <c r="P1831" t="str">
        <f>_xlfn.XLOOKUP(C1831,tblProducts[product_id],tblProducts[category],"Missing")</f>
        <v>Analytics</v>
      </c>
      <c r="Q1831" t="str">
        <f>_xlfn.XLOOKUP(D1831,tblSalesReps[rep_id],tblSalesReps[rep_name],"Missing")</f>
        <v>Sales Rep 05</v>
      </c>
      <c r="R1831" t="str">
        <f>_xlfn.XLOOKUP(D1831,tblSalesReps[rep_id],tblSalesReps[region],"Missing")</f>
        <v>South</v>
      </c>
    </row>
    <row r="1832" spans="1:18">
      <c r="A1832" t="s">
        <v>2367</v>
      </c>
      <c r="B1832" t="s">
        <v>1211</v>
      </c>
      <c r="C1832" t="s">
        <v>81</v>
      </c>
      <c r="D1832" t="s">
        <v>22</v>
      </c>
      <c r="E1832" s="1">
        <v>45879</v>
      </c>
      <c r="F1832" s="1">
        <v>45920</v>
      </c>
      <c r="G1832" s="1">
        <v>45920</v>
      </c>
      <c r="H1832" t="s">
        <v>17</v>
      </c>
      <c r="I1832">
        <v>1</v>
      </c>
      <c r="J1832">
        <v>0</v>
      </c>
      <c r="K1832">
        <v>300000</v>
      </c>
      <c r="L1832">
        <v>0</v>
      </c>
      <c r="M1832" t="s">
        <v>18</v>
      </c>
      <c r="N1832" t="str">
        <f>_xlfn.XLOOKUP(B1832,tblCustomers[customer_id],tblCustomers[region],"Missing")</f>
        <v>West</v>
      </c>
      <c r="O1832" t="str">
        <f>_xlfn.XLOOKUP(C1832,tblProducts[product_id],tblProducts[product_name],"Missing")</f>
        <v>Analytics Cloud</v>
      </c>
      <c r="P1832" t="str">
        <f>_xlfn.XLOOKUP(C1832,tblProducts[product_id],tblProducts[category],"Missing")</f>
        <v>Analytics</v>
      </c>
      <c r="Q1832" t="str">
        <f>_xlfn.XLOOKUP(D1832,tblSalesReps[rep_id],tblSalesReps[rep_name],"Missing")</f>
        <v>Sales Rep 14</v>
      </c>
      <c r="R1832" t="str">
        <f>_xlfn.XLOOKUP(D1832,tblSalesReps[rep_id],tblSalesReps[region],"Missing")</f>
        <v>West</v>
      </c>
    </row>
    <row r="1833" spans="1:18">
      <c r="A1833" t="s">
        <v>2368</v>
      </c>
      <c r="B1833" t="s">
        <v>609</v>
      </c>
      <c r="C1833" t="s">
        <v>21</v>
      </c>
      <c r="D1833" t="s">
        <v>75</v>
      </c>
      <c r="E1833" s="1">
        <v>45869</v>
      </c>
      <c r="F1833" s="1">
        <v>45879</v>
      </c>
      <c r="G1833" s="1">
        <v>45879</v>
      </c>
      <c r="H1833" t="s">
        <v>28</v>
      </c>
      <c r="I1833">
        <v>1</v>
      </c>
      <c r="J1833">
        <v>15</v>
      </c>
      <c r="K1833">
        <v>204000</v>
      </c>
      <c r="L1833">
        <v>100</v>
      </c>
      <c r="M1833" t="s">
        <v>29</v>
      </c>
      <c r="N1833" t="str">
        <f>_xlfn.XLOOKUP(B1833,tblCustomers[customer_id],tblCustomers[region],"Missing")</f>
        <v>North</v>
      </c>
      <c r="O1833" t="str">
        <f>_xlfn.XLOOKUP(C1833,tblProducts[product_id],tblProducts[product_name],"Missing")</f>
        <v>Workflow Automate</v>
      </c>
      <c r="P1833" t="str">
        <f>_xlfn.XLOOKUP(C1833,tblProducts[product_id],tblProducts[category],"Missing")</f>
        <v>Automation</v>
      </c>
      <c r="Q1833" t="str">
        <f>_xlfn.XLOOKUP(D1833,tblSalesReps[rep_id],tblSalesReps[rep_name],"Missing")</f>
        <v>Sales Rep 07</v>
      </c>
      <c r="R1833" t="str">
        <f>_xlfn.XLOOKUP(D1833,tblSalesReps[rep_id],tblSalesReps[region],"Missing")</f>
        <v>North</v>
      </c>
    </row>
    <row r="1834" spans="1:18">
      <c r="A1834" t="s">
        <v>2369</v>
      </c>
      <c r="B1834" t="s">
        <v>836</v>
      </c>
      <c r="C1834" t="s">
        <v>26</v>
      </c>
      <c r="D1834" t="s">
        <v>63</v>
      </c>
      <c r="E1834" s="1">
        <v>45900</v>
      </c>
      <c r="F1834" s="1">
        <v>45945</v>
      </c>
      <c r="G1834" s="1">
        <v>45945</v>
      </c>
      <c r="H1834" t="s">
        <v>17</v>
      </c>
      <c r="I1834">
        <v>1</v>
      </c>
      <c r="J1834">
        <v>20</v>
      </c>
      <c r="K1834">
        <v>288000</v>
      </c>
      <c r="L1834">
        <v>0</v>
      </c>
      <c r="M1834" t="s">
        <v>18</v>
      </c>
      <c r="N1834" t="str">
        <f>_xlfn.XLOOKUP(B1834,tblCustomers[customer_id],tblCustomers[region],"Missing")</f>
        <v>South</v>
      </c>
      <c r="O1834" t="str">
        <f>_xlfn.XLOOKUP(C1834,tblProducts[product_id],tblProducts[product_name],"Missing")</f>
        <v>Security Suite</v>
      </c>
      <c r="P1834" t="str">
        <f>_xlfn.XLOOKUP(C1834,tblProducts[product_id],tblProducts[category],"Missing")</f>
        <v>Security</v>
      </c>
      <c r="Q1834" t="str">
        <f>_xlfn.XLOOKUP(D1834,tblSalesReps[rep_id],tblSalesReps[rep_name],"Missing")</f>
        <v>Sales Rep 05</v>
      </c>
      <c r="R1834" t="str">
        <f>_xlfn.XLOOKUP(D1834,tblSalesReps[rep_id],tblSalesReps[region],"Missing")</f>
        <v>South</v>
      </c>
    </row>
    <row r="1835" spans="1:18">
      <c r="A1835" t="s">
        <v>2370</v>
      </c>
      <c r="B1835" t="s">
        <v>1496</v>
      </c>
      <c r="C1835" t="s">
        <v>21</v>
      </c>
      <c r="D1835" t="s">
        <v>91</v>
      </c>
      <c r="E1835" s="1">
        <v>45881</v>
      </c>
      <c r="F1835" s="1">
        <v>45906</v>
      </c>
      <c r="G1835" s="1">
        <v>45906</v>
      </c>
      <c r="H1835" t="s">
        <v>17</v>
      </c>
      <c r="I1835">
        <v>1</v>
      </c>
      <c r="J1835">
        <v>20</v>
      </c>
      <c r="K1835">
        <v>192000</v>
      </c>
      <c r="L1835">
        <v>0</v>
      </c>
      <c r="M1835" t="s">
        <v>23</v>
      </c>
      <c r="N1835" t="str">
        <f>_xlfn.XLOOKUP(B1835,tblCustomers[customer_id],tblCustomers[region],"Missing")</f>
        <v>South</v>
      </c>
      <c r="O1835" t="str">
        <f>_xlfn.XLOOKUP(C1835,tblProducts[product_id],tblProducts[product_name],"Missing")</f>
        <v>Workflow Automate</v>
      </c>
      <c r="P1835" t="str">
        <f>_xlfn.XLOOKUP(C1835,tblProducts[product_id],tblProducts[category],"Missing")</f>
        <v>Automation</v>
      </c>
      <c r="Q1835" t="str">
        <f>_xlfn.XLOOKUP(D1835,tblSalesReps[rep_id],tblSalesReps[rep_name],"Missing")</f>
        <v>Sales Rep 03</v>
      </c>
      <c r="R1835" t="str">
        <f>_xlfn.XLOOKUP(D1835,tblSalesReps[rep_id],tblSalesReps[region],"Missing")</f>
        <v>South</v>
      </c>
    </row>
    <row r="1836" spans="1:18">
      <c r="A1836" t="s">
        <v>2371</v>
      </c>
      <c r="B1836" t="s">
        <v>418</v>
      </c>
      <c r="C1836" t="s">
        <v>39</v>
      </c>
      <c r="D1836" t="s">
        <v>32</v>
      </c>
      <c r="E1836" s="1">
        <v>45857</v>
      </c>
      <c r="F1836" s="1">
        <v>45930</v>
      </c>
      <c r="G1836" s="1">
        <v>45930</v>
      </c>
      <c r="H1836" t="s">
        <v>17</v>
      </c>
      <c r="I1836">
        <v>1</v>
      </c>
      <c r="J1836">
        <v>0</v>
      </c>
      <c r="K1836">
        <v>180000</v>
      </c>
      <c r="L1836">
        <v>0</v>
      </c>
      <c r="M1836" t="s">
        <v>47</v>
      </c>
      <c r="N1836" t="str">
        <f>_xlfn.XLOOKUP(B1836,tblCustomers[customer_id],tblCustomers[region],"Missing")</f>
        <v>South</v>
      </c>
      <c r="O1836" t="str">
        <f>_xlfn.XLOOKUP(C1836,tblProducts[product_id],tblProducts[product_name],"Missing")</f>
        <v>Support Desk</v>
      </c>
      <c r="P1836" t="str">
        <f>_xlfn.XLOOKUP(C1836,tblProducts[product_id],tblProducts[category],"Missing")</f>
        <v>Service</v>
      </c>
      <c r="Q1836" t="str">
        <f>_xlfn.XLOOKUP(D1836,tblSalesReps[rep_id],tblSalesReps[rep_name],"Missing")</f>
        <v>Sales Rep 04</v>
      </c>
      <c r="R1836" t="str">
        <f>_xlfn.XLOOKUP(D1836,tblSalesReps[rep_id],tblSalesReps[region],"Missing")</f>
        <v>South</v>
      </c>
    </row>
    <row r="1837" spans="1:18">
      <c r="A1837" t="s">
        <v>2372</v>
      </c>
      <c r="B1837" t="s">
        <v>466</v>
      </c>
      <c r="C1837" t="s">
        <v>81</v>
      </c>
      <c r="D1837" t="s">
        <v>75</v>
      </c>
      <c r="E1837" s="1">
        <v>45775</v>
      </c>
      <c r="F1837" s="1">
        <v>45853</v>
      </c>
      <c r="G1837" s="1">
        <v>45853</v>
      </c>
      <c r="H1837" t="s">
        <v>17</v>
      </c>
      <c r="I1837">
        <v>1</v>
      </c>
      <c r="J1837">
        <v>0</v>
      </c>
      <c r="K1837">
        <v>300000</v>
      </c>
      <c r="L1837">
        <v>0</v>
      </c>
      <c r="M1837" t="s">
        <v>23</v>
      </c>
      <c r="N1837" t="str">
        <f>_xlfn.XLOOKUP(B1837,tblCustomers[customer_id],tblCustomers[region],"Missing")</f>
        <v>North</v>
      </c>
      <c r="O1837" t="str">
        <f>_xlfn.XLOOKUP(C1837,tblProducts[product_id],tblProducts[product_name],"Missing")</f>
        <v>Analytics Cloud</v>
      </c>
      <c r="P1837" t="str">
        <f>_xlfn.XLOOKUP(C1837,tblProducts[product_id],tblProducts[category],"Missing")</f>
        <v>Analytics</v>
      </c>
      <c r="Q1837" t="str">
        <f>_xlfn.XLOOKUP(D1837,tblSalesReps[rep_id],tblSalesReps[rep_name],"Missing")</f>
        <v>Sales Rep 07</v>
      </c>
      <c r="R1837" t="str">
        <f>_xlfn.XLOOKUP(D1837,tblSalesReps[rep_id],tblSalesReps[region],"Missing")</f>
        <v>North</v>
      </c>
    </row>
    <row r="1838" spans="1:18">
      <c r="A1838" t="s">
        <v>2373</v>
      </c>
      <c r="B1838" t="s">
        <v>1209</v>
      </c>
      <c r="C1838" t="s">
        <v>21</v>
      </c>
      <c r="D1838" t="s">
        <v>152</v>
      </c>
      <c r="E1838" s="1">
        <v>45825</v>
      </c>
      <c r="F1838" s="1">
        <v>45873</v>
      </c>
      <c r="G1838" s="1">
        <v>45873</v>
      </c>
      <c r="H1838" t="s">
        <v>17</v>
      </c>
      <c r="I1838">
        <v>2</v>
      </c>
      <c r="J1838">
        <v>15</v>
      </c>
      <c r="K1838">
        <v>408000</v>
      </c>
      <c r="L1838">
        <v>0</v>
      </c>
      <c r="M1838" t="s">
        <v>82</v>
      </c>
      <c r="N1838" t="str">
        <f>_xlfn.XLOOKUP(B1838,tblCustomers[customer_id],tblCustomers[region],"Missing")</f>
        <v>East</v>
      </c>
      <c r="O1838" t="str">
        <f>_xlfn.XLOOKUP(C1838,tblProducts[product_id],tblProducts[product_name],"Missing")</f>
        <v>Workflow Automate</v>
      </c>
      <c r="P1838" t="str">
        <f>_xlfn.XLOOKUP(C1838,tblProducts[product_id],tblProducts[category],"Missing")</f>
        <v>Automation</v>
      </c>
      <c r="Q1838" t="str">
        <f>_xlfn.XLOOKUP(D1838,tblSalesReps[rep_id],tblSalesReps[rep_name],"Missing")</f>
        <v>Sales Rep 18</v>
      </c>
      <c r="R1838" t="str">
        <f>_xlfn.XLOOKUP(D1838,tblSalesReps[rep_id],tblSalesReps[region],"Missing")</f>
        <v>East</v>
      </c>
    </row>
    <row r="1839" spans="1:18">
      <c r="A1839" t="s">
        <v>2374</v>
      </c>
      <c r="B1839" t="s">
        <v>1386</v>
      </c>
      <c r="C1839" t="s">
        <v>39</v>
      </c>
      <c r="D1839" t="s">
        <v>40</v>
      </c>
      <c r="E1839" s="1">
        <v>45767</v>
      </c>
      <c r="F1839" s="1">
        <v>45802</v>
      </c>
      <c r="G1839" s="1"/>
      <c r="H1839" t="s">
        <v>43</v>
      </c>
      <c r="I1839">
        <v>1</v>
      </c>
      <c r="J1839">
        <v>15</v>
      </c>
      <c r="K1839">
        <v>153000</v>
      </c>
      <c r="L1839">
        <v>20</v>
      </c>
      <c r="M1839" t="s">
        <v>29</v>
      </c>
      <c r="N1839" t="str">
        <f>_xlfn.XLOOKUP(B1839,tblCustomers[customer_id],tblCustomers[region],"Missing")</f>
        <v>West</v>
      </c>
      <c r="O1839" t="str">
        <f>_xlfn.XLOOKUP(C1839,tblProducts[product_id],tblProducts[product_name],"Missing")</f>
        <v>Support Desk</v>
      </c>
      <c r="P1839" t="str">
        <f>_xlfn.XLOOKUP(C1839,tblProducts[product_id],tblProducts[category],"Missing")</f>
        <v>Service</v>
      </c>
      <c r="Q1839" t="str">
        <f>_xlfn.XLOOKUP(D1839,tblSalesReps[rep_id],tblSalesReps[rep_name],"Missing")</f>
        <v>Sales Rep 13</v>
      </c>
      <c r="R1839" t="str">
        <f>_xlfn.XLOOKUP(D1839,tblSalesReps[rep_id],tblSalesReps[region],"Missing")</f>
        <v>West</v>
      </c>
    </row>
    <row r="1840" spans="1:18">
      <c r="A1840" t="s">
        <v>2375</v>
      </c>
      <c r="B1840" t="s">
        <v>453</v>
      </c>
      <c r="C1840" t="s">
        <v>62</v>
      </c>
      <c r="D1840" t="s">
        <v>63</v>
      </c>
      <c r="E1840" s="1">
        <v>45878</v>
      </c>
      <c r="F1840" s="1">
        <v>45943</v>
      </c>
      <c r="G1840" s="1">
        <v>45943</v>
      </c>
      <c r="H1840" t="s">
        <v>17</v>
      </c>
      <c r="I1840">
        <v>1</v>
      </c>
      <c r="J1840">
        <v>10</v>
      </c>
      <c r="K1840">
        <v>108000</v>
      </c>
      <c r="L1840">
        <v>0</v>
      </c>
      <c r="M1840" t="s">
        <v>23</v>
      </c>
      <c r="N1840" t="str">
        <f>_xlfn.XLOOKUP(B1840,tblCustomers[customer_id],tblCustomers[region],"Missing")</f>
        <v>South</v>
      </c>
      <c r="O1840" t="str">
        <f>_xlfn.XLOOKUP(C1840,tblProducts[product_id],tblProducts[product_name],"Missing")</f>
        <v>CRM Essentials</v>
      </c>
      <c r="P1840" t="str">
        <f>_xlfn.XLOOKUP(C1840,tblProducts[product_id],tblProducts[category],"Missing")</f>
        <v>CRM</v>
      </c>
      <c r="Q1840" t="str">
        <f>_xlfn.XLOOKUP(D1840,tblSalesReps[rep_id],tblSalesReps[rep_name],"Missing")</f>
        <v>Sales Rep 05</v>
      </c>
      <c r="R1840" t="str">
        <f>_xlfn.XLOOKUP(D1840,tblSalesReps[rep_id],tblSalesReps[region],"Missing")</f>
        <v>South</v>
      </c>
    </row>
    <row r="1841" spans="1:18">
      <c r="A1841" t="s">
        <v>2376</v>
      </c>
      <c r="B1841" t="s">
        <v>312</v>
      </c>
      <c r="C1841" t="s">
        <v>21</v>
      </c>
      <c r="D1841" t="s">
        <v>70</v>
      </c>
      <c r="E1841" s="1">
        <v>45778</v>
      </c>
      <c r="F1841" s="1">
        <v>45855</v>
      </c>
      <c r="G1841" s="1">
        <v>45855</v>
      </c>
      <c r="H1841" t="s">
        <v>28</v>
      </c>
      <c r="I1841">
        <v>1</v>
      </c>
      <c r="J1841">
        <v>0</v>
      </c>
      <c r="K1841">
        <v>240000</v>
      </c>
      <c r="L1841">
        <v>100</v>
      </c>
      <c r="M1841" t="s">
        <v>29</v>
      </c>
      <c r="N1841" t="str">
        <f>_xlfn.XLOOKUP(B1841,tblCustomers[customer_id],tblCustomers[region],"Missing")</f>
        <v>West</v>
      </c>
      <c r="O1841" t="str">
        <f>_xlfn.XLOOKUP(C1841,tblProducts[product_id],tblProducts[product_name],"Missing")</f>
        <v>Workflow Automate</v>
      </c>
      <c r="P1841" t="str">
        <f>_xlfn.XLOOKUP(C1841,tblProducts[product_id],tblProducts[category],"Missing")</f>
        <v>Automation</v>
      </c>
      <c r="Q1841" t="str">
        <f>_xlfn.XLOOKUP(D1841,tblSalesReps[rep_id],tblSalesReps[rep_name],"Missing")</f>
        <v>Sales Rep 11</v>
      </c>
      <c r="R1841" t="str">
        <f>_xlfn.XLOOKUP(D1841,tblSalesReps[rep_id],tblSalesReps[region],"Missing")</f>
        <v>West</v>
      </c>
    </row>
    <row r="1842" spans="1:18">
      <c r="A1842" t="s">
        <v>2377</v>
      </c>
      <c r="B1842" t="s">
        <v>672</v>
      </c>
      <c r="C1842" t="s">
        <v>39</v>
      </c>
      <c r="D1842" t="s">
        <v>70</v>
      </c>
      <c r="E1842" s="1">
        <v>45800</v>
      </c>
      <c r="F1842" s="1">
        <v>45833</v>
      </c>
      <c r="G1842" s="1">
        <v>45833</v>
      </c>
      <c r="H1842" t="s">
        <v>28</v>
      </c>
      <c r="I1842">
        <v>3</v>
      </c>
      <c r="J1842">
        <v>0</v>
      </c>
      <c r="K1842">
        <v>540000</v>
      </c>
      <c r="L1842">
        <v>100</v>
      </c>
      <c r="M1842" t="s">
        <v>29</v>
      </c>
      <c r="N1842" t="str">
        <f>_xlfn.XLOOKUP(B1842,tblCustomers[customer_id],tblCustomers[region],"Missing")</f>
        <v>West</v>
      </c>
      <c r="O1842" t="str">
        <f>_xlfn.XLOOKUP(C1842,tblProducts[product_id],tblProducts[product_name],"Missing")</f>
        <v>Support Desk</v>
      </c>
      <c r="P1842" t="str">
        <f>_xlfn.XLOOKUP(C1842,tblProducts[product_id],tblProducts[category],"Missing")</f>
        <v>Service</v>
      </c>
      <c r="Q1842" t="str">
        <f>_xlfn.XLOOKUP(D1842,tblSalesReps[rep_id],tblSalesReps[rep_name],"Missing")</f>
        <v>Sales Rep 11</v>
      </c>
      <c r="R1842" t="str">
        <f>_xlfn.XLOOKUP(D1842,tblSalesReps[rep_id],tblSalesReps[region],"Missing")</f>
        <v>West</v>
      </c>
    </row>
    <row r="1843" spans="1:18">
      <c r="A1843" t="s">
        <v>2378</v>
      </c>
      <c r="B1843" t="s">
        <v>1817</v>
      </c>
      <c r="C1843" t="s">
        <v>26</v>
      </c>
      <c r="D1843" t="s">
        <v>40</v>
      </c>
      <c r="E1843" s="1">
        <v>45955</v>
      </c>
      <c r="F1843" s="1">
        <v>46014</v>
      </c>
      <c r="G1843" s="1"/>
      <c r="H1843" t="s">
        <v>43</v>
      </c>
      <c r="I1843">
        <v>1</v>
      </c>
      <c r="J1843">
        <v>20</v>
      </c>
      <c r="K1843">
        <v>288000</v>
      </c>
      <c r="L1843">
        <v>20</v>
      </c>
      <c r="M1843" t="s">
        <v>29</v>
      </c>
      <c r="N1843" t="str">
        <f>_xlfn.XLOOKUP(B1843,tblCustomers[customer_id],tblCustomers[region],"Missing")</f>
        <v>West</v>
      </c>
      <c r="O1843" t="str">
        <f>_xlfn.XLOOKUP(C1843,tblProducts[product_id],tblProducts[product_name],"Missing")</f>
        <v>Security Suite</v>
      </c>
      <c r="P1843" t="str">
        <f>_xlfn.XLOOKUP(C1843,tblProducts[product_id],tblProducts[category],"Missing")</f>
        <v>Security</v>
      </c>
      <c r="Q1843" t="str">
        <f>_xlfn.XLOOKUP(D1843,tblSalesReps[rep_id],tblSalesReps[rep_name],"Missing")</f>
        <v>Sales Rep 13</v>
      </c>
      <c r="R1843" t="str">
        <f>_xlfn.XLOOKUP(D1843,tblSalesReps[rep_id],tblSalesReps[region],"Missing")</f>
        <v>West</v>
      </c>
    </row>
    <row r="1844" spans="1:18">
      <c r="A1844" t="s">
        <v>2379</v>
      </c>
      <c r="B1844" t="s">
        <v>335</v>
      </c>
      <c r="C1844" t="s">
        <v>21</v>
      </c>
      <c r="D1844" t="s">
        <v>50</v>
      </c>
      <c r="E1844" s="1">
        <v>45757</v>
      </c>
      <c r="F1844" s="1">
        <v>45764</v>
      </c>
      <c r="G1844" s="1">
        <v>45764</v>
      </c>
      <c r="H1844" t="s">
        <v>28</v>
      </c>
      <c r="I1844">
        <v>2</v>
      </c>
      <c r="J1844">
        <v>15</v>
      </c>
      <c r="K1844">
        <v>408000</v>
      </c>
      <c r="L1844">
        <v>100</v>
      </c>
      <c r="M1844" t="s">
        <v>29</v>
      </c>
      <c r="N1844" t="str">
        <f>_xlfn.XLOOKUP(B1844,tblCustomers[customer_id],tblCustomers[region],"Missing")</f>
        <v>West</v>
      </c>
      <c r="O1844" t="str">
        <f>_xlfn.XLOOKUP(C1844,tblProducts[product_id],tblProducts[product_name],"Missing")</f>
        <v>Workflow Automate</v>
      </c>
      <c r="P1844" t="str">
        <f>_xlfn.XLOOKUP(C1844,tblProducts[product_id],tblProducts[category],"Missing")</f>
        <v>Automation</v>
      </c>
      <c r="Q1844" t="str">
        <f>_xlfn.XLOOKUP(D1844,tblSalesReps[rep_id],tblSalesReps[rep_name],"Missing")</f>
        <v>Sales Rep 15</v>
      </c>
      <c r="R1844" t="str">
        <f>_xlfn.XLOOKUP(D1844,tblSalesReps[rep_id],tblSalesReps[region],"Missing")</f>
        <v>West</v>
      </c>
    </row>
    <row r="1845" spans="1:18">
      <c r="A1845" t="s">
        <v>2380</v>
      </c>
      <c r="B1845" t="s">
        <v>1603</v>
      </c>
      <c r="C1845" t="s">
        <v>15</v>
      </c>
      <c r="D1845" t="s">
        <v>75</v>
      </c>
      <c r="E1845" s="1">
        <v>45713</v>
      </c>
      <c r="F1845" s="1">
        <v>45795</v>
      </c>
      <c r="G1845" s="1">
        <v>45795</v>
      </c>
      <c r="H1845" t="s">
        <v>17</v>
      </c>
      <c r="I1845">
        <v>2</v>
      </c>
      <c r="J1845">
        <v>10</v>
      </c>
      <c r="K1845">
        <v>756000</v>
      </c>
      <c r="L1845">
        <v>0</v>
      </c>
      <c r="M1845" t="s">
        <v>47</v>
      </c>
      <c r="N1845" t="str">
        <f>_xlfn.XLOOKUP(B1845,tblCustomers[customer_id],tblCustomers[region],"Missing")</f>
        <v>North</v>
      </c>
      <c r="O1845" t="str">
        <f>_xlfn.XLOOKUP(C1845,tblProducts[product_id],tblProducts[product_name],"Missing")</f>
        <v>CRM Enterprise</v>
      </c>
      <c r="P1845" t="str">
        <f>_xlfn.XLOOKUP(C1845,tblProducts[product_id],tblProducts[category],"Missing")</f>
        <v>CRM</v>
      </c>
      <c r="Q1845" t="str">
        <f>_xlfn.XLOOKUP(D1845,tblSalesReps[rep_id],tblSalesReps[rep_name],"Missing")</f>
        <v>Sales Rep 07</v>
      </c>
      <c r="R1845" t="str">
        <f>_xlfn.XLOOKUP(D1845,tblSalesReps[rep_id],tblSalesReps[region],"Missing")</f>
        <v>North</v>
      </c>
    </row>
    <row r="1846" spans="1:18">
      <c r="A1846" t="s">
        <v>2381</v>
      </c>
      <c r="B1846" t="s">
        <v>406</v>
      </c>
      <c r="C1846" t="s">
        <v>81</v>
      </c>
      <c r="D1846" t="s">
        <v>36</v>
      </c>
      <c r="E1846" s="1">
        <v>45868</v>
      </c>
      <c r="F1846" s="1">
        <v>45880</v>
      </c>
      <c r="G1846" s="1">
        <v>45880</v>
      </c>
      <c r="H1846" t="s">
        <v>17</v>
      </c>
      <c r="I1846">
        <v>1</v>
      </c>
      <c r="J1846">
        <v>5</v>
      </c>
      <c r="K1846">
        <v>285000</v>
      </c>
      <c r="L1846">
        <v>0</v>
      </c>
      <c r="M1846" t="s">
        <v>82</v>
      </c>
      <c r="N1846" t="str">
        <f>_xlfn.XLOOKUP(B1846,tblCustomers[customer_id],tblCustomers[region],"Missing")</f>
        <v>North</v>
      </c>
      <c r="O1846" t="str">
        <f>_xlfn.XLOOKUP(C1846,tblProducts[product_id],tblProducts[product_name],"Missing")</f>
        <v>Analytics Cloud</v>
      </c>
      <c r="P1846" t="str">
        <f>_xlfn.XLOOKUP(C1846,tblProducts[product_id],tblProducts[category],"Missing")</f>
        <v>Analytics</v>
      </c>
      <c r="Q1846" t="str">
        <f>_xlfn.XLOOKUP(D1846,tblSalesReps[rep_id],tblSalesReps[rep_name],"Missing")</f>
        <v>Sales Rep 09</v>
      </c>
      <c r="R1846" t="str">
        <f>_xlfn.XLOOKUP(D1846,tblSalesReps[rep_id],tblSalesReps[region],"Missing")</f>
        <v>North</v>
      </c>
    </row>
    <row r="1847" spans="1:18">
      <c r="A1847" t="s">
        <v>2382</v>
      </c>
      <c r="B1847" t="s">
        <v>149</v>
      </c>
      <c r="C1847" t="s">
        <v>15</v>
      </c>
      <c r="D1847" t="s">
        <v>16</v>
      </c>
      <c r="E1847" s="1">
        <v>45890</v>
      </c>
      <c r="F1847" s="1">
        <v>45940</v>
      </c>
      <c r="G1847" s="1">
        <v>45940</v>
      </c>
      <c r="H1847" t="s">
        <v>28</v>
      </c>
      <c r="I1847">
        <v>1</v>
      </c>
      <c r="J1847">
        <v>15</v>
      </c>
      <c r="K1847">
        <v>357000</v>
      </c>
      <c r="L1847">
        <v>100</v>
      </c>
      <c r="M1847" t="s">
        <v>29</v>
      </c>
      <c r="N1847" t="str">
        <f>_xlfn.XLOOKUP(B1847,tblCustomers[customer_id],tblCustomers[region],"Missing")</f>
        <v>North</v>
      </c>
      <c r="O1847" t="str">
        <f>_xlfn.XLOOKUP(C1847,tblProducts[product_id],tblProducts[product_name],"Missing")</f>
        <v>CRM Enterprise</v>
      </c>
      <c r="P1847" t="str">
        <f>_xlfn.XLOOKUP(C1847,tblProducts[product_id],tblProducts[category],"Missing")</f>
        <v>CRM</v>
      </c>
      <c r="Q1847" t="str">
        <f>_xlfn.XLOOKUP(D1847,tblSalesReps[rep_id],tblSalesReps[rep_name],"Missing")</f>
        <v>Sales Rep 08</v>
      </c>
      <c r="R1847" t="str">
        <f>_xlfn.XLOOKUP(D1847,tblSalesReps[rep_id],tblSalesReps[region],"Missing")</f>
        <v>North</v>
      </c>
    </row>
    <row r="1848" spans="1:18">
      <c r="A1848" t="s">
        <v>2383</v>
      </c>
      <c r="B1848" t="s">
        <v>1250</v>
      </c>
      <c r="C1848" t="s">
        <v>21</v>
      </c>
      <c r="D1848" t="s">
        <v>46</v>
      </c>
      <c r="E1848" s="1">
        <v>45661</v>
      </c>
      <c r="F1848" s="1">
        <v>45713</v>
      </c>
      <c r="G1848" s="1">
        <v>45713</v>
      </c>
      <c r="H1848" t="s">
        <v>28</v>
      </c>
      <c r="I1848">
        <v>2</v>
      </c>
      <c r="J1848">
        <v>20</v>
      </c>
      <c r="K1848">
        <v>384000</v>
      </c>
      <c r="L1848">
        <v>100</v>
      </c>
      <c r="M1848" t="s">
        <v>29</v>
      </c>
      <c r="N1848" t="str">
        <f>_xlfn.XLOOKUP(B1848,tblCustomers[customer_id],tblCustomers[region],"Missing")</f>
        <v>South</v>
      </c>
      <c r="O1848" t="str">
        <f>_xlfn.XLOOKUP(C1848,tblProducts[product_id],tblProducts[product_name],"Missing")</f>
        <v>Workflow Automate</v>
      </c>
      <c r="P1848" t="str">
        <f>_xlfn.XLOOKUP(C1848,tblProducts[product_id],tblProducts[category],"Missing")</f>
        <v>Automation</v>
      </c>
      <c r="Q1848" t="str">
        <f>_xlfn.XLOOKUP(D1848,tblSalesReps[rep_id],tblSalesReps[rep_name],"Missing")</f>
        <v>Sales Rep 01</v>
      </c>
      <c r="R1848" t="str">
        <f>_xlfn.XLOOKUP(D1848,tblSalesReps[rep_id],tblSalesReps[region],"Missing")</f>
        <v>South</v>
      </c>
    </row>
    <row r="1849" spans="1:18">
      <c r="A1849" t="s">
        <v>2384</v>
      </c>
      <c r="B1849" t="s">
        <v>944</v>
      </c>
      <c r="C1849" t="s">
        <v>62</v>
      </c>
      <c r="D1849" t="s">
        <v>75</v>
      </c>
      <c r="E1849" s="1">
        <v>45700</v>
      </c>
      <c r="F1849" s="1">
        <v>45718</v>
      </c>
      <c r="G1849" s="1">
        <v>45718</v>
      </c>
      <c r="H1849" t="s">
        <v>17</v>
      </c>
      <c r="I1849">
        <v>2</v>
      </c>
      <c r="J1849">
        <v>15</v>
      </c>
      <c r="K1849">
        <v>204000</v>
      </c>
      <c r="L1849">
        <v>0</v>
      </c>
      <c r="M1849" t="s">
        <v>47</v>
      </c>
      <c r="N1849" t="str">
        <f>_xlfn.XLOOKUP(B1849,tblCustomers[customer_id],tblCustomers[region],"Missing")</f>
        <v>North</v>
      </c>
      <c r="O1849" t="str">
        <f>_xlfn.XLOOKUP(C1849,tblProducts[product_id],tblProducts[product_name],"Missing")</f>
        <v>CRM Essentials</v>
      </c>
      <c r="P1849" t="str">
        <f>_xlfn.XLOOKUP(C1849,tblProducts[product_id],tblProducts[category],"Missing")</f>
        <v>CRM</v>
      </c>
      <c r="Q1849" t="str">
        <f>_xlfn.XLOOKUP(D1849,tblSalesReps[rep_id],tblSalesReps[rep_name],"Missing")</f>
        <v>Sales Rep 07</v>
      </c>
      <c r="R1849" t="str">
        <f>_xlfn.XLOOKUP(D1849,tblSalesReps[rep_id],tblSalesReps[region],"Missing")</f>
        <v>North</v>
      </c>
    </row>
    <row r="1850" spans="1:18">
      <c r="A1850" t="s">
        <v>2385</v>
      </c>
      <c r="B1850" t="s">
        <v>1475</v>
      </c>
      <c r="C1850" t="s">
        <v>26</v>
      </c>
      <c r="D1850" t="s">
        <v>56</v>
      </c>
      <c r="E1850" s="1">
        <v>46016</v>
      </c>
      <c r="F1850" s="1">
        <v>46033</v>
      </c>
      <c r="G1850" s="1"/>
      <c r="H1850" t="s">
        <v>43</v>
      </c>
      <c r="I1850">
        <v>2</v>
      </c>
      <c r="J1850">
        <v>10</v>
      </c>
      <c r="K1850">
        <v>648000</v>
      </c>
      <c r="L1850">
        <v>80</v>
      </c>
      <c r="M1850" t="s">
        <v>29</v>
      </c>
      <c r="N1850" t="str">
        <f>_xlfn.XLOOKUP(B1850,tblCustomers[customer_id],tblCustomers[region],"Missing")</f>
        <v>East</v>
      </c>
      <c r="O1850" t="str">
        <f>_xlfn.XLOOKUP(C1850,tblProducts[product_id],tblProducts[product_name],"Missing")</f>
        <v>Security Suite</v>
      </c>
      <c r="P1850" t="str">
        <f>_xlfn.XLOOKUP(C1850,tblProducts[product_id],tblProducts[category],"Missing")</f>
        <v>Security</v>
      </c>
      <c r="Q1850" t="str">
        <f>_xlfn.XLOOKUP(D1850,tblSalesReps[rep_id],tblSalesReps[rep_name],"Missing")</f>
        <v>Sales Rep 20</v>
      </c>
      <c r="R1850" t="str">
        <f>_xlfn.XLOOKUP(D1850,tblSalesReps[rep_id],tblSalesReps[region],"Missing")</f>
        <v>East</v>
      </c>
    </row>
    <row r="1851" spans="1:18">
      <c r="A1851" t="s">
        <v>2386</v>
      </c>
      <c r="B1851" t="s">
        <v>1595</v>
      </c>
      <c r="C1851" t="s">
        <v>39</v>
      </c>
      <c r="D1851" t="s">
        <v>75</v>
      </c>
      <c r="E1851" s="1">
        <v>45674</v>
      </c>
      <c r="F1851" s="1">
        <v>45703</v>
      </c>
      <c r="G1851" s="1">
        <v>45703</v>
      </c>
      <c r="H1851" t="s">
        <v>28</v>
      </c>
      <c r="I1851">
        <v>2</v>
      </c>
      <c r="J1851">
        <v>10</v>
      </c>
      <c r="K1851">
        <v>324000</v>
      </c>
      <c r="L1851">
        <v>100</v>
      </c>
      <c r="M1851" t="s">
        <v>29</v>
      </c>
      <c r="N1851" t="str">
        <f>_xlfn.XLOOKUP(B1851,tblCustomers[customer_id],tblCustomers[region],"Missing")</f>
        <v>North</v>
      </c>
      <c r="O1851" t="str">
        <f>_xlfn.XLOOKUP(C1851,tblProducts[product_id],tblProducts[product_name],"Missing")</f>
        <v>Support Desk</v>
      </c>
      <c r="P1851" t="str">
        <f>_xlfn.XLOOKUP(C1851,tblProducts[product_id],tblProducts[category],"Missing")</f>
        <v>Service</v>
      </c>
      <c r="Q1851" t="str">
        <f>_xlfn.XLOOKUP(D1851,tblSalesReps[rep_id],tblSalesReps[rep_name],"Missing")</f>
        <v>Sales Rep 07</v>
      </c>
      <c r="R1851" t="str">
        <f>_xlfn.XLOOKUP(D1851,tblSalesReps[rep_id],tblSalesReps[region],"Missing")</f>
        <v>North</v>
      </c>
    </row>
    <row r="1852" spans="1:18">
      <c r="A1852" t="s">
        <v>2387</v>
      </c>
      <c r="B1852" t="s">
        <v>1035</v>
      </c>
      <c r="C1852" t="s">
        <v>21</v>
      </c>
      <c r="D1852" t="s">
        <v>63</v>
      </c>
      <c r="E1852" s="1">
        <v>45916</v>
      </c>
      <c r="F1852" s="1">
        <v>45963</v>
      </c>
      <c r="G1852" s="1">
        <v>45963</v>
      </c>
      <c r="H1852" t="s">
        <v>28</v>
      </c>
      <c r="I1852">
        <v>1</v>
      </c>
      <c r="J1852">
        <v>0</v>
      </c>
      <c r="K1852">
        <v>240000</v>
      </c>
      <c r="L1852">
        <v>100</v>
      </c>
      <c r="M1852" t="s">
        <v>29</v>
      </c>
      <c r="N1852" t="str">
        <f>_xlfn.XLOOKUP(B1852,tblCustomers[customer_id],tblCustomers[region],"Missing")</f>
        <v>South</v>
      </c>
      <c r="O1852" t="str">
        <f>_xlfn.XLOOKUP(C1852,tblProducts[product_id],tblProducts[product_name],"Missing")</f>
        <v>Workflow Automate</v>
      </c>
      <c r="P1852" t="str">
        <f>_xlfn.XLOOKUP(C1852,tblProducts[product_id],tblProducts[category],"Missing")</f>
        <v>Automation</v>
      </c>
      <c r="Q1852" t="str">
        <f>_xlfn.XLOOKUP(D1852,tblSalesReps[rep_id],tblSalesReps[rep_name],"Missing")</f>
        <v>Sales Rep 05</v>
      </c>
      <c r="R1852" t="str">
        <f>_xlfn.XLOOKUP(D1852,tblSalesReps[rep_id],tblSalesReps[region],"Missing")</f>
        <v>South</v>
      </c>
    </row>
    <row r="1853" spans="1:18">
      <c r="A1853" t="s">
        <v>2388</v>
      </c>
      <c r="B1853" t="s">
        <v>95</v>
      </c>
      <c r="C1853" t="s">
        <v>21</v>
      </c>
      <c r="D1853" t="s">
        <v>32</v>
      </c>
      <c r="E1853" s="1">
        <v>46020</v>
      </c>
      <c r="F1853" s="1">
        <v>46065</v>
      </c>
      <c r="G1853" s="1"/>
      <c r="H1853" t="s">
        <v>43</v>
      </c>
      <c r="I1853">
        <v>1</v>
      </c>
      <c r="J1853">
        <v>15</v>
      </c>
      <c r="K1853">
        <v>204000</v>
      </c>
      <c r="L1853">
        <v>20</v>
      </c>
      <c r="M1853" t="s">
        <v>29</v>
      </c>
      <c r="N1853" t="str">
        <f>_xlfn.XLOOKUP(B1853,tblCustomers[customer_id],tblCustomers[region],"Missing")</f>
        <v>South</v>
      </c>
      <c r="O1853" t="str">
        <f>_xlfn.XLOOKUP(C1853,tblProducts[product_id],tblProducts[product_name],"Missing")</f>
        <v>Workflow Automate</v>
      </c>
      <c r="P1853" t="str">
        <f>_xlfn.XLOOKUP(C1853,tblProducts[product_id],tblProducts[category],"Missing")</f>
        <v>Automation</v>
      </c>
      <c r="Q1853" t="str">
        <f>_xlfn.XLOOKUP(D1853,tblSalesReps[rep_id],tblSalesReps[rep_name],"Missing")</f>
        <v>Sales Rep 04</v>
      </c>
      <c r="R1853" t="str">
        <f>_xlfn.XLOOKUP(D1853,tblSalesReps[rep_id],tblSalesReps[region],"Missing")</f>
        <v>South</v>
      </c>
    </row>
    <row r="1854" spans="1:18">
      <c r="A1854" t="s">
        <v>2389</v>
      </c>
      <c r="B1854" t="s">
        <v>1639</v>
      </c>
      <c r="C1854" t="s">
        <v>81</v>
      </c>
      <c r="D1854" t="s">
        <v>36</v>
      </c>
      <c r="E1854" s="1">
        <v>45674</v>
      </c>
      <c r="F1854" s="1">
        <v>45699</v>
      </c>
      <c r="G1854" s="1">
        <v>45699</v>
      </c>
      <c r="H1854" t="s">
        <v>17</v>
      </c>
      <c r="I1854">
        <v>1</v>
      </c>
      <c r="J1854">
        <v>15</v>
      </c>
      <c r="K1854">
        <v>255000</v>
      </c>
      <c r="L1854">
        <v>0</v>
      </c>
      <c r="M1854" t="s">
        <v>18</v>
      </c>
      <c r="N1854" t="str">
        <f>_xlfn.XLOOKUP(B1854,tblCustomers[customer_id],tblCustomers[region],"Missing")</f>
        <v>North</v>
      </c>
      <c r="O1854" t="str">
        <f>_xlfn.XLOOKUP(C1854,tblProducts[product_id],tblProducts[product_name],"Missing")</f>
        <v>Analytics Cloud</v>
      </c>
      <c r="P1854" t="str">
        <f>_xlfn.XLOOKUP(C1854,tblProducts[product_id],tblProducts[category],"Missing")</f>
        <v>Analytics</v>
      </c>
      <c r="Q1854" t="str">
        <f>_xlfn.XLOOKUP(D1854,tblSalesReps[rep_id],tblSalesReps[rep_name],"Missing")</f>
        <v>Sales Rep 09</v>
      </c>
      <c r="R1854" t="str">
        <f>_xlfn.XLOOKUP(D1854,tblSalesReps[rep_id],tblSalesReps[region],"Missing")</f>
        <v>North</v>
      </c>
    </row>
    <row r="1855" spans="1:18">
      <c r="A1855" t="s">
        <v>2390</v>
      </c>
      <c r="B1855" t="s">
        <v>1076</v>
      </c>
      <c r="C1855" t="s">
        <v>39</v>
      </c>
      <c r="D1855" t="s">
        <v>16</v>
      </c>
      <c r="E1855" s="1">
        <v>45852</v>
      </c>
      <c r="F1855" s="1">
        <v>45917</v>
      </c>
      <c r="G1855" s="1">
        <v>45917</v>
      </c>
      <c r="H1855" t="s">
        <v>17</v>
      </c>
      <c r="I1855">
        <v>2</v>
      </c>
      <c r="J1855">
        <v>20</v>
      </c>
      <c r="K1855">
        <v>288000</v>
      </c>
      <c r="L1855">
        <v>0</v>
      </c>
      <c r="M1855" t="s">
        <v>18</v>
      </c>
      <c r="N1855" t="str">
        <f>_xlfn.XLOOKUP(B1855,tblCustomers[customer_id],tblCustomers[region],"Missing")</f>
        <v>North</v>
      </c>
      <c r="O1855" t="str">
        <f>_xlfn.XLOOKUP(C1855,tblProducts[product_id],tblProducts[product_name],"Missing")</f>
        <v>Support Desk</v>
      </c>
      <c r="P1855" t="str">
        <f>_xlfn.XLOOKUP(C1855,tblProducts[product_id],tblProducts[category],"Missing")</f>
        <v>Service</v>
      </c>
      <c r="Q1855" t="str">
        <f>_xlfn.XLOOKUP(D1855,tblSalesReps[rep_id],tblSalesReps[rep_name],"Missing")</f>
        <v>Sales Rep 08</v>
      </c>
      <c r="R1855" t="str">
        <f>_xlfn.XLOOKUP(D1855,tblSalesReps[rep_id],tblSalesReps[region],"Missing")</f>
        <v>North</v>
      </c>
    </row>
    <row r="1856" spans="1:18">
      <c r="A1856" t="s">
        <v>2391</v>
      </c>
      <c r="B1856" t="s">
        <v>1015</v>
      </c>
      <c r="C1856" t="s">
        <v>39</v>
      </c>
      <c r="D1856" t="s">
        <v>168</v>
      </c>
      <c r="E1856" s="1">
        <v>45673</v>
      </c>
      <c r="F1856" s="1">
        <v>45688</v>
      </c>
      <c r="G1856" s="1"/>
      <c r="H1856" t="s">
        <v>43</v>
      </c>
      <c r="I1856">
        <v>1</v>
      </c>
      <c r="J1856">
        <v>10</v>
      </c>
      <c r="K1856">
        <v>162000</v>
      </c>
      <c r="L1856">
        <v>60</v>
      </c>
      <c r="M1856" t="s">
        <v>29</v>
      </c>
      <c r="N1856" t="str">
        <f>_xlfn.XLOOKUP(B1856,tblCustomers[customer_id],tblCustomers[region],"Missing")</f>
        <v>East</v>
      </c>
      <c r="O1856" t="str">
        <f>_xlfn.XLOOKUP(C1856,tblProducts[product_id],tblProducts[product_name],"Missing")</f>
        <v>Support Desk</v>
      </c>
      <c r="P1856" t="str">
        <f>_xlfn.XLOOKUP(C1856,tblProducts[product_id],tblProducts[category],"Missing")</f>
        <v>Service</v>
      </c>
      <c r="Q1856" t="str">
        <f>_xlfn.XLOOKUP(D1856,tblSalesReps[rep_id],tblSalesReps[rep_name],"Missing")</f>
        <v>Sales Rep 17</v>
      </c>
      <c r="R1856" t="str">
        <f>_xlfn.XLOOKUP(D1856,tblSalesReps[rep_id],tblSalesReps[region],"Missing")</f>
        <v>East</v>
      </c>
    </row>
    <row r="1857" spans="1:18">
      <c r="A1857" t="s">
        <v>2392</v>
      </c>
      <c r="B1857" t="s">
        <v>948</v>
      </c>
      <c r="C1857" t="s">
        <v>62</v>
      </c>
      <c r="D1857" t="s">
        <v>22</v>
      </c>
      <c r="E1857" s="1">
        <v>45959</v>
      </c>
      <c r="F1857" s="1">
        <v>46014</v>
      </c>
      <c r="G1857" s="1">
        <v>46014</v>
      </c>
      <c r="H1857" t="s">
        <v>28</v>
      </c>
      <c r="I1857">
        <v>1</v>
      </c>
      <c r="J1857">
        <v>15</v>
      </c>
      <c r="K1857">
        <v>102000</v>
      </c>
      <c r="L1857">
        <v>100</v>
      </c>
      <c r="M1857" t="s">
        <v>29</v>
      </c>
      <c r="N1857" t="str">
        <f>_xlfn.XLOOKUP(B1857,tblCustomers[customer_id],tblCustomers[region],"Missing")</f>
        <v>West</v>
      </c>
      <c r="O1857" t="str">
        <f>_xlfn.XLOOKUP(C1857,tblProducts[product_id],tblProducts[product_name],"Missing")</f>
        <v>CRM Essentials</v>
      </c>
      <c r="P1857" t="str">
        <f>_xlfn.XLOOKUP(C1857,tblProducts[product_id],tblProducts[category],"Missing")</f>
        <v>CRM</v>
      </c>
      <c r="Q1857" t="str">
        <f>_xlfn.XLOOKUP(D1857,tblSalesReps[rep_id],tblSalesReps[rep_name],"Missing")</f>
        <v>Sales Rep 14</v>
      </c>
      <c r="R1857" t="str">
        <f>_xlfn.XLOOKUP(D1857,tblSalesReps[rep_id],tblSalesReps[region],"Missing")</f>
        <v>West</v>
      </c>
    </row>
    <row r="1858" spans="1:18">
      <c r="A1858" t="s">
        <v>2393</v>
      </c>
      <c r="B1858" t="s">
        <v>1127</v>
      </c>
      <c r="C1858" t="s">
        <v>39</v>
      </c>
      <c r="D1858" t="s">
        <v>75</v>
      </c>
      <c r="E1858" s="1">
        <v>45846</v>
      </c>
      <c r="F1858" s="1">
        <v>45916</v>
      </c>
      <c r="G1858" s="1">
        <v>45916</v>
      </c>
      <c r="H1858" t="s">
        <v>17</v>
      </c>
      <c r="I1858">
        <v>2</v>
      </c>
      <c r="J1858">
        <v>10</v>
      </c>
      <c r="K1858">
        <v>324000</v>
      </c>
      <c r="L1858">
        <v>0</v>
      </c>
      <c r="M1858" t="s">
        <v>33</v>
      </c>
      <c r="N1858" t="str">
        <f>_xlfn.XLOOKUP(B1858,tblCustomers[customer_id],tblCustomers[region],"Missing")</f>
        <v>North</v>
      </c>
      <c r="O1858" t="str">
        <f>_xlfn.XLOOKUP(C1858,tblProducts[product_id],tblProducts[product_name],"Missing")</f>
        <v>Support Desk</v>
      </c>
      <c r="P1858" t="str">
        <f>_xlfn.XLOOKUP(C1858,tblProducts[product_id],tblProducts[category],"Missing")</f>
        <v>Service</v>
      </c>
      <c r="Q1858" t="str">
        <f>_xlfn.XLOOKUP(D1858,tblSalesReps[rep_id],tblSalesReps[rep_name],"Missing")</f>
        <v>Sales Rep 07</v>
      </c>
      <c r="R1858" t="str">
        <f>_xlfn.XLOOKUP(D1858,tblSalesReps[rep_id],tblSalesReps[region],"Missing")</f>
        <v>North</v>
      </c>
    </row>
    <row r="1859" spans="1:18">
      <c r="A1859" t="s">
        <v>2394</v>
      </c>
      <c r="B1859" t="s">
        <v>123</v>
      </c>
      <c r="C1859" t="s">
        <v>26</v>
      </c>
      <c r="D1859" t="s">
        <v>126</v>
      </c>
      <c r="E1859" s="1">
        <v>45868</v>
      </c>
      <c r="F1859" s="1">
        <v>45891</v>
      </c>
      <c r="G1859" s="1">
        <v>45891</v>
      </c>
      <c r="H1859" t="s">
        <v>28</v>
      </c>
      <c r="I1859">
        <v>2</v>
      </c>
      <c r="J1859">
        <v>0</v>
      </c>
      <c r="K1859">
        <v>720000</v>
      </c>
      <c r="L1859">
        <v>100</v>
      </c>
      <c r="M1859" t="s">
        <v>29</v>
      </c>
      <c r="N1859" t="str">
        <f>_xlfn.XLOOKUP(B1859,tblCustomers[customer_id],tblCustomers[region],"Missing")</f>
        <v>South</v>
      </c>
      <c r="O1859" t="str">
        <f>_xlfn.XLOOKUP(C1859,tblProducts[product_id],tblProducts[product_name],"Missing")</f>
        <v>Security Suite</v>
      </c>
      <c r="P1859" t="str">
        <f>_xlfn.XLOOKUP(C1859,tblProducts[product_id],tblProducts[category],"Missing")</f>
        <v>Security</v>
      </c>
      <c r="Q1859" t="str">
        <f>_xlfn.XLOOKUP(D1859,tblSalesReps[rep_id],tblSalesReps[rep_name],"Missing")</f>
        <v>Sales Rep 02</v>
      </c>
      <c r="R1859" t="str">
        <f>_xlfn.XLOOKUP(D1859,tblSalesReps[rep_id],tblSalesReps[region],"Missing")</f>
        <v>South</v>
      </c>
    </row>
    <row r="1860" spans="1:18">
      <c r="A1860" t="s">
        <v>2395</v>
      </c>
      <c r="B1860" t="s">
        <v>710</v>
      </c>
      <c r="C1860" t="s">
        <v>39</v>
      </c>
      <c r="D1860" t="s">
        <v>53</v>
      </c>
      <c r="E1860" s="1">
        <v>45992</v>
      </c>
      <c r="F1860" s="1">
        <v>46005</v>
      </c>
      <c r="G1860" s="1">
        <v>46005</v>
      </c>
      <c r="H1860" t="s">
        <v>17</v>
      </c>
      <c r="I1860">
        <v>1</v>
      </c>
      <c r="J1860">
        <v>5</v>
      </c>
      <c r="K1860">
        <v>171000</v>
      </c>
      <c r="L1860">
        <v>0</v>
      </c>
      <c r="M1860" t="s">
        <v>82</v>
      </c>
      <c r="N1860" t="str">
        <f>_xlfn.XLOOKUP(B1860,tblCustomers[customer_id],tblCustomers[region],"Missing")</f>
        <v>East</v>
      </c>
      <c r="O1860" t="str">
        <f>_xlfn.XLOOKUP(C1860,tblProducts[product_id],tblProducts[product_name],"Missing")</f>
        <v>Support Desk</v>
      </c>
      <c r="P1860" t="str">
        <f>_xlfn.XLOOKUP(C1860,tblProducts[product_id],tblProducts[category],"Missing")</f>
        <v>Service</v>
      </c>
      <c r="Q1860" t="str">
        <f>_xlfn.XLOOKUP(D1860,tblSalesReps[rep_id],tblSalesReps[rep_name],"Missing")</f>
        <v>Sales Rep 16</v>
      </c>
      <c r="R1860" t="str">
        <f>_xlfn.XLOOKUP(D1860,tblSalesReps[rep_id],tblSalesReps[region],"Missing")</f>
        <v>East</v>
      </c>
    </row>
    <row r="1861" spans="1:18">
      <c r="A1861" t="s">
        <v>2396</v>
      </c>
      <c r="B1861" t="s">
        <v>1834</v>
      </c>
      <c r="C1861" t="s">
        <v>62</v>
      </c>
      <c r="D1861" t="s">
        <v>53</v>
      </c>
      <c r="E1861" s="1">
        <v>45800</v>
      </c>
      <c r="F1861" s="1">
        <v>45866</v>
      </c>
      <c r="G1861" s="1">
        <v>45866</v>
      </c>
      <c r="H1861" t="s">
        <v>17</v>
      </c>
      <c r="I1861">
        <v>1</v>
      </c>
      <c r="J1861">
        <v>15</v>
      </c>
      <c r="K1861">
        <v>102000</v>
      </c>
      <c r="L1861">
        <v>0</v>
      </c>
      <c r="M1861" t="s">
        <v>23</v>
      </c>
      <c r="N1861" t="str">
        <f>_xlfn.XLOOKUP(B1861,tblCustomers[customer_id],tblCustomers[region],"Missing")</f>
        <v>East</v>
      </c>
      <c r="O1861" t="str">
        <f>_xlfn.XLOOKUP(C1861,tblProducts[product_id],tblProducts[product_name],"Missing")</f>
        <v>CRM Essentials</v>
      </c>
      <c r="P1861" t="str">
        <f>_xlfn.XLOOKUP(C1861,tblProducts[product_id],tblProducts[category],"Missing")</f>
        <v>CRM</v>
      </c>
      <c r="Q1861" t="str">
        <f>_xlfn.XLOOKUP(D1861,tblSalesReps[rep_id],tblSalesReps[rep_name],"Missing")</f>
        <v>Sales Rep 16</v>
      </c>
      <c r="R1861" t="str">
        <f>_xlfn.XLOOKUP(D1861,tblSalesReps[rep_id],tblSalesReps[region],"Missing")</f>
        <v>East</v>
      </c>
    </row>
    <row r="1862" spans="1:18">
      <c r="A1862" t="s">
        <v>2397</v>
      </c>
      <c r="B1862" t="s">
        <v>601</v>
      </c>
      <c r="C1862" t="s">
        <v>81</v>
      </c>
      <c r="D1862" t="s">
        <v>32</v>
      </c>
      <c r="E1862" s="1">
        <v>45761</v>
      </c>
      <c r="F1862" s="1">
        <v>45844</v>
      </c>
      <c r="G1862" s="1">
        <v>45844</v>
      </c>
      <c r="H1862" t="s">
        <v>17</v>
      </c>
      <c r="I1862">
        <v>1</v>
      </c>
      <c r="J1862">
        <v>15</v>
      </c>
      <c r="K1862">
        <v>255000</v>
      </c>
      <c r="L1862">
        <v>0</v>
      </c>
      <c r="M1862" t="s">
        <v>33</v>
      </c>
      <c r="N1862" t="str">
        <f>_xlfn.XLOOKUP(B1862,tblCustomers[customer_id],tblCustomers[region],"Missing")</f>
        <v>South</v>
      </c>
      <c r="O1862" t="str">
        <f>_xlfn.XLOOKUP(C1862,tblProducts[product_id],tblProducts[product_name],"Missing")</f>
        <v>Analytics Cloud</v>
      </c>
      <c r="P1862" t="str">
        <f>_xlfn.XLOOKUP(C1862,tblProducts[product_id],tblProducts[category],"Missing")</f>
        <v>Analytics</v>
      </c>
      <c r="Q1862" t="str">
        <f>_xlfn.XLOOKUP(D1862,tblSalesReps[rep_id],tblSalesReps[rep_name],"Missing")</f>
        <v>Sales Rep 04</v>
      </c>
      <c r="R1862" t="str">
        <f>_xlfn.XLOOKUP(D1862,tblSalesReps[rep_id],tblSalesReps[region],"Missing")</f>
        <v>South</v>
      </c>
    </row>
    <row r="1863" spans="1:18">
      <c r="A1863" t="s">
        <v>2398</v>
      </c>
      <c r="B1863" t="s">
        <v>1546</v>
      </c>
      <c r="C1863" t="s">
        <v>39</v>
      </c>
      <c r="D1863" t="s">
        <v>36</v>
      </c>
      <c r="E1863" s="1">
        <v>45802</v>
      </c>
      <c r="F1863" s="1">
        <v>45887</v>
      </c>
      <c r="G1863" s="1">
        <v>45887</v>
      </c>
      <c r="H1863" t="s">
        <v>17</v>
      </c>
      <c r="I1863">
        <v>1</v>
      </c>
      <c r="J1863">
        <v>10</v>
      </c>
      <c r="K1863">
        <v>162000</v>
      </c>
      <c r="L1863">
        <v>0</v>
      </c>
      <c r="M1863" t="s">
        <v>23</v>
      </c>
      <c r="N1863" t="str">
        <f>_xlfn.XLOOKUP(B1863,tblCustomers[customer_id],tblCustomers[region],"Missing")</f>
        <v>North</v>
      </c>
      <c r="O1863" t="str">
        <f>_xlfn.XLOOKUP(C1863,tblProducts[product_id],tblProducts[product_name],"Missing")</f>
        <v>Support Desk</v>
      </c>
      <c r="P1863" t="str">
        <f>_xlfn.XLOOKUP(C1863,tblProducts[product_id],tblProducts[category],"Missing")</f>
        <v>Service</v>
      </c>
      <c r="Q1863" t="str">
        <f>_xlfn.XLOOKUP(D1863,tblSalesReps[rep_id],tblSalesReps[rep_name],"Missing")</f>
        <v>Sales Rep 09</v>
      </c>
      <c r="R1863" t="str">
        <f>_xlfn.XLOOKUP(D1863,tblSalesReps[rep_id],tblSalesReps[region],"Missing")</f>
        <v>North</v>
      </c>
    </row>
    <row r="1864" spans="1:18">
      <c r="A1864" t="s">
        <v>2399</v>
      </c>
      <c r="B1864" t="s">
        <v>431</v>
      </c>
      <c r="C1864" t="s">
        <v>26</v>
      </c>
      <c r="D1864" t="s">
        <v>53</v>
      </c>
      <c r="E1864" s="1">
        <v>45908</v>
      </c>
      <c r="F1864" s="1">
        <v>45948</v>
      </c>
      <c r="G1864" s="1">
        <v>45948</v>
      </c>
      <c r="H1864" t="s">
        <v>17</v>
      </c>
      <c r="I1864">
        <v>3</v>
      </c>
      <c r="J1864">
        <v>15</v>
      </c>
      <c r="K1864">
        <v>918000</v>
      </c>
      <c r="L1864">
        <v>0</v>
      </c>
      <c r="M1864" t="s">
        <v>82</v>
      </c>
      <c r="N1864" t="str">
        <f>_xlfn.XLOOKUP(B1864,tblCustomers[customer_id],tblCustomers[region],"Missing")</f>
        <v>East</v>
      </c>
      <c r="O1864" t="str">
        <f>_xlfn.XLOOKUP(C1864,tblProducts[product_id],tblProducts[product_name],"Missing")</f>
        <v>Security Suite</v>
      </c>
      <c r="P1864" t="str">
        <f>_xlfn.XLOOKUP(C1864,tblProducts[product_id],tblProducts[category],"Missing")</f>
        <v>Security</v>
      </c>
      <c r="Q1864" t="str">
        <f>_xlfn.XLOOKUP(D1864,tblSalesReps[rep_id],tblSalesReps[rep_name],"Missing")</f>
        <v>Sales Rep 16</v>
      </c>
      <c r="R1864" t="str">
        <f>_xlfn.XLOOKUP(D1864,tblSalesReps[rep_id],tblSalesReps[region],"Missing")</f>
        <v>East</v>
      </c>
    </row>
    <row r="1865" spans="1:18">
      <c r="A1865" t="s">
        <v>2400</v>
      </c>
      <c r="B1865" t="s">
        <v>497</v>
      </c>
      <c r="C1865" t="s">
        <v>39</v>
      </c>
      <c r="D1865" t="s">
        <v>32</v>
      </c>
      <c r="E1865" s="1">
        <v>45721</v>
      </c>
      <c r="F1865" s="1">
        <v>45746</v>
      </c>
      <c r="G1865" s="1">
        <v>45746</v>
      </c>
      <c r="H1865" t="s">
        <v>28</v>
      </c>
      <c r="I1865">
        <v>1</v>
      </c>
      <c r="J1865">
        <v>0</v>
      </c>
      <c r="K1865">
        <v>180000</v>
      </c>
      <c r="L1865">
        <v>100</v>
      </c>
      <c r="M1865" t="s">
        <v>29</v>
      </c>
      <c r="N1865" t="str">
        <f>_xlfn.XLOOKUP(B1865,tblCustomers[customer_id],tblCustomers[region],"Missing")</f>
        <v>South</v>
      </c>
      <c r="O1865" t="str">
        <f>_xlfn.XLOOKUP(C1865,tblProducts[product_id],tblProducts[product_name],"Missing")</f>
        <v>Support Desk</v>
      </c>
      <c r="P1865" t="str">
        <f>_xlfn.XLOOKUP(C1865,tblProducts[product_id],tblProducts[category],"Missing")</f>
        <v>Service</v>
      </c>
      <c r="Q1865" t="str">
        <f>_xlfn.XLOOKUP(D1865,tblSalesReps[rep_id],tblSalesReps[rep_name],"Missing")</f>
        <v>Sales Rep 04</v>
      </c>
      <c r="R1865" t="str">
        <f>_xlfn.XLOOKUP(D1865,tblSalesReps[rep_id],tblSalesReps[region],"Missing")</f>
        <v>South</v>
      </c>
    </row>
    <row r="1866" spans="1:18">
      <c r="A1866" t="s">
        <v>2401</v>
      </c>
      <c r="B1866" t="s">
        <v>97</v>
      </c>
      <c r="C1866" t="s">
        <v>81</v>
      </c>
      <c r="D1866" t="s">
        <v>22</v>
      </c>
      <c r="E1866" s="1">
        <v>45715</v>
      </c>
      <c r="F1866" s="1">
        <v>45794</v>
      </c>
      <c r="G1866" s="1">
        <v>45794</v>
      </c>
      <c r="H1866" t="s">
        <v>17</v>
      </c>
      <c r="I1866">
        <v>2</v>
      </c>
      <c r="J1866">
        <v>20</v>
      </c>
      <c r="K1866">
        <v>480000</v>
      </c>
      <c r="L1866">
        <v>0</v>
      </c>
      <c r="M1866" t="s">
        <v>47</v>
      </c>
      <c r="N1866" t="str">
        <f>_xlfn.XLOOKUP(B1866,tblCustomers[customer_id],tblCustomers[region],"Missing")</f>
        <v>West</v>
      </c>
      <c r="O1866" t="str">
        <f>_xlfn.XLOOKUP(C1866,tblProducts[product_id],tblProducts[product_name],"Missing")</f>
        <v>Analytics Cloud</v>
      </c>
      <c r="P1866" t="str">
        <f>_xlfn.XLOOKUP(C1866,tblProducts[product_id],tblProducts[category],"Missing")</f>
        <v>Analytics</v>
      </c>
      <c r="Q1866" t="str">
        <f>_xlfn.XLOOKUP(D1866,tblSalesReps[rep_id],tblSalesReps[rep_name],"Missing")</f>
        <v>Sales Rep 14</v>
      </c>
      <c r="R1866" t="str">
        <f>_xlfn.XLOOKUP(D1866,tblSalesReps[rep_id],tblSalesReps[region],"Missing")</f>
        <v>West</v>
      </c>
    </row>
    <row r="1867" spans="1:18">
      <c r="A1867" t="s">
        <v>2402</v>
      </c>
      <c r="B1867" t="s">
        <v>557</v>
      </c>
      <c r="C1867" t="s">
        <v>39</v>
      </c>
      <c r="D1867" t="s">
        <v>126</v>
      </c>
      <c r="E1867" s="1">
        <v>45921</v>
      </c>
      <c r="F1867" s="1">
        <v>45989</v>
      </c>
      <c r="G1867" s="1"/>
      <c r="H1867" t="s">
        <v>43</v>
      </c>
      <c r="I1867">
        <v>1</v>
      </c>
      <c r="J1867">
        <v>5</v>
      </c>
      <c r="K1867">
        <v>171000</v>
      </c>
      <c r="L1867">
        <v>40</v>
      </c>
      <c r="M1867" t="s">
        <v>29</v>
      </c>
      <c r="N1867" t="str">
        <f>_xlfn.XLOOKUP(B1867,tblCustomers[customer_id],tblCustomers[region],"Missing")</f>
        <v>South</v>
      </c>
      <c r="O1867" t="str">
        <f>_xlfn.XLOOKUP(C1867,tblProducts[product_id],tblProducts[product_name],"Missing")</f>
        <v>Support Desk</v>
      </c>
      <c r="P1867" t="str">
        <f>_xlfn.XLOOKUP(C1867,tblProducts[product_id],tblProducts[category],"Missing")</f>
        <v>Service</v>
      </c>
      <c r="Q1867" t="str">
        <f>_xlfn.XLOOKUP(D1867,tblSalesReps[rep_id],tblSalesReps[rep_name],"Missing")</f>
        <v>Sales Rep 02</v>
      </c>
      <c r="R1867" t="str">
        <f>_xlfn.XLOOKUP(D1867,tblSalesReps[rep_id],tblSalesReps[region],"Missing")</f>
        <v>South</v>
      </c>
    </row>
    <row r="1868" spans="1:18">
      <c r="A1868" t="s">
        <v>2403</v>
      </c>
      <c r="B1868" t="s">
        <v>520</v>
      </c>
      <c r="C1868" t="s">
        <v>62</v>
      </c>
      <c r="D1868" t="s">
        <v>168</v>
      </c>
      <c r="E1868" s="1">
        <v>45943</v>
      </c>
      <c r="F1868" s="1">
        <v>46025</v>
      </c>
      <c r="G1868" s="1"/>
      <c r="H1868" t="s">
        <v>43</v>
      </c>
      <c r="I1868">
        <v>3</v>
      </c>
      <c r="J1868">
        <v>5</v>
      </c>
      <c r="K1868">
        <v>342000</v>
      </c>
      <c r="L1868">
        <v>60</v>
      </c>
      <c r="M1868" t="s">
        <v>29</v>
      </c>
      <c r="N1868" t="str">
        <f>_xlfn.XLOOKUP(B1868,tblCustomers[customer_id],tblCustomers[region],"Missing")</f>
        <v>East</v>
      </c>
      <c r="O1868" t="str">
        <f>_xlfn.XLOOKUP(C1868,tblProducts[product_id],tblProducts[product_name],"Missing")</f>
        <v>CRM Essentials</v>
      </c>
      <c r="P1868" t="str">
        <f>_xlfn.XLOOKUP(C1868,tblProducts[product_id],tblProducts[category],"Missing")</f>
        <v>CRM</v>
      </c>
      <c r="Q1868" t="str">
        <f>_xlfn.XLOOKUP(D1868,tblSalesReps[rep_id],tblSalesReps[rep_name],"Missing")</f>
        <v>Sales Rep 17</v>
      </c>
      <c r="R1868" t="str">
        <f>_xlfn.XLOOKUP(D1868,tblSalesReps[rep_id],tblSalesReps[region],"Missing")</f>
        <v>East</v>
      </c>
    </row>
    <row r="1869" spans="1:18">
      <c r="A1869" t="s">
        <v>2404</v>
      </c>
      <c r="B1869" t="s">
        <v>1817</v>
      </c>
      <c r="C1869" t="s">
        <v>39</v>
      </c>
      <c r="D1869" t="s">
        <v>22</v>
      </c>
      <c r="E1869" s="1">
        <v>45829</v>
      </c>
      <c r="F1869" s="1">
        <v>45837</v>
      </c>
      <c r="G1869" s="1"/>
      <c r="H1869" t="s">
        <v>43</v>
      </c>
      <c r="I1869">
        <v>1</v>
      </c>
      <c r="J1869">
        <v>20</v>
      </c>
      <c r="K1869">
        <v>144000</v>
      </c>
      <c r="L1869">
        <v>60</v>
      </c>
      <c r="M1869" t="s">
        <v>29</v>
      </c>
      <c r="N1869" t="str">
        <f>_xlfn.XLOOKUP(B1869,tblCustomers[customer_id],tblCustomers[region],"Missing")</f>
        <v>West</v>
      </c>
      <c r="O1869" t="str">
        <f>_xlfn.XLOOKUP(C1869,tblProducts[product_id],tblProducts[product_name],"Missing")</f>
        <v>Support Desk</v>
      </c>
      <c r="P1869" t="str">
        <f>_xlfn.XLOOKUP(C1869,tblProducts[product_id],tblProducts[category],"Missing")</f>
        <v>Service</v>
      </c>
      <c r="Q1869" t="str">
        <f>_xlfn.XLOOKUP(D1869,tblSalesReps[rep_id],tblSalesReps[rep_name],"Missing")</f>
        <v>Sales Rep 14</v>
      </c>
      <c r="R1869" t="str">
        <f>_xlfn.XLOOKUP(D1869,tblSalesReps[rep_id],tblSalesReps[region],"Missing")</f>
        <v>West</v>
      </c>
    </row>
    <row r="1870" spans="1:18">
      <c r="A1870" t="s">
        <v>2405</v>
      </c>
      <c r="B1870" t="s">
        <v>489</v>
      </c>
      <c r="C1870" t="s">
        <v>21</v>
      </c>
      <c r="D1870" t="s">
        <v>78</v>
      </c>
      <c r="E1870" s="1">
        <v>45812</v>
      </c>
      <c r="F1870" s="1">
        <v>45845</v>
      </c>
      <c r="G1870" s="1">
        <v>45845</v>
      </c>
      <c r="H1870" t="s">
        <v>17</v>
      </c>
      <c r="I1870">
        <v>1</v>
      </c>
      <c r="J1870">
        <v>5</v>
      </c>
      <c r="K1870">
        <v>228000</v>
      </c>
      <c r="L1870">
        <v>0</v>
      </c>
      <c r="M1870" t="s">
        <v>23</v>
      </c>
      <c r="N1870" t="str">
        <f>_xlfn.XLOOKUP(B1870,tblCustomers[customer_id],tblCustomers[region],"Missing")</f>
        <v>West</v>
      </c>
      <c r="O1870" t="str">
        <f>_xlfn.XLOOKUP(C1870,tblProducts[product_id],tblProducts[product_name],"Missing")</f>
        <v>Workflow Automate</v>
      </c>
      <c r="P1870" t="str">
        <f>_xlfn.XLOOKUP(C1870,tblProducts[product_id],tblProducts[category],"Missing")</f>
        <v>Automation</v>
      </c>
      <c r="Q1870" t="str">
        <f>_xlfn.XLOOKUP(D1870,tblSalesReps[rep_id],tblSalesReps[rep_name],"Missing")</f>
        <v>Sales Rep 12</v>
      </c>
      <c r="R1870" t="str">
        <f>_xlfn.XLOOKUP(D1870,tblSalesReps[rep_id],tblSalesReps[region],"Missing")</f>
        <v>West</v>
      </c>
    </row>
    <row r="1871" spans="1:18">
      <c r="A1871" t="s">
        <v>2406</v>
      </c>
      <c r="B1871" t="s">
        <v>1634</v>
      </c>
      <c r="C1871" t="s">
        <v>15</v>
      </c>
      <c r="D1871" t="s">
        <v>22</v>
      </c>
      <c r="E1871" s="1">
        <v>45960</v>
      </c>
      <c r="F1871" s="1">
        <v>46014</v>
      </c>
      <c r="G1871" s="1">
        <v>46014</v>
      </c>
      <c r="H1871" t="s">
        <v>17</v>
      </c>
      <c r="I1871">
        <v>2</v>
      </c>
      <c r="J1871">
        <v>10</v>
      </c>
      <c r="K1871">
        <v>756000</v>
      </c>
      <c r="L1871">
        <v>0</v>
      </c>
      <c r="M1871" t="s">
        <v>47</v>
      </c>
      <c r="N1871" t="str">
        <f>_xlfn.XLOOKUP(B1871,tblCustomers[customer_id],tblCustomers[region],"Missing")</f>
        <v>West</v>
      </c>
      <c r="O1871" t="str">
        <f>_xlfn.XLOOKUP(C1871,tblProducts[product_id],tblProducts[product_name],"Missing")</f>
        <v>CRM Enterprise</v>
      </c>
      <c r="P1871" t="str">
        <f>_xlfn.XLOOKUP(C1871,tblProducts[product_id],tblProducts[category],"Missing")</f>
        <v>CRM</v>
      </c>
      <c r="Q1871" t="str">
        <f>_xlfn.XLOOKUP(D1871,tblSalesReps[rep_id],tblSalesReps[rep_name],"Missing")</f>
        <v>Sales Rep 14</v>
      </c>
      <c r="R1871" t="str">
        <f>_xlfn.XLOOKUP(D1871,tblSalesReps[rep_id],tblSalesReps[region],"Missing")</f>
        <v>West</v>
      </c>
    </row>
    <row r="1872" spans="1:18">
      <c r="A1872" t="s">
        <v>2407</v>
      </c>
      <c r="B1872" t="s">
        <v>905</v>
      </c>
      <c r="C1872" t="s">
        <v>21</v>
      </c>
      <c r="D1872" t="s">
        <v>46</v>
      </c>
      <c r="E1872" s="1">
        <v>45862</v>
      </c>
      <c r="F1872" s="1">
        <v>45903</v>
      </c>
      <c r="G1872" s="1">
        <v>45903</v>
      </c>
      <c r="H1872" t="s">
        <v>17</v>
      </c>
      <c r="I1872">
        <v>1</v>
      </c>
      <c r="J1872">
        <v>20</v>
      </c>
      <c r="K1872">
        <v>192000</v>
      </c>
      <c r="L1872">
        <v>0</v>
      </c>
      <c r="M1872" t="s">
        <v>18</v>
      </c>
      <c r="N1872" t="str">
        <f>_xlfn.XLOOKUP(B1872,tblCustomers[customer_id],tblCustomers[region],"Missing")</f>
        <v>South</v>
      </c>
      <c r="O1872" t="str">
        <f>_xlfn.XLOOKUP(C1872,tblProducts[product_id],tblProducts[product_name],"Missing")</f>
        <v>Workflow Automate</v>
      </c>
      <c r="P1872" t="str">
        <f>_xlfn.XLOOKUP(C1872,tblProducts[product_id],tblProducts[category],"Missing")</f>
        <v>Automation</v>
      </c>
      <c r="Q1872" t="str">
        <f>_xlfn.XLOOKUP(D1872,tblSalesReps[rep_id],tblSalesReps[rep_name],"Missing")</f>
        <v>Sales Rep 01</v>
      </c>
      <c r="R1872" t="str">
        <f>_xlfn.XLOOKUP(D1872,tblSalesReps[rep_id],tblSalesReps[region],"Missing")</f>
        <v>South</v>
      </c>
    </row>
    <row r="1873" spans="1:18">
      <c r="A1873" t="s">
        <v>2408</v>
      </c>
      <c r="B1873" t="s">
        <v>219</v>
      </c>
      <c r="C1873" t="s">
        <v>26</v>
      </c>
      <c r="D1873" t="s">
        <v>56</v>
      </c>
      <c r="E1873" s="1">
        <v>45900</v>
      </c>
      <c r="F1873" s="1">
        <v>45931</v>
      </c>
      <c r="G1873" s="1">
        <v>45931</v>
      </c>
      <c r="H1873" t="s">
        <v>28</v>
      </c>
      <c r="I1873">
        <v>1</v>
      </c>
      <c r="J1873">
        <v>10</v>
      </c>
      <c r="K1873">
        <v>324000</v>
      </c>
      <c r="L1873">
        <v>100</v>
      </c>
      <c r="M1873" t="s">
        <v>29</v>
      </c>
      <c r="N1873" t="str">
        <f>_xlfn.XLOOKUP(B1873,tblCustomers[customer_id],tblCustomers[region],"Missing")</f>
        <v>East</v>
      </c>
      <c r="O1873" t="str">
        <f>_xlfn.XLOOKUP(C1873,tblProducts[product_id],tblProducts[product_name],"Missing")</f>
        <v>Security Suite</v>
      </c>
      <c r="P1873" t="str">
        <f>_xlfn.XLOOKUP(C1873,tblProducts[product_id],tblProducts[category],"Missing")</f>
        <v>Security</v>
      </c>
      <c r="Q1873" t="str">
        <f>_xlfn.XLOOKUP(D1873,tblSalesReps[rep_id],tblSalesReps[rep_name],"Missing")</f>
        <v>Sales Rep 20</v>
      </c>
      <c r="R1873" t="str">
        <f>_xlfn.XLOOKUP(D1873,tblSalesReps[rep_id],tblSalesReps[region],"Missing")</f>
        <v>East</v>
      </c>
    </row>
    <row r="1874" spans="1:18">
      <c r="A1874" t="s">
        <v>2409</v>
      </c>
      <c r="B1874" t="s">
        <v>1024</v>
      </c>
      <c r="C1874" t="s">
        <v>26</v>
      </c>
      <c r="D1874" t="s">
        <v>50</v>
      </c>
      <c r="E1874" s="1">
        <v>45870</v>
      </c>
      <c r="F1874" s="1">
        <v>45891</v>
      </c>
      <c r="G1874" s="1">
        <v>45891</v>
      </c>
      <c r="H1874" t="s">
        <v>17</v>
      </c>
      <c r="I1874">
        <v>1</v>
      </c>
      <c r="J1874">
        <v>5</v>
      </c>
      <c r="K1874">
        <v>342000</v>
      </c>
      <c r="L1874">
        <v>0</v>
      </c>
      <c r="M1874" t="s">
        <v>18</v>
      </c>
      <c r="N1874" t="str">
        <f>_xlfn.XLOOKUP(B1874,tblCustomers[customer_id],tblCustomers[region],"Missing")</f>
        <v>West</v>
      </c>
      <c r="O1874" t="str">
        <f>_xlfn.XLOOKUP(C1874,tblProducts[product_id],tblProducts[product_name],"Missing")</f>
        <v>Security Suite</v>
      </c>
      <c r="P1874" t="str">
        <f>_xlfn.XLOOKUP(C1874,tblProducts[product_id],tblProducts[category],"Missing")</f>
        <v>Security</v>
      </c>
      <c r="Q1874" t="str">
        <f>_xlfn.XLOOKUP(D1874,tblSalesReps[rep_id],tblSalesReps[rep_name],"Missing")</f>
        <v>Sales Rep 15</v>
      </c>
      <c r="R1874" t="str">
        <f>_xlfn.XLOOKUP(D1874,tblSalesReps[rep_id],tblSalesReps[region],"Missing")</f>
        <v>West</v>
      </c>
    </row>
    <row r="1875" spans="1:18">
      <c r="A1875" t="s">
        <v>2410</v>
      </c>
      <c r="B1875" t="s">
        <v>501</v>
      </c>
      <c r="C1875" t="s">
        <v>81</v>
      </c>
      <c r="D1875" t="s">
        <v>53</v>
      </c>
      <c r="E1875" s="1">
        <v>45987</v>
      </c>
      <c r="F1875" s="1">
        <v>46046</v>
      </c>
      <c r="G1875" s="1"/>
      <c r="H1875" t="s">
        <v>43</v>
      </c>
      <c r="I1875">
        <v>1</v>
      </c>
      <c r="J1875">
        <v>5</v>
      </c>
      <c r="K1875">
        <v>285000</v>
      </c>
      <c r="L1875">
        <v>80</v>
      </c>
      <c r="M1875" t="s">
        <v>29</v>
      </c>
      <c r="N1875" t="str">
        <f>_xlfn.XLOOKUP(B1875,tblCustomers[customer_id],tblCustomers[region],"Missing")</f>
        <v>East</v>
      </c>
      <c r="O1875" t="str">
        <f>_xlfn.XLOOKUP(C1875,tblProducts[product_id],tblProducts[product_name],"Missing")</f>
        <v>Analytics Cloud</v>
      </c>
      <c r="P1875" t="str">
        <f>_xlfn.XLOOKUP(C1875,tblProducts[product_id],tblProducts[category],"Missing")</f>
        <v>Analytics</v>
      </c>
      <c r="Q1875" t="str">
        <f>_xlfn.XLOOKUP(D1875,tblSalesReps[rep_id],tblSalesReps[rep_name],"Missing")</f>
        <v>Sales Rep 16</v>
      </c>
      <c r="R1875" t="str">
        <f>_xlfn.XLOOKUP(D1875,tblSalesReps[rep_id],tblSalesReps[region],"Missing")</f>
        <v>East</v>
      </c>
    </row>
    <row r="1876" spans="1:18">
      <c r="A1876" t="s">
        <v>2411</v>
      </c>
      <c r="B1876" t="s">
        <v>125</v>
      </c>
      <c r="C1876" t="s">
        <v>15</v>
      </c>
      <c r="D1876" t="s">
        <v>91</v>
      </c>
      <c r="E1876" s="1">
        <v>46021</v>
      </c>
      <c r="F1876" s="1">
        <v>46077</v>
      </c>
      <c r="G1876" s="1"/>
      <c r="H1876" t="s">
        <v>43</v>
      </c>
      <c r="I1876">
        <v>3</v>
      </c>
      <c r="J1876">
        <v>5</v>
      </c>
      <c r="K1876">
        <v>1197000</v>
      </c>
      <c r="L1876">
        <v>40</v>
      </c>
      <c r="M1876" t="s">
        <v>29</v>
      </c>
      <c r="N1876" t="str">
        <f>_xlfn.XLOOKUP(B1876,tblCustomers[customer_id],tblCustomers[region],"Missing")</f>
        <v>South</v>
      </c>
      <c r="O1876" t="str">
        <f>_xlfn.XLOOKUP(C1876,tblProducts[product_id],tblProducts[product_name],"Missing")</f>
        <v>CRM Enterprise</v>
      </c>
      <c r="P1876" t="str">
        <f>_xlfn.XLOOKUP(C1876,tblProducts[product_id],tblProducts[category],"Missing")</f>
        <v>CRM</v>
      </c>
      <c r="Q1876" t="str">
        <f>_xlfn.XLOOKUP(D1876,tblSalesReps[rep_id],tblSalesReps[rep_name],"Missing")</f>
        <v>Sales Rep 03</v>
      </c>
      <c r="R1876" t="str">
        <f>_xlfn.XLOOKUP(D1876,tblSalesReps[rep_id],tblSalesReps[region],"Missing")</f>
        <v>South</v>
      </c>
    </row>
    <row r="1877" spans="1:18">
      <c r="A1877" t="s">
        <v>2412</v>
      </c>
      <c r="B1877" t="s">
        <v>1382</v>
      </c>
      <c r="C1877" t="s">
        <v>81</v>
      </c>
      <c r="D1877" t="s">
        <v>70</v>
      </c>
      <c r="E1877" s="1">
        <v>45977</v>
      </c>
      <c r="F1877" s="1">
        <v>46017</v>
      </c>
      <c r="G1877" s="1"/>
      <c r="H1877" t="s">
        <v>43</v>
      </c>
      <c r="I1877">
        <v>2</v>
      </c>
      <c r="J1877">
        <v>0</v>
      </c>
      <c r="K1877">
        <v>600000</v>
      </c>
      <c r="L1877">
        <v>20</v>
      </c>
      <c r="M1877" t="s">
        <v>29</v>
      </c>
      <c r="N1877" t="str">
        <f>_xlfn.XLOOKUP(B1877,tblCustomers[customer_id],tblCustomers[region],"Missing")</f>
        <v>West</v>
      </c>
      <c r="O1877" t="str">
        <f>_xlfn.XLOOKUP(C1877,tblProducts[product_id],tblProducts[product_name],"Missing")</f>
        <v>Analytics Cloud</v>
      </c>
      <c r="P1877" t="str">
        <f>_xlfn.XLOOKUP(C1877,tblProducts[product_id],tblProducts[category],"Missing")</f>
        <v>Analytics</v>
      </c>
      <c r="Q1877" t="str">
        <f>_xlfn.XLOOKUP(D1877,tblSalesReps[rep_id],tblSalesReps[rep_name],"Missing")</f>
        <v>Sales Rep 11</v>
      </c>
      <c r="R1877" t="str">
        <f>_xlfn.XLOOKUP(D1877,tblSalesReps[rep_id],tblSalesReps[region],"Missing")</f>
        <v>West</v>
      </c>
    </row>
    <row r="1878" spans="1:18">
      <c r="A1878" t="s">
        <v>2413</v>
      </c>
      <c r="B1878" t="s">
        <v>1080</v>
      </c>
      <c r="C1878" t="s">
        <v>26</v>
      </c>
      <c r="D1878" t="s">
        <v>53</v>
      </c>
      <c r="E1878" s="1">
        <v>45748</v>
      </c>
      <c r="F1878" s="1">
        <v>45776</v>
      </c>
      <c r="G1878" s="1">
        <v>45776</v>
      </c>
      <c r="H1878" t="s">
        <v>28</v>
      </c>
      <c r="I1878">
        <v>1</v>
      </c>
      <c r="J1878">
        <v>10</v>
      </c>
      <c r="K1878">
        <v>324000</v>
      </c>
      <c r="L1878">
        <v>100</v>
      </c>
      <c r="M1878" t="s">
        <v>29</v>
      </c>
      <c r="N1878" t="str">
        <f>_xlfn.XLOOKUP(B1878,tblCustomers[customer_id],tblCustomers[region],"Missing")</f>
        <v>East</v>
      </c>
      <c r="O1878" t="str">
        <f>_xlfn.XLOOKUP(C1878,tblProducts[product_id],tblProducts[product_name],"Missing")</f>
        <v>Security Suite</v>
      </c>
      <c r="P1878" t="str">
        <f>_xlfn.XLOOKUP(C1878,tblProducts[product_id],tblProducts[category],"Missing")</f>
        <v>Security</v>
      </c>
      <c r="Q1878" t="str">
        <f>_xlfn.XLOOKUP(D1878,tblSalesReps[rep_id],tblSalesReps[rep_name],"Missing")</f>
        <v>Sales Rep 16</v>
      </c>
      <c r="R1878" t="str">
        <f>_xlfn.XLOOKUP(D1878,tblSalesReps[rep_id],tblSalesReps[region],"Missing")</f>
        <v>East</v>
      </c>
    </row>
    <row r="1879" spans="1:18">
      <c r="A1879" t="s">
        <v>2414</v>
      </c>
      <c r="B1879" t="s">
        <v>448</v>
      </c>
      <c r="C1879" t="s">
        <v>21</v>
      </c>
      <c r="D1879" t="s">
        <v>16</v>
      </c>
      <c r="E1879" s="1">
        <v>45720</v>
      </c>
      <c r="F1879" s="1">
        <v>45752</v>
      </c>
      <c r="G1879" s="1">
        <v>45752</v>
      </c>
      <c r="H1879" t="s">
        <v>28</v>
      </c>
      <c r="I1879">
        <v>2</v>
      </c>
      <c r="J1879">
        <v>15</v>
      </c>
      <c r="K1879">
        <v>408000</v>
      </c>
      <c r="L1879">
        <v>100</v>
      </c>
      <c r="M1879" t="s">
        <v>29</v>
      </c>
      <c r="N1879" t="str">
        <f>_xlfn.XLOOKUP(B1879,tblCustomers[customer_id],tblCustomers[region],"Missing")</f>
        <v>North</v>
      </c>
      <c r="O1879" t="str">
        <f>_xlfn.XLOOKUP(C1879,tblProducts[product_id],tblProducts[product_name],"Missing")</f>
        <v>Workflow Automate</v>
      </c>
      <c r="P1879" t="str">
        <f>_xlfn.XLOOKUP(C1879,tblProducts[product_id],tblProducts[category],"Missing")</f>
        <v>Automation</v>
      </c>
      <c r="Q1879" t="str">
        <f>_xlfn.XLOOKUP(D1879,tblSalesReps[rep_id],tblSalesReps[rep_name],"Missing")</f>
        <v>Sales Rep 08</v>
      </c>
      <c r="R1879" t="str">
        <f>_xlfn.XLOOKUP(D1879,tblSalesReps[rep_id],tblSalesReps[region],"Missing")</f>
        <v>North</v>
      </c>
    </row>
    <row r="1880" spans="1:18">
      <c r="A1880" t="s">
        <v>2415</v>
      </c>
      <c r="B1880" t="s">
        <v>1065</v>
      </c>
      <c r="C1880" t="s">
        <v>21</v>
      </c>
      <c r="D1880" t="s">
        <v>56</v>
      </c>
      <c r="E1880" s="1">
        <v>45717</v>
      </c>
      <c r="F1880" s="1">
        <v>45802</v>
      </c>
      <c r="G1880" s="1">
        <v>45802</v>
      </c>
      <c r="H1880" t="s">
        <v>17</v>
      </c>
      <c r="I1880">
        <v>1</v>
      </c>
      <c r="J1880">
        <v>10</v>
      </c>
      <c r="K1880">
        <v>216000</v>
      </c>
      <c r="L1880">
        <v>0</v>
      </c>
      <c r="M1880" t="s">
        <v>33</v>
      </c>
      <c r="N1880" t="str">
        <f>_xlfn.XLOOKUP(B1880,tblCustomers[customer_id],tblCustomers[region],"Missing")</f>
        <v>East</v>
      </c>
      <c r="O1880" t="str">
        <f>_xlfn.XLOOKUP(C1880,tblProducts[product_id],tblProducts[product_name],"Missing")</f>
        <v>Workflow Automate</v>
      </c>
      <c r="P1880" t="str">
        <f>_xlfn.XLOOKUP(C1880,tblProducts[product_id],tblProducts[category],"Missing")</f>
        <v>Automation</v>
      </c>
      <c r="Q1880" t="str">
        <f>_xlfn.XLOOKUP(D1880,tblSalesReps[rep_id],tblSalesReps[rep_name],"Missing")</f>
        <v>Sales Rep 20</v>
      </c>
      <c r="R1880" t="str">
        <f>_xlfn.XLOOKUP(D1880,tblSalesReps[rep_id],tblSalesReps[region],"Missing")</f>
        <v>East</v>
      </c>
    </row>
    <row r="1881" spans="1:18">
      <c r="A1881" t="s">
        <v>2416</v>
      </c>
      <c r="B1881" t="s">
        <v>844</v>
      </c>
      <c r="C1881" t="s">
        <v>62</v>
      </c>
      <c r="D1881" t="s">
        <v>63</v>
      </c>
      <c r="E1881" s="1">
        <v>45717</v>
      </c>
      <c r="F1881" s="1">
        <v>45737</v>
      </c>
      <c r="G1881" s="1">
        <v>45737</v>
      </c>
      <c r="H1881" t="s">
        <v>17</v>
      </c>
      <c r="I1881">
        <v>1</v>
      </c>
      <c r="J1881">
        <v>5</v>
      </c>
      <c r="K1881">
        <v>114000</v>
      </c>
      <c r="L1881">
        <v>0</v>
      </c>
      <c r="M1881" t="s">
        <v>33</v>
      </c>
      <c r="N1881" t="str">
        <f>_xlfn.XLOOKUP(B1881,tblCustomers[customer_id],tblCustomers[region],"Missing")</f>
        <v>South</v>
      </c>
      <c r="O1881" t="str">
        <f>_xlfn.XLOOKUP(C1881,tblProducts[product_id],tblProducts[product_name],"Missing")</f>
        <v>CRM Essentials</v>
      </c>
      <c r="P1881" t="str">
        <f>_xlfn.XLOOKUP(C1881,tblProducts[product_id],tblProducts[category],"Missing")</f>
        <v>CRM</v>
      </c>
      <c r="Q1881" t="str">
        <f>_xlfn.XLOOKUP(D1881,tblSalesReps[rep_id],tblSalesReps[rep_name],"Missing")</f>
        <v>Sales Rep 05</v>
      </c>
      <c r="R1881" t="str">
        <f>_xlfn.XLOOKUP(D1881,tblSalesReps[rep_id],tblSalesReps[region],"Missing")</f>
        <v>South</v>
      </c>
    </row>
    <row r="1882" spans="1:18">
      <c r="A1882" t="s">
        <v>2417</v>
      </c>
      <c r="B1882" t="s">
        <v>710</v>
      </c>
      <c r="C1882" t="s">
        <v>39</v>
      </c>
      <c r="D1882" t="s">
        <v>152</v>
      </c>
      <c r="E1882" s="1">
        <v>46013</v>
      </c>
      <c r="F1882" s="1">
        <v>46093</v>
      </c>
      <c r="G1882" s="1"/>
      <c r="H1882" t="s">
        <v>43</v>
      </c>
      <c r="I1882">
        <v>3</v>
      </c>
      <c r="J1882">
        <v>5</v>
      </c>
      <c r="K1882">
        <v>513000</v>
      </c>
      <c r="L1882">
        <v>20</v>
      </c>
      <c r="M1882" t="s">
        <v>29</v>
      </c>
      <c r="N1882" t="str">
        <f>_xlfn.XLOOKUP(B1882,tblCustomers[customer_id],tblCustomers[region],"Missing")</f>
        <v>East</v>
      </c>
      <c r="O1882" t="str">
        <f>_xlfn.XLOOKUP(C1882,tblProducts[product_id],tblProducts[product_name],"Missing")</f>
        <v>Support Desk</v>
      </c>
      <c r="P1882" t="str">
        <f>_xlfn.XLOOKUP(C1882,tblProducts[product_id],tblProducts[category],"Missing")</f>
        <v>Service</v>
      </c>
      <c r="Q1882" t="str">
        <f>_xlfn.XLOOKUP(D1882,tblSalesReps[rep_id],tblSalesReps[rep_name],"Missing")</f>
        <v>Sales Rep 18</v>
      </c>
      <c r="R1882" t="str">
        <f>_xlfn.XLOOKUP(D1882,tblSalesReps[rep_id],tblSalesReps[region],"Missing")</f>
        <v>East</v>
      </c>
    </row>
    <row r="1883" spans="1:18">
      <c r="A1883" t="s">
        <v>2418</v>
      </c>
      <c r="B1883" t="s">
        <v>453</v>
      </c>
      <c r="C1883" t="s">
        <v>62</v>
      </c>
      <c r="D1883" t="s">
        <v>63</v>
      </c>
      <c r="E1883" s="1">
        <v>45917</v>
      </c>
      <c r="F1883" s="1">
        <v>45963</v>
      </c>
      <c r="G1883" s="1">
        <v>45963</v>
      </c>
      <c r="H1883" t="s">
        <v>17</v>
      </c>
      <c r="I1883">
        <v>2</v>
      </c>
      <c r="J1883">
        <v>20</v>
      </c>
      <c r="K1883">
        <v>192000</v>
      </c>
      <c r="L1883">
        <v>0</v>
      </c>
      <c r="M1883" t="s">
        <v>82</v>
      </c>
      <c r="N1883" t="str">
        <f>_xlfn.XLOOKUP(B1883,tblCustomers[customer_id],tblCustomers[region],"Missing")</f>
        <v>South</v>
      </c>
      <c r="O1883" t="str">
        <f>_xlfn.XLOOKUP(C1883,tblProducts[product_id],tblProducts[product_name],"Missing")</f>
        <v>CRM Essentials</v>
      </c>
      <c r="P1883" t="str">
        <f>_xlfn.XLOOKUP(C1883,tblProducts[product_id],tblProducts[category],"Missing")</f>
        <v>CRM</v>
      </c>
      <c r="Q1883" t="str">
        <f>_xlfn.XLOOKUP(D1883,tblSalesReps[rep_id],tblSalesReps[rep_name],"Missing")</f>
        <v>Sales Rep 05</v>
      </c>
      <c r="R1883" t="str">
        <f>_xlfn.XLOOKUP(D1883,tblSalesReps[rep_id],tblSalesReps[region],"Missing")</f>
        <v>South</v>
      </c>
    </row>
    <row r="1884" spans="1:18">
      <c r="A1884" t="s">
        <v>2419</v>
      </c>
      <c r="B1884" t="s">
        <v>1382</v>
      </c>
      <c r="C1884" t="s">
        <v>81</v>
      </c>
      <c r="D1884" t="s">
        <v>40</v>
      </c>
      <c r="E1884" s="1">
        <v>45968</v>
      </c>
      <c r="F1884" s="1">
        <v>46028</v>
      </c>
      <c r="G1884" s="1"/>
      <c r="H1884" t="s">
        <v>43</v>
      </c>
      <c r="I1884">
        <v>1</v>
      </c>
      <c r="J1884">
        <v>10</v>
      </c>
      <c r="K1884">
        <v>270000</v>
      </c>
      <c r="L1884">
        <v>20</v>
      </c>
      <c r="M1884" t="s">
        <v>29</v>
      </c>
      <c r="N1884" t="str">
        <f>_xlfn.XLOOKUP(B1884,tblCustomers[customer_id],tblCustomers[region],"Missing")</f>
        <v>West</v>
      </c>
      <c r="O1884" t="str">
        <f>_xlfn.XLOOKUP(C1884,tblProducts[product_id],tblProducts[product_name],"Missing")</f>
        <v>Analytics Cloud</v>
      </c>
      <c r="P1884" t="str">
        <f>_xlfn.XLOOKUP(C1884,tblProducts[product_id],tblProducts[category],"Missing")</f>
        <v>Analytics</v>
      </c>
      <c r="Q1884" t="str">
        <f>_xlfn.XLOOKUP(D1884,tblSalesReps[rep_id],tblSalesReps[rep_name],"Missing")</f>
        <v>Sales Rep 13</v>
      </c>
      <c r="R1884" t="str">
        <f>_xlfn.XLOOKUP(D1884,tblSalesReps[rep_id],tblSalesReps[region],"Missing")</f>
        <v>West</v>
      </c>
    </row>
    <row r="1885" spans="1:18">
      <c r="A1885" t="s">
        <v>2420</v>
      </c>
      <c r="B1885" t="s">
        <v>905</v>
      </c>
      <c r="C1885" t="s">
        <v>15</v>
      </c>
      <c r="D1885" t="s">
        <v>126</v>
      </c>
      <c r="E1885" s="1">
        <v>45710</v>
      </c>
      <c r="F1885" s="1">
        <v>45785</v>
      </c>
      <c r="G1885" s="1">
        <v>45785</v>
      </c>
      <c r="H1885" t="s">
        <v>17</v>
      </c>
      <c r="I1885">
        <v>1</v>
      </c>
      <c r="J1885">
        <v>5</v>
      </c>
      <c r="K1885">
        <v>399000</v>
      </c>
      <c r="L1885">
        <v>0</v>
      </c>
      <c r="M1885" t="s">
        <v>47</v>
      </c>
      <c r="N1885" t="str">
        <f>_xlfn.XLOOKUP(B1885,tblCustomers[customer_id],tblCustomers[region],"Missing")</f>
        <v>South</v>
      </c>
      <c r="O1885" t="str">
        <f>_xlfn.XLOOKUP(C1885,tblProducts[product_id],tblProducts[product_name],"Missing")</f>
        <v>CRM Enterprise</v>
      </c>
      <c r="P1885" t="str">
        <f>_xlfn.XLOOKUP(C1885,tblProducts[product_id],tblProducts[category],"Missing")</f>
        <v>CRM</v>
      </c>
      <c r="Q1885" t="str">
        <f>_xlfn.XLOOKUP(D1885,tblSalesReps[rep_id],tblSalesReps[rep_name],"Missing")</f>
        <v>Sales Rep 02</v>
      </c>
      <c r="R1885" t="str">
        <f>_xlfn.XLOOKUP(D1885,tblSalesReps[rep_id],tblSalesReps[region],"Missing")</f>
        <v>South</v>
      </c>
    </row>
    <row r="1886" spans="1:18">
      <c r="A1886" t="s">
        <v>2421</v>
      </c>
      <c r="B1886" t="s">
        <v>143</v>
      </c>
      <c r="C1886" t="s">
        <v>21</v>
      </c>
      <c r="D1886" t="s">
        <v>75</v>
      </c>
      <c r="E1886" s="1">
        <v>45787</v>
      </c>
      <c r="F1886" s="1">
        <v>45862</v>
      </c>
      <c r="G1886" s="1">
        <v>45862</v>
      </c>
      <c r="H1886" t="s">
        <v>28</v>
      </c>
      <c r="I1886">
        <v>2</v>
      </c>
      <c r="J1886">
        <v>15</v>
      </c>
      <c r="K1886">
        <v>408000</v>
      </c>
      <c r="L1886">
        <v>100</v>
      </c>
      <c r="M1886" t="s">
        <v>29</v>
      </c>
      <c r="N1886" t="str">
        <f>_xlfn.XLOOKUP(B1886,tblCustomers[customer_id],tblCustomers[region],"Missing")</f>
        <v>North</v>
      </c>
      <c r="O1886" t="str">
        <f>_xlfn.XLOOKUP(C1886,tblProducts[product_id],tblProducts[product_name],"Missing")</f>
        <v>Workflow Automate</v>
      </c>
      <c r="P1886" t="str">
        <f>_xlfn.XLOOKUP(C1886,tblProducts[product_id],tblProducts[category],"Missing")</f>
        <v>Automation</v>
      </c>
      <c r="Q1886" t="str">
        <f>_xlfn.XLOOKUP(D1886,tblSalesReps[rep_id],tblSalesReps[rep_name],"Missing")</f>
        <v>Sales Rep 07</v>
      </c>
      <c r="R1886" t="str">
        <f>_xlfn.XLOOKUP(D1886,tblSalesReps[rep_id],tblSalesReps[region],"Missing")</f>
        <v>North</v>
      </c>
    </row>
    <row r="1887" spans="1:18">
      <c r="A1887" t="s">
        <v>2422</v>
      </c>
      <c r="B1887" t="s">
        <v>1209</v>
      </c>
      <c r="C1887" t="s">
        <v>39</v>
      </c>
      <c r="D1887" t="s">
        <v>59</v>
      </c>
      <c r="E1887" s="1">
        <v>45907</v>
      </c>
      <c r="F1887" s="1">
        <v>45923</v>
      </c>
      <c r="G1887" s="1"/>
      <c r="H1887" t="s">
        <v>43</v>
      </c>
      <c r="I1887">
        <v>1</v>
      </c>
      <c r="J1887">
        <v>15</v>
      </c>
      <c r="K1887">
        <v>153000</v>
      </c>
      <c r="L1887">
        <v>60</v>
      </c>
      <c r="M1887" t="s">
        <v>29</v>
      </c>
      <c r="N1887" t="str">
        <f>_xlfn.XLOOKUP(B1887,tblCustomers[customer_id],tblCustomers[region],"Missing")</f>
        <v>East</v>
      </c>
      <c r="O1887" t="str">
        <f>_xlfn.XLOOKUP(C1887,tblProducts[product_id],tblProducts[product_name],"Missing")</f>
        <v>Support Desk</v>
      </c>
      <c r="P1887" t="str">
        <f>_xlfn.XLOOKUP(C1887,tblProducts[product_id],tblProducts[category],"Missing")</f>
        <v>Service</v>
      </c>
      <c r="Q1887" t="str">
        <f>_xlfn.XLOOKUP(D1887,tblSalesReps[rep_id],tblSalesReps[rep_name],"Missing")</f>
        <v>Sales Rep 19</v>
      </c>
      <c r="R1887" t="str">
        <f>_xlfn.XLOOKUP(D1887,tblSalesReps[rep_id],tblSalesReps[region],"Missing")</f>
        <v>East</v>
      </c>
    </row>
    <row r="1888" spans="1:18">
      <c r="A1888" t="s">
        <v>2423</v>
      </c>
      <c r="B1888" t="s">
        <v>743</v>
      </c>
      <c r="C1888" t="s">
        <v>26</v>
      </c>
      <c r="D1888" t="s">
        <v>50</v>
      </c>
      <c r="E1888" s="1">
        <v>45910</v>
      </c>
      <c r="F1888" s="1">
        <v>45935</v>
      </c>
      <c r="G1888" s="1"/>
      <c r="H1888" t="s">
        <v>43</v>
      </c>
      <c r="I1888">
        <v>1</v>
      </c>
      <c r="J1888">
        <v>15</v>
      </c>
      <c r="K1888">
        <v>306000</v>
      </c>
      <c r="L1888">
        <v>40</v>
      </c>
      <c r="M1888" t="s">
        <v>29</v>
      </c>
      <c r="N1888" t="str">
        <f>_xlfn.XLOOKUP(B1888,tblCustomers[customer_id],tblCustomers[region],"Missing")</f>
        <v>West</v>
      </c>
      <c r="O1888" t="str">
        <f>_xlfn.XLOOKUP(C1888,tblProducts[product_id],tblProducts[product_name],"Missing")</f>
        <v>Security Suite</v>
      </c>
      <c r="P1888" t="str">
        <f>_xlfn.XLOOKUP(C1888,tblProducts[product_id],tblProducts[category],"Missing")</f>
        <v>Security</v>
      </c>
      <c r="Q1888" t="str">
        <f>_xlfn.XLOOKUP(D1888,tblSalesReps[rep_id],tblSalesReps[rep_name],"Missing")</f>
        <v>Sales Rep 15</v>
      </c>
      <c r="R1888" t="str">
        <f>_xlfn.XLOOKUP(D1888,tblSalesReps[rep_id],tblSalesReps[region],"Missing")</f>
        <v>West</v>
      </c>
    </row>
    <row r="1889" spans="1:18">
      <c r="A1889" t="s">
        <v>2424</v>
      </c>
      <c r="B1889" t="s">
        <v>406</v>
      </c>
      <c r="C1889" t="s">
        <v>81</v>
      </c>
      <c r="D1889" t="s">
        <v>36</v>
      </c>
      <c r="E1889" s="1">
        <v>46021</v>
      </c>
      <c r="F1889" s="1">
        <v>46102</v>
      </c>
      <c r="G1889" s="1"/>
      <c r="H1889" t="s">
        <v>43</v>
      </c>
      <c r="I1889">
        <v>3</v>
      </c>
      <c r="J1889">
        <v>10</v>
      </c>
      <c r="K1889">
        <v>810000</v>
      </c>
      <c r="L1889">
        <v>40</v>
      </c>
      <c r="M1889" t="s">
        <v>29</v>
      </c>
      <c r="N1889" t="str">
        <f>_xlfn.XLOOKUP(B1889,tblCustomers[customer_id],tblCustomers[region],"Missing")</f>
        <v>North</v>
      </c>
      <c r="O1889" t="str">
        <f>_xlfn.XLOOKUP(C1889,tblProducts[product_id],tblProducts[product_name],"Missing")</f>
        <v>Analytics Cloud</v>
      </c>
      <c r="P1889" t="str">
        <f>_xlfn.XLOOKUP(C1889,tblProducts[product_id],tblProducts[category],"Missing")</f>
        <v>Analytics</v>
      </c>
      <c r="Q1889" t="str">
        <f>_xlfn.XLOOKUP(D1889,tblSalesReps[rep_id],tblSalesReps[rep_name],"Missing")</f>
        <v>Sales Rep 09</v>
      </c>
      <c r="R1889" t="str">
        <f>_xlfn.XLOOKUP(D1889,tblSalesReps[rep_id],tblSalesReps[region],"Missing")</f>
        <v>North</v>
      </c>
    </row>
    <row r="1890" spans="1:18">
      <c r="A1890" t="s">
        <v>2425</v>
      </c>
      <c r="B1890" t="s">
        <v>259</v>
      </c>
      <c r="C1890" t="s">
        <v>26</v>
      </c>
      <c r="D1890" t="s">
        <v>32</v>
      </c>
      <c r="E1890" s="1">
        <v>45922</v>
      </c>
      <c r="F1890" s="1">
        <v>45934</v>
      </c>
      <c r="G1890" s="1">
        <v>45934</v>
      </c>
      <c r="H1890" t="s">
        <v>28</v>
      </c>
      <c r="I1890">
        <v>1</v>
      </c>
      <c r="J1890">
        <v>5</v>
      </c>
      <c r="K1890">
        <v>342000</v>
      </c>
      <c r="L1890">
        <v>100</v>
      </c>
      <c r="M1890" t="s">
        <v>29</v>
      </c>
      <c r="N1890" t="str">
        <f>_xlfn.XLOOKUP(B1890,tblCustomers[customer_id],tblCustomers[region],"Missing")</f>
        <v>South</v>
      </c>
      <c r="O1890" t="str">
        <f>_xlfn.XLOOKUP(C1890,tblProducts[product_id],tblProducts[product_name],"Missing")</f>
        <v>Security Suite</v>
      </c>
      <c r="P1890" t="str">
        <f>_xlfn.XLOOKUP(C1890,tblProducts[product_id],tblProducts[category],"Missing")</f>
        <v>Security</v>
      </c>
      <c r="Q1890" t="str">
        <f>_xlfn.XLOOKUP(D1890,tblSalesReps[rep_id],tblSalesReps[rep_name],"Missing")</f>
        <v>Sales Rep 04</v>
      </c>
      <c r="R1890" t="str">
        <f>_xlfn.XLOOKUP(D1890,tblSalesReps[rep_id],tblSalesReps[region],"Missing")</f>
        <v>South</v>
      </c>
    </row>
    <row r="1891" spans="1:18">
      <c r="A1891" t="s">
        <v>2426</v>
      </c>
      <c r="B1891" t="s">
        <v>918</v>
      </c>
      <c r="C1891" t="s">
        <v>26</v>
      </c>
      <c r="D1891" t="s">
        <v>63</v>
      </c>
      <c r="E1891" s="1">
        <v>45961</v>
      </c>
      <c r="F1891" s="1">
        <v>45978</v>
      </c>
      <c r="G1891" s="1">
        <v>45978</v>
      </c>
      <c r="H1891" t="s">
        <v>28</v>
      </c>
      <c r="I1891">
        <v>1</v>
      </c>
      <c r="J1891">
        <v>10</v>
      </c>
      <c r="K1891">
        <v>324000</v>
      </c>
      <c r="L1891">
        <v>100</v>
      </c>
      <c r="M1891" t="s">
        <v>29</v>
      </c>
      <c r="N1891" t="str">
        <f>_xlfn.XLOOKUP(B1891,tblCustomers[customer_id],tblCustomers[region],"Missing")</f>
        <v>South</v>
      </c>
      <c r="O1891" t="str">
        <f>_xlfn.XLOOKUP(C1891,tblProducts[product_id],tblProducts[product_name],"Missing")</f>
        <v>Security Suite</v>
      </c>
      <c r="P1891" t="str">
        <f>_xlfn.XLOOKUP(C1891,tblProducts[product_id],tblProducts[category],"Missing")</f>
        <v>Security</v>
      </c>
      <c r="Q1891" t="str">
        <f>_xlfn.XLOOKUP(D1891,tblSalesReps[rep_id],tblSalesReps[rep_name],"Missing")</f>
        <v>Sales Rep 05</v>
      </c>
      <c r="R1891" t="str">
        <f>_xlfn.XLOOKUP(D1891,tblSalesReps[rep_id],tblSalesReps[region],"Missing")</f>
        <v>South</v>
      </c>
    </row>
    <row r="1892" spans="1:18">
      <c r="A1892" t="s">
        <v>2427</v>
      </c>
      <c r="B1892" t="s">
        <v>77</v>
      </c>
      <c r="C1892" t="s">
        <v>39</v>
      </c>
      <c r="D1892" t="s">
        <v>40</v>
      </c>
      <c r="E1892" s="1">
        <v>45947</v>
      </c>
      <c r="F1892" s="1">
        <v>46027</v>
      </c>
      <c r="G1892" s="1"/>
      <c r="H1892" t="s">
        <v>43</v>
      </c>
      <c r="I1892">
        <v>3</v>
      </c>
      <c r="J1892">
        <v>20</v>
      </c>
      <c r="K1892">
        <v>432000</v>
      </c>
      <c r="L1892">
        <v>80</v>
      </c>
      <c r="M1892" t="s">
        <v>29</v>
      </c>
      <c r="N1892" t="str">
        <f>_xlfn.XLOOKUP(B1892,tblCustomers[customer_id],tblCustomers[region],"Missing")</f>
        <v>West</v>
      </c>
      <c r="O1892" t="str">
        <f>_xlfn.XLOOKUP(C1892,tblProducts[product_id],tblProducts[product_name],"Missing")</f>
        <v>Support Desk</v>
      </c>
      <c r="P1892" t="str">
        <f>_xlfn.XLOOKUP(C1892,tblProducts[product_id],tblProducts[category],"Missing")</f>
        <v>Service</v>
      </c>
      <c r="Q1892" t="str">
        <f>_xlfn.XLOOKUP(D1892,tblSalesReps[rep_id],tblSalesReps[rep_name],"Missing")</f>
        <v>Sales Rep 13</v>
      </c>
      <c r="R1892" t="str">
        <f>_xlfn.XLOOKUP(D1892,tblSalesReps[rep_id],tblSalesReps[region],"Missing")</f>
        <v>West</v>
      </c>
    </row>
    <row r="1893" spans="1:18">
      <c r="A1893" t="s">
        <v>2428</v>
      </c>
      <c r="B1893" t="s">
        <v>739</v>
      </c>
      <c r="C1893" t="s">
        <v>39</v>
      </c>
      <c r="D1893" t="s">
        <v>70</v>
      </c>
      <c r="E1893" s="1">
        <v>45824</v>
      </c>
      <c r="F1893" s="1">
        <v>45876</v>
      </c>
      <c r="G1893" s="1"/>
      <c r="H1893" t="s">
        <v>43</v>
      </c>
      <c r="I1893">
        <v>1</v>
      </c>
      <c r="J1893">
        <v>20</v>
      </c>
      <c r="K1893">
        <v>144000</v>
      </c>
      <c r="L1893">
        <v>60</v>
      </c>
      <c r="M1893" t="s">
        <v>29</v>
      </c>
      <c r="N1893" t="str">
        <f>_xlfn.XLOOKUP(B1893,tblCustomers[customer_id],tblCustomers[region],"Missing")</f>
        <v>West</v>
      </c>
      <c r="O1893" t="str">
        <f>_xlfn.XLOOKUP(C1893,tblProducts[product_id],tblProducts[product_name],"Missing")</f>
        <v>Support Desk</v>
      </c>
      <c r="P1893" t="str">
        <f>_xlfn.XLOOKUP(C1893,tblProducts[product_id],tblProducts[category],"Missing")</f>
        <v>Service</v>
      </c>
      <c r="Q1893" t="str">
        <f>_xlfn.XLOOKUP(D1893,tblSalesReps[rep_id],tblSalesReps[rep_name],"Missing")</f>
        <v>Sales Rep 11</v>
      </c>
      <c r="R1893" t="str">
        <f>_xlfn.XLOOKUP(D1893,tblSalesReps[rep_id],tblSalesReps[region],"Missing")</f>
        <v>West</v>
      </c>
    </row>
    <row r="1894" spans="1:18">
      <c r="A1894" t="s">
        <v>2429</v>
      </c>
      <c r="B1894" t="s">
        <v>749</v>
      </c>
      <c r="C1894" t="s">
        <v>15</v>
      </c>
      <c r="D1894" t="s">
        <v>46</v>
      </c>
      <c r="E1894" s="1">
        <v>45825</v>
      </c>
      <c r="F1894" s="1">
        <v>45876</v>
      </c>
      <c r="G1894" s="1">
        <v>45876</v>
      </c>
      <c r="H1894" t="s">
        <v>17</v>
      </c>
      <c r="I1894">
        <v>1</v>
      </c>
      <c r="J1894">
        <v>0</v>
      </c>
      <c r="K1894">
        <v>420000</v>
      </c>
      <c r="L1894">
        <v>0</v>
      </c>
      <c r="M1894" t="s">
        <v>47</v>
      </c>
      <c r="N1894" t="str">
        <f>_xlfn.XLOOKUP(B1894,tblCustomers[customer_id],tblCustomers[region],"Missing")</f>
        <v>South</v>
      </c>
      <c r="O1894" t="str">
        <f>_xlfn.XLOOKUP(C1894,tblProducts[product_id],tblProducts[product_name],"Missing")</f>
        <v>CRM Enterprise</v>
      </c>
      <c r="P1894" t="str">
        <f>_xlfn.XLOOKUP(C1894,tblProducts[product_id],tblProducts[category],"Missing")</f>
        <v>CRM</v>
      </c>
      <c r="Q1894" t="str">
        <f>_xlfn.XLOOKUP(D1894,tblSalesReps[rep_id],tblSalesReps[rep_name],"Missing")</f>
        <v>Sales Rep 01</v>
      </c>
      <c r="R1894" t="str">
        <f>_xlfn.XLOOKUP(D1894,tblSalesReps[rep_id],tblSalesReps[region],"Missing")</f>
        <v>South</v>
      </c>
    </row>
    <row r="1895" spans="1:18">
      <c r="A1895" t="s">
        <v>2430</v>
      </c>
      <c r="B1895" t="s">
        <v>907</v>
      </c>
      <c r="C1895" t="s">
        <v>81</v>
      </c>
      <c r="D1895" t="s">
        <v>91</v>
      </c>
      <c r="E1895" s="1">
        <v>45967</v>
      </c>
      <c r="F1895" s="1">
        <v>46016</v>
      </c>
      <c r="G1895" s="1">
        <v>46016</v>
      </c>
      <c r="H1895" t="s">
        <v>28</v>
      </c>
      <c r="I1895">
        <v>1</v>
      </c>
      <c r="J1895">
        <v>10</v>
      </c>
      <c r="K1895">
        <v>270000</v>
      </c>
      <c r="L1895">
        <v>100</v>
      </c>
      <c r="M1895" t="s">
        <v>29</v>
      </c>
      <c r="N1895" t="str">
        <f>_xlfn.XLOOKUP(B1895,tblCustomers[customer_id],tblCustomers[region],"Missing")</f>
        <v>South</v>
      </c>
      <c r="O1895" t="str">
        <f>_xlfn.XLOOKUP(C1895,tblProducts[product_id],tblProducts[product_name],"Missing")</f>
        <v>Analytics Cloud</v>
      </c>
      <c r="P1895" t="str">
        <f>_xlfn.XLOOKUP(C1895,tblProducts[product_id],tblProducts[category],"Missing")</f>
        <v>Analytics</v>
      </c>
      <c r="Q1895" t="str">
        <f>_xlfn.XLOOKUP(D1895,tblSalesReps[rep_id],tblSalesReps[rep_name],"Missing")</f>
        <v>Sales Rep 03</v>
      </c>
      <c r="R1895" t="str">
        <f>_xlfn.XLOOKUP(D1895,tblSalesReps[rep_id],tblSalesReps[region],"Missing")</f>
        <v>South</v>
      </c>
    </row>
    <row r="1896" spans="1:18">
      <c r="A1896" t="s">
        <v>2431</v>
      </c>
      <c r="B1896" t="s">
        <v>225</v>
      </c>
      <c r="C1896" t="s">
        <v>15</v>
      </c>
      <c r="D1896" t="s">
        <v>63</v>
      </c>
      <c r="E1896" s="1">
        <v>45715</v>
      </c>
      <c r="F1896" s="1">
        <v>45732</v>
      </c>
      <c r="G1896" s="1">
        <v>45732</v>
      </c>
      <c r="H1896" t="s">
        <v>28</v>
      </c>
      <c r="I1896">
        <v>2</v>
      </c>
      <c r="J1896">
        <v>0</v>
      </c>
      <c r="K1896">
        <v>840000</v>
      </c>
      <c r="L1896">
        <v>100</v>
      </c>
      <c r="M1896" t="s">
        <v>29</v>
      </c>
      <c r="N1896" t="str">
        <f>_xlfn.XLOOKUP(B1896,tblCustomers[customer_id],tblCustomers[region],"Missing")</f>
        <v>South</v>
      </c>
      <c r="O1896" t="str">
        <f>_xlfn.XLOOKUP(C1896,tblProducts[product_id],tblProducts[product_name],"Missing")</f>
        <v>CRM Enterprise</v>
      </c>
      <c r="P1896" t="str">
        <f>_xlfn.XLOOKUP(C1896,tblProducts[product_id],tblProducts[category],"Missing")</f>
        <v>CRM</v>
      </c>
      <c r="Q1896" t="str">
        <f>_xlfn.XLOOKUP(D1896,tblSalesReps[rep_id],tblSalesReps[rep_name],"Missing")</f>
        <v>Sales Rep 05</v>
      </c>
      <c r="R1896" t="str">
        <f>_xlfn.XLOOKUP(D1896,tblSalesReps[rep_id],tblSalesReps[region],"Missing")</f>
        <v>South</v>
      </c>
    </row>
    <row r="1897" spans="1:18">
      <c r="A1897" t="s">
        <v>2432</v>
      </c>
      <c r="B1897" t="s">
        <v>191</v>
      </c>
      <c r="C1897" t="s">
        <v>81</v>
      </c>
      <c r="D1897" t="s">
        <v>75</v>
      </c>
      <c r="E1897" s="1">
        <v>45694</v>
      </c>
      <c r="F1897" s="1">
        <v>45778</v>
      </c>
      <c r="G1897" s="1">
        <v>45778</v>
      </c>
      <c r="H1897" t="s">
        <v>28</v>
      </c>
      <c r="I1897">
        <v>1</v>
      </c>
      <c r="J1897">
        <v>5</v>
      </c>
      <c r="K1897">
        <v>285000</v>
      </c>
      <c r="L1897">
        <v>100</v>
      </c>
      <c r="M1897" t="s">
        <v>29</v>
      </c>
      <c r="N1897" t="str">
        <f>_xlfn.XLOOKUP(B1897,tblCustomers[customer_id],tblCustomers[region],"Missing")</f>
        <v>North</v>
      </c>
      <c r="O1897" t="str">
        <f>_xlfn.XLOOKUP(C1897,tblProducts[product_id],tblProducts[product_name],"Missing")</f>
        <v>Analytics Cloud</v>
      </c>
      <c r="P1897" t="str">
        <f>_xlfn.XLOOKUP(C1897,tblProducts[product_id],tblProducts[category],"Missing")</f>
        <v>Analytics</v>
      </c>
      <c r="Q1897" t="str">
        <f>_xlfn.XLOOKUP(D1897,tblSalesReps[rep_id],tblSalesReps[rep_name],"Missing")</f>
        <v>Sales Rep 07</v>
      </c>
      <c r="R1897" t="str">
        <f>_xlfn.XLOOKUP(D1897,tblSalesReps[rep_id],tblSalesReps[region],"Missing")</f>
        <v>North</v>
      </c>
    </row>
    <row r="1898" spans="1:18">
      <c r="A1898" t="s">
        <v>2433</v>
      </c>
      <c r="B1898" t="s">
        <v>749</v>
      </c>
      <c r="C1898" t="s">
        <v>81</v>
      </c>
      <c r="D1898" t="s">
        <v>91</v>
      </c>
      <c r="E1898" s="1">
        <v>45955</v>
      </c>
      <c r="F1898" s="1">
        <v>45965</v>
      </c>
      <c r="G1898" s="1"/>
      <c r="H1898" t="s">
        <v>43</v>
      </c>
      <c r="I1898">
        <v>1</v>
      </c>
      <c r="J1898">
        <v>5</v>
      </c>
      <c r="K1898">
        <v>285000</v>
      </c>
      <c r="L1898">
        <v>20</v>
      </c>
      <c r="M1898" t="s">
        <v>29</v>
      </c>
      <c r="N1898" t="str">
        <f>_xlfn.XLOOKUP(B1898,tblCustomers[customer_id],tblCustomers[region],"Missing")</f>
        <v>South</v>
      </c>
      <c r="O1898" t="str">
        <f>_xlfn.XLOOKUP(C1898,tblProducts[product_id],tblProducts[product_name],"Missing")</f>
        <v>Analytics Cloud</v>
      </c>
      <c r="P1898" t="str">
        <f>_xlfn.XLOOKUP(C1898,tblProducts[product_id],tblProducts[category],"Missing")</f>
        <v>Analytics</v>
      </c>
      <c r="Q1898" t="str">
        <f>_xlfn.XLOOKUP(D1898,tblSalesReps[rep_id],tblSalesReps[rep_name],"Missing")</f>
        <v>Sales Rep 03</v>
      </c>
      <c r="R1898" t="str">
        <f>_xlfn.XLOOKUP(D1898,tblSalesReps[rep_id],tblSalesReps[region],"Missing")</f>
        <v>South</v>
      </c>
    </row>
    <row r="1899" spans="1:18">
      <c r="A1899" t="s">
        <v>2434</v>
      </c>
      <c r="B1899" t="s">
        <v>836</v>
      </c>
      <c r="C1899" t="s">
        <v>26</v>
      </c>
      <c r="D1899" t="s">
        <v>46</v>
      </c>
      <c r="E1899" s="1">
        <v>45680</v>
      </c>
      <c r="F1899" s="1">
        <v>45751</v>
      </c>
      <c r="G1899" s="1">
        <v>45751</v>
      </c>
      <c r="H1899" t="s">
        <v>28</v>
      </c>
      <c r="I1899">
        <v>1</v>
      </c>
      <c r="J1899">
        <v>10</v>
      </c>
      <c r="K1899">
        <v>324000</v>
      </c>
      <c r="L1899">
        <v>100</v>
      </c>
      <c r="M1899" t="s">
        <v>29</v>
      </c>
      <c r="N1899" t="str">
        <f>_xlfn.XLOOKUP(B1899,tblCustomers[customer_id],tblCustomers[region],"Missing")</f>
        <v>South</v>
      </c>
      <c r="O1899" t="str">
        <f>_xlfn.XLOOKUP(C1899,tblProducts[product_id],tblProducts[product_name],"Missing")</f>
        <v>Security Suite</v>
      </c>
      <c r="P1899" t="str">
        <f>_xlfn.XLOOKUP(C1899,tblProducts[product_id],tblProducts[category],"Missing")</f>
        <v>Security</v>
      </c>
      <c r="Q1899" t="str">
        <f>_xlfn.XLOOKUP(D1899,tblSalesReps[rep_id],tblSalesReps[rep_name],"Missing")</f>
        <v>Sales Rep 01</v>
      </c>
      <c r="R1899" t="str">
        <f>_xlfn.XLOOKUP(D1899,tblSalesReps[rep_id],tblSalesReps[region],"Missing")</f>
        <v>South</v>
      </c>
    </row>
    <row r="1900" spans="1:18">
      <c r="A1900" t="s">
        <v>2435</v>
      </c>
      <c r="B1900" t="s">
        <v>259</v>
      </c>
      <c r="C1900" t="s">
        <v>81</v>
      </c>
      <c r="D1900" t="s">
        <v>63</v>
      </c>
      <c r="E1900" s="1">
        <v>45886</v>
      </c>
      <c r="F1900" s="1">
        <v>45917</v>
      </c>
      <c r="G1900" s="1">
        <v>45917</v>
      </c>
      <c r="H1900" t="s">
        <v>17</v>
      </c>
      <c r="I1900">
        <v>1</v>
      </c>
      <c r="J1900">
        <v>0</v>
      </c>
      <c r="K1900">
        <v>300000</v>
      </c>
      <c r="L1900">
        <v>0</v>
      </c>
      <c r="M1900" t="s">
        <v>33</v>
      </c>
      <c r="N1900" t="str">
        <f>_xlfn.XLOOKUP(B1900,tblCustomers[customer_id],tblCustomers[region],"Missing")</f>
        <v>South</v>
      </c>
      <c r="O1900" t="str">
        <f>_xlfn.XLOOKUP(C1900,tblProducts[product_id],tblProducts[product_name],"Missing")</f>
        <v>Analytics Cloud</v>
      </c>
      <c r="P1900" t="str">
        <f>_xlfn.XLOOKUP(C1900,tblProducts[product_id],tblProducts[category],"Missing")</f>
        <v>Analytics</v>
      </c>
      <c r="Q1900" t="str">
        <f>_xlfn.XLOOKUP(D1900,tblSalesReps[rep_id],tblSalesReps[rep_name],"Missing")</f>
        <v>Sales Rep 05</v>
      </c>
      <c r="R1900" t="str">
        <f>_xlfn.XLOOKUP(D1900,tblSalesReps[rep_id],tblSalesReps[region],"Missing")</f>
        <v>South</v>
      </c>
    </row>
    <row r="1901" spans="1:18">
      <c r="A1901" t="s">
        <v>2436</v>
      </c>
      <c r="B1901" t="s">
        <v>431</v>
      </c>
      <c r="C1901" t="s">
        <v>62</v>
      </c>
      <c r="D1901" t="s">
        <v>53</v>
      </c>
      <c r="E1901" s="1">
        <v>45868</v>
      </c>
      <c r="F1901" s="1">
        <v>45880</v>
      </c>
      <c r="G1901" s="1">
        <v>45880</v>
      </c>
      <c r="H1901" t="s">
        <v>17</v>
      </c>
      <c r="I1901">
        <v>1</v>
      </c>
      <c r="J1901">
        <v>10</v>
      </c>
      <c r="K1901">
        <v>108000</v>
      </c>
      <c r="L1901">
        <v>0</v>
      </c>
      <c r="M1901" t="s">
        <v>23</v>
      </c>
      <c r="N1901" t="str">
        <f>_xlfn.XLOOKUP(B1901,tblCustomers[customer_id],tblCustomers[region],"Missing")</f>
        <v>East</v>
      </c>
      <c r="O1901" t="str">
        <f>_xlfn.XLOOKUP(C1901,tblProducts[product_id],tblProducts[product_name],"Missing")</f>
        <v>CRM Essentials</v>
      </c>
      <c r="P1901" t="str">
        <f>_xlfn.XLOOKUP(C1901,tblProducts[product_id],tblProducts[category],"Missing")</f>
        <v>CRM</v>
      </c>
      <c r="Q1901" t="str">
        <f>_xlfn.XLOOKUP(D1901,tblSalesReps[rep_id],tblSalesReps[rep_name],"Missing")</f>
        <v>Sales Rep 16</v>
      </c>
      <c r="R1901" t="str">
        <f>_xlfn.XLOOKUP(D1901,tblSalesReps[rep_id],tblSalesReps[region],"Missing")</f>
        <v>East</v>
      </c>
    </row>
    <row r="1902" spans="1:18">
      <c r="A1902" t="s">
        <v>2437</v>
      </c>
      <c r="B1902" t="s">
        <v>1517</v>
      </c>
      <c r="C1902" t="s">
        <v>21</v>
      </c>
      <c r="D1902" t="s">
        <v>40</v>
      </c>
      <c r="E1902" s="1">
        <v>45891</v>
      </c>
      <c r="F1902" s="1">
        <v>45915</v>
      </c>
      <c r="G1902" s="1">
        <v>45915</v>
      </c>
      <c r="H1902" t="s">
        <v>17</v>
      </c>
      <c r="I1902">
        <v>1</v>
      </c>
      <c r="J1902">
        <v>15</v>
      </c>
      <c r="K1902">
        <v>204000</v>
      </c>
      <c r="L1902">
        <v>0</v>
      </c>
      <c r="M1902" t="s">
        <v>47</v>
      </c>
      <c r="N1902" t="str">
        <f>_xlfn.XLOOKUP(B1902,tblCustomers[customer_id],tblCustomers[region],"Missing")</f>
        <v>West</v>
      </c>
      <c r="O1902" t="str">
        <f>_xlfn.XLOOKUP(C1902,tblProducts[product_id],tblProducts[product_name],"Missing")</f>
        <v>Workflow Automate</v>
      </c>
      <c r="P1902" t="str">
        <f>_xlfn.XLOOKUP(C1902,tblProducts[product_id],tblProducts[category],"Missing")</f>
        <v>Automation</v>
      </c>
      <c r="Q1902" t="str">
        <f>_xlfn.XLOOKUP(D1902,tblSalesReps[rep_id],tblSalesReps[rep_name],"Missing")</f>
        <v>Sales Rep 13</v>
      </c>
      <c r="R1902" t="str">
        <f>_xlfn.XLOOKUP(D1902,tblSalesReps[rep_id],tblSalesReps[region],"Missing")</f>
        <v>West</v>
      </c>
    </row>
    <row r="1903" spans="1:18">
      <c r="A1903" t="s">
        <v>2438</v>
      </c>
      <c r="B1903" t="s">
        <v>276</v>
      </c>
      <c r="C1903" t="s">
        <v>62</v>
      </c>
      <c r="D1903" t="s">
        <v>63</v>
      </c>
      <c r="E1903" s="1">
        <v>45965</v>
      </c>
      <c r="F1903" s="1">
        <v>46043</v>
      </c>
      <c r="G1903" s="1"/>
      <c r="H1903" t="s">
        <v>43</v>
      </c>
      <c r="I1903">
        <v>3</v>
      </c>
      <c r="J1903">
        <v>20</v>
      </c>
      <c r="K1903">
        <v>288000</v>
      </c>
      <c r="L1903">
        <v>80</v>
      </c>
      <c r="M1903" t="s">
        <v>29</v>
      </c>
      <c r="N1903" t="str">
        <f>_xlfn.XLOOKUP(B1903,tblCustomers[customer_id],tblCustomers[region],"Missing")</f>
        <v>South</v>
      </c>
      <c r="O1903" t="str">
        <f>_xlfn.XLOOKUP(C1903,tblProducts[product_id],tblProducts[product_name],"Missing")</f>
        <v>CRM Essentials</v>
      </c>
      <c r="P1903" t="str">
        <f>_xlfn.XLOOKUP(C1903,tblProducts[product_id],tblProducts[category],"Missing")</f>
        <v>CRM</v>
      </c>
      <c r="Q1903" t="str">
        <f>_xlfn.XLOOKUP(D1903,tblSalesReps[rep_id],tblSalesReps[rep_name],"Missing")</f>
        <v>Sales Rep 05</v>
      </c>
      <c r="R1903" t="str">
        <f>_xlfn.XLOOKUP(D1903,tblSalesReps[rep_id],tblSalesReps[region],"Missing")</f>
        <v>South</v>
      </c>
    </row>
    <row r="1904" spans="1:18">
      <c r="A1904" t="s">
        <v>2439</v>
      </c>
      <c r="B1904" t="s">
        <v>1164</v>
      </c>
      <c r="C1904" t="s">
        <v>15</v>
      </c>
      <c r="D1904" t="s">
        <v>63</v>
      </c>
      <c r="E1904" s="1">
        <v>45932</v>
      </c>
      <c r="F1904" s="1">
        <v>46012</v>
      </c>
      <c r="G1904" s="1">
        <v>46012</v>
      </c>
      <c r="H1904" t="s">
        <v>28</v>
      </c>
      <c r="I1904">
        <v>1</v>
      </c>
      <c r="J1904">
        <v>20</v>
      </c>
      <c r="K1904">
        <v>336000</v>
      </c>
      <c r="L1904">
        <v>100</v>
      </c>
      <c r="M1904" t="s">
        <v>29</v>
      </c>
      <c r="N1904" t="str">
        <f>_xlfn.XLOOKUP(B1904,tblCustomers[customer_id],tblCustomers[region],"Missing")</f>
        <v>South</v>
      </c>
      <c r="O1904" t="str">
        <f>_xlfn.XLOOKUP(C1904,tblProducts[product_id],tblProducts[product_name],"Missing")</f>
        <v>CRM Enterprise</v>
      </c>
      <c r="P1904" t="str">
        <f>_xlfn.XLOOKUP(C1904,tblProducts[product_id],tblProducts[category],"Missing")</f>
        <v>CRM</v>
      </c>
      <c r="Q1904" t="str">
        <f>_xlfn.XLOOKUP(D1904,tblSalesReps[rep_id],tblSalesReps[rep_name],"Missing")</f>
        <v>Sales Rep 05</v>
      </c>
      <c r="R1904" t="str">
        <f>_xlfn.XLOOKUP(D1904,tblSalesReps[rep_id],tblSalesReps[region],"Missing")</f>
        <v>South</v>
      </c>
    </row>
    <row r="1905" spans="1:18">
      <c r="A1905" t="s">
        <v>2440</v>
      </c>
      <c r="B1905" t="s">
        <v>1201</v>
      </c>
      <c r="C1905" t="s">
        <v>21</v>
      </c>
      <c r="D1905" t="s">
        <v>40</v>
      </c>
      <c r="E1905" s="1">
        <v>45832</v>
      </c>
      <c r="F1905" s="1">
        <v>45891</v>
      </c>
      <c r="G1905" s="1">
        <v>45891</v>
      </c>
      <c r="H1905" t="s">
        <v>17</v>
      </c>
      <c r="I1905">
        <v>3</v>
      </c>
      <c r="J1905">
        <v>0</v>
      </c>
      <c r="K1905">
        <v>720000</v>
      </c>
      <c r="L1905">
        <v>0</v>
      </c>
      <c r="M1905" t="s">
        <v>47</v>
      </c>
      <c r="N1905" t="str">
        <f>_xlfn.XLOOKUP(B1905,tblCustomers[customer_id],tblCustomers[region],"Missing")</f>
        <v>West</v>
      </c>
      <c r="O1905" t="str">
        <f>_xlfn.XLOOKUP(C1905,tblProducts[product_id],tblProducts[product_name],"Missing")</f>
        <v>Workflow Automate</v>
      </c>
      <c r="P1905" t="str">
        <f>_xlfn.XLOOKUP(C1905,tblProducts[product_id],tblProducts[category],"Missing")</f>
        <v>Automation</v>
      </c>
      <c r="Q1905" t="str">
        <f>_xlfn.XLOOKUP(D1905,tblSalesReps[rep_id],tblSalesReps[rep_name],"Missing")</f>
        <v>Sales Rep 13</v>
      </c>
      <c r="R1905" t="str">
        <f>_xlfn.XLOOKUP(D1905,tblSalesReps[rep_id],tblSalesReps[region],"Missing")</f>
        <v>West</v>
      </c>
    </row>
    <row r="1906" spans="1:18">
      <c r="A1906" t="s">
        <v>2441</v>
      </c>
      <c r="B1906" t="s">
        <v>539</v>
      </c>
      <c r="C1906" t="s">
        <v>26</v>
      </c>
      <c r="D1906" t="s">
        <v>53</v>
      </c>
      <c r="E1906" s="1">
        <v>45836</v>
      </c>
      <c r="F1906" s="1">
        <v>45883</v>
      </c>
      <c r="G1906" s="1"/>
      <c r="H1906" t="s">
        <v>43</v>
      </c>
      <c r="I1906">
        <v>3</v>
      </c>
      <c r="J1906">
        <v>10</v>
      </c>
      <c r="K1906">
        <v>972000</v>
      </c>
      <c r="L1906">
        <v>40</v>
      </c>
      <c r="M1906" t="s">
        <v>29</v>
      </c>
      <c r="N1906" t="str">
        <f>_xlfn.XLOOKUP(B1906,tblCustomers[customer_id],tblCustomers[region],"Missing")</f>
        <v>East</v>
      </c>
      <c r="O1906" t="str">
        <f>_xlfn.XLOOKUP(C1906,tblProducts[product_id],tblProducts[product_name],"Missing")</f>
        <v>Security Suite</v>
      </c>
      <c r="P1906" t="str">
        <f>_xlfn.XLOOKUP(C1906,tblProducts[product_id],tblProducts[category],"Missing")</f>
        <v>Security</v>
      </c>
      <c r="Q1906" t="str">
        <f>_xlfn.XLOOKUP(D1906,tblSalesReps[rep_id],tblSalesReps[rep_name],"Missing")</f>
        <v>Sales Rep 16</v>
      </c>
      <c r="R1906" t="str">
        <f>_xlfn.XLOOKUP(D1906,tblSalesReps[rep_id],tblSalesReps[region],"Missing")</f>
        <v>East</v>
      </c>
    </row>
    <row r="1907" spans="1:18">
      <c r="A1907" t="s">
        <v>2442</v>
      </c>
      <c r="B1907" t="s">
        <v>143</v>
      </c>
      <c r="C1907" t="s">
        <v>62</v>
      </c>
      <c r="D1907" t="s">
        <v>16</v>
      </c>
      <c r="E1907" s="1">
        <v>45800</v>
      </c>
      <c r="F1907" s="1">
        <v>45883</v>
      </c>
      <c r="G1907" s="1"/>
      <c r="H1907" t="s">
        <v>43</v>
      </c>
      <c r="I1907">
        <v>1</v>
      </c>
      <c r="J1907">
        <v>5</v>
      </c>
      <c r="K1907">
        <v>114000</v>
      </c>
      <c r="L1907">
        <v>40</v>
      </c>
      <c r="M1907" t="s">
        <v>29</v>
      </c>
      <c r="N1907" t="str">
        <f>_xlfn.XLOOKUP(B1907,tblCustomers[customer_id],tblCustomers[region],"Missing")</f>
        <v>North</v>
      </c>
      <c r="O1907" t="str">
        <f>_xlfn.XLOOKUP(C1907,tblProducts[product_id],tblProducts[product_name],"Missing")</f>
        <v>CRM Essentials</v>
      </c>
      <c r="P1907" t="str">
        <f>_xlfn.XLOOKUP(C1907,tblProducts[product_id],tblProducts[category],"Missing")</f>
        <v>CRM</v>
      </c>
      <c r="Q1907" t="str">
        <f>_xlfn.XLOOKUP(D1907,tblSalesReps[rep_id],tblSalesReps[rep_name],"Missing")</f>
        <v>Sales Rep 08</v>
      </c>
      <c r="R1907" t="str">
        <f>_xlfn.XLOOKUP(D1907,tblSalesReps[rep_id],tblSalesReps[region],"Missing")</f>
        <v>North</v>
      </c>
    </row>
    <row r="1908" spans="1:18">
      <c r="A1908" t="s">
        <v>2443</v>
      </c>
      <c r="B1908" t="s">
        <v>1742</v>
      </c>
      <c r="C1908" t="s">
        <v>26</v>
      </c>
      <c r="D1908" t="s">
        <v>53</v>
      </c>
      <c r="E1908" s="1">
        <v>45839</v>
      </c>
      <c r="F1908" s="1">
        <v>45917</v>
      </c>
      <c r="G1908" s="1">
        <v>45917</v>
      </c>
      <c r="H1908" t="s">
        <v>28</v>
      </c>
      <c r="I1908">
        <v>1</v>
      </c>
      <c r="J1908">
        <v>5</v>
      </c>
      <c r="K1908">
        <v>342000</v>
      </c>
      <c r="L1908">
        <v>100</v>
      </c>
      <c r="M1908" t="s">
        <v>29</v>
      </c>
      <c r="N1908" t="str">
        <f>_xlfn.XLOOKUP(B1908,tblCustomers[customer_id],tblCustomers[region],"Missing")</f>
        <v>East</v>
      </c>
      <c r="O1908" t="str">
        <f>_xlfn.XLOOKUP(C1908,tblProducts[product_id],tblProducts[product_name],"Missing")</f>
        <v>Security Suite</v>
      </c>
      <c r="P1908" t="str">
        <f>_xlfn.XLOOKUP(C1908,tblProducts[product_id],tblProducts[category],"Missing")</f>
        <v>Security</v>
      </c>
      <c r="Q1908" t="str">
        <f>_xlfn.XLOOKUP(D1908,tblSalesReps[rep_id],tblSalesReps[rep_name],"Missing")</f>
        <v>Sales Rep 16</v>
      </c>
      <c r="R1908" t="str">
        <f>_xlfn.XLOOKUP(D1908,tblSalesReps[rep_id],tblSalesReps[region],"Missing")</f>
        <v>East</v>
      </c>
    </row>
    <row r="1909" spans="1:18">
      <c r="A1909" t="s">
        <v>2444</v>
      </c>
      <c r="B1909" t="s">
        <v>1152</v>
      </c>
      <c r="C1909" t="s">
        <v>39</v>
      </c>
      <c r="D1909" t="s">
        <v>36</v>
      </c>
      <c r="E1909" s="1">
        <v>45891</v>
      </c>
      <c r="F1909" s="1">
        <v>45962</v>
      </c>
      <c r="G1909" s="1">
        <v>45962</v>
      </c>
      <c r="H1909" t="s">
        <v>17</v>
      </c>
      <c r="I1909">
        <v>3</v>
      </c>
      <c r="J1909">
        <v>20</v>
      </c>
      <c r="K1909">
        <v>432000</v>
      </c>
      <c r="L1909">
        <v>0</v>
      </c>
      <c r="M1909" t="s">
        <v>47</v>
      </c>
      <c r="N1909" t="str">
        <f>_xlfn.XLOOKUP(B1909,tblCustomers[customer_id],tblCustomers[region],"Missing")</f>
        <v>North</v>
      </c>
      <c r="O1909" t="str">
        <f>_xlfn.XLOOKUP(C1909,tblProducts[product_id],tblProducts[product_name],"Missing")</f>
        <v>Support Desk</v>
      </c>
      <c r="P1909" t="str">
        <f>_xlfn.XLOOKUP(C1909,tblProducts[product_id],tblProducts[category],"Missing")</f>
        <v>Service</v>
      </c>
      <c r="Q1909" t="str">
        <f>_xlfn.XLOOKUP(D1909,tblSalesReps[rep_id],tblSalesReps[rep_name],"Missing")</f>
        <v>Sales Rep 09</v>
      </c>
      <c r="R1909" t="str">
        <f>_xlfn.XLOOKUP(D1909,tblSalesReps[rep_id],tblSalesReps[region],"Missing")</f>
        <v>North</v>
      </c>
    </row>
    <row r="1910" spans="1:18">
      <c r="A1910" t="s">
        <v>2445</v>
      </c>
      <c r="B1910" t="s">
        <v>1135</v>
      </c>
      <c r="C1910" t="s">
        <v>39</v>
      </c>
      <c r="D1910" t="s">
        <v>91</v>
      </c>
      <c r="E1910" s="1">
        <v>45911</v>
      </c>
      <c r="F1910" s="1">
        <v>45926</v>
      </c>
      <c r="G1910" s="1"/>
      <c r="H1910" t="s">
        <v>43</v>
      </c>
      <c r="I1910">
        <v>1</v>
      </c>
      <c r="J1910">
        <v>5</v>
      </c>
      <c r="K1910">
        <v>171000</v>
      </c>
      <c r="L1910">
        <v>60</v>
      </c>
      <c r="M1910" t="s">
        <v>29</v>
      </c>
      <c r="N1910" t="str">
        <f>_xlfn.XLOOKUP(B1910,tblCustomers[customer_id],tblCustomers[region],"Missing")</f>
        <v>South</v>
      </c>
      <c r="O1910" t="str">
        <f>_xlfn.XLOOKUP(C1910,tblProducts[product_id],tblProducts[product_name],"Missing")</f>
        <v>Support Desk</v>
      </c>
      <c r="P1910" t="str">
        <f>_xlfn.XLOOKUP(C1910,tblProducts[product_id],tblProducts[category],"Missing")</f>
        <v>Service</v>
      </c>
      <c r="Q1910" t="str">
        <f>_xlfn.XLOOKUP(D1910,tblSalesReps[rep_id],tblSalesReps[rep_name],"Missing")</f>
        <v>Sales Rep 03</v>
      </c>
      <c r="R1910" t="str">
        <f>_xlfn.XLOOKUP(D1910,tblSalesReps[rep_id],tblSalesReps[region],"Missing")</f>
        <v>South</v>
      </c>
    </row>
    <row r="1911" spans="1:18">
      <c r="A1911" t="s">
        <v>2446</v>
      </c>
      <c r="B1911" t="s">
        <v>1441</v>
      </c>
      <c r="C1911" t="s">
        <v>39</v>
      </c>
      <c r="D1911" t="s">
        <v>36</v>
      </c>
      <c r="E1911" s="1">
        <v>45789</v>
      </c>
      <c r="F1911" s="1">
        <v>45815</v>
      </c>
      <c r="G1911" s="1"/>
      <c r="H1911" t="s">
        <v>43</v>
      </c>
      <c r="I1911">
        <v>2</v>
      </c>
      <c r="J1911">
        <v>5</v>
      </c>
      <c r="K1911">
        <v>342000</v>
      </c>
      <c r="L1911">
        <v>60</v>
      </c>
      <c r="M1911" t="s">
        <v>29</v>
      </c>
      <c r="N1911" t="str">
        <f>_xlfn.XLOOKUP(B1911,tblCustomers[customer_id],tblCustomers[region],"Missing")</f>
        <v>North</v>
      </c>
      <c r="O1911" t="str">
        <f>_xlfn.XLOOKUP(C1911,tblProducts[product_id],tblProducts[product_name],"Missing")</f>
        <v>Support Desk</v>
      </c>
      <c r="P1911" t="str">
        <f>_xlfn.XLOOKUP(C1911,tblProducts[product_id],tblProducts[category],"Missing")</f>
        <v>Service</v>
      </c>
      <c r="Q1911" t="str">
        <f>_xlfn.XLOOKUP(D1911,tblSalesReps[rep_id],tblSalesReps[rep_name],"Missing")</f>
        <v>Sales Rep 09</v>
      </c>
      <c r="R1911" t="str">
        <f>_xlfn.XLOOKUP(D1911,tblSalesReps[rep_id],tblSalesReps[region],"Missing")</f>
        <v>North</v>
      </c>
    </row>
    <row r="1912" spans="1:18">
      <c r="A1912" t="s">
        <v>2447</v>
      </c>
      <c r="B1912" t="s">
        <v>653</v>
      </c>
      <c r="C1912" t="s">
        <v>39</v>
      </c>
      <c r="D1912" t="s">
        <v>59</v>
      </c>
      <c r="E1912" s="1">
        <v>45896</v>
      </c>
      <c r="F1912" s="1">
        <v>45932</v>
      </c>
      <c r="G1912" s="1"/>
      <c r="H1912" t="s">
        <v>43</v>
      </c>
      <c r="I1912">
        <v>1</v>
      </c>
      <c r="J1912">
        <v>5</v>
      </c>
      <c r="K1912">
        <v>171000</v>
      </c>
      <c r="L1912">
        <v>60</v>
      </c>
      <c r="M1912" t="s">
        <v>29</v>
      </c>
      <c r="N1912" t="str">
        <f>_xlfn.XLOOKUP(B1912,tblCustomers[customer_id],tblCustomers[region],"Missing")</f>
        <v>East</v>
      </c>
      <c r="O1912" t="str">
        <f>_xlfn.XLOOKUP(C1912,tblProducts[product_id],tblProducts[product_name],"Missing")</f>
        <v>Support Desk</v>
      </c>
      <c r="P1912" t="str">
        <f>_xlfn.XLOOKUP(C1912,tblProducts[product_id],tblProducts[category],"Missing")</f>
        <v>Service</v>
      </c>
      <c r="Q1912" t="str">
        <f>_xlfn.XLOOKUP(D1912,tblSalesReps[rep_id],tblSalesReps[rep_name],"Missing")</f>
        <v>Sales Rep 19</v>
      </c>
      <c r="R1912" t="str">
        <f>_xlfn.XLOOKUP(D1912,tblSalesReps[rep_id],tblSalesReps[region],"Missing")</f>
        <v>East</v>
      </c>
    </row>
    <row r="1913" spans="1:18">
      <c r="A1913" t="s">
        <v>2448</v>
      </c>
      <c r="B1913" t="s">
        <v>1366</v>
      </c>
      <c r="C1913" t="s">
        <v>81</v>
      </c>
      <c r="D1913" t="s">
        <v>91</v>
      </c>
      <c r="E1913" s="1">
        <v>45965</v>
      </c>
      <c r="F1913" s="1">
        <v>45979</v>
      </c>
      <c r="G1913" s="1"/>
      <c r="H1913" t="s">
        <v>43</v>
      </c>
      <c r="I1913">
        <v>1</v>
      </c>
      <c r="J1913">
        <v>0</v>
      </c>
      <c r="K1913">
        <v>300000</v>
      </c>
      <c r="L1913">
        <v>60</v>
      </c>
      <c r="M1913" t="s">
        <v>29</v>
      </c>
      <c r="N1913" t="str">
        <f>_xlfn.XLOOKUP(B1913,tblCustomers[customer_id],tblCustomers[region],"Missing")</f>
        <v>South</v>
      </c>
      <c r="O1913" t="str">
        <f>_xlfn.XLOOKUP(C1913,tblProducts[product_id],tblProducts[product_name],"Missing")</f>
        <v>Analytics Cloud</v>
      </c>
      <c r="P1913" t="str">
        <f>_xlfn.XLOOKUP(C1913,tblProducts[product_id],tblProducts[category],"Missing")</f>
        <v>Analytics</v>
      </c>
      <c r="Q1913" t="str">
        <f>_xlfn.XLOOKUP(D1913,tblSalesReps[rep_id],tblSalesReps[rep_name],"Missing")</f>
        <v>Sales Rep 03</v>
      </c>
      <c r="R1913" t="str">
        <f>_xlfn.XLOOKUP(D1913,tblSalesReps[rep_id],tblSalesReps[region],"Missing")</f>
        <v>South</v>
      </c>
    </row>
    <row r="1914" spans="1:18">
      <c r="A1914" t="s">
        <v>2449</v>
      </c>
      <c r="B1914" t="s">
        <v>25</v>
      </c>
      <c r="C1914" t="s">
        <v>15</v>
      </c>
      <c r="D1914" t="s">
        <v>16</v>
      </c>
      <c r="E1914" s="1">
        <v>45864</v>
      </c>
      <c r="F1914" s="1">
        <v>45891</v>
      </c>
      <c r="G1914" s="1"/>
      <c r="H1914" t="s">
        <v>43</v>
      </c>
      <c r="I1914">
        <v>1</v>
      </c>
      <c r="J1914">
        <v>15</v>
      </c>
      <c r="K1914">
        <v>357000</v>
      </c>
      <c r="L1914">
        <v>20</v>
      </c>
      <c r="M1914" t="s">
        <v>29</v>
      </c>
      <c r="N1914" t="str">
        <f>_xlfn.XLOOKUP(B1914,tblCustomers[customer_id],tblCustomers[region],"Missing")</f>
        <v>North</v>
      </c>
      <c r="O1914" t="str">
        <f>_xlfn.XLOOKUP(C1914,tblProducts[product_id],tblProducts[product_name],"Missing")</f>
        <v>CRM Enterprise</v>
      </c>
      <c r="P1914" t="str">
        <f>_xlfn.XLOOKUP(C1914,tblProducts[product_id],tblProducts[category],"Missing")</f>
        <v>CRM</v>
      </c>
      <c r="Q1914" t="str">
        <f>_xlfn.XLOOKUP(D1914,tblSalesReps[rep_id],tblSalesReps[rep_name],"Missing")</f>
        <v>Sales Rep 08</v>
      </c>
      <c r="R1914" t="str">
        <f>_xlfn.XLOOKUP(D1914,tblSalesReps[rep_id],tblSalesReps[region],"Missing")</f>
        <v>North</v>
      </c>
    </row>
    <row r="1915" spans="1:18">
      <c r="A1915" t="s">
        <v>2450</v>
      </c>
      <c r="B1915" t="s">
        <v>420</v>
      </c>
      <c r="C1915" t="s">
        <v>15</v>
      </c>
      <c r="D1915" t="s">
        <v>27</v>
      </c>
      <c r="E1915" s="1">
        <v>45793</v>
      </c>
      <c r="F1915" s="1">
        <v>45848</v>
      </c>
      <c r="G1915" s="1"/>
      <c r="H1915" t="s">
        <v>43</v>
      </c>
      <c r="I1915">
        <v>1</v>
      </c>
      <c r="J1915">
        <v>0</v>
      </c>
      <c r="K1915">
        <v>420000</v>
      </c>
      <c r="L1915">
        <v>20</v>
      </c>
      <c r="M1915" t="s">
        <v>29</v>
      </c>
      <c r="N1915" t="str">
        <f>_xlfn.XLOOKUP(B1915,tblCustomers[customer_id],tblCustomers[region],"Missing")</f>
        <v>North</v>
      </c>
      <c r="O1915" t="str">
        <f>_xlfn.XLOOKUP(C1915,tblProducts[product_id],tblProducts[product_name],"Missing")</f>
        <v>CRM Enterprise</v>
      </c>
      <c r="P1915" t="str">
        <f>_xlfn.XLOOKUP(C1915,tblProducts[product_id],tblProducts[category],"Missing")</f>
        <v>CRM</v>
      </c>
      <c r="Q1915" t="str">
        <f>_xlfn.XLOOKUP(D1915,tblSalesReps[rep_id],tblSalesReps[rep_name],"Missing")</f>
        <v>Sales Rep 06</v>
      </c>
      <c r="R1915" t="str">
        <f>_xlfn.XLOOKUP(D1915,tblSalesReps[rep_id],tblSalesReps[region],"Missing")</f>
        <v>North</v>
      </c>
    </row>
    <row r="1916" spans="1:18">
      <c r="A1916" t="s">
        <v>2451</v>
      </c>
      <c r="B1916" t="s">
        <v>2025</v>
      </c>
      <c r="C1916" t="s">
        <v>81</v>
      </c>
      <c r="D1916" t="s">
        <v>91</v>
      </c>
      <c r="E1916" s="1">
        <v>45759</v>
      </c>
      <c r="F1916" s="1">
        <v>45785</v>
      </c>
      <c r="G1916" s="1">
        <v>45785</v>
      </c>
      <c r="H1916" t="s">
        <v>17</v>
      </c>
      <c r="I1916">
        <v>1</v>
      </c>
      <c r="J1916">
        <v>15</v>
      </c>
      <c r="K1916">
        <v>255000</v>
      </c>
      <c r="L1916">
        <v>0</v>
      </c>
      <c r="M1916" t="s">
        <v>18</v>
      </c>
      <c r="N1916" t="str">
        <f>_xlfn.XLOOKUP(B1916,tblCustomers[customer_id],tblCustomers[region],"Missing")</f>
        <v>South</v>
      </c>
      <c r="O1916" t="str">
        <f>_xlfn.XLOOKUP(C1916,tblProducts[product_id],tblProducts[product_name],"Missing")</f>
        <v>Analytics Cloud</v>
      </c>
      <c r="P1916" t="str">
        <f>_xlfn.XLOOKUP(C1916,tblProducts[product_id],tblProducts[category],"Missing")</f>
        <v>Analytics</v>
      </c>
      <c r="Q1916" t="str">
        <f>_xlfn.XLOOKUP(D1916,tblSalesReps[rep_id],tblSalesReps[rep_name],"Missing")</f>
        <v>Sales Rep 03</v>
      </c>
      <c r="R1916" t="str">
        <f>_xlfn.XLOOKUP(D1916,tblSalesReps[rep_id],tblSalesReps[region],"Missing")</f>
        <v>South</v>
      </c>
    </row>
    <row r="1917" spans="1:18">
      <c r="A1917" t="s">
        <v>2452</v>
      </c>
      <c r="B1917" t="s">
        <v>1105</v>
      </c>
      <c r="C1917" t="s">
        <v>26</v>
      </c>
      <c r="D1917" t="s">
        <v>126</v>
      </c>
      <c r="E1917" s="1">
        <v>45763</v>
      </c>
      <c r="F1917" s="1">
        <v>45813</v>
      </c>
      <c r="G1917" s="1">
        <v>45813</v>
      </c>
      <c r="H1917" t="s">
        <v>28</v>
      </c>
      <c r="I1917">
        <v>1</v>
      </c>
      <c r="J1917">
        <v>0</v>
      </c>
      <c r="K1917">
        <v>360000</v>
      </c>
      <c r="L1917">
        <v>100</v>
      </c>
      <c r="M1917" t="s">
        <v>29</v>
      </c>
      <c r="N1917" t="str">
        <f>_xlfn.XLOOKUP(B1917,tblCustomers[customer_id],tblCustomers[region],"Missing")</f>
        <v>South</v>
      </c>
      <c r="O1917" t="str">
        <f>_xlfn.XLOOKUP(C1917,tblProducts[product_id],tblProducts[product_name],"Missing")</f>
        <v>Security Suite</v>
      </c>
      <c r="P1917" t="str">
        <f>_xlfn.XLOOKUP(C1917,tblProducts[product_id],tblProducts[category],"Missing")</f>
        <v>Security</v>
      </c>
      <c r="Q1917" t="str">
        <f>_xlfn.XLOOKUP(D1917,tblSalesReps[rep_id],tblSalesReps[rep_name],"Missing")</f>
        <v>Sales Rep 02</v>
      </c>
      <c r="R1917" t="str">
        <f>_xlfn.XLOOKUP(D1917,tblSalesReps[rep_id],tblSalesReps[region],"Missing")</f>
        <v>South</v>
      </c>
    </row>
    <row r="1918" spans="1:18">
      <c r="A1918" t="s">
        <v>2453</v>
      </c>
      <c r="B1918" t="s">
        <v>298</v>
      </c>
      <c r="C1918" t="s">
        <v>81</v>
      </c>
      <c r="D1918" t="s">
        <v>53</v>
      </c>
      <c r="E1918" s="1">
        <v>45784</v>
      </c>
      <c r="F1918" s="1">
        <v>45865</v>
      </c>
      <c r="G1918" s="1">
        <v>45865</v>
      </c>
      <c r="H1918" t="s">
        <v>17</v>
      </c>
      <c r="I1918">
        <v>1</v>
      </c>
      <c r="J1918">
        <v>0</v>
      </c>
      <c r="K1918">
        <v>300000</v>
      </c>
      <c r="L1918">
        <v>0</v>
      </c>
      <c r="M1918" t="s">
        <v>18</v>
      </c>
      <c r="N1918" t="str">
        <f>_xlfn.XLOOKUP(B1918,tblCustomers[customer_id],tblCustomers[region],"Missing")</f>
        <v>East</v>
      </c>
      <c r="O1918" t="str">
        <f>_xlfn.XLOOKUP(C1918,tblProducts[product_id],tblProducts[product_name],"Missing")</f>
        <v>Analytics Cloud</v>
      </c>
      <c r="P1918" t="str">
        <f>_xlfn.XLOOKUP(C1918,tblProducts[product_id],tblProducts[category],"Missing")</f>
        <v>Analytics</v>
      </c>
      <c r="Q1918" t="str">
        <f>_xlfn.XLOOKUP(D1918,tblSalesReps[rep_id],tblSalesReps[rep_name],"Missing")</f>
        <v>Sales Rep 16</v>
      </c>
      <c r="R1918" t="str">
        <f>_xlfn.XLOOKUP(D1918,tblSalesReps[rep_id],tblSalesReps[region],"Missing")</f>
        <v>East</v>
      </c>
    </row>
    <row r="1919" spans="1:18">
      <c r="A1919" t="s">
        <v>2454</v>
      </c>
      <c r="B1919" t="s">
        <v>1051</v>
      </c>
      <c r="C1919" t="s">
        <v>15</v>
      </c>
      <c r="D1919" t="s">
        <v>152</v>
      </c>
      <c r="E1919" s="1">
        <v>45760</v>
      </c>
      <c r="F1919" s="1">
        <v>45784</v>
      </c>
      <c r="G1919" s="1">
        <v>45784</v>
      </c>
      <c r="H1919" t="s">
        <v>17</v>
      </c>
      <c r="I1919">
        <v>1</v>
      </c>
      <c r="J1919">
        <v>15</v>
      </c>
      <c r="K1919">
        <v>357000</v>
      </c>
      <c r="L1919">
        <v>0</v>
      </c>
      <c r="M1919" t="s">
        <v>23</v>
      </c>
      <c r="N1919" t="str">
        <f>_xlfn.XLOOKUP(B1919,tblCustomers[customer_id],tblCustomers[region],"Missing")</f>
        <v>East</v>
      </c>
      <c r="O1919" t="str">
        <f>_xlfn.XLOOKUP(C1919,tblProducts[product_id],tblProducts[product_name],"Missing")</f>
        <v>CRM Enterprise</v>
      </c>
      <c r="P1919" t="str">
        <f>_xlfn.XLOOKUP(C1919,tblProducts[product_id],tblProducts[category],"Missing")</f>
        <v>CRM</v>
      </c>
      <c r="Q1919" t="str">
        <f>_xlfn.XLOOKUP(D1919,tblSalesReps[rep_id],tblSalesReps[rep_name],"Missing")</f>
        <v>Sales Rep 18</v>
      </c>
      <c r="R1919" t="str">
        <f>_xlfn.XLOOKUP(D1919,tblSalesReps[rep_id],tblSalesReps[region],"Missing")</f>
        <v>East</v>
      </c>
    </row>
    <row r="1920" spans="1:18">
      <c r="A1920" t="s">
        <v>2455</v>
      </c>
      <c r="B1920" t="s">
        <v>1916</v>
      </c>
      <c r="C1920" t="s">
        <v>21</v>
      </c>
      <c r="D1920" t="s">
        <v>91</v>
      </c>
      <c r="E1920" s="1">
        <v>45765</v>
      </c>
      <c r="F1920" s="1">
        <v>45812</v>
      </c>
      <c r="G1920" s="1">
        <v>45812</v>
      </c>
      <c r="H1920" t="s">
        <v>17</v>
      </c>
      <c r="I1920">
        <v>3</v>
      </c>
      <c r="J1920">
        <v>5</v>
      </c>
      <c r="K1920">
        <v>684000</v>
      </c>
      <c r="L1920">
        <v>0</v>
      </c>
      <c r="M1920" t="s">
        <v>33</v>
      </c>
      <c r="N1920" t="str">
        <f>_xlfn.XLOOKUP(B1920,tblCustomers[customer_id],tblCustomers[region],"Missing")</f>
        <v>South</v>
      </c>
      <c r="O1920" t="str">
        <f>_xlfn.XLOOKUP(C1920,tblProducts[product_id],tblProducts[product_name],"Missing")</f>
        <v>Workflow Automate</v>
      </c>
      <c r="P1920" t="str">
        <f>_xlfn.XLOOKUP(C1920,tblProducts[product_id],tblProducts[category],"Missing")</f>
        <v>Automation</v>
      </c>
      <c r="Q1920" t="str">
        <f>_xlfn.XLOOKUP(D1920,tblSalesReps[rep_id],tblSalesReps[rep_name],"Missing")</f>
        <v>Sales Rep 03</v>
      </c>
      <c r="R1920" t="str">
        <f>_xlfn.XLOOKUP(D1920,tblSalesReps[rep_id],tblSalesReps[region],"Missing")</f>
        <v>South</v>
      </c>
    </row>
    <row r="1921" spans="1:18">
      <c r="A1921" t="s">
        <v>2456</v>
      </c>
      <c r="B1921" t="s">
        <v>749</v>
      </c>
      <c r="C1921" t="s">
        <v>26</v>
      </c>
      <c r="D1921" t="s">
        <v>91</v>
      </c>
      <c r="E1921" s="1">
        <v>45674</v>
      </c>
      <c r="F1921" s="1">
        <v>45705</v>
      </c>
      <c r="G1921" s="1">
        <v>45705</v>
      </c>
      <c r="H1921" t="s">
        <v>28</v>
      </c>
      <c r="I1921">
        <v>1</v>
      </c>
      <c r="J1921">
        <v>5</v>
      </c>
      <c r="K1921">
        <v>342000</v>
      </c>
      <c r="L1921">
        <v>100</v>
      </c>
      <c r="M1921" t="s">
        <v>29</v>
      </c>
      <c r="N1921" t="str">
        <f>_xlfn.XLOOKUP(B1921,tblCustomers[customer_id],tblCustomers[region],"Missing")</f>
        <v>South</v>
      </c>
      <c r="O1921" t="str">
        <f>_xlfn.XLOOKUP(C1921,tblProducts[product_id],tblProducts[product_name],"Missing")</f>
        <v>Security Suite</v>
      </c>
      <c r="P1921" t="str">
        <f>_xlfn.XLOOKUP(C1921,tblProducts[product_id],tblProducts[category],"Missing")</f>
        <v>Security</v>
      </c>
      <c r="Q1921" t="str">
        <f>_xlfn.XLOOKUP(D1921,tblSalesReps[rep_id],tblSalesReps[rep_name],"Missing")</f>
        <v>Sales Rep 03</v>
      </c>
      <c r="R1921" t="str">
        <f>_xlfn.XLOOKUP(D1921,tblSalesReps[rep_id],tblSalesReps[region],"Missing")</f>
        <v>South</v>
      </c>
    </row>
    <row r="1922" spans="1:18">
      <c r="A1922" t="s">
        <v>2457</v>
      </c>
      <c r="B1922" t="s">
        <v>383</v>
      </c>
      <c r="C1922" t="s">
        <v>81</v>
      </c>
      <c r="D1922" t="s">
        <v>40</v>
      </c>
      <c r="E1922" s="1">
        <v>45681</v>
      </c>
      <c r="F1922" s="1">
        <v>45753</v>
      </c>
      <c r="G1922" s="1"/>
      <c r="H1922" t="s">
        <v>43</v>
      </c>
      <c r="I1922">
        <v>1</v>
      </c>
      <c r="J1922">
        <v>20</v>
      </c>
      <c r="K1922">
        <v>240000</v>
      </c>
      <c r="L1922">
        <v>80</v>
      </c>
      <c r="M1922" t="s">
        <v>29</v>
      </c>
      <c r="N1922" t="str">
        <f>_xlfn.XLOOKUP(B1922,tblCustomers[customer_id],tblCustomers[region],"Missing")</f>
        <v>West</v>
      </c>
      <c r="O1922" t="str">
        <f>_xlfn.XLOOKUP(C1922,tblProducts[product_id],tblProducts[product_name],"Missing")</f>
        <v>Analytics Cloud</v>
      </c>
      <c r="P1922" t="str">
        <f>_xlfn.XLOOKUP(C1922,tblProducts[product_id],tblProducts[category],"Missing")</f>
        <v>Analytics</v>
      </c>
      <c r="Q1922" t="str">
        <f>_xlfn.XLOOKUP(D1922,tblSalesReps[rep_id],tblSalesReps[rep_name],"Missing")</f>
        <v>Sales Rep 13</v>
      </c>
      <c r="R1922" t="str">
        <f>_xlfn.XLOOKUP(D1922,tblSalesReps[rep_id],tblSalesReps[region],"Missing")</f>
        <v>West</v>
      </c>
    </row>
    <row r="1923" spans="1:18">
      <c r="A1923" t="s">
        <v>2458</v>
      </c>
      <c r="B1923" t="s">
        <v>485</v>
      </c>
      <c r="C1923" t="s">
        <v>81</v>
      </c>
      <c r="D1923" t="s">
        <v>152</v>
      </c>
      <c r="E1923" s="1">
        <v>45804</v>
      </c>
      <c r="F1923" s="1">
        <v>45846</v>
      </c>
      <c r="G1923" s="1"/>
      <c r="H1923" t="s">
        <v>43</v>
      </c>
      <c r="I1923">
        <v>3</v>
      </c>
      <c r="J1923">
        <v>15</v>
      </c>
      <c r="K1923">
        <v>765000</v>
      </c>
      <c r="L1923">
        <v>60</v>
      </c>
      <c r="M1923" t="s">
        <v>29</v>
      </c>
      <c r="N1923" t="str">
        <f>_xlfn.XLOOKUP(B1923,tblCustomers[customer_id],tblCustomers[region],"Missing")</f>
        <v>East</v>
      </c>
      <c r="O1923" t="str">
        <f>_xlfn.XLOOKUP(C1923,tblProducts[product_id],tblProducts[product_name],"Missing")</f>
        <v>Analytics Cloud</v>
      </c>
      <c r="P1923" t="str">
        <f>_xlfn.XLOOKUP(C1923,tblProducts[product_id],tblProducts[category],"Missing")</f>
        <v>Analytics</v>
      </c>
      <c r="Q1923" t="str">
        <f>_xlfn.XLOOKUP(D1923,tblSalesReps[rep_id],tblSalesReps[rep_name],"Missing")</f>
        <v>Sales Rep 18</v>
      </c>
      <c r="R1923" t="str">
        <f>_xlfn.XLOOKUP(D1923,tblSalesReps[rep_id],tblSalesReps[region],"Missing")</f>
        <v>East</v>
      </c>
    </row>
    <row r="1924" spans="1:18">
      <c r="A1924" t="s">
        <v>2459</v>
      </c>
      <c r="B1924" t="s">
        <v>1453</v>
      </c>
      <c r="C1924" t="s">
        <v>39</v>
      </c>
      <c r="D1924" t="s">
        <v>56</v>
      </c>
      <c r="E1924" s="1">
        <v>45727</v>
      </c>
      <c r="F1924" s="1">
        <v>45803</v>
      </c>
      <c r="G1924" s="1">
        <v>45803</v>
      </c>
      <c r="H1924" t="s">
        <v>17</v>
      </c>
      <c r="I1924">
        <v>2</v>
      </c>
      <c r="J1924">
        <v>5</v>
      </c>
      <c r="K1924">
        <v>342000</v>
      </c>
      <c r="L1924">
        <v>0</v>
      </c>
      <c r="M1924" t="s">
        <v>18</v>
      </c>
      <c r="N1924" t="str">
        <f>_xlfn.XLOOKUP(B1924,tblCustomers[customer_id],tblCustomers[region],"Missing")</f>
        <v>East</v>
      </c>
      <c r="O1924" t="str">
        <f>_xlfn.XLOOKUP(C1924,tblProducts[product_id],tblProducts[product_name],"Missing")</f>
        <v>Support Desk</v>
      </c>
      <c r="P1924" t="str">
        <f>_xlfn.XLOOKUP(C1924,tblProducts[product_id],tblProducts[category],"Missing")</f>
        <v>Service</v>
      </c>
      <c r="Q1924" t="str">
        <f>_xlfn.XLOOKUP(D1924,tblSalesReps[rep_id],tblSalesReps[rep_name],"Missing")</f>
        <v>Sales Rep 20</v>
      </c>
      <c r="R1924" t="str">
        <f>_xlfn.XLOOKUP(D1924,tblSalesReps[rep_id],tblSalesReps[region],"Missing")</f>
        <v>East</v>
      </c>
    </row>
    <row r="1925" spans="1:18">
      <c r="A1925" t="s">
        <v>2460</v>
      </c>
      <c r="B1925" t="s">
        <v>367</v>
      </c>
      <c r="C1925" t="s">
        <v>15</v>
      </c>
      <c r="D1925" t="s">
        <v>53</v>
      </c>
      <c r="E1925" s="1">
        <v>45669</v>
      </c>
      <c r="F1925" s="1">
        <v>45708</v>
      </c>
      <c r="G1925" s="1"/>
      <c r="H1925" t="s">
        <v>43</v>
      </c>
      <c r="I1925">
        <v>1</v>
      </c>
      <c r="J1925">
        <v>15</v>
      </c>
      <c r="K1925">
        <v>357000</v>
      </c>
      <c r="L1925">
        <v>40</v>
      </c>
      <c r="M1925" t="s">
        <v>29</v>
      </c>
      <c r="N1925" t="str">
        <f>_xlfn.XLOOKUP(B1925,tblCustomers[customer_id],tblCustomers[region],"Missing")</f>
        <v>East</v>
      </c>
      <c r="O1925" t="str">
        <f>_xlfn.XLOOKUP(C1925,tblProducts[product_id],tblProducts[product_name],"Missing")</f>
        <v>CRM Enterprise</v>
      </c>
      <c r="P1925" t="str">
        <f>_xlfn.XLOOKUP(C1925,tblProducts[product_id],tblProducts[category],"Missing")</f>
        <v>CRM</v>
      </c>
      <c r="Q1925" t="str">
        <f>_xlfn.XLOOKUP(D1925,tblSalesReps[rep_id],tblSalesReps[rep_name],"Missing")</f>
        <v>Sales Rep 16</v>
      </c>
      <c r="R1925" t="str">
        <f>_xlfn.XLOOKUP(D1925,tblSalesReps[rep_id],tblSalesReps[region],"Missing")</f>
        <v>East</v>
      </c>
    </row>
    <row r="1926" spans="1:18">
      <c r="A1926" t="s">
        <v>2461</v>
      </c>
      <c r="B1926" t="s">
        <v>2207</v>
      </c>
      <c r="C1926" t="s">
        <v>15</v>
      </c>
      <c r="D1926" t="s">
        <v>78</v>
      </c>
      <c r="E1926" s="1">
        <v>45981</v>
      </c>
      <c r="F1926" s="1">
        <v>46047</v>
      </c>
      <c r="G1926" s="1"/>
      <c r="H1926" t="s">
        <v>43</v>
      </c>
      <c r="I1926">
        <v>1</v>
      </c>
      <c r="J1926">
        <v>15</v>
      </c>
      <c r="K1926">
        <v>357000</v>
      </c>
      <c r="L1926">
        <v>40</v>
      </c>
      <c r="M1926" t="s">
        <v>29</v>
      </c>
      <c r="N1926" t="str">
        <f>_xlfn.XLOOKUP(B1926,tblCustomers[customer_id],tblCustomers[region],"Missing")</f>
        <v>West</v>
      </c>
      <c r="O1926" t="str">
        <f>_xlfn.XLOOKUP(C1926,tblProducts[product_id],tblProducts[product_name],"Missing")</f>
        <v>CRM Enterprise</v>
      </c>
      <c r="P1926" t="str">
        <f>_xlfn.XLOOKUP(C1926,tblProducts[product_id],tblProducts[category],"Missing")</f>
        <v>CRM</v>
      </c>
      <c r="Q1926" t="str">
        <f>_xlfn.XLOOKUP(D1926,tblSalesReps[rep_id],tblSalesReps[rep_name],"Missing")</f>
        <v>Sales Rep 12</v>
      </c>
      <c r="R1926" t="str">
        <f>_xlfn.XLOOKUP(D1926,tblSalesReps[rep_id],tblSalesReps[region],"Missing")</f>
        <v>West</v>
      </c>
    </row>
    <row r="1927" spans="1:18">
      <c r="A1927" t="s">
        <v>2462</v>
      </c>
      <c r="B1927" t="s">
        <v>404</v>
      </c>
      <c r="C1927" t="s">
        <v>15</v>
      </c>
      <c r="D1927" t="s">
        <v>50</v>
      </c>
      <c r="E1927" s="1">
        <v>45810</v>
      </c>
      <c r="F1927" s="1">
        <v>45893</v>
      </c>
      <c r="G1927" s="1">
        <v>45893</v>
      </c>
      <c r="H1927" t="s">
        <v>28</v>
      </c>
      <c r="I1927">
        <v>3</v>
      </c>
      <c r="J1927">
        <v>20</v>
      </c>
      <c r="K1927">
        <v>1008000</v>
      </c>
      <c r="L1927">
        <v>100</v>
      </c>
      <c r="M1927" t="s">
        <v>29</v>
      </c>
      <c r="N1927" t="str">
        <f>_xlfn.XLOOKUP(B1927,tblCustomers[customer_id],tblCustomers[region],"Missing")</f>
        <v>West</v>
      </c>
      <c r="O1927" t="str">
        <f>_xlfn.XLOOKUP(C1927,tblProducts[product_id],tblProducts[product_name],"Missing")</f>
        <v>CRM Enterprise</v>
      </c>
      <c r="P1927" t="str">
        <f>_xlfn.XLOOKUP(C1927,tblProducts[product_id],tblProducts[category],"Missing")</f>
        <v>CRM</v>
      </c>
      <c r="Q1927" t="str">
        <f>_xlfn.XLOOKUP(D1927,tblSalesReps[rep_id],tblSalesReps[rep_name],"Missing")</f>
        <v>Sales Rep 15</v>
      </c>
      <c r="R1927" t="str">
        <f>_xlfn.XLOOKUP(D1927,tblSalesReps[rep_id],tblSalesReps[region],"Missing")</f>
        <v>West</v>
      </c>
    </row>
    <row r="1928" spans="1:18">
      <c r="A1928" t="s">
        <v>2463</v>
      </c>
      <c r="B1928" t="s">
        <v>1481</v>
      </c>
      <c r="C1928" t="s">
        <v>81</v>
      </c>
      <c r="D1928" t="s">
        <v>152</v>
      </c>
      <c r="E1928" s="1">
        <v>45830</v>
      </c>
      <c r="F1928" s="1">
        <v>45876</v>
      </c>
      <c r="G1928" s="1"/>
      <c r="H1928" t="s">
        <v>43</v>
      </c>
      <c r="I1928">
        <v>3</v>
      </c>
      <c r="J1928">
        <v>10</v>
      </c>
      <c r="K1928">
        <v>810000</v>
      </c>
      <c r="L1928">
        <v>60</v>
      </c>
      <c r="M1928" t="s">
        <v>29</v>
      </c>
      <c r="N1928" t="str">
        <f>_xlfn.XLOOKUP(B1928,tblCustomers[customer_id],tblCustomers[region],"Missing")</f>
        <v>East</v>
      </c>
      <c r="O1928" t="str">
        <f>_xlfn.XLOOKUP(C1928,tblProducts[product_id],tblProducts[product_name],"Missing")</f>
        <v>Analytics Cloud</v>
      </c>
      <c r="P1928" t="str">
        <f>_xlfn.XLOOKUP(C1928,tblProducts[product_id],tblProducts[category],"Missing")</f>
        <v>Analytics</v>
      </c>
      <c r="Q1928" t="str">
        <f>_xlfn.XLOOKUP(D1928,tblSalesReps[rep_id],tblSalesReps[rep_name],"Missing")</f>
        <v>Sales Rep 18</v>
      </c>
      <c r="R1928" t="str">
        <f>_xlfn.XLOOKUP(D1928,tblSalesReps[rep_id],tblSalesReps[region],"Missing")</f>
        <v>East</v>
      </c>
    </row>
    <row r="1929" spans="1:18">
      <c r="A1929" t="s">
        <v>2464</v>
      </c>
      <c r="B1929" t="s">
        <v>223</v>
      </c>
      <c r="C1929" t="s">
        <v>62</v>
      </c>
      <c r="D1929" t="s">
        <v>63</v>
      </c>
      <c r="E1929" s="1">
        <v>45775</v>
      </c>
      <c r="F1929" s="1">
        <v>45800</v>
      </c>
      <c r="G1929" s="1">
        <v>45800</v>
      </c>
      <c r="H1929" t="s">
        <v>28</v>
      </c>
      <c r="I1929">
        <v>1</v>
      </c>
      <c r="J1929">
        <v>0</v>
      </c>
      <c r="K1929">
        <v>120000</v>
      </c>
      <c r="L1929">
        <v>100</v>
      </c>
      <c r="M1929" t="s">
        <v>29</v>
      </c>
      <c r="N1929" t="str">
        <f>_xlfn.XLOOKUP(B1929,tblCustomers[customer_id],tblCustomers[region],"Missing")</f>
        <v>South</v>
      </c>
      <c r="O1929" t="str">
        <f>_xlfn.XLOOKUP(C1929,tblProducts[product_id],tblProducts[product_name],"Missing")</f>
        <v>CRM Essentials</v>
      </c>
      <c r="P1929" t="str">
        <f>_xlfn.XLOOKUP(C1929,tblProducts[product_id],tblProducts[category],"Missing")</f>
        <v>CRM</v>
      </c>
      <c r="Q1929" t="str">
        <f>_xlfn.XLOOKUP(D1929,tblSalesReps[rep_id],tblSalesReps[rep_name],"Missing")</f>
        <v>Sales Rep 05</v>
      </c>
      <c r="R1929" t="str">
        <f>_xlfn.XLOOKUP(D1929,tblSalesReps[rep_id],tblSalesReps[region],"Missing")</f>
        <v>South</v>
      </c>
    </row>
    <row r="1930" spans="1:18">
      <c r="A1930" t="s">
        <v>2465</v>
      </c>
      <c r="B1930" t="s">
        <v>312</v>
      </c>
      <c r="C1930" t="s">
        <v>21</v>
      </c>
      <c r="D1930" t="s">
        <v>70</v>
      </c>
      <c r="E1930" s="1">
        <v>45999</v>
      </c>
      <c r="F1930" s="1">
        <v>46011</v>
      </c>
      <c r="G1930" s="1">
        <v>46011</v>
      </c>
      <c r="H1930" t="s">
        <v>28</v>
      </c>
      <c r="I1930">
        <v>1</v>
      </c>
      <c r="J1930">
        <v>15</v>
      </c>
      <c r="K1930">
        <v>204000</v>
      </c>
      <c r="L1930">
        <v>100</v>
      </c>
      <c r="M1930" t="s">
        <v>29</v>
      </c>
      <c r="N1930" t="str">
        <f>_xlfn.XLOOKUP(B1930,tblCustomers[customer_id],tblCustomers[region],"Missing")</f>
        <v>West</v>
      </c>
      <c r="O1930" t="str">
        <f>_xlfn.XLOOKUP(C1930,tblProducts[product_id],tblProducts[product_name],"Missing")</f>
        <v>Workflow Automate</v>
      </c>
      <c r="P1930" t="str">
        <f>_xlfn.XLOOKUP(C1930,tblProducts[product_id],tblProducts[category],"Missing")</f>
        <v>Automation</v>
      </c>
      <c r="Q1930" t="str">
        <f>_xlfn.XLOOKUP(D1930,tblSalesReps[rep_id],tblSalesReps[rep_name],"Missing")</f>
        <v>Sales Rep 11</v>
      </c>
      <c r="R1930" t="str">
        <f>_xlfn.XLOOKUP(D1930,tblSalesReps[rep_id],tblSalesReps[region],"Missing")</f>
        <v>West</v>
      </c>
    </row>
    <row r="1931" spans="1:18">
      <c r="A1931" t="s">
        <v>2466</v>
      </c>
      <c r="B1931" t="s">
        <v>1405</v>
      </c>
      <c r="C1931" t="s">
        <v>15</v>
      </c>
      <c r="D1931" t="s">
        <v>168</v>
      </c>
      <c r="E1931" s="1">
        <v>45930</v>
      </c>
      <c r="F1931" s="1">
        <v>45957</v>
      </c>
      <c r="G1931" s="1">
        <v>45957</v>
      </c>
      <c r="H1931" t="s">
        <v>17</v>
      </c>
      <c r="I1931">
        <v>1</v>
      </c>
      <c r="J1931">
        <v>15</v>
      </c>
      <c r="K1931">
        <v>357000</v>
      </c>
      <c r="L1931">
        <v>0</v>
      </c>
      <c r="M1931" t="s">
        <v>18</v>
      </c>
      <c r="N1931" t="str">
        <f>_xlfn.XLOOKUP(B1931,tblCustomers[customer_id],tblCustomers[region],"Missing")</f>
        <v>East</v>
      </c>
      <c r="O1931" t="str">
        <f>_xlfn.XLOOKUP(C1931,tblProducts[product_id],tblProducts[product_name],"Missing")</f>
        <v>CRM Enterprise</v>
      </c>
      <c r="P1931" t="str">
        <f>_xlfn.XLOOKUP(C1931,tblProducts[product_id],tblProducts[category],"Missing")</f>
        <v>CRM</v>
      </c>
      <c r="Q1931" t="str">
        <f>_xlfn.XLOOKUP(D1931,tblSalesReps[rep_id],tblSalesReps[rep_name],"Missing")</f>
        <v>Sales Rep 17</v>
      </c>
      <c r="R1931" t="str">
        <f>_xlfn.XLOOKUP(D1931,tblSalesReps[rep_id],tblSalesReps[region],"Missing")</f>
        <v>East</v>
      </c>
    </row>
    <row r="1932" spans="1:18">
      <c r="A1932" t="s">
        <v>2467</v>
      </c>
      <c r="B1932" t="s">
        <v>116</v>
      </c>
      <c r="C1932" t="s">
        <v>21</v>
      </c>
      <c r="D1932" t="s">
        <v>91</v>
      </c>
      <c r="E1932" s="1">
        <v>45769</v>
      </c>
      <c r="F1932" s="1">
        <v>45805</v>
      </c>
      <c r="G1932" s="1"/>
      <c r="H1932" t="s">
        <v>43</v>
      </c>
      <c r="I1932">
        <v>2</v>
      </c>
      <c r="J1932">
        <v>5</v>
      </c>
      <c r="K1932">
        <v>456000</v>
      </c>
      <c r="L1932">
        <v>40</v>
      </c>
      <c r="M1932" t="s">
        <v>29</v>
      </c>
      <c r="N1932" t="str">
        <f>_xlfn.XLOOKUP(B1932,tblCustomers[customer_id],tblCustomers[region],"Missing")</f>
        <v>South</v>
      </c>
      <c r="O1932" t="str">
        <f>_xlfn.XLOOKUP(C1932,tblProducts[product_id],tblProducts[product_name],"Missing")</f>
        <v>Workflow Automate</v>
      </c>
      <c r="P1932" t="str">
        <f>_xlfn.XLOOKUP(C1932,tblProducts[product_id],tblProducts[category],"Missing")</f>
        <v>Automation</v>
      </c>
      <c r="Q1932" t="str">
        <f>_xlfn.XLOOKUP(D1932,tblSalesReps[rep_id],tblSalesReps[rep_name],"Missing")</f>
        <v>Sales Rep 03</v>
      </c>
      <c r="R1932" t="str">
        <f>_xlfn.XLOOKUP(D1932,tblSalesReps[rep_id],tblSalesReps[region],"Missing")</f>
        <v>South</v>
      </c>
    </row>
    <row r="1933" spans="1:18">
      <c r="A1933" t="s">
        <v>2468</v>
      </c>
      <c r="B1933" t="s">
        <v>141</v>
      </c>
      <c r="C1933" t="s">
        <v>15</v>
      </c>
      <c r="D1933" t="s">
        <v>27</v>
      </c>
      <c r="E1933" s="1">
        <v>45789</v>
      </c>
      <c r="F1933" s="1">
        <v>45828</v>
      </c>
      <c r="G1933" s="1">
        <v>45828</v>
      </c>
      <c r="H1933" t="s">
        <v>28</v>
      </c>
      <c r="I1933">
        <v>3</v>
      </c>
      <c r="J1933">
        <v>15</v>
      </c>
      <c r="K1933">
        <v>1071000</v>
      </c>
      <c r="L1933">
        <v>100</v>
      </c>
      <c r="M1933" t="s">
        <v>29</v>
      </c>
      <c r="N1933" t="str">
        <f>_xlfn.XLOOKUP(B1933,tblCustomers[customer_id],tblCustomers[region],"Missing")</f>
        <v>North</v>
      </c>
      <c r="O1933" t="str">
        <f>_xlfn.XLOOKUP(C1933,tblProducts[product_id],tblProducts[product_name],"Missing")</f>
        <v>CRM Enterprise</v>
      </c>
      <c r="P1933" t="str">
        <f>_xlfn.XLOOKUP(C1933,tblProducts[product_id],tblProducts[category],"Missing")</f>
        <v>CRM</v>
      </c>
      <c r="Q1933" t="str">
        <f>_xlfn.XLOOKUP(D1933,tblSalesReps[rep_id],tblSalesReps[rep_name],"Missing")</f>
        <v>Sales Rep 06</v>
      </c>
      <c r="R1933" t="str">
        <f>_xlfn.XLOOKUP(D1933,tblSalesReps[rep_id],tblSalesReps[region],"Missing")</f>
        <v>North</v>
      </c>
    </row>
    <row r="1934" spans="1:18">
      <c r="A1934" t="s">
        <v>2469</v>
      </c>
      <c r="B1934" t="s">
        <v>1159</v>
      </c>
      <c r="C1934" t="s">
        <v>39</v>
      </c>
      <c r="D1934" t="s">
        <v>56</v>
      </c>
      <c r="E1934" s="1">
        <v>45757</v>
      </c>
      <c r="F1934" s="1">
        <v>45822</v>
      </c>
      <c r="G1934" s="1">
        <v>45822</v>
      </c>
      <c r="H1934" t="s">
        <v>28</v>
      </c>
      <c r="I1934">
        <v>1</v>
      </c>
      <c r="J1934">
        <v>0</v>
      </c>
      <c r="K1934">
        <v>180000</v>
      </c>
      <c r="L1934">
        <v>100</v>
      </c>
      <c r="M1934" t="s">
        <v>29</v>
      </c>
      <c r="N1934" t="str">
        <f>_xlfn.XLOOKUP(B1934,tblCustomers[customer_id],tblCustomers[region],"Missing")</f>
        <v>East</v>
      </c>
      <c r="O1934" t="str">
        <f>_xlfn.XLOOKUP(C1934,tblProducts[product_id],tblProducts[product_name],"Missing")</f>
        <v>Support Desk</v>
      </c>
      <c r="P1934" t="str">
        <f>_xlfn.XLOOKUP(C1934,tblProducts[product_id],tblProducts[category],"Missing")</f>
        <v>Service</v>
      </c>
      <c r="Q1934" t="str">
        <f>_xlfn.XLOOKUP(D1934,tblSalesReps[rep_id],tblSalesReps[rep_name],"Missing")</f>
        <v>Sales Rep 20</v>
      </c>
      <c r="R1934" t="str">
        <f>_xlfn.XLOOKUP(D1934,tblSalesReps[rep_id],tblSalesReps[region],"Missing")</f>
        <v>East</v>
      </c>
    </row>
    <row r="1935" spans="1:18">
      <c r="A1935" t="s">
        <v>2470</v>
      </c>
      <c r="B1935" t="s">
        <v>1277</v>
      </c>
      <c r="C1935" t="s">
        <v>15</v>
      </c>
      <c r="D1935" t="s">
        <v>53</v>
      </c>
      <c r="E1935" s="1">
        <v>45724</v>
      </c>
      <c r="F1935" s="1">
        <v>45755</v>
      </c>
      <c r="G1935" s="1">
        <v>45755</v>
      </c>
      <c r="H1935" t="s">
        <v>17</v>
      </c>
      <c r="I1935">
        <v>1</v>
      </c>
      <c r="J1935">
        <v>0</v>
      </c>
      <c r="K1935">
        <v>420000</v>
      </c>
      <c r="L1935">
        <v>0</v>
      </c>
      <c r="M1935" t="s">
        <v>33</v>
      </c>
      <c r="N1935" t="str">
        <f>_xlfn.XLOOKUP(B1935,tblCustomers[customer_id],tblCustomers[region],"Missing")</f>
        <v>East</v>
      </c>
      <c r="O1935" t="str">
        <f>_xlfn.XLOOKUP(C1935,tblProducts[product_id],tblProducts[product_name],"Missing")</f>
        <v>CRM Enterprise</v>
      </c>
      <c r="P1935" t="str">
        <f>_xlfn.XLOOKUP(C1935,tblProducts[product_id],tblProducts[category],"Missing")</f>
        <v>CRM</v>
      </c>
      <c r="Q1935" t="str">
        <f>_xlfn.XLOOKUP(D1935,tblSalesReps[rep_id],tblSalesReps[rep_name],"Missing")</f>
        <v>Sales Rep 16</v>
      </c>
      <c r="R1935" t="str">
        <f>_xlfn.XLOOKUP(D1935,tblSalesReps[rep_id],tblSalesReps[region],"Missing")</f>
        <v>East</v>
      </c>
    </row>
    <row r="1936" spans="1:18">
      <c r="A1936" t="s">
        <v>2471</v>
      </c>
      <c r="B1936" t="s">
        <v>743</v>
      </c>
      <c r="C1936" t="s">
        <v>62</v>
      </c>
      <c r="D1936" t="s">
        <v>50</v>
      </c>
      <c r="E1936" s="1">
        <v>45688</v>
      </c>
      <c r="F1936" s="1">
        <v>45717</v>
      </c>
      <c r="G1936" s="1">
        <v>45717</v>
      </c>
      <c r="H1936" t="s">
        <v>17</v>
      </c>
      <c r="I1936">
        <v>1</v>
      </c>
      <c r="J1936">
        <v>20</v>
      </c>
      <c r="K1936">
        <v>96000</v>
      </c>
      <c r="L1936">
        <v>0</v>
      </c>
      <c r="M1936" t="s">
        <v>23</v>
      </c>
      <c r="N1936" t="str">
        <f>_xlfn.XLOOKUP(B1936,tblCustomers[customer_id],tblCustomers[region],"Missing")</f>
        <v>West</v>
      </c>
      <c r="O1936" t="str">
        <f>_xlfn.XLOOKUP(C1936,tblProducts[product_id],tblProducts[product_name],"Missing")</f>
        <v>CRM Essentials</v>
      </c>
      <c r="P1936" t="str">
        <f>_xlfn.XLOOKUP(C1936,tblProducts[product_id],tblProducts[category],"Missing")</f>
        <v>CRM</v>
      </c>
      <c r="Q1936" t="str">
        <f>_xlfn.XLOOKUP(D1936,tblSalesReps[rep_id],tblSalesReps[rep_name],"Missing")</f>
        <v>Sales Rep 15</v>
      </c>
      <c r="R1936" t="str">
        <f>_xlfn.XLOOKUP(D1936,tblSalesReps[rep_id],tblSalesReps[region],"Missing")</f>
        <v>West</v>
      </c>
    </row>
    <row r="1937" spans="1:18">
      <c r="A1937" t="s">
        <v>2472</v>
      </c>
      <c r="B1937" t="s">
        <v>1237</v>
      </c>
      <c r="C1937" t="s">
        <v>26</v>
      </c>
      <c r="D1937" t="s">
        <v>91</v>
      </c>
      <c r="E1937" s="1">
        <v>45949</v>
      </c>
      <c r="F1937" s="1">
        <v>45960</v>
      </c>
      <c r="G1937" s="1">
        <v>45960</v>
      </c>
      <c r="H1937" t="s">
        <v>17</v>
      </c>
      <c r="I1937">
        <v>1</v>
      </c>
      <c r="J1937">
        <v>5</v>
      </c>
      <c r="K1937">
        <v>342000</v>
      </c>
      <c r="L1937">
        <v>0</v>
      </c>
      <c r="M1937" t="s">
        <v>23</v>
      </c>
      <c r="N1937" t="str">
        <f>_xlfn.XLOOKUP(B1937,tblCustomers[customer_id],tblCustomers[region],"Missing")</f>
        <v>South</v>
      </c>
      <c r="O1937" t="str">
        <f>_xlfn.XLOOKUP(C1937,tblProducts[product_id],tblProducts[product_name],"Missing")</f>
        <v>Security Suite</v>
      </c>
      <c r="P1937" t="str">
        <f>_xlfn.XLOOKUP(C1937,tblProducts[product_id],tblProducts[category],"Missing")</f>
        <v>Security</v>
      </c>
      <c r="Q1937" t="str">
        <f>_xlfn.XLOOKUP(D1937,tblSalesReps[rep_id],tblSalesReps[rep_name],"Missing")</f>
        <v>Sales Rep 03</v>
      </c>
      <c r="R1937" t="str">
        <f>_xlfn.XLOOKUP(D1937,tblSalesReps[rep_id],tblSalesReps[region],"Missing")</f>
        <v>South</v>
      </c>
    </row>
    <row r="1938" spans="1:18">
      <c r="A1938" t="s">
        <v>2473</v>
      </c>
      <c r="B1938" t="s">
        <v>644</v>
      </c>
      <c r="C1938" t="s">
        <v>15</v>
      </c>
      <c r="D1938" t="s">
        <v>78</v>
      </c>
      <c r="E1938" s="1">
        <v>45665</v>
      </c>
      <c r="F1938" s="1">
        <v>45742</v>
      </c>
      <c r="G1938" s="1"/>
      <c r="H1938" t="s">
        <v>43</v>
      </c>
      <c r="I1938">
        <v>3</v>
      </c>
      <c r="J1938">
        <v>20</v>
      </c>
      <c r="K1938">
        <v>1008000</v>
      </c>
      <c r="L1938">
        <v>20</v>
      </c>
      <c r="M1938" t="s">
        <v>29</v>
      </c>
      <c r="N1938" t="str">
        <f>_xlfn.XLOOKUP(B1938,tblCustomers[customer_id],tblCustomers[region],"Missing")</f>
        <v>West</v>
      </c>
      <c r="O1938" t="str">
        <f>_xlfn.XLOOKUP(C1938,tblProducts[product_id],tblProducts[product_name],"Missing")</f>
        <v>CRM Enterprise</v>
      </c>
      <c r="P1938" t="str">
        <f>_xlfn.XLOOKUP(C1938,tblProducts[product_id],tblProducts[category],"Missing")</f>
        <v>CRM</v>
      </c>
      <c r="Q1938" t="str">
        <f>_xlfn.XLOOKUP(D1938,tblSalesReps[rep_id],tblSalesReps[rep_name],"Missing")</f>
        <v>Sales Rep 12</v>
      </c>
      <c r="R1938" t="str">
        <f>_xlfn.XLOOKUP(D1938,tblSalesReps[rep_id],tblSalesReps[region],"Missing")</f>
        <v>West</v>
      </c>
    </row>
    <row r="1939" spans="1:18">
      <c r="A1939" t="s">
        <v>2474</v>
      </c>
      <c r="B1939" t="s">
        <v>792</v>
      </c>
      <c r="C1939" t="s">
        <v>26</v>
      </c>
      <c r="D1939" t="s">
        <v>50</v>
      </c>
      <c r="E1939" s="1">
        <v>45874</v>
      </c>
      <c r="F1939" s="1">
        <v>45925</v>
      </c>
      <c r="G1939" s="1">
        <v>45925</v>
      </c>
      <c r="H1939" t="s">
        <v>17</v>
      </c>
      <c r="I1939">
        <v>3</v>
      </c>
      <c r="J1939">
        <v>15</v>
      </c>
      <c r="K1939">
        <v>918000</v>
      </c>
      <c r="L1939">
        <v>0</v>
      </c>
      <c r="M1939" t="s">
        <v>18</v>
      </c>
      <c r="N1939" t="str">
        <f>_xlfn.XLOOKUP(B1939,tblCustomers[customer_id],tblCustomers[region],"Missing")</f>
        <v>West</v>
      </c>
      <c r="O1939" t="str">
        <f>_xlfn.XLOOKUP(C1939,tblProducts[product_id],tblProducts[product_name],"Missing")</f>
        <v>Security Suite</v>
      </c>
      <c r="P1939" t="str">
        <f>_xlfn.XLOOKUP(C1939,tblProducts[product_id],tblProducts[category],"Missing")</f>
        <v>Security</v>
      </c>
      <c r="Q1939" t="str">
        <f>_xlfn.XLOOKUP(D1939,tblSalesReps[rep_id],tblSalesReps[rep_name],"Missing")</f>
        <v>Sales Rep 15</v>
      </c>
      <c r="R1939" t="str">
        <f>_xlfn.XLOOKUP(D1939,tblSalesReps[rep_id],tblSalesReps[region],"Missing")</f>
        <v>West</v>
      </c>
    </row>
    <row r="1940" spans="1:18">
      <c r="A1940" t="s">
        <v>2475</v>
      </c>
      <c r="B1940" t="s">
        <v>533</v>
      </c>
      <c r="C1940" t="s">
        <v>15</v>
      </c>
      <c r="D1940" t="s">
        <v>36</v>
      </c>
      <c r="E1940" s="1">
        <v>45869</v>
      </c>
      <c r="F1940" s="1">
        <v>45926</v>
      </c>
      <c r="G1940" s="1">
        <v>45926</v>
      </c>
      <c r="H1940" t="s">
        <v>17</v>
      </c>
      <c r="I1940">
        <v>1</v>
      </c>
      <c r="J1940">
        <v>15</v>
      </c>
      <c r="K1940">
        <v>357000</v>
      </c>
      <c r="L1940">
        <v>0</v>
      </c>
      <c r="M1940" t="s">
        <v>33</v>
      </c>
      <c r="N1940" t="str">
        <f>_xlfn.XLOOKUP(B1940,tblCustomers[customer_id],tblCustomers[region],"Missing")</f>
        <v>North</v>
      </c>
      <c r="O1940" t="str">
        <f>_xlfn.XLOOKUP(C1940,tblProducts[product_id],tblProducts[product_name],"Missing")</f>
        <v>CRM Enterprise</v>
      </c>
      <c r="P1940" t="str">
        <f>_xlfn.XLOOKUP(C1940,tblProducts[product_id],tblProducts[category],"Missing")</f>
        <v>CRM</v>
      </c>
      <c r="Q1940" t="str">
        <f>_xlfn.XLOOKUP(D1940,tblSalesReps[rep_id],tblSalesReps[rep_name],"Missing")</f>
        <v>Sales Rep 09</v>
      </c>
      <c r="R1940" t="str">
        <f>_xlfn.XLOOKUP(D1940,tblSalesReps[rep_id],tblSalesReps[region],"Missing")</f>
        <v>North</v>
      </c>
    </row>
    <row r="1941" spans="1:18">
      <c r="A1941" t="s">
        <v>2476</v>
      </c>
      <c r="B1941" t="s">
        <v>1821</v>
      </c>
      <c r="C1941" t="s">
        <v>62</v>
      </c>
      <c r="D1941" t="s">
        <v>152</v>
      </c>
      <c r="E1941" s="1">
        <v>45863</v>
      </c>
      <c r="F1941" s="1">
        <v>45932</v>
      </c>
      <c r="G1941" s="1">
        <v>45932</v>
      </c>
      <c r="H1941" t="s">
        <v>28</v>
      </c>
      <c r="I1941">
        <v>2</v>
      </c>
      <c r="J1941">
        <v>10</v>
      </c>
      <c r="K1941">
        <v>216000</v>
      </c>
      <c r="L1941">
        <v>100</v>
      </c>
      <c r="M1941" t="s">
        <v>29</v>
      </c>
      <c r="N1941" t="str">
        <f>_xlfn.XLOOKUP(B1941,tblCustomers[customer_id],tblCustomers[region],"Missing")</f>
        <v>East</v>
      </c>
      <c r="O1941" t="str">
        <f>_xlfn.XLOOKUP(C1941,tblProducts[product_id],tblProducts[product_name],"Missing")</f>
        <v>CRM Essentials</v>
      </c>
      <c r="P1941" t="str">
        <f>_xlfn.XLOOKUP(C1941,tblProducts[product_id],tblProducts[category],"Missing")</f>
        <v>CRM</v>
      </c>
      <c r="Q1941" t="str">
        <f>_xlfn.XLOOKUP(D1941,tblSalesReps[rep_id],tblSalesReps[rep_name],"Missing")</f>
        <v>Sales Rep 18</v>
      </c>
      <c r="R1941" t="str">
        <f>_xlfn.XLOOKUP(D1941,tblSalesReps[rep_id],tblSalesReps[region],"Missing")</f>
        <v>East</v>
      </c>
    </row>
    <row r="1942" spans="1:18">
      <c r="A1942" t="s">
        <v>2477</v>
      </c>
      <c r="B1942" t="s">
        <v>587</v>
      </c>
      <c r="C1942" t="s">
        <v>26</v>
      </c>
      <c r="D1942" t="s">
        <v>63</v>
      </c>
      <c r="E1942" s="1">
        <v>46002</v>
      </c>
      <c r="F1942" s="1">
        <v>46062</v>
      </c>
      <c r="G1942" s="1"/>
      <c r="H1942" t="s">
        <v>43</v>
      </c>
      <c r="I1942">
        <v>3</v>
      </c>
      <c r="J1942">
        <v>20</v>
      </c>
      <c r="K1942">
        <v>864000</v>
      </c>
      <c r="L1942">
        <v>60</v>
      </c>
      <c r="M1942" t="s">
        <v>29</v>
      </c>
      <c r="N1942" t="str">
        <f>_xlfn.XLOOKUP(B1942,tblCustomers[customer_id],tblCustomers[region],"Missing")</f>
        <v>South</v>
      </c>
      <c r="O1942" t="str">
        <f>_xlfn.XLOOKUP(C1942,tblProducts[product_id],tblProducts[product_name],"Missing")</f>
        <v>Security Suite</v>
      </c>
      <c r="P1942" t="str">
        <f>_xlfn.XLOOKUP(C1942,tblProducts[product_id],tblProducts[category],"Missing")</f>
        <v>Security</v>
      </c>
      <c r="Q1942" t="str">
        <f>_xlfn.XLOOKUP(D1942,tblSalesReps[rep_id],tblSalesReps[rep_name],"Missing")</f>
        <v>Sales Rep 05</v>
      </c>
      <c r="R1942" t="str">
        <f>_xlfn.XLOOKUP(D1942,tblSalesReps[rep_id],tblSalesReps[region],"Missing")</f>
        <v>South</v>
      </c>
    </row>
    <row r="1943" spans="1:18">
      <c r="A1943" t="s">
        <v>2478</v>
      </c>
      <c r="B1943" t="s">
        <v>578</v>
      </c>
      <c r="C1943" t="s">
        <v>62</v>
      </c>
      <c r="D1943" t="s">
        <v>50</v>
      </c>
      <c r="E1943" s="1">
        <v>45887</v>
      </c>
      <c r="F1943" s="1">
        <v>45968</v>
      </c>
      <c r="G1943" s="1">
        <v>45968</v>
      </c>
      <c r="H1943" t="s">
        <v>17</v>
      </c>
      <c r="I1943">
        <v>2</v>
      </c>
      <c r="J1943">
        <v>20</v>
      </c>
      <c r="K1943">
        <v>192000</v>
      </c>
      <c r="L1943">
        <v>0</v>
      </c>
      <c r="M1943" t="s">
        <v>47</v>
      </c>
      <c r="N1943" t="str">
        <f>_xlfn.XLOOKUP(B1943,tblCustomers[customer_id],tblCustomers[region],"Missing")</f>
        <v>West</v>
      </c>
      <c r="O1943" t="str">
        <f>_xlfn.XLOOKUP(C1943,tblProducts[product_id],tblProducts[product_name],"Missing")</f>
        <v>CRM Essentials</v>
      </c>
      <c r="P1943" t="str">
        <f>_xlfn.XLOOKUP(C1943,tblProducts[product_id],tblProducts[category],"Missing")</f>
        <v>CRM</v>
      </c>
      <c r="Q1943" t="str">
        <f>_xlfn.XLOOKUP(D1943,tblSalesReps[rep_id],tblSalesReps[rep_name],"Missing")</f>
        <v>Sales Rep 15</v>
      </c>
      <c r="R1943" t="str">
        <f>_xlfn.XLOOKUP(D1943,tblSalesReps[rep_id],tblSalesReps[region],"Missing")</f>
        <v>West</v>
      </c>
    </row>
    <row r="1944" spans="1:18">
      <c r="A1944" t="s">
        <v>2479</v>
      </c>
      <c r="B1944" t="s">
        <v>383</v>
      </c>
      <c r="C1944" t="s">
        <v>21</v>
      </c>
      <c r="D1944" t="s">
        <v>78</v>
      </c>
      <c r="E1944" s="1">
        <v>45882</v>
      </c>
      <c r="F1944" s="1">
        <v>45923</v>
      </c>
      <c r="G1944" s="1">
        <v>45923</v>
      </c>
      <c r="H1944" t="s">
        <v>17</v>
      </c>
      <c r="I1944">
        <v>2</v>
      </c>
      <c r="J1944">
        <v>0</v>
      </c>
      <c r="K1944">
        <v>480000</v>
      </c>
      <c r="L1944">
        <v>0</v>
      </c>
      <c r="M1944" t="s">
        <v>23</v>
      </c>
      <c r="N1944" t="str">
        <f>_xlfn.XLOOKUP(B1944,tblCustomers[customer_id],tblCustomers[region],"Missing")</f>
        <v>West</v>
      </c>
      <c r="O1944" t="str">
        <f>_xlfn.XLOOKUP(C1944,tblProducts[product_id],tblProducts[product_name],"Missing")</f>
        <v>Workflow Automate</v>
      </c>
      <c r="P1944" t="str">
        <f>_xlfn.XLOOKUP(C1944,tblProducts[product_id],tblProducts[category],"Missing")</f>
        <v>Automation</v>
      </c>
      <c r="Q1944" t="str">
        <f>_xlfn.XLOOKUP(D1944,tblSalesReps[rep_id],tblSalesReps[rep_name],"Missing")</f>
        <v>Sales Rep 12</v>
      </c>
      <c r="R1944" t="str">
        <f>_xlfn.XLOOKUP(D1944,tblSalesReps[rep_id],tblSalesReps[region],"Missing")</f>
        <v>West</v>
      </c>
    </row>
    <row r="1945" spans="1:18">
      <c r="A1945" t="s">
        <v>2480</v>
      </c>
      <c r="B1945" t="s">
        <v>912</v>
      </c>
      <c r="C1945" t="s">
        <v>62</v>
      </c>
      <c r="D1945" t="s">
        <v>75</v>
      </c>
      <c r="E1945" s="1">
        <v>46000</v>
      </c>
      <c r="F1945" s="1">
        <v>46027</v>
      </c>
      <c r="G1945" s="1"/>
      <c r="H1945" t="s">
        <v>43</v>
      </c>
      <c r="I1945">
        <v>2</v>
      </c>
      <c r="J1945">
        <v>5</v>
      </c>
      <c r="K1945">
        <v>228000</v>
      </c>
      <c r="L1945">
        <v>60</v>
      </c>
      <c r="M1945" t="s">
        <v>29</v>
      </c>
      <c r="N1945" t="str">
        <f>_xlfn.XLOOKUP(B1945,tblCustomers[customer_id],tblCustomers[region],"Missing")</f>
        <v>North</v>
      </c>
      <c r="O1945" t="str">
        <f>_xlfn.XLOOKUP(C1945,tblProducts[product_id],tblProducts[product_name],"Missing")</f>
        <v>CRM Essentials</v>
      </c>
      <c r="P1945" t="str">
        <f>_xlfn.XLOOKUP(C1945,tblProducts[product_id],tblProducts[category],"Missing")</f>
        <v>CRM</v>
      </c>
      <c r="Q1945" t="str">
        <f>_xlfn.XLOOKUP(D1945,tblSalesReps[rep_id],tblSalesReps[rep_name],"Missing")</f>
        <v>Sales Rep 07</v>
      </c>
      <c r="R1945" t="str">
        <f>_xlfn.XLOOKUP(D1945,tblSalesReps[rep_id],tblSalesReps[region],"Missing")</f>
        <v>North</v>
      </c>
    </row>
    <row r="1946" spans="1:18">
      <c r="A1946" t="s">
        <v>2481</v>
      </c>
      <c r="B1946" t="s">
        <v>164</v>
      </c>
      <c r="C1946" t="s">
        <v>39</v>
      </c>
      <c r="D1946" t="s">
        <v>16</v>
      </c>
      <c r="E1946" s="1">
        <v>45958</v>
      </c>
      <c r="F1946" s="1">
        <v>45994</v>
      </c>
      <c r="G1946" s="1">
        <v>45994</v>
      </c>
      <c r="H1946" t="s">
        <v>28</v>
      </c>
      <c r="I1946">
        <v>1</v>
      </c>
      <c r="J1946">
        <v>10</v>
      </c>
      <c r="K1946">
        <v>162000</v>
      </c>
      <c r="L1946">
        <v>100</v>
      </c>
      <c r="M1946" t="s">
        <v>29</v>
      </c>
      <c r="N1946" t="str">
        <f>_xlfn.XLOOKUP(B1946,tblCustomers[customer_id],tblCustomers[region],"Missing")</f>
        <v>North</v>
      </c>
      <c r="O1946" t="str">
        <f>_xlfn.XLOOKUP(C1946,tblProducts[product_id],tblProducts[product_name],"Missing")</f>
        <v>Support Desk</v>
      </c>
      <c r="P1946" t="str">
        <f>_xlfn.XLOOKUP(C1946,tblProducts[product_id],tblProducts[category],"Missing")</f>
        <v>Service</v>
      </c>
      <c r="Q1946" t="str">
        <f>_xlfn.XLOOKUP(D1946,tblSalesReps[rep_id],tblSalesReps[rep_name],"Missing")</f>
        <v>Sales Rep 08</v>
      </c>
      <c r="R1946" t="str">
        <f>_xlfn.XLOOKUP(D1946,tblSalesReps[rep_id],tblSalesReps[region],"Missing")</f>
        <v>North</v>
      </c>
    </row>
    <row r="1947" spans="1:18">
      <c r="A1947" t="s">
        <v>2482</v>
      </c>
      <c r="B1947" t="s">
        <v>137</v>
      </c>
      <c r="C1947" t="s">
        <v>39</v>
      </c>
      <c r="D1947" t="s">
        <v>27</v>
      </c>
      <c r="E1947" s="1">
        <v>46015</v>
      </c>
      <c r="F1947" s="1">
        <v>46025</v>
      </c>
      <c r="G1947" s="1"/>
      <c r="H1947" t="s">
        <v>43</v>
      </c>
      <c r="I1947">
        <v>1</v>
      </c>
      <c r="J1947">
        <v>10</v>
      </c>
      <c r="K1947">
        <v>162000</v>
      </c>
      <c r="L1947">
        <v>20</v>
      </c>
      <c r="M1947" t="s">
        <v>29</v>
      </c>
      <c r="N1947" t="str">
        <f>_xlfn.XLOOKUP(B1947,tblCustomers[customer_id],tblCustomers[region],"Missing")</f>
        <v>North</v>
      </c>
      <c r="O1947" t="str">
        <f>_xlfn.XLOOKUP(C1947,tblProducts[product_id],tblProducts[product_name],"Missing")</f>
        <v>Support Desk</v>
      </c>
      <c r="P1947" t="str">
        <f>_xlfn.XLOOKUP(C1947,tblProducts[product_id],tblProducts[category],"Missing")</f>
        <v>Service</v>
      </c>
      <c r="Q1947" t="str">
        <f>_xlfn.XLOOKUP(D1947,tblSalesReps[rep_id],tblSalesReps[rep_name],"Missing")</f>
        <v>Sales Rep 06</v>
      </c>
      <c r="R1947" t="str">
        <f>_xlfn.XLOOKUP(D1947,tblSalesReps[rep_id],tblSalesReps[region],"Missing")</f>
        <v>North</v>
      </c>
    </row>
    <row r="1948" spans="1:18">
      <c r="A1948" t="s">
        <v>2483</v>
      </c>
      <c r="B1948" t="s">
        <v>86</v>
      </c>
      <c r="C1948" t="s">
        <v>39</v>
      </c>
      <c r="D1948" t="s">
        <v>40</v>
      </c>
      <c r="E1948" s="1">
        <v>45973</v>
      </c>
      <c r="F1948" s="1">
        <v>46057</v>
      </c>
      <c r="G1948" s="1"/>
      <c r="H1948" t="s">
        <v>43</v>
      </c>
      <c r="I1948">
        <v>2</v>
      </c>
      <c r="J1948">
        <v>15</v>
      </c>
      <c r="K1948">
        <v>306000</v>
      </c>
      <c r="L1948">
        <v>20</v>
      </c>
      <c r="M1948" t="s">
        <v>29</v>
      </c>
      <c r="N1948" t="str">
        <f>_xlfn.XLOOKUP(B1948,tblCustomers[customer_id],tblCustomers[region],"Missing")</f>
        <v>West</v>
      </c>
      <c r="O1948" t="str">
        <f>_xlfn.XLOOKUP(C1948,tblProducts[product_id],tblProducts[product_name],"Missing")</f>
        <v>Support Desk</v>
      </c>
      <c r="P1948" t="str">
        <f>_xlfn.XLOOKUP(C1948,tblProducts[product_id],tblProducts[category],"Missing")</f>
        <v>Service</v>
      </c>
      <c r="Q1948" t="str">
        <f>_xlfn.XLOOKUP(D1948,tblSalesReps[rep_id],tblSalesReps[rep_name],"Missing")</f>
        <v>Sales Rep 13</v>
      </c>
      <c r="R1948" t="str">
        <f>_xlfn.XLOOKUP(D1948,tblSalesReps[rep_id],tblSalesReps[region],"Missing")</f>
        <v>West</v>
      </c>
    </row>
    <row r="1949" spans="1:18">
      <c r="A1949" t="s">
        <v>2484</v>
      </c>
      <c r="B1949" t="s">
        <v>243</v>
      </c>
      <c r="C1949" t="s">
        <v>39</v>
      </c>
      <c r="D1949" t="s">
        <v>27</v>
      </c>
      <c r="E1949" s="1">
        <v>45996</v>
      </c>
      <c r="F1949" s="1">
        <v>46042</v>
      </c>
      <c r="G1949" s="1"/>
      <c r="H1949" t="s">
        <v>43</v>
      </c>
      <c r="I1949">
        <v>1</v>
      </c>
      <c r="J1949">
        <v>5</v>
      </c>
      <c r="K1949">
        <v>171000</v>
      </c>
      <c r="L1949">
        <v>80</v>
      </c>
      <c r="M1949" t="s">
        <v>29</v>
      </c>
      <c r="N1949" t="str">
        <f>_xlfn.XLOOKUP(B1949,tblCustomers[customer_id],tblCustomers[region],"Missing")</f>
        <v>North</v>
      </c>
      <c r="O1949" t="str">
        <f>_xlfn.XLOOKUP(C1949,tblProducts[product_id],tblProducts[product_name],"Missing")</f>
        <v>Support Desk</v>
      </c>
      <c r="P1949" t="str">
        <f>_xlfn.XLOOKUP(C1949,tblProducts[product_id],tblProducts[category],"Missing")</f>
        <v>Service</v>
      </c>
      <c r="Q1949" t="str">
        <f>_xlfn.XLOOKUP(D1949,tblSalesReps[rep_id],tblSalesReps[rep_name],"Missing")</f>
        <v>Sales Rep 06</v>
      </c>
      <c r="R1949" t="str">
        <f>_xlfn.XLOOKUP(D1949,tblSalesReps[rep_id],tblSalesReps[region],"Missing")</f>
        <v>North</v>
      </c>
    </row>
    <row r="1950" spans="1:18">
      <c r="A1950" t="s">
        <v>2485</v>
      </c>
      <c r="B1950" t="s">
        <v>439</v>
      </c>
      <c r="C1950" t="s">
        <v>21</v>
      </c>
      <c r="D1950" t="s">
        <v>40</v>
      </c>
      <c r="E1950" s="1">
        <v>45914</v>
      </c>
      <c r="F1950" s="1">
        <v>45936</v>
      </c>
      <c r="G1950" s="1">
        <v>45936</v>
      </c>
      <c r="H1950" t="s">
        <v>17</v>
      </c>
      <c r="I1950">
        <v>3</v>
      </c>
      <c r="J1950">
        <v>5</v>
      </c>
      <c r="K1950">
        <v>684000</v>
      </c>
      <c r="L1950">
        <v>0</v>
      </c>
      <c r="M1950" t="s">
        <v>33</v>
      </c>
      <c r="N1950" t="str">
        <f>_xlfn.XLOOKUP(B1950,tblCustomers[customer_id],tblCustomers[region],"Missing")</f>
        <v>West</v>
      </c>
      <c r="O1950" t="str">
        <f>_xlfn.XLOOKUP(C1950,tblProducts[product_id],tblProducts[product_name],"Missing")</f>
        <v>Workflow Automate</v>
      </c>
      <c r="P1950" t="str">
        <f>_xlfn.XLOOKUP(C1950,tblProducts[product_id],tblProducts[category],"Missing")</f>
        <v>Automation</v>
      </c>
      <c r="Q1950" t="str">
        <f>_xlfn.XLOOKUP(D1950,tblSalesReps[rep_id],tblSalesReps[rep_name],"Missing")</f>
        <v>Sales Rep 13</v>
      </c>
      <c r="R1950" t="str">
        <f>_xlfn.XLOOKUP(D1950,tblSalesReps[rep_id],tblSalesReps[region],"Missing")</f>
        <v>West</v>
      </c>
    </row>
    <row r="1951" spans="1:18">
      <c r="A1951" t="s">
        <v>2486</v>
      </c>
      <c r="B1951" t="s">
        <v>994</v>
      </c>
      <c r="C1951" t="s">
        <v>15</v>
      </c>
      <c r="D1951" t="s">
        <v>36</v>
      </c>
      <c r="E1951" s="1">
        <v>45764</v>
      </c>
      <c r="F1951" s="1">
        <v>45844</v>
      </c>
      <c r="G1951" s="1">
        <v>45844</v>
      </c>
      <c r="H1951" t="s">
        <v>17</v>
      </c>
      <c r="I1951">
        <v>1</v>
      </c>
      <c r="J1951">
        <v>0</v>
      </c>
      <c r="K1951">
        <v>420000</v>
      </c>
      <c r="L1951">
        <v>0</v>
      </c>
      <c r="M1951" t="s">
        <v>47</v>
      </c>
      <c r="N1951" t="str">
        <f>_xlfn.XLOOKUP(B1951,tblCustomers[customer_id],tblCustomers[region],"Missing")</f>
        <v>North</v>
      </c>
      <c r="O1951" t="str">
        <f>_xlfn.XLOOKUP(C1951,tblProducts[product_id],tblProducts[product_name],"Missing")</f>
        <v>CRM Enterprise</v>
      </c>
      <c r="P1951" t="str">
        <f>_xlfn.XLOOKUP(C1951,tblProducts[product_id],tblProducts[category],"Missing")</f>
        <v>CRM</v>
      </c>
      <c r="Q1951" t="str">
        <f>_xlfn.XLOOKUP(D1951,tblSalesReps[rep_id],tblSalesReps[rep_name],"Missing")</f>
        <v>Sales Rep 09</v>
      </c>
      <c r="R1951" t="str">
        <f>_xlfn.XLOOKUP(D1951,tblSalesReps[rep_id],tblSalesReps[region],"Missing")</f>
        <v>North</v>
      </c>
    </row>
    <row r="1952" spans="1:18">
      <c r="A1952" t="s">
        <v>2487</v>
      </c>
      <c r="B1952" t="s">
        <v>2488</v>
      </c>
      <c r="C1952" t="s">
        <v>81</v>
      </c>
      <c r="D1952" t="s">
        <v>70</v>
      </c>
      <c r="E1952" s="1">
        <v>45766</v>
      </c>
      <c r="F1952" s="1">
        <v>45790</v>
      </c>
      <c r="G1952" s="1"/>
      <c r="H1952" t="s">
        <v>43</v>
      </c>
      <c r="I1952">
        <v>1</v>
      </c>
      <c r="J1952">
        <v>10</v>
      </c>
      <c r="K1952">
        <v>270000</v>
      </c>
      <c r="L1952">
        <v>60</v>
      </c>
      <c r="M1952" t="s">
        <v>29</v>
      </c>
      <c r="N1952" t="str">
        <f>_xlfn.XLOOKUP(B1952,tblCustomers[customer_id],tblCustomers[region],"Missing")</f>
        <v>West</v>
      </c>
      <c r="O1952" t="str">
        <f>_xlfn.XLOOKUP(C1952,tblProducts[product_id],tblProducts[product_name],"Missing")</f>
        <v>Analytics Cloud</v>
      </c>
      <c r="P1952" t="str">
        <f>_xlfn.XLOOKUP(C1952,tblProducts[product_id],tblProducts[category],"Missing")</f>
        <v>Analytics</v>
      </c>
      <c r="Q1952" t="str">
        <f>_xlfn.XLOOKUP(D1952,tblSalesReps[rep_id],tblSalesReps[rep_name],"Missing")</f>
        <v>Sales Rep 11</v>
      </c>
      <c r="R1952" t="str">
        <f>_xlfn.XLOOKUP(D1952,tblSalesReps[rep_id],tblSalesReps[region],"Missing")</f>
        <v>West</v>
      </c>
    </row>
    <row r="1953" spans="1:18">
      <c r="A1953" t="s">
        <v>2489</v>
      </c>
      <c r="B1953" t="s">
        <v>1065</v>
      </c>
      <c r="C1953" t="s">
        <v>81</v>
      </c>
      <c r="D1953" t="s">
        <v>59</v>
      </c>
      <c r="E1953" s="1">
        <v>45661</v>
      </c>
      <c r="F1953" s="1">
        <v>45721</v>
      </c>
      <c r="G1953" s="1">
        <v>45721</v>
      </c>
      <c r="H1953" t="s">
        <v>28</v>
      </c>
      <c r="I1953">
        <v>3</v>
      </c>
      <c r="J1953">
        <v>20</v>
      </c>
      <c r="K1953">
        <v>720000</v>
      </c>
      <c r="L1953">
        <v>100</v>
      </c>
      <c r="M1953" t="s">
        <v>29</v>
      </c>
      <c r="N1953" t="str">
        <f>_xlfn.XLOOKUP(B1953,tblCustomers[customer_id],tblCustomers[region],"Missing")</f>
        <v>East</v>
      </c>
      <c r="O1953" t="str">
        <f>_xlfn.XLOOKUP(C1953,tblProducts[product_id],tblProducts[product_name],"Missing")</f>
        <v>Analytics Cloud</v>
      </c>
      <c r="P1953" t="str">
        <f>_xlfn.XLOOKUP(C1953,tblProducts[product_id],tblProducts[category],"Missing")</f>
        <v>Analytics</v>
      </c>
      <c r="Q1953" t="str">
        <f>_xlfn.XLOOKUP(D1953,tblSalesReps[rep_id],tblSalesReps[rep_name],"Missing")</f>
        <v>Sales Rep 19</v>
      </c>
      <c r="R1953" t="str">
        <f>_xlfn.XLOOKUP(D1953,tblSalesReps[rep_id],tblSalesReps[region],"Missing")</f>
        <v>East</v>
      </c>
    </row>
    <row r="1954" spans="1:18">
      <c r="A1954" t="s">
        <v>2490</v>
      </c>
      <c r="B1954" t="s">
        <v>141</v>
      </c>
      <c r="C1954" t="s">
        <v>26</v>
      </c>
      <c r="D1954" t="s">
        <v>36</v>
      </c>
      <c r="E1954" s="1">
        <v>45909</v>
      </c>
      <c r="F1954" s="1">
        <v>45973</v>
      </c>
      <c r="G1954" s="1"/>
      <c r="H1954" t="s">
        <v>43</v>
      </c>
      <c r="I1954">
        <v>2</v>
      </c>
      <c r="J1954">
        <v>10</v>
      </c>
      <c r="K1954">
        <v>648000</v>
      </c>
      <c r="L1954">
        <v>80</v>
      </c>
      <c r="M1954" t="s">
        <v>29</v>
      </c>
      <c r="N1954" t="str">
        <f>_xlfn.XLOOKUP(B1954,tblCustomers[customer_id],tblCustomers[region],"Missing")</f>
        <v>North</v>
      </c>
      <c r="O1954" t="str">
        <f>_xlfn.XLOOKUP(C1954,tblProducts[product_id],tblProducts[product_name],"Missing")</f>
        <v>Security Suite</v>
      </c>
      <c r="P1954" t="str">
        <f>_xlfn.XLOOKUP(C1954,tblProducts[product_id],tblProducts[category],"Missing")</f>
        <v>Security</v>
      </c>
      <c r="Q1954" t="str">
        <f>_xlfn.XLOOKUP(D1954,tblSalesReps[rep_id],tblSalesReps[rep_name],"Missing")</f>
        <v>Sales Rep 09</v>
      </c>
      <c r="R1954" t="str">
        <f>_xlfn.XLOOKUP(D1954,tblSalesReps[rep_id],tblSalesReps[region],"Missing")</f>
        <v>North</v>
      </c>
    </row>
    <row r="1955" spans="1:18">
      <c r="A1955" t="s">
        <v>2491</v>
      </c>
      <c r="B1955" t="s">
        <v>1983</v>
      </c>
      <c r="C1955" t="s">
        <v>21</v>
      </c>
      <c r="D1955" t="s">
        <v>152</v>
      </c>
      <c r="E1955" s="1">
        <v>45752</v>
      </c>
      <c r="F1955" s="1">
        <v>45805</v>
      </c>
      <c r="G1955" s="1">
        <v>45805</v>
      </c>
      <c r="H1955" t="s">
        <v>28</v>
      </c>
      <c r="I1955">
        <v>1</v>
      </c>
      <c r="J1955">
        <v>10</v>
      </c>
      <c r="K1955">
        <v>216000</v>
      </c>
      <c r="L1955">
        <v>100</v>
      </c>
      <c r="M1955" t="s">
        <v>29</v>
      </c>
      <c r="N1955" t="str">
        <f>_xlfn.XLOOKUP(B1955,tblCustomers[customer_id],tblCustomers[region],"Missing")</f>
        <v>East</v>
      </c>
      <c r="O1955" t="str">
        <f>_xlfn.XLOOKUP(C1955,tblProducts[product_id],tblProducts[product_name],"Missing")</f>
        <v>Workflow Automate</v>
      </c>
      <c r="P1955" t="str">
        <f>_xlfn.XLOOKUP(C1955,tblProducts[product_id],tblProducts[category],"Missing")</f>
        <v>Automation</v>
      </c>
      <c r="Q1955" t="str">
        <f>_xlfn.XLOOKUP(D1955,tblSalesReps[rep_id],tblSalesReps[rep_name],"Missing")</f>
        <v>Sales Rep 18</v>
      </c>
      <c r="R1955" t="str">
        <f>_xlfn.XLOOKUP(D1955,tblSalesReps[rep_id],tblSalesReps[region],"Missing")</f>
        <v>East</v>
      </c>
    </row>
    <row r="1956" spans="1:18">
      <c r="A1956" t="s">
        <v>2492</v>
      </c>
      <c r="B1956" t="s">
        <v>920</v>
      </c>
      <c r="C1956" t="s">
        <v>15</v>
      </c>
      <c r="D1956" t="s">
        <v>78</v>
      </c>
      <c r="E1956" s="1">
        <v>45660</v>
      </c>
      <c r="F1956" s="1">
        <v>45737</v>
      </c>
      <c r="G1956" s="1">
        <v>45737</v>
      </c>
      <c r="H1956" t="s">
        <v>17</v>
      </c>
      <c r="I1956">
        <v>1</v>
      </c>
      <c r="J1956">
        <v>0</v>
      </c>
      <c r="K1956">
        <v>420000</v>
      </c>
      <c r="L1956">
        <v>0</v>
      </c>
      <c r="M1956" t="s">
        <v>33</v>
      </c>
      <c r="N1956" t="str">
        <f>_xlfn.XLOOKUP(B1956,tblCustomers[customer_id],tblCustomers[region],"Missing")</f>
        <v>West</v>
      </c>
      <c r="O1956" t="str">
        <f>_xlfn.XLOOKUP(C1956,tblProducts[product_id],tblProducts[product_name],"Missing")</f>
        <v>CRM Enterprise</v>
      </c>
      <c r="P1956" t="str">
        <f>_xlfn.XLOOKUP(C1956,tblProducts[product_id],tblProducts[category],"Missing")</f>
        <v>CRM</v>
      </c>
      <c r="Q1956" t="str">
        <f>_xlfn.XLOOKUP(D1956,tblSalesReps[rep_id],tblSalesReps[rep_name],"Missing")</f>
        <v>Sales Rep 12</v>
      </c>
      <c r="R1956" t="str">
        <f>_xlfn.XLOOKUP(D1956,tblSalesReps[rep_id],tblSalesReps[region],"Missing")</f>
        <v>West</v>
      </c>
    </row>
    <row r="1957" spans="1:18">
      <c r="A1957" t="s">
        <v>2493</v>
      </c>
      <c r="B1957" t="s">
        <v>456</v>
      </c>
      <c r="C1957" t="s">
        <v>81</v>
      </c>
      <c r="D1957" t="s">
        <v>78</v>
      </c>
      <c r="E1957" s="1">
        <v>45814</v>
      </c>
      <c r="F1957" s="1">
        <v>45876</v>
      </c>
      <c r="G1957" s="1">
        <v>45876</v>
      </c>
      <c r="H1957" t="s">
        <v>17</v>
      </c>
      <c r="I1957">
        <v>1</v>
      </c>
      <c r="J1957">
        <v>20</v>
      </c>
      <c r="K1957">
        <v>240000</v>
      </c>
      <c r="L1957">
        <v>0</v>
      </c>
      <c r="M1957" t="s">
        <v>47</v>
      </c>
      <c r="N1957" t="str">
        <f>_xlfn.XLOOKUP(B1957,tblCustomers[customer_id],tblCustomers[region],"Missing")</f>
        <v>West</v>
      </c>
      <c r="O1957" t="str">
        <f>_xlfn.XLOOKUP(C1957,tblProducts[product_id],tblProducts[product_name],"Missing")</f>
        <v>Analytics Cloud</v>
      </c>
      <c r="P1957" t="str">
        <f>_xlfn.XLOOKUP(C1957,tblProducts[product_id],tblProducts[category],"Missing")</f>
        <v>Analytics</v>
      </c>
      <c r="Q1957" t="str">
        <f>_xlfn.XLOOKUP(D1957,tblSalesReps[rep_id],tblSalesReps[rep_name],"Missing")</f>
        <v>Sales Rep 12</v>
      </c>
      <c r="R1957" t="str">
        <f>_xlfn.XLOOKUP(D1957,tblSalesReps[rep_id],tblSalesReps[region],"Missing")</f>
        <v>West</v>
      </c>
    </row>
    <row r="1958" spans="1:18">
      <c r="A1958" t="s">
        <v>2494</v>
      </c>
      <c r="B1958" t="s">
        <v>1287</v>
      </c>
      <c r="C1958" t="s">
        <v>39</v>
      </c>
      <c r="D1958" t="s">
        <v>75</v>
      </c>
      <c r="E1958" s="1">
        <v>45781</v>
      </c>
      <c r="F1958" s="1">
        <v>45798</v>
      </c>
      <c r="G1958" s="1"/>
      <c r="H1958" t="s">
        <v>43</v>
      </c>
      <c r="I1958">
        <v>1</v>
      </c>
      <c r="J1958">
        <v>0</v>
      </c>
      <c r="K1958">
        <v>180000</v>
      </c>
      <c r="L1958">
        <v>60</v>
      </c>
      <c r="M1958" t="s">
        <v>29</v>
      </c>
      <c r="N1958" t="str">
        <f>_xlfn.XLOOKUP(B1958,tblCustomers[customer_id],tblCustomers[region],"Missing")</f>
        <v>North</v>
      </c>
      <c r="O1958" t="str">
        <f>_xlfn.XLOOKUP(C1958,tblProducts[product_id],tblProducts[product_name],"Missing")</f>
        <v>Support Desk</v>
      </c>
      <c r="P1958" t="str">
        <f>_xlfn.XLOOKUP(C1958,tblProducts[product_id],tblProducts[category],"Missing")</f>
        <v>Service</v>
      </c>
      <c r="Q1958" t="str">
        <f>_xlfn.XLOOKUP(D1958,tblSalesReps[rep_id],tblSalesReps[rep_name],"Missing")</f>
        <v>Sales Rep 07</v>
      </c>
      <c r="R1958" t="str">
        <f>_xlfn.XLOOKUP(D1958,tblSalesReps[rep_id],tblSalesReps[region],"Missing")</f>
        <v>North</v>
      </c>
    </row>
    <row r="1959" spans="1:18">
      <c r="A1959" t="s">
        <v>2495</v>
      </c>
      <c r="B1959" t="s">
        <v>1526</v>
      </c>
      <c r="C1959" t="s">
        <v>39</v>
      </c>
      <c r="D1959" t="s">
        <v>36</v>
      </c>
      <c r="E1959" s="1">
        <v>45821</v>
      </c>
      <c r="F1959" s="1">
        <v>45865</v>
      </c>
      <c r="G1959" s="1">
        <v>45865</v>
      </c>
      <c r="H1959" t="s">
        <v>17</v>
      </c>
      <c r="I1959">
        <v>1</v>
      </c>
      <c r="J1959">
        <v>5</v>
      </c>
      <c r="K1959">
        <v>171000</v>
      </c>
      <c r="L1959">
        <v>0</v>
      </c>
      <c r="M1959" t="s">
        <v>23</v>
      </c>
      <c r="N1959" t="str">
        <f>_xlfn.XLOOKUP(B1959,tblCustomers[customer_id],tblCustomers[region],"Missing")</f>
        <v>North</v>
      </c>
      <c r="O1959" t="str">
        <f>_xlfn.XLOOKUP(C1959,tblProducts[product_id],tblProducts[product_name],"Missing")</f>
        <v>Support Desk</v>
      </c>
      <c r="P1959" t="str">
        <f>_xlfn.XLOOKUP(C1959,tblProducts[product_id],tblProducts[category],"Missing")</f>
        <v>Service</v>
      </c>
      <c r="Q1959" t="str">
        <f>_xlfn.XLOOKUP(D1959,tblSalesReps[rep_id],tblSalesReps[rep_name],"Missing")</f>
        <v>Sales Rep 09</v>
      </c>
      <c r="R1959" t="str">
        <f>_xlfn.XLOOKUP(D1959,tblSalesReps[rep_id],tblSalesReps[region],"Missing")</f>
        <v>North</v>
      </c>
    </row>
    <row r="1960" spans="1:18">
      <c r="A1960" t="s">
        <v>2496</v>
      </c>
      <c r="B1960" t="s">
        <v>204</v>
      </c>
      <c r="C1960" t="s">
        <v>81</v>
      </c>
      <c r="D1960" t="s">
        <v>63</v>
      </c>
      <c r="E1960" s="1">
        <v>45937</v>
      </c>
      <c r="F1960" s="1">
        <v>46008</v>
      </c>
      <c r="G1960" s="1">
        <v>46008</v>
      </c>
      <c r="H1960" t="s">
        <v>28</v>
      </c>
      <c r="I1960">
        <v>2</v>
      </c>
      <c r="J1960">
        <v>0</v>
      </c>
      <c r="K1960">
        <v>600000</v>
      </c>
      <c r="L1960">
        <v>100</v>
      </c>
      <c r="M1960" t="s">
        <v>29</v>
      </c>
      <c r="N1960" t="str">
        <f>_xlfn.XLOOKUP(B1960,tblCustomers[customer_id],tblCustomers[region],"Missing")</f>
        <v>South</v>
      </c>
      <c r="O1960" t="str">
        <f>_xlfn.XLOOKUP(C1960,tblProducts[product_id],tblProducts[product_name],"Missing")</f>
        <v>Analytics Cloud</v>
      </c>
      <c r="P1960" t="str">
        <f>_xlfn.XLOOKUP(C1960,tblProducts[product_id],tblProducts[category],"Missing")</f>
        <v>Analytics</v>
      </c>
      <c r="Q1960" t="str">
        <f>_xlfn.XLOOKUP(D1960,tblSalesReps[rep_id],tblSalesReps[rep_name],"Missing")</f>
        <v>Sales Rep 05</v>
      </c>
      <c r="R1960" t="str">
        <f>_xlfn.XLOOKUP(D1960,tblSalesReps[rep_id],tblSalesReps[region],"Missing")</f>
        <v>South</v>
      </c>
    </row>
    <row r="1961" spans="1:18">
      <c r="A1961" t="s">
        <v>2497</v>
      </c>
      <c r="B1961" t="s">
        <v>851</v>
      </c>
      <c r="C1961" t="s">
        <v>21</v>
      </c>
      <c r="D1961" t="s">
        <v>46</v>
      </c>
      <c r="E1961" s="1">
        <v>45895</v>
      </c>
      <c r="F1961" s="1">
        <v>45920</v>
      </c>
      <c r="G1961" s="1">
        <v>45920</v>
      </c>
      <c r="H1961" t="s">
        <v>17</v>
      </c>
      <c r="I1961">
        <v>1</v>
      </c>
      <c r="J1961">
        <v>15</v>
      </c>
      <c r="K1961">
        <v>204000</v>
      </c>
      <c r="L1961">
        <v>0</v>
      </c>
      <c r="M1961" t="s">
        <v>23</v>
      </c>
      <c r="N1961" t="str">
        <f>_xlfn.XLOOKUP(B1961,tblCustomers[customer_id],tblCustomers[region],"Missing")</f>
        <v>South</v>
      </c>
      <c r="O1961" t="str">
        <f>_xlfn.XLOOKUP(C1961,tblProducts[product_id],tblProducts[product_name],"Missing")</f>
        <v>Workflow Automate</v>
      </c>
      <c r="P1961" t="str">
        <f>_xlfn.XLOOKUP(C1961,tblProducts[product_id],tblProducts[category],"Missing")</f>
        <v>Automation</v>
      </c>
      <c r="Q1961" t="str">
        <f>_xlfn.XLOOKUP(D1961,tblSalesReps[rep_id],tblSalesReps[rep_name],"Missing")</f>
        <v>Sales Rep 01</v>
      </c>
      <c r="R1961" t="str">
        <f>_xlfn.XLOOKUP(D1961,tblSalesReps[rep_id],tblSalesReps[region],"Missing")</f>
        <v>South</v>
      </c>
    </row>
    <row r="1962" spans="1:18">
      <c r="A1962" t="s">
        <v>2498</v>
      </c>
      <c r="B1962" t="s">
        <v>1568</v>
      </c>
      <c r="C1962" t="s">
        <v>26</v>
      </c>
      <c r="D1962" t="s">
        <v>36</v>
      </c>
      <c r="E1962" s="1">
        <v>45873</v>
      </c>
      <c r="F1962" s="1">
        <v>45901</v>
      </c>
      <c r="G1962" s="1">
        <v>45901</v>
      </c>
      <c r="H1962" t="s">
        <v>17</v>
      </c>
      <c r="I1962">
        <v>3</v>
      </c>
      <c r="J1962">
        <v>5</v>
      </c>
      <c r="K1962">
        <v>1026000</v>
      </c>
      <c r="L1962">
        <v>0</v>
      </c>
      <c r="M1962" t="s">
        <v>33</v>
      </c>
      <c r="N1962" t="str">
        <f>_xlfn.XLOOKUP(B1962,tblCustomers[customer_id],tblCustomers[region],"Missing")</f>
        <v>North</v>
      </c>
      <c r="O1962" t="str">
        <f>_xlfn.XLOOKUP(C1962,tblProducts[product_id],tblProducts[product_name],"Missing")</f>
        <v>Security Suite</v>
      </c>
      <c r="P1962" t="str">
        <f>_xlfn.XLOOKUP(C1962,tblProducts[product_id],tblProducts[category],"Missing")</f>
        <v>Security</v>
      </c>
      <c r="Q1962" t="str">
        <f>_xlfn.XLOOKUP(D1962,tblSalesReps[rep_id],tblSalesReps[rep_name],"Missing")</f>
        <v>Sales Rep 09</v>
      </c>
      <c r="R1962" t="str">
        <f>_xlfn.XLOOKUP(D1962,tblSalesReps[rep_id],tblSalesReps[region],"Missing")</f>
        <v>North</v>
      </c>
    </row>
    <row r="1963" spans="1:18">
      <c r="A1963" t="s">
        <v>2499</v>
      </c>
      <c r="B1963" t="s">
        <v>292</v>
      </c>
      <c r="C1963" t="s">
        <v>26</v>
      </c>
      <c r="D1963" t="s">
        <v>119</v>
      </c>
      <c r="E1963" s="1">
        <v>45682</v>
      </c>
      <c r="F1963" s="1">
        <v>45689</v>
      </c>
      <c r="G1963" s="1">
        <v>45689</v>
      </c>
      <c r="H1963" t="s">
        <v>28</v>
      </c>
      <c r="I1963">
        <v>1</v>
      </c>
      <c r="J1963">
        <v>15</v>
      </c>
      <c r="K1963">
        <v>306000</v>
      </c>
      <c r="L1963">
        <v>100</v>
      </c>
      <c r="M1963" t="s">
        <v>29</v>
      </c>
      <c r="N1963" t="str">
        <f>_xlfn.XLOOKUP(B1963,tblCustomers[customer_id],tblCustomers[region],"Missing")</f>
        <v>North</v>
      </c>
      <c r="O1963" t="str">
        <f>_xlfn.XLOOKUP(C1963,tblProducts[product_id],tblProducts[product_name],"Missing")</f>
        <v>Security Suite</v>
      </c>
      <c r="P1963" t="str">
        <f>_xlfn.XLOOKUP(C1963,tblProducts[product_id],tblProducts[category],"Missing")</f>
        <v>Security</v>
      </c>
      <c r="Q1963" t="str">
        <f>_xlfn.XLOOKUP(D1963,tblSalesReps[rep_id],tblSalesReps[rep_name],"Missing")</f>
        <v>Sales Rep 10</v>
      </c>
      <c r="R1963" t="str">
        <f>_xlfn.XLOOKUP(D1963,tblSalesReps[rep_id],tblSalesReps[region],"Missing")</f>
        <v>North</v>
      </c>
    </row>
    <row r="1964" spans="1:18">
      <c r="A1964" t="s">
        <v>2500</v>
      </c>
      <c r="B1964" t="s">
        <v>660</v>
      </c>
      <c r="C1964" t="s">
        <v>15</v>
      </c>
      <c r="D1964" t="s">
        <v>27</v>
      </c>
      <c r="E1964" s="1">
        <v>45723</v>
      </c>
      <c r="F1964" s="1">
        <v>45776</v>
      </c>
      <c r="G1964" s="1">
        <v>45776</v>
      </c>
      <c r="H1964" t="s">
        <v>28</v>
      </c>
      <c r="I1964">
        <v>1</v>
      </c>
      <c r="J1964">
        <v>20</v>
      </c>
      <c r="K1964">
        <v>336000</v>
      </c>
      <c r="L1964">
        <v>100</v>
      </c>
      <c r="M1964" t="s">
        <v>29</v>
      </c>
      <c r="N1964" t="str">
        <f>_xlfn.XLOOKUP(B1964,tblCustomers[customer_id],tblCustomers[region],"Missing")</f>
        <v>North</v>
      </c>
      <c r="O1964" t="str">
        <f>_xlfn.XLOOKUP(C1964,tblProducts[product_id],tblProducts[product_name],"Missing")</f>
        <v>CRM Enterprise</v>
      </c>
      <c r="P1964" t="str">
        <f>_xlfn.XLOOKUP(C1964,tblProducts[product_id],tblProducts[category],"Missing")</f>
        <v>CRM</v>
      </c>
      <c r="Q1964" t="str">
        <f>_xlfn.XLOOKUP(D1964,tblSalesReps[rep_id],tblSalesReps[rep_name],"Missing")</f>
        <v>Sales Rep 06</v>
      </c>
      <c r="R1964" t="str">
        <f>_xlfn.XLOOKUP(D1964,tblSalesReps[rep_id],tblSalesReps[region],"Missing")</f>
        <v>North</v>
      </c>
    </row>
    <row r="1965" spans="1:18">
      <c r="A1965" t="s">
        <v>2501</v>
      </c>
      <c r="B1965" t="s">
        <v>1598</v>
      </c>
      <c r="C1965" t="s">
        <v>81</v>
      </c>
      <c r="D1965" t="s">
        <v>16</v>
      </c>
      <c r="E1965" s="1">
        <v>45875</v>
      </c>
      <c r="F1965" s="1">
        <v>45912</v>
      </c>
      <c r="G1965" s="1">
        <v>45912</v>
      </c>
      <c r="H1965" t="s">
        <v>17</v>
      </c>
      <c r="I1965">
        <v>3</v>
      </c>
      <c r="J1965">
        <v>5</v>
      </c>
      <c r="K1965">
        <v>855000</v>
      </c>
      <c r="L1965">
        <v>0</v>
      </c>
      <c r="M1965" t="s">
        <v>23</v>
      </c>
      <c r="N1965" t="str">
        <f>_xlfn.XLOOKUP(B1965,tblCustomers[customer_id],tblCustomers[region],"Missing")</f>
        <v>North</v>
      </c>
      <c r="O1965" t="str">
        <f>_xlfn.XLOOKUP(C1965,tblProducts[product_id],tblProducts[product_name],"Missing")</f>
        <v>Analytics Cloud</v>
      </c>
      <c r="P1965" t="str">
        <f>_xlfn.XLOOKUP(C1965,tblProducts[product_id],tblProducts[category],"Missing")</f>
        <v>Analytics</v>
      </c>
      <c r="Q1965" t="str">
        <f>_xlfn.XLOOKUP(D1965,tblSalesReps[rep_id],tblSalesReps[rep_name],"Missing")</f>
        <v>Sales Rep 08</v>
      </c>
      <c r="R1965" t="str">
        <f>_xlfn.XLOOKUP(D1965,tblSalesReps[rep_id],tblSalesReps[region],"Missing")</f>
        <v>North</v>
      </c>
    </row>
    <row r="1966" spans="1:18">
      <c r="A1966" t="s">
        <v>2502</v>
      </c>
      <c r="B1966" t="s">
        <v>139</v>
      </c>
      <c r="C1966" t="s">
        <v>62</v>
      </c>
      <c r="D1966" t="s">
        <v>40</v>
      </c>
      <c r="E1966" s="1">
        <v>45665</v>
      </c>
      <c r="F1966" s="1">
        <v>45735</v>
      </c>
      <c r="G1966" s="1">
        <v>45735</v>
      </c>
      <c r="H1966" t="s">
        <v>28</v>
      </c>
      <c r="I1966">
        <v>1</v>
      </c>
      <c r="J1966">
        <v>10</v>
      </c>
      <c r="K1966">
        <v>108000</v>
      </c>
      <c r="L1966">
        <v>100</v>
      </c>
      <c r="M1966" t="s">
        <v>29</v>
      </c>
      <c r="N1966" t="str">
        <f>_xlfn.XLOOKUP(B1966,tblCustomers[customer_id],tblCustomers[region],"Missing")</f>
        <v>West</v>
      </c>
      <c r="O1966" t="str">
        <f>_xlfn.XLOOKUP(C1966,tblProducts[product_id],tblProducts[product_name],"Missing")</f>
        <v>CRM Essentials</v>
      </c>
      <c r="P1966" t="str">
        <f>_xlfn.XLOOKUP(C1966,tblProducts[product_id],tblProducts[category],"Missing")</f>
        <v>CRM</v>
      </c>
      <c r="Q1966" t="str">
        <f>_xlfn.XLOOKUP(D1966,tblSalesReps[rep_id],tblSalesReps[rep_name],"Missing")</f>
        <v>Sales Rep 13</v>
      </c>
      <c r="R1966" t="str">
        <f>_xlfn.XLOOKUP(D1966,tblSalesReps[rep_id],tblSalesReps[region],"Missing")</f>
        <v>West</v>
      </c>
    </row>
    <row r="1967" spans="1:18">
      <c r="A1967" t="s">
        <v>2503</v>
      </c>
      <c r="B1967" t="s">
        <v>1511</v>
      </c>
      <c r="C1967" t="s">
        <v>15</v>
      </c>
      <c r="D1967" t="s">
        <v>91</v>
      </c>
      <c r="E1967" s="1">
        <v>45683</v>
      </c>
      <c r="F1967" s="1">
        <v>45737</v>
      </c>
      <c r="G1967" s="1">
        <v>45737</v>
      </c>
      <c r="H1967" t="s">
        <v>17</v>
      </c>
      <c r="I1967">
        <v>1</v>
      </c>
      <c r="J1967">
        <v>20</v>
      </c>
      <c r="K1967">
        <v>336000</v>
      </c>
      <c r="L1967">
        <v>0</v>
      </c>
      <c r="M1967" t="s">
        <v>47</v>
      </c>
      <c r="N1967" t="str">
        <f>_xlfn.XLOOKUP(B1967,tblCustomers[customer_id],tblCustomers[region],"Missing")</f>
        <v>South</v>
      </c>
      <c r="O1967" t="str">
        <f>_xlfn.XLOOKUP(C1967,tblProducts[product_id],tblProducts[product_name],"Missing")</f>
        <v>CRM Enterprise</v>
      </c>
      <c r="P1967" t="str">
        <f>_xlfn.XLOOKUP(C1967,tblProducts[product_id],tblProducts[category],"Missing")</f>
        <v>CRM</v>
      </c>
      <c r="Q1967" t="str">
        <f>_xlfn.XLOOKUP(D1967,tblSalesReps[rep_id],tblSalesReps[rep_name],"Missing")</f>
        <v>Sales Rep 03</v>
      </c>
      <c r="R1967" t="str">
        <f>_xlfn.XLOOKUP(D1967,tblSalesReps[rep_id],tblSalesReps[region],"Missing")</f>
        <v>South</v>
      </c>
    </row>
    <row r="1968" spans="1:18">
      <c r="A1968" t="s">
        <v>2504</v>
      </c>
      <c r="B1968" t="s">
        <v>143</v>
      </c>
      <c r="C1968" t="s">
        <v>21</v>
      </c>
      <c r="D1968" t="s">
        <v>16</v>
      </c>
      <c r="E1968" s="1">
        <v>45660</v>
      </c>
      <c r="F1968" s="1">
        <v>45692</v>
      </c>
      <c r="G1968" s="1">
        <v>45692</v>
      </c>
      <c r="H1968" t="s">
        <v>28</v>
      </c>
      <c r="I1968">
        <v>1</v>
      </c>
      <c r="J1968">
        <v>0</v>
      </c>
      <c r="K1968">
        <v>240000</v>
      </c>
      <c r="L1968">
        <v>100</v>
      </c>
      <c r="M1968" t="s">
        <v>29</v>
      </c>
      <c r="N1968" t="str">
        <f>_xlfn.XLOOKUP(B1968,tblCustomers[customer_id],tblCustomers[region],"Missing")</f>
        <v>North</v>
      </c>
      <c r="O1968" t="str">
        <f>_xlfn.XLOOKUP(C1968,tblProducts[product_id],tblProducts[product_name],"Missing")</f>
        <v>Workflow Automate</v>
      </c>
      <c r="P1968" t="str">
        <f>_xlfn.XLOOKUP(C1968,tblProducts[product_id],tblProducts[category],"Missing")</f>
        <v>Automation</v>
      </c>
      <c r="Q1968" t="str">
        <f>_xlfn.XLOOKUP(D1968,tblSalesReps[rep_id],tblSalesReps[rep_name],"Missing")</f>
        <v>Sales Rep 08</v>
      </c>
      <c r="R1968" t="str">
        <f>_xlfn.XLOOKUP(D1968,tblSalesReps[rep_id],tblSalesReps[region],"Missing")</f>
        <v>North</v>
      </c>
    </row>
    <row r="1969" spans="1:18">
      <c r="A1969" t="s">
        <v>2505</v>
      </c>
      <c r="B1969" t="s">
        <v>729</v>
      </c>
      <c r="C1969" t="s">
        <v>21</v>
      </c>
      <c r="D1969" t="s">
        <v>40</v>
      </c>
      <c r="E1969" s="1">
        <v>45883</v>
      </c>
      <c r="F1969" s="1">
        <v>45946</v>
      </c>
      <c r="G1969" s="1">
        <v>45946</v>
      </c>
      <c r="H1969" t="s">
        <v>17</v>
      </c>
      <c r="I1969">
        <v>1</v>
      </c>
      <c r="J1969">
        <v>15</v>
      </c>
      <c r="K1969">
        <v>204000</v>
      </c>
      <c r="L1969">
        <v>0</v>
      </c>
      <c r="M1969" t="s">
        <v>82</v>
      </c>
      <c r="N1969" t="str">
        <f>_xlfn.XLOOKUP(B1969,tblCustomers[customer_id],tblCustomers[region],"Missing")</f>
        <v>West</v>
      </c>
      <c r="O1969" t="str">
        <f>_xlfn.XLOOKUP(C1969,tblProducts[product_id],tblProducts[product_name],"Missing")</f>
        <v>Workflow Automate</v>
      </c>
      <c r="P1969" t="str">
        <f>_xlfn.XLOOKUP(C1969,tblProducts[product_id],tblProducts[category],"Missing")</f>
        <v>Automation</v>
      </c>
      <c r="Q1969" t="str">
        <f>_xlfn.XLOOKUP(D1969,tblSalesReps[rep_id],tblSalesReps[rep_name],"Missing")</f>
        <v>Sales Rep 13</v>
      </c>
      <c r="R1969" t="str">
        <f>_xlfn.XLOOKUP(D1969,tblSalesReps[rep_id],tblSalesReps[region],"Missing")</f>
        <v>West</v>
      </c>
    </row>
    <row r="1970" spans="1:18">
      <c r="A1970" t="s">
        <v>2506</v>
      </c>
      <c r="B1970" t="s">
        <v>1359</v>
      </c>
      <c r="C1970" t="s">
        <v>81</v>
      </c>
      <c r="D1970" t="s">
        <v>70</v>
      </c>
      <c r="E1970" s="1">
        <v>45831</v>
      </c>
      <c r="F1970" s="1">
        <v>45869</v>
      </c>
      <c r="G1970" s="1"/>
      <c r="H1970" t="s">
        <v>43</v>
      </c>
      <c r="I1970">
        <v>3</v>
      </c>
      <c r="J1970">
        <v>5</v>
      </c>
      <c r="K1970">
        <v>855000</v>
      </c>
      <c r="L1970">
        <v>40</v>
      </c>
      <c r="M1970" t="s">
        <v>29</v>
      </c>
      <c r="N1970" t="str">
        <f>_xlfn.XLOOKUP(B1970,tblCustomers[customer_id],tblCustomers[region],"Missing")</f>
        <v>West</v>
      </c>
      <c r="O1970" t="str">
        <f>_xlfn.XLOOKUP(C1970,tblProducts[product_id],tblProducts[product_name],"Missing")</f>
        <v>Analytics Cloud</v>
      </c>
      <c r="P1970" t="str">
        <f>_xlfn.XLOOKUP(C1970,tblProducts[product_id],tblProducts[category],"Missing")</f>
        <v>Analytics</v>
      </c>
      <c r="Q1970" t="str">
        <f>_xlfn.XLOOKUP(D1970,tblSalesReps[rep_id],tblSalesReps[rep_name],"Missing")</f>
        <v>Sales Rep 11</v>
      </c>
      <c r="R1970" t="str">
        <f>_xlfn.XLOOKUP(D1970,tblSalesReps[rep_id],tblSalesReps[region],"Missing")</f>
        <v>West</v>
      </c>
    </row>
    <row r="1971" spans="1:18">
      <c r="A1971" t="s">
        <v>2507</v>
      </c>
      <c r="B1971" t="s">
        <v>125</v>
      </c>
      <c r="C1971" t="s">
        <v>15</v>
      </c>
      <c r="D1971" t="s">
        <v>126</v>
      </c>
      <c r="E1971" s="1">
        <v>45949</v>
      </c>
      <c r="F1971" s="1">
        <v>45976</v>
      </c>
      <c r="G1971" s="1">
        <v>45976</v>
      </c>
      <c r="H1971" t="s">
        <v>28</v>
      </c>
      <c r="I1971">
        <v>2</v>
      </c>
      <c r="J1971">
        <v>20</v>
      </c>
      <c r="K1971">
        <v>672000</v>
      </c>
      <c r="L1971">
        <v>100</v>
      </c>
      <c r="M1971" t="s">
        <v>29</v>
      </c>
      <c r="N1971" t="str">
        <f>_xlfn.XLOOKUP(B1971,tblCustomers[customer_id],tblCustomers[region],"Missing")</f>
        <v>South</v>
      </c>
      <c r="O1971" t="str">
        <f>_xlfn.XLOOKUP(C1971,tblProducts[product_id],tblProducts[product_name],"Missing")</f>
        <v>CRM Enterprise</v>
      </c>
      <c r="P1971" t="str">
        <f>_xlfn.XLOOKUP(C1971,tblProducts[product_id],tblProducts[category],"Missing")</f>
        <v>CRM</v>
      </c>
      <c r="Q1971" t="str">
        <f>_xlfn.XLOOKUP(D1971,tblSalesReps[rep_id],tblSalesReps[rep_name],"Missing")</f>
        <v>Sales Rep 02</v>
      </c>
      <c r="R1971" t="str">
        <f>_xlfn.XLOOKUP(D1971,tblSalesReps[rep_id],tblSalesReps[region],"Missing")</f>
        <v>South</v>
      </c>
    </row>
    <row r="1972" spans="1:18">
      <c r="A1972" t="s">
        <v>2508</v>
      </c>
      <c r="B1972" t="s">
        <v>125</v>
      </c>
      <c r="C1972" t="s">
        <v>15</v>
      </c>
      <c r="D1972" t="s">
        <v>63</v>
      </c>
      <c r="E1972" s="1">
        <v>45967</v>
      </c>
      <c r="F1972" s="1">
        <v>46002</v>
      </c>
      <c r="G1972" s="1"/>
      <c r="H1972" t="s">
        <v>43</v>
      </c>
      <c r="I1972">
        <v>2</v>
      </c>
      <c r="J1972">
        <v>0</v>
      </c>
      <c r="K1972">
        <v>840000</v>
      </c>
      <c r="L1972">
        <v>20</v>
      </c>
      <c r="M1972" t="s">
        <v>29</v>
      </c>
      <c r="N1972" t="str">
        <f>_xlfn.XLOOKUP(B1972,tblCustomers[customer_id],tblCustomers[region],"Missing")</f>
        <v>South</v>
      </c>
      <c r="O1972" t="str">
        <f>_xlfn.XLOOKUP(C1972,tblProducts[product_id],tblProducts[product_name],"Missing")</f>
        <v>CRM Enterprise</v>
      </c>
      <c r="P1972" t="str">
        <f>_xlfn.XLOOKUP(C1972,tblProducts[product_id],tblProducts[category],"Missing")</f>
        <v>CRM</v>
      </c>
      <c r="Q1972" t="str">
        <f>_xlfn.XLOOKUP(D1972,tblSalesReps[rep_id],tblSalesReps[rep_name],"Missing")</f>
        <v>Sales Rep 05</v>
      </c>
      <c r="R1972" t="str">
        <f>_xlfn.XLOOKUP(D1972,tblSalesReps[rep_id],tblSalesReps[region],"Missing")</f>
        <v>South</v>
      </c>
    </row>
    <row r="1973" spans="1:18">
      <c r="A1973" t="s">
        <v>2509</v>
      </c>
      <c r="B1973" t="s">
        <v>1092</v>
      </c>
      <c r="C1973" t="s">
        <v>62</v>
      </c>
      <c r="D1973" t="s">
        <v>152</v>
      </c>
      <c r="E1973" s="1">
        <v>45750</v>
      </c>
      <c r="F1973" s="1">
        <v>45768</v>
      </c>
      <c r="G1973" s="1">
        <v>45768</v>
      </c>
      <c r="H1973" t="s">
        <v>28</v>
      </c>
      <c r="I1973">
        <v>2</v>
      </c>
      <c r="J1973">
        <v>5</v>
      </c>
      <c r="K1973">
        <v>228000</v>
      </c>
      <c r="L1973">
        <v>100</v>
      </c>
      <c r="M1973" t="s">
        <v>29</v>
      </c>
      <c r="N1973" t="str">
        <f>_xlfn.XLOOKUP(B1973,tblCustomers[customer_id],tblCustomers[region],"Missing")</f>
        <v>East</v>
      </c>
      <c r="O1973" t="str">
        <f>_xlfn.XLOOKUP(C1973,tblProducts[product_id],tblProducts[product_name],"Missing")</f>
        <v>CRM Essentials</v>
      </c>
      <c r="P1973" t="str">
        <f>_xlfn.XLOOKUP(C1973,tblProducts[product_id],tblProducts[category],"Missing")</f>
        <v>CRM</v>
      </c>
      <c r="Q1973" t="str">
        <f>_xlfn.XLOOKUP(D1973,tblSalesReps[rep_id],tblSalesReps[rep_name],"Missing")</f>
        <v>Sales Rep 18</v>
      </c>
      <c r="R1973" t="str">
        <f>_xlfn.XLOOKUP(D1973,tblSalesReps[rep_id],tblSalesReps[region],"Missing")</f>
        <v>East</v>
      </c>
    </row>
    <row r="1974" spans="1:18">
      <c r="A1974" t="s">
        <v>2510</v>
      </c>
      <c r="B1974" t="s">
        <v>1716</v>
      </c>
      <c r="C1974" t="s">
        <v>21</v>
      </c>
      <c r="D1974" t="s">
        <v>91</v>
      </c>
      <c r="E1974" s="1">
        <v>45755</v>
      </c>
      <c r="F1974" s="1">
        <v>45789</v>
      </c>
      <c r="G1974" s="1">
        <v>45789</v>
      </c>
      <c r="H1974" t="s">
        <v>17</v>
      </c>
      <c r="I1974">
        <v>2</v>
      </c>
      <c r="J1974">
        <v>10</v>
      </c>
      <c r="K1974">
        <v>432000</v>
      </c>
      <c r="L1974">
        <v>0</v>
      </c>
      <c r="M1974" t="s">
        <v>18</v>
      </c>
      <c r="N1974" t="str">
        <f>_xlfn.XLOOKUP(B1974,tblCustomers[customer_id],tblCustomers[region],"Missing")</f>
        <v>South</v>
      </c>
      <c r="O1974" t="str">
        <f>_xlfn.XLOOKUP(C1974,tblProducts[product_id],tblProducts[product_name],"Missing")</f>
        <v>Workflow Automate</v>
      </c>
      <c r="P1974" t="str">
        <f>_xlfn.XLOOKUP(C1974,tblProducts[product_id],tblProducts[category],"Missing")</f>
        <v>Automation</v>
      </c>
      <c r="Q1974" t="str">
        <f>_xlfn.XLOOKUP(D1974,tblSalesReps[rep_id],tblSalesReps[rep_name],"Missing")</f>
        <v>Sales Rep 03</v>
      </c>
      <c r="R1974" t="str">
        <f>_xlfn.XLOOKUP(D1974,tblSalesReps[rep_id],tblSalesReps[region],"Missing")</f>
        <v>South</v>
      </c>
    </row>
    <row r="1975" spans="1:18">
      <c r="A1975" t="s">
        <v>2511</v>
      </c>
      <c r="B1975" t="s">
        <v>1349</v>
      </c>
      <c r="C1975" t="s">
        <v>81</v>
      </c>
      <c r="D1975" t="s">
        <v>75</v>
      </c>
      <c r="E1975" s="1">
        <v>45742</v>
      </c>
      <c r="F1975" s="1">
        <v>45805</v>
      </c>
      <c r="G1975" s="1"/>
      <c r="H1975" t="s">
        <v>43</v>
      </c>
      <c r="I1975">
        <v>2</v>
      </c>
      <c r="J1975">
        <v>20</v>
      </c>
      <c r="K1975">
        <v>480000</v>
      </c>
      <c r="L1975">
        <v>40</v>
      </c>
      <c r="M1975" t="s">
        <v>29</v>
      </c>
      <c r="N1975" t="str">
        <f>_xlfn.XLOOKUP(B1975,tblCustomers[customer_id],tblCustomers[region],"Missing")</f>
        <v>North</v>
      </c>
      <c r="O1975" t="str">
        <f>_xlfn.XLOOKUP(C1975,tblProducts[product_id],tblProducts[product_name],"Missing")</f>
        <v>Analytics Cloud</v>
      </c>
      <c r="P1975" t="str">
        <f>_xlfn.XLOOKUP(C1975,tblProducts[product_id],tblProducts[category],"Missing")</f>
        <v>Analytics</v>
      </c>
      <c r="Q1975" t="str">
        <f>_xlfn.XLOOKUP(D1975,tblSalesReps[rep_id],tblSalesReps[rep_name],"Missing")</f>
        <v>Sales Rep 07</v>
      </c>
      <c r="R1975" t="str">
        <f>_xlfn.XLOOKUP(D1975,tblSalesReps[rep_id],tblSalesReps[region],"Missing")</f>
        <v>North</v>
      </c>
    </row>
    <row r="1976" spans="1:18">
      <c r="A1976" t="s">
        <v>2512</v>
      </c>
      <c r="B1976" t="s">
        <v>613</v>
      </c>
      <c r="C1976" t="s">
        <v>39</v>
      </c>
      <c r="D1976" t="s">
        <v>16</v>
      </c>
      <c r="E1976" s="1">
        <v>45769</v>
      </c>
      <c r="F1976" s="1">
        <v>45781</v>
      </c>
      <c r="G1976" s="1">
        <v>45781</v>
      </c>
      <c r="H1976" t="s">
        <v>28</v>
      </c>
      <c r="I1976">
        <v>3</v>
      </c>
      <c r="J1976">
        <v>0</v>
      </c>
      <c r="K1976">
        <v>540000</v>
      </c>
      <c r="L1976">
        <v>100</v>
      </c>
      <c r="M1976" t="s">
        <v>29</v>
      </c>
      <c r="N1976" t="str">
        <f>_xlfn.XLOOKUP(B1976,tblCustomers[customer_id],tblCustomers[region],"Missing")</f>
        <v>North</v>
      </c>
      <c r="O1976" t="str">
        <f>_xlfn.XLOOKUP(C1976,tblProducts[product_id],tblProducts[product_name],"Missing")</f>
        <v>Support Desk</v>
      </c>
      <c r="P1976" t="str">
        <f>_xlfn.XLOOKUP(C1976,tblProducts[product_id],tblProducts[category],"Missing")</f>
        <v>Service</v>
      </c>
      <c r="Q1976" t="str">
        <f>_xlfn.XLOOKUP(D1976,tblSalesReps[rep_id],tblSalesReps[rep_name],"Missing")</f>
        <v>Sales Rep 08</v>
      </c>
      <c r="R1976" t="str">
        <f>_xlfn.XLOOKUP(D1976,tblSalesReps[rep_id],tblSalesReps[region],"Missing")</f>
        <v>North</v>
      </c>
    </row>
    <row r="1977" spans="1:18">
      <c r="A1977" t="s">
        <v>2513</v>
      </c>
      <c r="B1977" t="s">
        <v>435</v>
      </c>
      <c r="C1977" t="s">
        <v>15</v>
      </c>
      <c r="D1977" t="s">
        <v>63</v>
      </c>
      <c r="E1977" s="1">
        <v>45994</v>
      </c>
      <c r="F1977" s="1">
        <v>46060</v>
      </c>
      <c r="G1977" s="1"/>
      <c r="H1977" t="s">
        <v>43</v>
      </c>
      <c r="I1977">
        <v>1</v>
      </c>
      <c r="J1977">
        <v>5</v>
      </c>
      <c r="K1977">
        <v>399000</v>
      </c>
      <c r="L1977">
        <v>60</v>
      </c>
      <c r="M1977" t="s">
        <v>29</v>
      </c>
      <c r="N1977" t="str">
        <f>_xlfn.XLOOKUP(B1977,tblCustomers[customer_id],tblCustomers[region],"Missing")</f>
        <v>South</v>
      </c>
      <c r="O1977" t="str">
        <f>_xlfn.XLOOKUP(C1977,tblProducts[product_id],tblProducts[product_name],"Missing")</f>
        <v>CRM Enterprise</v>
      </c>
      <c r="P1977" t="str">
        <f>_xlfn.XLOOKUP(C1977,tblProducts[product_id],tblProducts[category],"Missing")</f>
        <v>CRM</v>
      </c>
      <c r="Q1977" t="str">
        <f>_xlfn.XLOOKUP(D1977,tblSalesReps[rep_id],tblSalesReps[rep_name],"Missing")</f>
        <v>Sales Rep 05</v>
      </c>
      <c r="R1977" t="str">
        <f>_xlfn.XLOOKUP(D1977,tblSalesReps[rep_id],tblSalesReps[region],"Missing")</f>
        <v>South</v>
      </c>
    </row>
    <row r="1978" spans="1:18">
      <c r="A1978" t="s">
        <v>2514</v>
      </c>
      <c r="B1978" t="s">
        <v>410</v>
      </c>
      <c r="C1978" t="s">
        <v>62</v>
      </c>
      <c r="D1978" t="s">
        <v>16</v>
      </c>
      <c r="E1978" s="1">
        <v>45809</v>
      </c>
      <c r="F1978" s="1">
        <v>45841</v>
      </c>
      <c r="G1978" s="1">
        <v>45841</v>
      </c>
      <c r="H1978" t="s">
        <v>17</v>
      </c>
      <c r="I1978">
        <v>1</v>
      </c>
      <c r="J1978">
        <v>0</v>
      </c>
      <c r="K1978">
        <v>120000</v>
      </c>
      <c r="L1978">
        <v>0</v>
      </c>
      <c r="M1978" t="s">
        <v>18</v>
      </c>
      <c r="N1978" t="str">
        <f>_xlfn.XLOOKUP(B1978,tblCustomers[customer_id],tblCustomers[region],"Missing")</f>
        <v>North</v>
      </c>
      <c r="O1978" t="str">
        <f>_xlfn.XLOOKUP(C1978,tblProducts[product_id],tblProducts[product_name],"Missing")</f>
        <v>CRM Essentials</v>
      </c>
      <c r="P1978" t="str">
        <f>_xlfn.XLOOKUP(C1978,tblProducts[product_id],tblProducts[category],"Missing")</f>
        <v>CRM</v>
      </c>
      <c r="Q1978" t="str">
        <f>_xlfn.XLOOKUP(D1978,tblSalesReps[rep_id],tblSalesReps[rep_name],"Missing")</f>
        <v>Sales Rep 08</v>
      </c>
      <c r="R1978" t="str">
        <f>_xlfn.XLOOKUP(D1978,tblSalesReps[rep_id],tblSalesReps[region],"Missing")</f>
        <v>North</v>
      </c>
    </row>
    <row r="1979" spans="1:18">
      <c r="A1979" t="s">
        <v>2515</v>
      </c>
      <c r="B1979" t="s">
        <v>553</v>
      </c>
      <c r="C1979" t="s">
        <v>81</v>
      </c>
      <c r="D1979" t="s">
        <v>53</v>
      </c>
      <c r="E1979" s="1">
        <v>45679</v>
      </c>
      <c r="F1979" s="1">
        <v>45715</v>
      </c>
      <c r="G1979" s="1"/>
      <c r="H1979" t="s">
        <v>43</v>
      </c>
      <c r="I1979">
        <v>1</v>
      </c>
      <c r="J1979">
        <v>15</v>
      </c>
      <c r="K1979">
        <v>255000</v>
      </c>
      <c r="L1979">
        <v>60</v>
      </c>
      <c r="M1979" t="s">
        <v>29</v>
      </c>
      <c r="N1979" t="str">
        <f>_xlfn.XLOOKUP(B1979,tblCustomers[customer_id],tblCustomers[region],"Missing")</f>
        <v>East</v>
      </c>
      <c r="O1979" t="str">
        <f>_xlfn.XLOOKUP(C1979,tblProducts[product_id],tblProducts[product_name],"Missing")</f>
        <v>Analytics Cloud</v>
      </c>
      <c r="P1979" t="str">
        <f>_xlfn.XLOOKUP(C1979,tblProducts[product_id],tblProducts[category],"Missing")</f>
        <v>Analytics</v>
      </c>
      <c r="Q1979" t="str">
        <f>_xlfn.XLOOKUP(D1979,tblSalesReps[rep_id],tblSalesReps[rep_name],"Missing")</f>
        <v>Sales Rep 16</v>
      </c>
      <c r="R1979" t="str">
        <f>_xlfn.XLOOKUP(D1979,tblSalesReps[rep_id],tblSalesReps[region],"Missing")</f>
        <v>East</v>
      </c>
    </row>
    <row r="1980" spans="1:18">
      <c r="A1980" t="s">
        <v>2516</v>
      </c>
      <c r="B1980" t="s">
        <v>20</v>
      </c>
      <c r="C1980" t="s">
        <v>15</v>
      </c>
      <c r="D1980" t="s">
        <v>78</v>
      </c>
      <c r="E1980" s="1">
        <v>45723</v>
      </c>
      <c r="F1980" s="1">
        <v>45763</v>
      </c>
      <c r="G1980" s="1">
        <v>45763</v>
      </c>
      <c r="H1980" t="s">
        <v>28</v>
      </c>
      <c r="I1980">
        <v>1</v>
      </c>
      <c r="J1980">
        <v>10</v>
      </c>
      <c r="K1980">
        <v>378000</v>
      </c>
      <c r="L1980">
        <v>100</v>
      </c>
      <c r="M1980" t="s">
        <v>29</v>
      </c>
      <c r="N1980" t="str">
        <f>_xlfn.XLOOKUP(B1980,tblCustomers[customer_id],tblCustomers[region],"Missing")</f>
        <v>West</v>
      </c>
      <c r="O1980" t="str">
        <f>_xlfn.XLOOKUP(C1980,tblProducts[product_id],tblProducts[product_name],"Missing")</f>
        <v>CRM Enterprise</v>
      </c>
      <c r="P1980" t="str">
        <f>_xlfn.XLOOKUP(C1980,tblProducts[product_id],tblProducts[category],"Missing")</f>
        <v>CRM</v>
      </c>
      <c r="Q1980" t="str">
        <f>_xlfn.XLOOKUP(D1980,tblSalesReps[rep_id],tblSalesReps[rep_name],"Missing")</f>
        <v>Sales Rep 12</v>
      </c>
      <c r="R1980" t="str">
        <f>_xlfn.XLOOKUP(D1980,tblSalesReps[rep_id],tblSalesReps[region],"Missing")</f>
        <v>West</v>
      </c>
    </row>
    <row r="1981" spans="1:18">
      <c r="A1981" t="s">
        <v>2517</v>
      </c>
      <c r="B1981" t="s">
        <v>80</v>
      </c>
      <c r="C1981" t="s">
        <v>81</v>
      </c>
      <c r="D1981" t="s">
        <v>91</v>
      </c>
      <c r="E1981" s="1">
        <v>45767</v>
      </c>
      <c r="F1981" s="1">
        <v>45834</v>
      </c>
      <c r="G1981" s="1">
        <v>45834</v>
      </c>
      <c r="H1981" t="s">
        <v>28</v>
      </c>
      <c r="I1981">
        <v>1</v>
      </c>
      <c r="J1981">
        <v>20</v>
      </c>
      <c r="K1981">
        <v>240000</v>
      </c>
      <c r="L1981">
        <v>100</v>
      </c>
      <c r="M1981" t="s">
        <v>29</v>
      </c>
      <c r="N1981" t="str">
        <f>_xlfn.XLOOKUP(B1981,tblCustomers[customer_id],tblCustomers[region],"Missing")</f>
        <v>South</v>
      </c>
      <c r="O1981" t="str">
        <f>_xlfn.XLOOKUP(C1981,tblProducts[product_id],tblProducts[product_name],"Missing")</f>
        <v>Analytics Cloud</v>
      </c>
      <c r="P1981" t="str">
        <f>_xlfn.XLOOKUP(C1981,tblProducts[product_id],tblProducts[category],"Missing")</f>
        <v>Analytics</v>
      </c>
      <c r="Q1981" t="str">
        <f>_xlfn.XLOOKUP(D1981,tblSalesReps[rep_id],tblSalesReps[rep_name],"Missing")</f>
        <v>Sales Rep 03</v>
      </c>
      <c r="R1981" t="str">
        <f>_xlfn.XLOOKUP(D1981,tblSalesReps[rep_id],tblSalesReps[region],"Missing")</f>
        <v>South</v>
      </c>
    </row>
    <row r="1982" spans="1:18">
      <c r="A1982" t="s">
        <v>2518</v>
      </c>
      <c r="B1982" t="s">
        <v>912</v>
      </c>
      <c r="C1982" t="s">
        <v>15</v>
      </c>
      <c r="D1982" t="s">
        <v>16</v>
      </c>
      <c r="E1982" s="1">
        <v>46001</v>
      </c>
      <c r="F1982" s="1">
        <v>46027</v>
      </c>
      <c r="G1982" s="1"/>
      <c r="H1982" t="s">
        <v>43</v>
      </c>
      <c r="I1982">
        <v>1</v>
      </c>
      <c r="J1982">
        <v>20</v>
      </c>
      <c r="K1982">
        <v>336000</v>
      </c>
      <c r="L1982">
        <v>60</v>
      </c>
      <c r="M1982" t="s">
        <v>29</v>
      </c>
      <c r="N1982" t="str">
        <f>_xlfn.XLOOKUP(B1982,tblCustomers[customer_id],tblCustomers[region],"Missing")</f>
        <v>North</v>
      </c>
      <c r="O1982" t="str">
        <f>_xlfn.XLOOKUP(C1982,tblProducts[product_id],tblProducts[product_name],"Missing")</f>
        <v>CRM Enterprise</v>
      </c>
      <c r="P1982" t="str">
        <f>_xlfn.XLOOKUP(C1982,tblProducts[product_id],tblProducts[category],"Missing")</f>
        <v>CRM</v>
      </c>
      <c r="Q1982" t="str">
        <f>_xlfn.XLOOKUP(D1982,tblSalesReps[rep_id],tblSalesReps[rep_name],"Missing")</f>
        <v>Sales Rep 08</v>
      </c>
      <c r="R1982" t="str">
        <f>_xlfn.XLOOKUP(D1982,tblSalesReps[rep_id],tblSalesReps[region],"Missing")</f>
        <v>North</v>
      </c>
    </row>
    <row r="1983" spans="1:18">
      <c r="A1983" t="s">
        <v>2519</v>
      </c>
      <c r="B1983" t="s">
        <v>567</v>
      </c>
      <c r="C1983" t="s">
        <v>62</v>
      </c>
      <c r="D1983" t="s">
        <v>22</v>
      </c>
      <c r="E1983" s="1">
        <v>45879</v>
      </c>
      <c r="F1983" s="1">
        <v>45961</v>
      </c>
      <c r="G1983" s="1">
        <v>45961</v>
      </c>
      <c r="H1983" t="s">
        <v>17</v>
      </c>
      <c r="I1983">
        <v>1</v>
      </c>
      <c r="J1983">
        <v>5</v>
      </c>
      <c r="K1983">
        <v>114000</v>
      </c>
      <c r="L1983">
        <v>0</v>
      </c>
      <c r="M1983" t="s">
        <v>33</v>
      </c>
      <c r="N1983" t="str">
        <f>_xlfn.XLOOKUP(B1983,tblCustomers[customer_id],tblCustomers[region],"Missing")</f>
        <v>West</v>
      </c>
      <c r="O1983" t="str">
        <f>_xlfn.XLOOKUP(C1983,tblProducts[product_id],tblProducts[product_name],"Missing")</f>
        <v>CRM Essentials</v>
      </c>
      <c r="P1983" t="str">
        <f>_xlfn.XLOOKUP(C1983,tblProducts[product_id],tblProducts[category],"Missing")</f>
        <v>CRM</v>
      </c>
      <c r="Q1983" t="str">
        <f>_xlfn.XLOOKUP(D1983,tblSalesReps[rep_id],tblSalesReps[rep_name],"Missing")</f>
        <v>Sales Rep 14</v>
      </c>
      <c r="R1983" t="str">
        <f>_xlfn.XLOOKUP(D1983,tblSalesReps[rep_id],tblSalesReps[region],"Missing")</f>
        <v>West</v>
      </c>
    </row>
    <row r="1984" spans="1:18">
      <c r="A1984" t="s">
        <v>2520</v>
      </c>
      <c r="B1984" t="s">
        <v>379</v>
      </c>
      <c r="C1984" t="s">
        <v>81</v>
      </c>
      <c r="D1984" t="s">
        <v>36</v>
      </c>
      <c r="E1984" s="1">
        <v>45851</v>
      </c>
      <c r="F1984" s="1">
        <v>45929</v>
      </c>
      <c r="G1984" s="1">
        <v>45929</v>
      </c>
      <c r="H1984" t="s">
        <v>17</v>
      </c>
      <c r="I1984">
        <v>1</v>
      </c>
      <c r="J1984">
        <v>15</v>
      </c>
      <c r="K1984">
        <v>255000</v>
      </c>
      <c r="L1984">
        <v>0</v>
      </c>
      <c r="M1984" t="s">
        <v>33</v>
      </c>
      <c r="N1984" t="str">
        <f>_xlfn.XLOOKUP(B1984,tblCustomers[customer_id],tblCustomers[region],"Missing")</f>
        <v>North</v>
      </c>
      <c r="O1984" t="str">
        <f>_xlfn.XLOOKUP(C1984,tblProducts[product_id],tblProducts[product_name],"Missing")</f>
        <v>Analytics Cloud</v>
      </c>
      <c r="P1984" t="str">
        <f>_xlfn.XLOOKUP(C1984,tblProducts[product_id],tblProducts[category],"Missing")</f>
        <v>Analytics</v>
      </c>
      <c r="Q1984" t="str">
        <f>_xlfn.XLOOKUP(D1984,tblSalesReps[rep_id],tblSalesReps[rep_name],"Missing")</f>
        <v>Sales Rep 09</v>
      </c>
      <c r="R1984" t="str">
        <f>_xlfn.XLOOKUP(D1984,tblSalesReps[rep_id],tblSalesReps[region],"Missing")</f>
        <v>North</v>
      </c>
    </row>
    <row r="1985" spans="1:18">
      <c r="A1985" t="s">
        <v>2521</v>
      </c>
      <c r="B1985" t="s">
        <v>1167</v>
      </c>
      <c r="C1985" t="s">
        <v>21</v>
      </c>
      <c r="D1985" t="s">
        <v>36</v>
      </c>
      <c r="E1985" s="1">
        <v>45742</v>
      </c>
      <c r="F1985" s="1">
        <v>45772</v>
      </c>
      <c r="G1985" s="1">
        <v>45772</v>
      </c>
      <c r="H1985" t="s">
        <v>17</v>
      </c>
      <c r="I1985">
        <v>2</v>
      </c>
      <c r="J1985">
        <v>15</v>
      </c>
      <c r="K1985">
        <v>408000</v>
      </c>
      <c r="L1985">
        <v>0</v>
      </c>
      <c r="M1985" t="s">
        <v>47</v>
      </c>
      <c r="N1985" t="str">
        <f>_xlfn.XLOOKUP(B1985,tblCustomers[customer_id],tblCustomers[region],"Missing")</f>
        <v>North</v>
      </c>
      <c r="O1985" t="str">
        <f>_xlfn.XLOOKUP(C1985,tblProducts[product_id],tblProducts[product_name],"Missing")</f>
        <v>Workflow Automate</v>
      </c>
      <c r="P1985" t="str">
        <f>_xlfn.XLOOKUP(C1985,tblProducts[product_id],tblProducts[category],"Missing")</f>
        <v>Automation</v>
      </c>
      <c r="Q1985" t="str">
        <f>_xlfn.XLOOKUP(D1985,tblSalesReps[rep_id],tblSalesReps[rep_name],"Missing")</f>
        <v>Sales Rep 09</v>
      </c>
      <c r="R1985" t="str">
        <f>_xlfn.XLOOKUP(D1985,tblSalesReps[rep_id],tblSalesReps[region],"Missing")</f>
        <v>North</v>
      </c>
    </row>
    <row r="1986" spans="1:18">
      <c r="A1986" t="s">
        <v>2522</v>
      </c>
      <c r="B1986" t="s">
        <v>592</v>
      </c>
      <c r="C1986" t="s">
        <v>81</v>
      </c>
      <c r="D1986" t="s">
        <v>56</v>
      </c>
      <c r="E1986" s="1">
        <v>45968</v>
      </c>
      <c r="F1986" s="1">
        <v>46035</v>
      </c>
      <c r="G1986" s="1"/>
      <c r="H1986" t="s">
        <v>43</v>
      </c>
      <c r="I1986">
        <v>1</v>
      </c>
      <c r="J1986">
        <v>10</v>
      </c>
      <c r="K1986">
        <v>270000</v>
      </c>
      <c r="L1986">
        <v>80</v>
      </c>
      <c r="M1986" t="s">
        <v>29</v>
      </c>
      <c r="N1986" t="str">
        <f>_xlfn.XLOOKUP(B1986,tblCustomers[customer_id],tblCustomers[region],"Missing")</f>
        <v>East</v>
      </c>
      <c r="O1986" t="str">
        <f>_xlfn.XLOOKUP(C1986,tblProducts[product_id],tblProducts[product_name],"Missing")</f>
        <v>Analytics Cloud</v>
      </c>
      <c r="P1986" t="str">
        <f>_xlfn.XLOOKUP(C1986,tblProducts[product_id],tblProducts[category],"Missing")</f>
        <v>Analytics</v>
      </c>
      <c r="Q1986" t="str">
        <f>_xlfn.XLOOKUP(D1986,tblSalesReps[rep_id],tblSalesReps[rep_name],"Missing")</f>
        <v>Sales Rep 20</v>
      </c>
      <c r="R1986" t="str">
        <f>_xlfn.XLOOKUP(D1986,tblSalesReps[rep_id],tblSalesReps[region],"Missing")</f>
        <v>East</v>
      </c>
    </row>
    <row r="1987" spans="1:18">
      <c r="A1987" t="s">
        <v>2523</v>
      </c>
      <c r="B1987" t="s">
        <v>581</v>
      </c>
      <c r="C1987" t="s">
        <v>21</v>
      </c>
      <c r="D1987" t="s">
        <v>70</v>
      </c>
      <c r="E1987" s="1">
        <v>45810</v>
      </c>
      <c r="F1987" s="1">
        <v>45866</v>
      </c>
      <c r="G1987" s="1">
        <v>45866</v>
      </c>
      <c r="H1987" t="s">
        <v>17</v>
      </c>
      <c r="I1987">
        <v>1</v>
      </c>
      <c r="J1987">
        <v>20</v>
      </c>
      <c r="K1987">
        <v>192000</v>
      </c>
      <c r="L1987">
        <v>0</v>
      </c>
      <c r="M1987" t="s">
        <v>82</v>
      </c>
      <c r="N1987" t="str">
        <f>_xlfn.XLOOKUP(B1987,tblCustomers[customer_id],tblCustomers[region],"Missing")</f>
        <v>West</v>
      </c>
      <c r="O1987" t="str">
        <f>_xlfn.XLOOKUP(C1987,tblProducts[product_id],tblProducts[product_name],"Missing")</f>
        <v>Workflow Automate</v>
      </c>
      <c r="P1987" t="str">
        <f>_xlfn.XLOOKUP(C1987,tblProducts[product_id],tblProducts[category],"Missing")</f>
        <v>Automation</v>
      </c>
      <c r="Q1987" t="str">
        <f>_xlfn.XLOOKUP(D1987,tblSalesReps[rep_id],tblSalesReps[rep_name],"Missing")</f>
        <v>Sales Rep 11</v>
      </c>
      <c r="R1987" t="str">
        <f>_xlfn.XLOOKUP(D1987,tblSalesReps[rep_id],tblSalesReps[region],"Missing")</f>
        <v>West</v>
      </c>
    </row>
    <row r="1988" spans="1:18">
      <c r="A1988" t="s">
        <v>2524</v>
      </c>
      <c r="B1988" t="s">
        <v>639</v>
      </c>
      <c r="C1988" t="s">
        <v>15</v>
      </c>
      <c r="D1988" t="s">
        <v>50</v>
      </c>
      <c r="E1988" s="1">
        <v>45842</v>
      </c>
      <c r="F1988" s="1">
        <v>45903</v>
      </c>
      <c r="G1988" s="1">
        <v>45903</v>
      </c>
      <c r="H1988" t="s">
        <v>28</v>
      </c>
      <c r="I1988">
        <v>3</v>
      </c>
      <c r="J1988">
        <v>10</v>
      </c>
      <c r="K1988">
        <v>1134000</v>
      </c>
      <c r="L1988">
        <v>100</v>
      </c>
      <c r="M1988" t="s">
        <v>29</v>
      </c>
      <c r="N1988" t="str">
        <f>_xlfn.XLOOKUP(B1988,tblCustomers[customer_id],tblCustomers[region],"Missing")</f>
        <v>West</v>
      </c>
      <c r="O1988" t="str">
        <f>_xlfn.XLOOKUP(C1988,tblProducts[product_id],tblProducts[product_name],"Missing")</f>
        <v>CRM Enterprise</v>
      </c>
      <c r="P1988" t="str">
        <f>_xlfn.XLOOKUP(C1988,tblProducts[product_id],tblProducts[category],"Missing")</f>
        <v>CRM</v>
      </c>
      <c r="Q1988" t="str">
        <f>_xlfn.XLOOKUP(D1988,tblSalesReps[rep_id],tblSalesReps[rep_name],"Missing")</f>
        <v>Sales Rep 15</v>
      </c>
      <c r="R1988" t="str">
        <f>_xlfn.XLOOKUP(D1988,tblSalesReps[rep_id],tblSalesReps[region],"Missing")</f>
        <v>West</v>
      </c>
    </row>
    <row r="1989" spans="1:18">
      <c r="A1989" t="s">
        <v>2525</v>
      </c>
      <c r="B1989" t="s">
        <v>2526</v>
      </c>
      <c r="C1989" t="s">
        <v>26</v>
      </c>
      <c r="D1989" t="s">
        <v>75</v>
      </c>
      <c r="E1989" s="1">
        <v>45709</v>
      </c>
      <c r="F1989" s="1">
        <v>45785</v>
      </c>
      <c r="G1989" s="1">
        <v>45785</v>
      </c>
      <c r="H1989" t="s">
        <v>17</v>
      </c>
      <c r="I1989">
        <v>1</v>
      </c>
      <c r="J1989">
        <v>0</v>
      </c>
      <c r="K1989">
        <v>360000</v>
      </c>
      <c r="L1989">
        <v>0</v>
      </c>
      <c r="M1989" t="s">
        <v>33</v>
      </c>
      <c r="N1989" t="str">
        <f>_xlfn.XLOOKUP(B1989,tblCustomers[customer_id],tblCustomers[region],"Missing")</f>
        <v>North</v>
      </c>
      <c r="O1989" t="str">
        <f>_xlfn.XLOOKUP(C1989,tblProducts[product_id],tblProducts[product_name],"Missing")</f>
        <v>Security Suite</v>
      </c>
      <c r="P1989" t="str">
        <f>_xlfn.XLOOKUP(C1989,tblProducts[product_id],tblProducts[category],"Missing")</f>
        <v>Security</v>
      </c>
      <c r="Q1989" t="str">
        <f>_xlfn.XLOOKUP(D1989,tblSalesReps[rep_id],tblSalesReps[rep_name],"Missing")</f>
        <v>Sales Rep 07</v>
      </c>
      <c r="R1989" t="str">
        <f>_xlfn.XLOOKUP(D1989,tblSalesReps[rep_id],tblSalesReps[region],"Missing")</f>
        <v>North</v>
      </c>
    </row>
    <row r="1990" spans="1:18">
      <c r="A1990" t="s">
        <v>2527</v>
      </c>
      <c r="B1990" t="s">
        <v>992</v>
      </c>
      <c r="C1990" t="s">
        <v>15</v>
      </c>
      <c r="D1990" t="s">
        <v>63</v>
      </c>
      <c r="E1990" s="1">
        <v>45940</v>
      </c>
      <c r="F1990" s="1">
        <v>45958</v>
      </c>
      <c r="G1990" s="1"/>
      <c r="H1990" t="s">
        <v>43</v>
      </c>
      <c r="I1990">
        <v>1</v>
      </c>
      <c r="J1990">
        <v>5</v>
      </c>
      <c r="K1990">
        <v>399000</v>
      </c>
      <c r="L1990">
        <v>20</v>
      </c>
      <c r="M1990" t="s">
        <v>29</v>
      </c>
      <c r="N1990" t="str">
        <f>_xlfn.XLOOKUP(B1990,tblCustomers[customer_id],tblCustomers[region],"Missing")</f>
        <v>South</v>
      </c>
      <c r="O1990" t="str">
        <f>_xlfn.XLOOKUP(C1990,tblProducts[product_id],tblProducts[product_name],"Missing")</f>
        <v>CRM Enterprise</v>
      </c>
      <c r="P1990" t="str">
        <f>_xlfn.XLOOKUP(C1990,tblProducts[product_id],tblProducts[category],"Missing")</f>
        <v>CRM</v>
      </c>
      <c r="Q1990" t="str">
        <f>_xlfn.XLOOKUP(D1990,tblSalesReps[rep_id],tblSalesReps[rep_name],"Missing")</f>
        <v>Sales Rep 05</v>
      </c>
      <c r="R1990" t="str">
        <f>_xlfn.XLOOKUP(D1990,tblSalesReps[rep_id],tblSalesReps[region],"Missing")</f>
        <v>South</v>
      </c>
    </row>
    <row r="1991" spans="1:18">
      <c r="A1991" t="s">
        <v>2528</v>
      </c>
      <c r="B1991" t="s">
        <v>185</v>
      </c>
      <c r="C1991" t="s">
        <v>62</v>
      </c>
      <c r="D1991" t="s">
        <v>78</v>
      </c>
      <c r="E1991" s="1">
        <v>45781</v>
      </c>
      <c r="F1991" s="1">
        <v>45834</v>
      </c>
      <c r="G1991" s="1">
        <v>45834</v>
      </c>
      <c r="H1991" t="s">
        <v>17</v>
      </c>
      <c r="I1991">
        <v>1</v>
      </c>
      <c r="J1991">
        <v>5</v>
      </c>
      <c r="K1991">
        <v>114000</v>
      </c>
      <c r="L1991">
        <v>0</v>
      </c>
      <c r="M1991" t="s">
        <v>47</v>
      </c>
      <c r="N1991" t="str">
        <f>_xlfn.XLOOKUP(B1991,tblCustomers[customer_id],tblCustomers[region],"Missing")</f>
        <v>West</v>
      </c>
      <c r="O1991" t="str">
        <f>_xlfn.XLOOKUP(C1991,tblProducts[product_id],tblProducts[product_name],"Missing")</f>
        <v>CRM Essentials</v>
      </c>
      <c r="P1991" t="str">
        <f>_xlfn.XLOOKUP(C1991,tblProducts[product_id],tblProducts[category],"Missing")</f>
        <v>CRM</v>
      </c>
      <c r="Q1991" t="str">
        <f>_xlfn.XLOOKUP(D1991,tblSalesReps[rep_id],tblSalesReps[rep_name],"Missing")</f>
        <v>Sales Rep 12</v>
      </c>
      <c r="R1991" t="str">
        <f>_xlfn.XLOOKUP(D1991,tblSalesReps[rep_id],tblSalesReps[region],"Missing")</f>
        <v>West</v>
      </c>
    </row>
    <row r="1992" spans="1:18">
      <c r="A1992" t="s">
        <v>2529</v>
      </c>
      <c r="B1992" t="s">
        <v>1483</v>
      </c>
      <c r="C1992" t="s">
        <v>39</v>
      </c>
      <c r="D1992" t="s">
        <v>126</v>
      </c>
      <c r="E1992" s="1">
        <v>45698</v>
      </c>
      <c r="F1992" s="1">
        <v>45710</v>
      </c>
      <c r="G1992" s="1">
        <v>45710</v>
      </c>
      <c r="H1992" t="s">
        <v>28</v>
      </c>
      <c r="I1992">
        <v>1</v>
      </c>
      <c r="J1992">
        <v>5</v>
      </c>
      <c r="K1992">
        <v>171000</v>
      </c>
      <c r="L1992">
        <v>100</v>
      </c>
      <c r="M1992" t="s">
        <v>29</v>
      </c>
      <c r="N1992" t="str">
        <f>_xlfn.XLOOKUP(B1992,tblCustomers[customer_id],tblCustomers[region],"Missing")</f>
        <v>South</v>
      </c>
      <c r="O1992" t="str">
        <f>_xlfn.XLOOKUP(C1992,tblProducts[product_id],tblProducts[product_name],"Missing")</f>
        <v>Support Desk</v>
      </c>
      <c r="P1992" t="str">
        <f>_xlfn.XLOOKUP(C1992,tblProducts[product_id],tblProducts[category],"Missing")</f>
        <v>Service</v>
      </c>
      <c r="Q1992" t="str">
        <f>_xlfn.XLOOKUP(D1992,tblSalesReps[rep_id],tblSalesReps[rep_name],"Missing")</f>
        <v>Sales Rep 02</v>
      </c>
      <c r="R1992" t="str">
        <f>_xlfn.XLOOKUP(D1992,tblSalesReps[rep_id],tblSalesReps[region],"Missing")</f>
        <v>South</v>
      </c>
    </row>
    <row r="1993" spans="1:18">
      <c r="A1993" t="s">
        <v>2530</v>
      </c>
      <c r="B1993" t="s">
        <v>177</v>
      </c>
      <c r="C1993" t="s">
        <v>21</v>
      </c>
      <c r="D1993" t="s">
        <v>22</v>
      </c>
      <c r="E1993" s="1">
        <v>45952</v>
      </c>
      <c r="F1993" s="1">
        <v>45960</v>
      </c>
      <c r="G1993" s="1">
        <v>45960</v>
      </c>
      <c r="H1993" t="s">
        <v>17</v>
      </c>
      <c r="I1993">
        <v>1</v>
      </c>
      <c r="J1993">
        <v>0</v>
      </c>
      <c r="K1993">
        <v>240000</v>
      </c>
      <c r="L1993">
        <v>0</v>
      </c>
      <c r="M1993" t="s">
        <v>33</v>
      </c>
      <c r="N1993" t="str">
        <f>_xlfn.XLOOKUP(B1993,tblCustomers[customer_id],tblCustomers[region],"Missing")</f>
        <v>West</v>
      </c>
      <c r="O1993" t="str">
        <f>_xlfn.XLOOKUP(C1993,tblProducts[product_id],tblProducts[product_name],"Missing")</f>
        <v>Workflow Automate</v>
      </c>
      <c r="P1993" t="str">
        <f>_xlfn.XLOOKUP(C1993,tblProducts[product_id],tblProducts[category],"Missing")</f>
        <v>Automation</v>
      </c>
      <c r="Q1993" t="str">
        <f>_xlfn.XLOOKUP(D1993,tblSalesReps[rep_id],tblSalesReps[rep_name],"Missing")</f>
        <v>Sales Rep 14</v>
      </c>
      <c r="R1993" t="str">
        <f>_xlfn.XLOOKUP(D1993,tblSalesReps[rep_id],tblSalesReps[region],"Missing")</f>
        <v>West</v>
      </c>
    </row>
    <row r="1994" spans="1:18">
      <c r="A1994" t="s">
        <v>2531</v>
      </c>
      <c r="B1994" t="s">
        <v>1277</v>
      </c>
      <c r="C1994" t="s">
        <v>21</v>
      </c>
      <c r="D1994" t="s">
        <v>56</v>
      </c>
      <c r="E1994" s="1">
        <v>45780</v>
      </c>
      <c r="F1994" s="1">
        <v>45814</v>
      </c>
      <c r="G1994" s="1">
        <v>45814</v>
      </c>
      <c r="H1994" t="s">
        <v>28</v>
      </c>
      <c r="I1994">
        <v>3</v>
      </c>
      <c r="J1994">
        <v>15</v>
      </c>
      <c r="K1994">
        <v>612000</v>
      </c>
      <c r="L1994">
        <v>100</v>
      </c>
      <c r="M1994" t="s">
        <v>29</v>
      </c>
      <c r="N1994" t="str">
        <f>_xlfn.XLOOKUP(B1994,tblCustomers[customer_id],tblCustomers[region],"Missing")</f>
        <v>East</v>
      </c>
      <c r="O1994" t="str">
        <f>_xlfn.XLOOKUP(C1994,tblProducts[product_id],tblProducts[product_name],"Missing")</f>
        <v>Workflow Automate</v>
      </c>
      <c r="P1994" t="str">
        <f>_xlfn.XLOOKUP(C1994,tblProducts[product_id],tblProducts[category],"Missing")</f>
        <v>Automation</v>
      </c>
      <c r="Q1994" t="str">
        <f>_xlfn.XLOOKUP(D1994,tblSalesReps[rep_id],tblSalesReps[rep_name],"Missing")</f>
        <v>Sales Rep 20</v>
      </c>
      <c r="R1994" t="str">
        <f>_xlfn.XLOOKUP(D1994,tblSalesReps[rep_id],tblSalesReps[region],"Missing")</f>
        <v>East</v>
      </c>
    </row>
    <row r="1995" spans="1:18">
      <c r="A1995" t="s">
        <v>2532</v>
      </c>
      <c r="B1995" t="s">
        <v>298</v>
      </c>
      <c r="C1995" t="s">
        <v>15</v>
      </c>
      <c r="D1995" t="s">
        <v>59</v>
      </c>
      <c r="E1995" s="1">
        <v>45730</v>
      </c>
      <c r="F1995" s="1">
        <v>45760</v>
      </c>
      <c r="G1995" s="1">
        <v>45760</v>
      </c>
      <c r="H1995" t="s">
        <v>17</v>
      </c>
      <c r="I1995">
        <v>1</v>
      </c>
      <c r="J1995">
        <v>10</v>
      </c>
      <c r="K1995">
        <v>378000</v>
      </c>
      <c r="L1995">
        <v>0</v>
      </c>
      <c r="M1995" t="s">
        <v>23</v>
      </c>
      <c r="N1995" t="str">
        <f>_xlfn.XLOOKUP(B1995,tblCustomers[customer_id],tblCustomers[region],"Missing")</f>
        <v>East</v>
      </c>
      <c r="O1995" t="str">
        <f>_xlfn.XLOOKUP(C1995,tblProducts[product_id],tblProducts[product_name],"Missing")</f>
        <v>CRM Enterprise</v>
      </c>
      <c r="P1995" t="str">
        <f>_xlfn.XLOOKUP(C1995,tblProducts[product_id],tblProducts[category],"Missing")</f>
        <v>CRM</v>
      </c>
      <c r="Q1995" t="str">
        <f>_xlfn.XLOOKUP(D1995,tblSalesReps[rep_id],tblSalesReps[rep_name],"Missing")</f>
        <v>Sales Rep 19</v>
      </c>
      <c r="R1995" t="str">
        <f>_xlfn.XLOOKUP(D1995,tblSalesReps[rep_id],tblSalesReps[region],"Missing")</f>
        <v>East</v>
      </c>
    </row>
    <row r="1996" spans="1:18">
      <c r="A1996" t="s">
        <v>2533</v>
      </c>
      <c r="B1996" t="s">
        <v>555</v>
      </c>
      <c r="C1996" t="s">
        <v>39</v>
      </c>
      <c r="D1996" t="s">
        <v>53</v>
      </c>
      <c r="E1996" s="1">
        <v>45749</v>
      </c>
      <c r="F1996" s="1">
        <v>45777</v>
      </c>
      <c r="G1996" s="1"/>
      <c r="H1996" t="s">
        <v>43</v>
      </c>
      <c r="I1996">
        <v>1</v>
      </c>
      <c r="J1996">
        <v>15</v>
      </c>
      <c r="K1996">
        <v>153000</v>
      </c>
      <c r="L1996">
        <v>20</v>
      </c>
      <c r="M1996" t="s">
        <v>29</v>
      </c>
      <c r="N1996" t="str">
        <f>_xlfn.XLOOKUP(B1996,tblCustomers[customer_id],tblCustomers[region],"Missing")</f>
        <v>East</v>
      </c>
      <c r="O1996" t="str">
        <f>_xlfn.XLOOKUP(C1996,tblProducts[product_id],tblProducts[product_name],"Missing")</f>
        <v>Support Desk</v>
      </c>
      <c r="P1996" t="str">
        <f>_xlfn.XLOOKUP(C1996,tblProducts[product_id],tblProducts[category],"Missing")</f>
        <v>Service</v>
      </c>
      <c r="Q1996" t="str">
        <f>_xlfn.XLOOKUP(D1996,tblSalesReps[rep_id],tblSalesReps[rep_name],"Missing")</f>
        <v>Sales Rep 16</v>
      </c>
      <c r="R1996" t="str">
        <f>_xlfn.XLOOKUP(D1996,tblSalesReps[rep_id],tblSalesReps[region],"Missing")</f>
        <v>East</v>
      </c>
    </row>
    <row r="1997" spans="1:18">
      <c r="A1997" t="s">
        <v>2534</v>
      </c>
      <c r="B1997" t="s">
        <v>491</v>
      </c>
      <c r="C1997" t="s">
        <v>62</v>
      </c>
      <c r="D1997" t="s">
        <v>56</v>
      </c>
      <c r="E1997" s="1">
        <v>45777</v>
      </c>
      <c r="F1997" s="1">
        <v>45828</v>
      </c>
      <c r="G1997" s="1">
        <v>45828</v>
      </c>
      <c r="H1997" t="s">
        <v>28</v>
      </c>
      <c r="I1997">
        <v>1</v>
      </c>
      <c r="J1997">
        <v>15</v>
      </c>
      <c r="K1997">
        <v>102000</v>
      </c>
      <c r="L1997">
        <v>100</v>
      </c>
      <c r="M1997" t="s">
        <v>29</v>
      </c>
      <c r="N1997" t="str">
        <f>_xlfn.XLOOKUP(B1997,tblCustomers[customer_id],tblCustomers[region],"Missing")</f>
        <v>East</v>
      </c>
      <c r="O1997" t="str">
        <f>_xlfn.XLOOKUP(C1997,tblProducts[product_id],tblProducts[product_name],"Missing")</f>
        <v>CRM Essentials</v>
      </c>
      <c r="P1997" t="str">
        <f>_xlfn.XLOOKUP(C1997,tblProducts[product_id],tblProducts[category],"Missing")</f>
        <v>CRM</v>
      </c>
      <c r="Q1997" t="str">
        <f>_xlfn.XLOOKUP(D1997,tblSalesReps[rep_id],tblSalesReps[rep_name],"Missing")</f>
        <v>Sales Rep 20</v>
      </c>
      <c r="R1997" t="str">
        <f>_xlfn.XLOOKUP(D1997,tblSalesReps[rep_id],tblSalesReps[region],"Missing")</f>
        <v>East</v>
      </c>
    </row>
    <row r="1998" spans="1:18">
      <c r="A1998" t="s">
        <v>2535</v>
      </c>
      <c r="B1998" t="s">
        <v>1060</v>
      </c>
      <c r="C1998" t="s">
        <v>81</v>
      </c>
      <c r="D1998" t="s">
        <v>56</v>
      </c>
      <c r="E1998" s="1">
        <v>45835</v>
      </c>
      <c r="F1998" s="1">
        <v>45863</v>
      </c>
      <c r="G1998" s="1">
        <v>45863</v>
      </c>
      <c r="H1998" t="s">
        <v>17</v>
      </c>
      <c r="I1998">
        <v>3</v>
      </c>
      <c r="J1998">
        <v>5</v>
      </c>
      <c r="K1998">
        <v>855000</v>
      </c>
      <c r="L1998">
        <v>0</v>
      </c>
      <c r="M1998" t="s">
        <v>82</v>
      </c>
      <c r="N1998" t="str">
        <f>_xlfn.XLOOKUP(B1998,tblCustomers[customer_id],tblCustomers[region],"Missing")</f>
        <v>East</v>
      </c>
      <c r="O1998" t="str">
        <f>_xlfn.XLOOKUP(C1998,tblProducts[product_id],tblProducts[product_name],"Missing")</f>
        <v>Analytics Cloud</v>
      </c>
      <c r="P1998" t="str">
        <f>_xlfn.XLOOKUP(C1998,tblProducts[product_id],tblProducts[category],"Missing")</f>
        <v>Analytics</v>
      </c>
      <c r="Q1998" t="str">
        <f>_xlfn.XLOOKUP(D1998,tblSalesReps[rep_id],tblSalesReps[rep_name],"Missing")</f>
        <v>Sales Rep 20</v>
      </c>
      <c r="R1998" t="str">
        <f>_xlfn.XLOOKUP(D1998,tblSalesReps[rep_id],tblSalesReps[region],"Missing")</f>
        <v>East</v>
      </c>
    </row>
    <row r="1999" spans="1:18">
      <c r="A1999" t="s">
        <v>2536</v>
      </c>
      <c r="B1999" t="s">
        <v>270</v>
      </c>
      <c r="C1999" t="s">
        <v>15</v>
      </c>
      <c r="D1999" t="s">
        <v>119</v>
      </c>
      <c r="E1999" s="1">
        <v>45661</v>
      </c>
      <c r="F1999" s="1">
        <v>45680</v>
      </c>
      <c r="G1999" s="1">
        <v>45680</v>
      </c>
      <c r="H1999" t="s">
        <v>28</v>
      </c>
      <c r="I1999">
        <v>1</v>
      </c>
      <c r="J1999">
        <v>5</v>
      </c>
      <c r="K1999">
        <v>399000</v>
      </c>
      <c r="L1999">
        <v>100</v>
      </c>
      <c r="M1999" t="s">
        <v>29</v>
      </c>
      <c r="N1999" t="str">
        <f>_xlfn.XLOOKUP(B1999,tblCustomers[customer_id],tblCustomers[region],"Missing")</f>
        <v>North</v>
      </c>
      <c r="O1999" t="str">
        <f>_xlfn.XLOOKUP(C1999,tblProducts[product_id],tblProducts[product_name],"Missing")</f>
        <v>CRM Enterprise</v>
      </c>
      <c r="P1999" t="str">
        <f>_xlfn.XLOOKUP(C1999,tblProducts[product_id],tblProducts[category],"Missing")</f>
        <v>CRM</v>
      </c>
      <c r="Q1999" t="str">
        <f>_xlfn.XLOOKUP(D1999,tblSalesReps[rep_id],tblSalesReps[rep_name],"Missing")</f>
        <v>Sales Rep 10</v>
      </c>
      <c r="R1999" t="str">
        <f>_xlfn.XLOOKUP(D1999,tblSalesReps[rep_id],tblSalesReps[region],"Missing")</f>
        <v>North</v>
      </c>
    </row>
    <row r="2000" spans="1:18">
      <c r="A2000" t="s">
        <v>2537</v>
      </c>
      <c r="B2000" t="s">
        <v>1074</v>
      </c>
      <c r="C2000" t="s">
        <v>26</v>
      </c>
      <c r="D2000" t="s">
        <v>91</v>
      </c>
      <c r="E2000" s="1">
        <v>45764</v>
      </c>
      <c r="F2000" s="1">
        <v>45773</v>
      </c>
      <c r="G2000" s="1">
        <v>45773</v>
      </c>
      <c r="H2000" t="s">
        <v>17</v>
      </c>
      <c r="I2000">
        <v>1</v>
      </c>
      <c r="J2000">
        <v>0</v>
      </c>
      <c r="K2000">
        <v>360000</v>
      </c>
      <c r="L2000">
        <v>0</v>
      </c>
      <c r="M2000" t="s">
        <v>47</v>
      </c>
      <c r="N2000" t="str">
        <f>_xlfn.XLOOKUP(B2000,tblCustomers[customer_id],tblCustomers[region],"Missing")</f>
        <v>South</v>
      </c>
      <c r="O2000" t="str">
        <f>_xlfn.XLOOKUP(C2000,tblProducts[product_id],tblProducts[product_name],"Missing")</f>
        <v>Security Suite</v>
      </c>
      <c r="P2000" t="str">
        <f>_xlfn.XLOOKUP(C2000,tblProducts[product_id],tblProducts[category],"Missing")</f>
        <v>Security</v>
      </c>
      <c r="Q2000" t="str">
        <f>_xlfn.XLOOKUP(D2000,tblSalesReps[rep_id],tblSalesReps[rep_name],"Missing")</f>
        <v>Sales Rep 03</v>
      </c>
      <c r="R2000" t="str">
        <f>_xlfn.XLOOKUP(D2000,tblSalesReps[rep_id],tblSalesReps[region],"Missing")</f>
        <v>South</v>
      </c>
    </row>
    <row r="2001" spans="1:18">
      <c r="A2001" t="s">
        <v>2538</v>
      </c>
      <c r="B2001" t="s">
        <v>1526</v>
      </c>
      <c r="C2001" t="s">
        <v>62</v>
      </c>
      <c r="D2001" t="s">
        <v>36</v>
      </c>
      <c r="E2001" s="1">
        <v>45823</v>
      </c>
      <c r="F2001" s="1">
        <v>45830</v>
      </c>
      <c r="G2001" s="1"/>
      <c r="H2001" t="s">
        <v>43</v>
      </c>
      <c r="I2001">
        <v>3</v>
      </c>
      <c r="J2001">
        <v>10</v>
      </c>
      <c r="K2001">
        <v>324000</v>
      </c>
      <c r="L2001">
        <v>60</v>
      </c>
      <c r="M2001" t="s">
        <v>29</v>
      </c>
      <c r="N2001" t="str">
        <f>_xlfn.XLOOKUP(B2001,tblCustomers[customer_id],tblCustomers[region],"Missing")</f>
        <v>North</v>
      </c>
      <c r="O2001" t="str">
        <f>_xlfn.XLOOKUP(C2001,tblProducts[product_id],tblProducts[product_name],"Missing")</f>
        <v>CRM Essentials</v>
      </c>
      <c r="P2001" t="str">
        <f>_xlfn.XLOOKUP(C2001,tblProducts[product_id],tblProducts[category],"Missing")</f>
        <v>CRM</v>
      </c>
      <c r="Q2001" t="str">
        <f>_xlfn.XLOOKUP(D2001,tblSalesReps[rep_id],tblSalesReps[rep_name],"Missing")</f>
        <v>Sales Rep 09</v>
      </c>
      <c r="R2001" t="str">
        <f>_xlfn.XLOOKUP(D2001,tblSalesReps[rep_id],tblSalesReps[region],"Missing")</f>
        <v>North</v>
      </c>
    </row>
    <row r="2002" spans="1:18">
      <c r="A2002" t="s">
        <v>2539</v>
      </c>
      <c r="B2002" t="s">
        <v>1060</v>
      </c>
      <c r="C2002" t="s">
        <v>81</v>
      </c>
      <c r="D2002" t="s">
        <v>56</v>
      </c>
      <c r="E2002" s="1">
        <v>45909</v>
      </c>
      <c r="F2002" s="1">
        <v>45916</v>
      </c>
      <c r="G2002" s="1">
        <v>45916</v>
      </c>
      <c r="H2002" t="s">
        <v>28</v>
      </c>
      <c r="I2002">
        <v>3</v>
      </c>
      <c r="J2002">
        <v>5</v>
      </c>
      <c r="K2002">
        <v>855000</v>
      </c>
      <c r="L2002">
        <v>100</v>
      </c>
      <c r="M2002" t="s">
        <v>29</v>
      </c>
      <c r="N2002" t="str">
        <f>_xlfn.XLOOKUP(B2002,tblCustomers[customer_id],tblCustomers[region],"Missing")</f>
        <v>East</v>
      </c>
      <c r="O2002" t="str">
        <f>_xlfn.XLOOKUP(C2002,tblProducts[product_id],tblProducts[product_name],"Missing")</f>
        <v>Analytics Cloud</v>
      </c>
      <c r="P2002" t="str">
        <f>_xlfn.XLOOKUP(C2002,tblProducts[product_id],tblProducts[category],"Missing")</f>
        <v>Analytics</v>
      </c>
      <c r="Q2002" t="str">
        <f>_xlfn.XLOOKUP(D2002,tblSalesReps[rep_id],tblSalesReps[rep_name],"Missing")</f>
        <v>Sales Rep 20</v>
      </c>
      <c r="R2002" t="str">
        <f>_xlfn.XLOOKUP(D2002,tblSalesReps[rep_id],tblSalesReps[region],"Missing")</f>
        <v>East</v>
      </c>
    </row>
    <row r="2003" spans="1:18">
      <c r="A2003" t="s">
        <v>2540</v>
      </c>
      <c r="B2003" t="s">
        <v>660</v>
      </c>
      <c r="C2003" t="s">
        <v>26</v>
      </c>
      <c r="D2003" t="s">
        <v>119</v>
      </c>
      <c r="E2003" s="1">
        <v>45884</v>
      </c>
      <c r="F2003" s="1">
        <v>45908</v>
      </c>
      <c r="G2003" s="1">
        <v>45908</v>
      </c>
      <c r="H2003" t="s">
        <v>28</v>
      </c>
      <c r="I2003">
        <v>3</v>
      </c>
      <c r="J2003">
        <v>5</v>
      </c>
      <c r="K2003">
        <v>1026000</v>
      </c>
      <c r="L2003">
        <v>100</v>
      </c>
      <c r="M2003" t="s">
        <v>29</v>
      </c>
      <c r="N2003" t="str">
        <f>_xlfn.XLOOKUP(B2003,tblCustomers[customer_id],tblCustomers[region],"Missing")</f>
        <v>North</v>
      </c>
      <c r="O2003" t="str">
        <f>_xlfn.XLOOKUP(C2003,tblProducts[product_id],tblProducts[product_name],"Missing")</f>
        <v>Security Suite</v>
      </c>
      <c r="P2003" t="str">
        <f>_xlfn.XLOOKUP(C2003,tblProducts[product_id],tblProducts[category],"Missing")</f>
        <v>Security</v>
      </c>
      <c r="Q2003" t="str">
        <f>_xlfn.XLOOKUP(D2003,tblSalesReps[rep_id],tblSalesReps[rep_name],"Missing")</f>
        <v>Sales Rep 10</v>
      </c>
      <c r="R2003" t="str">
        <f>_xlfn.XLOOKUP(D2003,tblSalesReps[rep_id],tblSalesReps[region],"Missing")</f>
        <v>North</v>
      </c>
    </row>
    <row r="2004" spans="1:18">
      <c r="A2004" t="s">
        <v>2541</v>
      </c>
      <c r="B2004" t="s">
        <v>933</v>
      </c>
      <c r="C2004" t="s">
        <v>62</v>
      </c>
      <c r="D2004" t="s">
        <v>126</v>
      </c>
      <c r="E2004" s="1">
        <v>45690</v>
      </c>
      <c r="F2004" s="1">
        <v>45729</v>
      </c>
      <c r="G2004" s="1"/>
      <c r="H2004" t="s">
        <v>43</v>
      </c>
      <c r="I2004">
        <v>1</v>
      </c>
      <c r="J2004">
        <v>15</v>
      </c>
      <c r="K2004">
        <v>102000</v>
      </c>
      <c r="L2004">
        <v>40</v>
      </c>
      <c r="M2004" t="s">
        <v>29</v>
      </c>
      <c r="N2004" t="str">
        <f>_xlfn.XLOOKUP(B2004,tblCustomers[customer_id],tblCustomers[region],"Missing")</f>
        <v>South</v>
      </c>
      <c r="O2004" t="str">
        <f>_xlfn.XLOOKUP(C2004,tblProducts[product_id],tblProducts[product_name],"Missing")</f>
        <v>CRM Essentials</v>
      </c>
      <c r="P2004" t="str">
        <f>_xlfn.XLOOKUP(C2004,tblProducts[product_id],tblProducts[category],"Missing")</f>
        <v>CRM</v>
      </c>
      <c r="Q2004" t="str">
        <f>_xlfn.XLOOKUP(D2004,tblSalesReps[rep_id],tblSalesReps[rep_name],"Missing")</f>
        <v>Sales Rep 02</v>
      </c>
      <c r="R2004" t="str">
        <f>_xlfn.XLOOKUP(D2004,tblSalesReps[rep_id],tblSalesReps[region],"Missing")</f>
        <v>South</v>
      </c>
    </row>
    <row r="2005" spans="1:18">
      <c r="A2005" t="s">
        <v>2542</v>
      </c>
      <c r="B2005" t="s">
        <v>329</v>
      </c>
      <c r="C2005" t="s">
        <v>81</v>
      </c>
      <c r="D2005" t="s">
        <v>16</v>
      </c>
      <c r="E2005" s="1">
        <v>45901</v>
      </c>
      <c r="F2005" s="1">
        <v>45919</v>
      </c>
      <c r="G2005" s="1"/>
      <c r="H2005" t="s">
        <v>43</v>
      </c>
      <c r="I2005">
        <v>2</v>
      </c>
      <c r="J2005">
        <v>0</v>
      </c>
      <c r="K2005">
        <v>600000</v>
      </c>
      <c r="L2005">
        <v>80</v>
      </c>
      <c r="M2005" t="s">
        <v>29</v>
      </c>
      <c r="N2005" t="str">
        <f>_xlfn.XLOOKUP(B2005,tblCustomers[customer_id],tblCustomers[region],"Missing")</f>
        <v>North</v>
      </c>
      <c r="O2005" t="str">
        <f>_xlfn.XLOOKUP(C2005,tblProducts[product_id],tblProducts[product_name],"Missing")</f>
        <v>Analytics Cloud</v>
      </c>
      <c r="P2005" t="str">
        <f>_xlfn.XLOOKUP(C2005,tblProducts[product_id],tblProducts[category],"Missing")</f>
        <v>Analytics</v>
      </c>
      <c r="Q2005" t="str">
        <f>_xlfn.XLOOKUP(D2005,tblSalesReps[rep_id],tblSalesReps[rep_name],"Missing")</f>
        <v>Sales Rep 08</v>
      </c>
      <c r="R2005" t="str">
        <f>_xlfn.XLOOKUP(D2005,tblSalesReps[rep_id],tblSalesReps[region],"Missing")</f>
        <v>North</v>
      </c>
    </row>
    <row r="2006" spans="1:18">
      <c r="A2006" t="s">
        <v>2543</v>
      </c>
      <c r="B2006" t="s">
        <v>900</v>
      </c>
      <c r="C2006" t="s">
        <v>62</v>
      </c>
      <c r="D2006" t="s">
        <v>22</v>
      </c>
      <c r="E2006" s="1">
        <v>45996</v>
      </c>
      <c r="F2006" s="1">
        <v>46042</v>
      </c>
      <c r="G2006" s="1"/>
      <c r="H2006" t="s">
        <v>43</v>
      </c>
      <c r="I2006">
        <v>1</v>
      </c>
      <c r="J2006">
        <v>20</v>
      </c>
      <c r="K2006">
        <v>96000</v>
      </c>
      <c r="L2006">
        <v>20</v>
      </c>
      <c r="M2006" t="s">
        <v>29</v>
      </c>
      <c r="N2006" t="str">
        <f>_xlfn.XLOOKUP(B2006,tblCustomers[customer_id],tblCustomers[region],"Missing")</f>
        <v>West</v>
      </c>
      <c r="O2006" t="str">
        <f>_xlfn.XLOOKUP(C2006,tblProducts[product_id],tblProducts[product_name],"Missing")</f>
        <v>CRM Essentials</v>
      </c>
      <c r="P2006" t="str">
        <f>_xlfn.XLOOKUP(C2006,tblProducts[product_id],tblProducts[category],"Missing")</f>
        <v>CRM</v>
      </c>
      <c r="Q2006" t="str">
        <f>_xlfn.XLOOKUP(D2006,tblSalesReps[rep_id],tblSalesReps[rep_name],"Missing")</f>
        <v>Sales Rep 14</v>
      </c>
      <c r="R2006" t="str">
        <f>_xlfn.XLOOKUP(D2006,tblSalesReps[rep_id],tblSalesReps[region],"Missing")</f>
        <v>West</v>
      </c>
    </row>
    <row r="2007" spans="1:18">
      <c r="A2007" t="s">
        <v>2544</v>
      </c>
      <c r="B2007" t="s">
        <v>491</v>
      </c>
      <c r="C2007" t="s">
        <v>81</v>
      </c>
      <c r="D2007" t="s">
        <v>59</v>
      </c>
      <c r="E2007" s="1">
        <v>46013</v>
      </c>
      <c r="F2007" s="1">
        <v>46076</v>
      </c>
      <c r="G2007" s="1"/>
      <c r="H2007" t="s">
        <v>43</v>
      </c>
      <c r="I2007">
        <v>2</v>
      </c>
      <c r="J2007">
        <v>0</v>
      </c>
      <c r="K2007">
        <v>600000</v>
      </c>
      <c r="L2007">
        <v>60</v>
      </c>
      <c r="M2007" t="s">
        <v>29</v>
      </c>
      <c r="N2007" t="str">
        <f>_xlfn.XLOOKUP(B2007,tblCustomers[customer_id],tblCustomers[region],"Missing")</f>
        <v>East</v>
      </c>
      <c r="O2007" t="str">
        <f>_xlfn.XLOOKUP(C2007,tblProducts[product_id],tblProducts[product_name],"Missing")</f>
        <v>Analytics Cloud</v>
      </c>
      <c r="P2007" t="str">
        <f>_xlfn.XLOOKUP(C2007,tblProducts[product_id],tblProducts[category],"Missing")</f>
        <v>Analytics</v>
      </c>
      <c r="Q2007" t="str">
        <f>_xlfn.XLOOKUP(D2007,tblSalesReps[rep_id],tblSalesReps[rep_name],"Missing")</f>
        <v>Sales Rep 19</v>
      </c>
      <c r="R2007" t="str">
        <f>_xlfn.XLOOKUP(D2007,tblSalesReps[rep_id],tblSalesReps[region],"Missing")</f>
        <v>East</v>
      </c>
    </row>
    <row r="2008" spans="1:18">
      <c r="A2008" t="s">
        <v>2545</v>
      </c>
      <c r="B2008" t="s">
        <v>1164</v>
      </c>
      <c r="C2008" t="s">
        <v>62</v>
      </c>
      <c r="D2008" t="s">
        <v>32</v>
      </c>
      <c r="E2008" s="1">
        <v>45874</v>
      </c>
      <c r="F2008" s="1">
        <v>45890</v>
      </c>
      <c r="G2008" s="1">
        <v>45890</v>
      </c>
      <c r="H2008" t="s">
        <v>28</v>
      </c>
      <c r="I2008">
        <v>2</v>
      </c>
      <c r="J2008">
        <v>15</v>
      </c>
      <c r="K2008">
        <v>204000</v>
      </c>
      <c r="L2008">
        <v>100</v>
      </c>
      <c r="M2008" t="s">
        <v>29</v>
      </c>
      <c r="N2008" t="str">
        <f>_xlfn.XLOOKUP(B2008,tblCustomers[customer_id],tblCustomers[region],"Missing")</f>
        <v>South</v>
      </c>
      <c r="O2008" t="str">
        <f>_xlfn.XLOOKUP(C2008,tblProducts[product_id],tblProducts[product_name],"Missing")</f>
        <v>CRM Essentials</v>
      </c>
      <c r="P2008" t="str">
        <f>_xlfn.XLOOKUP(C2008,tblProducts[product_id],tblProducts[category],"Missing")</f>
        <v>CRM</v>
      </c>
      <c r="Q2008" t="str">
        <f>_xlfn.XLOOKUP(D2008,tblSalesReps[rep_id],tblSalesReps[rep_name],"Missing")</f>
        <v>Sales Rep 04</v>
      </c>
      <c r="R2008" t="str">
        <f>_xlfn.XLOOKUP(D2008,tblSalesReps[rep_id],tblSalesReps[region],"Missing")</f>
        <v>South</v>
      </c>
    </row>
    <row r="2009" spans="1:18">
      <c r="A2009" t="s">
        <v>2546</v>
      </c>
      <c r="B2009" t="s">
        <v>828</v>
      </c>
      <c r="C2009" t="s">
        <v>39</v>
      </c>
      <c r="D2009" t="s">
        <v>78</v>
      </c>
      <c r="E2009" s="1">
        <v>45883</v>
      </c>
      <c r="F2009" s="1">
        <v>45907</v>
      </c>
      <c r="G2009" s="1">
        <v>45907</v>
      </c>
      <c r="H2009" t="s">
        <v>17</v>
      </c>
      <c r="I2009">
        <v>1</v>
      </c>
      <c r="J2009">
        <v>5</v>
      </c>
      <c r="K2009">
        <v>171000</v>
      </c>
      <c r="L2009">
        <v>0</v>
      </c>
      <c r="M2009" t="s">
        <v>23</v>
      </c>
      <c r="N2009" t="str">
        <f>_xlfn.XLOOKUP(B2009,tblCustomers[customer_id],tblCustomers[region],"Missing")</f>
        <v>West</v>
      </c>
      <c r="O2009" t="str">
        <f>_xlfn.XLOOKUP(C2009,tblProducts[product_id],tblProducts[product_name],"Missing")</f>
        <v>Support Desk</v>
      </c>
      <c r="P2009" t="str">
        <f>_xlfn.XLOOKUP(C2009,tblProducts[product_id],tblProducts[category],"Missing")</f>
        <v>Service</v>
      </c>
      <c r="Q2009" t="str">
        <f>_xlfn.XLOOKUP(D2009,tblSalesReps[rep_id],tblSalesReps[rep_name],"Missing")</f>
        <v>Sales Rep 12</v>
      </c>
      <c r="R2009" t="str">
        <f>_xlfn.XLOOKUP(D2009,tblSalesReps[rep_id],tblSalesReps[region],"Missing")</f>
        <v>West</v>
      </c>
    </row>
    <row r="2010" spans="1:18">
      <c r="A2010" t="s">
        <v>2547</v>
      </c>
      <c r="B2010" t="s">
        <v>1400</v>
      </c>
      <c r="C2010" t="s">
        <v>26</v>
      </c>
      <c r="D2010" t="s">
        <v>50</v>
      </c>
      <c r="E2010" s="1">
        <v>45913</v>
      </c>
      <c r="F2010" s="1">
        <v>45978</v>
      </c>
      <c r="G2010" s="1">
        <v>45978</v>
      </c>
      <c r="H2010" t="s">
        <v>28</v>
      </c>
      <c r="I2010">
        <v>1</v>
      </c>
      <c r="J2010">
        <v>20</v>
      </c>
      <c r="K2010">
        <v>288000</v>
      </c>
      <c r="L2010">
        <v>100</v>
      </c>
      <c r="M2010" t="s">
        <v>29</v>
      </c>
      <c r="N2010" t="str">
        <f>_xlfn.XLOOKUP(B2010,tblCustomers[customer_id],tblCustomers[region],"Missing")</f>
        <v>West</v>
      </c>
      <c r="O2010" t="str">
        <f>_xlfn.XLOOKUP(C2010,tblProducts[product_id],tblProducts[product_name],"Missing")</f>
        <v>Security Suite</v>
      </c>
      <c r="P2010" t="str">
        <f>_xlfn.XLOOKUP(C2010,tblProducts[product_id],tblProducts[category],"Missing")</f>
        <v>Security</v>
      </c>
      <c r="Q2010" t="str">
        <f>_xlfn.XLOOKUP(D2010,tblSalesReps[rep_id],tblSalesReps[rep_name],"Missing")</f>
        <v>Sales Rep 15</v>
      </c>
      <c r="R2010" t="str">
        <f>_xlfn.XLOOKUP(D2010,tblSalesReps[rep_id],tblSalesReps[region],"Missing")</f>
        <v>West</v>
      </c>
    </row>
    <row r="2011" spans="1:18">
      <c r="A2011" t="s">
        <v>2548</v>
      </c>
      <c r="B2011" t="s">
        <v>1884</v>
      </c>
      <c r="C2011" t="s">
        <v>39</v>
      </c>
      <c r="D2011" t="s">
        <v>63</v>
      </c>
      <c r="E2011" s="1">
        <v>45863</v>
      </c>
      <c r="F2011" s="1">
        <v>45895</v>
      </c>
      <c r="G2011" s="1">
        <v>45895</v>
      </c>
      <c r="H2011" t="s">
        <v>17</v>
      </c>
      <c r="I2011">
        <v>3</v>
      </c>
      <c r="J2011">
        <v>20</v>
      </c>
      <c r="K2011">
        <v>432000</v>
      </c>
      <c r="L2011">
        <v>0</v>
      </c>
      <c r="M2011" t="s">
        <v>82</v>
      </c>
      <c r="N2011" t="str">
        <f>_xlfn.XLOOKUP(B2011,tblCustomers[customer_id],tblCustomers[region],"Missing")</f>
        <v>South</v>
      </c>
      <c r="O2011" t="str">
        <f>_xlfn.XLOOKUP(C2011,tblProducts[product_id],tblProducts[product_name],"Missing")</f>
        <v>Support Desk</v>
      </c>
      <c r="P2011" t="str">
        <f>_xlfn.XLOOKUP(C2011,tblProducts[product_id],tblProducts[category],"Missing")</f>
        <v>Service</v>
      </c>
      <c r="Q2011" t="str">
        <f>_xlfn.XLOOKUP(D2011,tblSalesReps[rep_id],tblSalesReps[rep_name],"Missing")</f>
        <v>Sales Rep 05</v>
      </c>
      <c r="R2011" t="str">
        <f>_xlfn.XLOOKUP(D2011,tblSalesReps[rep_id],tblSalesReps[region],"Missing")</f>
        <v>South</v>
      </c>
    </row>
    <row r="2012" spans="1:18">
      <c r="A2012" t="s">
        <v>2549</v>
      </c>
      <c r="B2012" t="s">
        <v>1035</v>
      </c>
      <c r="C2012" t="s">
        <v>15</v>
      </c>
      <c r="D2012" t="s">
        <v>63</v>
      </c>
      <c r="E2012" s="1">
        <v>45697</v>
      </c>
      <c r="F2012" s="1">
        <v>45774</v>
      </c>
      <c r="G2012" s="1">
        <v>45774</v>
      </c>
      <c r="H2012" t="s">
        <v>17</v>
      </c>
      <c r="I2012">
        <v>2</v>
      </c>
      <c r="J2012">
        <v>15</v>
      </c>
      <c r="K2012">
        <v>714000</v>
      </c>
      <c r="L2012">
        <v>0</v>
      </c>
      <c r="M2012" t="s">
        <v>47</v>
      </c>
      <c r="N2012" t="str">
        <f>_xlfn.XLOOKUP(B2012,tblCustomers[customer_id],tblCustomers[region],"Missing")</f>
        <v>South</v>
      </c>
      <c r="O2012" t="str">
        <f>_xlfn.XLOOKUP(C2012,tblProducts[product_id],tblProducts[product_name],"Missing")</f>
        <v>CRM Enterprise</v>
      </c>
      <c r="P2012" t="str">
        <f>_xlfn.XLOOKUP(C2012,tblProducts[product_id],tblProducts[category],"Missing")</f>
        <v>CRM</v>
      </c>
      <c r="Q2012" t="str">
        <f>_xlfn.XLOOKUP(D2012,tblSalesReps[rep_id],tblSalesReps[rep_name],"Missing")</f>
        <v>Sales Rep 05</v>
      </c>
      <c r="R2012" t="str">
        <f>_xlfn.XLOOKUP(D2012,tblSalesReps[rep_id],tblSalesReps[region],"Missing")</f>
        <v>South</v>
      </c>
    </row>
    <row r="2013" spans="1:18">
      <c r="A2013" t="s">
        <v>2550</v>
      </c>
      <c r="B2013" t="s">
        <v>206</v>
      </c>
      <c r="C2013" t="s">
        <v>62</v>
      </c>
      <c r="D2013" t="s">
        <v>27</v>
      </c>
      <c r="E2013" s="1">
        <v>45868</v>
      </c>
      <c r="F2013" s="1">
        <v>45906</v>
      </c>
      <c r="G2013" s="1">
        <v>45906</v>
      </c>
      <c r="H2013" t="s">
        <v>17</v>
      </c>
      <c r="I2013">
        <v>1</v>
      </c>
      <c r="J2013">
        <v>0</v>
      </c>
      <c r="K2013">
        <v>120000</v>
      </c>
      <c r="L2013">
        <v>0</v>
      </c>
      <c r="M2013" t="s">
        <v>18</v>
      </c>
      <c r="N2013" t="str">
        <f>_xlfn.XLOOKUP(B2013,tblCustomers[customer_id],tblCustomers[region],"Missing")</f>
        <v>North</v>
      </c>
      <c r="O2013" t="str">
        <f>_xlfn.XLOOKUP(C2013,tblProducts[product_id],tblProducts[product_name],"Missing")</f>
        <v>CRM Essentials</v>
      </c>
      <c r="P2013" t="str">
        <f>_xlfn.XLOOKUP(C2013,tblProducts[product_id],tblProducts[category],"Missing")</f>
        <v>CRM</v>
      </c>
      <c r="Q2013" t="str">
        <f>_xlfn.XLOOKUP(D2013,tblSalesReps[rep_id],tblSalesReps[rep_name],"Missing")</f>
        <v>Sales Rep 06</v>
      </c>
      <c r="R2013" t="str">
        <f>_xlfn.XLOOKUP(D2013,tblSalesReps[rep_id],tblSalesReps[region],"Missing")</f>
        <v>North</v>
      </c>
    </row>
    <row r="2014" spans="1:18">
      <c r="A2014" t="s">
        <v>2551</v>
      </c>
      <c r="B2014" t="s">
        <v>443</v>
      </c>
      <c r="C2014" t="s">
        <v>81</v>
      </c>
      <c r="D2014" t="s">
        <v>78</v>
      </c>
      <c r="E2014" s="1">
        <v>45928</v>
      </c>
      <c r="F2014" s="1">
        <v>45958</v>
      </c>
      <c r="G2014" s="1">
        <v>45958</v>
      </c>
      <c r="H2014" t="s">
        <v>17</v>
      </c>
      <c r="I2014">
        <v>1</v>
      </c>
      <c r="J2014">
        <v>5</v>
      </c>
      <c r="K2014">
        <v>285000</v>
      </c>
      <c r="L2014">
        <v>0</v>
      </c>
      <c r="M2014" t="s">
        <v>82</v>
      </c>
      <c r="N2014" t="str">
        <f>_xlfn.XLOOKUP(B2014,tblCustomers[customer_id],tblCustomers[region],"Missing")</f>
        <v>West</v>
      </c>
      <c r="O2014" t="str">
        <f>_xlfn.XLOOKUP(C2014,tblProducts[product_id],tblProducts[product_name],"Missing")</f>
        <v>Analytics Cloud</v>
      </c>
      <c r="P2014" t="str">
        <f>_xlfn.XLOOKUP(C2014,tblProducts[product_id],tblProducts[category],"Missing")</f>
        <v>Analytics</v>
      </c>
      <c r="Q2014" t="str">
        <f>_xlfn.XLOOKUP(D2014,tblSalesReps[rep_id],tblSalesReps[rep_name],"Missing")</f>
        <v>Sales Rep 12</v>
      </c>
      <c r="R2014" t="str">
        <f>_xlfn.XLOOKUP(D2014,tblSalesReps[rep_id],tblSalesReps[region],"Missing")</f>
        <v>West</v>
      </c>
    </row>
    <row r="2015" spans="1:18">
      <c r="A2015" t="s">
        <v>2552</v>
      </c>
      <c r="B2015" t="s">
        <v>653</v>
      </c>
      <c r="C2015" t="s">
        <v>26</v>
      </c>
      <c r="D2015" t="s">
        <v>152</v>
      </c>
      <c r="E2015" s="1">
        <v>45762</v>
      </c>
      <c r="F2015" s="1">
        <v>45806</v>
      </c>
      <c r="G2015" s="1">
        <v>45806</v>
      </c>
      <c r="H2015" t="s">
        <v>28</v>
      </c>
      <c r="I2015">
        <v>1</v>
      </c>
      <c r="J2015">
        <v>0</v>
      </c>
      <c r="K2015">
        <v>360000</v>
      </c>
      <c r="L2015">
        <v>100</v>
      </c>
      <c r="M2015" t="s">
        <v>29</v>
      </c>
      <c r="N2015" t="str">
        <f>_xlfn.XLOOKUP(B2015,tblCustomers[customer_id],tblCustomers[region],"Missing")</f>
        <v>East</v>
      </c>
      <c r="O2015" t="str">
        <f>_xlfn.XLOOKUP(C2015,tblProducts[product_id],tblProducts[product_name],"Missing")</f>
        <v>Security Suite</v>
      </c>
      <c r="P2015" t="str">
        <f>_xlfn.XLOOKUP(C2015,tblProducts[product_id],tblProducts[category],"Missing")</f>
        <v>Security</v>
      </c>
      <c r="Q2015" t="str">
        <f>_xlfn.XLOOKUP(D2015,tblSalesReps[rep_id],tblSalesReps[rep_name],"Missing")</f>
        <v>Sales Rep 18</v>
      </c>
      <c r="R2015" t="str">
        <f>_xlfn.XLOOKUP(D2015,tblSalesReps[rep_id],tblSalesReps[region],"Missing")</f>
        <v>East</v>
      </c>
    </row>
    <row r="2016" spans="1:18">
      <c r="A2016" t="s">
        <v>2553</v>
      </c>
      <c r="B2016" t="s">
        <v>1453</v>
      </c>
      <c r="C2016" t="s">
        <v>21</v>
      </c>
      <c r="D2016" t="s">
        <v>59</v>
      </c>
      <c r="E2016" s="1">
        <v>45986</v>
      </c>
      <c r="F2016" s="1">
        <v>46003</v>
      </c>
      <c r="G2016" s="1">
        <v>46003</v>
      </c>
      <c r="H2016" t="s">
        <v>28</v>
      </c>
      <c r="I2016">
        <v>3</v>
      </c>
      <c r="J2016">
        <v>20</v>
      </c>
      <c r="K2016">
        <v>576000</v>
      </c>
      <c r="L2016">
        <v>100</v>
      </c>
      <c r="M2016" t="s">
        <v>29</v>
      </c>
      <c r="N2016" t="str">
        <f>_xlfn.XLOOKUP(B2016,tblCustomers[customer_id],tblCustomers[region],"Missing")</f>
        <v>East</v>
      </c>
      <c r="O2016" t="str">
        <f>_xlfn.XLOOKUP(C2016,tblProducts[product_id],tblProducts[product_name],"Missing")</f>
        <v>Workflow Automate</v>
      </c>
      <c r="P2016" t="str">
        <f>_xlfn.XLOOKUP(C2016,tblProducts[product_id],tblProducts[category],"Missing")</f>
        <v>Automation</v>
      </c>
      <c r="Q2016" t="str">
        <f>_xlfn.XLOOKUP(D2016,tblSalesReps[rep_id],tblSalesReps[rep_name],"Missing")</f>
        <v>Sales Rep 19</v>
      </c>
      <c r="R2016" t="str">
        <f>_xlfn.XLOOKUP(D2016,tblSalesReps[rep_id],tblSalesReps[region],"Missing")</f>
        <v>East</v>
      </c>
    </row>
    <row r="2017" spans="1:18">
      <c r="A2017" t="s">
        <v>2554</v>
      </c>
      <c r="B2017" t="s">
        <v>745</v>
      </c>
      <c r="C2017" t="s">
        <v>62</v>
      </c>
      <c r="D2017" t="s">
        <v>32</v>
      </c>
      <c r="E2017" s="1">
        <v>45797</v>
      </c>
      <c r="F2017" s="1">
        <v>45882</v>
      </c>
      <c r="G2017" s="1"/>
      <c r="H2017" t="s">
        <v>43</v>
      </c>
      <c r="I2017">
        <v>1</v>
      </c>
      <c r="J2017">
        <v>10</v>
      </c>
      <c r="K2017">
        <v>108000</v>
      </c>
      <c r="L2017">
        <v>80</v>
      </c>
      <c r="M2017" t="s">
        <v>29</v>
      </c>
      <c r="N2017" t="str">
        <f>_xlfn.XLOOKUP(B2017,tblCustomers[customer_id],tblCustomers[region],"Missing")</f>
        <v>South</v>
      </c>
      <c r="O2017" t="str">
        <f>_xlfn.XLOOKUP(C2017,tblProducts[product_id],tblProducts[product_name],"Missing")</f>
        <v>CRM Essentials</v>
      </c>
      <c r="P2017" t="str">
        <f>_xlfn.XLOOKUP(C2017,tblProducts[product_id],tblProducts[category],"Missing")</f>
        <v>CRM</v>
      </c>
      <c r="Q2017" t="str">
        <f>_xlfn.XLOOKUP(D2017,tblSalesReps[rep_id],tblSalesReps[rep_name],"Missing")</f>
        <v>Sales Rep 04</v>
      </c>
      <c r="R2017" t="str">
        <f>_xlfn.XLOOKUP(D2017,tblSalesReps[rep_id],tblSalesReps[region],"Missing")</f>
        <v>South</v>
      </c>
    </row>
    <row r="2018" spans="1:18">
      <c r="A2018" t="s">
        <v>2555</v>
      </c>
      <c r="B2018" t="s">
        <v>948</v>
      </c>
      <c r="C2018" t="s">
        <v>39</v>
      </c>
      <c r="D2018" t="s">
        <v>50</v>
      </c>
      <c r="E2018" s="1">
        <v>45928</v>
      </c>
      <c r="F2018" s="1">
        <v>45982</v>
      </c>
      <c r="G2018" s="1"/>
      <c r="H2018" t="s">
        <v>43</v>
      </c>
      <c r="I2018">
        <v>3</v>
      </c>
      <c r="J2018">
        <v>0</v>
      </c>
      <c r="K2018">
        <v>540000</v>
      </c>
      <c r="L2018">
        <v>60</v>
      </c>
      <c r="M2018" t="s">
        <v>29</v>
      </c>
      <c r="N2018" t="str">
        <f>_xlfn.XLOOKUP(B2018,tblCustomers[customer_id],tblCustomers[region],"Missing")</f>
        <v>West</v>
      </c>
      <c r="O2018" t="str">
        <f>_xlfn.XLOOKUP(C2018,tblProducts[product_id],tblProducts[product_name],"Missing")</f>
        <v>Support Desk</v>
      </c>
      <c r="P2018" t="str">
        <f>_xlfn.XLOOKUP(C2018,tblProducts[product_id],tblProducts[category],"Missing")</f>
        <v>Service</v>
      </c>
      <c r="Q2018" t="str">
        <f>_xlfn.XLOOKUP(D2018,tblSalesReps[rep_id],tblSalesReps[rep_name],"Missing")</f>
        <v>Sales Rep 15</v>
      </c>
      <c r="R2018" t="str">
        <f>_xlfn.XLOOKUP(D2018,tblSalesReps[rep_id],tblSalesReps[region],"Missing")</f>
        <v>West</v>
      </c>
    </row>
    <row r="2019" spans="1:18">
      <c r="A2019" t="s">
        <v>2556</v>
      </c>
      <c r="B2019" t="s">
        <v>789</v>
      </c>
      <c r="C2019" t="s">
        <v>39</v>
      </c>
      <c r="D2019" t="s">
        <v>126</v>
      </c>
      <c r="E2019" s="1">
        <v>45800</v>
      </c>
      <c r="F2019" s="1">
        <v>45879</v>
      </c>
      <c r="G2019" s="1">
        <v>45879</v>
      </c>
      <c r="H2019" t="s">
        <v>17</v>
      </c>
      <c r="I2019">
        <v>1</v>
      </c>
      <c r="J2019">
        <v>5</v>
      </c>
      <c r="K2019">
        <v>171000</v>
      </c>
      <c r="L2019">
        <v>0</v>
      </c>
      <c r="M2019" t="s">
        <v>18</v>
      </c>
      <c r="N2019" t="str">
        <f>_xlfn.XLOOKUP(B2019,tblCustomers[customer_id],tblCustomers[region],"Missing")</f>
        <v>South</v>
      </c>
      <c r="O2019" t="str">
        <f>_xlfn.XLOOKUP(C2019,tblProducts[product_id],tblProducts[product_name],"Missing")</f>
        <v>Support Desk</v>
      </c>
      <c r="P2019" t="str">
        <f>_xlfn.XLOOKUP(C2019,tblProducts[product_id],tblProducts[category],"Missing")</f>
        <v>Service</v>
      </c>
      <c r="Q2019" t="str">
        <f>_xlfn.XLOOKUP(D2019,tblSalesReps[rep_id],tblSalesReps[rep_name],"Missing")</f>
        <v>Sales Rep 02</v>
      </c>
      <c r="R2019" t="str">
        <f>_xlfn.XLOOKUP(D2019,tblSalesReps[rep_id],tblSalesReps[region],"Missing")</f>
        <v>South</v>
      </c>
    </row>
    <row r="2020" spans="1:18">
      <c r="A2020" t="s">
        <v>2557</v>
      </c>
      <c r="B2020" t="s">
        <v>880</v>
      </c>
      <c r="C2020" t="s">
        <v>39</v>
      </c>
      <c r="D2020" t="s">
        <v>22</v>
      </c>
      <c r="E2020" s="1">
        <v>45744</v>
      </c>
      <c r="F2020" s="1">
        <v>45757</v>
      </c>
      <c r="G2020" s="1">
        <v>45757</v>
      </c>
      <c r="H2020" t="s">
        <v>28</v>
      </c>
      <c r="I2020">
        <v>1</v>
      </c>
      <c r="J2020">
        <v>10</v>
      </c>
      <c r="K2020">
        <v>162000</v>
      </c>
      <c r="L2020">
        <v>100</v>
      </c>
      <c r="M2020" t="s">
        <v>29</v>
      </c>
      <c r="N2020" t="str">
        <f>_xlfn.XLOOKUP(B2020,tblCustomers[customer_id],tblCustomers[region],"Missing")</f>
        <v>West</v>
      </c>
      <c r="O2020" t="str">
        <f>_xlfn.XLOOKUP(C2020,tblProducts[product_id],tblProducts[product_name],"Missing")</f>
        <v>Support Desk</v>
      </c>
      <c r="P2020" t="str">
        <f>_xlfn.XLOOKUP(C2020,tblProducts[product_id],tblProducts[category],"Missing")</f>
        <v>Service</v>
      </c>
      <c r="Q2020" t="str">
        <f>_xlfn.XLOOKUP(D2020,tblSalesReps[rep_id],tblSalesReps[rep_name],"Missing")</f>
        <v>Sales Rep 14</v>
      </c>
      <c r="R2020" t="str">
        <f>_xlfn.XLOOKUP(D2020,tblSalesReps[rep_id],tblSalesReps[region],"Missing")</f>
        <v>West</v>
      </c>
    </row>
    <row r="2021" spans="1:18">
      <c r="A2021" t="s">
        <v>2558</v>
      </c>
      <c r="B2021" t="s">
        <v>842</v>
      </c>
      <c r="C2021" t="s">
        <v>26</v>
      </c>
      <c r="D2021" t="s">
        <v>53</v>
      </c>
      <c r="E2021" s="1">
        <v>45851</v>
      </c>
      <c r="F2021" s="1">
        <v>45934</v>
      </c>
      <c r="G2021" s="1"/>
      <c r="H2021" t="s">
        <v>43</v>
      </c>
      <c r="I2021">
        <v>2</v>
      </c>
      <c r="J2021">
        <v>5</v>
      </c>
      <c r="K2021">
        <v>684000</v>
      </c>
      <c r="L2021">
        <v>80</v>
      </c>
      <c r="M2021" t="s">
        <v>29</v>
      </c>
      <c r="N2021" t="str">
        <f>_xlfn.XLOOKUP(B2021,tblCustomers[customer_id],tblCustomers[region],"Missing")</f>
        <v>East</v>
      </c>
      <c r="O2021" t="str">
        <f>_xlfn.XLOOKUP(C2021,tblProducts[product_id],tblProducts[product_name],"Missing")</f>
        <v>Security Suite</v>
      </c>
      <c r="P2021" t="str">
        <f>_xlfn.XLOOKUP(C2021,tblProducts[product_id],tblProducts[category],"Missing")</f>
        <v>Security</v>
      </c>
      <c r="Q2021" t="str">
        <f>_xlfn.XLOOKUP(D2021,tblSalesReps[rep_id],tblSalesReps[rep_name],"Missing")</f>
        <v>Sales Rep 16</v>
      </c>
      <c r="R2021" t="str">
        <f>_xlfn.XLOOKUP(D2021,tblSalesReps[rep_id],tblSalesReps[region],"Missing")</f>
        <v>East</v>
      </c>
    </row>
    <row r="2022" spans="1:18">
      <c r="A2022" t="s">
        <v>2559</v>
      </c>
      <c r="B2022" t="s">
        <v>801</v>
      </c>
      <c r="C2022" t="s">
        <v>21</v>
      </c>
      <c r="D2022" t="s">
        <v>36</v>
      </c>
      <c r="E2022" s="1">
        <v>45700</v>
      </c>
      <c r="F2022" s="1">
        <v>45708</v>
      </c>
      <c r="G2022" s="1">
        <v>45708</v>
      </c>
      <c r="H2022" t="s">
        <v>28</v>
      </c>
      <c r="I2022">
        <v>1</v>
      </c>
      <c r="J2022">
        <v>0</v>
      </c>
      <c r="K2022">
        <v>240000</v>
      </c>
      <c r="L2022">
        <v>100</v>
      </c>
      <c r="M2022" t="s">
        <v>29</v>
      </c>
      <c r="N2022" t="str">
        <f>_xlfn.XLOOKUP(B2022,tblCustomers[customer_id],tblCustomers[region],"Missing")</f>
        <v>North</v>
      </c>
      <c r="O2022" t="str">
        <f>_xlfn.XLOOKUP(C2022,tblProducts[product_id],tblProducts[product_name],"Missing")</f>
        <v>Workflow Automate</v>
      </c>
      <c r="P2022" t="str">
        <f>_xlfn.XLOOKUP(C2022,tblProducts[product_id],tblProducts[category],"Missing")</f>
        <v>Automation</v>
      </c>
      <c r="Q2022" t="str">
        <f>_xlfn.XLOOKUP(D2022,tblSalesReps[rep_id],tblSalesReps[rep_name],"Missing")</f>
        <v>Sales Rep 09</v>
      </c>
      <c r="R2022" t="str">
        <f>_xlfn.XLOOKUP(D2022,tblSalesReps[rep_id],tblSalesReps[region],"Missing")</f>
        <v>North</v>
      </c>
    </row>
    <row r="2023" spans="1:18">
      <c r="A2023" t="s">
        <v>2560</v>
      </c>
      <c r="B2023" t="s">
        <v>669</v>
      </c>
      <c r="C2023" t="s">
        <v>39</v>
      </c>
      <c r="D2023" t="s">
        <v>119</v>
      </c>
      <c r="E2023" s="1">
        <v>45935</v>
      </c>
      <c r="F2023" s="1">
        <v>46007</v>
      </c>
      <c r="G2023" s="1">
        <v>46007</v>
      </c>
      <c r="H2023" t="s">
        <v>17</v>
      </c>
      <c r="I2023">
        <v>1</v>
      </c>
      <c r="J2023">
        <v>5</v>
      </c>
      <c r="K2023">
        <v>171000</v>
      </c>
      <c r="L2023">
        <v>0</v>
      </c>
      <c r="M2023" t="s">
        <v>47</v>
      </c>
      <c r="N2023" t="str">
        <f>_xlfn.XLOOKUP(B2023,tblCustomers[customer_id],tblCustomers[region],"Missing")</f>
        <v>North</v>
      </c>
      <c r="O2023" t="str">
        <f>_xlfn.XLOOKUP(C2023,tblProducts[product_id],tblProducts[product_name],"Missing")</f>
        <v>Support Desk</v>
      </c>
      <c r="P2023" t="str">
        <f>_xlfn.XLOOKUP(C2023,tblProducts[product_id],tblProducts[category],"Missing")</f>
        <v>Service</v>
      </c>
      <c r="Q2023" t="str">
        <f>_xlfn.XLOOKUP(D2023,tblSalesReps[rep_id],tblSalesReps[rep_name],"Missing")</f>
        <v>Sales Rep 10</v>
      </c>
      <c r="R2023" t="str">
        <f>_xlfn.XLOOKUP(D2023,tblSalesReps[rep_id],tblSalesReps[region],"Missing")</f>
        <v>North</v>
      </c>
    </row>
    <row r="2024" spans="1:18">
      <c r="A2024" t="s">
        <v>2561</v>
      </c>
      <c r="B2024" t="s">
        <v>997</v>
      </c>
      <c r="C2024" t="s">
        <v>15</v>
      </c>
      <c r="D2024" t="s">
        <v>91</v>
      </c>
      <c r="E2024" s="1">
        <v>45676</v>
      </c>
      <c r="F2024" s="1">
        <v>45733</v>
      </c>
      <c r="G2024" s="1"/>
      <c r="H2024" t="s">
        <v>43</v>
      </c>
      <c r="I2024">
        <v>2</v>
      </c>
      <c r="J2024">
        <v>20</v>
      </c>
      <c r="K2024">
        <v>672000</v>
      </c>
      <c r="L2024">
        <v>80</v>
      </c>
      <c r="M2024" t="s">
        <v>29</v>
      </c>
      <c r="N2024" t="str">
        <f>_xlfn.XLOOKUP(B2024,tblCustomers[customer_id],tblCustomers[region],"Missing")</f>
        <v>South</v>
      </c>
      <c r="O2024" t="str">
        <f>_xlfn.XLOOKUP(C2024,tblProducts[product_id],tblProducts[product_name],"Missing")</f>
        <v>CRM Enterprise</v>
      </c>
      <c r="P2024" t="str">
        <f>_xlfn.XLOOKUP(C2024,tblProducts[product_id],tblProducts[category],"Missing")</f>
        <v>CRM</v>
      </c>
      <c r="Q2024" t="str">
        <f>_xlfn.XLOOKUP(D2024,tblSalesReps[rep_id],tblSalesReps[rep_name],"Missing")</f>
        <v>Sales Rep 03</v>
      </c>
      <c r="R2024" t="str">
        <f>_xlfn.XLOOKUP(D2024,tblSalesReps[rep_id],tblSalesReps[region],"Missing")</f>
        <v>South</v>
      </c>
    </row>
    <row r="2025" spans="1:18">
      <c r="A2025" t="s">
        <v>2562</v>
      </c>
      <c r="B2025" t="s">
        <v>2488</v>
      </c>
      <c r="C2025" t="s">
        <v>26</v>
      </c>
      <c r="D2025" t="s">
        <v>22</v>
      </c>
      <c r="E2025" s="1">
        <v>45772</v>
      </c>
      <c r="F2025" s="1">
        <v>45800</v>
      </c>
      <c r="G2025" s="1"/>
      <c r="H2025" t="s">
        <v>43</v>
      </c>
      <c r="I2025">
        <v>1</v>
      </c>
      <c r="J2025">
        <v>20</v>
      </c>
      <c r="K2025">
        <v>288000</v>
      </c>
      <c r="L2025">
        <v>80</v>
      </c>
      <c r="M2025" t="s">
        <v>29</v>
      </c>
      <c r="N2025" t="str">
        <f>_xlfn.XLOOKUP(B2025,tblCustomers[customer_id],tblCustomers[region],"Missing")</f>
        <v>West</v>
      </c>
      <c r="O2025" t="str">
        <f>_xlfn.XLOOKUP(C2025,tblProducts[product_id],tblProducts[product_name],"Missing")</f>
        <v>Security Suite</v>
      </c>
      <c r="P2025" t="str">
        <f>_xlfn.XLOOKUP(C2025,tblProducts[product_id],tblProducts[category],"Missing")</f>
        <v>Security</v>
      </c>
      <c r="Q2025" t="str">
        <f>_xlfn.XLOOKUP(D2025,tblSalesReps[rep_id],tblSalesReps[rep_name],"Missing")</f>
        <v>Sales Rep 14</v>
      </c>
      <c r="R2025" t="str">
        <f>_xlfn.XLOOKUP(D2025,tblSalesReps[rep_id],tblSalesReps[region],"Missing")</f>
        <v>West</v>
      </c>
    </row>
    <row r="2026" spans="1:18">
      <c r="A2026" t="s">
        <v>2563</v>
      </c>
      <c r="B2026" t="s">
        <v>35</v>
      </c>
      <c r="C2026" t="s">
        <v>21</v>
      </c>
      <c r="D2026" t="s">
        <v>119</v>
      </c>
      <c r="E2026" s="1">
        <v>46020</v>
      </c>
      <c r="F2026" s="1">
        <v>46061</v>
      </c>
      <c r="G2026" s="1"/>
      <c r="H2026" t="s">
        <v>43</v>
      </c>
      <c r="I2026">
        <v>2</v>
      </c>
      <c r="J2026">
        <v>10</v>
      </c>
      <c r="K2026">
        <v>432000</v>
      </c>
      <c r="L2026">
        <v>80</v>
      </c>
      <c r="M2026" t="s">
        <v>29</v>
      </c>
      <c r="N2026" t="str">
        <f>_xlfn.XLOOKUP(B2026,tblCustomers[customer_id],tblCustomers[region],"Missing")</f>
        <v>North</v>
      </c>
      <c r="O2026" t="str">
        <f>_xlfn.XLOOKUP(C2026,tblProducts[product_id],tblProducts[product_name],"Missing")</f>
        <v>Workflow Automate</v>
      </c>
      <c r="P2026" t="str">
        <f>_xlfn.XLOOKUP(C2026,tblProducts[product_id],tblProducts[category],"Missing")</f>
        <v>Automation</v>
      </c>
      <c r="Q2026" t="str">
        <f>_xlfn.XLOOKUP(D2026,tblSalesReps[rep_id],tblSalesReps[rep_name],"Missing")</f>
        <v>Sales Rep 10</v>
      </c>
      <c r="R2026" t="str">
        <f>_xlfn.XLOOKUP(D2026,tblSalesReps[rep_id],tblSalesReps[region],"Missing")</f>
        <v>North</v>
      </c>
    </row>
    <row r="2027" spans="1:18">
      <c r="A2027" t="s">
        <v>2564</v>
      </c>
      <c r="B2027" t="s">
        <v>814</v>
      </c>
      <c r="C2027" t="s">
        <v>39</v>
      </c>
      <c r="D2027" t="s">
        <v>56</v>
      </c>
      <c r="E2027" s="1">
        <v>45764</v>
      </c>
      <c r="F2027" s="1">
        <v>45826</v>
      </c>
      <c r="G2027" s="1">
        <v>45826</v>
      </c>
      <c r="H2027" t="s">
        <v>17</v>
      </c>
      <c r="I2027">
        <v>1</v>
      </c>
      <c r="J2027">
        <v>15</v>
      </c>
      <c r="K2027">
        <v>153000</v>
      </c>
      <c r="L2027">
        <v>0</v>
      </c>
      <c r="M2027" t="s">
        <v>23</v>
      </c>
      <c r="N2027" t="str">
        <f>_xlfn.XLOOKUP(B2027,tblCustomers[customer_id],tblCustomers[region],"Missing")</f>
        <v>East</v>
      </c>
      <c r="O2027" t="str">
        <f>_xlfn.XLOOKUP(C2027,tblProducts[product_id],tblProducts[product_name],"Missing")</f>
        <v>Support Desk</v>
      </c>
      <c r="P2027" t="str">
        <f>_xlfn.XLOOKUP(C2027,tblProducts[product_id],tblProducts[category],"Missing")</f>
        <v>Service</v>
      </c>
      <c r="Q2027" t="str">
        <f>_xlfn.XLOOKUP(D2027,tblSalesReps[rep_id],tblSalesReps[rep_name],"Missing")</f>
        <v>Sales Rep 20</v>
      </c>
      <c r="R2027" t="str">
        <f>_xlfn.XLOOKUP(D2027,tblSalesReps[rep_id],tblSalesReps[region],"Missing")</f>
        <v>East</v>
      </c>
    </row>
    <row r="2028" spans="1:18">
      <c r="A2028" t="s">
        <v>2565</v>
      </c>
      <c r="B2028" t="s">
        <v>628</v>
      </c>
      <c r="C2028" t="s">
        <v>39</v>
      </c>
      <c r="D2028" t="s">
        <v>53</v>
      </c>
      <c r="E2028" s="1">
        <v>45820</v>
      </c>
      <c r="F2028" s="1">
        <v>45862</v>
      </c>
      <c r="G2028" s="1">
        <v>45862</v>
      </c>
      <c r="H2028" t="s">
        <v>28</v>
      </c>
      <c r="I2028">
        <v>1</v>
      </c>
      <c r="J2028">
        <v>20</v>
      </c>
      <c r="K2028">
        <v>144000</v>
      </c>
      <c r="L2028">
        <v>100</v>
      </c>
      <c r="M2028" t="s">
        <v>29</v>
      </c>
      <c r="N2028" t="str">
        <f>_xlfn.XLOOKUP(B2028,tblCustomers[customer_id],tblCustomers[region],"Missing")</f>
        <v>East</v>
      </c>
      <c r="O2028" t="str">
        <f>_xlfn.XLOOKUP(C2028,tblProducts[product_id],tblProducts[product_name],"Missing")</f>
        <v>Support Desk</v>
      </c>
      <c r="P2028" t="str">
        <f>_xlfn.XLOOKUP(C2028,tblProducts[product_id],tblProducts[category],"Missing")</f>
        <v>Service</v>
      </c>
      <c r="Q2028" t="str">
        <f>_xlfn.XLOOKUP(D2028,tblSalesReps[rep_id],tblSalesReps[rep_name],"Missing")</f>
        <v>Sales Rep 16</v>
      </c>
      <c r="R2028" t="str">
        <f>_xlfn.XLOOKUP(D2028,tblSalesReps[rep_id],tblSalesReps[region],"Missing")</f>
        <v>East</v>
      </c>
    </row>
    <row r="2029" spans="1:18">
      <c r="A2029" t="s">
        <v>2566</v>
      </c>
      <c r="B2029" t="s">
        <v>312</v>
      </c>
      <c r="C2029" t="s">
        <v>39</v>
      </c>
      <c r="D2029" t="s">
        <v>22</v>
      </c>
      <c r="E2029" s="1">
        <v>45875</v>
      </c>
      <c r="F2029" s="1">
        <v>45935</v>
      </c>
      <c r="G2029" s="1">
        <v>45935</v>
      </c>
      <c r="H2029" t="s">
        <v>17</v>
      </c>
      <c r="I2029">
        <v>1</v>
      </c>
      <c r="J2029">
        <v>10</v>
      </c>
      <c r="K2029">
        <v>162000</v>
      </c>
      <c r="L2029">
        <v>0</v>
      </c>
      <c r="M2029" t="s">
        <v>82</v>
      </c>
      <c r="N2029" t="str">
        <f>_xlfn.XLOOKUP(B2029,tblCustomers[customer_id],tblCustomers[region],"Missing")</f>
        <v>West</v>
      </c>
      <c r="O2029" t="str">
        <f>_xlfn.XLOOKUP(C2029,tblProducts[product_id],tblProducts[product_name],"Missing")</f>
        <v>Support Desk</v>
      </c>
      <c r="P2029" t="str">
        <f>_xlfn.XLOOKUP(C2029,tblProducts[product_id],tblProducts[category],"Missing")</f>
        <v>Service</v>
      </c>
      <c r="Q2029" t="str">
        <f>_xlfn.XLOOKUP(D2029,tblSalesReps[rep_id],tblSalesReps[rep_name],"Missing")</f>
        <v>Sales Rep 14</v>
      </c>
      <c r="R2029" t="str">
        <f>_xlfn.XLOOKUP(D2029,tblSalesReps[rep_id],tblSalesReps[region],"Missing")</f>
        <v>West</v>
      </c>
    </row>
    <row r="2030" spans="1:18">
      <c r="A2030" t="s">
        <v>2567</v>
      </c>
      <c r="B2030" t="s">
        <v>156</v>
      </c>
      <c r="C2030" t="s">
        <v>81</v>
      </c>
      <c r="D2030" t="s">
        <v>16</v>
      </c>
      <c r="E2030" s="1">
        <v>45993</v>
      </c>
      <c r="F2030" s="1">
        <v>46013</v>
      </c>
      <c r="G2030" s="1">
        <v>46013</v>
      </c>
      <c r="H2030" t="s">
        <v>28</v>
      </c>
      <c r="I2030">
        <v>3</v>
      </c>
      <c r="J2030">
        <v>0</v>
      </c>
      <c r="K2030">
        <v>900000</v>
      </c>
      <c r="L2030">
        <v>100</v>
      </c>
      <c r="M2030" t="s">
        <v>29</v>
      </c>
      <c r="N2030" t="str">
        <f>_xlfn.XLOOKUP(B2030,tblCustomers[customer_id],tblCustomers[region],"Missing")</f>
        <v>North</v>
      </c>
      <c r="O2030" t="str">
        <f>_xlfn.XLOOKUP(C2030,tblProducts[product_id],tblProducts[product_name],"Missing")</f>
        <v>Analytics Cloud</v>
      </c>
      <c r="P2030" t="str">
        <f>_xlfn.XLOOKUP(C2030,tblProducts[product_id],tblProducts[category],"Missing")</f>
        <v>Analytics</v>
      </c>
      <c r="Q2030" t="str">
        <f>_xlfn.XLOOKUP(D2030,tblSalesReps[rep_id],tblSalesReps[rep_name],"Missing")</f>
        <v>Sales Rep 08</v>
      </c>
      <c r="R2030" t="str">
        <f>_xlfn.XLOOKUP(D2030,tblSalesReps[rep_id],tblSalesReps[region],"Missing")</f>
        <v>North</v>
      </c>
    </row>
    <row r="2031" spans="1:18">
      <c r="A2031" t="s">
        <v>2568</v>
      </c>
      <c r="B2031" t="s">
        <v>1517</v>
      </c>
      <c r="C2031" t="s">
        <v>15</v>
      </c>
      <c r="D2031" t="s">
        <v>40</v>
      </c>
      <c r="E2031" s="1">
        <v>45986</v>
      </c>
      <c r="F2031" s="1">
        <v>46051</v>
      </c>
      <c r="G2031" s="1"/>
      <c r="H2031" t="s">
        <v>43</v>
      </c>
      <c r="I2031">
        <v>3</v>
      </c>
      <c r="J2031">
        <v>10</v>
      </c>
      <c r="K2031">
        <v>1134000</v>
      </c>
      <c r="L2031">
        <v>20</v>
      </c>
      <c r="M2031" t="s">
        <v>29</v>
      </c>
      <c r="N2031" t="str">
        <f>_xlfn.XLOOKUP(B2031,tblCustomers[customer_id],tblCustomers[region],"Missing")</f>
        <v>West</v>
      </c>
      <c r="O2031" t="str">
        <f>_xlfn.XLOOKUP(C2031,tblProducts[product_id],tblProducts[product_name],"Missing")</f>
        <v>CRM Enterprise</v>
      </c>
      <c r="P2031" t="str">
        <f>_xlfn.XLOOKUP(C2031,tblProducts[product_id],tblProducts[category],"Missing")</f>
        <v>CRM</v>
      </c>
      <c r="Q2031" t="str">
        <f>_xlfn.XLOOKUP(D2031,tblSalesReps[rep_id],tblSalesReps[rep_name],"Missing")</f>
        <v>Sales Rep 13</v>
      </c>
      <c r="R2031" t="str">
        <f>_xlfn.XLOOKUP(D2031,tblSalesReps[rep_id],tblSalesReps[region],"Missing")</f>
        <v>West</v>
      </c>
    </row>
    <row r="2032" spans="1:18">
      <c r="A2032" t="s">
        <v>2569</v>
      </c>
      <c r="B2032" t="s">
        <v>803</v>
      </c>
      <c r="C2032" t="s">
        <v>21</v>
      </c>
      <c r="D2032" t="s">
        <v>119</v>
      </c>
      <c r="E2032" s="1">
        <v>45806</v>
      </c>
      <c r="F2032" s="1">
        <v>45888</v>
      </c>
      <c r="G2032" s="1">
        <v>45888</v>
      </c>
      <c r="H2032" t="s">
        <v>17</v>
      </c>
      <c r="I2032">
        <v>1</v>
      </c>
      <c r="J2032">
        <v>0</v>
      </c>
      <c r="K2032">
        <v>240000</v>
      </c>
      <c r="L2032">
        <v>0</v>
      </c>
      <c r="M2032" t="s">
        <v>18</v>
      </c>
      <c r="N2032" t="str">
        <f>_xlfn.XLOOKUP(B2032,tblCustomers[customer_id],tblCustomers[region],"Missing")</f>
        <v>North</v>
      </c>
      <c r="O2032" t="str">
        <f>_xlfn.XLOOKUP(C2032,tblProducts[product_id],tblProducts[product_name],"Missing")</f>
        <v>Workflow Automate</v>
      </c>
      <c r="P2032" t="str">
        <f>_xlfn.XLOOKUP(C2032,tblProducts[product_id],tblProducts[category],"Missing")</f>
        <v>Automation</v>
      </c>
      <c r="Q2032" t="str">
        <f>_xlfn.XLOOKUP(D2032,tblSalesReps[rep_id],tblSalesReps[rep_name],"Missing")</f>
        <v>Sales Rep 10</v>
      </c>
      <c r="R2032" t="str">
        <f>_xlfn.XLOOKUP(D2032,tblSalesReps[rep_id],tblSalesReps[region],"Missing")</f>
        <v>North</v>
      </c>
    </row>
    <row r="2033" spans="1:18">
      <c r="A2033" t="s">
        <v>2570</v>
      </c>
      <c r="B2033" t="s">
        <v>1824</v>
      </c>
      <c r="C2033" t="s">
        <v>81</v>
      </c>
      <c r="D2033" t="s">
        <v>40</v>
      </c>
      <c r="E2033" s="1">
        <v>45740</v>
      </c>
      <c r="F2033" s="1">
        <v>45797</v>
      </c>
      <c r="G2033" s="1">
        <v>45797</v>
      </c>
      <c r="H2033" t="s">
        <v>28</v>
      </c>
      <c r="I2033">
        <v>2</v>
      </c>
      <c r="J2033">
        <v>10</v>
      </c>
      <c r="K2033">
        <v>540000</v>
      </c>
      <c r="L2033">
        <v>100</v>
      </c>
      <c r="M2033" t="s">
        <v>29</v>
      </c>
      <c r="N2033" t="str">
        <f>_xlfn.XLOOKUP(B2033,tblCustomers[customer_id],tblCustomers[region],"Missing")</f>
        <v>West</v>
      </c>
      <c r="O2033" t="str">
        <f>_xlfn.XLOOKUP(C2033,tblProducts[product_id],tblProducts[product_name],"Missing")</f>
        <v>Analytics Cloud</v>
      </c>
      <c r="P2033" t="str">
        <f>_xlfn.XLOOKUP(C2033,tblProducts[product_id],tblProducts[category],"Missing")</f>
        <v>Analytics</v>
      </c>
      <c r="Q2033" t="str">
        <f>_xlfn.XLOOKUP(D2033,tblSalesReps[rep_id],tblSalesReps[rep_name],"Missing")</f>
        <v>Sales Rep 13</v>
      </c>
      <c r="R2033" t="str">
        <f>_xlfn.XLOOKUP(D2033,tblSalesReps[rep_id],tblSalesReps[region],"Missing")</f>
        <v>West</v>
      </c>
    </row>
    <row r="2034" spans="1:18">
      <c r="A2034" t="s">
        <v>2571</v>
      </c>
      <c r="B2034" t="s">
        <v>1109</v>
      </c>
      <c r="C2034" t="s">
        <v>39</v>
      </c>
      <c r="D2034" t="s">
        <v>152</v>
      </c>
      <c r="E2034" s="1">
        <v>45703</v>
      </c>
      <c r="F2034" s="1">
        <v>45720</v>
      </c>
      <c r="G2034" s="1">
        <v>45720</v>
      </c>
      <c r="H2034" t="s">
        <v>28</v>
      </c>
      <c r="I2034">
        <v>1</v>
      </c>
      <c r="J2034">
        <v>10</v>
      </c>
      <c r="K2034">
        <v>162000</v>
      </c>
      <c r="L2034">
        <v>100</v>
      </c>
      <c r="M2034" t="s">
        <v>29</v>
      </c>
      <c r="N2034" t="str">
        <f>_xlfn.XLOOKUP(B2034,tblCustomers[customer_id],tblCustomers[region],"Missing")</f>
        <v>East</v>
      </c>
      <c r="O2034" t="str">
        <f>_xlfn.XLOOKUP(C2034,tblProducts[product_id],tblProducts[product_name],"Missing")</f>
        <v>Support Desk</v>
      </c>
      <c r="P2034" t="str">
        <f>_xlfn.XLOOKUP(C2034,tblProducts[product_id],tblProducts[category],"Missing")</f>
        <v>Service</v>
      </c>
      <c r="Q2034" t="str">
        <f>_xlfn.XLOOKUP(D2034,tblSalesReps[rep_id],tblSalesReps[rep_name],"Missing")</f>
        <v>Sales Rep 18</v>
      </c>
      <c r="R2034" t="str">
        <f>_xlfn.XLOOKUP(D2034,tblSalesReps[rep_id],tblSalesReps[region],"Missing")</f>
        <v>East</v>
      </c>
    </row>
    <row r="2035" spans="1:18">
      <c r="A2035" t="s">
        <v>2572</v>
      </c>
      <c r="B2035" t="s">
        <v>1366</v>
      </c>
      <c r="C2035" t="s">
        <v>21</v>
      </c>
      <c r="D2035" t="s">
        <v>32</v>
      </c>
      <c r="E2035" s="1">
        <v>45694</v>
      </c>
      <c r="F2035" s="1">
        <v>45756</v>
      </c>
      <c r="G2035" s="1">
        <v>45756</v>
      </c>
      <c r="H2035" t="s">
        <v>28</v>
      </c>
      <c r="I2035">
        <v>1</v>
      </c>
      <c r="J2035">
        <v>0</v>
      </c>
      <c r="K2035">
        <v>240000</v>
      </c>
      <c r="L2035">
        <v>100</v>
      </c>
      <c r="M2035" t="s">
        <v>29</v>
      </c>
      <c r="N2035" t="str">
        <f>_xlfn.XLOOKUP(B2035,tblCustomers[customer_id],tblCustomers[region],"Missing")</f>
        <v>South</v>
      </c>
      <c r="O2035" t="str">
        <f>_xlfn.XLOOKUP(C2035,tblProducts[product_id],tblProducts[product_name],"Missing")</f>
        <v>Workflow Automate</v>
      </c>
      <c r="P2035" t="str">
        <f>_xlfn.XLOOKUP(C2035,tblProducts[product_id],tblProducts[category],"Missing")</f>
        <v>Automation</v>
      </c>
      <c r="Q2035" t="str">
        <f>_xlfn.XLOOKUP(D2035,tblSalesReps[rep_id],tblSalesReps[rep_name],"Missing")</f>
        <v>Sales Rep 04</v>
      </c>
      <c r="R2035" t="str">
        <f>_xlfn.XLOOKUP(D2035,tblSalesReps[rep_id],tblSalesReps[region],"Missing")</f>
        <v>South</v>
      </c>
    </row>
    <row r="2036" spans="1:18">
      <c r="A2036" t="s">
        <v>2573</v>
      </c>
      <c r="B2036" t="s">
        <v>723</v>
      </c>
      <c r="C2036" t="s">
        <v>21</v>
      </c>
      <c r="D2036" t="s">
        <v>22</v>
      </c>
      <c r="E2036" s="1">
        <v>45697</v>
      </c>
      <c r="F2036" s="1">
        <v>45780</v>
      </c>
      <c r="G2036" s="1">
        <v>45780</v>
      </c>
      <c r="H2036" t="s">
        <v>28</v>
      </c>
      <c r="I2036">
        <v>2</v>
      </c>
      <c r="J2036">
        <v>20</v>
      </c>
      <c r="K2036">
        <v>384000</v>
      </c>
      <c r="L2036">
        <v>100</v>
      </c>
      <c r="M2036" t="s">
        <v>29</v>
      </c>
      <c r="N2036" t="str">
        <f>_xlfn.XLOOKUP(B2036,tblCustomers[customer_id],tblCustomers[region],"Missing")</f>
        <v>West</v>
      </c>
      <c r="O2036" t="str">
        <f>_xlfn.XLOOKUP(C2036,tblProducts[product_id],tblProducts[product_name],"Missing")</f>
        <v>Workflow Automate</v>
      </c>
      <c r="P2036" t="str">
        <f>_xlfn.XLOOKUP(C2036,tblProducts[product_id],tblProducts[category],"Missing")</f>
        <v>Automation</v>
      </c>
      <c r="Q2036" t="str">
        <f>_xlfn.XLOOKUP(D2036,tblSalesReps[rep_id],tblSalesReps[rep_name],"Missing")</f>
        <v>Sales Rep 14</v>
      </c>
      <c r="R2036" t="str">
        <f>_xlfn.XLOOKUP(D2036,tblSalesReps[rep_id],tblSalesReps[region],"Missing")</f>
        <v>West</v>
      </c>
    </row>
    <row r="2037" spans="1:18">
      <c r="A2037" t="s">
        <v>2574</v>
      </c>
      <c r="B2037" t="s">
        <v>74</v>
      </c>
      <c r="C2037" t="s">
        <v>26</v>
      </c>
      <c r="D2037" t="s">
        <v>119</v>
      </c>
      <c r="E2037" s="1">
        <v>45679</v>
      </c>
      <c r="F2037" s="1">
        <v>45764</v>
      </c>
      <c r="G2037" s="1">
        <v>45764</v>
      </c>
      <c r="H2037" t="s">
        <v>28</v>
      </c>
      <c r="I2037">
        <v>1</v>
      </c>
      <c r="J2037">
        <v>15</v>
      </c>
      <c r="K2037">
        <v>306000</v>
      </c>
      <c r="L2037">
        <v>100</v>
      </c>
      <c r="M2037" t="s">
        <v>29</v>
      </c>
      <c r="N2037" t="str">
        <f>_xlfn.XLOOKUP(B2037,tblCustomers[customer_id],tblCustomers[region],"Missing")</f>
        <v>North</v>
      </c>
      <c r="O2037" t="str">
        <f>_xlfn.XLOOKUP(C2037,tblProducts[product_id],tblProducts[product_name],"Missing")</f>
        <v>Security Suite</v>
      </c>
      <c r="P2037" t="str">
        <f>_xlfn.XLOOKUP(C2037,tblProducts[product_id],tblProducts[category],"Missing")</f>
        <v>Security</v>
      </c>
      <c r="Q2037" t="str">
        <f>_xlfn.XLOOKUP(D2037,tblSalesReps[rep_id],tblSalesReps[rep_name],"Missing")</f>
        <v>Sales Rep 10</v>
      </c>
      <c r="R2037" t="str">
        <f>_xlfn.XLOOKUP(D2037,tblSalesReps[rep_id],tblSalesReps[region],"Missing")</f>
        <v>North</v>
      </c>
    </row>
    <row r="2038" spans="1:18">
      <c r="A2038" t="s">
        <v>2575</v>
      </c>
      <c r="B2038" t="s">
        <v>137</v>
      </c>
      <c r="C2038" t="s">
        <v>81</v>
      </c>
      <c r="D2038" t="s">
        <v>27</v>
      </c>
      <c r="E2038" s="1">
        <v>45998</v>
      </c>
      <c r="F2038" s="1">
        <v>46007</v>
      </c>
      <c r="G2038" s="1">
        <v>46007</v>
      </c>
      <c r="H2038" t="s">
        <v>28</v>
      </c>
      <c r="I2038">
        <v>3</v>
      </c>
      <c r="J2038">
        <v>5</v>
      </c>
      <c r="K2038">
        <v>855000</v>
      </c>
      <c r="L2038">
        <v>100</v>
      </c>
      <c r="M2038" t="s">
        <v>29</v>
      </c>
      <c r="N2038" t="str">
        <f>_xlfn.XLOOKUP(B2038,tblCustomers[customer_id],tblCustomers[region],"Missing")</f>
        <v>North</v>
      </c>
      <c r="O2038" t="str">
        <f>_xlfn.XLOOKUP(C2038,tblProducts[product_id],tblProducts[product_name],"Missing")</f>
        <v>Analytics Cloud</v>
      </c>
      <c r="P2038" t="str">
        <f>_xlfn.XLOOKUP(C2038,tblProducts[product_id],tblProducts[category],"Missing")</f>
        <v>Analytics</v>
      </c>
      <c r="Q2038" t="str">
        <f>_xlfn.XLOOKUP(D2038,tblSalesReps[rep_id],tblSalesReps[rep_name],"Missing")</f>
        <v>Sales Rep 06</v>
      </c>
      <c r="R2038" t="str">
        <f>_xlfn.XLOOKUP(D2038,tblSalesReps[rep_id],tblSalesReps[region],"Missing")</f>
        <v>North</v>
      </c>
    </row>
    <row r="2039" spans="1:18">
      <c r="A2039" t="s">
        <v>2576</v>
      </c>
      <c r="B2039" t="s">
        <v>2025</v>
      </c>
      <c r="C2039" t="s">
        <v>81</v>
      </c>
      <c r="D2039" t="s">
        <v>32</v>
      </c>
      <c r="E2039" s="1">
        <v>45869</v>
      </c>
      <c r="F2039" s="1">
        <v>45934</v>
      </c>
      <c r="G2039" s="1">
        <v>45934</v>
      </c>
      <c r="H2039" t="s">
        <v>17</v>
      </c>
      <c r="I2039">
        <v>2</v>
      </c>
      <c r="J2039">
        <v>15</v>
      </c>
      <c r="K2039">
        <v>510000</v>
      </c>
      <c r="L2039">
        <v>0</v>
      </c>
      <c r="M2039" t="s">
        <v>82</v>
      </c>
      <c r="N2039" t="str">
        <f>_xlfn.XLOOKUP(B2039,tblCustomers[customer_id],tblCustomers[region],"Missing")</f>
        <v>South</v>
      </c>
      <c r="O2039" t="str">
        <f>_xlfn.XLOOKUP(C2039,tblProducts[product_id],tblProducts[product_name],"Missing")</f>
        <v>Analytics Cloud</v>
      </c>
      <c r="P2039" t="str">
        <f>_xlfn.XLOOKUP(C2039,tblProducts[product_id],tblProducts[category],"Missing")</f>
        <v>Analytics</v>
      </c>
      <c r="Q2039" t="str">
        <f>_xlfn.XLOOKUP(D2039,tblSalesReps[rep_id],tblSalesReps[rep_name],"Missing")</f>
        <v>Sales Rep 04</v>
      </c>
      <c r="R2039" t="str">
        <f>_xlfn.XLOOKUP(D2039,tblSalesReps[rep_id],tblSalesReps[region],"Missing")</f>
        <v>South</v>
      </c>
    </row>
    <row r="2040" spans="1:18">
      <c r="A2040" t="s">
        <v>2577</v>
      </c>
      <c r="B2040" t="s">
        <v>745</v>
      </c>
      <c r="C2040" t="s">
        <v>39</v>
      </c>
      <c r="D2040" t="s">
        <v>91</v>
      </c>
      <c r="E2040" s="1">
        <v>46014</v>
      </c>
      <c r="F2040" s="1">
        <v>46066</v>
      </c>
      <c r="G2040" s="1"/>
      <c r="H2040" t="s">
        <v>43</v>
      </c>
      <c r="I2040">
        <v>1</v>
      </c>
      <c r="J2040">
        <v>0</v>
      </c>
      <c r="K2040">
        <v>180000</v>
      </c>
      <c r="L2040">
        <v>20</v>
      </c>
      <c r="M2040" t="s">
        <v>29</v>
      </c>
      <c r="N2040" t="str">
        <f>_xlfn.XLOOKUP(B2040,tblCustomers[customer_id],tblCustomers[region],"Missing")</f>
        <v>South</v>
      </c>
      <c r="O2040" t="str">
        <f>_xlfn.XLOOKUP(C2040,tblProducts[product_id],tblProducts[product_name],"Missing")</f>
        <v>Support Desk</v>
      </c>
      <c r="P2040" t="str">
        <f>_xlfn.XLOOKUP(C2040,tblProducts[product_id],tblProducts[category],"Missing")</f>
        <v>Service</v>
      </c>
      <c r="Q2040" t="str">
        <f>_xlfn.XLOOKUP(D2040,tblSalesReps[rep_id],tblSalesReps[rep_name],"Missing")</f>
        <v>Sales Rep 03</v>
      </c>
      <c r="R2040" t="str">
        <f>_xlfn.XLOOKUP(D2040,tblSalesReps[rep_id],tblSalesReps[region],"Missing")</f>
        <v>South</v>
      </c>
    </row>
    <row r="2041" spans="1:18">
      <c r="A2041" t="s">
        <v>2578</v>
      </c>
      <c r="B2041" t="s">
        <v>559</v>
      </c>
      <c r="C2041" t="s">
        <v>26</v>
      </c>
      <c r="D2041" t="s">
        <v>78</v>
      </c>
      <c r="E2041" s="1">
        <v>45756</v>
      </c>
      <c r="F2041" s="1">
        <v>45787</v>
      </c>
      <c r="G2041" s="1">
        <v>45787</v>
      </c>
      <c r="H2041" t="s">
        <v>17</v>
      </c>
      <c r="I2041">
        <v>1</v>
      </c>
      <c r="J2041">
        <v>5</v>
      </c>
      <c r="K2041">
        <v>342000</v>
      </c>
      <c r="L2041">
        <v>0</v>
      </c>
      <c r="M2041" t="s">
        <v>23</v>
      </c>
      <c r="N2041" t="str">
        <f>_xlfn.XLOOKUP(B2041,tblCustomers[customer_id],tblCustomers[region],"Missing")</f>
        <v>West</v>
      </c>
      <c r="O2041" t="str">
        <f>_xlfn.XLOOKUP(C2041,tblProducts[product_id],tblProducts[product_name],"Missing")</f>
        <v>Security Suite</v>
      </c>
      <c r="P2041" t="str">
        <f>_xlfn.XLOOKUP(C2041,tblProducts[product_id],tblProducts[category],"Missing")</f>
        <v>Security</v>
      </c>
      <c r="Q2041" t="str">
        <f>_xlfn.XLOOKUP(D2041,tblSalesReps[rep_id],tblSalesReps[rep_name],"Missing")</f>
        <v>Sales Rep 12</v>
      </c>
      <c r="R2041" t="str">
        <f>_xlfn.XLOOKUP(D2041,tblSalesReps[rep_id],tblSalesReps[region],"Missing")</f>
        <v>West</v>
      </c>
    </row>
    <row r="2042" spans="1:18">
      <c r="A2042" t="s">
        <v>2579</v>
      </c>
      <c r="B2042" t="s">
        <v>1415</v>
      </c>
      <c r="C2042" t="s">
        <v>81</v>
      </c>
      <c r="D2042" t="s">
        <v>53</v>
      </c>
      <c r="E2042" s="1">
        <v>45855</v>
      </c>
      <c r="F2042" s="1">
        <v>45875</v>
      </c>
      <c r="G2042" s="1">
        <v>45875</v>
      </c>
      <c r="H2042" t="s">
        <v>17</v>
      </c>
      <c r="I2042">
        <v>1</v>
      </c>
      <c r="J2042">
        <v>0</v>
      </c>
      <c r="K2042">
        <v>300000</v>
      </c>
      <c r="L2042">
        <v>0</v>
      </c>
      <c r="M2042" t="s">
        <v>18</v>
      </c>
      <c r="N2042" t="str">
        <f>_xlfn.XLOOKUP(B2042,tblCustomers[customer_id],tblCustomers[region],"Missing")</f>
        <v>East</v>
      </c>
      <c r="O2042" t="str">
        <f>_xlfn.XLOOKUP(C2042,tblProducts[product_id],tblProducts[product_name],"Missing")</f>
        <v>Analytics Cloud</v>
      </c>
      <c r="P2042" t="str">
        <f>_xlfn.XLOOKUP(C2042,tblProducts[product_id],tblProducts[category],"Missing")</f>
        <v>Analytics</v>
      </c>
      <c r="Q2042" t="str">
        <f>_xlfn.XLOOKUP(D2042,tblSalesReps[rep_id],tblSalesReps[rep_name],"Missing")</f>
        <v>Sales Rep 16</v>
      </c>
      <c r="R2042" t="str">
        <f>_xlfn.XLOOKUP(D2042,tblSalesReps[rep_id],tblSalesReps[region],"Missing")</f>
        <v>East</v>
      </c>
    </row>
    <row r="2043" spans="1:18">
      <c r="A2043" t="s">
        <v>2580</v>
      </c>
      <c r="B2043" t="s">
        <v>327</v>
      </c>
      <c r="C2043" t="s">
        <v>15</v>
      </c>
      <c r="D2043" t="s">
        <v>56</v>
      </c>
      <c r="E2043" s="1">
        <v>45802</v>
      </c>
      <c r="F2043" s="1">
        <v>45881</v>
      </c>
      <c r="G2043" s="1">
        <v>45881</v>
      </c>
      <c r="H2043" t="s">
        <v>28</v>
      </c>
      <c r="I2043">
        <v>1</v>
      </c>
      <c r="J2043">
        <v>15</v>
      </c>
      <c r="K2043">
        <v>357000</v>
      </c>
      <c r="L2043">
        <v>100</v>
      </c>
      <c r="M2043" t="s">
        <v>29</v>
      </c>
      <c r="N2043" t="str">
        <f>_xlfn.XLOOKUP(B2043,tblCustomers[customer_id],tblCustomers[region],"Missing")</f>
        <v>East</v>
      </c>
      <c r="O2043" t="str">
        <f>_xlfn.XLOOKUP(C2043,tblProducts[product_id],tblProducts[product_name],"Missing")</f>
        <v>CRM Enterprise</v>
      </c>
      <c r="P2043" t="str">
        <f>_xlfn.XLOOKUP(C2043,tblProducts[product_id],tblProducts[category],"Missing")</f>
        <v>CRM</v>
      </c>
      <c r="Q2043" t="str">
        <f>_xlfn.XLOOKUP(D2043,tblSalesReps[rep_id],tblSalesReps[rep_name],"Missing")</f>
        <v>Sales Rep 20</v>
      </c>
      <c r="R2043" t="str">
        <f>_xlfn.XLOOKUP(D2043,tblSalesReps[rep_id],tblSalesReps[region],"Missing")</f>
        <v>East</v>
      </c>
    </row>
    <row r="2044" spans="1:18">
      <c r="A2044" t="s">
        <v>2581</v>
      </c>
      <c r="B2044" t="s">
        <v>964</v>
      </c>
      <c r="C2044" t="s">
        <v>39</v>
      </c>
      <c r="D2044" t="s">
        <v>75</v>
      </c>
      <c r="E2044" s="1">
        <v>45932</v>
      </c>
      <c r="F2044" s="1">
        <v>46010</v>
      </c>
      <c r="G2044" s="1">
        <v>46010</v>
      </c>
      <c r="H2044" t="s">
        <v>28</v>
      </c>
      <c r="I2044">
        <v>3</v>
      </c>
      <c r="J2044">
        <v>0</v>
      </c>
      <c r="K2044">
        <v>540000</v>
      </c>
      <c r="L2044">
        <v>100</v>
      </c>
      <c r="M2044" t="s">
        <v>29</v>
      </c>
      <c r="N2044" t="str">
        <f>_xlfn.XLOOKUP(B2044,tblCustomers[customer_id],tblCustomers[region],"Missing")</f>
        <v>North</v>
      </c>
      <c r="O2044" t="str">
        <f>_xlfn.XLOOKUP(C2044,tblProducts[product_id],tblProducts[product_name],"Missing")</f>
        <v>Support Desk</v>
      </c>
      <c r="P2044" t="str">
        <f>_xlfn.XLOOKUP(C2044,tblProducts[product_id],tblProducts[category],"Missing")</f>
        <v>Service</v>
      </c>
      <c r="Q2044" t="str">
        <f>_xlfn.XLOOKUP(D2044,tblSalesReps[rep_id],tblSalesReps[rep_name],"Missing")</f>
        <v>Sales Rep 07</v>
      </c>
      <c r="R2044" t="str">
        <f>_xlfn.XLOOKUP(D2044,tblSalesReps[rep_id],tblSalesReps[region],"Missing")</f>
        <v>North</v>
      </c>
    </row>
    <row r="2045" spans="1:18">
      <c r="A2045" t="s">
        <v>2582</v>
      </c>
      <c r="B2045" t="s">
        <v>1289</v>
      </c>
      <c r="C2045" t="s">
        <v>21</v>
      </c>
      <c r="D2045" t="s">
        <v>22</v>
      </c>
      <c r="E2045" s="1">
        <v>45786</v>
      </c>
      <c r="F2045" s="1">
        <v>45811</v>
      </c>
      <c r="G2045" s="1"/>
      <c r="H2045" t="s">
        <v>43</v>
      </c>
      <c r="I2045">
        <v>1</v>
      </c>
      <c r="J2045">
        <v>20</v>
      </c>
      <c r="K2045">
        <v>192000</v>
      </c>
      <c r="L2045">
        <v>20</v>
      </c>
      <c r="M2045" t="s">
        <v>29</v>
      </c>
      <c r="N2045" t="str">
        <f>_xlfn.XLOOKUP(B2045,tblCustomers[customer_id],tblCustomers[region],"Missing")</f>
        <v>West</v>
      </c>
      <c r="O2045" t="str">
        <f>_xlfn.XLOOKUP(C2045,tblProducts[product_id],tblProducts[product_name],"Missing")</f>
        <v>Workflow Automate</v>
      </c>
      <c r="P2045" t="str">
        <f>_xlfn.XLOOKUP(C2045,tblProducts[product_id],tblProducts[category],"Missing")</f>
        <v>Automation</v>
      </c>
      <c r="Q2045" t="str">
        <f>_xlfn.XLOOKUP(D2045,tblSalesReps[rep_id],tblSalesReps[rep_name],"Missing")</f>
        <v>Sales Rep 14</v>
      </c>
      <c r="R2045" t="str">
        <f>_xlfn.XLOOKUP(D2045,tblSalesReps[rep_id],tblSalesReps[region],"Missing")</f>
        <v>West</v>
      </c>
    </row>
    <row r="2046" spans="1:18">
      <c r="A2046" t="s">
        <v>2583</v>
      </c>
      <c r="B2046" t="s">
        <v>909</v>
      </c>
      <c r="C2046" t="s">
        <v>26</v>
      </c>
      <c r="D2046" t="s">
        <v>63</v>
      </c>
      <c r="E2046" s="1">
        <v>45850</v>
      </c>
      <c r="F2046" s="1">
        <v>45903</v>
      </c>
      <c r="G2046" s="1">
        <v>45903</v>
      </c>
      <c r="H2046" t="s">
        <v>17</v>
      </c>
      <c r="I2046">
        <v>1</v>
      </c>
      <c r="J2046">
        <v>10</v>
      </c>
      <c r="K2046">
        <v>324000</v>
      </c>
      <c r="L2046">
        <v>0</v>
      </c>
      <c r="M2046" t="s">
        <v>23</v>
      </c>
      <c r="N2046" t="str">
        <f>_xlfn.XLOOKUP(B2046,tblCustomers[customer_id],tblCustomers[region],"Missing")</f>
        <v>South</v>
      </c>
      <c r="O2046" t="str">
        <f>_xlfn.XLOOKUP(C2046,tblProducts[product_id],tblProducts[product_name],"Missing")</f>
        <v>Security Suite</v>
      </c>
      <c r="P2046" t="str">
        <f>_xlfn.XLOOKUP(C2046,tblProducts[product_id],tblProducts[category],"Missing")</f>
        <v>Security</v>
      </c>
      <c r="Q2046" t="str">
        <f>_xlfn.XLOOKUP(D2046,tblSalesReps[rep_id],tblSalesReps[rep_name],"Missing")</f>
        <v>Sales Rep 05</v>
      </c>
      <c r="R2046" t="str">
        <f>_xlfn.XLOOKUP(D2046,tblSalesReps[rep_id],tblSalesReps[region],"Missing")</f>
        <v>South</v>
      </c>
    </row>
    <row r="2047" spans="1:18">
      <c r="A2047" t="s">
        <v>2584</v>
      </c>
      <c r="B2047" t="s">
        <v>969</v>
      </c>
      <c r="C2047" t="s">
        <v>21</v>
      </c>
      <c r="D2047" t="s">
        <v>46</v>
      </c>
      <c r="E2047" s="1">
        <v>45721</v>
      </c>
      <c r="F2047" s="1">
        <v>45766</v>
      </c>
      <c r="G2047" s="1"/>
      <c r="H2047" t="s">
        <v>43</v>
      </c>
      <c r="I2047">
        <v>2</v>
      </c>
      <c r="J2047">
        <v>15</v>
      </c>
      <c r="K2047">
        <v>408000</v>
      </c>
      <c r="L2047">
        <v>20</v>
      </c>
      <c r="M2047" t="s">
        <v>29</v>
      </c>
      <c r="N2047" t="str">
        <f>_xlfn.XLOOKUP(B2047,tblCustomers[customer_id],tblCustomers[region],"Missing")</f>
        <v>South</v>
      </c>
      <c r="O2047" t="str">
        <f>_xlfn.XLOOKUP(C2047,tblProducts[product_id],tblProducts[product_name],"Missing")</f>
        <v>Workflow Automate</v>
      </c>
      <c r="P2047" t="str">
        <f>_xlfn.XLOOKUP(C2047,tblProducts[product_id],tblProducts[category],"Missing")</f>
        <v>Automation</v>
      </c>
      <c r="Q2047" t="str">
        <f>_xlfn.XLOOKUP(D2047,tblSalesReps[rep_id],tblSalesReps[rep_name],"Missing")</f>
        <v>Sales Rep 01</v>
      </c>
      <c r="R2047" t="str">
        <f>_xlfn.XLOOKUP(D2047,tblSalesReps[rep_id],tblSalesReps[region],"Missing")</f>
        <v>South</v>
      </c>
    </row>
    <row r="2048" spans="1:18">
      <c r="A2048" t="s">
        <v>2585</v>
      </c>
      <c r="B2048" t="s">
        <v>601</v>
      </c>
      <c r="C2048" t="s">
        <v>62</v>
      </c>
      <c r="D2048" t="s">
        <v>91</v>
      </c>
      <c r="E2048" s="1">
        <v>45999</v>
      </c>
      <c r="F2048" s="1">
        <v>46067</v>
      </c>
      <c r="G2048" s="1"/>
      <c r="H2048" t="s">
        <v>43</v>
      </c>
      <c r="I2048">
        <v>1</v>
      </c>
      <c r="J2048">
        <v>15</v>
      </c>
      <c r="K2048">
        <v>102000</v>
      </c>
      <c r="L2048">
        <v>40</v>
      </c>
      <c r="M2048" t="s">
        <v>29</v>
      </c>
      <c r="N2048" t="str">
        <f>_xlfn.XLOOKUP(B2048,tblCustomers[customer_id],tblCustomers[region],"Missing")</f>
        <v>South</v>
      </c>
      <c r="O2048" t="str">
        <f>_xlfn.XLOOKUP(C2048,tblProducts[product_id],tblProducts[product_name],"Missing")</f>
        <v>CRM Essentials</v>
      </c>
      <c r="P2048" t="str">
        <f>_xlfn.XLOOKUP(C2048,tblProducts[product_id],tblProducts[category],"Missing")</f>
        <v>CRM</v>
      </c>
      <c r="Q2048" t="str">
        <f>_xlfn.XLOOKUP(D2048,tblSalesReps[rep_id],tblSalesReps[rep_name],"Missing")</f>
        <v>Sales Rep 03</v>
      </c>
      <c r="R2048" t="str">
        <f>_xlfn.XLOOKUP(D2048,tblSalesReps[rep_id],tblSalesReps[region],"Missing")</f>
        <v>South</v>
      </c>
    </row>
    <row r="2049" spans="1:18">
      <c r="A2049" t="s">
        <v>2586</v>
      </c>
      <c r="B2049" t="s">
        <v>376</v>
      </c>
      <c r="C2049" t="s">
        <v>81</v>
      </c>
      <c r="D2049" t="s">
        <v>50</v>
      </c>
      <c r="E2049" s="1">
        <v>45974</v>
      </c>
      <c r="F2049" s="1">
        <v>45992</v>
      </c>
      <c r="G2049" s="1">
        <v>45992</v>
      </c>
      <c r="H2049" t="s">
        <v>28</v>
      </c>
      <c r="I2049">
        <v>2</v>
      </c>
      <c r="J2049">
        <v>10</v>
      </c>
      <c r="K2049">
        <v>540000</v>
      </c>
      <c r="L2049">
        <v>100</v>
      </c>
      <c r="M2049" t="s">
        <v>29</v>
      </c>
      <c r="N2049" t="str">
        <f>_xlfn.XLOOKUP(B2049,tblCustomers[customer_id],tblCustomers[region],"Missing")</f>
        <v>West</v>
      </c>
      <c r="O2049" t="str">
        <f>_xlfn.XLOOKUP(C2049,tblProducts[product_id],tblProducts[product_name],"Missing")</f>
        <v>Analytics Cloud</v>
      </c>
      <c r="P2049" t="str">
        <f>_xlfn.XLOOKUP(C2049,tblProducts[product_id],tblProducts[category],"Missing")</f>
        <v>Analytics</v>
      </c>
      <c r="Q2049" t="str">
        <f>_xlfn.XLOOKUP(D2049,tblSalesReps[rep_id],tblSalesReps[rep_name],"Missing")</f>
        <v>Sales Rep 15</v>
      </c>
      <c r="R2049" t="str">
        <f>_xlfn.XLOOKUP(D2049,tblSalesReps[rep_id],tblSalesReps[region],"Missing")</f>
        <v>West</v>
      </c>
    </row>
    <row r="2050" spans="1:18">
      <c r="A2050" t="s">
        <v>2587</v>
      </c>
      <c r="B2050" t="s">
        <v>358</v>
      </c>
      <c r="C2050" t="s">
        <v>39</v>
      </c>
      <c r="D2050" t="s">
        <v>16</v>
      </c>
      <c r="E2050" s="1">
        <v>45704</v>
      </c>
      <c r="F2050" s="1">
        <v>45717</v>
      </c>
      <c r="G2050" s="1"/>
      <c r="H2050" t="s">
        <v>43</v>
      </c>
      <c r="I2050">
        <v>2</v>
      </c>
      <c r="J2050">
        <v>15</v>
      </c>
      <c r="K2050">
        <v>306000</v>
      </c>
      <c r="L2050">
        <v>20</v>
      </c>
      <c r="M2050" t="s">
        <v>29</v>
      </c>
      <c r="N2050" t="str">
        <f>_xlfn.XLOOKUP(B2050,tblCustomers[customer_id],tblCustomers[region],"Missing")</f>
        <v>North</v>
      </c>
      <c r="O2050" t="str">
        <f>_xlfn.XLOOKUP(C2050,tblProducts[product_id],tblProducts[product_name],"Missing")</f>
        <v>Support Desk</v>
      </c>
      <c r="P2050" t="str">
        <f>_xlfn.XLOOKUP(C2050,tblProducts[product_id],tblProducts[category],"Missing")</f>
        <v>Service</v>
      </c>
      <c r="Q2050" t="str">
        <f>_xlfn.XLOOKUP(D2050,tblSalesReps[rep_id],tblSalesReps[rep_name],"Missing")</f>
        <v>Sales Rep 08</v>
      </c>
      <c r="R2050" t="str">
        <f>_xlfn.XLOOKUP(D2050,tblSalesReps[rep_id],tblSalesReps[region],"Missing")</f>
        <v>North</v>
      </c>
    </row>
    <row r="2051" spans="1:18">
      <c r="A2051" t="s">
        <v>2588</v>
      </c>
      <c r="B2051" t="s">
        <v>1534</v>
      </c>
      <c r="C2051" t="s">
        <v>39</v>
      </c>
      <c r="D2051" t="s">
        <v>63</v>
      </c>
      <c r="E2051" s="1">
        <v>45812</v>
      </c>
      <c r="F2051" s="1">
        <v>45891</v>
      </c>
      <c r="G2051" s="1"/>
      <c r="H2051" t="s">
        <v>43</v>
      </c>
      <c r="I2051">
        <v>1</v>
      </c>
      <c r="J2051">
        <v>15</v>
      </c>
      <c r="K2051">
        <v>153000</v>
      </c>
      <c r="L2051">
        <v>40</v>
      </c>
      <c r="M2051" t="s">
        <v>29</v>
      </c>
      <c r="N2051" t="str">
        <f>_xlfn.XLOOKUP(B2051,tblCustomers[customer_id],tblCustomers[region],"Missing")</f>
        <v>South</v>
      </c>
      <c r="O2051" t="str">
        <f>_xlfn.XLOOKUP(C2051,tblProducts[product_id],tblProducts[product_name],"Missing")</f>
        <v>Support Desk</v>
      </c>
      <c r="P2051" t="str">
        <f>_xlfn.XLOOKUP(C2051,tblProducts[product_id],tblProducts[category],"Missing")</f>
        <v>Service</v>
      </c>
      <c r="Q2051" t="str">
        <f>_xlfn.XLOOKUP(D2051,tblSalesReps[rep_id],tblSalesReps[rep_name],"Missing")</f>
        <v>Sales Rep 05</v>
      </c>
      <c r="R2051" t="str">
        <f>_xlfn.XLOOKUP(D2051,tblSalesReps[rep_id],tblSalesReps[region],"Missing")</f>
        <v>South</v>
      </c>
    </row>
    <row r="2052" spans="1:18">
      <c r="A2052" t="s">
        <v>2589</v>
      </c>
      <c r="B2052" t="s">
        <v>1127</v>
      </c>
      <c r="C2052" t="s">
        <v>81</v>
      </c>
      <c r="D2052" t="s">
        <v>75</v>
      </c>
      <c r="E2052" s="1">
        <v>45753</v>
      </c>
      <c r="F2052" s="1">
        <v>45807</v>
      </c>
      <c r="G2052" s="1">
        <v>45807</v>
      </c>
      <c r="H2052" t="s">
        <v>28</v>
      </c>
      <c r="I2052">
        <v>1</v>
      </c>
      <c r="J2052">
        <v>20</v>
      </c>
      <c r="K2052">
        <v>240000</v>
      </c>
      <c r="L2052">
        <v>100</v>
      </c>
      <c r="M2052" t="s">
        <v>29</v>
      </c>
      <c r="N2052" t="str">
        <f>_xlfn.XLOOKUP(B2052,tblCustomers[customer_id],tblCustomers[region],"Missing")</f>
        <v>North</v>
      </c>
      <c r="O2052" t="str">
        <f>_xlfn.XLOOKUP(C2052,tblProducts[product_id],tblProducts[product_name],"Missing")</f>
        <v>Analytics Cloud</v>
      </c>
      <c r="P2052" t="str">
        <f>_xlfn.XLOOKUP(C2052,tblProducts[product_id],tblProducts[category],"Missing")</f>
        <v>Analytics</v>
      </c>
      <c r="Q2052" t="str">
        <f>_xlfn.XLOOKUP(D2052,tblSalesReps[rep_id],tblSalesReps[rep_name],"Missing")</f>
        <v>Sales Rep 07</v>
      </c>
      <c r="R2052" t="str">
        <f>_xlfn.XLOOKUP(D2052,tblSalesReps[rep_id],tblSalesReps[region],"Missing")</f>
        <v>North</v>
      </c>
    </row>
    <row r="2053" spans="1:18">
      <c r="A2053" t="s">
        <v>2590</v>
      </c>
      <c r="B2053" t="s">
        <v>871</v>
      </c>
      <c r="C2053" t="s">
        <v>26</v>
      </c>
      <c r="D2053" t="s">
        <v>16</v>
      </c>
      <c r="E2053" s="1">
        <v>45943</v>
      </c>
      <c r="F2053" s="1">
        <v>45999</v>
      </c>
      <c r="G2053" s="1"/>
      <c r="H2053" t="s">
        <v>43</v>
      </c>
      <c r="I2053">
        <v>3</v>
      </c>
      <c r="J2053">
        <v>15</v>
      </c>
      <c r="K2053">
        <v>918000</v>
      </c>
      <c r="L2053">
        <v>60</v>
      </c>
      <c r="M2053" t="s">
        <v>29</v>
      </c>
      <c r="N2053" t="str">
        <f>_xlfn.XLOOKUP(B2053,tblCustomers[customer_id],tblCustomers[region],"Missing")</f>
        <v>North</v>
      </c>
      <c r="O2053" t="str">
        <f>_xlfn.XLOOKUP(C2053,tblProducts[product_id],tblProducts[product_name],"Missing")</f>
        <v>Security Suite</v>
      </c>
      <c r="P2053" t="str">
        <f>_xlfn.XLOOKUP(C2053,tblProducts[product_id],tblProducts[category],"Missing")</f>
        <v>Security</v>
      </c>
      <c r="Q2053" t="str">
        <f>_xlfn.XLOOKUP(D2053,tblSalesReps[rep_id],tblSalesReps[rep_name],"Missing")</f>
        <v>Sales Rep 08</v>
      </c>
      <c r="R2053" t="str">
        <f>_xlfn.XLOOKUP(D2053,tblSalesReps[rep_id],tblSalesReps[region],"Missing")</f>
        <v>North</v>
      </c>
    </row>
    <row r="2054" spans="1:18">
      <c r="A2054" t="s">
        <v>2591</v>
      </c>
      <c r="B2054" t="s">
        <v>526</v>
      </c>
      <c r="C2054" t="s">
        <v>62</v>
      </c>
      <c r="D2054" t="s">
        <v>40</v>
      </c>
      <c r="E2054" s="1">
        <v>46020</v>
      </c>
      <c r="F2054" s="1">
        <v>46100</v>
      </c>
      <c r="G2054" s="1"/>
      <c r="H2054" t="s">
        <v>43</v>
      </c>
      <c r="I2054">
        <v>1</v>
      </c>
      <c r="J2054">
        <v>5</v>
      </c>
      <c r="K2054">
        <v>114000</v>
      </c>
      <c r="L2054">
        <v>60</v>
      </c>
      <c r="M2054" t="s">
        <v>29</v>
      </c>
      <c r="N2054" t="str">
        <f>_xlfn.XLOOKUP(B2054,tblCustomers[customer_id],tblCustomers[region],"Missing")</f>
        <v>West</v>
      </c>
      <c r="O2054" t="str">
        <f>_xlfn.XLOOKUP(C2054,tblProducts[product_id],tblProducts[product_name],"Missing")</f>
        <v>CRM Essentials</v>
      </c>
      <c r="P2054" t="str">
        <f>_xlfn.XLOOKUP(C2054,tblProducts[product_id],tblProducts[category],"Missing")</f>
        <v>CRM</v>
      </c>
      <c r="Q2054" t="str">
        <f>_xlfn.XLOOKUP(D2054,tblSalesReps[rep_id],tblSalesReps[rep_name],"Missing")</f>
        <v>Sales Rep 13</v>
      </c>
      <c r="R2054" t="str">
        <f>_xlfn.XLOOKUP(D2054,tblSalesReps[rep_id],tblSalesReps[region],"Missing")</f>
        <v>West</v>
      </c>
    </row>
    <row r="2055" spans="1:18">
      <c r="A2055" t="s">
        <v>2592</v>
      </c>
      <c r="B2055" t="s">
        <v>266</v>
      </c>
      <c r="C2055" t="s">
        <v>81</v>
      </c>
      <c r="D2055" t="s">
        <v>40</v>
      </c>
      <c r="E2055" s="1">
        <v>45865</v>
      </c>
      <c r="F2055" s="1">
        <v>45873</v>
      </c>
      <c r="G2055" s="1">
        <v>45873</v>
      </c>
      <c r="H2055" t="s">
        <v>17</v>
      </c>
      <c r="I2055">
        <v>1</v>
      </c>
      <c r="J2055">
        <v>15</v>
      </c>
      <c r="K2055">
        <v>255000</v>
      </c>
      <c r="L2055">
        <v>0</v>
      </c>
      <c r="M2055" t="s">
        <v>47</v>
      </c>
      <c r="N2055" t="str">
        <f>_xlfn.XLOOKUP(B2055,tblCustomers[customer_id],tblCustomers[region],"Missing")</f>
        <v>West</v>
      </c>
      <c r="O2055" t="str">
        <f>_xlfn.XLOOKUP(C2055,tblProducts[product_id],tblProducts[product_name],"Missing")</f>
        <v>Analytics Cloud</v>
      </c>
      <c r="P2055" t="str">
        <f>_xlfn.XLOOKUP(C2055,tblProducts[product_id],tblProducts[category],"Missing")</f>
        <v>Analytics</v>
      </c>
      <c r="Q2055" t="str">
        <f>_xlfn.XLOOKUP(D2055,tblSalesReps[rep_id],tblSalesReps[rep_name],"Missing")</f>
        <v>Sales Rep 13</v>
      </c>
      <c r="R2055" t="str">
        <f>_xlfn.XLOOKUP(D2055,tblSalesReps[rep_id],tblSalesReps[region],"Missing")</f>
        <v>West</v>
      </c>
    </row>
    <row r="2056" spans="1:18">
      <c r="A2056" t="s">
        <v>2593</v>
      </c>
      <c r="B2056" t="s">
        <v>1368</v>
      </c>
      <c r="C2056" t="s">
        <v>26</v>
      </c>
      <c r="D2056" t="s">
        <v>27</v>
      </c>
      <c r="E2056" s="1">
        <v>45926</v>
      </c>
      <c r="F2056" s="1">
        <v>45977</v>
      </c>
      <c r="G2056" s="1">
        <v>45977</v>
      </c>
      <c r="H2056" t="s">
        <v>17</v>
      </c>
      <c r="I2056">
        <v>1</v>
      </c>
      <c r="J2056">
        <v>15</v>
      </c>
      <c r="K2056">
        <v>306000</v>
      </c>
      <c r="L2056">
        <v>0</v>
      </c>
      <c r="M2056" t="s">
        <v>82</v>
      </c>
      <c r="N2056" t="str">
        <f>_xlfn.XLOOKUP(B2056,tblCustomers[customer_id],tblCustomers[region],"Missing")</f>
        <v>North</v>
      </c>
      <c r="O2056" t="str">
        <f>_xlfn.XLOOKUP(C2056,tblProducts[product_id],tblProducts[product_name],"Missing")</f>
        <v>Security Suite</v>
      </c>
      <c r="P2056" t="str">
        <f>_xlfn.XLOOKUP(C2056,tblProducts[product_id],tblProducts[category],"Missing")</f>
        <v>Security</v>
      </c>
      <c r="Q2056" t="str">
        <f>_xlfn.XLOOKUP(D2056,tblSalesReps[rep_id],tblSalesReps[rep_name],"Missing")</f>
        <v>Sales Rep 06</v>
      </c>
      <c r="R2056" t="str">
        <f>_xlfn.XLOOKUP(D2056,tblSalesReps[rep_id],tblSalesReps[region],"Missing")</f>
        <v>North</v>
      </c>
    </row>
    <row r="2057" spans="1:18">
      <c r="A2057" t="s">
        <v>2594</v>
      </c>
      <c r="B2057" t="s">
        <v>1076</v>
      </c>
      <c r="C2057" t="s">
        <v>26</v>
      </c>
      <c r="D2057" t="s">
        <v>16</v>
      </c>
      <c r="E2057" s="1">
        <v>45909</v>
      </c>
      <c r="F2057" s="1">
        <v>45966</v>
      </c>
      <c r="G2057" s="1">
        <v>45966</v>
      </c>
      <c r="H2057" t="s">
        <v>17</v>
      </c>
      <c r="I2057">
        <v>3</v>
      </c>
      <c r="J2057">
        <v>10</v>
      </c>
      <c r="K2057">
        <v>972000</v>
      </c>
      <c r="L2057">
        <v>0</v>
      </c>
      <c r="M2057" t="s">
        <v>33</v>
      </c>
      <c r="N2057" t="str">
        <f>_xlfn.XLOOKUP(B2057,tblCustomers[customer_id],tblCustomers[region],"Missing")</f>
        <v>North</v>
      </c>
      <c r="O2057" t="str">
        <f>_xlfn.XLOOKUP(C2057,tblProducts[product_id],tblProducts[product_name],"Missing")</f>
        <v>Security Suite</v>
      </c>
      <c r="P2057" t="str">
        <f>_xlfn.XLOOKUP(C2057,tblProducts[product_id],tblProducts[category],"Missing")</f>
        <v>Security</v>
      </c>
      <c r="Q2057" t="str">
        <f>_xlfn.XLOOKUP(D2057,tblSalesReps[rep_id],tblSalesReps[rep_name],"Missing")</f>
        <v>Sales Rep 08</v>
      </c>
      <c r="R2057" t="str">
        <f>_xlfn.XLOOKUP(D2057,tblSalesReps[rep_id],tblSalesReps[region],"Missing")</f>
        <v>North</v>
      </c>
    </row>
    <row r="2058" spans="1:18">
      <c r="A2058" t="s">
        <v>2595</v>
      </c>
      <c r="B2058" t="s">
        <v>723</v>
      </c>
      <c r="C2058" t="s">
        <v>62</v>
      </c>
      <c r="D2058" t="s">
        <v>78</v>
      </c>
      <c r="E2058" s="1">
        <v>45723</v>
      </c>
      <c r="F2058" s="1">
        <v>45797</v>
      </c>
      <c r="G2058" s="1">
        <v>45797</v>
      </c>
      <c r="H2058" t="s">
        <v>28</v>
      </c>
      <c r="I2058">
        <v>1</v>
      </c>
      <c r="J2058">
        <v>15</v>
      </c>
      <c r="K2058">
        <v>102000</v>
      </c>
      <c r="L2058">
        <v>100</v>
      </c>
      <c r="M2058" t="s">
        <v>29</v>
      </c>
      <c r="N2058" t="str">
        <f>_xlfn.XLOOKUP(B2058,tblCustomers[customer_id],tblCustomers[region],"Missing")</f>
        <v>West</v>
      </c>
      <c r="O2058" t="str">
        <f>_xlfn.XLOOKUP(C2058,tblProducts[product_id],tblProducts[product_name],"Missing")</f>
        <v>CRM Essentials</v>
      </c>
      <c r="P2058" t="str">
        <f>_xlfn.XLOOKUP(C2058,tblProducts[product_id],tblProducts[category],"Missing")</f>
        <v>CRM</v>
      </c>
      <c r="Q2058" t="str">
        <f>_xlfn.XLOOKUP(D2058,tblSalesReps[rep_id],tblSalesReps[rep_name],"Missing")</f>
        <v>Sales Rep 12</v>
      </c>
      <c r="R2058" t="str">
        <f>_xlfn.XLOOKUP(D2058,tblSalesReps[rep_id],tblSalesReps[region],"Missing")</f>
        <v>West</v>
      </c>
    </row>
    <row r="2059" spans="1:18">
      <c r="A2059" t="s">
        <v>2596</v>
      </c>
      <c r="B2059" t="s">
        <v>969</v>
      </c>
      <c r="C2059" t="s">
        <v>81</v>
      </c>
      <c r="D2059" t="s">
        <v>63</v>
      </c>
      <c r="E2059" s="1">
        <v>45826</v>
      </c>
      <c r="F2059" s="1">
        <v>45885</v>
      </c>
      <c r="G2059" s="1">
        <v>45885</v>
      </c>
      <c r="H2059" t="s">
        <v>17</v>
      </c>
      <c r="I2059">
        <v>1</v>
      </c>
      <c r="J2059">
        <v>0</v>
      </c>
      <c r="K2059">
        <v>300000</v>
      </c>
      <c r="L2059">
        <v>0</v>
      </c>
      <c r="M2059" t="s">
        <v>47</v>
      </c>
      <c r="N2059" t="str">
        <f>_xlfn.XLOOKUP(B2059,tblCustomers[customer_id],tblCustomers[region],"Missing")</f>
        <v>South</v>
      </c>
      <c r="O2059" t="str">
        <f>_xlfn.XLOOKUP(C2059,tblProducts[product_id],tblProducts[product_name],"Missing")</f>
        <v>Analytics Cloud</v>
      </c>
      <c r="P2059" t="str">
        <f>_xlfn.XLOOKUP(C2059,tblProducts[product_id],tblProducts[category],"Missing")</f>
        <v>Analytics</v>
      </c>
      <c r="Q2059" t="str">
        <f>_xlfn.XLOOKUP(D2059,tblSalesReps[rep_id],tblSalesReps[rep_name],"Missing")</f>
        <v>Sales Rep 05</v>
      </c>
      <c r="R2059" t="str">
        <f>_xlfn.XLOOKUP(D2059,tblSalesReps[rep_id],tblSalesReps[region],"Missing")</f>
        <v>South</v>
      </c>
    </row>
    <row r="2060" spans="1:18">
      <c r="A2060" t="s">
        <v>2597</v>
      </c>
      <c r="B2060" t="s">
        <v>149</v>
      </c>
      <c r="C2060" t="s">
        <v>62</v>
      </c>
      <c r="D2060" t="s">
        <v>36</v>
      </c>
      <c r="E2060" s="1">
        <v>45906</v>
      </c>
      <c r="F2060" s="1">
        <v>45916</v>
      </c>
      <c r="G2060" s="1"/>
      <c r="H2060" t="s">
        <v>43</v>
      </c>
      <c r="I2060">
        <v>1</v>
      </c>
      <c r="J2060">
        <v>15</v>
      </c>
      <c r="K2060">
        <v>102000</v>
      </c>
      <c r="L2060">
        <v>80</v>
      </c>
      <c r="M2060" t="s">
        <v>29</v>
      </c>
      <c r="N2060" t="str">
        <f>_xlfn.XLOOKUP(B2060,tblCustomers[customer_id],tblCustomers[region],"Missing")</f>
        <v>North</v>
      </c>
      <c r="O2060" t="str">
        <f>_xlfn.XLOOKUP(C2060,tblProducts[product_id],tblProducts[product_name],"Missing")</f>
        <v>CRM Essentials</v>
      </c>
      <c r="P2060" t="str">
        <f>_xlfn.XLOOKUP(C2060,tblProducts[product_id],tblProducts[category],"Missing")</f>
        <v>CRM</v>
      </c>
      <c r="Q2060" t="str">
        <f>_xlfn.XLOOKUP(D2060,tblSalesReps[rep_id],tblSalesReps[rep_name],"Missing")</f>
        <v>Sales Rep 09</v>
      </c>
      <c r="R2060" t="str">
        <f>_xlfn.XLOOKUP(D2060,tblSalesReps[rep_id],tblSalesReps[region],"Missing")</f>
        <v>North</v>
      </c>
    </row>
    <row r="2061" spans="1:18">
      <c r="A2061" t="s">
        <v>2598</v>
      </c>
      <c r="B2061" t="s">
        <v>52</v>
      </c>
      <c r="C2061" t="s">
        <v>21</v>
      </c>
      <c r="D2061" t="s">
        <v>152</v>
      </c>
      <c r="E2061" s="1">
        <v>45663</v>
      </c>
      <c r="F2061" s="1">
        <v>45732</v>
      </c>
      <c r="G2061" s="1">
        <v>45732</v>
      </c>
      <c r="H2061" t="s">
        <v>28</v>
      </c>
      <c r="I2061">
        <v>3</v>
      </c>
      <c r="J2061">
        <v>0</v>
      </c>
      <c r="K2061">
        <v>720000</v>
      </c>
      <c r="L2061">
        <v>100</v>
      </c>
      <c r="M2061" t="s">
        <v>29</v>
      </c>
      <c r="N2061" t="str">
        <f>_xlfn.XLOOKUP(B2061,tblCustomers[customer_id],tblCustomers[region],"Missing")</f>
        <v>East</v>
      </c>
      <c r="O2061" t="str">
        <f>_xlfn.XLOOKUP(C2061,tblProducts[product_id],tblProducts[product_name],"Missing")</f>
        <v>Workflow Automate</v>
      </c>
      <c r="P2061" t="str">
        <f>_xlfn.XLOOKUP(C2061,tblProducts[product_id],tblProducts[category],"Missing")</f>
        <v>Automation</v>
      </c>
      <c r="Q2061" t="str">
        <f>_xlfn.XLOOKUP(D2061,tblSalesReps[rep_id],tblSalesReps[rep_name],"Missing")</f>
        <v>Sales Rep 18</v>
      </c>
      <c r="R2061" t="str">
        <f>_xlfn.XLOOKUP(D2061,tblSalesReps[rep_id],tblSalesReps[region],"Missing")</f>
        <v>East</v>
      </c>
    </row>
    <row r="2062" spans="1:18">
      <c r="A2062" t="s">
        <v>2599</v>
      </c>
      <c r="B2062" t="s">
        <v>940</v>
      </c>
      <c r="C2062" t="s">
        <v>26</v>
      </c>
      <c r="D2062" t="s">
        <v>16</v>
      </c>
      <c r="E2062" s="1">
        <v>45722</v>
      </c>
      <c r="F2062" s="1">
        <v>45786</v>
      </c>
      <c r="G2062" s="1"/>
      <c r="H2062" t="s">
        <v>43</v>
      </c>
      <c r="I2062">
        <v>1</v>
      </c>
      <c r="J2062">
        <v>15</v>
      </c>
      <c r="K2062">
        <v>306000</v>
      </c>
      <c r="L2062">
        <v>80</v>
      </c>
      <c r="M2062" t="s">
        <v>29</v>
      </c>
      <c r="N2062" t="str">
        <f>_xlfn.XLOOKUP(B2062,tblCustomers[customer_id],tblCustomers[region],"Missing")</f>
        <v>North</v>
      </c>
      <c r="O2062" t="str">
        <f>_xlfn.XLOOKUP(C2062,tblProducts[product_id],tblProducts[product_name],"Missing")</f>
        <v>Security Suite</v>
      </c>
      <c r="P2062" t="str">
        <f>_xlfn.XLOOKUP(C2062,tblProducts[product_id],tblProducts[category],"Missing")</f>
        <v>Security</v>
      </c>
      <c r="Q2062" t="str">
        <f>_xlfn.XLOOKUP(D2062,tblSalesReps[rep_id],tblSalesReps[rep_name],"Missing")</f>
        <v>Sales Rep 08</v>
      </c>
      <c r="R2062" t="str">
        <f>_xlfn.XLOOKUP(D2062,tblSalesReps[rep_id],tblSalesReps[region],"Missing")</f>
        <v>North</v>
      </c>
    </row>
    <row r="2063" spans="1:18">
      <c r="A2063" t="s">
        <v>2600</v>
      </c>
      <c r="B2063" t="s">
        <v>1536</v>
      </c>
      <c r="C2063" t="s">
        <v>39</v>
      </c>
      <c r="D2063" t="s">
        <v>36</v>
      </c>
      <c r="E2063" s="1">
        <v>45942</v>
      </c>
      <c r="F2063" s="1">
        <v>45957</v>
      </c>
      <c r="G2063" s="1">
        <v>45957</v>
      </c>
      <c r="H2063" t="s">
        <v>28</v>
      </c>
      <c r="I2063">
        <v>1</v>
      </c>
      <c r="J2063">
        <v>15</v>
      </c>
      <c r="K2063">
        <v>153000</v>
      </c>
      <c r="L2063">
        <v>100</v>
      </c>
      <c r="M2063" t="s">
        <v>29</v>
      </c>
      <c r="N2063" t="str">
        <f>_xlfn.XLOOKUP(B2063,tblCustomers[customer_id],tblCustomers[region],"Missing")</f>
        <v>North</v>
      </c>
      <c r="O2063" t="str">
        <f>_xlfn.XLOOKUP(C2063,tblProducts[product_id],tblProducts[product_name],"Missing")</f>
        <v>Support Desk</v>
      </c>
      <c r="P2063" t="str">
        <f>_xlfn.XLOOKUP(C2063,tblProducts[product_id],tblProducts[category],"Missing")</f>
        <v>Service</v>
      </c>
      <c r="Q2063" t="str">
        <f>_xlfn.XLOOKUP(D2063,tblSalesReps[rep_id],tblSalesReps[rep_name],"Missing")</f>
        <v>Sales Rep 09</v>
      </c>
      <c r="R2063" t="str">
        <f>_xlfn.XLOOKUP(D2063,tblSalesReps[rep_id],tblSalesReps[region],"Missing")</f>
        <v>North</v>
      </c>
    </row>
    <row r="2064" spans="1:18">
      <c r="A2064" t="s">
        <v>2601</v>
      </c>
      <c r="B2064" t="s">
        <v>739</v>
      </c>
      <c r="C2064" t="s">
        <v>39</v>
      </c>
      <c r="D2064" t="s">
        <v>50</v>
      </c>
      <c r="E2064" s="1">
        <v>45744</v>
      </c>
      <c r="F2064" s="1">
        <v>45760</v>
      </c>
      <c r="G2064" s="1"/>
      <c r="H2064" t="s">
        <v>43</v>
      </c>
      <c r="I2064">
        <v>1</v>
      </c>
      <c r="J2064">
        <v>0</v>
      </c>
      <c r="K2064">
        <v>180000</v>
      </c>
      <c r="L2064">
        <v>60</v>
      </c>
      <c r="M2064" t="s">
        <v>29</v>
      </c>
      <c r="N2064" t="str">
        <f>_xlfn.XLOOKUP(B2064,tblCustomers[customer_id],tblCustomers[region],"Missing")</f>
        <v>West</v>
      </c>
      <c r="O2064" t="str">
        <f>_xlfn.XLOOKUP(C2064,tblProducts[product_id],tblProducts[product_name],"Missing")</f>
        <v>Support Desk</v>
      </c>
      <c r="P2064" t="str">
        <f>_xlfn.XLOOKUP(C2064,tblProducts[product_id],tblProducts[category],"Missing")</f>
        <v>Service</v>
      </c>
      <c r="Q2064" t="str">
        <f>_xlfn.XLOOKUP(D2064,tblSalesReps[rep_id],tblSalesReps[rep_name],"Missing")</f>
        <v>Sales Rep 15</v>
      </c>
      <c r="R2064" t="str">
        <f>_xlfn.XLOOKUP(D2064,tblSalesReps[rep_id],tblSalesReps[region],"Missing")</f>
        <v>West</v>
      </c>
    </row>
    <row r="2065" spans="1:18">
      <c r="A2065" t="s">
        <v>2602</v>
      </c>
      <c r="B2065" t="s">
        <v>156</v>
      </c>
      <c r="C2065" t="s">
        <v>39</v>
      </c>
      <c r="D2065" t="s">
        <v>75</v>
      </c>
      <c r="E2065" s="1">
        <v>45726</v>
      </c>
      <c r="F2065" s="1">
        <v>45782</v>
      </c>
      <c r="G2065" s="1">
        <v>45782</v>
      </c>
      <c r="H2065" t="s">
        <v>17</v>
      </c>
      <c r="I2065">
        <v>1</v>
      </c>
      <c r="J2065">
        <v>20</v>
      </c>
      <c r="K2065">
        <v>144000</v>
      </c>
      <c r="L2065">
        <v>0</v>
      </c>
      <c r="M2065" t="s">
        <v>18</v>
      </c>
      <c r="N2065" t="str">
        <f>_xlfn.XLOOKUP(B2065,tblCustomers[customer_id],tblCustomers[region],"Missing")</f>
        <v>North</v>
      </c>
      <c r="O2065" t="str">
        <f>_xlfn.XLOOKUP(C2065,tblProducts[product_id],tblProducts[product_name],"Missing")</f>
        <v>Support Desk</v>
      </c>
      <c r="P2065" t="str">
        <f>_xlfn.XLOOKUP(C2065,tblProducts[product_id],tblProducts[category],"Missing")</f>
        <v>Service</v>
      </c>
      <c r="Q2065" t="str">
        <f>_xlfn.XLOOKUP(D2065,tblSalesReps[rep_id],tblSalesReps[rep_name],"Missing")</f>
        <v>Sales Rep 07</v>
      </c>
      <c r="R2065" t="str">
        <f>_xlfn.XLOOKUP(D2065,tblSalesReps[rep_id],tblSalesReps[region],"Missing")</f>
        <v>North</v>
      </c>
    </row>
    <row r="2066" spans="1:18">
      <c r="A2066" t="s">
        <v>2603</v>
      </c>
      <c r="B2066" t="s">
        <v>123</v>
      </c>
      <c r="C2066" t="s">
        <v>21</v>
      </c>
      <c r="D2066" t="s">
        <v>126</v>
      </c>
      <c r="E2066" s="1">
        <v>46001</v>
      </c>
      <c r="F2066" s="1">
        <v>46040</v>
      </c>
      <c r="G2066" s="1"/>
      <c r="H2066" t="s">
        <v>43</v>
      </c>
      <c r="I2066">
        <v>1</v>
      </c>
      <c r="J2066">
        <v>15</v>
      </c>
      <c r="K2066">
        <v>204000</v>
      </c>
      <c r="L2066">
        <v>80</v>
      </c>
      <c r="M2066" t="s">
        <v>29</v>
      </c>
      <c r="N2066" t="str">
        <f>_xlfn.XLOOKUP(B2066,tblCustomers[customer_id],tblCustomers[region],"Missing")</f>
        <v>South</v>
      </c>
      <c r="O2066" t="str">
        <f>_xlfn.XLOOKUP(C2066,tblProducts[product_id],tblProducts[product_name],"Missing")</f>
        <v>Workflow Automate</v>
      </c>
      <c r="P2066" t="str">
        <f>_xlfn.XLOOKUP(C2066,tblProducts[product_id],tblProducts[category],"Missing")</f>
        <v>Automation</v>
      </c>
      <c r="Q2066" t="str">
        <f>_xlfn.XLOOKUP(D2066,tblSalesReps[rep_id],tblSalesReps[rep_name],"Missing")</f>
        <v>Sales Rep 02</v>
      </c>
      <c r="R2066" t="str">
        <f>_xlfn.XLOOKUP(D2066,tblSalesReps[rep_id],tblSalesReps[region],"Missing")</f>
        <v>South</v>
      </c>
    </row>
    <row r="2067" spans="1:18">
      <c r="A2067" t="s">
        <v>2604</v>
      </c>
      <c r="B2067" t="s">
        <v>491</v>
      </c>
      <c r="C2067" t="s">
        <v>21</v>
      </c>
      <c r="D2067" t="s">
        <v>56</v>
      </c>
      <c r="E2067" s="1">
        <v>45835</v>
      </c>
      <c r="F2067" s="1">
        <v>45898</v>
      </c>
      <c r="G2067" s="1">
        <v>45898</v>
      </c>
      <c r="H2067" t="s">
        <v>17</v>
      </c>
      <c r="I2067">
        <v>3</v>
      </c>
      <c r="J2067">
        <v>5</v>
      </c>
      <c r="K2067">
        <v>684000</v>
      </c>
      <c r="L2067">
        <v>0</v>
      </c>
      <c r="M2067" t="s">
        <v>47</v>
      </c>
      <c r="N2067" t="str">
        <f>_xlfn.XLOOKUP(B2067,tblCustomers[customer_id],tblCustomers[region],"Missing")</f>
        <v>East</v>
      </c>
      <c r="O2067" t="str">
        <f>_xlfn.XLOOKUP(C2067,tblProducts[product_id],tblProducts[product_name],"Missing")</f>
        <v>Workflow Automate</v>
      </c>
      <c r="P2067" t="str">
        <f>_xlfn.XLOOKUP(C2067,tblProducts[product_id],tblProducts[category],"Missing")</f>
        <v>Automation</v>
      </c>
      <c r="Q2067" t="str">
        <f>_xlfn.XLOOKUP(D2067,tblSalesReps[rep_id],tblSalesReps[rep_name],"Missing")</f>
        <v>Sales Rep 20</v>
      </c>
      <c r="R2067" t="str">
        <f>_xlfn.XLOOKUP(D2067,tblSalesReps[rep_id],tblSalesReps[region],"Missing")</f>
        <v>East</v>
      </c>
    </row>
    <row r="2068" spans="1:18">
      <c r="A2068" t="s">
        <v>2605</v>
      </c>
      <c r="B2068" t="s">
        <v>1753</v>
      </c>
      <c r="C2068" t="s">
        <v>62</v>
      </c>
      <c r="D2068" t="s">
        <v>119</v>
      </c>
      <c r="E2068" s="1">
        <v>45825</v>
      </c>
      <c r="F2068" s="1">
        <v>45884</v>
      </c>
      <c r="G2068" s="1">
        <v>45884</v>
      </c>
      <c r="H2068" t="s">
        <v>17</v>
      </c>
      <c r="I2068">
        <v>1</v>
      </c>
      <c r="J2068">
        <v>20</v>
      </c>
      <c r="K2068">
        <v>96000</v>
      </c>
      <c r="L2068">
        <v>0</v>
      </c>
      <c r="M2068" t="s">
        <v>33</v>
      </c>
      <c r="N2068" t="str">
        <f>_xlfn.XLOOKUP(B2068,tblCustomers[customer_id],tblCustomers[region],"Missing")</f>
        <v>North</v>
      </c>
      <c r="O2068" t="str">
        <f>_xlfn.XLOOKUP(C2068,tblProducts[product_id],tblProducts[product_name],"Missing")</f>
        <v>CRM Essentials</v>
      </c>
      <c r="P2068" t="str">
        <f>_xlfn.XLOOKUP(C2068,tblProducts[product_id],tblProducts[category],"Missing")</f>
        <v>CRM</v>
      </c>
      <c r="Q2068" t="str">
        <f>_xlfn.XLOOKUP(D2068,tblSalesReps[rep_id],tblSalesReps[rep_name],"Missing")</f>
        <v>Sales Rep 10</v>
      </c>
      <c r="R2068" t="str">
        <f>_xlfn.XLOOKUP(D2068,tblSalesReps[rep_id],tblSalesReps[region],"Missing")</f>
        <v>North</v>
      </c>
    </row>
    <row r="2069" spans="1:18">
      <c r="A2069" t="s">
        <v>2606</v>
      </c>
      <c r="B2069" t="s">
        <v>811</v>
      </c>
      <c r="C2069" t="s">
        <v>15</v>
      </c>
      <c r="D2069" t="s">
        <v>126</v>
      </c>
      <c r="E2069" s="1">
        <v>45939</v>
      </c>
      <c r="F2069" s="1">
        <v>45958</v>
      </c>
      <c r="G2069" s="1"/>
      <c r="H2069" t="s">
        <v>43</v>
      </c>
      <c r="I2069">
        <v>1</v>
      </c>
      <c r="J2069">
        <v>5</v>
      </c>
      <c r="K2069">
        <v>399000</v>
      </c>
      <c r="L2069">
        <v>20</v>
      </c>
      <c r="M2069" t="s">
        <v>29</v>
      </c>
      <c r="N2069" t="str">
        <f>_xlfn.XLOOKUP(B2069,tblCustomers[customer_id],tblCustomers[region],"Missing")</f>
        <v>South</v>
      </c>
      <c r="O2069" t="str">
        <f>_xlfn.XLOOKUP(C2069,tblProducts[product_id],tblProducts[product_name],"Missing")</f>
        <v>CRM Enterprise</v>
      </c>
      <c r="P2069" t="str">
        <f>_xlfn.XLOOKUP(C2069,tblProducts[product_id],tblProducts[category],"Missing")</f>
        <v>CRM</v>
      </c>
      <c r="Q2069" t="str">
        <f>_xlfn.XLOOKUP(D2069,tblSalesReps[rep_id],tblSalesReps[rep_name],"Missing")</f>
        <v>Sales Rep 02</v>
      </c>
      <c r="R2069" t="str">
        <f>_xlfn.XLOOKUP(D2069,tblSalesReps[rep_id],tblSalesReps[region],"Missing")</f>
        <v>South</v>
      </c>
    </row>
    <row r="2070" spans="1:18">
      <c r="A2070" t="s">
        <v>2607</v>
      </c>
      <c r="B2070" t="s">
        <v>209</v>
      </c>
      <c r="C2070" t="s">
        <v>81</v>
      </c>
      <c r="D2070" t="s">
        <v>40</v>
      </c>
      <c r="E2070" s="1">
        <v>45873</v>
      </c>
      <c r="F2070" s="1">
        <v>45938</v>
      </c>
      <c r="G2070" s="1">
        <v>45938</v>
      </c>
      <c r="H2070" t="s">
        <v>17</v>
      </c>
      <c r="I2070">
        <v>1</v>
      </c>
      <c r="J2070">
        <v>20</v>
      </c>
      <c r="K2070">
        <v>240000</v>
      </c>
      <c r="L2070">
        <v>0</v>
      </c>
      <c r="M2070" t="s">
        <v>18</v>
      </c>
      <c r="N2070" t="str">
        <f>_xlfn.XLOOKUP(B2070,tblCustomers[customer_id],tblCustomers[region],"Missing")</f>
        <v>West</v>
      </c>
      <c r="O2070" t="str">
        <f>_xlfn.XLOOKUP(C2070,tblProducts[product_id],tblProducts[product_name],"Missing")</f>
        <v>Analytics Cloud</v>
      </c>
      <c r="P2070" t="str">
        <f>_xlfn.XLOOKUP(C2070,tblProducts[product_id],tblProducts[category],"Missing")</f>
        <v>Analytics</v>
      </c>
      <c r="Q2070" t="str">
        <f>_xlfn.XLOOKUP(D2070,tblSalesReps[rep_id],tblSalesReps[rep_name],"Missing")</f>
        <v>Sales Rep 13</v>
      </c>
      <c r="R2070" t="str">
        <f>_xlfn.XLOOKUP(D2070,tblSalesReps[rep_id],tblSalesReps[region],"Missing")</f>
        <v>West</v>
      </c>
    </row>
    <row r="2071" spans="1:18">
      <c r="A2071" t="s">
        <v>2608</v>
      </c>
      <c r="B2071" t="s">
        <v>1884</v>
      </c>
      <c r="C2071" t="s">
        <v>62</v>
      </c>
      <c r="D2071" t="s">
        <v>32</v>
      </c>
      <c r="E2071" s="1">
        <v>45786</v>
      </c>
      <c r="F2071" s="1">
        <v>45793</v>
      </c>
      <c r="G2071" s="1">
        <v>45793</v>
      </c>
      <c r="H2071" t="s">
        <v>17</v>
      </c>
      <c r="I2071">
        <v>3</v>
      </c>
      <c r="J2071">
        <v>10</v>
      </c>
      <c r="K2071">
        <v>324000</v>
      </c>
      <c r="L2071">
        <v>0</v>
      </c>
      <c r="M2071" t="s">
        <v>82</v>
      </c>
      <c r="N2071" t="str">
        <f>_xlfn.XLOOKUP(B2071,tblCustomers[customer_id],tblCustomers[region],"Missing")</f>
        <v>South</v>
      </c>
      <c r="O2071" t="str">
        <f>_xlfn.XLOOKUP(C2071,tblProducts[product_id],tblProducts[product_name],"Missing")</f>
        <v>CRM Essentials</v>
      </c>
      <c r="P2071" t="str">
        <f>_xlfn.XLOOKUP(C2071,tblProducts[product_id],tblProducts[category],"Missing")</f>
        <v>CRM</v>
      </c>
      <c r="Q2071" t="str">
        <f>_xlfn.XLOOKUP(D2071,tblSalesReps[rep_id],tblSalesReps[rep_name],"Missing")</f>
        <v>Sales Rep 04</v>
      </c>
      <c r="R2071" t="str">
        <f>_xlfn.XLOOKUP(D2071,tblSalesReps[rep_id],tblSalesReps[region],"Missing")</f>
        <v>South</v>
      </c>
    </row>
    <row r="2072" spans="1:18">
      <c r="A2072" t="s">
        <v>2609</v>
      </c>
      <c r="B2072" t="s">
        <v>727</v>
      </c>
      <c r="C2072" t="s">
        <v>21</v>
      </c>
      <c r="D2072" t="s">
        <v>40</v>
      </c>
      <c r="E2072" s="1">
        <v>45911</v>
      </c>
      <c r="F2072" s="1">
        <v>45924</v>
      </c>
      <c r="G2072" s="1"/>
      <c r="H2072" t="s">
        <v>43</v>
      </c>
      <c r="I2072">
        <v>1</v>
      </c>
      <c r="J2072">
        <v>20</v>
      </c>
      <c r="K2072">
        <v>192000</v>
      </c>
      <c r="L2072">
        <v>60</v>
      </c>
      <c r="M2072" t="s">
        <v>29</v>
      </c>
      <c r="N2072" t="str">
        <f>_xlfn.XLOOKUP(B2072,tblCustomers[customer_id],tblCustomers[region],"Missing")</f>
        <v>West</v>
      </c>
      <c r="O2072" t="str">
        <f>_xlfn.XLOOKUP(C2072,tblProducts[product_id],tblProducts[product_name],"Missing")</f>
        <v>Workflow Automate</v>
      </c>
      <c r="P2072" t="str">
        <f>_xlfn.XLOOKUP(C2072,tblProducts[product_id],tblProducts[category],"Missing")</f>
        <v>Automation</v>
      </c>
      <c r="Q2072" t="str">
        <f>_xlfn.XLOOKUP(D2072,tblSalesReps[rep_id],tblSalesReps[rep_name],"Missing")</f>
        <v>Sales Rep 13</v>
      </c>
      <c r="R2072" t="str">
        <f>_xlfn.XLOOKUP(D2072,tblSalesReps[rep_id],tblSalesReps[region],"Missing")</f>
        <v>West</v>
      </c>
    </row>
    <row r="2073" spans="1:18">
      <c r="A2073" t="s">
        <v>2610</v>
      </c>
      <c r="B2073" t="s">
        <v>1390</v>
      </c>
      <c r="C2073" t="s">
        <v>21</v>
      </c>
      <c r="D2073" t="s">
        <v>119</v>
      </c>
      <c r="E2073" s="1">
        <v>45897</v>
      </c>
      <c r="F2073" s="1">
        <v>45905</v>
      </c>
      <c r="G2073" s="1"/>
      <c r="H2073" t="s">
        <v>43</v>
      </c>
      <c r="I2073">
        <v>1</v>
      </c>
      <c r="J2073">
        <v>0</v>
      </c>
      <c r="K2073">
        <v>240000</v>
      </c>
      <c r="L2073">
        <v>20</v>
      </c>
      <c r="M2073" t="s">
        <v>29</v>
      </c>
      <c r="N2073" t="str">
        <f>_xlfn.XLOOKUP(B2073,tblCustomers[customer_id],tblCustomers[region],"Missing")</f>
        <v>North</v>
      </c>
      <c r="O2073" t="str">
        <f>_xlfn.XLOOKUP(C2073,tblProducts[product_id],tblProducts[product_name],"Missing")</f>
        <v>Workflow Automate</v>
      </c>
      <c r="P2073" t="str">
        <f>_xlfn.XLOOKUP(C2073,tblProducts[product_id],tblProducts[category],"Missing")</f>
        <v>Automation</v>
      </c>
      <c r="Q2073" t="str">
        <f>_xlfn.XLOOKUP(D2073,tblSalesReps[rep_id],tblSalesReps[rep_name],"Missing")</f>
        <v>Sales Rep 10</v>
      </c>
      <c r="R2073" t="str">
        <f>_xlfn.XLOOKUP(D2073,tblSalesReps[rep_id],tblSalesReps[region],"Missing")</f>
        <v>North</v>
      </c>
    </row>
    <row r="2074" spans="1:18">
      <c r="A2074" t="s">
        <v>2611</v>
      </c>
      <c r="B2074" t="s">
        <v>759</v>
      </c>
      <c r="C2074" t="s">
        <v>81</v>
      </c>
      <c r="D2074" t="s">
        <v>59</v>
      </c>
      <c r="E2074" s="1">
        <v>46021</v>
      </c>
      <c r="F2074" s="1">
        <v>46067</v>
      </c>
      <c r="G2074" s="1"/>
      <c r="H2074" t="s">
        <v>43</v>
      </c>
      <c r="I2074">
        <v>2</v>
      </c>
      <c r="J2074">
        <v>10</v>
      </c>
      <c r="K2074">
        <v>540000</v>
      </c>
      <c r="L2074">
        <v>40</v>
      </c>
      <c r="M2074" t="s">
        <v>29</v>
      </c>
      <c r="N2074" t="str">
        <f>_xlfn.XLOOKUP(B2074,tblCustomers[customer_id],tblCustomers[region],"Missing")</f>
        <v>East</v>
      </c>
      <c r="O2074" t="str">
        <f>_xlfn.XLOOKUP(C2074,tblProducts[product_id],tblProducts[product_name],"Missing")</f>
        <v>Analytics Cloud</v>
      </c>
      <c r="P2074" t="str">
        <f>_xlfn.XLOOKUP(C2074,tblProducts[product_id],tblProducts[category],"Missing")</f>
        <v>Analytics</v>
      </c>
      <c r="Q2074" t="str">
        <f>_xlfn.XLOOKUP(D2074,tblSalesReps[rep_id],tblSalesReps[rep_name],"Missing")</f>
        <v>Sales Rep 19</v>
      </c>
      <c r="R2074" t="str">
        <f>_xlfn.XLOOKUP(D2074,tblSalesReps[rep_id],tblSalesReps[region],"Missing")</f>
        <v>East</v>
      </c>
    </row>
    <row r="2075" spans="1:18">
      <c r="A2075" t="s">
        <v>2612</v>
      </c>
      <c r="B2075" t="s">
        <v>2019</v>
      </c>
      <c r="C2075" t="s">
        <v>62</v>
      </c>
      <c r="D2075" t="s">
        <v>56</v>
      </c>
      <c r="E2075" s="1">
        <v>45770</v>
      </c>
      <c r="F2075" s="1">
        <v>45802</v>
      </c>
      <c r="G2075" s="1">
        <v>45802</v>
      </c>
      <c r="H2075" t="s">
        <v>28</v>
      </c>
      <c r="I2075">
        <v>1</v>
      </c>
      <c r="J2075">
        <v>10</v>
      </c>
      <c r="K2075">
        <v>108000</v>
      </c>
      <c r="L2075">
        <v>100</v>
      </c>
      <c r="M2075" t="s">
        <v>29</v>
      </c>
      <c r="N2075" t="str">
        <f>_xlfn.XLOOKUP(B2075,tblCustomers[customer_id],tblCustomers[region],"Missing")</f>
        <v>East</v>
      </c>
      <c r="O2075" t="str">
        <f>_xlfn.XLOOKUP(C2075,tblProducts[product_id],tblProducts[product_name],"Missing")</f>
        <v>CRM Essentials</v>
      </c>
      <c r="P2075" t="str">
        <f>_xlfn.XLOOKUP(C2075,tblProducts[product_id],tblProducts[category],"Missing")</f>
        <v>CRM</v>
      </c>
      <c r="Q2075" t="str">
        <f>_xlfn.XLOOKUP(D2075,tblSalesReps[rep_id],tblSalesReps[rep_name],"Missing")</f>
        <v>Sales Rep 20</v>
      </c>
      <c r="R2075" t="str">
        <f>_xlfn.XLOOKUP(D2075,tblSalesReps[rep_id],tblSalesReps[region],"Missing")</f>
        <v>East</v>
      </c>
    </row>
    <row r="2076" spans="1:18">
      <c r="A2076" t="s">
        <v>2613</v>
      </c>
      <c r="B2076" t="s">
        <v>262</v>
      </c>
      <c r="C2076" t="s">
        <v>21</v>
      </c>
      <c r="D2076" t="s">
        <v>46</v>
      </c>
      <c r="E2076" s="1">
        <v>45953</v>
      </c>
      <c r="F2076" s="1">
        <v>46033</v>
      </c>
      <c r="G2076" s="1"/>
      <c r="H2076" t="s">
        <v>43</v>
      </c>
      <c r="I2076">
        <v>1</v>
      </c>
      <c r="J2076">
        <v>0</v>
      </c>
      <c r="K2076">
        <v>240000</v>
      </c>
      <c r="L2076">
        <v>40</v>
      </c>
      <c r="M2076" t="s">
        <v>29</v>
      </c>
      <c r="N2076" t="str">
        <f>_xlfn.XLOOKUP(B2076,tblCustomers[customer_id],tblCustomers[region],"Missing")</f>
        <v>South</v>
      </c>
      <c r="O2076" t="str">
        <f>_xlfn.XLOOKUP(C2076,tblProducts[product_id],tblProducts[product_name],"Missing")</f>
        <v>Workflow Automate</v>
      </c>
      <c r="P2076" t="str">
        <f>_xlfn.XLOOKUP(C2076,tblProducts[product_id],tblProducts[category],"Missing")</f>
        <v>Automation</v>
      </c>
      <c r="Q2076" t="str">
        <f>_xlfn.XLOOKUP(D2076,tblSalesReps[rep_id],tblSalesReps[rep_name],"Missing")</f>
        <v>Sales Rep 01</v>
      </c>
      <c r="R2076" t="str">
        <f>_xlfn.XLOOKUP(D2076,tblSalesReps[rep_id],tblSalesReps[region],"Missing")</f>
        <v>South</v>
      </c>
    </row>
    <row r="2077" spans="1:18">
      <c r="A2077" t="s">
        <v>2614</v>
      </c>
      <c r="B2077" t="s">
        <v>106</v>
      </c>
      <c r="C2077" t="s">
        <v>81</v>
      </c>
      <c r="D2077" t="s">
        <v>27</v>
      </c>
      <c r="E2077" s="1">
        <v>45981</v>
      </c>
      <c r="F2077" s="1">
        <v>46009</v>
      </c>
      <c r="G2077" s="1">
        <v>46009</v>
      </c>
      <c r="H2077" t="s">
        <v>17</v>
      </c>
      <c r="I2077">
        <v>3</v>
      </c>
      <c r="J2077">
        <v>20</v>
      </c>
      <c r="K2077">
        <v>720000</v>
      </c>
      <c r="L2077">
        <v>0</v>
      </c>
      <c r="M2077" t="s">
        <v>23</v>
      </c>
      <c r="N2077" t="str">
        <f>_xlfn.XLOOKUP(B2077,tblCustomers[customer_id],tblCustomers[region],"Missing")</f>
        <v>North</v>
      </c>
      <c r="O2077" t="str">
        <f>_xlfn.XLOOKUP(C2077,tblProducts[product_id],tblProducts[product_name],"Missing")</f>
        <v>Analytics Cloud</v>
      </c>
      <c r="P2077" t="str">
        <f>_xlfn.XLOOKUP(C2077,tblProducts[product_id],tblProducts[category],"Missing")</f>
        <v>Analytics</v>
      </c>
      <c r="Q2077" t="str">
        <f>_xlfn.XLOOKUP(D2077,tblSalesReps[rep_id],tblSalesReps[rep_name],"Missing")</f>
        <v>Sales Rep 06</v>
      </c>
      <c r="R2077" t="str">
        <f>_xlfn.XLOOKUP(D2077,tblSalesReps[rep_id],tblSalesReps[region],"Missing")</f>
        <v>North</v>
      </c>
    </row>
    <row r="2078" spans="1:18">
      <c r="A2078" t="s">
        <v>2615</v>
      </c>
      <c r="B2078" t="s">
        <v>74</v>
      </c>
      <c r="C2078" t="s">
        <v>39</v>
      </c>
      <c r="D2078" t="s">
        <v>36</v>
      </c>
      <c r="E2078" s="1">
        <v>45804</v>
      </c>
      <c r="F2078" s="1">
        <v>45835</v>
      </c>
      <c r="G2078" s="1">
        <v>45835</v>
      </c>
      <c r="H2078" t="s">
        <v>28</v>
      </c>
      <c r="I2078">
        <v>1</v>
      </c>
      <c r="J2078">
        <v>20</v>
      </c>
      <c r="K2078">
        <v>144000</v>
      </c>
      <c r="L2078">
        <v>100</v>
      </c>
      <c r="M2078" t="s">
        <v>29</v>
      </c>
      <c r="N2078" t="str">
        <f>_xlfn.XLOOKUP(B2078,tblCustomers[customer_id],tblCustomers[region],"Missing")</f>
        <v>North</v>
      </c>
      <c r="O2078" t="str">
        <f>_xlfn.XLOOKUP(C2078,tblProducts[product_id],tblProducts[product_name],"Missing")</f>
        <v>Support Desk</v>
      </c>
      <c r="P2078" t="str">
        <f>_xlfn.XLOOKUP(C2078,tblProducts[product_id],tblProducts[category],"Missing")</f>
        <v>Service</v>
      </c>
      <c r="Q2078" t="str">
        <f>_xlfn.XLOOKUP(D2078,tblSalesReps[rep_id],tblSalesReps[rep_name],"Missing")</f>
        <v>Sales Rep 09</v>
      </c>
      <c r="R2078" t="str">
        <f>_xlfn.XLOOKUP(D2078,tblSalesReps[rep_id],tblSalesReps[region],"Missing")</f>
        <v>North</v>
      </c>
    </row>
    <row r="2079" spans="1:18">
      <c r="A2079" t="s">
        <v>2616</v>
      </c>
      <c r="B2079" t="s">
        <v>1382</v>
      </c>
      <c r="C2079" t="s">
        <v>81</v>
      </c>
      <c r="D2079" t="s">
        <v>78</v>
      </c>
      <c r="E2079" s="1">
        <v>45919</v>
      </c>
      <c r="F2079" s="1">
        <v>45926</v>
      </c>
      <c r="G2079" s="1">
        <v>45926</v>
      </c>
      <c r="H2079" t="s">
        <v>28</v>
      </c>
      <c r="I2079">
        <v>2</v>
      </c>
      <c r="J2079">
        <v>0</v>
      </c>
      <c r="K2079">
        <v>600000</v>
      </c>
      <c r="L2079">
        <v>100</v>
      </c>
      <c r="M2079" t="s">
        <v>29</v>
      </c>
      <c r="N2079" t="str">
        <f>_xlfn.XLOOKUP(B2079,tblCustomers[customer_id],tblCustomers[region],"Missing")</f>
        <v>West</v>
      </c>
      <c r="O2079" t="str">
        <f>_xlfn.XLOOKUP(C2079,tblProducts[product_id],tblProducts[product_name],"Missing")</f>
        <v>Analytics Cloud</v>
      </c>
      <c r="P2079" t="str">
        <f>_xlfn.XLOOKUP(C2079,tblProducts[product_id],tblProducts[category],"Missing")</f>
        <v>Analytics</v>
      </c>
      <c r="Q2079" t="str">
        <f>_xlfn.XLOOKUP(D2079,tblSalesReps[rep_id],tblSalesReps[rep_name],"Missing")</f>
        <v>Sales Rep 12</v>
      </c>
      <c r="R2079" t="str">
        <f>_xlfn.XLOOKUP(D2079,tblSalesReps[rep_id],tblSalesReps[region],"Missing")</f>
        <v>West</v>
      </c>
    </row>
    <row r="2080" spans="1:18">
      <c r="A2080" t="s">
        <v>2617</v>
      </c>
      <c r="B2080" t="s">
        <v>202</v>
      </c>
      <c r="C2080" t="s">
        <v>81</v>
      </c>
      <c r="D2080" t="s">
        <v>59</v>
      </c>
      <c r="E2080" s="1">
        <v>45889</v>
      </c>
      <c r="F2080" s="1">
        <v>45971</v>
      </c>
      <c r="G2080" s="1">
        <v>45971</v>
      </c>
      <c r="H2080" t="s">
        <v>17</v>
      </c>
      <c r="I2080">
        <v>1</v>
      </c>
      <c r="J2080">
        <v>20</v>
      </c>
      <c r="K2080">
        <v>240000</v>
      </c>
      <c r="L2080">
        <v>0</v>
      </c>
      <c r="M2080" t="s">
        <v>23</v>
      </c>
      <c r="N2080" t="str">
        <f>_xlfn.XLOOKUP(B2080,tblCustomers[customer_id],tblCustomers[region],"Missing")</f>
        <v>East</v>
      </c>
      <c r="O2080" t="str">
        <f>_xlfn.XLOOKUP(C2080,tblProducts[product_id],tblProducts[product_name],"Missing")</f>
        <v>Analytics Cloud</v>
      </c>
      <c r="P2080" t="str">
        <f>_xlfn.XLOOKUP(C2080,tblProducts[product_id],tblProducts[category],"Missing")</f>
        <v>Analytics</v>
      </c>
      <c r="Q2080" t="str">
        <f>_xlfn.XLOOKUP(D2080,tblSalesReps[rep_id],tblSalesReps[rep_name],"Missing")</f>
        <v>Sales Rep 19</v>
      </c>
      <c r="R2080" t="str">
        <f>_xlfn.XLOOKUP(D2080,tblSalesReps[rep_id],tblSalesReps[region],"Missing")</f>
        <v>East</v>
      </c>
    </row>
    <row r="2081" spans="1:18">
      <c r="A2081" t="s">
        <v>2618</v>
      </c>
      <c r="B2081" t="s">
        <v>193</v>
      </c>
      <c r="C2081" t="s">
        <v>39</v>
      </c>
      <c r="D2081" t="s">
        <v>168</v>
      </c>
      <c r="E2081" s="1">
        <v>45779</v>
      </c>
      <c r="F2081" s="1">
        <v>45787</v>
      </c>
      <c r="G2081" s="1">
        <v>45787</v>
      </c>
      <c r="H2081" t="s">
        <v>17</v>
      </c>
      <c r="I2081">
        <v>1</v>
      </c>
      <c r="J2081">
        <v>15</v>
      </c>
      <c r="K2081">
        <v>153000</v>
      </c>
      <c r="L2081">
        <v>0</v>
      </c>
      <c r="M2081" t="s">
        <v>82</v>
      </c>
      <c r="N2081" t="str">
        <f>_xlfn.XLOOKUP(B2081,tblCustomers[customer_id],tblCustomers[region],"Missing")</f>
        <v>East</v>
      </c>
      <c r="O2081" t="str">
        <f>_xlfn.XLOOKUP(C2081,tblProducts[product_id],tblProducts[product_name],"Missing")</f>
        <v>Support Desk</v>
      </c>
      <c r="P2081" t="str">
        <f>_xlfn.XLOOKUP(C2081,tblProducts[product_id],tblProducts[category],"Missing")</f>
        <v>Service</v>
      </c>
      <c r="Q2081" t="str">
        <f>_xlfn.XLOOKUP(D2081,tblSalesReps[rep_id],tblSalesReps[rep_name],"Missing")</f>
        <v>Sales Rep 17</v>
      </c>
      <c r="R2081" t="str">
        <f>_xlfn.XLOOKUP(D2081,tblSalesReps[rep_id],tblSalesReps[region],"Missing")</f>
        <v>East</v>
      </c>
    </row>
    <row r="2082" spans="1:18">
      <c r="A2082" t="s">
        <v>2619</v>
      </c>
      <c r="B2082" t="s">
        <v>339</v>
      </c>
      <c r="C2082" t="s">
        <v>15</v>
      </c>
      <c r="D2082" t="s">
        <v>22</v>
      </c>
      <c r="E2082" s="1">
        <v>45802</v>
      </c>
      <c r="F2082" s="1">
        <v>45862</v>
      </c>
      <c r="G2082" s="1">
        <v>45862</v>
      </c>
      <c r="H2082" t="s">
        <v>17</v>
      </c>
      <c r="I2082">
        <v>2</v>
      </c>
      <c r="J2082">
        <v>10</v>
      </c>
      <c r="K2082">
        <v>756000</v>
      </c>
      <c r="L2082">
        <v>0</v>
      </c>
      <c r="M2082" t="s">
        <v>23</v>
      </c>
      <c r="N2082" t="str">
        <f>_xlfn.XLOOKUP(B2082,tblCustomers[customer_id],tblCustomers[region],"Missing")</f>
        <v>West</v>
      </c>
      <c r="O2082" t="str">
        <f>_xlfn.XLOOKUP(C2082,tblProducts[product_id],tblProducts[product_name],"Missing")</f>
        <v>CRM Enterprise</v>
      </c>
      <c r="P2082" t="str">
        <f>_xlfn.XLOOKUP(C2082,tblProducts[product_id],tblProducts[category],"Missing")</f>
        <v>CRM</v>
      </c>
      <c r="Q2082" t="str">
        <f>_xlfn.XLOOKUP(D2082,tblSalesReps[rep_id],tblSalesReps[rep_name],"Missing")</f>
        <v>Sales Rep 14</v>
      </c>
      <c r="R2082" t="str">
        <f>_xlfn.XLOOKUP(D2082,tblSalesReps[rep_id],tblSalesReps[region],"Missing")</f>
        <v>West</v>
      </c>
    </row>
    <row r="2083" spans="1:18">
      <c r="A2083" t="s">
        <v>2620</v>
      </c>
      <c r="B2083" t="s">
        <v>145</v>
      </c>
      <c r="C2083" t="s">
        <v>21</v>
      </c>
      <c r="D2083" t="s">
        <v>78</v>
      </c>
      <c r="E2083" s="1">
        <v>45872</v>
      </c>
      <c r="F2083" s="1">
        <v>45956</v>
      </c>
      <c r="G2083" s="1">
        <v>45956</v>
      </c>
      <c r="H2083" t="s">
        <v>17</v>
      </c>
      <c r="I2083">
        <v>3</v>
      </c>
      <c r="J2083">
        <v>0</v>
      </c>
      <c r="K2083">
        <v>720000</v>
      </c>
      <c r="L2083">
        <v>0</v>
      </c>
      <c r="M2083" t="s">
        <v>33</v>
      </c>
      <c r="N2083" t="str">
        <f>_xlfn.XLOOKUP(B2083,tblCustomers[customer_id],tblCustomers[region],"Missing")</f>
        <v>West</v>
      </c>
      <c r="O2083" t="str">
        <f>_xlfn.XLOOKUP(C2083,tblProducts[product_id],tblProducts[product_name],"Missing")</f>
        <v>Workflow Automate</v>
      </c>
      <c r="P2083" t="str">
        <f>_xlfn.XLOOKUP(C2083,tblProducts[product_id],tblProducts[category],"Missing")</f>
        <v>Automation</v>
      </c>
      <c r="Q2083" t="str">
        <f>_xlfn.XLOOKUP(D2083,tblSalesReps[rep_id],tblSalesReps[rep_name],"Missing")</f>
        <v>Sales Rep 12</v>
      </c>
      <c r="R2083" t="str">
        <f>_xlfn.XLOOKUP(D2083,tblSalesReps[rep_id],tblSalesReps[region],"Missing")</f>
        <v>West</v>
      </c>
    </row>
    <row r="2084" spans="1:18">
      <c r="A2084" t="s">
        <v>2621</v>
      </c>
      <c r="B2084" t="s">
        <v>1817</v>
      </c>
      <c r="C2084" t="s">
        <v>81</v>
      </c>
      <c r="D2084" t="s">
        <v>40</v>
      </c>
      <c r="E2084" s="1">
        <v>45873</v>
      </c>
      <c r="F2084" s="1">
        <v>45884</v>
      </c>
      <c r="G2084" s="1">
        <v>45884</v>
      </c>
      <c r="H2084" t="s">
        <v>17</v>
      </c>
      <c r="I2084">
        <v>1</v>
      </c>
      <c r="J2084">
        <v>0</v>
      </c>
      <c r="K2084">
        <v>300000</v>
      </c>
      <c r="L2084">
        <v>0</v>
      </c>
      <c r="M2084" t="s">
        <v>33</v>
      </c>
      <c r="N2084" t="str">
        <f>_xlfn.XLOOKUP(B2084,tblCustomers[customer_id],tblCustomers[region],"Missing")</f>
        <v>West</v>
      </c>
      <c r="O2084" t="str">
        <f>_xlfn.XLOOKUP(C2084,tblProducts[product_id],tblProducts[product_name],"Missing")</f>
        <v>Analytics Cloud</v>
      </c>
      <c r="P2084" t="str">
        <f>_xlfn.XLOOKUP(C2084,tblProducts[product_id],tblProducts[category],"Missing")</f>
        <v>Analytics</v>
      </c>
      <c r="Q2084" t="str">
        <f>_xlfn.XLOOKUP(D2084,tblSalesReps[rep_id],tblSalesReps[rep_name],"Missing")</f>
        <v>Sales Rep 13</v>
      </c>
      <c r="R2084" t="str">
        <f>_xlfn.XLOOKUP(D2084,tblSalesReps[rep_id],tblSalesReps[region],"Missing")</f>
        <v>West</v>
      </c>
    </row>
    <row r="2085" spans="1:18">
      <c r="A2085" t="s">
        <v>2622</v>
      </c>
      <c r="B2085" t="s">
        <v>198</v>
      </c>
      <c r="C2085" t="s">
        <v>39</v>
      </c>
      <c r="D2085" t="s">
        <v>78</v>
      </c>
      <c r="E2085" s="1">
        <v>45790</v>
      </c>
      <c r="F2085" s="1">
        <v>45804</v>
      </c>
      <c r="G2085" s="1">
        <v>45804</v>
      </c>
      <c r="H2085" t="s">
        <v>17</v>
      </c>
      <c r="I2085">
        <v>1</v>
      </c>
      <c r="J2085">
        <v>15</v>
      </c>
      <c r="K2085">
        <v>153000</v>
      </c>
      <c r="L2085">
        <v>0</v>
      </c>
      <c r="M2085" t="s">
        <v>33</v>
      </c>
      <c r="N2085" t="str">
        <f>_xlfn.XLOOKUP(B2085,tblCustomers[customer_id],tblCustomers[region],"Missing")</f>
        <v>West</v>
      </c>
      <c r="O2085" t="str">
        <f>_xlfn.XLOOKUP(C2085,tblProducts[product_id],tblProducts[product_name],"Missing")</f>
        <v>Support Desk</v>
      </c>
      <c r="P2085" t="str">
        <f>_xlfn.XLOOKUP(C2085,tblProducts[product_id],tblProducts[category],"Missing")</f>
        <v>Service</v>
      </c>
      <c r="Q2085" t="str">
        <f>_xlfn.XLOOKUP(D2085,tblSalesReps[rep_id],tblSalesReps[rep_name],"Missing")</f>
        <v>Sales Rep 12</v>
      </c>
      <c r="R2085" t="str">
        <f>_xlfn.XLOOKUP(D2085,tblSalesReps[rep_id],tblSalesReps[region],"Missing")</f>
        <v>West</v>
      </c>
    </row>
    <row r="2086" spans="1:18">
      <c r="A2086" t="s">
        <v>2623</v>
      </c>
      <c r="B2086" t="s">
        <v>1169</v>
      </c>
      <c r="C2086" t="s">
        <v>21</v>
      </c>
      <c r="D2086" t="s">
        <v>168</v>
      </c>
      <c r="E2086" s="1">
        <v>45800</v>
      </c>
      <c r="F2086" s="1">
        <v>45864</v>
      </c>
      <c r="G2086" s="1"/>
      <c r="H2086" t="s">
        <v>43</v>
      </c>
      <c r="I2086">
        <v>1</v>
      </c>
      <c r="J2086">
        <v>10</v>
      </c>
      <c r="K2086">
        <v>216000</v>
      </c>
      <c r="L2086">
        <v>20</v>
      </c>
      <c r="M2086" t="s">
        <v>29</v>
      </c>
      <c r="N2086" t="str">
        <f>_xlfn.XLOOKUP(B2086,tblCustomers[customer_id],tblCustomers[region],"Missing")</f>
        <v>East</v>
      </c>
      <c r="O2086" t="str">
        <f>_xlfn.XLOOKUP(C2086,tblProducts[product_id],tblProducts[product_name],"Missing")</f>
        <v>Workflow Automate</v>
      </c>
      <c r="P2086" t="str">
        <f>_xlfn.XLOOKUP(C2086,tblProducts[product_id],tblProducts[category],"Missing")</f>
        <v>Automation</v>
      </c>
      <c r="Q2086" t="str">
        <f>_xlfn.XLOOKUP(D2086,tblSalesReps[rep_id],tblSalesReps[rep_name],"Missing")</f>
        <v>Sales Rep 17</v>
      </c>
      <c r="R2086" t="str">
        <f>_xlfn.XLOOKUP(D2086,tblSalesReps[rep_id],tblSalesReps[region],"Missing")</f>
        <v>East</v>
      </c>
    </row>
    <row r="2087" spans="1:18">
      <c r="A2087" t="s">
        <v>2624</v>
      </c>
      <c r="B2087" t="s">
        <v>234</v>
      </c>
      <c r="C2087" t="s">
        <v>81</v>
      </c>
      <c r="D2087" t="s">
        <v>70</v>
      </c>
      <c r="E2087" s="1">
        <v>45998</v>
      </c>
      <c r="F2087" s="1">
        <v>46054</v>
      </c>
      <c r="G2087" s="1"/>
      <c r="H2087" t="s">
        <v>43</v>
      </c>
      <c r="I2087">
        <v>1</v>
      </c>
      <c r="J2087">
        <v>20</v>
      </c>
      <c r="K2087">
        <v>240000</v>
      </c>
      <c r="L2087">
        <v>80</v>
      </c>
      <c r="M2087" t="s">
        <v>29</v>
      </c>
      <c r="N2087" t="str">
        <f>_xlfn.XLOOKUP(B2087,tblCustomers[customer_id],tblCustomers[region],"Missing")</f>
        <v>West</v>
      </c>
      <c r="O2087" t="str">
        <f>_xlfn.XLOOKUP(C2087,tblProducts[product_id],tblProducts[product_name],"Missing")</f>
        <v>Analytics Cloud</v>
      </c>
      <c r="P2087" t="str">
        <f>_xlfn.XLOOKUP(C2087,tblProducts[product_id],tblProducts[category],"Missing")</f>
        <v>Analytics</v>
      </c>
      <c r="Q2087" t="str">
        <f>_xlfn.XLOOKUP(D2087,tblSalesReps[rep_id],tblSalesReps[rep_name],"Missing")</f>
        <v>Sales Rep 11</v>
      </c>
      <c r="R2087" t="str">
        <f>_xlfn.XLOOKUP(D2087,tblSalesReps[rep_id],tblSalesReps[region],"Missing")</f>
        <v>West</v>
      </c>
    </row>
    <row r="2088" spans="1:18">
      <c r="A2088" t="s">
        <v>2625</v>
      </c>
      <c r="B2088" t="s">
        <v>1159</v>
      </c>
      <c r="C2088" t="s">
        <v>81</v>
      </c>
      <c r="D2088" t="s">
        <v>168</v>
      </c>
      <c r="E2088" s="1">
        <v>45869</v>
      </c>
      <c r="F2088" s="1">
        <v>45949</v>
      </c>
      <c r="G2088" s="1">
        <v>45949</v>
      </c>
      <c r="H2088" t="s">
        <v>17</v>
      </c>
      <c r="I2088">
        <v>1</v>
      </c>
      <c r="J2088">
        <v>0</v>
      </c>
      <c r="K2088">
        <v>300000</v>
      </c>
      <c r="L2088">
        <v>0</v>
      </c>
      <c r="M2088" t="s">
        <v>47</v>
      </c>
      <c r="N2088" t="str">
        <f>_xlfn.XLOOKUP(B2088,tblCustomers[customer_id],tblCustomers[region],"Missing")</f>
        <v>East</v>
      </c>
      <c r="O2088" t="str">
        <f>_xlfn.XLOOKUP(C2088,tblProducts[product_id],tblProducts[product_name],"Missing")</f>
        <v>Analytics Cloud</v>
      </c>
      <c r="P2088" t="str">
        <f>_xlfn.XLOOKUP(C2088,tblProducts[product_id],tblProducts[category],"Missing")</f>
        <v>Analytics</v>
      </c>
      <c r="Q2088" t="str">
        <f>_xlfn.XLOOKUP(D2088,tblSalesReps[rep_id],tblSalesReps[rep_name],"Missing")</f>
        <v>Sales Rep 17</v>
      </c>
      <c r="R2088" t="str">
        <f>_xlfn.XLOOKUP(D2088,tblSalesReps[rep_id],tblSalesReps[region],"Missing")</f>
        <v>East</v>
      </c>
    </row>
    <row r="2089" spans="1:18">
      <c r="A2089" t="s">
        <v>2626</v>
      </c>
      <c r="B2089" t="s">
        <v>497</v>
      </c>
      <c r="C2089" t="s">
        <v>21</v>
      </c>
      <c r="D2089" t="s">
        <v>46</v>
      </c>
      <c r="E2089" s="1">
        <v>45914</v>
      </c>
      <c r="F2089" s="1">
        <v>45964</v>
      </c>
      <c r="G2089" s="1">
        <v>45964</v>
      </c>
      <c r="H2089" t="s">
        <v>17</v>
      </c>
      <c r="I2089">
        <v>1</v>
      </c>
      <c r="J2089">
        <v>10</v>
      </c>
      <c r="K2089">
        <v>216000</v>
      </c>
      <c r="L2089">
        <v>0</v>
      </c>
      <c r="M2089" t="s">
        <v>33</v>
      </c>
      <c r="N2089" t="str">
        <f>_xlfn.XLOOKUP(B2089,tblCustomers[customer_id],tblCustomers[region],"Missing")</f>
        <v>South</v>
      </c>
      <c r="O2089" t="str">
        <f>_xlfn.XLOOKUP(C2089,tblProducts[product_id],tblProducts[product_name],"Missing")</f>
        <v>Workflow Automate</v>
      </c>
      <c r="P2089" t="str">
        <f>_xlfn.XLOOKUP(C2089,tblProducts[product_id],tblProducts[category],"Missing")</f>
        <v>Automation</v>
      </c>
      <c r="Q2089" t="str">
        <f>_xlfn.XLOOKUP(D2089,tblSalesReps[rep_id],tblSalesReps[rep_name],"Missing")</f>
        <v>Sales Rep 01</v>
      </c>
      <c r="R2089" t="str">
        <f>_xlfn.XLOOKUP(D2089,tblSalesReps[rep_id],tblSalesReps[region],"Missing")</f>
        <v>South</v>
      </c>
    </row>
    <row r="2090" spans="1:18">
      <c r="A2090" t="s">
        <v>2627</v>
      </c>
      <c r="B2090" t="s">
        <v>2628</v>
      </c>
      <c r="C2090" t="s">
        <v>15</v>
      </c>
      <c r="D2090" t="s">
        <v>152</v>
      </c>
      <c r="E2090" s="1">
        <v>45863</v>
      </c>
      <c r="F2090" s="1">
        <v>45895</v>
      </c>
      <c r="G2090" s="1">
        <v>45895</v>
      </c>
      <c r="H2090" t="s">
        <v>28</v>
      </c>
      <c r="I2090">
        <v>1</v>
      </c>
      <c r="J2090">
        <v>20</v>
      </c>
      <c r="K2090">
        <v>336000</v>
      </c>
      <c r="L2090">
        <v>100</v>
      </c>
      <c r="M2090" t="s">
        <v>29</v>
      </c>
      <c r="N2090" t="str">
        <f>_xlfn.XLOOKUP(B2090,tblCustomers[customer_id],tblCustomers[region],"Missing")</f>
        <v>East</v>
      </c>
      <c r="O2090" t="str">
        <f>_xlfn.XLOOKUP(C2090,tblProducts[product_id],tblProducts[product_name],"Missing")</f>
        <v>CRM Enterprise</v>
      </c>
      <c r="P2090" t="str">
        <f>_xlfn.XLOOKUP(C2090,tblProducts[product_id],tblProducts[category],"Missing")</f>
        <v>CRM</v>
      </c>
      <c r="Q2090" t="str">
        <f>_xlfn.XLOOKUP(D2090,tblSalesReps[rep_id],tblSalesReps[rep_name],"Missing")</f>
        <v>Sales Rep 18</v>
      </c>
      <c r="R2090" t="str">
        <f>_xlfn.XLOOKUP(D2090,tblSalesReps[rep_id],tblSalesReps[region],"Missing")</f>
        <v>East</v>
      </c>
    </row>
    <row r="2091" spans="1:18">
      <c r="A2091" t="s">
        <v>2629</v>
      </c>
      <c r="B2091" t="s">
        <v>696</v>
      </c>
      <c r="C2091" t="s">
        <v>26</v>
      </c>
      <c r="D2091" t="s">
        <v>36</v>
      </c>
      <c r="E2091" s="1">
        <v>45992</v>
      </c>
      <c r="F2091" s="1">
        <v>46023</v>
      </c>
      <c r="G2091" s="1"/>
      <c r="H2091" t="s">
        <v>43</v>
      </c>
      <c r="I2091">
        <v>1</v>
      </c>
      <c r="J2091">
        <v>10</v>
      </c>
      <c r="K2091">
        <v>324000</v>
      </c>
      <c r="L2091">
        <v>20</v>
      </c>
      <c r="M2091" t="s">
        <v>29</v>
      </c>
      <c r="N2091" t="str">
        <f>_xlfn.XLOOKUP(B2091,tblCustomers[customer_id],tblCustomers[region],"Missing")</f>
        <v>North</v>
      </c>
      <c r="O2091" t="str">
        <f>_xlfn.XLOOKUP(C2091,tblProducts[product_id],tblProducts[product_name],"Missing")</f>
        <v>Security Suite</v>
      </c>
      <c r="P2091" t="str">
        <f>_xlfn.XLOOKUP(C2091,tblProducts[product_id],tblProducts[category],"Missing")</f>
        <v>Security</v>
      </c>
      <c r="Q2091" t="str">
        <f>_xlfn.XLOOKUP(D2091,tblSalesReps[rep_id],tblSalesReps[rep_name],"Missing")</f>
        <v>Sales Rep 09</v>
      </c>
      <c r="R2091" t="str">
        <f>_xlfn.XLOOKUP(D2091,tblSalesReps[rep_id],tblSalesReps[region],"Missing")</f>
        <v>North</v>
      </c>
    </row>
    <row r="2092" spans="1:18">
      <c r="A2092" t="s">
        <v>2630</v>
      </c>
      <c r="B2092" t="s">
        <v>1235</v>
      </c>
      <c r="C2092" t="s">
        <v>39</v>
      </c>
      <c r="D2092" t="s">
        <v>63</v>
      </c>
      <c r="E2092" s="1">
        <v>45747</v>
      </c>
      <c r="F2092" s="1">
        <v>45827</v>
      </c>
      <c r="G2092" s="1">
        <v>45827</v>
      </c>
      <c r="H2092" t="s">
        <v>28</v>
      </c>
      <c r="I2092">
        <v>1</v>
      </c>
      <c r="J2092">
        <v>10</v>
      </c>
      <c r="K2092">
        <v>162000</v>
      </c>
      <c r="L2092">
        <v>100</v>
      </c>
      <c r="M2092" t="s">
        <v>29</v>
      </c>
      <c r="N2092" t="str">
        <f>_xlfn.XLOOKUP(B2092,tblCustomers[customer_id],tblCustomers[region],"Missing")</f>
        <v>South</v>
      </c>
      <c r="O2092" t="str">
        <f>_xlfn.XLOOKUP(C2092,tblProducts[product_id],tblProducts[product_name],"Missing")</f>
        <v>Support Desk</v>
      </c>
      <c r="P2092" t="str">
        <f>_xlfn.XLOOKUP(C2092,tblProducts[product_id],tblProducts[category],"Missing")</f>
        <v>Service</v>
      </c>
      <c r="Q2092" t="str">
        <f>_xlfn.XLOOKUP(D2092,tblSalesReps[rep_id],tblSalesReps[rep_name],"Missing")</f>
        <v>Sales Rep 05</v>
      </c>
      <c r="R2092" t="str">
        <f>_xlfn.XLOOKUP(D2092,tblSalesReps[rep_id],tblSalesReps[region],"Missing")</f>
        <v>South</v>
      </c>
    </row>
    <row r="2093" spans="1:18">
      <c r="A2093" t="s">
        <v>2631</v>
      </c>
      <c r="B2093" t="s">
        <v>801</v>
      </c>
      <c r="C2093" t="s">
        <v>81</v>
      </c>
      <c r="D2093" t="s">
        <v>75</v>
      </c>
      <c r="E2093" s="1">
        <v>45782</v>
      </c>
      <c r="F2093" s="1">
        <v>45859</v>
      </c>
      <c r="G2093" s="1">
        <v>45859</v>
      </c>
      <c r="H2093" t="s">
        <v>28</v>
      </c>
      <c r="I2093">
        <v>1</v>
      </c>
      <c r="J2093">
        <v>15</v>
      </c>
      <c r="K2093">
        <v>255000</v>
      </c>
      <c r="L2093">
        <v>100</v>
      </c>
      <c r="M2093" t="s">
        <v>29</v>
      </c>
      <c r="N2093" t="str">
        <f>_xlfn.XLOOKUP(B2093,tblCustomers[customer_id],tblCustomers[region],"Missing")</f>
        <v>North</v>
      </c>
      <c r="O2093" t="str">
        <f>_xlfn.XLOOKUP(C2093,tblProducts[product_id],tblProducts[product_name],"Missing")</f>
        <v>Analytics Cloud</v>
      </c>
      <c r="P2093" t="str">
        <f>_xlfn.XLOOKUP(C2093,tblProducts[product_id],tblProducts[category],"Missing")</f>
        <v>Analytics</v>
      </c>
      <c r="Q2093" t="str">
        <f>_xlfn.XLOOKUP(D2093,tblSalesReps[rep_id],tblSalesReps[rep_name],"Missing")</f>
        <v>Sales Rep 07</v>
      </c>
      <c r="R2093" t="str">
        <f>_xlfn.XLOOKUP(D2093,tblSalesReps[rep_id],tblSalesReps[region],"Missing")</f>
        <v>North</v>
      </c>
    </row>
    <row r="2094" spans="1:18">
      <c r="A2094" t="s">
        <v>2632</v>
      </c>
      <c r="B2094" t="s">
        <v>1500</v>
      </c>
      <c r="C2094" t="s">
        <v>62</v>
      </c>
      <c r="D2094" t="s">
        <v>126</v>
      </c>
      <c r="E2094" s="1">
        <v>45764</v>
      </c>
      <c r="F2094" s="1">
        <v>45822</v>
      </c>
      <c r="G2094" s="1">
        <v>45822</v>
      </c>
      <c r="H2094" t="s">
        <v>17</v>
      </c>
      <c r="I2094">
        <v>1</v>
      </c>
      <c r="J2094">
        <v>20</v>
      </c>
      <c r="K2094">
        <v>96000</v>
      </c>
      <c r="L2094">
        <v>0</v>
      </c>
      <c r="M2094" t="s">
        <v>33</v>
      </c>
      <c r="N2094" t="str">
        <f>_xlfn.XLOOKUP(B2094,tblCustomers[customer_id],tblCustomers[region],"Missing")</f>
        <v>South</v>
      </c>
      <c r="O2094" t="str">
        <f>_xlfn.XLOOKUP(C2094,tblProducts[product_id],tblProducts[product_name],"Missing")</f>
        <v>CRM Essentials</v>
      </c>
      <c r="P2094" t="str">
        <f>_xlfn.XLOOKUP(C2094,tblProducts[product_id],tblProducts[category],"Missing")</f>
        <v>CRM</v>
      </c>
      <c r="Q2094" t="str">
        <f>_xlfn.XLOOKUP(D2094,tblSalesReps[rep_id],tblSalesReps[rep_name],"Missing")</f>
        <v>Sales Rep 02</v>
      </c>
      <c r="R2094" t="str">
        <f>_xlfn.XLOOKUP(D2094,tblSalesReps[rep_id],tblSalesReps[region],"Missing")</f>
        <v>South</v>
      </c>
    </row>
    <row r="2095" spans="1:18">
      <c r="A2095" t="s">
        <v>2633</v>
      </c>
      <c r="B2095" t="s">
        <v>716</v>
      </c>
      <c r="C2095" t="s">
        <v>15</v>
      </c>
      <c r="D2095" t="s">
        <v>70</v>
      </c>
      <c r="E2095" s="1">
        <v>45689</v>
      </c>
      <c r="F2095" s="1">
        <v>45708</v>
      </c>
      <c r="G2095" s="1">
        <v>45708</v>
      </c>
      <c r="H2095" t="s">
        <v>17</v>
      </c>
      <c r="I2095">
        <v>2</v>
      </c>
      <c r="J2095">
        <v>15</v>
      </c>
      <c r="K2095">
        <v>714000</v>
      </c>
      <c r="L2095">
        <v>0</v>
      </c>
      <c r="M2095" t="s">
        <v>82</v>
      </c>
      <c r="N2095" t="str">
        <f>_xlfn.XLOOKUP(B2095,tblCustomers[customer_id],tblCustomers[region],"Missing")</f>
        <v>West</v>
      </c>
      <c r="O2095" t="str">
        <f>_xlfn.XLOOKUP(C2095,tblProducts[product_id],tblProducts[product_name],"Missing")</f>
        <v>CRM Enterprise</v>
      </c>
      <c r="P2095" t="str">
        <f>_xlfn.XLOOKUP(C2095,tblProducts[product_id],tblProducts[category],"Missing")</f>
        <v>CRM</v>
      </c>
      <c r="Q2095" t="str">
        <f>_xlfn.XLOOKUP(D2095,tblSalesReps[rep_id],tblSalesReps[rep_name],"Missing")</f>
        <v>Sales Rep 11</v>
      </c>
      <c r="R2095" t="str">
        <f>_xlfn.XLOOKUP(D2095,tblSalesReps[rep_id],tblSalesReps[region],"Missing")</f>
        <v>West</v>
      </c>
    </row>
    <row r="2096" spans="1:18">
      <c r="A2096" t="s">
        <v>2634</v>
      </c>
      <c r="B2096" t="s">
        <v>1003</v>
      </c>
      <c r="C2096" t="s">
        <v>81</v>
      </c>
      <c r="D2096" t="s">
        <v>126</v>
      </c>
      <c r="E2096" s="1">
        <v>45741</v>
      </c>
      <c r="F2096" s="1">
        <v>45793</v>
      </c>
      <c r="G2096" s="1"/>
      <c r="H2096" t="s">
        <v>43</v>
      </c>
      <c r="I2096">
        <v>1</v>
      </c>
      <c r="J2096">
        <v>0</v>
      </c>
      <c r="K2096">
        <v>300000</v>
      </c>
      <c r="L2096">
        <v>20</v>
      </c>
      <c r="M2096" t="s">
        <v>29</v>
      </c>
      <c r="N2096" t="str">
        <f>_xlfn.XLOOKUP(B2096,tblCustomers[customer_id],tblCustomers[region],"Missing")</f>
        <v>South</v>
      </c>
      <c r="O2096" t="str">
        <f>_xlfn.XLOOKUP(C2096,tblProducts[product_id],tblProducts[product_name],"Missing")</f>
        <v>Analytics Cloud</v>
      </c>
      <c r="P2096" t="str">
        <f>_xlfn.XLOOKUP(C2096,tblProducts[product_id],tblProducts[category],"Missing")</f>
        <v>Analytics</v>
      </c>
      <c r="Q2096" t="str">
        <f>_xlfn.XLOOKUP(D2096,tblSalesReps[rep_id],tblSalesReps[rep_name],"Missing")</f>
        <v>Sales Rep 02</v>
      </c>
      <c r="R2096" t="str">
        <f>_xlfn.XLOOKUP(D2096,tblSalesReps[rep_id],tblSalesReps[region],"Missing")</f>
        <v>South</v>
      </c>
    </row>
    <row r="2097" spans="1:18">
      <c r="A2097" t="s">
        <v>2635</v>
      </c>
      <c r="B2097" t="s">
        <v>551</v>
      </c>
      <c r="C2097" t="s">
        <v>81</v>
      </c>
      <c r="D2097" t="s">
        <v>53</v>
      </c>
      <c r="E2097" s="1">
        <v>45809</v>
      </c>
      <c r="F2097" s="1">
        <v>45818</v>
      </c>
      <c r="G2097" s="1">
        <v>45818</v>
      </c>
      <c r="H2097" t="s">
        <v>17</v>
      </c>
      <c r="I2097">
        <v>1</v>
      </c>
      <c r="J2097">
        <v>15</v>
      </c>
      <c r="K2097">
        <v>255000</v>
      </c>
      <c r="L2097">
        <v>0</v>
      </c>
      <c r="M2097" t="s">
        <v>33</v>
      </c>
      <c r="N2097" t="str">
        <f>_xlfn.XLOOKUP(B2097,tblCustomers[customer_id],tblCustomers[region],"Missing")</f>
        <v>East</v>
      </c>
      <c r="O2097" t="str">
        <f>_xlfn.XLOOKUP(C2097,tblProducts[product_id],tblProducts[product_name],"Missing")</f>
        <v>Analytics Cloud</v>
      </c>
      <c r="P2097" t="str">
        <f>_xlfn.XLOOKUP(C2097,tblProducts[product_id],tblProducts[category],"Missing")</f>
        <v>Analytics</v>
      </c>
      <c r="Q2097" t="str">
        <f>_xlfn.XLOOKUP(D2097,tblSalesReps[rep_id],tblSalesReps[rep_name],"Missing")</f>
        <v>Sales Rep 16</v>
      </c>
      <c r="R2097" t="str">
        <f>_xlfn.XLOOKUP(D2097,tblSalesReps[rep_id],tblSalesReps[region],"Missing")</f>
        <v>East</v>
      </c>
    </row>
    <row r="2098" spans="1:18">
      <c r="A2098" t="s">
        <v>2636</v>
      </c>
      <c r="B2098" t="s">
        <v>656</v>
      </c>
      <c r="C2098" t="s">
        <v>81</v>
      </c>
      <c r="D2098" t="s">
        <v>32</v>
      </c>
      <c r="E2098" s="1">
        <v>45937</v>
      </c>
      <c r="F2098" s="1">
        <v>45984</v>
      </c>
      <c r="G2098" s="1">
        <v>45984</v>
      </c>
      <c r="H2098" t="s">
        <v>17</v>
      </c>
      <c r="I2098">
        <v>2</v>
      </c>
      <c r="J2098">
        <v>5</v>
      </c>
      <c r="K2098">
        <v>570000</v>
      </c>
      <c r="L2098">
        <v>0</v>
      </c>
      <c r="M2098" t="s">
        <v>23</v>
      </c>
      <c r="N2098" t="str">
        <f>_xlfn.XLOOKUP(B2098,tblCustomers[customer_id],tblCustomers[region],"Missing")</f>
        <v>South</v>
      </c>
      <c r="O2098" t="str">
        <f>_xlfn.XLOOKUP(C2098,tblProducts[product_id],tblProducts[product_name],"Missing")</f>
        <v>Analytics Cloud</v>
      </c>
      <c r="P2098" t="str">
        <f>_xlfn.XLOOKUP(C2098,tblProducts[product_id],tblProducts[category],"Missing")</f>
        <v>Analytics</v>
      </c>
      <c r="Q2098" t="str">
        <f>_xlfn.XLOOKUP(D2098,tblSalesReps[rep_id],tblSalesReps[rep_name],"Missing")</f>
        <v>Sales Rep 04</v>
      </c>
      <c r="R2098" t="str">
        <f>_xlfn.XLOOKUP(D2098,tblSalesReps[rep_id],tblSalesReps[region],"Missing")</f>
        <v>South</v>
      </c>
    </row>
    <row r="2099" spans="1:18">
      <c r="A2099" t="s">
        <v>2637</v>
      </c>
      <c r="B2099" t="s">
        <v>1817</v>
      </c>
      <c r="C2099" t="s">
        <v>62</v>
      </c>
      <c r="D2099" t="s">
        <v>70</v>
      </c>
      <c r="E2099" s="1">
        <v>45986</v>
      </c>
      <c r="F2099" s="1">
        <v>46052</v>
      </c>
      <c r="G2099" s="1"/>
      <c r="H2099" t="s">
        <v>43</v>
      </c>
      <c r="I2099">
        <v>1</v>
      </c>
      <c r="J2099">
        <v>20</v>
      </c>
      <c r="K2099">
        <v>96000</v>
      </c>
      <c r="L2099">
        <v>60</v>
      </c>
      <c r="M2099" t="s">
        <v>29</v>
      </c>
      <c r="N2099" t="str">
        <f>_xlfn.XLOOKUP(B2099,tblCustomers[customer_id],tblCustomers[region],"Missing")</f>
        <v>West</v>
      </c>
      <c r="O2099" t="str">
        <f>_xlfn.XLOOKUP(C2099,tblProducts[product_id],tblProducts[product_name],"Missing")</f>
        <v>CRM Essentials</v>
      </c>
      <c r="P2099" t="str">
        <f>_xlfn.XLOOKUP(C2099,tblProducts[product_id],tblProducts[category],"Missing")</f>
        <v>CRM</v>
      </c>
      <c r="Q2099" t="str">
        <f>_xlfn.XLOOKUP(D2099,tblSalesReps[rep_id],tblSalesReps[rep_name],"Missing")</f>
        <v>Sales Rep 11</v>
      </c>
      <c r="R2099" t="str">
        <f>_xlfn.XLOOKUP(D2099,tblSalesReps[rep_id],tblSalesReps[region],"Missing")</f>
        <v>West</v>
      </c>
    </row>
    <row r="2100" spans="1:18">
      <c r="A2100" t="s">
        <v>2638</v>
      </c>
      <c r="B2100" t="s">
        <v>902</v>
      </c>
      <c r="C2100" t="s">
        <v>26</v>
      </c>
      <c r="D2100" t="s">
        <v>27</v>
      </c>
      <c r="E2100" s="1">
        <v>45875</v>
      </c>
      <c r="F2100" s="1">
        <v>45894</v>
      </c>
      <c r="G2100" s="1">
        <v>45894</v>
      </c>
      <c r="H2100" t="s">
        <v>17</v>
      </c>
      <c r="I2100">
        <v>1</v>
      </c>
      <c r="J2100">
        <v>20</v>
      </c>
      <c r="K2100">
        <v>288000</v>
      </c>
      <c r="L2100">
        <v>0</v>
      </c>
      <c r="M2100" t="s">
        <v>47</v>
      </c>
      <c r="N2100" t="str">
        <f>_xlfn.XLOOKUP(B2100,tblCustomers[customer_id],tblCustomers[region],"Missing")</f>
        <v>North</v>
      </c>
      <c r="O2100" t="str">
        <f>_xlfn.XLOOKUP(C2100,tblProducts[product_id],tblProducts[product_name],"Missing")</f>
        <v>Security Suite</v>
      </c>
      <c r="P2100" t="str">
        <f>_xlfn.XLOOKUP(C2100,tblProducts[product_id],tblProducts[category],"Missing")</f>
        <v>Security</v>
      </c>
      <c r="Q2100" t="str">
        <f>_xlfn.XLOOKUP(D2100,tblSalesReps[rep_id],tblSalesReps[rep_name],"Missing")</f>
        <v>Sales Rep 06</v>
      </c>
      <c r="R2100" t="str">
        <f>_xlfn.XLOOKUP(D2100,tblSalesReps[rep_id],tblSalesReps[region],"Missing")</f>
        <v>North</v>
      </c>
    </row>
    <row r="2101" spans="1:18">
      <c r="A2101" t="s">
        <v>2639</v>
      </c>
      <c r="B2101" t="s">
        <v>1386</v>
      </c>
      <c r="C2101" t="s">
        <v>26</v>
      </c>
      <c r="D2101" t="s">
        <v>70</v>
      </c>
      <c r="E2101" s="1">
        <v>45745</v>
      </c>
      <c r="F2101" s="1">
        <v>45822</v>
      </c>
      <c r="G2101" s="1">
        <v>45822</v>
      </c>
      <c r="H2101" t="s">
        <v>17</v>
      </c>
      <c r="I2101">
        <v>1</v>
      </c>
      <c r="J2101">
        <v>10</v>
      </c>
      <c r="K2101">
        <v>324000</v>
      </c>
      <c r="L2101">
        <v>0</v>
      </c>
      <c r="M2101" t="s">
        <v>47</v>
      </c>
      <c r="N2101" t="str">
        <f>_xlfn.XLOOKUP(B2101,tblCustomers[customer_id],tblCustomers[region],"Missing")</f>
        <v>West</v>
      </c>
      <c r="O2101" t="str">
        <f>_xlfn.XLOOKUP(C2101,tblProducts[product_id],tblProducts[product_name],"Missing")</f>
        <v>Security Suite</v>
      </c>
      <c r="P2101" t="str">
        <f>_xlfn.XLOOKUP(C2101,tblProducts[product_id],tblProducts[category],"Missing")</f>
        <v>Security</v>
      </c>
      <c r="Q2101" t="str">
        <f>_xlfn.XLOOKUP(D2101,tblSalesReps[rep_id],tblSalesReps[rep_name],"Missing")</f>
        <v>Sales Rep 11</v>
      </c>
      <c r="R2101" t="str">
        <f>_xlfn.XLOOKUP(D2101,tblSalesReps[rep_id],tblSalesReps[region],"Missing")</f>
        <v>West</v>
      </c>
    </row>
    <row r="2102" spans="1:18">
      <c r="A2102" t="s">
        <v>2640</v>
      </c>
      <c r="B2102" t="s">
        <v>1408</v>
      </c>
      <c r="C2102" t="s">
        <v>26</v>
      </c>
      <c r="D2102" t="s">
        <v>75</v>
      </c>
      <c r="E2102" s="1">
        <v>45682</v>
      </c>
      <c r="F2102" s="1">
        <v>45734</v>
      </c>
      <c r="G2102" s="1">
        <v>45734</v>
      </c>
      <c r="H2102" t="s">
        <v>17</v>
      </c>
      <c r="I2102">
        <v>1</v>
      </c>
      <c r="J2102">
        <v>0</v>
      </c>
      <c r="K2102">
        <v>360000</v>
      </c>
      <c r="L2102">
        <v>0</v>
      </c>
      <c r="M2102" t="s">
        <v>82</v>
      </c>
      <c r="N2102" t="str">
        <f>_xlfn.XLOOKUP(B2102,tblCustomers[customer_id],tblCustomers[region],"Missing")</f>
        <v>North</v>
      </c>
      <c r="O2102" t="str">
        <f>_xlfn.XLOOKUP(C2102,tblProducts[product_id],tblProducts[product_name],"Missing")</f>
        <v>Security Suite</v>
      </c>
      <c r="P2102" t="str">
        <f>_xlfn.XLOOKUP(C2102,tblProducts[product_id],tblProducts[category],"Missing")</f>
        <v>Security</v>
      </c>
      <c r="Q2102" t="str">
        <f>_xlfn.XLOOKUP(D2102,tblSalesReps[rep_id],tblSalesReps[rep_name],"Missing")</f>
        <v>Sales Rep 07</v>
      </c>
      <c r="R2102" t="str">
        <f>_xlfn.XLOOKUP(D2102,tblSalesReps[rep_id],tblSalesReps[region],"Missing")</f>
        <v>North</v>
      </c>
    </row>
    <row r="2103" spans="1:18">
      <c r="A2103" t="s">
        <v>2641</v>
      </c>
      <c r="B2103" t="s">
        <v>1127</v>
      </c>
      <c r="C2103" t="s">
        <v>62</v>
      </c>
      <c r="D2103" t="s">
        <v>16</v>
      </c>
      <c r="E2103" s="1">
        <v>45687</v>
      </c>
      <c r="F2103" s="1">
        <v>45723</v>
      </c>
      <c r="G2103" s="1">
        <v>45723</v>
      </c>
      <c r="H2103" t="s">
        <v>17</v>
      </c>
      <c r="I2103">
        <v>1</v>
      </c>
      <c r="J2103">
        <v>10</v>
      </c>
      <c r="K2103">
        <v>108000</v>
      </c>
      <c r="L2103">
        <v>0</v>
      </c>
      <c r="M2103" t="s">
        <v>47</v>
      </c>
      <c r="N2103" t="str">
        <f>_xlfn.XLOOKUP(B2103,tblCustomers[customer_id],tblCustomers[region],"Missing")</f>
        <v>North</v>
      </c>
      <c r="O2103" t="str">
        <f>_xlfn.XLOOKUP(C2103,tblProducts[product_id],tblProducts[product_name],"Missing")</f>
        <v>CRM Essentials</v>
      </c>
      <c r="P2103" t="str">
        <f>_xlfn.XLOOKUP(C2103,tblProducts[product_id],tblProducts[category],"Missing")</f>
        <v>CRM</v>
      </c>
      <c r="Q2103" t="str">
        <f>_xlfn.XLOOKUP(D2103,tblSalesReps[rep_id],tblSalesReps[rep_name],"Missing")</f>
        <v>Sales Rep 08</v>
      </c>
      <c r="R2103" t="str">
        <f>_xlfn.XLOOKUP(D2103,tblSalesReps[rep_id],tblSalesReps[region],"Missing")</f>
        <v>North</v>
      </c>
    </row>
    <row r="2104" spans="1:18">
      <c r="A2104" t="s">
        <v>2642</v>
      </c>
      <c r="B2104" t="s">
        <v>31</v>
      </c>
      <c r="C2104" t="s">
        <v>15</v>
      </c>
      <c r="D2104" t="s">
        <v>63</v>
      </c>
      <c r="E2104" s="1">
        <v>45802</v>
      </c>
      <c r="F2104" s="1">
        <v>45838</v>
      </c>
      <c r="G2104" s="1">
        <v>45838</v>
      </c>
      <c r="H2104" t="s">
        <v>28</v>
      </c>
      <c r="I2104">
        <v>2</v>
      </c>
      <c r="J2104">
        <v>15</v>
      </c>
      <c r="K2104">
        <v>714000</v>
      </c>
      <c r="L2104">
        <v>100</v>
      </c>
      <c r="M2104" t="s">
        <v>29</v>
      </c>
      <c r="N2104" t="str">
        <f>_xlfn.XLOOKUP(B2104,tblCustomers[customer_id],tblCustomers[region],"Missing")</f>
        <v>South</v>
      </c>
      <c r="O2104" t="str">
        <f>_xlfn.XLOOKUP(C2104,tblProducts[product_id],tblProducts[product_name],"Missing")</f>
        <v>CRM Enterprise</v>
      </c>
      <c r="P2104" t="str">
        <f>_xlfn.XLOOKUP(C2104,tblProducts[product_id],tblProducts[category],"Missing")</f>
        <v>CRM</v>
      </c>
      <c r="Q2104" t="str">
        <f>_xlfn.XLOOKUP(D2104,tblSalesReps[rep_id],tblSalesReps[rep_name],"Missing")</f>
        <v>Sales Rep 05</v>
      </c>
      <c r="R2104" t="str">
        <f>_xlfn.XLOOKUP(D2104,tblSalesReps[rep_id],tblSalesReps[region],"Missing")</f>
        <v>South</v>
      </c>
    </row>
    <row r="2105" spans="1:18">
      <c r="A2105" t="s">
        <v>2643</v>
      </c>
      <c r="B2105" t="s">
        <v>466</v>
      </c>
      <c r="C2105" t="s">
        <v>62</v>
      </c>
      <c r="D2105" t="s">
        <v>119</v>
      </c>
      <c r="E2105" s="1">
        <v>45868</v>
      </c>
      <c r="F2105" s="1">
        <v>45887</v>
      </c>
      <c r="G2105" s="1">
        <v>45887</v>
      </c>
      <c r="H2105" t="s">
        <v>17</v>
      </c>
      <c r="I2105">
        <v>1</v>
      </c>
      <c r="J2105">
        <v>20</v>
      </c>
      <c r="K2105">
        <v>96000</v>
      </c>
      <c r="L2105">
        <v>0</v>
      </c>
      <c r="M2105" t="s">
        <v>47</v>
      </c>
      <c r="N2105" t="str">
        <f>_xlfn.XLOOKUP(B2105,tblCustomers[customer_id],tblCustomers[region],"Missing")</f>
        <v>North</v>
      </c>
      <c r="O2105" t="str">
        <f>_xlfn.XLOOKUP(C2105,tblProducts[product_id],tblProducts[product_name],"Missing")</f>
        <v>CRM Essentials</v>
      </c>
      <c r="P2105" t="str">
        <f>_xlfn.XLOOKUP(C2105,tblProducts[product_id],tblProducts[category],"Missing")</f>
        <v>CRM</v>
      </c>
      <c r="Q2105" t="str">
        <f>_xlfn.XLOOKUP(D2105,tblSalesReps[rep_id],tblSalesReps[rep_name],"Missing")</f>
        <v>Sales Rep 10</v>
      </c>
      <c r="R2105" t="str">
        <f>_xlfn.XLOOKUP(D2105,tblSalesReps[rep_id],tblSalesReps[region],"Missing")</f>
        <v>North</v>
      </c>
    </row>
    <row r="2106" spans="1:18">
      <c r="A2106" t="s">
        <v>2644</v>
      </c>
      <c r="B2106" t="s">
        <v>1117</v>
      </c>
      <c r="C2106" t="s">
        <v>81</v>
      </c>
      <c r="D2106" t="s">
        <v>70</v>
      </c>
      <c r="E2106" s="1">
        <v>45829</v>
      </c>
      <c r="F2106" s="1">
        <v>45876</v>
      </c>
      <c r="G2106" s="1">
        <v>45876</v>
      </c>
      <c r="H2106" t="s">
        <v>17</v>
      </c>
      <c r="I2106">
        <v>1</v>
      </c>
      <c r="J2106">
        <v>20</v>
      </c>
      <c r="K2106">
        <v>240000</v>
      </c>
      <c r="L2106">
        <v>0</v>
      </c>
      <c r="M2106" t="s">
        <v>47</v>
      </c>
      <c r="N2106" t="str">
        <f>_xlfn.XLOOKUP(B2106,tblCustomers[customer_id],tblCustomers[region],"Missing")</f>
        <v>West</v>
      </c>
      <c r="O2106" t="str">
        <f>_xlfn.XLOOKUP(C2106,tblProducts[product_id],tblProducts[product_name],"Missing")</f>
        <v>Analytics Cloud</v>
      </c>
      <c r="P2106" t="str">
        <f>_xlfn.XLOOKUP(C2106,tblProducts[product_id],tblProducts[category],"Missing")</f>
        <v>Analytics</v>
      </c>
      <c r="Q2106" t="str">
        <f>_xlfn.XLOOKUP(D2106,tblSalesReps[rep_id],tblSalesReps[rep_name],"Missing")</f>
        <v>Sales Rep 11</v>
      </c>
      <c r="R2106" t="str">
        <f>_xlfn.XLOOKUP(D2106,tblSalesReps[rep_id],tblSalesReps[region],"Missing")</f>
        <v>West</v>
      </c>
    </row>
    <row r="2107" spans="1:18">
      <c r="A2107" t="s">
        <v>2645</v>
      </c>
      <c r="B2107" t="s">
        <v>112</v>
      </c>
      <c r="C2107" t="s">
        <v>26</v>
      </c>
      <c r="D2107" t="s">
        <v>70</v>
      </c>
      <c r="E2107" s="1">
        <v>45899</v>
      </c>
      <c r="F2107" s="1">
        <v>45938</v>
      </c>
      <c r="G2107" s="1">
        <v>45938</v>
      </c>
      <c r="H2107" t="s">
        <v>28</v>
      </c>
      <c r="I2107">
        <v>1</v>
      </c>
      <c r="J2107">
        <v>0</v>
      </c>
      <c r="K2107">
        <v>360000</v>
      </c>
      <c r="L2107">
        <v>100</v>
      </c>
      <c r="M2107" t="s">
        <v>29</v>
      </c>
      <c r="N2107" t="str">
        <f>_xlfn.XLOOKUP(B2107,tblCustomers[customer_id],tblCustomers[region],"Missing")</f>
        <v>West</v>
      </c>
      <c r="O2107" t="str">
        <f>_xlfn.XLOOKUP(C2107,tblProducts[product_id],tblProducts[product_name],"Missing")</f>
        <v>Security Suite</v>
      </c>
      <c r="P2107" t="str">
        <f>_xlfn.XLOOKUP(C2107,tblProducts[product_id],tblProducts[category],"Missing")</f>
        <v>Security</v>
      </c>
      <c r="Q2107" t="str">
        <f>_xlfn.XLOOKUP(D2107,tblSalesReps[rep_id],tblSalesReps[rep_name],"Missing")</f>
        <v>Sales Rep 11</v>
      </c>
      <c r="R2107" t="str">
        <f>_xlfn.XLOOKUP(D2107,tblSalesReps[rep_id],tblSalesReps[region],"Missing")</f>
        <v>West</v>
      </c>
    </row>
    <row r="2108" spans="1:18">
      <c r="A2108" t="s">
        <v>2646</v>
      </c>
      <c r="B2108" t="s">
        <v>1289</v>
      </c>
      <c r="C2108" t="s">
        <v>21</v>
      </c>
      <c r="D2108" t="s">
        <v>50</v>
      </c>
      <c r="E2108" s="1">
        <v>45851</v>
      </c>
      <c r="F2108" s="1">
        <v>45858</v>
      </c>
      <c r="G2108" s="1">
        <v>45858</v>
      </c>
      <c r="H2108" t="s">
        <v>17</v>
      </c>
      <c r="I2108">
        <v>2</v>
      </c>
      <c r="J2108">
        <v>5</v>
      </c>
      <c r="K2108">
        <v>456000</v>
      </c>
      <c r="L2108">
        <v>0</v>
      </c>
      <c r="M2108" t="s">
        <v>82</v>
      </c>
      <c r="N2108" t="str">
        <f>_xlfn.XLOOKUP(B2108,tblCustomers[customer_id],tblCustomers[region],"Missing")</f>
        <v>West</v>
      </c>
      <c r="O2108" t="str">
        <f>_xlfn.XLOOKUP(C2108,tblProducts[product_id],tblProducts[product_name],"Missing")</f>
        <v>Workflow Automate</v>
      </c>
      <c r="P2108" t="str">
        <f>_xlfn.XLOOKUP(C2108,tblProducts[product_id],tblProducts[category],"Missing")</f>
        <v>Automation</v>
      </c>
      <c r="Q2108" t="str">
        <f>_xlfn.XLOOKUP(D2108,tblSalesReps[rep_id],tblSalesReps[rep_name],"Missing")</f>
        <v>Sales Rep 15</v>
      </c>
      <c r="R2108" t="str">
        <f>_xlfn.XLOOKUP(D2108,tblSalesReps[rep_id],tblSalesReps[region],"Missing")</f>
        <v>West</v>
      </c>
    </row>
    <row r="2109" spans="1:18">
      <c r="A2109" t="s">
        <v>2647</v>
      </c>
      <c r="B2109" t="s">
        <v>90</v>
      </c>
      <c r="C2109" t="s">
        <v>21</v>
      </c>
      <c r="D2109" t="s">
        <v>126</v>
      </c>
      <c r="E2109" s="1">
        <v>45931</v>
      </c>
      <c r="F2109" s="1">
        <v>46012</v>
      </c>
      <c r="G2109" s="1">
        <v>46012</v>
      </c>
      <c r="H2109" t="s">
        <v>17</v>
      </c>
      <c r="I2109">
        <v>1</v>
      </c>
      <c r="J2109">
        <v>0</v>
      </c>
      <c r="K2109">
        <v>240000</v>
      </c>
      <c r="L2109">
        <v>0</v>
      </c>
      <c r="M2109" t="s">
        <v>47</v>
      </c>
      <c r="N2109" t="str">
        <f>_xlfn.XLOOKUP(B2109,tblCustomers[customer_id],tblCustomers[region],"Missing")</f>
        <v>South</v>
      </c>
      <c r="O2109" t="str">
        <f>_xlfn.XLOOKUP(C2109,tblProducts[product_id],tblProducts[product_name],"Missing")</f>
        <v>Workflow Automate</v>
      </c>
      <c r="P2109" t="str">
        <f>_xlfn.XLOOKUP(C2109,tblProducts[product_id],tblProducts[category],"Missing")</f>
        <v>Automation</v>
      </c>
      <c r="Q2109" t="str">
        <f>_xlfn.XLOOKUP(D2109,tblSalesReps[rep_id],tblSalesReps[rep_name],"Missing")</f>
        <v>Sales Rep 02</v>
      </c>
      <c r="R2109" t="str">
        <f>_xlfn.XLOOKUP(D2109,tblSalesReps[rep_id],tblSalesReps[region],"Missing")</f>
        <v>South</v>
      </c>
    </row>
    <row r="2110" spans="1:18">
      <c r="A2110" t="s">
        <v>2648</v>
      </c>
      <c r="B2110" t="s">
        <v>1760</v>
      </c>
      <c r="C2110" t="s">
        <v>81</v>
      </c>
      <c r="D2110" t="s">
        <v>152</v>
      </c>
      <c r="E2110" s="1">
        <v>45725</v>
      </c>
      <c r="F2110" s="1">
        <v>45787</v>
      </c>
      <c r="G2110" s="1">
        <v>45787</v>
      </c>
      <c r="H2110" t="s">
        <v>17</v>
      </c>
      <c r="I2110">
        <v>2</v>
      </c>
      <c r="J2110">
        <v>20</v>
      </c>
      <c r="K2110">
        <v>480000</v>
      </c>
      <c r="L2110">
        <v>0</v>
      </c>
      <c r="M2110" t="s">
        <v>33</v>
      </c>
      <c r="N2110" t="str">
        <f>_xlfn.XLOOKUP(B2110,tblCustomers[customer_id],tblCustomers[region],"Missing")</f>
        <v>East</v>
      </c>
      <c r="O2110" t="str">
        <f>_xlfn.XLOOKUP(C2110,tblProducts[product_id],tblProducts[product_name],"Missing")</f>
        <v>Analytics Cloud</v>
      </c>
      <c r="P2110" t="str">
        <f>_xlfn.XLOOKUP(C2110,tblProducts[product_id],tblProducts[category],"Missing")</f>
        <v>Analytics</v>
      </c>
      <c r="Q2110" t="str">
        <f>_xlfn.XLOOKUP(D2110,tblSalesReps[rep_id],tblSalesReps[rep_name],"Missing")</f>
        <v>Sales Rep 18</v>
      </c>
      <c r="R2110" t="str">
        <f>_xlfn.XLOOKUP(D2110,tblSalesReps[rep_id],tblSalesReps[region],"Missing")</f>
        <v>East</v>
      </c>
    </row>
    <row r="2111" spans="1:18">
      <c r="A2111" t="s">
        <v>2649</v>
      </c>
      <c r="B2111" t="s">
        <v>1141</v>
      </c>
      <c r="C2111" t="s">
        <v>62</v>
      </c>
      <c r="D2111" t="s">
        <v>22</v>
      </c>
      <c r="E2111" s="1">
        <v>45819</v>
      </c>
      <c r="F2111" s="1">
        <v>45896</v>
      </c>
      <c r="G2111" s="1">
        <v>45896</v>
      </c>
      <c r="H2111" t="s">
        <v>28</v>
      </c>
      <c r="I2111">
        <v>1</v>
      </c>
      <c r="J2111">
        <v>5</v>
      </c>
      <c r="K2111">
        <v>114000</v>
      </c>
      <c r="L2111">
        <v>100</v>
      </c>
      <c r="M2111" t="s">
        <v>29</v>
      </c>
      <c r="N2111" t="str">
        <f>_xlfn.XLOOKUP(B2111,tblCustomers[customer_id],tblCustomers[region],"Missing")</f>
        <v>West</v>
      </c>
      <c r="O2111" t="str">
        <f>_xlfn.XLOOKUP(C2111,tblProducts[product_id],tblProducts[product_name],"Missing")</f>
        <v>CRM Essentials</v>
      </c>
      <c r="P2111" t="str">
        <f>_xlfn.XLOOKUP(C2111,tblProducts[product_id],tblProducts[category],"Missing")</f>
        <v>CRM</v>
      </c>
      <c r="Q2111" t="str">
        <f>_xlfn.XLOOKUP(D2111,tblSalesReps[rep_id],tblSalesReps[rep_name],"Missing")</f>
        <v>Sales Rep 14</v>
      </c>
      <c r="R2111" t="str">
        <f>_xlfn.XLOOKUP(D2111,tblSalesReps[rep_id],tblSalesReps[region],"Missing")</f>
        <v>West</v>
      </c>
    </row>
    <row r="2112" spans="1:18">
      <c r="A2112" t="s">
        <v>2650</v>
      </c>
      <c r="B2112" t="s">
        <v>298</v>
      </c>
      <c r="C2112" t="s">
        <v>15</v>
      </c>
      <c r="D2112" t="s">
        <v>56</v>
      </c>
      <c r="E2112" s="1">
        <v>45841</v>
      </c>
      <c r="F2112" s="1">
        <v>45894</v>
      </c>
      <c r="G2112" s="1">
        <v>45894</v>
      </c>
      <c r="H2112" t="s">
        <v>28</v>
      </c>
      <c r="I2112">
        <v>1</v>
      </c>
      <c r="J2112">
        <v>15</v>
      </c>
      <c r="K2112">
        <v>357000</v>
      </c>
      <c r="L2112">
        <v>100</v>
      </c>
      <c r="M2112" t="s">
        <v>29</v>
      </c>
      <c r="N2112" t="str">
        <f>_xlfn.XLOOKUP(B2112,tblCustomers[customer_id],tblCustomers[region],"Missing")</f>
        <v>East</v>
      </c>
      <c r="O2112" t="str">
        <f>_xlfn.XLOOKUP(C2112,tblProducts[product_id],tblProducts[product_name],"Missing")</f>
        <v>CRM Enterprise</v>
      </c>
      <c r="P2112" t="str">
        <f>_xlfn.XLOOKUP(C2112,tblProducts[product_id],tblProducts[category],"Missing")</f>
        <v>CRM</v>
      </c>
      <c r="Q2112" t="str">
        <f>_xlfn.XLOOKUP(D2112,tblSalesReps[rep_id],tblSalesReps[rep_name],"Missing")</f>
        <v>Sales Rep 20</v>
      </c>
      <c r="R2112" t="str">
        <f>_xlfn.XLOOKUP(D2112,tblSalesReps[rep_id],tblSalesReps[region],"Missing")</f>
        <v>East</v>
      </c>
    </row>
    <row r="2113" spans="1:18">
      <c r="A2113" t="s">
        <v>2651</v>
      </c>
      <c r="B2113" t="s">
        <v>1386</v>
      </c>
      <c r="C2113" t="s">
        <v>39</v>
      </c>
      <c r="D2113" t="s">
        <v>50</v>
      </c>
      <c r="E2113" s="1">
        <v>45908</v>
      </c>
      <c r="F2113" s="1">
        <v>45953</v>
      </c>
      <c r="G2113" s="1"/>
      <c r="H2113" t="s">
        <v>43</v>
      </c>
      <c r="I2113">
        <v>2</v>
      </c>
      <c r="J2113">
        <v>10</v>
      </c>
      <c r="K2113">
        <v>324000</v>
      </c>
      <c r="L2113">
        <v>60</v>
      </c>
      <c r="M2113" t="s">
        <v>29</v>
      </c>
      <c r="N2113" t="str">
        <f>_xlfn.XLOOKUP(B2113,tblCustomers[customer_id],tblCustomers[region],"Missing")</f>
        <v>West</v>
      </c>
      <c r="O2113" t="str">
        <f>_xlfn.XLOOKUP(C2113,tblProducts[product_id],tblProducts[product_name],"Missing")</f>
        <v>Support Desk</v>
      </c>
      <c r="P2113" t="str">
        <f>_xlfn.XLOOKUP(C2113,tblProducts[product_id],tblProducts[category],"Missing")</f>
        <v>Service</v>
      </c>
      <c r="Q2113" t="str">
        <f>_xlfn.XLOOKUP(D2113,tblSalesReps[rep_id],tblSalesReps[rep_name],"Missing")</f>
        <v>Sales Rep 15</v>
      </c>
      <c r="R2113" t="str">
        <f>_xlfn.XLOOKUP(D2113,tblSalesReps[rep_id],tblSalesReps[region],"Missing")</f>
        <v>West</v>
      </c>
    </row>
    <row r="2114" spans="1:18">
      <c r="A2114" t="s">
        <v>2652</v>
      </c>
      <c r="B2114" t="s">
        <v>477</v>
      </c>
      <c r="C2114" t="s">
        <v>81</v>
      </c>
      <c r="D2114" t="s">
        <v>16</v>
      </c>
      <c r="E2114" s="1">
        <v>45952</v>
      </c>
      <c r="F2114" s="1">
        <v>46016</v>
      </c>
      <c r="G2114" s="1">
        <v>46016</v>
      </c>
      <c r="H2114" t="s">
        <v>17</v>
      </c>
      <c r="I2114">
        <v>1</v>
      </c>
      <c r="J2114">
        <v>20</v>
      </c>
      <c r="K2114">
        <v>240000</v>
      </c>
      <c r="L2114">
        <v>0</v>
      </c>
      <c r="M2114" t="s">
        <v>23</v>
      </c>
      <c r="N2114" t="str">
        <f>_xlfn.XLOOKUP(B2114,tblCustomers[customer_id],tblCustomers[region],"Missing")</f>
        <v>North</v>
      </c>
      <c r="O2114" t="str">
        <f>_xlfn.XLOOKUP(C2114,tblProducts[product_id],tblProducts[product_name],"Missing")</f>
        <v>Analytics Cloud</v>
      </c>
      <c r="P2114" t="str">
        <f>_xlfn.XLOOKUP(C2114,tblProducts[product_id],tblProducts[category],"Missing")</f>
        <v>Analytics</v>
      </c>
      <c r="Q2114" t="str">
        <f>_xlfn.XLOOKUP(D2114,tblSalesReps[rep_id],tblSalesReps[rep_name],"Missing")</f>
        <v>Sales Rep 08</v>
      </c>
      <c r="R2114" t="str">
        <f>_xlfn.XLOOKUP(D2114,tblSalesReps[rep_id],tblSalesReps[region],"Missing")</f>
        <v>North</v>
      </c>
    </row>
    <row r="2115" spans="1:18">
      <c r="A2115" t="s">
        <v>2653</v>
      </c>
      <c r="B2115" t="s">
        <v>589</v>
      </c>
      <c r="C2115" t="s">
        <v>81</v>
      </c>
      <c r="D2115" t="s">
        <v>56</v>
      </c>
      <c r="E2115" s="1">
        <v>45955</v>
      </c>
      <c r="F2115" s="1">
        <v>45968</v>
      </c>
      <c r="G2115" s="1">
        <v>45968</v>
      </c>
      <c r="H2115" t="s">
        <v>28</v>
      </c>
      <c r="I2115">
        <v>3</v>
      </c>
      <c r="J2115">
        <v>0</v>
      </c>
      <c r="K2115">
        <v>900000</v>
      </c>
      <c r="L2115">
        <v>100</v>
      </c>
      <c r="M2115" t="s">
        <v>29</v>
      </c>
      <c r="N2115" t="str">
        <f>_xlfn.XLOOKUP(B2115,tblCustomers[customer_id],tblCustomers[region],"Missing")</f>
        <v>East</v>
      </c>
      <c r="O2115" t="str">
        <f>_xlfn.XLOOKUP(C2115,tblProducts[product_id],tblProducts[product_name],"Missing")</f>
        <v>Analytics Cloud</v>
      </c>
      <c r="P2115" t="str">
        <f>_xlfn.XLOOKUP(C2115,tblProducts[product_id],tblProducts[category],"Missing")</f>
        <v>Analytics</v>
      </c>
      <c r="Q2115" t="str">
        <f>_xlfn.XLOOKUP(D2115,tblSalesReps[rep_id],tblSalesReps[rep_name],"Missing")</f>
        <v>Sales Rep 20</v>
      </c>
      <c r="R2115" t="str">
        <f>_xlfn.XLOOKUP(D2115,tblSalesReps[rep_id],tblSalesReps[region],"Missing")</f>
        <v>East</v>
      </c>
    </row>
    <row r="2116" spans="1:18">
      <c r="A2116" t="s">
        <v>2654</v>
      </c>
      <c r="B2116" t="s">
        <v>1280</v>
      </c>
      <c r="C2116" t="s">
        <v>15</v>
      </c>
      <c r="D2116" t="s">
        <v>27</v>
      </c>
      <c r="E2116" s="1">
        <v>45900</v>
      </c>
      <c r="F2116" s="1">
        <v>45927</v>
      </c>
      <c r="G2116" s="1"/>
      <c r="H2116" t="s">
        <v>43</v>
      </c>
      <c r="I2116">
        <v>1</v>
      </c>
      <c r="J2116">
        <v>20</v>
      </c>
      <c r="K2116">
        <v>336000</v>
      </c>
      <c r="L2116">
        <v>80</v>
      </c>
      <c r="M2116" t="s">
        <v>29</v>
      </c>
      <c r="N2116" t="str">
        <f>_xlfn.XLOOKUP(B2116,tblCustomers[customer_id],tblCustomers[region],"Missing")</f>
        <v>North</v>
      </c>
      <c r="O2116" t="str">
        <f>_xlfn.XLOOKUP(C2116,tblProducts[product_id],tblProducts[product_name],"Missing")</f>
        <v>CRM Enterprise</v>
      </c>
      <c r="P2116" t="str">
        <f>_xlfn.XLOOKUP(C2116,tblProducts[product_id],tblProducts[category],"Missing")</f>
        <v>CRM</v>
      </c>
      <c r="Q2116" t="str">
        <f>_xlfn.XLOOKUP(D2116,tblSalesReps[rep_id],tblSalesReps[rep_name],"Missing")</f>
        <v>Sales Rep 06</v>
      </c>
      <c r="R2116" t="str">
        <f>_xlfn.XLOOKUP(D2116,tblSalesReps[rep_id],tblSalesReps[region],"Missing")</f>
        <v>North</v>
      </c>
    </row>
    <row r="2117" spans="1:18">
      <c r="A2117" t="s">
        <v>2655</v>
      </c>
      <c r="B2117" t="s">
        <v>2656</v>
      </c>
      <c r="C2117" t="s">
        <v>21</v>
      </c>
      <c r="D2117" t="s">
        <v>53</v>
      </c>
      <c r="E2117" s="1">
        <v>45718</v>
      </c>
      <c r="F2117" s="1">
        <v>45793</v>
      </c>
      <c r="G2117" s="1">
        <v>45793</v>
      </c>
      <c r="H2117" t="s">
        <v>28</v>
      </c>
      <c r="I2117">
        <v>1</v>
      </c>
      <c r="J2117">
        <v>15</v>
      </c>
      <c r="K2117">
        <v>204000</v>
      </c>
      <c r="L2117">
        <v>100</v>
      </c>
      <c r="M2117" t="s">
        <v>29</v>
      </c>
      <c r="N2117" t="str">
        <f>_xlfn.XLOOKUP(B2117,tblCustomers[customer_id],tblCustomers[region],"Missing")</f>
        <v>East</v>
      </c>
      <c r="O2117" t="str">
        <f>_xlfn.XLOOKUP(C2117,tblProducts[product_id],tblProducts[product_name],"Missing")</f>
        <v>Workflow Automate</v>
      </c>
      <c r="P2117" t="str">
        <f>_xlfn.XLOOKUP(C2117,tblProducts[product_id],tblProducts[category],"Missing")</f>
        <v>Automation</v>
      </c>
      <c r="Q2117" t="str">
        <f>_xlfn.XLOOKUP(D2117,tblSalesReps[rep_id],tblSalesReps[rep_name],"Missing")</f>
        <v>Sales Rep 16</v>
      </c>
      <c r="R2117" t="str">
        <f>_xlfn.XLOOKUP(D2117,tblSalesReps[rep_id],tblSalesReps[region],"Missing")</f>
        <v>East</v>
      </c>
    </row>
    <row r="2118" spans="1:18">
      <c r="A2118" t="s">
        <v>2657</v>
      </c>
      <c r="B2118" t="s">
        <v>412</v>
      </c>
      <c r="C2118" t="s">
        <v>39</v>
      </c>
      <c r="D2118" t="s">
        <v>63</v>
      </c>
      <c r="E2118" s="1">
        <v>45986</v>
      </c>
      <c r="F2118" s="1">
        <v>46058</v>
      </c>
      <c r="G2118" s="1"/>
      <c r="H2118" t="s">
        <v>43</v>
      </c>
      <c r="I2118">
        <v>1</v>
      </c>
      <c r="J2118">
        <v>5</v>
      </c>
      <c r="K2118">
        <v>171000</v>
      </c>
      <c r="L2118">
        <v>60</v>
      </c>
      <c r="M2118" t="s">
        <v>29</v>
      </c>
      <c r="N2118" t="str">
        <f>_xlfn.XLOOKUP(B2118,tblCustomers[customer_id],tblCustomers[region],"Missing")</f>
        <v>South</v>
      </c>
      <c r="O2118" t="str">
        <f>_xlfn.XLOOKUP(C2118,tblProducts[product_id],tblProducts[product_name],"Missing")</f>
        <v>Support Desk</v>
      </c>
      <c r="P2118" t="str">
        <f>_xlfn.XLOOKUP(C2118,tblProducts[product_id],tblProducts[category],"Missing")</f>
        <v>Service</v>
      </c>
      <c r="Q2118" t="str">
        <f>_xlfn.XLOOKUP(D2118,tblSalesReps[rep_id],tblSalesReps[rep_name],"Missing")</f>
        <v>Sales Rep 05</v>
      </c>
      <c r="R2118" t="str">
        <f>_xlfn.XLOOKUP(D2118,tblSalesReps[rep_id],tblSalesReps[region],"Missing")</f>
        <v>South</v>
      </c>
    </row>
    <row r="2119" spans="1:18">
      <c r="A2119" t="s">
        <v>2658</v>
      </c>
      <c r="B2119" t="s">
        <v>706</v>
      </c>
      <c r="C2119" t="s">
        <v>26</v>
      </c>
      <c r="D2119" t="s">
        <v>40</v>
      </c>
      <c r="E2119" s="1">
        <v>46004</v>
      </c>
      <c r="F2119" s="1">
        <v>46053</v>
      </c>
      <c r="G2119" s="1"/>
      <c r="H2119" t="s">
        <v>43</v>
      </c>
      <c r="I2119">
        <v>1</v>
      </c>
      <c r="J2119">
        <v>5</v>
      </c>
      <c r="K2119">
        <v>342000</v>
      </c>
      <c r="L2119">
        <v>80</v>
      </c>
      <c r="M2119" t="s">
        <v>29</v>
      </c>
      <c r="N2119" t="str">
        <f>_xlfn.XLOOKUP(B2119,tblCustomers[customer_id],tblCustomers[region],"Missing")</f>
        <v>West</v>
      </c>
      <c r="O2119" t="str">
        <f>_xlfn.XLOOKUP(C2119,tblProducts[product_id],tblProducts[product_name],"Missing")</f>
        <v>Security Suite</v>
      </c>
      <c r="P2119" t="str">
        <f>_xlfn.XLOOKUP(C2119,tblProducts[product_id],tblProducts[category],"Missing")</f>
        <v>Security</v>
      </c>
      <c r="Q2119" t="str">
        <f>_xlfn.XLOOKUP(D2119,tblSalesReps[rep_id],tblSalesReps[rep_name],"Missing")</f>
        <v>Sales Rep 13</v>
      </c>
      <c r="R2119" t="str">
        <f>_xlfn.XLOOKUP(D2119,tblSalesReps[rep_id],tblSalesReps[region],"Missing")</f>
        <v>West</v>
      </c>
    </row>
    <row r="2120" spans="1:18">
      <c r="A2120" t="s">
        <v>2659</v>
      </c>
      <c r="B2120" t="s">
        <v>651</v>
      </c>
      <c r="C2120" t="s">
        <v>39</v>
      </c>
      <c r="D2120" t="s">
        <v>22</v>
      </c>
      <c r="E2120" s="1">
        <v>45910</v>
      </c>
      <c r="F2120" s="1">
        <v>45932</v>
      </c>
      <c r="G2120" s="1">
        <v>45932</v>
      </c>
      <c r="H2120" t="s">
        <v>28</v>
      </c>
      <c r="I2120">
        <v>2</v>
      </c>
      <c r="J2120">
        <v>20</v>
      </c>
      <c r="K2120">
        <v>288000</v>
      </c>
      <c r="L2120">
        <v>100</v>
      </c>
      <c r="M2120" t="s">
        <v>29</v>
      </c>
      <c r="N2120" t="str">
        <f>_xlfn.XLOOKUP(B2120,tblCustomers[customer_id],tblCustomers[region],"Missing")</f>
        <v>West</v>
      </c>
      <c r="O2120" t="str">
        <f>_xlfn.XLOOKUP(C2120,tblProducts[product_id],tblProducts[product_name],"Missing")</f>
        <v>Support Desk</v>
      </c>
      <c r="P2120" t="str">
        <f>_xlfn.XLOOKUP(C2120,tblProducts[product_id],tblProducts[category],"Missing")</f>
        <v>Service</v>
      </c>
      <c r="Q2120" t="str">
        <f>_xlfn.XLOOKUP(D2120,tblSalesReps[rep_id],tblSalesReps[rep_name],"Missing")</f>
        <v>Sales Rep 14</v>
      </c>
      <c r="R2120" t="str">
        <f>_xlfn.XLOOKUP(D2120,tblSalesReps[rep_id],tblSalesReps[region],"Missing")</f>
        <v>West</v>
      </c>
    </row>
    <row r="2121" spans="1:18">
      <c r="A2121" t="s">
        <v>2660</v>
      </c>
      <c r="B2121" t="s">
        <v>581</v>
      </c>
      <c r="C2121" t="s">
        <v>15</v>
      </c>
      <c r="D2121" t="s">
        <v>78</v>
      </c>
      <c r="E2121" s="1">
        <v>45720</v>
      </c>
      <c r="F2121" s="1">
        <v>45781</v>
      </c>
      <c r="G2121" s="1">
        <v>45781</v>
      </c>
      <c r="H2121" t="s">
        <v>28</v>
      </c>
      <c r="I2121">
        <v>1</v>
      </c>
      <c r="J2121">
        <v>0</v>
      </c>
      <c r="K2121">
        <v>420000</v>
      </c>
      <c r="L2121">
        <v>100</v>
      </c>
      <c r="M2121" t="s">
        <v>29</v>
      </c>
      <c r="N2121" t="str">
        <f>_xlfn.XLOOKUP(B2121,tblCustomers[customer_id],tblCustomers[region],"Missing")</f>
        <v>West</v>
      </c>
      <c r="O2121" t="str">
        <f>_xlfn.XLOOKUP(C2121,tblProducts[product_id],tblProducts[product_name],"Missing")</f>
        <v>CRM Enterprise</v>
      </c>
      <c r="P2121" t="str">
        <f>_xlfn.XLOOKUP(C2121,tblProducts[product_id],tblProducts[category],"Missing")</f>
        <v>CRM</v>
      </c>
      <c r="Q2121" t="str">
        <f>_xlfn.XLOOKUP(D2121,tblSalesReps[rep_id],tblSalesReps[rep_name],"Missing")</f>
        <v>Sales Rep 12</v>
      </c>
      <c r="R2121" t="str">
        <f>_xlfn.XLOOKUP(D2121,tblSalesReps[rep_id],tblSalesReps[region],"Missing")</f>
        <v>West</v>
      </c>
    </row>
    <row r="2122" spans="1:18">
      <c r="A2122" t="s">
        <v>2661</v>
      </c>
      <c r="B2122" t="s">
        <v>660</v>
      </c>
      <c r="C2122" t="s">
        <v>15</v>
      </c>
      <c r="D2122" t="s">
        <v>16</v>
      </c>
      <c r="E2122" s="1">
        <v>45790</v>
      </c>
      <c r="F2122" s="1">
        <v>45859</v>
      </c>
      <c r="G2122" s="1"/>
      <c r="H2122" t="s">
        <v>43</v>
      </c>
      <c r="I2122">
        <v>3</v>
      </c>
      <c r="J2122">
        <v>20</v>
      </c>
      <c r="K2122">
        <v>1008000</v>
      </c>
      <c r="L2122">
        <v>40</v>
      </c>
      <c r="M2122" t="s">
        <v>29</v>
      </c>
      <c r="N2122" t="str">
        <f>_xlfn.XLOOKUP(B2122,tblCustomers[customer_id],tblCustomers[region],"Missing")</f>
        <v>North</v>
      </c>
      <c r="O2122" t="str">
        <f>_xlfn.XLOOKUP(C2122,tblProducts[product_id],tblProducts[product_name],"Missing")</f>
        <v>CRM Enterprise</v>
      </c>
      <c r="P2122" t="str">
        <f>_xlfn.XLOOKUP(C2122,tblProducts[product_id],tblProducts[category],"Missing")</f>
        <v>CRM</v>
      </c>
      <c r="Q2122" t="str">
        <f>_xlfn.XLOOKUP(D2122,tblSalesReps[rep_id],tblSalesReps[rep_name],"Missing")</f>
        <v>Sales Rep 08</v>
      </c>
      <c r="R2122" t="str">
        <f>_xlfn.XLOOKUP(D2122,tblSalesReps[rep_id],tblSalesReps[region],"Missing")</f>
        <v>North</v>
      </c>
    </row>
    <row r="2123" spans="1:18">
      <c r="A2123" t="s">
        <v>2662</v>
      </c>
      <c r="B2123" t="s">
        <v>1027</v>
      </c>
      <c r="C2123" t="s">
        <v>39</v>
      </c>
      <c r="D2123" t="s">
        <v>168</v>
      </c>
      <c r="E2123" s="1">
        <v>45999</v>
      </c>
      <c r="F2123" s="1">
        <v>46014</v>
      </c>
      <c r="G2123" s="1">
        <v>46014</v>
      </c>
      <c r="H2123" t="s">
        <v>17</v>
      </c>
      <c r="I2123">
        <v>1</v>
      </c>
      <c r="J2123">
        <v>10</v>
      </c>
      <c r="K2123">
        <v>162000</v>
      </c>
      <c r="L2123">
        <v>0</v>
      </c>
      <c r="M2123" t="s">
        <v>33</v>
      </c>
      <c r="N2123" t="str">
        <f>_xlfn.XLOOKUP(B2123,tblCustomers[customer_id],tblCustomers[region],"Missing")</f>
        <v>East</v>
      </c>
      <c r="O2123" t="str">
        <f>_xlfn.XLOOKUP(C2123,tblProducts[product_id],tblProducts[product_name],"Missing")</f>
        <v>Support Desk</v>
      </c>
      <c r="P2123" t="str">
        <f>_xlfn.XLOOKUP(C2123,tblProducts[product_id],tblProducts[category],"Missing")</f>
        <v>Service</v>
      </c>
      <c r="Q2123" t="str">
        <f>_xlfn.XLOOKUP(D2123,tblSalesReps[rep_id],tblSalesReps[rep_name],"Missing")</f>
        <v>Sales Rep 17</v>
      </c>
      <c r="R2123" t="str">
        <f>_xlfn.XLOOKUP(D2123,tblSalesReps[rep_id],tblSalesReps[region],"Missing")</f>
        <v>East</v>
      </c>
    </row>
    <row r="2124" spans="1:18">
      <c r="A2124" t="s">
        <v>2663</v>
      </c>
      <c r="B2124" t="s">
        <v>318</v>
      </c>
      <c r="C2124" t="s">
        <v>26</v>
      </c>
      <c r="D2124" t="s">
        <v>32</v>
      </c>
      <c r="E2124" s="1">
        <v>45659</v>
      </c>
      <c r="F2124" s="1">
        <v>45679</v>
      </c>
      <c r="G2124" s="1"/>
      <c r="H2124" t="s">
        <v>43</v>
      </c>
      <c r="I2124">
        <v>2</v>
      </c>
      <c r="J2124">
        <v>10</v>
      </c>
      <c r="K2124">
        <v>648000</v>
      </c>
      <c r="L2124">
        <v>40</v>
      </c>
      <c r="M2124" t="s">
        <v>29</v>
      </c>
      <c r="N2124" t="str">
        <f>_xlfn.XLOOKUP(B2124,tblCustomers[customer_id],tblCustomers[region],"Missing")</f>
        <v>South</v>
      </c>
      <c r="O2124" t="str">
        <f>_xlfn.XLOOKUP(C2124,tblProducts[product_id],tblProducts[product_name],"Missing")</f>
        <v>Security Suite</v>
      </c>
      <c r="P2124" t="str">
        <f>_xlfn.XLOOKUP(C2124,tblProducts[product_id],tblProducts[category],"Missing")</f>
        <v>Security</v>
      </c>
      <c r="Q2124" t="str">
        <f>_xlfn.XLOOKUP(D2124,tblSalesReps[rep_id],tblSalesReps[rep_name],"Missing")</f>
        <v>Sales Rep 04</v>
      </c>
      <c r="R2124" t="str">
        <f>_xlfn.XLOOKUP(D2124,tblSalesReps[rep_id],tblSalesReps[region],"Missing")</f>
        <v>South</v>
      </c>
    </row>
    <row r="2125" spans="1:18">
      <c r="A2125" t="s">
        <v>2664</v>
      </c>
      <c r="B2125" t="s">
        <v>581</v>
      </c>
      <c r="C2125" t="s">
        <v>21</v>
      </c>
      <c r="D2125" t="s">
        <v>70</v>
      </c>
      <c r="E2125" s="1">
        <v>45760</v>
      </c>
      <c r="F2125" s="1">
        <v>45819</v>
      </c>
      <c r="G2125" s="1"/>
      <c r="H2125" t="s">
        <v>43</v>
      </c>
      <c r="I2125">
        <v>2</v>
      </c>
      <c r="J2125">
        <v>15</v>
      </c>
      <c r="K2125">
        <v>408000</v>
      </c>
      <c r="L2125">
        <v>80</v>
      </c>
      <c r="M2125" t="s">
        <v>29</v>
      </c>
      <c r="N2125" t="str">
        <f>_xlfn.XLOOKUP(B2125,tblCustomers[customer_id],tblCustomers[region],"Missing")</f>
        <v>West</v>
      </c>
      <c r="O2125" t="str">
        <f>_xlfn.XLOOKUP(C2125,tblProducts[product_id],tblProducts[product_name],"Missing")</f>
        <v>Workflow Automate</v>
      </c>
      <c r="P2125" t="str">
        <f>_xlfn.XLOOKUP(C2125,tblProducts[product_id],tblProducts[category],"Missing")</f>
        <v>Automation</v>
      </c>
      <c r="Q2125" t="str">
        <f>_xlfn.XLOOKUP(D2125,tblSalesReps[rep_id],tblSalesReps[rep_name],"Missing")</f>
        <v>Sales Rep 11</v>
      </c>
      <c r="R2125" t="str">
        <f>_xlfn.XLOOKUP(D2125,tblSalesReps[rep_id],tblSalesReps[region],"Missing")</f>
        <v>West</v>
      </c>
    </row>
    <row r="2126" spans="1:18">
      <c r="A2126" t="s">
        <v>2665</v>
      </c>
      <c r="B2126" t="s">
        <v>202</v>
      </c>
      <c r="C2126" t="s">
        <v>81</v>
      </c>
      <c r="D2126" t="s">
        <v>168</v>
      </c>
      <c r="E2126" s="1">
        <v>45824</v>
      </c>
      <c r="F2126" s="1">
        <v>45868</v>
      </c>
      <c r="G2126" s="1">
        <v>45868</v>
      </c>
      <c r="H2126" t="s">
        <v>28</v>
      </c>
      <c r="I2126">
        <v>1</v>
      </c>
      <c r="J2126">
        <v>15</v>
      </c>
      <c r="K2126">
        <v>255000</v>
      </c>
      <c r="L2126">
        <v>100</v>
      </c>
      <c r="M2126" t="s">
        <v>29</v>
      </c>
      <c r="N2126" t="str">
        <f>_xlfn.XLOOKUP(B2126,tblCustomers[customer_id],tblCustomers[region],"Missing")</f>
        <v>East</v>
      </c>
      <c r="O2126" t="str">
        <f>_xlfn.XLOOKUP(C2126,tblProducts[product_id],tblProducts[product_name],"Missing")</f>
        <v>Analytics Cloud</v>
      </c>
      <c r="P2126" t="str">
        <f>_xlfn.XLOOKUP(C2126,tblProducts[product_id],tblProducts[category],"Missing")</f>
        <v>Analytics</v>
      </c>
      <c r="Q2126" t="str">
        <f>_xlfn.XLOOKUP(D2126,tblSalesReps[rep_id],tblSalesReps[rep_name],"Missing")</f>
        <v>Sales Rep 17</v>
      </c>
      <c r="R2126" t="str">
        <f>_xlfn.XLOOKUP(D2126,tblSalesReps[rep_id],tblSalesReps[region],"Missing")</f>
        <v>East</v>
      </c>
    </row>
    <row r="2127" spans="1:18">
      <c r="A2127" t="s">
        <v>2666</v>
      </c>
      <c r="B2127" t="s">
        <v>367</v>
      </c>
      <c r="C2127" t="s">
        <v>81</v>
      </c>
      <c r="D2127" t="s">
        <v>59</v>
      </c>
      <c r="E2127" s="1">
        <v>45894</v>
      </c>
      <c r="F2127" s="1">
        <v>45922</v>
      </c>
      <c r="G2127" s="1">
        <v>45922</v>
      </c>
      <c r="H2127" t="s">
        <v>17</v>
      </c>
      <c r="I2127">
        <v>2</v>
      </c>
      <c r="J2127">
        <v>0</v>
      </c>
      <c r="K2127">
        <v>600000</v>
      </c>
      <c r="L2127">
        <v>0</v>
      </c>
      <c r="M2127" t="s">
        <v>18</v>
      </c>
      <c r="N2127" t="str">
        <f>_xlfn.XLOOKUP(B2127,tblCustomers[customer_id],tblCustomers[region],"Missing")</f>
        <v>East</v>
      </c>
      <c r="O2127" t="str">
        <f>_xlfn.XLOOKUP(C2127,tblProducts[product_id],tblProducts[product_name],"Missing")</f>
        <v>Analytics Cloud</v>
      </c>
      <c r="P2127" t="str">
        <f>_xlfn.XLOOKUP(C2127,tblProducts[product_id],tblProducts[category],"Missing")</f>
        <v>Analytics</v>
      </c>
      <c r="Q2127" t="str">
        <f>_xlfn.XLOOKUP(D2127,tblSalesReps[rep_id],tblSalesReps[rep_name],"Missing")</f>
        <v>Sales Rep 19</v>
      </c>
      <c r="R2127" t="str">
        <f>_xlfn.XLOOKUP(D2127,tblSalesReps[rep_id],tblSalesReps[region],"Missing")</f>
        <v>East</v>
      </c>
    </row>
    <row r="2128" spans="1:18">
      <c r="A2128" t="s">
        <v>2667</v>
      </c>
      <c r="B2128" t="s">
        <v>253</v>
      </c>
      <c r="C2128" t="s">
        <v>81</v>
      </c>
      <c r="D2128" t="s">
        <v>126</v>
      </c>
      <c r="E2128" s="1">
        <v>45829</v>
      </c>
      <c r="F2128" s="1">
        <v>45872</v>
      </c>
      <c r="G2128" s="1">
        <v>45872</v>
      </c>
      <c r="H2128" t="s">
        <v>17</v>
      </c>
      <c r="I2128">
        <v>2</v>
      </c>
      <c r="J2128">
        <v>15</v>
      </c>
      <c r="K2128">
        <v>510000</v>
      </c>
      <c r="L2128">
        <v>0</v>
      </c>
      <c r="M2128" t="s">
        <v>23</v>
      </c>
      <c r="N2128" t="str">
        <f>_xlfn.XLOOKUP(B2128,tblCustomers[customer_id],tblCustomers[region],"Missing")</f>
        <v>South</v>
      </c>
      <c r="O2128" t="str">
        <f>_xlfn.XLOOKUP(C2128,tblProducts[product_id],tblProducts[product_name],"Missing")</f>
        <v>Analytics Cloud</v>
      </c>
      <c r="P2128" t="str">
        <f>_xlfn.XLOOKUP(C2128,tblProducts[product_id],tblProducts[category],"Missing")</f>
        <v>Analytics</v>
      </c>
      <c r="Q2128" t="str">
        <f>_xlfn.XLOOKUP(D2128,tblSalesReps[rep_id],tblSalesReps[rep_name],"Missing")</f>
        <v>Sales Rep 02</v>
      </c>
      <c r="R2128" t="str">
        <f>_xlfn.XLOOKUP(D2128,tblSalesReps[rep_id],tblSalesReps[region],"Missing")</f>
        <v>South</v>
      </c>
    </row>
    <row r="2129" spans="1:18">
      <c r="A2129" t="s">
        <v>2668</v>
      </c>
      <c r="B2129" t="s">
        <v>433</v>
      </c>
      <c r="C2129" t="s">
        <v>15</v>
      </c>
      <c r="D2129" t="s">
        <v>22</v>
      </c>
      <c r="E2129" s="1">
        <v>45691</v>
      </c>
      <c r="F2129" s="1">
        <v>45701</v>
      </c>
      <c r="G2129" s="1">
        <v>45701</v>
      </c>
      <c r="H2129" t="s">
        <v>28</v>
      </c>
      <c r="I2129">
        <v>3</v>
      </c>
      <c r="J2129">
        <v>15</v>
      </c>
      <c r="K2129">
        <v>1071000</v>
      </c>
      <c r="L2129">
        <v>100</v>
      </c>
      <c r="M2129" t="s">
        <v>29</v>
      </c>
      <c r="N2129" t="str">
        <f>_xlfn.XLOOKUP(B2129,tblCustomers[customer_id],tblCustomers[region],"Missing")</f>
        <v>West</v>
      </c>
      <c r="O2129" t="str">
        <f>_xlfn.XLOOKUP(C2129,tblProducts[product_id],tblProducts[product_name],"Missing")</f>
        <v>CRM Enterprise</v>
      </c>
      <c r="P2129" t="str">
        <f>_xlfn.XLOOKUP(C2129,tblProducts[product_id],tblProducts[category],"Missing")</f>
        <v>CRM</v>
      </c>
      <c r="Q2129" t="str">
        <f>_xlfn.XLOOKUP(D2129,tblSalesReps[rep_id],tblSalesReps[rep_name],"Missing")</f>
        <v>Sales Rep 14</v>
      </c>
      <c r="R2129" t="str">
        <f>_xlfn.XLOOKUP(D2129,tblSalesReps[rep_id],tblSalesReps[region],"Missing")</f>
        <v>West</v>
      </c>
    </row>
    <row r="2130" spans="1:18">
      <c r="A2130" t="s">
        <v>2669</v>
      </c>
      <c r="B2130" t="s">
        <v>202</v>
      </c>
      <c r="C2130" t="s">
        <v>81</v>
      </c>
      <c r="D2130" t="s">
        <v>59</v>
      </c>
      <c r="E2130" s="1">
        <v>45823</v>
      </c>
      <c r="F2130" s="1">
        <v>45830</v>
      </c>
      <c r="G2130" s="1">
        <v>45830</v>
      </c>
      <c r="H2130" t="s">
        <v>28</v>
      </c>
      <c r="I2130">
        <v>1</v>
      </c>
      <c r="J2130">
        <v>5</v>
      </c>
      <c r="K2130">
        <v>285000</v>
      </c>
      <c r="L2130">
        <v>100</v>
      </c>
      <c r="M2130" t="s">
        <v>29</v>
      </c>
      <c r="N2130" t="str">
        <f>_xlfn.XLOOKUP(B2130,tblCustomers[customer_id],tblCustomers[region],"Missing")</f>
        <v>East</v>
      </c>
      <c r="O2130" t="str">
        <f>_xlfn.XLOOKUP(C2130,tblProducts[product_id],tblProducts[product_name],"Missing")</f>
        <v>Analytics Cloud</v>
      </c>
      <c r="P2130" t="str">
        <f>_xlfn.XLOOKUP(C2130,tblProducts[product_id],tblProducts[category],"Missing")</f>
        <v>Analytics</v>
      </c>
      <c r="Q2130" t="str">
        <f>_xlfn.XLOOKUP(D2130,tblSalesReps[rep_id],tblSalesReps[rep_name],"Missing")</f>
        <v>Sales Rep 19</v>
      </c>
      <c r="R2130" t="str">
        <f>_xlfn.XLOOKUP(D2130,tblSalesReps[rep_id],tblSalesReps[region],"Missing")</f>
        <v>East</v>
      </c>
    </row>
    <row r="2131" spans="1:18">
      <c r="A2131" t="s">
        <v>2670</v>
      </c>
      <c r="B2131" t="s">
        <v>1184</v>
      </c>
      <c r="C2131" t="s">
        <v>62</v>
      </c>
      <c r="D2131" t="s">
        <v>32</v>
      </c>
      <c r="E2131" s="1">
        <v>45939</v>
      </c>
      <c r="F2131" s="1">
        <v>45992</v>
      </c>
      <c r="G2131" s="1">
        <v>45992</v>
      </c>
      <c r="H2131" t="s">
        <v>17</v>
      </c>
      <c r="I2131">
        <v>3</v>
      </c>
      <c r="J2131">
        <v>0</v>
      </c>
      <c r="K2131">
        <v>360000</v>
      </c>
      <c r="L2131">
        <v>0</v>
      </c>
      <c r="M2131" t="s">
        <v>33</v>
      </c>
      <c r="N2131" t="str">
        <f>_xlfn.XLOOKUP(B2131,tblCustomers[customer_id],tblCustomers[region],"Missing")</f>
        <v>South</v>
      </c>
      <c r="O2131" t="str">
        <f>_xlfn.XLOOKUP(C2131,tblProducts[product_id],tblProducts[product_name],"Missing")</f>
        <v>CRM Essentials</v>
      </c>
      <c r="P2131" t="str">
        <f>_xlfn.XLOOKUP(C2131,tblProducts[product_id],tblProducts[category],"Missing")</f>
        <v>CRM</v>
      </c>
      <c r="Q2131" t="str">
        <f>_xlfn.XLOOKUP(D2131,tblSalesReps[rep_id],tblSalesReps[rep_name],"Missing")</f>
        <v>Sales Rep 04</v>
      </c>
      <c r="R2131" t="str">
        <f>_xlfn.XLOOKUP(D2131,tblSalesReps[rep_id],tblSalesReps[region],"Missing")</f>
        <v>South</v>
      </c>
    </row>
    <row r="2132" spans="1:18">
      <c r="A2132" t="s">
        <v>2671</v>
      </c>
      <c r="B2132" t="s">
        <v>276</v>
      </c>
      <c r="C2132" t="s">
        <v>81</v>
      </c>
      <c r="D2132" t="s">
        <v>63</v>
      </c>
      <c r="E2132" s="1">
        <v>45992</v>
      </c>
      <c r="F2132" s="1">
        <v>46036</v>
      </c>
      <c r="G2132" s="1"/>
      <c r="H2132" t="s">
        <v>43</v>
      </c>
      <c r="I2132">
        <v>1</v>
      </c>
      <c r="J2132">
        <v>10</v>
      </c>
      <c r="K2132">
        <v>270000</v>
      </c>
      <c r="L2132">
        <v>60</v>
      </c>
      <c r="M2132" t="s">
        <v>29</v>
      </c>
      <c r="N2132" t="str">
        <f>_xlfn.XLOOKUP(B2132,tblCustomers[customer_id],tblCustomers[region],"Missing")</f>
        <v>South</v>
      </c>
      <c r="O2132" t="str">
        <f>_xlfn.XLOOKUP(C2132,tblProducts[product_id],tblProducts[product_name],"Missing")</f>
        <v>Analytics Cloud</v>
      </c>
      <c r="P2132" t="str">
        <f>_xlfn.XLOOKUP(C2132,tblProducts[product_id],tblProducts[category],"Missing")</f>
        <v>Analytics</v>
      </c>
      <c r="Q2132" t="str">
        <f>_xlfn.XLOOKUP(D2132,tblSalesReps[rep_id],tblSalesReps[rep_name],"Missing")</f>
        <v>Sales Rep 05</v>
      </c>
      <c r="R2132" t="str">
        <f>_xlfn.XLOOKUP(D2132,tblSalesReps[rep_id],tblSalesReps[region],"Missing")</f>
        <v>South</v>
      </c>
    </row>
    <row r="2133" spans="1:18">
      <c r="A2133" t="s">
        <v>2672</v>
      </c>
      <c r="B2133" t="s">
        <v>1303</v>
      </c>
      <c r="C2133" t="s">
        <v>81</v>
      </c>
      <c r="D2133" t="s">
        <v>27</v>
      </c>
      <c r="E2133" s="1">
        <v>45844</v>
      </c>
      <c r="F2133" s="1">
        <v>45871</v>
      </c>
      <c r="G2133" s="1"/>
      <c r="H2133" t="s">
        <v>43</v>
      </c>
      <c r="I2133">
        <v>3</v>
      </c>
      <c r="J2133">
        <v>10</v>
      </c>
      <c r="K2133">
        <v>810000</v>
      </c>
      <c r="L2133">
        <v>20</v>
      </c>
      <c r="M2133" t="s">
        <v>29</v>
      </c>
      <c r="N2133" t="str">
        <f>_xlfn.XLOOKUP(B2133,tblCustomers[customer_id],tblCustomers[region],"Missing")</f>
        <v>North</v>
      </c>
      <c r="O2133" t="str">
        <f>_xlfn.XLOOKUP(C2133,tblProducts[product_id],tblProducts[product_name],"Missing")</f>
        <v>Analytics Cloud</v>
      </c>
      <c r="P2133" t="str">
        <f>_xlfn.XLOOKUP(C2133,tblProducts[product_id],tblProducts[category],"Missing")</f>
        <v>Analytics</v>
      </c>
      <c r="Q2133" t="str">
        <f>_xlfn.XLOOKUP(D2133,tblSalesReps[rep_id],tblSalesReps[rep_name],"Missing")</f>
        <v>Sales Rep 06</v>
      </c>
      <c r="R2133" t="str">
        <f>_xlfn.XLOOKUP(D2133,tblSalesReps[rep_id],tblSalesReps[region],"Missing")</f>
        <v>North</v>
      </c>
    </row>
    <row r="2134" spans="1:18">
      <c r="A2134" t="s">
        <v>2673</v>
      </c>
      <c r="B2134" t="s">
        <v>1184</v>
      </c>
      <c r="C2134" t="s">
        <v>26</v>
      </c>
      <c r="D2134" t="s">
        <v>126</v>
      </c>
      <c r="E2134" s="1">
        <v>45820</v>
      </c>
      <c r="F2134" s="1">
        <v>45903</v>
      </c>
      <c r="G2134" s="1">
        <v>45903</v>
      </c>
      <c r="H2134" t="s">
        <v>17</v>
      </c>
      <c r="I2134">
        <v>1</v>
      </c>
      <c r="J2134">
        <v>15</v>
      </c>
      <c r="K2134">
        <v>306000</v>
      </c>
      <c r="L2134">
        <v>0</v>
      </c>
      <c r="M2134" t="s">
        <v>18</v>
      </c>
      <c r="N2134" t="str">
        <f>_xlfn.XLOOKUP(B2134,tblCustomers[customer_id],tblCustomers[region],"Missing")</f>
        <v>South</v>
      </c>
      <c r="O2134" t="str">
        <f>_xlfn.XLOOKUP(C2134,tblProducts[product_id],tblProducts[product_name],"Missing")</f>
        <v>Security Suite</v>
      </c>
      <c r="P2134" t="str">
        <f>_xlfn.XLOOKUP(C2134,tblProducts[product_id],tblProducts[category],"Missing")</f>
        <v>Security</v>
      </c>
      <c r="Q2134" t="str">
        <f>_xlfn.XLOOKUP(D2134,tblSalesReps[rep_id],tblSalesReps[rep_name],"Missing")</f>
        <v>Sales Rep 02</v>
      </c>
      <c r="R2134" t="str">
        <f>_xlfn.XLOOKUP(D2134,tblSalesReps[rep_id],tblSalesReps[region],"Missing")</f>
        <v>South</v>
      </c>
    </row>
    <row r="2135" spans="1:18">
      <c r="A2135" t="s">
        <v>2674</v>
      </c>
      <c r="B2135" t="s">
        <v>551</v>
      </c>
      <c r="C2135" t="s">
        <v>39</v>
      </c>
      <c r="D2135" t="s">
        <v>168</v>
      </c>
      <c r="E2135" s="1">
        <v>45901</v>
      </c>
      <c r="F2135" s="1">
        <v>45940</v>
      </c>
      <c r="G2135" s="1"/>
      <c r="H2135" t="s">
        <v>43</v>
      </c>
      <c r="I2135">
        <v>3</v>
      </c>
      <c r="J2135">
        <v>10</v>
      </c>
      <c r="K2135">
        <v>486000</v>
      </c>
      <c r="L2135">
        <v>40</v>
      </c>
      <c r="M2135" t="s">
        <v>29</v>
      </c>
      <c r="N2135" t="str">
        <f>_xlfn.XLOOKUP(B2135,tblCustomers[customer_id],tblCustomers[region],"Missing")</f>
        <v>East</v>
      </c>
      <c r="O2135" t="str">
        <f>_xlfn.XLOOKUP(C2135,tblProducts[product_id],tblProducts[product_name],"Missing")</f>
        <v>Support Desk</v>
      </c>
      <c r="P2135" t="str">
        <f>_xlfn.XLOOKUP(C2135,tblProducts[product_id],tblProducts[category],"Missing")</f>
        <v>Service</v>
      </c>
      <c r="Q2135" t="str">
        <f>_xlfn.XLOOKUP(D2135,tblSalesReps[rep_id],tblSalesReps[rep_name],"Missing")</f>
        <v>Sales Rep 17</v>
      </c>
      <c r="R2135" t="str">
        <f>_xlfn.XLOOKUP(D2135,tblSalesReps[rep_id],tblSalesReps[region],"Missing")</f>
        <v>East</v>
      </c>
    </row>
    <row r="2136" spans="1:18">
      <c r="A2136" t="s">
        <v>2675</v>
      </c>
      <c r="B2136" t="s">
        <v>1094</v>
      </c>
      <c r="C2136" t="s">
        <v>26</v>
      </c>
      <c r="D2136" t="s">
        <v>27</v>
      </c>
      <c r="E2136" s="1">
        <v>46000</v>
      </c>
      <c r="F2136" s="1">
        <v>46070</v>
      </c>
      <c r="G2136" s="1"/>
      <c r="H2136" t="s">
        <v>43</v>
      </c>
      <c r="I2136">
        <v>2</v>
      </c>
      <c r="J2136">
        <v>5</v>
      </c>
      <c r="K2136">
        <v>684000</v>
      </c>
      <c r="L2136">
        <v>20</v>
      </c>
      <c r="M2136" t="s">
        <v>29</v>
      </c>
      <c r="N2136" t="str">
        <f>_xlfn.XLOOKUP(B2136,tblCustomers[customer_id],tblCustomers[region],"Missing")</f>
        <v>North</v>
      </c>
      <c r="O2136" t="str">
        <f>_xlfn.XLOOKUP(C2136,tblProducts[product_id],tblProducts[product_name],"Missing")</f>
        <v>Security Suite</v>
      </c>
      <c r="P2136" t="str">
        <f>_xlfn.XLOOKUP(C2136,tblProducts[product_id],tblProducts[category],"Missing")</f>
        <v>Security</v>
      </c>
      <c r="Q2136" t="str">
        <f>_xlfn.XLOOKUP(D2136,tblSalesReps[rep_id],tblSalesReps[rep_name],"Missing")</f>
        <v>Sales Rep 06</v>
      </c>
      <c r="R2136" t="str">
        <f>_xlfn.XLOOKUP(D2136,tblSalesReps[rep_id],tblSalesReps[region],"Missing")</f>
        <v>North</v>
      </c>
    </row>
    <row r="2137" spans="1:18">
      <c r="A2137" t="s">
        <v>2676</v>
      </c>
      <c r="B2137" t="s">
        <v>97</v>
      </c>
      <c r="C2137" t="s">
        <v>26</v>
      </c>
      <c r="D2137" t="s">
        <v>22</v>
      </c>
      <c r="E2137" s="1">
        <v>45829</v>
      </c>
      <c r="F2137" s="1">
        <v>45854</v>
      </c>
      <c r="G2137" s="1">
        <v>45854</v>
      </c>
      <c r="H2137" t="s">
        <v>28</v>
      </c>
      <c r="I2137">
        <v>1</v>
      </c>
      <c r="J2137">
        <v>10</v>
      </c>
      <c r="K2137">
        <v>324000</v>
      </c>
      <c r="L2137">
        <v>100</v>
      </c>
      <c r="M2137" t="s">
        <v>29</v>
      </c>
      <c r="N2137" t="str">
        <f>_xlfn.XLOOKUP(B2137,tblCustomers[customer_id],tblCustomers[region],"Missing")</f>
        <v>West</v>
      </c>
      <c r="O2137" t="str">
        <f>_xlfn.XLOOKUP(C2137,tblProducts[product_id],tblProducts[product_name],"Missing")</f>
        <v>Security Suite</v>
      </c>
      <c r="P2137" t="str">
        <f>_xlfn.XLOOKUP(C2137,tblProducts[product_id],tblProducts[category],"Missing")</f>
        <v>Security</v>
      </c>
      <c r="Q2137" t="str">
        <f>_xlfn.XLOOKUP(D2137,tblSalesReps[rep_id],tblSalesReps[rep_name],"Missing")</f>
        <v>Sales Rep 14</v>
      </c>
      <c r="R2137" t="str">
        <f>_xlfn.XLOOKUP(D2137,tblSalesReps[rep_id],tblSalesReps[region],"Missing")</f>
        <v>West</v>
      </c>
    </row>
    <row r="2138" spans="1:18">
      <c r="A2138" t="s">
        <v>2677</v>
      </c>
      <c r="B2138" t="s">
        <v>1308</v>
      </c>
      <c r="C2138" t="s">
        <v>26</v>
      </c>
      <c r="D2138" t="s">
        <v>27</v>
      </c>
      <c r="E2138" s="1">
        <v>45743</v>
      </c>
      <c r="F2138" s="1">
        <v>45806</v>
      </c>
      <c r="G2138" s="1">
        <v>45806</v>
      </c>
      <c r="H2138" t="s">
        <v>17</v>
      </c>
      <c r="I2138">
        <v>1</v>
      </c>
      <c r="J2138">
        <v>20</v>
      </c>
      <c r="K2138">
        <v>288000</v>
      </c>
      <c r="L2138">
        <v>0</v>
      </c>
      <c r="M2138" t="s">
        <v>23</v>
      </c>
      <c r="N2138" t="str">
        <f>_xlfn.XLOOKUP(B2138,tblCustomers[customer_id],tblCustomers[region],"Missing")</f>
        <v>North</v>
      </c>
      <c r="O2138" t="str">
        <f>_xlfn.XLOOKUP(C2138,tblProducts[product_id],tblProducts[product_name],"Missing")</f>
        <v>Security Suite</v>
      </c>
      <c r="P2138" t="str">
        <f>_xlfn.XLOOKUP(C2138,tblProducts[product_id],tblProducts[category],"Missing")</f>
        <v>Security</v>
      </c>
      <c r="Q2138" t="str">
        <f>_xlfn.XLOOKUP(D2138,tblSalesReps[rep_id],tblSalesReps[rep_name],"Missing")</f>
        <v>Sales Rep 06</v>
      </c>
      <c r="R2138" t="str">
        <f>_xlfn.XLOOKUP(D2138,tblSalesReps[rep_id],tblSalesReps[region],"Missing")</f>
        <v>North</v>
      </c>
    </row>
    <row r="2139" spans="1:18">
      <c r="A2139" t="s">
        <v>2678</v>
      </c>
      <c r="B2139" t="s">
        <v>2488</v>
      </c>
      <c r="C2139" t="s">
        <v>39</v>
      </c>
      <c r="D2139" t="s">
        <v>70</v>
      </c>
      <c r="E2139" s="1">
        <v>45823</v>
      </c>
      <c r="F2139" s="1">
        <v>45905</v>
      </c>
      <c r="G2139" s="1">
        <v>45905</v>
      </c>
      <c r="H2139" t="s">
        <v>17</v>
      </c>
      <c r="I2139">
        <v>3</v>
      </c>
      <c r="J2139">
        <v>0</v>
      </c>
      <c r="K2139">
        <v>540000</v>
      </c>
      <c r="L2139">
        <v>0</v>
      </c>
      <c r="M2139" t="s">
        <v>33</v>
      </c>
      <c r="N2139" t="str">
        <f>_xlfn.XLOOKUP(B2139,tblCustomers[customer_id],tblCustomers[region],"Missing")</f>
        <v>West</v>
      </c>
      <c r="O2139" t="str">
        <f>_xlfn.XLOOKUP(C2139,tblProducts[product_id],tblProducts[product_name],"Missing")</f>
        <v>Support Desk</v>
      </c>
      <c r="P2139" t="str">
        <f>_xlfn.XLOOKUP(C2139,tblProducts[product_id],tblProducts[category],"Missing")</f>
        <v>Service</v>
      </c>
      <c r="Q2139" t="str">
        <f>_xlfn.XLOOKUP(D2139,tblSalesReps[rep_id],tblSalesReps[rep_name],"Missing")</f>
        <v>Sales Rep 11</v>
      </c>
      <c r="R2139" t="str">
        <f>_xlfn.XLOOKUP(D2139,tblSalesReps[rep_id],tblSalesReps[region],"Missing")</f>
        <v>West</v>
      </c>
    </row>
    <row r="2140" spans="1:18">
      <c r="A2140" t="s">
        <v>2679</v>
      </c>
      <c r="B2140" t="s">
        <v>1475</v>
      </c>
      <c r="C2140" t="s">
        <v>26</v>
      </c>
      <c r="D2140" t="s">
        <v>53</v>
      </c>
      <c r="E2140" s="1">
        <v>45832</v>
      </c>
      <c r="F2140" s="1">
        <v>45909</v>
      </c>
      <c r="G2140" s="1"/>
      <c r="H2140" t="s">
        <v>43</v>
      </c>
      <c r="I2140">
        <v>1</v>
      </c>
      <c r="J2140">
        <v>0</v>
      </c>
      <c r="K2140">
        <v>360000</v>
      </c>
      <c r="L2140">
        <v>60</v>
      </c>
      <c r="M2140" t="s">
        <v>29</v>
      </c>
      <c r="N2140" t="str">
        <f>_xlfn.XLOOKUP(B2140,tblCustomers[customer_id],tblCustomers[region],"Missing")</f>
        <v>East</v>
      </c>
      <c r="O2140" t="str">
        <f>_xlfn.XLOOKUP(C2140,tblProducts[product_id],tblProducts[product_name],"Missing")</f>
        <v>Security Suite</v>
      </c>
      <c r="P2140" t="str">
        <f>_xlfn.XLOOKUP(C2140,tblProducts[product_id],tblProducts[category],"Missing")</f>
        <v>Security</v>
      </c>
      <c r="Q2140" t="str">
        <f>_xlfn.XLOOKUP(D2140,tblSalesReps[rep_id],tblSalesReps[rep_name],"Missing")</f>
        <v>Sales Rep 16</v>
      </c>
      <c r="R2140" t="str">
        <f>_xlfn.XLOOKUP(D2140,tblSalesReps[rep_id],tblSalesReps[region],"Missing")</f>
        <v>East</v>
      </c>
    </row>
    <row r="2141" spans="1:18">
      <c r="A2141" t="s">
        <v>2680</v>
      </c>
      <c r="B2141" t="s">
        <v>878</v>
      </c>
      <c r="C2141" t="s">
        <v>81</v>
      </c>
      <c r="D2141" t="s">
        <v>63</v>
      </c>
      <c r="E2141" s="1">
        <v>45813</v>
      </c>
      <c r="F2141" s="1">
        <v>45837</v>
      </c>
      <c r="G2141" s="1">
        <v>45837</v>
      </c>
      <c r="H2141" t="s">
        <v>17</v>
      </c>
      <c r="I2141">
        <v>1</v>
      </c>
      <c r="J2141">
        <v>5</v>
      </c>
      <c r="K2141">
        <v>285000</v>
      </c>
      <c r="L2141">
        <v>0</v>
      </c>
      <c r="M2141" t="s">
        <v>82</v>
      </c>
      <c r="N2141" t="str">
        <f>_xlfn.XLOOKUP(B2141,tblCustomers[customer_id],tblCustomers[region],"Missing")</f>
        <v>South</v>
      </c>
      <c r="O2141" t="str">
        <f>_xlfn.XLOOKUP(C2141,tblProducts[product_id],tblProducts[product_name],"Missing")</f>
        <v>Analytics Cloud</v>
      </c>
      <c r="P2141" t="str">
        <f>_xlfn.XLOOKUP(C2141,tblProducts[product_id],tblProducts[category],"Missing")</f>
        <v>Analytics</v>
      </c>
      <c r="Q2141" t="str">
        <f>_xlfn.XLOOKUP(D2141,tblSalesReps[rep_id],tblSalesReps[rep_name],"Missing")</f>
        <v>Sales Rep 05</v>
      </c>
      <c r="R2141" t="str">
        <f>_xlfn.XLOOKUP(D2141,tblSalesReps[rep_id],tblSalesReps[region],"Missing")</f>
        <v>South</v>
      </c>
    </row>
    <row r="2142" spans="1:18">
      <c r="A2142" t="s">
        <v>2681</v>
      </c>
      <c r="B2142" t="s">
        <v>1601</v>
      </c>
      <c r="C2142" t="s">
        <v>21</v>
      </c>
      <c r="D2142" t="s">
        <v>63</v>
      </c>
      <c r="E2142" s="1">
        <v>45918</v>
      </c>
      <c r="F2142" s="1">
        <v>45958</v>
      </c>
      <c r="G2142" s="1"/>
      <c r="H2142" t="s">
        <v>43</v>
      </c>
      <c r="I2142">
        <v>3</v>
      </c>
      <c r="J2142">
        <v>10</v>
      </c>
      <c r="K2142">
        <v>648000</v>
      </c>
      <c r="L2142">
        <v>20</v>
      </c>
      <c r="M2142" t="s">
        <v>29</v>
      </c>
      <c r="N2142" t="str">
        <f>_xlfn.XLOOKUP(B2142,tblCustomers[customer_id],tblCustomers[region],"Missing")</f>
        <v>South</v>
      </c>
      <c r="O2142" t="str">
        <f>_xlfn.XLOOKUP(C2142,tblProducts[product_id],tblProducts[product_name],"Missing")</f>
        <v>Workflow Automate</v>
      </c>
      <c r="P2142" t="str">
        <f>_xlfn.XLOOKUP(C2142,tblProducts[product_id],tblProducts[category],"Missing")</f>
        <v>Automation</v>
      </c>
      <c r="Q2142" t="str">
        <f>_xlfn.XLOOKUP(D2142,tblSalesReps[rep_id],tblSalesReps[rep_name],"Missing")</f>
        <v>Sales Rep 05</v>
      </c>
      <c r="R2142" t="str">
        <f>_xlfn.XLOOKUP(D2142,tblSalesReps[rep_id],tblSalesReps[region],"Missing")</f>
        <v>South</v>
      </c>
    </row>
    <row r="2143" spans="1:18">
      <c r="A2143" t="s">
        <v>2682</v>
      </c>
      <c r="B2143" t="s">
        <v>1878</v>
      </c>
      <c r="C2143" t="s">
        <v>21</v>
      </c>
      <c r="D2143" t="s">
        <v>32</v>
      </c>
      <c r="E2143" s="1">
        <v>45847</v>
      </c>
      <c r="F2143" s="1">
        <v>45899</v>
      </c>
      <c r="G2143" s="1">
        <v>45899</v>
      </c>
      <c r="H2143" t="s">
        <v>17</v>
      </c>
      <c r="I2143">
        <v>2</v>
      </c>
      <c r="J2143">
        <v>0</v>
      </c>
      <c r="K2143">
        <v>480000</v>
      </c>
      <c r="L2143">
        <v>0</v>
      </c>
      <c r="M2143" t="s">
        <v>82</v>
      </c>
      <c r="N2143" t="str">
        <f>_xlfn.XLOOKUP(B2143,tblCustomers[customer_id],tblCustomers[region],"Missing")</f>
        <v>South</v>
      </c>
      <c r="O2143" t="str">
        <f>_xlfn.XLOOKUP(C2143,tblProducts[product_id],tblProducts[product_name],"Missing")</f>
        <v>Workflow Automate</v>
      </c>
      <c r="P2143" t="str">
        <f>_xlfn.XLOOKUP(C2143,tblProducts[product_id],tblProducts[category],"Missing")</f>
        <v>Automation</v>
      </c>
      <c r="Q2143" t="str">
        <f>_xlfn.XLOOKUP(D2143,tblSalesReps[rep_id],tblSalesReps[rep_name],"Missing")</f>
        <v>Sales Rep 04</v>
      </c>
      <c r="R2143" t="str">
        <f>_xlfn.XLOOKUP(D2143,tblSalesReps[rep_id],tblSalesReps[region],"Missing")</f>
        <v>South</v>
      </c>
    </row>
    <row r="2144" spans="1:18">
      <c r="A2144" t="s">
        <v>2683</v>
      </c>
      <c r="B2144" t="s">
        <v>1194</v>
      </c>
      <c r="C2144" t="s">
        <v>39</v>
      </c>
      <c r="D2144" t="s">
        <v>119</v>
      </c>
      <c r="E2144" s="1">
        <v>46003</v>
      </c>
      <c r="F2144" s="1">
        <v>46047</v>
      </c>
      <c r="G2144" s="1"/>
      <c r="H2144" t="s">
        <v>43</v>
      </c>
      <c r="I2144">
        <v>1</v>
      </c>
      <c r="J2144">
        <v>15</v>
      </c>
      <c r="K2144">
        <v>153000</v>
      </c>
      <c r="L2144">
        <v>60</v>
      </c>
      <c r="M2144" t="s">
        <v>29</v>
      </c>
      <c r="N2144" t="str">
        <f>_xlfn.XLOOKUP(B2144,tblCustomers[customer_id],tblCustomers[region],"Missing")</f>
        <v>North</v>
      </c>
      <c r="O2144" t="str">
        <f>_xlfn.XLOOKUP(C2144,tblProducts[product_id],tblProducts[product_name],"Missing")</f>
        <v>Support Desk</v>
      </c>
      <c r="P2144" t="str">
        <f>_xlfn.XLOOKUP(C2144,tblProducts[product_id],tblProducts[category],"Missing")</f>
        <v>Service</v>
      </c>
      <c r="Q2144" t="str">
        <f>_xlfn.XLOOKUP(D2144,tblSalesReps[rep_id],tblSalesReps[rep_name],"Missing")</f>
        <v>Sales Rep 10</v>
      </c>
      <c r="R2144" t="str">
        <f>_xlfn.XLOOKUP(D2144,tblSalesReps[rep_id],tblSalesReps[region],"Missing")</f>
        <v>North</v>
      </c>
    </row>
    <row r="2145" spans="1:18">
      <c r="A2145" t="s">
        <v>2684</v>
      </c>
      <c r="B2145" t="s">
        <v>1461</v>
      </c>
      <c r="C2145" t="s">
        <v>21</v>
      </c>
      <c r="D2145" t="s">
        <v>50</v>
      </c>
      <c r="E2145" s="1">
        <v>45908</v>
      </c>
      <c r="F2145" s="1">
        <v>45927</v>
      </c>
      <c r="G2145" s="1">
        <v>45927</v>
      </c>
      <c r="H2145" t="s">
        <v>17</v>
      </c>
      <c r="I2145">
        <v>1</v>
      </c>
      <c r="J2145">
        <v>15</v>
      </c>
      <c r="K2145">
        <v>204000</v>
      </c>
      <c r="L2145">
        <v>0</v>
      </c>
      <c r="M2145" t="s">
        <v>47</v>
      </c>
      <c r="N2145" t="str">
        <f>_xlfn.XLOOKUP(B2145,tblCustomers[customer_id],tblCustomers[region],"Missing")</f>
        <v>West</v>
      </c>
      <c r="O2145" t="str">
        <f>_xlfn.XLOOKUP(C2145,tblProducts[product_id],tblProducts[product_name],"Missing")</f>
        <v>Workflow Automate</v>
      </c>
      <c r="P2145" t="str">
        <f>_xlfn.XLOOKUP(C2145,tblProducts[product_id],tblProducts[category],"Missing")</f>
        <v>Automation</v>
      </c>
      <c r="Q2145" t="str">
        <f>_xlfn.XLOOKUP(D2145,tblSalesReps[rep_id],tblSalesReps[rep_name],"Missing")</f>
        <v>Sales Rep 15</v>
      </c>
      <c r="R2145" t="str">
        <f>_xlfn.XLOOKUP(D2145,tblSalesReps[rep_id],tblSalesReps[region],"Missing")</f>
        <v>West</v>
      </c>
    </row>
    <row r="2146" spans="1:18">
      <c r="A2146" t="s">
        <v>2685</v>
      </c>
      <c r="B2146" t="s">
        <v>320</v>
      </c>
      <c r="C2146" t="s">
        <v>39</v>
      </c>
      <c r="D2146" t="s">
        <v>75</v>
      </c>
      <c r="E2146" s="1">
        <v>45817</v>
      </c>
      <c r="F2146" s="1">
        <v>45828</v>
      </c>
      <c r="G2146" s="1"/>
      <c r="H2146" t="s">
        <v>43</v>
      </c>
      <c r="I2146">
        <v>3</v>
      </c>
      <c r="J2146">
        <v>5</v>
      </c>
      <c r="K2146">
        <v>513000</v>
      </c>
      <c r="L2146">
        <v>60</v>
      </c>
      <c r="M2146" t="s">
        <v>29</v>
      </c>
      <c r="N2146" t="str">
        <f>_xlfn.XLOOKUP(B2146,tblCustomers[customer_id],tblCustomers[region],"Missing")</f>
        <v>North</v>
      </c>
      <c r="O2146" t="str">
        <f>_xlfn.XLOOKUP(C2146,tblProducts[product_id],tblProducts[product_name],"Missing")</f>
        <v>Support Desk</v>
      </c>
      <c r="P2146" t="str">
        <f>_xlfn.XLOOKUP(C2146,tblProducts[product_id],tblProducts[category],"Missing")</f>
        <v>Service</v>
      </c>
      <c r="Q2146" t="str">
        <f>_xlfn.XLOOKUP(D2146,tblSalesReps[rep_id],tblSalesReps[rep_name],"Missing")</f>
        <v>Sales Rep 07</v>
      </c>
      <c r="R2146" t="str">
        <f>_xlfn.XLOOKUP(D2146,tblSalesReps[rep_id],tblSalesReps[region],"Missing")</f>
        <v>North</v>
      </c>
    </row>
    <row r="2147" spans="1:18">
      <c r="A2147" t="s">
        <v>2686</v>
      </c>
      <c r="B2147" t="s">
        <v>983</v>
      </c>
      <c r="C2147" t="s">
        <v>15</v>
      </c>
      <c r="D2147" t="s">
        <v>46</v>
      </c>
      <c r="E2147" s="1">
        <v>45879</v>
      </c>
      <c r="F2147" s="1">
        <v>45933</v>
      </c>
      <c r="G2147" s="1">
        <v>45933</v>
      </c>
      <c r="H2147" t="s">
        <v>17</v>
      </c>
      <c r="I2147">
        <v>2</v>
      </c>
      <c r="J2147">
        <v>20</v>
      </c>
      <c r="K2147">
        <v>672000</v>
      </c>
      <c r="L2147">
        <v>0</v>
      </c>
      <c r="M2147" t="s">
        <v>47</v>
      </c>
      <c r="N2147" t="str">
        <f>_xlfn.XLOOKUP(B2147,tblCustomers[customer_id],tblCustomers[region],"Missing")</f>
        <v>South</v>
      </c>
      <c r="O2147" t="str">
        <f>_xlfn.XLOOKUP(C2147,tblProducts[product_id],tblProducts[product_name],"Missing")</f>
        <v>CRM Enterprise</v>
      </c>
      <c r="P2147" t="str">
        <f>_xlfn.XLOOKUP(C2147,tblProducts[product_id],tblProducts[category],"Missing")</f>
        <v>CRM</v>
      </c>
      <c r="Q2147" t="str">
        <f>_xlfn.XLOOKUP(D2147,tblSalesReps[rep_id],tblSalesReps[rep_name],"Missing")</f>
        <v>Sales Rep 01</v>
      </c>
      <c r="R2147" t="str">
        <f>_xlfn.XLOOKUP(D2147,tblSalesReps[rep_id],tblSalesReps[region],"Missing")</f>
        <v>South</v>
      </c>
    </row>
    <row r="2148" spans="1:18">
      <c r="A2148" t="s">
        <v>2687</v>
      </c>
      <c r="B2148" t="s">
        <v>1194</v>
      </c>
      <c r="C2148" t="s">
        <v>62</v>
      </c>
      <c r="D2148" t="s">
        <v>75</v>
      </c>
      <c r="E2148" s="1">
        <v>45898</v>
      </c>
      <c r="F2148" s="1">
        <v>45937</v>
      </c>
      <c r="G2148" s="1">
        <v>45937</v>
      </c>
      <c r="H2148" t="s">
        <v>28</v>
      </c>
      <c r="I2148">
        <v>1</v>
      </c>
      <c r="J2148">
        <v>20</v>
      </c>
      <c r="K2148">
        <v>96000</v>
      </c>
      <c r="L2148">
        <v>100</v>
      </c>
      <c r="M2148" t="s">
        <v>29</v>
      </c>
      <c r="N2148" t="str">
        <f>_xlfn.XLOOKUP(B2148,tblCustomers[customer_id],tblCustomers[region],"Missing")</f>
        <v>North</v>
      </c>
      <c r="O2148" t="str">
        <f>_xlfn.XLOOKUP(C2148,tblProducts[product_id],tblProducts[product_name],"Missing")</f>
        <v>CRM Essentials</v>
      </c>
      <c r="P2148" t="str">
        <f>_xlfn.XLOOKUP(C2148,tblProducts[product_id],tblProducts[category],"Missing")</f>
        <v>CRM</v>
      </c>
      <c r="Q2148" t="str">
        <f>_xlfn.XLOOKUP(D2148,tblSalesReps[rep_id],tblSalesReps[rep_name],"Missing")</f>
        <v>Sales Rep 07</v>
      </c>
      <c r="R2148" t="str">
        <f>_xlfn.XLOOKUP(D2148,tblSalesReps[rep_id],tblSalesReps[region],"Missing")</f>
        <v>North</v>
      </c>
    </row>
    <row r="2149" spans="1:18">
      <c r="A2149" t="s">
        <v>2688</v>
      </c>
      <c r="B2149" t="s">
        <v>1445</v>
      </c>
      <c r="C2149" t="s">
        <v>62</v>
      </c>
      <c r="D2149" t="s">
        <v>36</v>
      </c>
      <c r="E2149" s="1">
        <v>45724</v>
      </c>
      <c r="F2149" s="1">
        <v>45777</v>
      </c>
      <c r="G2149" s="1">
        <v>45777</v>
      </c>
      <c r="H2149" t="s">
        <v>17</v>
      </c>
      <c r="I2149">
        <v>1</v>
      </c>
      <c r="J2149">
        <v>5</v>
      </c>
      <c r="K2149">
        <v>114000</v>
      </c>
      <c r="L2149">
        <v>0</v>
      </c>
      <c r="M2149" t="s">
        <v>33</v>
      </c>
      <c r="N2149" t="str">
        <f>_xlfn.XLOOKUP(B2149,tblCustomers[customer_id],tblCustomers[region],"Missing")</f>
        <v>North</v>
      </c>
      <c r="O2149" t="str">
        <f>_xlfn.XLOOKUP(C2149,tblProducts[product_id],tblProducts[product_name],"Missing")</f>
        <v>CRM Essentials</v>
      </c>
      <c r="P2149" t="str">
        <f>_xlfn.XLOOKUP(C2149,tblProducts[product_id],tblProducts[category],"Missing")</f>
        <v>CRM</v>
      </c>
      <c r="Q2149" t="str">
        <f>_xlfn.XLOOKUP(D2149,tblSalesReps[rep_id],tblSalesReps[rep_name],"Missing")</f>
        <v>Sales Rep 09</v>
      </c>
      <c r="R2149" t="str">
        <f>_xlfn.XLOOKUP(D2149,tblSalesReps[rep_id],tblSalesReps[region],"Missing")</f>
        <v>North</v>
      </c>
    </row>
    <row r="2150" spans="1:18">
      <c r="A2150" t="s">
        <v>2689</v>
      </c>
      <c r="B2150" t="s">
        <v>2656</v>
      </c>
      <c r="C2150" t="s">
        <v>39</v>
      </c>
      <c r="D2150" t="s">
        <v>53</v>
      </c>
      <c r="E2150" s="1">
        <v>45673</v>
      </c>
      <c r="F2150" s="1">
        <v>45703</v>
      </c>
      <c r="G2150" s="1">
        <v>45703</v>
      </c>
      <c r="H2150" t="s">
        <v>17</v>
      </c>
      <c r="I2150">
        <v>1</v>
      </c>
      <c r="J2150">
        <v>0</v>
      </c>
      <c r="K2150">
        <v>180000</v>
      </c>
      <c r="L2150">
        <v>0</v>
      </c>
      <c r="M2150" t="s">
        <v>82</v>
      </c>
      <c r="N2150" t="str">
        <f>_xlfn.XLOOKUP(B2150,tblCustomers[customer_id],tblCustomers[region],"Missing")</f>
        <v>East</v>
      </c>
      <c r="O2150" t="str">
        <f>_xlfn.XLOOKUP(C2150,tblProducts[product_id],tblProducts[product_name],"Missing")</f>
        <v>Support Desk</v>
      </c>
      <c r="P2150" t="str">
        <f>_xlfn.XLOOKUP(C2150,tblProducts[product_id],tblProducts[category],"Missing")</f>
        <v>Service</v>
      </c>
      <c r="Q2150" t="str">
        <f>_xlfn.XLOOKUP(D2150,tblSalesReps[rep_id],tblSalesReps[rep_name],"Missing")</f>
        <v>Sales Rep 16</v>
      </c>
      <c r="R2150" t="str">
        <f>_xlfn.XLOOKUP(D2150,tblSalesReps[rep_id],tblSalesReps[region],"Missing")</f>
        <v>East</v>
      </c>
    </row>
    <row r="2151" spans="1:18">
      <c r="A2151" t="s">
        <v>2690</v>
      </c>
      <c r="B2151" t="s">
        <v>857</v>
      </c>
      <c r="C2151" t="s">
        <v>62</v>
      </c>
      <c r="D2151" t="s">
        <v>53</v>
      </c>
      <c r="E2151" s="1">
        <v>45996</v>
      </c>
      <c r="F2151" s="1">
        <v>46040</v>
      </c>
      <c r="G2151" s="1"/>
      <c r="H2151" t="s">
        <v>43</v>
      </c>
      <c r="I2151">
        <v>1</v>
      </c>
      <c r="J2151">
        <v>20</v>
      </c>
      <c r="K2151">
        <v>96000</v>
      </c>
      <c r="L2151">
        <v>40</v>
      </c>
      <c r="M2151" t="s">
        <v>29</v>
      </c>
      <c r="N2151" t="str">
        <f>_xlfn.XLOOKUP(B2151,tblCustomers[customer_id],tblCustomers[region],"Missing")</f>
        <v>East</v>
      </c>
      <c r="O2151" t="str">
        <f>_xlfn.XLOOKUP(C2151,tblProducts[product_id],tblProducts[product_name],"Missing")</f>
        <v>CRM Essentials</v>
      </c>
      <c r="P2151" t="str">
        <f>_xlfn.XLOOKUP(C2151,tblProducts[product_id],tblProducts[category],"Missing")</f>
        <v>CRM</v>
      </c>
      <c r="Q2151" t="str">
        <f>_xlfn.XLOOKUP(D2151,tblSalesReps[rep_id],tblSalesReps[rep_name],"Missing")</f>
        <v>Sales Rep 16</v>
      </c>
      <c r="R2151" t="str">
        <f>_xlfn.XLOOKUP(D2151,tblSalesReps[rep_id],tblSalesReps[region],"Missing")</f>
        <v>East</v>
      </c>
    </row>
    <row r="2152" spans="1:18">
      <c r="A2152" t="s">
        <v>2691</v>
      </c>
      <c r="B2152" t="s">
        <v>857</v>
      </c>
      <c r="C2152" t="s">
        <v>81</v>
      </c>
      <c r="D2152" t="s">
        <v>56</v>
      </c>
      <c r="E2152" s="1">
        <v>45835</v>
      </c>
      <c r="F2152" s="1">
        <v>45866</v>
      </c>
      <c r="G2152" s="1">
        <v>45866</v>
      </c>
      <c r="H2152" t="s">
        <v>17</v>
      </c>
      <c r="I2152">
        <v>1</v>
      </c>
      <c r="J2152">
        <v>5</v>
      </c>
      <c r="K2152">
        <v>285000</v>
      </c>
      <c r="L2152">
        <v>0</v>
      </c>
      <c r="M2152" t="s">
        <v>18</v>
      </c>
      <c r="N2152" t="str">
        <f>_xlfn.XLOOKUP(B2152,tblCustomers[customer_id],tblCustomers[region],"Missing")</f>
        <v>East</v>
      </c>
      <c r="O2152" t="str">
        <f>_xlfn.XLOOKUP(C2152,tblProducts[product_id],tblProducts[product_name],"Missing")</f>
        <v>Analytics Cloud</v>
      </c>
      <c r="P2152" t="str">
        <f>_xlfn.XLOOKUP(C2152,tblProducts[product_id],tblProducts[category],"Missing")</f>
        <v>Analytics</v>
      </c>
      <c r="Q2152" t="str">
        <f>_xlfn.XLOOKUP(D2152,tblSalesReps[rep_id],tblSalesReps[rep_name],"Missing")</f>
        <v>Sales Rep 20</v>
      </c>
      <c r="R2152" t="str">
        <f>_xlfn.XLOOKUP(D2152,tblSalesReps[rep_id],tblSalesReps[region],"Missing")</f>
        <v>East</v>
      </c>
    </row>
    <row r="2153" spans="1:18">
      <c r="A2153" t="s">
        <v>2692</v>
      </c>
      <c r="B2153" t="s">
        <v>871</v>
      </c>
      <c r="C2153" t="s">
        <v>15</v>
      </c>
      <c r="D2153" t="s">
        <v>36</v>
      </c>
      <c r="E2153" s="1">
        <v>45891</v>
      </c>
      <c r="F2153" s="1">
        <v>45955</v>
      </c>
      <c r="G2153" s="1">
        <v>45955</v>
      </c>
      <c r="H2153" t="s">
        <v>28</v>
      </c>
      <c r="I2153">
        <v>1</v>
      </c>
      <c r="J2153">
        <v>0</v>
      </c>
      <c r="K2153">
        <v>420000</v>
      </c>
      <c r="L2153">
        <v>100</v>
      </c>
      <c r="M2153" t="s">
        <v>29</v>
      </c>
      <c r="N2153" t="str">
        <f>_xlfn.XLOOKUP(B2153,tblCustomers[customer_id],tblCustomers[region],"Missing")</f>
        <v>North</v>
      </c>
      <c r="O2153" t="str">
        <f>_xlfn.XLOOKUP(C2153,tblProducts[product_id],tblProducts[product_name],"Missing")</f>
        <v>CRM Enterprise</v>
      </c>
      <c r="P2153" t="str">
        <f>_xlfn.XLOOKUP(C2153,tblProducts[product_id],tblProducts[category],"Missing")</f>
        <v>CRM</v>
      </c>
      <c r="Q2153" t="str">
        <f>_xlfn.XLOOKUP(D2153,tblSalesReps[rep_id],tblSalesReps[rep_name],"Missing")</f>
        <v>Sales Rep 09</v>
      </c>
      <c r="R2153" t="str">
        <f>_xlfn.XLOOKUP(D2153,tblSalesReps[rep_id],tblSalesReps[region],"Missing")</f>
        <v>North</v>
      </c>
    </row>
    <row r="2154" spans="1:18">
      <c r="A2154" t="s">
        <v>2693</v>
      </c>
      <c r="B2154" t="s">
        <v>196</v>
      </c>
      <c r="C2154" t="s">
        <v>81</v>
      </c>
      <c r="D2154" t="s">
        <v>46</v>
      </c>
      <c r="E2154" s="1">
        <v>45774</v>
      </c>
      <c r="F2154" s="1">
        <v>45805</v>
      </c>
      <c r="G2154" s="1">
        <v>45805</v>
      </c>
      <c r="H2154" t="s">
        <v>17</v>
      </c>
      <c r="I2154">
        <v>3</v>
      </c>
      <c r="J2154">
        <v>5</v>
      </c>
      <c r="K2154">
        <v>855000</v>
      </c>
      <c r="L2154">
        <v>0</v>
      </c>
      <c r="M2154" t="s">
        <v>33</v>
      </c>
      <c r="N2154" t="str">
        <f>_xlfn.XLOOKUP(B2154,tblCustomers[customer_id],tblCustomers[region],"Missing")</f>
        <v>South</v>
      </c>
      <c r="O2154" t="str">
        <f>_xlfn.XLOOKUP(C2154,tblProducts[product_id],tblProducts[product_name],"Missing")</f>
        <v>Analytics Cloud</v>
      </c>
      <c r="P2154" t="str">
        <f>_xlfn.XLOOKUP(C2154,tblProducts[product_id],tblProducts[category],"Missing")</f>
        <v>Analytics</v>
      </c>
      <c r="Q2154" t="str">
        <f>_xlfn.XLOOKUP(D2154,tblSalesReps[rep_id],tblSalesReps[rep_name],"Missing")</f>
        <v>Sales Rep 01</v>
      </c>
      <c r="R2154" t="str">
        <f>_xlfn.XLOOKUP(D2154,tblSalesReps[rep_id],tblSalesReps[region],"Missing")</f>
        <v>South</v>
      </c>
    </row>
    <row r="2155" spans="1:18">
      <c r="A2155" t="s">
        <v>2694</v>
      </c>
      <c r="B2155" t="s">
        <v>878</v>
      </c>
      <c r="C2155" t="s">
        <v>26</v>
      </c>
      <c r="D2155" t="s">
        <v>126</v>
      </c>
      <c r="E2155" s="1">
        <v>46007</v>
      </c>
      <c r="F2155" s="1">
        <v>46081</v>
      </c>
      <c r="G2155" s="1"/>
      <c r="H2155" t="s">
        <v>43</v>
      </c>
      <c r="I2155">
        <v>1</v>
      </c>
      <c r="J2155">
        <v>5</v>
      </c>
      <c r="K2155">
        <v>342000</v>
      </c>
      <c r="L2155">
        <v>40</v>
      </c>
      <c r="M2155" t="s">
        <v>29</v>
      </c>
      <c r="N2155" t="str">
        <f>_xlfn.XLOOKUP(B2155,tblCustomers[customer_id],tblCustomers[region],"Missing")</f>
        <v>South</v>
      </c>
      <c r="O2155" t="str">
        <f>_xlfn.XLOOKUP(C2155,tblProducts[product_id],tblProducts[product_name],"Missing")</f>
        <v>Security Suite</v>
      </c>
      <c r="P2155" t="str">
        <f>_xlfn.XLOOKUP(C2155,tblProducts[product_id],tblProducts[category],"Missing")</f>
        <v>Security</v>
      </c>
      <c r="Q2155" t="str">
        <f>_xlfn.XLOOKUP(D2155,tblSalesReps[rep_id],tblSalesReps[rep_name],"Missing")</f>
        <v>Sales Rep 02</v>
      </c>
      <c r="R2155" t="str">
        <f>_xlfn.XLOOKUP(D2155,tblSalesReps[rep_id],tblSalesReps[region],"Missing")</f>
        <v>South</v>
      </c>
    </row>
    <row r="2156" spans="1:18">
      <c r="A2156" t="s">
        <v>2695</v>
      </c>
      <c r="B2156" t="s">
        <v>857</v>
      </c>
      <c r="C2156" t="s">
        <v>26</v>
      </c>
      <c r="D2156" t="s">
        <v>59</v>
      </c>
      <c r="E2156" s="1">
        <v>45961</v>
      </c>
      <c r="F2156" s="1">
        <v>46020</v>
      </c>
      <c r="G2156" s="1"/>
      <c r="H2156" t="s">
        <v>43</v>
      </c>
      <c r="I2156">
        <v>2</v>
      </c>
      <c r="J2156">
        <v>15</v>
      </c>
      <c r="K2156">
        <v>612000</v>
      </c>
      <c r="L2156">
        <v>20</v>
      </c>
      <c r="M2156" t="s">
        <v>29</v>
      </c>
      <c r="N2156" t="str">
        <f>_xlfn.XLOOKUP(B2156,tblCustomers[customer_id],tblCustomers[region],"Missing")</f>
        <v>East</v>
      </c>
      <c r="O2156" t="str">
        <f>_xlfn.XLOOKUP(C2156,tblProducts[product_id],tblProducts[product_name],"Missing")</f>
        <v>Security Suite</v>
      </c>
      <c r="P2156" t="str">
        <f>_xlfn.XLOOKUP(C2156,tblProducts[product_id],tblProducts[category],"Missing")</f>
        <v>Security</v>
      </c>
      <c r="Q2156" t="str">
        <f>_xlfn.XLOOKUP(D2156,tblSalesReps[rep_id],tblSalesReps[rep_name],"Missing")</f>
        <v>Sales Rep 19</v>
      </c>
      <c r="R2156" t="str">
        <f>_xlfn.XLOOKUP(D2156,tblSalesReps[rep_id],tblSalesReps[region],"Missing")</f>
        <v>East</v>
      </c>
    </row>
    <row r="2157" spans="1:18">
      <c r="A2157" t="s">
        <v>2696</v>
      </c>
      <c r="B2157" t="s">
        <v>35</v>
      </c>
      <c r="C2157" t="s">
        <v>62</v>
      </c>
      <c r="D2157" t="s">
        <v>27</v>
      </c>
      <c r="E2157" s="1">
        <v>46022</v>
      </c>
      <c r="F2157" s="1">
        <v>46085</v>
      </c>
      <c r="G2157" s="1"/>
      <c r="H2157" t="s">
        <v>43</v>
      </c>
      <c r="I2157">
        <v>1</v>
      </c>
      <c r="J2157">
        <v>5</v>
      </c>
      <c r="K2157">
        <v>114000</v>
      </c>
      <c r="L2157">
        <v>60</v>
      </c>
      <c r="M2157" t="s">
        <v>29</v>
      </c>
      <c r="N2157" t="str">
        <f>_xlfn.XLOOKUP(B2157,tblCustomers[customer_id],tblCustomers[region],"Missing")</f>
        <v>North</v>
      </c>
      <c r="O2157" t="str">
        <f>_xlfn.XLOOKUP(C2157,tblProducts[product_id],tblProducts[product_name],"Missing")</f>
        <v>CRM Essentials</v>
      </c>
      <c r="P2157" t="str">
        <f>_xlfn.XLOOKUP(C2157,tblProducts[product_id],tblProducts[category],"Missing")</f>
        <v>CRM</v>
      </c>
      <c r="Q2157" t="str">
        <f>_xlfn.XLOOKUP(D2157,tblSalesReps[rep_id],tblSalesReps[rep_name],"Missing")</f>
        <v>Sales Rep 06</v>
      </c>
      <c r="R2157" t="str">
        <f>_xlfn.XLOOKUP(D2157,tblSalesReps[rep_id],tblSalesReps[region],"Missing")</f>
        <v>North</v>
      </c>
    </row>
    <row r="2158" spans="1:18">
      <c r="A2158" t="s">
        <v>2697</v>
      </c>
      <c r="B2158" t="s">
        <v>374</v>
      </c>
      <c r="C2158" t="s">
        <v>39</v>
      </c>
      <c r="D2158" t="s">
        <v>32</v>
      </c>
      <c r="E2158" s="1">
        <v>45728</v>
      </c>
      <c r="F2158" s="1">
        <v>45760</v>
      </c>
      <c r="G2158" s="1">
        <v>45760</v>
      </c>
      <c r="H2158" t="s">
        <v>17</v>
      </c>
      <c r="I2158">
        <v>3</v>
      </c>
      <c r="J2158">
        <v>20</v>
      </c>
      <c r="K2158">
        <v>432000</v>
      </c>
      <c r="L2158">
        <v>0</v>
      </c>
      <c r="M2158" t="s">
        <v>18</v>
      </c>
      <c r="N2158" t="str">
        <f>_xlfn.XLOOKUP(B2158,tblCustomers[customer_id],tblCustomers[region],"Missing")</f>
        <v>South</v>
      </c>
      <c r="O2158" t="str">
        <f>_xlfn.XLOOKUP(C2158,tblProducts[product_id],tblProducts[product_name],"Missing")</f>
        <v>Support Desk</v>
      </c>
      <c r="P2158" t="str">
        <f>_xlfn.XLOOKUP(C2158,tblProducts[product_id],tblProducts[category],"Missing")</f>
        <v>Service</v>
      </c>
      <c r="Q2158" t="str">
        <f>_xlfn.XLOOKUP(D2158,tblSalesReps[rep_id],tblSalesReps[rep_name],"Missing")</f>
        <v>Sales Rep 04</v>
      </c>
      <c r="R2158" t="str">
        <f>_xlfn.XLOOKUP(D2158,tblSalesReps[rep_id],tblSalesReps[region],"Missing")</f>
        <v>South</v>
      </c>
    </row>
    <row r="2159" spans="1:18">
      <c r="A2159" t="s">
        <v>2698</v>
      </c>
      <c r="B2159" t="s">
        <v>2699</v>
      </c>
      <c r="C2159" t="s">
        <v>62</v>
      </c>
      <c r="D2159" t="s">
        <v>46</v>
      </c>
      <c r="E2159" s="1">
        <v>45673</v>
      </c>
      <c r="F2159" s="1">
        <v>45712</v>
      </c>
      <c r="G2159" s="1">
        <v>45712</v>
      </c>
      <c r="H2159" t="s">
        <v>28</v>
      </c>
      <c r="I2159">
        <v>1</v>
      </c>
      <c r="J2159">
        <v>20</v>
      </c>
      <c r="K2159">
        <v>96000</v>
      </c>
      <c r="L2159">
        <v>100</v>
      </c>
      <c r="M2159" t="s">
        <v>29</v>
      </c>
      <c r="N2159" t="str">
        <f>_xlfn.XLOOKUP(B2159,tblCustomers[customer_id],tblCustomers[region],"Missing")</f>
        <v>South</v>
      </c>
      <c r="O2159" t="str">
        <f>_xlfn.XLOOKUP(C2159,tblProducts[product_id],tblProducts[product_name],"Missing")</f>
        <v>CRM Essentials</v>
      </c>
      <c r="P2159" t="str">
        <f>_xlfn.XLOOKUP(C2159,tblProducts[product_id],tblProducts[category],"Missing")</f>
        <v>CRM</v>
      </c>
      <c r="Q2159" t="str">
        <f>_xlfn.XLOOKUP(D2159,tblSalesReps[rep_id],tblSalesReps[rep_name],"Missing")</f>
        <v>Sales Rep 01</v>
      </c>
      <c r="R2159" t="str">
        <f>_xlfn.XLOOKUP(D2159,tblSalesReps[rep_id],tblSalesReps[region],"Missing")</f>
        <v>South</v>
      </c>
    </row>
    <row r="2160" spans="1:18">
      <c r="A2160" t="s">
        <v>2700</v>
      </c>
      <c r="B2160" t="s">
        <v>292</v>
      </c>
      <c r="C2160" t="s">
        <v>26</v>
      </c>
      <c r="D2160" t="s">
        <v>36</v>
      </c>
      <c r="E2160" s="1">
        <v>45885</v>
      </c>
      <c r="F2160" s="1">
        <v>45893</v>
      </c>
      <c r="G2160" s="1">
        <v>45893</v>
      </c>
      <c r="H2160" t="s">
        <v>28</v>
      </c>
      <c r="I2160">
        <v>3</v>
      </c>
      <c r="J2160">
        <v>0</v>
      </c>
      <c r="K2160">
        <v>1080000</v>
      </c>
      <c r="L2160">
        <v>100</v>
      </c>
      <c r="M2160" t="s">
        <v>29</v>
      </c>
      <c r="N2160" t="str">
        <f>_xlfn.XLOOKUP(B2160,tblCustomers[customer_id],tblCustomers[region],"Missing")</f>
        <v>North</v>
      </c>
      <c r="O2160" t="str">
        <f>_xlfn.XLOOKUP(C2160,tblProducts[product_id],tblProducts[product_name],"Missing")</f>
        <v>Security Suite</v>
      </c>
      <c r="P2160" t="str">
        <f>_xlfn.XLOOKUP(C2160,tblProducts[product_id],tblProducts[category],"Missing")</f>
        <v>Security</v>
      </c>
      <c r="Q2160" t="str">
        <f>_xlfn.XLOOKUP(D2160,tblSalesReps[rep_id],tblSalesReps[rep_name],"Missing")</f>
        <v>Sales Rep 09</v>
      </c>
      <c r="R2160" t="str">
        <f>_xlfn.XLOOKUP(D2160,tblSalesReps[rep_id],tblSalesReps[region],"Missing")</f>
        <v>North</v>
      </c>
    </row>
    <row r="2161" spans="1:18">
      <c r="A2161" t="s">
        <v>2701</v>
      </c>
      <c r="B2161" t="s">
        <v>547</v>
      </c>
      <c r="C2161" t="s">
        <v>21</v>
      </c>
      <c r="D2161" t="s">
        <v>168</v>
      </c>
      <c r="E2161" s="1">
        <v>45975</v>
      </c>
      <c r="F2161" s="1">
        <v>46048</v>
      </c>
      <c r="G2161" s="1"/>
      <c r="H2161" t="s">
        <v>43</v>
      </c>
      <c r="I2161">
        <v>1</v>
      </c>
      <c r="J2161">
        <v>0</v>
      </c>
      <c r="K2161">
        <v>240000</v>
      </c>
      <c r="L2161">
        <v>60</v>
      </c>
      <c r="M2161" t="s">
        <v>29</v>
      </c>
      <c r="N2161" t="str">
        <f>_xlfn.XLOOKUP(B2161,tblCustomers[customer_id],tblCustomers[region],"Missing")</f>
        <v>East</v>
      </c>
      <c r="O2161" t="str">
        <f>_xlfn.XLOOKUP(C2161,tblProducts[product_id],tblProducts[product_name],"Missing")</f>
        <v>Workflow Automate</v>
      </c>
      <c r="P2161" t="str">
        <f>_xlfn.XLOOKUP(C2161,tblProducts[product_id],tblProducts[category],"Missing")</f>
        <v>Automation</v>
      </c>
      <c r="Q2161" t="str">
        <f>_xlfn.XLOOKUP(D2161,tblSalesReps[rep_id],tblSalesReps[rep_name],"Missing")</f>
        <v>Sales Rep 17</v>
      </c>
      <c r="R2161" t="str">
        <f>_xlfn.XLOOKUP(D2161,tblSalesReps[rep_id],tblSalesReps[region],"Missing")</f>
        <v>East</v>
      </c>
    </row>
    <row r="2162" spans="1:18">
      <c r="A2162" t="s">
        <v>2702</v>
      </c>
      <c r="B2162" t="s">
        <v>279</v>
      </c>
      <c r="C2162" t="s">
        <v>62</v>
      </c>
      <c r="D2162" t="s">
        <v>78</v>
      </c>
      <c r="E2162" s="1">
        <v>45992</v>
      </c>
      <c r="F2162" s="1">
        <v>46031</v>
      </c>
      <c r="G2162" s="1"/>
      <c r="H2162" t="s">
        <v>43</v>
      </c>
      <c r="I2162">
        <v>1</v>
      </c>
      <c r="J2162">
        <v>5</v>
      </c>
      <c r="K2162">
        <v>114000</v>
      </c>
      <c r="L2162">
        <v>60</v>
      </c>
      <c r="M2162" t="s">
        <v>29</v>
      </c>
      <c r="N2162" t="str">
        <f>_xlfn.XLOOKUP(B2162,tblCustomers[customer_id],tblCustomers[region],"Missing")</f>
        <v>West</v>
      </c>
      <c r="O2162" t="str">
        <f>_xlfn.XLOOKUP(C2162,tblProducts[product_id],tblProducts[product_name],"Missing")</f>
        <v>CRM Essentials</v>
      </c>
      <c r="P2162" t="str">
        <f>_xlfn.XLOOKUP(C2162,tblProducts[product_id],tblProducts[category],"Missing")</f>
        <v>CRM</v>
      </c>
      <c r="Q2162" t="str">
        <f>_xlfn.XLOOKUP(D2162,tblSalesReps[rep_id],tblSalesReps[rep_name],"Missing")</f>
        <v>Sales Rep 12</v>
      </c>
      <c r="R2162" t="str">
        <f>_xlfn.XLOOKUP(D2162,tblSalesReps[rep_id],tblSalesReps[region],"Missing")</f>
        <v>West</v>
      </c>
    </row>
    <row r="2163" spans="1:18">
      <c r="A2163" t="s">
        <v>2703</v>
      </c>
      <c r="B2163" t="s">
        <v>443</v>
      </c>
      <c r="C2163" t="s">
        <v>21</v>
      </c>
      <c r="D2163" t="s">
        <v>78</v>
      </c>
      <c r="E2163" s="1">
        <v>45856</v>
      </c>
      <c r="F2163" s="1">
        <v>45905</v>
      </c>
      <c r="G2163" s="1"/>
      <c r="H2163" t="s">
        <v>43</v>
      </c>
      <c r="I2163">
        <v>3</v>
      </c>
      <c r="J2163">
        <v>15</v>
      </c>
      <c r="K2163">
        <v>612000</v>
      </c>
      <c r="L2163">
        <v>60</v>
      </c>
      <c r="M2163" t="s">
        <v>29</v>
      </c>
      <c r="N2163" t="str">
        <f>_xlfn.XLOOKUP(B2163,tblCustomers[customer_id],tblCustomers[region],"Missing")</f>
        <v>West</v>
      </c>
      <c r="O2163" t="str">
        <f>_xlfn.XLOOKUP(C2163,tblProducts[product_id],tblProducts[product_name],"Missing")</f>
        <v>Workflow Automate</v>
      </c>
      <c r="P2163" t="str">
        <f>_xlfn.XLOOKUP(C2163,tblProducts[product_id],tblProducts[category],"Missing")</f>
        <v>Automation</v>
      </c>
      <c r="Q2163" t="str">
        <f>_xlfn.XLOOKUP(D2163,tblSalesReps[rep_id],tblSalesReps[rep_name],"Missing")</f>
        <v>Sales Rep 12</v>
      </c>
      <c r="R2163" t="str">
        <f>_xlfn.XLOOKUP(D2163,tblSalesReps[rep_id],tblSalesReps[region],"Missing")</f>
        <v>West</v>
      </c>
    </row>
    <row r="2164" spans="1:18">
      <c r="A2164" t="s">
        <v>2704</v>
      </c>
      <c r="B2164" t="s">
        <v>1162</v>
      </c>
      <c r="C2164" t="s">
        <v>62</v>
      </c>
      <c r="D2164" t="s">
        <v>16</v>
      </c>
      <c r="E2164" s="1">
        <v>45658</v>
      </c>
      <c r="F2164" s="1">
        <v>45726</v>
      </c>
      <c r="G2164" s="1">
        <v>45726</v>
      </c>
      <c r="H2164" t="s">
        <v>17</v>
      </c>
      <c r="I2164">
        <v>1</v>
      </c>
      <c r="J2164">
        <v>5</v>
      </c>
      <c r="K2164">
        <v>114000</v>
      </c>
      <c r="L2164">
        <v>0</v>
      </c>
      <c r="M2164" t="s">
        <v>82</v>
      </c>
      <c r="N2164" t="str">
        <f>_xlfn.XLOOKUP(B2164,tblCustomers[customer_id],tblCustomers[region],"Missing")</f>
        <v>North</v>
      </c>
      <c r="O2164" t="str">
        <f>_xlfn.XLOOKUP(C2164,tblProducts[product_id],tblProducts[product_name],"Missing")</f>
        <v>CRM Essentials</v>
      </c>
      <c r="P2164" t="str">
        <f>_xlfn.XLOOKUP(C2164,tblProducts[product_id],tblProducts[category],"Missing")</f>
        <v>CRM</v>
      </c>
      <c r="Q2164" t="str">
        <f>_xlfn.XLOOKUP(D2164,tblSalesReps[rep_id],tblSalesReps[rep_name],"Missing")</f>
        <v>Sales Rep 08</v>
      </c>
      <c r="R2164" t="str">
        <f>_xlfn.XLOOKUP(D2164,tblSalesReps[rep_id],tblSalesReps[region],"Missing")</f>
        <v>North</v>
      </c>
    </row>
    <row r="2165" spans="1:18">
      <c r="A2165" t="s">
        <v>2705</v>
      </c>
      <c r="B2165" t="s">
        <v>179</v>
      </c>
      <c r="C2165" t="s">
        <v>39</v>
      </c>
      <c r="D2165" t="s">
        <v>59</v>
      </c>
      <c r="E2165" s="1">
        <v>46000</v>
      </c>
      <c r="F2165" s="1">
        <v>46026</v>
      </c>
      <c r="G2165" s="1"/>
      <c r="H2165" t="s">
        <v>43</v>
      </c>
      <c r="I2165">
        <v>1</v>
      </c>
      <c r="J2165">
        <v>15</v>
      </c>
      <c r="K2165">
        <v>153000</v>
      </c>
      <c r="L2165">
        <v>20</v>
      </c>
      <c r="M2165" t="s">
        <v>29</v>
      </c>
      <c r="N2165" t="str">
        <f>_xlfn.XLOOKUP(B2165,tblCustomers[customer_id],tblCustomers[region],"Missing")</f>
        <v>East</v>
      </c>
      <c r="O2165" t="str">
        <f>_xlfn.XLOOKUP(C2165,tblProducts[product_id],tblProducts[product_name],"Missing")</f>
        <v>Support Desk</v>
      </c>
      <c r="P2165" t="str">
        <f>_xlfn.XLOOKUP(C2165,tblProducts[product_id],tblProducts[category],"Missing")</f>
        <v>Service</v>
      </c>
      <c r="Q2165" t="str">
        <f>_xlfn.XLOOKUP(D2165,tblSalesReps[rep_id],tblSalesReps[rep_name],"Missing")</f>
        <v>Sales Rep 19</v>
      </c>
      <c r="R2165" t="str">
        <f>_xlfn.XLOOKUP(D2165,tblSalesReps[rep_id],tblSalesReps[region],"Missing")</f>
        <v>East</v>
      </c>
    </row>
    <row r="2166" spans="1:18">
      <c r="A2166" t="s">
        <v>2706</v>
      </c>
      <c r="B2166" t="s">
        <v>1370</v>
      </c>
      <c r="C2166" t="s">
        <v>15</v>
      </c>
      <c r="D2166" t="s">
        <v>78</v>
      </c>
      <c r="E2166" s="1">
        <v>45836</v>
      </c>
      <c r="F2166" s="1">
        <v>45892</v>
      </c>
      <c r="G2166" s="1"/>
      <c r="H2166" t="s">
        <v>43</v>
      </c>
      <c r="I2166">
        <v>3</v>
      </c>
      <c r="J2166">
        <v>10</v>
      </c>
      <c r="K2166">
        <v>1134000</v>
      </c>
      <c r="L2166">
        <v>40</v>
      </c>
      <c r="M2166" t="s">
        <v>29</v>
      </c>
      <c r="N2166" t="str">
        <f>_xlfn.XLOOKUP(B2166,tblCustomers[customer_id],tblCustomers[region],"Missing")</f>
        <v>West</v>
      </c>
      <c r="O2166" t="str">
        <f>_xlfn.XLOOKUP(C2166,tblProducts[product_id],tblProducts[product_name],"Missing")</f>
        <v>CRM Enterprise</v>
      </c>
      <c r="P2166" t="str">
        <f>_xlfn.XLOOKUP(C2166,tblProducts[product_id],tblProducts[category],"Missing")</f>
        <v>CRM</v>
      </c>
      <c r="Q2166" t="str">
        <f>_xlfn.XLOOKUP(D2166,tblSalesReps[rep_id],tblSalesReps[rep_name],"Missing")</f>
        <v>Sales Rep 12</v>
      </c>
      <c r="R2166" t="str">
        <f>_xlfn.XLOOKUP(D2166,tblSalesReps[rep_id],tblSalesReps[region],"Missing")</f>
        <v>West</v>
      </c>
    </row>
    <row r="2167" spans="1:18">
      <c r="A2167" t="s">
        <v>2707</v>
      </c>
      <c r="B2167" t="s">
        <v>412</v>
      </c>
      <c r="C2167" t="s">
        <v>62</v>
      </c>
      <c r="D2167" t="s">
        <v>46</v>
      </c>
      <c r="E2167" s="1">
        <v>45996</v>
      </c>
      <c r="F2167" s="1">
        <v>46069</v>
      </c>
      <c r="G2167" s="1"/>
      <c r="H2167" t="s">
        <v>43</v>
      </c>
      <c r="I2167">
        <v>1</v>
      </c>
      <c r="J2167">
        <v>20</v>
      </c>
      <c r="K2167">
        <v>96000</v>
      </c>
      <c r="L2167">
        <v>60</v>
      </c>
      <c r="M2167" t="s">
        <v>29</v>
      </c>
      <c r="N2167" t="str">
        <f>_xlfn.XLOOKUP(B2167,tblCustomers[customer_id],tblCustomers[region],"Missing")</f>
        <v>South</v>
      </c>
      <c r="O2167" t="str">
        <f>_xlfn.XLOOKUP(C2167,tblProducts[product_id],tblProducts[product_name],"Missing")</f>
        <v>CRM Essentials</v>
      </c>
      <c r="P2167" t="str">
        <f>_xlfn.XLOOKUP(C2167,tblProducts[product_id],tblProducts[category],"Missing")</f>
        <v>CRM</v>
      </c>
      <c r="Q2167" t="str">
        <f>_xlfn.XLOOKUP(D2167,tblSalesReps[rep_id],tblSalesReps[rep_name],"Missing")</f>
        <v>Sales Rep 01</v>
      </c>
      <c r="R2167" t="str">
        <f>_xlfn.XLOOKUP(D2167,tblSalesReps[rep_id],tblSalesReps[region],"Missing")</f>
        <v>South</v>
      </c>
    </row>
    <row r="2168" spans="1:18">
      <c r="A2168" t="s">
        <v>2708</v>
      </c>
      <c r="B2168" t="s">
        <v>549</v>
      </c>
      <c r="C2168" t="s">
        <v>39</v>
      </c>
      <c r="D2168" t="s">
        <v>78</v>
      </c>
      <c r="E2168" s="1">
        <v>45994</v>
      </c>
      <c r="F2168" s="1">
        <v>46031</v>
      </c>
      <c r="G2168" s="1"/>
      <c r="H2168" t="s">
        <v>43</v>
      </c>
      <c r="I2168">
        <v>1</v>
      </c>
      <c r="J2168">
        <v>20</v>
      </c>
      <c r="K2168">
        <v>144000</v>
      </c>
      <c r="L2168">
        <v>80</v>
      </c>
      <c r="M2168" t="s">
        <v>29</v>
      </c>
      <c r="N2168" t="str">
        <f>_xlfn.XLOOKUP(B2168,tblCustomers[customer_id],tblCustomers[region],"Missing")</f>
        <v>West</v>
      </c>
      <c r="O2168" t="str">
        <f>_xlfn.XLOOKUP(C2168,tblProducts[product_id],tblProducts[product_name],"Missing")</f>
        <v>Support Desk</v>
      </c>
      <c r="P2168" t="str">
        <f>_xlfn.XLOOKUP(C2168,tblProducts[product_id],tblProducts[category],"Missing")</f>
        <v>Service</v>
      </c>
      <c r="Q2168" t="str">
        <f>_xlfn.XLOOKUP(D2168,tblSalesReps[rep_id],tblSalesReps[rep_name],"Missing")</f>
        <v>Sales Rep 12</v>
      </c>
      <c r="R2168" t="str">
        <f>_xlfn.XLOOKUP(D2168,tblSalesReps[rep_id],tblSalesReps[region],"Missing")</f>
        <v>West</v>
      </c>
    </row>
    <row r="2169" spans="1:18">
      <c r="A2169" t="s">
        <v>2709</v>
      </c>
      <c r="B2169" t="s">
        <v>118</v>
      </c>
      <c r="C2169" t="s">
        <v>21</v>
      </c>
      <c r="D2169" t="s">
        <v>27</v>
      </c>
      <c r="E2169" s="1">
        <v>45980</v>
      </c>
      <c r="F2169" s="1">
        <v>46030</v>
      </c>
      <c r="G2169" s="1"/>
      <c r="H2169" t="s">
        <v>43</v>
      </c>
      <c r="I2169">
        <v>2</v>
      </c>
      <c r="J2169">
        <v>15</v>
      </c>
      <c r="K2169">
        <v>408000</v>
      </c>
      <c r="L2169">
        <v>40</v>
      </c>
      <c r="M2169" t="s">
        <v>29</v>
      </c>
      <c r="N2169" t="str">
        <f>_xlfn.XLOOKUP(B2169,tblCustomers[customer_id],tblCustomers[region],"Missing")</f>
        <v>North</v>
      </c>
      <c r="O2169" t="str">
        <f>_xlfn.XLOOKUP(C2169,tblProducts[product_id],tblProducts[product_name],"Missing")</f>
        <v>Workflow Automate</v>
      </c>
      <c r="P2169" t="str">
        <f>_xlfn.XLOOKUP(C2169,tblProducts[product_id],tblProducts[category],"Missing")</f>
        <v>Automation</v>
      </c>
      <c r="Q2169" t="str">
        <f>_xlfn.XLOOKUP(D2169,tblSalesReps[rep_id],tblSalesReps[rep_name],"Missing")</f>
        <v>Sales Rep 06</v>
      </c>
      <c r="R2169" t="str">
        <f>_xlfn.XLOOKUP(D2169,tblSalesReps[rep_id],tblSalesReps[region],"Missing")</f>
        <v>North</v>
      </c>
    </row>
    <row r="2170" spans="1:18">
      <c r="A2170" t="s">
        <v>2710</v>
      </c>
      <c r="B2170" t="s">
        <v>2017</v>
      </c>
      <c r="C2170" t="s">
        <v>62</v>
      </c>
      <c r="D2170" t="s">
        <v>70</v>
      </c>
      <c r="E2170" s="1">
        <v>45841</v>
      </c>
      <c r="F2170" s="1">
        <v>45897</v>
      </c>
      <c r="G2170" s="1">
        <v>45897</v>
      </c>
      <c r="H2170" t="s">
        <v>17</v>
      </c>
      <c r="I2170">
        <v>1</v>
      </c>
      <c r="J2170">
        <v>0</v>
      </c>
      <c r="K2170">
        <v>120000</v>
      </c>
      <c r="L2170">
        <v>0</v>
      </c>
      <c r="M2170" t="s">
        <v>33</v>
      </c>
      <c r="N2170" t="str">
        <f>_xlfn.XLOOKUP(B2170,tblCustomers[customer_id],tblCustomers[region],"Missing")</f>
        <v>West</v>
      </c>
      <c r="O2170" t="str">
        <f>_xlfn.XLOOKUP(C2170,tblProducts[product_id],tblProducts[product_name],"Missing")</f>
        <v>CRM Essentials</v>
      </c>
      <c r="P2170" t="str">
        <f>_xlfn.XLOOKUP(C2170,tblProducts[product_id],tblProducts[category],"Missing")</f>
        <v>CRM</v>
      </c>
      <c r="Q2170" t="str">
        <f>_xlfn.XLOOKUP(D2170,tblSalesReps[rep_id],tblSalesReps[rep_name],"Missing")</f>
        <v>Sales Rep 11</v>
      </c>
      <c r="R2170" t="str">
        <f>_xlfn.XLOOKUP(D2170,tblSalesReps[rep_id],tblSalesReps[region],"Missing")</f>
        <v>West</v>
      </c>
    </row>
    <row r="2171" spans="1:18">
      <c r="A2171" t="s">
        <v>2711</v>
      </c>
      <c r="B2171" t="s">
        <v>296</v>
      </c>
      <c r="C2171" t="s">
        <v>26</v>
      </c>
      <c r="D2171" t="s">
        <v>126</v>
      </c>
      <c r="E2171" s="1">
        <v>45967</v>
      </c>
      <c r="F2171" s="1">
        <v>45994</v>
      </c>
      <c r="G2171" s="1">
        <v>45994</v>
      </c>
      <c r="H2171" t="s">
        <v>17</v>
      </c>
      <c r="I2171">
        <v>2</v>
      </c>
      <c r="J2171">
        <v>5</v>
      </c>
      <c r="K2171">
        <v>684000</v>
      </c>
      <c r="L2171">
        <v>0</v>
      </c>
      <c r="M2171" t="s">
        <v>33</v>
      </c>
      <c r="N2171" t="str">
        <f>_xlfn.XLOOKUP(B2171,tblCustomers[customer_id],tblCustomers[region],"Missing")</f>
        <v>South</v>
      </c>
      <c r="O2171" t="str">
        <f>_xlfn.XLOOKUP(C2171,tblProducts[product_id],tblProducts[product_name],"Missing")</f>
        <v>Security Suite</v>
      </c>
      <c r="P2171" t="str">
        <f>_xlfn.XLOOKUP(C2171,tblProducts[product_id],tblProducts[category],"Missing")</f>
        <v>Security</v>
      </c>
      <c r="Q2171" t="str">
        <f>_xlfn.XLOOKUP(D2171,tblSalesReps[rep_id],tblSalesReps[rep_name],"Missing")</f>
        <v>Sales Rep 02</v>
      </c>
      <c r="R2171" t="str">
        <f>_xlfn.XLOOKUP(D2171,tblSalesReps[rep_id],tblSalesReps[region],"Missing")</f>
        <v>South</v>
      </c>
    </row>
    <row r="2172" spans="1:18">
      <c r="A2172" t="s">
        <v>2712</v>
      </c>
      <c r="B2172" t="s">
        <v>234</v>
      </c>
      <c r="C2172" t="s">
        <v>15</v>
      </c>
      <c r="D2172" t="s">
        <v>50</v>
      </c>
      <c r="E2172" s="1">
        <v>45967</v>
      </c>
      <c r="F2172" s="1">
        <v>46050</v>
      </c>
      <c r="G2172" s="1"/>
      <c r="H2172" t="s">
        <v>43</v>
      </c>
      <c r="I2172">
        <v>1</v>
      </c>
      <c r="J2172">
        <v>10</v>
      </c>
      <c r="K2172">
        <v>378000</v>
      </c>
      <c r="L2172">
        <v>60</v>
      </c>
      <c r="M2172" t="s">
        <v>29</v>
      </c>
      <c r="N2172" t="str">
        <f>_xlfn.XLOOKUP(B2172,tblCustomers[customer_id],tblCustomers[region],"Missing")</f>
        <v>West</v>
      </c>
      <c r="O2172" t="str">
        <f>_xlfn.XLOOKUP(C2172,tblProducts[product_id],tblProducts[product_name],"Missing")</f>
        <v>CRM Enterprise</v>
      </c>
      <c r="P2172" t="str">
        <f>_xlfn.XLOOKUP(C2172,tblProducts[product_id],tblProducts[category],"Missing")</f>
        <v>CRM</v>
      </c>
      <c r="Q2172" t="str">
        <f>_xlfn.XLOOKUP(D2172,tblSalesReps[rep_id],tblSalesReps[rep_name],"Missing")</f>
        <v>Sales Rep 15</v>
      </c>
      <c r="R2172" t="str">
        <f>_xlfn.XLOOKUP(D2172,tblSalesReps[rep_id],tblSalesReps[region],"Missing")</f>
        <v>West</v>
      </c>
    </row>
    <row r="2173" spans="1:18">
      <c r="A2173" t="s">
        <v>2713</v>
      </c>
      <c r="B2173" t="s">
        <v>2270</v>
      </c>
      <c r="C2173" t="s">
        <v>62</v>
      </c>
      <c r="D2173" t="s">
        <v>126</v>
      </c>
      <c r="E2173" s="1">
        <v>45723</v>
      </c>
      <c r="F2173" s="1">
        <v>45803</v>
      </c>
      <c r="G2173" s="1">
        <v>45803</v>
      </c>
      <c r="H2173" t="s">
        <v>17</v>
      </c>
      <c r="I2173">
        <v>1</v>
      </c>
      <c r="J2173">
        <v>15</v>
      </c>
      <c r="K2173">
        <v>102000</v>
      </c>
      <c r="L2173">
        <v>0</v>
      </c>
      <c r="M2173" t="s">
        <v>82</v>
      </c>
      <c r="N2173" t="str">
        <f>_xlfn.XLOOKUP(B2173,tblCustomers[customer_id],tblCustomers[region],"Missing")</f>
        <v>South</v>
      </c>
      <c r="O2173" t="str">
        <f>_xlfn.XLOOKUP(C2173,tblProducts[product_id],tblProducts[product_name],"Missing")</f>
        <v>CRM Essentials</v>
      </c>
      <c r="P2173" t="str">
        <f>_xlfn.XLOOKUP(C2173,tblProducts[product_id],tblProducts[category],"Missing")</f>
        <v>CRM</v>
      </c>
      <c r="Q2173" t="str">
        <f>_xlfn.XLOOKUP(D2173,tblSalesReps[rep_id],tblSalesReps[rep_name],"Missing")</f>
        <v>Sales Rep 02</v>
      </c>
      <c r="R2173" t="str">
        <f>_xlfn.XLOOKUP(D2173,tblSalesReps[rep_id],tblSalesReps[region],"Missing")</f>
        <v>South</v>
      </c>
    </row>
    <row r="2174" spans="1:18">
      <c r="A2174" t="s">
        <v>2714</v>
      </c>
      <c r="B2174" t="s">
        <v>414</v>
      </c>
      <c r="C2174" t="s">
        <v>62</v>
      </c>
      <c r="D2174" t="s">
        <v>152</v>
      </c>
      <c r="E2174" s="1">
        <v>45913</v>
      </c>
      <c r="F2174" s="1">
        <v>45937</v>
      </c>
      <c r="G2174" s="1">
        <v>45937</v>
      </c>
      <c r="H2174" t="s">
        <v>17</v>
      </c>
      <c r="I2174">
        <v>3</v>
      </c>
      <c r="J2174">
        <v>0</v>
      </c>
      <c r="K2174">
        <v>360000</v>
      </c>
      <c r="L2174">
        <v>0</v>
      </c>
      <c r="M2174" t="s">
        <v>47</v>
      </c>
      <c r="N2174" t="str">
        <f>_xlfn.XLOOKUP(B2174,tblCustomers[customer_id],tblCustomers[region],"Missing")</f>
        <v>East</v>
      </c>
      <c r="O2174" t="str">
        <f>_xlfn.XLOOKUP(C2174,tblProducts[product_id],tblProducts[product_name],"Missing")</f>
        <v>CRM Essentials</v>
      </c>
      <c r="P2174" t="str">
        <f>_xlfn.XLOOKUP(C2174,tblProducts[product_id],tblProducts[category],"Missing")</f>
        <v>CRM</v>
      </c>
      <c r="Q2174" t="str">
        <f>_xlfn.XLOOKUP(D2174,tblSalesReps[rep_id],tblSalesReps[rep_name],"Missing")</f>
        <v>Sales Rep 18</v>
      </c>
      <c r="R2174" t="str">
        <f>_xlfn.XLOOKUP(D2174,tblSalesReps[rep_id],tblSalesReps[region],"Missing")</f>
        <v>East</v>
      </c>
    </row>
    <row r="2175" spans="1:18">
      <c r="A2175" t="s">
        <v>2715</v>
      </c>
      <c r="B2175" t="s">
        <v>360</v>
      </c>
      <c r="C2175" t="s">
        <v>15</v>
      </c>
      <c r="D2175" t="s">
        <v>40</v>
      </c>
      <c r="E2175" s="1">
        <v>45843</v>
      </c>
      <c r="F2175" s="1">
        <v>45919</v>
      </c>
      <c r="G2175" s="1"/>
      <c r="H2175" t="s">
        <v>43</v>
      </c>
      <c r="I2175">
        <v>1</v>
      </c>
      <c r="J2175">
        <v>20</v>
      </c>
      <c r="K2175">
        <v>336000</v>
      </c>
      <c r="L2175">
        <v>80</v>
      </c>
      <c r="M2175" t="s">
        <v>29</v>
      </c>
      <c r="N2175" t="str">
        <f>_xlfn.XLOOKUP(B2175,tblCustomers[customer_id],tblCustomers[region],"Missing")</f>
        <v>West</v>
      </c>
      <c r="O2175" t="str">
        <f>_xlfn.XLOOKUP(C2175,tblProducts[product_id],tblProducts[product_name],"Missing")</f>
        <v>CRM Enterprise</v>
      </c>
      <c r="P2175" t="str">
        <f>_xlfn.XLOOKUP(C2175,tblProducts[product_id],tblProducts[category],"Missing")</f>
        <v>CRM</v>
      </c>
      <c r="Q2175" t="str">
        <f>_xlfn.XLOOKUP(D2175,tblSalesReps[rep_id],tblSalesReps[rep_name],"Missing")</f>
        <v>Sales Rep 13</v>
      </c>
      <c r="R2175" t="str">
        <f>_xlfn.XLOOKUP(D2175,tblSalesReps[rep_id],tblSalesReps[region],"Missing")</f>
        <v>West</v>
      </c>
    </row>
    <row r="2176" spans="1:18">
      <c r="A2176" t="s">
        <v>2716</v>
      </c>
      <c r="B2176" t="s">
        <v>160</v>
      </c>
      <c r="C2176" t="s">
        <v>26</v>
      </c>
      <c r="D2176" t="s">
        <v>168</v>
      </c>
      <c r="E2176" s="1">
        <v>45969</v>
      </c>
      <c r="F2176" s="1">
        <v>46006</v>
      </c>
      <c r="G2176" s="1"/>
      <c r="H2176" t="s">
        <v>43</v>
      </c>
      <c r="I2176">
        <v>1</v>
      </c>
      <c r="J2176">
        <v>5</v>
      </c>
      <c r="K2176">
        <v>342000</v>
      </c>
      <c r="L2176">
        <v>80</v>
      </c>
      <c r="M2176" t="s">
        <v>29</v>
      </c>
      <c r="N2176" t="str">
        <f>_xlfn.XLOOKUP(B2176,tblCustomers[customer_id],tblCustomers[region],"Missing")</f>
        <v>East</v>
      </c>
      <c r="O2176" t="str">
        <f>_xlfn.XLOOKUP(C2176,tblProducts[product_id],tblProducts[product_name],"Missing")</f>
        <v>Security Suite</v>
      </c>
      <c r="P2176" t="str">
        <f>_xlfn.XLOOKUP(C2176,tblProducts[product_id],tblProducts[category],"Missing")</f>
        <v>Security</v>
      </c>
      <c r="Q2176" t="str">
        <f>_xlfn.XLOOKUP(D2176,tblSalesReps[rep_id],tblSalesReps[rep_name],"Missing")</f>
        <v>Sales Rep 17</v>
      </c>
      <c r="R2176" t="str">
        <f>_xlfn.XLOOKUP(D2176,tblSalesReps[rep_id],tblSalesReps[region],"Missing")</f>
        <v>East</v>
      </c>
    </row>
    <row r="2177" spans="1:18">
      <c r="A2177" t="s">
        <v>2717</v>
      </c>
      <c r="B2177" t="s">
        <v>179</v>
      </c>
      <c r="C2177" t="s">
        <v>21</v>
      </c>
      <c r="D2177" t="s">
        <v>152</v>
      </c>
      <c r="E2177" s="1">
        <v>45822</v>
      </c>
      <c r="F2177" s="1">
        <v>45848</v>
      </c>
      <c r="G2177" s="1">
        <v>45848</v>
      </c>
      <c r="H2177" t="s">
        <v>28</v>
      </c>
      <c r="I2177">
        <v>3</v>
      </c>
      <c r="J2177">
        <v>5</v>
      </c>
      <c r="K2177">
        <v>684000</v>
      </c>
      <c r="L2177">
        <v>100</v>
      </c>
      <c r="M2177" t="s">
        <v>29</v>
      </c>
      <c r="N2177" t="str">
        <f>_xlfn.XLOOKUP(B2177,tblCustomers[customer_id],tblCustomers[region],"Missing")</f>
        <v>East</v>
      </c>
      <c r="O2177" t="str">
        <f>_xlfn.XLOOKUP(C2177,tblProducts[product_id],tblProducts[product_name],"Missing")</f>
        <v>Workflow Automate</v>
      </c>
      <c r="P2177" t="str">
        <f>_xlfn.XLOOKUP(C2177,tblProducts[product_id],tblProducts[category],"Missing")</f>
        <v>Automation</v>
      </c>
      <c r="Q2177" t="str">
        <f>_xlfn.XLOOKUP(D2177,tblSalesReps[rep_id],tblSalesReps[rep_name],"Missing")</f>
        <v>Sales Rep 18</v>
      </c>
      <c r="R2177" t="str">
        <f>_xlfn.XLOOKUP(D2177,tblSalesReps[rep_id],tblSalesReps[region],"Missing")</f>
        <v>East</v>
      </c>
    </row>
    <row r="2178" spans="1:18">
      <c r="A2178" t="s">
        <v>2718</v>
      </c>
      <c r="B2178" t="s">
        <v>385</v>
      </c>
      <c r="C2178" t="s">
        <v>62</v>
      </c>
      <c r="D2178" t="s">
        <v>56</v>
      </c>
      <c r="E2178" s="1">
        <v>45903</v>
      </c>
      <c r="F2178" s="1">
        <v>45949</v>
      </c>
      <c r="G2178" s="1">
        <v>45949</v>
      </c>
      <c r="H2178" t="s">
        <v>28</v>
      </c>
      <c r="I2178">
        <v>1</v>
      </c>
      <c r="J2178">
        <v>0</v>
      </c>
      <c r="K2178">
        <v>120000</v>
      </c>
      <c r="L2178">
        <v>100</v>
      </c>
      <c r="M2178" t="s">
        <v>29</v>
      </c>
      <c r="N2178" t="str">
        <f>_xlfn.XLOOKUP(B2178,tblCustomers[customer_id],tblCustomers[region],"Missing")</f>
        <v>East</v>
      </c>
      <c r="O2178" t="str">
        <f>_xlfn.XLOOKUP(C2178,tblProducts[product_id],tblProducts[product_name],"Missing")</f>
        <v>CRM Essentials</v>
      </c>
      <c r="P2178" t="str">
        <f>_xlfn.XLOOKUP(C2178,tblProducts[product_id],tblProducts[category],"Missing")</f>
        <v>CRM</v>
      </c>
      <c r="Q2178" t="str">
        <f>_xlfn.XLOOKUP(D2178,tblSalesReps[rep_id],tblSalesReps[rep_name],"Missing")</f>
        <v>Sales Rep 20</v>
      </c>
      <c r="R2178" t="str">
        <f>_xlfn.XLOOKUP(D2178,tblSalesReps[rep_id],tblSalesReps[region],"Missing")</f>
        <v>East</v>
      </c>
    </row>
    <row r="2179" spans="1:18">
      <c r="A2179" t="s">
        <v>2719</v>
      </c>
      <c r="B2179" t="s">
        <v>371</v>
      </c>
      <c r="C2179" t="s">
        <v>39</v>
      </c>
      <c r="D2179" t="s">
        <v>63</v>
      </c>
      <c r="E2179" s="1">
        <v>46006</v>
      </c>
      <c r="F2179" s="1">
        <v>46075</v>
      </c>
      <c r="G2179" s="1"/>
      <c r="H2179" t="s">
        <v>43</v>
      </c>
      <c r="I2179">
        <v>3</v>
      </c>
      <c r="J2179">
        <v>15</v>
      </c>
      <c r="K2179">
        <v>459000</v>
      </c>
      <c r="L2179">
        <v>60</v>
      </c>
      <c r="M2179" t="s">
        <v>29</v>
      </c>
      <c r="N2179" t="str">
        <f>_xlfn.XLOOKUP(B2179,tblCustomers[customer_id],tblCustomers[region],"Missing")</f>
        <v>South</v>
      </c>
      <c r="O2179" t="str">
        <f>_xlfn.XLOOKUP(C2179,tblProducts[product_id],tblProducts[product_name],"Missing")</f>
        <v>Support Desk</v>
      </c>
      <c r="P2179" t="str">
        <f>_xlfn.XLOOKUP(C2179,tblProducts[product_id],tblProducts[category],"Missing")</f>
        <v>Service</v>
      </c>
      <c r="Q2179" t="str">
        <f>_xlfn.XLOOKUP(D2179,tblSalesReps[rep_id],tblSalesReps[rep_name],"Missing")</f>
        <v>Sales Rep 05</v>
      </c>
      <c r="R2179" t="str">
        <f>_xlfn.XLOOKUP(D2179,tblSalesReps[rep_id],tblSalesReps[region],"Missing")</f>
        <v>South</v>
      </c>
    </row>
    <row r="2180" spans="1:18">
      <c r="A2180" t="s">
        <v>2720</v>
      </c>
      <c r="B2180" t="s">
        <v>149</v>
      </c>
      <c r="C2180" t="s">
        <v>21</v>
      </c>
      <c r="D2180" t="s">
        <v>75</v>
      </c>
      <c r="E2180" s="1">
        <v>45770</v>
      </c>
      <c r="F2180" s="1">
        <v>45833</v>
      </c>
      <c r="G2180" s="1">
        <v>45833</v>
      </c>
      <c r="H2180" t="s">
        <v>28</v>
      </c>
      <c r="I2180">
        <v>2</v>
      </c>
      <c r="J2180">
        <v>10</v>
      </c>
      <c r="K2180">
        <v>432000</v>
      </c>
      <c r="L2180">
        <v>100</v>
      </c>
      <c r="M2180" t="s">
        <v>29</v>
      </c>
      <c r="N2180" t="str">
        <f>_xlfn.XLOOKUP(B2180,tblCustomers[customer_id],tblCustomers[region],"Missing")</f>
        <v>North</v>
      </c>
      <c r="O2180" t="str">
        <f>_xlfn.XLOOKUP(C2180,tblProducts[product_id],tblProducts[product_name],"Missing")</f>
        <v>Workflow Automate</v>
      </c>
      <c r="P2180" t="str">
        <f>_xlfn.XLOOKUP(C2180,tblProducts[product_id],tblProducts[category],"Missing")</f>
        <v>Automation</v>
      </c>
      <c r="Q2180" t="str">
        <f>_xlfn.XLOOKUP(D2180,tblSalesReps[rep_id],tblSalesReps[rep_name],"Missing")</f>
        <v>Sales Rep 07</v>
      </c>
      <c r="R2180" t="str">
        <f>_xlfn.XLOOKUP(D2180,tblSalesReps[rep_id],tblSalesReps[region],"Missing")</f>
        <v>North</v>
      </c>
    </row>
    <row r="2181" spans="1:18">
      <c r="A2181" t="s">
        <v>2721</v>
      </c>
      <c r="B2181" t="s">
        <v>842</v>
      </c>
      <c r="C2181" t="s">
        <v>39</v>
      </c>
      <c r="D2181" t="s">
        <v>53</v>
      </c>
      <c r="E2181" s="1">
        <v>45834</v>
      </c>
      <c r="F2181" s="1">
        <v>45868</v>
      </c>
      <c r="G2181" s="1">
        <v>45868</v>
      </c>
      <c r="H2181" t="s">
        <v>28</v>
      </c>
      <c r="I2181">
        <v>2</v>
      </c>
      <c r="J2181">
        <v>10</v>
      </c>
      <c r="K2181">
        <v>324000</v>
      </c>
      <c r="L2181">
        <v>100</v>
      </c>
      <c r="M2181" t="s">
        <v>29</v>
      </c>
      <c r="N2181" t="str">
        <f>_xlfn.XLOOKUP(B2181,tblCustomers[customer_id],tblCustomers[region],"Missing")</f>
        <v>East</v>
      </c>
      <c r="O2181" t="str">
        <f>_xlfn.XLOOKUP(C2181,tblProducts[product_id],tblProducts[product_name],"Missing")</f>
        <v>Support Desk</v>
      </c>
      <c r="P2181" t="str">
        <f>_xlfn.XLOOKUP(C2181,tblProducts[product_id],tblProducts[category],"Missing")</f>
        <v>Service</v>
      </c>
      <c r="Q2181" t="str">
        <f>_xlfn.XLOOKUP(D2181,tblSalesReps[rep_id],tblSalesReps[rep_name],"Missing")</f>
        <v>Sales Rep 16</v>
      </c>
      <c r="R2181" t="str">
        <f>_xlfn.XLOOKUP(D2181,tblSalesReps[rep_id],tblSalesReps[region],"Missing")</f>
        <v>East</v>
      </c>
    </row>
    <row r="2182" spans="1:18">
      <c r="A2182" t="s">
        <v>2722</v>
      </c>
      <c r="B2182" t="s">
        <v>431</v>
      </c>
      <c r="C2182" t="s">
        <v>81</v>
      </c>
      <c r="D2182" t="s">
        <v>53</v>
      </c>
      <c r="E2182" s="1">
        <v>45977</v>
      </c>
      <c r="F2182" s="1">
        <v>46056</v>
      </c>
      <c r="G2182" s="1"/>
      <c r="H2182" t="s">
        <v>43</v>
      </c>
      <c r="I2182">
        <v>2</v>
      </c>
      <c r="J2182">
        <v>5</v>
      </c>
      <c r="K2182">
        <v>570000</v>
      </c>
      <c r="L2182">
        <v>20</v>
      </c>
      <c r="M2182" t="s">
        <v>29</v>
      </c>
      <c r="N2182" t="str">
        <f>_xlfn.XLOOKUP(B2182,tblCustomers[customer_id],tblCustomers[region],"Missing")</f>
        <v>East</v>
      </c>
      <c r="O2182" t="str">
        <f>_xlfn.XLOOKUP(C2182,tblProducts[product_id],tblProducts[product_name],"Missing")</f>
        <v>Analytics Cloud</v>
      </c>
      <c r="P2182" t="str">
        <f>_xlfn.XLOOKUP(C2182,tblProducts[product_id],tblProducts[category],"Missing")</f>
        <v>Analytics</v>
      </c>
      <c r="Q2182" t="str">
        <f>_xlfn.XLOOKUP(D2182,tblSalesReps[rep_id],tblSalesReps[rep_name],"Missing")</f>
        <v>Sales Rep 16</v>
      </c>
      <c r="R2182" t="str">
        <f>_xlfn.XLOOKUP(D2182,tblSalesReps[rep_id],tblSalesReps[region],"Missing")</f>
        <v>East</v>
      </c>
    </row>
    <row r="2183" spans="1:18">
      <c r="A2183" t="s">
        <v>2723</v>
      </c>
      <c r="B2183" t="s">
        <v>842</v>
      </c>
      <c r="C2183" t="s">
        <v>39</v>
      </c>
      <c r="D2183" t="s">
        <v>56</v>
      </c>
      <c r="E2183" s="1">
        <v>45705</v>
      </c>
      <c r="F2183" s="1">
        <v>45750</v>
      </c>
      <c r="G2183" s="1">
        <v>45750</v>
      </c>
      <c r="H2183" t="s">
        <v>17</v>
      </c>
      <c r="I2183">
        <v>2</v>
      </c>
      <c r="J2183">
        <v>5</v>
      </c>
      <c r="K2183">
        <v>342000</v>
      </c>
      <c r="L2183">
        <v>0</v>
      </c>
      <c r="M2183" t="s">
        <v>82</v>
      </c>
      <c r="N2183" t="str">
        <f>_xlfn.XLOOKUP(B2183,tblCustomers[customer_id],tblCustomers[region],"Missing")</f>
        <v>East</v>
      </c>
      <c r="O2183" t="str">
        <f>_xlfn.XLOOKUP(C2183,tblProducts[product_id],tblProducts[product_name],"Missing")</f>
        <v>Support Desk</v>
      </c>
      <c r="P2183" t="str">
        <f>_xlfn.XLOOKUP(C2183,tblProducts[product_id],tblProducts[category],"Missing")</f>
        <v>Service</v>
      </c>
      <c r="Q2183" t="str">
        <f>_xlfn.XLOOKUP(D2183,tblSalesReps[rep_id],tblSalesReps[rep_name],"Missing")</f>
        <v>Sales Rep 20</v>
      </c>
      <c r="R2183" t="str">
        <f>_xlfn.XLOOKUP(D2183,tblSalesReps[rep_id],tblSalesReps[region],"Missing")</f>
        <v>East</v>
      </c>
    </row>
    <row r="2184" spans="1:18">
      <c r="A2184" t="s">
        <v>2724</v>
      </c>
      <c r="B2184" t="s">
        <v>524</v>
      </c>
      <c r="C2184" t="s">
        <v>26</v>
      </c>
      <c r="D2184" t="s">
        <v>91</v>
      </c>
      <c r="E2184" s="1">
        <v>45993</v>
      </c>
      <c r="F2184" s="1">
        <v>46057</v>
      </c>
      <c r="G2184" s="1"/>
      <c r="H2184" t="s">
        <v>43</v>
      </c>
      <c r="I2184">
        <v>1</v>
      </c>
      <c r="J2184">
        <v>5</v>
      </c>
      <c r="K2184">
        <v>342000</v>
      </c>
      <c r="L2184">
        <v>20</v>
      </c>
      <c r="M2184" t="s">
        <v>29</v>
      </c>
      <c r="N2184" t="str">
        <f>_xlfn.XLOOKUP(B2184,tblCustomers[customer_id],tblCustomers[region],"Missing")</f>
        <v>South</v>
      </c>
      <c r="O2184" t="str">
        <f>_xlfn.XLOOKUP(C2184,tblProducts[product_id],tblProducts[product_name],"Missing")</f>
        <v>Security Suite</v>
      </c>
      <c r="P2184" t="str">
        <f>_xlfn.XLOOKUP(C2184,tblProducts[product_id],tblProducts[category],"Missing")</f>
        <v>Security</v>
      </c>
      <c r="Q2184" t="str">
        <f>_xlfn.XLOOKUP(D2184,tblSalesReps[rep_id],tblSalesReps[rep_name],"Missing")</f>
        <v>Sales Rep 03</v>
      </c>
      <c r="R2184" t="str">
        <f>_xlfn.XLOOKUP(D2184,tblSalesReps[rep_id],tblSalesReps[region],"Missing")</f>
        <v>South</v>
      </c>
    </row>
    <row r="2185" spans="1:18">
      <c r="A2185" t="s">
        <v>2725</v>
      </c>
      <c r="B2185" t="s">
        <v>1167</v>
      </c>
      <c r="C2185" t="s">
        <v>21</v>
      </c>
      <c r="D2185" t="s">
        <v>36</v>
      </c>
      <c r="E2185" s="1">
        <v>45786</v>
      </c>
      <c r="F2185" s="1">
        <v>45854</v>
      </c>
      <c r="G2185" s="1">
        <v>45854</v>
      </c>
      <c r="H2185" t="s">
        <v>17</v>
      </c>
      <c r="I2185">
        <v>1</v>
      </c>
      <c r="J2185">
        <v>5</v>
      </c>
      <c r="K2185">
        <v>228000</v>
      </c>
      <c r="L2185">
        <v>0</v>
      </c>
      <c r="M2185" t="s">
        <v>47</v>
      </c>
      <c r="N2185" t="str">
        <f>_xlfn.XLOOKUP(B2185,tblCustomers[customer_id],tblCustomers[region],"Missing")</f>
        <v>North</v>
      </c>
      <c r="O2185" t="str">
        <f>_xlfn.XLOOKUP(C2185,tblProducts[product_id],tblProducts[product_name],"Missing")</f>
        <v>Workflow Automate</v>
      </c>
      <c r="P2185" t="str">
        <f>_xlfn.XLOOKUP(C2185,tblProducts[product_id],tblProducts[category],"Missing")</f>
        <v>Automation</v>
      </c>
      <c r="Q2185" t="str">
        <f>_xlfn.XLOOKUP(D2185,tblSalesReps[rep_id],tblSalesReps[rep_name],"Missing")</f>
        <v>Sales Rep 09</v>
      </c>
      <c r="R2185" t="str">
        <f>_xlfn.XLOOKUP(D2185,tblSalesReps[rep_id],tblSalesReps[region],"Missing")</f>
        <v>North</v>
      </c>
    </row>
    <row r="2186" spans="1:18">
      <c r="A2186" t="s">
        <v>2726</v>
      </c>
      <c r="B2186" t="s">
        <v>886</v>
      </c>
      <c r="C2186" t="s">
        <v>21</v>
      </c>
      <c r="D2186" t="s">
        <v>36</v>
      </c>
      <c r="E2186" s="1">
        <v>45695</v>
      </c>
      <c r="F2186" s="1">
        <v>45712</v>
      </c>
      <c r="G2186" s="1"/>
      <c r="H2186" t="s">
        <v>43</v>
      </c>
      <c r="I2186">
        <v>3</v>
      </c>
      <c r="J2186">
        <v>20</v>
      </c>
      <c r="K2186">
        <v>576000</v>
      </c>
      <c r="L2186">
        <v>80</v>
      </c>
      <c r="M2186" t="s">
        <v>29</v>
      </c>
      <c r="N2186" t="str">
        <f>_xlfn.XLOOKUP(B2186,tblCustomers[customer_id],tblCustomers[region],"Missing")</f>
        <v>North</v>
      </c>
      <c r="O2186" t="str">
        <f>_xlfn.XLOOKUP(C2186,tblProducts[product_id],tblProducts[product_name],"Missing")</f>
        <v>Workflow Automate</v>
      </c>
      <c r="P2186" t="str">
        <f>_xlfn.XLOOKUP(C2186,tblProducts[product_id],tblProducts[category],"Missing")</f>
        <v>Automation</v>
      </c>
      <c r="Q2186" t="str">
        <f>_xlfn.XLOOKUP(D2186,tblSalesReps[rep_id],tblSalesReps[rep_name],"Missing")</f>
        <v>Sales Rep 09</v>
      </c>
      <c r="R2186" t="str">
        <f>_xlfn.XLOOKUP(D2186,tblSalesReps[rep_id],tblSalesReps[region],"Missing")</f>
        <v>North</v>
      </c>
    </row>
    <row r="2187" spans="1:18">
      <c r="A2187" t="s">
        <v>2727</v>
      </c>
      <c r="B2187" t="s">
        <v>983</v>
      </c>
      <c r="C2187" t="s">
        <v>62</v>
      </c>
      <c r="D2187" t="s">
        <v>91</v>
      </c>
      <c r="E2187" s="1">
        <v>45804</v>
      </c>
      <c r="F2187" s="1">
        <v>45825</v>
      </c>
      <c r="G2187" s="1">
        <v>45825</v>
      </c>
      <c r="H2187" t="s">
        <v>17</v>
      </c>
      <c r="I2187">
        <v>2</v>
      </c>
      <c r="J2187">
        <v>5</v>
      </c>
      <c r="K2187">
        <v>228000</v>
      </c>
      <c r="L2187">
        <v>0</v>
      </c>
      <c r="M2187" t="s">
        <v>18</v>
      </c>
      <c r="N2187" t="str">
        <f>_xlfn.XLOOKUP(B2187,tblCustomers[customer_id],tblCustomers[region],"Missing")</f>
        <v>South</v>
      </c>
      <c r="O2187" t="str">
        <f>_xlfn.XLOOKUP(C2187,tblProducts[product_id],tblProducts[product_name],"Missing")</f>
        <v>CRM Essentials</v>
      </c>
      <c r="P2187" t="str">
        <f>_xlfn.XLOOKUP(C2187,tblProducts[product_id],tblProducts[category],"Missing")</f>
        <v>CRM</v>
      </c>
      <c r="Q2187" t="str">
        <f>_xlfn.XLOOKUP(D2187,tblSalesReps[rep_id],tblSalesReps[rep_name],"Missing")</f>
        <v>Sales Rep 03</v>
      </c>
      <c r="R2187" t="str">
        <f>_xlfn.XLOOKUP(D2187,tblSalesReps[rep_id],tblSalesReps[region],"Missing")</f>
        <v>South</v>
      </c>
    </row>
    <row r="2188" spans="1:18">
      <c r="A2188" t="s">
        <v>2728</v>
      </c>
      <c r="B2188" t="s">
        <v>341</v>
      </c>
      <c r="C2188" t="s">
        <v>26</v>
      </c>
      <c r="D2188" t="s">
        <v>59</v>
      </c>
      <c r="E2188" s="1">
        <v>45710</v>
      </c>
      <c r="F2188" s="1">
        <v>45741</v>
      </c>
      <c r="G2188" s="1"/>
      <c r="H2188" t="s">
        <v>43</v>
      </c>
      <c r="I2188">
        <v>3</v>
      </c>
      <c r="J2188">
        <v>5</v>
      </c>
      <c r="K2188">
        <v>1026000</v>
      </c>
      <c r="L2188">
        <v>40</v>
      </c>
      <c r="M2188" t="s">
        <v>29</v>
      </c>
      <c r="N2188" t="str">
        <f>_xlfn.XLOOKUP(B2188,tblCustomers[customer_id],tblCustomers[region],"Missing")</f>
        <v>East</v>
      </c>
      <c r="O2188" t="str">
        <f>_xlfn.XLOOKUP(C2188,tblProducts[product_id],tblProducts[product_name],"Missing")</f>
        <v>Security Suite</v>
      </c>
      <c r="P2188" t="str">
        <f>_xlfn.XLOOKUP(C2188,tblProducts[product_id],tblProducts[category],"Missing")</f>
        <v>Security</v>
      </c>
      <c r="Q2188" t="str">
        <f>_xlfn.XLOOKUP(D2188,tblSalesReps[rep_id],tblSalesReps[rep_name],"Missing")</f>
        <v>Sales Rep 19</v>
      </c>
      <c r="R2188" t="str">
        <f>_xlfn.XLOOKUP(D2188,tblSalesReps[rep_id],tblSalesReps[region],"Missing")</f>
        <v>East</v>
      </c>
    </row>
    <row r="2189" spans="1:18">
      <c r="A2189" t="s">
        <v>2729</v>
      </c>
      <c r="B2189" t="s">
        <v>909</v>
      </c>
      <c r="C2189" t="s">
        <v>26</v>
      </c>
      <c r="D2189" t="s">
        <v>91</v>
      </c>
      <c r="E2189" s="1">
        <v>45971</v>
      </c>
      <c r="F2189" s="1">
        <v>46018</v>
      </c>
      <c r="G2189" s="1"/>
      <c r="H2189" t="s">
        <v>43</v>
      </c>
      <c r="I2189">
        <v>3</v>
      </c>
      <c r="J2189">
        <v>20</v>
      </c>
      <c r="K2189">
        <v>864000</v>
      </c>
      <c r="L2189">
        <v>20</v>
      </c>
      <c r="M2189" t="s">
        <v>29</v>
      </c>
      <c r="N2189" t="str">
        <f>_xlfn.XLOOKUP(B2189,tblCustomers[customer_id],tblCustomers[region],"Missing")</f>
        <v>South</v>
      </c>
      <c r="O2189" t="str">
        <f>_xlfn.XLOOKUP(C2189,tblProducts[product_id],tblProducts[product_name],"Missing")</f>
        <v>Security Suite</v>
      </c>
      <c r="P2189" t="str">
        <f>_xlfn.XLOOKUP(C2189,tblProducts[product_id],tblProducts[category],"Missing")</f>
        <v>Security</v>
      </c>
      <c r="Q2189" t="str">
        <f>_xlfn.XLOOKUP(D2189,tblSalesReps[rep_id],tblSalesReps[rep_name],"Missing")</f>
        <v>Sales Rep 03</v>
      </c>
      <c r="R2189" t="str">
        <f>_xlfn.XLOOKUP(D2189,tblSalesReps[rep_id],tblSalesReps[region],"Missing")</f>
        <v>South</v>
      </c>
    </row>
    <row r="2190" spans="1:18">
      <c r="A2190" t="s">
        <v>2730</v>
      </c>
      <c r="B2190" t="s">
        <v>994</v>
      </c>
      <c r="C2190" t="s">
        <v>39</v>
      </c>
      <c r="D2190" t="s">
        <v>119</v>
      </c>
      <c r="E2190" s="1">
        <v>45732</v>
      </c>
      <c r="F2190" s="1">
        <v>45799</v>
      </c>
      <c r="G2190" s="1"/>
      <c r="H2190" t="s">
        <v>43</v>
      </c>
      <c r="I2190">
        <v>1</v>
      </c>
      <c r="J2190">
        <v>15</v>
      </c>
      <c r="K2190">
        <v>153000</v>
      </c>
      <c r="L2190">
        <v>80</v>
      </c>
      <c r="M2190" t="s">
        <v>29</v>
      </c>
      <c r="N2190" t="str">
        <f>_xlfn.XLOOKUP(B2190,tblCustomers[customer_id],tblCustomers[region],"Missing")</f>
        <v>North</v>
      </c>
      <c r="O2190" t="str">
        <f>_xlfn.XLOOKUP(C2190,tblProducts[product_id],tblProducts[product_name],"Missing")</f>
        <v>Support Desk</v>
      </c>
      <c r="P2190" t="str">
        <f>_xlfn.XLOOKUP(C2190,tblProducts[product_id],tblProducts[category],"Missing")</f>
        <v>Service</v>
      </c>
      <c r="Q2190" t="str">
        <f>_xlfn.XLOOKUP(D2190,tblSalesReps[rep_id],tblSalesReps[rep_name],"Missing")</f>
        <v>Sales Rep 10</v>
      </c>
      <c r="R2190" t="str">
        <f>_xlfn.XLOOKUP(D2190,tblSalesReps[rep_id],tblSalesReps[region],"Missing")</f>
        <v>North</v>
      </c>
    </row>
    <row r="2191" spans="1:18">
      <c r="A2191" t="s">
        <v>2731</v>
      </c>
      <c r="B2191" t="s">
        <v>896</v>
      </c>
      <c r="C2191" t="s">
        <v>81</v>
      </c>
      <c r="D2191" t="s">
        <v>59</v>
      </c>
      <c r="E2191" s="1">
        <v>45671</v>
      </c>
      <c r="F2191" s="1">
        <v>45750</v>
      </c>
      <c r="G2191" s="1">
        <v>45750</v>
      </c>
      <c r="H2191" t="s">
        <v>17</v>
      </c>
      <c r="I2191">
        <v>2</v>
      </c>
      <c r="J2191">
        <v>20</v>
      </c>
      <c r="K2191">
        <v>480000</v>
      </c>
      <c r="L2191">
        <v>0</v>
      </c>
      <c r="M2191" t="s">
        <v>18</v>
      </c>
      <c r="N2191" t="str">
        <f>_xlfn.XLOOKUP(B2191,tblCustomers[customer_id],tblCustomers[region],"Missing")</f>
        <v>East</v>
      </c>
      <c r="O2191" t="str">
        <f>_xlfn.XLOOKUP(C2191,tblProducts[product_id],tblProducts[product_name],"Missing")</f>
        <v>Analytics Cloud</v>
      </c>
      <c r="P2191" t="str">
        <f>_xlfn.XLOOKUP(C2191,tblProducts[product_id],tblProducts[category],"Missing")</f>
        <v>Analytics</v>
      </c>
      <c r="Q2191" t="str">
        <f>_xlfn.XLOOKUP(D2191,tblSalesReps[rep_id],tblSalesReps[rep_name],"Missing")</f>
        <v>Sales Rep 19</v>
      </c>
      <c r="R2191" t="str">
        <f>_xlfn.XLOOKUP(D2191,tblSalesReps[rep_id],tblSalesReps[region],"Missing")</f>
        <v>East</v>
      </c>
    </row>
    <row r="2192" spans="1:18">
      <c r="A2192" t="s">
        <v>2732</v>
      </c>
      <c r="B2192" t="s">
        <v>35</v>
      </c>
      <c r="C2192" t="s">
        <v>15</v>
      </c>
      <c r="D2192" t="s">
        <v>119</v>
      </c>
      <c r="E2192" s="1">
        <v>45862</v>
      </c>
      <c r="F2192" s="1">
        <v>45947</v>
      </c>
      <c r="G2192" s="1">
        <v>45947</v>
      </c>
      <c r="H2192" t="s">
        <v>28</v>
      </c>
      <c r="I2192">
        <v>1</v>
      </c>
      <c r="J2192">
        <v>0</v>
      </c>
      <c r="K2192">
        <v>420000</v>
      </c>
      <c r="L2192">
        <v>100</v>
      </c>
      <c r="M2192" t="s">
        <v>29</v>
      </c>
      <c r="N2192" t="str">
        <f>_xlfn.XLOOKUP(B2192,tblCustomers[customer_id],tblCustomers[region],"Missing")</f>
        <v>North</v>
      </c>
      <c r="O2192" t="str">
        <f>_xlfn.XLOOKUP(C2192,tblProducts[product_id],tblProducts[product_name],"Missing")</f>
        <v>CRM Enterprise</v>
      </c>
      <c r="P2192" t="str">
        <f>_xlfn.XLOOKUP(C2192,tblProducts[product_id],tblProducts[category],"Missing")</f>
        <v>CRM</v>
      </c>
      <c r="Q2192" t="str">
        <f>_xlfn.XLOOKUP(D2192,tblSalesReps[rep_id],tblSalesReps[rep_name],"Missing")</f>
        <v>Sales Rep 10</v>
      </c>
      <c r="R2192" t="str">
        <f>_xlfn.XLOOKUP(D2192,tblSalesReps[rep_id],tblSalesReps[region],"Missing")</f>
        <v>North</v>
      </c>
    </row>
    <row r="2193" spans="1:18">
      <c r="A2193" t="s">
        <v>2733</v>
      </c>
      <c r="B2193" t="s">
        <v>954</v>
      </c>
      <c r="C2193" t="s">
        <v>21</v>
      </c>
      <c r="D2193" t="s">
        <v>63</v>
      </c>
      <c r="E2193" s="1">
        <v>45813</v>
      </c>
      <c r="F2193" s="1">
        <v>45864</v>
      </c>
      <c r="G2193" s="1">
        <v>45864</v>
      </c>
      <c r="H2193" t="s">
        <v>17</v>
      </c>
      <c r="I2193">
        <v>2</v>
      </c>
      <c r="J2193">
        <v>15</v>
      </c>
      <c r="K2193">
        <v>408000</v>
      </c>
      <c r="L2193">
        <v>0</v>
      </c>
      <c r="M2193" t="s">
        <v>23</v>
      </c>
      <c r="N2193" t="str">
        <f>_xlfn.XLOOKUP(B2193,tblCustomers[customer_id],tblCustomers[region],"Missing")</f>
        <v>South</v>
      </c>
      <c r="O2193" t="str">
        <f>_xlfn.XLOOKUP(C2193,tblProducts[product_id],tblProducts[product_name],"Missing")</f>
        <v>Workflow Automate</v>
      </c>
      <c r="P2193" t="str">
        <f>_xlfn.XLOOKUP(C2193,tblProducts[product_id],tblProducts[category],"Missing")</f>
        <v>Automation</v>
      </c>
      <c r="Q2193" t="str">
        <f>_xlfn.XLOOKUP(D2193,tblSalesReps[rep_id],tblSalesReps[rep_name],"Missing")</f>
        <v>Sales Rep 05</v>
      </c>
      <c r="R2193" t="str">
        <f>_xlfn.XLOOKUP(D2193,tblSalesReps[rep_id],tblSalesReps[region],"Missing")</f>
        <v>South</v>
      </c>
    </row>
    <row r="2194" spans="1:18">
      <c r="A2194" t="s">
        <v>2734</v>
      </c>
      <c r="B2194" t="s">
        <v>1817</v>
      </c>
      <c r="C2194" t="s">
        <v>26</v>
      </c>
      <c r="D2194" t="s">
        <v>70</v>
      </c>
      <c r="E2194" s="1">
        <v>45917</v>
      </c>
      <c r="F2194" s="1">
        <v>45962</v>
      </c>
      <c r="G2194" s="1">
        <v>45962</v>
      </c>
      <c r="H2194" t="s">
        <v>17</v>
      </c>
      <c r="I2194">
        <v>1</v>
      </c>
      <c r="J2194">
        <v>15</v>
      </c>
      <c r="K2194">
        <v>306000</v>
      </c>
      <c r="L2194">
        <v>0</v>
      </c>
      <c r="M2194" t="s">
        <v>18</v>
      </c>
      <c r="N2194" t="str">
        <f>_xlfn.XLOOKUP(B2194,tblCustomers[customer_id],tblCustomers[region],"Missing")</f>
        <v>West</v>
      </c>
      <c r="O2194" t="str">
        <f>_xlfn.XLOOKUP(C2194,tblProducts[product_id],tblProducts[product_name],"Missing")</f>
        <v>Security Suite</v>
      </c>
      <c r="P2194" t="str">
        <f>_xlfn.XLOOKUP(C2194,tblProducts[product_id],tblProducts[category],"Missing")</f>
        <v>Security</v>
      </c>
      <c r="Q2194" t="str">
        <f>_xlfn.XLOOKUP(D2194,tblSalesReps[rep_id],tblSalesReps[rep_name],"Missing")</f>
        <v>Sales Rep 11</v>
      </c>
      <c r="R2194" t="str">
        <f>_xlfn.XLOOKUP(D2194,tblSalesReps[rep_id],tblSalesReps[region],"Missing")</f>
        <v>West</v>
      </c>
    </row>
    <row r="2195" spans="1:18">
      <c r="A2195" t="s">
        <v>2735</v>
      </c>
      <c r="B2195" t="s">
        <v>539</v>
      </c>
      <c r="C2195" t="s">
        <v>81</v>
      </c>
      <c r="D2195" t="s">
        <v>168</v>
      </c>
      <c r="E2195" s="1">
        <v>45881</v>
      </c>
      <c r="F2195" s="1">
        <v>45935</v>
      </c>
      <c r="G2195" s="1">
        <v>45935</v>
      </c>
      <c r="H2195" t="s">
        <v>17</v>
      </c>
      <c r="I2195">
        <v>1</v>
      </c>
      <c r="J2195">
        <v>15</v>
      </c>
      <c r="K2195">
        <v>255000</v>
      </c>
      <c r="L2195">
        <v>0</v>
      </c>
      <c r="M2195" t="s">
        <v>18</v>
      </c>
      <c r="N2195" t="str">
        <f>_xlfn.XLOOKUP(B2195,tblCustomers[customer_id],tblCustomers[region],"Missing")</f>
        <v>East</v>
      </c>
      <c r="O2195" t="str">
        <f>_xlfn.XLOOKUP(C2195,tblProducts[product_id],tblProducts[product_name],"Missing")</f>
        <v>Analytics Cloud</v>
      </c>
      <c r="P2195" t="str">
        <f>_xlfn.XLOOKUP(C2195,tblProducts[product_id],tblProducts[category],"Missing")</f>
        <v>Analytics</v>
      </c>
      <c r="Q2195" t="str">
        <f>_xlfn.XLOOKUP(D2195,tblSalesReps[rep_id],tblSalesReps[rep_name],"Missing")</f>
        <v>Sales Rep 17</v>
      </c>
      <c r="R2195" t="str">
        <f>_xlfn.XLOOKUP(D2195,tblSalesReps[rep_id],tblSalesReps[region],"Missing")</f>
        <v>East</v>
      </c>
    </row>
    <row r="2196" spans="1:18">
      <c r="A2196" t="s">
        <v>2736</v>
      </c>
      <c r="B2196" t="s">
        <v>2737</v>
      </c>
      <c r="C2196" t="s">
        <v>15</v>
      </c>
      <c r="D2196" t="s">
        <v>46</v>
      </c>
      <c r="E2196" s="1">
        <v>45723</v>
      </c>
      <c r="F2196" s="1">
        <v>45770</v>
      </c>
      <c r="G2196" s="1">
        <v>45770</v>
      </c>
      <c r="H2196" t="s">
        <v>17</v>
      </c>
      <c r="I2196">
        <v>2</v>
      </c>
      <c r="J2196">
        <v>20</v>
      </c>
      <c r="K2196">
        <v>672000</v>
      </c>
      <c r="L2196">
        <v>0</v>
      </c>
      <c r="M2196" t="s">
        <v>33</v>
      </c>
      <c r="N2196" t="str">
        <f>_xlfn.XLOOKUP(B2196,tblCustomers[customer_id],tblCustomers[region],"Missing")</f>
        <v>South</v>
      </c>
      <c r="O2196" t="str">
        <f>_xlfn.XLOOKUP(C2196,tblProducts[product_id],tblProducts[product_name],"Missing")</f>
        <v>CRM Enterprise</v>
      </c>
      <c r="P2196" t="str">
        <f>_xlfn.XLOOKUP(C2196,tblProducts[product_id],tblProducts[category],"Missing")</f>
        <v>CRM</v>
      </c>
      <c r="Q2196" t="str">
        <f>_xlfn.XLOOKUP(D2196,tblSalesReps[rep_id],tblSalesReps[rep_name],"Missing")</f>
        <v>Sales Rep 01</v>
      </c>
      <c r="R2196" t="str">
        <f>_xlfn.XLOOKUP(D2196,tblSalesReps[rep_id],tblSalesReps[region],"Missing")</f>
        <v>South</v>
      </c>
    </row>
    <row r="2197" spans="1:18">
      <c r="A2197" t="s">
        <v>2738</v>
      </c>
      <c r="B2197" t="s">
        <v>196</v>
      </c>
      <c r="C2197" t="s">
        <v>62</v>
      </c>
      <c r="D2197" t="s">
        <v>126</v>
      </c>
      <c r="E2197" s="1">
        <v>45900</v>
      </c>
      <c r="F2197" s="1">
        <v>45937</v>
      </c>
      <c r="G2197" s="1">
        <v>45937</v>
      </c>
      <c r="H2197" t="s">
        <v>28</v>
      </c>
      <c r="I2197">
        <v>1</v>
      </c>
      <c r="J2197">
        <v>15</v>
      </c>
      <c r="K2197">
        <v>102000</v>
      </c>
      <c r="L2197">
        <v>100</v>
      </c>
      <c r="M2197" t="s">
        <v>29</v>
      </c>
      <c r="N2197" t="str">
        <f>_xlfn.XLOOKUP(B2197,tblCustomers[customer_id],tblCustomers[region],"Missing")</f>
        <v>South</v>
      </c>
      <c r="O2197" t="str">
        <f>_xlfn.XLOOKUP(C2197,tblProducts[product_id],tblProducts[product_name],"Missing")</f>
        <v>CRM Essentials</v>
      </c>
      <c r="P2197" t="str">
        <f>_xlfn.XLOOKUP(C2197,tblProducts[product_id],tblProducts[category],"Missing")</f>
        <v>CRM</v>
      </c>
      <c r="Q2197" t="str">
        <f>_xlfn.XLOOKUP(D2197,tblSalesReps[rep_id],tblSalesReps[rep_name],"Missing")</f>
        <v>Sales Rep 02</v>
      </c>
      <c r="R2197" t="str">
        <f>_xlfn.XLOOKUP(D2197,tblSalesReps[rep_id],tblSalesReps[region],"Missing")</f>
        <v>South</v>
      </c>
    </row>
    <row r="2198" spans="1:18">
      <c r="A2198" t="s">
        <v>2739</v>
      </c>
      <c r="B2198" t="s">
        <v>1159</v>
      </c>
      <c r="C2198" t="s">
        <v>21</v>
      </c>
      <c r="D2198" t="s">
        <v>56</v>
      </c>
      <c r="E2198" s="1">
        <v>45762</v>
      </c>
      <c r="F2198" s="1">
        <v>45823</v>
      </c>
      <c r="G2198" s="1"/>
      <c r="H2198" t="s">
        <v>43</v>
      </c>
      <c r="I2198">
        <v>3</v>
      </c>
      <c r="J2198">
        <v>0</v>
      </c>
      <c r="K2198">
        <v>720000</v>
      </c>
      <c r="L2198">
        <v>80</v>
      </c>
      <c r="M2198" t="s">
        <v>29</v>
      </c>
      <c r="N2198" t="str">
        <f>_xlfn.XLOOKUP(B2198,tblCustomers[customer_id],tblCustomers[region],"Missing")</f>
        <v>East</v>
      </c>
      <c r="O2198" t="str">
        <f>_xlfn.XLOOKUP(C2198,tblProducts[product_id],tblProducts[product_name],"Missing")</f>
        <v>Workflow Automate</v>
      </c>
      <c r="P2198" t="str">
        <f>_xlfn.XLOOKUP(C2198,tblProducts[product_id],tblProducts[category],"Missing")</f>
        <v>Automation</v>
      </c>
      <c r="Q2198" t="str">
        <f>_xlfn.XLOOKUP(D2198,tblSalesReps[rep_id],tblSalesReps[rep_name],"Missing")</f>
        <v>Sales Rep 20</v>
      </c>
      <c r="R2198" t="str">
        <f>_xlfn.XLOOKUP(D2198,tblSalesReps[rep_id],tblSalesReps[region],"Missing")</f>
        <v>East</v>
      </c>
    </row>
    <row r="2199" spans="1:18">
      <c r="A2199" t="s">
        <v>2740</v>
      </c>
      <c r="B2199" t="s">
        <v>20</v>
      </c>
      <c r="C2199" t="s">
        <v>21</v>
      </c>
      <c r="D2199" t="s">
        <v>22</v>
      </c>
      <c r="E2199" s="1">
        <v>45782</v>
      </c>
      <c r="F2199" s="1">
        <v>45830</v>
      </c>
      <c r="G2199" s="1">
        <v>45830</v>
      </c>
      <c r="H2199" t="s">
        <v>17</v>
      </c>
      <c r="I2199">
        <v>1</v>
      </c>
      <c r="J2199">
        <v>0</v>
      </c>
      <c r="K2199">
        <v>240000</v>
      </c>
      <c r="L2199">
        <v>0</v>
      </c>
      <c r="M2199" t="s">
        <v>18</v>
      </c>
      <c r="N2199" t="str">
        <f>_xlfn.XLOOKUP(B2199,tblCustomers[customer_id],tblCustomers[region],"Missing")</f>
        <v>West</v>
      </c>
      <c r="O2199" t="str">
        <f>_xlfn.XLOOKUP(C2199,tblProducts[product_id],tblProducts[product_name],"Missing")</f>
        <v>Workflow Automate</v>
      </c>
      <c r="P2199" t="str">
        <f>_xlfn.XLOOKUP(C2199,tblProducts[product_id],tblProducts[category],"Missing")</f>
        <v>Automation</v>
      </c>
      <c r="Q2199" t="str">
        <f>_xlfn.XLOOKUP(D2199,tblSalesReps[rep_id],tblSalesReps[rep_name],"Missing")</f>
        <v>Sales Rep 14</v>
      </c>
      <c r="R2199" t="str">
        <f>_xlfn.XLOOKUP(D2199,tblSalesReps[rep_id],tblSalesReps[region],"Missing")</f>
        <v>West</v>
      </c>
    </row>
    <row r="2200" spans="1:18">
      <c r="A2200" t="s">
        <v>2741</v>
      </c>
      <c r="B2200" t="s">
        <v>677</v>
      </c>
      <c r="C2200" t="s">
        <v>62</v>
      </c>
      <c r="D2200" t="s">
        <v>56</v>
      </c>
      <c r="E2200" s="1">
        <v>45821</v>
      </c>
      <c r="F2200" s="1">
        <v>45895</v>
      </c>
      <c r="G2200" s="1"/>
      <c r="H2200" t="s">
        <v>43</v>
      </c>
      <c r="I2200">
        <v>2</v>
      </c>
      <c r="J2200">
        <v>5</v>
      </c>
      <c r="K2200">
        <v>228000</v>
      </c>
      <c r="L2200">
        <v>40</v>
      </c>
      <c r="M2200" t="s">
        <v>29</v>
      </c>
      <c r="N2200" t="str">
        <f>_xlfn.XLOOKUP(B2200,tblCustomers[customer_id],tblCustomers[region],"Missing")</f>
        <v>East</v>
      </c>
      <c r="O2200" t="str">
        <f>_xlfn.XLOOKUP(C2200,tblProducts[product_id],tblProducts[product_name],"Missing")</f>
        <v>CRM Essentials</v>
      </c>
      <c r="P2200" t="str">
        <f>_xlfn.XLOOKUP(C2200,tblProducts[product_id],tblProducts[category],"Missing")</f>
        <v>CRM</v>
      </c>
      <c r="Q2200" t="str">
        <f>_xlfn.XLOOKUP(D2200,tblSalesReps[rep_id],tblSalesReps[rep_name],"Missing")</f>
        <v>Sales Rep 20</v>
      </c>
      <c r="R2200" t="str">
        <f>_xlfn.XLOOKUP(D2200,tblSalesReps[rep_id],tblSalesReps[region],"Missing")</f>
        <v>East</v>
      </c>
    </row>
    <row r="2201" spans="1:18">
      <c r="A2201" t="s">
        <v>2742</v>
      </c>
      <c r="B2201" t="s">
        <v>104</v>
      </c>
      <c r="C2201" t="s">
        <v>62</v>
      </c>
      <c r="D2201" t="s">
        <v>70</v>
      </c>
      <c r="E2201" s="1">
        <v>45804</v>
      </c>
      <c r="F2201" s="1">
        <v>45818</v>
      </c>
      <c r="G2201" s="1">
        <v>45818</v>
      </c>
      <c r="H2201" t="s">
        <v>28</v>
      </c>
      <c r="I2201">
        <v>2</v>
      </c>
      <c r="J2201">
        <v>10</v>
      </c>
      <c r="K2201">
        <v>216000</v>
      </c>
      <c r="L2201">
        <v>100</v>
      </c>
      <c r="M2201" t="s">
        <v>29</v>
      </c>
      <c r="N2201" t="str">
        <f>_xlfn.XLOOKUP(B2201,tblCustomers[customer_id],tblCustomers[region],"Missing")</f>
        <v>West</v>
      </c>
      <c r="O2201" t="str">
        <f>_xlfn.XLOOKUP(C2201,tblProducts[product_id],tblProducts[product_name],"Missing")</f>
        <v>CRM Essentials</v>
      </c>
      <c r="P2201" t="str">
        <f>_xlfn.XLOOKUP(C2201,tblProducts[product_id],tblProducts[category],"Missing")</f>
        <v>CRM</v>
      </c>
      <c r="Q2201" t="str">
        <f>_xlfn.XLOOKUP(D2201,tblSalesReps[rep_id],tblSalesReps[rep_name],"Missing")</f>
        <v>Sales Rep 11</v>
      </c>
      <c r="R2201" t="str">
        <f>_xlfn.XLOOKUP(D2201,tblSalesReps[rep_id],tblSalesReps[region],"Missing")</f>
        <v>West</v>
      </c>
    </row>
    <row r="2202" spans="1:18">
      <c r="A2202" t="s">
        <v>2743</v>
      </c>
      <c r="B2202" t="s">
        <v>418</v>
      </c>
      <c r="C2202" t="s">
        <v>26</v>
      </c>
      <c r="D2202" t="s">
        <v>46</v>
      </c>
      <c r="E2202" s="1">
        <v>45702</v>
      </c>
      <c r="F2202" s="1">
        <v>45755</v>
      </c>
      <c r="G2202" s="1">
        <v>45755</v>
      </c>
      <c r="H2202" t="s">
        <v>28</v>
      </c>
      <c r="I2202">
        <v>2</v>
      </c>
      <c r="J2202">
        <v>15</v>
      </c>
      <c r="K2202">
        <v>612000</v>
      </c>
      <c r="L2202">
        <v>100</v>
      </c>
      <c r="M2202" t="s">
        <v>29</v>
      </c>
      <c r="N2202" t="str">
        <f>_xlfn.XLOOKUP(B2202,tblCustomers[customer_id],tblCustomers[region],"Missing")</f>
        <v>South</v>
      </c>
      <c r="O2202" t="str">
        <f>_xlfn.XLOOKUP(C2202,tblProducts[product_id],tblProducts[product_name],"Missing")</f>
        <v>Security Suite</v>
      </c>
      <c r="P2202" t="str">
        <f>_xlfn.XLOOKUP(C2202,tblProducts[product_id],tblProducts[category],"Missing")</f>
        <v>Security</v>
      </c>
      <c r="Q2202" t="str">
        <f>_xlfn.XLOOKUP(D2202,tblSalesReps[rep_id],tblSalesReps[rep_name],"Missing")</f>
        <v>Sales Rep 01</v>
      </c>
      <c r="R2202" t="str">
        <f>_xlfn.XLOOKUP(D2202,tblSalesReps[rep_id],tblSalesReps[region],"Missing")</f>
        <v>South</v>
      </c>
    </row>
    <row r="2203" spans="1:18">
      <c r="A2203" t="s">
        <v>2744</v>
      </c>
      <c r="B2203" t="s">
        <v>215</v>
      </c>
      <c r="C2203" t="s">
        <v>62</v>
      </c>
      <c r="D2203" t="s">
        <v>16</v>
      </c>
      <c r="E2203" s="1">
        <v>45829</v>
      </c>
      <c r="F2203" s="1">
        <v>45840</v>
      </c>
      <c r="G2203" s="1">
        <v>45840</v>
      </c>
      <c r="H2203" t="s">
        <v>17</v>
      </c>
      <c r="I2203">
        <v>3</v>
      </c>
      <c r="J2203">
        <v>20</v>
      </c>
      <c r="K2203">
        <v>288000</v>
      </c>
      <c r="L2203">
        <v>0</v>
      </c>
      <c r="M2203" t="s">
        <v>47</v>
      </c>
      <c r="N2203" t="str">
        <f>_xlfn.XLOOKUP(B2203,tblCustomers[customer_id],tblCustomers[region],"Missing")</f>
        <v>North</v>
      </c>
      <c r="O2203" t="str">
        <f>_xlfn.XLOOKUP(C2203,tblProducts[product_id],tblProducts[product_name],"Missing")</f>
        <v>CRM Essentials</v>
      </c>
      <c r="P2203" t="str">
        <f>_xlfn.XLOOKUP(C2203,tblProducts[product_id],tblProducts[category],"Missing")</f>
        <v>CRM</v>
      </c>
      <c r="Q2203" t="str">
        <f>_xlfn.XLOOKUP(D2203,tblSalesReps[rep_id],tblSalesReps[rep_name],"Missing")</f>
        <v>Sales Rep 08</v>
      </c>
      <c r="R2203" t="str">
        <f>_xlfn.XLOOKUP(D2203,tblSalesReps[rep_id],tblSalesReps[region],"Missing")</f>
        <v>North</v>
      </c>
    </row>
    <row r="2204" spans="1:18">
      <c r="A2204" t="s">
        <v>2745</v>
      </c>
      <c r="B2204" t="s">
        <v>381</v>
      </c>
      <c r="C2204" t="s">
        <v>26</v>
      </c>
      <c r="D2204" t="s">
        <v>50</v>
      </c>
      <c r="E2204" s="1">
        <v>45678</v>
      </c>
      <c r="F2204" s="1">
        <v>45713</v>
      </c>
      <c r="G2204" s="1"/>
      <c r="H2204" t="s">
        <v>43</v>
      </c>
      <c r="I2204">
        <v>2</v>
      </c>
      <c r="J2204">
        <v>5</v>
      </c>
      <c r="K2204">
        <v>684000</v>
      </c>
      <c r="L2204">
        <v>40</v>
      </c>
      <c r="M2204" t="s">
        <v>29</v>
      </c>
      <c r="N2204" t="str">
        <f>_xlfn.XLOOKUP(B2204,tblCustomers[customer_id],tblCustomers[region],"Missing")</f>
        <v>West</v>
      </c>
      <c r="O2204" t="str">
        <f>_xlfn.XLOOKUP(C2204,tblProducts[product_id],tblProducts[product_name],"Missing")</f>
        <v>Security Suite</v>
      </c>
      <c r="P2204" t="str">
        <f>_xlfn.XLOOKUP(C2204,tblProducts[product_id],tblProducts[category],"Missing")</f>
        <v>Security</v>
      </c>
      <c r="Q2204" t="str">
        <f>_xlfn.XLOOKUP(D2204,tblSalesReps[rep_id],tblSalesReps[rep_name],"Missing")</f>
        <v>Sales Rep 15</v>
      </c>
      <c r="R2204" t="str">
        <f>_xlfn.XLOOKUP(D2204,tblSalesReps[rep_id],tblSalesReps[region],"Missing")</f>
        <v>West</v>
      </c>
    </row>
    <row r="2205" spans="1:18">
      <c r="A2205" t="s">
        <v>2746</v>
      </c>
      <c r="B2205" t="s">
        <v>381</v>
      </c>
      <c r="C2205" t="s">
        <v>62</v>
      </c>
      <c r="D2205" t="s">
        <v>40</v>
      </c>
      <c r="E2205" s="1">
        <v>45987</v>
      </c>
      <c r="F2205" s="1">
        <v>46027</v>
      </c>
      <c r="G2205" s="1"/>
      <c r="H2205" t="s">
        <v>43</v>
      </c>
      <c r="I2205">
        <v>1</v>
      </c>
      <c r="J2205">
        <v>20</v>
      </c>
      <c r="K2205">
        <v>96000</v>
      </c>
      <c r="L2205">
        <v>80</v>
      </c>
      <c r="M2205" t="s">
        <v>29</v>
      </c>
      <c r="N2205" t="str">
        <f>_xlfn.XLOOKUP(B2205,tblCustomers[customer_id],tblCustomers[region],"Missing")</f>
        <v>West</v>
      </c>
      <c r="O2205" t="str">
        <f>_xlfn.XLOOKUP(C2205,tblProducts[product_id],tblProducts[product_name],"Missing")</f>
        <v>CRM Essentials</v>
      </c>
      <c r="P2205" t="str">
        <f>_xlfn.XLOOKUP(C2205,tblProducts[product_id],tblProducts[category],"Missing")</f>
        <v>CRM</v>
      </c>
      <c r="Q2205" t="str">
        <f>_xlfn.XLOOKUP(D2205,tblSalesReps[rep_id],tblSalesReps[rep_name],"Missing")</f>
        <v>Sales Rep 13</v>
      </c>
      <c r="R2205" t="str">
        <f>_xlfn.XLOOKUP(D2205,tblSalesReps[rep_id],tblSalesReps[region],"Missing")</f>
        <v>West</v>
      </c>
    </row>
    <row r="2206" spans="1:18">
      <c r="A2206" t="s">
        <v>2747</v>
      </c>
      <c r="B2206" t="s">
        <v>656</v>
      </c>
      <c r="C2206" t="s">
        <v>81</v>
      </c>
      <c r="D2206" t="s">
        <v>126</v>
      </c>
      <c r="E2206" s="1">
        <v>45819</v>
      </c>
      <c r="F2206" s="1">
        <v>45827</v>
      </c>
      <c r="G2206" s="1">
        <v>45827</v>
      </c>
      <c r="H2206" t="s">
        <v>28</v>
      </c>
      <c r="I2206">
        <v>3</v>
      </c>
      <c r="J2206">
        <v>15</v>
      </c>
      <c r="K2206">
        <v>765000</v>
      </c>
      <c r="L2206">
        <v>100</v>
      </c>
      <c r="M2206" t="s">
        <v>29</v>
      </c>
      <c r="N2206" t="str">
        <f>_xlfn.XLOOKUP(B2206,tblCustomers[customer_id],tblCustomers[region],"Missing")</f>
        <v>South</v>
      </c>
      <c r="O2206" t="str">
        <f>_xlfn.XLOOKUP(C2206,tblProducts[product_id],tblProducts[product_name],"Missing")</f>
        <v>Analytics Cloud</v>
      </c>
      <c r="P2206" t="str">
        <f>_xlfn.XLOOKUP(C2206,tblProducts[product_id],tblProducts[category],"Missing")</f>
        <v>Analytics</v>
      </c>
      <c r="Q2206" t="str">
        <f>_xlfn.XLOOKUP(D2206,tblSalesReps[rep_id],tblSalesReps[rep_name],"Missing")</f>
        <v>Sales Rep 02</v>
      </c>
      <c r="R2206" t="str">
        <f>_xlfn.XLOOKUP(D2206,tblSalesReps[rep_id],tblSalesReps[region],"Missing")</f>
        <v>South</v>
      </c>
    </row>
    <row r="2207" spans="1:18">
      <c r="A2207" t="s">
        <v>2748</v>
      </c>
      <c r="B2207" t="s">
        <v>241</v>
      </c>
      <c r="C2207" t="s">
        <v>15</v>
      </c>
      <c r="D2207" t="s">
        <v>53</v>
      </c>
      <c r="E2207" s="1">
        <v>45775</v>
      </c>
      <c r="F2207" s="1">
        <v>45851</v>
      </c>
      <c r="G2207" s="1"/>
      <c r="H2207" t="s">
        <v>43</v>
      </c>
      <c r="I2207">
        <v>1</v>
      </c>
      <c r="J2207">
        <v>15</v>
      </c>
      <c r="K2207">
        <v>357000</v>
      </c>
      <c r="L2207">
        <v>20</v>
      </c>
      <c r="M2207" t="s">
        <v>29</v>
      </c>
      <c r="N2207" t="str">
        <f>_xlfn.XLOOKUP(B2207,tblCustomers[customer_id],tblCustomers[region],"Missing")</f>
        <v>East</v>
      </c>
      <c r="O2207" t="str">
        <f>_xlfn.XLOOKUP(C2207,tblProducts[product_id],tblProducts[product_name],"Missing")</f>
        <v>CRM Enterprise</v>
      </c>
      <c r="P2207" t="str">
        <f>_xlfn.XLOOKUP(C2207,tblProducts[product_id],tblProducts[category],"Missing")</f>
        <v>CRM</v>
      </c>
      <c r="Q2207" t="str">
        <f>_xlfn.XLOOKUP(D2207,tblSalesReps[rep_id],tblSalesReps[rep_name],"Missing")</f>
        <v>Sales Rep 16</v>
      </c>
      <c r="R2207" t="str">
        <f>_xlfn.XLOOKUP(D2207,tblSalesReps[rep_id],tblSalesReps[region],"Missing")</f>
        <v>East</v>
      </c>
    </row>
    <row r="2208" spans="1:18">
      <c r="A2208" t="s">
        <v>2749</v>
      </c>
      <c r="B2208" t="s">
        <v>383</v>
      </c>
      <c r="C2208" t="s">
        <v>81</v>
      </c>
      <c r="D2208" t="s">
        <v>22</v>
      </c>
      <c r="E2208" s="1">
        <v>45736</v>
      </c>
      <c r="F2208" s="1">
        <v>45772</v>
      </c>
      <c r="G2208" s="1">
        <v>45772</v>
      </c>
      <c r="H2208" t="s">
        <v>17</v>
      </c>
      <c r="I2208">
        <v>1</v>
      </c>
      <c r="J2208">
        <v>5</v>
      </c>
      <c r="K2208">
        <v>285000</v>
      </c>
      <c r="L2208">
        <v>0</v>
      </c>
      <c r="M2208" t="s">
        <v>47</v>
      </c>
      <c r="N2208" t="str">
        <f>_xlfn.XLOOKUP(B2208,tblCustomers[customer_id],tblCustomers[region],"Missing")</f>
        <v>West</v>
      </c>
      <c r="O2208" t="str">
        <f>_xlfn.XLOOKUP(C2208,tblProducts[product_id],tblProducts[product_name],"Missing")</f>
        <v>Analytics Cloud</v>
      </c>
      <c r="P2208" t="str">
        <f>_xlfn.XLOOKUP(C2208,tblProducts[product_id],tblProducts[category],"Missing")</f>
        <v>Analytics</v>
      </c>
      <c r="Q2208" t="str">
        <f>_xlfn.XLOOKUP(D2208,tblSalesReps[rep_id],tblSalesReps[rep_name],"Missing")</f>
        <v>Sales Rep 14</v>
      </c>
      <c r="R2208" t="str">
        <f>_xlfn.XLOOKUP(D2208,tblSalesReps[rep_id],tblSalesReps[region],"Missing")</f>
        <v>West</v>
      </c>
    </row>
    <row r="2209" spans="1:18">
      <c r="A2209" t="s">
        <v>2750</v>
      </c>
      <c r="B2209" t="s">
        <v>485</v>
      </c>
      <c r="C2209" t="s">
        <v>21</v>
      </c>
      <c r="D2209" t="s">
        <v>152</v>
      </c>
      <c r="E2209" s="1">
        <v>45677</v>
      </c>
      <c r="F2209" s="1">
        <v>45756</v>
      </c>
      <c r="G2209" s="1">
        <v>45756</v>
      </c>
      <c r="H2209" t="s">
        <v>17</v>
      </c>
      <c r="I2209">
        <v>3</v>
      </c>
      <c r="J2209">
        <v>20</v>
      </c>
      <c r="K2209">
        <v>576000</v>
      </c>
      <c r="L2209">
        <v>0</v>
      </c>
      <c r="M2209" t="s">
        <v>23</v>
      </c>
      <c r="N2209" t="str">
        <f>_xlfn.XLOOKUP(B2209,tblCustomers[customer_id],tblCustomers[region],"Missing")</f>
        <v>East</v>
      </c>
      <c r="O2209" t="str">
        <f>_xlfn.XLOOKUP(C2209,tblProducts[product_id],tblProducts[product_name],"Missing")</f>
        <v>Workflow Automate</v>
      </c>
      <c r="P2209" t="str">
        <f>_xlfn.XLOOKUP(C2209,tblProducts[product_id],tblProducts[category],"Missing")</f>
        <v>Automation</v>
      </c>
      <c r="Q2209" t="str">
        <f>_xlfn.XLOOKUP(D2209,tblSalesReps[rep_id],tblSalesReps[rep_name],"Missing")</f>
        <v>Sales Rep 18</v>
      </c>
      <c r="R2209" t="str">
        <f>_xlfn.XLOOKUP(D2209,tblSalesReps[rep_id],tblSalesReps[region],"Missing")</f>
        <v>East</v>
      </c>
    </row>
    <row r="2210" spans="1:18">
      <c r="A2210" t="s">
        <v>2751</v>
      </c>
      <c r="B2210" t="s">
        <v>158</v>
      </c>
      <c r="C2210" t="s">
        <v>81</v>
      </c>
      <c r="D2210" t="s">
        <v>16</v>
      </c>
      <c r="E2210" s="1">
        <v>45676</v>
      </c>
      <c r="F2210" s="1">
        <v>45716</v>
      </c>
      <c r="G2210" s="1"/>
      <c r="H2210" t="s">
        <v>43</v>
      </c>
      <c r="I2210">
        <v>1</v>
      </c>
      <c r="J2210">
        <v>10</v>
      </c>
      <c r="K2210">
        <v>270000</v>
      </c>
      <c r="L2210">
        <v>40</v>
      </c>
      <c r="M2210" t="s">
        <v>29</v>
      </c>
      <c r="N2210" t="str">
        <f>_xlfn.XLOOKUP(B2210,tblCustomers[customer_id],tblCustomers[region],"Missing")</f>
        <v>North</v>
      </c>
      <c r="O2210" t="str">
        <f>_xlfn.XLOOKUP(C2210,tblProducts[product_id],tblProducts[product_name],"Missing")</f>
        <v>Analytics Cloud</v>
      </c>
      <c r="P2210" t="str">
        <f>_xlfn.XLOOKUP(C2210,tblProducts[product_id],tblProducts[category],"Missing")</f>
        <v>Analytics</v>
      </c>
      <c r="Q2210" t="str">
        <f>_xlfn.XLOOKUP(D2210,tblSalesReps[rep_id],tblSalesReps[rep_name],"Missing")</f>
        <v>Sales Rep 08</v>
      </c>
      <c r="R2210" t="str">
        <f>_xlfn.XLOOKUP(D2210,tblSalesReps[rep_id],tblSalesReps[region],"Missing")</f>
        <v>North</v>
      </c>
    </row>
    <row r="2211" spans="1:18">
      <c r="A2211" t="s">
        <v>2752</v>
      </c>
      <c r="B2211" t="s">
        <v>38</v>
      </c>
      <c r="C2211" t="s">
        <v>26</v>
      </c>
      <c r="D2211" t="s">
        <v>22</v>
      </c>
      <c r="E2211" s="1">
        <v>45943</v>
      </c>
      <c r="F2211" s="1">
        <v>46026</v>
      </c>
      <c r="G2211" s="1"/>
      <c r="H2211" t="s">
        <v>43</v>
      </c>
      <c r="I2211">
        <v>3</v>
      </c>
      <c r="J2211">
        <v>15</v>
      </c>
      <c r="K2211">
        <v>918000</v>
      </c>
      <c r="L2211">
        <v>80</v>
      </c>
      <c r="M2211" t="s">
        <v>29</v>
      </c>
      <c r="N2211" t="str">
        <f>_xlfn.XLOOKUP(B2211,tblCustomers[customer_id],tblCustomers[region],"Missing")</f>
        <v>West</v>
      </c>
      <c r="O2211" t="str">
        <f>_xlfn.XLOOKUP(C2211,tblProducts[product_id],tblProducts[product_name],"Missing")</f>
        <v>Security Suite</v>
      </c>
      <c r="P2211" t="str">
        <f>_xlfn.XLOOKUP(C2211,tblProducts[product_id],tblProducts[category],"Missing")</f>
        <v>Security</v>
      </c>
      <c r="Q2211" t="str">
        <f>_xlfn.XLOOKUP(D2211,tblSalesReps[rep_id],tblSalesReps[rep_name],"Missing")</f>
        <v>Sales Rep 14</v>
      </c>
      <c r="R2211" t="str">
        <f>_xlfn.XLOOKUP(D2211,tblSalesReps[rep_id],tblSalesReps[region],"Missing")</f>
        <v>West</v>
      </c>
    </row>
    <row r="2212" spans="1:18">
      <c r="A2212" t="s">
        <v>2753</v>
      </c>
      <c r="B2212" t="s">
        <v>902</v>
      </c>
      <c r="C2212" t="s">
        <v>21</v>
      </c>
      <c r="D2212" t="s">
        <v>75</v>
      </c>
      <c r="E2212" s="1">
        <v>45817</v>
      </c>
      <c r="F2212" s="1">
        <v>45884</v>
      </c>
      <c r="G2212" s="1"/>
      <c r="H2212" t="s">
        <v>43</v>
      </c>
      <c r="I2212">
        <v>2</v>
      </c>
      <c r="J2212">
        <v>0</v>
      </c>
      <c r="K2212">
        <v>480000</v>
      </c>
      <c r="L2212">
        <v>80</v>
      </c>
      <c r="M2212" t="s">
        <v>29</v>
      </c>
      <c r="N2212" t="str">
        <f>_xlfn.XLOOKUP(B2212,tblCustomers[customer_id],tblCustomers[region],"Missing")</f>
        <v>North</v>
      </c>
      <c r="O2212" t="str">
        <f>_xlfn.XLOOKUP(C2212,tblProducts[product_id],tblProducts[product_name],"Missing")</f>
        <v>Workflow Automate</v>
      </c>
      <c r="P2212" t="str">
        <f>_xlfn.XLOOKUP(C2212,tblProducts[product_id],tblProducts[category],"Missing")</f>
        <v>Automation</v>
      </c>
      <c r="Q2212" t="str">
        <f>_xlfn.XLOOKUP(D2212,tblSalesReps[rep_id],tblSalesReps[rep_name],"Missing")</f>
        <v>Sales Rep 07</v>
      </c>
      <c r="R2212" t="str">
        <f>_xlfn.XLOOKUP(D2212,tblSalesReps[rep_id],tblSalesReps[region],"Missing")</f>
        <v>North</v>
      </c>
    </row>
    <row r="2213" spans="1:18">
      <c r="A2213" t="s">
        <v>2754</v>
      </c>
      <c r="B2213" t="s">
        <v>1287</v>
      </c>
      <c r="C2213" t="s">
        <v>21</v>
      </c>
      <c r="D2213" t="s">
        <v>75</v>
      </c>
      <c r="E2213" s="1">
        <v>45824</v>
      </c>
      <c r="F2213" s="1">
        <v>45880</v>
      </c>
      <c r="G2213" s="1">
        <v>45880</v>
      </c>
      <c r="H2213" t="s">
        <v>17</v>
      </c>
      <c r="I2213">
        <v>1</v>
      </c>
      <c r="J2213">
        <v>20</v>
      </c>
      <c r="K2213">
        <v>192000</v>
      </c>
      <c r="L2213">
        <v>0</v>
      </c>
      <c r="M2213" t="s">
        <v>47</v>
      </c>
      <c r="N2213" t="str">
        <f>_xlfn.XLOOKUP(B2213,tblCustomers[customer_id],tblCustomers[region],"Missing")</f>
        <v>North</v>
      </c>
      <c r="O2213" t="str">
        <f>_xlfn.XLOOKUP(C2213,tblProducts[product_id],tblProducts[product_name],"Missing")</f>
        <v>Workflow Automate</v>
      </c>
      <c r="P2213" t="str">
        <f>_xlfn.XLOOKUP(C2213,tblProducts[product_id],tblProducts[category],"Missing")</f>
        <v>Automation</v>
      </c>
      <c r="Q2213" t="str">
        <f>_xlfn.XLOOKUP(D2213,tblSalesReps[rep_id],tblSalesReps[rep_name],"Missing")</f>
        <v>Sales Rep 07</v>
      </c>
      <c r="R2213" t="str">
        <f>_xlfn.XLOOKUP(D2213,tblSalesReps[rep_id],tblSalesReps[region],"Missing")</f>
        <v>North</v>
      </c>
    </row>
    <row r="2214" spans="1:18">
      <c r="A2214" t="s">
        <v>2755</v>
      </c>
      <c r="B2214" t="s">
        <v>902</v>
      </c>
      <c r="C2214" t="s">
        <v>15</v>
      </c>
      <c r="D2214" t="s">
        <v>16</v>
      </c>
      <c r="E2214" s="1">
        <v>45730</v>
      </c>
      <c r="F2214" s="1">
        <v>45780</v>
      </c>
      <c r="G2214" s="1"/>
      <c r="H2214" t="s">
        <v>43</v>
      </c>
      <c r="I2214">
        <v>1</v>
      </c>
      <c r="J2214">
        <v>10</v>
      </c>
      <c r="K2214">
        <v>378000</v>
      </c>
      <c r="L2214">
        <v>80</v>
      </c>
      <c r="M2214" t="s">
        <v>29</v>
      </c>
      <c r="N2214" t="str">
        <f>_xlfn.XLOOKUP(B2214,tblCustomers[customer_id],tblCustomers[region],"Missing")</f>
        <v>North</v>
      </c>
      <c r="O2214" t="str">
        <f>_xlfn.XLOOKUP(C2214,tblProducts[product_id],tblProducts[product_name],"Missing")</f>
        <v>CRM Enterprise</v>
      </c>
      <c r="P2214" t="str">
        <f>_xlfn.XLOOKUP(C2214,tblProducts[product_id],tblProducts[category],"Missing")</f>
        <v>CRM</v>
      </c>
      <c r="Q2214" t="str">
        <f>_xlfn.XLOOKUP(D2214,tblSalesReps[rep_id],tblSalesReps[rep_name],"Missing")</f>
        <v>Sales Rep 08</v>
      </c>
      <c r="R2214" t="str">
        <f>_xlfn.XLOOKUP(D2214,tblSalesReps[rep_id],tblSalesReps[region],"Missing")</f>
        <v>North</v>
      </c>
    </row>
    <row r="2215" spans="1:18">
      <c r="A2215" t="s">
        <v>2756</v>
      </c>
      <c r="B2215" t="s">
        <v>1000</v>
      </c>
      <c r="C2215" t="s">
        <v>81</v>
      </c>
      <c r="D2215" t="s">
        <v>126</v>
      </c>
      <c r="E2215" s="1">
        <v>45899</v>
      </c>
      <c r="F2215" s="1">
        <v>45956</v>
      </c>
      <c r="G2215" s="1">
        <v>45956</v>
      </c>
      <c r="H2215" t="s">
        <v>28</v>
      </c>
      <c r="I2215">
        <v>1</v>
      </c>
      <c r="J2215">
        <v>5</v>
      </c>
      <c r="K2215">
        <v>285000</v>
      </c>
      <c r="L2215">
        <v>100</v>
      </c>
      <c r="M2215" t="s">
        <v>29</v>
      </c>
      <c r="N2215" t="str">
        <f>_xlfn.XLOOKUP(B2215,tblCustomers[customer_id],tblCustomers[region],"Missing")</f>
        <v>South</v>
      </c>
      <c r="O2215" t="str">
        <f>_xlfn.XLOOKUP(C2215,tblProducts[product_id],tblProducts[product_name],"Missing")</f>
        <v>Analytics Cloud</v>
      </c>
      <c r="P2215" t="str">
        <f>_xlfn.XLOOKUP(C2215,tblProducts[product_id],tblProducts[category],"Missing")</f>
        <v>Analytics</v>
      </c>
      <c r="Q2215" t="str">
        <f>_xlfn.XLOOKUP(D2215,tblSalesReps[rep_id],tblSalesReps[rep_name],"Missing")</f>
        <v>Sales Rep 02</v>
      </c>
      <c r="R2215" t="str">
        <f>_xlfn.XLOOKUP(D2215,tblSalesReps[rep_id],tblSalesReps[region],"Missing")</f>
        <v>South</v>
      </c>
    </row>
    <row r="2216" spans="1:18">
      <c r="A2216" t="s">
        <v>2757</v>
      </c>
      <c r="B2216" t="s">
        <v>1094</v>
      </c>
      <c r="C2216" t="s">
        <v>62</v>
      </c>
      <c r="D2216" t="s">
        <v>75</v>
      </c>
      <c r="E2216" s="1">
        <v>45735</v>
      </c>
      <c r="F2216" s="1">
        <v>45762</v>
      </c>
      <c r="G2216" s="1">
        <v>45762</v>
      </c>
      <c r="H2216" t="s">
        <v>17</v>
      </c>
      <c r="I2216">
        <v>2</v>
      </c>
      <c r="J2216">
        <v>5</v>
      </c>
      <c r="K2216">
        <v>228000</v>
      </c>
      <c r="L2216">
        <v>0</v>
      </c>
      <c r="M2216" t="s">
        <v>47</v>
      </c>
      <c r="N2216" t="str">
        <f>_xlfn.XLOOKUP(B2216,tblCustomers[customer_id],tblCustomers[region],"Missing")</f>
        <v>North</v>
      </c>
      <c r="O2216" t="str">
        <f>_xlfn.XLOOKUP(C2216,tblProducts[product_id],tblProducts[product_name],"Missing")</f>
        <v>CRM Essentials</v>
      </c>
      <c r="P2216" t="str">
        <f>_xlfn.XLOOKUP(C2216,tblProducts[product_id],tblProducts[category],"Missing")</f>
        <v>CRM</v>
      </c>
      <c r="Q2216" t="str">
        <f>_xlfn.XLOOKUP(D2216,tblSalesReps[rep_id],tblSalesReps[rep_name],"Missing")</f>
        <v>Sales Rep 07</v>
      </c>
      <c r="R2216" t="str">
        <f>_xlfn.XLOOKUP(D2216,tblSalesReps[rep_id],tblSalesReps[region],"Missing")</f>
        <v>North</v>
      </c>
    </row>
    <row r="2217" spans="1:18">
      <c r="A2217" t="s">
        <v>2758</v>
      </c>
      <c r="B2217" t="s">
        <v>238</v>
      </c>
      <c r="C2217" t="s">
        <v>21</v>
      </c>
      <c r="D2217" t="s">
        <v>22</v>
      </c>
      <c r="E2217" s="1">
        <v>45933</v>
      </c>
      <c r="F2217" s="1">
        <v>45998</v>
      </c>
      <c r="G2217" s="1"/>
      <c r="H2217" t="s">
        <v>43</v>
      </c>
      <c r="I2217">
        <v>1</v>
      </c>
      <c r="J2217">
        <v>20</v>
      </c>
      <c r="K2217">
        <v>192000</v>
      </c>
      <c r="L2217">
        <v>40</v>
      </c>
      <c r="M2217" t="s">
        <v>29</v>
      </c>
      <c r="N2217" t="str">
        <f>_xlfn.XLOOKUP(B2217,tblCustomers[customer_id],tblCustomers[region],"Missing")</f>
        <v>West</v>
      </c>
      <c r="O2217" t="str">
        <f>_xlfn.XLOOKUP(C2217,tblProducts[product_id],tblProducts[product_name],"Missing")</f>
        <v>Workflow Automate</v>
      </c>
      <c r="P2217" t="str">
        <f>_xlfn.XLOOKUP(C2217,tblProducts[product_id],tblProducts[category],"Missing")</f>
        <v>Automation</v>
      </c>
      <c r="Q2217" t="str">
        <f>_xlfn.XLOOKUP(D2217,tblSalesReps[rep_id],tblSalesReps[rep_name],"Missing")</f>
        <v>Sales Rep 14</v>
      </c>
      <c r="R2217" t="str">
        <f>_xlfn.XLOOKUP(D2217,tblSalesReps[rep_id],tblSalesReps[region],"Missing")</f>
        <v>West</v>
      </c>
    </row>
    <row r="2218" spans="1:18">
      <c r="A2218" t="s">
        <v>2759</v>
      </c>
      <c r="B2218" t="s">
        <v>1603</v>
      </c>
      <c r="C2218" t="s">
        <v>81</v>
      </c>
      <c r="D2218" t="s">
        <v>36</v>
      </c>
      <c r="E2218" s="1">
        <v>45916</v>
      </c>
      <c r="F2218" s="1">
        <v>46000</v>
      </c>
      <c r="G2218" s="1">
        <v>46000</v>
      </c>
      <c r="H2218" t="s">
        <v>28</v>
      </c>
      <c r="I2218">
        <v>1</v>
      </c>
      <c r="J2218">
        <v>10</v>
      </c>
      <c r="K2218">
        <v>270000</v>
      </c>
      <c r="L2218">
        <v>100</v>
      </c>
      <c r="M2218" t="s">
        <v>29</v>
      </c>
      <c r="N2218" t="str">
        <f>_xlfn.XLOOKUP(B2218,tblCustomers[customer_id],tblCustomers[region],"Missing")</f>
        <v>North</v>
      </c>
      <c r="O2218" t="str">
        <f>_xlfn.XLOOKUP(C2218,tblProducts[product_id],tblProducts[product_name],"Missing")</f>
        <v>Analytics Cloud</v>
      </c>
      <c r="P2218" t="str">
        <f>_xlfn.XLOOKUP(C2218,tblProducts[product_id],tblProducts[category],"Missing")</f>
        <v>Analytics</v>
      </c>
      <c r="Q2218" t="str">
        <f>_xlfn.XLOOKUP(D2218,tblSalesReps[rep_id],tblSalesReps[rep_name],"Missing")</f>
        <v>Sales Rep 09</v>
      </c>
      <c r="R2218" t="str">
        <f>_xlfn.XLOOKUP(D2218,tblSalesReps[rep_id],tblSalesReps[region],"Missing")</f>
        <v>North</v>
      </c>
    </row>
    <row r="2219" spans="1:18">
      <c r="A2219" t="s">
        <v>2760</v>
      </c>
      <c r="B2219" t="s">
        <v>871</v>
      </c>
      <c r="C2219" t="s">
        <v>39</v>
      </c>
      <c r="D2219" t="s">
        <v>27</v>
      </c>
      <c r="E2219" s="1">
        <v>45832</v>
      </c>
      <c r="F2219" s="1">
        <v>45844</v>
      </c>
      <c r="G2219" s="1">
        <v>45844</v>
      </c>
      <c r="H2219" t="s">
        <v>28</v>
      </c>
      <c r="I2219">
        <v>1</v>
      </c>
      <c r="J2219">
        <v>20</v>
      </c>
      <c r="K2219">
        <v>144000</v>
      </c>
      <c r="L2219">
        <v>100</v>
      </c>
      <c r="M2219" t="s">
        <v>29</v>
      </c>
      <c r="N2219" t="str">
        <f>_xlfn.XLOOKUP(B2219,tblCustomers[customer_id],tblCustomers[region],"Missing")</f>
        <v>North</v>
      </c>
      <c r="O2219" t="str">
        <f>_xlfn.XLOOKUP(C2219,tblProducts[product_id],tblProducts[product_name],"Missing")</f>
        <v>Support Desk</v>
      </c>
      <c r="P2219" t="str">
        <f>_xlfn.XLOOKUP(C2219,tblProducts[product_id],tblProducts[category],"Missing")</f>
        <v>Service</v>
      </c>
      <c r="Q2219" t="str">
        <f>_xlfn.XLOOKUP(D2219,tblSalesReps[rep_id],tblSalesReps[rep_name],"Missing")</f>
        <v>Sales Rep 06</v>
      </c>
      <c r="R2219" t="str">
        <f>_xlfn.XLOOKUP(D2219,tblSalesReps[rep_id],tblSalesReps[region],"Missing")</f>
        <v>North</v>
      </c>
    </row>
    <row r="2220" spans="1:18">
      <c r="A2220" t="s">
        <v>2761</v>
      </c>
      <c r="B2220" t="s">
        <v>1536</v>
      </c>
      <c r="C2220" t="s">
        <v>21</v>
      </c>
      <c r="D2220" t="s">
        <v>119</v>
      </c>
      <c r="E2220" s="1">
        <v>45663</v>
      </c>
      <c r="F2220" s="1">
        <v>45724</v>
      </c>
      <c r="G2220" s="1">
        <v>45724</v>
      </c>
      <c r="H2220" t="s">
        <v>28</v>
      </c>
      <c r="I2220">
        <v>1</v>
      </c>
      <c r="J2220">
        <v>20</v>
      </c>
      <c r="K2220">
        <v>192000</v>
      </c>
      <c r="L2220">
        <v>100</v>
      </c>
      <c r="M2220" t="s">
        <v>29</v>
      </c>
      <c r="N2220" t="str">
        <f>_xlfn.XLOOKUP(B2220,tblCustomers[customer_id],tblCustomers[region],"Missing")</f>
        <v>North</v>
      </c>
      <c r="O2220" t="str">
        <f>_xlfn.XLOOKUP(C2220,tblProducts[product_id],tblProducts[product_name],"Missing")</f>
        <v>Workflow Automate</v>
      </c>
      <c r="P2220" t="str">
        <f>_xlfn.XLOOKUP(C2220,tblProducts[product_id],tblProducts[category],"Missing")</f>
        <v>Automation</v>
      </c>
      <c r="Q2220" t="str">
        <f>_xlfn.XLOOKUP(D2220,tblSalesReps[rep_id],tblSalesReps[rep_name],"Missing")</f>
        <v>Sales Rep 10</v>
      </c>
      <c r="R2220" t="str">
        <f>_xlfn.XLOOKUP(D2220,tblSalesReps[rep_id],tblSalesReps[region],"Missing")</f>
        <v>North</v>
      </c>
    </row>
    <row r="2221" spans="1:18">
      <c r="A2221" t="s">
        <v>2762</v>
      </c>
      <c r="B2221" t="s">
        <v>270</v>
      </c>
      <c r="C2221" t="s">
        <v>39</v>
      </c>
      <c r="D2221" t="s">
        <v>16</v>
      </c>
      <c r="E2221" s="1">
        <v>45757</v>
      </c>
      <c r="F2221" s="1">
        <v>45809</v>
      </c>
      <c r="G2221" s="1">
        <v>45809</v>
      </c>
      <c r="H2221" t="s">
        <v>28</v>
      </c>
      <c r="I2221">
        <v>1</v>
      </c>
      <c r="J2221">
        <v>5</v>
      </c>
      <c r="K2221">
        <v>171000</v>
      </c>
      <c r="L2221">
        <v>100</v>
      </c>
      <c r="M2221" t="s">
        <v>29</v>
      </c>
      <c r="N2221" t="str">
        <f>_xlfn.XLOOKUP(B2221,tblCustomers[customer_id],tblCustomers[region],"Missing")</f>
        <v>North</v>
      </c>
      <c r="O2221" t="str">
        <f>_xlfn.XLOOKUP(C2221,tblProducts[product_id],tblProducts[product_name],"Missing")</f>
        <v>Support Desk</v>
      </c>
      <c r="P2221" t="str">
        <f>_xlfn.XLOOKUP(C2221,tblProducts[product_id],tblProducts[category],"Missing")</f>
        <v>Service</v>
      </c>
      <c r="Q2221" t="str">
        <f>_xlfn.XLOOKUP(D2221,tblSalesReps[rep_id],tblSalesReps[rep_name],"Missing")</f>
        <v>Sales Rep 08</v>
      </c>
      <c r="R2221" t="str">
        <f>_xlfn.XLOOKUP(D2221,tblSalesReps[rep_id],tblSalesReps[region],"Missing")</f>
        <v>North</v>
      </c>
    </row>
    <row r="2222" spans="1:18">
      <c r="A2222" t="s">
        <v>2763</v>
      </c>
      <c r="B2222" t="s">
        <v>497</v>
      </c>
      <c r="C2222" t="s">
        <v>62</v>
      </c>
      <c r="D2222" t="s">
        <v>46</v>
      </c>
      <c r="E2222" s="1">
        <v>46002</v>
      </c>
      <c r="F2222" s="1">
        <v>46063</v>
      </c>
      <c r="G2222" s="1"/>
      <c r="H2222" t="s">
        <v>43</v>
      </c>
      <c r="I2222">
        <v>1</v>
      </c>
      <c r="J2222">
        <v>20</v>
      </c>
      <c r="K2222">
        <v>96000</v>
      </c>
      <c r="L2222">
        <v>80</v>
      </c>
      <c r="M2222" t="s">
        <v>29</v>
      </c>
      <c r="N2222" t="str">
        <f>_xlfn.XLOOKUP(B2222,tblCustomers[customer_id],tblCustomers[region],"Missing")</f>
        <v>South</v>
      </c>
      <c r="O2222" t="str">
        <f>_xlfn.XLOOKUP(C2222,tblProducts[product_id],tblProducts[product_name],"Missing")</f>
        <v>CRM Essentials</v>
      </c>
      <c r="P2222" t="str">
        <f>_xlfn.XLOOKUP(C2222,tblProducts[product_id],tblProducts[category],"Missing")</f>
        <v>CRM</v>
      </c>
      <c r="Q2222" t="str">
        <f>_xlfn.XLOOKUP(D2222,tblSalesReps[rep_id],tblSalesReps[rep_name],"Missing")</f>
        <v>Sales Rep 01</v>
      </c>
      <c r="R2222" t="str">
        <f>_xlfn.XLOOKUP(D2222,tblSalesReps[rep_id],tblSalesReps[region],"Missing")</f>
        <v>South</v>
      </c>
    </row>
    <row r="2223" spans="1:18">
      <c r="A2223" t="s">
        <v>2764</v>
      </c>
      <c r="B2223" t="s">
        <v>1003</v>
      </c>
      <c r="C2223" t="s">
        <v>26</v>
      </c>
      <c r="D2223" t="s">
        <v>126</v>
      </c>
      <c r="E2223" s="1">
        <v>45731</v>
      </c>
      <c r="F2223" s="1">
        <v>45801</v>
      </c>
      <c r="G2223" s="1">
        <v>45801</v>
      </c>
      <c r="H2223" t="s">
        <v>28</v>
      </c>
      <c r="I2223">
        <v>3</v>
      </c>
      <c r="J2223">
        <v>20</v>
      </c>
      <c r="K2223">
        <v>864000</v>
      </c>
      <c r="L2223">
        <v>100</v>
      </c>
      <c r="M2223" t="s">
        <v>29</v>
      </c>
      <c r="N2223" t="str">
        <f>_xlfn.XLOOKUP(B2223,tblCustomers[customer_id],tblCustomers[region],"Missing")</f>
        <v>South</v>
      </c>
      <c r="O2223" t="str">
        <f>_xlfn.XLOOKUP(C2223,tblProducts[product_id],tblProducts[product_name],"Missing")</f>
        <v>Security Suite</v>
      </c>
      <c r="P2223" t="str">
        <f>_xlfn.XLOOKUP(C2223,tblProducts[product_id],tblProducts[category],"Missing")</f>
        <v>Security</v>
      </c>
      <c r="Q2223" t="str">
        <f>_xlfn.XLOOKUP(D2223,tblSalesReps[rep_id],tblSalesReps[rep_name],"Missing")</f>
        <v>Sales Rep 02</v>
      </c>
      <c r="R2223" t="str">
        <f>_xlfn.XLOOKUP(D2223,tblSalesReps[rep_id],tblSalesReps[region],"Missing")</f>
        <v>South</v>
      </c>
    </row>
    <row r="2224" spans="1:18">
      <c r="A2224" t="s">
        <v>2765</v>
      </c>
      <c r="B2224" t="s">
        <v>487</v>
      </c>
      <c r="C2224" t="s">
        <v>81</v>
      </c>
      <c r="D2224" t="s">
        <v>78</v>
      </c>
      <c r="E2224" s="1">
        <v>45691</v>
      </c>
      <c r="F2224" s="1">
        <v>45735</v>
      </c>
      <c r="G2224" s="1">
        <v>45735</v>
      </c>
      <c r="H2224" t="s">
        <v>28</v>
      </c>
      <c r="I2224">
        <v>1</v>
      </c>
      <c r="J2224">
        <v>0</v>
      </c>
      <c r="K2224">
        <v>300000</v>
      </c>
      <c r="L2224">
        <v>100</v>
      </c>
      <c r="M2224" t="s">
        <v>29</v>
      </c>
      <c r="N2224" t="str">
        <f>_xlfn.XLOOKUP(B2224,tblCustomers[customer_id],tblCustomers[region],"Missing")</f>
        <v>West</v>
      </c>
      <c r="O2224" t="str">
        <f>_xlfn.XLOOKUP(C2224,tblProducts[product_id],tblProducts[product_name],"Missing")</f>
        <v>Analytics Cloud</v>
      </c>
      <c r="P2224" t="str">
        <f>_xlfn.XLOOKUP(C2224,tblProducts[product_id],tblProducts[category],"Missing")</f>
        <v>Analytics</v>
      </c>
      <c r="Q2224" t="str">
        <f>_xlfn.XLOOKUP(D2224,tblSalesReps[rep_id],tblSalesReps[rep_name],"Missing")</f>
        <v>Sales Rep 12</v>
      </c>
      <c r="R2224" t="str">
        <f>_xlfn.XLOOKUP(D2224,tblSalesReps[rep_id],tblSalesReps[region],"Missing")</f>
        <v>West</v>
      </c>
    </row>
    <row r="2225" spans="1:18">
      <c r="A2225" t="s">
        <v>2766</v>
      </c>
      <c r="B2225" t="s">
        <v>729</v>
      </c>
      <c r="C2225" t="s">
        <v>15</v>
      </c>
      <c r="D2225" t="s">
        <v>22</v>
      </c>
      <c r="E2225" s="1">
        <v>45929</v>
      </c>
      <c r="F2225" s="1">
        <v>45983</v>
      </c>
      <c r="G2225" s="1">
        <v>45983</v>
      </c>
      <c r="H2225" t="s">
        <v>17</v>
      </c>
      <c r="I2225">
        <v>1</v>
      </c>
      <c r="J2225">
        <v>20</v>
      </c>
      <c r="K2225">
        <v>336000</v>
      </c>
      <c r="L2225">
        <v>0</v>
      </c>
      <c r="M2225" t="s">
        <v>82</v>
      </c>
      <c r="N2225" t="str">
        <f>_xlfn.XLOOKUP(B2225,tblCustomers[customer_id],tblCustomers[region],"Missing")</f>
        <v>West</v>
      </c>
      <c r="O2225" t="str">
        <f>_xlfn.XLOOKUP(C2225,tblProducts[product_id],tblProducts[product_name],"Missing")</f>
        <v>CRM Enterprise</v>
      </c>
      <c r="P2225" t="str">
        <f>_xlfn.XLOOKUP(C2225,tblProducts[product_id],tblProducts[category],"Missing")</f>
        <v>CRM</v>
      </c>
      <c r="Q2225" t="str">
        <f>_xlfn.XLOOKUP(D2225,tblSalesReps[rep_id],tblSalesReps[rep_name],"Missing")</f>
        <v>Sales Rep 14</v>
      </c>
      <c r="R2225" t="str">
        <f>_xlfn.XLOOKUP(D2225,tblSalesReps[rep_id],tblSalesReps[region],"Missing")</f>
        <v>West</v>
      </c>
    </row>
    <row r="2226" spans="1:18">
      <c r="A2226" t="s">
        <v>2767</v>
      </c>
      <c r="B2226" t="s">
        <v>578</v>
      </c>
      <c r="C2226" t="s">
        <v>62</v>
      </c>
      <c r="D2226" t="s">
        <v>22</v>
      </c>
      <c r="E2226" s="1">
        <v>45773</v>
      </c>
      <c r="F2226" s="1">
        <v>45805</v>
      </c>
      <c r="G2226" s="1">
        <v>45805</v>
      </c>
      <c r="H2226" t="s">
        <v>17</v>
      </c>
      <c r="I2226">
        <v>1</v>
      </c>
      <c r="J2226">
        <v>20</v>
      </c>
      <c r="K2226">
        <v>96000</v>
      </c>
      <c r="L2226">
        <v>0</v>
      </c>
      <c r="M2226" t="s">
        <v>23</v>
      </c>
      <c r="N2226" t="str">
        <f>_xlfn.XLOOKUP(B2226,tblCustomers[customer_id],tblCustomers[region],"Missing")</f>
        <v>West</v>
      </c>
      <c r="O2226" t="str">
        <f>_xlfn.XLOOKUP(C2226,tblProducts[product_id],tblProducts[product_name],"Missing")</f>
        <v>CRM Essentials</v>
      </c>
      <c r="P2226" t="str">
        <f>_xlfn.XLOOKUP(C2226,tblProducts[product_id],tblProducts[category],"Missing")</f>
        <v>CRM</v>
      </c>
      <c r="Q2226" t="str">
        <f>_xlfn.XLOOKUP(D2226,tblSalesReps[rep_id],tblSalesReps[rep_name],"Missing")</f>
        <v>Sales Rep 14</v>
      </c>
      <c r="R2226" t="str">
        <f>_xlfn.XLOOKUP(D2226,tblSalesReps[rep_id],tblSalesReps[region],"Missing")</f>
        <v>West</v>
      </c>
    </row>
    <row r="2227" spans="1:18">
      <c r="A2227" t="s">
        <v>2768</v>
      </c>
      <c r="B2227" t="s">
        <v>686</v>
      </c>
      <c r="C2227" t="s">
        <v>62</v>
      </c>
      <c r="D2227" t="s">
        <v>22</v>
      </c>
      <c r="E2227" s="1">
        <v>45661</v>
      </c>
      <c r="F2227" s="1">
        <v>45704</v>
      </c>
      <c r="G2227" s="1">
        <v>45704</v>
      </c>
      <c r="H2227" t="s">
        <v>17</v>
      </c>
      <c r="I2227">
        <v>2</v>
      </c>
      <c r="J2227">
        <v>10</v>
      </c>
      <c r="K2227">
        <v>216000</v>
      </c>
      <c r="L2227">
        <v>0</v>
      </c>
      <c r="M2227" t="s">
        <v>82</v>
      </c>
      <c r="N2227" t="str">
        <f>_xlfn.XLOOKUP(B2227,tblCustomers[customer_id],tblCustomers[region],"Missing")</f>
        <v>West</v>
      </c>
      <c r="O2227" t="str">
        <f>_xlfn.XLOOKUP(C2227,tblProducts[product_id],tblProducts[product_name],"Missing")</f>
        <v>CRM Essentials</v>
      </c>
      <c r="P2227" t="str">
        <f>_xlfn.XLOOKUP(C2227,tblProducts[product_id],tblProducts[category],"Missing")</f>
        <v>CRM</v>
      </c>
      <c r="Q2227" t="str">
        <f>_xlfn.XLOOKUP(D2227,tblSalesReps[rep_id],tblSalesReps[rep_name],"Missing")</f>
        <v>Sales Rep 14</v>
      </c>
      <c r="R2227" t="str">
        <f>_xlfn.XLOOKUP(D2227,tblSalesReps[rep_id],tblSalesReps[region],"Missing")</f>
        <v>West</v>
      </c>
    </row>
    <row r="2228" spans="1:18">
      <c r="A2228" t="s">
        <v>2769</v>
      </c>
      <c r="B2228" t="s">
        <v>90</v>
      </c>
      <c r="C2228" t="s">
        <v>39</v>
      </c>
      <c r="D2228" t="s">
        <v>126</v>
      </c>
      <c r="E2228" s="1">
        <v>45746</v>
      </c>
      <c r="F2228" s="1">
        <v>45811</v>
      </c>
      <c r="G2228" s="1">
        <v>45811</v>
      </c>
      <c r="H2228" t="s">
        <v>28</v>
      </c>
      <c r="I2228">
        <v>1</v>
      </c>
      <c r="J2228">
        <v>10</v>
      </c>
      <c r="K2228">
        <v>162000</v>
      </c>
      <c r="L2228">
        <v>100</v>
      </c>
      <c r="M2228" t="s">
        <v>29</v>
      </c>
      <c r="N2228" t="str">
        <f>_xlfn.XLOOKUP(B2228,tblCustomers[customer_id],tblCustomers[region],"Missing")</f>
        <v>South</v>
      </c>
      <c r="O2228" t="str">
        <f>_xlfn.XLOOKUP(C2228,tblProducts[product_id],tblProducts[product_name],"Missing")</f>
        <v>Support Desk</v>
      </c>
      <c r="P2228" t="str">
        <f>_xlfn.XLOOKUP(C2228,tblProducts[product_id],tblProducts[category],"Missing")</f>
        <v>Service</v>
      </c>
      <c r="Q2228" t="str">
        <f>_xlfn.XLOOKUP(D2228,tblSalesReps[rep_id],tblSalesReps[rep_name],"Missing")</f>
        <v>Sales Rep 02</v>
      </c>
      <c r="R2228" t="str">
        <f>_xlfn.XLOOKUP(D2228,tblSalesReps[rep_id],tblSalesReps[region],"Missing")</f>
        <v>South</v>
      </c>
    </row>
    <row r="2229" spans="1:18">
      <c r="A2229" t="s">
        <v>2770</v>
      </c>
      <c r="B2229" t="s">
        <v>959</v>
      </c>
      <c r="C2229" t="s">
        <v>21</v>
      </c>
      <c r="D2229" t="s">
        <v>22</v>
      </c>
      <c r="E2229" s="1">
        <v>45846</v>
      </c>
      <c r="F2229" s="1">
        <v>45863</v>
      </c>
      <c r="G2229" s="1">
        <v>45863</v>
      </c>
      <c r="H2229" t="s">
        <v>28</v>
      </c>
      <c r="I2229">
        <v>3</v>
      </c>
      <c r="J2229">
        <v>20</v>
      </c>
      <c r="K2229">
        <v>576000</v>
      </c>
      <c r="L2229">
        <v>100</v>
      </c>
      <c r="M2229" t="s">
        <v>29</v>
      </c>
      <c r="N2229" t="str">
        <f>_xlfn.XLOOKUP(B2229,tblCustomers[customer_id],tblCustomers[region],"Missing")</f>
        <v>West</v>
      </c>
      <c r="O2229" t="str">
        <f>_xlfn.XLOOKUP(C2229,tblProducts[product_id],tblProducts[product_name],"Missing")</f>
        <v>Workflow Automate</v>
      </c>
      <c r="P2229" t="str">
        <f>_xlfn.XLOOKUP(C2229,tblProducts[product_id],tblProducts[category],"Missing")</f>
        <v>Automation</v>
      </c>
      <c r="Q2229" t="str">
        <f>_xlfn.XLOOKUP(D2229,tblSalesReps[rep_id],tblSalesReps[rep_name],"Missing")</f>
        <v>Sales Rep 14</v>
      </c>
      <c r="R2229" t="str">
        <f>_xlfn.XLOOKUP(D2229,tblSalesReps[rep_id],tblSalesReps[region],"Missing")</f>
        <v>West</v>
      </c>
    </row>
    <row r="2230" spans="1:18">
      <c r="A2230" t="s">
        <v>2771</v>
      </c>
      <c r="B2230" t="s">
        <v>335</v>
      </c>
      <c r="C2230" t="s">
        <v>81</v>
      </c>
      <c r="D2230" t="s">
        <v>22</v>
      </c>
      <c r="E2230" s="1">
        <v>45964</v>
      </c>
      <c r="F2230" s="1">
        <v>46001</v>
      </c>
      <c r="G2230" s="1"/>
      <c r="H2230" t="s">
        <v>43</v>
      </c>
      <c r="I2230">
        <v>2</v>
      </c>
      <c r="J2230">
        <v>10</v>
      </c>
      <c r="K2230">
        <v>540000</v>
      </c>
      <c r="L2230">
        <v>60</v>
      </c>
      <c r="M2230" t="s">
        <v>29</v>
      </c>
      <c r="N2230" t="str">
        <f>_xlfn.XLOOKUP(B2230,tblCustomers[customer_id],tblCustomers[region],"Missing")</f>
        <v>West</v>
      </c>
      <c r="O2230" t="str">
        <f>_xlfn.XLOOKUP(C2230,tblProducts[product_id],tblProducts[product_name],"Missing")</f>
        <v>Analytics Cloud</v>
      </c>
      <c r="P2230" t="str">
        <f>_xlfn.XLOOKUP(C2230,tblProducts[product_id],tblProducts[category],"Missing")</f>
        <v>Analytics</v>
      </c>
      <c r="Q2230" t="str">
        <f>_xlfn.XLOOKUP(D2230,tblSalesReps[rep_id],tblSalesReps[rep_name],"Missing")</f>
        <v>Sales Rep 14</v>
      </c>
      <c r="R2230" t="str">
        <f>_xlfn.XLOOKUP(D2230,tblSalesReps[rep_id],tblSalesReps[region],"Missing")</f>
        <v>West</v>
      </c>
    </row>
    <row r="2231" spans="1:18">
      <c r="A2231" t="s">
        <v>2772</v>
      </c>
      <c r="B2231" t="s">
        <v>1203</v>
      </c>
      <c r="C2231" t="s">
        <v>62</v>
      </c>
      <c r="D2231" t="s">
        <v>56</v>
      </c>
      <c r="E2231" s="1">
        <v>45955</v>
      </c>
      <c r="F2231" s="1">
        <v>45986</v>
      </c>
      <c r="G2231" s="1">
        <v>45986</v>
      </c>
      <c r="H2231" t="s">
        <v>28</v>
      </c>
      <c r="I2231">
        <v>1</v>
      </c>
      <c r="J2231">
        <v>15</v>
      </c>
      <c r="K2231">
        <v>102000</v>
      </c>
      <c r="L2231">
        <v>100</v>
      </c>
      <c r="M2231" t="s">
        <v>29</v>
      </c>
      <c r="N2231" t="str">
        <f>_xlfn.XLOOKUP(B2231,tblCustomers[customer_id],tblCustomers[region],"Missing")</f>
        <v>East</v>
      </c>
      <c r="O2231" t="str">
        <f>_xlfn.XLOOKUP(C2231,tblProducts[product_id],tblProducts[product_name],"Missing")</f>
        <v>CRM Essentials</v>
      </c>
      <c r="P2231" t="str">
        <f>_xlfn.XLOOKUP(C2231,tblProducts[product_id],tblProducts[category],"Missing")</f>
        <v>CRM</v>
      </c>
      <c r="Q2231" t="str">
        <f>_xlfn.XLOOKUP(D2231,tblSalesReps[rep_id],tblSalesReps[rep_name],"Missing")</f>
        <v>Sales Rep 20</v>
      </c>
      <c r="R2231" t="str">
        <f>_xlfn.XLOOKUP(D2231,tblSalesReps[rep_id],tblSalesReps[region],"Missing")</f>
        <v>East</v>
      </c>
    </row>
    <row r="2232" spans="1:18">
      <c r="A2232" t="s">
        <v>2773</v>
      </c>
      <c r="B2232" t="s">
        <v>116</v>
      </c>
      <c r="C2232" t="s">
        <v>15</v>
      </c>
      <c r="D2232" t="s">
        <v>46</v>
      </c>
      <c r="E2232" s="1">
        <v>45849</v>
      </c>
      <c r="F2232" s="1">
        <v>45930</v>
      </c>
      <c r="G2232" s="1">
        <v>45930</v>
      </c>
      <c r="H2232" t="s">
        <v>17</v>
      </c>
      <c r="I2232">
        <v>2</v>
      </c>
      <c r="J2232">
        <v>10</v>
      </c>
      <c r="K2232">
        <v>756000</v>
      </c>
      <c r="L2232">
        <v>0</v>
      </c>
      <c r="M2232" t="s">
        <v>23</v>
      </c>
      <c r="N2232" t="str">
        <f>_xlfn.XLOOKUP(B2232,tblCustomers[customer_id],tblCustomers[region],"Missing")</f>
        <v>South</v>
      </c>
      <c r="O2232" t="str">
        <f>_xlfn.XLOOKUP(C2232,tblProducts[product_id],tblProducts[product_name],"Missing")</f>
        <v>CRM Enterprise</v>
      </c>
      <c r="P2232" t="str">
        <f>_xlfn.XLOOKUP(C2232,tblProducts[product_id],tblProducts[category],"Missing")</f>
        <v>CRM</v>
      </c>
      <c r="Q2232" t="str">
        <f>_xlfn.XLOOKUP(D2232,tblSalesReps[rep_id],tblSalesReps[rep_name],"Missing")</f>
        <v>Sales Rep 01</v>
      </c>
      <c r="R2232" t="str">
        <f>_xlfn.XLOOKUP(D2232,tblSalesReps[rep_id],tblSalesReps[region],"Missing")</f>
        <v>South</v>
      </c>
    </row>
    <row r="2233" spans="1:18">
      <c r="A2233" t="s">
        <v>2774</v>
      </c>
      <c r="B2233" t="s">
        <v>287</v>
      </c>
      <c r="C2233" t="s">
        <v>15</v>
      </c>
      <c r="D2233" t="s">
        <v>126</v>
      </c>
      <c r="E2233" s="1">
        <v>45825</v>
      </c>
      <c r="F2233" s="1">
        <v>45887</v>
      </c>
      <c r="G2233" s="1">
        <v>45887</v>
      </c>
      <c r="H2233" t="s">
        <v>28</v>
      </c>
      <c r="I2233">
        <v>1</v>
      </c>
      <c r="J2233">
        <v>5</v>
      </c>
      <c r="K2233">
        <v>399000</v>
      </c>
      <c r="L2233">
        <v>100</v>
      </c>
      <c r="M2233" t="s">
        <v>29</v>
      </c>
      <c r="N2233" t="str">
        <f>_xlfn.XLOOKUP(B2233,tblCustomers[customer_id],tblCustomers[region],"Missing")</f>
        <v>South</v>
      </c>
      <c r="O2233" t="str">
        <f>_xlfn.XLOOKUP(C2233,tblProducts[product_id],tblProducts[product_name],"Missing")</f>
        <v>CRM Enterprise</v>
      </c>
      <c r="P2233" t="str">
        <f>_xlfn.XLOOKUP(C2233,tblProducts[product_id],tblProducts[category],"Missing")</f>
        <v>CRM</v>
      </c>
      <c r="Q2233" t="str">
        <f>_xlfn.XLOOKUP(D2233,tblSalesReps[rep_id],tblSalesReps[rep_name],"Missing")</f>
        <v>Sales Rep 02</v>
      </c>
      <c r="R2233" t="str">
        <f>_xlfn.XLOOKUP(D2233,tblSalesReps[rep_id],tblSalesReps[region],"Missing")</f>
        <v>South</v>
      </c>
    </row>
    <row r="2234" spans="1:18">
      <c r="A2234" t="s">
        <v>2775</v>
      </c>
      <c r="B2234" t="s">
        <v>920</v>
      </c>
      <c r="C2234" t="s">
        <v>15</v>
      </c>
      <c r="D2234" t="s">
        <v>22</v>
      </c>
      <c r="E2234" s="1">
        <v>45862</v>
      </c>
      <c r="F2234" s="1">
        <v>45898</v>
      </c>
      <c r="G2234" s="1"/>
      <c r="H2234" t="s">
        <v>43</v>
      </c>
      <c r="I2234">
        <v>1</v>
      </c>
      <c r="J2234">
        <v>0</v>
      </c>
      <c r="K2234">
        <v>420000</v>
      </c>
      <c r="L2234">
        <v>80</v>
      </c>
      <c r="M2234" t="s">
        <v>29</v>
      </c>
      <c r="N2234" t="str">
        <f>_xlfn.XLOOKUP(B2234,tblCustomers[customer_id],tblCustomers[region],"Missing")</f>
        <v>West</v>
      </c>
      <c r="O2234" t="str">
        <f>_xlfn.XLOOKUP(C2234,tblProducts[product_id],tblProducts[product_name],"Missing")</f>
        <v>CRM Enterprise</v>
      </c>
      <c r="P2234" t="str">
        <f>_xlfn.XLOOKUP(C2234,tblProducts[product_id],tblProducts[category],"Missing")</f>
        <v>CRM</v>
      </c>
      <c r="Q2234" t="str">
        <f>_xlfn.XLOOKUP(D2234,tblSalesReps[rep_id],tblSalesReps[rep_name],"Missing")</f>
        <v>Sales Rep 14</v>
      </c>
      <c r="R2234" t="str">
        <f>_xlfn.XLOOKUP(D2234,tblSalesReps[rep_id],tblSalesReps[region],"Missing")</f>
        <v>West</v>
      </c>
    </row>
    <row r="2235" spans="1:18">
      <c r="A2235" t="s">
        <v>2776</v>
      </c>
      <c r="B2235" t="s">
        <v>95</v>
      </c>
      <c r="C2235" t="s">
        <v>62</v>
      </c>
      <c r="D2235" t="s">
        <v>32</v>
      </c>
      <c r="E2235" s="1">
        <v>45701</v>
      </c>
      <c r="F2235" s="1">
        <v>45723</v>
      </c>
      <c r="G2235" s="1">
        <v>45723</v>
      </c>
      <c r="H2235" t="s">
        <v>17</v>
      </c>
      <c r="I2235">
        <v>3</v>
      </c>
      <c r="J2235">
        <v>20</v>
      </c>
      <c r="K2235">
        <v>288000</v>
      </c>
      <c r="L2235">
        <v>0</v>
      </c>
      <c r="M2235" t="s">
        <v>18</v>
      </c>
      <c r="N2235" t="str">
        <f>_xlfn.XLOOKUP(B2235,tblCustomers[customer_id],tblCustomers[region],"Missing")</f>
        <v>South</v>
      </c>
      <c r="O2235" t="str">
        <f>_xlfn.XLOOKUP(C2235,tblProducts[product_id],tblProducts[product_name],"Missing")</f>
        <v>CRM Essentials</v>
      </c>
      <c r="P2235" t="str">
        <f>_xlfn.XLOOKUP(C2235,tblProducts[product_id],tblProducts[category],"Missing")</f>
        <v>CRM</v>
      </c>
      <c r="Q2235" t="str">
        <f>_xlfn.XLOOKUP(D2235,tblSalesReps[rep_id],tblSalesReps[rep_name],"Missing")</f>
        <v>Sales Rep 04</v>
      </c>
      <c r="R2235" t="str">
        <f>_xlfn.XLOOKUP(D2235,tblSalesReps[rep_id],tblSalesReps[region],"Missing")</f>
        <v>South</v>
      </c>
    </row>
    <row r="2236" spans="1:18">
      <c r="A2236" t="s">
        <v>2777</v>
      </c>
      <c r="B2236" t="s">
        <v>782</v>
      </c>
      <c r="C2236" t="s">
        <v>21</v>
      </c>
      <c r="D2236" t="s">
        <v>32</v>
      </c>
      <c r="E2236" s="1">
        <v>45883</v>
      </c>
      <c r="F2236" s="1">
        <v>45919</v>
      </c>
      <c r="G2236" s="1"/>
      <c r="H2236" t="s">
        <v>43</v>
      </c>
      <c r="I2236">
        <v>1</v>
      </c>
      <c r="J2236">
        <v>5</v>
      </c>
      <c r="K2236">
        <v>228000</v>
      </c>
      <c r="L2236">
        <v>80</v>
      </c>
      <c r="M2236" t="s">
        <v>29</v>
      </c>
      <c r="N2236" t="str">
        <f>_xlfn.XLOOKUP(B2236,tblCustomers[customer_id],tblCustomers[region],"Missing")</f>
        <v>South</v>
      </c>
      <c r="O2236" t="str">
        <f>_xlfn.XLOOKUP(C2236,tblProducts[product_id],tblProducts[product_name],"Missing")</f>
        <v>Workflow Automate</v>
      </c>
      <c r="P2236" t="str">
        <f>_xlfn.XLOOKUP(C2236,tblProducts[product_id],tblProducts[category],"Missing")</f>
        <v>Automation</v>
      </c>
      <c r="Q2236" t="str">
        <f>_xlfn.XLOOKUP(D2236,tblSalesReps[rep_id],tblSalesReps[rep_name],"Missing")</f>
        <v>Sales Rep 04</v>
      </c>
      <c r="R2236" t="str">
        <f>_xlfn.XLOOKUP(D2236,tblSalesReps[rep_id],tblSalesReps[region],"Missing")</f>
        <v>South</v>
      </c>
    </row>
    <row r="2237" spans="1:18">
      <c r="A2237" t="s">
        <v>2778</v>
      </c>
      <c r="B2237" t="s">
        <v>1571</v>
      </c>
      <c r="C2237" t="s">
        <v>62</v>
      </c>
      <c r="D2237" t="s">
        <v>75</v>
      </c>
      <c r="E2237" s="1">
        <v>45991</v>
      </c>
      <c r="F2237" s="1">
        <v>46017</v>
      </c>
      <c r="G2237" s="1"/>
      <c r="H2237" t="s">
        <v>43</v>
      </c>
      <c r="I2237">
        <v>1</v>
      </c>
      <c r="J2237">
        <v>20</v>
      </c>
      <c r="K2237">
        <v>96000</v>
      </c>
      <c r="L2237">
        <v>80</v>
      </c>
      <c r="M2237" t="s">
        <v>29</v>
      </c>
      <c r="N2237" t="str">
        <f>_xlfn.XLOOKUP(B2237,tblCustomers[customer_id],tblCustomers[region],"Missing")</f>
        <v>North</v>
      </c>
      <c r="O2237" t="str">
        <f>_xlfn.XLOOKUP(C2237,tblProducts[product_id],tblProducts[product_name],"Missing")</f>
        <v>CRM Essentials</v>
      </c>
      <c r="P2237" t="str">
        <f>_xlfn.XLOOKUP(C2237,tblProducts[product_id],tblProducts[category],"Missing")</f>
        <v>CRM</v>
      </c>
      <c r="Q2237" t="str">
        <f>_xlfn.XLOOKUP(D2237,tblSalesReps[rep_id],tblSalesReps[rep_name],"Missing")</f>
        <v>Sales Rep 07</v>
      </c>
      <c r="R2237" t="str">
        <f>_xlfn.XLOOKUP(D2237,tblSalesReps[rep_id],tblSalesReps[region],"Missing")</f>
        <v>North</v>
      </c>
    </row>
    <row r="2238" spans="1:18">
      <c r="A2238" t="s">
        <v>2779</v>
      </c>
      <c r="B2238" t="s">
        <v>141</v>
      </c>
      <c r="C2238" t="s">
        <v>81</v>
      </c>
      <c r="D2238" t="s">
        <v>16</v>
      </c>
      <c r="E2238" s="1">
        <v>45699</v>
      </c>
      <c r="F2238" s="1">
        <v>45780</v>
      </c>
      <c r="G2238" s="1">
        <v>45780</v>
      </c>
      <c r="H2238" t="s">
        <v>17</v>
      </c>
      <c r="I2238">
        <v>1</v>
      </c>
      <c r="J2238">
        <v>10</v>
      </c>
      <c r="K2238">
        <v>270000</v>
      </c>
      <c r="L2238">
        <v>0</v>
      </c>
      <c r="M2238" t="s">
        <v>23</v>
      </c>
      <c r="N2238" t="str">
        <f>_xlfn.XLOOKUP(B2238,tblCustomers[customer_id],tblCustomers[region],"Missing")</f>
        <v>North</v>
      </c>
      <c r="O2238" t="str">
        <f>_xlfn.XLOOKUP(C2238,tblProducts[product_id],tblProducts[product_name],"Missing")</f>
        <v>Analytics Cloud</v>
      </c>
      <c r="P2238" t="str">
        <f>_xlfn.XLOOKUP(C2238,tblProducts[product_id],tblProducts[category],"Missing")</f>
        <v>Analytics</v>
      </c>
      <c r="Q2238" t="str">
        <f>_xlfn.XLOOKUP(D2238,tblSalesReps[rep_id],tblSalesReps[rep_name],"Missing")</f>
        <v>Sales Rep 08</v>
      </c>
      <c r="R2238" t="str">
        <f>_xlfn.XLOOKUP(D2238,tblSalesReps[rep_id],tblSalesReps[region],"Missing")</f>
        <v>North</v>
      </c>
    </row>
    <row r="2239" spans="1:18">
      <c r="A2239" t="s">
        <v>2780</v>
      </c>
      <c r="B2239" t="s">
        <v>1203</v>
      </c>
      <c r="C2239" t="s">
        <v>39</v>
      </c>
      <c r="D2239" t="s">
        <v>56</v>
      </c>
      <c r="E2239" s="1">
        <v>46018</v>
      </c>
      <c r="F2239" s="1">
        <v>46092</v>
      </c>
      <c r="G2239" s="1"/>
      <c r="H2239" t="s">
        <v>43</v>
      </c>
      <c r="I2239">
        <v>3</v>
      </c>
      <c r="J2239">
        <v>0</v>
      </c>
      <c r="K2239">
        <v>540000</v>
      </c>
      <c r="L2239">
        <v>80</v>
      </c>
      <c r="M2239" t="s">
        <v>29</v>
      </c>
      <c r="N2239" t="str">
        <f>_xlfn.XLOOKUP(B2239,tblCustomers[customer_id],tblCustomers[region],"Missing")</f>
        <v>East</v>
      </c>
      <c r="O2239" t="str">
        <f>_xlfn.XLOOKUP(C2239,tblProducts[product_id],tblProducts[product_name],"Missing")</f>
        <v>Support Desk</v>
      </c>
      <c r="P2239" t="str">
        <f>_xlfn.XLOOKUP(C2239,tblProducts[product_id],tblProducts[category],"Missing")</f>
        <v>Service</v>
      </c>
      <c r="Q2239" t="str">
        <f>_xlfn.XLOOKUP(D2239,tblSalesReps[rep_id],tblSalesReps[rep_name],"Missing")</f>
        <v>Sales Rep 20</v>
      </c>
      <c r="R2239" t="str">
        <f>_xlfn.XLOOKUP(D2239,tblSalesReps[rep_id],tblSalesReps[region],"Missing")</f>
        <v>East</v>
      </c>
    </row>
    <row r="2240" spans="1:18">
      <c r="A2240" t="s">
        <v>2781</v>
      </c>
      <c r="B2240" t="s">
        <v>1250</v>
      </c>
      <c r="C2240" t="s">
        <v>21</v>
      </c>
      <c r="D2240" t="s">
        <v>46</v>
      </c>
      <c r="E2240" s="1">
        <v>45738</v>
      </c>
      <c r="F2240" s="1">
        <v>45809</v>
      </c>
      <c r="G2240" s="1">
        <v>45809</v>
      </c>
      <c r="H2240" t="s">
        <v>28</v>
      </c>
      <c r="I2240">
        <v>1</v>
      </c>
      <c r="J2240">
        <v>10</v>
      </c>
      <c r="K2240">
        <v>216000</v>
      </c>
      <c r="L2240">
        <v>100</v>
      </c>
      <c r="M2240" t="s">
        <v>29</v>
      </c>
      <c r="N2240" t="str">
        <f>_xlfn.XLOOKUP(B2240,tblCustomers[customer_id],tblCustomers[region],"Missing")</f>
        <v>South</v>
      </c>
      <c r="O2240" t="str">
        <f>_xlfn.XLOOKUP(C2240,tblProducts[product_id],tblProducts[product_name],"Missing")</f>
        <v>Workflow Automate</v>
      </c>
      <c r="P2240" t="str">
        <f>_xlfn.XLOOKUP(C2240,tblProducts[product_id],tblProducts[category],"Missing")</f>
        <v>Automation</v>
      </c>
      <c r="Q2240" t="str">
        <f>_xlfn.XLOOKUP(D2240,tblSalesReps[rep_id],tblSalesReps[rep_name],"Missing")</f>
        <v>Sales Rep 01</v>
      </c>
      <c r="R2240" t="str">
        <f>_xlfn.XLOOKUP(D2240,tblSalesReps[rep_id],tblSalesReps[region],"Missing")</f>
        <v>South</v>
      </c>
    </row>
    <row r="2241" spans="1:18">
      <c r="A2241" t="s">
        <v>2782</v>
      </c>
      <c r="B2241" t="s">
        <v>458</v>
      </c>
      <c r="C2241" t="s">
        <v>62</v>
      </c>
      <c r="D2241" t="s">
        <v>119</v>
      </c>
      <c r="E2241" s="1">
        <v>45838</v>
      </c>
      <c r="F2241" s="1">
        <v>45845</v>
      </c>
      <c r="G2241" s="1">
        <v>45845</v>
      </c>
      <c r="H2241" t="s">
        <v>17</v>
      </c>
      <c r="I2241">
        <v>1</v>
      </c>
      <c r="J2241">
        <v>10</v>
      </c>
      <c r="K2241">
        <v>108000</v>
      </c>
      <c r="L2241">
        <v>0</v>
      </c>
      <c r="M2241" t="s">
        <v>23</v>
      </c>
      <c r="N2241" t="str">
        <f>_xlfn.XLOOKUP(B2241,tblCustomers[customer_id],tblCustomers[region],"Missing")</f>
        <v>North</v>
      </c>
      <c r="O2241" t="str">
        <f>_xlfn.XLOOKUP(C2241,tblProducts[product_id],tblProducts[product_name],"Missing")</f>
        <v>CRM Essentials</v>
      </c>
      <c r="P2241" t="str">
        <f>_xlfn.XLOOKUP(C2241,tblProducts[product_id],tblProducts[category],"Missing")</f>
        <v>CRM</v>
      </c>
      <c r="Q2241" t="str">
        <f>_xlfn.XLOOKUP(D2241,tblSalesReps[rep_id],tblSalesReps[rep_name],"Missing")</f>
        <v>Sales Rep 10</v>
      </c>
      <c r="R2241" t="str">
        <f>_xlfn.XLOOKUP(D2241,tblSalesReps[rep_id],tblSalesReps[region],"Missing")</f>
        <v>North</v>
      </c>
    </row>
    <row r="2242" spans="1:18">
      <c r="A2242" t="s">
        <v>2783</v>
      </c>
      <c r="B2242" t="s">
        <v>460</v>
      </c>
      <c r="C2242" t="s">
        <v>15</v>
      </c>
      <c r="D2242" t="s">
        <v>27</v>
      </c>
      <c r="E2242" s="1">
        <v>45716</v>
      </c>
      <c r="F2242" s="1">
        <v>45739</v>
      </c>
      <c r="G2242" s="1">
        <v>45739</v>
      </c>
      <c r="H2242" t="s">
        <v>28</v>
      </c>
      <c r="I2242">
        <v>2</v>
      </c>
      <c r="J2242">
        <v>5</v>
      </c>
      <c r="K2242">
        <v>798000</v>
      </c>
      <c r="L2242">
        <v>100</v>
      </c>
      <c r="M2242" t="s">
        <v>29</v>
      </c>
      <c r="N2242" t="str">
        <f>_xlfn.XLOOKUP(B2242,tblCustomers[customer_id],tblCustomers[region],"Missing")</f>
        <v>North</v>
      </c>
      <c r="O2242" t="str">
        <f>_xlfn.XLOOKUP(C2242,tblProducts[product_id],tblProducts[product_name],"Missing")</f>
        <v>CRM Enterprise</v>
      </c>
      <c r="P2242" t="str">
        <f>_xlfn.XLOOKUP(C2242,tblProducts[product_id],tblProducts[category],"Missing")</f>
        <v>CRM</v>
      </c>
      <c r="Q2242" t="str">
        <f>_xlfn.XLOOKUP(D2242,tblSalesReps[rep_id],tblSalesReps[rep_name],"Missing")</f>
        <v>Sales Rep 06</v>
      </c>
      <c r="R2242" t="str">
        <f>_xlfn.XLOOKUP(D2242,tblSalesReps[rep_id],tblSalesReps[region],"Missing")</f>
        <v>North</v>
      </c>
    </row>
    <row r="2243" spans="1:18">
      <c r="A2243" t="s">
        <v>2784</v>
      </c>
      <c r="B2243" t="s">
        <v>2060</v>
      </c>
      <c r="C2243" t="s">
        <v>62</v>
      </c>
      <c r="D2243" t="s">
        <v>126</v>
      </c>
      <c r="E2243" s="1">
        <v>45820</v>
      </c>
      <c r="F2243" s="1">
        <v>45875</v>
      </c>
      <c r="G2243" s="1">
        <v>45875</v>
      </c>
      <c r="H2243" t="s">
        <v>17</v>
      </c>
      <c r="I2243">
        <v>1</v>
      </c>
      <c r="J2243">
        <v>15</v>
      </c>
      <c r="K2243">
        <v>102000</v>
      </c>
      <c r="L2243">
        <v>0</v>
      </c>
      <c r="M2243" t="s">
        <v>23</v>
      </c>
      <c r="N2243" t="str">
        <f>_xlfn.XLOOKUP(B2243,tblCustomers[customer_id],tblCustomers[region],"Missing")</f>
        <v>South</v>
      </c>
      <c r="O2243" t="str">
        <f>_xlfn.XLOOKUP(C2243,tblProducts[product_id],tblProducts[product_name],"Missing")</f>
        <v>CRM Essentials</v>
      </c>
      <c r="P2243" t="str">
        <f>_xlfn.XLOOKUP(C2243,tblProducts[product_id],tblProducts[category],"Missing")</f>
        <v>CRM</v>
      </c>
      <c r="Q2243" t="str">
        <f>_xlfn.XLOOKUP(D2243,tblSalesReps[rep_id],tblSalesReps[rep_name],"Missing")</f>
        <v>Sales Rep 02</v>
      </c>
      <c r="R2243" t="str">
        <f>_xlfn.XLOOKUP(D2243,tblSalesReps[rep_id],tblSalesReps[region],"Missing")</f>
        <v>South</v>
      </c>
    </row>
    <row r="2244" spans="1:18">
      <c r="A2244" t="s">
        <v>2785</v>
      </c>
      <c r="B2244" t="s">
        <v>217</v>
      </c>
      <c r="C2244" t="s">
        <v>15</v>
      </c>
      <c r="D2244" t="s">
        <v>59</v>
      </c>
      <c r="E2244" s="1">
        <v>45687</v>
      </c>
      <c r="F2244" s="1">
        <v>45750</v>
      </c>
      <c r="G2244" s="1">
        <v>45750</v>
      </c>
      <c r="H2244" t="s">
        <v>17</v>
      </c>
      <c r="I2244">
        <v>3</v>
      </c>
      <c r="J2244">
        <v>5</v>
      </c>
      <c r="K2244">
        <v>1197000</v>
      </c>
      <c r="L2244">
        <v>0</v>
      </c>
      <c r="M2244" t="s">
        <v>23</v>
      </c>
      <c r="N2244" t="str">
        <f>_xlfn.XLOOKUP(B2244,tblCustomers[customer_id],tblCustomers[region],"Missing")</f>
        <v>East</v>
      </c>
      <c r="O2244" t="str">
        <f>_xlfn.XLOOKUP(C2244,tblProducts[product_id],tblProducts[product_name],"Missing")</f>
        <v>CRM Enterprise</v>
      </c>
      <c r="P2244" t="str">
        <f>_xlfn.XLOOKUP(C2244,tblProducts[product_id],tblProducts[category],"Missing")</f>
        <v>CRM</v>
      </c>
      <c r="Q2244" t="str">
        <f>_xlfn.XLOOKUP(D2244,tblSalesReps[rep_id],tblSalesReps[rep_name],"Missing")</f>
        <v>Sales Rep 19</v>
      </c>
      <c r="R2244" t="str">
        <f>_xlfn.XLOOKUP(D2244,tblSalesReps[rep_id],tblSalesReps[region],"Missing")</f>
        <v>East</v>
      </c>
    </row>
    <row r="2245" spans="1:18">
      <c r="A2245" t="s">
        <v>2786</v>
      </c>
      <c r="B2245" t="s">
        <v>1043</v>
      </c>
      <c r="C2245" t="s">
        <v>26</v>
      </c>
      <c r="D2245" t="s">
        <v>70</v>
      </c>
      <c r="E2245" s="1">
        <v>45720</v>
      </c>
      <c r="F2245" s="1">
        <v>45787</v>
      </c>
      <c r="G2245" s="1">
        <v>45787</v>
      </c>
      <c r="H2245" t="s">
        <v>28</v>
      </c>
      <c r="I2245">
        <v>1</v>
      </c>
      <c r="J2245">
        <v>10</v>
      </c>
      <c r="K2245">
        <v>324000</v>
      </c>
      <c r="L2245">
        <v>100</v>
      </c>
      <c r="M2245" t="s">
        <v>29</v>
      </c>
      <c r="N2245" t="str">
        <f>_xlfn.XLOOKUP(B2245,tblCustomers[customer_id],tblCustomers[region],"Missing")</f>
        <v>West</v>
      </c>
      <c r="O2245" t="str">
        <f>_xlfn.XLOOKUP(C2245,tblProducts[product_id],tblProducts[product_name],"Missing")</f>
        <v>Security Suite</v>
      </c>
      <c r="P2245" t="str">
        <f>_xlfn.XLOOKUP(C2245,tblProducts[product_id],tblProducts[category],"Missing")</f>
        <v>Security</v>
      </c>
      <c r="Q2245" t="str">
        <f>_xlfn.XLOOKUP(D2245,tblSalesReps[rep_id],tblSalesReps[rep_name],"Missing")</f>
        <v>Sales Rep 11</v>
      </c>
      <c r="R2245" t="str">
        <f>_xlfn.XLOOKUP(D2245,tblSalesReps[rep_id],tblSalesReps[region],"Missing")</f>
        <v>West</v>
      </c>
    </row>
    <row r="2246" spans="1:18">
      <c r="A2246" t="s">
        <v>2787</v>
      </c>
      <c r="B2246" t="s">
        <v>379</v>
      </c>
      <c r="C2246" t="s">
        <v>62</v>
      </c>
      <c r="D2246" t="s">
        <v>75</v>
      </c>
      <c r="E2246" s="1">
        <v>45923</v>
      </c>
      <c r="F2246" s="1">
        <v>46006</v>
      </c>
      <c r="G2246" s="1"/>
      <c r="H2246" t="s">
        <v>43</v>
      </c>
      <c r="I2246">
        <v>1</v>
      </c>
      <c r="J2246">
        <v>0</v>
      </c>
      <c r="K2246">
        <v>120000</v>
      </c>
      <c r="L2246">
        <v>60</v>
      </c>
      <c r="M2246" t="s">
        <v>29</v>
      </c>
      <c r="N2246" t="str">
        <f>_xlfn.XLOOKUP(B2246,tblCustomers[customer_id],tblCustomers[region],"Missing")</f>
        <v>North</v>
      </c>
      <c r="O2246" t="str">
        <f>_xlfn.XLOOKUP(C2246,tblProducts[product_id],tblProducts[product_name],"Missing")</f>
        <v>CRM Essentials</v>
      </c>
      <c r="P2246" t="str">
        <f>_xlfn.XLOOKUP(C2246,tblProducts[product_id],tblProducts[category],"Missing")</f>
        <v>CRM</v>
      </c>
      <c r="Q2246" t="str">
        <f>_xlfn.XLOOKUP(D2246,tblSalesReps[rep_id],tblSalesReps[rep_name],"Missing")</f>
        <v>Sales Rep 07</v>
      </c>
      <c r="R2246" t="str">
        <f>_xlfn.XLOOKUP(D2246,tblSalesReps[rep_id],tblSalesReps[region],"Missing")</f>
        <v>North</v>
      </c>
    </row>
    <row r="2247" spans="1:18">
      <c r="A2247" t="s">
        <v>2788</v>
      </c>
      <c r="B2247" t="s">
        <v>769</v>
      </c>
      <c r="C2247" t="s">
        <v>81</v>
      </c>
      <c r="D2247" t="s">
        <v>91</v>
      </c>
      <c r="E2247" s="1">
        <v>45824</v>
      </c>
      <c r="F2247" s="1">
        <v>45860</v>
      </c>
      <c r="G2247" s="1">
        <v>45860</v>
      </c>
      <c r="H2247" t="s">
        <v>28</v>
      </c>
      <c r="I2247">
        <v>1</v>
      </c>
      <c r="J2247">
        <v>15</v>
      </c>
      <c r="K2247">
        <v>255000</v>
      </c>
      <c r="L2247">
        <v>100</v>
      </c>
      <c r="M2247" t="s">
        <v>29</v>
      </c>
      <c r="N2247" t="str">
        <f>_xlfn.XLOOKUP(B2247,tblCustomers[customer_id],tblCustomers[region],"Missing")</f>
        <v>South</v>
      </c>
      <c r="O2247" t="str">
        <f>_xlfn.XLOOKUP(C2247,tblProducts[product_id],tblProducts[product_name],"Missing")</f>
        <v>Analytics Cloud</v>
      </c>
      <c r="P2247" t="str">
        <f>_xlfn.XLOOKUP(C2247,tblProducts[product_id],tblProducts[category],"Missing")</f>
        <v>Analytics</v>
      </c>
      <c r="Q2247" t="str">
        <f>_xlfn.XLOOKUP(D2247,tblSalesReps[rep_id],tblSalesReps[rep_name],"Missing")</f>
        <v>Sales Rep 03</v>
      </c>
      <c r="R2247" t="str">
        <f>_xlfn.XLOOKUP(D2247,tblSalesReps[rep_id],tblSalesReps[region],"Missing")</f>
        <v>South</v>
      </c>
    </row>
    <row r="2248" spans="1:18">
      <c r="A2248" t="s">
        <v>2789</v>
      </c>
      <c r="B2248" t="s">
        <v>329</v>
      </c>
      <c r="C2248" t="s">
        <v>21</v>
      </c>
      <c r="D2248" t="s">
        <v>36</v>
      </c>
      <c r="E2248" s="1">
        <v>45781</v>
      </c>
      <c r="F2248" s="1">
        <v>45789</v>
      </c>
      <c r="G2248" s="1">
        <v>45789</v>
      </c>
      <c r="H2248" t="s">
        <v>17</v>
      </c>
      <c r="I2248">
        <v>2</v>
      </c>
      <c r="J2248">
        <v>20</v>
      </c>
      <c r="K2248">
        <v>384000</v>
      </c>
      <c r="L2248">
        <v>0</v>
      </c>
      <c r="M2248" t="s">
        <v>82</v>
      </c>
      <c r="N2248" t="str">
        <f>_xlfn.XLOOKUP(B2248,tblCustomers[customer_id],tblCustomers[region],"Missing")</f>
        <v>North</v>
      </c>
      <c r="O2248" t="str">
        <f>_xlfn.XLOOKUP(C2248,tblProducts[product_id],tblProducts[product_name],"Missing")</f>
        <v>Workflow Automate</v>
      </c>
      <c r="P2248" t="str">
        <f>_xlfn.XLOOKUP(C2248,tblProducts[product_id],tblProducts[category],"Missing")</f>
        <v>Automation</v>
      </c>
      <c r="Q2248" t="str">
        <f>_xlfn.XLOOKUP(D2248,tblSalesReps[rep_id],tblSalesReps[rep_name],"Missing")</f>
        <v>Sales Rep 09</v>
      </c>
      <c r="R2248" t="str">
        <f>_xlfn.XLOOKUP(D2248,tblSalesReps[rep_id],tblSalesReps[region],"Missing")</f>
        <v>North</v>
      </c>
    </row>
    <row r="2249" spans="1:18">
      <c r="A2249" t="s">
        <v>2790</v>
      </c>
      <c r="B2249" t="s">
        <v>410</v>
      </c>
      <c r="C2249" t="s">
        <v>81</v>
      </c>
      <c r="D2249" t="s">
        <v>16</v>
      </c>
      <c r="E2249" s="1">
        <v>45913</v>
      </c>
      <c r="F2249" s="1">
        <v>45954</v>
      </c>
      <c r="G2249" s="1">
        <v>45954</v>
      </c>
      <c r="H2249" t="s">
        <v>28</v>
      </c>
      <c r="I2249">
        <v>1</v>
      </c>
      <c r="J2249">
        <v>10</v>
      </c>
      <c r="K2249">
        <v>270000</v>
      </c>
      <c r="L2249">
        <v>100</v>
      </c>
      <c r="M2249" t="s">
        <v>29</v>
      </c>
      <c r="N2249" t="str">
        <f>_xlfn.XLOOKUP(B2249,tblCustomers[customer_id],tblCustomers[region],"Missing")</f>
        <v>North</v>
      </c>
      <c r="O2249" t="str">
        <f>_xlfn.XLOOKUP(C2249,tblProducts[product_id],tblProducts[product_name],"Missing")</f>
        <v>Analytics Cloud</v>
      </c>
      <c r="P2249" t="str">
        <f>_xlfn.XLOOKUP(C2249,tblProducts[product_id],tblProducts[category],"Missing")</f>
        <v>Analytics</v>
      </c>
      <c r="Q2249" t="str">
        <f>_xlfn.XLOOKUP(D2249,tblSalesReps[rep_id],tblSalesReps[rep_name],"Missing")</f>
        <v>Sales Rep 08</v>
      </c>
      <c r="R2249" t="str">
        <f>_xlfn.XLOOKUP(D2249,tblSalesReps[rep_id],tblSalesReps[region],"Missing")</f>
        <v>North</v>
      </c>
    </row>
    <row r="2250" spans="1:18">
      <c r="A2250" t="s">
        <v>2791</v>
      </c>
      <c r="B2250" t="s">
        <v>360</v>
      </c>
      <c r="C2250" t="s">
        <v>21</v>
      </c>
      <c r="D2250" t="s">
        <v>78</v>
      </c>
      <c r="E2250" s="1">
        <v>45697</v>
      </c>
      <c r="F2250" s="1">
        <v>45765</v>
      </c>
      <c r="G2250" s="1">
        <v>45765</v>
      </c>
      <c r="H2250" t="s">
        <v>17</v>
      </c>
      <c r="I2250">
        <v>1</v>
      </c>
      <c r="J2250">
        <v>0</v>
      </c>
      <c r="K2250">
        <v>240000</v>
      </c>
      <c r="L2250">
        <v>0</v>
      </c>
      <c r="M2250" t="s">
        <v>23</v>
      </c>
      <c r="N2250" t="str">
        <f>_xlfn.XLOOKUP(B2250,tblCustomers[customer_id],tblCustomers[region],"Missing")</f>
        <v>West</v>
      </c>
      <c r="O2250" t="str">
        <f>_xlfn.XLOOKUP(C2250,tblProducts[product_id],tblProducts[product_name],"Missing")</f>
        <v>Workflow Automate</v>
      </c>
      <c r="P2250" t="str">
        <f>_xlfn.XLOOKUP(C2250,tblProducts[product_id],tblProducts[category],"Missing")</f>
        <v>Automation</v>
      </c>
      <c r="Q2250" t="str">
        <f>_xlfn.XLOOKUP(D2250,tblSalesReps[rep_id],tblSalesReps[rep_name],"Missing")</f>
        <v>Sales Rep 12</v>
      </c>
      <c r="R2250" t="str">
        <f>_xlfn.XLOOKUP(D2250,tblSalesReps[rep_id],tblSalesReps[region],"Missing")</f>
        <v>West</v>
      </c>
    </row>
    <row r="2251" spans="1:18">
      <c r="A2251" t="s">
        <v>2792</v>
      </c>
      <c r="B2251" t="s">
        <v>1065</v>
      </c>
      <c r="C2251" t="s">
        <v>81</v>
      </c>
      <c r="D2251" t="s">
        <v>152</v>
      </c>
      <c r="E2251" s="1">
        <v>45987</v>
      </c>
      <c r="F2251" s="1">
        <v>46039</v>
      </c>
      <c r="G2251" s="1"/>
      <c r="H2251" t="s">
        <v>43</v>
      </c>
      <c r="I2251">
        <v>1</v>
      </c>
      <c r="J2251">
        <v>20</v>
      </c>
      <c r="K2251">
        <v>240000</v>
      </c>
      <c r="L2251">
        <v>20</v>
      </c>
      <c r="M2251" t="s">
        <v>29</v>
      </c>
      <c r="N2251" t="str">
        <f>_xlfn.XLOOKUP(B2251,tblCustomers[customer_id],tblCustomers[region],"Missing")</f>
        <v>East</v>
      </c>
      <c r="O2251" t="str">
        <f>_xlfn.XLOOKUP(C2251,tblProducts[product_id],tblProducts[product_name],"Missing")</f>
        <v>Analytics Cloud</v>
      </c>
      <c r="P2251" t="str">
        <f>_xlfn.XLOOKUP(C2251,tblProducts[product_id],tblProducts[category],"Missing")</f>
        <v>Analytics</v>
      </c>
      <c r="Q2251" t="str">
        <f>_xlfn.XLOOKUP(D2251,tblSalesReps[rep_id],tblSalesReps[rep_name],"Missing")</f>
        <v>Sales Rep 18</v>
      </c>
      <c r="R2251" t="str">
        <f>_xlfn.XLOOKUP(D2251,tblSalesReps[rep_id],tblSalesReps[region],"Missing")</f>
        <v>East</v>
      </c>
    </row>
    <row r="2252" spans="1:18">
      <c r="A2252" t="s">
        <v>2793</v>
      </c>
      <c r="B2252" t="s">
        <v>223</v>
      </c>
      <c r="C2252" t="s">
        <v>15</v>
      </c>
      <c r="D2252" t="s">
        <v>32</v>
      </c>
      <c r="E2252" s="1">
        <v>45861</v>
      </c>
      <c r="F2252" s="1">
        <v>45918</v>
      </c>
      <c r="G2252" s="1">
        <v>45918</v>
      </c>
      <c r="H2252" t="s">
        <v>17</v>
      </c>
      <c r="I2252">
        <v>1</v>
      </c>
      <c r="J2252">
        <v>20</v>
      </c>
      <c r="K2252">
        <v>336000</v>
      </c>
      <c r="L2252">
        <v>0</v>
      </c>
      <c r="M2252" t="s">
        <v>18</v>
      </c>
      <c r="N2252" t="str">
        <f>_xlfn.XLOOKUP(B2252,tblCustomers[customer_id],tblCustomers[region],"Missing")</f>
        <v>South</v>
      </c>
      <c r="O2252" t="str">
        <f>_xlfn.XLOOKUP(C2252,tblProducts[product_id],tblProducts[product_name],"Missing")</f>
        <v>CRM Enterprise</v>
      </c>
      <c r="P2252" t="str">
        <f>_xlfn.XLOOKUP(C2252,tblProducts[product_id],tblProducts[category],"Missing")</f>
        <v>CRM</v>
      </c>
      <c r="Q2252" t="str">
        <f>_xlfn.XLOOKUP(D2252,tblSalesReps[rep_id],tblSalesReps[rep_name],"Missing")</f>
        <v>Sales Rep 04</v>
      </c>
      <c r="R2252" t="str">
        <f>_xlfn.XLOOKUP(D2252,tblSalesReps[rep_id],tblSalesReps[region],"Missing")</f>
        <v>South</v>
      </c>
    </row>
    <row r="2253" spans="1:18">
      <c r="A2253" t="s">
        <v>2794</v>
      </c>
      <c r="B2253" t="s">
        <v>1896</v>
      </c>
      <c r="C2253" t="s">
        <v>26</v>
      </c>
      <c r="D2253" t="s">
        <v>32</v>
      </c>
      <c r="E2253" s="1">
        <v>45748</v>
      </c>
      <c r="F2253" s="1">
        <v>45820</v>
      </c>
      <c r="G2253" s="1">
        <v>45820</v>
      </c>
      <c r="H2253" t="s">
        <v>17</v>
      </c>
      <c r="I2253">
        <v>3</v>
      </c>
      <c r="J2253">
        <v>0</v>
      </c>
      <c r="K2253">
        <v>1080000</v>
      </c>
      <c r="L2253">
        <v>0</v>
      </c>
      <c r="M2253" t="s">
        <v>82</v>
      </c>
      <c r="N2253" t="str">
        <f>_xlfn.XLOOKUP(B2253,tblCustomers[customer_id],tblCustomers[region],"Missing")</f>
        <v>South</v>
      </c>
      <c r="O2253" t="str">
        <f>_xlfn.XLOOKUP(C2253,tblProducts[product_id],tblProducts[product_name],"Missing")</f>
        <v>Security Suite</v>
      </c>
      <c r="P2253" t="str">
        <f>_xlfn.XLOOKUP(C2253,tblProducts[product_id],tblProducts[category],"Missing")</f>
        <v>Security</v>
      </c>
      <c r="Q2253" t="str">
        <f>_xlfn.XLOOKUP(D2253,tblSalesReps[rep_id],tblSalesReps[rep_name],"Missing")</f>
        <v>Sales Rep 04</v>
      </c>
      <c r="R2253" t="str">
        <f>_xlfn.XLOOKUP(D2253,tblSalesReps[rep_id],tblSalesReps[region],"Missing")</f>
        <v>South</v>
      </c>
    </row>
    <row r="2254" spans="1:18">
      <c r="A2254" t="s">
        <v>2795</v>
      </c>
      <c r="B2254" t="s">
        <v>1024</v>
      </c>
      <c r="C2254" t="s">
        <v>39</v>
      </c>
      <c r="D2254" t="s">
        <v>78</v>
      </c>
      <c r="E2254" s="1">
        <v>45740</v>
      </c>
      <c r="F2254" s="1">
        <v>45757</v>
      </c>
      <c r="G2254" s="1">
        <v>45757</v>
      </c>
      <c r="H2254" t="s">
        <v>28</v>
      </c>
      <c r="I2254">
        <v>1</v>
      </c>
      <c r="J2254">
        <v>10</v>
      </c>
      <c r="K2254">
        <v>162000</v>
      </c>
      <c r="L2254">
        <v>100</v>
      </c>
      <c r="M2254" t="s">
        <v>29</v>
      </c>
      <c r="N2254" t="str">
        <f>_xlfn.XLOOKUP(B2254,tblCustomers[customer_id],tblCustomers[region],"Missing")</f>
        <v>West</v>
      </c>
      <c r="O2254" t="str">
        <f>_xlfn.XLOOKUP(C2254,tblProducts[product_id],tblProducts[product_name],"Missing")</f>
        <v>Support Desk</v>
      </c>
      <c r="P2254" t="str">
        <f>_xlfn.XLOOKUP(C2254,tblProducts[product_id],tblProducts[category],"Missing")</f>
        <v>Service</v>
      </c>
      <c r="Q2254" t="str">
        <f>_xlfn.XLOOKUP(D2254,tblSalesReps[rep_id],tblSalesReps[rep_name],"Missing")</f>
        <v>Sales Rep 12</v>
      </c>
      <c r="R2254" t="str">
        <f>_xlfn.XLOOKUP(D2254,tblSalesReps[rep_id],tblSalesReps[region],"Missing")</f>
        <v>West</v>
      </c>
    </row>
    <row r="2255" spans="1:18">
      <c r="A2255" t="s">
        <v>2796</v>
      </c>
      <c r="B2255" t="s">
        <v>836</v>
      </c>
      <c r="C2255" t="s">
        <v>15</v>
      </c>
      <c r="D2255" t="s">
        <v>91</v>
      </c>
      <c r="E2255" s="1">
        <v>45747</v>
      </c>
      <c r="F2255" s="1">
        <v>45817</v>
      </c>
      <c r="G2255" s="1">
        <v>45817</v>
      </c>
      <c r="H2255" t="s">
        <v>17</v>
      </c>
      <c r="I2255">
        <v>1</v>
      </c>
      <c r="J2255">
        <v>5</v>
      </c>
      <c r="K2255">
        <v>399000</v>
      </c>
      <c r="L2255">
        <v>0</v>
      </c>
      <c r="M2255" t="s">
        <v>18</v>
      </c>
      <c r="N2255" t="str">
        <f>_xlfn.XLOOKUP(B2255,tblCustomers[customer_id],tblCustomers[region],"Missing")</f>
        <v>South</v>
      </c>
      <c r="O2255" t="str">
        <f>_xlfn.XLOOKUP(C2255,tblProducts[product_id],tblProducts[product_name],"Missing")</f>
        <v>CRM Enterprise</v>
      </c>
      <c r="P2255" t="str">
        <f>_xlfn.XLOOKUP(C2255,tblProducts[product_id],tblProducts[category],"Missing")</f>
        <v>CRM</v>
      </c>
      <c r="Q2255" t="str">
        <f>_xlfn.XLOOKUP(D2255,tblSalesReps[rep_id],tblSalesReps[rep_name],"Missing")</f>
        <v>Sales Rep 03</v>
      </c>
      <c r="R2255" t="str">
        <f>_xlfn.XLOOKUP(D2255,tblSalesReps[rep_id],tblSalesReps[region],"Missing")</f>
        <v>South</v>
      </c>
    </row>
    <row r="2256" spans="1:18">
      <c r="A2256" t="s">
        <v>2797</v>
      </c>
      <c r="B2256" t="s">
        <v>209</v>
      </c>
      <c r="C2256" t="s">
        <v>81</v>
      </c>
      <c r="D2256" t="s">
        <v>40</v>
      </c>
      <c r="E2256" s="1">
        <v>45715</v>
      </c>
      <c r="F2256" s="1">
        <v>45787</v>
      </c>
      <c r="G2256" s="1">
        <v>45787</v>
      </c>
      <c r="H2256" t="s">
        <v>17</v>
      </c>
      <c r="I2256">
        <v>2</v>
      </c>
      <c r="J2256">
        <v>0</v>
      </c>
      <c r="K2256">
        <v>600000</v>
      </c>
      <c r="L2256">
        <v>0</v>
      </c>
      <c r="M2256" t="s">
        <v>47</v>
      </c>
      <c r="N2256" t="str">
        <f>_xlfn.XLOOKUP(B2256,tblCustomers[customer_id],tblCustomers[region],"Missing")</f>
        <v>West</v>
      </c>
      <c r="O2256" t="str">
        <f>_xlfn.XLOOKUP(C2256,tblProducts[product_id],tblProducts[product_name],"Missing")</f>
        <v>Analytics Cloud</v>
      </c>
      <c r="P2256" t="str">
        <f>_xlfn.XLOOKUP(C2256,tblProducts[product_id],tblProducts[category],"Missing")</f>
        <v>Analytics</v>
      </c>
      <c r="Q2256" t="str">
        <f>_xlfn.XLOOKUP(D2256,tblSalesReps[rep_id],tblSalesReps[rep_name],"Missing")</f>
        <v>Sales Rep 13</v>
      </c>
      <c r="R2256" t="str">
        <f>_xlfn.XLOOKUP(D2256,tblSalesReps[rep_id],tblSalesReps[region],"Missing")</f>
        <v>West</v>
      </c>
    </row>
    <row r="2257" spans="1:18">
      <c r="A2257" t="s">
        <v>2798</v>
      </c>
      <c r="B2257" t="s">
        <v>561</v>
      </c>
      <c r="C2257" t="s">
        <v>39</v>
      </c>
      <c r="D2257" t="s">
        <v>63</v>
      </c>
      <c r="E2257" s="1">
        <v>45772</v>
      </c>
      <c r="F2257" s="1">
        <v>45802</v>
      </c>
      <c r="G2257" s="1">
        <v>45802</v>
      </c>
      <c r="H2257" t="s">
        <v>17</v>
      </c>
      <c r="I2257">
        <v>2</v>
      </c>
      <c r="J2257">
        <v>5</v>
      </c>
      <c r="K2257">
        <v>342000</v>
      </c>
      <c r="L2257">
        <v>0</v>
      </c>
      <c r="M2257" t="s">
        <v>33</v>
      </c>
      <c r="N2257" t="str">
        <f>_xlfn.XLOOKUP(B2257,tblCustomers[customer_id],tblCustomers[region],"Missing")</f>
        <v>South</v>
      </c>
      <c r="O2257" t="str">
        <f>_xlfn.XLOOKUP(C2257,tblProducts[product_id],tblProducts[product_name],"Missing")</f>
        <v>Support Desk</v>
      </c>
      <c r="P2257" t="str">
        <f>_xlfn.XLOOKUP(C2257,tblProducts[product_id],tblProducts[category],"Missing")</f>
        <v>Service</v>
      </c>
      <c r="Q2257" t="str">
        <f>_xlfn.XLOOKUP(D2257,tblSalesReps[rep_id],tblSalesReps[rep_name],"Missing")</f>
        <v>Sales Rep 05</v>
      </c>
      <c r="R2257" t="str">
        <f>_xlfn.XLOOKUP(D2257,tblSalesReps[rep_id],tblSalesReps[region],"Missing")</f>
        <v>South</v>
      </c>
    </row>
    <row r="2258" spans="1:18">
      <c r="A2258" t="s">
        <v>2799</v>
      </c>
      <c r="B2258" t="s">
        <v>133</v>
      </c>
      <c r="C2258" t="s">
        <v>21</v>
      </c>
      <c r="D2258" t="s">
        <v>70</v>
      </c>
      <c r="E2258" s="1">
        <v>45710</v>
      </c>
      <c r="F2258" s="1">
        <v>45726</v>
      </c>
      <c r="G2258" s="1">
        <v>45726</v>
      </c>
      <c r="H2258" t="s">
        <v>17</v>
      </c>
      <c r="I2258">
        <v>1</v>
      </c>
      <c r="J2258">
        <v>5</v>
      </c>
      <c r="K2258">
        <v>228000</v>
      </c>
      <c r="L2258">
        <v>0</v>
      </c>
      <c r="M2258" t="s">
        <v>23</v>
      </c>
      <c r="N2258" t="str">
        <f>_xlfn.XLOOKUP(B2258,tblCustomers[customer_id],tblCustomers[region],"Missing")</f>
        <v>West</v>
      </c>
      <c r="O2258" t="str">
        <f>_xlfn.XLOOKUP(C2258,tblProducts[product_id],tblProducts[product_name],"Missing")</f>
        <v>Workflow Automate</v>
      </c>
      <c r="P2258" t="str">
        <f>_xlfn.XLOOKUP(C2258,tblProducts[product_id],tblProducts[category],"Missing")</f>
        <v>Automation</v>
      </c>
      <c r="Q2258" t="str">
        <f>_xlfn.XLOOKUP(D2258,tblSalesReps[rep_id],tblSalesReps[rep_name],"Missing")</f>
        <v>Sales Rep 11</v>
      </c>
      <c r="R2258" t="str">
        <f>_xlfn.XLOOKUP(D2258,tblSalesReps[rep_id],tblSalesReps[region],"Missing")</f>
        <v>West</v>
      </c>
    </row>
    <row r="2259" spans="1:18">
      <c r="A2259" t="s">
        <v>2800</v>
      </c>
      <c r="B2259" t="s">
        <v>236</v>
      </c>
      <c r="C2259" t="s">
        <v>21</v>
      </c>
      <c r="D2259" t="s">
        <v>32</v>
      </c>
      <c r="E2259" s="1">
        <v>45953</v>
      </c>
      <c r="F2259" s="1">
        <v>46027</v>
      </c>
      <c r="G2259" s="1"/>
      <c r="H2259" t="s">
        <v>43</v>
      </c>
      <c r="I2259">
        <v>1</v>
      </c>
      <c r="J2259">
        <v>0</v>
      </c>
      <c r="K2259">
        <v>240000</v>
      </c>
      <c r="L2259">
        <v>40</v>
      </c>
      <c r="M2259" t="s">
        <v>29</v>
      </c>
      <c r="N2259" t="str">
        <f>_xlfn.XLOOKUP(B2259,tblCustomers[customer_id],tblCustomers[region],"Missing")</f>
        <v>South</v>
      </c>
      <c r="O2259" t="str">
        <f>_xlfn.XLOOKUP(C2259,tblProducts[product_id],tblProducts[product_name],"Missing")</f>
        <v>Workflow Automate</v>
      </c>
      <c r="P2259" t="str">
        <f>_xlfn.XLOOKUP(C2259,tblProducts[product_id],tblProducts[category],"Missing")</f>
        <v>Automation</v>
      </c>
      <c r="Q2259" t="str">
        <f>_xlfn.XLOOKUP(D2259,tblSalesReps[rep_id],tblSalesReps[rep_name],"Missing")</f>
        <v>Sales Rep 04</v>
      </c>
      <c r="R2259" t="str">
        <f>_xlfn.XLOOKUP(D2259,tblSalesReps[rep_id],tblSalesReps[region],"Missing")</f>
        <v>South</v>
      </c>
    </row>
    <row r="2260" spans="1:18">
      <c r="A2260" t="s">
        <v>2801</v>
      </c>
      <c r="B2260" t="s">
        <v>331</v>
      </c>
      <c r="C2260" t="s">
        <v>21</v>
      </c>
      <c r="D2260" t="s">
        <v>59</v>
      </c>
      <c r="E2260" s="1">
        <v>45688</v>
      </c>
      <c r="F2260" s="1">
        <v>45768</v>
      </c>
      <c r="G2260" s="1"/>
      <c r="H2260" t="s">
        <v>43</v>
      </c>
      <c r="I2260">
        <v>1</v>
      </c>
      <c r="J2260">
        <v>5</v>
      </c>
      <c r="K2260">
        <v>228000</v>
      </c>
      <c r="L2260">
        <v>20</v>
      </c>
      <c r="M2260" t="s">
        <v>29</v>
      </c>
      <c r="N2260" t="str">
        <f>_xlfn.XLOOKUP(B2260,tblCustomers[customer_id],tblCustomers[region],"Missing")</f>
        <v>East</v>
      </c>
      <c r="O2260" t="str">
        <f>_xlfn.XLOOKUP(C2260,tblProducts[product_id],tblProducts[product_name],"Missing")</f>
        <v>Workflow Automate</v>
      </c>
      <c r="P2260" t="str">
        <f>_xlfn.XLOOKUP(C2260,tblProducts[product_id],tblProducts[category],"Missing")</f>
        <v>Automation</v>
      </c>
      <c r="Q2260" t="str">
        <f>_xlfn.XLOOKUP(D2260,tblSalesReps[rep_id],tblSalesReps[rep_name],"Missing")</f>
        <v>Sales Rep 19</v>
      </c>
      <c r="R2260" t="str">
        <f>_xlfn.XLOOKUP(D2260,tblSalesReps[rep_id],tblSalesReps[region],"Missing")</f>
        <v>East</v>
      </c>
    </row>
    <row r="2261" spans="1:18">
      <c r="A2261" t="s">
        <v>2802</v>
      </c>
      <c r="B2261" t="s">
        <v>559</v>
      </c>
      <c r="C2261" t="s">
        <v>15</v>
      </c>
      <c r="D2261" t="s">
        <v>70</v>
      </c>
      <c r="E2261" s="1">
        <v>45773</v>
      </c>
      <c r="F2261" s="1">
        <v>45794</v>
      </c>
      <c r="G2261" s="1"/>
      <c r="H2261" t="s">
        <v>43</v>
      </c>
      <c r="I2261">
        <v>2</v>
      </c>
      <c r="J2261">
        <v>20</v>
      </c>
      <c r="K2261">
        <v>672000</v>
      </c>
      <c r="L2261">
        <v>40</v>
      </c>
      <c r="M2261" t="s">
        <v>29</v>
      </c>
      <c r="N2261" t="str">
        <f>_xlfn.XLOOKUP(B2261,tblCustomers[customer_id],tblCustomers[region],"Missing")</f>
        <v>West</v>
      </c>
      <c r="O2261" t="str">
        <f>_xlfn.XLOOKUP(C2261,tblProducts[product_id],tblProducts[product_name],"Missing")</f>
        <v>CRM Enterprise</v>
      </c>
      <c r="P2261" t="str">
        <f>_xlfn.XLOOKUP(C2261,tblProducts[product_id],tblProducts[category],"Missing")</f>
        <v>CRM</v>
      </c>
      <c r="Q2261" t="str">
        <f>_xlfn.XLOOKUP(D2261,tblSalesReps[rep_id],tblSalesReps[rep_name],"Missing")</f>
        <v>Sales Rep 11</v>
      </c>
      <c r="R2261" t="str">
        <f>_xlfn.XLOOKUP(D2261,tblSalesReps[rep_id],tblSalesReps[region],"Missing")</f>
        <v>West</v>
      </c>
    </row>
    <row r="2262" spans="1:18">
      <c r="A2262" t="s">
        <v>2803</v>
      </c>
      <c r="B2262" t="s">
        <v>187</v>
      </c>
      <c r="C2262" t="s">
        <v>62</v>
      </c>
      <c r="D2262" t="s">
        <v>50</v>
      </c>
      <c r="E2262" s="1">
        <v>45776</v>
      </c>
      <c r="F2262" s="1">
        <v>45840</v>
      </c>
      <c r="G2262" s="1">
        <v>45840</v>
      </c>
      <c r="H2262" t="s">
        <v>28</v>
      </c>
      <c r="I2262">
        <v>3</v>
      </c>
      <c r="J2262">
        <v>10</v>
      </c>
      <c r="K2262">
        <v>324000</v>
      </c>
      <c r="L2262">
        <v>100</v>
      </c>
      <c r="M2262" t="s">
        <v>29</v>
      </c>
      <c r="N2262" t="str">
        <f>_xlfn.XLOOKUP(B2262,tblCustomers[customer_id],tblCustomers[region],"Missing")</f>
        <v>West</v>
      </c>
      <c r="O2262" t="str">
        <f>_xlfn.XLOOKUP(C2262,tblProducts[product_id],tblProducts[product_name],"Missing")</f>
        <v>CRM Essentials</v>
      </c>
      <c r="P2262" t="str">
        <f>_xlfn.XLOOKUP(C2262,tblProducts[product_id],tblProducts[category],"Missing")</f>
        <v>CRM</v>
      </c>
      <c r="Q2262" t="str">
        <f>_xlfn.XLOOKUP(D2262,tblSalesReps[rep_id],tblSalesReps[rep_name],"Missing")</f>
        <v>Sales Rep 15</v>
      </c>
      <c r="R2262" t="str">
        <f>_xlfn.XLOOKUP(D2262,tblSalesReps[rep_id],tblSalesReps[region],"Missing")</f>
        <v>West</v>
      </c>
    </row>
    <row r="2263" spans="1:18">
      <c r="A2263" t="s">
        <v>2804</v>
      </c>
      <c r="B2263" t="s">
        <v>861</v>
      </c>
      <c r="C2263" t="s">
        <v>15</v>
      </c>
      <c r="D2263" t="s">
        <v>126</v>
      </c>
      <c r="E2263" s="1">
        <v>45886</v>
      </c>
      <c r="F2263" s="1">
        <v>45925</v>
      </c>
      <c r="G2263" s="1">
        <v>45925</v>
      </c>
      <c r="H2263" t="s">
        <v>28</v>
      </c>
      <c r="I2263">
        <v>3</v>
      </c>
      <c r="J2263">
        <v>10</v>
      </c>
      <c r="K2263">
        <v>1134000</v>
      </c>
      <c r="L2263">
        <v>100</v>
      </c>
      <c r="M2263" t="s">
        <v>29</v>
      </c>
      <c r="N2263" t="str">
        <f>_xlfn.XLOOKUP(B2263,tblCustomers[customer_id],tblCustomers[region],"Missing")</f>
        <v>South</v>
      </c>
      <c r="O2263" t="str">
        <f>_xlfn.XLOOKUP(C2263,tblProducts[product_id],tblProducts[product_name],"Missing")</f>
        <v>CRM Enterprise</v>
      </c>
      <c r="P2263" t="str">
        <f>_xlfn.XLOOKUP(C2263,tblProducts[product_id],tblProducts[category],"Missing")</f>
        <v>CRM</v>
      </c>
      <c r="Q2263" t="str">
        <f>_xlfn.XLOOKUP(D2263,tblSalesReps[rep_id],tblSalesReps[rep_name],"Missing")</f>
        <v>Sales Rep 02</v>
      </c>
      <c r="R2263" t="str">
        <f>_xlfn.XLOOKUP(D2263,tblSalesReps[rep_id],tblSalesReps[region],"Missing")</f>
        <v>South</v>
      </c>
    </row>
    <row r="2264" spans="1:18">
      <c r="A2264" t="s">
        <v>2805</v>
      </c>
      <c r="B2264" t="s">
        <v>1318</v>
      </c>
      <c r="C2264" t="s">
        <v>15</v>
      </c>
      <c r="D2264" t="s">
        <v>91</v>
      </c>
      <c r="E2264" s="1">
        <v>45822</v>
      </c>
      <c r="F2264" s="1">
        <v>45893</v>
      </c>
      <c r="G2264" s="1">
        <v>45893</v>
      </c>
      <c r="H2264" t="s">
        <v>17</v>
      </c>
      <c r="I2264">
        <v>3</v>
      </c>
      <c r="J2264">
        <v>5</v>
      </c>
      <c r="K2264">
        <v>1197000</v>
      </c>
      <c r="L2264">
        <v>0</v>
      </c>
      <c r="M2264" t="s">
        <v>18</v>
      </c>
      <c r="N2264" t="str">
        <f>_xlfn.XLOOKUP(B2264,tblCustomers[customer_id],tblCustomers[region],"Missing")</f>
        <v>South</v>
      </c>
      <c r="O2264" t="str">
        <f>_xlfn.XLOOKUP(C2264,tblProducts[product_id],tblProducts[product_name],"Missing")</f>
        <v>CRM Enterprise</v>
      </c>
      <c r="P2264" t="str">
        <f>_xlfn.XLOOKUP(C2264,tblProducts[product_id],tblProducts[category],"Missing")</f>
        <v>CRM</v>
      </c>
      <c r="Q2264" t="str">
        <f>_xlfn.XLOOKUP(D2264,tblSalesReps[rep_id],tblSalesReps[rep_name],"Missing")</f>
        <v>Sales Rep 03</v>
      </c>
      <c r="R2264" t="str">
        <f>_xlfn.XLOOKUP(D2264,tblSalesReps[rep_id],tblSalesReps[region],"Missing")</f>
        <v>South</v>
      </c>
    </row>
    <row r="2265" spans="1:18">
      <c r="A2265" t="s">
        <v>2806</v>
      </c>
      <c r="B2265" t="s">
        <v>948</v>
      </c>
      <c r="C2265" t="s">
        <v>26</v>
      </c>
      <c r="D2265" t="s">
        <v>78</v>
      </c>
      <c r="E2265" s="1">
        <v>45922</v>
      </c>
      <c r="F2265" s="1">
        <v>45936</v>
      </c>
      <c r="G2265" s="1"/>
      <c r="H2265" t="s">
        <v>43</v>
      </c>
      <c r="I2265">
        <v>1</v>
      </c>
      <c r="J2265">
        <v>20</v>
      </c>
      <c r="K2265">
        <v>288000</v>
      </c>
      <c r="L2265">
        <v>60</v>
      </c>
      <c r="M2265" t="s">
        <v>29</v>
      </c>
      <c r="N2265" t="str">
        <f>_xlfn.XLOOKUP(B2265,tblCustomers[customer_id],tblCustomers[region],"Missing")</f>
        <v>West</v>
      </c>
      <c r="O2265" t="str">
        <f>_xlfn.XLOOKUP(C2265,tblProducts[product_id],tblProducts[product_name],"Missing")</f>
        <v>Security Suite</v>
      </c>
      <c r="P2265" t="str">
        <f>_xlfn.XLOOKUP(C2265,tblProducts[product_id],tblProducts[category],"Missing")</f>
        <v>Security</v>
      </c>
      <c r="Q2265" t="str">
        <f>_xlfn.XLOOKUP(D2265,tblSalesReps[rep_id],tblSalesReps[rep_name],"Missing")</f>
        <v>Sales Rep 12</v>
      </c>
      <c r="R2265" t="str">
        <f>_xlfn.XLOOKUP(D2265,tblSalesReps[rep_id],tblSalesReps[region],"Missing")</f>
        <v>West</v>
      </c>
    </row>
    <row r="2266" spans="1:18">
      <c r="A2266" t="s">
        <v>2807</v>
      </c>
      <c r="B2266" t="s">
        <v>42</v>
      </c>
      <c r="C2266" t="s">
        <v>21</v>
      </c>
      <c r="D2266" t="s">
        <v>27</v>
      </c>
      <c r="E2266" s="1">
        <v>45822</v>
      </c>
      <c r="F2266" s="1">
        <v>45859</v>
      </c>
      <c r="G2266" s="1"/>
      <c r="H2266" t="s">
        <v>43</v>
      </c>
      <c r="I2266">
        <v>1</v>
      </c>
      <c r="J2266">
        <v>0</v>
      </c>
      <c r="K2266">
        <v>240000</v>
      </c>
      <c r="L2266">
        <v>80</v>
      </c>
      <c r="M2266" t="s">
        <v>29</v>
      </c>
      <c r="N2266" t="str">
        <f>_xlfn.XLOOKUP(B2266,tblCustomers[customer_id],tblCustomers[region],"Missing")</f>
        <v>North</v>
      </c>
      <c r="O2266" t="str">
        <f>_xlfn.XLOOKUP(C2266,tblProducts[product_id],tblProducts[product_name],"Missing")</f>
        <v>Workflow Automate</v>
      </c>
      <c r="P2266" t="str">
        <f>_xlfn.XLOOKUP(C2266,tblProducts[product_id],tblProducts[category],"Missing")</f>
        <v>Automation</v>
      </c>
      <c r="Q2266" t="str">
        <f>_xlfn.XLOOKUP(D2266,tblSalesReps[rep_id],tblSalesReps[rep_name],"Missing")</f>
        <v>Sales Rep 06</v>
      </c>
      <c r="R2266" t="str">
        <f>_xlfn.XLOOKUP(D2266,tblSalesReps[rep_id],tblSalesReps[region],"Missing")</f>
        <v>North</v>
      </c>
    </row>
    <row r="2267" spans="1:18">
      <c r="A2267" t="s">
        <v>2808</v>
      </c>
      <c r="B2267" t="s">
        <v>2628</v>
      </c>
      <c r="C2267" t="s">
        <v>26</v>
      </c>
      <c r="D2267" t="s">
        <v>59</v>
      </c>
      <c r="E2267" s="1">
        <v>45767</v>
      </c>
      <c r="F2267" s="1">
        <v>45803</v>
      </c>
      <c r="G2267" s="1"/>
      <c r="H2267" t="s">
        <v>43</v>
      </c>
      <c r="I2267">
        <v>1</v>
      </c>
      <c r="J2267">
        <v>0</v>
      </c>
      <c r="K2267">
        <v>360000</v>
      </c>
      <c r="L2267">
        <v>20</v>
      </c>
      <c r="M2267" t="s">
        <v>29</v>
      </c>
      <c r="N2267" t="str">
        <f>_xlfn.XLOOKUP(B2267,tblCustomers[customer_id],tblCustomers[region],"Missing")</f>
        <v>East</v>
      </c>
      <c r="O2267" t="str">
        <f>_xlfn.XLOOKUP(C2267,tblProducts[product_id],tblProducts[product_name],"Missing")</f>
        <v>Security Suite</v>
      </c>
      <c r="P2267" t="str">
        <f>_xlfn.XLOOKUP(C2267,tblProducts[product_id],tblProducts[category],"Missing")</f>
        <v>Security</v>
      </c>
      <c r="Q2267" t="str">
        <f>_xlfn.XLOOKUP(D2267,tblSalesReps[rep_id],tblSalesReps[rep_name],"Missing")</f>
        <v>Sales Rep 19</v>
      </c>
      <c r="R2267" t="str">
        <f>_xlfn.XLOOKUP(D2267,tblSalesReps[rep_id],tblSalesReps[region],"Missing")</f>
        <v>East</v>
      </c>
    </row>
    <row r="2268" spans="1:18">
      <c r="A2268" t="s">
        <v>2809</v>
      </c>
      <c r="B2268" t="s">
        <v>1843</v>
      </c>
      <c r="C2268" t="s">
        <v>62</v>
      </c>
      <c r="D2268" t="s">
        <v>78</v>
      </c>
      <c r="E2268" s="1">
        <v>45907</v>
      </c>
      <c r="F2268" s="1">
        <v>45923</v>
      </c>
      <c r="G2268" s="1">
        <v>45923</v>
      </c>
      <c r="H2268" t="s">
        <v>17</v>
      </c>
      <c r="I2268">
        <v>2</v>
      </c>
      <c r="J2268">
        <v>0</v>
      </c>
      <c r="K2268">
        <v>240000</v>
      </c>
      <c r="L2268">
        <v>0</v>
      </c>
      <c r="M2268" t="s">
        <v>82</v>
      </c>
      <c r="N2268" t="str">
        <f>_xlfn.XLOOKUP(B2268,tblCustomers[customer_id],tblCustomers[region],"Missing")</f>
        <v>West</v>
      </c>
      <c r="O2268" t="str">
        <f>_xlfn.XLOOKUP(C2268,tblProducts[product_id],tblProducts[product_name],"Missing")</f>
        <v>CRM Essentials</v>
      </c>
      <c r="P2268" t="str">
        <f>_xlfn.XLOOKUP(C2268,tblProducts[product_id],tblProducts[category],"Missing")</f>
        <v>CRM</v>
      </c>
      <c r="Q2268" t="str">
        <f>_xlfn.XLOOKUP(D2268,tblSalesReps[rep_id],tblSalesReps[rep_name],"Missing")</f>
        <v>Sales Rep 12</v>
      </c>
      <c r="R2268" t="str">
        <f>_xlfn.XLOOKUP(D2268,tblSalesReps[rep_id],tblSalesReps[region],"Missing")</f>
        <v>West</v>
      </c>
    </row>
    <row r="2269" spans="1:18">
      <c r="A2269" t="s">
        <v>2810</v>
      </c>
      <c r="B2269" t="s">
        <v>431</v>
      </c>
      <c r="C2269" t="s">
        <v>62</v>
      </c>
      <c r="D2269" t="s">
        <v>59</v>
      </c>
      <c r="E2269" s="1">
        <v>45731</v>
      </c>
      <c r="F2269" s="1">
        <v>45788</v>
      </c>
      <c r="G2269" s="1"/>
      <c r="H2269" t="s">
        <v>43</v>
      </c>
      <c r="I2269">
        <v>1</v>
      </c>
      <c r="J2269">
        <v>10</v>
      </c>
      <c r="K2269">
        <v>108000</v>
      </c>
      <c r="L2269">
        <v>80</v>
      </c>
      <c r="M2269" t="s">
        <v>29</v>
      </c>
      <c r="N2269" t="str">
        <f>_xlfn.XLOOKUP(B2269,tblCustomers[customer_id],tblCustomers[region],"Missing")</f>
        <v>East</v>
      </c>
      <c r="O2269" t="str">
        <f>_xlfn.XLOOKUP(C2269,tblProducts[product_id],tblProducts[product_name],"Missing")</f>
        <v>CRM Essentials</v>
      </c>
      <c r="P2269" t="str">
        <f>_xlfn.XLOOKUP(C2269,tblProducts[product_id],tblProducts[category],"Missing")</f>
        <v>CRM</v>
      </c>
      <c r="Q2269" t="str">
        <f>_xlfn.XLOOKUP(D2269,tblSalesReps[rep_id],tblSalesReps[rep_name],"Missing")</f>
        <v>Sales Rep 19</v>
      </c>
      <c r="R2269" t="str">
        <f>_xlfn.XLOOKUP(D2269,tblSalesReps[rep_id],tblSalesReps[region],"Missing")</f>
        <v>East</v>
      </c>
    </row>
    <row r="2270" spans="1:18">
      <c r="A2270" t="s">
        <v>2811</v>
      </c>
      <c r="B2270" t="s">
        <v>1500</v>
      </c>
      <c r="C2270" t="s">
        <v>81</v>
      </c>
      <c r="D2270" t="s">
        <v>91</v>
      </c>
      <c r="E2270" s="1">
        <v>45726</v>
      </c>
      <c r="F2270" s="1">
        <v>45810</v>
      </c>
      <c r="G2270" s="1">
        <v>45810</v>
      </c>
      <c r="H2270" t="s">
        <v>17</v>
      </c>
      <c r="I2270">
        <v>1</v>
      </c>
      <c r="J2270">
        <v>10</v>
      </c>
      <c r="K2270">
        <v>270000</v>
      </c>
      <c r="L2270">
        <v>0</v>
      </c>
      <c r="M2270" t="s">
        <v>82</v>
      </c>
      <c r="N2270" t="str">
        <f>_xlfn.XLOOKUP(B2270,tblCustomers[customer_id],tblCustomers[region],"Missing")</f>
        <v>South</v>
      </c>
      <c r="O2270" t="str">
        <f>_xlfn.XLOOKUP(C2270,tblProducts[product_id],tblProducts[product_name],"Missing")</f>
        <v>Analytics Cloud</v>
      </c>
      <c r="P2270" t="str">
        <f>_xlfn.XLOOKUP(C2270,tblProducts[product_id],tblProducts[category],"Missing")</f>
        <v>Analytics</v>
      </c>
      <c r="Q2270" t="str">
        <f>_xlfn.XLOOKUP(D2270,tblSalesReps[rep_id],tblSalesReps[rep_name],"Missing")</f>
        <v>Sales Rep 03</v>
      </c>
      <c r="R2270" t="str">
        <f>_xlfn.XLOOKUP(D2270,tblSalesReps[rep_id],tblSalesReps[region],"Missing")</f>
        <v>South</v>
      </c>
    </row>
    <row r="2271" spans="1:18">
      <c r="A2271" t="s">
        <v>2812</v>
      </c>
      <c r="B2271" t="s">
        <v>131</v>
      </c>
      <c r="C2271" t="s">
        <v>26</v>
      </c>
      <c r="D2271" t="s">
        <v>16</v>
      </c>
      <c r="E2271" s="1">
        <v>45663</v>
      </c>
      <c r="F2271" s="1">
        <v>45738</v>
      </c>
      <c r="G2271" s="1"/>
      <c r="H2271" t="s">
        <v>43</v>
      </c>
      <c r="I2271">
        <v>1</v>
      </c>
      <c r="J2271">
        <v>20</v>
      </c>
      <c r="K2271">
        <v>288000</v>
      </c>
      <c r="L2271">
        <v>80</v>
      </c>
      <c r="M2271" t="s">
        <v>29</v>
      </c>
      <c r="N2271" t="str">
        <f>_xlfn.XLOOKUP(B2271,tblCustomers[customer_id],tblCustomers[region],"Missing")</f>
        <v>North</v>
      </c>
      <c r="O2271" t="str">
        <f>_xlfn.XLOOKUP(C2271,tblProducts[product_id],tblProducts[product_name],"Missing")</f>
        <v>Security Suite</v>
      </c>
      <c r="P2271" t="str">
        <f>_xlfn.XLOOKUP(C2271,tblProducts[product_id],tblProducts[category],"Missing")</f>
        <v>Security</v>
      </c>
      <c r="Q2271" t="str">
        <f>_xlfn.XLOOKUP(D2271,tblSalesReps[rep_id],tblSalesReps[rep_name],"Missing")</f>
        <v>Sales Rep 08</v>
      </c>
      <c r="R2271" t="str">
        <f>_xlfn.XLOOKUP(D2271,tblSalesReps[rep_id],tblSalesReps[region],"Missing")</f>
        <v>North</v>
      </c>
    </row>
    <row r="2272" spans="1:18">
      <c r="A2272" t="s">
        <v>2813</v>
      </c>
      <c r="B2272" t="s">
        <v>753</v>
      </c>
      <c r="C2272" t="s">
        <v>62</v>
      </c>
      <c r="D2272" t="s">
        <v>16</v>
      </c>
      <c r="E2272" s="1">
        <v>45791</v>
      </c>
      <c r="F2272" s="1">
        <v>45844</v>
      </c>
      <c r="G2272" s="1">
        <v>45844</v>
      </c>
      <c r="H2272" t="s">
        <v>28</v>
      </c>
      <c r="I2272">
        <v>1</v>
      </c>
      <c r="J2272">
        <v>10</v>
      </c>
      <c r="K2272">
        <v>108000</v>
      </c>
      <c r="L2272">
        <v>100</v>
      </c>
      <c r="M2272" t="s">
        <v>29</v>
      </c>
      <c r="N2272" t="str">
        <f>_xlfn.XLOOKUP(B2272,tblCustomers[customer_id],tblCustomers[region],"Missing")</f>
        <v>North</v>
      </c>
      <c r="O2272" t="str">
        <f>_xlfn.XLOOKUP(C2272,tblProducts[product_id],tblProducts[product_name],"Missing")</f>
        <v>CRM Essentials</v>
      </c>
      <c r="P2272" t="str">
        <f>_xlfn.XLOOKUP(C2272,tblProducts[product_id],tblProducts[category],"Missing")</f>
        <v>CRM</v>
      </c>
      <c r="Q2272" t="str">
        <f>_xlfn.XLOOKUP(D2272,tblSalesReps[rep_id],tblSalesReps[rep_name],"Missing")</f>
        <v>Sales Rep 08</v>
      </c>
      <c r="R2272" t="str">
        <f>_xlfn.XLOOKUP(D2272,tblSalesReps[rep_id],tblSalesReps[region],"Missing")</f>
        <v>North</v>
      </c>
    </row>
    <row r="2273" spans="1:18">
      <c r="A2273" t="s">
        <v>2814</v>
      </c>
      <c r="B2273" t="s">
        <v>1884</v>
      </c>
      <c r="C2273" t="s">
        <v>62</v>
      </c>
      <c r="D2273" t="s">
        <v>46</v>
      </c>
      <c r="E2273" s="1">
        <v>45694</v>
      </c>
      <c r="F2273" s="1">
        <v>45733</v>
      </c>
      <c r="G2273" s="1">
        <v>45733</v>
      </c>
      <c r="H2273" t="s">
        <v>28</v>
      </c>
      <c r="I2273">
        <v>1</v>
      </c>
      <c r="J2273">
        <v>10</v>
      </c>
      <c r="K2273">
        <v>108000</v>
      </c>
      <c r="L2273">
        <v>100</v>
      </c>
      <c r="M2273" t="s">
        <v>29</v>
      </c>
      <c r="N2273" t="str">
        <f>_xlfn.XLOOKUP(B2273,tblCustomers[customer_id],tblCustomers[region],"Missing")</f>
        <v>South</v>
      </c>
      <c r="O2273" t="str">
        <f>_xlfn.XLOOKUP(C2273,tblProducts[product_id],tblProducts[product_name],"Missing")</f>
        <v>CRM Essentials</v>
      </c>
      <c r="P2273" t="str">
        <f>_xlfn.XLOOKUP(C2273,tblProducts[product_id],tblProducts[category],"Missing")</f>
        <v>CRM</v>
      </c>
      <c r="Q2273" t="str">
        <f>_xlfn.XLOOKUP(D2273,tblSalesReps[rep_id],tblSalesReps[rep_name],"Missing")</f>
        <v>Sales Rep 01</v>
      </c>
      <c r="R2273" t="str">
        <f>_xlfn.XLOOKUP(D2273,tblSalesReps[rep_id],tblSalesReps[region],"Missing")</f>
        <v>South</v>
      </c>
    </row>
    <row r="2274" spans="1:18">
      <c r="A2274" t="s">
        <v>2815</v>
      </c>
      <c r="B2274" t="s">
        <v>1070</v>
      </c>
      <c r="C2274" t="s">
        <v>21</v>
      </c>
      <c r="D2274" t="s">
        <v>27</v>
      </c>
      <c r="E2274" s="1">
        <v>45683</v>
      </c>
      <c r="F2274" s="1">
        <v>45727</v>
      </c>
      <c r="G2274" s="1">
        <v>45727</v>
      </c>
      <c r="H2274" t="s">
        <v>28</v>
      </c>
      <c r="I2274">
        <v>1</v>
      </c>
      <c r="J2274">
        <v>0</v>
      </c>
      <c r="K2274">
        <v>240000</v>
      </c>
      <c r="L2274">
        <v>100</v>
      </c>
      <c r="M2274" t="s">
        <v>29</v>
      </c>
      <c r="N2274" t="str">
        <f>_xlfn.XLOOKUP(B2274,tblCustomers[customer_id],tblCustomers[region],"Missing")</f>
        <v>North</v>
      </c>
      <c r="O2274" t="str">
        <f>_xlfn.XLOOKUP(C2274,tblProducts[product_id],tblProducts[product_name],"Missing")</f>
        <v>Workflow Automate</v>
      </c>
      <c r="P2274" t="str">
        <f>_xlfn.XLOOKUP(C2274,tblProducts[product_id],tblProducts[category],"Missing")</f>
        <v>Automation</v>
      </c>
      <c r="Q2274" t="str">
        <f>_xlfn.XLOOKUP(D2274,tblSalesReps[rep_id],tblSalesReps[rep_name],"Missing")</f>
        <v>Sales Rep 06</v>
      </c>
      <c r="R2274" t="str">
        <f>_xlfn.XLOOKUP(D2274,tblSalesReps[rep_id],tblSalesReps[region],"Missing")</f>
        <v>North</v>
      </c>
    </row>
    <row r="2275" spans="1:18">
      <c r="A2275" t="s">
        <v>2816</v>
      </c>
      <c r="B2275" t="s">
        <v>743</v>
      </c>
      <c r="C2275" t="s">
        <v>21</v>
      </c>
      <c r="D2275" t="s">
        <v>50</v>
      </c>
      <c r="E2275" s="1">
        <v>45955</v>
      </c>
      <c r="F2275" s="1">
        <v>45998</v>
      </c>
      <c r="G2275" s="1">
        <v>45998</v>
      </c>
      <c r="H2275" t="s">
        <v>17</v>
      </c>
      <c r="I2275">
        <v>2</v>
      </c>
      <c r="J2275">
        <v>15</v>
      </c>
      <c r="K2275">
        <v>408000</v>
      </c>
      <c r="L2275">
        <v>0</v>
      </c>
      <c r="M2275" t="s">
        <v>18</v>
      </c>
      <c r="N2275" t="str">
        <f>_xlfn.XLOOKUP(B2275,tblCustomers[customer_id],tblCustomers[region],"Missing")</f>
        <v>West</v>
      </c>
      <c r="O2275" t="str">
        <f>_xlfn.XLOOKUP(C2275,tblProducts[product_id],tblProducts[product_name],"Missing")</f>
        <v>Workflow Automate</v>
      </c>
      <c r="P2275" t="str">
        <f>_xlfn.XLOOKUP(C2275,tblProducts[product_id],tblProducts[category],"Missing")</f>
        <v>Automation</v>
      </c>
      <c r="Q2275" t="str">
        <f>_xlfn.XLOOKUP(D2275,tblSalesReps[rep_id],tblSalesReps[rep_name],"Missing")</f>
        <v>Sales Rep 15</v>
      </c>
      <c r="R2275" t="str">
        <f>_xlfn.XLOOKUP(D2275,tblSalesReps[rep_id],tblSalesReps[region],"Missing")</f>
        <v>West</v>
      </c>
    </row>
    <row r="2276" spans="1:18">
      <c r="A2276" t="s">
        <v>2817</v>
      </c>
      <c r="B2276" t="s">
        <v>428</v>
      </c>
      <c r="C2276" t="s">
        <v>62</v>
      </c>
      <c r="D2276" t="s">
        <v>59</v>
      </c>
      <c r="E2276" s="1">
        <v>45838</v>
      </c>
      <c r="F2276" s="1">
        <v>45892</v>
      </c>
      <c r="G2276" s="1">
        <v>45892</v>
      </c>
      <c r="H2276" t="s">
        <v>28</v>
      </c>
      <c r="I2276">
        <v>1</v>
      </c>
      <c r="J2276">
        <v>20</v>
      </c>
      <c r="K2276">
        <v>96000</v>
      </c>
      <c r="L2276">
        <v>100</v>
      </c>
      <c r="M2276" t="s">
        <v>29</v>
      </c>
      <c r="N2276" t="str">
        <f>_xlfn.XLOOKUP(B2276,tblCustomers[customer_id],tblCustomers[region],"Missing")</f>
        <v>East</v>
      </c>
      <c r="O2276" t="str">
        <f>_xlfn.XLOOKUP(C2276,tblProducts[product_id],tblProducts[product_name],"Missing")</f>
        <v>CRM Essentials</v>
      </c>
      <c r="P2276" t="str">
        <f>_xlfn.XLOOKUP(C2276,tblProducts[product_id],tblProducts[category],"Missing")</f>
        <v>CRM</v>
      </c>
      <c r="Q2276" t="str">
        <f>_xlfn.XLOOKUP(D2276,tblSalesReps[rep_id],tblSalesReps[rep_name],"Missing")</f>
        <v>Sales Rep 19</v>
      </c>
      <c r="R2276" t="str">
        <f>_xlfn.XLOOKUP(D2276,tblSalesReps[rep_id],tblSalesReps[region],"Missing")</f>
        <v>East</v>
      </c>
    </row>
    <row r="2277" spans="1:18">
      <c r="A2277" t="s">
        <v>2818</v>
      </c>
      <c r="B2277" t="s">
        <v>759</v>
      </c>
      <c r="C2277" t="s">
        <v>62</v>
      </c>
      <c r="D2277" t="s">
        <v>59</v>
      </c>
      <c r="E2277" s="1">
        <v>46008</v>
      </c>
      <c r="F2277" s="1">
        <v>46076</v>
      </c>
      <c r="G2277" s="1"/>
      <c r="H2277" t="s">
        <v>43</v>
      </c>
      <c r="I2277">
        <v>2</v>
      </c>
      <c r="J2277">
        <v>5</v>
      </c>
      <c r="K2277">
        <v>228000</v>
      </c>
      <c r="L2277">
        <v>20</v>
      </c>
      <c r="M2277" t="s">
        <v>29</v>
      </c>
      <c r="N2277" t="str">
        <f>_xlfn.XLOOKUP(B2277,tblCustomers[customer_id],tblCustomers[region],"Missing")</f>
        <v>East</v>
      </c>
      <c r="O2277" t="str">
        <f>_xlfn.XLOOKUP(C2277,tblProducts[product_id],tblProducts[product_name],"Missing")</f>
        <v>CRM Essentials</v>
      </c>
      <c r="P2277" t="str">
        <f>_xlfn.XLOOKUP(C2277,tblProducts[product_id],tblProducts[category],"Missing")</f>
        <v>CRM</v>
      </c>
      <c r="Q2277" t="str">
        <f>_xlfn.XLOOKUP(D2277,tblSalesReps[rep_id],tblSalesReps[rep_name],"Missing")</f>
        <v>Sales Rep 19</v>
      </c>
      <c r="R2277" t="str">
        <f>_xlfn.XLOOKUP(D2277,tblSalesReps[rep_id],tblSalesReps[region],"Missing")</f>
        <v>East</v>
      </c>
    </row>
    <row r="2278" spans="1:18">
      <c r="A2278" t="s">
        <v>2819</v>
      </c>
      <c r="B2278" t="s">
        <v>118</v>
      </c>
      <c r="C2278" t="s">
        <v>81</v>
      </c>
      <c r="D2278" t="s">
        <v>36</v>
      </c>
      <c r="E2278" s="1">
        <v>45899</v>
      </c>
      <c r="F2278" s="1">
        <v>45952</v>
      </c>
      <c r="G2278" s="1">
        <v>45952</v>
      </c>
      <c r="H2278" t="s">
        <v>28</v>
      </c>
      <c r="I2278">
        <v>1</v>
      </c>
      <c r="J2278">
        <v>15</v>
      </c>
      <c r="K2278">
        <v>255000</v>
      </c>
      <c r="L2278">
        <v>100</v>
      </c>
      <c r="M2278" t="s">
        <v>29</v>
      </c>
      <c r="N2278" t="str">
        <f>_xlfn.XLOOKUP(B2278,tblCustomers[customer_id],tblCustomers[region],"Missing")</f>
        <v>North</v>
      </c>
      <c r="O2278" t="str">
        <f>_xlfn.XLOOKUP(C2278,tblProducts[product_id],tblProducts[product_name],"Missing")</f>
        <v>Analytics Cloud</v>
      </c>
      <c r="P2278" t="str">
        <f>_xlfn.XLOOKUP(C2278,tblProducts[product_id],tblProducts[category],"Missing")</f>
        <v>Analytics</v>
      </c>
      <c r="Q2278" t="str">
        <f>_xlfn.XLOOKUP(D2278,tblSalesReps[rep_id],tblSalesReps[rep_name],"Missing")</f>
        <v>Sales Rep 09</v>
      </c>
      <c r="R2278" t="str">
        <f>_xlfn.XLOOKUP(D2278,tblSalesReps[rep_id],tblSalesReps[region],"Missing")</f>
        <v>North</v>
      </c>
    </row>
    <row r="2279" spans="1:18">
      <c r="A2279" t="s">
        <v>2820</v>
      </c>
      <c r="B2279" t="s">
        <v>1368</v>
      </c>
      <c r="C2279" t="s">
        <v>21</v>
      </c>
      <c r="D2279" t="s">
        <v>27</v>
      </c>
      <c r="E2279" s="1">
        <v>45998</v>
      </c>
      <c r="F2279" s="1">
        <v>46028</v>
      </c>
      <c r="G2279" s="1"/>
      <c r="H2279" t="s">
        <v>43</v>
      </c>
      <c r="I2279">
        <v>3</v>
      </c>
      <c r="J2279">
        <v>0</v>
      </c>
      <c r="K2279">
        <v>720000</v>
      </c>
      <c r="L2279">
        <v>20</v>
      </c>
      <c r="M2279" t="s">
        <v>29</v>
      </c>
      <c r="N2279" t="str">
        <f>_xlfn.XLOOKUP(B2279,tblCustomers[customer_id],tblCustomers[region],"Missing")</f>
        <v>North</v>
      </c>
      <c r="O2279" t="str">
        <f>_xlfn.XLOOKUP(C2279,tblProducts[product_id],tblProducts[product_name],"Missing")</f>
        <v>Workflow Automate</v>
      </c>
      <c r="P2279" t="str">
        <f>_xlfn.XLOOKUP(C2279,tblProducts[product_id],tblProducts[category],"Missing")</f>
        <v>Automation</v>
      </c>
      <c r="Q2279" t="str">
        <f>_xlfn.XLOOKUP(D2279,tblSalesReps[rep_id],tblSalesReps[rep_name],"Missing")</f>
        <v>Sales Rep 06</v>
      </c>
      <c r="R2279" t="str">
        <f>_xlfn.XLOOKUP(D2279,tblSalesReps[rep_id],tblSalesReps[region],"Missing")</f>
        <v>North</v>
      </c>
    </row>
    <row r="2280" spans="1:18">
      <c r="A2280" t="s">
        <v>2821</v>
      </c>
      <c r="B2280" t="s">
        <v>206</v>
      </c>
      <c r="C2280" t="s">
        <v>39</v>
      </c>
      <c r="D2280" t="s">
        <v>36</v>
      </c>
      <c r="E2280" s="1">
        <v>45824</v>
      </c>
      <c r="F2280" s="1">
        <v>45842</v>
      </c>
      <c r="G2280" s="1"/>
      <c r="H2280" t="s">
        <v>43</v>
      </c>
      <c r="I2280">
        <v>1</v>
      </c>
      <c r="J2280">
        <v>10</v>
      </c>
      <c r="K2280">
        <v>162000</v>
      </c>
      <c r="L2280">
        <v>60</v>
      </c>
      <c r="M2280" t="s">
        <v>29</v>
      </c>
      <c r="N2280" t="str">
        <f>_xlfn.XLOOKUP(B2280,tblCustomers[customer_id],tblCustomers[region],"Missing")</f>
        <v>North</v>
      </c>
      <c r="O2280" t="str">
        <f>_xlfn.XLOOKUP(C2280,tblProducts[product_id],tblProducts[product_name],"Missing")</f>
        <v>Support Desk</v>
      </c>
      <c r="P2280" t="str">
        <f>_xlfn.XLOOKUP(C2280,tblProducts[product_id],tblProducts[category],"Missing")</f>
        <v>Service</v>
      </c>
      <c r="Q2280" t="str">
        <f>_xlfn.XLOOKUP(D2280,tblSalesReps[rep_id],tblSalesReps[rep_name],"Missing")</f>
        <v>Sales Rep 09</v>
      </c>
      <c r="R2280" t="str">
        <f>_xlfn.XLOOKUP(D2280,tblSalesReps[rep_id],tblSalesReps[region],"Missing")</f>
        <v>North</v>
      </c>
    </row>
    <row r="2281" spans="1:18">
      <c r="A2281" t="s">
        <v>2822</v>
      </c>
      <c r="B2281" t="s">
        <v>1277</v>
      </c>
      <c r="C2281" t="s">
        <v>39</v>
      </c>
      <c r="D2281" t="s">
        <v>152</v>
      </c>
      <c r="E2281" s="1">
        <v>45865</v>
      </c>
      <c r="F2281" s="1">
        <v>45946</v>
      </c>
      <c r="G2281" s="1">
        <v>45946</v>
      </c>
      <c r="H2281" t="s">
        <v>28</v>
      </c>
      <c r="I2281">
        <v>1</v>
      </c>
      <c r="J2281">
        <v>10</v>
      </c>
      <c r="K2281">
        <v>162000</v>
      </c>
      <c r="L2281">
        <v>100</v>
      </c>
      <c r="M2281" t="s">
        <v>29</v>
      </c>
      <c r="N2281" t="str">
        <f>_xlfn.XLOOKUP(B2281,tblCustomers[customer_id],tblCustomers[region],"Missing")</f>
        <v>East</v>
      </c>
      <c r="O2281" t="str">
        <f>_xlfn.XLOOKUP(C2281,tblProducts[product_id],tblProducts[product_name],"Missing")</f>
        <v>Support Desk</v>
      </c>
      <c r="P2281" t="str">
        <f>_xlfn.XLOOKUP(C2281,tblProducts[product_id],tblProducts[category],"Missing")</f>
        <v>Service</v>
      </c>
      <c r="Q2281" t="str">
        <f>_xlfn.XLOOKUP(D2281,tblSalesReps[rep_id],tblSalesReps[rep_name],"Missing")</f>
        <v>Sales Rep 18</v>
      </c>
      <c r="R2281" t="str">
        <f>_xlfn.XLOOKUP(D2281,tblSalesReps[rep_id],tblSalesReps[region],"Missing")</f>
        <v>East</v>
      </c>
    </row>
    <row r="2282" spans="1:18">
      <c r="A2282" t="s">
        <v>2823</v>
      </c>
      <c r="B2282" t="s">
        <v>88</v>
      </c>
      <c r="C2282" t="s">
        <v>21</v>
      </c>
      <c r="D2282" t="s">
        <v>50</v>
      </c>
      <c r="E2282" s="1">
        <v>45898</v>
      </c>
      <c r="F2282" s="1">
        <v>45962</v>
      </c>
      <c r="G2282" s="1"/>
      <c r="H2282" t="s">
        <v>43</v>
      </c>
      <c r="I2282">
        <v>3</v>
      </c>
      <c r="J2282">
        <v>0</v>
      </c>
      <c r="K2282">
        <v>720000</v>
      </c>
      <c r="L2282">
        <v>60</v>
      </c>
      <c r="M2282" t="s">
        <v>29</v>
      </c>
      <c r="N2282" t="str">
        <f>_xlfn.XLOOKUP(B2282,tblCustomers[customer_id],tblCustomers[region],"Missing")</f>
        <v>West</v>
      </c>
      <c r="O2282" t="str">
        <f>_xlfn.XLOOKUP(C2282,tblProducts[product_id],tblProducts[product_name],"Missing")</f>
        <v>Workflow Automate</v>
      </c>
      <c r="P2282" t="str">
        <f>_xlfn.XLOOKUP(C2282,tblProducts[product_id],tblProducts[category],"Missing")</f>
        <v>Automation</v>
      </c>
      <c r="Q2282" t="str">
        <f>_xlfn.XLOOKUP(D2282,tblSalesReps[rep_id],tblSalesReps[rep_name],"Missing")</f>
        <v>Sales Rep 15</v>
      </c>
      <c r="R2282" t="str">
        <f>_xlfn.XLOOKUP(D2282,tblSalesReps[rep_id],tblSalesReps[region],"Missing")</f>
        <v>West</v>
      </c>
    </row>
    <row r="2283" spans="1:18">
      <c r="A2283" t="s">
        <v>2824</v>
      </c>
      <c r="B2283" t="s">
        <v>341</v>
      </c>
      <c r="C2283" t="s">
        <v>39</v>
      </c>
      <c r="D2283" t="s">
        <v>56</v>
      </c>
      <c r="E2283" s="1">
        <v>45886</v>
      </c>
      <c r="F2283" s="1">
        <v>45948</v>
      </c>
      <c r="G2283" s="1">
        <v>45948</v>
      </c>
      <c r="H2283" t="s">
        <v>28</v>
      </c>
      <c r="I2283">
        <v>2</v>
      </c>
      <c r="J2283">
        <v>15</v>
      </c>
      <c r="K2283">
        <v>306000</v>
      </c>
      <c r="L2283">
        <v>100</v>
      </c>
      <c r="M2283" t="s">
        <v>29</v>
      </c>
      <c r="N2283" t="str">
        <f>_xlfn.XLOOKUP(B2283,tblCustomers[customer_id],tblCustomers[region],"Missing")</f>
        <v>East</v>
      </c>
      <c r="O2283" t="str">
        <f>_xlfn.XLOOKUP(C2283,tblProducts[product_id],tblProducts[product_name],"Missing")</f>
        <v>Support Desk</v>
      </c>
      <c r="P2283" t="str">
        <f>_xlfn.XLOOKUP(C2283,tblProducts[product_id],tblProducts[category],"Missing")</f>
        <v>Service</v>
      </c>
      <c r="Q2283" t="str">
        <f>_xlfn.XLOOKUP(D2283,tblSalesReps[rep_id],tblSalesReps[rep_name],"Missing")</f>
        <v>Sales Rep 20</v>
      </c>
      <c r="R2283" t="str">
        <f>_xlfn.XLOOKUP(D2283,tblSalesReps[rep_id],tblSalesReps[region],"Missing")</f>
        <v>East</v>
      </c>
    </row>
    <row r="2284" spans="1:18">
      <c r="A2284" t="s">
        <v>2825</v>
      </c>
      <c r="B2284" t="s">
        <v>1526</v>
      </c>
      <c r="C2284" t="s">
        <v>39</v>
      </c>
      <c r="D2284" t="s">
        <v>119</v>
      </c>
      <c r="E2284" s="1">
        <v>45765</v>
      </c>
      <c r="F2284" s="1">
        <v>45827</v>
      </c>
      <c r="G2284" s="1">
        <v>45827</v>
      </c>
      <c r="H2284" t="s">
        <v>28</v>
      </c>
      <c r="I2284">
        <v>3</v>
      </c>
      <c r="J2284">
        <v>15</v>
      </c>
      <c r="K2284">
        <v>459000</v>
      </c>
      <c r="L2284">
        <v>100</v>
      </c>
      <c r="M2284" t="s">
        <v>29</v>
      </c>
      <c r="N2284" t="str">
        <f>_xlfn.XLOOKUP(B2284,tblCustomers[customer_id],tblCustomers[region],"Missing")</f>
        <v>North</v>
      </c>
      <c r="O2284" t="str">
        <f>_xlfn.XLOOKUP(C2284,tblProducts[product_id],tblProducts[product_name],"Missing")</f>
        <v>Support Desk</v>
      </c>
      <c r="P2284" t="str">
        <f>_xlfn.XLOOKUP(C2284,tblProducts[product_id],tblProducts[category],"Missing")</f>
        <v>Service</v>
      </c>
      <c r="Q2284" t="str">
        <f>_xlfn.XLOOKUP(D2284,tblSalesReps[rep_id],tblSalesReps[rep_name],"Missing")</f>
        <v>Sales Rep 10</v>
      </c>
      <c r="R2284" t="str">
        <f>_xlfn.XLOOKUP(D2284,tblSalesReps[rep_id],tblSalesReps[region],"Missing")</f>
        <v>North</v>
      </c>
    </row>
    <row r="2285" spans="1:18">
      <c r="A2285" t="s">
        <v>2826</v>
      </c>
      <c r="B2285" t="s">
        <v>304</v>
      </c>
      <c r="C2285" t="s">
        <v>26</v>
      </c>
      <c r="D2285" t="s">
        <v>36</v>
      </c>
      <c r="E2285" s="1">
        <v>45906</v>
      </c>
      <c r="F2285" s="1">
        <v>45951</v>
      </c>
      <c r="G2285" s="1">
        <v>45951</v>
      </c>
      <c r="H2285" t="s">
        <v>28</v>
      </c>
      <c r="I2285">
        <v>1</v>
      </c>
      <c r="J2285">
        <v>15</v>
      </c>
      <c r="K2285">
        <v>306000</v>
      </c>
      <c r="L2285">
        <v>100</v>
      </c>
      <c r="M2285" t="s">
        <v>29</v>
      </c>
      <c r="N2285" t="str">
        <f>_xlfn.XLOOKUP(B2285,tblCustomers[customer_id],tblCustomers[region],"Missing")</f>
        <v>North</v>
      </c>
      <c r="O2285" t="str">
        <f>_xlfn.XLOOKUP(C2285,tblProducts[product_id],tblProducts[product_name],"Missing")</f>
        <v>Security Suite</v>
      </c>
      <c r="P2285" t="str">
        <f>_xlfn.XLOOKUP(C2285,tblProducts[product_id],tblProducts[category],"Missing")</f>
        <v>Security</v>
      </c>
      <c r="Q2285" t="str">
        <f>_xlfn.XLOOKUP(D2285,tblSalesReps[rep_id],tblSalesReps[rep_name],"Missing")</f>
        <v>Sales Rep 09</v>
      </c>
      <c r="R2285" t="str">
        <f>_xlfn.XLOOKUP(D2285,tblSalesReps[rep_id],tblSalesReps[region],"Missing")</f>
        <v>North</v>
      </c>
    </row>
    <row r="2286" spans="1:18">
      <c r="A2286" t="s">
        <v>2827</v>
      </c>
      <c r="B2286" t="s">
        <v>559</v>
      </c>
      <c r="C2286" t="s">
        <v>21</v>
      </c>
      <c r="D2286" t="s">
        <v>70</v>
      </c>
      <c r="E2286" s="1">
        <v>45985</v>
      </c>
      <c r="F2286" s="1">
        <v>46060</v>
      </c>
      <c r="G2286" s="1"/>
      <c r="H2286" t="s">
        <v>43</v>
      </c>
      <c r="I2286">
        <v>1</v>
      </c>
      <c r="J2286">
        <v>15</v>
      </c>
      <c r="K2286">
        <v>204000</v>
      </c>
      <c r="L2286">
        <v>60</v>
      </c>
      <c r="M2286" t="s">
        <v>29</v>
      </c>
      <c r="N2286" t="str">
        <f>_xlfn.XLOOKUP(B2286,tblCustomers[customer_id],tblCustomers[region],"Missing")</f>
        <v>West</v>
      </c>
      <c r="O2286" t="str">
        <f>_xlfn.XLOOKUP(C2286,tblProducts[product_id],tblProducts[product_name],"Missing")</f>
        <v>Workflow Automate</v>
      </c>
      <c r="P2286" t="str">
        <f>_xlfn.XLOOKUP(C2286,tblProducts[product_id],tblProducts[category],"Missing")</f>
        <v>Automation</v>
      </c>
      <c r="Q2286" t="str">
        <f>_xlfn.XLOOKUP(D2286,tblSalesReps[rep_id],tblSalesReps[rep_name],"Missing")</f>
        <v>Sales Rep 11</v>
      </c>
      <c r="R2286" t="str">
        <f>_xlfn.XLOOKUP(D2286,tblSalesReps[rep_id],tblSalesReps[region],"Missing")</f>
        <v>West</v>
      </c>
    </row>
    <row r="2287" spans="1:18">
      <c r="A2287" t="s">
        <v>2828</v>
      </c>
      <c r="B2287" t="s">
        <v>356</v>
      </c>
      <c r="C2287" t="s">
        <v>21</v>
      </c>
      <c r="D2287" t="s">
        <v>16</v>
      </c>
      <c r="E2287" s="1">
        <v>46021</v>
      </c>
      <c r="F2287" s="1">
        <v>46088</v>
      </c>
      <c r="G2287" s="1"/>
      <c r="H2287" t="s">
        <v>43</v>
      </c>
      <c r="I2287">
        <v>2</v>
      </c>
      <c r="J2287">
        <v>15</v>
      </c>
      <c r="K2287">
        <v>408000</v>
      </c>
      <c r="L2287">
        <v>40</v>
      </c>
      <c r="M2287" t="s">
        <v>29</v>
      </c>
      <c r="N2287" t="str">
        <f>_xlfn.XLOOKUP(B2287,tblCustomers[customer_id],tblCustomers[region],"Missing")</f>
        <v>North</v>
      </c>
      <c r="O2287" t="str">
        <f>_xlfn.XLOOKUP(C2287,tblProducts[product_id],tblProducts[product_name],"Missing")</f>
        <v>Workflow Automate</v>
      </c>
      <c r="P2287" t="str">
        <f>_xlfn.XLOOKUP(C2287,tblProducts[product_id],tblProducts[category],"Missing")</f>
        <v>Automation</v>
      </c>
      <c r="Q2287" t="str">
        <f>_xlfn.XLOOKUP(D2287,tblSalesReps[rep_id],tblSalesReps[rep_name],"Missing")</f>
        <v>Sales Rep 08</v>
      </c>
      <c r="R2287" t="str">
        <f>_xlfn.XLOOKUP(D2287,tblSalesReps[rep_id],tblSalesReps[region],"Missing")</f>
        <v>North</v>
      </c>
    </row>
    <row r="2288" spans="1:18">
      <c r="A2288" t="s">
        <v>2829</v>
      </c>
      <c r="B2288" t="s">
        <v>969</v>
      </c>
      <c r="C2288" t="s">
        <v>81</v>
      </c>
      <c r="D2288" t="s">
        <v>126</v>
      </c>
      <c r="E2288" s="1">
        <v>45898</v>
      </c>
      <c r="F2288" s="1">
        <v>45965</v>
      </c>
      <c r="G2288" s="1"/>
      <c r="H2288" t="s">
        <v>43</v>
      </c>
      <c r="I2288">
        <v>1</v>
      </c>
      <c r="J2288">
        <v>20</v>
      </c>
      <c r="K2288">
        <v>240000</v>
      </c>
      <c r="L2288">
        <v>40</v>
      </c>
      <c r="M2288" t="s">
        <v>29</v>
      </c>
      <c r="N2288" t="str">
        <f>_xlfn.XLOOKUP(B2288,tblCustomers[customer_id],tblCustomers[region],"Missing")</f>
        <v>South</v>
      </c>
      <c r="O2288" t="str">
        <f>_xlfn.XLOOKUP(C2288,tblProducts[product_id],tblProducts[product_name],"Missing")</f>
        <v>Analytics Cloud</v>
      </c>
      <c r="P2288" t="str">
        <f>_xlfn.XLOOKUP(C2288,tblProducts[product_id],tblProducts[category],"Missing")</f>
        <v>Analytics</v>
      </c>
      <c r="Q2288" t="str">
        <f>_xlfn.XLOOKUP(D2288,tblSalesReps[rep_id],tblSalesReps[rep_name],"Missing")</f>
        <v>Sales Rep 02</v>
      </c>
      <c r="R2288" t="str">
        <f>_xlfn.XLOOKUP(D2288,tblSalesReps[rep_id],tblSalesReps[region],"Missing")</f>
        <v>South</v>
      </c>
    </row>
    <row r="2289" spans="1:18">
      <c r="A2289" t="s">
        <v>2830</v>
      </c>
      <c r="B2289" t="s">
        <v>1194</v>
      </c>
      <c r="C2289" t="s">
        <v>81</v>
      </c>
      <c r="D2289" t="s">
        <v>36</v>
      </c>
      <c r="E2289" s="1">
        <v>45970</v>
      </c>
      <c r="F2289" s="1">
        <v>46000</v>
      </c>
      <c r="G2289" s="1">
        <v>46000</v>
      </c>
      <c r="H2289" t="s">
        <v>17</v>
      </c>
      <c r="I2289">
        <v>2</v>
      </c>
      <c r="J2289">
        <v>15</v>
      </c>
      <c r="K2289">
        <v>510000</v>
      </c>
      <c r="L2289">
        <v>0</v>
      </c>
      <c r="M2289" t="s">
        <v>18</v>
      </c>
      <c r="N2289" t="str">
        <f>_xlfn.XLOOKUP(B2289,tblCustomers[customer_id],tblCustomers[region],"Missing")</f>
        <v>North</v>
      </c>
      <c r="O2289" t="str">
        <f>_xlfn.XLOOKUP(C2289,tblProducts[product_id],tblProducts[product_name],"Missing")</f>
        <v>Analytics Cloud</v>
      </c>
      <c r="P2289" t="str">
        <f>_xlfn.XLOOKUP(C2289,tblProducts[product_id],tblProducts[category],"Missing")</f>
        <v>Analytics</v>
      </c>
      <c r="Q2289" t="str">
        <f>_xlfn.XLOOKUP(D2289,tblSalesReps[rep_id],tblSalesReps[rep_name],"Missing")</f>
        <v>Sales Rep 09</v>
      </c>
      <c r="R2289" t="str">
        <f>_xlfn.XLOOKUP(D2289,tblSalesReps[rep_id],tblSalesReps[region],"Missing")</f>
        <v>North</v>
      </c>
    </row>
    <row r="2290" spans="1:18">
      <c r="A2290" t="s">
        <v>2831</v>
      </c>
      <c r="B2290" t="s">
        <v>125</v>
      </c>
      <c r="C2290" t="s">
        <v>81</v>
      </c>
      <c r="D2290" t="s">
        <v>46</v>
      </c>
      <c r="E2290" s="1">
        <v>45879</v>
      </c>
      <c r="F2290" s="1">
        <v>45947</v>
      </c>
      <c r="G2290" s="1">
        <v>45947</v>
      </c>
      <c r="H2290" t="s">
        <v>17</v>
      </c>
      <c r="I2290">
        <v>2</v>
      </c>
      <c r="J2290">
        <v>15</v>
      </c>
      <c r="K2290">
        <v>510000</v>
      </c>
      <c r="L2290">
        <v>0</v>
      </c>
      <c r="M2290" t="s">
        <v>47</v>
      </c>
      <c r="N2290" t="str">
        <f>_xlfn.XLOOKUP(B2290,tblCustomers[customer_id],tblCustomers[region],"Missing")</f>
        <v>South</v>
      </c>
      <c r="O2290" t="str">
        <f>_xlfn.XLOOKUP(C2290,tblProducts[product_id],tblProducts[product_name],"Missing")</f>
        <v>Analytics Cloud</v>
      </c>
      <c r="P2290" t="str">
        <f>_xlfn.XLOOKUP(C2290,tblProducts[product_id],tblProducts[category],"Missing")</f>
        <v>Analytics</v>
      </c>
      <c r="Q2290" t="str">
        <f>_xlfn.XLOOKUP(D2290,tblSalesReps[rep_id],tblSalesReps[rep_name],"Missing")</f>
        <v>Sales Rep 01</v>
      </c>
      <c r="R2290" t="str">
        <f>_xlfn.XLOOKUP(D2290,tblSalesReps[rep_id],tblSalesReps[region],"Missing")</f>
        <v>South</v>
      </c>
    </row>
    <row r="2291" spans="1:18">
      <c r="A2291" t="s">
        <v>2832</v>
      </c>
      <c r="B2291" t="s">
        <v>1135</v>
      </c>
      <c r="C2291" t="s">
        <v>26</v>
      </c>
      <c r="D2291" t="s">
        <v>32</v>
      </c>
      <c r="E2291" s="1">
        <v>45746</v>
      </c>
      <c r="F2291" s="1">
        <v>45775</v>
      </c>
      <c r="G2291" s="1">
        <v>45775</v>
      </c>
      <c r="H2291" t="s">
        <v>28</v>
      </c>
      <c r="I2291">
        <v>1</v>
      </c>
      <c r="J2291">
        <v>0</v>
      </c>
      <c r="K2291">
        <v>360000</v>
      </c>
      <c r="L2291">
        <v>100</v>
      </c>
      <c r="M2291" t="s">
        <v>29</v>
      </c>
      <c r="N2291" t="str">
        <f>_xlfn.XLOOKUP(B2291,tblCustomers[customer_id],tblCustomers[region],"Missing")</f>
        <v>South</v>
      </c>
      <c r="O2291" t="str">
        <f>_xlfn.XLOOKUP(C2291,tblProducts[product_id],tblProducts[product_name],"Missing")</f>
        <v>Security Suite</v>
      </c>
      <c r="P2291" t="str">
        <f>_xlfn.XLOOKUP(C2291,tblProducts[product_id],tblProducts[category],"Missing")</f>
        <v>Security</v>
      </c>
      <c r="Q2291" t="str">
        <f>_xlfn.XLOOKUP(D2291,tblSalesReps[rep_id],tblSalesReps[rep_name],"Missing")</f>
        <v>Sales Rep 04</v>
      </c>
      <c r="R2291" t="str">
        <f>_xlfn.XLOOKUP(D2291,tblSalesReps[rep_id],tblSalesReps[region],"Missing")</f>
        <v>South</v>
      </c>
    </row>
    <row r="2292" spans="1:18">
      <c r="A2292" t="s">
        <v>2833</v>
      </c>
      <c r="B2292" t="s">
        <v>489</v>
      </c>
      <c r="C2292" t="s">
        <v>62</v>
      </c>
      <c r="D2292" t="s">
        <v>70</v>
      </c>
      <c r="E2292" s="1">
        <v>45926</v>
      </c>
      <c r="F2292" s="1">
        <v>45960</v>
      </c>
      <c r="G2292" s="1">
        <v>45960</v>
      </c>
      <c r="H2292" t="s">
        <v>28</v>
      </c>
      <c r="I2292">
        <v>1</v>
      </c>
      <c r="J2292">
        <v>20</v>
      </c>
      <c r="K2292">
        <v>96000</v>
      </c>
      <c r="L2292">
        <v>100</v>
      </c>
      <c r="M2292" t="s">
        <v>29</v>
      </c>
      <c r="N2292" t="str">
        <f>_xlfn.XLOOKUP(B2292,tblCustomers[customer_id],tblCustomers[region],"Missing")</f>
        <v>West</v>
      </c>
      <c r="O2292" t="str">
        <f>_xlfn.XLOOKUP(C2292,tblProducts[product_id],tblProducts[product_name],"Missing")</f>
        <v>CRM Essentials</v>
      </c>
      <c r="P2292" t="str">
        <f>_xlfn.XLOOKUP(C2292,tblProducts[product_id],tblProducts[category],"Missing")</f>
        <v>CRM</v>
      </c>
      <c r="Q2292" t="str">
        <f>_xlfn.XLOOKUP(D2292,tblSalesReps[rep_id],tblSalesReps[rep_name],"Missing")</f>
        <v>Sales Rep 11</v>
      </c>
      <c r="R2292" t="str">
        <f>_xlfn.XLOOKUP(D2292,tblSalesReps[rep_id],tblSalesReps[region],"Missing")</f>
        <v>West</v>
      </c>
    </row>
    <row r="2293" spans="1:18">
      <c r="A2293" t="s">
        <v>2834</v>
      </c>
      <c r="B2293" t="s">
        <v>1475</v>
      </c>
      <c r="C2293" t="s">
        <v>62</v>
      </c>
      <c r="D2293" t="s">
        <v>56</v>
      </c>
      <c r="E2293" s="1">
        <v>45659</v>
      </c>
      <c r="F2293" s="1">
        <v>45714</v>
      </c>
      <c r="G2293" s="1">
        <v>45714</v>
      </c>
      <c r="H2293" t="s">
        <v>28</v>
      </c>
      <c r="I2293">
        <v>3</v>
      </c>
      <c r="J2293">
        <v>10</v>
      </c>
      <c r="K2293">
        <v>324000</v>
      </c>
      <c r="L2293">
        <v>100</v>
      </c>
      <c r="M2293" t="s">
        <v>29</v>
      </c>
      <c r="N2293" t="str">
        <f>_xlfn.XLOOKUP(B2293,tblCustomers[customer_id],tblCustomers[region],"Missing")</f>
        <v>East</v>
      </c>
      <c r="O2293" t="str">
        <f>_xlfn.XLOOKUP(C2293,tblProducts[product_id],tblProducts[product_name],"Missing")</f>
        <v>CRM Essentials</v>
      </c>
      <c r="P2293" t="str">
        <f>_xlfn.XLOOKUP(C2293,tblProducts[product_id],tblProducts[category],"Missing")</f>
        <v>CRM</v>
      </c>
      <c r="Q2293" t="str">
        <f>_xlfn.XLOOKUP(D2293,tblSalesReps[rep_id],tblSalesReps[rep_name],"Missing")</f>
        <v>Sales Rep 20</v>
      </c>
      <c r="R2293" t="str">
        <f>_xlfn.XLOOKUP(D2293,tblSalesReps[rep_id],tblSalesReps[region],"Missing")</f>
        <v>East</v>
      </c>
    </row>
    <row r="2294" spans="1:18">
      <c r="A2294" t="s">
        <v>2835</v>
      </c>
      <c r="B2294" t="s">
        <v>533</v>
      </c>
      <c r="C2294" t="s">
        <v>21</v>
      </c>
      <c r="D2294" t="s">
        <v>27</v>
      </c>
      <c r="E2294" s="1">
        <v>45784</v>
      </c>
      <c r="F2294" s="1">
        <v>45804</v>
      </c>
      <c r="G2294" s="1">
        <v>45804</v>
      </c>
      <c r="H2294" t="s">
        <v>28</v>
      </c>
      <c r="I2294">
        <v>3</v>
      </c>
      <c r="J2294">
        <v>5</v>
      </c>
      <c r="K2294">
        <v>684000</v>
      </c>
      <c r="L2294">
        <v>100</v>
      </c>
      <c r="M2294" t="s">
        <v>29</v>
      </c>
      <c r="N2294" t="str">
        <f>_xlfn.XLOOKUP(B2294,tblCustomers[customer_id],tblCustomers[region],"Missing")</f>
        <v>North</v>
      </c>
      <c r="O2294" t="str">
        <f>_xlfn.XLOOKUP(C2294,tblProducts[product_id],tblProducts[product_name],"Missing")</f>
        <v>Workflow Automate</v>
      </c>
      <c r="P2294" t="str">
        <f>_xlfn.XLOOKUP(C2294,tblProducts[product_id],tblProducts[category],"Missing")</f>
        <v>Automation</v>
      </c>
      <c r="Q2294" t="str">
        <f>_xlfn.XLOOKUP(D2294,tblSalesReps[rep_id],tblSalesReps[rep_name],"Missing")</f>
        <v>Sales Rep 06</v>
      </c>
      <c r="R2294" t="str">
        <f>_xlfn.XLOOKUP(D2294,tblSalesReps[rep_id],tblSalesReps[region],"Missing")</f>
        <v>North</v>
      </c>
    </row>
    <row r="2295" spans="1:18">
      <c r="A2295" t="s">
        <v>2836</v>
      </c>
      <c r="B2295" t="s">
        <v>757</v>
      </c>
      <c r="C2295" t="s">
        <v>26</v>
      </c>
      <c r="D2295" t="s">
        <v>75</v>
      </c>
      <c r="E2295" s="1">
        <v>45672</v>
      </c>
      <c r="F2295" s="1">
        <v>45708</v>
      </c>
      <c r="G2295" s="1"/>
      <c r="H2295" t="s">
        <v>43</v>
      </c>
      <c r="I2295">
        <v>3</v>
      </c>
      <c r="J2295">
        <v>0</v>
      </c>
      <c r="K2295">
        <v>1080000</v>
      </c>
      <c r="L2295">
        <v>60</v>
      </c>
      <c r="M2295" t="s">
        <v>29</v>
      </c>
      <c r="N2295" t="str">
        <f>_xlfn.XLOOKUP(B2295,tblCustomers[customer_id],tblCustomers[region],"Missing")</f>
        <v>North</v>
      </c>
      <c r="O2295" t="str">
        <f>_xlfn.XLOOKUP(C2295,tblProducts[product_id],tblProducts[product_name],"Missing")</f>
        <v>Security Suite</v>
      </c>
      <c r="P2295" t="str">
        <f>_xlfn.XLOOKUP(C2295,tblProducts[product_id],tblProducts[category],"Missing")</f>
        <v>Security</v>
      </c>
      <c r="Q2295" t="str">
        <f>_xlfn.XLOOKUP(D2295,tblSalesReps[rep_id],tblSalesReps[rep_name],"Missing")</f>
        <v>Sales Rep 07</v>
      </c>
      <c r="R2295" t="str">
        <f>_xlfn.XLOOKUP(D2295,tblSalesReps[rep_id],tblSalesReps[region],"Missing")</f>
        <v>North</v>
      </c>
    </row>
    <row r="2296" spans="1:18">
      <c r="A2296" t="s">
        <v>2837</v>
      </c>
      <c r="B2296" t="s">
        <v>102</v>
      </c>
      <c r="C2296" t="s">
        <v>21</v>
      </c>
      <c r="D2296" t="s">
        <v>78</v>
      </c>
      <c r="E2296" s="1">
        <v>45929</v>
      </c>
      <c r="F2296" s="1">
        <v>45985</v>
      </c>
      <c r="G2296" s="1">
        <v>45985</v>
      </c>
      <c r="H2296" t="s">
        <v>17</v>
      </c>
      <c r="I2296">
        <v>1</v>
      </c>
      <c r="J2296">
        <v>15</v>
      </c>
      <c r="K2296">
        <v>204000</v>
      </c>
      <c r="L2296">
        <v>0</v>
      </c>
      <c r="M2296" t="s">
        <v>47</v>
      </c>
      <c r="N2296" t="str">
        <f>_xlfn.XLOOKUP(B2296,tblCustomers[customer_id],tblCustomers[region],"Missing")</f>
        <v>West</v>
      </c>
      <c r="O2296" t="str">
        <f>_xlfn.XLOOKUP(C2296,tblProducts[product_id],tblProducts[product_name],"Missing")</f>
        <v>Workflow Automate</v>
      </c>
      <c r="P2296" t="str">
        <f>_xlfn.XLOOKUP(C2296,tblProducts[product_id],tblProducts[category],"Missing")</f>
        <v>Automation</v>
      </c>
      <c r="Q2296" t="str">
        <f>_xlfn.XLOOKUP(D2296,tblSalesReps[rep_id],tblSalesReps[rep_name],"Missing")</f>
        <v>Sales Rep 12</v>
      </c>
      <c r="R2296" t="str">
        <f>_xlfn.XLOOKUP(D2296,tblSalesReps[rep_id],tblSalesReps[region],"Missing")</f>
        <v>West</v>
      </c>
    </row>
    <row r="2297" spans="1:18">
      <c r="A2297" t="s">
        <v>2838</v>
      </c>
      <c r="B2297" t="s">
        <v>221</v>
      </c>
      <c r="C2297" t="s">
        <v>15</v>
      </c>
      <c r="D2297" t="s">
        <v>27</v>
      </c>
      <c r="E2297" s="1">
        <v>45890</v>
      </c>
      <c r="F2297" s="1">
        <v>45906</v>
      </c>
      <c r="G2297" s="1">
        <v>45906</v>
      </c>
      <c r="H2297" t="s">
        <v>17</v>
      </c>
      <c r="I2297">
        <v>2</v>
      </c>
      <c r="J2297">
        <v>5</v>
      </c>
      <c r="K2297">
        <v>798000</v>
      </c>
      <c r="L2297">
        <v>0</v>
      </c>
      <c r="M2297" t="s">
        <v>23</v>
      </c>
      <c r="N2297" t="str">
        <f>_xlfn.XLOOKUP(B2297,tblCustomers[customer_id],tblCustomers[region],"Missing")</f>
        <v>North</v>
      </c>
      <c r="O2297" t="str">
        <f>_xlfn.XLOOKUP(C2297,tblProducts[product_id],tblProducts[product_name],"Missing")</f>
        <v>CRM Enterprise</v>
      </c>
      <c r="P2297" t="str">
        <f>_xlfn.XLOOKUP(C2297,tblProducts[product_id],tblProducts[category],"Missing")</f>
        <v>CRM</v>
      </c>
      <c r="Q2297" t="str">
        <f>_xlfn.XLOOKUP(D2297,tblSalesReps[rep_id],tblSalesReps[rep_name],"Missing")</f>
        <v>Sales Rep 06</v>
      </c>
      <c r="R2297" t="str">
        <f>_xlfn.XLOOKUP(D2297,tblSalesReps[rep_id],tblSalesReps[region],"Missing")</f>
        <v>North</v>
      </c>
    </row>
    <row r="2298" spans="1:18">
      <c r="A2298" t="s">
        <v>2839</v>
      </c>
      <c r="B2298" t="s">
        <v>245</v>
      </c>
      <c r="C2298" t="s">
        <v>81</v>
      </c>
      <c r="D2298" t="s">
        <v>168</v>
      </c>
      <c r="E2298" s="1">
        <v>45860</v>
      </c>
      <c r="F2298" s="1">
        <v>45926</v>
      </c>
      <c r="G2298" s="1"/>
      <c r="H2298" t="s">
        <v>43</v>
      </c>
      <c r="I2298">
        <v>2</v>
      </c>
      <c r="J2298">
        <v>20</v>
      </c>
      <c r="K2298">
        <v>480000</v>
      </c>
      <c r="L2298">
        <v>40</v>
      </c>
      <c r="M2298" t="s">
        <v>29</v>
      </c>
      <c r="N2298" t="str">
        <f>_xlfn.XLOOKUP(B2298,tblCustomers[customer_id],tblCustomers[region],"Missing")</f>
        <v>East</v>
      </c>
      <c r="O2298" t="str">
        <f>_xlfn.XLOOKUP(C2298,tblProducts[product_id],tblProducts[product_name],"Missing")</f>
        <v>Analytics Cloud</v>
      </c>
      <c r="P2298" t="str">
        <f>_xlfn.XLOOKUP(C2298,tblProducts[product_id],tblProducts[category],"Missing")</f>
        <v>Analytics</v>
      </c>
      <c r="Q2298" t="str">
        <f>_xlfn.XLOOKUP(D2298,tblSalesReps[rep_id],tblSalesReps[rep_name],"Missing")</f>
        <v>Sales Rep 17</v>
      </c>
      <c r="R2298" t="str">
        <f>_xlfn.XLOOKUP(D2298,tblSalesReps[rep_id],tblSalesReps[region],"Missing")</f>
        <v>East</v>
      </c>
    </row>
    <row r="2299" spans="1:18">
      <c r="A2299" t="s">
        <v>2840</v>
      </c>
      <c r="B2299" t="s">
        <v>1753</v>
      </c>
      <c r="C2299" t="s">
        <v>39</v>
      </c>
      <c r="D2299" t="s">
        <v>27</v>
      </c>
      <c r="E2299" s="1">
        <v>45684</v>
      </c>
      <c r="F2299" s="1">
        <v>45747</v>
      </c>
      <c r="G2299" s="1">
        <v>45747</v>
      </c>
      <c r="H2299" t="s">
        <v>28</v>
      </c>
      <c r="I2299">
        <v>2</v>
      </c>
      <c r="J2299">
        <v>5</v>
      </c>
      <c r="K2299">
        <v>342000</v>
      </c>
      <c r="L2299">
        <v>100</v>
      </c>
      <c r="M2299" t="s">
        <v>29</v>
      </c>
      <c r="N2299" t="str">
        <f>_xlfn.XLOOKUP(B2299,tblCustomers[customer_id],tblCustomers[region],"Missing")</f>
        <v>North</v>
      </c>
      <c r="O2299" t="str">
        <f>_xlfn.XLOOKUP(C2299,tblProducts[product_id],tblProducts[product_name],"Missing")</f>
        <v>Support Desk</v>
      </c>
      <c r="P2299" t="str">
        <f>_xlfn.XLOOKUP(C2299,tblProducts[product_id],tblProducts[category],"Missing")</f>
        <v>Service</v>
      </c>
      <c r="Q2299" t="str">
        <f>_xlfn.XLOOKUP(D2299,tblSalesReps[rep_id],tblSalesReps[rep_name],"Missing")</f>
        <v>Sales Rep 06</v>
      </c>
      <c r="R2299" t="str">
        <f>_xlfn.XLOOKUP(D2299,tblSalesReps[rep_id],tblSalesReps[region],"Missing")</f>
        <v>North</v>
      </c>
    </row>
    <row r="2300" spans="1:18">
      <c r="A2300" t="s">
        <v>2841</v>
      </c>
      <c r="B2300" t="s">
        <v>575</v>
      </c>
      <c r="C2300" t="s">
        <v>21</v>
      </c>
      <c r="D2300" t="s">
        <v>53</v>
      </c>
      <c r="E2300" s="1">
        <v>46018</v>
      </c>
      <c r="F2300" s="1">
        <v>46083</v>
      </c>
      <c r="G2300" s="1"/>
      <c r="H2300" t="s">
        <v>43</v>
      </c>
      <c r="I2300">
        <v>1</v>
      </c>
      <c r="J2300">
        <v>20</v>
      </c>
      <c r="K2300">
        <v>192000</v>
      </c>
      <c r="L2300">
        <v>20</v>
      </c>
      <c r="M2300" t="s">
        <v>29</v>
      </c>
      <c r="N2300" t="str">
        <f>_xlfn.XLOOKUP(B2300,tblCustomers[customer_id],tblCustomers[region],"Missing")</f>
        <v>East</v>
      </c>
      <c r="O2300" t="str">
        <f>_xlfn.XLOOKUP(C2300,tblProducts[product_id],tblProducts[product_name],"Missing")</f>
        <v>Workflow Automate</v>
      </c>
      <c r="P2300" t="str">
        <f>_xlfn.XLOOKUP(C2300,tblProducts[product_id],tblProducts[category],"Missing")</f>
        <v>Automation</v>
      </c>
      <c r="Q2300" t="str">
        <f>_xlfn.XLOOKUP(D2300,tblSalesReps[rep_id],tblSalesReps[rep_name],"Missing")</f>
        <v>Sales Rep 16</v>
      </c>
      <c r="R2300" t="str">
        <f>_xlfn.XLOOKUP(D2300,tblSalesReps[rep_id],tblSalesReps[region],"Missing")</f>
        <v>East</v>
      </c>
    </row>
    <row r="2301" spans="1:18">
      <c r="A2301" t="s">
        <v>2842</v>
      </c>
      <c r="B2301" t="s">
        <v>202</v>
      </c>
      <c r="C2301" t="s">
        <v>39</v>
      </c>
      <c r="D2301" t="s">
        <v>53</v>
      </c>
      <c r="E2301" s="1">
        <v>45807</v>
      </c>
      <c r="F2301" s="1">
        <v>45842</v>
      </c>
      <c r="G2301" s="1">
        <v>45842</v>
      </c>
      <c r="H2301" t="s">
        <v>17</v>
      </c>
      <c r="I2301">
        <v>1</v>
      </c>
      <c r="J2301">
        <v>10</v>
      </c>
      <c r="K2301">
        <v>162000</v>
      </c>
      <c r="L2301">
        <v>0</v>
      </c>
      <c r="M2301" t="s">
        <v>23</v>
      </c>
      <c r="N2301" t="str">
        <f>_xlfn.XLOOKUP(B2301,tblCustomers[customer_id],tblCustomers[region],"Missing")</f>
        <v>East</v>
      </c>
      <c r="O2301" t="str">
        <f>_xlfn.XLOOKUP(C2301,tblProducts[product_id],tblProducts[product_name],"Missing")</f>
        <v>Support Desk</v>
      </c>
      <c r="P2301" t="str">
        <f>_xlfn.XLOOKUP(C2301,tblProducts[product_id],tblProducts[category],"Missing")</f>
        <v>Service</v>
      </c>
      <c r="Q2301" t="str">
        <f>_xlfn.XLOOKUP(D2301,tblSalesReps[rep_id],tblSalesReps[rep_name],"Missing")</f>
        <v>Sales Rep 16</v>
      </c>
      <c r="R2301" t="str">
        <f>_xlfn.XLOOKUP(D2301,tblSalesReps[rep_id],tblSalesReps[region],"Missing")</f>
        <v>East</v>
      </c>
    </row>
    <row r="2302" spans="1:18">
      <c r="A2302" t="s">
        <v>2843</v>
      </c>
      <c r="B2302" t="s">
        <v>501</v>
      </c>
      <c r="C2302" t="s">
        <v>81</v>
      </c>
      <c r="D2302" t="s">
        <v>59</v>
      </c>
      <c r="E2302" s="1">
        <v>45773</v>
      </c>
      <c r="F2302" s="1">
        <v>45791</v>
      </c>
      <c r="G2302" s="1"/>
      <c r="H2302" t="s">
        <v>43</v>
      </c>
      <c r="I2302">
        <v>1</v>
      </c>
      <c r="J2302">
        <v>15</v>
      </c>
      <c r="K2302">
        <v>255000</v>
      </c>
      <c r="L2302">
        <v>20</v>
      </c>
      <c r="M2302" t="s">
        <v>29</v>
      </c>
      <c r="N2302" t="str">
        <f>_xlfn.XLOOKUP(B2302,tblCustomers[customer_id],tblCustomers[region],"Missing")</f>
        <v>East</v>
      </c>
      <c r="O2302" t="str">
        <f>_xlfn.XLOOKUP(C2302,tblProducts[product_id],tblProducts[product_name],"Missing")</f>
        <v>Analytics Cloud</v>
      </c>
      <c r="P2302" t="str">
        <f>_xlfn.XLOOKUP(C2302,tblProducts[product_id],tblProducts[category],"Missing")</f>
        <v>Analytics</v>
      </c>
      <c r="Q2302" t="str">
        <f>_xlfn.XLOOKUP(D2302,tblSalesReps[rep_id],tblSalesReps[rep_name],"Missing")</f>
        <v>Sales Rep 19</v>
      </c>
      <c r="R2302" t="str">
        <f>_xlfn.XLOOKUP(D2302,tblSalesReps[rep_id],tblSalesReps[region],"Missing")</f>
        <v>East</v>
      </c>
    </row>
    <row r="2303" spans="1:18">
      <c r="A2303" t="s">
        <v>2844</v>
      </c>
      <c r="B2303" t="s">
        <v>1100</v>
      </c>
      <c r="C2303" t="s">
        <v>81</v>
      </c>
      <c r="D2303" t="s">
        <v>152</v>
      </c>
      <c r="E2303" s="1">
        <v>45870</v>
      </c>
      <c r="F2303" s="1">
        <v>45940</v>
      </c>
      <c r="G2303" s="1"/>
      <c r="H2303" t="s">
        <v>43</v>
      </c>
      <c r="I2303">
        <v>1</v>
      </c>
      <c r="J2303">
        <v>0</v>
      </c>
      <c r="K2303">
        <v>300000</v>
      </c>
      <c r="L2303">
        <v>40</v>
      </c>
      <c r="M2303" t="s">
        <v>29</v>
      </c>
      <c r="N2303" t="str">
        <f>_xlfn.XLOOKUP(B2303,tblCustomers[customer_id],tblCustomers[region],"Missing")</f>
        <v>East</v>
      </c>
      <c r="O2303" t="str">
        <f>_xlfn.XLOOKUP(C2303,tblProducts[product_id],tblProducts[product_name],"Missing")</f>
        <v>Analytics Cloud</v>
      </c>
      <c r="P2303" t="str">
        <f>_xlfn.XLOOKUP(C2303,tblProducts[product_id],tblProducts[category],"Missing")</f>
        <v>Analytics</v>
      </c>
      <c r="Q2303" t="str">
        <f>_xlfn.XLOOKUP(D2303,tblSalesReps[rep_id],tblSalesReps[rep_name],"Missing")</f>
        <v>Sales Rep 18</v>
      </c>
      <c r="R2303" t="str">
        <f>_xlfn.XLOOKUP(D2303,tblSalesReps[rep_id],tblSalesReps[region],"Missing")</f>
        <v>East</v>
      </c>
    </row>
    <row r="2304" spans="1:18">
      <c r="A2304" t="s">
        <v>2845</v>
      </c>
      <c r="B2304" t="s">
        <v>609</v>
      </c>
      <c r="C2304" t="s">
        <v>26</v>
      </c>
      <c r="D2304" t="s">
        <v>27</v>
      </c>
      <c r="E2304" s="1">
        <v>45700</v>
      </c>
      <c r="F2304" s="1">
        <v>45707</v>
      </c>
      <c r="G2304" s="1"/>
      <c r="H2304" t="s">
        <v>43</v>
      </c>
      <c r="I2304">
        <v>1</v>
      </c>
      <c r="J2304">
        <v>10</v>
      </c>
      <c r="K2304">
        <v>324000</v>
      </c>
      <c r="L2304">
        <v>40</v>
      </c>
      <c r="M2304" t="s">
        <v>29</v>
      </c>
      <c r="N2304" t="str">
        <f>_xlfn.XLOOKUP(B2304,tblCustomers[customer_id],tblCustomers[region],"Missing")</f>
        <v>North</v>
      </c>
      <c r="O2304" t="str">
        <f>_xlfn.XLOOKUP(C2304,tblProducts[product_id],tblProducts[product_name],"Missing")</f>
        <v>Security Suite</v>
      </c>
      <c r="P2304" t="str">
        <f>_xlfn.XLOOKUP(C2304,tblProducts[product_id],tblProducts[category],"Missing")</f>
        <v>Security</v>
      </c>
      <c r="Q2304" t="str">
        <f>_xlfn.XLOOKUP(D2304,tblSalesReps[rep_id],tblSalesReps[rep_name],"Missing")</f>
        <v>Sales Rep 06</v>
      </c>
      <c r="R2304" t="str">
        <f>_xlfn.XLOOKUP(D2304,tblSalesReps[rep_id],tblSalesReps[region],"Missing")</f>
        <v>North</v>
      </c>
    </row>
    <row r="2305" spans="1:18">
      <c r="A2305" t="s">
        <v>2846</v>
      </c>
      <c r="B2305" t="s">
        <v>570</v>
      </c>
      <c r="C2305" t="s">
        <v>26</v>
      </c>
      <c r="D2305" t="s">
        <v>119</v>
      </c>
      <c r="E2305" s="1">
        <v>45876</v>
      </c>
      <c r="F2305" s="1">
        <v>45889</v>
      </c>
      <c r="G2305" s="1"/>
      <c r="H2305" t="s">
        <v>43</v>
      </c>
      <c r="I2305">
        <v>1</v>
      </c>
      <c r="J2305">
        <v>10</v>
      </c>
      <c r="K2305">
        <v>324000</v>
      </c>
      <c r="L2305">
        <v>20</v>
      </c>
      <c r="M2305" t="s">
        <v>29</v>
      </c>
      <c r="N2305" t="str">
        <f>_xlfn.XLOOKUP(B2305,tblCustomers[customer_id],tblCustomers[region],"Missing")</f>
        <v>North</v>
      </c>
      <c r="O2305" t="str">
        <f>_xlfn.XLOOKUP(C2305,tblProducts[product_id],tblProducts[product_name],"Missing")</f>
        <v>Security Suite</v>
      </c>
      <c r="P2305" t="str">
        <f>_xlfn.XLOOKUP(C2305,tblProducts[product_id],tblProducts[category],"Missing")</f>
        <v>Security</v>
      </c>
      <c r="Q2305" t="str">
        <f>_xlfn.XLOOKUP(D2305,tblSalesReps[rep_id],tblSalesReps[rep_name],"Missing")</f>
        <v>Sales Rep 10</v>
      </c>
      <c r="R2305" t="str">
        <f>_xlfn.XLOOKUP(D2305,tblSalesReps[rep_id],tblSalesReps[region],"Missing")</f>
        <v>North</v>
      </c>
    </row>
    <row r="2306" spans="1:18">
      <c r="A2306" t="s">
        <v>2847</v>
      </c>
      <c r="B2306" t="s">
        <v>398</v>
      </c>
      <c r="C2306" t="s">
        <v>62</v>
      </c>
      <c r="D2306" t="s">
        <v>70</v>
      </c>
      <c r="E2306" s="1">
        <v>45813</v>
      </c>
      <c r="F2306" s="1">
        <v>45830</v>
      </c>
      <c r="G2306" s="1">
        <v>45830</v>
      </c>
      <c r="H2306" t="s">
        <v>28</v>
      </c>
      <c r="I2306">
        <v>1</v>
      </c>
      <c r="J2306">
        <v>5</v>
      </c>
      <c r="K2306">
        <v>114000</v>
      </c>
      <c r="L2306">
        <v>100</v>
      </c>
      <c r="M2306" t="s">
        <v>29</v>
      </c>
      <c r="N2306" t="str">
        <f>_xlfn.XLOOKUP(B2306,tblCustomers[customer_id],tblCustomers[region],"Missing")</f>
        <v>West</v>
      </c>
      <c r="O2306" t="str">
        <f>_xlfn.XLOOKUP(C2306,tblProducts[product_id],tblProducts[product_name],"Missing")</f>
        <v>CRM Essentials</v>
      </c>
      <c r="P2306" t="str">
        <f>_xlfn.XLOOKUP(C2306,tblProducts[product_id],tblProducts[category],"Missing")</f>
        <v>CRM</v>
      </c>
      <c r="Q2306" t="str">
        <f>_xlfn.XLOOKUP(D2306,tblSalesReps[rep_id],tblSalesReps[rep_name],"Missing")</f>
        <v>Sales Rep 11</v>
      </c>
      <c r="R2306" t="str">
        <f>_xlfn.XLOOKUP(D2306,tblSalesReps[rep_id],tblSalesReps[region],"Missing")</f>
        <v>West</v>
      </c>
    </row>
    <row r="2307" spans="1:18">
      <c r="A2307" t="s">
        <v>2848</v>
      </c>
      <c r="B2307" t="s">
        <v>609</v>
      </c>
      <c r="C2307" t="s">
        <v>81</v>
      </c>
      <c r="D2307" t="s">
        <v>119</v>
      </c>
      <c r="E2307" s="1">
        <v>45755</v>
      </c>
      <c r="F2307" s="1">
        <v>45797</v>
      </c>
      <c r="G2307" s="1"/>
      <c r="H2307" t="s">
        <v>43</v>
      </c>
      <c r="I2307">
        <v>2</v>
      </c>
      <c r="J2307">
        <v>15</v>
      </c>
      <c r="K2307">
        <v>510000</v>
      </c>
      <c r="L2307">
        <v>80</v>
      </c>
      <c r="M2307" t="s">
        <v>29</v>
      </c>
      <c r="N2307" t="str">
        <f>_xlfn.XLOOKUP(B2307,tblCustomers[customer_id],tblCustomers[region],"Missing")</f>
        <v>North</v>
      </c>
      <c r="O2307" t="str">
        <f>_xlfn.XLOOKUP(C2307,tblProducts[product_id],tblProducts[product_name],"Missing")</f>
        <v>Analytics Cloud</v>
      </c>
      <c r="P2307" t="str">
        <f>_xlfn.XLOOKUP(C2307,tblProducts[product_id],tblProducts[category],"Missing")</f>
        <v>Analytics</v>
      </c>
      <c r="Q2307" t="str">
        <f>_xlfn.XLOOKUP(D2307,tblSalesReps[rep_id],tblSalesReps[rep_name],"Missing")</f>
        <v>Sales Rep 10</v>
      </c>
      <c r="R2307" t="str">
        <f>_xlfn.XLOOKUP(D2307,tblSalesReps[rep_id],tblSalesReps[region],"Missing")</f>
        <v>North</v>
      </c>
    </row>
    <row r="2308" spans="1:18">
      <c r="A2308" t="s">
        <v>2849</v>
      </c>
      <c r="B2308" t="s">
        <v>1361</v>
      </c>
      <c r="C2308" t="s">
        <v>21</v>
      </c>
      <c r="D2308" t="s">
        <v>27</v>
      </c>
      <c r="E2308" s="1">
        <v>45856</v>
      </c>
      <c r="F2308" s="1">
        <v>45896</v>
      </c>
      <c r="G2308" s="1">
        <v>45896</v>
      </c>
      <c r="H2308" t="s">
        <v>17</v>
      </c>
      <c r="I2308">
        <v>3</v>
      </c>
      <c r="J2308">
        <v>15</v>
      </c>
      <c r="K2308">
        <v>612000</v>
      </c>
      <c r="L2308">
        <v>0</v>
      </c>
      <c r="M2308" t="s">
        <v>82</v>
      </c>
      <c r="N2308" t="str">
        <f>_xlfn.XLOOKUP(B2308,tblCustomers[customer_id],tblCustomers[region],"Missing")</f>
        <v>North</v>
      </c>
      <c r="O2308" t="str">
        <f>_xlfn.XLOOKUP(C2308,tblProducts[product_id],tblProducts[product_name],"Missing")</f>
        <v>Workflow Automate</v>
      </c>
      <c r="P2308" t="str">
        <f>_xlfn.XLOOKUP(C2308,tblProducts[product_id],tblProducts[category],"Missing")</f>
        <v>Automation</v>
      </c>
      <c r="Q2308" t="str">
        <f>_xlfn.XLOOKUP(D2308,tblSalesReps[rep_id],tblSalesReps[rep_name],"Missing")</f>
        <v>Sales Rep 06</v>
      </c>
      <c r="R2308" t="str">
        <f>_xlfn.XLOOKUP(D2308,tblSalesReps[rep_id],tblSalesReps[region],"Missing")</f>
        <v>North</v>
      </c>
    </row>
    <row r="2309" spans="1:18">
      <c r="A2309" t="s">
        <v>2850</v>
      </c>
      <c r="B2309" t="s">
        <v>592</v>
      </c>
      <c r="C2309" t="s">
        <v>62</v>
      </c>
      <c r="D2309" t="s">
        <v>59</v>
      </c>
      <c r="E2309" s="1">
        <v>45686</v>
      </c>
      <c r="F2309" s="1">
        <v>45764</v>
      </c>
      <c r="G2309" s="1">
        <v>45764</v>
      </c>
      <c r="H2309" t="s">
        <v>17</v>
      </c>
      <c r="I2309">
        <v>1</v>
      </c>
      <c r="J2309">
        <v>0</v>
      </c>
      <c r="K2309">
        <v>120000</v>
      </c>
      <c r="L2309">
        <v>0</v>
      </c>
      <c r="M2309" t="s">
        <v>18</v>
      </c>
      <c r="N2309" t="str">
        <f>_xlfn.XLOOKUP(B2309,tblCustomers[customer_id],tblCustomers[region],"Missing")</f>
        <v>East</v>
      </c>
      <c r="O2309" t="str">
        <f>_xlfn.XLOOKUP(C2309,tblProducts[product_id],tblProducts[product_name],"Missing")</f>
        <v>CRM Essentials</v>
      </c>
      <c r="P2309" t="str">
        <f>_xlfn.XLOOKUP(C2309,tblProducts[product_id],tblProducts[category],"Missing")</f>
        <v>CRM</v>
      </c>
      <c r="Q2309" t="str">
        <f>_xlfn.XLOOKUP(D2309,tblSalesReps[rep_id],tblSalesReps[rep_name],"Missing")</f>
        <v>Sales Rep 19</v>
      </c>
      <c r="R2309" t="str">
        <f>_xlfn.XLOOKUP(D2309,tblSalesReps[rep_id],tblSalesReps[region],"Missing")</f>
        <v>East</v>
      </c>
    </row>
    <row r="2310" spans="1:18">
      <c r="A2310" t="s">
        <v>2851</v>
      </c>
      <c r="B2310" t="s">
        <v>243</v>
      </c>
      <c r="C2310" t="s">
        <v>21</v>
      </c>
      <c r="D2310" t="s">
        <v>27</v>
      </c>
      <c r="E2310" s="1">
        <v>45811</v>
      </c>
      <c r="F2310" s="1">
        <v>45853</v>
      </c>
      <c r="G2310" s="1"/>
      <c r="H2310" t="s">
        <v>43</v>
      </c>
      <c r="I2310">
        <v>1</v>
      </c>
      <c r="J2310">
        <v>20</v>
      </c>
      <c r="K2310">
        <v>192000</v>
      </c>
      <c r="L2310">
        <v>60</v>
      </c>
      <c r="M2310" t="s">
        <v>29</v>
      </c>
      <c r="N2310" t="str">
        <f>_xlfn.XLOOKUP(B2310,tblCustomers[customer_id],tblCustomers[region],"Missing")</f>
        <v>North</v>
      </c>
      <c r="O2310" t="str">
        <f>_xlfn.XLOOKUP(C2310,tblProducts[product_id],tblProducts[product_name],"Missing")</f>
        <v>Workflow Automate</v>
      </c>
      <c r="P2310" t="str">
        <f>_xlfn.XLOOKUP(C2310,tblProducts[product_id],tblProducts[category],"Missing")</f>
        <v>Automation</v>
      </c>
      <c r="Q2310" t="str">
        <f>_xlfn.XLOOKUP(D2310,tblSalesReps[rep_id],tblSalesReps[rep_name],"Missing")</f>
        <v>Sales Rep 06</v>
      </c>
      <c r="R2310" t="str">
        <f>_xlfn.XLOOKUP(D2310,tblSalesReps[rep_id],tblSalesReps[region],"Missing")</f>
        <v>North</v>
      </c>
    </row>
    <row r="2311" spans="1:18">
      <c r="A2311" t="s">
        <v>2852</v>
      </c>
      <c r="B2311" t="s">
        <v>677</v>
      </c>
      <c r="C2311" t="s">
        <v>21</v>
      </c>
      <c r="D2311" t="s">
        <v>53</v>
      </c>
      <c r="E2311" s="1">
        <v>45774</v>
      </c>
      <c r="F2311" s="1">
        <v>45846</v>
      </c>
      <c r="G2311" s="1">
        <v>45846</v>
      </c>
      <c r="H2311" t="s">
        <v>17</v>
      </c>
      <c r="I2311">
        <v>2</v>
      </c>
      <c r="J2311">
        <v>5</v>
      </c>
      <c r="K2311">
        <v>456000</v>
      </c>
      <c r="L2311">
        <v>0</v>
      </c>
      <c r="M2311" t="s">
        <v>33</v>
      </c>
      <c r="N2311" t="str">
        <f>_xlfn.XLOOKUP(B2311,tblCustomers[customer_id],tblCustomers[region],"Missing")</f>
        <v>East</v>
      </c>
      <c r="O2311" t="str">
        <f>_xlfn.XLOOKUP(C2311,tblProducts[product_id],tblProducts[product_name],"Missing")</f>
        <v>Workflow Automate</v>
      </c>
      <c r="P2311" t="str">
        <f>_xlfn.XLOOKUP(C2311,tblProducts[product_id],tblProducts[category],"Missing")</f>
        <v>Automation</v>
      </c>
      <c r="Q2311" t="str">
        <f>_xlfn.XLOOKUP(D2311,tblSalesReps[rep_id],tblSalesReps[rep_name],"Missing")</f>
        <v>Sales Rep 16</v>
      </c>
      <c r="R2311" t="str">
        <f>_xlfn.XLOOKUP(D2311,tblSalesReps[rep_id],tblSalesReps[region],"Missing")</f>
        <v>East</v>
      </c>
    </row>
    <row r="2312" spans="1:18">
      <c r="A2312" t="s">
        <v>2853</v>
      </c>
      <c r="B2312" t="s">
        <v>97</v>
      </c>
      <c r="C2312" t="s">
        <v>62</v>
      </c>
      <c r="D2312" t="s">
        <v>22</v>
      </c>
      <c r="E2312" s="1">
        <v>45853</v>
      </c>
      <c r="F2312" s="1">
        <v>45870</v>
      </c>
      <c r="G2312" s="1">
        <v>45870</v>
      </c>
      <c r="H2312" t="s">
        <v>17</v>
      </c>
      <c r="I2312">
        <v>2</v>
      </c>
      <c r="J2312">
        <v>0</v>
      </c>
      <c r="K2312">
        <v>240000</v>
      </c>
      <c r="L2312">
        <v>0</v>
      </c>
      <c r="M2312" t="s">
        <v>82</v>
      </c>
      <c r="N2312" t="str">
        <f>_xlfn.XLOOKUP(B2312,tblCustomers[customer_id],tblCustomers[region],"Missing")</f>
        <v>West</v>
      </c>
      <c r="O2312" t="str">
        <f>_xlfn.XLOOKUP(C2312,tblProducts[product_id],tblProducts[product_name],"Missing")</f>
        <v>CRM Essentials</v>
      </c>
      <c r="P2312" t="str">
        <f>_xlfn.XLOOKUP(C2312,tblProducts[product_id],tblProducts[category],"Missing")</f>
        <v>CRM</v>
      </c>
      <c r="Q2312" t="str">
        <f>_xlfn.XLOOKUP(D2312,tblSalesReps[rep_id],tblSalesReps[rep_name],"Missing")</f>
        <v>Sales Rep 14</v>
      </c>
      <c r="R2312" t="str">
        <f>_xlfn.XLOOKUP(D2312,tblSalesReps[rep_id],tblSalesReps[region],"Missing")</f>
        <v>West</v>
      </c>
    </row>
    <row r="2313" spans="1:18">
      <c r="A2313" t="s">
        <v>2854</v>
      </c>
      <c r="B2313" t="s">
        <v>90</v>
      </c>
      <c r="C2313" t="s">
        <v>26</v>
      </c>
      <c r="D2313" t="s">
        <v>126</v>
      </c>
      <c r="E2313" s="1">
        <v>45963</v>
      </c>
      <c r="F2313" s="1">
        <v>46029</v>
      </c>
      <c r="G2313" s="1"/>
      <c r="H2313" t="s">
        <v>43</v>
      </c>
      <c r="I2313">
        <v>2</v>
      </c>
      <c r="J2313">
        <v>15</v>
      </c>
      <c r="K2313">
        <v>612000</v>
      </c>
      <c r="L2313">
        <v>20</v>
      </c>
      <c r="M2313" t="s">
        <v>29</v>
      </c>
      <c r="N2313" t="str">
        <f>_xlfn.XLOOKUP(B2313,tblCustomers[customer_id],tblCustomers[region],"Missing")</f>
        <v>South</v>
      </c>
      <c r="O2313" t="str">
        <f>_xlfn.XLOOKUP(C2313,tblProducts[product_id],tblProducts[product_name],"Missing")</f>
        <v>Security Suite</v>
      </c>
      <c r="P2313" t="str">
        <f>_xlfn.XLOOKUP(C2313,tblProducts[product_id],tblProducts[category],"Missing")</f>
        <v>Security</v>
      </c>
      <c r="Q2313" t="str">
        <f>_xlfn.XLOOKUP(D2313,tblSalesReps[rep_id],tblSalesReps[rep_name],"Missing")</f>
        <v>Sales Rep 02</v>
      </c>
      <c r="R2313" t="str">
        <f>_xlfn.XLOOKUP(D2313,tblSalesReps[rep_id],tblSalesReps[region],"Missing")</f>
        <v>South</v>
      </c>
    </row>
    <row r="2314" spans="1:18">
      <c r="A2314" t="s">
        <v>2855</v>
      </c>
      <c r="B2314" t="s">
        <v>1821</v>
      </c>
      <c r="C2314" t="s">
        <v>62</v>
      </c>
      <c r="D2314" t="s">
        <v>53</v>
      </c>
      <c r="E2314" s="1">
        <v>45911</v>
      </c>
      <c r="F2314" s="1">
        <v>45928</v>
      </c>
      <c r="G2314" s="1">
        <v>45928</v>
      </c>
      <c r="H2314" t="s">
        <v>17</v>
      </c>
      <c r="I2314">
        <v>2</v>
      </c>
      <c r="J2314">
        <v>10</v>
      </c>
      <c r="K2314">
        <v>216000</v>
      </c>
      <c r="L2314">
        <v>0</v>
      </c>
      <c r="M2314" t="s">
        <v>33</v>
      </c>
      <c r="N2314" t="str">
        <f>_xlfn.XLOOKUP(B2314,tblCustomers[customer_id],tblCustomers[region],"Missing")</f>
        <v>East</v>
      </c>
      <c r="O2314" t="str">
        <f>_xlfn.XLOOKUP(C2314,tblProducts[product_id],tblProducts[product_name],"Missing")</f>
        <v>CRM Essentials</v>
      </c>
      <c r="P2314" t="str">
        <f>_xlfn.XLOOKUP(C2314,tblProducts[product_id],tblProducts[category],"Missing")</f>
        <v>CRM</v>
      </c>
      <c r="Q2314" t="str">
        <f>_xlfn.XLOOKUP(D2314,tblSalesReps[rep_id],tblSalesReps[rep_name],"Missing")</f>
        <v>Sales Rep 16</v>
      </c>
      <c r="R2314" t="str">
        <f>_xlfn.XLOOKUP(D2314,tblSalesReps[rep_id],tblSalesReps[region],"Missing")</f>
        <v>East</v>
      </c>
    </row>
    <row r="2315" spans="1:18">
      <c r="A2315" t="s">
        <v>2856</v>
      </c>
      <c r="B2315" t="s">
        <v>164</v>
      </c>
      <c r="C2315" t="s">
        <v>21</v>
      </c>
      <c r="D2315" t="s">
        <v>16</v>
      </c>
      <c r="E2315" s="1">
        <v>45843</v>
      </c>
      <c r="F2315" s="1">
        <v>45863</v>
      </c>
      <c r="G2315" s="1">
        <v>45863</v>
      </c>
      <c r="H2315" t="s">
        <v>17</v>
      </c>
      <c r="I2315">
        <v>3</v>
      </c>
      <c r="J2315">
        <v>15</v>
      </c>
      <c r="K2315">
        <v>612000</v>
      </c>
      <c r="L2315">
        <v>0</v>
      </c>
      <c r="M2315" t="s">
        <v>82</v>
      </c>
      <c r="N2315" t="str">
        <f>_xlfn.XLOOKUP(B2315,tblCustomers[customer_id],tblCustomers[region],"Missing")</f>
        <v>North</v>
      </c>
      <c r="O2315" t="str">
        <f>_xlfn.XLOOKUP(C2315,tblProducts[product_id],tblProducts[product_name],"Missing")</f>
        <v>Workflow Automate</v>
      </c>
      <c r="P2315" t="str">
        <f>_xlfn.XLOOKUP(C2315,tblProducts[product_id],tblProducts[category],"Missing")</f>
        <v>Automation</v>
      </c>
      <c r="Q2315" t="str">
        <f>_xlfn.XLOOKUP(D2315,tblSalesReps[rep_id],tblSalesReps[rep_name],"Missing")</f>
        <v>Sales Rep 08</v>
      </c>
      <c r="R2315" t="str">
        <f>_xlfn.XLOOKUP(D2315,tblSalesReps[rep_id],tblSalesReps[region],"Missing")</f>
        <v>North</v>
      </c>
    </row>
    <row r="2316" spans="1:18">
      <c r="A2316" t="s">
        <v>2857</v>
      </c>
      <c r="B2316" t="s">
        <v>2858</v>
      </c>
      <c r="C2316" t="s">
        <v>15</v>
      </c>
      <c r="D2316" t="s">
        <v>126</v>
      </c>
      <c r="E2316" s="1">
        <v>45941</v>
      </c>
      <c r="F2316" s="1">
        <v>45986</v>
      </c>
      <c r="G2316" s="1"/>
      <c r="H2316" t="s">
        <v>43</v>
      </c>
      <c r="I2316">
        <v>3</v>
      </c>
      <c r="J2316">
        <v>0</v>
      </c>
      <c r="K2316">
        <v>1260000</v>
      </c>
      <c r="L2316">
        <v>60</v>
      </c>
      <c r="M2316" t="s">
        <v>29</v>
      </c>
      <c r="N2316" t="str">
        <f>_xlfn.XLOOKUP(B2316,tblCustomers[customer_id],tblCustomers[region],"Missing")</f>
        <v>South</v>
      </c>
      <c r="O2316" t="str">
        <f>_xlfn.XLOOKUP(C2316,tblProducts[product_id],tblProducts[product_name],"Missing")</f>
        <v>CRM Enterprise</v>
      </c>
      <c r="P2316" t="str">
        <f>_xlfn.XLOOKUP(C2316,tblProducts[product_id],tblProducts[category],"Missing")</f>
        <v>CRM</v>
      </c>
      <c r="Q2316" t="str">
        <f>_xlfn.XLOOKUP(D2316,tblSalesReps[rep_id],tblSalesReps[rep_name],"Missing")</f>
        <v>Sales Rep 02</v>
      </c>
      <c r="R2316" t="str">
        <f>_xlfn.XLOOKUP(D2316,tblSalesReps[rep_id],tblSalesReps[region],"Missing")</f>
        <v>South</v>
      </c>
    </row>
    <row r="2317" spans="1:18">
      <c r="A2317" t="s">
        <v>2859</v>
      </c>
      <c r="B2317" t="s">
        <v>477</v>
      </c>
      <c r="C2317" t="s">
        <v>39</v>
      </c>
      <c r="D2317" t="s">
        <v>36</v>
      </c>
      <c r="E2317" s="1">
        <v>45931</v>
      </c>
      <c r="F2317" s="1">
        <v>45992</v>
      </c>
      <c r="G2317" s="1">
        <v>45992</v>
      </c>
      <c r="H2317" t="s">
        <v>28</v>
      </c>
      <c r="I2317">
        <v>2</v>
      </c>
      <c r="J2317">
        <v>10</v>
      </c>
      <c r="K2317">
        <v>324000</v>
      </c>
      <c r="L2317">
        <v>100</v>
      </c>
      <c r="M2317" t="s">
        <v>29</v>
      </c>
      <c r="N2317" t="str">
        <f>_xlfn.XLOOKUP(B2317,tblCustomers[customer_id],tblCustomers[region],"Missing")</f>
        <v>North</v>
      </c>
      <c r="O2317" t="str">
        <f>_xlfn.XLOOKUP(C2317,tblProducts[product_id],tblProducts[product_name],"Missing")</f>
        <v>Support Desk</v>
      </c>
      <c r="P2317" t="str">
        <f>_xlfn.XLOOKUP(C2317,tblProducts[product_id],tblProducts[category],"Missing")</f>
        <v>Service</v>
      </c>
      <c r="Q2317" t="str">
        <f>_xlfn.XLOOKUP(D2317,tblSalesReps[rep_id],tblSalesReps[rep_name],"Missing")</f>
        <v>Sales Rep 09</v>
      </c>
      <c r="R2317" t="str">
        <f>_xlfn.XLOOKUP(D2317,tblSalesReps[rep_id],tblSalesReps[region],"Missing")</f>
        <v>North</v>
      </c>
    </row>
    <row r="2318" spans="1:18">
      <c r="A2318" t="s">
        <v>2860</v>
      </c>
      <c r="B2318" t="s">
        <v>170</v>
      </c>
      <c r="C2318" t="s">
        <v>21</v>
      </c>
      <c r="D2318" t="s">
        <v>59</v>
      </c>
      <c r="E2318" s="1">
        <v>45979</v>
      </c>
      <c r="F2318" s="1">
        <v>46036</v>
      </c>
      <c r="G2318" s="1"/>
      <c r="H2318" t="s">
        <v>43</v>
      </c>
      <c r="I2318">
        <v>3</v>
      </c>
      <c r="J2318">
        <v>20</v>
      </c>
      <c r="K2318">
        <v>576000</v>
      </c>
      <c r="L2318">
        <v>20</v>
      </c>
      <c r="M2318" t="s">
        <v>29</v>
      </c>
      <c r="N2318" t="str">
        <f>_xlfn.XLOOKUP(B2318,tblCustomers[customer_id],tblCustomers[region],"Missing")</f>
        <v>East</v>
      </c>
      <c r="O2318" t="str">
        <f>_xlfn.XLOOKUP(C2318,tblProducts[product_id],tblProducts[product_name],"Missing")</f>
        <v>Workflow Automate</v>
      </c>
      <c r="P2318" t="str">
        <f>_xlfn.XLOOKUP(C2318,tblProducts[product_id],tblProducts[category],"Missing")</f>
        <v>Automation</v>
      </c>
      <c r="Q2318" t="str">
        <f>_xlfn.XLOOKUP(D2318,tblSalesReps[rep_id],tblSalesReps[rep_name],"Missing")</f>
        <v>Sales Rep 19</v>
      </c>
      <c r="R2318" t="str">
        <f>_xlfn.XLOOKUP(D2318,tblSalesReps[rep_id],tblSalesReps[region],"Missing")</f>
        <v>East</v>
      </c>
    </row>
    <row r="2319" spans="1:18">
      <c r="A2319" t="s">
        <v>2861</v>
      </c>
      <c r="B2319" t="s">
        <v>394</v>
      </c>
      <c r="C2319" t="s">
        <v>15</v>
      </c>
      <c r="D2319" t="s">
        <v>36</v>
      </c>
      <c r="E2319" s="1">
        <v>45707</v>
      </c>
      <c r="F2319" s="1">
        <v>45785</v>
      </c>
      <c r="G2319" s="1">
        <v>45785</v>
      </c>
      <c r="H2319" t="s">
        <v>17</v>
      </c>
      <c r="I2319">
        <v>3</v>
      </c>
      <c r="J2319">
        <v>0</v>
      </c>
      <c r="K2319">
        <v>1260000</v>
      </c>
      <c r="L2319">
        <v>0</v>
      </c>
      <c r="M2319" t="s">
        <v>18</v>
      </c>
      <c r="N2319" t="str">
        <f>_xlfn.XLOOKUP(B2319,tblCustomers[customer_id],tblCustomers[region],"Missing")</f>
        <v>North</v>
      </c>
      <c r="O2319" t="str">
        <f>_xlfn.XLOOKUP(C2319,tblProducts[product_id],tblProducts[product_name],"Missing")</f>
        <v>CRM Enterprise</v>
      </c>
      <c r="P2319" t="str">
        <f>_xlfn.XLOOKUP(C2319,tblProducts[product_id],tblProducts[category],"Missing")</f>
        <v>CRM</v>
      </c>
      <c r="Q2319" t="str">
        <f>_xlfn.XLOOKUP(D2319,tblSalesReps[rep_id],tblSalesReps[rep_name],"Missing")</f>
        <v>Sales Rep 09</v>
      </c>
      <c r="R2319" t="str">
        <f>_xlfn.XLOOKUP(D2319,tblSalesReps[rep_id],tblSalesReps[region],"Missing")</f>
        <v>North</v>
      </c>
    </row>
    <row r="2320" spans="1:18">
      <c r="A2320" t="s">
        <v>2862</v>
      </c>
      <c r="B2320" t="s">
        <v>253</v>
      </c>
      <c r="C2320" t="s">
        <v>39</v>
      </c>
      <c r="D2320" t="s">
        <v>46</v>
      </c>
      <c r="E2320" s="1">
        <v>45820</v>
      </c>
      <c r="F2320" s="1">
        <v>45883</v>
      </c>
      <c r="G2320" s="1">
        <v>45883</v>
      </c>
      <c r="H2320" t="s">
        <v>28</v>
      </c>
      <c r="I2320">
        <v>2</v>
      </c>
      <c r="J2320">
        <v>0</v>
      </c>
      <c r="K2320">
        <v>360000</v>
      </c>
      <c r="L2320">
        <v>100</v>
      </c>
      <c r="M2320" t="s">
        <v>29</v>
      </c>
      <c r="N2320" t="str">
        <f>_xlfn.XLOOKUP(B2320,tblCustomers[customer_id],tblCustomers[region],"Missing")</f>
        <v>South</v>
      </c>
      <c r="O2320" t="str">
        <f>_xlfn.XLOOKUP(C2320,tblProducts[product_id],tblProducts[product_name],"Missing")</f>
        <v>Support Desk</v>
      </c>
      <c r="P2320" t="str">
        <f>_xlfn.XLOOKUP(C2320,tblProducts[product_id],tblProducts[category],"Missing")</f>
        <v>Service</v>
      </c>
      <c r="Q2320" t="str">
        <f>_xlfn.XLOOKUP(D2320,tblSalesReps[rep_id],tblSalesReps[rep_name],"Missing")</f>
        <v>Sales Rep 01</v>
      </c>
      <c r="R2320" t="str">
        <f>_xlfn.XLOOKUP(D2320,tblSalesReps[rep_id],tblSalesReps[region],"Missing")</f>
        <v>South</v>
      </c>
    </row>
    <row r="2321" spans="1:18">
      <c r="A2321" t="s">
        <v>2863</v>
      </c>
      <c r="B2321" t="s">
        <v>613</v>
      </c>
      <c r="C2321" t="s">
        <v>15</v>
      </c>
      <c r="D2321" t="s">
        <v>27</v>
      </c>
      <c r="E2321" s="1">
        <v>45974</v>
      </c>
      <c r="F2321" s="1">
        <v>46022</v>
      </c>
      <c r="G2321" s="1">
        <v>46022</v>
      </c>
      <c r="H2321" t="s">
        <v>28</v>
      </c>
      <c r="I2321">
        <v>1</v>
      </c>
      <c r="J2321">
        <v>10</v>
      </c>
      <c r="K2321">
        <v>378000</v>
      </c>
      <c r="L2321">
        <v>100</v>
      </c>
      <c r="M2321" t="s">
        <v>29</v>
      </c>
      <c r="N2321" t="str">
        <f>_xlfn.XLOOKUP(B2321,tblCustomers[customer_id],tblCustomers[region],"Missing")</f>
        <v>North</v>
      </c>
      <c r="O2321" t="str">
        <f>_xlfn.XLOOKUP(C2321,tblProducts[product_id],tblProducts[product_name],"Missing")</f>
        <v>CRM Enterprise</v>
      </c>
      <c r="P2321" t="str">
        <f>_xlfn.XLOOKUP(C2321,tblProducts[product_id],tblProducts[category],"Missing")</f>
        <v>CRM</v>
      </c>
      <c r="Q2321" t="str">
        <f>_xlfn.XLOOKUP(D2321,tblSalesReps[rep_id],tblSalesReps[rep_name],"Missing")</f>
        <v>Sales Rep 06</v>
      </c>
      <c r="R2321" t="str">
        <f>_xlfn.XLOOKUP(D2321,tblSalesReps[rep_id],tblSalesReps[region],"Missing")</f>
        <v>North</v>
      </c>
    </row>
    <row r="2322" spans="1:18">
      <c r="A2322" t="s">
        <v>2864</v>
      </c>
      <c r="B2322" t="s">
        <v>1159</v>
      </c>
      <c r="C2322" t="s">
        <v>81</v>
      </c>
      <c r="D2322" t="s">
        <v>168</v>
      </c>
      <c r="E2322" s="1">
        <v>45990</v>
      </c>
      <c r="F2322" s="1">
        <v>46060</v>
      </c>
      <c r="G2322" s="1"/>
      <c r="H2322" t="s">
        <v>43</v>
      </c>
      <c r="I2322">
        <v>1</v>
      </c>
      <c r="J2322">
        <v>20</v>
      </c>
      <c r="K2322">
        <v>240000</v>
      </c>
      <c r="L2322">
        <v>40</v>
      </c>
      <c r="M2322" t="s">
        <v>29</v>
      </c>
      <c r="N2322" t="str">
        <f>_xlfn.XLOOKUP(B2322,tblCustomers[customer_id],tblCustomers[region],"Missing")</f>
        <v>East</v>
      </c>
      <c r="O2322" t="str">
        <f>_xlfn.XLOOKUP(C2322,tblProducts[product_id],tblProducts[product_name],"Missing")</f>
        <v>Analytics Cloud</v>
      </c>
      <c r="P2322" t="str">
        <f>_xlfn.XLOOKUP(C2322,tblProducts[product_id],tblProducts[category],"Missing")</f>
        <v>Analytics</v>
      </c>
      <c r="Q2322" t="str">
        <f>_xlfn.XLOOKUP(D2322,tblSalesReps[rep_id],tblSalesReps[rep_name],"Missing")</f>
        <v>Sales Rep 17</v>
      </c>
      <c r="R2322" t="str">
        <f>_xlfn.XLOOKUP(D2322,tblSalesReps[rep_id],tblSalesReps[region],"Missing")</f>
        <v>East</v>
      </c>
    </row>
    <row r="2323" spans="1:18">
      <c r="A2323" t="s">
        <v>2865</v>
      </c>
      <c r="B2323" t="s">
        <v>398</v>
      </c>
      <c r="C2323" t="s">
        <v>26</v>
      </c>
      <c r="D2323" t="s">
        <v>50</v>
      </c>
      <c r="E2323" s="1">
        <v>45776</v>
      </c>
      <c r="F2323" s="1">
        <v>45783</v>
      </c>
      <c r="G2323" s="1"/>
      <c r="H2323" t="s">
        <v>43</v>
      </c>
      <c r="I2323">
        <v>1</v>
      </c>
      <c r="J2323">
        <v>15</v>
      </c>
      <c r="K2323">
        <v>306000</v>
      </c>
      <c r="L2323">
        <v>20</v>
      </c>
      <c r="M2323" t="s">
        <v>29</v>
      </c>
      <c r="N2323" t="str">
        <f>_xlfn.XLOOKUP(B2323,tblCustomers[customer_id],tblCustomers[region],"Missing")</f>
        <v>West</v>
      </c>
      <c r="O2323" t="str">
        <f>_xlfn.XLOOKUP(C2323,tblProducts[product_id],tblProducts[product_name],"Missing")</f>
        <v>Security Suite</v>
      </c>
      <c r="P2323" t="str">
        <f>_xlfn.XLOOKUP(C2323,tblProducts[product_id],tblProducts[category],"Missing")</f>
        <v>Security</v>
      </c>
      <c r="Q2323" t="str">
        <f>_xlfn.XLOOKUP(D2323,tblSalesReps[rep_id],tblSalesReps[rep_name],"Missing")</f>
        <v>Sales Rep 15</v>
      </c>
      <c r="R2323" t="str">
        <f>_xlfn.XLOOKUP(D2323,tblSalesReps[rep_id],tblSalesReps[region],"Missing")</f>
        <v>West</v>
      </c>
    </row>
    <row r="2324" spans="1:18">
      <c r="A2324" t="s">
        <v>2866</v>
      </c>
      <c r="B2324" t="s">
        <v>191</v>
      </c>
      <c r="C2324" t="s">
        <v>81</v>
      </c>
      <c r="D2324" t="s">
        <v>16</v>
      </c>
      <c r="E2324" s="1">
        <v>45977</v>
      </c>
      <c r="F2324" s="1">
        <v>46020</v>
      </c>
      <c r="G2324" s="1"/>
      <c r="H2324" t="s">
        <v>43</v>
      </c>
      <c r="I2324">
        <v>1</v>
      </c>
      <c r="J2324">
        <v>15</v>
      </c>
      <c r="K2324">
        <v>255000</v>
      </c>
      <c r="L2324">
        <v>20</v>
      </c>
      <c r="M2324" t="s">
        <v>29</v>
      </c>
      <c r="N2324" t="str">
        <f>_xlfn.XLOOKUP(B2324,tblCustomers[customer_id],tblCustomers[region],"Missing")</f>
        <v>North</v>
      </c>
      <c r="O2324" t="str">
        <f>_xlfn.XLOOKUP(C2324,tblProducts[product_id],tblProducts[product_name],"Missing")</f>
        <v>Analytics Cloud</v>
      </c>
      <c r="P2324" t="str">
        <f>_xlfn.XLOOKUP(C2324,tblProducts[product_id],tblProducts[category],"Missing")</f>
        <v>Analytics</v>
      </c>
      <c r="Q2324" t="str">
        <f>_xlfn.XLOOKUP(D2324,tblSalesReps[rep_id],tblSalesReps[rep_name],"Missing")</f>
        <v>Sales Rep 08</v>
      </c>
      <c r="R2324" t="str">
        <f>_xlfn.XLOOKUP(D2324,tblSalesReps[rep_id],tblSalesReps[region],"Missing")</f>
        <v>North</v>
      </c>
    </row>
    <row r="2325" spans="1:18">
      <c r="A2325" t="s">
        <v>2867</v>
      </c>
      <c r="B2325" t="s">
        <v>437</v>
      </c>
      <c r="C2325" t="s">
        <v>81</v>
      </c>
      <c r="D2325" t="s">
        <v>22</v>
      </c>
      <c r="E2325" s="1">
        <v>45792</v>
      </c>
      <c r="F2325" s="1">
        <v>45823</v>
      </c>
      <c r="G2325" s="1">
        <v>45823</v>
      </c>
      <c r="H2325" t="s">
        <v>17</v>
      </c>
      <c r="I2325">
        <v>1</v>
      </c>
      <c r="J2325">
        <v>0</v>
      </c>
      <c r="K2325">
        <v>300000</v>
      </c>
      <c r="L2325">
        <v>0</v>
      </c>
      <c r="M2325" t="s">
        <v>23</v>
      </c>
      <c r="N2325" t="str">
        <f>_xlfn.XLOOKUP(B2325,tblCustomers[customer_id],tblCustomers[region],"Missing")</f>
        <v>West</v>
      </c>
      <c r="O2325" t="str">
        <f>_xlfn.XLOOKUP(C2325,tblProducts[product_id],tblProducts[product_name],"Missing")</f>
        <v>Analytics Cloud</v>
      </c>
      <c r="P2325" t="str">
        <f>_xlfn.XLOOKUP(C2325,tblProducts[product_id],tblProducts[category],"Missing")</f>
        <v>Analytics</v>
      </c>
      <c r="Q2325" t="str">
        <f>_xlfn.XLOOKUP(D2325,tblSalesReps[rep_id],tblSalesReps[rep_name],"Missing")</f>
        <v>Sales Rep 14</v>
      </c>
      <c r="R2325" t="str">
        <f>_xlfn.XLOOKUP(D2325,tblSalesReps[rep_id],tblSalesReps[region],"Missing")</f>
        <v>West</v>
      </c>
    </row>
    <row r="2326" spans="1:18">
      <c r="A2326" t="s">
        <v>2868</v>
      </c>
      <c r="B2326" t="s">
        <v>811</v>
      </c>
      <c r="C2326" t="s">
        <v>39</v>
      </c>
      <c r="D2326" t="s">
        <v>63</v>
      </c>
      <c r="E2326" s="1">
        <v>45658</v>
      </c>
      <c r="F2326" s="1">
        <v>45688</v>
      </c>
      <c r="G2326" s="1">
        <v>45688</v>
      </c>
      <c r="H2326" t="s">
        <v>17</v>
      </c>
      <c r="I2326">
        <v>2</v>
      </c>
      <c r="J2326">
        <v>10</v>
      </c>
      <c r="K2326">
        <v>324000</v>
      </c>
      <c r="L2326">
        <v>0</v>
      </c>
      <c r="M2326" t="s">
        <v>82</v>
      </c>
      <c r="N2326" t="str">
        <f>_xlfn.XLOOKUP(B2326,tblCustomers[customer_id],tblCustomers[region],"Missing")</f>
        <v>South</v>
      </c>
      <c r="O2326" t="str">
        <f>_xlfn.XLOOKUP(C2326,tblProducts[product_id],tblProducts[product_name],"Missing")</f>
        <v>Support Desk</v>
      </c>
      <c r="P2326" t="str">
        <f>_xlfn.XLOOKUP(C2326,tblProducts[product_id],tblProducts[category],"Missing")</f>
        <v>Service</v>
      </c>
      <c r="Q2326" t="str">
        <f>_xlfn.XLOOKUP(D2326,tblSalesReps[rep_id],tblSalesReps[rep_name],"Missing")</f>
        <v>Sales Rep 05</v>
      </c>
      <c r="R2326" t="str">
        <f>_xlfn.XLOOKUP(D2326,tblSalesReps[rep_id],tblSalesReps[region],"Missing")</f>
        <v>South</v>
      </c>
    </row>
    <row r="2327" spans="1:18">
      <c r="A2327" t="s">
        <v>2869</v>
      </c>
      <c r="B2327" t="s">
        <v>69</v>
      </c>
      <c r="C2327" t="s">
        <v>15</v>
      </c>
      <c r="D2327" t="s">
        <v>70</v>
      </c>
      <c r="E2327" s="1">
        <v>45847</v>
      </c>
      <c r="F2327" s="1">
        <v>45922</v>
      </c>
      <c r="G2327" s="1">
        <v>45922</v>
      </c>
      <c r="H2327" t="s">
        <v>17</v>
      </c>
      <c r="I2327">
        <v>1</v>
      </c>
      <c r="J2327">
        <v>0</v>
      </c>
      <c r="K2327">
        <v>420000</v>
      </c>
      <c r="L2327">
        <v>0</v>
      </c>
      <c r="M2327" t="s">
        <v>18</v>
      </c>
      <c r="N2327" t="str">
        <f>_xlfn.XLOOKUP(B2327,tblCustomers[customer_id],tblCustomers[region],"Missing")</f>
        <v>West</v>
      </c>
      <c r="O2327" t="str">
        <f>_xlfn.XLOOKUP(C2327,tblProducts[product_id],tblProducts[product_name],"Missing")</f>
        <v>CRM Enterprise</v>
      </c>
      <c r="P2327" t="str">
        <f>_xlfn.XLOOKUP(C2327,tblProducts[product_id],tblProducts[category],"Missing")</f>
        <v>CRM</v>
      </c>
      <c r="Q2327" t="str">
        <f>_xlfn.XLOOKUP(D2327,tblSalesReps[rep_id],tblSalesReps[rep_name],"Missing")</f>
        <v>Sales Rep 11</v>
      </c>
      <c r="R2327" t="str">
        <f>_xlfn.XLOOKUP(D2327,tblSalesReps[rep_id],tblSalesReps[region],"Missing")</f>
        <v>West</v>
      </c>
    </row>
    <row r="2328" spans="1:18">
      <c r="A2328" t="s">
        <v>2870</v>
      </c>
      <c r="B2328" t="s">
        <v>1441</v>
      </c>
      <c r="C2328" t="s">
        <v>62</v>
      </c>
      <c r="D2328" t="s">
        <v>36</v>
      </c>
      <c r="E2328" s="1">
        <v>45941</v>
      </c>
      <c r="F2328" s="1">
        <v>45992</v>
      </c>
      <c r="G2328" s="1">
        <v>45992</v>
      </c>
      <c r="H2328" t="s">
        <v>17</v>
      </c>
      <c r="I2328">
        <v>1</v>
      </c>
      <c r="J2328">
        <v>10</v>
      </c>
      <c r="K2328">
        <v>108000</v>
      </c>
      <c r="L2328">
        <v>0</v>
      </c>
      <c r="M2328" t="s">
        <v>47</v>
      </c>
      <c r="N2328" t="str">
        <f>_xlfn.XLOOKUP(B2328,tblCustomers[customer_id],tblCustomers[region],"Missing")</f>
        <v>North</v>
      </c>
      <c r="O2328" t="str">
        <f>_xlfn.XLOOKUP(C2328,tblProducts[product_id],tblProducts[product_name],"Missing")</f>
        <v>CRM Essentials</v>
      </c>
      <c r="P2328" t="str">
        <f>_xlfn.XLOOKUP(C2328,tblProducts[product_id],tblProducts[category],"Missing")</f>
        <v>CRM</v>
      </c>
      <c r="Q2328" t="str">
        <f>_xlfn.XLOOKUP(D2328,tblSalesReps[rep_id],tblSalesReps[rep_name],"Missing")</f>
        <v>Sales Rep 09</v>
      </c>
      <c r="R2328" t="str">
        <f>_xlfn.XLOOKUP(D2328,tblSalesReps[rep_id],tblSalesReps[region],"Missing")</f>
        <v>North</v>
      </c>
    </row>
    <row r="2329" spans="1:18">
      <c r="A2329" t="s">
        <v>2871</v>
      </c>
      <c r="B2329" t="s">
        <v>1147</v>
      </c>
      <c r="C2329" t="s">
        <v>62</v>
      </c>
      <c r="D2329" t="s">
        <v>16</v>
      </c>
      <c r="E2329" s="1">
        <v>45710</v>
      </c>
      <c r="F2329" s="1">
        <v>45717</v>
      </c>
      <c r="G2329" s="1">
        <v>45717</v>
      </c>
      <c r="H2329" t="s">
        <v>28</v>
      </c>
      <c r="I2329">
        <v>2</v>
      </c>
      <c r="J2329">
        <v>10</v>
      </c>
      <c r="K2329">
        <v>216000</v>
      </c>
      <c r="L2329">
        <v>100</v>
      </c>
      <c r="M2329" t="s">
        <v>29</v>
      </c>
      <c r="N2329" t="str">
        <f>_xlfn.XLOOKUP(B2329,tblCustomers[customer_id],tblCustomers[region],"Missing")</f>
        <v>North</v>
      </c>
      <c r="O2329" t="str">
        <f>_xlfn.XLOOKUP(C2329,tblProducts[product_id],tblProducts[product_name],"Missing")</f>
        <v>CRM Essentials</v>
      </c>
      <c r="P2329" t="str">
        <f>_xlfn.XLOOKUP(C2329,tblProducts[product_id],tblProducts[category],"Missing")</f>
        <v>CRM</v>
      </c>
      <c r="Q2329" t="str">
        <f>_xlfn.XLOOKUP(D2329,tblSalesReps[rep_id],tblSalesReps[rep_name],"Missing")</f>
        <v>Sales Rep 08</v>
      </c>
      <c r="R2329" t="str">
        <f>_xlfn.XLOOKUP(D2329,tblSalesReps[rep_id],tblSalesReps[region],"Missing")</f>
        <v>North</v>
      </c>
    </row>
    <row r="2330" spans="1:18">
      <c r="A2330" t="s">
        <v>2872</v>
      </c>
      <c r="B2330" t="s">
        <v>1169</v>
      </c>
      <c r="C2330" t="s">
        <v>15</v>
      </c>
      <c r="D2330" t="s">
        <v>59</v>
      </c>
      <c r="E2330" s="1">
        <v>45945</v>
      </c>
      <c r="F2330" s="1">
        <v>46026</v>
      </c>
      <c r="G2330" s="1"/>
      <c r="H2330" t="s">
        <v>43</v>
      </c>
      <c r="I2330">
        <v>1</v>
      </c>
      <c r="J2330">
        <v>15</v>
      </c>
      <c r="K2330">
        <v>357000</v>
      </c>
      <c r="L2330">
        <v>40</v>
      </c>
      <c r="M2330" t="s">
        <v>29</v>
      </c>
      <c r="N2330" t="str">
        <f>_xlfn.XLOOKUP(B2330,tblCustomers[customer_id],tblCustomers[region],"Missing")</f>
        <v>East</v>
      </c>
      <c r="O2330" t="str">
        <f>_xlfn.XLOOKUP(C2330,tblProducts[product_id],tblProducts[product_name],"Missing")</f>
        <v>CRM Enterprise</v>
      </c>
      <c r="P2330" t="str">
        <f>_xlfn.XLOOKUP(C2330,tblProducts[product_id],tblProducts[category],"Missing")</f>
        <v>CRM</v>
      </c>
      <c r="Q2330" t="str">
        <f>_xlfn.XLOOKUP(D2330,tblSalesReps[rep_id],tblSalesReps[rep_name],"Missing")</f>
        <v>Sales Rep 19</v>
      </c>
      <c r="R2330" t="str">
        <f>_xlfn.XLOOKUP(D2330,tblSalesReps[rep_id],tblSalesReps[region],"Missing")</f>
        <v>East</v>
      </c>
    </row>
    <row r="2331" spans="1:18">
      <c r="A2331" t="s">
        <v>2873</v>
      </c>
      <c r="B2331" t="s">
        <v>2325</v>
      </c>
      <c r="C2331" t="s">
        <v>62</v>
      </c>
      <c r="D2331" t="s">
        <v>59</v>
      </c>
      <c r="E2331" s="1">
        <v>45699</v>
      </c>
      <c r="F2331" s="1">
        <v>45721</v>
      </c>
      <c r="G2331" s="1">
        <v>45721</v>
      </c>
      <c r="H2331" t="s">
        <v>28</v>
      </c>
      <c r="I2331">
        <v>1</v>
      </c>
      <c r="J2331">
        <v>15</v>
      </c>
      <c r="K2331">
        <v>102000</v>
      </c>
      <c r="L2331">
        <v>100</v>
      </c>
      <c r="M2331" t="s">
        <v>29</v>
      </c>
      <c r="N2331" t="str">
        <f>_xlfn.XLOOKUP(B2331,tblCustomers[customer_id],tblCustomers[region],"Missing")</f>
        <v>East</v>
      </c>
      <c r="O2331" t="str">
        <f>_xlfn.XLOOKUP(C2331,tblProducts[product_id],tblProducts[product_name],"Missing")</f>
        <v>CRM Essentials</v>
      </c>
      <c r="P2331" t="str">
        <f>_xlfn.XLOOKUP(C2331,tblProducts[product_id],tblProducts[category],"Missing")</f>
        <v>CRM</v>
      </c>
      <c r="Q2331" t="str">
        <f>_xlfn.XLOOKUP(D2331,tblSalesReps[rep_id],tblSalesReps[rep_name],"Missing")</f>
        <v>Sales Rep 19</v>
      </c>
      <c r="R2331" t="str">
        <f>_xlfn.XLOOKUP(D2331,tblSalesReps[rep_id],tblSalesReps[region],"Missing")</f>
        <v>East</v>
      </c>
    </row>
    <row r="2332" spans="1:18">
      <c r="A2332" t="s">
        <v>2874</v>
      </c>
      <c r="B2332" t="s">
        <v>414</v>
      </c>
      <c r="C2332" t="s">
        <v>15</v>
      </c>
      <c r="D2332" t="s">
        <v>59</v>
      </c>
      <c r="E2332" s="1">
        <v>45810</v>
      </c>
      <c r="F2332" s="1">
        <v>45871</v>
      </c>
      <c r="G2332" s="1">
        <v>45871</v>
      </c>
      <c r="H2332" t="s">
        <v>28</v>
      </c>
      <c r="I2332">
        <v>1</v>
      </c>
      <c r="J2332">
        <v>5</v>
      </c>
      <c r="K2332">
        <v>399000</v>
      </c>
      <c r="L2332">
        <v>100</v>
      </c>
      <c r="M2332" t="s">
        <v>29</v>
      </c>
      <c r="N2332" t="str">
        <f>_xlfn.XLOOKUP(B2332,tblCustomers[customer_id],tblCustomers[region],"Missing")</f>
        <v>East</v>
      </c>
      <c r="O2332" t="str">
        <f>_xlfn.XLOOKUP(C2332,tblProducts[product_id],tblProducts[product_name],"Missing")</f>
        <v>CRM Enterprise</v>
      </c>
      <c r="P2332" t="str">
        <f>_xlfn.XLOOKUP(C2332,tblProducts[product_id],tblProducts[category],"Missing")</f>
        <v>CRM</v>
      </c>
      <c r="Q2332" t="str">
        <f>_xlfn.XLOOKUP(D2332,tblSalesReps[rep_id],tblSalesReps[rep_name],"Missing")</f>
        <v>Sales Rep 19</v>
      </c>
      <c r="R2332" t="str">
        <f>_xlfn.XLOOKUP(D2332,tblSalesReps[rep_id],tblSalesReps[region],"Missing")</f>
        <v>East</v>
      </c>
    </row>
    <row r="2333" spans="1:18">
      <c r="A2333" t="s">
        <v>2875</v>
      </c>
      <c r="B2333" t="s">
        <v>606</v>
      </c>
      <c r="C2333" t="s">
        <v>39</v>
      </c>
      <c r="D2333" t="s">
        <v>119</v>
      </c>
      <c r="E2333" s="1">
        <v>45821</v>
      </c>
      <c r="F2333" s="1">
        <v>45865</v>
      </c>
      <c r="G2333" s="1"/>
      <c r="H2333" t="s">
        <v>43</v>
      </c>
      <c r="I2333">
        <v>2</v>
      </c>
      <c r="J2333">
        <v>5</v>
      </c>
      <c r="K2333">
        <v>342000</v>
      </c>
      <c r="L2333">
        <v>20</v>
      </c>
      <c r="M2333" t="s">
        <v>29</v>
      </c>
      <c r="N2333" t="str">
        <f>_xlfn.XLOOKUP(B2333,tblCustomers[customer_id],tblCustomers[region],"Missing")</f>
        <v>North</v>
      </c>
      <c r="O2333" t="str">
        <f>_xlfn.XLOOKUP(C2333,tblProducts[product_id],tblProducts[product_name],"Missing")</f>
        <v>Support Desk</v>
      </c>
      <c r="P2333" t="str">
        <f>_xlfn.XLOOKUP(C2333,tblProducts[product_id],tblProducts[category],"Missing")</f>
        <v>Service</v>
      </c>
      <c r="Q2333" t="str">
        <f>_xlfn.XLOOKUP(D2333,tblSalesReps[rep_id],tblSalesReps[rep_name],"Missing")</f>
        <v>Sales Rep 10</v>
      </c>
      <c r="R2333" t="str">
        <f>_xlfn.XLOOKUP(D2333,tblSalesReps[rep_id],tblSalesReps[region],"Missing")</f>
        <v>North</v>
      </c>
    </row>
    <row r="2334" spans="1:18">
      <c r="A2334" t="s">
        <v>2876</v>
      </c>
      <c r="B2334" t="s">
        <v>433</v>
      </c>
      <c r="C2334" t="s">
        <v>15</v>
      </c>
      <c r="D2334" t="s">
        <v>50</v>
      </c>
      <c r="E2334" s="1">
        <v>45926</v>
      </c>
      <c r="F2334" s="1">
        <v>45963</v>
      </c>
      <c r="G2334" s="1">
        <v>45963</v>
      </c>
      <c r="H2334" t="s">
        <v>17</v>
      </c>
      <c r="I2334">
        <v>1</v>
      </c>
      <c r="J2334">
        <v>20</v>
      </c>
      <c r="K2334">
        <v>336000</v>
      </c>
      <c r="L2334">
        <v>0</v>
      </c>
      <c r="M2334" t="s">
        <v>23</v>
      </c>
      <c r="N2334" t="str">
        <f>_xlfn.XLOOKUP(B2334,tblCustomers[customer_id],tblCustomers[region],"Missing")</f>
        <v>West</v>
      </c>
      <c r="O2334" t="str">
        <f>_xlfn.XLOOKUP(C2334,tblProducts[product_id],tblProducts[product_name],"Missing")</f>
        <v>CRM Enterprise</v>
      </c>
      <c r="P2334" t="str">
        <f>_xlfn.XLOOKUP(C2334,tblProducts[product_id],tblProducts[category],"Missing")</f>
        <v>CRM</v>
      </c>
      <c r="Q2334" t="str">
        <f>_xlfn.XLOOKUP(D2334,tblSalesReps[rep_id],tblSalesReps[rep_name],"Missing")</f>
        <v>Sales Rep 15</v>
      </c>
      <c r="R2334" t="str">
        <f>_xlfn.XLOOKUP(D2334,tblSalesReps[rep_id],tblSalesReps[region],"Missing")</f>
        <v>West</v>
      </c>
    </row>
    <row r="2335" spans="1:18">
      <c r="A2335" t="s">
        <v>2877</v>
      </c>
      <c r="B2335" t="s">
        <v>160</v>
      </c>
      <c r="C2335" t="s">
        <v>21</v>
      </c>
      <c r="D2335" t="s">
        <v>168</v>
      </c>
      <c r="E2335" s="1">
        <v>45937</v>
      </c>
      <c r="F2335" s="1">
        <v>45992</v>
      </c>
      <c r="G2335" s="1"/>
      <c r="H2335" t="s">
        <v>43</v>
      </c>
      <c r="I2335">
        <v>2</v>
      </c>
      <c r="J2335">
        <v>20</v>
      </c>
      <c r="K2335">
        <v>384000</v>
      </c>
      <c r="L2335">
        <v>60</v>
      </c>
      <c r="M2335" t="s">
        <v>29</v>
      </c>
      <c r="N2335" t="str">
        <f>_xlfn.XLOOKUP(B2335,tblCustomers[customer_id],tblCustomers[region],"Missing")</f>
        <v>East</v>
      </c>
      <c r="O2335" t="str">
        <f>_xlfn.XLOOKUP(C2335,tblProducts[product_id],tblProducts[product_name],"Missing")</f>
        <v>Workflow Automate</v>
      </c>
      <c r="P2335" t="str">
        <f>_xlfn.XLOOKUP(C2335,tblProducts[product_id],tblProducts[category],"Missing")</f>
        <v>Automation</v>
      </c>
      <c r="Q2335" t="str">
        <f>_xlfn.XLOOKUP(D2335,tblSalesReps[rep_id],tblSalesReps[rep_name],"Missing")</f>
        <v>Sales Rep 17</v>
      </c>
      <c r="R2335" t="str">
        <f>_xlfn.XLOOKUP(D2335,tblSalesReps[rep_id],tblSalesReps[region],"Missing")</f>
        <v>East</v>
      </c>
    </row>
    <row r="2336" spans="1:18">
      <c r="A2336" t="s">
        <v>2878</v>
      </c>
      <c r="B2336" t="s">
        <v>798</v>
      </c>
      <c r="C2336" t="s">
        <v>81</v>
      </c>
      <c r="D2336" t="s">
        <v>126</v>
      </c>
      <c r="E2336" s="1">
        <v>45869</v>
      </c>
      <c r="F2336" s="1">
        <v>45921</v>
      </c>
      <c r="G2336" s="1">
        <v>45921</v>
      </c>
      <c r="H2336" t="s">
        <v>17</v>
      </c>
      <c r="I2336">
        <v>1</v>
      </c>
      <c r="J2336">
        <v>15</v>
      </c>
      <c r="K2336">
        <v>255000</v>
      </c>
      <c r="L2336">
        <v>0</v>
      </c>
      <c r="M2336" t="s">
        <v>33</v>
      </c>
      <c r="N2336" t="str">
        <f>_xlfn.XLOOKUP(B2336,tblCustomers[customer_id],tblCustomers[region],"Missing")</f>
        <v>South</v>
      </c>
      <c r="O2336" t="str">
        <f>_xlfn.XLOOKUP(C2336,tblProducts[product_id],tblProducts[product_name],"Missing")</f>
        <v>Analytics Cloud</v>
      </c>
      <c r="P2336" t="str">
        <f>_xlfn.XLOOKUP(C2336,tblProducts[product_id],tblProducts[category],"Missing")</f>
        <v>Analytics</v>
      </c>
      <c r="Q2336" t="str">
        <f>_xlfn.XLOOKUP(D2336,tblSalesReps[rep_id],tblSalesReps[rep_name],"Missing")</f>
        <v>Sales Rep 02</v>
      </c>
      <c r="R2336" t="str">
        <f>_xlfn.XLOOKUP(D2336,tblSalesReps[rep_id],tblSalesReps[region],"Missing")</f>
        <v>South</v>
      </c>
    </row>
    <row r="2337" spans="1:18">
      <c r="A2337" t="s">
        <v>2879</v>
      </c>
      <c r="B2337" t="s">
        <v>20</v>
      </c>
      <c r="C2337" t="s">
        <v>81</v>
      </c>
      <c r="D2337" t="s">
        <v>70</v>
      </c>
      <c r="E2337" s="1">
        <v>45705</v>
      </c>
      <c r="F2337" s="1">
        <v>45786</v>
      </c>
      <c r="G2337" s="1">
        <v>45786</v>
      </c>
      <c r="H2337" t="s">
        <v>17</v>
      </c>
      <c r="I2337">
        <v>3</v>
      </c>
      <c r="J2337">
        <v>5</v>
      </c>
      <c r="K2337">
        <v>855000</v>
      </c>
      <c r="L2337">
        <v>0</v>
      </c>
      <c r="M2337" t="s">
        <v>82</v>
      </c>
      <c r="N2337" t="str">
        <f>_xlfn.XLOOKUP(B2337,tblCustomers[customer_id],tblCustomers[region],"Missing")</f>
        <v>West</v>
      </c>
      <c r="O2337" t="str">
        <f>_xlfn.XLOOKUP(C2337,tblProducts[product_id],tblProducts[product_name],"Missing")</f>
        <v>Analytics Cloud</v>
      </c>
      <c r="P2337" t="str">
        <f>_xlfn.XLOOKUP(C2337,tblProducts[product_id],tblProducts[category],"Missing")</f>
        <v>Analytics</v>
      </c>
      <c r="Q2337" t="str">
        <f>_xlfn.XLOOKUP(D2337,tblSalesReps[rep_id],tblSalesReps[rep_name],"Missing")</f>
        <v>Sales Rep 11</v>
      </c>
      <c r="R2337" t="str">
        <f>_xlfn.XLOOKUP(D2337,tblSalesReps[rep_id],tblSalesReps[region],"Missing")</f>
        <v>West</v>
      </c>
    </row>
    <row r="2338" spans="1:18">
      <c r="A2338" t="s">
        <v>2880</v>
      </c>
      <c r="B2338" t="s">
        <v>1536</v>
      </c>
      <c r="C2338" t="s">
        <v>81</v>
      </c>
      <c r="D2338" t="s">
        <v>119</v>
      </c>
      <c r="E2338" s="1">
        <v>46009</v>
      </c>
      <c r="F2338" s="1">
        <v>46024</v>
      </c>
      <c r="G2338" s="1"/>
      <c r="H2338" t="s">
        <v>43</v>
      </c>
      <c r="I2338">
        <v>2</v>
      </c>
      <c r="J2338">
        <v>20</v>
      </c>
      <c r="K2338">
        <v>480000</v>
      </c>
      <c r="L2338">
        <v>80</v>
      </c>
      <c r="M2338" t="s">
        <v>29</v>
      </c>
      <c r="N2338" t="str">
        <f>_xlfn.XLOOKUP(B2338,tblCustomers[customer_id],tblCustomers[region],"Missing")</f>
        <v>North</v>
      </c>
      <c r="O2338" t="str">
        <f>_xlfn.XLOOKUP(C2338,tblProducts[product_id],tblProducts[product_name],"Missing")</f>
        <v>Analytics Cloud</v>
      </c>
      <c r="P2338" t="str">
        <f>_xlfn.XLOOKUP(C2338,tblProducts[product_id],tblProducts[category],"Missing")</f>
        <v>Analytics</v>
      </c>
      <c r="Q2338" t="str">
        <f>_xlfn.XLOOKUP(D2338,tblSalesReps[rep_id],tblSalesReps[rep_name],"Missing")</f>
        <v>Sales Rep 10</v>
      </c>
      <c r="R2338" t="str">
        <f>_xlfn.XLOOKUP(D2338,tblSalesReps[rep_id],tblSalesReps[region],"Missing")</f>
        <v>North</v>
      </c>
    </row>
    <row r="2339" spans="1:18">
      <c r="A2339" t="s">
        <v>2881</v>
      </c>
      <c r="B2339" t="s">
        <v>859</v>
      </c>
      <c r="C2339" t="s">
        <v>39</v>
      </c>
      <c r="D2339" t="s">
        <v>46</v>
      </c>
      <c r="E2339" s="1">
        <v>45739</v>
      </c>
      <c r="F2339" s="1">
        <v>45752</v>
      </c>
      <c r="G2339" s="1">
        <v>45752</v>
      </c>
      <c r="H2339" t="s">
        <v>17</v>
      </c>
      <c r="I2339">
        <v>1</v>
      </c>
      <c r="J2339">
        <v>5</v>
      </c>
      <c r="K2339">
        <v>171000</v>
      </c>
      <c r="L2339">
        <v>0</v>
      </c>
      <c r="M2339" t="s">
        <v>47</v>
      </c>
      <c r="N2339" t="str">
        <f>_xlfn.XLOOKUP(B2339,tblCustomers[customer_id],tblCustomers[region],"Missing")</f>
        <v>South</v>
      </c>
      <c r="O2339" t="str">
        <f>_xlfn.XLOOKUP(C2339,tblProducts[product_id],tblProducts[product_name],"Missing")</f>
        <v>Support Desk</v>
      </c>
      <c r="P2339" t="str">
        <f>_xlfn.XLOOKUP(C2339,tblProducts[product_id],tblProducts[category],"Missing")</f>
        <v>Service</v>
      </c>
      <c r="Q2339" t="str">
        <f>_xlfn.XLOOKUP(D2339,tblSalesReps[rep_id],tblSalesReps[rep_name],"Missing")</f>
        <v>Sales Rep 01</v>
      </c>
      <c r="R2339" t="str">
        <f>_xlfn.XLOOKUP(D2339,tblSalesReps[rep_id],tblSalesReps[region],"Missing")</f>
        <v>South</v>
      </c>
    </row>
    <row r="2340" spans="1:18">
      <c r="A2340" t="s">
        <v>2882</v>
      </c>
      <c r="B2340" t="s">
        <v>206</v>
      </c>
      <c r="C2340" t="s">
        <v>26</v>
      </c>
      <c r="D2340" t="s">
        <v>16</v>
      </c>
      <c r="E2340" s="1">
        <v>45709</v>
      </c>
      <c r="F2340" s="1">
        <v>45794</v>
      </c>
      <c r="G2340" s="1">
        <v>45794</v>
      </c>
      <c r="H2340" t="s">
        <v>17</v>
      </c>
      <c r="I2340">
        <v>2</v>
      </c>
      <c r="J2340">
        <v>20</v>
      </c>
      <c r="K2340">
        <v>576000</v>
      </c>
      <c r="L2340">
        <v>0</v>
      </c>
      <c r="M2340" t="s">
        <v>23</v>
      </c>
      <c r="N2340" t="str">
        <f>_xlfn.XLOOKUP(B2340,tblCustomers[customer_id],tblCustomers[region],"Missing")</f>
        <v>North</v>
      </c>
      <c r="O2340" t="str">
        <f>_xlfn.XLOOKUP(C2340,tblProducts[product_id],tblProducts[product_name],"Missing")</f>
        <v>Security Suite</v>
      </c>
      <c r="P2340" t="str">
        <f>_xlfn.XLOOKUP(C2340,tblProducts[product_id],tblProducts[category],"Missing")</f>
        <v>Security</v>
      </c>
      <c r="Q2340" t="str">
        <f>_xlfn.XLOOKUP(D2340,tblSalesReps[rep_id],tblSalesReps[rep_name],"Missing")</f>
        <v>Sales Rep 08</v>
      </c>
      <c r="R2340" t="str">
        <f>_xlfn.XLOOKUP(D2340,tblSalesReps[rep_id],tblSalesReps[region],"Missing")</f>
        <v>North</v>
      </c>
    </row>
    <row r="2341" spans="1:18">
      <c r="A2341" t="s">
        <v>2883</v>
      </c>
      <c r="B2341" t="s">
        <v>426</v>
      </c>
      <c r="C2341" t="s">
        <v>39</v>
      </c>
      <c r="D2341" t="s">
        <v>63</v>
      </c>
      <c r="E2341" s="1">
        <v>45835</v>
      </c>
      <c r="F2341" s="1">
        <v>45875</v>
      </c>
      <c r="G2341" s="1"/>
      <c r="H2341" t="s">
        <v>43</v>
      </c>
      <c r="I2341">
        <v>1</v>
      </c>
      <c r="J2341">
        <v>20</v>
      </c>
      <c r="K2341">
        <v>144000</v>
      </c>
      <c r="L2341">
        <v>80</v>
      </c>
      <c r="M2341" t="s">
        <v>29</v>
      </c>
      <c r="N2341" t="str">
        <f>_xlfn.XLOOKUP(B2341,tblCustomers[customer_id],tblCustomers[region],"Missing")</f>
        <v>South</v>
      </c>
      <c r="O2341" t="str">
        <f>_xlfn.XLOOKUP(C2341,tblProducts[product_id],tblProducts[product_name],"Missing")</f>
        <v>Support Desk</v>
      </c>
      <c r="P2341" t="str">
        <f>_xlfn.XLOOKUP(C2341,tblProducts[product_id],tblProducts[category],"Missing")</f>
        <v>Service</v>
      </c>
      <c r="Q2341" t="str">
        <f>_xlfn.XLOOKUP(D2341,tblSalesReps[rep_id],tblSalesReps[rep_name],"Missing")</f>
        <v>Sales Rep 05</v>
      </c>
      <c r="R2341" t="str">
        <f>_xlfn.XLOOKUP(D2341,tblSalesReps[rep_id],tblSalesReps[region],"Missing")</f>
        <v>South</v>
      </c>
    </row>
    <row r="2342" spans="1:18">
      <c r="A2342" t="s">
        <v>2884</v>
      </c>
      <c r="B2342" t="s">
        <v>358</v>
      </c>
      <c r="C2342" t="s">
        <v>21</v>
      </c>
      <c r="D2342" t="s">
        <v>119</v>
      </c>
      <c r="E2342" s="1">
        <v>45851</v>
      </c>
      <c r="F2342" s="1">
        <v>45916</v>
      </c>
      <c r="G2342" s="1"/>
      <c r="H2342" t="s">
        <v>43</v>
      </c>
      <c r="I2342">
        <v>1</v>
      </c>
      <c r="J2342">
        <v>15</v>
      </c>
      <c r="K2342">
        <v>204000</v>
      </c>
      <c r="L2342">
        <v>20</v>
      </c>
      <c r="M2342" t="s">
        <v>29</v>
      </c>
      <c r="N2342" t="str">
        <f>_xlfn.XLOOKUP(B2342,tblCustomers[customer_id],tblCustomers[region],"Missing")</f>
        <v>North</v>
      </c>
      <c r="O2342" t="str">
        <f>_xlfn.XLOOKUP(C2342,tblProducts[product_id],tblProducts[product_name],"Missing")</f>
        <v>Workflow Automate</v>
      </c>
      <c r="P2342" t="str">
        <f>_xlfn.XLOOKUP(C2342,tblProducts[product_id],tblProducts[category],"Missing")</f>
        <v>Automation</v>
      </c>
      <c r="Q2342" t="str">
        <f>_xlfn.XLOOKUP(D2342,tblSalesReps[rep_id],tblSalesReps[rep_name],"Missing")</f>
        <v>Sales Rep 10</v>
      </c>
      <c r="R2342" t="str">
        <f>_xlfn.XLOOKUP(D2342,tblSalesReps[rep_id],tblSalesReps[region],"Missing")</f>
        <v>North</v>
      </c>
    </row>
    <row r="2343" spans="1:18">
      <c r="A2343" t="s">
        <v>2885</v>
      </c>
      <c r="B2343" t="s">
        <v>1349</v>
      </c>
      <c r="C2343" t="s">
        <v>21</v>
      </c>
      <c r="D2343" t="s">
        <v>119</v>
      </c>
      <c r="E2343" s="1">
        <v>45953</v>
      </c>
      <c r="F2343" s="1">
        <v>45998</v>
      </c>
      <c r="G2343" s="1">
        <v>45998</v>
      </c>
      <c r="H2343" t="s">
        <v>17</v>
      </c>
      <c r="I2343">
        <v>1</v>
      </c>
      <c r="J2343">
        <v>0</v>
      </c>
      <c r="K2343">
        <v>240000</v>
      </c>
      <c r="L2343">
        <v>0</v>
      </c>
      <c r="M2343" t="s">
        <v>33</v>
      </c>
      <c r="N2343" t="str">
        <f>_xlfn.XLOOKUP(B2343,tblCustomers[customer_id],tblCustomers[region],"Missing")</f>
        <v>North</v>
      </c>
      <c r="O2343" t="str">
        <f>_xlfn.XLOOKUP(C2343,tblProducts[product_id],tblProducts[product_name],"Missing")</f>
        <v>Workflow Automate</v>
      </c>
      <c r="P2343" t="str">
        <f>_xlfn.XLOOKUP(C2343,tblProducts[product_id],tblProducts[category],"Missing")</f>
        <v>Automation</v>
      </c>
      <c r="Q2343" t="str">
        <f>_xlfn.XLOOKUP(D2343,tblSalesReps[rep_id],tblSalesReps[rep_name],"Missing")</f>
        <v>Sales Rep 10</v>
      </c>
      <c r="R2343" t="str">
        <f>_xlfn.XLOOKUP(D2343,tblSalesReps[rep_id],tblSalesReps[region],"Missing")</f>
        <v>North</v>
      </c>
    </row>
    <row r="2344" spans="1:18">
      <c r="A2344" t="s">
        <v>2886</v>
      </c>
      <c r="B2344" t="s">
        <v>1929</v>
      </c>
      <c r="C2344" t="s">
        <v>21</v>
      </c>
      <c r="D2344" t="s">
        <v>75</v>
      </c>
      <c r="E2344" s="1">
        <v>45882</v>
      </c>
      <c r="F2344" s="1">
        <v>45942</v>
      </c>
      <c r="G2344" s="1">
        <v>45942</v>
      </c>
      <c r="H2344" t="s">
        <v>28</v>
      </c>
      <c r="I2344">
        <v>3</v>
      </c>
      <c r="J2344">
        <v>20</v>
      </c>
      <c r="K2344">
        <v>576000</v>
      </c>
      <c r="L2344">
        <v>100</v>
      </c>
      <c r="M2344" t="s">
        <v>29</v>
      </c>
      <c r="N2344" t="str">
        <f>_xlfn.XLOOKUP(B2344,tblCustomers[customer_id],tblCustomers[region],"Missing")</f>
        <v>North</v>
      </c>
      <c r="O2344" t="str">
        <f>_xlfn.XLOOKUP(C2344,tblProducts[product_id],tblProducts[product_name],"Missing")</f>
        <v>Workflow Automate</v>
      </c>
      <c r="P2344" t="str">
        <f>_xlfn.XLOOKUP(C2344,tblProducts[product_id],tblProducts[category],"Missing")</f>
        <v>Automation</v>
      </c>
      <c r="Q2344" t="str">
        <f>_xlfn.XLOOKUP(D2344,tblSalesReps[rep_id],tblSalesReps[rep_name],"Missing")</f>
        <v>Sales Rep 07</v>
      </c>
      <c r="R2344" t="str">
        <f>_xlfn.XLOOKUP(D2344,tblSalesReps[rep_id],tblSalesReps[region],"Missing")</f>
        <v>North</v>
      </c>
    </row>
    <row r="2345" spans="1:18">
      <c r="A2345" t="s">
        <v>2887</v>
      </c>
      <c r="B2345" t="s">
        <v>310</v>
      </c>
      <c r="C2345" t="s">
        <v>26</v>
      </c>
      <c r="D2345" t="s">
        <v>27</v>
      </c>
      <c r="E2345" s="1">
        <v>45778</v>
      </c>
      <c r="F2345" s="1">
        <v>45841</v>
      </c>
      <c r="G2345" s="1">
        <v>45841</v>
      </c>
      <c r="H2345" t="s">
        <v>17</v>
      </c>
      <c r="I2345">
        <v>1</v>
      </c>
      <c r="J2345">
        <v>0</v>
      </c>
      <c r="K2345">
        <v>360000</v>
      </c>
      <c r="L2345">
        <v>0</v>
      </c>
      <c r="M2345" t="s">
        <v>47</v>
      </c>
      <c r="N2345" t="str">
        <f>_xlfn.XLOOKUP(B2345,tblCustomers[customer_id],tblCustomers[region],"Missing")</f>
        <v>North</v>
      </c>
      <c r="O2345" t="str">
        <f>_xlfn.XLOOKUP(C2345,tblProducts[product_id],tblProducts[product_name],"Missing")</f>
        <v>Security Suite</v>
      </c>
      <c r="P2345" t="str">
        <f>_xlfn.XLOOKUP(C2345,tblProducts[product_id],tblProducts[category],"Missing")</f>
        <v>Security</v>
      </c>
      <c r="Q2345" t="str">
        <f>_xlfn.XLOOKUP(D2345,tblSalesReps[rep_id],tblSalesReps[rep_name],"Missing")</f>
        <v>Sales Rep 06</v>
      </c>
      <c r="R2345" t="str">
        <f>_xlfn.XLOOKUP(D2345,tblSalesReps[rep_id],tblSalesReps[region],"Missing")</f>
        <v>North</v>
      </c>
    </row>
    <row r="2346" spans="1:18">
      <c r="A2346" t="s">
        <v>2888</v>
      </c>
      <c r="B2346" t="s">
        <v>524</v>
      </c>
      <c r="C2346" t="s">
        <v>39</v>
      </c>
      <c r="D2346" t="s">
        <v>91</v>
      </c>
      <c r="E2346" s="1">
        <v>45787</v>
      </c>
      <c r="F2346" s="1">
        <v>45808</v>
      </c>
      <c r="G2346" s="1">
        <v>45808</v>
      </c>
      <c r="H2346" t="s">
        <v>28</v>
      </c>
      <c r="I2346">
        <v>2</v>
      </c>
      <c r="J2346">
        <v>20</v>
      </c>
      <c r="K2346">
        <v>288000</v>
      </c>
      <c r="L2346">
        <v>100</v>
      </c>
      <c r="M2346" t="s">
        <v>29</v>
      </c>
      <c r="N2346" t="str">
        <f>_xlfn.XLOOKUP(B2346,tblCustomers[customer_id],tblCustomers[region],"Missing")</f>
        <v>South</v>
      </c>
      <c r="O2346" t="str">
        <f>_xlfn.XLOOKUP(C2346,tblProducts[product_id],tblProducts[product_name],"Missing")</f>
        <v>Support Desk</v>
      </c>
      <c r="P2346" t="str">
        <f>_xlfn.XLOOKUP(C2346,tblProducts[product_id],tblProducts[category],"Missing")</f>
        <v>Service</v>
      </c>
      <c r="Q2346" t="str">
        <f>_xlfn.XLOOKUP(D2346,tblSalesReps[rep_id],tblSalesReps[rep_name],"Missing")</f>
        <v>Sales Rep 03</v>
      </c>
      <c r="R2346" t="str">
        <f>_xlfn.XLOOKUP(D2346,tblSalesReps[rep_id],tblSalesReps[region],"Missing")</f>
        <v>South</v>
      </c>
    </row>
    <row r="2347" spans="1:18">
      <c r="A2347" t="s">
        <v>2889</v>
      </c>
      <c r="B2347" t="s">
        <v>1916</v>
      </c>
      <c r="C2347" t="s">
        <v>26</v>
      </c>
      <c r="D2347" t="s">
        <v>32</v>
      </c>
      <c r="E2347" s="1">
        <v>45787</v>
      </c>
      <c r="F2347" s="1">
        <v>45808</v>
      </c>
      <c r="G2347" s="1"/>
      <c r="H2347" t="s">
        <v>43</v>
      </c>
      <c r="I2347">
        <v>1</v>
      </c>
      <c r="J2347">
        <v>15</v>
      </c>
      <c r="K2347">
        <v>306000</v>
      </c>
      <c r="L2347">
        <v>80</v>
      </c>
      <c r="M2347" t="s">
        <v>29</v>
      </c>
      <c r="N2347" t="str">
        <f>_xlfn.XLOOKUP(B2347,tblCustomers[customer_id],tblCustomers[region],"Missing")</f>
        <v>South</v>
      </c>
      <c r="O2347" t="str">
        <f>_xlfn.XLOOKUP(C2347,tblProducts[product_id],tblProducts[product_name],"Missing")</f>
        <v>Security Suite</v>
      </c>
      <c r="P2347" t="str">
        <f>_xlfn.XLOOKUP(C2347,tblProducts[product_id],tblProducts[category],"Missing")</f>
        <v>Security</v>
      </c>
      <c r="Q2347" t="str">
        <f>_xlfn.XLOOKUP(D2347,tblSalesReps[rep_id],tblSalesReps[rep_name],"Missing")</f>
        <v>Sales Rep 04</v>
      </c>
      <c r="R2347" t="str">
        <f>_xlfn.XLOOKUP(D2347,tblSalesReps[rep_id],tblSalesReps[region],"Missing")</f>
        <v>South</v>
      </c>
    </row>
    <row r="2348" spans="1:18">
      <c r="A2348" t="s">
        <v>2890</v>
      </c>
      <c r="B2348" t="s">
        <v>296</v>
      </c>
      <c r="C2348" t="s">
        <v>15</v>
      </c>
      <c r="D2348" t="s">
        <v>91</v>
      </c>
      <c r="E2348" s="1">
        <v>45833</v>
      </c>
      <c r="F2348" s="1">
        <v>45878</v>
      </c>
      <c r="G2348" s="1">
        <v>45878</v>
      </c>
      <c r="H2348" t="s">
        <v>17</v>
      </c>
      <c r="I2348">
        <v>1</v>
      </c>
      <c r="J2348">
        <v>10</v>
      </c>
      <c r="K2348">
        <v>378000</v>
      </c>
      <c r="L2348">
        <v>0</v>
      </c>
      <c r="M2348" t="s">
        <v>33</v>
      </c>
      <c r="N2348" t="str">
        <f>_xlfn.XLOOKUP(B2348,tblCustomers[customer_id],tblCustomers[region],"Missing")</f>
        <v>South</v>
      </c>
      <c r="O2348" t="str">
        <f>_xlfn.XLOOKUP(C2348,tblProducts[product_id],tblProducts[product_name],"Missing")</f>
        <v>CRM Enterprise</v>
      </c>
      <c r="P2348" t="str">
        <f>_xlfn.XLOOKUP(C2348,tblProducts[product_id],tblProducts[category],"Missing")</f>
        <v>CRM</v>
      </c>
      <c r="Q2348" t="str">
        <f>_xlfn.XLOOKUP(D2348,tblSalesReps[rep_id],tblSalesReps[rep_name],"Missing")</f>
        <v>Sales Rep 03</v>
      </c>
      <c r="R2348" t="str">
        <f>_xlfn.XLOOKUP(D2348,tblSalesReps[rep_id],tblSalesReps[region],"Missing")</f>
        <v>South</v>
      </c>
    </row>
    <row r="2349" spans="1:18">
      <c r="A2349" t="s">
        <v>2891</v>
      </c>
      <c r="B2349" t="s">
        <v>834</v>
      </c>
      <c r="C2349" t="s">
        <v>62</v>
      </c>
      <c r="D2349" t="s">
        <v>59</v>
      </c>
      <c r="E2349" s="1">
        <v>45999</v>
      </c>
      <c r="F2349" s="1">
        <v>46046</v>
      </c>
      <c r="G2349" s="1"/>
      <c r="H2349" t="s">
        <v>43</v>
      </c>
      <c r="I2349">
        <v>1</v>
      </c>
      <c r="J2349">
        <v>0</v>
      </c>
      <c r="K2349">
        <v>120000</v>
      </c>
      <c r="L2349">
        <v>40</v>
      </c>
      <c r="M2349" t="s">
        <v>29</v>
      </c>
      <c r="N2349" t="str">
        <f>_xlfn.XLOOKUP(B2349,tblCustomers[customer_id],tblCustomers[region],"Missing")</f>
        <v>East</v>
      </c>
      <c r="O2349" t="str">
        <f>_xlfn.XLOOKUP(C2349,tblProducts[product_id],tblProducts[product_name],"Missing")</f>
        <v>CRM Essentials</v>
      </c>
      <c r="P2349" t="str">
        <f>_xlfn.XLOOKUP(C2349,tblProducts[product_id],tblProducts[category],"Missing")</f>
        <v>CRM</v>
      </c>
      <c r="Q2349" t="str">
        <f>_xlfn.XLOOKUP(D2349,tblSalesReps[rep_id],tblSalesReps[rep_name],"Missing")</f>
        <v>Sales Rep 19</v>
      </c>
      <c r="R2349" t="str">
        <f>_xlfn.XLOOKUP(D2349,tblSalesReps[rep_id],tblSalesReps[region],"Missing")</f>
        <v>East</v>
      </c>
    </row>
    <row r="2350" spans="1:18">
      <c r="A2350" t="s">
        <v>2892</v>
      </c>
      <c r="B2350" t="s">
        <v>420</v>
      </c>
      <c r="C2350" t="s">
        <v>15</v>
      </c>
      <c r="D2350" t="s">
        <v>119</v>
      </c>
      <c r="E2350" s="1">
        <v>45999</v>
      </c>
      <c r="F2350" s="1">
        <v>46073</v>
      </c>
      <c r="G2350" s="1"/>
      <c r="H2350" t="s">
        <v>43</v>
      </c>
      <c r="I2350">
        <v>2</v>
      </c>
      <c r="J2350">
        <v>5</v>
      </c>
      <c r="K2350">
        <v>798000</v>
      </c>
      <c r="L2350">
        <v>40</v>
      </c>
      <c r="M2350" t="s">
        <v>29</v>
      </c>
      <c r="N2350" t="str">
        <f>_xlfn.XLOOKUP(B2350,tblCustomers[customer_id],tblCustomers[region],"Missing")</f>
        <v>North</v>
      </c>
      <c r="O2350" t="str">
        <f>_xlfn.XLOOKUP(C2350,tblProducts[product_id],tblProducts[product_name],"Missing")</f>
        <v>CRM Enterprise</v>
      </c>
      <c r="P2350" t="str">
        <f>_xlfn.XLOOKUP(C2350,tblProducts[product_id],tblProducts[category],"Missing")</f>
        <v>CRM</v>
      </c>
      <c r="Q2350" t="str">
        <f>_xlfn.XLOOKUP(D2350,tblSalesReps[rep_id],tblSalesReps[rep_name],"Missing")</f>
        <v>Sales Rep 10</v>
      </c>
      <c r="R2350" t="str">
        <f>_xlfn.XLOOKUP(D2350,tblSalesReps[rep_id],tblSalesReps[region],"Missing")</f>
        <v>North</v>
      </c>
    </row>
    <row r="2351" spans="1:18">
      <c r="A2351" t="s">
        <v>2893</v>
      </c>
      <c r="B2351" t="s">
        <v>1109</v>
      </c>
      <c r="C2351" t="s">
        <v>15</v>
      </c>
      <c r="D2351" t="s">
        <v>152</v>
      </c>
      <c r="E2351" s="1">
        <v>45863</v>
      </c>
      <c r="F2351" s="1">
        <v>45904</v>
      </c>
      <c r="G2351" s="1">
        <v>45904</v>
      </c>
      <c r="H2351" t="s">
        <v>17</v>
      </c>
      <c r="I2351">
        <v>3</v>
      </c>
      <c r="J2351">
        <v>0</v>
      </c>
      <c r="K2351">
        <v>1260000</v>
      </c>
      <c r="L2351">
        <v>0</v>
      </c>
      <c r="M2351" t="s">
        <v>47</v>
      </c>
      <c r="N2351" t="str">
        <f>_xlfn.XLOOKUP(B2351,tblCustomers[customer_id],tblCustomers[region],"Missing")</f>
        <v>East</v>
      </c>
      <c r="O2351" t="str">
        <f>_xlfn.XLOOKUP(C2351,tblProducts[product_id],tblProducts[product_name],"Missing")</f>
        <v>CRM Enterprise</v>
      </c>
      <c r="P2351" t="str">
        <f>_xlfn.XLOOKUP(C2351,tblProducts[product_id],tblProducts[category],"Missing")</f>
        <v>CRM</v>
      </c>
      <c r="Q2351" t="str">
        <f>_xlfn.XLOOKUP(D2351,tblSalesReps[rep_id],tblSalesReps[rep_name],"Missing")</f>
        <v>Sales Rep 18</v>
      </c>
      <c r="R2351" t="str">
        <f>_xlfn.XLOOKUP(D2351,tblSalesReps[rep_id],tblSalesReps[region],"Missing")</f>
        <v>East</v>
      </c>
    </row>
    <row r="2352" spans="1:18">
      <c r="A2352" t="s">
        <v>2894</v>
      </c>
      <c r="B2352" t="s">
        <v>1209</v>
      </c>
      <c r="C2352" t="s">
        <v>26</v>
      </c>
      <c r="D2352" t="s">
        <v>53</v>
      </c>
      <c r="E2352" s="1">
        <v>45734</v>
      </c>
      <c r="F2352" s="1">
        <v>45793</v>
      </c>
      <c r="G2352" s="1"/>
      <c r="H2352" t="s">
        <v>43</v>
      </c>
      <c r="I2352">
        <v>1</v>
      </c>
      <c r="J2352">
        <v>15</v>
      </c>
      <c r="K2352">
        <v>306000</v>
      </c>
      <c r="L2352">
        <v>20</v>
      </c>
      <c r="M2352" t="s">
        <v>29</v>
      </c>
      <c r="N2352" t="str">
        <f>_xlfn.XLOOKUP(B2352,tblCustomers[customer_id],tblCustomers[region],"Missing")</f>
        <v>East</v>
      </c>
      <c r="O2352" t="str">
        <f>_xlfn.XLOOKUP(C2352,tblProducts[product_id],tblProducts[product_name],"Missing")</f>
        <v>Security Suite</v>
      </c>
      <c r="P2352" t="str">
        <f>_xlfn.XLOOKUP(C2352,tblProducts[product_id],tblProducts[category],"Missing")</f>
        <v>Security</v>
      </c>
      <c r="Q2352" t="str">
        <f>_xlfn.XLOOKUP(D2352,tblSalesReps[rep_id],tblSalesReps[rep_name],"Missing")</f>
        <v>Sales Rep 16</v>
      </c>
      <c r="R2352" t="str">
        <f>_xlfn.XLOOKUP(D2352,tblSalesReps[rep_id],tblSalesReps[region],"Missing")</f>
        <v>East</v>
      </c>
    </row>
    <row r="2353" spans="1:18">
      <c r="A2353" t="s">
        <v>2895</v>
      </c>
      <c r="B2353" t="s">
        <v>289</v>
      </c>
      <c r="C2353" t="s">
        <v>26</v>
      </c>
      <c r="D2353" t="s">
        <v>119</v>
      </c>
      <c r="E2353" s="1">
        <v>45823</v>
      </c>
      <c r="F2353" s="1">
        <v>45869</v>
      </c>
      <c r="G2353" s="1">
        <v>45869</v>
      </c>
      <c r="H2353" t="s">
        <v>28</v>
      </c>
      <c r="I2353">
        <v>1</v>
      </c>
      <c r="J2353">
        <v>0</v>
      </c>
      <c r="K2353">
        <v>360000</v>
      </c>
      <c r="L2353">
        <v>100</v>
      </c>
      <c r="M2353" t="s">
        <v>29</v>
      </c>
      <c r="N2353" t="str">
        <f>_xlfn.XLOOKUP(B2353,tblCustomers[customer_id],tblCustomers[region],"Missing")</f>
        <v>North</v>
      </c>
      <c r="O2353" t="str">
        <f>_xlfn.XLOOKUP(C2353,tblProducts[product_id],tblProducts[product_name],"Missing")</f>
        <v>Security Suite</v>
      </c>
      <c r="P2353" t="str">
        <f>_xlfn.XLOOKUP(C2353,tblProducts[product_id],tblProducts[category],"Missing")</f>
        <v>Security</v>
      </c>
      <c r="Q2353" t="str">
        <f>_xlfn.XLOOKUP(D2353,tblSalesReps[rep_id],tblSalesReps[rep_name],"Missing")</f>
        <v>Sales Rep 10</v>
      </c>
      <c r="R2353" t="str">
        <f>_xlfn.XLOOKUP(D2353,tblSalesReps[rep_id],tblSalesReps[region],"Missing")</f>
        <v>North</v>
      </c>
    </row>
    <row r="2354" spans="1:18">
      <c r="A2354" t="s">
        <v>2896</v>
      </c>
      <c r="B2354" t="s">
        <v>952</v>
      </c>
      <c r="C2354" t="s">
        <v>81</v>
      </c>
      <c r="D2354" t="s">
        <v>91</v>
      </c>
      <c r="E2354" s="1">
        <v>45991</v>
      </c>
      <c r="F2354" s="1">
        <v>45998</v>
      </c>
      <c r="G2354" s="1">
        <v>45998</v>
      </c>
      <c r="H2354" t="s">
        <v>17</v>
      </c>
      <c r="I2354">
        <v>1</v>
      </c>
      <c r="J2354">
        <v>5</v>
      </c>
      <c r="K2354">
        <v>285000</v>
      </c>
      <c r="L2354">
        <v>0</v>
      </c>
      <c r="M2354" t="s">
        <v>18</v>
      </c>
      <c r="N2354" t="str">
        <f>_xlfn.XLOOKUP(B2354,tblCustomers[customer_id],tblCustomers[region],"Missing")</f>
        <v>South</v>
      </c>
      <c r="O2354" t="str">
        <f>_xlfn.XLOOKUP(C2354,tblProducts[product_id],tblProducts[product_name],"Missing")</f>
        <v>Analytics Cloud</v>
      </c>
      <c r="P2354" t="str">
        <f>_xlfn.XLOOKUP(C2354,tblProducts[product_id],tblProducts[category],"Missing")</f>
        <v>Analytics</v>
      </c>
      <c r="Q2354" t="str">
        <f>_xlfn.XLOOKUP(D2354,tblSalesReps[rep_id],tblSalesReps[rep_name],"Missing")</f>
        <v>Sales Rep 03</v>
      </c>
      <c r="R2354" t="str">
        <f>_xlfn.XLOOKUP(D2354,tblSalesReps[rep_id],tblSalesReps[region],"Missing")</f>
        <v>South</v>
      </c>
    </row>
    <row r="2355" spans="1:18">
      <c r="A2355" t="s">
        <v>2897</v>
      </c>
      <c r="B2355" t="s">
        <v>526</v>
      </c>
      <c r="C2355" t="s">
        <v>39</v>
      </c>
      <c r="D2355" t="s">
        <v>22</v>
      </c>
      <c r="E2355" s="1">
        <v>45691</v>
      </c>
      <c r="F2355" s="1">
        <v>45761</v>
      </c>
      <c r="G2355" s="1"/>
      <c r="H2355" t="s">
        <v>43</v>
      </c>
      <c r="I2355">
        <v>1</v>
      </c>
      <c r="J2355">
        <v>5</v>
      </c>
      <c r="K2355">
        <v>171000</v>
      </c>
      <c r="L2355">
        <v>60</v>
      </c>
      <c r="M2355" t="s">
        <v>29</v>
      </c>
      <c r="N2355" t="str">
        <f>_xlfn.XLOOKUP(B2355,tblCustomers[customer_id],tblCustomers[region],"Missing")</f>
        <v>West</v>
      </c>
      <c r="O2355" t="str">
        <f>_xlfn.XLOOKUP(C2355,tblProducts[product_id],tblProducts[product_name],"Missing")</f>
        <v>Support Desk</v>
      </c>
      <c r="P2355" t="str">
        <f>_xlfn.XLOOKUP(C2355,tblProducts[product_id],tblProducts[category],"Missing")</f>
        <v>Service</v>
      </c>
      <c r="Q2355" t="str">
        <f>_xlfn.XLOOKUP(D2355,tblSalesReps[rep_id],tblSalesReps[rep_name],"Missing")</f>
        <v>Sales Rep 14</v>
      </c>
      <c r="R2355" t="str">
        <f>_xlfn.XLOOKUP(D2355,tblSalesReps[rep_id],tblSalesReps[region],"Missing")</f>
        <v>West</v>
      </c>
    </row>
    <row r="2356" spans="1:18">
      <c r="A2356" t="s">
        <v>2898</v>
      </c>
      <c r="B2356" t="s">
        <v>227</v>
      </c>
      <c r="C2356" t="s">
        <v>15</v>
      </c>
      <c r="D2356" t="s">
        <v>59</v>
      </c>
      <c r="E2356" s="1">
        <v>45873</v>
      </c>
      <c r="F2356" s="1">
        <v>45912</v>
      </c>
      <c r="G2356" s="1"/>
      <c r="H2356" t="s">
        <v>43</v>
      </c>
      <c r="I2356">
        <v>1</v>
      </c>
      <c r="J2356">
        <v>10</v>
      </c>
      <c r="K2356">
        <v>378000</v>
      </c>
      <c r="L2356">
        <v>60</v>
      </c>
      <c r="M2356" t="s">
        <v>29</v>
      </c>
      <c r="N2356" t="str">
        <f>_xlfn.XLOOKUP(B2356,tblCustomers[customer_id],tblCustomers[region],"Missing")</f>
        <v>East</v>
      </c>
      <c r="O2356" t="str">
        <f>_xlfn.XLOOKUP(C2356,tblProducts[product_id],tblProducts[product_name],"Missing")</f>
        <v>CRM Enterprise</v>
      </c>
      <c r="P2356" t="str">
        <f>_xlfn.XLOOKUP(C2356,tblProducts[product_id],tblProducts[category],"Missing")</f>
        <v>CRM</v>
      </c>
      <c r="Q2356" t="str">
        <f>_xlfn.XLOOKUP(D2356,tblSalesReps[rep_id],tblSalesReps[rep_name],"Missing")</f>
        <v>Sales Rep 19</v>
      </c>
      <c r="R2356" t="str">
        <f>_xlfn.XLOOKUP(D2356,tblSalesReps[rep_id],tblSalesReps[region],"Missing")</f>
        <v>East</v>
      </c>
    </row>
    <row r="2357" spans="1:18">
      <c r="A2357" t="s">
        <v>2899</v>
      </c>
      <c r="B2357" t="s">
        <v>206</v>
      </c>
      <c r="C2357" t="s">
        <v>39</v>
      </c>
      <c r="D2357" t="s">
        <v>16</v>
      </c>
      <c r="E2357" s="1">
        <v>46016</v>
      </c>
      <c r="F2357" s="1">
        <v>46068</v>
      </c>
      <c r="G2357" s="1"/>
      <c r="H2357" t="s">
        <v>43</v>
      </c>
      <c r="I2357">
        <v>1</v>
      </c>
      <c r="J2357">
        <v>20</v>
      </c>
      <c r="K2357">
        <v>144000</v>
      </c>
      <c r="L2357">
        <v>80</v>
      </c>
      <c r="M2357" t="s">
        <v>29</v>
      </c>
      <c r="N2357" t="str">
        <f>_xlfn.XLOOKUP(B2357,tblCustomers[customer_id],tblCustomers[region],"Missing")</f>
        <v>North</v>
      </c>
      <c r="O2357" t="str">
        <f>_xlfn.XLOOKUP(C2357,tblProducts[product_id],tblProducts[product_name],"Missing")</f>
        <v>Support Desk</v>
      </c>
      <c r="P2357" t="str">
        <f>_xlfn.XLOOKUP(C2357,tblProducts[product_id],tblProducts[category],"Missing")</f>
        <v>Service</v>
      </c>
      <c r="Q2357" t="str">
        <f>_xlfn.XLOOKUP(D2357,tblSalesReps[rep_id],tblSalesReps[rep_name],"Missing")</f>
        <v>Sales Rep 08</v>
      </c>
      <c r="R2357" t="str">
        <f>_xlfn.XLOOKUP(D2357,tblSalesReps[rep_id],tblSalesReps[region],"Missing")</f>
        <v>North</v>
      </c>
    </row>
    <row r="2358" spans="1:18">
      <c r="A2358" t="s">
        <v>2900</v>
      </c>
      <c r="B2358" t="s">
        <v>1283</v>
      </c>
      <c r="C2358" t="s">
        <v>21</v>
      </c>
      <c r="D2358" t="s">
        <v>168</v>
      </c>
      <c r="E2358" s="1">
        <v>45929</v>
      </c>
      <c r="F2358" s="1">
        <v>45957</v>
      </c>
      <c r="G2358" s="1">
        <v>45957</v>
      </c>
      <c r="H2358" t="s">
        <v>17</v>
      </c>
      <c r="I2358">
        <v>1</v>
      </c>
      <c r="J2358">
        <v>0</v>
      </c>
      <c r="K2358">
        <v>240000</v>
      </c>
      <c r="L2358">
        <v>0</v>
      </c>
      <c r="M2358" t="s">
        <v>82</v>
      </c>
      <c r="N2358" t="str">
        <f>_xlfn.XLOOKUP(B2358,tblCustomers[customer_id],tblCustomers[region],"Missing")</f>
        <v>East</v>
      </c>
      <c r="O2358" t="str">
        <f>_xlfn.XLOOKUP(C2358,tblProducts[product_id],tblProducts[product_name],"Missing")</f>
        <v>Workflow Automate</v>
      </c>
      <c r="P2358" t="str">
        <f>_xlfn.XLOOKUP(C2358,tblProducts[product_id],tblProducts[category],"Missing")</f>
        <v>Automation</v>
      </c>
      <c r="Q2358" t="str">
        <f>_xlfn.XLOOKUP(D2358,tblSalesReps[rep_id],tblSalesReps[rep_name],"Missing")</f>
        <v>Sales Rep 17</v>
      </c>
      <c r="R2358" t="str">
        <f>_xlfn.XLOOKUP(D2358,tblSalesReps[rep_id],tblSalesReps[region],"Missing")</f>
        <v>East</v>
      </c>
    </row>
    <row r="2359" spans="1:18">
      <c r="A2359" t="s">
        <v>2901</v>
      </c>
      <c r="B2359" t="s">
        <v>1237</v>
      </c>
      <c r="C2359" t="s">
        <v>21</v>
      </c>
      <c r="D2359" t="s">
        <v>126</v>
      </c>
      <c r="E2359" s="1">
        <v>45774</v>
      </c>
      <c r="F2359" s="1">
        <v>45799</v>
      </c>
      <c r="G2359" s="1"/>
      <c r="H2359" t="s">
        <v>43</v>
      </c>
      <c r="I2359">
        <v>3</v>
      </c>
      <c r="J2359">
        <v>10</v>
      </c>
      <c r="K2359">
        <v>648000</v>
      </c>
      <c r="L2359">
        <v>60</v>
      </c>
      <c r="M2359" t="s">
        <v>29</v>
      </c>
      <c r="N2359" t="str">
        <f>_xlfn.XLOOKUP(B2359,tblCustomers[customer_id],tblCustomers[region],"Missing")</f>
        <v>South</v>
      </c>
      <c r="O2359" t="str">
        <f>_xlfn.XLOOKUP(C2359,tblProducts[product_id],tblProducts[product_name],"Missing")</f>
        <v>Workflow Automate</v>
      </c>
      <c r="P2359" t="str">
        <f>_xlfn.XLOOKUP(C2359,tblProducts[product_id],tblProducts[category],"Missing")</f>
        <v>Automation</v>
      </c>
      <c r="Q2359" t="str">
        <f>_xlfn.XLOOKUP(D2359,tblSalesReps[rep_id],tblSalesReps[rep_name],"Missing")</f>
        <v>Sales Rep 02</v>
      </c>
      <c r="R2359" t="str">
        <f>_xlfn.XLOOKUP(D2359,tblSalesReps[rep_id],tblSalesReps[region],"Missing")</f>
        <v>South</v>
      </c>
    </row>
    <row r="2360" spans="1:18">
      <c r="A2360" t="s">
        <v>2902</v>
      </c>
      <c r="B2360" t="s">
        <v>1916</v>
      </c>
      <c r="C2360" t="s">
        <v>39</v>
      </c>
      <c r="D2360" t="s">
        <v>32</v>
      </c>
      <c r="E2360" s="1">
        <v>45734</v>
      </c>
      <c r="F2360" s="1">
        <v>45806</v>
      </c>
      <c r="G2360" s="1"/>
      <c r="H2360" t="s">
        <v>43</v>
      </c>
      <c r="I2360">
        <v>1</v>
      </c>
      <c r="J2360">
        <v>10</v>
      </c>
      <c r="K2360">
        <v>162000</v>
      </c>
      <c r="L2360">
        <v>20</v>
      </c>
      <c r="M2360" t="s">
        <v>29</v>
      </c>
      <c r="N2360" t="str">
        <f>_xlfn.XLOOKUP(B2360,tblCustomers[customer_id],tblCustomers[region],"Missing")</f>
        <v>South</v>
      </c>
      <c r="O2360" t="str">
        <f>_xlfn.XLOOKUP(C2360,tblProducts[product_id],tblProducts[product_name],"Missing")</f>
        <v>Support Desk</v>
      </c>
      <c r="P2360" t="str">
        <f>_xlfn.XLOOKUP(C2360,tblProducts[product_id],tblProducts[category],"Missing")</f>
        <v>Service</v>
      </c>
      <c r="Q2360" t="str">
        <f>_xlfn.XLOOKUP(D2360,tblSalesReps[rep_id],tblSalesReps[rep_name],"Missing")</f>
        <v>Sales Rep 04</v>
      </c>
      <c r="R2360" t="str">
        <f>_xlfn.XLOOKUP(D2360,tblSalesReps[rep_id],tblSalesReps[region],"Missing")</f>
        <v>South</v>
      </c>
    </row>
    <row r="2361" spans="1:18">
      <c r="A2361" t="s">
        <v>2903</v>
      </c>
      <c r="B2361" t="s">
        <v>308</v>
      </c>
      <c r="C2361" t="s">
        <v>39</v>
      </c>
      <c r="D2361" t="s">
        <v>22</v>
      </c>
      <c r="E2361" s="1">
        <v>45944</v>
      </c>
      <c r="F2361" s="1">
        <v>45973</v>
      </c>
      <c r="G2361" s="1">
        <v>45973</v>
      </c>
      <c r="H2361" t="s">
        <v>28</v>
      </c>
      <c r="I2361">
        <v>3</v>
      </c>
      <c r="J2361">
        <v>20</v>
      </c>
      <c r="K2361">
        <v>432000</v>
      </c>
      <c r="L2361">
        <v>100</v>
      </c>
      <c r="M2361" t="s">
        <v>29</v>
      </c>
      <c r="N2361" t="str">
        <f>_xlfn.XLOOKUP(B2361,tblCustomers[customer_id],tblCustomers[region],"Missing")</f>
        <v>West</v>
      </c>
      <c r="O2361" t="str">
        <f>_xlfn.XLOOKUP(C2361,tblProducts[product_id],tblProducts[product_name],"Missing")</f>
        <v>Support Desk</v>
      </c>
      <c r="P2361" t="str">
        <f>_xlfn.XLOOKUP(C2361,tblProducts[product_id],tblProducts[category],"Missing")</f>
        <v>Service</v>
      </c>
      <c r="Q2361" t="str">
        <f>_xlfn.XLOOKUP(D2361,tblSalesReps[rep_id],tblSalesReps[rep_name],"Missing")</f>
        <v>Sales Rep 14</v>
      </c>
      <c r="R2361" t="str">
        <f>_xlfn.XLOOKUP(D2361,tblSalesReps[rep_id],tblSalesReps[region],"Missing")</f>
        <v>West</v>
      </c>
    </row>
    <row r="2362" spans="1:18">
      <c r="A2362" t="s">
        <v>2904</v>
      </c>
      <c r="B2362" t="s">
        <v>547</v>
      </c>
      <c r="C2362" t="s">
        <v>21</v>
      </c>
      <c r="D2362" t="s">
        <v>56</v>
      </c>
      <c r="E2362" s="1">
        <v>45836</v>
      </c>
      <c r="F2362" s="1">
        <v>45903</v>
      </c>
      <c r="G2362" s="1"/>
      <c r="H2362" t="s">
        <v>43</v>
      </c>
      <c r="I2362">
        <v>1</v>
      </c>
      <c r="J2362">
        <v>5</v>
      </c>
      <c r="K2362">
        <v>228000</v>
      </c>
      <c r="L2362">
        <v>60</v>
      </c>
      <c r="M2362" t="s">
        <v>29</v>
      </c>
      <c r="N2362" t="str">
        <f>_xlfn.XLOOKUP(B2362,tblCustomers[customer_id],tblCustomers[region],"Missing")</f>
        <v>East</v>
      </c>
      <c r="O2362" t="str">
        <f>_xlfn.XLOOKUP(C2362,tblProducts[product_id],tblProducts[product_name],"Missing")</f>
        <v>Workflow Automate</v>
      </c>
      <c r="P2362" t="str">
        <f>_xlfn.XLOOKUP(C2362,tblProducts[product_id],tblProducts[category],"Missing")</f>
        <v>Automation</v>
      </c>
      <c r="Q2362" t="str">
        <f>_xlfn.XLOOKUP(D2362,tblSalesReps[rep_id],tblSalesReps[rep_name],"Missing")</f>
        <v>Sales Rep 20</v>
      </c>
      <c r="R2362" t="str">
        <f>_xlfn.XLOOKUP(D2362,tblSalesReps[rep_id],tblSalesReps[region],"Missing")</f>
        <v>East</v>
      </c>
    </row>
    <row r="2363" spans="1:18">
      <c r="A2363" t="s">
        <v>2905</v>
      </c>
      <c r="B2363" t="s">
        <v>25</v>
      </c>
      <c r="C2363" t="s">
        <v>39</v>
      </c>
      <c r="D2363" t="s">
        <v>27</v>
      </c>
      <c r="E2363" s="1">
        <v>45843</v>
      </c>
      <c r="F2363" s="1">
        <v>45917</v>
      </c>
      <c r="G2363" s="1"/>
      <c r="H2363" t="s">
        <v>43</v>
      </c>
      <c r="I2363">
        <v>1</v>
      </c>
      <c r="J2363">
        <v>5</v>
      </c>
      <c r="K2363">
        <v>171000</v>
      </c>
      <c r="L2363">
        <v>60</v>
      </c>
      <c r="M2363" t="s">
        <v>29</v>
      </c>
      <c r="N2363" t="str">
        <f>_xlfn.XLOOKUP(B2363,tblCustomers[customer_id],tblCustomers[region],"Missing")</f>
        <v>North</v>
      </c>
      <c r="O2363" t="str">
        <f>_xlfn.XLOOKUP(C2363,tblProducts[product_id],tblProducts[product_name],"Missing")</f>
        <v>Support Desk</v>
      </c>
      <c r="P2363" t="str">
        <f>_xlfn.XLOOKUP(C2363,tblProducts[product_id],tblProducts[category],"Missing")</f>
        <v>Service</v>
      </c>
      <c r="Q2363" t="str">
        <f>_xlfn.XLOOKUP(D2363,tblSalesReps[rep_id],tblSalesReps[rep_name],"Missing")</f>
        <v>Sales Rep 06</v>
      </c>
      <c r="R2363" t="str">
        <f>_xlfn.XLOOKUP(D2363,tblSalesReps[rep_id],tblSalesReps[region],"Missing")</f>
        <v>North</v>
      </c>
    </row>
    <row r="2364" spans="1:18">
      <c r="A2364" t="s">
        <v>2906</v>
      </c>
      <c r="B2364" t="s">
        <v>572</v>
      </c>
      <c r="C2364" t="s">
        <v>39</v>
      </c>
      <c r="D2364" t="s">
        <v>46</v>
      </c>
      <c r="E2364" s="1">
        <v>45870</v>
      </c>
      <c r="F2364" s="1">
        <v>45904</v>
      </c>
      <c r="G2364" s="1"/>
      <c r="H2364" t="s">
        <v>43</v>
      </c>
      <c r="I2364">
        <v>1</v>
      </c>
      <c r="J2364">
        <v>5</v>
      </c>
      <c r="K2364">
        <v>171000</v>
      </c>
      <c r="L2364">
        <v>60</v>
      </c>
      <c r="M2364" t="s">
        <v>29</v>
      </c>
      <c r="N2364" t="str">
        <f>_xlfn.XLOOKUP(B2364,tblCustomers[customer_id],tblCustomers[region],"Missing")</f>
        <v>South</v>
      </c>
      <c r="O2364" t="str">
        <f>_xlfn.XLOOKUP(C2364,tblProducts[product_id],tblProducts[product_name],"Missing")</f>
        <v>Support Desk</v>
      </c>
      <c r="P2364" t="str">
        <f>_xlfn.XLOOKUP(C2364,tblProducts[product_id],tblProducts[category],"Missing")</f>
        <v>Service</v>
      </c>
      <c r="Q2364" t="str">
        <f>_xlfn.XLOOKUP(D2364,tblSalesReps[rep_id],tblSalesReps[rep_name],"Missing")</f>
        <v>Sales Rep 01</v>
      </c>
      <c r="R2364" t="str">
        <f>_xlfn.XLOOKUP(D2364,tblSalesReps[rep_id],tblSalesReps[region],"Missing")</f>
        <v>South</v>
      </c>
    </row>
    <row r="2365" spans="1:18">
      <c r="A2365" t="s">
        <v>2907</v>
      </c>
      <c r="B2365" t="s">
        <v>2060</v>
      </c>
      <c r="C2365" t="s">
        <v>62</v>
      </c>
      <c r="D2365" t="s">
        <v>46</v>
      </c>
      <c r="E2365" s="1">
        <v>45694</v>
      </c>
      <c r="F2365" s="1">
        <v>45740</v>
      </c>
      <c r="G2365" s="1">
        <v>45740</v>
      </c>
      <c r="H2365" t="s">
        <v>28</v>
      </c>
      <c r="I2365">
        <v>1</v>
      </c>
      <c r="J2365">
        <v>0</v>
      </c>
      <c r="K2365">
        <v>120000</v>
      </c>
      <c r="L2365">
        <v>100</v>
      </c>
      <c r="M2365" t="s">
        <v>29</v>
      </c>
      <c r="N2365" t="str">
        <f>_xlfn.XLOOKUP(B2365,tblCustomers[customer_id],tblCustomers[region],"Missing")</f>
        <v>South</v>
      </c>
      <c r="O2365" t="str">
        <f>_xlfn.XLOOKUP(C2365,tblProducts[product_id],tblProducts[product_name],"Missing")</f>
        <v>CRM Essentials</v>
      </c>
      <c r="P2365" t="str">
        <f>_xlfn.XLOOKUP(C2365,tblProducts[product_id],tblProducts[category],"Missing")</f>
        <v>CRM</v>
      </c>
      <c r="Q2365" t="str">
        <f>_xlfn.XLOOKUP(D2365,tblSalesReps[rep_id],tblSalesReps[rep_name],"Missing")</f>
        <v>Sales Rep 01</v>
      </c>
      <c r="R2365" t="str">
        <f>_xlfn.XLOOKUP(D2365,tblSalesReps[rep_id],tblSalesReps[region],"Missing")</f>
        <v>South</v>
      </c>
    </row>
    <row r="2366" spans="1:18">
      <c r="A2366" t="s">
        <v>2908</v>
      </c>
      <c r="B2366" t="s">
        <v>65</v>
      </c>
      <c r="C2366" t="s">
        <v>21</v>
      </c>
      <c r="D2366" t="s">
        <v>53</v>
      </c>
      <c r="E2366" s="1">
        <v>45885</v>
      </c>
      <c r="F2366" s="1">
        <v>45939</v>
      </c>
      <c r="G2366" s="1">
        <v>45939</v>
      </c>
      <c r="H2366" t="s">
        <v>28</v>
      </c>
      <c r="I2366">
        <v>1</v>
      </c>
      <c r="J2366">
        <v>15</v>
      </c>
      <c r="K2366">
        <v>204000</v>
      </c>
      <c r="L2366">
        <v>100</v>
      </c>
      <c r="M2366" t="s">
        <v>29</v>
      </c>
      <c r="N2366" t="str">
        <f>_xlfn.XLOOKUP(B2366,tblCustomers[customer_id],tblCustomers[region],"Missing")</f>
        <v>East</v>
      </c>
      <c r="O2366" t="str">
        <f>_xlfn.XLOOKUP(C2366,tblProducts[product_id],tblProducts[product_name],"Missing")</f>
        <v>Workflow Automate</v>
      </c>
      <c r="P2366" t="str">
        <f>_xlfn.XLOOKUP(C2366,tblProducts[product_id],tblProducts[category],"Missing")</f>
        <v>Automation</v>
      </c>
      <c r="Q2366" t="str">
        <f>_xlfn.XLOOKUP(D2366,tblSalesReps[rep_id],tblSalesReps[rep_name],"Missing")</f>
        <v>Sales Rep 16</v>
      </c>
      <c r="R2366" t="str">
        <f>_xlfn.XLOOKUP(D2366,tblSalesReps[rep_id],tblSalesReps[region],"Missing")</f>
        <v>East</v>
      </c>
    </row>
    <row r="2367" spans="1:18">
      <c r="A2367" t="s">
        <v>2909</v>
      </c>
      <c r="B2367" t="s">
        <v>703</v>
      </c>
      <c r="C2367" t="s">
        <v>39</v>
      </c>
      <c r="D2367" t="s">
        <v>70</v>
      </c>
      <c r="E2367" s="1">
        <v>45788</v>
      </c>
      <c r="F2367" s="1">
        <v>45800</v>
      </c>
      <c r="G2367" s="1">
        <v>45800</v>
      </c>
      <c r="H2367" t="s">
        <v>17</v>
      </c>
      <c r="I2367">
        <v>2</v>
      </c>
      <c r="J2367">
        <v>20</v>
      </c>
      <c r="K2367">
        <v>288000</v>
      </c>
      <c r="L2367">
        <v>0</v>
      </c>
      <c r="M2367" t="s">
        <v>82</v>
      </c>
      <c r="N2367" t="str">
        <f>_xlfn.XLOOKUP(B2367,tblCustomers[customer_id],tblCustomers[region],"Missing")</f>
        <v>West</v>
      </c>
      <c r="O2367" t="str">
        <f>_xlfn.XLOOKUP(C2367,tblProducts[product_id],tblProducts[product_name],"Missing")</f>
        <v>Support Desk</v>
      </c>
      <c r="P2367" t="str">
        <f>_xlfn.XLOOKUP(C2367,tblProducts[product_id],tblProducts[category],"Missing")</f>
        <v>Service</v>
      </c>
      <c r="Q2367" t="str">
        <f>_xlfn.XLOOKUP(D2367,tblSalesReps[rep_id],tblSalesReps[rep_name],"Missing")</f>
        <v>Sales Rep 11</v>
      </c>
      <c r="R2367" t="str">
        <f>_xlfn.XLOOKUP(D2367,tblSalesReps[rep_id],tblSalesReps[region],"Missing")</f>
        <v>West</v>
      </c>
    </row>
    <row r="2368" spans="1:18">
      <c r="A2368" t="s">
        <v>2910</v>
      </c>
      <c r="B2368" t="s">
        <v>1559</v>
      </c>
      <c r="C2368" t="s">
        <v>21</v>
      </c>
      <c r="D2368" t="s">
        <v>91</v>
      </c>
      <c r="E2368" s="1">
        <v>45795</v>
      </c>
      <c r="F2368" s="1">
        <v>45877</v>
      </c>
      <c r="G2368" s="1">
        <v>45877</v>
      </c>
      <c r="H2368" t="s">
        <v>28</v>
      </c>
      <c r="I2368">
        <v>3</v>
      </c>
      <c r="J2368">
        <v>5</v>
      </c>
      <c r="K2368">
        <v>684000</v>
      </c>
      <c r="L2368">
        <v>100</v>
      </c>
      <c r="M2368" t="s">
        <v>29</v>
      </c>
      <c r="N2368" t="str">
        <f>_xlfn.XLOOKUP(B2368,tblCustomers[customer_id],tblCustomers[region],"Missing")</f>
        <v>South</v>
      </c>
      <c r="O2368" t="str">
        <f>_xlfn.XLOOKUP(C2368,tblProducts[product_id],tblProducts[product_name],"Missing")</f>
        <v>Workflow Automate</v>
      </c>
      <c r="P2368" t="str">
        <f>_xlfn.XLOOKUP(C2368,tblProducts[product_id],tblProducts[category],"Missing")</f>
        <v>Automation</v>
      </c>
      <c r="Q2368" t="str">
        <f>_xlfn.XLOOKUP(D2368,tblSalesReps[rep_id],tblSalesReps[rep_name],"Missing")</f>
        <v>Sales Rep 03</v>
      </c>
      <c r="R2368" t="str">
        <f>_xlfn.XLOOKUP(D2368,tblSalesReps[rep_id],tblSalesReps[region],"Missing")</f>
        <v>South</v>
      </c>
    </row>
    <row r="2369" spans="1:18">
      <c r="A2369" t="s">
        <v>2911</v>
      </c>
      <c r="B2369" t="s">
        <v>1220</v>
      </c>
      <c r="C2369" t="s">
        <v>21</v>
      </c>
      <c r="D2369" t="s">
        <v>78</v>
      </c>
      <c r="E2369" s="1">
        <v>45904</v>
      </c>
      <c r="F2369" s="1">
        <v>45968</v>
      </c>
      <c r="G2369" s="1"/>
      <c r="H2369" t="s">
        <v>43</v>
      </c>
      <c r="I2369">
        <v>3</v>
      </c>
      <c r="J2369">
        <v>15</v>
      </c>
      <c r="K2369">
        <v>612000</v>
      </c>
      <c r="L2369">
        <v>20</v>
      </c>
      <c r="M2369" t="s">
        <v>29</v>
      </c>
      <c r="N2369" t="str">
        <f>_xlfn.XLOOKUP(B2369,tblCustomers[customer_id],tblCustomers[region],"Missing")</f>
        <v>West</v>
      </c>
      <c r="O2369" t="str">
        <f>_xlfn.XLOOKUP(C2369,tblProducts[product_id],tblProducts[product_name],"Missing")</f>
        <v>Workflow Automate</v>
      </c>
      <c r="P2369" t="str">
        <f>_xlfn.XLOOKUP(C2369,tblProducts[product_id],tblProducts[category],"Missing")</f>
        <v>Automation</v>
      </c>
      <c r="Q2369" t="str">
        <f>_xlfn.XLOOKUP(D2369,tblSalesReps[rep_id],tblSalesReps[rep_name],"Missing")</f>
        <v>Sales Rep 12</v>
      </c>
      <c r="R2369" t="str">
        <f>_xlfn.XLOOKUP(D2369,tblSalesReps[rep_id],tblSalesReps[region],"Missing")</f>
        <v>West</v>
      </c>
    </row>
    <row r="2370" spans="1:18">
      <c r="A2370" t="s">
        <v>2912</v>
      </c>
      <c r="B2370" t="s">
        <v>1511</v>
      </c>
      <c r="C2370" t="s">
        <v>81</v>
      </c>
      <c r="D2370" t="s">
        <v>91</v>
      </c>
      <c r="E2370" s="1">
        <v>45854</v>
      </c>
      <c r="F2370" s="1">
        <v>45939</v>
      </c>
      <c r="G2370" s="1"/>
      <c r="H2370" t="s">
        <v>43</v>
      </c>
      <c r="I2370">
        <v>2</v>
      </c>
      <c r="J2370">
        <v>0</v>
      </c>
      <c r="K2370">
        <v>600000</v>
      </c>
      <c r="L2370">
        <v>80</v>
      </c>
      <c r="M2370" t="s">
        <v>29</v>
      </c>
      <c r="N2370" t="str">
        <f>_xlfn.XLOOKUP(B2370,tblCustomers[customer_id],tblCustomers[region],"Missing")</f>
        <v>South</v>
      </c>
      <c r="O2370" t="str">
        <f>_xlfn.XLOOKUP(C2370,tblProducts[product_id],tblProducts[product_name],"Missing")</f>
        <v>Analytics Cloud</v>
      </c>
      <c r="P2370" t="str">
        <f>_xlfn.XLOOKUP(C2370,tblProducts[product_id],tblProducts[category],"Missing")</f>
        <v>Analytics</v>
      </c>
      <c r="Q2370" t="str">
        <f>_xlfn.XLOOKUP(D2370,tblSalesReps[rep_id],tblSalesReps[rep_name],"Missing")</f>
        <v>Sales Rep 03</v>
      </c>
      <c r="R2370" t="str">
        <f>_xlfn.XLOOKUP(D2370,tblSalesReps[rep_id],tblSalesReps[region],"Missing")</f>
        <v>South</v>
      </c>
    </row>
    <row r="2371" spans="1:18">
      <c r="A2371" t="s">
        <v>2913</v>
      </c>
      <c r="B2371" t="s">
        <v>356</v>
      </c>
      <c r="C2371" t="s">
        <v>39</v>
      </c>
      <c r="D2371" t="s">
        <v>36</v>
      </c>
      <c r="E2371" s="1">
        <v>45686</v>
      </c>
      <c r="F2371" s="1">
        <v>45737</v>
      </c>
      <c r="G2371" s="1"/>
      <c r="H2371" t="s">
        <v>43</v>
      </c>
      <c r="I2371">
        <v>1</v>
      </c>
      <c r="J2371">
        <v>5</v>
      </c>
      <c r="K2371">
        <v>171000</v>
      </c>
      <c r="L2371">
        <v>60</v>
      </c>
      <c r="M2371" t="s">
        <v>29</v>
      </c>
      <c r="N2371" t="str">
        <f>_xlfn.XLOOKUP(B2371,tblCustomers[customer_id],tblCustomers[region],"Missing")</f>
        <v>North</v>
      </c>
      <c r="O2371" t="str">
        <f>_xlfn.XLOOKUP(C2371,tblProducts[product_id],tblProducts[product_name],"Missing")</f>
        <v>Support Desk</v>
      </c>
      <c r="P2371" t="str">
        <f>_xlfn.XLOOKUP(C2371,tblProducts[product_id],tblProducts[category],"Missing")</f>
        <v>Service</v>
      </c>
      <c r="Q2371" t="str">
        <f>_xlfn.XLOOKUP(D2371,tblSalesReps[rep_id],tblSalesReps[rep_name],"Missing")</f>
        <v>Sales Rep 09</v>
      </c>
      <c r="R2371" t="str">
        <f>_xlfn.XLOOKUP(D2371,tblSalesReps[rep_id],tblSalesReps[region],"Missing")</f>
        <v>North</v>
      </c>
    </row>
    <row r="2372" spans="1:18">
      <c r="A2372" t="s">
        <v>2914</v>
      </c>
      <c r="B2372" t="s">
        <v>147</v>
      </c>
      <c r="C2372" t="s">
        <v>21</v>
      </c>
      <c r="D2372" t="s">
        <v>75</v>
      </c>
      <c r="E2372" s="1">
        <v>45911</v>
      </c>
      <c r="F2372" s="1">
        <v>45967</v>
      </c>
      <c r="G2372" s="1"/>
      <c r="H2372" t="s">
        <v>43</v>
      </c>
      <c r="I2372">
        <v>3</v>
      </c>
      <c r="J2372">
        <v>5</v>
      </c>
      <c r="K2372">
        <v>684000</v>
      </c>
      <c r="L2372">
        <v>40</v>
      </c>
      <c r="M2372" t="s">
        <v>29</v>
      </c>
      <c r="N2372" t="str">
        <f>_xlfn.XLOOKUP(B2372,tblCustomers[customer_id],tblCustomers[region],"Missing")</f>
        <v>North</v>
      </c>
      <c r="O2372" t="str">
        <f>_xlfn.XLOOKUP(C2372,tblProducts[product_id],tblProducts[product_name],"Missing")</f>
        <v>Workflow Automate</v>
      </c>
      <c r="P2372" t="str">
        <f>_xlfn.XLOOKUP(C2372,tblProducts[product_id],tblProducts[category],"Missing")</f>
        <v>Automation</v>
      </c>
      <c r="Q2372" t="str">
        <f>_xlfn.XLOOKUP(D2372,tblSalesReps[rep_id],tblSalesReps[rep_name],"Missing")</f>
        <v>Sales Rep 07</v>
      </c>
      <c r="R2372" t="str">
        <f>_xlfn.XLOOKUP(D2372,tblSalesReps[rep_id],tblSalesReps[region],"Missing")</f>
        <v>North</v>
      </c>
    </row>
    <row r="2373" spans="1:18">
      <c r="A2373" t="s">
        <v>2915</v>
      </c>
      <c r="B2373" t="s">
        <v>505</v>
      </c>
      <c r="C2373" t="s">
        <v>15</v>
      </c>
      <c r="D2373" t="s">
        <v>53</v>
      </c>
      <c r="E2373" s="1">
        <v>45697</v>
      </c>
      <c r="F2373" s="1">
        <v>45748</v>
      </c>
      <c r="G2373" s="1">
        <v>45748</v>
      </c>
      <c r="H2373" t="s">
        <v>17</v>
      </c>
      <c r="I2373">
        <v>1</v>
      </c>
      <c r="J2373">
        <v>10</v>
      </c>
      <c r="K2373">
        <v>378000</v>
      </c>
      <c r="L2373">
        <v>0</v>
      </c>
      <c r="M2373" t="s">
        <v>33</v>
      </c>
      <c r="N2373" t="str">
        <f>_xlfn.XLOOKUP(B2373,tblCustomers[customer_id],tblCustomers[region],"Missing")</f>
        <v>East</v>
      </c>
      <c r="O2373" t="str">
        <f>_xlfn.XLOOKUP(C2373,tblProducts[product_id],tblProducts[product_name],"Missing")</f>
        <v>CRM Enterprise</v>
      </c>
      <c r="P2373" t="str">
        <f>_xlfn.XLOOKUP(C2373,tblProducts[product_id],tblProducts[category],"Missing")</f>
        <v>CRM</v>
      </c>
      <c r="Q2373" t="str">
        <f>_xlfn.XLOOKUP(D2373,tblSalesReps[rep_id],tblSalesReps[rep_name],"Missing")</f>
        <v>Sales Rep 16</v>
      </c>
      <c r="R2373" t="str">
        <f>_xlfn.XLOOKUP(D2373,tblSalesReps[rep_id],tblSalesReps[region],"Missing")</f>
        <v>East</v>
      </c>
    </row>
    <row r="2374" spans="1:18">
      <c r="A2374" t="s">
        <v>2916</v>
      </c>
      <c r="B2374" t="s">
        <v>1496</v>
      </c>
      <c r="C2374" t="s">
        <v>62</v>
      </c>
      <c r="D2374" t="s">
        <v>63</v>
      </c>
      <c r="E2374" s="1">
        <v>46019</v>
      </c>
      <c r="F2374" s="1">
        <v>46060</v>
      </c>
      <c r="G2374" s="1"/>
      <c r="H2374" t="s">
        <v>43</v>
      </c>
      <c r="I2374">
        <v>1</v>
      </c>
      <c r="J2374">
        <v>20</v>
      </c>
      <c r="K2374">
        <v>96000</v>
      </c>
      <c r="L2374">
        <v>80</v>
      </c>
      <c r="M2374" t="s">
        <v>29</v>
      </c>
      <c r="N2374" t="str">
        <f>_xlfn.XLOOKUP(B2374,tblCustomers[customer_id],tblCustomers[region],"Missing")</f>
        <v>South</v>
      </c>
      <c r="O2374" t="str">
        <f>_xlfn.XLOOKUP(C2374,tblProducts[product_id],tblProducts[product_name],"Missing")</f>
        <v>CRM Essentials</v>
      </c>
      <c r="P2374" t="str">
        <f>_xlfn.XLOOKUP(C2374,tblProducts[product_id],tblProducts[category],"Missing")</f>
        <v>CRM</v>
      </c>
      <c r="Q2374" t="str">
        <f>_xlfn.XLOOKUP(D2374,tblSalesReps[rep_id],tblSalesReps[rep_name],"Missing")</f>
        <v>Sales Rep 05</v>
      </c>
      <c r="R2374" t="str">
        <f>_xlfn.XLOOKUP(D2374,tblSalesReps[rep_id],tblSalesReps[region],"Missing")</f>
        <v>South</v>
      </c>
    </row>
    <row r="2375" spans="1:18">
      <c r="A2375" t="s">
        <v>2917</v>
      </c>
      <c r="B2375" t="s">
        <v>104</v>
      </c>
      <c r="C2375" t="s">
        <v>26</v>
      </c>
      <c r="D2375" t="s">
        <v>70</v>
      </c>
      <c r="E2375" s="1">
        <v>45839</v>
      </c>
      <c r="F2375" s="1">
        <v>45875</v>
      </c>
      <c r="G2375" s="1">
        <v>45875</v>
      </c>
      <c r="H2375" t="s">
        <v>17</v>
      </c>
      <c r="I2375">
        <v>2</v>
      </c>
      <c r="J2375">
        <v>20</v>
      </c>
      <c r="K2375">
        <v>576000</v>
      </c>
      <c r="L2375">
        <v>0</v>
      </c>
      <c r="M2375" t="s">
        <v>23</v>
      </c>
      <c r="N2375" t="str">
        <f>_xlfn.XLOOKUP(B2375,tblCustomers[customer_id],tblCustomers[region],"Missing")</f>
        <v>West</v>
      </c>
      <c r="O2375" t="str">
        <f>_xlfn.XLOOKUP(C2375,tblProducts[product_id],tblProducts[product_name],"Missing")</f>
        <v>Security Suite</v>
      </c>
      <c r="P2375" t="str">
        <f>_xlfn.XLOOKUP(C2375,tblProducts[product_id],tblProducts[category],"Missing")</f>
        <v>Security</v>
      </c>
      <c r="Q2375" t="str">
        <f>_xlfn.XLOOKUP(D2375,tblSalesReps[rep_id],tblSalesReps[rep_name],"Missing")</f>
        <v>Sales Rep 11</v>
      </c>
      <c r="R2375" t="str">
        <f>_xlfn.XLOOKUP(D2375,tblSalesReps[rep_id],tblSalesReps[region],"Missing")</f>
        <v>West</v>
      </c>
    </row>
    <row r="2376" spans="1:18">
      <c r="A2376" t="s">
        <v>2918</v>
      </c>
      <c r="B2376" t="s">
        <v>828</v>
      </c>
      <c r="C2376" t="s">
        <v>15</v>
      </c>
      <c r="D2376" t="s">
        <v>70</v>
      </c>
      <c r="E2376" s="1">
        <v>45902</v>
      </c>
      <c r="F2376" s="1">
        <v>45922</v>
      </c>
      <c r="G2376" s="1">
        <v>45922</v>
      </c>
      <c r="H2376" t="s">
        <v>17</v>
      </c>
      <c r="I2376">
        <v>1</v>
      </c>
      <c r="J2376">
        <v>10</v>
      </c>
      <c r="K2376">
        <v>378000</v>
      </c>
      <c r="L2376">
        <v>0</v>
      </c>
      <c r="M2376" t="s">
        <v>82</v>
      </c>
      <c r="N2376" t="str">
        <f>_xlfn.XLOOKUP(B2376,tblCustomers[customer_id],tblCustomers[region],"Missing")</f>
        <v>West</v>
      </c>
      <c r="O2376" t="str">
        <f>_xlfn.XLOOKUP(C2376,tblProducts[product_id],tblProducts[product_name],"Missing")</f>
        <v>CRM Enterprise</v>
      </c>
      <c r="P2376" t="str">
        <f>_xlfn.XLOOKUP(C2376,tblProducts[product_id],tblProducts[category],"Missing")</f>
        <v>CRM</v>
      </c>
      <c r="Q2376" t="str">
        <f>_xlfn.XLOOKUP(D2376,tblSalesReps[rep_id],tblSalesReps[rep_name],"Missing")</f>
        <v>Sales Rep 11</v>
      </c>
      <c r="R2376" t="str">
        <f>_xlfn.XLOOKUP(D2376,tblSalesReps[rep_id],tblSalesReps[region],"Missing")</f>
        <v>West</v>
      </c>
    </row>
    <row r="2377" spans="1:18">
      <c r="A2377" t="s">
        <v>2919</v>
      </c>
      <c r="B2377" t="s">
        <v>371</v>
      </c>
      <c r="C2377" t="s">
        <v>62</v>
      </c>
      <c r="D2377" t="s">
        <v>46</v>
      </c>
      <c r="E2377" s="1">
        <v>45752</v>
      </c>
      <c r="F2377" s="1">
        <v>45806</v>
      </c>
      <c r="G2377" s="1">
        <v>45806</v>
      </c>
      <c r="H2377" t="s">
        <v>17</v>
      </c>
      <c r="I2377">
        <v>1</v>
      </c>
      <c r="J2377">
        <v>15</v>
      </c>
      <c r="K2377">
        <v>102000</v>
      </c>
      <c r="L2377">
        <v>0</v>
      </c>
      <c r="M2377" t="s">
        <v>18</v>
      </c>
      <c r="N2377" t="str">
        <f>_xlfn.XLOOKUP(B2377,tblCustomers[customer_id],tblCustomers[region],"Missing")</f>
        <v>South</v>
      </c>
      <c r="O2377" t="str">
        <f>_xlfn.XLOOKUP(C2377,tblProducts[product_id],tblProducts[product_name],"Missing")</f>
        <v>CRM Essentials</v>
      </c>
      <c r="P2377" t="str">
        <f>_xlfn.XLOOKUP(C2377,tblProducts[product_id],tblProducts[category],"Missing")</f>
        <v>CRM</v>
      </c>
      <c r="Q2377" t="str">
        <f>_xlfn.XLOOKUP(D2377,tblSalesReps[rep_id],tblSalesReps[rep_name],"Missing")</f>
        <v>Sales Rep 01</v>
      </c>
      <c r="R2377" t="str">
        <f>_xlfn.XLOOKUP(D2377,tblSalesReps[rep_id],tblSalesReps[region],"Missing")</f>
        <v>South</v>
      </c>
    </row>
    <row r="2378" spans="1:18">
      <c r="A2378" t="s">
        <v>2920</v>
      </c>
      <c r="B2378" t="s">
        <v>1760</v>
      </c>
      <c r="C2378" t="s">
        <v>21</v>
      </c>
      <c r="D2378" t="s">
        <v>53</v>
      </c>
      <c r="E2378" s="1">
        <v>45688</v>
      </c>
      <c r="F2378" s="1">
        <v>45750</v>
      </c>
      <c r="G2378" s="1">
        <v>45750</v>
      </c>
      <c r="H2378" t="s">
        <v>28</v>
      </c>
      <c r="I2378">
        <v>3</v>
      </c>
      <c r="J2378">
        <v>10</v>
      </c>
      <c r="K2378">
        <v>648000</v>
      </c>
      <c r="L2378">
        <v>100</v>
      </c>
      <c r="M2378" t="s">
        <v>29</v>
      </c>
      <c r="N2378" t="str">
        <f>_xlfn.XLOOKUP(B2378,tblCustomers[customer_id],tblCustomers[region],"Missing")</f>
        <v>East</v>
      </c>
      <c r="O2378" t="str">
        <f>_xlfn.XLOOKUP(C2378,tblProducts[product_id],tblProducts[product_name],"Missing")</f>
        <v>Workflow Automate</v>
      </c>
      <c r="P2378" t="str">
        <f>_xlfn.XLOOKUP(C2378,tblProducts[product_id],tblProducts[category],"Missing")</f>
        <v>Automation</v>
      </c>
      <c r="Q2378" t="str">
        <f>_xlfn.XLOOKUP(D2378,tblSalesReps[rep_id],tblSalesReps[rep_name],"Missing")</f>
        <v>Sales Rep 16</v>
      </c>
      <c r="R2378" t="str">
        <f>_xlfn.XLOOKUP(D2378,tblSalesReps[rep_id],tblSalesReps[region],"Missing")</f>
        <v>East</v>
      </c>
    </row>
    <row r="2379" spans="1:18">
      <c r="A2379" t="s">
        <v>2921</v>
      </c>
      <c r="B2379" t="s">
        <v>1983</v>
      </c>
      <c r="C2379" t="s">
        <v>26</v>
      </c>
      <c r="D2379" t="s">
        <v>59</v>
      </c>
      <c r="E2379" s="1">
        <v>45983</v>
      </c>
      <c r="F2379" s="1">
        <v>46043</v>
      </c>
      <c r="G2379" s="1"/>
      <c r="H2379" t="s">
        <v>43</v>
      </c>
      <c r="I2379">
        <v>1</v>
      </c>
      <c r="J2379">
        <v>15</v>
      </c>
      <c r="K2379">
        <v>306000</v>
      </c>
      <c r="L2379">
        <v>60</v>
      </c>
      <c r="M2379" t="s">
        <v>29</v>
      </c>
      <c r="N2379" t="str">
        <f>_xlfn.XLOOKUP(B2379,tblCustomers[customer_id],tblCustomers[region],"Missing")</f>
        <v>East</v>
      </c>
      <c r="O2379" t="str">
        <f>_xlfn.XLOOKUP(C2379,tblProducts[product_id],tblProducts[product_name],"Missing")</f>
        <v>Security Suite</v>
      </c>
      <c r="P2379" t="str">
        <f>_xlfn.XLOOKUP(C2379,tblProducts[product_id],tblProducts[category],"Missing")</f>
        <v>Security</v>
      </c>
      <c r="Q2379" t="str">
        <f>_xlfn.XLOOKUP(D2379,tblSalesReps[rep_id],tblSalesReps[rep_name],"Missing")</f>
        <v>Sales Rep 19</v>
      </c>
      <c r="R2379" t="str">
        <f>_xlfn.XLOOKUP(D2379,tblSalesReps[rep_id],tblSalesReps[region],"Missing")</f>
        <v>East</v>
      </c>
    </row>
    <row r="2380" spans="1:18">
      <c r="A2380" t="s">
        <v>2922</v>
      </c>
      <c r="B2380" t="s">
        <v>371</v>
      </c>
      <c r="C2380" t="s">
        <v>81</v>
      </c>
      <c r="D2380" t="s">
        <v>63</v>
      </c>
      <c r="E2380" s="1">
        <v>45693</v>
      </c>
      <c r="F2380" s="1">
        <v>45753</v>
      </c>
      <c r="G2380" s="1">
        <v>45753</v>
      </c>
      <c r="H2380" t="s">
        <v>17</v>
      </c>
      <c r="I2380">
        <v>1</v>
      </c>
      <c r="J2380">
        <v>20</v>
      </c>
      <c r="K2380">
        <v>240000</v>
      </c>
      <c r="L2380">
        <v>0</v>
      </c>
      <c r="M2380" t="s">
        <v>23</v>
      </c>
      <c r="N2380" t="str">
        <f>_xlfn.XLOOKUP(B2380,tblCustomers[customer_id],tblCustomers[region],"Missing")</f>
        <v>South</v>
      </c>
      <c r="O2380" t="str">
        <f>_xlfn.XLOOKUP(C2380,tblProducts[product_id],tblProducts[product_name],"Missing")</f>
        <v>Analytics Cloud</v>
      </c>
      <c r="P2380" t="str">
        <f>_xlfn.XLOOKUP(C2380,tblProducts[product_id],tblProducts[category],"Missing")</f>
        <v>Analytics</v>
      </c>
      <c r="Q2380" t="str">
        <f>_xlfn.XLOOKUP(D2380,tblSalesReps[rep_id],tblSalesReps[rep_name],"Missing")</f>
        <v>Sales Rep 05</v>
      </c>
      <c r="R2380" t="str">
        <f>_xlfn.XLOOKUP(D2380,tblSalesReps[rep_id],tblSalesReps[region],"Missing")</f>
        <v>South</v>
      </c>
    </row>
    <row r="2381" spans="1:18">
      <c r="A2381" t="s">
        <v>2923</v>
      </c>
      <c r="B2381" t="s">
        <v>65</v>
      </c>
      <c r="C2381" t="s">
        <v>21</v>
      </c>
      <c r="D2381" t="s">
        <v>56</v>
      </c>
      <c r="E2381" s="1">
        <v>45688</v>
      </c>
      <c r="F2381" s="1">
        <v>45710</v>
      </c>
      <c r="G2381" s="1">
        <v>45710</v>
      </c>
      <c r="H2381" t="s">
        <v>28</v>
      </c>
      <c r="I2381">
        <v>2</v>
      </c>
      <c r="J2381">
        <v>20</v>
      </c>
      <c r="K2381">
        <v>384000</v>
      </c>
      <c r="L2381">
        <v>100</v>
      </c>
      <c r="M2381" t="s">
        <v>29</v>
      </c>
      <c r="N2381" t="str">
        <f>_xlfn.XLOOKUP(B2381,tblCustomers[customer_id],tblCustomers[region],"Missing")</f>
        <v>East</v>
      </c>
      <c r="O2381" t="str">
        <f>_xlfn.XLOOKUP(C2381,tblProducts[product_id],tblProducts[product_name],"Missing")</f>
        <v>Workflow Automate</v>
      </c>
      <c r="P2381" t="str">
        <f>_xlfn.XLOOKUP(C2381,tblProducts[product_id],tblProducts[category],"Missing")</f>
        <v>Automation</v>
      </c>
      <c r="Q2381" t="str">
        <f>_xlfn.XLOOKUP(D2381,tblSalesReps[rep_id],tblSalesReps[rep_name],"Missing")</f>
        <v>Sales Rep 20</v>
      </c>
      <c r="R2381" t="str">
        <f>_xlfn.XLOOKUP(D2381,tblSalesReps[rep_id],tblSalesReps[region],"Missing")</f>
        <v>East</v>
      </c>
    </row>
    <row r="2382" spans="1:18">
      <c r="A2382" t="s">
        <v>2924</v>
      </c>
      <c r="B2382" t="s">
        <v>93</v>
      </c>
      <c r="C2382" t="s">
        <v>39</v>
      </c>
      <c r="D2382" t="s">
        <v>59</v>
      </c>
      <c r="E2382" s="1">
        <v>45796</v>
      </c>
      <c r="F2382" s="1">
        <v>45811</v>
      </c>
      <c r="G2382" s="1">
        <v>45811</v>
      </c>
      <c r="H2382" t="s">
        <v>17</v>
      </c>
      <c r="I2382">
        <v>1</v>
      </c>
      <c r="J2382">
        <v>5</v>
      </c>
      <c r="K2382">
        <v>171000</v>
      </c>
      <c r="L2382">
        <v>0</v>
      </c>
      <c r="M2382" t="s">
        <v>23</v>
      </c>
      <c r="N2382" t="str">
        <f>_xlfn.XLOOKUP(B2382,tblCustomers[customer_id],tblCustomers[region],"Missing")</f>
        <v>East</v>
      </c>
      <c r="O2382" t="str">
        <f>_xlfn.XLOOKUP(C2382,tblProducts[product_id],tblProducts[product_name],"Missing")</f>
        <v>Support Desk</v>
      </c>
      <c r="P2382" t="str">
        <f>_xlfn.XLOOKUP(C2382,tblProducts[product_id],tblProducts[category],"Missing")</f>
        <v>Service</v>
      </c>
      <c r="Q2382" t="str">
        <f>_xlfn.XLOOKUP(D2382,tblSalesReps[rep_id],tblSalesReps[rep_name],"Missing")</f>
        <v>Sales Rep 19</v>
      </c>
      <c r="R2382" t="str">
        <f>_xlfn.XLOOKUP(D2382,tblSalesReps[rep_id],tblSalesReps[region],"Missing")</f>
        <v>East</v>
      </c>
    </row>
    <row r="2383" spans="1:18">
      <c r="A2383" t="s">
        <v>2925</v>
      </c>
      <c r="B2383" t="s">
        <v>529</v>
      </c>
      <c r="C2383" t="s">
        <v>15</v>
      </c>
      <c r="D2383" t="s">
        <v>32</v>
      </c>
      <c r="E2383" s="1">
        <v>45787</v>
      </c>
      <c r="F2383" s="1">
        <v>45817</v>
      </c>
      <c r="G2383" s="1"/>
      <c r="H2383" t="s">
        <v>43</v>
      </c>
      <c r="I2383">
        <v>1</v>
      </c>
      <c r="J2383">
        <v>0</v>
      </c>
      <c r="K2383">
        <v>420000</v>
      </c>
      <c r="L2383">
        <v>20</v>
      </c>
      <c r="M2383" t="s">
        <v>29</v>
      </c>
      <c r="N2383" t="str">
        <f>_xlfn.XLOOKUP(B2383,tblCustomers[customer_id],tblCustomers[region],"Missing")</f>
        <v>South</v>
      </c>
      <c r="O2383" t="str">
        <f>_xlfn.XLOOKUP(C2383,tblProducts[product_id],tblProducts[product_name],"Missing")</f>
        <v>CRM Enterprise</v>
      </c>
      <c r="P2383" t="str">
        <f>_xlfn.XLOOKUP(C2383,tblProducts[product_id],tblProducts[category],"Missing")</f>
        <v>CRM</v>
      </c>
      <c r="Q2383" t="str">
        <f>_xlfn.XLOOKUP(D2383,tblSalesReps[rep_id],tblSalesReps[rep_name],"Missing")</f>
        <v>Sales Rep 04</v>
      </c>
      <c r="R2383" t="str">
        <f>_xlfn.XLOOKUP(D2383,tblSalesReps[rep_id],tblSalesReps[region],"Missing")</f>
        <v>South</v>
      </c>
    </row>
    <row r="2384" spans="1:18">
      <c r="A2384" t="s">
        <v>2926</v>
      </c>
      <c r="B2384" t="s">
        <v>713</v>
      </c>
      <c r="C2384" t="s">
        <v>26</v>
      </c>
      <c r="D2384" t="s">
        <v>53</v>
      </c>
      <c r="E2384" s="1">
        <v>45691</v>
      </c>
      <c r="F2384" s="1">
        <v>45746</v>
      </c>
      <c r="G2384" s="1"/>
      <c r="H2384" t="s">
        <v>43</v>
      </c>
      <c r="I2384">
        <v>2</v>
      </c>
      <c r="J2384">
        <v>20</v>
      </c>
      <c r="K2384">
        <v>576000</v>
      </c>
      <c r="L2384">
        <v>20</v>
      </c>
      <c r="M2384" t="s">
        <v>29</v>
      </c>
      <c r="N2384" t="str">
        <f>_xlfn.XLOOKUP(B2384,tblCustomers[customer_id],tblCustomers[region],"Missing")</f>
        <v>East</v>
      </c>
      <c r="O2384" t="str">
        <f>_xlfn.XLOOKUP(C2384,tblProducts[product_id],tblProducts[product_name],"Missing")</f>
        <v>Security Suite</v>
      </c>
      <c r="P2384" t="str">
        <f>_xlfn.XLOOKUP(C2384,tblProducts[product_id],tblProducts[category],"Missing")</f>
        <v>Security</v>
      </c>
      <c r="Q2384" t="str">
        <f>_xlfn.XLOOKUP(D2384,tblSalesReps[rep_id],tblSalesReps[rep_name],"Missing")</f>
        <v>Sales Rep 16</v>
      </c>
      <c r="R2384" t="str">
        <f>_xlfn.XLOOKUP(D2384,tblSalesReps[rep_id],tblSalesReps[region],"Missing")</f>
        <v>East</v>
      </c>
    </row>
    <row r="2385" spans="1:18">
      <c r="A2385" t="s">
        <v>2927</v>
      </c>
      <c r="B2385" t="s">
        <v>133</v>
      </c>
      <c r="C2385" t="s">
        <v>81</v>
      </c>
      <c r="D2385" t="s">
        <v>70</v>
      </c>
      <c r="E2385" s="1">
        <v>45873</v>
      </c>
      <c r="F2385" s="1">
        <v>45887</v>
      </c>
      <c r="G2385" s="1"/>
      <c r="H2385" t="s">
        <v>43</v>
      </c>
      <c r="I2385">
        <v>3</v>
      </c>
      <c r="J2385">
        <v>10</v>
      </c>
      <c r="K2385">
        <v>810000</v>
      </c>
      <c r="L2385">
        <v>40</v>
      </c>
      <c r="M2385" t="s">
        <v>29</v>
      </c>
      <c r="N2385" t="str">
        <f>_xlfn.XLOOKUP(B2385,tblCustomers[customer_id],tblCustomers[region],"Missing")</f>
        <v>West</v>
      </c>
      <c r="O2385" t="str">
        <f>_xlfn.XLOOKUP(C2385,tblProducts[product_id],tblProducts[product_name],"Missing")</f>
        <v>Analytics Cloud</v>
      </c>
      <c r="P2385" t="str">
        <f>_xlfn.XLOOKUP(C2385,tblProducts[product_id],tblProducts[category],"Missing")</f>
        <v>Analytics</v>
      </c>
      <c r="Q2385" t="str">
        <f>_xlfn.XLOOKUP(D2385,tblSalesReps[rep_id],tblSalesReps[rep_name],"Missing")</f>
        <v>Sales Rep 11</v>
      </c>
      <c r="R2385" t="str">
        <f>_xlfn.XLOOKUP(D2385,tblSalesReps[rep_id],tblSalesReps[region],"Missing")</f>
        <v>West</v>
      </c>
    </row>
    <row r="2386" spans="1:18">
      <c r="A2386" t="s">
        <v>2928</v>
      </c>
      <c r="B2386" t="s">
        <v>139</v>
      </c>
      <c r="C2386" t="s">
        <v>62</v>
      </c>
      <c r="D2386" t="s">
        <v>78</v>
      </c>
      <c r="E2386" s="1">
        <v>45718</v>
      </c>
      <c r="F2386" s="1">
        <v>45803</v>
      </c>
      <c r="G2386" s="1"/>
      <c r="H2386" t="s">
        <v>43</v>
      </c>
      <c r="I2386">
        <v>1</v>
      </c>
      <c r="J2386">
        <v>10</v>
      </c>
      <c r="K2386">
        <v>108000</v>
      </c>
      <c r="L2386">
        <v>20</v>
      </c>
      <c r="M2386" t="s">
        <v>29</v>
      </c>
      <c r="N2386" t="str">
        <f>_xlfn.XLOOKUP(B2386,tblCustomers[customer_id],tblCustomers[region],"Missing")</f>
        <v>West</v>
      </c>
      <c r="O2386" t="str">
        <f>_xlfn.XLOOKUP(C2386,tblProducts[product_id],tblProducts[product_name],"Missing")</f>
        <v>CRM Essentials</v>
      </c>
      <c r="P2386" t="str">
        <f>_xlfn.XLOOKUP(C2386,tblProducts[product_id],tblProducts[category],"Missing")</f>
        <v>CRM</v>
      </c>
      <c r="Q2386" t="str">
        <f>_xlfn.XLOOKUP(D2386,tblSalesReps[rep_id],tblSalesReps[rep_name],"Missing")</f>
        <v>Sales Rep 12</v>
      </c>
      <c r="R2386" t="str">
        <f>_xlfn.XLOOKUP(D2386,tblSalesReps[rep_id],tblSalesReps[region],"Missing")</f>
        <v>West</v>
      </c>
    </row>
    <row r="2387" spans="1:18">
      <c r="A2387" t="s">
        <v>2929</v>
      </c>
      <c r="B2387" t="s">
        <v>811</v>
      </c>
      <c r="C2387" t="s">
        <v>81</v>
      </c>
      <c r="D2387" t="s">
        <v>63</v>
      </c>
      <c r="E2387" s="1">
        <v>45682</v>
      </c>
      <c r="F2387" s="1">
        <v>45728</v>
      </c>
      <c r="G2387" s="1">
        <v>45728</v>
      </c>
      <c r="H2387" t="s">
        <v>28</v>
      </c>
      <c r="I2387">
        <v>1</v>
      </c>
      <c r="J2387">
        <v>20</v>
      </c>
      <c r="K2387">
        <v>240000</v>
      </c>
      <c r="L2387">
        <v>100</v>
      </c>
      <c r="M2387" t="s">
        <v>29</v>
      </c>
      <c r="N2387" t="str">
        <f>_xlfn.XLOOKUP(B2387,tblCustomers[customer_id],tblCustomers[region],"Missing")</f>
        <v>South</v>
      </c>
      <c r="O2387" t="str">
        <f>_xlfn.XLOOKUP(C2387,tblProducts[product_id],tblProducts[product_name],"Missing")</f>
        <v>Analytics Cloud</v>
      </c>
      <c r="P2387" t="str">
        <f>_xlfn.XLOOKUP(C2387,tblProducts[product_id],tblProducts[category],"Missing")</f>
        <v>Analytics</v>
      </c>
      <c r="Q2387" t="str">
        <f>_xlfn.XLOOKUP(D2387,tblSalesReps[rep_id],tblSalesReps[rep_name],"Missing")</f>
        <v>Sales Rep 05</v>
      </c>
      <c r="R2387" t="str">
        <f>_xlfn.XLOOKUP(D2387,tblSalesReps[rep_id],tblSalesReps[region],"Missing")</f>
        <v>South</v>
      </c>
    </row>
    <row r="2388" spans="1:18">
      <c r="A2388" t="s">
        <v>2930</v>
      </c>
      <c r="B2388" t="s">
        <v>1824</v>
      </c>
      <c r="C2388" t="s">
        <v>15</v>
      </c>
      <c r="D2388" t="s">
        <v>50</v>
      </c>
      <c r="E2388" s="1">
        <v>45788</v>
      </c>
      <c r="F2388" s="1">
        <v>45858</v>
      </c>
      <c r="G2388" s="1"/>
      <c r="H2388" t="s">
        <v>43</v>
      </c>
      <c r="I2388">
        <v>3</v>
      </c>
      <c r="J2388">
        <v>20</v>
      </c>
      <c r="K2388">
        <v>1008000</v>
      </c>
      <c r="L2388">
        <v>20</v>
      </c>
      <c r="M2388" t="s">
        <v>29</v>
      </c>
      <c r="N2388" t="str">
        <f>_xlfn.XLOOKUP(B2388,tblCustomers[customer_id],tblCustomers[region],"Missing")</f>
        <v>West</v>
      </c>
      <c r="O2388" t="str">
        <f>_xlfn.XLOOKUP(C2388,tblProducts[product_id],tblProducts[product_name],"Missing")</f>
        <v>CRM Enterprise</v>
      </c>
      <c r="P2388" t="str">
        <f>_xlfn.XLOOKUP(C2388,tblProducts[product_id],tblProducts[category],"Missing")</f>
        <v>CRM</v>
      </c>
      <c r="Q2388" t="str">
        <f>_xlfn.XLOOKUP(D2388,tblSalesReps[rep_id],tblSalesReps[rep_name],"Missing")</f>
        <v>Sales Rep 15</v>
      </c>
      <c r="R2388" t="str">
        <f>_xlfn.XLOOKUP(D2388,tblSalesReps[rep_id],tblSalesReps[region],"Missing")</f>
        <v>West</v>
      </c>
    </row>
    <row r="2389" spans="1:18">
      <c r="A2389" t="s">
        <v>2931</v>
      </c>
      <c r="B2389" t="s">
        <v>544</v>
      </c>
      <c r="C2389" t="s">
        <v>81</v>
      </c>
      <c r="D2389" t="s">
        <v>70</v>
      </c>
      <c r="E2389" s="1">
        <v>45985</v>
      </c>
      <c r="F2389" s="1">
        <v>46058</v>
      </c>
      <c r="G2389" s="1"/>
      <c r="H2389" t="s">
        <v>43</v>
      </c>
      <c r="I2389">
        <v>1</v>
      </c>
      <c r="J2389">
        <v>10</v>
      </c>
      <c r="K2389">
        <v>270000</v>
      </c>
      <c r="L2389">
        <v>60</v>
      </c>
      <c r="M2389" t="s">
        <v>29</v>
      </c>
      <c r="N2389" t="str">
        <f>_xlfn.XLOOKUP(B2389,tblCustomers[customer_id],tblCustomers[region],"Missing")</f>
        <v>West</v>
      </c>
      <c r="O2389" t="str">
        <f>_xlfn.XLOOKUP(C2389,tblProducts[product_id],tblProducts[product_name],"Missing")</f>
        <v>Analytics Cloud</v>
      </c>
      <c r="P2389" t="str">
        <f>_xlfn.XLOOKUP(C2389,tblProducts[product_id],tblProducts[category],"Missing")</f>
        <v>Analytics</v>
      </c>
      <c r="Q2389" t="str">
        <f>_xlfn.XLOOKUP(D2389,tblSalesReps[rep_id],tblSalesReps[rep_name],"Missing")</f>
        <v>Sales Rep 11</v>
      </c>
      <c r="R2389" t="str">
        <f>_xlfn.XLOOKUP(D2389,tblSalesReps[rep_id],tblSalesReps[region],"Missing")</f>
        <v>West</v>
      </c>
    </row>
    <row r="2390" spans="1:18">
      <c r="A2390" t="s">
        <v>2932</v>
      </c>
      <c r="B2390" t="s">
        <v>880</v>
      </c>
      <c r="C2390" t="s">
        <v>81</v>
      </c>
      <c r="D2390" t="s">
        <v>78</v>
      </c>
      <c r="E2390" s="1">
        <v>45969</v>
      </c>
      <c r="F2390" s="1">
        <v>45976</v>
      </c>
      <c r="G2390" s="1">
        <v>45976</v>
      </c>
      <c r="H2390" t="s">
        <v>28</v>
      </c>
      <c r="I2390">
        <v>2</v>
      </c>
      <c r="J2390">
        <v>15</v>
      </c>
      <c r="K2390">
        <v>510000</v>
      </c>
      <c r="L2390">
        <v>100</v>
      </c>
      <c r="M2390" t="s">
        <v>29</v>
      </c>
      <c r="N2390" t="str">
        <f>_xlfn.XLOOKUP(B2390,tblCustomers[customer_id],tblCustomers[region],"Missing")</f>
        <v>West</v>
      </c>
      <c r="O2390" t="str">
        <f>_xlfn.XLOOKUP(C2390,tblProducts[product_id],tblProducts[product_name],"Missing")</f>
        <v>Analytics Cloud</v>
      </c>
      <c r="P2390" t="str">
        <f>_xlfn.XLOOKUP(C2390,tblProducts[product_id],tblProducts[category],"Missing")</f>
        <v>Analytics</v>
      </c>
      <c r="Q2390" t="str">
        <f>_xlfn.XLOOKUP(D2390,tblSalesReps[rep_id],tblSalesReps[rep_name],"Missing")</f>
        <v>Sales Rep 12</v>
      </c>
      <c r="R2390" t="str">
        <f>_xlfn.XLOOKUP(D2390,tblSalesReps[rep_id],tblSalesReps[region],"Missing")</f>
        <v>West</v>
      </c>
    </row>
    <row r="2391" spans="1:18">
      <c r="A2391" t="s">
        <v>2933</v>
      </c>
      <c r="B2391" t="s">
        <v>483</v>
      </c>
      <c r="C2391" t="s">
        <v>26</v>
      </c>
      <c r="D2391" t="s">
        <v>53</v>
      </c>
      <c r="E2391" s="1">
        <v>45788</v>
      </c>
      <c r="F2391" s="1">
        <v>45856</v>
      </c>
      <c r="G2391" s="1">
        <v>45856</v>
      </c>
      <c r="H2391" t="s">
        <v>17</v>
      </c>
      <c r="I2391">
        <v>2</v>
      </c>
      <c r="J2391">
        <v>20</v>
      </c>
      <c r="K2391">
        <v>576000</v>
      </c>
      <c r="L2391">
        <v>0</v>
      </c>
      <c r="M2391" t="s">
        <v>82</v>
      </c>
      <c r="N2391" t="str">
        <f>_xlfn.XLOOKUP(B2391,tblCustomers[customer_id],tblCustomers[region],"Missing")</f>
        <v>East</v>
      </c>
      <c r="O2391" t="str">
        <f>_xlfn.XLOOKUP(C2391,tblProducts[product_id],tblProducts[product_name],"Missing")</f>
        <v>Security Suite</v>
      </c>
      <c r="P2391" t="str">
        <f>_xlfn.XLOOKUP(C2391,tblProducts[product_id],tblProducts[category],"Missing")</f>
        <v>Security</v>
      </c>
      <c r="Q2391" t="str">
        <f>_xlfn.XLOOKUP(D2391,tblSalesReps[rep_id],tblSalesReps[rep_name],"Missing")</f>
        <v>Sales Rep 16</v>
      </c>
      <c r="R2391" t="str">
        <f>_xlfn.XLOOKUP(D2391,tblSalesReps[rep_id],tblSalesReps[region],"Missing")</f>
        <v>East</v>
      </c>
    </row>
    <row r="2392" spans="1:18">
      <c r="A2392" t="s">
        <v>2934</v>
      </c>
      <c r="B2392" t="s">
        <v>376</v>
      </c>
      <c r="C2392" t="s">
        <v>39</v>
      </c>
      <c r="D2392" t="s">
        <v>22</v>
      </c>
      <c r="E2392" s="1">
        <v>45705</v>
      </c>
      <c r="F2392" s="1">
        <v>45787</v>
      </c>
      <c r="G2392" s="1">
        <v>45787</v>
      </c>
      <c r="H2392" t="s">
        <v>17</v>
      </c>
      <c r="I2392">
        <v>3</v>
      </c>
      <c r="J2392">
        <v>20</v>
      </c>
      <c r="K2392">
        <v>432000</v>
      </c>
      <c r="L2392">
        <v>0</v>
      </c>
      <c r="M2392" t="s">
        <v>47</v>
      </c>
      <c r="N2392" t="str">
        <f>_xlfn.XLOOKUP(B2392,tblCustomers[customer_id],tblCustomers[region],"Missing")</f>
        <v>West</v>
      </c>
      <c r="O2392" t="str">
        <f>_xlfn.XLOOKUP(C2392,tblProducts[product_id],tblProducts[product_name],"Missing")</f>
        <v>Support Desk</v>
      </c>
      <c r="P2392" t="str">
        <f>_xlfn.XLOOKUP(C2392,tblProducts[product_id],tblProducts[category],"Missing")</f>
        <v>Service</v>
      </c>
      <c r="Q2392" t="str">
        <f>_xlfn.XLOOKUP(D2392,tblSalesReps[rep_id],tblSalesReps[rep_name],"Missing")</f>
        <v>Sales Rep 14</v>
      </c>
      <c r="R2392" t="str">
        <f>_xlfn.XLOOKUP(D2392,tblSalesReps[rep_id],tblSalesReps[region],"Missing")</f>
        <v>West</v>
      </c>
    </row>
    <row r="2393" spans="1:18">
      <c r="A2393" t="s">
        <v>2935</v>
      </c>
      <c r="B2393" t="s">
        <v>834</v>
      </c>
      <c r="C2393" t="s">
        <v>39</v>
      </c>
      <c r="D2393" t="s">
        <v>152</v>
      </c>
      <c r="E2393" s="1">
        <v>45917</v>
      </c>
      <c r="F2393" s="1">
        <v>45947</v>
      </c>
      <c r="G2393" s="1"/>
      <c r="H2393" t="s">
        <v>43</v>
      </c>
      <c r="I2393">
        <v>1</v>
      </c>
      <c r="J2393">
        <v>0</v>
      </c>
      <c r="K2393">
        <v>180000</v>
      </c>
      <c r="L2393">
        <v>20</v>
      </c>
      <c r="M2393" t="s">
        <v>29</v>
      </c>
      <c r="N2393" t="str">
        <f>_xlfn.XLOOKUP(B2393,tblCustomers[customer_id],tblCustomers[region],"Missing")</f>
        <v>East</v>
      </c>
      <c r="O2393" t="str">
        <f>_xlfn.XLOOKUP(C2393,tblProducts[product_id],tblProducts[product_name],"Missing")</f>
        <v>Support Desk</v>
      </c>
      <c r="P2393" t="str">
        <f>_xlfn.XLOOKUP(C2393,tblProducts[product_id],tblProducts[category],"Missing")</f>
        <v>Service</v>
      </c>
      <c r="Q2393" t="str">
        <f>_xlfn.XLOOKUP(D2393,tblSalesReps[rep_id],tblSalesReps[rep_name],"Missing")</f>
        <v>Sales Rep 18</v>
      </c>
      <c r="R2393" t="str">
        <f>_xlfn.XLOOKUP(D2393,tblSalesReps[rep_id],tblSalesReps[region],"Missing")</f>
        <v>East</v>
      </c>
    </row>
    <row r="2394" spans="1:18">
      <c r="A2394" t="s">
        <v>2936</v>
      </c>
      <c r="B2394" t="s">
        <v>38</v>
      </c>
      <c r="C2394" t="s">
        <v>39</v>
      </c>
      <c r="D2394" t="s">
        <v>78</v>
      </c>
      <c r="E2394" s="1">
        <v>45732</v>
      </c>
      <c r="F2394" s="1">
        <v>45801</v>
      </c>
      <c r="G2394" s="1">
        <v>45801</v>
      </c>
      <c r="H2394" t="s">
        <v>17</v>
      </c>
      <c r="I2394">
        <v>2</v>
      </c>
      <c r="J2394">
        <v>0</v>
      </c>
      <c r="K2394">
        <v>360000</v>
      </c>
      <c r="L2394">
        <v>0</v>
      </c>
      <c r="M2394" t="s">
        <v>33</v>
      </c>
      <c r="N2394" t="str">
        <f>_xlfn.XLOOKUP(B2394,tblCustomers[customer_id],tblCustomers[region],"Missing")</f>
        <v>West</v>
      </c>
      <c r="O2394" t="str">
        <f>_xlfn.XLOOKUP(C2394,tblProducts[product_id],tblProducts[product_name],"Missing")</f>
        <v>Support Desk</v>
      </c>
      <c r="P2394" t="str">
        <f>_xlfn.XLOOKUP(C2394,tblProducts[product_id],tblProducts[category],"Missing")</f>
        <v>Service</v>
      </c>
      <c r="Q2394" t="str">
        <f>_xlfn.XLOOKUP(D2394,tblSalesReps[rep_id],tblSalesReps[rep_name],"Missing")</f>
        <v>Sales Rep 12</v>
      </c>
      <c r="R2394" t="str">
        <f>_xlfn.XLOOKUP(D2394,tblSalesReps[rep_id],tblSalesReps[region],"Missing")</f>
        <v>West</v>
      </c>
    </row>
    <row r="2395" spans="1:18">
      <c r="A2395" t="s">
        <v>2937</v>
      </c>
      <c r="B2395" t="s">
        <v>139</v>
      </c>
      <c r="C2395" t="s">
        <v>15</v>
      </c>
      <c r="D2395" t="s">
        <v>70</v>
      </c>
      <c r="E2395" s="1">
        <v>45781</v>
      </c>
      <c r="F2395" s="1">
        <v>45788</v>
      </c>
      <c r="G2395" s="1">
        <v>45788</v>
      </c>
      <c r="H2395" t="s">
        <v>17</v>
      </c>
      <c r="I2395">
        <v>1</v>
      </c>
      <c r="J2395">
        <v>0</v>
      </c>
      <c r="K2395">
        <v>420000</v>
      </c>
      <c r="L2395">
        <v>0</v>
      </c>
      <c r="M2395" t="s">
        <v>18</v>
      </c>
      <c r="N2395" t="str">
        <f>_xlfn.XLOOKUP(B2395,tblCustomers[customer_id],tblCustomers[region],"Missing")</f>
        <v>West</v>
      </c>
      <c r="O2395" t="str">
        <f>_xlfn.XLOOKUP(C2395,tblProducts[product_id],tblProducts[product_name],"Missing")</f>
        <v>CRM Enterprise</v>
      </c>
      <c r="P2395" t="str">
        <f>_xlfn.XLOOKUP(C2395,tblProducts[product_id],tblProducts[category],"Missing")</f>
        <v>CRM</v>
      </c>
      <c r="Q2395" t="str">
        <f>_xlfn.XLOOKUP(D2395,tblSalesReps[rep_id],tblSalesReps[rep_name],"Missing")</f>
        <v>Sales Rep 11</v>
      </c>
      <c r="R2395" t="str">
        <f>_xlfn.XLOOKUP(D2395,tblSalesReps[rep_id],tblSalesReps[region],"Missing")</f>
        <v>West</v>
      </c>
    </row>
    <row r="2396" spans="1:18">
      <c r="A2396" t="s">
        <v>2938</v>
      </c>
      <c r="B2396" t="s">
        <v>775</v>
      </c>
      <c r="C2396" t="s">
        <v>62</v>
      </c>
      <c r="D2396" t="s">
        <v>50</v>
      </c>
      <c r="E2396" s="1">
        <v>45768</v>
      </c>
      <c r="F2396" s="1">
        <v>45806</v>
      </c>
      <c r="G2396" s="1">
        <v>45806</v>
      </c>
      <c r="H2396" t="s">
        <v>17</v>
      </c>
      <c r="I2396">
        <v>1</v>
      </c>
      <c r="J2396">
        <v>15</v>
      </c>
      <c r="K2396">
        <v>102000</v>
      </c>
      <c r="L2396">
        <v>0</v>
      </c>
      <c r="M2396" t="s">
        <v>47</v>
      </c>
      <c r="N2396" t="str">
        <f>_xlfn.XLOOKUP(B2396,tblCustomers[customer_id],tblCustomers[region],"Missing")</f>
        <v>West</v>
      </c>
      <c r="O2396" t="str">
        <f>_xlfn.XLOOKUP(C2396,tblProducts[product_id],tblProducts[product_name],"Missing")</f>
        <v>CRM Essentials</v>
      </c>
      <c r="P2396" t="str">
        <f>_xlfn.XLOOKUP(C2396,tblProducts[product_id],tblProducts[category],"Missing")</f>
        <v>CRM</v>
      </c>
      <c r="Q2396" t="str">
        <f>_xlfn.XLOOKUP(D2396,tblSalesReps[rep_id],tblSalesReps[rep_name],"Missing")</f>
        <v>Sales Rep 15</v>
      </c>
      <c r="R2396" t="str">
        <f>_xlfn.XLOOKUP(D2396,tblSalesReps[rep_id],tblSalesReps[region],"Missing")</f>
        <v>West</v>
      </c>
    </row>
    <row r="2397" spans="1:18">
      <c r="A2397" t="s">
        <v>2939</v>
      </c>
      <c r="B2397" t="s">
        <v>1620</v>
      </c>
      <c r="C2397" t="s">
        <v>26</v>
      </c>
      <c r="D2397" t="s">
        <v>32</v>
      </c>
      <c r="E2397" s="1">
        <v>45952</v>
      </c>
      <c r="F2397" s="1">
        <v>46000</v>
      </c>
      <c r="G2397" s="1"/>
      <c r="H2397" t="s">
        <v>43</v>
      </c>
      <c r="I2397">
        <v>2</v>
      </c>
      <c r="J2397">
        <v>5</v>
      </c>
      <c r="K2397">
        <v>684000</v>
      </c>
      <c r="L2397">
        <v>20</v>
      </c>
      <c r="M2397" t="s">
        <v>29</v>
      </c>
      <c r="N2397" t="str">
        <f>_xlfn.XLOOKUP(B2397,tblCustomers[customer_id],tblCustomers[region],"Missing")</f>
        <v>South</v>
      </c>
      <c r="O2397" t="str">
        <f>_xlfn.XLOOKUP(C2397,tblProducts[product_id],tblProducts[product_name],"Missing")</f>
        <v>Security Suite</v>
      </c>
      <c r="P2397" t="str">
        <f>_xlfn.XLOOKUP(C2397,tblProducts[product_id],tblProducts[category],"Missing")</f>
        <v>Security</v>
      </c>
      <c r="Q2397" t="str">
        <f>_xlfn.XLOOKUP(D2397,tblSalesReps[rep_id],tblSalesReps[rep_name],"Missing")</f>
        <v>Sales Rep 04</v>
      </c>
      <c r="R2397" t="str">
        <f>_xlfn.XLOOKUP(D2397,tblSalesReps[rep_id],tblSalesReps[region],"Missing")</f>
        <v>South</v>
      </c>
    </row>
    <row r="2398" spans="1:18">
      <c r="A2398" t="s">
        <v>2940</v>
      </c>
      <c r="B2398" t="s">
        <v>779</v>
      </c>
      <c r="C2398" t="s">
        <v>39</v>
      </c>
      <c r="D2398" t="s">
        <v>168</v>
      </c>
      <c r="E2398" s="1">
        <v>45971</v>
      </c>
      <c r="F2398" s="1">
        <v>45983</v>
      </c>
      <c r="G2398" s="1"/>
      <c r="H2398" t="s">
        <v>43</v>
      </c>
      <c r="I2398">
        <v>2</v>
      </c>
      <c r="J2398">
        <v>20</v>
      </c>
      <c r="K2398">
        <v>288000</v>
      </c>
      <c r="L2398">
        <v>40</v>
      </c>
      <c r="M2398" t="s">
        <v>29</v>
      </c>
      <c r="N2398" t="str">
        <f>_xlfn.XLOOKUP(B2398,tblCustomers[customer_id],tblCustomers[region],"Missing")</f>
        <v>East</v>
      </c>
      <c r="O2398" t="str">
        <f>_xlfn.XLOOKUP(C2398,tblProducts[product_id],tblProducts[product_name],"Missing")</f>
        <v>Support Desk</v>
      </c>
      <c r="P2398" t="str">
        <f>_xlfn.XLOOKUP(C2398,tblProducts[product_id],tblProducts[category],"Missing")</f>
        <v>Service</v>
      </c>
      <c r="Q2398" t="str">
        <f>_xlfn.XLOOKUP(D2398,tblSalesReps[rep_id],tblSalesReps[rep_name],"Missing")</f>
        <v>Sales Rep 17</v>
      </c>
      <c r="R2398" t="str">
        <f>_xlfn.XLOOKUP(D2398,tblSalesReps[rep_id],tblSalesReps[region],"Missing")</f>
        <v>East</v>
      </c>
    </row>
    <row r="2399" spans="1:18">
      <c r="A2399" t="s">
        <v>2941</v>
      </c>
      <c r="B2399" t="s">
        <v>282</v>
      </c>
      <c r="C2399" t="s">
        <v>26</v>
      </c>
      <c r="D2399" t="s">
        <v>152</v>
      </c>
      <c r="E2399" s="1">
        <v>45917</v>
      </c>
      <c r="F2399" s="1">
        <v>45951</v>
      </c>
      <c r="G2399" s="1"/>
      <c r="H2399" t="s">
        <v>43</v>
      </c>
      <c r="I2399">
        <v>2</v>
      </c>
      <c r="J2399">
        <v>0</v>
      </c>
      <c r="K2399">
        <v>720000</v>
      </c>
      <c r="L2399">
        <v>20</v>
      </c>
      <c r="M2399" t="s">
        <v>29</v>
      </c>
      <c r="N2399" t="str">
        <f>_xlfn.XLOOKUP(B2399,tblCustomers[customer_id],tblCustomers[region],"Missing")</f>
        <v>East</v>
      </c>
      <c r="O2399" t="str">
        <f>_xlfn.XLOOKUP(C2399,tblProducts[product_id],tblProducts[product_name],"Missing")</f>
        <v>Security Suite</v>
      </c>
      <c r="P2399" t="str">
        <f>_xlfn.XLOOKUP(C2399,tblProducts[product_id],tblProducts[category],"Missing")</f>
        <v>Security</v>
      </c>
      <c r="Q2399" t="str">
        <f>_xlfn.XLOOKUP(D2399,tblSalesReps[rep_id],tblSalesReps[rep_name],"Missing")</f>
        <v>Sales Rep 18</v>
      </c>
      <c r="R2399" t="str">
        <f>_xlfn.XLOOKUP(D2399,tblSalesReps[rep_id],tblSalesReps[region],"Missing")</f>
        <v>East</v>
      </c>
    </row>
    <row r="2400" spans="1:18">
      <c r="A2400" t="s">
        <v>2942</v>
      </c>
      <c r="B2400" t="s">
        <v>339</v>
      </c>
      <c r="C2400" t="s">
        <v>62</v>
      </c>
      <c r="D2400" t="s">
        <v>40</v>
      </c>
      <c r="E2400" s="1">
        <v>45759</v>
      </c>
      <c r="F2400" s="1">
        <v>45823</v>
      </c>
      <c r="G2400" s="1"/>
      <c r="H2400" t="s">
        <v>43</v>
      </c>
      <c r="I2400">
        <v>1</v>
      </c>
      <c r="J2400">
        <v>5</v>
      </c>
      <c r="K2400">
        <v>114000</v>
      </c>
      <c r="L2400">
        <v>60</v>
      </c>
      <c r="M2400" t="s">
        <v>29</v>
      </c>
      <c r="N2400" t="str">
        <f>_xlfn.XLOOKUP(B2400,tblCustomers[customer_id],tblCustomers[region],"Missing")</f>
        <v>West</v>
      </c>
      <c r="O2400" t="str">
        <f>_xlfn.XLOOKUP(C2400,tblProducts[product_id],tblProducts[product_name],"Missing")</f>
        <v>CRM Essentials</v>
      </c>
      <c r="P2400" t="str">
        <f>_xlfn.XLOOKUP(C2400,tblProducts[product_id],tblProducts[category],"Missing")</f>
        <v>CRM</v>
      </c>
      <c r="Q2400" t="str">
        <f>_xlfn.XLOOKUP(D2400,tblSalesReps[rep_id],tblSalesReps[rep_name],"Missing")</f>
        <v>Sales Rep 13</v>
      </c>
      <c r="R2400" t="str">
        <f>_xlfn.XLOOKUP(D2400,tblSalesReps[rep_id],tblSalesReps[region],"Missing")</f>
        <v>West</v>
      </c>
    </row>
    <row r="2401" spans="1:18">
      <c r="A2401" t="s">
        <v>2943</v>
      </c>
      <c r="B2401" t="s">
        <v>767</v>
      </c>
      <c r="C2401" t="s">
        <v>39</v>
      </c>
      <c r="D2401" t="s">
        <v>22</v>
      </c>
      <c r="E2401" s="1">
        <v>45766</v>
      </c>
      <c r="F2401" s="1">
        <v>45784</v>
      </c>
      <c r="G2401" s="1">
        <v>45784</v>
      </c>
      <c r="H2401" t="s">
        <v>17</v>
      </c>
      <c r="I2401">
        <v>1</v>
      </c>
      <c r="J2401">
        <v>15</v>
      </c>
      <c r="K2401">
        <v>153000</v>
      </c>
      <c r="L2401">
        <v>0</v>
      </c>
      <c r="M2401" t="s">
        <v>23</v>
      </c>
      <c r="N2401" t="str">
        <f>_xlfn.XLOOKUP(B2401,tblCustomers[customer_id],tblCustomers[region],"Missing")</f>
        <v>West</v>
      </c>
      <c r="O2401" t="str">
        <f>_xlfn.XLOOKUP(C2401,tblProducts[product_id],tblProducts[product_name],"Missing")</f>
        <v>Support Desk</v>
      </c>
      <c r="P2401" t="str">
        <f>_xlfn.XLOOKUP(C2401,tblProducts[product_id],tblProducts[category],"Missing")</f>
        <v>Service</v>
      </c>
      <c r="Q2401" t="str">
        <f>_xlfn.XLOOKUP(D2401,tblSalesReps[rep_id],tblSalesReps[rep_name],"Missing")</f>
        <v>Sales Rep 14</v>
      </c>
      <c r="R2401" t="str">
        <f>_xlfn.XLOOKUP(D2401,tblSalesReps[rep_id],tblSalesReps[region],"Missing")</f>
        <v>West</v>
      </c>
    </row>
    <row r="2402" spans="1:18">
      <c r="A2402" t="s">
        <v>2944</v>
      </c>
      <c r="B2402" t="s">
        <v>259</v>
      </c>
      <c r="C2402" t="s">
        <v>26</v>
      </c>
      <c r="D2402" t="s">
        <v>46</v>
      </c>
      <c r="E2402" s="1">
        <v>45748</v>
      </c>
      <c r="F2402" s="1">
        <v>45783</v>
      </c>
      <c r="G2402" s="1">
        <v>45783</v>
      </c>
      <c r="H2402" t="s">
        <v>17</v>
      </c>
      <c r="I2402">
        <v>3</v>
      </c>
      <c r="J2402">
        <v>15</v>
      </c>
      <c r="K2402">
        <v>918000</v>
      </c>
      <c r="L2402">
        <v>0</v>
      </c>
      <c r="M2402" t="s">
        <v>82</v>
      </c>
      <c r="N2402" t="str">
        <f>_xlfn.XLOOKUP(B2402,tblCustomers[customer_id],tblCustomers[region],"Missing")</f>
        <v>South</v>
      </c>
      <c r="O2402" t="str">
        <f>_xlfn.XLOOKUP(C2402,tblProducts[product_id],tblProducts[product_name],"Missing")</f>
        <v>Security Suite</v>
      </c>
      <c r="P2402" t="str">
        <f>_xlfn.XLOOKUP(C2402,tblProducts[product_id],tblProducts[category],"Missing")</f>
        <v>Security</v>
      </c>
      <c r="Q2402" t="str">
        <f>_xlfn.XLOOKUP(D2402,tblSalesReps[rep_id],tblSalesReps[rep_name],"Missing")</f>
        <v>Sales Rep 01</v>
      </c>
      <c r="R2402" t="str">
        <f>_xlfn.XLOOKUP(D2402,tblSalesReps[rep_id],tblSalesReps[region],"Missing")</f>
        <v>South</v>
      </c>
    </row>
    <row r="2403" spans="1:18">
      <c r="A2403" t="s">
        <v>2945</v>
      </c>
      <c r="B2403" t="s">
        <v>1405</v>
      </c>
      <c r="C2403" t="s">
        <v>15</v>
      </c>
      <c r="D2403" t="s">
        <v>168</v>
      </c>
      <c r="E2403" s="1">
        <v>45664</v>
      </c>
      <c r="F2403" s="1">
        <v>45697</v>
      </c>
      <c r="G2403" s="1">
        <v>45697</v>
      </c>
      <c r="H2403" t="s">
        <v>17</v>
      </c>
      <c r="I2403">
        <v>1</v>
      </c>
      <c r="J2403">
        <v>15</v>
      </c>
      <c r="K2403">
        <v>357000</v>
      </c>
      <c r="L2403">
        <v>0</v>
      </c>
      <c r="M2403" t="s">
        <v>18</v>
      </c>
      <c r="N2403" t="str">
        <f>_xlfn.XLOOKUP(B2403,tblCustomers[customer_id],tblCustomers[region],"Missing")</f>
        <v>East</v>
      </c>
      <c r="O2403" t="str">
        <f>_xlfn.XLOOKUP(C2403,tblProducts[product_id],tblProducts[product_name],"Missing")</f>
        <v>CRM Enterprise</v>
      </c>
      <c r="P2403" t="str">
        <f>_xlfn.XLOOKUP(C2403,tblProducts[product_id],tblProducts[category],"Missing")</f>
        <v>CRM</v>
      </c>
      <c r="Q2403" t="str">
        <f>_xlfn.XLOOKUP(D2403,tblSalesReps[rep_id],tblSalesReps[rep_name],"Missing")</f>
        <v>Sales Rep 17</v>
      </c>
      <c r="R2403" t="str">
        <f>_xlfn.XLOOKUP(D2403,tblSalesReps[rep_id],tblSalesReps[region],"Missing")</f>
        <v>East</v>
      </c>
    </row>
    <row r="2404" spans="1:18">
      <c r="A2404" t="s">
        <v>2946</v>
      </c>
      <c r="B2404" t="s">
        <v>213</v>
      </c>
      <c r="C2404" t="s">
        <v>81</v>
      </c>
      <c r="D2404" t="s">
        <v>70</v>
      </c>
      <c r="E2404" s="1">
        <v>45879</v>
      </c>
      <c r="F2404" s="1">
        <v>45911</v>
      </c>
      <c r="G2404" s="1">
        <v>45911</v>
      </c>
      <c r="H2404" t="s">
        <v>17</v>
      </c>
      <c r="I2404">
        <v>3</v>
      </c>
      <c r="J2404">
        <v>20</v>
      </c>
      <c r="K2404">
        <v>720000</v>
      </c>
      <c r="L2404">
        <v>0</v>
      </c>
      <c r="M2404" t="s">
        <v>18</v>
      </c>
      <c r="N2404" t="str">
        <f>_xlfn.XLOOKUP(B2404,tblCustomers[customer_id],tblCustomers[region],"Missing")</f>
        <v>West</v>
      </c>
      <c r="O2404" t="str">
        <f>_xlfn.XLOOKUP(C2404,tblProducts[product_id],tblProducts[product_name],"Missing")</f>
        <v>Analytics Cloud</v>
      </c>
      <c r="P2404" t="str">
        <f>_xlfn.XLOOKUP(C2404,tblProducts[product_id],tblProducts[category],"Missing")</f>
        <v>Analytics</v>
      </c>
      <c r="Q2404" t="str">
        <f>_xlfn.XLOOKUP(D2404,tblSalesReps[rep_id],tblSalesReps[rep_name],"Missing")</f>
        <v>Sales Rep 11</v>
      </c>
      <c r="R2404" t="str">
        <f>_xlfn.XLOOKUP(D2404,tblSalesReps[rep_id],tblSalesReps[region],"Missing")</f>
        <v>West</v>
      </c>
    </row>
    <row r="2405" spans="1:18">
      <c r="A2405" t="s">
        <v>2947</v>
      </c>
      <c r="B2405" t="s">
        <v>453</v>
      </c>
      <c r="C2405" t="s">
        <v>39</v>
      </c>
      <c r="D2405" t="s">
        <v>126</v>
      </c>
      <c r="E2405" s="1">
        <v>45694</v>
      </c>
      <c r="F2405" s="1">
        <v>45775</v>
      </c>
      <c r="G2405" s="1">
        <v>45775</v>
      </c>
      <c r="H2405" t="s">
        <v>17</v>
      </c>
      <c r="I2405">
        <v>3</v>
      </c>
      <c r="J2405">
        <v>15</v>
      </c>
      <c r="K2405">
        <v>459000</v>
      </c>
      <c r="L2405">
        <v>0</v>
      </c>
      <c r="M2405" t="s">
        <v>18</v>
      </c>
      <c r="N2405" t="str">
        <f>_xlfn.XLOOKUP(B2405,tblCustomers[customer_id],tblCustomers[region],"Missing")</f>
        <v>South</v>
      </c>
      <c r="O2405" t="str">
        <f>_xlfn.XLOOKUP(C2405,tblProducts[product_id],tblProducts[product_name],"Missing")</f>
        <v>Support Desk</v>
      </c>
      <c r="P2405" t="str">
        <f>_xlfn.XLOOKUP(C2405,tblProducts[product_id],tblProducts[category],"Missing")</f>
        <v>Service</v>
      </c>
      <c r="Q2405" t="str">
        <f>_xlfn.XLOOKUP(D2405,tblSalesReps[rep_id],tblSalesReps[rep_name],"Missing")</f>
        <v>Sales Rep 02</v>
      </c>
      <c r="R2405" t="str">
        <f>_xlfn.XLOOKUP(D2405,tblSalesReps[rep_id],tblSalesReps[region],"Missing")</f>
        <v>South</v>
      </c>
    </row>
    <row r="2406" spans="1:18">
      <c r="A2406" t="s">
        <v>2948</v>
      </c>
      <c r="B2406" t="s">
        <v>1287</v>
      </c>
      <c r="C2406" t="s">
        <v>26</v>
      </c>
      <c r="D2406" t="s">
        <v>27</v>
      </c>
      <c r="E2406" s="1">
        <v>45842</v>
      </c>
      <c r="F2406" s="1">
        <v>45891</v>
      </c>
      <c r="G2406" s="1">
        <v>45891</v>
      </c>
      <c r="H2406" t="s">
        <v>17</v>
      </c>
      <c r="I2406">
        <v>2</v>
      </c>
      <c r="J2406">
        <v>5</v>
      </c>
      <c r="K2406">
        <v>684000</v>
      </c>
      <c r="L2406">
        <v>0</v>
      </c>
      <c r="M2406" t="s">
        <v>23</v>
      </c>
      <c r="N2406" t="str">
        <f>_xlfn.XLOOKUP(B2406,tblCustomers[customer_id],tblCustomers[region],"Missing")</f>
        <v>North</v>
      </c>
      <c r="O2406" t="str">
        <f>_xlfn.XLOOKUP(C2406,tblProducts[product_id],tblProducts[product_name],"Missing")</f>
        <v>Security Suite</v>
      </c>
      <c r="P2406" t="str">
        <f>_xlfn.XLOOKUP(C2406,tblProducts[product_id],tblProducts[category],"Missing")</f>
        <v>Security</v>
      </c>
      <c r="Q2406" t="str">
        <f>_xlfn.XLOOKUP(D2406,tblSalesReps[rep_id],tblSalesReps[rep_name],"Missing")</f>
        <v>Sales Rep 06</v>
      </c>
      <c r="R2406" t="str">
        <f>_xlfn.XLOOKUP(D2406,tblSalesReps[rep_id],tblSalesReps[region],"Missing")</f>
        <v>North</v>
      </c>
    </row>
    <row r="2407" spans="1:18">
      <c r="A2407" t="s">
        <v>2949</v>
      </c>
      <c r="B2407" t="s">
        <v>1420</v>
      </c>
      <c r="C2407" t="s">
        <v>39</v>
      </c>
      <c r="D2407" t="s">
        <v>56</v>
      </c>
      <c r="E2407" s="1">
        <v>45923</v>
      </c>
      <c r="F2407" s="1">
        <v>45933</v>
      </c>
      <c r="G2407" s="1"/>
      <c r="H2407" t="s">
        <v>43</v>
      </c>
      <c r="I2407">
        <v>3</v>
      </c>
      <c r="J2407">
        <v>0</v>
      </c>
      <c r="K2407">
        <v>540000</v>
      </c>
      <c r="L2407">
        <v>20</v>
      </c>
      <c r="M2407" t="s">
        <v>29</v>
      </c>
      <c r="N2407" t="str">
        <f>_xlfn.XLOOKUP(B2407,tblCustomers[customer_id],tblCustomers[region],"Missing")</f>
        <v>East</v>
      </c>
      <c r="O2407" t="str">
        <f>_xlfn.XLOOKUP(C2407,tblProducts[product_id],tblProducts[product_name],"Missing")</f>
        <v>Support Desk</v>
      </c>
      <c r="P2407" t="str">
        <f>_xlfn.XLOOKUP(C2407,tblProducts[product_id],tblProducts[category],"Missing")</f>
        <v>Service</v>
      </c>
      <c r="Q2407" t="str">
        <f>_xlfn.XLOOKUP(D2407,tblSalesReps[rep_id],tblSalesReps[rep_name],"Missing")</f>
        <v>Sales Rep 20</v>
      </c>
      <c r="R2407" t="str">
        <f>_xlfn.XLOOKUP(D2407,tblSalesReps[rep_id],tblSalesReps[region],"Missing")</f>
        <v>East</v>
      </c>
    </row>
    <row r="2408" spans="1:18">
      <c r="A2408" t="s">
        <v>2950</v>
      </c>
      <c r="B2408" t="s">
        <v>35</v>
      </c>
      <c r="C2408" t="s">
        <v>81</v>
      </c>
      <c r="D2408" t="s">
        <v>27</v>
      </c>
      <c r="E2408" s="1">
        <v>45783</v>
      </c>
      <c r="F2408" s="1">
        <v>45842</v>
      </c>
      <c r="G2408" s="1"/>
      <c r="H2408" t="s">
        <v>43</v>
      </c>
      <c r="I2408">
        <v>3</v>
      </c>
      <c r="J2408">
        <v>0</v>
      </c>
      <c r="K2408">
        <v>900000</v>
      </c>
      <c r="L2408">
        <v>60</v>
      </c>
      <c r="M2408" t="s">
        <v>29</v>
      </c>
      <c r="N2408" t="str">
        <f>_xlfn.XLOOKUP(B2408,tblCustomers[customer_id],tblCustomers[region],"Missing")</f>
        <v>North</v>
      </c>
      <c r="O2408" t="str">
        <f>_xlfn.XLOOKUP(C2408,tblProducts[product_id],tblProducts[product_name],"Missing")</f>
        <v>Analytics Cloud</v>
      </c>
      <c r="P2408" t="str">
        <f>_xlfn.XLOOKUP(C2408,tblProducts[product_id],tblProducts[category],"Missing")</f>
        <v>Analytics</v>
      </c>
      <c r="Q2408" t="str">
        <f>_xlfn.XLOOKUP(D2408,tblSalesReps[rep_id],tblSalesReps[rep_name],"Missing")</f>
        <v>Sales Rep 06</v>
      </c>
      <c r="R2408" t="str">
        <f>_xlfn.XLOOKUP(D2408,tblSalesReps[rep_id],tblSalesReps[region],"Missing")</f>
        <v>North</v>
      </c>
    </row>
    <row r="2409" spans="1:18">
      <c r="A2409" t="s">
        <v>2951</v>
      </c>
      <c r="B2409" t="s">
        <v>1035</v>
      </c>
      <c r="C2409" t="s">
        <v>81</v>
      </c>
      <c r="D2409" t="s">
        <v>32</v>
      </c>
      <c r="E2409" s="1">
        <v>45871</v>
      </c>
      <c r="F2409" s="1">
        <v>45949</v>
      </c>
      <c r="G2409" s="1">
        <v>45949</v>
      </c>
      <c r="H2409" t="s">
        <v>28</v>
      </c>
      <c r="I2409">
        <v>1</v>
      </c>
      <c r="J2409">
        <v>0</v>
      </c>
      <c r="K2409">
        <v>300000</v>
      </c>
      <c r="L2409">
        <v>100</v>
      </c>
      <c r="M2409" t="s">
        <v>29</v>
      </c>
      <c r="N2409" t="str">
        <f>_xlfn.XLOOKUP(B2409,tblCustomers[customer_id],tblCustomers[region],"Missing")</f>
        <v>South</v>
      </c>
      <c r="O2409" t="str">
        <f>_xlfn.XLOOKUP(C2409,tblProducts[product_id],tblProducts[product_name],"Missing")</f>
        <v>Analytics Cloud</v>
      </c>
      <c r="P2409" t="str">
        <f>_xlfn.XLOOKUP(C2409,tblProducts[product_id],tblProducts[category],"Missing")</f>
        <v>Analytics</v>
      </c>
      <c r="Q2409" t="str">
        <f>_xlfn.XLOOKUP(D2409,tblSalesReps[rep_id],tblSalesReps[rep_name],"Missing")</f>
        <v>Sales Rep 04</v>
      </c>
      <c r="R2409" t="str">
        <f>_xlfn.XLOOKUP(D2409,tblSalesReps[rep_id],tblSalesReps[region],"Missing")</f>
        <v>South</v>
      </c>
    </row>
    <row r="2410" spans="1:18">
      <c r="A2410" t="s">
        <v>2952</v>
      </c>
      <c r="B2410" t="s">
        <v>42</v>
      </c>
      <c r="C2410" t="s">
        <v>39</v>
      </c>
      <c r="D2410" t="s">
        <v>36</v>
      </c>
      <c r="E2410" s="1">
        <v>45949</v>
      </c>
      <c r="F2410" s="1">
        <v>45998</v>
      </c>
      <c r="G2410" s="1"/>
      <c r="H2410" t="s">
        <v>43</v>
      </c>
      <c r="I2410">
        <v>2</v>
      </c>
      <c r="J2410">
        <v>20</v>
      </c>
      <c r="K2410">
        <v>288000</v>
      </c>
      <c r="L2410">
        <v>60</v>
      </c>
      <c r="M2410" t="s">
        <v>29</v>
      </c>
      <c r="N2410" t="str">
        <f>_xlfn.XLOOKUP(B2410,tblCustomers[customer_id],tblCustomers[region],"Missing")</f>
        <v>North</v>
      </c>
      <c r="O2410" t="str">
        <f>_xlfn.XLOOKUP(C2410,tblProducts[product_id],tblProducts[product_name],"Missing")</f>
        <v>Support Desk</v>
      </c>
      <c r="P2410" t="str">
        <f>_xlfn.XLOOKUP(C2410,tblProducts[product_id],tblProducts[category],"Missing")</f>
        <v>Service</v>
      </c>
      <c r="Q2410" t="str">
        <f>_xlfn.XLOOKUP(D2410,tblSalesReps[rep_id],tblSalesReps[rep_name],"Missing")</f>
        <v>Sales Rep 09</v>
      </c>
      <c r="R2410" t="str">
        <f>_xlfn.XLOOKUP(D2410,tblSalesReps[rep_id],tblSalesReps[region],"Missing")</f>
        <v>North</v>
      </c>
    </row>
    <row r="2411" spans="1:18">
      <c r="A2411" t="s">
        <v>2953</v>
      </c>
      <c r="B2411" t="s">
        <v>294</v>
      </c>
      <c r="C2411" t="s">
        <v>15</v>
      </c>
      <c r="D2411" t="s">
        <v>50</v>
      </c>
      <c r="E2411" s="1">
        <v>45704</v>
      </c>
      <c r="F2411" s="1">
        <v>45740</v>
      </c>
      <c r="G2411" s="1">
        <v>45740</v>
      </c>
      <c r="H2411" t="s">
        <v>17</v>
      </c>
      <c r="I2411">
        <v>1</v>
      </c>
      <c r="J2411">
        <v>0</v>
      </c>
      <c r="K2411">
        <v>420000</v>
      </c>
      <c r="L2411">
        <v>0</v>
      </c>
      <c r="M2411" t="s">
        <v>82</v>
      </c>
      <c r="N2411" t="str">
        <f>_xlfn.XLOOKUP(B2411,tblCustomers[customer_id],tblCustomers[region],"Missing")</f>
        <v>West</v>
      </c>
      <c r="O2411" t="str">
        <f>_xlfn.XLOOKUP(C2411,tblProducts[product_id],tblProducts[product_name],"Missing")</f>
        <v>CRM Enterprise</v>
      </c>
      <c r="P2411" t="str">
        <f>_xlfn.XLOOKUP(C2411,tblProducts[product_id],tblProducts[category],"Missing")</f>
        <v>CRM</v>
      </c>
      <c r="Q2411" t="str">
        <f>_xlfn.XLOOKUP(D2411,tblSalesReps[rep_id],tblSalesReps[rep_name],"Missing")</f>
        <v>Sales Rep 15</v>
      </c>
      <c r="R2411" t="str">
        <f>_xlfn.XLOOKUP(D2411,tblSalesReps[rep_id],tblSalesReps[region],"Missing")</f>
        <v>West</v>
      </c>
    </row>
    <row r="2412" spans="1:18">
      <c r="A2412" t="s">
        <v>2954</v>
      </c>
      <c r="B2412" t="s">
        <v>1308</v>
      </c>
      <c r="C2412" t="s">
        <v>62</v>
      </c>
      <c r="D2412" t="s">
        <v>36</v>
      </c>
      <c r="E2412" s="1">
        <v>45666</v>
      </c>
      <c r="F2412" s="1">
        <v>45704</v>
      </c>
      <c r="G2412" s="1">
        <v>45704</v>
      </c>
      <c r="H2412" t="s">
        <v>28</v>
      </c>
      <c r="I2412">
        <v>1</v>
      </c>
      <c r="J2412">
        <v>15</v>
      </c>
      <c r="K2412">
        <v>102000</v>
      </c>
      <c r="L2412">
        <v>100</v>
      </c>
      <c r="M2412" t="s">
        <v>29</v>
      </c>
      <c r="N2412" t="str">
        <f>_xlfn.XLOOKUP(B2412,tblCustomers[customer_id],tblCustomers[region],"Missing")</f>
        <v>North</v>
      </c>
      <c r="O2412" t="str">
        <f>_xlfn.XLOOKUP(C2412,tblProducts[product_id],tblProducts[product_name],"Missing")</f>
        <v>CRM Essentials</v>
      </c>
      <c r="P2412" t="str">
        <f>_xlfn.XLOOKUP(C2412,tblProducts[product_id],tblProducts[category],"Missing")</f>
        <v>CRM</v>
      </c>
      <c r="Q2412" t="str">
        <f>_xlfn.XLOOKUP(D2412,tblSalesReps[rep_id],tblSalesReps[rep_name],"Missing")</f>
        <v>Sales Rep 09</v>
      </c>
      <c r="R2412" t="str">
        <f>_xlfn.XLOOKUP(D2412,tblSalesReps[rep_id],tblSalesReps[region],"Missing")</f>
        <v>North</v>
      </c>
    </row>
    <row r="2413" spans="1:18">
      <c r="A2413" t="s">
        <v>2955</v>
      </c>
      <c r="B2413" t="s">
        <v>74</v>
      </c>
      <c r="C2413" t="s">
        <v>62</v>
      </c>
      <c r="D2413" t="s">
        <v>16</v>
      </c>
      <c r="E2413" s="1">
        <v>45717</v>
      </c>
      <c r="F2413" s="1">
        <v>45740</v>
      </c>
      <c r="G2413" s="1">
        <v>45740</v>
      </c>
      <c r="H2413" t="s">
        <v>17</v>
      </c>
      <c r="I2413">
        <v>2</v>
      </c>
      <c r="J2413">
        <v>5</v>
      </c>
      <c r="K2413">
        <v>228000</v>
      </c>
      <c r="L2413">
        <v>0</v>
      </c>
      <c r="M2413" t="s">
        <v>23</v>
      </c>
      <c r="N2413" t="str">
        <f>_xlfn.XLOOKUP(B2413,tblCustomers[customer_id],tblCustomers[region],"Missing")</f>
        <v>North</v>
      </c>
      <c r="O2413" t="str">
        <f>_xlfn.XLOOKUP(C2413,tblProducts[product_id],tblProducts[product_name],"Missing")</f>
        <v>CRM Essentials</v>
      </c>
      <c r="P2413" t="str">
        <f>_xlfn.XLOOKUP(C2413,tblProducts[product_id],tblProducts[category],"Missing")</f>
        <v>CRM</v>
      </c>
      <c r="Q2413" t="str">
        <f>_xlfn.XLOOKUP(D2413,tblSalesReps[rep_id],tblSalesReps[rep_name],"Missing")</f>
        <v>Sales Rep 08</v>
      </c>
      <c r="R2413" t="str">
        <f>_xlfn.XLOOKUP(D2413,tblSalesReps[rep_id],tblSalesReps[region],"Missing")</f>
        <v>North</v>
      </c>
    </row>
    <row r="2414" spans="1:18">
      <c r="A2414" t="s">
        <v>2956</v>
      </c>
      <c r="B2414" t="s">
        <v>743</v>
      </c>
      <c r="C2414" t="s">
        <v>62</v>
      </c>
      <c r="D2414" t="s">
        <v>22</v>
      </c>
      <c r="E2414" s="1">
        <v>45966</v>
      </c>
      <c r="F2414" s="1">
        <v>45996</v>
      </c>
      <c r="G2414" s="1">
        <v>45996</v>
      </c>
      <c r="H2414" t="s">
        <v>17</v>
      </c>
      <c r="I2414">
        <v>1</v>
      </c>
      <c r="J2414">
        <v>0</v>
      </c>
      <c r="K2414">
        <v>120000</v>
      </c>
      <c r="L2414">
        <v>0</v>
      </c>
      <c r="M2414" t="s">
        <v>82</v>
      </c>
      <c r="N2414" t="str">
        <f>_xlfn.XLOOKUP(B2414,tblCustomers[customer_id],tblCustomers[region],"Missing")</f>
        <v>West</v>
      </c>
      <c r="O2414" t="str">
        <f>_xlfn.XLOOKUP(C2414,tblProducts[product_id],tblProducts[product_name],"Missing")</f>
        <v>CRM Essentials</v>
      </c>
      <c r="P2414" t="str">
        <f>_xlfn.XLOOKUP(C2414,tblProducts[product_id],tblProducts[category],"Missing")</f>
        <v>CRM</v>
      </c>
      <c r="Q2414" t="str">
        <f>_xlfn.XLOOKUP(D2414,tblSalesReps[rep_id],tblSalesReps[rep_name],"Missing")</f>
        <v>Sales Rep 14</v>
      </c>
      <c r="R2414" t="str">
        <f>_xlfn.XLOOKUP(D2414,tblSalesReps[rep_id],tblSalesReps[region],"Missing")</f>
        <v>West</v>
      </c>
    </row>
    <row r="2415" spans="1:18">
      <c r="A2415" t="s">
        <v>2957</v>
      </c>
      <c r="B2415" t="s">
        <v>227</v>
      </c>
      <c r="C2415" t="s">
        <v>62</v>
      </c>
      <c r="D2415" t="s">
        <v>56</v>
      </c>
      <c r="E2415" s="1">
        <v>45992</v>
      </c>
      <c r="F2415" s="1">
        <v>46010</v>
      </c>
      <c r="G2415" s="1"/>
      <c r="H2415" t="s">
        <v>43</v>
      </c>
      <c r="I2415">
        <v>3</v>
      </c>
      <c r="J2415">
        <v>10</v>
      </c>
      <c r="K2415">
        <v>324000</v>
      </c>
      <c r="L2415">
        <v>20</v>
      </c>
      <c r="M2415" t="s">
        <v>29</v>
      </c>
      <c r="N2415" t="str">
        <f>_xlfn.XLOOKUP(B2415,tblCustomers[customer_id],tblCustomers[region],"Missing")</f>
        <v>East</v>
      </c>
      <c r="O2415" t="str">
        <f>_xlfn.XLOOKUP(C2415,tblProducts[product_id],tblProducts[product_name],"Missing")</f>
        <v>CRM Essentials</v>
      </c>
      <c r="P2415" t="str">
        <f>_xlfn.XLOOKUP(C2415,tblProducts[product_id],tblProducts[category],"Missing")</f>
        <v>CRM</v>
      </c>
      <c r="Q2415" t="str">
        <f>_xlfn.XLOOKUP(D2415,tblSalesReps[rep_id],tblSalesReps[rep_name],"Missing")</f>
        <v>Sales Rep 20</v>
      </c>
      <c r="R2415" t="str">
        <f>_xlfn.XLOOKUP(D2415,tblSalesReps[rep_id],tblSalesReps[region],"Missing")</f>
        <v>East</v>
      </c>
    </row>
    <row r="2416" spans="1:18">
      <c r="A2416" t="s">
        <v>2958</v>
      </c>
      <c r="B2416" t="s">
        <v>1194</v>
      </c>
      <c r="C2416" t="s">
        <v>81</v>
      </c>
      <c r="D2416" t="s">
        <v>27</v>
      </c>
      <c r="E2416" s="1">
        <v>45896</v>
      </c>
      <c r="F2416" s="1">
        <v>45965</v>
      </c>
      <c r="G2416" s="1">
        <v>45965</v>
      </c>
      <c r="H2416" t="s">
        <v>17</v>
      </c>
      <c r="I2416">
        <v>1</v>
      </c>
      <c r="J2416">
        <v>0</v>
      </c>
      <c r="K2416">
        <v>300000</v>
      </c>
      <c r="L2416">
        <v>0</v>
      </c>
      <c r="M2416" t="s">
        <v>18</v>
      </c>
      <c r="N2416" t="str">
        <f>_xlfn.XLOOKUP(B2416,tblCustomers[customer_id],tblCustomers[region],"Missing")</f>
        <v>North</v>
      </c>
      <c r="O2416" t="str">
        <f>_xlfn.XLOOKUP(C2416,tblProducts[product_id],tblProducts[product_name],"Missing")</f>
        <v>Analytics Cloud</v>
      </c>
      <c r="P2416" t="str">
        <f>_xlfn.XLOOKUP(C2416,tblProducts[product_id],tblProducts[category],"Missing")</f>
        <v>Analytics</v>
      </c>
      <c r="Q2416" t="str">
        <f>_xlfn.XLOOKUP(D2416,tblSalesReps[rep_id],tblSalesReps[rep_name],"Missing")</f>
        <v>Sales Rep 06</v>
      </c>
      <c r="R2416" t="str">
        <f>_xlfn.XLOOKUP(D2416,tblSalesReps[rep_id],tblSalesReps[region],"Missing")</f>
        <v>North</v>
      </c>
    </row>
    <row r="2417" spans="1:18">
      <c r="A2417" t="s">
        <v>2959</v>
      </c>
      <c r="B2417" t="s">
        <v>2025</v>
      </c>
      <c r="C2417" t="s">
        <v>15</v>
      </c>
      <c r="D2417" t="s">
        <v>91</v>
      </c>
      <c r="E2417" s="1">
        <v>45671</v>
      </c>
      <c r="F2417" s="1">
        <v>45729</v>
      </c>
      <c r="G2417" s="1">
        <v>45729</v>
      </c>
      <c r="H2417" t="s">
        <v>28</v>
      </c>
      <c r="I2417">
        <v>1</v>
      </c>
      <c r="J2417">
        <v>15</v>
      </c>
      <c r="K2417">
        <v>357000</v>
      </c>
      <c r="L2417">
        <v>100</v>
      </c>
      <c r="M2417" t="s">
        <v>29</v>
      </c>
      <c r="N2417" t="str">
        <f>_xlfn.XLOOKUP(B2417,tblCustomers[customer_id],tblCustomers[region],"Missing")</f>
        <v>South</v>
      </c>
      <c r="O2417" t="str">
        <f>_xlfn.XLOOKUP(C2417,tblProducts[product_id],tblProducts[product_name],"Missing")</f>
        <v>CRM Enterprise</v>
      </c>
      <c r="P2417" t="str">
        <f>_xlfn.XLOOKUP(C2417,tblProducts[product_id],tblProducts[category],"Missing")</f>
        <v>CRM</v>
      </c>
      <c r="Q2417" t="str">
        <f>_xlfn.XLOOKUP(D2417,tblSalesReps[rep_id],tblSalesReps[rep_name],"Missing")</f>
        <v>Sales Rep 03</v>
      </c>
      <c r="R2417" t="str">
        <f>_xlfn.XLOOKUP(D2417,tblSalesReps[rep_id],tblSalesReps[region],"Missing")</f>
        <v>South</v>
      </c>
    </row>
    <row r="2418" spans="1:18">
      <c r="A2418" t="s">
        <v>2960</v>
      </c>
      <c r="B2418" t="s">
        <v>851</v>
      </c>
      <c r="C2418" t="s">
        <v>62</v>
      </c>
      <c r="D2418" t="s">
        <v>91</v>
      </c>
      <c r="E2418" s="1">
        <v>45709</v>
      </c>
      <c r="F2418" s="1">
        <v>45732</v>
      </c>
      <c r="G2418" s="1">
        <v>45732</v>
      </c>
      <c r="H2418" t="s">
        <v>28</v>
      </c>
      <c r="I2418">
        <v>1</v>
      </c>
      <c r="J2418">
        <v>20</v>
      </c>
      <c r="K2418">
        <v>96000</v>
      </c>
      <c r="L2418">
        <v>100</v>
      </c>
      <c r="M2418" t="s">
        <v>29</v>
      </c>
      <c r="N2418" t="str">
        <f>_xlfn.XLOOKUP(B2418,tblCustomers[customer_id],tblCustomers[region],"Missing")</f>
        <v>South</v>
      </c>
      <c r="O2418" t="str">
        <f>_xlfn.XLOOKUP(C2418,tblProducts[product_id],tblProducts[product_name],"Missing")</f>
        <v>CRM Essentials</v>
      </c>
      <c r="P2418" t="str">
        <f>_xlfn.XLOOKUP(C2418,tblProducts[product_id],tblProducts[category],"Missing")</f>
        <v>CRM</v>
      </c>
      <c r="Q2418" t="str">
        <f>_xlfn.XLOOKUP(D2418,tblSalesReps[rep_id],tblSalesReps[rep_name],"Missing")</f>
        <v>Sales Rep 03</v>
      </c>
      <c r="R2418" t="str">
        <f>_xlfn.XLOOKUP(D2418,tblSalesReps[rep_id],tblSalesReps[region],"Missing")</f>
        <v>South</v>
      </c>
    </row>
    <row r="2419" spans="1:18">
      <c r="A2419" t="s">
        <v>2961</v>
      </c>
      <c r="B2419" t="s">
        <v>1517</v>
      </c>
      <c r="C2419" t="s">
        <v>15</v>
      </c>
      <c r="D2419" t="s">
        <v>78</v>
      </c>
      <c r="E2419" s="1">
        <v>45946</v>
      </c>
      <c r="F2419" s="1">
        <v>46002</v>
      </c>
      <c r="G2419" s="1">
        <v>46002</v>
      </c>
      <c r="H2419" t="s">
        <v>28</v>
      </c>
      <c r="I2419">
        <v>1</v>
      </c>
      <c r="J2419">
        <v>20</v>
      </c>
      <c r="K2419">
        <v>336000</v>
      </c>
      <c r="L2419">
        <v>100</v>
      </c>
      <c r="M2419" t="s">
        <v>29</v>
      </c>
      <c r="N2419" t="str">
        <f>_xlfn.XLOOKUP(B2419,tblCustomers[customer_id],tblCustomers[region],"Missing")</f>
        <v>West</v>
      </c>
      <c r="O2419" t="str">
        <f>_xlfn.XLOOKUP(C2419,tblProducts[product_id],tblProducts[product_name],"Missing")</f>
        <v>CRM Enterprise</v>
      </c>
      <c r="P2419" t="str">
        <f>_xlfn.XLOOKUP(C2419,tblProducts[product_id],tblProducts[category],"Missing")</f>
        <v>CRM</v>
      </c>
      <c r="Q2419" t="str">
        <f>_xlfn.XLOOKUP(D2419,tblSalesReps[rep_id],tblSalesReps[rep_name],"Missing")</f>
        <v>Sales Rep 12</v>
      </c>
      <c r="R2419" t="str">
        <f>_xlfn.XLOOKUP(D2419,tblSalesReps[rep_id],tblSalesReps[region],"Missing")</f>
        <v>West</v>
      </c>
    </row>
    <row r="2420" spans="1:18">
      <c r="A2420" t="s">
        <v>2962</v>
      </c>
      <c r="B2420" t="s">
        <v>241</v>
      </c>
      <c r="C2420" t="s">
        <v>81</v>
      </c>
      <c r="D2420" t="s">
        <v>168</v>
      </c>
      <c r="E2420" s="1">
        <v>46007</v>
      </c>
      <c r="F2420" s="1">
        <v>46060</v>
      </c>
      <c r="G2420" s="1"/>
      <c r="H2420" t="s">
        <v>43</v>
      </c>
      <c r="I2420">
        <v>1</v>
      </c>
      <c r="J2420">
        <v>0</v>
      </c>
      <c r="K2420">
        <v>300000</v>
      </c>
      <c r="L2420">
        <v>60</v>
      </c>
      <c r="M2420" t="s">
        <v>29</v>
      </c>
      <c r="N2420" t="str">
        <f>_xlfn.XLOOKUP(B2420,tblCustomers[customer_id],tblCustomers[region],"Missing")</f>
        <v>East</v>
      </c>
      <c r="O2420" t="str">
        <f>_xlfn.XLOOKUP(C2420,tblProducts[product_id],tblProducts[product_name],"Missing")</f>
        <v>Analytics Cloud</v>
      </c>
      <c r="P2420" t="str">
        <f>_xlfn.XLOOKUP(C2420,tblProducts[product_id],tblProducts[category],"Missing")</f>
        <v>Analytics</v>
      </c>
      <c r="Q2420" t="str">
        <f>_xlfn.XLOOKUP(D2420,tblSalesReps[rep_id],tblSalesReps[rep_name],"Missing")</f>
        <v>Sales Rep 17</v>
      </c>
      <c r="R2420" t="str">
        <f>_xlfn.XLOOKUP(D2420,tblSalesReps[rep_id],tblSalesReps[region],"Missing")</f>
        <v>East</v>
      </c>
    </row>
    <row r="2421" spans="1:18">
      <c r="A2421" t="s">
        <v>2963</v>
      </c>
      <c r="B2421" t="s">
        <v>414</v>
      </c>
      <c r="C2421" t="s">
        <v>26</v>
      </c>
      <c r="D2421" t="s">
        <v>168</v>
      </c>
      <c r="E2421" s="1">
        <v>45688</v>
      </c>
      <c r="F2421" s="1">
        <v>45708</v>
      </c>
      <c r="G2421" s="1">
        <v>45708</v>
      </c>
      <c r="H2421" t="s">
        <v>28</v>
      </c>
      <c r="I2421">
        <v>3</v>
      </c>
      <c r="J2421">
        <v>0</v>
      </c>
      <c r="K2421">
        <v>1080000</v>
      </c>
      <c r="L2421">
        <v>100</v>
      </c>
      <c r="M2421" t="s">
        <v>29</v>
      </c>
      <c r="N2421" t="str">
        <f>_xlfn.XLOOKUP(B2421,tblCustomers[customer_id],tblCustomers[region],"Missing")</f>
        <v>East</v>
      </c>
      <c r="O2421" t="str">
        <f>_xlfn.XLOOKUP(C2421,tblProducts[product_id],tblProducts[product_name],"Missing")</f>
        <v>Security Suite</v>
      </c>
      <c r="P2421" t="str">
        <f>_xlfn.XLOOKUP(C2421,tblProducts[product_id],tblProducts[category],"Missing")</f>
        <v>Security</v>
      </c>
      <c r="Q2421" t="str">
        <f>_xlfn.XLOOKUP(D2421,tblSalesReps[rep_id],tblSalesReps[rep_name],"Missing")</f>
        <v>Sales Rep 17</v>
      </c>
      <c r="R2421" t="str">
        <f>_xlfn.XLOOKUP(D2421,tblSalesReps[rep_id],tblSalesReps[region],"Missing")</f>
        <v>East</v>
      </c>
    </row>
    <row r="2422" spans="1:18">
      <c r="A2422" t="s">
        <v>2964</v>
      </c>
      <c r="B2422" t="s">
        <v>902</v>
      </c>
      <c r="C2422" t="s">
        <v>39</v>
      </c>
      <c r="D2422" t="s">
        <v>27</v>
      </c>
      <c r="E2422" s="1">
        <v>45865</v>
      </c>
      <c r="F2422" s="1">
        <v>45948</v>
      </c>
      <c r="G2422" s="1">
        <v>45948</v>
      </c>
      <c r="H2422" t="s">
        <v>17</v>
      </c>
      <c r="I2422">
        <v>1</v>
      </c>
      <c r="J2422">
        <v>15</v>
      </c>
      <c r="K2422">
        <v>153000</v>
      </c>
      <c r="L2422">
        <v>0</v>
      </c>
      <c r="M2422" t="s">
        <v>23</v>
      </c>
      <c r="N2422" t="str">
        <f>_xlfn.XLOOKUP(B2422,tblCustomers[customer_id],tblCustomers[region],"Missing")</f>
        <v>North</v>
      </c>
      <c r="O2422" t="str">
        <f>_xlfn.XLOOKUP(C2422,tblProducts[product_id],tblProducts[product_name],"Missing")</f>
        <v>Support Desk</v>
      </c>
      <c r="P2422" t="str">
        <f>_xlfn.XLOOKUP(C2422,tblProducts[product_id],tblProducts[category],"Missing")</f>
        <v>Service</v>
      </c>
      <c r="Q2422" t="str">
        <f>_xlfn.XLOOKUP(D2422,tblSalesReps[rep_id],tblSalesReps[rep_name],"Missing")</f>
        <v>Sales Rep 06</v>
      </c>
      <c r="R2422" t="str">
        <f>_xlfn.XLOOKUP(D2422,tblSalesReps[rep_id],tblSalesReps[region],"Missing")</f>
        <v>North</v>
      </c>
    </row>
    <row r="2423" spans="1:18">
      <c r="A2423" t="s">
        <v>2965</v>
      </c>
      <c r="B2423" t="s">
        <v>121</v>
      </c>
      <c r="C2423" t="s">
        <v>15</v>
      </c>
      <c r="D2423" t="s">
        <v>126</v>
      </c>
      <c r="E2423" s="1">
        <v>46002</v>
      </c>
      <c r="F2423" s="1">
        <v>46074</v>
      </c>
      <c r="G2423" s="1"/>
      <c r="H2423" t="s">
        <v>43</v>
      </c>
      <c r="I2423">
        <v>1</v>
      </c>
      <c r="J2423">
        <v>5</v>
      </c>
      <c r="K2423">
        <v>399000</v>
      </c>
      <c r="L2423">
        <v>80</v>
      </c>
      <c r="M2423" t="s">
        <v>29</v>
      </c>
      <c r="N2423" t="str">
        <f>_xlfn.XLOOKUP(B2423,tblCustomers[customer_id],tblCustomers[region],"Missing")</f>
        <v>South</v>
      </c>
      <c r="O2423" t="str">
        <f>_xlfn.XLOOKUP(C2423,tblProducts[product_id],tblProducts[product_name],"Missing")</f>
        <v>CRM Enterprise</v>
      </c>
      <c r="P2423" t="str">
        <f>_xlfn.XLOOKUP(C2423,tblProducts[product_id],tblProducts[category],"Missing")</f>
        <v>CRM</v>
      </c>
      <c r="Q2423" t="str">
        <f>_xlfn.XLOOKUP(D2423,tblSalesReps[rep_id],tblSalesReps[rep_name],"Missing")</f>
        <v>Sales Rep 02</v>
      </c>
      <c r="R2423" t="str">
        <f>_xlfn.XLOOKUP(D2423,tblSalesReps[rep_id],tblSalesReps[region],"Missing")</f>
        <v>South</v>
      </c>
    </row>
    <row r="2424" spans="1:18">
      <c r="A2424" t="s">
        <v>2966</v>
      </c>
      <c r="B2424" t="s">
        <v>896</v>
      </c>
      <c r="C2424" t="s">
        <v>39</v>
      </c>
      <c r="D2424" t="s">
        <v>59</v>
      </c>
      <c r="E2424" s="1">
        <v>45699</v>
      </c>
      <c r="F2424" s="1">
        <v>45735</v>
      </c>
      <c r="G2424" s="1"/>
      <c r="H2424" t="s">
        <v>43</v>
      </c>
      <c r="I2424">
        <v>2</v>
      </c>
      <c r="J2424">
        <v>10</v>
      </c>
      <c r="K2424">
        <v>324000</v>
      </c>
      <c r="L2424">
        <v>40</v>
      </c>
      <c r="M2424" t="s">
        <v>29</v>
      </c>
      <c r="N2424" t="str">
        <f>_xlfn.XLOOKUP(B2424,tblCustomers[customer_id],tblCustomers[region],"Missing")</f>
        <v>East</v>
      </c>
      <c r="O2424" t="str">
        <f>_xlfn.XLOOKUP(C2424,tblProducts[product_id],tblProducts[product_name],"Missing")</f>
        <v>Support Desk</v>
      </c>
      <c r="P2424" t="str">
        <f>_xlfn.XLOOKUP(C2424,tblProducts[product_id],tblProducts[category],"Missing")</f>
        <v>Service</v>
      </c>
      <c r="Q2424" t="str">
        <f>_xlfn.XLOOKUP(D2424,tblSalesReps[rep_id],tblSalesReps[rep_name],"Missing")</f>
        <v>Sales Rep 19</v>
      </c>
      <c r="R2424" t="str">
        <f>_xlfn.XLOOKUP(D2424,tblSalesReps[rep_id],tblSalesReps[region],"Missing")</f>
        <v>East</v>
      </c>
    </row>
    <row r="2425" spans="1:18">
      <c r="A2425" t="s">
        <v>2967</v>
      </c>
      <c r="B2425" t="s">
        <v>74</v>
      </c>
      <c r="C2425" t="s">
        <v>62</v>
      </c>
      <c r="D2425" t="s">
        <v>16</v>
      </c>
      <c r="E2425" s="1">
        <v>45844</v>
      </c>
      <c r="F2425" s="1">
        <v>45896</v>
      </c>
      <c r="G2425" s="1">
        <v>45896</v>
      </c>
      <c r="H2425" t="s">
        <v>17</v>
      </c>
      <c r="I2425">
        <v>1</v>
      </c>
      <c r="J2425">
        <v>20</v>
      </c>
      <c r="K2425">
        <v>96000</v>
      </c>
      <c r="L2425">
        <v>0</v>
      </c>
      <c r="M2425" t="s">
        <v>23</v>
      </c>
      <c r="N2425" t="str">
        <f>_xlfn.XLOOKUP(B2425,tblCustomers[customer_id],tblCustomers[region],"Missing")</f>
        <v>North</v>
      </c>
      <c r="O2425" t="str">
        <f>_xlfn.XLOOKUP(C2425,tblProducts[product_id],tblProducts[product_name],"Missing")</f>
        <v>CRM Essentials</v>
      </c>
      <c r="P2425" t="str">
        <f>_xlfn.XLOOKUP(C2425,tblProducts[product_id],tblProducts[category],"Missing")</f>
        <v>CRM</v>
      </c>
      <c r="Q2425" t="str">
        <f>_xlfn.XLOOKUP(D2425,tblSalesReps[rep_id],tblSalesReps[rep_name],"Missing")</f>
        <v>Sales Rep 08</v>
      </c>
      <c r="R2425" t="str">
        <f>_xlfn.XLOOKUP(D2425,tblSalesReps[rep_id],tblSalesReps[region],"Missing")</f>
        <v>North</v>
      </c>
    </row>
    <row r="2426" spans="1:18">
      <c r="A2426" t="s">
        <v>2968</v>
      </c>
      <c r="B2426" t="s">
        <v>1760</v>
      </c>
      <c r="C2426" t="s">
        <v>21</v>
      </c>
      <c r="D2426" t="s">
        <v>59</v>
      </c>
      <c r="E2426" s="1">
        <v>45788</v>
      </c>
      <c r="F2426" s="1">
        <v>45852</v>
      </c>
      <c r="G2426" s="1">
        <v>45852</v>
      </c>
      <c r="H2426" t="s">
        <v>28</v>
      </c>
      <c r="I2426">
        <v>1</v>
      </c>
      <c r="J2426">
        <v>20</v>
      </c>
      <c r="K2426">
        <v>192000</v>
      </c>
      <c r="L2426">
        <v>100</v>
      </c>
      <c r="M2426" t="s">
        <v>29</v>
      </c>
      <c r="N2426" t="str">
        <f>_xlfn.XLOOKUP(B2426,tblCustomers[customer_id],tblCustomers[region],"Missing")</f>
        <v>East</v>
      </c>
      <c r="O2426" t="str">
        <f>_xlfn.XLOOKUP(C2426,tblProducts[product_id],tblProducts[product_name],"Missing")</f>
        <v>Workflow Automate</v>
      </c>
      <c r="P2426" t="str">
        <f>_xlfn.XLOOKUP(C2426,tblProducts[product_id],tblProducts[category],"Missing")</f>
        <v>Automation</v>
      </c>
      <c r="Q2426" t="str">
        <f>_xlfn.XLOOKUP(D2426,tblSalesReps[rep_id],tblSalesReps[rep_name],"Missing")</f>
        <v>Sales Rep 19</v>
      </c>
      <c r="R2426" t="str">
        <f>_xlfn.XLOOKUP(D2426,tblSalesReps[rep_id],tblSalesReps[region],"Missing")</f>
        <v>East</v>
      </c>
    </row>
    <row r="2427" spans="1:18">
      <c r="A2427" t="s">
        <v>2969</v>
      </c>
      <c r="B2427" t="s">
        <v>65</v>
      </c>
      <c r="C2427" t="s">
        <v>26</v>
      </c>
      <c r="D2427" t="s">
        <v>56</v>
      </c>
      <c r="E2427" s="1">
        <v>45717</v>
      </c>
      <c r="F2427" s="1">
        <v>45779</v>
      </c>
      <c r="G2427" s="1">
        <v>45779</v>
      </c>
      <c r="H2427" t="s">
        <v>28</v>
      </c>
      <c r="I2427">
        <v>1</v>
      </c>
      <c r="J2427">
        <v>15</v>
      </c>
      <c r="K2427">
        <v>306000</v>
      </c>
      <c r="L2427">
        <v>100</v>
      </c>
      <c r="M2427" t="s">
        <v>29</v>
      </c>
      <c r="N2427" t="str">
        <f>_xlfn.XLOOKUP(B2427,tblCustomers[customer_id],tblCustomers[region],"Missing")</f>
        <v>East</v>
      </c>
      <c r="O2427" t="str">
        <f>_xlfn.XLOOKUP(C2427,tblProducts[product_id],tblProducts[product_name],"Missing")</f>
        <v>Security Suite</v>
      </c>
      <c r="P2427" t="str">
        <f>_xlfn.XLOOKUP(C2427,tblProducts[product_id],tblProducts[category],"Missing")</f>
        <v>Security</v>
      </c>
      <c r="Q2427" t="str">
        <f>_xlfn.XLOOKUP(D2427,tblSalesReps[rep_id],tblSalesReps[rep_name],"Missing")</f>
        <v>Sales Rep 20</v>
      </c>
      <c r="R2427" t="str">
        <f>_xlfn.XLOOKUP(D2427,tblSalesReps[rep_id],tblSalesReps[region],"Missing")</f>
        <v>East</v>
      </c>
    </row>
    <row r="2428" spans="1:18">
      <c r="A2428" t="s">
        <v>2970</v>
      </c>
      <c r="B2428" t="s">
        <v>1834</v>
      </c>
      <c r="C2428" t="s">
        <v>81</v>
      </c>
      <c r="D2428" t="s">
        <v>53</v>
      </c>
      <c r="E2428" s="1">
        <v>45743</v>
      </c>
      <c r="F2428" s="1">
        <v>45771</v>
      </c>
      <c r="G2428" s="1">
        <v>45771</v>
      </c>
      <c r="H2428" t="s">
        <v>28</v>
      </c>
      <c r="I2428">
        <v>1</v>
      </c>
      <c r="J2428">
        <v>10</v>
      </c>
      <c r="K2428">
        <v>270000</v>
      </c>
      <c r="L2428">
        <v>100</v>
      </c>
      <c r="M2428" t="s">
        <v>29</v>
      </c>
      <c r="N2428" t="str">
        <f>_xlfn.XLOOKUP(B2428,tblCustomers[customer_id],tblCustomers[region],"Missing")</f>
        <v>East</v>
      </c>
      <c r="O2428" t="str">
        <f>_xlfn.XLOOKUP(C2428,tblProducts[product_id],tblProducts[product_name],"Missing")</f>
        <v>Analytics Cloud</v>
      </c>
      <c r="P2428" t="str">
        <f>_xlfn.XLOOKUP(C2428,tblProducts[product_id],tblProducts[category],"Missing")</f>
        <v>Analytics</v>
      </c>
      <c r="Q2428" t="str">
        <f>_xlfn.XLOOKUP(D2428,tblSalesReps[rep_id],tblSalesReps[rep_name],"Missing")</f>
        <v>Sales Rep 16</v>
      </c>
      <c r="R2428" t="str">
        <f>_xlfn.XLOOKUP(D2428,tblSalesReps[rep_id],tblSalesReps[region],"Missing")</f>
        <v>East</v>
      </c>
    </row>
    <row r="2429" spans="1:18">
      <c r="A2429" t="s">
        <v>2971</v>
      </c>
      <c r="B2429" t="s">
        <v>389</v>
      </c>
      <c r="C2429" t="s">
        <v>15</v>
      </c>
      <c r="D2429" t="s">
        <v>56</v>
      </c>
      <c r="E2429" s="1">
        <v>45672</v>
      </c>
      <c r="F2429" s="1">
        <v>45723</v>
      </c>
      <c r="G2429" s="1"/>
      <c r="H2429" t="s">
        <v>43</v>
      </c>
      <c r="I2429">
        <v>1</v>
      </c>
      <c r="J2429">
        <v>0</v>
      </c>
      <c r="K2429">
        <v>420000</v>
      </c>
      <c r="L2429">
        <v>80</v>
      </c>
      <c r="M2429" t="s">
        <v>29</v>
      </c>
      <c r="N2429" t="str">
        <f>_xlfn.XLOOKUP(B2429,tblCustomers[customer_id],tblCustomers[region],"Missing")</f>
        <v>East</v>
      </c>
      <c r="O2429" t="str">
        <f>_xlfn.XLOOKUP(C2429,tblProducts[product_id],tblProducts[product_name],"Missing")</f>
        <v>CRM Enterprise</v>
      </c>
      <c r="P2429" t="str">
        <f>_xlfn.XLOOKUP(C2429,tblProducts[product_id],tblProducts[category],"Missing")</f>
        <v>CRM</v>
      </c>
      <c r="Q2429" t="str">
        <f>_xlfn.XLOOKUP(D2429,tblSalesReps[rep_id],tblSalesReps[rep_name],"Missing")</f>
        <v>Sales Rep 20</v>
      </c>
      <c r="R2429" t="str">
        <f>_xlfn.XLOOKUP(D2429,tblSalesReps[rep_id],tblSalesReps[region],"Missing")</f>
        <v>East</v>
      </c>
    </row>
    <row r="2430" spans="1:18">
      <c r="A2430" t="s">
        <v>2972</v>
      </c>
      <c r="B2430" t="s">
        <v>892</v>
      </c>
      <c r="C2430" t="s">
        <v>15</v>
      </c>
      <c r="D2430" t="s">
        <v>56</v>
      </c>
      <c r="E2430" s="1">
        <v>45716</v>
      </c>
      <c r="F2430" s="1">
        <v>45801</v>
      </c>
      <c r="G2430" s="1">
        <v>45801</v>
      </c>
      <c r="H2430" t="s">
        <v>17</v>
      </c>
      <c r="I2430">
        <v>1</v>
      </c>
      <c r="J2430">
        <v>5</v>
      </c>
      <c r="K2430">
        <v>399000</v>
      </c>
      <c r="L2430">
        <v>0</v>
      </c>
      <c r="M2430" t="s">
        <v>33</v>
      </c>
      <c r="N2430" t="str">
        <f>_xlfn.XLOOKUP(B2430,tblCustomers[customer_id],tblCustomers[region],"Missing")</f>
        <v>East</v>
      </c>
      <c r="O2430" t="str">
        <f>_xlfn.XLOOKUP(C2430,tblProducts[product_id],tblProducts[product_name],"Missing")</f>
        <v>CRM Enterprise</v>
      </c>
      <c r="P2430" t="str">
        <f>_xlfn.XLOOKUP(C2430,tblProducts[product_id],tblProducts[category],"Missing")</f>
        <v>CRM</v>
      </c>
      <c r="Q2430" t="str">
        <f>_xlfn.XLOOKUP(D2430,tblSalesReps[rep_id],tblSalesReps[rep_name],"Missing")</f>
        <v>Sales Rep 20</v>
      </c>
      <c r="R2430" t="str">
        <f>_xlfn.XLOOKUP(D2430,tblSalesReps[rep_id],tblSalesReps[region],"Missing")</f>
        <v>East</v>
      </c>
    </row>
    <row r="2431" spans="1:18">
      <c r="A2431" t="s">
        <v>2973</v>
      </c>
      <c r="B2431" t="s">
        <v>853</v>
      </c>
      <c r="C2431" t="s">
        <v>21</v>
      </c>
      <c r="D2431" t="s">
        <v>22</v>
      </c>
      <c r="E2431" s="1">
        <v>45713</v>
      </c>
      <c r="F2431" s="1">
        <v>45727</v>
      </c>
      <c r="G2431" s="1">
        <v>45727</v>
      </c>
      <c r="H2431" t="s">
        <v>28</v>
      </c>
      <c r="I2431">
        <v>2</v>
      </c>
      <c r="J2431">
        <v>10</v>
      </c>
      <c r="K2431">
        <v>432000</v>
      </c>
      <c r="L2431">
        <v>100</v>
      </c>
      <c r="M2431" t="s">
        <v>29</v>
      </c>
      <c r="N2431" t="str">
        <f>_xlfn.XLOOKUP(B2431,tblCustomers[customer_id],tblCustomers[region],"Missing")</f>
        <v>West</v>
      </c>
      <c r="O2431" t="str">
        <f>_xlfn.XLOOKUP(C2431,tblProducts[product_id],tblProducts[product_name],"Missing")</f>
        <v>Workflow Automate</v>
      </c>
      <c r="P2431" t="str">
        <f>_xlfn.XLOOKUP(C2431,tblProducts[product_id],tblProducts[category],"Missing")</f>
        <v>Automation</v>
      </c>
      <c r="Q2431" t="str">
        <f>_xlfn.XLOOKUP(D2431,tblSalesReps[rep_id],tblSalesReps[rep_name],"Missing")</f>
        <v>Sales Rep 14</v>
      </c>
      <c r="R2431" t="str">
        <f>_xlfn.XLOOKUP(D2431,tblSalesReps[rep_id],tblSalesReps[region],"Missing")</f>
        <v>West</v>
      </c>
    </row>
    <row r="2432" spans="1:18">
      <c r="A2432" t="s">
        <v>2974</v>
      </c>
      <c r="B2432" t="s">
        <v>108</v>
      </c>
      <c r="C2432" t="s">
        <v>21</v>
      </c>
      <c r="D2432" t="s">
        <v>16</v>
      </c>
      <c r="E2432" s="1">
        <v>45687</v>
      </c>
      <c r="F2432" s="1">
        <v>45703</v>
      </c>
      <c r="G2432" s="1">
        <v>45703</v>
      </c>
      <c r="H2432" t="s">
        <v>17</v>
      </c>
      <c r="I2432">
        <v>1</v>
      </c>
      <c r="J2432">
        <v>5</v>
      </c>
      <c r="K2432">
        <v>228000</v>
      </c>
      <c r="L2432">
        <v>0</v>
      </c>
      <c r="M2432" t="s">
        <v>18</v>
      </c>
      <c r="N2432" t="str">
        <f>_xlfn.XLOOKUP(B2432,tblCustomers[customer_id],tblCustomers[region],"Missing")</f>
        <v>North</v>
      </c>
      <c r="O2432" t="str">
        <f>_xlfn.XLOOKUP(C2432,tblProducts[product_id],tblProducts[product_name],"Missing")</f>
        <v>Workflow Automate</v>
      </c>
      <c r="P2432" t="str">
        <f>_xlfn.XLOOKUP(C2432,tblProducts[product_id],tblProducts[category],"Missing")</f>
        <v>Automation</v>
      </c>
      <c r="Q2432" t="str">
        <f>_xlfn.XLOOKUP(D2432,tblSalesReps[rep_id],tblSalesReps[rep_name],"Missing")</f>
        <v>Sales Rep 08</v>
      </c>
      <c r="R2432" t="str">
        <f>_xlfn.XLOOKUP(D2432,tblSalesReps[rep_id],tblSalesReps[region],"Missing")</f>
        <v>North</v>
      </c>
    </row>
    <row r="2433" spans="1:18">
      <c r="A2433" t="s">
        <v>2975</v>
      </c>
      <c r="B2433" t="s">
        <v>133</v>
      </c>
      <c r="C2433" t="s">
        <v>39</v>
      </c>
      <c r="D2433" t="s">
        <v>78</v>
      </c>
      <c r="E2433" s="1">
        <v>45823</v>
      </c>
      <c r="F2433" s="1">
        <v>45848</v>
      </c>
      <c r="G2433" s="1">
        <v>45848</v>
      </c>
      <c r="H2433" t="s">
        <v>17</v>
      </c>
      <c r="I2433">
        <v>1</v>
      </c>
      <c r="J2433">
        <v>5</v>
      </c>
      <c r="K2433">
        <v>171000</v>
      </c>
      <c r="L2433">
        <v>0</v>
      </c>
      <c r="M2433" t="s">
        <v>33</v>
      </c>
      <c r="N2433" t="str">
        <f>_xlfn.XLOOKUP(B2433,tblCustomers[customer_id],tblCustomers[region],"Missing")</f>
        <v>West</v>
      </c>
      <c r="O2433" t="str">
        <f>_xlfn.XLOOKUP(C2433,tblProducts[product_id],tblProducts[product_name],"Missing")</f>
        <v>Support Desk</v>
      </c>
      <c r="P2433" t="str">
        <f>_xlfn.XLOOKUP(C2433,tblProducts[product_id],tblProducts[category],"Missing")</f>
        <v>Service</v>
      </c>
      <c r="Q2433" t="str">
        <f>_xlfn.XLOOKUP(D2433,tblSalesReps[rep_id],tblSalesReps[rep_name],"Missing")</f>
        <v>Sales Rep 12</v>
      </c>
      <c r="R2433" t="str">
        <f>_xlfn.XLOOKUP(D2433,tblSalesReps[rep_id],tblSalesReps[region],"Missing")</f>
        <v>West</v>
      </c>
    </row>
    <row r="2434" spans="1:18">
      <c r="A2434" t="s">
        <v>2976</v>
      </c>
      <c r="B2434" t="s">
        <v>42</v>
      </c>
      <c r="C2434" t="s">
        <v>62</v>
      </c>
      <c r="D2434" t="s">
        <v>16</v>
      </c>
      <c r="E2434" s="1">
        <v>45757</v>
      </c>
      <c r="F2434" s="1">
        <v>45819</v>
      </c>
      <c r="G2434" s="1">
        <v>45819</v>
      </c>
      <c r="H2434" t="s">
        <v>28</v>
      </c>
      <c r="I2434">
        <v>2</v>
      </c>
      <c r="J2434">
        <v>5</v>
      </c>
      <c r="K2434">
        <v>228000</v>
      </c>
      <c r="L2434">
        <v>100</v>
      </c>
      <c r="M2434" t="s">
        <v>29</v>
      </c>
      <c r="N2434" t="str">
        <f>_xlfn.XLOOKUP(B2434,tblCustomers[customer_id],tblCustomers[region],"Missing")</f>
        <v>North</v>
      </c>
      <c r="O2434" t="str">
        <f>_xlfn.XLOOKUP(C2434,tblProducts[product_id],tblProducts[product_name],"Missing")</f>
        <v>CRM Essentials</v>
      </c>
      <c r="P2434" t="str">
        <f>_xlfn.XLOOKUP(C2434,tblProducts[product_id],tblProducts[category],"Missing")</f>
        <v>CRM</v>
      </c>
      <c r="Q2434" t="str">
        <f>_xlfn.XLOOKUP(D2434,tblSalesReps[rep_id],tblSalesReps[rep_name],"Missing")</f>
        <v>Sales Rep 08</v>
      </c>
      <c r="R2434" t="str">
        <f>_xlfn.XLOOKUP(D2434,tblSalesReps[rep_id],tblSalesReps[region],"Missing")</f>
        <v>North</v>
      </c>
    </row>
    <row r="2435" spans="1:18">
      <c r="A2435" t="s">
        <v>2977</v>
      </c>
      <c r="B2435" t="s">
        <v>529</v>
      </c>
      <c r="C2435" t="s">
        <v>26</v>
      </c>
      <c r="D2435" t="s">
        <v>32</v>
      </c>
      <c r="E2435" s="1">
        <v>45895</v>
      </c>
      <c r="F2435" s="1">
        <v>45977</v>
      </c>
      <c r="G2435" s="1"/>
      <c r="H2435" t="s">
        <v>43</v>
      </c>
      <c r="I2435">
        <v>1</v>
      </c>
      <c r="J2435">
        <v>0</v>
      </c>
      <c r="K2435">
        <v>360000</v>
      </c>
      <c r="L2435">
        <v>20</v>
      </c>
      <c r="M2435" t="s">
        <v>29</v>
      </c>
      <c r="N2435" t="str">
        <f>_xlfn.XLOOKUP(B2435,tblCustomers[customer_id],tblCustomers[region],"Missing")</f>
        <v>South</v>
      </c>
      <c r="O2435" t="str">
        <f>_xlfn.XLOOKUP(C2435,tblProducts[product_id],tblProducts[product_name],"Missing")</f>
        <v>Security Suite</v>
      </c>
      <c r="P2435" t="str">
        <f>_xlfn.XLOOKUP(C2435,tblProducts[product_id],tblProducts[category],"Missing")</f>
        <v>Security</v>
      </c>
      <c r="Q2435" t="str">
        <f>_xlfn.XLOOKUP(D2435,tblSalesReps[rep_id],tblSalesReps[rep_name],"Missing")</f>
        <v>Sales Rep 04</v>
      </c>
      <c r="R2435" t="str">
        <f>_xlfn.XLOOKUP(D2435,tblSalesReps[rep_id],tblSalesReps[region],"Missing")</f>
        <v>South</v>
      </c>
    </row>
    <row r="2436" spans="1:18">
      <c r="A2436" t="s">
        <v>2978</v>
      </c>
      <c r="B2436" t="s">
        <v>716</v>
      </c>
      <c r="C2436" t="s">
        <v>39</v>
      </c>
      <c r="D2436" t="s">
        <v>40</v>
      </c>
      <c r="E2436" s="1">
        <v>45906</v>
      </c>
      <c r="F2436" s="1">
        <v>45952</v>
      </c>
      <c r="G2436" s="1">
        <v>45952</v>
      </c>
      <c r="H2436" t="s">
        <v>28</v>
      </c>
      <c r="I2436">
        <v>1</v>
      </c>
      <c r="J2436">
        <v>10</v>
      </c>
      <c r="K2436">
        <v>162000</v>
      </c>
      <c r="L2436">
        <v>100</v>
      </c>
      <c r="M2436" t="s">
        <v>29</v>
      </c>
      <c r="N2436" t="str">
        <f>_xlfn.XLOOKUP(B2436,tblCustomers[customer_id],tblCustomers[region],"Missing")</f>
        <v>West</v>
      </c>
      <c r="O2436" t="str">
        <f>_xlfn.XLOOKUP(C2436,tblProducts[product_id],tblProducts[product_name],"Missing")</f>
        <v>Support Desk</v>
      </c>
      <c r="P2436" t="str">
        <f>_xlfn.XLOOKUP(C2436,tblProducts[product_id],tblProducts[category],"Missing")</f>
        <v>Service</v>
      </c>
      <c r="Q2436" t="str">
        <f>_xlfn.XLOOKUP(D2436,tblSalesReps[rep_id],tblSalesReps[rep_name],"Missing")</f>
        <v>Sales Rep 13</v>
      </c>
      <c r="R2436" t="str">
        <f>_xlfn.XLOOKUP(D2436,tblSalesReps[rep_id],tblSalesReps[region],"Missing")</f>
        <v>West</v>
      </c>
    </row>
    <row r="2437" spans="1:18">
      <c r="A2437" t="s">
        <v>2979</v>
      </c>
      <c r="B2437" t="s">
        <v>2067</v>
      </c>
      <c r="C2437" t="s">
        <v>21</v>
      </c>
      <c r="D2437" t="s">
        <v>22</v>
      </c>
      <c r="E2437" s="1">
        <v>45911</v>
      </c>
      <c r="F2437" s="1">
        <v>45958</v>
      </c>
      <c r="G2437" s="1">
        <v>45958</v>
      </c>
      <c r="H2437" t="s">
        <v>17</v>
      </c>
      <c r="I2437">
        <v>3</v>
      </c>
      <c r="J2437">
        <v>15</v>
      </c>
      <c r="K2437">
        <v>612000</v>
      </c>
      <c r="L2437">
        <v>0</v>
      </c>
      <c r="M2437" t="s">
        <v>33</v>
      </c>
      <c r="N2437" t="str">
        <f>_xlfn.XLOOKUP(B2437,tblCustomers[customer_id],tblCustomers[region],"Missing")</f>
        <v>West</v>
      </c>
      <c r="O2437" t="str">
        <f>_xlfn.XLOOKUP(C2437,tblProducts[product_id],tblProducts[product_name],"Missing")</f>
        <v>Workflow Automate</v>
      </c>
      <c r="P2437" t="str">
        <f>_xlfn.XLOOKUP(C2437,tblProducts[product_id],tblProducts[category],"Missing")</f>
        <v>Automation</v>
      </c>
      <c r="Q2437" t="str">
        <f>_xlfn.XLOOKUP(D2437,tblSalesReps[rep_id],tblSalesReps[rep_name],"Missing")</f>
        <v>Sales Rep 14</v>
      </c>
      <c r="R2437" t="str">
        <f>_xlfn.XLOOKUP(D2437,tblSalesReps[rep_id],tblSalesReps[region],"Missing")</f>
        <v>West</v>
      </c>
    </row>
    <row r="2438" spans="1:18">
      <c r="A2438" t="s">
        <v>2980</v>
      </c>
      <c r="B2438" t="s">
        <v>364</v>
      </c>
      <c r="C2438" t="s">
        <v>26</v>
      </c>
      <c r="D2438" t="s">
        <v>53</v>
      </c>
      <c r="E2438" s="1">
        <v>45825</v>
      </c>
      <c r="F2438" s="1">
        <v>45873</v>
      </c>
      <c r="G2438" s="1">
        <v>45873</v>
      </c>
      <c r="H2438" t="s">
        <v>17</v>
      </c>
      <c r="I2438">
        <v>1</v>
      </c>
      <c r="J2438">
        <v>10</v>
      </c>
      <c r="K2438">
        <v>324000</v>
      </c>
      <c r="L2438">
        <v>0</v>
      </c>
      <c r="M2438" t="s">
        <v>47</v>
      </c>
      <c r="N2438" t="str">
        <f>_xlfn.XLOOKUP(B2438,tblCustomers[customer_id],tblCustomers[region],"Missing")</f>
        <v>East</v>
      </c>
      <c r="O2438" t="str">
        <f>_xlfn.XLOOKUP(C2438,tblProducts[product_id],tblProducts[product_name],"Missing")</f>
        <v>Security Suite</v>
      </c>
      <c r="P2438" t="str">
        <f>_xlfn.XLOOKUP(C2438,tblProducts[product_id],tblProducts[category],"Missing")</f>
        <v>Security</v>
      </c>
      <c r="Q2438" t="str">
        <f>_xlfn.XLOOKUP(D2438,tblSalesReps[rep_id],tblSalesReps[rep_name],"Missing")</f>
        <v>Sales Rep 16</v>
      </c>
      <c r="R2438" t="str">
        <f>_xlfn.XLOOKUP(D2438,tblSalesReps[rep_id],tblSalesReps[region],"Missing")</f>
        <v>East</v>
      </c>
    </row>
    <row r="2439" spans="1:18">
      <c r="A2439" t="s">
        <v>2981</v>
      </c>
      <c r="B2439" t="s">
        <v>2325</v>
      </c>
      <c r="C2439" t="s">
        <v>26</v>
      </c>
      <c r="D2439" t="s">
        <v>56</v>
      </c>
      <c r="E2439" s="1">
        <v>45701</v>
      </c>
      <c r="F2439" s="1">
        <v>45763</v>
      </c>
      <c r="G2439" s="1">
        <v>45763</v>
      </c>
      <c r="H2439" t="s">
        <v>17</v>
      </c>
      <c r="I2439">
        <v>1</v>
      </c>
      <c r="J2439">
        <v>10</v>
      </c>
      <c r="K2439">
        <v>324000</v>
      </c>
      <c r="L2439">
        <v>0</v>
      </c>
      <c r="M2439" t="s">
        <v>33</v>
      </c>
      <c r="N2439" t="str">
        <f>_xlfn.XLOOKUP(B2439,tblCustomers[customer_id],tblCustomers[region],"Missing")</f>
        <v>East</v>
      </c>
      <c r="O2439" t="str">
        <f>_xlfn.XLOOKUP(C2439,tblProducts[product_id],tblProducts[product_name],"Missing")</f>
        <v>Security Suite</v>
      </c>
      <c r="P2439" t="str">
        <f>_xlfn.XLOOKUP(C2439,tblProducts[product_id],tblProducts[category],"Missing")</f>
        <v>Security</v>
      </c>
      <c r="Q2439" t="str">
        <f>_xlfn.XLOOKUP(D2439,tblSalesReps[rep_id],tblSalesReps[rep_name],"Missing")</f>
        <v>Sales Rep 20</v>
      </c>
      <c r="R2439" t="str">
        <f>_xlfn.XLOOKUP(D2439,tblSalesReps[rep_id],tblSalesReps[region],"Missing")</f>
        <v>East</v>
      </c>
    </row>
    <row r="2440" spans="1:18">
      <c r="A2440" t="s">
        <v>2982</v>
      </c>
      <c r="B2440" t="s">
        <v>551</v>
      </c>
      <c r="C2440" t="s">
        <v>15</v>
      </c>
      <c r="D2440" t="s">
        <v>59</v>
      </c>
      <c r="E2440" s="1">
        <v>45781</v>
      </c>
      <c r="F2440" s="1">
        <v>45815</v>
      </c>
      <c r="G2440" s="1">
        <v>45815</v>
      </c>
      <c r="H2440" t="s">
        <v>17</v>
      </c>
      <c r="I2440">
        <v>2</v>
      </c>
      <c r="J2440">
        <v>5</v>
      </c>
      <c r="K2440">
        <v>798000</v>
      </c>
      <c r="L2440">
        <v>0</v>
      </c>
      <c r="M2440" t="s">
        <v>23</v>
      </c>
      <c r="N2440" t="str">
        <f>_xlfn.XLOOKUP(B2440,tblCustomers[customer_id],tblCustomers[region],"Missing")</f>
        <v>East</v>
      </c>
      <c r="O2440" t="str">
        <f>_xlfn.XLOOKUP(C2440,tblProducts[product_id],tblProducts[product_name],"Missing")</f>
        <v>CRM Enterprise</v>
      </c>
      <c r="P2440" t="str">
        <f>_xlfn.XLOOKUP(C2440,tblProducts[product_id],tblProducts[category],"Missing")</f>
        <v>CRM</v>
      </c>
      <c r="Q2440" t="str">
        <f>_xlfn.XLOOKUP(D2440,tblSalesReps[rep_id],tblSalesReps[rep_name],"Missing")</f>
        <v>Sales Rep 19</v>
      </c>
      <c r="R2440" t="str">
        <f>_xlfn.XLOOKUP(D2440,tblSalesReps[rep_id],tblSalesReps[region],"Missing")</f>
        <v>East</v>
      </c>
    </row>
    <row r="2441" spans="1:18">
      <c r="A2441" t="s">
        <v>2983</v>
      </c>
      <c r="B2441" t="s">
        <v>609</v>
      </c>
      <c r="C2441" t="s">
        <v>26</v>
      </c>
      <c r="D2441" t="s">
        <v>27</v>
      </c>
      <c r="E2441" s="1">
        <v>45881</v>
      </c>
      <c r="F2441" s="1">
        <v>45906</v>
      </c>
      <c r="G2441" s="1">
        <v>45906</v>
      </c>
      <c r="H2441" t="s">
        <v>17</v>
      </c>
      <c r="I2441">
        <v>2</v>
      </c>
      <c r="J2441">
        <v>0</v>
      </c>
      <c r="K2441">
        <v>720000</v>
      </c>
      <c r="L2441">
        <v>0</v>
      </c>
      <c r="M2441" t="s">
        <v>23</v>
      </c>
      <c r="N2441" t="str">
        <f>_xlfn.XLOOKUP(B2441,tblCustomers[customer_id],tblCustomers[region],"Missing")</f>
        <v>North</v>
      </c>
      <c r="O2441" t="str">
        <f>_xlfn.XLOOKUP(C2441,tblProducts[product_id],tblProducts[product_name],"Missing")</f>
        <v>Security Suite</v>
      </c>
      <c r="P2441" t="str">
        <f>_xlfn.XLOOKUP(C2441,tblProducts[product_id],tblProducts[category],"Missing")</f>
        <v>Security</v>
      </c>
      <c r="Q2441" t="str">
        <f>_xlfn.XLOOKUP(D2441,tblSalesReps[rep_id],tblSalesReps[rep_name],"Missing")</f>
        <v>Sales Rep 06</v>
      </c>
      <c r="R2441" t="str">
        <f>_xlfn.XLOOKUP(D2441,tblSalesReps[rep_id],tblSalesReps[region],"Missing")</f>
        <v>North</v>
      </c>
    </row>
    <row r="2442" spans="1:18">
      <c r="A2442" t="s">
        <v>2984</v>
      </c>
      <c r="B2442" t="s">
        <v>1283</v>
      </c>
      <c r="C2442" t="s">
        <v>21</v>
      </c>
      <c r="D2442" t="s">
        <v>53</v>
      </c>
      <c r="E2442" s="1">
        <v>45801</v>
      </c>
      <c r="F2442" s="1">
        <v>45849</v>
      </c>
      <c r="G2442" s="1"/>
      <c r="H2442" t="s">
        <v>43</v>
      </c>
      <c r="I2442">
        <v>1</v>
      </c>
      <c r="J2442">
        <v>15</v>
      </c>
      <c r="K2442">
        <v>204000</v>
      </c>
      <c r="L2442">
        <v>60</v>
      </c>
      <c r="M2442" t="s">
        <v>29</v>
      </c>
      <c r="N2442" t="str">
        <f>_xlfn.XLOOKUP(B2442,tblCustomers[customer_id],tblCustomers[region],"Missing")</f>
        <v>East</v>
      </c>
      <c r="O2442" t="str">
        <f>_xlfn.XLOOKUP(C2442,tblProducts[product_id],tblProducts[product_name],"Missing")</f>
        <v>Workflow Automate</v>
      </c>
      <c r="P2442" t="str">
        <f>_xlfn.XLOOKUP(C2442,tblProducts[product_id],tblProducts[category],"Missing")</f>
        <v>Automation</v>
      </c>
      <c r="Q2442" t="str">
        <f>_xlfn.XLOOKUP(D2442,tblSalesReps[rep_id],tblSalesReps[rep_name],"Missing")</f>
        <v>Sales Rep 16</v>
      </c>
      <c r="R2442" t="str">
        <f>_xlfn.XLOOKUP(D2442,tblSalesReps[rep_id],tblSalesReps[region],"Missing")</f>
        <v>East</v>
      </c>
    </row>
    <row r="2443" spans="1:18">
      <c r="A2443" t="s">
        <v>2985</v>
      </c>
      <c r="B2443" t="s">
        <v>2858</v>
      </c>
      <c r="C2443" t="s">
        <v>62</v>
      </c>
      <c r="D2443" t="s">
        <v>46</v>
      </c>
      <c r="E2443" s="1">
        <v>45937</v>
      </c>
      <c r="F2443" s="1">
        <v>46010</v>
      </c>
      <c r="G2443" s="1"/>
      <c r="H2443" t="s">
        <v>43</v>
      </c>
      <c r="I2443">
        <v>3</v>
      </c>
      <c r="J2443">
        <v>10</v>
      </c>
      <c r="K2443">
        <v>324000</v>
      </c>
      <c r="L2443">
        <v>40</v>
      </c>
      <c r="M2443" t="s">
        <v>29</v>
      </c>
      <c r="N2443" t="str">
        <f>_xlfn.XLOOKUP(B2443,tblCustomers[customer_id],tblCustomers[region],"Missing")</f>
        <v>South</v>
      </c>
      <c r="O2443" t="str">
        <f>_xlfn.XLOOKUP(C2443,tblProducts[product_id],tblProducts[product_name],"Missing")</f>
        <v>CRM Essentials</v>
      </c>
      <c r="P2443" t="str">
        <f>_xlfn.XLOOKUP(C2443,tblProducts[product_id],tblProducts[category],"Missing")</f>
        <v>CRM</v>
      </c>
      <c r="Q2443" t="str">
        <f>_xlfn.XLOOKUP(D2443,tblSalesReps[rep_id],tblSalesReps[rep_name],"Missing")</f>
        <v>Sales Rep 01</v>
      </c>
      <c r="R2443" t="str">
        <f>_xlfn.XLOOKUP(D2443,tblSalesReps[rep_id],tblSalesReps[region],"Missing")</f>
        <v>South</v>
      </c>
    </row>
    <row r="2444" spans="1:18">
      <c r="A2444" t="s">
        <v>2986</v>
      </c>
      <c r="B2444" t="s">
        <v>964</v>
      </c>
      <c r="C2444" t="s">
        <v>81</v>
      </c>
      <c r="D2444" t="s">
        <v>27</v>
      </c>
      <c r="E2444" s="1">
        <v>45923</v>
      </c>
      <c r="F2444" s="1">
        <v>45936</v>
      </c>
      <c r="G2444" s="1">
        <v>45936</v>
      </c>
      <c r="H2444" t="s">
        <v>17</v>
      </c>
      <c r="I2444">
        <v>1</v>
      </c>
      <c r="J2444">
        <v>0</v>
      </c>
      <c r="K2444">
        <v>300000</v>
      </c>
      <c r="L2444">
        <v>0</v>
      </c>
      <c r="M2444" t="s">
        <v>47</v>
      </c>
      <c r="N2444" t="str">
        <f>_xlfn.XLOOKUP(B2444,tblCustomers[customer_id],tblCustomers[region],"Missing")</f>
        <v>North</v>
      </c>
      <c r="O2444" t="str">
        <f>_xlfn.XLOOKUP(C2444,tblProducts[product_id],tblProducts[product_name],"Missing")</f>
        <v>Analytics Cloud</v>
      </c>
      <c r="P2444" t="str">
        <f>_xlfn.XLOOKUP(C2444,tblProducts[product_id],tblProducts[category],"Missing")</f>
        <v>Analytics</v>
      </c>
      <c r="Q2444" t="str">
        <f>_xlfn.XLOOKUP(D2444,tblSalesReps[rep_id],tblSalesReps[rep_name],"Missing")</f>
        <v>Sales Rep 06</v>
      </c>
      <c r="R2444" t="str">
        <f>_xlfn.XLOOKUP(D2444,tblSalesReps[rep_id],tblSalesReps[region],"Missing")</f>
        <v>North</v>
      </c>
    </row>
    <row r="2445" spans="1:18">
      <c r="A2445" t="s">
        <v>2987</v>
      </c>
      <c r="B2445" t="s">
        <v>1686</v>
      </c>
      <c r="C2445" t="s">
        <v>26</v>
      </c>
      <c r="D2445" t="s">
        <v>22</v>
      </c>
      <c r="E2445" s="1">
        <v>45675</v>
      </c>
      <c r="F2445" s="1">
        <v>45751</v>
      </c>
      <c r="G2445" s="1"/>
      <c r="H2445" t="s">
        <v>43</v>
      </c>
      <c r="I2445">
        <v>2</v>
      </c>
      <c r="J2445">
        <v>5</v>
      </c>
      <c r="K2445">
        <v>684000</v>
      </c>
      <c r="L2445">
        <v>80</v>
      </c>
      <c r="M2445" t="s">
        <v>29</v>
      </c>
      <c r="N2445" t="str">
        <f>_xlfn.XLOOKUP(B2445,tblCustomers[customer_id],tblCustomers[region],"Missing")</f>
        <v>West</v>
      </c>
      <c r="O2445" t="str">
        <f>_xlfn.XLOOKUP(C2445,tblProducts[product_id],tblProducts[product_name],"Missing")</f>
        <v>Security Suite</v>
      </c>
      <c r="P2445" t="str">
        <f>_xlfn.XLOOKUP(C2445,tblProducts[product_id],tblProducts[category],"Missing")</f>
        <v>Security</v>
      </c>
      <c r="Q2445" t="str">
        <f>_xlfn.XLOOKUP(D2445,tblSalesReps[rep_id],tblSalesReps[rep_name],"Missing")</f>
        <v>Sales Rep 14</v>
      </c>
      <c r="R2445" t="str">
        <f>_xlfn.XLOOKUP(D2445,tblSalesReps[rep_id],tblSalesReps[region],"Missing")</f>
        <v>West</v>
      </c>
    </row>
    <row r="2446" spans="1:18">
      <c r="A2446" t="s">
        <v>2988</v>
      </c>
      <c r="B2446" t="s">
        <v>888</v>
      </c>
      <c r="C2446" t="s">
        <v>15</v>
      </c>
      <c r="D2446" t="s">
        <v>126</v>
      </c>
      <c r="E2446" s="1">
        <v>45959</v>
      </c>
      <c r="F2446" s="1">
        <v>46032</v>
      </c>
      <c r="G2446" s="1"/>
      <c r="H2446" t="s">
        <v>43</v>
      </c>
      <c r="I2446">
        <v>1</v>
      </c>
      <c r="J2446">
        <v>10</v>
      </c>
      <c r="K2446">
        <v>378000</v>
      </c>
      <c r="L2446">
        <v>60</v>
      </c>
      <c r="M2446" t="s">
        <v>29</v>
      </c>
      <c r="N2446" t="str">
        <f>_xlfn.XLOOKUP(B2446,tblCustomers[customer_id],tblCustomers[region],"Missing")</f>
        <v>South</v>
      </c>
      <c r="O2446" t="str">
        <f>_xlfn.XLOOKUP(C2446,tblProducts[product_id],tblProducts[product_name],"Missing")</f>
        <v>CRM Enterprise</v>
      </c>
      <c r="P2446" t="str">
        <f>_xlfn.XLOOKUP(C2446,tblProducts[product_id],tblProducts[category],"Missing")</f>
        <v>CRM</v>
      </c>
      <c r="Q2446" t="str">
        <f>_xlfn.XLOOKUP(D2446,tblSalesReps[rep_id],tblSalesReps[rep_name],"Missing")</f>
        <v>Sales Rep 02</v>
      </c>
      <c r="R2446" t="str">
        <f>_xlfn.XLOOKUP(D2446,tblSalesReps[rep_id],tblSalesReps[region],"Missing")</f>
        <v>South</v>
      </c>
    </row>
    <row r="2447" spans="1:18">
      <c r="A2447" t="s">
        <v>2989</v>
      </c>
      <c r="B2447" t="s">
        <v>61</v>
      </c>
      <c r="C2447" t="s">
        <v>26</v>
      </c>
      <c r="D2447" t="s">
        <v>46</v>
      </c>
      <c r="E2447" s="1">
        <v>45863</v>
      </c>
      <c r="F2447" s="1">
        <v>45922</v>
      </c>
      <c r="G2447" s="1">
        <v>45922</v>
      </c>
      <c r="H2447" t="s">
        <v>28</v>
      </c>
      <c r="I2447">
        <v>1</v>
      </c>
      <c r="J2447">
        <v>20</v>
      </c>
      <c r="K2447">
        <v>288000</v>
      </c>
      <c r="L2447">
        <v>100</v>
      </c>
      <c r="M2447" t="s">
        <v>29</v>
      </c>
      <c r="N2447" t="str">
        <f>_xlfn.XLOOKUP(B2447,tblCustomers[customer_id],tblCustomers[region],"Missing")</f>
        <v>South</v>
      </c>
      <c r="O2447" t="str">
        <f>_xlfn.XLOOKUP(C2447,tblProducts[product_id],tblProducts[product_name],"Missing")</f>
        <v>Security Suite</v>
      </c>
      <c r="P2447" t="str">
        <f>_xlfn.XLOOKUP(C2447,tblProducts[product_id],tblProducts[category],"Missing")</f>
        <v>Security</v>
      </c>
      <c r="Q2447" t="str">
        <f>_xlfn.XLOOKUP(D2447,tblSalesReps[rep_id],tblSalesReps[rep_name],"Missing")</f>
        <v>Sales Rep 01</v>
      </c>
      <c r="R2447" t="str">
        <f>_xlfn.XLOOKUP(D2447,tblSalesReps[rep_id],tblSalesReps[region],"Missing")</f>
        <v>South</v>
      </c>
    </row>
    <row r="2448" spans="1:18">
      <c r="A2448" t="s">
        <v>2990</v>
      </c>
      <c r="B2448" t="s">
        <v>219</v>
      </c>
      <c r="C2448" t="s">
        <v>39</v>
      </c>
      <c r="D2448" t="s">
        <v>53</v>
      </c>
      <c r="E2448" s="1">
        <v>45943</v>
      </c>
      <c r="F2448" s="1">
        <v>45994</v>
      </c>
      <c r="G2448" s="1">
        <v>45994</v>
      </c>
      <c r="H2448" t="s">
        <v>28</v>
      </c>
      <c r="I2448">
        <v>1</v>
      </c>
      <c r="J2448">
        <v>20</v>
      </c>
      <c r="K2448">
        <v>144000</v>
      </c>
      <c r="L2448">
        <v>100</v>
      </c>
      <c r="M2448" t="s">
        <v>29</v>
      </c>
      <c r="N2448" t="str">
        <f>_xlfn.XLOOKUP(B2448,tblCustomers[customer_id],tblCustomers[region],"Missing")</f>
        <v>East</v>
      </c>
      <c r="O2448" t="str">
        <f>_xlfn.XLOOKUP(C2448,tblProducts[product_id],tblProducts[product_name],"Missing")</f>
        <v>Support Desk</v>
      </c>
      <c r="P2448" t="str">
        <f>_xlfn.XLOOKUP(C2448,tblProducts[product_id],tblProducts[category],"Missing")</f>
        <v>Service</v>
      </c>
      <c r="Q2448" t="str">
        <f>_xlfn.XLOOKUP(D2448,tblSalesReps[rep_id],tblSalesReps[rep_name],"Missing")</f>
        <v>Sales Rep 16</v>
      </c>
      <c r="R2448" t="str">
        <f>_xlfn.XLOOKUP(D2448,tblSalesReps[rep_id],tblSalesReps[region],"Missing")</f>
        <v>East</v>
      </c>
    </row>
    <row r="2449" spans="1:18">
      <c r="A2449" t="s">
        <v>2991</v>
      </c>
      <c r="B2449" t="s">
        <v>1209</v>
      </c>
      <c r="C2449" t="s">
        <v>26</v>
      </c>
      <c r="D2449" t="s">
        <v>168</v>
      </c>
      <c r="E2449" s="1">
        <v>45783</v>
      </c>
      <c r="F2449" s="1">
        <v>45799</v>
      </c>
      <c r="G2449" s="1">
        <v>45799</v>
      </c>
      <c r="H2449" t="s">
        <v>17</v>
      </c>
      <c r="I2449">
        <v>2</v>
      </c>
      <c r="J2449">
        <v>20</v>
      </c>
      <c r="K2449">
        <v>576000</v>
      </c>
      <c r="L2449">
        <v>0</v>
      </c>
      <c r="M2449" t="s">
        <v>82</v>
      </c>
      <c r="N2449" t="str">
        <f>_xlfn.XLOOKUP(B2449,tblCustomers[customer_id],tblCustomers[region],"Missing")</f>
        <v>East</v>
      </c>
      <c r="O2449" t="str">
        <f>_xlfn.XLOOKUP(C2449,tblProducts[product_id],tblProducts[product_name],"Missing")</f>
        <v>Security Suite</v>
      </c>
      <c r="P2449" t="str">
        <f>_xlfn.XLOOKUP(C2449,tblProducts[product_id],tblProducts[category],"Missing")</f>
        <v>Security</v>
      </c>
      <c r="Q2449" t="str">
        <f>_xlfn.XLOOKUP(D2449,tblSalesReps[rep_id],tblSalesReps[rep_name],"Missing")</f>
        <v>Sales Rep 17</v>
      </c>
      <c r="R2449" t="str">
        <f>_xlfn.XLOOKUP(D2449,tblSalesReps[rep_id],tblSalesReps[region],"Missing")</f>
        <v>East</v>
      </c>
    </row>
    <row r="2450" spans="1:18">
      <c r="A2450" t="s">
        <v>2992</v>
      </c>
      <c r="B2450" t="s">
        <v>316</v>
      </c>
      <c r="C2450" t="s">
        <v>15</v>
      </c>
      <c r="D2450" t="s">
        <v>32</v>
      </c>
      <c r="E2450" s="1">
        <v>46011</v>
      </c>
      <c r="F2450" s="1">
        <v>46085</v>
      </c>
      <c r="G2450" s="1"/>
      <c r="H2450" t="s">
        <v>43</v>
      </c>
      <c r="I2450">
        <v>3</v>
      </c>
      <c r="J2450">
        <v>0</v>
      </c>
      <c r="K2450">
        <v>1260000</v>
      </c>
      <c r="L2450">
        <v>20</v>
      </c>
      <c r="M2450" t="s">
        <v>29</v>
      </c>
      <c r="N2450" t="str">
        <f>_xlfn.XLOOKUP(B2450,tblCustomers[customer_id],tblCustomers[region],"Missing")</f>
        <v>South</v>
      </c>
      <c r="O2450" t="str">
        <f>_xlfn.XLOOKUP(C2450,tblProducts[product_id],tblProducts[product_name],"Missing")</f>
        <v>CRM Enterprise</v>
      </c>
      <c r="P2450" t="str">
        <f>_xlfn.XLOOKUP(C2450,tblProducts[product_id],tblProducts[category],"Missing")</f>
        <v>CRM</v>
      </c>
      <c r="Q2450" t="str">
        <f>_xlfn.XLOOKUP(D2450,tblSalesReps[rep_id],tblSalesReps[rep_name],"Missing")</f>
        <v>Sales Rep 04</v>
      </c>
      <c r="R2450" t="str">
        <f>_xlfn.XLOOKUP(D2450,tblSalesReps[rep_id],tblSalesReps[region],"Missing")</f>
        <v>South</v>
      </c>
    </row>
    <row r="2451" spans="1:18">
      <c r="A2451" t="s">
        <v>2993</v>
      </c>
      <c r="B2451" t="s">
        <v>489</v>
      </c>
      <c r="C2451" t="s">
        <v>15</v>
      </c>
      <c r="D2451" t="s">
        <v>22</v>
      </c>
      <c r="E2451" s="1">
        <v>45970</v>
      </c>
      <c r="F2451" s="1">
        <v>46054</v>
      </c>
      <c r="G2451" s="1"/>
      <c r="H2451" t="s">
        <v>43</v>
      </c>
      <c r="I2451">
        <v>3</v>
      </c>
      <c r="J2451">
        <v>10</v>
      </c>
      <c r="K2451">
        <v>1134000</v>
      </c>
      <c r="L2451">
        <v>40</v>
      </c>
      <c r="M2451" t="s">
        <v>29</v>
      </c>
      <c r="N2451" t="str">
        <f>_xlfn.XLOOKUP(B2451,tblCustomers[customer_id],tblCustomers[region],"Missing")</f>
        <v>West</v>
      </c>
      <c r="O2451" t="str">
        <f>_xlfn.XLOOKUP(C2451,tblProducts[product_id],tblProducts[product_name],"Missing")</f>
        <v>CRM Enterprise</v>
      </c>
      <c r="P2451" t="str">
        <f>_xlfn.XLOOKUP(C2451,tblProducts[product_id],tblProducts[category],"Missing")</f>
        <v>CRM</v>
      </c>
      <c r="Q2451" t="str">
        <f>_xlfn.XLOOKUP(D2451,tblSalesReps[rep_id],tblSalesReps[rep_name],"Missing")</f>
        <v>Sales Rep 14</v>
      </c>
      <c r="R2451" t="str">
        <f>_xlfn.XLOOKUP(D2451,tblSalesReps[rep_id],tblSalesReps[region],"Missing")</f>
        <v>West</v>
      </c>
    </row>
    <row r="2452" spans="1:18">
      <c r="A2452" t="s">
        <v>2994</v>
      </c>
      <c r="B2452" t="s">
        <v>2699</v>
      </c>
      <c r="C2452" t="s">
        <v>39</v>
      </c>
      <c r="D2452" t="s">
        <v>46</v>
      </c>
      <c r="E2452" s="1">
        <v>45798</v>
      </c>
      <c r="F2452" s="1">
        <v>45849</v>
      </c>
      <c r="G2452" s="1">
        <v>45849</v>
      </c>
      <c r="H2452" t="s">
        <v>17</v>
      </c>
      <c r="I2452">
        <v>1</v>
      </c>
      <c r="J2452">
        <v>20</v>
      </c>
      <c r="K2452">
        <v>144000</v>
      </c>
      <c r="L2452">
        <v>0</v>
      </c>
      <c r="M2452" t="s">
        <v>47</v>
      </c>
      <c r="N2452" t="str">
        <f>_xlfn.XLOOKUP(B2452,tblCustomers[customer_id],tblCustomers[region],"Missing")</f>
        <v>South</v>
      </c>
      <c r="O2452" t="str">
        <f>_xlfn.XLOOKUP(C2452,tblProducts[product_id],tblProducts[product_name],"Missing")</f>
        <v>Support Desk</v>
      </c>
      <c r="P2452" t="str">
        <f>_xlfn.XLOOKUP(C2452,tblProducts[product_id],tblProducts[category],"Missing")</f>
        <v>Service</v>
      </c>
      <c r="Q2452" t="str">
        <f>_xlfn.XLOOKUP(D2452,tblSalesReps[rep_id],tblSalesReps[rep_name],"Missing")</f>
        <v>Sales Rep 01</v>
      </c>
      <c r="R2452" t="str">
        <f>_xlfn.XLOOKUP(D2452,tblSalesReps[rep_id],tblSalesReps[region],"Missing")</f>
        <v>South</v>
      </c>
    </row>
    <row r="2453" spans="1:18">
      <c r="A2453" t="s">
        <v>2995</v>
      </c>
      <c r="B2453" t="s">
        <v>633</v>
      </c>
      <c r="C2453" t="s">
        <v>21</v>
      </c>
      <c r="D2453" t="s">
        <v>59</v>
      </c>
      <c r="E2453" s="1">
        <v>46002</v>
      </c>
      <c r="F2453" s="1">
        <v>46029</v>
      </c>
      <c r="G2453" s="1"/>
      <c r="H2453" t="s">
        <v>43</v>
      </c>
      <c r="I2453">
        <v>1</v>
      </c>
      <c r="J2453">
        <v>0</v>
      </c>
      <c r="K2453">
        <v>240000</v>
      </c>
      <c r="L2453">
        <v>80</v>
      </c>
      <c r="M2453" t="s">
        <v>29</v>
      </c>
      <c r="N2453" t="str">
        <f>_xlfn.XLOOKUP(B2453,tblCustomers[customer_id],tblCustomers[region],"Missing")</f>
        <v>East</v>
      </c>
      <c r="O2453" t="str">
        <f>_xlfn.XLOOKUP(C2453,tblProducts[product_id],tblProducts[product_name],"Missing")</f>
        <v>Workflow Automate</v>
      </c>
      <c r="P2453" t="str">
        <f>_xlfn.XLOOKUP(C2453,tblProducts[product_id],tblProducts[category],"Missing")</f>
        <v>Automation</v>
      </c>
      <c r="Q2453" t="str">
        <f>_xlfn.XLOOKUP(D2453,tblSalesReps[rep_id],tblSalesReps[rep_name],"Missing")</f>
        <v>Sales Rep 19</v>
      </c>
      <c r="R2453" t="str">
        <f>_xlfn.XLOOKUP(D2453,tblSalesReps[rep_id],tblSalesReps[region],"Missing")</f>
        <v>East</v>
      </c>
    </row>
    <row r="2454" spans="1:18">
      <c r="A2454" t="s">
        <v>2996</v>
      </c>
      <c r="B2454" t="s">
        <v>1289</v>
      </c>
      <c r="C2454" t="s">
        <v>81</v>
      </c>
      <c r="D2454" t="s">
        <v>70</v>
      </c>
      <c r="E2454" s="1">
        <v>45739</v>
      </c>
      <c r="F2454" s="1">
        <v>45817</v>
      </c>
      <c r="G2454" s="1">
        <v>45817</v>
      </c>
      <c r="H2454" t="s">
        <v>28</v>
      </c>
      <c r="I2454">
        <v>1</v>
      </c>
      <c r="J2454">
        <v>15</v>
      </c>
      <c r="K2454">
        <v>255000</v>
      </c>
      <c r="L2454">
        <v>100</v>
      </c>
      <c r="M2454" t="s">
        <v>29</v>
      </c>
      <c r="N2454" t="str">
        <f>_xlfn.XLOOKUP(B2454,tblCustomers[customer_id],tblCustomers[region],"Missing")</f>
        <v>West</v>
      </c>
      <c r="O2454" t="str">
        <f>_xlfn.XLOOKUP(C2454,tblProducts[product_id],tblProducts[product_name],"Missing")</f>
        <v>Analytics Cloud</v>
      </c>
      <c r="P2454" t="str">
        <f>_xlfn.XLOOKUP(C2454,tblProducts[product_id],tblProducts[category],"Missing")</f>
        <v>Analytics</v>
      </c>
      <c r="Q2454" t="str">
        <f>_xlfn.XLOOKUP(D2454,tblSalesReps[rep_id],tblSalesReps[rep_name],"Missing")</f>
        <v>Sales Rep 11</v>
      </c>
      <c r="R2454" t="str">
        <f>_xlfn.XLOOKUP(D2454,tblSalesReps[rep_id],tblSalesReps[region],"Missing")</f>
        <v>West</v>
      </c>
    </row>
    <row r="2455" spans="1:18">
      <c r="A2455" t="s">
        <v>2997</v>
      </c>
      <c r="B2455" t="s">
        <v>878</v>
      </c>
      <c r="C2455" t="s">
        <v>62</v>
      </c>
      <c r="D2455" t="s">
        <v>32</v>
      </c>
      <c r="E2455" s="1">
        <v>45771</v>
      </c>
      <c r="F2455" s="1">
        <v>45794</v>
      </c>
      <c r="G2455" s="1"/>
      <c r="H2455" t="s">
        <v>43</v>
      </c>
      <c r="I2455">
        <v>2</v>
      </c>
      <c r="J2455">
        <v>15</v>
      </c>
      <c r="K2455">
        <v>204000</v>
      </c>
      <c r="L2455">
        <v>80</v>
      </c>
      <c r="M2455" t="s">
        <v>29</v>
      </c>
      <c r="N2455" t="str">
        <f>_xlfn.XLOOKUP(B2455,tblCustomers[customer_id],tblCustomers[region],"Missing")</f>
        <v>South</v>
      </c>
      <c r="O2455" t="str">
        <f>_xlfn.XLOOKUP(C2455,tblProducts[product_id],tblProducts[product_name],"Missing")</f>
        <v>CRM Essentials</v>
      </c>
      <c r="P2455" t="str">
        <f>_xlfn.XLOOKUP(C2455,tblProducts[product_id],tblProducts[category],"Missing")</f>
        <v>CRM</v>
      </c>
      <c r="Q2455" t="str">
        <f>_xlfn.XLOOKUP(D2455,tblSalesReps[rep_id],tblSalesReps[rep_name],"Missing")</f>
        <v>Sales Rep 04</v>
      </c>
      <c r="R2455" t="str">
        <f>_xlfn.XLOOKUP(D2455,tblSalesReps[rep_id],tblSalesReps[region],"Missing")</f>
        <v>South</v>
      </c>
    </row>
    <row r="2456" spans="1:18">
      <c r="A2456" t="s">
        <v>2998</v>
      </c>
      <c r="B2456" t="s">
        <v>677</v>
      </c>
      <c r="C2456" t="s">
        <v>26</v>
      </c>
      <c r="D2456" t="s">
        <v>168</v>
      </c>
      <c r="E2456" s="1">
        <v>45866</v>
      </c>
      <c r="F2456" s="1">
        <v>45947</v>
      </c>
      <c r="G2456" s="1">
        <v>45947</v>
      </c>
      <c r="H2456" t="s">
        <v>17</v>
      </c>
      <c r="I2456">
        <v>1</v>
      </c>
      <c r="J2456">
        <v>15</v>
      </c>
      <c r="K2456">
        <v>306000</v>
      </c>
      <c r="L2456">
        <v>0</v>
      </c>
      <c r="M2456" t="s">
        <v>82</v>
      </c>
      <c r="N2456" t="str">
        <f>_xlfn.XLOOKUP(B2456,tblCustomers[customer_id],tblCustomers[region],"Missing")</f>
        <v>East</v>
      </c>
      <c r="O2456" t="str">
        <f>_xlfn.XLOOKUP(C2456,tblProducts[product_id],tblProducts[product_name],"Missing")</f>
        <v>Security Suite</v>
      </c>
      <c r="P2456" t="str">
        <f>_xlfn.XLOOKUP(C2456,tblProducts[product_id],tblProducts[category],"Missing")</f>
        <v>Security</v>
      </c>
      <c r="Q2456" t="str">
        <f>_xlfn.XLOOKUP(D2456,tblSalesReps[rep_id],tblSalesReps[rep_name],"Missing")</f>
        <v>Sales Rep 17</v>
      </c>
      <c r="R2456" t="str">
        <f>_xlfn.XLOOKUP(D2456,tblSalesReps[rep_id],tblSalesReps[region],"Missing")</f>
        <v>East</v>
      </c>
    </row>
    <row r="2457" spans="1:18">
      <c r="A2457" t="s">
        <v>2999</v>
      </c>
      <c r="B2457" t="s">
        <v>167</v>
      </c>
      <c r="C2457" t="s">
        <v>21</v>
      </c>
      <c r="D2457" t="s">
        <v>59</v>
      </c>
      <c r="E2457" s="1">
        <v>45701</v>
      </c>
      <c r="F2457" s="1">
        <v>45772</v>
      </c>
      <c r="G2457" s="1"/>
      <c r="H2457" t="s">
        <v>43</v>
      </c>
      <c r="I2457">
        <v>1</v>
      </c>
      <c r="J2457">
        <v>10</v>
      </c>
      <c r="K2457">
        <v>216000</v>
      </c>
      <c r="L2457">
        <v>40</v>
      </c>
      <c r="M2457" t="s">
        <v>29</v>
      </c>
      <c r="N2457" t="str">
        <f>_xlfn.XLOOKUP(B2457,tblCustomers[customer_id],tblCustomers[region],"Missing")</f>
        <v>East</v>
      </c>
      <c r="O2457" t="str">
        <f>_xlfn.XLOOKUP(C2457,tblProducts[product_id],tblProducts[product_name],"Missing")</f>
        <v>Workflow Automate</v>
      </c>
      <c r="P2457" t="str">
        <f>_xlfn.XLOOKUP(C2457,tblProducts[product_id],tblProducts[category],"Missing")</f>
        <v>Automation</v>
      </c>
      <c r="Q2457" t="str">
        <f>_xlfn.XLOOKUP(D2457,tblSalesReps[rep_id],tblSalesReps[rep_name],"Missing")</f>
        <v>Sales Rep 19</v>
      </c>
      <c r="R2457" t="str">
        <f>_xlfn.XLOOKUP(D2457,tblSalesReps[rep_id],tblSalesReps[region],"Missing")</f>
        <v>East</v>
      </c>
    </row>
    <row r="2458" spans="1:18">
      <c r="A2458" t="s">
        <v>3000</v>
      </c>
      <c r="B2458" t="s">
        <v>179</v>
      </c>
      <c r="C2458" t="s">
        <v>62</v>
      </c>
      <c r="D2458" t="s">
        <v>56</v>
      </c>
      <c r="E2458" s="1">
        <v>46006</v>
      </c>
      <c r="F2458" s="1">
        <v>46078</v>
      </c>
      <c r="G2458" s="1"/>
      <c r="H2458" t="s">
        <v>43</v>
      </c>
      <c r="I2458">
        <v>1</v>
      </c>
      <c r="J2458">
        <v>15</v>
      </c>
      <c r="K2458">
        <v>102000</v>
      </c>
      <c r="L2458">
        <v>60</v>
      </c>
      <c r="M2458" t="s">
        <v>29</v>
      </c>
      <c r="N2458" t="str">
        <f>_xlfn.XLOOKUP(B2458,tblCustomers[customer_id],tblCustomers[region],"Missing")</f>
        <v>East</v>
      </c>
      <c r="O2458" t="str">
        <f>_xlfn.XLOOKUP(C2458,tblProducts[product_id],tblProducts[product_name],"Missing")</f>
        <v>CRM Essentials</v>
      </c>
      <c r="P2458" t="str">
        <f>_xlfn.XLOOKUP(C2458,tblProducts[product_id],tblProducts[category],"Missing")</f>
        <v>CRM</v>
      </c>
      <c r="Q2458" t="str">
        <f>_xlfn.XLOOKUP(D2458,tblSalesReps[rep_id],tblSalesReps[rep_name],"Missing")</f>
        <v>Sales Rep 20</v>
      </c>
      <c r="R2458" t="str">
        <f>_xlfn.XLOOKUP(D2458,tblSalesReps[rep_id],tblSalesReps[region],"Missing")</f>
        <v>East</v>
      </c>
    </row>
    <row r="2459" spans="1:18">
      <c r="A2459" t="s">
        <v>3001</v>
      </c>
      <c r="B2459" t="s">
        <v>884</v>
      </c>
      <c r="C2459" t="s">
        <v>81</v>
      </c>
      <c r="D2459" t="s">
        <v>22</v>
      </c>
      <c r="E2459" s="1">
        <v>45985</v>
      </c>
      <c r="F2459" s="1">
        <v>46007</v>
      </c>
      <c r="G2459" s="1">
        <v>46007</v>
      </c>
      <c r="H2459" t="s">
        <v>28</v>
      </c>
      <c r="I2459">
        <v>2</v>
      </c>
      <c r="J2459">
        <v>20</v>
      </c>
      <c r="K2459">
        <v>480000</v>
      </c>
      <c r="L2459">
        <v>100</v>
      </c>
      <c r="M2459" t="s">
        <v>29</v>
      </c>
      <c r="N2459" t="str">
        <f>_xlfn.XLOOKUP(B2459,tblCustomers[customer_id],tblCustomers[region],"Missing")</f>
        <v>West</v>
      </c>
      <c r="O2459" t="str">
        <f>_xlfn.XLOOKUP(C2459,tblProducts[product_id],tblProducts[product_name],"Missing")</f>
        <v>Analytics Cloud</v>
      </c>
      <c r="P2459" t="str">
        <f>_xlfn.XLOOKUP(C2459,tblProducts[product_id],tblProducts[category],"Missing")</f>
        <v>Analytics</v>
      </c>
      <c r="Q2459" t="str">
        <f>_xlfn.XLOOKUP(D2459,tblSalesReps[rep_id],tblSalesReps[rep_name],"Missing")</f>
        <v>Sales Rep 14</v>
      </c>
      <c r="R2459" t="str">
        <f>_xlfn.XLOOKUP(D2459,tblSalesReps[rep_id],tblSalesReps[region],"Missing")</f>
        <v>West</v>
      </c>
    </row>
    <row r="2460" spans="1:18">
      <c r="A2460" t="s">
        <v>3002</v>
      </c>
      <c r="B2460" t="s">
        <v>983</v>
      </c>
      <c r="C2460" t="s">
        <v>21</v>
      </c>
      <c r="D2460" t="s">
        <v>46</v>
      </c>
      <c r="E2460" s="1">
        <v>45772</v>
      </c>
      <c r="F2460" s="1">
        <v>45844</v>
      </c>
      <c r="G2460" s="1"/>
      <c r="H2460" t="s">
        <v>43</v>
      </c>
      <c r="I2460">
        <v>1</v>
      </c>
      <c r="J2460">
        <v>10</v>
      </c>
      <c r="K2460">
        <v>216000</v>
      </c>
      <c r="L2460">
        <v>40</v>
      </c>
      <c r="M2460" t="s">
        <v>29</v>
      </c>
      <c r="N2460" t="str">
        <f>_xlfn.XLOOKUP(B2460,tblCustomers[customer_id],tblCustomers[region],"Missing")</f>
        <v>South</v>
      </c>
      <c r="O2460" t="str">
        <f>_xlfn.XLOOKUP(C2460,tblProducts[product_id],tblProducts[product_name],"Missing")</f>
        <v>Workflow Automate</v>
      </c>
      <c r="P2460" t="str">
        <f>_xlfn.XLOOKUP(C2460,tblProducts[product_id],tblProducts[category],"Missing")</f>
        <v>Automation</v>
      </c>
      <c r="Q2460" t="str">
        <f>_xlfn.XLOOKUP(D2460,tblSalesReps[rep_id],tblSalesReps[rep_name],"Missing")</f>
        <v>Sales Rep 01</v>
      </c>
      <c r="R2460" t="str">
        <f>_xlfn.XLOOKUP(D2460,tblSalesReps[rep_id],tblSalesReps[region],"Missing")</f>
        <v>South</v>
      </c>
    </row>
    <row r="2461" spans="1:18">
      <c r="A2461" t="s">
        <v>3003</v>
      </c>
      <c r="B2461" t="s">
        <v>179</v>
      </c>
      <c r="C2461" t="s">
        <v>62</v>
      </c>
      <c r="D2461" t="s">
        <v>56</v>
      </c>
      <c r="E2461" s="1">
        <v>45961</v>
      </c>
      <c r="F2461" s="1">
        <v>45968</v>
      </c>
      <c r="G2461" s="1">
        <v>45968</v>
      </c>
      <c r="H2461" t="s">
        <v>17</v>
      </c>
      <c r="I2461">
        <v>2</v>
      </c>
      <c r="J2461">
        <v>20</v>
      </c>
      <c r="K2461">
        <v>192000</v>
      </c>
      <c r="L2461">
        <v>0</v>
      </c>
      <c r="M2461" t="s">
        <v>33</v>
      </c>
      <c r="N2461" t="str">
        <f>_xlfn.XLOOKUP(B2461,tblCustomers[customer_id],tblCustomers[region],"Missing")</f>
        <v>East</v>
      </c>
      <c r="O2461" t="str">
        <f>_xlfn.XLOOKUP(C2461,tblProducts[product_id],tblProducts[product_name],"Missing")</f>
        <v>CRM Essentials</v>
      </c>
      <c r="P2461" t="str">
        <f>_xlfn.XLOOKUP(C2461,tblProducts[product_id],tblProducts[category],"Missing")</f>
        <v>CRM</v>
      </c>
      <c r="Q2461" t="str">
        <f>_xlfn.XLOOKUP(D2461,tblSalesReps[rep_id],tblSalesReps[rep_name],"Missing")</f>
        <v>Sales Rep 20</v>
      </c>
      <c r="R2461" t="str">
        <f>_xlfn.XLOOKUP(D2461,tblSalesReps[rep_id],tblSalesReps[region],"Missing")</f>
        <v>East</v>
      </c>
    </row>
    <row r="2462" spans="1:18">
      <c r="A2462" t="s">
        <v>3004</v>
      </c>
      <c r="B2462" t="s">
        <v>578</v>
      </c>
      <c r="C2462" t="s">
        <v>15</v>
      </c>
      <c r="D2462" t="s">
        <v>40</v>
      </c>
      <c r="E2462" s="1">
        <v>45679</v>
      </c>
      <c r="F2462" s="1">
        <v>45737</v>
      </c>
      <c r="G2462" s="1">
        <v>45737</v>
      </c>
      <c r="H2462" t="s">
        <v>28</v>
      </c>
      <c r="I2462">
        <v>1</v>
      </c>
      <c r="J2462">
        <v>15</v>
      </c>
      <c r="K2462">
        <v>357000</v>
      </c>
      <c r="L2462">
        <v>100</v>
      </c>
      <c r="M2462" t="s">
        <v>29</v>
      </c>
      <c r="N2462" t="str">
        <f>_xlfn.XLOOKUP(B2462,tblCustomers[customer_id],tblCustomers[region],"Missing")</f>
        <v>West</v>
      </c>
      <c r="O2462" t="str">
        <f>_xlfn.XLOOKUP(C2462,tblProducts[product_id],tblProducts[product_name],"Missing")</f>
        <v>CRM Enterprise</v>
      </c>
      <c r="P2462" t="str">
        <f>_xlfn.XLOOKUP(C2462,tblProducts[product_id],tblProducts[category],"Missing")</f>
        <v>CRM</v>
      </c>
      <c r="Q2462" t="str">
        <f>_xlfn.XLOOKUP(D2462,tblSalesReps[rep_id],tblSalesReps[rep_name],"Missing")</f>
        <v>Sales Rep 13</v>
      </c>
      <c r="R2462" t="str">
        <f>_xlfn.XLOOKUP(D2462,tblSalesReps[rep_id],tblSalesReps[region],"Missing")</f>
        <v>West</v>
      </c>
    </row>
    <row r="2463" spans="1:18">
      <c r="A2463" t="s">
        <v>3005</v>
      </c>
      <c r="B2463" t="s">
        <v>859</v>
      </c>
      <c r="C2463" t="s">
        <v>26</v>
      </c>
      <c r="D2463" t="s">
        <v>32</v>
      </c>
      <c r="E2463" s="1">
        <v>46000</v>
      </c>
      <c r="F2463" s="1">
        <v>46007</v>
      </c>
      <c r="G2463" s="1">
        <v>46007</v>
      </c>
      <c r="H2463" t="s">
        <v>17</v>
      </c>
      <c r="I2463">
        <v>1</v>
      </c>
      <c r="J2463">
        <v>15</v>
      </c>
      <c r="K2463">
        <v>306000</v>
      </c>
      <c r="L2463">
        <v>0</v>
      </c>
      <c r="M2463" t="s">
        <v>18</v>
      </c>
      <c r="N2463" t="str">
        <f>_xlfn.XLOOKUP(B2463,tblCustomers[customer_id],tblCustomers[region],"Missing")</f>
        <v>South</v>
      </c>
      <c r="O2463" t="str">
        <f>_xlfn.XLOOKUP(C2463,tblProducts[product_id],tblProducts[product_name],"Missing")</f>
        <v>Security Suite</v>
      </c>
      <c r="P2463" t="str">
        <f>_xlfn.XLOOKUP(C2463,tblProducts[product_id],tblProducts[category],"Missing")</f>
        <v>Security</v>
      </c>
      <c r="Q2463" t="str">
        <f>_xlfn.XLOOKUP(D2463,tblSalesReps[rep_id],tblSalesReps[rep_name],"Missing")</f>
        <v>Sales Rep 04</v>
      </c>
      <c r="R2463" t="str">
        <f>_xlfn.XLOOKUP(D2463,tblSalesReps[rep_id],tblSalesReps[region],"Missing")</f>
        <v>South</v>
      </c>
    </row>
    <row r="2464" spans="1:18">
      <c r="A2464" t="s">
        <v>3006</v>
      </c>
      <c r="B2464" t="s">
        <v>1359</v>
      </c>
      <c r="C2464" t="s">
        <v>26</v>
      </c>
      <c r="D2464" t="s">
        <v>70</v>
      </c>
      <c r="E2464" s="1">
        <v>45995</v>
      </c>
      <c r="F2464" s="1">
        <v>46012</v>
      </c>
      <c r="G2464" s="1">
        <v>46012</v>
      </c>
      <c r="H2464" t="s">
        <v>28</v>
      </c>
      <c r="I2464">
        <v>2</v>
      </c>
      <c r="J2464">
        <v>15</v>
      </c>
      <c r="K2464">
        <v>612000</v>
      </c>
      <c r="L2464">
        <v>100</v>
      </c>
      <c r="M2464" t="s">
        <v>29</v>
      </c>
      <c r="N2464" t="str">
        <f>_xlfn.XLOOKUP(B2464,tblCustomers[customer_id],tblCustomers[region],"Missing")</f>
        <v>West</v>
      </c>
      <c r="O2464" t="str">
        <f>_xlfn.XLOOKUP(C2464,tblProducts[product_id],tblProducts[product_name],"Missing")</f>
        <v>Security Suite</v>
      </c>
      <c r="P2464" t="str">
        <f>_xlfn.XLOOKUP(C2464,tblProducts[product_id],tblProducts[category],"Missing")</f>
        <v>Security</v>
      </c>
      <c r="Q2464" t="str">
        <f>_xlfn.XLOOKUP(D2464,tblSalesReps[rep_id],tblSalesReps[rep_name],"Missing")</f>
        <v>Sales Rep 11</v>
      </c>
      <c r="R2464" t="str">
        <f>_xlfn.XLOOKUP(D2464,tblSalesReps[rep_id],tblSalesReps[region],"Missing")</f>
        <v>West</v>
      </c>
    </row>
    <row r="2465" spans="1:18">
      <c r="A2465" t="s">
        <v>3007</v>
      </c>
      <c r="B2465" t="s">
        <v>1203</v>
      </c>
      <c r="C2465" t="s">
        <v>26</v>
      </c>
      <c r="D2465" t="s">
        <v>56</v>
      </c>
      <c r="E2465" s="1">
        <v>45704</v>
      </c>
      <c r="F2465" s="1">
        <v>45748</v>
      </c>
      <c r="G2465" s="1">
        <v>45748</v>
      </c>
      <c r="H2465" t="s">
        <v>17</v>
      </c>
      <c r="I2465">
        <v>1</v>
      </c>
      <c r="J2465">
        <v>5</v>
      </c>
      <c r="K2465">
        <v>342000</v>
      </c>
      <c r="L2465">
        <v>0</v>
      </c>
      <c r="M2465" t="s">
        <v>33</v>
      </c>
      <c r="N2465" t="str">
        <f>_xlfn.XLOOKUP(B2465,tblCustomers[customer_id],tblCustomers[region],"Missing")</f>
        <v>East</v>
      </c>
      <c r="O2465" t="str">
        <f>_xlfn.XLOOKUP(C2465,tblProducts[product_id],tblProducts[product_name],"Missing")</f>
        <v>Security Suite</v>
      </c>
      <c r="P2465" t="str">
        <f>_xlfn.XLOOKUP(C2465,tblProducts[product_id],tblProducts[category],"Missing")</f>
        <v>Security</v>
      </c>
      <c r="Q2465" t="str">
        <f>_xlfn.XLOOKUP(D2465,tblSalesReps[rep_id],tblSalesReps[rep_name],"Missing")</f>
        <v>Sales Rep 20</v>
      </c>
      <c r="R2465" t="str">
        <f>_xlfn.XLOOKUP(D2465,tblSalesReps[rep_id],tblSalesReps[region],"Missing")</f>
        <v>East</v>
      </c>
    </row>
    <row r="2466" spans="1:18">
      <c r="A2466" t="s">
        <v>3008</v>
      </c>
      <c r="B2466" t="s">
        <v>318</v>
      </c>
      <c r="C2466" t="s">
        <v>15</v>
      </c>
      <c r="D2466" t="s">
        <v>63</v>
      </c>
      <c r="E2466" s="1">
        <v>45937</v>
      </c>
      <c r="F2466" s="1">
        <v>45983</v>
      </c>
      <c r="G2466" s="1">
        <v>45983</v>
      </c>
      <c r="H2466" t="s">
        <v>28</v>
      </c>
      <c r="I2466">
        <v>3</v>
      </c>
      <c r="J2466">
        <v>20</v>
      </c>
      <c r="K2466">
        <v>1008000</v>
      </c>
      <c r="L2466">
        <v>100</v>
      </c>
      <c r="M2466" t="s">
        <v>29</v>
      </c>
      <c r="N2466" t="str">
        <f>_xlfn.XLOOKUP(B2466,tblCustomers[customer_id],tblCustomers[region],"Missing")</f>
        <v>South</v>
      </c>
      <c r="O2466" t="str">
        <f>_xlfn.XLOOKUP(C2466,tblProducts[product_id],tblProducts[product_name],"Missing")</f>
        <v>CRM Enterprise</v>
      </c>
      <c r="P2466" t="str">
        <f>_xlfn.XLOOKUP(C2466,tblProducts[product_id],tblProducts[category],"Missing")</f>
        <v>CRM</v>
      </c>
      <c r="Q2466" t="str">
        <f>_xlfn.XLOOKUP(D2466,tblSalesReps[rep_id],tblSalesReps[rep_name],"Missing")</f>
        <v>Sales Rep 05</v>
      </c>
      <c r="R2466" t="str">
        <f>_xlfn.XLOOKUP(D2466,tblSalesReps[rep_id],tblSalesReps[region],"Missing")</f>
        <v>South</v>
      </c>
    </row>
    <row r="2467" spans="1:18">
      <c r="A2467" t="s">
        <v>3009</v>
      </c>
      <c r="B2467" t="s">
        <v>575</v>
      </c>
      <c r="C2467" t="s">
        <v>15</v>
      </c>
      <c r="D2467" t="s">
        <v>59</v>
      </c>
      <c r="E2467" s="1">
        <v>45772</v>
      </c>
      <c r="F2467" s="1">
        <v>45846</v>
      </c>
      <c r="G2467" s="1"/>
      <c r="H2467" t="s">
        <v>43</v>
      </c>
      <c r="I2467">
        <v>2</v>
      </c>
      <c r="J2467">
        <v>10</v>
      </c>
      <c r="K2467">
        <v>756000</v>
      </c>
      <c r="L2467">
        <v>60</v>
      </c>
      <c r="M2467" t="s">
        <v>29</v>
      </c>
      <c r="N2467" t="str">
        <f>_xlfn.XLOOKUP(B2467,tblCustomers[customer_id],tblCustomers[region],"Missing")</f>
        <v>East</v>
      </c>
      <c r="O2467" t="str">
        <f>_xlfn.XLOOKUP(C2467,tblProducts[product_id],tblProducts[product_name],"Missing")</f>
        <v>CRM Enterprise</v>
      </c>
      <c r="P2467" t="str">
        <f>_xlfn.XLOOKUP(C2467,tblProducts[product_id],tblProducts[category],"Missing")</f>
        <v>CRM</v>
      </c>
      <c r="Q2467" t="str">
        <f>_xlfn.XLOOKUP(D2467,tblSalesReps[rep_id],tblSalesReps[rep_name],"Missing")</f>
        <v>Sales Rep 19</v>
      </c>
      <c r="R2467" t="str">
        <f>_xlfn.XLOOKUP(D2467,tblSalesReps[rep_id],tblSalesReps[region],"Missing")</f>
        <v>East</v>
      </c>
    </row>
    <row r="2468" spans="1:18">
      <c r="A2468" t="s">
        <v>3010</v>
      </c>
      <c r="B2468" t="s">
        <v>1644</v>
      </c>
      <c r="C2468" t="s">
        <v>62</v>
      </c>
      <c r="D2468" t="s">
        <v>126</v>
      </c>
      <c r="E2468" s="1">
        <v>45738</v>
      </c>
      <c r="F2468" s="1">
        <v>45822</v>
      </c>
      <c r="G2468" s="1">
        <v>45822</v>
      </c>
      <c r="H2468" t="s">
        <v>17</v>
      </c>
      <c r="I2468">
        <v>1</v>
      </c>
      <c r="J2468">
        <v>0</v>
      </c>
      <c r="K2468">
        <v>120000</v>
      </c>
      <c r="L2468">
        <v>0</v>
      </c>
      <c r="M2468" t="s">
        <v>18</v>
      </c>
      <c r="N2468" t="str">
        <f>_xlfn.XLOOKUP(B2468,tblCustomers[customer_id],tblCustomers[region],"Missing")</f>
        <v>South</v>
      </c>
      <c r="O2468" t="str">
        <f>_xlfn.XLOOKUP(C2468,tblProducts[product_id],tblProducts[product_name],"Missing")</f>
        <v>CRM Essentials</v>
      </c>
      <c r="P2468" t="str">
        <f>_xlfn.XLOOKUP(C2468,tblProducts[product_id],tblProducts[category],"Missing")</f>
        <v>CRM</v>
      </c>
      <c r="Q2468" t="str">
        <f>_xlfn.XLOOKUP(D2468,tblSalesReps[rep_id],tblSalesReps[rep_name],"Missing")</f>
        <v>Sales Rep 02</v>
      </c>
      <c r="R2468" t="str">
        <f>_xlfn.XLOOKUP(D2468,tblSalesReps[rep_id],tblSalesReps[region],"Missing")</f>
        <v>South</v>
      </c>
    </row>
    <row r="2469" spans="1:18">
      <c r="A2469" t="s">
        <v>3011</v>
      </c>
      <c r="B2469" t="s">
        <v>703</v>
      </c>
      <c r="C2469" t="s">
        <v>39</v>
      </c>
      <c r="D2469" t="s">
        <v>50</v>
      </c>
      <c r="E2469" s="1">
        <v>45673</v>
      </c>
      <c r="F2469" s="1">
        <v>45740</v>
      </c>
      <c r="G2469" s="1"/>
      <c r="H2469" t="s">
        <v>43</v>
      </c>
      <c r="I2469">
        <v>1</v>
      </c>
      <c r="J2469">
        <v>10</v>
      </c>
      <c r="K2469">
        <v>162000</v>
      </c>
      <c r="L2469">
        <v>80</v>
      </c>
      <c r="M2469" t="s">
        <v>29</v>
      </c>
      <c r="N2469" t="str">
        <f>_xlfn.XLOOKUP(B2469,tblCustomers[customer_id],tblCustomers[region],"Missing")</f>
        <v>West</v>
      </c>
      <c r="O2469" t="str">
        <f>_xlfn.XLOOKUP(C2469,tblProducts[product_id],tblProducts[product_name],"Missing")</f>
        <v>Support Desk</v>
      </c>
      <c r="P2469" t="str">
        <f>_xlfn.XLOOKUP(C2469,tblProducts[product_id],tblProducts[category],"Missing")</f>
        <v>Service</v>
      </c>
      <c r="Q2469" t="str">
        <f>_xlfn.XLOOKUP(D2469,tblSalesReps[rep_id],tblSalesReps[rep_name],"Missing")</f>
        <v>Sales Rep 15</v>
      </c>
      <c r="R2469" t="str">
        <f>_xlfn.XLOOKUP(D2469,tblSalesReps[rep_id],tblSalesReps[region],"Missing")</f>
        <v>West</v>
      </c>
    </row>
    <row r="2470" spans="1:18">
      <c r="A2470" t="s">
        <v>3012</v>
      </c>
      <c r="B2470" t="s">
        <v>1235</v>
      </c>
      <c r="C2470" t="s">
        <v>21</v>
      </c>
      <c r="D2470" t="s">
        <v>46</v>
      </c>
      <c r="E2470" s="1">
        <v>45684</v>
      </c>
      <c r="F2470" s="1">
        <v>45721</v>
      </c>
      <c r="G2470" s="1">
        <v>45721</v>
      </c>
      <c r="H2470" t="s">
        <v>28</v>
      </c>
      <c r="I2470">
        <v>2</v>
      </c>
      <c r="J2470">
        <v>15</v>
      </c>
      <c r="K2470">
        <v>408000</v>
      </c>
      <c r="L2470">
        <v>100</v>
      </c>
      <c r="M2470" t="s">
        <v>29</v>
      </c>
      <c r="N2470" t="str">
        <f>_xlfn.XLOOKUP(B2470,tblCustomers[customer_id],tblCustomers[region],"Missing")</f>
        <v>South</v>
      </c>
      <c r="O2470" t="str">
        <f>_xlfn.XLOOKUP(C2470,tblProducts[product_id],tblProducts[product_name],"Missing")</f>
        <v>Workflow Automate</v>
      </c>
      <c r="P2470" t="str">
        <f>_xlfn.XLOOKUP(C2470,tblProducts[product_id],tblProducts[category],"Missing")</f>
        <v>Automation</v>
      </c>
      <c r="Q2470" t="str">
        <f>_xlfn.XLOOKUP(D2470,tblSalesReps[rep_id],tblSalesReps[rep_name],"Missing")</f>
        <v>Sales Rep 01</v>
      </c>
      <c r="R2470" t="str">
        <f>_xlfn.XLOOKUP(D2470,tblSalesReps[rep_id],tblSalesReps[region],"Missing")</f>
        <v>South</v>
      </c>
    </row>
    <row r="2471" spans="1:18">
      <c r="A2471" t="s">
        <v>3013</v>
      </c>
      <c r="B2471" t="s">
        <v>1742</v>
      </c>
      <c r="C2471" t="s">
        <v>62</v>
      </c>
      <c r="D2471" t="s">
        <v>56</v>
      </c>
      <c r="E2471" s="1">
        <v>45873</v>
      </c>
      <c r="F2471" s="1">
        <v>45922</v>
      </c>
      <c r="G2471" s="1">
        <v>45922</v>
      </c>
      <c r="H2471" t="s">
        <v>17</v>
      </c>
      <c r="I2471">
        <v>2</v>
      </c>
      <c r="J2471">
        <v>20</v>
      </c>
      <c r="K2471">
        <v>192000</v>
      </c>
      <c r="L2471">
        <v>0</v>
      </c>
      <c r="M2471" t="s">
        <v>47</v>
      </c>
      <c r="N2471" t="str">
        <f>_xlfn.XLOOKUP(B2471,tblCustomers[customer_id],tblCustomers[region],"Missing")</f>
        <v>East</v>
      </c>
      <c r="O2471" t="str">
        <f>_xlfn.XLOOKUP(C2471,tblProducts[product_id],tblProducts[product_name],"Missing")</f>
        <v>CRM Essentials</v>
      </c>
      <c r="P2471" t="str">
        <f>_xlfn.XLOOKUP(C2471,tblProducts[product_id],tblProducts[category],"Missing")</f>
        <v>CRM</v>
      </c>
      <c r="Q2471" t="str">
        <f>_xlfn.XLOOKUP(D2471,tblSalesReps[rep_id],tblSalesReps[rep_name],"Missing")</f>
        <v>Sales Rep 20</v>
      </c>
      <c r="R2471" t="str">
        <f>_xlfn.XLOOKUP(D2471,tblSalesReps[rep_id],tblSalesReps[region],"Missing")</f>
        <v>East</v>
      </c>
    </row>
    <row r="2472" spans="1:18">
      <c r="A2472" t="s">
        <v>3014</v>
      </c>
      <c r="B2472" t="s">
        <v>139</v>
      </c>
      <c r="C2472" t="s">
        <v>26</v>
      </c>
      <c r="D2472" t="s">
        <v>50</v>
      </c>
      <c r="E2472" s="1">
        <v>46010</v>
      </c>
      <c r="F2472" s="1">
        <v>46055</v>
      </c>
      <c r="G2472" s="1"/>
      <c r="H2472" t="s">
        <v>43</v>
      </c>
      <c r="I2472">
        <v>1</v>
      </c>
      <c r="J2472">
        <v>20</v>
      </c>
      <c r="K2472">
        <v>288000</v>
      </c>
      <c r="L2472">
        <v>40</v>
      </c>
      <c r="M2472" t="s">
        <v>29</v>
      </c>
      <c r="N2472" t="str">
        <f>_xlfn.XLOOKUP(B2472,tblCustomers[customer_id],tblCustomers[region],"Missing")</f>
        <v>West</v>
      </c>
      <c r="O2472" t="str">
        <f>_xlfn.XLOOKUP(C2472,tblProducts[product_id],tblProducts[product_name],"Missing")</f>
        <v>Security Suite</v>
      </c>
      <c r="P2472" t="str">
        <f>_xlfn.XLOOKUP(C2472,tblProducts[product_id],tblProducts[category],"Missing")</f>
        <v>Security</v>
      </c>
      <c r="Q2472" t="str">
        <f>_xlfn.XLOOKUP(D2472,tblSalesReps[rep_id],tblSalesReps[rep_name],"Missing")</f>
        <v>Sales Rep 15</v>
      </c>
      <c r="R2472" t="str">
        <f>_xlfn.XLOOKUP(D2472,tblSalesReps[rep_id],tblSalesReps[region],"Missing")</f>
        <v>West</v>
      </c>
    </row>
    <row r="2473" spans="1:18">
      <c r="A2473" t="s">
        <v>3015</v>
      </c>
      <c r="B2473" t="s">
        <v>664</v>
      </c>
      <c r="C2473" t="s">
        <v>39</v>
      </c>
      <c r="D2473" t="s">
        <v>32</v>
      </c>
      <c r="E2473" s="1">
        <v>45966</v>
      </c>
      <c r="F2473" s="1">
        <v>46039</v>
      </c>
      <c r="G2473" s="1"/>
      <c r="H2473" t="s">
        <v>43</v>
      </c>
      <c r="I2473">
        <v>2</v>
      </c>
      <c r="J2473">
        <v>20</v>
      </c>
      <c r="K2473">
        <v>288000</v>
      </c>
      <c r="L2473">
        <v>80</v>
      </c>
      <c r="M2473" t="s">
        <v>29</v>
      </c>
      <c r="N2473" t="str">
        <f>_xlfn.XLOOKUP(B2473,tblCustomers[customer_id],tblCustomers[region],"Missing")</f>
        <v>South</v>
      </c>
      <c r="O2473" t="str">
        <f>_xlfn.XLOOKUP(C2473,tblProducts[product_id],tblProducts[product_name],"Missing")</f>
        <v>Support Desk</v>
      </c>
      <c r="P2473" t="str">
        <f>_xlfn.XLOOKUP(C2473,tblProducts[product_id],tblProducts[category],"Missing")</f>
        <v>Service</v>
      </c>
      <c r="Q2473" t="str">
        <f>_xlfn.XLOOKUP(D2473,tblSalesReps[rep_id],tblSalesReps[rep_name],"Missing")</f>
        <v>Sales Rep 04</v>
      </c>
      <c r="R2473" t="str">
        <f>_xlfn.XLOOKUP(D2473,tblSalesReps[rep_id],tblSalesReps[region],"Missing")</f>
        <v>South</v>
      </c>
    </row>
    <row r="2474" spans="1:18">
      <c r="A2474" t="s">
        <v>3016</v>
      </c>
      <c r="B2474" t="s">
        <v>14</v>
      </c>
      <c r="C2474" t="s">
        <v>26</v>
      </c>
      <c r="D2474" t="s">
        <v>119</v>
      </c>
      <c r="E2474" s="1">
        <v>45804</v>
      </c>
      <c r="F2474" s="1">
        <v>45847</v>
      </c>
      <c r="G2474" s="1">
        <v>45847</v>
      </c>
      <c r="H2474" t="s">
        <v>17</v>
      </c>
      <c r="I2474">
        <v>1</v>
      </c>
      <c r="J2474">
        <v>10</v>
      </c>
      <c r="K2474">
        <v>324000</v>
      </c>
      <c r="L2474">
        <v>0</v>
      </c>
      <c r="M2474" t="s">
        <v>18</v>
      </c>
      <c r="N2474" t="str">
        <f>_xlfn.XLOOKUP(B2474,tblCustomers[customer_id],tblCustomers[region],"Missing")</f>
        <v>North</v>
      </c>
      <c r="O2474" t="str">
        <f>_xlfn.XLOOKUP(C2474,tblProducts[product_id],tblProducts[product_name],"Missing")</f>
        <v>Security Suite</v>
      </c>
      <c r="P2474" t="str">
        <f>_xlfn.XLOOKUP(C2474,tblProducts[product_id],tblProducts[category],"Missing")</f>
        <v>Security</v>
      </c>
      <c r="Q2474" t="str">
        <f>_xlfn.XLOOKUP(D2474,tblSalesReps[rep_id],tblSalesReps[rep_name],"Missing")</f>
        <v>Sales Rep 10</v>
      </c>
      <c r="R2474" t="str">
        <f>_xlfn.XLOOKUP(D2474,tblSalesReps[rep_id],tblSalesReps[region],"Missing")</f>
        <v>North</v>
      </c>
    </row>
    <row r="2475" spans="1:18">
      <c r="A2475" t="s">
        <v>3017</v>
      </c>
      <c r="B2475" t="s">
        <v>453</v>
      </c>
      <c r="C2475" t="s">
        <v>81</v>
      </c>
      <c r="D2475" t="s">
        <v>63</v>
      </c>
      <c r="E2475" s="1">
        <v>45868</v>
      </c>
      <c r="F2475" s="1">
        <v>45952</v>
      </c>
      <c r="G2475" s="1">
        <v>45952</v>
      </c>
      <c r="H2475" t="s">
        <v>28</v>
      </c>
      <c r="I2475">
        <v>1</v>
      </c>
      <c r="J2475">
        <v>10</v>
      </c>
      <c r="K2475">
        <v>270000</v>
      </c>
      <c r="L2475">
        <v>100</v>
      </c>
      <c r="M2475" t="s">
        <v>29</v>
      </c>
      <c r="N2475" t="str">
        <f>_xlfn.XLOOKUP(B2475,tblCustomers[customer_id],tblCustomers[region],"Missing")</f>
        <v>South</v>
      </c>
      <c r="O2475" t="str">
        <f>_xlfn.XLOOKUP(C2475,tblProducts[product_id],tblProducts[product_name],"Missing")</f>
        <v>Analytics Cloud</v>
      </c>
      <c r="P2475" t="str">
        <f>_xlfn.XLOOKUP(C2475,tblProducts[product_id],tblProducts[category],"Missing")</f>
        <v>Analytics</v>
      </c>
      <c r="Q2475" t="str">
        <f>_xlfn.XLOOKUP(D2475,tblSalesReps[rep_id],tblSalesReps[rep_name],"Missing")</f>
        <v>Sales Rep 05</v>
      </c>
      <c r="R2475" t="str">
        <f>_xlfn.XLOOKUP(D2475,tblSalesReps[rep_id],tblSalesReps[region],"Missing")</f>
        <v>South</v>
      </c>
    </row>
    <row r="2476" spans="1:18">
      <c r="A2476" t="s">
        <v>3018</v>
      </c>
      <c r="B2476" t="s">
        <v>264</v>
      </c>
      <c r="C2476" t="s">
        <v>62</v>
      </c>
      <c r="D2476" t="s">
        <v>91</v>
      </c>
      <c r="E2476" s="1">
        <v>45853</v>
      </c>
      <c r="F2476" s="1">
        <v>45890</v>
      </c>
      <c r="G2476" s="1"/>
      <c r="H2476" t="s">
        <v>43</v>
      </c>
      <c r="I2476">
        <v>2</v>
      </c>
      <c r="J2476">
        <v>20</v>
      </c>
      <c r="K2476">
        <v>192000</v>
      </c>
      <c r="L2476">
        <v>40</v>
      </c>
      <c r="M2476" t="s">
        <v>29</v>
      </c>
      <c r="N2476" t="str">
        <f>_xlfn.XLOOKUP(B2476,tblCustomers[customer_id],tblCustomers[region],"Missing")</f>
        <v>South</v>
      </c>
      <c r="O2476" t="str">
        <f>_xlfn.XLOOKUP(C2476,tblProducts[product_id],tblProducts[product_name],"Missing")</f>
        <v>CRM Essentials</v>
      </c>
      <c r="P2476" t="str">
        <f>_xlfn.XLOOKUP(C2476,tblProducts[product_id],tblProducts[category],"Missing")</f>
        <v>CRM</v>
      </c>
      <c r="Q2476" t="str">
        <f>_xlfn.XLOOKUP(D2476,tblSalesReps[rep_id],tblSalesReps[rep_name],"Missing")</f>
        <v>Sales Rep 03</v>
      </c>
      <c r="R2476" t="str">
        <f>_xlfn.XLOOKUP(D2476,tblSalesReps[rep_id],tblSalesReps[region],"Missing")</f>
        <v>South</v>
      </c>
    </row>
    <row r="2477" spans="1:18">
      <c r="A2477" t="s">
        <v>3019</v>
      </c>
      <c r="B2477" t="s">
        <v>345</v>
      </c>
      <c r="C2477" t="s">
        <v>62</v>
      </c>
      <c r="D2477" t="s">
        <v>70</v>
      </c>
      <c r="E2477" s="1">
        <v>45944</v>
      </c>
      <c r="F2477" s="1">
        <v>45998</v>
      </c>
      <c r="G2477" s="1">
        <v>45998</v>
      </c>
      <c r="H2477" t="s">
        <v>17</v>
      </c>
      <c r="I2477">
        <v>3</v>
      </c>
      <c r="J2477">
        <v>15</v>
      </c>
      <c r="K2477">
        <v>306000</v>
      </c>
      <c r="L2477">
        <v>0</v>
      </c>
      <c r="M2477" t="s">
        <v>82</v>
      </c>
      <c r="N2477" t="str">
        <f>_xlfn.XLOOKUP(B2477,tblCustomers[customer_id],tblCustomers[region],"Missing")</f>
        <v>West</v>
      </c>
      <c r="O2477" t="str">
        <f>_xlfn.XLOOKUP(C2477,tblProducts[product_id],tblProducts[product_name],"Missing")</f>
        <v>CRM Essentials</v>
      </c>
      <c r="P2477" t="str">
        <f>_xlfn.XLOOKUP(C2477,tblProducts[product_id],tblProducts[category],"Missing")</f>
        <v>CRM</v>
      </c>
      <c r="Q2477" t="str">
        <f>_xlfn.XLOOKUP(D2477,tblSalesReps[rep_id],tblSalesReps[rep_name],"Missing")</f>
        <v>Sales Rep 11</v>
      </c>
      <c r="R2477" t="str">
        <f>_xlfn.XLOOKUP(D2477,tblSalesReps[rep_id],tblSalesReps[region],"Missing")</f>
        <v>West</v>
      </c>
    </row>
    <row r="2478" spans="1:18">
      <c r="A2478" t="s">
        <v>3020</v>
      </c>
      <c r="B2478" t="s">
        <v>1019</v>
      </c>
      <c r="C2478" t="s">
        <v>26</v>
      </c>
      <c r="D2478" t="s">
        <v>50</v>
      </c>
      <c r="E2478" s="1">
        <v>45768</v>
      </c>
      <c r="F2478" s="1">
        <v>45851</v>
      </c>
      <c r="G2478" s="1"/>
      <c r="H2478" t="s">
        <v>43</v>
      </c>
      <c r="I2478">
        <v>1</v>
      </c>
      <c r="J2478">
        <v>10</v>
      </c>
      <c r="K2478">
        <v>324000</v>
      </c>
      <c r="L2478">
        <v>80</v>
      </c>
      <c r="M2478" t="s">
        <v>29</v>
      </c>
      <c r="N2478" t="str">
        <f>_xlfn.XLOOKUP(B2478,tblCustomers[customer_id],tblCustomers[region],"Missing")</f>
        <v>West</v>
      </c>
      <c r="O2478" t="str">
        <f>_xlfn.XLOOKUP(C2478,tblProducts[product_id],tblProducts[product_name],"Missing")</f>
        <v>Security Suite</v>
      </c>
      <c r="P2478" t="str">
        <f>_xlfn.XLOOKUP(C2478,tblProducts[product_id],tblProducts[category],"Missing")</f>
        <v>Security</v>
      </c>
      <c r="Q2478" t="str">
        <f>_xlfn.XLOOKUP(D2478,tblSalesReps[rep_id],tblSalesReps[rep_name],"Missing")</f>
        <v>Sales Rep 15</v>
      </c>
      <c r="R2478" t="str">
        <f>_xlfn.XLOOKUP(D2478,tblSalesReps[rep_id],tblSalesReps[region],"Missing")</f>
        <v>West</v>
      </c>
    </row>
    <row r="2479" spans="1:18">
      <c r="A2479" t="s">
        <v>3021</v>
      </c>
      <c r="B2479" t="s">
        <v>448</v>
      </c>
      <c r="C2479" t="s">
        <v>81</v>
      </c>
      <c r="D2479" t="s">
        <v>119</v>
      </c>
      <c r="E2479" s="1">
        <v>45868</v>
      </c>
      <c r="F2479" s="1">
        <v>45904</v>
      </c>
      <c r="G2479" s="1">
        <v>45904</v>
      </c>
      <c r="H2479" t="s">
        <v>28</v>
      </c>
      <c r="I2479">
        <v>1</v>
      </c>
      <c r="J2479">
        <v>20</v>
      </c>
      <c r="K2479">
        <v>240000</v>
      </c>
      <c r="L2479">
        <v>100</v>
      </c>
      <c r="M2479" t="s">
        <v>29</v>
      </c>
      <c r="N2479" t="str">
        <f>_xlfn.XLOOKUP(B2479,tblCustomers[customer_id],tblCustomers[region],"Missing")</f>
        <v>North</v>
      </c>
      <c r="O2479" t="str">
        <f>_xlfn.XLOOKUP(C2479,tblProducts[product_id],tblProducts[product_name],"Missing")</f>
        <v>Analytics Cloud</v>
      </c>
      <c r="P2479" t="str">
        <f>_xlfn.XLOOKUP(C2479,tblProducts[product_id],tblProducts[category],"Missing")</f>
        <v>Analytics</v>
      </c>
      <c r="Q2479" t="str">
        <f>_xlfn.XLOOKUP(D2479,tblSalesReps[rep_id],tblSalesReps[rep_name],"Missing")</f>
        <v>Sales Rep 10</v>
      </c>
      <c r="R2479" t="str">
        <f>_xlfn.XLOOKUP(D2479,tblSalesReps[rep_id],tblSalesReps[region],"Missing")</f>
        <v>North</v>
      </c>
    </row>
    <row r="2480" spans="1:18">
      <c r="A2480" t="s">
        <v>3022</v>
      </c>
      <c r="B2480" t="s">
        <v>1843</v>
      </c>
      <c r="C2480" t="s">
        <v>39</v>
      </c>
      <c r="D2480" t="s">
        <v>50</v>
      </c>
      <c r="E2480" s="1">
        <v>45873</v>
      </c>
      <c r="F2480" s="1">
        <v>45958</v>
      </c>
      <c r="G2480" s="1">
        <v>45958</v>
      </c>
      <c r="H2480" t="s">
        <v>28</v>
      </c>
      <c r="I2480">
        <v>1</v>
      </c>
      <c r="J2480">
        <v>15</v>
      </c>
      <c r="K2480">
        <v>153000</v>
      </c>
      <c r="L2480">
        <v>100</v>
      </c>
      <c r="M2480" t="s">
        <v>29</v>
      </c>
      <c r="N2480" t="str">
        <f>_xlfn.XLOOKUP(B2480,tblCustomers[customer_id],tblCustomers[region],"Missing")</f>
        <v>West</v>
      </c>
      <c r="O2480" t="str">
        <f>_xlfn.XLOOKUP(C2480,tblProducts[product_id],tblProducts[product_name],"Missing")</f>
        <v>Support Desk</v>
      </c>
      <c r="P2480" t="str">
        <f>_xlfn.XLOOKUP(C2480,tblProducts[product_id],tblProducts[category],"Missing")</f>
        <v>Service</v>
      </c>
      <c r="Q2480" t="str">
        <f>_xlfn.XLOOKUP(D2480,tblSalesReps[rep_id],tblSalesReps[rep_name],"Missing")</f>
        <v>Sales Rep 15</v>
      </c>
      <c r="R2480" t="str">
        <f>_xlfn.XLOOKUP(D2480,tblSalesReps[rep_id],tblSalesReps[region],"Missing")</f>
        <v>West</v>
      </c>
    </row>
    <row r="2481" spans="1:18">
      <c r="A2481" t="s">
        <v>3023</v>
      </c>
      <c r="B2481" t="s">
        <v>1420</v>
      </c>
      <c r="C2481" t="s">
        <v>39</v>
      </c>
      <c r="D2481" t="s">
        <v>152</v>
      </c>
      <c r="E2481" s="1">
        <v>45805</v>
      </c>
      <c r="F2481" s="1">
        <v>45825</v>
      </c>
      <c r="G2481" s="1">
        <v>45825</v>
      </c>
      <c r="H2481" t="s">
        <v>28</v>
      </c>
      <c r="I2481">
        <v>2</v>
      </c>
      <c r="J2481">
        <v>15</v>
      </c>
      <c r="K2481">
        <v>306000</v>
      </c>
      <c r="L2481">
        <v>100</v>
      </c>
      <c r="M2481" t="s">
        <v>29</v>
      </c>
      <c r="N2481" t="str">
        <f>_xlfn.XLOOKUP(B2481,tblCustomers[customer_id],tblCustomers[region],"Missing")</f>
        <v>East</v>
      </c>
      <c r="O2481" t="str">
        <f>_xlfn.XLOOKUP(C2481,tblProducts[product_id],tblProducts[product_name],"Missing")</f>
        <v>Support Desk</v>
      </c>
      <c r="P2481" t="str">
        <f>_xlfn.XLOOKUP(C2481,tblProducts[product_id],tblProducts[category],"Missing")</f>
        <v>Service</v>
      </c>
      <c r="Q2481" t="str">
        <f>_xlfn.XLOOKUP(D2481,tblSalesReps[rep_id],tblSalesReps[rep_name],"Missing")</f>
        <v>Sales Rep 18</v>
      </c>
      <c r="R2481" t="str">
        <f>_xlfn.XLOOKUP(D2481,tblSalesReps[rep_id],tblSalesReps[region],"Missing")</f>
        <v>East</v>
      </c>
    </row>
    <row r="2482" spans="1:18">
      <c r="A2482" t="s">
        <v>3024</v>
      </c>
      <c r="B2482" t="s">
        <v>935</v>
      </c>
      <c r="C2482" t="s">
        <v>21</v>
      </c>
      <c r="D2482" t="s">
        <v>63</v>
      </c>
      <c r="E2482" s="1">
        <v>45741</v>
      </c>
      <c r="F2482" s="1">
        <v>45751</v>
      </c>
      <c r="G2482" s="1">
        <v>45751</v>
      </c>
      <c r="H2482" t="s">
        <v>17</v>
      </c>
      <c r="I2482">
        <v>3</v>
      </c>
      <c r="J2482">
        <v>5</v>
      </c>
      <c r="K2482">
        <v>684000</v>
      </c>
      <c r="L2482">
        <v>0</v>
      </c>
      <c r="M2482" t="s">
        <v>18</v>
      </c>
      <c r="N2482" t="str">
        <f>_xlfn.XLOOKUP(B2482,tblCustomers[customer_id],tblCustomers[region],"Missing")</f>
        <v>South</v>
      </c>
      <c r="O2482" t="str">
        <f>_xlfn.XLOOKUP(C2482,tblProducts[product_id],tblProducts[product_name],"Missing")</f>
        <v>Workflow Automate</v>
      </c>
      <c r="P2482" t="str">
        <f>_xlfn.XLOOKUP(C2482,tblProducts[product_id],tblProducts[category],"Missing")</f>
        <v>Automation</v>
      </c>
      <c r="Q2482" t="str">
        <f>_xlfn.XLOOKUP(D2482,tblSalesReps[rep_id],tblSalesReps[rep_name],"Missing")</f>
        <v>Sales Rep 05</v>
      </c>
      <c r="R2482" t="str">
        <f>_xlfn.XLOOKUP(D2482,tblSalesReps[rep_id],tblSalesReps[region],"Missing")</f>
        <v>South</v>
      </c>
    </row>
    <row r="2483" spans="1:18">
      <c r="A2483" t="s">
        <v>3025</v>
      </c>
      <c r="B2483" t="s">
        <v>72</v>
      </c>
      <c r="C2483" t="s">
        <v>39</v>
      </c>
      <c r="D2483" t="s">
        <v>46</v>
      </c>
      <c r="E2483" s="1">
        <v>45677</v>
      </c>
      <c r="F2483" s="1">
        <v>45760</v>
      </c>
      <c r="G2483" s="1"/>
      <c r="H2483" t="s">
        <v>43</v>
      </c>
      <c r="I2483">
        <v>1</v>
      </c>
      <c r="J2483">
        <v>5</v>
      </c>
      <c r="K2483">
        <v>171000</v>
      </c>
      <c r="L2483">
        <v>40</v>
      </c>
      <c r="M2483" t="s">
        <v>29</v>
      </c>
      <c r="N2483" t="str">
        <f>_xlfn.XLOOKUP(B2483,tblCustomers[customer_id],tblCustomers[region],"Missing")</f>
        <v>South</v>
      </c>
      <c r="O2483" t="str">
        <f>_xlfn.XLOOKUP(C2483,tblProducts[product_id],tblProducts[product_name],"Missing")</f>
        <v>Support Desk</v>
      </c>
      <c r="P2483" t="str">
        <f>_xlfn.XLOOKUP(C2483,tblProducts[product_id],tblProducts[category],"Missing")</f>
        <v>Service</v>
      </c>
      <c r="Q2483" t="str">
        <f>_xlfn.XLOOKUP(D2483,tblSalesReps[rep_id],tblSalesReps[rep_name],"Missing")</f>
        <v>Sales Rep 01</v>
      </c>
      <c r="R2483" t="str">
        <f>_xlfn.XLOOKUP(D2483,tblSalesReps[rep_id],tblSalesReps[region],"Missing")</f>
        <v>South</v>
      </c>
    </row>
    <row r="2484" spans="1:18">
      <c r="A2484" t="s">
        <v>3026</v>
      </c>
      <c r="B2484" t="s">
        <v>285</v>
      </c>
      <c r="C2484" t="s">
        <v>21</v>
      </c>
      <c r="D2484" t="s">
        <v>32</v>
      </c>
      <c r="E2484" s="1">
        <v>45825</v>
      </c>
      <c r="F2484" s="1">
        <v>45866</v>
      </c>
      <c r="G2484" s="1">
        <v>45866</v>
      </c>
      <c r="H2484" t="s">
        <v>17</v>
      </c>
      <c r="I2484">
        <v>1</v>
      </c>
      <c r="J2484">
        <v>15</v>
      </c>
      <c r="K2484">
        <v>204000</v>
      </c>
      <c r="L2484">
        <v>0</v>
      </c>
      <c r="M2484" t="s">
        <v>33</v>
      </c>
      <c r="N2484" t="str">
        <f>_xlfn.XLOOKUP(B2484,tblCustomers[customer_id],tblCustomers[region],"Missing")</f>
        <v>South</v>
      </c>
      <c r="O2484" t="str">
        <f>_xlfn.XLOOKUP(C2484,tblProducts[product_id],tblProducts[product_name],"Missing")</f>
        <v>Workflow Automate</v>
      </c>
      <c r="P2484" t="str">
        <f>_xlfn.XLOOKUP(C2484,tblProducts[product_id],tblProducts[category],"Missing")</f>
        <v>Automation</v>
      </c>
      <c r="Q2484" t="str">
        <f>_xlfn.XLOOKUP(D2484,tblSalesReps[rep_id],tblSalesReps[rep_name],"Missing")</f>
        <v>Sales Rep 04</v>
      </c>
      <c r="R2484" t="str">
        <f>_xlfn.XLOOKUP(D2484,tblSalesReps[rep_id],tblSalesReps[region],"Missing")</f>
        <v>South</v>
      </c>
    </row>
    <row r="2485" spans="1:18">
      <c r="A2485" t="s">
        <v>3027</v>
      </c>
      <c r="B2485" t="s">
        <v>575</v>
      </c>
      <c r="C2485" t="s">
        <v>62</v>
      </c>
      <c r="D2485" t="s">
        <v>56</v>
      </c>
      <c r="E2485" s="1">
        <v>45795</v>
      </c>
      <c r="F2485" s="1">
        <v>45843</v>
      </c>
      <c r="G2485" s="1">
        <v>45843</v>
      </c>
      <c r="H2485" t="s">
        <v>28</v>
      </c>
      <c r="I2485">
        <v>2</v>
      </c>
      <c r="J2485">
        <v>15</v>
      </c>
      <c r="K2485">
        <v>204000</v>
      </c>
      <c r="L2485">
        <v>100</v>
      </c>
      <c r="M2485" t="s">
        <v>29</v>
      </c>
      <c r="N2485" t="str">
        <f>_xlfn.XLOOKUP(B2485,tblCustomers[customer_id],tblCustomers[region],"Missing")</f>
        <v>East</v>
      </c>
      <c r="O2485" t="str">
        <f>_xlfn.XLOOKUP(C2485,tblProducts[product_id],tblProducts[product_name],"Missing")</f>
        <v>CRM Essentials</v>
      </c>
      <c r="P2485" t="str">
        <f>_xlfn.XLOOKUP(C2485,tblProducts[product_id],tblProducts[category],"Missing")</f>
        <v>CRM</v>
      </c>
      <c r="Q2485" t="str">
        <f>_xlfn.XLOOKUP(D2485,tblSalesReps[rep_id],tblSalesReps[rep_name],"Missing")</f>
        <v>Sales Rep 20</v>
      </c>
      <c r="R2485" t="str">
        <f>_xlfn.XLOOKUP(D2485,tblSalesReps[rep_id],tblSalesReps[region],"Missing")</f>
        <v>East</v>
      </c>
    </row>
    <row r="2486" spans="1:18">
      <c r="A2486" t="s">
        <v>3028</v>
      </c>
      <c r="B2486" t="s">
        <v>448</v>
      </c>
      <c r="C2486" t="s">
        <v>81</v>
      </c>
      <c r="D2486" t="s">
        <v>16</v>
      </c>
      <c r="E2486" s="1">
        <v>45691</v>
      </c>
      <c r="F2486" s="1">
        <v>45707</v>
      </c>
      <c r="G2486" s="1">
        <v>45707</v>
      </c>
      <c r="H2486" t="s">
        <v>28</v>
      </c>
      <c r="I2486">
        <v>3</v>
      </c>
      <c r="J2486">
        <v>10</v>
      </c>
      <c r="K2486">
        <v>810000</v>
      </c>
      <c r="L2486">
        <v>100</v>
      </c>
      <c r="M2486" t="s">
        <v>29</v>
      </c>
      <c r="N2486" t="str">
        <f>_xlfn.XLOOKUP(B2486,tblCustomers[customer_id],tblCustomers[region],"Missing")</f>
        <v>North</v>
      </c>
      <c r="O2486" t="str">
        <f>_xlfn.XLOOKUP(C2486,tblProducts[product_id],tblProducts[product_name],"Missing")</f>
        <v>Analytics Cloud</v>
      </c>
      <c r="P2486" t="str">
        <f>_xlfn.XLOOKUP(C2486,tblProducts[product_id],tblProducts[category],"Missing")</f>
        <v>Analytics</v>
      </c>
      <c r="Q2486" t="str">
        <f>_xlfn.XLOOKUP(D2486,tblSalesReps[rep_id],tblSalesReps[rep_name],"Missing")</f>
        <v>Sales Rep 08</v>
      </c>
      <c r="R2486" t="str">
        <f>_xlfn.XLOOKUP(D2486,tblSalesReps[rep_id],tblSalesReps[region],"Missing")</f>
        <v>North</v>
      </c>
    </row>
    <row r="2487" spans="1:18">
      <c r="A2487" t="s">
        <v>3029</v>
      </c>
      <c r="B2487" t="s">
        <v>376</v>
      </c>
      <c r="C2487" t="s">
        <v>62</v>
      </c>
      <c r="D2487" t="s">
        <v>78</v>
      </c>
      <c r="E2487" s="1">
        <v>45995</v>
      </c>
      <c r="F2487" s="1">
        <v>46030</v>
      </c>
      <c r="G2487" s="1"/>
      <c r="H2487" t="s">
        <v>43</v>
      </c>
      <c r="I2487">
        <v>3</v>
      </c>
      <c r="J2487">
        <v>10</v>
      </c>
      <c r="K2487">
        <v>324000</v>
      </c>
      <c r="L2487">
        <v>80</v>
      </c>
      <c r="M2487" t="s">
        <v>29</v>
      </c>
      <c r="N2487" t="str">
        <f>_xlfn.XLOOKUP(B2487,tblCustomers[customer_id],tblCustomers[region],"Missing")</f>
        <v>West</v>
      </c>
      <c r="O2487" t="str">
        <f>_xlfn.XLOOKUP(C2487,tblProducts[product_id],tblProducts[product_name],"Missing")</f>
        <v>CRM Essentials</v>
      </c>
      <c r="P2487" t="str">
        <f>_xlfn.XLOOKUP(C2487,tblProducts[product_id],tblProducts[category],"Missing")</f>
        <v>CRM</v>
      </c>
      <c r="Q2487" t="str">
        <f>_xlfn.XLOOKUP(D2487,tblSalesReps[rep_id],tblSalesReps[rep_name],"Missing")</f>
        <v>Sales Rep 12</v>
      </c>
      <c r="R2487" t="str">
        <f>_xlfn.XLOOKUP(D2487,tblSalesReps[rep_id],tblSalesReps[region],"Missing")</f>
        <v>West</v>
      </c>
    </row>
    <row r="2488" spans="1:18">
      <c r="A2488" t="s">
        <v>3030</v>
      </c>
      <c r="B2488" t="s">
        <v>842</v>
      </c>
      <c r="C2488" t="s">
        <v>21</v>
      </c>
      <c r="D2488" t="s">
        <v>168</v>
      </c>
      <c r="E2488" s="1">
        <v>45828</v>
      </c>
      <c r="F2488" s="1">
        <v>45878</v>
      </c>
      <c r="G2488" s="1"/>
      <c r="H2488" t="s">
        <v>43</v>
      </c>
      <c r="I2488">
        <v>1</v>
      </c>
      <c r="J2488">
        <v>5</v>
      </c>
      <c r="K2488">
        <v>228000</v>
      </c>
      <c r="L2488">
        <v>60</v>
      </c>
      <c r="M2488" t="s">
        <v>29</v>
      </c>
      <c r="N2488" t="str">
        <f>_xlfn.XLOOKUP(B2488,tblCustomers[customer_id],tblCustomers[region],"Missing")</f>
        <v>East</v>
      </c>
      <c r="O2488" t="str">
        <f>_xlfn.XLOOKUP(C2488,tblProducts[product_id],tblProducts[product_name],"Missing")</f>
        <v>Workflow Automate</v>
      </c>
      <c r="P2488" t="str">
        <f>_xlfn.XLOOKUP(C2488,tblProducts[product_id],tblProducts[category],"Missing")</f>
        <v>Automation</v>
      </c>
      <c r="Q2488" t="str">
        <f>_xlfn.XLOOKUP(D2488,tblSalesReps[rep_id],tblSalesReps[rep_name],"Missing")</f>
        <v>Sales Rep 17</v>
      </c>
      <c r="R2488" t="str">
        <f>_xlfn.XLOOKUP(D2488,tblSalesReps[rep_id],tblSalesReps[region],"Missing")</f>
        <v>East</v>
      </c>
    </row>
    <row r="2489" spans="1:18">
      <c r="A2489" t="s">
        <v>3031</v>
      </c>
      <c r="B2489" t="s">
        <v>570</v>
      </c>
      <c r="C2489" t="s">
        <v>62</v>
      </c>
      <c r="D2489" t="s">
        <v>75</v>
      </c>
      <c r="E2489" s="1">
        <v>45789</v>
      </c>
      <c r="F2489" s="1">
        <v>45855</v>
      </c>
      <c r="G2489" s="1"/>
      <c r="H2489" t="s">
        <v>43</v>
      </c>
      <c r="I2489">
        <v>1</v>
      </c>
      <c r="J2489">
        <v>20</v>
      </c>
      <c r="K2489">
        <v>96000</v>
      </c>
      <c r="L2489">
        <v>20</v>
      </c>
      <c r="M2489" t="s">
        <v>29</v>
      </c>
      <c r="N2489" t="str">
        <f>_xlfn.XLOOKUP(B2489,tblCustomers[customer_id],tblCustomers[region],"Missing")</f>
        <v>North</v>
      </c>
      <c r="O2489" t="str">
        <f>_xlfn.XLOOKUP(C2489,tblProducts[product_id],tblProducts[product_name],"Missing")</f>
        <v>CRM Essentials</v>
      </c>
      <c r="P2489" t="str">
        <f>_xlfn.XLOOKUP(C2489,tblProducts[product_id],tblProducts[category],"Missing")</f>
        <v>CRM</v>
      </c>
      <c r="Q2489" t="str">
        <f>_xlfn.XLOOKUP(D2489,tblSalesReps[rep_id],tblSalesReps[rep_name],"Missing")</f>
        <v>Sales Rep 07</v>
      </c>
      <c r="R2489" t="str">
        <f>_xlfn.XLOOKUP(D2489,tblSalesReps[rep_id],tblSalesReps[region],"Missing")</f>
        <v>North</v>
      </c>
    </row>
    <row r="2490" spans="1:18">
      <c r="A2490" t="s">
        <v>3032</v>
      </c>
      <c r="B2490" t="s">
        <v>162</v>
      </c>
      <c r="C2490" t="s">
        <v>62</v>
      </c>
      <c r="D2490" t="s">
        <v>32</v>
      </c>
      <c r="E2490" s="1">
        <v>45973</v>
      </c>
      <c r="F2490" s="1">
        <v>46035</v>
      </c>
      <c r="G2490" s="1"/>
      <c r="H2490" t="s">
        <v>43</v>
      </c>
      <c r="I2490">
        <v>1</v>
      </c>
      <c r="J2490">
        <v>0</v>
      </c>
      <c r="K2490">
        <v>120000</v>
      </c>
      <c r="L2490">
        <v>60</v>
      </c>
      <c r="M2490" t="s">
        <v>29</v>
      </c>
      <c r="N2490" t="str">
        <f>_xlfn.XLOOKUP(B2490,tblCustomers[customer_id],tblCustomers[region],"Missing")</f>
        <v>South</v>
      </c>
      <c r="O2490" t="str">
        <f>_xlfn.XLOOKUP(C2490,tblProducts[product_id],tblProducts[product_name],"Missing")</f>
        <v>CRM Essentials</v>
      </c>
      <c r="P2490" t="str">
        <f>_xlfn.XLOOKUP(C2490,tblProducts[product_id],tblProducts[category],"Missing")</f>
        <v>CRM</v>
      </c>
      <c r="Q2490" t="str">
        <f>_xlfn.XLOOKUP(D2490,tblSalesReps[rep_id],tblSalesReps[rep_name],"Missing")</f>
        <v>Sales Rep 04</v>
      </c>
      <c r="R2490" t="str">
        <f>_xlfn.XLOOKUP(D2490,tblSalesReps[rep_id],tblSalesReps[region],"Missing")</f>
        <v>South</v>
      </c>
    </row>
    <row r="2491" spans="1:18">
      <c r="A2491" t="s">
        <v>3033</v>
      </c>
      <c r="B2491" t="s">
        <v>779</v>
      </c>
      <c r="C2491" t="s">
        <v>21</v>
      </c>
      <c r="D2491" t="s">
        <v>152</v>
      </c>
      <c r="E2491" s="1">
        <v>45723</v>
      </c>
      <c r="F2491" s="1">
        <v>45771</v>
      </c>
      <c r="G2491" s="1">
        <v>45771</v>
      </c>
      <c r="H2491" t="s">
        <v>17</v>
      </c>
      <c r="I2491">
        <v>1</v>
      </c>
      <c r="J2491">
        <v>0</v>
      </c>
      <c r="K2491">
        <v>240000</v>
      </c>
      <c r="L2491">
        <v>0</v>
      </c>
      <c r="M2491" t="s">
        <v>33</v>
      </c>
      <c r="N2491" t="str">
        <f>_xlfn.XLOOKUP(B2491,tblCustomers[customer_id],tblCustomers[region],"Missing")</f>
        <v>East</v>
      </c>
      <c r="O2491" t="str">
        <f>_xlfn.XLOOKUP(C2491,tblProducts[product_id],tblProducts[product_name],"Missing")</f>
        <v>Workflow Automate</v>
      </c>
      <c r="P2491" t="str">
        <f>_xlfn.XLOOKUP(C2491,tblProducts[product_id],tblProducts[category],"Missing")</f>
        <v>Automation</v>
      </c>
      <c r="Q2491" t="str">
        <f>_xlfn.XLOOKUP(D2491,tblSalesReps[rep_id],tblSalesReps[rep_name],"Missing")</f>
        <v>Sales Rep 18</v>
      </c>
      <c r="R2491" t="str">
        <f>_xlfn.XLOOKUP(D2491,tblSalesReps[rep_id],tblSalesReps[region],"Missing")</f>
        <v>East</v>
      </c>
    </row>
    <row r="2492" spans="1:18">
      <c r="A2492" t="s">
        <v>3034</v>
      </c>
      <c r="B2492" t="s">
        <v>1884</v>
      </c>
      <c r="C2492" t="s">
        <v>62</v>
      </c>
      <c r="D2492" t="s">
        <v>91</v>
      </c>
      <c r="E2492" s="1">
        <v>46008</v>
      </c>
      <c r="F2492" s="1">
        <v>46018</v>
      </c>
      <c r="G2492" s="1">
        <v>46018</v>
      </c>
      <c r="H2492" t="s">
        <v>28</v>
      </c>
      <c r="I2492">
        <v>1</v>
      </c>
      <c r="J2492">
        <v>5</v>
      </c>
      <c r="K2492">
        <v>114000</v>
      </c>
      <c r="L2492">
        <v>100</v>
      </c>
      <c r="M2492" t="s">
        <v>29</v>
      </c>
      <c r="N2492" t="str">
        <f>_xlfn.XLOOKUP(B2492,tblCustomers[customer_id],tblCustomers[region],"Missing")</f>
        <v>South</v>
      </c>
      <c r="O2492" t="str">
        <f>_xlfn.XLOOKUP(C2492,tblProducts[product_id],tblProducts[product_name],"Missing")</f>
        <v>CRM Essentials</v>
      </c>
      <c r="P2492" t="str">
        <f>_xlfn.XLOOKUP(C2492,tblProducts[product_id],tblProducts[category],"Missing")</f>
        <v>CRM</v>
      </c>
      <c r="Q2492" t="str">
        <f>_xlfn.XLOOKUP(D2492,tblSalesReps[rep_id],tblSalesReps[rep_name],"Missing")</f>
        <v>Sales Rep 03</v>
      </c>
      <c r="R2492" t="str">
        <f>_xlfn.XLOOKUP(D2492,tblSalesReps[rep_id],tblSalesReps[region],"Missing")</f>
        <v>South</v>
      </c>
    </row>
    <row r="2493" spans="1:18">
      <c r="A2493" t="s">
        <v>3035</v>
      </c>
      <c r="B2493" t="s">
        <v>651</v>
      </c>
      <c r="C2493" t="s">
        <v>26</v>
      </c>
      <c r="D2493" t="s">
        <v>40</v>
      </c>
      <c r="E2493" s="1">
        <v>45853</v>
      </c>
      <c r="F2493" s="1">
        <v>45924</v>
      </c>
      <c r="G2493" s="1"/>
      <c r="H2493" t="s">
        <v>43</v>
      </c>
      <c r="I2493">
        <v>1</v>
      </c>
      <c r="J2493">
        <v>20</v>
      </c>
      <c r="K2493">
        <v>288000</v>
      </c>
      <c r="L2493">
        <v>80</v>
      </c>
      <c r="M2493" t="s">
        <v>29</v>
      </c>
      <c r="N2493" t="str">
        <f>_xlfn.XLOOKUP(B2493,tblCustomers[customer_id],tblCustomers[region],"Missing")</f>
        <v>West</v>
      </c>
      <c r="O2493" t="str">
        <f>_xlfn.XLOOKUP(C2493,tblProducts[product_id],tblProducts[product_name],"Missing")</f>
        <v>Security Suite</v>
      </c>
      <c r="P2493" t="str">
        <f>_xlfn.XLOOKUP(C2493,tblProducts[product_id],tblProducts[category],"Missing")</f>
        <v>Security</v>
      </c>
      <c r="Q2493" t="str">
        <f>_xlfn.XLOOKUP(D2493,tblSalesReps[rep_id],tblSalesReps[rep_name],"Missing")</f>
        <v>Sales Rep 13</v>
      </c>
      <c r="R2493" t="str">
        <f>_xlfn.XLOOKUP(D2493,tblSalesReps[rep_id],tblSalesReps[region],"Missing")</f>
        <v>West</v>
      </c>
    </row>
    <row r="2494" spans="1:18">
      <c r="A2494" t="s">
        <v>3036</v>
      </c>
      <c r="B2494" t="s">
        <v>944</v>
      </c>
      <c r="C2494" t="s">
        <v>21</v>
      </c>
      <c r="D2494" t="s">
        <v>75</v>
      </c>
      <c r="E2494" s="1">
        <v>45694</v>
      </c>
      <c r="F2494" s="1">
        <v>45745</v>
      </c>
      <c r="G2494" s="1">
        <v>45745</v>
      </c>
      <c r="H2494" t="s">
        <v>28</v>
      </c>
      <c r="I2494">
        <v>1</v>
      </c>
      <c r="J2494">
        <v>20</v>
      </c>
      <c r="K2494">
        <v>192000</v>
      </c>
      <c r="L2494">
        <v>100</v>
      </c>
      <c r="M2494" t="s">
        <v>29</v>
      </c>
      <c r="N2494" t="str">
        <f>_xlfn.XLOOKUP(B2494,tblCustomers[customer_id],tblCustomers[region],"Missing")</f>
        <v>North</v>
      </c>
      <c r="O2494" t="str">
        <f>_xlfn.XLOOKUP(C2494,tblProducts[product_id],tblProducts[product_name],"Missing")</f>
        <v>Workflow Automate</v>
      </c>
      <c r="P2494" t="str">
        <f>_xlfn.XLOOKUP(C2494,tblProducts[product_id],tblProducts[category],"Missing")</f>
        <v>Automation</v>
      </c>
      <c r="Q2494" t="str">
        <f>_xlfn.XLOOKUP(D2494,tblSalesReps[rep_id],tblSalesReps[rep_name],"Missing")</f>
        <v>Sales Rep 07</v>
      </c>
      <c r="R2494" t="str">
        <f>_xlfn.XLOOKUP(D2494,tblSalesReps[rep_id],tblSalesReps[region],"Missing")</f>
        <v>North</v>
      </c>
    </row>
    <row r="2495" spans="1:18">
      <c r="A2495" t="s">
        <v>3037</v>
      </c>
      <c r="B2495" t="s">
        <v>761</v>
      </c>
      <c r="C2495" t="s">
        <v>39</v>
      </c>
      <c r="D2495" t="s">
        <v>126</v>
      </c>
      <c r="E2495" s="1">
        <v>45664</v>
      </c>
      <c r="F2495" s="1">
        <v>45680</v>
      </c>
      <c r="G2495" s="1">
        <v>45680</v>
      </c>
      <c r="H2495" t="s">
        <v>17</v>
      </c>
      <c r="I2495">
        <v>3</v>
      </c>
      <c r="J2495">
        <v>20</v>
      </c>
      <c r="K2495">
        <v>432000</v>
      </c>
      <c r="L2495">
        <v>0</v>
      </c>
      <c r="M2495" t="s">
        <v>18</v>
      </c>
      <c r="N2495" t="str">
        <f>_xlfn.XLOOKUP(B2495,tblCustomers[customer_id],tblCustomers[region],"Missing")</f>
        <v>South</v>
      </c>
      <c r="O2495" t="str">
        <f>_xlfn.XLOOKUP(C2495,tblProducts[product_id],tblProducts[product_name],"Missing")</f>
        <v>Support Desk</v>
      </c>
      <c r="P2495" t="str">
        <f>_xlfn.XLOOKUP(C2495,tblProducts[product_id],tblProducts[category],"Missing")</f>
        <v>Service</v>
      </c>
      <c r="Q2495" t="str">
        <f>_xlfn.XLOOKUP(D2495,tblSalesReps[rep_id],tblSalesReps[rep_name],"Missing")</f>
        <v>Sales Rep 02</v>
      </c>
      <c r="R2495" t="str">
        <f>_xlfn.XLOOKUP(D2495,tblSalesReps[rep_id],tblSalesReps[region],"Missing")</f>
        <v>South</v>
      </c>
    </row>
    <row r="2496" spans="1:18">
      <c r="A2496" t="s">
        <v>3038</v>
      </c>
      <c r="B2496" t="s">
        <v>209</v>
      </c>
      <c r="C2496" t="s">
        <v>15</v>
      </c>
      <c r="D2496" t="s">
        <v>78</v>
      </c>
      <c r="E2496" s="1">
        <v>45887</v>
      </c>
      <c r="F2496" s="1">
        <v>45962</v>
      </c>
      <c r="G2496" s="1">
        <v>45962</v>
      </c>
      <c r="H2496" t="s">
        <v>28</v>
      </c>
      <c r="I2496">
        <v>3</v>
      </c>
      <c r="J2496">
        <v>15</v>
      </c>
      <c r="K2496">
        <v>1071000</v>
      </c>
      <c r="L2496">
        <v>100</v>
      </c>
      <c r="M2496" t="s">
        <v>29</v>
      </c>
      <c r="N2496" t="str">
        <f>_xlfn.XLOOKUP(B2496,tblCustomers[customer_id],tblCustomers[region],"Missing")</f>
        <v>West</v>
      </c>
      <c r="O2496" t="str">
        <f>_xlfn.XLOOKUP(C2496,tblProducts[product_id],tblProducts[product_name],"Missing")</f>
        <v>CRM Enterprise</v>
      </c>
      <c r="P2496" t="str">
        <f>_xlfn.XLOOKUP(C2496,tblProducts[product_id],tblProducts[category],"Missing")</f>
        <v>CRM</v>
      </c>
      <c r="Q2496" t="str">
        <f>_xlfn.XLOOKUP(D2496,tblSalesReps[rep_id],tblSalesReps[rep_name],"Missing")</f>
        <v>Sales Rep 12</v>
      </c>
      <c r="R2496" t="str">
        <f>_xlfn.XLOOKUP(D2496,tblSalesReps[rep_id],tblSalesReps[region],"Missing")</f>
        <v>West</v>
      </c>
    </row>
    <row r="2497" spans="1:18">
      <c r="A2497" t="s">
        <v>3039</v>
      </c>
      <c r="B2497" t="s">
        <v>888</v>
      </c>
      <c r="C2497" t="s">
        <v>62</v>
      </c>
      <c r="D2497" t="s">
        <v>32</v>
      </c>
      <c r="E2497" s="1">
        <v>45805</v>
      </c>
      <c r="F2497" s="1">
        <v>45814</v>
      </c>
      <c r="G2497" s="1">
        <v>45814</v>
      </c>
      <c r="H2497" t="s">
        <v>28</v>
      </c>
      <c r="I2497">
        <v>2</v>
      </c>
      <c r="J2497">
        <v>10</v>
      </c>
      <c r="K2497">
        <v>216000</v>
      </c>
      <c r="L2497">
        <v>100</v>
      </c>
      <c r="M2497" t="s">
        <v>29</v>
      </c>
      <c r="N2497" t="str">
        <f>_xlfn.XLOOKUP(B2497,tblCustomers[customer_id],tblCustomers[region],"Missing")</f>
        <v>South</v>
      </c>
      <c r="O2497" t="str">
        <f>_xlfn.XLOOKUP(C2497,tblProducts[product_id],tblProducts[product_name],"Missing")</f>
        <v>CRM Essentials</v>
      </c>
      <c r="P2497" t="str">
        <f>_xlfn.XLOOKUP(C2497,tblProducts[product_id],tblProducts[category],"Missing")</f>
        <v>CRM</v>
      </c>
      <c r="Q2497" t="str">
        <f>_xlfn.XLOOKUP(D2497,tblSalesReps[rep_id],tblSalesReps[rep_name],"Missing")</f>
        <v>Sales Rep 04</v>
      </c>
      <c r="R2497" t="str">
        <f>_xlfn.XLOOKUP(D2497,tblSalesReps[rep_id],tblSalesReps[region],"Missing")</f>
        <v>South</v>
      </c>
    </row>
    <row r="2498" spans="1:18">
      <c r="A2498" t="s">
        <v>3040</v>
      </c>
      <c r="B2498" t="s">
        <v>1441</v>
      </c>
      <c r="C2498" t="s">
        <v>39</v>
      </c>
      <c r="D2498" t="s">
        <v>119</v>
      </c>
      <c r="E2498" s="1">
        <v>46002</v>
      </c>
      <c r="F2498" s="1">
        <v>46017</v>
      </c>
      <c r="G2498" s="1">
        <v>46017</v>
      </c>
      <c r="H2498" t="s">
        <v>28</v>
      </c>
      <c r="I2498">
        <v>1</v>
      </c>
      <c r="J2498">
        <v>0</v>
      </c>
      <c r="K2498">
        <v>180000</v>
      </c>
      <c r="L2498">
        <v>100</v>
      </c>
      <c r="M2498" t="s">
        <v>29</v>
      </c>
      <c r="N2498" t="str">
        <f>_xlfn.XLOOKUP(B2498,tblCustomers[customer_id],tblCustomers[region],"Missing")</f>
        <v>North</v>
      </c>
      <c r="O2498" t="str">
        <f>_xlfn.XLOOKUP(C2498,tblProducts[product_id],tblProducts[product_name],"Missing")</f>
        <v>Support Desk</v>
      </c>
      <c r="P2498" t="str">
        <f>_xlfn.XLOOKUP(C2498,tblProducts[product_id],tblProducts[category],"Missing")</f>
        <v>Service</v>
      </c>
      <c r="Q2498" t="str">
        <f>_xlfn.XLOOKUP(D2498,tblSalesReps[rep_id],tblSalesReps[rep_name],"Missing")</f>
        <v>Sales Rep 10</v>
      </c>
      <c r="R2498" t="str">
        <f>_xlfn.XLOOKUP(D2498,tblSalesReps[rep_id],tblSalesReps[region],"Missing")</f>
        <v>North</v>
      </c>
    </row>
    <row r="2499" spans="1:18">
      <c r="A2499" t="s">
        <v>3041</v>
      </c>
      <c r="B2499" t="s">
        <v>677</v>
      </c>
      <c r="C2499" t="s">
        <v>62</v>
      </c>
      <c r="D2499" t="s">
        <v>59</v>
      </c>
      <c r="E2499" s="1">
        <v>46013</v>
      </c>
      <c r="F2499" s="1">
        <v>46064</v>
      </c>
      <c r="G2499" s="1"/>
      <c r="H2499" t="s">
        <v>43</v>
      </c>
      <c r="I2499">
        <v>1</v>
      </c>
      <c r="J2499">
        <v>15</v>
      </c>
      <c r="K2499">
        <v>102000</v>
      </c>
      <c r="L2499">
        <v>60</v>
      </c>
      <c r="M2499" t="s">
        <v>29</v>
      </c>
      <c r="N2499" t="str">
        <f>_xlfn.XLOOKUP(B2499,tblCustomers[customer_id],tblCustomers[region],"Missing")</f>
        <v>East</v>
      </c>
      <c r="O2499" t="str">
        <f>_xlfn.XLOOKUP(C2499,tblProducts[product_id],tblProducts[product_name],"Missing")</f>
        <v>CRM Essentials</v>
      </c>
      <c r="P2499" t="str">
        <f>_xlfn.XLOOKUP(C2499,tblProducts[product_id],tblProducts[category],"Missing")</f>
        <v>CRM</v>
      </c>
      <c r="Q2499" t="str">
        <f>_xlfn.XLOOKUP(D2499,tblSalesReps[rep_id],tblSalesReps[rep_name],"Missing")</f>
        <v>Sales Rep 19</v>
      </c>
      <c r="R2499" t="str">
        <f>_xlfn.XLOOKUP(D2499,tblSalesReps[rep_id],tblSalesReps[region],"Missing")</f>
        <v>East</v>
      </c>
    </row>
    <row r="2500" spans="1:18">
      <c r="A2500" t="s">
        <v>3042</v>
      </c>
      <c r="B2500" t="s">
        <v>551</v>
      </c>
      <c r="C2500" t="s">
        <v>39</v>
      </c>
      <c r="D2500" t="s">
        <v>168</v>
      </c>
      <c r="E2500" s="1">
        <v>45749</v>
      </c>
      <c r="F2500" s="1">
        <v>45776</v>
      </c>
      <c r="G2500" s="1">
        <v>45776</v>
      </c>
      <c r="H2500" t="s">
        <v>28</v>
      </c>
      <c r="I2500">
        <v>3</v>
      </c>
      <c r="J2500">
        <v>0</v>
      </c>
      <c r="K2500">
        <v>540000</v>
      </c>
      <c r="L2500">
        <v>100</v>
      </c>
      <c r="M2500" t="s">
        <v>29</v>
      </c>
      <c r="N2500" t="str">
        <f>_xlfn.XLOOKUP(B2500,tblCustomers[customer_id],tblCustomers[region],"Missing")</f>
        <v>East</v>
      </c>
      <c r="O2500" t="str">
        <f>_xlfn.XLOOKUP(C2500,tblProducts[product_id],tblProducts[product_name],"Missing")</f>
        <v>Support Desk</v>
      </c>
      <c r="P2500" t="str">
        <f>_xlfn.XLOOKUP(C2500,tblProducts[product_id],tblProducts[category],"Missing")</f>
        <v>Service</v>
      </c>
      <c r="Q2500" t="str">
        <f>_xlfn.XLOOKUP(D2500,tblSalesReps[rep_id],tblSalesReps[rep_name],"Missing")</f>
        <v>Sales Rep 17</v>
      </c>
      <c r="R2500" t="str">
        <f>_xlfn.XLOOKUP(D2500,tblSalesReps[rep_id],tblSalesReps[region],"Missing")</f>
        <v>East</v>
      </c>
    </row>
    <row r="2501" spans="1:18">
      <c r="A2501" t="s">
        <v>3043</v>
      </c>
      <c r="B2501" t="s">
        <v>108</v>
      </c>
      <c r="C2501" t="s">
        <v>26</v>
      </c>
      <c r="D2501" t="s">
        <v>75</v>
      </c>
      <c r="E2501" s="1">
        <v>45707</v>
      </c>
      <c r="F2501" s="1">
        <v>45731</v>
      </c>
      <c r="G2501" s="1">
        <v>45731</v>
      </c>
      <c r="H2501" t="s">
        <v>17</v>
      </c>
      <c r="I2501">
        <v>1</v>
      </c>
      <c r="J2501">
        <v>5</v>
      </c>
      <c r="K2501">
        <v>342000</v>
      </c>
      <c r="L2501">
        <v>0</v>
      </c>
      <c r="M2501" t="s">
        <v>82</v>
      </c>
      <c r="N2501" t="str">
        <f>_xlfn.XLOOKUP(B2501,tblCustomers[customer_id],tblCustomers[region],"Missing")</f>
        <v>North</v>
      </c>
      <c r="O2501" t="str">
        <f>_xlfn.XLOOKUP(C2501,tblProducts[product_id],tblProducts[product_name],"Missing")</f>
        <v>Security Suite</v>
      </c>
      <c r="P2501" t="str">
        <f>_xlfn.XLOOKUP(C2501,tblProducts[product_id],tblProducts[category],"Missing")</f>
        <v>Security</v>
      </c>
      <c r="Q2501" t="str">
        <f>_xlfn.XLOOKUP(D2501,tblSalesReps[rep_id],tblSalesReps[rep_name],"Missing")</f>
        <v>Sales Rep 07</v>
      </c>
      <c r="R2501" t="str">
        <f>_xlfn.XLOOKUP(D2501,tblSalesReps[rep_id],tblSalesReps[region],"Missing")</f>
        <v>North</v>
      </c>
    </row>
    <row r="2502" spans="1:18">
      <c r="A2502" t="s">
        <v>3044</v>
      </c>
      <c r="B2502" t="s">
        <v>859</v>
      </c>
      <c r="C2502" t="s">
        <v>81</v>
      </c>
      <c r="D2502" t="s">
        <v>63</v>
      </c>
      <c r="E2502" s="1">
        <v>45930</v>
      </c>
      <c r="F2502" s="1">
        <v>45958</v>
      </c>
      <c r="G2502" s="1"/>
      <c r="H2502" t="s">
        <v>43</v>
      </c>
      <c r="I2502">
        <v>1</v>
      </c>
      <c r="J2502">
        <v>10</v>
      </c>
      <c r="K2502">
        <v>270000</v>
      </c>
      <c r="L2502">
        <v>20</v>
      </c>
      <c r="M2502" t="s">
        <v>29</v>
      </c>
      <c r="N2502" t="str">
        <f>_xlfn.XLOOKUP(B2502,tblCustomers[customer_id],tblCustomers[region],"Missing")</f>
        <v>South</v>
      </c>
      <c r="O2502" t="str">
        <f>_xlfn.XLOOKUP(C2502,tblProducts[product_id],tblProducts[product_name],"Missing")</f>
        <v>Analytics Cloud</v>
      </c>
      <c r="P2502" t="str">
        <f>_xlfn.XLOOKUP(C2502,tblProducts[product_id],tblProducts[category],"Missing")</f>
        <v>Analytics</v>
      </c>
      <c r="Q2502" t="str">
        <f>_xlfn.XLOOKUP(D2502,tblSalesReps[rep_id],tblSalesReps[rep_name],"Missing")</f>
        <v>Sales Rep 05</v>
      </c>
      <c r="R2502" t="str">
        <f>_xlfn.XLOOKUP(D2502,tblSalesReps[rep_id],tblSalesReps[region],"Missing")</f>
        <v>South</v>
      </c>
    </row>
    <row r="2503" spans="1:18">
      <c r="A2503" t="s">
        <v>3045</v>
      </c>
      <c r="B2503" t="s">
        <v>193</v>
      </c>
      <c r="C2503" t="s">
        <v>26</v>
      </c>
      <c r="D2503" t="s">
        <v>152</v>
      </c>
      <c r="E2503" s="1">
        <v>45899</v>
      </c>
      <c r="F2503" s="1">
        <v>45974</v>
      </c>
      <c r="G2503" s="1">
        <v>45974</v>
      </c>
      <c r="H2503" t="s">
        <v>17</v>
      </c>
      <c r="I2503">
        <v>1</v>
      </c>
      <c r="J2503">
        <v>0</v>
      </c>
      <c r="K2503">
        <v>360000</v>
      </c>
      <c r="L2503">
        <v>0</v>
      </c>
      <c r="M2503" t="s">
        <v>82</v>
      </c>
      <c r="N2503" t="str">
        <f>_xlfn.XLOOKUP(B2503,tblCustomers[customer_id],tblCustomers[region],"Missing")</f>
        <v>East</v>
      </c>
      <c r="O2503" t="str">
        <f>_xlfn.XLOOKUP(C2503,tblProducts[product_id],tblProducts[product_name],"Missing")</f>
        <v>Security Suite</v>
      </c>
      <c r="P2503" t="str">
        <f>_xlfn.XLOOKUP(C2503,tblProducts[product_id],tblProducts[category],"Missing")</f>
        <v>Security</v>
      </c>
      <c r="Q2503" t="str">
        <f>_xlfn.XLOOKUP(D2503,tblSalesReps[rep_id],tblSalesReps[rep_name],"Missing")</f>
        <v>Sales Rep 18</v>
      </c>
      <c r="R2503" t="str">
        <f>_xlfn.XLOOKUP(D2503,tblSalesReps[rep_id],tblSalesReps[region],"Missing")</f>
        <v>East</v>
      </c>
    </row>
    <row r="2504" spans="1:18">
      <c r="A2504" t="s">
        <v>3046</v>
      </c>
      <c r="B2504" t="s">
        <v>279</v>
      </c>
      <c r="C2504" t="s">
        <v>39</v>
      </c>
      <c r="D2504" t="s">
        <v>40</v>
      </c>
      <c r="E2504" s="1">
        <v>45890</v>
      </c>
      <c r="F2504" s="1">
        <v>45954</v>
      </c>
      <c r="G2504" s="1"/>
      <c r="H2504" t="s">
        <v>43</v>
      </c>
      <c r="I2504">
        <v>3</v>
      </c>
      <c r="J2504">
        <v>0</v>
      </c>
      <c r="K2504">
        <v>540000</v>
      </c>
      <c r="L2504">
        <v>40</v>
      </c>
      <c r="M2504" t="s">
        <v>29</v>
      </c>
      <c r="N2504" t="str">
        <f>_xlfn.XLOOKUP(B2504,tblCustomers[customer_id],tblCustomers[region],"Missing")</f>
        <v>West</v>
      </c>
      <c r="O2504" t="str">
        <f>_xlfn.XLOOKUP(C2504,tblProducts[product_id],tblProducts[product_name],"Missing")</f>
        <v>Support Desk</v>
      </c>
      <c r="P2504" t="str">
        <f>_xlfn.XLOOKUP(C2504,tblProducts[product_id],tblProducts[category],"Missing")</f>
        <v>Service</v>
      </c>
      <c r="Q2504" t="str">
        <f>_xlfn.XLOOKUP(D2504,tblSalesReps[rep_id],tblSalesReps[rep_name],"Missing")</f>
        <v>Sales Rep 13</v>
      </c>
      <c r="R2504" t="str">
        <f>_xlfn.XLOOKUP(D2504,tblSalesReps[rep_id],tblSalesReps[region],"Missing")</f>
        <v>West</v>
      </c>
    </row>
    <row r="2505" spans="1:18">
      <c r="A2505" t="s">
        <v>3047</v>
      </c>
      <c r="B2505" t="s">
        <v>757</v>
      </c>
      <c r="C2505" t="s">
        <v>62</v>
      </c>
      <c r="D2505" t="s">
        <v>119</v>
      </c>
      <c r="E2505" s="1">
        <v>45974</v>
      </c>
      <c r="F2505" s="1">
        <v>46055</v>
      </c>
      <c r="G2505" s="1"/>
      <c r="H2505" t="s">
        <v>43</v>
      </c>
      <c r="I2505">
        <v>1</v>
      </c>
      <c r="J2505">
        <v>15</v>
      </c>
      <c r="K2505">
        <v>102000</v>
      </c>
      <c r="L2505">
        <v>60</v>
      </c>
      <c r="M2505" t="s">
        <v>29</v>
      </c>
      <c r="N2505" t="str">
        <f>_xlfn.XLOOKUP(B2505,tblCustomers[customer_id],tblCustomers[region],"Missing")</f>
        <v>North</v>
      </c>
      <c r="O2505" t="str">
        <f>_xlfn.XLOOKUP(C2505,tblProducts[product_id],tblProducts[product_name],"Missing")</f>
        <v>CRM Essentials</v>
      </c>
      <c r="P2505" t="str">
        <f>_xlfn.XLOOKUP(C2505,tblProducts[product_id],tblProducts[category],"Missing")</f>
        <v>CRM</v>
      </c>
      <c r="Q2505" t="str">
        <f>_xlfn.XLOOKUP(D2505,tblSalesReps[rep_id],tblSalesReps[rep_name],"Missing")</f>
        <v>Sales Rep 10</v>
      </c>
      <c r="R2505" t="str">
        <f>_xlfn.XLOOKUP(D2505,tblSalesReps[rep_id],tblSalesReps[region],"Missing")</f>
        <v>North</v>
      </c>
    </row>
    <row r="2506" spans="1:18">
      <c r="A2506" t="s">
        <v>3048</v>
      </c>
      <c r="B2506" t="s">
        <v>749</v>
      </c>
      <c r="C2506" t="s">
        <v>39</v>
      </c>
      <c r="D2506" t="s">
        <v>126</v>
      </c>
      <c r="E2506" s="1">
        <v>45671</v>
      </c>
      <c r="F2506" s="1">
        <v>45682</v>
      </c>
      <c r="G2506" s="1"/>
      <c r="H2506" t="s">
        <v>43</v>
      </c>
      <c r="I2506">
        <v>1</v>
      </c>
      <c r="J2506">
        <v>0</v>
      </c>
      <c r="K2506">
        <v>180000</v>
      </c>
      <c r="L2506">
        <v>40</v>
      </c>
      <c r="M2506" t="s">
        <v>29</v>
      </c>
      <c r="N2506" t="str">
        <f>_xlfn.XLOOKUP(B2506,tblCustomers[customer_id],tblCustomers[region],"Missing")</f>
        <v>South</v>
      </c>
      <c r="O2506" t="str">
        <f>_xlfn.XLOOKUP(C2506,tblProducts[product_id],tblProducts[product_name],"Missing")</f>
        <v>Support Desk</v>
      </c>
      <c r="P2506" t="str">
        <f>_xlfn.XLOOKUP(C2506,tblProducts[product_id],tblProducts[category],"Missing")</f>
        <v>Service</v>
      </c>
      <c r="Q2506" t="str">
        <f>_xlfn.XLOOKUP(D2506,tblSalesReps[rep_id],tblSalesReps[rep_name],"Missing")</f>
        <v>Sales Rep 02</v>
      </c>
      <c r="R2506" t="str">
        <f>_xlfn.XLOOKUP(D2506,tblSalesReps[rep_id],tblSalesReps[region],"Missing")</f>
        <v>South</v>
      </c>
    </row>
    <row r="2507" spans="1:18">
      <c r="A2507" t="s">
        <v>3049</v>
      </c>
      <c r="B2507" t="s">
        <v>914</v>
      </c>
      <c r="C2507" t="s">
        <v>62</v>
      </c>
      <c r="D2507" t="s">
        <v>46</v>
      </c>
      <c r="E2507" s="1">
        <v>45899</v>
      </c>
      <c r="F2507" s="1">
        <v>45924</v>
      </c>
      <c r="G2507" s="1"/>
      <c r="H2507" t="s">
        <v>43</v>
      </c>
      <c r="I2507">
        <v>1</v>
      </c>
      <c r="J2507">
        <v>0</v>
      </c>
      <c r="K2507">
        <v>120000</v>
      </c>
      <c r="L2507">
        <v>40</v>
      </c>
      <c r="M2507" t="s">
        <v>29</v>
      </c>
      <c r="N2507" t="str">
        <f>_xlfn.XLOOKUP(B2507,tblCustomers[customer_id],tblCustomers[region],"Missing")</f>
        <v>South</v>
      </c>
      <c r="O2507" t="str">
        <f>_xlfn.XLOOKUP(C2507,tblProducts[product_id],tblProducts[product_name],"Missing")</f>
        <v>CRM Essentials</v>
      </c>
      <c r="P2507" t="str">
        <f>_xlfn.XLOOKUP(C2507,tblProducts[product_id],tblProducts[category],"Missing")</f>
        <v>CRM</v>
      </c>
      <c r="Q2507" t="str">
        <f>_xlfn.XLOOKUP(D2507,tblSalesReps[rep_id],tblSalesReps[rep_name],"Missing")</f>
        <v>Sales Rep 01</v>
      </c>
      <c r="R2507" t="str">
        <f>_xlfn.XLOOKUP(D2507,tblSalesReps[rep_id],tblSalesReps[region],"Missing")</f>
        <v>South</v>
      </c>
    </row>
    <row r="2508" spans="1:18">
      <c r="A2508" t="s">
        <v>3050</v>
      </c>
      <c r="B2508" t="s">
        <v>830</v>
      </c>
      <c r="C2508" t="s">
        <v>21</v>
      </c>
      <c r="D2508" t="s">
        <v>63</v>
      </c>
      <c r="E2508" s="1">
        <v>45984</v>
      </c>
      <c r="F2508" s="1">
        <v>45992</v>
      </c>
      <c r="G2508" s="1"/>
      <c r="H2508" t="s">
        <v>43</v>
      </c>
      <c r="I2508">
        <v>3</v>
      </c>
      <c r="J2508">
        <v>20</v>
      </c>
      <c r="K2508">
        <v>576000</v>
      </c>
      <c r="L2508">
        <v>80</v>
      </c>
      <c r="M2508" t="s">
        <v>29</v>
      </c>
      <c r="N2508" t="str">
        <f>_xlfn.XLOOKUP(B2508,tblCustomers[customer_id],tblCustomers[region],"Missing")</f>
        <v>South</v>
      </c>
      <c r="O2508" t="str">
        <f>_xlfn.XLOOKUP(C2508,tblProducts[product_id],tblProducts[product_name],"Missing")</f>
        <v>Workflow Automate</v>
      </c>
      <c r="P2508" t="str">
        <f>_xlfn.XLOOKUP(C2508,tblProducts[product_id],tblProducts[category],"Missing")</f>
        <v>Automation</v>
      </c>
      <c r="Q2508" t="str">
        <f>_xlfn.XLOOKUP(D2508,tblSalesReps[rep_id],tblSalesReps[rep_name],"Missing")</f>
        <v>Sales Rep 05</v>
      </c>
      <c r="R2508" t="str">
        <f>_xlfn.XLOOKUP(D2508,tblSalesReps[rep_id],tblSalesReps[region],"Missing")</f>
        <v>South</v>
      </c>
    </row>
    <row r="2509" spans="1:18">
      <c r="A2509" t="s">
        <v>3051</v>
      </c>
      <c r="B2509" t="s">
        <v>509</v>
      </c>
      <c r="C2509" t="s">
        <v>26</v>
      </c>
      <c r="D2509" t="s">
        <v>168</v>
      </c>
      <c r="E2509" s="1">
        <v>45688</v>
      </c>
      <c r="F2509" s="1">
        <v>45735</v>
      </c>
      <c r="G2509" s="1">
        <v>45735</v>
      </c>
      <c r="H2509" t="s">
        <v>17</v>
      </c>
      <c r="I2509">
        <v>2</v>
      </c>
      <c r="J2509">
        <v>15</v>
      </c>
      <c r="K2509">
        <v>612000</v>
      </c>
      <c r="L2509">
        <v>0</v>
      </c>
      <c r="M2509" t="s">
        <v>23</v>
      </c>
      <c r="N2509" t="str">
        <f>_xlfn.XLOOKUP(B2509,tblCustomers[customer_id],tblCustomers[region],"Missing")</f>
        <v>East</v>
      </c>
      <c r="O2509" t="str">
        <f>_xlfn.XLOOKUP(C2509,tblProducts[product_id],tblProducts[product_name],"Missing")</f>
        <v>Security Suite</v>
      </c>
      <c r="P2509" t="str">
        <f>_xlfn.XLOOKUP(C2509,tblProducts[product_id],tblProducts[category],"Missing")</f>
        <v>Security</v>
      </c>
      <c r="Q2509" t="str">
        <f>_xlfn.XLOOKUP(D2509,tblSalesReps[rep_id],tblSalesReps[rep_name],"Missing")</f>
        <v>Sales Rep 17</v>
      </c>
      <c r="R2509" t="str">
        <f>_xlfn.XLOOKUP(D2509,tblSalesReps[rep_id],tblSalesReps[region],"Missing")</f>
        <v>East</v>
      </c>
    </row>
    <row r="2510" spans="1:18">
      <c r="A2510" t="s">
        <v>3052</v>
      </c>
      <c r="B2510" t="s">
        <v>112</v>
      </c>
      <c r="C2510" t="s">
        <v>62</v>
      </c>
      <c r="D2510" t="s">
        <v>50</v>
      </c>
      <c r="E2510" s="1">
        <v>45929</v>
      </c>
      <c r="F2510" s="1">
        <v>45994</v>
      </c>
      <c r="G2510" s="1"/>
      <c r="H2510" t="s">
        <v>43</v>
      </c>
      <c r="I2510">
        <v>2</v>
      </c>
      <c r="J2510">
        <v>15</v>
      </c>
      <c r="K2510">
        <v>204000</v>
      </c>
      <c r="L2510">
        <v>40</v>
      </c>
      <c r="M2510" t="s">
        <v>29</v>
      </c>
      <c r="N2510" t="str">
        <f>_xlfn.XLOOKUP(B2510,tblCustomers[customer_id],tblCustomers[region],"Missing")</f>
        <v>West</v>
      </c>
      <c r="O2510" t="str">
        <f>_xlfn.XLOOKUP(C2510,tblProducts[product_id],tblProducts[product_name],"Missing")</f>
        <v>CRM Essentials</v>
      </c>
      <c r="P2510" t="str">
        <f>_xlfn.XLOOKUP(C2510,tblProducts[product_id],tblProducts[category],"Missing")</f>
        <v>CRM</v>
      </c>
      <c r="Q2510" t="str">
        <f>_xlfn.XLOOKUP(D2510,tblSalesReps[rep_id],tblSalesReps[rep_name],"Missing")</f>
        <v>Sales Rep 15</v>
      </c>
      <c r="R2510" t="str">
        <f>_xlfn.XLOOKUP(D2510,tblSalesReps[rep_id],tblSalesReps[region],"Missing")</f>
        <v>West</v>
      </c>
    </row>
    <row r="2511" spans="1:18">
      <c r="A2511" t="s">
        <v>3053</v>
      </c>
      <c r="B2511" t="s">
        <v>1683</v>
      </c>
      <c r="C2511" t="s">
        <v>62</v>
      </c>
      <c r="D2511" t="s">
        <v>36</v>
      </c>
      <c r="E2511" s="1">
        <v>45931</v>
      </c>
      <c r="F2511" s="1">
        <v>45993</v>
      </c>
      <c r="G2511" s="1">
        <v>45993</v>
      </c>
      <c r="H2511" t="s">
        <v>17</v>
      </c>
      <c r="I2511">
        <v>1</v>
      </c>
      <c r="J2511">
        <v>15</v>
      </c>
      <c r="K2511">
        <v>102000</v>
      </c>
      <c r="L2511">
        <v>0</v>
      </c>
      <c r="M2511" t="s">
        <v>23</v>
      </c>
      <c r="N2511" t="str">
        <f>_xlfn.XLOOKUP(B2511,tblCustomers[customer_id],tblCustomers[region],"Missing")</f>
        <v>North</v>
      </c>
      <c r="O2511" t="str">
        <f>_xlfn.XLOOKUP(C2511,tblProducts[product_id],tblProducts[product_name],"Missing")</f>
        <v>CRM Essentials</v>
      </c>
      <c r="P2511" t="str">
        <f>_xlfn.XLOOKUP(C2511,tblProducts[product_id],tblProducts[category],"Missing")</f>
        <v>CRM</v>
      </c>
      <c r="Q2511" t="str">
        <f>_xlfn.XLOOKUP(D2511,tblSalesReps[rep_id],tblSalesReps[rep_name],"Missing")</f>
        <v>Sales Rep 09</v>
      </c>
      <c r="R2511" t="str">
        <f>_xlfn.XLOOKUP(D2511,tblSalesReps[rep_id],tblSalesReps[region],"Missing")</f>
        <v>North</v>
      </c>
    </row>
    <row r="2512" spans="1:18">
      <c r="A2512" t="s">
        <v>3054</v>
      </c>
      <c r="B2512" t="s">
        <v>795</v>
      </c>
      <c r="C2512" t="s">
        <v>21</v>
      </c>
      <c r="D2512" t="s">
        <v>78</v>
      </c>
      <c r="E2512" s="1">
        <v>45833</v>
      </c>
      <c r="F2512" s="1">
        <v>45898</v>
      </c>
      <c r="G2512" s="1">
        <v>45898</v>
      </c>
      <c r="H2512" t="s">
        <v>28</v>
      </c>
      <c r="I2512">
        <v>2</v>
      </c>
      <c r="J2512">
        <v>15</v>
      </c>
      <c r="K2512">
        <v>408000</v>
      </c>
      <c r="L2512">
        <v>100</v>
      </c>
      <c r="M2512" t="s">
        <v>29</v>
      </c>
      <c r="N2512" t="str">
        <f>_xlfn.XLOOKUP(B2512,tblCustomers[customer_id],tblCustomers[region],"Missing")</f>
        <v>West</v>
      </c>
      <c r="O2512" t="str">
        <f>_xlfn.XLOOKUP(C2512,tblProducts[product_id],tblProducts[product_name],"Missing")</f>
        <v>Workflow Automate</v>
      </c>
      <c r="P2512" t="str">
        <f>_xlfn.XLOOKUP(C2512,tblProducts[product_id],tblProducts[category],"Missing")</f>
        <v>Automation</v>
      </c>
      <c r="Q2512" t="str">
        <f>_xlfn.XLOOKUP(D2512,tblSalesReps[rep_id],tblSalesReps[rep_name],"Missing")</f>
        <v>Sales Rep 12</v>
      </c>
      <c r="R2512" t="str">
        <f>_xlfn.XLOOKUP(D2512,tblSalesReps[rep_id],tblSalesReps[region],"Missing")</f>
        <v>West</v>
      </c>
    </row>
    <row r="2513" spans="1:18">
      <c r="A2513" t="s">
        <v>3055</v>
      </c>
      <c r="B2513" t="s">
        <v>1571</v>
      </c>
      <c r="C2513" t="s">
        <v>26</v>
      </c>
      <c r="D2513" t="s">
        <v>27</v>
      </c>
      <c r="E2513" s="1">
        <v>45972</v>
      </c>
      <c r="F2513" s="1">
        <v>45986</v>
      </c>
      <c r="G2513" s="1">
        <v>45986</v>
      </c>
      <c r="H2513" t="s">
        <v>17</v>
      </c>
      <c r="I2513">
        <v>2</v>
      </c>
      <c r="J2513">
        <v>0</v>
      </c>
      <c r="K2513">
        <v>720000</v>
      </c>
      <c r="L2513">
        <v>0</v>
      </c>
      <c r="M2513" t="s">
        <v>23</v>
      </c>
      <c r="N2513" t="str">
        <f>_xlfn.XLOOKUP(B2513,tblCustomers[customer_id],tblCustomers[region],"Missing")</f>
        <v>North</v>
      </c>
      <c r="O2513" t="str">
        <f>_xlfn.XLOOKUP(C2513,tblProducts[product_id],tblProducts[product_name],"Missing")</f>
        <v>Security Suite</v>
      </c>
      <c r="P2513" t="str">
        <f>_xlfn.XLOOKUP(C2513,tblProducts[product_id],tblProducts[category],"Missing")</f>
        <v>Security</v>
      </c>
      <c r="Q2513" t="str">
        <f>_xlfn.XLOOKUP(D2513,tblSalesReps[rep_id],tblSalesReps[rep_name],"Missing")</f>
        <v>Sales Rep 06</v>
      </c>
      <c r="R2513" t="str">
        <f>_xlfn.XLOOKUP(D2513,tblSalesReps[rep_id],tblSalesReps[region],"Missing")</f>
        <v>North</v>
      </c>
    </row>
    <row r="2514" spans="1:18">
      <c r="A2514" t="s">
        <v>3056</v>
      </c>
      <c r="B2514" t="s">
        <v>878</v>
      </c>
      <c r="C2514" t="s">
        <v>62</v>
      </c>
      <c r="D2514" t="s">
        <v>91</v>
      </c>
      <c r="E2514" s="1">
        <v>45984</v>
      </c>
      <c r="F2514" s="1">
        <v>46068</v>
      </c>
      <c r="G2514" s="1"/>
      <c r="H2514" t="s">
        <v>43</v>
      </c>
      <c r="I2514">
        <v>1</v>
      </c>
      <c r="J2514">
        <v>5</v>
      </c>
      <c r="K2514">
        <v>114000</v>
      </c>
      <c r="L2514">
        <v>40</v>
      </c>
      <c r="M2514" t="s">
        <v>29</v>
      </c>
      <c r="N2514" t="str">
        <f>_xlfn.XLOOKUP(B2514,tblCustomers[customer_id],tblCustomers[region],"Missing")</f>
        <v>South</v>
      </c>
      <c r="O2514" t="str">
        <f>_xlfn.XLOOKUP(C2514,tblProducts[product_id],tblProducts[product_name],"Missing")</f>
        <v>CRM Essentials</v>
      </c>
      <c r="P2514" t="str">
        <f>_xlfn.XLOOKUP(C2514,tblProducts[product_id],tblProducts[category],"Missing")</f>
        <v>CRM</v>
      </c>
      <c r="Q2514" t="str">
        <f>_xlfn.XLOOKUP(D2514,tblSalesReps[rep_id],tblSalesReps[rep_name],"Missing")</f>
        <v>Sales Rep 03</v>
      </c>
      <c r="R2514" t="str">
        <f>_xlfn.XLOOKUP(D2514,tblSalesReps[rep_id],tblSalesReps[region],"Missing")</f>
        <v>South</v>
      </c>
    </row>
    <row r="2515" spans="1:18">
      <c r="A2515" t="s">
        <v>3057</v>
      </c>
      <c r="B2515" t="s">
        <v>706</v>
      </c>
      <c r="C2515" t="s">
        <v>26</v>
      </c>
      <c r="D2515" t="s">
        <v>22</v>
      </c>
      <c r="E2515" s="1">
        <v>45861</v>
      </c>
      <c r="F2515" s="1">
        <v>45892</v>
      </c>
      <c r="G2515" s="1">
        <v>45892</v>
      </c>
      <c r="H2515" t="s">
        <v>28</v>
      </c>
      <c r="I2515">
        <v>1</v>
      </c>
      <c r="J2515">
        <v>20</v>
      </c>
      <c r="K2515">
        <v>288000</v>
      </c>
      <c r="L2515">
        <v>100</v>
      </c>
      <c r="M2515" t="s">
        <v>29</v>
      </c>
      <c r="N2515" t="str">
        <f>_xlfn.XLOOKUP(B2515,tblCustomers[customer_id],tblCustomers[region],"Missing")</f>
        <v>West</v>
      </c>
      <c r="O2515" t="str">
        <f>_xlfn.XLOOKUP(C2515,tblProducts[product_id],tblProducts[product_name],"Missing")</f>
        <v>Security Suite</v>
      </c>
      <c r="P2515" t="str">
        <f>_xlfn.XLOOKUP(C2515,tblProducts[product_id],tblProducts[category],"Missing")</f>
        <v>Security</v>
      </c>
      <c r="Q2515" t="str">
        <f>_xlfn.XLOOKUP(D2515,tblSalesReps[rep_id],tblSalesReps[rep_name],"Missing")</f>
        <v>Sales Rep 14</v>
      </c>
      <c r="R2515" t="str">
        <f>_xlfn.XLOOKUP(D2515,tblSalesReps[rep_id],tblSalesReps[region],"Missing")</f>
        <v>West</v>
      </c>
    </row>
    <row r="2516" spans="1:18">
      <c r="A2516" t="s">
        <v>3058</v>
      </c>
      <c r="B2516" t="s">
        <v>211</v>
      </c>
      <c r="C2516" t="s">
        <v>26</v>
      </c>
      <c r="D2516" t="s">
        <v>63</v>
      </c>
      <c r="E2516" s="1">
        <v>45913</v>
      </c>
      <c r="F2516" s="1">
        <v>45951</v>
      </c>
      <c r="G2516" s="1">
        <v>45951</v>
      </c>
      <c r="H2516" t="s">
        <v>17</v>
      </c>
      <c r="I2516">
        <v>1</v>
      </c>
      <c r="J2516">
        <v>15</v>
      </c>
      <c r="K2516">
        <v>306000</v>
      </c>
      <c r="L2516">
        <v>0</v>
      </c>
      <c r="M2516" t="s">
        <v>18</v>
      </c>
      <c r="N2516" t="str">
        <f>_xlfn.XLOOKUP(B2516,tblCustomers[customer_id],tblCustomers[region],"Missing")</f>
        <v>South</v>
      </c>
      <c r="O2516" t="str">
        <f>_xlfn.XLOOKUP(C2516,tblProducts[product_id],tblProducts[product_name],"Missing")</f>
        <v>Security Suite</v>
      </c>
      <c r="P2516" t="str">
        <f>_xlfn.XLOOKUP(C2516,tblProducts[product_id],tblProducts[category],"Missing")</f>
        <v>Security</v>
      </c>
      <c r="Q2516" t="str">
        <f>_xlfn.XLOOKUP(D2516,tblSalesReps[rep_id],tblSalesReps[rep_name],"Missing")</f>
        <v>Sales Rep 05</v>
      </c>
      <c r="R2516" t="str">
        <f>_xlfn.XLOOKUP(D2516,tblSalesReps[rep_id],tblSalesReps[region],"Missing")</f>
        <v>South</v>
      </c>
    </row>
    <row r="2517" spans="1:18">
      <c r="A2517" t="s">
        <v>3059</v>
      </c>
      <c r="B2517" t="s">
        <v>559</v>
      </c>
      <c r="C2517" t="s">
        <v>81</v>
      </c>
      <c r="D2517" t="s">
        <v>40</v>
      </c>
      <c r="E2517" s="1">
        <v>45913</v>
      </c>
      <c r="F2517" s="1">
        <v>45997</v>
      </c>
      <c r="G2517" s="1">
        <v>45997</v>
      </c>
      <c r="H2517" t="s">
        <v>28</v>
      </c>
      <c r="I2517">
        <v>1</v>
      </c>
      <c r="J2517">
        <v>5</v>
      </c>
      <c r="K2517">
        <v>285000</v>
      </c>
      <c r="L2517">
        <v>100</v>
      </c>
      <c r="M2517" t="s">
        <v>29</v>
      </c>
      <c r="N2517" t="str">
        <f>_xlfn.XLOOKUP(B2517,tblCustomers[customer_id],tblCustomers[region],"Missing")</f>
        <v>West</v>
      </c>
      <c r="O2517" t="str">
        <f>_xlfn.XLOOKUP(C2517,tblProducts[product_id],tblProducts[product_name],"Missing")</f>
        <v>Analytics Cloud</v>
      </c>
      <c r="P2517" t="str">
        <f>_xlfn.XLOOKUP(C2517,tblProducts[product_id],tblProducts[category],"Missing")</f>
        <v>Analytics</v>
      </c>
      <c r="Q2517" t="str">
        <f>_xlfn.XLOOKUP(D2517,tblSalesReps[rep_id],tblSalesReps[rep_name],"Missing")</f>
        <v>Sales Rep 13</v>
      </c>
      <c r="R2517" t="str">
        <f>_xlfn.XLOOKUP(D2517,tblSalesReps[rep_id],tblSalesReps[region],"Missing")</f>
        <v>West</v>
      </c>
    </row>
    <row r="2518" spans="1:18">
      <c r="A2518" t="s">
        <v>3060</v>
      </c>
      <c r="B2518" t="s">
        <v>416</v>
      </c>
      <c r="C2518" t="s">
        <v>21</v>
      </c>
      <c r="D2518" t="s">
        <v>70</v>
      </c>
      <c r="E2518" s="1">
        <v>45873</v>
      </c>
      <c r="F2518" s="1">
        <v>45951</v>
      </c>
      <c r="G2518" s="1">
        <v>45951</v>
      </c>
      <c r="H2518" t="s">
        <v>17</v>
      </c>
      <c r="I2518">
        <v>3</v>
      </c>
      <c r="J2518">
        <v>0</v>
      </c>
      <c r="K2518">
        <v>720000</v>
      </c>
      <c r="L2518">
        <v>0</v>
      </c>
      <c r="M2518" t="s">
        <v>18</v>
      </c>
      <c r="N2518" t="str">
        <f>_xlfn.XLOOKUP(B2518,tblCustomers[customer_id],tblCustomers[region],"Missing")</f>
        <v>West</v>
      </c>
      <c r="O2518" t="str">
        <f>_xlfn.XLOOKUP(C2518,tblProducts[product_id],tblProducts[product_name],"Missing")</f>
        <v>Workflow Automate</v>
      </c>
      <c r="P2518" t="str">
        <f>_xlfn.XLOOKUP(C2518,tblProducts[product_id],tblProducts[category],"Missing")</f>
        <v>Automation</v>
      </c>
      <c r="Q2518" t="str">
        <f>_xlfn.XLOOKUP(D2518,tblSalesReps[rep_id],tblSalesReps[rep_name],"Missing")</f>
        <v>Sales Rep 11</v>
      </c>
      <c r="R2518" t="str">
        <f>_xlfn.XLOOKUP(D2518,tblSalesReps[rep_id],tblSalesReps[region],"Missing")</f>
        <v>West</v>
      </c>
    </row>
    <row r="2519" spans="1:18">
      <c r="A2519" t="s">
        <v>3061</v>
      </c>
      <c r="B2519" t="s">
        <v>861</v>
      </c>
      <c r="C2519" t="s">
        <v>15</v>
      </c>
      <c r="D2519" t="s">
        <v>63</v>
      </c>
      <c r="E2519" s="1">
        <v>45896</v>
      </c>
      <c r="F2519" s="1">
        <v>45954</v>
      </c>
      <c r="G2519" s="1">
        <v>45954</v>
      </c>
      <c r="H2519" t="s">
        <v>17</v>
      </c>
      <c r="I2519">
        <v>1</v>
      </c>
      <c r="J2519">
        <v>10</v>
      </c>
      <c r="K2519">
        <v>378000</v>
      </c>
      <c r="L2519">
        <v>0</v>
      </c>
      <c r="M2519" t="s">
        <v>18</v>
      </c>
      <c r="N2519" t="str">
        <f>_xlfn.XLOOKUP(B2519,tblCustomers[customer_id],tblCustomers[region],"Missing")</f>
        <v>South</v>
      </c>
      <c r="O2519" t="str">
        <f>_xlfn.XLOOKUP(C2519,tblProducts[product_id],tblProducts[product_name],"Missing")</f>
        <v>CRM Enterprise</v>
      </c>
      <c r="P2519" t="str">
        <f>_xlfn.XLOOKUP(C2519,tblProducts[product_id],tblProducts[category],"Missing")</f>
        <v>CRM</v>
      </c>
      <c r="Q2519" t="str">
        <f>_xlfn.XLOOKUP(D2519,tblSalesReps[rep_id],tblSalesReps[rep_name],"Missing")</f>
        <v>Sales Rep 05</v>
      </c>
      <c r="R2519" t="str">
        <f>_xlfn.XLOOKUP(D2519,tblSalesReps[rep_id],tblSalesReps[region],"Missing")</f>
        <v>South</v>
      </c>
    </row>
    <row r="2520" spans="1:18">
      <c r="A2520" t="s">
        <v>3062</v>
      </c>
      <c r="B2520" t="s">
        <v>446</v>
      </c>
      <c r="C2520" t="s">
        <v>21</v>
      </c>
      <c r="D2520" t="s">
        <v>168</v>
      </c>
      <c r="E2520" s="1">
        <v>45724</v>
      </c>
      <c r="F2520" s="1">
        <v>45809</v>
      </c>
      <c r="G2520" s="1">
        <v>45809</v>
      </c>
      <c r="H2520" t="s">
        <v>28</v>
      </c>
      <c r="I2520">
        <v>2</v>
      </c>
      <c r="J2520">
        <v>20</v>
      </c>
      <c r="K2520">
        <v>384000</v>
      </c>
      <c r="L2520">
        <v>100</v>
      </c>
      <c r="M2520" t="s">
        <v>29</v>
      </c>
      <c r="N2520" t="str">
        <f>_xlfn.XLOOKUP(B2520,tblCustomers[customer_id],tblCustomers[region],"Missing")</f>
        <v>East</v>
      </c>
      <c r="O2520" t="str">
        <f>_xlfn.XLOOKUP(C2520,tblProducts[product_id],tblProducts[product_name],"Missing")</f>
        <v>Workflow Automate</v>
      </c>
      <c r="P2520" t="str">
        <f>_xlfn.XLOOKUP(C2520,tblProducts[product_id],tblProducts[category],"Missing")</f>
        <v>Automation</v>
      </c>
      <c r="Q2520" t="str">
        <f>_xlfn.XLOOKUP(D2520,tblSalesReps[rep_id],tblSalesReps[rep_name],"Missing")</f>
        <v>Sales Rep 17</v>
      </c>
      <c r="R2520" t="str">
        <f>_xlfn.XLOOKUP(D2520,tblSalesReps[rep_id],tblSalesReps[region],"Missing")</f>
        <v>East</v>
      </c>
    </row>
    <row r="2521" spans="1:18">
      <c r="A2521" t="s">
        <v>3063</v>
      </c>
      <c r="B2521" t="s">
        <v>763</v>
      </c>
      <c r="C2521" t="s">
        <v>81</v>
      </c>
      <c r="D2521" t="s">
        <v>27</v>
      </c>
      <c r="E2521" s="1">
        <v>45784</v>
      </c>
      <c r="F2521" s="1">
        <v>45809</v>
      </c>
      <c r="G2521" s="1">
        <v>45809</v>
      </c>
      <c r="H2521" t="s">
        <v>17</v>
      </c>
      <c r="I2521">
        <v>3</v>
      </c>
      <c r="J2521">
        <v>10</v>
      </c>
      <c r="K2521">
        <v>810000</v>
      </c>
      <c r="L2521">
        <v>0</v>
      </c>
      <c r="M2521" t="s">
        <v>18</v>
      </c>
      <c r="N2521" t="str">
        <f>_xlfn.XLOOKUP(B2521,tblCustomers[customer_id],tblCustomers[region],"Missing")</f>
        <v>North</v>
      </c>
      <c r="O2521" t="str">
        <f>_xlfn.XLOOKUP(C2521,tblProducts[product_id],tblProducts[product_name],"Missing")</f>
        <v>Analytics Cloud</v>
      </c>
      <c r="P2521" t="str">
        <f>_xlfn.XLOOKUP(C2521,tblProducts[product_id],tblProducts[category],"Missing")</f>
        <v>Analytics</v>
      </c>
      <c r="Q2521" t="str">
        <f>_xlfn.XLOOKUP(D2521,tblSalesReps[rep_id],tblSalesReps[rep_name],"Missing")</f>
        <v>Sales Rep 06</v>
      </c>
      <c r="R2521" t="str">
        <f>_xlfn.XLOOKUP(D2521,tblSalesReps[rep_id],tblSalesReps[region],"Missing")</f>
        <v>North</v>
      </c>
    </row>
    <row r="2522" spans="1:18">
      <c r="A2522" t="s">
        <v>3064</v>
      </c>
      <c r="B2522" t="s">
        <v>1534</v>
      </c>
      <c r="C2522" t="s">
        <v>81</v>
      </c>
      <c r="D2522" t="s">
        <v>91</v>
      </c>
      <c r="E2522" s="1">
        <v>45931</v>
      </c>
      <c r="F2522" s="1">
        <v>45976</v>
      </c>
      <c r="G2522" s="1">
        <v>45976</v>
      </c>
      <c r="H2522" t="s">
        <v>17</v>
      </c>
      <c r="I2522">
        <v>1</v>
      </c>
      <c r="J2522">
        <v>5</v>
      </c>
      <c r="K2522">
        <v>285000</v>
      </c>
      <c r="L2522">
        <v>0</v>
      </c>
      <c r="M2522" t="s">
        <v>23</v>
      </c>
      <c r="N2522" t="str">
        <f>_xlfn.XLOOKUP(B2522,tblCustomers[customer_id],tblCustomers[region],"Missing")</f>
        <v>South</v>
      </c>
      <c r="O2522" t="str">
        <f>_xlfn.XLOOKUP(C2522,tblProducts[product_id],tblProducts[product_name],"Missing")</f>
        <v>Analytics Cloud</v>
      </c>
      <c r="P2522" t="str">
        <f>_xlfn.XLOOKUP(C2522,tblProducts[product_id],tblProducts[category],"Missing")</f>
        <v>Analytics</v>
      </c>
      <c r="Q2522" t="str">
        <f>_xlfn.XLOOKUP(D2522,tblSalesReps[rep_id],tblSalesReps[rep_name],"Missing")</f>
        <v>Sales Rep 03</v>
      </c>
      <c r="R2522" t="str">
        <f>_xlfn.XLOOKUP(D2522,tblSalesReps[rep_id],tblSalesReps[region],"Missing")</f>
        <v>South</v>
      </c>
    </row>
    <row r="2523" spans="1:18">
      <c r="A2523" t="s">
        <v>3065</v>
      </c>
      <c r="B2523" t="s">
        <v>769</v>
      </c>
      <c r="C2523" t="s">
        <v>39</v>
      </c>
      <c r="D2523" t="s">
        <v>126</v>
      </c>
      <c r="E2523" s="1">
        <v>45984</v>
      </c>
      <c r="F2523" s="1">
        <v>46007</v>
      </c>
      <c r="G2523" s="1"/>
      <c r="H2523" t="s">
        <v>43</v>
      </c>
      <c r="I2523">
        <v>1</v>
      </c>
      <c r="J2523">
        <v>10</v>
      </c>
      <c r="K2523">
        <v>162000</v>
      </c>
      <c r="L2523">
        <v>40</v>
      </c>
      <c r="M2523" t="s">
        <v>29</v>
      </c>
      <c r="N2523" t="str">
        <f>_xlfn.XLOOKUP(B2523,tblCustomers[customer_id],tblCustomers[region],"Missing")</f>
        <v>South</v>
      </c>
      <c r="O2523" t="str">
        <f>_xlfn.XLOOKUP(C2523,tblProducts[product_id],tblProducts[product_name],"Missing")</f>
        <v>Support Desk</v>
      </c>
      <c r="P2523" t="str">
        <f>_xlfn.XLOOKUP(C2523,tblProducts[product_id],tblProducts[category],"Missing")</f>
        <v>Service</v>
      </c>
      <c r="Q2523" t="str">
        <f>_xlfn.XLOOKUP(D2523,tblSalesReps[rep_id],tblSalesReps[rep_name],"Missing")</f>
        <v>Sales Rep 02</v>
      </c>
      <c r="R2523" t="str">
        <f>_xlfn.XLOOKUP(D2523,tblSalesReps[rep_id],tblSalesReps[region],"Missing")</f>
        <v>South</v>
      </c>
    </row>
    <row r="2524" spans="1:18">
      <c r="A2524" t="s">
        <v>3066</v>
      </c>
      <c r="B2524" t="s">
        <v>446</v>
      </c>
      <c r="C2524" t="s">
        <v>26</v>
      </c>
      <c r="D2524" t="s">
        <v>152</v>
      </c>
      <c r="E2524" s="1">
        <v>45817</v>
      </c>
      <c r="F2524" s="1">
        <v>45857</v>
      </c>
      <c r="G2524" s="1">
        <v>45857</v>
      </c>
      <c r="H2524" t="s">
        <v>17</v>
      </c>
      <c r="I2524">
        <v>1</v>
      </c>
      <c r="J2524">
        <v>0</v>
      </c>
      <c r="K2524">
        <v>360000</v>
      </c>
      <c r="L2524">
        <v>0</v>
      </c>
      <c r="M2524" t="s">
        <v>23</v>
      </c>
      <c r="N2524" t="str">
        <f>_xlfn.XLOOKUP(B2524,tblCustomers[customer_id],tblCustomers[region],"Missing")</f>
        <v>East</v>
      </c>
      <c r="O2524" t="str">
        <f>_xlfn.XLOOKUP(C2524,tblProducts[product_id],tblProducts[product_name],"Missing")</f>
        <v>Security Suite</v>
      </c>
      <c r="P2524" t="str">
        <f>_xlfn.XLOOKUP(C2524,tblProducts[product_id],tblProducts[category],"Missing")</f>
        <v>Security</v>
      </c>
      <c r="Q2524" t="str">
        <f>_xlfn.XLOOKUP(D2524,tblSalesReps[rep_id],tblSalesReps[rep_name],"Missing")</f>
        <v>Sales Rep 18</v>
      </c>
      <c r="R2524" t="str">
        <f>_xlfn.XLOOKUP(D2524,tblSalesReps[rep_id],tblSalesReps[region],"Missing")</f>
        <v>East</v>
      </c>
    </row>
    <row r="2525" spans="1:18">
      <c r="A2525" t="s">
        <v>3067</v>
      </c>
      <c r="B2525" t="s">
        <v>693</v>
      </c>
      <c r="C2525" t="s">
        <v>39</v>
      </c>
      <c r="D2525" t="s">
        <v>56</v>
      </c>
      <c r="E2525" s="1">
        <v>45991</v>
      </c>
      <c r="F2525" s="1">
        <v>46038</v>
      </c>
      <c r="G2525" s="1"/>
      <c r="H2525" t="s">
        <v>43</v>
      </c>
      <c r="I2525">
        <v>3</v>
      </c>
      <c r="J2525">
        <v>10</v>
      </c>
      <c r="K2525">
        <v>486000</v>
      </c>
      <c r="L2525">
        <v>60</v>
      </c>
      <c r="M2525" t="s">
        <v>29</v>
      </c>
      <c r="N2525" t="str">
        <f>_xlfn.XLOOKUP(B2525,tblCustomers[customer_id],tblCustomers[region],"Missing")</f>
        <v>East</v>
      </c>
      <c r="O2525" t="str">
        <f>_xlfn.XLOOKUP(C2525,tblProducts[product_id],tblProducts[product_name],"Missing")</f>
        <v>Support Desk</v>
      </c>
      <c r="P2525" t="str">
        <f>_xlfn.XLOOKUP(C2525,tblProducts[product_id],tblProducts[category],"Missing")</f>
        <v>Service</v>
      </c>
      <c r="Q2525" t="str">
        <f>_xlfn.XLOOKUP(D2525,tblSalesReps[rep_id],tblSalesReps[rep_name],"Missing")</f>
        <v>Sales Rep 20</v>
      </c>
      <c r="R2525" t="str">
        <f>_xlfn.XLOOKUP(D2525,tblSalesReps[rep_id],tblSalesReps[region],"Missing")</f>
        <v>East</v>
      </c>
    </row>
    <row r="2526" spans="1:18">
      <c r="A2526" t="s">
        <v>3068</v>
      </c>
      <c r="B2526" t="s">
        <v>253</v>
      </c>
      <c r="C2526" t="s">
        <v>81</v>
      </c>
      <c r="D2526" t="s">
        <v>32</v>
      </c>
      <c r="E2526" s="1">
        <v>46015</v>
      </c>
      <c r="F2526" s="1">
        <v>46063</v>
      </c>
      <c r="G2526" s="1"/>
      <c r="H2526" t="s">
        <v>43</v>
      </c>
      <c r="I2526">
        <v>2</v>
      </c>
      <c r="J2526">
        <v>20</v>
      </c>
      <c r="K2526">
        <v>480000</v>
      </c>
      <c r="L2526">
        <v>60</v>
      </c>
      <c r="M2526" t="s">
        <v>29</v>
      </c>
      <c r="N2526" t="str">
        <f>_xlfn.XLOOKUP(B2526,tblCustomers[customer_id],tblCustomers[region],"Missing")</f>
        <v>South</v>
      </c>
      <c r="O2526" t="str">
        <f>_xlfn.XLOOKUP(C2526,tblProducts[product_id],tblProducts[product_name],"Missing")</f>
        <v>Analytics Cloud</v>
      </c>
      <c r="P2526" t="str">
        <f>_xlfn.XLOOKUP(C2526,tblProducts[product_id],tblProducts[category],"Missing")</f>
        <v>Analytics</v>
      </c>
      <c r="Q2526" t="str">
        <f>_xlfn.XLOOKUP(D2526,tblSalesReps[rep_id],tblSalesReps[rep_name],"Missing")</f>
        <v>Sales Rep 04</v>
      </c>
      <c r="R2526" t="str">
        <f>_xlfn.XLOOKUP(D2526,tblSalesReps[rep_id],tblSalesReps[region],"Missing")</f>
        <v>South</v>
      </c>
    </row>
    <row r="2527" spans="1:18">
      <c r="A2527" t="s">
        <v>3069</v>
      </c>
      <c r="B2527" t="s">
        <v>2488</v>
      </c>
      <c r="C2527" t="s">
        <v>39</v>
      </c>
      <c r="D2527" t="s">
        <v>70</v>
      </c>
      <c r="E2527" s="1">
        <v>45994</v>
      </c>
      <c r="F2527" s="1">
        <v>46069</v>
      </c>
      <c r="G2527" s="1"/>
      <c r="H2527" t="s">
        <v>43</v>
      </c>
      <c r="I2527">
        <v>3</v>
      </c>
      <c r="J2527">
        <v>5</v>
      </c>
      <c r="K2527">
        <v>513000</v>
      </c>
      <c r="L2527">
        <v>40</v>
      </c>
      <c r="M2527" t="s">
        <v>29</v>
      </c>
      <c r="N2527" t="str">
        <f>_xlfn.XLOOKUP(B2527,tblCustomers[customer_id],tblCustomers[region],"Missing")</f>
        <v>West</v>
      </c>
      <c r="O2527" t="str">
        <f>_xlfn.XLOOKUP(C2527,tblProducts[product_id],tblProducts[product_name],"Missing")</f>
        <v>Support Desk</v>
      </c>
      <c r="P2527" t="str">
        <f>_xlfn.XLOOKUP(C2527,tblProducts[product_id],tblProducts[category],"Missing")</f>
        <v>Service</v>
      </c>
      <c r="Q2527" t="str">
        <f>_xlfn.XLOOKUP(D2527,tblSalesReps[rep_id],tblSalesReps[rep_name],"Missing")</f>
        <v>Sales Rep 11</v>
      </c>
      <c r="R2527" t="str">
        <f>_xlfn.XLOOKUP(D2527,tblSalesReps[rep_id],tblSalesReps[region],"Missing")</f>
        <v>West</v>
      </c>
    </row>
    <row r="2528" spans="1:18">
      <c r="A2528" t="s">
        <v>3070</v>
      </c>
      <c r="B2528" t="s">
        <v>559</v>
      </c>
      <c r="C2528" t="s">
        <v>81</v>
      </c>
      <c r="D2528" t="s">
        <v>40</v>
      </c>
      <c r="E2528" s="1">
        <v>45942</v>
      </c>
      <c r="F2528" s="1">
        <v>45953</v>
      </c>
      <c r="G2528" s="1">
        <v>45953</v>
      </c>
      <c r="H2528" t="s">
        <v>17</v>
      </c>
      <c r="I2528">
        <v>1</v>
      </c>
      <c r="J2528">
        <v>20</v>
      </c>
      <c r="K2528">
        <v>240000</v>
      </c>
      <c r="L2528">
        <v>0</v>
      </c>
      <c r="M2528" t="s">
        <v>82</v>
      </c>
      <c r="N2528" t="str">
        <f>_xlfn.XLOOKUP(B2528,tblCustomers[customer_id],tblCustomers[region],"Missing")</f>
        <v>West</v>
      </c>
      <c r="O2528" t="str">
        <f>_xlfn.XLOOKUP(C2528,tblProducts[product_id],tblProducts[product_name],"Missing")</f>
        <v>Analytics Cloud</v>
      </c>
      <c r="P2528" t="str">
        <f>_xlfn.XLOOKUP(C2528,tblProducts[product_id],tblProducts[category],"Missing")</f>
        <v>Analytics</v>
      </c>
      <c r="Q2528" t="str">
        <f>_xlfn.XLOOKUP(D2528,tblSalesReps[rep_id],tblSalesReps[rep_name],"Missing")</f>
        <v>Sales Rep 13</v>
      </c>
      <c r="R2528" t="str">
        <f>_xlfn.XLOOKUP(D2528,tblSalesReps[rep_id],tblSalesReps[region],"Missing")</f>
        <v>West</v>
      </c>
    </row>
    <row r="2529" spans="1:18">
      <c r="A2529" t="s">
        <v>3071</v>
      </c>
      <c r="B2529" t="s">
        <v>72</v>
      </c>
      <c r="C2529" t="s">
        <v>15</v>
      </c>
      <c r="D2529" t="s">
        <v>32</v>
      </c>
      <c r="E2529" s="1">
        <v>45680</v>
      </c>
      <c r="F2529" s="1">
        <v>45757</v>
      </c>
      <c r="G2529" s="1"/>
      <c r="H2529" t="s">
        <v>43</v>
      </c>
      <c r="I2529">
        <v>1</v>
      </c>
      <c r="J2529">
        <v>10</v>
      </c>
      <c r="K2529">
        <v>378000</v>
      </c>
      <c r="L2529">
        <v>20</v>
      </c>
      <c r="M2529" t="s">
        <v>29</v>
      </c>
      <c r="N2529" t="str">
        <f>_xlfn.XLOOKUP(B2529,tblCustomers[customer_id],tblCustomers[region],"Missing")</f>
        <v>South</v>
      </c>
      <c r="O2529" t="str">
        <f>_xlfn.XLOOKUP(C2529,tblProducts[product_id],tblProducts[product_name],"Missing")</f>
        <v>CRM Enterprise</v>
      </c>
      <c r="P2529" t="str">
        <f>_xlfn.XLOOKUP(C2529,tblProducts[product_id],tblProducts[category],"Missing")</f>
        <v>CRM</v>
      </c>
      <c r="Q2529" t="str">
        <f>_xlfn.XLOOKUP(D2529,tblSalesReps[rep_id],tblSalesReps[rep_name],"Missing")</f>
        <v>Sales Rep 04</v>
      </c>
      <c r="R2529" t="str">
        <f>_xlfn.XLOOKUP(D2529,tblSalesReps[rep_id],tblSalesReps[region],"Missing")</f>
        <v>South</v>
      </c>
    </row>
    <row r="2530" spans="1:18">
      <c r="A2530" t="s">
        <v>3072</v>
      </c>
      <c r="B2530" t="s">
        <v>2656</v>
      </c>
      <c r="C2530" t="s">
        <v>62</v>
      </c>
      <c r="D2530" t="s">
        <v>53</v>
      </c>
      <c r="E2530" s="1">
        <v>45828</v>
      </c>
      <c r="F2530" s="1">
        <v>45893</v>
      </c>
      <c r="G2530" s="1"/>
      <c r="H2530" t="s">
        <v>43</v>
      </c>
      <c r="I2530">
        <v>3</v>
      </c>
      <c r="J2530">
        <v>5</v>
      </c>
      <c r="K2530">
        <v>342000</v>
      </c>
      <c r="L2530">
        <v>80</v>
      </c>
      <c r="M2530" t="s">
        <v>29</v>
      </c>
      <c r="N2530" t="str">
        <f>_xlfn.XLOOKUP(B2530,tblCustomers[customer_id],tblCustomers[region],"Missing")</f>
        <v>East</v>
      </c>
      <c r="O2530" t="str">
        <f>_xlfn.XLOOKUP(C2530,tblProducts[product_id],tblProducts[product_name],"Missing")</f>
        <v>CRM Essentials</v>
      </c>
      <c r="P2530" t="str">
        <f>_xlfn.XLOOKUP(C2530,tblProducts[product_id],tblProducts[category],"Missing")</f>
        <v>CRM</v>
      </c>
      <c r="Q2530" t="str">
        <f>_xlfn.XLOOKUP(D2530,tblSalesReps[rep_id],tblSalesReps[rep_name],"Missing")</f>
        <v>Sales Rep 16</v>
      </c>
      <c r="R2530" t="str">
        <f>_xlfn.XLOOKUP(D2530,tblSalesReps[rep_id],tblSalesReps[region],"Missing")</f>
        <v>East</v>
      </c>
    </row>
    <row r="2531" spans="1:18">
      <c r="A2531" t="s">
        <v>3073</v>
      </c>
      <c r="B2531" t="s">
        <v>594</v>
      </c>
      <c r="C2531" t="s">
        <v>26</v>
      </c>
      <c r="D2531" t="s">
        <v>50</v>
      </c>
      <c r="E2531" s="1">
        <v>45897</v>
      </c>
      <c r="F2531" s="1">
        <v>45954</v>
      </c>
      <c r="G2531" s="1">
        <v>45954</v>
      </c>
      <c r="H2531" t="s">
        <v>17</v>
      </c>
      <c r="I2531">
        <v>1</v>
      </c>
      <c r="J2531">
        <v>0</v>
      </c>
      <c r="K2531">
        <v>360000</v>
      </c>
      <c r="L2531">
        <v>0</v>
      </c>
      <c r="M2531" t="s">
        <v>18</v>
      </c>
      <c r="N2531" t="str">
        <f>_xlfn.XLOOKUP(B2531,tblCustomers[customer_id],tblCustomers[region],"Missing")</f>
        <v>West</v>
      </c>
      <c r="O2531" t="str">
        <f>_xlfn.XLOOKUP(C2531,tblProducts[product_id],tblProducts[product_name],"Missing")</f>
        <v>Security Suite</v>
      </c>
      <c r="P2531" t="str">
        <f>_xlfn.XLOOKUP(C2531,tblProducts[product_id],tblProducts[category],"Missing")</f>
        <v>Security</v>
      </c>
      <c r="Q2531" t="str">
        <f>_xlfn.XLOOKUP(D2531,tblSalesReps[rep_id],tblSalesReps[rep_name],"Missing")</f>
        <v>Sales Rep 15</v>
      </c>
      <c r="R2531" t="str">
        <f>_xlfn.XLOOKUP(D2531,tblSalesReps[rep_id],tblSalesReps[region],"Missing")</f>
        <v>West</v>
      </c>
    </row>
    <row r="2532" spans="1:18">
      <c r="A2532" t="s">
        <v>3074</v>
      </c>
      <c r="B2532" t="s">
        <v>147</v>
      </c>
      <c r="C2532" t="s">
        <v>26</v>
      </c>
      <c r="D2532" t="s">
        <v>75</v>
      </c>
      <c r="E2532" s="1">
        <v>45890</v>
      </c>
      <c r="F2532" s="1">
        <v>45918</v>
      </c>
      <c r="G2532" s="1">
        <v>45918</v>
      </c>
      <c r="H2532" t="s">
        <v>17</v>
      </c>
      <c r="I2532">
        <v>3</v>
      </c>
      <c r="J2532">
        <v>10</v>
      </c>
      <c r="K2532">
        <v>972000</v>
      </c>
      <c r="L2532">
        <v>0</v>
      </c>
      <c r="M2532" t="s">
        <v>33</v>
      </c>
      <c r="N2532" t="str">
        <f>_xlfn.XLOOKUP(B2532,tblCustomers[customer_id],tblCustomers[region],"Missing")</f>
        <v>North</v>
      </c>
      <c r="O2532" t="str">
        <f>_xlfn.XLOOKUP(C2532,tblProducts[product_id],tblProducts[product_name],"Missing")</f>
        <v>Security Suite</v>
      </c>
      <c r="P2532" t="str">
        <f>_xlfn.XLOOKUP(C2532,tblProducts[product_id],tblProducts[category],"Missing")</f>
        <v>Security</v>
      </c>
      <c r="Q2532" t="str">
        <f>_xlfn.XLOOKUP(D2532,tblSalesReps[rep_id],tblSalesReps[rep_name],"Missing")</f>
        <v>Sales Rep 07</v>
      </c>
      <c r="R2532" t="str">
        <f>_xlfn.XLOOKUP(D2532,tblSalesReps[rep_id],tblSalesReps[region],"Missing")</f>
        <v>North</v>
      </c>
    </row>
    <row r="2533" spans="1:18">
      <c r="A2533" t="s">
        <v>3075</v>
      </c>
      <c r="B2533" t="s">
        <v>809</v>
      </c>
      <c r="C2533" t="s">
        <v>39</v>
      </c>
      <c r="D2533" t="s">
        <v>36</v>
      </c>
      <c r="E2533" s="1">
        <v>45988</v>
      </c>
      <c r="F2533" s="1">
        <v>46073</v>
      </c>
      <c r="G2533" s="1"/>
      <c r="H2533" t="s">
        <v>43</v>
      </c>
      <c r="I2533">
        <v>1</v>
      </c>
      <c r="J2533">
        <v>10</v>
      </c>
      <c r="K2533">
        <v>162000</v>
      </c>
      <c r="L2533">
        <v>20</v>
      </c>
      <c r="M2533" t="s">
        <v>29</v>
      </c>
      <c r="N2533" t="str">
        <f>_xlfn.XLOOKUP(B2533,tblCustomers[customer_id],tblCustomers[region],"Missing")</f>
        <v>North</v>
      </c>
      <c r="O2533" t="str">
        <f>_xlfn.XLOOKUP(C2533,tblProducts[product_id],tblProducts[product_name],"Missing")</f>
        <v>Support Desk</v>
      </c>
      <c r="P2533" t="str">
        <f>_xlfn.XLOOKUP(C2533,tblProducts[product_id],tblProducts[category],"Missing")</f>
        <v>Service</v>
      </c>
      <c r="Q2533" t="str">
        <f>_xlfn.XLOOKUP(D2533,tblSalesReps[rep_id],tblSalesReps[rep_name],"Missing")</f>
        <v>Sales Rep 09</v>
      </c>
      <c r="R2533" t="str">
        <f>_xlfn.XLOOKUP(D2533,tblSalesReps[rep_id],tblSalesReps[region],"Missing")</f>
        <v>North</v>
      </c>
    </row>
    <row r="2534" spans="1:18">
      <c r="A2534" t="s">
        <v>3076</v>
      </c>
      <c r="B2534" t="s">
        <v>268</v>
      </c>
      <c r="C2534" t="s">
        <v>21</v>
      </c>
      <c r="D2534" t="s">
        <v>36</v>
      </c>
      <c r="E2534" s="1">
        <v>45734</v>
      </c>
      <c r="F2534" s="1">
        <v>45769</v>
      </c>
      <c r="G2534" s="1"/>
      <c r="H2534" t="s">
        <v>43</v>
      </c>
      <c r="I2534">
        <v>1</v>
      </c>
      <c r="J2534">
        <v>15</v>
      </c>
      <c r="K2534">
        <v>204000</v>
      </c>
      <c r="L2534">
        <v>40</v>
      </c>
      <c r="M2534" t="s">
        <v>29</v>
      </c>
      <c r="N2534" t="str">
        <f>_xlfn.XLOOKUP(B2534,tblCustomers[customer_id],tblCustomers[region],"Missing")</f>
        <v>North</v>
      </c>
      <c r="O2534" t="str">
        <f>_xlfn.XLOOKUP(C2534,tblProducts[product_id],tblProducts[product_name],"Missing")</f>
        <v>Workflow Automate</v>
      </c>
      <c r="P2534" t="str">
        <f>_xlfn.XLOOKUP(C2534,tblProducts[product_id],tblProducts[category],"Missing")</f>
        <v>Automation</v>
      </c>
      <c r="Q2534" t="str">
        <f>_xlfn.XLOOKUP(D2534,tblSalesReps[rep_id],tblSalesReps[rep_name],"Missing")</f>
        <v>Sales Rep 09</v>
      </c>
      <c r="R2534" t="str">
        <f>_xlfn.XLOOKUP(D2534,tblSalesReps[rep_id],tblSalesReps[region],"Missing")</f>
        <v>North</v>
      </c>
    </row>
    <row r="2535" spans="1:18">
      <c r="A2535" t="s">
        <v>3077</v>
      </c>
      <c r="B2535" t="s">
        <v>1043</v>
      </c>
      <c r="C2535" t="s">
        <v>39</v>
      </c>
      <c r="D2535" t="s">
        <v>22</v>
      </c>
      <c r="E2535" s="1">
        <v>45845</v>
      </c>
      <c r="F2535" s="1">
        <v>45871</v>
      </c>
      <c r="G2535" s="1">
        <v>45871</v>
      </c>
      <c r="H2535" t="s">
        <v>28</v>
      </c>
      <c r="I2535">
        <v>3</v>
      </c>
      <c r="J2535">
        <v>15</v>
      </c>
      <c r="K2535">
        <v>459000</v>
      </c>
      <c r="L2535">
        <v>100</v>
      </c>
      <c r="M2535" t="s">
        <v>29</v>
      </c>
      <c r="N2535" t="str">
        <f>_xlfn.XLOOKUP(B2535,tblCustomers[customer_id],tblCustomers[region],"Missing")</f>
        <v>West</v>
      </c>
      <c r="O2535" t="str">
        <f>_xlfn.XLOOKUP(C2535,tblProducts[product_id],tblProducts[product_name],"Missing")</f>
        <v>Support Desk</v>
      </c>
      <c r="P2535" t="str">
        <f>_xlfn.XLOOKUP(C2535,tblProducts[product_id],tblProducts[category],"Missing")</f>
        <v>Service</v>
      </c>
      <c r="Q2535" t="str">
        <f>_xlfn.XLOOKUP(D2535,tblSalesReps[rep_id],tblSalesReps[rep_name],"Missing")</f>
        <v>Sales Rep 14</v>
      </c>
      <c r="R2535" t="str">
        <f>_xlfn.XLOOKUP(D2535,tblSalesReps[rep_id],tblSalesReps[region],"Missing")</f>
        <v>West</v>
      </c>
    </row>
    <row r="2536" spans="1:18">
      <c r="A2536" t="s">
        <v>3078</v>
      </c>
      <c r="B2536" t="s">
        <v>292</v>
      </c>
      <c r="C2536" t="s">
        <v>21</v>
      </c>
      <c r="D2536" t="s">
        <v>75</v>
      </c>
      <c r="E2536" s="1">
        <v>45991</v>
      </c>
      <c r="F2536" s="1">
        <v>46057</v>
      </c>
      <c r="G2536" s="1"/>
      <c r="H2536" t="s">
        <v>43</v>
      </c>
      <c r="I2536">
        <v>3</v>
      </c>
      <c r="J2536">
        <v>20</v>
      </c>
      <c r="K2536">
        <v>576000</v>
      </c>
      <c r="L2536">
        <v>20</v>
      </c>
      <c r="M2536" t="s">
        <v>29</v>
      </c>
      <c r="N2536" t="str">
        <f>_xlfn.XLOOKUP(B2536,tblCustomers[customer_id],tblCustomers[region],"Missing")</f>
        <v>North</v>
      </c>
      <c r="O2536" t="str">
        <f>_xlfn.XLOOKUP(C2536,tblProducts[product_id],tblProducts[product_name],"Missing")</f>
        <v>Workflow Automate</v>
      </c>
      <c r="P2536" t="str">
        <f>_xlfn.XLOOKUP(C2536,tblProducts[product_id],tblProducts[category],"Missing")</f>
        <v>Automation</v>
      </c>
      <c r="Q2536" t="str">
        <f>_xlfn.XLOOKUP(D2536,tblSalesReps[rep_id],tblSalesReps[rep_name],"Missing")</f>
        <v>Sales Rep 07</v>
      </c>
      <c r="R2536" t="str">
        <f>_xlfn.XLOOKUP(D2536,tblSalesReps[rep_id],tblSalesReps[region],"Missing")</f>
        <v>North</v>
      </c>
    </row>
    <row r="2537" spans="1:18">
      <c r="A2537" t="s">
        <v>3079</v>
      </c>
      <c r="B2537" t="s">
        <v>1517</v>
      </c>
      <c r="C2537" t="s">
        <v>39</v>
      </c>
      <c r="D2537" t="s">
        <v>40</v>
      </c>
      <c r="E2537" s="1">
        <v>45932</v>
      </c>
      <c r="F2537" s="1">
        <v>45973</v>
      </c>
      <c r="G2537" s="1">
        <v>45973</v>
      </c>
      <c r="H2537" t="s">
        <v>17</v>
      </c>
      <c r="I2537">
        <v>3</v>
      </c>
      <c r="J2537">
        <v>10</v>
      </c>
      <c r="K2537">
        <v>486000</v>
      </c>
      <c r="L2537">
        <v>0</v>
      </c>
      <c r="M2537" t="s">
        <v>23</v>
      </c>
      <c r="N2537" t="str">
        <f>_xlfn.XLOOKUP(B2537,tblCustomers[customer_id],tblCustomers[region],"Missing")</f>
        <v>West</v>
      </c>
      <c r="O2537" t="str">
        <f>_xlfn.XLOOKUP(C2537,tblProducts[product_id],tblProducts[product_name],"Missing")</f>
        <v>Support Desk</v>
      </c>
      <c r="P2537" t="str">
        <f>_xlfn.XLOOKUP(C2537,tblProducts[product_id],tblProducts[category],"Missing")</f>
        <v>Service</v>
      </c>
      <c r="Q2537" t="str">
        <f>_xlfn.XLOOKUP(D2537,tblSalesReps[rep_id],tblSalesReps[rep_name],"Missing")</f>
        <v>Sales Rep 13</v>
      </c>
      <c r="R2537" t="str">
        <f>_xlfn.XLOOKUP(D2537,tblSalesReps[rep_id],tblSalesReps[region],"Missing")</f>
        <v>West</v>
      </c>
    </row>
    <row r="2538" spans="1:18">
      <c r="A2538" t="s">
        <v>3080</v>
      </c>
      <c r="B2538" t="s">
        <v>451</v>
      </c>
      <c r="C2538" t="s">
        <v>15</v>
      </c>
      <c r="D2538" t="s">
        <v>46</v>
      </c>
      <c r="E2538" s="1">
        <v>45686</v>
      </c>
      <c r="F2538" s="1">
        <v>45695</v>
      </c>
      <c r="G2538" s="1">
        <v>45695</v>
      </c>
      <c r="H2538" t="s">
        <v>17</v>
      </c>
      <c r="I2538">
        <v>1</v>
      </c>
      <c r="J2538">
        <v>15</v>
      </c>
      <c r="K2538">
        <v>357000</v>
      </c>
      <c r="L2538">
        <v>0</v>
      </c>
      <c r="M2538" t="s">
        <v>23</v>
      </c>
      <c r="N2538" t="str">
        <f>_xlfn.XLOOKUP(B2538,tblCustomers[customer_id],tblCustomers[region],"Missing")</f>
        <v>South</v>
      </c>
      <c r="O2538" t="str">
        <f>_xlfn.XLOOKUP(C2538,tblProducts[product_id],tblProducts[product_name],"Missing")</f>
        <v>CRM Enterprise</v>
      </c>
      <c r="P2538" t="str">
        <f>_xlfn.XLOOKUP(C2538,tblProducts[product_id],tblProducts[category],"Missing")</f>
        <v>CRM</v>
      </c>
      <c r="Q2538" t="str">
        <f>_xlfn.XLOOKUP(D2538,tblSalesReps[rep_id],tblSalesReps[rep_name],"Missing")</f>
        <v>Sales Rep 01</v>
      </c>
      <c r="R2538" t="str">
        <f>_xlfn.XLOOKUP(D2538,tblSalesReps[rep_id],tblSalesReps[region],"Missing")</f>
        <v>South</v>
      </c>
    </row>
    <row r="2539" spans="1:18">
      <c r="A2539" t="s">
        <v>3081</v>
      </c>
      <c r="B2539" t="s">
        <v>864</v>
      </c>
      <c r="C2539" t="s">
        <v>26</v>
      </c>
      <c r="D2539" t="s">
        <v>50</v>
      </c>
      <c r="E2539" s="1">
        <v>45795</v>
      </c>
      <c r="F2539" s="1">
        <v>45878</v>
      </c>
      <c r="G2539" s="1">
        <v>45878</v>
      </c>
      <c r="H2539" t="s">
        <v>17</v>
      </c>
      <c r="I2539">
        <v>1</v>
      </c>
      <c r="J2539">
        <v>0</v>
      </c>
      <c r="K2539">
        <v>360000</v>
      </c>
      <c r="L2539">
        <v>0</v>
      </c>
      <c r="M2539" t="s">
        <v>18</v>
      </c>
      <c r="N2539" t="str">
        <f>_xlfn.XLOOKUP(B2539,tblCustomers[customer_id],tblCustomers[region],"Missing")</f>
        <v>West</v>
      </c>
      <c r="O2539" t="str">
        <f>_xlfn.XLOOKUP(C2539,tblProducts[product_id],tblProducts[product_name],"Missing")</f>
        <v>Security Suite</v>
      </c>
      <c r="P2539" t="str">
        <f>_xlfn.XLOOKUP(C2539,tblProducts[product_id],tblProducts[category],"Missing")</f>
        <v>Security</v>
      </c>
      <c r="Q2539" t="str">
        <f>_xlfn.XLOOKUP(D2539,tblSalesReps[rep_id],tblSalesReps[rep_name],"Missing")</f>
        <v>Sales Rep 15</v>
      </c>
      <c r="R2539" t="str">
        <f>_xlfn.XLOOKUP(D2539,tblSalesReps[rep_id],tblSalesReps[region],"Missing")</f>
        <v>West</v>
      </c>
    </row>
    <row r="2540" spans="1:18">
      <c r="A2540" t="s">
        <v>3082</v>
      </c>
      <c r="B2540" t="s">
        <v>389</v>
      </c>
      <c r="C2540" t="s">
        <v>21</v>
      </c>
      <c r="D2540" t="s">
        <v>56</v>
      </c>
      <c r="E2540" s="1">
        <v>45988</v>
      </c>
      <c r="F2540" s="1">
        <v>46031</v>
      </c>
      <c r="G2540" s="1"/>
      <c r="H2540" t="s">
        <v>43</v>
      </c>
      <c r="I2540">
        <v>2</v>
      </c>
      <c r="J2540">
        <v>0</v>
      </c>
      <c r="K2540">
        <v>480000</v>
      </c>
      <c r="L2540">
        <v>20</v>
      </c>
      <c r="M2540" t="s">
        <v>29</v>
      </c>
      <c r="N2540" t="str">
        <f>_xlfn.XLOOKUP(B2540,tblCustomers[customer_id],tblCustomers[region],"Missing")</f>
        <v>East</v>
      </c>
      <c r="O2540" t="str">
        <f>_xlfn.XLOOKUP(C2540,tblProducts[product_id],tblProducts[product_name],"Missing")</f>
        <v>Workflow Automate</v>
      </c>
      <c r="P2540" t="str">
        <f>_xlfn.XLOOKUP(C2540,tblProducts[product_id],tblProducts[category],"Missing")</f>
        <v>Automation</v>
      </c>
      <c r="Q2540" t="str">
        <f>_xlfn.XLOOKUP(D2540,tblSalesReps[rep_id],tblSalesReps[rep_name],"Missing")</f>
        <v>Sales Rep 20</v>
      </c>
      <c r="R2540" t="str">
        <f>_xlfn.XLOOKUP(D2540,tblSalesReps[rep_id],tblSalesReps[region],"Missing")</f>
        <v>East</v>
      </c>
    </row>
    <row r="2541" spans="1:18">
      <c r="A2541" t="s">
        <v>3083</v>
      </c>
      <c r="B2541" t="s">
        <v>980</v>
      </c>
      <c r="C2541" t="s">
        <v>21</v>
      </c>
      <c r="D2541" t="s">
        <v>59</v>
      </c>
      <c r="E2541" s="1">
        <v>45683</v>
      </c>
      <c r="F2541" s="1">
        <v>45736</v>
      </c>
      <c r="G2541" s="1">
        <v>45736</v>
      </c>
      <c r="H2541" t="s">
        <v>17</v>
      </c>
      <c r="I2541">
        <v>2</v>
      </c>
      <c r="J2541">
        <v>15</v>
      </c>
      <c r="K2541">
        <v>408000</v>
      </c>
      <c r="L2541">
        <v>0</v>
      </c>
      <c r="M2541" t="s">
        <v>18</v>
      </c>
      <c r="N2541" t="str">
        <f>_xlfn.XLOOKUP(B2541,tblCustomers[customer_id],tblCustomers[region],"Missing")</f>
        <v>East</v>
      </c>
      <c r="O2541" t="str">
        <f>_xlfn.XLOOKUP(C2541,tblProducts[product_id],tblProducts[product_name],"Missing")</f>
        <v>Workflow Automate</v>
      </c>
      <c r="P2541" t="str">
        <f>_xlfn.XLOOKUP(C2541,tblProducts[product_id],tblProducts[category],"Missing")</f>
        <v>Automation</v>
      </c>
      <c r="Q2541" t="str">
        <f>_xlfn.XLOOKUP(D2541,tblSalesReps[rep_id],tblSalesReps[rep_name],"Missing")</f>
        <v>Sales Rep 19</v>
      </c>
      <c r="R2541" t="str">
        <f>_xlfn.XLOOKUP(D2541,tblSalesReps[rep_id],tblSalesReps[region],"Missing")</f>
        <v>East</v>
      </c>
    </row>
    <row r="2542" spans="1:18">
      <c r="A2542" t="s">
        <v>3084</v>
      </c>
      <c r="B2542" t="s">
        <v>185</v>
      </c>
      <c r="C2542" t="s">
        <v>39</v>
      </c>
      <c r="D2542" t="s">
        <v>70</v>
      </c>
      <c r="E2542" s="1">
        <v>46003</v>
      </c>
      <c r="F2542" s="1">
        <v>46063</v>
      </c>
      <c r="G2542" s="1"/>
      <c r="H2542" t="s">
        <v>43</v>
      </c>
      <c r="I2542">
        <v>1</v>
      </c>
      <c r="J2542">
        <v>10</v>
      </c>
      <c r="K2542">
        <v>162000</v>
      </c>
      <c r="L2542">
        <v>80</v>
      </c>
      <c r="M2542" t="s">
        <v>29</v>
      </c>
      <c r="N2542" t="str">
        <f>_xlfn.XLOOKUP(B2542,tblCustomers[customer_id],tblCustomers[region],"Missing")</f>
        <v>West</v>
      </c>
      <c r="O2542" t="str">
        <f>_xlfn.XLOOKUP(C2542,tblProducts[product_id],tblProducts[product_name],"Missing")</f>
        <v>Support Desk</v>
      </c>
      <c r="P2542" t="str">
        <f>_xlfn.XLOOKUP(C2542,tblProducts[product_id],tblProducts[category],"Missing")</f>
        <v>Service</v>
      </c>
      <c r="Q2542" t="str">
        <f>_xlfn.XLOOKUP(D2542,tblSalesReps[rep_id],tblSalesReps[rep_name],"Missing")</f>
        <v>Sales Rep 11</v>
      </c>
      <c r="R2542" t="str">
        <f>_xlfn.XLOOKUP(D2542,tblSalesReps[rep_id],tblSalesReps[region],"Missing")</f>
        <v>West</v>
      </c>
    </row>
    <row r="2543" spans="1:18">
      <c r="A2543" t="s">
        <v>3085</v>
      </c>
      <c r="B2543" t="s">
        <v>880</v>
      </c>
      <c r="C2543" t="s">
        <v>21</v>
      </c>
      <c r="D2543" t="s">
        <v>22</v>
      </c>
      <c r="E2543" s="1">
        <v>45785</v>
      </c>
      <c r="F2543" s="1">
        <v>45847</v>
      </c>
      <c r="G2543" s="1">
        <v>45847</v>
      </c>
      <c r="H2543" t="s">
        <v>28</v>
      </c>
      <c r="I2543">
        <v>3</v>
      </c>
      <c r="J2543">
        <v>5</v>
      </c>
      <c r="K2543">
        <v>684000</v>
      </c>
      <c r="L2543">
        <v>100</v>
      </c>
      <c r="M2543" t="s">
        <v>29</v>
      </c>
      <c r="N2543" t="str">
        <f>_xlfn.XLOOKUP(B2543,tblCustomers[customer_id],tblCustomers[region],"Missing")</f>
        <v>West</v>
      </c>
      <c r="O2543" t="str">
        <f>_xlfn.XLOOKUP(C2543,tblProducts[product_id],tblProducts[product_name],"Missing")</f>
        <v>Workflow Automate</v>
      </c>
      <c r="P2543" t="str">
        <f>_xlfn.XLOOKUP(C2543,tblProducts[product_id],tblProducts[category],"Missing")</f>
        <v>Automation</v>
      </c>
      <c r="Q2543" t="str">
        <f>_xlfn.XLOOKUP(D2543,tblSalesReps[rep_id],tblSalesReps[rep_name],"Missing")</f>
        <v>Sales Rep 14</v>
      </c>
      <c r="R2543" t="str">
        <f>_xlfn.XLOOKUP(D2543,tblSalesReps[rep_id],tblSalesReps[region],"Missing")</f>
        <v>West</v>
      </c>
    </row>
    <row r="2544" spans="1:18">
      <c r="A2544" t="s">
        <v>3086</v>
      </c>
      <c r="B2544" t="s">
        <v>1400</v>
      </c>
      <c r="C2544" t="s">
        <v>62</v>
      </c>
      <c r="D2544" t="s">
        <v>22</v>
      </c>
      <c r="E2544" s="1">
        <v>45854</v>
      </c>
      <c r="F2544" s="1">
        <v>45925</v>
      </c>
      <c r="G2544" s="1">
        <v>45925</v>
      </c>
      <c r="H2544" t="s">
        <v>28</v>
      </c>
      <c r="I2544">
        <v>2</v>
      </c>
      <c r="J2544">
        <v>20</v>
      </c>
      <c r="K2544">
        <v>192000</v>
      </c>
      <c r="L2544">
        <v>100</v>
      </c>
      <c r="M2544" t="s">
        <v>29</v>
      </c>
      <c r="N2544" t="str">
        <f>_xlfn.XLOOKUP(B2544,tblCustomers[customer_id],tblCustomers[region],"Missing")</f>
        <v>West</v>
      </c>
      <c r="O2544" t="str">
        <f>_xlfn.XLOOKUP(C2544,tblProducts[product_id],tblProducts[product_name],"Missing")</f>
        <v>CRM Essentials</v>
      </c>
      <c r="P2544" t="str">
        <f>_xlfn.XLOOKUP(C2544,tblProducts[product_id],tblProducts[category],"Missing")</f>
        <v>CRM</v>
      </c>
      <c r="Q2544" t="str">
        <f>_xlfn.XLOOKUP(D2544,tblSalesReps[rep_id],tblSalesReps[rep_name],"Missing")</f>
        <v>Sales Rep 14</v>
      </c>
      <c r="R2544" t="str">
        <f>_xlfn.XLOOKUP(D2544,tblSalesReps[rep_id],tblSalesReps[region],"Missing")</f>
        <v>West</v>
      </c>
    </row>
    <row r="2545" spans="1:18">
      <c r="A2545" t="s">
        <v>3087</v>
      </c>
      <c r="B2545" t="s">
        <v>416</v>
      </c>
      <c r="C2545" t="s">
        <v>15</v>
      </c>
      <c r="D2545" t="s">
        <v>78</v>
      </c>
      <c r="E2545" s="1">
        <v>45804</v>
      </c>
      <c r="F2545" s="1">
        <v>45876</v>
      </c>
      <c r="G2545" s="1">
        <v>45876</v>
      </c>
      <c r="H2545" t="s">
        <v>17</v>
      </c>
      <c r="I2545">
        <v>1</v>
      </c>
      <c r="J2545">
        <v>5</v>
      </c>
      <c r="K2545">
        <v>399000</v>
      </c>
      <c r="L2545">
        <v>0</v>
      </c>
      <c r="M2545" t="s">
        <v>33</v>
      </c>
      <c r="N2545" t="str">
        <f>_xlfn.XLOOKUP(B2545,tblCustomers[customer_id],tblCustomers[region],"Missing")</f>
        <v>West</v>
      </c>
      <c r="O2545" t="str">
        <f>_xlfn.XLOOKUP(C2545,tblProducts[product_id],tblProducts[product_name],"Missing")</f>
        <v>CRM Enterprise</v>
      </c>
      <c r="P2545" t="str">
        <f>_xlfn.XLOOKUP(C2545,tblProducts[product_id],tblProducts[category],"Missing")</f>
        <v>CRM</v>
      </c>
      <c r="Q2545" t="str">
        <f>_xlfn.XLOOKUP(D2545,tblSalesReps[rep_id],tblSalesReps[rep_name],"Missing")</f>
        <v>Sales Rep 12</v>
      </c>
      <c r="R2545" t="str">
        <f>_xlfn.XLOOKUP(D2545,tblSalesReps[rep_id],tblSalesReps[region],"Missing")</f>
        <v>West</v>
      </c>
    </row>
    <row r="2546" spans="1:18">
      <c r="A2546" t="s">
        <v>3088</v>
      </c>
      <c r="B2546" t="s">
        <v>1683</v>
      </c>
      <c r="C2546" t="s">
        <v>15</v>
      </c>
      <c r="D2546" t="s">
        <v>36</v>
      </c>
      <c r="E2546" s="1">
        <v>45678</v>
      </c>
      <c r="F2546" s="1">
        <v>45727</v>
      </c>
      <c r="G2546" s="1">
        <v>45727</v>
      </c>
      <c r="H2546" t="s">
        <v>17</v>
      </c>
      <c r="I2546">
        <v>1</v>
      </c>
      <c r="J2546">
        <v>0</v>
      </c>
      <c r="K2546">
        <v>420000</v>
      </c>
      <c r="L2546">
        <v>0</v>
      </c>
      <c r="M2546" t="s">
        <v>33</v>
      </c>
      <c r="N2546" t="str">
        <f>_xlfn.XLOOKUP(B2546,tblCustomers[customer_id],tblCustomers[region],"Missing")</f>
        <v>North</v>
      </c>
      <c r="O2546" t="str">
        <f>_xlfn.XLOOKUP(C2546,tblProducts[product_id],tblProducts[product_name],"Missing")</f>
        <v>CRM Enterprise</v>
      </c>
      <c r="P2546" t="str">
        <f>_xlfn.XLOOKUP(C2546,tblProducts[product_id],tblProducts[category],"Missing")</f>
        <v>CRM</v>
      </c>
      <c r="Q2546" t="str">
        <f>_xlfn.XLOOKUP(D2546,tblSalesReps[rep_id],tblSalesReps[rep_name],"Missing")</f>
        <v>Sales Rep 09</v>
      </c>
      <c r="R2546" t="str">
        <f>_xlfn.XLOOKUP(D2546,tblSalesReps[rep_id],tblSalesReps[region],"Missing")</f>
        <v>North</v>
      </c>
    </row>
    <row r="2547" spans="1:18">
      <c r="A2547" t="s">
        <v>3089</v>
      </c>
      <c r="B2547" t="s">
        <v>343</v>
      </c>
      <c r="C2547" t="s">
        <v>62</v>
      </c>
      <c r="D2547" t="s">
        <v>168</v>
      </c>
      <c r="E2547" s="1">
        <v>45784</v>
      </c>
      <c r="F2547" s="1">
        <v>45810</v>
      </c>
      <c r="G2547" s="1"/>
      <c r="H2547" t="s">
        <v>43</v>
      </c>
      <c r="I2547">
        <v>1</v>
      </c>
      <c r="J2547">
        <v>0</v>
      </c>
      <c r="K2547">
        <v>120000</v>
      </c>
      <c r="L2547">
        <v>80</v>
      </c>
      <c r="M2547" t="s">
        <v>29</v>
      </c>
      <c r="N2547" t="str">
        <f>_xlfn.XLOOKUP(B2547,tblCustomers[customer_id],tblCustomers[region],"Missing")</f>
        <v>East</v>
      </c>
      <c r="O2547" t="str">
        <f>_xlfn.XLOOKUP(C2547,tblProducts[product_id],tblProducts[product_name],"Missing")</f>
        <v>CRM Essentials</v>
      </c>
      <c r="P2547" t="str">
        <f>_xlfn.XLOOKUP(C2547,tblProducts[product_id],tblProducts[category],"Missing")</f>
        <v>CRM</v>
      </c>
      <c r="Q2547" t="str">
        <f>_xlfn.XLOOKUP(D2547,tblSalesReps[rep_id],tblSalesReps[rep_name],"Missing")</f>
        <v>Sales Rep 17</v>
      </c>
      <c r="R2547" t="str">
        <f>_xlfn.XLOOKUP(D2547,tblSalesReps[rep_id],tblSalesReps[region],"Missing")</f>
        <v>East</v>
      </c>
    </row>
    <row r="2548" spans="1:18">
      <c r="A2548" t="s">
        <v>3090</v>
      </c>
      <c r="B2548" t="s">
        <v>1209</v>
      </c>
      <c r="C2548" t="s">
        <v>21</v>
      </c>
      <c r="D2548" t="s">
        <v>56</v>
      </c>
      <c r="E2548" s="1">
        <v>45977</v>
      </c>
      <c r="F2548" s="1">
        <v>46059</v>
      </c>
      <c r="G2548" s="1"/>
      <c r="H2548" t="s">
        <v>43</v>
      </c>
      <c r="I2548">
        <v>3</v>
      </c>
      <c r="J2548">
        <v>10</v>
      </c>
      <c r="K2548">
        <v>648000</v>
      </c>
      <c r="L2548">
        <v>40</v>
      </c>
      <c r="M2548" t="s">
        <v>29</v>
      </c>
      <c r="N2548" t="str">
        <f>_xlfn.XLOOKUP(B2548,tblCustomers[customer_id],tblCustomers[region],"Missing")</f>
        <v>East</v>
      </c>
      <c r="O2548" t="str">
        <f>_xlfn.XLOOKUP(C2548,tblProducts[product_id],tblProducts[product_name],"Missing")</f>
        <v>Workflow Automate</v>
      </c>
      <c r="P2548" t="str">
        <f>_xlfn.XLOOKUP(C2548,tblProducts[product_id],tblProducts[category],"Missing")</f>
        <v>Automation</v>
      </c>
      <c r="Q2548" t="str">
        <f>_xlfn.XLOOKUP(D2548,tblSalesReps[rep_id],tblSalesReps[rep_name],"Missing")</f>
        <v>Sales Rep 20</v>
      </c>
      <c r="R2548" t="str">
        <f>_xlfn.XLOOKUP(D2548,tblSalesReps[rep_id],tblSalesReps[region],"Missing")</f>
        <v>East</v>
      </c>
    </row>
    <row r="2549" spans="1:18">
      <c r="A2549" t="s">
        <v>3091</v>
      </c>
      <c r="B2549" t="s">
        <v>1065</v>
      </c>
      <c r="C2549" t="s">
        <v>39</v>
      </c>
      <c r="D2549" t="s">
        <v>56</v>
      </c>
      <c r="E2549" s="1">
        <v>45956</v>
      </c>
      <c r="F2549" s="1">
        <v>46027</v>
      </c>
      <c r="G2549" s="1"/>
      <c r="H2549" t="s">
        <v>43</v>
      </c>
      <c r="I2549">
        <v>2</v>
      </c>
      <c r="J2549">
        <v>0</v>
      </c>
      <c r="K2549">
        <v>360000</v>
      </c>
      <c r="L2549">
        <v>80</v>
      </c>
      <c r="M2549" t="s">
        <v>29</v>
      </c>
      <c r="N2549" t="str">
        <f>_xlfn.XLOOKUP(B2549,tblCustomers[customer_id],tblCustomers[region],"Missing")</f>
        <v>East</v>
      </c>
      <c r="O2549" t="str">
        <f>_xlfn.XLOOKUP(C2549,tblProducts[product_id],tblProducts[product_name],"Missing")</f>
        <v>Support Desk</v>
      </c>
      <c r="P2549" t="str">
        <f>_xlfn.XLOOKUP(C2549,tblProducts[product_id],tblProducts[category],"Missing")</f>
        <v>Service</v>
      </c>
      <c r="Q2549" t="str">
        <f>_xlfn.XLOOKUP(D2549,tblSalesReps[rep_id],tblSalesReps[rep_name],"Missing")</f>
        <v>Sales Rep 20</v>
      </c>
      <c r="R2549" t="str">
        <f>_xlfn.XLOOKUP(D2549,tblSalesReps[rep_id],tblSalesReps[region],"Missing")</f>
        <v>East</v>
      </c>
    </row>
    <row r="2550" spans="1:18">
      <c r="A2550" t="s">
        <v>3092</v>
      </c>
      <c r="B2550" t="s">
        <v>329</v>
      </c>
      <c r="C2550" t="s">
        <v>62</v>
      </c>
      <c r="D2550" t="s">
        <v>119</v>
      </c>
      <c r="E2550" s="1">
        <v>45807</v>
      </c>
      <c r="F2550" s="1">
        <v>45867</v>
      </c>
      <c r="G2550" s="1">
        <v>45867</v>
      </c>
      <c r="H2550" t="s">
        <v>28</v>
      </c>
      <c r="I2550">
        <v>1</v>
      </c>
      <c r="J2550">
        <v>5</v>
      </c>
      <c r="K2550">
        <v>114000</v>
      </c>
      <c r="L2550">
        <v>100</v>
      </c>
      <c r="M2550" t="s">
        <v>29</v>
      </c>
      <c r="N2550" t="str">
        <f>_xlfn.XLOOKUP(B2550,tblCustomers[customer_id],tblCustomers[region],"Missing")</f>
        <v>North</v>
      </c>
      <c r="O2550" t="str">
        <f>_xlfn.XLOOKUP(C2550,tblProducts[product_id],tblProducts[product_name],"Missing")</f>
        <v>CRM Essentials</v>
      </c>
      <c r="P2550" t="str">
        <f>_xlfn.XLOOKUP(C2550,tblProducts[product_id],tblProducts[category],"Missing")</f>
        <v>CRM</v>
      </c>
      <c r="Q2550" t="str">
        <f>_xlfn.XLOOKUP(D2550,tblSalesReps[rep_id],tblSalesReps[rep_name],"Missing")</f>
        <v>Sales Rep 10</v>
      </c>
      <c r="R2550" t="str">
        <f>_xlfn.XLOOKUP(D2550,tblSalesReps[rep_id],tblSalesReps[region],"Missing")</f>
        <v>North</v>
      </c>
    </row>
    <row r="2551" spans="1:18">
      <c r="A2551" t="s">
        <v>3093</v>
      </c>
      <c r="B2551" t="s">
        <v>211</v>
      </c>
      <c r="C2551" t="s">
        <v>15</v>
      </c>
      <c r="D2551" t="s">
        <v>63</v>
      </c>
      <c r="E2551" s="1">
        <v>45812</v>
      </c>
      <c r="F2551" s="1">
        <v>45866</v>
      </c>
      <c r="G2551" s="1"/>
      <c r="H2551" t="s">
        <v>43</v>
      </c>
      <c r="I2551">
        <v>3</v>
      </c>
      <c r="J2551">
        <v>15</v>
      </c>
      <c r="K2551">
        <v>1071000</v>
      </c>
      <c r="L2551">
        <v>80</v>
      </c>
      <c r="M2551" t="s">
        <v>29</v>
      </c>
      <c r="N2551" t="str">
        <f>_xlfn.XLOOKUP(B2551,tblCustomers[customer_id],tblCustomers[region],"Missing")</f>
        <v>South</v>
      </c>
      <c r="O2551" t="str">
        <f>_xlfn.XLOOKUP(C2551,tblProducts[product_id],tblProducts[product_name],"Missing")</f>
        <v>CRM Enterprise</v>
      </c>
      <c r="P2551" t="str">
        <f>_xlfn.XLOOKUP(C2551,tblProducts[product_id],tblProducts[category],"Missing")</f>
        <v>CRM</v>
      </c>
      <c r="Q2551" t="str">
        <f>_xlfn.XLOOKUP(D2551,tblSalesReps[rep_id],tblSalesReps[rep_name],"Missing")</f>
        <v>Sales Rep 05</v>
      </c>
      <c r="R2551" t="str">
        <f>_xlfn.XLOOKUP(D2551,tblSalesReps[rep_id],tblSalesReps[region],"Missing")</f>
        <v>South</v>
      </c>
    </row>
    <row r="2552" spans="1:18">
      <c r="A2552" t="s">
        <v>3094</v>
      </c>
      <c r="B2552" t="s">
        <v>2025</v>
      </c>
      <c r="C2552" t="s">
        <v>81</v>
      </c>
      <c r="D2552" t="s">
        <v>126</v>
      </c>
      <c r="E2552" s="1">
        <v>45713</v>
      </c>
      <c r="F2552" s="1">
        <v>45750</v>
      </c>
      <c r="G2552" s="1"/>
      <c r="H2552" t="s">
        <v>43</v>
      </c>
      <c r="I2552">
        <v>1</v>
      </c>
      <c r="J2552">
        <v>20</v>
      </c>
      <c r="K2552">
        <v>240000</v>
      </c>
      <c r="L2552">
        <v>60</v>
      </c>
      <c r="M2552" t="s">
        <v>29</v>
      </c>
      <c r="N2552" t="str">
        <f>_xlfn.XLOOKUP(B2552,tblCustomers[customer_id],tblCustomers[region],"Missing")</f>
        <v>South</v>
      </c>
      <c r="O2552" t="str">
        <f>_xlfn.XLOOKUP(C2552,tblProducts[product_id],tblProducts[product_name],"Missing")</f>
        <v>Analytics Cloud</v>
      </c>
      <c r="P2552" t="str">
        <f>_xlfn.XLOOKUP(C2552,tblProducts[product_id],tblProducts[category],"Missing")</f>
        <v>Analytics</v>
      </c>
      <c r="Q2552" t="str">
        <f>_xlfn.XLOOKUP(D2552,tblSalesReps[rep_id],tblSalesReps[rep_name],"Missing")</f>
        <v>Sales Rep 02</v>
      </c>
      <c r="R2552" t="str">
        <f>_xlfn.XLOOKUP(D2552,tblSalesReps[rep_id],tblSalesReps[region],"Missing")</f>
        <v>South</v>
      </c>
    </row>
    <row r="2553" spans="1:18">
      <c r="A2553" t="s">
        <v>3095</v>
      </c>
      <c r="B2553" t="s">
        <v>1716</v>
      </c>
      <c r="C2553" t="s">
        <v>15</v>
      </c>
      <c r="D2553" t="s">
        <v>126</v>
      </c>
      <c r="E2553" s="1">
        <v>45748</v>
      </c>
      <c r="F2553" s="1">
        <v>45821</v>
      </c>
      <c r="G2553" s="1"/>
      <c r="H2553" t="s">
        <v>43</v>
      </c>
      <c r="I2553">
        <v>1</v>
      </c>
      <c r="J2553">
        <v>5</v>
      </c>
      <c r="K2553">
        <v>399000</v>
      </c>
      <c r="L2553">
        <v>60</v>
      </c>
      <c r="M2553" t="s">
        <v>29</v>
      </c>
      <c r="N2553" t="str">
        <f>_xlfn.XLOOKUP(B2553,tblCustomers[customer_id],tblCustomers[region],"Missing")</f>
        <v>South</v>
      </c>
      <c r="O2553" t="str">
        <f>_xlfn.XLOOKUP(C2553,tblProducts[product_id],tblProducts[product_name],"Missing")</f>
        <v>CRM Enterprise</v>
      </c>
      <c r="P2553" t="str">
        <f>_xlfn.XLOOKUP(C2553,tblProducts[product_id],tblProducts[category],"Missing")</f>
        <v>CRM</v>
      </c>
      <c r="Q2553" t="str">
        <f>_xlfn.XLOOKUP(D2553,tblSalesReps[rep_id],tblSalesReps[rep_name],"Missing")</f>
        <v>Sales Rep 02</v>
      </c>
      <c r="R2553" t="str">
        <f>_xlfn.XLOOKUP(D2553,tblSalesReps[rep_id],tblSalesReps[region],"Missing")</f>
        <v>South</v>
      </c>
    </row>
    <row r="2554" spans="1:18">
      <c r="A2554" t="s">
        <v>3096</v>
      </c>
      <c r="B2554" t="s">
        <v>308</v>
      </c>
      <c r="C2554" t="s">
        <v>15</v>
      </c>
      <c r="D2554" t="s">
        <v>50</v>
      </c>
      <c r="E2554" s="1">
        <v>45868</v>
      </c>
      <c r="F2554" s="1">
        <v>45938</v>
      </c>
      <c r="G2554" s="1">
        <v>45938</v>
      </c>
      <c r="H2554" t="s">
        <v>28</v>
      </c>
      <c r="I2554">
        <v>1</v>
      </c>
      <c r="J2554">
        <v>5</v>
      </c>
      <c r="K2554">
        <v>399000</v>
      </c>
      <c r="L2554">
        <v>100</v>
      </c>
      <c r="M2554" t="s">
        <v>29</v>
      </c>
      <c r="N2554" t="str">
        <f>_xlfn.XLOOKUP(B2554,tblCustomers[customer_id],tblCustomers[region],"Missing")</f>
        <v>West</v>
      </c>
      <c r="O2554" t="str">
        <f>_xlfn.XLOOKUP(C2554,tblProducts[product_id],tblProducts[product_name],"Missing")</f>
        <v>CRM Enterprise</v>
      </c>
      <c r="P2554" t="str">
        <f>_xlfn.XLOOKUP(C2554,tblProducts[product_id],tblProducts[category],"Missing")</f>
        <v>CRM</v>
      </c>
      <c r="Q2554" t="str">
        <f>_xlfn.XLOOKUP(D2554,tblSalesReps[rep_id],tblSalesReps[rep_name],"Missing")</f>
        <v>Sales Rep 15</v>
      </c>
      <c r="R2554" t="str">
        <f>_xlfn.XLOOKUP(D2554,tblSalesReps[rep_id],tblSalesReps[region],"Missing")</f>
        <v>West</v>
      </c>
    </row>
    <row r="2555" spans="1:18">
      <c r="A2555" t="s">
        <v>3097</v>
      </c>
      <c r="B2555" t="s">
        <v>737</v>
      </c>
      <c r="C2555" t="s">
        <v>62</v>
      </c>
      <c r="D2555" t="s">
        <v>46</v>
      </c>
      <c r="E2555" s="1">
        <v>45852</v>
      </c>
      <c r="F2555" s="1">
        <v>45921</v>
      </c>
      <c r="G2555" s="1">
        <v>45921</v>
      </c>
      <c r="H2555" t="s">
        <v>28</v>
      </c>
      <c r="I2555">
        <v>2</v>
      </c>
      <c r="J2555">
        <v>5</v>
      </c>
      <c r="K2555">
        <v>228000</v>
      </c>
      <c r="L2555">
        <v>100</v>
      </c>
      <c r="M2555" t="s">
        <v>29</v>
      </c>
      <c r="N2555" t="str">
        <f>_xlfn.XLOOKUP(B2555,tblCustomers[customer_id],tblCustomers[region],"Missing")</f>
        <v>South</v>
      </c>
      <c r="O2555" t="str">
        <f>_xlfn.XLOOKUP(C2555,tblProducts[product_id],tblProducts[product_name],"Missing")</f>
        <v>CRM Essentials</v>
      </c>
      <c r="P2555" t="str">
        <f>_xlfn.XLOOKUP(C2555,tblProducts[product_id],tblProducts[category],"Missing")</f>
        <v>CRM</v>
      </c>
      <c r="Q2555" t="str">
        <f>_xlfn.XLOOKUP(D2555,tblSalesReps[rep_id],tblSalesReps[rep_name],"Missing")</f>
        <v>Sales Rep 01</v>
      </c>
      <c r="R2555" t="str">
        <f>_xlfn.XLOOKUP(D2555,tblSalesReps[rep_id],tblSalesReps[region],"Missing")</f>
        <v>South</v>
      </c>
    </row>
    <row r="2556" spans="1:18">
      <c r="A2556" t="s">
        <v>3098</v>
      </c>
      <c r="B2556" t="s">
        <v>204</v>
      </c>
      <c r="C2556" t="s">
        <v>26</v>
      </c>
      <c r="D2556" t="s">
        <v>32</v>
      </c>
      <c r="E2556" s="1">
        <v>45984</v>
      </c>
      <c r="F2556" s="1">
        <v>46061</v>
      </c>
      <c r="G2556" s="1"/>
      <c r="H2556" t="s">
        <v>43</v>
      </c>
      <c r="I2556">
        <v>2</v>
      </c>
      <c r="J2556">
        <v>0</v>
      </c>
      <c r="K2556">
        <v>720000</v>
      </c>
      <c r="L2556">
        <v>40</v>
      </c>
      <c r="M2556" t="s">
        <v>29</v>
      </c>
      <c r="N2556" t="str">
        <f>_xlfn.XLOOKUP(B2556,tblCustomers[customer_id],tblCustomers[region],"Missing")</f>
        <v>South</v>
      </c>
      <c r="O2556" t="str">
        <f>_xlfn.XLOOKUP(C2556,tblProducts[product_id],tblProducts[product_name],"Missing")</f>
        <v>Security Suite</v>
      </c>
      <c r="P2556" t="str">
        <f>_xlfn.XLOOKUP(C2556,tblProducts[product_id],tblProducts[category],"Missing")</f>
        <v>Security</v>
      </c>
      <c r="Q2556" t="str">
        <f>_xlfn.XLOOKUP(D2556,tblSalesReps[rep_id],tblSalesReps[rep_name],"Missing")</f>
        <v>Sales Rep 04</v>
      </c>
      <c r="R2556" t="str">
        <f>_xlfn.XLOOKUP(D2556,tblSalesReps[rep_id],tblSalesReps[region],"Missing")</f>
        <v>South</v>
      </c>
    </row>
    <row r="2557" spans="1:18">
      <c r="A2557" t="s">
        <v>3099</v>
      </c>
      <c r="B2557" t="s">
        <v>644</v>
      </c>
      <c r="C2557" t="s">
        <v>26</v>
      </c>
      <c r="D2557" t="s">
        <v>22</v>
      </c>
      <c r="E2557" s="1">
        <v>45917</v>
      </c>
      <c r="F2557" s="1">
        <v>45957</v>
      </c>
      <c r="G2557" s="1">
        <v>45957</v>
      </c>
      <c r="H2557" t="s">
        <v>17</v>
      </c>
      <c r="I2557">
        <v>1</v>
      </c>
      <c r="J2557">
        <v>20</v>
      </c>
      <c r="K2557">
        <v>288000</v>
      </c>
      <c r="L2557">
        <v>0</v>
      </c>
      <c r="M2557" t="s">
        <v>47</v>
      </c>
      <c r="N2557" t="str">
        <f>_xlfn.XLOOKUP(B2557,tblCustomers[customer_id],tblCustomers[region],"Missing")</f>
        <v>West</v>
      </c>
      <c r="O2557" t="str">
        <f>_xlfn.XLOOKUP(C2557,tblProducts[product_id],tblProducts[product_name],"Missing")</f>
        <v>Security Suite</v>
      </c>
      <c r="P2557" t="str">
        <f>_xlfn.XLOOKUP(C2557,tblProducts[product_id],tblProducts[category],"Missing")</f>
        <v>Security</v>
      </c>
      <c r="Q2557" t="str">
        <f>_xlfn.XLOOKUP(D2557,tblSalesReps[rep_id],tblSalesReps[rep_name],"Missing")</f>
        <v>Sales Rep 14</v>
      </c>
      <c r="R2557" t="str">
        <f>_xlfn.XLOOKUP(D2557,tblSalesReps[rep_id],tblSalesReps[region],"Missing")</f>
        <v>West</v>
      </c>
    </row>
    <row r="2558" spans="1:18">
      <c r="A2558" t="s">
        <v>3100</v>
      </c>
      <c r="B2558" t="s">
        <v>1683</v>
      </c>
      <c r="C2558" t="s">
        <v>81</v>
      </c>
      <c r="D2558" t="s">
        <v>27</v>
      </c>
      <c r="E2558" s="1">
        <v>45717</v>
      </c>
      <c r="F2558" s="1">
        <v>45802</v>
      </c>
      <c r="G2558" s="1"/>
      <c r="H2558" t="s">
        <v>43</v>
      </c>
      <c r="I2558">
        <v>1</v>
      </c>
      <c r="J2558">
        <v>0</v>
      </c>
      <c r="K2558">
        <v>300000</v>
      </c>
      <c r="L2558">
        <v>60</v>
      </c>
      <c r="M2558" t="s">
        <v>29</v>
      </c>
      <c r="N2558" t="str">
        <f>_xlfn.XLOOKUP(B2558,tblCustomers[customer_id],tblCustomers[region],"Missing")</f>
        <v>North</v>
      </c>
      <c r="O2558" t="str">
        <f>_xlfn.XLOOKUP(C2558,tblProducts[product_id],tblProducts[product_name],"Missing")</f>
        <v>Analytics Cloud</v>
      </c>
      <c r="P2558" t="str">
        <f>_xlfn.XLOOKUP(C2558,tblProducts[product_id],tblProducts[category],"Missing")</f>
        <v>Analytics</v>
      </c>
      <c r="Q2558" t="str">
        <f>_xlfn.XLOOKUP(D2558,tblSalesReps[rep_id],tblSalesReps[rep_name],"Missing")</f>
        <v>Sales Rep 06</v>
      </c>
      <c r="R2558" t="str">
        <f>_xlfn.XLOOKUP(D2558,tblSalesReps[rep_id],tblSalesReps[region],"Missing")</f>
        <v>North</v>
      </c>
    </row>
    <row r="2559" spans="1:18">
      <c r="A2559" t="s">
        <v>3101</v>
      </c>
      <c r="B2559" t="s">
        <v>3102</v>
      </c>
      <c r="C2559" t="s">
        <v>62</v>
      </c>
      <c r="D2559" t="s">
        <v>91</v>
      </c>
      <c r="E2559" s="1">
        <v>45872</v>
      </c>
      <c r="F2559" s="1">
        <v>45907</v>
      </c>
      <c r="G2559" s="1">
        <v>45907</v>
      </c>
      <c r="H2559" t="s">
        <v>17</v>
      </c>
      <c r="I2559">
        <v>1</v>
      </c>
      <c r="J2559">
        <v>10</v>
      </c>
      <c r="K2559">
        <v>108000</v>
      </c>
      <c r="L2559">
        <v>0</v>
      </c>
      <c r="M2559" t="s">
        <v>18</v>
      </c>
      <c r="N2559" t="str">
        <f>_xlfn.XLOOKUP(B2559,tblCustomers[customer_id],tblCustomers[region],"Missing")</f>
        <v>South</v>
      </c>
      <c r="O2559" t="str">
        <f>_xlfn.XLOOKUP(C2559,tblProducts[product_id],tblProducts[product_name],"Missing")</f>
        <v>CRM Essentials</v>
      </c>
      <c r="P2559" t="str">
        <f>_xlfn.XLOOKUP(C2559,tblProducts[product_id],tblProducts[category],"Missing")</f>
        <v>CRM</v>
      </c>
      <c r="Q2559" t="str">
        <f>_xlfn.XLOOKUP(D2559,tblSalesReps[rep_id],tblSalesReps[rep_name],"Missing")</f>
        <v>Sales Rep 03</v>
      </c>
      <c r="R2559" t="str">
        <f>_xlfn.XLOOKUP(D2559,tblSalesReps[rep_id],tblSalesReps[region],"Missing")</f>
        <v>South</v>
      </c>
    </row>
    <row r="2560" spans="1:18">
      <c r="A2560" t="s">
        <v>3103</v>
      </c>
      <c r="B2560" t="s">
        <v>1164</v>
      </c>
      <c r="C2560" t="s">
        <v>81</v>
      </c>
      <c r="D2560" t="s">
        <v>63</v>
      </c>
      <c r="E2560" s="1">
        <v>45944</v>
      </c>
      <c r="F2560" s="1">
        <v>45995</v>
      </c>
      <c r="G2560" s="1">
        <v>45995</v>
      </c>
      <c r="H2560" t="s">
        <v>28</v>
      </c>
      <c r="I2560">
        <v>1</v>
      </c>
      <c r="J2560">
        <v>15</v>
      </c>
      <c r="K2560">
        <v>255000</v>
      </c>
      <c r="L2560">
        <v>100</v>
      </c>
      <c r="M2560" t="s">
        <v>29</v>
      </c>
      <c r="N2560" t="str">
        <f>_xlfn.XLOOKUP(B2560,tblCustomers[customer_id],tblCustomers[region],"Missing")</f>
        <v>South</v>
      </c>
      <c r="O2560" t="str">
        <f>_xlfn.XLOOKUP(C2560,tblProducts[product_id],tblProducts[product_name],"Missing")</f>
        <v>Analytics Cloud</v>
      </c>
      <c r="P2560" t="str">
        <f>_xlfn.XLOOKUP(C2560,tblProducts[product_id],tblProducts[category],"Missing")</f>
        <v>Analytics</v>
      </c>
      <c r="Q2560" t="str">
        <f>_xlfn.XLOOKUP(D2560,tblSalesReps[rep_id],tblSalesReps[rep_name],"Missing")</f>
        <v>Sales Rep 05</v>
      </c>
      <c r="R2560" t="str">
        <f>_xlfn.XLOOKUP(D2560,tblSalesReps[rep_id],tblSalesReps[region],"Missing")</f>
        <v>South</v>
      </c>
    </row>
    <row r="2561" spans="1:18">
      <c r="A2561" t="s">
        <v>3104</v>
      </c>
      <c r="B2561" t="s">
        <v>1220</v>
      </c>
      <c r="C2561" t="s">
        <v>26</v>
      </c>
      <c r="D2561" t="s">
        <v>40</v>
      </c>
      <c r="E2561" s="1">
        <v>45663</v>
      </c>
      <c r="F2561" s="1">
        <v>45728</v>
      </c>
      <c r="G2561" s="1">
        <v>45728</v>
      </c>
      <c r="H2561" t="s">
        <v>28</v>
      </c>
      <c r="I2561">
        <v>1</v>
      </c>
      <c r="J2561">
        <v>0</v>
      </c>
      <c r="K2561">
        <v>360000</v>
      </c>
      <c r="L2561">
        <v>100</v>
      </c>
      <c r="M2561" t="s">
        <v>29</v>
      </c>
      <c r="N2561" t="str">
        <f>_xlfn.XLOOKUP(B2561,tblCustomers[customer_id],tblCustomers[region],"Missing")</f>
        <v>West</v>
      </c>
      <c r="O2561" t="str">
        <f>_xlfn.XLOOKUP(C2561,tblProducts[product_id],tblProducts[product_name],"Missing")</f>
        <v>Security Suite</v>
      </c>
      <c r="P2561" t="str">
        <f>_xlfn.XLOOKUP(C2561,tblProducts[product_id],tblProducts[category],"Missing")</f>
        <v>Security</v>
      </c>
      <c r="Q2561" t="str">
        <f>_xlfn.XLOOKUP(D2561,tblSalesReps[rep_id],tblSalesReps[rep_name],"Missing")</f>
        <v>Sales Rep 13</v>
      </c>
      <c r="R2561" t="str">
        <f>_xlfn.XLOOKUP(D2561,tblSalesReps[rep_id],tblSalesReps[region],"Missing")</f>
        <v>West</v>
      </c>
    </row>
    <row r="2562" spans="1:18">
      <c r="A2562" t="s">
        <v>3105</v>
      </c>
      <c r="B2562" t="s">
        <v>551</v>
      </c>
      <c r="C2562" t="s">
        <v>26</v>
      </c>
      <c r="D2562" t="s">
        <v>168</v>
      </c>
      <c r="E2562" s="1">
        <v>45741</v>
      </c>
      <c r="F2562" s="1">
        <v>45785</v>
      </c>
      <c r="G2562" s="1">
        <v>45785</v>
      </c>
      <c r="H2562" t="s">
        <v>28</v>
      </c>
      <c r="I2562">
        <v>1</v>
      </c>
      <c r="J2562">
        <v>0</v>
      </c>
      <c r="K2562">
        <v>360000</v>
      </c>
      <c r="L2562">
        <v>100</v>
      </c>
      <c r="M2562" t="s">
        <v>29</v>
      </c>
      <c r="N2562" t="str">
        <f>_xlfn.XLOOKUP(B2562,tblCustomers[customer_id],tblCustomers[region],"Missing")</f>
        <v>East</v>
      </c>
      <c r="O2562" t="str">
        <f>_xlfn.XLOOKUP(C2562,tblProducts[product_id],tblProducts[product_name],"Missing")</f>
        <v>Security Suite</v>
      </c>
      <c r="P2562" t="str">
        <f>_xlfn.XLOOKUP(C2562,tblProducts[product_id],tblProducts[category],"Missing")</f>
        <v>Security</v>
      </c>
      <c r="Q2562" t="str">
        <f>_xlfn.XLOOKUP(D2562,tblSalesReps[rep_id],tblSalesReps[rep_name],"Missing")</f>
        <v>Sales Rep 17</v>
      </c>
      <c r="R2562" t="str">
        <f>_xlfn.XLOOKUP(D2562,tblSalesReps[rep_id],tblSalesReps[region],"Missing")</f>
        <v>East</v>
      </c>
    </row>
    <row r="2563" spans="1:18">
      <c r="A2563" t="s">
        <v>3106</v>
      </c>
      <c r="B2563" t="s">
        <v>398</v>
      </c>
      <c r="C2563" t="s">
        <v>39</v>
      </c>
      <c r="D2563" t="s">
        <v>22</v>
      </c>
      <c r="E2563" s="1">
        <v>45709</v>
      </c>
      <c r="F2563" s="1">
        <v>45747</v>
      </c>
      <c r="G2563" s="1">
        <v>45747</v>
      </c>
      <c r="H2563" t="s">
        <v>17</v>
      </c>
      <c r="I2563">
        <v>2</v>
      </c>
      <c r="J2563">
        <v>5</v>
      </c>
      <c r="K2563">
        <v>342000</v>
      </c>
      <c r="L2563">
        <v>0</v>
      </c>
      <c r="M2563" t="s">
        <v>33</v>
      </c>
      <c r="N2563" t="str">
        <f>_xlfn.XLOOKUP(B2563,tblCustomers[customer_id],tblCustomers[region],"Missing")</f>
        <v>West</v>
      </c>
      <c r="O2563" t="str">
        <f>_xlfn.XLOOKUP(C2563,tblProducts[product_id],tblProducts[product_name],"Missing")</f>
        <v>Support Desk</v>
      </c>
      <c r="P2563" t="str">
        <f>_xlfn.XLOOKUP(C2563,tblProducts[product_id],tblProducts[category],"Missing")</f>
        <v>Service</v>
      </c>
      <c r="Q2563" t="str">
        <f>_xlfn.XLOOKUP(D2563,tblSalesReps[rep_id],tblSalesReps[rep_name],"Missing")</f>
        <v>Sales Rep 14</v>
      </c>
      <c r="R2563" t="str">
        <f>_xlfn.XLOOKUP(D2563,tblSalesReps[rep_id],tblSalesReps[region],"Missing")</f>
        <v>West</v>
      </c>
    </row>
    <row r="2564" spans="1:18">
      <c r="A2564" t="s">
        <v>3107</v>
      </c>
      <c r="B2564" t="s">
        <v>1874</v>
      </c>
      <c r="C2564" t="s">
        <v>81</v>
      </c>
      <c r="D2564" t="s">
        <v>53</v>
      </c>
      <c r="E2564" s="1">
        <v>45726</v>
      </c>
      <c r="F2564" s="1">
        <v>45760</v>
      </c>
      <c r="G2564" s="1"/>
      <c r="H2564" t="s">
        <v>43</v>
      </c>
      <c r="I2564">
        <v>1</v>
      </c>
      <c r="J2564">
        <v>20</v>
      </c>
      <c r="K2564">
        <v>240000</v>
      </c>
      <c r="L2564">
        <v>80</v>
      </c>
      <c r="M2564" t="s">
        <v>29</v>
      </c>
      <c r="N2564" t="str">
        <f>_xlfn.XLOOKUP(B2564,tblCustomers[customer_id],tblCustomers[region],"Missing")</f>
        <v>East</v>
      </c>
      <c r="O2564" t="str">
        <f>_xlfn.XLOOKUP(C2564,tblProducts[product_id],tblProducts[product_name],"Missing")</f>
        <v>Analytics Cloud</v>
      </c>
      <c r="P2564" t="str">
        <f>_xlfn.XLOOKUP(C2564,tblProducts[product_id],tblProducts[category],"Missing")</f>
        <v>Analytics</v>
      </c>
      <c r="Q2564" t="str">
        <f>_xlfn.XLOOKUP(D2564,tblSalesReps[rep_id],tblSalesReps[rep_name],"Missing")</f>
        <v>Sales Rep 16</v>
      </c>
      <c r="R2564" t="str">
        <f>_xlfn.XLOOKUP(D2564,tblSalesReps[rep_id],tblSalesReps[region],"Missing")</f>
        <v>East</v>
      </c>
    </row>
    <row r="2565" spans="1:18">
      <c r="A2565" t="s">
        <v>3108</v>
      </c>
      <c r="B2565" t="s">
        <v>1511</v>
      </c>
      <c r="C2565" t="s">
        <v>15</v>
      </c>
      <c r="D2565" t="s">
        <v>126</v>
      </c>
      <c r="E2565" s="1">
        <v>45791</v>
      </c>
      <c r="F2565" s="1">
        <v>45817</v>
      </c>
      <c r="G2565" s="1">
        <v>45817</v>
      </c>
      <c r="H2565" t="s">
        <v>17</v>
      </c>
      <c r="I2565">
        <v>1</v>
      </c>
      <c r="J2565">
        <v>10</v>
      </c>
      <c r="K2565">
        <v>378000</v>
      </c>
      <c r="L2565">
        <v>0</v>
      </c>
      <c r="M2565" t="s">
        <v>23</v>
      </c>
      <c r="N2565" t="str">
        <f>_xlfn.XLOOKUP(B2565,tblCustomers[customer_id],tblCustomers[region],"Missing")</f>
        <v>South</v>
      </c>
      <c r="O2565" t="str">
        <f>_xlfn.XLOOKUP(C2565,tblProducts[product_id],tblProducts[product_name],"Missing")</f>
        <v>CRM Enterprise</v>
      </c>
      <c r="P2565" t="str">
        <f>_xlfn.XLOOKUP(C2565,tblProducts[product_id],tblProducts[category],"Missing")</f>
        <v>CRM</v>
      </c>
      <c r="Q2565" t="str">
        <f>_xlfn.XLOOKUP(D2565,tblSalesReps[rep_id],tblSalesReps[rep_name],"Missing")</f>
        <v>Sales Rep 02</v>
      </c>
      <c r="R2565" t="str">
        <f>_xlfn.XLOOKUP(D2565,tblSalesReps[rep_id],tblSalesReps[region],"Missing")</f>
        <v>South</v>
      </c>
    </row>
    <row r="2566" spans="1:18">
      <c r="A2566" t="s">
        <v>3109</v>
      </c>
      <c r="B2566" t="s">
        <v>2737</v>
      </c>
      <c r="C2566" t="s">
        <v>39</v>
      </c>
      <c r="D2566" t="s">
        <v>63</v>
      </c>
      <c r="E2566" s="1">
        <v>45745</v>
      </c>
      <c r="F2566" s="1">
        <v>45772</v>
      </c>
      <c r="G2566" s="1">
        <v>45772</v>
      </c>
      <c r="H2566" t="s">
        <v>17</v>
      </c>
      <c r="I2566">
        <v>1</v>
      </c>
      <c r="J2566">
        <v>5</v>
      </c>
      <c r="K2566">
        <v>171000</v>
      </c>
      <c r="L2566">
        <v>0</v>
      </c>
      <c r="M2566" t="s">
        <v>23</v>
      </c>
      <c r="N2566" t="str">
        <f>_xlfn.XLOOKUP(B2566,tblCustomers[customer_id],tblCustomers[region],"Missing")</f>
        <v>South</v>
      </c>
      <c r="O2566" t="str">
        <f>_xlfn.XLOOKUP(C2566,tblProducts[product_id],tblProducts[product_name],"Missing")</f>
        <v>Support Desk</v>
      </c>
      <c r="P2566" t="str">
        <f>_xlfn.XLOOKUP(C2566,tblProducts[product_id],tblProducts[category],"Missing")</f>
        <v>Service</v>
      </c>
      <c r="Q2566" t="str">
        <f>_xlfn.XLOOKUP(D2566,tblSalesReps[rep_id],tblSalesReps[rep_name],"Missing")</f>
        <v>Sales Rep 05</v>
      </c>
      <c r="R2566" t="str">
        <f>_xlfn.XLOOKUP(D2566,tblSalesReps[rep_id],tblSalesReps[region],"Missing")</f>
        <v>South</v>
      </c>
    </row>
    <row r="2567" spans="1:18">
      <c r="A2567" t="s">
        <v>3110</v>
      </c>
      <c r="B2567" t="s">
        <v>753</v>
      </c>
      <c r="C2567" t="s">
        <v>39</v>
      </c>
      <c r="D2567" t="s">
        <v>16</v>
      </c>
      <c r="E2567" s="1">
        <v>46014</v>
      </c>
      <c r="F2567" s="1">
        <v>46073</v>
      </c>
      <c r="G2567" s="1"/>
      <c r="H2567" t="s">
        <v>43</v>
      </c>
      <c r="I2567">
        <v>2</v>
      </c>
      <c r="J2567">
        <v>15</v>
      </c>
      <c r="K2567">
        <v>306000</v>
      </c>
      <c r="L2567">
        <v>60</v>
      </c>
      <c r="M2567" t="s">
        <v>29</v>
      </c>
      <c r="N2567" t="str">
        <f>_xlfn.XLOOKUP(B2567,tblCustomers[customer_id],tblCustomers[region],"Missing")</f>
        <v>North</v>
      </c>
      <c r="O2567" t="str">
        <f>_xlfn.XLOOKUP(C2567,tblProducts[product_id],tblProducts[product_name],"Missing")</f>
        <v>Support Desk</v>
      </c>
      <c r="P2567" t="str">
        <f>_xlfn.XLOOKUP(C2567,tblProducts[product_id],tblProducts[category],"Missing")</f>
        <v>Service</v>
      </c>
      <c r="Q2567" t="str">
        <f>_xlfn.XLOOKUP(D2567,tblSalesReps[rep_id],tblSalesReps[rep_name],"Missing")</f>
        <v>Sales Rep 08</v>
      </c>
      <c r="R2567" t="str">
        <f>_xlfn.XLOOKUP(D2567,tblSalesReps[rep_id],tblSalesReps[region],"Missing")</f>
        <v>North</v>
      </c>
    </row>
    <row r="2568" spans="1:18">
      <c r="A2568" t="s">
        <v>3111</v>
      </c>
      <c r="B2568" t="s">
        <v>335</v>
      </c>
      <c r="C2568" t="s">
        <v>81</v>
      </c>
      <c r="D2568" t="s">
        <v>70</v>
      </c>
      <c r="E2568" s="1">
        <v>45798</v>
      </c>
      <c r="F2568" s="1">
        <v>45829</v>
      </c>
      <c r="G2568" s="1">
        <v>45829</v>
      </c>
      <c r="H2568" t="s">
        <v>28</v>
      </c>
      <c r="I2568">
        <v>1</v>
      </c>
      <c r="J2568">
        <v>15</v>
      </c>
      <c r="K2568">
        <v>255000</v>
      </c>
      <c r="L2568">
        <v>100</v>
      </c>
      <c r="M2568" t="s">
        <v>29</v>
      </c>
      <c r="N2568" t="str">
        <f>_xlfn.XLOOKUP(B2568,tblCustomers[customer_id],tblCustomers[region],"Missing")</f>
        <v>West</v>
      </c>
      <c r="O2568" t="str">
        <f>_xlfn.XLOOKUP(C2568,tblProducts[product_id],tblProducts[product_name],"Missing")</f>
        <v>Analytics Cloud</v>
      </c>
      <c r="P2568" t="str">
        <f>_xlfn.XLOOKUP(C2568,tblProducts[product_id],tblProducts[category],"Missing")</f>
        <v>Analytics</v>
      </c>
      <c r="Q2568" t="str">
        <f>_xlfn.XLOOKUP(D2568,tblSalesReps[rep_id],tblSalesReps[rep_name],"Missing")</f>
        <v>Sales Rep 11</v>
      </c>
      <c r="R2568" t="str">
        <f>_xlfn.XLOOKUP(D2568,tblSalesReps[rep_id],tblSalesReps[region],"Missing")</f>
        <v>West</v>
      </c>
    </row>
    <row r="2569" spans="1:18">
      <c r="A2569" t="s">
        <v>3112</v>
      </c>
      <c r="B2569" t="s">
        <v>542</v>
      </c>
      <c r="C2569" t="s">
        <v>15</v>
      </c>
      <c r="D2569" t="s">
        <v>70</v>
      </c>
      <c r="E2569" s="1">
        <v>45829</v>
      </c>
      <c r="F2569" s="1">
        <v>45856</v>
      </c>
      <c r="G2569" s="1">
        <v>45856</v>
      </c>
      <c r="H2569" t="s">
        <v>17</v>
      </c>
      <c r="I2569">
        <v>2</v>
      </c>
      <c r="J2569">
        <v>0</v>
      </c>
      <c r="K2569">
        <v>840000</v>
      </c>
      <c r="L2569">
        <v>0</v>
      </c>
      <c r="M2569" t="s">
        <v>47</v>
      </c>
      <c r="N2569" t="str">
        <f>_xlfn.XLOOKUP(B2569,tblCustomers[customer_id],tblCustomers[region],"Missing")</f>
        <v>West</v>
      </c>
      <c r="O2569" t="str">
        <f>_xlfn.XLOOKUP(C2569,tblProducts[product_id],tblProducts[product_name],"Missing")</f>
        <v>CRM Enterprise</v>
      </c>
      <c r="P2569" t="str">
        <f>_xlfn.XLOOKUP(C2569,tblProducts[product_id],tblProducts[category],"Missing")</f>
        <v>CRM</v>
      </c>
      <c r="Q2569" t="str">
        <f>_xlfn.XLOOKUP(D2569,tblSalesReps[rep_id],tblSalesReps[rep_name],"Missing")</f>
        <v>Sales Rep 11</v>
      </c>
      <c r="R2569" t="str">
        <f>_xlfn.XLOOKUP(D2569,tblSalesReps[rep_id],tblSalesReps[region],"Missing")</f>
        <v>West</v>
      </c>
    </row>
    <row r="2570" spans="1:18">
      <c r="A2570" t="s">
        <v>3113</v>
      </c>
      <c r="B2570" t="s">
        <v>167</v>
      </c>
      <c r="C2570" t="s">
        <v>15</v>
      </c>
      <c r="D2570" t="s">
        <v>152</v>
      </c>
      <c r="E2570" s="1">
        <v>45757</v>
      </c>
      <c r="F2570" s="1">
        <v>45783</v>
      </c>
      <c r="G2570" s="1"/>
      <c r="H2570" t="s">
        <v>43</v>
      </c>
      <c r="I2570">
        <v>1</v>
      </c>
      <c r="J2570">
        <v>10</v>
      </c>
      <c r="K2570">
        <v>378000</v>
      </c>
      <c r="L2570">
        <v>80</v>
      </c>
      <c r="M2570" t="s">
        <v>29</v>
      </c>
      <c r="N2570" t="str">
        <f>_xlfn.XLOOKUP(B2570,tblCustomers[customer_id],tblCustomers[region],"Missing")</f>
        <v>East</v>
      </c>
      <c r="O2570" t="str">
        <f>_xlfn.XLOOKUP(C2570,tblProducts[product_id],tblProducts[product_name],"Missing")</f>
        <v>CRM Enterprise</v>
      </c>
      <c r="P2570" t="str">
        <f>_xlfn.XLOOKUP(C2570,tblProducts[product_id],tblProducts[category],"Missing")</f>
        <v>CRM</v>
      </c>
      <c r="Q2570" t="str">
        <f>_xlfn.XLOOKUP(D2570,tblSalesReps[rep_id],tblSalesReps[rep_name],"Missing")</f>
        <v>Sales Rep 18</v>
      </c>
      <c r="R2570" t="str">
        <f>_xlfn.XLOOKUP(D2570,tblSalesReps[rep_id],tblSalesReps[region],"Missing")</f>
        <v>East</v>
      </c>
    </row>
    <row r="2571" spans="1:18">
      <c r="A2571" t="s">
        <v>3114</v>
      </c>
      <c r="B2571" t="s">
        <v>402</v>
      </c>
      <c r="C2571" t="s">
        <v>62</v>
      </c>
      <c r="D2571" t="s">
        <v>126</v>
      </c>
      <c r="E2571" s="1">
        <v>45914</v>
      </c>
      <c r="F2571" s="1">
        <v>45962</v>
      </c>
      <c r="G2571" s="1"/>
      <c r="H2571" t="s">
        <v>43</v>
      </c>
      <c r="I2571">
        <v>1</v>
      </c>
      <c r="J2571">
        <v>5</v>
      </c>
      <c r="K2571">
        <v>114000</v>
      </c>
      <c r="L2571">
        <v>40</v>
      </c>
      <c r="M2571" t="s">
        <v>29</v>
      </c>
      <c r="N2571" t="str">
        <f>_xlfn.XLOOKUP(B2571,tblCustomers[customer_id],tblCustomers[region],"Missing")</f>
        <v>South</v>
      </c>
      <c r="O2571" t="str">
        <f>_xlfn.XLOOKUP(C2571,tblProducts[product_id],tblProducts[product_name],"Missing")</f>
        <v>CRM Essentials</v>
      </c>
      <c r="P2571" t="str">
        <f>_xlfn.XLOOKUP(C2571,tblProducts[product_id],tblProducts[category],"Missing")</f>
        <v>CRM</v>
      </c>
      <c r="Q2571" t="str">
        <f>_xlfn.XLOOKUP(D2571,tblSalesReps[rep_id],tblSalesReps[rep_name],"Missing")</f>
        <v>Sales Rep 02</v>
      </c>
      <c r="R2571" t="str">
        <f>_xlfn.XLOOKUP(D2571,tblSalesReps[rep_id],tblSalesReps[region],"Missing")</f>
        <v>South</v>
      </c>
    </row>
    <row r="2572" spans="1:18">
      <c r="A2572" t="s">
        <v>3115</v>
      </c>
      <c r="B2572" t="s">
        <v>969</v>
      </c>
      <c r="C2572" t="s">
        <v>62</v>
      </c>
      <c r="D2572" t="s">
        <v>91</v>
      </c>
      <c r="E2572" s="1">
        <v>45811</v>
      </c>
      <c r="F2572" s="1">
        <v>45857</v>
      </c>
      <c r="G2572" s="1">
        <v>45857</v>
      </c>
      <c r="H2572" t="s">
        <v>28</v>
      </c>
      <c r="I2572">
        <v>1</v>
      </c>
      <c r="J2572">
        <v>5</v>
      </c>
      <c r="K2572">
        <v>114000</v>
      </c>
      <c r="L2572">
        <v>100</v>
      </c>
      <c r="M2572" t="s">
        <v>29</v>
      </c>
      <c r="N2572" t="str">
        <f>_xlfn.XLOOKUP(B2572,tblCustomers[customer_id],tblCustomers[region],"Missing")</f>
        <v>South</v>
      </c>
      <c r="O2572" t="str">
        <f>_xlfn.XLOOKUP(C2572,tblProducts[product_id],tblProducts[product_name],"Missing")</f>
        <v>CRM Essentials</v>
      </c>
      <c r="P2572" t="str">
        <f>_xlfn.XLOOKUP(C2572,tblProducts[product_id],tblProducts[category],"Missing")</f>
        <v>CRM</v>
      </c>
      <c r="Q2572" t="str">
        <f>_xlfn.XLOOKUP(D2572,tblSalesReps[rep_id],tblSalesReps[rep_name],"Missing")</f>
        <v>Sales Rep 03</v>
      </c>
      <c r="R2572" t="str">
        <f>_xlfn.XLOOKUP(D2572,tblSalesReps[rep_id],tblSalesReps[region],"Missing")</f>
        <v>South</v>
      </c>
    </row>
    <row r="2573" spans="1:18">
      <c r="A2573" t="s">
        <v>3116</v>
      </c>
      <c r="B2573" t="s">
        <v>1019</v>
      </c>
      <c r="C2573" t="s">
        <v>26</v>
      </c>
      <c r="D2573" t="s">
        <v>78</v>
      </c>
      <c r="E2573" s="1">
        <v>46015</v>
      </c>
      <c r="F2573" s="1">
        <v>46026</v>
      </c>
      <c r="G2573" s="1"/>
      <c r="H2573" t="s">
        <v>43</v>
      </c>
      <c r="I2573">
        <v>1</v>
      </c>
      <c r="J2573">
        <v>15</v>
      </c>
      <c r="K2573">
        <v>306000</v>
      </c>
      <c r="L2573">
        <v>40</v>
      </c>
      <c r="M2573" t="s">
        <v>29</v>
      </c>
      <c r="N2573" t="str">
        <f>_xlfn.XLOOKUP(B2573,tblCustomers[customer_id],tblCustomers[region],"Missing")</f>
        <v>West</v>
      </c>
      <c r="O2573" t="str">
        <f>_xlfn.XLOOKUP(C2573,tblProducts[product_id],tblProducts[product_name],"Missing")</f>
        <v>Security Suite</v>
      </c>
      <c r="P2573" t="str">
        <f>_xlfn.XLOOKUP(C2573,tblProducts[product_id],tblProducts[category],"Missing")</f>
        <v>Security</v>
      </c>
      <c r="Q2573" t="str">
        <f>_xlfn.XLOOKUP(D2573,tblSalesReps[rep_id],tblSalesReps[rep_name],"Missing")</f>
        <v>Sales Rep 12</v>
      </c>
      <c r="R2573" t="str">
        <f>_xlfn.XLOOKUP(D2573,tblSalesReps[rep_id],tblSalesReps[region],"Missing")</f>
        <v>West</v>
      </c>
    </row>
    <row r="2574" spans="1:18">
      <c r="A2574" t="s">
        <v>3117</v>
      </c>
      <c r="B2574" t="s">
        <v>253</v>
      </c>
      <c r="C2574" t="s">
        <v>15</v>
      </c>
      <c r="D2574" t="s">
        <v>126</v>
      </c>
      <c r="E2574" s="1">
        <v>45925</v>
      </c>
      <c r="F2574" s="1">
        <v>46006</v>
      </c>
      <c r="G2574" s="1">
        <v>46006</v>
      </c>
      <c r="H2574" t="s">
        <v>17</v>
      </c>
      <c r="I2574">
        <v>1</v>
      </c>
      <c r="J2574">
        <v>20</v>
      </c>
      <c r="K2574">
        <v>336000</v>
      </c>
      <c r="L2574">
        <v>0</v>
      </c>
      <c r="M2574" t="s">
        <v>33</v>
      </c>
      <c r="N2574" t="str">
        <f>_xlfn.XLOOKUP(B2574,tblCustomers[customer_id],tblCustomers[region],"Missing")</f>
        <v>South</v>
      </c>
      <c r="O2574" t="str">
        <f>_xlfn.XLOOKUP(C2574,tblProducts[product_id],tblProducts[product_name],"Missing")</f>
        <v>CRM Enterprise</v>
      </c>
      <c r="P2574" t="str">
        <f>_xlfn.XLOOKUP(C2574,tblProducts[product_id],tblProducts[category],"Missing")</f>
        <v>CRM</v>
      </c>
      <c r="Q2574" t="str">
        <f>_xlfn.XLOOKUP(D2574,tblSalesReps[rep_id],tblSalesReps[rep_name],"Missing")</f>
        <v>Sales Rep 02</v>
      </c>
      <c r="R2574" t="str">
        <f>_xlfn.XLOOKUP(D2574,tblSalesReps[rep_id],tblSalesReps[region],"Missing")</f>
        <v>South</v>
      </c>
    </row>
    <row r="2575" spans="1:18">
      <c r="A2575" t="s">
        <v>3118</v>
      </c>
      <c r="B2575" t="s">
        <v>31</v>
      </c>
      <c r="C2575" t="s">
        <v>81</v>
      </c>
      <c r="D2575" t="s">
        <v>91</v>
      </c>
      <c r="E2575" s="1">
        <v>45950</v>
      </c>
      <c r="F2575" s="1">
        <v>46022</v>
      </c>
      <c r="G2575" s="1">
        <v>46022</v>
      </c>
      <c r="H2575" t="s">
        <v>28</v>
      </c>
      <c r="I2575">
        <v>1</v>
      </c>
      <c r="J2575">
        <v>10</v>
      </c>
      <c r="K2575">
        <v>270000</v>
      </c>
      <c r="L2575">
        <v>100</v>
      </c>
      <c r="M2575" t="s">
        <v>29</v>
      </c>
      <c r="N2575" t="str">
        <f>_xlfn.XLOOKUP(B2575,tblCustomers[customer_id],tblCustomers[region],"Missing")</f>
        <v>South</v>
      </c>
      <c r="O2575" t="str">
        <f>_xlfn.XLOOKUP(C2575,tblProducts[product_id],tblProducts[product_name],"Missing")</f>
        <v>Analytics Cloud</v>
      </c>
      <c r="P2575" t="str">
        <f>_xlfn.XLOOKUP(C2575,tblProducts[product_id],tblProducts[category],"Missing")</f>
        <v>Analytics</v>
      </c>
      <c r="Q2575" t="str">
        <f>_xlfn.XLOOKUP(D2575,tblSalesReps[rep_id],tblSalesReps[rep_name],"Missing")</f>
        <v>Sales Rep 03</v>
      </c>
      <c r="R2575" t="str">
        <f>_xlfn.XLOOKUP(D2575,tblSalesReps[rep_id],tblSalesReps[region],"Missing")</f>
        <v>South</v>
      </c>
    </row>
    <row r="2576" spans="1:18">
      <c r="A2576" t="s">
        <v>3119</v>
      </c>
      <c r="B2576" t="s">
        <v>876</v>
      </c>
      <c r="C2576" t="s">
        <v>62</v>
      </c>
      <c r="D2576" t="s">
        <v>56</v>
      </c>
      <c r="E2576" s="1">
        <v>45881</v>
      </c>
      <c r="F2576" s="1">
        <v>45926</v>
      </c>
      <c r="G2576" s="1">
        <v>45926</v>
      </c>
      <c r="H2576" t="s">
        <v>17</v>
      </c>
      <c r="I2576">
        <v>3</v>
      </c>
      <c r="J2576">
        <v>10</v>
      </c>
      <c r="K2576">
        <v>324000</v>
      </c>
      <c r="L2576">
        <v>0</v>
      </c>
      <c r="M2576" t="s">
        <v>82</v>
      </c>
      <c r="N2576" t="str">
        <f>_xlfn.XLOOKUP(B2576,tblCustomers[customer_id],tblCustomers[region],"Missing")</f>
        <v>East</v>
      </c>
      <c r="O2576" t="str">
        <f>_xlfn.XLOOKUP(C2576,tblProducts[product_id],tblProducts[product_name],"Missing")</f>
        <v>CRM Essentials</v>
      </c>
      <c r="P2576" t="str">
        <f>_xlfn.XLOOKUP(C2576,tblProducts[product_id],tblProducts[category],"Missing")</f>
        <v>CRM</v>
      </c>
      <c r="Q2576" t="str">
        <f>_xlfn.XLOOKUP(D2576,tblSalesReps[rep_id],tblSalesReps[rep_name],"Missing")</f>
        <v>Sales Rep 20</v>
      </c>
      <c r="R2576" t="str">
        <f>_xlfn.XLOOKUP(D2576,tblSalesReps[rep_id],tblSalesReps[region],"Missing")</f>
        <v>East</v>
      </c>
    </row>
    <row r="2577" spans="1:18">
      <c r="A2577" t="s">
        <v>3120</v>
      </c>
      <c r="B2577" t="s">
        <v>215</v>
      </c>
      <c r="C2577" t="s">
        <v>39</v>
      </c>
      <c r="D2577" t="s">
        <v>36</v>
      </c>
      <c r="E2577" s="1">
        <v>45950</v>
      </c>
      <c r="F2577" s="1">
        <v>45974</v>
      </c>
      <c r="G2577" s="1">
        <v>45974</v>
      </c>
      <c r="H2577" t="s">
        <v>28</v>
      </c>
      <c r="I2577">
        <v>2</v>
      </c>
      <c r="J2577">
        <v>0</v>
      </c>
      <c r="K2577">
        <v>360000</v>
      </c>
      <c r="L2577">
        <v>100</v>
      </c>
      <c r="M2577" t="s">
        <v>29</v>
      </c>
      <c r="N2577" t="str">
        <f>_xlfn.XLOOKUP(B2577,tblCustomers[customer_id],tblCustomers[region],"Missing")</f>
        <v>North</v>
      </c>
      <c r="O2577" t="str">
        <f>_xlfn.XLOOKUP(C2577,tblProducts[product_id],tblProducts[product_name],"Missing")</f>
        <v>Support Desk</v>
      </c>
      <c r="P2577" t="str">
        <f>_xlfn.XLOOKUP(C2577,tblProducts[product_id],tblProducts[category],"Missing")</f>
        <v>Service</v>
      </c>
      <c r="Q2577" t="str">
        <f>_xlfn.XLOOKUP(D2577,tblSalesReps[rep_id],tblSalesReps[rep_name],"Missing")</f>
        <v>Sales Rep 09</v>
      </c>
      <c r="R2577" t="str">
        <f>_xlfn.XLOOKUP(D2577,tblSalesReps[rep_id],tblSalesReps[region],"Missing")</f>
        <v>North</v>
      </c>
    </row>
    <row r="2578" spans="1:18">
      <c r="A2578" t="s">
        <v>3121</v>
      </c>
      <c r="B2578" t="s">
        <v>729</v>
      </c>
      <c r="C2578" t="s">
        <v>26</v>
      </c>
      <c r="D2578" t="s">
        <v>22</v>
      </c>
      <c r="E2578" s="1">
        <v>45749</v>
      </c>
      <c r="F2578" s="1">
        <v>45765</v>
      </c>
      <c r="G2578" s="1">
        <v>45765</v>
      </c>
      <c r="H2578" t="s">
        <v>17</v>
      </c>
      <c r="I2578">
        <v>1</v>
      </c>
      <c r="J2578">
        <v>15</v>
      </c>
      <c r="K2578">
        <v>306000</v>
      </c>
      <c r="L2578">
        <v>0</v>
      </c>
      <c r="M2578" t="s">
        <v>82</v>
      </c>
      <c r="N2578" t="str">
        <f>_xlfn.XLOOKUP(B2578,tblCustomers[customer_id],tblCustomers[region],"Missing")</f>
        <v>West</v>
      </c>
      <c r="O2578" t="str">
        <f>_xlfn.XLOOKUP(C2578,tblProducts[product_id],tblProducts[product_name],"Missing")</f>
        <v>Security Suite</v>
      </c>
      <c r="P2578" t="str">
        <f>_xlfn.XLOOKUP(C2578,tblProducts[product_id],tblProducts[category],"Missing")</f>
        <v>Security</v>
      </c>
      <c r="Q2578" t="str">
        <f>_xlfn.XLOOKUP(D2578,tblSalesReps[rep_id],tblSalesReps[rep_name],"Missing")</f>
        <v>Sales Rep 14</v>
      </c>
      <c r="R2578" t="str">
        <f>_xlfn.XLOOKUP(D2578,tblSalesReps[rep_id],tblSalesReps[region],"Missing")</f>
        <v>West</v>
      </c>
    </row>
    <row r="2579" spans="1:18">
      <c r="A2579" t="s">
        <v>3122</v>
      </c>
      <c r="B2579" t="s">
        <v>189</v>
      </c>
      <c r="C2579" t="s">
        <v>21</v>
      </c>
      <c r="D2579" t="s">
        <v>78</v>
      </c>
      <c r="E2579" s="1">
        <v>45805</v>
      </c>
      <c r="F2579" s="1">
        <v>45853</v>
      </c>
      <c r="G2579" s="1"/>
      <c r="H2579" t="s">
        <v>43</v>
      </c>
      <c r="I2579">
        <v>1</v>
      </c>
      <c r="J2579">
        <v>5</v>
      </c>
      <c r="K2579">
        <v>228000</v>
      </c>
      <c r="L2579">
        <v>20</v>
      </c>
      <c r="M2579" t="s">
        <v>29</v>
      </c>
      <c r="N2579" t="str">
        <f>_xlfn.XLOOKUP(B2579,tblCustomers[customer_id],tblCustomers[region],"Missing")</f>
        <v>West</v>
      </c>
      <c r="O2579" t="str">
        <f>_xlfn.XLOOKUP(C2579,tblProducts[product_id],tblProducts[product_name],"Missing")</f>
        <v>Workflow Automate</v>
      </c>
      <c r="P2579" t="str">
        <f>_xlfn.XLOOKUP(C2579,tblProducts[product_id],tblProducts[category],"Missing")</f>
        <v>Automation</v>
      </c>
      <c r="Q2579" t="str">
        <f>_xlfn.XLOOKUP(D2579,tblSalesReps[rep_id],tblSalesReps[rep_name],"Missing")</f>
        <v>Sales Rep 12</v>
      </c>
      <c r="R2579" t="str">
        <f>_xlfn.XLOOKUP(D2579,tblSalesReps[rep_id],tblSalesReps[region],"Missing")</f>
        <v>West</v>
      </c>
    </row>
    <row r="2580" spans="1:18">
      <c r="A2580" t="s">
        <v>3123</v>
      </c>
      <c r="B2580" t="s">
        <v>763</v>
      </c>
      <c r="C2580" t="s">
        <v>21</v>
      </c>
      <c r="D2580" t="s">
        <v>75</v>
      </c>
      <c r="E2580" s="1">
        <v>46022</v>
      </c>
      <c r="F2580" s="1">
        <v>46044</v>
      </c>
      <c r="G2580" s="1"/>
      <c r="H2580" t="s">
        <v>43</v>
      </c>
      <c r="I2580">
        <v>1</v>
      </c>
      <c r="J2580">
        <v>20</v>
      </c>
      <c r="K2580">
        <v>192000</v>
      </c>
      <c r="L2580">
        <v>20</v>
      </c>
      <c r="M2580" t="s">
        <v>29</v>
      </c>
      <c r="N2580" t="str">
        <f>_xlfn.XLOOKUP(B2580,tblCustomers[customer_id],tblCustomers[region],"Missing")</f>
        <v>North</v>
      </c>
      <c r="O2580" t="str">
        <f>_xlfn.XLOOKUP(C2580,tblProducts[product_id],tblProducts[product_name],"Missing")</f>
        <v>Workflow Automate</v>
      </c>
      <c r="P2580" t="str">
        <f>_xlfn.XLOOKUP(C2580,tblProducts[product_id],tblProducts[category],"Missing")</f>
        <v>Automation</v>
      </c>
      <c r="Q2580" t="str">
        <f>_xlfn.XLOOKUP(D2580,tblSalesReps[rep_id],tblSalesReps[rep_name],"Missing")</f>
        <v>Sales Rep 07</v>
      </c>
      <c r="R2580" t="str">
        <f>_xlfn.XLOOKUP(D2580,tblSalesReps[rep_id],tblSalesReps[region],"Missing")</f>
        <v>North</v>
      </c>
    </row>
    <row r="2581" spans="1:18">
      <c r="A2581" t="s">
        <v>3124</v>
      </c>
      <c r="B2581" t="s">
        <v>477</v>
      </c>
      <c r="C2581" t="s">
        <v>15</v>
      </c>
      <c r="D2581" t="s">
        <v>36</v>
      </c>
      <c r="E2581" s="1">
        <v>45799</v>
      </c>
      <c r="F2581" s="1">
        <v>45842</v>
      </c>
      <c r="G2581" s="1">
        <v>45842</v>
      </c>
      <c r="H2581" t="s">
        <v>17</v>
      </c>
      <c r="I2581">
        <v>2</v>
      </c>
      <c r="J2581">
        <v>20</v>
      </c>
      <c r="K2581">
        <v>672000</v>
      </c>
      <c r="L2581">
        <v>0</v>
      </c>
      <c r="M2581" t="s">
        <v>23</v>
      </c>
      <c r="N2581" t="str">
        <f>_xlfn.XLOOKUP(B2581,tblCustomers[customer_id],tblCustomers[region],"Missing")</f>
        <v>North</v>
      </c>
      <c r="O2581" t="str">
        <f>_xlfn.XLOOKUP(C2581,tblProducts[product_id],tblProducts[product_name],"Missing")</f>
        <v>CRM Enterprise</v>
      </c>
      <c r="P2581" t="str">
        <f>_xlfn.XLOOKUP(C2581,tblProducts[product_id],tblProducts[category],"Missing")</f>
        <v>CRM</v>
      </c>
      <c r="Q2581" t="str">
        <f>_xlfn.XLOOKUP(D2581,tblSalesReps[rep_id],tblSalesReps[rep_name],"Missing")</f>
        <v>Sales Rep 09</v>
      </c>
      <c r="R2581" t="str">
        <f>_xlfn.XLOOKUP(D2581,tblSalesReps[rep_id],tblSalesReps[region],"Missing")</f>
        <v>North</v>
      </c>
    </row>
    <row r="2582" spans="1:18">
      <c r="A2582" t="s">
        <v>3125</v>
      </c>
      <c r="B2582" t="s">
        <v>755</v>
      </c>
      <c r="C2582" t="s">
        <v>26</v>
      </c>
      <c r="D2582" t="s">
        <v>27</v>
      </c>
      <c r="E2582" s="1">
        <v>45676</v>
      </c>
      <c r="F2582" s="1">
        <v>45720</v>
      </c>
      <c r="G2582" s="1">
        <v>45720</v>
      </c>
      <c r="H2582" t="s">
        <v>28</v>
      </c>
      <c r="I2582">
        <v>1</v>
      </c>
      <c r="J2582">
        <v>20</v>
      </c>
      <c r="K2582">
        <v>288000</v>
      </c>
      <c r="L2582">
        <v>100</v>
      </c>
      <c r="M2582" t="s">
        <v>29</v>
      </c>
      <c r="N2582" t="str">
        <f>_xlfn.XLOOKUP(B2582,tblCustomers[customer_id],tblCustomers[region],"Missing")</f>
        <v>North</v>
      </c>
      <c r="O2582" t="str">
        <f>_xlfn.XLOOKUP(C2582,tblProducts[product_id],tblProducts[product_name],"Missing")</f>
        <v>Security Suite</v>
      </c>
      <c r="P2582" t="str">
        <f>_xlfn.XLOOKUP(C2582,tblProducts[product_id],tblProducts[category],"Missing")</f>
        <v>Security</v>
      </c>
      <c r="Q2582" t="str">
        <f>_xlfn.XLOOKUP(D2582,tblSalesReps[rep_id],tblSalesReps[rep_name],"Missing")</f>
        <v>Sales Rep 06</v>
      </c>
      <c r="R2582" t="str">
        <f>_xlfn.XLOOKUP(D2582,tblSalesReps[rep_id],tblSalesReps[region],"Missing")</f>
        <v>North</v>
      </c>
    </row>
    <row r="2583" spans="1:18">
      <c r="A2583" t="s">
        <v>3126</v>
      </c>
      <c r="B2583" t="s">
        <v>575</v>
      </c>
      <c r="C2583" t="s">
        <v>62</v>
      </c>
      <c r="D2583" t="s">
        <v>152</v>
      </c>
      <c r="E2583" s="1">
        <v>45789</v>
      </c>
      <c r="F2583" s="1">
        <v>45802</v>
      </c>
      <c r="G2583" s="1">
        <v>45802</v>
      </c>
      <c r="H2583" t="s">
        <v>17</v>
      </c>
      <c r="I2583">
        <v>1</v>
      </c>
      <c r="J2583">
        <v>15</v>
      </c>
      <c r="K2583">
        <v>102000</v>
      </c>
      <c r="L2583">
        <v>0</v>
      </c>
      <c r="M2583" t="s">
        <v>47</v>
      </c>
      <c r="N2583" t="str">
        <f>_xlfn.XLOOKUP(B2583,tblCustomers[customer_id],tblCustomers[region],"Missing")</f>
        <v>East</v>
      </c>
      <c r="O2583" t="str">
        <f>_xlfn.XLOOKUP(C2583,tblProducts[product_id],tblProducts[product_name],"Missing")</f>
        <v>CRM Essentials</v>
      </c>
      <c r="P2583" t="str">
        <f>_xlfn.XLOOKUP(C2583,tblProducts[product_id],tblProducts[category],"Missing")</f>
        <v>CRM</v>
      </c>
      <c r="Q2583" t="str">
        <f>_xlfn.XLOOKUP(D2583,tblSalesReps[rep_id],tblSalesReps[rep_name],"Missing")</f>
        <v>Sales Rep 18</v>
      </c>
      <c r="R2583" t="str">
        <f>_xlfn.XLOOKUP(D2583,tblSalesReps[rep_id],tblSalesReps[region],"Missing")</f>
        <v>East</v>
      </c>
    </row>
    <row r="2584" spans="1:18">
      <c r="A2584" t="s">
        <v>3127</v>
      </c>
      <c r="B2584" t="s">
        <v>1481</v>
      </c>
      <c r="C2584" t="s">
        <v>39</v>
      </c>
      <c r="D2584" t="s">
        <v>168</v>
      </c>
      <c r="E2584" s="1">
        <v>45666</v>
      </c>
      <c r="F2584" s="1">
        <v>45726</v>
      </c>
      <c r="G2584" s="1">
        <v>45726</v>
      </c>
      <c r="H2584" t="s">
        <v>17</v>
      </c>
      <c r="I2584">
        <v>1</v>
      </c>
      <c r="J2584">
        <v>0</v>
      </c>
      <c r="K2584">
        <v>180000</v>
      </c>
      <c r="L2584">
        <v>0</v>
      </c>
      <c r="M2584" t="s">
        <v>23</v>
      </c>
      <c r="N2584" t="str">
        <f>_xlfn.XLOOKUP(B2584,tblCustomers[customer_id],tblCustomers[region],"Missing")</f>
        <v>East</v>
      </c>
      <c r="O2584" t="str">
        <f>_xlfn.XLOOKUP(C2584,tblProducts[product_id],tblProducts[product_name],"Missing")</f>
        <v>Support Desk</v>
      </c>
      <c r="P2584" t="str">
        <f>_xlfn.XLOOKUP(C2584,tblProducts[product_id],tblProducts[category],"Missing")</f>
        <v>Service</v>
      </c>
      <c r="Q2584" t="str">
        <f>_xlfn.XLOOKUP(D2584,tblSalesReps[rep_id],tblSalesReps[rep_name],"Missing")</f>
        <v>Sales Rep 17</v>
      </c>
      <c r="R2584" t="str">
        <f>_xlfn.XLOOKUP(D2584,tblSalesReps[rep_id],tblSalesReps[region],"Missing")</f>
        <v>East</v>
      </c>
    </row>
    <row r="2585" spans="1:18">
      <c r="A2585" t="s">
        <v>3128</v>
      </c>
      <c r="B2585" t="s">
        <v>1415</v>
      </c>
      <c r="C2585" t="s">
        <v>21</v>
      </c>
      <c r="D2585" t="s">
        <v>152</v>
      </c>
      <c r="E2585" s="1">
        <v>45662</v>
      </c>
      <c r="F2585" s="1">
        <v>45715</v>
      </c>
      <c r="G2585" s="1">
        <v>45715</v>
      </c>
      <c r="H2585" t="s">
        <v>28</v>
      </c>
      <c r="I2585">
        <v>3</v>
      </c>
      <c r="J2585">
        <v>20</v>
      </c>
      <c r="K2585">
        <v>576000</v>
      </c>
      <c r="L2585">
        <v>100</v>
      </c>
      <c r="M2585" t="s">
        <v>29</v>
      </c>
      <c r="N2585" t="str">
        <f>_xlfn.XLOOKUP(B2585,tblCustomers[customer_id],tblCustomers[region],"Missing")</f>
        <v>East</v>
      </c>
      <c r="O2585" t="str">
        <f>_xlfn.XLOOKUP(C2585,tblProducts[product_id],tblProducts[product_name],"Missing")</f>
        <v>Workflow Automate</v>
      </c>
      <c r="P2585" t="str">
        <f>_xlfn.XLOOKUP(C2585,tblProducts[product_id],tblProducts[category],"Missing")</f>
        <v>Automation</v>
      </c>
      <c r="Q2585" t="str">
        <f>_xlfn.XLOOKUP(D2585,tblSalesReps[rep_id],tblSalesReps[rep_name],"Missing")</f>
        <v>Sales Rep 18</v>
      </c>
      <c r="R2585" t="str">
        <f>_xlfn.XLOOKUP(D2585,tblSalesReps[rep_id],tblSalesReps[region],"Missing")</f>
        <v>East</v>
      </c>
    </row>
    <row r="2586" spans="1:18">
      <c r="A2586" t="s">
        <v>3129</v>
      </c>
      <c r="B2586" t="s">
        <v>1571</v>
      </c>
      <c r="C2586" t="s">
        <v>39</v>
      </c>
      <c r="D2586" t="s">
        <v>75</v>
      </c>
      <c r="E2586" s="1">
        <v>45834</v>
      </c>
      <c r="F2586" s="1">
        <v>45883</v>
      </c>
      <c r="G2586" s="1"/>
      <c r="H2586" t="s">
        <v>43</v>
      </c>
      <c r="I2586">
        <v>2</v>
      </c>
      <c r="J2586">
        <v>0</v>
      </c>
      <c r="K2586">
        <v>360000</v>
      </c>
      <c r="L2586">
        <v>60</v>
      </c>
      <c r="M2586" t="s">
        <v>29</v>
      </c>
      <c r="N2586" t="str">
        <f>_xlfn.XLOOKUP(B2586,tblCustomers[customer_id],tblCustomers[region],"Missing")</f>
        <v>North</v>
      </c>
      <c r="O2586" t="str">
        <f>_xlfn.XLOOKUP(C2586,tblProducts[product_id],tblProducts[product_name],"Missing")</f>
        <v>Support Desk</v>
      </c>
      <c r="P2586" t="str">
        <f>_xlfn.XLOOKUP(C2586,tblProducts[product_id],tblProducts[category],"Missing")</f>
        <v>Service</v>
      </c>
      <c r="Q2586" t="str">
        <f>_xlfn.XLOOKUP(D2586,tblSalesReps[rep_id],tblSalesReps[rep_name],"Missing")</f>
        <v>Sales Rep 07</v>
      </c>
      <c r="R2586" t="str">
        <f>_xlfn.XLOOKUP(D2586,tblSalesReps[rep_id],tblSalesReps[region],"Missing")</f>
        <v>North</v>
      </c>
    </row>
    <row r="2587" spans="1:18">
      <c r="A2587" t="s">
        <v>3130</v>
      </c>
      <c r="B2587" t="s">
        <v>360</v>
      </c>
      <c r="C2587" t="s">
        <v>62</v>
      </c>
      <c r="D2587" t="s">
        <v>40</v>
      </c>
      <c r="E2587" s="1">
        <v>45775</v>
      </c>
      <c r="F2587" s="1">
        <v>45796</v>
      </c>
      <c r="G2587" s="1">
        <v>45796</v>
      </c>
      <c r="H2587" t="s">
        <v>17</v>
      </c>
      <c r="I2587">
        <v>1</v>
      </c>
      <c r="J2587">
        <v>10</v>
      </c>
      <c r="K2587">
        <v>108000</v>
      </c>
      <c r="L2587">
        <v>0</v>
      </c>
      <c r="M2587" t="s">
        <v>23</v>
      </c>
      <c r="N2587" t="str">
        <f>_xlfn.XLOOKUP(B2587,tblCustomers[customer_id],tblCustomers[region],"Missing")</f>
        <v>West</v>
      </c>
      <c r="O2587" t="str">
        <f>_xlfn.XLOOKUP(C2587,tblProducts[product_id],tblProducts[product_name],"Missing")</f>
        <v>CRM Essentials</v>
      </c>
      <c r="P2587" t="str">
        <f>_xlfn.XLOOKUP(C2587,tblProducts[product_id],tblProducts[category],"Missing")</f>
        <v>CRM</v>
      </c>
      <c r="Q2587" t="str">
        <f>_xlfn.XLOOKUP(D2587,tblSalesReps[rep_id],tblSalesReps[rep_name],"Missing")</f>
        <v>Sales Rep 13</v>
      </c>
      <c r="R2587" t="str">
        <f>_xlfn.XLOOKUP(D2587,tblSalesReps[rep_id],tblSalesReps[region],"Missing")</f>
        <v>West</v>
      </c>
    </row>
    <row r="2588" spans="1:18">
      <c r="A2588" t="s">
        <v>3131</v>
      </c>
      <c r="B2588" t="s">
        <v>353</v>
      </c>
      <c r="C2588" t="s">
        <v>21</v>
      </c>
      <c r="D2588" t="s">
        <v>119</v>
      </c>
      <c r="E2588" s="1">
        <v>45756</v>
      </c>
      <c r="F2588" s="1">
        <v>45767</v>
      </c>
      <c r="G2588" s="1">
        <v>45767</v>
      </c>
      <c r="H2588" t="s">
        <v>28</v>
      </c>
      <c r="I2588">
        <v>2</v>
      </c>
      <c r="J2588">
        <v>0</v>
      </c>
      <c r="K2588">
        <v>480000</v>
      </c>
      <c r="L2588">
        <v>100</v>
      </c>
      <c r="M2588" t="s">
        <v>29</v>
      </c>
      <c r="N2588" t="str">
        <f>_xlfn.XLOOKUP(B2588,tblCustomers[customer_id],tblCustomers[region],"Missing")</f>
        <v>North</v>
      </c>
      <c r="O2588" t="str">
        <f>_xlfn.XLOOKUP(C2588,tblProducts[product_id],tblProducts[product_name],"Missing")</f>
        <v>Workflow Automate</v>
      </c>
      <c r="P2588" t="str">
        <f>_xlfn.XLOOKUP(C2588,tblProducts[product_id],tblProducts[category],"Missing")</f>
        <v>Automation</v>
      </c>
      <c r="Q2588" t="str">
        <f>_xlfn.XLOOKUP(D2588,tblSalesReps[rep_id],tblSalesReps[rep_name],"Missing")</f>
        <v>Sales Rep 10</v>
      </c>
      <c r="R2588" t="str">
        <f>_xlfn.XLOOKUP(D2588,tblSalesReps[rep_id],tblSalesReps[region],"Missing")</f>
        <v>North</v>
      </c>
    </row>
    <row r="2589" spans="1:18">
      <c r="A2589" t="s">
        <v>3132</v>
      </c>
      <c r="B2589" t="s">
        <v>320</v>
      </c>
      <c r="C2589" t="s">
        <v>81</v>
      </c>
      <c r="D2589" t="s">
        <v>27</v>
      </c>
      <c r="E2589" s="1">
        <v>45753</v>
      </c>
      <c r="F2589" s="1">
        <v>45816</v>
      </c>
      <c r="G2589" s="1">
        <v>45816</v>
      </c>
      <c r="H2589" t="s">
        <v>28</v>
      </c>
      <c r="I2589">
        <v>1</v>
      </c>
      <c r="J2589">
        <v>10</v>
      </c>
      <c r="K2589">
        <v>270000</v>
      </c>
      <c r="L2589">
        <v>100</v>
      </c>
      <c r="M2589" t="s">
        <v>29</v>
      </c>
      <c r="N2589" t="str">
        <f>_xlfn.XLOOKUP(B2589,tblCustomers[customer_id],tblCustomers[region],"Missing")</f>
        <v>North</v>
      </c>
      <c r="O2589" t="str">
        <f>_xlfn.XLOOKUP(C2589,tblProducts[product_id],tblProducts[product_name],"Missing")</f>
        <v>Analytics Cloud</v>
      </c>
      <c r="P2589" t="str">
        <f>_xlfn.XLOOKUP(C2589,tblProducts[product_id],tblProducts[category],"Missing")</f>
        <v>Analytics</v>
      </c>
      <c r="Q2589" t="str">
        <f>_xlfn.XLOOKUP(D2589,tblSalesReps[rep_id],tblSalesReps[rep_name],"Missing")</f>
        <v>Sales Rep 06</v>
      </c>
      <c r="R2589" t="str">
        <f>_xlfn.XLOOKUP(D2589,tblSalesReps[rep_id],tblSalesReps[region],"Missing")</f>
        <v>North</v>
      </c>
    </row>
    <row r="2590" spans="1:18">
      <c r="A2590" t="s">
        <v>3133</v>
      </c>
      <c r="B2590" t="s">
        <v>505</v>
      </c>
      <c r="C2590" t="s">
        <v>15</v>
      </c>
      <c r="D2590" t="s">
        <v>168</v>
      </c>
      <c r="E2590" s="1">
        <v>45866</v>
      </c>
      <c r="F2590" s="1">
        <v>45874</v>
      </c>
      <c r="G2590" s="1">
        <v>45874</v>
      </c>
      <c r="H2590" t="s">
        <v>28</v>
      </c>
      <c r="I2590">
        <v>3</v>
      </c>
      <c r="J2590">
        <v>20</v>
      </c>
      <c r="K2590">
        <v>1008000</v>
      </c>
      <c r="L2590">
        <v>100</v>
      </c>
      <c r="M2590" t="s">
        <v>29</v>
      </c>
      <c r="N2590" t="str">
        <f>_xlfn.XLOOKUP(B2590,tblCustomers[customer_id],tblCustomers[region],"Missing")</f>
        <v>East</v>
      </c>
      <c r="O2590" t="str">
        <f>_xlfn.XLOOKUP(C2590,tblProducts[product_id],tblProducts[product_name],"Missing")</f>
        <v>CRM Enterprise</v>
      </c>
      <c r="P2590" t="str">
        <f>_xlfn.XLOOKUP(C2590,tblProducts[product_id],tblProducts[category],"Missing")</f>
        <v>CRM</v>
      </c>
      <c r="Q2590" t="str">
        <f>_xlfn.XLOOKUP(D2590,tblSalesReps[rep_id],tblSalesReps[rep_name],"Missing")</f>
        <v>Sales Rep 17</v>
      </c>
      <c r="R2590" t="str">
        <f>_xlfn.XLOOKUP(D2590,tblSalesReps[rep_id],tblSalesReps[region],"Missing")</f>
        <v>East</v>
      </c>
    </row>
    <row r="2591" spans="1:18">
      <c r="A2591" t="s">
        <v>3134</v>
      </c>
      <c r="B2591" t="s">
        <v>1368</v>
      </c>
      <c r="C2591" t="s">
        <v>39</v>
      </c>
      <c r="D2591" t="s">
        <v>27</v>
      </c>
      <c r="E2591" s="1">
        <v>45742</v>
      </c>
      <c r="F2591" s="1">
        <v>45806</v>
      </c>
      <c r="G2591" s="1"/>
      <c r="H2591" t="s">
        <v>43</v>
      </c>
      <c r="I2591">
        <v>1</v>
      </c>
      <c r="J2591">
        <v>20</v>
      </c>
      <c r="K2591">
        <v>144000</v>
      </c>
      <c r="L2591">
        <v>40</v>
      </c>
      <c r="M2591" t="s">
        <v>29</v>
      </c>
      <c r="N2591" t="str">
        <f>_xlfn.XLOOKUP(B2591,tblCustomers[customer_id],tblCustomers[region],"Missing")</f>
        <v>North</v>
      </c>
      <c r="O2591" t="str">
        <f>_xlfn.XLOOKUP(C2591,tblProducts[product_id],tblProducts[product_name],"Missing")</f>
        <v>Support Desk</v>
      </c>
      <c r="P2591" t="str">
        <f>_xlfn.XLOOKUP(C2591,tblProducts[product_id],tblProducts[category],"Missing")</f>
        <v>Service</v>
      </c>
      <c r="Q2591" t="str">
        <f>_xlfn.XLOOKUP(D2591,tblSalesReps[rep_id],tblSalesReps[rep_name],"Missing")</f>
        <v>Sales Rep 06</v>
      </c>
      <c r="R2591" t="str">
        <f>_xlfn.XLOOKUP(D2591,tblSalesReps[rep_id],tblSalesReps[region],"Missing")</f>
        <v>North</v>
      </c>
    </row>
    <row r="2592" spans="1:18">
      <c r="A2592" t="s">
        <v>3135</v>
      </c>
      <c r="B2592" t="s">
        <v>1415</v>
      </c>
      <c r="C2592" t="s">
        <v>21</v>
      </c>
      <c r="D2592" t="s">
        <v>152</v>
      </c>
      <c r="E2592" s="1">
        <v>45983</v>
      </c>
      <c r="F2592" s="1">
        <v>46032</v>
      </c>
      <c r="G2592" s="1"/>
      <c r="H2592" t="s">
        <v>43</v>
      </c>
      <c r="I2592">
        <v>1</v>
      </c>
      <c r="J2592">
        <v>5</v>
      </c>
      <c r="K2592">
        <v>228000</v>
      </c>
      <c r="L2592">
        <v>80</v>
      </c>
      <c r="M2592" t="s">
        <v>29</v>
      </c>
      <c r="N2592" t="str">
        <f>_xlfn.XLOOKUP(B2592,tblCustomers[customer_id],tblCustomers[region],"Missing")</f>
        <v>East</v>
      </c>
      <c r="O2592" t="str">
        <f>_xlfn.XLOOKUP(C2592,tblProducts[product_id],tblProducts[product_name],"Missing")</f>
        <v>Workflow Automate</v>
      </c>
      <c r="P2592" t="str">
        <f>_xlfn.XLOOKUP(C2592,tblProducts[product_id],tblProducts[category],"Missing")</f>
        <v>Automation</v>
      </c>
      <c r="Q2592" t="str">
        <f>_xlfn.XLOOKUP(D2592,tblSalesReps[rep_id],tblSalesReps[rep_name],"Missing")</f>
        <v>Sales Rep 18</v>
      </c>
      <c r="R2592" t="str">
        <f>_xlfn.XLOOKUP(D2592,tblSalesReps[rep_id],tblSalesReps[region],"Missing")</f>
        <v>East</v>
      </c>
    </row>
    <row r="2593" spans="1:18">
      <c r="A2593" t="s">
        <v>3136</v>
      </c>
      <c r="B2593" t="s">
        <v>1127</v>
      </c>
      <c r="C2593" t="s">
        <v>62</v>
      </c>
      <c r="D2593" t="s">
        <v>75</v>
      </c>
      <c r="E2593" s="1">
        <v>45947</v>
      </c>
      <c r="F2593" s="1">
        <v>45971</v>
      </c>
      <c r="G2593" s="1">
        <v>45971</v>
      </c>
      <c r="H2593" t="s">
        <v>17</v>
      </c>
      <c r="I2593">
        <v>2</v>
      </c>
      <c r="J2593">
        <v>5</v>
      </c>
      <c r="K2593">
        <v>228000</v>
      </c>
      <c r="L2593">
        <v>0</v>
      </c>
      <c r="M2593" t="s">
        <v>47</v>
      </c>
      <c r="N2593" t="str">
        <f>_xlfn.XLOOKUP(B2593,tblCustomers[customer_id],tblCustomers[region],"Missing")</f>
        <v>North</v>
      </c>
      <c r="O2593" t="str">
        <f>_xlfn.XLOOKUP(C2593,tblProducts[product_id],tblProducts[product_name],"Missing")</f>
        <v>CRM Essentials</v>
      </c>
      <c r="P2593" t="str">
        <f>_xlfn.XLOOKUP(C2593,tblProducts[product_id],tblProducts[category],"Missing")</f>
        <v>CRM</v>
      </c>
      <c r="Q2593" t="str">
        <f>_xlfn.XLOOKUP(D2593,tblSalesReps[rep_id],tblSalesReps[rep_name],"Missing")</f>
        <v>Sales Rep 07</v>
      </c>
      <c r="R2593" t="str">
        <f>_xlfn.XLOOKUP(D2593,tblSalesReps[rep_id],tblSalesReps[region],"Missing")</f>
        <v>North</v>
      </c>
    </row>
    <row r="2594" spans="1:18">
      <c r="A2594" t="s">
        <v>3137</v>
      </c>
      <c r="B2594" t="s">
        <v>306</v>
      </c>
      <c r="C2594" t="s">
        <v>15</v>
      </c>
      <c r="D2594" t="s">
        <v>59</v>
      </c>
      <c r="E2594" s="1">
        <v>45891</v>
      </c>
      <c r="F2594" s="1">
        <v>45906</v>
      </c>
      <c r="G2594" s="1">
        <v>45906</v>
      </c>
      <c r="H2594" t="s">
        <v>17</v>
      </c>
      <c r="I2594">
        <v>1</v>
      </c>
      <c r="J2594">
        <v>15</v>
      </c>
      <c r="K2594">
        <v>357000</v>
      </c>
      <c r="L2594">
        <v>0</v>
      </c>
      <c r="M2594" t="s">
        <v>33</v>
      </c>
      <c r="N2594" t="str">
        <f>_xlfn.XLOOKUP(B2594,tblCustomers[customer_id],tblCustomers[region],"Missing")</f>
        <v>East</v>
      </c>
      <c r="O2594" t="str">
        <f>_xlfn.XLOOKUP(C2594,tblProducts[product_id],tblProducts[product_name],"Missing")</f>
        <v>CRM Enterprise</v>
      </c>
      <c r="P2594" t="str">
        <f>_xlfn.XLOOKUP(C2594,tblProducts[product_id],tblProducts[category],"Missing")</f>
        <v>CRM</v>
      </c>
      <c r="Q2594" t="str">
        <f>_xlfn.XLOOKUP(D2594,tblSalesReps[rep_id],tblSalesReps[rep_name],"Missing")</f>
        <v>Sales Rep 19</v>
      </c>
      <c r="R2594" t="str">
        <f>_xlfn.XLOOKUP(D2594,tblSalesReps[rep_id],tblSalesReps[region],"Missing")</f>
        <v>East</v>
      </c>
    </row>
    <row r="2595" spans="1:18">
      <c r="A2595" t="s">
        <v>3138</v>
      </c>
      <c r="B2595" t="s">
        <v>149</v>
      </c>
      <c r="C2595" t="s">
        <v>62</v>
      </c>
      <c r="D2595" t="s">
        <v>16</v>
      </c>
      <c r="E2595" s="1">
        <v>45890</v>
      </c>
      <c r="F2595" s="1">
        <v>45904</v>
      </c>
      <c r="G2595" s="1">
        <v>45904</v>
      </c>
      <c r="H2595" t="s">
        <v>17</v>
      </c>
      <c r="I2595">
        <v>3</v>
      </c>
      <c r="J2595">
        <v>5</v>
      </c>
      <c r="K2595">
        <v>342000</v>
      </c>
      <c r="L2595">
        <v>0</v>
      </c>
      <c r="M2595" t="s">
        <v>82</v>
      </c>
      <c r="N2595" t="str">
        <f>_xlfn.XLOOKUP(B2595,tblCustomers[customer_id],tblCustomers[region],"Missing")</f>
        <v>North</v>
      </c>
      <c r="O2595" t="str">
        <f>_xlfn.XLOOKUP(C2595,tblProducts[product_id],tblProducts[product_name],"Missing")</f>
        <v>CRM Essentials</v>
      </c>
      <c r="P2595" t="str">
        <f>_xlfn.XLOOKUP(C2595,tblProducts[product_id],tblProducts[category],"Missing")</f>
        <v>CRM</v>
      </c>
      <c r="Q2595" t="str">
        <f>_xlfn.XLOOKUP(D2595,tblSalesReps[rep_id],tblSalesReps[rep_name],"Missing")</f>
        <v>Sales Rep 08</v>
      </c>
      <c r="R2595" t="str">
        <f>_xlfn.XLOOKUP(D2595,tblSalesReps[rep_id],tblSalesReps[region],"Missing")</f>
        <v>North</v>
      </c>
    </row>
    <row r="2596" spans="1:18">
      <c r="A2596" t="s">
        <v>3139</v>
      </c>
      <c r="B2596" t="s">
        <v>1237</v>
      </c>
      <c r="C2596" t="s">
        <v>81</v>
      </c>
      <c r="D2596" t="s">
        <v>46</v>
      </c>
      <c r="E2596" s="1">
        <v>46007</v>
      </c>
      <c r="F2596" s="1">
        <v>46067</v>
      </c>
      <c r="G2596" s="1"/>
      <c r="H2596" t="s">
        <v>43</v>
      </c>
      <c r="I2596">
        <v>3</v>
      </c>
      <c r="J2596">
        <v>15</v>
      </c>
      <c r="K2596">
        <v>765000</v>
      </c>
      <c r="L2596">
        <v>20</v>
      </c>
      <c r="M2596" t="s">
        <v>29</v>
      </c>
      <c r="N2596" t="str">
        <f>_xlfn.XLOOKUP(B2596,tblCustomers[customer_id],tblCustomers[region],"Missing")</f>
        <v>South</v>
      </c>
      <c r="O2596" t="str">
        <f>_xlfn.XLOOKUP(C2596,tblProducts[product_id],tblProducts[product_name],"Missing")</f>
        <v>Analytics Cloud</v>
      </c>
      <c r="P2596" t="str">
        <f>_xlfn.XLOOKUP(C2596,tblProducts[product_id],tblProducts[category],"Missing")</f>
        <v>Analytics</v>
      </c>
      <c r="Q2596" t="str">
        <f>_xlfn.XLOOKUP(D2596,tblSalesReps[rep_id],tblSalesReps[rep_name],"Missing")</f>
        <v>Sales Rep 01</v>
      </c>
      <c r="R2596" t="str">
        <f>_xlfn.XLOOKUP(D2596,tblSalesReps[rep_id],tblSalesReps[region],"Missing")</f>
        <v>South</v>
      </c>
    </row>
    <row r="2597" spans="1:18">
      <c r="A2597" t="s">
        <v>3140</v>
      </c>
      <c r="B2597" t="s">
        <v>572</v>
      </c>
      <c r="C2597" t="s">
        <v>26</v>
      </c>
      <c r="D2597" t="s">
        <v>63</v>
      </c>
      <c r="E2597" s="1">
        <v>45750</v>
      </c>
      <c r="F2597" s="1">
        <v>45818</v>
      </c>
      <c r="G2597" s="1">
        <v>45818</v>
      </c>
      <c r="H2597" t="s">
        <v>17</v>
      </c>
      <c r="I2597">
        <v>2</v>
      </c>
      <c r="J2597">
        <v>15</v>
      </c>
      <c r="K2597">
        <v>612000</v>
      </c>
      <c r="L2597">
        <v>0</v>
      </c>
      <c r="M2597" t="s">
        <v>82</v>
      </c>
      <c r="N2597" t="str">
        <f>_xlfn.XLOOKUP(B2597,tblCustomers[customer_id],tblCustomers[region],"Missing")</f>
        <v>South</v>
      </c>
      <c r="O2597" t="str">
        <f>_xlfn.XLOOKUP(C2597,tblProducts[product_id],tblProducts[product_name],"Missing")</f>
        <v>Security Suite</v>
      </c>
      <c r="P2597" t="str">
        <f>_xlfn.XLOOKUP(C2597,tblProducts[product_id],tblProducts[category],"Missing")</f>
        <v>Security</v>
      </c>
      <c r="Q2597" t="str">
        <f>_xlfn.XLOOKUP(D2597,tblSalesReps[rep_id],tblSalesReps[rep_name],"Missing")</f>
        <v>Sales Rep 05</v>
      </c>
      <c r="R2597" t="str">
        <f>_xlfn.XLOOKUP(D2597,tblSalesReps[rep_id],tblSalesReps[region],"Missing")</f>
        <v>South</v>
      </c>
    </row>
    <row r="2598" spans="1:18">
      <c r="A2598" t="s">
        <v>3141</v>
      </c>
      <c r="B2598" t="s">
        <v>524</v>
      </c>
      <c r="C2598" t="s">
        <v>26</v>
      </c>
      <c r="D2598" t="s">
        <v>91</v>
      </c>
      <c r="E2598" s="1">
        <v>45680</v>
      </c>
      <c r="F2598" s="1">
        <v>45738</v>
      </c>
      <c r="G2598" s="1">
        <v>45738</v>
      </c>
      <c r="H2598" t="s">
        <v>17</v>
      </c>
      <c r="I2598">
        <v>2</v>
      </c>
      <c r="J2598">
        <v>15</v>
      </c>
      <c r="K2598">
        <v>612000</v>
      </c>
      <c r="L2598">
        <v>0</v>
      </c>
      <c r="M2598" t="s">
        <v>18</v>
      </c>
      <c r="N2598" t="str">
        <f>_xlfn.XLOOKUP(B2598,tblCustomers[customer_id],tblCustomers[region],"Missing")</f>
        <v>South</v>
      </c>
      <c r="O2598" t="str">
        <f>_xlfn.XLOOKUP(C2598,tblProducts[product_id],tblProducts[product_name],"Missing")</f>
        <v>Security Suite</v>
      </c>
      <c r="P2598" t="str">
        <f>_xlfn.XLOOKUP(C2598,tblProducts[product_id],tblProducts[category],"Missing")</f>
        <v>Security</v>
      </c>
      <c r="Q2598" t="str">
        <f>_xlfn.XLOOKUP(D2598,tblSalesReps[rep_id],tblSalesReps[rep_name],"Missing")</f>
        <v>Sales Rep 03</v>
      </c>
      <c r="R2598" t="str">
        <f>_xlfn.XLOOKUP(D2598,tblSalesReps[rep_id],tblSalesReps[region],"Missing")</f>
        <v>South</v>
      </c>
    </row>
    <row r="2599" spans="1:18">
      <c r="A2599" t="s">
        <v>3142</v>
      </c>
      <c r="B2599" t="s">
        <v>74</v>
      </c>
      <c r="C2599" t="s">
        <v>62</v>
      </c>
      <c r="D2599" t="s">
        <v>36</v>
      </c>
      <c r="E2599" s="1">
        <v>45978</v>
      </c>
      <c r="F2599" s="1">
        <v>46031</v>
      </c>
      <c r="G2599" s="1"/>
      <c r="H2599" t="s">
        <v>43</v>
      </c>
      <c r="I2599">
        <v>1</v>
      </c>
      <c r="J2599">
        <v>20</v>
      </c>
      <c r="K2599">
        <v>96000</v>
      </c>
      <c r="L2599">
        <v>20</v>
      </c>
      <c r="M2599" t="s">
        <v>29</v>
      </c>
      <c r="N2599" t="str">
        <f>_xlfn.XLOOKUP(B2599,tblCustomers[customer_id],tblCustomers[region],"Missing")</f>
        <v>North</v>
      </c>
      <c r="O2599" t="str">
        <f>_xlfn.XLOOKUP(C2599,tblProducts[product_id],tblProducts[product_name],"Missing")</f>
        <v>CRM Essentials</v>
      </c>
      <c r="P2599" t="str">
        <f>_xlfn.XLOOKUP(C2599,tblProducts[product_id],tblProducts[category],"Missing")</f>
        <v>CRM</v>
      </c>
      <c r="Q2599" t="str">
        <f>_xlfn.XLOOKUP(D2599,tblSalesReps[rep_id],tblSalesReps[rep_name],"Missing")</f>
        <v>Sales Rep 09</v>
      </c>
      <c r="R2599" t="str">
        <f>_xlfn.XLOOKUP(D2599,tblSalesReps[rep_id],tblSalesReps[region],"Missing")</f>
        <v>North</v>
      </c>
    </row>
    <row r="2600" spans="1:18">
      <c r="A2600" t="s">
        <v>3143</v>
      </c>
      <c r="B2600" t="s">
        <v>656</v>
      </c>
      <c r="C2600" t="s">
        <v>62</v>
      </c>
      <c r="D2600" t="s">
        <v>32</v>
      </c>
      <c r="E2600" s="1">
        <v>45682</v>
      </c>
      <c r="F2600" s="1">
        <v>45712</v>
      </c>
      <c r="G2600" s="1">
        <v>45712</v>
      </c>
      <c r="H2600" t="s">
        <v>17</v>
      </c>
      <c r="I2600">
        <v>3</v>
      </c>
      <c r="J2600">
        <v>20</v>
      </c>
      <c r="K2600">
        <v>288000</v>
      </c>
      <c r="L2600">
        <v>0</v>
      </c>
      <c r="M2600" t="s">
        <v>82</v>
      </c>
      <c r="N2600" t="str">
        <f>_xlfn.XLOOKUP(B2600,tblCustomers[customer_id],tblCustomers[region],"Missing")</f>
        <v>South</v>
      </c>
      <c r="O2600" t="str">
        <f>_xlfn.XLOOKUP(C2600,tblProducts[product_id],tblProducts[product_name],"Missing")</f>
        <v>CRM Essentials</v>
      </c>
      <c r="P2600" t="str">
        <f>_xlfn.XLOOKUP(C2600,tblProducts[product_id],tblProducts[category],"Missing")</f>
        <v>CRM</v>
      </c>
      <c r="Q2600" t="str">
        <f>_xlfn.XLOOKUP(D2600,tblSalesReps[rep_id],tblSalesReps[rep_name],"Missing")</f>
        <v>Sales Rep 04</v>
      </c>
      <c r="R2600" t="str">
        <f>_xlfn.XLOOKUP(D2600,tblSalesReps[rep_id],tblSalesReps[region],"Missing")</f>
        <v>South</v>
      </c>
    </row>
    <row r="2601" spans="1:18">
      <c r="A2601" t="s">
        <v>3144</v>
      </c>
      <c r="B2601" t="s">
        <v>1686</v>
      </c>
      <c r="C2601" t="s">
        <v>39</v>
      </c>
      <c r="D2601" t="s">
        <v>70</v>
      </c>
      <c r="E2601" s="1">
        <v>45779</v>
      </c>
      <c r="F2601" s="1">
        <v>45797</v>
      </c>
      <c r="G2601" s="1">
        <v>45797</v>
      </c>
      <c r="H2601" t="s">
        <v>28</v>
      </c>
      <c r="I2601">
        <v>2</v>
      </c>
      <c r="J2601">
        <v>15</v>
      </c>
      <c r="K2601">
        <v>306000</v>
      </c>
      <c r="L2601">
        <v>100</v>
      </c>
      <c r="M2601" t="s">
        <v>29</v>
      </c>
      <c r="N2601" t="str">
        <f>_xlfn.XLOOKUP(B2601,tblCustomers[customer_id],tblCustomers[region],"Missing")</f>
        <v>West</v>
      </c>
      <c r="O2601" t="str">
        <f>_xlfn.XLOOKUP(C2601,tblProducts[product_id],tblProducts[product_name],"Missing")</f>
        <v>Support Desk</v>
      </c>
      <c r="P2601" t="str">
        <f>_xlfn.XLOOKUP(C2601,tblProducts[product_id],tblProducts[category],"Missing")</f>
        <v>Service</v>
      </c>
      <c r="Q2601" t="str">
        <f>_xlfn.XLOOKUP(D2601,tblSalesReps[rep_id],tblSalesReps[rep_name],"Missing")</f>
        <v>Sales Rep 11</v>
      </c>
      <c r="R2601" t="str">
        <f>_xlfn.XLOOKUP(D2601,tblSalesReps[rep_id],tblSalesReps[region],"Missing")</f>
        <v>West</v>
      </c>
    </row>
    <row r="2602" spans="1:18">
      <c r="A2602" t="s">
        <v>3145</v>
      </c>
      <c r="B2602" t="s">
        <v>1135</v>
      </c>
      <c r="C2602" t="s">
        <v>26</v>
      </c>
      <c r="D2602" t="s">
        <v>46</v>
      </c>
      <c r="E2602" s="1">
        <v>45800</v>
      </c>
      <c r="F2602" s="1">
        <v>45870</v>
      </c>
      <c r="G2602" s="1">
        <v>45870</v>
      </c>
      <c r="H2602" t="s">
        <v>28</v>
      </c>
      <c r="I2602">
        <v>1</v>
      </c>
      <c r="J2602">
        <v>5</v>
      </c>
      <c r="K2602">
        <v>342000</v>
      </c>
      <c r="L2602">
        <v>100</v>
      </c>
      <c r="M2602" t="s">
        <v>29</v>
      </c>
      <c r="N2602" t="str">
        <f>_xlfn.XLOOKUP(B2602,tblCustomers[customer_id],tblCustomers[region],"Missing")</f>
        <v>South</v>
      </c>
      <c r="O2602" t="str">
        <f>_xlfn.XLOOKUP(C2602,tblProducts[product_id],tblProducts[product_name],"Missing")</f>
        <v>Security Suite</v>
      </c>
      <c r="P2602" t="str">
        <f>_xlfn.XLOOKUP(C2602,tblProducts[product_id],tblProducts[category],"Missing")</f>
        <v>Security</v>
      </c>
      <c r="Q2602" t="str">
        <f>_xlfn.XLOOKUP(D2602,tblSalesReps[rep_id],tblSalesReps[rep_name],"Missing")</f>
        <v>Sales Rep 01</v>
      </c>
      <c r="R2602" t="str">
        <f>_xlfn.XLOOKUP(D2602,tblSalesReps[rep_id],tblSalesReps[region],"Missing")</f>
        <v>South</v>
      </c>
    </row>
    <row r="2603" spans="1:18">
      <c r="A2603" t="s">
        <v>3146</v>
      </c>
      <c r="B2603" t="s">
        <v>557</v>
      </c>
      <c r="C2603" t="s">
        <v>62</v>
      </c>
      <c r="D2603" t="s">
        <v>126</v>
      </c>
      <c r="E2603" s="1">
        <v>45956</v>
      </c>
      <c r="F2603" s="1">
        <v>46017</v>
      </c>
      <c r="G2603" s="1">
        <v>46017</v>
      </c>
      <c r="H2603" t="s">
        <v>28</v>
      </c>
      <c r="I2603">
        <v>2</v>
      </c>
      <c r="J2603">
        <v>10</v>
      </c>
      <c r="K2603">
        <v>216000</v>
      </c>
      <c r="L2603">
        <v>100</v>
      </c>
      <c r="M2603" t="s">
        <v>29</v>
      </c>
      <c r="N2603" t="str">
        <f>_xlfn.XLOOKUP(B2603,tblCustomers[customer_id],tblCustomers[region],"Missing")</f>
        <v>South</v>
      </c>
      <c r="O2603" t="str">
        <f>_xlfn.XLOOKUP(C2603,tblProducts[product_id],tblProducts[product_name],"Missing")</f>
        <v>CRM Essentials</v>
      </c>
      <c r="P2603" t="str">
        <f>_xlfn.XLOOKUP(C2603,tblProducts[product_id],tblProducts[category],"Missing")</f>
        <v>CRM</v>
      </c>
      <c r="Q2603" t="str">
        <f>_xlfn.XLOOKUP(D2603,tblSalesReps[rep_id],tblSalesReps[rep_name],"Missing")</f>
        <v>Sales Rep 02</v>
      </c>
      <c r="R2603" t="str">
        <f>_xlfn.XLOOKUP(D2603,tblSalesReps[rep_id],tblSalesReps[region],"Missing")</f>
        <v>South</v>
      </c>
    </row>
    <row r="2604" spans="1:18">
      <c r="A2604" t="s">
        <v>3147</v>
      </c>
      <c r="B2604" t="s">
        <v>468</v>
      </c>
      <c r="C2604" t="s">
        <v>39</v>
      </c>
      <c r="D2604" t="s">
        <v>78</v>
      </c>
      <c r="E2604" s="1">
        <v>45912</v>
      </c>
      <c r="F2604" s="1">
        <v>45932</v>
      </c>
      <c r="G2604" s="1">
        <v>45932</v>
      </c>
      <c r="H2604" t="s">
        <v>28</v>
      </c>
      <c r="I2604">
        <v>1</v>
      </c>
      <c r="J2604">
        <v>0</v>
      </c>
      <c r="K2604">
        <v>180000</v>
      </c>
      <c r="L2604">
        <v>100</v>
      </c>
      <c r="M2604" t="s">
        <v>29</v>
      </c>
      <c r="N2604" t="str">
        <f>_xlfn.XLOOKUP(B2604,tblCustomers[customer_id],tblCustomers[region],"Missing")</f>
        <v>West</v>
      </c>
      <c r="O2604" t="str">
        <f>_xlfn.XLOOKUP(C2604,tblProducts[product_id],tblProducts[product_name],"Missing")</f>
        <v>Support Desk</v>
      </c>
      <c r="P2604" t="str">
        <f>_xlfn.XLOOKUP(C2604,tblProducts[product_id],tblProducts[category],"Missing")</f>
        <v>Service</v>
      </c>
      <c r="Q2604" t="str">
        <f>_xlfn.XLOOKUP(D2604,tblSalesReps[rep_id],tblSalesReps[rep_name],"Missing")</f>
        <v>Sales Rep 12</v>
      </c>
      <c r="R2604" t="str">
        <f>_xlfn.XLOOKUP(D2604,tblSalesReps[rep_id],tblSalesReps[region],"Missing")</f>
        <v>West</v>
      </c>
    </row>
    <row r="2605" spans="1:18">
      <c r="A2605" t="s">
        <v>3148</v>
      </c>
      <c r="B2605" t="s">
        <v>479</v>
      </c>
      <c r="C2605" t="s">
        <v>62</v>
      </c>
      <c r="D2605" t="s">
        <v>168</v>
      </c>
      <c r="E2605" s="1">
        <v>45982</v>
      </c>
      <c r="F2605" s="1">
        <v>45989</v>
      </c>
      <c r="G2605" s="1">
        <v>45989</v>
      </c>
      <c r="H2605" t="s">
        <v>28</v>
      </c>
      <c r="I2605">
        <v>3</v>
      </c>
      <c r="J2605">
        <v>5</v>
      </c>
      <c r="K2605">
        <v>342000</v>
      </c>
      <c r="L2605">
        <v>100</v>
      </c>
      <c r="M2605" t="s">
        <v>29</v>
      </c>
      <c r="N2605" t="str">
        <f>_xlfn.XLOOKUP(B2605,tblCustomers[customer_id],tblCustomers[region],"Missing")</f>
        <v>East</v>
      </c>
      <c r="O2605" t="str">
        <f>_xlfn.XLOOKUP(C2605,tblProducts[product_id],tblProducts[product_name],"Missing")</f>
        <v>CRM Essentials</v>
      </c>
      <c r="P2605" t="str">
        <f>_xlfn.XLOOKUP(C2605,tblProducts[product_id],tblProducts[category],"Missing")</f>
        <v>CRM</v>
      </c>
      <c r="Q2605" t="str">
        <f>_xlfn.XLOOKUP(D2605,tblSalesReps[rep_id],tblSalesReps[rep_name],"Missing")</f>
        <v>Sales Rep 17</v>
      </c>
      <c r="R2605" t="str">
        <f>_xlfn.XLOOKUP(D2605,tblSalesReps[rep_id],tblSalesReps[region],"Missing")</f>
        <v>East</v>
      </c>
    </row>
    <row r="2606" spans="1:18">
      <c r="A2606" t="s">
        <v>3149</v>
      </c>
      <c r="B2606" t="s">
        <v>379</v>
      </c>
      <c r="C2606" t="s">
        <v>62</v>
      </c>
      <c r="D2606" t="s">
        <v>119</v>
      </c>
      <c r="E2606" s="1">
        <v>45667</v>
      </c>
      <c r="F2606" s="1">
        <v>45724</v>
      </c>
      <c r="G2606" s="1">
        <v>45724</v>
      </c>
      <c r="H2606" t="s">
        <v>17</v>
      </c>
      <c r="I2606">
        <v>1</v>
      </c>
      <c r="J2606">
        <v>10</v>
      </c>
      <c r="K2606">
        <v>108000</v>
      </c>
      <c r="L2606">
        <v>0</v>
      </c>
      <c r="M2606" t="s">
        <v>33</v>
      </c>
      <c r="N2606" t="str">
        <f>_xlfn.XLOOKUP(B2606,tblCustomers[customer_id],tblCustomers[region],"Missing")</f>
        <v>North</v>
      </c>
      <c r="O2606" t="str">
        <f>_xlfn.XLOOKUP(C2606,tblProducts[product_id],tblProducts[product_name],"Missing")</f>
        <v>CRM Essentials</v>
      </c>
      <c r="P2606" t="str">
        <f>_xlfn.XLOOKUP(C2606,tblProducts[product_id],tblProducts[category],"Missing")</f>
        <v>CRM</v>
      </c>
      <c r="Q2606" t="str">
        <f>_xlfn.XLOOKUP(D2606,tblSalesReps[rep_id],tblSalesReps[rep_name],"Missing")</f>
        <v>Sales Rep 10</v>
      </c>
      <c r="R2606" t="str">
        <f>_xlfn.XLOOKUP(D2606,tblSalesReps[rep_id],tblSalesReps[region],"Missing")</f>
        <v>North</v>
      </c>
    </row>
    <row r="2607" spans="1:18">
      <c r="A2607" t="s">
        <v>3150</v>
      </c>
      <c r="B2607" t="s">
        <v>789</v>
      </c>
      <c r="C2607" t="s">
        <v>81</v>
      </c>
      <c r="D2607" t="s">
        <v>126</v>
      </c>
      <c r="E2607" s="1">
        <v>45722</v>
      </c>
      <c r="F2607" s="1">
        <v>45788</v>
      </c>
      <c r="G2607" s="1">
        <v>45788</v>
      </c>
      <c r="H2607" t="s">
        <v>17</v>
      </c>
      <c r="I2607">
        <v>2</v>
      </c>
      <c r="J2607">
        <v>5</v>
      </c>
      <c r="K2607">
        <v>570000</v>
      </c>
      <c r="L2607">
        <v>0</v>
      </c>
      <c r="M2607" t="s">
        <v>23</v>
      </c>
      <c r="N2607" t="str">
        <f>_xlfn.XLOOKUP(B2607,tblCustomers[customer_id],tblCustomers[region],"Missing")</f>
        <v>South</v>
      </c>
      <c r="O2607" t="str">
        <f>_xlfn.XLOOKUP(C2607,tblProducts[product_id],tblProducts[product_name],"Missing")</f>
        <v>Analytics Cloud</v>
      </c>
      <c r="P2607" t="str">
        <f>_xlfn.XLOOKUP(C2607,tblProducts[product_id],tblProducts[category],"Missing")</f>
        <v>Analytics</v>
      </c>
      <c r="Q2607" t="str">
        <f>_xlfn.XLOOKUP(D2607,tblSalesReps[rep_id],tblSalesReps[rep_name],"Missing")</f>
        <v>Sales Rep 02</v>
      </c>
      <c r="R2607" t="str">
        <f>_xlfn.XLOOKUP(D2607,tblSalesReps[rep_id],tblSalesReps[region],"Missing")</f>
        <v>South</v>
      </c>
    </row>
    <row r="2608" spans="1:18">
      <c r="A2608" t="s">
        <v>3151</v>
      </c>
      <c r="B2608" t="s">
        <v>565</v>
      </c>
      <c r="C2608" t="s">
        <v>62</v>
      </c>
      <c r="D2608" t="s">
        <v>168</v>
      </c>
      <c r="E2608" s="1">
        <v>45925</v>
      </c>
      <c r="F2608" s="1">
        <v>45984</v>
      </c>
      <c r="G2608" s="1">
        <v>45984</v>
      </c>
      <c r="H2608" t="s">
        <v>17</v>
      </c>
      <c r="I2608">
        <v>1</v>
      </c>
      <c r="J2608">
        <v>10</v>
      </c>
      <c r="K2608">
        <v>108000</v>
      </c>
      <c r="L2608">
        <v>0</v>
      </c>
      <c r="M2608" t="s">
        <v>23</v>
      </c>
      <c r="N2608" t="str">
        <f>_xlfn.XLOOKUP(B2608,tblCustomers[customer_id],tblCustomers[region],"Missing")</f>
        <v>East</v>
      </c>
      <c r="O2608" t="str">
        <f>_xlfn.XLOOKUP(C2608,tblProducts[product_id],tblProducts[product_name],"Missing")</f>
        <v>CRM Essentials</v>
      </c>
      <c r="P2608" t="str">
        <f>_xlfn.XLOOKUP(C2608,tblProducts[product_id],tblProducts[category],"Missing")</f>
        <v>CRM</v>
      </c>
      <c r="Q2608" t="str">
        <f>_xlfn.XLOOKUP(D2608,tblSalesReps[rep_id],tblSalesReps[rep_name],"Missing")</f>
        <v>Sales Rep 17</v>
      </c>
      <c r="R2608" t="str">
        <f>_xlfn.XLOOKUP(D2608,tblSalesReps[rep_id],tblSalesReps[region],"Missing")</f>
        <v>East</v>
      </c>
    </row>
    <row r="2609" spans="1:18">
      <c r="A2609" t="s">
        <v>3152</v>
      </c>
      <c r="B2609" t="s">
        <v>489</v>
      </c>
      <c r="C2609" t="s">
        <v>39</v>
      </c>
      <c r="D2609" t="s">
        <v>22</v>
      </c>
      <c r="E2609" s="1">
        <v>45798</v>
      </c>
      <c r="F2609" s="1">
        <v>45882</v>
      </c>
      <c r="G2609" s="1">
        <v>45882</v>
      </c>
      <c r="H2609" t="s">
        <v>17</v>
      </c>
      <c r="I2609">
        <v>1</v>
      </c>
      <c r="J2609">
        <v>20</v>
      </c>
      <c r="K2609">
        <v>144000</v>
      </c>
      <c r="L2609">
        <v>0</v>
      </c>
      <c r="M2609" t="s">
        <v>47</v>
      </c>
      <c r="N2609" t="str">
        <f>_xlfn.XLOOKUP(B2609,tblCustomers[customer_id],tblCustomers[region],"Missing")</f>
        <v>West</v>
      </c>
      <c r="O2609" t="str">
        <f>_xlfn.XLOOKUP(C2609,tblProducts[product_id],tblProducts[product_name],"Missing")</f>
        <v>Support Desk</v>
      </c>
      <c r="P2609" t="str">
        <f>_xlfn.XLOOKUP(C2609,tblProducts[product_id],tblProducts[category],"Missing")</f>
        <v>Service</v>
      </c>
      <c r="Q2609" t="str">
        <f>_xlfn.XLOOKUP(D2609,tblSalesReps[rep_id],tblSalesReps[rep_name],"Missing")</f>
        <v>Sales Rep 14</v>
      </c>
      <c r="R2609" t="str">
        <f>_xlfn.XLOOKUP(D2609,tblSalesReps[rep_id],tblSalesReps[region],"Missing")</f>
        <v>West</v>
      </c>
    </row>
    <row r="2610" spans="1:18">
      <c r="A2610" t="s">
        <v>3153</v>
      </c>
      <c r="B2610" t="s">
        <v>1386</v>
      </c>
      <c r="C2610" t="s">
        <v>15</v>
      </c>
      <c r="D2610" t="s">
        <v>78</v>
      </c>
      <c r="E2610" s="1">
        <v>46000</v>
      </c>
      <c r="F2610" s="1">
        <v>46063</v>
      </c>
      <c r="G2610" s="1"/>
      <c r="H2610" t="s">
        <v>43</v>
      </c>
      <c r="I2610">
        <v>1</v>
      </c>
      <c r="J2610">
        <v>15</v>
      </c>
      <c r="K2610">
        <v>357000</v>
      </c>
      <c r="L2610">
        <v>20</v>
      </c>
      <c r="M2610" t="s">
        <v>29</v>
      </c>
      <c r="N2610" t="str">
        <f>_xlfn.XLOOKUP(B2610,tblCustomers[customer_id],tblCustomers[region],"Missing")</f>
        <v>West</v>
      </c>
      <c r="O2610" t="str">
        <f>_xlfn.XLOOKUP(C2610,tblProducts[product_id],tblProducts[product_name],"Missing")</f>
        <v>CRM Enterprise</v>
      </c>
      <c r="P2610" t="str">
        <f>_xlfn.XLOOKUP(C2610,tblProducts[product_id],tblProducts[category],"Missing")</f>
        <v>CRM</v>
      </c>
      <c r="Q2610" t="str">
        <f>_xlfn.XLOOKUP(D2610,tblSalesReps[rep_id],tblSalesReps[rep_name],"Missing")</f>
        <v>Sales Rep 12</v>
      </c>
      <c r="R2610" t="str">
        <f>_xlfn.XLOOKUP(D2610,tblSalesReps[rep_id],tblSalesReps[region],"Missing")</f>
        <v>West</v>
      </c>
    </row>
    <row r="2611" spans="1:18">
      <c r="A2611" t="s">
        <v>3154</v>
      </c>
      <c r="B2611" t="s">
        <v>1742</v>
      </c>
      <c r="C2611" t="s">
        <v>39</v>
      </c>
      <c r="D2611" t="s">
        <v>152</v>
      </c>
      <c r="E2611" s="1">
        <v>45884</v>
      </c>
      <c r="F2611" s="1">
        <v>45918</v>
      </c>
      <c r="G2611" s="1">
        <v>45918</v>
      </c>
      <c r="H2611" t="s">
        <v>17</v>
      </c>
      <c r="I2611">
        <v>1</v>
      </c>
      <c r="J2611">
        <v>20</v>
      </c>
      <c r="K2611">
        <v>144000</v>
      </c>
      <c r="L2611">
        <v>0</v>
      </c>
      <c r="M2611" t="s">
        <v>18</v>
      </c>
      <c r="N2611" t="str">
        <f>_xlfn.XLOOKUP(B2611,tblCustomers[customer_id],tblCustomers[region],"Missing")</f>
        <v>East</v>
      </c>
      <c r="O2611" t="str">
        <f>_xlfn.XLOOKUP(C2611,tblProducts[product_id],tblProducts[product_name],"Missing")</f>
        <v>Support Desk</v>
      </c>
      <c r="P2611" t="str">
        <f>_xlfn.XLOOKUP(C2611,tblProducts[product_id],tblProducts[category],"Missing")</f>
        <v>Service</v>
      </c>
      <c r="Q2611" t="str">
        <f>_xlfn.XLOOKUP(D2611,tblSalesReps[rep_id],tblSalesReps[rep_name],"Missing")</f>
        <v>Sales Rep 18</v>
      </c>
      <c r="R2611" t="str">
        <f>_xlfn.XLOOKUP(D2611,tblSalesReps[rep_id],tblSalesReps[region],"Missing")</f>
        <v>East</v>
      </c>
    </row>
    <row r="2612" spans="1:18">
      <c r="A2612" t="s">
        <v>3155</v>
      </c>
      <c r="B2612" t="s">
        <v>206</v>
      </c>
      <c r="C2612" t="s">
        <v>15</v>
      </c>
      <c r="D2612" t="s">
        <v>16</v>
      </c>
      <c r="E2612" s="1">
        <v>45862</v>
      </c>
      <c r="F2612" s="1">
        <v>45879</v>
      </c>
      <c r="G2612" s="1">
        <v>45879</v>
      </c>
      <c r="H2612" t="s">
        <v>17</v>
      </c>
      <c r="I2612">
        <v>1</v>
      </c>
      <c r="J2612">
        <v>0</v>
      </c>
      <c r="K2612">
        <v>420000</v>
      </c>
      <c r="L2612">
        <v>0</v>
      </c>
      <c r="M2612" t="s">
        <v>23</v>
      </c>
      <c r="N2612" t="str">
        <f>_xlfn.XLOOKUP(B2612,tblCustomers[customer_id],tblCustomers[region],"Missing")</f>
        <v>North</v>
      </c>
      <c r="O2612" t="str">
        <f>_xlfn.XLOOKUP(C2612,tblProducts[product_id],tblProducts[product_name],"Missing")</f>
        <v>CRM Enterprise</v>
      </c>
      <c r="P2612" t="str">
        <f>_xlfn.XLOOKUP(C2612,tblProducts[product_id],tblProducts[category],"Missing")</f>
        <v>CRM</v>
      </c>
      <c r="Q2612" t="str">
        <f>_xlfn.XLOOKUP(D2612,tblSalesReps[rep_id],tblSalesReps[rep_name],"Missing")</f>
        <v>Sales Rep 08</v>
      </c>
      <c r="R2612" t="str">
        <f>_xlfn.XLOOKUP(D2612,tblSalesReps[rep_id],tblSalesReps[region],"Missing")</f>
        <v>North</v>
      </c>
    </row>
    <row r="2613" spans="1:18">
      <c r="A2613" t="s">
        <v>3156</v>
      </c>
      <c r="B2613" t="s">
        <v>761</v>
      </c>
      <c r="C2613" t="s">
        <v>39</v>
      </c>
      <c r="D2613" t="s">
        <v>126</v>
      </c>
      <c r="E2613" s="1">
        <v>46019</v>
      </c>
      <c r="F2613" s="1">
        <v>46073</v>
      </c>
      <c r="G2613" s="1"/>
      <c r="H2613" t="s">
        <v>43</v>
      </c>
      <c r="I2613">
        <v>2</v>
      </c>
      <c r="J2613">
        <v>10</v>
      </c>
      <c r="K2613">
        <v>324000</v>
      </c>
      <c r="L2613">
        <v>40</v>
      </c>
      <c r="M2613" t="s">
        <v>29</v>
      </c>
      <c r="N2613" t="str">
        <f>_xlfn.XLOOKUP(B2613,tblCustomers[customer_id],tblCustomers[region],"Missing")</f>
        <v>South</v>
      </c>
      <c r="O2613" t="str">
        <f>_xlfn.XLOOKUP(C2613,tblProducts[product_id],tblProducts[product_name],"Missing")</f>
        <v>Support Desk</v>
      </c>
      <c r="P2613" t="str">
        <f>_xlfn.XLOOKUP(C2613,tblProducts[product_id],tblProducts[category],"Missing")</f>
        <v>Service</v>
      </c>
      <c r="Q2613" t="str">
        <f>_xlfn.XLOOKUP(D2613,tblSalesReps[rep_id],tblSalesReps[rep_name],"Missing")</f>
        <v>Sales Rep 02</v>
      </c>
      <c r="R2613" t="str">
        <f>_xlfn.XLOOKUP(D2613,tblSalesReps[rep_id],tblSalesReps[region],"Missing")</f>
        <v>South</v>
      </c>
    </row>
    <row r="2614" spans="1:18">
      <c r="A2614" t="s">
        <v>3157</v>
      </c>
      <c r="B2614" t="s">
        <v>345</v>
      </c>
      <c r="C2614" t="s">
        <v>15</v>
      </c>
      <c r="D2614" t="s">
        <v>50</v>
      </c>
      <c r="E2614" s="1">
        <v>45939</v>
      </c>
      <c r="F2614" s="1">
        <v>46013</v>
      </c>
      <c r="G2614" s="1">
        <v>46013</v>
      </c>
      <c r="H2614" t="s">
        <v>17</v>
      </c>
      <c r="I2614">
        <v>1</v>
      </c>
      <c r="J2614">
        <v>10</v>
      </c>
      <c r="K2614">
        <v>378000</v>
      </c>
      <c r="L2614">
        <v>0</v>
      </c>
      <c r="M2614" t="s">
        <v>82</v>
      </c>
      <c r="N2614" t="str">
        <f>_xlfn.XLOOKUP(B2614,tblCustomers[customer_id],tblCustomers[region],"Missing")</f>
        <v>West</v>
      </c>
      <c r="O2614" t="str">
        <f>_xlfn.XLOOKUP(C2614,tblProducts[product_id],tblProducts[product_name],"Missing")</f>
        <v>CRM Enterprise</v>
      </c>
      <c r="P2614" t="str">
        <f>_xlfn.XLOOKUP(C2614,tblProducts[product_id],tblProducts[category],"Missing")</f>
        <v>CRM</v>
      </c>
      <c r="Q2614" t="str">
        <f>_xlfn.XLOOKUP(D2614,tblSalesReps[rep_id],tblSalesReps[rep_name],"Missing")</f>
        <v>Sales Rep 15</v>
      </c>
      <c r="R2614" t="str">
        <f>_xlfn.XLOOKUP(D2614,tblSalesReps[rep_id],tblSalesReps[region],"Missing")</f>
        <v>West</v>
      </c>
    </row>
    <row r="2615" spans="1:18">
      <c r="A2615" t="s">
        <v>3158</v>
      </c>
      <c r="B2615" t="s">
        <v>630</v>
      </c>
      <c r="C2615" t="s">
        <v>62</v>
      </c>
      <c r="D2615" t="s">
        <v>126</v>
      </c>
      <c r="E2615" s="1">
        <v>45967</v>
      </c>
      <c r="F2615" s="1">
        <v>46016</v>
      </c>
      <c r="G2615" s="1">
        <v>46016</v>
      </c>
      <c r="H2615" t="s">
        <v>17</v>
      </c>
      <c r="I2615">
        <v>1</v>
      </c>
      <c r="J2615">
        <v>5</v>
      </c>
      <c r="K2615">
        <v>114000</v>
      </c>
      <c r="L2615">
        <v>0</v>
      </c>
      <c r="M2615" t="s">
        <v>23</v>
      </c>
      <c r="N2615" t="str">
        <f>_xlfn.XLOOKUP(B2615,tblCustomers[customer_id],tblCustomers[region],"Missing")</f>
        <v>South</v>
      </c>
      <c r="O2615" t="str">
        <f>_xlfn.XLOOKUP(C2615,tblProducts[product_id],tblProducts[product_name],"Missing")</f>
        <v>CRM Essentials</v>
      </c>
      <c r="P2615" t="str">
        <f>_xlfn.XLOOKUP(C2615,tblProducts[product_id],tblProducts[category],"Missing")</f>
        <v>CRM</v>
      </c>
      <c r="Q2615" t="str">
        <f>_xlfn.XLOOKUP(D2615,tblSalesReps[rep_id],tblSalesReps[rep_name],"Missing")</f>
        <v>Sales Rep 02</v>
      </c>
      <c r="R2615" t="str">
        <f>_xlfn.XLOOKUP(D2615,tblSalesReps[rep_id],tblSalesReps[region],"Missing")</f>
        <v>South</v>
      </c>
    </row>
    <row r="2616" spans="1:18">
      <c r="A2616" t="s">
        <v>3159</v>
      </c>
      <c r="B2616" t="s">
        <v>1869</v>
      </c>
      <c r="C2616" t="s">
        <v>26</v>
      </c>
      <c r="D2616" t="s">
        <v>32</v>
      </c>
      <c r="E2616" s="1">
        <v>45922</v>
      </c>
      <c r="F2616" s="1">
        <v>45931</v>
      </c>
      <c r="G2616" s="1">
        <v>45931</v>
      </c>
      <c r="H2616" t="s">
        <v>17</v>
      </c>
      <c r="I2616">
        <v>1</v>
      </c>
      <c r="J2616">
        <v>10</v>
      </c>
      <c r="K2616">
        <v>324000</v>
      </c>
      <c r="L2616">
        <v>0</v>
      </c>
      <c r="M2616" t="s">
        <v>33</v>
      </c>
      <c r="N2616" t="str">
        <f>_xlfn.XLOOKUP(B2616,tblCustomers[customer_id],tblCustomers[region],"Missing")</f>
        <v>South</v>
      </c>
      <c r="O2616" t="str">
        <f>_xlfn.XLOOKUP(C2616,tblProducts[product_id],tblProducts[product_name],"Missing")</f>
        <v>Security Suite</v>
      </c>
      <c r="P2616" t="str">
        <f>_xlfn.XLOOKUP(C2616,tblProducts[product_id],tblProducts[category],"Missing")</f>
        <v>Security</v>
      </c>
      <c r="Q2616" t="str">
        <f>_xlfn.XLOOKUP(D2616,tblSalesReps[rep_id],tblSalesReps[rep_name],"Missing")</f>
        <v>Sales Rep 04</v>
      </c>
      <c r="R2616" t="str">
        <f>_xlfn.XLOOKUP(D2616,tblSalesReps[rep_id],tblSalesReps[region],"Missing")</f>
        <v>South</v>
      </c>
    </row>
    <row r="2617" spans="1:18">
      <c r="A2617" t="s">
        <v>3160</v>
      </c>
      <c r="B2617" t="s">
        <v>2699</v>
      </c>
      <c r="C2617" t="s">
        <v>26</v>
      </c>
      <c r="D2617" t="s">
        <v>91</v>
      </c>
      <c r="E2617" s="1">
        <v>45835</v>
      </c>
      <c r="F2617" s="1">
        <v>45853</v>
      </c>
      <c r="G2617" s="1">
        <v>45853</v>
      </c>
      <c r="H2617" t="s">
        <v>28</v>
      </c>
      <c r="I2617">
        <v>3</v>
      </c>
      <c r="J2617">
        <v>5</v>
      </c>
      <c r="K2617">
        <v>1026000</v>
      </c>
      <c r="L2617">
        <v>100</v>
      </c>
      <c r="M2617" t="s">
        <v>29</v>
      </c>
      <c r="N2617" t="str">
        <f>_xlfn.XLOOKUP(B2617,tblCustomers[customer_id],tblCustomers[region],"Missing")</f>
        <v>South</v>
      </c>
      <c r="O2617" t="str">
        <f>_xlfn.XLOOKUP(C2617,tblProducts[product_id],tblProducts[product_name],"Missing")</f>
        <v>Security Suite</v>
      </c>
      <c r="P2617" t="str">
        <f>_xlfn.XLOOKUP(C2617,tblProducts[product_id],tblProducts[category],"Missing")</f>
        <v>Security</v>
      </c>
      <c r="Q2617" t="str">
        <f>_xlfn.XLOOKUP(D2617,tblSalesReps[rep_id],tblSalesReps[rep_name],"Missing")</f>
        <v>Sales Rep 03</v>
      </c>
      <c r="R2617" t="str">
        <f>_xlfn.XLOOKUP(D2617,tblSalesReps[rep_id],tblSalesReps[region],"Missing")</f>
        <v>South</v>
      </c>
    </row>
    <row r="2618" spans="1:18">
      <c r="A2618" t="s">
        <v>3161</v>
      </c>
      <c r="B2618" t="s">
        <v>581</v>
      </c>
      <c r="C2618" t="s">
        <v>15</v>
      </c>
      <c r="D2618" t="s">
        <v>50</v>
      </c>
      <c r="E2618" s="1">
        <v>45840</v>
      </c>
      <c r="F2618" s="1">
        <v>45854</v>
      </c>
      <c r="G2618" s="1"/>
      <c r="H2618" t="s">
        <v>43</v>
      </c>
      <c r="I2618">
        <v>1</v>
      </c>
      <c r="J2618">
        <v>15</v>
      </c>
      <c r="K2618">
        <v>357000</v>
      </c>
      <c r="L2618">
        <v>80</v>
      </c>
      <c r="M2618" t="s">
        <v>29</v>
      </c>
      <c r="N2618" t="str">
        <f>_xlfn.XLOOKUP(B2618,tblCustomers[customer_id],tblCustomers[region],"Missing")</f>
        <v>West</v>
      </c>
      <c r="O2618" t="str">
        <f>_xlfn.XLOOKUP(C2618,tblProducts[product_id],tblProducts[product_name],"Missing")</f>
        <v>CRM Enterprise</v>
      </c>
      <c r="P2618" t="str">
        <f>_xlfn.XLOOKUP(C2618,tblProducts[product_id],tblProducts[category],"Missing")</f>
        <v>CRM</v>
      </c>
      <c r="Q2618" t="str">
        <f>_xlfn.XLOOKUP(D2618,tblSalesReps[rep_id],tblSalesReps[rep_name],"Missing")</f>
        <v>Sales Rep 15</v>
      </c>
      <c r="R2618" t="str">
        <f>_xlfn.XLOOKUP(D2618,tblSalesReps[rep_id],tblSalesReps[region],"Missing")</f>
        <v>West</v>
      </c>
    </row>
    <row r="2619" spans="1:18">
      <c r="A2619" t="s">
        <v>3162</v>
      </c>
      <c r="B2619" t="s">
        <v>423</v>
      </c>
      <c r="C2619" t="s">
        <v>81</v>
      </c>
      <c r="D2619" t="s">
        <v>78</v>
      </c>
      <c r="E2619" s="1">
        <v>45769</v>
      </c>
      <c r="F2619" s="1">
        <v>45784</v>
      </c>
      <c r="G2619" s="1"/>
      <c r="H2619" t="s">
        <v>43</v>
      </c>
      <c r="I2619">
        <v>1</v>
      </c>
      <c r="J2619">
        <v>5</v>
      </c>
      <c r="K2619">
        <v>285000</v>
      </c>
      <c r="L2619">
        <v>60</v>
      </c>
      <c r="M2619" t="s">
        <v>29</v>
      </c>
      <c r="N2619" t="str">
        <f>_xlfn.XLOOKUP(B2619,tblCustomers[customer_id],tblCustomers[region],"Missing")</f>
        <v>West</v>
      </c>
      <c r="O2619" t="str">
        <f>_xlfn.XLOOKUP(C2619,tblProducts[product_id],tblProducts[product_name],"Missing")</f>
        <v>Analytics Cloud</v>
      </c>
      <c r="P2619" t="str">
        <f>_xlfn.XLOOKUP(C2619,tblProducts[product_id],tblProducts[category],"Missing")</f>
        <v>Analytics</v>
      </c>
      <c r="Q2619" t="str">
        <f>_xlfn.XLOOKUP(D2619,tblSalesReps[rep_id],tblSalesReps[rep_name],"Missing")</f>
        <v>Sales Rep 12</v>
      </c>
      <c r="R2619" t="str">
        <f>_xlfn.XLOOKUP(D2619,tblSalesReps[rep_id],tblSalesReps[region],"Missing")</f>
        <v>West</v>
      </c>
    </row>
    <row r="2620" spans="1:18">
      <c r="A2620" t="s">
        <v>3163</v>
      </c>
      <c r="B2620" t="s">
        <v>213</v>
      </c>
      <c r="C2620" t="s">
        <v>26</v>
      </c>
      <c r="D2620" t="s">
        <v>78</v>
      </c>
      <c r="E2620" s="1">
        <v>46016</v>
      </c>
      <c r="F2620" s="1">
        <v>46053</v>
      </c>
      <c r="G2620" s="1"/>
      <c r="H2620" t="s">
        <v>43</v>
      </c>
      <c r="I2620">
        <v>2</v>
      </c>
      <c r="J2620">
        <v>10</v>
      </c>
      <c r="K2620">
        <v>648000</v>
      </c>
      <c r="L2620">
        <v>60</v>
      </c>
      <c r="M2620" t="s">
        <v>29</v>
      </c>
      <c r="N2620" t="str">
        <f>_xlfn.XLOOKUP(B2620,tblCustomers[customer_id],tblCustomers[region],"Missing")</f>
        <v>West</v>
      </c>
      <c r="O2620" t="str">
        <f>_xlfn.XLOOKUP(C2620,tblProducts[product_id],tblProducts[product_name],"Missing")</f>
        <v>Security Suite</v>
      </c>
      <c r="P2620" t="str">
        <f>_xlfn.XLOOKUP(C2620,tblProducts[product_id],tblProducts[category],"Missing")</f>
        <v>Security</v>
      </c>
      <c r="Q2620" t="str">
        <f>_xlfn.XLOOKUP(D2620,tblSalesReps[rep_id],tblSalesReps[rep_name],"Missing")</f>
        <v>Sales Rep 12</v>
      </c>
      <c r="R2620" t="str">
        <f>_xlfn.XLOOKUP(D2620,tblSalesReps[rep_id],tblSalesReps[region],"Missing")</f>
        <v>West</v>
      </c>
    </row>
    <row r="2621" spans="1:18">
      <c r="A2621" t="s">
        <v>3164</v>
      </c>
      <c r="B2621" t="s">
        <v>775</v>
      </c>
      <c r="C2621" t="s">
        <v>26</v>
      </c>
      <c r="D2621" t="s">
        <v>22</v>
      </c>
      <c r="E2621" s="1">
        <v>45900</v>
      </c>
      <c r="F2621" s="1">
        <v>45956</v>
      </c>
      <c r="G2621" s="1">
        <v>45956</v>
      </c>
      <c r="H2621" t="s">
        <v>28</v>
      </c>
      <c r="I2621">
        <v>1</v>
      </c>
      <c r="J2621">
        <v>10</v>
      </c>
      <c r="K2621">
        <v>324000</v>
      </c>
      <c r="L2621">
        <v>100</v>
      </c>
      <c r="M2621" t="s">
        <v>29</v>
      </c>
      <c r="N2621" t="str">
        <f>_xlfn.XLOOKUP(B2621,tblCustomers[customer_id],tblCustomers[region],"Missing")</f>
        <v>West</v>
      </c>
      <c r="O2621" t="str">
        <f>_xlfn.XLOOKUP(C2621,tblProducts[product_id],tblProducts[product_name],"Missing")</f>
        <v>Security Suite</v>
      </c>
      <c r="P2621" t="str">
        <f>_xlfn.XLOOKUP(C2621,tblProducts[product_id],tblProducts[category],"Missing")</f>
        <v>Security</v>
      </c>
      <c r="Q2621" t="str">
        <f>_xlfn.XLOOKUP(D2621,tblSalesReps[rep_id],tblSalesReps[rep_name],"Missing")</f>
        <v>Sales Rep 14</v>
      </c>
      <c r="R2621" t="str">
        <f>_xlfn.XLOOKUP(D2621,tblSalesReps[rep_id],tblSalesReps[region],"Missing")</f>
        <v>West</v>
      </c>
    </row>
    <row r="2622" spans="1:18">
      <c r="A2622" t="s">
        <v>3165</v>
      </c>
      <c r="B2622" t="s">
        <v>276</v>
      </c>
      <c r="C2622" t="s">
        <v>21</v>
      </c>
      <c r="D2622" t="s">
        <v>46</v>
      </c>
      <c r="E2622" s="1">
        <v>45688</v>
      </c>
      <c r="F2622" s="1">
        <v>45770</v>
      </c>
      <c r="G2622" s="1">
        <v>45770</v>
      </c>
      <c r="H2622" t="s">
        <v>28</v>
      </c>
      <c r="I2622">
        <v>1</v>
      </c>
      <c r="J2622">
        <v>10</v>
      </c>
      <c r="K2622">
        <v>216000</v>
      </c>
      <c r="L2622">
        <v>100</v>
      </c>
      <c r="M2622" t="s">
        <v>29</v>
      </c>
      <c r="N2622" t="str">
        <f>_xlfn.XLOOKUP(B2622,tblCustomers[customer_id],tblCustomers[region],"Missing")</f>
        <v>South</v>
      </c>
      <c r="O2622" t="str">
        <f>_xlfn.XLOOKUP(C2622,tblProducts[product_id],tblProducts[product_name],"Missing")</f>
        <v>Workflow Automate</v>
      </c>
      <c r="P2622" t="str">
        <f>_xlfn.XLOOKUP(C2622,tblProducts[product_id],tblProducts[category],"Missing")</f>
        <v>Automation</v>
      </c>
      <c r="Q2622" t="str">
        <f>_xlfn.XLOOKUP(D2622,tblSalesReps[rep_id],tblSalesReps[rep_name],"Missing")</f>
        <v>Sales Rep 01</v>
      </c>
      <c r="R2622" t="str">
        <f>_xlfn.XLOOKUP(D2622,tblSalesReps[rep_id],tblSalesReps[region],"Missing")</f>
        <v>South</v>
      </c>
    </row>
    <row r="2623" spans="1:18">
      <c r="A2623" t="s">
        <v>3166</v>
      </c>
      <c r="B2623" t="s">
        <v>170</v>
      </c>
      <c r="C2623" t="s">
        <v>39</v>
      </c>
      <c r="D2623" t="s">
        <v>59</v>
      </c>
      <c r="E2623" s="1">
        <v>45902</v>
      </c>
      <c r="F2623" s="1">
        <v>45951</v>
      </c>
      <c r="G2623" s="1">
        <v>45951</v>
      </c>
      <c r="H2623" t="s">
        <v>17</v>
      </c>
      <c r="I2623">
        <v>1</v>
      </c>
      <c r="J2623">
        <v>0</v>
      </c>
      <c r="K2623">
        <v>180000</v>
      </c>
      <c r="L2623">
        <v>0</v>
      </c>
      <c r="M2623" t="s">
        <v>47</v>
      </c>
      <c r="N2623" t="str">
        <f>_xlfn.XLOOKUP(B2623,tblCustomers[customer_id],tblCustomers[region],"Missing")</f>
        <v>East</v>
      </c>
      <c r="O2623" t="str">
        <f>_xlfn.XLOOKUP(C2623,tblProducts[product_id],tblProducts[product_name],"Missing")</f>
        <v>Support Desk</v>
      </c>
      <c r="P2623" t="str">
        <f>_xlfn.XLOOKUP(C2623,tblProducts[product_id],tblProducts[category],"Missing")</f>
        <v>Service</v>
      </c>
      <c r="Q2623" t="str">
        <f>_xlfn.XLOOKUP(D2623,tblSalesReps[rep_id],tblSalesReps[rep_name],"Missing")</f>
        <v>Sales Rep 19</v>
      </c>
      <c r="R2623" t="str">
        <f>_xlfn.XLOOKUP(D2623,tblSalesReps[rep_id],tblSalesReps[region],"Missing")</f>
        <v>East</v>
      </c>
    </row>
    <row r="2624" spans="1:18">
      <c r="A2624" t="s">
        <v>3167</v>
      </c>
      <c r="B2624" t="s">
        <v>121</v>
      </c>
      <c r="C2624" t="s">
        <v>15</v>
      </c>
      <c r="D2624" t="s">
        <v>32</v>
      </c>
      <c r="E2624" s="1">
        <v>45840</v>
      </c>
      <c r="F2624" s="1">
        <v>45902</v>
      </c>
      <c r="G2624" s="1"/>
      <c r="H2624" t="s">
        <v>43</v>
      </c>
      <c r="I2624">
        <v>1</v>
      </c>
      <c r="J2624">
        <v>5</v>
      </c>
      <c r="K2624">
        <v>399000</v>
      </c>
      <c r="L2624">
        <v>40</v>
      </c>
      <c r="M2624" t="s">
        <v>29</v>
      </c>
      <c r="N2624" t="str">
        <f>_xlfn.XLOOKUP(B2624,tblCustomers[customer_id],tblCustomers[region],"Missing")</f>
        <v>South</v>
      </c>
      <c r="O2624" t="str">
        <f>_xlfn.XLOOKUP(C2624,tblProducts[product_id],tblProducts[product_name],"Missing")</f>
        <v>CRM Enterprise</v>
      </c>
      <c r="P2624" t="str">
        <f>_xlfn.XLOOKUP(C2624,tblProducts[product_id],tblProducts[category],"Missing")</f>
        <v>CRM</v>
      </c>
      <c r="Q2624" t="str">
        <f>_xlfn.XLOOKUP(D2624,tblSalesReps[rep_id],tblSalesReps[rep_name],"Missing")</f>
        <v>Sales Rep 04</v>
      </c>
      <c r="R2624" t="str">
        <f>_xlfn.XLOOKUP(D2624,tblSalesReps[rep_id],tblSalesReps[region],"Missing")</f>
        <v>South</v>
      </c>
    </row>
    <row r="2625" spans="1:18">
      <c r="A2625" t="s">
        <v>3168</v>
      </c>
      <c r="B2625" t="s">
        <v>238</v>
      </c>
      <c r="C2625" t="s">
        <v>39</v>
      </c>
      <c r="D2625" t="s">
        <v>50</v>
      </c>
      <c r="E2625" s="1">
        <v>45784</v>
      </c>
      <c r="F2625" s="1">
        <v>45837</v>
      </c>
      <c r="G2625" s="1">
        <v>45837</v>
      </c>
      <c r="H2625" t="s">
        <v>17</v>
      </c>
      <c r="I2625">
        <v>3</v>
      </c>
      <c r="J2625">
        <v>10</v>
      </c>
      <c r="K2625">
        <v>486000</v>
      </c>
      <c r="L2625">
        <v>0</v>
      </c>
      <c r="M2625" t="s">
        <v>47</v>
      </c>
      <c r="N2625" t="str">
        <f>_xlfn.XLOOKUP(B2625,tblCustomers[customer_id],tblCustomers[region],"Missing")</f>
        <v>West</v>
      </c>
      <c r="O2625" t="str">
        <f>_xlfn.XLOOKUP(C2625,tblProducts[product_id],tblProducts[product_name],"Missing")</f>
        <v>Support Desk</v>
      </c>
      <c r="P2625" t="str">
        <f>_xlfn.XLOOKUP(C2625,tblProducts[product_id],tblProducts[category],"Missing")</f>
        <v>Service</v>
      </c>
      <c r="Q2625" t="str">
        <f>_xlfn.XLOOKUP(D2625,tblSalesReps[rep_id],tblSalesReps[rep_name],"Missing")</f>
        <v>Sales Rep 15</v>
      </c>
      <c r="R2625" t="str">
        <f>_xlfn.XLOOKUP(D2625,tblSalesReps[rep_id],tblSalesReps[region],"Missing")</f>
        <v>West</v>
      </c>
    </row>
    <row r="2626" spans="1:18">
      <c r="A2626" t="s">
        <v>3169</v>
      </c>
      <c r="B2626" t="s">
        <v>551</v>
      </c>
      <c r="C2626" t="s">
        <v>81</v>
      </c>
      <c r="D2626" t="s">
        <v>152</v>
      </c>
      <c r="E2626" s="1">
        <v>45916</v>
      </c>
      <c r="F2626" s="1">
        <v>45948</v>
      </c>
      <c r="G2626" s="1"/>
      <c r="H2626" t="s">
        <v>43</v>
      </c>
      <c r="I2626">
        <v>3</v>
      </c>
      <c r="J2626">
        <v>0</v>
      </c>
      <c r="K2626">
        <v>900000</v>
      </c>
      <c r="L2626">
        <v>20</v>
      </c>
      <c r="M2626" t="s">
        <v>29</v>
      </c>
      <c r="N2626" t="str">
        <f>_xlfn.XLOOKUP(B2626,tblCustomers[customer_id],tblCustomers[region],"Missing")</f>
        <v>East</v>
      </c>
      <c r="O2626" t="str">
        <f>_xlfn.XLOOKUP(C2626,tblProducts[product_id],tblProducts[product_name],"Missing")</f>
        <v>Analytics Cloud</v>
      </c>
      <c r="P2626" t="str">
        <f>_xlfn.XLOOKUP(C2626,tblProducts[product_id],tblProducts[category],"Missing")</f>
        <v>Analytics</v>
      </c>
      <c r="Q2626" t="str">
        <f>_xlfn.XLOOKUP(D2626,tblSalesReps[rep_id],tblSalesReps[rep_name],"Missing")</f>
        <v>Sales Rep 18</v>
      </c>
      <c r="R2626" t="str">
        <f>_xlfn.XLOOKUP(D2626,tblSalesReps[rep_id],tblSalesReps[region],"Missing")</f>
        <v>East</v>
      </c>
    </row>
    <row r="2627" spans="1:18">
      <c r="A2627" t="s">
        <v>3170</v>
      </c>
      <c r="B2627" t="s">
        <v>1500</v>
      </c>
      <c r="C2627" t="s">
        <v>26</v>
      </c>
      <c r="D2627" t="s">
        <v>63</v>
      </c>
      <c r="E2627" s="1">
        <v>45777</v>
      </c>
      <c r="F2627" s="1">
        <v>45818</v>
      </c>
      <c r="G2627" s="1">
        <v>45818</v>
      </c>
      <c r="H2627" t="s">
        <v>28</v>
      </c>
      <c r="I2627">
        <v>1</v>
      </c>
      <c r="J2627">
        <v>0</v>
      </c>
      <c r="K2627">
        <v>360000</v>
      </c>
      <c r="L2627">
        <v>100</v>
      </c>
      <c r="M2627" t="s">
        <v>29</v>
      </c>
      <c r="N2627" t="str">
        <f>_xlfn.XLOOKUP(B2627,tblCustomers[customer_id],tblCustomers[region],"Missing")</f>
        <v>South</v>
      </c>
      <c r="O2627" t="str">
        <f>_xlfn.XLOOKUP(C2627,tblProducts[product_id],tblProducts[product_name],"Missing")</f>
        <v>Security Suite</v>
      </c>
      <c r="P2627" t="str">
        <f>_xlfn.XLOOKUP(C2627,tblProducts[product_id],tblProducts[category],"Missing")</f>
        <v>Security</v>
      </c>
      <c r="Q2627" t="str">
        <f>_xlfn.XLOOKUP(D2627,tblSalesReps[rep_id],tblSalesReps[rep_name],"Missing")</f>
        <v>Sales Rep 05</v>
      </c>
      <c r="R2627" t="str">
        <f>_xlfn.XLOOKUP(D2627,tblSalesReps[rep_id],tblSalesReps[region],"Missing")</f>
        <v>South</v>
      </c>
    </row>
    <row r="2628" spans="1:18">
      <c r="A2628" t="s">
        <v>3171</v>
      </c>
      <c r="B2628" t="s">
        <v>446</v>
      </c>
      <c r="C2628" t="s">
        <v>39</v>
      </c>
      <c r="D2628" t="s">
        <v>56</v>
      </c>
      <c r="E2628" s="1">
        <v>45855</v>
      </c>
      <c r="F2628" s="1">
        <v>45933</v>
      </c>
      <c r="G2628" s="1">
        <v>45933</v>
      </c>
      <c r="H2628" t="s">
        <v>17</v>
      </c>
      <c r="I2628">
        <v>3</v>
      </c>
      <c r="J2628">
        <v>0</v>
      </c>
      <c r="K2628">
        <v>540000</v>
      </c>
      <c r="L2628">
        <v>0</v>
      </c>
      <c r="M2628" t="s">
        <v>82</v>
      </c>
      <c r="N2628" t="str">
        <f>_xlfn.XLOOKUP(B2628,tblCustomers[customer_id],tblCustomers[region],"Missing")</f>
        <v>East</v>
      </c>
      <c r="O2628" t="str">
        <f>_xlfn.XLOOKUP(C2628,tblProducts[product_id],tblProducts[product_name],"Missing")</f>
        <v>Support Desk</v>
      </c>
      <c r="P2628" t="str">
        <f>_xlfn.XLOOKUP(C2628,tblProducts[product_id],tblProducts[category],"Missing")</f>
        <v>Service</v>
      </c>
      <c r="Q2628" t="str">
        <f>_xlfn.XLOOKUP(D2628,tblSalesReps[rep_id],tblSalesReps[rep_name],"Missing")</f>
        <v>Sales Rep 20</v>
      </c>
      <c r="R2628" t="str">
        <f>_xlfn.XLOOKUP(D2628,tblSalesReps[rep_id],tblSalesReps[region],"Missing")</f>
        <v>East</v>
      </c>
    </row>
    <row r="2629" spans="1:18">
      <c r="A2629" t="s">
        <v>3172</v>
      </c>
      <c r="B2629" t="s">
        <v>884</v>
      </c>
      <c r="C2629" t="s">
        <v>81</v>
      </c>
      <c r="D2629" t="s">
        <v>50</v>
      </c>
      <c r="E2629" s="1">
        <v>45891</v>
      </c>
      <c r="F2629" s="1">
        <v>45966</v>
      </c>
      <c r="G2629" s="1">
        <v>45966</v>
      </c>
      <c r="H2629" t="s">
        <v>28</v>
      </c>
      <c r="I2629">
        <v>1</v>
      </c>
      <c r="J2629">
        <v>10</v>
      </c>
      <c r="K2629">
        <v>270000</v>
      </c>
      <c r="L2629">
        <v>100</v>
      </c>
      <c r="M2629" t="s">
        <v>29</v>
      </c>
      <c r="N2629" t="str">
        <f>_xlfn.XLOOKUP(B2629,tblCustomers[customer_id],tblCustomers[region],"Missing")</f>
        <v>West</v>
      </c>
      <c r="O2629" t="str">
        <f>_xlfn.XLOOKUP(C2629,tblProducts[product_id],tblProducts[product_name],"Missing")</f>
        <v>Analytics Cloud</v>
      </c>
      <c r="P2629" t="str">
        <f>_xlfn.XLOOKUP(C2629,tblProducts[product_id],tblProducts[category],"Missing")</f>
        <v>Analytics</v>
      </c>
      <c r="Q2629" t="str">
        <f>_xlfn.XLOOKUP(D2629,tblSalesReps[rep_id],tblSalesReps[rep_name],"Missing")</f>
        <v>Sales Rep 15</v>
      </c>
      <c r="R2629" t="str">
        <f>_xlfn.XLOOKUP(D2629,tblSalesReps[rep_id],tblSalesReps[region],"Missing")</f>
        <v>West</v>
      </c>
    </row>
    <row r="2630" spans="1:18">
      <c r="A2630" t="s">
        <v>3173</v>
      </c>
      <c r="B2630" t="s">
        <v>38</v>
      </c>
      <c r="C2630" t="s">
        <v>81</v>
      </c>
      <c r="D2630" t="s">
        <v>70</v>
      </c>
      <c r="E2630" s="1">
        <v>45778</v>
      </c>
      <c r="F2630" s="1">
        <v>45848</v>
      </c>
      <c r="G2630" s="1">
        <v>45848</v>
      </c>
      <c r="H2630" t="s">
        <v>17</v>
      </c>
      <c r="I2630">
        <v>1</v>
      </c>
      <c r="J2630">
        <v>0</v>
      </c>
      <c r="K2630">
        <v>300000</v>
      </c>
      <c r="L2630">
        <v>0</v>
      </c>
      <c r="M2630" t="s">
        <v>23</v>
      </c>
      <c r="N2630" t="str">
        <f>_xlfn.XLOOKUP(B2630,tblCustomers[customer_id],tblCustomers[region],"Missing")</f>
        <v>West</v>
      </c>
      <c r="O2630" t="str">
        <f>_xlfn.XLOOKUP(C2630,tblProducts[product_id],tblProducts[product_name],"Missing")</f>
        <v>Analytics Cloud</v>
      </c>
      <c r="P2630" t="str">
        <f>_xlfn.XLOOKUP(C2630,tblProducts[product_id],tblProducts[category],"Missing")</f>
        <v>Analytics</v>
      </c>
      <c r="Q2630" t="str">
        <f>_xlfn.XLOOKUP(D2630,tblSalesReps[rep_id],tblSalesReps[rep_name],"Missing")</f>
        <v>Sales Rep 11</v>
      </c>
      <c r="R2630" t="str">
        <f>_xlfn.XLOOKUP(D2630,tblSalesReps[rep_id],tblSalesReps[region],"Missing")</f>
        <v>West</v>
      </c>
    </row>
    <row r="2631" spans="1:18">
      <c r="A2631" t="s">
        <v>3174</v>
      </c>
      <c r="B2631" t="s">
        <v>693</v>
      </c>
      <c r="C2631" t="s">
        <v>21</v>
      </c>
      <c r="D2631" t="s">
        <v>59</v>
      </c>
      <c r="E2631" s="1">
        <v>45974</v>
      </c>
      <c r="F2631" s="1">
        <v>46047</v>
      </c>
      <c r="G2631" s="1"/>
      <c r="H2631" t="s">
        <v>43</v>
      </c>
      <c r="I2631">
        <v>3</v>
      </c>
      <c r="J2631">
        <v>15</v>
      </c>
      <c r="K2631">
        <v>612000</v>
      </c>
      <c r="L2631">
        <v>80</v>
      </c>
      <c r="M2631" t="s">
        <v>29</v>
      </c>
      <c r="N2631" t="str">
        <f>_xlfn.XLOOKUP(B2631,tblCustomers[customer_id],tblCustomers[region],"Missing")</f>
        <v>East</v>
      </c>
      <c r="O2631" t="str">
        <f>_xlfn.XLOOKUP(C2631,tblProducts[product_id],tblProducts[product_name],"Missing")</f>
        <v>Workflow Automate</v>
      </c>
      <c r="P2631" t="str">
        <f>_xlfn.XLOOKUP(C2631,tblProducts[product_id],tblProducts[category],"Missing")</f>
        <v>Automation</v>
      </c>
      <c r="Q2631" t="str">
        <f>_xlfn.XLOOKUP(D2631,tblSalesReps[rep_id],tblSalesReps[rep_name],"Missing")</f>
        <v>Sales Rep 19</v>
      </c>
      <c r="R2631" t="str">
        <f>_xlfn.XLOOKUP(D2631,tblSalesReps[rep_id],tblSalesReps[region],"Missing")</f>
        <v>East</v>
      </c>
    </row>
    <row r="2632" spans="1:18">
      <c r="A2632" t="s">
        <v>3175</v>
      </c>
      <c r="B2632" t="s">
        <v>948</v>
      </c>
      <c r="C2632" t="s">
        <v>39</v>
      </c>
      <c r="D2632" t="s">
        <v>22</v>
      </c>
      <c r="E2632" s="1">
        <v>45883</v>
      </c>
      <c r="F2632" s="1">
        <v>45948</v>
      </c>
      <c r="G2632" s="1">
        <v>45948</v>
      </c>
      <c r="H2632" t="s">
        <v>28</v>
      </c>
      <c r="I2632">
        <v>1</v>
      </c>
      <c r="J2632">
        <v>15</v>
      </c>
      <c r="K2632">
        <v>153000</v>
      </c>
      <c r="L2632">
        <v>100</v>
      </c>
      <c r="M2632" t="s">
        <v>29</v>
      </c>
      <c r="N2632" t="str">
        <f>_xlfn.XLOOKUP(B2632,tblCustomers[customer_id],tblCustomers[region],"Missing")</f>
        <v>West</v>
      </c>
      <c r="O2632" t="str">
        <f>_xlfn.XLOOKUP(C2632,tblProducts[product_id],tblProducts[product_name],"Missing")</f>
        <v>Support Desk</v>
      </c>
      <c r="P2632" t="str">
        <f>_xlfn.XLOOKUP(C2632,tblProducts[product_id],tblProducts[category],"Missing")</f>
        <v>Service</v>
      </c>
      <c r="Q2632" t="str">
        <f>_xlfn.XLOOKUP(D2632,tblSalesReps[rep_id],tblSalesReps[rep_name],"Missing")</f>
        <v>Sales Rep 14</v>
      </c>
      <c r="R2632" t="str">
        <f>_xlfn.XLOOKUP(D2632,tblSalesReps[rep_id],tblSalesReps[region],"Missing")</f>
        <v>West</v>
      </c>
    </row>
    <row r="2633" spans="1:18">
      <c r="A2633" t="s">
        <v>3176</v>
      </c>
      <c r="B2633" t="s">
        <v>471</v>
      </c>
      <c r="C2633" t="s">
        <v>21</v>
      </c>
      <c r="D2633" t="s">
        <v>36</v>
      </c>
      <c r="E2633" s="1">
        <v>45932</v>
      </c>
      <c r="F2633" s="1">
        <v>45961</v>
      </c>
      <c r="G2633" s="1">
        <v>45961</v>
      </c>
      <c r="H2633" t="s">
        <v>17</v>
      </c>
      <c r="I2633">
        <v>1</v>
      </c>
      <c r="J2633">
        <v>10</v>
      </c>
      <c r="K2633">
        <v>216000</v>
      </c>
      <c r="L2633">
        <v>0</v>
      </c>
      <c r="M2633" t="s">
        <v>33</v>
      </c>
      <c r="N2633" t="str">
        <f>_xlfn.XLOOKUP(B2633,tblCustomers[customer_id],tblCustomers[region],"Missing")</f>
        <v>North</v>
      </c>
      <c r="O2633" t="str">
        <f>_xlfn.XLOOKUP(C2633,tblProducts[product_id],tblProducts[product_name],"Missing")</f>
        <v>Workflow Automate</v>
      </c>
      <c r="P2633" t="str">
        <f>_xlfn.XLOOKUP(C2633,tblProducts[product_id],tblProducts[category],"Missing")</f>
        <v>Automation</v>
      </c>
      <c r="Q2633" t="str">
        <f>_xlfn.XLOOKUP(D2633,tblSalesReps[rep_id],tblSalesReps[rep_name],"Missing")</f>
        <v>Sales Rep 09</v>
      </c>
      <c r="R2633" t="str">
        <f>_xlfn.XLOOKUP(D2633,tblSalesReps[rep_id],tblSalesReps[region],"Missing")</f>
        <v>North</v>
      </c>
    </row>
    <row r="2634" spans="1:18">
      <c r="A2634" t="s">
        <v>3177</v>
      </c>
      <c r="B2634" t="s">
        <v>1929</v>
      </c>
      <c r="C2634" t="s">
        <v>81</v>
      </c>
      <c r="D2634" t="s">
        <v>75</v>
      </c>
      <c r="E2634" s="1">
        <v>45786</v>
      </c>
      <c r="F2634" s="1">
        <v>45809</v>
      </c>
      <c r="G2634" s="1">
        <v>45809</v>
      </c>
      <c r="H2634" t="s">
        <v>28</v>
      </c>
      <c r="I2634">
        <v>1</v>
      </c>
      <c r="J2634">
        <v>15</v>
      </c>
      <c r="K2634">
        <v>255000</v>
      </c>
      <c r="L2634">
        <v>100</v>
      </c>
      <c r="M2634" t="s">
        <v>29</v>
      </c>
      <c r="N2634" t="str">
        <f>_xlfn.XLOOKUP(B2634,tblCustomers[customer_id],tblCustomers[region],"Missing")</f>
        <v>North</v>
      </c>
      <c r="O2634" t="str">
        <f>_xlfn.XLOOKUP(C2634,tblProducts[product_id],tblProducts[product_name],"Missing")</f>
        <v>Analytics Cloud</v>
      </c>
      <c r="P2634" t="str">
        <f>_xlfn.XLOOKUP(C2634,tblProducts[product_id],tblProducts[category],"Missing")</f>
        <v>Analytics</v>
      </c>
      <c r="Q2634" t="str">
        <f>_xlfn.XLOOKUP(D2634,tblSalesReps[rep_id],tblSalesReps[rep_name],"Missing")</f>
        <v>Sales Rep 07</v>
      </c>
      <c r="R2634" t="str">
        <f>_xlfn.XLOOKUP(D2634,tblSalesReps[rep_id],tblSalesReps[region],"Missing")</f>
        <v>North</v>
      </c>
    </row>
    <row r="2635" spans="1:18">
      <c r="A2635" t="s">
        <v>3178</v>
      </c>
      <c r="B2635" t="s">
        <v>77</v>
      </c>
      <c r="C2635" t="s">
        <v>62</v>
      </c>
      <c r="D2635" t="s">
        <v>50</v>
      </c>
      <c r="E2635" s="1">
        <v>45828</v>
      </c>
      <c r="F2635" s="1">
        <v>45846</v>
      </c>
      <c r="G2635" s="1">
        <v>45846</v>
      </c>
      <c r="H2635" t="s">
        <v>28</v>
      </c>
      <c r="I2635">
        <v>3</v>
      </c>
      <c r="J2635">
        <v>0</v>
      </c>
      <c r="K2635">
        <v>360000</v>
      </c>
      <c r="L2635">
        <v>100</v>
      </c>
      <c r="M2635" t="s">
        <v>29</v>
      </c>
      <c r="N2635" t="str">
        <f>_xlfn.XLOOKUP(B2635,tblCustomers[customer_id],tblCustomers[region],"Missing")</f>
        <v>West</v>
      </c>
      <c r="O2635" t="str">
        <f>_xlfn.XLOOKUP(C2635,tblProducts[product_id],tblProducts[product_name],"Missing")</f>
        <v>CRM Essentials</v>
      </c>
      <c r="P2635" t="str">
        <f>_xlfn.XLOOKUP(C2635,tblProducts[product_id],tblProducts[category],"Missing")</f>
        <v>CRM</v>
      </c>
      <c r="Q2635" t="str">
        <f>_xlfn.XLOOKUP(D2635,tblSalesReps[rep_id],tblSalesReps[rep_name],"Missing")</f>
        <v>Sales Rep 15</v>
      </c>
      <c r="R2635" t="str">
        <f>_xlfn.XLOOKUP(D2635,tblSalesReps[rep_id],tblSalesReps[region],"Missing")</f>
        <v>West</v>
      </c>
    </row>
    <row r="2636" spans="1:18">
      <c r="A2636" t="s">
        <v>3179</v>
      </c>
      <c r="B2636" t="s">
        <v>592</v>
      </c>
      <c r="C2636" t="s">
        <v>62</v>
      </c>
      <c r="D2636" t="s">
        <v>168</v>
      </c>
      <c r="E2636" s="1">
        <v>45707</v>
      </c>
      <c r="F2636" s="1">
        <v>45764</v>
      </c>
      <c r="G2636" s="1"/>
      <c r="H2636" t="s">
        <v>43</v>
      </c>
      <c r="I2636">
        <v>1</v>
      </c>
      <c r="J2636">
        <v>10</v>
      </c>
      <c r="K2636">
        <v>108000</v>
      </c>
      <c r="L2636">
        <v>40</v>
      </c>
      <c r="M2636" t="s">
        <v>29</v>
      </c>
      <c r="N2636" t="str">
        <f>_xlfn.XLOOKUP(B2636,tblCustomers[customer_id],tblCustomers[region],"Missing")</f>
        <v>East</v>
      </c>
      <c r="O2636" t="str">
        <f>_xlfn.XLOOKUP(C2636,tblProducts[product_id],tblProducts[product_name],"Missing")</f>
        <v>CRM Essentials</v>
      </c>
      <c r="P2636" t="str">
        <f>_xlfn.XLOOKUP(C2636,tblProducts[product_id],tblProducts[category],"Missing")</f>
        <v>CRM</v>
      </c>
      <c r="Q2636" t="str">
        <f>_xlfn.XLOOKUP(D2636,tblSalesReps[rep_id],tblSalesReps[rep_name],"Missing")</f>
        <v>Sales Rep 17</v>
      </c>
      <c r="R2636" t="str">
        <f>_xlfn.XLOOKUP(D2636,tblSalesReps[rep_id],tblSalesReps[region],"Missing")</f>
        <v>East</v>
      </c>
    </row>
    <row r="2637" spans="1:18">
      <c r="A2637" t="s">
        <v>3180</v>
      </c>
      <c r="B2637" t="s">
        <v>191</v>
      </c>
      <c r="C2637" t="s">
        <v>15</v>
      </c>
      <c r="D2637" t="s">
        <v>75</v>
      </c>
      <c r="E2637" s="1">
        <v>45703</v>
      </c>
      <c r="F2637" s="1">
        <v>45730</v>
      </c>
      <c r="G2637" s="1">
        <v>45730</v>
      </c>
      <c r="H2637" t="s">
        <v>28</v>
      </c>
      <c r="I2637">
        <v>1</v>
      </c>
      <c r="J2637">
        <v>10</v>
      </c>
      <c r="K2637">
        <v>378000</v>
      </c>
      <c r="L2637">
        <v>100</v>
      </c>
      <c r="M2637" t="s">
        <v>29</v>
      </c>
      <c r="N2637" t="str">
        <f>_xlfn.XLOOKUP(B2637,tblCustomers[customer_id],tblCustomers[region],"Missing")</f>
        <v>North</v>
      </c>
      <c r="O2637" t="str">
        <f>_xlfn.XLOOKUP(C2637,tblProducts[product_id],tblProducts[product_name],"Missing")</f>
        <v>CRM Enterprise</v>
      </c>
      <c r="P2637" t="str">
        <f>_xlfn.XLOOKUP(C2637,tblProducts[product_id],tblProducts[category],"Missing")</f>
        <v>CRM</v>
      </c>
      <c r="Q2637" t="str">
        <f>_xlfn.XLOOKUP(D2637,tblSalesReps[rep_id],tblSalesReps[rep_name],"Missing")</f>
        <v>Sales Rep 07</v>
      </c>
      <c r="R2637" t="str">
        <f>_xlfn.XLOOKUP(D2637,tblSalesReps[rep_id],tblSalesReps[region],"Missing")</f>
        <v>North</v>
      </c>
    </row>
    <row r="2638" spans="1:18">
      <c r="A2638" t="s">
        <v>3181</v>
      </c>
      <c r="B2638" t="s">
        <v>1598</v>
      </c>
      <c r="C2638" t="s">
        <v>26</v>
      </c>
      <c r="D2638" t="s">
        <v>36</v>
      </c>
      <c r="E2638" s="1">
        <v>45658</v>
      </c>
      <c r="F2638" s="1">
        <v>45733</v>
      </c>
      <c r="G2638" s="1">
        <v>45733</v>
      </c>
      <c r="H2638" t="s">
        <v>17</v>
      </c>
      <c r="I2638">
        <v>1</v>
      </c>
      <c r="J2638">
        <v>10</v>
      </c>
      <c r="K2638">
        <v>324000</v>
      </c>
      <c r="L2638">
        <v>0</v>
      </c>
      <c r="M2638" t="s">
        <v>47</v>
      </c>
      <c r="N2638" t="str">
        <f>_xlfn.XLOOKUP(B2638,tblCustomers[customer_id],tblCustomers[region],"Missing")</f>
        <v>North</v>
      </c>
      <c r="O2638" t="str">
        <f>_xlfn.XLOOKUP(C2638,tblProducts[product_id],tblProducts[product_name],"Missing")</f>
        <v>Security Suite</v>
      </c>
      <c r="P2638" t="str">
        <f>_xlfn.XLOOKUP(C2638,tblProducts[product_id],tblProducts[category],"Missing")</f>
        <v>Security</v>
      </c>
      <c r="Q2638" t="str">
        <f>_xlfn.XLOOKUP(D2638,tblSalesReps[rep_id],tblSalesReps[rep_name],"Missing")</f>
        <v>Sales Rep 09</v>
      </c>
      <c r="R2638" t="str">
        <f>_xlfn.XLOOKUP(D2638,tblSalesReps[rep_id],tblSalesReps[region],"Missing")</f>
        <v>North</v>
      </c>
    </row>
    <row r="2639" spans="1:18">
      <c r="A2639" t="s">
        <v>3182</v>
      </c>
      <c r="B2639" t="s">
        <v>232</v>
      </c>
      <c r="C2639" t="s">
        <v>15</v>
      </c>
      <c r="D2639" t="s">
        <v>32</v>
      </c>
      <c r="E2639" s="1">
        <v>45899</v>
      </c>
      <c r="F2639" s="1">
        <v>45971</v>
      </c>
      <c r="G2639" s="1">
        <v>45971</v>
      </c>
      <c r="H2639" t="s">
        <v>17</v>
      </c>
      <c r="I2639">
        <v>1</v>
      </c>
      <c r="J2639">
        <v>15</v>
      </c>
      <c r="K2639">
        <v>357000</v>
      </c>
      <c r="L2639">
        <v>0</v>
      </c>
      <c r="M2639" t="s">
        <v>47</v>
      </c>
      <c r="N2639" t="str">
        <f>_xlfn.XLOOKUP(B2639,tblCustomers[customer_id],tblCustomers[region],"Missing")</f>
        <v>South</v>
      </c>
      <c r="O2639" t="str">
        <f>_xlfn.XLOOKUP(C2639,tblProducts[product_id],tblProducts[product_name],"Missing")</f>
        <v>CRM Enterprise</v>
      </c>
      <c r="P2639" t="str">
        <f>_xlfn.XLOOKUP(C2639,tblProducts[product_id],tblProducts[category],"Missing")</f>
        <v>CRM</v>
      </c>
      <c r="Q2639" t="str">
        <f>_xlfn.XLOOKUP(D2639,tblSalesReps[rep_id],tblSalesReps[rep_name],"Missing")</f>
        <v>Sales Rep 04</v>
      </c>
      <c r="R2639" t="str">
        <f>_xlfn.XLOOKUP(D2639,tblSalesReps[rep_id],tblSalesReps[region],"Missing")</f>
        <v>South</v>
      </c>
    </row>
    <row r="2640" spans="1:18">
      <c r="A2640" t="s">
        <v>3183</v>
      </c>
      <c r="B2640" t="s">
        <v>292</v>
      </c>
      <c r="C2640" t="s">
        <v>15</v>
      </c>
      <c r="D2640" t="s">
        <v>27</v>
      </c>
      <c r="E2640" s="1">
        <v>45851</v>
      </c>
      <c r="F2640" s="1">
        <v>45860</v>
      </c>
      <c r="G2640" s="1"/>
      <c r="H2640" t="s">
        <v>43</v>
      </c>
      <c r="I2640">
        <v>1</v>
      </c>
      <c r="J2640">
        <v>5</v>
      </c>
      <c r="K2640">
        <v>399000</v>
      </c>
      <c r="L2640">
        <v>60</v>
      </c>
      <c r="M2640" t="s">
        <v>29</v>
      </c>
      <c r="N2640" t="str">
        <f>_xlfn.XLOOKUP(B2640,tblCustomers[customer_id],tblCustomers[region],"Missing")</f>
        <v>North</v>
      </c>
      <c r="O2640" t="str">
        <f>_xlfn.XLOOKUP(C2640,tblProducts[product_id],tblProducts[product_name],"Missing")</f>
        <v>CRM Enterprise</v>
      </c>
      <c r="P2640" t="str">
        <f>_xlfn.XLOOKUP(C2640,tblProducts[product_id],tblProducts[category],"Missing")</f>
        <v>CRM</v>
      </c>
      <c r="Q2640" t="str">
        <f>_xlfn.XLOOKUP(D2640,tblSalesReps[rep_id],tblSalesReps[rep_name],"Missing")</f>
        <v>Sales Rep 06</v>
      </c>
      <c r="R2640" t="str">
        <f>_xlfn.XLOOKUP(D2640,tblSalesReps[rep_id],tblSalesReps[region],"Missing")</f>
        <v>North</v>
      </c>
    </row>
    <row r="2641" spans="1:18">
      <c r="A2641" t="s">
        <v>3184</v>
      </c>
      <c r="B2641" t="s">
        <v>1686</v>
      </c>
      <c r="C2641" t="s">
        <v>15</v>
      </c>
      <c r="D2641" t="s">
        <v>40</v>
      </c>
      <c r="E2641" s="1">
        <v>45683</v>
      </c>
      <c r="F2641" s="1">
        <v>45751</v>
      </c>
      <c r="G2641" s="1">
        <v>45751</v>
      </c>
      <c r="H2641" t="s">
        <v>17</v>
      </c>
      <c r="I2641">
        <v>3</v>
      </c>
      <c r="J2641">
        <v>5</v>
      </c>
      <c r="K2641">
        <v>1197000</v>
      </c>
      <c r="L2641">
        <v>0</v>
      </c>
      <c r="M2641" t="s">
        <v>33</v>
      </c>
      <c r="N2641" t="str">
        <f>_xlfn.XLOOKUP(B2641,tblCustomers[customer_id],tblCustomers[region],"Missing")</f>
        <v>West</v>
      </c>
      <c r="O2641" t="str">
        <f>_xlfn.XLOOKUP(C2641,tblProducts[product_id],tblProducts[product_name],"Missing")</f>
        <v>CRM Enterprise</v>
      </c>
      <c r="P2641" t="str">
        <f>_xlfn.XLOOKUP(C2641,tblProducts[product_id],tblProducts[category],"Missing")</f>
        <v>CRM</v>
      </c>
      <c r="Q2641" t="str">
        <f>_xlfn.XLOOKUP(D2641,tblSalesReps[rep_id],tblSalesReps[rep_name],"Missing")</f>
        <v>Sales Rep 13</v>
      </c>
      <c r="R2641" t="str">
        <f>_xlfn.XLOOKUP(D2641,tblSalesReps[rep_id],tblSalesReps[region],"Missing")</f>
        <v>West</v>
      </c>
    </row>
    <row r="2642" spans="1:18">
      <c r="A2642" t="s">
        <v>3185</v>
      </c>
      <c r="B2642" t="s">
        <v>453</v>
      </c>
      <c r="C2642" t="s">
        <v>26</v>
      </c>
      <c r="D2642" t="s">
        <v>63</v>
      </c>
      <c r="E2642" s="1">
        <v>45972</v>
      </c>
      <c r="F2642" s="1">
        <v>46054</v>
      </c>
      <c r="G2642" s="1"/>
      <c r="H2642" t="s">
        <v>43</v>
      </c>
      <c r="I2642">
        <v>3</v>
      </c>
      <c r="J2642">
        <v>0</v>
      </c>
      <c r="K2642">
        <v>1080000</v>
      </c>
      <c r="L2642">
        <v>20</v>
      </c>
      <c r="M2642" t="s">
        <v>29</v>
      </c>
      <c r="N2642" t="str">
        <f>_xlfn.XLOOKUP(B2642,tblCustomers[customer_id],tblCustomers[region],"Missing")</f>
        <v>South</v>
      </c>
      <c r="O2642" t="str">
        <f>_xlfn.XLOOKUP(C2642,tblProducts[product_id],tblProducts[product_name],"Missing")</f>
        <v>Security Suite</v>
      </c>
      <c r="P2642" t="str">
        <f>_xlfn.XLOOKUP(C2642,tblProducts[product_id],tblProducts[category],"Missing")</f>
        <v>Security</v>
      </c>
      <c r="Q2642" t="str">
        <f>_xlfn.XLOOKUP(D2642,tblSalesReps[rep_id],tblSalesReps[rep_name],"Missing")</f>
        <v>Sales Rep 05</v>
      </c>
      <c r="R2642" t="str">
        <f>_xlfn.XLOOKUP(D2642,tblSalesReps[rep_id],tblSalesReps[region],"Missing")</f>
        <v>South</v>
      </c>
    </row>
    <row r="2643" spans="1:18">
      <c r="A2643" t="s">
        <v>3186</v>
      </c>
      <c r="B2643" t="s">
        <v>526</v>
      </c>
      <c r="C2643" t="s">
        <v>81</v>
      </c>
      <c r="D2643" t="s">
        <v>50</v>
      </c>
      <c r="E2643" s="1">
        <v>45675</v>
      </c>
      <c r="F2643" s="1">
        <v>45686</v>
      </c>
      <c r="G2643" s="1"/>
      <c r="H2643" t="s">
        <v>43</v>
      </c>
      <c r="I2643">
        <v>1</v>
      </c>
      <c r="J2643">
        <v>0</v>
      </c>
      <c r="K2643">
        <v>300000</v>
      </c>
      <c r="L2643">
        <v>20</v>
      </c>
      <c r="M2643" t="s">
        <v>29</v>
      </c>
      <c r="N2643" t="str">
        <f>_xlfn.XLOOKUP(B2643,tblCustomers[customer_id],tblCustomers[region],"Missing")</f>
        <v>West</v>
      </c>
      <c r="O2643" t="str">
        <f>_xlfn.XLOOKUP(C2643,tblProducts[product_id],tblProducts[product_name],"Missing")</f>
        <v>Analytics Cloud</v>
      </c>
      <c r="P2643" t="str">
        <f>_xlfn.XLOOKUP(C2643,tblProducts[product_id],tblProducts[category],"Missing")</f>
        <v>Analytics</v>
      </c>
      <c r="Q2643" t="str">
        <f>_xlfn.XLOOKUP(D2643,tblSalesReps[rep_id],tblSalesReps[rep_name],"Missing")</f>
        <v>Sales Rep 15</v>
      </c>
      <c r="R2643" t="str">
        <f>_xlfn.XLOOKUP(D2643,tblSalesReps[rep_id],tblSalesReps[region],"Missing")</f>
        <v>West</v>
      </c>
    </row>
    <row r="2644" spans="1:18">
      <c r="A2644" t="s">
        <v>3187</v>
      </c>
      <c r="B2644" t="s">
        <v>656</v>
      </c>
      <c r="C2644" t="s">
        <v>62</v>
      </c>
      <c r="D2644" t="s">
        <v>91</v>
      </c>
      <c r="E2644" s="1">
        <v>45910</v>
      </c>
      <c r="F2644" s="1">
        <v>45940</v>
      </c>
      <c r="G2644" s="1">
        <v>45940</v>
      </c>
      <c r="H2644" t="s">
        <v>28</v>
      </c>
      <c r="I2644">
        <v>1</v>
      </c>
      <c r="J2644">
        <v>0</v>
      </c>
      <c r="K2644">
        <v>120000</v>
      </c>
      <c r="L2644">
        <v>100</v>
      </c>
      <c r="M2644" t="s">
        <v>29</v>
      </c>
      <c r="N2644" t="str">
        <f>_xlfn.XLOOKUP(B2644,tblCustomers[customer_id],tblCustomers[region],"Missing")</f>
        <v>South</v>
      </c>
      <c r="O2644" t="str">
        <f>_xlfn.XLOOKUP(C2644,tblProducts[product_id],tblProducts[product_name],"Missing")</f>
        <v>CRM Essentials</v>
      </c>
      <c r="P2644" t="str">
        <f>_xlfn.XLOOKUP(C2644,tblProducts[product_id],tblProducts[category],"Missing")</f>
        <v>CRM</v>
      </c>
      <c r="Q2644" t="str">
        <f>_xlfn.XLOOKUP(D2644,tblSalesReps[rep_id],tblSalesReps[rep_name],"Missing")</f>
        <v>Sales Rep 03</v>
      </c>
      <c r="R2644" t="str">
        <f>_xlfn.XLOOKUP(D2644,tblSalesReps[rep_id],tblSalesReps[region],"Missing")</f>
        <v>South</v>
      </c>
    </row>
    <row r="2645" spans="1:18">
      <c r="A2645" t="s">
        <v>3188</v>
      </c>
      <c r="B2645" t="s">
        <v>362</v>
      </c>
      <c r="C2645" t="s">
        <v>62</v>
      </c>
      <c r="D2645" t="s">
        <v>119</v>
      </c>
      <c r="E2645" s="1">
        <v>45852</v>
      </c>
      <c r="F2645" s="1">
        <v>45865</v>
      </c>
      <c r="G2645" s="1"/>
      <c r="H2645" t="s">
        <v>43</v>
      </c>
      <c r="I2645">
        <v>3</v>
      </c>
      <c r="J2645">
        <v>0</v>
      </c>
      <c r="K2645">
        <v>360000</v>
      </c>
      <c r="L2645">
        <v>40</v>
      </c>
      <c r="M2645" t="s">
        <v>29</v>
      </c>
      <c r="N2645" t="str">
        <f>_xlfn.XLOOKUP(B2645,tblCustomers[customer_id],tblCustomers[region],"Missing")</f>
        <v>North</v>
      </c>
      <c r="O2645" t="str">
        <f>_xlfn.XLOOKUP(C2645,tblProducts[product_id],tblProducts[product_name],"Missing")</f>
        <v>CRM Essentials</v>
      </c>
      <c r="P2645" t="str">
        <f>_xlfn.XLOOKUP(C2645,tblProducts[product_id],tblProducts[category],"Missing")</f>
        <v>CRM</v>
      </c>
      <c r="Q2645" t="str">
        <f>_xlfn.XLOOKUP(D2645,tblSalesReps[rep_id],tblSalesReps[rep_name],"Missing")</f>
        <v>Sales Rep 10</v>
      </c>
      <c r="R2645" t="str">
        <f>_xlfn.XLOOKUP(D2645,tblSalesReps[rep_id],tblSalesReps[region],"Missing")</f>
        <v>North</v>
      </c>
    </row>
    <row r="2646" spans="1:18">
      <c r="A2646" t="s">
        <v>3189</v>
      </c>
      <c r="B2646" t="s">
        <v>723</v>
      </c>
      <c r="C2646" t="s">
        <v>81</v>
      </c>
      <c r="D2646" t="s">
        <v>70</v>
      </c>
      <c r="E2646" s="1">
        <v>45949</v>
      </c>
      <c r="F2646" s="1">
        <v>45965</v>
      </c>
      <c r="G2646" s="1"/>
      <c r="H2646" t="s">
        <v>43</v>
      </c>
      <c r="I2646">
        <v>2</v>
      </c>
      <c r="J2646">
        <v>20</v>
      </c>
      <c r="K2646">
        <v>480000</v>
      </c>
      <c r="L2646">
        <v>20</v>
      </c>
      <c r="M2646" t="s">
        <v>29</v>
      </c>
      <c r="N2646" t="str">
        <f>_xlfn.XLOOKUP(B2646,tblCustomers[customer_id],tblCustomers[region],"Missing")</f>
        <v>West</v>
      </c>
      <c r="O2646" t="str">
        <f>_xlfn.XLOOKUP(C2646,tblProducts[product_id],tblProducts[product_name],"Missing")</f>
        <v>Analytics Cloud</v>
      </c>
      <c r="P2646" t="str">
        <f>_xlfn.XLOOKUP(C2646,tblProducts[product_id],tblProducts[category],"Missing")</f>
        <v>Analytics</v>
      </c>
      <c r="Q2646" t="str">
        <f>_xlfn.XLOOKUP(D2646,tblSalesReps[rep_id],tblSalesReps[rep_name],"Missing")</f>
        <v>Sales Rep 11</v>
      </c>
      <c r="R2646" t="str">
        <f>_xlfn.XLOOKUP(D2646,tblSalesReps[rep_id],tblSalesReps[region],"Missing")</f>
        <v>West</v>
      </c>
    </row>
    <row r="2647" spans="1:18">
      <c r="A2647" t="s">
        <v>3190</v>
      </c>
      <c r="B2647" t="s">
        <v>1169</v>
      </c>
      <c r="C2647" t="s">
        <v>81</v>
      </c>
      <c r="D2647" t="s">
        <v>152</v>
      </c>
      <c r="E2647" s="1">
        <v>45765</v>
      </c>
      <c r="F2647" s="1">
        <v>45818</v>
      </c>
      <c r="G2647" s="1">
        <v>45818</v>
      </c>
      <c r="H2647" t="s">
        <v>17</v>
      </c>
      <c r="I2647">
        <v>1</v>
      </c>
      <c r="J2647">
        <v>10</v>
      </c>
      <c r="K2647">
        <v>270000</v>
      </c>
      <c r="L2647">
        <v>0</v>
      </c>
      <c r="M2647" t="s">
        <v>47</v>
      </c>
      <c r="N2647" t="str">
        <f>_xlfn.XLOOKUP(B2647,tblCustomers[customer_id],tblCustomers[region],"Missing")</f>
        <v>East</v>
      </c>
      <c r="O2647" t="str">
        <f>_xlfn.XLOOKUP(C2647,tblProducts[product_id],tblProducts[product_name],"Missing")</f>
        <v>Analytics Cloud</v>
      </c>
      <c r="P2647" t="str">
        <f>_xlfn.XLOOKUP(C2647,tblProducts[product_id],tblProducts[category],"Missing")</f>
        <v>Analytics</v>
      </c>
      <c r="Q2647" t="str">
        <f>_xlfn.XLOOKUP(D2647,tblSalesReps[rep_id],tblSalesReps[rep_name],"Missing")</f>
        <v>Sales Rep 18</v>
      </c>
      <c r="R2647" t="str">
        <f>_xlfn.XLOOKUP(D2647,tblSalesReps[rep_id],tblSalesReps[region],"Missing")</f>
        <v>East</v>
      </c>
    </row>
    <row r="2648" spans="1:18">
      <c r="A2648" t="s">
        <v>3191</v>
      </c>
      <c r="B2648" t="s">
        <v>468</v>
      </c>
      <c r="C2648" t="s">
        <v>26</v>
      </c>
      <c r="D2648" t="s">
        <v>70</v>
      </c>
      <c r="E2648" s="1">
        <v>45841</v>
      </c>
      <c r="F2648" s="1">
        <v>45892</v>
      </c>
      <c r="G2648" s="1">
        <v>45892</v>
      </c>
      <c r="H2648" t="s">
        <v>28</v>
      </c>
      <c r="I2648">
        <v>2</v>
      </c>
      <c r="J2648">
        <v>5</v>
      </c>
      <c r="K2648">
        <v>684000</v>
      </c>
      <c r="L2648">
        <v>100</v>
      </c>
      <c r="M2648" t="s">
        <v>29</v>
      </c>
      <c r="N2648" t="str">
        <f>_xlfn.XLOOKUP(B2648,tblCustomers[customer_id],tblCustomers[region],"Missing")</f>
        <v>West</v>
      </c>
      <c r="O2648" t="str">
        <f>_xlfn.XLOOKUP(C2648,tblProducts[product_id],tblProducts[product_name],"Missing")</f>
        <v>Security Suite</v>
      </c>
      <c r="P2648" t="str">
        <f>_xlfn.XLOOKUP(C2648,tblProducts[product_id],tblProducts[category],"Missing")</f>
        <v>Security</v>
      </c>
      <c r="Q2648" t="str">
        <f>_xlfn.XLOOKUP(D2648,tblSalesReps[rep_id],tblSalesReps[rep_name],"Missing")</f>
        <v>Sales Rep 11</v>
      </c>
      <c r="R2648" t="str">
        <f>_xlfn.XLOOKUP(D2648,tblSalesReps[rep_id],tblSalesReps[region],"Missing")</f>
        <v>West</v>
      </c>
    </row>
    <row r="2649" spans="1:18">
      <c r="A2649" t="s">
        <v>3192</v>
      </c>
      <c r="B2649" t="s">
        <v>1528</v>
      </c>
      <c r="C2649" t="s">
        <v>21</v>
      </c>
      <c r="D2649" t="s">
        <v>56</v>
      </c>
      <c r="E2649" s="1">
        <v>46016</v>
      </c>
      <c r="F2649" s="1">
        <v>46068</v>
      </c>
      <c r="G2649" s="1"/>
      <c r="H2649" t="s">
        <v>43</v>
      </c>
      <c r="I2649">
        <v>1</v>
      </c>
      <c r="J2649">
        <v>15</v>
      </c>
      <c r="K2649">
        <v>204000</v>
      </c>
      <c r="L2649">
        <v>40</v>
      </c>
      <c r="M2649" t="s">
        <v>29</v>
      </c>
      <c r="N2649" t="str">
        <f>_xlfn.XLOOKUP(B2649,tblCustomers[customer_id],tblCustomers[region],"Missing")</f>
        <v>East</v>
      </c>
      <c r="O2649" t="str">
        <f>_xlfn.XLOOKUP(C2649,tblProducts[product_id],tblProducts[product_name],"Missing")</f>
        <v>Workflow Automate</v>
      </c>
      <c r="P2649" t="str">
        <f>_xlfn.XLOOKUP(C2649,tblProducts[product_id],tblProducts[category],"Missing")</f>
        <v>Automation</v>
      </c>
      <c r="Q2649" t="str">
        <f>_xlfn.XLOOKUP(D2649,tblSalesReps[rep_id],tblSalesReps[rep_name],"Missing")</f>
        <v>Sales Rep 20</v>
      </c>
      <c r="R2649" t="str">
        <f>_xlfn.XLOOKUP(D2649,tblSalesReps[rep_id],tblSalesReps[region],"Missing")</f>
        <v>East</v>
      </c>
    </row>
    <row r="2650" spans="1:18">
      <c r="A2650" t="s">
        <v>3193</v>
      </c>
      <c r="B2650" t="s">
        <v>1441</v>
      </c>
      <c r="C2650" t="s">
        <v>26</v>
      </c>
      <c r="D2650" t="s">
        <v>119</v>
      </c>
      <c r="E2650" s="1">
        <v>45762</v>
      </c>
      <c r="F2650" s="1">
        <v>45841</v>
      </c>
      <c r="G2650" s="1">
        <v>45841</v>
      </c>
      <c r="H2650" t="s">
        <v>17</v>
      </c>
      <c r="I2650">
        <v>1</v>
      </c>
      <c r="J2650">
        <v>0</v>
      </c>
      <c r="K2650">
        <v>360000</v>
      </c>
      <c r="L2650">
        <v>0</v>
      </c>
      <c r="M2650" t="s">
        <v>33</v>
      </c>
      <c r="N2650" t="str">
        <f>_xlfn.XLOOKUP(B2650,tblCustomers[customer_id],tblCustomers[region],"Missing")</f>
        <v>North</v>
      </c>
      <c r="O2650" t="str">
        <f>_xlfn.XLOOKUP(C2650,tblProducts[product_id],tblProducts[product_name],"Missing")</f>
        <v>Security Suite</v>
      </c>
      <c r="P2650" t="str">
        <f>_xlfn.XLOOKUP(C2650,tblProducts[product_id],tblProducts[category],"Missing")</f>
        <v>Security</v>
      </c>
      <c r="Q2650" t="str">
        <f>_xlfn.XLOOKUP(D2650,tblSalesReps[rep_id],tblSalesReps[rep_name],"Missing")</f>
        <v>Sales Rep 10</v>
      </c>
      <c r="R2650" t="str">
        <f>_xlfn.XLOOKUP(D2650,tblSalesReps[rep_id],tblSalesReps[region],"Missing")</f>
        <v>North</v>
      </c>
    </row>
    <row r="2651" spans="1:18">
      <c r="A2651" t="s">
        <v>3194</v>
      </c>
      <c r="B2651" t="s">
        <v>236</v>
      </c>
      <c r="C2651" t="s">
        <v>26</v>
      </c>
      <c r="D2651" t="s">
        <v>91</v>
      </c>
      <c r="E2651" s="1">
        <v>45737</v>
      </c>
      <c r="F2651" s="1">
        <v>45808</v>
      </c>
      <c r="G2651" s="1">
        <v>45808</v>
      </c>
      <c r="H2651" t="s">
        <v>28</v>
      </c>
      <c r="I2651">
        <v>1</v>
      </c>
      <c r="J2651">
        <v>20</v>
      </c>
      <c r="K2651">
        <v>288000</v>
      </c>
      <c r="L2651">
        <v>100</v>
      </c>
      <c r="M2651" t="s">
        <v>29</v>
      </c>
      <c r="N2651" t="str">
        <f>_xlfn.XLOOKUP(B2651,tblCustomers[customer_id],tblCustomers[region],"Missing")</f>
        <v>South</v>
      </c>
      <c r="O2651" t="str">
        <f>_xlfn.XLOOKUP(C2651,tblProducts[product_id],tblProducts[product_name],"Missing")</f>
        <v>Security Suite</v>
      </c>
      <c r="P2651" t="str">
        <f>_xlfn.XLOOKUP(C2651,tblProducts[product_id],tblProducts[category],"Missing")</f>
        <v>Security</v>
      </c>
      <c r="Q2651" t="str">
        <f>_xlfn.XLOOKUP(D2651,tblSalesReps[rep_id],tblSalesReps[rep_name],"Missing")</f>
        <v>Sales Rep 03</v>
      </c>
      <c r="R2651" t="str">
        <f>_xlfn.XLOOKUP(D2651,tblSalesReps[rep_id],tblSalesReps[region],"Missing")</f>
        <v>South</v>
      </c>
    </row>
    <row r="2652" spans="1:18">
      <c r="A2652" t="s">
        <v>3195</v>
      </c>
      <c r="B2652" t="s">
        <v>2488</v>
      </c>
      <c r="C2652" t="s">
        <v>62</v>
      </c>
      <c r="D2652" t="s">
        <v>50</v>
      </c>
      <c r="E2652" s="1">
        <v>46004</v>
      </c>
      <c r="F2652" s="1">
        <v>46086</v>
      </c>
      <c r="G2652" s="1"/>
      <c r="H2652" t="s">
        <v>43</v>
      </c>
      <c r="I2652">
        <v>1</v>
      </c>
      <c r="J2652">
        <v>10</v>
      </c>
      <c r="K2652">
        <v>108000</v>
      </c>
      <c r="L2652">
        <v>60</v>
      </c>
      <c r="M2652" t="s">
        <v>29</v>
      </c>
      <c r="N2652" t="str">
        <f>_xlfn.XLOOKUP(B2652,tblCustomers[customer_id],tblCustomers[region],"Missing")</f>
        <v>West</v>
      </c>
      <c r="O2652" t="str">
        <f>_xlfn.XLOOKUP(C2652,tblProducts[product_id],tblProducts[product_name],"Missing")</f>
        <v>CRM Essentials</v>
      </c>
      <c r="P2652" t="str">
        <f>_xlfn.XLOOKUP(C2652,tblProducts[product_id],tblProducts[category],"Missing")</f>
        <v>CRM</v>
      </c>
      <c r="Q2652" t="str">
        <f>_xlfn.XLOOKUP(D2652,tblSalesReps[rep_id],tblSalesReps[rep_name],"Missing")</f>
        <v>Sales Rep 15</v>
      </c>
      <c r="R2652" t="str">
        <f>_xlfn.XLOOKUP(D2652,tblSalesReps[rep_id],tblSalesReps[region],"Missing")</f>
        <v>West</v>
      </c>
    </row>
    <row r="2653" spans="1:18">
      <c r="A2653" t="s">
        <v>3196</v>
      </c>
      <c r="B2653" t="s">
        <v>651</v>
      </c>
      <c r="C2653" t="s">
        <v>39</v>
      </c>
      <c r="D2653" t="s">
        <v>50</v>
      </c>
      <c r="E2653" s="1">
        <v>45867</v>
      </c>
      <c r="F2653" s="1">
        <v>45913</v>
      </c>
      <c r="G2653" s="1">
        <v>45913</v>
      </c>
      <c r="H2653" t="s">
        <v>17</v>
      </c>
      <c r="I2653">
        <v>3</v>
      </c>
      <c r="J2653">
        <v>10</v>
      </c>
      <c r="K2653">
        <v>486000</v>
      </c>
      <c r="L2653">
        <v>0</v>
      </c>
      <c r="M2653" t="s">
        <v>23</v>
      </c>
      <c r="N2653" t="str">
        <f>_xlfn.XLOOKUP(B2653,tblCustomers[customer_id],tblCustomers[region],"Missing")</f>
        <v>West</v>
      </c>
      <c r="O2653" t="str">
        <f>_xlfn.XLOOKUP(C2653,tblProducts[product_id],tblProducts[product_name],"Missing")</f>
        <v>Support Desk</v>
      </c>
      <c r="P2653" t="str">
        <f>_xlfn.XLOOKUP(C2653,tblProducts[product_id],tblProducts[category],"Missing")</f>
        <v>Service</v>
      </c>
      <c r="Q2653" t="str">
        <f>_xlfn.XLOOKUP(D2653,tblSalesReps[rep_id],tblSalesReps[rep_name],"Missing")</f>
        <v>Sales Rep 15</v>
      </c>
      <c r="R2653" t="str">
        <f>_xlfn.XLOOKUP(D2653,tblSalesReps[rep_id],tblSalesReps[region],"Missing")</f>
        <v>West</v>
      </c>
    </row>
    <row r="2654" spans="1:18">
      <c r="A2654" t="s">
        <v>3197</v>
      </c>
      <c r="B2654" t="s">
        <v>2488</v>
      </c>
      <c r="C2654" t="s">
        <v>21</v>
      </c>
      <c r="D2654" t="s">
        <v>70</v>
      </c>
      <c r="E2654" s="1">
        <v>45694</v>
      </c>
      <c r="F2654" s="1">
        <v>45732</v>
      </c>
      <c r="G2654" s="1">
        <v>45732</v>
      </c>
      <c r="H2654" t="s">
        <v>17</v>
      </c>
      <c r="I2654">
        <v>2</v>
      </c>
      <c r="J2654">
        <v>0</v>
      </c>
      <c r="K2654">
        <v>480000</v>
      </c>
      <c r="L2654">
        <v>0</v>
      </c>
      <c r="M2654" t="s">
        <v>23</v>
      </c>
      <c r="N2654" t="str">
        <f>_xlfn.XLOOKUP(B2654,tblCustomers[customer_id],tblCustomers[region],"Missing")</f>
        <v>West</v>
      </c>
      <c r="O2654" t="str">
        <f>_xlfn.XLOOKUP(C2654,tblProducts[product_id],tblProducts[product_name],"Missing")</f>
        <v>Workflow Automate</v>
      </c>
      <c r="P2654" t="str">
        <f>_xlfn.XLOOKUP(C2654,tblProducts[product_id],tblProducts[category],"Missing")</f>
        <v>Automation</v>
      </c>
      <c r="Q2654" t="str">
        <f>_xlfn.XLOOKUP(D2654,tblSalesReps[rep_id],tblSalesReps[rep_name],"Missing")</f>
        <v>Sales Rep 11</v>
      </c>
      <c r="R2654" t="str">
        <f>_xlfn.XLOOKUP(D2654,tblSalesReps[rep_id],tblSalesReps[region],"Missing")</f>
        <v>West</v>
      </c>
    </row>
    <row r="2655" spans="1:18">
      <c r="A2655" t="s">
        <v>3198</v>
      </c>
      <c r="B2655" t="s">
        <v>451</v>
      </c>
      <c r="C2655" t="s">
        <v>62</v>
      </c>
      <c r="D2655" t="s">
        <v>126</v>
      </c>
      <c r="E2655" s="1">
        <v>46007</v>
      </c>
      <c r="F2655" s="1">
        <v>46046</v>
      </c>
      <c r="G2655" s="1"/>
      <c r="H2655" t="s">
        <v>43</v>
      </c>
      <c r="I2655">
        <v>3</v>
      </c>
      <c r="J2655">
        <v>0</v>
      </c>
      <c r="K2655">
        <v>360000</v>
      </c>
      <c r="L2655">
        <v>20</v>
      </c>
      <c r="M2655" t="s">
        <v>29</v>
      </c>
      <c r="N2655" t="str">
        <f>_xlfn.XLOOKUP(B2655,tblCustomers[customer_id],tblCustomers[region],"Missing")</f>
        <v>South</v>
      </c>
      <c r="O2655" t="str">
        <f>_xlfn.XLOOKUP(C2655,tblProducts[product_id],tblProducts[product_name],"Missing")</f>
        <v>CRM Essentials</v>
      </c>
      <c r="P2655" t="str">
        <f>_xlfn.XLOOKUP(C2655,tblProducts[product_id],tblProducts[category],"Missing")</f>
        <v>CRM</v>
      </c>
      <c r="Q2655" t="str">
        <f>_xlfn.XLOOKUP(D2655,tblSalesReps[rep_id],tblSalesReps[rep_name],"Missing")</f>
        <v>Sales Rep 02</v>
      </c>
      <c r="R2655" t="str">
        <f>_xlfn.XLOOKUP(D2655,tblSalesReps[rep_id],tblSalesReps[region],"Missing")</f>
        <v>South</v>
      </c>
    </row>
    <row r="2656" spans="1:18">
      <c r="A2656" t="s">
        <v>3199</v>
      </c>
      <c r="B2656" t="s">
        <v>181</v>
      </c>
      <c r="C2656" t="s">
        <v>21</v>
      </c>
      <c r="D2656" t="s">
        <v>46</v>
      </c>
      <c r="E2656" s="1">
        <v>45737</v>
      </c>
      <c r="F2656" s="1">
        <v>45816</v>
      </c>
      <c r="G2656" s="1">
        <v>45816</v>
      </c>
      <c r="H2656" t="s">
        <v>17</v>
      </c>
      <c r="I2656">
        <v>3</v>
      </c>
      <c r="J2656">
        <v>15</v>
      </c>
      <c r="K2656">
        <v>612000</v>
      </c>
      <c r="L2656">
        <v>0</v>
      </c>
      <c r="M2656" t="s">
        <v>23</v>
      </c>
      <c r="N2656" t="str">
        <f>_xlfn.XLOOKUP(B2656,tblCustomers[customer_id],tblCustomers[region],"Missing")</f>
        <v>South</v>
      </c>
      <c r="O2656" t="str">
        <f>_xlfn.XLOOKUP(C2656,tblProducts[product_id],tblProducts[product_name],"Missing")</f>
        <v>Workflow Automate</v>
      </c>
      <c r="P2656" t="str">
        <f>_xlfn.XLOOKUP(C2656,tblProducts[product_id],tblProducts[category],"Missing")</f>
        <v>Automation</v>
      </c>
      <c r="Q2656" t="str">
        <f>_xlfn.XLOOKUP(D2656,tblSalesReps[rep_id],tblSalesReps[rep_name],"Missing")</f>
        <v>Sales Rep 01</v>
      </c>
      <c r="R2656" t="str">
        <f>_xlfn.XLOOKUP(D2656,tblSalesReps[rep_id],tblSalesReps[region],"Missing")</f>
        <v>South</v>
      </c>
    </row>
    <row r="2657" spans="1:18">
      <c r="A2657" t="s">
        <v>3200</v>
      </c>
      <c r="B2657" t="s">
        <v>145</v>
      </c>
      <c r="C2657" t="s">
        <v>39</v>
      </c>
      <c r="D2657" t="s">
        <v>40</v>
      </c>
      <c r="E2657" s="1">
        <v>45713</v>
      </c>
      <c r="F2657" s="1">
        <v>45775</v>
      </c>
      <c r="G2657" s="1">
        <v>45775</v>
      </c>
      <c r="H2657" t="s">
        <v>17</v>
      </c>
      <c r="I2657">
        <v>1</v>
      </c>
      <c r="J2657">
        <v>0</v>
      </c>
      <c r="K2657">
        <v>180000</v>
      </c>
      <c r="L2657">
        <v>0</v>
      </c>
      <c r="M2657" t="s">
        <v>18</v>
      </c>
      <c r="N2657" t="str">
        <f>_xlfn.XLOOKUP(B2657,tblCustomers[customer_id],tblCustomers[region],"Missing")</f>
        <v>West</v>
      </c>
      <c r="O2657" t="str">
        <f>_xlfn.XLOOKUP(C2657,tblProducts[product_id],tblProducts[product_name],"Missing")</f>
        <v>Support Desk</v>
      </c>
      <c r="P2657" t="str">
        <f>_xlfn.XLOOKUP(C2657,tblProducts[product_id],tblProducts[category],"Missing")</f>
        <v>Service</v>
      </c>
      <c r="Q2657" t="str">
        <f>_xlfn.XLOOKUP(D2657,tblSalesReps[rep_id],tblSalesReps[rep_name],"Missing")</f>
        <v>Sales Rep 13</v>
      </c>
      <c r="R2657" t="str">
        <f>_xlfn.XLOOKUP(D2657,tblSalesReps[rep_id],tblSalesReps[region],"Missing")</f>
        <v>West</v>
      </c>
    </row>
    <row r="2658" spans="1:18">
      <c r="A2658" t="s">
        <v>3201</v>
      </c>
      <c r="B2658" t="s">
        <v>902</v>
      </c>
      <c r="C2658" t="s">
        <v>26</v>
      </c>
      <c r="D2658" t="s">
        <v>36</v>
      </c>
      <c r="E2658" s="1">
        <v>45697</v>
      </c>
      <c r="F2658" s="1">
        <v>45753</v>
      </c>
      <c r="G2658" s="1">
        <v>45753</v>
      </c>
      <c r="H2658" t="s">
        <v>28</v>
      </c>
      <c r="I2658">
        <v>2</v>
      </c>
      <c r="J2658">
        <v>20</v>
      </c>
      <c r="K2658">
        <v>576000</v>
      </c>
      <c r="L2658">
        <v>100</v>
      </c>
      <c r="M2658" t="s">
        <v>29</v>
      </c>
      <c r="N2658" t="str">
        <f>_xlfn.XLOOKUP(B2658,tblCustomers[customer_id],tblCustomers[region],"Missing")</f>
        <v>North</v>
      </c>
      <c r="O2658" t="str">
        <f>_xlfn.XLOOKUP(C2658,tblProducts[product_id],tblProducts[product_name],"Missing")</f>
        <v>Security Suite</v>
      </c>
      <c r="P2658" t="str">
        <f>_xlfn.XLOOKUP(C2658,tblProducts[product_id],tblProducts[category],"Missing")</f>
        <v>Security</v>
      </c>
      <c r="Q2658" t="str">
        <f>_xlfn.XLOOKUP(D2658,tblSalesReps[rep_id],tblSalesReps[rep_name],"Missing")</f>
        <v>Sales Rep 09</v>
      </c>
      <c r="R2658" t="str">
        <f>_xlfn.XLOOKUP(D2658,tblSalesReps[rep_id],tblSalesReps[region],"Missing")</f>
        <v>North</v>
      </c>
    </row>
    <row r="2659" spans="1:18">
      <c r="A2659" t="s">
        <v>3202</v>
      </c>
      <c r="B2659" t="s">
        <v>1035</v>
      </c>
      <c r="C2659" t="s">
        <v>15</v>
      </c>
      <c r="D2659" t="s">
        <v>126</v>
      </c>
      <c r="E2659" s="1">
        <v>46014</v>
      </c>
      <c r="F2659" s="1">
        <v>46074</v>
      </c>
      <c r="G2659" s="1"/>
      <c r="H2659" t="s">
        <v>43</v>
      </c>
      <c r="I2659">
        <v>2</v>
      </c>
      <c r="J2659">
        <v>20</v>
      </c>
      <c r="K2659">
        <v>672000</v>
      </c>
      <c r="L2659">
        <v>80</v>
      </c>
      <c r="M2659" t="s">
        <v>29</v>
      </c>
      <c r="N2659" t="str">
        <f>_xlfn.XLOOKUP(B2659,tblCustomers[customer_id],tblCustomers[region],"Missing")</f>
        <v>South</v>
      </c>
      <c r="O2659" t="str">
        <f>_xlfn.XLOOKUP(C2659,tblProducts[product_id],tblProducts[product_name],"Missing")</f>
        <v>CRM Enterprise</v>
      </c>
      <c r="P2659" t="str">
        <f>_xlfn.XLOOKUP(C2659,tblProducts[product_id],tblProducts[category],"Missing")</f>
        <v>CRM</v>
      </c>
      <c r="Q2659" t="str">
        <f>_xlfn.XLOOKUP(D2659,tblSalesReps[rep_id],tblSalesReps[rep_name],"Missing")</f>
        <v>Sales Rep 02</v>
      </c>
      <c r="R2659" t="str">
        <f>_xlfn.XLOOKUP(D2659,tblSalesReps[rep_id],tblSalesReps[region],"Missing")</f>
        <v>South</v>
      </c>
    </row>
    <row r="2660" spans="1:18">
      <c r="A2660" t="s">
        <v>3203</v>
      </c>
      <c r="B2660" t="s">
        <v>183</v>
      </c>
      <c r="C2660" t="s">
        <v>62</v>
      </c>
      <c r="D2660" t="s">
        <v>91</v>
      </c>
      <c r="E2660" s="1">
        <v>45781</v>
      </c>
      <c r="F2660" s="1">
        <v>45838</v>
      </c>
      <c r="G2660" s="1">
        <v>45838</v>
      </c>
      <c r="H2660" t="s">
        <v>28</v>
      </c>
      <c r="I2660">
        <v>1</v>
      </c>
      <c r="J2660">
        <v>5</v>
      </c>
      <c r="K2660">
        <v>114000</v>
      </c>
      <c r="L2660">
        <v>100</v>
      </c>
      <c r="M2660" t="s">
        <v>29</v>
      </c>
      <c r="N2660" t="str">
        <f>_xlfn.XLOOKUP(B2660,tblCustomers[customer_id],tblCustomers[region],"Missing")</f>
        <v>South</v>
      </c>
      <c r="O2660" t="str">
        <f>_xlfn.XLOOKUP(C2660,tblProducts[product_id],tblProducts[product_name],"Missing")</f>
        <v>CRM Essentials</v>
      </c>
      <c r="P2660" t="str">
        <f>_xlfn.XLOOKUP(C2660,tblProducts[product_id],tblProducts[category],"Missing")</f>
        <v>CRM</v>
      </c>
      <c r="Q2660" t="str">
        <f>_xlfn.XLOOKUP(D2660,tblSalesReps[rep_id],tblSalesReps[rep_name],"Missing")</f>
        <v>Sales Rep 03</v>
      </c>
      <c r="R2660" t="str">
        <f>_xlfn.XLOOKUP(D2660,tblSalesReps[rep_id],tblSalesReps[region],"Missing")</f>
        <v>South</v>
      </c>
    </row>
    <row r="2661" spans="1:18">
      <c r="A2661" t="s">
        <v>3204</v>
      </c>
      <c r="B2661" t="s">
        <v>1366</v>
      </c>
      <c r="C2661" t="s">
        <v>26</v>
      </c>
      <c r="D2661" t="s">
        <v>91</v>
      </c>
      <c r="E2661" s="1">
        <v>45740</v>
      </c>
      <c r="F2661" s="1">
        <v>45755</v>
      </c>
      <c r="G2661" s="1">
        <v>45755</v>
      </c>
      <c r="H2661" t="s">
        <v>17</v>
      </c>
      <c r="I2661">
        <v>2</v>
      </c>
      <c r="J2661">
        <v>20</v>
      </c>
      <c r="K2661">
        <v>576000</v>
      </c>
      <c r="L2661">
        <v>0</v>
      </c>
      <c r="M2661" t="s">
        <v>82</v>
      </c>
      <c r="N2661" t="str">
        <f>_xlfn.XLOOKUP(B2661,tblCustomers[customer_id],tblCustomers[region],"Missing")</f>
        <v>South</v>
      </c>
      <c r="O2661" t="str">
        <f>_xlfn.XLOOKUP(C2661,tblProducts[product_id],tblProducts[product_name],"Missing")</f>
        <v>Security Suite</v>
      </c>
      <c r="P2661" t="str">
        <f>_xlfn.XLOOKUP(C2661,tblProducts[product_id],tblProducts[category],"Missing")</f>
        <v>Security</v>
      </c>
      <c r="Q2661" t="str">
        <f>_xlfn.XLOOKUP(D2661,tblSalesReps[rep_id],tblSalesReps[rep_name],"Missing")</f>
        <v>Sales Rep 03</v>
      </c>
      <c r="R2661" t="str">
        <f>_xlfn.XLOOKUP(D2661,tblSalesReps[rep_id],tblSalesReps[region],"Missing")</f>
        <v>South</v>
      </c>
    </row>
    <row r="2662" spans="1:18">
      <c r="A2662" t="s">
        <v>3205</v>
      </c>
      <c r="B2662" t="s">
        <v>769</v>
      </c>
      <c r="C2662" t="s">
        <v>62</v>
      </c>
      <c r="D2662" t="s">
        <v>46</v>
      </c>
      <c r="E2662" s="1">
        <v>45848</v>
      </c>
      <c r="F2662" s="1">
        <v>45899</v>
      </c>
      <c r="G2662" s="1">
        <v>45899</v>
      </c>
      <c r="H2662" t="s">
        <v>17</v>
      </c>
      <c r="I2662">
        <v>2</v>
      </c>
      <c r="J2662">
        <v>20</v>
      </c>
      <c r="K2662">
        <v>192000</v>
      </c>
      <c r="L2662">
        <v>0</v>
      </c>
      <c r="M2662" t="s">
        <v>18</v>
      </c>
      <c r="N2662" t="str">
        <f>_xlfn.XLOOKUP(B2662,tblCustomers[customer_id],tblCustomers[region],"Missing")</f>
        <v>South</v>
      </c>
      <c r="O2662" t="str">
        <f>_xlfn.XLOOKUP(C2662,tblProducts[product_id],tblProducts[product_name],"Missing")</f>
        <v>CRM Essentials</v>
      </c>
      <c r="P2662" t="str">
        <f>_xlfn.XLOOKUP(C2662,tblProducts[product_id],tblProducts[category],"Missing")</f>
        <v>CRM</v>
      </c>
      <c r="Q2662" t="str">
        <f>_xlfn.XLOOKUP(D2662,tblSalesReps[rep_id],tblSalesReps[rep_name],"Missing")</f>
        <v>Sales Rep 01</v>
      </c>
      <c r="R2662" t="str">
        <f>_xlfn.XLOOKUP(D2662,tblSalesReps[rep_id],tblSalesReps[region],"Missing")</f>
        <v>South</v>
      </c>
    </row>
    <row r="2663" spans="1:18">
      <c r="A2663" t="s">
        <v>3206</v>
      </c>
      <c r="B2663" t="s">
        <v>2656</v>
      </c>
      <c r="C2663" t="s">
        <v>26</v>
      </c>
      <c r="D2663" t="s">
        <v>152</v>
      </c>
      <c r="E2663" s="1">
        <v>45729</v>
      </c>
      <c r="F2663" s="1">
        <v>45797</v>
      </c>
      <c r="G2663" s="1">
        <v>45797</v>
      </c>
      <c r="H2663" t="s">
        <v>28</v>
      </c>
      <c r="I2663">
        <v>1</v>
      </c>
      <c r="J2663">
        <v>5</v>
      </c>
      <c r="K2663">
        <v>342000</v>
      </c>
      <c r="L2663">
        <v>100</v>
      </c>
      <c r="M2663" t="s">
        <v>29</v>
      </c>
      <c r="N2663" t="str">
        <f>_xlfn.XLOOKUP(B2663,tblCustomers[customer_id],tblCustomers[region],"Missing")</f>
        <v>East</v>
      </c>
      <c r="O2663" t="str">
        <f>_xlfn.XLOOKUP(C2663,tblProducts[product_id],tblProducts[product_name],"Missing")</f>
        <v>Security Suite</v>
      </c>
      <c r="P2663" t="str">
        <f>_xlfn.XLOOKUP(C2663,tblProducts[product_id],tblProducts[category],"Missing")</f>
        <v>Security</v>
      </c>
      <c r="Q2663" t="str">
        <f>_xlfn.XLOOKUP(D2663,tblSalesReps[rep_id],tblSalesReps[rep_name],"Missing")</f>
        <v>Sales Rep 18</v>
      </c>
      <c r="R2663" t="str">
        <f>_xlfn.XLOOKUP(D2663,tblSalesReps[rep_id],tblSalesReps[region],"Missing")</f>
        <v>East</v>
      </c>
    </row>
    <row r="2664" spans="1:18">
      <c r="A2664" t="s">
        <v>3207</v>
      </c>
      <c r="B2664" t="s">
        <v>428</v>
      </c>
      <c r="C2664" t="s">
        <v>15</v>
      </c>
      <c r="D2664" t="s">
        <v>56</v>
      </c>
      <c r="E2664" s="1">
        <v>45696</v>
      </c>
      <c r="F2664" s="1">
        <v>45761</v>
      </c>
      <c r="G2664" s="1">
        <v>45761</v>
      </c>
      <c r="H2664" t="s">
        <v>17</v>
      </c>
      <c r="I2664">
        <v>1</v>
      </c>
      <c r="J2664">
        <v>15</v>
      </c>
      <c r="K2664">
        <v>357000</v>
      </c>
      <c r="L2664">
        <v>0</v>
      </c>
      <c r="M2664" t="s">
        <v>23</v>
      </c>
      <c r="N2664" t="str">
        <f>_xlfn.XLOOKUP(B2664,tblCustomers[customer_id],tblCustomers[region],"Missing")</f>
        <v>East</v>
      </c>
      <c r="O2664" t="str">
        <f>_xlfn.XLOOKUP(C2664,tblProducts[product_id],tblProducts[product_name],"Missing")</f>
        <v>CRM Enterprise</v>
      </c>
      <c r="P2664" t="str">
        <f>_xlfn.XLOOKUP(C2664,tblProducts[product_id],tblProducts[category],"Missing")</f>
        <v>CRM</v>
      </c>
      <c r="Q2664" t="str">
        <f>_xlfn.XLOOKUP(D2664,tblSalesReps[rep_id],tblSalesReps[rep_name],"Missing")</f>
        <v>Sales Rep 20</v>
      </c>
      <c r="R2664" t="str">
        <f>_xlfn.XLOOKUP(D2664,tblSalesReps[rep_id],tblSalesReps[region],"Missing")</f>
        <v>East</v>
      </c>
    </row>
    <row r="2665" spans="1:18">
      <c r="A2665" t="s">
        <v>3208</v>
      </c>
      <c r="B2665" t="s">
        <v>578</v>
      </c>
      <c r="C2665" t="s">
        <v>21</v>
      </c>
      <c r="D2665" t="s">
        <v>22</v>
      </c>
      <c r="E2665" s="1">
        <v>45728</v>
      </c>
      <c r="F2665" s="1">
        <v>45764</v>
      </c>
      <c r="G2665" s="1">
        <v>45764</v>
      </c>
      <c r="H2665" t="s">
        <v>17</v>
      </c>
      <c r="I2665">
        <v>1</v>
      </c>
      <c r="J2665">
        <v>5</v>
      </c>
      <c r="K2665">
        <v>228000</v>
      </c>
      <c r="L2665">
        <v>0</v>
      </c>
      <c r="M2665" t="s">
        <v>47</v>
      </c>
      <c r="N2665" t="str">
        <f>_xlfn.XLOOKUP(B2665,tblCustomers[customer_id],tblCustomers[region],"Missing")</f>
        <v>West</v>
      </c>
      <c r="O2665" t="str">
        <f>_xlfn.XLOOKUP(C2665,tblProducts[product_id],tblProducts[product_name],"Missing")</f>
        <v>Workflow Automate</v>
      </c>
      <c r="P2665" t="str">
        <f>_xlfn.XLOOKUP(C2665,tblProducts[product_id],tblProducts[category],"Missing")</f>
        <v>Automation</v>
      </c>
      <c r="Q2665" t="str">
        <f>_xlfn.XLOOKUP(D2665,tblSalesReps[rep_id],tblSalesReps[rep_name],"Missing")</f>
        <v>Sales Rep 14</v>
      </c>
      <c r="R2665" t="str">
        <f>_xlfn.XLOOKUP(D2665,tblSalesReps[rep_id],tblSalesReps[region],"Missing")</f>
        <v>West</v>
      </c>
    </row>
    <row r="2666" spans="1:18">
      <c r="A2666" t="s">
        <v>3209</v>
      </c>
      <c r="B2666" t="s">
        <v>753</v>
      </c>
      <c r="C2666" t="s">
        <v>62</v>
      </c>
      <c r="D2666" t="s">
        <v>16</v>
      </c>
      <c r="E2666" s="1">
        <v>45785</v>
      </c>
      <c r="F2666" s="1">
        <v>45853</v>
      </c>
      <c r="G2666" s="1">
        <v>45853</v>
      </c>
      <c r="H2666" t="s">
        <v>17</v>
      </c>
      <c r="I2666">
        <v>3</v>
      </c>
      <c r="J2666">
        <v>0</v>
      </c>
      <c r="K2666">
        <v>360000</v>
      </c>
      <c r="L2666">
        <v>0</v>
      </c>
      <c r="M2666" t="s">
        <v>18</v>
      </c>
      <c r="N2666" t="str">
        <f>_xlfn.XLOOKUP(B2666,tblCustomers[customer_id],tblCustomers[region],"Missing")</f>
        <v>North</v>
      </c>
      <c r="O2666" t="str">
        <f>_xlfn.XLOOKUP(C2666,tblProducts[product_id],tblProducts[product_name],"Missing")</f>
        <v>CRM Essentials</v>
      </c>
      <c r="P2666" t="str">
        <f>_xlfn.XLOOKUP(C2666,tblProducts[product_id],tblProducts[category],"Missing")</f>
        <v>CRM</v>
      </c>
      <c r="Q2666" t="str">
        <f>_xlfn.XLOOKUP(D2666,tblSalesReps[rep_id],tblSalesReps[rep_name],"Missing")</f>
        <v>Sales Rep 08</v>
      </c>
      <c r="R2666" t="str">
        <f>_xlfn.XLOOKUP(D2666,tblSalesReps[rep_id],tblSalesReps[region],"Missing")</f>
        <v>North</v>
      </c>
    </row>
    <row r="2667" spans="1:18">
      <c r="A2667" t="s">
        <v>3210</v>
      </c>
      <c r="B2667" t="s">
        <v>795</v>
      </c>
      <c r="C2667" t="s">
        <v>81</v>
      </c>
      <c r="D2667" t="s">
        <v>50</v>
      </c>
      <c r="E2667" s="1">
        <v>45991</v>
      </c>
      <c r="F2667" s="1">
        <v>46072</v>
      </c>
      <c r="G2667" s="1"/>
      <c r="H2667" t="s">
        <v>43</v>
      </c>
      <c r="I2667">
        <v>3</v>
      </c>
      <c r="J2667">
        <v>15</v>
      </c>
      <c r="K2667">
        <v>765000</v>
      </c>
      <c r="L2667">
        <v>40</v>
      </c>
      <c r="M2667" t="s">
        <v>29</v>
      </c>
      <c r="N2667" t="str">
        <f>_xlfn.XLOOKUP(B2667,tblCustomers[customer_id],tblCustomers[region],"Missing")</f>
        <v>West</v>
      </c>
      <c r="O2667" t="str">
        <f>_xlfn.XLOOKUP(C2667,tblProducts[product_id],tblProducts[product_name],"Missing")</f>
        <v>Analytics Cloud</v>
      </c>
      <c r="P2667" t="str">
        <f>_xlfn.XLOOKUP(C2667,tblProducts[product_id],tblProducts[category],"Missing")</f>
        <v>Analytics</v>
      </c>
      <c r="Q2667" t="str">
        <f>_xlfn.XLOOKUP(D2667,tblSalesReps[rep_id],tblSalesReps[rep_name],"Missing")</f>
        <v>Sales Rep 15</v>
      </c>
      <c r="R2667" t="str">
        <f>_xlfn.XLOOKUP(D2667,tblSalesReps[rep_id],tblSalesReps[region],"Missing")</f>
        <v>West</v>
      </c>
    </row>
    <row r="2668" spans="1:18">
      <c r="A2668" t="s">
        <v>3211</v>
      </c>
      <c r="B2668" t="s">
        <v>559</v>
      </c>
      <c r="C2668" t="s">
        <v>39</v>
      </c>
      <c r="D2668" t="s">
        <v>22</v>
      </c>
      <c r="E2668" s="1">
        <v>45889</v>
      </c>
      <c r="F2668" s="1">
        <v>45953</v>
      </c>
      <c r="G2668" s="1">
        <v>45953</v>
      </c>
      <c r="H2668" t="s">
        <v>28</v>
      </c>
      <c r="I2668">
        <v>2</v>
      </c>
      <c r="J2668">
        <v>5</v>
      </c>
      <c r="K2668">
        <v>342000</v>
      </c>
      <c r="L2668">
        <v>100</v>
      </c>
      <c r="M2668" t="s">
        <v>29</v>
      </c>
      <c r="N2668" t="str">
        <f>_xlfn.XLOOKUP(B2668,tblCustomers[customer_id],tblCustomers[region],"Missing")</f>
        <v>West</v>
      </c>
      <c r="O2668" t="str">
        <f>_xlfn.XLOOKUP(C2668,tblProducts[product_id],tblProducts[product_name],"Missing")</f>
        <v>Support Desk</v>
      </c>
      <c r="P2668" t="str">
        <f>_xlfn.XLOOKUP(C2668,tblProducts[product_id],tblProducts[category],"Missing")</f>
        <v>Service</v>
      </c>
      <c r="Q2668" t="str">
        <f>_xlfn.XLOOKUP(D2668,tblSalesReps[rep_id],tblSalesReps[rep_name],"Missing")</f>
        <v>Sales Rep 14</v>
      </c>
      <c r="R2668" t="str">
        <f>_xlfn.XLOOKUP(D2668,tblSalesReps[rep_id],tblSalesReps[region],"Missing")</f>
        <v>West</v>
      </c>
    </row>
    <row r="2669" spans="1:18">
      <c r="A2669" t="s">
        <v>3212</v>
      </c>
      <c r="B2669" t="s">
        <v>1598</v>
      </c>
      <c r="C2669" t="s">
        <v>62</v>
      </c>
      <c r="D2669" t="s">
        <v>75</v>
      </c>
      <c r="E2669" s="1">
        <v>45905</v>
      </c>
      <c r="F2669" s="1">
        <v>45913</v>
      </c>
      <c r="G2669" s="1"/>
      <c r="H2669" t="s">
        <v>43</v>
      </c>
      <c r="I2669">
        <v>1</v>
      </c>
      <c r="J2669">
        <v>5</v>
      </c>
      <c r="K2669">
        <v>114000</v>
      </c>
      <c r="L2669">
        <v>40</v>
      </c>
      <c r="M2669" t="s">
        <v>29</v>
      </c>
      <c r="N2669" t="str">
        <f>_xlfn.XLOOKUP(B2669,tblCustomers[customer_id],tblCustomers[region],"Missing")</f>
        <v>North</v>
      </c>
      <c r="O2669" t="str">
        <f>_xlfn.XLOOKUP(C2669,tblProducts[product_id],tblProducts[product_name],"Missing")</f>
        <v>CRM Essentials</v>
      </c>
      <c r="P2669" t="str">
        <f>_xlfn.XLOOKUP(C2669,tblProducts[product_id],tblProducts[category],"Missing")</f>
        <v>CRM</v>
      </c>
      <c r="Q2669" t="str">
        <f>_xlfn.XLOOKUP(D2669,tblSalesReps[rep_id],tblSalesReps[rep_name],"Missing")</f>
        <v>Sales Rep 07</v>
      </c>
      <c r="R2669" t="str">
        <f>_xlfn.XLOOKUP(D2669,tblSalesReps[rep_id],tblSalesReps[region],"Missing")</f>
        <v>North</v>
      </c>
    </row>
    <row r="2670" spans="1:18">
      <c r="A2670" t="s">
        <v>3213</v>
      </c>
      <c r="B2670" t="s">
        <v>209</v>
      </c>
      <c r="C2670" t="s">
        <v>62</v>
      </c>
      <c r="D2670" t="s">
        <v>22</v>
      </c>
      <c r="E2670" s="1">
        <v>45865</v>
      </c>
      <c r="F2670" s="1">
        <v>45932</v>
      </c>
      <c r="G2670" s="1">
        <v>45932</v>
      </c>
      <c r="H2670" t="s">
        <v>17</v>
      </c>
      <c r="I2670">
        <v>1</v>
      </c>
      <c r="J2670">
        <v>10</v>
      </c>
      <c r="K2670">
        <v>108000</v>
      </c>
      <c r="L2670">
        <v>0</v>
      </c>
      <c r="M2670" t="s">
        <v>33</v>
      </c>
      <c r="N2670" t="str">
        <f>_xlfn.XLOOKUP(B2670,tblCustomers[customer_id],tblCustomers[region],"Missing")</f>
        <v>West</v>
      </c>
      <c r="O2670" t="str">
        <f>_xlfn.XLOOKUP(C2670,tblProducts[product_id],tblProducts[product_name],"Missing")</f>
        <v>CRM Essentials</v>
      </c>
      <c r="P2670" t="str">
        <f>_xlfn.XLOOKUP(C2670,tblProducts[product_id],tblProducts[category],"Missing")</f>
        <v>CRM</v>
      </c>
      <c r="Q2670" t="str">
        <f>_xlfn.XLOOKUP(D2670,tblSalesReps[rep_id],tblSalesReps[rep_name],"Missing")</f>
        <v>Sales Rep 14</v>
      </c>
      <c r="R2670" t="str">
        <f>_xlfn.XLOOKUP(D2670,tblSalesReps[rep_id],tblSalesReps[region],"Missing")</f>
        <v>West</v>
      </c>
    </row>
    <row r="2671" spans="1:18">
      <c r="A2671" t="s">
        <v>3214</v>
      </c>
      <c r="B2671" t="s">
        <v>118</v>
      </c>
      <c r="C2671" t="s">
        <v>62</v>
      </c>
      <c r="D2671" t="s">
        <v>75</v>
      </c>
      <c r="E2671" s="1">
        <v>45911</v>
      </c>
      <c r="F2671" s="1">
        <v>45965</v>
      </c>
      <c r="G2671" s="1">
        <v>45965</v>
      </c>
      <c r="H2671" t="s">
        <v>28</v>
      </c>
      <c r="I2671">
        <v>3</v>
      </c>
      <c r="J2671">
        <v>15</v>
      </c>
      <c r="K2671">
        <v>306000</v>
      </c>
      <c r="L2671">
        <v>100</v>
      </c>
      <c r="M2671" t="s">
        <v>29</v>
      </c>
      <c r="N2671" t="str">
        <f>_xlfn.XLOOKUP(B2671,tblCustomers[customer_id],tblCustomers[region],"Missing")</f>
        <v>North</v>
      </c>
      <c r="O2671" t="str">
        <f>_xlfn.XLOOKUP(C2671,tblProducts[product_id],tblProducts[product_name],"Missing")</f>
        <v>CRM Essentials</v>
      </c>
      <c r="P2671" t="str">
        <f>_xlfn.XLOOKUP(C2671,tblProducts[product_id],tblProducts[category],"Missing")</f>
        <v>CRM</v>
      </c>
      <c r="Q2671" t="str">
        <f>_xlfn.XLOOKUP(D2671,tblSalesReps[rep_id],tblSalesReps[rep_name],"Missing")</f>
        <v>Sales Rep 07</v>
      </c>
      <c r="R2671" t="str">
        <f>_xlfn.XLOOKUP(D2671,tblSalesReps[rep_id],tblSalesReps[region],"Missing")</f>
        <v>North</v>
      </c>
    </row>
    <row r="2672" spans="1:18">
      <c r="A2672" t="s">
        <v>3215</v>
      </c>
      <c r="B2672" t="s">
        <v>1620</v>
      </c>
      <c r="C2672" t="s">
        <v>39</v>
      </c>
      <c r="D2672" t="s">
        <v>63</v>
      </c>
      <c r="E2672" s="1">
        <v>45804</v>
      </c>
      <c r="F2672" s="1">
        <v>45885</v>
      </c>
      <c r="G2672" s="1">
        <v>45885</v>
      </c>
      <c r="H2672" t="s">
        <v>17</v>
      </c>
      <c r="I2672">
        <v>1</v>
      </c>
      <c r="J2672">
        <v>15</v>
      </c>
      <c r="K2672">
        <v>153000</v>
      </c>
      <c r="L2672">
        <v>0</v>
      </c>
      <c r="M2672" t="s">
        <v>18</v>
      </c>
      <c r="N2672" t="str">
        <f>_xlfn.XLOOKUP(B2672,tblCustomers[customer_id],tblCustomers[region],"Missing")</f>
        <v>South</v>
      </c>
      <c r="O2672" t="str">
        <f>_xlfn.XLOOKUP(C2672,tblProducts[product_id],tblProducts[product_name],"Missing")</f>
        <v>Support Desk</v>
      </c>
      <c r="P2672" t="str">
        <f>_xlfn.XLOOKUP(C2672,tblProducts[product_id],tblProducts[category],"Missing")</f>
        <v>Service</v>
      </c>
      <c r="Q2672" t="str">
        <f>_xlfn.XLOOKUP(D2672,tblSalesReps[rep_id],tblSalesReps[rep_name],"Missing")</f>
        <v>Sales Rep 05</v>
      </c>
      <c r="R2672" t="str">
        <f>_xlfn.XLOOKUP(D2672,tblSalesReps[rep_id],tblSalesReps[region],"Missing")</f>
        <v>South</v>
      </c>
    </row>
    <row r="2673" spans="1:18">
      <c r="A2673" t="s">
        <v>3216</v>
      </c>
      <c r="B2673" t="s">
        <v>296</v>
      </c>
      <c r="C2673" t="s">
        <v>21</v>
      </c>
      <c r="D2673" t="s">
        <v>91</v>
      </c>
      <c r="E2673" s="1">
        <v>45683</v>
      </c>
      <c r="F2673" s="1">
        <v>45752</v>
      </c>
      <c r="G2673" s="1">
        <v>45752</v>
      </c>
      <c r="H2673" t="s">
        <v>28</v>
      </c>
      <c r="I2673">
        <v>1</v>
      </c>
      <c r="J2673">
        <v>20</v>
      </c>
      <c r="K2673">
        <v>192000</v>
      </c>
      <c r="L2673">
        <v>100</v>
      </c>
      <c r="M2673" t="s">
        <v>29</v>
      </c>
      <c r="N2673" t="str">
        <f>_xlfn.XLOOKUP(B2673,tblCustomers[customer_id],tblCustomers[region],"Missing")</f>
        <v>South</v>
      </c>
      <c r="O2673" t="str">
        <f>_xlfn.XLOOKUP(C2673,tblProducts[product_id],tblProducts[product_name],"Missing")</f>
        <v>Workflow Automate</v>
      </c>
      <c r="P2673" t="str">
        <f>_xlfn.XLOOKUP(C2673,tblProducts[product_id],tblProducts[category],"Missing")</f>
        <v>Automation</v>
      </c>
      <c r="Q2673" t="str">
        <f>_xlfn.XLOOKUP(D2673,tblSalesReps[rep_id],tblSalesReps[rep_name],"Missing")</f>
        <v>Sales Rep 03</v>
      </c>
      <c r="R2673" t="str">
        <f>_xlfn.XLOOKUP(D2673,tblSalesReps[rep_id],tblSalesReps[region],"Missing")</f>
        <v>South</v>
      </c>
    </row>
    <row r="2674" spans="1:18">
      <c r="A2674" t="s">
        <v>3217</v>
      </c>
      <c r="B2674" t="s">
        <v>662</v>
      </c>
      <c r="C2674" t="s">
        <v>62</v>
      </c>
      <c r="D2674" t="s">
        <v>91</v>
      </c>
      <c r="E2674" s="1">
        <v>45816</v>
      </c>
      <c r="F2674" s="1">
        <v>45873</v>
      </c>
      <c r="G2674" s="1">
        <v>45873</v>
      </c>
      <c r="H2674" t="s">
        <v>17</v>
      </c>
      <c r="I2674">
        <v>2</v>
      </c>
      <c r="J2674">
        <v>0</v>
      </c>
      <c r="K2674">
        <v>240000</v>
      </c>
      <c r="L2674">
        <v>0</v>
      </c>
      <c r="M2674" t="s">
        <v>33</v>
      </c>
      <c r="N2674" t="str">
        <f>_xlfn.XLOOKUP(B2674,tblCustomers[customer_id],tblCustomers[region],"Missing")</f>
        <v>South</v>
      </c>
      <c r="O2674" t="str">
        <f>_xlfn.XLOOKUP(C2674,tblProducts[product_id],tblProducts[product_name],"Missing")</f>
        <v>CRM Essentials</v>
      </c>
      <c r="P2674" t="str">
        <f>_xlfn.XLOOKUP(C2674,tblProducts[product_id],tblProducts[category],"Missing")</f>
        <v>CRM</v>
      </c>
      <c r="Q2674" t="str">
        <f>_xlfn.XLOOKUP(D2674,tblSalesReps[rep_id],tblSalesReps[rep_name],"Missing")</f>
        <v>Sales Rep 03</v>
      </c>
      <c r="R2674" t="str">
        <f>_xlfn.XLOOKUP(D2674,tblSalesReps[rep_id],tblSalesReps[region],"Missing")</f>
        <v>South</v>
      </c>
    </row>
    <row r="2675" spans="1:18">
      <c r="A2675" t="s">
        <v>3218</v>
      </c>
      <c r="B2675" t="s">
        <v>141</v>
      </c>
      <c r="C2675" t="s">
        <v>26</v>
      </c>
      <c r="D2675" t="s">
        <v>75</v>
      </c>
      <c r="E2675" s="1">
        <v>45809</v>
      </c>
      <c r="F2675" s="1">
        <v>45875</v>
      </c>
      <c r="G2675" s="1"/>
      <c r="H2675" t="s">
        <v>43</v>
      </c>
      <c r="I2675">
        <v>1</v>
      </c>
      <c r="J2675">
        <v>20</v>
      </c>
      <c r="K2675">
        <v>288000</v>
      </c>
      <c r="L2675">
        <v>80</v>
      </c>
      <c r="M2675" t="s">
        <v>29</v>
      </c>
      <c r="N2675" t="str">
        <f>_xlfn.XLOOKUP(B2675,tblCustomers[customer_id],tblCustomers[region],"Missing")</f>
        <v>North</v>
      </c>
      <c r="O2675" t="str">
        <f>_xlfn.XLOOKUP(C2675,tblProducts[product_id],tblProducts[product_name],"Missing")</f>
        <v>Security Suite</v>
      </c>
      <c r="P2675" t="str">
        <f>_xlfn.XLOOKUP(C2675,tblProducts[product_id],tblProducts[category],"Missing")</f>
        <v>Security</v>
      </c>
      <c r="Q2675" t="str">
        <f>_xlfn.XLOOKUP(D2675,tblSalesReps[rep_id],tblSalesReps[rep_name],"Missing")</f>
        <v>Sales Rep 07</v>
      </c>
      <c r="R2675" t="str">
        <f>_xlfn.XLOOKUP(D2675,tblSalesReps[rep_id],tblSalesReps[region],"Missing")</f>
        <v>North</v>
      </c>
    </row>
    <row r="2676" spans="1:18">
      <c r="A2676" t="s">
        <v>3219</v>
      </c>
      <c r="B2676" t="s">
        <v>553</v>
      </c>
      <c r="C2676" t="s">
        <v>21</v>
      </c>
      <c r="D2676" t="s">
        <v>53</v>
      </c>
      <c r="E2676" s="1">
        <v>45767</v>
      </c>
      <c r="F2676" s="1">
        <v>45809</v>
      </c>
      <c r="G2676" s="1"/>
      <c r="H2676" t="s">
        <v>43</v>
      </c>
      <c r="I2676">
        <v>1</v>
      </c>
      <c r="J2676">
        <v>10</v>
      </c>
      <c r="K2676">
        <v>216000</v>
      </c>
      <c r="L2676">
        <v>80</v>
      </c>
      <c r="M2676" t="s">
        <v>29</v>
      </c>
      <c r="N2676" t="str">
        <f>_xlfn.XLOOKUP(B2676,tblCustomers[customer_id],tblCustomers[region],"Missing")</f>
        <v>East</v>
      </c>
      <c r="O2676" t="str">
        <f>_xlfn.XLOOKUP(C2676,tblProducts[product_id],tblProducts[product_name],"Missing")</f>
        <v>Workflow Automate</v>
      </c>
      <c r="P2676" t="str">
        <f>_xlfn.XLOOKUP(C2676,tblProducts[product_id],tblProducts[category],"Missing")</f>
        <v>Automation</v>
      </c>
      <c r="Q2676" t="str">
        <f>_xlfn.XLOOKUP(D2676,tblSalesReps[rep_id],tblSalesReps[rep_name],"Missing")</f>
        <v>Sales Rep 16</v>
      </c>
      <c r="R2676" t="str">
        <f>_xlfn.XLOOKUP(D2676,tblSalesReps[rep_id],tblSalesReps[region],"Missing")</f>
        <v>East</v>
      </c>
    </row>
    <row r="2677" spans="1:18">
      <c r="A2677" t="s">
        <v>3220</v>
      </c>
      <c r="B2677" t="s">
        <v>362</v>
      </c>
      <c r="C2677" t="s">
        <v>15</v>
      </c>
      <c r="D2677" t="s">
        <v>27</v>
      </c>
      <c r="E2677" s="1">
        <v>45668</v>
      </c>
      <c r="F2677" s="1">
        <v>45700</v>
      </c>
      <c r="G2677" s="1">
        <v>45700</v>
      </c>
      <c r="H2677" t="s">
        <v>28</v>
      </c>
      <c r="I2677">
        <v>1</v>
      </c>
      <c r="J2677">
        <v>10</v>
      </c>
      <c r="K2677">
        <v>378000</v>
      </c>
      <c r="L2677">
        <v>100</v>
      </c>
      <c r="M2677" t="s">
        <v>29</v>
      </c>
      <c r="N2677" t="str">
        <f>_xlfn.XLOOKUP(B2677,tblCustomers[customer_id],tblCustomers[region],"Missing")</f>
        <v>North</v>
      </c>
      <c r="O2677" t="str">
        <f>_xlfn.XLOOKUP(C2677,tblProducts[product_id],tblProducts[product_name],"Missing")</f>
        <v>CRM Enterprise</v>
      </c>
      <c r="P2677" t="str">
        <f>_xlfn.XLOOKUP(C2677,tblProducts[product_id],tblProducts[category],"Missing")</f>
        <v>CRM</v>
      </c>
      <c r="Q2677" t="str">
        <f>_xlfn.XLOOKUP(D2677,tblSalesReps[rep_id],tblSalesReps[rep_name],"Missing")</f>
        <v>Sales Rep 06</v>
      </c>
      <c r="R2677" t="str">
        <f>_xlfn.XLOOKUP(D2677,tblSalesReps[rep_id],tblSalesReps[region],"Missing")</f>
        <v>North</v>
      </c>
    </row>
    <row r="2678" spans="1:18">
      <c r="A2678" t="s">
        <v>3221</v>
      </c>
      <c r="B2678" t="s">
        <v>892</v>
      </c>
      <c r="C2678" t="s">
        <v>21</v>
      </c>
      <c r="D2678" t="s">
        <v>59</v>
      </c>
      <c r="E2678" s="1">
        <v>45887</v>
      </c>
      <c r="F2678" s="1">
        <v>45927</v>
      </c>
      <c r="G2678" s="1">
        <v>45927</v>
      </c>
      <c r="H2678" t="s">
        <v>17</v>
      </c>
      <c r="I2678">
        <v>1</v>
      </c>
      <c r="J2678">
        <v>10</v>
      </c>
      <c r="K2678">
        <v>216000</v>
      </c>
      <c r="L2678">
        <v>0</v>
      </c>
      <c r="M2678" t="s">
        <v>18</v>
      </c>
      <c r="N2678" t="str">
        <f>_xlfn.XLOOKUP(B2678,tblCustomers[customer_id],tblCustomers[region],"Missing")</f>
        <v>East</v>
      </c>
      <c r="O2678" t="str">
        <f>_xlfn.XLOOKUP(C2678,tblProducts[product_id],tblProducts[product_name],"Missing")</f>
        <v>Workflow Automate</v>
      </c>
      <c r="P2678" t="str">
        <f>_xlfn.XLOOKUP(C2678,tblProducts[product_id],tblProducts[category],"Missing")</f>
        <v>Automation</v>
      </c>
      <c r="Q2678" t="str">
        <f>_xlfn.XLOOKUP(D2678,tblSalesReps[rep_id],tblSalesReps[rep_name],"Missing")</f>
        <v>Sales Rep 19</v>
      </c>
      <c r="R2678" t="str">
        <f>_xlfn.XLOOKUP(D2678,tblSalesReps[rep_id],tblSalesReps[region],"Missing")</f>
        <v>East</v>
      </c>
    </row>
    <row r="2679" spans="1:18">
      <c r="A2679" t="s">
        <v>3222</v>
      </c>
      <c r="B2679" t="s">
        <v>1318</v>
      </c>
      <c r="C2679" t="s">
        <v>15</v>
      </c>
      <c r="D2679" t="s">
        <v>32</v>
      </c>
      <c r="E2679" s="1">
        <v>45815</v>
      </c>
      <c r="F2679" s="1">
        <v>45856</v>
      </c>
      <c r="G2679" s="1"/>
      <c r="H2679" t="s">
        <v>43</v>
      </c>
      <c r="I2679">
        <v>1</v>
      </c>
      <c r="J2679">
        <v>15</v>
      </c>
      <c r="K2679">
        <v>357000</v>
      </c>
      <c r="L2679">
        <v>60</v>
      </c>
      <c r="M2679" t="s">
        <v>29</v>
      </c>
      <c r="N2679" t="str">
        <f>_xlfn.XLOOKUP(B2679,tblCustomers[customer_id],tblCustomers[region],"Missing")</f>
        <v>South</v>
      </c>
      <c r="O2679" t="str">
        <f>_xlfn.XLOOKUP(C2679,tblProducts[product_id],tblProducts[product_name],"Missing")</f>
        <v>CRM Enterprise</v>
      </c>
      <c r="P2679" t="str">
        <f>_xlfn.XLOOKUP(C2679,tblProducts[product_id],tblProducts[category],"Missing")</f>
        <v>CRM</v>
      </c>
      <c r="Q2679" t="str">
        <f>_xlfn.XLOOKUP(D2679,tblSalesReps[rep_id],tblSalesReps[rep_name],"Missing")</f>
        <v>Sales Rep 04</v>
      </c>
      <c r="R2679" t="str">
        <f>_xlfn.XLOOKUP(D2679,tblSalesReps[rep_id],tblSalesReps[region],"Missing")</f>
        <v>South</v>
      </c>
    </row>
    <row r="2680" spans="1:18">
      <c r="A2680" t="s">
        <v>3223</v>
      </c>
      <c r="B2680" t="s">
        <v>147</v>
      </c>
      <c r="C2680" t="s">
        <v>81</v>
      </c>
      <c r="D2680" t="s">
        <v>16</v>
      </c>
      <c r="E2680" s="1">
        <v>45950</v>
      </c>
      <c r="F2680" s="1">
        <v>46015</v>
      </c>
      <c r="G2680" s="1">
        <v>46015</v>
      </c>
      <c r="H2680" t="s">
        <v>17</v>
      </c>
      <c r="I2680">
        <v>1</v>
      </c>
      <c r="J2680">
        <v>15</v>
      </c>
      <c r="K2680">
        <v>255000</v>
      </c>
      <c r="L2680">
        <v>0</v>
      </c>
      <c r="M2680" t="s">
        <v>47</v>
      </c>
      <c r="N2680" t="str">
        <f>_xlfn.XLOOKUP(B2680,tblCustomers[customer_id],tblCustomers[region],"Missing")</f>
        <v>North</v>
      </c>
      <c r="O2680" t="str">
        <f>_xlfn.XLOOKUP(C2680,tblProducts[product_id],tblProducts[product_name],"Missing")</f>
        <v>Analytics Cloud</v>
      </c>
      <c r="P2680" t="str">
        <f>_xlfn.XLOOKUP(C2680,tblProducts[product_id],tblProducts[category],"Missing")</f>
        <v>Analytics</v>
      </c>
      <c r="Q2680" t="str">
        <f>_xlfn.XLOOKUP(D2680,tblSalesReps[rep_id],tblSalesReps[rep_name],"Missing")</f>
        <v>Sales Rep 08</v>
      </c>
      <c r="R2680" t="str">
        <f>_xlfn.XLOOKUP(D2680,tblSalesReps[rep_id],tblSalesReps[region],"Missing")</f>
        <v>North</v>
      </c>
    </row>
    <row r="2681" spans="1:18">
      <c r="A2681" t="s">
        <v>3224</v>
      </c>
      <c r="B2681" t="s">
        <v>247</v>
      </c>
      <c r="C2681" t="s">
        <v>81</v>
      </c>
      <c r="D2681" t="s">
        <v>36</v>
      </c>
      <c r="E2681" s="1">
        <v>45776</v>
      </c>
      <c r="F2681" s="1">
        <v>45830</v>
      </c>
      <c r="G2681" s="1">
        <v>45830</v>
      </c>
      <c r="H2681" t="s">
        <v>17</v>
      </c>
      <c r="I2681">
        <v>1</v>
      </c>
      <c r="J2681">
        <v>0</v>
      </c>
      <c r="K2681">
        <v>300000</v>
      </c>
      <c r="L2681">
        <v>0</v>
      </c>
      <c r="M2681" t="s">
        <v>47</v>
      </c>
      <c r="N2681" t="str">
        <f>_xlfn.XLOOKUP(B2681,tblCustomers[customer_id],tblCustomers[region],"Missing")</f>
        <v>North</v>
      </c>
      <c r="O2681" t="str">
        <f>_xlfn.XLOOKUP(C2681,tblProducts[product_id],tblProducts[product_name],"Missing")</f>
        <v>Analytics Cloud</v>
      </c>
      <c r="P2681" t="str">
        <f>_xlfn.XLOOKUP(C2681,tblProducts[product_id],tblProducts[category],"Missing")</f>
        <v>Analytics</v>
      </c>
      <c r="Q2681" t="str">
        <f>_xlfn.XLOOKUP(D2681,tblSalesReps[rep_id],tblSalesReps[rep_name],"Missing")</f>
        <v>Sales Rep 09</v>
      </c>
      <c r="R2681" t="str">
        <f>_xlfn.XLOOKUP(D2681,tblSalesReps[rep_id],tblSalesReps[region],"Missing")</f>
        <v>North</v>
      </c>
    </row>
    <row r="2682" spans="1:18">
      <c r="A2682" t="s">
        <v>3225</v>
      </c>
      <c r="B2682" t="s">
        <v>1164</v>
      </c>
      <c r="C2682" t="s">
        <v>15</v>
      </c>
      <c r="D2682" t="s">
        <v>46</v>
      </c>
      <c r="E2682" s="1">
        <v>45849</v>
      </c>
      <c r="F2682" s="1">
        <v>45910</v>
      </c>
      <c r="G2682" s="1">
        <v>45910</v>
      </c>
      <c r="H2682" t="s">
        <v>17</v>
      </c>
      <c r="I2682">
        <v>1</v>
      </c>
      <c r="J2682">
        <v>0</v>
      </c>
      <c r="K2682">
        <v>420000</v>
      </c>
      <c r="L2682">
        <v>0</v>
      </c>
      <c r="M2682" t="s">
        <v>33</v>
      </c>
      <c r="N2682" t="str">
        <f>_xlfn.XLOOKUP(B2682,tblCustomers[customer_id],tblCustomers[region],"Missing")</f>
        <v>South</v>
      </c>
      <c r="O2682" t="str">
        <f>_xlfn.XLOOKUP(C2682,tblProducts[product_id],tblProducts[product_name],"Missing")</f>
        <v>CRM Enterprise</v>
      </c>
      <c r="P2682" t="str">
        <f>_xlfn.XLOOKUP(C2682,tblProducts[product_id],tblProducts[category],"Missing")</f>
        <v>CRM</v>
      </c>
      <c r="Q2682" t="str">
        <f>_xlfn.XLOOKUP(D2682,tblSalesReps[rep_id],tblSalesReps[rep_name],"Missing")</f>
        <v>Sales Rep 01</v>
      </c>
      <c r="R2682" t="str">
        <f>_xlfn.XLOOKUP(D2682,tblSalesReps[rep_id],tblSalesReps[region],"Missing")</f>
        <v>South</v>
      </c>
    </row>
    <row r="2683" spans="1:18">
      <c r="A2683" t="s">
        <v>3226</v>
      </c>
      <c r="B2683" t="s">
        <v>123</v>
      </c>
      <c r="C2683" t="s">
        <v>21</v>
      </c>
      <c r="D2683" t="s">
        <v>46</v>
      </c>
      <c r="E2683" s="1">
        <v>45710</v>
      </c>
      <c r="F2683" s="1">
        <v>45720</v>
      </c>
      <c r="G2683" s="1"/>
      <c r="H2683" t="s">
        <v>43</v>
      </c>
      <c r="I2683">
        <v>1</v>
      </c>
      <c r="J2683">
        <v>5</v>
      </c>
      <c r="K2683">
        <v>228000</v>
      </c>
      <c r="L2683">
        <v>20</v>
      </c>
      <c r="M2683" t="s">
        <v>29</v>
      </c>
      <c r="N2683" t="str">
        <f>_xlfn.XLOOKUP(B2683,tblCustomers[customer_id],tblCustomers[region],"Missing")</f>
        <v>South</v>
      </c>
      <c r="O2683" t="str">
        <f>_xlfn.XLOOKUP(C2683,tblProducts[product_id],tblProducts[product_name],"Missing")</f>
        <v>Workflow Automate</v>
      </c>
      <c r="P2683" t="str">
        <f>_xlfn.XLOOKUP(C2683,tblProducts[product_id],tblProducts[category],"Missing")</f>
        <v>Automation</v>
      </c>
      <c r="Q2683" t="str">
        <f>_xlfn.XLOOKUP(D2683,tblSalesReps[rep_id],tblSalesReps[rep_name],"Missing")</f>
        <v>Sales Rep 01</v>
      </c>
      <c r="R2683" t="str">
        <f>_xlfn.XLOOKUP(D2683,tblSalesReps[rep_id],tblSalesReps[region],"Missing")</f>
        <v>South</v>
      </c>
    </row>
    <row r="2684" spans="1:18">
      <c r="A2684" t="s">
        <v>3227</v>
      </c>
      <c r="B2684" t="s">
        <v>520</v>
      </c>
      <c r="C2684" t="s">
        <v>39</v>
      </c>
      <c r="D2684" t="s">
        <v>59</v>
      </c>
      <c r="E2684" s="1">
        <v>45900</v>
      </c>
      <c r="F2684" s="1">
        <v>45929</v>
      </c>
      <c r="G2684" s="1">
        <v>45929</v>
      </c>
      <c r="H2684" t="s">
        <v>17</v>
      </c>
      <c r="I2684">
        <v>3</v>
      </c>
      <c r="J2684">
        <v>15</v>
      </c>
      <c r="K2684">
        <v>459000</v>
      </c>
      <c r="L2684">
        <v>0</v>
      </c>
      <c r="M2684" t="s">
        <v>18</v>
      </c>
      <c r="N2684" t="str">
        <f>_xlfn.XLOOKUP(B2684,tblCustomers[customer_id],tblCustomers[region],"Missing")</f>
        <v>East</v>
      </c>
      <c r="O2684" t="str">
        <f>_xlfn.XLOOKUP(C2684,tblProducts[product_id],tblProducts[product_name],"Missing")</f>
        <v>Support Desk</v>
      </c>
      <c r="P2684" t="str">
        <f>_xlfn.XLOOKUP(C2684,tblProducts[product_id],tblProducts[category],"Missing")</f>
        <v>Service</v>
      </c>
      <c r="Q2684" t="str">
        <f>_xlfn.XLOOKUP(D2684,tblSalesReps[rep_id],tblSalesReps[rep_name],"Missing")</f>
        <v>Sales Rep 19</v>
      </c>
      <c r="R2684" t="str">
        <f>_xlfn.XLOOKUP(D2684,tblSalesReps[rep_id],tblSalesReps[region],"Missing")</f>
        <v>East</v>
      </c>
    </row>
    <row r="2685" spans="1:18">
      <c r="A2685" t="s">
        <v>3228</v>
      </c>
      <c r="B2685" t="s">
        <v>680</v>
      </c>
      <c r="C2685" t="s">
        <v>26</v>
      </c>
      <c r="D2685" t="s">
        <v>46</v>
      </c>
      <c r="E2685" s="1">
        <v>45891</v>
      </c>
      <c r="F2685" s="1">
        <v>45919</v>
      </c>
      <c r="G2685" s="1">
        <v>45919</v>
      </c>
      <c r="H2685" t="s">
        <v>17</v>
      </c>
      <c r="I2685">
        <v>1</v>
      </c>
      <c r="J2685">
        <v>20</v>
      </c>
      <c r="K2685">
        <v>288000</v>
      </c>
      <c r="L2685">
        <v>0</v>
      </c>
      <c r="M2685" t="s">
        <v>18</v>
      </c>
      <c r="N2685" t="str">
        <f>_xlfn.XLOOKUP(B2685,tblCustomers[customer_id],tblCustomers[region],"Missing")</f>
        <v>South</v>
      </c>
      <c r="O2685" t="str">
        <f>_xlfn.XLOOKUP(C2685,tblProducts[product_id],tblProducts[product_name],"Missing")</f>
        <v>Security Suite</v>
      </c>
      <c r="P2685" t="str">
        <f>_xlfn.XLOOKUP(C2685,tblProducts[product_id],tblProducts[category],"Missing")</f>
        <v>Security</v>
      </c>
      <c r="Q2685" t="str">
        <f>_xlfn.XLOOKUP(D2685,tblSalesReps[rep_id],tblSalesReps[rep_name],"Missing")</f>
        <v>Sales Rep 01</v>
      </c>
      <c r="R2685" t="str">
        <f>_xlfn.XLOOKUP(D2685,tblSalesReps[rep_id],tblSalesReps[region],"Missing")</f>
        <v>South</v>
      </c>
    </row>
    <row r="2686" spans="1:18">
      <c r="A2686" t="s">
        <v>3229</v>
      </c>
      <c r="B2686" t="s">
        <v>757</v>
      </c>
      <c r="C2686" t="s">
        <v>81</v>
      </c>
      <c r="D2686" t="s">
        <v>36</v>
      </c>
      <c r="E2686" s="1">
        <v>46011</v>
      </c>
      <c r="F2686" s="1">
        <v>46085</v>
      </c>
      <c r="G2686" s="1"/>
      <c r="H2686" t="s">
        <v>43</v>
      </c>
      <c r="I2686">
        <v>2</v>
      </c>
      <c r="J2686">
        <v>5</v>
      </c>
      <c r="K2686">
        <v>570000</v>
      </c>
      <c r="L2686">
        <v>20</v>
      </c>
      <c r="M2686" t="s">
        <v>29</v>
      </c>
      <c r="N2686" t="str">
        <f>_xlfn.XLOOKUP(B2686,tblCustomers[customer_id],tblCustomers[region],"Missing")</f>
        <v>North</v>
      </c>
      <c r="O2686" t="str">
        <f>_xlfn.XLOOKUP(C2686,tblProducts[product_id],tblProducts[product_name],"Missing")</f>
        <v>Analytics Cloud</v>
      </c>
      <c r="P2686" t="str">
        <f>_xlfn.XLOOKUP(C2686,tblProducts[product_id],tblProducts[category],"Missing")</f>
        <v>Analytics</v>
      </c>
      <c r="Q2686" t="str">
        <f>_xlfn.XLOOKUP(D2686,tblSalesReps[rep_id],tblSalesReps[rep_name],"Missing")</f>
        <v>Sales Rep 09</v>
      </c>
      <c r="R2686" t="str">
        <f>_xlfn.XLOOKUP(D2686,tblSalesReps[rep_id],tblSalesReps[region],"Missing")</f>
        <v>North</v>
      </c>
    </row>
    <row r="2687" spans="1:18">
      <c r="A2687" t="s">
        <v>3230</v>
      </c>
      <c r="B2687" t="s">
        <v>969</v>
      </c>
      <c r="C2687" t="s">
        <v>39</v>
      </c>
      <c r="D2687" t="s">
        <v>126</v>
      </c>
      <c r="E2687" s="1">
        <v>45764</v>
      </c>
      <c r="F2687" s="1">
        <v>45817</v>
      </c>
      <c r="G2687" s="1">
        <v>45817</v>
      </c>
      <c r="H2687" t="s">
        <v>17</v>
      </c>
      <c r="I2687">
        <v>1</v>
      </c>
      <c r="J2687">
        <v>5</v>
      </c>
      <c r="K2687">
        <v>171000</v>
      </c>
      <c r="L2687">
        <v>0</v>
      </c>
      <c r="M2687" t="s">
        <v>82</v>
      </c>
      <c r="N2687" t="str">
        <f>_xlfn.XLOOKUP(B2687,tblCustomers[customer_id],tblCustomers[region],"Missing")</f>
        <v>South</v>
      </c>
      <c r="O2687" t="str">
        <f>_xlfn.XLOOKUP(C2687,tblProducts[product_id],tblProducts[product_name],"Missing")</f>
        <v>Support Desk</v>
      </c>
      <c r="P2687" t="str">
        <f>_xlfn.XLOOKUP(C2687,tblProducts[product_id],tblProducts[category],"Missing")</f>
        <v>Service</v>
      </c>
      <c r="Q2687" t="str">
        <f>_xlfn.XLOOKUP(D2687,tblSalesReps[rep_id],tblSalesReps[rep_name],"Missing")</f>
        <v>Sales Rep 02</v>
      </c>
      <c r="R2687" t="str">
        <f>_xlfn.XLOOKUP(D2687,tblSalesReps[rep_id],tblSalesReps[region],"Missing")</f>
        <v>South</v>
      </c>
    </row>
    <row r="2688" spans="1:18">
      <c r="A2688" t="s">
        <v>3231</v>
      </c>
      <c r="B2688" t="s">
        <v>259</v>
      </c>
      <c r="C2688" t="s">
        <v>21</v>
      </c>
      <c r="D2688" t="s">
        <v>32</v>
      </c>
      <c r="E2688" s="1">
        <v>45675</v>
      </c>
      <c r="F2688" s="1">
        <v>45696</v>
      </c>
      <c r="G2688" s="1">
        <v>45696</v>
      </c>
      <c r="H2688" t="s">
        <v>28</v>
      </c>
      <c r="I2688">
        <v>1</v>
      </c>
      <c r="J2688">
        <v>15</v>
      </c>
      <c r="K2688">
        <v>204000</v>
      </c>
      <c r="L2688">
        <v>100</v>
      </c>
      <c r="M2688" t="s">
        <v>29</v>
      </c>
      <c r="N2688" t="str">
        <f>_xlfn.XLOOKUP(B2688,tblCustomers[customer_id],tblCustomers[region],"Missing")</f>
        <v>South</v>
      </c>
      <c r="O2688" t="str">
        <f>_xlfn.XLOOKUP(C2688,tblProducts[product_id],tblProducts[product_name],"Missing")</f>
        <v>Workflow Automate</v>
      </c>
      <c r="P2688" t="str">
        <f>_xlfn.XLOOKUP(C2688,tblProducts[product_id],tblProducts[category],"Missing")</f>
        <v>Automation</v>
      </c>
      <c r="Q2688" t="str">
        <f>_xlfn.XLOOKUP(D2688,tblSalesReps[rep_id],tblSalesReps[rep_name],"Missing")</f>
        <v>Sales Rep 04</v>
      </c>
      <c r="R2688" t="str">
        <f>_xlfn.XLOOKUP(D2688,tblSalesReps[rep_id],tblSalesReps[region],"Missing")</f>
        <v>South</v>
      </c>
    </row>
    <row r="2689" spans="1:18">
      <c r="A2689" t="s">
        <v>3232</v>
      </c>
      <c r="B2689" t="s">
        <v>325</v>
      </c>
      <c r="C2689" t="s">
        <v>21</v>
      </c>
      <c r="D2689" t="s">
        <v>32</v>
      </c>
      <c r="E2689" s="1">
        <v>45697</v>
      </c>
      <c r="F2689" s="1">
        <v>45782</v>
      </c>
      <c r="G2689" s="1">
        <v>45782</v>
      </c>
      <c r="H2689" t="s">
        <v>17</v>
      </c>
      <c r="I2689">
        <v>1</v>
      </c>
      <c r="J2689">
        <v>10</v>
      </c>
      <c r="K2689">
        <v>216000</v>
      </c>
      <c r="L2689">
        <v>0</v>
      </c>
      <c r="M2689" t="s">
        <v>82</v>
      </c>
      <c r="N2689" t="str">
        <f>_xlfn.XLOOKUP(B2689,tblCustomers[customer_id],tblCustomers[region],"Missing")</f>
        <v>South</v>
      </c>
      <c r="O2689" t="str">
        <f>_xlfn.XLOOKUP(C2689,tblProducts[product_id],tblProducts[product_name],"Missing")</f>
        <v>Workflow Automate</v>
      </c>
      <c r="P2689" t="str">
        <f>_xlfn.XLOOKUP(C2689,tblProducts[product_id],tblProducts[category],"Missing")</f>
        <v>Automation</v>
      </c>
      <c r="Q2689" t="str">
        <f>_xlfn.XLOOKUP(D2689,tblSalesReps[rep_id],tblSalesReps[rep_name],"Missing")</f>
        <v>Sales Rep 04</v>
      </c>
      <c r="R2689" t="str">
        <f>_xlfn.XLOOKUP(D2689,tblSalesReps[rep_id],tblSalesReps[region],"Missing")</f>
        <v>South</v>
      </c>
    </row>
    <row r="2690" spans="1:18">
      <c r="A2690" t="s">
        <v>3233</v>
      </c>
      <c r="B2690" t="s">
        <v>1289</v>
      </c>
      <c r="C2690" t="s">
        <v>62</v>
      </c>
      <c r="D2690" t="s">
        <v>50</v>
      </c>
      <c r="E2690" s="1">
        <v>45680</v>
      </c>
      <c r="F2690" s="1">
        <v>45720</v>
      </c>
      <c r="G2690" s="1"/>
      <c r="H2690" t="s">
        <v>43</v>
      </c>
      <c r="I2690">
        <v>1</v>
      </c>
      <c r="J2690">
        <v>15</v>
      </c>
      <c r="K2690">
        <v>102000</v>
      </c>
      <c r="L2690">
        <v>80</v>
      </c>
      <c r="M2690" t="s">
        <v>29</v>
      </c>
      <c r="N2690" t="str">
        <f>_xlfn.XLOOKUP(B2690,tblCustomers[customer_id],tblCustomers[region],"Missing")</f>
        <v>West</v>
      </c>
      <c r="O2690" t="str">
        <f>_xlfn.XLOOKUP(C2690,tblProducts[product_id],tblProducts[product_name],"Missing")</f>
        <v>CRM Essentials</v>
      </c>
      <c r="P2690" t="str">
        <f>_xlfn.XLOOKUP(C2690,tblProducts[product_id],tblProducts[category],"Missing")</f>
        <v>CRM</v>
      </c>
      <c r="Q2690" t="str">
        <f>_xlfn.XLOOKUP(D2690,tblSalesReps[rep_id],tblSalesReps[rep_name],"Missing")</f>
        <v>Sales Rep 15</v>
      </c>
      <c r="R2690" t="str">
        <f>_xlfn.XLOOKUP(D2690,tblSalesReps[rep_id],tblSalesReps[region],"Missing")</f>
        <v>West</v>
      </c>
    </row>
    <row r="2691" spans="1:18">
      <c r="A2691" t="s">
        <v>3234</v>
      </c>
      <c r="B2691" t="s">
        <v>279</v>
      </c>
      <c r="C2691" t="s">
        <v>62</v>
      </c>
      <c r="D2691" t="s">
        <v>78</v>
      </c>
      <c r="E2691" s="1">
        <v>45822</v>
      </c>
      <c r="F2691" s="1">
        <v>45850</v>
      </c>
      <c r="G2691" s="1">
        <v>45850</v>
      </c>
      <c r="H2691" t="s">
        <v>17</v>
      </c>
      <c r="I2691">
        <v>1</v>
      </c>
      <c r="J2691">
        <v>15</v>
      </c>
      <c r="K2691">
        <v>102000</v>
      </c>
      <c r="L2691">
        <v>0</v>
      </c>
      <c r="M2691" t="s">
        <v>18</v>
      </c>
      <c r="N2691" t="str">
        <f>_xlfn.XLOOKUP(B2691,tblCustomers[customer_id],tblCustomers[region],"Missing")</f>
        <v>West</v>
      </c>
      <c r="O2691" t="str">
        <f>_xlfn.XLOOKUP(C2691,tblProducts[product_id],tblProducts[product_name],"Missing")</f>
        <v>CRM Essentials</v>
      </c>
      <c r="P2691" t="str">
        <f>_xlfn.XLOOKUP(C2691,tblProducts[product_id],tblProducts[category],"Missing")</f>
        <v>CRM</v>
      </c>
      <c r="Q2691" t="str">
        <f>_xlfn.XLOOKUP(D2691,tblSalesReps[rep_id],tblSalesReps[rep_name],"Missing")</f>
        <v>Sales Rep 12</v>
      </c>
      <c r="R2691" t="str">
        <f>_xlfn.XLOOKUP(D2691,tblSalesReps[rep_id],tblSalesReps[region],"Missing")</f>
        <v>West</v>
      </c>
    </row>
    <row r="2692" spans="1:18">
      <c r="A2692" t="s">
        <v>3235</v>
      </c>
      <c r="B2692" t="s">
        <v>888</v>
      </c>
      <c r="C2692" t="s">
        <v>81</v>
      </c>
      <c r="D2692" t="s">
        <v>91</v>
      </c>
      <c r="E2692" s="1">
        <v>45859</v>
      </c>
      <c r="F2692" s="1">
        <v>45888</v>
      </c>
      <c r="G2692" s="1">
        <v>45888</v>
      </c>
      <c r="H2692" t="s">
        <v>17</v>
      </c>
      <c r="I2692">
        <v>1</v>
      </c>
      <c r="J2692">
        <v>15</v>
      </c>
      <c r="K2692">
        <v>255000</v>
      </c>
      <c r="L2692">
        <v>0</v>
      </c>
      <c r="M2692" t="s">
        <v>33</v>
      </c>
      <c r="N2692" t="str">
        <f>_xlfn.XLOOKUP(B2692,tblCustomers[customer_id],tblCustomers[region],"Missing")</f>
        <v>South</v>
      </c>
      <c r="O2692" t="str">
        <f>_xlfn.XLOOKUP(C2692,tblProducts[product_id],tblProducts[product_name],"Missing")</f>
        <v>Analytics Cloud</v>
      </c>
      <c r="P2692" t="str">
        <f>_xlfn.XLOOKUP(C2692,tblProducts[product_id],tblProducts[category],"Missing")</f>
        <v>Analytics</v>
      </c>
      <c r="Q2692" t="str">
        <f>_xlfn.XLOOKUP(D2692,tblSalesReps[rep_id],tblSalesReps[rep_name],"Missing")</f>
        <v>Sales Rep 03</v>
      </c>
      <c r="R2692" t="str">
        <f>_xlfn.XLOOKUP(D2692,tblSalesReps[rep_id],tblSalesReps[region],"Missing")</f>
        <v>South</v>
      </c>
    </row>
    <row r="2693" spans="1:18">
      <c r="A2693" t="s">
        <v>3236</v>
      </c>
      <c r="B2693" t="s">
        <v>1517</v>
      </c>
      <c r="C2693" t="s">
        <v>62</v>
      </c>
      <c r="D2693" t="s">
        <v>78</v>
      </c>
      <c r="E2693" s="1">
        <v>45835</v>
      </c>
      <c r="F2693" s="1">
        <v>45863</v>
      </c>
      <c r="G2693" s="1">
        <v>45863</v>
      </c>
      <c r="H2693" t="s">
        <v>17</v>
      </c>
      <c r="I2693">
        <v>2</v>
      </c>
      <c r="J2693">
        <v>5</v>
      </c>
      <c r="K2693">
        <v>228000</v>
      </c>
      <c r="L2693">
        <v>0</v>
      </c>
      <c r="M2693" t="s">
        <v>82</v>
      </c>
      <c r="N2693" t="str">
        <f>_xlfn.XLOOKUP(B2693,tblCustomers[customer_id],tblCustomers[region],"Missing")</f>
        <v>West</v>
      </c>
      <c r="O2693" t="str">
        <f>_xlfn.XLOOKUP(C2693,tblProducts[product_id],tblProducts[product_name],"Missing")</f>
        <v>CRM Essentials</v>
      </c>
      <c r="P2693" t="str">
        <f>_xlfn.XLOOKUP(C2693,tblProducts[product_id],tblProducts[category],"Missing")</f>
        <v>CRM</v>
      </c>
      <c r="Q2693" t="str">
        <f>_xlfn.XLOOKUP(D2693,tblSalesReps[rep_id],tblSalesReps[rep_name],"Missing")</f>
        <v>Sales Rep 12</v>
      </c>
      <c r="R2693" t="str">
        <f>_xlfn.XLOOKUP(D2693,tblSalesReps[rep_id],tblSalesReps[region],"Missing")</f>
        <v>West</v>
      </c>
    </row>
    <row r="2694" spans="1:18">
      <c r="A2694" t="s">
        <v>3237</v>
      </c>
      <c r="B2694" t="s">
        <v>369</v>
      </c>
      <c r="C2694" t="s">
        <v>21</v>
      </c>
      <c r="D2694" t="s">
        <v>59</v>
      </c>
      <c r="E2694" s="1">
        <v>45857</v>
      </c>
      <c r="F2694" s="1">
        <v>45915</v>
      </c>
      <c r="G2694" s="1">
        <v>45915</v>
      </c>
      <c r="H2694" t="s">
        <v>28</v>
      </c>
      <c r="I2694">
        <v>1</v>
      </c>
      <c r="J2694">
        <v>15</v>
      </c>
      <c r="K2694">
        <v>204000</v>
      </c>
      <c r="L2694">
        <v>100</v>
      </c>
      <c r="M2694" t="s">
        <v>29</v>
      </c>
      <c r="N2694" t="str">
        <f>_xlfn.XLOOKUP(B2694,tblCustomers[customer_id],tblCustomers[region],"Missing")</f>
        <v>East</v>
      </c>
      <c r="O2694" t="str">
        <f>_xlfn.XLOOKUP(C2694,tblProducts[product_id],tblProducts[product_name],"Missing")</f>
        <v>Workflow Automate</v>
      </c>
      <c r="P2694" t="str">
        <f>_xlfn.XLOOKUP(C2694,tblProducts[product_id],tblProducts[category],"Missing")</f>
        <v>Automation</v>
      </c>
      <c r="Q2694" t="str">
        <f>_xlfn.XLOOKUP(D2694,tblSalesReps[rep_id],tblSalesReps[rep_name],"Missing")</f>
        <v>Sales Rep 19</v>
      </c>
      <c r="R2694" t="str">
        <f>_xlfn.XLOOKUP(D2694,tblSalesReps[rep_id],tblSalesReps[region],"Missing")</f>
        <v>East</v>
      </c>
    </row>
    <row r="2695" spans="1:18">
      <c r="A2695" t="s">
        <v>3238</v>
      </c>
      <c r="B2695" t="s">
        <v>2094</v>
      </c>
      <c r="C2695" t="s">
        <v>62</v>
      </c>
      <c r="D2695" t="s">
        <v>22</v>
      </c>
      <c r="E2695" s="1">
        <v>45957</v>
      </c>
      <c r="F2695" s="1">
        <v>45994</v>
      </c>
      <c r="G2695" s="1">
        <v>45994</v>
      </c>
      <c r="H2695" t="s">
        <v>17</v>
      </c>
      <c r="I2695">
        <v>1</v>
      </c>
      <c r="J2695">
        <v>0</v>
      </c>
      <c r="K2695">
        <v>120000</v>
      </c>
      <c r="L2695">
        <v>0</v>
      </c>
      <c r="M2695" t="s">
        <v>47</v>
      </c>
      <c r="N2695" t="str">
        <f>_xlfn.XLOOKUP(B2695,tblCustomers[customer_id],tblCustomers[region],"Missing")</f>
        <v>West</v>
      </c>
      <c r="O2695" t="str">
        <f>_xlfn.XLOOKUP(C2695,tblProducts[product_id],tblProducts[product_name],"Missing")</f>
        <v>CRM Essentials</v>
      </c>
      <c r="P2695" t="str">
        <f>_xlfn.XLOOKUP(C2695,tblProducts[product_id],tblProducts[category],"Missing")</f>
        <v>CRM</v>
      </c>
      <c r="Q2695" t="str">
        <f>_xlfn.XLOOKUP(D2695,tblSalesReps[rep_id],tblSalesReps[rep_name],"Missing")</f>
        <v>Sales Rep 14</v>
      </c>
      <c r="R2695" t="str">
        <f>_xlfn.XLOOKUP(D2695,tblSalesReps[rep_id],tblSalesReps[region],"Missing")</f>
        <v>West</v>
      </c>
    </row>
    <row r="2696" spans="1:18">
      <c r="A2696" t="s">
        <v>3239</v>
      </c>
      <c r="B2696" t="s">
        <v>392</v>
      </c>
      <c r="C2696" t="s">
        <v>62</v>
      </c>
      <c r="D2696" t="s">
        <v>22</v>
      </c>
      <c r="E2696" s="1">
        <v>45959</v>
      </c>
      <c r="F2696" s="1">
        <v>46008</v>
      </c>
      <c r="G2696" s="1">
        <v>46008</v>
      </c>
      <c r="H2696" t="s">
        <v>17</v>
      </c>
      <c r="I2696">
        <v>1</v>
      </c>
      <c r="J2696">
        <v>0</v>
      </c>
      <c r="K2696">
        <v>120000</v>
      </c>
      <c r="L2696">
        <v>0</v>
      </c>
      <c r="M2696" t="s">
        <v>23</v>
      </c>
      <c r="N2696" t="str">
        <f>_xlfn.XLOOKUP(B2696,tblCustomers[customer_id],tblCustomers[region],"Missing")</f>
        <v>West</v>
      </c>
      <c r="O2696" t="str">
        <f>_xlfn.XLOOKUP(C2696,tblProducts[product_id],tblProducts[product_name],"Missing")</f>
        <v>CRM Essentials</v>
      </c>
      <c r="P2696" t="str">
        <f>_xlfn.XLOOKUP(C2696,tblProducts[product_id],tblProducts[category],"Missing")</f>
        <v>CRM</v>
      </c>
      <c r="Q2696" t="str">
        <f>_xlfn.XLOOKUP(D2696,tblSalesReps[rep_id],tblSalesReps[rep_name],"Missing")</f>
        <v>Sales Rep 14</v>
      </c>
      <c r="R2696" t="str">
        <f>_xlfn.XLOOKUP(D2696,tblSalesReps[rep_id],tblSalesReps[region],"Missing")</f>
        <v>West</v>
      </c>
    </row>
    <row r="2697" spans="1:18">
      <c r="A2697" t="s">
        <v>3240</v>
      </c>
      <c r="B2697" t="s">
        <v>433</v>
      </c>
      <c r="C2697" t="s">
        <v>62</v>
      </c>
      <c r="D2697" t="s">
        <v>40</v>
      </c>
      <c r="E2697" s="1">
        <v>45898</v>
      </c>
      <c r="F2697" s="1">
        <v>45924</v>
      </c>
      <c r="G2697" s="1"/>
      <c r="H2697" t="s">
        <v>43</v>
      </c>
      <c r="I2697">
        <v>3</v>
      </c>
      <c r="J2697">
        <v>0</v>
      </c>
      <c r="K2697">
        <v>360000</v>
      </c>
      <c r="L2697">
        <v>40</v>
      </c>
      <c r="M2697" t="s">
        <v>29</v>
      </c>
      <c r="N2697" t="str">
        <f>_xlfn.XLOOKUP(B2697,tblCustomers[customer_id],tblCustomers[region],"Missing")</f>
        <v>West</v>
      </c>
      <c r="O2697" t="str">
        <f>_xlfn.XLOOKUP(C2697,tblProducts[product_id],tblProducts[product_name],"Missing")</f>
        <v>CRM Essentials</v>
      </c>
      <c r="P2697" t="str">
        <f>_xlfn.XLOOKUP(C2697,tblProducts[product_id],tblProducts[category],"Missing")</f>
        <v>CRM</v>
      </c>
      <c r="Q2697" t="str">
        <f>_xlfn.XLOOKUP(D2697,tblSalesReps[rep_id],tblSalesReps[rep_name],"Missing")</f>
        <v>Sales Rep 13</v>
      </c>
      <c r="R2697" t="str">
        <f>_xlfn.XLOOKUP(D2697,tblSalesReps[rep_id],tblSalesReps[region],"Missing")</f>
        <v>West</v>
      </c>
    </row>
    <row r="2698" spans="1:18">
      <c r="A2698" t="s">
        <v>3241</v>
      </c>
      <c r="B2698" t="s">
        <v>871</v>
      </c>
      <c r="C2698" t="s">
        <v>15</v>
      </c>
      <c r="D2698" t="s">
        <v>36</v>
      </c>
      <c r="E2698" s="1">
        <v>45949</v>
      </c>
      <c r="F2698" s="1">
        <v>45978</v>
      </c>
      <c r="G2698" s="1">
        <v>45978</v>
      </c>
      <c r="H2698" t="s">
        <v>28</v>
      </c>
      <c r="I2698">
        <v>1</v>
      </c>
      <c r="J2698">
        <v>15</v>
      </c>
      <c r="K2698">
        <v>357000</v>
      </c>
      <c r="L2698">
        <v>100</v>
      </c>
      <c r="M2698" t="s">
        <v>29</v>
      </c>
      <c r="N2698" t="str">
        <f>_xlfn.XLOOKUP(B2698,tblCustomers[customer_id],tblCustomers[region],"Missing")</f>
        <v>North</v>
      </c>
      <c r="O2698" t="str">
        <f>_xlfn.XLOOKUP(C2698,tblProducts[product_id],tblProducts[product_name],"Missing")</f>
        <v>CRM Enterprise</v>
      </c>
      <c r="P2698" t="str">
        <f>_xlfn.XLOOKUP(C2698,tblProducts[product_id],tblProducts[category],"Missing")</f>
        <v>CRM</v>
      </c>
      <c r="Q2698" t="str">
        <f>_xlfn.XLOOKUP(D2698,tblSalesReps[rep_id],tblSalesReps[rep_name],"Missing")</f>
        <v>Sales Rep 09</v>
      </c>
      <c r="R2698" t="str">
        <f>_xlfn.XLOOKUP(D2698,tblSalesReps[rep_id],tblSalesReps[region],"Missing")</f>
        <v>North</v>
      </c>
    </row>
    <row r="2699" spans="1:18">
      <c r="A2699" t="s">
        <v>3242</v>
      </c>
      <c r="B2699" t="s">
        <v>448</v>
      </c>
      <c r="C2699" t="s">
        <v>39</v>
      </c>
      <c r="D2699" t="s">
        <v>119</v>
      </c>
      <c r="E2699" s="1">
        <v>45767</v>
      </c>
      <c r="F2699" s="1">
        <v>45813</v>
      </c>
      <c r="G2699" s="1">
        <v>45813</v>
      </c>
      <c r="H2699" t="s">
        <v>28</v>
      </c>
      <c r="I2699">
        <v>1</v>
      </c>
      <c r="J2699">
        <v>15</v>
      </c>
      <c r="K2699">
        <v>153000</v>
      </c>
      <c r="L2699">
        <v>100</v>
      </c>
      <c r="M2699" t="s">
        <v>29</v>
      </c>
      <c r="N2699" t="str">
        <f>_xlfn.XLOOKUP(B2699,tblCustomers[customer_id],tblCustomers[region],"Missing")</f>
        <v>North</v>
      </c>
      <c r="O2699" t="str">
        <f>_xlfn.XLOOKUP(C2699,tblProducts[product_id],tblProducts[product_name],"Missing")</f>
        <v>Support Desk</v>
      </c>
      <c r="P2699" t="str">
        <f>_xlfn.XLOOKUP(C2699,tblProducts[product_id],tblProducts[category],"Missing")</f>
        <v>Service</v>
      </c>
      <c r="Q2699" t="str">
        <f>_xlfn.XLOOKUP(D2699,tblSalesReps[rep_id],tblSalesReps[rep_name],"Missing")</f>
        <v>Sales Rep 10</v>
      </c>
      <c r="R2699" t="str">
        <f>_xlfn.XLOOKUP(D2699,tblSalesReps[rep_id],tblSalesReps[region],"Missing")</f>
        <v>North</v>
      </c>
    </row>
    <row r="2700" spans="1:18">
      <c r="A2700" t="s">
        <v>3243</v>
      </c>
      <c r="B2700" t="s">
        <v>589</v>
      </c>
      <c r="C2700" t="s">
        <v>26</v>
      </c>
      <c r="D2700" t="s">
        <v>59</v>
      </c>
      <c r="E2700" s="1">
        <v>45696</v>
      </c>
      <c r="F2700" s="1">
        <v>45706</v>
      </c>
      <c r="G2700" s="1">
        <v>45706</v>
      </c>
      <c r="H2700" t="s">
        <v>17</v>
      </c>
      <c r="I2700">
        <v>3</v>
      </c>
      <c r="J2700">
        <v>20</v>
      </c>
      <c r="K2700">
        <v>864000</v>
      </c>
      <c r="L2700">
        <v>0</v>
      </c>
      <c r="M2700" t="s">
        <v>33</v>
      </c>
      <c r="N2700" t="str">
        <f>_xlfn.XLOOKUP(B2700,tblCustomers[customer_id],tblCustomers[region],"Missing")</f>
        <v>East</v>
      </c>
      <c r="O2700" t="str">
        <f>_xlfn.XLOOKUP(C2700,tblProducts[product_id],tblProducts[product_name],"Missing")</f>
        <v>Security Suite</v>
      </c>
      <c r="P2700" t="str">
        <f>_xlfn.XLOOKUP(C2700,tblProducts[product_id],tblProducts[category],"Missing")</f>
        <v>Security</v>
      </c>
      <c r="Q2700" t="str">
        <f>_xlfn.XLOOKUP(D2700,tblSalesReps[rep_id],tblSalesReps[rep_name],"Missing")</f>
        <v>Sales Rep 19</v>
      </c>
      <c r="R2700" t="str">
        <f>_xlfn.XLOOKUP(D2700,tblSalesReps[rep_id],tblSalesReps[region],"Missing")</f>
        <v>East</v>
      </c>
    </row>
    <row r="2701" spans="1:18">
      <c r="A2701" t="s">
        <v>3244</v>
      </c>
      <c r="B2701" t="s">
        <v>1250</v>
      </c>
      <c r="C2701" t="s">
        <v>15</v>
      </c>
      <c r="D2701" t="s">
        <v>32</v>
      </c>
      <c r="E2701" s="1">
        <v>45733</v>
      </c>
      <c r="F2701" s="1">
        <v>45778</v>
      </c>
      <c r="G2701" s="1"/>
      <c r="H2701" t="s">
        <v>43</v>
      </c>
      <c r="I2701">
        <v>1</v>
      </c>
      <c r="J2701">
        <v>5</v>
      </c>
      <c r="K2701">
        <v>399000</v>
      </c>
      <c r="L2701">
        <v>40</v>
      </c>
      <c r="M2701" t="s">
        <v>29</v>
      </c>
      <c r="N2701" t="str">
        <f>_xlfn.XLOOKUP(B2701,tblCustomers[customer_id],tblCustomers[region],"Missing")</f>
        <v>South</v>
      </c>
      <c r="O2701" t="str">
        <f>_xlfn.XLOOKUP(C2701,tblProducts[product_id],tblProducts[product_name],"Missing")</f>
        <v>CRM Enterprise</v>
      </c>
      <c r="P2701" t="str">
        <f>_xlfn.XLOOKUP(C2701,tblProducts[product_id],tblProducts[category],"Missing")</f>
        <v>CRM</v>
      </c>
      <c r="Q2701" t="str">
        <f>_xlfn.XLOOKUP(D2701,tblSalesReps[rep_id],tblSalesReps[rep_name],"Missing")</f>
        <v>Sales Rep 04</v>
      </c>
      <c r="R2701" t="str">
        <f>_xlfn.XLOOKUP(D2701,tblSalesReps[rep_id],tblSalesReps[region],"Missing")</f>
        <v>South</v>
      </c>
    </row>
    <row r="2702" spans="1:18">
      <c r="A2702" t="s">
        <v>3245</v>
      </c>
      <c r="B2702" t="s">
        <v>1415</v>
      </c>
      <c r="C2702" t="s">
        <v>21</v>
      </c>
      <c r="D2702" t="s">
        <v>152</v>
      </c>
      <c r="E2702" s="1">
        <v>45779</v>
      </c>
      <c r="F2702" s="1">
        <v>45792</v>
      </c>
      <c r="G2702" s="1">
        <v>45792</v>
      </c>
      <c r="H2702" t="s">
        <v>28</v>
      </c>
      <c r="I2702">
        <v>1</v>
      </c>
      <c r="J2702">
        <v>15</v>
      </c>
      <c r="K2702">
        <v>204000</v>
      </c>
      <c r="L2702">
        <v>100</v>
      </c>
      <c r="M2702" t="s">
        <v>29</v>
      </c>
      <c r="N2702" t="str">
        <f>_xlfn.XLOOKUP(B2702,tblCustomers[customer_id],tblCustomers[region],"Missing")</f>
        <v>East</v>
      </c>
      <c r="O2702" t="str">
        <f>_xlfn.XLOOKUP(C2702,tblProducts[product_id],tblProducts[product_name],"Missing")</f>
        <v>Workflow Automate</v>
      </c>
      <c r="P2702" t="str">
        <f>_xlfn.XLOOKUP(C2702,tblProducts[product_id],tblProducts[category],"Missing")</f>
        <v>Automation</v>
      </c>
      <c r="Q2702" t="str">
        <f>_xlfn.XLOOKUP(D2702,tblSalesReps[rep_id],tblSalesReps[rep_name],"Missing")</f>
        <v>Sales Rep 18</v>
      </c>
      <c r="R2702" t="str">
        <f>_xlfn.XLOOKUP(D2702,tblSalesReps[rep_id],tblSalesReps[region],"Missing")</f>
        <v>East</v>
      </c>
    </row>
    <row r="2703" spans="1:18">
      <c r="A2703" t="s">
        <v>3246</v>
      </c>
      <c r="B2703" t="s">
        <v>710</v>
      </c>
      <c r="C2703" t="s">
        <v>26</v>
      </c>
      <c r="D2703" t="s">
        <v>53</v>
      </c>
      <c r="E2703" s="1">
        <v>45874</v>
      </c>
      <c r="F2703" s="1">
        <v>45932</v>
      </c>
      <c r="G2703" s="1">
        <v>45932</v>
      </c>
      <c r="H2703" t="s">
        <v>28</v>
      </c>
      <c r="I2703">
        <v>1</v>
      </c>
      <c r="J2703">
        <v>10</v>
      </c>
      <c r="K2703">
        <v>324000</v>
      </c>
      <c r="L2703">
        <v>100</v>
      </c>
      <c r="M2703" t="s">
        <v>29</v>
      </c>
      <c r="N2703" t="str">
        <f>_xlfn.XLOOKUP(B2703,tblCustomers[customer_id],tblCustomers[region],"Missing")</f>
        <v>East</v>
      </c>
      <c r="O2703" t="str">
        <f>_xlfn.XLOOKUP(C2703,tblProducts[product_id],tblProducts[product_name],"Missing")</f>
        <v>Security Suite</v>
      </c>
      <c r="P2703" t="str">
        <f>_xlfn.XLOOKUP(C2703,tblProducts[product_id],tblProducts[category],"Missing")</f>
        <v>Security</v>
      </c>
      <c r="Q2703" t="str">
        <f>_xlfn.XLOOKUP(D2703,tblSalesReps[rep_id],tblSalesReps[rep_name],"Missing")</f>
        <v>Sales Rep 16</v>
      </c>
      <c r="R2703" t="str">
        <f>_xlfn.XLOOKUP(D2703,tblSalesReps[rep_id],tblSalesReps[region],"Missing")</f>
        <v>East</v>
      </c>
    </row>
    <row r="2704" spans="1:18">
      <c r="A2704" t="s">
        <v>3247</v>
      </c>
      <c r="B2704" t="s">
        <v>426</v>
      </c>
      <c r="C2704" t="s">
        <v>26</v>
      </c>
      <c r="D2704" t="s">
        <v>91</v>
      </c>
      <c r="E2704" s="1">
        <v>45895</v>
      </c>
      <c r="F2704" s="1">
        <v>45921</v>
      </c>
      <c r="G2704" s="1">
        <v>45921</v>
      </c>
      <c r="H2704" t="s">
        <v>28</v>
      </c>
      <c r="I2704">
        <v>3</v>
      </c>
      <c r="J2704">
        <v>15</v>
      </c>
      <c r="K2704">
        <v>918000</v>
      </c>
      <c r="L2704">
        <v>100</v>
      </c>
      <c r="M2704" t="s">
        <v>29</v>
      </c>
      <c r="N2704" t="str">
        <f>_xlfn.XLOOKUP(B2704,tblCustomers[customer_id],tblCustomers[region],"Missing")</f>
        <v>South</v>
      </c>
      <c r="O2704" t="str">
        <f>_xlfn.XLOOKUP(C2704,tblProducts[product_id],tblProducts[product_name],"Missing")</f>
        <v>Security Suite</v>
      </c>
      <c r="P2704" t="str">
        <f>_xlfn.XLOOKUP(C2704,tblProducts[product_id],tblProducts[category],"Missing")</f>
        <v>Security</v>
      </c>
      <c r="Q2704" t="str">
        <f>_xlfn.XLOOKUP(D2704,tblSalesReps[rep_id],tblSalesReps[rep_name],"Missing")</f>
        <v>Sales Rep 03</v>
      </c>
      <c r="R2704" t="str">
        <f>_xlfn.XLOOKUP(D2704,tblSalesReps[rep_id],tblSalesReps[region],"Missing")</f>
        <v>South</v>
      </c>
    </row>
    <row r="2705" spans="1:18">
      <c r="A2705" t="s">
        <v>3248</v>
      </c>
      <c r="B2705" t="s">
        <v>351</v>
      </c>
      <c r="C2705" t="s">
        <v>26</v>
      </c>
      <c r="D2705" t="s">
        <v>119</v>
      </c>
      <c r="E2705" s="1">
        <v>45718</v>
      </c>
      <c r="F2705" s="1">
        <v>45736</v>
      </c>
      <c r="G2705" s="1">
        <v>45736</v>
      </c>
      <c r="H2705" t="s">
        <v>17</v>
      </c>
      <c r="I2705">
        <v>3</v>
      </c>
      <c r="J2705">
        <v>10</v>
      </c>
      <c r="K2705">
        <v>972000</v>
      </c>
      <c r="L2705">
        <v>0</v>
      </c>
      <c r="M2705" t="s">
        <v>18</v>
      </c>
      <c r="N2705" t="str">
        <f>_xlfn.XLOOKUP(B2705,tblCustomers[customer_id],tblCustomers[region],"Missing")</f>
        <v>North</v>
      </c>
      <c r="O2705" t="str">
        <f>_xlfn.XLOOKUP(C2705,tblProducts[product_id],tblProducts[product_name],"Missing")</f>
        <v>Security Suite</v>
      </c>
      <c r="P2705" t="str">
        <f>_xlfn.XLOOKUP(C2705,tblProducts[product_id],tblProducts[category],"Missing")</f>
        <v>Security</v>
      </c>
      <c r="Q2705" t="str">
        <f>_xlfn.XLOOKUP(D2705,tblSalesReps[rep_id],tblSalesReps[rep_name],"Missing")</f>
        <v>Sales Rep 10</v>
      </c>
      <c r="R2705" t="str">
        <f>_xlfn.XLOOKUP(D2705,tblSalesReps[rep_id],tblSalesReps[region],"Missing")</f>
        <v>North</v>
      </c>
    </row>
    <row r="2706" spans="1:18">
      <c r="A2706" t="s">
        <v>3249</v>
      </c>
      <c r="B2706" t="s">
        <v>700</v>
      </c>
      <c r="C2706" t="s">
        <v>81</v>
      </c>
      <c r="D2706" t="s">
        <v>16</v>
      </c>
      <c r="E2706" s="1">
        <v>45839</v>
      </c>
      <c r="F2706" s="1">
        <v>45920</v>
      </c>
      <c r="G2706" s="1">
        <v>45920</v>
      </c>
      <c r="H2706" t="s">
        <v>17</v>
      </c>
      <c r="I2706">
        <v>1</v>
      </c>
      <c r="J2706">
        <v>20</v>
      </c>
      <c r="K2706">
        <v>240000</v>
      </c>
      <c r="L2706">
        <v>0</v>
      </c>
      <c r="M2706" t="s">
        <v>82</v>
      </c>
      <c r="N2706" t="str">
        <f>_xlfn.XLOOKUP(B2706,tblCustomers[customer_id],tblCustomers[region],"Missing")</f>
        <v>North</v>
      </c>
      <c r="O2706" t="str">
        <f>_xlfn.XLOOKUP(C2706,tblProducts[product_id],tblProducts[product_name],"Missing")</f>
        <v>Analytics Cloud</v>
      </c>
      <c r="P2706" t="str">
        <f>_xlfn.XLOOKUP(C2706,tblProducts[product_id],tblProducts[category],"Missing")</f>
        <v>Analytics</v>
      </c>
      <c r="Q2706" t="str">
        <f>_xlfn.XLOOKUP(D2706,tblSalesReps[rep_id],tblSalesReps[rep_name],"Missing")</f>
        <v>Sales Rep 08</v>
      </c>
      <c r="R2706" t="str">
        <f>_xlfn.XLOOKUP(D2706,tblSalesReps[rep_id],tblSalesReps[region],"Missing")</f>
        <v>North</v>
      </c>
    </row>
    <row r="2707" spans="1:18">
      <c r="A2707" t="s">
        <v>3250</v>
      </c>
      <c r="B2707" t="s">
        <v>871</v>
      </c>
      <c r="C2707" t="s">
        <v>26</v>
      </c>
      <c r="D2707" t="s">
        <v>27</v>
      </c>
      <c r="E2707" s="1">
        <v>45795</v>
      </c>
      <c r="F2707" s="1">
        <v>45834</v>
      </c>
      <c r="G2707" s="1">
        <v>45834</v>
      </c>
      <c r="H2707" t="s">
        <v>28</v>
      </c>
      <c r="I2707">
        <v>1</v>
      </c>
      <c r="J2707">
        <v>10</v>
      </c>
      <c r="K2707">
        <v>324000</v>
      </c>
      <c r="L2707">
        <v>100</v>
      </c>
      <c r="M2707" t="s">
        <v>29</v>
      </c>
      <c r="N2707" t="str">
        <f>_xlfn.XLOOKUP(B2707,tblCustomers[customer_id],tblCustomers[region],"Missing")</f>
        <v>North</v>
      </c>
      <c r="O2707" t="str">
        <f>_xlfn.XLOOKUP(C2707,tblProducts[product_id],tblProducts[product_name],"Missing")</f>
        <v>Security Suite</v>
      </c>
      <c r="P2707" t="str">
        <f>_xlfn.XLOOKUP(C2707,tblProducts[product_id],tblProducts[category],"Missing")</f>
        <v>Security</v>
      </c>
      <c r="Q2707" t="str">
        <f>_xlfn.XLOOKUP(D2707,tblSalesReps[rep_id],tblSalesReps[rep_name],"Missing")</f>
        <v>Sales Rep 06</v>
      </c>
      <c r="R2707" t="str">
        <f>_xlfn.XLOOKUP(D2707,tblSalesReps[rep_id],tblSalesReps[region],"Missing")</f>
        <v>North</v>
      </c>
    </row>
    <row r="2708" spans="1:18">
      <c r="A2708" t="s">
        <v>3251</v>
      </c>
      <c r="B2708" t="s">
        <v>1235</v>
      </c>
      <c r="C2708" t="s">
        <v>21</v>
      </c>
      <c r="D2708" t="s">
        <v>126</v>
      </c>
      <c r="E2708" s="1">
        <v>45988</v>
      </c>
      <c r="F2708" s="1">
        <v>46070</v>
      </c>
      <c r="G2708" s="1"/>
      <c r="H2708" t="s">
        <v>43</v>
      </c>
      <c r="I2708">
        <v>2</v>
      </c>
      <c r="J2708">
        <v>5</v>
      </c>
      <c r="K2708">
        <v>456000</v>
      </c>
      <c r="L2708">
        <v>20</v>
      </c>
      <c r="M2708" t="s">
        <v>29</v>
      </c>
      <c r="N2708" t="str">
        <f>_xlfn.XLOOKUP(B2708,tblCustomers[customer_id],tblCustomers[region],"Missing")</f>
        <v>South</v>
      </c>
      <c r="O2708" t="str">
        <f>_xlfn.XLOOKUP(C2708,tblProducts[product_id],tblProducts[product_name],"Missing")</f>
        <v>Workflow Automate</v>
      </c>
      <c r="P2708" t="str">
        <f>_xlfn.XLOOKUP(C2708,tblProducts[product_id],tblProducts[category],"Missing")</f>
        <v>Automation</v>
      </c>
      <c r="Q2708" t="str">
        <f>_xlfn.XLOOKUP(D2708,tblSalesReps[rep_id],tblSalesReps[rep_name],"Missing")</f>
        <v>Sales Rep 02</v>
      </c>
      <c r="R2708" t="str">
        <f>_xlfn.XLOOKUP(D2708,tblSalesReps[rep_id],tblSalesReps[region],"Missing")</f>
        <v>South</v>
      </c>
    </row>
    <row r="2709" spans="1:18">
      <c r="A2709" t="s">
        <v>3252</v>
      </c>
      <c r="B2709" t="s">
        <v>553</v>
      </c>
      <c r="C2709" t="s">
        <v>62</v>
      </c>
      <c r="D2709" t="s">
        <v>53</v>
      </c>
      <c r="E2709" s="1">
        <v>45996</v>
      </c>
      <c r="F2709" s="1">
        <v>46049</v>
      </c>
      <c r="G2709" s="1"/>
      <c r="H2709" t="s">
        <v>43</v>
      </c>
      <c r="I2709">
        <v>3</v>
      </c>
      <c r="J2709">
        <v>5</v>
      </c>
      <c r="K2709">
        <v>342000</v>
      </c>
      <c r="L2709">
        <v>60</v>
      </c>
      <c r="M2709" t="s">
        <v>29</v>
      </c>
      <c r="N2709" t="str">
        <f>_xlfn.XLOOKUP(B2709,tblCustomers[customer_id],tblCustomers[region],"Missing")</f>
        <v>East</v>
      </c>
      <c r="O2709" t="str">
        <f>_xlfn.XLOOKUP(C2709,tblProducts[product_id],tblProducts[product_name],"Missing")</f>
        <v>CRM Essentials</v>
      </c>
      <c r="P2709" t="str">
        <f>_xlfn.XLOOKUP(C2709,tblProducts[product_id],tblProducts[category],"Missing")</f>
        <v>CRM</v>
      </c>
      <c r="Q2709" t="str">
        <f>_xlfn.XLOOKUP(D2709,tblSalesReps[rep_id],tblSalesReps[rep_name],"Missing")</f>
        <v>Sales Rep 16</v>
      </c>
      <c r="R2709" t="str">
        <f>_xlfn.XLOOKUP(D2709,tblSalesReps[rep_id],tblSalesReps[region],"Missing")</f>
        <v>East</v>
      </c>
    </row>
    <row r="2710" spans="1:18">
      <c r="A2710" t="s">
        <v>3253</v>
      </c>
      <c r="B2710" t="s">
        <v>864</v>
      </c>
      <c r="C2710" t="s">
        <v>21</v>
      </c>
      <c r="D2710" t="s">
        <v>40</v>
      </c>
      <c r="E2710" s="1">
        <v>45764</v>
      </c>
      <c r="F2710" s="1">
        <v>45812</v>
      </c>
      <c r="G2710" s="1">
        <v>45812</v>
      </c>
      <c r="H2710" t="s">
        <v>17</v>
      </c>
      <c r="I2710">
        <v>1</v>
      </c>
      <c r="J2710">
        <v>5</v>
      </c>
      <c r="K2710">
        <v>228000</v>
      </c>
      <c r="L2710">
        <v>0</v>
      </c>
      <c r="M2710" t="s">
        <v>82</v>
      </c>
      <c r="N2710" t="str">
        <f>_xlfn.XLOOKUP(B2710,tblCustomers[customer_id],tblCustomers[region],"Missing")</f>
        <v>West</v>
      </c>
      <c r="O2710" t="str">
        <f>_xlfn.XLOOKUP(C2710,tblProducts[product_id],tblProducts[product_name],"Missing")</f>
        <v>Workflow Automate</v>
      </c>
      <c r="P2710" t="str">
        <f>_xlfn.XLOOKUP(C2710,tblProducts[product_id],tblProducts[category],"Missing")</f>
        <v>Automation</v>
      </c>
      <c r="Q2710" t="str">
        <f>_xlfn.XLOOKUP(D2710,tblSalesReps[rep_id],tblSalesReps[rep_name],"Missing")</f>
        <v>Sales Rep 13</v>
      </c>
      <c r="R2710" t="str">
        <f>_xlfn.XLOOKUP(D2710,tblSalesReps[rep_id],tblSalesReps[region],"Missing")</f>
        <v>West</v>
      </c>
    </row>
    <row r="2711" spans="1:18">
      <c r="A2711" t="s">
        <v>3254</v>
      </c>
      <c r="B2711" t="s">
        <v>907</v>
      </c>
      <c r="C2711" t="s">
        <v>15</v>
      </c>
      <c r="D2711" t="s">
        <v>91</v>
      </c>
      <c r="E2711" s="1">
        <v>45791</v>
      </c>
      <c r="F2711" s="1">
        <v>45808</v>
      </c>
      <c r="G2711" s="1">
        <v>45808</v>
      </c>
      <c r="H2711" t="s">
        <v>17</v>
      </c>
      <c r="I2711">
        <v>1</v>
      </c>
      <c r="J2711">
        <v>10</v>
      </c>
      <c r="K2711">
        <v>378000</v>
      </c>
      <c r="L2711">
        <v>0</v>
      </c>
      <c r="M2711" t="s">
        <v>47</v>
      </c>
      <c r="N2711" t="str">
        <f>_xlfn.XLOOKUP(B2711,tblCustomers[customer_id],tblCustomers[region],"Missing")</f>
        <v>South</v>
      </c>
      <c r="O2711" t="str">
        <f>_xlfn.XLOOKUP(C2711,tblProducts[product_id],tblProducts[product_name],"Missing")</f>
        <v>CRM Enterprise</v>
      </c>
      <c r="P2711" t="str">
        <f>_xlfn.XLOOKUP(C2711,tblProducts[product_id],tblProducts[category],"Missing")</f>
        <v>CRM</v>
      </c>
      <c r="Q2711" t="str">
        <f>_xlfn.XLOOKUP(D2711,tblSalesReps[rep_id],tblSalesReps[rep_name],"Missing")</f>
        <v>Sales Rep 03</v>
      </c>
      <c r="R2711" t="str">
        <f>_xlfn.XLOOKUP(D2711,tblSalesReps[rep_id],tblSalesReps[region],"Missing")</f>
        <v>South</v>
      </c>
    </row>
    <row r="2712" spans="1:18">
      <c r="A2712" t="s">
        <v>3255</v>
      </c>
      <c r="B2712" t="s">
        <v>686</v>
      </c>
      <c r="C2712" t="s">
        <v>39</v>
      </c>
      <c r="D2712" t="s">
        <v>78</v>
      </c>
      <c r="E2712" s="1">
        <v>45949</v>
      </c>
      <c r="F2712" s="1">
        <v>46031</v>
      </c>
      <c r="G2712" s="1"/>
      <c r="H2712" t="s">
        <v>43</v>
      </c>
      <c r="I2712">
        <v>1</v>
      </c>
      <c r="J2712">
        <v>10</v>
      </c>
      <c r="K2712">
        <v>162000</v>
      </c>
      <c r="L2712">
        <v>20</v>
      </c>
      <c r="M2712" t="s">
        <v>29</v>
      </c>
      <c r="N2712" t="str">
        <f>_xlfn.XLOOKUP(B2712,tblCustomers[customer_id],tblCustomers[region],"Missing")</f>
        <v>West</v>
      </c>
      <c r="O2712" t="str">
        <f>_xlfn.XLOOKUP(C2712,tblProducts[product_id],tblProducts[product_name],"Missing")</f>
        <v>Support Desk</v>
      </c>
      <c r="P2712" t="str">
        <f>_xlfn.XLOOKUP(C2712,tblProducts[product_id],tblProducts[category],"Missing")</f>
        <v>Service</v>
      </c>
      <c r="Q2712" t="str">
        <f>_xlfn.XLOOKUP(D2712,tblSalesReps[rep_id],tblSalesReps[rep_name],"Missing")</f>
        <v>Sales Rep 12</v>
      </c>
      <c r="R2712" t="str">
        <f>_xlfn.XLOOKUP(D2712,tblSalesReps[rep_id],tblSalesReps[region],"Missing")</f>
        <v>West</v>
      </c>
    </row>
    <row r="2713" spans="1:18">
      <c r="A2713" t="s">
        <v>3256</v>
      </c>
      <c r="B2713" t="s">
        <v>819</v>
      </c>
      <c r="C2713" t="s">
        <v>26</v>
      </c>
      <c r="D2713" t="s">
        <v>70</v>
      </c>
      <c r="E2713" s="1">
        <v>45946</v>
      </c>
      <c r="F2713" s="1">
        <v>46018</v>
      </c>
      <c r="G2713" s="1">
        <v>46018</v>
      </c>
      <c r="H2713" t="s">
        <v>17</v>
      </c>
      <c r="I2713">
        <v>1</v>
      </c>
      <c r="J2713">
        <v>15</v>
      </c>
      <c r="K2713">
        <v>306000</v>
      </c>
      <c r="L2713">
        <v>0</v>
      </c>
      <c r="M2713" t="s">
        <v>18</v>
      </c>
      <c r="N2713" t="str">
        <f>_xlfn.XLOOKUP(B2713,tblCustomers[customer_id],tblCustomers[region],"Missing")</f>
        <v>West</v>
      </c>
      <c r="O2713" t="str">
        <f>_xlfn.XLOOKUP(C2713,tblProducts[product_id],tblProducts[product_name],"Missing")</f>
        <v>Security Suite</v>
      </c>
      <c r="P2713" t="str">
        <f>_xlfn.XLOOKUP(C2713,tblProducts[product_id],tblProducts[category],"Missing")</f>
        <v>Security</v>
      </c>
      <c r="Q2713" t="str">
        <f>_xlfn.XLOOKUP(D2713,tblSalesReps[rep_id],tblSalesReps[rep_name],"Missing")</f>
        <v>Sales Rep 11</v>
      </c>
      <c r="R2713" t="str">
        <f>_xlfn.XLOOKUP(D2713,tblSalesReps[rep_id],tblSalesReps[region],"Missing")</f>
        <v>West</v>
      </c>
    </row>
    <row r="2714" spans="1:18">
      <c r="A2714" t="s">
        <v>3257</v>
      </c>
      <c r="B2714" t="s">
        <v>1420</v>
      </c>
      <c r="C2714" t="s">
        <v>81</v>
      </c>
      <c r="D2714" t="s">
        <v>53</v>
      </c>
      <c r="E2714" s="1">
        <v>45772</v>
      </c>
      <c r="F2714" s="1">
        <v>45816</v>
      </c>
      <c r="G2714" s="1">
        <v>45816</v>
      </c>
      <c r="H2714" t="s">
        <v>17</v>
      </c>
      <c r="I2714">
        <v>2</v>
      </c>
      <c r="J2714">
        <v>0</v>
      </c>
      <c r="K2714">
        <v>600000</v>
      </c>
      <c r="L2714">
        <v>0</v>
      </c>
      <c r="M2714" t="s">
        <v>23</v>
      </c>
      <c r="N2714" t="str">
        <f>_xlfn.XLOOKUP(B2714,tblCustomers[customer_id],tblCustomers[region],"Missing")</f>
        <v>East</v>
      </c>
      <c r="O2714" t="str">
        <f>_xlfn.XLOOKUP(C2714,tblProducts[product_id],tblProducts[product_name],"Missing")</f>
        <v>Analytics Cloud</v>
      </c>
      <c r="P2714" t="str">
        <f>_xlfn.XLOOKUP(C2714,tblProducts[product_id],tblProducts[category],"Missing")</f>
        <v>Analytics</v>
      </c>
      <c r="Q2714" t="str">
        <f>_xlfn.XLOOKUP(D2714,tblSalesReps[rep_id],tblSalesReps[rep_name],"Missing")</f>
        <v>Sales Rep 16</v>
      </c>
      <c r="R2714" t="str">
        <f>_xlfn.XLOOKUP(D2714,tblSalesReps[rep_id],tblSalesReps[region],"Missing")</f>
        <v>East</v>
      </c>
    </row>
    <row r="2715" spans="1:18">
      <c r="A2715" t="s">
        <v>3258</v>
      </c>
      <c r="B2715" t="s">
        <v>1173</v>
      </c>
      <c r="C2715" t="s">
        <v>26</v>
      </c>
      <c r="D2715" t="s">
        <v>91</v>
      </c>
      <c r="E2715" s="1">
        <v>45905</v>
      </c>
      <c r="F2715" s="1">
        <v>45989</v>
      </c>
      <c r="G2715" s="1">
        <v>45989</v>
      </c>
      <c r="H2715" t="s">
        <v>28</v>
      </c>
      <c r="I2715">
        <v>1</v>
      </c>
      <c r="J2715">
        <v>5</v>
      </c>
      <c r="K2715">
        <v>342000</v>
      </c>
      <c r="L2715">
        <v>100</v>
      </c>
      <c r="M2715" t="s">
        <v>29</v>
      </c>
      <c r="N2715" t="str">
        <f>_xlfn.XLOOKUP(B2715,tblCustomers[customer_id],tblCustomers[region],"Missing")</f>
        <v>South</v>
      </c>
      <c r="O2715" t="str">
        <f>_xlfn.XLOOKUP(C2715,tblProducts[product_id],tblProducts[product_name],"Missing")</f>
        <v>Security Suite</v>
      </c>
      <c r="P2715" t="str">
        <f>_xlfn.XLOOKUP(C2715,tblProducts[product_id],tblProducts[category],"Missing")</f>
        <v>Security</v>
      </c>
      <c r="Q2715" t="str">
        <f>_xlfn.XLOOKUP(D2715,tblSalesReps[rep_id],tblSalesReps[rep_name],"Missing")</f>
        <v>Sales Rep 03</v>
      </c>
      <c r="R2715" t="str">
        <f>_xlfn.XLOOKUP(D2715,tblSalesReps[rep_id],tblSalesReps[region],"Missing")</f>
        <v>South</v>
      </c>
    </row>
    <row r="2716" spans="1:18">
      <c r="A2716" t="s">
        <v>3259</v>
      </c>
      <c r="B2716" t="s">
        <v>42</v>
      </c>
      <c r="C2716" t="s">
        <v>81</v>
      </c>
      <c r="D2716" t="s">
        <v>75</v>
      </c>
      <c r="E2716" s="1">
        <v>45962</v>
      </c>
      <c r="F2716" s="1">
        <v>45987</v>
      </c>
      <c r="G2716" s="1">
        <v>45987</v>
      </c>
      <c r="H2716" t="s">
        <v>17</v>
      </c>
      <c r="I2716">
        <v>1</v>
      </c>
      <c r="J2716">
        <v>10</v>
      </c>
      <c r="K2716">
        <v>270000</v>
      </c>
      <c r="L2716">
        <v>0</v>
      </c>
      <c r="M2716" t="s">
        <v>33</v>
      </c>
      <c r="N2716" t="str">
        <f>_xlfn.XLOOKUP(B2716,tblCustomers[customer_id],tblCustomers[region],"Missing")</f>
        <v>North</v>
      </c>
      <c r="O2716" t="str">
        <f>_xlfn.XLOOKUP(C2716,tblProducts[product_id],tblProducts[product_name],"Missing")</f>
        <v>Analytics Cloud</v>
      </c>
      <c r="P2716" t="str">
        <f>_xlfn.XLOOKUP(C2716,tblProducts[product_id],tblProducts[category],"Missing")</f>
        <v>Analytics</v>
      </c>
      <c r="Q2716" t="str">
        <f>_xlfn.XLOOKUP(D2716,tblSalesReps[rep_id],tblSalesReps[rep_name],"Missing")</f>
        <v>Sales Rep 07</v>
      </c>
      <c r="R2716" t="str">
        <f>_xlfn.XLOOKUP(D2716,tblSalesReps[rep_id],tblSalesReps[region],"Missing")</f>
        <v>North</v>
      </c>
    </row>
    <row r="2717" spans="1:18">
      <c r="A2717" t="s">
        <v>3260</v>
      </c>
      <c r="B2717" t="s">
        <v>245</v>
      </c>
      <c r="C2717" t="s">
        <v>21</v>
      </c>
      <c r="D2717" t="s">
        <v>59</v>
      </c>
      <c r="E2717" s="1">
        <v>45790</v>
      </c>
      <c r="F2717" s="1">
        <v>45811</v>
      </c>
      <c r="G2717" s="1">
        <v>45811</v>
      </c>
      <c r="H2717" t="s">
        <v>28</v>
      </c>
      <c r="I2717">
        <v>3</v>
      </c>
      <c r="J2717">
        <v>5</v>
      </c>
      <c r="K2717">
        <v>684000</v>
      </c>
      <c r="L2717">
        <v>100</v>
      </c>
      <c r="M2717" t="s">
        <v>29</v>
      </c>
      <c r="N2717" t="str">
        <f>_xlfn.XLOOKUP(B2717,tblCustomers[customer_id],tblCustomers[region],"Missing")</f>
        <v>East</v>
      </c>
      <c r="O2717" t="str">
        <f>_xlfn.XLOOKUP(C2717,tblProducts[product_id],tblProducts[product_name],"Missing")</f>
        <v>Workflow Automate</v>
      </c>
      <c r="P2717" t="str">
        <f>_xlfn.XLOOKUP(C2717,tblProducts[product_id],tblProducts[category],"Missing")</f>
        <v>Automation</v>
      </c>
      <c r="Q2717" t="str">
        <f>_xlfn.XLOOKUP(D2717,tblSalesReps[rep_id],tblSalesReps[rep_name],"Missing")</f>
        <v>Sales Rep 19</v>
      </c>
      <c r="R2717" t="str">
        <f>_xlfn.XLOOKUP(D2717,tblSalesReps[rep_id],tblSalesReps[region],"Missing")</f>
        <v>East</v>
      </c>
    </row>
    <row r="2718" spans="1:18">
      <c r="A2718" t="s">
        <v>3261</v>
      </c>
      <c r="B2718" t="s">
        <v>1595</v>
      </c>
      <c r="C2718" t="s">
        <v>15</v>
      </c>
      <c r="D2718" t="s">
        <v>119</v>
      </c>
      <c r="E2718" s="1">
        <v>45797</v>
      </c>
      <c r="F2718" s="1">
        <v>45881</v>
      </c>
      <c r="G2718" s="1">
        <v>45881</v>
      </c>
      <c r="H2718" t="s">
        <v>28</v>
      </c>
      <c r="I2718">
        <v>2</v>
      </c>
      <c r="J2718">
        <v>5</v>
      </c>
      <c r="K2718">
        <v>798000</v>
      </c>
      <c r="L2718">
        <v>100</v>
      </c>
      <c r="M2718" t="s">
        <v>29</v>
      </c>
      <c r="N2718" t="str">
        <f>_xlfn.XLOOKUP(B2718,tblCustomers[customer_id],tblCustomers[region],"Missing")</f>
        <v>North</v>
      </c>
      <c r="O2718" t="str">
        <f>_xlfn.XLOOKUP(C2718,tblProducts[product_id],tblProducts[product_name],"Missing")</f>
        <v>CRM Enterprise</v>
      </c>
      <c r="P2718" t="str">
        <f>_xlfn.XLOOKUP(C2718,tblProducts[product_id],tblProducts[category],"Missing")</f>
        <v>CRM</v>
      </c>
      <c r="Q2718" t="str">
        <f>_xlfn.XLOOKUP(D2718,tblSalesReps[rep_id],tblSalesReps[rep_name],"Missing")</f>
        <v>Sales Rep 10</v>
      </c>
      <c r="R2718" t="str">
        <f>_xlfn.XLOOKUP(D2718,tblSalesReps[rep_id],tblSalesReps[region],"Missing")</f>
        <v>North</v>
      </c>
    </row>
    <row r="2719" spans="1:18">
      <c r="A2719" t="s">
        <v>3262</v>
      </c>
      <c r="B2719" t="s">
        <v>331</v>
      </c>
      <c r="C2719" t="s">
        <v>62</v>
      </c>
      <c r="D2719" t="s">
        <v>56</v>
      </c>
      <c r="E2719" s="1">
        <v>45838</v>
      </c>
      <c r="F2719" s="1">
        <v>45897</v>
      </c>
      <c r="G2719" s="1">
        <v>45897</v>
      </c>
      <c r="H2719" t="s">
        <v>17</v>
      </c>
      <c r="I2719">
        <v>1</v>
      </c>
      <c r="J2719">
        <v>5</v>
      </c>
      <c r="K2719">
        <v>114000</v>
      </c>
      <c r="L2719">
        <v>0</v>
      </c>
      <c r="M2719" t="s">
        <v>18</v>
      </c>
      <c r="N2719" t="str">
        <f>_xlfn.XLOOKUP(B2719,tblCustomers[customer_id],tblCustomers[region],"Missing")</f>
        <v>East</v>
      </c>
      <c r="O2719" t="str">
        <f>_xlfn.XLOOKUP(C2719,tblProducts[product_id],tblProducts[product_name],"Missing")</f>
        <v>CRM Essentials</v>
      </c>
      <c r="P2719" t="str">
        <f>_xlfn.XLOOKUP(C2719,tblProducts[product_id],tblProducts[category],"Missing")</f>
        <v>CRM</v>
      </c>
      <c r="Q2719" t="str">
        <f>_xlfn.XLOOKUP(D2719,tblSalesReps[rep_id],tblSalesReps[rep_name],"Missing")</f>
        <v>Sales Rep 20</v>
      </c>
      <c r="R2719" t="str">
        <f>_xlfn.XLOOKUP(D2719,tblSalesReps[rep_id],tblSalesReps[region],"Missing")</f>
        <v>East</v>
      </c>
    </row>
    <row r="2720" spans="1:18">
      <c r="A2720" t="s">
        <v>3263</v>
      </c>
      <c r="B2720" t="s">
        <v>918</v>
      </c>
      <c r="C2720" t="s">
        <v>81</v>
      </c>
      <c r="D2720" t="s">
        <v>63</v>
      </c>
      <c r="E2720" s="1">
        <v>45768</v>
      </c>
      <c r="F2720" s="1">
        <v>45814</v>
      </c>
      <c r="G2720" s="1"/>
      <c r="H2720" t="s">
        <v>43</v>
      </c>
      <c r="I2720">
        <v>1</v>
      </c>
      <c r="J2720">
        <v>10</v>
      </c>
      <c r="K2720">
        <v>270000</v>
      </c>
      <c r="L2720">
        <v>60</v>
      </c>
      <c r="M2720" t="s">
        <v>29</v>
      </c>
      <c r="N2720" t="str">
        <f>_xlfn.XLOOKUP(B2720,tblCustomers[customer_id],tblCustomers[region],"Missing")</f>
        <v>South</v>
      </c>
      <c r="O2720" t="str">
        <f>_xlfn.XLOOKUP(C2720,tblProducts[product_id],tblProducts[product_name],"Missing")</f>
        <v>Analytics Cloud</v>
      </c>
      <c r="P2720" t="str">
        <f>_xlfn.XLOOKUP(C2720,tblProducts[product_id],tblProducts[category],"Missing")</f>
        <v>Analytics</v>
      </c>
      <c r="Q2720" t="str">
        <f>_xlfn.XLOOKUP(D2720,tblSalesReps[rep_id],tblSalesReps[rep_name],"Missing")</f>
        <v>Sales Rep 05</v>
      </c>
      <c r="R2720" t="str">
        <f>_xlfn.XLOOKUP(D2720,tblSalesReps[rep_id],tblSalesReps[region],"Missing")</f>
        <v>South</v>
      </c>
    </row>
    <row r="2721" spans="1:18">
      <c r="A2721" t="s">
        <v>3264</v>
      </c>
      <c r="B2721" t="s">
        <v>775</v>
      </c>
      <c r="C2721" t="s">
        <v>39</v>
      </c>
      <c r="D2721" t="s">
        <v>22</v>
      </c>
      <c r="E2721" s="1">
        <v>46018</v>
      </c>
      <c r="F2721" s="1">
        <v>46098</v>
      </c>
      <c r="G2721" s="1"/>
      <c r="H2721" t="s">
        <v>43</v>
      </c>
      <c r="I2721">
        <v>1</v>
      </c>
      <c r="J2721">
        <v>5</v>
      </c>
      <c r="K2721">
        <v>171000</v>
      </c>
      <c r="L2721">
        <v>60</v>
      </c>
      <c r="M2721" t="s">
        <v>29</v>
      </c>
      <c r="N2721" t="str">
        <f>_xlfn.XLOOKUP(B2721,tblCustomers[customer_id],tblCustomers[region],"Missing")</f>
        <v>West</v>
      </c>
      <c r="O2721" t="str">
        <f>_xlfn.XLOOKUP(C2721,tblProducts[product_id],tblProducts[product_name],"Missing")</f>
        <v>Support Desk</v>
      </c>
      <c r="P2721" t="str">
        <f>_xlfn.XLOOKUP(C2721,tblProducts[product_id],tblProducts[category],"Missing")</f>
        <v>Service</v>
      </c>
      <c r="Q2721" t="str">
        <f>_xlfn.XLOOKUP(D2721,tblSalesReps[rep_id],tblSalesReps[rep_name],"Missing")</f>
        <v>Sales Rep 14</v>
      </c>
      <c r="R2721" t="str">
        <f>_xlfn.XLOOKUP(D2721,tblSalesReps[rep_id],tblSalesReps[region],"Missing")</f>
        <v>West</v>
      </c>
    </row>
    <row r="2722" spans="1:18">
      <c r="A2722" t="s">
        <v>3265</v>
      </c>
      <c r="B2722" t="s">
        <v>294</v>
      </c>
      <c r="C2722" t="s">
        <v>62</v>
      </c>
      <c r="D2722" t="s">
        <v>22</v>
      </c>
      <c r="E2722" s="1">
        <v>45847</v>
      </c>
      <c r="F2722" s="1">
        <v>45897</v>
      </c>
      <c r="G2722" s="1"/>
      <c r="H2722" t="s">
        <v>43</v>
      </c>
      <c r="I2722">
        <v>3</v>
      </c>
      <c r="J2722">
        <v>10</v>
      </c>
      <c r="K2722">
        <v>324000</v>
      </c>
      <c r="L2722">
        <v>60</v>
      </c>
      <c r="M2722" t="s">
        <v>29</v>
      </c>
      <c r="N2722" t="str">
        <f>_xlfn.XLOOKUP(B2722,tblCustomers[customer_id],tblCustomers[region],"Missing")</f>
        <v>West</v>
      </c>
      <c r="O2722" t="str">
        <f>_xlfn.XLOOKUP(C2722,tblProducts[product_id],tblProducts[product_name],"Missing")</f>
        <v>CRM Essentials</v>
      </c>
      <c r="P2722" t="str">
        <f>_xlfn.XLOOKUP(C2722,tblProducts[product_id],tblProducts[category],"Missing")</f>
        <v>CRM</v>
      </c>
      <c r="Q2722" t="str">
        <f>_xlfn.XLOOKUP(D2722,tblSalesReps[rep_id],tblSalesReps[rep_name],"Missing")</f>
        <v>Sales Rep 14</v>
      </c>
      <c r="R2722" t="str">
        <f>_xlfn.XLOOKUP(D2722,tblSalesReps[rep_id],tblSalesReps[region],"Missing")</f>
        <v>West</v>
      </c>
    </row>
    <row r="2723" spans="1:18">
      <c r="A2723" t="s">
        <v>3266</v>
      </c>
      <c r="B2723" t="s">
        <v>1517</v>
      </c>
      <c r="C2723" t="s">
        <v>39</v>
      </c>
      <c r="D2723" t="s">
        <v>78</v>
      </c>
      <c r="E2723" s="1">
        <v>45968</v>
      </c>
      <c r="F2723" s="1">
        <v>46027</v>
      </c>
      <c r="G2723" s="1"/>
      <c r="H2723" t="s">
        <v>43</v>
      </c>
      <c r="I2723">
        <v>1</v>
      </c>
      <c r="J2723">
        <v>0</v>
      </c>
      <c r="K2723">
        <v>180000</v>
      </c>
      <c r="L2723">
        <v>80</v>
      </c>
      <c r="M2723" t="s">
        <v>29</v>
      </c>
      <c r="N2723" t="str">
        <f>_xlfn.XLOOKUP(B2723,tblCustomers[customer_id],tblCustomers[region],"Missing")</f>
        <v>West</v>
      </c>
      <c r="O2723" t="str">
        <f>_xlfn.XLOOKUP(C2723,tblProducts[product_id],tblProducts[product_name],"Missing")</f>
        <v>Support Desk</v>
      </c>
      <c r="P2723" t="str">
        <f>_xlfn.XLOOKUP(C2723,tblProducts[product_id],tblProducts[category],"Missing")</f>
        <v>Service</v>
      </c>
      <c r="Q2723" t="str">
        <f>_xlfn.XLOOKUP(D2723,tblSalesReps[rep_id],tblSalesReps[rep_name],"Missing")</f>
        <v>Sales Rep 12</v>
      </c>
      <c r="R2723" t="str">
        <f>_xlfn.XLOOKUP(D2723,tblSalesReps[rep_id],tblSalesReps[region],"Missing")</f>
        <v>West</v>
      </c>
    </row>
    <row r="2724" spans="1:18">
      <c r="A2724" t="s">
        <v>3267</v>
      </c>
      <c r="B2724" t="s">
        <v>741</v>
      </c>
      <c r="C2724" t="s">
        <v>39</v>
      </c>
      <c r="D2724" t="s">
        <v>40</v>
      </c>
      <c r="E2724" s="1">
        <v>45770</v>
      </c>
      <c r="F2724" s="1">
        <v>45849</v>
      </c>
      <c r="G2724" s="1">
        <v>45849</v>
      </c>
      <c r="H2724" t="s">
        <v>28</v>
      </c>
      <c r="I2724">
        <v>1</v>
      </c>
      <c r="J2724">
        <v>10</v>
      </c>
      <c r="K2724">
        <v>162000</v>
      </c>
      <c r="L2724">
        <v>100</v>
      </c>
      <c r="M2724" t="s">
        <v>29</v>
      </c>
      <c r="N2724" t="str">
        <f>_xlfn.XLOOKUP(B2724,tblCustomers[customer_id],tblCustomers[region],"Missing")</f>
        <v>West</v>
      </c>
      <c r="O2724" t="str">
        <f>_xlfn.XLOOKUP(C2724,tblProducts[product_id],tblProducts[product_name],"Missing")</f>
        <v>Support Desk</v>
      </c>
      <c r="P2724" t="str">
        <f>_xlfn.XLOOKUP(C2724,tblProducts[product_id],tblProducts[category],"Missing")</f>
        <v>Service</v>
      </c>
      <c r="Q2724" t="str">
        <f>_xlfn.XLOOKUP(D2724,tblSalesReps[rep_id],tblSalesReps[rep_name],"Missing")</f>
        <v>Sales Rep 13</v>
      </c>
      <c r="R2724" t="str">
        <f>_xlfn.XLOOKUP(D2724,tblSalesReps[rep_id],tblSalesReps[region],"Missing")</f>
        <v>West</v>
      </c>
    </row>
    <row r="2725" spans="1:18">
      <c r="A2725" t="s">
        <v>3268</v>
      </c>
      <c r="B2725" t="s">
        <v>294</v>
      </c>
      <c r="C2725" t="s">
        <v>81</v>
      </c>
      <c r="D2725" t="s">
        <v>78</v>
      </c>
      <c r="E2725" s="1">
        <v>45817</v>
      </c>
      <c r="F2725" s="1">
        <v>45894</v>
      </c>
      <c r="G2725" s="1"/>
      <c r="H2725" t="s">
        <v>43</v>
      </c>
      <c r="I2725">
        <v>1</v>
      </c>
      <c r="J2725">
        <v>15</v>
      </c>
      <c r="K2725">
        <v>255000</v>
      </c>
      <c r="L2725">
        <v>60</v>
      </c>
      <c r="M2725" t="s">
        <v>29</v>
      </c>
      <c r="N2725" t="str">
        <f>_xlfn.XLOOKUP(B2725,tblCustomers[customer_id],tblCustomers[region],"Missing")</f>
        <v>West</v>
      </c>
      <c r="O2725" t="str">
        <f>_xlfn.XLOOKUP(C2725,tblProducts[product_id],tblProducts[product_name],"Missing")</f>
        <v>Analytics Cloud</v>
      </c>
      <c r="P2725" t="str">
        <f>_xlfn.XLOOKUP(C2725,tblProducts[product_id],tblProducts[category],"Missing")</f>
        <v>Analytics</v>
      </c>
      <c r="Q2725" t="str">
        <f>_xlfn.XLOOKUP(D2725,tblSalesReps[rep_id],tblSalesReps[rep_name],"Missing")</f>
        <v>Sales Rep 12</v>
      </c>
      <c r="R2725" t="str">
        <f>_xlfn.XLOOKUP(D2725,tblSalesReps[rep_id],tblSalesReps[region],"Missing")</f>
        <v>West</v>
      </c>
    </row>
    <row r="2726" spans="1:18">
      <c r="A2726" t="s">
        <v>3269</v>
      </c>
      <c r="B2726" t="s">
        <v>245</v>
      </c>
      <c r="C2726" t="s">
        <v>81</v>
      </c>
      <c r="D2726" t="s">
        <v>53</v>
      </c>
      <c r="E2726" s="1">
        <v>45760</v>
      </c>
      <c r="F2726" s="1">
        <v>45826</v>
      </c>
      <c r="G2726" s="1">
        <v>45826</v>
      </c>
      <c r="H2726" t="s">
        <v>17</v>
      </c>
      <c r="I2726">
        <v>2</v>
      </c>
      <c r="J2726">
        <v>15</v>
      </c>
      <c r="K2726">
        <v>510000</v>
      </c>
      <c r="L2726">
        <v>0</v>
      </c>
      <c r="M2726" t="s">
        <v>23</v>
      </c>
      <c r="N2726" t="str">
        <f>_xlfn.XLOOKUP(B2726,tblCustomers[customer_id],tblCustomers[region],"Missing")</f>
        <v>East</v>
      </c>
      <c r="O2726" t="str">
        <f>_xlfn.XLOOKUP(C2726,tblProducts[product_id],tblProducts[product_name],"Missing")</f>
        <v>Analytics Cloud</v>
      </c>
      <c r="P2726" t="str">
        <f>_xlfn.XLOOKUP(C2726,tblProducts[product_id],tblProducts[category],"Missing")</f>
        <v>Analytics</v>
      </c>
      <c r="Q2726" t="str">
        <f>_xlfn.XLOOKUP(D2726,tblSalesReps[rep_id],tblSalesReps[rep_name],"Missing")</f>
        <v>Sales Rep 16</v>
      </c>
      <c r="R2726" t="str">
        <f>_xlfn.XLOOKUP(D2726,tblSalesReps[rep_id],tblSalesReps[region],"Missing")</f>
        <v>East</v>
      </c>
    </row>
    <row r="2727" spans="1:18">
      <c r="A2727" t="s">
        <v>3270</v>
      </c>
      <c r="B2727" t="s">
        <v>693</v>
      </c>
      <c r="C2727" t="s">
        <v>15</v>
      </c>
      <c r="D2727" t="s">
        <v>152</v>
      </c>
      <c r="E2727" s="1">
        <v>45866</v>
      </c>
      <c r="F2727" s="1">
        <v>45878</v>
      </c>
      <c r="G2727" s="1">
        <v>45878</v>
      </c>
      <c r="H2727" t="s">
        <v>28</v>
      </c>
      <c r="I2727">
        <v>1</v>
      </c>
      <c r="J2727">
        <v>0</v>
      </c>
      <c r="K2727">
        <v>420000</v>
      </c>
      <c r="L2727">
        <v>100</v>
      </c>
      <c r="M2727" t="s">
        <v>29</v>
      </c>
      <c r="N2727" t="str">
        <f>_xlfn.XLOOKUP(B2727,tblCustomers[customer_id],tblCustomers[region],"Missing")</f>
        <v>East</v>
      </c>
      <c r="O2727" t="str">
        <f>_xlfn.XLOOKUP(C2727,tblProducts[product_id],tblProducts[product_name],"Missing")</f>
        <v>CRM Enterprise</v>
      </c>
      <c r="P2727" t="str">
        <f>_xlfn.XLOOKUP(C2727,tblProducts[product_id],tblProducts[category],"Missing")</f>
        <v>CRM</v>
      </c>
      <c r="Q2727" t="str">
        <f>_xlfn.XLOOKUP(D2727,tblSalesReps[rep_id],tblSalesReps[rep_name],"Missing")</f>
        <v>Sales Rep 18</v>
      </c>
      <c r="R2727" t="str">
        <f>_xlfn.XLOOKUP(D2727,tblSalesReps[rep_id],tblSalesReps[region],"Missing")</f>
        <v>East</v>
      </c>
    </row>
    <row r="2728" spans="1:18">
      <c r="A2728" t="s">
        <v>3271</v>
      </c>
      <c r="B2728" t="s">
        <v>426</v>
      </c>
      <c r="C2728" t="s">
        <v>15</v>
      </c>
      <c r="D2728" t="s">
        <v>63</v>
      </c>
      <c r="E2728" s="1">
        <v>46010</v>
      </c>
      <c r="F2728" s="1">
        <v>46025</v>
      </c>
      <c r="G2728" s="1"/>
      <c r="H2728" t="s">
        <v>43</v>
      </c>
      <c r="I2728">
        <v>1</v>
      </c>
      <c r="J2728">
        <v>10</v>
      </c>
      <c r="K2728">
        <v>378000</v>
      </c>
      <c r="L2728">
        <v>80</v>
      </c>
      <c r="M2728" t="s">
        <v>29</v>
      </c>
      <c r="N2728" t="str">
        <f>_xlfn.XLOOKUP(B2728,tblCustomers[customer_id],tblCustomers[region],"Missing")</f>
        <v>South</v>
      </c>
      <c r="O2728" t="str">
        <f>_xlfn.XLOOKUP(C2728,tblProducts[product_id],tblProducts[product_name],"Missing")</f>
        <v>CRM Enterprise</v>
      </c>
      <c r="P2728" t="str">
        <f>_xlfn.XLOOKUP(C2728,tblProducts[product_id],tblProducts[category],"Missing")</f>
        <v>CRM</v>
      </c>
      <c r="Q2728" t="str">
        <f>_xlfn.XLOOKUP(D2728,tblSalesReps[rep_id],tblSalesReps[rep_name],"Missing")</f>
        <v>Sales Rep 05</v>
      </c>
      <c r="R2728" t="str">
        <f>_xlfn.XLOOKUP(D2728,tblSalesReps[rep_id],tblSalesReps[region],"Missing")</f>
        <v>South</v>
      </c>
    </row>
    <row r="2729" spans="1:18">
      <c r="A2729" t="s">
        <v>3272</v>
      </c>
      <c r="B2729" t="s">
        <v>609</v>
      </c>
      <c r="C2729" t="s">
        <v>39</v>
      </c>
      <c r="D2729" t="s">
        <v>75</v>
      </c>
      <c r="E2729" s="1">
        <v>46013</v>
      </c>
      <c r="F2729" s="1">
        <v>46052</v>
      </c>
      <c r="G2729" s="1"/>
      <c r="H2729" t="s">
        <v>43</v>
      </c>
      <c r="I2729">
        <v>3</v>
      </c>
      <c r="J2729">
        <v>15</v>
      </c>
      <c r="K2729">
        <v>459000</v>
      </c>
      <c r="L2729">
        <v>60</v>
      </c>
      <c r="M2729" t="s">
        <v>29</v>
      </c>
      <c r="N2729" t="str">
        <f>_xlfn.XLOOKUP(B2729,tblCustomers[customer_id],tblCustomers[region],"Missing")</f>
        <v>North</v>
      </c>
      <c r="O2729" t="str">
        <f>_xlfn.XLOOKUP(C2729,tblProducts[product_id],tblProducts[product_name],"Missing")</f>
        <v>Support Desk</v>
      </c>
      <c r="P2729" t="str">
        <f>_xlfn.XLOOKUP(C2729,tblProducts[product_id],tblProducts[category],"Missing")</f>
        <v>Service</v>
      </c>
      <c r="Q2729" t="str">
        <f>_xlfn.XLOOKUP(D2729,tblSalesReps[rep_id],tblSalesReps[rep_name],"Missing")</f>
        <v>Sales Rep 07</v>
      </c>
      <c r="R2729" t="str">
        <f>_xlfn.XLOOKUP(D2729,tblSalesReps[rep_id],tblSalesReps[region],"Missing")</f>
        <v>North</v>
      </c>
    </row>
    <row r="2730" spans="1:18">
      <c r="A2730" t="s">
        <v>3273</v>
      </c>
      <c r="B2730" t="s">
        <v>821</v>
      </c>
      <c r="C2730" t="s">
        <v>26</v>
      </c>
      <c r="D2730" t="s">
        <v>36</v>
      </c>
      <c r="E2730" s="1">
        <v>45833</v>
      </c>
      <c r="F2730" s="1">
        <v>45845</v>
      </c>
      <c r="G2730" s="1">
        <v>45845</v>
      </c>
      <c r="H2730" t="s">
        <v>28</v>
      </c>
      <c r="I2730">
        <v>1</v>
      </c>
      <c r="J2730">
        <v>10</v>
      </c>
      <c r="K2730">
        <v>324000</v>
      </c>
      <c r="L2730">
        <v>100</v>
      </c>
      <c r="M2730" t="s">
        <v>29</v>
      </c>
      <c r="N2730" t="str">
        <f>_xlfn.XLOOKUP(B2730,tblCustomers[customer_id],tblCustomers[region],"Missing")</f>
        <v>North</v>
      </c>
      <c r="O2730" t="str">
        <f>_xlfn.XLOOKUP(C2730,tblProducts[product_id],tblProducts[product_name],"Missing")</f>
        <v>Security Suite</v>
      </c>
      <c r="P2730" t="str">
        <f>_xlfn.XLOOKUP(C2730,tblProducts[product_id],tblProducts[category],"Missing")</f>
        <v>Security</v>
      </c>
      <c r="Q2730" t="str">
        <f>_xlfn.XLOOKUP(D2730,tblSalesReps[rep_id],tblSalesReps[rep_name],"Missing")</f>
        <v>Sales Rep 09</v>
      </c>
      <c r="R2730" t="str">
        <f>_xlfn.XLOOKUP(D2730,tblSalesReps[rep_id],tblSalesReps[region],"Missing")</f>
        <v>North</v>
      </c>
    </row>
    <row r="2731" spans="1:18">
      <c r="A2731" t="s">
        <v>3274</v>
      </c>
      <c r="B2731" t="s">
        <v>653</v>
      </c>
      <c r="C2731" t="s">
        <v>81</v>
      </c>
      <c r="D2731" t="s">
        <v>53</v>
      </c>
      <c r="E2731" s="1">
        <v>45865</v>
      </c>
      <c r="F2731" s="1">
        <v>45904</v>
      </c>
      <c r="G2731" s="1">
        <v>45904</v>
      </c>
      <c r="H2731" t="s">
        <v>17</v>
      </c>
      <c r="I2731">
        <v>1</v>
      </c>
      <c r="J2731">
        <v>20</v>
      </c>
      <c r="K2731">
        <v>240000</v>
      </c>
      <c r="L2731">
        <v>0</v>
      </c>
      <c r="M2731" t="s">
        <v>47</v>
      </c>
      <c r="N2731" t="str">
        <f>_xlfn.XLOOKUP(B2731,tblCustomers[customer_id],tblCustomers[region],"Missing")</f>
        <v>East</v>
      </c>
      <c r="O2731" t="str">
        <f>_xlfn.XLOOKUP(C2731,tblProducts[product_id],tblProducts[product_name],"Missing")</f>
        <v>Analytics Cloud</v>
      </c>
      <c r="P2731" t="str">
        <f>_xlfn.XLOOKUP(C2731,tblProducts[product_id],tblProducts[category],"Missing")</f>
        <v>Analytics</v>
      </c>
      <c r="Q2731" t="str">
        <f>_xlfn.XLOOKUP(D2731,tblSalesReps[rep_id],tblSalesReps[rep_name],"Missing")</f>
        <v>Sales Rep 16</v>
      </c>
      <c r="R2731" t="str">
        <f>_xlfn.XLOOKUP(D2731,tblSalesReps[rep_id],tblSalesReps[region],"Missing")</f>
        <v>East</v>
      </c>
    </row>
    <row r="2732" spans="1:18">
      <c r="A2732" t="s">
        <v>3275</v>
      </c>
      <c r="B2732" t="s">
        <v>282</v>
      </c>
      <c r="C2732" t="s">
        <v>62</v>
      </c>
      <c r="D2732" t="s">
        <v>59</v>
      </c>
      <c r="E2732" s="1">
        <v>45714</v>
      </c>
      <c r="F2732" s="1">
        <v>45740</v>
      </c>
      <c r="G2732" s="1">
        <v>45740</v>
      </c>
      <c r="H2732" t="s">
        <v>17</v>
      </c>
      <c r="I2732">
        <v>1</v>
      </c>
      <c r="J2732">
        <v>20</v>
      </c>
      <c r="K2732">
        <v>96000</v>
      </c>
      <c r="L2732">
        <v>0</v>
      </c>
      <c r="M2732" t="s">
        <v>23</v>
      </c>
      <c r="N2732" t="str">
        <f>_xlfn.XLOOKUP(B2732,tblCustomers[customer_id],tblCustomers[region],"Missing")</f>
        <v>East</v>
      </c>
      <c r="O2732" t="str">
        <f>_xlfn.XLOOKUP(C2732,tblProducts[product_id],tblProducts[product_name],"Missing")</f>
        <v>CRM Essentials</v>
      </c>
      <c r="P2732" t="str">
        <f>_xlfn.XLOOKUP(C2732,tblProducts[product_id],tblProducts[category],"Missing")</f>
        <v>CRM</v>
      </c>
      <c r="Q2732" t="str">
        <f>_xlfn.XLOOKUP(D2732,tblSalesReps[rep_id],tblSalesReps[rep_name],"Missing")</f>
        <v>Sales Rep 19</v>
      </c>
      <c r="R2732" t="str">
        <f>_xlfn.XLOOKUP(D2732,tblSalesReps[rep_id],tblSalesReps[region],"Missing")</f>
        <v>East</v>
      </c>
    </row>
    <row r="2733" spans="1:18">
      <c r="A2733" t="s">
        <v>3276</v>
      </c>
      <c r="B2733" t="s">
        <v>329</v>
      </c>
      <c r="C2733" t="s">
        <v>62</v>
      </c>
      <c r="D2733" t="s">
        <v>27</v>
      </c>
      <c r="E2733" s="1">
        <v>45936</v>
      </c>
      <c r="F2733" s="1">
        <v>45950</v>
      </c>
      <c r="G2733" s="1"/>
      <c r="H2733" t="s">
        <v>43</v>
      </c>
      <c r="I2733">
        <v>1</v>
      </c>
      <c r="J2733">
        <v>5</v>
      </c>
      <c r="K2733">
        <v>114000</v>
      </c>
      <c r="L2733">
        <v>40</v>
      </c>
      <c r="M2733" t="s">
        <v>29</v>
      </c>
      <c r="N2733" t="str">
        <f>_xlfn.XLOOKUP(B2733,tblCustomers[customer_id],tblCustomers[region],"Missing")</f>
        <v>North</v>
      </c>
      <c r="O2733" t="str">
        <f>_xlfn.XLOOKUP(C2733,tblProducts[product_id],tblProducts[product_name],"Missing")</f>
        <v>CRM Essentials</v>
      </c>
      <c r="P2733" t="str">
        <f>_xlfn.XLOOKUP(C2733,tblProducts[product_id],tblProducts[category],"Missing")</f>
        <v>CRM</v>
      </c>
      <c r="Q2733" t="str">
        <f>_xlfn.XLOOKUP(D2733,tblSalesReps[rep_id],tblSalesReps[rep_name],"Missing")</f>
        <v>Sales Rep 06</v>
      </c>
      <c r="R2733" t="str">
        <f>_xlfn.XLOOKUP(D2733,tblSalesReps[rep_id],tblSalesReps[region],"Missing")</f>
        <v>North</v>
      </c>
    </row>
    <row r="2734" spans="1:18">
      <c r="A2734" t="s">
        <v>3277</v>
      </c>
      <c r="B2734" t="s">
        <v>196</v>
      </c>
      <c r="C2734" t="s">
        <v>21</v>
      </c>
      <c r="D2734" t="s">
        <v>46</v>
      </c>
      <c r="E2734" s="1">
        <v>45693</v>
      </c>
      <c r="F2734" s="1">
        <v>45724</v>
      </c>
      <c r="G2734" s="1">
        <v>45724</v>
      </c>
      <c r="H2734" t="s">
        <v>17</v>
      </c>
      <c r="I2734">
        <v>1</v>
      </c>
      <c r="J2734">
        <v>10</v>
      </c>
      <c r="K2734">
        <v>216000</v>
      </c>
      <c r="L2734">
        <v>0</v>
      </c>
      <c r="M2734" t="s">
        <v>47</v>
      </c>
      <c r="N2734" t="str">
        <f>_xlfn.XLOOKUP(B2734,tblCustomers[customer_id],tblCustomers[region],"Missing")</f>
        <v>South</v>
      </c>
      <c r="O2734" t="str">
        <f>_xlfn.XLOOKUP(C2734,tblProducts[product_id],tblProducts[product_name],"Missing")</f>
        <v>Workflow Automate</v>
      </c>
      <c r="P2734" t="str">
        <f>_xlfn.XLOOKUP(C2734,tblProducts[product_id],tblProducts[category],"Missing")</f>
        <v>Automation</v>
      </c>
      <c r="Q2734" t="str">
        <f>_xlfn.XLOOKUP(D2734,tblSalesReps[rep_id],tblSalesReps[rep_name],"Missing")</f>
        <v>Sales Rep 01</v>
      </c>
      <c r="R2734" t="str">
        <f>_xlfn.XLOOKUP(D2734,tblSalesReps[rep_id],tblSalesReps[region],"Missing")</f>
        <v>South</v>
      </c>
    </row>
    <row r="2735" spans="1:18">
      <c r="A2735" t="s">
        <v>3278</v>
      </c>
      <c r="B2735" t="s">
        <v>221</v>
      </c>
      <c r="C2735" t="s">
        <v>26</v>
      </c>
      <c r="D2735" t="s">
        <v>16</v>
      </c>
      <c r="E2735" s="1">
        <v>45976</v>
      </c>
      <c r="F2735" s="1">
        <v>46024</v>
      </c>
      <c r="G2735" s="1"/>
      <c r="H2735" t="s">
        <v>43</v>
      </c>
      <c r="I2735">
        <v>1</v>
      </c>
      <c r="J2735">
        <v>20</v>
      </c>
      <c r="K2735">
        <v>288000</v>
      </c>
      <c r="L2735">
        <v>20</v>
      </c>
      <c r="M2735" t="s">
        <v>29</v>
      </c>
      <c r="N2735" t="str">
        <f>_xlfn.XLOOKUP(B2735,tblCustomers[customer_id],tblCustomers[region],"Missing")</f>
        <v>North</v>
      </c>
      <c r="O2735" t="str">
        <f>_xlfn.XLOOKUP(C2735,tblProducts[product_id],tblProducts[product_name],"Missing")</f>
        <v>Security Suite</v>
      </c>
      <c r="P2735" t="str">
        <f>_xlfn.XLOOKUP(C2735,tblProducts[product_id],tblProducts[category],"Missing")</f>
        <v>Security</v>
      </c>
      <c r="Q2735" t="str">
        <f>_xlfn.XLOOKUP(D2735,tblSalesReps[rep_id],tblSalesReps[rep_name],"Missing")</f>
        <v>Sales Rep 08</v>
      </c>
      <c r="R2735" t="str">
        <f>_xlfn.XLOOKUP(D2735,tblSalesReps[rep_id],tblSalesReps[region],"Missing")</f>
        <v>North</v>
      </c>
    </row>
    <row r="2736" spans="1:18">
      <c r="A2736" t="s">
        <v>3279</v>
      </c>
      <c r="B2736" t="s">
        <v>156</v>
      </c>
      <c r="C2736" t="s">
        <v>39</v>
      </c>
      <c r="D2736" t="s">
        <v>36</v>
      </c>
      <c r="E2736" s="1">
        <v>45973</v>
      </c>
      <c r="F2736" s="1">
        <v>46023</v>
      </c>
      <c r="G2736" s="1"/>
      <c r="H2736" t="s">
        <v>43</v>
      </c>
      <c r="I2736">
        <v>1</v>
      </c>
      <c r="J2736">
        <v>20</v>
      </c>
      <c r="K2736">
        <v>144000</v>
      </c>
      <c r="L2736">
        <v>20</v>
      </c>
      <c r="M2736" t="s">
        <v>29</v>
      </c>
      <c r="N2736" t="str">
        <f>_xlfn.XLOOKUP(B2736,tblCustomers[customer_id],tblCustomers[region],"Missing")</f>
        <v>North</v>
      </c>
      <c r="O2736" t="str">
        <f>_xlfn.XLOOKUP(C2736,tblProducts[product_id],tblProducts[product_name],"Missing")</f>
        <v>Support Desk</v>
      </c>
      <c r="P2736" t="str">
        <f>_xlfn.XLOOKUP(C2736,tblProducts[product_id],tblProducts[category],"Missing")</f>
        <v>Service</v>
      </c>
      <c r="Q2736" t="str">
        <f>_xlfn.XLOOKUP(D2736,tblSalesReps[rep_id],tblSalesReps[rep_name],"Missing")</f>
        <v>Sales Rep 09</v>
      </c>
      <c r="R2736" t="str">
        <f>_xlfn.XLOOKUP(D2736,tblSalesReps[rep_id],tblSalesReps[region],"Missing")</f>
        <v>North</v>
      </c>
    </row>
    <row r="2737" spans="1:18">
      <c r="A2737" t="s">
        <v>3280</v>
      </c>
      <c r="B2737" t="s">
        <v>753</v>
      </c>
      <c r="C2737" t="s">
        <v>81</v>
      </c>
      <c r="D2737" t="s">
        <v>36</v>
      </c>
      <c r="E2737" s="1">
        <v>45821</v>
      </c>
      <c r="F2737" s="1">
        <v>45865</v>
      </c>
      <c r="G2737" s="1"/>
      <c r="H2737" t="s">
        <v>43</v>
      </c>
      <c r="I2737">
        <v>3</v>
      </c>
      <c r="J2737">
        <v>0</v>
      </c>
      <c r="K2737">
        <v>900000</v>
      </c>
      <c r="L2737">
        <v>40</v>
      </c>
      <c r="M2737" t="s">
        <v>29</v>
      </c>
      <c r="N2737" t="str">
        <f>_xlfn.XLOOKUP(B2737,tblCustomers[customer_id],tblCustomers[region],"Missing")</f>
        <v>North</v>
      </c>
      <c r="O2737" t="str">
        <f>_xlfn.XLOOKUP(C2737,tblProducts[product_id],tblProducts[product_name],"Missing")</f>
        <v>Analytics Cloud</v>
      </c>
      <c r="P2737" t="str">
        <f>_xlfn.XLOOKUP(C2737,tblProducts[product_id],tblProducts[category],"Missing")</f>
        <v>Analytics</v>
      </c>
      <c r="Q2737" t="str">
        <f>_xlfn.XLOOKUP(D2737,tblSalesReps[rep_id],tblSalesReps[rep_name],"Missing")</f>
        <v>Sales Rep 09</v>
      </c>
      <c r="R2737" t="str">
        <f>_xlfn.XLOOKUP(D2737,tblSalesReps[rep_id],tblSalesReps[region],"Missing")</f>
        <v>North</v>
      </c>
    </row>
    <row r="2738" spans="1:18">
      <c r="A2738" t="s">
        <v>3281</v>
      </c>
      <c r="B2738" t="s">
        <v>1250</v>
      </c>
      <c r="C2738" t="s">
        <v>21</v>
      </c>
      <c r="D2738" t="s">
        <v>126</v>
      </c>
      <c r="E2738" s="1">
        <v>45671</v>
      </c>
      <c r="F2738" s="1">
        <v>45692</v>
      </c>
      <c r="G2738" s="1">
        <v>45692</v>
      </c>
      <c r="H2738" t="s">
        <v>28</v>
      </c>
      <c r="I2738">
        <v>1</v>
      </c>
      <c r="J2738">
        <v>10</v>
      </c>
      <c r="K2738">
        <v>216000</v>
      </c>
      <c r="L2738">
        <v>100</v>
      </c>
      <c r="M2738" t="s">
        <v>29</v>
      </c>
      <c r="N2738" t="str">
        <f>_xlfn.XLOOKUP(B2738,tblCustomers[customer_id],tblCustomers[region],"Missing")</f>
        <v>South</v>
      </c>
      <c r="O2738" t="str">
        <f>_xlfn.XLOOKUP(C2738,tblProducts[product_id],tblProducts[product_name],"Missing")</f>
        <v>Workflow Automate</v>
      </c>
      <c r="P2738" t="str">
        <f>_xlfn.XLOOKUP(C2738,tblProducts[product_id],tblProducts[category],"Missing")</f>
        <v>Automation</v>
      </c>
      <c r="Q2738" t="str">
        <f>_xlfn.XLOOKUP(D2738,tblSalesReps[rep_id],tblSalesReps[rep_name],"Missing")</f>
        <v>Sales Rep 02</v>
      </c>
      <c r="R2738" t="str">
        <f>_xlfn.XLOOKUP(D2738,tblSalesReps[rep_id],tblSalesReps[region],"Missing")</f>
        <v>South</v>
      </c>
    </row>
    <row r="2739" spans="1:18">
      <c r="A2739" t="s">
        <v>3282</v>
      </c>
      <c r="B2739" t="s">
        <v>666</v>
      </c>
      <c r="C2739" t="s">
        <v>26</v>
      </c>
      <c r="D2739" t="s">
        <v>63</v>
      </c>
      <c r="E2739" s="1">
        <v>45896</v>
      </c>
      <c r="F2739" s="1">
        <v>45927</v>
      </c>
      <c r="G2739" s="1">
        <v>45927</v>
      </c>
      <c r="H2739" t="s">
        <v>28</v>
      </c>
      <c r="I2739">
        <v>1</v>
      </c>
      <c r="J2739">
        <v>5</v>
      </c>
      <c r="K2739">
        <v>342000</v>
      </c>
      <c r="L2739">
        <v>100</v>
      </c>
      <c r="M2739" t="s">
        <v>29</v>
      </c>
      <c r="N2739" t="str">
        <f>_xlfn.XLOOKUP(B2739,tblCustomers[customer_id],tblCustomers[region],"Missing")</f>
        <v>South</v>
      </c>
      <c r="O2739" t="str">
        <f>_xlfn.XLOOKUP(C2739,tblProducts[product_id],tblProducts[product_name],"Missing")</f>
        <v>Security Suite</v>
      </c>
      <c r="P2739" t="str">
        <f>_xlfn.XLOOKUP(C2739,tblProducts[product_id],tblProducts[category],"Missing")</f>
        <v>Security</v>
      </c>
      <c r="Q2739" t="str">
        <f>_xlfn.XLOOKUP(D2739,tblSalesReps[rep_id],tblSalesReps[rep_name],"Missing")</f>
        <v>Sales Rep 05</v>
      </c>
      <c r="R2739" t="str">
        <f>_xlfn.XLOOKUP(D2739,tblSalesReps[rep_id],tblSalesReps[region],"Missing")</f>
        <v>South</v>
      </c>
    </row>
    <row r="2740" spans="1:18">
      <c r="A2740" t="s">
        <v>3283</v>
      </c>
      <c r="B2740" t="s">
        <v>95</v>
      </c>
      <c r="C2740" t="s">
        <v>26</v>
      </c>
      <c r="D2740" t="s">
        <v>91</v>
      </c>
      <c r="E2740" s="1">
        <v>45712</v>
      </c>
      <c r="F2740" s="1">
        <v>45748</v>
      </c>
      <c r="G2740" s="1">
        <v>45748</v>
      </c>
      <c r="H2740" t="s">
        <v>17</v>
      </c>
      <c r="I2740">
        <v>2</v>
      </c>
      <c r="J2740">
        <v>5</v>
      </c>
      <c r="K2740">
        <v>684000</v>
      </c>
      <c r="L2740">
        <v>0</v>
      </c>
      <c r="M2740" t="s">
        <v>23</v>
      </c>
      <c r="N2740" t="str">
        <f>_xlfn.XLOOKUP(B2740,tblCustomers[customer_id],tblCustomers[region],"Missing")</f>
        <v>South</v>
      </c>
      <c r="O2740" t="str">
        <f>_xlfn.XLOOKUP(C2740,tblProducts[product_id],tblProducts[product_name],"Missing")</f>
        <v>Security Suite</v>
      </c>
      <c r="P2740" t="str">
        <f>_xlfn.XLOOKUP(C2740,tblProducts[product_id],tblProducts[category],"Missing")</f>
        <v>Security</v>
      </c>
      <c r="Q2740" t="str">
        <f>_xlfn.XLOOKUP(D2740,tblSalesReps[rep_id],tblSalesReps[rep_name],"Missing")</f>
        <v>Sales Rep 03</v>
      </c>
      <c r="R2740" t="str">
        <f>_xlfn.XLOOKUP(D2740,tblSalesReps[rep_id],tblSalesReps[region],"Missing")</f>
        <v>South</v>
      </c>
    </row>
    <row r="2741" spans="1:18">
      <c r="A2741" t="s">
        <v>3284</v>
      </c>
      <c r="B2741" t="s">
        <v>529</v>
      </c>
      <c r="C2741" t="s">
        <v>15</v>
      </c>
      <c r="D2741" t="s">
        <v>32</v>
      </c>
      <c r="E2741" s="1">
        <v>45686</v>
      </c>
      <c r="F2741" s="1">
        <v>45756</v>
      </c>
      <c r="G2741" s="1">
        <v>45756</v>
      </c>
      <c r="H2741" t="s">
        <v>17</v>
      </c>
      <c r="I2741">
        <v>3</v>
      </c>
      <c r="J2741">
        <v>15</v>
      </c>
      <c r="K2741">
        <v>1071000</v>
      </c>
      <c r="L2741">
        <v>0</v>
      </c>
      <c r="M2741" t="s">
        <v>47</v>
      </c>
      <c r="N2741" t="str">
        <f>_xlfn.XLOOKUP(B2741,tblCustomers[customer_id],tblCustomers[region],"Missing")</f>
        <v>South</v>
      </c>
      <c r="O2741" t="str">
        <f>_xlfn.XLOOKUP(C2741,tblProducts[product_id],tblProducts[product_name],"Missing")</f>
        <v>CRM Enterprise</v>
      </c>
      <c r="P2741" t="str">
        <f>_xlfn.XLOOKUP(C2741,tblProducts[product_id],tblProducts[category],"Missing")</f>
        <v>CRM</v>
      </c>
      <c r="Q2741" t="str">
        <f>_xlfn.XLOOKUP(D2741,tblSalesReps[rep_id],tblSalesReps[rep_name],"Missing")</f>
        <v>Sales Rep 04</v>
      </c>
      <c r="R2741" t="str">
        <f>_xlfn.XLOOKUP(D2741,tblSalesReps[rep_id],tblSalesReps[region],"Missing")</f>
        <v>South</v>
      </c>
    </row>
    <row r="2742" spans="1:18">
      <c r="A2742" t="s">
        <v>3285</v>
      </c>
      <c r="B2742" t="s">
        <v>129</v>
      </c>
      <c r="C2742" t="s">
        <v>81</v>
      </c>
      <c r="D2742" t="s">
        <v>56</v>
      </c>
      <c r="E2742" s="1">
        <v>45976</v>
      </c>
      <c r="F2742" s="1">
        <v>45998</v>
      </c>
      <c r="G2742" s="1">
        <v>45998</v>
      </c>
      <c r="H2742" t="s">
        <v>17</v>
      </c>
      <c r="I2742">
        <v>1</v>
      </c>
      <c r="J2742">
        <v>15</v>
      </c>
      <c r="K2742">
        <v>255000</v>
      </c>
      <c r="L2742">
        <v>0</v>
      </c>
      <c r="M2742" t="s">
        <v>82</v>
      </c>
      <c r="N2742" t="str">
        <f>_xlfn.XLOOKUP(B2742,tblCustomers[customer_id],tblCustomers[region],"Missing")</f>
        <v>East</v>
      </c>
      <c r="O2742" t="str">
        <f>_xlfn.XLOOKUP(C2742,tblProducts[product_id],tblProducts[product_name],"Missing")</f>
        <v>Analytics Cloud</v>
      </c>
      <c r="P2742" t="str">
        <f>_xlfn.XLOOKUP(C2742,tblProducts[product_id],tblProducts[category],"Missing")</f>
        <v>Analytics</v>
      </c>
      <c r="Q2742" t="str">
        <f>_xlfn.XLOOKUP(D2742,tblSalesReps[rep_id],tblSalesReps[rep_name],"Missing")</f>
        <v>Sales Rep 20</v>
      </c>
      <c r="R2742" t="str">
        <f>_xlfn.XLOOKUP(D2742,tblSalesReps[rep_id],tblSalesReps[region],"Missing")</f>
        <v>East</v>
      </c>
    </row>
    <row r="2743" spans="1:18">
      <c r="A2743" t="s">
        <v>3286</v>
      </c>
      <c r="B2743" t="s">
        <v>227</v>
      </c>
      <c r="C2743" t="s">
        <v>26</v>
      </c>
      <c r="D2743" t="s">
        <v>56</v>
      </c>
      <c r="E2743" s="1">
        <v>45846</v>
      </c>
      <c r="F2743" s="1">
        <v>45897</v>
      </c>
      <c r="G2743" s="1"/>
      <c r="H2743" t="s">
        <v>43</v>
      </c>
      <c r="I2743">
        <v>2</v>
      </c>
      <c r="J2743">
        <v>5</v>
      </c>
      <c r="K2743">
        <v>684000</v>
      </c>
      <c r="L2743">
        <v>20</v>
      </c>
      <c r="M2743" t="s">
        <v>29</v>
      </c>
      <c r="N2743" t="str">
        <f>_xlfn.XLOOKUP(B2743,tblCustomers[customer_id],tblCustomers[region],"Missing")</f>
        <v>East</v>
      </c>
      <c r="O2743" t="str">
        <f>_xlfn.XLOOKUP(C2743,tblProducts[product_id],tblProducts[product_name],"Missing")</f>
        <v>Security Suite</v>
      </c>
      <c r="P2743" t="str">
        <f>_xlfn.XLOOKUP(C2743,tblProducts[product_id],tblProducts[category],"Missing")</f>
        <v>Security</v>
      </c>
      <c r="Q2743" t="str">
        <f>_xlfn.XLOOKUP(D2743,tblSalesReps[rep_id],tblSalesReps[rep_name],"Missing")</f>
        <v>Sales Rep 20</v>
      </c>
      <c r="R2743" t="str">
        <f>_xlfn.XLOOKUP(D2743,tblSalesReps[rep_id],tblSalesReps[region],"Missing")</f>
        <v>East</v>
      </c>
    </row>
    <row r="2744" spans="1:18">
      <c r="A2744" t="s">
        <v>3287</v>
      </c>
      <c r="B2744" t="s">
        <v>789</v>
      </c>
      <c r="C2744" t="s">
        <v>21</v>
      </c>
      <c r="D2744" t="s">
        <v>32</v>
      </c>
      <c r="E2744" s="1">
        <v>45844</v>
      </c>
      <c r="F2744" s="1">
        <v>45907</v>
      </c>
      <c r="G2744" s="1"/>
      <c r="H2744" t="s">
        <v>43</v>
      </c>
      <c r="I2744">
        <v>2</v>
      </c>
      <c r="J2744">
        <v>5</v>
      </c>
      <c r="K2744">
        <v>456000</v>
      </c>
      <c r="L2744">
        <v>80</v>
      </c>
      <c r="M2744" t="s">
        <v>29</v>
      </c>
      <c r="N2744" t="str">
        <f>_xlfn.XLOOKUP(B2744,tblCustomers[customer_id],tblCustomers[region],"Missing")</f>
        <v>South</v>
      </c>
      <c r="O2744" t="str">
        <f>_xlfn.XLOOKUP(C2744,tblProducts[product_id],tblProducts[product_name],"Missing")</f>
        <v>Workflow Automate</v>
      </c>
      <c r="P2744" t="str">
        <f>_xlfn.XLOOKUP(C2744,tblProducts[product_id],tblProducts[category],"Missing")</f>
        <v>Automation</v>
      </c>
      <c r="Q2744" t="str">
        <f>_xlfn.XLOOKUP(D2744,tblSalesReps[rep_id],tblSalesReps[rep_name],"Missing")</f>
        <v>Sales Rep 04</v>
      </c>
      <c r="R2744" t="str">
        <f>_xlfn.XLOOKUP(D2744,tblSalesReps[rep_id],tblSalesReps[region],"Missing")</f>
        <v>South</v>
      </c>
    </row>
    <row r="2745" spans="1:18">
      <c r="A2745" t="s">
        <v>3288</v>
      </c>
      <c r="B2745" t="s">
        <v>656</v>
      </c>
      <c r="C2745" t="s">
        <v>39</v>
      </c>
      <c r="D2745" t="s">
        <v>91</v>
      </c>
      <c r="E2745" s="1">
        <v>45997</v>
      </c>
      <c r="F2745" s="1">
        <v>46067</v>
      </c>
      <c r="G2745" s="1"/>
      <c r="H2745" t="s">
        <v>43</v>
      </c>
      <c r="I2745">
        <v>2</v>
      </c>
      <c r="J2745">
        <v>0</v>
      </c>
      <c r="K2745">
        <v>360000</v>
      </c>
      <c r="L2745">
        <v>60</v>
      </c>
      <c r="M2745" t="s">
        <v>29</v>
      </c>
      <c r="N2745" t="str">
        <f>_xlfn.XLOOKUP(B2745,tblCustomers[customer_id],tblCustomers[region],"Missing")</f>
        <v>South</v>
      </c>
      <c r="O2745" t="str">
        <f>_xlfn.XLOOKUP(C2745,tblProducts[product_id],tblProducts[product_name],"Missing")</f>
        <v>Support Desk</v>
      </c>
      <c r="P2745" t="str">
        <f>_xlfn.XLOOKUP(C2745,tblProducts[product_id],tblProducts[category],"Missing")</f>
        <v>Service</v>
      </c>
      <c r="Q2745" t="str">
        <f>_xlfn.XLOOKUP(D2745,tblSalesReps[rep_id],tblSalesReps[rep_name],"Missing")</f>
        <v>Sales Rep 03</v>
      </c>
      <c r="R2745" t="str">
        <f>_xlfn.XLOOKUP(D2745,tblSalesReps[rep_id],tblSalesReps[region],"Missing")</f>
        <v>South</v>
      </c>
    </row>
    <row r="2746" spans="1:18">
      <c r="A2746" t="s">
        <v>3289</v>
      </c>
      <c r="B2746" t="s">
        <v>1162</v>
      </c>
      <c r="C2746" t="s">
        <v>26</v>
      </c>
      <c r="D2746" t="s">
        <v>119</v>
      </c>
      <c r="E2746" s="1">
        <v>45869</v>
      </c>
      <c r="F2746" s="1">
        <v>45919</v>
      </c>
      <c r="G2746" s="1"/>
      <c r="H2746" t="s">
        <v>43</v>
      </c>
      <c r="I2746">
        <v>1</v>
      </c>
      <c r="J2746">
        <v>0</v>
      </c>
      <c r="K2746">
        <v>360000</v>
      </c>
      <c r="L2746">
        <v>60</v>
      </c>
      <c r="M2746" t="s">
        <v>29</v>
      </c>
      <c r="N2746" t="str">
        <f>_xlfn.XLOOKUP(B2746,tblCustomers[customer_id],tblCustomers[region],"Missing")</f>
        <v>North</v>
      </c>
      <c r="O2746" t="str">
        <f>_xlfn.XLOOKUP(C2746,tblProducts[product_id],tblProducts[product_name],"Missing")</f>
        <v>Security Suite</v>
      </c>
      <c r="P2746" t="str">
        <f>_xlfn.XLOOKUP(C2746,tblProducts[product_id],tblProducts[category],"Missing")</f>
        <v>Security</v>
      </c>
      <c r="Q2746" t="str">
        <f>_xlfn.XLOOKUP(D2746,tblSalesReps[rep_id],tblSalesReps[rep_name],"Missing")</f>
        <v>Sales Rep 10</v>
      </c>
      <c r="R2746" t="str">
        <f>_xlfn.XLOOKUP(D2746,tblSalesReps[rep_id],tblSalesReps[region],"Missing")</f>
        <v>North</v>
      </c>
    </row>
    <row r="2747" spans="1:18">
      <c r="A2747" t="s">
        <v>3290</v>
      </c>
      <c r="B2747" t="s">
        <v>1133</v>
      </c>
      <c r="C2747" t="s">
        <v>62</v>
      </c>
      <c r="D2747" t="s">
        <v>16</v>
      </c>
      <c r="E2747" s="1">
        <v>45742</v>
      </c>
      <c r="F2747" s="1">
        <v>45797</v>
      </c>
      <c r="G2747" s="1">
        <v>45797</v>
      </c>
      <c r="H2747" t="s">
        <v>17</v>
      </c>
      <c r="I2747">
        <v>3</v>
      </c>
      <c r="J2747">
        <v>15</v>
      </c>
      <c r="K2747">
        <v>306000</v>
      </c>
      <c r="L2747">
        <v>0</v>
      </c>
      <c r="M2747" t="s">
        <v>23</v>
      </c>
      <c r="N2747" t="str">
        <f>_xlfn.XLOOKUP(B2747,tblCustomers[customer_id],tblCustomers[region],"Missing")</f>
        <v>North</v>
      </c>
      <c r="O2747" t="str">
        <f>_xlfn.XLOOKUP(C2747,tblProducts[product_id],tblProducts[product_name],"Missing")</f>
        <v>CRM Essentials</v>
      </c>
      <c r="P2747" t="str">
        <f>_xlfn.XLOOKUP(C2747,tblProducts[product_id],tblProducts[category],"Missing")</f>
        <v>CRM</v>
      </c>
      <c r="Q2747" t="str">
        <f>_xlfn.XLOOKUP(D2747,tblSalesReps[rep_id],tblSalesReps[rep_name],"Missing")</f>
        <v>Sales Rep 08</v>
      </c>
      <c r="R2747" t="str">
        <f>_xlfn.XLOOKUP(D2747,tblSalesReps[rep_id],tblSalesReps[region],"Missing")</f>
        <v>North</v>
      </c>
    </row>
    <row r="2748" spans="1:18">
      <c r="A2748" t="s">
        <v>3291</v>
      </c>
      <c r="B2748" t="s">
        <v>1398</v>
      </c>
      <c r="C2748" t="s">
        <v>26</v>
      </c>
      <c r="D2748" t="s">
        <v>22</v>
      </c>
      <c r="E2748" s="1">
        <v>45770</v>
      </c>
      <c r="F2748" s="1">
        <v>45800</v>
      </c>
      <c r="G2748" s="1">
        <v>45800</v>
      </c>
      <c r="H2748" t="s">
        <v>17</v>
      </c>
      <c r="I2748">
        <v>3</v>
      </c>
      <c r="J2748">
        <v>10</v>
      </c>
      <c r="K2748">
        <v>972000</v>
      </c>
      <c r="L2748">
        <v>0</v>
      </c>
      <c r="M2748" t="s">
        <v>18</v>
      </c>
      <c r="N2748" t="str">
        <f>_xlfn.XLOOKUP(B2748,tblCustomers[customer_id],tblCustomers[region],"Missing")</f>
        <v>West</v>
      </c>
      <c r="O2748" t="str">
        <f>_xlfn.XLOOKUP(C2748,tblProducts[product_id],tblProducts[product_name],"Missing")</f>
        <v>Security Suite</v>
      </c>
      <c r="P2748" t="str">
        <f>_xlfn.XLOOKUP(C2748,tblProducts[product_id],tblProducts[category],"Missing")</f>
        <v>Security</v>
      </c>
      <c r="Q2748" t="str">
        <f>_xlfn.XLOOKUP(D2748,tblSalesReps[rep_id],tblSalesReps[rep_name],"Missing")</f>
        <v>Sales Rep 14</v>
      </c>
      <c r="R2748" t="str">
        <f>_xlfn.XLOOKUP(D2748,tblSalesReps[rep_id],tblSalesReps[region],"Missing")</f>
        <v>West</v>
      </c>
    </row>
    <row r="2749" spans="1:18">
      <c r="A2749" t="s">
        <v>3292</v>
      </c>
      <c r="B2749" t="s">
        <v>549</v>
      </c>
      <c r="C2749" t="s">
        <v>15</v>
      </c>
      <c r="D2749" t="s">
        <v>70</v>
      </c>
      <c r="E2749" s="1">
        <v>45985</v>
      </c>
      <c r="F2749" s="1">
        <v>46015</v>
      </c>
      <c r="G2749" s="1">
        <v>46015</v>
      </c>
      <c r="H2749" t="s">
        <v>17</v>
      </c>
      <c r="I2749">
        <v>1</v>
      </c>
      <c r="J2749">
        <v>5</v>
      </c>
      <c r="K2749">
        <v>399000</v>
      </c>
      <c r="L2749">
        <v>0</v>
      </c>
      <c r="M2749" t="s">
        <v>47</v>
      </c>
      <c r="N2749" t="str">
        <f>_xlfn.XLOOKUP(B2749,tblCustomers[customer_id],tblCustomers[region],"Missing")</f>
        <v>West</v>
      </c>
      <c r="O2749" t="str">
        <f>_xlfn.XLOOKUP(C2749,tblProducts[product_id],tblProducts[product_name],"Missing")</f>
        <v>CRM Enterprise</v>
      </c>
      <c r="P2749" t="str">
        <f>_xlfn.XLOOKUP(C2749,tblProducts[product_id],tblProducts[category],"Missing")</f>
        <v>CRM</v>
      </c>
      <c r="Q2749" t="str">
        <f>_xlfn.XLOOKUP(D2749,tblSalesReps[rep_id],tblSalesReps[rep_name],"Missing")</f>
        <v>Sales Rep 11</v>
      </c>
      <c r="R2749" t="str">
        <f>_xlfn.XLOOKUP(D2749,tblSalesReps[rep_id],tblSalesReps[region],"Missing")</f>
        <v>West</v>
      </c>
    </row>
    <row r="2750" spans="1:18">
      <c r="A2750" t="s">
        <v>3293</v>
      </c>
      <c r="B2750" t="s">
        <v>786</v>
      </c>
      <c r="C2750" t="s">
        <v>81</v>
      </c>
      <c r="D2750" t="s">
        <v>22</v>
      </c>
      <c r="E2750" s="1">
        <v>45782</v>
      </c>
      <c r="F2750" s="1">
        <v>45801</v>
      </c>
      <c r="G2750" s="1">
        <v>45801</v>
      </c>
      <c r="H2750" t="s">
        <v>28</v>
      </c>
      <c r="I2750">
        <v>1</v>
      </c>
      <c r="J2750">
        <v>20</v>
      </c>
      <c r="K2750">
        <v>240000</v>
      </c>
      <c r="L2750">
        <v>100</v>
      </c>
      <c r="M2750" t="s">
        <v>29</v>
      </c>
      <c r="N2750" t="str">
        <f>_xlfn.XLOOKUP(B2750,tblCustomers[customer_id],tblCustomers[region],"Missing")</f>
        <v>West</v>
      </c>
      <c r="O2750" t="str">
        <f>_xlfn.XLOOKUP(C2750,tblProducts[product_id],tblProducts[product_name],"Missing")</f>
        <v>Analytics Cloud</v>
      </c>
      <c r="P2750" t="str">
        <f>_xlfn.XLOOKUP(C2750,tblProducts[product_id],tblProducts[category],"Missing")</f>
        <v>Analytics</v>
      </c>
      <c r="Q2750" t="str">
        <f>_xlfn.XLOOKUP(D2750,tblSalesReps[rep_id],tblSalesReps[rep_name],"Missing")</f>
        <v>Sales Rep 14</v>
      </c>
      <c r="R2750" t="str">
        <f>_xlfn.XLOOKUP(D2750,tblSalesReps[rep_id],tblSalesReps[region],"Missing")</f>
        <v>West</v>
      </c>
    </row>
    <row r="2751" spans="1:18">
      <c r="A2751" t="s">
        <v>3294</v>
      </c>
      <c r="B2751" t="s">
        <v>501</v>
      </c>
      <c r="C2751" t="s">
        <v>39</v>
      </c>
      <c r="D2751" t="s">
        <v>56</v>
      </c>
      <c r="E2751" s="1">
        <v>45781</v>
      </c>
      <c r="F2751" s="1">
        <v>45857</v>
      </c>
      <c r="G2751" s="1">
        <v>45857</v>
      </c>
      <c r="H2751" t="s">
        <v>17</v>
      </c>
      <c r="I2751">
        <v>1</v>
      </c>
      <c r="J2751">
        <v>5</v>
      </c>
      <c r="K2751">
        <v>171000</v>
      </c>
      <c r="L2751">
        <v>0</v>
      </c>
      <c r="M2751" t="s">
        <v>18</v>
      </c>
      <c r="N2751" t="str">
        <f>_xlfn.XLOOKUP(B2751,tblCustomers[customer_id],tblCustomers[region],"Missing")</f>
        <v>East</v>
      </c>
      <c r="O2751" t="str">
        <f>_xlfn.XLOOKUP(C2751,tblProducts[product_id],tblProducts[product_name],"Missing")</f>
        <v>Support Desk</v>
      </c>
      <c r="P2751" t="str">
        <f>_xlfn.XLOOKUP(C2751,tblProducts[product_id],tblProducts[category],"Missing")</f>
        <v>Service</v>
      </c>
      <c r="Q2751" t="str">
        <f>_xlfn.XLOOKUP(D2751,tblSalesReps[rep_id],tblSalesReps[rep_name],"Missing")</f>
        <v>Sales Rep 20</v>
      </c>
      <c r="R2751" t="str">
        <f>_xlfn.XLOOKUP(D2751,tblSalesReps[rep_id],tblSalesReps[region],"Missing")</f>
        <v>East</v>
      </c>
    </row>
    <row r="2752" spans="1:18">
      <c r="A2752" t="s">
        <v>3295</v>
      </c>
      <c r="B2752" t="s">
        <v>266</v>
      </c>
      <c r="C2752" t="s">
        <v>39</v>
      </c>
      <c r="D2752" t="s">
        <v>22</v>
      </c>
      <c r="E2752" s="1">
        <v>45991</v>
      </c>
      <c r="F2752" s="1">
        <v>46008</v>
      </c>
      <c r="G2752" s="1">
        <v>46008</v>
      </c>
      <c r="H2752" t="s">
        <v>17</v>
      </c>
      <c r="I2752">
        <v>1</v>
      </c>
      <c r="J2752">
        <v>0</v>
      </c>
      <c r="K2752">
        <v>180000</v>
      </c>
      <c r="L2752">
        <v>0</v>
      </c>
      <c r="M2752" t="s">
        <v>23</v>
      </c>
      <c r="N2752" t="str">
        <f>_xlfn.XLOOKUP(B2752,tblCustomers[customer_id],tblCustomers[region],"Missing")</f>
        <v>West</v>
      </c>
      <c r="O2752" t="str">
        <f>_xlfn.XLOOKUP(C2752,tblProducts[product_id],tblProducts[product_name],"Missing")</f>
        <v>Support Desk</v>
      </c>
      <c r="P2752" t="str">
        <f>_xlfn.XLOOKUP(C2752,tblProducts[product_id],tblProducts[category],"Missing")</f>
        <v>Service</v>
      </c>
      <c r="Q2752" t="str">
        <f>_xlfn.XLOOKUP(D2752,tblSalesReps[rep_id],tblSalesReps[rep_name],"Missing")</f>
        <v>Sales Rep 14</v>
      </c>
      <c r="R2752" t="str">
        <f>_xlfn.XLOOKUP(D2752,tblSalesReps[rep_id],tblSalesReps[region],"Missing")</f>
        <v>West</v>
      </c>
    </row>
    <row r="2753" spans="1:18">
      <c r="A2753" t="s">
        <v>3296</v>
      </c>
      <c r="B2753" t="s">
        <v>1390</v>
      </c>
      <c r="C2753" t="s">
        <v>62</v>
      </c>
      <c r="D2753" t="s">
        <v>16</v>
      </c>
      <c r="E2753" s="1">
        <v>45968</v>
      </c>
      <c r="F2753" s="1">
        <v>46001</v>
      </c>
      <c r="G2753" s="1">
        <v>46001</v>
      </c>
      <c r="H2753" t="s">
        <v>17</v>
      </c>
      <c r="I2753">
        <v>2</v>
      </c>
      <c r="J2753">
        <v>0</v>
      </c>
      <c r="K2753">
        <v>240000</v>
      </c>
      <c r="L2753">
        <v>0</v>
      </c>
      <c r="M2753" t="s">
        <v>23</v>
      </c>
      <c r="N2753" t="str">
        <f>_xlfn.XLOOKUP(B2753,tblCustomers[customer_id],tblCustomers[region],"Missing")</f>
        <v>North</v>
      </c>
      <c r="O2753" t="str">
        <f>_xlfn.XLOOKUP(C2753,tblProducts[product_id],tblProducts[product_name],"Missing")</f>
        <v>CRM Essentials</v>
      </c>
      <c r="P2753" t="str">
        <f>_xlfn.XLOOKUP(C2753,tblProducts[product_id],tblProducts[category],"Missing")</f>
        <v>CRM</v>
      </c>
      <c r="Q2753" t="str">
        <f>_xlfn.XLOOKUP(D2753,tblSalesReps[rep_id],tblSalesReps[rep_name],"Missing")</f>
        <v>Sales Rep 08</v>
      </c>
      <c r="R2753" t="str">
        <f>_xlfn.XLOOKUP(D2753,tblSalesReps[rep_id],tblSalesReps[region],"Missing")</f>
        <v>North</v>
      </c>
    </row>
    <row r="2754" spans="1:18">
      <c r="A2754" t="s">
        <v>3297</v>
      </c>
      <c r="B2754" t="s">
        <v>601</v>
      </c>
      <c r="C2754" t="s">
        <v>26</v>
      </c>
      <c r="D2754" t="s">
        <v>91</v>
      </c>
      <c r="E2754" s="1">
        <v>45973</v>
      </c>
      <c r="F2754" s="1">
        <v>46046</v>
      </c>
      <c r="G2754" s="1"/>
      <c r="H2754" t="s">
        <v>43</v>
      </c>
      <c r="I2754">
        <v>1</v>
      </c>
      <c r="J2754">
        <v>10</v>
      </c>
      <c r="K2754">
        <v>324000</v>
      </c>
      <c r="L2754">
        <v>60</v>
      </c>
      <c r="M2754" t="s">
        <v>29</v>
      </c>
      <c r="N2754" t="str">
        <f>_xlfn.XLOOKUP(B2754,tblCustomers[customer_id],tblCustomers[region],"Missing")</f>
        <v>South</v>
      </c>
      <c r="O2754" t="str">
        <f>_xlfn.XLOOKUP(C2754,tblProducts[product_id],tblProducts[product_name],"Missing")</f>
        <v>Security Suite</v>
      </c>
      <c r="P2754" t="str">
        <f>_xlfn.XLOOKUP(C2754,tblProducts[product_id],tblProducts[category],"Missing")</f>
        <v>Security</v>
      </c>
      <c r="Q2754" t="str">
        <f>_xlfn.XLOOKUP(D2754,tblSalesReps[rep_id],tblSalesReps[rep_name],"Missing")</f>
        <v>Sales Rep 03</v>
      </c>
      <c r="R2754" t="str">
        <f>_xlfn.XLOOKUP(D2754,tblSalesReps[rep_id],tblSalesReps[region],"Missing")</f>
        <v>South</v>
      </c>
    </row>
    <row r="2755" spans="1:18">
      <c r="A2755" t="s">
        <v>3298</v>
      </c>
      <c r="B2755" t="s">
        <v>433</v>
      </c>
      <c r="C2755" t="s">
        <v>62</v>
      </c>
      <c r="D2755" t="s">
        <v>50</v>
      </c>
      <c r="E2755" s="1">
        <v>45753</v>
      </c>
      <c r="F2755" s="1">
        <v>45812</v>
      </c>
      <c r="G2755" s="1">
        <v>45812</v>
      </c>
      <c r="H2755" t="s">
        <v>17</v>
      </c>
      <c r="I2755">
        <v>1</v>
      </c>
      <c r="J2755">
        <v>10</v>
      </c>
      <c r="K2755">
        <v>108000</v>
      </c>
      <c r="L2755">
        <v>0</v>
      </c>
      <c r="M2755" t="s">
        <v>82</v>
      </c>
      <c r="N2755" t="str">
        <f>_xlfn.XLOOKUP(B2755,tblCustomers[customer_id],tblCustomers[region],"Missing")</f>
        <v>West</v>
      </c>
      <c r="O2755" t="str">
        <f>_xlfn.XLOOKUP(C2755,tblProducts[product_id],tblProducts[product_name],"Missing")</f>
        <v>CRM Essentials</v>
      </c>
      <c r="P2755" t="str">
        <f>_xlfn.XLOOKUP(C2755,tblProducts[product_id],tblProducts[category],"Missing")</f>
        <v>CRM</v>
      </c>
      <c r="Q2755" t="str">
        <f>_xlfn.XLOOKUP(D2755,tblSalesReps[rep_id],tblSalesReps[rep_name],"Missing")</f>
        <v>Sales Rep 15</v>
      </c>
      <c r="R2755" t="str">
        <f>_xlfn.XLOOKUP(D2755,tblSalesReps[rep_id],tblSalesReps[region],"Missing")</f>
        <v>West</v>
      </c>
    </row>
    <row r="2756" spans="1:18">
      <c r="A2756" t="s">
        <v>3299</v>
      </c>
      <c r="B2756" t="s">
        <v>289</v>
      </c>
      <c r="C2756" t="s">
        <v>81</v>
      </c>
      <c r="D2756" t="s">
        <v>36</v>
      </c>
      <c r="E2756" s="1">
        <v>45659</v>
      </c>
      <c r="F2756" s="1">
        <v>45722</v>
      </c>
      <c r="G2756" s="1"/>
      <c r="H2756" t="s">
        <v>43</v>
      </c>
      <c r="I2756">
        <v>3</v>
      </c>
      <c r="J2756">
        <v>15</v>
      </c>
      <c r="K2756">
        <v>765000</v>
      </c>
      <c r="L2756">
        <v>20</v>
      </c>
      <c r="M2756" t="s">
        <v>29</v>
      </c>
      <c r="N2756" t="str">
        <f>_xlfn.XLOOKUP(B2756,tblCustomers[customer_id],tblCustomers[region],"Missing")</f>
        <v>North</v>
      </c>
      <c r="O2756" t="str">
        <f>_xlfn.XLOOKUP(C2756,tblProducts[product_id],tblProducts[product_name],"Missing")</f>
        <v>Analytics Cloud</v>
      </c>
      <c r="P2756" t="str">
        <f>_xlfn.XLOOKUP(C2756,tblProducts[product_id],tblProducts[category],"Missing")</f>
        <v>Analytics</v>
      </c>
      <c r="Q2756" t="str">
        <f>_xlfn.XLOOKUP(D2756,tblSalesReps[rep_id],tblSalesReps[rep_name],"Missing")</f>
        <v>Sales Rep 09</v>
      </c>
      <c r="R2756" t="str">
        <f>_xlfn.XLOOKUP(D2756,tblSalesReps[rep_id],tblSalesReps[region],"Missing")</f>
        <v>North</v>
      </c>
    </row>
    <row r="2757" spans="1:18">
      <c r="A2757" t="s">
        <v>3300</v>
      </c>
      <c r="B2757" t="s">
        <v>1929</v>
      </c>
      <c r="C2757" t="s">
        <v>21</v>
      </c>
      <c r="D2757" t="s">
        <v>119</v>
      </c>
      <c r="E2757" s="1">
        <v>45844</v>
      </c>
      <c r="F2757" s="1">
        <v>45871</v>
      </c>
      <c r="G2757" s="1">
        <v>45871</v>
      </c>
      <c r="H2757" t="s">
        <v>17</v>
      </c>
      <c r="I2757">
        <v>2</v>
      </c>
      <c r="J2757">
        <v>15</v>
      </c>
      <c r="K2757">
        <v>408000</v>
      </c>
      <c r="L2757">
        <v>0</v>
      </c>
      <c r="M2757" t="s">
        <v>82</v>
      </c>
      <c r="N2757" t="str">
        <f>_xlfn.XLOOKUP(B2757,tblCustomers[customer_id],tblCustomers[region],"Missing")</f>
        <v>North</v>
      </c>
      <c r="O2757" t="str">
        <f>_xlfn.XLOOKUP(C2757,tblProducts[product_id],tblProducts[product_name],"Missing")</f>
        <v>Workflow Automate</v>
      </c>
      <c r="P2757" t="str">
        <f>_xlfn.XLOOKUP(C2757,tblProducts[product_id],tblProducts[category],"Missing")</f>
        <v>Automation</v>
      </c>
      <c r="Q2757" t="str">
        <f>_xlfn.XLOOKUP(D2757,tblSalesReps[rep_id],tblSalesReps[rep_name],"Missing")</f>
        <v>Sales Rep 10</v>
      </c>
      <c r="R2757" t="str">
        <f>_xlfn.XLOOKUP(D2757,tblSalesReps[rep_id],tblSalesReps[region],"Missing")</f>
        <v>North</v>
      </c>
    </row>
    <row r="2758" spans="1:18">
      <c r="A2758" t="s">
        <v>3301</v>
      </c>
      <c r="B2758" t="s">
        <v>672</v>
      </c>
      <c r="C2758" t="s">
        <v>21</v>
      </c>
      <c r="D2758" t="s">
        <v>50</v>
      </c>
      <c r="E2758" s="1">
        <v>45672</v>
      </c>
      <c r="F2758" s="1">
        <v>45681</v>
      </c>
      <c r="G2758" s="1">
        <v>45681</v>
      </c>
      <c r="H2758" t="s">
        <v>17</v>
      </c>
      <c r="I2758">
        <v>3</v>
      </c>
      <c r="J2758">
        <v>5</v>
      </c>
      <c r="K2758">
        <v>684000</v>
      </c>
      <c r="L2758">
        <v>0</v>
      </c>
      <c r="M2758" t="s">
        <v>82</v>
      </c>
      <c r="N2758" t="str">
        <f>_xlfn.XLOOKUP(B2758,tblCustomers[customer_id],tblCustomers[region],"Missing")</f>
        <v>West</v>
      </c>
      <c r="O2758" t="str">
        <f>_xlfn.XLOOKUP(C2758,tblProducts[product_id],tblProducts[product_name],"Missing")</f>
        <v>Workflow Automate</v>
      </c>
      <c r="P2758" t="str">
        <f>_xlfn.XLOOKUP(C2758,tblProducts[product_id],tblProducts[category],"Missing")</f>
        <v>Automation</v>
      </c>
      <c r="Q2758" t="str">
        <f>_xlfn.XLOOKUP(D2758,tblSalesReps[rep_id],tblSalesReps[rep_name],"Missing")</f>
        <v>Sales Rep 15</v>
      </c>
      <c r="R2758" t="str">
        <f>_xlfn.XLOOKUP(D2758,tblSalesReps[rep_id],tblSalesReps[region],"Missing")</f>
        <v>West</v>
      </c>
    </row>
    <row r="2759" spans="1:18">
      <c r="A2759" t="s">
        <v>3302</v>
      </c>
      <c r="B2759" t="s">
        <v>451</v>
      </c>
      <c r="C2759" t="s">
        <v>15</v>
      </c>
      <c r="D2759" t="s">
        <v>46</v>
      </c>
      <c r="E2759" s="1">
        <v>45977</v>
      </c>
      <c r="F2759" s="1">
        <v>46017</v>
      </c>
      <c r="G2759" s="1"/>
      <c r="H2759" t="s">
        <v>43</v>
      </c>
      <c r="I2759">
        <v>1</v>
      </c>
      <c r="J2759">
        <v>20</v>
      </c>
      <c r="K2759">
        <v>336000</v>
      </c>
      <c r="L2759">
        <v>80</v>
      </c>
      <c r="M2759" t="s">
        <v>29</v>
      </c>
      <c r="N2759" t="str">
        <f>_xlfn.XLOOKUP(B2759,tblCustomers[customer_id],tblCustomers[region],"Missing")</f>
        <v>South</v>
      </c>
      <c r="O2759" t="str">
        <f>_xlfn.XLOOKUP(C2759,tblProducts[product_id],tblProducts[product_name],"Missing")</f>
        <v>CRM Enterprise</v>
      </c>
      <c r="P2759" t="str">
        <f>_xlfn.XLOOKUP(C2759,tblProducts[product_id],tblProducts[category],"Missing")</f>
        <v>CRM</v>
      </c>
      <c r="Q2759" t="str">
        <f>_xlfn.XLOOKUP(D2759,tblSalesReps[rep_id],tblSalesReps[rep_name],"Missing")</f>
        <v>Sales Rep 01</v>
      </c>
      <c r="R2759" t="str">
        <f>_xlfn.XLOOKUP(D2759,tblSalesReps[rep_id],tblSalesReps[region],"Missing")</f>
        <v>South</v>
      </c>
    </row>
    <row r="2760" spans="1:18">
      <c r="A2760" t="s">
        <v>3303</v>
      </c>
      <c r="B2760" t="s">
        <v>636</v>
      </c>
      <c r="C2760" t="s">
        <v>15</v>
      </c>
      <c r="D2760" t="s">
        <v>119</v>
      </c>
      <c r="E2760" s="1">
        <v>45835</v>
      </c>
      <c r="F2760" s="1">
        <v>45896</v>
      </c>
      <c r="G2760" s="1"/>
      <c r="H2760" t="s">
        <v>43</v>
      </c>
      <c r="I2760">
        <v>1</v>
      </c>
      <c r="J2760">
        <v>5</v>
      </c>
      <c r="K2760">
        <v>399000</v>
      </c>
      <c r="L2760">
        <v>80</v>
      </c>
      <c r="M2760" t="s">
        <v>29</v>
      </c>
      <c r="N2760" t="str">
        <f>_xlfn.XLOOKUP(B2760,tblCustomers[customer_id],tblCustomers[region],"Missing")</f>
        <v>North</v>
      </c>
      <c r="O2760" t="str">
        <f>_xlfn.XLOOKUP(C2760,tblProducts[product_id],tblProducts[product_name],"Missing")</f>
        <v>CRM Enterprise</v>
      </c>
      <c r="P2760" t="str">
        <f>_xlfn.XLOOKUP(C2760,tblProducts[product_id],tblProducts[category],"Missing")</f>
        <v>CRM</v>
      </c>
      <c r="Q2760" t="str">
        <f>_xlfn.XLOOKUP(D2760,tblSalesReps[rep_id],tblSalesReps[rep_name],"Missing")</f>
        <v>Sales Rep 10</v>
      </c>
      <c r="R2760" t="str">
        <f>_xlfn.XLOOKUP(D2760,tblSalesReps[rep_id],tblSalesReps[region],"Missing")</f>
        <v>North</v>
      </c>
    </row>
    <row r="2761" spans="1:18">
      <c r="A2761" t="s">
        <v>3304</v>
      </c>
      <c r="B2761" t="s">
        <v>1707</v>
      </c>
      <c r="C2761" t="s">
        <v>26</v>
      </c>
      <c r="D2761" t="s">
        <v>56</v>
      </c>
      <c r="E2761" s="1">
        <v>45912</v>
      </c>
      <c r="F2761" s="1">
        <v>45933</v>
      </c>
      <c r="G2761" s="1"/>
      <c r="H2761" t="s">
        <v>43</v>
      </c>
      <c r="I2761">
        <v>3</v>
      </c>
      <c r="J2761">
        <v>20</v>
      </c>
      <c r="K2761">
        <v>864000</v>
      </c>
      <c r="L2761">
        <v>20</v>
      </c>
      <c r="M2761" t="s">
        <v>29</v>
      </c>
      <c r="N2761" t="str">
        <f>_xlfn.XLOOKUP(B2761,tblCustomers[customer_id],tblCustomers[region],"Missing")</f>
        <v>East</v>
      </c>
      <c r="O2761" t="str">
        <f>_xlfn.XLOOKUP(C2761,tblProducts[product_id],tblProducts[product_name],"Missing")</f>
        <v>Security Suite</v>
      </c>
      <c r="P2761" t="str">
        <f>_xlfn.XLOOKUP(C2761,tblProducts[product_id],tblProducts[category],"Missing")</f>
        <v>Security</v>
      </c>
      <c r="Q2761" t="str">
        <f>_xlfn.XLOOKUP(D2761,tblSalesReps[rep_id],tblSalesReps[rep_name],"Missing")</f>
        <v>Sales Rep 20</v>
      </c>
      <c r="R2761" t="str">
        <f>_xlfn.XLOOKUP(D2761,tblSalesReps[rep_id],tblSalesReps[region],"Missing")</f>
        <v>East</v>
      </c>
    </row>
    <row r="2762" spans="1:18">
      <c r="A2762" t="s">
        <v>3305</v>
      </c>
      <c r="B2762" t="s">
        <v>1024</v>
      </c>
      <c r="C2762" t="s">
        <v>26</v>
      </c>
      <c r="D2762" t="s">
        <v>78</v>
      </c>
      <c r="E2762" s="1">
        <v>45764</v>
      </c>
      <c r="F2762" s="1">
        <v>45805</v>
      </c>
      <c r="G2762" s="1">
        <v>45805</v>
      </c>
      <c r="H2762" t="s">
        <v>28</v>
      </c>
      <c r="I2762">
        <v>1</v>
      </c>
      <c r="J2762">
        <v>5</v>
      </c>
      <c r="K2762">
        <v>342000</v>
      </c>
      <c r="L2762">
        <v>100</v>
      </c>
      <c r="M2762" t="s">
        <v>29</v>
      </c>
      <c r="N2762" t="str">
        <f>_xlfn.XLOOKUP(B2762,tblCustomers[customer_id],tblCustomers[region],"Missing")</f>
        <v>West</v>
      </c>
      <c r="O2762" t="str">
        <f>_xlfn.XLOOKUP(C2762,tblProducts[product_id],tblProducts[product_name],"Missing")</f>
        <v>Security Suite</v>
      </c>
      <c r="P2762" t="str">
        <f>_xlfn.XLOOKUP(C2762,tblProducts[product_id],tblProducts[category],"Missing")</f>
        <v>Security</v>
      </c>
      <c r="Q2762" t="str">
        <f>_xlfn.XLOOKUP(D2762,tblSalesReps[rep_id],tblSalesReps[rep_name],"Missing")</f>
        <v>Sales Rep 12</v>
      </c>
      <c r="R2762" t="str">
        <f>_xlfn.XLOOKUP(D2762,tblSalesReps[rep_id],tblSalesReps[region],"Missing")</f>
        <v>West</v>
      </c>
    </row>
    <row r="2763" spans="1:18">
      <c r="A2763" t="s">
        <v>3306</v>
      </c>
      <c r="B2763" t="s">
        <v>485</v>
      </c>
      <c r="C2763" t="s">
        <v>39</v>
      </c>
      <c r="D2763" t="s">
        <v>59</v>
      </c>
      <c r="E2763" s="1">
        <v>45966</v>
      </c>
      <c r="F2763" s="1">
        <v>46004</v>
      </c>
      <c r="G2763" s="1">
        <v>46004</v>
      </c>
      <c r="H2763" t="s">
        <v>17</v>
      </c>
      <c r="I2763">
        <v>3</v>
      </c>
      <c r="J2763">
        <v>15</v>
      </c>
      <c r="K2763">
        <v>459000</v>
      </c>
      <c r="L2763">
        <v>0</v>
      </c>
      <c r="M2763" t="s">
        <v>33</v>
      </c>
      <c r="N2763" t="str">
        <f>_xlfn.XLOOKUP(B2763,tblCustomers[customer_id],tblCustomers[region],"Missing")</f>
        <v>East</v>
      </c>
      <c r="O2763" t="str">
        <f>_xlfn.XLOOKUP(C2763,tblProducts[product_id],tblProducts[product_name],"Missing")</f>
        <v>Support Desk</v>
      </c>
      <c r="P2763" t="str">
        <f>_xlfn.XLOOKUP(C2763,tblProducts[product_id],tblProducts[category],"Missing")</f>
        <v>Service</v>
      </c>
      <c r="Q2763" t="str">
        <f>_xlfn.XLOOKUP(D2763,tblSalesReps[rep_id],tblSalesReps[rep_name],"Missing")</f>
        <v>Sales Rep 19</v>
      </c>
      <c r="R2763" t="str">
        <f>_xlfn.XLOOKUP(D2763,tblSalesReps[rep_id],tblSalesReps[region],"Missing")</f>
        <v>East</v>
      </c>
    </row>
    <row r="2764" spans="1:18">
      <c r="A2764" t="s">
        <v>3307</v>
      </c>
      <c r="B2764" t="s">
        <v>1167</v>
      </c>
      <c r="C2764" t="s">
        <v>62</v>
      </c>
      <c r="D2764" t="s">
        <v>16</v>
      </c>
      <c r="E2764" s="1">
        <v>45802</v>
      </c>
      <c r="F2764" s="1">
        <v>45839</v>
      </c>
      <c r="G2764" s="1">
        <v>45839</v>
      </c>
      <c r="H2764" t="s">
        <v>17</v>
      </c>
      <c r="I2764">
        <v>1</v>
      </c>
      <c r="J2764">
        <v>0</v>
      </c>
      <c r="K2764">
        <v>120000</v>
      </c>
      <c r="L2764">
        <v>0</v>
      </c>
      <c r="M2764" t="s">
        <v>33</v>
      </c>
      <c r="N2764" t="str">
        <f>_xlfn.XLOOKUP(B2764,tblCustomers[customer_id],tblCustomers[region],"Missing")</f>
        <v>North</v>
      </c>
      <c r="O2764" t="str">
        <f>_xlfn.XLOOKUP(C2764,tblProducts[product_id],tblProducts[product_name],"Missing")</f>
        <v>CRM Essentials</v>
      </c>
      <c r="P2764" t="str">
        <f>_xlfn.XLOOKUP(C2764,tblProducts[product_id],tblProducts[category],"Missing")</f>
        <v>CRM</v>
      </c>
      <c r="Q2764" t="str">
        <f>_xlfn.XLOOKUP(D2764,tblSalesReps[rep_id],tblSalesReps[rep_name],"Missing")</f>
        <v>Sales Rep 08</v>
      </c>
      <c r="R2764" t="str">
        <f>_xlfn.XLOOKUP(D2764,tblSalesReps[rep_id],tblSalesReps[region],"Missing")</f>
        <v>North</v>
      </c>
    </row>
    <row r="2765" spans="1:18">
      <c r="A2765" t="s">
        <v>3308</v>
      </c>
      <c r="B2765" t="s">
        <v>88</v>
      </c>
      <c r="C2765" t="s">
        <v>62</v>
      </c>
      <c r="D2765" t="s">
        <v>40</v>
      </c>
      <c r="E2765" s="1">
        <v>45730</v>
      </c>
      <c r="F2765" s="1">
        <v>45780</v>
      </c>
      <c r="G2765" s="1">
        <v>45780</v>
      </c>
      <c r="H2765" t="s">
        <v>17</v>
      </c>
      <c r="I2765">
        <v>3</v>
      </c>
      <c r="J2765">
        <v>20</v>
      </c>
      <c r="K2765">
        <v>288000</v>
      </c>
      <c r="L2765">
        <v>0</v>
      </c>
      <c r="M2765" t="s">
        <v>23</v>
      </c>
      <c r="N2765" t="str">
        <f>_xlfn.XLOOKUP(B2765,tblCustomers[customer_id],tblCustomers[region],"Missing")</f>
        <v>West</v>
      </c>
      <c r="O2765" t="str">
        <f>_xlfn.XLOOKUP(C2765,tblProducts[product_id],tblProducts[product_name],"Missing")</f>
        <v>CRM Essentials</v>
      </c>
      <c r="P2765" t="str">
        <f>_xlfn.XLOOKUP(C2765,tblProducts[product_id],tblProducts[category],"Missing")</f>
        <v>CRM</v>
      </c>
      <c r="Q2765" t="str">
        <f>_xlfn.XLOOKUP(D2765,tblSalesReps[rep_id],tblSalesReps[rep_name],"Missing")</f>
        <v>Sales Rep 13</v>
      </c>
      <c r="R2765" t="str">
        <f>_xlfn.XLOOKUP(D2765,tblSalesReps[rep_id],tblSalesReps[region],"Missing")</f>
        <v>West</v>
      </c>
    </row>
    <row r="2766" spans="1:18">
      <c r="A2766" t="s">
        <v>3309</v>
      </c>
      <c r="B2766" t="s">
        <v>520</v>
      </c>
      <c r="C2766" t="s">
        <v>39</v>
      </c>
      <c r="D2766" t="s">
        <v>168</v>
      </c>
      <c r="E2766" s="1">
        <v>45978</v>
      </c>
      <c r="F2766" s="1">
        <v>46015</v>
      </c>
      <c r="G2766" s="1"/>
      <c r="H2766" t="s">
        <v>43</v>
      </c>
      <c r="I2766">
        <v>2</v>
      </c>
      <c r="J2766">
        <v>15</v>
      </c>
      <c r="K2766">
        <v>306000</v>
      </c>
      <c r="L2766">
        <v>60</v>
      </c>
      <c r="M2766" t="s">
        <v>29</v>
      </c>
      <c r="N2766" t="str">
        <f>_xlfn.XLOOKUP(B2766,tblCustomers[customer_id],tblCustomers[region],"Missing")</f>
        <v>East</v>
      </c>
      <c r="O2766" t="str">
        <f>_xlfn.XLOOKUP(C2766,tblProducts[product_id],tblProducts[product_name],"Missing")</f>
        <v>Support Desk</v>
      </c>
      <c r="P2766" t="str">
        <f>_xlfn.XLOOKUP(C2766,tblProducts[product_id],tblProducts[category],"Missing")</f>
        <v>Service</v>
      </c>
      <c r="Q2766" t="str">
        <f>_xlfn.XLOOKUP(D2766,tblSalesReps[rep_id],tblSalesReps[rep_name],"Missing")</f>
        <v>Sales Rep 17</v>
      </c>
      <c r="R2766" t="str">
        <f>_xlfn.XLOOKUP(D2766,tblSalesReps[rep_id],tblSalesReps[region],"Missing")</f>
        <v>East</v>
      </c>
    </row>
    <row r="2767" spans="1:18">
      <c r="A2767" t="s">
        <v>3310</v>
      </c>
      <c r="B2767" t="s">
        <v>773</v>
      </c>
      <c r="C2767" t="s">
        <v>26</v>
      </c>
      <c r="D2767" t="s">
        <v>53</v>
      </c>
      <c r="E2767" s="1">
        <v>45912</v>
      </c>
      <c r="F2767" s="1">
        <v>45950</v>
      </c>
      <c r="G2767" s="1">
        <v>45950</v>
      </c>
      <c r="H2767" t="s">
        <v>28</v>
      </c>
      <c r="I2767">
        <v>1</v>
      </c>
      <c r="J2767">
        <v>20</v>
      </c>
      <c r="K2767">
        <v>288000</v>
      </c>
      <c r="L2767">
        <v>100</v>
      </c>
      <c r="M2767" t="s">
        <v>29</v>
      </c>
      <c r="N2767" t="str">
        <f>_xlfn.XLOOKUP(B2767,tblCustomers[customer_id],tblCustomers[region],"Missing")</f>
        <v>East</v>
      </c>
      <c r="O2767" t="str">
        <f>_xlfn.XLOOKUP(C2767,tblProducts[product_id],tblProducts[product_name],"Missing")</f>
        <v>Security Suite</v>
      </c>
      <c r="P2767" t="str">
        <f>_xlfn.XLOOKUP(C2767,tblProducts[product_id],tblProducts[category],"Missing")</f>
        <v>Security</v>
      </c>
      <c r="Q2767" t="str">
        <f>_xlfn.XLOOKUP(D2767,tblSalesReps[rep_id],tblSalesReps[rep_name],"Missing")</f>
        <v>Sales Rep 16</v>
      </c>
      <c r="R2767" t="str">
        <f>_xlfn.XLOOKUP(D2767,tblSalesReps[rep_id],tblSalesReps[region],"Missing")</f>
        <v>East</v>
      </c>
    </row>
    <row r="2768" spans="1:18">
      <c r="A2768" t="s">
        <v>3311</v>
      </c>
      <c r="B2768" t="s">
        <v>662</v>
      </c>
      <c r="C2768" t="s">
        <v>26</v>
      </c>
      <c r="D2768" t="s">
        <v>32</v>
      </c>
      <c r="E2768" s="1">
        <v>45973</v>
      </c>
      <c r="F2768" s="1">
        <v>46027</v>
      </c>
      <c r="G2768" s="1"/>
      <c r="H2768" t="s">
        <v>43</v>
      </c>
      <c r="I2768">
        <v>1</v>
      </c>
      <c r="J2768">
        <v>15</v>
      </c>
      <c r="K2768">
        <v>306000</v>
      </c>
      <c r="L2768">
        <v>40</v>
      </c>
      <c r="M2768" t="s">
        <v>29</v>
      </c>
      <c r="N2768" t="str">
        <f>_xlfn.XLOOKUP(B2768,tblCustomers[customer_id],tblCustomers[region],"Missing")</f>
        <v>South</v>
      </c>
      <c r="O2768" t="str">
        <f>_xlfn.XLOOKUP(C2768,tblProducts[product_id],tblProducts[product_name],"Missing")</f>
        <v>Security Suite</v>
      </c>
      <c r="P2768" t="str">
        <f>_xlfn.XLOOKUP(C2768,tblProducts[product_id],tblProducts[category],"Missing")</f>
        <v>Security</v>
      </c>
      <c r="Q2768" t="str">
        <f>_xlfn.XLOOKUP(D2768,tblSalesReps[rep_id],tblSalesReps[rep_name],"Missing")</f>
        <v>Sales Rep 04</v>
      </c>
      <c r="R2768" t="str">
        <f>_xlfn.XLOOKUP(D2768,tblSalesReps[rep_id],tblSalesReps[region],"Missing")</f>
        <v>South</v>
      </c>
    </row>
    <row r="2769" spans="1:18">
      <c r="A2769" t="s">
        <v>3312</v>
      </c>
      <c r="B2769" t="s">
        <v>669</v>
      </c>
      <c r="C2769" t="s">
        <v>62</v>
      </c>
      <c r="D2769" t="s">
        <v>119</v>
      </c>
      <c r="E2769" s="1">
        <v>45728</v>
      </c>
      <c r="F2769" s="1">
        <v>45751</v>
      </c>
      <c r="G2769" s="1"/>
      <c r="H2769" t="s">
        <v>43</v>
      </c>
      <c r="I2769">
        <v>1</v>
      </c>
      <c r="J2769">
        <v>0</v>
      </c>
      <c r="K2769">
        <v>120000</v>
      </c>
      <c r="L2769">
        <v>80</v>
      </c>
      <c r="M2769" t="s">
        <v>29</v>
      </c>
      <c r="N2769" t="str">
        <f>_xlfn.XLOOKUP(B2769,tblCustomers[customer_id],tblCustomers[region],"Missing")</f>
        <v>North</v>
      </c>
      <c r="O2769" t="str">
        <f>_xlfn.XLOOKUP(C2769,tblProducts[product_id],tblProducts[product_name],"Missing")</f>
        <v>CRM Essentials</v>
      </c>
      <c r="P2769" t="str">
        <f>_xlfn.XLOOKUP(C2769,tblProducts[product_id],tblProducts[category],"Missing")</f>
        <v>CRM</v>
      </c>
      <c r="Q2769" t="str">
        <f>_xlfn.XLOOKUP(D2769,tblSalesReps[rep_id],tblSalesReps[rep_name],"Missing")</f>
        <v>Sales Rep 10</v>
      </c>
      <c r="R2769" t="str">
        <f>_xlfn.XLOOKUP(D2769,tblSalesReps[rep_id],tblSalesReps[region],"Missing")</f>
        <v>North</v>
      </c>
    </row>
    <row r="2770" spans="1:18">
      <c r="A2770" t="s">
        <v>3313</v>
      </c>
      <c r="B2770" t="s">
        <v>773</v>
      </c>
      <c r="C2770" t="s">
        <v>62</v>
      </c>
      <c r="D2770" t="s">
        <v>53</v>
      </c>
      <c r="E2770" s="1">
        <v>45711</v>
      </c>
      <c r="F2770" s="1">
        <v>45750</v>
      </c>
      <c r="G2770" s="1">
        <v>45750</v>
      </c>
      <c r="H2770" t="s">
        <v>28</v>
      </c>
      <c r="I2770">
        <v>3</v>
      </c>
      <c r="J2770">
        <v>15</v>
      </c>
      <c r="K2770">
        <v>306000</v>
      </c>
      <c r="L2770">
        <v>100</v>
      </c>
      <c r="M2770" t="s">
        <v>29</v>
      </c>
      <c r="N2770" t="str">
        <f>_xlfn.XLOOKUP(B2770,tblCustomers[customer_id],tblCustomers[region],"Missing")</f>
        <v>East</v>
      </c>
      <c r="O2770" t="str">
        <f>_xlfn.XLOOKUP(C2770,tblProducts[product_id],tblProducts[product_name],"Missing")</f>
        <v>CRM Essentials</v>
      </c>
      <c r="P2770" t="str">
        <f>_xlfn.XLOOKUP(C2770,tblProducts[product_id],tblProducts[category],"Missing")</f>
        <v>CRM</v>
      </c>
      <c r="Q2770" t="str">
        <f>_xlfn.XLOOKUP(D2770,tblSalesReps[rep_id],tblSalesReps[rep_name],"Missing")</f>
        <v>Sales Rep 16</v>
      </c>
      <c r="R2770" t="str">
        <f>_xlfn.XLOOKUP(D2770,tblSalesReps[rep_id],tblSalesReps[region],"Missing")</f>
        <v>East</v>
      </c>
    </row>
    <row r="2771" spans="1:18">
      <c r="A2771" t="s">
        <v>3314</v>
      </c>
      <c r="B2771" t="s">
        <v>172</v>
      </c>
      <c r="C2771" t="s">
        <v>39</v>
      </c>
      <c r="D2771" t="s">
        <v>119</v>
      </c>
      <c r="E2771" s="1">
        <v>45789</v>
      </c>
      <c r="F2771" s="1">
        <v>45870</v>
      </c>
      <c r="G2771" s="1">
        <v>45870</v>
      </c>
      <c r="H2771" t="s">
        <v>17</v>
      </c>
      <c r="I2771">
        <v>1</v>
      </c>
      <c r="J2771">
        <v>20</v>
      </c>
      <c r="K2771">
        <v>144000</v>
      </c>
      <c r="L2771">
        <v>0</v>
      </c>
      <c r="M2771" t="s">
        <v>47</v>
      </c>
      <c r="N2771" t="str">
        <f>_xlfn.XLOOKUP(B2771,tblCustomers[customer_id],tblCustomers[region],"Missing")</f>
        <v>North</v>
      </c>
      <c r="O2771" t="str">
        <f>_xlfn.XLOOKUP(C2771,tblProducts[product_id],tblProducts[product_name],"Missing")</f>
        <v>Support Desk</v>
      </c>
      <c r="P2771" t="str">
        <f>_xlfn.XLOOKUP(C2771,tblProducts[product_id],tblProducts[category],"Missing")</f>
        <v>Service</v>
      </c>
      <c r="Q2771" t="str">
        <f>_xlfn.XLOOKUP(D2771,tblSalesReps[rep_id],tblSalesReps[rep_name],"Missing")</f>
        <v>Sales Rep 10</v>
      </c>
      <c r="R2771" t="str">
        <f>_xlfn.XLOOKUP(D2771,tblSalesReps[rep_id],tblSalesReps[region],"Missing")</f>
        <v>North</v>
      </c>
    </row>
    <row r="2772" spans="1:18">
      <c r="A2772" t="s">
        <v>3315</v>
      </c>
      <c r="B2772" t="s">
        <v>1528</v>
      </c>
      <c r="C2772" t="s">
        <v>15</v>
      </c>
      <c r="D2772" t="s">
        <v>56</v>
      </c>
      <c r="E2772" s="1">
        <v>45789</v>
      </c>
      <c r="F2772" s="1">
        <v>45829</v>
      </c>
      <c r="G2772" s="1">
        <v>45829</v>
      </c>
      <c r="H2772" t="s">
        <v>17</v>
      </c>
      <c r="I2772">
        <v>2</v>
      </c>
      <c r="J2772">
        <v>10</v>
      </c>
      <c r="K2772">
        <v>756000</v>
      </c>
      <c r="L2772">
        <v>0</v>
      </c>
      <c r="M2772" t="s">
        <v>18</v>
      </c>
      <c r="N2772" t="str">
        <f>_xlfn.XLOOKUP(B2772,tblCustomers[customer_id],tblCustomers[region],"Missing")</f>
        <v>East</v>
      </c>
      <c r="O2772" t="str">
        <f>_xlfn.XLOOKUP(C2772,tblProducts[product_id],tblProducts[product_name],"Missing")</f>
        <v>CRM Enterprise</v>
      </c>
      <c r="P2772" t="str">
        <f>_xlfn.XLOOKUP(C2772,tblProducts[product_id],tblProducts[category],"Missing")</f>
        <v>CRM</v>
      </c>
      <c r="Q2772" t="str">
        <f>_xlfn.XLOOKUP(D2772,tblSalesReps[rep_id],tblSalesReps[rep_name],"Missing")</f>
        <v>Sales Rep 20</v>
      </c>
      <c r="R2772" t="str">
        <f>_xlfn.XLOOKUP(D2772,tblSalesReps[rep_id],tblSalesReps[region],"Missing")</f>
        <v>East</v>
      </c>
    </row>
    <row r="2773" spans="1:18">
      <c r="A2773" t="s">
        <v>3316</v>
      </c>
      <c r="B2773" t="s">
        <v>266</v>
      </c>
      <c r="C2773" t="s">
        <v>26</v>
      </c>
      <c r="D2773" t="s">
        <v>50</v>
      </c>
      <c r="E2773" s="1">
        <v>45919</v>
      </c>
      <c r="F2773" s="1">
        <v>45976</v>
      </c>
      <c r="G2773" s="1">
        <v>45976</v>
      </c>
      <c r="H2773" t="s">
        <v>17</v>
      </c>
      <c r="I2773">
        <v>1</v>
      </c>
      <c r="J2773">
        <v>15</v>
      </c>
      <c r="K2773">
        <v>306000</v>
      </c>
      <c r="L2773">
        <v>0</v>
      </c>
      <c r="M2773" t="s">
        <v>23</v>
      </c>
      <c r="N2773" t="str">
        <f>_xlfn.XLOOKUP(B2773,tblCustomers[customer_id],tblCustomers[region],"Missing")</f>
        <v>West</v>
      </c>
      <c r="O2773" t="str">
        <f>_xlfn.XLOOKUP(C2773,tblProducts[product_id],tblProducts[product_name],"Missing")</f>
        <v>Security Suite</v>
      </c>
      <c r="P2773" t="str">
        <f>_xlfn.XLOOKUP(C2773,tblProducts[product_id],tblProducts[category],"Missing")</f>
        <v>Security</v>
      </c>
      <c r="Q2773" t="str">
        <f>_xlfn.XLOOKUP(D2773,tblSalesReps[rep_id],tblSalesReps[rep_name],"Missing")</f>
        <v>Sales Rep 15</v>
      </c>
      <c r="R2773" t="str">
        <f>_xlfn.XLOOKUP(D2773,tblSalesReps[rep_id],tblSalesReps[region],"Missing")</f>
        <v>West</v>
      </c>
    </row>
    <row r="2774" spans="1:18">
      <c r="A2774" t="s">
        <v>3317</v>
      </c>
      <c r="B2774" t="s">
        <v>801</v>
      </c>
      <c r="C2774" t="s">
        <v>15</v>
      </c>
      <c r="D2774" t="s">
        <v>119</v>
      </c>
      <c r="E2774" s="1">
        <v>45708</v>
      </c>
      <c r="F2774" s="1">
        <v>45770</v>
      </c>
      <c r="G2774" s="1">
        <v>45770</v>
      </c>
      <c r="H2774" t="s">
        <v>28</v>
      </c>
      <c r="I2774">
        <v>3</v>
      </c>
      <c r="J2774">
        <v>20</v>
      </c>
      <c r="K2774">
        <v>1008000</v>
      </c>
      <c r="L2774">
        <v>100</v>
      </c>
      <c r="M2774" t="s">
        <v>29</v>
      </c>
      <c r="N2774" t="str">
        <f>_xlfn.XLOOKUP(B2774,tblCustomers[customer_id],tblCustomers[region],"Missing")</f>
        <v>North</v>
      </c>
      <c r="O2774" t="str">
        <f>_xlfn.XLOOKUP(C2774,tblProducts[product_id],tblProducts[product_name],"Missing")</f>
        <v>CRM Enterprise</v>
      </c>
      <c r="P2774" t="str">
        <f>_xlfn.XLOOKUP(C2774,tblProducts[product_id],tblProducts[category],"Missing")</f>
        <v>CRM</v>
      </c>
      <c r="Q2774" t="str">
        <f>_xlfn.XLOOKUP(D2774,tblSalesReps[rep_id],tblSalesReps[rep_name],"Missing")</f>
        <v>Sales Rep 10</v>
      </c>
      <c r="R2774" t="str">
        <f>_xlfn.XLOOKUP(D2774,tblSalesReps[rep_id],tblSalesReps[region],"Missing")</f>
        <v>North</v>
      </c>
    </row>
    <row r="2775" spans="1:18">
      <c r="A2775" t="s">
        <v>3318</v>
      </c>
      <c r="B2775" t="s">
        <v>1390</v>
      </c>
      <c r="C2775" t="s">
        <v>21</v>
      </c>
      <c r="D2775" t="s">
        <v>16</v>
      </c>
      <c r="E2775" s="1">
        <v>45735</v>
      </c>
      <c r="F2775" s="1">
        <v>45756</v>
      </c>
      <c r="G2775" s="1">
        <v>45756</v>
      </c>
      <c r="H2775" t="s">
        <v>28</v>
      </c>
      <c r="I2775">
        <v>1</v>
      </c>
      <c r="J2775">
        <v>10</v>
      </c>
      <c r="K2775">
        <v>216000</v>
      </c>
      <c r="L2775">
        <v>100</v>
      </c>
      <c r="M2775" t="s">
        <v>29</v>
      </c>
      <c r="N2775" t="str">
        <f>_xlfn.XLOOKUP(B2775,tblCustomers[customer_id],tblCustomers[region],"Missing")</f>
        <v>North</v>
      </c>
      <c r="O2775" t="str">
        <f>_xlfn.XLOOKUP(C2775,tblProducts[product_id],tblProducts[product_name],"Missing")</f>
        <v>Workflow Automate</v>
      </c>
      <c r="P2775" t="str">
        <f>_xlfn.XLOOKUP(C2775,tblProducts[product_id],tblProducts[category],"Missing")</f>
        <v>Automation</v>
      </c>
      <c r="Q2775" t="str">
        <f>_xlfn.XLOOKUP(D2775,tblSalesReps[rep_id],tblSalesReps[rep_name],"Missing")</f>
        <v>Sales Rep 08</v>
      </c>
      <c r="R2775" t="str">
        <f>_xlfn.XLOOKUP(D2775,tblSalesReps[rep_id],tblSalesReps[region],"Missing")</f>
        <v>North</v>
      </c>
    </row>
    <row r="2776" spans="1:18">
      <c r="A2776" t="s">
        <v>3319</v>
      </c>
      <c r="B2776" t="s">
        <v>907</v>
      </c>
      <c r="C2776" t="s">
        <v>81</v>
      </c>
      <c r="D2776" t="s">
        <v>126</v>
      </c>
      <c r="E2776" s="1">
        <v>45680</v>
      </c>
      <c r="F2776" s="1">
        <v>45695</v>
      </c>
      <c r="G2776" s="1">
        <v>45695</v>
      </c>
      <c r="H2776" t="s">
        <v>17</v>
      </c>
      <c r="I2776">
        <v>3</v>
      </c>
      <c r="J2776">
        <v>15</v>
      </c>
      <c r="K2776">
        <v>765000</v>
      </c>
      <c r="L2776">
        <v>0</v>
      </c>
      <c r="M2776" t="s">
        <v>47</v>
      </c>
      <c r="N2776" t="str">
        <f>_xlfn.XLOOKUP(B2776,tblCustomers[customer_id],tblCustomers[region],"Missing")</f>
        <v>South</v>
      </c>
      <c r="O2776" t="str">
        <f>_xlfn.XLOOKUP(C2776,tblProducts[product_id],tblProducts[product_name],"Missing")</f>
        <v>Analytics Cloud</v>
      </c>
      <c r="P2776" t="str">
        <f>_xlfn.XLOOKUP(C2776,tblProducts[product_id],tblProducts[category],"Missing")</f>
        <v>Analytics</v>
      </c>
      <c r="Q2776" t="str">
        <f>_xlfn.XLOOKUP(D2776,tblSalesReps[rep_id],tblSalesReps[rep_name],"Missing")</f>
        <v>Sales Rep 02</v>
      </c>
      <c r="R2776" t="str">
        <f>_xlfn.XLOOKUP(D2776,tblSalesReps[rep_id],tblSalesReps[region],"Missing")</f>
        <v>South</v>
      </c>
    </row>
    <row r="2777" spans="1:18">
      <c r="A2777" t="s">
        <v>3320</v>
      </c>
      <c r="B2777" t="s">
        <v>914</v>
      </c>
      <c r="C2777" t="s">
        <v>39</v>
      </c>
      <c r="D2777" t="s">
        <v>126</v>
      </c>
      <c r="E2777" s="1">
        <v>45985</v>
      </c>
      <c r="F2777" s="1">
        <v>46037</v>
      </c>
      <c r="G2777" s="1"/>
      <c r="H2777" t="s">
        <v>43</v>
      </c>
      <c r="I2777">
        <v>3</v>
      </c>
      <c r="J2777">
        <v>5</v>
      </c>
      <c r="K2777">
        <v>513000</v>
      </c>
      <c r="L2777">
        <v>80</v>
      </c>
      <c r="M2777" t="s">
        <v>29</v>
      </c>
      <c r="N2777" t="str">
        <f>_xlfn.XLOOKUP(B2777,tblCustomers[customer_id],tblCustomers[region],"Missing")</f>
        <v>South</v>
      </c>
      <c r="O2777" t="str">
        <f>_xlfn.XLOOKUP(C2777,tblProducts[product_id],tblProducts[product_name],"Missing")</f>
        <v>Support Desk</v>
      </c>
      <c r="P2777" t="str">
        <f>_xlfn.XLOOKUP(C2777,tblProducts[product_id],tblProducts[category],"Missing")</f>
        <v>Service</v>
      </c>
      <c r="Q2777" t="str">
        <f>_xlfn.XLOOKUP(D2777,tblSalesReps[rep_id],tblSalesReps[rep_name],"Missing")</f>
        <v>Sales Rep 02</v>
      </c>
      <c r="R2777" t="str">
        <f>_xlfn.XLOOKUP(D2777,tblSalesReps[rep_id],tblSalesReps[region],"Missing")</f>
        <v>South</v>
      </c>
    </row>
    <row r="2778" spans="1:18">
      <c r="A2778" t="s">
        <v>3321</v>
      </c>
      <c r="B2778" t="s">
        <v>3322</v>
      </c>
      <c r="C2778" t="s">
        <v>39</v>
      </c>
      <c r="D2778" t="s">
        <v>50</v>
      </c>
      <c r="E2778" s="1">
        <v>46019</v>
      </c>
      <c r="F2778" s="1">
        <v>46092</v>
      </c>
      <c r="G2778" s="1"/>
      <c r="H2778" t="s">
        <v>43</v>
      </c>
      <c r="I2778">
        <v>1</v>
      </c>
      <c r="J2778">
        <v>20</v>
      </c>
      <c r="K2778">
        <v>144000</v>
      </c>
      <c r="L2778">
        <v>20</v>
      </c>
      <c r="M2778" t="s">
        <v>29</v>
      </c>
      <c r="N2778" t="str">
        <f>_xlfn.XLOOKUP(B2778,tblCustomers[customer_id],tblCustomers[region],"Missing")</f>
        <v>West</v>
      </c>
      <c r="O2778" t="str">
        <f>_xlfn.XLOOKUP(C2778,tblProducts[product_id],tblProducts[product_name],"Missing")</f>
        <v>Support Desk</v>
      </c>
      <c r="P2778" t="str">
        <f>_xlfn.XLOOKUP(C2778,tblProducts[product_id],tblProducts[category],"Missing")</f>
        <v>Service</v>
      </c>
      <c r="Q2778" t="str">
        <f>_xlfn.XLOOKUP(D2778,tblSalesReps[rep_id],tblSalesReps[rep_name],"Missing")</f>
        <v>Sales Rep 15</v>
      </c>
      <c r="R2778" t="str">
        <f>_xlfn.XLOOKUP(D2778,tblSalesReps[rep_id],tblSalesReps[region],"Missing")</f>
        <v>West</v>
      </c>
    </row>
    <row r="2779" spans="1:18">
      <c r="A2779" t="s">
        <v>3323</v>
      </c>
      <c r="B2779" t="s">
        <v>1159</v>
      </c>
      <c r="C2779" t="s">
        <v>15</v>
      </c>
      <c r="D2779" t="s">
        <v>152</v>
      </c>
      <c r="E2779" s="1">
        <v>45727</v>
      </c>
      <c r="F2779" s="1">
        <v>45734</v>
      </c>
      <c r="G2779" s="1"/>
      <c r="H2779" t="s">
        <v>43</v>
      </c>
      <c r="I2779">
        <v>2</v>
      </c>
      <c r="J2779">
        <v>10</v>
      </c>
      <c r="K2779">
        <v>756000</v>
      </c>
      <c r="L2779">
        <v>40</v>
      </c>
      <c r="M2779" t="s">
        <v>29</v>
      </c>
      <c r="N2779" t="str">
        <f>_xlfn.XLOOKUP(B2779,tblCustomers[customer_id],tblCustomers[region],"Missing")</f>
        <v>East</v>
      </c>
      <c r="O2779" t="str">
        <f>_xlfn.XLOOKUP(C2779,tblProducts[product_id],tblProducts[product_name],"Missing")</f>
        <v>CRM Enterprise</v>
      </c>
      <c r="P2779" t="str">
        <f>_xlfn.XLOOKUP(C2779,tblProducts[product_id],tblProducts[category],"Missing")</f>
        <v>CRM</v>
      </c>
      <c r="Q2779" t="str">
        <f>_xlfn.XLOOKUP(D2779,tblSalesReps[rep_id],tblSalesReps[rep_name],"Missing")</f>
        <v>Sales Rep 18</v>
      </c>
      <c r="R2779" t="str">
        <f>_xlfn.XLOOKUP(D2779,tblSalesReps[rep_id],tblSalesReps[region],"Missing")</f>
        <v>East</v>
      </c>
    </row>
    <row r="2780" spans="1:18">
      <c r="A2780" t="s">
        <v>3324</v>
      </c>
      <c r="B2780" t="s">
        <v>660</v>
      </c>
      <c r="C2780" t="s">
        <v>26</v>
      </c>
      <c r="D2780" t="s">
        <v>27</v>
      </c>
      <c r="E2780" s="1">
        <v>45963</v>
      </c>
      <c r="F2780" s="1">
        <v>45971</v>
      </c>
      <c r="G2780" s="1">
        <v>45971</v>
      </c>
      <c r="H2780" t="s">
        <v>17</v>
      </c>
      <c r="I2780">
        <v>1</v>
      </c>
      <c r="J2780">
        <v>0</v>
      </c>
      <c r="K2780">
        <v>360000</v>
      </c>
      <c r="L2780">
        <v>0</v>
      </c>
      <c r="M2780" t="s">
        <v>47</v>
      </c>
      <c r="N2780" t="str">
        <f>_xlfn.XLOOKUP(B2780,tblCustomers[customer_id],tblCustomers[region],"Missing")</f>
        <v>North</v>
      </c>
      <c r="O2780" t="str">
        <f>_xlfn.XLOOKUP(C2780,tblProducts[product_id],tblProducts[product_name],"Missing")</f>
        <v>Security Suite</v>
      </c>
      <c r="P2780" t="str">
        <f>_xlfn.XLOOKUP(C2780,tblProducts[product_id],tblProducts[category],"Missing")</f>
        <v>Security</v>
      </c>
      <c r="Q2780" t="str">
        <f>_xlfn.XLOOKUP(D2780,tblSalesReps[rep_id],tblSalesReps[rep_name],"Missing")</f>
        <v>Sales Rep 06</v>
      </c>
      <c r="R2780" t="str">
        <f>_xlfn.XLOOKUP(D2780,tblSalesReps[rep_id],tblSalesReps[region],"Missing")</f>
        <v>North</v>
      </c>
    </row>
    <row r="2781" spans="1:18">
      <c r="A2781" t="s">
        <v>3325</v>
      </c>
      <c r="B2781" t="s">
        <v>2156</v>
      </c>
      <c r="C2781" t="s">
        <v>15</v>
      </c>
      <c r="D2781" t="s">
        <v>40</v>
      </c>
      <c r="E2781" s="1">
        <v>45989</v>
      </c>
      <c r="F2781" s="1">
        <v>46062</v>
      </c>
      <c r="G2781" s="1"/>
      <c r="H2781" t="s">
        <v>43</v>
      </c>
      <c r="I2781">
        <v>2</v>
      </c>
      <c r="J2781">
        <v>5</v>
      </c>
      <c r="K2781">
        <v>798000</v>
      </c>
      <c r="L2781">
        <v>60</v>
      </c>
      <c r="M2781" t="s">
        <v>29</v>
      </c>
      <c r="N2781" t="str">
        <f>_xlfn.XLOOKUP(B2781,tblCustomers[customer_id],tblCustomers[region],"Missing")</f>
        <v>West</v>
      </c>
      <c r="O2781" t="str">
        <f>_xlfn.XLOOKUP(C2781,tblProducts[product_id],tblProducts[product_name],"Missing")</f>
        <v>CRM Enterprise</v>
      </c>
      <c r="P2781" t="str">
        <f>_xlfn.XLOOKUP(C2781,tblProducts[product_id],tblProducts[category],"Missing")</f>
        <v>CRM</v>
      </c>
      <c r="Q2781" t="str">
        <f>_xlfn.XLOOKUP(D2781,tblSalesReps[rep_id],tblSalesReps[rep_name],"Missing")</f>
        <v>Sales Rep 13</v>
      </c>
      <c r="R2781" t="str">
        <f>_xlfn.XLOOKUP(D2781,tblSalesReps[rep_id],tblSalesReps[region],"Missing")</f>
        <v>West</v>
      </c>
    </row>
    <row r="2782" spans="1:18">
      <c r="A2782" t="s">
        <v>3326</v>
      </c>
      <c r="B2782" t="s">
        <v>2325</v>
      </c>
      <c r="C2782" t="s">
        <v>39</v>
      </c>
      <c r="D2782" t="s">
        <v>56</v>
      </c>
      <c r="E2782" s="1">
        <v>45879</v>
      </c>
      <c r="F2782" s="1">
        <v>45895</v>
      </c>
      <c r="G2782" s="1"/>
      <c r="H2782" t="s">
        <v>43</v>
      </c>
      <c r="I2782">
        <v>1</v>
      </c>
      <c r="J2782">
        <v>5</v>
      </c>
      <c r="K2782">
        <v>171000</v>
      </c>
      <c r="L2782">
        <v>60</v>
      </c>
      <c r="M2782" t="s">
        <v>29</v>
      </c>
      <c r="N2782" t="str">
        <f>_xlfn.XLOOKUP(B2782,tblCustomers[customer_id],tblCustomers[region],"Missing")</f>
        <v>East</v>
      </c>
      <c r="O2782" t="str">
        <f>_xlfn.XLOOKUP(C2782,tblProducts[product_id],tblProducts[product_name],"Missing")</f>
        <v>Support Desk</v>
      </c>
      <c r="P2782" t="str">
        <f>_xlfn.XLOOKUP(C2782,tblProducts[product_id],tblProducts[category],"Missing")</f>
        <v>Service</v>
      </c>
      <c r="Q2782" t="str">
        <f>_xlfn.XLOOKUP(D2782,tblSalesReps[rep_id],tblSalesReps[rep_name],"Missing")</f>
        <v>Sales Rep 20</v>
      </c>
      <c r="R2782" t="str">
        <f>_xlfn.XLOOKUP(D2782,tblSalesReps[rep_id],tblSalesReps[region],"Missing")</f>
        <v>East</v>
      </c>
    </row>
    <row r="2783" spans="1:18">
      <c r="A2783" t="s">
        <v>3327</v>
      </c>
      <c r="B2783" t="s">
        <v>948</v>
      </c>
      <c r="C2783" t="s">
        <v>39</v>
      </c>
      <c r="D2783" t="s">
        <v>40</v>
      </c>
      <c r="E2783" s="1">
        <v>45748</v>
      </c>
      <c r="F2783" s="1">
        <v>45811</v>
      </c>
      <c r="G2783" s="1"/>
      <c r="H2783" t="s">
        <v>43</v>
      </c>
      <c r="I2783">
        <v>2</v>
      </c>
      <c r="J2783">
        <v>20</v>
      </c>
      <c r="K2783">
        <v>288000</v>
      </c>
      <c r="L2783">
        <v>20</v>
      </c>
      <c r="M2783" t="s">
        <v>29</v>
      </c>
      <c r="N2783" t="str">
        <f>_xlfn.XLOOKUP(B2783,tblCustomers[customer_id],tblCustomers[region],"Missing")</f>
        <v>West</v>
      </c>
      <c r="O2783" t="str">
        <f>_xlfn.XLOOKUP(C2783,tblProducts[product_id],tblProducts[product_name],"Missing")</f>
        <v>Support Desk</v>
      </c>
      <c r="P2783" t="str">
        <f>_xlfn.XLOOKUP(C2783,tblProducts[product_id],tblProducts[category],"Missing")</f>
        <v>Service</v>
      </c>
      <c r="Q2783" t="str">
        <f>_xlfn.XLOOKUP(D2783,tblSalesReps[rep_id],tblSalesReps[rep_name],"Missing")</f>
        <v>Sales Rep 13</v>
      </c>
      <c r="R2783" t="str">
        <f>_xlfn.XLOOKUP(D2783,tblSalesReps[rep_id],tblSalesReps[region],"Missing")</f>
        <v>West</v>
      </c>
    </row>
    <row r="2784" spans="1:18">
      <c r="A2784" t="s">
        <v>3328</v>
      </c>
      <c r="B2784" t="s">
        <v>99</v>
      </c>
      <c r="C2784" t="s">
        <v>21</v>
      </c>
      <c r="D2784" t="s">
        <v>46</v>
      </c>
      <c r="E2784" s="1">
        <v>45712</v>
      </c>
      <c r="F2784" s="1">
        <v>45725</v>
      </c>
      <c r="G2784" s="1"/>
      <c r="H2784" t="s">
        <v>43</v>
      </c>
      <c r="I2784">
        <v>1</v>
      </c>
      <c r="J2784">
        <v>10</v>
      </c>
      <c r="K2784">
        <v>216000</v>
      </c>
      <c r="L2784">
        <v>60</v>
      </c>
      <c r="M2784" t="s">
        <v>29</v>
      </c>
      <c r="N2784" t="str">
        <f>_xlfn.XLOOKUP(B2784,tblCustomers[customer_id],tblCustomers[region],"Missing")</f>
        <v>South</v>
      </c>
      <c r="O2784" t="str">
        <f>_xlfn.XLOOKUP(C2784,tblProducts[product_id],tblProducts[product_name],"Missing")</f>
        <v>Workflow Automate</v>
      </c>
      <c r="P2784" t="str">
        <f>_xlfn.XLOOKUP(C2784,tblProducts[product_id],tblProducts[category],"Missing")</f>
        <v>Automation</v>
      </c>
      <c r="Q2784" t="str">
        <f>_xlfn.XLOOKUP(D2784,tblSalesReps[rep_id],tblSalesReps[rep_name],"Missing")</f>
        <v>Sales Rep 01</v>
      </c>
      <c r="R2784" t="str">
        <f>_xlfn.XLOOKUP(D2784,tblSalesReps[rep_id],tblSalesReps[region],"Missing")</f>
        <v>South</v>
      </c>
    </row>
    <row r="2785" spans="1:18">
      <c r="A2785" t="s">
        <v>3329</v>
      </c>
      <c r="B2785" t="s">
        <v>611</v>
      </c>
      <c r="C2785" t="s">
        <v>81</v>
      </c>
      <c r="D2785" t="s">
        <v>40</v>
      </c>
      <c r="E2785" s="1">
        <v>45705</v>
      </c>
      <c r="F2785" s="1">
        <v>45716</v>
      </c>
      <c r="G2785" s="1">
        <v>45716</v>
      </c>
      <c r="H2785" t="s">
        <v>28</v>
      </c>
      <c r="I2785">
        <v>1</v>
      </c>
      <c r="J2785">
        <v>5</v>
      </c>
      <c r="K2785">
        <v>285000</v>
      </c>
      <c r="L2785">
        <v>100</v>
      </c>
      <c r="M2785" t="s">
        <v>29</v>
      </c>
      <c r="N2785" t="str">
        <f>_xlfn.XLOOKUP(B2785,tblCustomers[customer_id],tblCustomers[region],"Missing")</f>
        <v>West</v>
      </c>
      <c r="O2785" t="str">
        <f>_xlfn.XLOOKUP(C2785,tblProducts[product_id],tblProducts[product_name],"Missing")</f>
        <v>Analytics Cloud</v>
      </c>
      <c r="P2785" t="str">
        <f>_xlfn.XLOOKUP(C2785,tblProducts[product_id],tblProducts[category],"Missing")</f>
        <v>Analytics</v>
      </c>
      <c r="Q2785" t="str">
        <f>_xlfn.XLOOKUP(D2785,tblSalesReps[rep_id],tblSalesReps[rep_name],"Missing")</f>
        <v>Sales Rep 13</v>
      </c>
      <c r="R2785" t="str">
        <f>_xlfn.XLOOKUP(D2785,tblSalesReps[rep_id],tblSalesReps[region],"Missing")</f>
        <v>West</v>
      </c>
    </row>
    <row r="2786" spans="1:18">
      <c r="A2786" t="s">
        <v>3330</v>
      </c>
      <c r="B2786" t="s">
        <v>2067</v>
      </c>
      <c r="C2786" t="s">
        <v>21</v>
      </c>
      <c r="D2786" t="s">
        <v>50</v>
      </c>
      <c r="E2786" s="1">
        <v>45696</v>
      </c>
      <c r="F2786" s="1">
        <v>45732</v>
      </c>
      <c r="G2786" s="1"/>
      <c r="H2786" t="s">
        <v>43</v>
      </c>
      <c r="I2786">
        <v>1</v>
      </c>
      <c r="J2786">
        <v>5</v>
      </c>
      <c r="K2786">
        <v>228000</v>
      </c>
      <c r="L2786">
        <v>20</v>
      </c>
      <c r="M2786" t="s">
        <v>29</v>
      </c>
      <c r="N2786" t="str">
        <f>_xlfn.XLOOKUP(B2786,tblCustomers[customer_id],tblCustomers[region],"Missing")</f>
        <v>West</v>
      </c>
      <c r="O2786" t="str">
        <f>_xlfn.XLOOKUP(C2786,tblProducts[product_id],tblProducts[product_name],"Missing")</f>
        <v>Workflow Automate</v>
      </c>
      <c r="P2786" t="str">
        <f>_xlfn.XLOOKUP(C2786,tblProducts[product_id],tblProducts[category],"Missing")</f>
        <v>Automation</v>
      </c>
      <c r="Q2786" t="str">
        <f>_xlfn.XLOOKUP(D2786,tblSalesReps[rep_id],tblSalesReps[rep_name],"Missing")</f>
        <v>Sales Rep 15</v>
      </c>
      <c r="R2786" t="str">
        <f>_xlfn.XLOOKUP(D2786,tblSalesReps[rep_id],tblSalesReps[region],"Missing")</f>
        <v>West</v>
      </c>
    </row>
    <row r="2787" spans="1:18">
      <c r="A2787" t="s">
        <v>3331</v>
      </c>
      <c r="B2787" t="s">
        <v>2270</v>
      </c>
      <c r="C2787" t="s">
        <v>62</v>
      </c>
      <c r="D2787" t="s">
        <v>46</v>
      </c>
      <c r="E2787" s="1">
        <v>45729</v>
      </c>
      <c r="F2787" s="1">
        <v>45802</v>
      </c>
      <c r="G2787" s="1">
        <v>45802</v>
      </c>
      <c r="H2787" t="s">
        <v>17</v>
      </c>
      <c r="I2787">
        <v>1</v>
      </c>
      <c r="J2787">
        <v>5</v>
      </c>
      <c r="K2787">
        <v>114000</v>
      </c>
      <c r="L2787">
        <v>0</v>
      </c>
      <c r="M2787" t="s">
        <v>23</v>
      </c>
      <c r="N2787" t="str">
        <f>_xlfn.XLOOKUP(B2787,tblCustomers[customer_id],tblCustomers[region],"Missing")</f>
        <v>South</v>
      </c>
      <c r="O2787" t="str">
        <f>_xlfn.XLOOKUP(C2787,tblProducts[product_id],tblProducts[product_name],"Missing")</f>
        <v>CRM Essentials</v>
      </c>
      <c r="P2787" t="str">
        <f>_xlfn.XLOOKUP(C2787,tblProducts[product_id],tblProducts[category],"Missing")</f>
        <v>CRM</v>
      </c>
      <c r="Q2787" t="str">
        <f>_xlfn.XLOOKUP(D2787,tblSalesReps[rep_id],tblSalesReps[rep_name],"Missing")</f>
        <v>Sales Rep 01</v>
      </c>
      <c r="R2787" t="str">
        <f>_xlfn.XLOOKUP(D2787,tblSalesReps[rep_id],tblSalesReps[region],"Missing")</f>
        <v>South</v>
      </c>
    </row>
    <row r="2788" spans="1:18">
      <c r="A2788" t="s">
        <v>3332</v>
      </c>
      <c r="B2788" t="s">
        <v>628</v>
      </c>
      <c r="C2788" t="s">
        <v>21</v>
      </c>
      <c r="D2788" t="s">
        <v>56</v>
      </c>
      <c r="E2788" s="1">
        <v>45747</v>
      </c>
      <c r="F2788" s="1">
        <v>45774</v>
      </c>
      <c r="G2788" s="1">
        <v>45774</v>
      </c>
      <c r="H2788" t="s">
        <v>17</v>
      </c>
      <c r="I2788">
        <v>1</v>
      </c>
      <c r="J2788">
        <v>20</v>
      </c>
      <c r="K2788">
        <v>192000</v>
      </c>
      <c r="L2788">
        <v>0</v>
      </c>
      <c r="M2788" t="s">
        <v>18</v>
      </c>
      <c r="N2788" t="str">
        <f>_xlfn.XLOOKUP(B2788,tblCustomers[customer_id],tblCustomers[region],"Missing")</f>
        <v>East</v>
      </c>
      <c r="O2788" t="str">
        <f>_xlfn.XLOOKUP(C2788,tblProducts[product_id],tblProducts[product_name],"Missing")</f>
        <v>Workflow Automate</v>
      </c>
      <c r="P2788" t="str">
        <f>_xlfn.XLOOKUP(C2788,tblProducts[product_id],tblProducts[category],"Missing")</f>
        <v>Automation</v>
      </c>
      <c r="Q2788" t="str">
        <f>_xlfn.XLOOKUP(D2788,tblSalesReps[rep_id],tblSalesReps[rep_name],"Missing")</f>
        <v>Sales Rep 20</v>
      </c>
      <c r="R2788" t="str">
        <f>_xlfn.XLOOKUP(D2788,tblSalesReps[rep_id],tblSalesReps[region],"Missing")</f>
        <v>East</v>
      </c>
    </row>
    <row r="2789" spans="1:18">
      <c r="A2789" t="s">
        <v>3333</v>
      </c>
      <c r="B2789" t="s">
        <v>1511</v>
      </c>
      <c r="C2789" t="s">
        <v>21</v>
      </c>
      <c r="D2789" t="s">
        <v>91</v>
      </c>
      <c r="E2789" s="1">
        <v>45962</v>
      </c>
      <c r="F2789" s="1">
        <v>45975</v>
      </c>
      <c r="G2789" s="1"/>
      <c r="H2789" t="s">
        <v>43</v>
      </c>
      <c r="I2789">
        <v>1</v>
      </c>
      <c r="J2789">
        <v>15</v>
      </c>
      <c r="K2789">
        <v>204000</v>
      </c>
      <c r="L2789">
        <v>60</v>
      </c>
      <c r="M2789" t="s">
        <v>29</v>
      </c>
      <c r="N2789" t="str">
        <f>_xlfn.XLOOKUP(B2789,tblCustomers[customer_id],tblCustomers[region],"Missing")</f>
        <v>South</v>
      </c>
      <c r="O2789" t="str">
        <f>_xlfn.XLOOKUP(C2789,tblProducts[product_id],tblProducts[product_name],"Missing")</f>
        <v>Workflow Automate</v>
      </c>
      <c r="P2789" t="str">
        <f>_xlfn.XLOOKUP(C2789,tblProducts[product_id],tblProducts[category],"Missing")</f>
        <v>Automation</v>
      </c>
      <c r="Q2789" t="str">
        <f>_xlfn.XLOOKUP(D2789,tblSalesReps[rep_id],tblSalesReps[rep_name],"Missing")</f>
        <v>Sales Rep 03</v>
      </c>
      <c r="R2789" t="str">
        <f>_xlfn.XLOOKUP(D2789,tblSalesReps[rep_id],tblSalesReps[region],"Missing")</f>
        <v>South</v>
      </c>
    </row>
    <row r="2790" spans="1:18">
      <c r="A2790" t="s">
        <v>3334</v>
      </c>
      <c r="B2790" t="s">
        <v>446</v>
      </c>
      <c r="C2790" t="s">
        <v>81</v>
      </c>
      <c r="D2790" t="s">
        <v>59</v>
      </c>
      <c r="E2790" s="1">
        <v>45722</v>
      </c>
      <c r="F2790" s="1">
        <v>45790</v>
      </c>
      <c r="G2790" s="1">
        <v>45790</v>
      </c>
      <c r="H2790" t="s">
        <v>28</v>
      </c>
      <c r="I2790">
        <v>2</v>
      </c>
      <c r="J2790">
        <v>0</v>
      </c>
      <c r="K2790">
        <v>600000</v>
      </c>
      <c r="L2790">
        <v>100</v>
      </c>
      <c r="M2790" t="s">
        <v>29</v>
      </c>
      <c r="N2790" t="str">
        <f>_xlfn.XLOOKUP(B2790,tblCustomers[customer_id],tblCustomers[region],"Missing")</f>
        <v>East</v>
      </c>
      <c r="O2790" t="str">
        <f>_xlfn.XLOOKUP(C2790,tblProducts[product_id],tblProducts[product_name],"Missing")</f>
        <v>Analytics Cloud</v>
      </c>
      <c r="P2790" t="str">
        <f>_xlfn.XLOOKUP(C2790,tblProducts[product_id],tblProducts[category],"Missing")</f>
        <v>Analytics</v>
      </c>
      <c r="Q2790" t="str">
        <f>_xlfn.XLOOKUP(D2790,tblSalesReps[rep_id],tblSalesReps[rep_name],"Missing")</f>
        <v>Sales Rep 19</v>
      </c>
      <c r="R2790" t="str">
        <f>_xlfn.XLOOKUP(D2790,tblSalesReps[rep_id],tblSalesReps[region],"Missing")</f>
        <v>East</v>
      </c>
    </row>
    <row r="2791" spans="1:18">
      <c r="A2791" t="s">
        <v>3335</v>
      </c>
      <c r="B2791" t="s">
        <v>308</v>
      </c>
      <c r="C2791" t="s">
        <v>81</v>
      </c>
      <c r="D2791" t="s">
        <v>40</v>
      </c>
      <c r="E2791" s="1">
        <v>45733</v>
      </c>
      <c r="F2791" s="1">
        <v>45817</v>
      </c>
      <c r="G2791" s="1">
        <v>45817</v>
      </c>
      <c r="H2791" t="s">
        <v>17</v>
      </c>
      <c r="I2791">
        <v>2</v>
      </c>
      <c r="J2791">
        <v>20</v>
      </c>
      <c r="K2791">
        <v>480000</v>
      </c>
      <c r="L2791">
        <v>0</v>
      </c>
      <c r="M2791" t="s">
        <v>82</v>
      </c>
      <c r="N2791" t="str">
        <f>_xlfn.XLOOKUP(B2791,tblCustomers[customer_id],tblCustomers[region],"Missing")</f>
        <v>West</v>
      </c>
      <c r="O2791" t="str">
        <f>_xlfn.XLOOKUP(C2791,tblProducts[product_id],tblProducts[product_name],"Missing")</f>
        <v>Analytics Cloud</v>
      </c>
      <c r="P2791" t="str">
        <f>_xlfn.XLOOKUP(C2791,tblProducts[product_id],tblProducts[category],"Missing")</f>
        <v>Analytics</v>
      </c>
      <c r="Q2791" t="str">
        <f>_xlfn.XLOOKUP(D2791,tblSalesReps[rep_id],tblSalesReps[rep_name],"Missing")</f>
        <v>Sales Rep 13</v>
      </c>
      <c r="R2791" t="str">
        <f>_xlfn.XLOOKUP(D2791,tblSalesReps[rep_id],tblSalesReps[region],"Missing")</f>
        <v>West</v>
      </c>
    </row>
    <row r="2792" spans="1:18">
      <c r="A2792" t="s">
        <v>3336</v>
      </c>
      <c r="B2792" t="s">
        <v>1003</v>
      </c>
      <c r="C2792" t="s">
        <v>15</v>
      </c>
      <c r="D2792" t="s">
        <v>46</v>
      </c>
      <c r="E2792" s="1">
        <v>45713</v>
      </c>
      <c r="F2792" s="1">
        <v>45735</v>
      </c>
      <c r="G2792" s="1">
        <v>45735</v>
      </c>
      <c r="H2792" t="s">
        <v>17</v>
      </c>
      <c r="I2792">
        <v>1</v>
      </c>
      <c r="J2792">
        <v>15</v>
      </c>
      <c r="K2792">
        <v>357000</v>
      </c>
      <c r="L2792">
        <v>0</v>
      </c>
      <c r="M2792" t="s">
        <v>47</v>
      </c>
      <c r="N2792" t="str">
        <f>_xlfn.XLOOKUP(B2792,tblCustomers[customer_id],tblCustomers[region],"Missing")</f>
        <v>South</v>
      </c>
      <c r="O2792" t="str">
        <f>_xlfn.XLOOKUP(C2792,tblProducts[product_id],tblProducts[product_name],"Missing")</f>
        <v>CRM Enterprise</v>
      </c>
      <c r="P2792" t="str">
        <f>_xlfn.XLOOKUP(C2792,tblProducts[product_id],tblProducts[category],"Missing")</f>
        <v>CRM</v>
      </c>
      <c r="Q2792" t="str">
        <f>_xlfn.XLOOKUP(D2792,tblSalesReps[rep_id],tblSalesReps[rep_name],"Missing")</f>
        <v>Sales Rep 01</v>
      </c>
      <c r="R2792" t="str">
        <f>_xlfn.XLOOKUP(D2792,tblSalesReps[rep_id],tblSalesReps[region],"Missing")</f>
        <v>South</v>
      </c>
    </row>
    <row r="2793" spans="1:18">
      <c r="A2793" t="s">
        <v>3337</v>
      </c>
      <c r="B2793" t="s">
        <v>287</v>
      </c>
      <c r="C2793" t="s">
        <v>26</v>
      </c>
      <c r="D2793" t="s">
        <v>91</v>
      </c>
      <c r="E2793" s="1">
        <v>45767</v>
      </c>
      <c r="F2793" s="1">
        <v>45833</v>
      </c>
      <c r="G2793" s="1"/>
      <c r="H2793" t="s">
        <v>43</v>
      </c>
      <c r="I2793">
        <v>3</v>
      </c>
      <c r="J2793">
        <v>0</v>
      </c>
      <c r="K2793">
        <v>1080000</v>
      </c>
      <c r="L2793">
        <v>80</v>
      </c>
      <c r="M2793" t="s">
        <v>29</v>
      </c>
      <c r="N2793" t="str">
        <f>_xlfn.XLOOKUP(B2793,tblCustomers[customer_id],tblCustomers[region],"Missing")</f>
        <v>South</v>
      </c>
      <c r="O2793" t="str">
        <f>_xlfn.XLOOKUP(C2793,tblProducts[product_id],tblProducts[product_name],"Missing")</f>
        <v>Security Suite</v>
      </c>
      <c r="P2793" t="str">
        <f>_xlfn.XLOOKUP(C2793,tblProducts[product_id],tblProducts[category],"Missing")</f>
        <v>Security</v>
      </c>
      <c r="Q2793" t="str">
        <f>_xlfn.XLOOKUP(D2793,tblSalesReps[rep_id],tblSalesReps[rep_name],"Missing")</f>
        <v>Sales Rep 03</v>
      </c>
      <c r="R2793" t="str">
        <f>_xlfn.XLOOKUP(D2793,tblSalesReps[rep_id],tblSalesReps[region],"Missing")</f>
        <v>South</v>
      </c>
    </row>
    <row r="2794" spans="1:18">
      <c r="A2794" t="s">
        <v>3338</v>
      </c>
      <c r="B2794" t="s">
        <v>2699</v>
      </c>
      <c r="C2794" t="s">
        <v>15</v>
      </c>
      <c r="D2794" t="s">
        <v>32</v>
      </c>
      <c r="E2794" s="1">
        <v>45791</v>
      </c>
      <c r="F2794" s="1">
        <v>45869</v>
      </c>
      <c r="G2794" s="1">
        <v>45869</v>
      </c>
      <c r="H2794" t="s">
        <v>28</v>
      </c>
      <c r="I2794">
        <v>2</v>
      </c>
      <c r="J2794">
        <v>10</v>
      </c>
      <c r="K2794">
        <v>756000</v>
      </c>
      <c r="L2794">
        <v>100</v>
      </c>
      <c r="M2794" t="s">
        <v>29</v>
      </c>
      <c r="N2794" t="str">
        <f>_xlfn.XLOOKUP(B2794,tblCustomers[customer_id],tblCustomers[region],"Missing")</f>
        <v>South</v>
      </c>
      <c r="O2794" t="str">
        <f>_xlfn.XLOOKUP(C2794,tblProducts[product_id],tblProducts[product_name],"Missing")</f>
        <v>CRM Enterprise</v>
      </c>
      <c r="P2794" t="str">
        <f>_xlfn.XLOOKUP(C2794,tblProducts[product_id],tblProducts[category],"Missing")</f>
        <v>CRM</v>
      </c>
      <c r="Q2794" t="str">
        <f>_xlfn.XLOOKUP(D2794,tblSalesReps[rep_id],tblSalesReps[rep_name],"Missing")</f>
        <v>Sales Rep 04</v>
      </c>
      <c r="R2794" t="str">
        <f>_xlfn.XLOOKUP(D2794,tblSalesReps[rep_id],tblSalesReps[region],"Missing")</f>
        <v>South</v>
      </c>
    </row>
    <row r="2795" spans="1:18">
      <c r="A2795" t="s">
        <v>3339</v>
      </c>
      <c r="B2795" t="s">
        <v>553</v>
      </c>
      <c r="C2795" t="s">
        <v>81</v>
      </c>
      <c r="D2795" t="s">
        <v>56</v>
      </c>
      <c r="E2795" s="1">
        <v>45788</v>
      </c>
      <c r="F2795" s="1">
        <v>45858</v>
      </c>
      <c r="G2795" s="1">
        <v>45858</v>
      </c>
      <c r="H2795" t="s">
        <v>17</v>
      </c>
      <c r="I2795">
        <v>3</v>
      </c>
      <c r="J2795">
        <v>10</v>
      </c>
      <c r="K2795">
        <v>810000</v>
      </c>
      <c r="L2795">
        <v>0</v>
      </c>
      <c r="M2795" t="s">
        <v>82</v>
      </c>
      <c r="N2795" t="str">
        <f>_xlfn.XLOOKUP(B2795,tblCustomers[customer_id],tblCustomers[region],"Missing")</f>
        <v>East</v>
      </c>
      <c r="O2795" t="str">
        <f>_xlfn.XLOOKUP(C2795,tblProducts[product_id],tblProducts[product_name],"Missing")</f>
        <v>Analytics Cloud</v>
      </c>
      <c r="P2795" t="str">
        <f>_xlfn.XLOOKUP(C2795,tblProducts[product_id],tblProducts[category],"Missing")</f>
        <v>Analytics</v>
      </c>
      <c r="Q2795" t="str">
        <f>_xlfn.XLOOKUP(D2795,tblSalesReps[rep_id],tblSalesReps[rep_name],"Missing")</f>
        <v>Sales Rep 20</v>
      </c>
      <c r="R2795" t="str">
        <f>_xlfn.XLOOKUP(D2795,tblSalesReps[rep_id],tblSalesReps[region],"Missing")</f>
        <v>East</v>
      </c>
    </row>
    <row r="2796" spans="1:18">
      <c r="A2796" t="s">
        <v>3340</v>
      </c>
      <c r="B2796" t="s">
        <v>160</v>
      </c>
      <c r="C2796" t="s">
        <v>39</v>
      </c>
      <c r="D2796" t="s">
        <v>152</v>
      </c>
      <c r="E2796" s="1">
        <v>45849</v>
      </c>
      <c r="F2796" s="1">
        <v>45933</v>
      </c>
      <c r="G2796" s="1">
        <v>45933</v>
      </c>
      <c r="H2796" t="s">
        <v>28</v>
      </c>
      <c r="I2796">
        <v>1</v>
      </c>
      <c r="J2796">
        <v>5</v>
      </c>
      <c r="K2796">
        <v>171000</v>
      </c>
      <c r="L2796">
        <v>100</v>
      </c>
      <c r="M2796" t="s">
        <v>29</v>
      </c>
      <c r="N2796" t="str">
        <f>_xlfn.XLOOKUP(B2796,tblCustomers[customer_id],tblCustomers[region],"Missing")</f>
        <v>East</v>
      </c>
      <c r="O2796" t="str">
        <f>_xlfn.XLOOKUP(C2796,tblProducts[product_id],tblProducts[product_name],"Missing")</f>
        <v>Support Desk</v>
      </c>
      <c r="P2796" t="str">
        <f>_xlfn.XLOOKUP(C2796,tblProducts[product_id],tblProducts[category],"Missing")</f>
        <v>Service</v>
      </c>
      <c r="Q2796" t="str">
        <f>_xlfn.XLOOKUP(D2796,tblSalesReps[rep_id],tblSalesReps[rep_name],"Missing")</f>
        <v>Sales Rep 18</v>
      </c>
      <c r="R2796" t="str">
        <f>_xlfn.XLOOKUP(D2796,tblSalesReps[rep_id],tblSalesReps[region],"Missing")</f>
        <v>East</v>
      </c>
    </row>
    <row r="2797" spans="1:18">
      <c r="A2797" t="s">
        <v>3341</v>
      </c>
      <c r="B2797" t="s">
        <v>1024</v>
      </c>
      <c r="C2797" t="s">
        <v>62</v>
      </c>
      <c r="D2797" t="s">
        <v>78</v>
      </c>
      <c r="E2797" s="1">
        <v>45976</v>
      </c>
      <c r="F2797" s="1">
        <v>46030</v>
      </c>
      <c r="G2797" s="1"/>
      <c r="H2797" t="s">
        <v>43</v>
      </c>
      <c r="I2797">
        <v>3</v>
      </c>
      <c r="J2797">
        <v>15</v>
      </c>
      <c r="K2797">
        <v>306000</v>
      </c>
      <c r="L2797">
        <v>40</v>
      </c>
      <c r="M2797" t="s">
        <v>29</v>
      </c>
      <c r="N2797" t="str">
        <f>_xlfn.XLOOKUP(B2797,tblCustomers[customer_id],tblCustomers[region],"Missing")</f>
        <v>West</v>
      </c>
      <c r="O2797" t="str">
        <f>_xlfn.XLOOKUP(C2797,tblProducts[product_id],tblProducts[product_name],"Missing")</f>
        <v>CRM Essentials</v>
      </c>
      <c r="P2797" t="str">
        <f>_xlfn.XLOOKUP(C2797,tblProducts[product_id],tblProducts[category],"Missing")</f>
        <v>CRM</v>
      </c>
      <c r="Q2797" t="str">
        <f>_xlfn.XLOOKUP(D2797,tblSalesReps[rep_id],tblSalesReps[rep_name],"Missing")</f>
        <v>Sales Rep 12</v>
      </c>
      <c r="R2797" t="str">
        <f>_xlfn.XLOOKUP(D2797,tblSalesReps[rep_id],tblSalesReps[region],"Missing")</f>
        <v>West</v>
      </c>
    </row>
    <row r="2798" spans="1:18">
      <c r="A2798" t="s">
        <v>3342</v>
      </c>
      <c r="B2798" t="s">
        <v>191</v>
      </c>
      <c r="C2798" t="s">
        <v>81</v>
      </c>
      <c r="D2798" t="s">
        <v>27</v>
      </c>
      <c r="E2798" s="1">
        <v>45771</v>
      </c>
      <c r="F2798" s="1">
        <v>45780</v>
      </c>
      <c r="G2798" s="1">
        <v>45780</v>
      </c>
      <c r="H2798" t="s">
        <v>17</v>
      </c>
      <c r="I2798">
        <v>1</v>
      </c>
      <c r="J2798">
        <v>10</v>
      </c>
      <c r="K2798">
        <v>270000</v>
      </c>
      <c r="L2798">
        <v>0</v>
      </c>
      <c r="M2798" t="s">
        <v>82</v>
      </c>
      <c r="N2798" t="str">
        <f>_xlfn.XLOOKUP(B2798,tblCustomers[customer_id],tblCustomers[region],"Missing")</f>
        <v>North</v>
      </c>
      <c r="O2798" t="str">
        <f>_xlfn.XLOOKUP(C2798,tblProducts[product_id],tblProducts[product_name],"Missing")</f>
        <v>Analytics Cloud</v>
      </c>
      <c r="P2798" t="str">
        <f>_xlfn.XLOOKUP(C2798,tblProducts[product_id],tblProducts[category],"Missing")</f>
        <v>Analytics</v>
      </c>
      <c r="Q2798" t="str">
        <f>_xlfn.XLOOKUP(D2798,tblSalesReps[rep_id],tblSalesReps[rep_name],"Missing")</f>
        <v>Sales Rep 06</v>
      </c>
      <c r="R2798" t="str">
        <f>_xlfn.XLOOKUP(D2798,tblSalesReps[rep_id],tblSalesReps[region],"Missing")</f>
        <v>North</v>
      </c>
    </row>
    <row r="2799" spans="1:18">
      <c r="A2799" t="s">
        <v>3343</v>
      </c>
      <c r="B2799" t="s">
        <v>49</v>
      </c>
      <c r="C2799" t="s">
        <v>21</v>
      </c>
      <c r="D2799" t="s">
        <v>50</v>
      </c>
      <c r="E2799" s="1">
        <v>45665</v>
      </c>
      <c r="F2799" s="1">
        <v>45700</v>
      </c>
      <c r="G2799" s="1">
        <v>45700</v>
      </c>
      <c r="H2799" t="s">
        <v>17</v>
      </c>
      <c r="I2799">
        <v>1</v>
      </c>
      <c r="J2799">
        <v>20</v>
      </c>
      <c r="K2799">
        <v>192000</v>
      </c>
      <c r="L2799">
        <v>0</v>
      </c>
      <c r="M2799" t="s">
        <v>23</v>
      </c>
      <c r="N2799" t="str">
        <f>_xlfn.XLOOKUP(B2799,tblCustomers[customer_id],tblCustomers[region],"Missing")</f>
        <v>West</v>
      </c>
      <c r="O2799" t="str">
        <f>_xlfn.XLOOKUP(C2799,tblProducts[product_id],tblProducts[product_name],"Missing")</f>
        <v>Workflow Automate</v>
      </c>
      <c r="P2799" t="str">
        <f>_xlfn.XLOOKUP(C2799,tblProducts[product_id],tblProducts[category],"Missing")</f>
        <v>Automation</v>
      </c>
      <c r="Q2799" t="str">
        <f>_xlfn.XLOOKUP(D2799,tblSalesReps[rep_id],tblSalesReps[rep_name],"Missing")</f>
        <v>Sales Rep 15</v>
      </c>
      <c r="R2799" t="str">
        <f>_xlfn.XLOOKUP(D2799,tblSalesReps[rep_id],tblSalesReps[region],"Missing")</f>
        <v>West</v>
      </c>
    </row>
    <row r="2800" spans="1:18">
      <c r="A2800" t="s">
        <v>3344</v>
      </c>
      <c r="B2800" t="s">
        <v>959</v>
      </c>
      <c r="C2800" t="s">
        <v>26</v>
      </c>
      <c r="D2800" t="s">
        <v>22</v>
      </c>
      <c r="E2800" s="1">
        <v>45672</v>
      </c>
      <c r="F2800" s="1">
        <v>45691</v>
      </c>
      <c r="G2800" s="1">
        <v>45691</v>
      </c>
      <c r="H2800" t="s">
        <v>17</v>
      </c>
      <c r="I2800">
        <v>3</v>
      </c>
      <c r="J2800">
        <v>10</v>
      </c>
      <c r="K2800">
        <v>972000</v>
      </c>
      <c r="L2800">
        <v>0</v>
      </c>
      <c r="M2800" t="s">
        <v>82</v>
      </c>
      <c r="N2800" t="str">
        <f>_xlfn.XLOOKUP(B2800,tblCustomers[customer_id],tblCustomers[region],"Missing")</f>
        <v>West</v>
      </c>
      <c r="O2800" t="str">
        <f>_xlfn.XLOOKUP(C2800,tblProducts[product_id],tblProducts[product_name],"Missing")</f>
        <v>Security Suite</v>
      </c>
      <c r="P2800" t="str">
        <f>_xlfn.XLOOKUP(C2800,tblProducts[product_id],tblProducts[category],"Missing")</f>
        <v>Security</v>
      </c>
      <c r="Q2800" t="str">
        <f>_xlfn.XLOOKUP(D2800,tblSalesReps[rep_id],tblSalesReps[rep_name],"Missing")</f>
        <v>Sales Rep 14</v>
      </c>
      <c r="R2800" t="str">
        <f>_xlfn.XLOOKUP(D2800,tblSalesReps[rep_id],tblSalesReps[region],"Missing")</f>
        <v>West</v>
      </c>
    </row>
    <row r="2801" spans="1:18">
      <c r="A2801" t="s">
        <v>3345</v>
      </c>
      <c r="B2801" t="s">
        <v>623</v>
      </c>
      <c r="C2801" t="s">
        <v>26</v>
      </c>
      <c r="D2801" t="s">
        <v>53</v>
      </c>
      <c r="E2801" s="1">
        <v>45871</v>
      </c>
      <c r="F2801" s="1">
        <v>45896</v>
      </c>
      <c r="G2801" s="1"/>
      <c r="H2801" t="s">
        <v>43</v>
      </c>
      <c r="I2801">
        <v>2</v>
      </c>
      <c r="J2801">
        <v>10</v>
      </c>
      <c r="K2801">
        <v>648000</v>
      </c>
      <c r="L2801">
        <v>40</v>
      </c>
      <c r="M2801" t="s">
        <v>29</v>
      </c>
      <c r="N2801" t="str">
        <f>_xlfn.XLOOKUP(B2801,tblCustomers[customer_id],tblCustomers[region],"Missing")</f>
        <v>East</v>
      </c>
      <c r="O2801" t="str">
        <f>_xlfn.XLOOKUP(C2801,tblProducts[product_id],tblProducts[product_name],"Missing")</f>
        <v>Security Suite</v>
      </c>
      <c r="P2801" t="str">
        <f>_xlfn.XLOOKUP(C2801,tblProducts[product_id],tblProducts[category],"Missing")</f>
        <v>Security</v>
      </c>
      <c r="Q2801" t="str">
        <f>_xlfn.XLOOKUP(D2801,tblSalesReps[rep_id],tblSalesReps[rep_name],"Missing")</f>
        <v>Sales Rep 16</v>
      </c>
      <c r="R2801" t="str">
        <f>_xlfn.XLOOKUP(D2801,tblSalesReps[rep_id],tblSalesReps[region],"Missing")</f>
        <v>East</v>
      </c>
    </row>
    <row r="2802" spans="1:18">
      <c r="A2802" t="s">
        <v>3346</v>
      </c>
      <c r="B2802" t="s">
        <v>345</v>
      </c>
      <c r="C2802" t="s">
        <v>81</v>
      </c>
      <c r="D2802" t="s">
        <v>70</v>
      </c>
      <c r="E2802" s="1">
        <v>45690</v>
      </c>
      <c r="F2802" s="1">
        <v>45713</v>
      </c>
      <c r="G2802" s="1">
        <v>45713</v>
      </c>
      <c r="H2802" t="s">
        <v>17</v>
      </c>
      <c r="I2802">
        <v>1</v>
      </c>
      <c r="J2802">
        <v>15</v>
      </c>
      <c r="K2802">
        <v>255000</v>
      </c>
      <c r="L2802">
        <v>0</v>
      </c>
      <c r="M2802" t="s">
        <v>23</v>
      </c>
      <c r="N2802" t="str">
        <f>_xlfn.XLOOKUP(B2802,tblCustomers[customer_id],tblCustomers[region],"Missing")</f>
        <v>West</v>
      </c>
      <c r="O2802" t="str">
        <f>_xlfn.XLOOKUP(C2802,tblProducts[product_id],tblProducts[product_name],"Missing")</f>
        <v>Analytics Cloud</v>
      </c>
      <c r="P2802" t="str">
        <f>_xlfn.XLOOKUP(C2802,tblProducts[product_id],tblProducts[category],"Missing")</f>
        <v>Analytics</v>
      </c>
      <c r="Q2802" t="str">
        <f>_xlfn.XLOOKUP(D2802,tblSalesReps[rep_id],tblSalesReps[rep_name],"Missing")</f>
        <v>Sales Rep 11</v>
      </c>
      <c r="R2802" t="str">
        <f>_xlfn.XLOOKUP(D2802,tblSalesReps[rep_id],tblSalesReps[region],"Missing")</f>
        <v>West</v>
      </c>
    </row>
    <row r="2803" spans="1:18">
      <c r="A2803" t="s">
        <v>3347</v>
      </c>
      <c r="B2803" t="s">
        <v>2325</v>
      </c>
      <c r="C2803" t="s">
        <v>81</v>
      </c>
      <c r="D2803" t="s">
        <v>53</v>
      </c>
      <c r="E2803" s="1">
        <v>45661</v>
      </c>
      <c r="F2803" s="1">
        <v>45670</v>
      </c>
      <c r="G2803" s="1">
        <v>45670</v>
      </c>
      <c r="H2803" t="s">
        <v>17</v>
      </c>
      <c r="I2803">
        <v>1</v>
      </c>
      <c r="J2803">
        <v>0</v>
      </c>
      <c r="K2803">
        <v>300000</v>
      </c>
      <c r="L2803">
        <v>0</v>
      </c>
      <c r="M2803" t="s">
        <v>47</v>
      </c>
      <c r="N2803" t="str">
        <f>_xlfn.XLOOKUP(B2803,tblCustomers[customer_id],tblCustomers[region],"Missing")</f>
        <v>East</v>
      </c>
      <c r="O2803" t="str">
        <f>_xlfn.XLOOKUP(C2803,tblProducts[product_id],tblProducts[product_name],"Missing")</f>
        <v>Analytics Cloud</v>
      </c>
      <c r="P2803" t="str">
        <f>_xlfn.XLOOKUP(C2803,tblProducts[product_id],tblProducts[category],"Missing")</f>
        <v>Analytics</v>
      </c>
      <c r="Q2803" t="str">
        <f>_xlfn.XLOOKUP(D2803,tblSalesReps[rep_id],tblSalesReps[rep_name],"Missing")</f>
        <v>Sales Rep 16</v>
      </c>
      <c r="R2803" t="str">
        <f>_xlfn.XLOOKUP(D2803,tblSalesReps[rep_id],tblSalesReps[region],"Missing")</f>
        <v>East</v>
      </c>
    </row>
    <row r="2804" spans="1:18">
      <c r="A2804" t="s">
        <v>3348</v>
      </c>
      <c r="B2804" t="s">
        <v>861</v>
      </c>
      <c r="C2804" t="s">
        <v>26</v>
      </c>
      <c r="D2804" t="s">
        <v>46</v>
      </c>
      <c r="E2804" s="1">
        <v>45720</v>
      </c>
      <c r="F2804" s="1">
        <v>45736</v>
      </c>
      <c r="G2804" s="1"/>
      <c r="H2804" t="s">
        <v>43</v>
      </c>
      <c r="I2804">
        <v>3</v>
      </c>
      <c r="J2804">
        <v>0</v>
      </c>
      <c r="K2804">
        <v>1080000</v>
      </c>
      <c r="L2804">
        <v>80</v>
      </c>
      <c r="M2804" t="s">
        <v>29</v>
      </c>
      <c r="N2804" t="str">
        <f>_xlfn.XLOOKUP(B2804,tblCustomers[customer_id],tblCustomers[region],"Missing")</f>
        <v>South</v>
      </c>
      <c r="O2804" t="str">
        <f>_xlfn.XLOOKUP(C2804,tblProducts[product_id],tblProducts[product_name],"Missing")</f>
        <v>Security Suite</v>
      </c>
      <c r="P2804" t="str">
        <f>_xlfn.XLOOKUP(C2804,tblProducts[product_id],tblProducts[category],"Missing")</f>
        <v>Security</v>
      </c>
      <c r="Q2804" t="str">
        <f>_xlfn.XLOOKUP(D2804,tblSalesReps[rep_id],tblSalesReps[rep_name],"Missing")</f>
        <v>Sales Rep 01</v>
      </c>
      <c r="R2804" t="str">
        <f>_xlfn.XLOOKUP(D2804,tblSalesReps[rep_id],tblSalesReps[region],"Missing")</f>
        <v>South</v>
      </c>
    </row>
    <row r="2805" spans="1:18">
      <c r="A2805" t="s">
        <v>3349</v>
      </c>
      <c r="B2805" t="s">
        <v>533</v>
      </c>
      <c r="C2805" t="s">
        <v>81</v>
      </c>
      <c r="D2805" t="s">
        <v>27</v>
      </c>
      <c r="E2805" s="1">
        <v>45678</v>
      </c>
      <c r="F2805" s="1">
        <v>45699</v>
      </c>
      <c r="G2805" s="1"/>
      <c r="H2805" t="s">
        <v>43</v>
      </c>
      <c r="I2805">
        <v>1</v>
      </c>
      <c r="J2805">
        <v>20</v>
      </c>
      <c r="K2805">
        <v>240000</v>
      </c>
      <c r="L2805">
        <v>60</v>
      </c>
      <c r="M2805" t="s">
        <v>29</v>
      </c>
      <c r="N2805" t="str">
        <f>_xlfn.XLOOKUP(B2805,tblCustomers[customer_id],tblCustomers[region],"Missing")</f>
        <v>North</v>
      </c>
      <c r="O2805" t="str">
        <f>_xlfn.XLOOKUP(C2805,tblProducts[product_id],tblProducts[product_name],"Missing")</f>
        <v>Analytics Cloud</v>
      </c>
      <c r="P2805" t="str">
        <f>_xlfn.XLOOKUP(C2805,tblProducts[product_id],tblProducts[category],"Missing")</f>
        <v>Analytics</v>
      </c>
      <c r="Q2805" t="str">
        <f>_xlfn.XLOOKUP(D2805,tblSalesReps[rep_id],tblSalesReps[rep_name],"Missing")</f>
        <v>Sales Rep 06</v>
      </c>
      <c r="R2805" t="str">
        <f>_xlfn.XLOOKUP(D2805,tblSalesReps[rep_id],tblSalesReps[region],"Missing")</f>
        <v>North</v>
      </c>
    </row>
    <row r="2806" spans="1:18">
      <c r="A2806" t="s">
        <v>3350</v>
      </c>
      <c r="B2806" t="s">
        <v>737</v>
      </c>
      <c r="C2806" t="s">
        <v>15</v>
      </c>
      <c r="D2806" t="s">
        <v>91</v>
      </c>
      <c r="E2806" s="1">
        <v>45715</v>
      </c>
      <c r="F2806" s="1">
        <v>45754</v>
      </c>
      <c r="G2806" s="1">
        <v>45754</v>
      </c>
      <c r="H2806" t="s">
        <v>17</v>
      </c>
      <c r="I2806">
        <v>1</v>
      </c>
      <c r="J2806">
        <v>20</v>
      </c>
      <c r="K2806">
        <v>336000</v>
      </c>
      <c r="L2806">
        <v>0</v>
      </c>
      <c r="M2806" t="s">
        <v>33</v>
      </c>
      <c r="N2806" t="str">
        <f>_xlfn.XLOOKUP(B2806,tblCustomers[customer_id],tblCustomers[region],"Missing")</f>
        <v>South</v>
      </c>
      <c r="O2806" t="str">
        <f>_xlfn.XLOOKUP(C2806,tblProducts[product_id],tblProducts[product_name],"Missing")</f>
        <v>CRM Enterprise</v>
      </c>
      <c r="P2806" t="str">
        <f>_xlfn.XLOOKUP(C2806,tblProducts[product_id],tblProducts[category],"Missing")</f>
        <v>CRM</v>
      </c>
      <c r="Q2806" t="str">
        <f>_xlfn.XLOOKUP(D2806,tblSalesReps[rep_id],tblSalesReps[rep_name],"Missing")</f>
        <v>Sales Rep 03</v>
      </c>
      <c r="R2806" t="str">
        <f>_xlfn.XLOOKUP(D2806,tblSalesReps[rep_id],tblSalesReps[region],"Missing")</f>
        <v>South</v>
      </c>
    </row>
    <row r="2807" spans="1:18">
      <c r="A2807" t="s">
        <v>3351</v>
      </c>
      <c r="B2807" t="s">
        <v>553</v>
      </c>
      <c r="C2807" t="s">
        <v>62</v>
      </c>
      <c r="D2807" t="s">
        <v>168</v>
      </c>
      <c r="E2807" s="1">
        <v>46019</v>
      </c>
      <c r="F2807" s="1">
        <v>46046</v>
      </c>
      <c r="G2807" s="1"/>
      <c r="H2807" t="s">
        <v>43</v>
      </c>
      <c r="I2807">
        <v>1</v>
      </c>
      <c r="J2807">
        <v>20</v>
      </c>
      <c r="K2807">
        <v>96000</v>
      </c>
      <c r="L2807">
        <v>40</v>
      </c>
      <c r="M2807" t="s">
        <v>29</v>
      </c>
      <c r="N2807" t="str">
        <f>_xlfn.XLOOKUP(B2807,tblCustomers[customer_id],tblCustomers[region],"Missing")</f>
        <v>East</v>
      </c>
      <c r="O2807" t="str">
        <f>_xlfn.XLOOKUP(C2807,tblProducts[product_id],tblProducts[product_name],"Missing")</f>
        <v>CRM Essentials</v>
      </c>
      <c r="P2807" t="str">
        <f>_xlfn.XLOOKUP(C2807,tblProducts[product_id],tblProducts[category],"Missing")</f>
        <v>CRM</v>
      </c>
      <c r="Q2807" t="str">
        <f>_xlfn.XLOOKUP(D2807,tblSalesReps[rep_id],tblSalesReps[rep_name],"Missing")</f>
        <v>Sales Rep 17</v>
      </c>
      <c r="R2807" t="str">
        <f>_xlfn.XLOOKUP(D2807,tblSalesReps[rep_id],tblSalesReps[region],"Missing")</f>
        <v>East</v>
      </c>
    </row>
    <row r="2808" spans="1:18">
      <c r="A2808" t="s">
        <v>3352</v>
      </c>
      <c r="B2808" t="s">
        <v>948</v>
      </c>
      <c r="C2808" t="s">
        <v>15</v>
      </c>
      <c r="D2808" t="s">
        <v>22</v>
      </c>
      <c r="E2808" s="1">
        <v>45768</v>
      </c>
      <c r="F2808" s="1">
        <v>45822</v>
      </c>
      <c r="G2808" s="1">
        <v>45822</v>
      </c>
      <c r="H2808" t="s">
        <v>28</v>
      </c>
      <c r="I2808">
        <v>1</v>
      </c>
      <c r="J2808">
        <v>5</v>
      </c>
      <c r="K2808">
        <v>399000</v>
      </c>
      <c r="L2808">
        <v>100</v>
      </c>
      <c r="M2808" t="s">
        <v>29</v>
      </c>
      <c r="N2808" t="str">
        <f>_xlfn.XLOOKUP(B2808,tblCustomers[customer_id],tblCustomers[region],"Missing")</f>
        <v>West</v>
      </c>
      <c r="O2808" t="str">
        <f>_xlfn.XLOOKUP(C2808,tblProducts[product_id],tblProducts[product_name],"Missing")</f>
        <v>CRM Enterprise</v>
      </c>
      <c r="P2808" t="str">
        <f>_xlfn.XLOOKUP(C2808,tblProducts[product_id],tblProducts[category],"Missing")</f>
        <v>CRM</v>
      </c>
      <c r="Q2808" t="str">
        <f>_xlfn.XLOOKUP(D2808,tblSalesReps[rep_id],tblSalesReps[rep_name],"Missing")</f>
        <v>Sales Rep 14</v>
      </c>
      <c r="R2808" t="str">
        <f>_xlfn.XLOOKUP(D2808,tblSalesReps[rep_id],tblSalesReps[region],"Missing")</f>
        <v>West</v>
      </c>
    </row>
    <row r="2809" spans="1:18">
      <c r="A2809" t="s">
        <v>3353</v>
      </c>
      <c r="B2809" t="s">
        <v>517</v>
      </c>
      <c r="C2809" t="s">
        <v>39</v>
      </c>
      <c r="D2809" t="s">
        <v>78</v>
      </c>
      <c r="E2809" s="1">
        <v>45665</v>
      </c>
      <c r="F2809" s="1">
        <v>45739</v>
      </c>
      <c r="G2809" s="1">
        <v>45739</v>
      </c>
      <c r="H2809" t="s">
        <v>28</v>
      </c>
      <c r="I2809">
        <v>2</v>
      </c>
      <c r="J2809">
        <v>15</v>
      </c>
      <c r="K2809">
        <v>306000</v>
      </c>
      <c r="L2809">
        <v>100</v>
      </c>
      <c r="M2809" t="s">
        <v>29</v>
      </c>
      <c r="N2809" t="str">
        <f>_xlfn.XLOOKUP(B2809,tblCustomers[customer_id],tblCustomers[region],"Missing")</f>
        <v>West</v>
      </c>
      <c r="O2809" t="str">
        <f>_xlfn.XLOOKUP(C2809,tblProducts[product_id],tblProducts[product_name],"Missing")</f>
        <v>Support Desk</v>
      </c>
      <c r="P2809" t="str">
        <f>_xlfn.XLOOKUP(C2809,tblProducts[product_id],tblProducts[category],"Missing")</f>
        <v>Service</v>
      </c>
      <c r="Q2809" t="str">
        <f>_xlfn.XLOOKUP(D2809,tblSalesReps[rep_id],tblSalesReps[rep_name],"Missing")</f>
        <v>Sales Rep 12</v>
      </c>
      <c r="R2809" t="str">
        <f>_xlfn.XLOOKUP(D2809,tblSalesReps[rep_id],tblSalesReps[region],"Missing")</f>
        <v>West</v>
      </c>
    </row>
    <row r="2810" spans="1:18">
      <c r="A2810" t="s">
        <v>3354</v>
      </c>
      <c r="B2810" t="s">
        <v>1644</v>
      </c>
      <c r="C2810" t="s">
        <v>81</v>
      </c>
      <c r="D2810" t="s">
        <v>126</v>
      </c>
      <c r="E2810" s="1">
        <v>45674</v>
      </c>
      <c r="F2810" s="1">
        <v>45730</v>
      </c>
      <c r="G2810" s="1">
        <v>45730</v>
      </c>
      <c r="H2810" t="s">
        <v>17</v>
      </c>
      <c r="I2810">
        <v>2</v>
      </c>
      <c r="J2810">
        <v>15</v>
      </c>
      <c r="K2810">
        <v>510000</v>
      </c>
      <c r="L2810">
        <v>0</v>
      </c>
      <c r="M2810" t="s">
        <v>82</v>
      </c>
      <c r="N2810" t="str">
        <f>_xlfn.XLOOKUP(B2810,tblCustomers[customer_id],tblCustomers[region],"Missing")</f>
        <v>South</v>
      </c>
      <c r="O2810" t="str">
        <f>_xlfn.XLOOKUP(C2810,tblProducts[product_id],tblProducts[product_name],"Missing")</f>
        <v>Analytics Cloud</v>
      </c>
      <c r="P2810" t="str">
        <f>_xlfn.XLOOKUP(C2810,tblProducts[product_id],tblProducts[category],"Missing")</f>
        <v>Analytics</v>
      </c>
      <c r="Q2810" t="str">
        <f>_xlfn.XLOOKUP(D2810,tblSalesReps[rep_id],tblSalesReps[rep_name],"Missing")</f>
        <v>Sales Rep 02</v>
      </c>
      <c r="R2810" t="str">
        <f>_xlfn.XLOOKUP(D2810,tblSalesReps[rep_id],tblSalesReps[region],"Missing")</f>
        <v>South</v>
      </c>
    </row>
    <row r="2811" spans="1:18">
      <c r="A2811" t="s">
        <v>3355</v>
      </c>
      <c r="B2811" t="s">
        <v>1983</v>
      </c>
      <c r="C2811" t="s">
        <v>39</v>
      </c>
      <c r="D2811" t="s">
        <v>56</v>
      </c>
      <c r="E2811" s="1">
        <v>45693</v>
      </c>
      <c r="F2811" s="1">
        <v>45705</v>
      </c>
      <c r="G2811" s="1"/>
      <c r="H2811" t="s">
        <v>43</v>
      </c>
      <c r="I2811">
        <v>1</v>
      </c>
      <c r="J2811">
        <v>15</v>
      </c>
      <c r="K2811">
        <v>153000</v>
      </c>
      <c r="L2811">
        <v>20</v>
      </c>
      <c r="M2811" t="s">
        <v>29</v>
      </c>
      <c r="N2811" t="str">
        <f>_xlfn.XLOOKUP(B2811,tblCustomers[customer_id],tblCustomers[region],"Missing")</f>
        <v>East</v>
      </c>
      <c r="O2811" t="str">
        <f>_xlfn.XLOOKUP(C2811,tblProducts[product_id],tblProducts[product_name],"Missing")</f>
        <v>Support Desk</v>
      </c>
      <c r="P2811" t="str">
        <f>_xlfn.XLOOKUP(C2811,tblProducts[product_id],tblProducts[category],"Missing")</f>
        <v>Service</v>
      </c>
      <c r="Q2811" t="str">
        <f>_xlfn.XLOOKUP(D2811,tblSalesReps[rep_id],tblSalesReps[rep_name],"Missing")</f>
        <v>Sales Rep 20</v>
      </c>
      <c r="R2811" t="str">
        <f>_xlfn.XLOOKUP(D2811,tblSalesReps[rep_id],tblSalesReps[region],"Missing")</f>
        <v>East</v>
      </c>
    </row>
    <row r="2812" spans="1:18">
      <c r="A2812" t="s">
        <v>3356</v>
      </c>
      <c r="B2812" t="s">
        <v>1051</v>
      </c>
      <c r="C2812" t="s">
        <v>62</v>
      </c>
      <c r="D2812" t="s">
        <v>168</v>
      </c>
      <c r="E2812" s="1">
        <v>46010</v>
      </c>
      <c r="F2812" s="1">
        <v>46074</v>
      </c>
      <c r="G2812" s="1"/>
      <c r="H2812" t="s">
        <v>43</v>
      </c>
      <c r="I2812">
        <v>1</v>
      </c>
      <c r="J2812">
        <v>10</v>
      </c>
      <c r="K2812">
        <v>108000</v>
      </c>
      <c r="L2812">
        <v>40</v>
      </c>
      <c r="M2812" t="s">
        <v>29</v>
      </c>
      <c r="N2812" t="str">
        <f>_xlfn.XLOOKUP(B2812,tblCustomers[customer_id],tblCustomers[region],"Missing")</f>
        <v>East</v>
      </c>
      <c r="O2812" t="str">
        <f>_xlfn.XLOOKUP(C2812,tblProducts[product_id],tblProducts[product_name],"Missing")</f>
        <v>CRM Essentials</v>
      </c>
      <c r="P2812" t="str">
        <f>_xlfn.XLOOKUP(C2812,tblProducts[product_id],tblProducts[category],"Missing")</f>
        <v>CRM</v>
      </c>
      <c r="Q2812" t="str">
        <f>_xlfn.XLOOKUP(D2812,tblSalesReps[rep_id],tblSalesReps[rep_name],"Missing")</f>
        <v>Sales Rep 17</v>
      </c>
      <c r="R2812" t="str">
        <f>_xlfn.XLOOKUP(D2812,tblSalesReps[rep_id],tblSalesReps[region],"Missing")</f>
        <v>East</v>
      </c>
    </row>
    <row r="2813" spans="1:18">
      <c r="A2813" t="s">
        <v>3357</v>
      </c>
      <c r="B2813" t="s">
        <v>86</v>
      </c>
      <c r="C2813" t="s">
        <v>15</v>
      </c>
      <c r="D2813" t="s">
        <v>22</v>
      </c>
      <c r="E2813" s="1">
        <v>45851</v>
      </c>
      <c r="F2813" s="1">
        <v>45899</v>
      </c>
      <c r="G2813" s="1">
        <v>45899</v>
      </c>
      <c r="H2813" t="s">
        <v>17</v>
      </c>
      <c r="I2813">
        <v>1</v>
      </c>
      <c r="J2813">
        <v>20</v>
      </c>
      <c r="K2813">
        <v>336000</v>
      </c>
      <c r="L2813">
        <v>0</v>
      </c>
      <c r="M2813" t="s">
        <v>47</v>
      </c>
      <c r="N2813" t="str">
        <f>_xlfn.XLOOKUP(B2813,tblCustomers[customer_id],tblCustomers[region],"Missing")</f>
        <v>West</v>
      </c>
      <c r="O2813" t="str">
        <f>_xlfn.XLOOKUP(C2813,tblProducts[product_id],tblProducts[product_name],"Missing")</f>
        <v>CRM Enterprise</v>
      </c>
      <c r="P2813" t="str">
        <f>_xlfn.XLOOKUP(C2813,tblProducts[product_id],tblProducts[category],"Missing")</f>
        <v>CRM</v>
      </c>
      <c r="Q2813" t="str">
        <f>_xlfn.XLOOKUP(D2813,tblSalesReps[rep_id],tblSalesReps[rep_name],"Missing")</f>
        <v>Sales Rep 14</v>
      </c>
      <c r="R2813" t="str">
        <f>_xlfn.XLOOKUP(D2813,tblSalesReps[rep_id],tblSalesReps[region],"Missing")</f>
        <v>West</v>
      </c>
    </row>
    <row r="2814" spans="1:18">
      <c r="A2814" t="s">
        <v>3358</v>
      </c>
      <c r="B2814" t="s">
        <v>1237</v>
      </c>
      <c r="C2814" t="s">
        <v>62</v>
      </c>
      <c r="D2814" t="s">
        <v>91</v>
      </c>
      <c r="E2814" s="1">
        <v>45777</v>
      </c>
      <c r="F2814" s="1">
        <v>45825</v>
      </c>
      <c r="G2814" s="1">
        <v>45825</v>
      </c>
      <c r="H2814" t="s">
        <v>17</v>
      </c>
      <c r="I2814">
        <v>3</v>
      </c>
      <c r="J2814">
        <v>10</v>
      </c>
      <c r="K2814">
        <v>324000</v>
      </c>
      <c r="L2814">
        <v>0</v>
      </c>
      <c r="M2814" t="s">
        <v>47</v>
      </c>
      <c r="N2814" t="str">
        <f>_xlfn.XLOOKUP(B2814,tblCustomers[customer_id],tblCustomers[region],"Missing")</f>
        <v>South</v>
      </c>
      <c r="O2814" t="str">
        <f>_xlfn.XLOOKUP(C2814,tblProducts[product_id],tblProducts[product_name],"Missing")</f>
        <v>CRM Essentials</v>
      </c>
      <c r="P2814" t="str">
        <f>_xlfn.XLOOKUP(C2814,tblProducts[product_id],tblProducts[category],"Missing")</f>
        <v>CRM</v>
      </c>
      <c r="Q2814" t="str">
        <f>_xlfn.XLOOKUP(D2814,tblSalesReps[rep_id],tblSalesReps[rep_name],"Missing")</f>
        <v>Sales Rep 03</v>
      </c>
      <c r="R2814" t="str">
        <f>_xlfn.XLOOKUP(D2814,tblSalesReps[rep_id],tblSalesReps[region],"Missing")</f>
        <v>South</v>
      </c>
    </row>
    <row r="2815" spans="1:18">
      <c r="A2815" t="s">
        <v>3359</v>
      </c>
      <c r="B2815" t="s">
        <v>232</v>
      </c>
      <c r="C2815" t="s">
        <v>81</v>
      </c>
      <c r="D2815" t="s">
        <v>63</v>
      </c>
      <c r="E2815" s="1">
        <v>45740</v>
      </c>
      <c r="F2815" s="1">
        <v>45814</v>
      </c>
      <c r="G2815" s="1"/>
      <c r="H2815" t="s">
        <v>43</v>
      </c>
      <c r="I2815">
        <v>3</v>
      </c>
      <c r="J2815">
        <v>15</v>
      </c>
      <c r="K2815">
        <v>765000</v>
      </c>
      <c r="L2815">
        <v>60</v>
      </c>
      <c r="M2815" t="s">
        <v>29</v>
      </c>
      <c r="N2815" t="str">
        <f>_xlfn.XLOOKUP(B2815,tblCustomers[customer_id],tblCustomers[region],"Missing")</f>
        <v>South</v>
      </c>
      <c r="O2815" t="str">
        <f>_xlfn.XLOOKUP(C2815,tblProducts[product_id],tblProducts[product_name],"Missing")</f>
        <v>Analytics Cloud</v>
      </c>
      <c r="P2815" t="str">
        <f>_xlfn.XLOOKUP(C2815,tblProducts[product_id],tblProducts[category],"Missing")</f>
        <v>Analytics</v>
      </c>
      <c r="Q2815" t="str">
        <f>_xlfn.XLOOKUP(D2815,tblSalesReps[rep_id],tblSalesReps[rep_name],"Missing")</f>
        <v>Sales Rep 05</v>
      </c>
      <c r="R2815" t="str">
        <f>_xlfn.XLOOKUP(D2815,tblSalesReps[rep_id],tblSalesReps[region],"Missing")</f>
        <v>South</v>
      </c>
    </row>
    <row r="2816" spans="1:18">
      <c r="A2816" t="s">
        <v>3360</v>
      </c>
      <c r="B2816" t="s">
        <v>929</v>
      </c>
      <c r="C2816" t="s">
        <v>39</v>
      </c>
      <c r="D2816" t="s">
        <v>70</v>
      </c>
      <c r="E2816" s="1">
        <v>45845</v>
      </c>
      <c r="F2816" s="1">
        <v>45913</v>
      </c>
      <c r="G2816" s="1">
        <v>45913</v>
      </c>
      <c r="H2816" t="s">
        <v>17</v>
      </c>
      <c r="I2816">
        <v>1</v>
      </c>
      <c r="J2816">
        <v>0</v>
      </c>
      <c r="K2816">
        <v>180000</v>
      </c>
      <c r="L2816">
        <v>0</v>
      </c>
      <c r="M2816" t="s">
        <v>23</v>
      </c>
      <c r="N2816" t="str">
        <f>_xlfn.XLOOKUP(B2816,tblCustomers[customer_id],tblCustomers[region],"Missing")</f>
        <v>West</v>
      </c>
      <c r="O2816" t="str">
        <f>_xlfn.XLOOKUP(C2816,tblProducts[product_id],tblProducts[product_name],"Missing")</f>
        <v>Support Desk</v>
      </c>
      <c r="P2816" t="str">
        <f>_xlfn.XLOOKUP(C2816,tblProducts[product_id],tblProducts[category],"Missing")</f>
        <v>Service</v>
      </c>
      <c r="Q2816" t="str">
        <f>_xlfn.XLOOKUP(D2816,tblSalesReps[rep_id],tblSalesReps[rep_name],"Missing")</f>
        <v>Sales Rep 11</v>
      </c>
      <c r="R2816" t="str">
        <f>_xlfn.XLOOKUP(D2816,tblSalesReps[rep_id],tblSalesReps[region],"Missing")</f>
        <v>West</v>
      </c>
    </row>
    <row r="2817" spans="1:18">
      <c r="A2817" t="s">
        <v>3361</v>
      </c>
      <c r="B2817" t="s">
        <v>456</v>
      </c>
      <c r="C2817" t="s">
        <v>15</v>
      </c>
      <c r="D2817" t="s">
        <v>78</v>
      </c>
      <c r="E2817" s="1">
        <v>45693</v>
      </c>
      <c r="F2817" s="1">
        <v>45778</v>
      </c>
      <c r="G2817" s="1">
        <v>45778</v>
      </c>
      <c r="H2817" t="s">
        <v>17</v>
      </c>
      <c r="I2817">
        <v>1</v>
      </c>
      <c r="J2817">
        <v>5</v>
      </c>
      <c r="K2817">
        <v>399000</v>
      </c>
      <c r="L2817">
        <v>0</v>
      </c>
      <c r="M2817" t="s">
        <v>23</v>
      </c>
      <c r="N2817" t="str">
        <f>_xlfn.XLOOKUP(B2817,tblCustomers[customer_id],tblCustomers[region],"Missing")</f>
        <v>West</v>
      </c>
      <c r="O2817" t="str">
        <f>_xlfn.XLOOKUP(C2817,tblProducts[product_id],tblProducts[product_name],"Missing")</f>
        <v>CRM Enterprise</v>
      </c>
      <c r="P2817" t="str">
        <f>_xlfn.XLOOKUP(C2817,tblProducts[product_id],tblProducts[category],"Missing")</f>
        <v>CRM</v>
      </c>
      <c r="Q2817" t="str">
        <f>_xlfn.XLOOKUP(D2817,tblSalesReps[rep_id],tblSalesReps[rep_name],"Missing")</f>
        <v>Sales Rep 12</v>
      </c>
      <c r="R2817" t="str">
        <f>_xlfn.XLOOKUP(D2817,tblSalesReps[rep_id],tblSalesReps[region],"Missing")</f>
        <v>West</v>
      </c>
    </row>
    <row r="2818" spans="1:18">
      <c r="A2818" t="s">
        <v>3362</v>
      </c>
      <c r="B2818" t="s">
        <v>636</v>
      </c>
      <c r="C2818" t="s">
        <v>26</v>
      </c>
      <c r="D2818" t="s">
        <v>16</v>
      </c>
      <c r="E2818" s="1">
        <v>45669</v>
      </c>
      <c r="F2818" s="1">
        <v>45732</v>
      </c>
      <c r="G2818" s="1">
        <v>45732</v>
      </c>
      <c r="H2818" t="s">
        <v>17</v>
      </c>
      <c r="I2818">
        <v>3</v>
      </c>
      <c r="J2818">
        <v>5</v>
      </c>
      <c r="K2818">
        <v>1026000</v>
      </c>
      <c r="L2818">
        <v>0</v>
      </c>
      <c r="M2818" t="s">
        <v>18</v>
      </c>
      <c r="N2818" t="str">
        <f>_xlfn.XLOOKUP(B2818,tblCustomers[customer_id],tblCustomers[region],"Missing")</f>
        <v>North</v>
      </c>
      <c r="O2818" t="str">
        <f>_xlfn.XLOOKUP(C2818,tblProducts[product_id],tblProducts[product_name],"Missing")</f>
        <v>Security Suite</v>
      </c>
      <c r="P2818" t="str">
        <f>_xlfn.XLOOKUP(C2818,tblProducts[product_id],tblProducts[category],"Missing")</f>
        <v>Security</v>
      </c>
      <c r="Q2818" t="str">
        <f>_xlfn.XLOOKUP(D2818,tblSalesReps[rep_id],tblSalesReps[rep_name],"Missing")</f>
        <v>Sales Rep 08</v>
      </c>
      <c r="R2818" t="str">
        <f>_xlfn.XLOOKUP(D2818,tblSalesReps[rep_id],tblSalesReps[region],"Missing")</f>
        <v>North</v>
      </c>
    </row>
    <row r="2819" spans="1:18">
      <c r="A2819" t="s">
        <v>3363</v>
      </c>
      <c r="B2819" t="s">
        <v>1237</v>
      </c>
      <c r="C2819" t="s">
        <v>39</v>
      </c>
      <c r="D2819" t="s">
        <v>91</v>
      </c>
      <c r="E2819" s="1">
        <v>45808</v>
      </c>
      <c r="F2819" s="1">
        <v>45819</v>
      </c>
      <c r="G2819" s="1">
        <v>45819</v>
      </c>
      <c r="H2819" t="s">
        <v>28</v>
      </c>
      <c r="I2819">
        <v>1</v>
      </c>
      <c r="J2819">
        <v>15</v>
      </c>
      <c r="K2819">
        <v>153000</v>
      </c>
      <c r="L2819">
        <v>100</v>
      </c>
      <c r="M2819" t="s">
        <v>29</v>
      </c>
      <c r="N2819" t="str">
        <f>_xlfn.XLOOKUP(B2819,tblCustomers[customer_id],tblCustomers[region],"Missing")</f>
        <v>South</v>
      </c>
      <c r="O2819" t="str">
        <f>_xlfn.XLOOKUP(C2819,tblProducts[product_id],tblProducts[product_name],"Missing")</f>
        <v>Support Desk</v>
      </c>
      <c r="P2819" t="str">
        <f>_xlfn.XLOOKUP(C2819,tblProducts[product_id],tblProducts[category],"Missing")</f>
        <v>Service</v>
      </c>
      <c r="Q2819" t="str">
        <f>_xlfn.XLOOKUP(D2819,tblSalesReps[rep_id],tblSalesReps[rep_name],"Missing")</f>
        <v>Sales Rep 03</v>
      </c>
      <c r="R2819" t="str">
        <f>_xlfn.XLOOKUP(D2819,tblSalesReps[rep_id],tblSalesReps[region],"Missing")</f>
        <v>South</v>
      </c>
    </row>
    <row r="2820" spans="1:18">
      <c r="A2820" t="s">
        <v>3364</v>
      </c>
      <c r="B2820" t="s">
        <v>761</v>
      </c>
      <c r="C2820" t="s">
        <v>26</v>
      </c>
      <c r="D2820" t="s">
        <v>32</v>
      </c>
      <c r="E2820" s="1">
        <v>45979</v>
      </c>
      <c r="F2820" s="1">
        <v>45987</v>
      </c>
      <c r="G2820" s="1">
        <v>45987</v>
      </c>
      <c r="H2820" t="s">
        <v>28</v>
      </c>
      <c r="I2820">
        <v>3</v>
      </c>
      <c r="J2820">
        <v>5</v>
      </c>
      <c r="K2820">
        <v>1026000</v>
      </c>
      <c r="L2820">
        <v>100</v>
      </c>
      <c r="M2820" t="s">
        <v>29</v>
      </c>
      <c r="N2820" t="str">
        <f>_xlfn.XLOOKUP(B2820,tblCustomers[customer_id],tblCustomers[region],"Missing")</f>
        <v>South</v>
      </c>
      <c r="O2820" t="str">
        <f>_xlfn.XLOOKUP(C2820,tblProducts[product_id],tblProducts[product_name],"Missing")</f>
        <v>Security Suite</v>
      </c>
      <c r="P2820" t="str">
        <f>_xlfn.XLOOKUP(C2820,tblProducts[product_id],tblProducts[category],"Missing")</f>
        <v>Security</v>
      </c>
      <c r="Q2820" t="str">
        <f>_xlfn.XLOOKUP(D2820,tblSalesReps[rep_id],tblSalesReps[rep_name],"Missing")</f>
        <v>Sales Rep 04</v>
      </c>
      <c r="R2820" t="str">
        <f>_xlfn.XLOOKUP(D2820,tblSalesReps[rep_id],tblSalesReps[region],"Missing")</f>
        <v>South</v>
      </c>
    </row>
    <row r="2821" spans="1:18">
      <c r="A2821" t="s">
        <v>3365</v>
      </c>
      <c r="B2821" t="s">
        <v>2656</v>
      </c>
      <c r="C2821" t="s">
        <v>62</v>
      </c>
      <c r="D2821" t="s">
        <v>53</v>
      </c>
      <c r="E2821" s="1">
        <v>45892</v>
      </c>
      <c r="F2821" s="1">
        <v>45975</v>
      </c>
      <c r="G2821" s="1">
        <v>45975</v>
      </c>
      <c r="H2821" t="s">
        <v>28</v>
      </c>
      <c r="I2821">
        <v>3</v>
      </c>
      <c r="J2821">
        <v>15</v>
      </c>
      <c r="K2821">
        <v>306000</v>
      </c>
      <c r="L2821">
        <v>100</v>
      </c>
      <c r="M2821" t="s">
        <v>29</v>
      </c>
      <c r="N2821" t="str">
        <f>_xlfn.XLOOKUP(B2821,tblCustomers[customer_id],tblCustomers[region],"Missing")</f>
        <v>East</v>
      </c>
      <c r="O2821" t="str">
        <f>_xlfn.XLOOKUP(C2821,tblProducts[product_id],tblProducts[product_name],"Missing")</f>
        <v>CRM Essentials</v>
      </c>
      <c r="P2821" t="str">
        <f>_xlfn.XLOOKUP(C2821,tblProducts[product_id],tblProducts[category],"Missing")</f>
        <v>CRM</v>
      </c>
      <c r="Q2821" t="str">
        <f>_xlfn.XLOOKUP(D2821,tblSalesReps[rep_id],tblSalesReps[rep_name],"Missing")</f>
        <v>Sales Rep 16</v>
      </c>
      <c r="R2821" t="str">
        <f>_xlfn.XLOOKUP(D2821,tblSalesReps[rep_id],tblSalesReps[region],"Missing")</f>
        <v>East</v>
      </c>
    </row>
    <row r="2822" spans="1:18">
      <c r="A2822" t="s">
        <v>3366</v>
      </c>
      <c r="B2822" t="s">
        <v>565</v>
      </c>
      <c r="C2822" t="s">
        <v>62</v>
      </c>
      <c r="D2822" t="s">
        <v>152</v>
      </c>
      <c r="E2822" s="1">
        <v>45759</v>
      </c>
      <c r="F2822" s="1">
        <v>45791</v>
      </c>
      <c r="G2822" s="1">
        <v>45791</v>
      </c>
      <c r="H2822" t="s">
        <v>17</v>
      </c>
      <c r="I2822">
        <v>3</v>
      </c>
      <c r="J2822">
        <v>0</v>
      </c>
      <c r="K2822">
        <v>360000</v>
      </c>
      <c r="L2822">
        <v>0</v>
      </c>
      <c r="M2822" t="s">
        <v>82</v>
      </c>
      <c r="N2822" t="str">
        <f>_xlfn.XLOOKUP(B2822,tblCustomers[customer_id],tblCustomers[region],"Missing")</f>
        <v>East</v>
      </c>
      <c r="O2822" t="str">
        <f>_xlfn.XLOOKUP(C2822,tblProducts[product_id],tblProducts[product_name],"Missing")</f>
        <v>CRM Essentials</v>
      </c>
      <c r="P2822" t="str">
        <f>_xlfn.XLOOKUP(C2822,tblProducts[product_id],tblProducts[category],"Missing")</f>
        <v>CRM</v>
      </c>
      <c r="Q2822" t="str">
        <f>_xlfn.XLOOKUP(D2822,tblSalesReps[rep_id],tblSalesReps[rep_name],"Missing")</f>
        <v>Sales Rep 18</v>
      </c>
      <c r="R2822" t="str">
        <f>_xlfn.XLOOKUP(D2822,tblSalesReps[rep_id],tblSalesReps[region],"Missing")</f>
        <v>East</v>
      </c>
    </row>
    <row r="2823" spans="1:18">
      <c r="A2823" t="s">
        <v>3367</v>
      </c>
      <c r="B2823" t="s">
        <v>77</v>
      </c>
      <c r="C2823" t="s">
        <v>39</v>
      </c>
      <c r="D2823" t="s">
        <v>40</v>
      </c>
      <c r="E2823" s="1">
        <v>45908</v>
      </c>
      <c r="F2823" s="1">
        <v>45932</v>
      </c>
      <c r="G2823" s="1"/>
      <c r="H2823" t="s">
        <v>43</v>
      </c>
      <c r="I2823">
        <v>3</v>
      </c>
      <c r="J2823">
        <v>20</v>
      </c>
      <c r="K2823">
        <v>432000</v>
      </c>
      <c r="L2823">
        <v>80</v>
      </c>
      <c r="M2823" t="s">
        <v>29</v>
      </c>
      <c r="N2823" t="str">
        <f>_xlfn.XLOOKUP(B2823,tblCustomers[customer_id],tblCustomers[region],"Missing")</f>
        <v>West</v>
      </c>
      <c r="O2823" t="str">
        <f>_xlfn.XLOOKUP(C2823,tblProducts[product_id],tblProducts[product_name],"Missing")</f>
        <v>Support Desk</v>
      </c>
      <c r="P2823" t="str">
        <f>_xlfn.XLOOKUP(C2823,tblProducts[product_id],tblProducts[category],"Missing")</f>
        <v>Service</v>
      </c>
      <c r="Q2823" t="str">
        <f>_xlfn.XLOOKUP(D2823,tblSalesReps[rep_id],tblSalesReps[rep_name],"Missing")</f>
        <v>Sales Rep 13</v>
      </c>
      <c r="R2823" t="str">
        <f>_xlfn.XLOOKUP(D2823,tblSalesReps[rep_id],tblSalesReps[region],"Missing")</f>
        <v>West</v>
      </c>
    </row>
    <row r="2824" spans="1:18">
      <c r="A2824" t="s">
        <v>3368</v>
      </c>
      <c r="B2824" t="s">
        <v>406</v>
      </c>
      <c r="C2824" t="s">
        <v>15</v>
      </c>
      <c r="D2824" t="s">
        <v>16</v>
      </c>
      <c r="E2824" s="1">
        <v>45832</v>
      </c>
      <c r="F2824" s="1">
        <v>45876</v>
      </c>
      <c r="G2824" s="1">
        <v>45876</v>
      </c>
      <c r="H2824" t="s">
        <v>28</v>
      </c>
      <c r="I2824">
        <v>1</v>
      </c>
      <c r="J2824">
        <v>10</v>
      </c>
      <c r="K2824">
        <v>378000</v>
      </c>
      <c r="L2824">
        <v>100</v>
      </c>
      <c r="M2824" t="s">
        <v>29</v>
      </c>
      <c r="N2824" t="str">
        <f>_xlfn.XLOOKUP(B2824,tblCustomers[customer_id],tblCustomers[region],"Missing")</f>
        <v>North</v>
      </c>
      <c r="O2824" t="str">
        <f>_xlfn.XLOOKUP(C2824,tblProducts[product_id],tblProducts[product_name],"Missing")</f>
        <v>CRM Enterprise</v>
      </c>
      <c r="P2824" t="str">
        <f>_xlfn.XLOOKUP(C2824,tblProducts[product_id],tblProducts[category],"Missing")</f>
        <v>CRM</v>
      </c>
      <c r="Q2824" t="str">
        <f>_xlfn.XLOOKUP(D2824,tblSalesReps[rep_id],tblSalesReps[rep_name],"Missing")</f>
        <v>Sales Rep 08</v>
      </c>
      <c r="R2824" t="str">
        <f>_xlfn.XLOOKUP(D2824,tblSalesReps[rep_id],tblSalesReps[region],"Missing")</f>
        <v>North</v>
      </c>
    </row>
    <row r="2825" spans="1:18">
      <c r="A2825" t="s">
        <v>3369</v>
      </c>
      <c r="B2825" t="s">
        <v>379</v>
      </c>
      <c r="C2825" t="s">
        <v>62</v>
      </c>
      <c r="D2825" t="s">
        <v>27</v>
      </c>
      <c r="E2825" s="1">
        <v>45900</v>
      </c>
      <c r="F2825" s="1">
        <v>45948</v>
      </c>
      <c r="G2825" s="1">
        <v>45948</v>
      </c>
      <c r="H2825" t="s">
        <v>17</v>
      </c>
      <c r="I2825">
        <v>1</v>
      </c>
      <c r="J2825">
        <v>10</v>
      </c>
      <c r="K2825">
        <v>108000</v>
      </c>
      <c r="L2825">
        <v>0</v>
      </c>
      <c r="M2825" t="s">
        <v>33</v>
      </c>
      <c r="N2825" t="str">
        <f>_xlfn.XLOOKUP(B2825,tblCustomers[customer_id],tblCustomers[region],"Missing")</f>
        <v>North</v>
      </c>
      <c r="O2825" t="str">
        <f>_xlfn.XLOOKUP(C2825,tblProducts[product_id],tblProducts[product_name],"Missing")</f>
        <v>CRM Essentials</v>
      </c>
      <c r="P2825" t="str">
        <f>_xlfn.XLOOKUP(C2825,tblProducts[product_id],tblProducts[category],"Missing")</f>
        <v>CRM</v>
      </c>
      <c r="Q2825" t="str">
        <f>_xlfn.XLOOKUP(D2825,tblSalesReps[rep_id],tblSalesReps[rep_name],"Missing")</f>
        <v>Sales Rep 06</v>
      </c>
      <c r="R2825" t="str">
        <f>_xlfn.XLOOKUP(D2825,tblSalesReps[rep_id],tblSalesReps[region],"Missing")</f>
        <v>North</v>
      </c>
    </row>
    <row r="2826" spans="1:18">
      <c r="A2826" t="s">
        <v>3370</v>
      </c>
      <c r="B2826" t="s">
        <v>456</v>
      </c>
      <c r="C2826" t="s">
        <v>81</v>
      </c>
      <c r="D2826" t="s">
        <v>78</v>
      </c>
      <c r="E2826" s="1">
        <v>45878</v>
      </c>
      <c r="F2826" s="1">
        <v>45912</v>
      </c>
      <c r="G2826" s="1">
        <v>45912</v>
      </c>
      <c r="H2826" t="s">
        <v>17</v>
      </c>
      <c r="I2826">
        <v>1</v>
      </c>
      <c r="J2826">
        <v>20</v>
      </c>
      <c r="K2826">
        <v>240000</v>
      </c>
      <c r="L2826">
        <v>0</v>
      </c>
      <c r="M2826" t="s">
        <v>47</v>
      </c>
      <c r="N2826" t="str">
        <f>_xlfn.XLOOKUP(B2826,tblCustomers[customer_id],tblCustomers[region],"Missing")</f>
        <v>West</v>
      </c>
      <c r="O2826" t="str">
        <f>_xlfn.XLOOKUP(C2826,tblProducts[product_id],tblProducts[product_name],"Missing")</f>
        <v>Analytics Cloud</v>
      </c>
      <c r="P2826" t="str">
        <f>_xlfn.XLOOKUP(C2826,tblProducts[product_id],tblProducts[category],"Missing")</f>
        <v>Analytics</v>
      </c>
      <c r="Q2826" t="str">
        <f>_xlfn.XLOOKUP(D2826,tblSalesReps[rep_id],tblSalesReps[rep_name],"Missing")</f>
        <v>Sales Rep 12</v>
      </c>
      <c r="R2826" t="str">
        <f>_xlfn.XLOOKUP(D2826,tblSalesReps[rep_id],tblSalesReps[region],"Missing")</f>
        <v>West</v>
      </c>
    </row>
    <row r="2827" spans="1:18">
      <c r="A2827" t="s">
        <v>3371</v>
      </c>
      <c r="B2827" t="s">
        <v>524</v>
      </c>
      <c r="C2827" t="s">
        <v>21</v>
      </c>
      <c r="D2827" t="s">
        <v>126</v>
      </c>
      <c r="E2827" s="1">
        <v>45985</v>
      </c>
      <c r="F2827" s="1">
        <v>46018</v>
      </c>
      <c r="G2827" s="1">
        <v>46018</v>
      </c>
      <c r="H2827" t="s">
        <v>17</v>
      </c>
      <c r="I2827">
        <v>2</v>
      </c>
      <c r="J2827">
        <v>15</v>
      </c>
      <c r="K2827">
        <v>408000</v>
      </c>
      <c r="L2827">
        <v>0</v>
      </c>
      <c r="M2827" t="s">
        <v>23</v>
      </c>
      <c r="N2827" t="str">
        <f>_xlfn.XLOOKUP(B2827,tblCustomers[customer_id],tblCustomers[region],"Missing")</f>
        <v>South</v>
      </c>
      <c r="O2827" t="str">
        <f>_xlfn.XLOOKUP(C2827,tblProducts[product_id],tblProducts[product_name],"Missing")</f>
        <v>Workflow Automate</v>
      </c>
      <c r="P2827" t="str">
        <f>_xlfn.XLOOKUP(C2827,tblProducts[product_id],tblProducts[category],"Missing")</f>
        <v>Automation</v>
      </c>
      <c r="Q2827" t="str">
        <f>_xlfn.XLOOKUP(D2827,tblSalesReps[rep_id],tblSalesReps[rep_name],"Missing")</f>
        <v>Sales Rep 02</v>
      </c>
      <c r="R2827" t="str">
        <f>_xlfn.XLOOKUP(D2827,tblSalesReps[rep_id],tblSalesReps[region],"Missing")</f>
        <v>South</v>
      </c>
    </row>
    <row r="2828" spans="1:18">
      <c r="A2828" t="s">
        <v>3372</v>
      </c>
      <c r="B2828" t="s">
        <v>2156</v>
      </c>
      <c r="C2828" t="s">
        <v>62</v>
      </c>
      <c r="D2828" t="s">
        <v>70</v>
      </c>
      <c r="E2828" s="1">
        <v>45690</v>
      </c>
      <c r="F2828" s="1">
        <v>45712</v>
      </c>
      <c r="G2828" s="1">
        <v>45712</v>
      </c>
      <c r="H2828" t="s">
        <v>17</v>
      </c>
      <c r="I2828">
        <v>2</v>
      </c>
      <c r="J2828">
        <v>5</v>
      </c>
      <c r="K2828">
        <v>228000</v>
      </c>
      <c r="L2828">
        <v>0</v>
      </c>
      <c r="M2828" t="s">
        <v>18</v>
      </c>
      <c r="N2828" t="str">
        <f>_xlfn.XLOOKUP(B2828,tblCustomers[customer_id],tblCustomers[region],"Missing")</f>
        <v>West</v>
      </c>
      <c r="O2828" t="str">
        <f>_xlfn.XLOOKUP(C2828,tblProducts[product_id],tblProducts[product_name],"Missing")</f>
        <v>CRM Essentials</v>
      </c>
      <c r="P2828" t="str">
        <f>_xlfn.XLOOKUP(C2828,tblProducts[product_id],tblProducts[category],"Missing")</f>
        <v>CRM</v>
      </c>
      <c r="Q2828" t="str">
        <f>_xlfn.XLOOKUP(D2828,tblSalesReps[rep_id],tblSalesReps[rep_name],"Missing")</f>
        <v>Sales Rep 11</v>
      </c>
      <c r="R2828" t="str">
        <f>_xlfn.XLOOKUP(D2828,tblSalesReps[rep_id],tblSalesReps[region],"Missing")</f>
        <v>West</v>
      </c>
    </row>
    <row r="2829" spans="1:18">
      <c r="A2829" t="s">
        <v>3373</v>
      </c>
      <c r="B2829" t="s">
        <v>129</v>
      </c>
      <c r="C2829" t="s">
        <v>39</v>
      </c>
      <c r="D2829" t="s">
        <v>152</v>
      </c>
      <c r="E2829" s="1">
        <v>45817</v>
      </c>
      <c r="F2829" s="1">
        <v>45887</v>
      </c>
      <c r="G2829" s="1">
        <v>45887</v>
      </c>
      <c r="H2829" t="s">
        <v>28</v>
      </c>
      <c r="I2829">
        <v>3</v>
      </c>
      <c r="J2829">
        <v>15</v>
      </c>
      <c r="K2829">
        <v>459000</v>
      </c>
      <c r="L2829">
        <v>100</v>
      </c>
      <c r="M2829" t="s">
        <v>29</v>
      </c>
      <c r="N2829" t="str">
        <f>_xlfn.XLOOKUP(B2829,tblCustomers[customer_id],tblCustomers[region],"Missing")</f>
        <v>East</v>
      </c>
      <c r="O2829" t="str">
        <f>_xlfn.XLOOKUP(C2829,tblProducts[product_id],tblProducts[product_name],"Missing")</f>
        <v>Support Desk</v>
      </c>
      <c r="P2829" t="str">
        <f>_xlfn.XLOOKUP(C2829,tblProducts[product_id],tblProducts[category],"Missing")</f>
        <v>Service</v>
      </c>
      <c r="Q2829" t="str">
        <f>_xlfn.XLOOKUP(D2829,tblSalesReps[rep_id],tblSalesReps[rep_name],"Missing")</f>
        <v>Sales Rep 18</v>
      </c>
      <c r="R2829" t="str">
        <f>_xlfn.XLOOKUP(D2829,tblSalesReps[rep_id],tblSalesReps[region],"Missing")</f>
        <v>East</v>
      </c>
    </row>
    <row r="2830" spans="1:18">
      <c r="A2830" t="s">
        <v>3374</v>
      </c>
      <c r="B2830" t="s">
        <v>2094</v>
      </c>
      <c r="C2830" t="s">
        <v>15</v>
      </c>
      <c r="D2830" t="s">
        <v>22</v>
      </c>
      <c r="E2830" s="1">
        <v>45767</v>
      </c>
      <c r="F2830" s="1">
        <v>45809</v>
      </c>
      <c r="G2830" s="1">
        <v>45809</v>
      </c>
      <c r="H2830" t="s">
        <v>17</v>
      </c>
      <c r="I2830">
        <v>1</v>
      </c>
      <c r="J2830">
        <v>5</v>
      </c>
      <c r="K2830">
        <v>399000</v>
      </c>
      <c r="L2830">
        <v>0</v>
      </c>
      <c r="M2830" t="s">
        <v>82</v>
      </c>
      <c r="N2830" t="str">
        <f>_xlfn.XLOOKUP(B2830,tblCustomers[customer_id],tblCustomers[region],"Missing")</f>
        <v>West</v>
      </c>
      <c r="O2830" t="str">
        <f>_xlfn.XLOOKUP(C2830,tblProducts[product_id],tblProducts[product_name],"Missing")</f>
        <v>CRM Enterprise</v>
      </c>
      <c r="P2830" t="str">
        <f>_xlfn.XLOOKUP(C2830,tblProducts[product_id],tblProducts[category],"Missing")</f>
        <v>CRM</v>
      </c>
      <c r="Q2830" t="str">
        <f>_xlfn.XLOOKUP(D2830,tblSalesReps[rep_id],tblSalesReps[rep_name],"Missing")</f>
        <v>Sales Rep 14</v>
      </c>
      <c r="R2830" t="str">
        <f>_xlfn.XLOOKUP(D2830,tblSalesReps[rep_id],tblSalesReps[region],"Missing")</f>
        <v>West</v>
      </c>
    </row>
    <row r="2831" spans="1:18">
      <c r="A2831" t="s">
        <v>3375</v>
      </c>
      <c r="B2831" t="s">
        <v>38</v>
      </c>
      <c r="C2831" t="s">
        <v>39</v>
      </c>
      <c r="D2831" t="s">
        <v>22</v>
      </c>
      <c r="E2831" s="1">
        <v>45996</v>
      </c>
      <c r="F2831" s="1">
        <v>46063</v>
      </c>
      <c r="G2831" s="1"/>
      <c r="H2831" t="s">
        <v>43</v>
      </c>
      <c r="I2831">
        <v>3</v>
      </c>
      <c r="J2831">
        <v>10</v>
      </c>
      <c r="K2831">
        <v>486000</v>
      </c>
      <c r="L2831">
        <v>40</v>
      </c>
      <c r="M2831" t="s">
        <v>29</v>
      </c>
      <c r="N2831" t="str">
        <f>_xlfn.XLOOKUP(B2831,tblCustomers[customer_id],tblCustomers[region],"Missing")</f>
        <v>West</v>
      </c>
      <c r="O2831" t="str">
        <f>_xlfn.XLOOKUP(C2831,tblProducts[product_id],tblProducts[product_name],"Missing")</f>
        <v>Support Desk</v>
      </c>
      <c r="P2831" t="str">
        <f>_xlfn.XLOOKUP(C2831,tblProducts[product_id],tblProducts[category],"Missing")</f>
        <v>Service</v>
      </c>
      <c r="Q2831" t="str">
        <f>_xlfn.XLOOKUP(D2831,tblSalesReps[rep_id],tblSalesReps[rep_name],"Missing")</f>
        <v>Sales Rep 14</v>
      </c>
      <c r="R2831" t="str">
        <f>_xlfn.XLOOKUP(D2831,tblSalesReps[rep_id],tblSalesReps[region],"Missing")</f>
        <v>West</v>
      </c>
    </row>
    <row r="2832" spans="1:18">
      <c r="A2832" t="s">
        <v>3376</v>
      </c>
      <c r="B2832" t="s">
        <v>592</v>
      </c>
      <c r="C2832" t="s">
        <v>81</v>
      </c>
      <c r="D2832" t="s">
        <v>59</v>
      </c>
      <c r="E2832" s="1">
        <v>45973</v>
      </c>
      <c r="F2832" s="1">
        <v>45996</v>
      </c>
      <c r="G2832" s="1">
        <v>45996</v>
      </c>
      <c r="H2832" t="s">
        <v>17</v>
      </c>
      <c r="I2832">
        <v>3</v>
      </c>
      <c r="J2832">
        <v>10</v>
      </c>
      <c r="K2832">
        <v>810000</v>
      </c>
      <c r="L2832">
        <v>0</v>
      </c>
      <c r="M2832" t="s">
        <v>33</v>
      </c>
      <c r="N2832" t="str">
        <f>_xlfn.XLOOKUP(B2832,tblCustomers[customer_id],tblCustomers[region],"Missing")</f>
        <v>East</v>
      </c>
      <c r="O2832" t="str">
        <f>_xlfn.XLOOKUP(C2832,tblProducts[product_id],tblProducts[product_name],"Missing")</f>
        <v>Analytics Cloud</v>
      </c>
      <c r="P2832" t="str">
        <f>_xlfn.XLOOKUP(C2832,tblProducts[product_id],tblProducts[category],"Missing")</f>
        <v>Analytics</v>
      </c>
      <c r="Q2832" t="str">
        <f>_xlfn.XLOOKUP(D2832,tblSalesReps[rep_id],tblSalesReps[rep_name],"Missing")</f>
        <v>Sales Rep 19</v>
      </c>
      <c r="R2832" t="str">
        <f>_xlfn.XLOOKUP(D2832,tblSalesReps[rep_id],tblSalesReps[region],"Missing")</f>
        <v>East</v>
      </c>
    </row>
    <row r="2833" spans="1:18">
      <c r="A2833" t="s">
        <v>3377</v>
      </c>
      <c r="B2833" t="s">
        <v>174</v>
      </c>
      <c r="C2833" t="s">
        <v>81</v>
      </c>
      <c r="D2833" t="s">
        <v>50</v>
      </c>
      <c r="E2833" s="1">
        <v>45820</v>
      </c>
      <c r="F2833" s="1">
        <v>45830</v>
      </c>
      <c r="G2833" s="1">
        <v>45830</v>
      </c>
      <c r="H2833" t="s">
        <v>28</v>
      </c>
      <c r="I2833">
        <v>1</v>
      </c>
      <c r="J2833">
        <v>15</v>
      </c>
      <c r="K2833">
        <v>255000</v>
      </c>
      <c r="L2833">
        <v>100</v>
      </c>
      <c r="M2833" t="s">
        <v>29</v>
      </c>
      <c r="N2833" t="str">
        <f>_xlfn.XLOOKUP(B2833,tblCustomers[customer_id],tblCustomers[region],"Missing")</f>
        <v>West</v>
      </c>
      <c r="O2833" t="str">
        <f>_xlfn.XLOOKUP(C2833,tblProducts[product_id],tblProducts[product_name],"Missing")</f>
        <v>Analytics Cloud</v>
      </c>
      <c r="P2833" t="str">
        <f>_xlfn.XLOOKUP(C2833,tblProducts[product_id],tblProducts[category],"Missing")</f>
        <v>Analytics</v>
      </c>
      <c r="Q2833" t="str">
        <f>_xlfn.XLOOKUP(D2833,tblSalesReps[rep_id],tblSalesReps[rep_name],"Missing")</f>
        <v>Sales Rep 15</v>
      </c>
      <c r="R2833" t="str">
        <f>_xlfn.XLOOKUP(D2833,tblSalesReps[rep_id],tblSalesReps[region],"Missing")</f>
        <v>West</v>
      </c>
    </row>
    <row r="2834" spans="1:18">
      <c r="A2834" t="s">
        <v>3378</v>
      </c>
      <c r="B2834" t="s">
        <v>191</v>
      </c>
      <c r="C2834" t="s">
        <v>81</v>
      </c>
      <c r="D2834" t="s">
        <v>75</v>
      </c>
      <c r="E2834" s="1">
        <v>45744</v>
      </c>
      <c r="F2834" s="1">
        <v>45798</v>
      </c>
      <c r="G2834" s="1">
        <v>45798</v>
      </c>
      <c r="H2834" t="s">
        <v>28</v>
      </c>
      <c r="I2834">
        <v>1</v>
      </c>
      <c r="J2834">
        <v>20</v>
      </c>
      <c r="K2834">
        <v>240000</v>
      </c>
      <c r="L2834">
        <v>100</v>
      </c>
      <c r="M2834" t="s">
        <v>29</v>
      </c>
      <c r="N2834" t="str">
        <f>_xlfn.XLOOKUP(B2834,tblCustomers[customer_id],tblCustomers[region],"Missing")</f>
        <v>North</v>
      </c>
      <c r="O2834" t="str">
        <f>_xlfn.XLOOKUP(C2834,tblProducts[product_id],tblProducts[product_name],"Missing")</f>
        <v>Analytics Cloud</v>
      </c>
      <c r="P2834" t="str">
        <f>_xlfn.XLOOKUP(C2834,tblProducts[product_id],tblProducts[category],"Missing")</f>
        <v>Analytics</v>
      </c>
      <c r="Q2834" t="str">
        <f>_xlfn.XLOOKUP(D2834,tblSalesReps[rep_id],tblSalesReps[rep_name],"Missing")</f>
        <v>Sales Rep 07</v>
      </c>
      <c r="R2834" t="str">
        <f>_xlfn.XLOOKUP(D2834,tblSalesReps[rep_id],tblSalesReps[region],"Missing")</f>
        <v>North</v>
      </c>
    </row>
    <row r="2835" spans="1:18">
      <c r="A2835" t="s">
        <v>3379</v>
      </c>
      <c r="B2835" t="s">
        <v>980</v>
      </c>
      <c r="C2835" t="s">
        <v>62</v>
      </c>
      <c r="D2835" t="s">
        <v>59</v>
      </c>
      <c r="E2835" s="1">
        <v>45781</v>
      </c>
      <c r="F2835" s="1">
        <v>45853</v>
      </c>
      <c r="G2835" s="1"/>
      <c r="H2835" t="s">
        <v>43</v>
      </c>
      <c r="I2835">
        <v>2</v>
      </c>
      <c r="J2835">
        <v>0</v>
      </c>
      <c r="K2835">
        <v>240000</v>
      </c>
      <c r="L2835">
        <v>60</v>
      </c>
      <c r="M2835" t="s">
        <v>29</v>
      </c>
      <c r="N2835" t="str">
        <f>_xlfn.XLOOKUP(B2835,tblCustomers[customer_id],tblCustomers[region],"Missing")</f>
        <v>East</v>
      </c>
      <c r="O2835" t="str">
        <f>_xlfn.XLOOKUP(C2835,tblProducts[product_id],tblProducts[product_name],"Missing")</f>
        <v>CRM Essentials</v>
      </c>
      <c r="P2835" t="str">
        <f>_xlfn.XLOOKUP(C2835,tblProducts[product_id],tblProducts[category],"Missing")</f>
        <v>CRM</v>
      </c>
      <c r="Q2835" t="str">
        <f>_xlfn.XLOOKUP(D2835,tblSalesReps[rep_id],tblSalesReps[rep_name],"Missing")</f>
        <v>Sales Rep 19</v>
      </c>
      <c r="R2835" t="str">
        <f>_xlfn.XLOOKUP(D2835,tblSalesReps[rep_id],tblSalesReps[region],"Missing")</f>
        <v>East</v>
      </c>
    </row>
    <row r="2836" spans="1:18">
      <c r="A2836" t="s">
        <v>3380</v>
      </c>
      <c r="B2836" t="s">
        <v>1130</v>
      </c>
      <c r="C2836" t="s">
        <v>21</v>
      </c>
      <c r="D2836" t="s">
        <v>27</v>
      </c>
      <c r="E2836" s="1">
        <v>45989</v>
      </c>
      <c r="F2836" s="1">
        <v>46049</v>
      </c>
      <c r="G2836" s="1"/>
      <c r="H2836" t="s">
        <v>43</v>
      </c>
      <c r="I2836">
        <v>1</v>
      </c>
      <c r="J2836">
        <v>0</v>
      </c>
      <c r="K2836">
        <v>240000</v>
      </c>
      <c r="L2836">
        <v>40</v>
      </c>
      <c r="M2836" t="s">
        <v>29</v>
      </c>
      <c r="N2836" t="str">
        <f>_xlfn.XLOOKUP(B2836,tblCustomers[customer_id],tblCustomers[region],"Missing")</f>
        <v>North</v>
      </c>
      <c r="O2836" t="str">
        <f>_xlfn.XLOOKUP(C2836,tblProducts[product_id],tblProducts[product_name],"Missing")</f>
        <v>Workflow Automate</v>
      </c>
      <c r="P2836" t="str">
        <f>_xlfn.XLOOKUP(C2836,tblProducts[product_id],tblProducts[category],"Missing")</f>
        <v>Automation</v>
      </c>
      <c r="Q2836" t="str">
        <f>_xlfn.XLOOKUP(D2836,tblSalesReps[rep_id],tblSalesReps[rep_name],"Missing")</f>
        <v>Sales Rep 06</v>
      </c>
      <c r="R2836" t="str">
        <f>_xlfn.XLOOKUP(D2836,tblSalesReps[rep_id],tblSalesReps[region],"Missing")</f>
        <v>North</v>
      </c>
    </row>
    <row r="2837" spans="1:18">
      <c r="A2837" t="s">
        <v>3381</v>
      </c>
      <c r="B2837" t="s">
        <v>423</v>
      </c>
      <c r="C2837" t="s">
        <v>15</v>
      </c>
      <c r="D2837" t="s">
        <v>22</v>
      </c>
      <c r="E2837" s="1">
        <v>45758</v>
      </c>
      <c r="F2837" s="1">
        <v>45823</v>
      </c>
      <c r="G2837" s="1">
        <v>45823</v>
      </c>
      <c r="H2837" t="s">
        <v>28</v>
      </c>
      <c r="I2837">
        <v>1</v>
      </c>
      <c r="J2837">
        <v>15</v>
      </c>
      <c r="K2837">
        <v>357000</v>
      </c>
      <c r="L2837">
        <v>100</v>
      </c>
      <c r="M2837" t="s">
        <v>29</v>
      </c>
      <c r="N2837" t="str">
        <f>_xlfn.XLOOKUP(B2837,tblCustomers[customer_id],tblCustomers[region],"Missing")</f>
        <v>West</v>
      </c>
      <c r="O2837" t="str">
        <f>_xlfn.XLOOKUP(C2837,tblProducts[product_id],tblProducts[product_name],"Missing")</f>
        <v>CRM Enterprise</v>
      </c>
      <c r="P2837" t="str">
        <f>_xlfn.XLOOKUP(C2837,tblProducts[product_id],tblProducts[category],"Missing")</f>
        <v>CRM</v>
      </c>
      <c r="Q2837" t="str">
        <f>_xlfn.XLOOKUP(D2837,tblSalesReps[rep_id],tblSalesReps[rep_name],"Missing")</f>
        <v>Sales Rep 14</v>
      </c>
      <c r="R2837" t="str">
        <f>_xlfn.XLOOKUP(D2837,tblSalesReps[rep_id],tblSalesReps[region],"Missing")</f>
        <v>West</v>
      </c>
    </row>
    <row r="2838" spans="1:18">
      <c r="A2838" t="s">
        <v>3382</v>
      </c>
      <c r="B2838" t="s">
        <v>86</v>
      </c>
      <c r="C2838" t="s">
        <v>21</v>
      </c>
      <c r="D2838" t="s">
        <v>78</v>
      </c>
      <c r="E2838" s="1">
        <v>45876</v>
      </c>
      <c r="F2838" s="1">
        <v>45889</v>
      </c>
      <c r="G2838" s="1">
        <v>45889</v>
      </c>
      <c r="H2838" t="s">
        <v>28</v>
      </c>
      <c r="I2838">
        <v>2</v>
      </c>
      <c r="J2838">
        <v>20</v>
      </c>
      <c r="K2838">
        <v>384000</v>
      </c>
      <c r="L2838">
        <v>100</v>
      </c>
      <c r="M2838" t="s">
        <v>29</v>
      </c>
      <c r="N2838" t="str">
        <f>_xlfn.XLOOKUP(B2838,tblCustomers[customer_id],tblCustomers[region],"Missing")</f>
        <v>West</v>
      </c>
      <c r="O2838" t="str">
        <f>_xlfn.XLOOKUP(C2838,tblProducts[product_id],tblProducts[product_name],"Missing")</f>
        <v>Workflow Automate</v>
      </c>
      <c r="P2838" t="str">
        <f>_xlfn.XLOOKUP(C2838,tblProducts[product_id],tblProducts[category],"Missing")</f>
        <v>Automation</v>
      </c>
      <c r="Q2838" t="str">
        <f>_xlfn.XLOOKUP(D2838,tblSalesReps[rep_id],tblSalesReps[rep_name],"Missing")</f>
        <v>Sales Rep 12</v>
      </c>
      <c r="R2838" t="str">
        <f>_xlfn.XLOOKUP(D2838,tblSalesReps[rep_id],tblSalesReps[region],"Missing")</f>
        <v>West</v>
      </c>
    </row>
    <row r="2839" spans="1:18">
      <c r="A2839" t="s">
        <v>3383</v>
      </c>
      <c r="B2839" t="s">
        <v>1167</v>
      </c>
      <c r="C2839" t="s">
        <v>26</v>
      </c>
      <c r="D2839" t="s">
        <v>16</v>
      </c>
      <c r="E2839" s="1">
        <v>45665</v>
      </c>
      <c r="F2839" s="1">
        <v>45705</v>
      </c>
      <c r="G2839" s="1">
        <v>45705</v>
      </c>
      <c r="H2839" t="s">
        <v>17</v>
      </c>
      <c r="I2839">
        <v>1</v>
      </c>
      <c r="J2839">
        <v>20</v>
      </c>
      <c r="K2839">
        <v>288000</v>
      </c>
      <c r="L2839">
        <v>0</v>
      </c>
      <c r="M2839" t="s">
        <v>33</v>
      </c>
      <c r="N2839" t="str">
        <f>_xlfn.XLOOKUP(B2839,tblCustomers[customer_id],tblCustomers[region],"Missing")</f>
        <v>North</v>
      </c>
      <c r="O2839" t="str">
        <f>_xlfn.XLOOKUP(C2839,tblProducts[product_id],tblProducts[product_name],"Missing")</f>
        <v>Security Suite</v>
      </c>
      <c r="P2839" t="str">
        <f>_xlfn.XLOOKUP(C2839,tblProducts[product_id],tblProducts[category],"Missing")</f>
        <v>Security</v>
      </c>
      <c r="Q2839" t="str">
        <f>_xlfn.XLOOKUP(D2839,tblSalesReps[rep_id],tblSalesReps[rep_name],"Missing")</f>
        <v>Sales Rep 08</v>
      </c>
      <c r="R2839" t="str">
        <f>_xlfn.XLOOKUP(D2839,tblSalesReps[rep_id],tblSalesReps[region],"Missing")</f>
        <v>North</v>
      </c>
    </row>
    <row r="2840" spans="1:18">
      <c r="A2840" t="s">
        <v>3384</v>
      </c>
      <c r="B2840" t="s">
        <v>533</v>
      </c>
      <c r="C2840" t="s">
        <v>39</v>
      </c>
      <c r="D2840" t="s">
        <v>36</v>
      </c>
      <c r="E2840" s="1">
        <v>45712</v>
      </c>
      <c r="F2840" s="1">
        <v>45746</v>
      </c>
      <c r="G2840" s="1">
        <v>45746</v>
      </c>
      <c r="H2840" t="s">
        <v>17</v>
      </c>
      <c r="I2840">
        <v>3</v>
      </c>
      <c r="J2840">
        <v>20</v>
      </c>
      <c r="K2840">
        <v>432000</v>
      </c>
      <c r="L2840">
        <v>0</v>
      </c>
      <c r="M2840" t="s">
        <v>33</v>
      </c>
      <c r="N2840" t="str">
        <f>_xlfn.XLOOKUP(B2840,tblCustomers[customer_id],tblCustomers[region],"Missing")</f>
        <v>North</v>
      </c>
      <c r="O2840" t="str">
        <f>_xlfn.XLOOKUP(C2840,tblProducts[product_id],tblProducts[product_name],"Missing")</f>
        <v>Support Desk</v>
      </c>
      <c r="P2840" t="str">
        <f>_xlfn.XLOOKUP(C2840,tblProducts[product_id],tblProducts[category],"Missing")</f>
        <v>Service</v>
      </c>
      <c r="Q2840" t="str">
        <f>_xlfn.XLOOKUP(D2840,tblSalesReps[rep_id],tblSalesReps[rep_name],"Missing")</f>
        <v>Sales Rep 09</v>
      </c>
      <c r="R2840" t="str">
        <f>_xlfn.XLOOKUP(D2840,tblSalesReps[rep_id],tblSalesReps[region],"Missing")</f>
        <v>North</v>
      </c>
    </row>
    <row r="2841" spans="1:18">
      <c r="A2841" t="s">
        <v>3385</v>
      </c>
      <c r="B2841" t="s">
        <v>819</v>
      </c>
      <c r="C2841" t="s">
        <v>39</v>
      </c>
      <c r="D2841" t="s">
        <v>50</v>
      </c>
      <c r="E2841" s="1">
        <v>45902</v>
      </c>
      <c r="F2841" s="1">
        <v>45925</v>
      </c>
      <c r="G2841" s="1"/>
      <c r="H2841" t="s">
        <v>43</v>
      </c>
      <c r="I2841">
        <v>1</v>
      </c>
      <c r="J2841">
        <v>15</v>
      </c>
      <c r="K2841">
        <v>153000</v>
      </c>
      <c r="L2841">
        <v>60</v>
      </c>
      <c r="M2841" t="s">
        <v>29</v>
      </c>
      <c r="N2841" t="str">
        <f>_xlfn.XLOOKUP(B2841,tblCustomers[customer_id],tblCustomers[region],"Missing")</f>
        <v>West</v>
      </c>
      <c r="O2841" t="str">
        <f>_xlfn.XLOOKUP(C2841,tblProducts[product_id],tblProducts[product_name],"Missing")</f>
        <v>Support Desk</v>
      </c>
      <c r="P2841" t="str">
        <f>_xlfn.XLOOKUP(C2841,tblProducts[product_id],tblProducts[category],"Missing")</f>
        <v>Service</v>
      </c>
      <c r="Q2841" t="str">
        <f>_xlfn.XLOOKUP(D2841,tblSalesReps[rep_id],tblSalesReps[rep_name],"Missing")</f>
        <v>Sales Rep 15</v>
      </c>
      <c r="R2841" t="str">
        <f>_xlfn.XLOOKUP(D2841,tblSalesReps[rep_id],tblSalesReps[region],"Missing")</f>
        <v>West</v>
      </c>
    </row>
    <row r="2842" spans="1:18">
      <c r="A2842" t="s">
        <v>3386</v>
      </c>
      <c r="B2842" t="s">
        <v>876</v>
      </c>
      <c r="C2842" t="s">
        <v>26</v>
      </c>
      <c r="D2842" t="s">
        <v>53</v>
      </c>
      <c r="E2842" s="1">
        <v>45710</v>
      </c>
      <c r="F2842" s="1">
        <v>45783</v>
      </c>
      <c r="G2842" s="1">
        <v>45783</v>
      </c>
      <c r="H2842" t="s">
        <v>17</v>
      </c>
      <c r="I2842">
        <v>2</v>
      </c>
      <c r="J2842">
        <v>15</v>
      </c>
      <c r="K2842">
        <v>612000</v>
      </c>
      <c r="L2842">
        <v>0</v>
      </c>
      <c r="M2842" t="s">
        <v>47</v>
      </c>
      <c r="N2842" t="str">
        <f>_xlfn.XLOOKUP(B2842,tblCustomers[customer_id],tblCustomers[region],"Missing")</f>
        <v>East</v>
      </c>
      <c r="O2842" t="str">
        <f>_xlfn.XLOOKUP(C2842,tblProducts[product_id],tblProducts[product_name],"Missing")</f>
        <v>Security Suite</v>
      </c>
      <c r="P2842" t="str">
        <f>_xlfn.XLOOKUP(C2842,tblProducts[product_id],tblProducts[category],"Missing")</f>
        <v>Security</v>
      </c>
      <c r="Q2842" t="str">
        <f>_xlfn.XLOOKUP(D2842,tblSalesReps[rep_id],tblSalesReps[rep_name],"Missing")</f>
        <v>Sales Rep 16</v>
      </c>
      <c r="R2842" t="str">
        <f>_xlfn.XLOOKUP(D2842,tblSalesReps[rep_id],tblSalesReps[region],"Missing")</f>
        <v>East</v>
      </c>
    </row>
    <row r="2843" spans="1:18">
      <c r="A2843" t="s">
        <v>3387</v>
      </c>
      <c r="B2843" t="s">
        <v>693</v>
      </c>
      <c r="C2843" t="s">
        <v>39</v>
      </c>
      <c r="D2843" t="s">
        <v>53</v>
      </c>
      <c r="E2843" s="1">
        <v>45864</v>
      </c>
      <c r="F2843" s="1">
        <v>45914</v>
      </c>
      <c r="G2843" s="1"/>
      <c r="H2843" t="s">
        <v>43</v>
      </c>
      <c r="I2843">
        <v>1</v>
      </c>
      <c r="J2843">
        <v>15</v>
      </c>
      <c r="K2843">
        <v>153000</v>
      </c>
      <c r="L2843">
        <v>80</v>
      </c>
      <c r="M2843" t="s">
        <v>29</v>
      </c>
      <c r="N2843" t="str">
        <f>_xlfn.XLOOKUP(B2843,tblCustomers[customer_id],tblCustomers[region],"Missing")</f>
        <v>East</v>
      </c>
      <c r="O2843" t="str">
        <f>_xlfn.XLOOKUP(C2843,tblProducts[product_id],tblProducts[product_name],"Missing")</f>
        <v>Support Desk</v>
      </c>
      <c r="P2843" t="str">
        <f>_xlfn.XLOOKUP(C2843,tblProducts[product_id],tblProducts[category],"Missing")</f>
        <v>Service</v>
      </c>
      <c r="Q2843" t="str">
        <f>_xlfn.XLOOKUP(D2843,tblSalesReps[rep_id],tblSalesReps[rep_name],"Missing")</f>
        <v>Sales Rep 16</v>
      </c>
      <c r="R2843" t="str">
        <f>_xlfn.XLOOKUP(D2843,tblSalesReps[rep_id],tblSalesReps[region],"Missing")</f>
        <v>East</v>
      </c>
    </row>
    <row r="2844" spans="1:18">
      <c r="A2844" t="s">
        <v>3388</v>
      </c>
      <c r="B2844" t="s">
        <v>133</v>
      </c>
      <c r="C2844" t="s">
        <v>21</v>
      </c>
      <c r="D2844" t="s">
        <v>78</v>
      </c>
      <c r="E2844" s="1">
        <v>45908</v>
      </c>
      <c r="F2844" s="1">
        <v>45969</v>
      </c>
      <c r="G2844" s="1">
        <v>45969</v>
      </c>
      <c r="H2844" t="s">
        <v>17</v>
      </c>
      <c r="I2844">
        <v>1</v>
      </c>
      <c r="J2844">
        <v>10</v>
      </c>
      <c r="K2844">
        <v>216000</v>
      </c>
      <c r="L2844">
        <v>0</v>
      </c>
      <c r="M2844" t="s">
        <v>33</v>
      </c>
      <c r="N2844" t="str">
        <f>_xlfn.XLOOKUP(B2844,tblCustomers[customer_id],tblCustomers[region],"Missing")</f>
        <v>West</v>
      </c>
      <c r="O2844" t="str">
        <f>_xlfn.XLOOKUP(C2844,tblProducts[product_id],tblProducts[product_name],"Missing")</f>
        <v>Workflow Automate</v>
      </c>
      <c r="P2844" t="str">
        <f>_xlfn.XLOOKUP(C2844,tblProducts[product_id],tblProducts[category],"Missing")</f>
        <v>Automation</v>
      </c>
      <c r="Q2844" t="str">
        <f>_xlfn.XLOOKUP(D2844,tblSalesReps[rep_id],tblSalesReps[rep_name],"Missing")</f>
        <v>Sales Rep 12</v>
      </c>
      <c r="R2844" t="str">
        <f>_xlfn.XLOOKUP(D2844,tblSalesReps[rep_id],tblSalesReps[region],"Missing")</f>
        <v>West</v>
      </c>
    </row>
    <row r="2845" spans="1:18">
      <c r="A2845" t="s">
        <v>3389</v>
      </c>
      <c r="B2845" t="s">
        <v>1318</v>
      </c>
      <c r="C2845" t="s">
        <v>81</v>
      </c>
      <c r="D2845" t="s">
        <v>32</v>
      </c>
      <c r="E2845" s="1">
        <v>45978</v>
      </c>
      <c r="F2845" s="1">
        <v>45999</v>
      </c>
      <c r="G2845" s="1"/>
      <c r="H2845" t="s">
        <v>43</v>
      </c>
      <c r="I2845">
        <v>2</v>
      </c>
      <c r="J2845">
        <v>5</v>
      </c>
      <c r="K2845">
        <v>570000</v>
      </c>
      <c r="L2845">
        <v>20</v>
      </c>
      <c r="M2845" t="s">
        <v>29</v>
      </c>
      <c r="N2845" t="str">
        <f>_xlfn.XLOOKUP(B2845,tblCustomers[customer_id],tblCustomers[region],"Missing")</f>
        <v>South</v>
      </c>
      <c r="O2845" t="str">
        <f>_xlfn.XLOOKUP(C2845,tblProducts[product_id],tblProducts[product_name],"Missing")</f>
        <v>Analytics Cloud</v>
      </c>
      <c r="P2845" t="str">
        <f>_xlfn.XLOOKUP(C2845,tblProducts[product_id],tblProducts[category],"Missing")</f>
        <v>Analytics</v>
      </c>
      <c r="Q2845" t="str">
        <f>_xlfn.XLOOKUP(D2845,tblSalesReps[rep_id],tblSalesReps[rep_name],"Missing")</f>
        <v>Sales Rep 04</v>
      </c>
      <c r="R2845" t="str">
        <f>_xlfn.XLOOKUP(D2845,tblSalesReps[rep_id],tblSalesReps[region],"Missing")</f>
        <v>South</v>
      </c>
    </row>
    <row r="2846" spans="1:18">
      <c r="A2846" t="s">
        <v>3390</v>
      </c>
      <c r="B2846" t="s">
        <v>1639</v>
      </c>
      <c r="C2846" t="s">
        <v>21</v>
      </c>
      <c r="D2846" t="s">
        <v>27</v>
      </c>
      <c r="E2846" s="1">
        <v>45754</v>
      </c>
      <c r="F2846" s="1">
        <v>45812</v>
      </c>
      <c r="G2846" s="1">
        <v>45812</v>
      </c>
      <c r="H2846" t="s">
        <v>28</v>
      </c>
      <c r="I2846">
        <v>1</v>
      </c>
      <c r="J2846">
        <v>15</v>
      </c>
      <c r="K2846">
        <v>204000</v>
      </c>
      <c r="L2846">
        <v>100</v>
      </c>
      <c r="M2846" t="s">
        <v>29</v>
      </c>
      <c r="N2846" t="str">
        <f>_xlfn.XLOOKUP(B2846,tblCustomers[customer_id],tblCustomers[region],"Missing")</f>
        <v>North</v>
      </c>
      <c r="O2846" t="str">
        <f>_xlfn.XLOOKUP(C2846,tblProducts[product_id],tblProducts[product_name],"Missing")</f>
        <v>Workflow Automate</v>
      </c>
      <c r="P2846" t="str">
        <f>_xlfn.XLOOKUP(C2846,tblProducts[product_id],tblProducts[category],"Missing")</f>
        <v>Automation</v>
      </c>
      <c r="Q2846" t="str">
        <f>_xlfn.XLOOKUP(D2846,tblSalesReps[rep_id],tblSalesReps[rep_name],"Missing")</f>
        <v>Sales Rep 06</v>
      </c>
      <c r="R2846" t="str">
        <f>_xlfn.XLOOKUP(D2846,tblSalesReps[rep_id],tblSalesReps[region],"Missing")</f>
        <v>North</v>
      </c>
    </row>
    <row r="2847" spans="1:18">
      <c r="A2847" t="s">
        <v>3391</v>
      </c>
      <c r="B2847" t="s">
        <v>471</v>
      </c>
      <c r="C2847" t="s">
        <v>62</v>
      </c>
      <c r="D2847" t="s">
        <v>119</v>
      </c>
      <c r="E2847" s="1">
        <v>45908</v>
      </c>
      <c r="F2847" s="1">
        <v>45986</v>
      </c>
      <c r="G2847" s="1">
        <v>45986</v>
      </c>
      <c r="H2847" t="s">
        <v>28</v>
      </c>
      <c r="I2847">
        <v>1</v>
      </c>
      <c r="J2847">
        <v>0</v>
      </c>
      <c r="K2847">
        <v>120000</v>
      </c>
      <c r="L2847">
        <v>100</v>
      </c>
      <c r="M2847" t="s">
        <v>29</v>
      </c>
      <c r="N2847" t="str">
        <f>_xlfn.XLOOKUP(B2847,tblCustomers[customer_id],tblCustomers[region],"Missing")</f>
        <v>North</v>
      </c>
      <c r="O2847" t="str">
        <f>_xlfn.XLOOKUP(C2847,tblProducts[product_id],tblProducts[product_name],"Missing")</f>
        <v>CRM Essentials</v>
      </c>
      <c r="P2847" t="str">
        <f>_xlfn.XLOOKUP(C2847,tblProducts[product_id],tblProducts[category],"Missing")</f>
        <v>CRM</v>
      </c>
      <c r="Q2847" t="str">
        <f>_xlfn.XLOOKUP(D2847,tblSalesReps[rep_id],tblSalesReps[rep_name],"Missing")</f>
        <v>Sales Rep 10</v>
      </c>
      <c r="R2847" t="str">
        <f>_xlfn.XLOOKUP(D2847,tblSalesReps[rep_id],tblSalesReps[region],"Missing")</f>
        <v>North</v>
      </c>
    </row>
    <row r="2848" spans="1:18">
      <c r="A2848" t="s">
        <v>3392</v>
      </c>
      <c r="B2848" t="s">
        <v>677</v>
      </c>
      <c r="C2848" t="s">
        <v>15</v>
      </c>
      <c r="D2848" t="s">
        <v>152</v>
      </c>
      <c r="E2848" s="1">
        <v>45998</v>
      </c>
      <c r="F2848" s="1">
        <v>46011</v>
      </c>
      <c r="G2848" s="1">
        <v>46011</v>
      </c>
      <c r="H2848" t="s">
        <v>17</v>
      </c>
      <c r="I2848">
        <v>3</v>
      </c>
      <c r="J2848">
        <v>15</v>
      </c>
      <c r="K2848">
        <v>1071000</v>
      </c>
      <c r="L2848">
        <v>0</v>
      </c>
      <c r="M2848" t="s">
        <v>82</v>
      </c>
      <c r="N2848" t="str">
        <f>_xlfn.XLOOKUP(B2848,tblCustomers[customer_id],tblCustomers[region],"Missing")</f>
        <v>East</v>
      </c>
      <c r="O2848" t="str">
        <f>_xlfn.XLOOKUP(C2848,tblProducts[product_id],tblProducts[product_name],"Missing")</f>
        <v>CRM Enterprise</v>
      </c>
      <c r="P2848" t="str">
        <f>_xlfn.XLOOKUP(C2848,tblProducts[product_id],tblProducts[category],"Missing")</f>
        <v>CRM</v>
      </c>
      <c r="Q2848" t="str">
        <f>_xlfn.XLOOKUP(D2848,tblSalesReps[rep_id],tblSalesReps[rep_name],"Missing")</f>
        <v>Sales Rep 18</v>
      </c>
      <c r="R2848" t="str">
        <f>_xlfn.XLOOKUP(D2848,tblSalesReps[rep_id],tblSalesReps[region],"Missing")</f>
        <v>East</v>
      </c>
    </row>
    <row r="2849" spans="1:18">
      <c r="A2849" t="s">
        <v>3393</v>
      </c>
      <c r="B2849" t="s">
        <v>133</v>
      </c>
      <c r="C2849" t="s">
        <v>26</v>
      </c>
      <c r="D2849" t="s">
        <v>50</v>
      </c>
      <c r="E2849" s="1">
        <v>46014</v>
      </c>
      <c r="F2849" s="1">
        <v>46052</v>
      </c>
      <c r="G2849" s="1"/>
      <c r="H2849" t="s">
        <v>43</v>
      </c>
      <c r="I2849">
        <v>1</v>
      </c>
      <c r="J2849">
        <v>0</v>
      </c>
      <c r="K2849">
        <v>360000</v>
      </c>
      <c r="L2849">
        <v>20</v>
      </c>
      <c r="M2849" t="s">
        <v>29</v>
      </c>
      <c r="N2849" t="str">
        <f>_xlfn.XLOOKUP(B2849,tblCustomers[customer_id],tblCustomers[region],"Missing")</f>
        <v>West</v>
      </c>
      <c r="O2849" t="str">
        <f>_xlfn.XLOOKUP(C2849,tblProducts[product_id],tblProducts[product_name],"Missing")</f>
        <v>Security Suite</v>
      </c>
      <c r="P2849" t="str">
        <f>_xlfn.XLOOKUP(C2849,tblProducts[product_id],tblProducts[category],"Missing")</f>
        <v>Security</v>
      </c>
      <c r="Q2849" t="str">
        <f>_xlfn.XLOOKUP(D2849,tblSalesReps[rep_id],tblSalesReps[rep_name],"Missing")</f>
        <v>Sales Rep 15</v>
      </c>
      <c r="R2849" t="str">
        <f>_xlfn.XLOOKUP(D2849,tblSalesReps[rep_id],tblSalesReps[region],"Missing")</f>
        <v>West</v>
      </c>
    </row>
    <row r="2850" spans="1:18">
      <c r="A2850" t="s">
        <v>3394</v>
      </c>
      <c r="B2850" t="s">
        <v>1639</v>
      </c>
      <c r="C2850" t="s">
        <v>15</v>
      </c>
      <c r="D2850" t="s">
        <v>36</v>
      </c>
      <c r="E2850" s="1">
        <v>45883</v>
      </c>
      <c r="F2850" s="1">
        <v>45952</v>
      </c>
      <c r="G2850" s="1"/>
      <c r="H2850" t="s">
        <v>43</v>
      </c>
      <c r="I2850">
        <v>2</v>
      </c>
      <c r="J2850">
        <v>10</v>
      </c>
      <c r="K2850">
        <v>756000</v>
      </c>
      <c r="L2850">
        <v>60</v>
      </c>
      <c r="M2850" t="s">
        <v>29</v>
      </c>
      <c r="N2850" t="str">
        <f>_xlfn.XLOOKUP(B2850,tblCustomers[customer_id],tblCustomers[region],"Missing")</f>
        <v>North</v>
      </c>
      <c r="O2850" t="str">
        <f>_xlfn.XLOOKUP(C2850,tblProducts[product_id],tblProducts[product_name],"Missing")</f>
        <v>CRM Enterprise</v>
      </c>
      <c r="P2850" t="str">
        <f>_xlfn.XLOOKUP(C2850,tblProducts[product_id],tblProducts[category],"Missing")</f>
        <v>CRM</v>
      </c>
      <c r="Q2850" t="str">
        <f>_xlfn.XLOOKUP(D2850,tblSalesReps[rep_id],tblSalesReps[rep_name],"Missing")</f>
        <v>Sales Rep 09</v>
      </c>
      <c r="R2850" t="str">
        <f>_xlfn.XLOOKUP(D2850,tblSalesReps[rep_id],tblSalesReps[region],"Missing")</f>
        <v>North</v>
      </c>
    </row>
    <row r="2851" spans="1:18">
      <c r="A2851" t="s">
        <v>3395</v>
      </c>
      <c r="B2851" t="s">
        <v>533</v>
      </c>
      <c r="C2851" t="s">
        <v>62</v>
      </c>
      <c r="D2851" t="s">
        <v>27</v>
      </c>
      <c r="E2851" s="1">
        <v>45924</v>
      </c>
      <c r="F2851" s="1">
        <v>45938</v>
      </c>
      <c r="G2851" s="1">
        <v>45938</v>
      </c>
      <c r="H2851" t="s">
        <v>28</v>
      </c>
      <c r="I2851">
        <v>1</v>
      </c>
      <c r="J2851">
        <v>5</v>
      </c>
      <c r="K2851">
        <v>114000</v>
      </c>
      <c r="L2851">
        <v>100</v>
      </c>
      <c r="M2851" t="s">
        <v>29</v>
      </c>
      <c r="N2851" t="str">
        <f>_xlfn.XLOOKUP(B2851,tblCustomers[customer_id],tblCustomers[region],"Missing")</f>
        <v>North</v>
      </c>
      <c r="O2851" t="str">
        <f>_xlfn.XLOOKUP(C2851,tblProducts[product_id],tblProducts[product_name],"Missing")</f>
        <v>CRM Essentials</v>
      </c>
      <c r="P2851" t="str">
        <f>_xlfn.XLOOKUP(C2851,tblProducts[product_id],tblProducts[category],"Missing")</f>
        <v>CRM</v>
      </c>
      <c r="Q2851" t="str">
        <f>_xlfn.XLOOKUP(D2851,tblSalesReps[rep_id],tblSalesReps[rep_name],"Missing")</f>
        <v>Sales Rep 06</v>
      </c>
      <c r="R2851" t="str">
        <f>_xlfn.XLOOKUP(D2851,tblSalesReps[rep_id],tblSalesReps[region],"Missing")</f>
        <v>North</v>
      </c>
    </row>
    <row r="2852" spans="1:18">
      <c r="A2852" t="s">
        <v>3396</v>
      </c>
      <c r="B2852" t="s">
        <v>880</v>
      </c>
      <c r="C2852" t="s">
        <v>26</v>
      </c>
      <c r="D2852" t="s">
        <v>70</v>
      </c>
      <c r="E2852" s="1">
        <v>45906</v>
      </c>
      <c r="F2852" s="1">
        <v>45930</v>
      </c>
      <c r="G2852" s="1">
        <v>45930</v>
      </c>
      <c r="H2852" t="s">
        <v>28</v>
      </c>
      <c r="I2852">
        <v>1</v>
      </c>
      <c r="J2852">
        <v>5</v>
      </c>
      <c r="K2852">
        <v>342000</v>
      </c>
      <c r="L2852">
        <v>100</v>
      </c>
      <c r="M2852" t="s">
        <v>29</v>
      </c>
      <c r="N2852" t="str">
        <f>_xlfn.XLOOKUP(B2852,tblCustomers[customer_id],tblCustomers[region],"Missing")</f>
        <v>West</v>
      </c>
      <c r="O2852" t="str">
        <f>_xlfn.XLOOKUP(C2852,tblProducts[product_id],tblProducts[product_name],"Missing")</f>
        <v>Security Suite</v>
      </c>
      <c r="P2852" t="str">
        <f>_xlfn.XLOOKUP(C2852,tblProducts[product_id],tblProducts[category],"Missing")</f>
        <v>Security</v>
      </c>
      <c r="Q2852" t="str">
        <f>_xlfn.XLOOKUP(D2852,tblSalesReps[rep_id],tblSalesReps[rep_name],"Missing")</f>
        <v>Sales Rep 11</v>
      </c>
      <c r="R2852" t="str">
        <f>_xlfn.XLOOKUP(D2852,tblSalesReps[rep_id],tblSalesReps[region],"Missing")</f>
        <v>West</v>
      </c>
    </row>
    <row r="2853" spans="1:18">
      <c r="A2853" t="s">
        <v>3397</v>
      </c>
      <c r="B2853" t="s">
        <v>1400</v>
      </c>
      <c r="C2853" t="s">
        <v>62</v>
      </c>
      <c r="D2853" t="s">
        <v>50</v>
      </c>
      <c r="E2853" s="1">
        <v>45794</v>
      </c>
      <c r="F2853" s="1">
        <v>45866</v>
      </c>
      <c r="G2853" s="1">
        <v>45866</v>
      </c>
      <c r="H2853" t="s">
        <v>17</v>
      </c>
      <c r="I2853">
        <v>2</v>
      </c>
      <c r="J2853">
        <v>20</v>
      </c>
      <c r="K2853">
        <v>192000</v>
      </c>
      <c r="L2853">
        <v>0</v>
      </c>
      <c r="M2853" t="s">
        <v>33</v>
      </c>
      <c r="N2853" t="str">
        <f>_xlfn.XLOOKUP(B2853,tblCustomers[customer_id],tblCustomers[region],"Missing")</f>
        <v>West</v>
      </c>
      <c r="O2853" t="str">
        <f>_xlfn.XLOOKUP(C2853,tblProducts[product_id],tblProducts[product_name],"Missing")</f>
        <v>CRM Essentials</v>
      </c>
      <c r="P2853" t="str">
        <f>_xlfn.XLOOKUP(C2853,tblProducts[product_id],tblProducts[category],"Missing")</f>
        <v>CRM</v>
      </c>
      <c r="Q2853" t="str">
        <f>_xlfn.XLOOKUP(D2853,tblSalesReps[rep_id],tblSalesReps[rep_name],"Missing")</f>
        <v>Sales Rep 15</v>
      </c>
      <c r="R2853" t="str">
        <f>_xlfn.XLOOKUP(D2853,tblSalesReps[rep_id],tblSalesReps[region],"Missing")</f>
        <v>West</v>
      </c>
    </row>
    <row r="2854" spans="1:18">
      <c r="A2854" t="s">
        <v>3398</v>
      </c>
      <c r="B2854" t="s">
        <v>114</v>
      </c>
      <c r="C2854" t="s">
        <v>39</v>
      </c>
      <c r="D2854" t="s">
        <v>53</v>
      </c>
      <c r="E2854" s="1">
        <v>45892</v>
      </c>
      <c r="F2854" s="1">
        <v>45976</v>
      </c>
      <c r="G2854" s="1"/>
      <c r="H2854" t="s">
        <v>43</v>
      </c>
      <c r="I2854">
        <v>1</v>
      </c>
      <c r="J2854">
        <v>15</v>
      </c>
      <c r="K2854">
        <v>153000</v>
      </c>
      <c r="L2854">
        <v>20</v>
      </c>
      <c r="M2854" t="s">
        <v>29</v>
      </c>
      <c r="N2854" t="str">
        <f>_xlfn.XLOOKUP(B2854,tblCustomers[customer_id],tblCustomers[region],"Missing")</f>
        <v>East</v>
      </c>
      <c r="O2854" t="str">
        <f>_xlfn.XLOOKUP(C2854,tblProducts[product_id],tblProducts[product_name],"Missing")</f>
        <v>Support Desk</v>
      </c>
      <c r="P2854" t="str">
        <f>_xlfn.XLOOKUP(C2854,tblProducts[product_id],tblProducts[category],"Missing")</f>
        <v>Service</v>
      </c>
      <c r="Q2854" t="str">
        <f>_xlfn.XLOOKUP(D2854,tblSalesReps[rep_id],tblSalesReps[rep_name],"Missing")</f>
        <v>Sales Rep 16</v>
      </c>
      <c r="R2854" t="str">
        <f>_xlfn.XLOOKUP(D2854,tblSalesReps[rep_id],tblSalesReps[region],"Missing")</f>
        <v>East</v>
      </c>
    </row>
    <row r="2855" spans="1:18">
      <c r="A2855" t="s">
        <v>3399</v>
      </c>
      <c r="B2855" t="s">
        <v>1716</v>
      </c>
      <c r="C2855" t="s">
        <v>39</v>
      </c>
      <c r="D2855" t="s">
        <v>91</v>
      </c>
      <c r="E2855" s="1">
        <v>45707</v>
      </c>
      <c r="F2855" s="1">
        <v>45740</v>
      </c>
      <c r="G2855" s="1">
        <v>45740</v>
      </c>
      <c r="H2855" t="s">
        <v>28</v>
      </c>
      <c r="I2855">
        <v>1</v>
      </c>
      <c r="J2855">
        <v>15</v>
      </c>
      <c r="K2855">
        <v>153000</v>
      </c>
      <c r="L2855">
        <v>100</v>
      </c>
      <c r="M2855" t="s">
        <v>29</v>
      </c>
      <c r="N2855" t="str">
        <f>_xlfn.XLOOKUP(B2855,tblCustomers[customer_id],tblCustomers[region],"Missing")</f>
        <v>South</v>
      </c>
      <c r="O2855" t="str">
        <f>_xlfn.XLOOKUP(C2855,tblProducts[product_id],tblProducts[product_name],"Missing")</f>
        <v>Support Desk</v>
      </c>
      <c r="P2855" t="str">
        <f>_xlfn.XLOOKUP(C2855,tblProducts[product_id],tblProducts[category],"Missing")</f>
        <v>Service</v>
      </c>
      <c r="Q2855" t="str">
        <f>_xlfn.XLOOKUP(D2855,tblSalesReps[rep_id],tblSalesReps[rep_name],"Missing")</f>
        <v>Sales Rep 03</v>
      </c>
      <c r="R2855" t="str">
        <f>_xlfn.XLOOKUP(D2855,tblSalesReps[rep_id],tblSalesReps[region],"Missing")</f>
        <v>South</v>
      </c>
    </row>
    <row r="2856" spans="1:18">
      <c r="A2856" t="s">
        <v>3400</v>
      </c>
      <c r="B2856" t="s">
        <v>1024</v>
      </c>
      <c r="C2856" t="s">
        <v>21</v>
      </c>
      <c r="D2856" t="s">
        <v>78</v>
      </c>
      <c r="E2856" s="1">
        <v>45791</v>
      </c>
      <c r="F2856" s="1">
        <v>45832</v>
      </c>
      <c r="G2856" s="1">
        <v>45832</v>
      </c>
      <c r="H2856" t="s">
        <v>28</v>
      </c>
      <c r="I2856">
        <v>1</v>
      </c>
      <c r="J2856">
        <v>0</v>
      </c>
      <c r="K2856">
        <v>240000</v>
      </c>
      <c r="L2856">
        <v>100</v>
      </c>
      <c r="M2856" t="s">
        <v>29</v>
      </c>
      <c r="N2856" t="str">
        <f>_xlfn.XLOOKUP(B2856,tblCustomers[customer_id],tblCustomers[region],"Missing")</f>
        <v>West</v>
      </c>
      <c r="O2856" t="str">
        <f>_xlfn.XLOOKUP(C2856,tblProducts[product_id],tblProducts[product_name],"Missing")</f>
        <v>Workflow Automate</v>
      </c>
      <c r="P2856" t="str">
        <f>_xlfn.XLOOKUP(C2856,tblProducts[product_id],tblProducts[category],"Missing")</f>
        <v>Automation</v>
      </c>
      <c r="Q2856" t="str">
        <f>_xlfn.XLOOKUP(D2856,tblSalesReps[rep_id],tblSalesReps[rep_name],"Missing")</f>
        <v>Sales Rep 12</v>
      </c>
      <c r="R2856" t="str">
        <f>_xlfn.XLOOKUP(D2856,tblSalesReps[rep_id],tblSalesReps[region],"Missing")</f>
        <v>West</v>
      </c>
    </row>
    <row r="2857" spans="1:18">
      <c r="A2857" t="s">
        <v>3401</v>
      </c>
      <c r="B2857" t="s">
        <v>282</v>
      </c>
      <c r="C2857" t="s">
        <v>39</v>
      </c>
      <c r="D2857" t="s">
        <v>59</v>
      </c>
      <c r="E2857" s="1">
        <v>46010</v>
      </c>
      <c r="F2857" s="1">
        <v>46020</v>
      </c>
      <c r="G2857" s="1">
        <v>46020</v>
      </c>
      <c r="H2857" t="s">
        <v>28</v>
      </c>
      <c r="I2857">
        <v>3</v>
      </c>
      <c r="J2857">
        <v>10</v>
      </c>
      <c r="K2857">
        <v>486000</v>
      </c>
      <c r="L2857">
        <v>100</v>
      </c>
      <c r="M2857" t="s">
        <v>29</v>
      </c>
      <c r="N2857" t="str">
        <f>_xlfn.XLOOKUP(B2857,tblCustomers[customer_id],tblCustomers[region],"Missing")</f>
        <v>East</v>
      </c>
      <c r="O2857" t="str">
        <f>_xlfn.XLOOKUP(C2857,tblProducts[product_id],tblProducts[product_name],"Missing")</f>
        <v>Support Desk</v>
      </c>
      <c r="P2857" t="str">
        <f>_xlfn.XLOOKUP(C2857,tblProducts[product_id],tblProducts[category],"Missing")</f>
        <v>Service</v>
      </c>
      <c r="Q2857" t="str">
        <f>_xlfn.XLOOKUP(D2857,tblSalesReps[rep_id],tblSalesReps[rep_name],"Missing")</f>
        <v>Sales Rep 19</v>
      </c>
      <c r="R2857" t="str">
        <f>_xlfn.XLOOKUP(D2857,tblSalesReps[rep_id],tblSalesReps[region],"Missing")</f>
        <v>East</v>
      </c>
    </row>
    <row r="2858" spans="1:18">
      <c r="A2858" t="s">
        <v>3402</v>
      </c>
      <c r="B2858" t="s">
        <v>3102</v>
      </c>
      <c r="C2858" t="s">
        <v>81</v>
      </c>
      <c r="D2858" t="s">
        <v>126</v>
      </c>
      <c r="E2858" s="1">
        <v>45716</v>
      </c>
      <c r="F2858" s="1">
        <v>45748</v>
      </c>
      <c r="G2858" s="1"/>
      <c r="H2858" t="s">
        <v>43</v>
      </c>
      <c r="I2858">
        <v>1</v>
      </c>
      <c r="J2858">
        <v>10</v>
      </c>
      <c r="K2858">
        <v>270000</v>
      </c>
      <c r="L2858">
        <v>60</v>
      </c>
      <c r="M2858" t="s">
        <v>29</v>
      </c>
      <c r="N2858" t="str">
        <f>_xlfn.XLOOKUP(B2858,tblCustomers[customer_id],tblCustomers[region],"Missing")</f>
        <v>South</v>
      </c>
      <c r="O2858" t="str">
        <f>_xlfn.XLOOKUP(C2858,tblProducts[product_id],tblProducts[product_name],"Missing")</f>
        <v>Analytics Cloud</v>
      </c>
      <c r="P2858" t="str">
        <f>_xlfn.XLOOKUP(C2858,tblProducts[product_id],tblProducts[category],"Missing")</f>
        <v>Analytics</v>
      </c>
      <c r="Q2858" t="str">
        <f>_xlfn.XLOOKUP(D2858,tblSalesReps[rep_id],tblSalesReps[rep_name],"Missing")</f>
        <v>Sales Rep 02</v>
      </c>
      <c r="R2858" t="str">
        <f>_xlfn.XLOOKUP(D2858,tblSalesReps[rep_id],tblSalesReps[region],"Missing")</f>
        <v>South</v>
      </c>
    </row>
    <row r="2859" spans="1:18">
      <c r="A2859" t="s">
        <v>3403</v>
      </c>
      <c r="B2859" t="s">
        <v>406</v>
      </c>
      <c r="C2859" t="s">
        <v>62</v>
      </c>
      <c r="D2859" t="s">
        <v>27</v>
      </c>
      <c r="E2859" s="1">
        <v>45924</v>
      </c>
      <c r="F2859" s="1">
        <v>46004</v>
      </c>
      <c r="G2859" s="1"/>
      <c r="H2859" t="s">
        <v>43</v>
      </c>
      <c r="I2859">
        <v>1</v>
      </c>
      <c r="J2859">
        <v>10</v>
      </c>
      <c r="K2859">
        <v>108000</v>
      </c>
      <c r="L2859">
        <v>20</v>
      </c>
      <c r="M2859" t="s">
        <v>29</v>
      </c>
      <c r="N2859" t="str">
        <f>_xlfn.XLOOKUP(B2859,tblCustomers[customer_id],tblCustomers[region],"Missing")</f>
        <v>North</v>
      </c>
      <c r="O2859" t="str">
        <f>_xlfn.XLOOKUP(C2859,tblProducts[product_id],tblProducts[product_name],"Missing")</f>
        <v>CRM Essentials</v>
      </c>
      <c r="P2859" t="str">
        <f>_xlfn.XLOOKUP(C2859,tblProducts[product_id],tblProducts[category],"Missing")</f>
        <v>CRM</v>
      </c>
      <c r="Q2859" t="str">
        <f>_xlfn.XLOOKUP(D2859,tblSalesReps[rep_id],tblSalesReps[rep_name],"Missing")</f>
        <v>Sales Rep 06</v>
      </c>
      <c r="R2859" t="str">
        <f>_xlfn.XLOOKUP(D2859,tblSalesReps[rep_id],tblSalesReps[region],"Missing")</f>
        <v>North</v>
      </c>
    </row>
    <row r="2860" spans="1:18">
      <c r="A2860" t="s">
        <v>3404</v>
      </c>
      <c r="B2860" t="s">
        <v>99</v>
      </c>
      <c r="C2860" t="s">
        <v>26</v>
      </c>
      <c r="D2860" t="s">
        <v>91</v>
      </c>
      <c r="E2860" s="1">
        <v>45751</v>
      </c>
      <c r="F2860" s="1">
        <v>45820</v>
      </c>
      <c r="G2860" s="1"/>
      <c r="H2860" t="s">
        <v>43</v>
      </c>
      <c r="I2860">
        <v>1</v>
      </c>
      <c r="J2860">
        <v>5</v>
      </c>
      <c r="K2860">
        <v>342000</v>
      </c>
      <c r="L2860">
        <v>20</v>
      </c>
      <c r="M2860" t="s">
        <v>29</v>
      </c>
      <c r="N2860" t="str">
        <f>_xlfn.XLOOKUP(B2860,tblCustomers[customer_id],tblCustomers[region],"Missing")</f>
        <v>South</v>
      </c>
      <c r="O2860" t="str">
        <f>_xlfn.XLOOKUP(C2860,tblProducts[product_id],tblProducts[product_name],"Missing")</f>
        <v>Security Suite</v>
      </c>
      <c r="P2860" t="str">
        <f>_xlfn.XLOOKUP(C2860,tblProducts[product_id],tblProducts[category],"Missing")</f>
        <v>Security</v>
      </c>
      <c r="Q2860" t="str">
        <f>_xlfn.XLOOKUP(D2860,tblSalesReps[rep_id],tblSalesReps[rep_name],"Missing")</f>
        <v>Sales Rep 03</v>
      </c>
      <c r="R2860" t="str">
        <f>_xlfn.XLOOKUP(D2860,tblSalesReps[rep_id],tblSalesReps[region],"Missing")</f>
        <v>South</v>
      </c>
    </row>
    <row r="2861" spans="1:18">
      <c r="A2861" t="s">
        <v>3405</v>
      </c>
      <c r="B2861" t="s">
        <v>25</v>
      </c>
      <c r="C2861" t="s">
        <v>81</v>
      </c>
      <c r="D2861" t="s">
        <v>36</v>
      </c>
      <c r="E2861" s="1">
        <v>45741</v>
      </c>
      <c r="F2861" s="1">
        <v>45809</v>
      </c>
      <c r="G2861" s="1"/>
      <c r="H2861" t="s">
        <v>43</v>
      </c>
      <c r="I2861">
        <v>2</v>
      </c>
      <c r="J2861">
        <v>20</v>
      </c>
      <c r="K2861">
        <v>480000</v>
      </c>
      <c r="L2861">
        <v>60</v>
      </c>
      <c r="M2861" t="s">
        <v>29</v>
      </c>
      <c r="N2861" t="str">
        <f>_xlfn.XLOOKUP(B2861,tblCustomers[customer_id],tblCustomers[region],"Missing")</f>
        <v>North</v>
      </c>
      <c r="O2861" t="str">
        <f>_xlfn.XLOOKUP(C2861,tblProducts[product_id],tblProducts[product_name],"Missing")</f>
        <v>Analytics Cloud</v>
      </c>
      <c r="P2861" t="str">
        <f>_xlfn.XLOOKUP(C2861,tblProducts[product_id],tblProducts[category],"Missing")</f>
        <v>Analytics</v>
      </c>
      <c r="Q2861" t="str">
        <f>_xlfn.XLOOKUP(D2861,tblSalesReps[rep_id],tblSalesReps[rep_name],"Missing")</f>
        <v>Sales Rep 09</v>
      </c>
      <c r="R2861" t="str">
        <f>_xlfn.XLOOKUP(D2861,tblSalesReps[rep_id],tblSalesReps[region],"Missing")</f>
        <v>North</v>
      </c>
    </row>
    <row r="2862" spans="1:18">
      <c r="A2862" t="s">
        <v>3406</v>
      </c>
      <c r="B2862" t="s">
        <v>418</v>
      </c>
      <c r="C2862" t="s">
        <v>15</v>
      </c>
      <c r="D2862" t="s">
        <v>46</v>
      </c>
      <c r="E2862" s="1">
        <v>46020</v>
      </c>
      <c r="F2862" s="1">
        <v>46038</v>
      </c>
      <c r="G2862" s="1"/>
      <c r="H2862" t="s">
        <v>43</v>
      </c>
      <c r="I2862">
        <v>2</v>
      </c>
      <c r="J2862">
        <v>10</v>
      </c>
      <c r="K2862">
        <v>756000</v>
      </c>
      <c r="L2862">
        <v>20</v>
      </c>
      <c r="M2862" t="s">
        <v>29</v>
      </c>
      <c r="N2862" t="str">
        <f>_xlfn.XLOOKUP(B2862,tblCustomers[customer_id],tblCustomers[region],"Missing")</f>
        <v>South</v>
      </c>
      <c r="O2862" t="str">
        <f>_xlfn.XLOOKUP(C2862,tblProducts[product_id],tblProducts[product_name],"Missing")</f>
        <v>CRM Enterprise</v>
      </c>
      <c r="P2862" t="str">
        <f>_xlfn.XLOOKUP(C2862,tblProducts[product_id],tblProducts[category],"Missing")</f>
        <v>CRM</v>
      </c>
      <c r="Q2862" t="str">
        <f>_xlfn.XLOOKUP(D2862,tblSalesReps[rep_id],tblSalesReps[rep_name],"Missing")</f>
        <v>Sales Rep 01</v>
      </c>
      <c r="R2862" t="str">
        <f>_xlfn.XLOOKUP(D2862,tblSalesReps[rep_id],tblSalesReps[region],"Missing")</f>
        <v>South</v>
      </c>
    </row>
    <row r="2863" spans="1:18">
      <c r="A2863" t="s">
        <v>3407</v>
      </c>
      <c r="B2863" t="s">
        <v>358</v>
      </c>
      <c r="C2863" t="s">
        <v>81</v>
      </c>
      <c r="D2863" t="s">
        <v>16</v>
      </c>
      <c r="E2863" s="1">
        <v>45705</v>
      </c>
      <c r="F2863" s="1">
        <v>45762</v>
      </c>
      <c r="G2863" s="1">
        <v>45762</v>
      </c>
      <c r="H2863" t="s">
        <v>17</v>
      </c>
      <c r="I2863">
        <v>1</v>
      </c>
      <c r="J2863">
        <v>15</v>
      </c>
      <c r="K2863">
        <v>255000</v>
      </c>
      <c r="L2863">
        <v>0</v>
      </c>
      <c r="M2863" t="s">
        <v>18</v>
      </c>
      <c r="N2863" t="str">
        <f>_xlfn.XLOOKUP(B2863,tblCustomers[customer_id],tblCustomers[region],"Missing")</f>
        <v>North</v>
      </c>
      <c r="O2863" t="str">
        <f>_xlfn.XLOOKUP(C2863,tblProducts[product_id],tblProducts[product_name],"Missing")</f>
        <v>Analytics Cloud</v>
      </c>
      <c r="P2863" t="str">
        <f>_xlfn.XLOOKUP(C2863,tblProducts[product_id],tblProducts[category],"Missing")</f>
        <v>Analytics</v>
      </c>
      <c r="Q2863" t="str">
        <f>_xlfn.XLOOKUP(D2863,tblSalesReps[rep_id],tblSalesReps[rep_name],"Missing")</f>
        <v>Sales Rep 08</v>
      </c>
      <c r="R2863" t="str">
        <f>_xlfn.XLOOKUP(D2863,tblSalesReps[rep_id],tblSalesReps[region],"Missing")</f>
        <v>North</v>
      </c>
    </row>
    <row r="2864" spans="1:18">
      <c r="A2864" t="s">
        <v>3408</v>
      </c>
      <c r="B2864" t="s">
        <v>1117</v>
      </c>
      <c r="C2864" t="s">
        <v>21</v>
      </c>
      <c r="D2864" t="s">
        <v>22</v>
      </c>
      <c r="E2864" s="1">
        <v>45894</v>
      </c>
      <c r="F2864" s="1">
        <v>45960</v>
      </c>
      <c r="G2864" s="1">
        <v>45960</v>
      </c>
      <c r="H2864" t="s">
        <v>28</v>
      </c>
      <c r="I2864">
        <v>1</v>
      </c>
      <c r="J2864">
        <v>5</v>
      </c>
      <c r="K2864">
        <v>228000</v>
      </c>
      <c r="L2864">
        <v>100</v>
      </c>
      <c r="M2864" t="s">
        <v>29</v>
      </c>
      <c r="N2864" t="str">
        <f>_xlfn.XLOOKUP(B2864,tblCustomers[customer_id],tblCustomers[region],"Missing")</f>
        <v>West</v>
      </c>
      <c r="O2864" t="str">
        <f>_xlfn.XLOOKUP(C2864,tblProducts[product_id],tblProducts[product_name],"Missing")</f>
        <v>Workflow Automate</v>
      </c>
      <c r="P2864" t="str">
        <f>_xlfn.XLOOKUP(C2864,tblProducts[product_id],tblProducts[category],"Missing")</f>
        <v>Automation</v>
      </c>
      <c r="Q2864" t="str">
        <f>_xlfn.XLOOKUP(D2864,tblSalesReps[rep_id],tblSalesReps[rep_name],"Missing")</f>
        <v>Sales Rep 14</v>
      </c>
      <c r="R2864" t="str">
        <f>_xlfn.XLOOKUP(D2864,tblSalesReps[rep_id],tblSalesReps[region],"Missing")</f>
        <v>West</v>
      </c>
    </row>
    <row r="2865" spans="1:18">
      <c r="A2865" t="s">
        <v>3409</v>
      </c>
      <c r="B2865" t="s">
        <v>727</v>
      </c>
      <c r="C2865" t="s">
        <v>15</v>
      </c>
      <c r="D2865" t="s">
        <v>22</v>
      </c>
      <c r="E2865" s="1">
        <v>45953</v>
      </c>
      <c r="F2865" s="1">
        <v>45980</v>
      </c>
      <c r="G2865" s="1"/>
      <c r="H2865" t="s">
        <v>43</v>
      </c>
      <c r="I2865">
        <v>1</v>
      </c>
      <c r="J2865">
        <v>10</v>
      </c>
      <c r="K2865">
        <v>378000</v>
      </c>
      <c r="L2865">
        <v>60</v>
      </c>
      <c r="M2865" t="s">
        <v>29</v>
      </c>
      <c r="N2865" t="str">
        <f>_xlfn.XLOOKUP(B2865,tblCustomers[customer_id],tblCustomers[region],"Missing")</f>
        <v>West</v>
      </c>
      <c r="O2865" t="str">
        <f>_xlfn.XLOOKUP(C2865,tblProducts[product_id],tblProducts[product_name],"Missing")</f>
        <v>CRM Enterprise</v>
      </c>
      <c r="P2865" t="str">
        <f>_xlfn.XLOOKUP(C2865,tblProducts[product_id],tblProducts[category],"Missing")</f>
        <v>CRM</v>
      </c>
      <c r="Q2865" t="str">
        <f>_xlfn.XLOOKUP(D2865,tblSalesReps[rep_id],tblSalesReps[rep_name],"Missing")</f>
        <v>Sales Rep 14</v>
      </c>
      <c r="R2865" t="str">
        <f>_xlfn.XLOOKUP(D2865,tblSalesReps[rep_id],tblSalesReps[region],"Missing")</f>
        <v>West</v>
      </c>
    </row>
    <row r="2866" spans="1:18">
      <c r="A2866" t="s">
        <v>3410</v>
      </c>
      <c r="B2866" t="s">
        <v>385</v>
      </c>
      <c r="C2866" t="s">
        <v>81</v>
      </c>
      <c r="D2866" t="s">
        <v>56</v>
      </c>
      <c r="E2866" s="1">
        <v>45984</v>
      </c>
      <c r="F2866" s="1">
        <v>46044</v>
      </c>
      <c r="G2866" s="1"/>
      <c r="H2866" t="s">
        <v>43</v>
      </c>
      <c r="I2866">
        <v>1</v>
      </c>
      <c r="J2866">
        <v>15</v>
      </c>
      <c r="K2866">
        <v>255000</v>
      </c>
      <c r="L2866">
        <v>60</v>
      </c>
      <c r="M2866" t="s">
        <v>29</v>
      </c>
      <c r="N2866" t="str">
        <f>_xlfn.XLOOKUP(B2866,tblCustomers[customer_id],tblCustomers[region],"Missing")</f>
        <v>East</v>
      </c>
      <c r="O2866" t="str">
        <f>_xlfn.XLOOKUP(C2866,tblProducts[product_id],tblProducts[product_name],"Missing")</f>
        <v>Analytics Cloud</v>
      </c>
      <c r="P2866" t="str">
        <f>_xlfn.XLOOKUP(C2866,tblProducts[product_id],tblProducts[category],"Missing")</f>
        <v>Analytics</v>
      </c>
      <c r="Q2866" t="str">
        <f>_xlfn.XLOOKUP(D2866,tblSalesReps[rep_id],tblSalesReps[rep_name],"Missing")</f>
        <v>Sales Rep 20</v>
      </c>
      <c r="R2866" t="str">
        <f>_xlfn.XLOOKUP(D2866,tblSalesReps[rep_id],tblSalesReps[region],"Missing")</f>
        <v>East</v>
      </c>
    </row>
    <row r="2867" spans="1:18">
      <c r="A2867" t="s">
        <v>3411</v>
      </c>
      <c r="B2867" t="s">
        <v>181</v>
      </c>
      <c r="C2867" t="s">
        <v>39</v>
      </c>
      <c r="D2867" t="s">
        <v>126</v>
      </c>
      <c r="E2867" s="1">
        <v>46015</v>
      </c>
      <c r="F2867" s="1">
        <v>46048</v>
      </c>
      <c r="G2867" s="1"/>
      <c r="H2867" t="s">
        <v>43</v>
      </c>
      <c r="I2867">
        <v>3</v>
      </c>
      <c r="J2867">
        <v>5</v>
      </c>
      <c r="K2867">
        <v>513000</v>
      </c>
      <c r="L2867">
        <v>40</v>
      </c>
      <c r="M2867" t="s">
        <v>29</v>
      </c>
      <c r="N2867" t="str">
        <f>_xlfn.XLOOKUP(B2867,tblCustomers[customer_id],tblCustomers[region],"Missing")</f>
        <v>South</v>
      </c>
      <c r="O2867" t="str">
        <f>_xlfn.XLOOKUP(C2867,tblProducts[product_id],tblProducts[product_name],"Missing")</f>
        <v>Support Desk</v>
      </c>
      <c r="P2867" t="str">
        <f>_xlfn.XLOOKUP(C2867,tblProducts[product_id],tblProducts[category],"Missing")</f>
        <v>Service</v>
      </c>
      <c r="Q2867" t="str">
        <f>_xlfn.XLOOKUP(D2867,tblSalesReps[rep_id],tblSalesReps[rep_name],"Missing")</f>
        <v>Sales Rep 02</v>
      </c>
      <c r="R2867" t="str">
        <f>_xlfn.XLOOKUP(D2867,tblSalesReps[rep_id],tblSalesReps[region],"Missing")</f>
        <v>South</v>
      </c>
    </row>
    <row r="2868" spans="1:18">
      <c r="A2868" t="s">
        <v>3412</v>
      </c>
      <c r="B2868" t="s">
        <v>1595</v>
      </c>
      <c r="C2868" t="s">
        <v>26</v>
      </c>
      <c r="D2868" t="s">
        <v>36</v>
      </c>
      <c r="E2868" s="1">
        <v>45824</v>
      </c>
      <c r="F2868" s="1">
        <v>45905</v>
      </c>
      <c r="G2868" s="1">
        <v>45905</v>
      </c>
      <c r="H2868" t="s">
        <v>28</v>
      </c>
      <c r="I2868">
        <v>1</v>
      </c>
      <c r="J2868">
        <v>10</v>
      </c>
      <c r="K2868">
        <v>324000</v>
      </c>
      <c r="L2868">
        <v>100</v>
      </c>
      <c r="M2868" t="s">
        <v>29</v>
      </c>
      <c r="N2868" t="str">
        <f>_xlfn.XLOOKUP(B2868,tblCustomers[customer_id],tblCustomers[region],"Missing")</f>
        <v>North</v>
      </c>
      <c r="O2868" t="str">
        <f>_xlfn.XLOOKUP(C2868,tblProducts[product_id],tblProducts[product_name],"Missing")</f>
        <v>Security Suite</v>
      </c>
      <c r="P2868" t="str">
        <f>_xlfn.XLOOKUP(C2868,tblProducts[product_id],tblProducts[category],"Missing")</f>
        <v>Security</v>
      </c>
      <c r="Q2868" t="str">
        <f>_xlfn.XLOOKUP(D2868,tblSalesReps[rep_id],tblSalesReps[rep_name],"Missing")</f>
        <v>Sales Rep 09</v>
      </c>
      <c r="R2868" t="str">
        <f>_xlfn.XLOOKUP(D2868,tblSalesReps[rep_id],tblSalesReps[region],"Missing")</f>
        <v>North</v>
      </c>
    </row>
    <row r="2869" spans="1:18">
      <c r="A2869" t="s">
        <v>3413</v>
      </c>
      <c r="B2869" t="s">
        <v>1080</v>
      </c>
      <c r="C2869" t="s">
        <v>62</v>
      </c>
      <c r="D2869" t="s">
        <v>168</v>
      </c>
      <c r="E2869" s="1">
        <v>45741</v>
      </c>
      <c r="F2869" s="1">
        <v>45787</v>
      </c>
      <c r="G2869" s="1">
        <v>45787</v>
      </c>
      <c r="H2869" t="s">
        <v>17</v>
      </c>
      <c r="I2869">
        <v>1</v>
      </c>
      <c r="J2869">
        <v>10</v>
      </c>
      <c r="K2869">
        <v>108000</v>
      </c>
      <c r="L2869">
        <v>0</v>
      </c>
      <c r="M2869" t="s">
        <v>33</v>
      </c>
      <c r="N2869" t="str">
        <f>_xlfn.XLOOKUP(B2869,tblCustomers[customer_id],tblCustomers[region],"Missing")</f>
        <v>East</v>
      </c>
      <c r="O2869" t="str">
        <f>_xlfn.XLOOKUP(C2869,tblProducts[product_id],tblProducts[product_name],"Missing")</f>
        <v>CRM Essentials</v>
      </c>
      <c r="P2869" t="str">
        <f>_xlfn.XLOOKUP(C2869,tblProducts[product_id],tblProducts[category],"Missing")</f>
        <v>CRM</v>
      </c>
      <c r="Q2869" t="str">
        <f>_xlfn.XLOOKUP(D2869,tblSalesReps[rep_id],tblSalesReps[rep_name],"Missing")</f>
        <v>Sales Rep 17</v>
      </c>
      <c r="R2869" t="str">
        <f>_xlfn.XLOOKUP(D2869,tblSalesReps[rep_id],tblSalesReps[region],"Missing")</f>
        <v>East</v>
      </c>
    </row>
    <row r="2870" spans="1:18">
      <c r="A2870" t="s">
        <v>3414</v>
      </c>
      <c r="B2870" t="s">
        <v>227</v>
      </c>
      <c r="C2870" t="s">
        <v>15</v>
      </c>
      <c r="D2870" t="s">
        <v>152</v>
      </c>
      <c r="E2870" s="1">
        <v>45909</v>
      </c>
      <c r="F2870" s="1">
        <v>45916</v>
      </c>
      <c r="G2870" s="1">
        <v>45916</v>
      </c>
      <c r="H2870" t="s">
        <v>17</v>
      </c>
      <c r="I2870">
        <v>1</v>
      </c>
      <c r="J2870">
        <v>20</v>
      </c>
      <c r="K2870">
        <v>336000</v>
      </c>
      <c r="L2870">
        <v>0</v>
      </c>
      <c r="M2870" t="s">
        <v>33</v>
      </c>
      <c r="N2870" t="str">
        <f>_xlfn.XLOOKUP(B2870,tblCustomers[customer_id],tblCustomers[region],"Missing")</f>
        <v>East</v>
      </c>
      <c r="O2870" t="str">
        <f>_xlfn.XLOOKUP(C2870,tblProducts[product_id],tblProducts[product_name],"Missing")</f>
        <v>CRM Enterprise</v>
      </c>
      <c r="P2870" t="str">
        <f>_xlfn.XLOOKUP(C2870,tblProducts[product_id],tblProducts[category],"Missing")</f>
        <v>CRM</v>
      </c>
      <c r="Q2870" t="str">
        <f>_xlfn.XLOOKUP(D2870,tblSalesReps[rep_id],tblSalesReps[rep_name],"Missing")</f>
        <v>Sales Rep 18</v>
      </c>
      <c r="R2870" t="str">
        <f>_xlfn.XLOOKUP(D2870,tblSalesReps[rep_id],tblSalesReps[region],"Missing")</f>
        <v>East</v>
      </c>
    </row>
    <row r="2871" spans="1:18">
      <c r="A2871" t="s">
        <v>3415</v>
      </c>
      <c r="B2871" t="s">
        <v>905</v>
      </c>
      <c r="C2871" t="s">
        <v>39</v>
      </c>
      <c r="D2871" t="s">
        <v>63</v>
      </c>
      <c r="E2871" s="1">
        <v>46004</v>
      </c>
      <c r="F2871" s="1">
        <v>46045</v>
      </c>
      <c r="G2871" s="1"/>
      <c r="H2871" t="s">
        <v>43</v>
      </c>
      <c r="I2871">
        <v>1</v>
      </c>
      <c r="J2871">
        <v>15</v>
      </c>
      <c r="K2871">
        <v>153000</v>
      </c>
      <c r="L2871">
        <v>40</v>
      </c>
      <c r="M2871" t="s">
        <v>29</v>
      </c>
      <c r="N2871" t="str">
        <f>_xlfn.XLOOKUP(B2871,tblCustomers[customer_id],tblCustomers[region],"Missing")</f>
        <v>South</v>
      </c>
      <c r="O2871" t="str">
        <f>_xlfn.XLOOKUP(C2871,tblProducts[product_id],tblProducts[product_name],"Missing")</f>
        <v>Support Desk</v>
      </c>
      <c r="P2871" t="str">
        <f>_xlfn.XLOOKUP(C2871,tblProducts[product_id],tblProducts[category],"Missing")</f>
        <v>Service</v>
      </c>
      <c r="Q2871" t="str">
        <f>_xlfn.XLOOKUP(D2871,tblSalesReps[rep_id],tblSalesReps[rep_name],"Missing")</f>
        <v>Sales Rep 05</v>
      </c>
      <c r="R2871" t="str">
        <f>_xlfn.XLOOKUP(D2871,tblSalesReps[rep_id],tblSalesReps[region],"Missing")</f>
        <v>South</v>
      </c>
    </row>
    <row r="2872" spans="1:18">
      <c r="A2872" t="s">
        <v>3416</v>
      </c>
      <c r="B2872" t="s">
        <v>116</v>
      </c>
      <c r="C2872" t="s">
        <v>39</v>
      </c>
      <c r="D2872" t="s">
        <v>32</v>
      </c>
      <c r="E2872" s="1">
        <v>45925</v>
      </c>
      <c r="F2872" s="1">
        <v>45999</v>
      </c>
      <c r="G2872" s="1">
        <v>45999</v>
      </c>
      <c r="H2872" t="s">
        <v>17</v>
      </c>
      <c r="I2872">
        <v>1</v>
      </c>
      <c r="J2872">
        <v>10</v>
      </c>
      <c r="K2872">
        <v>162000</v>
      </c>
      <c r="L2872">
        <v>0</v>
      </c>
      <c r="M2872" t="s">
        <v>82</v>
      </c>
      <c r="N2872" t="str">
        <f>_xlfn.XLOOKUP(B2872,tblCustomers[customer_id],tblCustomers[region],"Missing")</f>
        <v>South</v>
      </c>
      <c r="O2872" t="str">
        <f>_xlfn.XLOOKUP(C2872,tblProducts[product_id],tblProducts[product_name],"Missing")</f>
        <v>Support Desk</v>
      </c>
      <c r="P2872" t="str">
        <f>_xlfn.XLOOKUP(C2872,tblProducts[product_id],tblProducts[category],"Missing")</f>
        <v>Service</v>
      </c>
      <c r="Q2872" t="str">
        <f>_xlfn.XLOOKUP(D2872,tblSalesReps[rep_id],tblSalesReps[rep_name],"Missing")</f>
        <v>Sales Rep 04</v>
      </c>
      <c r="R2872" t="str">
        <f>_xlfn.XLOOKUP(D2872,tblSalesReps[rep_id],tblSalesReps[region],"Missing")</f>
        <v>South</v>
      </c>
    </row>
    <row r="2873" spans="1:18">
      <c r="A2873" t="s">
        <v>3417</v>
      </c>
      <c r="B2873" t="s">
        <v>773</v>
      </c>
      <c r="C2873" t="s">
        <v>62</v>
      </c>
      <c r="D2873" t="s">
        <v>59</v>
      </c>
      <c r="E2873" s="1">
        <v>45983</v>
      </c>
      <c r="F2873" s="1">
        <v>46068</v>
      </c>
      <c r="G2873" s="1"/>
      <c r="H2873" t="s">
        <v>43</v>
      </c>
      <c r="I2873">
        <v>1</v>
      </c>
      <c r="J2873">
        <v>15</v>
      </c>
      <c r="K2873">
        <v>102000</v>
      </c>
      <c r="L2873">
        <v>80</v>
      </c>
      <c r="M2873" t="s">
        <v>29</v>
      </c>
      <c r="N2873" t="str">
        <f>_xlfn.XLOOKUP(B2873,tblCustomers[customer_id],tblCustomers[region],"Missing")</f>
        <v>East</v>
      </c>
      <c r="O2873" t="str">
        <f>_xlfn.XLOOKUP(C2873,tblProducts[product_id],tblProducts[product_name],"Missing")</f>
        <v>CRM Essentials</v>
      </c>
      <c r="P2873" t="str">
        <f>_xlfn.XLOOKUP(C2873,tblProducts[product_id],tblProducts[category],"Missing")</f>
        <v>CRM</v>
      </c>
      <c r="Q2873" t="str">
        <f>_xlfn.XLOOKUP(D2873,tblSalesReps[rep_id],tblSalesReps[rep_name],"Missing")</f>
        <v>Sales Rep 19</v>
      </c>
      <c r="R2873" t="str">
        <f>_xlfn.XLOOKUP(D2873,tblSalesReps[rep_id],tblSalesReps[region],"Missing")</f>
        <v>East</v>
      </c>
    </row>
    <row r="2874" spans="1:18">
      <c r="A2874" t="s">
        <v>3418</v>
      </c>
      <c r="B2874" t="s">
        <v>1386</v>
      </c>
      <c r="C2874" t="s">
        <v>39</v>
      </c>
      <c r="D2874" t="s">
        <v>22</v>
      </c>
      <c r="E2874" s="1">
        <v>45673</v>
      </c>
      <c r="F2874" s="1">
        <v>45706</v>
      </c>
      <c r="G2874" s="1">
        <v>45706</v>
      </c>
      <c r="H2874" t="s">
        <v>17</v>
      </c>
      <c r="I2874">
        <v>1</v>
      </c>
      <c r="J2874">
        <v>5</v>
      </c>
      <c r="K2874">
        <v>171000</v>
      </c>
      <c r="L2874">
        <v>0</v>
      </c>
      <c r="M2874" t="s">
        <v>23</v>
      </c>
      <c r="N2874" t="str">
        <f>_xlfn.XLOOKUP(B2874,tblCustomers[customer_id],tblCustomers[region],"Missing")</f>
        <v>West</v>
      </c>
      <c r="O2874" t="str">
        <f>_xlfn.XLOOKUP(C2874,tblProducts[product_id],tblProducts[product_name],"Missing")</f>
        <v>Support Desk</v>
      </c>
      <c r="P2874" t="str">
        <f>_xlfn.XLOOKUP(C2874,tblProducts[product_id],tblProducts[category],"Missing")</f>
        <v>Service</v>
      </c>
      <c r="Q2874" t="str">
        <f>_xlfn.XLOOKUP(D2874,tblSalesReps[rep_id],tblSalesReps[rep_name],"Missing")</f>
        <v>Sales Rep 14</v>
      </c>
      <c r="R2874" t="str">
        <f>_xlfn.XLOOKUP(D2874,tblSalesReps[rep_id],tblSalesReps[region],"Missing")</f>
        <v>West</v>
      </c>
    </row>
    <row r="2875" spans="1:18">
      <c r="A2875" t="s">
        <v>3419</v>
      </c>
      <c r="B2875" t="s">
        <v>167</v>
      </c>
      <c r="C2875" t="s">
        <v>81</v>
      </c>
      <c r="D2875" t="s">
        <v>56</v>
      </c>
      <c r="E2875" s="1">
        <v>45869</v>
      </c>
      <c r="F2875" s="1">
        <v>45905</v>
      </c>
      <c r="G2875" s="1"/>
      <c r="H2875" t="s">
        <v>43</v>
      </c>
      <c r="I2875">
        <v>3</v>
      </c>
      <c r="J2875">
        <v>15</v>
      </c>
      <c r="K2875">
        <v>765000</v>
      </c>
      <c r="L2875">
        <v>20</v>
      </c>
      <c r="M2875" t="s">
        <v>29</v>
      </c>
      <c r="N2875" t="str">
        <f>_xlfn.XLOOKUP(B2875,tblCustomers[customer_id],tblCustomers[region],"Missing")</f>
        <v>East</v>
      </c>
      <c r="O2875" t="str">
        <f>_xlfn.XLOOKUP(C2875,tblProducts[product_id],tblProducts[product_name],"Missing")</f>
        <v>Analytics Cloud</v>
      </c>
      <c r="P2875" t="str">
        <f>_xlfn.XLOOKUP(C2875,tblProducts[product_id],tblProducts[category],"Missing")</f>
        <v>Analytics</v>
      </c>
      <c r="Q2875" t="str">
        <f>_xlfn.XLOOKUP(D2875,tblSalesReps[rep_id],tblSalesReps[rep_name],"Missing")</f>
        <v>Sales Rep 20</v>
      </c>
      <c r="R2875" t="str">
        <f>_xlfn.XLOOKUP(D2875,tblSalesReps[rep_id],tblSalesReps[region],"Missing")</f>
        <v>East</v>
      </c>
    </row>
    <row r="2876" spans="1:18">
      <c r="A2876" t="s">
        <v>3420</v>
      </c>
      <c r="B2876" t="s">
        <v>859</v>
      </c>
      <c r="C2876" t="s">
        <v>81</v>
      </c>
      <c r="D2876" t="s">
        <v>63</v>
      </c>
      <c r="E2876" s="1">
        <v>45951</v>
      </c>
      <c r="F2876" s="1">
        <v>45987</v>
      </c>
      <c r="G2876" s="1"/>
      <c r="H2876" t="s">
        <v>43</v>
      </c>
      <c r="I2876">
        <v>1</v>
      </c>
      <c r="J2876">
        <v>0</v>
      </c>
      <c r="K2876">
        <v>300000</v>
      </c>
      <c r="L2876">
        <v>60</v>
      </c>
      <c r="M2876" t="s">
        <v>29</v>
      </c>
      <c r="N2876" t="str">
        <f>_xlfn.XLOOKUP(B2876,tblCustomers[customer_id],tblCustomers[region],"Missing")</f>
        <v>South</v>
      </c>
      <c r="O2876" t="str">
        <f>_xlfn.XLOOKUP(C2876,tblProducts[product_id],tblProducts[product_name],"Missing")</f>
        <v>Analytics Cloud</v>
      </c>
      <c r="P2876" t="str">
        <f>_xlfn.XLOOKUP(C2876,tblProducts[product_id],tblProducts[category],"Missing")</f>
        <v>Analytics</v>
      </c>
      <c r="Q2876" t="str">
        <f>_xlfn.XLOOKUP(D2876,tblSalesReps[rep_id],tblSalesReps[rep_name],"Missing")</f>
        <v>Sales Rep 05</v>
      </c>
      <c r="R2876" t="str">
        <f>_xlfn.XLOOKUP(D2876,tblSalesReps[rep_id],tblSalesReps[region],"Missing")</f>
        <v>South</v>
      </c>
    </row>
    <row r="2877" spans="1:18">
      <c r="A2877" t="s">
        <v>3421</v>
      </c>
      <c r="B2877" t="s">
        <v>1349</v>
      </c>
      <c r="C2877" t="s">
        <v>26</v>
      </c>
      <c r="D2877" t="s">
        <v>75</v>
      </c>
      <c r="E2877" s="1">
        <v>45781</v>
      </c>
      <c r="F2877" s="1">
        <v>45859</v>
      </c>
      <c r="G2877" s="1">
        <v>45859</v>
      </c>
      <c r="H2877" t="s">
        <v>28</v>
      </c>
      <c r="I2877">
        <v>2</v>
      </c>
      <c r="J2877">
        <v>15</v>
      </c>
      <c r="K2877">
        <v>612000</v>
      </c>
      <c r="L2877">
        <v>100</v>
      </c>
      <c r="M2877" t="s">
        <v>29</v>
      </c>
      <c r="N2877" t="str">
        <f>_xlfn.XLOOKUP(B2877,tblCustomers[customer_id],tblCustomers[region],"Missing")</f>
        <v>North</v>
      </c>
      <c r="O2877" t="str">
        <f>_xlfn.XLOOKUP(C2877,tblProducts[product_id],tblProducts[product_name],"Missing")</f>
        <v>Security Suite</v>
      </c>
      <c r="P2877" t="str">
        <f>_xlfn.XLOOKUP(C2877,tblProducts[product_id],tblProducts[category],"Missing")</f>
        <v>Security</v>
      </c>
      <c r="Q2877" t="str">
        <f>_xlfn.XLOOKUP(D2877,tblSalesReps[rep_id],tblSalesReps[rep_name],"Missing")</f>
        <v>Sales Rep 07</v>
      </c>
      <c r="R2877" t="str">
        <f>_xlfn.XLOOKUP(D2877,tblSalesReps[rep_id],tblSalesReps[region],"Missing")</f>
        <v>North</v>
      </c>
    </row>
    <row r="2878" spans="1:18">
      <c r="A2878" t="s">
        <v>3422</v>
      </c>
      <c r="B2878" t="s">
        <v>55</v>
      </c>
      <c r="C2878" t="s">
        <v>62</v>
      </c>
      <c r="D2878" t="s">
        <v>59</v>
      </c>
      <c r="E2878" s="1">
        <v>45779</v>
      </c>
      <c r="F2878" s="1">
        <v>45846</v>
      </c>
      <c r="G2878" s="1"/>
      <c r="H2878" t="s">
        <v>43</v>
      </c>
      <c r="I2878">
        <v>1</v>
      </c>
      <c r="J2878">
        <v>10</v>
      </c>
      <c r="K2878">
        <v>108000</v>
      </c>
      <c r="L2878">
        <v>80</v>
      </c>
      <c r="M2878" t="s">
        <v>29</v>
      </c>
      <c r="N2878" t="str">
        <f>_xlfn.XLOOKUP(B2878,tblCustomers[customer_id],tblCustomers[region],"Missing")</f>
        <v>East</v>
      </c>
      <c r="O2878" t="str">
        <f>_xlfn.XLOOKUP(C2878,tblProducts[product_id],tblProducts[product_name],"Missing")</f>
        <v>CRM Essentials</v>
      </c>
      <c r="P2878" t="str">
        <f>_xlfn.XLOOKUP(C2878,tblProducts[product_id],tblProducts[category],"Missing")</f>
        <v>CRM</v>
      </c>
      <c r="Q2878" t="str">
        <f>_xlfn.XLOOKUP(D2878,tblSalesReps[rep_id],tblSalesReps[rep_name],"Missing")</f>
        <v>Sales Rep 19</v>
      </c>
      <c r="R2878" t="str">
        <f>_xlfn.XLOOKUP(D2878,tblSalesReps[rep_id],tblSalesReps[region],"Missing")</f>
        <v>East</v>
      </c>
    </row>
    <row r="2879" spans="1:18">
      <c r="A2879" t="s">
        <v>3423</v>
      </c>
      <c r="B2879" t="s">
        <v>1595</v>
      </c>
      <c r="C2879" t="s">
        <v>21</v>
      </c>
      <c r="D2879" t="s">
        <v>75</v>
      </c>
      <c r="E2879" s="1">
        <v>45918</v>
      </c>
      <c r="F2879" s="1">
        <v>45970</v>
      </c>
      <c r="G2879" s="1">
        <v>45970</v>
      </c>
      <c r="H2879" t="s">
        <v>17</v>
      </c>
      <c r="I2879">
        <v>3</v>
      </c>
      <c r="J2879">
        <v>0</v>
      </c>
      <c r="K2879">
        <v>720000</v>
      </c>
      <c r="L2879">
        <v>0</v>
      </c>
      <c r="M2879" t="s">
        <v>33</v>
      </c>
      <c r="N2879" t="str">
        <f>_xlfn.XLOOKUP(B2879,tblCustomers[customer_id],tblCustomers[region],"Missing")</f>
        <v>North</v>
      </c>
      <c r="O2879" t="str">
        <f>_xlfn.XLOOKUP(C2879,tblProducts[product_id],tblProducts[product_name],"Missing")</f>
        <v>Workflow Automate</v>
      </c>
      <c r="P2879" t="str">
        <f>_xlfn.XLOOKUP(C2879,tblProducts[product_id],tblProducts[category],"Missing")</f>
        <v>Automation</v>
      </c>
      <c r="Q2879" t="str">
        <f>_xlfn.XLOOKUP(D2879,tblSalesReps[rep_id],tblSalesReps[rep_name],"Missing")</f>
        <v>Sales Rep 07</v>
      </c>
      <c r="R2879" t="str">
        <f>_xlfn.XLOOKUP(D2879,tblSalesReps[rep_id],tblSalesReps[region],"Missing")</f>
        <v>North</v>
      </c>
    </row>
    <row r="2880" spans="1:18">
      <c r="A2880" t="s">
        <v>3424</v>
      </c>
      <c r="B2880" t="s">
        <v>196</v>
      </c>
      <c r="C2880" t="s">
        <v>39</v>
      </c>
      <c r="D2880" t="s">
        <v>32</v>
      </c>
      <c r="E2880" s="1">
        <v>45772</v>
      </c>
      <c r="F2880" s="1">
        <v>45856</v>
      </c>
      <c r="G2880" s="1">
        <v>45856</v>
      </c>
      <c r="H2880" t="s">
        <v>28</v>
      </c>
      <c r="I2880">
        <v>2</v>
      </c>
      <c r="J2880">
        <v>10</v>
      </c>
      <c r="K2880">
        <v>324000</v>
      </c>
      <c r="L2880">
        <v>100</v>
      </c>
      <c r="M2880" t="s">
        <v>29</v>
      </c>
      <c r="N2880" t="str">
        <f>_xlfn.XLOOKUP(B2880,tblCustomers[customer_id],tblCustomers[region],"Missing")</f>
        <v>South</v>
      </c>
      <c r="O2880" t="str">
        <f>_xlfn.XLOOKUP(C2880,tblProducts[product_id],tblProducts[product_name],"Missing")</f>
        <v>Support Desk</v>
      </c>
      <c r="P2880" t="str">
        <f>_xlfn.XLOOKUP(C2880,tblProducts[product_id],tblProducts[category],"Missing")</f>
        <v>Service</v>
      </c>
      <c r="Q2880" t="str">
        <f>_xlfn.XLOOKUP(D2880,tblSalesReps[rep_id],tblSalesReps[rep_name],"Missing")</f>
        <v>Sales Rep 04</v>
      </c>
      <c r="R2880" t="str">
        <f>_xlfn.XLOOKUP(D2880,tblSalesReps[rep_id],tblSalesReps[region],"Missing")</f>
        <v>South</v>
      </c>
    </row>
    <row r="2881" spans="1:18">
      <c r="A2881" t="s">
        <v>3425</v>
      </c>
      <c r="B2881" t="s">
        <v>826</v>
      </c>
      <c r="C2881" t="s">
        <v>62</v>
      </c>
      <c r="D2881" t="s">
        <v>22</v>
      </c>
      <c r="E2881" s="1">
        <v>45913</v>
      </c>
      <c r="F2881" s="1">
        <v>45993</v>
      </c>
      <c r="G2881" s="1">
        <v>45993</v>
      </c>
      <c r="H2881" t="s">
        <v>17</v>
      </c>
      <c r="I2881">
        <v>3</v>
      </c>
      <c r="J2881">
        <v>15</v>
      </c>
      <c r="K2881">
        <v>306000</v>
      </c>
      <c r="L2881">
        <v>0</v>
      </c>
      <c r="M2881" t="s">
        <v>47</v>
      </c>
      <c r="N2881" t="str">
        <f>_xlfn.XLOOKUP(B2881,tblCustomers[customer_id],tblCustomers[region],"Missing")</f>
        <v>West</v>
      </c>
      <c r="O2881" t="str">
        <f>_xlfn.XLOOKUP(C2881,tblProducts[product_id],tblProducts[product_name],"Missing")</f>
        <v>CRM Essentials</v>
      </c>
      <c r="P2881" t="str">
        <f>_xlfn.XLOOKUP(C2881,tblProducts[product_id],tblProducts[category],"Missing")</f>
        <v>CRM</v>
      </c>
      <c r="Q2881" t="str">
        <f>_xlfn.XLOOKUP(D2881,tblSalesReps[rep_id],tblSalesReps[rep_name],"Missing")</f>
        <v>Sales Rep 14</v>
      </c>
      <c r="R2881" t="str">
        <f>_xlfn.XLOOKUP(D2881,tblSalesReps[rep_id],tblSalesReps[region],"Missing")</f>
        <v>West</v>
      </c>
    </row>
    <row r="2882" spans="1:18">
      <c r="A2882" t="s">
        <v>3426</v>
      </c>
      <c r="B2882" t="s">
        <v>739</v>
      </c>
      <c r="C2882" t="s">
        <v>62</v>
      </c>
      <c r="D2882" t="s">
        <v>70</v>
      </c>
      <c r="E2882" s="1">
        <v>45733</v>
      </c>
      <c r="F2882" s="1">
        <v>45757</v>
      </c>
      <c r="G2882" s="1">
        <v>45757</v>
      </c>
      <c r="H2882" t="s">
        <v>17</v>
      </c>
      <c r="I2882">
        <v>2</v>
      </c>
      <c r="J2882">
        <v>10</v>
      </c>
      <c r="K2882">
        <v>216000</v>
      </c>
      <c r="L2882">
        <v>0</v>
      </c>
      <c r="M2882" t="s">
        <v>82</v>
      </c>
      <c r="N2882" t="str">
        <f>_xlfn.XLOOKUP(B2882,tblCustomers[customer_id],tblCustomers[region],"Missing")</f>
        <v>West</v>
      </c>
      <c r="O2882" t="str">
        <f>_xlfn.XLOOKUP(C2882,tblProducts[product_id],tblProducts[product_name],"Missing")</f>
        <v>CRM Essentials</v>
      </c>
      <c r="P2882" t="str">
        <f>_xlfn.XLOOKUP(C2882,tblProducts[product_id],tblProducts[category],"Missing")</f>
        <v>CRM</v>
      </c>
      <c r="Q2882" t="str">
        <f>_xlfn.XLOOKUP(D2882,tblSalesReps[rep_id],tblSalesReps[rep_name],"Missing")</f>
        <v>Sales Rep 11</v>
      </c>
      <c r="R2882" t="str">
        <f>_xlfn.XLOOKUP(D2882,tblSalesReps[rep_id],tblSalesReps[region],"Missing")</f>
        <v>West</v>
      </c>
    </row>
    <row r="2883" spans="1:18">
      <c r="A2883" t="s">
        <v>3427</v>
      </c>
      <c r="B2883" t="s">
        <v>404</v>
      </c>
      <c r="C2883" t="s">
        <v>39</v>
      </c>
      <c r="D2883" t="s">
        <v>70</v>
      </c>
      <c r="E2883" s="1">
        <v>45717</v>
      </c>
      <c r="F2883" s="1">
        <v>45790</v>
      </c>
      <c r="G2883" s="1"/>
      <c r="H2883" t="s">
        <v>43</v>
      </c>
      <c r="I2883">
        <v>1</v>
      </c>
      <c r="J2883">
        <v>5</v>
      </c>
      <c r="K2883">
        <v>171000</v>
      </c>
      <c r="L2883">
        <v>20</v>
      </c>
      <c r="M2883" t="s">
        <v>29</v>
      </c>
      <c r="N2883" t="str">
        <f>_xlfn.XLOOKUP(B2883,tblCustomers[customer_id],tblCustomers[region],"Missing")</f>
        <v>West</v>
      </c>
      <c r="O2883" t="str">
        <f>_xlfn.XLOOKUP(C2883,tblProducts[product_id],tblProducts[product_name],"Missing")</f>
        <v>Support Desk</v>
      </c>
      <c r="P2883" t="str">
        <f>_xlfn.XLOOKUP(C2883,tblProducts[product_id],tblProducts[category],"Missing")</f>
        <v>Service</v>
      </c>
      <c r="Q2883" t="str">
        <f>_xlfn.XLOOKUP(D2883,tblSalesReps[rep_id],tblSalesReps[rep_name],"Missing")</f>
        <v>Sales Rep 11</v>
      </c>
      <c r="R2883" t="str">
        <f>_xlfn.XLOOKUP(D2883,tblSalesReps[rep_id],tblSalesReps[region],"Missing")</f>
        <v>West</v>
      </c>
    </row>
    <row r="2884" spans="1:18">
      <c r="A2884" t="s">
        <v>3428</v>
      </c>
      <c r="B2884" t="s">
        <v>206</v>
      </c>
      <c r="C2884" t="s">
        <v>15</v>
      </c>
      <c r="D2884" t="s">
        <v>16</v>
      </c>
      <c r="E2884" s="1">
        <v>45789</v>
      </c>
      <c r="F2884" s="1">
        <v>45851</v>
      </c>
      <c r="G2884" s="1">
        <v>45851</v>
      </c>
      <c r="H2884" t="s">
        <v>28</v>
      </c>
      <c r="I2884">
        <v>1</v>
      </c>
      <c r="J2884">
        <v>5</v>
      </c>
      <c r="K2884">
        <v>399000</v>
      </c>
      <c r="L2884">
        <v>100</v>
      </c>
      <c r="M2884" t="s">
        <v>29</v>
      </c>
      <c r="N2884" t="str">
        <f>_xlfn.XLOOKUP(B2884,tblCustomers[customer_id],tblCustomers[region],"Missing")</f>
        <v>North</v>
      </c>
      <c r="O2884" t="str">
        <f>_xlfn.XLOOKUP(C2884,tblProducts[product_id],tblProducts[product_name],"Missing")</f>
        <v>CRM Enterprise</v>
      </c>
      <c r="P2884" t="str">
        <f>_xlfn.XLOOKUP(C2884,tblProducts[product_id],tblProducts[category],"Missing")</f>
        <v>CRM</v>
      </c>
      <c r="Q2884" t="str">
        <f>_xlfn.XLOOKUP(D2884,tblSalesReps[rep_id],tblSalesReps[rep_name],"Missing")</f>
        <v>Sales Rep 08</v>
      </c>
      <c r="R2884" t="str">
        <f>_xlfn.XLOOKUP(D2884,tblSalesReps[rep_id],tblSalesReps[region],"Missing")</f>
        <v>North</v>
      </c>
    </row>
    <row r="2885" spans="1:18">
      <c r="A2885" t="s">
        <v>3429</v>
      </c>
      <c r="B2885" t="s">
        <v>1287</v>
      </c>
      <c r="C2885" t="s">
        <v>39</v>
      </c>
      <c r="D2885" t="s">
        <v>119</v>
      </c>
      <c r="E2885" s="1">
        <v>45952</v>
      </c>
      <c r="F2885" s="1">
        <v>45969</v>
      </c>
      <c r="G2885" s="1">
        <v>45969</v>
      </c>
      <c r="H2885" t="s">
        <v>17</v>
      </c>
      <c r="I2885">
        <v>2</v>
      </c>
      <c r="J2885">
        <v>15</v>
      </c>
      <c r="K2885">
        <v>306000</v>
      </c>
      <c r="L2885">
        <v>0</v>
      </c>
      <c r="M2885" t="s">
        <v>47</v>
      </c>
      <c r="N2885" t="str">
        <f>_xlfn.XLOOKUP(B2885,tblCustomers[customer_id],tblCustomers[region],"Missing")</f>
        <v>North</v>
      </c>
      <c r="O2885" t="str">
        <f>_xlfn.XLOOKUP(C2885,tblProducts[product_id],tblProducts[product_name],"Missing")</f>
        <v>Support Desk</v>
      </c>
      <c r="P2885" t="str">
        <f>_xlfn.XLOOKUP(C2885,tblProducts[product_id],tblProducts[category],"Missing")</f>
        <v>Service</v>
      </c>
      <c r="Q2885" t="str">
        <f>_xlfn.XLOOKUP(D2885,tblSalesReps[rep_id],tblSalesReps[rep_name],"Missing")</f>
        <v>Sales Rep 10</v>
      </c>
      <c r="R2885" t="str">
        <f>_xlfn.XLOOKUP(D2885,tblSalesReps[rep_id],tblSalesReps[region],"Missing")</f>
        <v>North</v>
      </c>
    </row>
    <row r="2886" spans="1:18">
      <c r="A2886" t="s">
        <v>3430</v>
      </c>
      <c r="B2886" t="s">
        <v>553</v>
      </c>
      <c r="C2886" t="s">
        <v>39</v>
      </c>
      <c r="D2886" t="s">
        <v>53</v>
      </c>
      <c r="E2886" s="1">
        <v>45904</v>
      </c>
      <c r="F2886" s="1">
        <v>45966</v>
      </c>
      <c r="G2886" s="1">
        <v>45966</v>
      </c>
      <c r="H2886" t="s">
        <v>28</v>
      </c>
      <c r="I2886">
        <v>3</v>
      </c>
      <c r="J2886">
        <v>10</v>
      </c>
      <c r="K2886">
        <v>486000</v>
      </c>
      <c r="L2886">
        <v>100</v>
      </c>
      <c r="M2886" t="s">
        <v>29</v>
      </c>
      <c r="N2886" t="str">
        <f>_xlfn.XLOOKUP(B2886,tblCustomers[customer_id],tblCustomers[region],"Missing")</f>
        <v>East</v>
      </c>
      <c r="O2886" t="str">
        <f>_xlfn.XLOOKUP(C2886,tblProducts[product_id],tblProducts[product_name],"Missing")</f>
        <v>Support Desk</v>
      </c>
      <c r="P2886" t="str">
        <f>_xlfn.XLOOKUP(C2886,tblProducts[product_id],tblProducts[category],"Missing")</f>
        <v>Service</v>
      </c>
      <c r="Q2886" t="str">
        <f>_xlfn.XLOOKUP(D2886,tblSalesReps[rep_id],tblSalesReps[rep_name],"Missing")</f>
        <v>Sales Rep 16</v>
      </c>
      <c r="R2886" t="str">
        <f>_xlfn.XLOOKUP(D2886,tblSalesReps[rep_id],tblSalesReps[region],"Missing")</f>
        <v>East</v>
      </c>
    </row>
    <row r="2887" spans="1:18">
      <c r="A2887" t="s">
        <v>3431</v>
      </c>
      <c r="B2887" t="s">
        <v>1408</v>
      </c>
      <c r="C2887" t="s">
        <v>62</v>
      </c>
      <c r="D2887" t="s">
        <v>75</v>
      </c>
      <c r="E2887" s="1">
        <v>45923</v>
      </c>
      <c r="F2887" s="1">
        <v>45967</v>
      </c>
      <c r="G2887" s="1"/>
      <c r="H2887" t="s">
        <v>43</v>
      </c>
      <c r="I2887">
        <v>1</v>
      </c>
      <c r="J2887">
        <v>20</v>
      </c>
      <c r="K2887">
        <v>96000</v>
      </c>
      <c r="L2887">
        <v>20</v>
      </c>
      <c r="M2887" t="s">
        <v>29</v>
      </c>
      <c r="N2887" t="str">
        <f>_xlfn.XLOOKUP(B2887,tblCustomers[customer_id],tblCustomers[region],"Missing")</f>
        <v>North</v>
      </c>
      <c r="O2887" t="str">
        <f>_xlfn.XLOOKUP(C2887,tblProducts[product_id],tblProducts[product_name],"Missing")</f>
        <v>CRM Essentials</v>
      </c>
      <c r="P2887" t="str">
        <f>_xlfn.XLOOKUP(C2887,tblProducts[product_id],tblProducts[category],"Missing")</f>
        <v>CRM</v>
      </c>
      <c r="Q2887" t="str">
        <f>_xlfn.XLOOKUP(D2887,tblSalesReps[rep_id],tblSalesReps[rep_name],"Missing")</f>
        <v>Sales Rep 07</v>
      </c>
      <c r="R2887" t="str">
        <f>_xlfn.XLOOKUP(D2887,tblSalesReps[rep_id],tblSalesReps[region],"Missing")</f>
        <v>North</v>
      </c>
    </row>
    <row r="2888" spans="1:18">
      <c r="A2888" t="s">
        <v>3432</v>
      </c>
      <c r="B2888" t="s">
        <v>1268</v>
      </c>
      <c r="C2888" t="s">
        <v>39</v>
      </c>
      <c r="D2888" t="s">
        <v>168</v>
      </c>
      <c r="E2888" s="1">
        <v>45929</v>
      </c>
      <c r="F2888" s="1">
        <v>45971</v>
      </c>
      <c r="G2888" s="1">
        <v>45971</v>
      </c>
      <c r="H2888" t="s">
        <v>28</v>
      </c>
      <c r="I2888">
        <v>1</v>
      </c>
      <c r="J2888">
        <v>5</v>
      </c>
      <c r="K2888">
        <v>171000</v>
      </c>
      <c r="L2888">
        <v>100</v>
      </c>
      <c r="M2888" t="s">
        <v>29</v>
      </c>
      <c r="N2888" t="str">
        <f>_xlfn.XLOOKUP(B2888,tblCustomers[customer_id],tblCustomers[region],"Missing")</f>
        <v>East</v>
      </c>
      <c r="O2888" t="str">
        <f>_xlfn.XLOOKUP(C2888,tblProducts[product_id],tblProducts[product_name],"Missing")</f>
        <v>Support Desk</v>
      </c>
      <c r="P2888" t="str">
        <f>_xlfn.XLOOKUP(C2888,tblProducts[product_id],tblProducts[category],"Missing")</f>
        <v>Service</v>
      </c>
      <c r="Q2888" t="str">
        <f>_xlfn.XLOOKUP(D2888,tblSalesReps[rep_id],tblSalesReps[rep_name],"Missing")</f>
        <v>Sales Rep 17</v>
      </c>
      <c r="R2888" t="str">
        <f>_xlfn.XLOOKUP(D2888,tblSalesReps[rep_id],tblSalesReps[region],"Missing")</f>
        <v>East</v>
      </c>
    </row>
    <row r="2889" spans="1:18">
      <c r="A2889" t="s">
        <v>3433</v>
      </c>
      <c r="B2889" t="s">
        <v>93</v>
      </c>
      <c r="C2889" t="s">
        <v>21</v>
      </c>
      <c r="D2889" t="s">
        <v>59</v>
      </c>
      <c r="E2889" s="1">
        <v>45684</v>
      </c>
      <c r="F2889" s="1">
        <v>45715</v>
      </c>
      <c r="G2889" s="1">
        <v>45715</v>
      </c>
      <c r="H2889" t="s">
        <v>17</v>
      </c>
      <c r="I2889">
        <v>1</v>
      </c>
      <c r="J2889">
        <v>20</v>
      </c>
      <c r="K2889">
        <v>192000</v>
      </c>
      <c r="L2889">
        <v>0</v>
      </c>
      <c r="M2889" t="s">
        <v>47</v>
      </c>
      <c r="N2889" t="str">
        <f>_xlfn.XLOOKUP(B2889,tblCustomers[customer_id],tblCustomers[region],"Missing")</f>
        <v>East</v>
      </c>
      <c r="O2889" t="str">
        <f>_xlfn.XLOOKUP(C2889,tblProducts[product_id],tblProducts[product_name],"Missing")</f>
        <v>Workflow Automate</v>
      </c>
      <c r="P2889" t="str">
        <f>_xlfn.XLOOKUP(C2889,tblProducts[product_id],tblProducts[category],"Missing")</f>
        <v>Automation</v>
      </c>
      <c r="Q2889" t="str">
        <f>_xlfn.XLOOKUP(D2889,tblSalesReps[rep_id],tblSalesReps[rep_name],"Missing")</f>
        <v>Sales Rep 19</v>
      </c>
      <c r="R2889" t="str">
        <f>_xlfn.XLOOKUP(D2889,tblSalesReps[rep_id],tblSalesReps[region],"Missing")</f>
        <v>East</v>
      </c>
    </row>
    <row r="2890" spans="1:18">
      <c r="A2890" t="s">
        <v>3434</v>
      </c>
      <c r="B2890" t="s">
        <v>594</v>
      </c>
      <c r="C2890" t="s">
        <v>15</v>
      </c>
      <c r="D2890" t="s">
        <v>50</v>
      </c>
      <c r="E2890" s="1">
        <v>45877</v>
      </c>
      <c r="F2890" s="1">
        <v>45923</v>
      </c>
      <c r="G2890" s="1">
        <v>45923</v>
      </c>
      <c r="H2890" t="s">
        <v>17</v>
      </c>
      <c r="I2890">
        <v>2</v>
      </c>
      <c r="J2890">
        <v>0</v>
      </c>
      <c r="K2890">
        <v>840000</v>
      </c>
      <c r="L2890">
        <v>0</v>
      </c>
      <c r="M2890" t="s">
        <v>82</v>
      </c>
      <c r="N2890" t="str">
        <f>_xlfn.XLOOKUP(B2890,tblCustomers[customer_id],tblCustomers[region],"Missing")</f>
        <v>West</v>
      </c>
      <c r="O2890" t="str">
        <f>_xlfn.XLOOKUP(C2890,tblProducts[product_id],tblProducts[product_name],"Missing")</f>
        <v>CRM Enterprise</v>
      </c>
      <c r="P2890" t="str">
        <f>_xlfn.XLOOKUP(C2890,tblProducts[product_id],tblProducts[category],"Missing")</f>
        <v>CRM</v>
      </c>
      <c r="Q2890" t="str">
        <f>_xlfn.XLOOKUP(D2890,tblSalesReps[rep_id],tblSalesReps[rep_name],"Missing")</f>
        <v>Sales Rep 15</v>
      </c>
      <c r="R2890" t="str">
        <f>_xlfn.XLOOKUP(D2890,tblSalesReps[rep_id],tblSalesReps[region],"Missing")</f>
        <v>West</v>
      </c>
    </row>
    <row r="2891" spans="1:18">
      <c r="A2891" t="s">
        <v>3435</v>
      </c>
      <c r="B2891" t="s">
        <v>1094</v>
      </c>
      <c r="C2891" t="s">
        <v>81</v>
      </c>
      <c r="D2891" t="s">
        <v>27</v>
      </c>
      <c r="E2891" s="1">
        <v>45830</v>
      </c>
      <c r="F2891" s="1">
        <v>45856</v>
      </c>
      <c r="G2891" s="1">
        <v>45856</v>
      </c>
      <c r="H2891" t="s">
        <v>17</v>
      </c>
      <c r="I2891">
        <v>1</v>
      </c>
      <c r="J2891">
        <v>0</v>
      </c>
      <c r="K2891">
        <v>300000</v>
      </c>
      <c r="L2891">
        <v>0</v>
      </c>
      <c r="M2891" t="s">
        <v>18</v>
      </c>
      <c r="N2891" t="str">
        <f>_xlfn.XLOOKUP(B2891,tblCustomers[customer_id],tblCustomers[region],"Missing")</f>
        <v>North</v>
      </c>
      <c r="O2891" t="str">
        <f>_xlfn.XLOOKUP(C2891,tblProducts[product_id],tblProducts[product_name],"Missing")</f>
        <v>Analytics Cloud</v>
      </c>
      <c r="P2891" t="str">
        <f>_xlfn.XLOOKUP(C2891,tblProducts[product_id],tblProducts[category],"Missing")</f>
        <v>Analytics</v>
      </c>
      <c r="Q2891" t="str">
        <f>_xlfn.XLOOKUP(D2891,tblSalesReps[rep_id],tblSalesReps[rep_name],"Missing")</f>
        <v>Sales Rep 06</v>
      </c>
      <c r="R2891" t="str">
        <f>_xlfn.XLOOKUP(D2891,tblSalesReps[rep_id],tblSalesReps[region],"Missing")</f>
        <v>North</v>
      </c>
    </row>
    <row r="2892" spans="1:18">
      <c r="A2892" t="s">
        <v>3436</v>
      </c>
      <c r="B2892" t="s">
        <v>1209</v>
      </c>
      <c r="C2892" t="s">
        <v>81</v>
      </c>
      <c r="D2892" t="s">
        <v>59</v>
      </c>
      <c r="E2892" s="1">
        <v>45979</v>
      </c>
      <c r="F2892" s="1">
        <v>46034</v>
      </c>
      <c r="G2892" s="1"/>
      <c r="H2892" t="s">
        <v>43</v>
      </c>
      <c r="I2892">
        <v>2</v>
      </c>
      <c r="J2892">
        <v>0</v>
      </c>
      <c r="K2892">
        <v>600000</v>
      </c>
      <c r="L2892">
        <v>60</v>
      </c>
      <c r="M2892" t="s">
        <v>29</v>
      </c>
      <c r="N2892" t="str">
        <f>_xlfn.XLOOKUP(B2892,tblCustomers[customer_id],tblCustomers[region],"Missing")</f>
        <v>East</v>
      </c>
      <c r="O2892" t="str">
        <f>_xlfn.XLOOKUP(C2892,tblProducts[product_id],tblProducts[product_name],"Missing")</f>
        <v>Analytics Cloud</v>
      </c>
      <c r="P2892" t="str">
        <f>_xlfn.XLOOKUP(C2892,tblProducts[product_id],tblProducts[category],"Missing")</f>
        <v>Analytics</v>
      </c>
      <c r="Q2892" t="str">
        <f>_xlfn.XLOOKUP(D2892,tblSalesReps[rep_id],tblSalesReps[rep_name],"Missing")</f>
        <v>Sales Rep 19</v>
      </c>
      <c r="R2892" t="str">
        <f>_xlfn.XLOOKUP(D2892,tblSalesReps[rep_id],tblSalesReps[region],"Missing")</f>
        <v>East</v>
      </c>
    </row>
    <row r="2893" spans="1:18">
      <c r="A2893" t="s">
        <v>3437</v>
      </c>
      <c r="B2893" t="s">
        <v>187</v>
      </c>
      <c r="C2893" t="s">
        <v>26</v>
      </c>
      <c r="D2893" t="s">
        <v>22</v>
      </c>
      <c r="E2893" s="1">
        <v>45877</v>
      </c>
      <c r="F2893" s="1">
        <v>45952</v>
      </c>
      <c r="G2893" s="1">
        <v>45952</v>
      </c>
      <c r="H2893" t="s">
        <v>28</v>
      </c>
      <c r="I2893">
        <v>3</v>
      </c>
      <c r="J2893">
        <v>5</v>
      </c>
      <c r="K2893">
        <v>1026000</v>
      </c>
      <c r="L2893">
        <v>100</v>
      </c>
      <c r="M2893" t="s">
        <v>29</v>
      </c>
      <c r="N2893" t="str">
        <f>_xlfn.XLOOKUP(B2893,tblCustomers[customer_id],tblCustomers[region],"Missing")</f>
        <v>West</v>
      </c>
      <c r="O2893" t="str">
        <f>_xlfn.XLOOKUP(C2893,tblProducts[product_id],tblProducts[product_name],"Missing")</f>
        <v>Security Suite</v>
      </c>
      <c r="P2893" t="str">
        <f>_xlfn.XLOOKUP(C2893,tblProducts[product_id],tblProducts[category],"Missing")</f>
        <v>Security</v>
      </c>
      <c r="Q2893" t="str">
        <f>_xlfn.XLOOKUP(D2893,tblSalesReps[rep_id],tblSalesReps[rep_name],"Missing")</f>
        <v>Sales Rep 14</v>
      </c>
      <c r="R2893" t="str">
        <f>_xlfn.XLOOKUP(D2893,tblSalesReps[rep_id],tblSalesReps[region],"Missing")</f>
        <v>West</v>
      </c>
    </row>
    <row r="2894" spans="1:18">
      <c r="A2894" t="s">
        <v>3438</v>
      </c>
      <c r="B2894" t="s">
        <v>909</v>
      </c>
      <c r="C2894" t="s">
        <v>39</v>
      </c>
      <c r="D2894" t="s">
        <v>63</v>
      </c>
      <c r="E2894" s="1">
        <v>45679</v>
      </c>
      <c r="F2894" s="1">
        <v>45727</v>
      </c>
      <c r="G2894" s="1">
        <v>45727</v>
      </c>
      <c r="H2894" t="s">
        <v>17</v>
      </c>
      <c r="I2894">
        <v>1</v>
      </c>
      <c r="J2894">
        <v>0</v>
      </c>
      <c r="K2894">
        <v>180000</v>
      </c>
      <c r="L2894">
        <v>0</v>
      </c>
      <c r="M2894" t="s">
        <v>23</v>
      </c>
      <c r="N2894" t="str">
        <f>_xlfn.XLOOKUP(B2894,tblCustomers[customer_id],tblCustomers[region],"Missing")</f>
        <v>South</v>
      </c>
      <c r="O2894" t="str">
        <f>_xlfn.XLOOKUP(C2894,tblProducts[product_id],tblProducts[product_name],"Missing")</f>
        <v>Support Desk</v>
      </c>
      <c r="P2894" t="str">
        <f>_xlfn.XLOOKUP(C2894,tblProducts[product_id],tblProducts[category],"Missing")</f>
        <v>Service</v>
      </c>
      <c r="Q2894" t="str">
        <f>_xlfn.XLOOKUP(D2894,tblSalesReps[rep_id],tblSalesReps[rep_name],"Missing")</f>
        <v>Sales Rep 05</v>
      </c>
      <c r="R2894" t="str">
        <f>_xlfn.XLOOKUP(D2894,tblSalesReps[rep_id],tblSalesReps[region],"Missing")</f>
        <v>South</v>
      </c>
    </row>
    <row r="2895" spans="1:18">
      <c r="A2895" t="s">
        <v>3439</v>
      </c>
      <c r="B2895" t="s">
        <v>763</v>
      </c>
      <c r="C2895" t="s">
        <v>21</v>
      </c>
      <c r="D2895" t="s">
        <v>75</v>
      </c>
      <c r="E2895" s="1">
        <v>45786</v>
      </c>
      <c r="F2895" s="1">
        <v>45822</v>
      </c>
      <c r="G2895" s="1">
        <v>45822</v>
      </c>
      <c r="H2895" t="s">
        <v>17</v>
      </c>
      <c r="I2895">
        <v>1</v>
      </c>
      <c r="J2895">
        <v>0</v>
      </c>
      <c r="K2895">
        <v>240000</v>
      </c>
      <c r="L2895">
        <v>0</v>
      </c>
      <c r="M2895" t="s">
        <v>23</v>
      </c>
      <c r="N2895" t="str">
        <f>_xlfn.XLOOKUP(B2895,tblCustomers[customer_id],tblCustomers[region],"Missing")</f>
        <v>North</v>
      </c>
      <c r="O2895" t="str">
        <f>_xlfn.XLOOKUP(C2895,tblProducts[product_id],tblProducts[product_name],"Missing")</f>
        <v>Workflow Automate</v>
      </c>
      <c r="P2895" t="str">
        <f>_xlfn.XLOOKUP(C2895,tblProducts[product_id],tblProducts[category],"Missing")</f>
        <v>Automation</v>
      </c>
      <c r="Q2895" t="str">
        <f>_xlfn.XLOOKUP(D2895,tblSalesReps[rep_id],tblSalesReps[rep_name],"Missing")</f>
        <v>Sales Rep 07</v>
      </c>
      <c r="R2895" t="str">
        <f>_xlfn.XLOOKUP(D2895,tblSalesReps[rep_id],tblSalesReps[region],"Missing")</f>
        <v>North</v>
      </c>
    </row>
    <row r="2896" spans="1:18">
      <c r="A2896" t="s">
        <v>3440</v>
      </c>
      <c r="B2896" t="s">
        <v>542</v>
      </c>
      <c r="C2896" t="s">
        <v>81</v>
      </c>
      <c r="D2896" t="s">
        <v>78</v>
      </c>
      <c r="E2896" s="1">
        <v>45981</v>
      </c>
      <c r="F2896" s="1">
        <v>46001</v>
      </c>
      <c r="G2896" s="1"/>
      <c r="H2896" t="s">
        <v>43</v>
      </c>
      <c r="I2896">
        <v>1</v>
      </c>
      <c r="J2896">
        <v>5</v>
      </c>
      <c r="K2896">
        <v>285000</v>
      </c>
      <c r="L2896">
        <v>20</v>
      </c>
      <c r="M2896" t="s">
        <v>29</v>
      </c>
      <c r="N2896" t="str">
        <f>_xlfn.XLOOKUP(B2896,tblCustomers[customer_id],tblCustomers[region],"Missing")</f>
        <v>West</v>
      </c>
      <c r="O2896" t="str">
        <f>_xlfn.XLOOKUP(C2896,tblProducts[product_id],tblProducts[product_name],"Missing")</f>
        <v>Analytics Cloud</v>
      </c>
      <c r="P2896" t="str">
        <f>_xlfn.XLOOKUP(C2896,tblProducts[product_id],tblProducts[category],"Missing")</f>
        <v>Analytics</v>
      </c>
      <c r="Q2896" t="str">
        <f>_xlfn.XLOOKUP(D2896,tblSalesReps[rep_id],tblSalesReps[rep_name],"Missing")</f>
        <v>Sales Rep 12</v>
      </c>
      <c r="R2896" t="str">
        <f>_xlfn.XLOOKUP(D2896,tblSalesReps[rep_id],tblSalesReps[region],"Missing")</f>
        <v>West</v>
      </c>
    </row>
    <row r="2897" spans="1:18">
      <c r="A2897" t="s">
        <v>3441</v>
      </c>
      <c r="B2897" t="s">
        <v>196</v>
      </c>
      <c r="C2897" t="s">
        <v>81</v>
      </c>
      <c r="D2897" t="s">
        <v>126</v>
      </c>
      <c r="E2897" s="1">
        <v>45758</v>
      </c>
      <c r="F2897" s="1">
        <v>45788</v>
      </c>
      <c r="G2897" s="1">
        <v>45788</v>
      </c>
      <c r="H2897" t="s">
        <v>17</v>
      </c>
      <c r="I2897">
        <v>3</v>
      </c>
      <c r="J2897">
        <v>15</v>
      </c>
      <c r="K2897">
        <v>765000</v>
      </c>
      <c r="L2897">
        <v>0</v>
      </c>
      <c r="M2897" t="s">
        <v>47</v>
      </c>
      <c r="N2897" t="str">
        <f>_xlfn.XLOOKUP(B2897,tblCustomers[customer_id],tblCustomers[region],"Missing")</f>
        <v>South</v>
      </c>
      <c r="O2897" t="str">
        <f>_xlfn.XLOOKUP(C2897,tblProducts[product_id],tblProducts[product_name],"Missing")</f>
        <v>Analytics Cloud</v>
      </c>
      <c r="P2897" t="str">
        <f>_xlfn.XLOOKUP(C2897,tblProducts[product_id],tblProducts[category],"Missing")</f>
        <v>Analytics</v>
      </c>
      <c r="Q2897" t="str">
        <f>_xlfn.XLOOKUP(D2897,tblSalesReps[rep_id],tblSalesReps[rep_name],"Missing")</f>
        <v>Sales Rep 02</v>
      </c>
      <c r="R2897" t="str">
        <f>_xlfn.XLOOKUP(D2897,tblSalesReps[rep_id],tblSalesReps[region],"Missing")</f>
        <v>South</v>
      </c>
    </row>
    <row r="2898" spans="1:18">
      <c r="A2898" t="s">
        <v>3442</v>
      </c>
      <c r="B2898" t="s">
        <v>755</v>
      </c>
      <c r="C2898" t="s">
        <v>62</v>
      </c>
      <c r="D2898" t="s">
        <v>27</v>
      </c>
      <c r="E2898" s="1">
        <v>45842</v>
      </c>
      <c r="F2898" s="1">
        <v>45922</v>
      </c>
      <c r="G2898" s="1"/>
      <c r="H2898" t="s">
        <v>43</v>
      </c>
      <c r="I2898">
        <v>1</v>
      </c>
      <c r="J2898">
        <v>5</v>
      </c>
      <c r="K2898">
        <v>114000</v>
      </c>
      <c r="L2898">
        <v>20</v>
      </c>
      <c r="M2898" t="s">
        <v>29</v>
      </c>
      <c r="N2898" t="str">
        <f>_xlfn.XLOOKUP(B2898,tblCustomers[customer_id],tblCustomers[region],"Missing")</f>
        <v>North</v>
      </c>
      <c r="O2898" t="str">
        <f>_xlfn.XLOOKUP(C2898,tblProducts[product_id],tblProducts[product_name],"Missing")</f>
        <v>CRM Essentials</v>
      </c>
      <c r="P2898" t="str">
        <f>_xlfn.XLOOKUP(C2898,tblProducts[product_id],tblProducts[category],"Missing")</f>
        <v>CRM</v>
      </c>
      <c r="Q2898" t="str">
        <f>_xlfn.XLOOKUP(D2898,tblSalesReps[rep_id],tblSalesReps[rep_name],"Missing")</f>
        <v>Sales Rep 06</v>
      </c>
      <c r="R2898" t="str">
        <f>_xlfn.XLOOKUP(D2898,tblSalesReps[rep_id],tblSalesReps[region],"Missing")</f>
        <v>North</v>
      </c>
    </row>
    <row r="2899" spans="1:18">
      <c r="A2899" t="s">
        <v>3443</v>
      </c>
      <c r="B2899" t="s">
        <v>112</v>
      </c>
      <c r="C2899" t="s">
        <v>39</v>
      </c>
      <c r="D2899" t="s">
        <v>70</v>
      </c>
      <c r="E2899" s="1">
        <v>45904</v>
      </c>
      <c r="F2899" s="1">
        <v>45946</v>
      </c>
      <c r="G2899" s="1">
        <v>45946</v>
      </c>
      <c r="H2899" t="s">
        <v>17</v>
      </c>
      <c r="I2899">
        <v>3</v>
      </c>
      <c r="J2899">
        <v>0</v>
      </c>
      <c r="K2899">
        <v>540000</v>
      </c>
      <c r="L2899">
        <v>0</v>
      </c>
      <c r="M2899" t="s">
        <v>33</v>
      </c>
      <c r="N2899" t="str">
        <f>_xlfn.XLOOKUP(B2899,tblCustomers[customer_id],tblCustomers[region],"Missing")</f>
        <v>West</v>
      </c>
      <c r="O2899" t="str">
        <f>_xlfn.XLOOKUP(C2899,tblProducts[product_id],tblProducts[product_name],"Missing")</f>
        <v>Support Desk</v>
      </c>
      <c r="P2899" t="str">
        <f>_xlfn.XLOOKUP(C2899,tblProducts[product_id],tblProducts[category],"Missing")</f>
        <v>Service</v>
      </c>
      <c r="Q2899" t="str">
        <f>_xlfn.XLOOKUP(D2899,tblSalesReps[rep_id],tblSalesReps[rep_name],"Missing")</f>
        <v>Sales Rep 11</v>
      </c>
      <c r="R2899" t="str">
        <f>_xlfn.XLOOKUP(D2899,tblSalesReps[rep_id],tblSalesReps[region],"Missing")</f>
        <v>West</v>
      </c>
    </row>
    <row r="2900" spans="1:18">
      <c r="A2900" t="s">
        <v>3444</v>
      </c>
      <c r="B2900" t="s">
        <v>836</v>
      </c>
      <c r="C2900" t="s">
        <v>39</v>
      </c>
      <c r="D2900" t="s">
        <v>63</v>
      </c>
      <c r="E2900" s="1">
        <v>45832</v>
      </c>
      <c r="F2900" s="1">
        <v>45897</v>
      </c>
      <c r="G2900" s="1">
        <v>45897</v>
      </c>
      <c r="H2900" t="s">
        <v>28</v>
      </c>
      <c r="I2900">
        <v>1</v>
      </c>
      <c r="J2900">
        <v>0</v>
      </c>
      <c r="K2900">
        <v>180000</v>
      </c>
      <c r="L2900">
        <v>100</v>
      </c>
      <c r="M2900" t="s">
        <v>29</v>
      </c>
      <c r="N2900" t="str">
        <f>_xlfn.XLOOKUP(B2900,tblCustomers[customer_id],tblCustomers[region],"Missing")</f>
        <v>South</v>
      </c>
      <c r="O2900" t="str">
        <f>_xlfn.XLOOKUP(C2900,tblProducts[product_id],tblProducts[product_name],"Missing")</f>
        <v>Support Desk</v>
      </c>
      <c r="P2900" t="str">
        <f>_xlfn.XLOOKUP(C2900,tblProducts[product_id],tblProducts[category],"Missing")</f>
        <v>Service</v>
      </c>
      <c r="Q2900" t="str">
        <f>_xlfn.XLOOKUP(D2900,tblSalesReps[rep_id],tblSalesReps[rep_name],"Missing")</f>
        <v>Sales Rep 05</v>
      </c>
      <c r="R2900" t="str">
        <f>_xlfn.XLOOKUP(D2900,tblSalesReps[rep_id],tblSalesReps[region],"Missing")</f>
        <v>South</v>
      </c>
    </row>
    <row r="2901" spans="1:18">
      <c r="A2901" t="s">
        <v>3445</v>
      </c>
      <c r="B2901" t="s">
        <v>902</v>
      </c>
      <c r="C2901" t="s">
        <v>81</v>
      </c>
      <c r="D2901" t="s">
        <v>36</v>
      </c>
      <c r="E2901" s="1">
        <v>45879</v>
      </c>
      <c r="F2901" s="1">
        <v>45931</v>
      </c>
      <c r="G2901" s="1">
        <v>45931</v>
      </c>
      <c r="H2901" t="s">
        <v>17</v>
      </c>
      <c r="I2901">
        <v>3</v>
      </c>
      <c r="J2901">
        <v>20</v>
      </c>
      <c r="K2901">
        <v>720000</v>
      </c>
      <c r="L2901">
        <v>0</v>
      </c>
      <c r="M2901" t="s">
        <v>47</v>
      </c>
      <c r="N2901" t="str">
        <f>_xlfn.XLOOKUP(B2901,tblCustomers[customer_id],tblCustomers[region],"Missing")</f>
        <v>North</v>
      </c>
      <c r="O2901" t="str">
        <f>_xlfn.XLOOKUP(C2901,tblProducts[product_id],tblProducts[product_name],"Missing")</f>
        <v>Analytics Cloud</v>
      </c>
      <c r="P2901" t="str">
        <f>_xlfn.XLOOKUP(C2901,tblProducts[product_id],tblProducts[category],"Missing")</f>
        <v>Analytics</v>
      </c>
      <c r="Q2901" t="str">
        <f>_xlfn.XLOOKUP(D2901,tblSalesReps[rep_id],tblSalesReps[rep_name],"Missing")</f>
        <v>Sales Rep 09</v>
      </c>
      <c r="R2901" t="str">
        <f>_xlfn.XLOOKUP(D2901,tblSalesReps[rep_id],tblSalesReps[region],"Missing")</f>
        <v>North</v>
      </c>
    </row>
    <row r="2902" spans="1:18">
      <c r="A2902" t="s">
        <v>3446</v>
      </c>
      <c r="B2902" t="s">
        <v>565</v>
      </c>
      <c r="C2902" t="s">
        <v>81</v>
      </c>
      <c r="D2902" t="s">
        <v>152</v>
      </c>
      <c r="E2902" s="1">
        <v>45919</v>
      </c>
      <c r="F2902" s="1">
        <v>46004</v>
      </c>
      <c r="G2902" s="1"/>
      <c r="H2902" t="s">
        <v>43</v>
      </c>
      <c r="I2902">
        <v>1</v>
      </c>
      <c r="J2902">
        <v>20</v>
      </c>
      <c r="K2902">
        <v>240000</v>
      </c>
      <c r="L2902">
        <v>80</v>
      </c>
      <c r="M2902" t="s">
        <v>29</v>
      </c>
      <c r="N2902" t="str">
        <f>_xlfn.XLOOKUP(B2902,tblCustomers[customer_id],tblCustomers[region],"Missing")</f>
        <v>East</v>
      </c>
      <c r="O2902" t="str">
        <f>_xlfn.XLOOKUP(C2902,tblProducts[product_id],tblProducts[product_name],"Missing")</f>
        <v>Analytics Cloud</v>
      </c>
      <c r="P2902" t="str">
        <f>_xlfn.XLOOKUP(C2902,tblProducts[product_id],tblProducts[category],"Missing")</f>
        <v>Analytics</v>
      </c>
      <c r="Q2902" t="str">
        <f>_xlfn.XLOOKUP(D2902,tblSalesReps[rep_id],tblSalesReps[rep_name],"Missing")</f>
        <v>Sales Rep 18</v>
      </c>
      <c r="R2902" t="str">
        <f>_xlfn.XLOOKUP(D2902,tblSalesReps[rep_id],tblSalesReps[region],"Missing")</f>
        <v>East</v>
      </c>
    </row>
    <row r="2903" spans="1:18">
      <c r="A2903" t="s">
        <v>3447</v>
      </c>
      <c r="B2903" t="s">
        <v>1536</v>
      </c>
      <c r="C2903" t="s">
        <v>15</v>
      </c>
      <c r="D2903" t="s">
        <v>16</v>
      </c>
      <c r="E2903" s="1">
        <v>45933</v>
      </c>
      <c r="F2903" s="1">
        <v>45987</v>
      </c>
      <c r="G2903" s="1"/>
      <c r="H2903" t="s">
        <v>43</v>
      </c>
      <c r="I2903">
        <v>1</v>
      </c>
      <c r="J2903">
        <v>5</v>
      </c>
      <c r="K2903">
        <v>399000</v>
      </c>
      <c r="L2903">
        <v>20</v>
      </c>
      <c r="M2903" t="s">
        <v>29</v>
      </c>
      <c r="N2903" t="str">
        <f>_xlfn.XLOOKUP(B2903,tblCustomers[customer_id],tblCustomers[region],"Missing")</f>
        <v>North</v>
      </c>
      <c r="O2903" t="str">
        <f>_xlfn.XLOOKUP(C2903,tblProducts[product_id],tblProducts[product_name],"Missing")</f>
        <v>CRM Enterprise</v>
      </c>
      <c r="P2903" t="str">
        <f>_xlfn.XLOOKUP(C2903,tblProducts[product_id],tblProducts[category],"Missing")</f>
        <v>CRM</v>
      </c>
      <c r="Q2903" t="str">
        <f>_xlfn.XLOOKUP(D2903,tblSalesReps[rep_id],tblSalesReps[rep_name],"Missing")</f>
        <v>Sales Rep 08</v>
      </c>
      <c r="R2903" t="str">
        <f>_xlfn.XLOOKUP(D2903,tblSalesReps[rep_id],tblSalesReps[region],"Missing")</f>
        <v>North</v>
      </c>
    </row>
    <row r="2904" spans="1:18">
      <c r="A2904" t="s">
        <v>3448</v>
      </c>
      <c r="B2904" t="s">
        <v>542</v>
      </c>
      <c r="C2904" t="s">
        <v>39</v>
      </c>
      <c r="D2904" t="s">
        <v>40</v>
      </c>
      <c r="E2904" s="1">
        <v>45901</v>
      </c>
      <c r="F2904" s="1">
        <v>45947</v>
      </c>
      <c r="G2904" s="1">
        <v>45947</v>
      </c>
      <c r="H2904" t="s">
        <v>28</v>
      </c>
      <c r="I2904">
        <v>2</v>
      </c>
      <c r="J2904">
        <v>20</v>
      </c>
      <c r="K2904">
        <v>288000</v>
      </c>
      <c r="L2904">
        <v>100</v>
      </c>
      <c r="M2904" t="s">
        <v>29</v>
      </c>
      <c r="N2904" t="str">
        <f>_xlfn.XLOOKUP(B2904,tblCustomers[customer_id],tblCustomers[region],"Missing")</f>
        <v>West</v>
      </c>
      <c r="O2904" t="str">
        <f>_xlfn.XLOOKUP(C2904,tblProducts[product_id],tblProducts[product_name],"Missing")</f>
        <v>Support Desk</v>
      </c>
      <c r="P2904" t="str">
        <f>_xlfn.XLOOKUP(C2904,tblProducts[product_id],tblProducts[category],"Missing")</f>
        <v>Service</v>
      </c>
      <c r="Q2904" t="str">
        <f>_xlfn.XLOOKUP(D2904,tblSalesReps[rep_id],tblSalesReps[rep_name],"Missing")</f>
        <v>Sales Rep 13</v>
      </c>
      <c r="R2904" t="str">
        <f>_xlfn.XLOOKUP(D2904,tblSalesReps[rep_id],tblSalesReps[region],"Missing")</f>
        <v>West</v>
      </c>
    </row>
    <row r="2905" spans="1:18">
      <c r="A2905" t="s">
        <v>3449</v>
      </c>
      <c r="B2905" t="s">
        <v>1141</v>
      </c>
      <c r="C2905" t="s">
        <v>39</v>
      </c>
      <c r="D2905" t="s">
        <v>40</v>
      </c>
      <c r="E2905" s="1">
        <v>45999</v>
      </c>
      <c r="F2905" s="1">
        <v>46040</v>
      </c>
      <c r="G2905" s="1"/>
      <c r="H2905" t="s">
        <v>43</v>
      </c>
      <c r="I2905">
        <v>1</v>
      </c>
      <c r="J2905">
        <v>0</v>
      </c>
      <c r="K2905">
        <v>180000</v>
      </c>
      <c r="L2905">
        <v>40</v>
      </c>
      <c r="M2905" t="s">
        <v>29</v>
      </c>
      <c r="N2905" t="str">
        <f>_xlfn.XLOOKUP(B2905,tblCustomers[customer_id],tblCustomers[region],"Missing")</f>
        <v>West</v>
      </c>
      <c r="O2905" t="str">
        <f>_xlfn.XLOOKUP(C2905,tblProducts[product_id],tblProducts[product_name],"Missing")</f>
        <v>Support Desk</v>
      </c>
      <c r="P2905" t="str">
        <f>_xlfn.XLOOKUP(C2905,tblProducts[product_id],tblProducts[category],"Missing")</f>
        <v>Service</v>
      </c>
      <c r="Q2905" t="str">
        <f>_xlfn.XLOOKUP(D2905,tblSalesReps[rep_id],tblSalesReps[rep_name],"Missing")</f>
        <v>Sales Rep 13</v>
      </c>
      <c r="R2905" t="str">
        <f>_xlfn.XLOOKUP(D2905,tblSalesReps[rep_id],tblSalesReps[region],"Missing")</f>
        <v>West</v>
      </c>
    </row>
    <row r="2906" spans="1:18">
      <c r="A2906" t="s">
        <v>3450</v>
      </c>
      <c r="B2906" t="s">
        <v>264</v>
      </c>
      <c r="C2906" t="s">
        <v>81</v>
      </c>
      <c r="D2906" t="s">
        <v>126</v>
      </c>
      <c r="E2906" s="1">
        <v>45952</v>
      </c>
      <c r="F2906" s="1">
        <v>45972</v>
      </c>
      <c r="G2906" s="1">
        <v>45972</v>
      </c>
      <c r="H2906" t="s">
        <v>17</v>
      </c>
      <c r="I2906">
        <v>2</v>
      </c>
      <c r="J2906">
        <v>10</v>
      </c>
      <c r="K2906">
        <v>540000</v>
      </c>
      <c r="L2906">
        <v>0</v>
      </c>
      <c r="M2906" t="s">
        <v>18</v>
      </c>
      <c r="N2906" t="str">
        <f>_xlfn.XLOOKUP(B2906,tblCustomers[customer_id],tblCustomers[region],"Missing")</f>
        <v>South</v>
      </c>
      <c r="O2906" t="str">
        <f>_xlfn.XLOOKUP(C2906,tblProducts[product_id],tblProducts[product_name],"Missing")</f>
        <v>Analytics Cloud</v>
      </c>
      <c r="P2906" t="str">
        <f>_xlfn.XLOOKUP(C2906,tblProducts[product_id],tblProducts[category],"Missing")</f>
        <v>Analytics</v>
      </c>
      <c r="Q2906" t="str">
        <f>_xlfn.XLOOKUP(D2906,tblSalesReps[rep_id],tblSalesReps[rep_name],"Missing")</f>
        <v>Sales Rep 02</v>
      </c>
      <c r="R2906" t="str">
        <f>_xlfn.XLOOKUP(D2906,tblSalesReps[rep_id],tblSalesReps[region],"Missing")</f>
        <v>South</v>
      </c>
    </row>
    <row r="2907" spans="1:18">
      <c r="A2907" t="s">
        <v>3451</v>
      </c>
      <c r="B2907" t="s">
        <v>164</v>
      </c>
      <c r="C2907" t="s">
        <v>62</v>
      </c>
      <c r="D2907" t="s">
        <v>119</v>
      </c>
      <c r="E2907" s="1">
        <v>45819</v>
      </c>
      <c r="F2907" s="1">
        <v>45866</v>
      </c>
      <c r="G2907" s="1">
        <v>45866</v>
      </c>
      <c r="H2907" t="s">
        <v>28</v>
      </c>
      <c r="I2907">
        <v>1</v>
      </c>
      <c r="J2907">
        <v>20</v>
      </c>
      <c r="K2907">
        <v>96000</v>
      </c>
      <c r="L2907">
        <v>100</v>
      </c>
      <c r="M2907" t="s">
        <v>29</v>
      </c>
      <c r="N2907" t="str">
        <f>_xlfn.XLOOKUP(B2907,tblCustomers[customer_id],tblCustomers[region],"Missing")</f>
        <v>North</v>
      </c>
      <c r="O2907" t="str">
        <f>_xlfn.XLOOKUP(C2907,tblProducts[product_id],tblProducts[product_name],"Missing")</f>
        <v>CRM Essentials</v>
      </c>
      <c r="P2907" t="str">
        <f>_xlfn.XLOOKUP(C2907,tblProducts[product_id],tblProducts[category],"Missing")</f>
        <v>CRM</v>
      </c>
      <c r="Q2907" t="str">
        <f>_xlfn.XLOOKUP(D2907,tblSalesReps[rep_id],tblSalesReps[rep_name],"Missing")</f>
        <v>Sales Rep 10</v>
      </c>
      <c r="R2907" t="str">
        <f>_xlfn.XLOOKUP(D2907,tblSalesReps[rep_id],tblSalesReps[region],"Missing")</f>
        <v>North</v>
      </c>
    </row>
    <row r="2908" spans="1:18">
      <c r="A2908" t="s">
        <v>3452</v>
      </c>
      <c r="B2908" t="s">
        <v>896</v>
      </c>
      <c r="C2908" t="s">
        <v>62</v>
      </c>
      <c r="D2908" t="s">
        <v>59</v>
      </c>
      <c r="E2908" s="1">
        <v>45682</v>
      </c>
      <c r="F2908" s="1">
        <v>45737</v>
      </c>
      <c r="G2908" s="1"/>
      <c r="H2908" t="s">
        <v>43</v>
      </c>
      <c r="I2908">
        <v>1</v>
      </c>
      <c r="J2908">
        <v>20</v>
      </c>
      <c r="K2908">
        <v>96000</v>
      </c>
      <c r="L2908">
        <v>20</v>
      </c>
      <c r="M2908" t="s">
        <v>29</v>
      </c>
      <c r="N2908" t="str">
        <f>_xlfn.XLOOKUP(B2908,tblCustomers[customer_id],tblCustomers[region],"Missing")</f>
        <v>East</v>
      </c>
      <c r="O2908" t="str">
        <f>_xlfn.XLOOKUP(C2908,tblProducts[product_id],tblProducts[product_name],"Missing")</f>
        <v>CRM Essentials</v>
      </c>
      <c r="P2908" t="str">
        <f>_xlfn.XLOOKUP(C2908,tblProducts[product_id],tblProducts[category],"Missing")</f>
        <v>CRM</v>
      </c>
      <c r="Q2908" t="str">
        <f>_xlfn.XLOOKUP(D2908,tblSalesReps[rep_id],tblSalesReps[rep_name],"Missing")</f>
        <v>Sales Rep 19</v>
      </c>
      <c r="R2908" t="str">
        <f>_xlfn.XLOOKUP(D2908,tblSalesReps[rep_id],tblSalesReps[region],"Missing")</f>
        <v>East</v>
      </c>
    </row>
    <row r="2909" spans="1:18">
      <c r="A2909" t="s">
        <v>3453</v>
      </c>
      <c r="B2909" t="s">
        <v>1644</v>
      </c>
      <c r="C2909" t="s">
        <v>62</v>
      </c>
      <c r="D2909" t="s">
        <v>91</v>
      </c>
      <c r="E2909" s="1">
        <v>45880</v>
      </c>
      <c r="F2909" s="1">
        <v>45900</v>
      </c>
      <c r="G2909" s="1"/>
      <c r="H2909" t="s">
        <v>43</v>
      </c>
      <c r="I2909">
        <v>2</v>
      </c>
      <c r="J2909">
        <v>10</v>
      </c>
      <c r="K2909">
        <v>216000</v>
      </c>
      <c r="L2909">
        <v>20</v>
      </c>
      <c r="M2909" t="s">
        <v>29</v>
      </c>
      <c r="N2909" t="str">
        <f>_xlfn.XLOOKUP(B2909,tblCustomers[customer_id],tblCustomers[region],"Missing")</f>
        <v>South</v>
      </c>
      <c r="O2909" t="str">
        <f>_xlfn.XLOOKUP(C2909,tblProducts[product_id],tblProducts[product_name],"Missing")</f>
        <v>CRM Essentials</v>
      </c>
      <c r="P2909" t="str">
        <f>_xlfn.XLOOKUP(C2909,tblProducts[product_id],tblProducts[category],"Missing")</f>
        <v>CRM</v>
      </c>
      <c r="Q2909" t="str">
        <f>_xlfn.XLOOKUP(D2909,tblSalesReps[rep_id],tblSalesReps[rep_name],"Missing")</f>
        <v>Sales Rep 03</v>
      </c>
      <c r="R2909" t="str">
        <f>_xlfn.XLOOKUP(D2909,tblSalesReps[rep_id],tblSalesReps[region],"Missing")</f>
        <v>South</v>
      </c>
    </row>
    <row r="2910" spans="1:18">
      <c r="A2910" t="s">
        <v>3454</v>
      </c>
      <c r="B2910" t="s">
        <v>396</v>
      </c>
      <c r="C2910" t="s">
        <v>62</v>
      </c>
      <c r="D2910" t="s">
        <v>32</v>
      </c>
      <c r="E2910" s="1">
        <v>45917</v>
      </c>
      <c r="F2910" s="1">
        <v>45924</v>
      </c>
      <c r="G2910" s="1">
        <v>45924</v>
      </c>
      <c r="H2910" t="s">
        <v>28</v>
      </c>
      <c r="I2910">
        <v>2</v>
      </c>
      <c r="J2910">
        <v>0</v>
      </c>
      <c r="K2910">
        <v>240000</v>
      </c>
      <c r="L2910">
        <v>100</v>
      </c>
      <c r="M2910" t="s">
        <v>29</v>
      </c>
      <c r="N2910" t="str">
        <f>_xlfn.XLOOKUP(B2910,tblCustomers[customer_id],tblCustomers[region],"Missing")</f>
        <v>South</v>
      </c>
      <c r="O2910" t="str">
        <f>_xlfn.XLOOKUP(C2910,tblProducts[product_id],tblProducts[product_name],"Missing")</f>
        <v>CRM Essentials</v>
      </c>
      <c r="P2910" t="str">
        <f>_xlfn.XLOOKUP(C2910,tblProducts[product_id],tblProducts[category],"Missing")</f>
        <v>CRM</v>
      </c>
      <c r="Q2910" t="str">
        <f>_xlfn.XLOOKUP(D2910,tblSalesReps[rep_id],tblSalesReps[rep_name],"Missing")</f>
        <v>Sales Rep 04</v>
      </c>
      <c r="R2910" t="str">
        <f>_xlfn.XLOOKUP(D2910,tblSalesReps[rep_id],tblSalesReps[region],"Missing")</f>
        <v>South</v>
      </c>
    </row>
    <row r="2911" spans="1:18">
      <c r="A2911" t="s">
        <v>3455</v>
      </c>
      <c r="B2911" t="s">
        <v>423</v>
      </c>
      <c r="C2911" t="s">
        <v>15</v>
      </c>
      <c r="D2911" t="s">
        <v>22</v>
      </c>
      <c r="E2911" s="1">
        <v>45939</v>
      </c>
      <c r="F2911" s="1">
        <v>46005</v>
      </c>
      <c r="G2911" s="1">
        <v>46005</v>
      </c>
      <c r="H2911" t="s">
        <v>28</v>
      </c>
      <c r="I2911">
        <v>1</v>
      </c>
      <c r="J2911">
        <v>20</v>
      </c>
      <c r="K2911">
        <v>336000</v>
      </c>
      <c r="L2911">
        <v>100</v>
      </c>
      <c r="M2911" t="s">
        <v>29</v>
      </c>
      <c r="N2911" t="str">
        <f>_xlfn.XLOOKUP(B2911,tblCustomers[customer_id],tblCustomers[region],"Missing")</f>
        <v>West</v>
      </c>
      <c r="O2911" t="str">
        <f>_xlfn.XLOOKUP(C2911,tblProducts[product_id],tblProducts[product_name],"Missing")</f>
        <v>CRM Enterprise</v>
      </c>
      <c r="P2911" t="str">
        <f>_xlfn.XLOOKUP(C2911,tblProducts[product_id],tblProducts[category],"Missing")</f>
        <v>CRM</v>
      </c>
      <c r="Q2911" t="str">
        <f>_xlfn.XLOOKUP(D2911,tblSalesReps[rep_id],tblSalesReps[rep_name],"Missing")</f>
        <v>Sales Rep 14</v>
      </c>
      <c r="R2911" t="str">
        <f>_xlfn.XLOOKUP(D2911,tblSalesReps[rep_id],tblSalesReps[region],"Missing")</f>
        <v>West</v>
      </c>
    </row>
    <row r="2912" spans="1:18">
      <c r="A2912" t="s">
        <v>3456</v>
      </c>
      <c r="B2912" t="s">
        <v>948</v>
      </c>
      <c r="C2912" t="s">
        <v>62</v>
      </c>
      <c r="D2912" t="s">
        <v>50</v>
      </c>
      <c r="E2912" s="1">
        <v>45967</v>
      </c>
      <c r="F2912" s="1">
        <v>45976</v>
      </c>
      <c r="G2912" s="1">
        <v>45976</v>
      </c>
      <c r="H2912" t="s">
        <v>28</v>
      </c>
      <c r="I2912">
        <v>1</v>
      </c>
      <c r="J2912">
        <v>15</v>
      </c>
      <c r="K2912">
        <v>102000</v>
      </c>
      <c r="L2912">
        <v>100</v>
      </c>
      <c r="M2912" t="s">
        <v>29</v>
      </c>
      <c r="N2912" t="str">
        <f>_xlfn.XLOOKUP(B2912,tblCustomers[customer_id],tblCustomers[region],"Missing")</f>
        <v>West</v>
      </c>
      <c r="O2912" t="str">
        <f>_xlfn.XLOOKUP(C2912,tblProducts[product_id],tblProducts[product_name],"Missing")</f>
        <v>CRM Essentials</v>
      </c>
      <c r="P2912" t="str">
        <f>_xlfn.XLOOKUP(C2912,tblProducts[product_id],tblProducts[category],"Missing")</f>
        <v>CRM</v>
      </c>
      <c r="Q2912" t="str">
        <f>_xlfn.XLOOKUP(D2912,tblSalesReps[rep_id],tblSalesReps[rep_name],"Missing")</f>
        <v>Sales Rep 15</v>
      </c>
      <c r="R2912" t="str">
        <f>_xlfn.XLOOKUP(D2912,tblSalesReps[rep_id],tblSalesReps[region],"Missing")</f>
        <v>West</v>
      </c>
    </row>
    <row r="2913" spans="1:18">
      <c r="A2913" t="s">
        <v>3457</v>
      </c>
      <c r="B2913" t="s">
        <v>93</v>
      </c>
      <c r="C2913" t="s">
        <v>39</v>
      </c>
      <c r="D2913" t="s">
        <v>53</v>
      </c>
      <c r="E2913" s="1">
        <v>45920</v>
      </c>
      <c r="F2913" s="1">
        <v>45954</v>
      </c>
      <c r="G2913" s="1">
        <v>45954</v>
      </c>
      <c r="H2913" t="s">
        <v>17</v>
      </c>
      <c r="I2913">
        <v>1</v>
      </c>
      <c r="J2913">
        <v>0</v>
      </c>
      <c r="K2913">
        <v>180000</v>
      </c>
      <c r="L2913">
        <v>0</v>
      </c>
      <c r="M2913" t="s">
        <v>82</v>
      </c>
      <c r="N2913" t="str">
        <f>_xlfn.XLOOKUP(B2913,tblCustomers[customer_id],tblCustomers[region],"Missing")</f>
        <v>East</v>
      </c>
      <c r="O2913" t="str">
        <f>_xlfn.XLOOKUP(C2913,tblProducts[product_id],tblProducts[product_name],"Missing")</f>
        <v>Support Desk</v>
      </c>
      <c r="P2913" t="str">
        <f>_xlfn.XLOOKUP(C2913,tblProducts[product_id],tblProducts[category],"Missing")</f>
        <v>Service</v>
      </c>
      <c r="Q2913" t="str">
        <f>_xlfn.XLOOKUP(D2913,tblSalesReps[rep_id],tblSalesReps[rep_name],"Missing")</f>
        <v>Sales Rep 16</v>
      </c>
      <c r="R2913" t="str">
        <f>_xlfn.XLOOKUP(D2913,tblSalesReps[rep_id],tblSalesReps[region],"Missing")</f>
        <v>East</v>
      </c>
    </row>
    <row r="2914" spans="1:18">
      <c r="A2914" t="s">
        <v>3458</v>
      </c>
      <c r="B2914" t="s">
        <v>1382</v>
      </c>
      <c r="C2914" t="s">
        <v>62</v>
      </c>
      <c r="D2914" t="s">
        <v>40</v>
      </c>
      <c r="E2914" s="1">
        <v>45957</v>
      </c>
      <c r="F2914" s="1">
        <v>46023</v>
      </c>
      <c r="G2914" s="1"/>
      <c r="H2914" t="s">
        <v>43</v>
      </c>
      <c r="I2914">
        <v>1</v>
      </c>
      <c r="J2914">
        <v>10</v>
      </c>
      <c r="K2914">
        <v>108000</v>
      </c>
      <c r="L2914">
        <v>40</v>
      </c>
      <c r="M2914" t="s">
        <v>29</v>
      </c>
      <c r="N2914" t="str">
        <f>_xlfn.XLOOKUP(B2914,tblCustomers[customer_id],tblCustomers[region],"Missing")</f>
        <v>West</v>
      </c>
      <c r="O2914" t="str">
        <f>_xlfn.XLOOKUP(C2914,tblProducts[product_id],tblProducts[product_name],"Missing")</f>
        <v>CRM Essentials</v>
      </c>
      <c r="P2914" t="str">
        <f>_xlfn.XLOOKUP(C2914,tblProducts[product_id],tblProducts[category],"Missing")</f>
        <v>CRM</v>
      </c>
      <c r="Q2914" t="str">
        <f>_xlfn.XLOOKUP(D2914,tblSalesReps[rep_id],tblSalesReps[rep_name],"Missing")</f>
        <v>Sales Rep 13</v>
      </c>
      <c r="R2914" t="str">
        <f>_xlfn.XLOOKUP(D2914,tblSalesReps[rep_id],tblSalesReps[region],"Missing")</f>
        <v>West</v>
      </c>
    </row>
    <row r="2915" spans="1:18">
      <c r="A2915" t="s">
        <v>3459</v>
      </c>
      <c r="B2915" t="s">
        <v>255</v>
      </c>
      <c r="C2915" t="s">
        <v>15</v>
      </c>
      <c r="D2915" t="s">
        <v>152</v>
      </c>
      <c r="E2915" s="1">
        <v>45847</v>
      </c>
      <c r="F2915" s="1">
        <v>45898</v>
      </c>
      <c r="G2915" s="1">
        <v>45898</v>
      </c>
      <c r="H2915" t="s">
        <v>28</v>
      </c>
      <c r="I2915">
        <v>3</v>
      </c>
      <c r="J2915">
        <v>20</v>
      </c>
      <c r="K2915">
        <v>1008000</v>
      </c>
      <c r="L2915">
        <v>100</v>
      </c>
      <c r="M2915" t="s">
        <v>29</v>
      </c>
      <c r="N2915" t="str">
        <f>_xlfn.XLOOKUP(B2915,tblCustomers[customer_id],tblCustomers[region],"Missing")</f>
        <v>East</v>
      </c>
      <c r="O2915" t="str">
        <f>_xlfn.XLOOKUP(C2915,tblProducts[product_id],tblProducts[product_name],"Missing")</f>
        <v>CRM Enterprise</v>
      </c>
      <c r="P2915" t="str">
        <f>_xlfn.XLOOKUP(C2915,tblProducts[product_id],tblProducts[category],"Missing")</f>
        <v>CRM</v>
      </c>
      <c r="Q2915" t="str">
        <f>_xlfn.XLOOKUP(D2915,tblSalesReps[rep_id],tblSalesReps[rep_name],"Missing")</f>
        <v>Sales Rep 18</v>
      </c>
      <c r="R2915" t="str">
        <f>_xlfn.XLOOKUP(D2915,tblSalesReps[rep_id],tblSalesReps[region],"Missing")</f>
        <v>East</v>
      </c>
    </row>
    <row r="2916" spans="1:18">
      <c r="A2916" t="s">
        <v>3460</v>
      </c>
      <c r="B2916" t="s">
        <v>1601</v>
      </c>
      <c r="C2916" t="s">
        <v>15</v>
      </c>
      <c r="D2916" t="s">
        <v>32</v>
      </c>
      <c r="E2916" s="1">
        <v>45788</v>
      </c>
      <c r="F2916" s="1">
        <v>45835</v>
      </c>
      <c r="G2916" s="1"/>
      <c r="H2916" t="s">
        <v>43</v>
      </c>
      <c r="I2916">
        <v>1</v>
      </c>
      <c r="J2916">
        <v>10</v>
      </c>
      <c r="K2916">
        <v>378000</v>
      </c>
      <c r="L2916">
        <v>40</v>
      </c>
      <c r="M2916" t="s">
        <v>29</v>
      </c>
      <c r="N2916" t="str">
        <f>_xlfn.XLOOKUP(B2916,tblCustomers[customer_id],tblCustomers[region],"Missing")</f>
        <v>South</v>
      </c>
      <c r="O2916" t="str">
        <f>_xlfn.XLOOKUP(C2916,tblProducts[product_id],tblProducts[product_name],"Missing")</f>
        <v>CRM Enterprise</v>
      </c>
      <c r="P2916" t="str">
        <f>_xlfn.XLOOKUP(C2916,tblProducts[product_id],tblProducts[category],"Missing")</f>
        <v>CRM</v>
      </c>
      <c r="Q2916" t="str">
        <f>_xlfn.XLOOKUP(D2916,tblSalesReps[rep_id],tblSalesReps[rep_name],"Missing")</f>
        <v>Sales Rep 04</v>
      </c>
      <c r="R2916" t="str">
        <f>_xlfn.XLOOKUP(D2916,tblSalesReps[rep_id],tblSalesReps[region],"Missing")</f>
        <v>South</v>
      </c>
    </row>
    <row r="2917" spans="1:18">
      <c r="A2917" t="s">
        <v>3461</v>
      </c>
      <c r="B2917" t="s">
        <v>2207</v>
      </c>
      <c r="C2917" t="s">
        <v>62</v>
      </c>
      <c r="D2917" t="s">
        <v>78</v>
      </c>
      <c r="E2917" s="1">
        <v>45880</v>
      </c>
      <c r="F2917" s="1">
        <v>45926</v>
      </c>
      <c r="G2917" s="1">
        <v>45926</v>
      </c>
      <c r="H2917" t="s">
        <v>17</v>
      </c>
      <c r="I2917">
        <v>1</v>
      </c>
      <c r="J2917">
        <v>5</v>
      </c>
      <c r="K2917">
        <v>114000</v>
      </c>
      <c r="L2917">
        <v>0</v>
      </c>
      <c r="M2917" t="s">
        <v>18</v>
      </c>
      <c r="N2917" t="str">
        <f>_xlfn.XLOOKUP(B2917,tblCustomers[customer_id],tblCustomers[region],"Missing")</f>
        <v>West</v>
      </c>
      <c r="O2917" t="str">
        <f>_xlfn.XLOOKUP(C2917,tblProducts[product_id],tblProducts[product_name],"Missing")</f>
        <v>CRM Essentials</v>
      </c>
      <c r="P2917" t="str">
        <f>_xlfn.XLOOKUP(C2917,tblProducts[product_id],tblProducts[category],"Missing")</f>
        <v>CRM</v>
      </c>
      <c r="Q2917" t="str">
        <f>_xlfn.XLOOKUP(D2917,tblSalesReps[rep_id],tblSalesReps[rep_name],"Missing")</f>
        <v>Sales Rep 12</v>
      </c>
      <c r="R2917" t="str">
        <f>_xlfn.XLOOKUP(D2917,tblSalesReps[rep_id],tblSalesReps[region],"Missing")</f>
        <v>West</v>
      </c>
    </row>
    <row r="2918" spans="1:18">
      <c r="A2918" t="s">
        <v>3462</v>
      </c>
      <c r="B2918" t="s">
        <v>1341</v>
      </c>
      <c r="C2918" t="s">
        <v>15</v>
      </c>
      <c r="D2918" t="s">
        <v>78</v>
      </c>
      <c r="E2918" s="1">
        <v>45924</v>
      </c>
      <c r="F2918" s="1">
        <v>45977</v>
      </c>
      <c r="G2918" s="1">
        <v>45977</v>
      </c>
      <c r="H2918" t="s">
        <v>28</v>
      </c>
      <c r="I2918">
        <v>2</v>
      </c>
      <c r="J2918">
        <v>20</v>
      </c>
      <c r="K2918">
        <v>672000</v>
      </c>
      <c r="L2918">
        <v>100</v>
      </c>
      <c r="M2918" t="s">
        <v>29</v>
      </c>
      <c r="N2918" t="str">
        <f>_xlfn.XLOOKUP(B2918,tblCustomers[customer_id],tblCustomers[region],"Missing")</f>
        <v>West</v>
      </c>
      <c r="O2918" t="str">
        <f>_xlfn.XLOOKUP(C2918,tblProducts[product_id],tblProducts[product_name],"Missing")</f>
        <v>CRM Enterprise</v>
      </c>
      <c r="P2918" t="str">
        <f>_xlfn.XLOOKUP(C2918,tblProducts[product_id],tblProducts[category],"Missing")</f>
        <v>CRM</v>
      </c>
      <c r="Q2918" t="str">
        <f>_xlfn.XLOOKUP(D2918,tblSalesReps[rep_id],tblSalesReps[rep_name],"Missing")</f>
        <v>Sales Rep 12</v>
      </c>
      <c r="R2918" t="str">
        <f>_xlfn.XLOOKUP(D2918,tblSalesReps[rep_id],tblSalesReps[region],"Missing")</f>
        <v>West</v>
      </c>
    </row>
    <row r="2919" spans="1:18">
      <c r="A2919" t="s">
        <v>3463</v>
      </c>
      <c r="B2919" t="s">
        <v>236</v>
      </c>
      <c r="C2919" t="s">
        <v>81</v>
      </c>
      <c r="D2919" t="s">
        <v>91</v>
      </c>
      <c r="E2919" s="1">
        <v>45748</v>
      </c>
      <c r="F2919" s="1">
        <v>45811</v>
      </c>
      <c r="G2919" s="1">
        <v>45811</v>
      </c>
      <c r="H2919" t="s">
        <v>17</v>
      </c>
      <c r="I2919">
        <v>2</v>
      </c>
      <c r="J2919">
        <v>10</v>
      </c>
      <c r="K2919">
        <v>540000</v>
      </c>
      <c r="L2919">
        <v>0</v>
      </c>
      <c r="M2919" t="s">
        <v>18</v>
      </c>
      <c r="N2919" t="str">
        <f>_xlfn.XLOOKUP(B2919,tblCustomers[customer_id],tblCustomers[region],"Missing")</f>
        <v>South</v>
      </c>
      <c r="O2919" t="str">
        <f>_xlfn.XLOOKUP(C2919,tblProducts[product_id],tblProducts[product_name],"Missing")</f>
        <v>Analytics Cloud</v>
      </c>
      <c r="P2919" t="str">
        <f>_xlfn.XLOOKUP(C2919,tblProducts[product_id],tblProducts[category],"Missing")</f>
        <v>Analytics</v>
      </c>
      <c r="Q2919" t="str">
        <f>_xlfn.XLOOKUP(D2919,tblSalesReps[rep_id],tblSalesReps[rep_name],"Missing")</f>
        <v>Sales Rep 03</v>
      </c>
      <c r="R2919" t="str">
        <f>_xlfn.XLOOKUP(D2919,tblSalesReps[rep_id],tblSalesReps[region],"Missing")</f>
        <v>South</v>
      </c>
    </row>
    <row r="2920" spans="1:18">
      <c r="A2920" t="s">
        <v>3464</v>
      </c>
      <c r="B2920" t="s">
        <v>944</v>
      </c>
      <c r="C2920" t="s">
        <v>81</v>
      </c>
      <c r="D2920" t="s">
        <v>27</v>
      </c>
      <c r="E2920" s="1">
        <v>45765</v>
      </c>
      <c r="F2920" s="1">
        <v>45772</v>
      </c>
      <c r="G2920" s="1">
        <v>45772</v>
      </c>
      <c r="H2920" t="s">
        <v>28</v>
      </c>
      <c r="I2920">
        <v>1</v>
      </c>
      <c r="J2920">
        <v>5</v>
      </c>
      <c r="K2920">
        <v>285000</v>
      </c>
      <c r="L2920">
        <v>100</v>
      </c>
      <c r="M2920" t="s">
        <v>29</v>
      </c>
      <c r="N2920" t="str">
        <f>_xlfn.XLOOKUP(B2920,tblCustomers[customer_id],tblCustomers[region],"Missing")</f>
        <v>North</v>
      </c>
      <c r="O2920" t="str">
        <f>_xlfn.XLOOKUP(C2920,tblProducts[product_id],tblProducts[product_name],"Missing")</f>
        <v>Analytics Cloud</v>
      </c>
      <c r="P2920" t="str">
        <f>_xlfn.XLOOKUP(C2920,tblProducts[product_id],tblProducts[category],"Missing")</f>
        <v>Analytics</v>
      </c>
      <c r="Q2920" t="str">
        <f>_xlfn.XLOOKUP(D2920,tblSalesReps[rep_id],tblSalesReps[rep_name],"Missing")</f>
        <v>Sales Rep 06</v>
      </c>
      <c r="R2920" t="str">
        <f>_xlfn.XLOOKUP(D2920,tblSalesReps[rep_id],tblSalesReps[region],"Missing")</f>
        <v>North</v>
      </c>
    </row>
    <row r="2921" spans="1:18">
      <c r="A2921" t="s">
        <v>3465</v>
      </c>
      <c r="B2921" t="s">
        <v>1076</v>
      </c>
      <c r="C2921" t="s">
        <v>26</v>
      </c>
      <c r="D2921" t="s">
        <v>16</v>
      </c>
      <c r="E2921" s="1">
        <v>45749</v>
      </c>
      <c r="F2921" s="1">
        <v>45792</v>
      </c>
      <c r="G2921" s="1">
        <v>45792</v>
      </c>
      <c r="H2921" t="s">
        <v>28</v>
      </c>
      <c r="I2921">
        <v>3</v>
      </c>
      <c r="J2921">
        <v>5</v>
      </c>
      <c r="K2921">
        <v>1026000</v>
      </c>
      <c r="L2921">
        <v>100</v>
      </c>
      <c r="M2921" t="s">
        <v>29</v>
      </c>
      <c r="N2921" t="str">
        <f>_xlfn.XLOOKUP(B2921,tblCustomers[customer_id],tblCustomers[region],"Missing")</f>
        <v>North</v>
      </c>
      <c r="O2921" t="str">
        <f>_xlfn.XLOOKUP(C2921,tblProducts[product_id],tblProducts[product_name],"Missing")</f>
        <v>Security Suite</v>
      </c>
      <c r="P2921" t="str">
        <f>_xlfn.XLOOKUP(C2921,tblProducts[product_id],tblProducts[category],"Missing")</f>
        <v>Security</v>
      </c>
      <c r="Q2921" t="str">
        <f>_xlfn.XLOOKUP(D2921,tblSalesReps[rep_id],tblSalesReps[rep_name],"Missing")</f>
        <v>Sales Rep 08</v>
      </c>
      <c r="R2921" t="str">
        <f>_xlfn.XLOOKUP(D2921,tblSalesReps[rep_id],tblSalesReps[region],"Missing")</f>
        <v>North</v>
      </c>
    </row>
    <row r="2922" spans="1:18">
      <c r="A2922" t="s">
        <v>3466</v>
      </c>
      <c r="B2922" t="s">
        <v>31</v>
      </c>
      <c r="C2922" t="s">
        <v>26</v>
      </c>
      <c r="D2922" t="s">
        <v>126</v>
      </c>
      <c r="E2922" s="1">
        <v>45843</v>
      </c>
      <c r="F2922" s="1">
        <v>45886</v>
      </c>
      <c r="G2922" s="1">
        <v>45886</v>
      </c>
      <c r="H2922" t="s">
        <v>28</v>
      </c>
      <c r="I2922">
        <v>1</v>
      </c>
      <c r="J2922">
        <v>0</v>
      </c>
      <c r="K2922">
        <v>360000</v>
      </c>
      <c r="L2922">
        <v>100</v>
      </c>
      <c r="M2922" t="s">
        <v>29</v>
      </c>
      <c r="N2922" t="str">
        <f>_xlfn.XLOOKUP(B2922,tblCustomers[customer_id],tblCustomers[region],"Missing")</f>
        <v>South</v>
      </c>
      <c r="O2922" t="str">
        <f>_xlfn.XLOOKUP(C2922,tblProducts[product_id],tblProducts[product_name],"Missing")</f>
        <v>Security Suite</v>
      </c>
      <c r="P2922" t="str">
        <f>_xlfn.XLOOKUP(C2922,tblProducts[product_id],tblProducts[category],"Missing")</f>
        <v>Security</v>
      </c>
      <c r="Q2922" t="str">
        <f>_xlfn.XLOOKUP(D2922,tblSalesReps[rep_id],tblSalesReps[rep_name],"Missing")</f>
        <v>Sales Rep 02</v>
      </c>
      <c r="R2922" t="str">
        <f>_xlfn.XLOOKUP(D2922,tblSalesReps[rep_id],tblSalesReps[region],"Missing")</f>
        <v>South</v>
      </c>
    </row>
    <row r="2923" spans="1:18">
      <c r="A2923" t="s">
        <v>3467</v>
      </c>
      <c r="B2923" t="s">
        <v>1051</v>
      </c>
      <c r="C2923" t="s">
        <v>62</v>
      </c>
      <c r="D2923" t="s">
        <v>59</v>
      </c>
      <c r="E2923" s="1">
        <v>45930</v>
      </c>
      <c r="F2923" s="1">
        <v>46009</v>
      </c>
      <c r="G2923" s="1">
        <v>46009</v>
      </c>
      <c r="H2923" t="s">
        <v>17</v>
      </c>
      <c r="I2923">
        <v>1</v>
      </c>
      <c r="J2923">
        <v>10</v>
      </c>
      <c r="K2923">
        <v>108000</v>
      </c>
      <c r="L2923">
        <v>0</v>
      </c>
      <c r="M2923" t="s">
        <v>23</v>
      </c>
      <c r="N2923" t="str">
        <f>_xlfn.XLOOKUP(B2923,tblCustomers[customer_id],tblCustomers[region],"Missing")</f>
        <v>East</v>
      </c>
      <c r="O2923" t="str">
        <f>_xlfn.XLOOKUP(C2923,tblProducts[product_id],tblProducts[product_name],"Missing")</f>
        <v>CRM Essentials</v>
      </c>
      <c r="P2923" t="str">
        <f>_xlfn.XLOOKUP(C2923,tblProducts[product_id],tblProducts[category],"Missing")</f>
        <v>CRM</v>
      </c>
      <c r="Q2923" t="str">
        <f>_xlfn.XLOOKUP(D2923,tblSalesReps[rep_id],tblSalesReps[rep_name],"Missing")</f>
        <v>Sales Rep 19</v>
      </c>
      <c r="R2923" t="str">
        <f>_xlfn.XLOOKUP(D2923,tblSalesReps[rep_id],tblSalesReps[region],"Missing")</f>
        <v>East</v>
      </c>
    </row>
    <row r="2924" spans="1:18">
      <c r="A2924" t="s">
        <v>3468</v>
      </c>
      <c r="B2924" t="s">
        <v>406</v>
      </c>
      <c r="C2924" t="s">
        <v>62</v>
      </c>
      <c r="D2924" t="s">
        <v>75</v>
      </c>
      <c r="E2924" s="1">
        <v>45765</v>
      </c>
      <c r="F2924" s="1">
        <v>45818</v>
      </c>
      <c r="G2924" s="1">
        <v>45818</v>
      </c>
      <c r="H2924" t="s">
        <v>17</v>
      </c>
      <c r="I2924">
        <v>1</v>
      </c>
      <c r="J2924">
        <v>5</v>
      </c>
      <c r="K2924">
        <v>114000</v>
      </c>
      <c r="L2924">
        <v>0</v>
      </c>
      <c r="M2924" t="s">
        <v>82</v>
      </c>
      <c r="N2924" t="str">
        <f>_xlfn.XLOOKUP(B2924,tblCustomers[customer_id],tblCustomers[region],"Missing")</f>
        <v>North</v>
      </c>
      <c r="O2924" t="str">
        <f>_xlfn.XLOOKUP(C2924,tblProducts[product_id],tblProducts[product_name],"Missing")</f>
        <v>CRM Essentials</v>
      </c>
      <c r="P2924" t="str">
        <f>_xlfn.XLOOKUP(C2924,tblProducts[product_id],tblProducts[category],"Missing")</f>
        <v>CRM</v>
      </c>
      <c r="Q2924" t="str">
        <f>_xlfn.XLOOKUP(D2924,tblSalesReps[rep_id],tblSalesReps[rep_name],"Missing")</f>
        <v>Sales Rep 07</v>
      </c>
      <c r="R2924" t="str">
        <f>_xlfn.XLOOKUP(D2924,tblSalesReps[rep_id],tblSalesReps[region],"Missing")</f>
        <v>North</v>
      </c>
    </row>
    <row r="2925" spans="1:18">
      <c r="A2925" t="s">
        <v>3469</v>
      </c>
      <c r="B2925" t="s">
        <v>67</v>
      </c>
      <c r="C2925" t="s">
        <v>15</v>
      </c>
      <c r="D2925" t="s">
        <v>32</v>
      </c>
      <c r="E2925" s="1">
        <v>45776</v>
      </c>
      <c r="F2925" s="1">
        <v>45835</v>
      </c>
      <c r="G2925" s="1">
        <v>45835</v>
      </c>
      <c r="H2925" t="s">
        <v>17</v>
      </c>
      <c r="I2925">
        <v>1</v>
      </c>
      <c r="J2925">
        <v>0</v>
      </c>
      <c r="K2925">
        <v>420000</v>
      </c>
      <c r="L2925">
        <v>0</v>
      </c>
      <c r="M2925" t="s">
        <v>18</v>
      </c>
      <c r="N2925" t="str">
        <f>_xlfn.XLOOKUP(B2925,tblCustomers[customer_id],tblCustomers[region],"Missing")</f>
        <v>South</v>
      </c>
      <c r="O2925" t="str">
        <f>_xlfn.XLOOKUP(C2925,tblProducts[product_id],tblProducts[product_name],"Missing")</f>
        <v>CRM Enterprise</v>
      </c>
      <c r="P2925" t="str">
        <f>_xlfn.XLOOKUP(C2925,tblProducts[product_id],tblProducts[category],"Missing")</f>
        <v>CRM</v>
      </c>
      <c r="Q2925" t="str">
        <f>_xlfn.XLOOKUP(D2925,tblSalesReps[rep_id],tblSalesReps[rep_name],"Missing")</f>
        <v>Sales Rep 04</v>
      </c>
      <c r="R2925" t="str">
        <f>_xlfn.XLOOKUP(D2925,tblSalesReps[rep_id],tblSalesReps[region],"Missing")</f>
        <v>South</v>
      </c>
    </row>
    <row r="2926" spans="1:18">
      <c r="A2926" t="s">
        <v>3470</v>
      </c>
      <c r="B2926" t="s">
        <v>3471</v>
      </c>
      <c r="C2926" t="s">
        <v>81</v>
      </c>
      <c r="D2926" t="s">
        <v>59</v>
      </c>
      <c r="E2926" s="1">
        <v>45939</v>
      </c>
      <c r="F2926" s="1">
        <v>45950</v>
      </c>
      <c r="G2926" s="1">
        <v>45950</v>
      </c>
      <c r="H2926" t="s">
        <v>17</v>
      </c>
      <c r="I2926">
        <v>1</v>
      </c>
      <c r="J2926">
        <v>0</v>
      </c>
      <c r="K2926">
        <v>300000</v>
      </c>
      <c r="L2926">
        <v>0</v>
      </c>
      <c r="M2926" t="s">
        <v>33</v>
      </c>
      <c r="N2926" t="str">
        <f>_xlfn.XLOOKUP(B2926,tblCustomers[customer_id],tblCustomers[region],"Missing")</f>
        <v>East</v>
      </c>
      <c r="O2926" t="str">
        <f>_xlfn.XLOOKUP(C2926,tblProducts[product_id],tblProducts[product_name],"Missing")</f>
        <v>Analytics Cloud</v>
      </c>
      <c r="P2926" t="str">
        <f>_xlfn.XLOOKUP(C2926,tblProducts[product_id],tblProducts[category],"Missing")</f>
        <v>Analytics</v>
      </c>
      <c r="Q2926" t="str">
        <f>_xlfn.XLOOKUP(D2926,tblSalesReps[rep_id],tblSalesReps[rep_name],"Missing")</f>
        <v>Sales Rep 19</v>
      </c>
      <c r="R2926" t="str">
        <f>_xlfn.XLOOKUP(D2926,tblSalesReps[rep_id],tblSalesReps[region],"Missing")</f>
        <v>East</v>
      </c>
    </row>
    <row r="2927" spans="1:18">
      <c r="A2927" t="s">
        <v>3472</v>
      </c>
      <c r="B2927" t="s">
        <v>333</v>
      </c>
      <c r="C2927" t="s">
        <v>15</v>
      </c>
      <c r="D2927" t="s">
        <v>36</v>
      </c>
      <c r="E2927" s="1">
        <v>45755</v>
      </c>
      <c r="F2927" s="1">
        <v>45796</v>
      </c>
      <c r="G2927" s="1">
        <v>45796</v>
      </c>
      <c r="H2927" t="s">
        <v>28</v>
      </c>
      <c r="I2927">
        <v>2</v>
      </c>
      <c r="J2927">
        <v>20</v>
      </c>
      <c r="K2927">
        <v>672000</v>
      </c>
      <c r="L2927">
        <v>100</v>
      </c>
      <c r="M2927" t="s">
        <v>29</v>
      </c>
      <c r="N2927" t="str">
        <f>_xlfn.XLOOKUP(B2927,tblCustomers[customer_id],tblCustomers[region],"Missing")</f>
        <v>North</v>
      </c>
      <c r="O2927" t="str">
        <f>_xlfn.XLOOKUP(C2927,tblProducts[product_id],tblProducts[product_name],"Missing")</f>
        <v>CRM Enterprise</v>
      </c>
      <c r="P2927" t="str">
        <f>_xlfn.XLOOKUP(C2927,tblProducts[product_id],tblProducts[category],"Missing")</f>
        <v>CRM</v>
      </c>
      <c r="Q2927" t="str">
        <f>_xlfn.XLOOKUP(D2927,tblSalesReps[rep_id],tblSalesReps[rep_name],"Missing")</f>
        <v>Sales Rep 09</v>
      </c>
      <c r="R2927" t="str">
        <f>_xlfn.XLOOKUP(D2927,tblSalesReps[rep_id],tblSalesReps[region],"Missing")</f>
        <v>North</v>
      </c>
    </row>
    <row r="2928" spans="1:18">
      <c r="A2928" t="s">
        <v>3473</v>
      </c>
      <c r="B2928" t="s">
        <v>757</v>
      </c>
      <c r="C2928" t="s">
        <v>39</v>
      </c>
      <c r="D2928" t="s">
        <v>36</v>
      </c>
      <c r="E2928" s="1">
        <v>45784</v>
      </c>
      <c r="F2928" s="1">
        <v>45861</v>
      </c>
      <c r="G2928" s="1">
        <v>45861</v>
      </c>
      <c r="H2928" t="s">
        <v>28</v>
      </c>
      <c r="I2928">
        <v>1</v>
      </c>
      <c r="J2928">
        <v>10</v>
      </c>
      <c r="K2928">
        <v>162000</v>
      </c>
      <c r="L2928">
        <v>100</v>
      </c>
      <c r="M2928" t="s">
        <v>29</v>
      </c>
      <c r="N2928" t="str">
        <f>_xlfn.XLOOKUP(B2928,tblCustomers[customer_id],tblCustomers[region],"Missing")</f>
        <v>North</v>
      </c>
      <c r="O2928" t="str">
        <f>_xlfn.XLOOKUP(C2928,tblProducts[product_id],tblProducts[product_name],"Missing")</f>
        <v>Support Desk</v>
      </c>
      <c r="P2928" t="str">
        <f>_xlfn.XLOOKUP(C2928,tblProducts[product_id],tblProducts[category],"Missing")</f>
        <v>Service</v>
      </c>
      <c r="Q2928" t="str">
        <f>_xlfn.XLOOKUP(D2928,tblSalesReps[rep_id],tblSalesReps[rep_name],"Missing")</f>
        <v>Sales Rep 09</v>
      </c>
      <c r="R2928" t="str">
        <f>_xlfn.XLOOKUP(D2928,tblSalesReps[rep_id],tblSalesReps[region],"Missing")</f>
        <v>North</v>
      </c>
    </row>
    <row r="2929" spans="1:18">
      <c r="A2929" t="s">
        <v>3474</v>
      </c>
      <c r="B2929" t="s">
        <v>129</v>
      </c>
      <c r="C2929" t="s">
        <v>21</v>
      </c>
      <c r="D2929" t="s">
        <v>53</v>
      </c>
      <c r="E2929" s="1">
        <v>46004</v>
      </c>
      <c r="F2929" s="1">
        <v>46012</v>
      </c>
      <c r="G2929" s="1">
        <v>46012</v>
      </c>
      <c r="H2929" t="s">
        <v>17</v>
      </c>
      <c r="I2929">
        <v>3</v>
      </c>
      <c r="J2929">
        <v>20</v>
      </c>
      <c r="K2929">
        <v>576000</v>
      </c>
      <c r="L2929">
        <v>0</v>
      </c>
      <c r="M2929" t="s">
        <v>33</v>
      </c>
      <c r="N2929" t="str">
        <f>_xlfn.XLOOKUP(B2929,tblCustomers[customer_id],tblCustomers[region],"Missing")</f>
        <v>East</v>
      </c>
      <c r="O2929" t="str">
        <f>_xlfn.XLOOKUP(C2929,tblProducts[product_id],tblProducts[product_name],"Missing")</f>
        <v>Workflow Automate</v>
      </c>
      <c r="P2929" t="str">
        <f>_xlfn.XLOOKUP(C2929,tblProducts[product_id],tblProducts[category],"Missing")</f>
        <v>Automation</v>
      </c>
      <c r="Q2929" t="str">
        <f>_xlfn.XLOOKUP(D2929,tblSalesReps[rep_id],tblSalesReps[rep_name],"Missing")</f>
        <v>Sales Rep 16</v>
      </c>
      <c r="R2929" t="str">
        <f>_xlfn.XLOOKUP(D2929,tblSalesReps[rep_id],tblSalesReps[region],"Missing")</f>
        <v>East</v>
      </c>
    </row>
    <row r="2930" spans="1:18">
      <c r="A2930" t="s">
        <v>3475</v>
      </c>
      <c r="B2930" t="s">
        <v>1405</v>
      </c>
      <c r="C2930" t="s">
        <v>39</v>
      </c>
      <c r="D2930" t="s">
        <v>59</v>
      </c>
      <c r="E2930" s="1">
        <v>45949</v>
      </c>
      <c r="F2930" s="1">
        <v>46028</v>
      </c>
      <c r="G2930" s="1"/>
      <c r="H2930" t="s">
        <v>43</v>
      </c>
      <c r="I2930">
        <v>1</v>
      </c>
      <c r="J2930">
        <v>20</v>
      </c>
      <c r="K2930">
        <v>144000</v>
      </c>
      <c r="L2930">
        <v>20</v>
      </c>
      <c r="M2930" t="s">
        <v>29</v>
      </c>
      <c r="N2930" t="str">
        <f>_xlfn.XLOOKUP(B2930,tblCustomers[customer_id],tblCustomers[region],"Missing")</f>
        <v>East</v>
      </c>
      <c r="O2930" t="str">
        <f>_xlfn.XLOOKUP(C2930,tblProducts[product_id],tblProducts[product_name],"Missing")</f>
        <v>Support Desk</v>
      </c>
      <c r="P2930" t="str">
        <f>_xlfn.XLOOKUP(C2930,tblProducts[product_id],tblProducts[category],"Missing")</f>
        <v>Service</v>
      </c>
      <c r="Q2930" t="str">
        <f>_xlfn.XLOOKUP(D2930,tblSalesReps[rep_id],tblSalesReps[rep_name],"Missing")</f>
        <v>Sales Rep 19</v>
      </c>
      <c r="R2930" t="str">
        <f>_xlfn.XLOOKUP(D2930,tblSalesReps[rep_id],tblSalesReps[region],"Missing")</f>
        <v>East</v>
      </c>
    </row>
    <row r="2931" spans="1:18">
      <c r="A2931" t="s">
        <v>3476</v>
      </c>
      <c r="B2931" t="s">
        <v>653</v>
      </c>
      <c r="C2931" t="s">
        <v>15</v>
      </c>
      <c r="D2931" t="s">
        <v>168</v>
      </c>
      <c r="E2931" s="1">
        <v>45995</v>
      </c>
      <c r="F2931" s="1">
        <v>46003</v>
      </c>
      <c r="G2931" s="1">
        <v>46003</v>
      </c>
      <c r="H2931" t="s">
        <v>28</v>
      </c>
      <c r="I2931">
        <v>1</v>
      </c>
      <c r="J2931">
        <v>5</v>
      </c>
      <c r="K2931">
        <v>399000</v>
      </c>
      <c r="L2931">
        <v>100</v>
      </c>
      <c r="M2931" t="s">
        <v>29</v>
      </c>
      <c r="N2931" t="str">
        <f>_xlfn.XLOOKUP(B2931,tblCustomers[customer_id],tblCustomers[region],"Missing")</f>
        <v>East</v>
      </c>
      <c r="O2931" t="str">
        <f>_xlfn.XLOOKUP(C2931,tblProducts[product_id],tblProducts[product_name],"Missing")</f>
        <v>CRM Enterprise</v>
      </c>
      <c r="P2931" t="str">
        <f>_xlfn.XLOOKUP(C2931,tblProducts[product_id],tblProducts[category],"Missing")</f>
        <v>CRM</v>
      </c>
      <c r="Q2931" t="str">
        <f>_xlfn.XLOOKUP(D2931,tblSalesReps[rep_id],tblSalesReps[rep_name],"Missing")</f>
        <v>Sales Rep 17</v>
      </c>
      <c r="R2931" t="str">
        <f>_xlfn.XLOOKUP(D2931,tblSalesReps[rep_id],tblSalesReps[region],"Missing")</f>
        <v>East</v>
      </c>
    </row>
    <row r="2932" spans="1:18">
      <c r="A2932" t="s">
        <v>3477</v>
      </c>
      <c r="B2932" t="s">
        <v>1824</v>
      </c>
      <c r="C2932" t="s">
        <v>81</v>
      </c>
      <c r="D2932" t="s">
        <v>78</v>
      </c>
      <c r="E2932" s="1">
        <v>45889</v>
      </c>
      <c r="F2932" s="1">
        <v>45922</v>
      </c>
      <c r="G2932" s="1">
        <v>45922</v>
      </c>
      <c r="H2932" t="s">
        <v>28</v>
      </c>
      <c r="I2932">
        <v>1</v>
      </c>
      <c r="J2932">
        <v>5</v>
      </c>
      <c r="K2932">
        <v>285000</v>
      </c>
      <c r="L2932">
        <v>100</v>
      </c>
      <c r="M2932" t="s">
        <v>29</v>
      </c>
      <c r="N2932" t="str">
        <f>_xlfn.XLOOKUP(B2932,tblCustomers[customer_id],tblCustomers[region],"Missing")</f>
        <v>West</v>
      </c>
      <c r="O2932" t="str">
        <f>_xlfn.XLOOKUP(C2932,tblProducts[product_id],tblProducts[product_name],"Missing")</f>
        <v>Analytics Cloud</v>
      </c>
      <c r="P2932" t="str">
        <f>_xlfn.XLOOKUP(C2932,tblProducts[product_id],tblProducts[category],"Missing")</f>
        <v>Analytics</v>
      </c>
      <c r="Q2932" t="str">
        <f>_xlfn.XLOOKUP(D2932,tblSalesReps[rep_id],tblSalesReps[rep_name],"Missing")</f>
        <v>Sales Rep 12</v>
      </c>
      <c r="R2932" t="str">
        <f>_xlfn.XLOOKUP(D2932,tblSalesReps[rep_id],tblSalesReps[region],"Missing")</f>
        <v>West</v>
      </c>
    </row>
    <row r="2933" spans="1:18">
      <c r="A2933" t="s">
        <v>3478</v>
      </c>
      <c r="B2933" t="s">
        <v>544</v>
      </c>
      <c r="C2933" t="s">
        <v>81</v>
      </c>
      <c r="D2933" t="s">
        <v>50</v>
      </c>
      <c r="E2933" s="1">
        <v>45846</v>
      </c>
      <c r="F2933" s="1">
        <v>45887</v>
      </c>
      <c r="G2933" s="1"/>
      <c r="H2933" t="s">
        <v>43</v>
      </c>
      <c r="I2933">
        <v>1</v>
      </c>
      <c r="J2933">
        <v>0</v>
      </c>
      <c r="K2933">
        <v>300000</v>
      </c>
      <c r="L2933">
        <v>20</v>
      </c>
      <c r="M2933" t="s">
        <v>29</v>
      </c>
      <c r="N2933" t="str">
        <f>_xlfn.XLOOKUP(B2933,tblCustomers[customer_id],tblCustomers[region],"Missing")</f>
        <v>West</v>
      </c>
      <c r="O2933" t="str">
        <f>_xlfn.XLOOKUP(C2933,tblProducts[product_id],tblProducts[product_name],"Missing")</f>
        <v>Analytics Cloud</v>
      </c>
      <c r="P2933" t="str">
        <f>_xlfn.XLOOKUP(C2933,tblProducts[product_id],tblProducts[category],"Missing")</f>
        <v>Analytics</v>
      </c>
      <c r="Q2933" t="str">
        <f>_xlfn.XLOOKUP(D2933,tblSalesReps[rep_id],tblSalesReps[rep_name],"Missing")</f>
        <v>Sales Rep 15</v>
      </c>
      <c r="R2933" t="str">
        <f>_xlfn.XLOOKUP(D2933,tblSalesReps[rep_id],tblSalesReps[region],"Missing")</f>
        <v>West</v>
      </c>
    </row>
    <row r="2934" spans="1:18">
      <c r="A2934" t="s">
        <v>3479</v>
      </c>
      <c r="B2934" t="s">
        <v>1164</v>
      </c>
      <c r="C2934" t="s">
        <v>21</v>
      </c>
      <c r="D2934" t="s">
        <v>126</v>
      </c>
      <c r="E2934" s="1">
        <v>45698</v>
      </c>
      <c r="F2934" s="1">
        <v>45750</v>
      </c>
      <c r="G2934" s="1">
        <v>45750</v>
      </c>
      <c r="H2934" t="s">
        <v>28</v>
      </c>
      <c r="I2934">
        <v>2</v>
      </c>
      <c r="J2934">
        <v>15</v>
      </c>
      <c r="K2934">
        <v>408000</v>
      </c>
      <c r="L2934">
        <v>100</v>
      </c>
      <c r="M2934" t="s">
        <v>29</v>
      </c>
      <c r="N2934" t="str">
        <f>_xlfn.XLOOKUP(B2934,tblCustomers[customer_id],tblCustomers[region],"Missing")</f>
        <v>South</v>
      </c>
      <c r="O2934" t="str">
        <f>_xlfn.XLOOKUP(C2934,tblProducts[product_id],tblProducts[product_name],"Missing")</f>
        <v>Workflow Automate</v>
      </c>
      <c r="P2934" t="str">
        <f>_xlfn.XLOOKUP(C2934,tblProducts[product_id],tblProducts[category],"Missing")</f>
        <v>Automation</v>
      </c>
      <c r="Q2934" t="str">
        <f>_xlfn.XLOOKUP(D2934,tblSalesReps[rep_id],tblSalesReps[rep_name],"Missing")</f>
        <v>Sales Rep 02</v>
      </c>
      <c r="R2934" t="str">
        <f>_xlfn.XLOOKUP(D2934,tblSalesReps[rep_id],tblSalesReps[region],"Missing")</f>
        <v>South</v>
      </c>
    </row>
    <row r="2935" spans="1:18">
      <c r="A2935" t="s">
        <v>3480</v>
      </c>
      <c r="B2935" t="s">
        <v>279</v>
      </c>
      <c r="C2935" t="s">
        <v>39</v>
      </c>
      <c r="D2935" t="s">
        <v>22</v>
      </c>
      <c r="E2935" s="1">
        <v>45679</v>
      </c>
      <c r="F2935" s="1">
        <v>45755</v>
      </c>
      <c r="G2935" s="1">
        <v>45755</v>
      </c>
      <c r="H2935" t="s">
        <v>17</v>
      </c>
      <c r="I2935">
        <v>3</v>
      </c>
      <c r="J2935">
        <v>10</v>
      </c>
      <c r="K2935">
        <v>486000</v>
      </c>
      <c r="L2935">
        <v>0</v>
      </c>
      <c r="M2935" t="s">
        <v>33</v>
      </c>
      <c r="N2935" t="str">
        <f>_xlfn.XLOOKUP(B2935,tblCustomers[customer_id],tblCustomers[region],"Missing")</f>
        <v>West</v>
      </c>
      <c r="O2935" t="str">
        <f>_xlfn.XLOOKUP(C2935,tblProducts[product_id],tblProducts[product_name],"Missing")</f>
        <v>Support Desk</v>
      </c>
      <c r="P2935" t="str">
        <f>_xlfn.XLOOKUP(C2935,tblProducts[product_id],tblProducts[category],"Missing")</f>
        <v>Service</v>
      </c>
      <c r="Q2935" t="str">
        <f>_xlfn.XLOOKUP(D2935,tblSalesReps[rep_id],tblSalesReps[rep_name],"Missing")</f>
        <v>Sales Rep 14</v>
      </c>
      <c r="R2935" t="str">
        <f>_xlfn.XLOOKUP(D2935,tblSalesReps[rep_id],tblSalesReps[region],"Missing")</f>
        <v>West</v>
      </c>
    </row>
    <row r="2936" spans="1:18">
      <c r="A2936" t="s">
        <v>3481</v>
      </c>
      <c r="B2936" t="s">
        <v>367</v>
      </c>
      <c r="C2936" t="s">
        <v>15</v>
      </c>
      <c r="D2936" t="s">
        <v>152</v>
      </c>
      <c r="E2936" s="1">
        <v>46020</v>
      </c>
      <c r="F2936" s="1">
        <v>46097</v>
      </c>
      <c r="G2936" s="1"/>
      <c r="H2936" t="s">
        <v>43</v>
      </c>
      <c r="I2936">
        <v>2</v>
      </c>
      <c r="J2936">
        <v>0</v>
      </c>
      <c r="K2936">
        <v>840000</v>
      </c>
      <c r="L2936">
        <v>80</v>
      </c>
      <c r="M2936" t="s">
        <v>29</v>
      </c>
      <c r="N2936" t="str">
        <f>_xlfn.XLOOKUP(B2936,tblCustomers[customer_id],tblCustomers[region],"Missing")</f>
        <v>East</v>
      </c>
      <c r="O2936" t="str">
        <f>_xlfn.XLOOKUP(C2936,tblProducts[product_id],tblProducts[product_name],"Missing")</f>
        <v>CRM Enterprise</v>
      </c>
      <c r="P2936" t="str">
        <f>_xlfn.XLOOKUP(C2936,tblProducts[product_id],tblProducts[category],"Missing")</f>
        <v>CRM</v>
      </c>
      <c r="Q2936" t="str">
        <f>_xlfn.XLOOKUP(D2936,tblSalesReps[rep_id],tblSalesReps[rep_name],"Missing")</f>
        <v>Sales Rep 18</v>
      </c>
      <c r="R2936" t="str">
        <f>_xlfn.XLOOKUP(D2936,tblSalesReps[rep_id],tblSalesReps[region],"Missing")</f>
        <v>East</v>
      </c>
    </row>
    <row r="2937" spans="1:18">
      <c r="A2937" t="s">
        <v>3482</v>
      </c>
      <c r="B2937" t="s">
        <v>137</v>
      </c>
      <c r="C2937" t="s">
        <v>39</v>
      </c>
      <c r="D2937" t="s">
        <v>119</v>
      </c>
      <c r="E2937" s="1">
        <v>45957</v>
      </c>
      <c r="F2937" s="1">
        <v>45979</v>
      </c>
      <c r="G2937" s="1">
        <v>45979</v>
      </c>
      <c r="H2937" t="s">
        <v>28</v>
      </c>
      <c r="I2937">
        <v>1</v>
      </c>
      <c r="J2937">
        <v>0</v>
      </c>
      <c r="K2937">
        <v>180000</v>
      </c>
      <c r="L2937">
        <v>100</v>
      </c>
      <c r="M2937" t="s">
        <v>29</v>
      </c>
      <c r="N2937" t="str">
        <f>_xlfn.XLOOKUP(B2937,tblCustomers[customer_id],tblCustomers[region],"Missing")</f>
        <v>North</v>
      </c>
      <c r="O2937" t="str">
        <f>_xlfn.XLOOKUP(C2937,tblProducts[product_id],tblProducts[product_name],"Missing")</f>
        <v>Support Desk</v>
      </c>
      <c r="P2937" t="str">
        <f>_xlfn.XLOOKUP(C2937,tblProducts[product_id],tblProducts[category],"Missing")</f>
        <v>Service</v>
      </c>
      <c r="Q2937" t="str">
        <f>_xlfn.XLOOKUP(D2937,tblSalesReps[rep_id],tblSalesReps[rep_name],"Missing")</f>
        <v>Sales Rep 10</v>
      </c>
      <c r="R2937" t="str">
        <f>_xlfn.XLOOKUP(D2937,tblSalesReps[rep_id],tblSalesReps[region],"Missing")</f>
        <v>North</v>
      </c>
    </row>
    <row r="2938" spans="1:18">
      <c r="A2938" t="s">
        <v>3483</v>
      </c>
      <c r="B2938" t="s">
        <v>680</v>
      </c>
      <c r="C2938" t="s">
        <v>26</v>
      </c>
      <c r="D2938" t="s">
        <v>126</v>
      </c>
      <c r="E2938" s="1">
        <v>46003</v>
      </c>
      <c r="F2938" s="1">
        <v>46044</v>
      </c>
      <c r="G2938" s="1"/>
      <c r="H2938" t="s">
        <v>43</v>
      </c>
      <c r="I2938">
        <v>1</v>
      </c>
      <c r="J2938">
        <v>20</v>
      </c>
      <c r="K2938">
        <v>288000</v>
      </c>
      <c r="L2938">
        <v>80</v>
      </c>
      <c r="M2938" t="s">
        <v>29</v>
      </c>
      <c r="N2938" t="str">
        <f>_xlfn.XLOOKUP(B2938,tblCustomers[customer_id],tblCustomers[region],"Missing")</f>
        <v>South</v>
      </c>
      <c r="O2938" t="str">
        <f>_xlfn.XLOOKUP(C2938,tblProducts[product_id],tblProducts[product_name],"Missing")</f>
        <v>Security Suite</v>
      </c>
      <c r="P2938" t="str">
        <f>_xlfn.XLOOKUP(C2938,tblProducts[product_id],tblProducts[category],"Missing")</f>
        <v>Security</v>
      </c>
      <c r="Q2938" t="str">
        <f>_xlfn.XLOOKUP(D2938,tblSalesReps[rep_id],tblSalesReps[rep_name],"Missing")</f>
        <v>Sales Rep 02</v>
      </c>
      <c r="R2938" t="str">
        <f>_xlfn.XLOOKUP(D2938,tblSalesReps[rep_id],tblSalesReps[region],"Missing")</f>
        <v>South</v>
      </c>
    </row>
    <row r="2939" spans="1:18">
      <c r="A2939" t="s">
        <v>3484</v>
      </c>
      <c r="B2939" t="s">
        <v>174</v>
      </c>
      <c r="C2939" t="s">
        <v>26</v>
      </c>
      <c r="D2939" t="s">
        <v>40</v>
      </c>
      <c r="E2939" s="1">
        <v>46010</v>
      </c>
      <c r="F2939" s="1">
        <v>46090</v>
      </c>
      <c r="G2939" s="1"/>
      <c r="H2939" t="s">
        <v>43</v>
      </c>
      <c r="I2939">
        <v>1</v>
      </c>
      <c r="J2939">
        <v>10</v>
      </c>
      <c r="K2939">
        <v>324000</v>
      </c>
      <c r="L2939">
        <v>60</v>
      </c>
      <c r="M2939" t="s">
        <v>29</v>
      </c>
      <c r="N2939" t="str">
        <f>_xlfn.XLOOKUP(B2939,tblCustomers[customer_id],tblCustomers[region],"Missing")</f>
        <v>West</v>
      </c>
      <c r="O2939" t="str">
        <f>_xlfn.XLOOKUP(C2939,tblProducts[product_id],tblProducts[product_name],"Missing")</f>
        <v>Security Suite</v>
      </c>
      <c r="P2939" t="str">
        <f>_xlfn.XLOOKUP(C2939,tblProducts[product_id],tblProducts[category],"Missing")</f>
        <v>Security</v>
      </c>
      <c r="Q2939" t="str">
        <f>_xlfn.XLOOKUP(D2939,tblSalesReps[rep_id],tblSalesReps[rep_name],"Missing")</f>
        <v>Sales Rep 13</v>
      </c>
      <c r="R2939" t="str">
        <f>_xlfn.XLOOKUP(D2939,tblSalesReps[rep_id],tblSalesReps[region],"Missing")</f>
        <v>West</v>
      </c>
    </row>
    <row r="2940" spans="1:18">
      <c r="A2940" t="s">
        <v>3485</v>
      </c>
      <c r="B2940" t="s">
        <v>660</v>
      </c>
      <c r="C2940" t="s">
        <v>21</v>
      </c>
      <c r="D2940" t="s">
        <v>16</v>
      </c>
      <c r="E2940" s="1">
        <v>45728</v>
      </c>
      <c r="F2940" s="1">
        <v>45765</v>
      </c>
      <c r="G2940" s="1">
        <v>45765</v>
      </c>
      <c r="H2940" t="s">
        <v>17</v>
      </c>
      <c r="I2940">
        <v>3</v>
      </c>
      <c r="J2940">
        <v>15</v>
      </c>
      <c r="K2940">
        <v>612000</v>
      </c>
      <c r="L2940">
        <v>0</v>
      </c>
      <c r="M2940" t="s">
        <v>47</v>
      </c>
      <c r="N2940" t="str">
        <f>_xlfn.XLOOKUP(B2940,tblCustomers[customer_id],tblCustomers[region],"Missing")</f>
        <v>North</v>
      </c>
      <c r="O2940" t="str">
        <f>_xlfn.XLOOKUP(C2940,tblProducts[product_id],tblProducts[product_name],"Missing")</f>
        <v>Workflow Automate</v>
      </c>
      <c r="P2940" t="str">
        <f>_xlfn.XLOOKUP(C2940,tblProducts[product_id],tblProducts[category],"Missing")</f>
        <v>Automation</v>
      </c>
      <c r="Q2940" t="str">
        <f>_xlfn.XLOOKUP(D2940,tblSalesReps[rep_id],tblSalesReps[rep_name],"Missing")</f>
        <v>Sales Rep 08</v>
      </c>
      <c r="R2940" t="str">
        <f>_xlfn.XLOOKUP(D2940,tblSalesReps[rep_id],tblSalesReps[region],"Missing")</f>
        <v>North</v>
      </c>
    </row>
    <row r="2941" spans="1:18">
      <c r="A2941" t="s">
        <v>3486</v>
      </c>
      <c r="B2941" t="s">
        <v>86</v>
      </c>
      <c r="C2941" t="s">
        <v>21</v>
      </c>
      <c r="D2941" t="s">
        <v>78</v>
      </c>
      <c r="E2941" s="1">
        <v>45932</v>
      </c>
      <c r="F2941" s="1">
        <v>46001</v>
      </c>
      <c r="G2941" s="1">
        <v>46001</v>
      </c>
      <c r="H2941" t="s">
        <v>28</v>
      </c>
      <c r="I2941">
        <v>1</v>
      </c>
      <c r="J2941">
        <v>5</v>
      </c>
      <c r="K2941">
        <v>228000</v>
      </c>
      <c r="L2941">
        <v>100</v>
      </c>
      <c r="M2941" t="s">
        <v>29</v>
      </c>
      <c r="N2941" t="str">
        <f>_xlfn.XLOOKUP(B2941,tblCustomers[customer_id],tblCustomers[region],"Missing")</f>
        <v>West</v>
      </c>
      <c r="O2941" t="str">
        <f>_xlfn.XLOOKUP(C2941,tblProducts[product_id],tblProducts[product_name],"Missing")</f>
        <v>Workflow Automate</v>
      </c>
      <c r="P2941" t="str">
        <f>_xlfn.XLOOKUP(C2941,tblProducts[product_id],tblProducts[category],"Missing")</f>
        <v>Automation</v>
      </c>
      <c r="Q2941" t="str">
        <f>_xlfn.XLOOKUP(D2941,tblSalesReps[rep_id],tblSalesReps[rep_name],"Missing")</f>
        <v>Sales Rep 12</v>
      </c>
      <c r="R2941" t="str">
        <f>_xlfn.XLOOKUP(D2941,tblSalesReps[rep_id],tblSalesReps[region],"Missing")</f>
        <v>West</v>
      </c>
    </row>
    <row r="2942" spans="1:18">
      <c r="A2942" t="s">
        <v>3487</v>
      </c>
      <c r="B2942" t="s">
        <v>141</v>
      </c>
      <c r="C2942" t="s">
        <v>62</v>
      </c>
      <c r="D2942" t="s">
        <v>75</v>
      </c>
      <c r="E2942" s="1">
        <v>46001</v>
      </c>
      <c r="F2942" s="1">
        <v>46034</v>
      </c>
      <c r="G2942" s="1"/>
      <c r="H2942" t="s">
        <v>43</v>
      </c>
      <c r="I2942">
        <v>1</v>
      </c>
      <c r="J2942">
        <v>15</v>
      </c>
      <c r="K2942">
        <v>102000</v>
      </c>
      <c r="L2942">
        <v>80</v>
      </c>
      <c r="M2942" t="s">
        <v>29</v>
      </c>
      <c r="N2942" t="str">
        <f>_xlfn.XLOOKUP(B2942,tblCustomers[customer_id],tblCustomers[region],"Missing")</f>
        <v>North</v>
      </c>
      <c r="O2942" t="str">
        <f>_xlfn.XLOOKUP(C2942,tblProducts[product_id],tblProducts[product_name],"Missing")</f>
        <v>CRM Essentials</v>
      </c>
      <c r="P2942" t="str">
        <f>_xlfn.XLOOKUP(C2942,tblProducts[product_id],tblProducts[category],"Missing")</f>
        <v>CRM</v>
      </c>
      <c r="Q2942" t="str">
        <f>_xlfn.XLOOKUP(D2942,tblSalesReps[rep_id],tblSalesReps[rep_name],"Missing")</f>
        <v>Sales Rep 07</v>
      </c>
      <c r="R2942" t="str">
        <f>_xlfn.XLOOKUP(D2942,tblSalesReps[rep_id],tblSalesReps[region],"Missing")</f>
        <v>North</v>
      </c>
    </row>
    <row r="2943" spans="1:18">
      <c r="A2943" t="s">
        <v>3488</v>
      </c>
      <c r="B2943" t="s">
        <v>149</v>
      </c>
      <c r="C2943" t="s">
        <v>81</v>
      </c>
      <c r="D2943" t="s">
        <v>16</v>
      </c>
      <c r="E2943" s="1">
        <v>45939</v>
      </c>
      <c r="F2943" s="1">
        <v>45993</v>
      </c>
      <c r="G2943" s="1">
        <v>45993</v>
      </c>
      <c r="H2943" t="s">
        <v>17</v>
      </c>
      <c r="I2943">
        <v>1</v>
      </c>
      <c r="J2943">
        <v>15</v>
      </c>
      <c r="K2943">
        <v>255000</v>
      </c>
      <c r="L2943">
        <v>0</v>
      </c>
      <c r="M2943" t="s">
        <v>82</v>
      </c>
      <c r="N2943" t="str">
        <f>_xlfn.XLOOKUP(B2943,tblCustomers[customer_id],tblCustomers[region],"Missing")</f>
        <v>North</v>
      </c>
      <c r="O2943" t="str">
        <f>_xlfn.XLOOKUP(C2943,tblProducts[product_id],tblProducts[product_name],"Missing")</f>
        <v>Analytics Cloud</v>
      </c>
      <c r="P2943" t="str">
        <f>_xlfn.XLOOKUP(C2943,tblProducts[product_id],tblProducts[category],"Missing")</f>
        <v>Analytics</v>
      </c>
      <c r="Q2943" t="str">
        <f>_xlfn.XLOOKUP(D2943,tblSalesReps[rep_id],tblSalesReps[rep_name],"Missing")</f>
        <v>Sales Rep 08</v>
      </c>
      <c r="R2943" t="str">
        <f>_xlfn.XLOOKUP(D2943,tblSalesReps[rep_id],tblSalesReps[region],"Missing")</f>
        <v>North</v>
      </c>
    </row>
    <row r="2944" spans="1:18">
      <c r="A2944" t="s">
        <v>3489</v>
      </c>
      <c r="B2944" t="s">
        <v>2017</v>
      </c>
      <c r="C2944" t="s">
        <v>15</v>
      </c>
      <c r="D2944" t="s">
        <v>40</v>
      </c>
      <c r="E2944" s="1">
        <v>45853</v>
      </c>
      <c r="F2944" s="1">
        <v>45913</v>
      </c>
      <c r="G2944" s="1">
        <v>45913</v>
      </c>
      <c r="H2944" t="s">
        <v>17</v>
      </c>
      <c r="I2944">
        <v>1</v>
      </c>
      <c r="J2944">
        <v>15</v>
      </c>
      <c r="K2944">
        <v>357000</v>
      </c>
      <c r="L2944">
        <v>0</v>
      </c>
      <c r="M2944" t="s">
        <v>23</v>
      </c>
      <c r="N2944" t="str">
        <f>_xlfn.XLOOKUP(B2944,tblCustomers[customer_id],tblCustomers[region],"Missing")</f>
        <v>West</v>
      </c>
      <c r="O2944" t="str">
        <f>_xlfn.XLOOKUP(C2944,tblProducts[product_id],tblProducts[product_name],"Missing")</f>
        <v>CRM Enterprise</v>
      </c>
      <c r="P2944" t="str">
        <f>_xlfn.XLOOKUP(C2944,tblProducts[product_id],tblProducts[category],"Missing")</f>
        <v>CRM</v>
      </c>
      <c r="Q2944" t="str">
        <f>_xlfn.XLOOKUP(D2944,tblSalesReps[rep_id],tblSalesReps[rep_name],"Missing")</f>
        <v>Sales Rep 13</v>
      </c>
      <c r="R2944" t="str">
        <f>_xlfn.XLOOKUP(D2944,tblSalesReps[rep_id],tblSalesReps[region],"Missing")</f>
        <v>West</v>
      </c>
    </row>
    <row r="2945" spans="1:18">
      <c r="A2945" t="s">
        <v>3490</v>
      </c>
      <c r="B2945" t="s">
        <v>193</v>
      </c>
      <c r="C2945" t="s">
        <v>15</v>
      </c>
      <c r="D2945" t="s">
        <v>56</v>
      </c>
      <c r="E2945" s="1">
        <v>45806</v>
      </c>
      <c r="F2945" s="1">
        <v>45851</v>
      </c>
      <c r="G2945" s="1"/>
      <c r="H2945" t="s">
        <v>43</v>
      </c>
      <c r="I2945">
        <v>1</v>
      </c>
      <c r="J2945">
        <v>5</v>
      </c>
      <c r="K2945">
        <v>399000</v>
      </c>
      <c r="L2945">
        <v>80</v>
      </c>
      <c r="M2945" t="s">
        <v>29</v>
      </c>
      <c r="N2945" t="str">
        <f>_xlfn.XLOOKUP(B2945,tblCustomers[customer_id],tblCustomers[region],"Missing")</f>
        <v>East</v>
      </c>
      <c r="O2945" t="str">
        <f>_xlfn.XLOOKUP(C2945,tblProducts[product_id],tblProducts[product_name],"Missing")</f>
        <v>CRM Enterprise</v>
      </c>
      <c r="P2945" t="str">
        <f>_xlfn.XLOOKUP(C2945,tblProducts[product_id],tblProducts[category],"Missing")</f>
        <v>CRM</v>
      </c>
      <c r="Q2945" t="str">
        <f>_xlfn.XLOOKUP(D2945,tblSalesReps[rep_id],tblSalesReps[rep_name],"Missing")</f>
        <v>Sales Rep 20</v>
      </c>
      <c r="R2945" t="str">
        <f>_xlfn.XLOOKUP(D2945,tblSalesReps[rep_id],tblSalesReps[region],"Missing")</f>
        <v>East</v>
      </c>
    </row>
    <row r="2946" spans="1:18">
      <c r="A2946" t="s">
        <v>3491</v>
      </c>
      <c r="B2946" t="s">
        <v>789</v>
      </c>
      <c r="C2946" t="s">
        <v>21</v>
      </c>
      <c r="D2946" t="s">
        <v>32</v>
      </c>
      <c r="E2946" s="1">
        <v>45985</v>
      </c>
      <c r="F2946" s="1">
        <v>46040</v>
      </c>
      <c r="G2946" s="1"/>
      <c r="H2946" t="s">
        <v>43</v>
      </c>
      <c r="I2946">
        <v>2</v>
      </c>
      <c r="J2946">
        <v>15</v>
      </c>
      <c r="K2946">
        <v>408000</v>
      </c>
      <c r="L2946">
        <v>20</v>
      </c>
      <c r="M2946" t="s">
        <v>29</v>
      </c>
      <c r="N2946" t="str">
        <f>_xlfn.XLOOKUP(B2946,tblCustomers[customer_id],tblCustomers[region],"Missing")</f>
        <v>South</v>
      </c>
      <c r="O2946" t="str">
        <f>_xlfn.XLOOKUP(C2946,tblProducts[product_id],tblProducts[product_name],"Missing")</f>
        <v>Workflow Automate</v>
      </c>
      <c r="P2946" t="str">
        <f>_xlfn.XLOOKUP(C2946,tblProducts[product_id],tblProducts[category],"Missing")</f>
        <v>Automation</v>
      </c>
      <c r="Q2946" t="str">
        <f>_xlfn.XLOOKUP(D2946,tblSalesReps[rep_id],tblSalesReps[rep_name],"Missing")</f>
        <v>Sales Rep 04</v>
      </c>
      <c r="R2946" t="str">
        <f>_xlfn.XLOOKUP(D2946,tblSalesReps[rep_id],tblSalesReps[region],"Missing")</f>
        <v>South</v>
      </c>
    </row>
    <row r="2947" spans="1:18">
      <c r="A2947" t="s">
        <v>3492</v>
      </c>
      <c r="B2947" t="s">
        <v>753</v>
      </c>
      <c r="C2947" t="s">
        <v>39</v>
      </c>
      <c r="D2947" t="s">
        <v>75</v>
      </c>
      <c r="E2947" s="1">
        <v>45766</v>
      </c>
      <c r="F2947" s="1">
        <v>45814</v>
      </c>
      <c r="G2947" s="1">
        <v>45814</v>
      </c>
      <c r="H2947" t="s">
        <v>28</v>
      </c>
      <c r="I2947">
        <v>1</v>
      </c>
      <c r="J2947">
        <v>10</v>
      </c>
      <c r="K2947">
        <v>162000</v>
      </c>
      <c r="L2947">
        <v>100</v>
      </c>
      <c r="M2947" t="s">
        <v>29</v>
      </c>
      <c r="N2947" t="str">
        <f>_xlfn.XLOOKUP(B2947,tblCustomers[customer_id],tblCustomers[region],"Missing")</f>
        <v>North</v>
      </c>
      <c r="O2947" t="str">
        <f>_xlfn.XLOOKUP(C2947,tblProducts[product_id],tblProducts[product_name],"Missing")</f>
        <v>Support Desk</v>
      </c>
      <c r="P2947" t="str">
        <f>_xlfn.XLOOKUP(C2947,tblProducts[product_id],tblProducts[category],"Missing")</f>
        <v>Service</v>
      </c>
      <c r="Q2947" t="str">
        <f>_xlfn.XLOOKUP(D2947,tblSalesReps[rep_id],tblSalesReps[rep_name],"Missing")</f>
        <v>Sales Rep 07</v>
      </c>
      <c r="R2947" t="str">
        <f>_xlfn.XLOOKUP(D2947,tblSalesReps[rep_id],tblSalesReps[region],"Missing")</f>
        <v>North</v>
      </c>
    </row>
    <row r="2948" spans="1:18">
      <c r="A2948" t="s">
        <v>3493</v>
      </c>
      <c r="B2948" t="s">
        <v>416</v>
      </c>
      <c r="C2948" t="s">
        <v>81</v>
      </c>
      <c r="D2948" t="s">
        <v>40</v>
      </c>
      <c r="E2948" s="1">
        <v>45882</v>
      </c>
      <c r="F2948" s="1">
        <v>45959</v>
      </c>
      <c r="G2948" s="1">
        <v>45959</v>
      </c>
      <c r="H2948" t="s">
        <v>17</v>
      </c>
      <c r="I2948">
        <v>1</v>
      </c>
      <c r="J2948">
        <v>5</v>
      </c>
      <c r="K2948">
        <v>285000</v>
      </c>
      <c r="L2948">
        <v>0</v>
      </c>
      <c r="M2948" t="s">
        <v>47</v>
      </c>
      <c r="N2948" t="str">
        <f>_xlfn.XLOOKUP(B2948,tblCustomers[customer_id],tblCustomers[region],"Missing")</f>
        <v>West</v>
      </c>
      <c r="O2948" t="str">
        <f>_xlfn.XLOOKUP(C2948,tblProducts[product_id],tblProducts[product_name],"Missing")</f>
        <v>Analytics Cloud</v>
      </c>
      <c r="P2948" t="str">
        <f>_xlfn.XLOOKUP(C2948,tblProducts[product_id],tblProducts[category],"Missing")</f>
        <v>Analytics</v>
      </c>
      <c r="Q2948" t="str">
        <f>_xlfn.XLOOKUP(D2948,tblSalesReps[rep_id],tblSalesReps[rep_name],"Missing")</f>
        <v>Sales Rep 13</v>
      </c>
      <c r="R2948" t="str">
        <f>_xlfn.XLOOKUP(D2948,tblSalesReps[rep_id],tblSalesReps[region],"Missing")</f>
        <v>West</v>
      </c>
    </row>
    <row r="2949" spans="1:18">
      <c r="A2949" t="s">
        <v>3494</v>
      </c>
      <c r="B2949" t="s">
        <v>819</v>
      </c>
      <c r="C2949" t="s">
        <v>81</v>
      </c>
      <c r="D2949" t="s">
        <v>40</v>
      </c>
      <c r="E2949" s="1">
        <v>45703</v>
      </c>
      <c r="F2949" s="1">
        <v>45719</v>
      </c>
      <c r="G2949" s="1">
        <v>45719</v>
      </c>
      <c r="H2949" t="s">
        <v>28</v>
      </c>
      <c r="I2949">
        <v>1</v>
      </c>
      <c r="J2949">
        <v>10</v>
      </c>
      <c r="K2949">
        <v>270000</v>
      </c>
      <c r="L2949">
        <v>100</v>
      </c>
      <c r="M2949" t="s">
        <v>29</v>
      </c>
      <c r="N2949" t="str">
        <f>_xlfn.XLOOKUP(B2949,tblCustomers[customer_id],tblCustomers[region],"Missing")</f>
        <v>West</v>
      </c>
      <c r="O2949" t="str">
        <f>_xlfn.XLOOKUP(C2949,tblProducts[product_id],tblProducts[product_name],"Missing")</f>
        <v>Analytics Cloud</v>
      </c>
      <c r="P2949" t="str">
        <f>_xlfn.XLOOKUP(C2949,tblProducts[product_id],tblProducts[category],"Missing")</f>
        <v>Analytics</v>
      </c>
      <c r="Q2949" t="str">
        <f>_xlfn.XLOOKUP(D2949,tblSalesReps[rep_id],tblSalesReps[rep_name],"Missing")</f>
        <v>Sales Rep 13</v>
      </c>
      <c r="R2949" t="str">
        <f>_xlfn.XLOOKUP(D2949,tblSalesReps[rep_id],tblSalesReps[region],"Missing")</f>
        <v>West</v>
      </c>
    </row>
    <row r="2950" spans="1:18">
      <c r="A2950" t="s">
        <v>3495</v>
      </c>
      <c r="B2950" t="s">
        <v>112</v>
      </c>
      <c r="C2950" t="s">
        <v>81</v>
      </c>
      <c r="D2950" t="s">
        <v>78</v>
      </c>
      <c r="E2950" s="1">
        <v>45730</v>
      </c>
      <c r="F2950" s="1">
        <v>45739</v>
      </c>
      <c r="G2950" s="1">
        <v>45739</v>
      </c>
      <c r="H2950" t="s">
        <v>17</v>
      </c>
      <c r="I2950">
        <v>1</v>
      </c>
      <c r="J2950">
        <v>10</v>
      </c>
      <c r="K2950">
        <v>270000</v>
      </c>
      <c r="L2950">
        <v>0</v>
      </c>
      <c r="M2950" t="s">
        <v>18</v>
      </c>
      <c r="N2950" t="str">
        <f>_xlfn.XLOOKUP(B2950,tblCustomers[customer_id],tblCustomers[region],"Missing")</f>
        <v>West</v>
      </c>
      <c r="O2950" t="str">
        <f>_xlfn.XLOOKUP(C2950,tblProducts[product_id],tblProducts[product_name],"Missing")</f>
        <v>Analytics Cloud</v>
      </c>
      <c r="P2950" t="str">
        <f>_xlfn.XLOOKUP(C2950,tblProducts[product_id],tblProducts[category],"Missing")</f>
        <v>Analytics</v>
      </c>
      <c r="Q2950" t="str">
        <f>_xlfn.XLOOKUP(D2950,tblSalesReps[rep_id],tblSalesReps[rep_name],"Missing")</f>
        <v>Sales Rep 12</v>
      </c>
      <c r="R2950" t="str">
        <f>_xlfn.XLOOKUP(D2950,tblSalesReps[rep_id],tblSalesReps[region],"Missing")</f>
        <v>West</v>
      </c>
    </row>
    <row r="2951" spans="1:18">
      <c r="A2951" t="s">
        <v>3496</v>
      </c>
      <c r="B2951" t="s">
        <v>686</v>
      </c>
      <c r="C2951" t="s">
        <v>15</v>
      </c>
      <c r="D2951" t="s">
        <v>22</v>
      </c>
      <c r="E2951" s="1">
        <v>45810</v>
      </c>
      <c r="F2951" s="1">
        <v>45836</v>
      </c>
      <c r="G2951" s="1">
        <v>45836</v>
      </c>
      <c r="H2951" t="s">
        <v>28</v>
      </c>
      <c r="I2951">
        <v>1</v>
      </c>
      <c r="J2951">
        <v>5</v>
      </c>
      <c r="K2951">
        <v>399000</v>
      </c>
      <c r="L2951">
        <v>100</v>
      </c>
      <c r="M2951" t="s">
        <v>29</v>
      </c>
      <c r="N2951" t="str">
        <f>_xlfn.XLOOKUP(B2951,tblCustomers[customer_id],tblCustomers[region],"Missing")</f>
        <v>West</v>
      </c>
      <c r="O2951" t="str">
        <f>_xlfn.XLOOKUP(C2951,tblProducts[product_id],tblProducts[product_name],"Missing")</f>
        <v>CRM Enterprise</v>
      </c>
      <c r="P2951" t="str">
        <f>_xlfn.XLOOKUP(C2951,tblProducts[product_id],tblProducts[category],"Missing")</f>
        <v>CRM</v>
      </c>
      <c r="Q2951" t="str">
        <f>_xlfn.XLOOKUP(D2951,tblSalesReps[rep_id],tblSalesReps[rep_name],"Missing")</f>
        <v>Sales Rep 14</v>
      </c>
      <c r="R2951" t="str">
        <f>_xlfn.XLOOKUP(D2951,tblSalesReps[rep_id],tblSalesReps[region],"Missing")</f>
        <v>West</v>
      </c>
    </row>
    <row r="2952" spans="1:18">
      <c r="A2952" t="s">
        <v>3497</v>
      </c>
      <c r="B2952" t="s">
        <v>662</v>
      </c>
      <c r="C2952" t="s">
        <v>81</v>
      </c>
      <c r="D2952" t="s">
        <v>32</v>
      </c>
      <c r="E2952" s="1">
        <v>45995</v>
      </c>
      <c r="F2952" s="1">
        <v>46063</v>
      </c>
      <c r="G2952" s="1"/>
      <c r="H2952" t="s">
        <v>43</v>
      </c>
      <c r="I2952">
        <v>1</v>
      </c>
      <c r="J2952">
        <v>15</v>
      </c>
      <c r="K2952">
        <v>255000</v>
      </c>
      <c r="L2952">
        <v>80</v>
      </c>
      <c r="M2952" t="s">
        <v>29</v>
      </c>
      <c r="N2952" t="str">
        <f>_xlfn.XLOOKUP(B2952,tblCustomers[customer_id],tblCustomers[region],"Missing")</f>
        <v>South</v>
      </c>
      <c r="O2952" t="str">
        <f>_xlfn.XLOOKUP(C2952,tblProducts[product_id],tblProducts[product_name],"Missing")</f>
        <v>Analytics Cloud</v>
      </c>
      <c r="P2952" t="str">
        <f>_xlfn.XLOOKUP(C2952,tblProducts[product_id],tblProducts[category],"Missing")</f>
        <v>Analytics</v>
      </c>
      <c r="Q2952" t="str">
        <f>_xlfn.XLOOKUP(D2952,tblSalesReps[rep_id],tblSalesReps[rep_name],"Missing")</f>
        <v>Sales Rep 04</v>
      </c>
      <c r="R2952" t="str">
        <f>_xlfn.XLOOKUP(D2952,tblSalesReps[rep_id],tblSalesReps[region],"Missing")</f>
        <v>South</v>
      </c>
    </row>
    <row r="2953" spans="1:18">
      <c r="A2953" t="s">
        <v>3498</v>
      </c>
      <c r="B2953" t="s">
        <v>1015</v>
      </c>
      <c r="C2953" t="s">
        <v>39</v>
      </c>
      <c r="D2953" t="s">
        <v>56</v>
      </c>
      <c r="E2953" s="1">
        <v>45727</v>
      </c>
      <c r="F2953" s="1">
        <v>45791</v>
      </c>
      <c r="G2953" s="1"/>
      <c r="H2953" t="s">
        <v>43</v>
      </c>
      <c r="I2953">
        <v>1</v>
      </c>
      <c r="J2953">
        <v>5</v>
      </c>
      <c r="K2953">
        <v>171000</v>
      </c>
      <c r="L2953">
        <v>80</v>
      </c>
      <c r="M2953" t="s">
        <v>29</v>
      </c>
      <c r="N2953" t="str">
        <f>_xlfn.XLOOKUP(B2953,tblCustomers[customer_id],tblCustomers[region],"Missing")</f>
        <v>East</v>
      </c>
      <c r="O2953" t="str">
        <f>_xlfn.XLOOKUP(C2953,tblProducts[product_id],tblProducts[product_name],"Missing")</f>
        <v>Support Desk</v>
      </c>
      <c r="P2953" t="str">
        <f>_xlfn.XLOOKUP(C2953,tblProducts[product_id],tblProducts[category],"Missing")</f>
        <v>Service</v>
      </c>
      <c r="Q2953" t="str">
        <f>_xlfn.XLOOKUP(D2953,tblSalesReps[rep_id],tblSalesReps[rep_name],"Missing")</f>
        <v>Sales Rep 20</v>
      </c>
      <c r="R2953" t="str">
        <f>_xlfn.XLOOKUP(D2953,tblSalesReps[rep_id],tblSalesReps[region],"Missing")</f>
        <v>East</v>
      </c>
    </row>
    <row r="2954" spans="1:18">
      <c r="A2954" t="s">
        <v>3499</v>
      </c>
      <c r="B2954" t="s">
        <v>959</v>
      </c>
      <c r="C2954" t="s">
        <v>62</v>
      </c>
      <c r="D2954" t="s">
        <v>22</v>
      </c>
      <c r="E2954" s="1">
        <v>45679</v>
      </c>
      <c r="F2954" s="1">
        <v>45755</v>
      </c>
      <c r="G2954" s="1"/>
      <c r="H2954" t="s">
        <v>43</v>
      </c>
      <c r="I2954">
        <v>1</v>
      </c>
      <c r="J2954">
        <v>20</v>
      </c>
      <c r="K2954">
        <v>96000</v>
      </c>
      <c r="L2954">
        <v>60</v>
      </c>
      <c r="M2954" t="s">
        <v>29</v>
      </c>
      <c r="N2954" t="str">
        <f>_xlfn.XLOOKUP(B2954,tblCustomers[customer_id],tblCustomers[region],"Missing")</f>
        <v>West</v>
      </c>
      <c r="O2954" t="str">
        <f>_xlfn.XLOOKUP(C2954,tblProducts[product_id],tblProducts[product_name],"Missing")</f>
        <v>CRM Essentials</v>
      </c>
      <c r="P2954" t="str">
        <f>_xlfn.XLOOKUP(C2954,tblProducts[product_id],tblProducts[category],"Missing")</f>
        <v>CRM</v>
      </c>
      <c r="Q2954" t="str">
        <f>_xlfn.XLOOKUP(D2954,tblSalesReps[rep_id],tblSalesReps[rep_name],"Missing")</f>
        <v>Sales Rep 14</v>
      </c>
      <c r="R2954" t="str">
        <f>_xlfn.XLOOKUP(D2954,tblSalesReps[rep_id],tblSalesReps[region],"Missing")</f>
        <v>West</v>
      </c>
    </row>
    <row r="2955" spans="1:18">
      <c r="A2955" t="s">
        <v>3500</v>
      </c>
      <c r="B2955" t="s">
        <v>131</v>
      </c>
      <c r="C2955" t="s">
        <v>26</v>
      </c>
      <c r="D2955" t="s">
        <v>36</v>
      </c>
      <c r="E2955" s="1">
        <v>45694</v>
      </c>
      <c r="F2955" s="1">
        <v>45711</v>
      </c>
      <c r="G2955" s="1">
        <v>45711</v>
      </c>
      <c r="H2955" t="s">
        <v>28</v>
      </c>
      <c r="I2955">
        <v>1</v>
      </c>
      <c r="J2955">
        <v>20</v>
      </c>
      <c r="K2955">
        <v>288000</v>
      </c>
      <c r="L2955">
        <v>100</v>
      </c>
      <c r="M2955" t="s">
        <v>29</v>
      </c>
      <c r="N2955" t="str">
        <f>_xlfn.XLOOKUP(B2955,tblCustomers[customer_id],tblCustomers[region],"Missing")</f>
        <v>North</v>
      </c>
      <c r="O2955" t="str">
        <f>_xlfn.XLOOKUP(C2955,tblProducts[product_id],tblProducts[product_name],"Missing")</f>
        <v>Security Suite</v>
      </c>
      <c r="P2955" t="str">
        <f>_xlfn.XLOOKUP(C2955,tblProducts[product_id],tblProducts[category],"Missing")</f>
        <v>Security</v>
      </c>
      <c r="Q2955" t="str">
        <f>_xlfn.XLOOKUP(D2955,tblSalesReps[rep_id],tblSalesReps[rep_name],"Missing")</f>
        <v>Sales Rep 09</v>
      </c>
      <c r="R2955" t="str">
        <f>_xlfn.XLOOKUP(D2955,tblSalesReps[rep_id],tblSalesReps[region],"Missing")</f>
        <v>North</v>
      </c>
    </row>
    <row r="2956" spans="1:18">
      <c r="A2956" t="s">
        <v>3501</v>
      </c>
      <c r="B2956" t="s">
        <v>816</v>
      </c>
      <c r="C2956" t="s">
        <v>62</v>
      </c>
      <c r="D2956" t="s">
        <v>59</v>
      </c>
      <c r="E2956" s="1">
        <v>45949</v>
      </c>
      <c r="F2956" s="1">
        <v>45963</v>
      </c>
      <c r="G2956" s="1">
        <v>45963</v>
      </c>
      <c r="H2956" t="s">
        <v>28</v>
      </c>
      <c r="I2956">
        <v>1</v>
      </c>
      <c r="J2956">
        <v>10</v>
      </c>
      <c r="K2956">
        <v>108000</v>
      </c>
      <c r="L2956">
        <v>100</v>
      </c>
      <c r="M2956" t="s">
        <v>29</v>
      </c>
      <c r="N2956" t="str">
        <f>_xlfn.XLOOKUP(B2956,tblCustomers[customer_id],tblCustomers[region],"Missing")</f>
        <v>East</v>
      </c>
      <c r="O2956" t="str">
        <f>_xlfn.XLOOKUP(C2956,tblProducts[product_id],tblProducts[product_name],"Missing")</f>
        <v>CRM Essentials</v>
      </c>
      <c r="P2956" t="str">
        <f>_xlfn.XLOOKUP(C2956,tblProducts[product_id],tblProducts[category],"Missing")</f>
        <v>CRM</v>
      </c>
      <c r="Q2956" t="str">
        <f>_xlfn.XLOOKUP(D2956,tblSalesReps[rep_id],tblSalesReps[rep_name],"Missing")</f>
        <v>Sales Rep 19</v>
      </c>
      <c r="R2956" t="str">
        <f>_xlfn.XLOOKUP(D2956,tblSalesReps[rep_id],tblSalesReps[region],"Missing")</f>
        <v>East</v>
      </c>
    </row>
    <row r="2957" spans="1:18">
      <c r="A2957" t="s">
        <v>3502</v>
      </c>
      <c r="B2957" t="s">
        <v>864</v>
      </c>
      <c r="C2957" t="s">
        <v>26</v>
      </c>
      <c r="D2957" t="s">
        <v>78</v>
      </c>
      <c r="E2957" s="1">
        <v>45777</v>
      </c>
      <c r="F2957" s="1">
        <v>45830</v>
      </c>
      <c r="G2957" s="1"/>
      <c r="H2957" t="s">
        <v>43</v>
      </c>
      <c r="I2957">
        <v>3</v>
      </c>
      <c r="J2957">
        <v>10</v>
      </c>
      <c r="K2957">
        <v>972000</v>
      </c>
      <c r="L2957">
        <v>20</v>
      </c>
      <c r="M2957" t="s">
        <v>29</v>
      </c>
      <c r="N2957" t="str">
        <f>_xlfn.XLOOKUP(B2957,tblCustomers[customer_id],tblCustomers[region],"Missing")</f>
        <v>West</v>
      </c>
      <c r="O2957" t="str">
        <f>_xlfn.XLOOKUP(C2957,tblProducts[product_id],tblProducts[product_name],"Missing")</f>
        <v>Security Suite</v>
      </c>
      <c r="P2957" t="str">
        <f>_xlfn.XLOOKUP(C2957,tblProducts[product_id],tblProducts[category],"Missing")</f>
        <v>Security</v>
      </c>
      <c r="Q2957" t="str">
        <f>_xlfn.XLOOKUP(D2957,tblSalesReps[rep_id],tblSalesReps[rep_name],"Missing")</f>
        <v>Sales Rep 12</v>
      </c>
      <c r="R2957" t="str">
        <f>_xlfn.XLOOKUP(D2957,tblSalesReps[rep_id],tblSalesReps[region],"Missing")</f>
        <v>West</v>
      </c>
    </row>
    <row r="2958" spans="1:18">
      <c r="A2958" t="s">
        <v>3503</v>
      </c>
      <c r="B2958" t="s">
        <v>1884</v>
      </c>
      <c r="C2958" t="s">
        <v>21</v>
      </c>
      <c r="D2958" t="s">
        <v>63</v>
      </c>
      <c r="E2958" s="1">
        <v>45734</v>
      </c>
      <c r="F2958" s="1">
        <v>45814</v>
      </c>
      <c r="G2958" s="1">
        <v>45814</v>
      </c>
      <c r="H2958" t="s">
        <v>28</v>
      </c>
      <c r="I2958">
        <v>3</v>
      </c>
      <c r="J2958">
        <v>20</v>
      </c>
      <c r="K2958">
        <v>576000</v>
      </c>
      <c r="L2958">
        <v>100</v>
      </c>
      <c r="M2958" t="s">
        <v>29</v>
      </c>
      <c r="N2958" t="str">
        <f>_xlfn.XLOOKUP(B2958,tblCustomers[customer_id],tblCustomers[region],"Missing")</f>
        <v>South</v>
      </c>
      <c r="O2958" t="str">
        <f>_xlfn.XLOOKUP(C2958,tblProducts[product_id],tblProducts[product_name],"Missing")</f>
        <v>Workflow Automate</v>
      </c>
      <c r="P2958" t="str">
        <f>_xlfn.XLOOKUP(C2958,tblProducts[product_id],tblProducts[category],"Missing")</f>
        <v>Automation</v>
      </c>
      <c r="Q2958" t="str">
        <f>_xlfn.XLOOKUP(D2958,tblSalesReps[rep_id],tblSalesReps[rep_name],"Missing")</f>
        <v>Sales Rep 05</v>
      </c>
      <c r="R2958" t="str">
        <f>_xlfn.XLOOKUP(D2958,tblSalesReps[rep_id],tblSalesReps[region],"Missing")</f>
        <v>South</v>
      </c>
    </row>
    <row r="2959" spans="1:18">
      <c r="A2959" t="s">
        <v>3504</v>
      </c>
      <c r="B2959" t="s">
        <v>2019</v>
      </c>
      <c r="C2959" t="s">
        <v>26</v>
      </c>
      <c r="D2959" t="s">
        <v>59</v>
      </c>
      <c r="E2959" s="1">
        <v>45782</v>
      </c>
      <c r="F2959" s="1">
        <v>45847</v>
      </c>
      <c r="G2959" s="1">
        <v>45847</v>
      </c>
      <c r="H2959" t="s">
        <v>17</v>
      </c>
      <c r="I2959">
        <v>3</v>
      </c>
      <c r="J2959">
        <v>5</v>
      </c>
      <c r="K2959">
        <v>1026000</v>
      </c>
      <c r="L2959">
        <v>0</v>
      </c>
      <c r="M2959" t="s">
        <v>33</v>
      </c>
      <c r="N2959" t="str">
        <f>_xlfn.XLOOKUP(B2959,tblCustomers[customer_id],tblCustomers[region],"Missing")</f>
        <v>East</v>
      </c>
      <c r="O2959" t="str">
        <f>_xlfn.XLOOKUP(C2959,tblProducts[product_id],tblProducts[product_name],"Missing")</f>
        <v>Security Suite</v>
      </c>
      <c r="P2959" t="str">
        <f>_xlfn.XLOOKUP(C2959,tblProducts[product_id],tblProducts[category],"Missing")</f>
        <v>Security</v>
      </c>
      <c r="Q2959" t="str">
        <f>_xlfn.XLOOKUP(D2959,tblSalesReps[rep_id],tblSalesReps[rep_name],"Missing")</f>
        <v>Sales Rep 19</v>
      </c>
      <c r="R2959" t="str">
        <f>_xlfn.XLOOKUP(D2959,tblSalesReps[rep_id],tblSalesReps[region],"Missing")</f>
        <v>East</v>
      </c>
    </row>
    <row r="2960" spans="1:18">
      <c r="A2960" t="s">
        <v>3505</v>
      </c>
      <c r="B2960" t="s">
        <v>460</v>
      </c>
      <c r="C2960" t="s">
        <v>21</v>
      </c>
      <c r="D2960" t="s">
        <v>16</v>
      </c>
      <c r="E2960" s="1">
        <v>46009</v>
      </c>
      <c r="F2960" s="1">
        <v>46081</v>
      </c>
      <c r="G2960" s="1"/>
      <c r="H2960" t="s">
        <v>43</v>
      </c>
      <c r="I2960">
        <v>2</v>
      </c>
      <c r="J2960">
        <v>10</v>
      </c>
      <c r="K2960">
        <v>432000</v>
      </c>
      <c r="L2960">
        <v>80</v>
      </c>
      <c r="M2960" t="s">
        <v>29</v>
      </c>
      <c r="N2960" t="str">
        <f>_xlfn.XLOOKUP(B2960,tblCustomers[customer_id],tblCustomers[region],"Missing")</f>
        <v>North</v>
      </c>
      <c r="O2960" t="str">
        <f>_xlfn.XLOOKUP(C2960,tblProducts[product_id],tblProducts[product_name],"Missing")</f>
        <v>Workflow Automate</v>
      </c>
      <c r="P2960" t="str">
        <f>_xlfn.XLOOKUP(C2960,tblProducts[product_id],tblProducts[category],"Missing")</f>
        <v>Automation</v>
      </c>
      <c r="Q2960" t="str">
        <f>_xlfn.XLOOKUP(D2960,tblSalesReps[rep_id],tblSalesReps[rep_name],"Missing")</f>
        <v>Sales Rep 08</v>
      </c>
      <c r="R2960" t="str">
        <f>_xlfn.XLOOKUP(D2960,tblSalesReps[rep_id],tblSalesReps[region],"Missing")</f>
        <v>North</v>
      </c>
    </row>
    <row r="2961" spans="1:18">
      <c r="A2961" t="s">
        <v>3506</v>
      </c>
      <c r="B2961" t="s">
        <v>1511</v>
      </c>
      <c r="C2961" t="s">
        <v>39</v>
      </c>
      <c r="D2961" t="s">
        <v>63</v>
      </c>
      <c r="E2961" s="1">
        <v>45978</v>
      </c>
      <c r="F2961" s="1">
        <v>46049</v>
      </c>
      <c r="G2961" s="1"/>
      <c r="H2961" t="s">
        <v>43</v>
      </c>
      <c r="I2961">
        <v>2</v>
      </c>
      <c r="J2961">
        <v>5</v>
      </c>
      <c r="K2961">
        <v>342000</v>
      </c>
      <c r="L2961">
        <v>20</v>
      </c>
      <c r="M2961" t="s">
        <v>29</v>
      </c>
      <c r="N2961" t="str">
        <f>_xlfn.XLOOKUP(B2961,tblCustomers[customer_id],tblCustomers[region],"Missing")</f>
        <v>South</v>
      </c>
      <c r="O2961" t="str">
        <f>_xlfn.XLOOKUP(C2961,tblProducts[product_id],tblProducts[product_name],"Missing")</f>
        <v>Support Desk</v>
      </c>
      <c r="P2961" t="str">
        <f>_xlfn.XLOOKUP(C2961,tblProducts[product_id],tblProducts[category],"Missing")</f>
        <v>Service</v>
      </c>
      <c r="Q2961" t="str">
        <f>_xlfn.XLOOKUP(D2961,tblSalesReps[rep_id],tblSalesReps[rep_name],"Missing")</f>
        <v>Sales Rep 05</v>
      </c>
      <c r="R2961" t="str">
        <f>_xlfn.XLOOKUP(D2961,tblSalesReps[rep_id],tblSalesReps[region],"Missing")</f>
        <v>South</v>
      </c>
    </row>
    <row r="2962" spans="1:18">
      <c r="A2962" t="s">
        <v>3507</v>
      </c>
      <c r="B2962" t="s">
        <v>739</v>
      </c>
      <c r="C2962" t="s">
        <v>26</v>
      </c>
      <c r="D2962" t="s">
        <v>78</v>
      </c>
      <c r="E2962" s="1">
        <v>45957</v>
      </c>
      <c r="F2962" s="1">
        <v>46001</v>
      </c>
      <c r="G2962" s="1">
        <v>46001</v>
      </c>
      <c r="H2962" t="s">
        <v>28</v>
      </c>
      <c r="I2962">
        <v>1</v>
      </c>
      <c r="J2962">
        <v>20</v>
      </c>
      <c r="K2962">
        <v>288000</v>
      </c>
      <c r="L2962">
        <v>100</v>
      </c>
      <c r="M2962" t="s">
        <v>29</v>
      </c>
      <c r="N2962" t="str">
        <f>_xlfn.XLOOKUP(B2962,tblCustomers[customer_id],tblCustomers[region],"Missing")</f>
        <v>West</v>
      </c>
      <c r="O2962" t="str">
        <f>_xlfn.XLOOKUP(C2962,tblProducts[product_id],tblProducts[product_name],"Missing")</f>
        <v>Security Suite</v>
      </c>
      <c r="P2962" t="str">
        <f>_xlfn.XLOOKUP(C2962,tblProducts[product_id],tblProducts[category],"Missing")</f>
        <v>Security</v>
      </c>
      <c r="Q2962" t="str">
        <f>_xlfn.XLOOKUP(D2962,tblSalesReps[rep_id],tblSalesReps[rep_name],"Missing")</f>
        <v>Sales Rep 12</v>
      </c>
      <c r="R2962" t="str">
        <f>_xlfn.XLOOKUP(D2962,tblSalesReps[rep_id],tblSalesReps[region],"Missing")</f>
        <v>West</v>
      </c>
    </row>
    <row r="2963" spans="1:18">
      <c r="A2963" t="s">
        <v>3508</v>
      </c>
      <c r="B2963" t="s">
        <v>575</v>
      </c>
      <c r="C2963" t="s">
        <v>26</v>
      </c>
      <c r="D2963" t="s">
        <v>152</v>
      </c>
      <c r="E2963" s="1">
        <v>45658</v>
      </c>
      <c r="F2963" s="1">
        <v>45700</v>
      </c>
      <c r="G2963" s="1"/>
      <c r="H2963" t="s">
        <v>43</v>
      </c>
      <c r="I2963">
        <v>3</v>
      </c>
      <c r="J2963">
        <v>10</v>
      </c>
      <c r="K2963">
        <v>972000</v>
      </c>
      <c r="L2963">
        <v>20</v>
      </c>
      <c r="M2963" t="s">
        <v>29</v>
      </c>
      <c r="N2963" t="str">
        <f>_xlfn.XLOOKUP(B2963,tblCustomers[customer_id],tblCustomers[region],"Missing")</f>
        <v>East</v>
      </c>
      <c r="O2963" t="str">
        <f>_xlfn.XLOOKUP(C2963,tblProducts[product_id],tblProducts[product_name],"Missing")</f>
        <v>Security Suite</v>
      </c>
      <c r="P2963" t="str">
        <f>_xlfn.XLOOKUP(C2963,tblProducts[product_id],tblProducts[category],"Missing")</f>
        <v>Security</v>
      </c>
      <c r="Q2963" t="str">
        <f>_xlfn.XLOOKUP(D2963,tblSalesReps[rep_id],tblSalesReps[rep_name],"Missing")</f>
        <v>Sales Rep 18</v>
      </c>
      <c r="R2963" t="str">
        <f>_xlfn.XLOOKUP(D2963,tblSalesReps[rep_id],tblSalesReps[region],"Missing")</f>
        <v>East</v>
      </c>
    </row>
    <row r="2964" spans="1:18">
      <c r="A2964" t="s">
        <v>3509</v>
      </c>
      <c r="B2964" t="s">
        <v>1595</v>
      </c>
      <c r="C2964" t="s">
        <v>39</v>
      </c>
      <c r="D2964" t="s">
        <v>16</v>
      </c>
      <c r="E2964" s="1">
        <v>45990</v>
      </c>
      <c r="F2964" s="1">
        <v>46011</v>
      </c>
      <c r="G2964" s="1">
        <v>46011</v>
      </c>
      <c r="H2964" t="s">
        <v>28</v>
      </c>
      <c r="I2964">
        <v>2</v>
      </c>
      <c r="J2964">
        <v>0</v>
      </c>
      <c r="K2964">
        <v>360000</v>
      </c>
      <c r="L2964">
        <v>100</v>
      </c>
      <c r="M2964" t="s">
        <v>29</v>
      </c>
      <c r="N2964" t="str">
        <f>_xlfn.XLOOKUP(B2964,tblCustomers[customer_id],tblCustomers[region],"Missing")</f>
        <v>North</v>
      </c>
      <c r="O2964" t="str">
        <f>_xlfn.XLOOKUP(C2964,tblProducts[product_id],tblProducts[product_name],"Missing")</f>
        <v>Support Desk</v>
      </c>
      <c r="P2964" t="str">
        <f>_xlfn.XLOOKUP(C2964,tblProducts[product_id],tblProducts[category],"Missing")</f>
        <v>Service</v>
      </c>
      <c r="Q2964" t="str">
        <f>_xlfn.XLOOKUP(D2964,tblSalesReps[rep_id],tblSalesReps[rep_name],"Missing")</f>
        <v>Sales Rep 08</v>
      </c>
      <c r="R2964" t="str">
        <f>_xlfn.XLOOKUP(D2964,tblSalesReps[rep_id],tblSalesReps[region],"Missing")</f>
        <v>North</v>
      </c>
    </row>
    <row r="2965" spans="1:18">
      <c r="A2965" t="s">
        <v>3510</v>
      </c>
      <c r="B2965" t="s">
        <v>387</v>
      </c>
      <c r="C2965" t="s">
        <v>26</v>
      </c>
      <c r="D2965" t="s">
        <v>32</v>
      </c>
      <c r="E2965" s="1">
        <v>45777</v>
      </c>
      <c r="F2965" s="1">
        <v>45848</v>
      </c>
      <c r="G2965" s="1">
        <v>45848</v>
      </c>
      <c r="H2965" t="s">
        <v>28</v>
      </c>
      <c r="I2965">
        <v>1</v>
      </c>
      <c r="J2965">
        <v>5</v>
      </c>
      <c r="K2965">
        <v>342000</v>
      </c>
      <c r="L2965">
        <v>100</v>
      </c>
      <c r="M2965" t="s">
        <v>29</v>
      </c>
      <c r="N2965" t="str">
        <f>_xlfn.XLOOKUP(B2965,tblCustomers[customer_id],tblCustomers[region],"Missing")</f>
        <v>South</v>
      </c>
      <c r="O2965" t="str">
        <f>_xlfn.XLOOKUP(C2965,tblProducts[product_id],tblProducts[product_name],"Missing")</f>
        <v>Security Suite</v>
      </c>
      <c r="P2965" t="str">
        <f>_xlfn.XLOOKUP(C2965,tblProducts[product_id],tblProducts[category],"Missing")</f>
        <v>Security</v>
      </c>
      <c r="Q2965" t="str">
        <f>_xlfn.XLOOKUP(D2965,tblSalesReps[rep_id],tblSalesReps[rep_name],"Missing")</f>
        <v>Sales Rep 04</v>
      </c>
      <c r="R2965" t="str">
        <f>_xlfn.XLOOKUP(D2965,tblSalesReps[rep_id],tblSalesReps[region],"Missing")</f>
        <v>South</v>
      </c>
    </row>
    <row r="2966" spans="1:18">
      <c r="A2966" t="s">
        <v>3511</v>
      </c>
      <c r="B2966" t="s">
        <v>1884</v>
      </c>
      <c r="C2966" t="s">
        <v>81</v>
      </c>
      <c r="D2966" t="s">
        <v>32</v>
      </c>
      <c r="E2966" s="1">
        <v>45739</v>
      </c>
      <c r="F2966" s="1">
        <v>45788</v>
      </c>
      <c r="G2966" s="1">
        <v>45788</v>
      </c>
      <c r="H2966" t="s">
        <v>28</v>
      </c>
      <c r="I2966">
        <v>3</v>
      </c>
      <c r="J2966">
        <v>10</v>
      </c>
      <c r="K2966">
        <v>810000</v>
      </c>
      <c r="L2966">
        <v>100</v>
      </c>
      <c r="M2966" t="s">
        <v>29</v>
      </c>
      <c r="N2966" t="str">
        <f>_xlfn.XLOOKUP(B2966,tblCustomers[customer_id],tblCustomers[region],"Missing")</f>
        <v>South</v>
      </c>
      <c r="O2966" t="str">
        <f>_xlfn.XLOOKUP(C2966,tblProducts[product_id],tblProducts[product_name],"Missing")</f>
        <v>Analytics Cloud</v>
      </c>
      <c r="P2966" t="str">
        <f>_xlfn.XLOOKUP(C2966,tblProducts[product_id],tblProducts[category],"Missing")</f>
        <v>Analytics</v>
      </c>
      <c r="Q2966" t="str">
        <f>_xlfn.XLOOKUP(D2966,tblSalesReps[rep_id],tblSalesReps[rep_name],"Missing")</f>
        <v>Sales Rep 04</v>
      </c>
      <c r="R2966" t="str">
        <f>_xlfn.XLOOKUP(D2966,tblSalesReps[rep_id],tblSalesReps[region],"Missing")</f>
        <v>South</v>
      </c>
    </row>
    <row r="2967" spans="1:18">
      <c r="A2967" t="s">
        <v>3512</v>
      </c>
      <c r="B2967" t="s">
        <v>204</v>
      </c>
      <c r="C2967" t="s">
        <v>62</v>
      </c>
      <c r="D2967" t="s">
        <v>32</v>
      </c>
      <c r="E2967" s="1">
        <v>45802</v>
      </c>
      <c r="F2967" s="1">
        <v>45844</v>
      </c>
      <c r="G2967" s="1"/>
      <c r="H2967" t="s">
        <v>43</v>
      </c>
      <c r="I2967">
        <v>2</v>
      </c>
      <c r="J2967">
        <v>15</v>
      </c>
      <c r="K2967">
        <v>204000</v>
      </c>
      <c r="L2967">
        <v>60</v>
      </c>
      <c r="M2967" t="s">
        <v>29</v>
      </c>
      <c r="N2967" t="str">
        <f>_xlfn.XLOOKUP(B2967,tblCustomers[customer_id],tblCustomers[region],"Missing")</f>
        <v>South</v>
      </c>
      <c r="O2967" t="str">
        <f>_xlfn.XLOOKUP(C2967,tblProducts[product_id],tblProducts[product_name],"Missing")</f>
        <v>CRM Essentials</v>
      </c>
      <c r="P2967" t="str">
        <f>_xlfn.XLOOKUP(C2967,tblProducts[product_id],tblProducts[category],"Missing")</f>
        <v>CRM</v>
      </c>
      <c r="Q2967" t="str">
        <f>_xlfn.XLOOKUP(D2967,tblSalesReps[rep_id],tblSalesReps[rep_name],"Missing")</f>
        <v>Sales Rep 04</v>
      </c>
      <c r="R2967" t="str">
        <f>_xlfn.XLOOKUP(D2967,tblSalesReps[rep_id],tblSalesReps[region],"Missing")</f>
        <v>South</v>
      </c>
    </row>
    <row r="2968" spans="1:18">
      <c r="A2968" t="s">
        <v>3513</v>
      </c>
      <c r="B2968" t="s">
        <v>325</v>
      </c>
      <c r="C2968" t="s">
        <v>62</v>
      </c>
      <c r="D2968" t="s">
        <v>63</v>
      </c>
      <c r="E2968" s="1">
        <v>45846</v>
      </c>
      <c r="F2968" s="1">
        <v>45868</v>
      </c>
      <c r="G2968" s="1">
        <v>45868</v>
      </c>
      <c r="H2968" t="s">
        <v>17</v>
      </c>
      <c r="I2968">
        <v>1</v>
      </c>
      <c r="J2968">
        <v>0</v>
      </c>
      <c r="K2968">
        <v>120000</v>
      </c>
      <c r="L2968">
        <v>0</v>
      </c>
      <c r="M2968" t="s">
        <v>82</v>
      </c>
      <c r="N2968" t="str">
        <f>_xlfn.XLOOKUP(B2968,tblCustomers[customer_id],tblCustomers[region],"Missing")</f>
        <v>South</v>
      </c>
      <c r="O2968" t="str">
        <f>_xlfn.XLOOKUP(C2968,tblProducts[product_id],tblProducts[product_name],"Missing")</f>
        <v>CRM Essentials</v>
      </c>
      <c r="P2968" t="str">
        <f>_xlfn.XLOOKUP(C2968,tblProducts[product_id],tblProducts[category],"Missing")</f>
        <v>CRM</v>
      </c>
      <c r="Q2968" t="str">
        <f>_xlfn.XLOOKUP(D2968,tblSalesReps[rep_id],tblSalesReps[rep_name],"Missing")</f>
        <v>Sales Rep 05</v>
      </c>
      <c r="R2968" t="str">
        <f>_xlfn.XLOOKUP(D2968,tblSalesReps[rep_id],tblSalesReps[region],"Missing")</f>
        <v>South</v>
      </c>
    </row>
    <row r="2969" spans="1:18">
      <c r="A2969" t="s">
        <v>3514</v>
      </c>
      <c r="B2969" t="s">
        <v>238</v>
      </c>
      <c r="C2969" t="s">
        <v>39</v>
      </c>
      <c r="D2969" t="s">
        <v>22</v>
      </c>
      <c r="E2969" s="1">
        <v>45918</v>
      </c>
      <c r="F2969" s="1">
        <v>46000</v>
      </c>
      <c r="G2969" s="1">
        <v>46000</v>
      </c>
      <c r="H2969" t="s">
        <v>28</v>
      </c>
      <c r="I2969">
        <v>1</v>
      </c>
      <c r="J2969">
        <v>0</v>
      </c>
      <c r="K2969">
        <v>180000</v>
      </c>
      <c r="L2969">
        <v>100</v>
      </c>
      <c r="M2969" t="s">
        <v>29</v>
      </c>
      <c r="N2969" t="str">
        <f>_xlfn.XLOOKUP(B2969,tblCustomers[customer_id],tblCustomers[region],"Missing")</f>
        <v>West</v>
      </c>
      <c r="O2969" t="str">
        <f>_xlfn.XLOOKUP(C2969,tblProducts[product_id],tblProducts[product_name],"Missing")</f>
        <v>Support Desk</v>
      </c>
      <c r="P2969" t="str">
        <f>_xlfn.XLOOKUP(C2969,tblProducts[product_id],tblProducts[category],"Missing")</f>
        <v>Service</v>
      </c>
      <c r="Q2969" t="str">
        <f>_xlfn.XLOOKUP(D2969,tblSalesReps[rep_id],tblSalesReps[rep_name],"Missing")</f>
        <v>Sales Rep 14</v>
      </c>
      <c r="R2969" t="str">
        <f>_xlfn.XLOOKUP(D2969,tblSalesReps[rep_id],tblSalesReps[region],"Missing")</f>
        <v>West</v>
      </c>
    </row>
    <row r="2970" spans="1:18">
      <c r="A2970" t="s">
        <v>3515</v>
      </c>
      <c r="B2970" t="s">
        <v>2526</v>
      </c>
      <c r="C2970" t="s">
        <v>62</v>
      </c>
      <c r="D2970" t="s">
        <v>36</v>
      </c>
      <c r="E2970" s="1">
        <v>45911</v>
      </c>
      <c r="F2970" s="1">
        <v>45968</v>
      </c>
      <c r="G2970" s="1"/>
      <c r="H2970" t="s">
        <v>43</v>
      </c>
      <c r="I2970">
        <v>1</v>
      </c>
      <c r="J2970">
        <v>5</v>
      </c>
      <c r="K2970">
        <v>114000</v>
      </c>
      <c r="L2970">
        <v>80</v>
      </c>
      <c r="M2970" t="s">
        <v>29</v>
      </c>
      <c r="N2970" t="str">
        <f>_xlfn.XLOOKUP(B2970,tblCustomers[customer_id],tblCustomers[region],"Missing")</f>
        <v>North</v>
      </c>
      <c r="O2970" t="str">
        <f>_xlfn.XLOOKUP(C2970,tblProducts[product_id],tblProducts[product_name],"Missing")</f>
        <v>CRM Essentials</v>
      </c>
      <c r="P2970" t="str">
        <f>_xlfn.XLOOKUP(C2970,tblProducts[product_id],tblProducts[category],"Missing")</f>
        <v>CRM</v>
      </c>
      <c r="Q2970" t="str">
        <f>_xlfn.XLOOKUP(D2970,tblSalesReps[rep_id],tblSalesReps[rep_name],"Missing")</f>
        <v>Sales Rep 09</v>
      </c>
      <c r="R2970" t="str">
        <f>_xlfn.XLOOKUP(D2970,tblSalesReps[rep_id],tblSalesReps[region],"Missing")</f>
        <v>North</v>
      </c>
    </row>
    <row r="2971" spans="1:18">
      <c r="A2971" t="s">
        <v>3516</v>
      </c>
      <c r="B2971" t="s">
        <v>209</v>
      </c>
      <c r="C2971" t="s">
        <v>26</v>
      </c>
      <c r="D2971" t="s">
        <v>50</v>
      </c>
      <c r="E2971" s="1">
        <v>45942</v>
      </c>
      <c r="F2971" s="1">
        <v>46008</v>
      </c>
      <c r="G2971" s="1">
        <v>46008</v>
      </c>
      <c r="H2971" t="s">
        <v>28</v>
      </c>
      <c r="I2971">
        <v>3</v>
      </c>
      <c r="J2971">
        <v>15</v>
      </c>
      <c r="K2971">
        <v>918000</v>
      </c>
      <c r="L2971">
        <v>100</v>
      </c>
      <c r="M2971" t="s">
        <v>29</v>
      </c>
      <c r="N2971" t="str">
        <f>_xlfn.XLOOKUP(B2971,tblCustomers[customer_id],tblCustomers[region],"Missing")</f>
        <v>West</v>
      </c>
      <c r="O2971" t="str">
        <f>_xlfn.XLOOKUP(C2971,tblProducts[product_id],tblProducts[product_name],"Missing")</f>
        <v>Security Suite</v>
      </c>
      <c r="P2971" t="str">
        <f>_xlfn.XLOOKUP(C2971,tblProducts[product_id],tblProducts[category],"Missing")</f>
        <v>Security</v>
      </c>
      <c r="Q2971" t="str">
        <f>_xlfn.XLOOKUP(D2971,tblSalesReps[rep_id],tblSalesReps[rep_name],"Missing")</f>
        <v>Sales Rep 15</v>
      </c>
      <c r="R2971" t="str">
        <f>_xlfn.XLOOKUP(D2971,tblSalesReps[rep_id],tblSalesReps[region],"Missing")</f>
        <v>West</v>
      </c>
    </row>
    <row r="2972" spans="1:18">
      <c r="A2972" t="s">
        <v>3517</v>
      </c>
      <c r="B2972" t="s">
        <v>786</v>
      </c>
      <c r="C2972" t="s">
        <v>81</v>
      </c>
      <c r="D2972" t="s">
        <v>70</v>
      </c>
      <c r="E2972" s="1">
        <v>45836</v>
      </c>
      <c r="F2972" s="1">
        <v>45844</v>
      </c>
      <c r="G2972" s="1"/>
      <c r="H2972" t="s">
        <v>43</v>
      </c>
      <c r="I2972">
        <v>1</v>
      </c>
      <c r="J2972">
        <v>15</v>
      </c>
      <c r="K2972">
        <v>255000</v>
      </c>
      <c r="L2972">
        <v>40</v>
      </c>
      <c r="M2972" t="s">
        <v>29</v>
      </c>
      <c r="N2972" t="str">
        <f>_xlfn.XLOOKUP(B2972,tblCustomers[customer_id],tblCustomers[region],"Missing")</f>
        <v>West</v>
      </c>
      <c r="O2972" t="str">
        <f>_xlfn.XLOOKUP(C2972,tblProducts[product_id],tblProducts[product_name],"Missing")</f>
        <v>Analytics Cloud</v>
      </c>
      <c r="P2972" t="str">
        <f>_xlfn.XLOOKUP(C2972,tblProducts[product_id],tblProducts[category],"Missing")</f>
        <v>Analytics</v>
      </c>
      <c r="Q2972" t="str">
        <f>_xlfn.XLOOKUP(D2972,tblSalesReps[rep_id],tblSalesReps[rep_name],"Missing")</f>
        <v>Sales Rep 11</v>
      </c>
      <c r="R2972" t="str">
        <f>_xlfn.XLOOKUP(D2972,tblSalesReps[rep_id],tblSalesReps[region],"Missing")</f>
        <v>West</v>
      </c>
    </row>
    <row r="2973" spans="1:18">
      <c r="A2973" t="s">
        <v>3518</v>
      </c>
      <c r="B2973" t="s">
        <v>335</v>
      </c>
      <c r="C2973" t="s">
        <v>62</v>
      </c>
      <c r="D2973" t="s">
        <v>70</v>
      </c>
      <c r="E2973" s="1">
        <v>46014</v>
      </c>
      <c r="F2973" s="1">
        <v>46086</v>
      </c>
      <c r="G2973" s="1"/>
      <c r="H2973" t="s">
        <v>43</v>
      </c>
      <c r="I2973">
        <v>1</v>
      </c>
      <c r="J2973">
        <v>10</v>
      </c>
      <c r="K2973">
        <v>108000</v>
      </c>
      <c r="L2973">
        <v>20</v>
      </c>
      <c r="M2973" t="s">
        <v>29</v>
      </c>
      <c r="N2973" t="str">
        <f>_xlfn.XLOOKUP(B2973,tblCustomers[customer_id],tblCustomers[region],"Missing")</f>
        <v>West</v>
      </c>
      <c r="O2973" t="str">
        <f>_xlfn.XLOOKUP(C2973,tblProducts[product_id],tblProducts[product_name],"Missing")</f>
        <v>CRM Essentials</v>
      </c>
      <c r="P2973" t="str">
        <f>_xlfn.XLOOKUP(C2973,tblProducts[product_id],tblProducts[category],"Missing")</f>
        <v>CRM</v>
      </c>
      <c r="Q2973" t="str">
        <f>_xlfn.XLOOKUP(D2973,tblSalesReps[rep_id],tblSalesReps[rep_name],"Missing")</f>
        <v>Sales Rep 11</v>
      </c>
      <c r="R2973" t="str">
        <f>_xlfn.XLOOKUP(D2973,tblSalesReps[rep_id],tblSalesReps[region],"Missing")</f>
        <v>West</v>
      </c>
    </row>
    <row r="2974" spans="1:18">
      <c r="A2974" t="s">
        <v>3519</v>
      </c>
      <c r="B2974" t="s">
        <v>20</v>
      </c>
      <c r="C2974" t="s">
        <v>81</v>
      </c>
      <c r="D2974" t="s">
        <v>78</v>
      </c>
      <c r="E2974" s="1">
        <v>45811</v>
      </c>
      <c r="F2974" s="1">
        <v>45820</v>
      </c>
      <c r="G2974" s="1">
        <v>45820</v>
      </c>
      <c r="H2974" t="s">
        <v>17</v>
      </c>
      <c r="I2974">
        <v>1</v>
      </c>
      <c r="J2974">
        <v>0</v>
      </c>
      <c r="K2974">
        <v>300000</v>
      </c>
      <c r="L2974">
        <v>0</v>
      </c>
      <c r="M2974" t="s">
        <v>82</v>
      </c>
      <c r="N2974" t="str">
        <f>_xlfn.XLOOKUP(B2974,tblCustomers[customer_id],tblCustomers[region],"Missing")</f>
        <v>West</v>
      </c>
      <c r="O2974" t="str">
        <f>_xlfn.XLOOKUP(C2974,tblProducts[product_id],tblProducts[product_name],"Missing")</f>
        <v>Analytics Cloud</v>
      </c>
      <c r="P2974" t="str">
        <f>_xlfn.XLOOKUP(C2974,tblProducts[product_id],tblProducts[category],"Missing")</f>
        <v>Analytics</v>
      </c>
      <c r="Q2974" t="str">
        <f>_xlfn.XLOOKUP(D2974,tblSalesReps[rep_id],tblSalesReps[rep_name],"Missing")</f>
        <v>Sales Rep 12</v>
      </c>
      <c r="R2974" t="str">
        <f>_xlfn.XLOOKUP(D2974,tblSalesReps[rep_id],tblSalesReps[region],"Missing")</f>
        <v>West</v>
      </c>
    </row>
    <row r="2975" spans="1:18">
      <c r="A2975" t="s">
        <v>3520</v>
      </c>
      <c r="B2975" t="s">
        <v>234</v>
      </c>
      <c r="C2975" t="s">
        <v>26</v>
      </c>
      <c r="D2975" t="s">
        <v>70</v>
      </c>
      <c r="E2975" s="1">
        <v>45759</v>
      </c>
      <c r="F2975" s="1">
        <v>45793</v>
      </c>
      <c r="G2975" s="1">
        <v>45793</v>
      </c>
      <c r="H2975" t="s">
        <v>17</v>
      </c>
      <c r="I2975">
        <v>1</v>
      </c>
      <c r="J2975">
        <v>15</v>
      </c>
      <c r="K2975">
        <v>306000</v>
      </c>
      <c r="L2975">
        <v>0</v>
      </c>
      <c r="M2975" t="s">
        <v>82</v>
      </c>
      <c r="N2975" t="str">
        <f>_xlfn.XLOOKUP(B2975,tblCustomers[customer_id],tblCustomers[region],"Missing")</f>
        <v>West</v>
      </c>
      <c r="O2975" t="str">
        <f>_xlfn.XLOOKUP(C2975,tblProducts[product_id],tblProducts[product_name],"Missing")</f>
        <v>Security Suite</v>
      </c>
      <c r="P2975" t="str">
        <f>_xlfn.XLOOKUP(C2975,tblProducts[product_id],tblProducts[category],"Missing")</f>
        <v>Security</v>
      </c>
      <c r="Q2975" t="str">
        <f>_xlfn.XLOOKUP(D2975,tblSalesReps[rep_id],tblSalesReps[rep_name],"Missing")</f>
        <v>Sales Rep 11</v>
      </c>
      <c r="R2975" t="str">
        <f>_xlfn.XLOOKUP(D2975,tblSalesReps[rep_id],tblSalesReps[region],"Missing")</f>
        <v>West</v>
      </c>
    </row>
    <row r="2976" spans="1:18">
      <c r="A2976" t="s">
        <v>3521</v>
      </c>
      <c r="B2976" t="s">
        <v>1250</v>
      </c>
      <c r="C2976" t="s">
        <v>81</v>
      </c>
      <c r="D2976" t="s">
        <v>63</v>
      </c>
      <c r="E2976" s="1">
        <v>45795</v>
      </c>
      <c r="F2976" s="1">
        <v>45841</v>
      </c>
      <c r="G2976" s="1"/>
      <c r="H2976" t="s">
        <v>43</v>
      </c>
      <c r="I2976">
        <v>3</v>
      </c>
      <c r="J2976">
        <v>5</v>
      </c>
      <c r="K2976">
        <v>855000</v>
      </c>
      <c r="L2976">
        <v>20</v>
      </c>
      <c r="M2976" t="s">
        <v>29</v>
      </c>
      <c r="N2976" t="str">
        <f>_xlfn.XLOOKUP(B2976,tblCustomers[customer_id],tblCustomers[region],"Missing")</f>
        <v>South</v>
      </c>
      <c r="O2976" t="str">
        <f>_xlfn.XLOOKUP(C2976,tblProducts[product_id],tblProducts[product_name],"Missing")</f>
        <v>Analytics Cloud</v>
      </c>
      <c r="P2976" t="str">
        <f>_xlfn.XLOOKUP(C2976,tblProducts[product_id],tblProducts[category],"Missing")</f>
        <v>Analytics</v>
      </c>
      <c r="Q2976" t="str">
        <f>_xlfn.XLOOKUP(D2976,tblSalesReps[rep_id],tblSalesReps[rep_name],"Missing")</f>
        <v>Sales Rep 05</v>
      </c>
      <c r="R2976" t="str">
        <f>_xlfn.XLOOKUP(D2976,tblSalesReps[rep_id],tblSalesReps[region],"Missing")</f>
        <v>South</v>
      </c>
    </row>
    <row r="2977" spans="1:18">
      <c r="A2977" t="s">
        <v>3522</v>
      </c>
      <c r="B2977" t="s">
        <v>1386</v>
      </c>
      <c r="C2977" t="s">
        <v>21</v>
      </c>
      <c r="D2977" t="s">
        <v>70</v>
      </c>
      <c r="E2977" s="1">
        <v>45825</v>
      </c>
      <c r="F2977" s="1">
        <v>45850</v>
      </c>
      <c r="G2977" s="1">
        <v>45850</v>
      </c>
      <c r="H2977" t="s">
        <v>17</v>
      </c>
      <c r="I2977">
        <v>1</v>
      </c>
      <c r="J2977">
        <v>15</v>
      </c>
      <c r="K2977">
        <v>204000</v>
      </c>
      <c r="L2977">
        <v>0</v>
      </c>
      <c r="M2977" t="s">
        <v>47</v>
      </c>
      <c r="N2977" t="str">
        <f>_xlfn.XLOOKUP(B2977,tblCustomers[customer_id],tblCustomers[region],"Missing")</f>
        <v>West</v>
      </c>
      <c r="O2977" t="str">
        <f>_xlfn.XLOOKUP(C2977,tblProducts[product_id],tblProducts[product_name],"Missing")</f>
        <v>Workflow Automate</v>
      </c>
      <c r="P2977" t="str">
        <f>_xlfn.XLOOKUP(C2977,tblProducts[product_id],tblProducts[category],"Missing")</f>
        <v>Automation</v>
      </c>
      <c r="Q2977" t="str">
        <f>_xlfn.XLOOKUP(D2977,tblSalesReps[rep_id],tblSalesReps[rep_name],"Missing")</f>
        <v>Sales Rep 11</v>
      </c>
      <c r="R2977" t="str">
        <f>_xlfn.XLOOKUP(D2977,tblSalesReps[rep_id],tblSalesReps[region],"Missing")</f>
        <v>West</v>
      </c>
    </row>
    <row r="2978" spans="1:18">
      <c r="A2978" t="s">
        <v>3523</v>
      </c>
      <c r="B2978" t="s">
        <v>1420</v>
      </c>
      <c r="C2978" t="s">
        <v>81</v>
      </c>
      <c r="D2978" t="s">
        <v>168</v>
      </c>
      <c r="E2978" s="1">
        <v>45671</v>
      </c>
      <c r="F2978" s="1">
        <v>45752</v>
      </c>
      <c r="G2978" s="1">
        <v>45752</v>
      </c>
      <c r="H2978" t="s">
        <v>17</v>
      </c>
      <c r="I2978">
        <v>1</v>
      </c>
      <c r="J2978">
        <v>15</v>
      </c>
      <c r="K2978">
        <v>255000</v>
      </c>
      <c r="L2978">
        <v>0</v>
      </c>
      <c r="M2978" t="s">
        <v>18</v>
      </c>
      <c r="N2978" t="str">
        <f>_xlfn.XLOOKUP(B2978,tblCustomers[customer_id],tblCustomers[region],"Missing")</f>
        <v>East</v>
      </c>
      <c r="O2978" t="str">
        <f>_xlfn.XLOOKUP(C2978,tblProducts[product_id],tblProducts[product_name],"Missing")</f>
        <v>Analytics Cloud</v>
      </c>
      <c r="P2978" t="str">
        <f>_xlfn.XLOOKUP(C2978,tblProducts[product_id],tblProducts[category],"Missing")</f>
        <v>Analytics</v>
      </c>
      <c r="Q2978" t="str">
        <f>_xlfn.XLOOKUP(D2978,tblSalesReps[rep_id],tblSalesReps[rep_name],"Missing")</f>
        <v>Sales Rep 17</v>
      </c>
      <c r="R2978" t="str">
        <f>_xlfn.XLOOKUP(D2978,tblSalesReps[rep_id],tblSalesReps[region],"Missing")</f>
        <v>East</v>
      </c>
    </row>
    <row r="2979" spans="1:18">
      <c r="A2979" t="s">
        <v>3524</v>
      </c>
      <c r="B2979" t="s">
        <v>2067</v>
      </c>
      <c r="C2979" t="s">
        <v>81</v>
      </c>
      <c r="D2979" t="s">
        <v>22</v>
      </c>
      <c r="E2979" s="1">
        <v>45927</v>
      </c>
      <c r="F2979" s="1">
        <v>45965</v>
      </c>
      <c r="G2979" s="1"/>
      <c r="H2979" t="s">
        <v>43</v>
      </c>
      <c r="I2979">
        <v>2</v>
      </c>
      <c r="J2979">
        <v>5</v>
      </c>
      <c r="K2979">
        <v>570000</v>
      </c>
      <c r="L2979">
        <v>20</v>
      </c>
      <c r="M2979" t="s">
        <v>29</v>
      </c>
      <c r="N2979" t="str">
        <f>_xlfn.XLOOKUP(B2979,tblCustomers[customer_id],tblCustomers[region],"Missing")</f>
        <v>West</v>
      </c>
      <c r="O2979" t="str">
        <f>_xlfn.XLOOKUP(C2979,tblProducts[product_id],tblProducts[product_name],"Missing")</f>
        <v>Analytics Cloud</v>
      </c>
      <c r="P2979" t="str">
        <f>_xlfn.XLOOKUP(C2979,tblProducts[product_id],tblProducts[category],"Missing")</f>
        <v>Analytics</v>
      </c>
      <c r="Q2979" t="str">
        <f>_xlfn.XLOOKUP(D2979,tblSalesReps[rep_id],tblSalesReps[rep_name],"Missing")</f>
        <v>Sales Rep 14</v>
      </c>
      <c r="R2979" t="str">
        <f>_xlfn.XLOOKUP(D2979,tblSalesReps[rep_id],tblSalesReps[region],"Missing")</f>
        <v>West</v>
      </c>
    </row>
    <row r="2980" spans="1:18">
      <c r="A2980" t="s">
        <v>3525</v>
      </c>
      <c r="B2980" t="s">
        <v>1133</v>
      </c>
      <c r="C2980" t="s">
        <v>62</v>
      </c>
      <c r="D2980" t="s">
        <v>75</v>
      </c>
      <c r="E2980" s="1">
        <v>45871</v>
      </c>
      <c r="F2980" s="1">
        <v>45922</v>
      </c>
      <c r="G2980" s="1">
        <v>45922</v>
      </c>
      <c r="H2980" t="s">
        <v>28</v>
      </c>
      <c r="I2980">
        <v>2</v>
      </c>
      <c r="J2980">
        <v>10</v>
      </c>
      <c r="K2980">
        <v>216000</v>
      </c>
      <c r="L2980">
        <v>100</v>
      </c>
      <c r="M2980" t="s">
        <v>29</v>
      </c>
      <c r="N2980" t="str">
        <f>_xlfn.XLOOKUP(B2980,tblCustomers[customer_id],tblCustomers[region],"Missing")</f>
        <v>North</v>
      </c>
      <c r="O2980" t="str">
        <f>_xlfn.XLOOKUP(C2980,tblProducts[product_id],tblProducts[product_name],"Missing")</f>
        <v>CRM Essentials</v>
      </c>
      <c r="P2980" t="str">
        <f>_xlfn.XLOOKUP(C2980,tblProducts[product_id],tblProducts[category],"Missing")</f>
        <v>CRM</v>
      </c>
      <c r="Q2980" t="str">
        <f>_xlfn.XLOOKUP(D2980,tblSalesReps[rep_id],tblSalesReps[rep_name],"Missing")</f>
        <v>Sales Rep 07</v>
      </c>
      <c r="R2980" t="str">
        <f>_xlfn.XLOOKUP(D2980,tblSalesReps[rep_id],tblSalesReps[region],"Missing")</f>
        <v>North</v>
      </c>
    </row>
    <row r="2981" spans="1:18">
      <c r="A2981" t="s">
        <v>3526</v>
      </c>
      <c r="B2981" t="s">
        <v>460</v>
      </c>
      <c r="C2981" t="s">
        <v>39</v>
      </c>
      <c r="D2981" t="s">
        <v>27</v>
      </c>
      <c r="E2981" s="1">
        <v>46012</v>
      </c>
      <c r="F2981" s="1">
        <v>46086</v>
      </c>
      <c r="G2981" s="1"/>
      <c r="H2981" t="s">
        <v>43</v>
      </c>
      <c r="I2981">
        <v>3</v>
      </c>
      <c r="J2981">
        <v>5</v>
      </c>
      <c r="K2981">
        <v>513000</v>
      </c>
      <c r="L2981">
        <v>60</v>
      </c>
      <c r="M2981" t="s">
        <v>29</v>
      </c>
      <c r="N2981" t="str">
        <f>_xlfn.XLOOKUP(B2981,tblCustomers[customer_id],tblCustomers[region],"Missing")</f>
        <v>North</v>
      </c>
      <c r="O2981" t="str">
        <f>_xlfn.XLOOKUP(C2981,tblProducts[product_id],tblProducts[product_name],"Missing")</f>
        <v>Support Desk</v>
      </c>
      <c r="P2981" t="str">
        <f>_xlfn.XLOOKUP(C2981,tblProducts[product_id],tblProducts[category],"Missing")</f>
        <v>Service</v>
      </c>
      <c r="Q2981" t="str">
        <f>_xlfn.XLOOKUP(D2981,tblSalesReps[rep_id],tblSalesReps[rep_name],"Missing")</f>
        <v>Sales Rep 06</v>
      </c>
      <c r="R2981" t="str">
        <f>_xlfn.XLOOKUP(D2981,tblSalesReps[rep_id],tblSalesReps[region],"Missing")</f>
        <v>North</v>
      </c>
    </row>
    <row r="2982" spans="1:18">
      <c r="A2982" t="s">
        <v>3527</v>
      </c>
      <c r="B2982" t="s">
        <v>857</v>
      </c>
      <c r="C2982" t="s">
        <v>15</v>
      </c>
      <c r="D2982" t="s">
        <v>168</v>
      </c>
      <c r="E2982" s="1">
        <v>45835</v>
      </c>
      <c r="F2982" s="1">
        <v>45919</v>
      </c>
      <c r="G2982" s="1"/>
      <c r="H2982" t="s">
        <v>43</v>
      </c>
      <c r="I2982">
        <v>3</v>
      </c>
      <c r="J2982">
        <v>10</v>
      </c>
      <c r="K2982">
        <v>1134000</v>
      </c>
      <c r="L2982">
        <v>20</v>
      </c>
      <c r="M2982" t="s">
        <v>29</v>
      </c>
      <c r="N2982" t="str">
        <f>_xlfn.XLOOKUP(B2982,tblCustomers[customer_id],tblCustomers[region],"Missing")</f>
        <v>East</v>
      </c>
      <c r="O2982" t="str">
        <f>_xlfn.XLOOKUP(C2982,tblProducts[product_id],tblProducts[product_name],"Missing")</f>
        <v>CRM Enterprise</v>
      </c>
      <c r="P2982" t="str">
        <f>_xlfn.XLOOKUP(C2982,tblProducts[product_id],tblProducts[category],"Missing")</f>
        <v>CRM</v>
      </c>
      <c r="Q2982" t="str">
        <f>_xlfn.XLOOKUP(D2982,tblSalesReps[rep_id],tblSalesReps[rep_name],"Missing")</f>
        <v>Sales Rep 17</v>
      </c>
      <c r="R2982" t="str">
        <f>_xlfn.XLOOKUP(D2982,tblSalesReps[rep_id],tblSalesReps[region],"Missing")</f>
        <v>East</v>
      </c>
    </row>
    <row r="2983" spans="1:18">
      <c r="A2983" t="s">
        <v>3528</v>
      </c>
      <c r="B2983" t="s">
        <v>594</v>
      </c>
      <c r="C2983" t="s">
        <v>26</v>
      </c>
      <c r="D2983" t="s">
        <v>22</v>
      </c>
      <c r="E2983" s="1">
        <v>45934</v>
      </c>
      <c r="F2983" s="1">
        <v>45957</v>
      </c>
      <c r="G2983" s="1">
        <v>45957</v>
      </c>
      <c r="H2983" t="s">
        <v>17</v>
      </c>
      <c r="I2983">
        <v>1</v>
      </c>
      <c r="J2983">
        <v>0</v>
      </c>
      <c r="K2983">
        <v>360000</v>
      </c>
      <c r="L2983">
        <v>0</v>
      </c>
      <c r="M2983" t="s">
        <v>47</v>
      </c>
      <c r="N2983" t="str">
        <f>_xlfn.XLOOKUP(B2983,tblCustomers[customer_id],tblCustomers[region],"Missing")</f>
        <v>West</v>
      </c>
      <c r="O2983" t="str">
        <f>_xlfn.XLOOKUP(C2983,tblProducts[product_id],tblProducts[product_name],"Missing")</f>
        <v>Security Suite</v>
      </c>
      <c r="P2983" t="str">
        <f>_xlfn.XLOOKUP(C2983,tblProducts[product_id],tblProducts[category],"Missing")</f>
        <v>Security</v>
      </c>
      <c r="Q2983" t="str">
        <f>_xlfn.XLOOKUP(D2983,tblSalesReps[rep_id],tblSalesReps[rep_name],"Missing")</f>
        <v>Sales Rep 14</v>
      </c>
      <c r="R2983" t="str">
        <f>_xlfn.XLOOKUP(D2983,tblSalesReps[rep_id],tblSalesReps[region],"Missing")</f>
        <v>West</v>
      </c>
    </row>
    <row r="2984" spans="1:18">
      <c r="A2984" t="s">
        <v>3529</v>
      </c>
      <c r="B2984" t="s">
        <v>93</v>
      </c>
      <c r="C2984" t="s">
        <v>15</v>
      </c>
      <c r="D2984" t="s">
        <v>59</v>
      </c>
      <c r="E2984" s="1">
        <v>45873</v>
      </c>
      <c r="F2984" s="1">
        <v>45919</v>
      </c>
      <c r="G2984" s="1">
        <v>45919</v>
      </c>
      <c r="H2984" t="s">
        <v>28</v>
      </c>
      <c r="I2984">
        <v>3</v>
      </c>
      <c r="J2984">
        <v>0</v>
      </c>
      <c r="K2984">
        <v>1260000</v>
      </c>
      <c r="L2984">
        <v>100</v>
      </c>
      <c r="M2984" t="s">
        <v>29</v>
      </c>
      <c r="N2984" t="str">
        <f>_xlfn.XLOOKUP(B2984,tblCustomers[customer_id],tblCustomers[region],"Missing")</f>
        <v>East</v>
      </c>
      <c r="O2984" t="str">
        <f>_xlfn.XLOOKUP(C2984,tblProducts[product_id],tblProducts[product_name],"Missing")</f>
        <v>CRM Enterprise</v>
      </c>
      <c r="P2984" t="str">
        <f>_xlfn.XLOOKUP(C2984,tblProducts[product_id],tblProducts[category],"Missing")</f>
        <v>CRM</v>
      </c>
      <c r="Q2984" t="str">
        <f>_xlfn.XLOOKUP(D2984,tblSalesReps[rep_id],tblSalesReps[rep_name],"Missing")</f>
        <v>Sales Rep 19</v>
      </c>
      <c r="R2984" t="str">
        <f>_xlfn.XLOOKUP(D2984,tblSalesReps[rep_id],tblSalesReps[region],"Missing")</f>
        <v>East</v>
      </c>
    </row>
    <row r="2985" spans="1:18">
      <c r="A2985" t="s">
        <v>3530</v>
      </c>
      <c r="B2985" t="s">
        <v>1661</v>
      </c>
      <c r="C2985" t="s">
        <v>39</v>
      </c>
      <c r="D2985" t="s">
        <v>27</v>
      </c>
      <c r="E2985" s="1">
        <v>45970</v>
      </c>
      <c r="F2985" s="1">
        <v>45984</v>
      </c>
      <c r="G2985" s="1">
        <v>45984</v>
      </c>
      <c r="H2985" t="s">
        <v>28</v>
      </c>
      <c r="I2985">
        <v>1</v>
      </c>
      <c r="J2985">
        <v>15</v>
      </c>
      <c r="K2985">
        <v>153000</v>
      </c>
      <c r="L2985">
        <v>100</v>
      </c>
      <c r="M2985" t="s">
        <v>29</v>
      </c>
      <c r="N2985" t="str">
        <f>_xlfn.XLOOKUP(B2985,tblCustomers[customer_id],tblCustomers[region],"Missing")</f>
        <v>North</v>
      </c>
      <c r="O2985" t="str">
        <f>_xlfn.XLOOKUP(C2985,tblProducts[product_id],tblProducts[product_name],"Missing")</f>
        <v>Support Desk</v>
      </c>
      <c r="P2985" t="str">
        <f>_xlfn.XLOOKUP(C2985,tblProducts[product_id],tblProducts[category],"Missing")</f>
        <v>Service</v>
      </c>
      <c r="Q2985" t="str">
        <f>_xlfn.XLOOKUP(D2985,tblSalesReps[rep_id],tblSalesReps[rep_name],"Missing")</f>
        <v>Sales Rep 06</v>
      </c>
      <c r="R2985" t="str">
        <f>_xlfn.XLOOKUP(D2985,tblSalesReps[rep_id],tblSalesReps[region],"Missing")</f>
        <v>North</v>
      </c>
    </row>
    <row r="2986" spans="1:18">
      <c r="A2986" t="s">
        <v>3531</v>
      </c>
      <c r="B2986" t="s">
        <v>876</v>
      </c>
      <c r="C2986" t="s">
        <v>21</v>
      </c>
      <c r="D2986" t="s">
        <v>56</v>
      </c>
      <c r="E2986" s="1">
        <v>45934</v>
      </c>
      <c r="F2986" s="1">
        <v>45958</v>
      </c>
      <c r="G2986" s="1">
        <v>45958</v>
      </c>
      <c r="H2986" t="s">
        <v>28</v>
      </c>
      <c r="I2986">
        <v>2</v>
      </c>
      <c r="J2986">
        <v>20</v>
      </c>
      <c r="K2986">
        <v>384000</v>
      </c>
      <c r="L2986">
        <v>100</v>
      </c>
      <c r="M2986" t="s">
        <v>29</v>
      </c>
      <c r="N2986" t="str">
        <f>_xlfn.XLOOKUP(B2986,tblCustomers[customer_id],tblCustomers[region],"Missing")</f>
        <v>East</v>
      </c>
      <c r="O2986" t="str">
        <f>_xlfn.XLOOKUP(C2986,tblProducts[product_id],tblProducts[product_name],"Missing")</f>
        <v>Workflow Automate</v>
      </c>
      <c r="P2986" t="str">
        <f>_xlfn.XLOOKUP(C2986,tblProducts[product_id],tblProducts[category],"Missing")</f>
        <v>Automation</v>
      </c>
      <c r="Q2986" t="str">
        <f>_xlfn.XLOOKUP(D2986,tblSalesReps[rep_id],tblSalesReps[rep_name],"Missing")</f>
        <v>Sales Rep 20</v>
      </c>
      <c r="R2986" t="str">
        <f>_xlfn.XLOOKUP(D2986,tblSalesReps[rep_id],tblSalesReps[region],"Missing")</f>
        <v>East</v>
      </c>
    </row>
    <row r="2987" spans="1:18">
      <c r="A2987" t="s">
        <v>3532</v>
      </c>
      <c r="B2987" t="s">
        <v>1133</v>
      </c>
      <c r="C2987" t="s">
        <v>26</v>
      </c>
      <c r="D2987" t="s">
        <v>36</v>
      </c>
      <c r="E2987" s="1">
        <v>45820</v>
      </c>
      <c r="F2987" s="1">
        <v>45879</v>
      </c>
      <c r="G2987" s="1">
        <v>45879</v>
      </c>
      <c r="H2987" t="s">
        <v>28</v>
      </c>
      <c r="I2987">
        <v>3</v>
      </c>
      <c r="J2987">
        <v>10</v>
      </c>
      <c r="K2987">
        <v>972000</v>
      </c>
      <c r="L2987">
        <v>100</v>
      </c>
      <c r="M2987" t="s">
        <v>29</v>
      </c>
      <c r="N2987" t="str">
        <f>_xlfn.XLOOKUP(B2987,tblCustomers[customer_id],tblCustomers[region],"Missing")</f>
        <v>North</v>
      </c>
      <c r="O2987" t="str">
        <f>_xlfn.XLOOKUP(C2987,tblProducts[product_id],tblProducts[product_name],"Missing")</f>
        <v>Security Suite</v>
      </c>
      <c r="P2987" t="str">
        <f>_xlfn.XLOOKUP(C2987,tblProducts[product_id],tblProducts[category],"Missing")</f>
        <v>Security</v>
      </c>
      <c r="Q2987" t="str">
        <f>_xlfn.XLOOKUP(D2987,tblSalesReps[rep_id],tblSalesReps[rep_name],"Missing")</f>
        <v>Sales Rep 09</v>
      </c>
      <c r="R2987" t="str">
        <f>_xlfn.XLOOKUP(D2987,tblSalesReps[rep_id],tblSalesReps[region],"Missing")</f>
        <v>North</v>
      </c>
    </row>
    <row r="2988" spans="1:18">
      <c r="A2988" t="s">
        <v>3533</v>
      </c>
      <c r="B2988" t="s">
        <v>177</v>
      </c>
      <c r="C2988" t="s">
        <v>21</v>
      </c>
      <c r="D2988" t="s">
        <v>70</v>
      </c>
      <c r="E2988" s="1">
        <v>46011</v>
      </c>
      <c r="F2988" s="1">
        <v>46059</v>
      </c>
      <c r="G2988" s="1"/>
      <c r="H2988" t="s">
        <v>43</v>
      </c>
      <c r="I2988">
        <v>1</v>
      </c>
      <c r="J2988">
        <v>15</v>
      </c>
      <c r="K2988">
        <v>204000</v>
      </c>
      <c r="L2988">
        <v>80</v>
      </c>
      <c r="M2988" t="s">
        <v>29</v>
      </c>
      <c r="N2988" t="str">
        <f>_xlfn.XLOOKUP(B2988,tblCustomers[customer_id],tblCustomers[region],"Missing")</f>
        <v>West</v>
      </c>
      <c r="O2988" t="str">
        <f>_xlfn.XLOOKUP(C2988,tblProducts[product_id],tblProducts[product_name],"Missing")</f>
        <v>Workflow Automate</v>
      </c>
      <c r="P2988" t="str">
        <f>_xlfn.XLOOKUP(C2988,tblProducts[product_id],tblProducts[category],"Missing")</f>
        <v>Automation</v>
      </c>
      <c r="Q2988" t="str">
        <f>_xlfn.XLOOKUP(D2988,tblSalesReps[rep_id],tblSalesReps[rep_name],"Missing")</f>
        <v>Sales Rep 11</v>
      </c>
      <c r="R2988" t="str">
        <f>_xlfn.XLOOKUP(D2988,tblSalesReps[rep_id],tblSalesReps[region],"Missing")</f>
        <v>West</v>
      </c>
    </row>
    <row r="2989" spans="1:18">
      <c r="A2989" t="s">
        <v>3534</v>
      </c>
      <c r="B2989" t="s">
        <v>755</v>
      </c>
      <c r="C2989" t="s">
        <v>21</v>
      </c>
      <c r="D2989" t="s">
        <v>36</v>
      </c>
      <c r="E2989" s="1">
        <v>45741</v>
      </c>
      <c r="F2989" s="1">
        <v>45816</v>
      </c>
      <c r="G2989" s="1">
        <v>45816</v>
      </c>
      <c r="H2989" t="s">
        <v>28</v>
      </c>
      <c r="I2989">
        <v>1</v>
      </c>
      <c r="J2989">
        <v>20</v>
      </c>
      <c r="K2989">
        <v>192000</v>
      </c>
      <c r="L2989">
        <v>100</v>
      </c>
      <c r="M2989" t="s">
        <v>29</v>
      </c>
      <c r="N2989" t="str">
        <f>_xlfn.XLOOKUP(B2989,tblCustomers[customer_id],tblCustomers[region],"Missing")</f>
        <v>North</v>
      </c>
      <c r="O2989" t="str">
        <f>_xlfn.XLOOKUP(C2989,tblProducts[product_id],tblProducts[product_name],"Missing")</f>
        <v>Workflow Automate</v>
      </c>
      <c r="P2989" t="str">
        <f>_xlfn.XLOOKUP(C2989,tblProducts[product_id],tblProducts[category],"Missing")</f>
        <v>Automation</v>
      </c>
      <c r="Q2989" t="str">
        <f>_xlfn.XLOOKUP(D2989,tblSalesReps[rep_id],tblSalesReps[rep_name],"Missing")</f>
        <v>Sales Rep 09</v>
      </c>
      <c r="R2989" t="str">
        <f>_xlfn.XLOOKUP(D2989,tblSalesReps[rep_id],tblSalesReps[region],"Missing")</f>
        <v>North</v>
      </c>
    </row>
    <row r="2990" spans="1:18">
      <c r="A2990" t="s">
        <v>3535</v>
      </c>
      <c r="B2990" t="s">
        <v>1130</v>
      </c>
      <c r="C2990" t="s">
        <v>21</v>
      </c>
      <c r="D2990" t="s">
        <v>27</v>
      </c>
      <c r="E2990" s="1">
        <v>45810</v>
      </c>
      <c r="F2990" s="1">
        <v>45819</v>
      </c>
      <c r="G2990" s="1"/>
      <c r="H2990" t="s">
        <v>43</v>
      </c>
      <c r="I2990">
        <v>1</v>
      </c>
      <c r="J2990">
        <v>5</v>
      </c>
      <c r="K2990">
        <v>228000</v>
      </c>
      <c r="L2990">
        <v>60</v>
      </c>
      <c r="M2990" t="s">
        <v>29</v>
      </c>
      <c r="N2990" t="str">
        <f>_xlfn.XLOOKUP(B2990,tblCustomers[customer_id],tblCustomers[region],"Missing")</f>
        <v>North</v>
      </c>
      <c r="O2990" t="str">
        <f>_xlfn.XLOOKUP(C2990,tblProducts[product_id],tblProducts[product_name],"Missing")</f>
        <v>Workflow Automate</v>
      </c>
      <c r="P2990" t="str">
        <f>_xlfn.XLOOKUP(C2990,tblProducts[product_id],tblProducts[category],"Missing")</f>
        <v>Automation</v>
      </c>
      <c r="Q2990" t="str">
        <f>_xlfn.XLOOKUP(D2990,tblSalesReps[rep_id],tblSalesReps[rep_name],"Missing")</f>
        <v>Sales Rep 06</v>
      </c>
      <c r="R2990" t="str">
        <f>_xlfn.XLOOKUP(D2990,tblSalesReps[rep_id],tblSalesReps[region],"Missing")</f>
        <v>North</v>
      </c>
    </row>
    <row r="2991" spans="1:18">
      <c r="A2991" t="s">
        <v>3536</v>
      </c>
      <c r="B2991" t="s">
        <v>1983</v>
      </c>
      <c r="C2991" t="s">
        <v>81</v>
      </c>
      <c r="D2991" t="s">
        <v>56</v>
      </c>
      <c r="E2991" s="1">
        <v>45881</v>
      </c>
      <c r="F2991" s="1">
        <v>45913</v>
      </c>
      <c r="G2991" s="1">
        <v>45913</v>
      </c>
      <c r="H2991" t="s">
        <v>17</v>
      </c>
      <c r="I2991">
        <v>1</v>
      </c>
      <c r="J2991">
        <v>15</v>
      </c>
      <c r="K2991">
        <v>255000</v>
      </c>
      <c r="L2991">
        <v>0</v>
      </c>
      <c r="M2991" t="s">
        <v>47</v>
      </c>
      <c r="N2991" t="str">
        <f>_xlfn.XLOOKUP(B2991,tblCustomers[customer_id],tblCustomers[region],"Missing")</f>
        <v>East</v>
      </c>
      <c r="O2991" t="str">
        <f>_xlfn.XLOOKUP(C2991,tblProducts[product_id],tblProducts[product_name],"Missing")</f>
        <v>Analytics Cloud</v>
      </c>
      <c r="P2991" t="str">
        <f>_xlfn.XLOOKUP(C2991,tblProducts[product_id],tblProducts[category],"Missing")</f>
        <v>Analytics</v>
      </c>
      <c r="Q2991" t="str">
        <f>_xlfn.XLOOKUP(D2991,tblSalesReps[rep_id],tblSalesReps[rep_name],"Missing")</f>
        <v>Sales Rep 20</v>
      </c>
      <c r="R2991" t="str">
        <f>_xlfn.XLOOKUP(D2991,tblSalesReps[rep_id],tblSalesReps[region],"Missing")</f>
        <v>East</v>
      </c>
    </row>
    <row r="2992" spans="1:18">
      <c r="A2992" t="s">
        <v>3537</v>
      </c>
      <c r="B2992" t="s">
        <v>88</v>
      </c>
      <c r="C2992" t="s">
        <v>15</v>
      </c>
      <c r="D2992" t="s">
        <v>78</v>
      </c>
      <c r="E2992" s="1">
        <v>45690</v>
      </c>
      <c r="F2992" s="1">
        <v>45702</v>
      </c>
      <c r="G2992" s="1"/>
      <c r="H2992" t="s">
        <v>43</v>
      </c>
      <c r="I2992">
        <v>3</v>
      </c>
      <c r="J2992">
        <v>10</v>
      </c>
      <c r="K2992">
        <v>1134000</v>
      </c>
      <c r="L2992">
        <v>60</v>
      </c>
      <c r="M2992" t="s">
        <v>29</v>
      </c>
      <c r="N2992" t="str">
        <f>_xlfn.XLOOKUP(B2992,tblCustomers[customer_id],tblCustomers[region],"Missing")</f>
        <v>West</v>
      </c>
      <c r="O2992" t="str">
        <f>_xlfn.XLOOKUP(C2992,tblProducts[product_id],tblProducts[product_name],"Missing")</f>
        <v>CRM Enterprise</v>
      </c>
      <c r="P2992" t="str">
        <f>_xlfn.XLOOKUP(C2992,tblProducts[product_id],tblProducts[category],"Missing")</f>
        <v>CRM</v>
      </c>
      <c r="Q2992" t="str">
        <f>_xlfn.XLOOKUP(D2992,tblSalesReps[rep_id],tblSalesReps[rep_name],"Missing")</f>
        <v>Sales Rep 12</v>
      </c>
      <c r="R2992" t="str">
        <f>_xlfn.XLOOKUP(D2992,tblSalesReps[rep_id],tblSalesReps[region],"Missing")</f>
        <v>West</v>
      </c>
    </row>
    <row r="2993" spans="1:18">
      <c r="A2993" t="s">
        <v>3538</v>
      </c>
      <c r="B2993" t="s">
        <v>789</v>
      </c>
      <c r="C2993" t="s">
        <v>26</v>
      </c>
      <c r="D2993" t="s">
        <v>63</v>
      </c>
      <c r="E2993" s="1">
        <v>45970</v>
      </c>
      <c r="F2993" s="1">
        <v>46041</v>
      </c>
      <c r="G2993" s="1"/>
      <c r="H2993" t="s">
        <v>43</v>
      </c>
      <c r="I2993">
        <v>1</v>
      </c>
      <c r="J2993">
        <v>15</v>
      </c>
      <c r="K2993">
        <v>306000</v>
      </c>
      <c r="L2993">
        <v>80</v>
      </c>
      <c r="M2993" t="s">
        <v>29</v>
      </c>
      <c r="N2993" t="str">
        <f>_xlfn.XLOOKUP(B2993,tblCustomers[customer_id],tblCustomers[region],"Missing")</f>
        <v>South</v>
      </c>
      <c r="O2993" t="str">
        <f>_xlfn.XLOOKUP(C2993,tblProducts[product_id],tblProducts[product_name],"Missing")</f>
        <v>Security Suite</v>
      </c>
      <c r="P2993" t="str">
        <f>_xlfn.XLOOKUP(C2993,tblProducts[product_id],tblProducts[category],"Missing")</f>
        <v>Security</v>
      </c>
      <c r="Q2993" t="str">
        <f>_xlfn.XLOOKUP(D2993,tblSalesReps[rep_id],tblSalesReps[rep_name],"Missing")</f>
        <v>Sales Rep 05</v>
      </c>
      <c r="R2993" t="str">
        <f>_xlfn.XLOOKUP(D2993,tblSalesReps[rep_id],tblSalesReps[region],"Missing")</f>
        <v>South</v>
      </c>
    </row>
    <row r="2994" spans="1:18">
      <c r="A2994" t="s">
        <v>3539</v>
      </c>
      <c r="B2994" t="s">
        <v>1074</v>
      </c>
      <c r="C2994" t="s">
        <v>26</v>
      </c>
      <c r="D2994" t="s">
        <v>32</v>
      </c>
      <c r="E2994" s="1">
        <v>45726</v>
      </c>
      <c r="F2994" s="1">
        <v>45809</v>
      </c>
      <c r="G2994" s="1">
        <v>45809</v>
      </c>
      <c r="H2994" t="s">
        <v>28</v>
      </c>
      <c r="I2994">
        <v>1</v>
      </c>
      <c r="J2994">
        <v>5</v>
      </c>
      <c r="K2994">
        <v>342000</v>
      </c>
      <c r="L2994">
        <v>100</v>
      </c>
      <c r="M2994" t="s">
        <v>29</v>
      </c>
      <c r="N2994" t="str">
        <f>_xlfn.XLOOKUP(B2994,tblCustomers[customer_id],tblCustomers[region],"Missing")</f>
        <v>South</v>
      </c>
      <c r="O2994" t="str">
        <f>_xlfn.XLOOKUP(C2994,tblProducts[product_id],tblProducts[product_name],"Missing")</f>
        <v>Security Suite</v>
      </c>
      <c r="P2994" t="str">
        <f>_xlfn.XLOOKUP(C2994,tblProducts[product_id],tblProducts[category],"Missing")</f>
        <v>Security</v>
      </c>
      <c r="Q2994" t="str">
        <f>_xlfn.XLOOKUP(D2994,tblSalesReps[rep_id],tblSalesReps[rep_name],"Missing")</f>
        <v>Sales Rep 04</v>
      </c>
      <c r="R2994" t="str">
        <f>_xlfn.XLOOKUP(D2994,tblSalesReps[rep_id],tblSalesReps[region],"Missing")</f>
        <v>South</v>
      </c>
    </row>
    <row r="2995" spans="1:18">
      <c r="A2995" t="s">
        <v>3540</v>
      </c>
      <c r="B2995" t="s">
        <v>1283</v>
      </c>
      <c r="C2995" t="s">
        <v>81</v>
      </c>
      <c r="D2995" t="s">
        <v>59</v>
      </c>
      <c r="E2995" s="1">
        <v>46006</v>
      </c>
      <c r="F2995" s="1">
        <v>46060</v>
      </c>
      <c r="G2995" s="1"/>
      <c r="H2995" t="s">
        <v>43</v>
      </c>
      <c r="I2995">
        <v>2</v>
      </c>
      <c r="J2995">
        <v>5</v>
      </c>
      <c r="K2995">
        <v>570000</v>
      </c>
      <c r="L2995">
        <v>80</v>
      </c>
      <c r="M2995" t="s">
        <v>29</v>
      </c>
      <c r="N2995" t="str">
        <f>_xlfn.XLOOKUP(B2995,tblCustomers[customer_id],tblCustomers[region],"Missing")</f>
        <v>East</v>
      </c>
      <c r="O2995" t="str">
        <f>_xlfn.XLOOKUP(C2995,tblProducts[product_id],tblProducts[product_name],"Missing")</f>
        <v>Analytics Cloud</v>
      </c>
      <c r="P2995" t="str">
        <f>_xlfn.XLOOKUP(C2995,tblProducts[product_id],tblProducts[category],"Missing")</f>
        <v>Analytics</v>
      </c>
      <c r="Q2995" t="str">
        <f>_xlfn.XLOOKUP(D2995,tblSalesReps[rep_id],tblSalesReps[rep_name],"Missing")</f>
        <v>Sales Rep 19</v>
      </c>
      <c r="R2995" t="str">
        <f>_xlfn.XLOOKUP(D2995,tblSalesReps[rep_id],tblSalesReps[region],"Missing")</f>
        <v>East</v>
      </c>
    </row>
    <row r="2996" spans="1:18">
      <c r="A2996" t="s">
        <v>3541</v>
      </c>
      <c r="B2996" t="s">
        <v>20</v>
      </c>
      <c r="C2996" t="s">
        <v>26</v>
      </c>
      <c r="D2996" t="s">
        <v>70</v>
      </c>
      <c r="E2996" s="1">
        <v>45822</v>
      </c>
      <c r="F2996" s="1">
        <v>45832</v>
      </c>
      <c r="G2996" s="1">
        <v>45832</v>
      </c>
      <c r="H2996" t="s">
        <v>28</v>
      </c>
      <c r="I2996">
        <v>1</v>
      </c>
      <c r="J2996">
        <v>5</v>
      </c>
      <c r="K2996">
        <v>342000</v>
      </c>
      <c r="L2996">
        <v>100</v>
      </c>
      <c r="M2996" t="s">
        <v>29</v>
      </c>
      <c r="N2996" t="str">
        <f>_xlfn.XLOOKUP(B2996,tblCustomers[customer_id],tblCustomers[region],"Missing")</f>
        <v>West</v>
      </c>
      <c r="O2996" t="str">
        <f>_xlfn.XLOOKUP(C2996,tblProducts[product_id],tblProducts[product_name],"Missing")</f>
        <v>Security Suite</v>
      </c>
      <c r="P2996" t="str">
        <f>_xlfn.XLOOKUP(C2996,tblProducts[product_id],tblProducts[category],"Missing")</f>
        <v>Security</v>
      </c>
      <c r="Q2996" t="str">
        <f>_xlfn.XLOOKUP(D2996,tblSalesReps[rep_id],tblSalesReps[rep_name],"Missing")</f>
        <v>Sales Rep 11</v>
      </c>
      <c r="R2996" t="str">
        <f>_xlfn.XLOOKUP(D2996,tblSalesReps[rep_id],tblSalesReps[region],"Missing")</f>
        <v>West</v>
      </c>
    </row>
    <row r="2997" spans="1:18">
      <c r="A2997" t="s">
        <v>3542</v>
      </c>
      <c r="B2997" t="s">
        <v>1403</v>
      </c>
      <c r="C2997" t="s">
        <v>21</v>
      </c>
      <c r="D2997" t="s">
        <v>36</v>
      </c>
      <c r="E2997" s="1">
        <v>45909</v>
      </c>
      <c r="F2997" s="1">
        <v>45950</v>
      </c>
      <c r="G2997" s="1">
        <v>45950</v>
      </c>
      <c r="H2997" t="s">
        <v>17</v>
      </c>
      <c r="I2997">
        <v>2</v>
      </c>
      <c r="J2997">
        <v>15</v>
      </c>
      <c r="K2997">
        <v>408000</v>
      </c>
      <c r="L2997">
        <v>0</v>
      </c>
      <c r="M2997" t="s">
        <v>47</v>
      </c>
      <c r="N2997" t="str">
        <f>_xlfn.XLOOKUP(B2997,tblCustomers[customer_id],tblCustomers[region],"Missing")</f>
        <v>North</v>
      </c>
      <c r="O2997" t="str">
        <f>_xlfn.XLOOKUP(C2997,tblProducts[product_id],tblProducts[product_name],"Missing")</f>
        <v>Workflow Automate</v>
      </c>
      <c r="P2997" t="str">
        <f>_xlfn.XLOOKUP(C2997,tblProducts[product_id],tblProducts[category],"Missing")</f>
        <v>Automation</v>
      </c>
      <c r="Q2997" t="str">
        <f>_xlfn.XLOOKUP(D2997,tblSalesReps[rep_id],tblSalesReps[rep_name],"Missing")</f>
        <v>Sales Rep 09</v>
      </c>
      <c r="R2997" t="str">
        <f>_xlfn.XLOOKUP(D2997,tblSalesReps[rep_id],tblSalesReps[region],"Missing")</f>
        <v>North</v>
      </c>
    </row>
    <row r="2998" spans="1:18">
      <c r="A2998" t="s">
        <v>3543</v>
      </c>
      <c r="B2998" t="s">
        <v>172</v>
      </c>
      <c r="C2998" t="s">
        <v>39</v>
      </c>
      <c r="D2998" t="s">
        <v>27</v>
      </c>
      <c r="E2998" s="1">
        <v>45907</v>
      </c>
      <c r="F2998" s="1">
        <v>45974</v>
      </c>
      <c r="G2998" s="1">
        <v>45974</v>
      </c>
      <c r="H2998" t="s">
        <v>17</v>
      </c>
      <c r="I2998">
        <v>1</v>
      </c>
      <c r="J2998">
        <v>15</v>
      </c>
      <c r="K2998">
        <v>153000</v>
      </c>
      <c r="L2998">
        <v>0</v>
      </c>
      <c r="M2998" t="s">
        <v>33</v>
      </c>
      <c r="N2998" t="str">
        <f>_xlfn.XLOOKUP(B2998,tblCustomers[customer_id],tblCustomers[region],"Missing")</f>
        <v>North</v>
      </c>
      <c r="O2998" t="str">
        <f>_xlfn.XLOOKUP(C2998,tblProducts[product_id],tblProducts[product_name],"Missing")</f>
        <v>Support Desk</v>
      </c>
      <c r="P2998" t="str">
        <f>_xlfn.XLOOKUP(C2998,tblProducts[product_id],tblProducts[category],"Missing")</f>
        <v>Service</v>
      </c>
      <c r="Q2998" t="str">
        <f>_xlfn.XLOOKUP(D2998,tblSalesReps[rep_id],tblSalesReps[rep_name],"Missing")</f>
        <v>Sales Rep 06</v>
      </c>
      <c r="R2998" t="str">
        <f>_xlfn.XLOOKUP(D2998,tblSalesReps[rep_id],tblSalesReps[region],"Missing")</f>
        <v>North</v>
      </c>
    </row>
    <row r="2999" spans="1:18">
      <c r="A2999" t="s">
        <v>3544</v>
      </c>
      <c r="B2999" t="s">
        <v>1453</v>
      </c>
      <c r="C2999" t="s">
        <v>15</v>
      </c>
      <c r="D2999" t="s">
        <v>152</v>
      </c>
      <c r="E2999" s="1">
        <v>45855</v>
      </c>
      <c r="F2999" s="1">
        <v>45878</v>
      </c>
      <c r="G2999" s="1">
        <v>45878</v>
      </c>
      <c r="H2999" t="s">
        <v>17</v>
      </c>
      <c r="I2999">
        <v>3</v>
      </c>
      <c r="J2999">
        <v>20</v>
      </c>
      <c r="K2999">
        <v>1008000</v>
      </c>
      <c r="L2999">
        <v>0</v>
      </c>
      <c r="M2999" t="s">
        <v>23</v>
      </c>
      <c r="N2999" t="str">
        <f>_xlfn.XLOOKUP(B2999,tblCustomers[customer_id],tblCustomers[region],"Missing")</f>
        <v>East</v>
      </c>
      <c r="O2999" t="str">
        <f>_xlfn.XLOOKUP(C2999,tblProducts[product_id],tblProducts[product_name],"Missing")</f>
        <v>CRM Enterprise</v>
      </c>
      <c r="P2999" t="str">
        <f>_xlfn.XLOOKUP(C2999,tblProducts[product_id],tblProducts[category],"Missing")</f>
        <v>CRM</v>
      </c>
      <c r="Q2999" t="str">
        <f>_xlfn.XLOOKUP(D2999,tblSalesReps[rep_id],tblSalesReps[rep_name],"Missing")</f>
        <v>Sales Rep 18</v>
      </c>
      <c r="R2999" t="str">
        <f>_xlfn.XLOOKUP(D2999,tblSalesReps[rep_id],tblSalesReps[region],"Missing")</f>
        <v>East</v>
      </c>
    </row>
    <row r="3000" spans="1:18">
      <c r="A3000" t="s">
        <v>3545</v>
      </c>
      <c r="B3000" t="s">
        <v>2025</v>
      </c>
      <c r="C3000" t="s">
        <v>21</v>
      </c>
      <c r="D3000" t="s">
        <v>46</v>
      </c>
      <c r="E3000" s="1">
        <v>45798</v>
      </c>
      <c r="F3000" s="1">
        <v>45866</v>
      </c>
      <c r="G3000" s="1">
        <v>45866</v>
      </c>
      <c r="H3000" t="s">
        <v>28</v>
      </c>
      <c r="I3000">
        <v>2</v>
      </c>
      <c r="J3000">
        <v>15</v>
      </c>
      <c r="K3000">
        <v>408000</v>
      </c>
      <c r="L3000">
        <v>100</v>
      </c>
      <c r="M3000" t="s">
        <v>29</v>
      </c>
      <c r="N3000" t="str">
        <f>_xlfn.XLOOKUP(B3000,tblCustomers[customer_id],tblCustomers[region],"Missing")</f>
        <v>South</v>
      </c>
      <c r="O3000" t="str">
        <f>_xlfn.XLOOKUP(C3000,tblProducts[product_id],tblProducts[product_name],"Missing")</f>
        <v>Workflow Automate</v>
      </c>
      <c r="P3000" t="str">
        <f>_xlfn.XLOOKUP(C3000,tblProducts[product_id],tblProducts[category],"Missing")</f>
        <v>Automation</v>
      </c>
      <c r="Q3000" t="str">
        <f>_xlfn.XLOOKUP(D3000,tblSalesReps[rep_id],tblSalesReps[rep_name],"Missing")</f>
        <v>Sales Rep 01</v>
      </c>
      <c r="R3000" t="str">
        <f>_xlfn.XLOOKUP(D3000,tblSalesReps[rep_id],tblSalesReps[region],"Missing")</f>
        <v>South</v>
      </c>
    </row>
    <row r="3001" spans="1:18">
      <c r="A3001" t="s">
        <v>3546</v>
      </c>
      <c r="B3001" t="s">
        <v>1062</v>
      </c>
      <c r="C3001" t="s">
        <v>81</v>
      </c>
      <c r="D3001" t="s">
        <v>27</v>
      </c>
      <c r="E3001" s="1">
        <v>45867</v>
      </c>
      <c r="F3001" s="1">
        <v>45938</v>
      </c>
      <c r="G3001" s="1">
        <v>45938</v>
      </c>
      <c r="H3001" t="s">
        <v>17</v>
      </c>
      <c r="I3001">
        <v>3</v>
      </c>
      <c r="J3001">
        <v>15</v>
      </c>
      <c r="K3001">
        <v>765000</v>
      </c>
      <c r="L3001">
        <v>0</v>
      </c>
      <c r="M3001" t="s">
        <v>18</v>
      </c>
      <c r="N3001" t="str">
        <f>_xlfn.XLOOKUP(B3001,tblCustomers[customer_id],tblCustomers[region],"Missing")</f>
        <v>North</v>
      </c>
      <c r="O3001" t="str">
        <f>_xlfn.XLOOKUP(C3001,tblProducts[product_id],tblProducts[product_name],"Missing")</f>
        <v>Analytics Cloud</v>
      </c>
      <c r="P3001" t="str">
        <f>_xlfn.XLOOKUP(C3001,tblProducts[product_id],tblProducts[category],"Missing")</f>
        <v>Analytics</v>
      </c>
      <c r="Q3001" t="str">
        <f>_xlfn.XLOOKUP(D3001,tblSalesReps[rep_id],tblSalesReps[rep_name],"Missing")</f>
        <v>Sales Rep 06</v>
      </c>
      <c r="R3001" t="str">
        <f>_xlfn.XLOOKUP(D3001,tblSalesReps[rep_id],tblSalesReps[region],"Missing")</f>
        <v>North</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9461-3874-44E3-95E3-A990151C0801}">
  <dimension ref="B1:B5"/>
  <sheetViews>
    <sheetView workbookViewId="0">
      <selection activeCell="B5" sqref="B5"/>
    </sheetView>
  </sheetViews>
  <sheetFormatPr defaultRowHeight="15.05"/>
  <sheetData>
    <row r="1" spans="2:2">
      <c r="B1">
        <f>COUNTIF(tblOpportunities[Customer Region],"Missing")</f>
        <v>0</v>
      </c>
    </row>
    <row r="2" spans="2:2">
      <c r="B2">
        <f>COUNTIF(tblOpportunities[Product Name],"Missing")</f>
        <v>0</v>
      </c>
    </row>
    <row r="3" spans="2:2">
      <c r="B3">
        <f>COUNTIF(tblOpportunities[Product Category],"Missing")</f>
        <v>0</v>
      </c>
    </row>
    <row r="4" spans="2:2">
      <c r="B4">
        <f>COUNTIF(tblOpportunities[Sales Rep Name],"Missing")</f>
        <v>0</v>
      </c>
    </row>
    <row r="5" spans="2:2">
      <c r="B5" s="2">
        <f>COUNTIF(tblOpportunities[Sales Rep Region],"Missing")</f>
        <v>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25C3-0AEC-4A9C-9B6B-42BE6EAFB142}">
  <dimension ref="A1:B12"/>
  <sheetViews>
    <sheetView workbookViewId="0">
      <selection activeCell="B9" sqref="B9"/>
    </sheetView>
  </sheetViews>
  <sheetFormatPr defaultRowHeight="15.05"/>
  <cols>
    <col min="1" max="1" width="20.21875" customWidth="1"/>
    <col min="2" max="2" width="16" bestFit="1" customWidth="1"/>
  </cols>
  <sheetData>
    <row r="1" spans="1:2" ht="21.3">
      <c r="A1" s="6" t="s">
        <v>14627</v>
      </c>
    </row>
    <row r="3" spans="1:2">
      <c r="A3" s="5" t="s">
        <v>14628</v>
      </c>
      <c r="B3" s="5" t="s">
        <v>14629</v>
      </c>
    </row>
    <row r="4" spans="1:2">
      <c r="A4" s="4" t="s">
        <v>14618</v>
      </c>
      <c r="B4" s="7">
        <f>COUNTA(tblOpportunities[opportunity_id])</f>
        <v>3000</v>
      </c>
    </row>
    <row r="5" spans="1:2">
      <c r="A5" s="4" t="s">
        <v>14619</v>
      </c>
      <c r="B5" s="7">
        <f>COUNTIF(tblOpportunities[stage],"Won")</f>
        <v>907</v>
      </c>
    </row>
    <row r="6" spans="1:2">
      <c r="A6" s="4" t="s">
        <v>14620</v>
      </c>
      <c r="B6" s="7">
        <f>COUNTIF(tblOpportunities[stage],"Lost")</f>
        <v>1067</v>
      </c>
    </row>
    <row r="7" spans="1:2">
      <c r="A7" s="4" t="s">
        <v>14621</v>
      </c>
      <c r="B7" s="7">
        <f>COUNTIF(tblOpportunities[stage],"Open")</f>
        <v>1026</v>
      </c>
    </row>
    <row r="8" spans="1:2">
      <c r="A8" s="4" t="s">
        <v>14622</v>
      </c>
      <c r="B8" s="3">
        <f>IFERROR(B5/(B5+B6),0)</f>
        <v>0.45947315096251268</v>
      </c>
    </row>
    <row r="9" spans="1:2">
      <c r="A9" s="4" t="s">
        <v>14623</v>
      </c>
      <c r="B9" s="4">
        <f>SUMIF(tblOpportunities[stage],"Won",tblOpportunities[deal_value_inr])</f>
        <v>343497000</v>
      </c>
    </row>
    <row r="10" spans="1:2">
      <c r="A10" s="4" t="s">
        <v>14624</v>
      </c>
      <c r="B10" s="4">
        <f>IFERROR(B9/B5,0)</f>
        <v>378717.75082690187</v>
      </c>
    </row>
    <row r="11" spans="1:2">
      <c r="A11" s="4" t="s">
        <v>14625</v>
      </c>
      <c r="B11" s="4">
        <f>SUMIF(tblOpportunities[stage],"Open",tblOpportunities[deal_value_inr])</f>
        <v>388227000</v>
      </c>
    </row>
    <row r="12" spans="1:2">
      <c r="A12" s="4" t="s">
        <v>14626</v>
      </c>
      <c r="B12" s="4" cm="1">
        <f t="array" ref="B12">SUMPRODUCT((tblOpportunities[stage]="Open")*tblOpportunities[deal_value_inr]*tblOpportunities[probability_pct]/100)</f>
        <v>191400600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8C6F43-EC68-46B8-96DA-B4A1579751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sales_activities</vt:lpstr>
      <vt:lpstr>sales_reps</vt:lpstr>
      <vt:lpstr>products</vt:lpstr>
      <vt:lpstr>customers</vt:lpstr>
      <vt:lpstr>Regional_Analysis</vt:lpstr>
      <vt:lpstr>Regional_WinRate</vt:lpstr>
      <vt:lpstr>Product_Analysis</vt:lpstr>
      <vt:lpstr>Product_WinRate</vt:lpstr>
      <vt:lpstr>SalesRep_Performance</vt:lpstr>
      <vt:lpstr>Target_Chart_Data</vt:lpstr>
      <vt:lpstr>Sales_Dashboard</vt:lpstr>
      <vt:lpstr>SalesRep_WinRate</vt:lpstr>
      <vt:lpstr>Region_Opportunity_Count</vt:lpstr>
      <vt:lpstr>Region_Won_Count</vt:lpstr>
      <vt:lpstr>Region_Closed_Count</vt:lpstr>
      <vt:lpstr>opportunities</vt:lpstr>
      <vt:lpstr>Validation</vt:lpstr>
      <vt:lpstr>KPI_Analysis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Sathishkumar</dc:creator>
  <cp:lastModifiedBy>Vignesh Sathishkumar</cp:lastModifiedBy>
  <dcterms:created xsi:type="dcterms:W3CDTF">2026-10-27T10:59:51Z</dcterms:created>
  <dcterms:modified xsi:type="dcterms:W3CDTF">2026-10-30T10:00:05Z</dcterms:modified>
</cp:coreProperties>
</file>